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rig\Documents\Coding_Practice\Python\Jerseys\"/>
    </mc:Choice>
  </mc:AlternateContent>
  <xr:revisionPtr revIDLastSave="0" documentId="13_ncr:1_{289DC9FC-880C-4A78-97E5-56B54BB417B9}" xr6:coauthVersionLast="47" xr6:coauthVersionMax="47" xr10:uidLastSave="{00000000-0000-0000-0000-000000000000}"/>
  <bookViews>
    <workbookView xWindow="-120" yWindow="-120" windowWidth="29040" windowHeight="15840" xr2:uid="{9B9903AD-7061-4527-9747-A7A04A6642FE}"/>
  </bookViews>
  <sheets>
    <sheet name="Scores" sheetId="1" r:id="rId1"/>
    <sheet name="Graph" sheetId="2" r:id="rId2"/>
    <sheet name="CTG" sheetId="3" r:id="rId3"/>
    <sheet name="Watched" sheetId="4" r:id="rId4"/>
    <sheet name="Standings" sheetId="5" r:id="rId5"/>
    <sheet name="Record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1" i="1" l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P21" i="1"/>
  <c r="P22" i="1"/>
  <c r="P23" i="1"/>
  <c r="P24" i="1"/>
  <c r="P25" i="1"/>
  <c r="T25" i="1" s="1"/>
  <c r="P26" i="1"/>
  <c r="P27" i="1"/>
  <c r="P28" i="1"/>
  <c r="P29" i="1"/>
  <c r="P30" i="1"/>
  <c r="P31" i="1"/>
  <c r="T31" i="1" s="1"/>
  <c r="P32" i="1"/>
  <c r="P33" i="1"/>
  <c r="P34" i="1"/>
  <c r="P35" i="1"/>
  <c r="P36" i="1"/>
  <c r="P37" i="1"/>
  <c r="T37" i="1" s="1"/>
  <c r="P38" i="1"/>
  <c r="P39" i="1"/>
  <c r="P40" i="1"/>
  <c r="P41" i="1"/>
  <c r="P42" i="1"/>
  <c r="P43" i="1"/>
  <c r="T43" i="1" s="1"/>
  <c r="P44" i="1"/>
  <c r="P45" i="1"/>
  <c r="P46" i="1"/>
  <c r="P47" i="1"/>
  <c r="P48" i="1"/>
  <c r="P49" i="1"/>
  <c r="T49" i="1" s="1"/>
  <c r="P50" i="1"/>
  <c r="P51" i="1"/>
  <c r="P52" i="1"/>
  <c r="P53" i="1"/>
  <c r="P54" i="1"/>
  <c r="P55" i="1"/>
  <c r="T55" i="1" s="1"/>
  <c r="P56" i="1"/>
  <c r="P57" i="1"/>
  <c r="P58" i="1"/>
  <c r="P59" i="1"/>
  <c r="P60" i="1"/>
  <c r="P61" i="1"/>
  <c r="T61" i="1" s="1"/>
  <c r="P62" i="1"/>
  <c r="P63" i="1"/>
  <c r="P64" i="1"/>
  <c r="P65" i="1"/>
  <c r="P66" i="1"/>
  <c r="P67" i="1"/>
  <c r="T67" i="1" s="1"/>
  <c r="P68" i="1"/>
  <c r="P69" i="1"/>
  <c r="P70" i="1"/>
  <c r="P71" i="1"/>
  <c r="P72" i="1"/>
  <c r="P73" i="1"/>
  <c r="T73" i="1" s="1"/>
  <c r="P74" i="1"/>
  <c r="P75" i="1"/>
  <c r="P76" i="1"/>
  <c r="P77" i="1"/>
  <c r="P78" i="1"/>
  <c r="P79" i="1"/>
  <c r="T79" i="1" s="1"/>
  <c r="P80" i="1"/>
  <c r="P81" i="1"/>
  <c r="P82" i="1"/>
  <c r="P83" i="1"/>
  <c r="P84" i="1"/>
  <c r="P85" i="1"/>
  <c r="T85" i="1" s="1"/>
  <c r="P86" i="1"/>
  <c r="P87" i="1"/>
  <c r="P88" i="1"/>
  <c r="P89" i="1"/>
  <c r="P90" i="1"/>
  <c r="P91" i="1"/>
  <c r="T91" i="1" s="1"/>
  <c r="P92" i="1"/>
  <c r="P93" i="1"/>
  <c r="P94" i="1"/>
  <c r="P95" i="1"/>
  <c r="P96" i="1"/>
  <c r="P97" i="1"/>
  <c r="T97" i="1" s="1"/>
  <c r="P98" i="1"/>
  <c r="P99" i="1"/>
  <c r="P100" i="1"/>
  <c r="P101" i="1"/>
  <c r="P102" i="1"/>
  <c r="P103" i="1"/>
  <c r="T103" i="1" s="1"/>
  <c r="P104" i="1"/>
  <c r="P105" i="1"/>
  <c r="P106" i="1"/>
  <c r="P107" i="1"/>
  <c r="P108" i="1"/>
  <c r="P109" i="1"/>
  <c r="T109" i="1" s="1"/>
  <c r="P110" i="1"/>
  <c r="P111" i="1"/>
  <c r="P112" i="1"/>
  <c r="P113" i="1"/>
  <c r="P114" i="1"/>
  <c r="P115" i="1"/>
  <c r="T115" i="1" s="1"/>
  <c r="P116" i="1"/>
  <c r="P117" i="1"/>
  <c r="P118" i="1"/>
  <c r="P119" i="1"/>
  <c r="P120" i="1"/>
  <c r="P121" i="1"/>
  <c r="T121" i="1" s="1"/>
  <c r="P122" i="1"/>
  <c r="P123" i="1"/>
  <c r="P124" i="1"/>
  <c r="P125" i="1"/>
  <c r="P126" i="1"/>
  <c r="P127" i="1"/>
  <c r="T127" i="1" s="1"/>
  <c r="P128" i="1"/>
  <c r="P129" i="1"/>
  <c r="P130" i="1"/>
  <c r="P131" i="1"/>
  <c r="P132" i="1"/>
  <c r="P133" i="1"/>
  <c r="T133" i="1" s="1"/>
  <c r="P134" i="1"/>
  <c r="P135" i="1"/>
  <c r="P136" i="1"/>
  <c r="P137" i="1"/>
  <c r="P138" i="1"/>
  <c r="P139" i="1"/>
  <c r="T139" i="1" s="1"/>
  <c r="P140" i="1"/>
  <c r="P141" i="1"/>
  <c r="P142" i="1"/>
  <c r="P143" i="1"/>
  <c r="P144" i="1"/>
  <c r="P145" i="1"/>
  <c r="T145" i="1" s="1"/>
  <c r="P146" i="1"/>
  <c r="P147" i="1"/>
  <c r="P148" i="1"/>
  <c r="P149" i="1"/>
  <c r="P150" i="1"/>
  <c r="P151" i="1"/>
  <c r="T151" i="1" s="1"/>
  <c r="P152" i="1"/>
  <c r="P153" i="1"/>
  <c r="P154" i="1"/>
  <c r="P155" i="1"/>
  <c r="P156" i="1"/>
  <c r="P157" i="1"/>
  <c r="T157" i="1" s="1"/>
  <c r="P158" i="1"/>
  <c r="P159" i="1"/>
  <c r="P160" i="1"/>
  <c r="P161" i="1"/>
  <c r="P162" i="1"/>
  <c r="P163" i="1"/>
  <c r="T163" i="1" s="1"/>
  <c r="P164" i="1"/>
  <c r="P165" i="1"/>
  <c r="P166" i="1"/>
  <c r="P167" i="1"/>
  <c r="P168" i="1"/>
  <c r="P169" i="1"/>
  <c r="T169" i="1" s="1"/>
  <c r="P170" i="1"/>
  <c r="P171" i="1"/>
  <c r="P172" i="1"/>
  <c r="P173" i="1"/>
  <c r="P174" i="1"/>
  <c r="P175" i="1"/>
  <c r="T175" i="1" s="1"/>
  <c r="P176" i="1"/>
  <c r="P177" i="1"/>
  <c r="P178" i="1"/>
  <c r="P179" i="1"/>
  <c r="P180" i="1"/>
  <c r="P181" i="1"/>
  <c r="T181" i="1" s="1"/>
  <c r="P182" i="1"/>
  <c r="P183" i="1"/>
  <c r="P184" i="1"/>
  <c r="P185" i="1"/>
  <c r="P186" i="1"/>
  <c r="P187" i="1"/>
  <c r="T187" i="1" s="1"/>
  <c r="P188" i="1"/>
  <c r="P189" i="1"/>
  <c r="P190" i="1"/>
  <c r="P191" i="1"/>
  <c r="P192" i="1"/>
  <c r="P193" i="1"/>
  <c r="T193" i="1" s="1"/>
  <c r="P194" i="1"/>
  <c r="P195" i="1"/>
  <c r="P196" i="1"/>
  <c r="P197" i="1"/>
  <c r="P198" i="1"/>
  <c r="P199" i="1"/>
  <c r="T199" i="1" s="1"/>
  <c r="P200" i="1"/>
  <c r="P201" i="1"/>
  <c r="P202" i="1"/>
  <c r="P203" i="1"/>
  <c r="P204" i="1"/>
  <c r="P205" i="1"/>
  <c r="T205" i="1" s="1"/>
  <c r="P206" i="1"/>
  <c r="P207" i="1"/>
  <c r="P208" i="1"/>
  <c r="P209" i="1"/>
  <c r="P210" i="1"/>
  <c r="P211" i="1"/>
  <c r="T211" i="1" s="1"/>
  <c r="P212" i="1"/>
  <c r="P213" i="1"/>
  <c r="P214" i="1"/>
  <c r="P215" i="1"/>
  <c r="P216" i="1"/>
  <c r="P217" i="1"/>
  <c r="T217" i="1" s="1"/>
  <c r="P218" i="1"/>
  <c r="P219" i="1"/>
  <c r="P220" i="1"/>
  <c r="P221" i="1"/>
  <c r="P222" i="1"/>
  <c r="P223" i="1"/>
  <c r="T223" i="1" s="1"/>
  <c r="P224" i="1"/>
  <c r="P225" i="1"/>
  <c r="P226" i="1"/>
  <c r="P227" i="1"/>
  <c r="P228" i="1"/>
  <c r="P229" i="1"/>
  <c r="T229" i="1" s="1"/>
  <c r="P230" i="1"/>
  <c r="P231" i="1"/>
  <c r="P232" i="1"/>
  <c r="P233" i="1"/>
  <c r="P234" i="1"/>
  <c r="P235" i="1"/>
  <c r="T235" i="1" s="1"/>
  <c r="P236" i="1"/>
  <c r="P237" i="1"/>
  <c r="P238" i="1"/>
  <c r="P239" i="1"/>
  <c r="P240" i="1"/>
  <c r="P241" i="1"/>
  <c r="T241" i="1" s="1"/>
  <c r="P242" i="1"/>
  <c r="P243" i="1"/>
  <c r="P244" i="1"/>
  <c r="P245" i="1"/>
  <c r="P246" i="1"/>
  <c r="P247" i="1"/>
  <c r="T247" i="1" s="1"/>
  <c r="P248" i="1"/>
  <c r="P249" i="1"/>
  <c r="P250" i="1"/>
  <c r="P251" i="1"/>
  <c r="P252" i="1"/>
  <c r="P253" i="1"/>
  <c r="T253" i="1" s="1"/>
  <c r="P254" i="1"/>
  <c r="P255" i="1"/>
  <c r="P256" i="1"/>
  <c r="P257" i="1"/>
  <c r="P258" i="1"/>
  <c r="P259" i="1"/>
  <c r="T259" i="1" s="1"/>
  <c r="P260" i="1"/>
  <c r="P261" i="1"/>
  <c r="P262" i="1"/>
  <c r="P263" i="1"/>
  <c r="P264" i="1"/>
  <c r="P265" i="1"/>
  <c r="T265" i="1" s="1"/>
  <c r="P266" i="1"/>
  <c r="P267" i="1"/>
  <c r="P268" i="1"/>
  <c r="P269" i="1"/>
  <c r="P270" i="1"/>
  <c r="P271" i="1"/>
  <c r="T271" i="1" s="1"/>
  <c r="P272" i="1"/>
  <c r="P273" i="1"/>
  <c r="P274" i="1"/>
  <c r="P275" i="1"/>
  <c r="P276" i="1"/>
  <c r="P277" i="1"/>
  <c r="T277" i="1" s="1"/>
  <c r="P278" i="1"/>
  <c r="P279" i="1"/>
  <c r="P280" i="1"/>
  <c r="P281" i="1"/>
  <c r="P282" i="1"/>
  <c r="P283" i="1"/>
  <c r="T283" i="1" s="1"/>
  <c r="P284" i="1"/>
  <c r="P285" i="1"/>
  <c r="P286" i="1"/>
  <c r="P287" i="1"/>
  <c r="P288" i="1"/>
  <c r="P289" i="1"/>
  <c r="T289" i="1" s="1"/>
  <c r="P290" i="1"/>
  <c r="P291" i="1"/>
  <c r="P292" i="1"/>
  <c r="P293" i="1"/>
  <c r="P294" i="1"/>
  <c r="P295" i="1"/>
  <c r="T295" i="1" s="1"/>
  <c r="P296" i="1"/>
  <c r="P297" i="1"/>
  <c r="P298" i="1"/>
  <c r="P299" i="1"/>
  <c r="P300" i="1"/>
  <c r="P301" i="1"/>
  <c r="T301" i="1" s="1"/>
  <c r="P302" i="1"/>
  <c r="P303" i="1"/>
  <c r="P304" i="1"/>
  <c r="P305" i="1"/>
  <c r="P306" i="1"/>
  <c r="P307" i="1"/>
  <c r="T307" i="1" s="1"/>
  <c r="P308" i="1"/>
  <c r="P309" i="1"/>
  <c r="P310" i="1"/>
  <c r="P311" i="1"/>
  <c r="P312" i="1"/>
  <c r="P313" i="1"/>
  <c r="T313" i="1" s="1"/>
  <c r="P314" i="1"/>
  <c r="P315" i="1"/>
  <c r="P316" i="1"/>
  <c r="P317" i="1"/>
  <c r="P318" i="1"/>
  <c r="P319" i="1"/>
  <c r="T319" i="1" s="1"/>
  <c r="P320" i="1"/>
  <c r="P321" i="1"/>
  <c r="P322" i="1"/>
  <c r="P323" i="1"/>
  <c r="P324" i="1"/>
  <c r="P325" i="1"/>
  <c r="T325" i="1" s="1"/>
  <c r="P326" i="1"/>
  <c r="P327" i="1"/>
  <c r="P328" i="1"/>
  <c r="P329" i="1"/>
  <c r="P330" i="1"/>
  <c r="P331" i="1"/>
  <c r="T331" i="1" s="1"/>
  <c r="P332" i="1"/>
  <c r="P333" i="1"/>
  <c r="P334" i="1"/>
  <c r="P335" i="1"/>
  <c r="P336" i="1"/>
  <c r="P337" i="1"/>
  <c r="T337" i="1" s="1"/>
  <c r="P338" i="1"/>
  <c r="P339" i="1"/>
  <c r="P340" i="1"/>
  <c r="P341" i="1"/>
  <c r="P342" i="1"/>
  <c r="P343" i="1"/>
  <c r="T343" i="1" s="1"/>
  <c r="P344" i="1"/>
  <c r="P345" i="1"/>
  <c r="P346" i="1"/>
  <c r="P347" i="1"/>
  <c r="P348" i="1"/>
  <c r="P349" i="1"/>
  <c r="T349" i="1" s="1"/>
  <c r="P350" i="1"/>
  <c r="P351" i="1"/>
  <c r="P352" i="1"/>
  <c r="P353" i="1"/>
  <c r="P354" i="1"/>
  <c r="P355" i="1"/>
  <c r="T355" i="1" s="1"/>
  <c r="P356" i="1"/>
  <c r="P357" i="1"/>
  <c r="P358" i="1"/>
  <c r="P359" i="1"/>
  <c r="P360" i="1"/>
  <c r="P361" i="1"/>
  <c r="T361" i="1" s="1"/>
  <c r="P362" i="1"/>
  <c r="P363" i="1"/>
  <c r="P364" i="1"/>
  <c r="P365" i="1"/>
  <c r="P366" i="1"/>
  <c r="P367" i="1"/>
  <c r="T367" i="1" s="1"/>
  <c r="P368" i="1"/>
  <c r="P369" i="1"/>
  <c r="P370" i="1"/>
  <c r="P371" i="1"/>
  <c r="P372" i="1"/>
  <c r="P373" i="1"/>
  <c r="T373" i="1" s="1"/>
  <c r="P374" i="1"/>
  <c r="P375" i="1"/>
  <c r="P376" i="1"/>
  <c r="P377" i="1"/>
  <c r="P378" i="1"/>
  <c r="P379" i="1"/>
  <c r="T379" i="1" s="1"/>
  <c r="P380" i="1"/>
  <c r="P381" i="1"/>
  <c r="P382" i="1"/>
  <c r="P383" i="1"/>
  <c r="P384" i="1"/>
  <c r="P385" i="1"/>
  <c r="T385" i="1" s="1"/>
  <c r="P386" i="1"/>
  <c r="P387" i="1"/>
  <c r="P388" i="1"/>
  <c r="P389" i="1"/>
  <c r="P390" i="1"/>
  <c r="P391" i="1"/>
  <c r="T391" i="1" s="1"/>
  <c r="P392" i="1"/>
  <c r="P393" i="1"/>
  <c r="P394" i="1"/>
  <c r="P395" i="1"/>
  <c r="P396" i="1"/>
  <c r="P397" i="1"/>
  <c r="T397" i="1" s="1"/>
  <c r="P398" i="1"/>
  <c r="P399" i="1"/>
  <c r="P400" i="1"/>
  <c r="P401" i="1"/>
  <c r="P402" i="1"/>
  <c r="P403" i="1"/>
  <c r="T403" i="1" s="1"/>
  <c r="P404" i="1"/>
  <c r="P405" i="1"/>
  <c r="P406" i="1"/>
  <c r="P407" i="1"/>
  <c r="P408" i="1"/>
  <c r="P409" i="1"/>
  <c r="T409" i="1" s="1"/>
  <c r="P410" i="1"/>
  <c r="P411" i="1"/>
  <c r="P412" i="1"/>
  <c r="P413" i="1"/>
  <c r="P414" i="1"/>
  <c r="P415" i="1"/>
  <c r="T415" i="1" s="1"/>
  <c r="P416" i="1"/>
  <c r="P417" i="1"/>
  <c r="P418" i="1"/>
  <c r="P419" i="1"/>
  <c r="P420" i="1"/>
  <c r="P421" i="1"/>
  <c r="T421" i="1" s="1"/>
  <c r="P422" i="1"/>
  <c r="P423" i="1"/>
  <c r="P424" i="1"/>
  <c r="P425" i="1"/>
  <c r="P426" i="1"/>
  <c r="P427" i="1"/>
  <c r="T427" i="1" s="1"/>
  <c r="P428" i="1"/>
  <c r="P429" i="1"/>
  <c r="P430" i="1"/>
  <c r="P431" i="1"/>
  <c r="P432" i="1"/>
  <c r="P433" i="1"/>
  <c r="T433" i="1" s="1"/>
  <c r="P434" i="1"/>
  <c r="P435" i="1"/>
  <c r="P436" i="1"/>
  <c r="P437" i="1"/>
  <c r="P438" i="1"/>
  <c r="P439" i="1"/>
  <c r="T439" i="1" s="1"/>
  <c r="P440" i="1"/>
  <c r="P441" i="1"/>
  <c r="P442" i="1"/>
  <c r="P443" i="1"/>
  <c r="P444" i="1"/>
  <c r="P445" i="1"/>
  <c r="T445" i="1" s="1"/>
  <c r="P446" i="1"/>
  <c r="P447" i="1"/>
  <c r="P448" i="1"/>
  <c r="P449" i="1"/>
  <c r="P450" i="1"/>
  <c r="P451" i="1"/>
  <c r="T451" i="1" s="1"/>
  <c r="P452" i="1"/>
  <c r="P453" i="1"/>
  <c r="P454" i="1"/>
  <c r="P455" i="1"/>
  <c r="P456" i="1"/>
  <c r="P457" i="1"/>
  <c r="T457" i="1" s="1"/>
  <c r="P458" i="1"/>
  <c r="P459" i="1"/>
  <c r="P460" i="1"/>
  <c r="P461" i="1"/>
  <c r="P462" i="1"/>
  <c r="P463" i="1"/>
  <c r="T463" i="1" s="1"/>
  <c r="P464" i="1"/>
  <c r="P465" i="1"/>
  <c r="P466" i="1"/>
  <c r="P467" i="1"/>
  <c r="P468" i="1"/>
  <c r="P469" i="1"/>
  <c r="T469" i="1" s="1"/>
  <c r="P470" i="1"/>
  <c r="P471" i="1"/>
  <c r="P472" i="1"/>
  <c r="P473" i="1"/>
  <c r="P474" i="1"/>
  <c r="P475" i="1"/>
  <c r="T475" i="1" s="1"/>
  <c r="P476" i="1"/>
  <c r="P477" i="1"/>
  <c r="P478" i="1"/>
  <c r="P479" i="1"/>
  <c r="P480" i="1"/>
  <c r="P481" i="1"/>
  <c r="T481" i="1" s="1"/>
  <c r="P482" i="1"/>
  <c r="P483" i="1"/>
  <c r="P484" i="1"/>
  <c r="P485" i="1"/>
  <c r="P486" i="1"/>
  <c r="P487" i="1"/>
  <c r="T487" i="1" s="1"/>
  <c r="P488" i="1"/>
  <c r="P489" i="1"/>
  <c r="P490" i="1"/>
  <c r="P491" i="1"/>
  <c r="P492" i="1"/>
  <c r="P493" i="1"/>
  <c r="T493" i="1" s="1"/>
  <c r="P494" i="1"/>
  <c r="P495" i="1"/>
  <c r="P496" i="1"/>
  <c r="P497" i="1"/>
  <c r="P498" i="1"/>
  <c r="P499" i="1"/>
  <c r="T499" i="1" s="1"/>
  <c r="P500" i="1"/>
  <c r="P501" i="1"/>
  <c r="P502" i="1"/>
  <c r="P503" i="1"/>
  <c r="P504" i="1"/>
  <c r="P505" i="1"/>
  <c r="T505" i="1" s="1"/>
  <c r="P506" i="1"/>
  <c r="P507" i="1"/>
  <c r="P508" i="1"/>
  <c r="P509" i="1"/>
  <c r="P510" i="1"/>
  <c r="P511" i="1"/>
  <c r="T511" i="1" s="1"/>
  <c r="P512" i="1"/>
  <c r="P513" i="1"/>
  <c r="P514" i="1"/>
  <c r="P515" i="1"/>
  <c r="P516" i="1"/>
  <c r="P517" i="1"/>
  <c r="T517" i="1" s="1"/>
  <c r="P518" i="1"/>
  <c r="P519" i="1"/>
  <c r="P520" i="1"/>
  <c r="P521" i="1"/>
  <c r="P522" i="1"/>
  <c r="P523" i="1"/>
  <c r="T523" i="1" s="1"/>
  <c r="P524" i="1"/>
  <c r="P525" i="1"/>
  <c r="P526" i="1"/>
  <c r="P527" i="1"/>
  <c r="P528" i="1"/>
  <c r="P529" i="1"/>
  <c r="T529" i="1" s="1"/>
  <c r="P530" i="1"/>
  <c r="P531" i="1"/>
  <c r="P532" i="1"/>
  <c r="P533" i="1"/>
  <c r="P534" i="1"/>
  <c r="P535" i="1"/>
  <c r="T535" i="1" s="1"/>
  <c r="P536" i="1"/>
  <c r="P537" i="1"/>
  <c r="P538" i="1"/>
  <c r="P539" i="1"/>
  <c r="P540" i="1"/>
  <c r="P541" i="1"/>
  <c r="T541" i="1" s="1"/>
  <c r="P542" i="1"/>
  <c r="P543" i="1"/>
  <c r="P544" i="1"/>
  <c r="P545" i="1"/>
  <c r="P546" i="1"/>
  <c r="P547" i="1"/>
  <c r="T547" i="1" s="1"/>
  <c r="P548" i="1"/>
  <c r="P549" i="1"/>
  <c r="P550" i="1"/>
  <c r="P551" i="1"/>
  <c r="P552" i="1"/>
  <c r="P553" i="1"/>
  <c r="T553" i="1" s="1"/>
  <c r="P554" i="1"/>
  <c r="P555" i="1"/>
  <c r="P556" i="1"/>
  <c r="P557" i="1"/>
  <c r="P558" i="1"/>
  <c r="P559" i="1"/>
  <c r="T559" i="1" s="1"/>
  <c r="P560" i="1"/>
  <c r="P561" i="1"/>
  <c r="P562" i="1"/>
  <c r="P563" i="1"/>
  <c r="P564" i="1"/>
  <c r="P565" i="1"/>
  <c r="T565" i="1" s="1"/>
  <c r="P566" i="1"/>
  <c r="P567" i="1"/>
  <c r="P568" i="1"/>
  <c r="P569" i="1"/>
  <c r="P570" i="1"/>
  <c r="P571" i="1"/>
  <c r="T571" i="1" s="1"/>
  <c r="P572" i="1"/>
  <c r="P573" i="1"/>
  <c r="P574" i="1"/>
  <c r="P575" i="1"/>
  <c r="P576" i="1"/>
  <c r="P577" i="1"/>
  <c r="T577" i="1" s="1"/>
  <c r="P578" i="1"/>
  <c r="P579" i="1"/>
  <c r="P580" i="1"/>
  <c r="P581" i="1"/>
  <c r="P582" i="1"/>
  <c r="P583" i="1"/>
  <c r="T583" i="1" s="1"/>
  <c r="P584" i="1"/>
  <c r="P585" i="1"/>
  <c r="P586" i="1"/>
  <c r="P587" i="1"/>
  <c r="P588" i="1"/>
  <c r="P589" i="1"/>
  <c r="T589" i="1" s="1"/>
  <c r="P590" i="1"/>
  <c r="P591" i="1"/>
  <c r="P592" i="1"/>
  <c r="P593" i="1"/>
  <c r="P594" i="1"/>
  <c r="P595" i="1"/>
  <c r="T595" i="1" s="1"/>
  <c r="P596" i="1"/>
  <c r="P597" i="1"/>
  <c r="P598" i="1"/>
  <c r="P599" i="1"/>
  <c r="P600" i="1"/>
  <c r="P601" i="1"/>
  <c r="T601" i="1" s="1"/>
  <c r="P602" i="1"/>
  <c r="P603" i="1"/>
  <c r="P604" i="1"/>
  <c r="P605" i="1"/>
  <c r="P606" i="1"/>
  <c r="P607" i="1"/>
  <c r="T607" i="1" s="1"/>
  <c r="P608" i="1"/>
  <c r="P609" i="1"/>
  <c r="P610" i="1"/>
  <c r="P611" i="1"/>
  <c r="P612" i="1"/>
  <c r="P613" i="1"/>
  <c r="T613" i="1" s="1"/>
  <c r="P614" i="1"/>
  <c r="P615" i="1"/>
  <c r="P616" i="1"/>
  <c r="P617" i="1"/>
  <c r="P618" i="1"/>
  <c r="P619" i="1"/>
  <c r="T619" i="1" s="1"/>
  <c r="P620" i="1"/>
  <c r="P621" i="1"/>
  <c r="P622" i="1"/>
  <c r="P623" i="1"/>
  <c r="P624" i="1"/>
  <c r="P625" i="1"/>
  <c r="T625" i="1" s="1"/>
  <c r="P626" i="1"/>
  <c r="P627" i="1"/>
  <c r="P628" i="1"/>
  <c r="P629" i="1"/>
  <c r="P630" i="1"/>
  <c r="P631" i="1"/>
  <c r="T631" i="1" s="1"/>
  <c r="P632" i="1"/>
  <c r="P633" i="1"/>
  <c r="P634" i="1"/>
  <c r="P635" i="1"/>
  <c r="P636" i="1"/>
  <c r="P637" i="1"/>
  <c r="T637" i="1" s="1"/>
  <c r="P638" i="1"/>
  <c r="P639" i="1"/>
  <c r="P640" i="1"/>
  <c r="P641" i="1"/>
  <c r="P642" i="1"/>
  <c r="P643" i="1"/>
  <c r="T643" i="1" s="1"/>
  <c r="P644" i="1"/>
  <c r="P645" i="1"/>
  <c r="P646" i="1"/>
  <c r="P647" i="1"/>
  <c r="P648" i="1"/>
  <c r="P649" i="1"/>
  <c r="T649" i="1" s="1"/>
  <c r="P650" i="1"/>
  <c r="P651" i="1"/>
  <c r="P652" i="1"/>
  <c r="P653" i="1"/>
  <c r="P654" i="1"/>
  <c r="P655" i="1"/>
  <c r="T655" i="1" s="1"/>
  <c r="P656" i="1"/>
  <c r="P657" i="1"/>
  <c r="P658" i="1"/>
  <c r="P659" i="1"/>
  <c r="P660" i="1"/>
  <c r="P661" i="1"/>
  <c r="T661" i="1" s="1"/>
  <c r="P662" i="1"/>
  <c r="P663" i="1"/>
  <c r="P664" i="1"/>
  <c r="P665" i="1"/>
  <c r="P666" i="1"/>
  <c r="P667" i="1"/>
  <c r="T667" i="1" s="1"/>
  <c r="P668" i="1"/>
  <c r="P669" i="1"/>
  <c r="P670" i="1"/>
  <c r="P671" i="1"/>
  <c r="P672" i="1"/>
  <c r="P673" i="1"/>
  <c r="T673" i="1" s="1"/>
  <c r="P674" i="1"/>
  <c r="P675" i="1"/>
  <c r="P676" i="1"/>
  <c r="P677" i="1"/>
  <c r="P678" i="1"/>
  <c r="P679" i="1"/>
  <c r="T679" i="1" s="1"/>
  <c r="P680" i="1"/>
  <c r="P681" i="1"/>
  <c r="P682" i="1"/>
  <c r="P683" i="1"/>
  <c r="P684" i="1"/>
  <c r="P685" i="1"/>
  <c r="T685" i="1" s="1"/>
  <c r="P686" i="1"/>
  <c r="P687" i="1"/>
  <c r="P688" i="1"/>
  <c r="P689" i="1"/>
  <c r="P690" i="1"/>
  <c r="P691" i="1"/>
  <c r="T691" i="1" s="1"/>
  <c r="P692" i="1"/>
  <c r="P693" i="1"/>
  <c r="P694" i="1"/>
  <c r="P695" i="1"/>
  <c r="P696" i="1"/>
  <c r="P697" i="1"/>
  <c r="T697" i="1" s="1"/>
  <c r="P698" i="1"/>
  <c r="P699" i="1"/>
  <c r="P700" i="1"/>
  <c r="P701" i="1"/>
  <c r="P702" i="1"/>
  <c r="P703" i="1"/>
  <c r="T703" i="1" s="1"/>
  <c r="P704" i="1"/>
  <c r="P705" i="1"/>
  <c r="P706" i="1"/>
  <c r="P707" i="1"/>
  <c r="P708" i="1"/>
  <c r="P709" i="1"/>
  <c r="T709" i="1" s="1"/>
  <c r="P710" i="1"/>
  <c r="P711" i="1"/>
  <c r="P712" i="1"/>
  <c r="P713" i="1"/>
  <c r="P714" i="1"/>
  <c r="P715" i="1"/>
  <c r="T715" i="1" s="1"/>
  <c r="P716" i="1"/>
  <c r="P717" i="1"/>
  <c r="P718" i="1"/>
  <c r="P719" i="1"/>
  <c r="P720" i="1"/>
  <c r="P721" i="1"/>
  <c r="T721" i="1" s="1"/>
  <c r="P722" i="1"/>
  <c r="P723" i="1"/>
  <c r="P724" i="1"/>
  <c r="P725" i="1"/>
  <c r="P726" i="1"/>
  <c r="P727" i="1"/>
  <c r="T727" i="1" s="1"/>
  <c r="P728" i="1"/>
  <c r="P729" i="1"/>
  <c r="P730" i="1"/>
  <c r="P731" i="1"/>
  <c r="P732" i="1"/>
  <c r="P733" i="1"/>
  <c r="T733" i="1" s="1"/>
  <c r="P734" i="1"/>
  <c r="P735" i="1"/>
  <c r="P736" i="1"/>
  <c r="P737" i="1"/>
  <c r="P738" i="1"/>
  <c r="P739" i="1"/>
  <c r="T739" i="1" s="1"/>
  <c r="P740" i="1"/>
  <c r="P741" i="1"/>
  <c r="P742" i="1"/>
  <c r="P743" i="1"/>
  <c r="P744" i="1"/>
  <c r="P745" i="1"/>
  <c r="T745" i="1" s="1"/>
  <c r="P746" i="1"/>
  <c r="P747" i="1"/>
  <c r="P748" i="1"/>
  <c r="P749" i="1"/>
  <c r="P750" i="1"/>
  <c r="P751" i="1"/>
  <c r="T751" i="1" s="1"/>
  <c r="P752" i="1"/>
  <c r="P753" i="1"/>
  <c r="P754" i="1"/>
  <c r="P755" i="1"/>
  <c r="P756" i="1"/>
  <c r="P757" i="1"/>
  <c r="T757" i="1" s="1"/>
  <c r="P758" i="1"/>
  <c r="P759" i="1"/>
  <c r="P760" i="1"/>
  <c r="P761" i="1"/>
  <c r="P762" i="1"/>
  <c r="P763" i="1"/>
  <c r="T763" i="1" s="1"/>
  <c r="P764" i="1"/>
  <c r="P765" i="1"/>
  <c r="P766" i="1"/>
  <c r="P767" i="1"/>
  <c r="P768" i="1"/>
  <c r="P769" i="1"/>
  <c r="T769" i="1" s="1"/>
  <c r="P770" i="1"/>
  <c r="P771" i="1"/>
  <c r="P772" i="1"/>
  <c r="P773" i="1"/>
  <c r="P774" i="1"/>
  <c r="P775" i="1"/>
  <c r="T775" i="1" s="1"/>
  <c r="P776" i="1"/>
  <c r="P777" i="1"/>
  <c r="P778" i="1"/>
  <c r="P779" i="1"/>
  <c r="P780" i="1"/>
  <c r="P781" i="1"/>
  <c r="T781" i="1" s="1"/>
  <c r="P782" i="1"/>
  <c r="P783" i="1"/>
  <c r="P784" i="1"/>
  <c r="P785" i="1"/>
  <c r="P786" i="1"/>
  <c r="P787" i="1"/>
  <c r="T787" i="1" s="1"/>
  <c r="P788" i="1"/>
  <c r="P789" i="1"/>
  <c r="P790" i="1"/>
  <c r="P791" i="1"/>
  <c r="P792" i="1"/>
  <c r="P793" i="1"/>
  <c r="T793" i="1" s="1"/>
  <c r="P794" i="1"/>
  <c r="P795" i="1"/>
  <c r="P796" i="1"/>
  <c r="P797" i="1"/>
  <c r="P798" i="1"/>
  <c r="P799" i="1"/>
  <c r="T799" i="1" s="1"/>
  <c r="P800" i="1"/>
  <c r="P801" i="1"/>
  <c r="P802" i="1"/>
  <c r="P803" i="1"/>
  <c r="P804" i="1"/>
  <c r="P805" i="1"/>
  <c r="T805" i="1" s="1"/>
  <c r="P806" i="1"/>
  <c r="P807" i="1"/>
  <c r="P808" i="1"/>
  <c r="P809" i="1"/>
  <c r="P810" i="1"/>
  <c r="P811" i="1"/>
  <c r="T811" i="1" s="1"/>
  <c r="P812" i="1"/>
  <c r="P813" i="1"/>
  <c r="P814" i="1"/>
  <c r="P815" i="1"/>
  <c r="P816" i="1"/>
  <c r="P817" i="1"/>
  <c r="T817" i="1" s="1"/>
  <c r="P818" i="1"/>
  <c r="P819" i="1"/>
  <c r="P820" i="1"/>
  <c r="P821" i="1"/>
  <c r="P822" i="1"/>
  <c r="P823" i="1"/>
  <c r="T823" i="1" s="1"/>
  <c r="P824" i="1"/>
  <c r="P825" i="1"/>
  <c r="P826" i="1"/>
  <c r="P827" i="1"/>
  <c r="P828" i="1"/>
  <c r="P829" i="1"/>
  <c r="T829" i="1" s="1"/>
  <c r="P830" i="1"/>
  <c r="P831" i="1"/>
  <c r="P832" i="1"/>
  <c r="P833" i="1"/>
  <c r="P834" i="1"/>
  <c r="P835" i="1"/>
  <c r="T835" i="1" s="1"/>
  <c r="P836" i="1"/>
  <c r="P837" i="1"/>
  <c r="P838" i="1"/>
  <c r="P839" i="1"/>
  <c r="P840" i="1"/>
  <c r="P841" i="1"/>
  <c r="T841" i="1" s="1"/>
  <c r="P842" i="1"/>
  <c r="P843" i="1"/>
  <c r="P844" i="1"/>
  <c r="P845" i="1"/>
  <c r="P846" i="1"/>
  <c r="P847" i="1"/>
  <c r="T847" i="1" s="1"/>
  <c r="P848" i="1"/>
  <c r="P849" i="1"/>
  <c r="P850" i="1"/>
  <c r="P851" i="1"/>
  <c r="P852" i="1"/>
  <c r="P853" i="1"/>
  <c r="T853" i="1" s="1"/>
  <c r="P854" i="1"/>
  <c r="P855" i="1"/>
  <c r="P856" i="1"/>
  <c r="P857" i="1"/>
  <c r="P858" i="1"/>
  <c r="P859" i="1"/>
  <c r="T859" i="1" s="1"/>
  <c r="P860" i="1"/>
  <c r="P861" i="1"/>
  <c r="P862" i="1"/>
  <c r="P863" i="1"/>
  <c r="P864" i="1"/>
  <c r="P865" i="1"/>
  <c r="T865" i="1" s="1"/>
  <c r="P866" i="1"/>
  <c r="P867" i="1"/>
  <c r="P868" i="1"/>
  <c r="P869" i="1"/>
  <c r="P870" i="1"/>
  <c r="P871" i="1"/>
  <c r="T871" i="1" s="1"/>
  <c r="P872" i="1"/>
  <c r="P873" i="1"/>
  <c r="P874" i="1"/>
  <c r="P875" i="1"/>
  <c r="P876" i="1"/>
  <c r="P877" i="1"/>
  <c r="T877" i="1" s="1"/>
  <c r="P878" i="1"/>
  <c r="P879" i="1"/>
  <c r="P880" i="1"/>
  <c r="P881" i="1"/>
  <c r="P882" i="1"/>
  <c r="P883" i="1"/>
  <c r="T883" i="1" s="1"/>
  <c r="P884" i="1"/>
  <c r="P885" i="1"/>
  <c r="P886" i="1"/>
  <c r="P887" i="1"/>
  <c r="P888" i="1"/>
  <c r="P889" i="1"/>
  <c r="T889" i="1" s="1"/>
  <c r="P890" i="1"/>
  <c r="P891" i="1"/>
  <c r="P892" i="1"/>
  <c r="P893" i="1"/>
  <c r="P894" i="1"/>
  <c r="P895" i="1"/>
  <c r="T895" i="1" s="1"/>
  <c r="P896" i="1"/>
  <c r="P897" i="1"/>
  <c r="P898" i="1"/>
  <c r="P899" i="1"/>
  <c r="P900" i="1"/>
  <c r="P901" i="1"/>
  <c r="T901" i="1" s="1"/>
  <c r="P902" i="1"/>
  <c r="P903" i="1"/>
  <c r="P904" i="1"/>
  <c r="P905" i="1"/>
  <c r="P906" i="1"/>
  <c r="P907" i="1"/>
  <c r="T907" i="1" s="1"/>
  <c r="P908" i="1"/>
  <c r="P909" i="1"/>
  <c r="P910" i="1"/>
  <c r="P911" i="1"/>
  <c r="P912" i="1"/>
  <c r="P913" i="1"/>
  <c r="T913" i="1" s="1"/>
  <c r="P914" i="1"/>
  <c r="P915" i="1"/>
  <c r="P916" i="1"/>
  <c r="P917" i="1"/>
  <c r="P918" i="1"/>
  <c r="P919" i="1"/>
  <c r="T919" i="1" s="1"/>
  <c r="P920" i="1"/>
  <c r="P921" i="1"/>
  <c r="P922" i="1"/>
  <c r="P923" i="1"/>
  <c r="P924" i="1"/>
  <c r="P925" i="1"/>
  <c r="T925" i="1" s="1"/>
  <c r="P926" i="1"/>
  <c r="P927" i="1"/>
  <c r="P928" i="1"/>
  <c r="P929" i="1"/>
  <c r="P930" i="1"/>
  <c r="P931" i="1"/>
  <c r="T931" i="1" s="1"/>
  <c r="P932" i="1"/>
  <c r="P933" i="1"/>
  <c r="P934" i="1"/>
  <c r="P935" i="1"/>
  <c r="P936" i="1"/>
  <c r="P937" i="1"/>
  <c r="T937" i="1" s="1"/>
  <c r="P938" i="1"/>
  <c r="P939" i="1"/>
  <c r="P940" i="1"/>
  <c r="P941" i="1"/>
  <c r="P942" i="1"/>
  <c r="P943" i="1"/>
  <c r="T943" i="1" s="1"/>
  <c r="P944" i="1"/>
  <c r="P945" i="1"/>
  <c r="P946" i="1"/>
  <c r="P947" i="1"/>
  <c r="P948" i="1"/>
  <c r="P949" i="1"/>
  <c r="T949" i="1" s="1"/>
  <c r="P950" i="1"/>
  <c r="P951" i="1"/>
  <c r="P952" i="1"/>
  <c r="P953" i="1"/>
  <c r="P954" i="1"/>
  <c r="P955" i="1"/>
  <c r="T955" i="1" s="1"/>
  <c r="P956" i="1"/>
  <c r="P957" i="1"/>
  <c r="P958" i="1"/>
  <c r="P959" i="1"/>
  <c r="P960" i="1"/>
  <c r="P961" i="1"/>
  <c r="T961" i="1" s="1"/>
  <c r="P962" i="1"/>
  <c r="P963" i="1"/>
  <c r="P964" i="1"/>
  <c r="P965" i="1"/>
  <c r="P966" i="1"/>
  <c r="P967" i="1"/>
  <c r="T967" i="1" s="1"/>
  <c r="P968" i="1"/>
  <c r="P969" i="1"/>
  <c r="P970" i="1"/>
  <c r="P971" i="1"/>
  <c r="P972" i="1"/>
  <c r="P973" i="1"/>
  <c r="T973" i="1" s="1"/>
  <c r="P974" i="1"/>
  <c r="P975" i="1"/>
  <c r="P976" i="1"/>
  <c r="P977" i="1"/>
  <c r="P978" i="1"/>
  <c r="P979" i="1"/>
  <c r="T979" i="1" s="1"/>
  <c r="P980" i="1"/>
  <c r="P981" i="1"/>
  <c r="P982" i="1"/>
  <c r="P983" i="1"/>
  <c r="P984" i="1"/>
  <c r="P985" i="1"/>
  <c r="T985" i="1" s="1"/>
  <c r="P986" i="1"/>
  <c r="P987" i="1"/>
  <c r="P988" i="1"/>
  <c r="P989" i="1"/>
  <c r="P990" i="1"/>
  <c r="P991" i="1"/>
  <c r="T991" i="1" s="1"/>
  <c r="P992" i="1"/>
  <c r="P993" i="1"/>
  <c r="P994" i="1"/>
  <c r="P995" i="1"/>
  <c r="P996" i="1"/>
  <c r="P997" i="1"/>
  <c r="T997" i="1" s="1"/>
  <c r="P998" i="1"/>
  <c r="P999" i="1"/>
  <c r="P1000" i="1"/>
  <c r="P1001" i="1"/>
  <c r="P1002" i="1"/>
  <c r="P1003" i="1"/>
  <c r="T1003" i="1" s="1"/>
  <c r="P1004" i="1"/>
  <c r="P1005" i="1"/>
  <c r="P1006" i="1"/>
  <c r="P1007" i="1"/>
  <c r="P1008" i="1"/>
  <c r="P1009" i="1"/>
  <c r="T1009" i="1" s="1"/>
  <c r="P1010" i="1"/>
  <c r="P1011" i="1"/>
  <c r="P1012" i="1"/>
  <c r="P1013" i="1"/>
  <c r="P1014" i="1"/>
  <c r="P1015" i="1"/>
  <c r="T1015" i="1" s="1"/>
  <c r="P1016" i="1"/>
  <c r="P1017" i="1"/>
  <c r="P1018" i="1"/>
  <c r="P1019" i="1"/>
  <c r="P1020" i="1"/>
  <c r="P1021" i="1"/>
  <c r="T1021" i="1" s="1"/>
  <c r="P1022" i="1"/>
  <c r="P1023" i="1"/>
  <c r="P1024" i="1"/>
  <c r="P1025" i="1"/>
  <c r="P1026" i="1"/>
  <c r="P1027" i="1"/>
  <c r="T1027" i="1" s="1"/>
  <c r="P1028" i="1"/>
  <c r="P1029" i="1"/>
  <c r="P1030" i="1"/>
  <c r="P1031" i="1"/>
  <c r="P1032" i="1"/>
  <c r="P1033" i="1"/>
  <c r="T1033" i="1" s="1"/>
  <c r="P1034" i="1"/>
  <c r="P1035" i="1"/>
  <c r="P1036" i="1"/>
  <c r="P1037" i="1"/>
  <c r="P1038" i="1"/>
  <c r="P1039" i="1"/>
  <c r="T1039" i="1" s="1"/>
  <c r="P1040" i="1"/>
  <c r="P1041" i="1"/>
  <c r="P1042" i="1"/>
  <c r="P1043" i="1"/>
  <c r="P1044" i="1"/>
  <c r="P1045" i="1"/>
  <c r="T1045" i="1" s="1"/>
  <c r="P1046" i="1"/>
  <c r="P1047" i="1"/>
  <c r="P1048" i="1"/>
  <c r="P1049" i="1"/>
  <c r="P1050" i="1"/>
  <c r="P1051" i="1"/>
  <c r="T1051" i="1" s="1"/>
  <c r="P1052" i="1"/>
  <c r="P1053" i="1"/>
  <c r="P1054" i="1"/>
  <c r="P1055" i="1"/>
  <c r="P1056" i="1"/>
  <c r="P1057" i="1"/>
  <c r="T1057" i="1" s="1"/>
  <c r="P1058" i="1"/>
  <c r="P1059" i="1"/>
  <c r="P1060" i="1"/>
  <c r="P1061" i="1"/>
  <c r="P1062" i="1"/>
  <c r="P1063" i="1"/>
  <c r="T1063" i="1" s="1"/>
  <c r="P1064" i="1"/>
  <c r="P1065" i="1"/>
  <c r="P1066" i="1"/>
  <c r="P1067" i="1"/>
  <c r="P1068" i="1"/>
  <c r="P1069" i="1"/>
  <c r="T1069" i="1" s="1"/>
  <c r="P1070" i="1"/>
  <c r="P1071" i="1"/>
  <c r="P1072" i="1"/>
  <c r="P1073" i="1"/>
  <c r="P1074" i="1"/>
  <c r="P1075" i="1"/>
  <c r="T1075" i="1" s="1"/>
  <c r="P1076" i="1"/>
  <c r="P1077" i="1"/>
  <c r="P1078" i="1"/>
  <c r="P1079" i="1"/>
  <c r="P1080" i="1"/>
  <c r="P1081" i="1"/>
  <c r="T1081" i="1" s="1"/>
  <c r="P1082" i="1"/>
  <c r="P1083" i="1"/>
  <c r="P1084" i="1"/>
  <c r="P1085" i="1"/>
  <c r="P1086" i="1"/>
  <c r="P1087" i="1"/>
  <c r="T1087" i="1" s="1"/>
  <c r="P1088" i="1"/>
  <c r="P1089" i="1"/>
  <c r="P1090" i="1"/>
  <c r="P1091" i="1"/>
  <c r="P1092" i="1"/>
  <c r="P1093" i="1"/>
  <c r="T1093" i="1" s="1"/>
  <c r="P1094" i="1"/>
  <c r="P1095" i="1"/>
  <c r="P1096" i="1"/>
  <c r="P1097" i="1"/>
  <c r="P1098" i="1"/>
  <c r="P1099" i="1"/>
  <c r="T1099" i="1" s="1"/>
  <c r="P1100" i="1"/>
  <c r="P1101" i="1"/>
  <c r="P1102" i="1"/>
  <c r="P1103" i="1"/>
  <c r="P1104" i="1"/>
  <c r="P1105" i="1"/>
  <c r="T1105" i="1" s="1"/>
  <c r="P1106" i="1"/>
  <c r="P1107" i="1"/>
  <c r="P1108" i="1"/>
  <c r="P1109" i="1"/>
  <c r="P1110" i="1"/>
  <c r="P1111" i="1"/>
  <c r="T1111" i="1" s="1"/>
  <c r="P1112" i="1"/>
  <c r="P1113" i="1"/>
  <c r="P1114" i="1"/>
  <c r="P1115" i="1"/>
  <c r="P1116" i="1"/>
  <c r="P1117" i="1"/>
  <c r="T1117" i="1" s="1"/>
  <c r="P1118" i="1"/>
  <c r="P1119" i="1"/>
  <c r="P1120" i="1"/>
  <c r="P1121" i="1"/>
  <c r="P1122" i="1"/>
  <c r="P1123" i="1"/>
  <c r="T1123" i="1" s="1"/>
  <c r="P1124" i="1"/>
  <c r="P1125" i="1"/>
  <c r="P1126" i="1"/>
  <c r="P1127" i="1"/>
  <c r="P1128" i="1"/>
  <c r="P1129" i="1"/>
  <c r="T1129" i="1" s="1"/>
  <c r="P1130" i="1"/>
  <c r="P1131" i="1"/>
  <c r="P1132" i="1"/>
  <c r="P1133" i="1"/>
  <c r="P1134" i="1"/>
  <c r="P1135" i="1"/>
  <c r="T1135" i="1" s="1"/>
  <c r="P1136" i="1"/>
  <c r="P1137" i="1"/>
  <c r="P1138" i="1"/>
  <c r="P1139" i="1"/>
  <c r="P1140" i="1"/>
  <c r="P1141" i="1"/>
  <c r="T1141" i="1" s="1"/>
  <c r="P1142" i="1"/>
  <c r="P1143" i="1"/>
  <c r="P1144" i="1"/>
  <c r="P1145" i="1"/>
  <c r="P1146" i="1"/>
  <c r="P1147" i="1"/>
  <c r="T1147" i="1" s="1"/>
  <c r="P1148" i="1"/>
  <c r="P1149" i="1"/>
  <c r="P1150" i="1"/>
  <c r="P1151" i="1"/>
  <c r="P1152" i="1"/>
  <c r="P1153" i="1"/>
  <c r="T1153" i="1" s="1"/>
  <c r="P1154" i="1"/>
  <c r="P1155" i="1"/>
  <c r="P1156" i="1"/>
  <c r="P1157" i="1"/>
  <c r="P1158" i="1"/>
  <c r="P1159" i="1"/>
  <c r="T1159" i="1" s="1"/>
  <c r="P1160" i="1"/>
  <c r="P1161" i="1"/>
  <c r="P1162" i="1"/>
  <c r="P1163" i="1"/>
  <c r="P1164" i="1"/>
  <c r="P1165" i="1"/>
  <c r="T1165" i="1" s="1"/>
  <c r="P1166" i="1"/>
  <c r="P1167" i="1"/>
  <c r="P1168" i="1"/>
  <c r="P1169" i="1"/>
  <c r="P1170" i="1"/>
  <c r="P1171" i="1"/>
  <c r="T1171" i="1" s="1"/>
  <c r="P1172" i="1"/>
  <c r="P1173" i="1"/>
  <c r="P1174" i="1"/>
  <c r="P1175" i="1"/>
  <c r="P1176" i="1"/>
  <c r="P1177" i="1"/>
  <c r="T1177" i="1" s="1"/>
  <c r="P1178" i="1"/>
  <c r="P1179" i="1"/>
  <c r="P1180" i="1"/>
  <c r="P1181" i="1"/>
  <c r="P1182" i="1"/>
  <c r="P1183" i="1"/>
  <c r="T1183" i="1" s="1"/>
  <c r="P1184" i="1"/>
  <c r="P1185" i="1"/>
  <c r="P1186" i="1"/>
  <c r="P1187" i="1"/>
  <c r="P1188" i="1"/>
  <c r="P1189" i="1"/>
  <c r="T1189" i="1" s="1"/>
  <c r="P1190" i="1"/>
  <c r="P1191" i="1"/>
  <c r="P1192" i="1"/>
  <c r="P1193" i="1"/>
  <c r="P1194" i="1"/>
  <c r="P1195" i="1"/>
  <c r="T1195" i="1" s="1"/>
  <c r="P1196" i="1"/>
  <c r="P1197" i="1"/>
  <c r="P1198" i="1"/>
  <c r="P1199" i="1"/>
  <c r="P1200" i="1"/>
  <c r="P1201" i="1"/>
  <c r="T1201" i="1" s="1"/>
  <c r="P1202" i="1"/>
  <c r="P1203" i="1"/>
  <c r="P1204" i="1"/>
  <c r="P1205" i="1"/>
  <c r="P1206" i="1"/>
  <c r="P1207" i="1"/>
  <c r="T1207" i="1" s="1"/>
  <c r="P1208" i="1"/>
  <c r="P1209" i="1"/>
  <c r="P1210" i="1"/>
  <c r="P1211" i="1"/>
  <c r="P1212" i="1"/>
  <c r="P1213" i="1"/>
  <c r="T1213" i="1" s="1"/>
  <c r="P1214" i="1"/>
  <c r="P1215" i="1"/>
  <c r="P1216" i="1"/>
  <c r="P1217" i="1"/>
  <c r="P1218" i="1"/>
  <c r="P1219" i="1"/>
  <c r="T1219" i="1" s="1"/>
  <c r="P1220" i="1"/>
  <c r="P1221" i="1"/>
  <c r="P1222" i="1"/>
  <c r="P1223" i="1"/>
  <c r="P1224" i="1"/>
  <c r="P1225" i="1"/>
  <c r="T1225" i="1" s="1"/>
  <c r="P1226" i="1"/>
  <c r="P1227" i="1"/>
  <c r="P1228" i="1"/>
  <c r="P1229" i="1"/>
  <c r="P1230" i="1"/>
  <c r="P1231" i="1"/>
  <c r="T1231" i="1" s="1"/>
  <c r="P1232" i="1"/>
  <c r="P1233" i="1"/>
  <c r="P1234" i="1"/>
  <c r="P1235" i="1"/>
  <c r="P1236" i="1"/>
  <c r="P1237" i="1"/>
  <c r="T1237" i="1" s="1"/>
  <c r="P1238" i="1"/>
  <c r="P1239" i="1"/>
  <c r="P1240" i="1"/>
  <c r="P1241" i="1"/>
  <c r="P1242" i="1"/>
  <c r="P1243" i="1"/>
  <c r="T1243" i="1" s="1"/>
  <c r="P1244" i="1"/>
  <c r="P1245" i="1"/>
  <c r="P1246" i="1"/>
  <c r="P1247" i="1"/>
  <c r="P1248" i="1"/>
  <c r="P1249" i="1"/>
  <c r="T1249" i="1" s="1"/>
  <c r="P1250" i="1"/>
  <c r="P1251" i="1"/>
  <c r="P1252" i="1"/>
  <c r="P1253" i="1"/>
  <c r="P1254" i="1"/>
  <c r="P1255" i="1"/>
  <c r="T1255" i="1" s="1"/>
  <c r="P1256" i="1"/>
  <c r="P1257" i="1"/>
  <c r="P1258" i="1"/>
  <c r="P1259" i="1"/>
  <c r="P1260" i="1"/>
  <c r="P1261" i="1"/>
  <c r="T1261" i="1" s="1"/>
  <c r="P1262" i="1"/>
  <c r="P1263" i="1"/>
  <c r="P1264" i="1"/>
  <c r="P1265" i="1"/>
  <c r="P1266" i="1"/>
  <c r="P1267" i="1"/>
  <c r="T1267" i="1" s="1"/>
  <c r="P1268" i="1"/>
  <c r="P1269" i="1"/>
  <c r="P1270" i="1"/>
  <c r="P1271" i="1"/>
  <c r="P1272" i="1"/>
  <c r="P1273" i="1"/>
  <c r="T1273" i="1" s="1"/>
  <c r="P1274" i="1"/>
  <c r="P1275" i="1"/>
  <c r="P1276" i="1"/>
  <c r="P1277" i="1"/>
  <c r="P1278" i="1"/>
  <c r="P1279" i="1"/>
  <c r="T1279" i="1" s="1"/>
  <c r="P1280" i="1"/>
  <c r="P1281" i="1"/>
  <c r="P1282" i="1"/>
  <c r="P1283" i="1"/>
  <c r="P1284" i="1"/>
  <c r="P1285" i="1"/>
  <c r="T1285" i="1" s="1"/>
  <c r="P1286" i="1"/>
  <c r="P1287" i="1"/>
  <c r="P1288" i="1"/>
  <c r="P1289" i="1"/>
  <c r="P1290" i="1"/>
  <c r="P1291" i="1"/>
  <c r="T1291" i="1" s="1"/>
  <c r="P1292" i="1"/>
  <c r="P1293" i="1"/>
  <c r="P1294" i="1"/>
  <c r="P1295" i="1"/>
  <c r="P1296" i="1"/>
  <c r="P1297" i="1"/>
  <c r="T1297" i="1" s="1"/>
  <c r="P1298" i="1"/>
  <c r="P1299" i="1"/>
  <c r="P1300" i="1"/>
  <c r="P1301" i="1"/>
  <c r="P1302" i="1"/>
  <c r="P1303" i="1"/>
  <c r="T1303" i="1" s="1"/>
  <c r="P1304" i="1"/>
  <c r="P1305" i="1"/>
  <c r="P1306" i="1"/>
  <c r="P1307" i="1"/>
  <c r="P1308" i="1"/>
  <c r="P1309" i="1"/>
  <c r="T1309" i="1" s="1"/>
  <c r="P1310" i="1"/>
  <c r="P1311" i="1"/>
  <c r="P1312" i="1"/>
  <c r="P1313" i="1"/>
  <c r="P1314" i="1"/>
  <c r="P1315" i="1"/>
  <c r="T1315" i="1" s="1"/>
  <c r="P1316" i="1"/>
  <c r="P1317" i="1"/>
  <c r="P1318" i="1"/>
  <c r="P1319" i="1"/>
  <c r="P1320" i="1"/>
  <c r="P1321" i="1"/>
  <c r="T1321" i="1" s="1"/>
  <c r="P1322" i="1"/>
  <c r="P1323" i="1"/>
  <c r="P1324" i="1"/>
  <c r="P1325" i="1"/>
  <c r="P1326" i="1"/>
  <c r="P1327" i="1"/>
  <c r="T1327" i="1" s="1"/>
  <c r="P1328" i="1"/>
  <c r="P1329" i="1"/>
  <c r="P1330" i="1"/>
  <c r="P1331" i="1"/>
  <c r="P1332" i="1"/>
  <c r="P1333" i="1"/>
  <c r="T1333" i="1" s="1"/>
  <c r="P1334" i="1"/>
  <c r="P1335" i="1"/>
  <c r="P1336" i="1"/>
  <c r="P1337" i="1"/>
  <c r="P1338" i="1"/>
  <c r="P1339" i="1"/>
  <c r="T1339" i="1" s="1"/>
  <c r="P1340" i="1"/>
  <c r="P1341" i="1"/>
  <c r="P1342" i="1"/>
  <c r="P1343" i="1"/>
  <c r="P1344" i="1"/>
  <c r="P1345" i="1"/>
  <c r="T1345" i="1" s="1"/>
  <c r="T21" i="1"/>
  <c r="T22" i="1"/>
  <c r="T23" i="1"/>
  <c r="T24" i="1"/>
  <c r="T26" i="1"/>
  <c r="T27" i="1"/>
  <c r="T28" i="1"/>
  <c r="T29" i="1"/>
  <c r="T30" i="1"/>
  <c r="T32" i="1"/>
  <c r="T33" i="1"/>
  <c r="T34" i="1"/>
  <c r="T35" i="1"/>
  <c r="T36" i="1"/>
  <c r="T38" i="1"/>
  <c r="T39" i="1"/>
  <c r="T40" i="1"/>
  <c r="T41" i="1"/>
  <c r="T42" i="1"/>
  <c r="T44" i="1"/>
  <c r="T45" i="1"/>
  <c r="T46" i="1"/>
  <c r="T47" i="1"/>
  <c r="T48" i="1"/>
  <c r="T50" i="1"/>
  <c r="T51" i="1"/>
  <c r="T52" i="1"/>
  <c r="T53" i="1"/>
  <c r="T54" i="1"/>
  <c r="T56" i="1"/>
  <c r="T57" i="1"/>
  <c r="T58" i="1"/>
  <c r="T59" i="1"/>
  <c r="T60" i="1"/>
  <c r="T62" i="1"/>
  <c r="T63" i="1"/>
  <c r="T64" i="1"/>
  <c r="T65" i="1"/>
  <c r="T66" i="1"/>
  <c r="T68" i="1"/>
  <c r="T69" i="1"/>
  <c r="T70" i="1"/>
  <c r="T71" i="1"/>
  <c r="T72" i="1"/>
  <c r="T74" i="1"/>
  <c r="T75" i="1"/>
  <c r="T76" i="1"/>
  <c r="T77" i="1"/>
  <c r="T78" i="1"/>
  <c r="T80" i="1"/>
  <c r="T81" i="1"/>
  <c r="T82" i="1"/>
  <c r="T83" i="1"/>
  <c r="T84" i="1"/>
  <c r="T86" i="1"/>
  <c r="T87" i="1"/>
  <c r="T88" i="1"/>
  <c r="T89" i="1"/>
  <c r="T90" i="1"/>
  <c r="T92" i="1"/>
  <c r="T93" i="1"/>
  <c r="T94" i="1"/>
  <c r="T95" i="1"/>
  <c r="T96" i="1"/>
  <c r="T98" i="1"/>
  <c r="T99" i="1"/>
  <c r="T100" i="1"/>
  <c r="T101" i="1"/>
  <c r="T102" i="1"/>
  <c r="T104" i="1"/>
  <c r="T105" i="1"/>
  <c r="T106" i="1"/>
  <c r="T107" i="1"/>
  <c r="T108" i="1"/>
  <c r="T110" i="1"/>
  <c r="T111" i="1"/>
  <c r="T112" i="1"/>
  <c r="T113" i="1"/>
  <c r="T114" i="1"/>
  <c r="T116" i="1"/>
  <c r="T117" i="1"/>
  <c r="T118" i="1"/>
  <c r="T119" i="1"/>
  <c r="T120" i="1"/>
  <c r="T122" i="1"/>
  <c r="T123" i="1"/>
  <c r="T124" i="1"/>
  <c r="T125" i="1"/>
  <c r="T126" i="1"/>
  <c r="T128" i="1"/>
  <c r="T129" i="1"/>
  <c r="T130" i="1"/>
  <c r="T131" i="1"/>
  <c r="T132" i="1"/>
  <c r="T134" i="1"/>
  <c r="T135" i="1"/>
  <c r="T136" i="1"/>
  <c r="T137" i="1"/>
  <c r="T138" i="1"/>
  <c r="T140" i="1"/>
  <c r="T141" i="1"/>
  <c r="T142" i="1"/>
  <c r="T143" i="1"/>
  <c r="T144" i="1"/>
  <c r="T146" i="1"/>
  <c r="T147" i="1"/>
  <c r="T148" i="1"/>
  <c r="T149" i="1"/>
  <c r="T150" i="1"/>
  <c r="T152" i="1"/>
  <c r="T153" i="1"/>
  <c r="T154" i="1"/>
  <c r="T155" i="1"/>
  <c r="T156" i="1"/>
  <c r="T158" i="1"/>
  <c r="T159" i="1"/>
  <c r="T160" i="1"/>
  <c r="T161" i="1"/>
  <c r="T162" i="1"/>
  <c r="T164" i="1"/>
  <c r="T165" i="1"/>
  <c r="T166" i="1"/>
  <c r="T167" i="1"/>
  <c r="T168" i="1"/>
  <c r="T170" i="1"/>
  <c r="T171" i="1"/>
  <c r="T172" i="1"/>
  <c r="T173" i="1"/>
  <c r="T174" i="1"/>
  <c r="T176" i="1"/>
  <c r="T177" i="1"/>
  <c r="T178" i="1"/>
  <c r="T179" i="1"/>
  <c r="T180" i="1"/>
  <c r="T182" i="1"/>
  <c r="T183" i="1"/>
  <c r="T184" i="1"/>
  <c r="T185" i="1"/>
  <c r="T186" i="1"/>
  <c r="T188" i="1"/>
  <c r="T189" i="1"/>
  <c r="T190" i="1"/>
  <c r="T191" i="1"/>
  <c r="T192" i="1"/>
  <c r="T194" i="1"/>
  <c r="T195" i="1"/>
  <c r="T196" i="1"/>
  <c r="T197" i="1"/>
  <c r="T198" i="1"/>
  <c r="T200" i="1"/>
  <c r="T201" i="1"/>
  <c r="T202" i="1"/>
  <c r="T203" i="1"/>
  <c r="T204" i="1"/>
  <c r="T206" i="1"/>
  <c r="T207" i="1"/>
  <c r="T208" i="1"/>
  <c r="T209" i="1"/>
  <c r="T210" i="1"/>
  <c r="T212" i="1"/>
  <c r="T213" i="1"/>
  <c r="T214" i="1"/>
  <c r="T215" i="1"/>
  <c r="T216" i="1"/>
  <c r="T218" i="1"/>
  <c r="T219" i="1"/>
  <c r="T220" i="1"/>
  <c r="T221" i="1"/>
  <c r="T222" i="1"/>
  <c r="T224" i="1"/>
  <c r="T225" i="1"/>
  <c r="T226" i="1"/>
  <c r="T227" i="1"/>
  <c r="T228" i="1"/>
  <c r="T230" i="1"/>
  <c r="T231" i="1"/>
  <c r="T232" i="1"/>
  <c r="T233" i="1"/>
  <c r="T234" i="1"/>
  <c r="T236" i="1"/>
  <c r="T237" i="1"/>
  <c r="T238" i="1"/>
  <c r="T239" i="1"/>
  <c r="T240" i="1"/>
  <c r="T242" i="1"/>
  <c r="T243" i="1"/>
  <c r="T244" i="1"/>
  <c r="T245" i="1"/>
  <c r="T246" i="1"/>
  <c r="T248" i="1"/>
  <c r="T249" i="1"/>
  <c r="T250" i="1"/>
  <c r="T251" i="1"/>
  <c r="T252" i="1"/>
  <c r="T254" i="1"/>
  <c r="T255" i="1"/>
  <c r="T256" i="1"/>
  <c r="T257" i="1"/>
  <c r="T258" i="1"/>
  <c r="T260" i="1"/>
  <c r="T261" i="1"/>
  <c r="T262" i="1"/>
  <c r="T263" i="1"/>
  <c r="T264" i="1"/>
  <c r="T266" i="1"/>
  <c r="T267" i="1"/>
  <c r="T268" i="1"/>
  <c r="T269" i="1"/>
  <c r="T270" i="1"/>
  <c r="T272" i="1"/>
  <c r="T273" i="1"/>
  <c r="T274" i="1"/>
  <c r="T275" i="1"/>
  <c r="T276" i="1"/>
  <c r="T278" i="1"/>
  <c r="T279" i="1"/>
  <c r="T280" i="1"/>
  <c r="T281" i="1"/>
  <c r="T282" i="1"/>
  <c r="T284" i="1"/>
  <c r="T285" i="1"/>
  <c r="T286" i="1"/>
  <c r="T287" i="1"/>
  <c r="T288" i="1"/>
  <c r="T290" i="1"/>
  <c r="T291" i="1"/>
  <c r="T292" i="1"/>
  <c r="T293" i="1"/>
  <c r="T294" i="1"/>
  <c r="T296" i="1"/>
  <c r="T297" i="1"/>
  <c r="T298" i="1"/>
  <c r="T299" i="1"/>
  <c r="T300" i="1"/>
  <c r="T302" i="1"/>
  <c r="T303" i="1"/>
  <c r="T304" i="1"/>
  <c r="T305" i="1"/>
  <c r="T306" i="1"/>
  <c r="T308" i="1"/>
  <c r="T309" i="1"/>
  <c r="T310" i="1"/>
  <c r="T311" i="1"/>
  <c r="T312" i="1"/>
  <c r="T314" i="1"/>
  <c r="T315" i="1"/>
  <c r="T316" i="1"/>
  <c r="T317" i="1"/>
  <c r="T318" i="1"/>
  <c r="T320" i="1"/>
  <c r="T321" i="1"/>
  <c r="T322" i="1"/>
  <c r="T323" i="1"/>
  <c r="T324" i="1"/>
  <c r="T326" i="1"/>
  <c r="T327" i="1"/>
  <c r="T328" i="1"/>
  <c r="T329" i="1"/>
  <c r="T330" i="1"/>
  <c r="T332" i="1"/>
  <c r="T333" i="1"/>
  <c r="T334" i="1"/>
  <c r="T335" i="1"/>
  <c r="T336" i="1"/>
  <c r="T338" i="1"/>
  <c r="T339" i="1"/>
  <c r="T340" i="1"/>
  <c r="T341" i="1"/>
  <c r="T342" i="1"/>
  <c r="T344" i="1"/>
  <c r="T345" i="1"/>
  <c r="T346" i="1"/>
  <c r="T347" i="1"/>
  <c r="T348" i="1"/>
  <c r="T350" i="1"/>
  <c r="T351" i="1"/>
  <c r="T352" i="1"/>
  <c r="T353" i="1"/>
  <c r="T354" i="1"/>
  <c r="T356" i="1"/>
  <c r="T357" i="1"/>
  <c r="T358" i="1"/>
  <c r="T359" i="1"/>
  <c r="T360" i="1"/>
  <c r="T362" i="1"/>
  <c r="T363" i="1"/>
  <c r="T364" i="1"/>
  <c r="T365" i="1"/>
  <c r="T366" i="1"/>
  <c r="T368" i="1"/>
  <c r="T369" i="1"/>
  <c r="T370" i="1"/>
  <c r="T371" i="1"/>
  <c r="T372" i="1"/>
  <c r="T374" i="1"/>
  <c r="T375" i="1"/>
  <c r="T376" i="1"/>
  <c r="T377" i="1"/>
  <c r="T378" i="1"/>
  <c r="T380" i="1"/>
  <c r="T381" i="1"/>
  <c r="T382" i="1"/>
  <c r="T383" i="1"/>
  <c r="T384" i="1"/>
  <c r="T386" i="1"/>
  <c r="T387" i="1"/>
  <c r="T388" i="1"/>
  <c r="T389" i="1"/>
  <c r="T390" i="1"/>
  <c r="T392" i="1"/>
  <c r="T393" i="1"/>
  <c r="T394" i="1"/>
  <c r="T395" i="1"/>
  <c r="T396" i="1"/>
  <c r="T398" i="1"/>
  <c r="T399" i="1"/>
  <c r="T400" i="1"/>
  <c r="T401" i="1"/>
  <c r="T402" i="1"/>
  <c r="T404" i="1"/>
  <c r="T405" i="1"/>
  <c r="T406" i="1"/>
  <c r="T407" i="1"/>
  <c r="T408" i="1"/>
  <c r="T410" i="1"/>
  <c r="T411" i="1"/>
  <c r="T412" i="1"/>
  <c r="T413" i="1"/>
  <c r="T414" i="1"/>
  <c r="T416" i="1"/>
  <c r="T417" i="1"/>
  <c r="T418" i="1"/>
  <c r="T419" i="1"/>
  <c r="T420" i="1"/>
  <c r="T422" i="1"/>
  <c r="T423" i="1"/>
  <c r="T424" i="1"/>
  <c r="T425" i="1"/>
  <c r="T426" i="1"/>
  <c r="T428" i="1"/>
  <c r="T429" i="1"/>
  <c r="T430" i="1"/>
  <c r="T431" i="1"/>
  <c r="T432" i="1"/>
  <c r="T434" i="1"/>
  <c r="T435" i="1"/>
  <c r="T436" i="1"/>
  <c r="T437" i="1"/>
  <c r="T438" i="1"/>
  <c r="T440" i="1"/>
  <c r="T441" i="1"/>
  <c r="T442" i="1"/>
  <c r="T443" i="1"/>
  <c r="T444" i="1"/>
  <c r="T446" i="1"/>
  <c r="T447" i="1"/>
  <c r="T448" i="1"/>
  <c r="T449" i="1"/>
  <c r="T450" i="1"/>
  <c r="T452" i="1"/>
  <c r="T453" i="1"/>
  <c r="T454" i="1"/>
  <c r="T455" i="1"/>
  <c r="T456" i="1"/>
  <c r="T458" i="1"/>
  <c r="T459" i="1"/>
  <c r="T460" i="1"/>
  <c r="T461" i="1"/>
  <c r="T462" i="1"/>
  <c r="T464" i="1"/>
  <c r="T465" i="1"/>
  <c r="T466" i="1"/>
  <c r="T467" i="1"/>
  <c r="T468" i="1"/>
  <c r="T470" i="1"/>
  <c r="T471" i="1"/>
  <c r="T472" i="1"/>
  <c r="T473" i="1"/>
  <c r="T474" i="1"/>
  <c r="T476" i="1"/>
  <c r="T477" i="1"/>
  <c r="T478" i="1"/>
  <c r="T479" i="1"/>
  <c r="T480" i="1"/>
  <c r="T482" i="1"/>
  <c r="T483" i="1"/>
  <c r="T484" i="1"/>
  <c r="T485" i="1"/>
  <c r="T486" i="1"/>
  <c r="T488" i="1"/>
  <c r="T489" i="1"/>
  <c r="T490" i="1"/>
  <c r="T491" i="1"/>
  <c r="T492" i="1"/>
  <c r="T494" i="1"/>
  <c r="T495" i="1"/>
  <c r="T496" i="1"/>
  <c r="T497" i="1"/>
  <c r="T498" i="1"/>
  <c r="T500" i="1"/>
  <c r="T501" i="1"/>
  <c r="T502" i="1"/>
  <c r="T503" i="1"/>
  <c r="T504" i="1"/>
  <c r="T506" i="1"/>
  <c r="T507" i="1"/>
  <c r="T508" i="1"/>
  <c r="T509" i="1"/>
  <c r="T510" i="1"/>
  <c r="T512" i="1"/>
  <c r="T513" i="1"/>
  <c r="T514" i="1"/>
  <c r="T515" i="1"/>
  <c r="T516" i="1"/>
  <c r="T518" i="1"/>
  <c r="T519" i="1"/>
  <c r="T520" i="1"/>
  <c r="T521" i="1"/>
  <c r="T522" i="1"/>
  <c r="T524" i="1"/>
  <c r="T525" i="1"/>
  <c r="T526" i="1"/>
  <c r="T527" i="1"/>
  <c r="T528" i="1"/>
  <c r="T530" i="1"/>
  <c r="T531" i="1"/>
  <c r="T532" i="1"/>
  <c r="T533" i="1"/>
  <c r="T534" i="1"/>
  <c r="T536" i="1"/>
  <c r="T537" i="1"/>
  <c r="T538" i="1"/>
  <c r="T539" i="1"/>
  <c r="T540" i="1"/>
  <c r="T542" i="1"/>
  <c r="T543" i="1"/>
  <c r="T544" i="1"/>
  <c r="T545" i="1"/>
  <c r="T546" i="1"/>
  <c r="T548" i="1"/>
  <c r="T549" i="1"/>
  <c r="T550" i="1"/>
  <c r="T551" i="1"/>
  <c r="T552" i="1"/>
  <c r="T554" i="1"/>
  <c r="T555" i="1"/>
  <c r="T556" i="1"/>
  <c r="T557" i="1"/>
  <c r="T558" i="1"/>
  <c r="T560" i="1"/>
  <c r="T561" i="1"/>
  <c r="T562" i="1"/>
  <c r="T563" i="1"/>
  <c r="T564" i="1"/>
  <c r="T566" i="1"/>
  <c r="T567" i="1"/>
  <c r="T568" i="1"/>
  <c r="T569" i="1"/>
  <c r="T570" i="1"/>
  <c r="T572" i="1"/>
  <c r="T573" i="1"/>
  <c r="T574" i="1"/>
  <c r="T575" i="1"/>
  <c r="T576" i="1"/>
  <c r="T578" i="1"/>
  <c r="T579" i="1"/>
  <c r="T580" i="1"/>
  <c r="T581" i="1"/>
  <c r="T582" i="1"/>
  <c r="T584" i="1"/>
  <c r="T585" i="1"/>
  <c r="T586" i="1"/>
  <c r="T587" i="1"/>
  <c r="T588" i="1"/>
  <c r="T590" i="1"/>
  <c r="T591" i="1"/>
  <c r="T592" i="1"/>
  <c r="T593" i="1"/>
  <c r="T594" i="1"/>
  <c r="T596" i="1"/>
  <c r="T597" i="1"/>
  <c r="T598" i="1"/>
  <c r="T599" i="1"/>
  <c r="T600" i="1"/>
  <c r="T602" i="1"/>
  <c r="T603" i="1"/>
  <c r="T604" i="1"/>
  <c r="T605" i="1"/>
  <c r="T606" i="1"/>
  <c r="T608" i="1"/>
  <c r="T609" i="1"/>
  <c r="T610" i="1"/>
  <c r="T611" i="1"/>
  <c r="T612" i="1"/>
  <c r="T614" i="1"/>
  <c r="T615" i="1"/>
  <c r="T616" i="1"/>
  <c r="T617" i="1"/>
  <c r="T618" i="1"/>
  <c r="T620" i="1"/>
  <c r="T621" i="1"/>
  <c r="T622" i="1"/>
  <c r="T623" i="1"/>
  <c r="T624" i="1"/>
  <c r="T626" i="1"/>
  <c r="T627" i="1"/>
  <c r="T628" i="1"/>
  <c r="T629" i="1"/>
  <c r="T630" i="1"/>
  <c r="T632" i="1"/>
  <c r="T633" i="1"/>
  <c r="T634" i="1"/>
  <c r="T635" i="1"/>
  <c r="T636" i="1"/>
  <c r="T638" i="1"/>
  <c r="T639" i="1"/>
  <c r="T640" i="1"/>
  <c r="T641" i="1"/>
  <c r="T642" i="1"/>
  <c r="T644" i="1"/>
  <c r="T645" i="1"/>
  <c r="T646" i="1"/>
  <c r="T647" i="1"/>
  <c r="T648" i="1"/>
  <c r="T650" i="1"/>
  <c r="T651" i="1"/>
  <c r="T652" i="1"/>
  <c r="T653" i="1"/>
  <c r="T654" i="1"/>
  <c r="T656" i="1"/>
  <c r="T657" i="1"/>
  <c r="T658" i="1"/>
  <c r="T659" i="1"/>
  <c r="T660" i="1"/>
  <c r="T662" i="1"/>
  <c r="T663" i="1"/>
  <c r="T664" i="1"/>
  <c r="T665" i="1"/>
  <c r="T666" i="1"/>
  <c r="T668" i="1"/>
  <c r="T669" i="1"/>
  <c r="T670" i="1"/>
  <c r="T671" i="1"/>
  <c r="T672" i="1"/>
  <c r="T674" i="1"/>
  <c r="T675" i="1"/>
  <c r="T676" i="1"/>
  <c r="T677" i="1"/>
  <c r="T678" i="1"/>
  <c r="T680" i="1"/>
  <c r="T681" i="1"/>
  <c r="T682" i="1"/>
  <c r="T683" i="1"/>
  <c r="T684" i="1"/>
  <c r="T686" i="1"/>
  <c r="T687" i="1"/>
  <c r="T688" i="1"/>
  <c r="T689" i="1"/>
  <c r="T690" i="1"/>
  <c r="T692" i="1"/>
  <c r="T693" i="1"/>
  <c r="T694" i="1"/>
  <c r="T695" i="1"/>
  <c r="T696" i="1"/>
  <c r="T698" i="1"/>
  <c r="T699" i="1"/>
  <c r="T700" i="1"/>
  <c r="T701" i="1"/>
  <c r="T702" i="1"/>
  <c r="T704" i="1"/>
  <c r="T705" i="1"/>
  <c r="T706" i="1"/>
  <c r="T707" i="1"/>
  <c r="T708" i="1"/>
  <c r="T710" i="1"/>
  <c r="T711" i="1"/>
  <c r="T712" i="1"/>
  <c r="T713" i="1"/>
  <c r="T714" i="1"/>
  <c r="T716" i="1"/>
  <c r="T717" i="1"/>
  <c r="T718" i="1"/>
  <c r="T719" i="1"/>
  <c r="T720" i="1"/>
  <c r="T722" i="1"/>
  <c r="T723" i="1"/>
  <c r="T724" i="1"/>
  <c r="T725" i="1"/>
  <c r="T726" i="1"/>
  <c r="T728" i="1"/>
  <c r="T729" i="1"/>
  <c r="T730" i="1"/>
  <c r="T731" i="1"/>
  <c r="T732" i="1"/>
  <c r="T734" i="1"/>
  <c r="T735" i="1"/>
  <c r="T736" i="1"/>
  <c r="T737" i="1"/>
  <c r="T738" i="1"/>
  <c r="T740" i="1"/>
  <c r="T741" i="1"/>
  <c r="T742" i="1"/>
  <c r="T743" i="1"/>
  <c r="T744" i="1"/>
  <c r="T746" i="1"/>
  <c r="T747" i="1"/>
  <c r="T748" i="1"/>
  <c r="T749" i="1"/>
  <c r="T750" i="1"/>
  <c r="T752" i="1"/>
  <c r="T753" i="1"/>
  <c r="T754" i="1"/>
  <c r="T755" i="1"/>
  <c r="T756" i="1"/>
  <c r="T758" i="1"/>
  <c r="T759" i="1"/>
  <c r="T760" i="1"/>
  <c r="T761" i="1"/>
  <c r="T762" i="1"/>
  <c r="T764" i="1"/>
  <c r="T765" i="1"/>
  <c r="T766" i="1"/>
  <c r="T767" i="1"/>
  <c r="T768" i="1"/>
  <c r="T770" i="1"/>
  <c r="T771" i="1"/>
  <c r="T772" i="1"/>
  <c r="T773" i="1"/>
  <c r="T774" i="1"/>
  <c r="T776" i="1"/>
  <c r="T777" i="1"/>
  <c r="T778" i="1"/>
  <c r="T779" i="1"/>
  <c r="T780" i="1"/>
  <c r="T782" i="1"/>
  <c r="T783" i="1"/>
  <c r="T784" i="1"/>
  <c r="T785" i="1"/>
  <c r="T786" i="1"/>
  <c r="T788" i="1"/>
  <c r="T789" i="1"/>
  <c r="T790" i="1"/>
  <c r="T791" i="1"/>
  <c r="T792" i="1"/>
  <c r="T794" i="1"/>
  <c r="T795" i="1"/>
  <c r="T796" i="1"/>
  <c r="T797" i="1"/>
  <c r="T798" i="1"/>
  <c r="T800" i="1"/>
  <c r="T801" i="1"/>
  <c r="T802" i="1"/>
  <c r="T803" i="1"/>
  <c r="T804" i="1"/>
  <c r="T806" i="1"/>
  <c r="T807" i="1"/>
  <c r="T808" i="1"/>
  <c r="T809" i="1"/>
  <c r="T810" i="1"/>
  <c r="T812" i="1"/>
  <c r="T813" i="1"/>
  <c r="T814" i="1"/>
  <c r="T815" i="1"/>
  <c r="T816" i="1"/>
  <c r="T818" i="1"/>
  <c r="T819" i="1"/>
  <c r="T820" i="1"/>
  <c r="T821" i="1"/>
  <c r="T822" i="1"/>
  <c r="T824" i="1"/>
  <c r="T825" i="1"/>
  <c r="T826" i="1"/>
  <c r="T827" i="1"/>
  <c r="T828" i="1"/>
  <c r="T830" i="1"/>
  <c r="T831" i="1"/>
  <c r="T832" i="1"/>
  <c r="T833" i="1"/>
  <c r="T834" i="1"/>
  <c r="T836" i="1"/>
  <c r="T837" i="1"/>
  <c r="T838" i="1"/>
  <c r="T839" i="1"/>
  <c r="T840" i="1"/>
  <c r="T842" i="1"/>
  <c r="T843" i="1"/>
  <c r="T844" i="1"/>
  <c r="T845" i="1"/>
  <c r="T846" i="1"/>
  <c r="T848" i="1"/>
  <c r="T849" i="1"/>
  <c r="T850" i="1"/>
  <c r="T851" i="1"/>
  <c r="T852" i="1"/>
  <c r="T854" i="1"/>
  <c r="T855" i="1"/>
  <c r="T856" i="1"/>
  <c r="T857" i="1"/>
  <c r="T858" i="1"/>
  <c r="T860" i="1"/>
  <c r="T861" i="1"/>
  <c r="T862" i="1"/>
  <c r="T863" i="1"/>
  <c r="T864" i="1"/>
  <c r="T866" i="1"/>
  <c r="T867" i="1"/>
  <c r="T868" i="1"/>
  <c r="T869" i="1"/>
  <c r="T870" i="1"/>
  <c r="T872" i="1"/>
  <c r="T873" i="1"/>
  <c r="T874" i="1"/>
  <c r="T875" i="1"/>
  <c r="T876" i="1"/>
  <c r="T878" i="1"/>
  <c r="T879" i="1"/>
  <c r="T880" i="1"/>
  <c r="T881" i="1"/>
  <c r="T882" i="1"/>
  <c r="T884" i="1"/>
  <c r="T885" i="1"/>
  <c r="T886" i="1"/>
  <c r="T887" i="1"/>
  <c r="T888" i="1"/>
  <c r="T890" i="1"/>
  <c r="T891" i="1"/>
  <c r="T892" i="1"/>
  <c r="T893" i="1"/>
  <c r="T894" i="1"/>
  <c r="T896" i="1"/>
  <c r="T897" i="1"/>
  <c r="T898" i="1"/>
  <c r="T899" i="1"/>
  <c r="T900" i="1"/>
  <c r="T902" i="1"/>
  <c r="T903" i="1"/>
  <c r="T904" i="1"/>
  <c r="T905" i="1"/>
  <c r="T906" i="1"/>
  <c r="T908" i="1"/>
  <c r="T909" i="1"/>
  <c r="T910" i="1"/>
  <c r="T911" i="1"/>
  <c r="T912" i="1"/>
  <c r="T914" i="1"/>
  <c r="T915" i="1"/>
  <c r="T916" i="1"/>
  <c r="T917" i="1"/>
  <c r="T918" i="1"/>
  <c r="T920" i="1"/>
  <c r="T921" i="1"/>
  <c r="T922" i="1"/>
  <c r="T923" i="1"/>
  <c r="T924" i="1"/>
  <c r="T926" i="1"/>
  <c r="T927" i="1"/>
  <c r="T928" i="1"/>
  <c r="T929" i="1"/>
  <c r="T930" i="1"/>
  <c r="T932" i="1"/>
  <c r="T933" i="1"/>
  <c r="T934" i="1"/>
  <c r="T935" i="1"/>
  <c r="T936" i="1"/>
  <c r="T938" i="1"/>
  <c r="T939" i="1"/>
  <c r="T940" i="1"/>
  <c r="T941" i="1"/>
  <c r="T942" i="1"/>
  <c r="T944" i="1"/>
  <c r="T945" i="1"/>
  <c r="T946" i="1"/>
  <c r="T947" i="1"/>
  <c r="T948" i="1"/>
  <c r="T950" i="1"/>
  <c r="T951" i="1"/>
  <c r="T952" i="1"/>
  <c r="T953" i="1"/>
  <c r="T954" i="1"/>
  <c r="T956" i="1"/>
  <c r="T957" i="1"/>
  <c r="T958" i="1"/>
  <c r="T959" i="1"/>
  <c r="T960" i="1"/>
  <c r="T962" i="1"/>
  <c r="T963" i="1"/>
  <c r="T964" i="1"/>
  <c r="T965" i="1"/>
  <c r="T966" i="1"/>
  <c r="T968" i="1"/>
  <c r="T969" i="1"/>
  <c r="T970" i="1"/>
  <c r="T971" i="1"/>
  <c r="T972" i="1"/>
  <c r="T974" i="1"/>
  <c r="T975" i="1"/>
  <c r="T976" i="1"/>
  <c r="T977" i="1"/>
  <c r="T978" i="1"/>
  <c r="T980" i="1"/>
  <c r="T981" i="1"/>
  <c r="T982" i="1"/>
  <c r="T983" i="1"/>
  <c r="T984" i="1"/>
  <c r="T986" i="1"/>
  <c r="T987" i="1"/>
  <c r="T988" i="1"/>
  <c r="T989" i="1"/>
  <c r="T990" i="1"/>
  <c r="T992" i="1"/>
  <c r="T993" i="1"/>
  <c r="T994" i="1"/>
  <c r="T995" i="1"/>
  <c r="T996" i="1"/>
  <c r="T998" i="1"/>
  <c r="T999" i="1"/>
  <c r="T1000" i="1"/>
  <c r="T1001" i="1"/>
  <c r="T1002" i="1"/>
  <c r="T1004" i="1"/>
  <c r="T1005" i="1"/>
  <c r="T1006" i="1"/>
  <c r="T1007" i="1"/>
  <c r="T1008" i="1"/>
  <c r="T1010" i="1"/>
  <c r="T1011" i="1"/>
  <c r="T1012" i="1"/>
  <c r="T1013" i="1"/>
  <c r="T1014" i="1"/>
  <c r="T1016" i="1"/>
  <c r="T1017" i="1"/>
  <c r="T1018" i="1"/>
  <c r="T1019" i="1"/>
  <c r="T1020" i="1"/>
  <c r="T1022" i="1"/>
  <c r="T1023" i="1"/>
  <c r="T1024" i="1"/>
  <c r="T1025" i="1"/>
  <c r="T1026" i="1"/>
  <c r="T1028" i="1"/>
  <c r="T1029" i="1"/>
  <c r="T1030" i="1"/>
  <c r="T1031" i="1"/>
  <c r="T1032" i="1"/>
  <c r="T1034" i="1"/>
  <c r="T1035" i="1"/>
  <c r="T1036" i="1"/>
  <c r="T1037" i="1"/>
  <c r="T1038" i="1"/>
  <c r="T1040" i="1"/>
  <c r="T1041" i="1"/>
  <c r="T1042" i="1"/>
  <c r="T1043" i="1"/>
  <c r="T1044" i="1"/>
  <c r="T1046" i="1"/>
  <c r="T1047" i="1"/>
  <c r="T1048" i="1"/>
  <c r="T1049" i="1"/>
  <c r="T1050" i="1"/>
  <c r="T1052" i="1"/>
  <c r="T1053" i="1"/>
  <c r="T1054" i="1"/>
  <c r="T1055" i="1"/>
  <c r="T1056" i="1"/>
  <c r="T1058" i="1"/>
  <c r="T1059" i="1"/>
  <c r="T1060" i="1"/>
  <c r="T1061" i="1"/>
  <c r="T1062" i="1"/>
  <c r="T1064" i="1"/>
  <c r="T1065" i="1"/>
  <c r="T1066" i="1"/>
  <c r="T1067" i="1"/>
  <c r="T1068" i="1"/>
  <c r="T1070" i="1"/>
  <c r="T1071" i="1"/>
  <c r="T1072" i="1"/>
  <c r="T1073" i="1"/>
  <c r="T1074" i="1"/>
  <c r="T1076" i="1"/>
  <c r="T1077" i="1"/>
  <c r="T1078" i="1"/>
  <c r="T1079" i="1"/>
  <c r="T1080" i="1"/>
  <c r="T1082" i="1"/>
  <c r="T1083" i="1"/>
  <c r="T1084" i="1"/>
  <c r="T1085" i="1"/>
  <c r="T1086" i="1"/>
  <c r="T1088" i="1"/>
  <c r="T1089" i="1"/>
  <c r="T1090" i="1"/>
  <c r="T1091" i="1"/>
  <c r="T1092" i="1"/>
  <c r="T1094" i="1"/>
  <c r="T1095" i="1"/>
  <c r="T1096" i="1"/>
  <c r="T1097" i="1"/>
  <c r="T1098" i="1"/>
  <c r="T1100" i="1"/>
  <c r="T1101" i="1"/>
  <c r="T1102" i="1"/>
  <c r="T1103" i="1"/>
  <c r="T1104" i="1"/>
  <c r="T1106" i="1"/>
  <c r="T1107" i="1"/>
  <c r="T1108" i="1"/>
  <c r="T1109" i="1"/>
  <c r="T1110" i="1"/>
  <c r="T1112" i="1"/>
  <c r="T1113" i="1"/>
  <c r="T1114" i="1"/>
  <c r="T1115" i="1"/>
  <c r="T1116" i="1"/>
  <c r="T1118" i="1"/>
  <c r="T1119" i="1"/>
  <c r="T1120" i="1"/>
  <c r="T1121" i="1"/>
  <c r="T1122" i="1"/>
  <c r="T1124" i="1"/>
  <c r="T1125" i="1"/>
  <c r="T1126" i="1"/>
  <c r="T1127" i="1"/>
  <c r="T1128" i="1"/>
  <c r="T1130" i="1"/>
  <c r="T1131" i="1"/>
  <c r="T1132" i="1"/>
  <c r="T1133" i="1"/>
  <c r="T1134" i="1"/>
  <c r="T1136" i="1"/>
  <c r="T1137" i="1"/>
  <c r="T1138" i="1"/>
  <c r="T1139" i="1"/>
  <c r="T1140" i="1"/>
  <c r="T1142" i="1"/>
  <c r="T1143" i="1"/>
  <c r="T1144" i="1"/>
  <c r="T1145" i="1"/>
  <c r="T1146" i="1"/>
  <c r="T1148" i="1"/>
  <c r="T1149" i="1"/>
  <c r="T1150" i="1"/>
  <c r="T1151" i="1"/>
  <c r="T1152" i="1"/>
  <c r="T1154" i="1"/>
  <c r="T1155" i="1"/>
  <c r="T1156" i="1"/>
  <c r="T1157" i="1"/>
  <c r="T1158" i="1"/>
  <c r="T1160" i="1"/>
  <c r="T1161" i="1"/>
  <c r="T1162" i="1"/>
  <c r="T1163" i="1"/>
  <c r="T1164" i="1"/>
  <c r="T1166" i="1"/>
  <c r="T1167" i="1"/>
  <c r="T1168" i="1"/>
  <c r="T1169" i="1"/>
  <c r="T1170" i="1"/>
  <c r="T1172" i="1"/>
  <c r="T1173" i="1"/>
  <c r="T1174" i="1"/>
  <c r="T1175" i="1"/>
  <c r="T1176" i="1"/>
  <c r="T1178" i="1"/>
  <c r="T1179" i="1"/>
  <c r="T1180" i="1"/>
  <c r="T1181" i="1"/>
  <c r="T1182" i="1"/>
  <c r="T1184" i="1"/>
  <c r="T1185" i="1"/>
  <c r="T1186" i="1"/>
  <c r="T1187" i="1"/>
  <c r="T1188" i="1"/>
  <c r="T1190" i="1"/>
  <c r="T1191" i="1"/>
  <c r="T1192" i="1"/>
  <c r="T1193" i="1"/>
  <c r="T1194" i="1"/>
  <c r="T1196" i="1"/>
  <c r="T1197" i="1"/>
  <c r="T1198" i="1"/>
  <c r="T1199" i="1"/>
  <c r="T1200" i="1"/>
  <c r="T1202" i="1"/>
  <c r="T1203" i="1"/>
  <c r="T1204" i="1"/>
  <c r="T1205" i="1"/>
  <c r="T1206" i="1"/>
  <c r="T1208" i="1"/>
  <c r="T1209" i="1"/>
  <c r="T1210" i="1"/>
  <c r="T1211" i="1"/>
  <c r="T1212" i="1"/>
  <c r="T1214" i="1"/>
  <c r="T1215" i="1"/>
  <c r="T1216" i="1"/>
  <c r="T1217" i="1"/>
  <c r="T1218" i="1"/>
  <c r="T1220" i="1"/>
  <c r="T1221" i="1"/>
  <c r="T1222" i="1"/>
  <c r="T1223" i="1"/>
  <c r="T1224" i="1"/>
  <c r="T1226" i="1"/>
  <c r="T1227" i="1"/>
  <c r="T1228" i="1"/>
  <c r="T1229" i="1"/>
  <c r="T1230" i="1"/>
  <c r="T1232" i="1"/>
  <c r="T1233" i="1"/>
  <c r="T1234" i="1"/>
  <c r="T1235" i="1"/>
  <c r="T1236" i="1"/>
  <c r="T1238" i="1"/>
  <c r="T1239" i="1"/>
  <c r="T1240" i="1"/>
  <c r="T1241" i="1"/>
  <c r="T1242" i="1"/>
  <c r="T1244" i="1"/>
  <c r="T1245" i="1"/>
  <c r="T1246" i="1"/>
  <c r="T1247" i="1"/>
  <c r="T1248" i="1"/>
  <c r="T1250" i="1"/>
  <c r="T1251" i="1"/>
  <c r="T1252" i="1"/>
  <c r="T1253" i="1"/>
  <c r="T1254" i="1"/>
  <c r="T1256" i="1"/>
  <c r="T1257" i="1"/>
  <c r="T1258" i="1"/>
  <c r="T1259" i="1"/>
  <c r="T1260" i="1"/>
  <c r="T1262" i="1"/>
  <c r="T1263" i="1"/>
  <c r="T1264" i="1"/>
  <c r="T1265" i="1"/>
  <c r="T1266" i="1"/>
  <c r="T1268" i="1"/>
  <c r="T1269" i="1"/>
  <c r="T1270" i="1"/>
  <c r="T1271" i="1"/>
  <c r="T1272" i="1"/>
  <c r="T1274" i="1"/>
  <c r="T1275" i="1"/>
  <c r="T1276" i="1"/>
  <c r="T1277" i="1"/>
  <c r="T1278" i="1"/>
  <c r="T1280" i="1"/>
  <c r="T1281" i="1"/>
  <c r="T1282" i="1"/>
  <c r="T1283" i="1"/>
  <c r="T1284" i="1"/>
  <c r="T1286" i="1"/>
  <c r="T1287" i="1"/>
  <c r="T1288" i="1"/>
  <c r="T1289" i="1"/>
  <c r="T1290" i="1"/>
  <c r="T1292" i="1"/>
  <c r="T1293" i="1"/>
  <c r="T1294" i="1"/>
  <c r="T1295" i="1"/>
  <c r="T1296" i="1"/>
  <c r="T1298" i="1"/>
  <c r="T1299" i="1"/>
  <c r="T1300" i="1"/>
  <c r="T1301" i="1"/>
  <c r="T1302" i="1"/>
  <c r="T1304" i="1"/>
  <c r="T1305" i="1"/>
  <c r="T1306" i="1"/>
  <c r="T1307" i="1"/>
  <c r="T1308" i="1"/>
  <c r="T1310" i="1"/>
  <c r="T1311" i="1"/>
  <c r="T1312" i="1"/>
  <c r="T1313" i="1"/>
  <c r="T1314" i="1"/>
  <c r="T1316" i="1"/>
  <c r="T1317" i="1"/>
  <c r="T1318" i="1"/>
  <c r="T1319" i="1"/>
  <c r="T1320" i="1"/>
  <c r="T1322" i="1"/>
  <c r="T1323" i="1"/>
  <c r="T1324" i="1"/>
  <c r="T1325" i="1"/>
  <c r="T1326" i="1"/>
  <c r="T1328" i="1"/>
  <c r="T1329" i="1"/>
  <c r="T1330" i="1"/>
  <c r="T1331" i="1"/>
  <c r="T1332" i="1"/>
  <c r="T1334" i="1"/>
  <c r="T1335" i="1"/>
  <c r="T1336" i="1"/>
  <c r="T1337" i="1"/>
  <c r="T1338" i="1"/>
  <c r="T1340" i="1"/>
  <c r="T1341" i="1"/>
  <c r="T1342" i="1"/>
  <c r="T1343" i="1"/>
  <c r="T1344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B21" i="1"/>
  <c r="AB22" i="1"/>
  <c r="AB23" i="1"/>
  <c r="AB24" i="1"/>
  <c r="AB25" i="1"/>
  <c r="AI25" i="1" s="1"/>
  <c r="AB26" i="1"/>
  <c r="AB27" i="1"/>
  <c r="AB28" i="1"/>
  <c r="AB29" i="1"/>
  <c r="AB30" i="1"/>
  <c r="AB31" i="1"/>
  <c r="AF31" i="1" s="1"/>
  <c r="AB32" i="1"/>
  <c r="AB33" i="1"/>
  <c r="AB34" i="1"/>
  <c r="AB35" i="1"/>
  <c r="AB36" i="1"/>
  <c r="AB37" i="1"/>
  <c r="AH37" i="1" s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I49" i="1" s="1"/>
  <c r="AB50" i="1"/>
  <c r="AB51" i="1"/>
  <c r="AB52" i="1"/>
  <c r="AB53" i="1"/>
  <c r="AB54" i="1"/>
  <c r="AB55" i="1"/>
  <c r="AF55" i="1" s="1"/>
  <c r="AB56" i="1"/>
  <c r="AB57" i="1"/>
  <c r="AB58" i="1"/>
  <c r="AB59" i="1"/>
  <c r="AB60" i="1"/>
  <c r="AB61" i="1"/>
  <c r="AG61" i="1" s="1"/>
  <c r="AB62" i="1"/>
  <c r="AB63" i="1"/>
  <c r="AB64" i="1"/>
  <c r="AB65" i="1"/>
  <c r="AB66" i="1"/>
  <c r="AB67" i="1"/>
  <c r="AG67" i="1" s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G85" i="1" s="1"/>
  <c r="AB86" i="1"/>
  <c r="AB87" i="1"/>
  <c r="AB88" i="1"/>
  <c r="AB89" i="1"/>
  <c r="AB90" i="1"/>
  <c r="AB91" i="1"/>
  <c r="AI91" i="1" s="1"/>
  <c r="AB92" i="1"/>
  <c r="AB93" i="1"/>
  <c r="AB94" i="1"/>
  <c r="AB95" i="1"/>
  <c r="AB96" i="1"/>
  <c r="AB97" i="1"/>
  <c r="AF97" i="1" s="1"/>
  <c r="AB98" i="1"/>
  <c r="AB99" i="1"/>
  <c r="AB100" i="1"/>
  <c r="AB101" i="1"/>
  <c r="AB102" i="1"/>
  <c r="AB103" i="1"/>
  <c r="AG103" i="1" s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G126" i="1" s="1"/>
  <c r="AB127" i="1"/>
  <c r="AG127" i="1" s="1"/>
  <c r="AB128" i="1"/>
  <c r="AB129" i="1"/>
  <c r="AB130" i="1"/>
  <c r="AB131" i="1"/>
  <c r="AB132" i="1"/>
  <c r="AB133" i="1"/>
  <c r="AF133" i="1" s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H145" i="1" s="1"/>
  <c r="AB146" i="1"/>
  <c r="AB147" i="1"/>
  <c r="AB148" i="1"/>
  <c r="AB149" i="1"/>
  <c r="AB150" i="1"/>
  <c r="AB151" i="1"/>
  <c r="AB152" i="1"/>
  <c r="AB153" i="1"/>
  <c r="AB154" i="1"/>
  <c r="AB155" i="1"/>
  <c r="AB156" i="1"/>
  <c r="AG156" i="1" s="1"/>
  <c r="AB157" i="1"/>
  <c r="AG157" i="1" s="1"/>
  <c r="AB158" i="1"/>
  <c r="AB159" i="1"/>
  <c r="AB160" i="1"/>
  <c r="AB161" i="1"/>
  <c r="AB162" i="1"/>
  <c r="AB163" i="1"/>
  <c r="AF163" i="1" s="1"/>
  <c r="AB164" i="1"/>
  <c r="AB165" i="1"/>
  <c r="AB166" i="1"/>
  <c r="AB167" i="1"/>
  <c r="AB168" i="1"/>
  <c r="AB169" i="1"/>
  <c r="AG169" i="1" s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G187" i="1" s="1"/>
  <c r="AB188" i="1"/>
  <c r="AB189" i="1"/>
  <c r="AB190" i="1"/>
  <c r="AB191" i="1"/>
  <c r="AB192" i="1"/>
  <c r="AB193" i="1"/>
  <c r="AG193" i="1" s="1"/>
  <c r="AB194" i="1"/>
  <c r="AB195" i="1"/>
  <c r="AB196" i="1"/>
  <c r="AB197" i="1"/>
  <c r="AB198" i="1"/>
  <c r="AB199" i="1"/>
  <c r="AI199" i="1" s="1"/>
  <c r="AB200" i="1"/>
  <c r="AB201" i="1"/>
  <c r="AB202" i="1"/>
  <c r="AB203" i="1"/>
  <c r="AB204" i="1"/>
  <c r="AB205" i="1"/>
  <c r="AF205" i="1" s="1"/>
  <c r="AB206" i="1"/>
  <c r="AB207" i="1"/>
  <c r="AB208" i="1"/>
  <c r="AB209" i="1"/>
  <c r="AB210" i="1"/>
  <c r="AG210" i="1" s="1"/>
  <c r="AB211" i="1"/>
  <c r="AG211" i="1" s="1"/>
  <c r="AB212" i="1"/>
  <c r="AB213" i="1"/>
  <c r="AB214" i="1"/>
  <c r="AB215" i="1"/>
  <c r="AB216" i="1"/>
  <c r="AB217" i="1"/>
  <c r="AF217" i="1" s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I241" i="1" s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F253" i="1" s="1"/>
  <c r="AB254" i="1"/>
  <c r="AB255" i="1"/>
  <c r="AB256" i="1"/>
  <c r="AB257" i="1"/>
  <c r="AB258" i="1"/>
  <c r="AG258" i="1" s="1"/>
  <c r="AB259" i="1"/>
  <c r="AB260" i="1"/>
  <c r="AB261" i="1"/>
  <c r="AB262" i="1"/>
  <c r="AB263" i="1"/>
  <c r="AB264" i="1"/>
  <c r="AG264" i="1" s="1"/>
  <c r="AB265" i="1"/>
  <c r="AG265" i="1" s="1"/>
  <c r="AB266" i="1"/>
  <c r="AB267" i="1"/>
  <c r="AB268" i="1"/>
  <c r="AB269" i="1"/>
  <c r="AB270" i="1"/>
  <c r="AB271" i="1"/>
  <c r="AF271" i="1" s="1"/>
  <c r="AB272" i="1"/>
  <c r="AB273" i="1"/>
  <c r="AB274" i="1"/>
  <c r="AB275" i="1"/>
  <c r="AB276" i="1"/>
  <c r="AB277" i="1"/>
  <c r="AG277" i="1" s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G289" i="1" s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G301" i="1" s="1"/>
  <c r="AB302" i="1"/>
  <c r="AB303" i="1"/>
  <c r="AB304" i="1"/>
  <c r="AB305" i="1"/>
  <c r="AB306" i="1"/>
  <c r="AB307" i="1"/>
  <c r="AG307" i="1" s="1"/>
  <c r="AB308" i="1"/>
  <c r="AB309" i="1"/>
  <c r="AB310" i="1"/>
  <c r="AB311" i="1"/>
  <c r="AB312" i="1"/>
  <c r="AB313" i="1"/>
  <c r="AF313" i="1" s="1"/>
  <c r="AB314" i="1"/>
  <c r="AB315" i="1"/>
  <c r="AB316" i="1"/>
  <c r="AB317" i="1"/>
  <c r="AB318" i="1"/>
  <c r="AF318" i="1" s="1"/>
  <c r="AB319" i="1"/>
  <c r="AG319" i="1" s="1"/>
  <c r="AB320" i="1"/>
  <c r="AB321" i="1"/>
  <c r="AB322" i="1"/>
  <c r="AB323" i="1"/>
  <c r="AB324" i="1"/>
  <c r="AB325" i="1"/>
  <c r="AG325" i="1" s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G343" i="1" s="1"/>
  <c r="AB344" i="1"/>
  <c r="AB345" i="1"/>
  <c r="AB346" i="1"/>
  <c r="AB347" i="1"/>
  <c r="AB348" i="1"/>
  <c r="AB349" i="1"/>
  <c r="AI349" i="1" s="1"/>
  <c r="AB350" i="1"/>
  <c r="AB351" i="1"/>
  <c r="AB352" i="1"/>
  <c r="AB353" i="1"/>
  <c r="AB354" i="1"/>
  <c r="AB355" i="1"/>
  <c r="AF355" i="1" s="1"/>
  <c r="AB356" i="1"/>
  <c r="AB357" i="1"/>
  <c r="AB358" i="1"/>
  <c r="AB359" i="1"/>
  <c r="AB360" i="1"/>
  <c r="AB361" i="1"/>
  <c r="AH361" i="1" s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I373" i="1" s="1"/>
  <c r="AB374" i="1"/>
  <c r="AB375" i="1"/>
  <c r="AB376" i="1"/>
  <c r="AB377" i="1"/>
  <c r="AB378" i="1"/>
  <c r="AB379" i="1"/>
  <c r="AF379" i="1" s="1"/>
  <c r="AB380" i="1"/>
  <c r="AB381" i="1"/>
  <c r="AB382" i="1"/>
  <c r="AB383" i="1"/>
  <c r="AB384" i="1"/>
  <c r="AB385" i="1"/>
  <c r="AG385" i="1" s="1"/>
  <c r="AB386" i="1"/>
  <c r="AB387" i="1"/>
  <c r="AB388" i="1"/>
  <c r="AB389" i="1"/>
  <c r="AB390" i="1"/>
  <c r="AB391" i="1"/>
  <c r="AG391" i="1" s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G409" i="1" s="1"/>
  <c r="AB410" i="1"/>
  <c r="AB411" i="1"/>
  <c r="AB412" i="1"/>
  <c r="AB413" i="1"/>
  <c r="AB414" i="1"/>
  <c r="AB415" i="1"/>
  <c r="AF415" i="1" s="1"/>
  <c r="AB416" i="1"/>
  <c r="AB417" i="1"/>
  <c r="AB418" i="1"/>
  <c r="AB419" i="1"/>
  <c r="AB420" i="1"/>
  <c r="AB421" i="1"/>
  <c r="AF421" i="1" s="1"/>
  <c r="AB422" i="1"/>
  <c r="AB423" i="1"/>
  <c r="AB424" i="1"/>
  <c r="AB425" i="1"/>
  <c r="AB426" i="1"/>
  <c r="AF426" i="1" s="1"/>
  <c r="AB427" i="1"/>
  <c r="AG427" i="1" s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F450" i="1" s="1"/>
  <c r="AB451" i="1"/>
  <c r="AG451" i="1" s="1"/>
  <c r="AB452" i="1"/>
  <c r="AB453" i="1"/>
  <c r="AB454" i="1"/>
  <c r="AB455" i="1"/>
  <c r="AB456" i="1"/>
  <c r="AB457" i="1"/>
  <c r="AF457" i="1" s="1"/>
  <c r="AB458" i="1"/>
  <c r="AB459" i="1"/>
  <c r="AB460" i="1"/>
  <c r="AF460" i="1" s="1"/>
  <c r="AB461" i="1"/>
  <c r="AB462" i="1"/>
  <c r="AB463" i="1"/>
  <c r="AB464" i="1"/>
  <c r="AB465" i="1"/>
  <c r="AB466" i="1"/>
  <c r="AB467" i="1"/>
  <c r="AB468" i="1"/>
  <c r="AB469" i="1"/>
  <c r="AF469" i="1" s="1"/>
  <c r="AB470" i="1"/>
  <c r="AB471" i="1"/>
  <c r="AB472" i="1"/>
  <c r="AB473" i="1"/>
  <c r="AB474" i="1"/>
  <c r="AG474" i="1" s="1"/>
  <c r="AB475" i="1"/>
  <c r="AB476" i="1"/>
  <c r="AB477" i="1"/>
  <c r="AB478" i="1"/>
  <c r="AB479" i="1"/>
  <c r="AB480" i="1"/>
  <c r="AB481" i="1"/>
  <c r="AG481" i="1" s="1"/>
  <c r="AB482" i="1"/>
  <c r="AB483" i="1"/>
  <c r="AB484" i="1"/>
  <c r="AB485" i="1"/>
  <c r="AB486" i="1"/>
  <c r="AB487" i="1"/>
  <c r="AF487" i="1" s="1"/>
  <c r="AB488" i="1"/>
  <c r="AB489" i="1"/>
  <c r="AB490" i="1"/>
  <c r="AB491" i="1"/>
  <c r="AB492" i="1"/>
  <c r="AB493" i="1"/>
  <c r="AG493" i="1" s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G511" i="1" s="1"/>
  <c r="AB512" i="1"/>
  <c r="AB513" i="1"/>
  <c r="AB514" i="1"/>
  <c r="AB515" i="1"/>
  <c r="AB516" i="1"/>
  <c r="AB517" i="1"/>
  <c r="AG517" i="1" s="1"/>
  <c r="AB518" i="1"/>
  <c r="AB519" i="1"/>
  <c r="AB520" i="1"/>
  <c r="AB521" i="1"/>
  <c r="AB522" i="1"/>
  <c r="AB523" i="1"/>
  <c r="AI523" i="1" s="1"/>
  <c r="AB524" i="1"/>
  <c r="AB525" i="1"/>
  <c r="AB526" i="1"/>
  <c r="AB527" i="1"/>
  <c r="AB528" i="1"/>
  <c r="AB529" i="1"/>
  <c r="AF529" i="1" s="1"/>
  <c r="AB530" i="1"/>
  <c r="AB531" i="1"/>
  <c r="AB532" i="1"/>
  <c r="AB533" i="1"/>
  <c r="AB534" i="1"/>
  <c r="AB535" i="1"/>
  <c r="AG535" i="1" s="1"/>
  <c r="AB536" i="1"/>
  <c r="AB537" i="1"/>
  <c r="AB538" i="1"/>
  <c r="AB539" i="1"/>
  <c r="AB540" i="1"/>
  <c r="AB541" i="1"/>
  <c r="AF541" i="1" s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F558" i="1" s="1"/>
  <c r="AB559" i="1"/>
  <c r="AB560" i="1"/>
  <c r="AB561" i="1"/>
  <c r="AB562" i="1"/>
  <c r="AB563" i="1"/>
  <c r="AB564" i="1"/>
  <c r="AB565" i="1"/>
  <c r="AF565" i="1" s="1"/>
  <c r="AB566" i="1"/>
  <c r="AB567" i="1"/>
  <c r="AI567" i="1" s="1"/>
  <c r="AB568" i="1"/>
  <c r="AB569" i="1"/>
  <c r="AB570" i="1"/>
  <c r="AB571" i="1"/>
  <c r="AB572" i="1"/>
  <c r="AB573" i="1"/>
  <c r="AB574" i="1"/>
  <c r="AB575" i="1"/>
  <c r="AB576" i="1"/>
  <c r="AB577" i="1"/>
  <c r="AF577" i="1" s="1"/>
  <c r="AB578" i="1"/>
  <c r="AB579" i="1"/>
  <c r="AB580" i="1"/>
  <c r="AB581" i="1"/>
  <c r="AB582" i="1"/>
  <c r="AB583" i="1"/>
  <c r="AB584" i="1"/>
  <c r="AB585" i="1"/>
  <c r="AB586" i="1"/>
  <c r="AB587" i="1"/>
  <c r="AB588" i="1"/>
  <c r="AH588" i="1" s="1"/>
  <c r="AB589" i="1"/>
  <c r="AG589" i="1" s="1"/>
  <c r="AB590" i="1"/>
  <c r="AB591" i="1"/>
  <c r="AB592" i="1"/>
  <c r="AB593" i="1"/>
  <c r="AB594" i="1"/>
  <c r="AB595" i="1"/>
  <c r="AF595" i="1" s="1"/>
  <c r="AB596" i="1"/>
  <c r="AB597" i="1"/>
  <c r="AB598" i="1"/>
  <c r="AB599" i="1"/>
  <c r="AB600" i="1"/>
  <c r="AB601" i="1"/>
  <c r="AG601" i="1" s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G613" i="1" s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G625" i="1" s="1"/>
  <c r="AB626" i="1"/>
  <c r="AB627" i="1"/>
  <c r="AB628" i="1"/>
  <c r="AB629" i="1"/>
  <c r="AB630" i="1"/>
  <c r="AB631" i="1"/>
  <c r="AG631" i="1" s="1"/>
  <c r="AB632" i="1"/>
  <c r="AB633" i="1"/>
  <c r="AB634" i="1"/>
  <c r="AB635" i="1"/>
  <c r="AB636" i="1"/>
  <c r="AB637" i="1"/>
  <c r="AF637" i="1" s="1"/>
  <c r="AB638" i="1"/>
  <c r="AB639" i="1"/>
  <c r="AB640" i="1"/>
  <c r="AB641" i="1"/>
  <c r="AB642" i="1"/>
  <c r="AF642" i="1" s="1"/>
  <c r="AB643" i="1"/>
  <c r="AG643" i="1" s="1"/>
  <c r="AB644" i="1"/>
  <c r="AB645" i="1"/>
  <c r="AB646" i="1"/>
  <c r="AB647" i="1"/>
  <c r="AB648" i="1"/>
  <c r="AB649" i="1"/>
  <c r="AG649" i="1" s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G667" i="1" s="1"/>
  <c r="AB668" i="1"/>
  <c r="AB669" i="1"/>
  <c r="AB670" i="1"/>
  <c r="AB671" i="1"/>
  <c r="AB672" i="1"/>
  <c r="AB673" i="1"/>
  <c r="AF673" i="1" s="1"/>
  <c r="AB674" i="1"/>
  <c r="AB675" i="1"/>
  <c r="AB676" i="1"/>
  <c r="AB677" i="1"/>
  <c r="AB678" i="1"/>
  <c r="AB679" i="1"/>
  <c r="AF679" i="1" s="1"/>
  <c r="AB680" i="1"/>
  <c r="AB681" i="1"/>
  <c r="AB682" i="1"/>
  <c r="AB683" i="1"/>
  <c r="AB684" i="1"/>
  <c r="AB685" i="1"/>
  <c r="AH685" i="1" s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I697" i="1" s="1"/>
  <c r="AB698" i="1"/>
  <c r="AB699" i="1"/>
  <c r="AB700" i="1"/>
  <c r="AB701" i="1"/>
  <c r="AB702" i="1"/>
  <c r="AB703" i="1"/>
  <c r="AF703" i="1" s="1"/>
  <c r="AB704" i="1"/>
  <c r="AB705" i="1"/>
  <c r="AB706" i="1"/>
  <c r="AB707" i="1"/>
  <c r="AB708" i="1"/>
  <c r="AB709" i="1"/>
  <c r="AG709" i="1" s="1"/>
  <c r="AB710" i="1"/>
  <c r="AB711" i="1"/>
  <c r="AB712" i="1"/>
  <c r="AB713" i="1"/>
  <c r="AB714" i="1"/>
  <c r="AB715" i="1"/>
  <c r="AF715" i="1" s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G733" i="1" s="1"/>
  <c r="AB734" i="1"/>
  <c r="AB735" i="1"/>
  <c r="AB736" i="1"/>
  <c r="AB737" i="1"/>
  <c r="AB738" i="1"/>
  <c r="AB739" i="1"/>
  <c r="AI739" i="1" s="1"/>
  <c r="AB740" i="1"/>
  <c r="AB741" i="1"/>
  <c r="AB742" i="1"/>
  <c r="AB743" i="1"/>
  <c r="AB744" i="1"/>
  <c r="AB745" i="1"/>
  <c r="AF745" i="1" s="1"/>
  <c r="AB746" i="1"/>
  <c r="AB747" i="1"/>
  <c r="AB748" i="1"/>
  <c r="AB749" i="1"/>
  <c r="AB750" i="1"/>
  <c r="AB751" i="1"/>
  <c r="AG751" i="1" s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G775" i="1" s="1"/>
  <c r="AB776" i="1"/>
  <c r="AB777" i="1"/>
  <c r="AB778" i="1"/>
  <c r="AB779" i="1"/>
  <c r="AB780" i="1"/>
  <c r="AB781" i="1"/>
  <c r="AF781" i="1" s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H793" i="1" s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G805" i="1" s="1"/>
  <c r="AB806" i="1"/>
  <c r="AB807" i="1"/>
  <c r="AB808" i="1"/>
  <c r="AB809" i="1"/>
  <c r="AB810" i="1"/>
  <c r="AB811" i="1"/>
  <c r="AF811" i="1" s="1"/>
  <c r="AB812" i="1"/>
  <c r="AB813" i="1"/>
  <c r="AB814" i="1"/>
  <c r="AB815" i="1"/>
  <c r="AB816" i="1"/>
  <c r="AG816" i="1" s="1"/>
  <c r="AB817" i="1"/>
  <c r="AG817" i="1" s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G835" i="1" s="1"/>
  <c r="AB836" i="1"/>
  <c r="AB837" i="1"/>
  <c r="AB838" i="1"/>
  <c r="AB839" i="1"/>
  <c r="AB840" i="1"/>
  <c r="AB841" i="1"/>
  <c r="AG841" i="1" s="1"/>
  <c r="AB842" i="1"/>
  <c r="AB843" i="1"/>
  <c r="AB844" i="1"/>
  <c r="AB845" i="1"/>
  <c r="AB846" i="1"/>
  <c r="AB847" i="1"/>
  <c r="AI847" i="1" s="1"/>
  <c r="AB848" i="1"/>
  <c r="AB849" i="1"/>
  <c r="AB850" i="1"/>
  <c r="AB851" i="1"/>
  <c r="AB852" i="1"/>
  <c r="AB853" i="1"/>
  <c r="AF853" i="1" s="1"/>
  <c r="AB854" i="1"/>
  <c r="AB855" i="1"/>
  <c r="AB856" i="1"/>
  <c r="AB857" i="1"/>
  <c r="AB858" i="1"/>
  <c r="AG858" i="1" s="1"/>
  <c r="AB859" i="1"/>
  <c r="AG859" i="1" s="1"/>
  <c r="AB860" i="1"/>
  <c r="AB861" i="1"/>
  <c r="AB862" i="1"/>
  <c r="AB863" i="1"/>
  <c r="AB864" i="1"/>
  <c r="AB865" i="1"/>
  <c r="AF865" i="1" s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I889" i="1" s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F901" i="1" s="1"/>
  <c r="AB902" i="1"/>
  <c r="AB903" i="1"/>
  <c r="AB904" i="1"/>
  <c r="AB905" i="1"/>
  <c r="AB906" i="1"/>
  <c r="AG906" i="1" s="1"/>
  <c r="AB907" i="1"/>
  <c r="AB908" i="1"/>
  <c r="AB909" i="1"/>
  <c r="AB910" i="1"/>
  <c r="AB911" i="1"/>
  <c r="AB912" i="1"/>
  <c r="AF912" i="1" s="1"/>
  <c r="AB913" i="1"/>
  <c r="AG913" i="1" s="1"/>
  <c r="AB914" i="1"/>
  <c r="AB915" i="1"/>
  <c r="AB916" i="1"/>
  <c r="AB917" i="1"/>
  <c r="AB918" i="1"/>
  <c r="AB919" i="1"/>
  <c r="AF919" i="1" s="1"/>
  <c r="AB920" i="1"/>
  <c r="AB921" i="1"/>
  <c r="AB922" i="1"/>
  <c r="AB923" i="1"/>
  <c r="AB924" i="1"/>
  <c r="AB925" i="1"/>
  <c r="AG925" i="1" s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G937" i="1" s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G949" i="1" s="1"/>
  <c r="AB950" i="1"/>
  <c r="AB951" i="1"/>
  <c r="AB952" i="1"/>
  <c r="AB953" i="1"/>
  <c r="AB954" i="1"/>
  <c r="AB955" i="1"/>
  <c r="AG955" i="1" s="1"/>
  <c r="AB956" i="1"/>
  <c r="AB957" i="1"/>
  <c r="AB958" i="1"/>
  <c r="AB959" i="1"/>
  <c r="AB960" i="1"/>
  <c r="AB961" i="1"/>
  <c r="AF961" i="1" s="1"/>
  <c r="AB962" i="1"/>
  <c r="AB963" i="1"/>
  <c r="AB964" i="1"/>
  <c r="AB965" i="1"/>
  <c r="AB966" i="1"/>
  <c r="AB967" i="1"/>
  <c r="AH967" i="1" s="1"/>
  <c r="AB968" i="1"/>
  <c r="AB969" i="1"/>
  <c r="AB970" i="1"/>
  <c r="AB971" i="1"/>
  <c r="AB972" i="1"/>
  <c r="AB973" i="1"/>
  <c r="AF973" i="1" s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F985" i="1" s="1"/>
  <c r="AB986" i="1"/>
  <c r="AB987" i="1"/>
  <c r="AB988" i="1"/>
  <c r="AH988" i="1" s="1"/>
  <c r="AB989" i="1"/>
  <c r="AB990" i="1"/>
  <c r="AB991" i="1"/>
  <c r="AB992" i="1"/>
  <c r="AB993" i="1"/>
  <c r="AB994" i="1"/>
  <c r="AB995" i="1"/>
  <c r="AB996" i="1"/>
  <c r="AB997" i="1"/>
  <c r="AG997" i="1" s="1"/>
  <c r="AB998" i="1"/>
  <c r="AB999" i="1"/>
  <c r="AB1000" i="1"/>
  <c r="AH1000" i="1" s="1"/>
  <c r="AB1001" i="1"/>
  <c r="AB1002" i="1"/>
  <c r="AB1003" i="1"/>
  <c r="AF1003" i="1" s="1"/>
  <c r="AB1004" i="1"/>
  <c r="AB1005" i="1"/>
  <c r="AB1006" i="1"/>
  <c r="AB1007" i="1"/>
  <c r="AB1008" i="1"/>
  <c r="AB1009" i="1"/>
  <c r="AH1009" i="1" s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F1021" i="1" s="1"/>
  <c r="AB1022" i="1"/>
  <c r="AB1023" i="1"/>
  <c r="AB1024" i="1"/>
  <c r="AB1025" i="1"/>
  <c r="AB1026" i="1"/>
  <c r="AB1027" i="1"/>
  <c r="AF1027" i="1" s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I1062" i="1" s="1"/>
  <c r="AB1063" i="1"/>
  <c r="AG1063" i="1" s="1"/>
  <c r="AB1064" i="1"/>
  <c r="AB1065" i="1"/>
  <c r="AB1066" i="1"/>
  <c r="AB1067" i="1"/>
  <c r="AB1068" i="1"/>
  <c r="AB1069" i="1"/>
  <c r="AF1069" i="1" s="1"/>
  <c r="AB1070" i="1"/>
  <c r="AB1071" i="1"/>
  <c r="AB1072" i="1"/>
  <c r="AB1073" i="1"/>
  <c r="AB1074" i="1"/>
  <c r="AG1074" i="1" s="1"/>
  <c r="AB1075" i="1"/>
  <c r="AH1075" i="1" s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F1093" i="1" s="1"/>
  <c r="AB1094" i="1"/>
  <c r="AB1095" i="1"/>
  <c r="AB1096" i="1"/>
  <c r="AB1097" i="1"/>
  <c r="AB1098" i="1"/>
  <c r="AB1099" i="1"/>
  <c r="AF1099" i="1" s="1"/>
  <c r="AB1100" i="1"/>
  <c r="AB1101" i="1"/>
  <c r="AB1102" i="1"/>
  <c r="AB1103" i="1"/>
  <c r="AB1104" i="1"/>
  <c r="AB1105" i="1"/>
  <c r="AG1105" i="1" s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H1117" i="1" s="1"/>
  <c r="AB1118" i="1"/>
  <c r="AB1119" i="1"/>
  <c r="AB1120" i="1"/>
  <c r="AB1121" i="1"/>
  <c r="AB1122" i="1"/>
  <c r="AF1122" i="1" s="1"/>
  <c r="AB1123" i="1"/>
  <c r="AB1124" i="1"/>
  <c r="AB1125" i="1"/>
  <c r="AB1126" i="1"/>
  <c r="AB1127" i="1"/>
  <c r="AB1128" i="1"/>
  <c r="AB1129" i="1"/>
  <c r="AF1129" i="1" s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G1150" i="1" s="1"/>
  <c r="AB1151" i="1"/>
  <c r="AB1152" i="1"/>
  <c r="AB1153" i="1"/>
  <c r="AF1153" i="1" s="1"/>
  <c r="AB1154" i="1"/>
  <c r="AB1155" i="1"/>
  <c r="AB1156" i="1"/>
  <c r="AB1157" i="1"/>
  <c r="AB1158" i="1"/>
  <c r="AB1159" i="1"/>
  <c r="AF1159" i="1" s="1"/>
  <c r="AB1160" i="1"/>
  <c r="AB1161" i="1"/>
  <c r="AB1162" i="1"/>
  <c r="AB1163" i="1"/>
  <c r="AB1164" i="1"/>
  <c r="AH1164" i="1" s="1"/>
  <c r="AB1165" i="1"/>
  <c r="AF1165" i="1" s="1"/>
  <c r="AB1166" i="1"/>
  <c r="AB1167" i="1"/>
  <c r="AB1168" i="1"/>
  <c r="AB1169" i="1"/>
  <c r="AB1170" i="1"/>
  <c r="AB1171" i="1"/>
  <c r="AG1171" i="1" s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H1183" i="1" s="1"/>
  <c r="AB1184" i="1"/>
  <c r="AB1185" i="1"/>
  <c r="AB1186" i="1"/>
  <c r="AG1186" i="1" s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F1201" i="1" s="1"/>
  <c r="AB1202" i="1"/>
  <c r="AB1203" i="1"/>
  <c r="AB1204" i="1"/>
  <c r="AB1205" i="1"/>
  <c r="AB1206" i="1"/>
  <c r="AF1206" i="1" s="1"/>
  <c r="AB1207" i="1"/>
  <c r="AF1207" i="1" s="1"/>
  <c r="AB1208" i="1"/>
  <c r="AB1209" i="1"/>
  <c r="AB1210" i="1"/>
  <c r="AB1211" i="1"/>
  <c r="AB1212" i="1"/>
  <c r="AB1213" i="1"/>
  <c r="AG1213" i="1" s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H1225" i="1" s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F1237" i="1" s="1"/>
  <c r="AB1238" i="1"/>
  <c r="AB1239" i="1"/>
  <c r="AB1240" i="1"/>
  <c r="AG1240" i="1" s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F1261" i="1" s="1"/>
  <c r="AB1262" i="1"/>
  <c r="AB1263" i="1"/>
  <c r="AB1264" i="1"/>
  <c r="AB1265" i="1"/>
  <c r="AB1266" i="1"/>
  <c r="AB1267" i="1"/>
  <c r="AF1267" i="1" s="1"/>
  <c r="AB1268" i="1"/>
  <c r="AB1269" i="1"/>
  <c r="AB1270" i="1"/>
  <c r="AB1271" i="1"/>
  <c r="AB1272" i="1"/>
  <c r="AB1273" i="1"/>
  <c r="AF1273" i="1" s="1"/>
  <c r="AB1274" i="1"/>
  <c r="AB1275" i="1"/>
  <c r="AB1276" i="1"/>
  <c r="AB1277" i="1"/>
  <c r="AB1278" i="1"/>
  <c r="AB1279" i="1"/>
  <c r="AG1279" i="1" s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F1290" i="1" s="1"/>
  <c r="AB1291" i="1"/>
  <c r="AH1291" i="1" s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F1309" i="1" s="1"/>
  <c r="AB1310" i="1"/>
  <c r="AB1311" i="1"/>
  <c r="AB1312" i="1"/>
  <c r="AB1313" i="1"/>
  <c r="AB1314" i="1"/>
  <c r="AB1315" i="1"/>
  <c r="AF1315" i="1" s="1"/>
  <c r="AB1316" i="1"/>
  <c r="AB1317" i="1"/>
  <c r="AB1318" i="1"/>
  <c r="AB1319" i="1"/>
  <c r="AB1320" i="1"/>
  <c r="AB1321" i="1"/>
  <c r="AG1321" i="1" s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H1333" i="1" s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F1345" i="1" s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F23" i="1"/>
  <c r="AF24" i="1"/>
  <c r="AF25" i="1"/>
  <c r="AF26" i="1"/>
  <c r="AF28" i="1"/>
  <c r="AF29" i="1"/>
  <c r="AF35" i="1"/>
  <c r="AF37" i="1"/>
  <c r="AF41" i="1"/>
  <c r="AF44" i="1"/>
  <c r="AF47" i="1"/>
  <c r="AF53" i="1"/>
  <c r="AF59" i="1"/>
  <c r="AF61" i="1"/>
  <c r="AF65" i="1"/>
  <c r="AF66" i="1"/>
  <c r="AF67" i="1"/>
  <c r="AF71" i="1"/>
  <c r="AF73" i="1"/>
  <c r="AF77" i="1"/>
  <c r="AF78" i="1"/>
  <c r="AF83" i="1"/>
  <c r="AF85" i="1"/>
  <c r="AF89" i="1"/>
  <c r="AF91" i="1"/>
  <c r="AF95" i="1"/>
  <c r="AF101" i="1"/>
  <c r="AF103" i="1"/>
  <c r="AF107" i="1"/>
  <c r="AF109" i="1"/>
  <c r="AF113" i="1"/>
  <c r="AF119" i="1"/>
  <c r="AF125" i="1"/>
  <c r="AF126" i="1"/>
  <c r="AF131" i="1"/>
  <c r="AF137" i="1"/>
  <c r="AF139" i="1"/>
  <c r="AF143" i="1"/>
  <c r="AF145" i="1"/>
  <c r="AF149" i="1"/>
  <c r="AF155" i="1"/>
  <c r="AF156" i="1"/>
  <c r="AF157" i="1"/>
  <c r="AF161" i="1"/>
  <c r="AF167" i="1"/>
  <c r="AF173" i="1"/>
  <c r="AF175" i="1"/>
  <c r="AF179" i="1"/>
  <c r="AF181" i="1"/>
  <c r="AF185" i="1"/>
  <c r="AF186" i="1"/>
  <c r="AF191" i="1"/>
  <c r="AF192" i="1"/>
  <c r="AF193" i="1"/>
  <c r="AF197" i="1"/>
  <c r="AF199" i="1"/>
  <c r="AF203" i="1"/>
  <c r="AF209" i="1"/>
  <c r="AF210" i="1"/>
  <c r="AF215" i="1"/>
  <c r="AF221" i="1"/>
  <c r="AF227" i="1"/>
  <c r="AF233" i="1"/>
  <c r="AF239" i="1"/>
  <c r="AF241" i="1"/>
  <c r="AF245" i="1"/>
  <c r="AF247" i="1"/>
  <c r="AF251" i="1"/>
  <c r="AF257" i="1"/>
  <c r="AF258" i="1"/>
  <c r="AF263" i="1"/>
  <c r="AF269" i="1"/>
  <c r="AF275" i="1"/>
  <c r="AF281" i="1"/>
  <c r="AF283" i="1"/>
  <c r="AF287" i="1"/>
  <c r="AF289" i="1"/>
  <c r="AF293" i="1"/>
  <c r="AF299" i="1"/>
  <c r="AF301" i="1"/>
  <c r="AF305" i="1"/>
  <c r="AF307" i="1"/>
  <c r="AF311" i="1"/>
  <c r="AF317" i="1"/>
  <c r="AF319" i="1"/>
  <c r="AF323" i="1"/>
  <c r="AF325" i="1"/>
  <c r="AF329" i="1"/>
  <c r="AF330" i="1"/>
  <c r="AF335" i="1"/>
  <c r="AF341" i="1"/>
  <c r="AF342" i="1"/>
  <c r="AF347" i="1"/>
  <c r="AF349" i="1"/>
  <c r="AF353" i="1"/>
  <c r="AF359" i="1"/>
  <c r="AF361" i="1"/>
  <c r="AF365" i="1"/>
  <c r="AF371" i="1"/>
  <c r="AF377" i="1"/>
  <c r="AF383" i="1"/>
  <c r="AF389" i="1"/>
  <c r="AF391" i="1"/>
  <c r="AF395" i="1"/>
  <c r="AF397" i="1"/>
  <c r="AF401" i="1"/>
  <c r="AF407" i="1"/>
  <c r="AF409" i="1"/>
  <c r="AF413" i="1"/>
  <c r="AF419" i="1"/>
  <c r="AF425" i="1"/>
  <c r="AF427" i="1"/>
  <c r="AF431" i="1"/>
  <c r="AF433" i="1"/>
  <c r="AF437" i="1"/>
  <c r="AF443" i="1"/>
  <c r="AF444" i="1"/>
  <c r="AF449" i="1"/>
  <c r="AF451" i="1"/>
  <c r="AF455" i="1"/>
  <c r="AF461" i="1"/>
  <c r="AF463" i="1"/>
  <c r="AF467" i="1"/>
  <c r="AF473" i="1"/>
  <c r="AF479" i="1"/>
  <c r="AF481" i="1"/>
  <c r="AF485" i="1"/>
  <c r="AF491" i="1"/>
  <c r="AF493" i="1"/>
  <c r="AF497" i="1"/>
  <c r="AF498" i="1"/>
  <c r="AF499" i="1"/>
  <c r="AF503" i="1"/>
  <c r="AF505" i="1"/>
  <c r="AF509" i="1"/>
  <c r="AF515" i="1"/>
  <c r="AF517" i="1"/>
  <c r="AF521" i="1"/>
  <c r="AF523" i="1"/>
  <c r="AF527" i="1"/>
  <c r="AF528" i="1"/>
  <c r="AF533" i="1"/>
  <c r="AF535" i="1"/>
  <c r="AF539" i="1"/>
  <c r="AF545" i="1"/>
  <c r="AF551" i="1"/>
  <c r="AF557" i="1"/>
  <c r="AF563" i="1"/>
  <c r="AF569" i="1"/>
  <c r="AF571" i="1"/>
  <c r="AF575" i="1"/>
  <c r="AF581" i="1"/>
  <c r="AF582" i="1"/>
  <c r="AF587" i="1"/>
  <c r="AF588" i="1"/>
  <c r="AF589" i="1"/>
  <c r="AF593" i="1"/>
  <c r="AF599" i="1"/>
  <c r="AF600" i="1"/>
  <c r="AF601" i="1"/>
  <c r="AF605" i="1"/>
  <c r="AF607" i="1"/>
  <c r="AF611" i="1"/>
  <c r="AF613" i="1"/>
  <c r="AF617" i="1"/>
  <c r="AF623" i="1"/>
  <c r="AF625" i="1"/>
  <c r="AF629" i="1"/>
  <c r="AF631" i="1"/>
  <c r="AF635" i="1"/>
  <c r="AF636" i="1"/>
  <c r="AF641" i="1"/>
  <c r="AF643" i="1"/>
  <c r="AF647" i="1"/>
  <c r="AF649" i="1"/>
  <c r="AF653" i="1"/>
  <c r="AF659" i="1"/>
  <c r="AF665" i="1"/>
  <c r="AF667" i="1"/>
  <c r="AF671" i="1"/>
  <c r="AF677" i="1"/>
  <c r="AF683" i="1"/>
  <c r="AF685" i="1"/>
  <c r="AF689" i="1"/>
  <c r="AF695" i="1"/>
  <c r="AF701" i="1"/>
  <c r="AF707" i="1"/>
  <c r="AF709" i="1"/>
  <c r="AF713" i="1"/>
  <c r="AF718" i="1"/>
  <c r="AF719" i="1"/>
  <c r="AF721" i="1"/>
  <c r="AF725" i="1"/>
  <c r="AF726" i="1"/>
  <c r="AF731" i="1"/>
  <c r="AF733" i="1"/>
  <c r="AF737" i="1"/>
  <c r="AF738" i="1"/>
  <c r="AF739" i="1"/>
  <c r="AF743" i="1"/>
  <c r="AF749" i="1"/>
  <c r="AF751" i="1"/>
  <c r="AF755" i="1"/>
  <c r="AF757" i="1"/>
  <c r="AF761" i="1"/>
  <c r="AF767" i="1"/>
  <c r="AF773" i="1"/>
  <c r="AF775" i="1"/>
  <c r="AF779" i="1"/>
  <c r="AF785" i="1"/>
  <c r="AF787" i="1"/>
  <c r="AF791" i="1"/>
  <c r="AF793" i="1"/>
  <c r="AF797" i="1"/>
  <c r="AF803" i="1"/>
  <c r="AF805" i="1"/>
  <c r="AF809" i="1"/>
  <c r="AF815" i="1"/>
  <c r="AF817" i="1"/>
  <c r="AF821" i="1"/>
  <c r="AF823" i="1"/>
  <c r="AF827" i="1"/>
  <c r="AF829" i="1"/>
  <c r="AF833" i="1"/>
  <c r="AF839" i="1"/>
  <c r="AF844" i="1"/>
  <c r="AF845" i="1"/>
  <c r="AF847" i="1"/>
  <c r="AF851" i="1"/>
  <c r="AF857" i="1"/>
  <c r="AF858" i="1"/>
  <c r="AF859" i="1"/>
  <c r="AF863" i="1"/>
  <c r="AF869" i="1"/>
  <c r="AF875" i="1"/>
  <c r="AF876" i="1"/>
  <c r="AF881" i="1"/>
  <c r="AF887" i="1"/>
  <c r="AF889" i="1"/>
  <c r="AF893" i="1"/>
  <c r="AF895" i="1"/>
  <c r="AF899" i="1"/>
  <c r="AF905" i="1"/>
  <c r="AF906" i="1"/>
  <c r="AF911" i="1"/>
  <c r="AF913" i="1"/>
  <c r="AF917" i="1"/>
  <c r="AF918" i="1"/>
  <c r="AF923" i="1"/>
  <c r="AF925" i="1"/>
  <c r="AF929" i="1"/>
  <c r="AF931" i="1"/>
  <c r="AF935" i="1"/>
  <c r="AF937" i="1"/>
  <c r="AF941" i="1"/>
  <c r="AF946" i="1"/>
  <c r="AF947" i="1"/>
  <c r="AF949" i="1"/>
  <c r="AF953" i="1"/>
  <c r="AF955" i="1"/>
  <c r="AF959" i="1"/>
  <c r="AF960" i="1"/>
  <c r="AF965" i="1"/>
  <c r="AF967" i="1"/>
  <c r="AF971" i="1"/>
  <c r="AF977" i="1"/>
  <c r="AF978" i="1"/>
  <c r="AF983" i="1"/>
  <c r="AF989" i="1"/>
  <c r="AF991" i="1"/>
  <c r="AF995" i="1"/>
  <c r="AF997" i="1"/>
  <c r="AF1001" i="1"/>
  <c r="AF1007" i="1"/>
  <c r="AF1009" i="1"/>
  <c r="AF1013" i="1"/>
  <c r="AF1019" i="1"/>
  <c r="AF1025" i="1"/>
  <c r="AF1031" i="1"/>
  <c r="AF1033" i="1"/>
  <c r="AF1037" i="1"/>
  <c r="AF1038" i="1"/>
  <c r="AF1039" i="1"/>
  <c r="AF1043" i="1"/>
  <c r="AF1045" i="1"/>
  <c r="AF1049" i="1"/>
  <c r="AF1055" i="1"/>
  <c r="AF1057" i="1"/>
  <c r="AF1061" i="1"/>
  <c r="AF1062" i="1"/>
  <c r="AF1063" i="1"/>
  <c r="AF1067" i="1"/>
  <c r="AF1073" i="1"/>
  <c r="AF1074" i="1"/>
  <c r="AF1075" i="1"/>
  <c r="AF1079" i="1"/>
  <c r="AF1081" i="1"/>
  <c r="AF1085" i="1"/>
  <c r="AF1091" i="1"/>
  <c r="AF1097" i="1"/>
  <c r="AF1103" i="1"/>
  <c r="AF1105" i="1"/>
  <c r="AF1109" i="1"/>
  <c r="AF1111" i="1"/>
  <c r="AF1115" i="1"/>
  <c r="AF1116" i="1"/>
  <c r="AF1117" i="1"/>
  <c r="AF1121" i="1"/>
  <c r="AF1123" i="1"/>
  <c r="AF1127" i="1"/>
  <c r="AF1133" i="1"/>
  <c r="AF1135" i="1"/>
  <c r="AF1139" i="1"/>
  <c r="AF1141" i="1"/>
  <c r="AF1145" i="1"/>
  <c r="AF1147" i="1"/>
  <c r="AF1151" i="1"/>
  <c r="AF1157" i="1"/>
  <c r="AF1163" i="1"/>
  <c r="AF1164" i="1"/>
  <c r="AF1169" i="1"/>
  <c r="AF1171" i="1"/>
  <c r="AF1175" i="1"/>
  <c r="AF1176" i="1"/>
  <c r="AF1177" i="1"/>
  <c r="AF1181" i="1"/>
  <c r="AF1183" i="1"/>
  <c r="AF1187" i="1"/>
  <c r="AF1189" i="1"/>
  <c r="AF1193" i="1"/>
  <c r="AF1199" i="1"/>
  <c r="AF1205" i="1"/>
  <c r="AF1211" i="1"/>
  <c r="AF1213" i="1"/>
  <c r="AF1217" i="1"/>
  <c r="AF1219" i="1"/>
  <c r="AF1223" i="1"/>
  <c r="AF1225" i="1"/>
  <c r="AF1229" i="1"/>
  <c r="AF1231" i="1"/>
  <c r="AF1235" i="1"/>
  <c r="AF1241" i="1"/>
  <c r="AF1243" i="1"/>
  <c r="AF1247" i="1"/>
  <c r="AF1249" i="1"/>
  <c r="AF1253" i="1"/>
  <c r="AF1255" i="1"/>
  <c r="AF1259" i="1"/>
  <c r="AF1265" i="1"/>
  <c r="AF1271" i="1"/>
  <c r="AF1277" i="1"/>
  <c r="AF1279" i="1"/>
  <c r="AF1283" i="1"/>
  <c r="AF1285" i="1"/>
  <c r="AF1289" i="1"/>
  <c r="AF1291" i="1"/>
  <c r="AF1295" i="1"/>
  <c r="AF1297" i="1"/>
  <c r="AF1301" i="1"/>
  <c r="AF1307" i="1"/>
  <c r="AF1313" i="1"/>
  <c r="AF1314" i="1"/>
  <c r="AF1319" i="1"/>
  <c r="AF1321" i="1"/>
  <c r="AF1325" i="1"/>
  <c r="AF1327" i="1"/>
  <c r="AF1331" i="1"/>
  <c r="AF1333" i="1"/>
  <c r="AF1337" i="1"/>
  <c r="AF1339" i="1"/>
  <c r="AF1343" i="1"/>
  <c r="AG23" i="1"/>
  <c r="AG25" i="1"/>
  <c r="AG29" i="1"/>
  <c r="AG31" i="1"/>
  <c r="AG35" i="1"/>
  <c r="AG37" i="1"/>
  <c r="AG41" i="1"/>
  <c r="AG43" i="1"/>
  <c r="AG46" i="1"/>
  <c r="AG47" i="1"/>
  <c r="AG53" i="1"/>
  <c r="AG55" i="1"/>
  <c r="AG59" i="1"/>
  <c r="AG65" i="1"/>
  <c r="AG71" i="1"/>
  <c r="AG73" i="1"/>
  <c r="AG77" i="1"/>
  <c r="AG79" i="1"/>
  <c r="AG83" i="1"/>
  <c r="AG88" i="1"/>
  <c r="AG89" i="1"/>
  <c r="AG90" i="1"/>
  <c r="AG91" i="1"/>
  <c r="AG95" i="1"/>
  <c r="AG96" i="1"/>
  <c r="AG97" i="1"/>
  <c r="AG101" i="1"/>
  <c r="AG102" i="1"/>
  <c r="AG107" i="1"/>
  <c r="AG109" i="1"/>
  <c r="AG113" i="1"/>
  <c r="AG115" i="1"/>
  <c r="AG119" i="1"/>
  <c r="AG125" i="1"/>
  <c r="AG131" i="1"/>
  <c r="AG133" i="1"/>
  <c r="AG137" i="1"/>
  <c r="AG139" i="1"/>
  <c r="AG143" i="1"/>
  <c r="AG145" i="1"/>
  <c r="AG149" i="1"/>
  <c r="AG151" i="1"/>
  <c r="AG155" i="1"/>
  <c r="AG161" i="1"/>
  <c r="AG163" i="1"/>
  <c r="AG167" i="1"/>
  <c r="AG173" i="1"/>
  <c r="AG175" i="1"/>
  <c r="AG179" i="1"/>
  <c r="AG180" i="1"/>
  <c r="AG181" i="1"/>
  <c r="AG185" i="1"/>
  <c r="AG191" i="1"/>
  <c r="AG192" i="1"/>
  <c r="AG196" i="1"/>
  <c r="AG197" i="1"/>
  <c r="AG199" i="1"/>
  <c r="AG203" i="1"/>
  <c r="AG209" i="1"/>
  <c r="AG214" i="1"/>
  <c r="AG215" i="1"/>
  <c r="AG217" i="1"/>
  <c r="AG221" i="1"/>
  <c r="AG223" i="1"/>
  <c r="AG227" i="1"/>
  <c r="AG232" i="1"/>
  <c r="AG233" i="1"/>
  <c r="AG239" i="1"/>
  <c r="AG241" i="1"/>
  <c r="AG245" i="1"/>
  <c r="AG247" i="1"/>
  <c r="AG251" i="1"/>
  <c r="AG253" i="1"/>
  <c r="AG257" i="1"/>
  <c r="AG259" i="1"/>
  <c r="AG263" i="1"/>
  <c r="AG269" i="1"/>
  <c r="AG271" i="1"/>
  <c r="AG275" i="1"/>
  <c r="AG281" i="1"/>
  <c r="AG283" i="1"/>
  <c r="AG287" i="1"/>
  <c r="AG288" i="1"/>
  <c r="AG293" i="1"/>
  <c r="AG295" i="1"/>
  <c r="AG299" i="1"/>
  <c r="AG305" i="1"/>
  <c r="AG311" i="1"/>
  <c r="AG313" i="1"/>
  <c r="AG317" i="1"/>
  <c r="AG323" i="1"/>
  <c r="AG324" i="1"/>
  <c r="AG329" i="1"/>
  <c r="AG331" i="1"/>
  <c r="AG335" i="1"/>
  <c r="AG341" i="1"/>
  <c r="AG347" i="1"/>
  <c r="AG349" i="1"/>
  <c r="AG353" i="1"/>
  <c r="AG355" i="1"/>
  <c r="AG359" i="1"/>
  <c r="AG361" i="1"/>
  <c r="AG365" i="1"/>
  <c r="AG367" i="1"/>
  <c r="AG371" i="1"/>
  <c r="AG377" i="1"/>
  <c r="AG379" i="1"/>
  <c r="AG383" i="1"/>
  <c r="AG389" i="1"/>
  <c r="AG395" i="1"/>
  <c r="AG396" i="1"/>
  <c r="AG397" i="1"/>
  <c r="AG401" i="1"/>
  <c r="AG403" i="1"/>
  <c r="AG407" i="1"/>
  <c r="AG413" i="1"/>
  <c r="AG415" i="1"/>
  <c r="AG419" i="1"/>
  <c r="AG421" i="1"/>
  <c r="AG425" i="1"/>
  <c r="AG431" i="1"/>
  <c r="AG433" i="1"/>
  <c r="AG437" i="1"/>
  <c r="AG439" i="1"/>
  <c r="AG443" i="1"/>
  <c r="AG449" i="1"/>
  <c r="AG455" i="1"/>
  <c r="AG457" i="1"/>
  <c r="AG461" i="1"/>
  <c r="AG463" i="1"/>
  <c r="AG467" i="1"/>
  <c r="AG469" i="1"/>
  <c r="AG473" i="1"/>
  <c r="AG475" i="1"/>
  <c r="AG479" i="1"/>
  <c r="AG485" i="1"/>
  <c r="AG487" i="1"/>
  <c r="AG491" i="1"/>
  <c r="AG497" i="1"/>
  <c r="AG499" i="1"/>
  <c r="AG503" i="1"/>
  <c r="AG505" i="1"/>
  <c r="AG509" i="1"/>
  <c r="AG515" i="1"/>
  <c r="AG521" i="1"/>
  <c r="AG523" i="1"/>
  <c r="AG527" i="1"/>
  <c r="AG533" i="1"/>
  <c r="AG539" i="1"/>
  <c r="AG541" i="1"/>
  <c r="AG545" i="1"/>
  <c r="AG547" i="1"/>
  <c r="AG551" i="1"/>
  <c r="AG557" i="1"/>
  <c r="AG563" i="1"/>
  <c r="AG565" i="1"/>
  <c r="AG569" i="1"/>
  <c r="AG570" i="1"/>
  <c r="AG571" i="1"/>
  <c r="AG575" i="1"/>
  <c r="AG577" i="1"/>
  <c r="AG581" i="1"/>
  <c r="AG583" i="1"/>
  <c r="AG587" i="1"/>
  <c r="AG593" i="1"/>
  <c r="AG595" i="1"/>
  <c r="AG599" i="1"/>
  <c r="AG600" i="1"/>
  <c r="AG605" i="1"/>
  <c r="AG606" i="1"/>
  <c r="AG607" i="1"/>
  <c r="AG611" i="1"/>
  <c r="AG617" i="1"/>
  <c r="AG619" i="1"/>
  <c r="AG623" i="1"/>
  <c r="AG629" i="1"/>
  <c r="AG630" i="1"/>
  <c r="AG635" i="1"/>
  <c r="AG637" i="1"/>
  <c r="AG641" i="1"/>
  <c r="AG642" i="1"/>
  <c r="AG647" i="1"/>
  <c r="AG653" i="1"/>
  <c r="AG655" i="1"/>
  <c r="AG659" i="1"/>
  <c r="AG660" i="1"/>
  <c r="AG665" i="1"/>
  <c r="AG671" i="1"/>
  <c r="AG672" i="1"/>
  <c r="AG673" i="1"/>
  <c r="AG677" i="1"/>
  <c r="AG679" i="1"/>
  <c r="AG682" i="1"/>
  <c r="AG683" i="1"/>
  <c r="AG685" i="1"/>
  <c r="AG689" i="1"/>
  <c r="AG691" i="1"/>
  <c r="AG695" i="1"/>
  <c r="AG701" i="1"/>
  <c r="AG703" i="1"/>
  <c r="AG707" i="1"/>
  <c r="AG713" i="1"/>
  <c r="AG719" i="1"/>
  <c r="AG721" i="1"/>
  <c r="AG725" i="1"/>
  <c r="AG727" i="1"/>
  <c r="AG731" i="1"/>
  <c r="AG737" i="1"/>
  <c r="AG738" i="1"/>
  <c r="AG739" i="1"/>
  <c r="AG743" i="1"/>
  <c r="AG744" i="1"/>
  <c r="AG745" i="1"/>
  <c r="AG749" i="1"/>
  <c r="AG750" i="1"/>
  <c r="AG755" i="1"/>
  <c r="AG757" i="1"/>
  <c r="AG761" i="1"/>
  <c r="AG763" i="1"/>
  <c r="AG767" i="1"/>
  <c r="AG768" i="1"/>
  <c r="AG773" i="1"/>
  <c r="AG779" i="1"/>
  <c r="AG781" i="1"/>
  <c r="AG785" i="1"/>
  <c r="AG787" i="1"/>
  <c r="AG791" i="1"/>
  <c r="AG793" i="1"/>
  <c r="AG797" i="1"/>
  <c r="AG799" i="1"/>
  <c r="AG803" i="1"/>
  <c r="AG809" i="1"/>
  <c r="AG811" i="1"/>
  <c r="AG815" i="1"/>
  <c r="AG821" i="1"/>
  <c r="AG823" i="1"/>
  <c r="AG827" i="1"/>
  <c r="AG829" i="1"/>
  <c r="AG833" i="1"/>
  <c r="AG839" i="1"/>
  <c r="AG840" i="1"/>
  <c r="AG845" i="1"/>
  <c r="AG847" i="1"/>
  <c r="AG851" i="1"/>
  <c r="AG852" i="1"/>
  <c r="AG857" i="1"/>
  <c r="AG863" i="1"/>
  <c r="AG864" i="1"/>
  <c r="AG865" i="1"/>
  <c r="AG868" i="1"/>
  <c r="AG869" i="1"/>
  <c r="AG871" i="1"/>
  <c r="AG875" i="1"/>
  <c r="AG881" i="1"/>
  <c r="AG886" i="1"/>
  <c r="AG887" i="1"/>
  <c r="AG888" i="1"/>
  <c r="AG889" i="1"/>
  <c r="AG893" i="1"/>
  <c r="AG895" i="1"/>
  <c r="AG899" i="1"/>
  <c r="AG901" i="1"/>
  <c r="AG905" i="1"/>
  <c r="AG907" i="1"/>
  <c r="AG911" i="1"/>
  <c r="AG912" i="1"/>
  <c r="AG917" i="1"/>
  <c r="AG919" i="1"/>
  <c r="AG923" i="1"/>
  <c r="AG924" i="1"/>
  <c r="AG929" i="1"/>
  <c r="AG930" i="1"/>
  <c r="AG931" i="1"/>
  <c r="AG935" i="1"/>
  <c r="AG936" i="1"/>
  <c r="AG941" i="1"/>
  <c r="AG943" i="1"/>
  <c r="AG947" i="1"/>
  <c r="AG953" i="1"/>
  <c r="AG959" i="1"/>
  <c r="AG961" i="1"/>
  <c r="AG965" i="1"/>
  <c r="AG967" i="1"/>
  <c r="AG971" i="1"/>
  <c r="AG973" i="1"/>
  <c r="AG977" i="1"/>
  <c r="AG983" i="1"/>
  <c r="AG984" i="1"/>
  <c r="AG985" i="1"/>
  <c r="AG989" i="1"/>
  <c r="AG991" i="1"/>
  <c r="AG995" i="1"/>
  <c r="AG1001" i="1"/>
  <c r="AG1003" i="1"/>
  <c r="AG1007" i="1"/>
  <c r="AG1009" i="1"/>
  <c r="AG1013" i="1"/>
  <c r="AG1019" i="1"/>
  <c r="AG1020" i="1"/>
  <c r="AG1025" i="1"/>
  <c r="AG1027" i="1"/>
  <c r="AG1031" i="1"/>
  <c r="AG1033" i="1"/>
  <c r="AG1037" i="1"/>
  <c r="AG1039" i="1"/>
  <c r="AG1043" i="1"/>
  <c r="AG1045" i="1"/>
  <c r="AG1049" i="1"/>
  <c r="AG1055" i="1"/>
  <c r="AG1056" i="1"/>
  <c r="AG1057" i="1"/>
  <c r="AG1061" i="1"/>
  <c r="AG1067" i="1"/>
  <c r="AG1068" i="1"/>
  <c r="AG1069" i="1"/>
  <c r="AG1073" i="1"/>
  <c r="AG1075" i="1"/>
  <c r="AG1079" i="1"/>
  <c r="AG1081" i="1"/>
  <c r="AG1085" i="1"/>
  <c r="AG1091" i="1"/>
  <c r="AG1093" i="1"/>
  <c r="AG1097" i="1"/>
  <c r="AG1099" i="1"/>
  <c r="AG1103" i="1"/>
  <c r="AG1109" i="1"/>
  <c r="AG1111" i="1"/>
  <c r="AG1115" i="1"/>
  <c r="AG1117" i="1"/>
  <c r="AG1121" i="1"/>
  <c r="AG1122" i="1"/>
  <c r="AG1127" i="1"/>
  <c r="AG1133" i="1"/>
  <c r="AG1135" i="1"/>
  <c r="AG1139" i="1"/>
  <c r="AG1140" i="1"/>
  <c r="AG1141" i="1"/>
  <c r="AG1145" i="1"/>
  <c r="AG1147" i="1"/>
  <c r="AG1151" i="1"/>
  <c r="AG1153" i="1"/>
  <c r="AG1157" i="1"/>
  <c r="AG1163" i="1"/>
  <c r="AG1165" i="1"/>
  <c r="AG1169" i="1"/>
  <c r="AG1170" i="1"/>
  <c r="AG1175" i="1"/>
  <c r="AG1177" i="1"/>
  <c r="AG1181" i="1"/>
  <c r="AG1183" i="1"/>
  <c r="AG1187" i="1"/>
  <c r="AG1189" i="1"/>
  <c r="AG1193" i="1"/>
  <c r="AG1194" i="1"/>
  <c r="AG1199" i="1"/>
  <c r="AG1201" i="1"/>
  <c r="AG1205" i="1"/>
  <c r="AG1207" i="1"/>
  <c r="AG1211" i="1"/>
  <c r="AG1216" i="1"/>
  <c r="AG1217" i="1"/>
  <c r="AG1219" i="1"/>
  <c r="AG1223" i="1"/>
  <c r="AG1225" i="1"/>
  <c r="AG1229" i="1"/>
  <c r="AG1234" i="1"/>
  <c r="AG1235" i="1"/>
  <c r="AG1241" i="1"/>
  <c r="AG1242" i="1"/>
  <c r="AG1243" i="1"/>
  <c r="AG1247" i="1"/>
  <c r="AG1248" i="1"/>
  <c r="AG1249" i="1"/>
  <c r="AG1253" i="1"/>
  <c r="AG1255" i="1"/>
  <c r="AG1259" i="1"/>
  <c r="AG1261" i="1"/>
  <c r="AG1265" i="1"/>
  <c r="AG1271" i="1"/>
  <c r="AG1272" i="1"/>
  <c r="AG1273" i="1"/>
  <c r="AG1277" i="1"/>
  <c r="AG1278" i="1"/>
  <c r="AG1283" i="1"/>
  <c r="AG1285" i="1"/>
  <c r="AG1289" i="1"/>
  <c r="AG1290" i="1"/>
  <c r="AG1291" i="1"/>
  <c r="AG1295" i="1"/>
  <c r="AG1297" i="1"/>
  <c r="AG1301" i="1"/>
  <c r="AG1307" i="1"/>
  <c r="AG1309" i="1"/>
  <c r="AG1313" i="1"/>
  <c r="AG1315" i="1"/>
  <c r="AG1319" i="1"/>
  <c r="AG1325" i="1"/>
  <c r="AG1327" i="1"/>
  <c r="AG1331" i="1"/>
  <c r="AG1333" i="1"/>
  <c r="AG1337" i="1"/>
  <c r="AG1343" i="1"/>
  <c r="AG1344" i="1"/>
  <c r="AH23" i="1"/>
  <c r="AH25" i="1"/>
  <c r="AH29" i="1"/>
  <c r="AH31" i="1"/>
  <c r="AH35" i="1"/>
  <c r="AH41" i="1"/>
  <c r="AH47" i="1"/>
  <c r="AH48" i="1"/>
  <c r="AH49" i="1"/>
  <c r="AH53" i="1"/>
  <c r="AH55" i="1"/>
  <c r="AH59" i="1"/>
  <c r="AH60" i="1"/>
  <c r="AH61" i="1"/>
  <c r="AH65" i="1"/>
  <c r="AH67" i="1"/>
  <c r="AH71" i="1"/>
  <c r="AH73" i="1"/>
  <c r="AH77" i="1"/>
  <c r="AH83" i="1"/>
  <c r="AH85" i="1"/>
  <c r="AH89" i="1"/>
  <c r="AH91" i="1"/>
  <c r="AH95" i="1"/>
  <c r="AH97" i="1"/>
  <c r="AH101" i="1"/>
  <c r="AH107" i="1"/>
  <c r="AH109" i="1"/>
  <c r="AH113" i="1"/>
  <c r="AH119" i="1"/>
  <c r="AH121" i="1"/>
  <c r="AH125" i="1"/>
  <c r="AH126" i="1"/>
  <c r="AH127" i="1"/>
  <c r="AH131" i="1"/>
  <c r="AH133" i="1"/>
  <c r="AH137" i="1"/>
  <c r="AH138" i="1"/>
  <c r="AH139" i="1"/>
  <c r="AH143" i="1"/>
  <c r="AH149" i="1"/>
  <c r="AH155" i="1"/>
  <c r="AH157" i="1"/>
  <c r="AH161" i="1"/>
  <c r="AH163" i="1"/>
  <c r="AH167" i="1"/>
  <c r="AH168" i="1"/>
  <c r="AH169" i="1"/>
  <c r="AH173" i="1"/>
  <c r="AH175" i="1"/>
  <c r="AH179" i="1"/>
  <c r="AH181" i="1"/>
  <c r="AH185" i="1"/>
  <c r="AH191" i="1"/>
  <c r="AH193" i="1"/>
  <c r="AH197" i="1"/>
  <c r="AH199" i="1"/>
  <c r="AH203" i="1"/>
  <c r="AH205" i="1"/>
  <c r="AH209" i="1"/>
  <c r="AH210" i="1"/>
  <c r="AH215" i="1"/>
  <c r="AH217" i="1"/>
  <c r="AH221" i="1"/>
  <c r="AH227" i="1"/>
  <c r="AH229" i="1"/>
  <c r="AH233" i="1"/>
  <c r="AH235" i="1"/>
  <c r="AH239" i="1"/>
  <c r="AH241" i="1"/>
  <c r="AH245" i="1"/>
  <c r="AH247" i="1"/>
  <c r="AH251" i="1"/>
  <c r="AH257" i="1"/>
  <c r="AH258" i="1"/>
  <c r="AH263" i="1"/>
  <c r="AH264" i="1"/>
  <c r="AH265" i="1"/>
  <c r="AH269" i="1"/>
  <c r="AH271" i="1"/>
  <c r="AH275" i="1"/>
  <c r="AH276" i="1"/>
  <c r="AH277" i="1"/>
  <c r="AH281" i="1"/>
  <c r="AH282" i="1"/>
  <c r="AH283" i="1"/>
  <c r="AH287" i="1"/>
  <c r="AH289" i="1"/>
  <c r="AH293" i="1"/>
  <c r="AH299" i="1"/>
  <c r="AH301" i="1"/>
  <c r="AH305" i="1"/>
  <c r="AH307" i="1"/>
  <c r="AH311" i="1"/>
  <c r="AH313" i="1"/>
  <c r="AH317" i="1"/>
  <c r="AH318" i="1"/>
  <c r="AH323" i="1"/>
  <c r="AH325" i="1"/>
  <c r="AH329" i="1"/>
  <c r="AH335" i="1"/>
  <c r="AH337" i="1"/>
  <c r="AH341" i="1"/>
  <c r="AH343" i="1"/>
  <c r="AH347" i="1"/>
  <c r="AH349" i="1"/>
  <c r="AH353" i="1"/>
  <c r="AH355" i="1"/>
  <c r="AH359" i="1"/>
  <c r="AH365" i="1"/>
  <c r="AH371" i="1"/>
  <c r="AH373" i="1"/>
  <c r="AH377" i="1"/>
  <c r="AH379" i="1"/>
  <c r="AH383" i="1"/>
  <c r="AH385" i="1"/>
  <c r="AH389" i="1"/>
  <c r="AH390" i="1"/>
  <c r="AH391" i="1"/>
  <c r="AH395" i="1"/>
  <c r="AH397" i="1"/>
  <c r="AH401" i="1"/>
  <c r="AH407" i="1"/>
  <c r="AH409" i="1"/>
  <c r="AH413" i="1"/>
  <c r="AH414" i="1"/>
  <c r="AH415" i="1"/>
  <c r="AH419" i="1"/>
  <c r="AH421" i="1"/>
  <c r="AH425" i="1"/>
  <c r="AH431" i="1"/>
  <c r="AH433" i="1"/>
  <c r="AH437" i="1"/>
  <c r="AH443" i="1"/>
  <c r="AH445" i="1"/>
  <c r="AH449" i="1"/>
  <c r="AH450" i="1"/>
  <c r="AH451" i="1"/>
  <c r="AH455" i="1"/>
  <c r="AH457" i="1"/>
  <c r="AH461" i="1"/>
  <c r="AH462" i="1"/>
  <c r="AH463" i="1"/>
  <c r="AH467" i="1"/>
  <c r="AH473" i="1"/>
  <c r="AH474" i="1"/>
  <c r="AH479" i="1"/>
  <c r="AH480" i="1"/>
  <c r="AH481" i="1"/>
  <c r="AH485" i="1"/>
  <c r="AH487" i="1"/>
  <c r="AH491" i="1"/>
  <c r="AH492" i="1"/>
  <c r="AH493" i="1"/>
  <c r="AH497" i="1"/>
  <c r="AH498" i="1"/>
  <c r="AH499" i="1"/>
  <c r="AH503" i="1"/>
  <c r="AH505" i="1"/>
  <c r="AH509" i="1"/>
  <c r="AH515" i="1"/>
  <c r="AH517" i="1"/>
  <c r="AH521" i="1"/>
  <c r="AH522" i="1"/>
  <c r="AH523" i="1"/>
  <c r="AH527" i="1"/>
  <c r="AH529" i="1"/>
  <c r="AH533" i="1"/>
  <c r="AH539" i="1"/>
  <c r="AH541" i="1"/>
  <c r="AH545" i="1"/>
  <c r="AH551" i="1"/>
  <c r="AH553" i="1"/>
  <c r="AH557" i="1"/>
  <c r="AH558" i="1"/>
  <c r="AH559" i="1"/>
  <c r="AH563" i="1"/>
  <c r="AH565" i="1"/>
  <c r="AH569" i="1"/>
  <c r="AH570" i="1"/>
  <c r="AH571" i="1"/>
  <c r="AH575" i="1"/>
  <c r="AH581" i="1"/>
  <c r="AH587" i="1"/>
  <c r="AH589" i="1"/>
  <c r="AH593" i="1"/>
  <c r="AH595" i="1"/>
  <c r="AH599" i="1"/>
  <c r="AH601" i="1"/>
  <c r="AH605" i="1"/>
  <c r="AH607" i="1"/>
  <c r="AH611" i="1"/>
  <c r="AH613" i="1"/>
  <c r="AH617" i="1"/>
  <c r="AH623" i="1"/>
  <c r="AH625" i="1"/>
  <c r="AH629" i="1"/>
  <c r="AH630" i="1"/>
  <c r="AH631" i="1"/>
  <c r="AH635" i="1"/>
  <c r="AH637" i="1"/>
  <c r="AH641" i="1"/>
  <c r="AH642" i="1"/>
  <c r="AH647" i="1"/>
  <c r="AH649" i="1"/>
  <c r="AH653" i="1"/>
  <c r="AH659" i="1"/>
  <c r="AH661" i="1"/>
  <c r="AH665" i="1"/>
  <c r="AH667" i="1"/>
  <c r="AH671" i="1"/>
  <c r="AH673" i="1"/>
  <c r="AH677" i="1"/>
  <c r="AH679" i="1"/>
  <c r="AH683" i="1"/>
  <c r="AH689" i="1"/>
  <c r="AH695" i="1"/>
  <c r="AH696" i="1"/>
  <c r="AH697" i="1"/>
  <c r="AH701" i="1"/>
  <c r="AH703" i="1"/>
  <c r="AH707" i="1"/>
  <c r="AH708" i="1"/>
  <c r="AH709" i="1"/>
  <c r="AH713" i="1"/>
  <c r="AH715" i="1"/>
  <c r="AH719" i="1"/>
  <c r="AH721" i="1"/>
  <c r="AH725" i="1"/>
  <c r="AH731" i="1"/>
  <c r="AH733" i="1"/>
  <c r="AH737" i="1"/>
  <c r="AH739" i="1"/>
  <c r="AH743" i="1"/>
  <c r="AH745" i="1"/>
  <c r="AH749" i="1"/>
  <c r="AH754" i="1"/>
  <c r="AH755" i="1"/>
  <c r="AH757" i="1"/>
  <c r="AH761" i="1"/>
  <c r="AH767" i="1"/>
  <c r="AH769" i="1"/>
  <c r="AH772" i="1"/>
  <c r="AH773" i="1"/>
  <c r="AH774" i="1"/>
  <c r="AH775" i="1"/>
  <c r="AH779" i="1"/>
  <c r="AH781" i="1"/>
  <c r="AH784" i="1"/>
  <c r="AH785" i="1"/>
  <c r="AH786" i="1"/>
  <c r="AH787" i="1"/>
  <c r="AH791" i="1"/>
  <c r="AH797" i="1"/>
  <c r="AH803" i="1"/>
  <c r="AH805" i="1"/>
  <c r="AH809" i="1"/>
  <c r="AH811" i="1"/>
  <c r="AH815" i="1"/>
  <c r="AH816" i="1"/>
  <c r="AH817" i="1"/>
  <c r="AH821" i="1"/>
  <c r="AH823" i="1"/>
  <c r="AH827" i="1"/>
  <c r="AH829" i="1"/>
  <c r="AH833" i="1"/>
  <c r="AH839" i="1"/>
  <c r="AH841" i="1"/>
  <c r="AH845" i="1"/>
  <c r="AH847" i="1"/>
  <c r="AH851" i="1"/>
  <c r="AH853" i="1"/>
  <c r="AH857" i="1"/>
  <c r="AH858" i="1"/>
  <c r="AH863" i="1"/>
  <c r="AH865" i="1"/>
  <c r="AH869" i="1"/>
  <c r="AH875" i="1"/>
  <c r="AH877" i="1"/>
  <c r="AH881" i="1"/>
  <c r="AH883" i="1"/>
  <c r="AH887" i="1"/>
  <c r="AH889" i="1"/>
  <c r="AH893" i="1"/>
  <c r="AH895" i="1"/>
  <c r="AH899" i="1"/>
  <c r="AH905" i="1"/>
  <c r="AH906" i="1"/>
  <c r="AH911" i="1"/>
  <c r="AH912" i="1"/>
  <c r="AH913" i="1"/>
  <c r="AH917" i="1"/>
  <c r="AH919" i="1"/>
  <c r="AH923" i="1"/>
  <c r="AH924" i="1"/>
  <c r="AH925" i="1"/>
  <c r="AH929" i="1"/>
  <c r="AH930" i="1"/>
  <c r="AH931" i="1"/>
  <c r="AH935" i="1"/>
  <c r="AH937" i="1"/>
  <c r="AH941" i="1"/>
  <c r="AH947" i="1"/>
  <c r="AH949" i="1"/>
  <c r="AH953" i="1"/>
  <c r="AH955" i="1"/>
  <c r="AH959" i="1"/>
  <c r="AH961" i="1"/>
  <c r="AH965" i="1"/>
  <c r="AH966" i="1"/>
  <c r="AH971" i="1"/>
  <c r="AH973" i="1"/>
  <c r="AH977" i="1"/>
  <c r="AH983" i="1"/>
  <c r="AH985" i="1"/>
  <c r="AH989" i="1"/>
  <c r="AH991" i="1"/>
  <c r="AH995" i="1"/>
  <c r="AH997" i="1"/>
  <c r="AH1001" i="1"/>
  <c r="AH1003" i="1"/>
  <c r="AH1007" i="1"/>
  <c r="AH1013" i="1"/>
  <c r="AH1019" i="1"/>
  <c r="AH1021" i="1"/>
  <c r="AH1025" i="1"/>
  <c r="AH1027" i="1"/>
  <c r="AH1031" i="1"/>
  <c r="AH1033" i="1"/>
  <c r="AH1037" i="1"/>
  <c r="AH1038" i="1"/>
  <c r="AH1039" i="1"/>
  <c r="AH1043" i="1"/>
  <c r="AH1045" i="1"/>
  <c r="AH1049" i="1"/>
  <c r="AH1055" i="1"/>
  <c r="AH1057" i="1"/>
  <c r="AH1061" i="1"/>
  <c r="AH1062" i="1"/>
  <c r="AH1063" i="1"/>
  <c r="AH1067" i="1"/>
  <c r="AH1069" i="1"/>
  <c r="AH1073" i="1"/>
  <c r="AH1079" i="1"/>
  <c r="AH1081" i="1"/>
  <c r="AH1085" i="1"/>
  <c r="AH1091" i="1"/>
  <c r="AH1093" i="1"/>
  <c r="AH1097" i="1"/>
  <c r="AH1098" i="1"/>
  <c r="AH1099" i="1"/>
  <c r="AH1103" i="1"/>
  <c r="AH1105" i="1"/>
  <c r="AH1109" i="1"/>
  <c r="AH1110" i="1"/>
  <c r="AH1111" i="1"/>
  <c r="AH1115" i="1"/>
  <c r="AH1121" i="1"/>
  <c r="AH1122" i="1"/>
  <c r="AH1127" i="1"/>
  <c r="AH1128" i="1"/>
  <c r="AH1129" i="1"/>
  <c r="AH1133" i="1"/>
  <c r="AH1135" i="1"/>
  <c r="AH1139" i="1"/>
  <c r="AH1140" i="1"/>
  <c r="AH1141" i="1"/>
  <c r="AH1145" i="1"/>
  <c r="AH1146" i="1"/>
  <c r="AH1147" i="1"/>
  <c r="AH1151" i="1"/>
  <c r="AH1153" i="1"/>
  <c r="AH1157" i="1"/>
  <c r="AH1163" i="1"/>
  <c r="AH1165" i="1"/>
  <c r="AH1169" i="1"/>
  <c r="AH1170" i="1"/>
  <c r="AH1171" i="1"/>
  <c r="AH1175" i="1"/>
  <c r="AH1177" i="1"/>
  <c r="AH1181" i="1"/>
  <c r="AH1187" i="1"/>
  <c r="AH1189" i="1"/>
  <c r="AH1193" i="1"/>
  <c r="AH1199" i="1"/>
  <c r="AH1201" i="1"/>
  <c r="AH1205" i="1"/>
  <c r="AH1206" i="1"/>
  <c r="AH1207" i="1"/>
  <c r="AH1211" i="1"/>
  <c r="AH1213" i="1"/>
  <c r="AH1217" i="1"/>
  <c r="AH1218" i="1"/>
  <c r="AH1219" i="1"/>
  <c r="AH1223" i="1"/>
  <c r="AH1229" i="1"/>
  <c r="AH1235" i="1"/>
  <c r="AH1237" i="1"/>
  <c r="AH1241" i="1"/>
  <c r="AH1243" i="1"/>
  <c r="AH1247" i="1"/>
  <c r="AH1249" i="1"/>
  <c r="AH1253" i="1"/>
  <c r="AH1255" i="1"/>
  <c r="AH1259" i="1"/>
  <c r="AH1261" i="1"/>
  <c r="AH1265" i="1"/>
  <c r="AH1271" i="1"/>
  <c r="AH1273" i="1"/>
  <c r="AH1277" i="1"/>
  <c r="AH1278" i="1"/>
  <c r="AH1279" i="1"/>
  <c r="AH1283" i="1"/>
  <c r="AH1285" i="1"/>
  <c r="AH1289" i="1"/>
  <c r="AH1290" i="1"/>
  <c r="AH1295" i="1"/>
  <c r="AH1297" i="1"/>
  <c r="AH1301" i="1"/>
  <c r="AH1307" i="1"/>
  <c r="AH1309" i="1"/>
  <c r="AH1313" i="1"/>
  <c r="AH1315" i="1"/>
  <c r="AH1319" i="1"/>
  <c r="AH1321" i="1"/>
  <c r="AH1325" i="1"/>
  <c r="AH1327" i="1"/>
  <c r="AH1331" i="1"/>
  <c r="AH1337" i="1"/>
  <c r="AH1343" i="1"/>
  <c r="AH1344" i="1"/>
  <c r="AH1345" i="1"/>
  <c r="AI23" i="1"/>
  <c r="AI29" i="1"/>
  <c r="AI30" i="1"/>
  <c r="AI31" i="1"/>
  <c r="AI35" i="1"/>
  <c r="AI37" i="1"/>
  <c r="AI41" i="1"/>
  <c r="AI42" i="1"/>
  <c r="AI47" i="1"/>
  <c r="AI53" i="1"/>
  <c r="AI55" i="1"/>
  <c r="AI59" i="1"/>
  <c r="AI61" i="1"/>
  <c r="AI65" i="1"/>
  <c r="AI67" i="1"/>
  <c r="AI71" i="1"/>
  <c r="AI73" i="1"/>
  <c r="AI77" i="1"/>
  <c r="AI83" i="1"/>
  <c r="AI85" i="1"/>
  <c r="AI89" i="1"/>
  <c r="AI95" i="1"/>
  <c r="AI96" i="1"/>
  <c r="AI97" i="1"/>
  <c r="AI101" i="1"/>
  <c r="AI102" i="1"/>
  <c r="AI103" i="1"/>
  <c r="AI107" i="1"/>
  <c r="AI109" i="1"/>
  <c r="AI113" i="1"/>
  <c r="AI119" i="1"/>
  <c r="AI121" i="1"/>
  <c r="AI125" i="1"/>
  <c r="AI126" i="1"/>
  <c r="AI127" i="1"/>
  <c r="AI131" i="1"/>
  <c r="AI137" i="1"/>
  <c r="AI139" i="1"/>
  <c r="AI143" i="1"/>
  <c r="AI145" i="1"/>
  <c r="AI149" i="1"/>
  <c r="AI150" i="1"/>
  <c r="AI155" i="1"/>
  <c r="AI161" i="1"/>
  <c r="AI163" i="1"/>
  <c r="AI167" i="1"/>
  <c r="AI168" i="1"/>
  <c r="AI169" i="1"/>
  <c r="AI173" i="1"/>
  <c r="AI175" i="1"/>
  <c r="AI179" i="1"/>
  <c r="AI181" i="1"/>
  <c r="AI185" i="1"/>
  <c r="AI191" i="1"/>
  <c r="AI193" i="1"/>
  <c r="AI197" i="1"/>
  <c r="AI203" i="1"/>
  <c r="AI204" i="1"/>
  <c r="AI205" i="1"/>
  <c r="AI209" i="1"/>
  <c r="AI210" i="1"/>
  <c r="AI211" i="1"/>
  <c r="AI215" i="1"/>
  <c r="AI217" i="1"/>
  <c r="AI221" i="1"/>
  <c r="AI222" i="1"/>
  <c r="AI227" i="1"/>
  <c r="AI229" i="1"/>
  <c r="AI233" i="1"/>
  <c r="AI235" i="1"/>
  <c r="AI239" i="1"/>
  <c r="AI245" i="1"/>
  <c r="AI247" i="1"/>
  <c r="AI251" i="1"/>
  <c r="AI253" i="1"/>
  <c r="AI257" i="1"/>
  <c r="AI258" i="1"/>
  <c r="AI263" i="1"/>
  <c r="AI264" i="1"/>
  <c r="AI269" i="1"/>
  <c r="AI271" i="1"/>
  <c r="AI275" i="1"/>
  <c r="AI277" i="1"/>
  <c r="AI281" i="1"/>
  <c r="AI283" i="1"/>
  <c r="AI287" i="1"/>
  <c r="AI289" i="1"/>
  <c r="AI293" i="1"/>
  <c r="AI299" i="1"/>
  <c r="AI301" i="1"/>
  <c r="AI305" i="1"/>
  <c r="AI311" i="1"/>
  <c r="AI312" i="1"/>
  <c r="AI313" i="1"/>
  <c r="AI317" i="1"/>
  <c r="AI318" i="1"/>
  <c r="AI319" i="1"/>
  <c r="AI323" i="1"/>
  <c r="AI325" i="1"/>
  <c r="AI329" i="1"/>
  <c r="AI335" i="1"/>
  <c r="AI336" i="1"/>
  <c r="AI337" i="1"/>
  <c r="AI341" i="1"/>
  <c r="AI343" i="1"/>
  <c r="AI347" i="1"/>
  <c r="AI353" i="1"/>
  <c r="AI355" i="1"/>
  <c r="AI359" i="1"/>
  <c r="AI361" i="1"/>
  <c r="AI365" i="1"/>
  <c r="AI366" i="1"/>
  <c r="AI371" i="1"/>
  <c r="AI377" i="1"/>
  <c r="AI379" i="1"/>
  <c r="AI383" i="1"/>
  <c r="AI385" i="1"/>
  <c r="AI389" i="1"/>
  <c r="AI391" i="1"/>
  <c r="AI395" i="1"/>
  <c r="AI397" i="1"/>
  <c r="AI401" i="1"/>
  <c r="AI407" i="1"/>
  <c r="AI409" i="1"/>
  <c r="AI413" i="1"/>
  <c r="AI419" i="1"/>
  <c r="AI421" i="1"/>
  <c r="AI425" i="1"/>
  <c r="AI427" i="1"/>
  <c r="AI431" i="1"/>
  <c r="AI433" i="1"/>
  <c r="AI437" i="1"/>
  <c r="AI443" i="1"/>
  <c r="AI444" i="1"/>
  <c r="AI445" i="1"/>
  <c r="AI449" i="1"/>
  <c r="AI450" i="1"/>
  <c r="AI451" i="1"/>
  <c r="AI455" i="1"/>
  <c r="AI456" i="1"/>
  <c r="AI461" i="1"/>
  <c r="AI463" i="1"/>
  <c r="AI467" i="1"/>
  <c r="AI469" i="1"/>
  <c r="AI473" i="1"/>
  <c r="AI474" i="1"/>
  <c r="AI479" i="1"/>
  <c r="AI480" i="1"/>
  <c r="AI485" i="1"/>
  <c r="AI487" i="1"/>
  <c r="AI491" i="1"/>
  <c r="AI493" i="1"/>
  <c r="AI497" i="1"/>
  <c r="AI499" i="1"/>
  <c r="AI503" i="1"/>
  <c r="AI505" i="1"/>
  <c r="AI509" i="1"/>
  <c r="AI510" i="1"/>
  <c r="AI515" i="1"/>
  <c r="AI517" i="1"/>
  <c r="AI521" i="1"/>
  <c r="AI527" i="1"/>
  <c r="AI529" i="1"/>
  <c r="AI533" i="1"/>
  <c r="AI534" i="1"/>
  <c r="AI535" i="1"/>
  <c r="AI539" i="1"/>
  <c r="AI541" i="1"/>
  <c r="AI545" i="1"/>
  <c r="AI551" i="1"/>
  <c r="AI553" i="1"/>
  <c r="AI557" i="1"/>
  <c r="AI558" i="1"/>
  <c r="AI559" i="1"/>
  <c r="AI563" i="1"/>
  <c r="AI569" i="1"/>
  <c r="AI571" i="1"/>
  <c r="AI575" i="1"/>
  <c r="AI577" i="1"/>
  <c r="AI581" i="1"/>
  <c r="AI582" i="1"/>
  <c r="AI587" i="1"/>
  <c r="AI588" i="1"/>
  <c r="AI593" i="1"/>
  <c r="AI594" i="1"/>
  <c r="AI595" i="1"/>
  <c r="AI599" i="1"/>
  <c r="AI601" i="1"/>
  <c r="AI605" i="1"/>
  <c r="AI607" i="1"/>
  <c r="AI611" i="1"/>
  <c r="AI613" i="1"/>
  <c r="AI617" i="1"/>
  <c r="AI623" i="1"/>
  <c r="AI625" i="1"/>
  <c r="AI629" i="1"/>
  <c r="AI635" i="1"/>
  <c r="AI637" i="1"/>
  <c r="AI641" i="1"/>
  <c r="AI643" i="1"/>
  <c r="AI647" i="1"/>
  <c r="AI649" i="1"/>
  <c r="AI653" i="1"/>
  <c r="AI659" i="1"/>
  <c r="AI660" i="1"/>
  <c r="AI661" i="1"/>
  <c r="AI665" i="1"/>
  <c r="AI667" i="1"/>
  <c r="AI671" i="1"/>
  <c r="AI677" i="1"/>
  <c r="AI678" i="1"/>
  <c r="AI679" i="1"/>
  <c r="AI683" i="1"/>
  <c r="AI685" i="1"/>
  <c r="AI689" i="1"/>
  <c r="AI690" i="1"/>
  <c r="AI695" i="1"/>
  <c r="AI701" i="1"/>
  <c r="AI703" i="1"/>
  <c r="AI707" i="1"/>
  <c r="AI709" i="1"/>
  <c r="AI713" i="1"/>
  <c r="AI715" i="1"/>
  <c r="AI719" i="1"/>
  <c r="AI721" i="1"/>
  <c r="AI725" i="1"/>
  <c r="AI731" i="1"/>
  <c r="AI733" i="1"/>
  <c r="AI737" i="1"/>
  <c r="AI743" i="1"/>
  <c r="AI744" i="1"/>
  <c r="AI745" i="1"/>
  <c r="AI749" i="1"/>
  <c r="AI750" i="1"/>
  <c r="AI751" i="1"/>
  <c r="AI755" i="1"/>
  <c r="AI757" i="1"/>
  <c r="AI761" i="1"/>
  <c r="AI767" i="1"/>
  <c r="AI769" i="1"/>
  <c r="AI773" i="1"/>
  <c r="AI774" i="1"/>
  <c r="AI775" i="1"/>
  <c r="AI779" i="1"/>
  <c r="AI785" i="1"/>
  <c r="AI787" i="1"/>
  <c r="AI791" i="1"/>
  <c r="AI793" i="1"/>
  <c r="AI797" i="1"/>
  <c r="AI798" i="1"/>
  <c r="AI803" i="1"/>
  <c r="AI809" i="1"/>
  <c r="AI811" i="1"/>
  <c r="AI815" i="1"/>
  <c r="AI816" i="1"/>
  <c r="AI817" i="1"/>
  <c r="AI821" i="1"/>
  <c r="AI823" i="1"/>
  <c r="AI827" i="1"/>
  <c r="AI829" i="1"/>
  <c r="AI833" i="1"/>
  <c r="AI839" i="1"/>
  <c r="AI841" i="1"/>
  <c r="AI845" i="1"/>
  <c r="AI851" i="1"/>
  <c r="AI852" i="1"/>
  <c r="AI853" i="1"/>
  <c r="AI857" i="1"/>
  <c r="AI858" i="1"/>
  <c r="AI859" i="1"/>
  <c r="AI863" i="1"/>
  <c r="AI865" i="1"/>
  <c r="AI869" i="1"/>
  <c r="AI870" i="1"/>
  <c r="AI875" i="1"/>
  <c r="AI877" i="1"/>
  <c r="AI881" i="1"/>
  <c r="AI883" i="1"/>
  <c r="AI887" i="1"/>
  <c r="AI893" i="1"/>
  <c r="AI895" i="1"/>
  <c r="AI899" i="1"/>
  <c r="AI901" i="1"/>
  <c r="AI905" i="1"/>
  <c r="AI906" i="1"/>
  <c r="AI911" i="1"/>
  <c r="AI912" i="1"/>
  <c r="AI917" i="1"/>
  <c r="AI919" i="1"/>
  <c r="AI923" i="1"/>
  <c r="AI925" i="1"/>
  <c r="AI929" i="1"/>
  <c r="AI931" i="1"/>
  <c r="AI935" i="1"/>
  <c r="AI937" i="1"/>
  <c r="AI941" i="1"/>
  <c r="AI947" i="1"/>
  <c r="AI949" i="1"/>
  <c r="AI953" i="1"/>
  <c r="AI959" i="1"/>
  <c r="AI960" i="1"/>
  <c r="AI961" i="1"/>
  <c r="AI965" i="1"/>
  <c r="AI966" i="1"/>
  <c r="AI967" i="1"/>
  <c r="AI971" i="1"/>
  <c r="AI973" i="1"/>
  <c r="AI977" i="1"/>
  <c r="AI983" i="1"/>
  <c r="AI984" i="1"/>
  <c r="AI985" i="1"/>
  <c r="AI989" i="1"/>
  <c r="AI991" i="1"/>
  <c r="AI995" i="1"/>
  <c r="AI1001" i="1"/>
  <c r="AI1003" i="1"/>
  <c r="AI1007" i="1"/>
  <c r="AI1009" i="1"/>
  <c r="AI1013" i="1"/>
  <c r="AI1014" i="1"/>
  <c r="AI1019" i="1"/>
  <c r="AI1025" i="1"/>
  <c r="AI1027" i="1"/>
  <c r="AI1031" i="1"/>
  <c r="AI1033" i="1"/>
  <c r="AI1037" i="1"/>
  <c r="AI1039" i="1"/>
  <c r="AI1043" i="1"/>
  <c r="AI1045" i="1"/>
  <c r="AI1049" i="1"/>
  <c r="AI1055" i="1"/>
  <c r="AI1057" i="1"/>
  <c r="AI1061" i="1"/>
  <c r="AI1067" i="1"/>
  <c r="AI1069" i="1"/>
  <c r="AI1073" i="1"/>
  <c r="AI1075" i="1"/>
  <c r="AI1079" i="1"/>
  <c r="AI1081" i="1"/>
  <c r="AI1085" i="1"/>
  <c r="AI1091" i="1"/>
  <c r="AI1092" i="1"/>
  <c r="AI1093" i="1"/>
  <c r="AI1097" i="1"/>
  <c r="AI1098" i="1"/>
  <c r="AI1099" i="1"/>
  <c r="AI1103" i="1"/>
  <c r="AI1104" i="1"/>
  <c r="AI1109" i="1"/>
  <c r="AI1111" i="1"/>
  <c r="AI1115" i="1"/>
  <c r="AI1117" i="1"/>
  <c r="AI1121" i="1"/>
  <c r="AI1122" i="1"/>
  <c r="AI1127" i="1"/>
  <c r="AI1128" i="1"/>
  <c r="AI1133" i="1"/>
  <c r="AI1135" i="1"/>
  <c r="AI1139" i="1"/>
  <c r="AI1141" i="1"/>
  <c r="AI1145" i="1"/>
  <c r="AI1146" i="1"/>
  <c r="AI1147" i="1"/>
  <c r="AI1151" i="1"/>
  <c r="AI1153" i="1"/>
  <c r="AI1157" i="1"/>
  <c r="AI1159" i="1"/>
  <c r="AI1163" i="1"/>
  <c r="AI1164" i="1"/>
  <c r="AI1168" i="1"/>
  <c r="AI1169" i="1"/>
  <c r="AI1171" i="1"/>
  <c r="AI1175" i="1"/>
  <c r="AI1177" i="1"/>
  <c r="AI1181" i="1"/>
  <c r="AI1183" i="1"/>
  <c r="AI1187" i="1"/>
  <c r="AI1189" i="1"/>
  <c r="AI1193" i="1"/>
  <c r="AI1195" i="1"/>
  <c r="AI1199" i="1"/>
  <c r="AI1205" i="1"/>
  <c r="AI1206" i="1"/>
  <c r="AI1207" i="1"/>
  <c r="AI1211" i="1"/>
  <c r="AI1212" i="1"/>
  <c r="AI1213" i="1"/>
  <c r="AI1217" i="1"/>
  <c r="AI1218" i="1"/>
  <c r="AI1219" i="1"/>
  <c r="AI1223" i="1"/>
  <c r="AI1225" i="1"/>
  <c r="AI1229" i="1"/>
  <c r="AI1231" i="1"/>
  <c r="AI1235" i="1"/>
  <c r="AI1241" i="1"/>
  <c r="AI1243" i="1"/>
  <c r="AI1247" i="1"/>
  <c r="AI1249" i="1"/>
  <c r="AI1253" i="1"/>
  <c r="AI1255" i="1"/>
  <c r="AI1259" i="1"/>
  <c r="AI1261" i="1"/>
  <c r="AI1263" i="1"/>
  <c r="AI1265" i="1"/>
  <c r="AI1267" i="1"/>
  <c r="AI1271" i="1"/>
  <c r="AI1277" i="1"/>
  <c r="AI1279" i="1"/>
  <c r="AI1282" i="1"/>
  <c r="AI1283" i="1"/>
  <c r="AI1285" i="1"/>
  <c r="AI1289" i="1"/>
  <c r="AI1290" i="1"/>
  <c r="AI1291" i="1"/>
  <c r="AI1295" i="1"/>
  <c r="AI1297" i="1"/>
  <c r="AI1301" i="1"/>
  <c r="AI1303" i="1"/>
  <c r="AI1307" i="1"/>
  <c r="AI1313" i="1"/>
  <c r="AI1314" i="1"/>
  <c r="AI1315" i="1"/>
  <c r="AI1319" i="1"/>
  <c r="AI1320" i="1"/>
  <c r="AI1321" i="1"/>
  <c r="AI1325" i="1"/>
  <c r="AI1326" i="1"/>
  <c r="AI1327" i="1"/>
  <c r="AI1331" i="1"/>
  <c r="AI1333" i="1"/>
  <c r="AI1337" i="1"/>
  <c r="AI1339" i="1"/>
  <c r="AI1343" i="1"/>
  <c r="AJ21" i="1"/>
  <c r="AJ22" i="1"/>
  <c r="AL22" i="1" s="1"/>
  <c r="AJ23" i="1"/>
  <c r="AL23" i="1" s="1"/>
  <c r="AJ24" i="1"/>
  <c r="AJ25" i="1"/>
  <c r="AJ26" i="1"/>
  <c r="AJ27" i="1"/>
  <c r="AJ28" i="1"/>
  <c r="AJ29" i="1"/>
  <c r="AJ30" i="1"/>
  <c r="AL30" i="1" s="1"/>
  <c r="AJ31" i="1"/>
  <c r="AJ32" i="1"/>
  <c r="AJ33" i="1"/>
  <c r="AJ34" i="1"/>
  <c r="AL34" i="1" s="1"/>
  <c r="AJ35" i="1"/>
  <c r="AJ36" i="1"/>
  <c r="AJ37" i="1"/>
  <c r="AL37" i="1" s="1"/>
  <c r="AJ38" i="1"/>
  <c r="AJ39" i="1"/>
  <c r="AJ40" i="1"/>
  <c r="AL40" i="1" s="1"/>
  <c r="AJ41" i="1"/>
  <c r="AJ42" i="1"/>
  <c r="AJ43" i="1"/>
  <c r="AJ44" i="1"/>
  <c r="AJ45" i="1"/>
  <c r="AJ46" i="1"/>
  <c r="AL46" i="1" s="1"/>
  <c r="AJ47" i="1"/>
  <c r="AJ48" i="1"/>
  <c r="AL48" i="1" s="1"/>
  <c r="AJ49" i="1"/>
  <c r="AJ50" i="1"/>
  <c r="AJ51" i="1"/>
  <c r="AJ52" i="1"/>
  <c r="AL52" i="1" s="1"/>
  <c r="AJ53" i="1"/>
  <c r="AL53" i="1" s="1"/>
  <c r="AJ54" i="1"/>
  <c r="AJ55" i="1"/>
  <c r="AJ56" i="1"/>
  <c r="AJ57" i="1"/>
  <c r="AJ58" i="1"/>
  <c r="AL58" i="1" s="1"/>
  <c r="AJ59" i="1"/>
  <c r="AL59" i="1" s="1"/>
  <c r="AJ60" i="1"/>
  <c r="AJ61" i="1"/>
  <c r="AJ62" i="1"/>
  <c r="AJ63" i="1"/>
  <c r="AJ64" i="1"/>
  <c r="AL64" i="1" s="1"/>
  <c r="AJ65" i="1"/>
  <c r="AJ66" i="1"/>
  <c r="AL66" i="1" s="1"/>
  <c r="AJ67" i="1"/>
  <c r="AJ68" i="1"/>
  <c r="AJ69" i="1"/>
  <c r="AJ70" i="1"/>
  <c r="AL70" i="1" s="1"/>
  <c r="AJ71" i="1"/>
  <c r="AJ72" i="1"/>
  <c r="AL72" i="1" s="1"/>
  <c r="AJ73" i="1"/>
  <c r="AJ74" i="1"/>
  <c r="AJ75" i="1"/>
  <c r="AJ76" i="1"/>
  <c r="AL76" i="1" s="1"/>
  <c r="AJ77" i="1"/>
  <c r="AL77" i="1" s="1"/>
  <c r="AJ78" i="1"/>
  <c r="AJ79" i="1"/>
  <c r="AJ80" i="1"/>
  <c r="AJ81" i="1"/>
  <c r="AJ82" i="1"/>
  <c r="AL82" i="1" s="1"/>
  <c r="AJ83" i="1"/>
  <c r="AJ84" i="1"/>
  <c r="AJ85" i="1"/>
  <c r="AJ86" i="1"/>
  <c r="AJ87" i="1"/>
  <c r="AJ88" i="1"/>
  <c r="AL88" i="1" s="1"/>
  <c r="AJ89" i="1"/>
  <c r="AJ90" i="1"/>
  <c r="AJ91" i="1"/>
  <c r="AJ92" i="1"/>
  <c r="AJ93" i="1"/>
  <c r="AJ94" i="1"/>
  <c r="AL94" i="1" s="1"/>
  <c r="AJ95" i="1"/>
  <c r="AL95" i="1" s="1"/>
  <c r="AJ96" i="1"/>
  <c r="AL96" i="1" s="1"/>
  <c r="AJ97" i="1"/>
  <c r="AJ98" i="1"/>
  <c r="AJ99" i="1"/>
  <c r="AJ100" i="1"/>
  <c r="AL100" i="1" s="1"/>
  <c r="AJ101" i="1"/>
  <c r="AJ102" i="1"/>
  <c r="AL102" i="1" s="1"/>
  <c r="AJ103" i="1"/>
  <c r="AJ104" i="1"/>
  <c r="AJ105" i="1"/>
  <c r="AJ106" i="1"/>
  <c r="AL106" i="1" s="1"/>
  <c r="AJ107" i="1"/>
  <c r="AJ108" i="1"/>
  <c r="AJ109" i="1"/>
  <c r="AJ110" i="1"/>
  <c r="AJ111" i="1"/>
  <c r="AJ112" i="1"/>
  <c r="AL112" i="1" s="1"/>
  <c r="AJ113" i="1"/>
  <c r="AL113" i="1" s="1"/>
  <c r="AJ114" i="1"/>
  <c r="AL114" i="1" s="1"/>
  <c r="AJ115" i="1"/>
  <c r="AJ116" i="1"/>
  <c r="AJ117" i="1"/>
  <c r="AJ118" i="1"/>
  <c r="AL118" i="1" s="1"/>
  <c r="AJ119" i="1"/>
  <c r="AJ120" i="1"/>
  <c r="AJ121" i="1"/>
  <c r="AJ122" i="1"/>
  <c r="AJ123" i="1"/>
  <c r="AJ124" i="1"/>
  <c r="AL124" i="1" s="1"/>
  <c r="AJ125" i="1"/>
  <c r="AL125" i="1" s="1"/>
  <c r="AJ126" i="1"/>
  <c r="AJ127" i="1"/>
  <c r="AJ128" i="1"/>
  <c r="AJ129" i="1"/>
  <c r="AJ130" i="1"/>
  <c r="AL130" i="1" s="1"/>
  <c r="AJ131" i="1"/>
  <c r="AJ132" i="1"/>
  <c r="AJ133" i="1"/>
  <c r="AJ134" i="1"/>
  <c r="AJ135" i="1"/>
  <c r="AJ136" i="1"/>
  <c r="AL136" i="1" s="1"/>
  <c r="AJ137" i="1"/>
  <c r="AL137" i="1" s="1"/>
  <c r="AJ138" i="1"/>
  <c r="AL138" i="1" s="1"/>
  <c r="AJ139" i="1"/>
  <c r="AJ140" i="1"/>
  <c r="AJ141" i="1"/>
  <c r="AJ142" i="1"/>
  <c r="AL142" i="1" s="1"/>
  <c r="AJ143" i="1"/>
  <c r="AL143" i="1" s="1"/>
  <c r="AJ144" i="1"/>
  <c r="AJ145" i="1"/>
  <c r="AL145" i="1" s="1"/>
  <c r="AJ146" i="1"/>
  <c r="AJ147" i="1"/>
  <c r="AJ148" i="1"/>
  <c r="AL148" i="1" s="1"/>
  <c r="AJ149" i="1"/>
  <c r="AJ150" i="1"/>
  <c r="AJ151" i="1"/>
  <c r="AJ152" i="1"/>
  <c r="AJ153" i="1"/>
  <c r="AJ154" i="1"/>
  <c r="AL154" i="1" s="1"/>
  <c r="AJ155" i="1"/>
  <c r="AL155" i="1" s="1"/>
  <c r="AJ156" i="1"/>
  <c r="AL156" i="1" s="1"/>
  <c r="AJ157" i="1"/>
  <c r="AJ158" i="1"/>
  <c r="AJ159" i="1"/>
  <c r="AJ160" i="1"/>
  <c r="AL160" i="1" s="1"/>
  <c r="AJ161" i="1"/>
  <c r="AJ162" i="1"/>
  <c r="AJ163" i="1"/>
  <c r="AJ164" i="1"/>
  <c r="AJ165" i="1"/>
  <c r="AJ166" i="1"/>
  <c r="AL166" i="1" s="1"/>
  <c r="AJ167" i="1"/>
  <c r="AL167" i="1" s="1"/>
  <c r="AJ168" i="1"/>
  <c r="AJ169" i="1"/>
  <c r="AJ170" i="1"/>
  <c r="AJ171" i="1"/>
  <c r="AJ172" i="1"/>
  <c r="AL172" i="1" s="1"/>
  <c r="AJ173" i="1"/>
  <c r="AL173" i="1" s="1"/>
  <c r="AJ174" i="1"/>
  <c r="AL174" i="1" s="1"/>
  <c r="AJ175" i="1"/>
  <c r="AJ176" i="1"/>
  <c r="AJ177" i="1"/>
  <c r="AJ178" i="1"/>
  <c r="AL178" i="1" s="1"/>
  <c r="AJ179" i="1"/>
  <c r="AL179" i="1" s="1"/>
  <c r="AJ180" i="1"/>
  <c r="AJ181" i="1"/>
  <c r="AL181" i="1" s="1"/>
  <c r="AJ182" i="1"/>
  <c r="AJ183" i="1"/>
  <c r="AJ184" i="1"/>
  <c r="AL184" i="1" s="1"/>
  <c r="AJ185" i="1"/>
  <c r="AJ186" i="1"/>
  <c r="AL186" i="1" s="1"/>
  <c r="AJ187" i="1"/>
  <c r="AJ188" i="1"/>
  <c r="AJ189" i="1"/>
  <c r="AJ190" i="1"/>
  <c r="AL190" i="1" s="1"/>
  <c r="AJ191" i="1"/>
  <c r="AJ192" i="1"/>
  <c r="AJ193" i="1"/>
  <c r="AJ194" i="1"/>
  <c r="AJ195" i="1"/>
  <c r="AJ196" i="1"/>
  <c r="AL196" i="1" s="1"/>
  <c r="AJ197" i="1"/>
  <c r="AL197" i="1" s="1"/>
  <c r="AJ198" i="1"/>
  <c r="AL198" i="1" s="1"/>
  <c r="AJ199" i="1"/>
  <c r="AJ200" i="1"/>
  <c r="AJ201" i="1"/>
  <c r="AJ202" i="1"/>
  <c r="AL202" i="1" s="1"/>
  <c r="AJ203" i="1"/>
  <c r="AL203" i="1" s="1"/>
  <c r="AJ204" i="1"/>
  <c r="AJ205" i="1"/>
  <c r="AJ206" i="1"/>
  <c r="AJ207" i="1"/>
  <c r="AJ208" i="1"/>
  <c r="AL208" i="1" s="1"/>
  <c r="AJ209" i="1"/>
  <c r="AL209" i="1" s="1"/>
  <c r="AJ210" i="1"/>
  <c r="AL210" i="1" s="1"/>
  <c r="AJ211" i="1"/>
  <c r="AJ212" i="1"/>
  <c r="AJ213" i="1"/>
  <c r="AJ214" i="1"/>
  <c r="AL214" i="1" s="1"/>
  <c r="AJ215" i="1"/>
  <c r="AL215" i="1" s="1"/>
  <c r="AJ216" i="1"/>
  <c r="AL216" i="1" s="1"/>
  <c r="AJ217" i="1"/>
  <c r="AJ218" i="1"/>
  <c r="AJ219" i="1"/>
  <c r="AJ220" i="1"/>
  <c r="AL220" i="1" s="1"/>
  <c r="AJ221" i="1"/>
  <c r="AL221" i="1" s="1"/>
  <c r="AJ222" i="1"/>
  <c r="AJ223" i="1"/>
  <c r="AJ224" i="1"/>
  <c r="AJ225" i="1"/>
  <c r="AJ226" i="1"/>
  <c r="AL226" i="1" s="1"/>
  <c r="AJ227" i="1"/>
  <c r="AJ228" i="1"/>
  <c r="AJ229" i="1"/>
  <c r="AJ230" i="1"/>
  <c r="AJ231" i="1"/>
  <c r="AJ232" i="1"/>
  <c r="AL232" i="1" s="1"/>
  <c r="AJ233" i="1"/>
  <c r="AL233" i="1" s="1"/>
  <c r="AJ234" i="1"/>
  <c r="AL234" i="1" s="1"/>
  <c r="AJ235" i="1"/>
  <c r="AJ236" i="1"/>
  <c r="AJ237" i="1"/>
  <c r="AJ238" i="1"/>
  <c r="AL238" i="1" s="1"/>
  <c r="AJ239" i="1"/>
  <c r="AJ240" i="1"/>
  <c r="AJ241" i="1"/>
  <c r="AJ242" i="1"/>
  <c r="AJ243" i="1"/>
  <c r="AJ244" i="1"/>
  <c r="AL244" i="1" s="1"/>
  <c r="AJ245" i="1"/>
  <c r="AL245" i="1" s="1"/>
  <c r="AJ246" i="1"/>
  <c r="AL246" i="1" s="1"/>
  <c r="AJ247" i="1"/>
  <c r="AJ248" i="1"/>
  <c r="AJ249" i="1"/>
  <c r="AJ250" i="1"/>
  <c r="AL250" i="1" s="1"/>
  <c r="AJ251" i="1"/>
  <c r="AJ252" i="1"/>
  <c r="AJ253" i="1"/>
  <c r="AL253" i="1" s="1"/>
  <c r="AJ254" i="1"/>
  <c r="AJ255" i="1"/>
  <c r="AJ256" i="1"/>
  <c r="AL256" i="1" s="1"/>
  <c r="AJ257" i="1"/>
  <c r="AJ258" i="1"/>
  <c r="AJ259" i="1"/>
  <c r="AJ260" i="1"/>
  <c r="AJ261" i="1"/>
  <c r="AJ262" i="1"/>
  <c r="AL262" i="1" s="1"/>
  <c r="AJ263" i="1"/>
  <c r="AJ264" i="1"/>
  <c r="AJ265" i="1"/>
  <c r="AJ266" i="1"/>
  <c r="AJ267" i="1"/>
  <c r="AJ268" i="1"/>
  <c r="AJ269" i="1"/>
  <c r="AJ270" i="1"/>
  <c r="AL270" i="1" s="1"/>
  <c r="AJ271" i="1"/>
  <c r="AJ272" i="1"/>
  <c r="AJ273" i="1"/>
  <c r="AJ274" i="1"/>
  <c r="AL274" i="1" s="1"/>
  <c r="AJ275" i="1"/>
  <c r="AL275" i="1" s="1"/>
  <c r="AJ276" i="1"/>
  <c r="AL276" i="1" s="1"/>
  <c r="AJ277" i="1"/>
  <c r="AJ278" i="1"/>
  <c r="AJ279" i="1"/>
  <c r="AJ280" i="1"/>
  <c r="AJ281" i="1"/>
  <c r="AL281" i="1" s="1"/>
  <c r="AJ282" i="1"/>
  <c r="AL282" i="1" s="1"/>
  <c r="AJ283" i="1"/>
  <c r="AJ284" i="1"/>
  <c r="AJ285" i="1"/>
  <c r="AJ286" i="1"/>
  <c r="AL286" i="1" s="1"/>
  <c r="AJ287" i="1"/>
  <c r="AL287" i="1" s="1"/>
  <c r="AJ288" i="1"/>
  <c r="AL288" i="1" s="1"/>
  <c r="AJ289" i="1"/>
  <c r="AJ290" i="1"/>
  <c r="AJ291" i="1"/>
  <c r="AJ292" i="1"/>
  <c r="AL292" i="1" s="1"/>
  <c r="AJ293" i="1"/>
  <c r="AJ294" i="1"/>
  <c r="AJ295" i="1"/>
  <c r="AJ296" i="1"/>
  <c r="AJ297" i="1"/>
  <c r="AJ298" i="1"/>
  <c r="AL298" i="1" s="1"/>
  <c r="AJ299" i="1"/>
  <c r="AL299" i="1" s="1"/>
  <c r="AJ300" i="1"/>
  <c r="AL300" i="1" s="1"/>
  <c r="AJ301" i="1"/>
  <c r="AJ302" i="1"/>
  <c r="AJ303" i="1"/>
  <c r="AJ304" i="1"/>
  <c r="AL304" i="1" s="1"/>
  <c r="AJ305" i="1"/>
  <c r="AJ306" i="1"/>
  <c r="AL306" i="1" s="1"/>
  <c r="AJ307" i="1"/>
  <c r="AJ308" i="1"/>
  <c r="AJ309" i="1"/>
  <c r="AJ310" i="1"/>
  <c r="AL310" i="1" s="1"/>
  <c r="AJ311" i="1"/>
  <c r="AL311" i="1" s="1"/>
  <c r="AJ312" i="1"/>
  <c r="AJ313" i="1"/>
  <c r="AJ314" i="1"/>
  <c r="AJ315" i="1"/>
  <c r="AJ316" i="1"/>
  <c r="AL316" i="1" s="1"/>
  <c r="AJ317" i="1"/>
  <c r="AL317" i="1" s="1"/>
  <c r="AJ318" i="1"/>
  <c r="AL318" i="1" s="1"/>
  <c r="AJ319" i="1"/>
  <c r="AJ320" i="1"/>
  <c r="AJ321" i="1"/>
  <c r="AJ322" i="1"/>
  <c r="AL322" i="1" s="1"/>
  <c r="AJ323" i="1"/>
  <c r="AL323" i="1" s="1"/>
  <c r="AJ324" i="1"/>
  <c r="AL324" i="1" s="1"/>
  <c r="AJ325" i="1"/>
  <c r="AL325" i="1" s="1"/>
  <c r="AJ326" i="1"/>
  <c r="AJ327" i="1"/>
  <c r="AJ328" i="1"/>
  <c r="AL328" i="1" s="1"/>
  <c r="AJ329" i="1"/>
  <c r="AJ330" i="1"/>
  <c r="AJ331" i="1"/>
  <c r="AJ332" i="1"/>
  <c r="AJ333" i="1"/>
  <c r="AJ334" i="1"/>
  <c r="AL334" i="1" s="1"/>
  <c r="AJ335" i="1"/>
  <c r="AJ336" i="1"/>
  <c r="AJ337" i="1"/>
  <c r="AJ338" i="1"/>
  <c r="AJ339" i="1"/>
  <c r="AJ340" i="1"/>
  <c r="AL340" i="1" s="1"/>
  <c r="AJ341" i="1"/>
  <c r="AJ342" i="1"/>
  <c r="AL342" i="1" s="1"/>
  <c r="AJ343" i="1"/>
  <c r="AJ344" i="1"/>
  <c r="AJ345" i="1"/>
  <c r="AJ346" i="1"/>
  <c r="AL346" i="1" s="1"/>
  <c r="AJ347" i="1"/>
  <c r="AJ348" i="1"/>
  <c r="AJ349" i="1"/>
  <c r="AJ350" i="1"/>
  <c r="AJ351" i="1"/>
  <c r="AJ352" i="1"/>
  <c r="AL352" i="1" s="1"/>
  <c r="AJ353" i="1"/>
  <c r="AJ354" i="1"/>
  <c r="AL354" i="1" s="1"/>
  <c r="AJ355" i="1"/>
  <c r="AJ356" i="1"/>
  <c r="AJ357" i="1"/>
  <c r="AJ358" i="1"/>
  <c r="AL358" i="1" s="1"/>
  <c r="AJ359" i="1"/>
  <c r="AJ360" i="1"/>
  <c r="AL360" i="1" s="1"/>
  <c r="AJ361" i="1"/>
  <c r="AJ362" i="1"/>
  <c r="AJ363" i="1"/>
  <c r="AJ364" i="1"/>
  <c r="AL364" i="1" s="1"/>
  <c r="AJ365" i="1"/>
  <c r="AJ366" i="1"/>
  <c r="AL366" i="1" s="1"/>
  <c r="AJ367" i="1"/>
  <c r="AJ368" i="1"/>
  <c r="AJ369" i="1"/>
  <c r="AJ370" i="1"/>
  <c r="AL370" i="1" s="1"/>
  <c r="AJ371" i="1"/>
  <c r="AJ372" i="1"/>
  <c r="AJ373" i="1"/>
  <c r="AJ374" i="1"/>
  <c r="AJ375" i="1"/>
  <c r="AJ376" i="1"/>
  <c r="AL376" i="1" s="1"/>
  <c r="AJ377" i="1"/>
  <c r="AL377" i="1" s="1"/>
  <c r="AJ378" i="1"/>
  <c r="AL378" i="1" s="1"/>
  <c r="AJ379" i="1"/>
  <c r="AJ380" i="1"/>
  <c r="AJ381" i="1"/>
  <c r="AJ382" i="1"/>
  <c r="AL382" i="1" s="1"/>
  <c r="AJ383" i="1"/>
  <c r="AJ384" i="1"/>
  <c r="AJ385" i="1"/>
  <c r="AJ386" i="1"/>
  <c r="AJ387" i="1"/>
  <c r="AJ388" i="1"/>
  <c r="AL388" i="1" s="1"/>
  <c r="AJ389" i="1"/>
  <c r="AJ390" i="1"/>
  <c r="AL390" i="1" s="1"/>
  <c r="AJ391" i="1"/>
  <c r="AJ392" i="1"/>
  <c r="AJ393" i="1"/>
  <c r="AJ394" i="1"/>
  <c r="AL394" i="1" s="1"/>
  <c r="AJ395" i="1"/>
  <c r="AL395" i="1" s="1"/>
  <c r="AJ396" i="1"/>
  <c r="AJ397" i="1"/>
  <c r="AJ398" i="1"/>
  <c r="AJ399" i="1"/>
  <c r="AJ400" i="1"/>
  <c r="AL400" i="1" s="1"/>
  <c r="AJ401" i="1"/>
  <c r="AJ402" i="1"/>
  <c r="AJ403" i="1"/>
  <c r="AJ404" i="1"/>
  <c r="AJ405" i="1"/>
  <c r="AJ406" i="1"/>
  <c r="AL406" i="1" s="1"/>
  <c r="AJ407" i="1"/>
  <c r="AJ408" i="1"/>
  <c r="AL408" i="1" s="1"/>
  <c r="AJ409" i="1"/>
  <c r="AJ410" i="1"/>
  <c r="AJ411" i="1"/>
  <c r="AJ412" i="1"/>
  <c r="AL412" i="1" s="1"/>
  <c r="AJ413" i="1"/>
  <c r="AL413" i="1" s="1"/>
  <c r="AJ414" i="1"/>
  <c r="AJ415" i="1"/>
  <c r="AJ416" i="1"/>
  <c r="AJ417" i="1"/>
  <c r="AJ418" i="1"/>
  <c r="AL418" i="1" s="1"/>
  <c r="AJ419" i="1"/>
  <c r="AL419" i="1" s="1"/>
  <c r="AJ420" i="1"/>
  <c r="AJ421" i="1"/>
  <c r="AJ422" i="1"/>
  <c r="AJ423" i="1"/>
  <c r="AJ424" i="1"/>
  <c r="AL424" i="1" s="1"/>
  <c r="AJ425" i="1"/>
  <c r="AJ426" i="1"/>
  <c r="AL426" i="1" s="1"/>
  <c r="AJ427" i="1"/>
  <c r="AJ428" i="1"/>
  <c r="AJ429" i="1"/>
  <c r="AJ430" i="1"/>
  <c r="AL430" i="1" s="1"/>
  <c r="AJ431" i="1"/>
  <c r="AL431" i="1" s="1"/>
  <c r="AJ432" i="1"/>
  <c r="AL432" i="1" s="1"/>
  <c r="AJ433" i="1"/>
  <c r="AJ434" i="1"/>
  <c r="AJ435" i="1"/>
  <c r="AJ436" i="1"/>
  <c r="AL436" i="1" s="1"/>
  <c r="AJ437" i="1"/>
  <c r="AL437" i="1" s="1"/>
  <c r="AJ438" i="1"/>
  <c r="AJ439" i="1"/>
  <c r="AJ440" i="1"/>
  <c r="AJ441" i="1"/>
  <c r="AJ442" i="1"/>
  <c r="AL442" i="1" s="1"/>
  <c r="AJ443" i="1"/>
  <c r="AJ444" i="1"/>
  <c r="AJ445" i="1"/>
  <c r="AJ446" i="1"/>
  <c r="AJ447" i="1"/>
  <c r="AJ448" i="1"/>
  <c r="AL448" i="1" s="1"/>
  <c r="AJ449" i="1"/>
  <c r="AJ450" i="1"/>
  <c r="AJ451" i="1"/>
  <c r="AJ452" i="1"/>
  <c r="AJ453" i="1"/>
  <c r="AJ454" i="1"/>
  <c r="AL454" i="1" s="1"/>
  <c r="AJ455" i="1"/>
  <c r="AJ456" i="1"/>
  <c r="AL456" i="1" s="1"/>
  <c r="AJ457" i="1"/>
  <c r="AJ458" i="1"/>
  <c r="AJ459" i="1"/>
  <c r="AJ460" i="1"/>
  <c r="AL460" i="1" s="1"/>
  <c r="AJ461" i="1"/>
  <c r="AL461" i="1" s="1"/>
  <c r="AJ462" i="1"/>
  <c r="AL462" i="1" s="1"/>
  <c r="AJ463" i="1"/>
  <c r="AJ464" i="1"/>
  <c r="AJ465" i="1"/>
  <c r="AJ466" i="1"/>
  <c r="AL466" i="1" s="1"/>
  <c r="AJ467" i="1"/>
  <c r="AL467" i="1" s="1"/>
  <c r="AJ468" i="1"/>
  <c r="AJ469" i="1"/>
  <c r="AL469" i="1" s="1"/>
  <c r="AJ470" i="1"/>
  <c r="AJ471" i="1"/>
  <c r="AJ472" i="1"/>
  <c r="AL472" i="1" s="1"/>
  <c r="AJ473" i="1"/>
  <c r="AJ474" i="1"/>
  <c r="AJ475" i="1"/>
  <c r="AJ476" i="1"/>
  <c r="AJ477" i="1"/>
  <c r="AJ478" i="1"/>
  <c r="AL478" i="1" s="1"/>
  <c r="AJ479" i="1"/>
  <c r="AJ480" i="1"/>
  <c r="AJ481" i="1"/>
  <c r="AJ482" i="1"/>
  <c r="AJ483" i="1"/>
  <c r="AJ484" i="1"/>
  <c r="AL484" i="1" s="1"/>
  <c r="AJ485" i="1"/>
  <c r="AJ486" i="1"/>
  <c r="AJ487" i="1"/>
  <c r="AJ488" i="1"/>
  <c r="AJ489" i="1"/>
  <c r="AJ490" i="1"/>
  <c r="AL490" i="1" s="1"/>
  <c r="AJ491" i="1"/>
  <c r="AJ492" i="1"/>
  <c r="AJ493" i="1"/>
  <c r="AJ494" i="1"/>
  <c r="AJ495" i="1"/>
  <c r="AJ496" i="1"/>
  <c r="AL496" i="1" s="1"/>
  <c r="AJ497" i="1"/>
  <c r="AJ498" i="1"/>
  <c r="AL498" i="1" s="1"/>
  <c r="AJ499" i="1"/>
  <c r="AJ500" i="1"/>
  <c r="AJ501" i="1"/>
  <c r="AJ502" i="1"/>
  <c r="AL502" i="1" s="1"/>
  <c r="AJ503" i="1"/>
  <c r="AJ504" i="1"/>
  <c r="AJ505" i="1"/>
  <c r="AL505" i="1" s="1"/>
  <c r="AJ506" i="1"/>
  <c r="AJ507" i="1"/>
  <c r="AJ508" i="1"/>
  <c r="AL508" i="1" s="1"/>
  <c r="AJ509" i="1"/>
  <c r="AJ510" i="1"/>
  <c r="AJ511" i="1"/>
  <c r="AJ512" i="1"/>
  <c r="AJ513" i="1"/>
  <c r="AJ514" i="1"/>
  <c r="AL514" i="1" s="1"/>
  <c r="AJ515" i="1"/>
  <c r="AJ516" i="1"/>
  <c r="AJ517" i="1"/>
  <c r="AJ518" i="1"/>
  <c r="AJ519" i="1"/>
  <c r="AJ520" i="1"/>
  <c r="AL520" i="1" s="1"/>
  <c r="AJ521" i="1"/>
  <c r="AL521" i="1" s="1"/>
  <c r="AJ522" i="1"/>
  <c r="AJ523" i="1"/>
  <c r="AJ524" i="1"/>
  <c r="AJ525" i="1"/>
  <c r="AJ526" i="1"/>
  <c r="AL526" i="1" s="1"/>
  <c r="AJ527" i="1"/>
  <c r="AJ528" i="1"/>
  <c r="AL528" i="1" s="1"/>
  <c r="AJ529" i="1"/>
  <c r="AJ530" i="1"/>
  <c r="AJ531" i="1"/>
  <c r="AJ532" i="1"/>
  <c r="AL532" i="1" s="1"/>
  <c r="AJ533" i="1"/>
  <c r="AJ534" i="1"/>
  <c r="AL534" i="1" s="1"/>
  <c r="AJ535" i="1"/>
  <c r="AJ536" i="1"/>
  <c r="AJ537" i="1"/>
  <c r="AJ538" i="1"/>
  <c r="AL538" i="1" s="1"/>
  <c r="AJ539" i="1"/>
  <c r="AL539" i="1" s="1"/>
  <c r="AJ540" i="1"/>
  <c r="AJ541" i="1"/>
  <c r="AJ542" i="1"/>
  <c r="AJ543" i="1"/>
  <c r="AJ544" i="1"/>
  <c r="AL544" i="1" s="1"/>
  <c r="AJ545" i="1"/>
  <c r="AL545" i="1" s="1"/>
  <c r="AJ546" i="1"/>
  <c r="AL546" i="1" s="1"/>
  <c r="AJ547" i="1"/>
  <c r="AJ548" i="1"/>
  <c r="AJ549" i="1"/>
  <c r="AJ550" i="1"/>
  <c r="AL550" i="1" s="1"/>
  <c r="AJ551" i="1"/>
  <c r="AJ552" i="1"/>
  <c r="AJ553" i="1"/>
  <c r="AJ554" i="1"/>
  <c r="AJ555" i="1"/>
  <c r="AJ556" i="1"/>
  <c r="AL556" i="1" s="1"/>
  <c r="AJ557" i="1"/>
  <c r="AL557" i="1" s="1"/>
  <c r="AJ558" i="1"/>
  <c r="AJ559" i="1"/>
  <c r="AJ560" i="1"/>
  <c r="AJ561" i="1"/>
  <c r="AJ562" i="1"/>
  <c r="AL562" i="1" s="1"/>
  <c r="AJ563" i="1"/>
  <c r="AJ564" i="1"/>
  <c r="AL564" i="1" s="1"/>
  <c r="AJ565" i="1"/>
  <c r="AJ566" i="1"/>
  <c r="AJ567" i="1"/>
  <c r="AJ568" i="1"/>
  <c r="AL568" i="1" s="1"/>
  <c r="AJ569" i="1"/>
  <c r="AL569" i="1" s="1"/>
  <c r="AJ570" i="1"/>
  <c r="AL570" i="1" s="1"/>
  <c r="AJ571" i="1"/>
  <c r="AJ572" i="1"/>
  <c r="AJ573" i="1"/>
  <c r="AJ574" i="1"/>
  <c r="AL574" i="1" s="1"/>
  <c r="AJ575" i="1"/>
  <c r="AJ576" i="1"/>
  <c r="AJ577" i="1"/>
  <c r="AL577" i="1" s="1"/>
  <c r="AJ578" i="1"/>
  <c r="AJ579" i="1"/>
  <c r="AJ580" i="1"/>
  <c r="AL580" i="1" s="1"/>
  <c r="AJ581" i="1"/>
  <c r="AJ582" i="1"/>
  <c r="AL582" i="1" s="1"/>
  <c r="AJ583" i="1"/>
  <c r="AJ584" i="1"/>
  <c r="AJ585" i="1"/>
  <c r="AJ586" i="1"/>
  <c r="AL586" i="1" s="1"/>
  <c r="AJ587" i="1"/>
  <c r="AL587" i="1" s="1"/>
  <c r="AJ588" i="1"/>
  <c r="AL588" i="1" s="1"/>
  <c r="AJ589" i="1"/>
  <c r="AJ590" i="1"/>
  <c r="AJ591" i="1"/>
  <c r="AJ592" i="1"/>
  <c r="AL592" i="1" s="1"/>
  <c r="AJ593" i="1"/>
  <c r="AJ594" i="1"/>
  <c r="AJ595" i="1"/>
  <c r="AJ596" i="1"/>
  <c r="AJ597" i="1"/>
  <c r="AJ598" i="1"/>
  <c r="AL598" i="1" s="1"/>
  <c r="AJ599" i="1"/>
  <c r="AJ600" i="1"/>
  <c r="AJ601" i="1"/>
  <c r="AJ602" i="1"/>
  <c r="AJ603" i="1"/>
  <c r="AJ604" i="1"/>
  <c r="AL604" i="1" s="1"/>
  <c r="AJ605" i="1"/>
  <c r="AJ606" i="1"/>
  <c r="AL606" i="1" s="1"/>
  <c r="AJ607" i="1"/>
  <c r="AJ608" i="1"/>
  <c r="AJ609" i="1"/>
  <c r="AJ610" i="1"/>
  <c r="AJ611" i="1"/>
  <c r="AJ612" i="1"/>
  <c r="AL612" i="1" s="1"/>
  <c r="AJ613" i="1"/>
  <c r="AL613" i="1" s="1"/>
  <c r="AJ614" i="1"/>
  <c r="AJ615" i="1"/>
  <c r="AJ616" i="1"/>
  <c r="AL616" i="1" s="1"/>
  <c r="AJ617" i="1"/>
  <c r="AJ618" i="1"/>
  <c r="AJ619" i="1"/>
  <c r="AJ620" i="1"/>
  <c r="AJ621" i="1"/>
  <c r="AJ622" i="1"/>
  <c r="AL622" i="1" s="1"/>
  <c r="AJ623" i="1"/>
  <c r="AL623" i="1" s="1"/>
  <c r="AJ624" i="1"/>
  <c r="AJ625" i="1"/>
  <c r="AJ626" i="1"/>
  <c r="AJ627" i="1"/>
  <c r="AJ628" i="1"/>
  <c r="AL628" i="1" s="1"/>
  <c r="AJ629" i="1"/>
  <c r="AL629" i="1" s="1"/>
  <c r="AJ630" i="1"/>
  <c r="AJ631" i="1"/>
  <c r="AJ632" i="1"/>
  <c r="AJ633" i="1"/>
  <c r="AJ634" i="1"/>
  <c r="AL634" i="1" s="1"/>
  <c r="AJ635" i="1"/>
  <c r="AL635" i="1" s="1"/>
  <c r="AJ636" i="1"/>
  <c r="AJ637" i="1"/>
  <c r="AJ638" i="1"/>
  <c r="AJ639" i="1"/>
  <c r="AJ640" i="1"/>
  <c r="AJ641" i="1"/>
  <c r="AJ642" i="1"/>
  <c r="AL642" i="1" s="1"/>
  <c r="AJ643" i="1"/>
  <c r="AJ644" i="1"/>
  <c r="AJ645" i="1"/>
  <c r="AJ646" i="1"/>
  <c r="AL646" i="1" s="1"/>
  <c r="AJ647" i="1"/>
  <c r="AJ648" i="1"/>
  <c r="AJ649" i="1"/>
  <c r="AJ650" i="1"/>
  <c r="AJ651" i="1"/>
  <c r="AJ652" i="1"/>
  <c r="AL652" i="1" s="1"/>
  <c r="AJ653" i="1"/>
  <c r="AL653" i="1" s="1"/>
  <c r="AJ654" i="1"/>
  <c r="AL654" i="1" s="1"/>
  <c r="AJ655" i="1"/>
  <c r="AJ656" i="1"/>
  <c r="AJ657" i="1"/>
  <c r="AJ658" i="1"/>
  <c r="AL658" i="1" s="1"/>
  <c r="AJ659" i="1"/>
  <c r="AJ660" i="1"/>
  <c r="AJ661" i="1"/>
  <c r="AJ662" i="1"/>
  <c r="AJ663" i="1"/>
  <c r="AJ664" i="1"/>
  <c r="AL664" i="1" s="1"/>
  <c r="AJ665" i="1"/>
  <c r="AJ666" i="1"/>
  <c r="AJ667" i="1"/>
  <c r="AJ668" i="1"/>
  <c r="AJ669" i="1"/>
  <c r="AJ670" i="1"/>
  <c r="AL670" i="1" s="1"/>
  <c r="AJ671" i="1"/>
  <c r="AJ672" i="1"/>
  <c r="AL672" i="1" s="1"/>
  <c r="AJ673" i="1"/>
  <c r="AJ674" i="1"/>
  <c r="AJ675" i="1"/>
  <c r="AJ676" i="1"/>
  <c r="AL676" i="1" s="1"/>
  <c r="AJ677" i="1"/>
  <c r="AJ678" i="1"/>
  <c r="AL678" i="1" s="1"/>
  <c r="AJ679" i="1"/>
  <c r="AJ680" i="1"/>
  <c r="AJ681" i="1"/>
  <c r="AJ682" i="1"/>
  <c r="AL682" i="1" s="1"/>
  <c r="AJ683" i="1"/>
  <c r="AJ684" i="1"/>
  <c r="AJ685" i="1"/>
  <c r="AJ686" i="1"/>
  <c r="AJ687" i="1"/>
  <c r="AJ688" i="1"/>
  <c r="AL688" i="1" s="1"/>
  <c r="AJ689" i="1"/>
  <c r="AL689" i="1" s="1"/>
  <c r="AJ690" i="1"/>
  <c r="AL690" i="1" s="1"/>
  <c r="AJ691" i="1"/>
  <c r="AJ692" i="1"/>
  <c r="AJ693" i="1"/>
  <c r="AJ694" i="1"/>
  <c r="AL694" i="1" s="1"/>
  <c r="AJ695" i="1"/>
  <c r="AL695" i="1" s="1"/>
  <c r="AJ696" i="1"/>
  <c r="AJ697" i="1"/>
  <c r="AJ698" i="1"/>
  <c r="AJ699" i="1"/>
  <c r="AJ700" i="1"/>
  <c r="AL700" i="1" s="1"/>
  <c r="AJ701" i="1"/>
  <c r="AL701" i="1" s="1"/>
  <c r="AJ702" i="1"/>
  <c r="AJ703" i="1"/>
  <c r="AJ704" i="1"/>
  <c r="AJ705" i="1"/>
  <c r="AJ706" i="1"/>
  <c r="AL706" i="1" s="1"/>
  <c r="AJ707" i="1"/>
  <c r="AJ708" i="1"/>
  <c r="AJ709" i="1"/>
  <c r="AJ710" i="1"/>
  <c r="AJ711" i="1"/>
  <c r="AJ712" i="1"/>
  <c r="AL712" i="1" s="1"/>
  <c r="AJ713" i="1"/>
  <c r="AJ714" i="1"/>
  <c r="AL714" i="1" s="1"/>
  <c r="AJ715" i="1"/>
  <c r="AJ716" i="1"/>
  <c r="AJ717" i="1"/>
  <c r="AJ718" i="1"/>
  <c r="AL718" i="1" s="1"/>
  <c r="AJ719" i="1"/>
  <c r="AJ720" i="1"/>
  <c r="AJ721" i="1"/>
  <c r="AJ722" i="1"/>
  <c r="AJ723" i="1"/>
  <c r="AJ724" i="1"/>
  <c r="AL724" i="1" s="1"/>
  <c r="AJ725" i="1"/>
  <c r="AL725" i="1" s="1"/>
  <c r="AJ726" i="1"/>
  <c r="AL726" i="1" s="1"/>
  <c r="AJ727" i="1"/>
  <c r="AJ728" i="1"/>
  <c r="AJ729" i="1"/>
  <c r="AJ730" i="1"/>
  <c r="AL730" i="1" s="1"/>
  <c r="AJ731" i="1"/>
  <c r="AL731" i="1" s="1"/>
  <c r="AJ732" i="1"/>
  <c r="AL732" i="1" s="1"/>
  <c r="AJ733" i="1"/>
  <c r="AJ734" i="1"/>
  <c r="AJ735" i="1"/>
  <c r="AJ736" i="1"/>
  <c r="AL736" i="1" s="1"/>
  <c r="AJ737" i="1"/>
  <c r="AL737" i="1" s="1"/>
  <c r="AJ738" i="1"/>
  <c r="AJ739" i="1"/>
  <c r="AJ740" i="1"/>
  <c r="AJ741" i="1"/>
  <c r="AJ742" i="1"/>
  <c r="AL742" i="1" s="1"/>
  <c r="AJ743" i="1"/>
  <c r="AJ744" i="1"/>
  <c r="AJ745" i="1"/>
  <c r="AJ746" i="1"/>
  <c r="AJ747" i="1"/>
  <c r="AJ748" i="1"/>
  <c r="AL748" i="1" s="1"/>
  <c r="AJ749" i="1"/>
  <c r="AJ750" i="1"/>
  <c r="AL750" i="1" s="1"/>
  <c r="AJ751" i="1"/>
  <c r="AJ752" i="1"/>
  <c r="AJ753" i="1"/>
  <c r="AJ754" i="1"/>
  <c r="AL754" i="1" s="1"/>
  <c r="AJ755" i="1"/>
  <c r="AL755" i="1" s="1"/>
  <c r="AJ756" i="1"/>
  <c r="AJ757" i="1"/>
  <c r="AL757" i="1" s="1"/>
  <c r="AJ758" i="1"/>
  <c r="AJ759" i="1"/>
  <c r="AJ760" i="1"/>
  <c r="AJ761" i="1"/>
  <c r="AL761" i="1" s="1"/>
  <c r="AJ762" i="1"/>
  <c r="AJ763" i="1"/>
  <c r="AJ764" i="1"/>
  <c r="AJ765" i="1"/>
  <c r="AJ766" i="1"/>
  <c r="AL766" i="1" s="1"/>
  <c r="AJ767" i="1"/>
  <c r="AL767" i="1" s="1"/>
  <c r="AJ768" i="1"/>
  <c r="AJ769" i="1"/>
  <c r="AJ770" i="1"/>
  <c r="AJ771" i="1"/>
  <c r="AJ772" i="1"/>
  <c r="AL772" i="1" s="1"/>
  <c r="AJ773" i="1"/>
  <c r="AL773" i="1" s="1"/>
  <c r="AJ774" i="1"/>
  <c r="AL774" i="1" s="1"/>
  <c r="AJ775" i="1"/>
  <c r="AJ776" i="1"/>
  <c r="AJ777" i="1"/>
  <c r="AJ778" i="1"/>
  <c r="AL778" i="1" s="1"/>
  <c r="AJ779" i="1"/>
  <c r="AL779" i="1" s="1"/>
  <c r="AJ780" i="1"/>
  <c r="AJ781" i="1"/>
  <c r="AJ782" i="1"/>
  <c r="AJ783" i="1"/>
  <c r="AJ784" i="1"/>
  <c r="AL784" i="1" s="1"/>
  <c r="AJ785" i="1"/>
  <c r="AJ786" i="1"/>
  <c r="AL786" i="1" s="1"/>
  <c r="AJ787" i="1"/>
  <c r="AJ788" i="1"/>
  <c r="AJ789" i="1"/>
  <c r="AJ790" i="1"/>
  <c r="AL790" i="1" s="1"/>
  <c r="AJ791" i="1"/>
  <c r="AJ792" i="1"/>
  <c r="AJ793" i="1"/>
  <c r="AJ794" i="1"/>
  <c r="AJ795" i="1"/>
  <c r="AJ796" i="1"/>
  <c r="AL796" i="1" s="1"/>
  <c r="AJ797" i="1"/>
  <c r="AJ798" i="1"/>
  <c r="AJ799" i="1"/>
  <c r="AJ800" i="1"/>
  <c r="AJ801" i="1"/>
  <c r="AJ802" i="1"/>
  <c r="AL802" i="1" s="1"/>
  <c r="AJ803" i="1"/>
  <c r="AL803" i="1" s="1"/>
  <c r="AJ804" i="1"/>
  <c r="AL804" i="1" s="1"/>
  <c r="AJ805" i="1"/>
  <c r="AJ806" i="1"/>
  <c r="AJ807" i="1"/>
  <c r="AJ808" i="1"/>
  <c r="AJ809" i="1"/>
  <c r="AJ810" i="1"/>
  <c r="AJ811" i="1"/>
  <c r="AJ812" i="1"/>
  <c r="AJ813" i="1"/>
  <c r="AJ814" i="1"/>
  <c r="AL814" i="1" s="1"/>
  <c r="AJ815" i="1"/>
  <c r="AJ816" i="1"/>
  <c r="AJ817" i="1"/>
  <c r="AJ818" i="1"/>
  <c r="AJ819" i="1"/>
  <c r="AJ820" i="1"/>
  <c r="AL820" i="1" s="1"/>
  <c r="AJ821" i="1"/>
  <c r="AJ822" i="1"/>
  <c r="AL822" i="1" s="1"/>
  <c r="AJ823" i="1"/>
  <c r="AJ824" i="1"/>
  <c r="AJ825" i="1"/>
  <c r="AJ826" i="1"/>
  <c r="AJ827" i="1"/>
  <c r="AJ828" i="1"/>
  <c r="AL828" i="1" s="1"/>
  <c r="AJ829" i="1"/>
  <c r="AJ830" i="1"/>
  <c r="AJ831" i="1"/>
  <c r="AJ832" i="1"/>
  <c r="AL832" i="1" s="1"/>
  <c r="AJ833" i="1"/>
  <c r="AJ834" i="1"/>
  <c r="AJ835" i="1"/>
  <c r="AJ836" i="1"/>
  <c r="AJ837" i="1"/>
  <c r="AJ838" i="1"/>
  <c r="AL838" i="1" s="1"/>
  <c r="AJ839" i="1"/>
  <c r="AL839" i="1" s="1"/>
  <c r="AJ840" i="1"/>
  <c r="AJ841" i="1"/>
  <c r="AJ842" i="1"/>
  <c r="AJ843" i="1"/>
  <c r="AJ844" i="1"/>
  <c r="AL844" i="1" s="1"/>
  <c r="AJ845" i="1"/>
  <c r="AJ846" i="1"/>
  <c r="AL846" i="1" s="1"/>
  <c r="AJ847" i="1"/>
  <c r="AJ848" i="1"/>
  <c r="AJ849" i="1"/>
  <c r="AJ850" i="1"/>
  <c r="AL850" i="1" s="1"/>
  <c r="AJ851" i="1"/>
  <c r="AL851" i="1" s="1"/>
  <c r="AJ852" i="1"/>
  <c r="AJ853" i="1"/>
  <c r="AJ854" i="1"/>
  <c r="AJ855" i="1"/>
  <c r="AJ856" i="1"/>
  <c r="AJ857" i="1"/>
  <c r="AL857" i="1" s="1"/>
  <c r="AJ858" i="1"/>
  <c r="AL858" i="1" s="1"/>
  <c r="AJ859" i="1"/>
  <c r="AJ860" i="1"/>
  <c r="AJ861" i="1"/>
  <c r="AJ862" i="1"/>
  <c r="AL862" i="1" s="1"/>
  <c r="AJ863" i="1"/>
  <c r="AJ864" i="1"/>
  <c r="AL864" i="1" s="1"/>
  <c r="AJ865" i="1"/>
  <c r="AL865" i="1" s="1"/>
  <c r="AJ866" i="1"/>
  <c r="AJ867" i="1"/>
  <c r="AJ868" i="1"/>
  <c r="AJ869" i="1"/>
  <c r="AL869" i="1" s="1"/>
  <c r="AJ870" i="1"/>
  <c r="AJ871" i="1"/>
  <c r="AJ872" i="1"/>
  <c r="AJ873" i="1"/>
  <c r="AJ874" i="1"/>
  <c r="AL874" i="1" s="1"/>
  <c r="AJ875" i="1"/>
  <c r="AL875" i="1" s="1"/>
  <c r="AJ876" i="1"/>
  <c r="AJ877" i="1"/>
  <c r="AJ878" i="1"/>
  <c r="AJ879" i="1"/>
  <c r="AJ880" i="1"/>
  <c r="AJ881" i="1"/>
  <c r="AJ882" i="1"/>
  <c r="AL882" i="1" s="1"/>
  <c r="AJ883" i="1"/>
  <c r="AJ884" i="1"/>
  <c r="AJ885" i="1"/>
  <c r="AJ886" i="1"/>
  <c r="AL886" i="1" s="1"/>
  <c r="AJ887" i="1"/>
  <c r="AJ888" i="1"/>
  <c r="AL888" i="1" s="1"/>
  <c r="AJ889" i="1"/>
  <c r="AJ890" i="1"/>
  <c r="AJ891" i="1"/>
  <c r="AJ892" i="1"/>
  <c r="AL892" i="1" s="1"/>
  <c r="AJ893" i="1"/>
  <c r="AJ894" i="1"/>
  <c r="AL894" i="1" s="1"/>
  <c r="AJ895" i="1"/>
  <c r="AJ896" i="1"/>
  <c r="AJ897" i="1"/>
  <c r="AJ898" i="1"/>
  <c r="AL898" i="1" s="1"/>
  <c r="AJ899" i="1"/>
  <c r="AL899" i="1" s="1"/>
  <c r="AJ900" i="1"/>
  <c r="AL900" i="1" s="1"/>
  <c r="AJ901" i="1"/>
  <c r="AL901" i="1" s="1"/>
  <c r="AJ902" i="1"/>
  <c r="AJ903" i="1"/>
  <c r="AJ904" i="1"/>
  <c r="AL904" i="1" s="1"/>
  <c r="AJ905" i="1"/>
  <c r="AL905" i="1" s="1"/>
  <c r="AJ906" i="1"/>
  <c r="AJ907" i="1"/>
  <c r="AJ908" i="1"/>
  <c r="AJ909" i="1"/>
  <c r="AJ910" i="1"/>
  <c r="AL910" i="1" s="1"/>
  <c r="AJ911" i="1"/>
  <c r="AJ912" i="1"/>
  <c r="AL912" i="1" s="1"/>
  <c r="AJ913" i="1"/>
  <c r="AJ914" i="1"/>
  <c r="AJ915" i="1"/>
  <c r="AJ916" i="1"/>
  <c r="AL916" i="1" s="1"/>
  <c r="AJ917" i="1"/>
  <c r="AJ918" i="1"/>
  <c r="AL918" i="1" s="1"/>
  <c r="AJ919" i="1"/>
  <c r="AJ920" i="1"/>
  <c r="AJ921" i="1"/>
  <c r="AJ922" i="1"/>
  <c r="AL922" i="1" s="1"/>
  <c r="AJ923" i="1"/>
  <c r="AL923" i="1" s="1"/>
  <c r="AJ924" i="1"/>
  <c r="AJ925" i="1"/>
  <c r="AJ926" i="1"/>
  <c r="AJ927" i="1"/>
  <c r="AJ928" i="1"/>
  <c r="AL928" i="1" s="1"/>
  <c r="AJ929" i="1"/>
  <c r="AL929" i="1" s="1"/>
  <c r="AJ930" i="1"/>
  <c r="AL930" i="1" s="1"/>
  <c r="AJ931" i="1"/>
  <c r="AJ932" i="1"/>
  <c r="AJ933" i="1"/>
  <c r="AJ934" i="1"/>
  <c r="AL934" i="1" s="1"/>
  <c r="AJ935" i="1"/>
  <c r="AL935" i="1" s="1"/>
  <c r="AJ936" i="1"/>
  <c r="AL936" i="1" s="1"/>
  <c r="AJ937" i="1"/>
  <c r="AL937" i="1" s="1"/>
  <c r="AJ938" i="1"/>
  <c r="AJ939" i="1"/>
  <c r="AJ940" i="1"/>
  <c r="AL940" i="1" s="1"/>
  <c r="AJ941" i="1"/>
  <c r="AJ942" i="1"/>
  <c r="AJ943" i="1"/>
  <c r="AJ944" i="1"/>
  <c r="AJ945" i="1"/>
  <c r="AJ946" i="1"/>
  <c r="AL946" i="1" s="1"/>
  <c r="AJ947" i="1"/>
  <c r="AJ948" i="1"/>
  <c r="AJ949" i="1"/>
  <c r="AJ950" i="1"/>
  <c r="AJ951" i="1"/>
  <c r="AJ952" i="1"/>
  <c r="AL952" i="1" s="1"/>
  <c r="AJ953" i="1"/>
  <c r="AJ954" i="1"/>
  <c r="AL954" i="1" s="1"/>
  <c r="AJ955" i="1"/>
  <c r="AJ956" i="1"/>
  <c r="AJ957" i="1"/>
  <c r="AJ958" i="1"/>
  <c r="AL958" i="1" s="1"/>
  <c r="AJ959" i="1"/>
  <c r="AJ960" i="1"/>
  <c r="AJ961" i="1"/>
  <c r="AJ962" i="1"/>
  <c r="AJ963" i="1"/>
  <c r="AJ964" i="1"/>
  <c r="AL964" i="1" s="1"/>
  <c r="AJ965" i="1"/>
  <c r="AL965" i="1" s="1"/>
  <c r="AJ966" i="1"/>
  <c r="AL966" i="1" s="1"/>
  <c r="AJ967" i="1"/>
  <c r="AJ968" i="1"/>
  <c r="AJ969" i="1"/>
  <c r="AJ970" i="1"/>
  <c r="AL970" i="1" s="1"/>
  <c r="AJ971" i="1"/>
  <c r="AL971" i="1" s="1"/>
  <c r="AJ972" i="1"/>
  <c r="AJ973" i="1"/>
  <c r="AJ974" i="1"/>
  <c r="AJ975" i="1"/>
  <c r="AJ976" i="1"/>
  <c r="AL976" i="1" s="1"/>
  <c r="AJ977" i="1"/>
  <c r="AJ978" i="1"/>
  <c r="AJ979" i="1"/>
  <c r="AJ980" i="1"/>
  <c r="AJ981" i="1"/>
  <c r="AJ982" i="1"/>
  <c r="AL982" i="1" s="1"/>
  <c r="AJ983" i="1"/>
  <c r="AJ984" i="1"/>
  <c r="AJ985" i="1"/>
  <c r="AJ986" i="1"/>
  <c r="AJ987" i="1"/>
  <c r="AJ988" i="1"/>
  <c r="AL988" i="1" s="1"/>
  <c r="AJ989" i="1"/>
  <c r="AL989" i="1" s="1"/>
  <c r="AJ990" i="1"/>
  <c r="AJ991" i="1"/>
  <c r="AJ992" i="1"/>
  <c r="AJ993" i="1"/>
  <c r="AJ994" i="1"/>
  <c r="AL994" i="1" s="1"/>
  <c r="AJ995" i="1"/>
  <c r="AJ996" i="1"/>
  <c r="AJ997" i="1"/>
  <c r="AJ998" i="1"/>
  <c r="AJ999" i="1"/>
  <c r="AJ1000" i="1"/>
  <c r="AJ1001" i="1"/>
  <c r="AJ1002" i="1"/>
  <c r="AL1002" i="1" s="1"/>
  <c r="AJ1003" i="1"/>
  <c r="AJ1004" i="1"/>
  <c r="AJ1005" i="1"/>
  <c r="AJ1006" i="1"/>
  <c r="AL1006" i="1" s="1"/>
  <c r="AJ1007" i="1"/>
  <c r="AL1007" i="1" s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L1018" i="1" s="1"/>
  <c r="AJ1019" i="1"/>
  <c r="AJ1020" i="1"/>
  <c r="AL1020" i="1" s="1"/>
  <c r="AJ1021" i="1"/>
  <c r="AJ1022" i="1"/>
  <c r="AJ1023" i="1"/>
  <c r="AJ1024" i="1"/>
  <c r="AL1024" i="1" s="1"/>
  <c r="AJ1025" i="1"/>
  <c r="AJ1026" i="1"/>
  <c r="AJ1027" i="1"/>
  <c r="AJ1028" i="1"/>
  <c r="AJ1029" i="1"/>
  <c r="AJ1030" i="1"/>
  <c r="AL1030" i="1" s="1"/>
  <c r="AJ1031" i="1"/>
  <c r="AJ1032" i="1"/>
  <c r="AJ1033" i="1"/>
  <c r="AJ1034" i="1"/>
  <c r="AJ1035" i="1"/>
  <c r="AJ1036" i="1"/>
  <c r="AL1036" i="1" s="1"/>
  <c r="AJ1037" i="1"/>
  <c r="AJ1038" i="1"/>
  <c r="AL1038" i="1" s="1"/>
  <c r="AJ1039" i="1"/>
  <c r="AJ1040" i="1"/>
  <c r="AJ1041" i="1"/>
  <c r="AJ1042" i="1"/>
  <c r="AL1042" i="1" s="1"/>
  <c r="AJ1043" i="1"/>
  <c r="AL1043" i="1" s="1"/>
  <c r="AJ1044" i="1"/>
  <c r="AL1044" i="1" s="1"/>
  <c r="AJ1045" i="1"/>
  <c r="AL1045" i="1" s="1"/>
  <c r="AJ1046" i="1"/>
  <c r="AJ1047" i="1"/>
  <c r="AJ1048" i="1"/>
  <c r="AL1048" i="1" s="1"/>
  <c r="AJ1049" i="1"/>
  <c r="AL1049" i="1" s="1"/>
  <c r="AJ1050" i="1"/>
  <c r="AJ1051" i="1"/>
  <c r="AJ1052" i="1"/>
  <c r="AJ1053" i="1"/>
  <c r="AJ1054" i="1"/>
  <c r="AJ1055" i="1"/>
  <c r="AL1055" i="1" s="1"/>
  <c r="AJ1056" i="1"/>
  <c r="AJ1057" i="1"/>
  <c r="AJ1058" i="1"/>
  <c r="AJ1059" i="1"/>
  <c r="AJ1060" i="1"/>
  <c r="AL1060" i="1" s="1"/>
  <c r="AJ1061" i="1"/>
  <c r="AJ1062" i="1"/>
  <c r="AJ1063" i="1"/>
  <c r="AJ1064" i="1"/>
  <c r="AJ1065" i="1"/>
  <c r="AJ1066" i="1"/>
  <c r="AL1066" i="1" s="1"/>
  <c r="AJ1067" i="1"/>
  <c r="AL1067" i="1" s="1"/>
  <c r="AJ1068" i="1"/>
  <c r="AJ1069" i="1"/>
  <c r="AJ1070" i="1"/>
  <c r="AJ1071" i="1"/>
  <c r="AJ1072" i="1"/>
  <c r="AL1072" i="1" s="1"/>
  <c r="AJ1073" i="1"/>
  <c r="AJ1074" i="1"/>
  <c r="AL1074" i="1" s="1"/>
  <c r="AJ1075" i="1"/>
  <c r="AJ1076" i="1"/>
  <c r="AJ1077" i="1"/>
  <c r="AJ1078" i="1"/>
  <c r="AL1078" i="1" s="1"/>
  <c r="AJ1079" i="1"/>
  <c r="AJ1080" i="1"/>
  <c r="AJ1081" i="1"/>
  <c r="AJ1082" i="1"/>
  <c r="AJ1083" i="1"/>
  <c r="AJ1084" i="1"/>
  <c r="AL1084" i="1" s="1"/>
  <c r="AJ1085" i="1"/>
  <c r="AJ1086" i="1"/>
  <c r="AL1086" i="1" s="1"/>
  <c r="AJ1087" i="1"/>
  <c r="AJ1088" i="1"/>
  <c r="AJ1089" i="1"/>
  <c r="AJ1090" i="1"/>
  <c r="AL1090" i="1" s="1"/>
  <c r="AJ1091" i="1"/>
  <c r="AL1091" i="1" s="1"/>
  <c r="AJ1092" i="1"/>
  <c r="AJ1093" i="1"/>
  <c r="AJ1094" i="1"/>
  <c r="AJ1095" i="1"/>
  <c r="AJ1096" i="1"/>
  <c r="AL1096" i="1" s="1"/>
  <c r="AJ1097" i="1"/>
  <c r="AL1097" i="1" s="1"/>
  <c r="AJ1098" i="1"/>
  <c r="AJ1099" i="1"/>
  <c r="AJ1100" i="1"/>
  <c r="AJ1101" i="1"/>
  <c r="AJ1102" i="1"/>
  <c r="AL1102" i="1" s="1"/>
  <c r="AJ1103" i="1"/>
  <c r="AL1103" i="1" s="1"/>
  <c r="AJ1104" i="1"/>
  <c r="AJ1105" i="1"/>
  <c r="AJ1106" i="1"/>
  <c r="AJ1107" i="1"/>
  <c r="AJ1108" i="1"/>
  <c r="AL1108" i="1" s="1"/>
  <c r="AJ1109" i="1"/>
  <c r="AJ1110" i="1"/>
  <c r="AL1110" i="1" s="1"/>
  <c r="AJ1111" i="1"/>
  <c r="AJ1112" i="1"/>
  <c r="AJ1113" i="1"/>
  <c r="AJ1114" i="1"/>
  <c r="AL1114" i="1" s="1"/>
  <c r="AJ1115" i="1"/>
  <c r="AL1115" i="1" s="1"/>
  <c r="AJ1116" i="1"/>
  <c r="AJ1117" i="1"/>
  <c r="AL1117" i="1" s="1"/>
  <c r="AJ1118" i="1"/>
  <c r="AJ1119" i="1"/>
  <c r="AJ1120" i="1"/>
  <c r="AL1120" i="1" s="1"/>
  <c r="AJ1121" i="1"/>
  <c r="AJ1122" i="1"/>
  <c r="AJ1123" i="1"/>
  <c r="AJ1124" i="1"/>
  <c r="AJ1125" i="1"/>
  <c r="AJ1126" i="1"/>
  <c r="AL1126" i="1" s="1"/>
  <c r="AJ1127" i="1"/>
  <c r="AL1127" i="1" s="1"/>
  <c r="AJ1128" i="1"/>
  <c r="AJ1129" i="1"/>
  <c r="AJ1130" i="1"/>
  <c r="AJ1131" i="1"/>
  <c r="AJ1132" i="1"/>
  <c r="AJ1133" i="1"/>
  <c r="AL1133" i="1" s="1"/>
  <c r="AJ1134" i="1"/>
  <c r="AL1134" i="1" s="1"/>
  <c r="AJ1135" i="1"/>
  <c r="AJ1136" i="1"/>
  <c r="AJ1137" i="1"/>
  <c r="AJ1138" i="1"/>
  <c r="AL1138" i="1" s="1"/>
  <c r="AJ1139" i="1"/>
  <c r="AJ1140" i="1"/>
  <c r="AJ1141" i="1"/>
  <c r="AJ1142" i="1"/>
  <c r="AJ1143" i="1"/>
  <c r="AJ1144" i="1"/>
  <c r="AL1144" i="1" s="1"/>
  <c r="AJ1145" i="1"/>
  <c r="AJ1146" i="1"/>
  <c r="AL1146" i="1" s="1"/>
  <c r="AJ1147" i="1"/>
  <c r="AJ1148" i="1"/>
  <c r="AJ1149" i="1"/>
  <c r="AJ1150" i="1"/>
  <c r="AL1150" i="1" s="1"/>
  <c r="AJ1151" i="1"/>
  <c r="AJ1152" i="1"/>
  <c r="AJ1153" i="1"/>
  <c r="AL1153" i="1" s="1"/>
  <c r="AJ1154" i="1"/>
  <c r="AJ1155" i="1"/>
  <c r="AJ1156" i="1"/>
  <c r="AL1156" i="1" s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L1168" i="1" s="1"/>
  <c r="AJ1169" i="1"/>
  <c r="AJ1170" i="1"/>
  <c r="AJ1171" i="1"/>
  <c r="AJ1172" i="1"/>
  <c r="AJ1173" i="1"/>
  <c r="AJ1174" i="1"/>
  <c r="AL1174" i="1" s="1"/>
  <c r="AJ1175" i="1"/>
  <c r="AJ1176" i="1"/>
  <c r="AL1176" i="1" s="1"/>
  <c r="AJ1177" i="1"/>
  <c r="AJ1178" i="1"/>
  <c r="AJ1179" i="1"/>
  <c r="AJ1180" i="1"/>
  <c r="AL1180" i="1" s="1"/>
  <c r="AJ1181" i="1"/>
  <c r="AJ1182" i="1"/>
  <c r="AL1182" i="1" s="1"/>
  <c r="AJ1183" i="1"/>
  <c r="AJ1184" i="1"/>
  <c r="AJ1185" i="1"/>
  <c r="AJ1186" i="1"/>
  <c r="AL1186" i="1" s="1"/>
  <c r="AJ1187" i="1"/>
  <c r="AJ1188" i="1"/>
  <c r="AJ1189" i="1"/>
  <c r="AJ1190" i="1"/>
  <c r="AJ1191" i="1"/>
  <c r="AJ1192" i="1"/>
  <c r="AL1192" i="1" s="1"/>
  <c r="AJ1193" i="1"/>
  <c r="AJ1194" i="1"/>
  <c r="AJ1195" i="1"/>
  <c r="AJ1196" i="1"/>
  <c r="AJ1197" i="1"/>
  <c r="AJ1198" i="1"/>
  <c r="AL1198" i="1" s="1"/>
  <c r="AJ1199" i="1"/>
  <c r="AJ1200" i="1"/>
  <c r="AJ1201" i="1"/>
  <c r="AJ1202" i="1"/>
  <c r="AJ1203" i="1"/>
  <c r="AJ1204" i="1"/>
  <c r="AL1204" i="1" s="1"/>
  <c r="AJ1205" i="1"/>
  <c r="AJ1206" i="1"/>
  <c r="AJ1207" i="1"/>
  <c r="AJ1208" i="1"/>
  <c r="AJ1209" i="1"/>
  <c r="AJ1210" i="1"/>
  <c r="AL1210" i="1" s="1"/>
  <c r="AJ1211" i="1"/>
  <c r="AJ1212" i="1"/>
  <c r="AJ1213" i="1"/>
  <c r="AJ1214" i="1"/>
  <c r="AJ1215" i="1"/>
  <c r="AJ1216" i="1"/>
  <c r="AL1216" i="1" s="1"/>
  <c r="AJ1217" i="1"/>
  <c r="AL1217" i="1" s="1"/>
  <c r="AJ1218" i="1"/>
  <c r="AL1218" i="1" s="1"/>
  <c r="AJ1219" i="1"/>
  <c r="AJ1220" i="1"/>
  <c r="AJ1221" i="1"/>
  <c r="AJ1222" i="1"/>
  <c r="AL1222" i="1" s="1"/>
  <c r="AJ1223" i="1"/>
  <c r="AJ1224" i="1"/>
  <c r="AJ1225" i="1"/>
  <c r="AJ1226" i="1"/>
  <c r="AJ1227" i="1"/>
  <c r="AJ1228" i="1"/>
  <c r="AL1228" i="1" s="1"/>
  <c r="AJ1229" i="1"/>
  <c r="AJ1230" i="1"/>
  <c r="AJ1231" i="1"/>
  <c r="AJ1232" i="1"/>
  <c r="AJ1233" i="1"/>
  <c r="AJ1234" i="1"/>
  <c r="AL1234" i="1" s="1"/>
  <c r="AJ1235" i="1"/>
  <c r="AJ1236" i="1"/>
  <c r="AJ1237" i="1"/>
  <c r="AJ1238" i="1"/>
  <c r="AJ1239" i="1"/>
  <c r="AJ1240" i="1"/>
  <c r="AL1240" i="1" s="1"/>
  <c r="AJ1241" i="1"/>
  <c r="AJ1242" i="1"/>
  <c r="AL1242" i="1" s="1"/>
  <c r="AJ1243" i="1"/>
  <c r="AJ1244" i="1"/>
  <c r="AJ1245" i="1"/>
  <c r="AJ1246" i="1"/>
  <c r="AL1246" i="1" s="1"/>
  <c r="AJ1247" i="1"/>
  <c r="AJ1248" i="1"/>
  <c r="AJ1249" i="1"/>
  <c r="AJ1250" i="1"/>
  <c r="AJ1251" i="1"/>
  <c r="AJ1252" i="1"/>
  <c r="AL1252" i="1" s="1"/>
  <c r="AJ1253" i="1"/>
  <c r="AJ1254" i="1"/>
  <c r="AL1254" i="1" s="1"/>
  <c r="AJ1255" i="1"/>
  <c r="AJ1256" i="1"/>
  <c r="AJ1257" i="1"/>
  <c r="AJ1258" i="1"/>
  <c r="AL1258" i="1" s="1"/>
  <c r="AJ1259" i="1"/>
  <c r="AJ1260" i="1"/>
  <c r="AJ1261" i="1"/>
  <c r="AJ1262" i="1"/>
  <c r="AJ1263" i="1"/>
  <c r="AJ1264" i="1"/>
  <c r="AL1264" i="1" s="1"/>
  <c r="AJ1265" i="1"/>
  <c r="AJ1266" i="1"/>
  <c r="AJ1267" i="1"/>
  <c r="AJ1268" i="1"/>
  <c r="AJ1269" i="1"/>
  <c r="AJ1270" i="1"/>
  <c r="AL1270" i="1" s="1"/>
  <c r="AJ1271" i="1"/>
  <c r="AJ1272" i="1"/>
  <c r="AJ1273" i="1"/>
  <c r="AJ1274" i="1"/>
  <c r="AJ1275" i="1"/>
  <c r="AJ1276" i="1"/>
  <c r="AL1276" i="1" s="1"/>
  <c r="AJ1277" i="1"/>
  <c r="AJ1278" i="1"/>
  <c r="AJ1279" i="1"/>
  <c r="AJ1280" i="1"/>
  <c r="AJ1281" i="1"/>
  <c r="AJ1282" i="1"/>
  <c r="AL1282" i="1" s="1"/>
  <c r="AJ1283" i="1"/>
  <c r="AJ1284" i="1"/>
  <c r="AL1284" i="1" s="1"/>
  <c r="AJ1285" i="1"/>
  <c r="AJ1286" i="1"/>
  <c r="AJ1287" i="1"/>
  <c r="AJ1288" i="1"/>
  <c r="AL1288" i="1" s="1"/>
  <c r="AJ1289" i="1"/>
  <c r="AJ1290" i="1"/>
  <c r="AL1290" i="1" s="1"/>
  <c r="AJ1291" i="1"/>
  <c r="AJ1292" i="1"/>
  <c r="AJ1293" i="1"/>
  <c r="AJ1294" i="1"/>
  <c r="AL1294" i="1" s="1"/>
  <c r="AJ1295" i="1"/>
  <c r="AJ1296" i="1"/>
  <c r="AJ1297" i="1"/>
  <c r="AJ1298" i="1"/>
  <c r="AJ1299" i="1"/>
  <c r="AJ1300" i="1"/>
  <c r="AL1300" i="1" s="1"/>
  <c r="AJ1301" i="1"/>
  <c r="AJ1302" i="1"/>
  <c r="AJ1303" i="1"/>
  <c r="AJ1304" i="1"/>
  <c r="AJ1305" i="1"/>
  <c r="AJ1306" i="1"/>
  <c r="AL1306" i="1" s="1"/>
  <c r="AJ1307" i="1"/>
  <c r="AJ1308" i="1"/>
  <c r="AJ1309" i="1"/>
  <c r="AJ1310" i="1"/>
  <c r="AJ1311" i="1"/>
  <c r="AJ1312" i="1"/>
  <c r="AL1312" i="1" s="1"/>
  <c r="AJ1313" i="1"/>
  <c r="AJ1314" i="1"/>
  <c r="AJ1315" i="1"/>
  <c r="AJ1316" i="1"/>
  <c r="AJ1317" i="1"/>
  <c r="AJ1318" i="1"/>
  <c r="AL1318" i="1" s="1"/>
  <c r="AJ1319" i="1"/>
  <c r="AJ1320" i="1"/>
  <c r="AJ1321" i="1"/>
  <c r="AJ1322" i="1"/>
  <c r="AJ1323" i="1"/>
  <c r="AJ1324" i="1"/>
  <c r="AL1324" i="1" s="1"/>
  <c r="AJ1325" i="1"/>
  <c r="AJ1326" i="1"/>
  <c r="AL1326" i="1" s="1"/>
  <c r="AJ1327" i="1"/>
  <c r="AJ1328" i="1"/>
  <c r="AJ1329" i="1"/>
  <c r="AJ1330" i="1"/>
  <c r="AL1330" i="1" s="1"/>
  <c r="AJ1331" i="1"/>
  <c r="AJ1332" i="1"/>
  <c r="AJ1333" i="1"/>
  <c r="AJ1334" i="1"/>
  <c r="AJ1335" i="1"/>
  <c r="AJ1336" i="1"/>
  <c r="AL1336" i="1" s="1"/>
  <c r="AJ1337" i="1"/>
  <c r="AJ1338" i="1"/>
  <c r="AJ1339" i="1"/>
  <c r="AJ1340" i="1"/>
  <c r="AJ1341" i="1"/>
  <c r="AJ1342" i="1"/>
  <c r="AL1342" i="1" s="1"/>
  <c r="AJ1343" i="1"/>
  <c r="AJ1344" i="1"/>
  <c r="AJ1345" i="1"/>
  <c r="AK21" i="1"/>
  <c r="AK22" i="1"/>
  <c r="AK23" i="1"/>
  <c r="AK24" i="1"/>
  <c r="AK25" i="1"/>
  <c r="AK26" i="1"/>
  <c r="AK27" i="1"/>
  <c r="AK28" i="1"/>
  <c r="AK29" i="1"/>
  <c r="AK30" i="1"/>
  <c r="AK31" i="1"/>
  <c r="AL31" i="1" s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L44" i="1" s="1"/>
  <c r="AK45" i="1"/>
  <c r="AK46" i="1"/>
  <c r="AK47" i="1"/>
  <c r="AK48" i="1"/>
  <c r="AK49" i="1"/>
  <c r="AK50" i="1"/>
  <c r="AK51" i="1"/>
  <c r="AK52" i="1"/>
  <c r="AK53" i="1"/>
  <c r="AK54" i="1"/>
  <c r="AK55" i="1"/>
  <c r="AL55" i="1" s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L116" i="1" s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L224" i="1" s="1"/>
  <c r="AK225" i="1"/>
  <c r="AK226" i="1"/>
  <c r="AK227" i="1"/>
  <c r="AK228" i="1"/>
  <c r="AK229" i="1"/>
  <c r="AK230" i="1"/>
  <c r="AK231" i="1"/>
  <c r="AK232" i="1"/>
  <c r="AK233" i="1"/>
  <c r="AK234" i="1"/>
  <c r="AK235" i="1"/>
  <c r="AL235" i="1" s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L260" i="1" s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L332" i="1" s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L349" i="1" s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L368" i="1" s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L403" i="1" s="1"/>
  <c r="AK404" i="1"/>
  <c r="AL404" i="1" s="1"/>
  <c r="AK405" i="1"/>
  <c r="AK406" i="1"/>
  <c r="AK407" i="1"/>
  <c r="AK408" i="1"/>
  <c r="AK409" i="1"/>
  <c r="AK410" i="1"/>
  <c r="AK411" i="1"/>
  <c r="AK412" i="1"/>
  <c r="AK413" i="1"/>
  <c r="AK414" i="1"/>
  <c r="AK415" i="1"/>
  <c r="AL415" i="1" s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L475" i="1" s="1"/>
  <c r="AK476" i="1"/>
  <c r="AL476" i="1" s="1"/>
  <c r="AK477" i="1"/>
  <c r="AK478" i="1"/>
  <c r="AK479" i="1"/>
  <c r="AK480" i="1"/>
  <c r="AK481" i="1"/>
  <c r="AL481" i="1" s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L511" i="1" s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L529" i="1" s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L548" i="1" s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L571" i="1" s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L584" i="1" s="1"/>
  <c r="AK585" i="1"/>
  <c r="AK586" i="1"/>
  <c r="AK587" i="1"/>
  <c r="AK588" i="1"/>
  <c r="AK589" i="1"/>
  <c r="AK590" i="1"/>
  <c r="AK591" i="1"/>
  <c r="AK592" i="1"/>
  <c r="AK593" i="1"/>
  <c r="AK594" i="1"/>
  <c r="AK595" i="1"/>
  <c r="AL595" i="1" s="1"/>
  <c r="AK596" i="1"/>
  <c r="AK597" i="1"/>
  <c r="AK598" i="1"/>
  <c r="AK599" i="1"/>
  <c r="AK600" i="1"/>
  <c r="AK601" i="1"/>
  <c r="AL601" i="1" s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L619" i="1" s="1"/>
  <c r="AK620" i="1"/>
  <c r="AL620" i="1" s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L661" i="1" s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L715" i="1" s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L733" i="1" s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L751" i="1" s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L764" i="1" s="1"/>
  <c r="AK765" i="1"/>
  <c r="AK766" i="1"/>
  <c r="AK767" i="1"/>
  <c r="AK768" i="1"/>
  <c r="AK769" i="1"/>
  <c r="AL769" i="1" s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L811" i="1" s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L871" i="1" s="1"/>
  <c r="AK872" i="1"/>
  <c r="AL872" i="1" s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L919" i="1" s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L944" i="1" s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L979" i="1" s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L997" i="1" s="1"/>
  <c r="AK998" i="1"/>
  <c r="AK999" i="1"/>
  <c r="AK1000" i="1"/>
  <c r="AK1001" i="1"/>
  <c r="AK1002" i="1"/>
  <c r="AK1003" i="1"/>
  <c r="AL1003" i="1" s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L1015" i="1" s="1"/>
  <c r="AK1016" i="1"/>
  <c r="AL1016" i="1" s="1"/>
  <c r="AK1017" i="1"/>
  <c r="AK1018" i="1"/>
  <c r="AK1019" i="1"/>
  <c r="AK1020" i="1"/>
  <c r="AK1021" i="1"/>
  <c r="AL1021" i="1" s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L1039" i="1" s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L1051" i="1" s="1"/>
  <c r="AK1052" i="1"/>
  <c r="AL1052" i="1" s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L1063" i="1" s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L1105" i="1" s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L1124" i="1" s="1"/>
  <c r="AK1125" i="1"/>
  <c r="AK1126" i="1"/>
  <c r="AK1127" i="1"/>
  <c r="AK1128" i="1"/>
  <c r="AK1129" i="1"/>
  <c r="AL1129" i="1" s="1"/>
  <c r="AK1130" i="1"/>
  <c r="AK1131" i="1"/>
  <c r="AK1132" i="1"/>
  <c r="AK1133" i="1"/>
  <c r="AK1134" i="1"/>
  <c r="AK1135" i="1"/>
  <c r="AL1135" i="1" s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L1147" i="1" s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L1159" i="1" s="1"/>
  <c r="AK1160" i="1"/>
  <c r="AL1160" i="1" s="1"/>
  <c r="AK1161" i="1"/>
  <c r="AK1162" i="1"/>
  <c r="AK1163" i="1"/>
  <c r="AK1164" i="1"/>
  <c r="AK1165" i="1"/>
  <c r="AL1165" i="1" s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L1177" i="1" s="1"/>
  <c r="AK1178" i="1"/>
  <c r="AK1179" i="1"/>
  <c r="AK1180" i="1"/>
  <c r="AK1181" i="1"/>
  <c r="AK1182" i="1"/>
  <c r="AK1183" i="1"/>
  <c r="AL1183" i="1" s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L1195" i="1" s="1"/>
  <c r="AK1196" i="1"/>
  <c r="AL1196" i="1" s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L1207" i="1" s="1"/>
  <c r="AK1208" i="1"/>
  <c r="AK1209" i="1"/>
  <c r="AK1210" i="1"/>
  <c r="AK1211" i="1"/>
  <c r="AK1212" i="1"/>
  <c r="AK1213" i="1"/>
  <c r="AL1213" i="1" s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L1231" i="1" s="1"/>
  <c r="AK1232" i="1"/>
  <c r="AL1232" i="1" s="1"/>
  <c r="AK1233" i="1"/>
  <c r="AK1234" i="1"/>
  <c r="AK1235" i="1"/>
  <c r="AK1236" i="1"/>
  <c r="AK1237" i="1"/>
  <c r="AL1237" i="1" s="1"/>
  <c r="AK1238" i="1"/>
  <c r="AK1239" i="1"/>
  <c r="AK1240" i="1"/>
  <c r="AK1241" i="1"/>
  <c r="AK1242" i="1"/>
  <c r="AK1243" i="1"/>
  <c r="AL1243" i="1" s="1"/>
  <c r="AK1244" i="1"/>
  <c r="AK1245" i="1"/>
  <c r="AK1246" i="1"/>
  <c r="AK1247" i="1"/>
  <c r="AK1248" i="1"/>
  <c r="AK1249" i="1"/>
  <c r="AL1249" i="1" s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L1267" i="1" s="1"/>
  <c r="AK1268" i="1"/>
  <c r="AL1268" i="1" s="1"/>
  <c r="AK1269" i="1"/>
  <c r="AK1270" i="1"/>
  <c r="AK1271" i="1"/>
  <c r="AK1272" i="1"/>
  <c r="AK1273" i="1"/>
  <c r="AL1273" i="1" s="1"/>
  <c r="AK1274" i="1"/>
  <c r="AK1275" i="1"/>
  <c r="AK1276" i="1"/>
  <c r="AK1277" i="1"/>
  <c r="AK1278" i="1"/>
  <c r="AK1279" i="1"/>
  <c r="AL1279" i="1" s="1"/>
  <c r="AK1280" i="1"/>
  <c r="AK1281" i="1"/>
  <c r="AK1282" i="1"/>
  <c r="AK1283" i="1"/>
  <c r="AK1284" i="1"/>
  <c r="AK1285" i="1"/>
  <c r="AL1285" i="1" s="1"/>
  <c r="AK1286" i="1"/>
  <c r="AK1287" i="1"/>
  <c r="AK1288" i="1"/>
  <c r="AK1289" i="1"/>
  <c r="AK1290" i="1"/>
  <c r="AK1291" i="1"/>
  <c r="AL1291" i="1" s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L1303" i="1" s="1"/>
  <c r="AK1304" i="1"/>
  <c r="AL1304" i="1" s="1"/>
  <c r="AK1305" i="1"/>
  <c r="AK1306" i="1"/>
  <c r="AK1307" i="1"/>
  <c r="AK1308" i="1"/>
  <c r="AK1309" i="1"/>
  <c r="AL1309" i="1" s="1"/>
  <c r="AK1310" i="1"/>
  <c r="AK1311" i="1"/>
  <c r="AK1312" i="1"/>
  <c r="AK1313" i="1"/>
  <c r="AK1314" i="1"/>
  <c r="AK1315" i="1"/>
  <c r="AL1315" i="1" s="1"/>
  <c r="AK1316" i="1"/>
  <c r="AK1317" i="1"/>
  <c r="AK1318" i="1"/>
  <c r="AK1319" i="1"/>
  <c r="AK1320" i="1"/>
  <c r="AK1321" i="1"/>
  <c r="AL1321" i="1" s="1"/>
  <c r="AK1322" i="1"/>
  <c r="AK1323" i="1"/>
  <c r="AK1324" i="1"/>
  <c r="AK1325" i="1"/>
  <c r="AK1326" i="1"/>
  <c r="AK1327" i="1"/>
  <c r="AL1327" i="1" s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L1339" i="1" s="1"/>
  <c r="AK1340" i="1"/>
  <c r="AL1340" i="1" s="1"/>
  <c r="AK1341" i="1"/>
  <c r="AK1342" i="1"/>
  <c r="AK1343" i="1"/>
  <c r="AK1344" i="1"/>
  <c r="AK1345" i="1"/>
  <c r="AL1345" i="1" s="1"/>
  <c r="AL21" i="1"/>
  <c r="AL24" i="1"/>
  <c r="AL25" i="1"/>
  <c r="AL26" i="1"/>
  <c r="AL27" i="1"/>
  <c r="AL28" i="1"/>
  <c r="AL32" i="1"/>
  <c r="AL33" i="1"/>
  <c r="AL36" i="1"/>
  <c r="AL38" i="1"/>
  <c r="AL39" i="1"/>
  <c r="AL42" i="1"/>
  <c r="AL43" i="1"/>
  <c r="AL45" i="1"/>
  <c r="AL49" i="1"/>
  <c r="AL50" i="1"/>
  <c r="AL51" i="1"/>
  <c r="AL54" i="1"/>
  <c r="AL56" i="1"/>
  <c r="AL57" i="1"/>
  <c r="AL60" i="1"/>
  <c r="AL61" i="1"/>
  <c r="AL62" i="1"/>
  <c r="AL63" i="1"/>
  <c r="AL67" i="1"/>
  <c r="AL68" i="1"/>
  <c r="AL69" i="1"/>
  <c r="AL74" i="1"/>
  <c r="AL75" i="1"/>
  <c r="AL78" i="1"/>
  <c r="AL79" i="1"/>
  <c r="AL80" i="1"/>
  <c r="AL81" i="1"/>
  <c r="AL84" i="1"/>
  <c r="AL85" i="1"/>
  <c r="AL86" i="1"/>
  <c r="AL87" i="1"/>
  <c r="AL90" i="1"/>
  <c r="AL91" i="1"/>
  <c r="AL92" i="1"/>
  <c r="AL93" i="1"/>
  <c r="AL97" i="1"/>
  <c r="AL98" i="1"/>
  <c r="AL99" i="1"/>
  <c r="AL103" i="1"/>
  <c r="AL104" i="1"/>
  <c r="AL105" i="1"/>
  <c r="AL108" i="1"/>
  <c r="AL110" i="1"/>
  <c r="AL111" i="1"/>
  <c r="AL115" i="1"/>
  <c r="AL117" i="1"/>
  <c r="AL120" i="1"/>
  <c r="AL121" i="1"/>
  <c r="AL122" i="1"/>
  <c r="AL123" i="1"/>
  <c r="AL126" i="1"/>
  <c r="AL127" i="1"/>
  <c r="AL128" i="1"/>
  <c r="AL129" i="1"/>
  <c r="AL132" i="1"/>
  <c r="AL133" i="1"/>
  <c r="AL134" i="1"/>
  <c r="AL135" i="1"/>
  <c r="AL139" i="1"/>
  <c r="AL140" i="1"/>
  <c r="AL141" i="1"/>
  <c r="AL144" i="1"/>
  <c r="AL146" i="1"/>
  <c r="AL147" i="1"/>
  <c r="AL150" i="1"/>
  <c r="AL151" i="1"/>
  <c r="AL152" i="1"/>
  <c r="AL153" i="1"/>
  <c r="AL157" i="1"/>
  <c r="AL158" i="1"/>
  <c r="AL159" i="1"/>
  <c r="AL162" i="1"/>
  <c r="AL163" i="1"/>
  <c r="AL164" i="1"/>
  <c r="AL165" i="1"/>
  <c r="AL168" i="1"/>
  <c r="AL169" i="1"/>
  <c r="AL170" i="1"/>
  <c r="AL171" i="1"/>
  <c r="AL175" i="1"/>
  <c r="AL176" i="1"/>
  <c r="AL177" i="1"/>
  <c r="AL180" i="1"/>
  <c r="AL182" i="1"/>
  <c r="AL183" i="1"/>
  <c r="AL187" i="1"/>
  <c r="AL188" i="1"/>
  <c r="AL189" i="1"/>
  <c r="AL192" i="1"/>
  <c r="AL193" i="1"/>
  <c r="AL194" i="1"/>
  <c r="AL195" i="1"/>
  <c r="AL199" i="1"/>
  <c r="AL200" i="1"/>
  <c r="AL201" i="1"/>
  <c r="AL204" i="1"/>
  <c r="AL205" i="1"/>
  <c r="AL206" i="1"/>
  <c r="AL207" i="1"/>
  <c r="AL211" i="1"/>
  <c r="AL212" i="1"/>
  <c r="AL213" i="1"/>
  <c r="AL218" i="1"/>
  <c r="AL219" i="1"/>
  <c r="AL222" i="1"/>
  <c r="AL223" i="1"/>
  <c r="AL225" i="1"/>
  <c r="AL228" i="1"/>
  <c r="AL229" i="1"/>
  <c r="AL230" i="1"/>
  <c r="AL231" i="1"/>
  <c r="AL236" i="1"/>
  <c r="AL237" i="1"/>
  <c r="AL240" i="1"/>
  <c r="AL241" i="1"/>
  <c r="AL242" i="1"/>
  <c r="AL243" i="1"/>
  <c r="AL247" i="1"/>
  <c r="AL248" i="1"/>
  <c r="AL249" i="1"/>
  <c r="AL252" i="1"/>
  <c r="AL254" i="1"/>
  <c r="AL255" i="1"/>
  <c r="AL258" i="1"/>
  <c r="AL259" i="1"/>
  <c r="AL261" i="1"/>
  <c r="AL264" i="1"/>
  <c r="AL265" i="1"/>
  <c r="AL266" i="1"/>
  <c r="AL267" i="1"/>
  <c r="AL268" i="1"/>
  <c r="AL271" i="1"/>
  <c r="AL272" i="1"/>
  <c r="AL273" i="1"/>
  <c r="AL277" i="1"/>
  <c r="AL278" i="1"/>
  <c r="AL279" i="1"/>
  <c r="AL280" i="1"/>
  <c r="AL283" i="1"/>
  <c r="AL284" i="1"/>
  <c r="AL285" i="1"/>
  <c r="AL290" i="1"/>
  <c r="AL291" i="1"/>
  <c r="AL294" i="1"/>
  <c r="AL295" i="1"/>
  <c r="AL296" i="1"/>
  <c r="AL297" i="1"/>
  <c r="AL301" i="1"/>
  <c r="AL302" i="1"/>
  <c r="AL303" i="1"/>
  <c r="AL307" i="1"/>
  <c r="AL308" i="1"/>
  <c r="AL309" i="1"/>
  <c r="AL312" i="1"/>
  <c r="AL313" i="1"/>
  <c r="AL314" i="1"/>
  <c r="AL315" i="1"/>
  <c r="AL319" i="1"/>
  <c r="AL320" i="1"/>
  <c r="AL321" i="1"/>
  <c r="AL326" i="1"/>
  <c r="AL327" i="1"/>
  <c r="AL330" i="1"/>
  <c r="AL331" i="1"/>
  <c r="AL333" i="1"/>
  <c r="AL336" i="1"/>
  <c r="AL337" i="1"/>
  <c r="AL338" i="1"/>
  <c r="AL339" i="1"/>
  <c r="AL343" i="1"/>
  <c r="AL344" i="1"/>
  <c r="AL345" i="1"/>
  <c r="AL348" i="1"/>
  <c r="AL350" i="1"/>
  <c r="AL351" i="1"/>
  <c r="AL355" i="1"/>
  <c r="AL356" i="1"/>
  <c r="AL357" i="1"/>
  <c r="AL362" i="1"/>
  <c r="AL363" i="1"/>
  <c r="AL367" i="1"/>
  <c r="AL369" i="1"/>
  <c r="AL372" i="1"/>
  <c r="AL373" i="1"/>
  <c r="AL374" i="1"/>
  <c r="AL375" i="1"/>
  <c r="AL379" i="1"/>
  <c r="AL380" i="1"/>
  <c r="AL381" i="1"/>
  <c r="AL384" i="1"/>
  <c r="AL385" i="1"/>
  <c r="AL386" i="1"/>
  <c r="AL387" i="1"/>
  <c r="AL391" i="1"/>
  <c r="AL392" i="1"/>
  <c r="AL393" i="1"/>
  <c r="AL396" i="1"/>
  <c r="AL398" i="1"/>
  <c r="AL399" i="1"/>
  <c r="AL402" i="1"/>
  <c r="AL405" i="1"/>
  <c r="AL409" i="1"/>
  <c r="AL410" i="1"/>
  <c r="AL411" i="1"/>
  <c r="AL414" i="1"/>
  <c r="AL416" i="1"/>
  <c r="AL417" i="1"/>
  <c r="AL420" i="1"/>
  <c r="AL421" i="1"/>
  <c r="AL422" i="1"/>
  <c r="AL423" i="1"/>
  <c r="AL427" i="1"/>
  <c r="AL428" i="1"/>
  <c r="AL429" i="1"/>
  <c r="AL434" i="1"/>
  <c r="AL435" i="1"/>
  <c r="AL438" i="1"/>
  <c r="AL439" i="1"/>
  <c r="AL440" i="1"/>
  <c r="AL441" i="1"/>
  <c r="AL444" i="1"/>
  <c r="AL445" i="1"/>
  <c r="AL446" i="1"/>
  <c r="AL447" i="1"/>
  <c r="AL450" i="1"/>
  <c r="AL451" i="1"/>
  <c r="AL452" i="1"/>
  <c r="AL453" i="1"/>
  <c r="AL457" i="1"/>
  <c r="AL458" i="1"/>
  <c r="AL459" i="1"/>
  <c r="AL463" i="1"/>
  <c r="AL464" i="1"/>
  <c r="AL465" i="1"/>
  <c r="AL468" i="1"/>
  <c r="AL470" i="1"/>
  <c r="AL471" i="1"/>
  <c r="AL474" i="1"/>
  <c r="AL477" i="1"/>
  <c r="AL480" i="1"/>
  <c r="AL482" i="1"/>
  <c r="AL483" i="1"/>
  <c r="AL486" i="1"/>
  <c r="AL487" i="1"/>
  <c r="AL488" i="1"/>
  <c r="AL489" i="1"/>
  <c r="AL492" i="1"/>
  <c r="AL493" i="1"/>
  <c r="AL494" i="1"/>
  <c r="AL495" i="1"/>
  <c r="AL499" i="1"/>
  <c r="AL500" i="1"/>
  <c r="AL501" i="1"/>
  <c r="AL504" i="1"/>
  <c r="AL506" i="1"/>
  <c r="AL507" i="1"/>
  <c r="AL510" i="1"/>
  <c r="AL512" i="1"/>
  <c r="AL513" i="1"/>
  <c r="AL516" i="1"/>
  <c r="AL517" i="1"/>
  <c r="AL518" i="1"/>
  <c r="AL519" i="1"/>
  <c r="AL522" i="1"/>
  <c r="AL523" i="1"/>
  <c r="AL524" i="1"/>
  <c r="AL525" i="1"/>
  <c r="AL530" i="1"/>
  <c r="AL531" i="1"/>
  <c r="AL535" i="1"/>
  <c r="AL536" i="1"/>
  <c r="AL537" i="1"/>
  <c r="AL540" i="1"/>
  <c r="AL542" i="1"/>
  <c r="AL543" i="1"/>
  <c r="AL547" i="1"/>
  <c r="AL549" i="1"/>
  <c r="AL552" i="1"/>
  <c r="AL553" i="1"/>
  <c r="AL554" i="1"/>
  <c r="AL555" i="1"/>
  <c r="AL558" i="1"/>
  <c r="AL559" i="1"/>
  <c r="AL560" i="1"/>
  <c r="AL561" i="1"/>
  <c r="AL565" i="1"/>
  <c r="AL566" i="1"/>
  <c r="AL567" i="1"/>
  <c r="AL572" i="1"/>
  <c r="AL573" i="1"/>
  <c r="AL576" i="1"/>
  <c r="AL578" i="1"/>
  <c r="AL579" i="1"/>
  <c r="AL583" i="1"/>
  <c r="AL585" i="1"/>
  <c r="AL589" i="1"/>
  <c r="AL590" i="1"/>
  <c r="AL591" i="1"/>
  <c r="AL594" i="1"/>
  <c r="AL596" i="1"/>
  <c r="AL597" i="1"/>
  <c r="AL600" i="1"/>
  <c r="AL602" i="1"/>
  <c r="AL603" i="1"/>
  <c r="AL607" i="1"/>
  <c r="AL608" i="1"/>
  <c r="AL609" i="1"/>
  <c r="AL610" i="1"/>
  <c r="AL614" i="1"/>
  <c r="AL615" i="1"/>
  <c r="AL618" i="1"/>
  <c r="AL621" i="1"/>
  <c r="AL624" i="1"/>
  <c r="AL625" i="1"/>
  <c r="AL626" i="1"/>
  <c r="AL627" i="1"/>
  <c r="AL630" i="1"/>
  <c r="AL631" i="1"/>
  <c r="AL632" i="1"/>
  <c r="AL633" i="1"/>
  <c r="AL636" i="1"/>
  <c r="AL637" i="1"/>
  <c r="AL638" i="1"/>
  <c r="AL639" i="1"/>
  <c r="AL640" i="1"/>
  <c r="AL643" i="1"/>
  <c r="AL644" i="1"/>
  <c r="AL645" i="1"/>
  <c r="AL648" i="1"/>
  <c r="AL650" i="1"/>
  <c r="AL651" i="1"/>
  <c r="AL655" i="1"/>
  <c r="AL656" i="1"/>
  <c r="AL657" i="1"/>
  <c r="AL660" i="1"/>
  <c r="AL662" i="1"/>
  <c r="AL663" i="1"/>
  <c r="AL666" i="1"/>
  <c r="AL667" i="1"/>
  <c r="AL668" i="1"/>
  <c r="AL669" i="1"/>
  <c r="AL673" i="1"/>
  <c r="AL674" i="1"/>
  <c r="AL675" i="1"/>
  <c r="AL679" i="1"/>
  <c r="AL680" i="1"/>
  <c r="AL681" i="1"/>
  <c r="AL684" i="1"/>
  <c r="AL686" i="1"/>
  <c r="AL687" i="1"/>
  <c r="AL691" i="1"/>
  <c r="AL692" i="1"/>
  <c r="AL693" i="1"/>
  <c r="AL696" i="1"/>
  <c r="AL697" i="1"/>
  <c r="AL698" i="1"/>
  <c r="AL699" i="1"/>
  <c r="AL702" i="1"/>
  <c r="AL703" i="1"/>
  <c r="AL704" i="1"/>
  <c r="AL705" i="1"/>
  <c r="AL708" i="1"/>
  <c r="AL709" i="1"/>
  <c r="AL710" i="1"/>
  <c r="AL711" i="1"/>
  <c r="AL716" i="1"/>
  <c r="AL717" i="1"/>
  <c r="AL720" i="1"/>
  <c r="AL722" i="1"/>
  <c r="AL723" i="1"/>
  <c r="AL727" i="1"/>
  <c r="AL728" i="1"/>
  <c r="AL729" i="1"/>
  <c r="AL734" i="1"/>
  <c r="AL735" i="1"/>
  <c r="AL738" i="1"/>
  <c r="AL739" i="1"/>
  <c r="AL740" i="1"/>
  <c r="AL741" i="1"/>
  <c r="AL744" i="1"/>
  <c r="AL745" i="1"/>
  <c r="AL746" i="1"/>
  <c r="AL747" i="1"/>
  <c r="AL752" i="1"/>
  <c r="AL753" i="1"/>
  <c r="AL756" i="1"/>
  <c r="AL758" i="1"/>
  <c r="AL759" i="1"/>
  <c r="AL760" i="1"/>
  <c r="AL762" i="1"/>
  <c r="AL763" i="1"/>
  <c r="AL765" i="1"/>
  <c r="AL768" i="1"/>
  <c r="AL770" i="1"/>
  <c r="AL771" i="1"/>
  <c r="AL775" i="1"/>
  <c r="AL776" i="1"/>
  <c r="AL777" i="1"/>
  <c r="AL780" i="1"/>
  <c r="AL781" i="1"/>
  <c r="AL782" i="1"/>
  <c r="AL783" i="1"/>
  <c r="AL787" i="1"/>
  <c r="AL788" i="1"/>
  <c r="AL789" i="1"/>
  <c r="AL792" i="1"/>
  <c r="AL794" i="1"/>
  <c r="AL795" i="1"/>
  <c r="AL798" i="1"/>
  <c r="AL799" i="1"/>
  <c r="AL800" i="1"/>
  <c r="AL801" i="1"/>
  <c r="AL805" i="1"/>
  <c r="AL806" i="1"/>
  <c r="AL807" i="1"/>
  <c r="AL808" i="1"/>
  <c r="AL810" i="1"/>
  <c r="AL812" i="1"/>
  <c r="AL813" i="1"/>
  <c r="AL816" i="1"/>
  <c r="AL817" i="1"/>
  <c r="AL818" i="1"/>
  <c r="AL819" i="1"/>
  <c r="AL823" i="1"/>
  <c r="AL824" i="1"/>
  <c r="AL825" i="1"/>
  <c r="AL826" i="1"/>
  <c r="AL830" i="1"/>
  <c r="AL831" i="1"/>
  <c r="AL834" i="1"/>
  <c r="AL835" i="1"/>
  <c r="AL836" i="1"/>
  <c r="AL837" i="1"/>
  <c r="AL840" i="1"/>
  <c r="AL841" i="1"/>
  <c r="AL842" i="1"/>
  <c r="AL843" i="1"/>
  <c r="AL847" i="1"/>
  <c r="AL848" i="1"/>
  <c r="AL849" i="1"/>
  <c r="AL852" i="1"/>
  <c r="AL853" i="1"/>
  <c r="AL854" i="1"/>
  <c r="AL855" i="1"/>
  <c r="AL856" i="1"/>
  <c r="AL859" i="1"/>
  <c r="AL860" i="1"/>
  <c r="AL861" i="1"/>
  <c r="AL866" i="1"/>
  <c r="AL867" i="1"/>
  <c r="AL868" i="1"/>
  <c r="AL870" i="1"/>
  <c r="AL873" i="1"/>
  <c r="AL876" i="1"/>
  <c r="AL877" i="1"/>
  <c r="AL878" i="1"/>
  <c r="AL879" i="1"/>
  <c r="AL880" i="1"/>
  <c r="AL883" i="1"/>
  <c r="AL884" i="1"/>
  <c r="AL885" i="1"/>
  <c r="AL889" i="1"/>
  <c r="AL890" i="1"/>
  <c r="AL891" i="1"/>
  <c r="AL895" i="1"/>
  <c r="AL896" i="1"/>
  <c r="AL897" i="1"/>
  <c r="AL902" i="1"/>
  <c r="AL903" i="1"/>
  <c r="AL906" i="1"/>
  <c r="AL907" i="1"/>
  <c r="AL908" i="1"/>
  <c r="AL909" i="1"/>
  <c r="AL913" i="1"/>
  <c r="AL914" i="1"/>
  <c r="AL915" i="1"/>
  <c r="AL920" i="1"/>
  <c r="AL921" i="1"/>
  <c r="AL924" i="1"/>
  <c r="AL925" i="1"/>
  <c r="AL926" i="1"/>
  <c r="AL927" i="1"/>
  <c r="AL931" i="1"/>
  <c r="AL932" i="1"/>
  <c r="AL933" i="1"/>
  <c r="AL938" i="1"/>
  <c r="AL939" i="1"/>
  <c r="AL942" i="1"/>
  <c r="AL943" i="1"/>
  <c r="AL945" i="1"/>
  <c r="AL948" i="1"/>
  <c r="AL949" i="1"/>
  <c r="AL950" i="1"/>
  <c r="AL951" i="1"/>
  <c r="AL955" i="1"/>
  <c r="AL956" i="1"/>
  <c r="AL957" i="1"/>
  <c r="AL960" i="1"/>
  <c r="AL961" i="1"/>
  <c r="AL962" i="1"/>
  <c r="AL963" i="1"/>
  <c r="AL967" i="1"/>
  <c r="AL968" i="1"/>
  <c r="AL969" i="1"/>
  <c r="AL972" i="1"/>
  <c r="AL974" i="1"/>
  <c r="AL975" i="1"/>
  <c r="AL978" i="1"/>
  <c r="AL980" i="1"/>
  <c r="AL981" i="1"/>
  <c r="AL984" i="1"/>
  <c r="AL985" i="1"/>
  <c r="AL986" i="1"/>
  <c r="AL987" i="1"/>
  <c r="AL990" i="1"/>
  <c r="AL991" i="1"/>
  <c r="AL992" i="1"/>
  <c r="AL993" i="1"/>
  <c r="AL996" i="1"/>
  <c r="AL998" i="1"/>
  <c r="AL999" i="1"/>
  <c r="AL1000" i="1"/>
  <c r="AL1004" i="1"/>
  <c r="AL1005" i="1"/>
  <c r="AL1008" i="1"/>
  <c r="AL1010" i="1"/>
  <c r="AL1011" i="1"/>
  <c r="AL1012" i="1"/>
  <c r="AL1014" i="1"/>
  <c r="AL1017" i="1"/>
  <c r="AL1022" i="1"/>
  <c r="AL1023" i="1"/>
  <c r="AL1026" i="1"/>
  <c r="AL1027" i="1"/>
  <c r="AL1028" i="1"/>
  <c r="AL1029" i="1"/>
  <c r="AL1032" i="1"/>
  <c r="AL1033" i="1"/>
  <c r="AL1034" i="1"/>
  <c r="AL1035" i="1"/>
  <c r="AL1040" i="1"/>
  <c r="AL1041" i="1"/>
  <c r="AL1046" i="1"/>
  <c r="AL1047" i="1"/>
  <c r="AL1050" i="1"/>
  <c r="AL1053" i="1"/>
  <c r="AL1054" i="1"/>
  <c r="AL1056" i="1"/>
  <c r="AL1057" i="1"/>
  <c r="AL1058" i="1"/>
  <c r="AL1059" i="1"/>
  <c r="AL1062" i="1"/>
  <c r="AL1064" i="1"/>
  <c r="AL1065" i="1"/>
  <c r="AL1068" i="1"/>
  <c r="AL1069" i="1"/>
  <c r="AL1070" i="1"/>
  <c r="AL1071" i="1"/>
  <c r="AL1075" i="1"/>
  <c r="AL1076" i="1"/>
  <c r="AL1077" i="1"/>
  <c r="AL1080" i="1"/>
  <c r="AL1082" i="1"/>
  <c r="AL1083" i="1"/>
  <c r="AL1087" i="1"/>
  <c r="AL1088" i="1"/>
  <c r="AL1089" i="1"/>
  <c r="AL1092" i="1"/>
  <c r="AL1093" i="1"/>
  <c r="AL1094" i="1"/>
  <c r="AL1095" i="1"/>
  <c r="AL1098" i="1"/>
  <c r="AL1099" i="1"/>
  <c r="AL1100" i="1"/>
  <c r="AL1101" i="1"/>
  <c r="AL1104" i="1"/>
  <c r="AL1106" i="1"/>
  <c r="AL1107" i="1"/>
  <c r="AL1111" i="1"/>
  <c r="AL1112" i="1"/>
  <c r="AL1113" i="1"/>
  <c r="AL1116" i="1"/>
  <c r="AL1118" i="1"/>
  <c r="AL1119" i="1"/>
  <c r="AL1122" i="1"/>
  <c r="AL1123" i="1"/>
  <c r="AL1125" i="1"/>
  <c r="AL1128" i="1"/>
  <c r="AL1130" i="1"/>
  <c r="AL1131" i="1"/>
  <c r="AL1132" i="1"/>
  <c r="AL1136" i="1"/>
  <c r="AL1137" i="1"/>
  <c r="AL1140" i="1"/>
  <c r="AL1141" i="1"/>
  <c r="AL1142" i="1"/>
  <c r="AL1143" i="1"/>
  <c r="AL1148" i="1"/>
  <c r="AL1149" i="1"/>
  <c r="AL1152" i="1"/>
  <c r="AL1154" i="1"/>
  <c r="AL1155" i="1"/>
  <c r="AL1158" i="1"/>
  <c r="AL1161" i="1"/>
  <c r="AL1162" i="1"/>
  <c r="AL1164" i="1"/>
  <c r="AL1166" i="1"/>
  <c r="AL1167" i="1"/>
  <c r="AL1170" i="1"/>
  <c r="AL1171" i="1"/>
  <c r="AL1172" i="1"/>
  <c r="AL1173" i="1"/>
  <c r="AL1178" i="1"/>
  <c r="AL1179" i="1"/>
  <c r="AL1184" i="1"/>
  <c r="AL1185" i="1"/>
  <c r="AL1188" i="1"/>
  <c r="AL1190" i="1"/>
  <c r="AL1191" i="1"/>
  <c r="AL1194" i="1"/>
  <c r="AL1197" i="1"/>
  <c r="AL1200" i="1"/>
  <c r="AL1201" i="1"/>
  <c r="AL1202" i="1"/>
  <c r="AL1203" i="1"/>
  <c r="AL1206" i="1"/>
  <c r="AL1208" i="1"/>
  <c r="AL1209" i="1"/>
  <c r="AL1212" i="1"/>
  <c r="AL1214" i="1"/>
  <c r="AL1215" i="1"/>
  <c r="AL1219" i="1"/>
  <c r="AL1220" i="1"/>
  <c r="AL1221" i="1"/>
  <c r="AL1224" i="1"/>
  <c r="AL1226" i="1"/>
  <c r="AL1227" i="1"/>
  <c r="AL1230" i="1"/>
  <c r="AL1233" i="1"/>
  <c r="AL1236" i="1"/>
  <c r="AL1238" i="1"/>
  <c r="AL1239" i="1"/>
  <c r="AL1244" i="1"/>
  <c r="AL1245" i="1"/>
  <c r="AL1248" i="1"/>
  <c r="AL1250" i="1"/>
  <c r="AL1251" i="1"/>
  <c r="AL1255" i="1"/>
  <c r="AL1256" i="1"/>
  <c r="AL1257" i="1"/>
  <c r="AL1260" i="1"/>
  <c r="AL1262" i="1"/>
  <c r="AL1263" i="1"/>
  <c r="AL1266" i="1"/>
  <c r="AL1269" i="1"/>
  <c r="AL1272" i="1"/>
  <c r="AL1274" i="1"/>
  <c r="AL1275" i="1"/>
  <c r="AL1278" i="1"/>
  <c r="AL1280" i="1"/>
  <c r="AL1281" i="1"/>
  <c r="AL1286" i="1"/>
  <c r="AL1287" i="1"/>
  <c r="AL1292" i="1"/>
  <c r="AL1293" i="1"/>
  <c r="AL1296" i="1"/>
  <c r="AL1298" i="1"/>
  <c r="AL1299" i="1"/>
  <c r="AL1302" i="1"/>
  <c r="AL1305" i="1"/>
  <c r="AL1308" i="1"/>
  <c r="AL1310" i="1"/>
  <c r="AL1311" i="1"/>
  <c r="AL1314" i="1"/>
  <c r="AL1316" i="1"/>
  <c r="AL1317" i="1"/>
  <c r="AL1320" i="1"/>
  <c r="AL1322" i="1"/>
  <c r="AL1323" i="1"/>
  <c r="AL1328" i="1"/>
  <c r="AL1329" i="1"/>
  <c r="AL1332" i="1"/>
  <c r="AL1334" i="1"/>
  <c r="AL1335" i="1"/>
  <c r="AL1338" i="1"/>
  <c r="AL1341" i="1"/>
  <c r="AL1344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G38" i="6"/>
  <c r="AG39" i="6"/>
  <c r="V40" i="6"/>
  <c r="L41" i="6"/>
  <c r="B42" i="6"/>
  <c r="W42" i="6"/>
  <c r="M43" i="6"/>
  <c r="B44" i="6"/>
  <c r="X44" i="6"/>
  <c r="N45" i="6"/>
  <c r="C46" i="6"/>
  <c r="Y46" i="6"/>
  <c r="N47" i="6"/>
  <c r="D48" i="6"/>
  <c r="Z48" i="6"/>
  <c r="O49" i="6"/>
  <c r="E50" i="6"/>
  <c r="Z50" i="6"/>
  <c r="P51" i="6"/>
  <c r="F52" i="6"/>
  <c r="AA52" i="6"/>
  <c r="Q53" i="6"/>
  <c r="F54" i="6"/>
  <c r="AB54" i="6"/>
  <c r="R55" i="6"/>
  <c r="G56" i="6"/>
  <c r="AC56" i="6"/>
  <c r="R57" i="6"/>
  <c r="H58" i="6"/>
  <c r="AD58" i="6"/>
  <c r="S59" i="6"/>
  <c r="I60" i="6"/>
  <c r="AD60" i="6"/>
  <c r="T61" i="6"/>
  <c r="J62" i="6"/>
  <c r="AE62" i="6"/>
  <c r="U63" i="6"/>
  <c r="J64" i="6"/>
  <c r="AF64" i="6"/>
  <c r="V65" i="6"/>
  <c r="K66" i="6"/>
  <c r="AG66" i="6"/>
  <c r="L68" i="6"/>
  <c r="C37" i="6"/>
  <c r="X37" i="6"/>
  <c r="C20" i="1"/>
  <c r="L20" i="1"/>
  <c r="AC20" i="1" s="1"/>
  <c r="P20" i="1"/>
  <c r="T20" i="1" s="1"/>
  <c r="U20" i="1"/>
  <c r="V20" i="1"/>
  <c r="AB20" i="1"/>
  <c r="AF20" i="1" s="1"/>
  <c r="AD20" i="1"/>
  <c r="AE20" i="1"/>
  <c r="AJ20" i="1"/>
  <c r="AL20" i="1" s="1"/>
  <c r="AK20" i="1"/>
  <c r="AM20" i="1"/>
  <c r="AZ2" i="5"/>
  <c r="AZ3" i="5"/>
  <c r="AZ4" i="5"/>
  <c r="AZ5" i="5"/>
  <c r="AZ6" i="5"/>
  <c r="AZ7" i="5"/>
  <c r="AZ8" i="5"/>
  <c r="AZ9" i="5"/>
  <c r="AZ10" i="5"/>
  <c r="AZ11" i="5"/>
  <c r="AZ12" i="5"/>
  <c r="AZ13" i="5"/>
  <c r="AZ14" i="5"/>
  <c r="AZ15" i="5"/>
  <c r="AZ16" i="5"/>
  <c r="AZ17" i="5"/>
  <c r="AZ18" i="5"/>
  <c r="AZ19" i="5"/>
  <c r="AZ20" i="5"/>
  <c r="AZ21" i="5"/>
  <c r="AZ22" i="5"/>
  <c r="AZ23" i="5"/>
  <c r="AZ24" i="5"/>
  <c r="AZ25" i="5"/>
  <c r="AZ26" i="5"/>
  <c r="AZ27" i="5"/>
  <c r="AZ28" i="5"/>
  <c r="AZ29" i="5"/>
  <c r="AZ30" i="5"/>
  <c r="AZ31" i="5"/>
  <c r="AZ32" i="5"/>
  <c r="AZ33" i="5"/>
  <c r="AY2" i="5"/>
  <c r="AY3" i="5"/>
  <c r="AY4" i="5"/>
  <c r="AY5" i="5"/>
  <c r="AY6" i="5"/>
  <c r="AY7" i="5"/>
  <c r="AY8" i="5"/>
  <c r="AY9" i="5"/>
  <c r="AY10" i="5"/>
  <c r="AY11" i="5"/>
  <c r="AY12" i="5"/>
  <c r="AY13" i="5"/>
  <c r="AY14" i="5"/>
  <c r="AY15" i="5"/>
  <c r="AY16" i="5"/>
  <c r="AY17" i="5"/>
  <c r="AY18" i="5"/>
  <c r="AY19" i="5"/>
  <c r="AY20" i="5"/>
  <c r="AY21" i="5"/>
  <c r="AY22" i="5"/>
  <c r="AY23" i="5"/>
  <c r="AY24" i="5"/>
  <c r="AY25" i="5"/>
  <c r="AY26" i="5"/>
  <c r="AY27" i="5"/>
  <c r="AY28" i="5"/>
  <c r="AY29" i="5"/>
  <c r="AY30" i="5"/>
  <c r="AY31" i="5"/>
  <c r="AY32" i="5"/>
  <c r="AY33" i="5"/>
  <c r="AW2" i="5"/>
  <c r="AW3" i="5"/>
  <c r="AW4" i="5"/>
  <c r="AW5" i="5"/>
  <c r="BF5" i="5" s="1"/>
  <c r="AW6" i="5"/>
  <c r="AW7" i="5"/>
  <c r="AW8" i="5"/>
  <c r="AW9" i="5"/>
  <c r="AW10" i="5"/>
  <c r="AW11" i="5"/>
  <c r="BF11" i="5" s="1"/>
  <c r="AW12" i="5"/>
  <c r="AW13" i="5"/>
  <c r="AW14" i="5"/>
  <c r="AW15" i="5"/>
  <c r="AW16" i="5"/>
  <c r="AW17" i="5"/>
  <c r="BF17" i="5" s="1"/>
  <c r="AW18" i="5"/>
  <c r="BF18" i="5" s="1"/>
  <c r="AW19" i="5"/>
  <c r="AW20" i="5"/>
  <c r="AW21" i="5"/>
  <c r="AW22" i="5"/>
  <c r="AW23" i="5"/>
  <c r="BF23" i="5" s="1"/>
  <c r="AW24" i="5"/>
  <c r="BF24" i="5" s="1"/>
  <c r="AW25" i="5"/>
  <c r="AW26" i="5"/>
  <c r="AW27" i="5"/>
  <c r="AW28" i="5"/>
  <c r="AW29" i="5"/>
  <c r="BF29" i="5" s="1"/>
  <c r="AW30" i="5"/>
  <c r="BF30" i="5" s="1"/>
  <c r="AW31" i="5"/>
  <c r="AW32" i="5"/>
  <c r="AW33" i="5"/>
  <c r="AV2" i="5"/>
  <c r="AV3" i="5"/>
  <c r="AV4" i="5"/>
  <c r="BE4" i="5" s="1"/>
  <c r="AV5" i="5"/>
  <c r="AV6" i="5"/>
  <c r="AV7" i="5"/>
  <c r="AV8" i="5"/>
  <c r="AV9" i="5"/>
  <c r="AV10" i="5"/>
  <c r="BE10" i="5" s="1"/>
  <c r="AV11" i="5"/>
  <c r="AV12" i="5"/>
  <c r="AV13" i="5"/>
  <c r="AV14" i="5"/>
  <c r="AV15" i="5"/>
  <c r="AV16" i="5"/>
  <c r="BE16" i="5" s="1"/>
  <c r="AV17" i="5"/>
  <c r="AV18" i="5"/>
  <c r="AV19" i="5"/>
  <c r="AV20" i="5"/>
  <c r="AV21" i="5"/>
  <c r="AV22" i="5"/>
  <c r="BE22" i="5" s="1"/>
  <c r="AV23" i="5"/>
  <c r="AV24" i="5"/>
  <c r="AV25" i="5"/>
  <c r="AV26" i="5"/>
  <c r="AV27" i="5"/>
  <c r="AV28" i="5"/>
  <c r="BE28" i="5" s="1"/>
  <c r="AV29" i="5"/>
  <c r="AV30" i="5"/>
  <c r="AV31" i="5"/>
  <c r="AV32" i="5"/>
  <c r="AV33" i="5"/>
  <c r="C19" i="1"/>
  <c r="L19" i="1"/>
  <c r="P19" i="1"/>
  <c r="T19" i="1" s="1"/>
  <c r="U19" i="1"/>
  <c r="V19" i="1"/>
  <c r="AA19" i="1" s="1"/>
  <c r="AB19" i="1"/>
  <c r="AD19" i="1"/>
  <c r="AE19" i="1"/>
  <c r="AI19" i="1"/>
  <c r="AJ19" i="1"/>
  <c r="AL19" i="1" s="1"/>
  <c r="AK19" i="1"/>
  <c r="AM19" i="1"/>
  <c r="C18" i="1"/>
  <c r="L18" i="1"/>
  <c r="P18" i="1"/>
  <c r="U18" i="1"/>
  <c r="V18" i="1"/>
  <c r="AB18" i="1"/>
  <c r="AD18" i="1"/>
  <c r="AE18" i="1"/>
  <c r="AJ18" i="1"/>
  <c r="AK18" i="1"/>
  <c r="AM18" i="1"/>
  <c r="C17" i="1"/>
  <c r="L17" i="1"/>
  <c r="AC17" i="1" s="1"/>
  <c r="P17" i="1"/>
  <c r="T17" i="1" s="1"/>
  <c r="U17" i="1"/>
  <c r="Z17" i="1" s="1"/>
  <c r="V17" i="1"/>
  <c r="AB17" i="1"/>
  <c r="AF17" i="1" s="1"/>
  <c r="AD17" i="1"/>
  <c r="AE17" i="1"/>
  <c r="AJ17" i="1"/>
  <c r="AL17" i="1" s="1"/>
  <c r="AK17" i="1"/>
  <c r="AM17" i="1"/>
  <c r="C16" i="1"/>
  <c r="L16" i="1"/>
  <c r="P16" i="1"/>
  <c r="T16" i="1" s="1"/>
  <c r="U16" i="1"/>
  <c r="V16" i="1"/>
  <c r="AB16" i="1"/>
  <c r="AD16" i="1"/>
  <c r="AE16" i="1"/>
  <c r="AJ16" i="1"/>
  <c r="AL16" i="1" s="1"/>
  <c r="AK16" i="1"/>
  <c r="AM16" i="1"/>
  <c r="C15" i="1"/>
  <c r="L15" i="1"/>
  <c r="P15" i="1"/>
  <c r="T15" i="1" s="1"/>
  <c r="U15" i="1"/>
  <c r="V15" i="1"/>
  <c r="AB15" i="1"/>
  <c r="AD15" i="1"/>
  <c r="AE15" i="1"/>
  <c r="AJ15" i="1"/>
  <c r="AK15" i="1"/>
  <c r="AM15" i="1"/>
  <c r="C14" i="1"/>
  <c r="L14" i="1"/>
  <c r="P14" i="1"/>
  <c r="T14" i="1" s="1"/>
  <c r="U14" i="1"/>
  <c r="V14" i="1"/>
  <c r="AB14" i="1"/>
  <c r="AC14" i="1"/>
  <c r="AD14" i="1"/>
  <c r="AE14" i="1"/>
  <c r="AJ14" i="1"/>
  <c r="AK14" i="1"/>
  <c r="AM14" i="1"/>
  <c r="C13" i="1"/>
  <c r="L13" i="1"/>
  <c r="P13" i="1"/>
  <c r="T13" i="1" s="1"/>
  <c r="U13" i="1"/>
  <c r="V13" i="1"/>
  <c r="AB13" i="1"/>
  <c r="AC13" i="1"/>
  <c r="AD13" i="1"/>
  <c r="AE13" i="1"/>
  <c r="AJ13" i="1"/>
  <c r="AK13" i="1"/>
  <c r="AM13" i="1"/>
  <c r="C12" i="1"/>
  <c r="L12" i="1"/>
  <c r="P12" i="1"/>
  <c r="T12" i="1" s="1"/>
  <c r="U12" i="1"/>
  <c r="V12" i="1"/>
  <c r="AB12" i="1"/>
  <c r="AD12" i="1"/>
  <c r="AE12" i="1"/>
  <c r="AJ12" i="1"/>
  <c r="AK12" i="1"/>
  <c r="AM12" i="1"/>
  <c r="C11" i="1"/>
  <c r="L11" i="1"/>
  <c r="P11" i="1"/>
  <c r="T11" i="1" s="1"/>
  <c r="U11" i="1"/>
  <c r="V11" i="1"/>
  <c r="AB11" i="1"/>
  <c r="AD11" i="1"/>
  <c r="AE11" i="1"/>
  <c r="AJ11" i="1"/>
  <c r="AK11" i="1"/>
  <c r="AM11" i="1"/>
  <c r="C10" i="1"/>
  <c r="L10" i="1"/>
  <c r="P10" i="1"/>
  <c r="T10" i="1" s="1"/>
  <c r="U10" i="1"/>
  <c r="V10" i="1"/>
  <c r="AB10" i="1"/>
  <c r="AD10" i="1"/>
  <c r="AE10" i="1"/>
  <c r="AJ10" i="1"/>
  <c r="AK10" i="1"/>
  <c r="AM10" i="1"/>
  <c r="Y19" i="5"/>
  <c r="X32" i="5"/>
  <c r="V10" i="5"/>
  <c r="T32" i="5"/>
  <c r="Q24" i="5"/>
  <c r="M26" i="5"/>
  <c r="J17" i="5"/>
  <c r="G20" i="5"/>
  <c r="F25" i="5"/>
  <c r="AE2" i="1"/>
  <c r="AE3" i="1"/>
  <c r="AE4" i="1"/>
  <c r="AE5" i="1"/>
  <c r="AE6" i="1"/>
  <c r="AE7" i="1"/>
  <c r="AE8" i="1"/>
  <c r="AE9" i="1"/>
  <c r="AD2" i="1"/>
  <c r="AD3" i="1"/>
  <c r="AD4" i="1"/>
  <c r="AD5" i="1"/>
  <c r="AD6" i="1"/>
  <c r="AD7" i="1"/>
  <c r="AD8" i="1"/>
  <c r="AD9" i="1"/>
  <c r="C9" i="1"/>
  <c r="L9" i="1"/>
  <c r="P9" i="1"/>
  <c r="T9" i="1" s="1"/>
  <c r="U9" i="1"/>
  <c r="V9" i="1"/>
  <c r="AB9" i="1"/>
  <c r="AJ9" i="1"/>
  <c r="AL9" i="1" s="1"/>
  <c r="AK9" i="1"/>
  <c r="AM9" i="1"/>
  <c r="AB2" i="1"/>
  <c r="AB3" i="1"/>
  <c r="AB4" i="1"/>
  <c r="AB5" i="1"/>
  <c r="S38" i="6" s="1"/>
  <c r="AB6" i="1"/>
  <c r="AB7" i="1"/>
  <c r="AB8" i="1"/>
  <c r="C8" i="1"/>
  <c r="L8" i="1"/>
  <c r="P8" i="1"/>
  <c r="T8" i="1" s="1"/>
  <c r="U8" i="1"/>
  <c r="V8" i="1"/>
  <c r="AJ8" i="1"/>
  <c r="AL8" i="1" s="1"/>
  <c r="AK8" i="1"/>
  <c r="AM8" i="1"/>
  <c r="C7" i="1"/>
  <c r="L7" i="1"/>
  <c r="P7" i="1"/>
  <c r="T7" i="1" s="1"/>
  <c r="U7" i="1"/>
  <c r="V7" i="1"/>
  <c r="AJ7" i="1"/>
  <c r="AK7" i="1"/>
  <c r="AM7" i="1"/>
  <c r="C6" i="1"/>
  <c r="L6" i="1"/>
  <c r="P6" i="1"/>
  <c r="T6" i="1" s="1"/>
  <c r="U6" i="1"/>
  <c r="V6" i="1"/>
  <c r="AJ6" i="1"/>
  <c r="AK6" i="1"/>
  <c r="AM6" i="1"/>
  <c r="V2" i="1"/>
  <c r="V3" i="1"/>
  <c r="V4" i="1"/>
  <c r="AA4" i="1" s="1"/>
  <c r="V5" i="1"/>
  <c r="U2" i="1"/>
  <c r="U3" i="1"/>
  <c r="Z3" i="1" s="1"/>
  <c r="U4" i="1"/>
  <c r="U5" i="1"/>
  <c r="W1341" i="1" l="1"/>
  <c r="X1341" i="1"/>
  <c r="W1323" i="1"/>
  <c r="X1323" i="1"/>
  <c r="W1311" i="1"/>
  <c r="X1311" i="1"/>
  <c r="W1299" i="1"/>
  <c r="X1299" i="1"/>
  <c r="W1293" i="1"/>
  <c r="X1293" i="1"/>
  <c r="W1281" i="1"/>
  <c r="X1281" i="1"/>
  <c r="W1269" i="1"/>
  <c r="X1269" i="1"/>
  <c r="W1251" i="1"/>
  <c r="X1251" i="1"/>
  <c r="W1239" i="1"/>
  <c r="X1239" i="1"/>
  <c r="W1227" i="1"/>
  <c r="X1227" i="1"/>
  <c r="W1215" i="1"/>
  <c r="X1215" i="1"/>
  <c r="W1203" i="1"/>
  <c r="X1203" i="1"/>
  <c r="W1191" i="1"/>
  <c r="X1191" i="1"/>
  <c r="W1179" i="1"/>
  <c r="X1179" i="1"/>
  <c r="W1167" i="1"/>
  <c r="X1167" i="1"/>
  <c r="W1155" i="1"/>
  <c r="X1155" i="1"/>
  <c r="W1143" i="1"/>
  <c r="X1143" i="1"/>
  <c r="W1131" i="1"/>
  <c r="X1131" i="1"/>
  <c r="W1119" i="1"/>
  <c r="X1119" i="1"/>
  <c r="W1107" i="1"/>
  <c r="X1107" i="1"/>
  <c r="W1095" i="1"/>
  <c r="X1095" i="1"/>
  <c r="X1083" i="1"/>
  <c r="W1083" i="1"/>
  <c r="W1071" i="1"/>
  <c r="X1071" i="1"/>
  <c r="W1059" i="1"/>
  <c r="X1059" i="1"/>
  <c r="W1041" i="1"/>
  <c r="X1041" i="1"/>
  <c r="W1035" i="1"/>
  <c r="X1035" i="1"/>
  <c r="W1023" i="1"/>
  <c r="X1023" i="1"/>
  <c r="W1011" i="1"/>
  <c r="X1011" i="1"/>
  <c r="W999" i="1"/>
  <c r="X999" i="1"/>
  <c r="W987" i="1"/>
  <c r="X987" i="1"/>
  <c r="W975" i="1"/>
  <c r="X975" i="1"/>
  <c r="W963" i="1"/>
  <c r="X963" i="1"/>
  <c r="W951" i="1"/>
  <c r="X951" i="1"/>
  <c r="W939" i="1"/>
  <c r="X939" i="1"/>
  <c r="W927" i="1"/>
  <c r="X927" i="1"/>
  <c r="W915" i="1"/>
  <c r="X915" i="1"/>
  <c r="W903" i="1"/>
  <c r="X903" i="1"/>
  <c r="W891" i="1"/>
  <c r="X891" i="1"/>
  <c r="W879" i="1"/>
  <c r="X879" i="1"/>
  <c r="W867" i="1"/>
  <c r="X867" i="1"/>
  <c r="W855" i="1"/>
  <c r="X855" i="1"/>
  <c r="W843" i="1"/>
  <c r="X843" i="1"/>
  <c r="W831" i="1"/>
  <c r="X831" i="1"/>
  <c r="W819" i="1"/>
  <c r="X819" i="1"/>
  <c r="W807" i="1"/>
  <c r="X807" i="1"/>
  <c r="W795" i="1"/>
  <c r="X795" i="1"/>
  <c r="W783" i="1"/>
  <c r="X783" i="1"/>
  <c r="W771" i="1"/>
  <c r="X771" i="1"/>
  <c r="W759" i="1"/>
  <c r="X759" i="1"/>
  <c r="W747" i="1"/>
  <c r="X747" i="1"/>
  <c r="W735" i="1"/>
  <c r="X735" i="1"/>
  <c r="W723" i="1"/>
  <c r="X723" i="1"/>
  <c r="W711" i="1"/>
  <c r="X711" i="1"/>
  <c r="W699" i="1"/>
  <c r="X699" i="1"/>
  <c r="W687" i="1"/>
  <c r="X687" i="1"/>
  <c r="W681" i="1"/>
  <c r="X681" i="1"/>
  <c r="W669" i="1"/>
  <c r="X669" i="1"/>
  <c r="W657" i="1"/>
  <c r="X657" i="1"/>
  <c r="W645" i="1"/>
  <c r="X645" i="1"/>
  <c r="W633" i="1"/>
  <c r="X633" i="1"/>
  <c r="W621" i="1"/>
  <c r="X621" i="1"/>
  <c r="W609" i="1"/>
  <c r="X609" i="1"/>
  <c r="W597" i="1"/>
  <c r="X597" i="1"/>
  <c r="W585" i="1"/>
  <c r="X585" i="1"/>
  <c r="W573" i="1"/>
  <c r="X573" i="1"/>
  <c r="W561" i="1"/>
  <c r="X561" i="1"/>
  <c r="W549" i="1"/>
  <c r="X549" i="1"/>
  <c r="W543" i="1"/>
  <c r="X543" i="1"/>
  <c r="W531" i="1"/>
  <c r="X531" i="1"/>
  <c r="W525" i="1"/>
  <c r="X525" i="1"/>
  <c r="W513" i="1"/>
  <c r="X513" i="1"/>
  <c r="W507" i="1"/>
  <c r="X507" i="1"/>
  <c r="W501" i="1"/>
  <c r="X501" i="1"/>
  <c r="W495" i="1"/>
  <c r="X495" i="1"/>
  <c r="W489" i="1"/>
  <c r="X489" i="1"/>
  <c r="W483" i="1"/>
  <c r="X483" i="1"/>
  <c r="W477" i="1"/>
  <c r="X477" i="1"/>
  <c r="W471" i="1"/>
  <c r="X471" i="1"/>
  <c r="X465" i="1"/>
  <c r="W465" i="1"/>
  <c r="W459" i="1"/>
  <c r="X459" i="1"/>
  <c r="W453" i="1"/>
  <c r="X453" i="1"/>
  <c r="W447" i="1"/>
  <c r="X447" i="1"/>
  <c r="W441" i="1"/>
  <c r="X441" i="1"/>
  <c r="W435" i="1"/>
  <c r="X435" i="1"/>
  <c r="W429" i="1"/>
  <c r="X429" i="1"/>
  <c r="W423" i="1"/>
  <c r="X423" i="1"/>
  <c r="X417" i="1"/>
  <c r="W417" i="1"/>
  <c r="W411" i="1"/>
  <c r="X411" i="1"/>
  <c r="W405" i="1"/>
  <c r="X405" i="1"/>
  <c r="W399" i="1"/>
  <c r="X399" i="1"/>
  <c r="W387" i="1"/>
  <c r="X387" i="1"/>
  <c r="W381" i="1"/>
  <c r="X381" i="1"/>
  <c r="W375" i="1"/>
  <c r="X375" i="1"/>
  <c r="W369" i="1"/>
  <c r="X369" i="1"/>
  <c r="W363" i="1"/>
  <c r="X363" i="1"/>
  <c r="X357" i="1"/>
  <c r="W357" i="1"/>
  <c r="W351" i="1"/>
  <c r="X351" i="1"/>
  <c r="W345" i="1"/>
  <c r="X345" i="1"/>
  <c r="W339" i="1"/>
  <c r="X339" i="1"/>
  <c r="W333" i="1"/>
  <c r="X333" i="1"/>
  <c r="W327" i="1"/>
  <c r="X327" i="1"/>
  <c r="W321" i="1"/>
  <c r="X321" i="1"/>
  <c r="W315" i="1"/>
  <c r="X315" i="1"/>
  <c r="X309" i="1"/>
  <c r="W309" i="1"/>
  <c r="W303" i="1"/>
  <c r="X303" i="1"/>
  <c r="W297" i="1"/>
  <c r="X297" i="1"/>
  <c r="W291" i="1"/>
  <c r="X291" i="1"/>
  <c r="W285" i="1"/>
  <c r="X285" i="1"/>
  <c r="W279" i="1"/>
  <c r="X279" i="1"/>
  <c r="W273" i="1"/>
  <c r="X273" i="1"/>
  <c r="W267" i="1"/>
  <c r="X267" i="1"/>
  <c r="W261" i="1"/>
  <c r="X261" i="1"/>
  <c r="W255" i="1"/>
  <c r="X255" i="1"/>
  <c r="W249" i="1"/>
  <c r="X249" i="1"/>
  <c r="W243" i="1"/>
  <c r="X243" i="1"/>
  <c r="W237" i="1"/>
  <c r="X237" i="1"/>
  <c r="W231" i="1"/>
  <c r="X231" i="1"/>
  <c r="W225" i="1"/>
  <c r="X225" i="1"/>
  <c r="W219" i="1"/>
  <c r="X219" i="1"/>
  <c r="W213" i="1"/>
  <c r="X213" i="1"/>
  <c r="W207" i="1"/>
  <c r="X207" i="1"/>
  <c r="X201" i="1"/>
  <c r="W201" i="1"/>
  <c r="W195" i="1"/>
  <c r="X195" i="1"/>
  <c r="W189" i="1"/>
  <c r="X189" i="1"/>
  <c r="W183" i="1"/>
  <c r="X183" i="1"/>
  <c r="W177" i="1"/>
  <c r="X177" i="1"/>
  <c r="W171" i="1"/>
  <c r="X171" i="1"/>
  <c r="W165" i="1"/>
  <c r="X165" i="1"/>
  <c r="W159" i="1"/>
  <c r="X159" i="1"/>
  <c r="W153" i="1"/>
  <c r="X153" i="1"/>
  <c r="W147" i="1"/>
  <c r="X147" i="1"/>
  <c r="X141" i="1"/>
  <c r="W141" i="1"/>
  <c r="W135" i="1"/>
  <c r="X135" i="1"/>
  <c r="W129" i="1"/>
  <c r="X129" i="1"/>
  <c r="W123" i="1"/>
  <c r="X123" i="1"/>
  <c r="W117" i="1"/>
  <c r="X117" i="1"/>
  <c r="W111" i="1"/>
  <c r="X111" i="1"/>
  <c r="W105" i="1"/>
  <c r="X105" i="1"/>
  <c r="W99" i="1"/>
  <c r="X99" i="1"/>
  <c r="X93" i="1"/>
  <c r="W93" i="1"/>
  <c r="W87" i="1"/>
  <c r="X87" i="1"/>
  <c r="W81" i="1"/>
  <c r="X81" i="1"/>
  <c r="W75" i="1"/>
  <c r="X75" i="1"/>
  <c r="W69" i="1"/>
  <c r="X69" i="1"/>
  <c r="W63" i="1"/>
  <c r="X63" i="1"/>
  <c r="W57" i="1"/>
  <c r="X57" i="1"/>
  <c r="W51" i="1"/>
  <c r="X51" i="1"/>
  <c r="W45" i="1"/>
  <c r="X45" i="1"/>
  <c r="W39" i="1"/>
  <c r="X39" i="1"/>
  <c r="X33" i="1"/>
  <c r="W33" i="1"/>
  <c r="W27" i="1"/>
  <c r="X27" i="1"/>
  <c r="W21" i="1"/>
  <c r="X21" i="1"/>
  <c r="AF1340" i="1"/>
  <c r="AG1340" i="1"/>
  <c r="AI1340" i="1"/>
  <c r="AH1340" i="1"/>
  <c r="AF1334" i="1"/>
  <c r="AG1334" i="1"/>
  <c r="AI1334" i="1"/>
  <c r="AF1328" i="1"/>
  <c r="AG1328" i="1"/>
  <c r="AI1328" i="1"/>
  <c r="AH1328" i="1"/>
  <c r="AF1322" i="1"/>
  <c r="AG1322" i="1"/>
  <c r="AI1322" i="1"/>
  <c r="AH1322" i="1"/>
  <c r="AF1316" i="1"/>
  <c r="AG1316" i="1"/>
  <c r="AI1316" i="1"/>
  <c r="AH1316" i="1"/>
  <c r="AF1310" i="1"/>
  <c r="AG1310" i="1"/>
  <c r="AH1310" i="1"/>
  <c r="AI1310" i="1"/>
  <c r="AF1304" i="1"/>
  <c r="AG1304" i="1"/>
  <c r="AI1304" i="1"/>
  <c r="AH1304" i="1"/>
  <c r="AF1298" i="1"/>
  <c r="AG1298" i="1"/>
  <c r="AI1298" i="1"/>
  <c r="AH1298" i="1"/>
  <c r="AF1292" i="1"/>
  <c r="AG1292" i="1"/>
  <c r="AI1292" i="1"/>
  <c r="AH1292" i="1"/>
  <c r="AF1286" i="1"/>
  <c r="AG1286" i="1"/>
  <c r="AI1286" i="1"/>
  <c r="AH1286" i="1"/>
  <c r="AF1280" i="1"/>
  <c r="AG1280" i="1"/>
  <c r="AI1280" i="1"/>
  <c r="AH1280" i="1"/>
  <c r="AF1274" i="1"/>
  <c r="AG1274" i="1"/>
  <c r="AH1274" i="1"/>
  <c r="AI1274" i="1"/>
  <c r="AF1268" i="1"/>
  <c r="AG1268" i="1"/>
  <c r="AI1268" i="1"/>
  <c r="AH1268" i="1"/>
  <c r="AF1262" i="1"/>
  <c r="AG1262" i="1"/>
  <c r="AI1262" i="1"/>
  <c r="AH1262" i="1"/>
  <c r="AF1256" i="1"/>
  <c r="AG1256" i="1"/>
  <c r="AI1256" i="1"/>
  <c r="AH1256" i="1"/>
  <c r="AF1250" i="1"/>
  <c r="AG1250" i="1"/>
  <c r="AI1250" i="1"/>
  <c r="AH1250" i="1"/>
  <c r="AF1244" i="1"/>
  <c r="AG1244" i="1"/>
  <c r="AI1244" i="1"/>
  <c r="AH1244" i="1"/>
  <c r="AF1238" i="1"/>
  <c r="AG1238" i="1"/>
  <c r="AH1238" i="1"/>
  <c r="AI1238" i="1"/>
  <c r="AF1232" i="1"/>
  <c r="AG1232" i="1"/>
  <c r="AI1232" i="1"/>
  <c r="AH1232" i="1"/>
  <c r="AF1226" i="1"/>
  <c r="AG1226" i="1"/>
  <c r="AI1226" i="1"/>
  <c r="AH1226" i="1"/>
  <c r="AF1220" i="1"/>
  <c r="AG1220" i="1"/>
  <c r="AI1220" i="1"/>
  <c r="AH1220" i="1"/>
  <c r="AF1214" i="1"/>
  <c r="AG1214" i="1"/>
  <c r="AI1214" i="1"/>
  <c r="AH1214" i="1"/>
  <c r="AF1208" i="1"/>
  <c r="AG1208" i="1"/>
  <c r="AI1208" i="1"/>
  <c r="AH1208" i="1"/>
  <c r="AF1202" i="1"/>
  <c r="AG1202" i="1"/>
  <c r="AH1202" i="1"/>
  <c r="AI1202" i="1"/>
  <c r="AF1196" i="1"/>
  <c r="AG1196" i="1"/>
  <c r="AI1196" i="1"/>
  <c r="AH1196" i="1"/>
  <c r="AF1190" i="1"/>
  <c r="AG1190" i="1"/>
  <c r="AI1190" i="1"/>
  <c r="AH1190" i="1"/>
  <c r="AF1184" i="1"/>
  <c r="AG1184" i="1"/>
  <c r="AI1184" i="1"/>
  <c r="AH1184" i="1"/>
  <c r="AF1178" i="1"/>
  <c r="AG1178" i="1"/>
  <c r="AI1178" i="1"/>
  <c r="AH1178" i="1"/>
  <c r="AF1172" i="1"/>
  <c r="AG1172" i="1"/>
  <c r="AI1172" i="1"/>
  <c r="AH1172" i="1"/>
  <c r="AF1166" i="1"/>
  <c r="AG1166" i="1"/>
  <c r="AH1166" i="1"/>
  <c r="AI1166" i="1"/>
  <c r="AF1160" i="1"/>
  <c r="AG1160" i="1"/>
  <c r="AI1160" i="1"/>
  <c r="AH1160" i="1"/>
  <c r="AF1154" i="1"/>
  <c r="AG1154" i="1"/>
  <c r="AI1154" i="1"/>
  <c r="AH1154" i="1"/>
  <c r="AF1148" i="1"/>
  <c r="AG1148" i="1"/>
  <c r="AI1148" i="1"/>
  <c r="AH1148" i="1"/>
  <c r="AF1142" i="1"/>
  <c r="AG1142" i="1"/>
  <c r="AI1142" i="1"/>
  <c r="AH1142" i="1"/>
  <c r="AF1136" i="1"/>
  <c r="AG1136" i="1"/>
  <c r="AI1136" i="1"/>
  <c r="AH1136" i="1"/>
  <c r="AF1130" i="1"/>
  <c r="AG1130" i="1"/>
  <c r="AH1130" i="1"/>
  <c r="AI1130" i="1"/>
  <c r="AF1124" i="1"/>
  <c r="AG1124" i="1"/>
  <c r="AH1124" i="1"/>
  <c r="AI1124" i="1"/>
  <c r="AF1118" i="1"/>
  <c r="AG1118" i="1"/>
  <c r="AI1118" i="1"/>
  <c r="AH1118" i="1"/>
  <c r="AF1112" i="1"/>
  <c r="AG1112" i="1"/>
  <c r="AI1112" i="1"/>
  <c r="AH1112" i="1"/>
  <c r="AF1106" i="1"/>
  <c r="AG1106" i="1"/>
  <c r="AH1106" i="1"/>
  <c r="AI1106" i="1"/>
  <c r="AF1100" i="1"/>
  <c r="AG1100" i="1"/>
  <c r="AH1100" i="1"/>
  <c r="AI1100" i="1"/>
  <c r="AF1094" i="1"/>
  <c r="AG1094" i="1"/>
  <c r="AH1094" i="1"/>
  <c r="AI1094" i="1"/>
  <c r="AG1088" i="1"/>
  <c r="AI1088" i="1"/>
  <c r="AF1088" i="1"/>
  <c r="AH1088" i="1"/>
  <c r="AG1082" i="1"/>
  <c r="AF1082" i="1"/>
  <c r="AH1082" i="1"/>
  <c r="AI1082" i="1"/>
  <c r="AF1076" i="1"/>
  <c r="AG1076" i="1"/>
  <c r="AH1076" i="1"/>
  <c r="AI1076" i="1"/>
  <c r="AG1070" i="1"/>
  <c r="AF1070" i="1"/>
  <c r="AH1070" i="1"/>
  <c r="AI1070" i="1"/>
  <c r="AG1064" i="1"/>
  <c r="AF1064" i="1"/>
  <c r="AI1064" i="1"/>
  <c r="AH1064" i="1"/>
  <c r="AF1058" i="1"/>
  <c r="AG1058" i="1"/>
  <c r="AH1058" i="1"/>
  <c r="AI1058" i="1"/>
  <c r="AF1052" i="1"/>
  <c r="AG1052" i="1"/>
  <c r="AI1052" i="1"/>
  <c r="AH1052" i="1"/>
  <c r="AG1046" i="1"/>
  <c r="AF1046" i="1"/>
  <c r="AI1046" i="1"/>
  <c r="AH1046" i="1"/>
  <c r="AG1040" i="1"/>
  <c r="AF1040" i="1"/>
  <c r="AI1040" i="1"/>
  <c r="AH1040" i="1"/>
  <c r="AG1034" i="1"/>
  <c r="AH1034" i="1"/>
  <c r="AI1034" i="1"/>
  <c r="AF1034" i="1"/>
  <c r="AG1028" i="1"/>
  <c r="AF1028" i="1"/>
  <c r="AH1028" i="1"/>
  <c r="AI1028" i="1"/>
  <c r="AF1022" i="1"/>
  <c r="AG1022" i="1"/>
  <c r="AH1022" i="1"/>
  <c r="AI1022" i="1"/>
  <c r="AG1016" i="1"/>
  <c r="AH1016" i="1"/>
  <c r="AI1016" i="1"/>
  <c r="AF1016" i="1"/>
  <c r="AF1010" i="1"/>
  <c r="AG1010" i="1"/>
  <c r="AI1010" i="1"/>
  <c r="AH1010" i="1"/>
  <c r="AG1004" i="1"/>
  <c r="AF1004" i="1"/>
  <c r="AI1004" i="1"/>
  <c r="AH1004" i="1"/>
  <c r="AG998" i="1"/>
  <c r="AH998" i="1"/>
  <c r="AI998" i="1"/>
  <c r="AF998" i="1"/>
  <c r="AG992" i="1"/>
  <c r="AH992" i="1"/>
  <c r="AI992" i="1"/>
  <c r="AF986" i="1"/>
  <c r="AG986" i="1"/>
  <c r="AH986" i="1"/>
  <c r="AI986" i="1"/>
  <c r="AG980" i="1"/>
  <c r="AI980" i="1"/>
  <c r="AF980" i="1"/>
  <c r="AH980" i="1"/>
  <c r="AG974" i="1"/>
  <c r="AH974" i="1"/>
  <c r="AI974" i="1"/>
  <c r="AF968" i="1"/>
  <c r="AG968" i="1"/>
  <c r="AH968" i="1"/>
  <c r="AI968" i="1"/>
  <c r="AG962" i="1"/>
  <c r="AF962" i="1"/>
  <c r="AI962" i="1"/>
  <c r="AH962" i="1"/>
  <c r="AG956" i="1"/>
  <c r="AF956" i="1"/>
  <c r="AH956" i="1"/>
  <c r="AF950" i="1"/>
  <c r="AG950" i="1"/>
  <c r="AH950" i="1"/>
  <c r="AI950" i="1"/>
  <c r="AF944" i="1"/>
  <c r="AG944" i="1"/>
  <c r="AH944" i="1"/>
  <c r="AI944" i="1"/>
  <c r="AF938" i="1"/>
  <c r="AI938" i="1"/>
  <c r="AH938" i="1"/>
  <c r="AG938" i="1"/>
  <c r="AF932" i="1"/>
  <c r="AI932" i="1"/>
  <c r="AG932" i="1"/>
  <c r="AH932" i="1"/>
  <c r="AH926" i="1"/>
  <c r="AF926" i="1"/>
  <c r="AI926" i="1"/>
  <c r="AG926" i="1"/>
  <c r="AG920" i="1"/>
  <c r="AF920" i="1"/>
  <c r="AI920" i="1"/>
  <c r="AH920" i="1"/>
  <c r="AF914" i="1"/>
  <c r="AH914" i="1"/>
  <c r="AI914" i="1"/>
  <c r="AG914" i="1"/>
  <c r="AG908" i="1"/>
  <c r="AF908" i="1"/>
  <c r="AH908" i="1"/>
  <c r="AI908" i="1"/>
  <c r="AF902" i="1"/>
  <c r="AI902" i="1"/>
  <c r="AH902" i="1"/>
  <c r="AG902" i="1"/>
  <c r="AF896" i="1"/>
  <c r="AI896" i="1"/>
  <c r="AG896" i="1"/>
  <c r="AH896" i="1"/>
  <c r="AG890" i="1"/>
  <c r="AF890" i="1"/>
  <c r="AH890" i="1"/>
  <c r="AI890" i="1"/>
  <c r="AG884" i="1"/>
  <c r="AH884" i="1"/>
  <c r="AF884" i="1"/>
  <c r="AI884" i="1"/>
  <c r="AF878" i="1"/>
  <c r="AH878" i="1"/>
  <c r="AI878" i="1"/>
  <c r="AG878" i="1"/>
  <c r="AG872" i="1"/>
  <c r="AI872" i="1"/>
  <c r="AH872" i="1"/>
  <c r="AF872" i="1"/>
  <c r="AG866" i="1"/>
  <c r="AF866" i="1"/>
  <c r="AH866" i="1"/>
  <c r="AI866" i="1"/>
  <c r="AF860" i="1"/>
  <c r="AG860" i="1"/>
  <c r="AH860" i="1"/>
  <c r="AI860" i="1"/>
  <c r="AF854" i="1"/>
  <c r="AH854" i="1"/>
  <c r="AG854" i="1"/>
  <c r="AI854" i="1"/>
  <c r="AG848" i="1"/>
  <c r="AF848" i="1"/>
  <c r="AI848" i="1"/>
  <c r="AH848" i="1"/>
  <c r="AF842" i="1"/>
  <c r="AG842" i="1"/>
  <c r="AH842" i="1"/>
  <c r="AI842" i="1"/>
  <c r="AF836" i="1"/>
  <c r="AG836" i="1"/>
  <c r="AI836" i="1"/>
  <c r="AH836" i="1"/>
  <c r="AF830" i="1"/>
  <c r="AI830" i="1"/>
  <c r="AH830" i="1"/>
  <c r="AG830" i="1"/>
  <c r="AF824" i="1"/>
  <c r="AI824" i="1"/>
  <c r="AG824" i="1"/>
  <c r="AH824" i="1"/>
  <c r="AF818" i="1"/>
  <c r="AH818" i="1"/>
  <c r="AI818" i="1"/>
  <c r="AG818" i="1"/>
  <c r="AG812" i="1"/>
  <c r="AI812" i="1"/>
  <c r="AH812" i="1"/>
  <c r="AF812" i="1"/>
  <c r="AF806" i="1"/>
  <c r="AH806" i="1"/>
  <c r="AI806" i="1"/>
  <c r="AG806" i="1"/>
  <c r="AF800" i="1"/>
  <c r="AG800" i="1"/>
  <c r="AH800" i="1"/>
  <c r="AI800" i="1"/>
  <c r="AF794" i="1"/>
  <c r="AI794" i="1"/>
  <c r="AG794" i="1"/>
  <c r="AH794" i="1"/>
  <c r="AF788" i="1"/>
  <c r="AG788" i="1"/>
  <c r="AI788" i="1"/>
  <c r="AH788" i="1"/>
  <c r="AF782" i="1"/>
  <c r="AH782" i="1"/>
  <c r="AI782" i="1"/>
  <c r="AG782" i="1"/>
  <c r="AG776" i="1"/>
  <c r="AH776" i="1"/>
  <c r="AF776" i="1"/>
  <c r="AI776" i="1"/>
  <c r="AF770" i="1"/>
  <c r="AH770" i="1"/>
  <c r="AI770" i="1"/>
  <c r="AG770" i="1"/>
  <c r="AI764" i="1"/>
  <c r="AF764" i="1"/>
  <c r="AH764" i="1"/>
  <c r="AG758" i="1"/>
  <c r="AF758" i="1"/>
  <c r="AH758" i="1"/>
  <c r="AI758" i="1"/>
  <c r="AF752" i="1"/>
  <c r="AG752" i="1"/>
  <c r="AH752" i="1"/>
  <c r="AI752" i="1"/>
  <c r="AF746" i="1"/>
  <c r="AH746" i="1"/>
  <c r="AI746" i="1"/>
  <c r="AG746" i="1"/>
  <c r="AG740" i="1"/>
  <c r="AF740" i="1"/>
  <c r="AH740" i="1"/>
  <c r="AI740" i="1"/>
  <c r="AF734" i="1"/>
  <c r="AG734" i="1"/>
  <c r="AH734" i="1"/>
  <c r="AI734" i="1"/>
  <c r="AF728" i="1"/>
  <c r="AH728" i="1"/>
  <c r="AG728" i="1"/>
  <c r="AI728" i="1"/>
  <c r="AI722" i="1"/>
  <c r="AF722" i="1"/>
  <c r="AH722" i="1"/>
  <c r="AG722" i="1"/>
  <c r="AF716" i="1"/>
  <c r="AI716" i="1"/>
  <c r="AG716" i="1"/>
  <c r="AH716" i="1"/>
  <c r="AH710" i="1"/>
  <c r="AF710" i="1"/>
  <c r="AI710" i="1"/>
  <c r="AG710" i="1"/>
  <c r="AG704" i="1"/>
  <c r="AF704" i="1"/>
  <c r="AH704" i="1"/>
  <c r="AI704" i="1"/>
  <c r="AF698" i="1"/>
  <c r="AH698" i="1"/>
  <c r="AI698" i="1"/>
  <c r="AG698" i="1"/>
  <c r="AG692" i="1"/>
  <c r="AH692" i="1"/>
  <c r="AI692" i="1"/>
  <c r="AF692" i="1"/>
  <c r="AF686" i="1"/>
  <c r="AG686" i="1"/>
  <c r="AI686" i="1"/>
  <c r="AH686" i="1"/>
  <c r="AI680" i="1"/>
  <c r="AG680" i="1"/>
  <c r="AH680" i="1"/>
  <c r="AF680" i="1"/>
  <c r="AH674" i="1"/>
  <c r="AI674" i="1"/>
  <c r="AF674" i="1"/>
  <c r="AG674" i="1"/>
  <c r="AG668" i="1"/>
  <c r="AH668" i="1"/>
  <c r="AF668" i="1"/>
  <c r="AI668" i="1"/>
  <c r="AF662" i="1"/>
  <c r="AH662" i="1"/>
  <c r="AI662" i="1"/>
  <c r="AG662" i="1"/>
  <c r="AF656" i="1"/>
  <c r="AI656" i="1"/>
  <c r="AG656" i="1"/>
  <c r="AH656" i="1"/>
  <c r="AG650" i="1"/>
  <c r="AH650" i="1"/>
  <c r="AI650" i="1"/>
  <c r="AF650" i="1"/>
  <c r="AF644" i="1"/>
  <c r="AH644" i="1"/>
  <c r="AI644" i="1"/>
  <c r="AG644" i="1"/>
  <c r="AG638" i="1"/>
  <c r="AF638" i="1"/>
  <c r="AI638" i="1"/>
  <c r="AH638" i="1"/>
  <c r="AG632" i="1"/>
  <c r="AF632" i="1"/>
  <c r="AI632" i="1"/>
  <c r="AH632" i="1"/>
  <c r="AF626" i="1"/>
  <c r="AG626" i="1"/>
  <c r="AH626" i="1"/>
  <c r="AI626" i="1"/>
  <c r="AF620" i="1"/>
  <c r="AG620" i="1"/>
  <c r="AI620" i="1"/>
  <c r="AH620" i="1"/>
  <c r="AF614" i="1"/>
  <c r="AI614" i="1"/>
  <c r="AH614" i="1"/>
  <c r="AG614" i="1"/>
  <c r="AF608" i="1"/>
  <c r="AI608" i="1"/>
  <c r="AH608" i="1"/>
  <c r="AG608" i="1"/>
  <c r="AH602" i="1"/>
  <c r="AG602" i="1"/>
  <c r="AF602" i="1"/>
  <c r="AI602" i="1"/>
  <c r="AG596" i="1"/>
  <c r="AF596" i="1"/>
  <c r="AI596" i="1"/>
  <c r="AH596" i="1"/>
  <c r="AF590" i="1"/>
  <c r="AH590" i="1"/>
  <c r="AI590" i="1"/>
  <c r="AG590" i="1"/>
  <c r="AG584" i="1"/>
  <c r="AF584" i="1"/>
  <c r="AH584" i="1"/>
  <c r="AI584" i="1"/>
  <c r="AF578" i="1"/>
  <c r="AI578" i="1"/>
  <c r="AG578" i="1"/>
  <c r="AH578" i="1"/>
  <c r="AI572" i="1"/>
  <c r="AF572" i="1"/>
  <c r="AG572" i="1"/>
  <c r="AH572" i="1"/>
  <c r="AG566" i="1"/>
  <c r="AH566" i="1"/>
  <c r="AF566" i="1"/>
  <c r="AI566" i="1"/>
  <c r="AG560" i="1"/>
  <c r="AH560" i="1"/>
  <c r="AF560" i="1"/>
  <c r="AI560" i="1"/>
  <c r="AF554" i="1"/>
  <c r="AH554" i="1"/>
  <c r="AI554" i="1"/>
  <c r="AG554" i="1"/>
  <c r="AG548" i="1"/>
  <c r="AI548" i="1"/>
  <c r="AH548" i="1"/>
  <c r="AF548" i="1"/>
  <c r="AG542" i="1"/>
  <c r="AF542" i="1"/>
  <c r="AH542" i="1"/>
  <c r="AI542" i="1"/>
  <c r="AF536" i="1"/>
  <c r="AG536" i="1"/>
  <c r="AH536" i="1"/>
  <c r="AI536" i="1"/>
  <c r="AF530" i="1"/>
  <c r="AI530" i="1"/>
  <c r="AG530" i="1"/>
  <c r="AH530" i="1"/>
  <c r="AG524" i="1"/>
  <c r="AF524" i="1"/>
  <c r="AH524" i="1"/>
  <c r="AI524" i="1"/>
  <c r="AF518" i="1"/>
  <c r="AG518" i="1"/>
  <c r="AH518" i="1"/>
  <c r="AI518" i="1"/>
  <c r="AF512" i="1"/>
  <c r="AG512" i="1"/>
  <c r="AI512" i="1"/>
  <c r="AH512" i="1"/>
  <c r="AI506" i="1"/>
  <c r="AF506" i="1"/>
  <c r="AH506" i="1"/>
  <c r="AG506" i="1"/>
  <c r="AF500" i="1"/>
  <c r="AI500" i="1"/>
  <c r="AG500" i="1"/>
  <c r="AH500" i="1"/>
  <c r="AF494" i="1"/>
  <c r="AH494" i="1"/>
  <c r="AI494" i="1"/>
  <c r="AG494" i="1"/>
  <c r="AG488" i="1"/>
  <c r="AI488" i="1"/>
  <c r="AF488" i="1"/>
  <c r="AH488" i="1"/>
  <c r="AF482" i="1"/>
  <c r="AH482" i="1"/>
  <c r="AI482" i="1"/>
  <c r="AG482" i="1"/>
  <c r="AF476" i="1"/>
  <c r="AG476" i="1"/>
  <c r="AH476" i="1"/>
  <c r="AI476" i="1"/>
  <c r="AF470" i="1"/>
  <c r="AI470" i="1"/>
  <c r="AG470" i="1"/>
  <c r="AH470" i="1"/>
  <c r="AG464" i="1"/>
  <c r="AI464" i="1"/>
  <c r="AF464" i="1"/>
  <c r="AH464" i="1"/>
  <c r="AF458" i="1"/>
  <c r="AH458" i="1"/>
  <c r="AI458" i="1"/>
  <c r="AG458" i="1"/>
  <c r="AG452" i="1"/>
  <c r="AH452" i="1"/>
  <c r="AF452" i="1"/>
  <c r="AI452" i="1"/>
  <c r="AF446" i="1"/>
  <c r="AH446" i="1"/>
  <c r="AI446" i="1"/>
  <c r="AG446" i="1"/>
  <c r="AI440" i="1"/>
  <c r="AF440" i="1"/>
  <c r="AG440" i="1"/>
  <c r="AH440" i="1"/>
  <c r="AG434" i="1"/>
  <c r="AF434" i="1"/>
  <c r="AH434" i="1"/>
  <c r="AI434" i="1"/>
  <c r="AF428" i="1"/>
  <c r="AG428" i="1"/>
  <c r="AH428" i="1"/>
  <c r="AI428" i="1"/>
  <c r="AF422" i="1"/>
  <c r="AG422" i="1"/>
  <c r="AH422" i="1"/>
  <c r="AI422" i="1"/>
  <c r="AG416" i="1"/>
  <c r="AF416" i="1"/>
  <c r="AI416" i="1"/>
  <c r="AH416" i="1"/>
  <c r="AF410" i="1"/>
  <c r="AG410" i="1"/>
  <c r="AH410" i="1"/>
  <c r="AI410" i="1"/>
  <c r="AF404" i="1"/>
  <c r="AI404" i="1"/>
  <c r="AH404" i="1"/>
  <c r="AG404" i="1"/>
  <c r="AF398" i="1"/>
  <c r="AI398" i="1"/>
  <c r="AH398" i="1"/>
  <c r="AG398" i="1"/>
  <c r="AF392" i="1"/>
  <c r="AI392" i="1"/>
  <c r="AG392" i="1"/>
  <c r="AH392" i="1"/>
  <c r="AH386" i="1"/>
  <c r="AI386" i="1"/>
  <c r="AG386" i="1"/>
  <c r="AF386" i="1"/>
  <c r="AG380" i="1"/>
  <c r="AF380" i="1"/>
  <c r="AH380" i="1"/>
  <c r="AI380" i="1"/>
  <c r="AF374" i="1"/>
  <c r="AH374" i="1"/>
  <c r="AI374" i="1"/>
  <c r="AG374" i="1"/>
  <c r="AG368" i="1"/>
  <c r="AF368" i="1"/>
  <c r="AH368" i="1"/>
  <c r="AI368" i="1"/>
  <c r="AF362" i="1"/>
  <c r="AG362" i="1"/>
  <c r="AI362" i="1"/>
  <c r="AH362" i="1"/>
  <c r="AF356" i="1"/>
  <c r="AG356" i="1"/>
  <c r="AI356" i="1"/>
  <c r="AH356" i="1"/>
  <c r="AF350" i="1"/>
  <c r="AG350" i="1"/>
  <c r="AH350" i="1"/>
  <c r="AI350" i="1"/>
  <c r="AG344" i="1"/>
  <c r="AH344" i="1"/>
  <c r="AF344" i="1"/>
  <c r="AI344" i="1"/>
  <c r="AF338" i="1"/>
  <c r="AH338" i="1"/>
  <c r="AI338" i="1"/>
  <c r="AG338" i="1"/>
  <c r="AF332" i="1"/>
  <c r="AI332" i="1"/>
  <c r="AG332" i="1"/>
  <c r="AH332" i="1"/>
  <c r="AG326" i="1"/>
  <c r="AF326" i="1"/>
  <c r="AH326" i="1"/>
  <c r="AI326" i="1"/>
  <c r="AF320" i="1"/>
  <c r="AG320" i="1"/>
  <c r="AH320" i="1"/>
  <c r="AI320" i="1"/>
  <c r="AF314" i="1"/>
  <c r="AG314" i="1"/>
  <c r="AI314" i="1"/>
  <c r="AH314" i="1"/>
  <c r="AG308" i="1"/>
  <c r="AF308" i="1"/>
  <c r="AH308" i="1"/>
  <c r="AI308" i="1"/>
  <c r="AF302" i="1"/>
  <c r="AG302" i="1"/>
  <c r="AH302" i="1"/>
  <c r="AI302" i="1"/>
  <c r="AF296" i="1"/>
  <c r="AG296" i="1"/>
  <c r="AI296" i="1"/>
  <c r="AH296" i="1"/>
  <c r="AF290" i="1"/>
  <c r="AI290" i="1"/>
  <c r="AG290" i="1"/>
  <c r="AH290" i="1"/>
  <c r="AI284" i="1"/>
  <c r="AG284" i="1"/>
  <c r="AF284" i="1"/>
  <c r="AH284" i="1"/>
  <c r="AH278" i="1"/>
  <c r="AG278" i="1"/>
  <c r="AF278" i="1"/>
  <c r="AI278" i="1"/>
  <c r="AG272" i="1"/>
  <c r="AF272" i="1"/>
  <c r="AI272" i="1"/>
  <c r="AH272" i="1"/>
  <c r="AF266" i="1"/>
  <c r="AH266" i="1"/>
  <c r="AI266" i="1"/>
  <c r="AG266" i="1"/>
  <c r="AG260" i="1"/>
  <c r="AF260" i="1"/>
  <c r="AH260" i="1"/>
  <c r="AI260" i="1"/>
  <c r="AF254" i="1"/>
  <c r="AG254" i="1"/>
  <c r="AI254" i="1"/>
  <c r="AH254" i="1"/>
  <c r="AF248" i="1"/>
  <c r="AI248" i="1"/>
  <c r="AG248" i="1"/>
  <c r="AH248" i="1"/>
  <c r="AG242" i="1"/>
  <c r="AH242" i="1"/>
  <c r="AF242" i="1"/>
  <c r="AI242" i="1"/>
  <c r="AG236" i="1"/>
  <c r="AH236" i="1"/>
  <c r="AF236" i="1"/>
  <c r="AI236" i="1"/>
  <c r="AF230" i="1"/>
  <c r="AH230" i="1"/>
  <c r="AI230" i="1"/>
  <c r="AG230" i="1"/>
  <c r="AG224" i="1"/>
  <c r="AI224" i="1"/>
  <c r="AH224" i="1"/>
  <c r="AF224" i="1"/>
  <c r="AG218" i="1"/>
  <c r="AF218" i="1"/>
  <c r="AH218" i="1"/>
  <c r="AI218" i="1"/>
  <c r="AF212" i="1"/>
  <c r="AH212" i="1"/>
  <c r="AG212" i="1"/>
  <c r="AI212" i="1"/>
  <c r="AG206" i="1"/>
  <c r="AH206" i="1"/>
  <c r="AF206" i="1"/>
  <c r="AI206" i="1"/>
  <c r="AG200" i="1"/>
  <c r="AF200" i="1"/>
  <c r="AI200" i="1"/>
  <c r="AH200" i="1"/>
  <c r="AF194" i="1"/>
  <c r="AG194" i="1"/>
  <c r="AH194" i="1"/>
  <c r="AI194" i="1"/>
  <c r="AF188" i="1"/>
  <c r="AG188" i="1"/>
  <c r="AI188" i="1"/>
  <c r="AF182" i="1"/>
  <c r="AI182" i="1"/>
  <c r="AH182" i="1"/>
  <c r="AG182" i="1"/>
  <c r="AG176" i="1"/>
  <c r="AI176" i="1"/>
  <c r="AF176" i="1"/>
  <c r="AH176" i="1"/>
  <c r="AF170" i="1"/>
  <c r="AH170" i="1"/>
  <c r="AI170" i="1"/>
  <c r="AG170" i="1"/>
  <c r="AG164" i="1"/>
  <c r="AI164" i="1"/>
  <c r="AF164" i="1"/>
  <c r="AH164" i="1"/>
  <c r="AF158" i="1"/>
  <c r="AH158" i="1"/>
  <c r="AI158" i="1"/>
  <c r="AG158" i="1"/>
  <c r="AF152" i="1"/>
  <c r="AG152" i="1"/>
  <c r="AH152" i="1"/>
  <c r="AI152" i="1"/>
  <c r="AF146" i="1"/>
  <c r="AI146" i="1"/>
  <c r="AH146" i="1"/>
  <c r="AG146" i="1"/>
  <c r="AF140" i="1"/>
  <c r="AG140" i="1"/>
  <c r="AI140" i="1"/>
  <c r="AH140" i="1"/>
  <c r="AG134" i="1"/>
  <c r="AH134" i="1"/>
  <c r="AI134" i="1"/>
  <c r="AF134" i="1"/>
  <c r="AG128" i="1"/>
  <c r="AH128" i="1"/>
  <c r="AF128" i="1"/>
  <c r="AI128" i="1"/>
  <c r="AF122" i="1"/>
  <c r="AH122" i="1"/>
  <c r="AI122" i="1"/>
  <c r="AG122" i="1"/>
  <c r="AG116" i="1"/>
  <c r="AI116" i="1"/>
  <c r="AF116" i="1"/>
  <c r="AH116" i="1"/>
  <c r="AG110" i="1"/>
  <c r="AF110" i="1"/>
  <c r="AH110" i="1"/>
  <c r="AI110" i="1"/>
  <c r="U21" i="5"/>
  <c r="AF104" i="1"/>
  <c r="AG104" i="1"/>
  <c r="AH104" i="1"/>
  <c r="AI104" i="1"/>
  <c r="AH98" i="1"/>
  <c r="AI98" i="1"/>
  <c r="AF98" i="1"/>
  <c r="AG98" i="1"/>
  <c r="AG92" i="1"/>
  <c r="AF92" i="1"/>
  <c r="AH92" i="1"/>
  <c r="AI92" i="1"/>
  <c r="AF86" i="1"/>
  <c r="AG86" i="1"/>
  <c r="AH86" i="1"/>
  <c r="AI86" i="1"/>
  <c r="AF80" i="1"/>
  <c r="AG80" i="1"/>
  <c r="AH80" i="1"/>
  <c r="AI80" i="1"/>
  <c r="AF74" i="1"/>
  <c r="AI74" i="1"/>
  <c r="AH74" i="1"/>
  <c r="AG74" i="1"/>
  <c r="AF68" i="1"/>
  <c r="AI68" i="1"/>
  <c r="AG68" i="1"/>
  <c r="AH68" i="1"/>
  <c r="Y32" i="5"/>
  <c r="AH62" i="1"/>
  <c r="AI62" i="1"/>
  <c r="AG62" i="1"/>
  <c r="AF62" i="1"/>
  <c r="AG56" i="1"/>
  <c r="AF56" i="1"/>
  <c r="AH56" i="1"/>
  <c r="AI56" i="1"/>
  <c r="D12" i="5"/>
  <c r="AF50" i="1"/>
  <c r="AH50" i="1"/>
  <c r="AI50" i="1"/>
  <c r="AG50" i="1"/>
  <c r="F15" i="5"/>
  <c r="AG44" i="1"/>
  <c r="P24" i="5"/>
  <c r="K24" i="5"/>
  <c r="AH44" i="1"/>
  <c r="AI44" i="1"/>
  <c r="N24" i="5"/>
  <c r="J24" i="5"/>
  <c r="L24" i="5"/>
  <c r="AF38" i="1"/>
  <c r="AG38" i="1"/>
  <c r="AI38" i="1"/>
  <c r="AH38" i="1"/>
  <c r="AG32" i="1"/>
  <c r="AF32" i="1"/>
  <c r="AI32" i="1"/>
  <c r="AH32" i="1"/>
  <c r="AG26" i="1"/>
  <c r="AH26" i="1"/>
  <c r="AI26" i="1"/>
  <c r="N6" i="5"/>
  <c r="P6" i="5"/>
  <c r="J6" i="5"/>
  <c r="F6" i="5"/>
  <c r="M6" i="5"/>
  <c r="K6" i="5"/>
  <c r="Q6" i="5"/>
  <c r="O6" i="5"/>
  <c r="F20" i="5"/>
  <c r="G17" i="5"/>
  <c r="L29" i="5"/>
  <c r="P26" i="5"/>
  <c r="T21" i="5"/>
  <c r="X21" i="5"/>
  <c r="Y14" i="5"/>
  <c r="AG19" i="1"/>
  <c r="AH19" i="1"/>
  <c r="O37" i="6"/>
  <c r="X68" i="6"/>
  <c r="B68" i="6"/>
  <c r="M67" i="6"/>
  <c r="W66" i="6"/>
  <c r="B66" i="6"/>
  <c r="L65" i="6"/>
  <c r="V64" i="6"/>
  <c r="AG63" i="6"/>
  <c r="K63" i="6"/>
  <c r="V62" i="6"/>
  <c r="AF61" i="6"/>
  <c r="J61" i="6"/>
  <c r="U60" i="6"/>
  <c r="AE59" i="6"/>
  <c r="J59" i="6"/>
  <c r="AD57" i="6"/>
  <c r="I57" i="6"/>
  <c r="S56" i="6"/>
  <c r="AD55" i="6"/>
  <c r="H55" i="6"/>
  <c r="R54" i="6"/>
  <c r="G53" i="6"/>
  <c r="R52" i="6"/>
  <c r="AB51" i="6"/>
  <c r="F51" i="6"/>
  <c r="Q50" i="6"/>
  <c r="AA49" i="6"/>
  <c r="F49" i="6"/>
  <c r="P48" i="6"/>
  <c r="Z47" i="6"/>
  <c r="E47" i="6"/>
  <c r="O46" i="6"/>
  <c r="Z45" i="6"/>
  <c r="D45" i="6"/>
  <c r="N44" i="6"/>
  <c r="Y43" i="6"/>
  <c r="C43" i="6"/>
  <c r="N42" i="6"/>
  <c r="X41" i="6"/>
  <c r="B41" i="6"/>
  <c r="M40" i="6"/>
  <c r="V39" i="6"/>
  <c r="Z38" i="6"/>
  <c r="AF992" i="1"/>
  <c r="AF974" i="1"/>
  <c r="M37" i="6"/>
  <c r="W68" i="6"/>
  <c r="AG67" i="6"/>
  <c r="L67" i="6"/>
  <c r="V66" i="6"/>
  <c r="AF65" i="6"/>
  <c r="K65" i="6"/>
  <c r="U64" i="6"/>
  <c r="AF63" i="6"/>
  <c r="J63" i="6"/>
  <c r="T62" i="6"/>
  <c r="AE61" i="6"/>
  <c r="I61" i="6"/>
  <c r="T60" i="6"/>
  <c r="AD59" i="6"/>
  <c r="H59" i="6"/>
  <c r="S58" i="6"/>
  <c r="AC57" i="6"/>
  <c r="H57" i="6"/>
  <c r="R56" i="6"/>
  <c r="AB55" i="6"/>
  <c r="G55" i="6"/>
  <c r="Q54" i="6"/>
  <c r="AB53" i="6"/>
  <c r="F53" i="6"/>
  <c r="P52" i="6"/>
  <c r="AA51" i="6"/>
  <c r="E51" i="6"/>
  <c r="P50" i="6"/>
  <c r="Z49" i="6"/>
  <c r="D49" i="6"/>
  <c r="O48" i="6"/>
  <c r="Y47" i="6"/>
  <c r="D47" i="6"/>
  <c r="N46" i="6"/>
  <c r="X45" i="6"/>
  <c r="C45" i="6"/>
  <c r="M44" i="6"/>
  <c r="X43" i="6"/>
  <c r="B43" i="6"/>
  <c r="L42" i="6"/>
  <c r="W41" i="6"/>
  <c r="AG40" i="6"/>
  <c r="L40" i="6"/>
  <c r="U39" i="6"/>
  <c r="Y38" i="6"/>
  <c r="AI956" i="1"/>
  <c r="AH1334" i="1"/>
  <c r="J8" i="5"/>
  <c r="M17" i="5"/>
  <c r="N2" i="5"/>
  <c r="U14" i="5"/>
  <c r="F8" i="5"/>
  <c r="G7" i="5"/>
  <c r="N33" i="5"/>
  <c r="O24" i="5"/>
  <c r="S19" i="5"/>
  <c r="T10" i="5"/>
  <c r="V32" i="5"/>
  <c r="X10" i="5"/>
  <c r="D21" i="5"/>
  <c r="F4" i="5"/>
  <c r="J33" i="5"/>
  <c r="L8" i="5"/>
  <c r="O17" i="5"/>
  <c r="R23" i="5"/>
  <c r="S16" i="5"/>
  <c r="W16" i="5"/>
  <c r="X7" i="5"/>
  <c r="Z18" i="1"/>
  <c r="Z21" i="1"/>
  <c r="Z22" i="1"/>
  <c r="Z19" i="1"/>
  <c r="B37" i="6"/>
  <c r="L37" i="6"/>
  <c r="V68" i="6"/>
  <c r="AF67" i="6"/>
  <c r="J67" i="6"/>
  <c r="U66" i="6"/>
  <c r="AE65" i="6"/>
  <c r="J65" i="6"/>
  <c r="T64" i="6"/>
  <c r="AD63" i="6"/>
  <c r="I63" i="6"/>
  <c r="AD61" i="6"/>
  <c r="H61" i="6"/>
  <c r="R60" i="6"/>
  <c r="AC59" i="6"/>
  <c r="G59" i="6"/>
  <c r="R58" i="6"/>
  <c r="F57" i="6"/>
  <c r="Q56" i="6"/>
  <c r="AA55" i="6"/>
  <c r="F55" i="6"/>
  <c r="P54" i="6"/>
  <c r="Z53" i="6"/>
  <c r="E53" i="6"/>
  <c r="O52" i="6"/>
  <c r="Z51" i="6"/>
  <c r="D51" i="6"/>
  <c r="N50" i="6"/>
  <c r="Y49" i="6"/>
  <c r="C49" i="6"/>
  <c r="X47" i="6"/>
  <c r="B47" i="6"/>
  <c r="M46" i="6"/>
  <c r="W45" i="6"/>
  <c r="B45" i="6"/>
  <c r="L44" i="6"/>
  <c r="V43" i="6"/>
  <c r="AG42" i="6"/>
  <c r="K42" i="6"/>
  <c r="V41" i="6"/>
  <c r="AF40" i="6"/>
  <c r="J40" i="6"/>
  <c r="R39" i="6"/>
  <c r="M8" i="5"/>
  <c r="T16" i="5"/>
  <c r="O29" i="5"/>
  <c r="Q2" i="5"/>
  <c r="G12" i="5"/>
  <c r="Q38" i="6"/>
  <c r="AE38" i="6"/>
  <c r="O39" i="6"/>
  <c r="AB39" i="6"/>
  <c r="F40" i="6"/>
  <c r="R40" i="6"/>
  <c r="AA40" i="6"/>
  <c r="G41" i="6"/>
  <c r="Q41" i="6"/>
  <c r="AC41" i="6"/>
  <c r="F42" i="6"/>
  <c r="R42" i="6"/>
  <c r="AB42" i="6"/>
  <c r="H43" i="6"/>
  <c r="R43" i="6"/>
  <c r="AD43" i="6"/>
  <c r="G44" i="6"/>
  <c r="S44" i="6"/>
  <c r="AC44" i="6"/>
  <c r="R45" i="6"/>
  <c r="AD45" i="6"/>
  <c r="H46" i="6"/>
  <c r="T46" i="6"/>
  <c r="AD46" i="6"/>
  <c r="J47" i="6"/>
  <c r="S47" i="6"/>
  <c r="AE47" i="6"/>
  <c r="I48" i="6"/>
  <c r="U48" i="6"/>
  <c r="AD48" i="6"/>
  <c r="J49" i="6"/>
  <c r="T49" i="6"/>
  <c r="AF49" i="6"/>
  <c r="J50" i="6"/>
  <c r="V50" i="6"/>
  <c r="AE50" i="6"/>
  <c r="K51" i="6"/>
  <c r="U51" i="6"/>
  <c r="AG51" i="6"/>
  <c r="J52" i="6"/>
  <c r="V52" i="6"/>
  <c r="AF52" i="6"/>
  <c r="L53" i="6"/>
  <c r="V53" i="6"/>
  <c r="B54" i="6"/>
  <c r="K54" i="6"/>
  <c r="W54" i="6"/>
  <c r="AG54" i="6"/>
  <c r="M55" i="6"/>
  <c r="V55" i="6"/>
  <c r="B56" i="6"/>
  <c r="L56" i="6"/>
  <c r="X56" i="6"/>
  <c r="B57" i="6"/>
  <c r="N57" i="6"/>
  <c r="W57" i="6"/>
  <c r="C58" i="6"/>
  <c r="M58" i="6"/>
  <c r="Y58" i="6"/>
  <c r="B59" i="6"/>
  <c r="N59" i="6"/>
  <c r="X59" i="6"/>
  <c r="D60" i="6"/>
  <c r="N60" i="6"/>
  <c r="Z60" i="6"/>
  <c r="C61" i="6"/>
  <c r="O61" i="6"/>
  <c r="Y61" i="6"/>
  <c r="E62" i="6"/>
  <c r="N62" i="6"/>
  <c r="Z62" i="6"/>
  <c r="D63" i="6"/>
  <c r="P63" i="6"/>
  <c r="Z63" i="6"/>
  <c r="F64" i="6"/>
  <c r="O64" i="6"/>
  <c r="AA64" i="6"/>
  <c r="E65" i="6"/>
  <c r="Q65" i="6"/>
  <c r="Z65" i="6"/>
  <c r="F66" i="6"/>
  <c r="P66" i="6"/>
  <c r="AB66" i="6"/>
  <c r="F67" i="6"/>
  <c r="R67" i="6"/>
  <c r="AA67" i="6"/>
  <c r="G68" i="6"/>
  <c r="Q68" i="6"/>
  <c r="AC68" i="6"/>
  <c r="G37" i="6"/>
  <c r="S37" i="6"/>
  <c r="AC37" i="6"/>
  <c r="F30" i="5"/>
  <c r="D16" i="5"/>
  <c r="F2" i="5"/>
  <c r="L6" i="5"/>
  <c r="N26" i="5"/>
  <c r="P2" i="5"/>
  <c r="S14" i="5"/>
  <c r="V23" i="5"/>
  <c r="W14" i="5"/>
  <c r="G5" i="5"/>
  <c r="T18" i="1"/>
  <c r="AC18" i="1"/>
  <c r="AA37" i="6"/>
  <c r="E37" i="6"/>
  <c r="N68" i="6"/>
  <c r="Y67" i="6"/>
  <c r="C67" i="6"/>
  <c r="N66" i="6"/>
  <c r="X65" i="6"/>
  <c r="B65" i="6"/>
  <c r="M64" i="6"/>
  <c r="W63" i="6"/>
  <c r="B63" i="6"/>
  <c r="L62" i="6"/>
  <c r="AG60" i="6"/>
  <c r="K60" i="6"/>
  <c r="V59" i="6"/>
  <c r="AF58" i="6"/>
  <c r="J58" i="6"/>
  <c r="U57" i="6"/>
  <c r="AE56" i="6"/>
  <c r="J56" i="6"/>
  <c r="T55" i="6"/>
  <c r="AD54" i="6"/>
  <c r="I54" i="6"/>
  <c r="S53" i="6"/>
  <c r="AD52" i="6"/>
  <c r="H52" i="6"/>
  <c r="R51" i="6"/>
  <c r="AC50" i="6"/>
  <c r="G50" i="6"/>
  <c r="R49" i="6"/>
  <c r="AB48" i="6"/>
  <c r="F48" i="6"/>
  <c r="Q47" i="6"/>
  <c r="AA46" i="6"/>
  <c r="F46" i="6"/>
  <c r="Z44" i="6"/>
  <c r="E44" i="6"/>
  <c r="O43" i="6"/>
  <c r="Z42" i="6"/>
  <c r="D42" i="6"/>
  <c r="N41" i="6"/>
  <c r="Y40" i="6"/>
  <c r="C40" i="6"/>
  <c r="I39" i="6"/>
  <c r="J38" i="6"/>
  <c r="AG764" i="1"/>
  <c r="W1342" i="1"/>
  <c r="X1342" i="1"/>
  <c r="W1336" i="1"/>
  <c r="X1336" i="1"/>
  <c r="W1330" i="1"/>
  <c r="X1330" i="1"/>
  <c r="W1324" i="1"/>
  <c r="X1324" i="1"/>
  <c r="W1318" i="1"/>
  <c r="X1318" i="1"/>
  <c r="W1312" i="1"/>
  <c r="X1312" i="1"/>
  <c r="W1306" i="1"/>
  <c r="X1306" i="1"/>
  <c r="W1300" i="1"/>
  <c r="X1300" i="1"/>
  <c r="W1294" i="1"/>
  <c r="X1294" i="1"/>
  <c r="W1288" i="1"/>
  <c r="X1288" i="1"/>
  <c r="W1282" i="1"/>
  <c r="X1282" i="1"/>
  <c r="W1276" i="1"/>
  <c r="X1276" i="1"/>
  <c r="W1270" i="1"/>
  <c r="X1270" i="1"/>
  <c r="W1264" i="1"/>
  <c r="X1264" i="1"/>
  <c r="W1258" i="1"/>
  <c r="X1258" i="1"/>
  <c r="X1252" i="1"/>
  <c r="W1252" i="1"/>
  <c r="W1246" i="1"/>
  <c r="X1246" i="1"/>
  <c r="W1240" i="1"/>
  <c r="X1240" i="1"/>
  <c r="W1234" i="1"/>
  <c r="X1234" i="1"/>
  <c r="W1228" i="1"/>
  <c r="X1228" i="1"/>
  <c r="X1222" i="1"/>
  <c r="W1222" i="1"/>
  <c r="W1216" i="1"/>
  <c r="X1216" i="1"/>
  <c r="W1210" i="1"/>
  <c r="X1210" i="1"/>
  <c r="W1204" i="1"/>
  <c r="X1204" i="1"/>
  <c r="X1198" i="1"/>
  <c r="W1198" i="1"/>
  <c r="W1192" i="1"/>
  <c r="X1192" i="1"/>
  <c r="W1186" i="1"/>
  <c r="X1186" i="1"/>
  <c r="W1180" i="1"/>
  <c r="X1180" i="1"/>
  <c r="W1174" i="1"/>
  <c r="X1174" i="1"/>
  <c r="W1168" i="1"/>
  <c r="X1168" i="1"/>
  <c r="W1162" i="1"/>
  <c r="X1162" i="1"/>
  <c r="W1156" i="1"/>
  <c r="X1156" i="1"/>
  <c r="W1150" i="1"/>
  <c r="X1150" i="1"/>
  <c r="W1144" i="1"/>
  <c r="X1144" i="1"/>
  <c r="W1138" i="1"/>
  <c r="X1138" i="1"/>
  <c r="W1132" i="1"/>
  <c r="X1132" i="1"/>
  <c r="W1126" i="1"/>
  <c r="X1126" i="1"/>
  <c r="W1120" i="1"/>
  <c r="X1120" i="1"/>
  <c r="W1114" i="1"/>
  <c r="X1114" i="1"/>
  <c r="W1108" i="1"/>
  <c r="X1108" i="1"/>
  <c r="W1102" i="1"/>
  <c r="X1102" i="1"/>
  <c r="W1096" i="1"/>
  <c r="X1096" i="1"/>
  <c r="W1090" i="1"/>
  <c r="X1090" i="1"/>
  <c r="W1084" i="1"/>
  <c r="X1084" i="1"/>
  <c r="W1078" i="1"/>
  <c r="X1078" i="1"/>
  <c r="W1072" i="1"/>
  <c r="X1072" i="1"/>
  <c r="W1066" i="1"/>
  <c r="X1066" i="1"/>
  <c r="W1060" i="1"/>
  <c r="X1060" i="1"/>
  <c r="W1054" i="1"/>
  <c r="X1054" i="1"/>
  <c r="W1048" i="1"/>
  <c r="X1048" i="1"/>
  <c r="W1042" i="1"/>
  <c r="X1042" i="1"/>
  <c r="W1036" i="1"/>
  <c r="X1036" i="1"/>
  <c r="W1030" i="1"/>
  <c r="X1030" i="1"/>
  <c r="W1024" i="1"/>
  <c r="X1024" i="1"/>
  <c r="W1018" i="1"/>
  <c r="X1018" i="1"/>
  <c r="W1012" i="1"/>
  <c r="X1012" i="1"/>
  <c r="W1006" i="1"/>
  <c r="X1006" i="1"/>
  <c r="W1000" i="1"/>
  <c r="X1000" i="1"/>
  <c r="W994" i="1"/>
  <c r="X994" i="1"/>
  <c r="W988" i="1"/>
  <c r="X988" i="1"/>
  <c r="W982" i="1"/>
  <c r="X982" i="1"/>
  <c r="W976" i="1"/>
  <c r="X976" i="1"/>
  <c r="W970" i="1"/>
  <c r="X970" i="1"/>
  <c r="W964" i="1"/>
  <c r="X964" i="1"/>
  <c r="W958" i="1"/>
  <c r="X958" i="1"/>
  <c r="W952" i="1"/>
  <c r="X952" i="1"/>
  <c r="W946" i="1"/>
  <c r="X946" i="1"/>
  <c r="W940" i="1"/>
  <c r="X940" i="1"/>
  <c r="W934" i="1"/>
  <c r="X934" i="1"/>
  <c r="W928" i="1"/>
  <c r="X928" i="1"/>
  <c r="W922" i="1"/>
  <c r="X922" i="1"/>
  <c r="X916" i="1"/>
  <c r="W916" i="1"/>
  <c r="W910" i="1"/>
  <c r="X910" i="1"/>
  <c r="W904" i="1"/>
  <c r="X904" i="1"/>
  <c r="W898" i="1"/>
  <c r="X898" i="1"/>
  <c r="W892" i="1"/>
  <c r="X892" i="1"/>
  <c r="W886" i="1"/>
  <c r="X886" i="1"/>
  <c r="W880" i="1"/>
  <c r="X880" i="1"/>
  <c r="W874" i="1"/>
  <c r="X874" i="1"/>
  <c r="W868" i="1"/>
  <c r="X868" i="1"/>
  <c r="W862" i="1"/>
  <c r="X862" i="1"/>
  <c r="W856" i="1"/>
  <c r="X856" i="1"/>
  <c r="W850" i="1"/>
  <c r="X850" i="1"/>
  <c r="W844" i="1"/>
  <c r="X844" i="1"/>
  <c r="W838" i="1"/>
  <c r="X838" i="1"/>
  <c r="W832" i="1"/>
  <c r="X832" i="1"/>
  <c r="X826" i="1"/>
  <c r="W826" i="1"/>
  <c r="W820" i="1"/>
  <c r="X820" i="1"/>
  <c r="W814" i="1"/>
  <c r="X814" i="1"/>
  <c r="W808" i="1"/>
  <c r="X808" i="1"/>
  <c r="W802" i="1"/>
  <c r="X802" i="1"/>
  <c r="W796" i="1"/>
  <c r="X796" i="1"/>
  <c r="W790" i="1"/>
  <c r="X790" i="1"/>
  <c r="W784" i="1"/>
  <c r="X784" i="1"/>
  <c r="W778" i="1"/>
  <c r="X778" i="1"/>
  <c r="W772" i="1"/>
  <c r="X772" i="1"/>
  <c r="W766" i="1"/>
  <c r="X766" i="1"/>
  <c r="W760" i="1"/>
  <c r="X760" i="1"/>
  <c r="X754" i="1"/>
  <c r="W754" i="1"/>
  <c r="W748" i="1"/>
  <c r="X748" i="1"/>
  <c r="W742" i="1"/>
  <c r="X742" i="1"/>
  <c r="W736" i="1"/>
  <c r="X736" i="1"/>
  <c r="W730" i="1"/>
  <c r="X730" i="1"/>
  <c r="W724" i="1"/>
  <c r="X724" i="1"/>
  <c r="W718" i="1"/>
  <c r="X718" i="1"/>
  <c r="W712" i="1"/>
  <c r="X712" i="1"/>
  <c r="W706" i="1"/>
  <c r="X706" i="1"/>
  <c r="W700" i="1"/>
  <c r="X700" i="1"/>
  <c r="W694" i="1"/>
  <c r="X694" i="1"/>
  <c r="W688" i="1"/>
  <c r="X688" i="1"/>
  <c r="W682" i="1"/>
  <c r="X682" i="1"/>
  <c r="W676" i="1"/>
  <c r="X676" i="1"/>
  <c r="W670" i="1"/>
  <c r="X670" i="1"/>
  <c r="X664" i="1"/>
  <c r="W664" i="1"/>
  <c r="W658" i="1"/>
  <c r="X658" i="1"/>
  <c r="W652" i="1"/>
  <c r="X652" i="1"/>
  <c r="W646" i="1"/>
  <c r="X646" i="1"/>
  <c r="W640" i="1"/>
  <c r="X640" i="1"/>
  <c r="W634" i="1"/>
  <c r="X634" i="1"/>
  <c r="W628" i="1"/>
  <c r="X628" i="1"/>
  <c r="W622" i="1"/>
  <c r="X622" i="1"/>
  <c r="W616" i="1"/>
  <c r="X616" i="1"/>
  <c r="W610" i="1"/>
  <c r="X610" i="1"/>
  <c r="W604" i="1"/>
  <c r="X604" i="1"/>
  <c r="W598" i="1"/>
  <c r="X598" i="1"/>
  <c r="X592" i="1"/>
  <c r="W592" i="1"/>
  <c r="W586" i="1"/>
  <c r="X586" i="1"/>
  <c r="W580" i="1"/>
  <c r="X580" i="1"/>
  <c r="W574" i="1"/>
  <c r="X574" i="1"/>
  <c r="W568" i="1"/>
  <c r="X568" i="1"/>
  <c r="W562" i="1"/>
  <c r="X562" i="1"/>
  <c r="W556" i="1"/>
  <c r="X556" i="1"/>
  <c r="W550" i="1"/>
  <c r="X550" i="1"/>
  <c r="W544" i="1"/>
  <c r="X544" i="1"/>
  <c r="W538" i="1"/>
  <c r="X538" i="1"/>
  <c r="W532" i="1"/>
  <c r="X532" i="1"/>
  <c r="W526" i="1"/>
  <c r="X526" i="1"/>
  <c r="W520" i="1"/>
  <c r="X520" i="1"/>
  <c r="W514" i="1"/>
  <c r="X514" i="1"/>
  <c r="W508" i="1"/>
  <c r="X508" i="1"/>
  <c r="W502" i="1"/>
  <c r="X502" i="1"/>
  <c r="W496" i="1"/>
  <c r="X496" i="1"/>
  <c r="W490" i="1"/>
  <c r="X490" i="1"/>
  <c r="W484" i="1"/>
  <c r="X484" i="1"/>
  <c r="W478" i="1"/>
  <c r="X478" i="1"/>
  <c r="W472" i="1"/>
  <c r="X472" i="1"/>
  <c r="W466" i="1"/>
  <c r="X466" i="1"/>
  <c r="X460" i="1"/>
  <c r="W460" i="1"/>
  <c r="W454" i="1"/>
  <c r="X454" i="1"/>
  <c r="W448" i="1"/>
  <c r="X448" i="1"/>
  <c r="W442" i="1"/>
  <c r="X442" i="1"/>
  <c r="W436" i="1"/>
  <c r="X436" i="1"/>
  <c r="W430" i="1"/>
  <c r="X430" i="1"/>
  <c r="W424" i="1"/>
  <c r="X424" i="1"/>
  <c r="W418" i="1"/>
  <c r="X418" i="1"/>
  <c r="W412" i="1"/>
  <c r="X412" i="1"/>
  <c r="W406" i="1"/>
  <c r="X406" i="1"/>
  <c r="X400" i="1"/>
  <c r="W400" i="1"/>
  <c r="W394" i="1"/>
  <c r="X394" i="1"/>
  <c r="W388" i="1"/>
  <c r="X388" i="1"/>
  <c r="W382" i="1"/>
  <c r="X382" i="1"/>
  <c r="W376" i="1"/>
  <c r="X376" i="1"/>
  <c r="W370" i="1"/>
  <c r="X370" i="1"/>
  <c r="W364" i="1"/>
  <c r="X364" i="1"/>
  <c r="W358" i="1"/>
  <c r="X358" i="1"/>
  <c r="X352" i="1"/>
  <c r="W352" i="1"/>
  <c r="W346" i="1"/>
  <c r="X346" i="1"/>
  <c r="W340" i="1"/>
  <c r="X340" i="1"/>
  <c r="W334" i="1"/>
  <c r="X334" i="1"/>
  <c r="W328" i="1"/>
  <c r="X328" i="1"/>
  <c r="W322" i="1"/>
  <c r="X322" i="1"/>
  <c r="W316" i="1"/>
  <c r="X316" i="1"/>
  <c r="W310" i="1"/>
  <c r="X310" i="1"/>
  <c r="W304" i="1"/>
  <c r="X304" i="1"/>
  <c r="W298" i="1"/>
  <c r="X298" i="1"/>
  <c r="X292" i="1"/>
  <c r="W292" i="1"/>
  <c r="W286" i="1"/>
  <c r="X286" i="1"/>
  <c r="W280" i="1"/>
  <c r="X280" i="1"/>
  <c r="W274" i="1"/>
  <c r="X274" i="1"/>
  <c r="W268" i="1"/>
  <c r="X268" i="1"/>
  <c r="W262" i="1"/>
  <c r="X262" i="1"/>
  <c r="W256" i="1"/>
  <c r="X256" i="1"/>
  <c r="W250" i="1"/>
  <c r="X250" i="1"/>
  <c r="X244" i="1"/>
  <c r="W244" i="1"/>
  <c r="W238" i="1"/>
  <c r="X238" i="1"/>
  <c r="W232" i="1"/>
  <c r="X232" i="1"/>
  <c r="W226" i="1"/>
  <c r="X226" i="1"/>
  <c r="W220" i="1"/>
  <c r="X220" i="1"/>
  <c r="W214" i="1"/>
  <c r="X214" i="1"/>
  <c r="W208" i="1"/>
  <c r="X208" i="1"/>
  <c r="W202" i="1"/>
  <c r="X202" i="1"/>
  <c r="W196" i="1"/>
  <c r="X196" i="1"/>
  <c r="W190" i="1"/>
  <c r="X190" i="1"/>
  <c r="W184" i="1"/>
  <c r="X184" i="1"/>
  <c r="W178" i="1"/>
  <c r="X178" i="1"/>
  <c r="W172" i="1"/>
  <c r="X172" i="1"/>
  <c r="W166" i="1"/>
  <c r="X166" i="1"/>
  <c r="W160" i="1"/>
  <c r="X160" i="1"/>
  <c r="W154" i="1"/>
  <c r="X154" i="1"/>
  <c r="W148" i="1"/>
  <c r="X148" i="1"/>
  <c r="W142" i="1"/>
  <c r="X142" i="1"/>
  <c r="X136" i="1"/>
  <c r="W136" i="1"/>
  <c r="W130" i="1"/>
  <c r="X130" i="1"/>
  <c r="W124" i="1"/>
  <c r="X124" i="1"/>
  <c r="X118" i="1"/>
  <c r="W118" i="1"/>
  <c r="X112" i="1"/>
  <c r="W112" i="1"/>
  <c r="W106" i="1"/>
  <c r="X106" i="1"/>
  <c r="X100" i="1"/>
  <c r="W100" i="1"/>
  <c r="W94" i="1"/>
  <c r="X94" i="1"/>
  <c r="W88" i="1"/>
  <c r="X88" i="1"/>
  <c r="X82" i="1"/>
  <c r="W82" i="1"/>
  <c r="X76" i="1"/>
  <c r="W76" i="1"/>
  <c r="W70" i="1"/>
  <c r="X70" i="1"/>
  <c r="X64" i="1"/>
  <c r="W64" i="1"/>
  <c r="X58" i="1"/>
  <c r="W58" i="1"/>
  <c r="W52" i="1"/>
  <c r="X52" i="1"/>
  <c r="X46" i="1"/>
  <c r="W46" i="1"/>
  <c r="W40" i="1"/>
  <c r="X40" i="1"/>
  <c r="W34" i="1"/>
  <c r="X34" i="1"/>
  <c r="X28" i="1"/>
  <c r="W28" i="1"/>
  <c r="X22" i="1"/>
  <c r="W22" i="1"/>
  <c r="AH1341" i="1"/>
  <c r="AI1341" i="1"/>
  <c r="AG1341" i="1"/>
  <c r="AF1341" i="1"/>
  <c r="AH1335" i="1"/>
  <c r="AF1335" i="1"/>
  <c r="AI1335" i="1"/>
  <c r="AG1335" i="1"/>
  <c r="AH1329" i="1"/>
  <c r="AF1329" i="1"/>
  <c r="AG1329" i="1"/>
  <c r="AI1329" i="1"/>
  <c r="AH1323" i="1"/>
  <c r="AG1323" i="1"/>
  <c r="AF1323" i="1"/>
  <c r="AI1323" i="1"/>
  <c r="AF1317" i="1"/>
  <c r="AH1317" i="1"/>
  <c r="AI1317" i="1"/>
  <c r="AG1317" i="1"/>
  <c r="AH1311" i="1"/>
  <c r="AG1311" i="1"/>
  <c r="AI1311" i="1"/>
  <c r="AF1311" i="1"/>
  <c r="AH1305" i="1"/>
  <c r="AG1305" i="1"/>
  <c r="AI1305" i="1"/>
  <c r="AF1305" i="1"/>
  <c r="AH1299" i="1"/>
  <c r="AF1299" i="1"/>
  <c r="AI1299" i="1"/>
  <c r="AG1299" i="1"/>
  <c r="AH1293" i="1"/>
  <c r="AG1293" i="1"/>
  <c r="AF1293" i="1"/>
  <c r="AI1293" i="1"/>
  <c r="AH1287" i="1"/>
  <c r="AF1287" i="1"/>
  <c r="AG1287" i="1"/>
  <c r="AI1287" i="1"/>
  <c r="AF1281" i="1"/>
  <c r="AH1281" i="1"/>
  <c r="AI1281" i="1"/>
  <c r="AG1281" i="1"/>
  <c r="AH1275" i="1"/>
  <c r="AG1275" i="1"/>
  <c r="AI1275" i="1"/>
  <c r="AF1275" i="1"/>
  <c r="AH1269" i="1"/>
  <c r="AG1269" i="1"/>
  <c r="AI1269" i="1"/>
  <c r="AF1269" i="1"/>
  <c r="AH1263" i="1"/>
  <c r="AG1263" i="1"/>
  <c r="AF1263" i="1"/>
  <c r="AH1257" i="1"/>
  <c r="AI1257" i="1"/>
  <c r="AF1257" i="1"/>
  <c r="AG1257" i="1"/>
  <c r="AH1251" i="1"/>
  <c r="AF1251" i="1"/>
  <c r="AG1251" i="1"/>
  <c r="AI1251" i="1"/>
  <c r="AF1245" i="1"/>
  <c r="AH1245" i="1"/>
  <c r="AI1245" i="1"/>
  <c r="AG1245" i="1"/>
  <c r="AH1239" i="1"/>
  <c r="AG1239" i="1"/>
  <c r="AF1239" i="1"/>
  <c r="AI1239" i="1"/>
  <c r="AH1233" i="1"/>
  <c r="AF1233" i="1"/>
  <c r="AI1233" i="1"/>
  <c r="AG1233" i="1"/>
  <c r="AH1227" i="1"/>
  <c r="AF1227" i="1"/>
  <c r="AI1227" i="1"/>
  <c r="AG1227" i="1"/>
  <c r="AH1221" i="1"/>
  <c r="AF1221" i="1"/>
  <c r="AG1221" i="1"/>
  <c r="AI1221" i="1"/>
  <c r="AH1215" i="1"/>
  <c r="AG1215" i="1"/>
  <c r="AF1215" i="1"/>
  <c r="AI1215" i="1"/>
  <c r="AF1209" i="1"/>
  <c r="AH1209" i="1"/>
  <c r="AI1209" i="1"/>
  <c r="AG1209" i="1"/>
  <c r="AH1203" i="1"/>
  <c r="AG1203" i="1"/>
  <c r="AI1203" i="1"/>
  <c r="AF1203" i="1"/>
  <c r="AH1197" i="1"/>
  <c r="AG1197" i="1"/>
  <c r="AF1197" i="1"/>
  <c r="AI1197" i="1"/>
  <c r="AH1191" i="1"/>
  <c r="AF1191" i="1"/>
  <c r="AG1191" i="1"/>
  <c r="AI1191" i="1"/>
  <c r="AH1185" i="1"/>
  <c r="AF1185" i="1"/>
  <c r="AG1185" i="1"/>
  <c r="AI1185" i="1"/>
  <c r="AH1179" i="1"/>
  <c r="AF1179" i="1"/>
  <c r="AG1179" i="1"/>
  <c r="AI1179" i="1"/>
  <c r="AF1173" i="1"/>
  <c r="AH1173" i="1"/>
  <c r="AI1173" i="1"/>
  <c r="AG1173" i="1"/>
  <c r="AH1167" i="1"/>
  <c r="AG1167" i="1"/>
  <c r="AI1167" i="1"/>
  <c r="AF1167" i="1"/>
  <c r="AH1161" i="1"/>
  <c r="AI1161" i="1"/>
  <c r="AF1161" i="1"/>
  <c r="AG1161" i="1"/>
  <c r="AH1155" i="1"/>
  <c r="AG1155" i="1"/>
  <c r="AF1155" i="1"/>
  <c r="AI1155" i="1"/>
  <c r="AH1149" i="1"/>
  <c r="AF1149" i="1"/>
  <c r="AI1149" i="1"/>
  <c r="AG1149" i="1"/>
  <c r="AH1143" i="1"/>
  <c r="AF1143" i="1"/>
  <c r="AI1143" i="1"/>
  <c r="AG1143" i="1"/>
  <c r="AF1137" i="1"/>
  <c r="AH1137" i="1"/>
  <c r="AI1137" i="1"/>
  <c r="AG1137" i="1"/>
  <c r="AH1131" i="1"/>
  <c r="AG1131" i="1"/>
  <c r="AF1131" i="1"/>
  <c r="AI1131" i="1"/>
  <c r="AH1125" i="1"/>
  <c r="AF1125" i="1"/>
  <c r="AG1125" i="1"/>
  <c r="AI1125" i="1"/>
  <c r="AH1119" i="1"/>
  <c r="AF1119" i="1"/>
  <c r="AG1119" i="1"/>
  <c r="AI1119" i="1"/>
  <c r="AH1113" i="1"/>
  <c r="AF1113" i="1"/>
  <c r="AG1113" i="1"/>
  <c r="AI1113" i="1"/>
  <c r="AH1107" i="1"/>
  <c r="AF1107" i="1"/>
  <c r="AI1107" i="1"/>
  <c r="AG1107" i="1"/>
  <c r="AF1101" i="1"/>
  <c r="AH1101" i="1"/>
  <c r="AI1101" i="1"/>
  <c r="AG1101" i="1"/>
  <c r="AH1095" i="1"/>
  <c r="AG1095" i="1"/>
  <c r="AF1095" i="1"/>
  <c r="AI1095" i="1"/>
  <c r="AF1089" i="1"/>
  <c r="AH1089" i="1"/>
  <c r="AG1089" i="1"/>
  <c r="AI1089" i="1"/>
  <c r="AF1083" i="1"/>
  <c r="AH1083" i="1"/>
  <c r="AG1083" i="1"/>
  <c r="AI1083" i="1"/>
  <c r="AF1077" i="1"/>
  <c r="AH1077" i="1"/>
  <c r="AI1077" i="1"/>
  <c r="AG1077" i="1"/>
  <c r="AF1071" i="1"/>
  <c r="AH1071" i="1"/>
  <c r="AI1071" i="1"/>
  <c r="AG1071" i="1"/>
  <c r="AF1065" i="1"/>
  <c r="AH1065" i="1"/>
  <c r="AI1065" i="1"/>
  <c r="AG1065" i="1"/>
  <c r="AF1059" i="1"/>
  <c r="AH1059" i="1"/>
  <c r="AG1059" i="1"/>
  <c r="AI1059" i="1"/>
  <c r="AF1053" i="1"/>
  <c r="AH1053" i="1"/>
  <c r="AI1053" i="1"/>
  <c r="AG1053" i="1"/>
  <c r="AF1047" i="1"/>
  <c r="AH1047" i="1"/>
  <c r="AG1047" i="1"/>
  <c r="AI1047" i="1"/>
  <c r="AF1041" i="1"/>
  <c r="AH1041" i="1"/>
  <c r="AG1041" i="1"/>
  <c r="AI1041" i="1"/>
  <c r="AF1035" i="1"/>
  <c r="AH1035" i="1"/>
  <c r="AI1035" i="1"/>
  <c r="AG1035" i="1"/>
  <c r="AF1029" i="1"/>
  <c r="AH1029" i="1"/>
  <c r="AI1029" i="1"/>
  <c r="AG1029" i="1"/>
  <c r="AF1023" i="1"/>
  <c r="AH1023" i="1"/>
  <c r="AG1023" i="1"/>
  <c r="AI1023" i="1"/>
  <c r="AF1017" i="1"/>
  <c r="AH1017" i="1"/>
  <c r="AI1017" i="1"/>
  <c r="AG1017" i="1"/>
  <c r="AF1011" i="1"/>
  <c r="AH1011" i="1"/>
  <c r="AG1011" i="1"/>
  <c r="AI1011" i="1"/>
  <c r="AF1005" i="1"/>
  <c r="AH1005" i="1"/>
  <c r="AG1005" i="1"/>
  <c r="AI1005" i="1"/>
  <c r="AF999" i="1"/>
  <c r="AH999" i="1"/>
  <c r="AG999" i="1"/>
  <c r="AI999" i="1"/>
  <c r="AF993" i="1"/>
  <c r="AH993" i="1"/>
  <c r="AI993" i="1"/>
  <c r="AG993" i="1"/>
  <c r="AF987" i="1"/>
  <c r="AH987" i="1"/>
  <c r="AG987" i="1"/>
  <c r="AI987" i="1"/>
  <c r="AF981" i="1"/>
  <c r="AH981" i="1"/>
  <c r="AG981" i="1"/>
  <c r="AI981" i="1"/>
  <c r="AF975" i="1"/>
  <c r="AH975" i="1"/>
  <c r="AI975" i="1"/>
  <c r="AG975" i="1"/>
  <c r="AF969" i="1"/>
  <c r="AH969" i="1"/>
  <c r="AI969" i="1"/>
  <c r="AG969" i="1"/>
  <c r="AF963" i="1"/>
  <c r="AH963" i="1"/>
  <c r="AI963" i="1"/>
  <c r="AG963" i="1"/>
  <c r="AF957" i="1"/>
  <c r="AH957" i="1"/>
  <c r="AI957" i="1"/>
  <c r="AG957" i="1"/>
  <c r="AF951" i="1"/>
  <c r="AG951" i="1"/>
  <c r="AH951" i="1"/>
  <c r="AI951" i="1"/>
  <c r="AF945" i="1"/>
  <c r="AG945" i="1"/>
  <c r="AH945" i="1"/>
  <c r="AI945" i="1"/>
  <c r="AF939" i="1"/>
  <c r="AG939" i="1"/>
  <c r="AH939" i="1"/>
  <c r="AI939" i="1"/>
  <c r="AF933" i="1"/>
  <c r="AG933" i="1"/>
  <c r="AH933" i="1"/>
  <c r="AI933" i="1"/>
  <c r="AF927" i="1"/>
  <c r="AG927" i="1"/>
  <c r="AH927" i="1"/>
  <c r="AI927" i="1"/>
  <c r="AF921" i="1"/>
  <c r="AG921" i="1"/>
  <c r="AH921" i="1"/>
  <c r="AI921" i="1"/>
  <c r="AF915" i="1"/>
  <c r="AG915" i="1"/>
  <c r="AH915" i="1"/>
  <c r="AI915" i="1"/>
  <c r="AF909" i="1"/>
  <c r="AG909" i="1"/>
  <c r="AH909" i="1"/>
  <c r="AI909" i="1"/>
  <c r="AF903" i="1"/>
  <c r="AG903" i="1"/>
  <c r="AH903" i="1"/>
  <c r="AI903" i="1"/>
  <c r="AF897" i="1"/>
  <c r="AG897" i="1"/>
  <c r="AH897" i="1"/>
  <c r="AI897" i="1"/>
  <c r="AF891" i="1"/>
  <c r="AG891" i="1"/>
  <c r="AH891" i="1"/>
  <c r="AI891" i="1"/>
  <c r="AF885" i="1"/>
  <c r="AG885" i="1"/>
  <c r="AH885" i="1"/>
  <c r="AI885" i="1"/>
  <c r="AF879" i="1"/>
  <c r="AG879" i="1"/>
  <c r="AH879" i="1"/>
  <c r="AI879" i="1"/>
  <c r="AF873" i="1"/>
  <c r="AG873" i="1"/>
  <c r="AH873" i="1"/>
  <c r="AI873" i="1"/>
  <c r="AF867" i="1"/>
  <c r="AG867" i="1"/>
  <c r="AH867" i="1"/>
  <c r="AI867" i="1"/>
  <c r="AF861" i="1"/>
  <c r="AG861" i="1"/>
  <c r="AH861" i="1"/>
  <c r="AI861" i="1"/>
  <c r="AF855" i="1"/>
  <c r="AG855" i="1"/>
  <c r="AH855" i="1"/>
  <c r="AI855" i="1"/>
  <c r="AF849" i="1"/>
  <c r="AG849" i="1"/>
  <c r="AH849" i="1"/>
  <c r="AI849" i="1"/>
  <c r="AF843" i="1"/>
  <c r="AG843" i="1"/>
  <c r="AH843" i="1"/>
  <c r="AI843" i="1"/>
  <c r="AF837" i="1"/>
  <c r="AG837" i="1"/>
  <c r="AH837" i="1"/>
  <c r="AI837" i="1"/>
  <c r="AF831" i="1"/>
  <c r="AG831" i="1"/>
  <c r="AH831" i="1"/>
  <c r="AI831" i="1"/>
  <c r="AF825" i="1"/>
  <c r="AG825" i="1"/>
  <c r="AH825" i="1"/>
  <c r="AI825" i="1"/>
  <c r="AF819" i="1"/>
  <c r="AG819" i="1"/>
  <c r="AH819" i="1"/>
  <c r="AI819" i="1"/>
  <c r="AF813" i="1"/>
  <c r="AG813" i="1"/>
  <c r="AH813" i="1"/>
  <c r="AI813" i="1"/>
  <c r="AF807" i="1"/>
  <c r="AG807" i="1"/>
  <c r="AH807" i="1"/>
  <c r="AI807" i="1"/>
  <c r="AF801" i="1"/>
  <c r="AG801" i="1"/>
  <c r="AH801" i="1"/>
  <c r="AI801" i="1"/>
  <c r="AF795" i="1"/>
  <c r="AG795" i="1"/>
  <c r="AH795" i="1"/>
  <c r="AI795" i="1"/>
  <c r="AF789" i="1"/>
  <c r="AG789" i="1"/>
  <c r="AH789" i="1"/>
  <c r="AI789" i="1"/>
  <c r="AF783" i="1"/>
  <c r="AG783" i="1"/>
  <c r="AH783" i="1"/>
  <c r="AI783" i="1"/>
  <c r="AF777" i="1"/>
  <c r="AG777" i="1"/>
  <c r="AH777" i="1"/>
  <c r="AI777" i="1"/>
  <c r="AF771" i="1"/>
  <c r="AG771" i="1"/>
  <c r="AH771" i="1"/>
  <c r="AI771" i="1"/>
  <c r="AF765" i="1"/>
  <c r="AG765" i="1"/>
  <c r="AH765" i="1"/>
  <c r="AI765" i="1"/>
  <c r="AF759" i="1"/>
  <c r="AG759" i="1"/>
  <c r="AH759" i="1"/>
  <c r="AI759" i="1"/>
  <c r="AF753" i="1"/>
  <c r="AG753" i="1"/>
  <c r="AH753" i="1"/>
  <c r="AI753" i="1"/>
  <c r="AF747" i="1"/>
  <c r="AG747" i="1"/>
  <c r="AH747" i="1"/>
  <c r="AI747" i="1"/>
  <c r="AF741" i="1"/>
  <c r="AG741" i="1"/>
  <c r="AH741" i="1"/>
  <c r="AI741" i="1"/>
  <c r="AF735" i="1"/>
  <c r="AG735" i="1"/>
  <c r="AH735" i="1"/>
  <c r="AI735" i="1"/>
  <c r="AF729" i="1"/>
  <c r="AG729" i="1"/>
  <c r="AH729" i="1"/>
  <c r="AI729" i="1"/>
  <c r="AF723" i="1"/>
  <c r="AG723" i="1"/>
  <c r="AH723" i="1"/>
  <c r="AI723" i="1"/>
  <c r="AF717" i="1"/>
  <c r="AG717" i="1"/>
  <c r="AH717" i="1"/>
  <c r="AI717" i="1"/>
  <c r="AF711" i="1"/>
  <c r="AG711" i="1"/>
  <c r="AH711" i="1"/>
  <c r="AI711" i="1"/>
  <c r="AF705" i="1"/>
  <c r="AG705" i="1"/>
  <c r="AH705" i="1"/>
  <c r="AI705" i="1"/>
  <c r="AF699" i="1"/>
  <c r="AG699" i="1"/>
  <c r="AH699" i="1"/>
  <c r="AI699" i="1"/>
  <c r="AF693" i="1"/>
  <c r="AG693" i="1"/>
  <c r="AH693" i="1"/>
  <c r="AI693" i="1"/>
  <c r="AF687" i="1"/>
  <c r="AG687" i="1"/>
  <c r="AH687" i="1"/>
  <c r="AI687" i="1"/>
  <c r="AF681" i="1"/>
  <c r="AG681" i="1"/>
  <c r="AH681" i="1"/>
  <c r="AI681" i="1"/>
  <c r="AF675" i="1"/>
  <c r="AG675" i="1"/>
  <c r="AH675" i="1"/>
  <c r="AI675" i="1"/>
  <c r="AF669" i="1"/>
  <c r="AG669" i="1"/>
  <c r="AH669" i="1"/>
  <c r="AI669" i="1"/>
  <c r="AF663" i="1"/>
  <c r="AG663" i="1"/>
  <c r="AH663" i="1"/>
  <c r="AI663" i="1"/>
  <c r="AF657" i="1"/>
  <c r="AG657" i="1"/>
  <c r="AH657" i="1"/>
  <c r="AI657" i="1"/>
  <c r="AF651" i="1"/>
  <c r="AG651" i="1"/>
  <c r="AH651" i="1"/>
  <c r="AI651" i="1"/>
  <c r="AF645" i="1"/>
  <c r="AG645" i="1"/>
  <c r="AH645" i="1"/>
  <c r="AI645" i="1"/>
  <c r="AF639" i="1"/>
  <c r="AG639" i="1"/>
  <c r="AH639" i="1"/>
  <c r="AI639" i="1"/>
  <c r="AF633" i="1"/>
  <c r="AG633" i="1"/>
  <c r="AH633" i="1"/>
  <c r="AI633" i="1"/>
  <c r="AF627" i="1"/>
  <c r="AG627" i="1"/>
  <c r="AH627" i="1"/>
  <c r="AI627" i="1"/>
  <c r="AF621" i="1"/>
  <c r="AG621" i="1"/>
  <c r="AH621" i="1"/>
  <c r="AI621" i="1"/>
  <c r="AF615" i="1"/>
  <c r="AG615" i="1"/>
  <c r="AH615" i="1"/>
  <c r="AI615" i="1"/>
  <c r="AF609" i="1"/>
  <c r="AG609" i="1"/>
  <c r="AH609" i="1"/>
  <c r="AI609" i="1"/>
  <c r="AF603" i="1"/>
  <c r="AG603" i="1"/>
  <c r="AH603" i="1"/>
  <c r="AI603" i="1"/>
  <c r="AF597" i="1"/>
  <c r="AG597" i="1"/>
  <c r="AH597" i="1"/>
  <c r="AI597" i="1"/>
  <c r="AF591" i="1"/>
  <c r="AG591" i="1"/>
  <c r="AH591" i="1"/>
  <c r="AI591" i="1"/>
  <c r="AF585" i="1"/>
  <c r="AG585" i="1"/>
  <c r="AH585" i="1"/>
  <c r="AI585" i="1"/>
  <c r="AF579" i="1"/>
  <c r="AG579" i="1"/>
  <c r="AH579" i="1"/>
  <c r="AI579" i="1"/>
  <c r="AF573" i="1"/>
  <c r="AG573" i="1"/>
  <c r="AH573" i="1"/>
  <c r="AI573" i="1"/>
  <c r="AF567" i="1"/>
  <c r="AG567" i="1"/>
  <c r="AH567" i="1"/>
  <c r="AF561" i="1"/>
  <c r="AG561" i="1"/>
  <c r="AH561" i="1"/>
  <c r="AI561" i="1"/>
  <c r="AF555" i="1"/>
  <c r="AG555" i="1"/>
  <c r="AH555" i="1"/>
  <c r="AI555" i="1"/>
  <c r="AF549" i="1"/>
  <c r="AG549" i="1"/>
  <c r="AH549" i="1"/>
  <c r="AI549" i="1"/>
  <c r="AF543" i="1"/>
  <c r="AG543" i="1"/>
  <c r="AH543" i="1"/>
  <c r="AI543" i="1"/>
  <c r="AF537" i="1"/>
  <c r="AG537" i="1"/>
  <c r="AH537" i="1"/>
  <c r="AI537" i="1"/>
  <c r="AF531" i="1"/>
  <c r="AG531" i="1"/>
  <c r="AH531" i="1"/>
  <c r="AI531" i="1"/>
  <c r="AF525" i="1"/>
  <c r="AG525" i="1"/>
  <c r="AH525" i="1"/>
  <c r="AI525" i="1"/>
  <c r="AF519" i="1"/>
  <c r="AG519" i="1"/>
  <c r="AH519" i="1"/>
  <c r="AI519" i="1"/>
  <c r="AF513" i="1"/>
  <c r="AG513" i="1"/>
  <c r="AH513" i="1"/>
  <c r="AI513" i="1"/>
  <c r="AF507" i="1"/>
  <c r="AG507" i="1"/>
  <c r="AH507" i="1"/>
  <c r="AI507" i="1"/>
  <c r="AF501" i="1"/>
  <c r="AG501" i="1"/>
  <c r="AH501" i="1"/>
  <c r="AI501" i="1"/>
  <c r="AF495" i="1"/>
  <c r="AG495" i="1"/>
  <c r="AH495" i="1"/>
  <c r="AI495" i="1"/>
  <c r="AF489" i="1"/>
  <c r="AG489" i="1"/>
  <c r="AH489" i="1"/>
  <c r="AI489" i="1"/>
  <c r="AF483" i="1"/>
  <c r="AG483" i="1"/>
  <c r="AH483" i="1"/>
  <c r="AI483" i="1"/>
  <c r="AF477" i="1"/>
  <c r="AG477" i="1"/>
  <c r="AH477" i="1"/>
  <c r="AI477" i="1"/>
  <c r="AF471" i="1"/>
  <c r="AG471" i="1"/>
  <c r="AH471" i="1"/>
  <c r="AI471" i="1"/>
  <c r="AF465" i="1"/>
  <c r="AG465" i="1"/>
  <c r="AH465" i="1"/>
  <c r="AI465" i="1"/>
  <c r="AF459" i="1"/>
  <c r="AG459" i="1"/>
  <c r="AH459" i="1"/>
  <c r="AI459" i="1"/>
  <c r="AF453" i="1"/>
  <c r="AG453" i="1"/>
  <c r="AH453" i="1"/>
  <c r="AI453" i="1"/>
  <c r="AF447" i="1"/>
  <c r="AG447" i="1"/>
  <c r="AH447" i="1"/>
  <c r="AF441" i="1"/>
  <c r="AG441" i="1"/>
  <c r="AH441" i="1"/>
  <c r="AI441" i="1"/>
  <c r="AF435" i="1"/>
  <c r="AG435" i="1"/>
  <c r="AH435" i="1"/>
  <c r="AI435" i="1"/>
  <c r="AF429" i="1"/>
  <c r="AG429" i="1"/>
  <c r="AH429" i="1"/>
  <c r="AI429" i="1"/>
  <c r="AF423" i="1"/>
  <c r="AG423" i="1"/>
  <c r="AH423" i="1"/>
  <c r="AI423" i="1"/>
  <c r="AF417" i="1"/>
  <c r="AG417" i="1"/>
  <c r="AH417" i="1"/>
  <c r="AI417" i="1"/>
  <c r="AF411" i="1"/>
  <c r="AG411" i="1"/>
  <c r="AH411" i="1"/>
  <c r="AI411" i="1"/>
  <c r="AF405" i="1"/>
  <c r="AG405" i="1"/>
  <c r="AH405" i="1"/>
  <c r="AI405" i="1"/>
  <c r="AF399" i="1"/>
  <c r="AG399" i="1"/>
  <c r="AH399" i="1"/>
  <c r="AI399" i="1"/>
  <c r="AF393" i="1"/>
  <c r="AG393" i="1"/>
  <c r="AH393" i="1"/>
  <c r="AI393" i="1"/>
  <c r="AF387" i="1"/>
  <c r="AG387" i="1"/>
  <c r="AH387" i="1"/>
  <c r="AI387" i="1"/>
  <c r="AF381" i="1"/>
  <c r="AG381" i="1"/>
  <c r="AH381" i="1"/>
  <c r="AI381" i="1"/>
  <c r="AF375" i="1"/>
  <c r="AG375" i="1"/>
  <c r="AH375" i="1"/>
  <c r="AI375" i="1"/>
  <c r="AF369" i="1"/>
  <c r="AG369" i="1"/>
  <c r="AH369" i="1"/>
  <c r="AI369" i="1"/>
  <c r="AF363" i="1"/>
  <c r="AG363" i="1"/>
  <c r="AH363" i="1"/>
  <c r="AI363" i="1"/>
  <c r="AF357" i="1"/>
  <c r="AG357" i="1"/>
  <c r="AH357" i="1"/>
  <c r="AI357" i="1"/>
  <c r="AF351" i="1"/>
  <c r="AG351" i="1"/>
  <c r="AH351" i="1"/>
  <c r="AI351" i="1"/>
  <c r="AF345" i="1"/>
  <c r="AG345" i="1"/>
  <c r="AH345" i="1"/>
  <c r="AI345" i="1"/>
  <c r="AF339" i="1"/>
  <c r="AG339" i="1"/>
  <c r="AH339" i="1"/>
  <c r="AI339" i="1"/>
  <c r="AF333" i="1"/>
  <c r="AG333" i="1"/>
  <c r="AH333" i="1"/>
  <c r="AI333" i="1"/>
  <c r="AF327" i="1"/>
  <c r="AG327" i="1"/>
  <c r="AH327" i="1"/>
  <c r="AI327" i="1"/>
  <c r="AF321" i="1"/>
  <c r="AG321" i="1"/>
  <c r="AH321" i="1"/>
  <c r="AI321" i="1"/>
  <c r="AF315" i="1"/>
  <c r="AG315" i="1"/>
  <c r="AH315" i="1"/>
  <c r="AI315" i="1"/>
  <c r="AF309" i="1"/>
  <c r="AG309" i="1"/>
  <c r="AH309" i="1"/>
  <c r="AI309" i="1"/>
  <c r="AF303" i="1"/>
  <c r="AG303" i="1"/>
  <c r="AH303" i="1"/>
  <c r="AI303" i="1"/>
  <c r="AF297" i="1"/>
  <c r="AG297" i="1"/>
  <c r="AH297" i="1"/>
  <c r="AI297" i="1"/>
  <c r="AF291" i="1"/>
  <c r="AG291" i="1"/>
  <c r="AH291" i="1"/>
  <c r="AI291" i="1"/>
  <c r="AF285" i="1"/>
  <c r="AG285" i="1"/>
  <c r="AH285" i="1"/>
  <c r="AI285" i="1"/>
  <c r="AF279" i="1"/>
  <c r="AG279" i="1"/>
  <c r="AH279" i="1"/>
  <c r="AI279" i="1"/>
  <c r="AF273" i="1"/>
  <c r="AG273" i="1"/>
  <c r="AH273" i="1"/>
  <c r="AI273" i="1"/>
  <c r="AF267" i="1"/>
  <c r="AG267" i="1"/>
  <c r="AH267" i="1"/>
  <c r="AI267" i="1"/>
  <c r="AF261" i="1"/>
  <c r="AG261" i="1"/>
  <c r="AH261" i="1"/>
  <c r="AI261" i="1"/>
  <c r="AF255" i="1"/>
  <c r="AG255" i="1"/>
  <c r="AH255" i="1"/>
  <c r="AI255" i="1"/>
  <c r="AF249" i="1"/>
  <c r="AG249" i="1"/>
  <c r="AH249" i="1"/>
  <c r="AI249" i="1"/>
  <c r="AF243" i="1"/>
  <c r="AG243" i="1"/>
  <c r="AH243" i="1"/>
  <c r="AI243" i="1"/>
  <c r="AF237" i="1"/>
  <c r="AG237" i="1"/>
  <c r="AH237" i="1"/>
  <c r="AI237" i="1"/>
  <c r="AF231" i="1"/>
  <c r="AG231" i="1"/>
  <c r="AH231" i="1"/>
  <c r="AI231" i="1"/>
  <c r="AF225" i="1"/>
  <c r="AG225" i="1"/>
  <c r="AH225" i="1"/>
  <c r="AI225" i="1"/>
  <c r="AF219" i="1"/>
  <c r="AG219" i="1"/>
  <c r="AH219" i="1"/>
  <c r="AI219" i="1"/>
  <c r="AF213" i="1"/>
  <c r="AG213" i="1"/>
  <c r="AH213" i="1"/>
  <c r="AI213" i="1"/>
  <c r="AF207" i="1"/>
  <c r="AG207" i="1"/>
  <c r="AH207" i="1"/>
  <c r="AI207" i="1"/>
  <c r="AF201" i="1"/>
  <c r="AG201" i="1"/>
  <c r="AH201" i="1"/>
  <c r="AI201" i="1"/>
  <c r="AF195" i="1"/>
  <c r="AG195" i="1"/>
  <c r="AH195" i="1"/>
  <c r="AI195" i="1"/>
  <c r="AF189" i="1"/>
  <c r="AG189" i="1"/>
  <c r="AH189" i="1"/>
  <c r="AI189" i="1"/>
  <c r="AF183" i="1"/>
  <c r="AG183" i="1"/>
  <c r="AH183" i="1"/>
  <c r="AI183" i="1"/>
  <c r="AF177" i="1"/>
  <c r="AG177" i="1"/>
  <c r="AH177" i="1"/>
  <c r="AI177" i="1"/>
  <c r="AF171" i="1"/>
  <c r="AG171" i="1"/>
  <c r="AH171" i="1"/>
  <c r="AI171" i="1"/>
  <c r="AF165" i="1"/>
  <c r="AG165" i="1"/>
  <c r="AH165" i="1"/>
  <c r="AI165" i="1"/>
  <c r="AF159" i="1"/>
  <c r="AG159" i="1"/>
  <c r="AH159" i="1"/>
  <c r="AI159" i="1"/>
  <c r="AF153" i="1"/>
  <c r="AG153" i="1"/>
  <c r="AH153" i="1"/>
  <c r="AI153" i="1"/>
  <c r="AF147" i="1"/>
  <c r="AG147" i="1"/>
  <c r="AH147" i="1"/>
  <c r="AI147" i="1"/>
  <c r="Q33" i="5"/>
  <c r="AF141" i="1"/>
  <c r="AG141" i="1"/>
  <c r="AH141" i="1"/>
  <c r="AI141" i="1"/>
  <c r="AF135" i="1"/>
  <c r="AG135" i="1"/>
  <c r="AH135" i="1"/>
  <c r="AI135" i="1"/>
  <c r="AF129" i="1"/>
  <c r="AG129" i="1"/>
  <c r="AH129" i="1"/>
  <c r="AI129" i="1"/>
  <c r="AF123" i="1"/>
  <c r="AG123" i="1"/>
  <c r="AH123" i="1"/>
  <c r="AI123" i="1"/>
  <c r="AF117" i="1"/>
  <c r="AG117" i="1"/>
  <c r="AH117" i="1"/>
  <c r="AI117" i="1"/>
  <c r="AF111" i="1"/>
  <c r="AG111" i="1"/>
  <c r="AH111" i="1"/>
  <c r="AI111" i="1"/>
  <c r="G11" i="5"/>
  <c r="AF105" i="1"/>
  <c r="AG105" i="1"/>
  <c r="AH105" i="1"/>
  <c r="G14" i="5"/>
  <c r="AI105" i="1"/>
  <c r="R14" i="5"/>
  <c r="X14" i="5"/>
  <c r="V14" i="5"/>
  <c r="T14" i="5"/>
  <c r="AF99" i="1"/>
  <c r="AG99" i="1"/>
  <c r="AH99" i="1"/>
  <c r="AI99" i="1"/>
  <c r="AF93" i="1"/>
  <c r="AG93" i="1"/>
  <c r="AH93" i="1"/>
  <c r="AI93" i="1"/>
  <c r="AF87" i="1"/>
  <c r="AG87" i="1"/>
  <c r="AH87" i="1"/>
  <c r="AI87" i="1"/>
  <c r="AF81" i="1"/>
  <c r="AG81" i="1"/>
  <c r="AH81" i="1"/>
  <c r="AI81" i="1"/>
  <c r="AF75" i="1"/>
  <c r="AG75" i="1"/>
  <c r="AH75" i="1"/>
  <c r="AI75" i="1"/>
  <c r="AF69" i="1"/>
  <c r="AG69" i="1"/>
  <c r="AH69" i="1"/>
  <c r="AI69" i="1"/>
  <c r="AF63" i="1"/>
  <c r="AG63" i="1"/>
  <c r="AH63" i="1"/>
  <c r="AI63" i="1"/>
  <c r="X19" i="5"/>
  <c r="T19" i="5"/>
  <c r="R19" i="5"/>
  <c r="AF57" i="1"/>
  <c r="AG57" i="1"/>
  <c r="AH57" i="1"/>
  <c r="AI57" i="1"/>
  <c r="AF51" i="1"/>
  <c r="AG51" i="1"/>
  <c r="AH51" i="1"/>
  <c r="T7" i="5"/>
  <c r="AI51" i="1"/>
  <c r="V7" i="5"/>
  <c r="U7" i="5"/>
  <c r="Y7" i="5"/>
  <c r="W7" i="5"/>
  <c r="S7" i="5"/>
  <c r="AF45" i="1"/>
  <c r="AG45" i="1"/>
  <c r="AH45" i="1"/>
  <c r="Q17" i="5"/>
  <c r="N17" i="5"/>
  <c r="AI45" i="1"/>
  <c r="L17" i="5"/>
  <c r="F17" i="5"/>
  <c r="K17" i="5"/>
  <c r="P17" i="5"/>
  <c r="G28" i="5"/>
  <c r="AF39" i="1"/>
  <c r="AG39" i="1"/>
  <c r="AH39" i="1"/>
  <c r="AI39" i="1"/>
  <c r="G25" i="5"/>
  <c r="AF33" i="1"/>
  <c r="AG33" i="1"/>
  <c r="AH33" i="1"/>
  <c r="AI33" i="1"/>
  <c r="AF27" i="1"/>
  <c r="AG27" i="1"/>
  <c r="AH27" i="1"/>
  <c r="X23" i="5"/>
  <c r="T23" i="5"/>
  <c r="Y23" i="5"/>
  <c r="U23" i="5"/>
  <c r="AI27" i="1"/>
  <c r="F16" i="5"/>
  <c r="W23" i="5"/>
  <c r="S23" i="5"/>
  <c r="G23" i="5"/>
  <c r="AF21" i="1"/>
  <c r="AG21" i="1"/>
  <c r="AH21" i="1"/>
  <c r="AI21" i="1"/>
  <c r="S10" i="5"/>
  <c r="O26" i="5"/>
  <c r="J26" i="5"/>
  <c r="W10" i="5"/>
  <c r="Y10" i="5"/>
  <c r="Q26" i="5"/>
  <c r="L26" i="5"/>
  <c r="K26" i="5"/>
  <c r="U10" i="5"/>
  <c r="R10" i="5"/>
  <c r="G10" i="5"/>
  <c r="F26" i="5"/>
  <c r="W1335" i="1"/>
  <c r="X1335" i="1"/>
  <c r="W1329" i="1"/>
  <c r="X1329" i="1"/>
  <c r="W1317" i="1"/>
  <c r="X1317" i="1"/>
  <c r="W1305" i="1"/>
  <c r="X1305" i="1"/>
  <c r="W1287" i="1"/>
  <c r="X1287" i="1"/>
  <c r="W1275" i="1"/>
  <c r="X1275" i="1"/>
  <c r="W1263" i="1"/>
  <c r="X1263" i="1"/>
  <c r="W1257" i="1"/>
  <c r="X1257" i="1"/>
  <c r="W1245" i="1"/>
  <c r="X1245" i="1"/>
  <c r="W1233" i="1"/>
  <c r="X1233" i="1"/>
  <c r="W1221" i="1"/>
  <c r="X1221" i="1"/>
  <c r="W1209" i="1"/>
  <c r="X1209" i="1"/>
  <c r="W1197" i="1"/>
  <c r="X1197" i="1"/>
  <c r="W1185" i="1"/>
  <c r="X1185" i="1"/>
  <c r="W1173" i="1"/>
  <c r="X1173" i="1"/>
  <c r="W1161" i="1"/>
  <c r="X1161" i="1"/>
  <c r="W1149" i="1"/>
  <c r="X1149" i="1"/>
  <c r="W1137" i="1"/>
  <c r="X1137" i="1"/>
  <c r="W1125" i="1"/>
  <c r="X1125" i="1"/>
  <c r="W1113" i="1"/>
  <c r="X1113" i="1"/>
  <c r="W1101" i="1"/>
  <c r="X1101" i="1"/>
  <c r="W1089" i="1"/>
  <c r="X1089" i="1"/>
  <c r="W1077" i="1"/>
  <c r="X1077" i="1"/>
  <c r="W1065" i="1"/>
  <c r="X1065" i="1"/>
  <c r="W1053" i="1"/>
  <c r="X1053" i="1"/>
  <c r="X1047" i="1"/>
  <c r="W1047" i="1"/>
  <c r="W1029" i="1"/>
  <c r="X1029" i="1"/>
  <c r="W1017" i="1"/>
  <c r="X1017" i="1"/>
  <c r="W1005" i="1"/>
  <c r="X1005" i="1"/>
  <c r="W993" i="1"/>
  <c r="X993" i="1"/>
  <c r="W981" i="1"/>
  <c r="X981" i="1"/>
  <c r="W969" i="1"/>
  <c r="X969" i="1"/>
  <c r="W957" i="1"/>
  <c r="X957" i="1"/>
  <c r="W945" i="1"/>
  <c r="X945" i="1"/>
  <c r="W933" i="1"/>
  <c r="X933" i="1"/>
  <c r="W921" i="1"/>
  <c r="X921" i="1"/>
  <c r="W909" i="1"/>
  <c r="X909" i="1"/>
  <c r="W897" i="1"/>
  <c r="X897" i="1"/>
  <c r="W885" i="1"/>
  <c r="X885" i="1"/>
  <c r="W873" i="1"/>
  <c r="X873" i="1"/>
  <c r="W861" i="1"/>
  <c r="X861" i="1"/>
  <c r="W849" i="1"/>
  <c r="X849" i="1"/>
  <c r="W837" i="1"/>
  <c r="X837" i="1"/>
  <c r="W825" i="1"/>
  <c r="X825" i="1"/>
  <c r="W813" i="1"/>
  <c r="X813" i="1"/>
  <c r="W801" i="1"/>
  <c r="X801" i="1"/>
  <c r="W789" i="1"/>
  <c r="X789" i="1"/>
  <c r="W777" i="1"/>
  <c r="X777" i="1"/>
  <c r="W765" i="1"/>
  <c r="X765" i="1"/>
  <c r="W753" i="1"/>
  <c r="X753" i="1"/>
  <c r="W741" i="1"/>
  <c r="X741" i="1"/>
  <c r="W729" i="1"/>
  <c r="X729" i="1"/>
  <c r="W717" i="1"/>
  <c r="X717" i="1"/>
  <c r="W705" i="1"/>
  <c r="X705" i="1"/>
  <c r="W693" i="1"/>
  <c r="X693" i="1"/>
  <c r="W675" i="1"/>
  <c r="X675" i="1"/>
  <c r="W663" i="1"/>
  <c r="X663" i="1"/>
  <c r="W651" i="1"/>
  <c r="X651" i="1"/>
  <c r="W639" i="1"/>
  <c r="X639" i="1"/>
  <c r="W627" i="1"/>
  <c r="X627" i="1"/>
  <c r="W615" i="1"/>
  <c r="X615" i="1"/>
  <c r="W603" i="1"/>
  <c r="X603" i="1"/>
  <c r="W591" i="1"/>
  <c r="X591" i="1"/>
  <c r="W579" i="1"/>
  <c r="X579" i="1"/>
  <c r="W567" i="1"/>
  <c r="X567" i="1"/>
  <c r="W555" i="1"/>
  <c r="X555" i="1"/>
  <c r="W537" i="1"/>
  <c r="X537" i="1"/>
  <c r="W519" i="1"/>
  <c r="X519" i="1"/>
  <c r="W393" i="1"/>
  <c r="X393" i="1"/>
  <c r="F24" i="5"/>
  <c r="G19" i="5"/>
  <c r="L33" i="5"/>
  <c r="M24" i="5"/>
  <c r="N8" i="5"/>
  <c r="P29" i="5"/>
  <c r="R7" i="5"/>
  <c r="U19" i="5"/>
  <c r="V37" i="6"/>
  <c r="AE68" i="6"/>
  <c r="J68" i="6"/>
  <c r="T67" i="6"/>
  <c r="AD66" i="6"/>
  <c r="I66" i="6"/>
  <c r="S65" i="6"/>
  <c r="AD64" i="6"/>
  <c r="H64" i="6"/>
  <c r="R63" i="6"/>
  <c r="AC62" i="6"/>
  <c r="G62" i="6"/>
  <c r="R61" i="6"/>
  <c r="AB60" i="6"/>
  <c r="F60" i="6"/>
  <c r="Q59" i="6"/>
  <c r="AA58" i="6"/>
  <c r="F58" i="6"/>
  <c r="P57" i="6"/>
  <c r="Z56" i="6"/>
  <c r="E56" i="6"/>
  <c r="O55" i="6"/>
  <c r="Z54" i="6"/>
  <c r="D54" i="6"/>
  <c r="N53" i="6"/>
  <c r="Y52" i="6"/>
  <c r="C52" i="6"/>
  <c r="N51" i="6"/>
  <c r="X50" i="6"/>
  <c r="B50" i="6"/>
  <c r="W48" i="6"/>
  <c r="B48" i="6"/>
  <c r="L47" i="6"/>
  <c r="V46" i="6"/>
  <c r="AG45" i="6"/>
  <c r="K45" i="6"/>
  <c r="V44" i="6"/>
  <c r="AF43" i="6"/>
  <c r="J43" i="6"/>
  <c r="U42" i="6"/>
  <c r="AE41" i="6"/>
  <c r="J41" i="6"/>
  <c r="T40" i="6"/>
  <c r="AD39" i="6"/>
  <c r="F39" i="6"/>
  <c r="E38" i="6"/>
  <c r="AI447" i="1"/>
  <c r="AH188" i="1"/>
  <c r="J2" i="5"/>
  <c r="R16" i="5"/>
  <c r="AF11" i="1"/>
  <c r="F27" i="5"/>
  <c r="Z15" i="1"/>
  <c r="C38" i="6"/>
  <c r="I38" i="6"/>
  <c r="O38" i="6"/>
  <c r="U38" i="6"/>
  <c r="AA38" i="6"/>
  <c r="AG38" i="6"/>
  <c r="G39" i="6"/>
  <c r="M39" i="6"/>
  <c r="S39" i="6"/>
  <c r="Y39" i="6"/>
  <c r="AE39" i="6"/>
  <c r="E40" i="6"/>
  <c r="Q40" i="6"/>
  <c r="W40" i="6"/>
  <c r="AC40" i="6"/>
  <c r="I41" i="6"/>
  <c r="O41" i="6"/>
  <c r="U41" i="6"/>
  <c r="AA41" i="6"/>
  <c r="AG41" i="6"/>
  <c r="G42" i="6"/>
  <c r="M42" i="6"/>
  <c r="S42" i="6"/>
  <c r="Y42" i="6"/>
  <c r="AE42" i="6"/>
  <c r="E43" i="6"/>
  <c r="K43" i="6"/>
  <c r="Q43" i="6"/>
  <c r="W43" i="6"/>
  <c r="AC43" i="6"/>
  <c r="C44" i="6"/>
  <c r="I44" i="6"/>
  <c r="O44" i="6"/>
  <c r="U44" i="6"/>
  <c r="AA44" i="6"/>
  <c r="AG44" i="6"/>
  <c r="G45" i="6"/>
  <c r="M45" i="6"/>
  <c r="S45" i="6"/>
  <c r="Y45" i="6"/>
  <c r="AE45" i="6"/>
  <c r="K46" i="6"/>
  <c r="Q46" i="6"/>
  <c r="W46" i="6"/>
  <c r="AC46" i="6"/>
  <c r="C47" i="6"/>
  <c r="I47" i="6"/>
  <c r="O47" i="6"/>
  <c r="U47" i="6"/>
  <c r="AA47" i="6"/>
  <c r="AG47" i="6"/>
  <c r="G48" i="6"/>
  <c r="M48" i="6"/>
  <c r="S48" i="6"/>
  <c r="Y48" i="6"/>
  <c r="AE48" i="6"/>
  <c r="E49" i="6"/>
  <c r="K49" i="6"/>
  <c r="Q49" i="6"/>
  <c r="W49" i="6"/>
  <c r="AC49" i="6"/>
  <c r="C50" i="6"/>
  <c r="I50" i="6"/>
  <c r="O50" i="6"/>
  <c r="U50" i="6"/>
  <c r="AA50" i="6"/>
  <c r="AG50" i="6"/>
  <c r="G51" i="6"/>
  <c r="M51" i="6"/>
  <c r="S51" i="6"/>
  <c r="Y51" i="6"/>
  <c r="AE51" i="6"/>
  <c r="E52" i="6"/>
  <c r="K52" i="6"/>
  <c r="Q52" i="6"/>
  <c r="W52" i="6"/>
  <c r="AC52" i="6"/>
  <c r="C53" i="6"/>
  <c r="I53" i="6"/>
  <c r="O53" i="6"/>
  <c r="U53" i="6"/>
  <c r="AA53" i="6"/>
  <c r="AG53" i="6"/>
  <c r="G54" i="6"/>
  <c r="M54" i="6"/>
  <c r="S54" i="6"/>
  <c r="Y54" i="6"/>
  <c r="AE54" i="6"/>
  <c r="E55" i="6"/>
  <c r="K55" i="6"/>
  <c r="Q55" i="6"/>
  <c r="AC55" i="6"/>
  <c r="C56" i="6"/>
  <c r="I56" i="6"/>
  <c r="O56" i="6"/>
  <c r="U56" i="6"/>
  <c r="AA56" i="6"/>
  <c r="G57" i="6"/>
  <c r="M57" i="6"/>
  <c r="S57" i="6"/>
  <c r="Y57" i="6"/>
  <c r="AE57" i="6"/>
  <c r="E58" i="6"/>
  <c r="K58" i="6"/>
  <c r="Q58" i="6"/>
  <c r="W58" i="6"/>
  <c r="AC58" i="6"/>
  <c r="C59" i="6"/>
  <c r="I59" i="6"/>
  <c r="O59" i="6"/>
  <c r="U59" i="6"/>
  <c r="AA59" i="6"/>
  <c r="AG59" i="6"/>
  <c r="G60" i="6"/>
  <c r="M60" i="6"/>
  <c r="S60" i="6"/>
  <c r="Y60" i="6"/>
  <c r="AE60" i="6"/>
  <c r="E61" i="6"/>
  <c r="K61" i="6"/>
  <c r="W61" i="6"/>
  <c r="AC61" i="6"/>
  <c r="C62" i="6"/>
  <c r="I62" i="6"/>
  <c r="O62" i="6"/>
  <c r="U62" i="6"/>
  <c r="AA62" i="6"/>
  <c r="AG62" i="6"/>
  <c r="G63" i="6"/>
  <c r="M63" i="6"/>
  <c r="S63" i="6"/>
  <c r="Y63" i="6"/>
  <c r="AE63" i="6"/>
  <c r="E64" i="6"/>
  <c r="K64" i="6"/>
  <c r="Q64" i="6"/>
  <c r="W64" i="6"/>
  <c r="AC64" i="6"/>
  <c r="C65" i="6"/>
  <c r="I65" i="6"/>
  <c r="O65" i="6"/>
  <c r="U65" i="6"/>
  <c r="AA65" i="6"/>
  <c r="G66" i="6"/>
  <c r="M66" i="6"/>
  <c r="S66" i="6"/>
  <c r="Y66" i="6"/>
  <c r="AE66" i="6"/>
  <c r="E67" i="6"/>
  <c r="K67" i="6"/>
  <c r="Q67" i="6"/>
  <c r="W67" i="6"/>
  <c r="AC67" i="6"/>
  <c r="C68" i="6"/>
  <c r="I68" i="6"/>
  <c r="O68" i="6"/>
  <c r="AA68" i="6"/>
  <c r="AG68" i="6"/>
  <c r="H37" i="6"/>
  <c r="N37" i="6"/>
  <c r="T37" i="6"/>
  <c r="Z37" i="6"/>
  <c r="AF37" i="6"/>
  <c r="H38" i="6"/>
  <c r="P38" i="6"/>
  <c r="W38" i="6"/>
  <c r="AD38" i="6"/>
  <c r="E39" i="6"/>
  <c r="L39" i="6"/>
  <c r="T39" i="6"/>
  <c r="AA39" i="6"/>
  <c r="B40" i="6"/>
  <c r="I40" i="6"/>
  <c r="P40" i="6"/>
  <c r="X40" i="6"/>
  <c r="AE40" i="6"/>
  <c r="F41" i="6"/>
  <c r="M41" i="6"/>
  <c r="T41" i="6"/>
  <c r="AB41" i="6"/>
  <c r="C42" i="6"/>
  <c r="J42" i="6"/>
  <c r="Q42" i="6"/>
  <c r="X42" i="6"/>
  <c r="AF42" i="6"/>
  <c r="G43" i="6"/>
  <c r="N43" i="6"/>
  <c r="U43" i="6"/>
  <c r="AB43" i="6"/>
  <c r="D44" i="6"/>
  <c r="K44" i="6"/>
  <c r="R44" i="6"/>
  <c r="Y44" i="6"/>
  <c r="AF44" i="6"/>
  <c r="H45" i="6"/>
  <c r="O45" i="6"/>
  <c r="V45" i="6"/>
  <c r="AC45" i="6"/>
  <c r="D46" i="6"/>
  <c r="L46" i="6"/>
  <c r="S46" i="6"/>
  <c r="Z46" i="6"/>
  <c r="AG46" i="6"/>
  <c r="H47" i="6"/>
  <c r="P47" i="6"/>
  <c r="W47" i="6"/>
  <c r="AD47" i="6"/>
  <c r="E48" i="6"/>
  <c r="L48" i="6"/>
  <c r="T48" i="6"/>
  <c r="AA48" i="6"/>
  <c r="B49" i="6"/>
  <c r="I49" i="6"/>
  <c r="P49" i="6"/>
  <c r="X49" i="6"/>
  <c r="AE49" i="6"/>
  <c r="F50" i="6"/>
  <c r="M50" i="6"/>
  <c r="T50" i="6"/>
  <c r="AB50" i="6"/>
  <c r="C51" i="6"/>
  <c r="Q51" i="6"/>
  <c r="X51" i="6"/>
  <c r="AF51" i="6"/>
  <c r="G52" i="6"/>
  <c r="N52" i="6"/>
  <c r="U52" i="6"/>
  <c r="AB52" i="6"/>
  <c r="D53" i="6"/>
  <c r="K53" i="6"/>
  <c r="R53" i="6"/>
  <c r="Y53" i="6"/>
  <c r="AF53" i="6"/>
  <c r="H54" i="6"/>
  <c r="O54" i="6"/>
  <c r="V54" i="6"/>
  <c r="AC54" i="6"/>
  <c r="D55" i="6"/>
  <c r="L55" i="6"/>
  <c r="S55" i="6"/>
  <c r="Z55" i="6"/>
  <c r="AG55" i="6"/>
  <c r="H56" i="6"/>
  <c r="P56" i="6"/>
  <c r="W56" i="6"/>
  <c r="AD56" i="6"/>
  <c r="E57" i="6"/>
  <c r="L57" i="6"/>
  <c r="T57" i="6"/>
  <c r="AA57" i="6"/>
  <c r="B58" i="6"/>
  <c r="I58" i="6"/>
  <c r="P58" i="6"/>
  <c r="AE58" i="6"/>
  <c r="F59" i="6"/>
  <c r="M59" i="6"/>
  <c r="T59" i="6"/>
  <c r="AB59" i="6"/>
  <c r="C60" i="6"/>
  <c r="J60" i="6"/>
  <c r="Q60" i="6"/>
  <c r="X60" i="6"/>
  <c r="AF60" i="6"/>
  <c r="G61" i="6"/>
  <c r="N61" i="6"/>
  <c r="U61" i="6"/>
  <c r="AB61" i="6"/>
  <c r="D62" i="6"/>
  <c r="K62" i="6"/>
  <c r="R62" i="6"/>
  <c r="Y62" i="6"/>
  <c r="AF62" i="6"/>
  <c r="H63" i="6"/>
  <c r="O63" i="6"/>
  <c r="AC63" i="6"/>
  <c r="D64" i="6"/>
  <c r="L64" i="6"/>
  <c r="S64" i="6"/>
  <c r="Z64" i="6"/>
  <c r="AG64" i="6"/>
  <c r="H65" i="6"/>
  <c r="P65" i="6"/>
  <c r="W65" i="6"/>
  <c r="AD65" i="6"/>
  <c r="E66" i="6"/>
  <c r="L66" i="6"/>
  <c r="T66" i="6"/>
  <c r="AA66" i="6"/>
  <c r="B67" i="6"/>
  <c r="I67" i="6"/>
  <c r="P67" i="6"/>
  <c r="X67" i="6"/>
  <c r="AE67" i="6"/>
  <c r="F68" i="6"/>
  <c r="M68" i="6"/>
  <c r="T68" i="6"/>
  <c r="AB68" i="6"/>
  <c r="D37" i="6"/>
  <c r="K37" i="6"/>
  <c r="R37" i="6"/>
  <c r="Y37" i="6"/>
  <c r="AG37" i="6"/>
  <c r="M38" i="6"/>
  <c r="T38" i="6"/>
  <c r="AB38" i="6"/>
  <c r="C39" i="6"/>
  <c r="J39" i="6"/>
  <c r="Q39" i="6"/>
  <c r="X39" i="6"/>
  <c r="AF39" i="6"/>
  <c r="G40" i="6"/>
  <c r="N40" i="6"/>
  <c r="U40" i="6"/>
  <c r="AB40" i="6"/>
  <c r="D41" i="6"/>
  <c r="K41" i="6"/>
  <c r="R41" i="6"/>
  <c r="Y41" i="6"/>
  <c r="AF41" i="6"/>
  <c r="H42" i="6"/>
  <c r="O42" i="6"/>
  <c r="V42" i="6"/>
  <c r="L43" i="6"/>
  <c r="S43" i="6"/>
  <c r="Z43" i="6"/>
  <c r="AG43" i="6"/>
  <c r="H44" i="6"/>
  <c r="P44" i="6"/>
  <c r="W44" i="6"/>
  <c r="AD44" i="6"/>
  <c r="E45" i="6"/>
  <c r="L45" i="6"/>
  <c r="T45" i="6"/>
  <c r="AA45" i="6"/>
  <c r="B46" i="6"/>
  <c r="I46" i="6"/>
  <c r="P46" i="6"/>
  <c r="X46" i="6"/>
  <c r="AE46" i="6"/>
  <c r="F47" i="6"/>
  <c r="M47" i="6"/>
  <c r="T47" i="6"/>
  <c r="AB47" i="6"/>
  <c r="C48" i="6"/>
  <c r="J48" i="6"/>
  <c r="Q48" i="6"/>
  <c r="X48" i="6"/>
  <c r="AF48" i="6"/>
  <c r="G49" i="6"/>
  <c r="N49" i="6"/>
  <c r="U49" i="6"/>
  <c r="AB49" i="6"/>
  <c r="D50" i="6"/>
  <c r="K50" i="6"/>
  <c r="R50" i="6"/>
  <c r="Y50" i="6"/>
  <c r="AF50" i="6"/>
  <c r="H51" i="6"/>
  <c r="O51" i="6"/>
  <c r="V51" i="6"/>
  <c r="AC51" i="6"/>
  <c r="D52" i="6"/>
  <c r="L52" i="6"/>
  <c r="S52" i="6"/>
  <c r="AG52" i="6"/>
  <c r="H53" i="6"/>
  <c r="P53" i="6"/>
  <c r="W53" i="6"/>
  <c r="AD53" i="6"/>
  <c r="E54" i="6"/>
  <c r="L54" i="6"/>
  <c r="T54" i="6"/>
  <c r="B55" i="6"/>
  <c r="I55" i="6"/>
  <c r="P55" i="6"/>
  <c r="X55" i="6"/>
  <c r="AE55" i="6"/>
  <c r="F56" i="6"/>
  <c r="M56" i="6"/>
  <c r="T56" i="6"/>
  <c r="AB56" i="6"/>
  <c r="C57" i="6"/>
  <c r="J57" i="6"/>
  <c r="Q57" i="6"/>
  <c r="X57" i="6"/>
  <c r="G58" i="6"/>
  <c r="N58" i="6"/>
  <c r="U58" i="6"/>
  <c r="AB58" i="6"/>
  <c r="D59" i="6"/>
  <c r="K59" i="6"/>
  <c r="R59" i="6"/>
  <c r="Y59" i="6"/>
  <c r="AF59" i="6"/>
  <c r="H60" i="6"/>
  <c r="O60" i="6"/>
  <c r="V60" i="6"/>
  <c r="AC60" i="6"/>
  <c r="D61" i="6"/>
  <c r="L61" i="6"/>
  <c r="S61" i="6"/>
  <c r="Z61" i="6"/>
  <c r="AG61" i="6"/>
  <c r="H62" i="6"/>
  <c r="P62" i="6"/>
  <c r="W62" i="6"/>
  <c r="AD62" i="6"/>
  <c r="E63" i="6"/>
  <c r="L63" i="6"/>
  <c r="T63" i="6"/>
  <c r="AA63" i="6"/>
  <c r="B64" i="6"/>
  <c r="I64" i="6"/>
  <c r="P64" i="6"/>
  <c r="X64" i="6"/>
  <c r="AE64" i="6"/>
  <c r="F65" i="6"/>
  <c r="M65" i="6"/>
  <c r="T65" i="6"/>
  <c r="AB65" i="6"/>
  <c r="C66" i="6"/>
  <c r="J66" i="6"/>
  <c r="Q66" i="6"/>
  <c r="X66" i="6"/>
  <c r="AF66" i="6"/>
  <c r="G67" i="6"/>
  <c r="N67" i="6"/>
  <c r="U67" i="6"/>
  <c r="AB67" i="6"/>
  <c r="D68" i="6"/>
  <c r="K68" i="6"/>
  <c r="R68" i="6"/>
  <c r="Y68" i="6"/>
  <c r="AF68" i="6"/>
  <c r="I37" i="6"/>
  <c r="P37" i="6"/>
  <c r="W37" i="6"/>
  <c r="AD37" i="6"/>
  <c r="B38" i="6"/>
  <c r="L38" i="6"/>
  <c r="X38" i="6"/>
  <c r="B39" i="6"/>
  <c r="N39" i="6"/>
  <c r="W39" i="6"/>
  <c r="K38" i="6"/>
  <c r="V38" i="6"/>
  <c r="AF38" i="6"/>
  <c r="F13" i="5"/>
  <c r="O2" i="5"/>
  <c r="AB37" i="6"/>
  <c r="Q37" i="6"/>
  <c r="F37" i="6"/>
  <c r="Z68" i="6"/>
  <c r="P68" i="6"/>
  <c r="E68" i="6"/>
  <c r="Z67" i="6"/>
  <c r="O67" i="6"/>
  <c r="D67" i="6"/>
  <c r="Z66" i="6"/>
  <c r="O66" i="6"/>
  <c r="D66" i="6"/>
  <c r="Y65" i="6"/>
  <c r="N65" i="6"/>
  <c r="D65" i="6"/>
  <c r="Y64" i="6"/>
  <c r="N64" i="6"/>
  <c r="C64" i="6"/>
  <c r="X63" i="6"/>
  <c r="N63" i="6"/>
  <c r="C63" i="6"/>
  <c r="X62" i="6"/>
  <c r="M62" i="6"/>
  <c r="B62" i="6"/>
  <c r="X61" i="6"/>
  <c r="M61" i="6"/>
  <c r="B61" i="6"/>
  <c r="W60" i="6"/>
  <c r="L60" i="6"/>
  <c r="B60" i="6"/>
  <c r="L59" i="6"/>
  <c r="AG58" i="6"/>
  <c r="V58" i="6"/>
  <c r="L58" i="6"/>
  <c r="AG57" i="6"/>
  <c r="V57" i="6"/>
  <c r="K57" i="6"/>
  <c r="AF56" i="6"/>
  <c r="V56" i="6"/>
  <c r="K56" i="6"/>
  <c r="AF55" i="6"/>
  <c r="U55" i="6"/>
  <c r="J55" i="6"/>
  <c r="AF54" i="6"/>
  <c r="U54" i="6"/>
  <c r="J54" i="6"/>
  <c r="AE53" i="6"/>
  <c r="T53" i="6"/>
  <c r="J53" i="6"/>
  <c r="AE52" i="6"/>
  <c r="T52" i="6"/>
  <c r="I52" i="6"/>
  <c r="AD51" i="6"/>
  <c r="T51" i="6"/>
  <c r="I51" i="6"/>
  <c r="AD50" i="6"/>
  <c r="S50" i="6"/>
  <c r="H50" i="6"/>
  <c r="AD49" i="6"/>
  <c r="S49" i="6"/>
  <c r="H49" i="6"/>
  <c r="AC48" i="6"/>
  <c r="R48" i="6"/>
  <c r="H48" i="6"/>
  <c r="AC47" i="6"/>
  <c r="R47" i="6"/>
  <c r="G47" i="6"/>
  <c r="AB46" i="6"/>
  <c r="R46" i="6"/>
  <c r="G46" i="6"/>
  <c r="AB45" i="6"/>
  <c r="Q45" i="6"/>
  <c r="F45" i="6"/>
  <c r="AB44" i="6"/>
  <c r="Q44" i="6"/>
  <c r="F44" i="6"/>
  <c r="AA43" i="6"/>
  <c r="P43" i="6"/>
  <c r="F43" i="6"/>
  <c r="AA42" i="6"/>
  <c r="P42" i="6"/>
  <c r="E42" i="6"/>
  <c r="Z41" i="6"/>
  <c r="P41" i="6"/>
  <c r="E41" i="6"/>
  <c r="Z40" i="6"/>
  <c r="O40" i="6"/>
  <c r="D40" i="6"/>
  <c r="Z39" i="6"/>
  <c r="K39" i="6"/>
  <c r="AC38" i="6"/>
  <c r="N38" i="6"/>
  <c r="W1343" i="1"/>
  <c r="X1343" i="1"/>
  <c r="W1337" i="1"/>
  <c r="X1337" i="1"/>
  <c r="W1331" i="1"/>
  <c r="X1331" i="1"/>
  <c r="W1325" i="1"/>
  <c r="X1325" i="1"/>
  <c r="W1319" i="1"/>
  <c r="X1319" i="1"/>
  <c r="W1313" i="1"/>
  <c r="X1313" i="1"/>
  <c r="W1307" i="1"/>
  <c r="X1307" i="1"/>
  <c r="W1301" i="1"/>
  <c r="X1301" i="1"/>
  <c r="W1295" i="1"/>
  <c r="X1295" i="1"/>
  <c r="W1289" i="1"/>
  <c r="X1289" i="1"/>
  <c r="W1283" i="1"/>
  <c r="X1283" i="1"/>
  <c r="W1277" i="1"/>
  <c r="X1277" i="1"/>
  <c r="W1271" i="1"/>
  <c r="X1271" i="1"/>
  <c r="W1265" i="1"/>
  <c r="X1265" i="1"/>
  <c r="W1259" i="1"/>
  <c r="X1259" i="1"/>
  <c r="W1253" i="1"/>
  <c r="X1253" i="1"/>
  <c r="W1247" i="1"/>
  <c r="X1247" i="1"/>
  <c r="W1241" i="1"/>
  <c r="X1241" i="1"/>
  <c r="W1235" i="1"/>
  <c r="X1235" i="1"/>
  <c r="W1229" i="1"/>
  <c r="X1229" i="1"/>
  <c r="W1223" i="1"/>
  <c r="X1223" i="1"/>
  <c r="W1217" i="1"/>
  <c r="X1217" i="1"/>
  <c r="W1211" i="1"/>
  <c r="X1211" i="1"/>
  <c r="W1205" i="1"/>
  <c r="X1205" i="1"/>
  <c r="W1199" i="1"/>
  <c r="X1199" i="1"/>
  <c r="W1193" i="1"/>
  <c r="X1193" i="1"/>
  <c r="W1187" i="1"/>
  <c r="X1187" i="1"/>
  <c r="W1181" i="1"/>
  <c r="X1181" i="1"/>
  <c r="W1175" i="1"/>
  <c r="X1175" i="1"/>
  <c r="W1169" i="1"/>
  <c r="X1169" i="1"/>
  <c r="W1163" i="1"/>
  <c r="X1163" i="1"/>
  <c r="W1157" i="1"/>
  <c r="X1157" i="1"/>
  <c r="W1151" i="1"/>
  <c r="X1151" i="1"/>
  <c r="W1145" i="1"/>
  <c r="X1145" i="1"/>
  <c r="W1139" i="1"/>
  <c r="X1139" i="1"/>
  <c r="W1133" i="1"/>
  <c r="X1133" i="1"/>
  <c r="W1127" i="1"/>
  <c r="X1127" i="1"/>
  <c r="W1121" i="1"/>
  <c r="X1121" i="1"/>
  <c r="W1115" i="1"/>
  <c r="X1115" i="1"/>
  <c r="W1109" i="1"/>
  <c r="X1109" i="1"/>
  <c r="W1103" i="1"/>
  <c r="X1103" i="1"/>
  <c r="W1097" i="1"/>
  <c r="X1097" i="1"/>
  <c r="W1091" i="1"/>
  <c r="X1091" i="1"/>
  <c r="W1085" i="1"/>
  <c r="X1085" i="1"/>
  <c r="W1079" i="1"/>
  <c r="X1079" i="1"/>
  <c r="W1073" i="1"/>
  <c r="X1073" i="1"/>
  <c r="W1067" i="1"/>
  <c r="X1067" i="1"/>
  <c r="W1061" i="1"/>
  <c r="X1061" i="1"/>
  <c r="W1055" i="1"/>
  <c r="X1055" i="1"/>
  <c r="W1049" i="1"/>
  <c r="X1049" i="1"/>
  <c r="W1043" i="1"/>
  <c r="X1043" i="1"/>
  <c r="W1037" i="1"/>
  <c r="X1037" i="1"/>
  <c r="W1031" i="1"/>
  <c r="X1031" i="1"/>
  <c r="W1025" i="1"/>
  <c r="X1025" i="1"/>
  <c r="W1019" i="1"/>
  <c r="X1019" i="1"/>
  <c r="W1013" i="1"/>
  <c r="X1013" i="1"/>
  <c r="W1007" i="1"/>
  <c r="X1007" i="1"/>
  <c r="W1001" i="1"/>
  <c r="X1001" i="1"/>
  <c r="W995" i="1"/>
  <c r="X995" i="1"/>
  <c r="W989" i="1"/>
  <c r="X989" i="1"/>
  <c r="W983" i="1"/>
  <c r="X983" i="1"/>
  <c r="W977" i="1"/>
  <c r="X977" i="1"/>
  <c r="W971" i="1"/>
  <c r="X971" i="1"/>
  <c r="W965" i="1"/>
  <c r="X965" i="1"/>
  <c r="W959" i="1"/>
  <c r="X959" i="1"/>
  <c r="W953" i="1"/>
  <c r="X953" i="1"/>
  <c r="W947" i="1"/>
  <c r="X947" i="1"/>
  <c r="W941" i="1"/>
  <c r="X941" i="1"/>
  <c r="W935" i="1"/>
  <c r="X935" i="1"/>
  <c r="W929" i="1"/>
  <c r="X929" i="1"/>
  <c r="W923" i="1"/>
  <c r="X923" i="1"/>
  <c r="W917" i="1"/>
  <c r="X917" i="1"/>
  <c r="W911" i="1"/>
  <c r="X911" i="1"/>
  <c r="W905" i="1"/>
  <c r="X905" i="1"/>
  <c r="W899" i="1"/>
  <c r="X899" i="1"/>
  <c r="W893" i="1"/>
  <c r="X893" i="1"/>
  <c r="W887" i="1"/>
  <c r="X887" i="1"/>
  <c r="W881" i="1"/>
  <c r="X881" i="1"/>
  <c r="W875" i="1"/>
  <c r="X875" i="1"/>
  <c r="W869" i="1"/>
  <c r="X869" i="1"/>
  <c r="W863" i="1"/>
  <c r="X863" i="1"/>
  <c r="W857" i="1"/>
  <c r="X857" i="1"/>
  <c r="W851" i="1"/>
  <c r="X851" i="1"/>
  <c r="W845" i="1"/>
  <c r="X845" i="1"/>
  <c r="W839" i="1"/>
  <c r="X839" i="1"/>
  <c r="W833" i="1"/>
  <c r="X833" i="1"/>
  <c r="W827" i="1"/>
  <c r="X827" i="1"/>
  <c r="W821" i="1"/>
  <c r="X821" i="1"/>
  <c r="W815" i="1"/>
  <c r="X815" i="1"/>
  <c r="W809" i="1"/>
  <c r="X809" i="1"/>
  <c r="W803" i="1"/>
  <c r="X803" i="1"/>
  <c r="W797" i="1"/>
  <c r="X797" i="1"/>
  <c r="W791" i="1"/>
  <c r="X791" i="1"/>
  <c r="W785" i="1"/>
  <c r="X785" i="1"/>
  <c r="W779" i="1"/>
  <c r="X779" i="1"/>
  <c r="W773" i="1"/>
  <c r="X773" i="1"/>
  <c r="W767" i="1"/>
  <c r="X767" i="1"/>
  <c r="W761" i="1"/>
  <c r="X761" i="1"/>
  <c r="W755" i="1"/>
  <c r="X755" i="1"/>
  <c r="W749" i="1"/>
  <c r="X749" i="1"/>
  <c r="W743" i="1"/>
  <c r="X743" i="1"/>
  <c r="W737" i="1"/>
  <c r="X737" i="1"/>
  <c r="X731" i="1"/>
  <c r="W731" i="1"/>
  <c r="W725" i="1"/>
  <c r="X725" i="1"/>
  <c r="W719" i="1"/>
  <c r="X719" i="1"/>
  <c r="X713" i="1"/>
  <c r="W713" i="1"/>
  <c r="W707" i="1"/>
  <c r="X707" i="1"/>
  <c r="W701" i="1"/>
  <c r="X701" i="1"/>
  <c r="W695" i="1"/>
  <c r="X695" i="1"/>
  <c r="W689" i="1"/>
  <c r="X689" i="1"/>
  <c r="W683" i="1"/>
  <c r="X683" i="1"/>
  <c r="W677" i="1"/>
  <c r="X677" i="1"/>
  <c r="W671" i="1"/>
  <c r="X671" i="1"/>
  <c r="W665" i="1"/>
  <c r="X665" i="1"/>
  <c r="W659" i="1"/>
  <c r="X659" i="1"/>
  <c r="W653" i="1"/>
  <c r="X653" i="1"/>
  <c r="W647" i="1"/>
  <c r="X647" i="1"/>
  <c r="W641" i="1"/>
  <c r="X641" i="1"/>
  <c r="W635" i="1"/>
  <c r="X635" i="1"/>
  <c r="W629" i="1"/>
  <c r="X629" i="1"/>
  <c r="X623" i="1"/>
  <c r="W623" i="1"/>
  <c r="W617" i="1"/>
  <c r="X617" i="1"/>
  <c r="W611" i="1"/>
  <c r="X611" i="1"/>
  <c r="W605" i="1"/>
  <c r="X605" i="1"/>
  <c r="W599" i="1"/>
  <c r="X599" i="1"/>
  <c r="W593" i="1"/>
  <c r="X593" i="1"/>
  <c r="W587" i="1"/>
  <c r="X587" i="1"/>
  <c r="W581" i="1"/>
  <c r="X581" i="1"/>
  <c r="W575" i="1"/>
  <c r="X575" i="1"/>
  <c r="W569" i="1"/>
  <c r="X569" i="1"/>
  <c r="W563" i="1"/>
  <c r="X563" i="1"/>
  <c r="W557" i="1"/>
  <c r="X557" i="1"/>
  <c r="W551" i="1"/>
  <c r="X551" i="1"/>
  <c r="W545" i="1"/>
  <c r="X545" i="1"/>
  <c r="W539" i="1"/>
  <c r="X539" i="1"/>
  <c r="W533" i="1"/>
  <c r="X533" i="1"/>
  <c r="W527" i="1"/>
  <c r="X527" i="1"/>
  <c r="W521" i="1"/>
  <c r="X521" i="1"/>
  <c r="W515" i="1"/>
  <c r="X515" i="1"/>
  <c r="W509" i="1"/>
  <c r="X509" i="1"/>
  <c r="W503" i="1"/>
  <c r="X503" i="1"/>
  <c r="W497" i="1"/>
  <c r="X497" i="1"/>
  <c r="W491" i="1"/>
  <c r="X491" i="1"/>
  <c r="W485" i="1"/>
  <c r="X485" i="1"/>
  <c r="W479" i="1"/>
  <c r="X479" i="1"/>
  <c r="W473" i="1"/>
  <c r="X473" i="1"/>
  <c r="W467" i="1"/>
  <c r="X467" i="1"/>
  <c r="W461" i="1"/>
  <c r="X461" i="1"/>
  <c r="W455" i="1"/>
  <c r="X455" i="1"/>
  <c r="W449" i="1"/>
  <c r="X449" i="1"/>
  <c r="W443" i="1"/>
  <c r="X443" i="1"/>
  <c r="W437" i="1"/>
  <c r="X437" i="1"/>
  <c r="W431" i="1"/>
  <c r="X431" i="1"/>
  <c r="W425" i="1"/>
  <c r="X425" i="1"/>
  <c r="W419" i="1"/>
  <c r="X419" i="1"/>
  <c r="W413" i="1"/>
  <c r="X413" i="1"/>
  <c r="W407" i="1"/>
  <c r="X407" i="1"/>
  <c r="W401" i="1"/>
  <c r="X401" i="1"/>
  <c r="X395" i="1"/>
  <c r="W395" i="1"/>
  <c r="W389" i="1"/>
  <c r="X389" i="1"/>
  <c r="W383" i="1"/>
  <c r="X383" i="1"/>
  <c r="W377" i="1"/>
  <c r="X377" i="1"/>
  <c r="W371" i="1"/>
  <c r="X371" i="1"/>
  <c r="W365" i="1"/>
  <c r="X365" i="1"/>
  <c r="W359" i="1"/>
  <c r="X359" i="1"/>
  <c r="W353" i="1"/>
  <c r="X353" i="1"/>
  <c r="W347" i="1"/>
  <c r="X347" i="1"/>
  <c r="W341" i="1"/>
  <c r="X341" i="1"/>
  <c r="W335" i="1"/>
  <c r="X335" i="1"/>
  <c r="W329" i="1"/>
  <c r="X329" i="1"/>
  <c r="W323" i="1"/>
  <c r="X323" i="1"/>
  <c r="W317" i="1"/>
  <c r="X317" i="1"/>
  <c r="W311" i="1"/>
  <c r="X311" i="1"/>
  <c r="W305" i="1"/>
  <c r="X305" i="1"/>
  <c r="W299" i="1"/>
  <c r="X299" i="1"/>
  <c r="W293" i="1"/>
  <c r="X293" i="1"/>
  <c r="X287" i="1"/>
  <c r="W287" i="1"/>
  <c r="W281" i="1"/>
  <c r="X281" i="1"/>
  <c r="W275" i="1"/>
  <c r="X275" i="1"/>
  <c r="W269" i="1"/>
  <c r="X269" i="1"/>
  <c r="W263" i="1"/>
  <c r="X263" i="1"/>
  <c r="W257" i="1"/>
  <c r="X257" i="1"/>
  <c r="W251" i="1"/>
  <c r="X251" i="1"/>
  <c r="W245" i="1"/>
  <c r="X245" i="1"/>
  <c r="W239" i="1"/>
  <c r="X239" i="1"/>
  <c r="W233" i="1"/>
  <c r="X233" i="1"/>
  <c r="X227" i="1"/>
  <c r="W227" i="1"/>
  <c r="W221" i="1"/>
  <c r="X221" i="1"/>
  <c r="W215" i="1"/>
  <c r="X215" i="1"/>
  <c r="W209" i="1"/>
  <c r="X209" i="1"/>
  <c r="W203" i="1"/>
  <c r="X203" i="1"/>
  <c r="W197" i="1"/>
  <c r="X197" i="1"/>
  <c r="W191" i="1"/>
  <c r="X191" i="1"/>
  <c r="W185" i="1"/>
  <c r="X185" i="1"/>
  <c r="X179" i="1"/>
  <c r="W179" i="1"/>
  <c r="W173" i="1"/>
  <c r="X173" i="1"/>
  <c r="W167" i="1"/>
  <c r="X167" i="1"/>
  <c r="W161" i="1"/>
  <c r="X161" i="1"/>
  <c r="W155" i="1"/>
  <c r="X155" i="1"/>
  <c r="W149" i="1"/>
  <c r="X149" i="1"/>
  <c r="W143" i="1"/>
  <c r="X143" i="1"/>
  <c r="W137" i="1"/>
  <c r="X137" i="1"/>
  <c r="W131" i="1"/>
  <c r="X131" i="1"/>
  <c r="W125" i="1"/>
  <c r="X125" i="1"/>
  <c r="W119" i="1"/>
  <c r="X119" i="1"/>
  <c r="W113" i="1"/>
  <c r="X113" i="1"/>
  <c r="W107" i="1"/>
  <c r="X107" i="1"/>
  <c r="W101" i="1"/>
  <c r="X101" i="1"/>
  <c r="W95" i="1"/>
  <c r="X95" i="1"/>
  <c r="W89" i="1"/>
  <c r="X89" i="1"/>
  <c r="W83" i="1"/>
  <c r="X83" i="1"/>
  <c r="W77" i="1"/>
  <c r="X77" i="1"/>
  <c r="W71" i="1"/>
  <c r="X71" i="1"/>
  <c r="W65" i="1"/>
  <c r="X65" i="1"/>
  <c r="W59" i="1"/>
  <c r="X59" i="1"/>
  <c r="W53" i="1"/>
  <c r="X53" i="1"/>
  <c r="W47" i="1"/>
  <c r="X47" i="1"/>
  <c r="W41" i="1"/>
  <c r="X41" i="1"/>
  <c r="W35" i="1"/>
  <c r="X35" i="1"/>
  <c r="W29" i="1"/>
  <c r="X29" i="1"/>
  <c r="W23" i="1"/>
  <c r="X23" i="1"/>
  <c r="AH1342" i="1"/>
  <c r="AG1342" i="1"/>
  <c r="AF1342" i="1"/>
  <c r="AI1342" i="1"/>
  <c r="AF1336" i="1"/>
  <c r="AG1336" i="1"/>
  <c r="AH1336" i="1"/>
  <c r="AF1330" i="1"/>
  <c r="AH1330" i="1"/>
  <c r="AG1330" i="1"/>
  <c r="AI1330" i="1"/>
  <c r="AF1324" i="1"/>
  <c r="AI1324" i="1"/>
  <c r="AG1324" i="1"/>
  <c r="AH1324" i="1"/>
  <c r="AG1318" i="1"/>
  <c r="AH1318" i="1"/>
  <c r="AF1318" i="1"/>
  <c r="AI1318" i="1"/>
  <c r="AF1312" i="1"/>
  <c r="AG1312" i="1"/>
  <c r="AH1312" i="1"/>
  <c r="AI1312" i="1"/>
  <c r="AF1306" i="1"/>
  <c r="AG1306" i="1"/>
  <c r="AI1306" i="1"/>
  <c r="AH1306" i="1"/>
  <c r="AH1300" i="1"/>
  <c r="AG1300" i="1"/>
  <c r="AF1300" i="1"/>
  <c r="AI1300" i="1"/>
  <c r="AI1294" i="1"/>
  <c r="AF1294" i="1"/>
  <c r="AH1294" i="1"/>
  <c r="AG1294" i="1"/>
  <c r="AF1288" i="1"/>
  <c r="AG1288" i="1"/>
  <c r="AI1288" i="1"/>
  <c r="AH1288" i="1"/>
  <c r="AG1282" i="1"/>
  <c r="AH1282" i="1"/>
  <c r="AF1282" i="1"/>
  <c r="AH1276" i="1"/>
  <c r="AF1276" i="1"/>
  <c r="AI1276" i="1"/>
  <c r="AG1276" i="1"/>
  <c r="AF1270" i="1"/>
  <c r="AH1270" i="1"/>
  <c r="AI1270" i="1"/>
  <c r="AG1270" i="1"/>
  <c r="AF1264" i="1"/>
  <c r="AG1264" i="1"/>
  <c r="AI1264" i="1"/>
  <c r="AH1264" i="1"/>
  <c r="AF1258" i="1"/>
  <c r="AH1258" i="1"/>
  <c r="AG1258" i="1"/>
  <c r="AI1258" i="1"/>
  <c r="AF1252" i="1"/>
  <c r="AI1252" i="1"/>
  <c r="AG1252" i="1"/>
  <c r="AH1252" i="1"/>
  <c r="AF1246" i="1"/>
  <c r="AG1246" i="1"/>
  <c r="AH1246" i="1"/>
  <c r="AI1246" i="1"/>
  <c r="AH1240" i="1"/>
  <c r="AI1240" i="1"/>
  <c r="AF1240" i="1"/>
  <c r="AH1234" i="1"/>
  <c r="AF1234" i="1"/>
  <c r="AI1234" i="1"/>
  <c r="AF1228" i="1"/>
  <c r="AG1228" i="1"/>
  <c r="AH1228" i="1"/>
  <c r="AI1228" i="1"/>
  <c r="AF1222" i="1"/>
  <c r="AG1222" i="1"/>
  <c r="AH1222" i="1"/>
  <c r="AI1222" i="1"/>
  <c r="AF1216" i="1"/>
  <c r="AI1216" i="1"/>
  <c r="AH1216" i="1"/>
  <c r="AG1210" i="1"/>
  <c r="AH1210" i="1"/>
  <c r="AF1210" i="1"/>
  <c r="AI1210" i="1"/>
  <c r="AF1204" i="1"/>
  <c r="AG1204" i="1"/>
  <c r="AI1204" i="1"/>
  <c r="AH1204" i="1"/>
  <c r="AF1198" i="1"/>
  <c r="AH1198" i="1"/>
  <c r="AI1198" i="1"/>
  <c r="AG1198" i="1"/>
  <c r="AH1192" i="1"/>
  <c r="AF1192" i="1"/>
  <c r="AG1192" i="1"/>
  <c r="AI1192" i="1"/>
  <c r="AI1186" i="1"/>
  <c r="AH1186" i="1"/>
  <c r="AF1186" i="1"/>
  <c r="AF1180" i="1"/>
  <c r="AG1180" i="1"/>
  <c r="AI1180" i="1"/>
  <c r="AH1180" i="1"/>
  <c r="AG1174" i="1"/>
  <c r="AH1174" i="1"/>
  <c r="AF1174" i="1"/>
  <c r="AI1174" i="1"/>
  <c r="AH1168" i="1"/>
  <c r="AG1168" i="1"/>
  <c r="AF1168" i="1"/>
  <c r="AF1162" i="1"/>
  <c r="AH1162" i="1"/>
  <c r="AI1162" i="1"/>
  <c r="AG1162" i="1"/>
  <c r="AH1156" i="1"/>
  <c r="AF1156" i="1"/>
  <c r="AG1156" i="1"/>
  <c r="AI1156" i="1"/>
  <c r="AF1150" i="1"/>
  <c r="AH1150" i="1"/>
  <c r="AI1150" i="1"/>
  <c r="AF1144" i="1"/>
  <c r="AI1144" i="1"/>
  <c r="AG1144" i="1"/>
  <c r="AH1144" i="1"/>
  <c r="AF1138" i="1"/>
  <c r="AG1138" i="1"/>
  <c r="AH1138" i="1"/>
  <c r="AI1138" i="1"/>
  <c r="AF1132" i="1"/>
  <c r="AH1132" i="1"/>
  <c r="AI1132" i="1"/>
  <c r="AG1132" i="1"/>
  <c r="AI1126" i="1"/>
  <c r="AH1126" i="1"/>
  <c r="AG1126" i="1"/>
  <c r="AF1126" i="1"/>
  <c r="AI1120" i="1"/>
  <c r="AF1120" i="1"/>
  <c r="AG1120" i="1"/>
  <c r="AH1120" i="1"/>
  <c r="AI1114" i="1"/>
  <c r="AF1114" i="1"/>
  <c r="AH1114" i="1"/>
  <c r="AG1114" i="1"/>
  <c r="AF1108" i="1"/>
  <c r="AI1108" i="1"/>
  <c r="AG1108" i="1"/>
  <c r="AH1108" i="1"/>
  <c r="AI1102" i="1"/>
  <c r="AG1102" i="1"/>
  <c r="AH1102" i="1"/>
  <c r="AF1102" i="1"/>
  <c r="AI1096" i="1"/>
  <c r="AF1096" i="1"/>
  <c r="AH1096" i="1"/>
  <c r="AG1096" i="1"/>
  <c r="AI1090" i="1"/>
  <c r="AF1090" i="1"/>
  <c r="AG1090" i="1"/>
  <c r="AH1090" i="1"/>
  <c r="AI1084" i="1"/>
  <c r="AH1084" i="1"/>
  <c r="AF1084" i="1"/>
  <c r="AG1084" i="1"/>
  <c r="AI1078" i="1"/>
  <c r="AF1078" i="1"/>
  <c r="AH1078" i="1"/>
  <c r="AG1078" i="1"/>
  <c r="AI1072" i="1"/>
  <c r="AF1072" i="1"/>
  <c r="AG1072" i="1"/>
  <c r="AH1072" i="1"/>
  <c r="AF1066" i="1"/>
  <c r="AI1066" i="1"/>
  <c r="AG1066" i="1"/>
  <c r="AH1066" i="1"/>
  <c r="AI1060" i="1"/>
  <c r="AF1060" i="1"/>
  <c r="AH1060" i="1"/>
  <c r="AG1060" i="1"/>
  <c r="AI1054" i="1"/>
  <c r="AH1054" i="1"/>
  <c r="AF1054" i="1"/>
  <c r="AG1054" i="1"/>
  <c r="AI1048" i="1"/>
  <c r="AG1048" i="1"/>
  <c r="AF1048" i="1"/>
  <c r="AH1048" i="1"/>
  <c r="AI1042" i="1"/>
  <c r="AH1042" i="1"/>
  <c r="AG1042" i="1"/>
  <c r="AF1042" i="1"/>
  <c r="AF1036" i="1"/>
  <c r="AI1036" i="1"/>
  <c r="AG1036" i="1"/>
  <c r="AH1036" i="1"/>
  <c r="AF1030" i="1"/>
  <c r="AI1030" i="1"/>
  <c r="AG1030" i="1"/>
  <c r="AH1030" i="1"/>
  <c r="AI1024" i="1"/>
  <c r="AH1024" i="1"/>
  <c r="AG1024" i="1"/>
  <c r="AF1024" i="1"/>
  <c r="AI1018" i="1"/>
  <c r="AF1018" i="1"/>
  <c r="AH1018" i="1"/>
  <c r="AG1018" i="1"/>
  <c r="AI1012" i="1"/>
  <c r="AH1012" i="1"/>
  <c r="AF1012" i="1"/>
  <c r="AG1012" i="1"/>
  <c r="AI1006" i="1"/>
  <c r="AF1006" i="1"/>
  <c r="AH1006" i="1"/>
  <c r="AG1006" i="1"/>
  <c r="AI1000" i="1"/>
  <c r="AG1000" i="1"/>
  <c r="AF1000" i="1"/>
  <c r="AF994" i="1"/>
  <c r="AI994" i="1"/>
  <c r="AG994" i="1"/>
  <c r="AH994" i="1"/>
  <c r="AI988" i="1"/>
  <c r="AG988" i="1"/>
  <c r="AF988" i="1"/>
  <c r="AI982" i="1"/>
  <c r="AG982" i="1"/>
  <c r="AF982" i="1"/>
  <c r="AH982" i="1"/>
  <c r="AI976" i="1"/>
  <c r="AF976" i="1"/>
  <c r="AH976" i="1"/>
  <c r="AG976" i="1"/>
  <c r="AI970" i="1"/>
  <c r="AG970" i="1"/>
  <c r="AH970" i="1"/>
  <c r="AF970" i="1"/>
  <c r="AI964" i="1"/>
  <c r="AG964" i="1"/>
  <c r="AF964" i="1"/>
  <c r="AH964" i="1"/>
  <c r="AF958" i="1"/>
  <c r="AI958" i="1"/>
  <c r="AG958" i="1"/>
  <c r="AH958" i="1"/>
  <c r="AI952" i="1"/>
  <c r="AF952" i="1"/>
  <c r="AH952" i="1"/>
  <c r="AG952" i="1"/>
  <c r="AI946" i="1"/>
  <c r="AG946" i="1"/>
  <c r="AH946" i="1"/>
  <c r="AI940" i="1"/>
  <c r="AF940" i="1"/>
  <c r="AH940" i="1"/>
  <c r="AG940" i="1"/>
  <c r="AI934" i="1"/>
  <c r="AG934" i="1"/>
  <c r="AH934" i="1"/>
  <c r="AF934" i="1"/>
  <c r="AF928" i="1"/>
  <c r="AG928" i="1"/>
  <c r="AI928" i="1"/>
  <c r="AH928" i="1"/>
  <c r="AF922" i="1"/>
  <c r="AI922" i="1"/>
  <c r="AH922" i="1"/>
  <c r="AG922" i="1"/>
  <c r="AI916" i="1"/>
  <c r="AF916" i="1"/>
  <c r="AH916" i="1"/>
  <c r="AG916" i="1"/>
  <c r="AI910" i="1"/>
  <c r="AG910" i="1"/>
  <c r="AH910" i="1"/>
  <c r="AF910" i="1"/>
  <c r="AI904" i="1"/>
  <c r="AG904" i="1"/>
  <c r="AF904" i="1"/>
  <c r="AH904" i="1"/>
  <c r="AI898" i="1"/>
  <c r="AH898" i="1"/>
  <c r="AG898" i="1"/>
  <c r="AF898" i="1"/>
  <c r="AG892" i="1"/>
  <c r="AI892" i="1"/>
  <c r="AF892" i="1"/>
  <c r="AH892" i="1"/>
  <c r="AF886" i="1"/>
  <c r="AI886" i="1"/>
  <c r="AH886" i="1"/>
  <c r="AI880" i="1"/>
  <c r="AF880" i="1"/>
  <c r="AG880" i="1"/>
  <c r="AH880" i="1"/>
  <c r="AI874" i="1"/>
  <c r="AF874" i="1"/>
  <c r="AG874" i="1"/>
  <c r="AH874" i="1"/>
  <c r="AI868" i="1"/>
  <c r="AF868" i="1"/>
  <c r="AH868" i="1"/>
  <c r="AI862" i="1"/>
  <c r="AF862" i="1"/>
  <c r="AG862" i="1"/>
  <c r="AH862" i="1"/>
  <c r="AG856" i="1"/>
  <c r="AI856" i="1"/>
  <c r="AF856" i="1"/>
  <c r="AH856" i="1"/>
  <c r="AF850" i="1"/>
  <c r="AI850" i="1"/>
  <c r="AH850" i="1"/>
  <c r="AG850" i="1"/>
  <c r="AI844" i="1"/>
  <c r="AH844" i="1"/>
  <c r="AG844" i="1"/>
  <c r="AI838" i="1"/>
  <c r="AF838" i="1"/>
  <c r="AH838" i="1"/>
  <c r="AG838" i="1"/>
  <c r="AI832" i="1"/>
  <c r="AF832" i="1"/>
  <c r="AG832" i="1"/>
  <c r="AH832" i="1"/>
  <c r="AI826" i="1"/>
  <c r="AG826" i="1"/>
  <c r="AH826" i="1"/>
  <c r="AF826" i="1"/>
  <c r="AF820" i="1"/>
  <c r="AG820" i="1"/>
  <c r="AI820" i="1"/>
  <c r="AH820" i="1"/>
  <c r="AF814" i="1"/>
  <c r="AI814" i="1"/>
  <c r="AH814" i="1"/>
  <c r="AG814" i="1"/>
  <c r="AI808" i="1"/>
  <c r="AG808" i="1"/>
  <c r="AH808" i="1"/>
  <c r="AF808" i="1"/>
  <c r="AI802" i="1"/>
  <c r="AF802" i="1"/>
  <c r="AH802" i="1"/>
  <c r="AG802" i="1"/>
  <c r="AI796" i="1"/>
  <c r="AF796" i="1"/>
  <c r="AH796" i="1"/>
  <c r="AG796" i="1"/>
  <c r="AI790" i="1"/>
  <c r="AF790" i="1"/>
  <c r="AH790" i="1"/>
  <c r="AG790" i="1"/>
  <c r="AG784" i="1"/>
  <c r="AI784" i="1"/>
  <c r="AF784" i="1"/>
  <c r="AF778" i="1"/>
  <c r="AI778" i="1"/>
  <c r="AH778" i="1"/>
  <c r="AG778" i="1"/>
  <c r="AI772" i="1"/>
  <c r="AF772" i="1"/>
  <c r="AG772" i="1"/>
  <c r="AI766" i="1"/>
  <c r="AG766" i="1"/>
  <c r="AH766" i="1"/>
  <c r="AF766" i="1"/>
  <c r="AI760" i="1"/>
  <c r="AH760" i="1"/>
  <c r="AG760" i="1"/>
  <c r="AF760" i="1"/>
  <c r="AI754" i="1"/>
  <c r="AF754" i="1"/>
  <c r="AG754" i="1"/>
  <c r="AG748" i="1"/>
  <c r="AI748" i="1"/>
  <c r="AF748" i="1"/>
  <c r="AH748" i="1"/>
  <c r="AF742" i="1"/>
  <c r="AI742" i="1"/>
  <c r="AH742" i="1"/>
  <c r="AG742" i="1"/>
  <c r="AI736" i="1"/>
  <c r="AF736" i="1"/>
  <c r="AH736" i="1"/>
  <c r="AG736" i="1"/>
  <c r="AI730" i="1"/>
  <c r="AF730" i="1"/>
  <c r="AH730" i="1"/>
  <c r="AG730" i="1"/>
  <c r="AI724" i="1"/>
  <c r="AG724" i="1"/>
  <c r="AF724" i="1"/>
  <c r="AH724" i="1"/>
  <c r="AI718" i="1"/>
  <c r="AG718" i="1"/>
  <c r="AH718" i="1"/>
  <c r="AF712" i="1"/>
  <c r="AG712" i="1"/>
  <c r="AI712" i="1"/>
  <c r="AH712" i="1"/>
  <c r="AF706" i="1"/>
  <c r="AI706" i="1"/>
  <c r="AH706" i="1"/>
  <c r="AG706" i="1"/>
  <c r="AI700" i="1"/>
  <c r="AG700" i="1"/>
  <c r="AH700" i="1"/>
  <c r="AF700" i="1"/>
  <c r="AI694" i="1"/>
  <c r="AF694" i="1"/>
  <c r="AH694" i="1"/>
  <c r="AG694" i="1"/>
  <c r="AI688" i="1"/>
  <c r="AF688" i="1"/>
  <c r="AG688" i="1"/>
  <c r="AH688" i="1"/>
  <c r="AI682" i="1"/>
  <c r="AF682" i="1"/>
  <c r="AH682" i="1"/>
  <c r="AG676" i="1"/>
  <c r="AI676" i="1"/>
  <c r="AF676" i="1"/>
  <c r="AH676" i="1"/>
  <c r="AF670" i="1"/>
  <c r="AI670" i="1"/>
  <c r="AH670" i="1"/>
  <c r="AG670" i="1"/>
  <c r="AI664" i="1"/>
  <c r="AH664" i="1"/>
  <c r="AG664" i="1"/>
  <c r="AF664" i="1"/>
  <c r="AI658" i="1"/>
  <c r="AF658" i="1"/>
  <c r="AH658" i="1"/>
  <c r="AG658" i="1"/>
  <c r="AI652" i="1"/>
  <c r="AF652" i="1"/>
  <c r="AH652" i="1"/>
  <c r="AG652" i="1"/>
  <c r="AI646" i="1"/>
  <c r="AF646" i="1"/>
  <c r="AG646" i="1"/>
  <c r="AH646" i="1"/>
  <c r="AG640" i="1"/>
  <c r="AI640" i="1"/>
  <c r="AF640" i="1"/>
  <c r="AH640" i="1"/>
  <c r="AF634" i="1"/>
  <c r="AI634" i="1"/>
  <c r="AH634" i="1"/>
  <c r="AG634" i="1"/>
  <c r="AI628" i="1"/>
  <c r="AH628" i="1"/>
  <c r="AF628" i="1"/>
  <c r="AG628" i="1"/>
  <c r="AI622" i="1"/>
  <c r="AG622" i="1"/>
  <c r="AH622" i="1"/>
  <c r="AF622" i="1"/>
  <c r="AI616" i="1"/>
  <c r="AG616" i="1"/>
  <c r="AF616" i="1"/>
  <c r="AH616" i="1"/>
  <c r="AI610" i="1"/>
  <c r="AG610" i="1"/>
  <c r="AH610" i="1"/>
  <c r="AF610" i="1"/>
  <c r="AF604" i="1"/>
  <c r="AG604" i="1"/>
  <c r="AI604" i="1"/>
  <c r="AH604" i="1"/>
  <c r="AF598" i="1"/>
  <c r="AI598" i="1"/>
  <c r="AH598" i="1"/>
  <c r="AG598" i="1"/>
  <c r="AI592" i="1"/>
  <c r="AH592" i="1"/>
  <c r="AF592" i="1"/>
  <c r="AG592" i="1"/>
  <c r="AI586" i="1"/>
  <c r="AG586" i="1"/>
  <c r="AH586" i="1"/>
  <c r="AF586" i="1"/>
  <c r="AI580" i="1"/>
  <c r="AF580" i="1"/>
  <c r="AG580" i="1"/>
  <c r="AH580" i="1"/>
  <c r="AI574" i="1"/>
  <c r="AH574" i="1"/>
  <c r="AF574" i="1"/>
  <c r="AG574" i="1"/>
  <c r="AG568" i="1"/>
  <c r="AI568" i="1"/>
  <c r="AF568" i="1"/>
  <c r="AH568" i="1"/>
  <c r="AF562" i="1"/>
  <c r="AI562" i="1"/>
  <c r="AH562" i="1"/>
  <c r="AG562" i="1"/>
  <c r="AI556" i="1"/>
  <c r="AF556" i="1"/>
  <c r="AG556" i="1"/>
  <c r="AH556" i="1"/>
  <c r="AI550" i="1"/>
  <c r="AF550" i="1"/>
  <c r="AH550" i="1"/>
  <c r="AG550" i="1"/>
  <c r="AI544" i="1"/>
  <c r="AF544" i="1"/>
  <c r="AH544" i="1"/>
  <c r="AG544" i="1"/>
  <c r="AI538" i="1"/>
  <c r="AF538" i="1"/>
  <c r="AH538" i="1"/>
  <c r="AG538" i="1"/>
  <c r="AG532" i="1"/>
  <c r="AI532" i="1"/>
  <c r="AF532" i="1"/>
  <c r="AH532" i="1"/>
  <c r="AF526" i="1"/>
  <c r="AI526" i="1"/>
  <c r="AH526" i="1"/>
  <c r="AG526" i="1"/>
  <c r="AI520" i="1"/>
  <c r="AH520" i="1"/>
  <c r="AG520" i="1"/>
  <c r="AF520" i="1"/>
  <c r="AI514" i="1"/>
  <c r="AF514" i="1"/>
  <c r="AH514" i="1"/>
  <c r="AG514" i="1"/>
  <c r="AI508" i="1"/>
  <c r="AF508" i="1"/>
  <c r="AH508" i="1"/>
  <c r="AG508" i="1"/>
  <c r="AI502" i="1"/>
  <c r="AG502" i="1"/>
  <c r="AH502" i="1"/>
  <c r="AF502" i="1"/>
  <c r="AF496" i="1"/>
  <c r="AG496" i="1"/>
  <c r="AI496" i="1"/>
  <c r="AH496" i="1"/>
  <c r="AF490" i="1"/>
  <c r="AI490" i="1"/>
  <c r="AH490" i="1"/>
  <c r="AG490" i="1"/>
  <c r="AI484" i="1"/>
  <c r="AF484" i="1"/>
  <c r="AG484" i="1"/>
  <c r="AH484" i="1"/>
  <c r="AI478" i="1"/>
  <c r="AH478" i="1"/>
  <c r="AG478" i="1"/>
  <c r="AF478" i="1"/>
  <c r="AI472" i="1"/>
  <c r="AF472" i="1"/>
  <c r="AG472" i="1"/>
  <c r="AH472" i="1"/>
  <c r="AI466" i="1"/>
  <c r="AF466" i="1"/>
  <c r="AH466" i="1"/>
  <c r="AG466" i="1"/>
  <c r="AG460" i="1"/>
  <c r="AI460" i="1"/>
  <c r="AH460" i="1"/>
  <c r="AF454" i="1"/>
  <c r="AI454" i="1"/>
  <c r="AH454" i="1"/>
  <c r="AG454" i="1"/>
  <c r="AI448" i="1"/>
  <c r="AF448" i="1"/>
  <c r="AH448" i="1"/>
  <c r="AG448" i="1"/>
  <c r="AI442" i="1"/>
  <c r="AF442" i="1"/>
  <c r="AG442" i="1"/>
  <c r="AH442" i="1"/>
  <c r="AI436" i="1"/>
  <c r="AH436" i="1"/>
  <c r="AF436" i="1"/>
  <c r="AG436" i="1"/>
  <c r="AI430" i="1"/>
  <c r="AF430" i="1"/>
  <c r="AG430" i="1"/>
  <c r="AH430" i="1"/>
  <c r="AG424" i="1"/>
  <c r="AI424" i="1"/>
  <c r="AF424" i="1"/>
  <c r="AH424" i="1"/>
  <c r="AF418" i="1"/>
  <c r="AI418" i="1"/>
  <c r="AH418" i="1"/>
  <c r="AG418" i="1"/>
  <c r="AI412" i="1"/>
  <c r="AF412" i="1"/>
  <c r="AH412" i="1"/>
  <c r="AG412" i="1"/>
  <c r="AI406" i="1"/>
  <c r="AF406" i="1"/>
  <c r="AH406" i="1"/>
  <c r="AG406" i="1"/>
  <c r="AI400" i="1"/>
  <c r="AG400" i="1"/>
  <c r="AF400" i="1"/>
  <c r="AH400" i="1"/>
  <c r="AI394" i="1"/>
  <c r="AG394" i="1"/>
  <c r="AH394" i="1"/>
  <c r="AF394" i="1"/>
  <c r="AF388" i="1"/>
  <c r="AG388" i="1"/>
  <c r="AI388" i="1"/>
  <c r="AH388" i="1"/>
  <c r="AF382" i="1"/>
  <c r="AI382" i="1"/>
  <c r="AH382" i="1"/>
  <c r="AG382" i="1"/>
  <c r="AI376" i="1"/>
  <c r="AG376" i="1"/>
  <c r="AH376" i="1"/>
  <c r="AF376" i="1"/>
  <c r="AI370" i="1"/>
  <c r="AH370" i="1"/>
  <c r="AG370" i="1"/>
  <c r="AI364" i="1"/>
  <c r="AF364" i="1"/>
  <c r="AG364" i="1"/>
  <c r="AH364" i="1"/>
  <c r="AI358" i="1"/>
  <c r="AH358" i="1"/>
  <c r="AF358" i="1"/>
  <c r="AG358" i="1"/>
  <c r="AG352" i="1"/>
  <c r="AI352" i="1"/>
  <c r="AF352" i="1"/>
  <c r="AH352" i="1"/>
  <c r="AF346" i="1"/>
  <c r="AI346" i="1"/>
  <c r="AH346" i="1"/>
  <c r="AG346" i="1"/>
  <c r="AI340" i="1"/>
  <c r="AF340" i="1"/>
  <c r="AG340" i="1"/>
  <c r="AH340" i="1"/>
  <c r="AI334" i="1"/>
  <c r="AG334" i="1"/>
  <c r="AF334" i="1"/>
  <c r="AH334" i="1"/>
  <c r="AI328" i="1"/>
  <c r="AF328" i="1"/>
  <c r="AH328" i="1"/>
  <c r="AG328" i="1"/>
  <c r="AI322" i="1"/>
  <c r="AF322" i="1"/>
  <c r="AH322" i="1"/>
  <c r="AG322" i="1"/>
  <c r="AG316" i="1"/>
  <c r="AI316" i="1"/>
  <c r="AH316" i="1"/>
  <c r="AF316" i="1"/>
  <c r="AF310" i="1"/>
  <c r="AI310" i="1"/>
  <c r="AH310" i="1"/>
  <c r="AG310" i="1"/>
  <c r="AI304" i="1"/>
  <c r="AF304" i="1"/>
  <c r="AH304" i="1"/>
  <c r="AG304" i="1"/>
  <c r="AI298" i="1"/>
  <c r="AG298" i="1"/>
  <c r="AH298" i="1"/>
  <c r="AF298" i="1"/>
  <c r="AI292" i="1"/>
  <c r="AF292" i="1"/>
  <c r="AG292" i="1"/>
  <c r="AH292" i="1"/>
  <c r="AI286" i="1"/>
  <c r="AG286" i="1"/>
  <c r="AH286" i="1"/>
  <c r="AF286" i="1"/>
  <c r="AF280" i="1"/>
  <c r="AG280" i="1"/>
  <c r="AI280" i="1"/>
  <c r="AH280" i="1"/>
  <c r="AF274" i="1"/>
  <c r="AI274" i="1"/>
  <c r="AH274" i="1"/>
  <c r="AG274" i="1"/>
  <c r="AI268" i="1"/>
  <c r="AG268" i="1"/>
  <c r="AH268" i="1"/>
  <c r="AF268" i="1"/>
  <c r="AI262" i="1"/>
  <c r="AG262" i="1"/>
  <c r="AH262" i="1"/>
  <c r="AF262" i="1"/>
  <c r="AI256" i="1"/>
  <c r="AG256" i="1"/>
  <c r="AF256" i="1"/>
  <c r="AH256" i="1"/>
  <c r="AI250" i="1"/>
  <c r="AH250" i="1"/>
  <c r="AG250" i="1"/>
  <c r="AF250" i="1"/>
  <c r="AG244" i="1"/>
  <c r="AI244" i="1"/>
  <c r="AF244" i="1"/>
  <c r="AH244" i="1"/>
  <c r="AF238" i="1"/>
  <c r="AI238" i="1"/>
  <c r="AH238" i="1"/>
  <c r="AG238" i="1"/>
  <c r="AI232" i="1"/>
  <c r="AF232" i="1"/>
  <c r="AH232" i="1"/>
  <c r="AI226" i="1"/>
  <c r="AF226" i="1"/>
  <c r="AG226" i="1"/>
  <c r="AH226" i="1"/>
  <c r="AI220" i="1"/>
  <c r="AH220" i="1"/>
  <c r="AG220" i="1"/>
  <c r="AF220" i="1"/>
  <c r="AI214" i="1"/>
  <c r="AF214" i="1"/>
  <c r="AH214" i="1"/>
  <c r="AG208" i="1"/>
  <c r="AI208" i="1"/>
  <c r="AF208" i="1"/>
  <c r="AH208" i="1"/>
  <c r="AF202" i="1"/>
  <c r="AI202" i="1"/>
  <c r="AH202" i="1"/>
  <c r="AG202" i="1"/>
  <c r="AI196" i="1"/>
  <c r="AH196" i="1"/>
  <c r="AF196" i="1"/>
  <c r="AI190" i="1"/>
  <c r="AF190" i="1"/>
  <c r="AG190" i="1"/>
  <c r="AH190" i="1"/>
  <c r="AI184" i="1"/>
  <c r="AG184" i="1"/>
  <c r="AH184" i="1"/>
  <c r="O8" i="5"/>
  <c r="AF184" i="1"/>
  <c r="AI178" i="1"/>
  <c r="AG178" i="1"/>
  <c r="AH178" i="1"/>
  <c r="AF178" i="1"/>
  <c r="AF172" i="1"/>
  <c r="AG172" i="1"/>
  <c r="AI172" i="1"/>
  <c r="AH172" i="1"/>
  <c r="AF166" i="1"/>
  <c r="AI166" i="1"/>
  <c r="AH166" i="1"/>
  <c r="AG166" i="1"/>
  <c r="AI160" i="1"/>
  <c r="AF160" i="1"/>
  <c r="AG160" i="1"/>
  <c r="AH160" i="1"/>
  <c r="AI154" i="1"/>
  <c r="AF154" i="1"/>
  <c r="AG154" i="1"/>
  <c r="AH154" i="1"/>
  <c r="AI148" i="1"/>
  <c r="AF148" i="1"/>
  <c r="AG148" i="1"/>
  <c r="AH148" i="1"/>
  <c r="AI142" i="1"/>
  <c r="AF142" i="1"/>
  <c r="AH142" i="1"/>
  <c r="AG142" i="1"/>
  <c r="AG136" i="1"/>
  <c r="AI136" i="1"/>
  <c r="AF136" i="1"/>
  <c r="AH136" i="1"/>
  <c r="AF130" i="1"/>
  <c r="AI130" i="1"/>
  <c r="AH130" i="1"/>
  <c r="AG130" i="1"/>
  <c r="AI124" i="1"/>
  <c r="AF124" i="1"/>
  <c r="AG124" i="1"/>
  <c r="AH124" i="1"/>
  <c r="AI118" i="1"/>
  <c r="AF118" i="1"/>
  <c r="AH118" i="1"/>
  <c r="AG118" i="1"/>
  <c r="AI112" i="1"/>
  <c r="AH112" i="1"/>
  <c r="AG112" i="1"/>
  <c r="AF112" i="1"/>
  <c r="AI106" i="1"/>
  <c r="AF106" i="1"/>
  <c r="AG106" i="1"/>
  <c r="AH106" i="1"/>
  <c r="AG100" i="1"/>
  <c r="AI100" i="1"/>
  <c r="AF100" i="1"/>
  <c r="AH100" i="1"/>
  <c r="AF94" i="1"/>
  <c r="AI94" i="1"/>
  <c r="AH94" i="1"/>
  <c r="AG94" i="1"/>
  <c r="AI88" i="1"/>
  <c r="AF88" i="1"/>
  <c r="AH88" i="1"/>
  <c r="AI82" i="1"/>
  <c r="AH82" i="1"/>
  <c r="AF82" i="1"/>
  <c r="AG82" i="1"/>
  <c r="AI76" i="1"/>
  <c r="AG76" i="1"/>
  <c r="AF76" i="1"/>
  <c r="AH76" i="1"/>
  <c r="AI70" i="1"/>
  <c r="AG70" i="1"/>
  <c r="AH70" i="1"/>
  <c r="AF70" i="1"/>
  <c r="AF64" i="1"/>
  <c r="AG64" i="1"/>
  <c r="AI64" i="1"/>
  <c r="AH64" i="1"/>
  <c r="AF58" i="1"/>
  <c r="AI58" i="1"/>
  <c r="AH58" i="1"/>
  <c r="AG58" i="1"/>
  <c r="F10" i="5"/>
  <c r="AI52" i="1"/>
  <c r="AG52" i="1"/>
  <c r="AF52" i="1"/>
  <c r="AH52" i="1"/>
  <c r="AI46" i="1"/>
  <c r="AF46" i="1"/>
  <c r="AH46" i="1"/>
  <c r="X16" i="5"/>
  <c r="U16" i="5"/>
  <c r="Y16" i="5"/>
  <c r="V16" i="5"/>
  <c r="G16" i="5"/>
  <c r="AI40" i="1"/>
  <c r="AG40" i="1"/>
  <c r="AF40" i="1"/>
  <c r="AH40" i="1"/>
  <c r="AI34" i="1"/>
  <c r="AH34" i="1"/>
  <c r="AF34" i="1"/>
  <c r="AG34" i="1"/>
  <c r="AG28" i="1"/>
  <c r="AI28" i="1"/>
  <c r="Q29" i="5"/>
  <c r="N29" i="5"/>
  <c r="F29" i="5"/>
  <c r="H29" i="5" s="1"/>
  <c r="I29" i="5" s="1"/>
  <c r="D29" i="5"/>
  <c r="K29" i="5"/>
  <c r="M29" i="5"/>
  <c r="AH28" i="1"/>
  <c r="AF22" i="1"/>
  <c r="AI22" i="1"/>
  <c r="AH22" i="1"/>
  <c r="AG22" i="1"/>
  <c r="K2" i="5"/>
  <c r="L2" i="5"/>
  <c r="AA3" i="1"/>
  <c r="G3" i="5"/>
  <c r="G31" i="5"/>
  <c r="J29" i="5"/>
  <c r="Q8" i="5"/>
  <c r="M2" i="5"/>
  <c r="AF12" i="1"/>
  <c r="G9" i="5"/>
  <c r="T9" i="5"/>
  <c r="AF13" i="1"/>
  <c r="AF14" i="1"/>
  <c r="G29" i="5"/>
  <c r="AE37" i="6"/>
  <c r="U37" i="6"/>
  <c r="J37" i="6"/>
  <c r="S68" i="6"/>
  <c r="H68" i="6"/>
  <c r="AD67" i="6"/>
  <c r="S67" i="6"/>
  <c r="H67" i="6"/>
  <c r="AC66" i="6"/>
  <c r="R66" i="6"/>
  <c r="H66" i="6"/>
  <c r="AC65" i="6"/>
  <c r="R65" i="6"/>
  <c r="G65" i="6"/>
  <c r="AB64" i="6"/>
  <c r="AB63" i="6"/>
  <c r="Q63" i="6"/>
  <c r="F63" i="6"/>
  <c r="AB62" i="6"/>
  <c r="Q62" i="6"/>
  <c r="F62" i="6"/>
  <c r="AA61" i="6"/>
  <c r="P61" i="6"/>
  <c r="F61" i="6"/>
  <c r="AA60" i="6"/>
  <c r="P60" i="6"/>
  <c r="E60" i="6"/>
  <c r="Z59" i="6"/>
  <c r="P59" i="6"/>
  <c r="E59" i="6"/>
  <c r="Z58" i="6"/>
  <c r="O58" i="6"/>
  <c r="D58" i="6"/>
  <c r="O57" i="6"/>
  <c r="D57" i="6"/>
  <c r="Y56" i="6"/>
  <c r="N56" i="6"/>
  <c r="D56" i="6"/>
  <c r="Y55" i="6"/>
  <c r="N55" i="6"/>
  <c r="C55" i="6"/>
  <c r="X54" i="6"/>
  <c r="N54" i="6"/>
  <c r="C54" i="6"/>
  <c r="X53" i="6"/>
  <c r="M53" i="6"/>
  <c r="B53" i="6"/>
  <c r="X52" i="6"/>
  <c r="M52" i="6"/>
  <c r="B52" i="6"/>
  <c r="W51" i="6"/>
  <c r="L51" i="6"/>
  <c r="B51" i="6"/>
  <c r="W50" i="6"/>
  <c r="L50" i="6"/>
  <c r="AG49" i="6"/>
  <c r="V49" i="6"/>
  <c r="L49" i="6"/>
  <c r="AG48" i="6"/>
  <c r="V48" i="6"/>
  <c r="K48" i="6"/>
  <c r="AF47" i="6"/>
  <c r="V47" i="6"/>
  <c r="K47" i="6"/>
  <c r="AF46" i="6"/>
  <c r="U46" i="6"/>
  <c r="J46" i="6"/>
  <c r="AF45" i="6"/>
  <c r="U45" i="6"/>
  <c r="J45" i="6"/>
  <c r="AE44" i="6"/>
  <c r="T44" i="6"/>
  <c r="AE43" i="6"/>
  <c r="T43" i="6"/>
  <c r="I43" i="6"/>
  <c r="AD42" i="6"/>
  <c r="T42" i="6"/>
  <c r="I42" i="6"/>
  <c r="AD41" i="6"/>
  <c r="S41" i="6"/>
  <c r="H41" i="6"/>
  <c r="AD40" i="6"/>
  <c r="S40" i="6"/>
  <c r="H40" i="6"/>
  <c r="AC39" i="6"/>
  <c r="P39" i="6"/>
  <c r="D39" i="6"/>
  <c r="R38" i="6"/>
  <c r="D38" i="6"/>
  <c r="AI1336" i="1"/>
  <c r="AF370" i="1"/>
  <c r="W1345" i="1"/>
  <c r="X1345" i="1"/>
  <c r="X1339" i="1"/>
  <c r="W1339" i="1"/>
  <c r="W1333" i="1"/>
  <c r="X1333" i="1"/>
  <c r="W1327" i="1"/>
  <c r="X1327" i="1"/>
  <c r="W1321" i="1"/>
  <c r="X1321" i="1"/>
  <c r="W1315" i="1"/>
  <c r="X1315" i="1"/>
  <c r="W1309" i="1"/>
  <c r="X1309" i="1"/>
  <c r="W1303" i="1"/>
  <c r="X1303" i="1"/>
  <c r="W1297" i="1"/>
  <c r="X1297" i="1"/>
  <c r="W1291" i="1"/>
  <c r="X1291" i="1"/>
  <c r="W1285" i="1"/>
  <c r="X1285" i="1"/>
  <c r="W1279" i="1"/>
  <c r="X1279" i="1"/>
  <c r="W1273" i="1"/>
  <c r="X1273" i="1"/>
  <c r="W1267" i="1"/>
  <c r="X1267" i="1"/>
  <c r="W1261" i="1"/>
  <c r="X1261" i="1"/>
  <c r="W1255" i="1"/>
  <c r="X1255" i="1"/>
  <c r="W1249" i="1"/>
  <c r="X1249" i="1"/>
  <c r="W1243" i="1"/>
  <c r="X1243" i="1"/>
  <c r="W1237" i="1"/>
  <c r="X1237" i="1"/>
  <c r="W1231" i="1"/>
  <c r="X1231" i="1"/>
  <c r="W1225" i="1"/>
  <c r="X1225" i="1"/>
  <c r="X1219" i="1"/>
  <c r="W1219" i="1"/>
  <c r="W1213" i="1"/>
  <c r="X1213" i="1"/>
  <c r="W1207" i="1"/>
  <c r="X1207" i="1"/>
  <c r="W1201" i="1"/>
  <c r="X1201" i="1"/>
  <c r="X1195" i="1"/>
  <c r="W1195" i="1"/>
  <c r="W1189" i="1"/>
  <c r="X1189" i="1"/>
  <c r="W1183" i="1"/>
  <c r="X1183" i="1"/>
  <c r="W1177" i="1"/>
  <c r="X1177" i="1"/>
  <c r="W1171" i="1"/>
  <c r="X1171" i="1"/>
  <c r="X1165" i="1"/>
  <c r="W1165" i="1"/>
  <c r="W1159" i="1"/>
  <c r="X1159" i="1"/>
  <c r="W1153" i="1"/>
  <c r="X1153" i="1"/>
  <c r="W1147" i="1"/>
  <c r="X1147" i="1"/>
  <c r="X1141" i="1"/>
  <c r="W1141" i="1"/>
  <c r="W1135" i="1"/>
  <c r="X1135" i="1"/>
  <c r="W1129" i="1"/>
  <c r="X1129" i="1"/>
  <c r="W1123" i="1"/>
  <c r="X1123" i="1"/>
  <c r="W1117" i="1"/>
  <c r="X1117" i="1"/>
  <c r="W1111" i="1"/>
  <c r="X1111" i="1"/>
  <c r="W1105" i="1"/>
  <c r="X1105" i="1"/>
  <c r="W1099" i="1"/>
  <c r="X1099" i="1"/>
  <c r="W1093" i="1"/>
  <c r="X1093" i="1"/>
  <c r="W1087" i="1"/>
  <c r="X1087" i="1"/>
  <c r="W1081" i="1"/>
  <c r="X1081" i="1"/>
  <c r="W1075" i="1"/>
  <c r="X1075" i="1"/>
  <c r="W1069" i="1"/>
  <c r="X1069" i="1"/>
  <c r="W1063" i="1"/>
  <c r="X1063" i="1"/>
  <c r="W1057" i="1"/>
  <c r="X1057" i="1"/>
  <c r="W1051" i="1"/>
  <c r="X1051" i="1"/>
  <c r="W1045" i="1"/>
  <c r="X1045" i="1"/>
  <c r="W1039" i="1"/>
  <c r="X1039" i="1"/>
  <c r="W1033" i="1"/>
  <c r="X1033" i="1"/>
  <c r="W1027" i="1"/>
  <c r="X1027" i="1"/>
  <c r="W1021" i="1"/>
  <c r="X1021" i="1"/>
  <c r="W1015" i="1"/>
  <c r="X1015" i="1"/>
  <c r="W1009" i="1"/>
  <c r="X1009" i="1"/>
  <c r="W1003" i="1"/>
  <c r="X1003" i="1"/>
  <c r="X997" i="1"/>
  <c r="W997" i="1"/>
  <c r="W991" i="1"/>
  <c r="X991" i="1"/>
  <c r="W985" i="1"/>
  <c r="X985" i="1"/>
  <c r="W979" i="1"/>
  <c r="X979" i="1"/>
  <c r="W973" i="1"/>
  <c r="X973" i="1"/>
  <c r="W967" i="1"/>
  <c r="X967" i="1"/>
  <c r="W961" i="1"/>
  <c r="X961" i="1"/>
  <c r="W955" i="1"/>
  <c r="X955" i="1"/>
  <c r="W949" i="1"/>
  <c r="X949" i="1"/>
  <c r="W943" i="1"/>
  <c r="X943" i="1"/>
  <c r="W937" i="1"/>
  <c r="X937" i="1"/>
  <c r="W931" i="1"/>
  <c r="X931" i="1"/>
  <c r="W925" i="1"/>
  <c r="X925" i="1"/>
  <c r="W919" i="1"/>
  <c r="X919" i="1"/>
  <c r="W913" i="1"/>
  <c r="X913" i="1"/>
  <c r="X907" i="1"/>
  <c r="W907" i="1"/>
  <c r="W901" i="1"/>
  <c r="X901" i="1"/>
  <c r="W895" i="1"/>
  <c r="X895" i="1"/>
  <c r="W889" i="1"/>
  <c r="X889" i="1"/>
  <c r="W883" i="1"/>
  <c r="X883" i="1"/>
  <c r="W877" i="1"/>
  <c r="X877" i="1"/>
  <c r="W871" i="1"/>
  <c r="X871" i="1"/>
  <c r="W865" i="1"/>
  <c r="X865" i="1"/>
  <c r="W859" i="1"/>
  <c r="X859" i="1"/>
  <c r="W853" i="1"/>
  <c r="X853" i="1"/>
  <c r="W847" i="1"/>
  <c r="X847" i="1"/>
  <c r="W841" i="1"/>
  <c r="X841" i="1"/>
  <c r="X835" i="1"/>
  <c r="W835" i="1"/>
  <c r="W829" i="1"/>
  <c r="X829" i="1"/>
  <c r="W823" i="1"/>
  <c r="X823" i="1"/>
  <c r="W817" i="1"/>
  <c r="X817" i="1"/>
  <c r="W811" i="1"/>
  <c r="X811" i="1"/>
  <c r="W805" i="1"/>
  <c r="X805" i="1"/>
  <c r="W799" i="1"/>
  <c r="X799" i="1"/>
  <c r="W793" i="1"/>
  <c r="X793" i="1"/>
  <c r="W787" i="1"/>
  <c r="X787" i="1"/>
  <c r="W781" i="1"/>
  <c r="X781" i="1"/>
  <c r="W775" i="1"/>
  <c r="X775" i="1"/>
  <c r="W769" i="1"/>
  <c r="X769" i="1"/>
  <c r="W763" i="1"/>
  <c r="X763" i="1"/>
  <c r="W757" i="1"/>
  <c r="X757" i="1"/>
  <c r="W751" i="1"/>
  <c r="X751" i="1"/>
  <c r="X745" i="1"/>
  <c r="W745" i="1"/>
  <c r="W739" i="1"/>
  <c r="X739" i="1"/>
  <c r="W733" i="1"/>
  <c r="X733" i="1"/>
  <c r="W727" i="1"/>
  <c r="X727" i="1"/>
  <c r="W721" i="1"/>
  <c r="X721" i="1"/>
  <c r="W715" i="1"/>
  <c r="X715" i="1"/>
  <c r="W709" i="1"/>
  <c r="X709" i="1"/>
  <c r="W703" i="1"/>
  <c r="X703" i="1"/>
  <c r="W697" i="1"/>
  <c r="X697" i="1"/>
  <c r="W691" i="1"/>
  <c r="X691" i="1"/>
  <c r="W685" i="1"/>
  <c r="X685" i="1"/>
  <c r="W679" i="1"/>
  <c r="X679" i="1"/>
  <c r="X673" i="1"/>
  <c r="W673" i="1"/>
  <c r="W667" i="1"/>
  <c r="X667" i="1"/>
  <c r="W661" i="1"/>
  <c r="X661" i="1"/>
  <c r="W655" i="1"/>
  <c r="X655" i="1"/>
  <c r="W649" i="1"/>
  <c r="X649" i="1"/>
  <c r="X643" i="1"/>
  <c r="W643" i="1"/>
  <c r="X637" i="1"/>
  <c r="W637" i="1"/>
  <c r="W631" i="1"/>
  <c r="X631" i="1"/>
  <c r="X625" i="1"/>
  <c r="W625" i="1"/>
  <c r="X619" i="1"/>
  <c r="W619" i="1"/>
  <c r="W613" i="1"/>
  <c r="X613" i="1"/>
  <c r="X607" i="1"/>
  <c r="W607" i="1"/>
  <c r="X601" i="1"/>
  <c r="W601" i="1"/>
  <c r="W595" i="1"/>
  <c r="X595" i="1"/>
  <c r="X589" i="1"/>
  <c r="W589" i="1"/>
  <c r="X583" i="1"/>
  <c r="W583" i="1"/>
  <c r="W577" i="1"/>
  <c r="X577" i="1"/>
  <c r="X571" i="1"/>
  <c r="W571" i="1"/>
  <c r="W565" i="1"/>
  <c r="X565" i="1"/>
  <c r="W559" i="1"/>
  <c r="X559" i="1"/>
  <c r="X553" i="1"/>
  <c r="W553" i="1"/>
  <c r="W547" i="1"/>
  <c r="X547" i="1"/>
  <c r="W541" i="1"/>
  <c r="X541" i="1"/>
  <c r="X535" i="1"/>
  <c r="W535" i="1"/>
  <c r="X529" i="1"/>
  <c r="W529" i="1"/>
  <c r="W523" i="1"/>
  <c r="X523" i="1"/>
  <c r="W517" i="1"/>
  <c r="X517" i="1"/>
  <c r="X511" i="1"/>
  <c r="W511" i="1"/>
  <c r="W505" i="1"/>
  <c r="X505" i="1"/>
  <c r="W499" i="1"/>
  <c r="X499" i="1"/>
  <c r="W493" i="1"/>
  <c r="X493" i="1"/>
  <c r="W487" i="1"/>
  <c r="X487" i="1"/>
  <c r="X481" i="1"/>
  <c r="W481" i="1"/>
  <c r="X475" i="1"/>
  <c r="W475" i="1"/>
  <c r="W469" i="1"/>
  <c r="X469" i="1"/>
  <c r="W463" i="1"/>
  <c r="X463" i="1"/>
  <c r="X457" i="1"/>
  <c r="W457" i="1"/>
  <c r="W451" i="1"/>
  <c r="X451" i="1"/>
  <c r="W445" i="1"/>
  <c r="X445" i="1"/>
  <c r="W439" i="1"/>
  <c r="X439" i="1"/>
  <c r="W433" i="1"/>
  <c r="X433" i="1"/>
  <c r="X427" i="1"/>
  <c r="W427" i="1"/>
  <c r="X421" i="1"/>
  <c r="W421" i="1"/>
  <c r="W415" i="1"/>
  <c r="X415" i="1"/>
  <c r="W409" i="1"/>
  <c r="X409" i="1"/>
  <c r="X403" i="1"/>
  <c r="W403" i="1"/>
  <c r="W397" i="1"/>
  <c r="X397" i="1"/>
  <c r="W391" i="1"/>
  <c r="X391" i="1"/>
  <c r="W385" i="1"/>
  <c r="X385" i="1"/>
  <c r="W379" i="1"/>
  <c r="X379" i="1"/>
  <c r="X373" i="1"/>
  <c r="W373" i="1"/>
  <c r="X367" i="1"/>
  <c r="W367" i="1"/>
  <c r="W361" i="1"/>
  <c r="X361" i="1"/>
  <c r="W355" i="1"/>
  <c r="X355" i="1"/>
  <c r="X349" i="1"/>
  <c r="W349" i="1"/>
  <c r="W343" i="1"/>
  <c r="X343" i="1"/>
  <c r="W337" i="1"/>
  <c r="X337" i="1"/>
  <c r="W331" i="1"/>
  <c r="X331" i="1"/>
  <c r="W325" i="1"/>
  <c r="X325" i="1"/>
  <c r="X319" i="1"/>
  <c r="W319" i="1"/>
  <c r="X313" i="1"/>
  <c r="W313" i="1"/>
  <c r="W307" i="1"/>
  <c r="X307" i="1"/>
  <c r="W301" i="1"/>
  <c r="X301" i="1"/>
  <c r="X295" i="1"/>
  <c r="W295" i="1"/>
  <c r="W289" i="1"/>
  <c r="X289" i="1"/>
  <c r="W283" i="1"/>
  <c r="X283" i="1"/>
  <c r="W277" i="1"/>
  <c r="X277" i="1"/>
  <c r="W271" i="1"/>
  <c r="X271" i="1"/>
  <c r="X265" i="1"/>
  <c r="W265" i="1"/>
  <c r="X259" i="1"/>
  <c r="W259" i="1"/>
  <c r="W253" i="1"/>
  <c r="X253" i="1"/>
  <c r="W247" i="1"/>
  <c r="X247" i="1"/>
  <c r="X241" i="1"/>
  <c r="W241" i="1"/>
  <c r="W235" i="1"/>
  <c r="X235" i="1"/>
  <c r="W229" i="1"/>
  <c r="X229" i="1"/>
  <c r="W223" i="1"/>
  <c r="X223" i="1"/>
  <c r="W217" i="1"/>
  <c r="X217" i="1"/>
  <c r="X211" i="1"/>
  <c r="W211" i="1"/>
  <c r="X205" i="1"/>
  <c r="W205" i="1"/>
  <c r="W199" i="1"/>
  <c r="X199" i="1"/>
  <c r="W193" i="1"/>
  <c r="X193" i="1"/>
  <c r="X187" i="1"/>
  <c r="W187" i="1"/>
  <c r="W181" i="1"/>
  <c r="X181" i="1"/>
  <c r="W175" i="1"/>
  <c r="X175" i="1"/>
  <c r="W169" i="1"/>
  <c r="X169" i="1"/>
  <c r="W163" i="1"/>
  <c r="X163" i="1"/>
  <c r="X157" i="1"/>
  <c r="W157" i="1"/>
  <c r="X151" i="1"/>
  <c r="W151" i="1"/>
  <c r="W145" i="1"/>
  <c r="X145" i="1"/>
  <c r="W139" i="1"/>
  <c r="X139" i="1"/>
  <c r="X133" i="1"/>
  <c r="W133" i="1"/>
  <c r="W127" i="1"/>
  <c r="X127" i="1"/>
  <c r="W121" i="1"/>
  <c r="X121" i="1"/>
  <c r="W115" i="1"/>
  <c r="X115" i="1"/>
  <c r="W109" i="1"/>
  <c r="X109" i="1"/>
  <c r="X103" i="1"/>
  <c r="W103" i="1"/>
  <c r="X97" i="1"/>
  <c r="W97" i="1"/>
  <c r="W91" i="1"/>
  <c r="X91" i="1"/>
  <c r="W85" i="1"/>
  <c r="X85" i="1"/>
  <c r="X79" i="1"/>
  <c r="W79" i="1"/>
  <c r="W73" i="1"/>
  <c r="X73" i="1"/>
  <c r="W67" i="1"/>
  <c r="X67" i="1"/>
  <c r="W61" i="1"/>
  <c r="X61" i="1"/>
  <c r="W55" i="1"/>
  <c r="X55" i="1"/>
  <c r="X49" i="1"/>
  <c r="W49" i="1"/>
  <c r="X43" i="1"/>
  <c r="W43" i="1"/>
  <c r="W37" i="1"/>
  <c r="X37" i="1"/>
  <c r="W31" i="1"/>
  <c r="X31" i="1"/>
  <c r="X25" i="1"/>
  <c r="W25" i="1"/>
  <c r="AF1344" i="1"/>
  <c r="AI1344" i="1"/>
  <c r="AF1338" i="1"/>
  <c r="AI1338" i="1"/>
  <c r="AG1338" i="1"/>
  <c r="AG1332" i="1"/>
  <c r="AH1332" i="1"/>
  <c r="AI1332" i="1"/>
  <c r="AF1326" i="1"/>
  <c r="AH1326" i="1"/>
  <c r="AF1320" i="1"/>
  <c r="AG1320" i="1"/>
  <c r="AH1320" i="1"/>
  <c r="AG1314" i="1"/>
  <c r="AH1314" i="1"/>
  <c r="AF1308" i="1"/>
  <c r="AH1308" i="1"/>
  <c r="AG1308" i="1"/>
  <c r="AF1302" i="1"/>
  <c r="AI1302" i="1"/>
  <c r="AH1302" i="1"/>
  <c r="AG1302" i="1"/>
  <c r="AG1296" i="1"/>
  <c r="AH1296" i="1"/>
  <c r="AF1296" i="1"/>
  <c r="AI1296" i="1"/>
  <c r="AH1284" i="1"/>
  <c r="AF1284" i="1"/>
  <c r="AG1284" i="1"/>
  <c r="AI1284" i="1"/>
  <c r="AF1278" i="1"/>
  <c r="AI1278" i="1"/>
  <c r="AH1272" i="1"/>
  <c r="AF1272" i="1"/>
  <c r="AF1266" i="1"/>
  <c r="AH1266" i="1"/>
  <c r="AI1266" i="1"/>
  <c r="AG1260" i="1"/>
  <c r="AH1260" i="1"/>
  <c r="AF1260" i="1"/>
  <c r="AI1260" i="1"/>
  <c r="AF1254" i="1"/>
  <c r="AG1254" i="1"/>
  <c r="AH1254" i="1"/>
  <c r="AI1254" i="1"/>
  <c r="AF1248" i="1"/>
  <c r="AH1248" i="1"/>
  <c r="AI1248" i="1"/>
  <c r="AH1242" i="1"/>
  <c r="AF1242" i="1"/>
  <c r="AF1236" i="1"/>
  <c r="AG1236" i="1"/>
  <c r="AH1236" i="1"/>
  <c r="AI1236" i="1"/>
  <c r="AF1230" i="1"/>
  <c r="AI1230" i="1"/>
  <c r="AG1230" i="1"/>
  <c r="AH1230" i="1"/>
  <c r="AG1224" i="1"/>
  <c r="AH1224" i="1"/>
  <c r="AF1224" i="1"/>
  <c r="AI1224" i="1"/>
  <c r="AF1218" i="1"/>
  <c r="AG1218" i="1"/>
  <c r="AF1212" i="1"/>
  <c r="AG1212" i="1"/>
  <c r="AH1212" i="1"/>
  <c r="AF1200" i="1"/>
  <c r="AH1200" i="1"/>
  <c r="AG1200" i="1"/>
  <c r="AI1200" i="1"/>
  <c r="AF1194" i="1"/>
  <c r="AI1194" i="1"/>
  <c r="AH1194" i="1"/>
  <c r="AG1188" i="1"/>
  <c r="AH1188" i="1"/>
  <c r="AF1188" i="1"/>
  <c r="AI1188" i="1"/>
  <c r="AF1182" i="1"/>
  <c r="AG1182" i="1"/>
  <c r="AI1182" i="1"/>
  <c r="AH1182" i="1"/>
  <c r="AH1176" i="1"/>
  <c r="AG1176" i="1"/>
  <c r="AF1170" i="1"/>
  <c r="AI1170" i="1"/>
  <c r="AF1158" i="1"/>
  <c r="AH1158" i="1"/>
  <c r="AI1158" i="1"/>
  <c r="AG1152" i="1"/>
  <c r="AH1152" i="1"/>
  <c r="AF1152" i="1"/>
  <c r="AI1152" i="1"/>
  <c r="AF1146" i="1"/>
  <c r="AG1146" i="1"/>
  <c r="AF1140" i="1"/>
  <c r="AI1140" i="1"/>
  <c r="AH1134" i="1"/>
  <c r="AF1134" i="1"/>
  <c r="AI1134" i="1"/>
  <c r="AG1134" i="1"/>
  <c r="AF1128" i="1"/>
  <c r="AG1128" i="1"/>
  <c r="AG1116" i="1"/>
  <c r="AH1116" i="1"/>
  <c r="AI1116" i="1"/>
  <c r="AF1110" i="1"/>
  <c r="AG1110" i="1"/>
  <c r="AI1110" i="1"/>
  <c r="AF1104" i="1"/>
  <c r="AH1104" i="1"/>
  <c r="AG1098" i="1"/>
  <c r="AF1098" i="1"/>
  <c r="AF1092" i="1"/>
  <c r="AH1092" i="1"/>
  <c r="AG1092" i="1"/>
  <c r="AF1086" i="1"/>
  <c r="AH1086" i="1"/>
  <c r="AI1086" i="1"/>
  <c r="AF1080" i="1"/>
  <c r="AG1080" i="1"/>
  <c r="AH1080" i="1"/>
  <c r="AI1080" i="1"/>
  <c r="AF1068" i="1"/>
  <c r="AH1068" i="1"/>
  <c r="AF1056" i="1"/>
  <c r="AH1056" i="1"/>
  <c r="AI1056" i="1"/>
  <c r="AH1050" i="1"/>
  <c r="AF1050" i="1"/>
  <c r="AI1050" i="1"/>
  <c r="AG1050" i="1"/>
  <c r="AF1044" i="1"/>
  <c r="AG1044" i="1"/>
  <c r="AH1044" i="1"/>
  <c r="AI1044" i="1"/>
  <c r="AG1038" i="1"/>
  <c r="AI1038" i="1"/>
  <c r="AF1032" i="1"/>
  <c r="AI1032" i="1"/>
  <c r="AH1032" i="1"/>
  <c r="AH1026" i="1"/>
  <c r="AI1026" i="1"/>
  <c r="AF1026" i="1"/>
  <c r="AG1026" i="1"/>
  <c r="AI1020" i="1"/>
  <c r="AH1020" i="1"/>
  <c r="AF1014" i="1"/>
  <c r="AG1014" i="1"/>
  <c r="AF1008" i="1"/>
  <c r="AG1008" i="1"/>
  <c r="AH1008" i="1"/>
  <c r="AI1008" i="1"/>
  <c r="AF1002" i="1"/>
  <c r="AG1002" i="1"/>
  <c r="AG996" i="1"/>
  <c r="AH996" i="1"/>
  <c r="AF996" i="1"/>
  <c r="AI996" i="1"/>
  <c r="AG990" i="1"/>
  <c r="AF990" i="1"/>
  <c r="AI990" i="1"/>
  <c r="AF984" i="1"/>
  <c r="AH984" i="1"/>
  <c r="AH978" i="1"/>
  <c r="AI978" i="1"/>
  <c r="AG978" i="1"/>
  <c r="AF972" i="1"/>
  <c r="AG972" i="1"/>
  <c r="AH972" i="1"/>
  <c r="AI972" i="1"/>
  <c r="AF966" i="1"/>
  <c r="AG966" i="1"/>
  <c r="AH960" i="1"/>
  <c r="AG960" i="1"/>
  <c r="AF954" i="1"/>
  <c r="AH954" i="1"/>
  <c r="AI954" i="1"/>
  <c r="AF948" i="1"/>
  <c r="AH948" i="1"/>
  <c r="AG948" i="1"/>
  <c r="AI948" i="1"/>
  <c r="AG942" i="1"/>
  <c r="AF942" i="1"/>
  <c r="AH942" i="1"/>
  <c r="AI942" i="1"/>
  <c r="AF936" i="1"/>
  <c r="AH936" i="1"/>
  <c r="AI936" i="1"/>
  <c r="AF930" i="1"/>
  <c r="AI930" i="1"/>
  <c r="AI924" i="1"/>
  <c r="AF924" i="1"/>
  <c r="AG918" i="1"/>
  <c r="AH918" i="1"/>
  <c r="AF900" i="1"/>
  <c r="AG900" i="1"/>
  <c r="AH900" i="1"/>
  <c r="AI900" i="1"/>
  <c r="AF894" i="1"/>
  <c r="AH894" i="1"/>
  <c r="AG894" i="1"/>
  <c r="AI894" i="1"/>
  <c r="AF888" i="1"/>
  <c r="AH888" i="1"/>
  <c r="AI888" i="1"/>
  <c r="AH882" i="1"/>
  <c r="AG882" i="1"/>
  <c r="AH876" i="1"/>
  <c r="AG876" i="1"/>
  <c r="AI876" i="1"/>
  <c r="AG870" i="1"/>
  <c r="AH870" i="1"/>
  <c r="AF870" i="1"/>
  <c r="AF864" i="1"/>
  <c r="AH864" i="1"/>
  <c r="AI864" i="1"/>
  <c r="AF852" i="1"/>
  <c r="AH852" i="1"/>
  <c r="AF846" i="1"/>
  <c r="AG846" i="1"/>
  <c r="AI846" i="1"/>
  <c r="AF840" i="1"/>
  <c r="AH840" i="1"/>
  <c r="AI840" i="1"/>
  <c r="AG834" i="1"/>
  <c r="AH834" i="1"/>
  <c r="AF834" i="1"/>
  <c r="AF828" i="1"/>
  <c r="AH828" i="1"/>
  <c r="AI828" i="1"/>
  <c r="AF822" i="1"/>
  <c r="AI822" i="1"/>
  <c r="AH822" i="1"/>
  <c r="AF810" i="1"/>
  <c r="AH810" i="1"/>
  <c r="AI810" i="1"/>
  <c r="AF804" i="1"/>
  <c r="AG804" i="1"/>
  <c r="AG798" i="1"/>
  <c r="AF798" i="1"/>
  <c r="AH798" i="1"/>
  <c r="AF792" i="1"/>
  <c r="AG792" i="1"/>
  <c r="AH792" i="1"/>
  <c r="AI792" i="1"/>
  <c r="AF786" i="1"/>
  <c r="AI786" i="1"/>
  <c r="AG780" i="1"/>
  <c r="AF780" i="1"/>
  <c r="AH780" i="1"/>
  <c r="AF774" i="1"/>
  <c r="AG774" i="1"/>
  <c r="AF768" i="1"/>
  <c r="AH768" i="1"/>
  <c r="AG762" i="1"/>
  <c r="AF762" i="1"/>
  <c r="AH762" i="1"/>
  <c r="AI762" i="1"/>
  <c r="AF756" i="1"/>
  <c r="AH756" i="1"/>
  <c r="AI756" i="1"/>
  <c r="AG756" i="1"/>
  <c r="AF750" i="1"/>
  <c r="AH750" i="1"/>
  <c r="AF744" i="1"/>
  <c r="AH744" i="1"/>
  <c r="AI738" i="1"/>
  <c r="AH738" i="1"/>
  <c r="AG732" i="1"/>
  <c r="AH732" i="1"/>
  <c r="AF732" i="1"/>
  <c r="AI732" i="1"/>
  <c r="AG726" i="1"/>
  <c r="AH726" i="1"/>
  <c r="AI726" i="1"/>
  <c r="AF720" i="1"/>
  <c r="AH720" i="1"/>
  <c r="AI720" i="1"/>
  <c r="AI714" i="1"/>
  <c r="AG714" i="1"/>
  <c r="AF708" i="1"/>
  <c r="AI708" i="1"/>
  <c r="AH702" i="1"/>
  <c r="AG702" i="1"/>
  <c r="AI702" i="1"/>
  <c r="AF702" i="1"/>
  <c r="AF696" i="1"/>
  <c r="AG696" i="1"/>
  <c r="AI696" i="1"/>
  <c r="AG690" i="1"/>
  <c r="AF690" i="1"/>
  <c r="AF684" i="1"/>
  <c r="AG684" i="1"/>
  <c r="AH684" i="1"/>
  <c r="AI684" i="1"/>
  <c r="AF678" i="1"/>
  <c r="AG678" i="1"/>
  <c r="AH678" i="1"/>
  <c r="AH672" i="1"/>
  <c r="AI672" i="1"/>
  <c r="AF666" i="1"/>
  <c r="AI666" i="1"/>
  <c r="AH666" i="1"/>
  <c r="AF660" i="1"/>
  <c r="AH660" i="1"/>
  <c r="AG654" i="1"/>
  <c r="AH654" i="1"/>
  <c r="AI654" i="1"/>
  <c r="AF648" i="1"/>
  <c r="AH648" i="1"/>
  <c r="AI648" i="1"/>
  <c r="AG648" i="1"/>
  <c r="AH636" i="1"/>
  <c r="AG636" i="1"/>
  <c r="AF630" i="1"/>
  <c r="AI630" i="1"/>
  <c r="AF624" i="1"/>
  <c r="AH624" i="1"/>
  <c r="AG624" i="1"/>
  <c r="AI624" i="1"/>
  <c r="AG618" i="1"/>
  <c r="AF618" i="1"/>
  <c r="AH618" i="1"/>
  <c r="AI618" i="1"/>
  <c r="AF612" i="1"/>
  <c r="AH612" i="1"/>
  <c r="AI612" i="1"/>
  <c r="AG612" i="1"/>
  <c r="AF606" i="1"/>
  <c r="AI606" i="1"/>
  <c r="AH606" i="1"/>
  <c r="AI600" i="1"/>
  <c r="AH600" i="1"/>
  <c r="AG594" i="1"/>
  <c r="AH594" i="1"/>
  <c r="AG582" i="1"/>
  <c r="AH582" i="1"/>
  <c r="AF576" i="1"/>
  <c r="AG576" i="1"/>
  <c r="AH576" i="1"/>
  <c r="AI576" i="1"/>
  <c r="AF570" i="1"/>
  <c r="AI570" i="1"/>
  <c r="AH564" i="1"/>
  <c r="AF564" i="1"/>
  <c r="AI564" i="1"/>
  <c r="AG564" i="1"/>
  <c r="AH552" i="1"/>
  <c r="AF552" i="1"/>
  <c r="AG552" i="1"/>
  <c r="AI552" i="1"/>
  <c r="AG546" i="1"/>
  <c r="AF546" i="1"/>
  <c r="AH546" i="1"/>
  <c r="AF540" i="1"/>
  <c r="AH540" i="1"/>
  <c r="AI540" i="1"/>
  <c r="AG540" i="1"/>
  <c r="AF534" i="1"/>
  <c r="AH534" i="1"/>
  <c r="AH528" i="1"/>
  <c r="AG528" i="1"/>
  <c r="AF522" i="1"/>
  <c r="AG522" i="1"/>
  <c r="AI522" i="1"/>
  <c r="AH516" i="1"/>
  <c r="AI516" i="1"/>
  <c r="AG510" i="1"/>
  <c r="AH510" i="1"/>
  <c r="AF510" i="1"/>
  <c r="AF504" i="1"/>
  <c r="AH504" i="1"/>
  <c r="AI504" i="1"/>
  <c r="AG504" i="1"/>
  <c r="AI498" i="1"/>
  <c r="AG498" i="1"/>
  <c r="AG492" i="1"/>
  <c r="AF492" i="1"/>
  <c r="AH486" i="1"/>
  <c r="AI486" i="1"/>
  <c r="AF486" i="1"/>
  <c r="AG486" i="1"/>
  <c r="AF480" i="1"/>
  <c r="AG480" i="1"/>
  <c r="AF468" i="1"/>
  <c r="AG468" i="1"/>
  <c r="AH468" i="1"/>
  <c r="AI468" i="1"/>
  <c r="AF462" i="1"/>
  <c r="AG462" i="1"/>
  <c r="AI462" i="1"/>
  <c r="AG456" i="1"/>
  <c r="AF456" i="1"/>
  <c r="AH456" i="1"/>
  <c r="AH444" i="1"/>
  <c r="AG444" i="1"/>
  <c r="AG438" i="1"/>
  <c r="AF438" i="1"/>
  <c r="AH438" i="1"/>
  <c r="AI438" i="1"/>
  <c r="AF432" i="1"/>
  <c r="AH432" i="1"/>
  <c r="AI432" i="1"/>
  <c r="AG432" i="1"/>
  <c r="AF420" i="1"/>
  <c r="AH420" i="1"/>
  <c r="AG420" i="1"/>
  <c r="AI414" i="1"/>
  <c r="AG414" i="1"/>
  <c r="AF414" i="1"/>
  <c r="AF408" i="1"/>
  <c r="AG408" i="1"/>
  <c r="AH408" i="1"/>
  <c r="AI408" i="1"/>
  <c r="AG402" i="1"/>
  <c r="AH402" i="1"/>
  <c r="AI402" i="1"/>
  <c r="AF402" i="1"/>
  <c r="AF396" i="1"/>
  <c r="AH396" i="1"/>
  <c r="AI396" i="1"/>
  <c r="AI390" i="1"/>
  <c r="AG390" i="1"/>
  <c r="AF390" i="1"/>
  <c r="AF384" i="1"/>
  <c r="AG384" i="1"/>
  <c r="AI384" i="1"/>
  <c r="AH384" i="1"/>
  <c r="AH378" i="1"/>
  <c r="AI378" i="1"/>
  <c r="AF372" i="1"/>
  <c r="AG372" i="1"/>
  <c r="AI372" i="1"/>
  <c r="AH372" i="1"/>
  <c r="AG366" i="1"/>
  <c r="AF366" i="1"/>
  <c r="AF360" i="1"/>
  <c r="AG360" i="1"/>
  <c r="AH360" i="1"/>
  <c r="AI360" i="1"/>
  <c r="AF354" i="1"/>
  <c r="AG354" i="1"/>
  <c r="AG348" i="1"/>
  <c r="AF348" i="1"/>
  <c r="AH348" i="1"/>
  <c r="AI348" i="1"/>
  <c r="AG342" i="1"/>
  <c r="AI342" i="1"/>
  <c r="AF336" i="1"/>
  <c r="AH336" i="1"/>
  <c r="AG336" i="1"/>
  <c r="AG330" i="1"/>
  <c r="AH330" i="1"/>
  <c r="AI330" i="1"/>
  <c r="AF324" i="1"/>
  <c r="AH324" i="1"/>
  <c r="AI324" i="1"/>
  <c r="AH312" i="1"/>
  <c r="AF312" i="1"/>
  <c r="AG312" i="1"/>
  <c r="AF306" i="1"/>
  <c r="AH306" i="1"/>
  <c r="AI306" i="1"/>
  <c r="AF300" i="1"/>
  <c r="AG300" i="1"/>
  <c r="AH300" i="1"/>
  <c r="AI300" i="1"/>
  <c r="AG294" i="1"/>
  <c r="AH294" i="1"/>
  <c r="AI294" i="1"/>
  <c r="AF294" i="1"/>
  <c r="AF288" i="1"/>
  <c r="AH288" i="1"/>
  <c r="AI288" i="1"/>
  <c r="AF282" i="1"/>
  <c r="AI282" i="1"/>
  <c r="AG282" i="1"/>
  <c r="AI276" i="1"/>
  <c r="AG276" i="1"/>
  <c r="AF276" i="1"/>
  <c r="AG270" i="1"/>
  <c r="AH270" i="1"/>
  <c r="AF270" i="1"/>
  <c r="AF252" i="1"/>
  <c r="AG252" i="1"/>
  <c r="AH252" i="1"/>
  <c r="AI252" i="1"/>
  <c r="AF246" i="1"/>
  <c r="AG246" i="1"/>
  <c r="AH246" i="1"/>
  <c r="AI246" i="1"/>
  <c r="AH240" i="1"/>
  <c r="AI240" i="1"/>
  <c r="AF234" i="1"/>
  <c r="AH234" i="1"/>
  <c r="AH228" i="1"/>
  <c r="AF228" i="1"/>
  <c r="AG228" i="1"/>
  <c r="AI228" i="1"/>
  <c r="AG222" i="1"/>
  <c r="AF222" i="1"/>
  <c r="AH222" i="1"/>
  <c r="AF216" i="1"/>
  <c r="AH216" i="1"/>
  <c r="AI216" i="1"/>
  <c r="AG216" i="1"/>
  <c r="AF204" i="1"/>
  <c r="AH204" i="1"/>
  <c r="AF198" i="1"/>
  <c r="AI198" i="1"/>
  <c r="AG198" i="1"/>
  <c r="AH192" i="1"/>
  <c r="AI192" i="1"/>
  <c r="AG186" i="1"/>
  <c r="AH186" i="1"/>
  <c r="AF180" i="1"/>
  <c r="AH180" i="1"/>
  <c r="AI180" i="1"/>
  <c r="AF174" i="1"/>
  <c r="AI174" i="1"/>
  <c r="AH174" i="1"/>
  <c r="AG174" i="1"/>
  <c r="AG168" i="1"/>
  <c r="AF168" i="1"/>
  <c r="AF162" i="1"/>
  <c r="AG162" i="1"/>
  <c r="AH162" i="1"/>
  <c r="AI162" i="1"/>
  <c r="AG150" i="1"/>
  <c r="AF150" i="1"/>
  <c r="AH150" i="1"/>
  <c r="AF144" i="1"/>
  <c r="AG144" i="1"/>
  <c r="AH144" i="1"/>
  <c r="AI144" i="1"/>
  <c r="AF138" i="1"/>
  <c r="AG138" i="1"/>
  <c r="AI138" i="1"/>
  <c r="AG132" i="1"/>
  <c r="AH132" i="1"/>
  <c r="AF132" i="1"/>
  <c r="AF120" i="1"/>
  <c r="AH120" i="1"/>
  <c r="AG114" i="1"/>
  <c r="AF114" i="1"/>
  <c r="AH114" i="1"/>
  <c r="AI114" i="1"/>
  <c r="AF108" i="1"/>
  <c r="AH108" i="1"/>
  <c r="AI108" i="1"/>
  <c r="AG108" i="1"/>
  <c r="AH102" i="1"/>
  <c r="AF102" i="1"/>
  <c r="AF96" i="1"/>
  <c r="AH96" i="1"/>
  <c r="AI90" i="1"/>
  <c r="AF90" i="1"/>
  <c r="AH90" i="1"/>
  <c r="AF84" i="1"/>
  <c r="AG84" i="1"/>
  <c r="AH84" i="1"/>
  <c r="AI84" i="1"/>
  <c r="AG78" i="1"/>
  <c r="AH78" i="1"/>
  <c r="AI78" i="1"/>
  <c r="AF72" i="1"/>
  <c r="AH72" i="1"/>
  <c r="AI72" i="1"/>
  <c r="AI66" i="1"/>
  <c r="AG66" i="1"/>
  <c r="AF60" i="1"/>
  <c r="AG60" i="1"/>
  <c r="Y21" i="5"/>
  <c r="V21" i="5"/>
  <c r="R21" i="5"/>
  <c r="G21" i="5"/>
  <c r="AI60" i="1"/>
  <c r="AH54" i="1"/>
  <c r="W32" i="5"/>
  <c r="BL32" i="5" s="1"/>
  <c r="G32" i="5"/>
  <c r="AI54" i="1"/>
  <c r="AF54" i="1"/>
  <c r="AG48" i="1"/>
  <c r="AI48" i="1"/>
  <c r="AF48" i="1"/>
  <c r="AG42" i="1"/>
  <c r="AF42" i="1"/>
  <c r="AF36" i="1"/>
  <c r="AG36" i="1"/>
  <c r="AH36" i="1"/>
  <c r="AI36" i="1"/>
  <c r="P33" i="5"/>
  <c r="K33" i="5"/>
  <c r="AF30" i="1"/>
  <c r="AG30" i="1"/>
  <c r="W19" i="5"/>
  <c r="AH30" i="1"/>
  <c r="AG24" i="1"/>
  <c r="F21" i="5"/>
  <c r="AH24" i="1"/>
  <c r="AI24" i="1"/>
  <c r="Z2" i="1"/>
  <c r="AA8" i="1"/>
  <c r="O33" i="5"/>
  <c r="BK33" i="5" s="1"/>
  <c r="S32" i="5"/>
  <c r="AF16" i="1"/>
  <c r="F12" i="5"/>
  <c r="H12" i="5" s="1"/>
  <c r="I12" i="5" s="1"/>
  <c r="AA17" i="1"/>
  <c r="AA18" i="1"/>
  <c r="AA21" i="1"/>
  <c r="AA22" i="1"/>
  <c r="AC19" i="1"/>
  <c r="AI1308" i="1"/>
  <c r="AI1242" i="1"/>
  <c r="AI1074" i="1"/>
  <c r="AI1002" i="1"/>
  <c r="AI918" i="1"/>
  <c r="AI804" i="1"/>
  <c r="AI768" i="1"/>
  <c r="AI642" i="1"/>
  <c r="AI546" i="1"/>
  <c r="AI528" i="1"/>
  <c r="AI426" i="1"/>
  <c r="AI354" i="1"/>
  <c r="AI270" i="1"/>
  <c r="AI156" i="1"/>
  <c r="AI120" i="1"/>
  <c r="AH1014" i="1"/>
  <c r="AH1002" i="1"/>
  <c r="AH990" i="1"/>
  <c r="AH366" i="1"/>
  <c r="AH354" i="1"/>
  <c r="AH342" i="1"/>
  <c r="AG1206" i="1"/>
  <c r="AG1164" i="1"/>
  <c r="AG1032" i="1"/>
  <c r="AG954" i="1"/>
  <c r="AG828" i="1"/>
  <c r="AG720" i="1"/>
  <c r="AG558" i="1"/>
  <c r="AG450" i="1"/>
  <c r="AG318" i="1"/>
  <c r="AG234" i="1"/>
  <c r="AF1020" i="1"/>
  <c r="AF882" i="1"/>
  <c r="AF516" i="1"/>
  <c r="AF264" i="1"/>
  <c r="Z4" i="1"/>
  <c r="AA2" i="1"/>
  <c r="F33" i="5"/>
  <c r="F22" i="5"/>
  <c r="G18" i="5"/>
  <c r="M33" i="5"/>
  <c r="R32" i="5"/>
  <c r="S21" i="5"/>
  <c r="U32" i="5"/>
  <c r="V19" i="5"/>
  <c r="W21" i="5"/>
  <c r="G27" i="5"/>
  <c r="AL13" i="1"/>
  <c r="AL14" i="1"/>
  <c r="AA20" i="1"/>
  <c r="AI1272" i="1"/>
  <c r="AI1176" i="1"/>
  <c r="AI1068" i="1"/>
  <c r="AI882" i="1"/>
  <c r="AI834" i="1"/>
  <c r="AI780" i="1"/>
  <c r="AI636" i="1"/>
  <c r="AI492" i="1"/>
  <c r="AI420" i="1"/>
  <c r="AI234" i="1"/>
  <c r="AI186" i="1"/>
  <c r="AI132" i="1"/>
  <c r="AH1338" i="1"/>
  <c r="AH1074" i="1"/>
  <c r="AH846" i="1"/>
  <c r="AH804" i="1"/>
  <c r="AH714" i="1"/>
  <c r="AH690" i="1"/>
  <c r="AH426" i="1"/>
  <c r="AH198" i="1"/>
  <c r="AH156" i="1"/>
  <c r="AH66" i="1"/>
  <c r="AH42" i="1"/>
  <c r="AG1326" i="1"/>
  <c r="AG1266" i="1"/>
  <c r="AG1158" i="1"/>
  <c r="AG1104" i="1"/>
  <c r="AG1086" i="1"/>
  <c r="AG1062" i="1"/>
  <c r="AG822" i="1"/>
  <c r="AG810" i="1"/>
  <c r="AG786" i="1"/>
  <c r="AG708" i="1"/>
  <c r="AG666" i="1"/>
  <c r="AG588" i="1"/>
  <c r="AG534" i="1"/>
  <c r="AG516" i="1"/>
  <c r="AG426" i="1"/>
  <c r="AG378" i="1"/>
  <c r="AG306" i="1"/>
  <c r="AG240" i="1"/>
  <c r="AG204" i="1"/>
  <c r="AG120" i="1"/>
  <c r="AG72" i="1"/>
  <c r="AG54" i="1"/>
  <c r="AF1332" i="1"/>
  <c r="AF816" i="1"/>
  <c r="AF714" i="1"/>
  <c r="AF672" i="1"/>
  <c r="AF654" i="1"/>
  <c r="AF594" i="1"/>
  <c r="AF474" i="1"/>
  <c r="AF378" i="1"/>
  <c r="AF240" i="1"/>
  <c r="AL1343" i="1"/>
  <c r="AL1337" i="1"/>
  <c r="AL1331" i="1"/>
  <c r="AL1325" i="1"/>
  <c r="AL1319" i="1"/>
  <c r="AL1313" i="1"/>
  <c r="AL1307" i="1"/>
  <c r="AL1301" i="1"/>
  <c r="AL1295" i="1"/>
  <c r="AL1289" i="1"/>
  <c r="AL1283" i="1"/>
  <c r="AL1277" i="1"/>
  <c r="AL1271" i="1"/>
  <c r="AL1265" i="1"/>
  <c r="AL1259" i="1"/>
  <c r="AL1253" i="1"/>
  <c r="AL1247" i="1"/>
  <c r="AL1241" i="1"/>
  <c r="AL1235" i="1"/>
  <c r="AL1229" i="1"/>
  <c r="AL1223" i="1"/>
  <c r="AL1211" i="1"/>
  <c r="AL1205" i="1"/>
  <c r="AL1199" i="1"/>
  <c r="AL1193" i="1"/>
  <c r="AL1187" i="1"/>
  <c r="AL1181" i="1"/>
  <c r="AL1175" i="1"/>
  <c r="AL1169" i="1"/>
  <c r="AL1163" i="1"/>
  <c r="AL1157" i="1"/>
  <c r="AL1151" i="1"/>
  <c r="AL1145" i="1"/>
  <c r="AL1139" i="1"/>
  <c r="AL1121" i="1"/>
  <c r="AL1109" i="1"/>
  <c r="AL1085" i="1"/>
  <c r="AL1079" i="1"/>
  <c r="AL1073" i="1"/>
  <c r="AL1061" i="1"/>
  <c r="AL1037" i="1"/>
  <c r="AL1031" i="1"/>
  <c r="AL1025" i="1"/>
  <c r="AL1019" i="1"/>
  <c r="AL1013" i="1"/>
  <c r="AL1001" i="1"/>
  <c r="AL995" i="1"/>
  <c r="AL983" i="1"/>
  <c r="AL977" i="1"/>
  <c r="AL959" i="1"/>
  <c r="AL953" i="1"/>
  <c r="AL947" i="1"/>
  <c r="AL941" i="1"/>
  <c r="AL917" i="1"/>
  <c r="AL911" i="1"/>
  <c r="AL893" i="1"/>
  <c r="AL887" i="1"/>
  <c r="AL881" i="1"/>
  <c r="AL863" i="1"/>
  <c r="AL845" i="1"/>
  <c r="AL833" i="1"/>
  <c r="AL827" i="1"/>
  <c r="AL821" i="1"/>
  <c r="AL815" i="1"/>
  <c r="AL809" i="1"/>
  <c r="AL797" i="1"/>
  <c r="AL791" i="1"/>
  <c r="AL785" i="1"/>
  <c r="AL749" i="1"/>
  <c r="AL743" i="1"/>
  <c r="AL719" i="1"/>
  <c r="AL713" i="1"/>
  <c r="AL707" i="1"/>
  <c r="AL683" i="1"/>
  <c r="AL677" i="1"/>
  <c r="AL671" i="1"/>
  <c r="AL665" i="1"/>
  <c r="AL659" i="1"/>
  <c r="AL647" i="1"/>
  <c r="AL641" i="1"/>
  <c r="AL617" i="1"/>
  <c r="AL611" i="1"/>
  <c r="AL605" i="1"/>
  <c r="AL599" i="1"/>
  <c r="AL593" i="1"/>
  <c r="AL581" i="1"/>
  <c r="AL575" i="1"/>
  <c r="AL563" i="1"/>
  <c r="AL551" i="1"/>
  <c r="AL533" i="1"/>
  <c r="AL527" i="1"/>
  <c r="AL515" i="1"/>
  <c r="AL509" i="1"/>
  <c r="AL503" i="1"/>
  <c r="AL497" i="1"/>
  <c r="AL491" i="1"/>
  <c r="AL485" i="1"/>
  <c r="AL479" i="1"/>
  <c r="AL473" i="1"/>
  <c r="AL455" i="1"/>
  <c r="AL449" i="1"/>
  <c r="AL443" i="1"/>
  <c r="AL425" i="1"/>
  <c r="AL407" i="1"/>
  <c r="AL401" i="1"/>
  <c r="AL389" i="1"/>
  <c r="AL383" i="1"/>
  <c r="AL371" i="1"/>
  <c r="AL365" i="1"/>
  <c r="AL359" i="1"/>
  <c r="AL353" i="1"/>
  <c r="AL347" i="1"/>
  <c r="AL341" i="1"/>
  <c r="AL335" i="1"/>
  <c r="AL329" i="1"/>
  <c r="AL305" i="1"/>
  <c r="AL293" i="1"/>
  <c r="AL269" i="1"/>
  <c r="AL263" i="1"/>
  <c r="AL257" i="1"/>
  <c r="AL251" i="1"/>
  <c r="AL239" i="1"/>
  <c r="AL227" i="1"/>
  <c r="AL191" i="1"/>
  <c r="AL185" i="1"/>
  <c r="AL161" i="1"/>
  <c r="AL149" i="1"/>
  <c r="AL131" i="1"/>
  <c r="AL119" i="1"/>
  <c r="AL107" i="1"/>
  <c r="AL101" i="1"/>
  <c r="AL89" i="1"/>
  <c r="AL83" i="1"/>
  <c r="AL71" i="1"/>
  <c r="AL65" i="1"/>
  <c r="AL47" i="1"/>
  <c r="AL41" i="1"/>
  <c r="AL35" i="1"/>
  <c r="AL29" i="1"/>
  <c r="AL1333" i="1"/>
  <c r="AL1297" i="1"/>
  <c r="AL1261" i="1"/>
  <c r="AL1225" i="1"/>
  <c r="AL1189" i="1"/>
  <c r="AL1081" i="1"/>
  <c r="AL1009" i="1"/>
  <c r="AL973" i="1"/>
  <c r="AL829" i="1"/>
  <c r="AL793" i="1"/>
  <c r="AL721" i="1"/>
  <c r="AL685" i="1"/>
  <c r="AL649" i="1"/>
  <c r="AL541" i="1"/>
  <c r="AL433" i="1"/>
  <c r="AL397" i="1"/>
  <c r="AL361" i="1"/>
  <c r="AL289" i="1"/>
  <c r="AL217" i="1"/>
  <c r="AL109" i="1"/>
  <c r="AL73" i="1"/>
  <c r="AL6" i="1"/>
  <c r="Z8" i="1"/>
  <c r="AC9" i="1"/>
  <c r="K8" i="5"/>
  <c r="P8" i="5"/>
  <c r="AI18" i="1"/>
  <c r="Z20" i="1"/>
  <c r="AI1345" i="1"/>
  <c r="AI1309" i="1"/>
  <c r="AI1273" i="1"/>
  <c r="AI1237" i="1"/>
  <c r="AI1201" i="1"/>
  <c r="AI1165" i="1"/>
  <c r="AI1129" i="1"/>
  <c r="AI1105" i="1"/>
  <c r="AI1063" i="1"/>
  <c r="AI1021" i="1"/>
  <c r="AI997" i="1"/>
  <c r="AI955" i="1"/>
  <c r="AI913" i="1"/>
  <c r="AI805" i="1"/>
  <c r="AI781" i="1"/>
  <c r="AI673" i="1"/>
  <c r="AI631" i="1"/>
  <c r="AI589" i="1"/>
  <c r="AI565" i="1"/>
  <c r="AI481" i="1"/>
  <c r="AI457" i="1"/>
  <c r="AI415" i="1"/>
  <c r="AI307" i="1"/>
  <c r="AI265" i="1"/>
  <c r="AI157" i="1"/>
  <c r="AI133" i="1"/>
  <c r="AH901" i="1"/>
  <c r="AH859" i="1"/>
  <c r="AH751" i="1"/>
  <c r="AH643" i="1"/>
  <c r="AH577" i="1"/>
  <c r="AH535" i="1"/>
  <c r="AH469" i="1"/>
  <c r="AH427" i="1"/>
  <c r="AH319" i="1"/>
  <c r="AH253" i="1"/>
  <c r="AH211" i="1"/>
  <c r="AH103" i="1"/>
  <c r="AG1345" i="1"/>
  <c r="AG1237" i="1"/>
  <c r="AG1129" i="1"/>
  <c r="AG1021" i="1"/>
  <c r="AG853" i="1"/>
  <c r="AG715" i="1"/>
  <c r="AG529" i="1"/>
  <c r="AG205" i="1"/>
  <c r="AF841" i="1"/>
  <c r="AF385" i="1"/>
  <c r="AF343" i="1"/>
  <c r="AF277" i="1"/>
  <c r="AF265" i="1"/>
  <c r="AF211" i="1"/>
  <c r="AF169" i="1"/>
  <c r="AF127" i="1"/>
  <c r="W1340" i="1"/>
  <c r="X1340" i="1"/>
  <c r="W1334" i="1"/>
  <c r="X1334" i="1"/>
  <c r="W1328" i="1"/>
  <c r="X1328" i="1"/>
  <c r="W1322" i="1"/>
  <c r="X1322" i="1"/>
  <c r="X1316" i="1"/>
  <c r="W1316" i="1"/>
  <c r="W1310" i="1"/>
  <c r="X1310" i="1"/>
  <c r="W1304" i="1"/>
  <c r="X1304" i="1"/>
  <c r="W1298" i="1"/>
  <c r="X1298" i="1"/>
  <c r="W1292" i="1"/>
  <c r="X1292" i="1"/>
  <c r="W1286" i="1"/>
  <c r="X1286" i="1"/>
  <c r="W1280" i="1"/>
  <c r="X1280" i="1"/>
  <c r="W1274" i="1"/>
  <c r="X1274" i="1"/>
  <c r="W1268" i="1"/>
  <c r="X1268" i="1"/>
  <c r="W1262" i="1"/>
  <c r="X1262" i="1"/>
  <c r="W1256" i="1"/>
  <c r="X1256" i="1"/>
  <c r="W1250" i="1"/>
  <c r="X1250" i="1"/>
  <c r="W1244" i="1"/>
  <c r="X1244" i="1"/>
  <c r="W1238" i="1"/>
  <c r="X1238" i="1"/>
  <c r="W1232" i="1"/>
  <c r="X1232" i="1"/>
  <c r="W1226" i="1"/>
  <c r="X1226" i="1"/>
  <c r="W1220" i="1"/>
  <c r="X1220" i="1"/>
  <c r="W1214" i="1"/>
  <c r="X1214" i="1"/>
  <c r="W1208" i="1"/>
  <c r="X1208" i="1"/>
  <c r="W1202" i="1"/>
  <c r="X1202" i="1"/>
  <c r="W1196" i="1"/>
  <c r="X1196" i="1"/>
  <c r="W1190" i="1"/>
  <c r="X1190" i="1"/>
  <c r="W1184" i="1"/>
  <c r="X1184" i="1"/>
  <c r="W1178" i="1"/>
  <c r="X1178" i="1"/>
  <c r="W1172" i="1"/>
  <c r="X1172" i="1"/>
  <c r="W1166" i="1"/>
  <c r="X1166" i="1"/>
  <c r="W1160" i="1"/>
  <c r="X1160" i="1"/>
  <c r="W1154" i="1"/>
  <c r="X1154" i="1"/>
  <c r="W1148" i="1"/>
  <c r="X1148" i="1"/>
  <c r="W1142" i="1"/>
  <c r="X1142" i="1"/>
  <c r="W1136" i="1"/>
  <c r="X1136" i="1"/>
  <c r="W1130" i="1"/>
  <c r="X1130" i="1"/>
  <c r="W1124" i="1"/>
  <c r="X1124" i="1"/>
  <c r="W1118" i="1"/>
  <c r="X1118" i="1"/>
  <c r="X1112" i="1"/>
  <c r="W1112" i="1"/>
  <c r="W1106" i="1"/>
  <c r="X1106" i="1"/>
  <c r="W1100" i="1"/>
  <c r="X1100" i="1"/>
  <c r="W1094" i="1"/>
  <c r="X1094" i="1"/>
  <c r="W1088" i="1"/>
  <c r="X1088" i="1"/>
  <c r="W1082" i="1"/>
  <c r="X1082" i="1"/>
  <c r="W1076" i="1"/>
  <c r="X1076" i="1"/>
  <c r="W1070" i="1"/>
  <c r="X1070" i="1"/>
  <c r="W1064" i="1"/>
  <c r="X1064" i="1"/>
  <c r="W1058" i="1"/>
  <c r="X1058" i="1"/>
  <c r="W1052" i="1"/>
  <c r="X1052" i="1"/>
  <c r="W1046" i="1"/>
  <c r="X1046" i="1"/>
  <c r="W1040" i="1"/>
  <c r="X1040" i="1"/>
  <c r="W1034" i="1"/>
  <c r="X1034" i="1"/>
  <c r="W1028" i="1"/>
  <c r="X1028" i="1"/>
  <c r="W1022" i="1"/>
  <c r="X1022" i="1"/>
  <c r="W1016" i="1"/>
  <c r="X1016" i="1"/>
  <c r="W1010" i="1"/>
  <c r="X1010" i="1"/>
  <c r="W1004" i="1"/>
  <c r="X1004" i="1"/>
  <c r="W998" i="1"/>
  <c r="X998" i="1"/>
  <c r="W992" i="1"/>
  <c r="X992" i="1"/>
  <c r="W986" i="1"/>
  <c r="X986" i="1"/>
  <c r="W980" i="1"/>
  <c r="X980" i="1"/>
  <c r="W974" i="1"/>
  <c r="X974" i="1"/>
  <c r="W968" i="1"/>
  <c r="X968" i="1"/>
  <c r="W962" i="1"/>
  <c r="X962" i="1"/>
  <c r="W956" i="1"/>
  <c r="X956" i="1"/>
  <c r="W950" i="1"/>
  <c r="X950" i="1"/>
  <c r="W944" i="1"/>
  <c r="X944" i="1"/>
  <c r="W938" i="1"/>
  <c r="X938" i="1"/>
  <c r="W932" i="1"/>
  <c r="X932" i="1"/>
  <c r="W926" i="1"/>
  <c r="X926" i="1"/>
  <c r="W920" i="1"/>
  <c r="X920" i="1"/>
  <c r="W914" i="1"/>
  <c r="X914" i="1"/>
  <c r="W908" i="1"/>
  <c r="X908" i="1"/>
  <c r="W902" i="1"/>
  <c r="X902" i="1"/>
  <c r="W896" i="1"/>
  <c r="X896" i="1"/>
  <c r="W890" i="1"/>
  <c r="X890" i="1"/>
  <c r="W884" i="1"/>
  <c r="X884" i="1"/>
  <c r="W878" i="1"/>
  <c r="X878" i="1"/>
  <c r="W872" i="1"/>
  <c r="X872" i="1"/>
  <c r="W866" i="1"/>
  <c r="X866" i="1"/>
  <c r="W860" i="1"/>
  <c r="X860" i="1"/>
  <c r="W854" i="1"/>
  <c r="X854" i="1"/>
  <c r="W848" i="1"/>
  <c r="X848" i="1"/>
  <c r="W842" i="1"/>
  <c r="X842" i="1"/>
  <c r="W836" i="1"/>
  <c r="X836" i="1"/>
  <c r="W830" i="1"/>
  <c r="X830" i="1"/>
  <c r="W824" i="1"/>
  <c r="X824" i="1"/>
  <c r="W818" i="1"/>
  <c r="X818" i="1"/>
  <c r="W812" i="1"/>
  <c r="X812" i="1"/>
  <c r="W806" i="1"/>
  <c r="X806" i="1"/>
  <c r="W800" i="1"/>
  <c r="X800" i="1"/>
  <c r="W794" i="1"/>
  <c r="X794" i="1"/>
  <c r="W788" i="1"/>
  <c r="X788" i="1"/>
  <c r="W782" i="1"/>
  <c r="X782" i="1"/>
  <c r="W776" i="1"/>
  <c r="X776" i="1"/>
  <c r="W770" i="1"/>
  <c r="X770" i="1"/>
  <c r="W764" i="1"/>
  <c r="X764" i="1"/>
  <c r="W758" i="1"/>
  <c r="X758" i="1"/>
  <c r="W752" i="1"/>
  <c r="X752" i="1"/>
  <c r="W746" i="1"/>
  <c r="X746" i="1"/>
  <c r="W740" i="1"/>
  <c r="X740" i="1"/>
  <c r="W734" i="1"/>
  <c r="X734" i="1"/>
  <c r="W728" i="1"/>
  <c r="X728" i="1"/>
  <c r="W722" i="1"/>
  <c r="X722" i="1"/>
  <c r="W716" i="1"/>
  <c r="X716" i="1"/>
  <c r="W710" i="1"/>
  <c r="X710" i="1"/>
  <c r="W704" i="1"/>
  <c r="X704" i="1"/>
  <c r="W698" i="1"/>
  <c r="X698" i="1"/>
  <c r="W692" i="1"/>
  <c r="X692" i="1"/>
  <c r="W686" i="1"/>
  <c r="X686" i="1"/>
  <c r="W680" i="1"/>
  <c r="X680" i="1"/>
  <c r="W674" i="1"/>
  <c r="X674" i="1"/>
  <c r="W668" i="1"/>
  <c r="X668" i="1"/>
  <c r="W662" i="1"/>
  <c r="X662" i="1"/>
  <c r="W656" i="1"/>
  <c r="X656" i="1"/>
  <c r="W650" i="1"/>
  <c r="X650" i="1"/>
  <c r="W644" i="1"/>
  <c r="X644" i="1"/>
  <c r="W638" i="1"/>
  <c r="X638" i="1"/>
  <c r="X632" i="1"/>
  <c r="W632" i="1"/>
  <c r="W626" i="1"/>
  <c r="X626" i="1"/>
  <c r="W620" i="1"/>
  <c r="X620" i="1"/>
  <c r="W614" i="1"/>
  <c r="X614" i="1"/>
  <c r="W608" i="1"/>
  <c r="X608" i="1"/>
  <c r="W602" i="1"/>
  <c r="X602" i="1"/>
  <c r="W596" i="1"/>
  <c r="X596" i="1"/>
  <c r="W590" i="1"/>
  <c r="X590" i="1"/>
  <c r="W584" i="1"/>
  <c r="X584" i="1"/>
  <c r="W578" i="1"/>
  <c r="X578" i="1"/>
  <c r="W572" i="1"/>
  <c r="X572" i="1"/>
  <c r="X566" i="1"/>
  <c r="W566" i="1"/>
  <c r="W560" i="1"/>
  <c r="X560" i="1"/>
  <c r="W554" i="1"/>
  <c r="X554" i="1"/>
  <c r="W548" i="1"/>
  <c r="X548" i="1"/>
  <c r="W542" i="1"/>
  <c r="X542" i="1"/>
  <c r="W536" i="1"/>
  <c r="X536" i="1"/>
  <c r="W530" i="1"/>
  <c r="X530" i="1"/>
  <c r="W524" i="1"/>
  <c r="X524" i="1"/>
  <c r="W518" i="1"/>
  <c r="X518" i="1"/>
  <c r="W512" i="1"/>
  <c r="X512" i="1"/>
  <c r="W506" i="1"/>
  <c r="X506" i="1"/>
  <c r="W500" i="1"/>
  <c r="X500" i="1"/>
  <c r="W494" i="1"/>
  <c r="X494" i="1"/>
  <c r="W488" i="1"/>
  <c r="X488" i="1"/>
  <c r="W482" i="1"/>
  <c r="X482" i="1"/>
  <c r="W476" i="1"/>
  <c r="X476" i="1"/>
  <c r="W470" i="1"/>
  <c r="X470" i="1"/>
  <c r="W464" i="1"/>
  <c r="X464" i="1"/>
  <c r="W458" i="1"/>
  <c r="X458" i="1"/>
  <c r="W452" i="1"/>
  <c r="X452" i="1"/>
  <c r="W446" i="1"/>
  <c r="X446" i="1"/>
  <c r="W440" i="1"/>
  <c r="X440" i="1"/>
  <c r="W434" i="1"/>
  <c r="X434" i="1"/>
  <c r="W428" i="1"/>
  <c r="X428" i="1"/>
  <c r="W422" i="1"/>
  <c r="X422" i="1"/>
  <c r="W416" i="1"/>
  <c r="X416" i="1"/>
  <c r="W410" i="1"/>
  <c r="X410" i="1"/>
  <c r="W404" i="1"/>
  <c r="X404" i="1"/>
  <c r="W398" i="1"/>
  <c r="X398" i="1"/>
  <c r="W392" i="1"/>
  <c r="X392" i="1"/>
  <c r="W386" i="1"/>
  <c r="X386" i="1"/>
  <c r="W380" i="1"/>
  <c r="X380" i="1"/>
  <c r="W374" i="1"/>
  <c r="X374" i="1"/>
  <c r="W368" i="1"/>
  <c r="X368" i="1"/>
  <c r="W362" i="1"/>
  <c r="X362" i="1"/>
  <c r="W356" i="1"/>
  <c r="X356" i="1"/>
  <c r="W350" i="1"/>
  <c r="X350" i="1"/>
  <c r="W344" i="1"/>
  <c r="X344" i="1"/>
  <c r="W338" i="1"/>
  <c r="X338" i="1"/>
  <c r="W332" i="1"/>
  <c r="X332" i="1"/>
  <c r="W326" i="1"/>
  <c r="X326" i="1"/>
  <c r="W320" i="1"/>
  <c r="X320" i="1"/>
  <c r="W314" i="1"/>
  <c r="X314" i="1"/>
  <c r="W308" i="1"/>
  <c r="X308" i="1"/>
  <c r="W302" i="1"/>
  <c r="X302" i="1"/>
  <c r="W296" i="1"/>
  <c r="X296" i="1"/>
  <c r="W290" i="1"/>
  <c r="X290" i="1"/>
  <c r="W284" i="1"/>
  <c r="X284" i="1"/>
  <c r="W278" i="1"/>
  <c r="X278" i="1"/>
  <c r="W272" i="1"/>
  <c r="X272" i="1"/>
  <c r="W266" i="1"/>
  <c r="X266" i="1"/>
  <c r="W260" i="1"/>
  <c r="X260" i="1"/>
  <c r="W254" i="1"/>
  <c r="X254" i="1"/>
  <c r="W248" i="1"/>
  <c r="X248" i="1"/>
  <c r="W242" i="1"/>
  <c r="X242" i="1"/>
  <c r="W236" i="1"/>
  <c r="X236" i="1"/>
  <c r="W230" i="1"/>
  <c r="X230" i="1"/>
  <c r="W224" i="1"/>
  <c r="X224" i="1"/>
  <c r="W218" i="1"/>
  <c r="X218" i="1"/>
  <c r="W212" i="1"/>
  <c r="X212" i="1"/>
  <c r="W206" i="1"/>
  <c r="X206" i="1"/>
  <c r="W200" i="1"/>
  <c r="X200" i="1"/>
  <c r="W194" i="1"/>
  <c r="X194" i="1"/>
  <c r="W188" i="1"/>
  <c r="X188" i="1"/>
  <c r="W182" i="1"/>
  <c r="X182" i="1"/>
  <c r="W176" i="1"/>
  <c r="X176" i="1"/>
  <c r="W170" i="1"/>
  <c r="X170" i="1"/>
  <c r="W164" i="1"/>
  <c r="X164" i="1"/>
  <c r="W158" i="1"/>
  <c r="X158" i="1"/>
  <c r="W152" i="1"/>
  <c r="X152" i="1"/>
  <c r="W146" i="1"/>
  <c r="X146" i="1"/>
  <c r="W140" i="1"/>
  <c r="X140" i="1"/>
  <c r="W134" i="1"/>
  <c r="X134" i="1"/>
  <c r="W128" i="1"/>
  <c r="X128" i="1"/>
  <c r="W122" i="1"/>
  <c r="X122" i="1"/>
  <c r="W116" i="1"/>
  <c r="X116" i="1"/>
  <c r="W110" i="1"/>
  <c r="X110" i="1"/>
  <c r="W104" i="1"/>
  <c r="X104" i="1"/>
  <c r="W98" i="1"/>
  <c r="X98" i="1"/>
  <c r="W92" i="1"/>
  <c r="X92" i="1"/>
  <c r="W86" i="1"/>
  <c r="X86" i="1"/>
  <c r="W80" i="1"/>
  <c r="X80" i="1"/>
  <c r="W74" i="1"/>
  <c r="X74" i="1"/>
  <c r="W68" i="1"/>
  <c r="X68" i="1"/>
  <c r="W62" i="1"/>
  <c r="X62" i="1"/>
  <c r="W56" i="1"/>
  <c r="X56" i="1"/>
  <c r="W50" i="1"/>
  <c r="X50" i="1"/>
  <c r="W44" i="1"/>
  <c r="X44" i="1"/>
  <c r="W38" i="1"/>
  <c r="X38" i="1"/>
  <c r="W32" i="1"/>
  <c r="X32" i="1"/>
  <c r="W26" i="1"/>
  <c r="X26" i="1"/>
  <c r="AG1339" i="1"/>
  <c r="AH1339" i="1"/>
  <c r="AF1303" i="1"/>
  <c r="AG1303" i="1"/>
  <c r="AH1303" i="1"/>
  <c r="AG1267" i="1"/>
  <c r="AH1267" i="1"/>
  <c r="AG1231" i="1"/>
  <c r="AH1231" i="1"/>
  <c r="AF1195" i="1"/>
  <c r="AG1195" i="1"/>
  <c r="AH1195" i="1"/>
  <c r="AG1159" i="1"/>
  <c r="AH1159" i="1"/>
  <c r="AG1123" i="1"/>
  <c r="AH1123" i="1"/>
  <c r="AI1123" i="1"/>
  <c r="AF1087" i="1"/>
  <c r="AG1087" i="1"/>
  <c r="AH1087" i="1"/>
  <c r="AI1087" i="1"/>
  <c r="AF1051" i="1"/>
  <c r="AG1051" i="1"/>
  <c r="AH1051" i="1"/>
  <c r="AI1051" i="1"/>
  <c r="AF1015" i="1"/>
  <c r="AG1015" i="1"/>
  <c r="AH1015" i="1"/>
  <c r="AI1015" i="1"/>
  <c r="AF979" i="1"/>
  <c r="AG979" i="1"/>
  <c r="AH979" i="1"/>
  <c r="AI979" i="1"/>
  <c r="AF943" i="1"/>
  <c r="AH943" i="1"/>
  <c r="AI943" i="1"/>
  <c r="AF907" i="1"/>
  <c r="AH907" i="1"/>
  <c r="AI907" i="1"/>
  <c r="AF883" i="1"/>
  <c r="AG883" i="1"/>
  <c r="AF877" i="1"/>
  <c r="AG877" i="1"/>
  <c r="AF871" i="1"/>
  <c r="AH871" i="1"/>
  <c r="AI871" i="1"/>
  <c r="AF835" i="1"/>
  <c r="AH835" i="1"/>
  <c r="AI835" i="1"/>
  <c r="AF799" i="1"/>
  <c r="AH799" i="1"/>
  <c r="AI799" i="1"/>
  <c r="AF769" i="1"/>
  <c r="AG769" i="1"/>
  <c r="AF763" i="1"/>
  <c r="AH763" i="1"/>
  <c r="AI763" i="1"/>
  <c r="AF727" i="1"/>
  <c r="AH727" i="1"/>
  <c r="AI727" i="1"/>
  <c r="AG697" i="1"/>
  <c r="AF697" i="1"/>
  <c r="AF691" i="1"/>
  <c r="AH691" i="1"/>
  <c r="AI691" i="1"/>
  <c r="AF661" i="1"/>
  <c r="AG661" i="1"/>
  <c r="AF655" i="1"/>
  <c r="AH655" i="1"/>
  <c r="AI655" i="1"/>
  <c r="AF619" i="1"/>
  <c r="AH619" i="1"/>
  <c r="AI619" i="1"/>
  <c r="AF583" i="1"/>
  <c r="AH583" i="1"/>
  <c r="AI583" i="1"/>
  <c r="AF559" i="1"/>
  <c r="AG559" i="1"/>
  <c r="AF553" i="1"/>
  <c r="AG553" i="1"/>
  <c r="AF547" i="1"/>
  <c r="AH547" i="1"/>
  <c r="AI547" i="1"/>
  <c r="AF511" i="1"/>
  <c r="AH511" i="1"/>
  <c r="AI511" i="1"/>
  <c r="AF475" i="1"/>
  <c r="AH475" i="1"/>
  <c r="AI475" i="1"/>
  <c r="AF445" i="1"/>
  <c r="AG445" i="1"/>
  <c r="AF439" i="1"/>
  <c r="AH439" i="1"/>
  <c r="AI439" i="1"/>
  <c r="AF403" i="1"/>
  <c r="AH403" i="1"/>
  <c r="AI403" i="1"/>
  <c r="AG373" i="1"/>
  <c r="AF373" i="1"/>
  <c r="AF367" i="1"/>
  <c r="AH367" i="1"/>
  <c r="AI367" i="1"/>
  <c r="AF337" i="1"/>
  <c r="AG337" i="1"/>
  <c r="AF331" i="1"/>
  <c r="AH331" i="1"/>
  <c r="AI331" i="1"/>
  <c r="AF295" i="1"/>
  <c r="AH295" i="1"/>
  <c r="AI295" i="1"/>
  <c r="AF259" i="1"/>
  <c r="AH259" i="1"/>
  <c r="AI259" i="1"/>
  <c r="AF235" i="1"/>
  <c r="AG235" i="1"/>
  <c r="AF229" i="1"/>
  <c r="AG229" i="1"/>
  <c r="AF223" i="1"/>
  <c r="AH223" i="1"/>
  <c r="AI223" i="1"/>
  <c r="AF187" i="1"/>
  <c r="AH187" i="1"/>
  <c r="AI187" i="1"/>
  <c r="AF151" i="1"/>
  <c r="AH151" i="1"/>
  <c r="AI151" i="1"/>
  <c r="AF121" i="1"/>
  <c r="AG121" i="1"/>
  <c r="AF115" i="1"/>
  <c r="AH115" i="1"/>
  <c r="AI115" i="1"/>
  <c r="AF79" i="1"/>
  <c r="AH79" i="1"/>
  <c r="AI79" i="1"/>
  <c r="AG49" i="1"/>
  <c r="AF49" i="1"/>
  <c r="AF43" i="1"/>
  <c r="AH43" i="1"/>
  <c r="AI43" i="1"/>
  <c r="X1344" i="1"/>
  <c r="X1338" i="1"/>
  <c r="X1332" i="1"/>
  <c r="X1326" i="1"/>
  <c r="X1320" i="1"/>
  <c r="X1314" i="1"/>
  <c r="X1308" i="1"/>
  <c r="X1302" i="1"/>
  <c r="X1296" i="1"/>
  <c r="X1290" i="1"/>
  <c r="X1284" i="1"/>
  <c r="X1278" i="1"/>
  <c r="X1272" i="1"/>
  <c r="X1266" i="1"/>
  <c r="X1260" i="1"/>
  <c r="X1254" i="1"/>
  <c r="X1248" i="1"/>
  <c r="X1242" i="1"/>
  <c r="X636" i="1"/>
  <c r="X492" i="1"/>
  <c r="X360" i="1"/>
  <c r="X342" i="1"/>
  <c r="W162" i="1"/>
  <c r="X54" i="1"/>
  <c r="W1344" i="1"/>
  <c r="W1338" i="1"/>
  <c r="W1332" i="1"/>
  <c r="W1326" i="1"/>
  <c r="W1320" i="1"/>
  <c r="W1314" i="1"/>
  <c r="W1308" i="1"/>
  <c r="W1302" i="1"/>
  <c r="W1296" i="1"/>
  <c r="W1290" i="1"/>
  <c r="W1284" i="1"/>
  <c r="W1278" i="1"/>
  <c r="W1272" i="1"/>
  <c r="W1266" i="1"/>
  <c r="W1260" i="1"/>
  <c r="W1254" i="1"/>
  <c r="W1248" i="1"/>
  <c r="W1242" i="1"/>
  <c r="W1236" i="1"/>
  <c r="X1236" i="1"/>
  <c r="W1230" i="1"/>
  <c r="X1230" i="1"/>
  <c r="W1224" i="1"/>
  <c r="X1224" i="1"/>
  <c r="W1218" i="1"/>
  <c r="X1218" i="1"/>
  <c r="W1212" i="1"/>
  <c r="X1212" i="1"/>
  <c r="W1206" i="1"/>
  <c r="X1206" i="1"/>
  <c r="W1200" i="1"/>
  <c r="X1200" i="1"/>
  <c r="W1194" i="1"/>
  <c r="X1194" i="1"/>
  <c r="W1188" i="1"/>
  <c r="X1188" i="1"/>
  <c r="W1182" i="1"/>
  <c r="X1182" i="1"/>
  <c r="W1176" i="1"/>
  <c r="X1176" i="1"/>
  <c r="W1170" i="1"/>
  <c r="X1170" i="1"/>
  <c r="W1164" i="1"/>
  <c r="X1164" i="1"/>
  <c r="W1158" i="1"/>
  <c r="X1158" i="1"/>
  <c r="W1152" i="1"/>
  <c r="X1152" i="1"/>
  <c r="W1146" i="1"/>
  <c r="X1146" i="1"/>
  <c r="W1140" i="1"/>
  <c r="X1140" i="1"/>
  <c r="W1134" i="1"/>
  <c r="X1134" i="1"/>
  <c r="W1128" i="1"/>
  <c r="X1128" i="1"/>
  <c r="W1122" i="1"/>
  <c r="X1122" i="1"/>
  <c r="W1116" i="1"/>
  <c r="X1116" i="1"/>
  <c r="W1110" i="1"/>
  <c r="X1110" i="1"/>
  <c r="W1104" i="1"/>
  <c r="X1104" i="1"/>
  <c r="W1098" i="1"/>
  <c r="X1098" i="1"/>
  <c r="W1092" i="1"/>
  <c r="X1092" i="1"/>
  <c r="W1086" i="1"/>
  <c r="X1086" i="1"/>
  <c r="W1080" i="1"/>
  <c r="X1080" i="1"/>
  <c r="W1074" i="1"/>
  <c r="X1074" i="1"/>
  <c r="W1068" i="1"/>
  <c r="X1068" i="1"/>
  <c r="W1062" i="1"/>
  <c r="X1062" i="1"/>
  <c r="W1056" i="1"/>
  <c r="X1056" i="1"/>
  <c r="W1050" i="1"/>
  <c r="X1050" i="1"/>
  <c r="W1044" i="1"/>
  <c r="X1044" i="1"/>
  <c r="W1038" i="1"/>
  <c r="X1038" i="1"/>
  <c r="W1032" i="1"/>
  <c r="X1032" i="1"/>
  <c r="W1026" i="1"/>
  <c r="X1026" i="1"/>
  <c r="W1020" i="1"/>
  <c r="X1020" i="1"/>
  <c r="W1014" i="1"/>
  <c r="X1014" i="1"/>
  <c r="W1008" i="1"/>
  <c r="X1008" i="1"/>
  <c r="W1002" i="1"/>
  <c r="X1002" i="1"/>
  <c r="W996" i="1"/>
  <c r="X996" i="1"/>
  <c r="W990" i="1"/>
  <c r="X990" i="1"/>
  <c r="W984" i="1"/>
  <c r="X984" i="1"/>
  <c r="W978" i="1"/>
  <c r="X978" i="1"/>
  <c r="W972" i="1"/>
  <c r="X972" i="1"/>
  <c r="W966" i="1"/>
  <c r="X966" i="1"/>
  <c r="W960" i="1"/>
  <c r="X960" i="1"/>
  <c r="W954" i="1"/>
  <c r="X954" i="1"/>
  <c r="W948" i="1"/>
  <c r="X948" i="1"/>
  <c r="W942" i="1"/>
  <c r="X942" i="1"/>
  <c r="W936" i="1"/>
  <c r="X936" i="1"/>
  <c r="W930" i="1"/>
  <c r="X930" i="1"/>
  <c r="W924" i="1"/>
  <c r="X924" i="1"/>
  <c r="W918" i="1"/>
  <c r="X918" i="1"/>
  <c r="W912" i="1"/>
  <c r="X912" i="1"/>
  <c r="W906" i="1"/>
  <c r="X906" i="1"/>
  <c r="W900" i="1"/>
  <c r="X900" i="1"/>
  <c r="W894" i="1"/>
  <c r="X894" i="1"/>
  <c r="W888" i="1"/>
  <c r="X888" i="1"/>
  <c r="W882" i="1"/>
  <c r="X882" i="1"/>
  <c r="W876" i="1"/>
  <c r="X876" i="1"/>
  <c r="W870" i="1"/>
  <c r="X870" i="1"/>
  <c r="W864" i="1"/>
  <c r="X864" i="1"/>
  <c r="W858" i="1"/>
  <c r="X858" i="1"/>
  <c r="W852" i="1"/>
  <c r="X852" i="1"/>
  <c r="W846" i="1"/>
  <c r="X846" i="1"/>
  <c r="W840" i="1"/>
  <c r="X840" i="1"/>
  <c r="W834" i="1"/>
  <c r="X834" i="1"/>
  <c r="W828" i="1"/>
  <c r="X828" i="1"/>
  <c r="W822" i="1"/>
  <c r="X822" i="1"/>
  <c r="W816" i="1"/>
  <c r="X816" i="1"/>
  <c r="W810" i="1"/>
  <c r="X810" i="1"/>
  <c r="W804" i="1"/>
  <c r="X804" i="1"/>
  <c r="W798" i="1"/>
  <c r="X798" i="1"/>
  <c r="W792" i="1"/>
  <c r="X792" i="1"/>
  <c r="W786" i="1"/>
  <c r="X786" i="1"/>
  <c r="W780" i="1"/>
  <c r="X780" i="1"/>
  <c r="W774" i="1"/>
  <c r="X774" i="1"/>
  <c r="W768" i="1"/>
  <c r="X768" i="1"/>
  <c r="W762" i="1"/>
  <c r="X762" i="1"/>
  <c r="W756" i="1"/>
  <c r="X756" i="1"/>
  <c r="W750" i="1"/>
  <c r="X750" i="1"/>
  <c r="W744" i="1"/>
  <c r="X744" i="1"/>
  <c r="W738" i="1"/>
  <c r="X738" i="1"/>
  <c r="W732" i="1"/>
  <c r="X732" i="1"/>
  <c r="W726" i="1"/>
  <c r="X726" i="1"/>
  <c r="W720" i="1"/>
  <c r="X720" i="1"/>
  <c r="W714" i="1"/>
  <c r="X714" i="1"/>
  <c r="W708" i="1"/>
  <c r="X708" i="1"/>
  <c r="W702" i="1"/>
  <c r="X702" i="1"/>
  <c r="W696" i="1"/>
  <c r="X696" i="1"/>
  <c r="W690" i="1"/>
  <c r="X690" i="1"/>
  <c r="W684" i="1"/>
  <c r="X684" i="1"/>
  <c r="W678" i="1"/>
  <c r="X678" i="1"/>
  <c r="W672" i="1"/>
  <c r="X672" i="1"/>
  <c r="W666" i="1"/>
  <c r="X666" i="1"/>
  <c r="W660" i="1"/>
  <c r="X660" i="1"/>
  <c r="W654" i="1"/>
  <c r="X654" i="1"/>
  <c r="W648" i="1"/>
  <c r="X648" i="1"/>
  <c r="W642" i="1"/>
  <c r="X642" i="1"/>
  <c r="W636" i="1"/>
  <c r="W630" i="1"/>
  <c r="X630" i="1"/>
  <c r="W624" i="1"/>
  <c r="X624" i="1"/>
  <c r="W618" i="1"/>
  <c r="X618" i="1"/>
  <c r="W612" i="1"/>
  <c r="X612" i="1"/>
  <c r="W606" i="1"/>
  <c r="X606" i="1"/>
  <c r="W600" i="1"/>
  <c r="W594" i="1"/>
  <c r="X594" i="1"/>
  <c r="W588" i="1"/>
  <c r="X588" i="1"/>
  <c r="W582" i="1"/>
  <c r="X582" i="1"/>
  <c r="W576" i="1"/>
  <c r="X576" i="1"/>
  <c r="W570" i="1"/>
  <c r="X570" i="1"/>
  <c r="W564" i="1"/>
  <c r="W558" i="1"/>
  <c r="X558" i="1"/>
  <c r="W552" i="1"/>
  <c r="X552" i="1"/>
  <c r="W546" i="1"/>
  <c r="X546" i="1"/>
  <c r="W540" i="1"/>
  <c r="X540" i="1"/>
  <c r="W534" i="1"/>
  <c r="X534" i="1"/>
  <c r="W528" i="1"/>
  <c r="X528" i="1"/>
  <c r="W522" i="1"/>
  <c r="X522" i="1"/>
  <c r="W516" i="1"/>
  <c r="X516" i="1"/>
  <c r="W510" i="1"/>
  <c r="W504" i="1"/>
  <c r="X504" i="1"/>
  <c r="W498" i="1"/>
  <c r="X498" i="1"/>
  <c r="W492" i="1"/>
  <c r="X486" i="1"/>
  <c r="W486" i="1"/>
  <c r="W480" i="1"/>
  <c r="X480" i="1"/>
  <c r="W474" i="1"/>
  <c r="X474" i="1"/>
  <c r="W468" i="1"/>
  <c r="X468" i="1"/>
  <c r="W462" i="1"/>
  <c r="X462" i="1"/>
  <c r="W456" i="1"/>
  <c r="X456" i="1"/>
  <c r="W450" i="1"/>
  <c r="X450" i="1"/>
  <c r="W444" i="1"/>
  <c r="X444" i="1"/>
  <c r="X438" i="1"/>
  <c r="W438" i="1"/>
  <c r="W432" i="1"/>
  <c r="X432" i="1"/>
  <c r="W426" i="1"/>
  <c r="X426" i="1"/>
  <c r="W420" i="1"/>
  <c r="X420" i="1"/>
  <c r="W414" i="1"/>
  <c r="X414" i="1"/>
  <c r="W408" i="1"/>
  <c r="X408" i="1"/>
  <c r="W402" i="1"/>
  <c r="X402" i="1"/>
  <c r="W396" i="1"/>
  <c r="X396" i="1"/>
  <c r="W390" i="1"/>
  <c r="X390" i="1"/>
  <c r="W384" i="1"/>
  <c r="X384" i="1"/>
  <c r="W378" i="1"/>
  <c r="X378" i="1"/>
  <c r="W372" i="1"/>
  <c r="X372" i="1"/>
  <c r="W366" i="1"/>
  <c r="X366" i="1"/>
  <c r="W360" i="1"/>
  <c r="W354" i="1"/>
  <c r="X354" i="1"/>
  <c r="W348" i="1"/>
  <c r="X348" i="1"/>
  <c r="W342" i="1"/>
  <c r="W336" i="1"/>
  <c r="X336" i="1"/>
  <c r="X330" i="1"/>
  <c r="W330" i="1"/>
  <c r="W324" i="1"/>
  <c r="X324" i="1"/>
  <c r="W318" i="1"/>
  <c r="X318" i="1"/>
  <c r="W312" i="1"/>
  <c r="X312" i="1"/>
  <c r="W306" i="1"/>
  <c r="X306" i="1"/>
  <c r="W300" i="1"/>
  <c r="X300" i="1"/>
  <c r="W294" i="1"/>
  <c r="X294" i="1"/>
  <c r="W288" i="1"/>
  <c r="X288" i="1"/>
  <c r="W282" i="1"/>
  <c r="X282" i="1"/>
  <c r="W276" i="1"/>
  <c r="X276" i="1"/>
  <c r="X270" i="1"/>
  <c r="W270" i="1"/>
  <c r="W264" i="1"/>
  <c r="X264" i="1"/>
  <c r="W258" i="1"/>
  <c r="X258" i="1"/>
  <c r="W252" i="1"/>
  <c r="X252" i="1"/>
  <c r="W246" i="1"/>
  <c r="X246" i="1"/>
  <c r="W240" i="1"/>
  <c r="X240" i="1"/>
  <c r="W234" i="1"/>
  <c r="X234" i="1"/>
  <c r="W228" i="1"/>
  <c r="X228" i="1"/>
  <c r="X222" i="1"/>
  <c r="W222" i="1"/>
  <c r="W216" i="1"/>
  <c r="X216" i="1"/>
  <c r="W210" i="1"/>
  <c r="X210" i="1"/>
  <c r="W204" i="1"/>
  <c r="X204" i="1"/>
  <c r="W198" i="1"/>
  <c r="W192" i="1"/>
  <c r="X192" i="1"/>
  <c r="W186" i="1"/>
  <c r="X186" i="1"/>
  <c r="W180" i="1"/>
  <c r="W174" i="1"/>
  <c r="X174" i="1"/>
  <c r="W168" i="1"/>
  <c r="X168" i="1"/>
  <c r="X162" i="1"/>
  <c r="W156" i="1"/>
  <c r="X156" i="1"/>
  <c r="W150" i="1"/>
  <c r="X150" i="1"/>
  <c r="W144" i="1"/>
  <c r="X144" i="1"/>
  <c r="W138" i="1"/>
  <c r="X138" i="1"/>
  <c r="W132" i="1"/>
  <c r="X132" i="1"/>
  <c r="W126" i="1"/>
  <c r="X126" i="1"/>
  <c r="W120" i="1"/>
  <c r="X120" i="1"/>
  <c r="W114" i="1"/>
  <c r="X114" i="1"/>
  <c r="W108" i="1"/>
  <c r="X108" i="1"/>
  <c r="W102" i="1"/>
  <c r="X102" i="1"/>
  <c r="W96" i="1"/>
  <c r="X96" i="1"/>
  <c r="W90" i="1"/>
  <c r="X90" i="1"/>
  <c r="W84" i="1"/>
  <c r="X84" i="1"/>
  <c r="W78" i="1"/>
  <c r="X78" i="1"/>
  <c r="W72" i="1"/>
  <c r="W66" i="1"/>
  <c r="X66" i="1"/>
  <c r="W60" i="1"/>
  <c r="X60" i="1"/>
  <c r="W54" i="1"/>
  <c r="W48" i="1"/>
  <c r="X48" i="1"/>
  <c r="W42" i="1"/>
  <c r="X42" i="1"/>
  <c r="W36" i="1"/>
  <c r="X36" i="1"/>
  <c r="W30" i="1"/>
  <c r="X30" i="1"/>
  <c r="W24" i="1"/>
  <c r="X24" i="1"/>
  <c r="X564" i="1"/>
  <c r="X198" i="1"/>
  <c r="X600" i="1"/>
  <c r="X510" i="1"/>
  <c r="X180" i="1"/>
  <c r="X72" i="1"/>
  <c r="AI20" i="1"/>
  <c r="Z52" i="6" s="1"/>
  <c r="AH20" i="1"/>
  <c r="N3" i="5" s="1"/>
  <c r="W20" i="1"/>
  <c r="BK2" i="5"/>
  <c r="BL23" i="5"/>
  <c r="BL14" i="5"/>
  <c r="BL10" i="5"/>
  <c r="BK24" i="5"/>
  <c r="BK8" i="5"/>
  <c r="BK6" i="5"/>
  <c r="BL7" i="5"/>
  <c r="BK29" i="5"/>
  <c r="BK17" i="5"/>
  <c r="BL16" i="5"/>
  <c r="BL19" i="5"/>
  <c r="D17" i="5"/>
  <c r="AI17" i="1"/>
  <c r="BF31" i="5"/>
  <c r="BF25" i="5"/>
  <c r="BF19" i="5"/>
  <c r="BF13" i="5"/>
  <c r="BF7" i="5"/>
  <c r="AG20" i="1"/>
  <c r="AG17" i="1"/>
  <c r="F11" i="5"/>
  <c r="H11" i="5" s="1"/>
  <c r="I11" i="5" s="1"/>
  <c r="D11" i="5"/>
  <c r="X20" i="1"/>
  <c r="U17" i="5"/>
  <c r="AG17" i="5" s="1"/>
  <c r="BE32" i="5"/>
  <c r="BE26" i="5"/>
  <c r="BE20" i="5"/>
  <c r="BE14" i="5"/>
  <c r="BE8" i="5"/>
  <c r="BE2" i="5"/>
  <c r="BF28" i="5"/>
  <c r="BF22" i="5"/>
  <c r="BF16" i="5"/>
  <c r="BF10" i="5"/>
  <c r="BG10" i="5" s="1"/>
  <c r="BF4" i="5"/>
  <c r="BG4" i="5" s="1"/>
  <c r="BE25" i="5"/>
  <c r="BE19" i="5"/>
  <c r="BE7" i="5"/>
  <c r="BF33" i="5"/>
  <c r="BF27" i="5"/>
  <c r="BF21" i="5"/>
  <c r="BF15" i="5"/>
  <c r="BF9" i="5"/>
  <c r="BF3" i="5"/>
  <c r="BA29" i="5"/>
  <c r="BA23" i="5"/>
  <c r="BA17" i="5"/>
  <c r="BA11" i="5"/>
  <c r="BA5" i="5"/>
  <c r="BA31" i="5"/>
  <c r="BA13" i="5"/>
  <c r="BA33" i="5"/>
  <c r="BA27" i="5"/>
  <c r="BA21" i="5"/>
  <c r="BA15" i="5"/>
  <c r="BA9" i="5"/>
  <c r="BA3" i="5"/>
  <c r="BF12" i="5"/>
  <c r="BF6" i="5"/>
  <c r="BA28" i="5"/>
  <c r="BA22" i="5"/>
  <c r="BA16" i="5"/>
  <c r="BA10" i="5"/>
  <c r="BA4" i="5"/>
  <c r="AX33" i="5"/>
  <c r="AX27" i="5"/>
  <c r="AX21" i="5"/>
  <c r="AX15" i="5"/>
  <c r="AX9" i="5"/>
  <c r="AX3" i="5"/>
  <c r="AX7" i="5"/>
  <c r="AX25" i="5"/>
  <c r="AX31" i="5"/>
  <c r="AX13" i="5"/>
  <c r="BA25" i="5"/>
  <c r="BA19" i="5"/>
  <c r="BA7" i="5"/>
  <c r="AX30" i="5"/>
  <c r="AX24" i="5"/>
  <c r="AX18" i="5"/>
  <c r="AX12" i="5"/>
  <c r="AX6" i="5"/>
  <c r="BG28" i="5"/>
  <c r="BE33" i="5"/>
  <c r="BE21" i="5"/>
  <c r="BE3" i="5"/>
  <c r="AX22" i="5"/>
  <c r="AX4" i="5"/>
  <c r="BE27" i="5"/>
  <c r="AX19" i="5"/>
  <c r="BE31" i="5"/>
  <c r="BE13" i="5"/>
  <c r="AX32" i="5"/>
  <c r="AX26" i="5"/>
  <c r="AX20" i="5"/>
  <c r="AX14" i="5"/>
  <c r="AX8" i="5"/>
  <c r="AX2" i="5"/>
  <c r="AX16" i="5"/>
  <c r="BE30" i="5"/>
  <c r="BE24" i="5"/>
  <c r="BE18" i="5"/>
  <c r="BE12" i="5"/>
  <c r="BE6" i="5"/>
  <c r="BF32" i="5"/>
  <c r="BF26" i="5"/>
  <c r="BF20" i="5"/>
  <c r="BF14" i="5"/>
  <c r="BF8" i="5"/>
  <c r="BF2" i="5"/>
  <c r="BE15" i="5"/>
  <c r="AX29" i="5"/>
  <c r="AX23" i="5"/>
  <c r="AX17" i="5"/>
  <c r="AX11" i="5"/>
  <c r="AX5" i="5"/>
  <c r="BE29" i="5"/>
  <c r="BE23" i="5"/>
  <c r="BE17" i="5"/>
  <c r="BE11" i="5"/>
  <c r="BE5" i="5"/>
  <c r="BE9" i="5"/>
  <c r="AX28" i="5"/>
  <c r="AX10" i="5"/>
  <c r="BA30" i="5"/>
  <c r="BA24" i="5"/>
  <c r="BA18" i="5"/>
  <c r="BA12" i="5"/>
  <c r="BA6" i="5"/>
  <c r="BA32" i="5"/>
  <c r="BA26" i="5"/>
  <c r="BA20" i="5"/>
  <c r="BA14" i="5"/>
  <c r="BA8" i="5"/>
  <c r="BA2" i="5"/>
  <c r="AL18" i="1"/>
  <c r="AF19" i="1"/>
  <c r="W19" i="1"/>
  <c r="AH18" i="1"/>
  <c r="AB57" i="6" s="1"/>
  <c r="AG18" i="1"/>
  <c r="D27" i="5"/>
  <c r="AF18" i="1"/>
  <c r="D20" i="5"/>
  <c r="AI15" i="1"/>
  <c r="T5" i="5" s="1"/>
  <c r="W18" i="1"/>
  <c r="X19" i="1"/>
  <c r="AH15" i="1"/>
  <c r="J25" i="5" s="1"/>
  <c r="AF15" i="1"/>
  <c r="D22" i="5"/>
  <c r="AI9" i="1"/>
  <c r="E46" i="6" s="1"/>
  <c r="D9" i="5"/>
  <c r="F9" i="5"/>
  <c r="H9" i="5" s="1"/>
  <c r="I9" i="5" s="1"/>
  <c r="G22" i="5"/>
  <c r="AC10" i="1"/>
  <c r="X10" i="1" s="1"/>
  <c r="AC11" i="1"/>
  <c r="W11" i="1" s="1"/>
  <c r="AH17" i="1"/>
  <c r="G64" i="6" s="1"/>
  <c r="X18" i="1"/>
  <c r="AI10" i="1"/>
  <c r="AC15" i="1"/>
  <c r="X15" i="1" s="1"/>
  <c r="AC16" i="1"/>
  <c r="X16" i="1" s="1"/>
  <c r="W17" i="1"/>
  <c r="D26" i="5"/>
  <c r="H10" i="5"/>
  <c r="I10" i="5" s="1"/>
  <c r="F19" i="5"/>
  <c r="G26" i="5"/>
  <c r="H26" i="5" s="1"/>
  <c r="I26" i="5" s="1"/>
  <c r="AI16" i="1"/>
  <c r="AH16" i="1"/>
  <c r="D19" i="5"/>
  <c r="AG15" i="1"/>
  <c r="Z16" i="1"/>
  <c r="D14" i="5"/>
  <c r="F14" i="5"/>
  <c r="H14" i="5" s="1"/>
  <c r="I14" i="5" s="1"/>
  <c r="G6" i="5"/>
  <c r="H6" i="5" s="1"/>
  <c r="I6" i="5" s="1"/>
  <c r="D6" i="5"/>
  <c r="X17" i="1"/>
  <c r="AL15" i="1"/>
  <c r="AC12" i="1"/>
  <c r="X12" i="1" s="1"/>
  <c r="AA14" i="1"/>
  <c r="AL12" i="1"/>
  <c r="D10" i="5"/>
  <c r="D25" i="5"/>
  <c r="AL11" i="1"/>
  <c r="Z9" i="1"/>
  <c r="AL10" i="1"/>
  <c r="AA15" i="1"/>
  <c r="AG16" i="1"/>
  <c r="AA16" i="1"/>
  <c r="W14" i="1"/>
  <c r="W15" i="1"/>
  <c r="W13" i="1"/>
  <c r="AI14" i="1"/>
  <c r="J51" i="6" s="1"/>
  <c r="AH14" i="1"/>
  <c r="P45" i="6" s="1"/>
  <c r="Z13" i="1"/>
  <c r="AH13" i="1"/>
  <c r="K15" i="5" s="1"/>
  <c r="AG14" i="1"/>
  <c r="AA13" i="1"/>
  <c r="AI13" i="1"/>
  <c r="M49" i="6" s="1"/>
  <c r="Z14" i="1"/>
  <c r="X14" i="1"/>
  <c r="AH10" i="1"/>
  <c r="T58" i="6" s="1"/>
  <c r="AH12" i="1"/>
  <c r="Q4" i="5" s="1"/>
  <c r="AG13" i="1"/>
  <c r="AI12" i="1"/>
  <c r="AA54" i="6" s="1"/>
  <c r="Z11" i="1"/>
  <c r="X13" i="1"/>
  <c r="AI11" i="1"/>
  <c r="T20" i="5" s="1"/>
  <c r="AA11" i="1"/>
  <c r="AH11" i="1"/>
  <c r="L27" i="5" s="1"/>
  <c r="AG12" i="1"/>
  <c r="AA12" i="1"/>
  <c r="AA9" i="1"/>
  <c r="Z12" i="1"/>
  <c r="AF10" i="1"/>
  <c r="AG11" i="1"/>
  <c r="AA10" i="1"/>
  <c r="AG10" i="1"/>
  <c r="X11" i="1"/>
  <c r="AI6" i="1"/>
  <c r="T31" i="5" s="1"/>
  <c r="Z10" i="1"/>
  <c r="B2" i="6"/>
  <c r="V24" i="5"/>
  <c r="AB24" i="5" s="1"/>
  <c r="AH8" i="1"/>
  <c r="AG56" i="6" s="1"/>
  <c r="X9" i="1"/>
  <c r="AH7" i="1"/>
  <c r="W59" i="6" s="1"/>
  <c r="AF18" i="6"/>
  <c r="H27" i="5"/>
  <c r="I27" i="5" s="1"/>
  <c r="H16" i="5"/>
  <c r="I16" i="5" s="1"/>
  <c r="H25" i="5"/>
  <c r="I25" i="5" s="1"/>
  <c r="H17" i="5"/>
  <c r="I17" i="5" s="1"/>
  <c r="H20" i="5"/>
  <c r="I20" i="5" s="1"/>
  <c r="H21" i="5"/>
  <c r="I21" i="5" s="1"/>
  <c r="AE33" i="6"/>
  <c r="H31" i="6"/>
  <c r="S26" i="6"/>
  <c r="K21" i="6"/>
  <c r="AF3" i="1"/>
  <c r="B26" i="6"/>
  <c r="B17" i="6"/>
  <c r="B8" i="6"/>
  <c r="R33" i="6"/>
  <c r="AE32" i="6"/>
  <c r="M32" i="6"/>
  <c r="Z31" i="6"/>
  <c r="AB29" i="6"/>
  <c r="W28" i="6"/>
  <c r="R27" i="6"/>
  <c r="M26" i="6"/>
  <c r="H25" i="6"/>
  <c r="C24" i="6"/>
  <c r="X22" i="6"/>
  <c r="AD20" i="6"/>
  <c r="S18" i="6"/>
  <c r="C30" i="6"/>
  <c r="N25" i="6"/>
  <c r="M13" i="6"/>
  <c r="AG8" i="1"/>
  <c r="F3" i="5"/>
  <c r="H3" i="5" s="1"/>
  <c r="I3" i="5" s="1"/>
  <c r="J3" i="5"/>
  <c r="D3" i="5"/>
  <c r="G33" i="5"/>
  <c r="H33" i="5" s="1"/>
  <c r="I33" i="5" s="1"/>
  <c r="D33" i="5"/>
  <c r="AG2" i="1"/>
  <c r="E2" i="6"/>
  <c r="K2" i="6"/>
  <c r="Q2" i="6"/>
  <c r="W2" i="6"/>
  <c r="AC2" i="6"/>
  <c r="D3" i="6"/>
  <c r="J3" i="6"/>
  <c r="P3" i="6"/>
  <c r="V3" i="6"/>
  <c r="AB3" i="6"/>
  <c r="C4" i="6"/>
  <c r="I4" i="6"/>
  <c r="O4" i="6"/>
  <c r="U4" i="6"/>
  <c r="AA4" i="6"/>
  <c r="AG4" i="6"/>
  <c r="H5" i="6"/>
  <c r="N5" i="6"/>
  <c r="T5" i="6"/>
  <c r="Z5" i="6"/>
  <c r="AF5" i="6"/>
  <c r="G6" i="6"/>
  <c r="M6" i="6"/>
  <c r="S6" i="6"/>
  <c r="Y6" i="6"/>
  <c r="AE6" i="6"/>
  <c r="F7" i="6"/>
  <c r="L7" i="6"/>
  <c r="R7" i="6"/>
  <c r="X7" i="6"/>
  <c r="AD7" i="6"/>
  <c r="E8" i="6"/>
  <c r="K8" i="6"/>
  <c r="Q8" i="6"/>
  <c r="W8" i="6"/>
  <c r="AC8" i="6"/>
  <c r="D9" i="6"/>
  <c r="P9" i="6"/>
  <c r="V9" i="6"/>
  <c r="AB9" i="6"/>
  <c r="C10" i="6"/>
  <c r="O10" i="6"/>
  <c r="U10" i="6"/>
  <c r="AA10" i="6"/>
  <c r="AG10" i="6"/>
  <c r="H11" i="6"/>
  <c r="N11" i="6"/>
  <c r="T11" i="6"/>
  <c r="D7" i="5"/>
  <c r="D13" i="5"/>
  <c r="F2" i="6"/>
  <c r="L2" i="6"/>
  <c r="R2" i="6"/>
  <c r="X2" i="6"/>
  <c r="AD2" i="6"/>
  <c r="E3" i="6"/>
  <c r="K3" i="6"/>
  <c r="Q3" i="6"/>
  <c r="W3" i="6"/>
  <c r="AC3" i="6"/>
  <c r="D4" i="6"/>
  <c r="J4" i="6"/>
  <c r="P4" i="6"/>
  <c r="V4" i="6"/>
  <c r="AB4" i="6"/>
  <c r="C5" i="6"/>
  <c r="I5" i="6"/>
  <c r="O5" i="6"/>
  <c r="U5" i="6"/>
  <c r="AA5" i="6"/>
  <c r="AG5" i="6"/>
  <c r="H6" i="6"/>
  <c r="N6" i="6"/>
  <c r="T6" i="6"/>
  <c r="Z6" i="6"/>
  <c r="AF6" i="6"/>
  <c r="G7" i="6"/>
  <c r="M7" i="6"/>
  <c r="S7" i="6"/>
  <c r="Y7" i="6"/>
  <c r="AE7" i="6"/>
  <c r="F8" i="6"/>
  <c r="L8" i="6"/>
  <c r="R8" i="6"/>
  <c r="X8" i="6"/>
  <c r="AD8" i="6"/>
  <c r="E9" i="6"/>
  <c r="K9" i="6"/>
  <c r="Q9" i="6"/>
  <c r="W9" i="6"/>
  <c r="AC9" i="6"/>
  <c r="D10" i="6"/>
  <c r="J10" i="6"/>
  <c r="P10" i="6"/>
  <c r="V10" i="6"/>
  <c r="AB10" i="6"/>
  <c r="C11" i="6"/>
  <c r="I11" i="6"/>
  <c r="O11" i="6"/>
  <c r="U11" i="6"/>
  <c r="AA11" i="6"/>
  <c r="G2" i="6"/>
  <c r="M2" i="6"/>
  <c r="S2" i="6"/>
  <c r="Y2" i="6"/>
  <c r="AE2" i="6"/>
  <c r="F3" i="6"/>
  <c r="L3" i="6"/>
  <c r="R3" i="6"/>
  <c r="X3" i="6"/>
  <c r="AD3" i="6"/>
  <c r="E4" i="6"/>
  <c r="K4" i="6"/>
  <c r="Q4" i="6"/>
  <c r="W4" i="6"/>
  <c r="AC4" i="6"/>
  <c r="D5" i="6"/>
  <c r="J5" i="6"/>
  <c r="P5" i="6"/>
  <c r="V5" i="6"/>
  <c r="AB5" i="6"/>
  <c r="C6" i="6"/>
  <c r="I6" i="6"/>
  <c r="O6" i="6"/>
  <c r="U6" i="6"/>
  <c r="AA6" i="6"/>
  <c r="AG6" i="6"/>
  <c r="H7" i="6"/>
  <c r="N7" i="6"/>
  <c r="Z7" i="6"/>
  <c r="AF7" i="6"/>
  <c r="G8" i="6"/>
  <c r="M8" i="6"/>
  <c r="S8" i="6"/>
  <c r="Y8" i="6"/>
  <c r="AE8" i="6"/>
  <c r="F9" i="6"/>
  <c r="L9" i="6"/>
  <c r="R9" i="6"/>
  <c r="X9" i="6"/>
  <c r="AD9" i="6"/>
  <c r="E10" i="6"/>
  <c r="K10" i="6"/>
  <c r="Q10" i="6"/>
  <c r="W10" i="6"/>
  <c r="D11" i="6"/>
  <c r="J11" i="6"/>
  <c r="P11" i="6"/>
  <c r="V11" i="6"/>
  <c r="AB11" i="6"/>
  <c r="C12" i="6"/>
  <c r="I12" i="6"/>
  <c r="O12" i="6"/>
  <c r="I2" i="6"/>
  <c r="O2" i="6"/>
  <c r="U2" i="6"/>
  <c r="AA2" i="6"/>
  <c r="AG2" i="6"/>
  <c r="H3" i="6"/>
  <c r="N3" i="6"/>
  <c r="T3" i="6"/>
  <c r="Z3" i="6"/>
  <c r="AF3" i="6"/>
  <c r="G4" i="6"/>
  <c r="M4" i="6"/>
  <c r="S4" i="6"/>
  <c r="Y4" i="6"/>
  <c r="AE4" i="6"/>
  <c r="F5" i="6"/>
  <c r="L5" i="6"/>
  <c r="X5" i="6"/>
  <c r="AD5" i="6"/>
  <c r="E6" i="6"/>
  <c r="K6" i="6"/>
  <c r="Q6" i="6"/>
  <c r="W6" i="6"/>
  <c r="AC6" i="6"/>
  <c r="D7" i="6"/>
  <c r="J7" i="6"/>
  <c r="P7" i="6"/>
  <c r="V7" i="6"/>
  <c r="AB7" i="6"/>
  <c r="C8" i="6"/>
  <c r="O8" i="6"/>
  <c r="U8" i="6"/>
  <c r="AA8" i="6"/>
  <c r="AG8" i="6"/>
  <c r="N9" i="6"/>
  <c r="T9" i="6"/>
  <c r="Z9" i="6"/>
  <c r="AF9" i="6"/>
  <c r="G10" i="6"/>
  <c r="M10" i="6"/>
  <c r="S10" i="6"/>
  <c r="Y10" i="6"/>
  <c r="AE10" i="6"/>
  <c r="D2" i="6"/>
  <c r="V2" i="6"/>
  <c r="I3" i="6"/>
  <c r="AA3" i="6"/>
  <c r="N4" i="6"/>
  <c r="AF4" i="6"/>
  <c r="S5" i="6"/>
  <c r="F6" i="6"/>
  <c r="X6" i="6"/>
  <c r="K7" i="6"/>
  <c r="AC7" i="6"/>
  <c r="AO981" i="1" s="1"/>
  <c r="P8" i="6"/>
  <c r="C9" i="6"/>
  <c r="U9" i="6"/>
  <c r="H10" i="6"/>
  <c r="Z10" i="6"/>
  <c r="K11" i="6"/>
  <c r="W11" i="6"/>
  <c r="AE11" i="6"/>
  <c r="G12" i="6"/>
  <c r="N12" i="6"/>
  <c r="U12" i="6"/>
  <c r="AA12" i="6"/>
  <c r="AG12" i="6"/>
  <c r="H13" i="6"/>
  <c r="N13" i="6"/>
  <c r="T13" i="6"/>
  <c r="Z13" i="6"/>
  <c r="AF13" i="6"/>
  <c r="G14" i="6"/>
  <c r="M14" i="6"/>
  <c r="S14" i="6"/>
  <c r="Y14" i="6"/>
  <c r="AE14" i="6"/>
  <c r="F15" i="6"/>
  <c r="L15" i="6"/>
  <c r="R15" i="6"/>
  <c r="X15" i="6"/>
  <c r="AD15" i="6"/>
  <c r="E16" i="6"/>
  <c r="K16" i="6"/>
  <c r="Q16" i="6"/>
  <c r="W16" i="6"/>
  <c r="AC16" i="6"/>
  <c r="D17" i="6"/>
  <c r="J17" i="6"/>
  <c r="P17" i="6"/>
  <c r="V17" i="6"/>
  <c r="AB17" i="6"/>
  <c r="C18" i="6"/>
  <c r="I18" i="6"/>
  <c r="O18" i="6"/>
  <c r="U18" i="6"/>
  <c r="AA18" i="6"/>
  <c r="AG18" i="6"/>
  <c r="H19" i="6"/>
  <c r="N19" i="6"/>
  <c r="T19" i="6"/>
  <c r="Z19" i="6"/>
  <c r="AF19" i="6"/>
  <c r="M20" i="6"/>
  <c r="S20" i="6"/>
  <c r="Y20" i="6"/>
  <c r="AE20" i="6"/>
  <c r="F21" i="6"/>
  <c r="L21" i="6"/>
  <c r="R21" i="6"/>
  <c r="X21" i="6"/>
  <c r="AD21" i="6"/>
  <c r="E22" i="6"/>
  <c r="H2" i="6"/>
  <c r="Z2" i="6"/>
  <c r="M3" i="6"/>
  <c r="AE3" i="6"/>
  <c r="R4" i="6"/>
  <c r="E5" i="6"/>
  <c r="W5" i="6"/>
  <c r="J6" i="6"/>
  <c r="AB6" i="6"/>
  <c r="O7" i="6"/>
  <c r="AG7" i="6"/>
  <c r="T8" i="6"/>
  <c r="G9" i="6"/>
  <c r="Y9" i="6"/>
  <c r="L10" i="6"/>
  <c r="AD10" i="6"/>
  <c r="L11" i="6"/>
  <c r="X11" i="6"/>
  <c r="AF11" i="6"/>
  <c r="H12" i="6"/>
  <c r="P12" i="6"/>
  <c r="V12" i="6"/>
  <c r="AB12" i="6"/>
  <c r="C13" i="6"/>
  <c r="I13" i="6"/>
  <c r="O13" i="6"/>
  <c r="U13" i="6"/>
  <c r="AA13" i="6"/>
  <c r="H14" i="6"/>
  <c r="N14" i="6"/>
  <c r="T14" i="6"/>
  <c r="Z14" i="6"/>
  <c r="AF14" i="6"/>
  <c r="G15" i="6"/>
  <c r="M15" i="6"/>
  <c r="S15" i="6"/>
  <c r="Y15" i="6"/>
  <c r="AE15" i="6"/>
  <c r="F16" i="6"/>
  <c r="L16" i="6"/>
  <c r="R16" i="6"/>
  <c r="X16" i="6"/>
  <c r="AD16" i="6"/>
  <c r="E17" i="6"/>
  <c r="K17" i="6"/>
  <c r="Q17" i="6"/>
  <c r="W17" i="6"/>
  <c r="AC17" i="6"/>
  <c r="D18" i="6"/>
  <c r="J18" i="6"/>
  <c r="P18" i="6"/>
  <c r="V18" i="6"/>
  <c r="J2" i="6"/>
  <c r="AB2" i="6"/>
  <c r="O3" i="6"/>
  <c r="AG3" i="6"/>
  <c r="T4" i="6"/>
  <c r="G5" i="6"/>
  <c r="Y5" i="6"/>
  <c r="AD6" i="6"/>
  <c r="Q7" i="6"/>
  <c r="V8" i="6"/>
  <c r="I9" i="6"/>
  <c r="AA9" i="6"/>
  <c r="N10" i="6"/>
  <c r="AF10" i="6"/>
  <c r="M11" i="6"/>
  <c r="AG11" i="6"/>
  <c r="J12" i="6"/>
  <c r="Q12" i="6"/>
  <c r="W12" i="6"/>
  <c r="AC12" i="6"/>
  <c r="D13" i="6"/>
  <c r="J13" i="6"/>
  <c r="P13" i="6"/>
  <c r="V13" i="6"/>
  <c r="AB13" i="6"/>
  <c r="C14" i="6"/>
  <c r="I14" i="6"/>
  <c r="O14" i="6"/>
  <c r="U14" i="6"/>
  <c r="AA14" i="6"/>
  <c r="AG14" i="6"/>
  <c r="H15" i="6"/>
  <c r="N15" i="6"/>
  <c r="T15" i="6"/>
  <c r="Z15" i="6"/>
  <c r="AF15" i="6"/>
  <c r="G16" i="6"/>
  <c r="M16" i="6"/>
  <c r="S16" i="6"/>
  <c r="Y16" i="6"/>
  <c r="F17" i="6"/>
  <c r="L17" i="6"/>
  <c r="R17" i="6"/>
  <c r="X17" i="6"/>
  <c r="AD17" i="6"/>
  <c r="K18" i="6"/>
  <c r="Q18" i="6"/>
  <c r="W18" i="6"/>
  <c r="D19" i="6"/>
  <c r="J19" i="6"/>
  <c r="P19" i="6"/>
  <c r="V19" i="6"/>
  <c r="AB19" i="6"/>
  <c r="C20" i="6"/>
  <c r="I20" i="6"/>
  <c r="O20" i="6"/>
  <c r="U20" i="6"/>
  <c r="AA20" i="6"/>
  <c r="AG20" i="6"/>
  <c r="H21" i="6"/>
  <c r="N21" i="6"/>
  <c r="T21" i="6"/>
  <c r="Z21" i="6"/>
  <c r="AF21" i="6"/>
  <c r="G22" i="6"/>
  <c r="M22" i="6"/>
  <c r="S22" i="6"/>
  <c r="Y22" i="6"/>
  <c r="AE22" i="6"/>
  <c r="F23" i="6"/>
  <c r="L23" i="6"/>
  <c r="R23" i="6"/>
  <c r="F7" i="5"/>
  <c r="H7" i="5" s="1"/>
  <c r="I7" i="5" s="1"/>
  <c r="N2" i="6"/>
  <c r="AF2" i="6"/>
  <c r="S3" i="6"/>
  <c r="F4" i="6"/>
  <c r="X4" i="6"/>
  <c r="AC5" i="6"/>
  <c r="P6" i="6"/>
  <c r="C7" i="6"/>
  <c r="U7" i="6"/>
  <c r="H8" i="6"/>
  <c r="Z8" i="6"/>
  <c r="M9" i="6"/>
  <c r="AE9" i="6"/>
  <c r="R10" i="6"/>
  <c r="Q11" i="6"/>
  <c r="Z11" i="6"/>
  <c r="D12" i="6"/>
  <c r="K12" i="6"/>
  <c r="R12" i="6"/>
  <c r="X12" i="6"/>
  <c r="AD12" i="6"/>
  <c r="E13" i="6"/>
  <c r="K13" i="6"/>
  <c r="Q13" i="6"/>
  <c r="W13" i="6"/>
  <c r="AC13" i="6"/>
  <c r="D14" i="6"/>
  <c r="J14" i="6"/>
  <c r="P14" i="6"/>
  <c r="V14" i="6"/>
  <c r="C15" i="6"/>
  <c r="I15" i="6"/>
  <c r="O15" i="6"/>
  <c r="AA15" i="6"/>
  <c r="AG15" i="6"/>
  <c r="H16" i="6"/>
  <c r="N16" i="6"/>
  <c r="T16" i="6"/>
  <c r="Z16" i="6"/>
  <c r="AF16" i="6"/>
  <c r="G17" i="6"/>
  <c r="M17" i="6"/>
  <c r="S17" i="6"/>
  <c r="Y17" i="6"/>
  <c r="AE17" i="6"/>
  <c r="F18" i="6"/>
  <c r="L18" i="6"/>
  <c r="R18" i="6"/>
  <c r="X18" i="6"/>
  <c r="AD18" i="6"/>
  <c r="E19" i="6"/>
  <c r="K19" i="6"/>
  <c r="Q19" i="6"/>
  <c r="AC19" i="6"/>
  <c r="D20" i="6"/>
  <c r="J20" i="6"/>
  <c r="P20" i="6"/>
  <c r="V20" i="6"/>
  <c r="AB20" i="6"/>
  <c r="C21" i="6"/>
  <c r="I21" i="6"/>
  <c r="U21" i="6"/>
  <c r="G13" i="5"/>
  <c r="H13" i="5" s="1"/>
  <c r="I13" i="5" s="1"/>
  <c r="P2" i="6"/>
  <c r="C3" i="6"/>
  <c r="U3" i="6"/>
  <c r="Z4" i="6"/>
  <c r="M5" i="6"/>
  <c r="AE5" i="6"/>
  <c r="R6" i="6"/>
  <c r="E7" i="6"/>
  <c r="W7" i="6"/>
  <c r="J8" i="6"/>
  <c r="AB8" i="6"/>
  <c r="O9" i="6"/>
  <c r="AG9" i="6"/>
  <c r="T10" i="6"/>
  <c r="F11" i="6"/>
  <c r="R11" i="6"/>
  <c r="AC11" i="6"/>
  <c r="E12" i="6"/>
  <c r="L12" i="6"/>
  <c r="S12" i="6"/>
  <c r="Y12" i="6"/>
  <c r="AE12" i="6"/>
  <c r="F13" i="6"/>
  <c r="L13" i="6"/>
  <c r="R13" i="6"/>
  <c r="X13" i="6"/>
  <c r="AD13" i="6"/>
  <c r="E14" i="6"/>
  <c r="K14" i="6"/>
  <c r="Q14" i="6"/>
  <c r="W14" i="6"/>
  <c r="AC14" i="6"/>
  <c r="D15" i="6"/>
  <c r="J15" i="6"/>
  <c r="P15" i="6"/>
  <c r="V15" i="6"/>
  <c r="AB15" i="6"/>
  <c r="C16" i="6"/>
  <c r="I16" i="6"/>
  <c r="O16" i="6"/>
  <c r="U16" i="6"/>
  <c r="AA16" i="6"/>
  <c r="AG16" i="6"/>
  <c r="H17" i="6"/>
  <c r="N17" i="6"/>
  <c r="T17" i="6"/>
  <c r="G3" i="6"/>
  <c r="V6" i="6"/>
  <c r="F10" i="6"/>
  <c r="M12" i="6"/>
  <c r="S13" i="6"/>
  <c r="X14" i="6"/>
  <c r="AC15" i="6"/>
  <c r="C17" i="6"/>
  <c r="AG17" i="6"/>
  <c r="T18" i="6"/>
  <c r="C19" i="6"/>
  <c r="O19" i="6"/>
  <c r="AA19" i="6"/>
  <c r="H20" i="6"/>
  <c r="T20" i="6"/>
  <c r="AF20" i="6"/>
  <c r="M21" i="6"/>
  <c r="Y21" i="6"/>
  <c r="C22" i="6"/>
  <c r="K22" i="6"/>
  <c r="R22" i="6"/>
  <c r="AG22" i="6"/>
  <c r="I23" i="6"/>
  <c r="P23" i="6"/>
  <c r="W23" i="6"/>
  <c r="AC23" i="6"/>
  <c r="D24" i="6"/>
  <c r="J24" i="6"/>
  <c r="P24" i="6"/>
  <c r="V24" i="6"/>
  <c r="AB24" i="6"/>
  <c r="C25" i="6"/>
  <c r="I25" i="6"/>
  <c r="O25" i="6"/>
  <c r="U25" i="6"/>
  <c r="AA25" i="6"/>
  <c r="AG25" i="6"/>
  <c r="H26" i="6"/>
  <c r="N26" i="6"/>
  <c r="T26" i="6"/>
  <c r="Z26" i="6"/>
  <c r="AF26" i="6"/>
  <c r="G27" i="6"/>
  <c r="M27" i="6"/>
  <c r="S27" i="6"/>
  <c r="Y27" i="6"/>
  <c r="AE27" i="6"/>
  <c r="F28" i="6"/>
  <c r="L28" i="6"/>
  <c r="R28" i="6"/>
  <c r="X28" i="6"/>
  <c r="AD28" i="6"/>
  <c r="E29" i="6"/>
  <c r="K29" i="6"/>
  <c r="Q29" i="6"/>
  <c r="W29" i="6"/>
  <c r="AC29" i="6"/>
  <c r="J30" i="6"/>
  <c r="P30" i="6"/>
  <c r="V30" i="6"/>
  <c r="AB30" i="6"/>
  <c r="C31" i="6"/>
  <c r="I31" i="6"/>
  <c r="O31" i="6"/>
  <c r="U31" i="6"/>
  <c r="AA31" i="6"/>
  <c r="AG31" i="6"/>
  <c r="H32" i="6"/>
  <c r="N32" i="6"/>
  <c r="T32" i="6"/>
  <c r="Z32" i="6"/>
  <c r="AF32" i="6"/>
  <c r="G33" i="6"/>
  <c r="S33" i="6"/>
  <c r="Y33" i="6"/>
  <c r="Y3" i="6"/>
  <c r="I7" i="6"/>
  <c r="X10" i="6"/>
  <c r="T12" i="6"/>
  <c r="Y13" i="6"/>
  <c r="AD14" i="6"/>
  <c r="D16" i="6"/>
  <c r="I17" i="6"/>
  <c r="G18" i="6"/>
  <c r="Y18" i="6"/>
  <c r="F19" i="6"/>
  <c r="R19" i="6"/>
  <c r="AD19" i="6"/>
  <c r="K20" i="6"/>
  <c r="W20" i="6"/>
  <c r="D21" i="6"/>
  <c r="P21" i="6"/>
  <c r="AA21" i="6"/>
  <c r="D22" i="6"/>
  <c r="L22" i="6"/>
  <c r="T22" i="6"/>
  <c r="AA22" i="6"/>
  <c r="C23" i="6"/>
  <c r="J23" i="6"/>
  <c r="Q23" i="6"/>
  <c r="AD23" i="6"/>
  <c r="E24" i="6"/>
  <c r="K24" i="6"/>
  <c r="Q24" i="6"/>
  <c r="AC24" i="6"/>
  <c r="D25" i="6"/>
  <c r="J25" i="6"/>
  <c r="P25" i="6"/>
  <c r="V25" i="6"/>
  <c r="AB25" i="6"/>
  <c r="C26" i="6"/>
  <c r="I26" i="6"/>
  <c r="O26" i="6"/>
  <c r="U26" i="6"/>
  <c r="AA26" i="6"/>
  <c r="AG26" i="6"/>
  <c r="H27" i="6"/>
  <c r="N27" i="6"/>
  <c r="T27" i="6"/>
  <c r="Z27" i="6"/>
  <c r="AF27" i="6"/>
  <c r="G28" i="6"/>
  <c r="M28" i="6"/>
  <c r="S28" i="6"/>
  <c r="Y28" i="6"/>
  <c r="AE28" i="6"/>
  <c r="F29" i="6"/>
  <c r="L29" i="6"/>
  <c r="X29" i="6"/>
  <c r="AD29" i="6"/>
  <c r="E30" i="6"/>
  <c r="K30" i="6"/>
  <c r="Q30" i="6"/>
  <c r="W30" i="6"/>
  <c r="AC30" i="6"/>
  <c r="D31" i="6"/>
  <c r="J31" i="6"/>
  <c r="V31" i="6"/>
  <c r="AB31" i="6"/>
  <c r="C32" i="6"/>
  <c r="I32" i="6"/>
  <c r="O32" i="6"/>
  <c r="U32" i="6"/>
  <c r="AA32" i="6"/>
  <c r="AG32" i="6"/>
  <c r="H33" i="6"/>
  <c r="N33" i="6"/>
  <c r="T33" i="6"/>
  <c r="Z33" i="6"/>
  <c r="AF33" i="6"/>
  <c r="B7" i="6"/>
  <c r="B13" i="6"/>
  <c r="B19" i="6"/>
  <c r="B25" i="6"/>
  <c r="B31" i="6"/>
  <c r="L4" i="6"/>
  <c r="AA7" i="6"/>
  <c r="G11" i="6"/>
  <c r="Z12" i="6"/>
  <c r="AE13" i="6"/>
  <c r="E15" i="6"/>
  <c r="J16" i="6"/>
  <c r="O17" i="6"/>
  <c r="H18" i="6"/>
  <c r="Z18" i="6"/>
  <c r="G19" i="6"/>
  <c r="S19" i="6"/>
  <c r="AE19" i="6"/>
  <c r="L20" i="6"/>
  <c r="X20" i="6"/>
  <c r="E21" i="6"/>
  <c r="Q21" i="6"/>
  <c r="AB21" i="6"/>
  <c r="F22" i="6"/>
  <c r="N22" i="6"/>
  <c r="U22" i="6"/>
  <c r="AB22" i="6"/>
  <c r="D23" i="6"/>
  <c r="K23" i="6"/>
  <c r="Y23" i="6"/>
  <c r="AE23" i="6"/>
  <c r="F24" i="6"/>
  <c r="L24" i="6"/>
  <c r="R24" i="6"/>
  <c r="X24" i="6"/>
  <c r="AD24" i="6"/>
  <c r="E25" i="6"/>
  <c r="Q25" i="6"/>
  <c r="W25" i="6"/>
  <c r="AC25" i="6"/>
  <c r="D26" i="6"/>
  <c r="J26" i="6"/>
  <c r="P26" i="6"/>
  <c r="AB26" i="6"/>
  <c r="C27" i="6"/>
  <c r="I27" i="6"/>
  <c r="O27" i="6"/>
  <c r="U27" i="6"/>
  <c r="AA27" i="6"/>
  <c r="AG27" i="6"/>
  <c r="H28" i="6"/>
  <c r="T28" i="6"/>
  <c r="Z28" i="6"/>
  <c r="AF28" i="6"/>
  <c r="G29" i="6"/>
  <c r="AQ981" i="1" s="1"/>
  <c r="M29" i="6"/>
  <c r="S29" i="6"/>
  <c r="Y29" i="6"/>
  <c r="AE29" i="6"/>
  <c r="F30" i="6"/>
  <c r="L30" i="6"/>
  <c r="R30" i="6"/>
  <c r="X30" i="6"/>
  <c r="AD30" i="6"/>
  <c r="E31" i="6"/>
  <c r="K31" i="6"/>
  <c r="N8" i="6"/>
  <c r="S11" i="6"/>
  <c r="AF12" i="6"/>
  <c r="F14" i="6"/>
  <c r="K15" i="6"/>
  <c r="P16" i="6"/>
  <c r="U17" i="6"/>
  <c r="M18" i="6"/>
  <c r="AB18" i="6"/>
  <c r="I19" i="6"/>
  <c r="U19" i="6"/>
  <c r="AG19" i="6"/>
  <c r="N20" i="6"/>
  <c r="Z20" i="6"/>
  <c r="G21" i="6"/>
  <c r="S21" i="6"/>
  <c r="AC21" i="6"/>
  <c r="H22" i="6"/>
  <c r="O22" i="6"/>
  <c r="V22" i="6"/>
  <c r="AC22" i="6"/>
  <c r="E23" i="6"/>
  <c r="M23" i="6"/>
  <c r="T23" i="6"/>
  <c r="Z23" i="6"/>
  <c r="AF23" i="6"/>
  <c r="G24" i="6"/>
  <c r="M24" i="6"/>
  <c r="S24" i="6"/>
  <c r="Y24" i="6"/>
  <c r="AE24" i="6"/>
  <c r="F25" i="6"/>
  <c r="L25" i="6"/>
  <c r="R25" i="6"/>
  <c r="X25" i="6"/>
  <c r="AD25" i="6"/>
  <c r="E26" i="6"/>
  <c r="K26" i="6"/>
  <c r="W26" i="6"/>
  <c r="AC26" i="6"/>
  <c r="D27" i="6"/>
  <c r="J27" i="6"/>
  <c r="P27" i="6"/>
  <c r="V27" i="6"/>
  <c r="AB27" i="6"/>
  <c r="C28" i="6"/>
  <c r="I28" i="6"/>
  <c r="O28" i="6"/>
  <c r="U28" i="6"/>
  <c r="AA28" i="6"/>
  <c r="AG28" i="6"/>
  <c r="H29" i="6"/>
  <c r="N29" i="6"/>
  <c r="T29" i="6"/>
  <c r="Z29" i="6"/>
  <c r="AF29" i="6"/>
  <c r="G30" i="6"/>
  <c r="M30" i="6"/>
  <c r="S30" i="6"/>
  <c r="Y30" i="6"/>
  <c r="AE30" i="6"/>
  <c r="F31" i="6"/>
  <c r="L31" i="6"/>
  <c r="R31" i="6"/>
  <c r="X31" i="6"/>
  <c r="AD31" i="6"/>
  <c r="E32" i="6"/>
  <c r="K32" i="6"/>
  <c r="Q32" i="6"/>
  <c r="W32" i="6"/>
  <c r="AC32" i="6"/>
  <c r="D33" i="6"/>
  <c r="J33" i="6"/>
  <c r="P33" i="6"/>
  <c r="Q5" i="6"/>
  <c r="AF8" i="6"/>
  <c r="AD11" i="6"/>
  <c r="G13" i="6"/>
  <c r="L14" i="6"/>
  <c r="Q15" i="6"/>
  <c r="V16" i="6"/>
  <c r="AA17" i="6"/>
  <c r="N18" i="6"/>
  <c r="AE18" i="6"/>
  <c r="L19" i="6"/>
  <c r="X19" i="6"/>
  <c r="E20" i="6"/>
  <c r="Q20" i="6"/>
  <c r="AC20" i="6"/>
  <c r="J21" i="6"/>
  <c r="V21" i="6"/>
  <c r="AE21" i="6"/>
  <c r="I22" i="6"/>
  <c r="P22" i="6"/>
  <c r="W22" i="6"/>
  <c r="AD22" i="6"/>
  <c r="G23" i="6"/>
  <c r="N23" i="6"/>
  <c r="U23" i="6"/>
  <c r="AA23" i="6"/>
  <c r="AG23" i="6"/>
  <c r="H24" i="6"/>
  <c r="N24" i="6"/>
  <c r="T24" i="6"/>
  <c r="Z24" i="6"/>
  <c r="AF24" i="6"/>
  <c r="G25" i="6"/>
  <c r="M25" i="6"/>
  <c r="S25" i="6"/>
  <c r="Y25" i="6"/>
  <c r="AE25" i="6"/>
  <c r="F26" i="6"/>
  <c r="L26" i="6"/>
  <c r="R26" i="6"/>
  <c r="X26" i="6"/>
  <c r="AD26" i="6"/>
  <c r="E27" i="6"/>
  <c r="K27" i="6"/>
  <c r="Q27" i="6"/>
  <c r="W27" i="6"/>
  <c r="AC27" i="6"/>
  <c r="D28" i="6"/>
  <c r="J28" i="6"/>
  <c r="P28" i="6"/>
  <c r="V28" i="6"/>
  <c r="AB28" i="6"/>
  <c r="C29" i="6"/>
  <c r="I29" i="6"/>
  <c r="O29" i="6"/>
  <c r="U29" i="6"/>
  <c r="AA29" i="6"/>
  <c r="AG29" i="6"/>
  <c r="H30" i="6"/>
  <c r="N30" i="6"/>
  <c r="T30" i="6"/>
  <c r="Z30" i="6"/>
  <c r="AF30" i="6"/>
  <c r="G31" i="6"/>
  <c r="M31" i="6"/>
  <c r="S31" i="6"/>
  <c r="Y31" i="6"/>
  <c r="AE31" i="6"/>
  <c r="F32" i="6"/>
  <c r="L32" i="6"/>
  <c r="R32" i="6"/>
  <c r="X32" i="6"/>
  <c r="AD32" i="6"/>
  <c r="E33" i="6"/>
  <c r="K33" i="6"/>
  <c r="Q33" i="6"/>
  <c r="W33" i="6"/>
  <c r="AC33" i="6"/>
  <c r="B4" i="6"/>
  <c r="B10" i="6"/>
  <c r="B16" i="6"/>
  <c r="B22" i="6"/>
  <c r="B28" i="6"/>
  <c r="AH6" i="1"/>
  <c r="I10" i="6" s="1"/>
  <c r="AI8" i="1"/>
  <c r="U68" i="6" s="1"/>
  <c r="B33" i="6"/>
  <c r="B24" i="6"/>
  <c r="B15" i="6"/>
  <c r="B6" i="6"/>
  <c r="AB33" i="6"/>
  <c r="O33" i="6"/>
  <c r="AB32" i="6"/>
  <c r="J32" i="6"/>
  <c r="W31" i="6"/>
  <c r="AA30" i="6"/>
  <c r="V29" i="6"/>
  <c r="Q28" i="6"/>
  <c r="L27" i="6"/>
  <c r="G26" i="6"/>
  <c r="AG24" i="6"/>
  <c r="AB23" i="6"/>
  <c r="Q22" i="6"/>
  <c r="R20" i="6"/>
  <c r="AF17" i="6"/>
  <c r="S9" i="6"/>
  <c r="AF9" i="1"/>
  <c r="D18" i="5"/>
  <c r="D24" i="5"/>
  <c r="T24" i="5"/>
  <c r="AE24" i="5" s="1"/>
  <c r="G24" i="5"/>
  <c r="H24" i="5" s="1"/>
  <c r="I24" i="5" s="1"/>
  <c r="S24" i="5"/>
  <c r="AC24" i="5" s="1"/>
  <c r="F18" i="5"/>
  <c r="H18" i="5" s="1"/>
  <c r="I18" i="5" s="1"/>
  <c r="B18" i="6"/>
  <c r="P32" i="6"/>
  <c r="AC28" i="6"/>
  <c r="I24" i="6"/>
  <c r="AG3" i="1"/>
  <c r="F28" i="5"/>
  <c r="H28" i="5" s="1"/>
  <c r="I28" i="5" s="1"/>
  <c r="D28" i="5"/>
  <c r="G15" i="5"/>
  <c r="H15" i="5" s="1"/>
  <c r="I15" i="5" s="1"/>
  <c r="AF7" i="1"/>
  <c r="D2" i="5"/>
  <c r="G2" i="5"/>
  <c r="H2" i="5" s="1"/>
  <c r="I2" i="5" s="1"/>
  <c r="F5" i="5"/>
  <c r="H5" i="5" s="1"/>
  <c r="I5" i="5" s="1"/>
  <c r="D5" i="5"/>
  <c r="AI7" i="1"/>
  <c r="W24" i="6" s="1"/>
  <c r="B32" i="6"/>
  <c r="B23" i="6"/>
  <c r="B14" i="6"/>
  <c r="B5" i="6"/>
  <c r="AA33" i="6"/>
  <c r="L33" i="6"/>
  <c r="Y32" i="6"/>
  <c r="G32" i="6"/>
  <c r="T31" i="6"/>
  <c r="U30" i="6"/>
  <c r="P29" i="6"/>
  <c r="K28" i="6"/>
  <c r="F27" i="6"/>
  <c r="AF25" i="6"/>
  <c r="V23" i="6"/>
  <c r="J22" i="6"/>
  <c r="F20" i="6"/>
  <c r="AB16" i="6"/>
  <c r="D6" i="6"/>
  <c r="D15" i="5"/>
  <c r="AF4" i="1"/>
  <c r="D30" i="5"/>
  <c r="D31" i="5"/>
  <c r="G30" i="5"/>
  <c r="H30" i="5" s="1"/>
  <c r="I30" i="5" s="1"/>
  <c r="F31" i="5"/>
  <c r="H31" i="5" s="1"/>
  <c r="I31" i="5" s="1"/>
  <c r="B9" i="6"/>
  <c r="AC31" i="6"/>
  <c r="B30" i="6"/>
  <c r="B21" i="6"/>
  <c r="B12" i="6"/>
  <c r="X33" i="6"/>
  <c r="I33" i="6"/>
  <c r="D32" i="6"/>
  <c r="Q31" i="6"/>
  <c r="O30" i="6"/>
  <c r="E28" i="6"/>
  <c r="AE26" i="6"/>
  <c r="Z25" i="6"/>
  <c r="U24" i="6"/>
  <c r="O23" i="6"/>
  <c r="AG21" i="6"/>
  <c r="Y19" i="6"/>
  <c r="W15" i="6"/>
  <c r="T2" i="6"/>
  <c r="B27" i="6"/>
  <c r="C33" i="6"/>
  <c r="AF6" i="1"/>
  <c r="F32" i="5"/>
  <c r="H32" i="5" s="1"/>
  <c r="I32" i="5" s="1"/>
  <c r="D8" i="5"/>
  <c r="D32" i="5"/>
  <c r="G8" i="5"/>
  <c r="H8" i="5" s="1"/>
  <c r="I8" i="5" s="1"/>
  <c r="AG5" i="1"/>
  <c r="G4" i="5"/>
  <c r="H4" i="5" s="1"/>
  <c r="I4" i="5" s="1"/>
  <c r="D4" i="5"/>
  <c r="F23" i="5"/>
  <c r="H23" i="5" s="1"/>
  <c r="I23" i="5" s="1"/>
  <c r="D23" i="5"/>
  <c r="AH9" i="1"/>
  <c r="K5" i="6" s="1"/>
  <c r="B29" i="6"/>
  <c r="B20" i="6"/>
  <c r="B11" i="6"/>
  <c r="AG33" i="6"/>
  <c r="V33" i="6"/>
  <c r="F33" i="6"/>
  <c r="S32" i="6"/>
  <c r="AF31" i="6"/>
  <c r="N31" i="6"/>
  <c r="I30" i="6"/>
  <c r="D29" i="6"/>
  <c r="AD27" i="6"/>
  <c r="Y26" i="6"/>
  <c r="T25" i="6"/>
  <c r="O24" i="6"/>
  <c r="H23" i="6"/>
  <c r="W21" i="6"/>
  <c r="M19" i="6"/>
  <c r="R14" i="6"/>
  <c r="H19" i="5"/>
  <c r="I19" i="5" s="1"/>
  <c r="AG9" i="1"/>
  <c r="AG7" i="1"/>
  <c r="AG4" i="1"/>
  <c r="AF5" i="1"/>
  <c r="AG6" i="1"/>
  <c r="AF8" i="1"/>
  <c r="AF2" i="1"/>
  <c r="AC8" i="1"/>
  <c r="AC7" i="1"/>
  <c r="W9" i="1"/>
  <c r="AC6" i="1"/>
  <c r="AL7" i="1"/>
  <c r="Z5" i="1"/>
  <c r="AA5" i="1"/>
  <c r="AA7" i="1"/>
  <c r="AA6" i="1"/>
  <c r="Z6" i="1"/>
  <c r="Z7" i="1"/>
  <c r="AN43" i="1" l="1"/>
  <c r="AN115" i="1"/>
  <c r="AN205" i="1"/>
  <c r="AN481" i="1"/>
  <c r="AN649" i="1"/>
  <c r="AN853" i="1"/>
  <c r="AN865" i="1"/>
  <c r="AN925" i="1"/>
  <c r="AN997" i="1"/>
  <c r="AN1147" i="1"/>
  <c r="AN1237" i="1"/>
  <c r="AN1285" i="1"/>
  <c r="AN419" i="1"/>
  <c r="AN448" i="1"/>
  <c r="AN1154" i="1"/>
  <c r="AN1262" i="1"/>
  <c r="AN216" i="1"/>
  <c r="AN597" i="1"/>
  <c r="AN675" i="1"/>
  <c r="AN726" i="1"/>
  <c r="AN1012" i="1"/>
  <c r="AN1029" i="1"/>
  <c r="AN413" i="1"/>
  <c r="AN776" i="1"/>
  <c r="AN890" i="1"/>
  <c r="AN36" i="1"/>
  <c r="AN1301" i="1"/>
  <c r="AN162" i="1"/>
  <c r="AN308" i="1"/>
  <c r="AN473" i="1"/>
  <c r="AN609" i="1"/>
  <c r="AN1344" i="1"/>
  <c r="AN238" i="1"/>
  <c r="AN543" i="1"/>
  <c r="AN936" i="1"/>
  <c r="AN314" i="1"/>
  <c r="AN147" i="1"/>
  <c r="AN747" i="1"/>
  <c r="AN387" i="1"/>
  <c r="AN885" i="1"/>
  <c r="AN518" i="1"/>
  <c r="AN228" i="1"/>
  <c r="AP393" i="1"/>
  <c r="AP885" i="1"/>
  <c r="AP145" i="1"/>
  <c r="AP174" i="1"/>
  <c r="AP440" i="1"/>
  <c r="AP556" i="1"/>
  <c r="AP606" i="1"/>
  <c r="AP995" i="1"/>
  <c r="AP1200" i="1"/>
  <c r="AP107" i="1"/>
  <c r="AP677" i="1"/>
  <c r="AP790" i="1"/>
  <c r="AP54" i="1"/>
  <c r="AP85" i="1"/>
  <c r="AP407" i="1"/>
  <c r="AP572" i="1"/>
  <c r="AP749" i="1"/>
  <c r="AP1097" i="1"/>
  <c r="AP1155" i="1"/>
  <c r="AP122" i="1"/>
  <c r="AP320" i="1"/>
  <c r="AP352" i="1"/>
  <c r="AP809" i="1"/>
  <c r="AP1225" i="1"/>
  <c r="AP659" i="1"/>
  <c r="AP1294" i="1"/>
  <c r="AP68" i="1"/>
  <c r="AP229" i="1"/>
  <c r="AP623" i="1"/>
  <c r="AP929" i="1"/>
  <c r="AP766" i="1"/>
  <c r="AP1281" i="1"/>
  <c r="AP1139" i="1"/>
  <c r="AP1255" i="1"/>
  <c r="AP982" i="1"/>
  <c r="AP244" i="1"/>
  <c r="AP732" i="1"/>
  <c r="AP942" i="1"/>
  <c r="AP1051" i="1"/>
  <c r="AP200" i="1"/>
  <c r="AP266" i="1"/>
  <c r="AP962" i="1"/>
  <c r="AQ830" i="1"/>
  <c r="AQ632" i="1"/>
  <c r="AO1254" i="1"/>
  <c r="AQ879" i="1"/>
  <c r="AQ1286" i="1"/>
  <c r="AO1276" i="1"/>
  <c r="AQ1085" i="1"/>
  <c r="AQ993" i="1"/>
  <c r="AO1080" i="1"/>
  <c r="AO205" i="1"/>
  <c r="AQ281" i="1"/>
  <c r="AO447" i="1"/>
  <c r="AQ351" i="1"/>
  <c r="AO619" i="1"/>
  <c r="AO1259" i="1"/>
  <c r="AQ357" i="1"/>
  <c r="AO606" i="1"/>
  <c r="AO1281" i="1"/>
  <c r="AQ1305" i="1"/>
  <c r="AQ646" i="1"/>
  <c r="AQ844" i="1"/>
  <c r="AQ1107" i="1"/>
  <c r="AO708" i="1"/>
  <c r="AO498" i="1"/>
  <c r="AQ1091" i="1"/>
  <c r="AO806" i="1"/>
  <c r="AQ890" i="1"/>
  <c r="AO848" i="1"/>
  <c r="AO1278" i="1"/>
  <c r="AQ1215" i="1"/>
  <c r="AO596" i="1"/>
  <c r="AO847" i="1"/>
  <c r="AQ1037" i="1"/>
  <c r="AQ992" i="1"/>
  <c r="AQ449" i="1"/>
  <c r="AO1077" i="1"/>
  <c r="AQ1142" i="1"/>
  <c r="AO1266" i="1"/>
  <c r="AO541" i="1"/>
  <c r="AQ517" i="1"/>
  <c r="AO886" i="1"/>
  <c r="AQ814" i="1"/>
  <c r="AO904" i="1"/>
  <c r="AQ898" i="1"/>
  <c r="AO750" i="1"/>
  <c r="AQ59" i="1"/>
  <c r="AO1002" i="1"/>
  <c r="AQ761" i="1"/>
  <c r="AO188" i="1"/>
  <c r="AQ656" i="1"/>
  <c r="AQ301" i="1"/>
  <c r="AQ1249" i="1"/>
  <c r="AO691" i="1"/>
  <c r="AO1105" i="1"/>
  <c r="AQ468" i="1"/>
  <c r="AO1336" i="1"/>
  <c r="AO1165" i="1"/>
  <c r="AQ1216" i="1"/>
  <c r="AO734" i="1"/>
  <c r="AQ803" i="1"/>
  <c r="AO110" i="1"/>
  <c r="AQ618" i="1"/>
  <c r="AQ1274" i="1"/>
  <c r="AO433" i="1"/>
  <c r="AQ69" i="1"/>
  <c r="AO1194" i="1"/>
  <c r="AQ1151" i="1"/>
  <c r="AO1204" i="1"/>
  <c r="AO964" i="1"/>
  <c r="AQ147" i="1"/>
  <c r="AQ543" i="1"/>
  <c r="AO103" i="1"/>
  <c r="AQ237" i="1"/>
  <c r="AO168" i="1"/>
  <c r="AQ920" i="1"/>
  <c r="AO951" i="1"/>
  <c r="AQ1074" i="1"/>
  <c r="AO941" i="1"/>
  <c r="AO1198" i="1"/>
  <c r="AQ417" i="1"/>
  <c r="AQ602" i="1"/>
  <c r="AO1334" i="1"/>
  <c r="AO621" i="1"/>
  <c r="AQ979" i="1"/>
  <c r="AQ1118" i="1"/>
  <c r="AO932" i="1"/>
  <c r="AQ1073" i="1"/>
  <c r="AQ388" i="1"/>
  <c r="AO796" i="1"/>
  <c r="AQ441" i="1"/>
  <c r="AQ85" i="1"/>
  <c r="AO510" i="1"/>
  <c r="AO1214" i="1"/>
  <c r="AO41" i="1"/>
  <c r="AQ891" i="1"/>
  <c r="AO515" i="1"/>
  <c r="AQ617" i="1"/>
  <c r="AQ568" i="1"/>
  <c r="AO1099" i="1"/>
  <c r="AQ905" i="1"/>
  <c r="AO245" i="1"/>
  <c r="AQ933" i="1"/>
  <c r="AO353" i="1"/>
  <c r="AQ46" i="1"/>
  <c r="AQ837" i="1"/>
  <c r="AO752" i="1"/>
  <c r="AQ74" i="1"/>
  <c r="AO109" i="1"/>
  <c r="AQ1213" i="1"/>
  <c r="AQ1023" i="1"/>
  <c r="AO1284" i="1"/>
  <c r="AO716" i="1"/>
  <c r="AO345" i="1"/>
  <c r="AQ465" i="1"/>
  <c r="AQ1020" i="1"/>
  <c r="AO1267" i="1"/>
  <c r="AQ393" i="1"/>
  <c r="AQ200" i="1"/>
  <c r="AO1330" i="1"/>
  <c r="AQ78" i="1"/>
  <c r="AO377" i="1"/>
  <c r="AQ630" i="1"/>
  <c r="AO511" i="1"/>
  <c r="AO310" i="1"/>
  <c r="AQ160" i="1"/>
  <c r="AO729" i="1"/>
  <c r="AQ190" i="1"/>
  <c r="AQ528" i="1"/>
  <c r="AO744" i="1"/>
  <c r="AQ148" i="1"/>
  <c r="AO1088" i="1"/>
  <c r="AQ826" i="1"/>
  <c r="AO957" i="1"/>
  <c r="AQ45" i="1"/>
  <c r="AO152" i="1"/>
  <c r="AQ748" i="1"/>
  <c r="AO657" i="1"/>
  <c r="AQ1148" i="1"/>
  <c r="AO1303" i="1"/>
  <c r="AQ466" i="1"/>
  <c r="AQ1061" i="1"/>
  <c r="AQ504" i="1"/>
  <c r="AO159" i="1"/>
  <c r="AO874" i="1"/>
  <c r="AQ1164" i="1"/>
  <c r="AO408" i="1"/>
  <c r="AO1256" i="1"/>
  <c r="AQ762" i="1"/>
  <c r="AO812" i="1"/>
  <c r="AQ233" i="1"/>
  <c r="AO457" i="1"/>
  <c r="AQ623" i="1"/>
  <c r="AQ987" i="1"/>
  <c r="AQ765" i="1"/>
  <c r="AO366" i="1"/>
  <c r="AO114" i="1"/>
  <c r="AQ485" i="1"/>
  <c r="AQ593" i="1"/>
  <c r="AO540" i="1"/>
  <c r="AO924" i="1"/>
  <c r="AO821" i="1"/>
  <c r="AQ1199" i="1"/>
  <c r="AQ1007" i="1"/>
  <c r="AO1186" i="1"/>
  <c r="AO490" i="1"/>
  <c r="AQ99" i="1"/>
  <c r="AO248" i="1"/>
  <c r="AO1016" i="1"/>
  <c r="AQ532" i="1"/>
  <c r="AQ1086" i="1"/>
  <c r="AO332" i="1"/>
  <c r="AQ928" i="1"/>
  <c r="AQ1264" i="1"/>
  <c r="AO1027" i="1"/>
  <c r="AQ909" i="1"/>
  <c r="AQ67" i="1"/>
  <c r="AO150" i="1"/>
  <c r="AQ1279" i="1"/>
  <c r="AQ778" i="1"/>
  <c r="AO503" i="1"/>
  <c r="AO1342" i="1"/>
  <c r="AO1161" i="1"/>
  <c r="AQ174" i="1"/>
  <c r="AQ352" i="1"/>
  <c r="AO1183" i="1"/>
  <c r="AO1307" i="1"/>
  <c r="AQ1032" i="1"/>
  <c r="AQ863" i="1"/>
  <c r="AQ230" i="1"/>
  <c r="AO1123" i="1"/>
  <c r="AQ420" i="1"/>
  <c r="AO295" i="1"/>
  <c r="AQ705" i="1"/>
  <c r="AO263" i="1"/>
  <c r="AO587" i="1"/>
  <c r="AQ322" i="1"/>
  <c r="AO236" i="1"/>
  <c r="AO344" i="1"/>
  <c r="AQ751" i="1"/>
  <c r="AQ633" i="1"/>
  <c r="AO931" i="1"/>
  <c r="AQ546" i="1"/>
  <c r="AO309" i="1"/>
  <c r="AO508" i="1"/>
  <c r="AQ1341" i="1"/>
  <c r="AQ983" i="1"/>
  <c r="AO724" i="1"/>
  <c r="AO262" i="1"/>
  <c r="AQ1048" i="1"/>
  <c r="AQ184" i="1"/>
  <c r="AQ1229" i="1"/>
  <c r="AO180" i="1"/>
  <c r="AQ858" i="1"/>
  <c r="AO909" i="1"/>
  <c r="AQ1027" i="1"/>
  <c r="AO395" i="1"/>
  <c r="AQ166" i="1"/>
  <c r="AO599" i="1"/>
  <c r="AO959" i="1"/>
  <c r="AQ460" i="1"/>
  <c r="AO635" i="1"/>
  <c r="AQ48" i="1"/>
  <c r="AO1070" i="1"/>
  <c r="AQ573" i="1"/>
  <c r="AO747" i="1"/>
  <c r="AQ342" i="1"/>
  <c r="AQ823" i="1"/>
  <c r="AO57" i="1"/>
  <c r="AQ685" i="1"/>
  <c r="AO1114" i="1"/>
  <c r="AQ1010" i="1"/>
  <c r="AQ210" i="1"/>
  <c r="AO616" i="1"/>
  <c r="AO1220" i="1"/>
  <c r="AQ1237" i="1"/>
  <c r="AQ1012" i="1"/>
  <c r="AO55" i="1"/>
  <c r="AO670" i="1"/>
  <c r="AQ923" i="1"/>
  <c r="AO1297" i="1"/>
  <c r="AO756" i="1"/>
  <c r="AQ87" i="1"/>
  <c r="AQ26" i="1"/>
  <c r="AO822" i="1"/>
  <c r="AQ1246" i="1"/>
  <c r="AO688" i="1"/>
  <c r="AQ98" i="1"/>
  <c r="AQ402" i="1"/>
  <c r="AO867" i="1"/>
  <c r="AO228" i="1"/>
  <c r="AQ123" i="1"/>
  <c r="AO782" i="1"/>
  <c r="AQ1227" i="1"/>
  <c r="AQ324" i="1"/>
  <c r="AO45" i="1"/>
  <c r="AQ957" i="1"/>
  <c r="AQ807" i="1"/>
  <c r="AO773" i="1"/>
  <c r="AO1065" i="1"/>
  <c r="AQ958" i="1"/>
  <c r="AO455" i="1"/>
  <c r="AQ1321" i="1"/>
  <c r="AQ1226" i="1"/>
  <c r="AO1271" i="1"/>
  <c r="AO1058" i="1"/>
  <c r="AQ895" i="1"/>
  <c r="AQ901" i="1"/>
  <c r="AO787" i="1"/>
  <c r="AQ195" i="1"/>
  <c r="AO216" i="1"/>
  <c r="AO206" i="1"/>
  <c r="AQ141" i="1"/>
  <c r="AQ80" i="1"/>
  <c r="AO1236" i="1"/>
  <c r="AO356" i="1"/>
  <c r="AO163" i="1"/>
  <c r="AQ1172" i="1"/>
  <c r="AO731" i="1"/>
  <c r="AQ120" i="1"/>
  <c r="AO72" i="1"/>
  <c r="AQ894" i="1"/>
  <c r="AO728" i="1"/>
  <c r="AQ186" i="1"/>
  <c r="AQ89" i="1"/>
  <c r="AO450" i="1"/>
  <c r="AQ1046" i="1"/>
  <c r="AQ1015" i="1"/>
  <c r="AO696" i="1"/>
  <c r="AO379" i="1"/>
  <c r="AQ394" i="1"/>
  <c r="AO176" i="1"/>
  <c r="AQ682" i="1"/>
  <c r="AO314" i="1"/>
  <c r="AQ435" i="1"/>
  <c r="AQ507" i="1"/>
  <c r="AO115" i="1"/>
  <c r="AO611" i="1"/>
  <c r="AO475" i="1"/>
  <c r="AQ758" i="1"/>
  <c r="AO77" i="1"/>
  <c r="AQ431" i="1"/>
  <c r="AQ32" i="1"/>
  <c r="AO315" i="1"/>
  <c r="AO755" i="1"/>
  <c r="AQ182" i="1"/>
  <c r="AO218" i="1"/>
  <c r="AQ652" i="1"/>
  <c r="AO426" i="1"/>
  <c r="AQ1248" i="1"/>
  <c r="AQ1071" i="1"/>
  <c r="AQ456" i="1"/>
  <c r="AO538" i="1"/>
  <c r="AO1218" i="1"/>
  <c r="AQ354" i="1"/>
  <c r="AO102" i="1"/>
  <c r="AQ312" i="1"/>
  <c r="AO843" i="1"/>
  <c r="AO128" i="1"/>
  <c r="AQ915" i="1"/>
  <c r="AO95" i="1"/>
  <c r="AQ636" i="1"/>
  <c r="AO897" i="1"/>
  <c r="AQ719" i="1"/>
  <c r="AQ1132" i="1"/>
  <c r="AO824" i="1"/>
  <c r="AO73" i="1"/>
  <c r="AQ1261" i="1"/>
  <c r="AQ742" i="1"/>
  <c r="AO530" i="1"/>
  <c r="AQ637" i="1"/>
  <c r="AO343" i="1"/>
  <c r="AQ975" i="1"/>
  <c r="AO359" i="1"/>
  <c r="AO950" i="1"/>
  <c r="AQ846" i="1"/>
  <c r="AQ1144" i="1"/>
  <c r="AQ135" i="1"/>
  <c r="AO243" i="1"/>
  <c r="AQ771" i="1"/>
  <c r="AO1111" i="1"/>
  <c r="AO576" i="1"/>
  <c r="AQ536" i="1"/>
  <c r="AQ214" i="1"/>
  <c r="AO1288" i="1"/>
  <c r="AO217" i="1"/>
  <c r="AQ39" i="1"/>
  <c r="AQ251" i="1"/>
  <c r="AO336" i="1"/>
  <c r="AQ702" i="1"/>
  <c r="AO392" i="1"/>
  <c r="AQ965" i="1"/>
  <c r="AO826" i="1"/>
  <c r="AQ1088" i="1"/>
  <c r="AO668" i="1"/>
  <c r="AQ679" i="1"/>
  <c r="AQ990" i="1"/>
  <c r="AO1079" i="1"/>
  <c r="AQ1041" i="1"/>
  <c r="AQ480" i="1"/>
  <c r="AO1075" i="1"/>
  <c r="AQ884" i="1"/>
  <c r="AO962" i="1"/>
  <c r="AQ709" i="1"/>
  <c r="AO839" i="1"/>
  <c r="AQ880" i="1"/>
  <c r="AO900" i="1"/>
  <c r="AQ1290" i="1"/>
  <c r="AQ743" i="1"/>
  <c r="AO480" i="1"/>
  <c r="AQ1079" i="1"/>
  <c r="AO1041" i="1"/>
  <c r="AO326" i="1"/>
  <c r="AQ770" i="1"/>
  <c r="AQ1222" i="1"/>
  <c r="AO939" i="1"/>
  <c r="AO23" i="1"/>
  <c r="AQ307" i="1"/>
  <c r="AQ1133" i="1"/>
  <c r="AO1087" i="1"/>
  <c r="AO260" i="1"/>
  <c r="AO1328" i="1"/>
  <c r="AQ925" i="1"/>
  <c r="AO44" i="1"/>
  <c r="AQ694" i="1"/>
  <c r="AO273" i="1"/>
  <c r="AO373" i="1"/>
  <c r="AQ600" i="1"/>
  <c r="AO496" i="1"/>
  <c r="AQ772" i="1"/>
  <c r="AO316" i="1"/>
  <c r="AQ177" i="1"/>
  <c r="AO437" i="1"/>
  <c r="AQ179" i="1"/>
  <c r="AQ673" i="1"/>
  <c r="AO169" i="1"/>
  <c r="AQ1183" i="1"/>
  <c r="AO863" i="1"/>
  <c r="AO1032" i="1"/>
  <c r="AQ1307" i="1"/>
  <c r="AO862" i="1"/>
  <c r="AQ304" i="1"/>
  <c r="AO522" i="1"/>
  <c r="AQ234" i="1"/>
  <c r="AQ835" i="1"/>
  <c r="AO661" i="1"/>
  <c r="AQ918" i="1"/>
  <c r="U18" i="5"/>
  <c r="R18" i="5"/>
  <c r="X18" i="5"/>
  <c r="V18" i="5"/>
  <c r="Y18" i="5"/>
  <c r="AP21" i="1"/>
  <c r="AP273" i="1"/>
  <c r="AP735" i="1"/>
  <c r="AP855" i="1"/>
  <c r="AP897" i="1"/>
  <c r="AP975" i="1"/>
  <c r="AP44" i="1"/>
  <c r="AP210" i="1"/>
  <c r="AP498" i="1"/>
  <c r="AP678" i="1"/>
  <c r="AP844" i="1"/>
  <c r="AP944" i="1"/>
  <c r="AP323" i="1"/>
  <c r="AP547" i="1"/>
  <c r="AP148" i="1"/>
  <c r="AP377" i="1"/>
  <c r="AP396" i="1"/>
  <c r="AP811" i="1"/>
  <c r="AP1011" i="1"/>
  <c r="AP958" i="1"/>
  <c r="AP1052" i="1"/>
  <c r="AP1239" i="1"/>
  <c r="AP101" i="1"/>
  <c r="AP194" i="1"/>
  <c r="AP226" i="1"/>
  <c r="AP598" i="1"/>
  <c r="AP1329" i="1"/>
  <c r="AP162" i="1"/>
  <c r="AP425" i="1"/>
  <c r="AP1283" i="1"/>
  <c r="AP308" i="1"/>
  <c r="AP1257" i="1"/>
  <c r="AP182" i="1"/>
  <c r="AP1021" i="1"/>
  <c r="AP650" i="1"/>
  <c r="AP1202" i="1"/>
  <c r="AP1300" i="1"/>
  <c r="AP328" i="1"/>
  <c r="AP1107" i="1"/>
  <c r="AP524" i="1"/>
  <c r="AP665" i="1"/>
  <c r="AP998" i="1"/>
  <c r="Y11" i="5"/>
  <c r="V11" i="5"/>
  <c r="R11" i="5"/>
  <c r="BL11" i="5" s="1"/>
  <c r="X11" i="5"/>
  <c r="T11" i="5"/>
  <c r="U11" i="5"/>
  <c r="W11" i="5"/>
  <c r="S11" i="5"/>
  <c r="J44" i="6"/>
  <c r="S9" i="5"/>
  <c r="M27" i="5"/>
  <c r="X58" i="6"/>
  <c r="K40" i="6"/>
  <c r="P27" i="5"/>
  <c r="Q25" i="5"/>
  <c r="W5" i="5"/>
  <c r="X5" i="5"/>
  <c r="V5" i="5"/>
  <c r="AQ1177" i="1"/>
  <c r="AO453" i="1"/>
  <c r="AO424" i="1"/>
  <c r="AQ1013" i="1"/>
  <c r="AO601" i="1"/>
  <c r="AQ22" i="1"/>
  <c r="AQ1019" i="1"/>
  <c r="AO1185" i="1"/>
  <c r="AQ77" i="1"/>
  <c r="AO431" i="1"/>
  <c r="AO907" i="1"/>
  <c r="AQ539" i="1"/>
  <c r="AO695" i="1"/>
  <c r="AQ741" i="1"/>
  <c r="AO275" i="1"/>
  <c r="AQ451" i="1"/>
  <c r="AO178" i="1"/>
  <c r="AQ1035" i="1"/>
  <c r="AO829" i="1"/>
  <c r="AQ320" i="1"/>
  <c r="AQ122" i="1"/>
  <c r="AO305" i="1"/>
  <c r="AO405" i="1"/>
  <c r="AO760" i="1"/>
  <c r="AQ1180" i="1"/>
  <c r="AQ470" i="1"/>
  <c r="AO653" i="1"/>
  <c r="AQ158" i="1"/>
  <c r="AQ382" i="1"/>
  <c r="AO126" i="1"/>
  <c r="AQ800" i="1"/>
  <c r="AO192" i="1"/>
  <c r="AO325" i="1"/>
  <c r="AQ144" i="1"/>
  <c r="AO880" i="1"/>
  <c r="AQ839" i="1"/>
  <c r="AQ1045" i="1"/>
  <c r="AO1018" i="1"/>
  <c r="AQ109" i="1"/>
  <c r="AO1213" i="1"/>
  <c r="AQ1284" i="1"/>
  <c r="AO1023" i="1"/>
  <c r="AO1153" i="1"/>
  <c r="AQ818" i="1"/>
  <c r="AO111" i="1"/>
  <c r="AQ563" i="1"/>
  <c r="AQ1150" i="1"/>
  <c r="AQ127" i="1"/>
  <c r="AO561" i="1"/>
  <c r="AO777" i="1"/>
  <c r="AQ93" i="1"/>
  <c r="AO464" i="1"/>
  <c r="AQ384" i="1"/>
  <c r="AO1003" i="1"/>
  <c r="AQ1223" i="1"/>
  <c r="AO901" i="1"/>
  <c r="AQ787" i="1"/>
  <c r="AO698" i="1"/>
  <c r="AQ434" i="1"/>
  <c r="AQ714" i="1"/>
  <c r="AQ389" i="1"/>
  <c r="AO1025" i="1"/>
  <c r="AO624" i="1"/>
  <c r="AQ1108" i="1"/>
  <c r="AO935" i="1"/>
  <c r="AO884" i="1"/>
  <c r="AQ1075" i="1"/>
  <c r="AO686" i="1"/>
  <c r="AQ569" i="1"/>
  <c r="AO362" i="1"/>
  <c r="AO639" i="1"/>
  <c r="AQ88" i="1"/>
  <c r="AQ1175" i="1"/>
  <c r="AO1110" i="1"/>
  <c r="AO258" i="1"/>
  <c r="AQ1072" i="1"/>
  <c r="AO1305" i="1"/>
  <c r="AO646" i="1"/>
  <c r="AQ606" i="1"/>
  <c r="AQ1281" i="1"/>
  <c r="AQ173" i="1"/>
  <c r="AO363" i="1"/>
  <c r="AO654" i="1"/>
  <c r="AQ1024" i="1"/>
  <c r="AQ583" i="1"/>
  <c r="AO49" i="1"/>
  <c r="AO910" i="1"/>
  <c r="AQ956" i="1"/>
  <c r="AQ259" i="1"/>
  <c r="AO226" i="1"/>
  <c r="AQ31" i="1"/>
  <c r="AO1239" i="1"/>
  <c r="AQ1338" i="1"/>
  <c r="AO396" i="1"/>
  <c r="AO339" i="1"/>
  <c r="AQ746" i="1"/>
  <c r="AQ838" i="1"/>
  <c r="AO1055" i="1"/>
  <c r="AO1128" i="1"/>
  <c r="AQ479" i="1"/>
  <c r="AO1339" i="1"/>
  <c r="AQ1209" i="1"/>
  <c r="AO278" i="1"/>
  <c r="AQ1327" i="1"/>
  <c r="AO537" i="1"/>
  <c r="AQ489" i="1"/>
  <c r="AO1238" i="1"/>
  <c r="AQ368" i="1"/>
  <c r="AO1306" i="1"/>
  <c r="AQ75" i="1"/>
  <c r="AO849" i="1"/>
  <c r="AQ334" i="1"/>
  <c r="AO133" i="1"/>
  <c r="AQ319" i="1"/>
  <c r="AO643" i="1"/>
  <c r="AQ1096" i="1"/>
  <c r="AO578" i="1"/>
  <c r="AQ1167" i="1"/>
  <c r="AO71" i="1"/>
  <c r="AQ241" i="1"/>
  <c r="AO615" i="1"/>
  <c r="AO943" i="1"/>
  <c r="AQ582" i="1"/>
  <c r="AQ355" i="1"/>
  <c r="AO413" i="1"/>
  <c r="AO793" i="1"/>
  <c r="AQ1159" i="1"/>
  <c r="AQ509" i="1"/>
  <c r="AO210" i="1"/>
  <c r="AQ616" i="1"/>
  <c r="AO1067" i="1"/>
  <c r="AQ885" i="1"/>
  <c r="AO934" i="1"/>
  <c r="AQ564" i="1"/>
  <c r="AO956" i="1"/>
  <c r="AQ49" i="1"/>
  <c r="AQ910" i="1"/>
  <c r="AO583" i="1"/>
  <c r="AQ1165" i="1"/>
  <c r="AO1216" i="1"/>
  <c r="AO468" i="1"/>
  <c r="AQ1336" i="1"/>
  <c r="AO151" i="1"/>
  <c r="AQ62" i="1"/>
  <c r="AO1071" i="1"/>
  <c r="AO1248" i="1"/>
  <c r="AQ426" i="1"/>
  <c r="AQ565" i="1"/>
  <c r="AO444" i="1"/>
  <c r="AO690" i="1"/>
  <c r="AO225" i="1"/>
  <c r="AQ1127" i="1"/>
  <c r="AQ553" i="1"/>
  <c r="AO711" i="1"/>
  <c r="AO765" i="1"/>
  <c r="AO987" i="1"/>
  <c r="AQ366" i="1"/>
  <c r="AQ773" i="1"/>
  <c r="AO807" i="1"/>
  <c r="AQ1093" i="1"/>
  <c r="AO463" i="1"/>
  <c r="AQ1126" i="1"/>
  <c r="AO949" i="1"/>
  <c r="AO1061" i="1"/>
  <c r="AO504" i="1"/>
  <c r="AQ159" i="1"/>
  <c r="X23" i="6"/>
  <c r="AO650" i="1"/>
  <c r="AQ774" i="1"/>
  <c r="AO202" i="1"/>
  <c r="AQ143" i="1"/>
  <c r="AO473" i="1"/>
  <c r="AO1147" i="1"/>
  <c r="AQ370" i="1"/>
  <c r="AO551" i="1"/>
  <c r="AO1104" i="1"/>
  <c r="AQ411" i="1"/>
  <c r="AQ612" i="1"/>
  <c r="AO778" i="1"/>
  <c r="AQ1342" i="1"/>
  <c r="AO1279" i="1"/>
  <c r="AQ503" i="1"/>
  <c r="AO1274" i="1"/>
  <c r="AO618" i="1"/>
  <c r="AQ110" i="1"/>
  <c r="AO436" i="1"/>
  <c r="AQ252" i="1"/>
  <c r="AO53" i="1"/>
  <c r="AQ828" i="1"/>
  <c r="AO1086" i="1"/>
  <c r="AQ248" i="1"/>
  <c r="AQ1016" i="1"/>
  <c r="AO532" i="1"/>
  <c r="AO638" i="1"/>
  <c r="AO1038" i="1"/>
  <c r="AQ809" i="1"/>
  <c r="AQ1155" i="1"/>
  <c r="AO141" i="1"/>
  <c r="AQ206" i="1"/>
  <c r="AO1117" i="1"/>
  <c r="AQ1047" i="1"/>
  <c r="AO809" i="1"/>
  <c r="AO1155" i="1"/>
  <c r="AQ1038" i="1"/>
  <c r="AQ638" i="1"/>
  <c r="AO80" i="1"/>
  <c r="AQ1236" i="1"/>
  <c r="AQ363" i="1"/>
  <c r="AO173" i="1"/>
  <c r="AO419" i="1"/>
  <c r="AQ292" i="1"/>
  <c r="AO1341" i="1"/>
  <c r="AO983" i="1"/>
  <c r="AQ508" i="1"/>
  <c r="AQ309" i="1"/>
  <c r="AO51" i="1"/>
  <c r="AO946" i="1"/>
  <c r="AQ462" i="1"/>
  <c r="AQ842" i="1"/>
  <c r="AQ1030" i="1"/>
  <c r="AO293" i="1"/>
  <c r="AQ815" i="1"/>
  <c r="AO628" i="1"/>
  <c r="AQ735" i="1"/>
  <c r="AO899" i="1"/>
  <c r="AQ566" i="1"/>
  <c r="AO810" i="1"/>
  <c r="AQ1054" i="1"/>
  <c r="AQ378" i="1"/>
  <c r="AO640" i="1"/>
  <c r="AQ966" i="1"/>
  <c r="AO980" i="1"/>
  <c r="AQ710" i="1"/>
  <c r="AO837" i="1"/>
  <c r="AQ353" i="1"/>
  <c r="AO46" i="1"/>
  <c r="AO885" i="1"/>
  <c r="AQ1067" i="1"/>
  <c r="AO48" i="1"/>
  <c r="AQ635" i="1"/>
  <c r="AO1311" i="1"/>
  <c r="AQ161" i="1"/>
  <c r="AO647" i="1"/>
  <c r="AO74" i="1"/>
  <c r="AQ752" i="1"/>
  <c r="AQ377" i="1"/>
  <c r="AO78" i="1"/>
  <c r="E11" i="6"/>
  <c r="AO461" i="1"/>
  <c r="AQ286" i="1"/>
  <c r="AO428" i="1"/>
  <c r="AQ415" i="1"/>
  <c r="AQ29" i="1"/>
  <c r="AO1134" i="1"/>
  <c r="AQ1065" i="1"/>
  <c r="AO958" i="1"/>
  <c r="AO722" i="1"/>
  <c r="AQ452" i="1"/>
  <c r="AO280" i="1"/>
  <c r="AQ1181" i="1"/>
  <c r="AQ554" i="1"/>
  <c r="AO1164" i="1"/>
  <c r="AQ874" i="1"/>
  <c r="AQ408" i="1"/>
  <c r="AO26" i="1"/>
  <c r="AQ1297" i="1"/>
  <c r="AQ756" i="1"/>
  <c r="AO87" i="1"/>
  <c r="AO308" i="1"/>
  <c r="AO162" i="1"/>
  <c r="AQ575" i="1"/>
  <c r="AQ581" i="1"/>
  <c r="AO591" i="1"/>
  <c r="AQ531" i="1"/>
  <c r="AQ1256" i="1"/>
  <c r="AO762" i="1"/>
  <c r="AQ822" i="1"/>
  <c r="AO1246" i="1"/>
  <c r="AO581" i="1"/>
  <c r="AO575" i="1"/>
  <c r="AQ308" i="1"/>
  <c r="AQ162" i="1"/>
  <c r="AQ859" i="1"/>
  <c r="AO279" i="1"/>
  <c r="AO145" i="1"/>
  <c r="AQ693" i="1"/>
  <c r="AO1136" i="1"/>
  <c r="AQ860" i="1"/>
  <c r="AQ906" i="1"/>
  <c r="AO865" i="1"/>
  <c r="AQ493" i="1"/>
  <c r="AQ559" i="1"/>
  <c r="AO1083" i="1"/>
  <c r="AO662" i="1"/>
  <c r="AO117" i="1"/>
  <c r="AQ768" i="1"/>
  <c r="AQ1022" i="1"/>
  <c r="AQ793" i="1"/>
  <c r="AO509" i="1"/>
  <c r="AO1159" i="1"/>
  <c r="AO1076" i="1"/>
  <c r="AQ678" i="1"/>
  <c r="AO101" i="1"/>
  <c r="AQ108" i="1"/>
  <c r="AO811" i="1"/>
  <c r="AQ827" i="1"/>
  <c r="AO140" i="1"/>
  <c r="AQ664" i="1"/>
  <c r="AO360" i="1"/>
  <c r="AQ164" i="1"/>
  <c r="AO973" i="1"/>
  <c r="AQ1095" i="1"/>
  <c r="AQ1295" i="1"/>
  <c r="AO122" i="1"/>
  <c r="AO320" i="1"/>
  <c r="AQ829" i="1"/>
  <c r="AQ305" i="1"/>
  <c r="AO467" i="1"/>
  <c r="AQ972" i="1"/>
  <c r="AO590" i="1"/>
  <c r="AQ775" i="1"/>
  <c r="AO776" i="1"/>
  <c r="AQ1315" i="1"/>
  <c r="AO1344" i="1"/>
  <c r="AO800" i="1"/>
  <c r="AQ192" i="1"/>
  <c r="AO982" i="1"/>
  <c r="AQ209" i="1"/>
  <c r="AQ1033" i="1"/>
  <c r="AO1260" i="1"/>
  <c r="AO31" i="1"/>
  <c r="AO1338" i="1"/>
  <c r="AQ396" i="1"/>
  <c r="AQ1239" i="1"/>
  <c r="AO378" i="1"/>
  <c r="AO1054" i="1"/>
  <c r="AQ810" i="1"/>
  <c r="AO564" i="1"/>
  <c r="AQ934" i="1"/>
  <c r="AO926" i="1"/>
  <c r="AQ883" i="1"/>
  <c r="AO119" i="1"/>
  <c r="AQ1240" i="1"/>
  <c r="AO1203" i="1"/>
  <c r="AO1309" i="1"/>
  <c r="AQ429" i="1"/>
  <c r="AQ970" i="1"/>
  <c r="AO1127" i="1"/>
  <c r="AQ225" i="1"/>
  <c r="AO452" i="1"/>
  <c r="AQ722" i="1"/>
  <c r="AO1040" i="1"/>
  <c r="AQ1285" i="1"/>
  <c r="AQ1029" i="1"/>
  <c r="AO1116" i="1"/>
  <c r="AQ792" i="1"/>
  <c r="AO1192" i="1"/>
  <c r="AQ977" i="1"/>
  <c r="AO553" i="1"/>
  <c r="AQ711" i="1"/>
  <c r="AO519" i="1"/>
  <c r="AQ212" i="1"/>
  <c r="AO1158" i="1"/>
  <c r="AQ598" i="1"/>
  <c r="AQ1257" i="1"/>
  <c r="AQ613" i="1"/>
  <c r="AO723" i="1"/>
  <c r="AO775" i="1"/>
  <c r="AQ590" i="1"/>
  <c r="AO845" i="1"/>
  <c r="AQ185" i="1"/>
  <c r="AQ372" i="1"/>
  <c r="AO1049" i="1"/>
  <c r="AQ203" i="1"/>
  <c r="AQ907" i="1"/>
  <c r="AO539" i="1"/>
  <c r="AO327" i="1"/>
  <c r="AQ296" i="1"/>
  <c r="AO1120" i="1"/>
  <c r="AQ137" i="1"/>
  <c r="AO565" i="1"/>
  <c r="AQ444" i="1"/>
  <c r="AQ690" i="1"/>
  <c r="AO1323" i="1"/>
  <c r="AO65" i="1"/>
  <c r="AQ227" i="1"/>
  <c r="AO761" i="1"/>
  <c r="AQ1002" i="1"/>
  <c r="AO817" i="1"/>
  <c r="AQ945" i="1"/>
  <c r="AO1131" i="1"/>
  <c r="AQ1056" i="1"/>
  <c r="AO544" i="1"/>
  <c r="AO1308" i="1"/>
  <c r="AQ527" i="1"/>
  <c r="AQ445" i="1"/>
  <c r="AO84" i="1"/>
  <c r="AO1345" i="1"/>
  <c r="AQ1325" i="1"/>
  <c r="AQ1028" i="1"/>
  <c r="AO501" i="1"/>
  <c r="AO63" i="1"/>
  <c r="AQ996" i="1"/>
  <c r="AO1287" i="1"/>
  <c r="AQ297" i="1"/>
  <c r="AQ459" i="1"/>
  <c r="AO780" i="1"/>
  <c r="AQ976" i="1"/>
  <c r="AQ1310" i="1"/>
  <c r="AO772" i="1"/>
  <c r="AQ373" i="1"/>
  <c r="AO600" i="1"/>
  <c r="AQ496" i="1"/>
  <c r="AO838" i="1"/>
  <c r="AQ1055" i="1"/>
  <c r="AO500" i="1"/>
  <c r="AQ442" i="1"/>
  <c r="AQ295" i="1"/>
  <c r="AO420" i="1"/>
  <c r="AQ481" i="1"/>
  <c r="AO70" i="1"/>
  <c r="AO769" i="1"/>
  <c r="AQ982" i="1"/>
  <c r="AO209" i="1"/>
  <c r="AO965" i="1"/>
  <c r="AQ392" i="1"/>
  <c r="AQ247" i="1"/>
  <c r="AO198" i="1"/>
  <c r="AO550" i="1"/>
  <c r="AQ1230" i="1"/>
  <c r="AQ1137" i="1"/>
  <c r="AO960" i="1"/>
  <c r="Y9" i="5"/>
  <c r="U9" i="5"/>
  <c r="V9" i="5"/>
  <c r="R9" i="5"/>
  <c r="V17" i="5"/>
  <c r="AB17" i="5" s="1"/>
  <c r="AN79" i="1"/>
  <c r="AN151" i="1"/>
  <c r="AN559" i="1"/>
  <c r="AN631" i="1"/>
  <c r="AN1039" i="1"/>
  <c r="AN1051" i="1"/>
  <c r="AN1099" i="1"/>
  <c r="AN1153" i="1"/>
  <c r="AN1171" i="1"/>
  <c r="AN1273" i="1"/>
  <c r="AN246" i="1"/>
  <c r="AN542" i="1"/>
  <c r="AN729" i="1"/>
  <c r="AN801" i="1"/>
  <c r="AN837" i="1"/>
  <c r="AN952" i="1"/>
  <c r="AN87" i="1"/>
  <c r="AN389" i="1"/>
  <c r="AN432" i="1"/>
  <c r="AN994" i="1"/>
  <c r="AN1202" i="1"/>
  <c r="AN1245" i="1"/>
  <c r="AN1253" i="1"/>
  <c r="AN123" i="1"/>
  <c r="AN164" i="1"/>
  <c r="AN176" i="1"/>
  <c r="AN590" i="1"/>
  <c r="AN713" i="1"/>
  <c r="AN26" i="1"/>
  <c r="AN566" i="1"/>
  <c r="AN256" i="1"/>
  <c r="AN940" i="1"/>
  <c r="AN1335" i="1"/>
  <c r="AN300" i="1"/>
  <c r="AN46" i="1"/>
  <c r="AN749" i="1"/>
  <c r="AN833" i="1"/>
  <c r="AN1186" i="1"/>
  <c r="AN374" i="1"/>
  <c r="AN137" i="1"/>
  <c r="AN644" i="1"/>
  <c r="AN1235" i="1"/>
  <c r="T18" i="5"/>
  <c r="O22" i="5"/>
  <c r="BL21" i="5"/>
  <c r="M15" i="5"/>
  <c r="O4" i="5"/>
  <c r="N4" i="5"/>
  <c r="W18" i="5"/>
  <c r="Q61" i="6"/>
  <c r="BK26" i="5"/>
  <c r="Y5" i="5"/>
  <c r="O25" i="5"/>
  <c r="BK25" i="5" s="1"/>
  <c r="I45" i="6"/>
  <c r="AO1225" i="1"/>
  <c r="AQ1008" i="1"/>
  <c r="AQ364" i="1"/>
  <c r="AO38" i="1"/>
  <c r="AQ971" i="1"/>
  <c r="AO937" i="1"/>
  <c r="AQ1082" i="1"/>
  <c r="AO1028" i="1"/>
  <c r="AQ501" i="1"/>
  <c r="AO412" i="1"/>
  <c r="AQ697" i="1"/>
  <c r="AQ973" i="1"/>
  <c r="AO1095" i="1"/>
  <c r="AO1295" i="1"/>
  <c r="AO410" i="1"/>
  <c r="AO1312" i="1"/>
  <c r="AQ427" i="1"/>
  <c r="AQ1042" i="1"/>
  <c r="AQ421" i="1"/>
  <c r="AO763" i="1"/>
  <c r="AQ1006" i="1"/>
  <c r="AQ349" i="1"/>
  <c r="AQ60" i="1"/>
  <c r="AO129" i="1"/>
  <c r="AO754" i="1"/>
  <c r="AQ1125" i="1"/>
  <c r="AQ340" i="1"/>
  <c r="AO738" i="1"/>
  <c r="AQ138" i="1"/>
  <c r="AO1113" i="1"/>
  <c r="AQ726" i="1"/>
  <c r="AQ908" i="1"/>
  <c r="AO1011" i="1"/>
  <c r="AQ157" i="1"/>
  <c r="AO223" i="1"/>
  <c r="AO1142" i="1"/>
  <c r="AO449" i="1"/>
  <c r="AQ1266" i="1"/>
  <c r="AQ1077" i="1"/>
  <c r="AO338" i="1"/>
  <c r="AO1000" i="1"/>
  <c r="AQ153" i="1"/>
  <c r="AO528" i="1"/>
  <c r="AO190" i="1"/>
  <c r="AQ729" i="1"/>
  <c r="AO1089" i="1"/>
  <c r="AQ229" i="1"/>
  <c r="AO945" i="1"/>
  <c r="AQ817" i="1"/>
  <c r="AQ332" i="1"/>
  <c r="AO1264" i="1"/>
  <c r="AO928" i="1"/>
  <c r="AO996" i="1"/>
  <c r="AQ63" i="1"/>
  <c r="AO833" i="1"/>
  <c r="AQ1314" i="1"/>
  <c r="AQ422" i="1"/>
  <c r="AO1324" i="1"/>
  <c r="AO385" i="1"/>
  <c r="AQ264" i="1"/>
  <c r="AO177" i="1"/>
  <c r="AQ316" i="1"/>
  <c r="AQ1339" i="1"/>
  <c r="AO479" i="1"/>
  <c r="AO1209" i="1"/>
  <c r="AQ1128" i="1"/>
  <c r="AQ913" i="1"/>
  <c r="AO107" i="1"/>
  <c r="AO790" i="1"/>
  <c r="AO1292" i="1"/>
  <c r="AQ955" i="1"/>
  <c r="AQ1094" i="1"/>
  <c r="AO291" i="1"/>
  <c r="AQ219" i="1"/>
  <c r="AO307" i="1"/>
  <c r="AQ23" i="1"/>
  <c r="AO913" i="1"/>
  <c r="AQ790" i="1"/>
  <c r="AQ107" i="1"/>
  <c r="AQ781" i="1"/>
  <c r="AO1294" i="1"/>
  <c r="AO54" i="1"/>
  <c r="AQ1121" i="1"/>
  <c r="AO1199" i="1"/>
  <c r="AQ924" i="1"/>
  <c r="AQ821" i="1"/>
  <c r="AO311" i="1"/>
  <c r="AQ86" i="1"/>
  <c r="AO896" i="1"/>
  <c r="AO365" i="1"/>
  <c r="AQ146" i="1"/>
  <c r="AO692" i="1"/>
  <c r="AQ303" i="1"/>
  <c r="AO895" i="1"/>
  <c r="AQ1058" i="1"/>
  <c r="AO239" i="1"/>
  <c r="AO318" i="1"/>
  <c r="AQ579" i="1"/>
  <c r="AQ813" i="1"/>
  <c r="AO794" i="1"/>
  <c r="AQ888" i="1"/>
  <c r="AO1188" i="1"/>
  <c r="AQ57" i="1"/>
  <c r="AO823" i="1"/>
  <c r="AO693" i="1"/>
  <c r="AQ145" i="1"/>
  <c r="AO60" i="1"/>
  <c r="AO349" i="1"/>
  <c r="AQ129" i="1"/>
  <c r="AQ562" i="1"/>
  <c r="AO1201" i="1"/>
  <c r="AO194" i="1"/>
  <c r="AQ788" i="1"/>
  <c r="AO543" i="1"/>
  <c r="AO147" i="1"/>
  <c r="AQ964" i="1"/>
  <c r="AQ1204" i="1"/>
  <c r="AQ199" i="1"/>
  <c r="AO1141" i="1"/>
  <c r="AO1196" i="1"/>
  <c r="AQ1332" i="1"/>
  <c r="AQ1211" i="1"/>
  <c r="AO399" i="1"/>
  <c r="AO1156" i="1"/>
  <c r="AO571" i="1"/>
  <c r="AQ974" i="1"/>
  <c r="AQ1251" i="1"/>
  <c r="AO1250" i="1"/>
  <c r="AO47" i="1"/>
  <c r="AQ1293" i="1"/>
  <c r="AQ1005" i="1"/>
  <c r="AQ238" i="1"/>
  <c r="AO183" i="1"/>
  <c r="AO328" i="1"/>
  <c r="AQ916" i="1"/>
  <c r="AO915" i="1"/>
  <c r="AQ128" i="1"/>
  <c r="AO902" i="1"/>
  <c r="AO1299" i="1"/>
  <c r="AQ401" i="1"/>
  <c r="AQ870" i="1"/>
  <c r="AO1210" i="1"/>
  <c r="AQ1200" i="1"/>
  <c r="AQ556" i="1"/>
  <c r="AQ865" i="1"/>
  <c r="AO493" i="1"/>
  <c r="AO284" i="1"/>
  <c r="AQ231" i="1"/>
  <c r="AQ595" i="1"/>
  <c r="AO627" i="1"/>
  <c r="AQ516" i="1"/>
  <c r="AO570" i="1"/>
  <c r="AQ134" i="1"/>
  <c r="AO118" i="1"/>
  <c r="AQ469" i="1"/>
  <c r="AO1097" i="1"/>
  <c r="AO1304" i="1"/>
  <c r="AO802" i="1"/>
  <c r="AQ1109" i="1"/>
  <c r="AQ97" i="1"/>
  <c r="AO706" i="1"/>
  <c r="AO167" i="1"/>
  <c r="AQ676" i="1"/>
  <c r="AO76" i="1"/>
  <c r="AQ953" i="1"/>
  <c r="AQ1176" i="1"/>
  <c r="AO1243" i="1"/>
  <c r="AO174" i="1"/>
  <c r="AO352" i="1"/>
  <c r="AQ1161" i="1"/>
  <c r="AO568" i="1"/>
  <c r="AQ515" i="1"/>
  <c r="AO617" i="1"/>
  <c r="AQ572" i="1"/>
  <c r="AO423" i="1"/>
  <c r="AQ490" i="1"/>
  <c r="AO99" i="1"/>
  <c r="AO156" i="1"/>
  <c r="AQ1340" i="1"/>
  <c r="AQ1166" i="1"/>
  <c r="AQ921" i="1"/>
  <c r="AO211" i="1"/>
  <c r="AO736" i="1"/>
  <c r="AQ805" i="1"/>
  <c r="AO506" i="1"/>
  <c r="AQ136" i="1"/>
  <c r="AO597" i="1"/>
  <c r="AQ700" i="1"/>
  <c r="AQ1122" i="1"/>
  <c r="AO997" i="1"/>
  <c r="AO297" i="1"/>
  <c r="AQ1287" i="1"/>
  <c r="AO459" i="1"/>
  <c r="AO1169" i="1"/>
  <c r="AO911" i="1"/>
  <c r="AQ376" i="1"/>
  <c r="AO288" i="1"/>
  <c r="AQ574" i="1"/>
  <c r="AQ547" i="1"/>
  <c r="AO244" i="1"/>
  <c r="AO1174" i="1"/>
  <c r="AQ585" i="1"/>
  <c r="AQ707" i="1"/>
  <c r="AO1024" i="1"/>
  <c r="AQ654" i="1"/>
  <c r="AO567" i="1"/>
  <c r="AQ1062" i="1"/>
  <c r="AQ240" i="1"/>
  <c r="AO857" i="1"/>
  <c r="AQ607" i="1"/>
  <c r="AO1235" i="1"/>
  <c r="AQ699" i="1"/>
  <c r="AO631" i="1"/>
  <c r="AO853" i="1"/>
  <c r="AQ1182" i="1"/>
  <c r="AO403" i="1"/>
  <c r="AQ881" i="1"/>
  <c r="AQ887" i="1"/>
  <c r="AO1063" i="1"/>
  <c r="AO1191" i="1"/>
  <c r="AQ672" i="1"/>
  <c r="AQ1270" i="1"/>
  <c r="AO242" i="1"/>
  <c r="AQ474" i="1"/>
  <c r="AQ1202" i="1"/>
  <c r="AO1217" i="1"/>
  <c r="AO272" i="1"/>
  <c r="AQ79" i="1"/>
  <c r="AO633" i="1"/>
  <c r="AO751" i="1"/>
  <c r="AQ344" i="1"/>
  <c r="AQ236" i="1"/>
  <c r="AO805" i="1"/>
  <c r="AQ736" i="1"/>
  <c r="AO636" i="1"/>
  <c r="AQ95" i="1"/>
  <c r="AO872" i="1"/>
  <c r="AO1129" i="1"/>
  <c r="AQ82" i="1"/>
  <c r="AO730" i="1"/>
  <c r="AO604" i="1"/>
  <c r="AQ969" i="1"/>
  <c r="AO671" i="1"/>
  <c r="AO529" i="1"/>
  <c r="AQ130" i="1"/>
  <c r="AQ683" i="1"/>
  <c r="AO123" i="1"/>
  <c r="AQ228" i="1"/>
  <c r="AO1285" i="1"/>
  <c r="AQ1040" i="1"/>
  <c r="AO1029" i="1"/>
  <c r="AO552" i="1"/>
  <c r="AQ208" i="1"/>
  <c r="AO779" i="1"/>
  <c r="AQ193" i="1"/>
  <c r="AO196" i="1"/>
  <c r="AQ397" i="1"/>
  <c r="AO834" i="1"/>
  <c r="AQ1187" i="1"/>
  <c r="AO131" i="1"/>
  <c r="AQ665" i="1"/>
  <c r="AO797" i="1"/>
  <c r="AQ1283" i="1"/>
  <c r="AQ499" i="1"/>
  <c r="AO514" i="1"/>
  <c r="AQ250" i="1"/>
  <c r="AO35" i="1"/>
  <c r="AO374" i="1"/>
  <c r="AO432" i="1"/>
  <c r="AQ491" i="1"/>
  <c r="AQ978" i="1"/>
  <c r="AO1329" i="1"/>
  <c r="AO425" i="1"/>
  <c r="AQ1143" i="1"/>
  <c r="AQ1316" i="1"/>
  <c r="AO1296" i="1"/>
  <c r="AQ1112" i="1"/>
  <c r="AQ64" i="1"/>
  <c r="AO50" i="1"/>
  <c r="AQ1138" i="1"/>
  <c r="AO774" i="1"/>
  <c r="AQ650" i="1"/>
  <c r="AO676" i="1"/>
  <c r="AQ167" i="1"/>
  <c r="AO1112" i="1"/>
  <c r="AQ1296" i="1"/>
  <c r="AO64" i="1"/>
  <c r="AQ19" i="1"/>
  <c r="AQ985" i="1"/>
  <c r="AO381" i="1"/>
  <c r="AO1268" i="1"/>
  <c r="AQ1081" i="1"/>
  <c r="AO841" i="1"/>
  <c r="AQ740" i="1"/>
  <c r="AQ379" i="1"/>
  <c r="AO394" i="1"/>
  <c r="AO1015" i="1"/>
  <c r="AQ696" i="1"/>
  <c r="AQ1111" i="1"/>
  <c r="AO771" i="1"/>
  <c r="AO137" i="1"/>
  <c r="AQ1120" i="1"/>
  <c r="AO1045" i="1"/>
  <c r="AQ1018" i="1"/>
  <c r="AQ447" i="1"/>
  <c r="AO351" i="1"/>
  <c r="AO972" i="1"/>
  <c r="AQ467" i="1"/>
  <c r="AO1078" i="1"/>
  <c r="AQ341" i="1"/>
  <c r="AQ718" i="1"/>
  <c r="AQ44" i="1"/>
  <c r="AO694" i="1"/>
  <c r="AQ273" i="1"/>
  <c r="AO1062" i="1"/>
  <c r="AQ567" i="1"/>
  <c r="AO138" i="1"/>
  <c r="AQ738" i="1"/>
  <c r="AO903" i="1"/>
  <c r="AO868" i="1"/>
  <c r="AQ1152" i="1"/>
  <c r="AQ463" i="1"/>
  <c r="AO1093" i="1"/>
  <c r="AQ782" i="1"/>
  <c r="AO324" i="1"/>
  <c r="AO1227" i="1"/>
  <c r="AO585" i="1"/>
  <c r="AO707" i="1"/>
  <c r="AQ1174" i="1"/>
  <c r="AQ989" i="1"/>
  <c r="AO521" i="1"/>
  <c r="AQ949" i="1"/>
  <c r="AO1126" i="1"/>
  <c r="AQ325" i="1"/>
  <c r="AO144" i="1"/>
  <c r="AO451" i="1"/>
  <c r="AQ275" i="1"/>
  <c r="AQ115" i="1"/>
  <c r="AO435" i="1"/>
  <c r="AO507" i="1"/>
  <c r="AQ314" i="1"/>
  <c r="AQ343" i="1"/>
  <c r="AO975" i="1"/>
  <c r="AQ359" i="1"/>
  <c r="AO536" i="1"/>
  <c r="AO214" i="1"/>
  <c r="AQ576" i="1"/>
  <c r="AQ1288" i="1"/>
  <c r="AO799" i="1"/>
  <c r="AQ482" i="1"/>
  <c r="AO186" i="1"/>
  <c r="AQ728" i="1"/>
  <c r="AO1315" i="1"/>
  <c r="AQ776" i="1"/>
  <c r="AQ1344" i="1"/>
  <c r="AO598" i="1"/>
  <c r="AQ1158" i="1"/>
  <c r="AO1257" i="1"/>
  <c r="AO1211" i="1"/>
  <c r="AQ399" i="1"/>
  <c r="AQ1196" i="1"/>
  <c r="AO1332" i="1"/>
  <c r="AO204" i="1"/>
  <c r="AQ767" i="1"/>
  <c r="AQ1117" i="1"/>
  <c r="AO1047" i="1"/>
  <c r="AO62" i="1"/>
  <c r="AQ151" i="1"/>
  <c r="AQ385" i="1"/>
  <c r="AO264" i="1"/>
  <c r="AQ1324" i="1"/>
  <c r="AO641" i="1"/>
  <c r="AO753" i="1"/>
  <c r="AQ674" i="1"/>
  <c r="AQ358" i="1"/>
  <c r="AO770" i="1"/>
  <c r="AQ939" i="1"/>
  <c r="AO1222" i="1"/>
  <c r="AQ326" i="1"/>
  <c r="AO569" i="1"/>
  <c r="AQ686" i="1"/>
  <c r="AQ283" i="1"/>
  <c r="AO804" i="1"/>
  <c r="AQ202" i="1"/>
  <c r="AO143" i="1"/>
  <c r="AO842" i="1"/>
  <c r="AO462" i="1"/>
  <c r="AQ946" i="1"/>
  <c r="AQ51" i="1"/>
  <c r="J9" i="6"/>
  <c r="AO1247" i="1"/>
  <c r="AO526" i="1"/>
  <c r="AQ626" i="1"/>
  <c r="AQ1208" i="1"/>
  <c r="AO1074" i="1"/>
  <c r="AQ951" i="1"/>
  <c r="AQ133" i="1"/>
  <c r="AO334" i="1"/>
  <c r="AO221" i="1"/>
  <c r="AQ712" i="1"/>
  <c r="AO912" i="1"/>
  <c r="AO1001" i="1"/>
  <c r="AQ892" i="1"/>
  <c r="AQ619" i="1"/>
  <c r="AO357" i="1"/>
  <c r="AQ1259" i="1"/>
  <c r="AQ816" i="1"/>
  <c r="AO856" i="1"/>
  <c r="AQ440" i="1"/>
  <c r="AO486" i="1"/>
  <c r="AO42" i="1"/>
  <c r="AQ850" i="1"/>
  <c r="AQ1059" i="1"/>
  <c r="AO1212" i="1"/>
  <c r="AQ769" i="1"/>
  <c r="AO481" i="1"/>
  <c r="AQ70" i="1"/>
  <c r="AQ24" i="1"/>
  <c r="AO919" i="1"/>
  <c r="AQ1232" i="1"/>
  <c r="AO795" i="1"/>
  <c r="Q27" i="5"/>
  <c r="V67" i="6"/>
  <c r="N27" i="5"/>
  <c r="K27" i="5"/>
  <c r="AN331" i="1"/>
  <c r="AN1159" i="1"/>
  <c r="AN1321" i="1"/>
  <c r="AN45" i="1"/>
  <c r="AN59" i="1"/>
  <c r="AN527" i="1"/>
  <c r="AN700" i="1"/>
  <c r="AN779" i="1"/>
  <c r="AN887" i="1"/>
  <c r="AN1226" i="1"/>
  <c r="AN173" i="1"/>
  <c r="AN312" i="1"/>
  <c r="AN494" i="1"/>
  <c r="AN562" i="1"/>
  <c r="AN718" i="1"/>
  <c r="AN1098" i="1"/>
  <c r="AN341" i="1"/>
  <c r="AN724" i="1"/>
  <c r="AN972" i="1"/>
  <c r="AN77" i="1"/>
  <c r="AN762" i="1"/>
  <c r="AN803" i="1"/>
  <c r="AN1114" i="1"/>
  <c r="AN1145" i="1"/>
  <c r="AN1239" i="1"/>
  <c r="AN298" i="1"/>
  <c r="AN629" i="1"/>
  <c r="AN660" i="1"/>
  <c r="AN878" i="1"/>
  <c r="AN982" i="1"/>
  <c r="AN155" i="1"/>
  <c r="AN861" i="1"/>
  <c r="AN881" i="1"/>
  <c r="AN293" i="1"/>
  <c r="AN396" i="1"/>
  <c r="AN418" i="1"/>
  <c r="AN1122" i="1"/>
  <c r="AN582" i="1"/>
  <c r="AN622" i="1"/>
  <c r="AN478" i="1"/>
  <c r="AN262" i="1"/>
  <c r="AN509" i="1"/>
  <c r="AN55" i="1"/>
  <c r="AN139" i="1"/>
  <c r="AN235" i="1"/>
  <c r="AN409" i="1"/>
  <c r="AN451" i="1"/>
  <c r="AN619" i="1"/>
  <c r="AN745" i="1"/>
  <c r="AN811" i="1"/>
  <c r="AN1291" i="1"/>
  <c r="AN347" i="1"/>
  <c r="AN441" i="1"/>
  <c r="AN909" i="1"/>
  <c r="AN303" i="1"/>
  <c r="AN648" i="1"/>
  <c r="AN899" i="1"/>
  <c r="AN1220" i="1"/>
  <c r="AN1323" i="1"/>
  <c r="AN101" i="1"/>
  <c r="AN143" i="1"/>
  <c r="AN766" i="1"/>
  <c r="AN492" i="1"/>
  <c r="AN731" i="1"/>
  <c r="AN1259" i="1"/>
  <c r="AN184" i="1"/>
  <c r="AN245" i="1"/>
  <c r="AN287" i="1"/>
  <c r="AN317" i="1"/>
  <c r="AN483" i="1"/>
  <c r="AN920" i="1"/>
  <c r="AN950" i="1"/>
  <c r="AN1034" i="1"/>
  <c r="AN1085" i="1"/>
  <c r="AN1048" i="1"/>
  <c r="AN65" i="1"/>
  <c r="AN668" i="1"/>
  <c r="AN854" i="1"/>
  <c r="AN1248" i="1"/>
  <c r="AN1310" i="1"/>
  <c r="AN471" i="1"/>
  <c r="AN1174" i="1"/>
  <c r="AN976" i="1"/>
  <c r="AN1071" i="1"/>
  <c r="AP105" i="1"/>
  <c r="AP213" i="1"/>
  <c r="AP693" i="1"/>
  <c r="AP939" i="1"/>
  <c r="AP642" i="1"/>
  <c r="AP728" i="1"/>
  <c r="AP743" i="1"/>
  <c r="AP808" i="1"/>
  <c r="AP1290" i="1"/>
  <c r="AP133" i="1"/>
  <c r="AP427" i="1"/>
  <c r="AP293" i="1"/>
  <c r="AP666" i="1"/>
  <c r="AP1004" i="1"/>
  <c r="AP310" i="1"/>
  <c r="AP445" i="1"/>
  <c r="AP475" i="1"/>
  <c r="AP611" i="1"/>
  <c r="AP1325" i="1"/>
  <c r="AP53" i="1"/>
  <c r="AP460" i="1"/>
  <c r="AP1070" i="1"/>
  <c r="AP907" i="1"/>
  <c r="AP977" i="1"/>
  <c r="AP1132" i="1"/>
  <c r="AP1154" i="1"/>
  <c r="AP1262" i="1"/>
  <c r="AP917" i="1"/>
  <c r="AP250" i="1"/>
  <c r="AP276" i="1"/>
  <c r="AP1085" i="1"/>
  <c r="AP1247" i="1"/>
  <c r="AP326" i="1"/>
  <c r="AP719" i="1"/>
  <c r="AP792" i="1"/>
  <c r="AP1055" i="1"/>
  <c r="AP1171" i="1"/>
  <c r="AP680" i="1"/>
  <c r="AP1042" i="1"/>
  <c r="AP499" i="1"/>
  <c r="AP222" i="1"/>
  <c r="AP526" i="1"/>
  <c r="N15" i="5"/>
  <c r="Y20" i="5"/>
  <c r="F38" i="6"/>
  <c r="V63" i="6"/>
  <c r="W55" i="6"/>
  <c r="C41" i="6"/>
  <c r="S20" i="5"/>
  <c r="L25" i="5"/>
  <c r="R5" i="5"/>
  <c r="BL5" i="5" s="1"/>
  <c r="N48" i="6"/>
  <c r="AO1166" i="1"/>
  <c r="AO1340" i="1"/>
  <c r="AQ156" i="1"/>
  <c r="AO66" i="1"/>
  <c r="AQ520" i="1"/>
  <c r="AO660" i="1"/>
  <c r="AQ246" i="1"/>
  <c r="AQ1265" i="1"/>
  <c r="AO306" i="1"/>
  <c r="AQ484" i="1"/>
  <c r="AO187" i="1"/>
  <c r="AQ836" i="1"/>
  <c r="AO342" i="1"/>
  <c r="AQ747" i="1"/>
  <c r="AO136" i="1"/>
  <c r="AQ506" i="1"/>
  <c r="AO93" i="1"/>
  <c r="AO127" i="1"/>
  <c r="AQ561" i="1"/>
  <c r="AQ777" i="1"/>
  <c r="AO203" i="1"/>
  <c r="AQ1049" i="1"/>
  <c r="AO212" i="1"/>
  <c r="AQ519" i="1"/>
  <c r="AO740" i="1"/>
  <c r="AO1081" i="1"/>
  <c r="AQ841" i="1"/>
  <c r="AQ1268" i="1"/>
  <c r="AQ350" i="1"/>
  <c r="AO727" i="1"/>
  <c r="AO390" i="1"/>
  <c r="AQ154" i="1"/>
  <c r="AO785" i="1"/>
  <c r="AQ1163" i="1"/>
  <c r="AO257" i="1"/>
  <c r="AO789" i="1"/>
  <c r="AQ968" i="1"/>
  <c r="AQ548" i="1"/>
  <c r="AO1046" i="1"/>
  <c r="AO89" i="1"/>
  <c r="AQ450" i="1"/>
  <c r="AO878" i="1"/>
  <c r="AO298" i="1"/>
  <c r="AQ914" i="1"/>
  <c r="AQ961" i="1"/>
  <c r="AO175" i="1"/>
  <c r="AO106" i="1"/>
  <c r="AQ171" i="1"/>
  <c r="AO1092" i="1"/>
  <c r="AQ254" i="1"/>
  <c r="AO283" i="1"/>
  <c r="AQ804" i="1"/>
  <c r="AO1170" i="1"/>
  <c r="AQ371" i="1"/>
  <c r="AQ1272" i="1"/>
  <c r="AO81" i="1"/>
  <c r="AQ287" i="1"/>
  <c r="AO689" i="1"/>
  <c r="AQ112" i="1"/>
  <c r="AQ1162" i="1"/>
  <c r="AQ446" i="1"/>
  <c r="AO1318" i="1"/>
  <c r="AO645" i="1"/>
  <c r="AO88" i="1"/>
  <c r="AO1175" i="1"/>
  <c r="AQ639" i="1"/>
  <c r="AQ362" i="1"/>
  <c r="AQ511" i="1"/>
  <c r="AO630" i="1"/>
  <c r="AO825" i="1"/>
  <c r="AQ675" i="1"/>
  <c r="AQ744" i="1"/>
  <c r="AO148" i="1"/>
  <c r="AO709" i="1"/>
  <c r="AQ962" i="1"/>
  <c r="AO434" i="1"/>
  <c r="AO714" i="1"/>
  <c r="AQ698" i="1"/>
  <c r="AO548" i="1"/>
  <c r="AO968" i="1"/>
  <c r="AQ789" i="1"/>
  <c r="AQ257" i="1"/>
  <c r="AO1094" i="1"/>
  <c r="AQ1292" i="1"/>
  <c r="AO955" i="1"/>
  <c r="AO246" i="1"/>
  <c r="AQ660" i="1"/>
  <c r="AO317" i="1"/>
  <c r="AQ398" i="1"/>
  <c r="AO602" i="1"/>
  <c r="AQ1198" i="1"/>
  <c r="AO417" i="1"/>
  <c r="AQ941" i="1"/>
  <c r="AO1096" i="1"/>
  <c r="AQ643" i="1"/>
  <c r="AO319" i="1"/>
  <c r="AO516" i="1"/>
  <c r="AQ627" i="1"/>
  <c r="AO595" i="1"/>
  <c r="AQ622" i="1"/>
  <c r="AO651" i="1"/>
  <c r="AO938" i="1"/>
  <c r="AQ253" i="1"/>
  <c r="AQ500" i="1"/>
  <c r="AO442" i="1"/>
  <c r="AO1121" i="1"/>
  <c r="AQ54" i="1"/>
  <c r="AO781" i="1"/>
  <c r="AQ1294" i="1"/>
  <c r="AQ433" i="1"/>
  <c r="AO1151" i="1"/>
  <c r="AO69" i="1"/>
  <c r="AQ1194" i="1"/>
  <c r="AO474" i="1"/>
  <c r="AQ242" i="1"/>
  <c r="AQ439" i="1"/>
  <c r="AO882" i="1"/>
  <c r="AO1119" i="1"/>
  <c r="AO1333" i="1"/>
  <c r="AO337" i="1"/>
  <c r="AQ1026" i="1"/>
  <c r="AQ988" i="1"/>
  <c r="AO33" i="1"/>
  <c r="AQ492" i="1"/>
  <c r="AO634" i="1"/>
  <c r="AQ854" i="1"/>
  <c r="AQ367" i="1"/>
  <c r="AO213" i="1"/>
  <c r="AO154" i="1"/>
  <c r="AQ785" i="1"/>
  <c r="AQ390" i="1"/>
  <c r="AO1163" i="1"/>
  <c r="AO465" i="1"/>
  <c r="AQ716" i="1"/>
  <c r="AO1020" i="1"/>
  <c r="AQ345" i="1"/>
  <c r="AO1244" i="1"/>
  <c r="AQ1057" i="1"/>
  <c r="AO652" i="1"/>
  <c r="AQ218" i="1"/>
  <c r="AO224" i="1"/>
  <c r="AO715" i="1"/>
  <c r="AQ27" i="1"/>
  <c r="AO200" i="1"/>
  <c r="AQ1267" i="1"/>
  <c r="AO393" i="1"/>
  <c r="AQ1330" i="1"/>
  <c r="AO268" i="1"/>
  <c r="AQ832" i="1"/>
  <c r="AO814" i="1"/>
  <c r="AQ904" i="1"/>
  <c r="AO898" i="1"/>
  <c r="AO733" i="1"/>
  <c r="AO523" i="1"/>
  <c r="AQ1173" i="1"/>
  <c r="AQ1178" i="1"/>
  <c r="AQ558" i="1"/>
  <c r="AO1021" i="1"/>
  <c r="AO974" i="1"/>
  <c r="AQ571" i="1"/>
  <c r="AO1251" i="1"/>
  <c r="AQ1156" i="1"/>
  <c r="AO1298" i="1"/>
  <c r="AQ658" i="1"/>
  <c r="AQ375" i="1"/>
  <c r="AO294" i="1"/>
  <c r="AQ871" i="1"/>
  <c r="AO1149" i="1"/>
  <c r="AQ172" i="1"/>
  <c r="AO398" i="1"/>
  <c r="AQ317" i="1"/>
  <c r="AO737" i="1"/>
  <c r="AQ125" i="1"/>
  <c r="AQ294" i="1"/>
  <c r="AQ1298" i="1"/>
  <c r="AO375" i="1"/>
  <c r="AO658" i="1"/>
  <c r="AO1269" i="1"/>
  <c r="AQ684" i="1"/>
  <c r="AO1313" i="1"/>
  <c r="AQ1197" i="1"/>
  <c r="AO1190" i="1"/>
  <c r="AQ68" i="1"/>
  <c r="AO1014" i="1"/>
  <c r="AQ995" i="1"/>
  <c r="AQ43" i="1"/>
  <c r="AO984" i="1"/>
  <c r="AO613" i="1"/>
  <c r="AQ723" i="1"/>
  <c r="AO888" i="1"/>
  <c r="AQ1188" i="1"/>
  <c r="AQ794" i="1"/>
  <c r="AQ1039" i="1"/>
  <c r="AO207" i="1"/>
  <c r="AO454" i="1"/>
  <c r="AQ542" i="1"/>
  <c r="AO59" i="1"/>
  <c r="AQ750" i="1"/>
  <c r="AQ586" i="1"/>
  <c r="AQ1242" i="1"/>
  <c r="AO677" i="1"/>
  <c r="AQ629" i="1"/>
  <c r="AO220" i="1"/>
  <c r="AO197" i="1"/>
  <c r="AQ502" i="1"/>
  <c r="AQ831" i="1"/>
  <c r="AO1135" i="1"/>
  <c r="AQ1326" i="1"/>
  <c r="AO705" i="1"/>
  <c r="AQ263" i="1"/>
  <c r="AO1179" i="1"/>
  <c r="AQ155" i="1"/>
  <c r="AO877" i="1"/>
  <c r="AQ732" i="1"/>
  <c r="AO923" i="1"/>
  <c r="AQ670" i="1"/>
  <c r="AO1109" i="1"/>
  <c r="AQ802" i="1"/>
  <c r="AQ1304" i="1"/>
  <c r="AO1245" i="1"/>
  <c r="AQ1282" i="1"/>
  <c r="AO994" i="1"/>
  <c r="AQ1130" i="1"/>
  <c r="AO1275" i="1"/>
  <c r="AQ944" i="1"/>
  <c r="AQ1052" i="1"/>
  <c r="AO876" i="1"/>
  <c r="AQ1328" i="1"/>
  <c r="AQ260" i="1"/>
  <c r="AO925" i="1"/>
  <c r="AO892" i="1"/>
  <c r="AQ1001" i="1"/>
  <c r="AQ912" i="1"/>
  <c r="AQ651" i="1"/>
  <c r="AO622" i="1"/>
  <c r="AO655" i="1"/>
  <c r="AQ999" i="1"/>
  <c r="AO259" i="1"/>
  <c r="AQ226" i="1"/>
  <c r="AO710" i="1"/>
  <c r="AQ980" i="1"/>
  <c r="AO499" i="1"/>
  <c r="AO250" i="1"/>
  <c r="AQ514" i="1"/>
  <c r="AQ35" i="1"/>
  <c r="AO505" i="1"/>
  <c r="AQ701" i="1"/>
  <c r="AQ505" i="1"/>
  <c r="AO701" i="1"/>
  <c r="AO1252" i="1"/>
  <c r="AQ92" i="1"/>
  <c r="AQ290" i="1"/>
  <c r="AO518" i="1"/>
  <c r="AO609" i="1"/>
  <c r="AQ100" i="1"/>
  <c r="AQ791" i="1"/>
  <c r="AQ667" i="1"/>
  <c r="AO589" i="1"/>
  <c r="AQ333" i="1"/>
  <c r="AQ1201" i="1"/>
  <c r="AO562" i="1"/>
  <c r="AO100" i="1"/>
  <c r="AO791" i="1"/>
  <c r="AQ609" i="1"/>
  <c r="AQ518" i="1"/>
  <c r="AQ811" i="1"/>
  <c r="AO827" i="1"/>
  <c r="AQ101" i="1"/>
  <c r="AO108" i="1"/>
  <c r="AQ197" i="1"/>
  <c r="AO502" i="1"/>
  <c r="AQ165" i="1"/>
  <c r="AO967" i="1"/>
  <c r="AQ1258" i="1"/>
  <c r="AQ1069" i="1"/>
  <c r="AO954" i="1"/>
  <c r="AO871" i="1"/>
  <c r="AO172" i="1"/>
  <c r="AQ1149" i="1"/>
  <c r="AO603" i="1"/>
  <c r="AO1140" i="1"/>
  <c r="AQ592" i="1"/>
  <c r="AO30" i="1"/>
  <c r="AQ764" i="1"/>
  <c r="AQ1319" i="1"/>
  <c r="AO271" i="1"/>
  <c r="AO948" i="1"/>
  <c r="AQ28" i="1"/>
  <c r="AO566" i="1"/>
  <c r="AQ899" i="1"/>
  <c r="AO929" i="1"/>
  <c r="AQ864" i="1"/>
  <c r="AO255" i="1"/>
  <c r="AQ369" i="1"/>
  <c r="AO478" i="1"/>
  <c r="AQ132" i="1"/>
  <c r="AQ267" i="1"/>
  <c r="AO1098" i="1"/>
  <c r="AQ1309" i="1"/>
  <c r="AQ1203" i="1"/>
  <c r="AO970" i="1"/>
  <c r="AO429" i="1"/>
  <c r="AO287" i="1"/>
  <c r="AQ81" i="1"/>
  <c r="AO86" i="1"/>
  <c r="AQ311" i="1"/>
  <c r="AO240" i="1"/>
  <c r="AQ857" i="1"/>
  <c r="AO559" i="1"/>
  <c r="AQ1083" i="1"/>
  <c r="AQ55" i="1"/>
  <c r="AQ1220" i="1"/>
  <c r="AO1012" i="1"/>
  <c r="AO1237" i="1"/>
  <c r="AQ967" i="1"/>
  <c r="AO165" i="1"/>
  <c r="AO1258" i="1"/>
  <c r="AO629" i="1"/>
  <c r="AQ220" i="1"/>
  <c r="AQ211" i="1"/>
  <c r="AO921" i="1"/>
  <c r="AO1316" i="1"/>
  <c r="AQ425" i="1"/>
  <c r="AO1143" i="1"/>
  <c r="AQ1329" i="1"/>
  <c r="AO1283" i="1"/>
  <c r="AO665" i="1"/>
  <c r="AQ131" i="1"/>
  <c r="AQ797" i="1"/>
  <c r="AO67" i="1"/>
  <c r="AQ150" i="1"/>
  <c r="AO1172" i="1"/>
  <c r="AQ163" i="1"/>
  <c r="AQ356" i="1"/>
  <c r="AO513" i="1"/>
  <c r="AQ1253" i="1"/>
  <c r="AO852" i="1"/>
  <c r="AQ256" i="1"/>
  <c r="AO1033" i="1"/>
  <c r="AQ1260" i="1"/>
  <c r="AO940" i="1"/>
  <c r="AQ1066" i="1"/>
  <c r="AQ472" i="1"/>
  <c r="AO36" i="1"/>
  <c r="AQ1100" i="1"/>
  <c r="AO230" i="1"/>
  <c r="AQ1123" i="1"/>
  <c r="AQ176" i="1"/>
  <c r="AO682" i="1"/>
  <c r="AO341" i="1"/>
  <c r="AO718" i="1"/>
  <c r="AQ1078" i="1"/>
  <c r="AQ845" i="1"/>
  <c r="AO185" i="1"/>
  <c r="AO372" i="1"/>
  <c r="AQ692" i="1"/>
  <c r="AO303" i="1"/>
  <c r="AO1240" i="1"/>
  <c r="AO883" i="1"/>
  <c r="AQ119" i="1"/>
  <c r="AQ926" i="1"/>
  <c r="AO573" i="1"/>
  <c r="AQ1070" i="1"/>
  <c r="AO584" i="1"/>
  <c r="AO261" i="1"/>
  <c r="AQ1289" i="1"/>
  <c r="AQ56" i="1"/>
  <c r="AQ152" i="1"/>
  <c r="AO748" i="1"/>
  <c r="AO98" i="1"/>
  <c r="AQ688" i="1"/>
  <c r="AQ903" i="1"/>
  <c r="AQ868" i="1"/>
  <c r="AO1152" i="1"/>
  <c r="AO792" i="1"/>
  <c r="AQ1116" i="1"/>
  <c r="AQ1192" i="1"/>
  <c r="AO977" i="1"/>
  <c r="AQ457" i="1"/>
  <c r="AO623" i="1"/>
  <c r="AQ867" i="1"/>
  <c r="AO402" i="1"/>
  <c r="AO340" i="1"/>
  <c r="AO1125" i="1"/>
  <c r="AQ754" i="1"/>
  <c r="AQ1115" i="1"/>
  <c r="AO471" i="1"/>
  <c r="AO1124" i="1"/>
  <c r="AO1189" i="1"/>
  <c r="AQ235" i="1"/>
  <c r="AQ1034" i="1"/>
  <c r="AO52" i="1"/>
  <c r="AQ721" i="1"/>
  <c r="AO1207" i="1"/>
  <c r="AQ1160" i="1"/>
  <c r="AO993" i="1"/>
  <c r="AQ1080" i="1"/>
  <c r="AO820" i="1"/>
  <c r="AQ669" i="1"/>
  <c r="AO758" i="1"/>
  <c r="AQ475" i="1"/>
  <c r="AQ611" i="1"/>
  <c r="AO846" i="1"/>
  <c r="AO1144" i="1"/>
  <c r="AQ950" i="1"/>
  <c r="AQ217" i="1"/>
  <c r="AO39" i="1"/>
  <c r="AO251" i="1"/>
  <c r="AO745" i="1"/>
  <c r="AQ869" i="1"/>
  <c r="AO697" i="1"/>
  <c r="AQ412" i="1"/>
  <c r="AQ1147" i="1"/>
  <c r="AO370" i="1"/>
  <c r="AQ473" i="1"/>
  <c r="AO998" i="1"/>
  <c r="AQ476" i="1"/>
  <c r="AO855" i="1"/>
  <c r="AO348" i="1"/>
  <c r="AQ642" i="1"/>
  <c r="AO656" i="1"/>
  <c r="AQ188" i="1"/>
  <c r="AO512" i="1"/>
  <c r="AQ282" i="1"/>
  <c r="AO818" i="1"/>
  <c r="AQ1153" i="1"/>
  <c r="AO1048" i="1"/>
  <c r="AQ262" i="1"/>
  <c r="AO184" i="1"/>
  <c r="AQ724" i="1"/>
  <c r="AO386" i="1"/>
  <c r="AQ1277" i="1"/>
  <c r="AQ798" i="1"/>
  <c r="AO893" i="1"/>
  <c r="AO142" i="1"/>
  <c r="AQ1043" i="1"/>
  <c r="AQ510" i="1"/>
  <c r="AO85" i="1"/>
  <c r="AO170" i="1"/>
  <c r="AQ666" i="1"/>
  <c r="AO376" i="1"/>
  <c r="AQ1169" i="1"/>
  <c r="AQ911" i="1"/>
  <c r="AO786" i="1"/>
  <c r="AQ361" i="1"/>
  <c r="AQ1068" i="1"/>
  <c r="AO427" i="1"/>
  <c r="AO1042" i="1"/>
  <c r="AQ410" i="1"/>
  <c r="AQ1312" i="1"/>
  <c r="U33" i="6"/>
  <c r="AO32" i="1"/>
  <c r="AQ315" i="1"/>
  <c r="AQ61" i="1"/>
  <c r="AO274" i="1"/>
  <c r="AO121" i="1"/>
  <c r="AQ930" i="1"/>
  <c r="AQ1025" i="1"/>
  <c r="AO389" i="1"/>
  <c r="AQ624" i="1"/>
  <c r="L4" i="5"/>
  <c r="J4" i="5"/>
  <c r="BK4" i="5" s="1"/>
  <c r="P4" i="5"/>
  <c r="K4" i="5"/>
  <c r="J12" i="5"/>
  <c r="Q12" i="5"/>
  <c r="L12" i="5"/>
  <c r="K12" i="5"/>
  <c r="O12" i="5"/>
  <c r="N12" i="5"/>
  <c r="P12" i="5"/>
  <c r="AP63" i="1"/>
  <c r="AP483" i="1"/>
  <c r="AP921" i="1"/>
  <c r="AP30" i="1"/>
  <c r="AP160" i="1"/>
  <c r="AP505" i="1"/>
  <c r="AP592" i="1"/>
  <c r="AP779" i="1"/>
  <c r="AP1038" i="1"/>
  <c r="AP1062" i="1"/>
  <c r="AP1188" i="1"/>
  <c r="AP82" i="1"/>
  <c r="AP98" i="1"/>
  <c r="AP271" i="1"/>
  <c r="AP461" i="1"/>
  <c r="AP755" i="1"/>
  <c r="AP221" i="1"/>
  <c r="AP583" i="1"/>
  <c r="AP1177" i="1"/>
  <c r="AP1306" i="1"/>
  <c r="AP144" i="1"/>
  <c r="AP382" i="1"/>
  <c r="AP1081" i="1"/>
  <c r="AP1095" i="1"/>
  <c r="AP1253" i="1"/>
  <c r="AP1333" i="1"/>
  <c r="AP413" i="1"/>
  <c r="AP740" i="1"/>
  <c r="AP1274" i="1"/>
  <c r="AP1295" i="1"/>
  <c r="AP256" i="1"/>
  <c r="AP1013" i="1"/>
  <c r="AP956" i="1"/>
  <c r="AP1238" i="1"/>
  <c r="AP391" i="1"/>
  <c r="AP439" i="1"/>
  <c r="AP931" i="1"/>
  <c r="AP794" i="1"/>
  <c r="AP820" i="1"/>
  <c r="AP638" i="1"/>
  <c r="AP337" i="1"/>
  <c r="AP618" i="1"/>
  <c r="AN37" i="1"/>
  <c r="AN397" i="1"/>
  <c r="AN403" i="1"/>
  <c r="AN475" i="1"/>
  <c r="AN523" i="1"/>
  <c r="AN535" i="1"/>
  <c r="AN589" i="1"/>
  <c r="AN733" i="1"/>
  <c r="AN931" i="1"/>
  <c r="AN1045" i="1"/>
  <c r="AN1063" i="1"/>
  <c r="AN297" i="1"/>
  <c r="AN383" i="1"/>
  <c r="AN570" i="1"/>
  <c r="AN1341" i="1"/>
  <c r="AN165" i="1"/>
  <c r="AN459" i="1"/>
  <c r="AN206" i="1"/>
  <c r="AN237" i="1"/>
  <c r="AN983" i="1"/>
  <c r="AN1035" i="1"/>
  <c r="AN1170" i="1"/>
  <c r="AN57" i="1"/>
  <c r="AN1187" i="1"/>
  <c r="AN28" i="1"/>
  <c r="AN48" i="1"/>
  <c r="AN929" i="1"/>
  <c r="AN425" i="1"/>
  <c r="AN611" i="1"/>
  <c r="AN695" i="1"/>
  <c r="AN252" i="1"/>
  <c r="AN1083" i="1"/>
  <c r="AN782" i="1"/>
  <c r="AN118" i="1"/>
  <c r="AN1205" i="1"/>
  <c r="AN1329" i="1"/>
  <c r="AN717" i="1"/>
  <c r="AN230" i="1"/>
  <c r="AN1258" i="1"/>
  <c r="AN270" i="1"/>
  <c r="AN892" i="1"/>
  <c r="AN75" i="1"/>
  <c r="AN157" i="1"/>
  <c r="AN499" i="1"/>
  <c r="AN625" i="1"/>
  <c r="AN751" i="1"/>
  <c r="AN1141" i="1"/>
  <c r="AN1261" i="1"/>
  <c r="AN426" i="1"/>
  <c r="AN477" i="1"/>
  <c r="AN772" i="1"/>
  <c r="AN981" i="1"/>
  <c r="AN1024" i="1"/>
  <c r="AN1168" i="1"/>
  <c r="AN44" i="1"/>
  <c r="AN140" i="1"/>
  <c r="AN399" i="1"/>
  <c r="AN1288" i="1"/>
  <c r="AN600" i="1"/>
  <c r="AN993" i="1"/>
  <c r="AN171" i="1"/>
  <c r="AN264" i="1"/>
  <c r="AN452" i="1"/>
  <c r="AN461" i="1"/>
  <c r="AN1104" i="1"/>
  <c r="AN142" i="1"/>
  <c r="AN576" i="1"/>
  <c r="AN742" i="1"/>
  <c r="AN962" i="1"/>
  <c r="AN633" i="1"/>
  <c r="AN128" i="1"/>
  <c r="AN273" i="1"/>
  <c r="AN438" i="1"/>
  <c r="AN1227" i="1"/>
  <c r="AN64" i="1"/>
  <c r="AN250" i="1"/>
  <c r="AN1152" i="1"/>
  <c r="AN324" i="1"/>
  <c r="AN1196" i="1"/>
  <c r="AN116" i="1"/>
  <c r="AN551" i="1"/>
  <c r="AN1112" i="1"/>
  <c r="AN1131" i="1"/>
  <c r="AN1007" i="1"/>
  <c r="AP27" i="1"/>
  <c r="AP159" i="1"/>
  <c r="AP243" i="1"/>
  <c r="AP351" i="1"/>
  <c r="AP477" i="1"/>
  <c r="AP555" i="1"/>
  <c r="AP879" i="1"/>
  <c r="AP433" i="1"/>
  <c r="AP541" i="1"/>
  <c r="AP1032" i="1"/>
  <c r="AP1110" i="1"/>
  <c r="AP1194" i="1"/>
  <c r="AP392" i="1"/>
  <c r="AP781" i="1"/>
  <c r="AP841" i="1"/>
  <c r="AP43" i="1"/>
  <c r="AP468" i="1"/>
  <c r="AP490" i="1"/>
  <c r="AP594" i="1"/>
  <c r="AP655" i="1"/>
  <c r="AP863" i="1"/>
  <c r="AP206" i="1"/>
  <c r="AP258" i="1"/>
  <c r="AP631" i="1"/>
  <c r="AP1268" i="1"/>
  <c r="AP319" i="1"/>
  <c r="AP817" i="1"/>
  <c r="AP1135" i="1"/>
  <c r="AP1286" i="1"/>
  <c r="AP78" i="1"/>
  <c r="AP1121" i="1"/>
  <c r="AP564" i="1"/>
  <c r="AP731" i="1"/>
  <c r="AP670" i="1"/>
  <c r="AP1006" i="1"/>
  <c r="AP886" i="1"/>
  <c r="AP1216" i="1"/>
  <c r="AP1235" i="1"/>
  <c r="AP421" i="1"/>
  <c r="AP804" i="1"/>
  <c r="AP1096" i="1"/>
  <c r="AP173" i="1"/>
  <c r="M12" i="5"/>
  <c r="X9" i="5"/>
  <c r="W9" i="5"/>
  <c r="N25" i="5"/>
  <c r="K25" i="5"/>
  <c r="AO158" i="1"/>
  <c r="AQ653" i="1"/>
  <c r="AQ169" i="1"/>
  <c r="AO673" i="1"/>
  <c r="AQ58" i="1"/>
  <c r="AO323" i="1"/>
  <c r="AO637" i="1"/>
  <c r="AQ530" i="1"/>
  <c r="AO642" i="1"/>
  <c r="AQ348" i="1"/>
  <c r="AQ691" i="1"/>
  <c r="AQ1105" i="1"/>
  <c r="AO301" i="1"/>
  <c r="AO1249" i="1"/>
  <c r="AO741" i="1"/>
  <c r="AQ695" i="1"/>
  <c r="AO991" i="1"/>
  <c r="AQ1090" i="1"/>
  <c r="AO675" i="1"/>
  <c r="AQ825" i="1"/>
  <c r="AO124" i="1"/>
  <c r="AQ703" i="1"/>
  <c r="AO891" i="1"/>
  <c r="AQ1214" i="1"/>
  <c r="AQ41" i="1"/>
  <c r="AO422" i="1"/>
  <c r="AO1314" i="1"/>
  <c r="AQ833" i="1"/>
  <c r="AQ288" i="1"/>
  <c r="AO574" i="1"/>
  <c r="AO720" i="1"/>
  <c r="AQ113" i="1"/>
  <c r="AO179" i="1"/>
  <c r="AQ437" i="1"/>
  <c r="AO1327" i="1"/>
  <c r="AO489" i="1"/>
  <c r="AQ278" i="1"/>
  <c r="AQ537" i="1"/>
  <c r="AQ1051" i="1"/>
  <c r="AO94" i="1"/>
  <c r="AQ749" i="1"/>
  <c r="AQ655" i="1"/>
  <c r="AO999" i="1"/>
  <c r="AO680" i="1"/>
  <c r="AQ851" i="1"/>
  <c r="AO988" i="1"/>
  <c r="AQ337" i="1"/>
  <c r="AQ1333" i="1"/>
  <c r="AO1026" i="1"/>
  <c r="AQ175" i="1"/>
  <c r="AO961" i="1"/>
  <c r="AO527" i="1"/>
  <c r="AQ544" i="1"/>
  <c r="AQ1308" i="1"/>
  <c r="AO266" i="1"/>
  <c r="AQ889" i="1"/>
  <c r="AO407" i="1"/>
  <c r="AQ91" i="1"/>
  <c r="AO497" i="1"/>
  <c r="AQ1060" i="1"/>
  <c r="AO859" i="1"/>
  <c r="AQ279" i="1"/>
  <c r="AO966" i="1"/>
  <c r="AQ640" i="1"/>
  <c r="AQ139" i="1"/>
  <c r="AO1102" i="1"/>
  <c r="AO368" i="1"/>
  <c r="AQ1306" i="1"/>
  <c r="AQ1238" i="1"/>
  <c r="AO743" i="1"/>
  <c r="AO1290" i="1"/>
  <c r="AQ900" i="1"/>
  <c r="AO232" i="1"/>
  <c r="AQ488" i="1"/>
  <c r="AO870" i="1"/>
  <c r="AQ1299" i="1"/>
  <c r="AO401" i="1"/>
  <c r="AQ902" i="1"/>
  <c r="AQ1129" i="1"/>
  <c r="AQ872" i="1"/>
  <c r="AO82" i="1"/>
  <c r="AO577" i="1"/>
  <c r="AQ560" i="1"/>
  <c r="AO1004" i="1"/>
  <c r="AQ380" i="1"/>
  <c r="AO1293" i="1"/>
  <c r="AO1005" i="1"/>
  <c r="AQ47" i="1"/>
  <c r="AQ1250" i="1"/>
  <c r="AO1197" i="1"/>
  <c r="AO684" i="1"/>
  <c r="AQ1313" i="1"/>
  <c r="AQ1269" i="1"/>
  <c r="AO592" i="1"/>
  <c r="AQ1140" i="1"/>
  <c r="AQ603" i="1"/>
  <c r="AQ929" i="1"/>
  <c r="AO864" i="1"/>
  <c r="AO120" i="1"/>
  <c r="AQ731" i="1"/>
  <c r="AO282" i="1"/>
  <c r="AQ512" i="1"/>
  <c r="AQ931" i="1"/>
  <c r="AO546" i="1"/>
  <c r="AQ557" i="1"/>
  <c r="AO783" i="1"/>
  <c r="AO229" i="1"/>
  <c r="AQ1089" i="1"/>
  <c r="AO146" i="1"/>
  <c r="AQ896" i="1"/>
  <c r="AQ365" i="1"/>
  <c r="AO703" i="1"/>
  <c r="AQ124" i="1"/>
  <c r="AO19" i="1"/>
  <c r="AO985" i="1"/>
  <c r="AQ381" i="1"/>
  <c r="AQ1231" i="1"/>
  <c r="AO533" i="1"/>
  <c r="AO840" i="1"/>
  <c r="AQ1273" i="1"/>
  <c r="AQ644" i="1"/>
  <c r="AO963" i="1"/>
  <c r="AO1138" i="1"/>
  <c r="AQ50" i="1"/>
  <c r="AO986" i="1"/>
  <c r="AQ430" i="1"/>
  <c r="AO469" i="1"/>
  <c r="AQ1097" i="1"/>
  <c r="AQ533" i="1"/>
  <c r="AO1231" i="1"/>
  <c r="AQ840" i="1"/>
  <c r="AO491" i="1"/>
  <c r="AQ432" i="1"/>
  <c r="AO978" i="1"/>
  <c r="AQ374" i="1"/>
  <c r="AO726" i="1"/>
  <c r="AQ1113" i="1"/>
  <c r="AQ1241" i="1"/>
  <c r="AO400" i="1"/>
  <c r="AQ1337" i="1"/>
  <c r="AQ103" i="1"/>
  <c r="AO237" i="1"/>
  <c r="AO219" i="1"/>
  <c r="AQ291" i="1"/>
  <c r="AQ734" i="1"/>
  <c r="AO803" i="1"/>
  <c r="AQ1099" i="1"/>
  <c r="AO905" i="1"/>
  <c r="AO520" i="1"/>
  <c r="AQ66" i="1"/>
  <c r="AO313" i="1"/>
  <c r="AQ300" i="1"/>
  <c r="AO1060" i="1"/>
  <c r="AQ497" i="1"/>
  <c r="AO91" i="1"/>
  <c r="AO1182" i="1"/>
  <c r="AQ853" i="1"/>
  <c r="AO1202" i="1"/>
  <c r="AQ1217" i="1"/>
  <c r="AQ625" i="1"/>
  <c r="AQ1168" i="1"/>
  <c r="AO936" i="1"/>
  <c r="AO784" i="1"/>
  <c r="AQ819" i="1"/>
  <c r="AO887" i="1"/>
  <c r="AQ403" i="1"/>
  <c r="AQ1063" i="1"/>
  <c r="AO881" i="1"/>
  <c r="AQ409" i="1"/>
  <c r="AQ1291" i="1"/>
  <c r="AO1157" i="1"/>
  <c r="AO1331" i="1"/>
  <c r="AO1178" i="1"/>
  <c r="AQ1021" i="1"/>
  <c r="AO558" i="1"/>
  <c r="AO620" i="1"/>
  <c r="AO90" i="1"/>
  <c r="AQ704" i="1"/>
  <c r="AQ53" i="1"/>
  <c r="AO828" i="1"/>
  <c r="AO914" i="1"/>
  <c r="AQ298" i="1"/>
  <c r="AQ878" i="1"/>
  <c r="AO68" i="1"/>
  <c r="AO995" i="1"/>
  <c r="AQ1190" i="1"/>
  <c r="AQ1014" i="1"/>
  <c r="AO764" i="1"/>
  <c r="AO1319" i="1"/>
  <c r="AQ271" i="1"/>
  <c r="AQ30" i="1"/>
  <c r="AO369" i="1"/>
  <c r="AQ255" i="1"/>
  <c r="AO354" i="1"/>
  <c r="AQ1218" i="1"/>
  <c r="AO238" i="1"/>
  <c r="AQ183" i="1"/>
  <c r="AO28" i="1"/>
  <c r="AQ948" i="1"/>
  <c r="AQ478" i="1"/>
  <c r="AO132" i="1"/>
  <c r="AO267" i="1"/>
  <c r="AQ1098" i="1"/>
  <c r="AO312" i="1"/>
  <c r="AQ843" i="1"/>
  <c r="AQ102" i="1"/>
  <c r="AO149" i="1"/>
  <c r="AQ1221" i="1"/>
  <c r="AQ495" i="1"/>
  <c r="AQ1331" i="1"/>
  <c r="AO409" i="1"/>
  <c r="AQ1157" i="1"/>
  <c r="AO1291" i="1"/>
  <c r="AO836" i="1"/>
  <c r="AQ187" i="1"/>
  <c r="AO79" i="1"/>
  <c r="AQ272" i="1"/>
  <c r="AO1154" i="1"/>
  <c r="AO1262" i="1"/>
  <c r="AQ947" i="1"/>
  <c r="AQ706" i="1"/>
  <c r="AO97" i="1"/>
  <c r="AO155" i="1"/>
  <c r="AQ1179" i="1"/>
  <c r="AO1022" i="1"/>
  <c r="AO768" i="1"/>
  <c r="AQ662" i="1"/>
  <c r="AQ117" i="1"/>
  <c r="AO476" i="1"/>
  <c r="AQ998" i="1"/>
  <c r="AQ855" i="1"/>
  <c r="AQ877" i="1"/>
  <c r="AO732" i="1"/>
  <c r="AO1337" i="1"/>
  <c r="AO1241" i="1"/>
  <c r="AQ400" i="1"/>
  <c r="AO930" i="1"/>
  <c r="AQ121" i="1"/>
  <c r="AO182" i="1"/>
  <c r="AQ755" i="1"/>
  <c r="AO484" i="1"/>
  <c r="AO1265" i="1"/>
  <c r="AQ306" i="1"/>
  <c r="AO952" i="1"/>
  <c r="AQ922" i="1"/>
  <c r="AO713" i="1"/>
  <c r="AO890" i="1"/>
  <c r="AQ806" i="1"/>
  <c r="AO383" i="1"/>
  <c r="AO717" i="1"/>
  <c r="AQ448" i="1"/>
  <c r="AQ1301" i="1"/>
  <c r="AO524" i="1"/>
  <c r="AO21" i="1"/>
  <c r="AQ404" i="1"/>
  <c r="AQ1036" i="1"/>
  <c r="AO331" i="1"/>
  <c r="AO861" i="1"/>
  <c r="AQ116" i="1"/>
  <c r="AO1091" i="1"/>
  <c r="AQ498" i="1"/>
  <c r="AQ1102" i="1"/>
  <c r="AO139" i="1"/>
  <c r="AO333" i="1"/>
  <c r="AQ589" i="1"/>
  <c r="AO667" i="1"/>
  <c r="AO350" i="1"/>
  <c r="AQ727" i="1"/>
  <c r="AO560" i="1"/>
  <c r="AQ577" i="1"/>
  <c r="AO233" i="1"/>
  <c r="AQ812" i="1"/>
  <c r="AO866" i="1"/>
  <c r="AO1009" i="1"/>
  <c r="AQ1184" i="1"/>
  <c r="AO1261" i="1"/>
  <c r="AQ73" i="1"/>
  <c r="AQ824" i="1"/>
  <c r="AO742" i="1"/>
  <c r="AO380" i="1"/>
  <c r="AQ1004" i="1"/>
  <c r="AO614" i="1"/>
  <c r="AQ757" i="1"/>
  <c r="AO1280" i="1"/>
  <c r="AQ1145" i="1"/>
  <c r="AQ494" i="1"/>
  <c r="AQ601" i="1"/>
  <c r="AO22" i="1"/>
  <c r="AO1019" i="1"/>
  <c r="AQ1185" i="1"/>
  <c r="AO347" i="1"/>
  <c r="AQ535" i="1"/>
  <c r="AQ1205" i="1"/>
  <c r="AO648" i="1"/>
  <c r="AQ1017" i="1"/>
  <c r="AQ191" i="1"/>
  <c r="AO917" i="1"/>
  <c r="AQ960" i="1"/>
  <c r="AO1137" i="1"/>
  <c r="AO171" i="1"/>
  <c r="AQ106" i="1"/>
  <c r="AO1322" i="1"/>
  <c r="AQ1146" i="1"/>
  <c r="AQ927" i="1"/>
  <c r="AO1017" i="1"/>
  <c r="AQ917" i="1"/>
  <c r="AO191" i="1"/>
  <c r="AO808" i="1"/>
  <c r="AO105" i="1"/>
  <c r="AQ1228" i="1"/>
  <c r="AQ1101" i="1"/>
  <c r="AO488" i="1"/>
  <c r="AQ232" i="1"/>
  <c r="AO483" i="1"/>
  <c r="AQ549" i="1"/>
  <c r="AQ523" i="1"/>
  <c r="AQ733" i="1"/>
  <c r="AO1173" i="1"/>
  <c r="AO990" i="1"/>
  <c r="AO679" i="1"/>
  <c r="AQ668" i="1"/>
  <c r="AO674" i="1"/>
  <c r="AQ641" i="1"/>
  <c r="AO358" i="1"/>
  <c r="AQ753" i="1"/>
  <c r="AO112" i="1"/>
  <c r="AQ689" i="1"/>
  <c r="AO580" i="1"/>
  <c r="AQ222" i="1"/>
  <c r="AO231" i="1"/>
  <c r="AQ284" i="1"/>
  <c r="AO18" i="1"/>
  <c r="AQ649" i="1"/>
  <c r="AO663" i="1"/>
  <c r="AO1084" i="1"/>
  <c r="AO844" i="1"/>
  <c r="AQ708" i="1"/>
  <c r="AO1107" i="1"/>
  <c r="AO1310" i="1"/>
  <c r="AO976" i="1"/>
  <c r="AQ780" i="1"/>
  <c r="AO361" i="1"/>
  <c r="AO1068" i="1"/>
  <c r="AQ786" i="1"/>
  <c r="AQ720" i="1"/>
  <c r="AO113" i="1"/>
  <c r="AO477" i="1"/>
  <c r="AQ299" i="1"/>
  <c r="AO557" i="1"/>
  <c r="AQ783" i="1"/>
  <c r="AO815" i="1"/>
  <c r="AO1030" i="1"/>
  <c r="AQ293" i="1"/>
  <c r="AO1277" i="1"/>
  <c r="AO798" i="1"/>
  <c r="AQ893" i="1"/>
  <c r="AQ386" i="1"/>
  <c r="AO1302" i="1"/>
  <c r="AO201" i="1"/>
  <c r="AQ1206" i="1"/>
  <c r="AQ1053" i="1"/>
  <c r="AO542" i="1"/>
  <c r="AQ454" i="1"/>
  <c r="AQ207" i="1"/>
  <c r="AO1039" i="1"/>
  <c r="AO922" i="1"/>
  <c r="AQ713" i="1"/>
  <c r="AQ952" i="1"/>
  <c r="AO470" i="1"/>
  <c r="AO1180" i="1"/>
  <c r="AQ760" i="1"/>
  <c r="AQ405" i="1"/>
  <c r="Y31" i="5"/>
  <c r="V31" i="5"/>
  <c r="W31" i="5"/>
  <c r="S31" i="5"/>
  <c r="U31" i="5"/>
  <c r="X31" i="5"/>
  <c r="R31" i="5"/>
  <c r="R20" i="5"/>
  <c r="U20" i="5"/>
  <c r="W20" i="5"/>
  <c r="M22" i="5"/>
  <c r="P22" i="5"/>
  <c r="L22" i="5"/>
  <c r="J22" i="5"/>
  <c r="N22" i="5"/>
  <c r="Q22" i="5"/>
  <c r="K22" i="5"/>
  <c r="P15" i="5"/>
  <c r="J15" i="5"/>
  <c r="O15" i="5"/>
  <c r="AN169" i="1"/>
  <c r="AN247" i="1"/>
  <c r="AN265" i="1"/>
  <c r="AN427" i="1"/>
  <c r="AN565" i="1"/>
  <c r="AN769" i="1"/>
  <c r="AN787" i="1"/>
  <c r="AN138" i="1"/>
  <c r="AN261" i="1"/>
  <c r="AN340" i="1"/>
  <c r="AN844" i="1"/>
  <c r="AN930" i="1"/>
  <c r="AN1125" i="1"/>
  <c r="AN1211" i="1"/>
  <c r="AN70" i="1"/>
  <c r="AN519" i="1"/>
  <c r="AN804" i="1"/>
  <c r="AN942" i="1"/>
  <c r="AN1107" i="1"/>
  <c r="AN371" i="1"/>
  <c r="AN818" i="1"/>
  <c r="AN1042" i="1"/>
  <c r="AN1136" i="1"/>
  <c r="AN1332" i="1"/>
  <c r="AN826" i="1"/>
  <c r="AN971" i="1"/>
  <c r="AN1230" i="1"/>
  <c r="AN1272" i="1"/>
  <c r="AN384" i="1"/>
  <c r="AN488" i="1"/>
  <c r="AN530" i="1"/>
  <c r="AN357" i="1"/>
  <c r="AN501" i="1"/>
  <c r="AN584" i="1"/>
  <c r="AN1019" i="1"/>
  <c r="AN22" i="1"/>
  <c r="AN158" i="1"/>
  <c r="AN914" i="1"/>
  <c r="AN83" i="1"/>
  <c r="AN144" i="1"/>
  <c r="AN954" i="1"/>
  <c r="AN1223" i="1"/>
  <c r="Q15" i="5"/>
  <c r="O27" i="5"/>
  <c r="AF57" i="6"/>
  <c r="X20" i="5"/>
  <c r="P25" i="5"/>
  <c r="M25" i="5"/>
  <c r="AO702" i="1"/>
  <c r="AQ336" i="1"/>
  <c r="AQ1225" i="1"/>
  <c r="AO1008" i="1"/>
  <c r="AO364" i="1"/>
  <c r="AO335" i="1"/>
  <c r="AO25" i="1"/>
  <c r="AQ1139" i="1"/>
  <c r="AO135" i="1"/>
  <c r="AQ243" i="1"/>
  <c r="AO579" i="1"/>
  <c r="AO813" i="1"/>
  <c r="AQ239" i="1"/>
  <c r="AQ318" i="1"/>
  <c r="AO860" i="1"/>
  <c r="AO906" i="1"/>
  <c r="AQ1136" i="1"/>
  <c r="AQ1119" i="1"/>
  <c r="AO439" i="1"/>
  <c r="AQ882" i="1"/>
  <c r="AQ745" i="1"/>
  <c r="AO869" i="1"/>
  <c r="AQ541" i="1"/>
  <c r="AQ886" i="1"/>
  <c r="AO517" i="1"/>
  <c r="AO153" i="1"/>
  <c r="AQ338" i="1"/>
  <c r="AQ1000" i="1"/>
  <c r="AO1103" i="1"/>
  <c r="AQ37" i="1"/>
  <c r="AO292" i="1"/>
  <c r="AQ419" i="1"/>
  <c r="AQ406" i="1"/>
  <c r="AO285" i="1"/>
  <c r="AO416" i="1"/>
  <c r="AQ487" i="1"/>
  <c r="AO1082" i="1"/>
  <c r="AQ937" i="1"/>
  <c r="AO850" i="1"/>
  <c r="AQ1212" i="1"/>
  <c r="AQ42" i="1"/>
  <c r="AO1059" i="1"/>
  <c r="AQ763" i="1"/>
  <c r="AO421" i="1"/>
  <c r="AO1006" i="1"/>
  <c r="AO415" i="1"/>
  <c r="AQ428" i="1"/>
  <c r="AO29" i="1"/>
  <c r="AQ1134" i="1"/>
  <c r="AO482" i="1"/>
  <c r="AQ799" i="1"/>
  <c r="AO1139" i="1"/>
  <c r="AQ25" i="1"/>
  <c r="AQ335" i="1"/>
  <c r="AO1069" i="1"/>
  <c r="AQ954" i="1"/>
  <c r="AO304" i="1"/>
  <c r="AO234" i="1"/>
  <c r="AQ522" i="1"/>
  <c r="AQ862" i="1"/>
  <c r="AO1130" i="1"/>
  <c r="AO1282" i="1"/>
  <c r="AQ994" i="1"/>
  <c r="AQ1245" i="1"/>
  <c r="AO1100" i="1"/>
  <c r="AQ36" i="1"/>
  <c r="AO819" i="1"/>
  <c r="AQ784" i="1"/>
  <c r="AO56" i="1"/>
  <c r="AQ584" i="1"/>
  <c r="AQ261" i="1"/>
  <c r="AO1289" i="1"/>
  <c r="AO446" i="1"/>
  <c r="AO1162" i="1"/>
  <c r="AQ1318" i="1"/>
  <c r="AQ645" i="1"/>
  <c r="AQ289" i="1"/>
  <c r="AO659" i="1"/>
  <c r="AQ1317" i="1"/>
  <c r="AQ739" i="1"/>
  <c r="AQ1233" i="1"/>
  <c r="AO346" i="1"/>
  <c r="AO322" i="1"/>
  <c r="AQ587" i="1"/>
  <c r="AO767" i="1"/>
  <c r="AQ204" i="1"/>
  <c r="AO222" i="1"/>
  <c r="AQ580" i="1"/>
  <c r="AO289" i="1"/>
  <c r="AO1317" i="1"/>
  <c r="AQ659" i="1"/>
  <c r="AO1072" i="1"/>
  <c r="AQ1110" i="1"/>
  <c r="AQ258" i="1"/>
  <c r="AO1013" i="1"/>
  <c r="AO1177" i="1"/>
  <c r="AQ424" i="1"/>
  <c r="AQ453" i="1"/>
  <c r="AQ1087" i="1"/>
  <c r="AO1133" i="1"/>
  <c r="AO666" i="1"/>
  <c r="AQ170" i="1"/>
  <c r="AO37" i="1"/>
  <c r="AQ1103" i="1"/>
  <c r="AO947" i="1"/>
  <c r="AQ1154" i="1"/>
  <c r="AQ1262" i="1"/>
  <c r="AQ205" i="1"/>
  <c r="AO281" i="1"/>
  <c r="AO735" i="1"/>
  <c r="AQ628" i="1"/>
  <c r="AO1043" i="1"/>
  <c r="AQ142" i="1"/>
  <c r="AO992" i="1"/>
  <c r="AQ847" i="1"/>
  <c r="AO1037" i="1"/>
  <c r="AQ596" i="1"/>
  <c r="AO1118" i="1"/>
  <c r="AQ621" i="1"/>
  <c r="AO979" i="1"/>
  <c r="AQ1334" i="1"/>
  <c r="AO1167" i="1"/>
  <c r="AQ71" i="1"/>
  <c r="AQ578" i="1"/>
  <c r="AO547" i="1"/>
  <c r="AQ244" i="1"/>
  <c r="AO299" i="1"/>
  <c r="AQ477" i="1"/>
  <c r="AQ1278" i="1"/>
  <c r="AO1215" i="1"/>
  <c r="AQ848" i="1"/>
  <c r="AQ461" i="1"/>
  <c r="AO286" i="1"/>
  <c r="AO644" i="1"/>
  <c r="AO1273" i="1"/>
  <c r="AQ963" i="1"/>
  <c r="AO908" i="1"/>
  <c r="AQ1011" i="1"/>
  <c r="AQ715" i="1"/>
  <c r="AQ224" i="1"/>
  <c r="AO27" i="1"/>
  <c r="AO92" i="1"/>
  <c r="AO290" i="1"/>
  <c r="AQ1252" i="1"/>
  <c r="AO166" i="1"/>
  <c r="AQ395" i="1"/>
  <c r="AO456" i="1"/>
  <c r="AQ538" i="1"/>
  <c r="AO889" i="1"/>
  <c r="AQ266" i="1"/>
  <c r="AQ407" i="1"/>
  <c r="AQ631" i="1"/>
  <c r="AO607" i="1"/>
  <c r="AQ1235" i="1"/>
  <c r="AO699" i="1"/>
  <c r="AO296" i="1"/>
  <c r="AQ327" i="1"/>
  <c r="AQ413" i="1"/>
  <c r="AO355" i="1"/>
  <c r="AQ1131" i="1"/>
  <c r="AO1056" i="1"/>
  <c r="AO1108" i="1"/>
  <c r="AQ935" i="1"/>
  <c r="AO725" i="1"/>
  <c r="AQ942" i="1"/>
  <c r="AO554" i="1"/>
  <c r="AO1181" i="1"/>
  <c r="AQ280" i="1"/>
  <c r="AQ591" i="1"/>
  <c r="AO531" i="1"/>
  <c r="AQ521" i="1"/>
  <c r="AO989" i="1"/>
  <c r="AO1148" i="1"/>
  <c r="AQ1303" i="1"/>
  <c r="AO466" i="1"/>
  <c r="AQ657" i="1"/>
  <c r="AO556" i="1"/>
  <c r="AO1200" i="1"/>
  <c r="AQ1210" i="1"/>
  <c r="AQ730" i="1"/>
  <c r="AO969" i="1"/>
  <c r="AQ604" i="1"/>
  <c r="AO208" i="1"/>
  <c r="AQ552" i="1"/>
  <c r="AO1106" i="1"/>
  <c r="AQ1255" i="1"/>
  <c r="AQ555" i="1"/>
  <c r="AO276" i="1"/>
  <c r="AQ932" i="1"/>
  <c r="AO1073" i="1"/>
  <c r="AO388" i="1"/>
  <c r="AO712" i="1"/>
  <c r="AQ221" i="1"/>
  <c r="AO749" i="1"/>
  <c r="AO1051" i="1"/>
  <c r="AQ94" i="1"/>
  <c r="AO788" i="1"/>
  <c r="AQ194" i="1"/>
  <c r="AO664" i="1"/>
  <c r="AQ140" i="1"/>
  <c r="AO1232" i="1"/>
  <c r="AQ919" i="1"/>
  <c r="AO24" i="1"/>
  <c r="AQ795" i="1"/>
  <c r="AQ1243" i="1"/>
  <c r="AO953" i="1"/>
  <c r="AO1176" i="1"/>
  <c r="AQ76" i="1"/>
  <c r="AQ216" i="1"/>
  <c r="AO195" i="1"/>
  <c r="AO678" i="1"/>
  <c r="AQ1076" i="1"/>
  <c r="AQ1141" i="1"/>
  <c r="AO199" i="1"/>
  <c r="AO586" i="1"/>
  <c r="AO1242" i="1"/>
  <c r="AQ677" i="1"/>
  <c r="AO1326" i="1"/>
  <c r="AQ1135" i="1"/>
  <c r="AO831" i="1"/>
  <c r="AQ471" i="1"/>
  <c r="AO1115" i="1"/>
  <c r="AO894" i="1"/>
  <c r="AQ72" i="1"/>
  <c r="AQ18" i="1"/>
  <c r="AO649" i="1"/>
  <c r="AQ663" i="1"/>
  <c r="AQ1084" i="1"/>
  <c r="AO832" i="1"/>
  <c r="AQ268" i="1"/>
  <c r="AO75" i="1"/>
  <c r="AQ849" i="1"/>
  <c r="AQ615" i="1"/>
  <c r="AO241" i="1"/>
  <c r="AO700" i="1"/>
  <c r="AQ997" i="1"/>
  <c r="AQ597" i="1"/>
  <c r="AO1122" i="1"/>
  <c r="AO944" i="1"/>
  <c r="AO1052" i="1"/>
  <c r="AQ1275" i="1"/>
  <c r="AQ876" i="1"/>
  <c r="AO1132" i="1"/>
  <c r="AQ897" i="1"/>
  <c r="AO719" i="1"/>
  <c r="AQ1311" i="1"/>
  <c r="AO161" i="1"/>
  <c r="AQ647" i="1"/>
  <c r="AO367" i="1"/>
  <c r="AQ213" i="1"/>
  <c r="AO371" i="1"/>
  <c r="AO1272" i="1"/>
  <c r="AQ1170" i="1"/>
  <c r="AO485" i="1"/>
  <c r="AQ540" i="1"/>
  <c r="AO593" i="1"/>
  <c r="AQ114" i="1"/>
  <c r="AQ245" i="1"/>
  <c r="AO933" i="1"/>
  <c r="AQ313" i="1"/>
  <c r="AO300" i="1"/>
  <c r="AO1035" i="1"/>
  <c r="AQ178" i="1"/>
  <c r="AO1057" i="1"/>
  <c r="AQ1244" i="1"/>
  <c r="AO1226" i="1"/>
  <c r="AO1321" i="1"/>
  <c r="AQ455" i="1"/>
  <c r="AQ1271" i="1"/>
  <c r="AO460" i="1"/>
  <c r="AQ959" i="1"/>
  <c r="AQ599" i="1"/>
  <c r="AO441" i="1"/>
  <c r="AQ796" i="1"/>
  <c r="AO430" i="1"/>
  <c r="AQ986" i="1"/>
  <c r="AQ529" i="1"/>
  <c r="AO683" i="1"/>
  <c r="AO130" i="1"/>
  <c r="AQ671" i="1"/>
  <c r="AO193" i="1"/>
  <c r="AQ779" i="1"/>
  <c r="AO215" i="1"/>
  <c r="AQ1064" i="1"/>
  <c r="AO757" i="1"/>
  <c r="AQ614" i="1"/>
  <c r="AO43" i="1"/>
  <c r="AQ984" i="1"/>
  <c r="AO397" i="1"/>
  <c r="AQ834" i="1"/>
  <c r="AQ196" i="1"/>
  <c r="AO1187" i="1"/>
  <c r="AO1184" i="1"/>
  <c r="AQ1009" i="1"/>
  <c r="AQ866" i="1"/>
  <c r="AO494" i="1"/>
  <c r="AO1145" i="1"/>
  <c r="AQ1280" i="1"/>
  <c r="AO916" i="1"/>
  <c r="AQ328" i="1"/>
  <c r="AO254" i="1"/>
  <c r="AQ1092" i="1"/>
  <c r="AO1168" i="1"/>
  <c r="AQ936" i="1"/>
  <c r="AO625" i="1"/>
  <c r="AO672" i="1"/>
  <c r="AQ1191" i="1"/>
  <c r="AO1270" i="1"/>
  <c r="AO164" i="1"/>
  <c r="AQ360" i="1"/>
  <c r="AQ436" i="1"/>
  <c r="AO252" i="1"/>
  <c r="AO572" i="1"/>
  <c r="AQ423" i="1"/>
  <c r="AQ943" i="1"/>
  <c r="AO582" i="1"/>
  <c r="AO704" i="1"/>
  <c r="AQ620" i="1"/>
  <c r="AQ90" i="1"/>
  <c r="AO920" i="1"/>
  <c r="AQ168" i="1"/>
  <c r="AO612" i="1"/>
  <c r="AQ1104" i="1"/>
  <c r="AO411" i="1"/>
  <c r="AQ551" i="1"/>
  <c r="AO851" i="1"/>
  <c r="AQ680" i="1"/>
  <c r="AQ550" i="1"/>
  <c r="AO1230" i="1"/>
  <c r="AO247" i="1"/>
  <c r="AQ198" i="1"/>
  <c r="AO669" i="1"/>
  <c r="AQ820" i="1"/>
  <c r="AQ661" i="1"/>
  <c r="AO835" i="1"/>
  <c r="AO918" i="1"/>
  <c r="AQ852" i="1"/>
  <c r="AO256" i="1"/>
  <c r="AO1253" i="1"/>
  <c r="AQ513" i="1"/>
  <c r="AO448" i="1"/>
  <c r="AO1301" i="1"/>
  <c r="AQ717" i="1"/>
  <c r="AQ383" i="1"/>
  <c r="AQ648" i="1"/>
  <c r="AO535" i="1"/>
  <c r="AQ347" i="1"/>
  <c r="AO1205" i="1"/>
  <c r="AO1146" i="1"/>
  <c r="AQ1322" i="1"/>
  <c r="AO927" i="1"/>
  <c r="AQ274" i="1"/>
  <c r="AO61" i="1"/>
  <c r="AO58" i="1"/>
  <c r="AQ323" i="1"/>
  <c r="AO1010" i="1"/>
  <c r="AO685" i="1"/>
  <c r="AQ1114" i="1"/>
  <c r="AO1255" i="1"/>
  <c r="AQ1106" i="1"/>
  <c r="AO1064" i="1"/>
  <c r="AQ215" i="1"/>
  <c r="AO610" i="1"/>
  <c r="AO1343" i="1"/>
  <c r="AQ34" i="1"/>
  <c r="AQ1031" i="1"/>
  <c r="AO125" i="1"/>
  <c r="AQ737" i="1"/>
  <c r="AQ276" i="1"/>
  <c r="AO555" i="1"/>
  <c r="AO495" i="1"/>
  <c r="AO1221" i="1"/>
  <c r="AQ149" i="1"/>
  <c r="AO1031" i="1"/>
  <c r="AO34" i="1"/>
  <c r="AQ1343" i="1"/>
  <c r="AQ610" i="1"/>
  <c r="AO404" i="1"/>
  <c r="AO1036" i="1"/>
  <c r="AQ524" i="1"/>
  <c r="AQ21" i="1"/>
  <c r="AO1034" i="1"/>
  <c r="AQ1189" i="1"/>
  <c r="AO235" i="1"/>
  <c r="AQ1124" i="1"/>
  <c r="AO487" i="1"/>
  <c r="AQ416" i="1"/>
  <c r="AO440" i="1"/>
  <c r="AQ486" i="1"/>
  <c r="AO116" i="1"/>
  <c r="AQ331" i="1"/>
  <c r="AQ861" i="1"/>
  <c r="AO1160" i="1"/>
  <c r="AO721" i="1"/>
  <c r="AQ1207" i="1"/>
  <c r="AQ52" i="1"/>
  <c r="AO1228" i="1"/>
  <c r="AQ105" i="1"/>
  <c r="AO1101" i="1"/>
  <c r="AQ808" i="1"/>
  <c r="AO816" i="1"/>
  <c r="AQ856" i="1"/>
  <c r="AO942" i="1"/>
  <c r="AQ725" i="1"/>
  <c r="AO854" i="1"/>
  <c r="AQ634" i="1"/>
  <c r="AO492" i="1"/>
  <c r="AQ33" i="1"/>
  <c r="AQ1345" i="1"/>
  <c r="AO445" i="1"/>
  <c r="AO1325" i="1"/>
  <c r="AQ84" i="1"/>
  <c r="AQ223" i="1"/>
  <c r="AO157" i="1"/>
  <c r="AQ991" i="1"/>
  <c r="AO1090" i="1"/>
  <c r="AO160" i="1"/>
  <c r="AQ310" i="1"/>
  <c r="AO134" i="1"/>
  <c r="AQ118" i="1"/>
  <c r="AQ570" i="1"/>
  <c r="AQ65" i="1"/>
  <c r="AO227" i="1"/>
  <c r="AQ1323" i="1"/>
  <c r="AQ1003" i="1"/>
  <c r="AO384" i="1"/>
  <c r="AO1223" i="1"/>
  <c r="AQ464" i="1"/>
  <c r="AO746" i="1"/>
  <c r="AQ339" i="1"/>
  <c r="AO253" i="1"/>
  <c r="AQ938" i="1"/>
  <c r="AO406" i="1"/>
  <c r="AQ285" i="1"/>
  <c r="AO1007" i="1"/>
  <c r="AQ1186" i="1"/>
  <c r="AO858" i="1"/>
  <c r="AQ180" i="1"/>
  <c r="AO1229" i="1"/>
  <c r="AO626" i="1"/>
  <c r="AO1208" i="1"/>
  <c r="AQ526" i="1"/>
  <c r="AQ1247" i="1"/>
  <c r="AO1053" i="1"/>
  <c r="AO1206" i="1"/>
  <c r="AQ201" i="1"/>
  <c r="AQ1302" i="1"/>
  <c r="AO971" i="1"/>
  <c r="AQ38" i="1"/>
  <c r="AO1233" i="1"/>
  <c r="AQ346" i="1"/>
  <c r="AO739" i="1"/>
  <c r="AO563" i="1"/>
  <c r="AQ111" i="1"/>
  <c r="AO1150" i="1"/>
  <c r="AO1066" i="1"/>
  <c r="AO472" i="1"/>
  <c r="AQ940" i="1"/>
  <c r="AO549" i="1"/>
  <c r="AQ483" i="1"/>
  <c r="H22" i="5"/>
  <c r="I22" i="5" s="1"/>
  <c r="AP93" i="1"/>
  <c r="AP501" i="1"/>
  <c r="AP627" i="1"/>
  <c r="AP837" i="1"/>
  <c r="AP59" i="1"/>
  <c r="AP224" i="1"/>
  <c r="AP534" i="1"/>
  <c r="AP800" i="1"/>
  <c r="AP973" i="1"/>
  <c r="AP142" i="1"/>
  <c r="AP288" i="1"/>
  <c r="AP366" i="1"/>
  <c r="AP479" i="1"/>
  <c r="AP487" i="1"/>
  <c r="AP816" i="1"/>
  <c r="AP928" i="1"/>
  <c r="AP76" i="1"/>
  <c r="AP127" i="1"/>
  <c r="AP676" i="1"/>
  <c r="AP739" i="1"/>
  <c r="AP1105" i="1"/>
  <c r="AP1148" i="1"/>
  <c r="AP1162" i="1"/>
  <c r="AP238" i="1"/>
  <c r="AP466" i="1"/>
  <c r="AP715" i="1"/>
  <c r="AP380" i="1"/>
  <c r="AP616" i="1"/>
  <c r="AP691" i="1"/>
  <c r="AP1058" i="1"/>
  <c r="AP1209" i="1"/>
  <c r="AP1243" i="1"/>
  <c r="AP1264" i="1"/>
  <c r="AP317" i="1"/>
  <c r="AP1233" i="1"/>
  <c r="AP252" i="1"/>
  <c r="AP605" i="1"/>
  <c r="AP446" i="1"/>
  <c r="AP913" i="1"/>
  <c r="AP1075" i="1"/>
  <c r="AP46" i="1"/>
  <c r="AP1195" i="1"/>
  <c r="AP51" i="1"/>
  <c r="AP99" i="1"/>
  <c r="AP339" i="1"/>
  <c r="AP429" i="1"/>
  <c r="AP131" i="1"/>
  <c r="AP167" i="1"/>
  <c r="AP181" i="1"/>
  <c r="AP354" i="1"/>
  <c r="AP412" i="1"/>
  <c r="AP577" i="1"/>
  <c r="AP613" i="1"/>
  <c r="AP786" i="1"/>
  <c r="AP980" i="1"/>
  <c r="AP1092" i="1"/>
  <c r="AP1152" i="1"/>
  <c r="AP115" i="1"/>
  <c r="AP314" i="1"/>
  <c r="AP652" i="1"/>
  <c r="AP480" i="1"/>
  <c r="AP970" i="1"/>
  <c r="AP996" i="1"/>
  <c r="AP1241" i="1"/>
  <c r="AP1321" i="1"/>
  <c r="AP767" i="1"/>
  <c r="AP797" i="1"/>
  <c r="AP79" i="1"/>
  <c r="AP523" i="1"/>
  <c r="AP830" i="1"/>
  <c r="AP1337" i="1"/>
  <c r="AP191" i="1"/>
  <c r="AP235" i="1"/>
  <c r="AP810" i="1"/>
  <c r="AP1136" i="1"/>
  <c r="AP1041" i="1"/>
  <c r="AP1106" i="1"/>
  <c r="AP307" i="1"/>
  <c r="AP632" i="1"/>
  <c r="AP1226" i="1"/>
  <c r="AP1034" i="1"/>
  <c r="AP733" i="1"/>
  <c r="AP946" i="1"/>
  <c r="AP1017" i="1"/>
  <c r="S18" i="5"/>
  <c r="L15" i="5"/>
  <c r="M4" i="5"/>
  <c r="V20" i="5"/>
  <c r="AC42" i="6"/>
  <c r="J27" i="5"/>
  <c r="BK27" i="5" s="1"/>
  <c r="S5" i="5"/>
  <c r="U5" i="5"/>
  <c r="S62" i="6"/>
  <c r="BH20" i="5"/>
  <c r="BI17" i="5"/>
  <c r="BH21" i="5"/>
  <c r="BI3" i="5"/>
  <c r="BI22" i="5"/>
  <c r="BH16" i="5"/>
  <c r="BH33" i="5"/>
  <c r="BI6" i="5"/>
  <c r="BI21" i="5"/>
  <c r="BJ21" i="5" s="1"/>
  <c r="BI10" i="5"/>
  <c r="BI19" i="5"/>
  <c r="BG16" i="5"/>
  <c r="BI16" i="5"/>
  <c r="S25" i="5"/>
  <c r="BB25" i="5"/>
  <c r="BC25" i="5"/>
  <c r="BC21" i="5"/>
  <c r="BB21" i="5"/>
  <c r="BB9" i="5"/>
  <c r="BC9" i="5"/>
  <c r="BC22" i="5"/>
  <c r="BB22" i="5"/>
  <c r="BG5" i="5"/>
  <c r="BH5" i="5"/>
  <c r="BG8" i="5"/>
  <c r="BI8" i="5"/>
  <c r="BG12" i="5"/>
  <c r="BH12" i="5"/>
  <c r="BG31" i="5"/>
  <c r="BH31" i="5"/>
  <c r="BI30" i="5"/>
  <c r="W19" i="6"/>
  <c r="N14" i="5"/>
  <c r="AB14" i="5" s="1"/>
  <c r="BB27" i="5"/>
  <c r="BC27" i="5"/>
  <c r="Y24" i="5"/>
  <c r="AH24" i="5" s="1"/>
  <c r="BC24" i="5"/>
  <c r="BB24" i="5"/>
  <c r="T22" i="5"/>
  <c r="AE22" i="5" s="1"/>
  <c r="BG11" i="5"/>
  <c r="BH11" i="5"/>
  <c r="BG14" i="5"/>
  <c r="BI14" i="5"/>
  <c r="BG18" i="5"/>
  <c r="BH18" i="5"/>
  <c r="BI12" i="5"/>
  <c r="BI27" i="5"/>
  <c r="BH26" i="5"/>
  <c r="BI25" i="5"/>
  <c r="BI23" i="5"/>
  <c r="BH4" i="5"/>
  <c r="BB32" i="5"/>
  <c r="BC32" i="5"/>
  <c r="Q5" i="5"/>
  <c r="AH5" i="5" s="1"/>
  <c r="BC5" i="5"/>
  <c r="BB5" i="5"/>
  <c r="W22" i="5"/>
  <c r="AD22" i="5" s="1"/>
  <c r="V22" i="5"/>
  <c r="AB22" i="5" s="1"/>
  <c r="U22" i="5"/>
  <c r="AG22" i="5" s="1"/>
  <c r="M9" i="5"/>
  <c r="AG9" i="5" s="1"/>
  <c r="BG17" i="5"/>
  <c r="BH17" i="5"/>
  <c r="BJ17" i="5" s="1"/>
  <c r="BG20" i="5"/>
  <c r="BI20" i="5"/>
  <c r="BJ20" i="5" s="1"/>
  <c r="BG24" i="5"/>
  <c r="BH24" i="5"/>
  <c r="BG27" i="5"/>
  <c r="BH27" i="5"/>
  <c r="BI33" i="5"/>
  <c r="BJ33" i="5" s="1"/>
  <c r="BI28" i="5"/>
  <c r="BH32" i="5"/>
  <c r="BI31" i="5"/>
  <c r="BI29" i="5"/>
  <c r="BH10" i="5"/>
  <c r="BJ10" i="5" s="1"/>
  <c r="T7" i="6"/>
  <c r="BC18" i="5"/>
  <c r="BB18" i="5"/>
  <c r="AE16" i="6"/>
  <c r="BC29" i="5"/>
  <c r="BB29" i="5"/>
  <c r="K14" i="5"/>
  <c r="AC14" i="5" s="1"/>
  <c r="BB14" i="5"/>
  <c r="BC14" i="5"/>
  <c r="J9" i="5"/>
  <c r="R22" i="5"/>
  <c r="L9" i="5"/>
  <c r="AE9" i="5" s="1"/>
  <c r="BG23" i="5"/>
  <c r="BH23" i="5"/>
  <c r="BG26" i="5"/>
  <c r="BI26" i="5"/>
  <c r="BG30" i="5"/>
  <c r="BH30" i="5"/>
  <c r="BG7" i="5"/>
  <c r="BH7" i="5"/>
  <c r="BH2" i="5"/>
  <c r="BC17" i="5"/>
  <c r="S17" i="5"/>
  <c r="BB17" i="5"/>
  <c r="R17" i="5"/>
  <c r="Y17" i="5"/>
  <c r="AH17" i="5" s="1"/>
  <c r="M10" i="5"/>
  <c r="AG10" i="5" s="1"/>
  <c r="BC10" i="5"/>
  <c r="BB10" i="5"/>
  <c r="L14" i="5"/>
  <c r="AE14" i="5" s="1"/>
  <c r="P19" i="5"/>
  <c r="AF19" i="5" s="1"/>
  <c r="BB19" i="5"/>
  <c r="BC19" i="5"/>
  <c r="BG29" i="5"/>
  <c r="BH29" i="5"/>
  <c r="BH15" i="5"/>
  <c r="BG32" i="5"/>
  <c r="BI32" i="5"/>
  <c r="BG22" i="5"/>
  <c r="BI9" i="5"/>
  <c r="BG19" i="5"/>
  <c r="BH19" i="5"/>
  <c r="BI4" i="5"/>
  <c r="BH8" i="5"/>
  <c r="T17" i="5"/>
  <c r="AE17" i="5" s="1"/>
  <c r="W17" i="5"/>
  <c r="AD17" i="5" s="1"/>
  <c r="BI7" i="5"/>
  <c r="X17" i="5"/>
  <c r="AF17" i="5" s="1"/>
  <c r="BI5" i="5"/>
  <c r="BI18" i="5"/>
  <c r="BH22" i="5"/>
  <c r="T2" i="5"/>
  <c r="AE2" i="5" s="1"/>
  <c r="BB2" i="5"/>
  <c r="BC2" i="5"/>
  <c r="X33" i="5"/>
  <c r="AF33" i="5" s="1"/>
  <c r="BB33" i="5"/>
  <c r="BC33" i="5"/>
  <c r="N28" i="6"/>
  <c r="S23" i="6"/>
  <c r="D30" i="6"/>
  <c r="O3" i="5"/>
  <c r="X8" i="5"/>
  <c r="AF8" i="5" s="1"/>
  <c r="BB8" i="5"/>
  <c r="BC8" i="5"/>
  <c r="S26" i="5"/>
  <c r="AC26" i="5" s="1"/>
  <c r="BB26" i="5"/>
  <c r="BC26" i="5"/>
  <c r="BC11" i="5"/>
  <c r="BB11" i="5"/>
  <c r="K9" i="5"/>
  <c r="AC9" i="5" s="1"/>
  <c r="BH9" i="5"/>
  <c r="BG2" i="5"/>
  <c r="BI2" i="5"/>
  <c r="BH6" i="5"/>
  <c r="BJ6" i="5" s="1"/>
  <c r="BG13" i="5"/>
  <c r="BH13" i="5"/>
  <c r="BH3" i="5"/>
  <c r="BJ3" i="5" s="1"/>
  <c r="BI15" i="5"/>
  <c r="BG25" i="5"/>
  <c r="BH25" i="5"/>
  <c r="BJ25" i="5" s="1"/>
  <c r="BH14" i="5"/>
  <c r="BI13" i="5"/>
  <c r="BI11" i="5"/>
  <c r="BI24" i="5"/>
  <c r="BH28" i="5"/>
  <c r="BG6" i="5"/>
  <c r="BG21" i="5"/>
  <c r="BG15" i="5"/>
  <c r="BG9" i="5"/>
  <c r="BG3" i="5"/>
  <c r="BG33" i="5"/>
  <c r="U8" i="5"/>
  <c r="AG8" i="5" s="1"/>
  <c r="W10" i="1"/>
  <c r="W24" i="5"/>
  <c r="AD24" i="5" s="1"/>
  <c r="AD4" i="6"/>
  <c r="Y22" i="5"/>
  <c r="AH22" i="5" s="1"/>
  <c r="X22" i="5"/>
  <c r="S22" i="5"/>
  <c r="AC22" i="5" s="1"/>
  <c r="Y25" i="5"/>
  <c r="AH25" i="5" s="1"/>
  <c r="Y11" i="6"/>
  <c r="X24" i="5"/>
  <c r="AF24" i="5" s="1"/>
  <c r="P5" i="5"/>
  <c r="AF5" i="5" s="1"/>
  <c r="U24" i="5"/>
  <c r="AG24" i="5" s="1"/>
  <c r="R24" i="5"/>
  <c r="R25" i="5"/>
  <c r="O5" i="5"/>
  <c r="AD5" i="5" s="1"/>
  <c r="W12" i="1"/>
  <c r="Q11" i="5"/>
  <c r="AH11" i="5" s="1"/>
  <c r="P11" i="5"/>
  <c r="AF11" i="5" s="1"/>
  <c r="O11" i="5"/>
  <c r="AD11" i="5" s="1"/>
  <c r="N11" i="5"/>
  <c r="AB11" i="5" s="1"/>
  <c r="L11" i="5"/>
  <c r="AE11" i="5" s="1"/>
  <c r="K11" i="5"/>
  <c r="J11" i="5"/>
  <c r="M11" i="5"/>
  <c r="AG11" i="5" s="1"/>
  <c r="V25" i="5"/>
  <c r="AB25" i="5" s="1"/>
  <c r="Q9" i="5"/>
  <c r="AH9" i="5" s="1"/>
  <c r="P9" i="5"/>
  <c r="N9" i="5"/>
  <c r="AB9" i="5" s="1"/>
  <c r="O9" i="5"/>
  <c r="AD9" i="5" s="1"/>
  <c r="P31" i="6"/>
  <c r="J14" i="5"/>
  <c r="M5" i="5"/>
  <c r="AG5" i="5" s="1"/>
  <c r="K5" i="5"/>
  <c r="AC5" i="5" s="1"/>
  <c r="AB14" i="6"/>
  <c r="U25" i="5"/>
  <c r="AG25" i="5" s="1"/>
  <c r="M14" i="5"/>
  <c r="AG14" i="5" s="1"/>
  <c r="W16" i="1"/>
  <c r="Y27" i="5"/>
  <c r="AH27" i="5" s="1"/>
  <c r="T27" i="5"/>
  <c r="AE27" i="5" s="1"/>
  <c r="X27" i="5"/>
  <c r="AF27" i="5" s="1"/>
  <c r="S27" i="5"/>
  <c r="W27" i="5"/>
  <c r="AD27" i="5" s="1"/>
  <c r="V27" i="5"/>
  <c r="AB27" i="5" s="1"/>
  <c r="R27" i="5"/>
  <c r="U27" i="5"/>
  <c r="AG27" i="5" s="1"/>
  <c r="R8" i="5"/>
  <c r="L6" i="6"/>
  <c r="R5" i="6"/>
  <c r="N10" i="5"/>
  <c r="AB10" i="5" s="1"/>
  <c r="P10" i="5"/>
  <c r="AF10" i="5" s="1"/>
  <c r="P14" i="5"/>
  <c r="AF14" i="5" s="1"/>
  <c r="O14" i="5"/>
  <c r="AD14" i="5" s="1"/>
  <c r="R26" i="5"/>
  <c r="T8" i="5"/>
  <c r="AE8" i="5" s="1"/>
  <c r="E18" i="6"/>
  <c r="J10" i="5"/>
  <c r="Q14" i="5"/>
  <c r="AH14" i="5" s="1"/>
  <c r="N19" i="5"/>
  <c r="AB19" i="5" s="1"/>
  <c r="L19" i="5"/>
  <c r="AE19" i="5" s="1"/>
  <c r="Y26" i="5"/>
  <c r="AH26" i="5" s="1"/>
  <c r="O21" i="6"/>
  <c r="U15" i="6"/>
  <c r="V26" i="5"/>
  <c r="AB26" i="5" s="1"/>
  <c r="X26" i="5"/>
  <c r="AF26" i="5" s="1"/>
  <c r="M19" i="5"/>
  <c r="AG19" i="5" s="1"/>
  <c r="J19" i="5"/>
  <c r="U26" i="5"/>
  <c r="AG26" i="5" s="1"/>
  <c r="T26" i="5"/>
  <c r="AE26" i="5" s="1"/>
  <c r="Q19" i="5"/>
  <c r="AH19" i="5" s="1"/>
  <c r="O19" i="5"/>
  <c r="AD19" i="5" s="1"/>
  <c r="W26" i="5"/>
  <c r="AD26" i="5" s="1"/>
  <c r="K19" i="5"/>
  <c r="L21" i="5"/>
  <c r="AE21" i="5" s="1"/>
  <c r="J21" i="5"/>
  <c r="P21" i="5"/>
  <c r="AF21" i="5" s="1"/>
  <c r="N21" i="5"/>
  <c r="AB21" i="5" s="1"/>
  <c r="K21" i="5"/>
  <c r="M21" i="5"/>
  <c r="AG21" i="5" s="1"/>
  <c r="Q21" i="5"/>
  <c r="AH21" i="5" s="1"/>
  <c r="O21" i="5"/>
  <c r="AD21" i="5" s="1"/>
  <c r="Y29" i="5"/>
  <c r="AH29" i="5" s="1"/>
  <c r="S29" i="5"/>
  <c r="R29" i="5"/>
  <c r="X29" i="5"/>
  <c r="AF29" i="5" s="1"/>
  <c r="U29" i="5"/>
  <c r="AG29" i="5" s="1"/>
  <c r="T29" i="5"/>
  <c r="AE29" i="5" s="1"/>
  <c r="V29" i="5"/>
  <c r="AB29" i="5" s="1"/>
  <c r="W29" i="5"/>
  <c r="AD29" i="5" s="1"/>
  <c r="AC25" i="5"/>
  <c r="O10" i="5"/>
  <c r="AD10" i="5" s="1"/>
  <c r="F12" i="6"/>
  <c r="K10" i="5"/>
  <c r="Q10" i="5"/>
  <c r="AH10" i="5" s="1"/>
  <c r="X25" i="5"/>
  <c r="AF25" i="5" s="1"/>
  <c r="T25" i="5"/>
  <c r="AE25" i="5" s="1"/>
  <c r="L10" i="5"/>
  <c r="AE10" i="5" s="1"/>
  <c r="W25" i="5"/>
  <c r="AD25" i="5" s="1"/>
  <c r="V32" i="6"/>
  <c r="AF22" i="6"/>
  <c r="M18" i="5"/>
  <c r="AG18" i="5" s="1"/>
  <c r="G20" i="6"/>
  <c r="J18" i="5"/>
  <c r="K18" i="5"/>
  <c r="AC18" i="5" s="1"/>
  <c r="L18" i="5"/>
  <c r="AE18" i="5" s="1"/>
  <c r="P18" i="5"/>
  <c r="AF18" i="5" s="1"/>
  <c r="N18" i="5"/>
  <c r="AB18" i="5" s="1"/>
  <c r="O18" i="5"/>
  <c r="AD18" i="5" s="1"/>
  <c r="Q18" i="5"/>
  <c r="AH18" i="5" s="1"/>
  <c r="J5" i="5"/>
  <c r="N5" i="5"/>
  <c r="AB5" i="5" s="1"/>
  <c r="L5" i="5"/>
  <c r="AE5" i="5" s="1"/>
  <c r="S8" i="5"/>
  <c r="AC8" i="5" s="1"/>
  <c r="V8" i="5"/>
  <c r="AB8" i="5" s="1"/>
  <c r="O32" i="5"/>
  <c r="AD32" i="5" s="1"/>
  <c r="L3" i="5"/>
  <c r="W8" i="5"/>
  <c r="AD8" i="5" s="1"/>
  <c r="M3" i="5"/>
  <c r="Y8" i="5"/>
  <c r="AH8" i="5" s="1"/>
  <c r="B3" i="6"/>
  <c r="Q3" i="5"/>
  <c r="P3" i="5"/>
  <c r="N32" i="5"/>
  <c r="AB32" i="5" s="1"/>
  <c r="K3" i="5"/>
  <c r="X2" i="5"/>
  <c r="AF2" i="5" s="1"/>
  <c r="Q32" i="5"/>
  <c r="AH32" i="5" s="1"/>
  <c r="L32" i="5"/>
  <c r="AE32" i="5" s="1"/>
  <c r="V33" i="5"/>
  <c r="AB33" i="5" s="1"/>
  <c r="M32" i="5"/>
  <c r="AG32" i="5" s="1"/>
  <c r="P32" i="5"/>
  <c r="AF32" i="5" s="1"/>
  <c r="U2" i="5"/>
  <c r="AG2" i="5" s="1"/>
  <c r="V2" i="5"/>
  <c r="AB2" i="5" s="1"/>
  <c r="W2" i="5"/>
  <c r="AD2" i="5" s="1"/>
  <c r="U33" i="5"/>
  <c r="AG33" i="5" s="1"/>
  <c r="W33" i="5"/>
  <c r="AD33" i="5" s="1"/>
  <c r="Y33" i="5"/>
  <c r="AH33" i="5" s="1"/>
  <c r="R2" i="5"/>
  <c r="Z17" i="6"/>
  <c r="Y2" i="5"/>
  <c r="AH2" i="5" s="1"/>
  <c r="R33" i="5"/>
  <c r="S33" i="5"/>
  <c r="J32" i="5"/>
  <c r="K32" i="5"/>
  <c r="S2" i="5"/>
  <c r="K25" i="6"/>
  <c r="Q26" i="6"/>
  <c r="C2" i="6"/>
  <c r="T33" i="5"/>
  <c r="AE33" i="5" s="1"/>
  <c r="X8" i="1"/>
  <c r="W8" i="1"/>
  <c r="W7" i="1"/>
  <c r="X7" i="1"/>
  <c r="W6" i="1"/>
  <c r="X6" i="1"/>
  <c r="AM2" i="1"/>
  <c r="AM3" i="1"/>
  <c r="AM4" i="1"/>
  <c r="AM5" i="1"/>
  <c r="AK2" i="1"/>
  <c r="AK3" i="1"/>
  <c r="AK4" i="1"/>
  <c r="AK5" i="1"/>
  <c r="C5" i="1"/>
  <c r="L5" i="1"/>
  <c r="P5" i="1"/>
  <c r="AJ5" i="1"/>
  <c r="AJ2" i="1"/>
  <c r="AJ3" i="1"/>
  <c r="AL3" i="1" s="1"/>
  <c r="AJ4" i="1"/>
  <c r="BO66" i="4"/>
  <c r="BO65" i="4"/>
  <c r="BP65" i="4" s="1"/>
  <c r="BO64" i="4"/>
  <c r="BQ63" i="4"/>
  <c r="BR63" i="4" s="1"/>
  <c r="BP63" i="4"/>
  <c r="BO63" i="4"/>
  <c r="BO62" i="4"/>
  <c r="BP61" i="4"/>
  <c r="BQ61" i="4" s="1"/>
  <c r="BO61" i="4"/>
  <c r="BO60" i="4"/>
  <c r="BO59" i="4"/>
  <c r="BP59" i="4" s="1"/>
  <c r="BO58" i="4"/>
  <c r="BO57" i="4"/>
  <c r="BP57" i="4" s="1"/>
  <c r="BO56" i="4"/>
  <c r="BO55" i="4"/>
  <c r="BP55" i="4" s="1"/>
  <c r="BO54" i="4"/>
  <c r="BO53" i="4"/>
  <c r="BP53" i="4" s="1"/>
  <c r="BO52" i="4"/>
  <c r="BQ51" i="4"/>
  <c r="BR51" i="4" s="1"/>
  <c r="BP51" i="4"/>
  <c r="BO51" i="4"/>
  <c r="BO50" i="4"/>
  <c r="BP49" i="4"/>
  <c r="BQ49" i="4" s="1"/>
  <c r="BO49" i="4"/>
  <c r="BO48" i="4"/>
  <c r="BO47" i="4"/>
  <c r="BP47" i="4" s="1"/>
  <c r="BO46" i="4"/>
  <c r="BO45" i="4"/>
  <c r="BP45" i="4" s="1"/>
  <c r="BO44" i="4"/>
  <c r="BO43" i="4"/>
  <c r="BP43" i="4" s="1"/>
  <c r="BO42" i="4"/>
  <c r="BO41" i="4"/>
  <c r="BP41" i="4" s="1"/>
  <c r="BO40" i="4"/>
  <c r="BQ39" i="4"/>
  <c r="BR39" i="4" s="1"/>
  <c r="BP39" i="4"/>
  <c r="BO39" i="4"/>
  <c r="BO38" i="4"/>
  <c r="BP37" i="4"/>
  <c r="BQ37" i="4" s="1"/>
  <c r="BO37" i="4"/>
  <c r="BO36" i="4"/>
  <c r="BO35" i="4"/>
  <c r="BP35" i="4" s="1"/>
  <c r="BO34" i="4"/>
  <c r="BO33" i="4"/>
  <c r="BP33" i="4" s="1"/>
  <c r="BO32" i="4"/>
  <c r="BO31" i="4"/>
  <c r="BP31" i="4" s="1"/>
  <c r="BO30" i="4"/>
  <c r="BP29" i="4" s="1"/>
  <c r="BO29" i="4"/>
  <c r="BO28" i="4"/>
  <c r="BQ27" i="4"/>
  <c r="BP27" i="4"/>
  <c r="BR27" i="4" s="1"/>
  <c r="BO27" i="4"/>
  <c r="BO26" i="4"/>
  <c r="BP25" i="4"/>
  <c r="BO25" i="4"/>
  <c r="BO24" i="4"/>
  <c r="BO23" i="4"/>
  <c r="BP23" i="4" s="1"/>
  <c r="BO22" i="4"/>
  <c r="BO21" i="4"/>
  <c r="BP21" i="4" s="1"/>
  <c r="BO20" i="4"/>
  <c r="BO19" i="4"/>
  <c r="BP19" i="4" s="1"/>
  <c r="BO18" i="4"/>
  <c r="BO17" i="4"/>
  <c r="BP17" i="4" s="1"/>
  <c r="BO16" i="4"/>
  <c r="BP15" i="4"/>
  <c r="BO15" i="4"/>
  <c r="BO14" i="4"/>
  <c r="BP13" i="4"/>
  <c r="BQ13" i="4" s="1"/>
  <c r="BO13" i="4"/>
  <c r="BO12" i="4"/>
  <c r="BO11" i="4"/>
  <c r="BP11" i="4" s="1"/>
  <c r="BO10" i="4"/>
  <c r="BO9" i="4"/>
  <c r="BP9" i="4" s="1"/>
  <c r="BO8" i="4"/>
  <c r="BO7" i="4"/>
  <c r="BP7" i="4" s="1"/>
  <c r="BO6" i="4"/>
  <c r="BO5" i="4"/>
  <c r="BP5" i="4" s="1"/>
  <c r="BO4" i="4"/>
  <c r="BP3" i="4"/>
  <c r="BO3" i="4"/>
  <c r="BO6" i="3"/>
  <c r="BP5" i="3" s="1"/>
  <c r="BO7" i="3"/>
  <c r="BP7" i="3" s="1"/>
  <c r="BO8" i="3"/>
  <c r="BO9" i="3"/>
  <c r="BO10" i="3"/>
  <c r="BO11" i="3"/>
  <c r="BO12" i="3"/>
  <c r="BO13" i="3"/>
  <c r="BP13" i="3" s="1"/>
  <c r="BO14" i="3"/>
  <c r="BO15" i="3"/>
  <c r="BO16" i="3"/>
  <c r="BO17" i="3"/>
  <c r="BO18" i="3"/>
  <c r="BO19" i="3"/>
  <c r="BP19" i="3" s="1"/>
  <c r="BO20" i="3"/>
  <c r="BO21" i="3"/>
  <c r="BO22" i="3"/>
  <c r="BO23" i="3"/>
  <c r="BO24" i="3"/>
  <c r="BO25" i="3"/>
  <c r="BO26" i="3"/>
  <c r="BO27" i="3"/>
  <c r="BO28" i="3"/>
  <c r="BO29" i="3"/>
  <c r="BO30" i="3"/>
  <c r="BO31" i="3"/>
  <c r="BP31" i="3" s="1"/>
  <c r="BO32" i="3"/>
  <c r="BO33" i="3"/>
  <c r="BO34" i="3"/>
  <c r="BO35" i="3"/>
  <c r="BO36" i="3"/>
  <c r="BO37" i="3"/>
  <c r="BP37" i="3" s="1"/>
  <c r="BO38" i="3"/>
  <c r="BO39" i="3"/>
  <c r="BO40" i="3"/>
  <c r="BO41" i="3"/>
  <c r="BO42" i="3"/>
  <c r="BO43" i="3"/>
  <c r="BP43" i="3" s="1"/>
  <c r="BO44" i="3"/>
  <c r="BO45" i="3"/>
  <c r="BO46" i="3"/>
  <c r="BO47" i="3"/>
  <c r="BP47" i="3" s="1"/>
  <c r="BO48" i="3"/>
  <c r="BO49" i="3"/>
  <c r="BP49" i="3" s="1"/>
  <c r="BO50" i="3"/>
  <c r="BO51" i="3"/>
  <c r="BO52" i="3"/>
  <c r="BO53" i="3"/>
  <c r="BO54" i="3"/>
  <c r="BO55" i="3"/>
  <c r="BP55" i="3" s="1"/>
  <c r="BO56" i="3"/>
  <c r="BO57" i="3"/>
  <c r="BO58" i="3"/>
  <c r="BO59" i="3"/>
  <c r="BO60" i="3"/>
  <c r="BO61" i="3"/>
  <c r="BP61" i="3" s="1"/>
  <c r="BO62" i="3"/>
  <c r="BO63" i="3"/>
  <c r="BO64" i="3"/>
  <c r="BO65" i="3"/>
  <c r="BO66" i="3"/>
  <c r="BO4" i="3"/>
  <c r="BP3" i="3" s="1"/>
  <c r="BO5" i="3"/>
  <c r="BO3" i="3"/>
  <c r="BP9" i="3"/>
  <c r="BQ9" i="3" s="1"/>
  <c r="BP11" i="3"/>
  <c r="BQ11" i="3" s="1"/>
  <c r="BP15" i="3"/>
  <c r="BR15" i="3" s="1"/>
  <c r="BQ15" i="3"/>
  <c r="BP17" i="3"/>
  <c r="BQ17" i="3" s="1"/>
  <c r="BP21" i="3"/>
  <c r="BR21" i="3" s="1"/>
  <c r="BQ21" i="3"/>
  <c r="BP23" i="3"/>
  <c r="BQ23" i="3" s="1"/>
  <c r="BP27" i="3"/>
  <c r="BR27" i="3" s="1"/>
  <c r="BQ27" i="3"/>
  <c r="BP29" i="3"/>
  <c r="BQ29" i="3" s="1"/>
  <c r="BP33" i="3"/>
  <c r="BR33" i="3" s="1"/>
  <c r="BQ33" i="3"/>
  <c r="BP35" i="3"/>
  <c r="BQ35" i="3" s="1"/>
  <c r="BP39" i="3"/>
  <c r="BR39" i="3" s="1"/>
  <c r="BQ39" i="3"/>
  <c r="BP41" i="3"/>
  <c r="BQ41" i="3" s="1"/>
  <c r="BP45" i="3"/>
  <c r="BR45" i="3" s="1"/>
  <c r="BQ45" i="3"/>
  <c r="BP51" i="3"/>
  <c r="BR51" i="3" s="1"/>
  <c r="BQ51" i="3"/>
  <c r="BP53" i="3"/>
  <c r="BQ53" i="3" s="1"/>
  <c r="BP57" i="3"/>
  <c r="BR57" i="3" s="1"/>
  <c r="BQ57" i="3"/>
  <c r="BP59" i="3"/>
  <c r="BQ59" i="3" s="1"/>
  <c r="BP63" i="3"/>
  <c r="BR63" i="3" s="1"/>
  <c r="BQ63" i="3"/>
  <c r="BP65" i="3"/>
  <c r="BQ65" i="3" s="1"/>
  <c r="P2" i="1"/>
  <c r="P3" i="1"/>
  <c r="P4" i="1"/>
  <c r="L2" i="1"/>
  <c r="L3" i="1"/>
  <c r="L4" i="1"/>
  <c r="C4" i="1"/>
  <c r="C3" i="1"/>
  <c r="C2" i="1"/>
  <c r="AN67" i="1" l="1"/>
  <c r="AN85" i="1"/>
  <c r="AN217" i="1"/>
  <c r="AN313" i="1"/>
  <c r="AN373" i="1"/>
  <c r="AN415" i="1"/>
  <c r="AN721" i="1"/>
  <c r="AN799" i="1"/>
  <c r="AN967" i="1"/>
  <c r="AN1003" i="1"/>
  <c r="AN95" i="1"/>
  <c r="AN585" i="1"/>
  <c r="AN707" i="1"/>
  <c r="AN858" i="1"/>
  <c r="AN1074" i="1"/>
  <c r="AN753" i="1"/>
  <c r="AN839" i="1"/>
  <c r="AN977" i="1"/>
  <c r="AN1090" i="1"/>
  <c r="AN29" i="1"/>
  <c r="AN112" i="1"/>
  <c r="AN496" i="1"/>
  <c r="AN641" i="1"/>
  <c r="AN1160" i="1"/>
  <c r="AN544" i="1"/>
  <c r="AN792" i="1"/>
  <c r="AN1229" i="1"/>
  <c r="AN1322" i="1"/>
  <c r="AN464" i="1"/>
  <c r="AN557" i="1"/>
  <c r="AN1241" i="1"/>
  <c r="AN1337" i="1"/>
  <c r="AN564" i="1"/>
  <c r="AN1308" i="1"/>
  <c r="AN832" i="1"/>
  <c r="AN1300" i="1"/>
  <c r="AN125" i="1"/>
  <c r="AN1058" i="1"/>
  <c r="AN1040" i="1"/>
  <c r="AN1049" i="1"/>
  <c r="AN820" i="1"/>
  <c r="AQ8" i="1"/>
  <c r="AO387" i="1"/>
  <c r="AO7" i="1"/>
  <c r="AO104" i="1"/>
  <c r="AQ265" i="1"/>
  <c r="AO329" i="1"/>
  <c r="AQ83" i="1"/>
  <c r="AO9" i="1"/>
  <c r="AO681" i="1"/>
  <c r="AQ438" i="1"/>
  <c r="AO11" i="1"/>
  <c r="AO458" i="1"/>
  <c r="AO443" i="1"/>
  <c r="AQ1300" i="1"/>
  <c r="AQ15" i="1"/>
  <c r="AO1320" i="1"/>
  <c r="AO321" i="1"/>
  <c r="AQ588" i="1"/>
  <c r="AQ189" i="1"/>
  <c r="BK15" i="5"/>
  <c r="BL31" i="5"/>
  <c r="AO6" i="1"/>
  <c r="AO525" i="1"/>
  <c r="AQ766" i="1"/>
  <c r="AL2" i="1"/>
  <c r="AQ17" i="1"/>
  <c r="AQ608" i="1"/>
  <c r="AO418" i="1"/>
  <c r="AO17" i="1"/>
  <c r="AO608" i="1"/>
  <c r="AQ418" i="1"/>
  <c r="BK12" i="5"/>
  <c r="AO632" i="1"/>
  <c r="AO830" i="1"/>
  <c r="AO1286" i="1"/>
  <c r="AO879" i="1"/>
  <c r="AQ1254" i="1"/>
  <c r="AQ7" i="1"/>
  <c r="AO265" i="1"/>
  <c r="AO83" i="1"/>
  <c r="AQ104" i="1"/>
  <c r="AQ329" i="1"/>
  <c r="AO10" i="1"/>
  <c r="AO1234" i="1"/>
  <c r="AQ96" i="1"/>
  <c r="AQ1219" i="1"/>
  <c r="AO391" i="1"/>
  <c r="AQ12" i="1"/>
  <c r="AO534" i="1"/>
  <c r="AQ875" i="1"/>
  <c r="AQ20" i="1"/>
  <c r="BL9" i="5"/>
  <c r="AQ10" i="1"/>
  <c r="AQ1234" i="1"/>
  <c r="AO96" i="1"/>
  <c r="AQ391" i="1"/>
  <c r="AO1219" i="1"/>
  <c r="AQ14" i="1"/>
  <c r="AO1171" i="1"/>
  <c r="AQ873" i="1"/>
  <c r="AQ6" i="1"/>
  <c r="AO766" i="1"/>
  <c r="AQ525" i="1"/>
  <c r="AQ9" i="1"/>
  <c r="AO438" i="1"/>
  <c r="AQ681" i="1"/>
  <c r="AO382" i="1"/>
  <c r="AQ126" i="1"/>
  <c r="AP111" i="1"/>
  <c r="AP219" i="1"/>
  <c r="AP345" i="1"/>
  <c r="AP579" i="1"/>
  <c r="AP813" i="1"/>
  <c r="AP831" i="1"/>
  <c r="AP253" i="1"/>
  <c r="AP368" i="1"/>
  <c r="AP656" i="1"/>
  <c r="AP1164" i="1"/>
  <c r="AP1176" i="1"/>
  <c r="AP1326" i="1"/>
  <c r="AP47" i="1"/>
  <c r="AP418" i="1"/>
  <c r="AP522" i="1"/>
  <c r="AP539" i="1"/>
  <c r="AP695" i="1"/>
  <c r="AP773" i="1"/>
  <c r="AP953" i="1"/>
  <c r="AP1076" i="1"/>
  <c r="AP787" i="1"/>
  <c r="AP1210" i="1"/>
  <c r="AP847" i="1"/>
  <c r="AP979" i="1"/>
  <c r="AP36" i="1"/>
  <c r="AP395" i="1"/>
  <c r="AP596" i="1"/>
  <c r="AP644" i="1"/>
  <c r="AP862" i="1"/>
  <c r="AP1273" i="1"/>
  <c r="AP128" i="1"/>
  <c r="AP204" i="1"/>
  <c r="AP437" i="1"/>
  <c r="AP716" i="1"/>
  <c r="AP1118" i="1"/>
  <c r="AP91" i="1"/>
  <c r="AP511" i="1"/>
  <c r="AP1250" i="1"/>
  <c r="AP67" i="1"/>
  <c r="AP1060" i="1"/>
  <c r="AP451" i="1"/>
  <c r="BL18" i="5"/>
  <c r="AO14" i="1"/>
  <c r="AO873" i="1"/>
  <c r="AQ1171" i="1"/>
  <c r="AQ13" i="1"/>
  <c r="AO270" i="1"/>
  <c r="AQ687" i="1"/>
  <c r="AO15" i="1"/>
  <c r="AO189" i="1"/>
  <c r="AQ1320" i="1"/>
  <c r="AO588" i="1"/>
  <c r="AQ321" i="1"/>
  <c r="AN109" i="1"/>
  <c r="AN127" i="1"/>
  <c r="AN199" i="1"/>
  <c r="AN307" i="1"/>
  <c r="AN463" i="1"/>
  <c r="AN859" i="1"/>
  <c r="AN979" i="1"/>
  <c r="AN174" i="1"/>
  <c r="AN362" i="1"/>
  <c r="AN794" i="1"/>
  <c r="AN1118" i="1"/>
  <c r="AN1197" i="1"/>
  <c r="AN338" i="1"/>
  <c r="AN442" i="1"/>
  <c r="AN658" i="1"/>
  <c r="AN969" i="1"/>
  <c r="AN849" i="1"/>
  <c r="AN869" i="1"/>
  <c r="AN932" i="1"/>
  <c r="AN1086" i="1"/>
  <c r="AN1138" i="1"/>
  <c r="AN1284" i="1"/>
  <c r="AN222" i="1"/>
  <c r="AN482" i="1"/>
  <c r="AN825" i="1"/>
  <c r="AN1000" i="1"/>
  <c r="AN639" i="1"/>
  <c r="AN1188" i="1"/>
  <c r="AN93" i="1"/>
  <c r="AN922" i="1"/>
  <c r="AN1256" i="1"/>
  <c r="AN212" i="1"/>
  <c r="AN375" i="1"/>
  <c r="AN532" i="1"/>
  <c r="AN594" i="1"/>
  <c r="AN684" i="1"/>
  <c r="AN1244" i="1"/>
  <c r="AN456" i="1"/>
  <c r="AN705" i="1"/>
  <c r="AN352" i="1"/>
  <c r="AN323" i="1"/>
  <c r="AN97" i="1"/>
  <c r="AN241" i="1"/>
  <c r="AN391" i="1"/>
  <c r="AN1057" i="1"/>
  <c r="AN117" i="1"/>
  <c r="AN743" i="1"/>
  <c r="AN1082" i="1"/>
  <c r="AN1146" i="1"/>
  <c r="AN1204" i="1"/>
  <c r="AN1290" i="1"/>
  <c r="AN572" i="1"/>
  <c r="AN1236" i="1"/>
  <c r="AN1296" i="1"/>
  <c r="AN267" i="1"/>
  <c r="AN309" i="1"/>
  <c r="AN351" i="1"/>
  <c r="AN662" i="1"/>
  <c r="AN682" i="1"/>
  <c r="AN911" i="1"/>
  <c r="AN1191" i="1"/>
  <c r="AN255" i="1"/>
  <c r="AN524" i="1"/>
  <c r="AN647" i="1"/>
  <c r="AN1311" i="1"/>
  <c r="AN132" i="1"/>
  <c r="AN587" i="1"/>
  <c r="AN754" i="1"/>
  <c r="AN784" i="1"/>
  <c r="AN1169" i="1"/>
  <c r="AN51" i="1"/>
  <c r="AN219" i="1"/>
  <c r="AN508" i="1"/>
  <c r="AN591" i="1"/>
  <c r="AN964" i="1"/>
  <c r="AN1184" i="1"/>
  <c r="AN552" i="1"/>
  <c r="AN927" i="1"/>
  <c r="AN33" i="1"/>
  <c r="AN21" i="1"/>
  <c r="AN946" i="1"/>
  <c r="AN800" i="1"/>
  <c r="AN634" i="1"/>
  <c r="AP303" i="1"/>
  <c r="AP381" i="1"/>
  <c r="AP747" i="1"/>
  <c r="AP795" i="1"/>
  <c r="AP289" i="1"/>
  <c r="AP628" i="1"/>
  <c r="AP1074" i="1"/>
  <c r="AP1086" i="1"/>
  <c r="AP1128" i="1"/>
  <c r="AP349" i="1"/>
  <c r="AP470" i="1"/>
  <c r="AP643" i="1"/>
  <c r="AP833" i="1"/>
  <c r="AP850" i="1"/>
  <c r="AP919" i="1"/>
  <c r="AP157" i="1"/>
  <c r="AP521" i="1"/>
  <c r="AP532" i="1"/>
  <c r="AP1059" i="1"/>
  <c r="AP60" i="1"/>
  <c r="AP367" i="1"/>
  <c r="AP1005" i="1"/>
  <c r="AP1317" i="1"/>
  <c r="AP1339" i="1"/>
  <c r="AP77" i="1"/>
  <c r="AP97" i="1"/>
  <c r="AP270" i="1"/>
  <c r="AP488" i="1"/>
  <c r="AP814" i="1"/>
  <c r="AP110" i="1"/>
  <c r="AP450" i="1"/>
  <c r="AP1108" i="1"/>
  <c r="AP154" i="1"/>
  <c r="AP1137" i="1"/>
  <c r="AP560" i="1"/>
  <c r="AP502" i="1"/>
  <c r="AP172" i="1"/>
  <c r="AP871" i="1"/>
  <c r="AP1180" i="1"/>
  <c r="AP1293" i="1"/>
  <c r="AP898" i="1"/>
  <c r="AP1163" i="1"/>
  <c r="AO1085" i="1"/>
  <c r="AQ1276" i="1"/>
  <c r="AO8" i="1"/>
  <c r="AQ387" i="1"/>
  <c r="AQ11" i="1"/>
  <c r="AQ458" i="1"/>
  <c r="AO1300" i="1"/>
  <c r="AQ443" i="1"/>
  <c r="AO13" i="1"/>
  <c r="AQ270" i="1"/>
  <c r="AO687" i="1"/>
  <c r="AO12" i="1"/>
  <c r="AO875" i="1"/>
  <c r="AQ534" i="1"/>
  <c r="AN541" i="1"/>
  <c r="AN571" i="1"/>
  <c r="AN703" i="1"/>
  <c r="AN727" i="1"/>
  <c r="AN1069" i="1"/>
  <c r="AN1279" i="1"/>
  <c r="AN470" i="1"/>
  <c r="AN1139" i="1"/>
  <c r="AN1298" i="1"/>
  <c r="AN96" i="1"/>
  <c r="AN294" i="1"/>
  <c r="AN778" i="1"/>
  <c r="AN813" i="1"/>
  <c r="AN891" i="1"/>
  <c r="AN1055" i="1"/>
  <c r="AN1080" i="1"/>
  <c r="AN82" i="1"/>
  <c r="AN579" i="1"/>
  <c r="AN1025" i="1"/>
  <c r="AN1180" i="1"/>
  <c r="AN1304" i="1"/>
  <c r="AN274" i="1"/>
  <c r="AN306" i="1"/>
  <c r="AN689" i="1"/>
  <c r="AN711" i="1"/>
  <c r="AN886" i="1"/>
  <c r="AN1011" i="1"/>
  <c r="AN1156" i="1"/>
  <c r="AN152" i="1"/>
  <c r="AN446" i="1"/>
  <c r="AN624" i="1"/>
  <c r="AN1092" i="1"/>
  <c r="AN802" i="1"/>
  <c r="AN220" i="1"/>
  <c r="AN281" i="1"/>
  <c r="AN531" i="1"/>
  <c r="AN168" i="1"/>
  <c r="AN417" i="1"/>
  <c r="AN602" i="1"/>
  <c r="AN1162" i="1"/>
  <c r="AN178" i="1"/>
  <c r="BK22" i="5"/>
  <c r="BL20" i="5"/>
  <c r="AP633" i="1"/>
  <c r="AP711" i="1"/>
  <c r="AP867" i="1"/>
  <c r="AP217" i="1"/>
  <c r="AP282" i="1"/>
  <c r="AP361" i="1"/>
  <c r="AP469" i="1"/>
  <c r="AP649" i="1"/>
  <c r="AP736" i="1"/>
  <c r="AP1068" i="1"/>
  <c r="AP1158" i="1"/>
  <c r="AP1206" i="1"/>
  <c r="AP686" i="1"/>
  <c r="AP65" i="1"/>
  <c r="AP137" i="1"/>
  <c r="AP179" i="1"/>
  <c r="AP883" i="1"/>
  <c r="AP1191" i="1"/>
  <c r="AP83" i="1"/>
  <c r="AP456" i="1"/>
  <c r="AP949" i="1"/>
  <c r="AP1145" i="1"/>
  <c r="AP163" i="1"/>
  <c r="AP770" i="1"/>
  <c r="AP965" i="1"/>
  <c r="AP892" i="1"/>
  <c r="AP1240" i="1"/>
  <c r="AP356" i="1"/>
  <c r="AP494" i="1"/>
  <c r="AP610" i="1"/>
  <c r="AP751" i="1"/>
  <c r="AP295" i="1"/>
  <c r="AP856" i="1"/>
  <c r="AP985" i="1"/>
  <c r="AP1053" i="1"/>
  <c r="AP187" i="1"/>
  <c r="AP701" i="1"/>
  <c r="AP1222" i="1"/>
  <c r="AP1323" i="1"/>
  <c r="AP1343" i="1"/>
  <c r="AP265" i="1"/>
  <c r="AO20" i="1"/>
  <c r="BD18" i="5"/>
  <c r="BJ32" i="5"/>
  <c r="BL27" i="5"/>
  <c r="BJ22" i="5"/>
  <c r="AJ17" i="5"/>
  <c r="AL17" i="5" s="1"/>
  <c r="BD21" i="5"/>
  <c r="BD5" i="5"/>
  <c r="BD27" i="5"/>
  <c r="BJ12" i="5"/>
  <c r="BD22" i="5"/>
  <c r="BJ16" i="5"/>
  <c r="BJ19" i="5"/>
  <c r="BL33" i="5"/>
  <c r="BJ27" i="5"/>
  <c r="BJ28" i="5"/>
  <c r="BJ29" i="5"/>
  <c r="BK19" i="5"/>
  <c r="BL29" i="5"/>
  <c r="BJ15" i="5"/>
  <c r="BJ18" i="5"/>
  <c r="BD24" i="5"/>
  <c r="BD9" i="5"/>
  <c r="AA2" i="5"/>
  <c r="AU2" i="5" s="1"/>
  <c r="BL2" i="5"/>
  <c r="BK21" i="5"/>
  <c r="AA26" i="5"/>
  <c r="BL26" i="5"/>
  <c r="BD8" i="5"/>
  <c r="BJ2" i="5"/>
  <c r="AA25" i="5"/>
  <c r="BL25" i="5"/>
  <c r="BD26" i="5"/>
  <c r="AA24" i="5"/>
  <c r="Z24" i="5" s="1"/>
  <c r="BL24" i="5"/>
  <c r="AI17" i="5"/>
  <c r="AA8" i="5"/>
  <c r="Z8" i="5" s="1"/>
  <c r="BL8" i="5"/>
  <c r="BJ13" i="5"/>
  <c r="BD33" i="5"/>
  <c r="BJ8" i="5"/>
  <c r="BD19" i="5"/>
  <c r="BD10" i="5"/>
  <c r="BD17" i="5"/>
  <c r="BJ30" i="5"/>
  <c r="BD29" i="5"/>
  <c r="BD32" i="5"/>
  <c r="BJ31" i="5"/>
  <c r="BJ5" i="5"/>
  <c r="AA10" i="5"/>
  <c r="BK10" i="5"/>
  <c r="BK32" i="5"/>
  <c r="BJ9" i="5"/>
  <c r="BL17" i="5"/>
  <c r="AA17" i="5"/>
  <c r="AM17" i="5"/>
  <c r="BJ26" i="5"/>
  <c r="BD25" i="5"/>
  <c r="AA5" i="5"/>
  <c r="AU5" i="5" s="1"/>
  <c r="BK5" i="5"/>
  <c r="BK11" i="5"/>
  <c r="BJ14" i="5"/>
  <c r="BD11" i="5"/>
  <c r="AN17" i="5"/>
  <c r="AC17" i="5"/>
  <c r="AA22" i="5"/>
  <c r="Z22" i="5" s="1"/>
  <c r="BL22" i="5"/>
  <c r="BJ4" i="5"/>
  <c r="BJ11" i="5"/>
  <c r="BK3" i="5"/>
  <c r="AA18" i="5"/>
  <c r="AU18" i="5" s="1"/>
  <c r="BK18" i="5"/>
  <c r="AA9" i="5"/>
  <c r="Z9" i="5" s="1"/>
  <c r="BK9" i="5"/>
  <c r="BD2" i="5"/>
  <c r="AA14" i="5"/>
  <c r="Z14" i="5" s="1"/>
  <c r="BK14" i="5"/>
  <c r="BJ7" i="5"/>
  <c r="BJ23" i="5"/>
  <c r="BD14" i="5"/>
  <c r="BJ24" i="5"/>
  <c r="AM24" i="5"/>
  <c r="AO24" i="5" s="1"/>
  <c r="AS24" i="5" s="1"/>
  <c r="AU10" i="5"/>
  <c r="AU26" i="5"/>
  <c r="AI8" i="5"/>
  <c r="AU25" i="5"/>
  <c r="AU8" i="5"/>
  <c r="Z10" i="5"/>
  <c r="AJ5" i="5"/>
  <c r="AL5" i="5" s="1"/>
  <c r="Z25" i="5"/>
  <c r="AI24" i="5"/>
  <c r="AJ27" i="5"/>
  <c r="AK27" i="5" s="1"/>
  <c r="AJ11" i="5"/>
  <c r="AL11" i="5" s="1"/>
  <c r="AM22" i="5"/>
  <c r="AF22" i="5"/>
  <c r="AU22" i="5" s="1"/>
  <c r="AI27" i="5"/>
  <c r="AN22" i="5"/>
  <c r="AI11" i="5"/>
  <c r="AJ24" i="5"/>
  <c r="AK24" i="5" s="1"/>
  <c r="AN24" i="5"/>
  <c r="AM14" i="5"/>
  <c r="AR14" i="5" s="1"/>
  <c r="Z26" i="5"/>
  <c r="AJ14" i="5"/>
  <c r="AK14" i="5" s="1"/>
  <c r="AN14" i="5"/>
  <c r="AN27" i="5"/>
  <c r="AC27" i="5"/>
  <c r="AA11" i="5"/>
  <c r="AM11" i="5"/>
  <c r="AN9" i="5"/>
  <c r="AM27" i="5"/>
  <c r="AA27" i="5"/>
  <c r="AM9" i="5"/>
  <c r="AF9" i="5"/>
  <c r="AC11" i="5"/>
  <c r="AN11" i="5"/>
  <c r="AJ26" i="5"/>
  <c r="AL26" i="5" s="1"/>
  <c r="AI26" i="5"/>
  <c r="AI14" i="5"/>
  <c r="AI19" i="5"/>
  <c r="AM26" i="5"/>
  <c r="AC19" i="5"/>
  <c r="AN19" i="5"/>
  <c r="AA19" i="5"/>
  <c r="AM19" i="5"/>
  <c r="AJ19" i="5"/>
  <c r="AL19" i="5" s="1"/>
  <c r="AN26" i="5"/>
  <c r="AJ29" i="5"/>
  <c r="AL29" i="5" s="1"/>
  <c r="AI29" i="5"/>
  <c r="AI21" i="5"/>
  <c r="AA29" i="5"/>
  <c r="AM29" i="5"/>
  <c r="AC21" i="5"/>
  <c r="AN21" i="5"/>
  <c r="AN29" i="5"/>
  <c r="AC29" i="5"/>
  <c r="AJ21" i="5"/>
  <c r="AK21" i="5" s="1"/>
  <c r="AM21" i="5"/>
  <c r="AA21" i="5"/>
  <c r="AN5" i="5"/>
  <c r="AJ25" i="5"/>
  <c r="AL25" i="5" s="1"/>
  <c r="AJ10" i="5"/>
  <c r="AK10" i="5" s="1"/>
  <c r="AI10" i="5"/>
  <c r="AM25" i="5"/>
  <c r="AR25" i="5" s="1"/>
  <c r="AI25" i="5"/>
  <c r="AN25" i="5"/>
  <c r="AM5" i="5"/>
  <c r="AO5" i="5" s="1"/>
  <c r="AS5" i="5" s="1"/>
  <c r="AN10" i="5"/>
  <c r="AC10" i="5"/>
  <c r="AM10" i="5"/>
  <c r="AI5" i="5"/>
  <c r="AM18" i="5"/>
  <c r="AO18" i="5" s="1"/>
  <c r="AT18" i="5" s="1"/>
  <c r="AJ18" i="5"/>
  <c r="AK18" i="5" s="1"/>
  <c r="Z5" i="5"/>
  <c r="AN18" i="5"/>
  <c r="AI18" i="5"/>
  <c r="AM8" i="5"/>
  <c r="AP8" i="5" s="1"/>
  <c r="AN8" i="5"/>
  <c r="AJ8" i="5"/>
  <c r="AL8" i="5" s="1"/>
  <c r="Z2" i="5"/>
  <c r="AH5" i="1"/>
  <c r="AI5" i="1"/>
  <c r="AI2" i="5"/>
  <c r="AI4" i="1"/>
  <c r="AH4" i="1"/>
  <c r="AH3" i="1"/>
  <c r="AI3" i="1"/>
  <c r="AI2" i="1"/>
  <c r="AH2" i="1"/>
  <c r="AM2" i="5"/>
  <c r="AO2" i="5" s="1"/>
  <c r="AJ2" i="5"/>
  <c r="AL2" i="5" s="1"/>
  <c r="AJ32" i="5"/>
  <c r="AL32" i="5" s="1"/>
  <c r="AI32" i="5"/>
  <c r="AC2" i="5"/>
  <c r="AN2" i="5"/>
  <c r="AA32" i="5"/>
  <c r="AM32" i="5"/>
  <c r="AC32" i="5"/>
  <c r="AN32" i="5"/>
  <c r="AC33" i="5"/>
  <c r="AN33" i="5"/>
  <c r="AA33" i="5"/>
  <c r="AM33" i="5"/>
  <c r="AK17" i="5"/>
  <c r="AI33" i="5"/>
  <c r="AJ33" i="5"/>
  <c r="T5" i="1"/>
  <c r="AC5" i="1"/>
  <c r="AC4" i="1"/>
  <c r="T3" i="1"/>
  <c r="AC3" i="1"/>
  <c r="T2" i="1"/>
  <c r="AC2" i="1"/>
  <c r="T4" i="1"/>
  <c r="AL5" i="1"/>
  <c r="AL4" i="1"/>
  <c r="BR55" i="4"/>
  <c r="BQ55" i="4"/>
  <c r="BQ17" i="4"/>
  <c r="BR17" i="4" s="1"/>
  <c r="BQ41" i="4"/>
  <c r="BR41" i="4" s="1"/>
  <c r="BQ65" i="4"/>
  <c r="BR65" i="4" s="1"/>
  <c r="BR33" i="4"/>
  <c r="BQ33" i="4"/>
  <c r="BQ57" i="4"/>
  <c r="BR57" i="4" s="1"/>
  <c r="BR9" i="4"/>
  <c r="BQ9" i="4"/>
  <c r="BR43" i="4"/>
  <c r="BQ43" i="4"/>
  <c r="BQ35" i="4"/>
  <c r="BR35" i="4"/>
  <c r="BQ53" i="4"/>
  <c r="BR53" i="4"/>
  <c r="BQ59" i="4"/>
  <c r="BR59" i="4" s="1"/>
  <c r="BQ31" i="4"/>
  <c r="BR31" i="4" s="1"/>
  <c r="BQ7" i="4"/>
  <c r="BR7" i="4"/>
  <c r="BQ23" i="4"/>
  <c r="BR23" i="4" s="1"/>
  <c r="BQ47" i="4"/>
  <c r="BR47" i="4" s="1"/>
  <c r="BR19" i="4"/>
  <c r="BQ19" i="4"/>
  <c r="BQ5" i="4"/>
  <c r="BR5" i="4"/>
  <c r="BQ11" i="4"/>
  <c r="BR11" i="4" s="1"/>
  <c r="BR15" i="4"/>
  <c r="BQ21" i="4"/>
  <c r="BR21" i="4" s="1"/>
  <c r="BQ29" i="4"/>
  <c r="BR29" i="4"/>
  <c r="BQ45" i="4"/>
  <c r="BR45" i="4" s="1"/>
  <c r="BQ15" i="4"/>
  <c r="BR13" i="4"/>
  <c r="BR37" i="4"/>
  <c r="BQ3" i="4"/>
  <c r="BR3" i="4" s="1"/>
  <c r="BQ25" i="4"/>
  <c r="BR25" i="4" s="1"/>
  <c r="BR49" i="4"/>
  <c r="BR61" i="4"/>
  <c r="BP25" i="3"/>
  <c r="BQ47" i="3"/>
  <c r="BR47" i="3" s="1"/>
  <c r="BQ61" i="3"/>
  <c r="BR61" i="3"/>
  <c r="BQ55" i="3"/>
  <c r="BR55" i="3" s="1"/>
  <c r="BR49" i="3"/>
  <c r="BQ49" i="3"/>
  <c r="BQ43" i="3"/>
  <c r="BR43" i="3" s="1"/>
  <c r="BQ37" i="3"/>
  <c r="BR37" i="3"/>
  <c r="BR31" i="3"/>
  <c r="BQ31" i="3"/>
  <c r="BQ25" i="3"/>
  <c r="BR25" i="3" s="1"/>
  <c r="BQ19" i="3"/>
  <c r="BR19" i="3" s="1"/>
  <c r="BQ13" i="3"/>
  <c r="BR13" i="3" s="1"/>
  <c r="BQ7" i="3"/>
  <c r="BR7" i="3"/>
  <c r="BR59" i="3"/>
  <c r="BR35" i="3"/>
  <c r="BR11" i="3"/>
  <c r="BR23" i="3"/>
  <c r="BR9" i="3"/>
  <c r="BR65" i="3"/>
  <c r="BR53" i="3"/>
  <c r="BR41" i="3"/>
  <c r="BR29" i="3"/>
  <c r="BR17" i="3"/>
  <c r="BQ5" i="3"/>
  <c r="BR5" i="3" s="1"/>
  <c r="BQ3" i="3"/>
  <c r="BR3" i="3" s="1"/>
  <c r="AG65" i="6" l="1"/>
  <c r="AG30" i="6"/>
  <c r="O16" i="5"/>
  <c r="AD16" i="5" s="1"/>
  <c r="BC16" i="5"/>
  <c r="P16" i="5"/>
  <c r="AF16" i="5" s="1"/>
  <c r="J16" i="5"/>
  <c r="BB16" i="5"/>
  <c r="BD16" i="5" s="1"/>
  <c r="K16" i="5"/>
  <c r="M16" i="5"/>
  <c r="AG16" i="5" s="1"/>
  <c r="Q16" i="5"/>
  <c r="AH16" i="5" s="1"/>
  <c r="N16" i="5"/>
  <c r="AB16" i="5" s="1"/>
  <c r="L16" i="5"/>
  <c r="AE16" i="5" s="1"/>
  <c r="W3" i="5"/>
  <c r="AD3" i="5" s="1"/>
  <c r="S3" i="5"/>
  <c r="X3" i="5"/>
  <c r="AF3" i="5" s="1"/>
  <c r="T3" i="5"/>
  <c r="AE3" i="5" s="1"/>
  <c r="R3" i="5"/>
  <c r="V61" i="6"/>
  <c r="Y3" i="5"/>
  <c r="AH3" i="5" s="1"/>
  <c r="U3" i="5"/>
  <c r="AG3" i="5" s="1"/>
  <c r="V26" i="6"/>
  <c r="V3" i="5"/>
  <c r="AB3" i="5" s="1"/>
  <c r="BC3" i="5"/>
  <c r="BB3" i="5"/>
  <c r="BD3" i="5" s="1"/>
  <c r="AN145" i="1"/>
  <c r="AN367" i="1"/>
  <c r="AN1345" i="1"/>
  <c r="AN160" i="1"/>
  <c r="AN599" i="1"/>
  <c r="AN758" i="1"/>
  <c r="AN815" i="1"/>
  <c r="AN851" i="1"/>
  <c r="AN873" i="1"/>
  <c r="AN959" i="1"/>
  <c r="AN1017" i="1"/>
  <c r="AN1276" i="1"/>
  <c r="AN1312" i="1"/>
  <c r="AN35" i="1"/>
  <c r="AN191" i="1"/>
  <c r="AN580" i="1"/>
  <c r="AN770" i="1"/>
  <c r="AN1228" i="1"/>
  <c r="AN838" i="1"/>
  <c r="AN900" i="1"/>
  <c r="AN1222" i="1"/>
  <c r="AN348" i="1"/>
  <c r="AN410" i="1"/>
  <c r="AN514" i="1"/>
  <c r="AN555" i="1"/>
  <c r="AN897" i="1"/>
  <c r="AN1208" i="1"/>
  <c r="AN380" i="1"/>
  <c r="AN1116" i="1"/>
  <c r="AN1192" i="1"/>
  <c r="AN170" i="1"/>
  <c r="AN626" i="1"/>
  <c r="AN1030" i="1"/>
  <c r="AN84" i="1"/>
  <c r="AN334" i="1"/>
  <c r="AN186" i="1"/>
  <c r="AN1101" i="1"/>
  <c r="AN947" i="1"/>
  <c r="AN828" i="1"/>
  <c r="AN539" i="1"/>
  <c r="AN573" i="1"/>
  <c r="AN9" i="1"/>
  <c r="AN91" i="1"/>
  <c r="AN271" i="1"/>
  <c r="AN739" i="1"/>
  <c r="AN943" i="1"/>
  <c r="AN955" i="1"/>
  <c r="AN1015" i="1"/>
  <c r="AN1033" i="1"/>
  <c r="AN30" i="1"/>
  <c r="AN369" i="1"/>
  <c r="AN635" i="1"/>
  <c r="AN880" i="1"/>
  <c r="AN894" i="1"/>
  <c r="AN1060" i="1"/>
  <c r="AN1233" i="1"/>
  <c r="AN122" i="1"/>
  <c r="AN450" i="1"/>
  <c r="AN485" i="1"/>
  <c r="AN666" i="1"/>
  <c r="AN821" i="1"/>
  <c r="AN215" i="1"/>
  <c r="AN320" i="1"/>
  <c r="AN202" i="1"/>
  <c r="AN867" i="1"/>
  <c r="AN980" i="1"/>
  <c r="AN1094" i="1"/>
  <c r="AN194" i="1"/>
  <c r="AN515" i="1"/>
  <c r="AN681" i="1"/>
  <c r="AN857" i="1"/>
  <c r="AN1282" i="1"/>
  <c r="AN280" i="1"/>
  <c r="AN653" i="1"/>
  <c r="AN1109" i="1"/>
  <c r="AN1130" i="1"/>
  <c r="AN604" i="1"/>
  <c r="AN730" i="1"/>
  <c r="AN1216" i="1"/>
  <c r="AN468" i="1"/>
  <c r="AN593" i="1"/>
  <c r="AN292" i="1"/>
  <c r="AN394" i="1"/>
  <c r="AN924" i="1"/>
  <c r="AN16" i="1"/>
  <c r="AN49" i="1"/>
  <c r="AN193" i="1"/>
  <c r="AN211" i="1"/>
  <c r="AN325" i="1"/>
  <c r="AN355" i="1"/>
  <c r="AN841" i="1"/>
  <c r="AN973" i="1"/>
  <c r="AN1129" i="1"/>
  <c r="AN1219" i="1"/>
  <c r="AN110" i="1"/>
  <c r="AN182" i="1"/>
  <c r="AN513" i="1"/>
  <c r="AN549" i="1"/>
  <c r="AN988" i="1"/>
  <c r="AN1319" i="1"/>
  <c r="AN286" i="1"/>
  <c r="AN424" i="1"/>
  <c r="AN701" i="1"/>
  <c r="AN882" i="1"/>
  <c r="AN1119" i="1"/>
  <c r="AN368" i="1"/>
  <c r="AN669" i="1"/>
  <c r="AN453" i="1"/>
  <c r="AN546" i="1"/>
  <c r="AN567" i="1"/>
  <c r="AN712" i="1"/>
  <c r="AN764" i="1"/>
  <c r="AN888" i="1"/>
  <c r="AN910" i="1"/>
  <c r="AN1026" i="1"/>
  <c r="AN688" i="1"/>
  <c r="AN1268" i="1"/>
  <c r="AN126" i="1"/>
  <c r="AN872" i="1"/>
  <c r="AN1155" i="1"/>
  <c r="AN310" i="1"/>
  <c r="AN809" i="1"/>
  <c r="AN996" i="1"/>
  <c r="AN603" i="1"/>
  <c r="AN852" i="1"/>
  <c r="AN1140" i="1"/>
  <c r="AP69" i="1"/>
  <c r="AP321" i="1"/>
  <c r="AP573" i="1"/>
  <c r="AP705" i="1"/>
  <c r="AP988" i="1"/>
  <c r="AP1026" i="1"/>
  <c r="AP1218" i="1"/>
  <c r="AP1236" i="1"/>
  <c r="AP1320" i="1"/>
  <c r="AP245" i="1"/>
  <c r="AP306" i="1"/>
  <c r="AP557" i="1"/>
  <c r="AP542" i="1"/>
  <c r="AP614" i="1"/>
  <c r="AP646" i="1"/>
  <c r="AP853" i="1"/>
  <c r="AP874" i="1"/>
  <c r="AP92" i="1"/>
  <c r="AP175" i="1"/>
  <c r="AP290" i="1"/>
  <c r="AP394" i="1"/>
  <c r="AP683" i="1"/>
  <c r="AP1131" i="1"/>
  <c r="AP146" i="1"/>
  <c r="AP506" i="1"/>
  <c r="AP661" i="1"/>
  <c r="AP1015" i="1"/>
  <c r="AP1111" i="1"/>
  <c r="AP1305" i="1"/>
  <c r="AP516" i="1"/>
  <c r="AP904" i="1"/>
  <c r="AP1039" i="1"/>
  <c r="AP130" i="1"/>
  <c r="AP1151" i="1"/>
  <c r="AP259" i="1"/>
  <c r="AP972" i="1"/>
  <c r="AP28" i="1"/>
  <c r="AP595" i="1"/>
  <c r="AP805" i="1"/>
  <c r="AP826" i="1"/>
  <c r="AP408" i="1"/>
  <c r="AP6" i="1"/>
  <c r="AP33" i="1"/>
  <c r="AP81" i="1"/>
  <c r="AP357" i="1"/>
  <c r="AP525" i="1"/>
  <c r="AP549" i="1"/>
  <c r="AP585" i="1"/>
  <c r="AP933" i="1"/>
  <c r="AP275" i="1"/>
  <c r="AP426" i="1"/>
  <c r="AP692" i="1"/>
  <c r="AP707" i="1"/>
  <c r="AP168" i="1"/>
  <c r="AP202" i="1"/>
  <c r="AP634" i="1"/>
  <c r="AP262" i="1"/>
  <c r="AP780" i="1"/>
  <c r="AP1205" i="1"/>
  <c r="AP227" i="1"/>
  <c r="AP1102" i="1"/>
  <c r="AP1124" i="1"/>
  <c r="AP1189" i="1"/>
  <c r="AP398" i="1"/>
  <c r="AP679" i="1"/>
  <c r="AP724" i="1"/>
  <c r="AP1027" i="1"/>
  <c r="AP1144" i="1"/>
  <c r="AP120" i="1"/>
  <c r="AP535" i="1"/>
  <c r="AP566" i="1"/>
  <c r="AP846" i="1"/>
  <c r="AP990" i="1"/>
  <c r="AP796" i="1"/>
  <c r="AP869" i="1"/>
  <c r="AP1012" i="1"/>
  <c r="AP1331" i="1"/>
  <c r="AP108" i="1"/>
  <c r="AP1157" i="1"/>
  <c r="AP1237" i="1"/>
  <c r="AP1276" i="1"/>
  <c r="AP827" i="1"/>
  <c r="AP1115" i="1"/>
  <c r="AP11" i="1"/>
  <c r="AP39" i="1"/>
  <c r="AP165" i="1"/>
  <c r="AP669" i="1"/>
  <c r="AP783" i="1"/>
  <c r="AP927" i="1"/>
  <c r="AP951" i="1"/>
  <c r="AP52" i="1"/>
  <c r="AP203" i="1"/>
  <c r="AP268" i="1"/>
  <c r="AP527" i="1"/>
  <c r="AP772" i="1"/>
  <c r="AP880" i="1"/>
  <c r="AP1116" i="1"/>
  <c r="AP1134" i="1"/>
  <c r="AP1146" i="1"/>
  <c r="AP150" i="1"/>
  <c r="AP358" i="1"/>
  <c r="AP384" i="1"/>
  <c r="AP600" i="1"/>
  <c r="AP251" i="1"/>
  <c r="AP428" i="1"/>
  <c r="AP458" i="1"/>
  <c r="AP510" i="1"/>
  <c r="AP636" i="1"/>
  <c r="AP895" i="1"/>
  <c r="AP1285" i="1"/>
  <c r="AP300" i="1"/>
  <c r="AP1174" i="1"/>
  <c r="AP180" i="1"/>
  <c r="AP443" i="1"/>
  <c r="AP991" i="1"/>
  <c r="AP674" i="1"/>
  <c r="AP737" i="1"/>
  <c r="AP1029" i="1"/>
  <c r="AP1192" i="1"/>
  <c r="AP1207" i="1"/>
  <c r="AP1223" i="1"/>
  <c r="AP482" i="1"/>
  <c r="AP400" i="1"/>
  <c r="AP934" i="1"/>
  <c r="AP1258" i="1"/>
  <c r="AP689" i="1"/>
  <c r="AP255" i="1"/>
  <c r="AP969" i="1"/>
  <c r="AP419" i="1"/>
  <c r="AP764" i="1"/>
  <c r="AP829" i="1"/>
  <c r="AP1260" i="1"/>
  <c r="AP72" i="1"/>
  <c r="AP158" i="1"/>
  <c r="AP582" i="1"/>
  <c r="AP617" i="1"/>
  <c r="AP438" i="1"/>
  <c r="AP802" i="1"/>
  <c r="AP1292" i="1"/>
  <c r="AP497" i="1"/>
  <c r="AP839" i="1"/>
  <c r="AP1181" i="1"/>
  <c r="AP1304" i="1"/>
  <c r="AP114" i="1"/>
  <c r="AP143" i="1"/>
  <c r="AP305" i="1"/>
  <c r="AP568" i="1"/>
  <c r="AP1199" i="1"/>
  <c r="AP240" i="1"/>
  <c r="AP379" i="1"/>
  <c r="AP1046" i="1"/>
  <c r="AP1165" i="1"/>
  <c r="AP170" i="1"/>
  <c r="AP402" i="1"/>
  <c r="AP1336" i="1"/>
  <c r="AP48" i="1"/>
  <c r="AP89" i="1"/>
  <c r="AP554" i="1"/>
  <c r="AP696" i="1"/>
  <c r="AP788" i="1"/>
  <c r="AP346" i="1"/>
  <c r="AP540" i="1"/>
  <c r="AP994" i="1"/>
  <c r="AP1319" i="1"/>
  <c r="AP710" i="1"/>
  <c r="AP1245" i="1"/>
  <c r="AP1064" i="1"/>
  <c r="K13" i="5"/>
  <c r="L13" i="5"/>
  <c r="Q13" i="5"/>
  <c r="N13" i="5"/>
  <c r="O13" i="5"/>
  <c r="P13" i="5"/>
  <c r="J13" i="5"/>
  <c r="BK13" i="5" s="1"/>
  <c r="M13" i="5"/>
  <c r="R29" i="6"/>
  <c r="R64" i="6"/>
  <c r="AC53" i="6"/>
  <c r="AC18" i="6"/>
  <c r="T6" i="5"/>
  <c r="AE6" i="5" s="1"/>
  <c r="Y6" i="5"/>
  <c r="AH6" i="5" s="1"/>
  <c r="W6" i="5"/>
  <c r="AD6" i="5" s="1"/>
  <c r="X6" i="5"/>
  <c r="AF6" i="5" s="1"/>
  <c r="S6" i="5"/>
  <c r="U6" i="5"/>
  <c r="AG6" i="5" s="1"/>
  <c r="BC6" i="5"/>
  <c r="V6" i="5"/>
  <c r="AB6" i="5" s="1"/>
  <c r="BB6" i="5"/>
  <c r="BD6" i="5" s="1"/>
  <c r="R6" i="5"/>
  <c r="H4" i="6"/>
  <c r="BB12" i="5"/>
  <c r="Y12" i="5"/>
  <c r="AH12" i="5" s="1"/>
  <c r="W12" i="5"/>
  <c r="AD12" i="5" s="1"/>
  <c r="V12" i="5"/>
  <c r="AB12" i="5" s="1"/>
  <c r="T12" i="5"/>
  <c r="AE12" i="5" s="1"/>
  <c r="R12" i="5"/>
  <c r="H39" i="6"/>
  <c r="X12" i="5"/>
  <c r="AF12" i="5" s="1"/>
  <c r="U12" i="5"/>
  <c r="AG12" i="5" s="1"/>
  <c r="BC12" i="5"/>
  <c r="S12" i="5"/>
  <c r="AN8" i="1"/>
  <c r="AN121" i="1"/>
  <c r="AN133" i="1"/>
  <c r="AN661" i="1"/>
  <c r="AN691" i="1"/>
  <c r="AN823" i="1"/>
  <c r="AN949" i="1"/>
  <c r="AN991" i="1"/>
  <c r="AN1105" i="1"/>
  <c r="AN1225" i="1"/>
  <c r="AN1327" i="1"/>
  <c r="AN592" i="1"/>
  <c r="AN902" i="1"/>
  <c r="AN966" i="1"/>
  <c r="AN1110" i="1"/>
  <c r="AN1269" i="1"/>
  <c r="AN148" i="1"/>
  <c r="AN208" i="1"/>
  <c r="AN528" i="1"/>
  <c r="AN796" i="1"/>
  <c r="AN986" i="1"/>
  <c r="AN1167" i="1"/>
  <c r="AN568" i="1"/>
  <c r="AN652" i="1"/>
  <c r="AN503" i="1"/>
  <c r="AN617" i="1"/>
  <c r="AN1179" i="1"/>
  <c r="AN1313" i="1"/>
  <c r="AN32" i="1"/>
  <c r="AN258" i="1"/>
  <c r="AN716" i="1"/>
  <c r="AN190" i="1"/>
  <c r="AN812" i="1"/>
  <c r="AN345" i="1"/>
  <c r="AN1059" i="1"/>
  <c r="AN1342" i="1"/>
  <c r="AN1050" i="1"/>
  <c r="AN106" i="1"/>
  <c r="AN850" i="1"/>
  <c r="AN489" i="1"/>
  <c r="AN1299" i="1"/>
  <c r="AN759" i="1"/>
  <c r="AN20" i="1"/>
  <c r="AN505" i="1"/>
  <c r="AN553" i="1"/>
  <c r="AN805" i="1"/>
  <c r="AN326" i="1"/>
  <c r="AN786" i="1"/>
  <c r="AN1031" i="1"/>
  <c r="AN251" i="1"/>
  <c r="AN329" i="1"/>
  <c r="AN381" i="1"/>
  <c r="AN926" i="1"/>
  <c r="AN1280" i="1"/>
  <c r="AN227" i="1"/>
  <c r="AN402" i="1"/>
  <c r="AN538" i="1"/>
  <c r="AN672" i="1"/>
  <c r="AN1097" i="1"/>
  <c r="AN119" i="1"/>
  <c r="AN420" i="1"/>
  <c r="AN939" i="1"/>
  <c r="AN1084" i="1"/>
  <c r="AN1126" i="1"/>
  <c r="AN1270" i="1"/>
  <c r="AN39" i="1"/>
  <c r="AN236" i="1"/>
  <c r="AN392" i="1"/>
  <c r="AN598" i="1"/>
  <c r="AN816" i="1"/>
  <c r="AN836" i="1"/>
  <c r="AN1001" i="1"/>
  <c r="AN1302" i="1"/>
  <c r="AN569" i="1"/>
  <c r="AN1172" i="1"/>
  <c r="AN34" i="1"/>
  <c r="AN437" i="1"/>
  <c r="AN344" i="1"/>
  <c r="AN1120" i="1"/>
  <c r="AN201" i="1"/>
  <c r="AN512" i="1"/>
  <c r="AN104" i="1"/>
  <c r="AN663" i="1"/>
  <c r="AN912" i="1"/>
  <c r="AN1257" i="1"/>
  <c r="AP17" i="1"/>
  <c r="AP267" i="1"/>
  <c r="AP363" i="1"/>
  <c r="AP597" i="1"/>
  <c r="AP651" i="1"/>
  <c r="AP843" i="1"/>
  <c r="AP957" i="1"/>
  <c r="AP102" i="1"/>
  <c r="AP116" i="1"/>
  <c r="AP246" i="1"/>
  <c r="AP455" i="1"/>
  <c r="AP685" i="1"/>
  <c r="AP750" i="1"/>
  <c r="AP793" i="1"/>
  <c r="AP815" i="1"/>
  <c r="AP1308" i="1"/>
  <c r="AP1338" i="1"/>
  <c r="AP193" i="1"/>
  <c r="AP220" i="1"/>
  <c r="AP608" i="1"/>
  <c r="AP209" i="1"/>
  <c r="AP914" i="1"/>
  <c r="AP943" i="1"/>
  <c r="AP1256" i="1"/>
  <c r="AP31" i="1"/>
  <c r="AP403" i="1"/>
  <c r="AP734" i="1"/>
  <c r="AP1030" i="1"/>
  <c r="AP1048" i="1"/>
  <c r="AP1078" i="1"/>
  <c r="AP544" i="1"/>
  <c r="AP997" i="1"/>
  <c r="AP1063" i="1"/>
  <c r="AP1271" i="1"/>
  <c r="AP1201" i="1"/>
  <c r="AP1280" i="1"/>
  <c r="AP184" i="1"/>
  <c r="AP132" i="1"/>
  <c r="AP467" i="1"/>
  <c r="AP1010" i="1"/>
  <c r="AP431" i="1"/>
  <c r="AP1179" i="1"/>
  <c r="AN223" i="1"/>
  <c r="AN319" i="1"/>
  <c r="AN577" i="1"/>
  <c r="AN985" i="1"/>
  <c r="AN232" i="1"/>
  <c r="AN390" i="1"/>
  <c r="AN405" i="1"/>
  <c r="AN1046" i="1"/>
  <c r="AN1096" i="1"/>
  <c r="AN692" i="1"/>
  <c r="AN735" i="1"/>
  <c r="AN951" i="1"/>
  <c r="AN960" i="1"/>
  <c r="AN1314" i="1"/>
  <c r="AN248" i="1"/>
  <c r="AN785" i="1"/>
  <c r="AN1149" i="1"/>
  <c r="AN1212" i="1"/>
  <c r="AN1232" i="1"/>
  <c r="AN1274" i="1"/>
  <c r="AN47" i="1"/>
  <c r="AN89" i="1"/>
  <c r="AN129" i="1"/>
  <c r="AN213" i="1"/>
  <c r="AN659" i="1"/>
  <c r="AN1250" i="1"/>
  <c r="AN422" i="1"/>
  <c r="AN431" i="1"/>
  <c r="AN618" i="1"/>
  <c r="AN1209" i="1"/>
  <c r="AN197" i="1"/>
  <c r="AN342" i="1"/>
  <c r="AN24" i="1"/>
  <c r="AN687" i="1"/>
  <c r="AN935" i="1"/>
  <c r="AN706" i="1"/>
  <c r="AN989" i="1"/>
  <c r="AN904" i="1"/>
  <c r="AN42" i="1"/>
  <c r="AN479" i="1"/>
  <c r="AN760" i="1"/>
  <c r="AN1016" i="1"/>
  <c r="AP231" i="1"/>
  <c r="AP471" i="1"/>
  <c r="AP759" i="1"/>
  <c r="AP789" i="1"/>
  <c r="AP37" i="1"/>
  <c r="AP138" i="1"/>
  <c r="AP332" i="1"/>
  <c r="AP671" i="1"/>
  <c r="AP1014" i="1"/>
  <c r="AP1050" i="1"/>
  <c r="AP1278" i="1"/>
  <c r="AP374" i="1"/>
  <c r="AP452" i="1"/>
  <c r="AP96" i="1"/>
  <c r="AP241" i="1"/>
  <c r="AP562" i="1"/>
  <c r="AP697" i="1"/>
  <c r="AP832" i="1"/>
  <c r="AP186" i="1"/>
  <c r="AP848" i="1"/>
  <c r="AP890" i="1"/>
  <c r="AP932" i="1"/>
  <c r="AP1246" i="1"/>
  <c r="AP1340" i="1"/>
  <c r="AP257" i="1"/>
  <c r="AP630" i="1"/>
  <c r="AP910" i="1"/>
  <c r="AP1166" i="1"/>
  <c r="AP1307" i="1"/>
  <c r="AP529" i="1"/>
  <c r="AP1183" i="1"/>
  <c r="AP49" i="1"/>
  <c r="AP420" i="1"/>
  <c r="AP485" i="1"/>
  <c r="AP1087" i="1"/>
  <c r="AP774" i="1"/>
  <c r="AP1190" i="1"/>
  <c r="AP593" i="1"/>
  <c r="AP432" i="1"/>
  <c r="AP86" i="1"/>
  <c r="AP1149" i="1"/>
  <c r="Y28" i="5"/>
  <c r="W28" i="5"/>
  <c r="S28" i="5"/>
  <c r="T28" i="5"/>
  <c r="V28" i="5"/>
  <c r="AD68" i="6"/>
  <c r="X28" i="5"/>
  <c r="R28" i="5"/>
  <c r="BL28" i="5" s="1"/>
  <c r="U28" i="5"/>
  <c r="AD33" i="6"/>
  <c r="P30" i="5"/>
  <c r="O30" i="5"/>
  <c r="M30" i="5"/>
  <c r="D43" i="6"/>
  <c r="D8" i="6"/>
  <c r="K30" i="5"/>
  <c r="Q30" i="5"/>
  <c r="L30" i="5"/>
  <c r="J30" i="5"/>
  <c r="N30" i="5"/>
  <c r="AP7" i="1"/>
  <c r="AP399" i="1"/>
  <c r="AP232" i="1"/>
  <c r="AP325" i="1"/>
  <c r="AP901" i="1"/>
  <c r="AP1170" i="1"/>
  <c r="AP38" i="1"/>
  <c r="AP298" i="1"/>
  <c r="AP444" i="1"/>
  <c r="AP738" i="1"/>
  <c r="AP283" i="1"/>
  <c r="AP708" i="1"/>
  <c r="AP1069" i="1"/>
  <c r="AP550" i="1"/>
  <c r="AP601" i="1"/>
  <c r="AP653" i="1"/>
  <c r="AP673" i="1"/>
  <c r="AP725" i="1"/>
  <c r="AP860" i="1"/>
  <c r="AP1088" i="1"/>
  <c r="AP1153" i="1"/>
  <c r="AP1196" i="1"/>
  <c r="AP1289" i="1"/>
  <c r="AP104" i="1"/>
  <c r="AP121" i="1"/>
  <c r="AP212" i="1"/>
  <c r="AP754" i="1"/>
  <c r="AP878" i="1"/>
  <c r="AP56" i="1"/>
  <c r="AP410" i="1"/>
  <c r="AP690" i="1"/>
  <c r="AP1003" i="1"/>
  <c r="AP329" i="1"/>
  <c r="AP637" i="1"/>
  <c r="AP1312" i="1"/>
  <c r="AP464" i="1"/>
  <c r="AP906" i="1"/>
  <c r="AP1185" i="1"/>
  <c r="AP1028" i="1"/>
  <c r="AP198" i="1"/>
  <c r="AP481" i="1"/>
  <c r="AP619" i="1"/>
  <c r="AP1259" i="1"/>
  <c r="AN349" i="1"/>
  <c r="AN493" i="1"/>
  <c r="AN613" i="1"/>
  <c r="AN673" i="1"/>
  <c r="AN937" i="1"/>
  <c r="AN1117" i="1"/>
  <c r="AN1123" i="1"/>
  <c r="AN1177" i="1"/>
  <c r="AN1231" i="1"/>
  <c r="AN1297" i="1"/>
  <c r="AN153" i="1"/>
  <c r="AN282" i="1"/>
  <c r="AN434" i="1"/>
  <c r="AN578" i="1"/>
  <c r="AN714" i="1"/>
  <c r="AN200" i="1"/>
  <c r="AN321" i="1"/>
  <c r="AN60" i="1"/>
  <c r="AN71" i="1"/>
  <c r="AN257" i="1"/>
  <c r="AN393" i="1"/>
  <c r="AN474" i="1"/>
  <c r="AN734" i="1"/>
  <c r="AN879" i="1"/>
  <c r="AN285" i="1"/>
  <c r="AN296" i="1"/>
  <c r="AN680" i="1"/>
  <c r="AN958" i="1"/>
  <c r="AN111" i="1"/>
  <c r="AN1013" i="1"/>
  <c r="AN1199" i="1"/>
  <c r="AN756" i="1"/>
  <c r="AN1214" i="1"/>
  <c r="AN1102" i="1"/>
  <c r="AN366" i="1"/>
  <c r="AN654" i="1"/>
  <c r="AN636" i="1"/>
  <c r="AN1320" i="1"/>
  <c r="AN41" i="1"/>
  <c r="AN789" i="1"/>
  <c r="AN1286" i="1"/>
  <c r="AN15" i="1"/>
  <c r="AN337" i="1"/>
  <c r="AN379" i="1"/>
  <c r="AN433" i="1"/>
  <c r="AN529" i="1"/>
  <c r="AN757" i="1"/>
  <c r="AN835" i="1"/>
  <c r="AN961" i="1"/>
  <c r="AN1333" i="1"/>
  <c r="AN189" i="1"/>
  <c r="AN354" i="1"/>
  <c r="AN484" i="1"/>
  <c r="AN606" i="1"/>
  <c r="AN671" i="1"/>
  <c r="AN736" i="1"/>
  <c r="AN1182" i="1"/>
  <c r="AN226" i="1"/>
  <c r="AN467" i="1"/>
  <c r="AN588" i="1"/>
  <c r="AN454" i="1"/>
  <c r="AN1056" i="1"/>
  <c r="AN1252" i="1"/>
  <c r="AN627" i="1"/>
  <c r="AN783" i="1"/>
  <c r="AN814" i="1"/>
  <c r="AN918" i="1"/>
  <c r="AN948" i="1"/>
  <c r="AN1281" i="1"/>
  <c r="AN80" i="1"/>
  <c r="AN898" i="1"/>
  <c r="AN1088" i="1"/>
  <c r="AN771" i="1"/>
  <c r="AN896" i="1"/>
  <c r="AN1164" i="1"/>
  <c r="AN933" i="1"/>
  <c r="AN263" i="1"/>
  <c r="AN207" i="1"/>
  <c r="AN1265" i="1"/>
  <c r="AN136" i="1"/>
  <c r="AN1070" i="1"/>
  <c r="AN365" i="1"/>
  <c r="AN696" i="1"/>
  <c r="AN1194" i="1"/>
  <c r="AN25" i="1"/>
  <c r="AN289" i="1"/>
  <c r="AN457" i="1"/>
  <c r="AN469" i="1"/>
  <c r="AN547" i="1"/>
  <c r="AN709" i="1"/>
  <c r="AN781" i="1"/>
  <c r="AN829" i="1"/>
  <c r="AN877" i="1"/>
  <c r="AN889" i="1"/>
  <c r="AN913" i="1"/>
  <c r="AN1267" i="1"/>
  <c r="AN693" i="1"/>
  <c r="AN1038" i="1"/>
  <c r="AN1067" i="1"/>
  <c r="AN1089" i="1"/>
  <c r="AN1161" i="1"/>
  <c r="AN1190" i="1"/>
  <c r="AN1305" i="1"/>
  <c r="AN364" i="1"/>
  <c r="AN510" i="1"/>
  <c r="AN864" i="1"/>
  <c r="AN1210" i="1"/>
  <c r="AN423" i="1"/>
  <c r="AN486" i="1"/>
  <c r="AN1014" i="1"/>
  <c r="AN1242" i="1"/>
  <c r="AN586" i="1"/>
  <c r="AN638" i="1"/>
  <c r="AN525" i="1"/>
  <c r="AN1106" i="1"/>
  <c r="AN1317" i="1"/>
  <c r="AN335" i="1"/>
  <c r="AN646" i="1"/>
  <c r="AN1330" i="1"/>
  <c r="AN1121" i="1"/>
  <c r="AN209" i="1"/>
  <c r="AN305" i="1"/>
  <c r="AN94" i="1"/>
  <c r="AN1008" i="1"/>
  <c r="AN725" i="1"/>
  <c r="AP9" i="1"/>
  <c r="AP411" i="1"/>
  <c r="AP681" i="1"/>
  <c r="AP861" i="1"/>
  <c r="AP903" i="1"/>
  <c r="AP915" i="1"/>
  <c r="AP73" i="1"/>
  <c r="AP664" i="1"/>
  <c r="AP1056" i="1"/>
  <c r="AP1080" i="1"/>
  <c r="AP1248" i="1"/>
  <c r="AP1296" i="1"/>
  <c r="AP1332" i="1"/>
  <c r="AP236" i="1"/>
  <c r="AP331" i="1"/>
  <c r="AP496" i="1"/>
  <c r="AP514" i="1"/>
  <c r="AP824" i="1"/>
  <c r="AP868" i="1"/>
  <c r="AP106" i="1"/>
  <c r="AP199" i="1"/>
  <c r="AP344" i="1"/>
  <c r="AP694" i="1"/>
  <c r="AP536" i="1"/>
  <c r="AP709" i="1"/>
  <c r="AP35" i="1"/>
  <c r="AP223" i="1"/>
  <c r="AP286" i="1"/>
  <c r="AP612" i="1"/>
  <c r="AP722" i="1"/>
  <c r="AP1186" i="1"/>
  <c r="AP936" i="1"/>
  <c r="AP1043" i="1"/>
  <c r="AP1071" i="1"/>
  <c r="AP299" i="1"/>
  <c r="AP214" i="1"/>
  <c r="AP373" i="1"/>
  <c r="AP654" i="1"/>
  <c r="AP385" i="1"/>
  <c r="AP1324" i="1"/>
  <c r="AP1211" i="1"/>
  <c r="AP782" i="1"/>
  <c r="AP10" i="1"/>
  <c r="AP375" i="1"/>
  <c r="AP405" i="1"/>
  <c r="AP591" i="1"/>
  <c r="AP645" i="1"/>
  <c r="AP993" i="1"/>
  <c r="AP124" i="1"/>
  <c r="AP239" i="1"/>
  <c r="AP318" i="1"/>
  <c r="AP484" i="1"/>
  <c r="AP872" i="1"/>
  <c r="AP908" i="1"/>
  <c r="AP254" i="1"/>
  <c r="AP335" i="1"/>
  <c r="AP760" i="1"/>
  <c r="AP1198" i="1"/>
  <c r="AP1234" i="1"/>
  <c r="AP1342" i="1"/>
  <c r="AP41" i="1"/>
  <c r="AP61" i="1"/>
  <c r="AP517" i="1"/>
  <c r="AP941" i="1"/>
  <c r="AP1109" i="1"/>
  <c r="AP1318" i="1"/>
  <c r="AP350" i="1"/>
  <c r="AP553" i="1"/>
  <c r="AP954" i="1"/>
  <c r="AP503" i="1"/>
  <c r="AP629" i="1"/>
  <c r="AP1035" i="1"/>
  <c r="AP1251" i="1"/>
  <c r="AP658" i="1"/>
  <c r="AP974" i="1"/>
  <c r="AP389" i="1"/>
  <c r="AP1265" i="1"/>
  <c r="AP205" i="1"/>
  <c r="AP838" i="1"/>
  <c r="AP25" i="1"/>
  <c r="AP748" i="1"/>
  <c r="AP1129" i="1"/>
  <c r="AP920" i="1"/>
  <c r="AP112" i="1"/>
  <c r="AP1214" i="1"/>
  <c r="AP135" i="1"/>
  <c r="AP297" i="1"/>
  <c r="AP459" i="1"/>
  <c r="AP567" i="1"/>
  <c r="AP66" i="1"/>
  <c r="AP152" i="1"/>
  <c r="AP721" i="1"/>
  <c r="AP1002" i="1"/>
  <c r="AP1104" i="1"/>
  <c r="AP590" i="1"/>
  <c r="AP668" i="1"/>
  <c r="AP798" i="1"/>
  <c r="AP859" i="1"/>
  <c r="AP416" i="1"/>
  <c r="AP961" i="1"/>
  <c r="AP1133" i="1"/>
  <c r="AP1263" i="1"/>
  <c r="AP1277" i="1"/>
  <c r="AP197" i="1"/>
  <c r="AP330" i="1"/>
  <c r="AP704" i="1"/>
  <c r="AP1117" i="1"/>
  <c r="AP1160" i="1"/>
  <c r="AP1311" i="1"/>
  <c r="AP22" i="1"/>
  <c r="AP84" i="1"/>
  <c r="AP647" i="1"/>
  <c r="AP926" i="1"/>
  <c r="AP473" i="1"/>
  <c r="AP551" i="1"/>
  <c r="AP877" i="1"/>
  <c r="AP938" i="1"/>
  <c r="AP215" i="1"/>
  <c r="AP343" i="1"/>
  <c r="AP1345" i="1"/>
  <c r="AP812" i="1"/>
  <c r="AP359" i="1"/>
  <c r="AP312" i="1"/>
  <c r="AP1147" i="1"/>
  <c r="AP119" i="1"/>
  <c r="AP1019" i="1"/>
  <c r="Z57" i="6"/>
  <c r="Z22" i="6"/>
  <c r="K20" i="5"/>
  <c r="O20" i="5"/>
  <c r="AD20" i="5" s="1"/>
  <c r="J20" i="5"/>
  <c r="N20" i="5"/>
  <c r="AB20" i="5" s="1"/>
  <c r="BB20" i="5"/>
  <c r="BD20" i="5" s="1"/>
  <c r="L20" i="5"/>
  <c r="AE20" i="5" s="1"/>
  <c r="BC20" i="5"/>
  <c r="M20" i="5"/>
  <c r="AG20" i="5" s="1"/>
  <c r="Q20" i="5"/>
  <c r="AH20" i="5" s="1"/>
  <c r="P20" i="5"/>
  <c r="AF20" i="5" s="1"/>
  <c r="AP15" i="1"/>
  <c r="AP87" i="1"/>
  <c r="AP129" i="1"/>
  <c r="AP189" i="1"/>
  <c r="AP327" i="1"/>
  <c r="AP453" i="1"/>
  <c r="AP723" i="1"/>
  <c r="AP765" i="1"/>
  <c r="AP891" i="1"/>
  <c r="AP987" i="1"/>
  <c r="AP95" i="1"/>
  <c r="AP512" i="1"/>
  <c r="AP548" i="1"/>
  <c r="AP563" i="1"/>
  <c r="AP851" i="1"/>
  <c r="AP865" i="1"/>
  <c r="AP1254" i="1"/>
  <c r="AP169" i="1"/>
  <c r="AP230" i="1"/>
  <c r="AP821" i="1"/>
  <c r="AP1047" i="1"/>
  <c r="AP424" i="1"/>
  <c r="AP1167" i="1"/>
  <c r="AP242" i="1"/>
  <c r="AP803" i="1"/>
  <c r="AP924" i="1"/>
  <c r="AP1024" i="1"/>
  <c r="AP26" i="1"/>
  <c r="AP139" i="1"/>
  <c r="AP588" i="1"/>
  <c r="AP968" i="1"/>
  <c r="AP1150" i="1"/>
  <c r="AP1330" i="1"/>
  <c r="AP533" i="1"/>
  <c r="AP698" i="1"/>
  <c r="AP1267" i="1"/>
  <c r="AP840" i="1"/>
  <c r="AP1082" i="1"/>
  <c r="AP1000" i="1"/>
  <c r="AP406" i="1"/>
  <c r="AP338" i="1"/>
  <c r="AP1065" i="1"/>
  <c r="AN17" i="1"/>
  <c r="AN901" i="1"/>
  <c r="AN907" i="1"/>
  <c r="AN1135" i="1"/>
  <c r="AN1243" i="1"/>
  <c r="AN239" i="1"/>
  <c r="AN275" i="1"/>
  <c r="AN304" i="1"/>
  <c r="AN318" i="1"/>
  <c r="AN556" i="1"/>
  <c r="AN563" i="1"/>
  <c r="AN621" i="1"/>
  <c r="AN678" i="1"/>
  <c r="AN938" i="1"/>
  <c r="AN1334" i="1"/>
  <c r="AN234" i="1"/>
  <c r="AN874" i="1"/>
  <c r="AN1020" i="1"/>
  <c r="AN1037" i="1"/>
  <c r="AN1150" i="1"/>
  <c r="AN1306" i="1"/>
  <c r="AN465" i="1"/>
  <c r="AN630" i="1"/>
  <c r="AN807" i="1"/>
  <c r="AN963" i="1"/>
  <c r="AN1005" i="1"/>
  <c r="AN1200" i="1"/>
  <c r="AN150" i="1"/>
  <c r="AN608" i="1"/>
  <c r="AN741" i="1"/>
  <c r="AN1293" i="1"/>
  <c r="AN992" i="1"/>
  <c r="AN915" i="1"/>
  <c r="AN188" i="1"/>
  <c r="AN408" i="1"/>
  <c r="AN179" i="1"/>
  <c r="AN1238" i="1"/>
  <c r="AN497" i="1"/>
  <c r="AN76" i="1"/>
  <c r="AN767" i="1"/>
  <c r="AN166" i="1"/>
  <c r="AN291" i="1"/>
  <c r="AN1100" i="1"/>
  <c r="AN11" i="1"/>
  <c r="AN31" i="1"/>
  <c r="AN259" i="1"/>
  <c r="AN343" i="1"/>
  <c r="AN131" i="1"/>
  <c r="AN628" i="1"/>
  <c r="AN916" i="1"/>
  <c r="AN1132" i="1"/>
  <c r="AN78" i="1"/>
  <c r="AN476" i="1"/>
  <c r="AN744" i="1"/>
  <c r="AN788" i="1"/>
  <c r="AN908" i="1"/>
  <c r="AN1158" i="1"/>
  <c r="AN558" i="1"/>
  <c r="AN694" i="1"/>
  <c r="AN755" i="1"/>
  <c r="AN797" i="1"/>
  <c r="AN827" i="1"/>
  <c r="AN1316" i="1"/>
  <c r="AN108" i="1"/>
  <c r="AN244" i="1"/>
  <c r="AN575" i="1"/>
  <c r="AN876" i="1"/>
  <c r="AN1178" i="1"/>
  <c r="AN1217" i="1"/>
  <c r="AN58" i="1"/>
  <c r="AN359" i="1"/>
  <c r="AN443" i="1"/>
  <c r="AN774" i="1"/>
  <c r="AN1065" i="1"/>
  <c r="AN1076" i="1"/>
  <c r="AN404" i="1"/>
  <c r="AN1275" i="1"/>
  <c r="AN708" i="1"/>
  <c r="AN719" i="1"/>
  <c r="AN458" i="1"/>
  <c r="AN616" i="1"/>
  <c r="AN1143" i="1"/>
  <c r="AN1091" i="1"/>
  <c r="AN1338" i="1"/>
  <c r="AN581" i="1"/>
  <c r="AN1036" i="1"/>
  <c r="AP147" i="1"/>
  <c r="AP291" i="1"/>
  <c r="AP369" i="1"/>
  <c r="AP423" i="1"/>
  <c r="AP447" i="1"/>
  <c r="AP531" i="1"/>
  <c r="AP543" i="1"/>
  <c r="AP615" i="1"/>
  <c r="AP819" i="1"/>
  <c r="AP80" i="1"/>
  <c r="AP340" i="1"/>
  <c r="AP376" i="1"/>
  <c r="AP404" i="1"/>
  <c r="AP462" i="1"/>
  <c r="AP937" i="1"/>
  <c r="AP1098" i="1"/>
  <c r="AP64" i="1"/>
  <c r="AP176" i="1"/>
  <c r="AP842" i="1"/>
  <c r="AP1112" i="1"/>
  <c r="AP1270" i="1"/>
  <c r="AP900" i="1"/>
  <c r="AP1009" i="1"/>
  <c r="AP492" i="1"/>
  <c r="AP1036" i="1"/>
  <c r="AP192" i="1"/>
  <c r="AP208" i="1"/>
  <c r="AP706" i="1"/>
  <c r="AP768" i="1"/>
  <c r="AP1219" i="1"/>
  <c r="AP1322" i="1"/>
  <c r="AP322" i="1"/>
  <c r="AP161" i="1"/>
  <c r="AP672" i="1"/>
  <c r="AP1022" i="1"/>
  <c r="AP866" i="1"/>
  <c r="AP1125" i="1"/>
  <c r="AP1244" i="1"/>
  <c r="AP1341" i="1"/>
  <c r="AP854" i="1"/>
  <c r="AP478" i="1"/>
  <c r="AP983" i="1"/>
  <c r="AP13" i="1"/>
  <c r="AP141" i="1"/>
  <c r="AP309" i="1"/>
  <c r="AP333" i="1"/>
  <c r="AP687" i="1"/>
  <c r="AP741" i="1"/>
  <c r="AP849" i="1"/>
  <c r="AP196" i="1"/>
  <c r="AP347" i="1"/>
  <c r="AP448" i="1"/>
  <c r="AP635" i="1"/>
  <c r="AP887" i="1"/>
  <c r="AP1272" i="1"/>
  <c r="AP436" i="1"/>
  <c r="AP324" i="1"/>
  <c r="AP1018" i="1"/>
  <c r="AP1227" i="1"/>
  <c r="AP103" i="1"/>
  <c r="AP134" i="1"/>
  <c r="AP508" i="1"/>
  <c r="AP559" i="1"/>
  <c r="AP881" i="1"/>
  <c r="AP912" i="1"/>
  <c r="AP967" i="1"/>
  <c r="AP1001" i="1"/>
  <c r="AP834" i="1"/>
  <c r="AP864" i="1"/>
  <c r="AP1123" i="1"/>
  <c r="AP178" i="1"/>
  <c r="AP1143" i="1"/>
  <c r="AP1316" i="1"/>
  <c r="AP823" i="1"/>
  <c r="AP1173" i="1"/>
  <c r="AP648" i="1"/>
  <c r="AP1103" i="1"/>
  <c r="AP371" i="1"/>
  <c r="AP948" i="1"/>
  <c r="AP1287" i="1"/>
  <c r="AP1301" i="1"/>
  <c r="AP667" i="1"/>
  <c r="AP758" i="1"/>
  <c r="AP546" i="1"/>
  <c r="AP8" i="1"/>
  <c r="AP123" i="1"/>
  <c r="AP183" i="1"/>
  <c r="AP195" i="1"/>
  <c r="AP435" i="1"/>
  <c r="AP507" i="1"/>
  <c r="AP663" i="1"/>
  <c r="AP717" i="1"/>
  <c r="AP825" i="1"/>
  <c r="AP260" i="1"/>
  <c r="AP383" i="1"/>
  <c r="AP700" i="1"/>
  <c r="AP1122" i="1"/>
  <c r="AP1182" i="1"/>
  <c r="AP55" i="1"/>
  <c r="AP625" i="1"/>
  <c r="AP806" i="1"/>
  <c r="AP355" i="1"/>
  <c r="AP769" i="1"/>
  <c r="AP791" i="1"/>
  <c r="AP1040" i="1"/>
  <c r="AP1220" i="1"/>
  <c r="AP1328" i="1"/>
  <c r="AP342" i="1"/>
  <c r="AP984" i="1"/>
  <c r="AP1113" i="1"/>
  <c r="AP100" i="1"/>
  <c r="AP581" i="1"/>
  <c r="AP964" i="1"/>
  <c r="AP1067" i="1"/>
  <c r="AP1100" i="1"/>
  <c r="AP370" i="1"/>
  <c r="AP947" i="1"/>
  <c r="AP1168" i="1"/>
  <c r="AP1315" i="1"/>
  <c r="AP281" i="1"/>
  <c r="AP493" i="1"/>
  <c r="AP1204" i="1"/>
  <c r="AP292" i="1"/>
  <c r="AP1084" i="1"/>
  <c r="AP70" i="1"/>
  <c r="AP575" i="1"/>
  <c r="AN73" i="1"/>
  <c r="AN685" i="1"/>
  <c r="AN1021" i="1"/>
  <c r="AN1315" i="1"/>
  <c r="AN376" i="1"/>
  <c r="AN534" i="1"/>
  <c r="AN614" i="1"/>
  <c r="AN808" i="1"/>
  <c r="AN1010" i="1"/>
  <c r="AN1053" i="1"/>
  <c r="AN105" i="1"/>
  <c r="AN623" i="1"/>
  <c r="AN640" i="1"/>
  <c r="AN1193" i="1"/>
  <c r="AN134" i="1"/>
  <c r="AN360" i="1"/>
  <c r="AN316" i="1"/>
  <c r="AN327" i="1"/>
  <c r="AN336" i="1"/>
  <c r="AN350" i="1"/>
  <c r="AN495" i="1"/>
  <c r="AN670" i="1"/>
  <c r="AN846" i="1"/>
  <c r="AN1221" i="1"/>
  <c r="AN798" i="1"/>
  <c r="AN231" i="1"/>
  <c r="AN480" i="1"/>
  <c r="AN1041" i="1"/>
  <c r="AN1144" i="1"/>
  <c r="AN1206" i="1"/>
  <c r="AN1289" i="1"/>
  <c r="AN221" i="1"/>
  <c r="AN500" i="1"/>
  <c r="AN656" i="1"/>
  <c r="AN56" i="1"/>
  <c r="AN521" i="1"/>
  <c r="AN1277" i="1"/>
  <c r="AN824" i="1"/>
  <c r="AN1134" i="1"/>
  <c r="AN240" i="1"/>
  <c r="AN428" i="1"/>
  <c r="AN61" i="1"/>
  <c r="AN163" i="1"/>
  <c r="AN229" i="1"/>
  <c r="AN385" i="1"/>
  <c r="AN655" i="1"/>
  <c r="AN74" i="1"/>
  <c r="AN196" i="1"/>
  <c r="AN506" i="1"/>
  <c r="AN356" i="1"/>
  <c r="AN372" i="1"/>
  <c r="AN1331" i="1"/>
  <c r="AN50" i="1"/>
  <c r="AN185" i="1"/>
  <c r="AN288" i="1"/>
  <c r="AN444" i="1"/>
  <c r="AN704" i="1"/>
  <c r="AN921" i="1"/>
  <c r="AN1108" i="1"/>
  <c r="AN180" i="1"/>
  <c r="AN773" i="1"/>
  <c r="AN834" i="1"/>
  <c r="AN970" i="1"/>
  <c r="AN1022" i="1"/>
  <c r="AN1052" i="1"/>
  <c r="AN100" i="1"/>
  <c r="AN690" i="1"/>
  <c r="AN1260" i="1"/>
  <c r="AN1324" i="1"/>
  <c r="AN1157" i="1"/>
  <c r="AN944" i="1"/>
  <c r="AN149" i="1"/>
  <c r="AN315" i="1"/>
  <c r="AN460" i="1"/>
  <c r="AN791" i="1"/>
  <c r="AN905" i="1"/>
  <c r="AN1246" i="1"/>
  <c r="AN242" i="1"/>
  <c r="AN429" i="1"/>
  <c r="AN768" i="1"/>
  <c r="AN1078" i="1"/>
  <c r="AN302" i="1"/>
  <c r="AU24" i="5"/>
  <c r="Z18" i="5"/>
  <c r="AP18" i="1"/>
  <c r="AK11" i="5"/>
  <c r="AU14" i="5"/>
  <c r="AL24" i="5"/>
  <c r="AQ24" i="5"/>
  <c r="BB7" i="5"/>
  <c r="BC7" i="5"/>
  <c r="AR24" i="5"/>
  <c r="AU9" i="5"/>
  <c r="AU17" i="5"/>
  <c r="Z17" i="5"/>
  <c r="AP24" i="5"/>
  <c r="BB13" i="5"/>
  <c r="BC13" i="5"/>
  <c r="AN19" i="1"/>
  <c r="AN13" i="1"/>
  <c r="BC28" i="5"/>
  <c r="BB28" i="5"/>
  <c r="BB31" i="5"/>
  <c r="BC31" i="5"/>
  <c r="BB15" i="5"/>
  <c r="BC15" i="5"/>
  <c r="BC4" i="5"/>
  <c r="BB4" i="5"/>
  <c r="BC23" i="5"/>
  <c r="BB23" i="5"/>
  <c r="BC30" i="5"/>
  <c r="BB30" i="5"/>
  <c r="AR17" i="5"/>
  <c r="AO17" i="5"/>
  <c r="AP17" i="5"/>
  <c r="AQ17" i="5"/>
  <c r="AK5" i="5"/>
  <c r="Z11" i="5"/>
  <c r="AU11" i="5"/>
  <c r="Z29" i="5"/>
  <c r="AU29" i="5"/>
  <c r="Z21" i="5"/>
  <c r="AU21" i="5"/>
  <c r="Z33" i="5"/>
  <c r="AU33" i="5"/>
  <c r="Z32" i="5"/>
  <c r="AU32" i="5"/>
  <c r="Z19" i="5"/>
  <c r="AU19" i="5"/>
  <c r="Z27" i="5"/>
  <c r="AU27" i="5"/>
  <c r="AL27" i="5"/>
  <c r="AO14" i="5"/>
  <c r="AT14" i="5" s="1"/>
  <c r="AQ14" i="5"/>
  <c r="AP14" i="5"/>
  <c r="AL14" i="5"/>
  <c r="AI22" i="5"/>
  <c r="AJ22" i="5"/>
  <c r="AQ22" i="5"/>
  <c r="AR22" i="5"/>
  <c r="AP22" i="5"/>
  <c r="AO22" i="5"/>
  <c r="AQ11" i="5"/>
  <c r="AP11" i="5"/>
  <c r="AO11" i="5"/>
  <c r="AR11" i="5"/>
  <c r="AI9" i="5"/>
  <c r="AJ9" i="5"/>
  <c r="AO27" i="5"/>
  <c r="AR27" i="5"/>
  <c r="AQ27" i="5"/>
  <c r="AP27" i="5"/>
  <c r="AK26" i="5"/>
  <c r="AP9" i="5"/>
  <c r="AO9" i="5"/>
  <c r="AR9" i="5"/>
  <c r="AQ9" i="5"/>
  <c r="AL21" i="5"/>
  <c r="AK19" i="5"/>
  <c r="AP26" i="5"/>
  <c r="AQ26" i="5"/>
  <c r="AO26" i="5"/>
  <c r="AR26" i="5"/>
  <c r="AO19" i="5"/>
  <c r="AR19" i="5"/>
  <c r="AP19" i="5"/>
  <c r="AQ19" i="5"/>
  <c r="AK29" i="5"/>
  <c r="AJ6" i="5"/>
  <c r="AI6" i="5"/>
  <c r="AL10" i="5"/>
  <c r="AO21" i="5"/>
  <c r="AR21" i="5"/>
  <c r="AQ21" i="5"/>
  <c r="AP21" i="5"/>
  <c r="AQ29" i="5"/>
  <c r="AO29" i="5"/>
  <c r="AP29" i="5"/>
  <c r="AR29" i="5"/>
  <c r="AK25" i="5"/>
  <c r="AP25" i="5"/>
  <c r="AR5" i="5"/>
  <c r="AQ5" i="5"/>
  <c r="AP5" i="5"/>
  <c r="AQ18" i="5"/>
  <c r="AR8" i="5"/>
  <c r="AQ8" i="5"/>
  <c r="AR18" i="5"/>
  <c r="AP18" i="5"/>
  <c r="AO25" i="5"/>
  <c r="AQ25" i="5"/>
  <c r="AR10" i="5"/>
  <c r="AQ10" i="5"/>
  <c r="AP10" i="5"/>
  <c r="AO10" i="5"/>
  <c r="AT10" i="5" s="1"/>
  <c r="AL18" i="5"/>
  <c r="AO8" i="5"/>
  <c r="AT8" i="5" s="1"/>
  <c r="AK8" i="5"/>
  <c r="AQ2" i="5"/>
  <c r="AK32" i="5"/>
  <c r="AS18" i="5"/>
  <c r="AT5" i="5"/>
  <c r="U30" i="5"/>
  <c r="AG30" i="5" s="1"/>
  <c r="I8" i="6"/>
  <c r="T30" i="5"/>
  <c r="AE30" i="5" s="1"/>
  <c r="S30" i="5"/>
  <c r="R30" i="5"/>
  <c r="V30" i="5"/>
  <c r="AB30" i="5" s="1"/>
  <c r="W30" i="5"/>
  <c r="AD30" i="5" s="1"/>
  <c r="X30" i="5"/>
  <c r="AF30" i="5" s="1"/>
  <c r="Y30" i="5"/>
  <c r="AH30" i="5" s="1"/>
  <c r="X27" i="6"/>
  <c r="W4" i="5"/>
  <c r="AD4" i="5" s="1"/>
  <c r="X4" i="5"/>
  <c r="AF4" i="5" s="1"/>
  <c r="V4" i="5"/>
  <c r="AB4" i="5" s="1"/>
  <c r="U4" i="5"/>
  <c r="AG4" i="5" s="1"/>
  <c r="S4" i="5"/>
  <c r="T4" i="5"/>
  <c r="AE4" i="5" s="1"/>
  <c r="Y4" i="5"/>
  <c r="AH4" i="5" s="1"/>
  <c r="R4" i="5"/>
  <c r="W13" i="5"/>
  <c r="AD13" i="5" s="1"/>
  <c r="S13" i="5"/>
  <c r="T13" i="5"/>
  <c r="AE13" i="5" s="1"/>
  <c r="Y13" i="5"/>
  <c r="AH13" i="5" s="1"/>
  <c r="V13" i="5"/>
  <c r="AB13" i="5" s="1"/>
  <c r="X13" i="5"/>
  <c r="AF13" i="5" s="1"/>
  <c r="J29" i="6"/>
  <c r="R13" i="5"/>
  <c r="U13" i="5"/>
  <c r="AG13" i="5" s="1"/>
  <c r="AT2" i="5"/>
  <c r="AS2" i="5"/>
  <c r="V15" i="5"/>
  <c r="AB15" i="5" s="1"/>
  <c r="S15" i="5"/>
  <c r="U15" i="5"/>
  <c r="AG15" i="5" s="1"/>
  <c r="R15" i="5"/>
  <c r="T15" i="5"/>
  <c r="AE15" i="5" s="1"/>
  <c r="Y15" i="5"/>
  <c r="AH15" i="5" s="1"/>
  <c r="X15" i="5"/>
  <c r="AF15" i="5" s="1"/>
  <c r="AG13" i="6"/>
  <c r="W15" i="5"/>
  <c r="AD15" i="5" s="1"/>
  <c r="AT24" i="5"/>
  <c r="M31" i="5"/>
  <c r="AG31" i="5" s="1"/>
  <c r="O31" i="5"/>
  <c r="AD31" i="5" s="1"/>
  <c r="K31" i="5"/>
  <c r="Q31" i="5"/>
  <c r="AH31" i="5" s="1"/>
  <c r="P31" i="5"/>
  <c r="AF31" i="5" s="1"/>
  <c r="L31" i="5"/>
  <c r="AE31" i="5" s="1"/>
  <c r="J31" i="5"/>
  <c r="N31" i="5"/>
  <c r="AB31" i="5" s="1"/>
  <c r="H9" i="6"/>
  <c r="M23" i="5"/>
  <c r="AG23" i="5" s="1"/>
  <c r="J23" i="5"/>
  <c r="P23" i="5"/>
  <c r="AF23" i="5" s="1"/>
  <c r="O23" i="5"/>
  <c r="AD23" i="5" s="1"/>
  <c r="L23" i="5"/>
  <c r="AE23" i="5" s="1"/>
  <c r="Q23" i="5"/>
  <c r="AH23" i="5" s="1"/>
  <c r="N23" i="5"/>
  <c r="AB23" i="5" s="1"/>
  <c r="K23" i="5"/>
  <c r="AA24" i="6"/>
  <c r="AR2" i="5"/>
  <c r="AP2" i="5"/>
  <c r="K7" i="5"/>
  <c r="Q7" i="5"/>
  <c r="AH7" i="5" s="1"/>
  <c r="O7" i="5"/>
  <c r="AD7" i="5" s="1"/>
  <c r="P7" i="5"/>
  <c r="AF7" i="5" s="1"/>
  <c r="M7" i="5"/>
  <c r="AG7" i="5" s="1"/>
  <c r="N7" i="5"/>
  <c r="AB7" i="5" s="1"/>
  <c r="AC10" i="6"/>
  <c r="J7" i="5"/>
  <c r="L7" i="5"/>
  <c r="AE7" i="5" s="1"/>
  <c r="N28" i="5"/>
  <c r="AB28" i="5" s="1"/>
  <c r="Q28" i="5"/>
  <c r="AH28" i="5" s="1"/>
  <c r="K28" i="5"/>
  <c r="L28" i="5"/>
  <c r="AE28" i="5" s="1"/>
  <c r="P28" i="5"/>
  <c r="AF28" i="5" s="1"/>
  <c r="M33" i="6"/>
  <c r="J28" i="5"/>
  <c r="O28" i="5"/>
  <c r="AD28" i="5" s="1"/>
  <c r="M28" i="5"/>
  <c r="AG28" i="5" s="1"/>
  <c r="AK2" i="5"/>
  <c r="AP32" i="5"/>
  <c r="AO32" i="5"/>
  <c r="AT32" i="5" s="1"/>
  <c r="AR32" i="5"/>
  <c r="AQ32" i="5"/>
  <c r="AP33" i="5"/>
  <c r="AO33" i="5"/>
  <c r="AT33" i="5" s="1"/>
  <c r="AR33" i="5"/>
  <c r="AQ33" i="5"/>
  <c r="AK33" i="5"/>
  <c r="AL33" i="5"/>
  <c r="X2" i="1"/>
  <c r="W2" i="1"/>
  <c r="X3" i="1"/>
  <c r="W3" i="1"/>
  <c r="X4" i="1"/>
  <c r="W4" i="1"/>
  <c r="X5" i="1"/>
  <c r="W5" i="1"/>
  <c r="AQ2" i="1" l="1"/>
  <c r="AO181" i="1"/>
  <c r="AQ249" i="1"/>
  <c r="AM20" i="5"/>
  <c r="AA20" i="5"/>
  <c r="BK20" i="5"/>
  <c r="AP45" i="1"/>
  <c r="AP237" i="1"/>
  <c r="AP109" i="1"/>
  <c r="AP520" i="1"/>
  <c r="AP714" i="1"/>
  <c r="AP836" i="1"/>
  <c r="AP1242" i="1"/>
  <c r="AP1284" i="1"/>
  <c r="AP280" i="1"/>
  <c r="AP530" i="1"/>
  <c r="AP746" i="1"/>
  <c r="AP763" i="1"/>
  <c r="AP902" i="1"/>
  <c r="AP24" i="1"/>
  <c r="AP302" i="1"/>
  <c r="AP365" i="1"/>
  <c r="AP449" i="1"/>
  <c r="AP1299" i="1"/>
  <c r="AP269" i="1"/>
  <c r="AP434" i="1"/>
  <c r="AP992" i="1"/>
  <c r="AP1037" i="1"/>
  <c r="AP1232" i="1"/>
  <c r="AP156" i="1"/>
  <c r="AP126" i="1"/>
  <c r="AP287" i="1"/>
  <c r="AP586" i="1"/>
  <c r="AP896" i="1"/>
  <c r="AP940" i="1"/>
  <c r="AP1091" i="1"/>
  <c r="AP1156" i="1"/>
  <c r="AP140" i="1"/>
  <c r="AP348" i="1"/>
  <c r="AP784" i="1"/>
  <c r="AP1127" i="1"/>
  <c r="AP1142" i="1"/>
  <c r="AP726" i="1"/>
  <c r="AP571" i="1"/>
  <c r="AP1049" i="1"/>
  <c r="AP316" i="1"/>
  <c r="BD12" i="5"/>
  <c r="AO801" i="1"/>
  <c r="AO1335" i="1"/>
  <c r="AI16" i="5"/>
  <c r="AJ16" i="5"/>
  <c r="AM16" i="5"/>
  <c r="AA16" i="5"/>
  <c r="BK16" i="5"/>
  <c r="AQ3" i="1"/>
  <c r="AO302" i="1"/>
  <c r="AQ545" i="1"/>
  <c r="AO4" i="1"/>
  <c r="AO1224" i="1"/>
  <c r="AQ1263" i="1"/>
  <c r="AO40" i="1"/>
  <c r="AQ330" i="1"/>
  <c r="BK30" i="5"/>
  <c r="AM12" i="5"/>
  <c r="BL12" i="5"/>
  <c r="AA12" i="5"/>
  <c r="AQ277" i="1"/>
  <c r="AO1193" i="1"/>
  <c r="AO16" i="1"/>
  <c r="AC6" i="5"/>
  <c r="AN6" i="5"/>
  <c r="BL3" i="5"/>
  <c r="AA3" i="5"/>
  <c r="AM3" i="5"/>
  <c r="AO2" i="1"/>
  <c r="AQ181" i="1"/>
  <c r="AO249" i="1"/>
  <c r="AC20" i="5"/>
  <c r="AN20" i="5"/>
  <c r="AC12" i="5"/>
  <c r="AN12" i="5"/>
  <c r="AI12" i="5"/>
  <c r="AJ12" i="5"/>
  <c r="AM6" i="5"/>
  <c r="BL6" i="5"/>
  <c r="AA6" i="5"/>
  <c r="AJ3" i="5"/>
  <c r="AI3" i="5"/>
  <c r="AQ5" i="1"/>
  <c r="AO594" i="1"/>
  <c r="AQ1044" i="1"/>
  <c r="AQ414" i="1"/>
  <c r="AI20" i="5"/>
  <c r="AJ20" i="5"/>
  <c r="AQ759" i="1"/>
  <c r="AQ1050" i="1"/>
  <c r="AQ1335" i="1"/>
  <c r="AQ801" i="1"/>
  <c r="AO759" i="1"/>
  <c r="AO1050" i="1"/>
  <c r="AO5" i="1"/>
  <c r="AO1044" i="1"/>
  <c r="AO414" i="1"/>
  <c r="AQ594" i="1"/>
  <c r="AQ269" i="1"/>
  <c r="AO605" i="1"/>
  <c r="AO1195" i="1"/>
  <c r="AN3" i="5"/>
  <c r="AC3" i="5"/>
  <c r="AC16" i="5"/>
  <c r="AN16" i="5"/>
  <c r="AQ1195" i="1"/>
  <c r="AQ605" i="1"/>
  <c r="AO269" i="1"/>
  <c r="AO3" i="1"/>
  <c r="AO545" i="1"/>
  <c r="AQ302" i="1"/>
  <c r="AQ4" i="1"/>
  <c r="AO1263" i="1"/>
  <c r="AQ1224" i="1"/>
  <c r="AO330" i="1"/>
  <c r="AQ40" i="1"/>
  <c r="AO277" i="1"/>
  <c r="AQ1193" i="1"/>
  <c r="AQ16" i="1"/>
  <c r="AN181" i="1"/>
  <c r="AN439" i="1"/>
  <c r="AN1027" i="1"/>
  <c r="AN38" i="1"/>
  <c r="AN88" i="1"/>
  <c r="AN290" i="1"/>
  <c r="AN686" i="1"/>
  <c r="AN1002" i="1"/>
  <c r="AN1175" i="1"/>
  <c r="AN53" i="1"/>
  <c r="AN278" i="1"/>
  <c r="AN407" i="1"/>
  <c r="AN537" i="1"/>
  <c r="AN848" i="1"/>
  <c r="AN1142" i="1"/>
  <c r="AN92" i="1"/>
  <c r="AN154" i="1"/>
  <c r="AN195" i="1"/>
  <c r="AN941" i="1"/>
  <c r="AN533" i="1"/>
  <c r="AN720" i="1"/>
  <c r="AN752" i="1"/>
  <c r="AN1198" i="1"/>
  <c r="AN1292" i="1"/>
  <c r="AN266" i="1"/>
  <c r="AN328" i="1"/>
  <c r="AN651" i="1"/>
  <c r="AN702" i="1"/>
  <c r="AN1148" i="1"/>
  <c r="AN322" i="1"/>
  <c r="AN466" i="1"/>
  <c r="AN737" i="1"/>
  <c r="AN840" i="1"/>
  <c r="AN522" i="1"/>
  <c r="AN159" i="1"/>
  <c r="AN1278" i="1"/>
  <c r="AN1018" i="1"/>
  <c r="AN1163" i="1"/>
  <c r="AN449" i="1"/>
  <c r="AN862" i="1"/>
  <c r="BD30" i="5"/>
  <c r="BK23" i="5"/>
  <c r="BK7" i="5"/>
  <c r="BL4" i="5"/>
  <c r="BD31" i="5"/>
  <c r="BK31" i="5"/>
  <c r="BD23" i="5"/>
  <c r="BK28" i="5"/>
  <c r="BL15" i="5"/>
  <c r="BL13" i="5"/>
  <c r="BD4" i="5"/>
  <c r="BD28" i="5"/>
  <c r="BD13" i="5"/>
  <c r="BL30" i="5"/>
  <c r="AT17" i="5"/>
  <c r="AS17" i="5"/>
  <c r="BD15" i="5"/>
  <c r="BD7" i="5"/>
  <c r="AS14" i="5"/>
  <c r="AT22" i="5"/>
  <c r="AS22" i="5"/>
  <c r="AK22" i="5"/>
  <c r="AL22" i="5"/>
  <c r="AL9" i="5"/>
  <c r="AK9" i="5"/>
  <c r="AT11" i="5"/>
  <c r="AS11" i="5"/>
  <c r="AT9" i="5"/>
  <c r="AS9" i="5"/>
  <c r="AT27" i="5"/>
  <c r="AS27" i="5"/>
  <c r="AT26" i="5"/>
  <c r="AS26" i="5"/>
  <c r="AS19" i="5"/>
  <c r="AT19" i="5"/>
  <c r="AK6" i="5"/>
  <c r="AL6" i="5"/>
  <c r="AT29" i="5"/>
  <c r="AS29" i="5"/>
  <c r="AT21" i="5"/>
  <c r="AS21" i="5"/>
  <c r="AS8" i="5"/>
  <c r="AT25" i="5"/>
  <c r="AS25" i="5"/>
  <c r="AS10" i="5"/>
  <c r="AI15" i="5"/>
  <c r="AS32" i="5"/>
  <c r="AC15" i="5"/>
  <c r="AN15" i="5"/>
  <c r="AI28" i="5"/>
  <c r="AJ28" i="5"/>
  <c r="AL28" i="5" s="1"/>
  <c r="AC7" i="5"/>
  <c r="AN7" i="5"/>
  <c r="AM30" i="5"/>
  <c r="AA30" i="5"/>
  <c r="AC28" i="5"/>
  <c r="AN28" i="5"/>
  <c r="AI23" i="5"/>
  <c r="AJ23" i="5"/>
  <c r="AL23" i="5" s="1"/>
  <c r="AI13" i="5"/>
  <c r="AJ13" i="5"/>
  <c r="AC4" i="5"/>
  <c r="AN4" i="5"/>
  <c r="AC30" i="5"/>
  <c r="AN30" i="5"/>
  <c r="AA31" i="5"/>
  <c r="AM31" i="5"/>
  <c r="AJ15" i="5"/>
  <c r="AL15" i="5" s="1"/>
  <c r="AM13" i="5"/>
  <c r="AA13" i="5"/>
  <c r="AC13" i="5"/>
  <c r="AN13" i="5"/>
  <c r="AI30" i="5"/>
  <c r="AJ30" i="5"/>
  <c r="AI31" i="5"/>
  <c r="AJ31" i="5"/>
  <c r="AA15" i="5"/>
  <c r="AM15" i="5"/>
  <c r="AS33" i="5"/>
  <c r="AA7" i="5"/>
  <c r="AM7" i="5"/>
  <c r="AC31" i="5"/>
  <c r="AN31" i="5"/>
  <c r="AI4" i="5"/>
  <c r="AJ4" i="5"/>
  <c r="AL4" i="5" s="1"/>
  <c r="AM28" i="5"/>
  <c r="AA28" i="5"/>
  <c r="AJ7" i="5"/>
  <c r="AL7" i="5" s="1"/>
  <c r="AI7" i="5"/>
  <c r="AC23" i="5"/>
  <c r="AN23" i="5"/>
  <c r="AM23" i="5"/>
  <c r="AA23" i="5"/>
  <c r="AA4" i="5"/>
  <c r="AM4" i="5"/>
  <c r="AP3" i="1" l="1"/>
  <c r="AP117" i="1"/>
  <c r="AP495" i="1"/>
  <c r="AP609" i="1"/>
  <c r="AP807" i="1"/>
  <c r="AP999" i="1"/>
  <c r="AP397" i="1"/>
  <c r="AP599" i="1"/>
  <c r="AP620" i="1"/>
  <c r="AP822" i="1"/>
  <c r="AP858" i="1"/>
  <c r="AP959" i="1"/>
  <c r="AP90" i="1"/>
  <c r="AP211" i="1"/>
  <c r="AP341" i="1"/>
  <c r="AP409" i="1"/>
  <c r="AP565" i="1"/>
  <c r="AP574" i="1"/>
  <c r="AP876" i="1"/>
  <c r="AP718" i="1"/>
  <c r="AP935" i="1"/>
  <c r="AP1033" i="1"/>
  <c r="AP662" i="1"/>
  <c r="AP1138" i="1"/>
  <c r="AP1203" i="1"/>
  <c r="AP1275" i="1"/>
  <c r="AP136" i="1"/>
  <c r="AP32" i="1"/>
  <c r="AP274" i="1"/>
  <c r="AP474" i="1"/>
  <c r="AP1187" i="1"/>
  <c r="AP1221" i="1"/>
  <c r="AP518" i="1"/>
  <c r="AP752" i="1"/>
  <c r="AP1089" i="1"/>
  <c r="AP1229" i="1"/>
  <c r="AP264" i="1"/>
  <c r="AP845" i="1"/>
  <c r="AP1172" i="1"/>
  <c r="AP1291" i="1"/>
  <c r="AP1099" i="1"/>
  <c r="AP545" i="1"/>
  <c r="AP1309" i="1"/>
  <c r="AN2" i="1"/>
  <c r="AN361" i="1"/>
  <c r="AN697" i="1"/>
  <c r="AN1189" i="1"/>
  <c r="AN1255" i="1"/>
  <c r="AN1309" i="1"/>
  <c r="AN23" i="1"/>
  <c r="AN218" i="1"/>
  <c r="AN254" i="1"/>
  <c r="AN455" i="1"/>
  <c r="AN462" i="1"/>
  <c r="AN1218" i="1"/>
  <c r="AN1283" i="1"/>
  <c r="AN710" i="1"/>
  <c r="AN917" i="1"/>
  <c r="AN1124" i="1"/>
  <c r="AN1271" i="1"/>
  <c r="AN435" i="1"/>
  <c r="AN507" i="1"/>
  <c r="AN746" i="1"/>
  <c r="AN860" i="1"/>
  <c r="AN378" i="1"/>
  <c r="AN400" i="1"/>
  <c r="AN906" i="1"/>
  <c r="AN204" i="1"/>
  <c r="AN723" i="1"/>
  <c r="AN868" i="1"/>
  <c r="AN1054" i="1"/>
  <c r="AN903" i="1"/>
  <c r="AN1068" i="1"/>
  <c r="AN272" i="1"/>
  <c r="AN490" i="1"/>
  <c r="AN1079" i="1"/>
  <c r="AN63" i="1"/>
  <c r="AN249" i="1"/>
  <c r="AN560" i="1"/>
  <c r="AN842" i="1"/>
  <c r="AN665" i="1"/>
  <c r="AN1203" i="1"/>
  <c r="AN676" i="1"/>
  <c r="AN1173" i="1"/>
  <c r="AN14" i="1"/>
  <c r="AN6" i="1"/>
  <c r="AP6" i="5"/>
  <c r="AQ6" i="5"/>
  <c r="AO6" i="5"/>
  <c r="AR6" i="5"/>
  <c r="AP57" i="1"/>
  <c r="AP171" i="1"/>
  <c r="AP315" i="1"/>
  <c r="AP387" i="1"/>
  <c r="AP441" i="1"/>
  <c r="AP465" i="1"/>
  <c r="AP537" i="1"/>
  <c r="AP603" i="1"/>
  <c r="AP729" i="1"/>
  <c r="AP930" i="1"/>
  <c r="AP1008" i="1"/>
  <c r="AP1020" i="1"/>
  <c r="AP1140" i="1"/>
  <c r="AP1212" i="1"/>
  <c r="AP401" i="1"/>
  <c r="AP552" i="1"/>
  <c r="AP1090" i="1"/>
  <c r="AP1126" i="1"/>
  <c r="AP1249" i="1"/>
  <c r="AP71" i="1"/>
  <c r="AP155" i="1"/>
  <c r="AP278" i="1"/>
  <c r="AP870" i="1"/>
  <c r="AP42" i="1"/>
  <c r="AP430" i="1"/>
  <c r="AP301" i="1"/>
  <c r="AP334" i="1"/>
  <c r="AP364" i="1"/>
  <c r="AP1197" i="1"/>
  <c r="AP835" i="1"/>
  <c r="AP233" i="1"/>
  <c r="AP578" i="1"/>
  <c r="AP744" i="1"/>
  <c r="AP1072" i="1"/>
  <c r="AP515" i="1"/>
  <c r="AP218" i="1"/>
  <c r="AP778" i="1"/>
  <c r="AP918" i="1"/>
  <c r="AP1279" i="1"/>
  <c r="AP640" i="1"/>
  <c r="AP684" i="1"/>
  <c r="AU12" i="5"/>
  <c r="Z12" i="5"/>
  <c r="AN12" i="1"/>
  <c r="AN301" i="1"/>
  <c r="AN595" i="1"/>
  <c r="AN895" i="1"/>
  <c r="AN1249" i="1"/>
  <c r="AN1303" i="1"/>
  <c r="AN1339" i="1"/>
  <c r="AN167" i="1"/>
  <c r="AN210" i="1"/>
  <c r="AN398" i="1"/>
  <c r="AN657" i="1"/>
  <c r="AN750" i="1"/>
  <c r="AN765" i="1"/>
  <c r="AN27" i="1"/>
  <c r="AN183" i="1"/>
  <c r="AN269" i="1"/>
  <c r="AN346" i="1"/>
  <c r="AN416" i="1"/>
  <c r="AN856" i="1"/>
  <c r="AN1004" i="1"/>
  <c r="AN1176" i="1"/>
  <c r="AN516" i="1"/>
  <c r="AN953" i="1"/>
  <c r="AN1128" i="1"/>
  <c r="AN192" i="1"/>
  <c r="AN1043" i="1"/>
  <c r="AN1095" i="1"/>
  <c r="AN777" i="1"/>
  <c r="AN1295" i="1"/>
  <c r="AN107" i="1"/>
  <c r="AN875" i="1"/>
  <c r="AN561" i="1"/>
  <c r="AN645" i="1"/>
  <c r="AN436" i="1"/>
  <c r="AN1028" i="1"/>
  <c r="AN353" i="1"/>
  <c r="AN790" i="1"/>
  <c r="AN574" i="1"/>
  <c r="AN332" i="1"/>
  <c r="AN884" i="1"/>
  <c r="AN1318" i="1"/>
  <c r="AN987" i="1"/>
  <c r="AN10" i="1"/>
  <c r="AN295" i="1"/>
  <c r="AN511" i="1"/>
  <c r="AN583" i="1"/>
  <c r="AN871" i="1"/>
  <c r="AN1201" i="1"/>
  <c r="AN268" i="1"/>
  <c r="AN311" i="1"/>
  <c r="AN412" i="1"/>
  <c r="AN491" i="1"/>
  <c r="AN650" i="1"/>
  <c r="AN722" i="1"/>
  <c r="AN822" i="1"/>
  <c r="AN995" i="1"/>
  <c r="AN1103" i="1"/>
  <c r="AN130" i="1"/>
  <c r="AN156" i="1"/>
  <c r="AN615" i="1"/>
  <c r="AN683" i="1"/>
  <c r="AN1115" i="1"/>
  <c r="AN1133" i="1"/>
  <c r="AN548" i="1"/>
  <c r="AN1264" i="1"/>
  <c r="AN68" i="1"/>
  <c r="AN388" i="1"/>
  <c r="AN928" i="1"/>
  <c r="AN1032" i="1"/>
  <c r="AN1073" i="1"/>
  <c r="AN172" i="1"/>
  <c r="AN806" i="1"/>
  <c r="AN114" i="1"/>
  <c r="AN1234" i="1"/>
  <c r="AN978" i="1"/>
  <c r="AN284" i="1"/>
  <c r="AN968" i="1"/>
  <c r="AN863" i="1"/>
  <c r="AN956" i="1"/>
  <c r="AN1215" i="1"/>
  <c r="AN540" i="1"/>
  <c r="AN728" i="1"/>
  <c r="AN738" i="1"/>
  <c r="AN18" i="1"/>
  <c r="AP4" i="1"/>
  <c r="AP225" i="1"/>
  <c r="AP285" i="1"/>
  <c r="AP753" i="1"/>
  <c r="AP771" i="1"/>
  <c r="AP945" i="1"/>
  <c r="AP311" i="1"/>
  <c r="AP476" i="1"/>
  <c r="AP894" i="1"/>
  <c r="AP1224" i="1"/>
  <c r="AP1230" i="1"/>
  <c r="AP185" i="1"/>
  <c r="AP703" i="1"/>
  <c r="AP720" i="1"/>
  <c r="AP884" i="1"/>
  <c r="AP34" i="1"/>
  <c r="AP688" i="1"/>
  <c r="AP925" i="1"/>
  <c r="AP986" i="1"/>
  <c r="AP1054" i="1"/>
  <c r="AP1184" i="1"/>
  <c r="AP372" i="1"/>
  <c r="AP486" i="1"/>
  <c r="AP589" i="1"/>
  <c r="AP641" i="1"/>
  <c r="AP976" i="1"/>
  <c r="AP40" i="1"/>
  <c r="AP1208" i="1"/>
  <c r="AP378" i="1"/>
  <c r="AP1159" i="1"/>
  <c r="AP1288" i="1"/>
  <c r="AP463" i="1"/>
  <c r="AP509" i="1"/>
  <c r="AP576" i="1"/>
  <c r="AP626" i="1"/>
  <c r="AP166" i="1"/>
  <c r="AP1031" i="1"/>
  <c r="AP151" i="1"/>
  <c r="AP1193" i="1"/>
  <c r="AP247" i="1"/>
  <c r="AP960" i="1"/>
  <c r="AP1310" i="1"/>
  <c r="AP16" i="1"/>
  <c r="AN3" i="1"/>
  <c r="AN103" i="1"/>
  <c r="AN187" i="1"/>
  <c r="AN421" i="1"/>
  <c r="AN637" i="1"/>
  <c r="AN847" i="1"/>
  <c r="AN919" i="1"/>
  <c r="AN1195" i="1"/>
  <c r="AN1213" i="1"/>
  <c r="AN66" i="1"/>
  <c r="AN81" i="1"/>
  <c r="AN146" i="1"/>
  <c r="AN203" i="1"/>
  <c r="AN225" i="1"/>
  <c r="AN498" i="1"/>
  <c r="AN642" i="1"/>
  <c r="AN664" i="1"/>
  <c r="AN974" i="1"/>
  <c r="AN545" i="1"/>
  <c r="AN554" i="1"/>
  <c r="AN605" i="1"/>
  <c r="AN1340" i="1"/>
  <c r="AN382" i="1"/>
  <c r="AN1066" i="1"/>
  <c r="AN1077" i="1"/>
  <c r="AN472" i="1"/>
  <c r="AN596" i="1"/>
  <c r="AN1166" i="1"/>
  <c r="AN339" i="1"/>
  <c r="AN401" i="1"/>
  <c r="AN795" i="1"/>
  <c r="AN1023" i="1"/>
  <c r="AN1251" i="1"/>
  <c r="AN177" i="1"/>
  <c r="AN819" i="1"/>
  <c r="AN1006" i="1"/>
  <c r="AN957" i="1"/>
  <c r="AN677" i="1"/>
  <c r="AN1113" i="1"/>
  <c r="AN1266" i="1"/>
  <c r="AN870" i="1"/>
  <c r="AN1181" i="1"/>
  <c r="AN698" i="1"/>
  <c r="AN5" i="1"/>
  <c r="AN283" i="1"/>
  <c r="AN517" i="1"/>
  <c r="AN607" i="1"/>
  <c r="AN643" i="1"/>
  <c r="AN715" i="1"/>
  <c r="AN763" i="1"/>
  <c r="AN1081" i="1"/>
  <c r="AN1165" i="1"/>
  <c r="AN1183" i="1"/>
  <c r="AN923" i="1"/>
  <c r="AN945" i="1"/>
  <c r="AN1254" i="1"/>
  <c r="AN1326" i="1"/>
  <c r="AN831" i="1"/>
  <c r="AN934" i="1"/>
  <c r="AN1072" i="1"/>
  <c r="AN299" i="1"/>
  <c r="AN1044" i="1"/>
  <c r="AN1294" i="1"/>
  <c r="AN1336" i="1"/>
  <c r="AN99" i="1"/>
  <c r="AN141" i="1"/>
  <c r="AN699" i="1"/>
  <c r="AN69" i="1"/>
  <c r="AN120" i="1"/>
  <c r="AN224" i="1"/>
  <c r="AN276" i="1"/>
  <c r="AN504" i="1"/>
  <c r="AN135" i="1"/>
  <c r="AN363" i="1"/>
  <c r="AN984" i="1"/>
  <c r="AN1151" i="1"/>
  <c r="AN377" i="1"/>
  <c r="AN999" i="1"/>
  <c r="AN1061" i="1"/>
  <c r="AN740" i="1"/>
  <c r="AN965" i="1"/>
  <c r="AN1307" i="1"/>
  <c r="AN414" i="1"/>
  <c r="AN54" i="1"/>
  <c r="AN447" i="1"/>
  <c r="AN7" i="1"/>
  <c r="AL12" i="5"/>
  <c r="AK12" i="5"/>
  <c r="AP12" i="1"/>
  <c r="AP177" i="1"/>
  <c r="AP201" i="1"/>
  <c r="AP261" i="1"/>
  <c r="AP188" i="1"/>
  <c r="AP296" i="1"/>
  <c r="AP570" i="1"/>
  <c r="AP584" i="1"/>
  <c r="AP757" i="1"/>
  <c r="AP923" i="1"/>
  <c r="AP966" i="1"/>
  <c r="AP1302" i="1"/>
  <c r="AP1344" i="1"/>
  <c r="AP29" i="1"/>
  <c r="AP712" i="1"/>
  <c r="AP893" i="1"/>
  <c r="AP911" i="1"/>
  <c r="AP118" i="1"/>
  <c r="AP386" i="1"/>
  <c r="AP727" i="1"/>
  <c r="AP1169" i="1"/>
  <c r="AP164" i="1"/>
  <c r="AP776" i="1"/>
  <c r="AP1261" i="1"/>
  <c r="AP1079" i="1"/>
  <c r="AP1101" i="1"/>
  <c r="AP1178" i="1"/>
  <c r="AP442" i="1"/>
  <c r="AP457" i="1"/>
  <c r="AP950" i="1"/>
  <c r="AP284" i="1"/>
  <c r="AP702" i="1"/>
  <c r="AP415" i="1"/>
  <c r="AP742" i="1"/>
  <c r="AP277" i="1"/>
  <c r="AP558" i="1"/>
  <c r="AP857" i="1"/>
  <c r="AP989" i="1"/>
  <c r="AP149" i="1"/>
  <c r="AP875" i="1"/>
  <c r="AP1114" i="1"/>
  <c r="AP1228" i="1"/>
  <c r="Z16" i="5"/>
  <c r="AU16" i="5"/>
  <c r="AU20" i="5"/>
  <c r="Z20" i="5"/>
  <c r="AK20" i="5"/>
  <c r="AL20" i="5"/>
  <c r="AR12" i="5"/>
  <c r="AQ12" i="5"/>
  <c r="AP12" i="5"/>
  <c r="AO12" i="5"/>
  <c r="AQ16" i="5"/>
  <c r="AP16" i="5"/>
  <c r="AR16" i="5"/>
  <c r="AO16" i="5"/>
  <c r="AQ20" i="5"/>
  <c r="AO20" i="5"/>
  <c r="AR20" i="5"/>
  <c r="AP20" i="5"/>
  <c r="AN4" i="1"/>
  <c r="AN175" i="1"/>
  <c r="AN253" i="1"/>
  <c r="AN445" i="1"/>
  <c r="AN487" i="1"/>
  <c r="AN601" i="1"/>
  <c r="AN679" i="1"/>
  <c r="AN775" i="1"/>
  <c r="AN883" i="1"/>
  <c r="AN1087" i="1"/>
  <c r="AN1207" i="1"/>
  <c r="AN52" i="1"/>
  <c r="AN102" i="1"/>
  <c r="AN520" i="1"/>
  <c r="AN830" i="1"/>
  <c r="AN1240" i="1"/>
  <c r="AN243" i="1"/>
  <c r="AN502" i="1"/>
  <c r="AN632" i="1"/>
  <c r="AN761" i="1"/>
  <c r="AN1047" i="1"/>
  <c r="AN1064" i="1"/>
  <c r="AN1185" i="1"/>
  <c r="AN40" i="1"/>
  <c r="AN279" i="1"/>
  <c r="AN620" i="1"/>
  <c r="AN1325" i="1"/>
  <c r="AN161" i="1"/>
  <c r="AN233" i="1"/>
  <c r="AN990" i="1"/>
  <c r="AN1062" i="1"/>
  <c r="AN90" i="1"/>
  <c r="AN370" i="1"/>
  <c r="AN411" i="1"/>
  <c r="AN732" i="1"/>
  <c r="AN748" i="1"/>
  <c r="AN843" i="1"/>
  <c r="AN893" i="1"/>
  <c r="AN1224" i="1"/>
  <c r="AN1287" i="1"/>
  <c r="AN975" i="1"/>
  <c r="AN386" i="1"/>
  <c r="AN612" i="1"/>
  <c r="AL3" i="5"/>
  <c r="AK3" i="5"/>
  <c r="AN277" i="1"/>
  <c r="AN667" i="1"/>
  <c r="AN793" i="1"/>
  <c r="AN817" i="1"/>
  <c r="AN1009" i="1"/>
  <c r="AN1075" i="1"/>
  <c r="AN1093" i="1"/>
  <c r="AN1111" i="1"/>
  <c r="AN124" i="1"/>
  <c r="AN333" i="1"/>
  <c r="AN866" i="1"/>
  <c r="AN1247" i="1"/>
  <c r="AN62" i="1"/>
  <c r="AN113" i="1"/>
  <c r="AN260" i="1"/>
  <c r="AN1263" i="1"/>
  <c r="AN330" i="1"/>
  <c r="AN526" i="1"/>
  <c r="AN610" i="1"/>
  <c r="AN358" i="1"/>
  <c r="AN430" i="1"/>
  <c r="AN440" i="1"/>
  <c r="AN845" i="1"/>
  <c r="AN855" i="1"/>
  <c r="AN1343" i="1"/>
  <c r="AN214" i="1"/>
  <c r="AN536" i="1"/>
  <c r="AN1127" i="1"/>
  <c r="AN1137" i="1"/>
  <c r="AN72" i="1"/>
  <c r="AN550" i="1"/>
  <c r="AN674" i="1"/>
  <c r="AN86" i="1"/>
  <c r="AN98" i="1"/>
  <c r="AN810" i="1"/>
  <c r="AN998" i="1"/>
  <c r="AN395" i="1"/>
  <c r="AN406" i="1"/>
  <c r="AN780" i="1"/>
  <c r="AN1328" i="1"/>
  <c r="AN198" i="1"/>
  <c r="AK16" i="5"/>
  <c r="AL16" i="5"/>
  <c r="Z6" i="5"/>
  <c r="AU6" i="5"/>
  <c r="AP3" i="5"/>
  <c r="AQ3" i="5"/>
  <c r="AO3" i="5"/>
  <c r="AR3" i="5"/>
  <c r="AP2" i="1"/>
  <c r="AP249" i="1"/>
  <c r="AP417" i="1"/>
  <c r="AP489" i="1"/>
  <c r="AP639" i="1"/>
  <c r="AP657" i="1"/>
  <c r="AP801" i="1"/>
  <c r="AP909" i="1"/>
  <c r="AP981" i="1"/>
  <c r="AP304" i="1"/>
  <c r="AP390" i="1"/>
  <c r="AP916" i="1"/>
  <c r="AP1266" i="1"/>
  <c r="AP125" i="1"/>
  <c r="AP504" i="1"/>
  <c r="AP1061" i="1"/>
  <c r="AP1119" i="1"/>
  <c r="AP1335" i="1"/>
  <c r="AP113" i="1"/>
  <c r="AP216" i="1"/>
  <c r="AP362" i="1"/>
  <c r="AP569" i="1"/>
  <c r="AP622" i="1"/>
  <c r="AP828" i="1"/>
  <c r="AP1045" i="1"/>
  <c r="AP74" i="1"/>
  <c r="AP336" i="1"/>
  <c r="AP785" i="1"/>
  <c r="AP1231" i="1"/>
  <c r="AP1252" i="1"/>
  <c r="AP1327" i="1"/>
  <c r="AP889" i="1"/>
  <c r="AP1077" i="1"/>
  <c r="AP1094" i="1"/>
  <c r="AP1303" i="1"/>
  <c r="AP602" i="1"/>
  <c r="AP882" i="1"/>
  <c r="AP1215" i="1"/>
  <c r="AP971" i="1"/>
  <c r="AP234" i="1"/>
  <c r="AP587" i="1"/>
  <c r="AP955" i="1"/>
  <c r="AP761" i="1"/>
  <c r="AP75" i="1"/>
  <c r="AP153" i="1"/>
  <c r="AP279" i="1"/>
  <c r="AP519" i="1"/>
  <c r="AP561" i="1"/>
  <c r="AP621" i="1"/>
  <c r="AP675" i="1"/>
  <c r="AP777" i="1"/>
  <c r="AP23" i="1"/>
  <c r="AP88" i="1"/>
  <c r="AP952" i="1"/>
  <c r="AP1044" i="1"/>
  <c r="AP263" i="1"/>
  <c r="AP730" i="1"/>
  <c r="AP500" i="1"/>
  <c r="AP604" i="1"/>
  <c r="AP1141" i="1"/>
  <c r="AP1213" i="1"/>
  <c r="AP1313" i="1"/>
  <c r="AP50" i="1"/>
  <c r="AP248" i="1"/>
  <c r="AP414" i="1"/>
  <c r="AP538" i="1"/>
  <c r="AP580" i="1"/>
  <c r="AP745" i="1"/>
  <c r="AP1016" i="1"/>
  <c r="AP1023" i="1"/>
  <c r="AP1073" i="1"/>
  <c r="AP58" i="1"/>
  <c r="AP799" i="1"/>
  <c r="AP1057" i="1"/>
  <c r="AP1175" i="1"/>
  <c r="AP762" i="1"/>
  <c r="AP1298" i="1"/>
  <c r="AP888" i="1"/>
  <c r="AP1093" i="1"/>
  <c r="AP1269" i="1"/>
  <c r="AP1334" i="1"/>
  <c r="AP294" i="1"/>
  <c r="AP713" i="1"/>
  <c r="AP388" i="1"/>
  <c r="AP1161" i="1"/>
  <c r="AP14" i="1"/>
  <c r="AP207" i="1"/>
  <c r="AP513" i="1"/>
  <c r="AP699" i="1"/>
  <c r="AP873" i="1"/>
  <c r="AP963" i="1"/>
  <c r="AP491" i="1"/>
  <c r="AP1314" i="1"/>
  <c r="AP228" i="1"/>
  <c r="AP660" i="1"/>
  <c r="AP190" i="1"/>
  <c r="AP272" i="1"/>
  <c r="AP313" i="1"/>
  <c r="AP624" i="1"/>
  <c r="AP905" i="1"/>
  <c r="AP978" i="1"/>
  <c r="AP1025" i="1"/>
  <c r="AP1083" i="1"/>
  <c r="AP528" i="1"/>
  <c r="AP756" i="1"/>
  <c r="AP818" i="1"/>
  <c r="AP922" i="1"/>
  <c r="AP1066" i="1"/>
  <c r="AP1217" i="1"/>
  <c r="AP1282" i="1"/>
  <c r="AP1297" i="1"/>
  <c r="AP94" i="1"/>
  <c r="AP62" i="1"/>
  <c r="AP422" i="1"/>
  <c r="AP472" i="1"/>
  <c r="AP682" i="1"/>
  <c r="AP775" i="1"/>
  <c r="AP1007" i="1"/>
  <c r="AP1120" i="1"/>
  <c r="AP353" i="1"/>
  <c r="AP607" i="1"/>
  <c r="AP852" i="1"/>
  <c r="AP454" i="1"/>
  <c r="AP899" i="1"/>
  <c r="AP360" i="1"/>
  <c r="AP1130" i="1"/>
  <c r="AP19" i="1"/>
  <c r="Z3" i="5"/>
  <c r="AU3" i="5"/>
  <c r="AP5" i="1"/>
  <c r="AP20" i="1"/>
  <c r="Z28" i="5"/>
  <c r="AU28" i="5"/>
  <c r="Z30" i="5"/>
  <c r="AU30" i="5"/>
  <c r="Z23" i="5"/>
  <c r="AU23" i="5"/>
  <c r="Z31" i="5"/>
  <c r="AU31" i="5"/>
  <c r="Z15" i="5"/>
  <c r="AU15" i="5"/>
  <c r="Z4" i="5"/>
  <c r="AU4" i="5"/>
  <c r="Z13" i="5"/>
  <c r="AU13" i="5"/>
  <c r="Z7" i="5"/>
  <c r="AU7" i="5"/>
  <c r="AK4" i="5"/>
  <c r="AK15" i="5"/>
  <c r="AK28" i="5"/>
  <c r="AR7" i="5"/>
  <c r="AO7" i="5"/>
  <c r="AS7" i="5" s="1"/>
  <c r="AQ7" i="5"/>
  <c r="AP7" i="5"/>
  <c r="AL30" i="5"/>
  <c r="AK30" i="5"/>
  <c r="AK7" i="5"/>
  <c r="AQ4" i="5"/>
  <c r="AR4" i="5"/>
  <c r="AO4" i="5"/>
  <c r="AS4" i="5" s="1"/>
  <c r="AP4" i="5"/>
  <c r="AQ15" i="5"/>
  <c r="AP15" i="5"/>
  <c r="AO15" i="5"/>
  <c r="AS15" i="5" s="1"/>
  <c r="AR15" i="5"/>
  <c r="AO31" i="5"/>
  <c r="AS31" i="5" s="1"/>
  <c r="AP31" i="5"/>
  <c r="AR31" i="5"/>
  <c r="AQ31" i="5"/>
  <c r="AL13" i="5"/>
  <c r="AK13" i="5"/>
  <c r="AO13" i="5"/>
  <c r="AT13" i="5" s="1"/>
  <c r="AP13" i="5"/>
  <c r="AR13" i="5"/>
  <c r="AQ13" i="5"/>
  <c r="AR23" i="5"/>
  <c r="AO23" i="5"/>
  <c r="AT23" i="5" s="1"/>
  <c r="AQ23" i="5"/>
  <c r="AP23" i="5"/>
  <c r="AR28" i="5"/>
  <c r="AP28" i="5"/>
  <c r="AO28" i="5"/>
  <c r="AS28" i="5" s="1"/>
  <c r="AQ28" i="5"/>
  <c r="AL31" i="5"/>
  <c r="AK31" i="5"/>
  <c r="AK23" i="5"/>
  <c r="AQ30" i="5"/>
  <c r="AR30" i="5"/>
  <c r="AP30" i="5"/>
  <c r="AO30" i="5"/>
  <c r="AS30" i="5" s="1"/>
  <c r="AS6" i="5" l="1"/>
  <c r="AT6" i="5"/>
  <c r="AT20" i="5"/>
  <c r="AS20" i="5"/>
  <c r="AS12" i="5"/>
  <c r="AT12" i="5"/>
  <c r="AT3" i="5"/>
  <c r="AS3" i="5"/>
  <c r="AS16" i="5"/>
  <c r="AT16" i="5"/>
  <c r="AT15" i="5"/>
  <c r="AT4" i="5"/>
  <c r="AS13" i="5"/>
  <c r="AT30" i="5"/>
  <c r="AT7" i="5"/>
  <c r="AT28" i="5"/>
  <c r="AT31" i="5"/>
  <c r="AS23" i="5"/>
  <c r="AM42" i="6" l="1"/>
  <c r="AM43" i="6"/>
  <c r="AM38" i="6"/>
  <c r="AM39" i="6"/>
  <c r="AM40" i="6"/>
  <c r="AM37" i="6"/>
  <c r="AM41" i="6"/>
  <c r="AM46" i="6"/>
  <c r="AM44" i="6"/>
  <c r="AM45" i="6"/>
  <c r="AM47" i="6" l="1"/>
  <c r="AM48" i="6" l="1"/>
  <c r="AM49" i="6" l="1"/>
  <c r="AM50" i="6" l="1"/>
  <c r="AM51" i="6" l="1"/>
  <c r="AI42" i="6" l="1"/>
  <c r="AL50" i="6"/>
  <c r="AI45" i="6"/>
  <c r="AL39" i="6"/>
  <c r="AL48" i="6"/>
  <c r="AL47" i="6"/>
  <c r="AI46" i="6"/>
  <c r="AI43" i="6"/>
  <c r="AL40" i="6"/>
  <c r="AL41" i="6"/>
  <c r="AL44" i="6"/>
  <c r="AM52" i="6"/>
  <c r="AL46" i="6"/>
  <c r="AI40" i="6"/>
  <c r="AL52" i="6"/>
  <c r="AI47" i="6" l="1"/>
  <c r="AI44" i="6"/>
  <c r="AL49" i="6"/>
  <c r="AI49" i="6"/>
  <c r="AL42" i="6"/>
  <c r="AI53" i="6"/>
  <c r="AL37" i="6"/>
  <c r="AI48" i="6"/>
  <c r="AL51" i="6"/>
  <c r="AI51" i="6"/>
  <c r="AI39" i="6"/>
  <c r="AL53" i="6"/>
  <c r="AI38" i="6"/>
  <c r="AL38" i="6"/>
  <c r="AL43" i="6"/>
  <c r="AI50" i="6"/>
  <c r="AI41" i="6"/>
  <c r="AI52" i="6"/>
  <c r="AM53" i="6"/>
  <c r="AL45" i="6"/>
  <c r="AI37" i="6"/>
  <c r="AM54" i="6" l="1"/>
  <c r="AI54" i="6"/>
  <c r="AL54" i="6"/>
  <c r="AI55" i="6" l="1"/>
  <c r="AL55" i="6"/>
  <c r="AM55" i="6"/>
  <c r="AL56" i="6" l="1"/>
  <c r="AM56" i="6"/>
  <c r="AI56" i="6"/>
  <c r="AL57" i="6" l="1"/>
  <c r="AM57" i="6"/>
  <c r="AI57" i="6"/>
  <c r="AM58" i="6" l="1"/>
  <c r="AI58" i="6"/>
  <c r="AL58" i="6"/>
  <c r="AL59" i="6" l="1"/>
  <c r="AM59" i="6"/>
  <c r="AI59" i="6"/>
  <c r="AK60" i="6" l="1"/>
  <c r="AL60" i="6"/>
  <c r="AM60" i="6"/>
  <c r="AK46" i="6"/>
  <c r="AK56" i="6"/>
  <c r="AK55" i="6"/>
  <c r="AK52" i="6"/>
  <c r="AK38" i="6"/>
  <c r="AK58" i="6"/>
  <c r="AK44" i="6"/>
  <c r="AK41" i="6"/>
  <c r="AK51" i="6"/>
  <c r="AK42" i="6"/>
  <c r="AK59" i="6"/>
  <c r="AK39" i="6"/>
  <c r="AK48" i="6"/>
  <c r="AK50" i="6"/>
  <c r="AK49" i="6"/>
  <c r="AK43" i="6"/>
  <c r="AK40" i="6"/>
  <c r="AK57" i="6"/>
  <c r="AK54" i="6"/>
  <c r="AK45" i="6"/>
  <c r="AK53" i="6"/>
  <c r="AK47" i="6"/>
  <c r="AI60" i="6"/>
  <c r="AK61" i="6" l="1"/>
  <c r="AK37" i="6"/>
  <c r="AM61" i="6"/>
  <c r="AI61" i="6"/>
  <c r="AL61" i="6"/>
  <c r="AL62" i="6" l="1"/>
  <c r="AK62" i="6"/>
  <c r="AM62" i="6"/>
  <c r="AI62" i="6"/>
  <c r="AK63" i="6" l="1"/>
  <c r="AM63" i="6"/>
  <c r="AI63" i="6"/>
  <c r="AL63" i="6"/>
  <c r="AL64" i="6" l="1"/>
  <c r="AK64" i="6"/>
  <c r="AM64" i="6"/>
  <c r="AI64" i="6"/>
  <c r="AM65" i="6" l="1"/>
  <c r="AI65" i="6"/>
  <c r="AL65" i="6"/>
  <c r="AK65" i="6"/>
  <c r="AI66" i="6" l="1"/>
  <c r="AL66" i="6"/>
  <c r="AK66" i="6"/>
  <c r="AM66" i="6"/>
  <c r="AK67" i="6" l="1"/>
  <c r="AM67" i="6"/>
  <c r="AI67" i="6"/>
  <c r="AL67" i="6"/>
  <c r="AK68" i="6" l="1"/>
  <c r="AH68" i="6"/>
  <c r="AM68" i="6"/>
  <c r="AI68" i="6"/>
  <c r="AH39" i="6"/>
  <c r="AJ42" i="6"/>
  <c r="AJ63" i="6"/>
  <c r="AH56" i="6"/>
  <c r="AH60" i="6"/>
  <c r="AH45" i="6"/>
  <c r="AH51" i="6"/>
  <c r="AJ43" i="6"/>
  <c r="AH61" i="6"/>
  <c r="AJ62" i="6"/>
  <c r="AH66" i="6"/>
  <c r="AJ54" i="6"/>
  <c r="AJ40" i="6"/>
  <c r="AH53" i="6"/>
  <c r="AJ64" i="6"/>
  <c r="AH38" i="6"/>
  <c r="AJ46" i="6"/>
  <c r="AH55" i="6"/>
  <c r="AJ47" i="6"/>
  <c r="AH58" i="6"/>
  <c r="AH44" i="6"/>
  <c r="AH52" i="6"/>
  <c r="AH48" i="6"/>
  <c r="AH49" i="6"/>
  <c r="AJ50" i="6"/>
  <c r="AH41" i="6"/>
  <c r="AH57" i="6"/>
  <c r="AJ59" i="6"/>
  <c r="AH65" i="6"/>
  <c r="AJ53" i="6"/>
  <c r="AJ68" i="6"/>
  <c r="AL68" i="6"/>
  <c r="AJ38" i="6" l="1"/>
  <c r="AH46" i="6"/>
  <c r="AJ61" i="6"/>
  <c r="AJ51" i="6"/>
  <c r="AJ39" i="6"/>
  <c r="AJ56" i="6"/>
  <c r="AH62" i="6"/>
  <c r="AJ49" i="6"/>
  <c r="AJ52" i="6"/>
  <c r="AJ65" i="6"/>
  <c r="AJ41" i="6"/>
  <c r="AH42" i="6"/>
  <c r="AJ44" i="6"/>
  <c r="AJ60" i="6"/>
  <c r="AJ48" i="6"/>
  <c r="AJ58" i="6"/>
  <c r="AH47" i="6"/>
  <c r="AJ66" i="6"/>
  <c r="AH37" i="6"/>
  <c r="AJ37" i="6"/>
  <c r="AJ45" i="6"/>
  <c r="AH64" i="6"/>
  <c r="AH50" i="6"/>
  <c r="AJ67" i="6"/>
  <c r="AH67" i="6"/>
  <c r="AH43" i="6"/>
  <c r="AH59" i="6"/>
  <c r="AH63" i="6"/>
  <c r="AJ57" i="6"/>
  <c r="AH54" i="6"/>
  <c r="AH40" i="6"/>
  <c r="AJ55" i="6"/>
</calcChain>
</file>

<file path=xl/sharedStrings.xml><?xml version="1.0" encoding="utf-8"?>
<sst xmlns="http://schemas.openxmlformats.org/spreadsheetml/2006/main" count="7586" uniqueCount="1720">
  <si>
    <t>PredictionDate</t>
  </si>
  <si>
    <t>PredictionTime</t>
  </si>
  <si>
    <t>GameDate</t>
  </si>
  <si>
    <t>GameTime</t>
  </si>
  <si>
    <t>GameID</t>
  </si>
  <si>
    <t>AwayTeam</t>
  </si>
  <si>
    <t>HomeTeam</t>
  </si>
  <si>
    <t>PredictedAwayScore</t>
  </si>
  <si>
    <t>PredictedHomeScore</t>
  </si>
  <si>
    <t>PredictedResult</t>
  </si>
  <si>
    <t>PredictedWinner</t>
  </si>
  <si>
    <t>ActualAwayScore</t>
  </si>
  <si>
    <t>ActualHomeScore</t>
  </si>
  <si>
    <t>ActualResult</t>
  </si>
  <si>
    <t>ActualWinner</t>
  </si>
  <si>
    <t>WatchedGame</t>
  </si>
  <si>
    <t>CHI</t>
  </si>
  <si>
    <t>FLA</t>
  </si>
  <si>
    <t>REG</t>
  </si>
  <si>
    <t>WatchTime</t>
  </si>
  <si>
    <t>WatchDate</t>
  </si>
  <si>
    <t>Weekday</t>
  </si>
  <si>
    <t>MIN</t>
  </si>
  <si>
    <t>VAN</t>
  </si>
  <si>
    <t>TOR</t>
  </si>
  <si>
    <t>VGK</t>
  </si>
  <si>
    <t>OT</t>
  </si>
  <si>
    <t>SO</t>
  </si>
  <si>
    <t>InterConf</t>
  </si>
  <si>
    <t>InterDiv</t>
  </si>
  <si>
    <t>SameConfDiffDiv</t>
  </si>
  <si>
    <t>CrossConf</t>
  </si>
  <si>
    <t>ActualLoser</t>
  </si>
  <si>
    <t>Team</t>
  </si>
  <si>
    <t>Conf</t>
  </si>
  <si>
    <t>Div</t>
  </si>
  <si>
    <t>ANA</t>
  </si>
  <si>
    <t>BOS</t>
  </si>
  <si>
    <t>BUF</t>
  </si>
  <si>
    <t>CGY</t>
  </si>
  <si>
    <t>CAR</t>
  </si>
  <si>
    <t>COL</t>
  </si>
  <si>
    <t>CBJ</t>
  </si>
  <si>
    <t>DAL</t>
  </si>
  <si>
    <t>DET</t>
  </si>
  <si>
    <t>EDM</t>
  </si>
  <si>
    <t>LAK</t>
  </si>
  <si>
    <t>MTL</t>
  </si>
  <si>
    <t>NSH</t>
  </si>
  <si>
    <t>NJD</t>
  </si>
  <si>
    <t>NYI</t>
  </si>
  <si>
    <t>NYR</t>
  </si>
  <si>
    <t>OTT</t>
  </si>
  <si>
    <t>PHI</t>
  </si>
  <si>
    <t>PIT</t>
  </si>
  <si>
    <t>SJS</t>
  </si>
  <si>
    <t>SEA</t>
  </si>
  <si>
    <t>TBL</t>
  </si>
  <si>
    <t>UTA</t>
  </si>
  <si>
    <t>WSH</t>
  </si>
  <si>
    <t>WPG</t>
  </si>
  <si>
    <t>STL</t>
  </si>
  <si>
    <t>W</t>
  </si>
  <si>
    <t>E</t>
  </si>
  <si>
    <t>C</t>
  </si>
  <si>
    <t>M</t>
  </si>
  <si>
    <t>P</t>
  </si>
  <si>
    <t>A</t>
  </si>
  <si>
    <t>HOME &gt;</t>
  </si>
  <si>
    <t>GP</t>
  </si>
  <si>
    <t>GR</t>
  </si>
  <si>
    <t>AWAY V</t>
  </si>
  <si>
    <t>H</t>
  </si>
  <si>
    <t>D</t>
  </si>
  <si>
    <t>AwayRecordAll</t>
  </si>
  <si>
    <t>AwayRecordVSHome</t>
  </si>
  <si>
    <t>HomeRecordAll</t>
  </si>
  <si>
    <t>HomeRecordVSAway</t>
  </si>
  <si>
    <t>GamePredictionPoints1</t>
  </si>
  <si>
    <t>GamePredictionPoints2</t>
  </si>
  <si>
    <t>GamePredictionPoints3</t>
  </si>
  <si>
    <t>AwayGameGoalDiff</t>
  </si>
  <si>
    <t>HomeGameGoalDiff</t>
  </si>
  <si>
    <t>AwayGoalDiffDay</t>
  </si>
  <si>
    <t>HomeGoalDiffDay</t>
  </si>
  <si>
    <t>GameIsOver</t>
  </si>
  <si>
    <t>CorrectWinnerPrediction</t>
  </si>
  <si>
    <t>CorrectAwayScorePrediction</t>
  </si>
  <si>
    <t>CorrectHomeScorePrediction</t>
  </si>
  <si>
    <t>AwayShutout</t>
  </si>
  <si>
    <t>HomeShutout</t>
  </si>
  <si>
    <t>East</t>
  </si>
  <si>
    <t>West</t>
  </si>
  <si>
    <t>Atl</t>
  </si>
  <si>
    <t>Met</t>
  </si>
  <si>
    <t>Cen</t>
  </si>
  <si>
    <t>Pac</t>
  </si>
  <si>
    <t>HomeWon</t>
  </si>
  <si>
    <t>AwayWon</t>
  </si>
  <si>
    <t>Watched</t>
  </si>
  <si>
    <t>PctWatched</t>
  </si>
  <si>
    <t>GP_A</t>
  </si>
  <si>
    <t>GP_H</t>
  </si>
  <si>
    <t>W_A</t>
  </si>
  <si>
    <t>RW_A</t>
  </si>
  <si>
    <t>OTW_A</t>
  </si>
  <si>
    <t>SOW_A</t>
  </si>
  <si>
    <t>L_A</t>
  </si>
  <si>
    <t>RL_A</t>
  </si>
  <si>
    <t>OTL_A</t>
  </si>
  <si>
    <t>SOL_A</t>
  </si>
  <si>
    <t>W_H</t>
  </si>
  <si>
    <t>RW_H</t>
  </si>
  <si>
    <t>OTL_H</t>
  </si>
  <si>
    <t>SOW_H</t>
  </si>
  <si>
    <t>SOL_H</t>
  </si>
  <si>
    <t>OTW_H</t>
  </si>
  <si>
    <t>RL_H</t>
  </si>
  <si>
    <t>W/L%</t>
  </si>
  <si>
    <t>L_H</t>
  </si>
  <si>
    <t>L</t>
  </si>
  <si>
    <t>RW</t>
  </si>
  <si>
    <t>RL</t>
  </si>
  <si>
    <t>OTW</t>
  </si>
  <si>
    <t>OTL</t>
  </si>
  <si>
    <t>SOW</t>
  </si>
  <si>
    <t>SOL</t>
  </si>
  <si>
    <t>OT_SO_Record</t>
  </si>
  <si>
    <t>ExtraTiem%</t>
  </si>
  <si>
    <t>Total_ExtraTimes</t>
  </si>
  <si>
    <t>PctExtraTimeNeeded</t>
  </si>
  <si>
    <t>PTS</t>
  </si>
  <si>
    <t>PTS2</t>
  </si>
  <si>
    <t>MAX_PTS</t>
  </si>
  <si>
    <t>MAX_PTS2</t>
  </si>
  <si>
    <t>PTS%</t>
  </si>
  <si>
    <t>PTS2%</t>
  </si>
  <si>
    <t>PROJ_PTS</t>
  </si>
  <si>
    <t>PROJ_PTS2</t>
  </si>
  <si>
    <t>RECORD</t>
  </si>
  <si>
    <t>GF_A</t>
  </si>
  <si>
    <t>GF_H</t>
  </si>
  <si>
    <t>GA_A</t>
  </si>
  <si>
    <t>GD_A</t>
  </si>
  <si>
    <t>GD_H</t>
  </si>
  <si>
    <t>GA_H</t>
  </si>
  <si>
    <t>GF_W</t>
  </si>
  <si>
    <t>GF_L</t>
  </si>
  <si>
    <t>GD_WL</t>
  </si>
  <si>
    <t>GF</t>
  </si>
  <si>
    <t>GA</t>
  </si>
  <si>
    <t>GD</t>
  </si>
  <si>
    <t>GFPG</t>
  </si>
  <si>
    <t>GAPG</t>
  </si>
  <si>
    <t>GDPG</t>
  </si>
  <si>
    <t>HOME_RECORD</t>
  </si>
  <si>
    <t>AWAY_RECORD</t>
  </si>
  <si>
    <t>2026-09-29</t>
  </si>
  <si>
    <t>18:00</t>
  </si>
  <si>
    <t>2026020001</t>
  </si>
  <si>
    <t>20:00</t>
  </si>
  <si>
    <t>2026020002</t>
  </si>
  <si>
    <t>21:00</t>
  </si>
  <si>
    <t>2026020003</t>
  </si>
  <si>
    <t>23:00</t>
  </si>
  <si>
    <t>2026020004</t>
  </si>
  <si>
    <t>23:30</t>
  </si>
  <si>
    <t>2026020005</t>
  </si>
  <si>
    <t>2026-09-30</t>
  </si>
  <si>
    <t>20:30</t>
  </si>
  <si>
    <t>2026020006</t>
  </si>
  <si>
    <t>2026020008</t>
  </si>
  <si>
    <t>2026020007</t>
  </si>
  <si>
    <t>2026-10-01</t>
  </si>
  <si>
    <t>2026020009</t>
  </si>
  <si>
    <t>2026020010</t>
  </si>
  <si>
    <t>2026020011</t>
  </si>
  <si>
    <t>2026020012</t>
  </si>
  <si>
    <t>22:00</t>
  </si>
  <si>
    <t>2026020013</t>
  </si>
  <si>
    <t>2026020014</t>
  </si>
  <si>
    <t>2026020015</t>
  </si>
  <si>
    <t>2026020016</t>
  </si>
  <si>
    <t>2026-10-02</t>
  </si>
  <si>
    <t>19:30</t>
  </si>
  <si>
    <t>2026020017</t>
  </si>
  <si>
    <t>2026020018</t>
  </si>
  <si>
    <t>2026020019</t>
  </si>
  <si>
    <t>2026020020</t>
  </si>
  <si>
    <t>2026020021</t>
  </si>
  <si>
    <t>2026-10-03</t>
  </si>
  <si>
    <t>2026020022</t>
  </si>
  <si>
    <t>2026020023</t>
  </si>
  <si>
    <t>2026020024</t>
  </si>
  <si>
    <t>2026020025</t>
  </si>
  <si>
    <t>2026020026</t>
  </si>
  <si>
    <t>2026020027</t>
  </si>
  <si>
    <t>2026020028</t>
  </si>
  <si>
    <t>2026020029</t>
  </si>
  <si>
    <t>2026020030</t>
  </si>
  <si>
    <t>2026020031</t>
  </si>
  <si>
    <t>2026020032</t>
  </si>
  <si>
    <t>2026020033</t>
  </si>
  <si>
    <t>2026020034</t>
  </si>
  <si>
    <t>2026-10-04</t>
  </si>
  <si>
    <t>14:00</t>
  </si>
  <si>
    <t>2026020035</t>
  </si>
  <si>
    <t>19:00</t>
  </si>
  <si>
    <t>2026020036</t>
  </si>
  <si>
    <t>2026020037</t>
  </si>
  <si>
    <t>2026020038</t>
  </si>
  <si>
    <t>2026020039</t>
  </si>
  <si>
    <t>2026-10-05</t>
  </si>
  <si>
    <t>2026020040</t>
  </si>
  <si>
    <t>2026020041</t>
  </si>
  <si>
    <t>2026020042</t>
  </si>
  <si>
    <t>2026020043</t>
  </si>
  <si>
    <t>2026-10-06</t>
  </si>
  <si>
    <t>2026020044</t>
  </si>
  <si>
    <t>2026020045</t>
  </si>
  <si>
    <t>2026020046</t>
  </si>
  <si>
    <t>2026020047</t>
  </si>
  <si>
    <t>2026020048</t>
  </si>
  <si>
    <t>2026020049</t>
  </si>
  <si>
    <t>2026020050</t>
  </si>
  <si>
    <t>22:40</t>
  </si>
  <si>
    <t>2026020051</t>
  </si>
  <si>
    <t>2026020052</t>
  </si>
  <si>
    <t>2026-10-07</t>
  </si>
  <si>
    <t>2026020053</t>
  </si>
  <si>
    <t>2026020054</t>
  </si>
  <si>
    <t>2026020055</t>
  </si>
  <si>
    <t>2026-10-08</t>
  </si>
  <si>
    <t>2026020056</t>
  </si>
  <si>
    <t>2026020057</t>
  </si>
  <si>
    <t>2026020058</t>
  </si>
  <si>
    <t>2026020059</t>
  </si>
  <si>
    <t>2026020060</t>
  </si>
  <si>
    <t>2026020061</t>
  </si>
  <si>
    <t>2026020062</t>
  </si>
  <si>
    <t>2026020063</t>
  </si>
  <si>
    <t>2026020064</t>
  </si>
  <si>
    <t>2026020065</t>
  </si>
  <si>
    <t>2026-10-09</t>
  </si>
  <si>
    <t>2026020066</t>
  </si>
  <si>
    <t>2026020067</t>
  </si>
  <si>
    <t>2026020068</t>
  </si>
  <si>
    <t>2026020069</t>
  </si>
  <si>
    <t>2026-10-10</t>
  </si>
  <si>
    <t>2026020070</t>
  </si>
  <si>
    <t>16:30</t>
  </si>
  <si>
    <t>2026020071</t>
  </si>
  <si>
    <t>17:00</t>
  </si>
  <si>
    <t>2026020072</t>
  </si>
  <si>
    <t>2026020073</t>
  </si>
  <si>
    <t>2026020074</t>
  </si>
  <si>
    <t>2026020075</t>
  </si>
  <si>
    <t>2026020076</t>
  </si>
  <si>
    <t>2026020077</t>
  </si>
  <si>
    <t>2026020078</t>
  </si>
  <si>
    <t>2026020079</t>
  </si>
  <si>
    <t>2026020080</t>
  </si>
  <si>
    <t>2026020081</t>
  </si>
  <si>
    <t>2026020082</t>
  </si>
  <si>
    <t>2026020083</t>
  </si>
  <si>
    <t>2026-10-11</t>
  </si>
  <si>
    <t>2026020084</t>
  </si>
  <si>
    <t>2026020085</t>
  </si>
  <si>
    <t>2026020086</t>
  </si>
  <si>
    <t>2026-10-12</t>
  </si>
  <si>
    <t>2026020087</t>
  </si>
  <si>
    <t>2026020088</t>
  </si>
  <si>
    <t>2026020089</t>
  </si>
  <si>
    <t>2026-10-13</t>
  </si>
  <si>
    <t>2026020090</t>
  </si>
  <si>
    <t>19:15</t>
  </si>
  <si>
    <t>2026020091</t>
  </si>
  <si>
    <t>2026020092</t>
  </si>
  <si>
    <t>19:45</t>
  </si>
  <si>
    <t>2026020093</t>
  </si>
  <si>
    <t>2026020094</t>
  </si>
  <si>
    <t>20:15</t>
  </si>
  <si>
    <t>2026020095</t>
  </si>
  <si>
    <t>2026020096</t>
  </si>
  <si>
    <t>20:45</t>
  </si>
  <si>
    <t>2026020097</t>
  </si>
  <si>
    <t>2026020098</t>
  </si>
  <si>
    <t>21:15</t>
  </si>
  <si>
    <t>2026020099</t>
  </si>
  <si>
    <t>21:30</t>
  </si>
  <si>
    <t>2026020100</t>
  </si>
  <si>
    <t>21:45</t>
  </si>
  <si>
    <t>2026020101</t>
  </si>
  <si>
    <t>2026020102</t>
  </si>
  <si>
    <t>22:45</t>
  </si>
  <si>
    <t>2026020103</t>
  </si>
  <si>
    <t>2026020104</t>
  </si>
  <si>
    <t>2026-10-14</t>
  </si>
  <si>
    <t>00:00</t>
  </si>
  <si>
    <t>2026020105</t>
  </si>
  <si>
    <t>2026020106</t>
  </si>
  <si>
    <t>22:30</t>
  </si>
  <si>
    <t>2026020107</t>
  </si>
  <si>
    <t>2026-10-15</t>
  </si>
  <si>
    <t>2026020108</t>
  </si>
  <si>
    <t>2026020109</t>
  </si>
  <si>
    <t>2026020110</t>
  </si>
  <si>
    <t>2026020111</t>
  </si>
  <si>
    <t>2026020112</t>
  </si>
  <si>
    <t>2026020113</t>
  </si>
  <si>
    <t>2026020114</t>
  </si>
  <si>
    <t>2026020115</t>
  </si>
  <si>
    <t>2026020116</t>
  </si>
  <si>
    <t>2026020117</t>
  </si>
  <si>
    <t>2026020118</t>
  </si>
  <si>
    <t>2026-10-16</t>
  </si>
  <si>
    <t>2026020119</t>
  </si>
  <si>
    <t>2026020120</t>
  </si>
  <si>
    <t>2026-10-17</t>
  </si>
  <si>
    <t>2026020121</t>
  </si>
  <si>
    <t>2026020122</t>
  </si>
  <si>
    <t>2026020123</t>
  </si>
  <si>
    <t>2026020124</t>
  </si>
  <si>
    <t>2026020125</t>
  </si>
  <si>
    <t>2026020126</t>
  </si>
  <si>
    <t>2026020127</t>
  </si>
  <si>
    <t>2026020128</t>
  </si>
  <si>
    <t>2026020129</t>
  </si>
  <si>
    <t>2026020130</t>
  </si>
  <si>
    <t>2026020131</t>
  </si>
  <si>
    <t>2026020132</t>
  </si>
  <si>
    <t>2026020133</t>
  </si>
  <si>
    <t>2026020134</t>
  </si>
  <si>
    <t>2026-10-18</t>
  </si>
  <si>
    <t>2026020135</t>
  </si>
  <si>
    <t>2026020136</t>
  </si>
  <si>
    <t>2026-10-19</t>
  </si>
  <si>
    <t>2026020137</t>
  </si>
  <si>
    <t>2026020138</t>
  </si>
  <si>
    <t>2026020139</t>
  </si>
  <si>
    <t>2026020140</t>
  </si>
  <si>
    <t>2026-10-20</t>
  </si>
  <si>
    <t>2026020141</t>
  </si>
  <si>
    <t>2026020142</t>
  </si>
  <si>
    <t>2026020143</t>
  </si>
  <si>
    <t>2026020144</t>
  </si>
  <si>
    <t>2026020145</t>
  </si>
  <si>
    <t>2026020146</t>
  </si>
  <si>
    <t>2026020147</t>
  </si>
  <si>
    <t>2026020148</t>
  </si>
  <si>
    <t>2026020149</t>
  </si>
  <si>
    <t>2026020150</t>
  </si>
  <si>
    <t>2026020151</t>
  </si>
  <si>
    <t>2026-10-21</t>
  </si>
  <si>
    <t>2026020152</t>
  </si>
  <si>
    <t>2026020153</t>
  </si>
  <si>
    <t>2026-10-22</t>
  </si>
  <si>
    <t>2026020154</t>
  </si>
  <si>
    <t>2026020155</t>
  </si>
  <si>
    <t>2026020156</t>
  </si>
  <si>
    <t>2026020157</t>
  </si>
  <si>
    <t>2026020158</t>
  </si>
  <si>
    <t>2026020159</t>
  </si>
  <si>
    <t>2026020160</t>
  </si>
  <si>
    <t>2026020161</t>
  </si>
  <si>
    <t>2026020162</t>
  </si>
  <si>
    <t>2026020163</t>
  </si>
  <si>
    <t>2026020164</t>
  </si>
  <si>
    <t>2026020165</t>
  </si>
  <si>
    <t>2026-10-23</t>
  </si>
  <si>
    <t>2026020166</t>
  </si>
  <si>
    <t>2026020167</t>
  </si>
  <si>
    <t>2026-10-24</t>
  </si>
  <si>
    <t>2026020168</t>
  </si>
  <si>
    <t>2026020169</t>
  </si>
  <si>
    <t>2026020170</t>
  </si>
  <si>
    <t>2026020171</t>
  </si>
  <si>
    <t>2026020172</t>
  </si>
  <si>
    <t>2026020173</t>
  </si>
  <si>
    <t>2026020174</t>
  </si>
  <si>
    <t>2026020175</t>
  </si>
  <si>
    <t>2026020176</t>
  </si>
  <si>
    <t>2026020177</t>
  </si>
  <si>
    <t>2026020178</t>
  </si>
  <si>
    <t>2026020179</t>
  </si>
  <si>
    <t>2026-10-25</t>
  </si>
  <si>
    <t>16:00</t>
  </si>
  <si>
    <t>2026020180</t>
  </si>
  <si>
    <t>2026020181</t>
  </si>
  <si>
    <t>2026020182</t>
  </si>
  <si>
    <t>2026020183</t>
  </si>
  <si>
    <t>2026020184</t>
  </si>
  <si>
    <t>2026-10-26</t>
  </si>
  <si>
    <t>2026020185</t>
  </si>
  <si>
    <t>2026020186</t>
  </si>
  <si>
    <t>2026020187</t>
  </si>
  <si>
    <t>2026-10-27</t>
  </si>
  <si>
    <t>2026020188</t>
  </si>
  <si>
    <t>2026020189</t>
  </si>
  <si>
    <t>2026020190</t>
  </si>
  <si>
    <t>2026020191</t>
  </si>
  <si>
    <t>2026020192</t>
  </si>
  <si>
    <t>2026020193</t>
  </si>
  <si>
    <t>2026020194</t>
  </si>
  <si>
    <t>2026020195</t>
  </si>
  <si>
    <t>2026020196</t>
  </si>
  <si>
    <t>2026020197</t>
  </si>
  <si>
    <t>2026020198</t>
  </si>
  <si>
    <t>2026-10-28</t>
  </si>
  <si>
    <t>2026020199</t>
  </si>
  <si>
    <t>2026020200</t>
  </si>
  <si>
    <t>2026020201</t>
  </si>
  <si>
    <t>2026020202</t>
  </si>
  <si>
    <t>2026-10-29</t>
  </si>
  <si>
    <t>2026020203</t>
  </si>
  <si>
    <t>2026020204</t>
  </si>
  <si>
    <t>2026020205</t>
  </si>
  <si>
    <t>2026020206</t>
  </si>
  <si>
    <t>2026020207</t>
  </si>
  <si>
    <t>2026020208</t>
  </si>
  <si>
    <t>2026020209</t>
  </si>
  <si>
    <t>2026020210</t>
  </si>
  <si>
    <t>2026020211</t>
  </si>
  <si>
    <t>2026020212</t>
  </si>
  <si>
    <t>2026020213</t>
  </si>
  <si>
    <t>2026-10-30</t>
  </si>
  <si>
    <t>2026020214</t>
  </si>
  <si>
    <t>2026020215</t>
  </si>
  <si>
    <t>2026020216</t>
  </si>
  <si>
    <t>2026-10-31</t>
  </si>
  <si>
    <t>2026020217</t>
  </si>
  <si>
    <t>2026020218</t>
  </si>
  <si>
    <t>15:00</t>
  </si>
  <si>
    <t>2026020219</t>
  </si>
  <si>
    <t>2026020220</t>
  </si>
  <si>
    <t>2026020221</t>
  </si>
  <si>
    <t>2026020222</t>
  </si>
  <si>
    <t>2026020223</t>
  </si>
  <si>
    <t>2026020224</t>
  </si>
  <si>
    <t>2026020225</t>
  </si>
  <si>
    <t>2026020226</t>
  </si>
  <si>
    <t>2026-11-01</t>
  </si>
  <si>
    <t>2026020227</t>
  </si>
  <si>
    <t>17:30</t>
  </si>
  <si>
    <t>2026020228</t>
  </si>
  <si>
    <t>2026020229</t>
  </si>
  <si>
    <t>2026020230</t>
  </si>
  <si>
    <t>2026020231</t>
  </si>
  <si>
    <t>2026-11-02</t>
  </si>
  <si>
    <t>2026020232</t>
  </si>
  <si>
    <t>2026020233</t>
  </si>
  <si>
    <t>2026020234</t>
  </si>
  <si>
    <t>2026020235</t>
  </si>
  <si>
    <t>2026-11-03</t>
  </si>
  <si>
    <t>2026020236</t>
  </si>
  <si>
    <t>2026020237</t>
  </si>
  <si>
    <t>2026020238</t>
  </si>
  <si>
    <t>2026020239</t>
  </si>
  <si>
    <t>2026020240</t>
  </si>
  <si>
    <t>2026020241</t>
  </si>
  <si>
    <t>2026020242</t>
  </si>
  <si>
    <t>2026020243</t>
  </si>
  <si>
    <t>2026020244</t>
  </si>
  <si>
    <t>2026020245</t>
  </si>
  <si>
    <t>2026020246</t>
  </si>
  <si>
    <t>2026-11-04</t>
  </si>
  <si>
    <t>2026020247</t>
  </si>
  <si>
    <t>2026020248</t>
  </si>
  <si>
    <t>2026-11-05</t>
  </si>
  <si>
    <t>2026020249</t>
  </si>
  <si>
    <t>2026020250</t>
  </si>
  <si>
    <t>2026020251</t>
  </si>
  <si>
    <t>2026020252</t>
  </si>
  <si>
    <t>2026020253</t>
  </si>
  <si>
    <t>2026020254</t>
  </si>
  <si>
    <t>2026020255</t>
  </si>
  <si>
    <t>2026020256</t>
  </si>
  <si>
    <t>2026020257</t>
  </si>
  <si>
    <t>2026020258</t>
  </si>
  <si>
    <t>2026020259</t>
  </si>
  <si>
    <t>2026020260</t>
  </si>
  <si>
    <t>2026020261</t>
  </si>
  <si>
    <t>2026-11-06</t>
  </si>
  <si>
    <t>2026020262</t>
  </si>
  <si>
    <t>2026020263</t>
  </si>
  <si>
    <t>2026020264</t>
  </si>
  <si>
    <t>2026-11-07</t>
  </si>
  <si>
    <t>14:30</t>
  </si>
  <si>
    <t>2026020265</t>
  </si>
  <si>
    <t>15:30</t>
  </si>
  <si>
    <t>2026020266</t>
  </si>
  <si>
    <t>2026020267</t>
  </si>
  <si>
    <t>2026020268</t>
  </si>
  <si>
    <t>2026020269</t>
  </si>
  <si>
    <t>2026020270</t>
  </si>
  <si>
    <t>2026020271</t>
  </si>
  <si>
    <t>2026020272</t>
  </si>
  <si>
    <t>2026020273</t>
  </si>
  <si>
    <t>2026020274</t>
  </si>
  <si>
    <t>2026020275</t>
  </si>
  <si>
    <t>2026-11-08</t>
  </si>
  <si>
    <t>2026020276</t>
  </si>
  <si>
    <t>2026020277</t>
  </si>
  <si>
    <t>2026020278</t>
  </si>
  <si>
    <t>2026020279</t>
  </si>
  <si>
    <t>2026020280</t>
  </si>
  <si>
    <t>2026020281</t>
  </si>
  <si>
    <t>2026020282</t>
  </si>
  <si>
    <t>2026-11-09</t>
  </si>
  <si>
    <t>2026020283</t>
  </si>
  <si>
    <t>2026020284</t>
  </si>
  <si>
    <t>2026-11-10</t>
  </si>
  <si>
    <t>2026020285</t>
  </si>
  <si>
    <t>2026020286</t>
  </si>
  <si>
    <t>2026020287</t>
  </si>
  <si>
    <t>2026020288</t>
  </si>
  <si>
    <t>2026020289</t>
  </si>
  <si>
    <t>2026020290</t>
  </si>
  <si>
    <t>2026020291</t>
  </si>
  <si>
    <t>2026-11-11</t>
  </si>
  <si>
    <t>2026020292</t>
  </si>
  <si>
    <t>2026020293</t>
  </si>
  <si>
    <t>2026020294</t>
  </si>
  <si>
    <t>2026020295</t>
  </si>
  <si>
    <t>2026-11-12</t>
  </si>
  <si>
    <t>2026020296</t>
  </si>
  <si>
    <t>2026020297</t>
  </si>
  <si>
    <t>2026020298</t>
  </si>
  <si>
    <t>2026020309</t>
  </si>
  <si>
    <t>2026020299</t>
  </si>
  <si>
    <t>2026020300</t>
  </si>
  <si>
    <t>2026020301</t>
  </si>
  <si>
    <t>2026020302</t>
  </si>
  <si>
    <t>2026020303</t>
  </si>
  <si>
    <t>2026020304</t>
  </si>
  <si>
    <t>2026020305</t>
  </si>
  <si>
    <t>2026020306</t>
  </si>
  <si>
    <t>2026020307</t>
  </si>
  <si>
    <t>2026-11-13</t>
  </si>
  <si>
    <t>2026020308</t>
  </si>
  <si>
    <t>2026020310</t>
  </si>
  <si>
    <t>2026-11-14</t>
  </si>
  <si>
    <t>2026020311</t>
  </si>
  <si>
    <t>2026020321</t>
  </si>
  <si>
    <t>2026020312</t>
  </si>
  <si>
    <t>2026020313</t>
  </si>
  <si>
    <t>2026020314</t>
  </si>
  <si>
    <t>2026020315</t>
  </si>
  <si>
    <t>2026020316</t>
  </si>
  <si>
    <t>2026020317</t>
  </si>
  <si>
    <t>2026020318</t>
  </si>
  <si>
    <t>2026020319</t>
  </si>
  <si>
    <t>2026020320</t>
  </si>
  <si>
    <t>2026020322</t>
  </si>
  <si>
    <t>2026020323</t>
  </si>
  <si>
    <t>2026-11-15</t>
  </si>
  <si>
    <t>2026020324</t>
  </si>
  <si>
    <t>2026020325</t>
  </si>
  <si>
    <t>2026020326</t>
  </si>
  <si>
    <t>2026020327</t>
  </si>
  <si>
    <t>2026020328</t>
  </si>
  <si>
    <t>2026020329</t>
  </si>
  <si>
    <t>2026020330</t>
  </si>
  <si>
    <t>2026-11-16</t>
  </si>
  <si>
    <t>2026020331</t>
  </si>
  <si>
    <t>2026020332</t>
  </si>
  <si>
    <t>2026-11-17</t>
  </si>
  <si>
    <t>2026020333</t>
  </si>
  <si>
    <t>2026020334</t>
  </si>
  <si>
    <t>2026020335</t>
  </si>
  <si>
    <t>2026020336</t>
  </si>
  <si>
    <t>2026020337</t>
  </si>
  <si>
    <t>2026020338</t>
  </si>
  <si>
    <t>2026020339</t>
  </si>
  <si>
    <t>2026020340</t>
  </si>
  <si>
    <t>2026020341</t>
  </si>
  <si>
    <t>2026-11-18</t>
  </si>
  <si>
    <t>2026020342</t>
  </si>
  <si>
    <t>2026020343</t>
  </si>
  <si>
    <t>2026020344</t>
  </si>
  <si>
    <t>2026020345</t>
  </si>
  <si>
    <t>2026020346</t>
  </si>
  <si>
    <t>2026-11-19</t>
  </si>
  <si>
    <t>2026020347</t>
  </si>
  <si>
    <t>2026020348</t>
  </si>
  <si>
    <t>2026020349</t>
  </si>
  <si>
    <t>2026020350</t>
  </si>
  <si>
    <t>2026020351</t>
  </si>
  <si>
    <t>2026020352</t>
  </si>
  <si>
    <t>2026020353</t>
  </si>
  <si>
    <t>2026020354</t>
  </si>
  <si>
    <t>2026020355</t>
  </si>
  <si>
    <t>2026020356</t>
  </si>
  <si>
    <t>23:40</t>
  </si>
  <si>
    <t>2026020357</t>
  </si>
  <si>
    <t>2026-11-20</t>
  </si>
  <si>
    <t>2026020358</t>
  </si>
  <si>
    <t>2026-11-21</t>
  </si>
  <si>
    <t>2026020359</t>
  </si>
  <si>
    <t>2026020360</t>
  </si>
  <si>
    <t>2026020361</t>
  </si>
  <si>
    <t>2026020362</t>
  </si>
  <si>
    <t>2026020363</t>
  </si>
  <si>
    <t>2026020364</t>
  </si>
  <si>
    <t>2026020365</t>
  </si>
  <si>
    <t>2026020366</t>
  </si>
  <si>
    <t>2026020367</t>
  </si>
  <si>
    <t>2026020368</t>
  </si>
  <si>
    <t>2026020369</t>
  </si>
  <si>
    <t>2026020370</t>
  </si>
  <si>
    <t>2026-11-22</t>
  </si>
  <si>
    <t>2026020371</t>
  </si>
  <si>
    <t>2026020372</t>
  </si>
  <si>
    <t>2026020373</t>
  </si>
  <si>
    <t>2026020374</t>
  </si>
  <si>
    <t>2026020375</t>
  </si>
  <si>
    <t>2026020376</t>
  </si>
  <si>
    <t>2026020377</t>
  </si>
  <si>
    <t>2026-11-23</t>
  </si>
  <si>
    <t>2026020378</t>
  </si>
  <si>
    <t>2026020379</t>
  </si>
  <si>
    <t>2026020380</t>
  </si>
  <si>
    <t>2026020381</t>
  </si>
  <si>
    <t>2026020382</t>
  </si>
  <si>
    <t>2026020383</t>
  </si>
  <si>
    <t>2026-11-24</t>
  </si>
  <si>
    <t>2026020384</t>
  </si>
  <si>
    <t>2026020385</t>
  </si>
  <si>
    <t>2026-11-25</t>
  </si>
  <si>
    <t>2026020386</t>
  </si>
  <si>
    <t>2026020387</t>
  </si>
  <si>
    <t>2026020388</t>
  </si>
  <si>
    <t>2026020389</t>
  </si>
  <si>
    <t>2026020390</t>
  </si>
  <si>
    <t>2026020391</t>
  </si>
  <si>
    <t>2026020392</t>
  </si>
  <si>
    <t>2026020393</t>
  </si>
  <si>
    <t>2026020394</t>
  </si>
  <si>
    <t>2026020395</t>
  </si>
  <si>
    <t>2026020396</t>
  </si>
  <si>
    <t>2026020397</t>
  </si>
  <si>
    <t>2026020398</t>
  </si>
  <si>
    <t>2026020399</t>
  </si>
  <si>
    <t>2026-11-27</t>
  </si>
  <si>
    <t>2026020400</t>
  </si>
  <si>
    <t>2026020401</t>
  </si>
  <si>
    <t>2026020402</t>
  </si>
  <si>
    <t>2026020403</t>
  </si>
  <si>
    <t>2026020404</t>
  </si>
  <si>
    <t>2026020405</t>
  </si>
  <si>
    <t>2026020406</t>
  </si>
  <si>
    <t>2026020407</t>
  </si>
  <si>
    <t>2026020408</t>
  </si>
  <si>
    <t>2026020409</t>
  </si>
  <si>
    <t>2026020410</t>
  </si>
  <si>
    <t>2026020411</t>
  </si>
  <si>
    <t>2026020412</t>
  </si>
  <si>
    <t>2026020413</t>
  </si>
  <si>
    <t>2026020414</t>
  </si>
  <si>
    <t>2026-11-28</t>
  </si>
  <si>
    <t>2026020415</t>
  </si>
  <si>
    <t>2026020416</t>
  </si>
  <si>
    <t>2026020417</t>
  </si>
  <si>
    <t>2026020418</t>
  </si>
  <si>
    <t>2026020419</t>
  </si>
  <si>
    <t>2026020420</t>
  </si>
  <si>
    <t>2026020421</t>
  </si>
  <si>
    <t>2026020422</t>
  </si>
  <si>
    <t>2026020423</t>
  </si>
  <si>
    <t>2026020424</t>
  </si>
  <si>
    <t>2026020425</t>
  </si>
  <si>
    <t>2026020426</t>
  </si>
  <si>
    <t>2026-11-29</t>
  </si>
  <si>
    <t>2026020427</t>
  </si>
  <si>
    <t>2026020428</t>
  </si>
  <si>
    <t>2026020429</t>
  </si>
  <si>
    <t>2026-11-30</t>
  </si>
  <si>
    <t>2026020430</t>
  </si>
  <si>
    <t>2026020431</t>
  </si>
  <si>
    <t>2026020432</t>
  </si>
  <si>
    <t>2026020433</t>
  </si>
  <si>
    <t>2026020434</t>
  </si>
  <si>
    <t>2026020435</t>
  </si>
  <si>
    <t>2026-12-01</t>
  </si>
  <si>
    <t>2026020436</t>
  </si>
  <si>
    <t>2026020437</t>
  </si>
  <si>
    <t>2026020438</t>
  </si>
  <si>
    <t>2026020439</t>
  </si>
  <si>
    <t>2026020440</t>
  </si>
  <si>
    <t>2026020441</t>
  </si>
  <si>
    <t>2026020442</t>
  </si>
  <si>
    <t>2026-12-02</t>
  </si>
  <si>
    <t>2026020443</t>
  </si>
  <si>
    <t>2026020444</t>
  </si>
  <si>
    <t>2026020445</t>
  </si>
  <si>
    <t>2026020446</t>
  </si>
  <si>
    <t>2026020447</t>
  </si>
  <si>
    <t>2026-12-03</t>
  </si>
  <si>
    <t>2026020448</t>
  </si>
  <si>
    <t>2026020449</t>
  </si>
  <si>
    <t>2026020450</t>
  </si>
  <si>
    <t>2026020451</t>
  </si>
  <si>
    <t>2026020452</t>
  </si>
  <si>
    <t>2026020453</t>
  </si>
  <si>
    <t>2026020454</t>
  </si>
  <si>
    <t>2026020455</t>
  </si>
  <si>
    <t>2026020456</t>
  </si>
  <si>
    <t>2026020457</t>
  </si>
  <si>
    <t>2026-12-04</t>
  </si>
  <si>
    <t>2026020458</t>
  </si>
  <si>
    <t>2026020459</t>
  </si>
  <si>
    <t>2026020460</t>
  </si>
  <si>
    <t>2026020461</t>
  </si>
  <si>
    <t>2026020462</t>
  </si>
  <si>
    <t>2026-12-05</t>
  </si>
  <si>
    <t>2026020463</t>
  </si>
  <si>
    <t>2026020464</t>
  </si>
  <si>
    <t>2026020465</t>
  </si>
  <si>
    <t>2026020466</t>
  </si>
  <si>
    <t>2026020467</t>
  </si>
  <si>
    <t>2026020468</t>
  </si>
  <si>
    <t>2026020469</t>
  </si>
  <si>
    <t>2026020470</t>
  </si>
  <si>
    <t>2026020471</t>
  </si>
  <si>
    <t>2026020472</t>
  </si>
  <si>
    <t>2026020473</t>
  </si>
  <si>
    <t>2026-12-06</t>
  </si>
  <si>
    <t>2026020474</t>
  </si>
  <si>
    <t>2026020475</t>
  </si>
  <si>
    <t>2026020476</t>
  </si>
  <si>
    <t>2026020477</t>
  </si>
  <si>
    <t>2026020478</t>
  </si>
  <si>
    <t>2026020479</t>
  </si>
  <si>
    <t>2026020480</t>
  </si>
  <si>
    <t>2026020481</t>
  </si>
  <si>
    <t>2026-12-07</t>
  </si>
  <si>
    <t>2026020482</t>
  </si>
  <si>
    <t>2026020483</t>
  </si>
  <si>
    <t>2026020484</t>
  </si>
  <si>
    <t>2026020485</t>
  </si>
  <si>
    <t>2026-12-08</t>
  </si>
  <si>
    <t>2026020486</t>
  </si>
  <si>
    <t>2026020487</t>
  </si>
  <si>
    <t>2026020488</t>
  </si>
  <si>
    <t>2026020489</t>
  </si>
  <si>
    <t>2026020490</t>
  </si>
  <si>
    <t>2026020491</t>
  </si>
  <si>
    <t>2026020492</t>
  </si>
  <si>
    <t>2026020493</t>
  </si>
  <si>
    <t>2026020494</t>
  </si>
  <si>
    <t>2026-12-09</t>
  </si>
  <si>
    <t>2026020495</t>
  </si>
  <si>
    <t>2026020496</t>
  </si>
  <si>
    <t>2026020497</t>
  </si>
  <si>
    <t>2026-12-10</t>
  </si>
  <si>
    <t>2026020498</t>
  </si>
  <si>
    <t>2026020499</t>
  </si>
  <si>
    <t>2026020500</t>
  </si>
  <si>
    <t>2026020501</t>
  </si>
  <si>
    <t>2026020502</t>
  </si>
  <si>
    <t>2026020503</t>
  </si>
  <si>
    <t>2026020504</t>
  </si>
  <si>
    <t>2026020505</t>
  </si>
  <si>
    <t>2026020506</t>
  </si>
  <si>
    <t>2026020507</t>
  </si>
  <si>
    <t>2026020508</t>
  </si>
  <si>
    <t>2026020509</t>
  </si>
  <si>
    <t>2026-12-11</t>
  </si>
  <si>
    <t>2026020510</t>
  </si>
  <si>
    <t>2026020511</t>
  </si>
  <si>
    <t>2026020512</t>
  </si>
  <si>
    <t>2026-12-12</t>
  </si>
  <si>
    <t>2026020513</t>
  </si>
  <si>
    <t>2026020514</t>
  </si>
  <si>
    <t>2026020515</t>
  </si>
  <si>
    <t>2026020516</t>
  </si>
  <si>
    <t>2026020517</t>
  </si>
  <si>
    <t>2026020518</t>
  </si>
  <si>
    <t>2026020519</t>
  </si>
  <si>
    <t>2026020520</t>
  </si>
  <si>
    <t>2026020521</t>
  </si>
  <si>
    <t>2026020522</t>
  </si>
  <si>
    <t>2026020523</t>
  </si>
  <si>
    <t>2026020524</t>
  </si>
  <si>
    <t>2026-12-13</t>
  </si>
  <si>
    <t>2026020525</t>
  </si>
  <si>
    <t>2026020526</t>
  </si>
  <si>
    <t>2026020527</t>
  </si>
  <si>
    <t>2026020528</t>
  </si>
  <si>
    <t>2026020529</t>
  </si>
  <si>
    <t>2026020530</t>
  </si>
  <si>
    <t>2026-12-14</t>
  </si>
  <si>
    <t>2026020531</t>
  </si>
  <si>
    <t>2026020532</t>
  </si>
  <si>
    <t>2026020533</t>
  </si>
  <si>
    <t>2026020534</t>
  </si>
  <si>
    <t>2026-12-15</t>
  </si>
  <si>
    <t>2026020535</t>
  </si>
  <si>
    <t>2026020536</t>
  </si>
  <si>
    <t>2026020537</t>
  </si>
  <si>
    <t>2026020538</t>
  </si>
  <si>
    <t>2026020539</t>
  </si>
  <si>
    <t>2026020540</t>
  </si>
  <si>
    <t>2026020541</t>
  </si>
  <si>
    <t>2026020542</t>
  </si>
  <si>
    <t>2026020543</t>
  </si>
  <si>
    <t>2026020544</t>
  </si>
  <si>
    <t>2026020545</t>
  </si>
  <si>
    <t>2026020546</t>
  </si>
  <si>
    <t>2026-12-16</t>
  </si>
  <si>
    <t>2026020547</t>
  </si>
  <si>
    <t>2026020548</t>
  </si>
  <si>
    <t>2026020549</t>
  </si>
  <si>
    <t>2026-12-17</t>
  </si>
  <si>
    <t>2026020550</t>
  </si>
  <si>
    <t>2026020551</t>
  </si>
  <si>
    <t>2026020552</t>
  </si>
  <si>
    <t>2026020553</t>
  </si>
  <si>
    <t>2026020554</t>
  </si>
  <si>
    <t>2026020555</t>
  </si>
  <si>
    <t>2026020556</t>
  </si>
  <si>
    <t>2026020557</t>
  </si>
  <si>
    <t>2026020558</t>
  </si>
  <si>
    <t>2026-12-18</t>
  </si>
  <si>
    <t>2026020560</t>
  </si>
  <si>
    <t>2026020559</t>
  </si>
  <si>
    <t>2026020561</t>
  </si>
  <si>
    <t>2026020562</t>
  </si>
  <si>
    <t>2026020563</t>
  </si>
  <si>
    <t>2026020564</t>
  </si>
  <si>
    <t>2026020565</t>
  </si>
  <si>
    <t>2026-12-19</t>
  </si>
  <si>
    <t>2026020566</t>
  </si>
  <si>
    <t>2026020567</t>
  </si>
  <si>
    <t>2026020568</t>
  </si>
  <si>
    <t>2026020569</t>
  </si>
  <si>
    <t>2026020570</t>
  </si>
  <si>
    <t>2026020571</t>
  </si>
  <si>
    <t>2026020572</t>
  </si>
  <si>
    <t>2026020573</t>
  </si>
  <si>
    <t>2026020574</t>
  </si>
  <si>
    <t>2026-12-20</t>
  </si>
  <si>
    <t>2026020575</t>
  </si>
  <si>
    <t>10:00</t>
  </si>
  <si>
    <t>2026020577</t>
  </si>
  <si>
    <t>2026020576</t>
  </si>
  <si>
    <t>2026020578</t>
  </si>
  <si>
    <t>2026020579</t>
  </si>
  <si>
    <t>2026020580</t>
  </si>
  <si>
    <t>2026020581</t>
  </si>
  <si>
    <t>2026020582</t>
  </si>
  <si>
    <t>2026020583</t>
  </si>
  <si>
    <t>2026020584</t>
  </si>
  <si>
    <t>2026-12-21</t>
  </si>
  <si>
    <t>2026020585</t>
  </si>
  <si>
    <t>2026020586</t>
  </si>
  <si>
    <t>2026020587</t>
  </si>
  <si>
    <t>2026020588</t>
  </si>
  <si>
    <t>2026-12-22</t>
  </si>
  <si>
    <t>2026020589</t>
  </si>
  <si>
    <t>2026020590</t>
  </si>
  <si>
    <t>2026020591</t>
  </si>
  <si>
    <t>2026020592</t>
  </si>
  <si>
    <t>2026020593</t>
  </si>
  <si>
    <t>2026020594</t>
  </si>
  <si>
    <t>2026020595</t>
  </si>
  <si>
    <t>2026020596</t>
  </si>
  <si>
    <t>2026020597</t>
  </si>
  <si>
    <t>2026020598</t>
  </si>
  <si>
    <t>2026020599</t>
  </si>
  <si>
    <t>2026-12-23</t>
  </si>
  <si>
    <t>2026020600</t>
  </si>
  <si>
    <t>2026-12-26</t>
  </si>
  <si>
    <t>2026020601</t>
  </si>
  <si>
    <t>2026020602</t>
  </si>
  <si>
    <t>2026020603</t>
  </si>
  <si>
    <t>2026020604</t>
  </si>
  <si>
    <t>2026020605</t>
  </si>
  <si>
    <t>2026020606</t>
  </si>
  <si>
    <t>2026020607</t>
  </si>
  <si>
    <t>2026020608</t>
  </si>
  <si>
    <t>2026-12-27</t>
  </si>
  <si>
    <t>2026020609</t>
  </si>
  <si>
    <t>2026020610</t>
  </si>
  <si>
    <t>2026020611</t>
  </si>
  <si>
    <t>2026020612</t>
  </si>
  <si>
    <t>2026020613</t>
  </si>
  <si>
    <t>2026020614</t>
  </si>
  <si>
    <t>2026020615</t>
  </si>
  <si>
    <t>2026020616</t>
  </si>
  <si>
    <t>2026020617</t>
  </si>
  <si>
    <t>2026020618</t>
  </si>
  <si>
    <t>2026-12-28</t>
  </si>
  <si>
    <t>2026020619</t>
  </si>
  <si>
    <t>2026020620</t>
  </si>
  <si>
    <t>2026020621</t>
  </si>
  <si>
    <t>2026020622</t>
  </si>
  <si>
    <t>2026020623</t>
  </si>
  <si>
    <t>2026020624</t>
  </si>
  <si>
    <t>2026020625</t>
  </si>
  <si>
    <t>2026-12-29</t>
  </si>
  <si>
    <t>2026020626</t>
  </si>
  <si>
    <t>2026020627</t>
  </si>
  <si>
    <t>2026020628</t>
  </si>
  <si>
    <t>2026020629</t>
  </si>
  <si>
    <t>2026020630</t>
  </si>
  <si>
    <t>2026020631</t>
  </si>
  <si>
    <t>2026020632</t>
  </si>
  <si>
    <t>2026020633</t>
  </si>
  <si>
    <t>2026020634</t>
  </si>
  <si>
    <t>2026020635</t>
  </si>
  <si>
    <t>2026-12-30</t>
  </si>
  <si>
    <t>2026020636</t>
  </si>
  <si>
    <t>2026020637</t>
  </si>
  <si>
    <t>2026020638</t>
  </si>
  <si>
    <t>2026020639</t>
  </si>
  <si>
    <t>2026020640</t>
  </si>
  <si>
    <t>2026-12-31</t>
  </si>
  <si>
    <t>2026020641</t>
  </si>
  <si>
    <t>2026020642</t>
  </si>
  <si>
    <t>2026020643</t>
  </si>
  <si>
    <t>2026020644</t>
  </si>
  <si>
    <t>2026020645</t>
  </si>
  <si>
    <t>2026020646</t>
  </si>
  <si>
    <t>2026020647</t>
  </si>
  <si>
    <t>2026020648</t>
  </si>
  <si>
    <t>2026020649</t>
  </si>
  <si>
    <t>2027-01-01</t>
  </si>
  <si>
    <t>2026020650</t>
  </si>
  <si>
    <t>2026020651</t>
  </si>
  <si>
    <t>2026020652</t>
  </si>
  <si>
    <t>2026020653</t>
  </si>
  <si>
    <t>2026020654</t>
  </si>
  <si>
    <t>2027-01-02</t>
  </si>
  <si>
    <t>2026020655</t>
  </si>
  <si>
    <t>2026020656</t>
  </si>
  <si>
    <t>2026020657</t>
  </si>
  <si>
    <t>2026020658</t>
  </si>
  <si>
    <t>2026020659</t>
  </si>
  <si>
    <t>2026020660</t>
  </si>
  <si>
    <t>2026020661</t>
  </si>
  <si>
    <t>2026020662</t>
  </si>
  <si>
    <t>2026020663</t>
  </si>
  <si>
    <t>2026020664</t>
  </si>
  <si>
    <t>2026020665</t>
  </si>
  <si>
    <t>2027-01-03</t>
  </si>
  <si>
    <t>2026020666</t>
  </si>
  <si>
    <t>2026020667</t>
  </si>
  <si>
    <t>2026020668</t>
  </si>
  <si>
    <t>2026020669</t>
  </si>
  <si>
    <t>2026020670</t>
  </si>
  <si>
    <t>2026020671</t>
  </si>
  <si>
    <t>2026020672</t>
  </si>
  <si>
    <t>2026020673</t>
  </si>
  <si>
    <t>2027-01-04</t>
  </si>
  <si>
    <t>2026020674</t>
  </si>
  <si>
    <t>2026020675</t>
  </si>
  <si>
    <t>2026020676</t>
  </si>
  <si>
    <t>2026020677</t>
  </si>
  <si>
    <t>2026020678</t>
  </si>
  <si>
    <t>2027-01-05</t>
  </si>
  <si>
    <t>2026020679</t>
  </si>
  <si>
    <t>2026020680</t>
  </si>
  <si>
    <t>2026020681</t>
  </si>
  <si>
    <t>2026020682</t>
  </si>
  <si>
    <t>2026020683</t>
  </si>
  <si>
    <t>2026020684</t>
  </si>
  <si>
    <t>2026020685</t>
  </si>
  <si>
    <t>2026020686</t>
  </si>
  <si>
    <t>2026020687</t>
  </si>
  <si>
    <t>2026020688</t>
  </si>
  <si>
    <t>2027-01-06</t>
  </si>
  <si>
    <t>2026020689</t>
  </si>
  <si>
    <t>2026020690</t>
  </si>
  <si>
    <t>2026020691</t>
  </si>
  <si>
    <t>2027-01-07</t>
  </si>
  <si>
    <t>2026020692</t>
  </si>
  <si>
    <t>2026020693</t>
  </si>
  <si>
    <t>2026020694</t>
  </si>
  <si>
    <t>2026020695</t>
  </si>
  <si>
    <t>2026020696</t>
  </si>
  <si>
    <t>2026020697</t>
  </si>
  <si>
    <t>2026020698</t>
  </si>
  <si>
    <t>2026020699</t>
  </si>
  <si>
    <t>2026020700</t>
  </si>
  <si>
    <t>2026020701</t>
  </si>
  <si>
    <t>2026020702</t>
  </si>
  <si>
    <t>2026020703</t>
  </si>
  <si>
    <t>2027-01-08</t>
  </si>
  <si>
    <t>2026020704</t>
  </si>
  <si>
    <t>2026020705</t>
  </si>
  <si>
    <t>2026020706</t>
  </si>
  <si>
    <t>2027-01-09</t>
  </si>
  <si>
    <t>2026020707</t>
  </si>
  <si>
    <t>2026020708</t>
  </si>
  <si>
    <t>2026020709</t>
  </si>
  <si>
    <t>2026020710</t>
  </si>
  <si>
    <t>2026020711</t>
  </si>
  <si>
    <t>2026020712</t>
  </si>
  <si>
    <t>2026020713</t>
  </si>
  <si>
    <t>2026020714</t>
  </si>
  <si>
    <t>2026020715</t>
  </si>
  <si>
    <t>2026020716</t>
  </si>
  <si>
    <t>2026020717</t>
  </si>
  <si>
    <t>2026020718</t>
  </si>
  <si>
    <t>2027-01-10</t>
  </si>
  <si>
    <t>2026020719</t>
  </si>
  <si>
    <t>2026020720</t>
  </si>
  <si>
    <t>2026020721</t>
  </si>
  <si>
    <t>2026020722</t>
  </si>
  <si>
    <t>2026020723</t>
  </si>
  <si>
    <t>2026020724</t>
  </si>
  <si>
    <t>2027-01-11</t>
  </si>
  <si>
    <t>2026020725</t>
  </si>
  <si>
    <t>2026020726</t>
  </si>
  <si>
    <t>2027-01-12</t>
  </si>
  <si>
    <t>2026020727</t>
  </si>
  <si>
    <t>2026020728</t>
  </si>
  <si>
    <t>2026020729</t>
  </si>
  <si>
    <t>2026020730</t>
  </si>
  <si>
    <t>2026020731</t>
  </si>
  <si>
    <t>2026020732</t>
  </si>
  <si>
    <t>2026020733</t>
  </si>
  <si>
    <t>2026020734</t>
  </si>
  <si>
    <t>2026020735</t>
  </si>
  <si>
    <t>2026020736</t>
  </si>
  <si>
    <t>2027-01-13</t>
  </si>
  <si>
    <t>2026020737</t>
  </si>
  <si>
    <t>2026020738</t>
  </si>
  <si>
    <t>2026020739</t>
  </si>
  <si>
    <t>2026020740</t>
  </si>
  <si>
    <t>2026020741</t>
  </si>
  <si>
    <t>2027-01-14</t>
  </si>
  <si>
    <t>2026020742</t>
  </si>
  <si>
    <t>2026020743</t>
  </si>
  <si>
    <t>2026020744</t>
  </si>
  <si>
    <t>2026020745</t>
  </si>
  <si>
    <t>2026020746</t>
  </si>
  <si>
    <t>2026020747</t>
  </si>
  <si>
    <t>2026020748</t>
  </si>
  <si>
    <t>2026020749</t>
  </si>
  <si>
    <t>2026020750</t>
  </si>
  <si>
    <t>2026020751</t>
  </si>
  <si>
    <t>2026020752</t>
  </si>
  <si>
    <t>2027-01-15</t>
  </si>
  <si>
    <t>2026020753</t>
  </si>
  <si>
    <t>2026020754</t>
  </si>
  <si>
    <t>2026020755</t>
  </si>
  <si>
    <t>2026020756</t>
  </si>
  <si>
    <t>2026020757</t>
  </si>
  <si>
    <t>2027-01-16</t>
  </si>
  <si>
    <t>2026020758</t>
  </si>
  <si>
    <t>2026020759</t>
  </si>
  <si>
    <t>2026020760</t>
  </si>
  <si>
    <t>2026020761</t>
  </si>
  <si>
    <t>2026020762</t>
  </si>
  <si>
    <t>2026020763</t>
  </si>
  <si>
    <t>2026020764</t>
  </si>
  <si>
    <t>2026020765</t>
  </si>
  <si>
    <t>2026020766</t>
  </si>
  <si>
    <t>2026020767</t>
  </si>
  <si>
    <t>2026020768</t>
  </si>
  <si>
    <t>2027-01-17</t>
  </si>
  <si>
    <t>2026020769</t>
  </si>
  <si>
    <t>2026020770</t>
  </si>
  <si>
    <t>2026020771</t>
  </si>
  <si>
    <t>2026020772</t>
  </si>
  <si>
    <t>2026020773</t>
  </si>
  <si>
    <t>2026020774</t>
  </si>
  <si>
    <t>2026020775</t>
  </si>
  <si>
    <t>2027-01-18</t>
  </si>
  <si>
    <t>2026020776</t>
  </si>
  <si>
    <t>2026020777</t>
  </si>
  <si>
    <t>2026020778</t>
  </si>
  <si>
    <t>2026020779</t>
  </si>
  <si>
    <t>2026020780</t>
  </si>
  <si>
    <t>2026020781</t>
  </si>
  <si>
    <t>2026020782</t>
  </si>
  <si>
    <t>2026020783</t>
  </si>
  <si>
    <t>2026020784</t>
  </si>
  <si>
    <t>2026020785</t>
  </si>
  <si>
    <t>2027-01-19</t>
  </si>
  <si>
    <t>2026020786</t>
  </si>
  <si>
    <t>2026020787</t>
  </si>
  <si>
    <t>2026020788</t>
  </si>
  <si>
    <t>2026020789</t>
  </si>
  <si>
    <t>2026020790</t>
  </si>
  <si>
    <t>2027-01-20</t>
  </si>
  <si>
    <t>2026020791</t>
  </si>
  <si>
    <t>2026020792</t>
  </si>
  <si>
    <t>2026020793</t>
  </si>
  <si>
    <t>2026020794</t>
  </si>
  <si>
    <t>2026020795</t>
  </si>
  <si>
    <t>2026020796</t>
  </si>
  <si>
    <t>2027-01-21</t>
  </si>
  <si>
    <t>2026020797</t>
  </si>
  <si>
    <t>2026020798</t>
  </si>
  <si>
    <t>2026020799</t>
  </si>
  <si>
    <t>2026020800</t>
  </si>
  <si>
    <t>2026020801</t>
  </si>
  <si>
    <t>2026020802</t>
  </si>
  <si>
    <t>2026020803</t>
  </si>
  <si>
    <t>2026020804</t>
  </si>
  <si>
    <t>2026020805</t>
  </si>
  <si>
    <t>2026020806</t>
  </si>
  <si>
    <t>2027-01-22</t>
  </si>
  <si>
    <t>2026020807</t>
  </si>
  <si>
    <t>2026020808</t>
  </si>
  <si>
    <t>2026020809</t>
  </si>
  <si>
    <t>2026020810</t>
  </si>
  <si>
    <t>2027-01-23</t>
  </si>
  <si>
    <t>2026020811</t>
  </si>
  <si>
    <t>2026020812</t>
  </si>
  <si>
    <t>2026020813</t>
  </si>
  <si>
    <t>2026020814</t>
  </si>
  <si>
    <t>2026020815</t>
  </si>
  <si>
    <t>2026020816</t>
  </si>
  <si>
    <t>2026020817</t>
  </si>
  <si>
    <t>2026020818</t>
  </si>
  <si>
    <t>2026020819</t>
  </si>
  <si>
    <t>2026020820</t>
  </si>
  <si>
    <t>2026020821</t>
  </si>
  <si>
    <t>2026020822</t>
  </si>
  <si>
    <t>2027-01-24</t>
  </si>
  <si>
    <t>2026020823</t>
  </si>
  <si>
    <t>2026020824</t>
  </si>
  <si>
    <t>2026020825</t>
  </si>
  <si>
    <t>2026020826</t>
  </si>
  <si>
    <t>2026020827</t>
  </si>
  <si>
    <t>2026020828</t>
  </si>
  <si>
    <t>2026020829</t>
  </si>
  <si>
    <t>2027-01-25</t>
  </si>
  <si>
    <t>2026020830</t>
  </si>
  <si>
    <t>2026020831</t>
  </si>
  <si>
    <t>2026020832</t>
  </si>
  <si>
    <t>2026020833</t>
  </si>
  <si>
    <t>2027-01-26</t>
  </si>
  <si>
    <t>2026020834</t>
  </si>
  <si>
    <t>2026020835</t>
  </si>
  <si>
    <t>2026020836</t>
  </si>
  <si>
    <t>2026020837</t>
  </si>
  <si>
    <t>2026020838</t>
  </si>
  <si>
    <t>2026020839</t>
  </si>
  <si>
    <t>2026020840</t>
  </si>
  <si>
    <t>2026020841</t>
  </si>
  <si>
    <t>2026020842</t>
  </si>
  <si>
    <t>2026020843</t>
  </si>
  <si>
    <t>2026020844</t>
  </si>
  <si>
    <t>2026020845</t>
  </si>
  <si>
    <t>2027-01-27</t>
  </si>
  <si>
    <t>2026020846</t>
  </si>
  <si>
    <t>2026020847</t>
  </si>
  <si>
    <t>2026020848</t>
  </si>
  <si>
    <t>2027-01-28</t>
  </si>
  <si>
    <t>2026020849</t>
  </si>
  <si>
    <t>2026020850</t>
  </si>
  <si>
    <t>2026020851</t>
  </si>
  <si>
    <t>2026020852</t>
  </si>
  <si>
    <t>2026020853</t>
  </si>
  <si>
    <t>2026020854</t>
  </si>
  <si>
    <t>2026020855</t>
  </si>
  <si>
    <t>2026020856</t>
  </si>
  <si>
    <t>2026020857</t>
  </si>
  <si>
    <t>2027-01-29</t>
  </si>
  <si>
    <t>2026020858</t>
  </si>
  <si>
    <t>2026020859</t>
  </si>
  <si>
    <t>2026020860</t>
  </si>
  <si>
    <t>2026020861</t>
  </si>
  <si>
    <t>2026020862</t>
  </si>
  <si>
    <t>2026020863</t>
  </si>
  <si>
    <t>2027-01-30</t>
  </si>
  <si>
    <t>2026020864</t>
  </si>
  <si>
    <t>2026020865</t>
  </si>
  <si>
    <t>2026020866</t>
  </si>
  <si>
    <t>2026020867</t>
  </si>
  <si>
    <t>2026020868</t>
  </si>
  <si>
    <t>2026020869</t>
  </si>
  <si>
    <t>2026020870</t>
  </si>
  <si>
    <t>2026020871</t>
  </si>
  <si>
    <t>2026020872</t>
  </si>
  <si>
    <t>2026020873</t>
  </si>
  <si>
    <t>2026020874</t>
  </si>
  <si>
    <t>2026020875</t>
  </si>
  <si>
    <t>2027-01-31</t>
  </si>
  <si>
    <t>2026020876</t>
  </si>
  <si>
    <t>2026020877</t>
  </si>
  <si>
    <t>2026020878</t>
  </si>
  <si>
    <t>2026020879</t>
  </si>
  <si>
    <t>2026020880</t>
  </si>
  <si>
    <t>2027-02-01</t>
  </si>
  <si>
    <t>2026020881</t>
  </si>
  <si>
    <t>2026020882</t>
  </si>
  <si>
    <t>2026020883</t>
  </si>
  <si>
    <t>2027-02-02</t>
  </si>
  <si>
    <t>2026020884</t>
  </si>
  <si>
    <t>2026020885</t>
  </si>
  <si>
    <t>2026020886</t>
  </si>
  <si>
    <t>2027-02-03</t>
  </si>
  <si>
    <t>2026020887</t>
  </si>
  <si>
    <t>2026020888</t>
  </si>
  <si>
    <t>2026020889</t>
  </si>
  <si>
    <t>2026020890</t>
  </si>
  <si>
    <t>2026020891</t>
  </si>
  <si>
    <t>2026020892</t>
  </si>
  <si>
    <t>2026020893</t>
  </si>
  <si>
    <t>2026020894</t>
  </si>
  <si>
    <t>2027-02-08</t>
  </si>
  <si>
    <t>2026020895</t>
  </si>
  <si>
    <t>2026020896</t>
  </si>
  <si>
    <t>2027-02-09</t>
  </si>
  <si>
    <t>2026020897</t>
  </si>
  <si>
    <t>2026020898</t>
  </si>
  <si>
    <t>2026020899</t>
  </si>
  <si>
    <t>2027-02-10</t>
  </si>
  <si>
    <t>2026020900</t>
  </si>
  <si>
    <t>2026020901</t>
  </si>
  <si>
    <t>2027-02-11</t>
  </si>
  <si>
    <t>2026020902</t>
  </si>
  <si>
    <t>2026020903</t>
  </si>
  <si>
    <t>2026020904</t>
  </si>
  <si>
    <t>2027-02-12</t>
  </si>
  <si>
    <t>2026020905</t>
  </si>
  <si>
    <t>2026020906</t>
  </si>
  <si>
    <t>2026020907</t>
  </si>
  <si>
    <t>2026020908</t>
  </si>
  <si>
    <t>2026020909</t>
  </si>
  <si>
    <t>2026020910</t>
  </si>
  <si>
    <t>2026020911</t>
  </si>
  <si>
    <t>2027-02-13</t>
  </si>
  <si>
    <t>2026020912</t>
  </si>
  <si>
    <t>2026020913</t>
  </si>
  <si>
    <t>2026020914</t>
  </si>
  <si>
    <t>2026020915</t>
  </si>
  <si>
    <t>2026020916</t>
  </si>
  <si>
    <t>2026020917</t>
  </si>
  <si>
    <t>2026020918</t>
  </si>
  <si>
    <t>2026020919</t>
  </si>
  <si>
    <t>2026020920</t>
  </si>
  <si>
    <t>2026020921</t>
  </si>
  <si>
    <t>2026020922</t>
  </si>
  <si>
    <t>2026020923</t>
  </si>
  <si>
    <t>2027-02-14</t>
  </si>
  <si>
    <t>2026020924</t>
  </si>
  <si>
    <t>2026020925</t>
  </si>
  <si>
    <t>2026020926</t>
  </si>
  <si>
    <t>2026020927</t>
  </si>
  <si>
    <t>2026020928</t>
  </si>
  <si>
    <t>2027-02-15</t>
  </si>
  <si>
    <t>2026020929</t>
  </si>
  <si>
    <t>2026020930</t>
  </si>
  <si>
    <t>2026020931</t>
  </si>
  <si>
    <t>2026020932</t>
  </si>
  <si>
    <t>2026020933</t>
  </si>
  <si>
    <t>2026020934</t>
  </si>
  <si>
    <t>2026020935</t>
  </si>
  <si>
    <t>2026020936</t>
  </si>
  <si>
    <t>2027-02-16</t>
  </si>
  <si>
    <t>2026020937</t>
  </si>
  <si>
    <t>2026020938</t>
  </si>
  <si>
    <t>2026020939</t>
  </si>
  <si>
    <t>2026020940</t>
  </si>
  <si>
    <t>2026020941</t>
  </si>
  <si>
    <t>2026020942</t>
  </si>
  <si>
    <t>2026020943</t>
  </si>
  <si>
    <t>2026020944</t>
  </si>
  <si>
    <t>2027-02-17</t>
  </si>
  <si>
    <t>2026020945</t>
  </si>
  <si>
    <t>2026020946</t>
  </si>
  <si>
    <t>2026020947</t>
  </si>
  <si>
    <t>2026020948</t>
  </si>
  <si>
    <t>2026020949</t>
  </si>
  <si>
    <t>2026020950</t>
  </si>
  <si>
    <t>2027-02-18</t>
  </si>
  <si>
    <t>2026020951</t>
  </si>
  <si>
    <t>2026020952</t>
  </si>
  <si>
    <t>2026020953</t>
  </si>
  <si>
    <t>2026020954</t>
  </si>
  <si>
    <t>2026020955</t>
  </si>
  <si>
    <t>2026020956</t>
  </si>
  <si>
    <t>2026020957</t>
  </si>
  <si>
    <t>2026020958</t>
  </si>
  <si>
    <t>2026020959</t>
  </si>
  <si>
    <t>2027-02-19</t>
  </si>
  <si>
    <t>00:30</t>
  </si>
  <si>
    <t>2026020960</t>
  </si>
  <si>
    <t>2026020961</t>
  </si>
  <si>
    <t>2026020962</t>
  </si>
  <si>
    <t>2026020963</t>
  </si>
  <si>
    <t>2026020964</t>
  </si>
  <si>
    <t>2026020965</t>
  </si>
  <si>
    <t>2026020966</t>
  </si>
  <si>
    <t>2027-02-20</t>
  </si>
  <si>
    <t>2026020967</t>
  </si>
  <si>
    <t>2026020968</t>
  </si>
  <si>
    <t>2026020969</t>
  </si>
  <si>
    <t>2026020970</t>
  </si>
  <si>
    <t>2026020971</t>
  </si>
  <si>
    <t>2026020972</t>
  </si>
  <si>
    <t>2026020973</t>
  </si>
  <si>
    <t>2026020974</t>
  </si>
  <si>
    <t>2027-02-21</t>
  </si>
  <si>
    <t>2026020975</t>
  </si>
  <si>
    <t>2026020976</t>
  </si>
  <si>
    <t>2026020977</t>
  </si>
  <si>
    <t>2026020978</t>
  </si>
  <si>
    <t>2026020979</t>
  </si>
  <si>
    <t>2026020980</t>
  </si>
  <si>
    <t>2026020981</t>
  </si>
  <si>
    <t>2026020982</t>
  </si>
  <si>
    <t>2026020983</t>
  </si>
  <si>
    <t>2026020984</t>
  </si>
  <si>
    <t>2026020985</t>
  </si>
  <si>
    <t>2027-02-22</t>
  </si>
  <si>
    <t>2026020986</t>
  </si>
  <si>
    <t>2026020987</t>
  </si>
  <si>
    <t>2026020988</t>
  </si>
  <si>
    <t>2026020989</t>
  </si>
  <si>
    <t>2026020990</t>
  </si>
  <si>
    <t>2027-02-23</t>
  </si>
  <si>
    <t>2026020991</t>
  </si>
  <si>
    <t>2026020992</t>
  </si>
  <si>
    <t>2026020993</t>
  </si>
  <si>
    <t>2026020994</t>
  </si>
  <si>
    <t>2026020995</t>
  </si>
  <si>
    <t>2026020996</t>
  </si>
  <si>
    <t>2026020997</t>
  </si>
  <si>
    <t>2026020998</t>
  </si>
  <si>
    <t>2027-02-24</t>
  </si>
  <si>
    <t>2026020999</t>
  </si>
  <si>
    <t>2026021000</t>
  </si>
  <si>
    <t>2026021001</t>
  </si>
  <si>
    <t>2027-02-25</t>
  </si>
  <si>
    <t>2026021002</t>
  </si>
  <si>
    <t>2026021003</t>
  </si>
  <si>
    <t>2026021004</t>
  </si>
  <si>
    <t>2026021005</t>
  </si>
  <si>
    <t>2026021006</t>
  </si>
  <si>
    <t>2026021007</t>
  </si>
  <si>
    <t>2026021008</t>
  </si>
  <si>
    <t>2026021009</t>
  </si>
  <si>
    <t>2026021010</t>
  </si>
  <si>
    <t>2027-02-26</t>
  </si>
  <si>
    <t>2026021011</t>
  </si>
  <si>
    <t>2026021013</t>
  </si>
  <si>
    <t>2026021014</t>
  </si>
  <si>
    <t>2026021015</t>
  </si>
  <si>
    <t>2026021012</t>
  </si>
  <si>
    <t>2026021016</t>
  </si>
  <si>
    <t>2026021017</t>
  </si>
  <si>
    <t>2026021018</t>
  </si>
  <si>
    <t>2027-02-27</t>
  </si>
  <si>
    <t>2026021019</t>
  </si>
  <si>
    <t>2026021020</t>
  </si>
  <si>
    <t>2026021021</t>
  </si>
  <si>
    <t>2026021022</t>
  </si>
  <si>
    <t>2026021023</t>
  </si>
  <si>
    <t>2026021024</t>
  </si>
  <si>
    <t>2026021025</t>
  </si>
  <si>
    <t>2026021026</t>
  </si>
  <si>
    <t>2026021027</t>
  </si>
  <si>
    <t>2026021028</t>
  </si>
  <si>
    <t>2026021029</t>
  </si>
  <si>
    <t>2027-02-28</t>
  </si>
  <si>
    <t>2026021030</t>
  </si>
  <si>
    <t>2026021031</t>
  </si>
  <si>
    <t>2026021032</t>
  </si>
  <si>
    <t>2026021033</t>
  </si>
  <si>
    <t>2026021034</t>
  </si>
  <si>
    <t>2026021035</t>
  </si>
  <si>
    <t>2027-03-01</t>
  </si>
  <si>
    <t>2026021036</t>
  </si>
  <si>
    <t>2026021037</t>
  </si>
  <si>
    <t>2026021038</t>
  </si>
  <si>
    <t>2026021039</t>
  </si>
  <si>
    <t>2026021040</t>
  </si>
  <si>
    <t>2027-03-02</t>
  </si>
  <si>
    <t>2026021041</t>
  </si>
  <si>
    <t>2026021042</t>
  </si>
  <si>
    <t>2026021043</t>
  </si>
  <si>
    <t>2026021044</t>
  </si>
  <si>
    <t>2026021045</t>
  </si>
  <si>
    <t>2026021046</t>
  </si>
  <si>
    <t>2026021047</t>
  </si>
  <si>
    <t>2027-03-03</t>
  </si>
  <si>
    <t>2026021048</t>
  </si>
  <si>
    <t>2026021049</t>
  </si>
  <si>
    <t>2026021050</t>
  </si>
  <si>
    <t>2026021051</t>
  </si>
  <si>
    <t>2026021052</t>
  </si>
  <si>
    <t>2027-03-04</t>
  </si>
  <si>
    <t>2026021053</t>
  </si>
  <si>
    <t>2026021054</t>
  </si>
  <si>
    <t>2026021055</t>
  </si>
  <si>
    <t>2026021056</t>
  </si>
  <si>
    <t>2026021057</t>
  </si>
  <si>
    <t>2026021058</t>
  </si>
  <si>
    <t>2026021059</t>
  </si>
  <si>
    <t>2026021060</t>
  </si>
  <si>
    <t>2026021061</t>
  </si>
  <si>
    <t>2026021062</t>
  </si>
  <si>
    <t>2027-03-05</t>
  </si>
  <si>
    <t>2026021063</t>
  </si>
  <si>
    <t>2026021064</t>
  </si>
  <si>
    <t>2026021065</t>
  </si>
  <si>
    <t>2026021066</t>
  </si>
  <si>
    <t>2026021067</t>
  </si>
  <si>
    <t>2027-03-06</t>
  </si>
  <si>
    <t>2026021068</t>
  </si>
  <si>
    <t>2026021069</t>
  </si>
  <si>
    <t>2026021070</t>
  </si>
  <si>
    <t>2026021071</t>
  </si>
  <si>
    <t>2026021072</t>
  </si>
  <si>
    <t>2026021073</t>
  </si>
  <si>
    <t>2026021074</t>
  </si>
  <si>
    <t>2026021075</t>
  </si>
  <si>
    <t>2026021076</t>
  </si>
  <si>
    <t>2026021077</t>
  </si>
  <si>
    <t>2027-03-07</t>
  </si>
  <si>
    <t>2026021078</t>
  </si>
  <si>
    <t>2026021079</t>
  </si>
  <si>
    <t>2026021080</t>
  </si>
  <si>
    <t>2026021081</t>
  </si>
  <si>
    <t>2026021082</t>
  </si>
  <si>
    <t>2026021083</t>
  </si>
  <si>
    <t>2026021084</t>
  </si>
  <si>
    <t>2026021085</t>
  </si>
  <si>
    <t>2026021086</t>
  </si>
  <si>
    <t>2026021087</t>
  </si>
  <si>
    <t>2026021088</t>
  </si>
  <si>
    <t>2027-03-08</t>
  </si>
  <si>
    <t>2026021089</t>
  </si>
  <si>
    <t>2026021090</t>
  </si>
  <si>
    <t>2026021091</t>
  </si>
  <si>
    <t>2027-03-09</t>
  </si>
  <si>
    <t>2026021092</t>
  </si>
  <si>
    <t>2026021093</t>
  </si>
  <si>
    <t>2026021094</t>
  </si>
  <si>
    <t>2026021095</t>
  </si>
  <si>
    <t>2026021096</t>
  </si>
  <si>
    <t>2026021097</t>
  </si>
  <si>
    <t>2026021098</t>
  </si>
  <si>
    <t>2026021099</t>
  </si>
  <si>
    <t>2026021100</t>
  </si>
  <si>
    <t>2026021101</t>
  </si>
  <si>
    <t>2026021102</t>
  </si>
  <si>
    <t>2027-03-10</t>
  </si>
  <si>
    <t>2026021103</t>
  </si>
  <si>
    <t>2026021104</t>
  </si>
  <si>
    <t>2026021105</t>
  </si>
  <si>
    <t>2026021106</t>
  </si>
  <si>
    <t>2027-03-11</t>
  </si>
  <si>
    <t>2026021107</t>
  </si>
  <si>
    <t>2026021108</t>
  </si>
  <si>
    <t>2026021109</t>
  </si>
  <si>
    <t>2026021110</t>
  </si>
  <si>
    <t>2026021111</t>
  </si>
  <si>
    <t>2026021112</t>
  </si>
  <si>
    <t>2026021113</t>
  </si>
  <si>
    <t>2026021114</t>
  </si>
  <si>
    <t>2026021115</t>
  </si>
  <si>
    <t>2027-03-12</t>
  </si>
  <si>
    <t>2026021116</t>
  </si>
  <si>
    <t>2026021117</t>
  </si>
  <si>
    <t>2026021118</t>
  </si>
  <si>
    <t>2026021119</t>
  </si>
  <si>
    <t>2027-03-13</t>
  </si>
  <si>
    <t>2026021120</t>
  </si>
  <si>
    <t>2026021121</t>
  </si>
  <si>
    <t>2026021130</t>
  </si>
  <si>
    <t>2026021122</t>
  </si>
  <si>
    <t>2026021123</t>
  </si>
  <si>
    <t>2026021124</t>
  </si>
  <si>
    <t>2026021125</t>
  </si>
  <si>
    <t>2026021126</t>
  </si>
  <si>
    <t>2026021127</t>
  </si>
  <si>
    <t>2026021128</t>
  </si>
  <si>
    <t>2026021129</t>
  </si>
  <si>
    <t>2026021131</t>
  </si>
  <si>
    <t>2027-03-14</t>
  </si>
  <si>
    <t>2026021132</t>
  </si>
  <si>
    <t>2026021133</t>
  </si>
  <si>
    <t>2026021134</t>
  </si>
  <si>
    <t>2026021135</t>
  </si>
  <si>
    <t>2026021136</t>
  </si>
  <si>
    <t>2026021137</t>
  </si>
  <si>
    <t>2027-03-15</t>
  </si>
  <si>
    <t>2026021138</t>
  </si>
  <si>
    <t>2026021139</t>
  </si>
  <si>
    <t>2026021140</t>
  </si>
  <si>
    <t>2026021141</t>
  </si>
  <si>
    <t>2026021142</t>
  </si>
  <si>
    <t>2026021143</t>
  </si>
  <si>
    <t>2026021144</t>
  </si>
  <si>
    <t>2026021145</t>
  </si>
  <si>
    <t>2026021146</t>
  </si>
  <si>
    <t>2027-03-16</t>
  </si>
  <si>
    <t>2026021147</t>
  </si>
  <si>
    <t>2026021148</t>
  </si>
  <si>
    <t>2026021149</t>
  </si>
  <si>
    <t>2026021150</t>
  </si>
  <si>
    <t>2026021151</t>
  </si>
  <si>
    <t>2026021152</t>
  </si>
  <si>
    <t>2026021153</t>
  </si>
  <si>
    <t>2027-03-17</t>
  </si>
  <si>
    <t>2026021154</t>
  </si>
  <si>
    <t>2026021155</t>
  </si>
  <si>
    <t>2026021156</t>
  </si>
  <si>
    <t>2026021157</t>
  </si>
  <si>
    <t>2026021158</t>
  </si>
  <si>
    <t>2026021159</t>
  </si>
  <si>
    <t>2027-03-18</t>
  </si>
  <si>
    <t>2026021160</t>
  </si>
  <si>
    <t>2026021161</t>
  </si>
  <si>
    <t>2026021162</t>
  </si>
  <si>
    <t>2026021163</t>
  </si>
  <si>
    <t>2026021164</t>
  </si>
  <si>
    <t>2026021165</t>
  </si>
  <si>
    <t>2026021166</t>
  </si>
  <si>
    <t>2026021167</t>
  </si>
  <si>
    <t>2026021168</t>
  </si>
  <si>
    <t>2026021169</t>
  </si>
  <si>
    <t>2026021170</t>
  </si>
  <si>
    <t>2027-03-19</t>
  </si>
  <si>
    <t>2026021171</t>
  </si>
  <si>
    <t>2026021172</t>
  </si>
  <si>
    <t>2026021173</t>
  </si>
  <si>
    <t>2027-03-20</t>
  </si>
  <si>
    <t>2026021174</t>
  </si>
  <si>
    <t>2026021175</t>
  </si>
  <si>
    <t>2026021176</t>
  </si>
  <si>
    <t>2026021177</t>
  </si>
  <si>
    <t>2026021178</t>
  </si>
  <si>
    <t>2026021179</t>
  </si>
  <si>
    <t>2026021180</t>
  </si>
  <si>
    <t>2026021181</t>
  </si>
  <si>
    <t>2026021182</t>
  </si>
  <si>
    <t>2026021183</t>
  </si>
  <si>
    <t>2026021184</t>
  </si>
  <si>
    <t>2026021185</t>
  </si>
  <si>
    <t>2027-03-21</t>
  </si>
  <si>
    <t>2026021186</t>
  </si>
  <si>
    <t>2026021187</t>
  </si>
  <si>
    <t>2026021188</t>
  </si>
  <si>
    <t>2026021189</t>
  </si>
  <si>
    <t>2026021190</t>
  </si>
  <si>
    <t>2026021191</t>
  </si>
  <si>
    <t>2026021192</t>
  </si>
  <si>
    <t>2027-03-22</t>
  </si>
  <si>
    <t>2026021193</t>
  </si>
  <si>
    <t>2026021194</t>
  </si>
  <si>
    <t>2026021195</t>
  </si>
  <si>
    <t>2027-03-23</t>
  </si>
  <si>
    <t>2026021196</t>
  </si>
  <si>
    <t>2026021197</t>
  </si>
  <si>
    <t>2026021198</t>
  </si>
  <si>
    <t>2026021199</t>
  </si>
  <si>
    <t>2026021200</t>
  </si>
  <si>
    <t>2026021201</t>
  </si>
  <si>
    <t>2026021202</t>
  </si>
  <si>
    <t>2026021203</t>
  </si>
  <si>
    <t>2026021204</t>
  </si>
  <si>
    <t>2026021205</t>
  </si>
  <si>
    <t>2026021206</t>
  </si>
  <si>
    <t>2026021207</t>
  </si>
  <si>
    <t>2027-03-24</t>
  </si>
  <si>
    <t>2026021208</t>
  </si>
  <si>
    <t>2026021209</t>
  </si>
  <si>
    <t>2026021210</t>
  </si>
  <si>
    <t>2027-03-25</t>
  </si>
  <si>
    <t>2026021211</t>
  </si>
  <si>
    <t>2026021212</t>
  </si>
  <si>
    <t>2026021213</t>
  </si>
  <si>
    <t>2026021214</t>
  </si>
  <si>
    <t>2026021215</t>
  </si>
  <si>
    <t>2026021216</t>
  </si>
  <si>
    <t>2026021217</t>
  </si>
  <si>
    <t>2026021218</t>
  </si>
  <si>
    <t>2026021219</t>
  </si>
  <si>
    <t>2026021220</t>
  </si>
  <si>
    <t>2026021221</t>
  </si>
  <si>
    <t>2026021222</t>
  </si>
  <si>
    <t>2026021223</t>
  </si>
  <si>
    <t>2027-03-26</t>
  </si>
  <si>
    <t>2026021224</t>
  </si>
  <si>
    <t>2026021225</t>
  </si>
  <si>
    <t>2026021226</t>
  </si>
  <si>
    <t>2027-03-27</t>
  </si>
  <si>
    <t>2026021227</t>
  </si>
  <si>
    <t>2026021228</t>
  </si>
  <si>
    <t>2026021229</t>
  </si>
  <si>
    <t>2026021230</t>
  </si>
  <si>
    <t>2026021231</t>
  </si>
  <si>
    <t>2026021232</t>
  </si>
  <si>
    <t>2026021233</t>
  </si>
  <si>
    <t>2026021234</t>
  </si>
  <si>
    <t>2026021235</t>
  </si>
  <si>
    <t>2026021236</t>
  </si>
  <si>
    <t>2026021237</t>
  </si>
  <si>
    <t>2026021238</t>
  </si>
  <si>
    <t>2026021239</t>
  </si>
  <si>
    <t>2027-03-28</t>
  </si>
  <si>
    <t>2026021240</t>
  </si>
  <si>
    <t>2026021241</t>
  </si>
  <si>
    <t>2026021242</t>
  </si>
  <si>
    <t>2026021243</t>
  </si>
  <si>
    <t>2027-03-29</t>
  </si>
  <si>
    <t>2026021244</t>
  </si>
  <si>
    <t>2026021245</t>
  </si>
  <si>
    <t>2026021246</t>
  </si>
  <si>
    <t>2026021247</t>
  </si>
  <si>
    <t>2027-03-30</t>
  </si>
  <si>
    <t>2026021248</t>
  </si>
  <si>
    <t>2026021249</t>
  </si>
  <si>
    <t>2026021250</t>
  </si>
  <si>
    <t>2026021251</t>
  </si>
  <si>
    <t>2026021252</t>
  </si>
  <si>
    <t>2026021253</t>
  </si>
  <si>
    <t>2026021254</t>
  </si>
  <si>
    <t>2026021255</t>
  </si>
  <si>
    <t>2026021256</t>
  </si>
  <si>
    <t>2026021257</t>
  </si>
  <si>
    <t>2026021258</t>
  </si>
  <si>
    <t>2027-03-31</t>
  </si>
  <si>
    <t>2026021259</t>
  </si>
  <si>
    <t>2026021260</t>
  </si>
  <si>
    <t>2026021261</t>
  </si>
  <si>
    <t>2026021262</t>
  </si>
  <si>
    <t>2027-04-01</t>
  </si>
  <si>
    <t>2026021263</t>
  </si>
  <si>
    <t>2026021264</t>
  </si>
  <si>
    <t>2026021265</t>
  </si>
  <si>
    <t>2026021266</t>
  </si>
  <si>
    <t>2026021267</t>
  </si>
  <si>
    <t>2026021268</t>
  </si>
  <si>
    <t>2026021269</t>
  </si>
  <si>
    <t>2026021270</t>
  </si>
  <si>
    <t>2026021271</t>
  </si>
  <si>
    <t>2027-04-02</t>
  </si>
  <si>
    <t>2026021272</t>
  </si>
  <si>
    <t>2026021273</t>
  </si>
  <si>
    <t>2026021274</t>
  </si>
  <si>
    <t>2026021275</t>
  </si>
  <si>
    <t>2026021276</t>
  </si>
  <si>
    <t>2027-04-03</t>
  </si>
  <si>
    <t>13:00</t>
  </si>
  <si>
    <t>2026021277</t>
  </si>
  <si>
    <t>2026021278</t>
  </si>
  <si>
    <t>2026021279</t>
  </si>
  <si>
    <t>2026021280</t>
  </si>
  <si>
    <t>2026021281</t>
  </si>
  <si>
    <t>2026021282</t>
  </si>
  <si>
    <t>2026021283</t>
  </si>
  <si>
    <t>2026021284</t>
  </si>
  <si>
    <t>2026021285</t>
  </si>
  <si>
    <t>2026021286</t>
  </si>
  <si>
    <t>2026021287</t>
  </si>
  <si>
    <t>2026021288</t>
  </si>
  <si>
    <t>2026021289</t>
  </si>
  <si>
    <t>2027-04-04</t>
  </si>
  <si>
    <t>2026021290</t>
  </si>
  <si>
    <t>2026021291</t>
  </si>
  <si>
    <t>2026021292</t>
  </si>
  <si>
    <t>2026021293</t>
  </si>
  <si>
    <t>2026021294</t>
  </si>
  <si>
    <t>2026021295</t>
  </si>
  <si>
    <t>2027-04-05</t>
  </si>
  <si>
    <t>2026021296</t>
  </si>
  <si>
    <t>2026021297</t>
  </si>
  <si>
    <t>2026021298</t>
  </si>
  <si>
    <t>2026021299</t>
  </si>
  <si>
    <t>2026021300</t>
  </si>
  <si>
    <t>2026021301</t>
  </si>
  <si>
    <t>2027-04-06</t>
  </si>
  <si>
    <t>2026021302</t>
  </si>
  <si>
    <t>2026021303</t>
  </si>
  <si>
    <t>2026021304</t>
  </si>
  <si>
    <t>2026021305</t>
  </si>
  <si>
    <t>2026021306</t>
  </si>
  <si>
    <t>2026021307</t>
  </si>
  <si>
    <t>2026021308</t>
  </si>
  <si>
    <t>2026021309</t>
  </si>
  <si>
    <t>2026021310</t>
  </si>
  <si>
    <t>2026021311</t>
  </si>
  <si>
    <t>2027-04-07</t>
  </si>
  <si>
    <t>2026021312</t>
  </si>
  <si>
    <t>2026021313</t>
  </si>
  <si>
    <t>2026021314</t>
  </si>
  <si>
    <t>2026021315</t>
  </si>
  <si>
    <t>2027-04-08</t>
  </si>
  <si>
    <t>2026021316</t>
  </si>
  <si>
    <t>2026021317</t>
  </si>
  <si>
    <t>2026021318</t>
  </si>
  <si>
    <t>2026021319</t>
  </si>
  <si>
    <t>2026021320</t>
  </si>
  <si>
    <t>2026021321</t>
  </si>
  <si>
    <t>2026021322</t>
  </si>
  <si>
    <t>2026021323</t>
  </si>
  <si>
    <t>2026021324</t>
  </si>
  <si>
    <t>2027-04-09</t>
  </si>
  <si>
    <t>2026021325</t>
  </si>
  <si>
    <t>2026021326</t>
  </si>
  <si>
    <t>2026021327</t>
  </si>
  <si>
    <t>2026021328</t>
  </si>
  <si>
    <t>2027-04-10</t>
  </si>
  <si>
    <t>2026021329</t>
  </si>
  <si>
    <t>2026021330</t>
  </si>
  <si>
    <t>2026021331</t>
  </si>
  <si>
    <t>2026021332</t>
  </si>
  <si>
    <t>2026021333</t>
  </si>
  <si>
    <t>2026021334</t>
  </si>
  <si>
    <t>2026021335</t>
  </si>
  <si>
    <t>2026021336</t>
  </si>
  <si>
    <t>2026021337</t>
  </si>
  <si>
    <t>2026021338</t>
  </si>
  <si>
    <t>2026021339</t>
  </si>
  <si>
    <t>2026021340</t>
  </si>
  <si>
    <t>2026021341</t>
  </si>
  <si>
    <t>2026021342</t>
  </si>
  <si>
    <t>2026021343</t>
  </si>
  <si>
    <t>2026021344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</si>
</sst>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14" fontId="0" fillId="0" borderId="0" xfId="0" applyNumberFormat="1"/>
    <xf numFmtId="0" fontId="0" fillId="0" borderId="0" xfId="0" applyAlignment="1">
      <alignment textRotation="90"/>
    </xf>
    <xf numFmtId="14" fontId="1" fillId="0" borderId="0" xfId="0" applyNumberFormat="1" applyFont="1" applyAlignment="1">
      <alignment textRotation="90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4" xfId="0" applyFont="1" applyBorder="1"/>
    <xf numFmtId="0" fontId="3" fillId="0" borderId="16" xfId="0" applyFont="1" applyBorder="1"/>
    <xf numFmtId="0" fontId="0" fillId="0" borderId="2" xfId="0" applyBorder="1"/>
    <xf numFmtId="0" fontId="0" fillId="0" borderId="19" xfId="0" applyBorder="1"/>
    <xf numFmtId="0" fontId="2" fillId="2" borderId="0" xfId="0" applyFont="1" applyFill="1"/>
    <xf numFmtId="0" fontId="2" fillId="0" borderId="17" xfId="0" applyFont="1" applyBorder="1"/>
    <xf numFmtId="0" fontId="2" fillId="0" borderId="2" xfId="0" applyFont="1" applyBorder="1"/>
    <xf numFmtId="0" fontId="2" fillId="2" borderId="2" xfId="0" applyFont="1" applyFill="1" applyBorder="1"/>
    <xf numFmtId="0" fontId="2" fillId="0" borderId="18" xfId="0" applyFont="1" applyBorder="1"/>
    <xf numFmtId="0" fontId="2" fillId="0" borderId="15" xfId="0" applyFont="1" applyBorder="1"/>
    <xf numFmtId="0" fontId="2" fillId="2" borderId="15" xfId="0" applyFont="1" applyFill="1" applyBorder="1"/>
    <xf numFmtId="0" fontId="2" fillId="2" borderId="19" xfId="0" applyFont="1" applyFill="1" applyBorder="1"/>
    <xf numFmtId="0" fontId="2" fillId="0" borderId="19" xfId="0" applyFont="1" applyBorder="1"/>
    <xf numFmtId="0" fontId="2" fillId="0" borderId="20" xfId="0" applyFont="1" applyBorder="1"/>
    <xf numFmtId="0" fontId="2" fillId="0" borderId="13" xfId="0" applyFont="1" applyBorder="1"/>
    <xf numFmtId="0" fontId="0" fillId="0" borderId="0" xfId="0" applyAlignment="1">
      <alignment horizontal="left" vertical="top" textRotation="90"/>
    </xf>
    <xf numFmtId="0" fontId="3" fillId="0" borderId="15" xfId="0" applyFont="1" applyBorder="1"/>
    <xf numFmtId="0" fontId="3" fillId="0" borderId="19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2" fontId="0" fillId="0" borderId="0" xfId="0" applyNumberFormat="1"/>
    <xf numFmtId="2" fontId="0" fillId="0" borderId="24" xfId="0" applyNumberFormat="1" applyBorder="1"/>
    <xf numFmtId="2" fontId="0" fillId="0" borderId="2" xfId="0" applyNumberFormat="1" applyBorder="1"/>
    <xf numFmtId="2" fontId="0" fillId="0" borderId="25" xfId="0" applyNumberFormat="1" applyBorder="1"/>
    <xf numFmtId="2" fontId="0" fillId="0" borderId="15" xfId="0" applyNumberFormat="1" applyBorder="1"/>
    <xf numFmtId="2" fontId="0" fillId="0" borderId="23" xfId="0" applyNumberFormat="1" applyBorder="1"/>
    <xf numFmtId="2" fontId="0" fillId="0" borderId="19" xfId="0" applyNumberFormat="1" applyBorder="1"/>
    <xf numFmtId="0" fontId="0" fillId="4" borderId="0" xfId="0" applyFill="1"/>
    <xf numFmtId="0" fontId="0" fillId="4" borderId="26" xfId="0" applyFill="1" applyBorder="1"/>
    <xf numFmtId="0" fontId="0" fillId="4" borderId="2" xfId="0" applyFill="1" applyBorder="1"/>
    <xf numFmtId="0" fontId="0" fillId="4" borderId="25" xfId="0" applyFill="1" applyBorder="1"/>
    <xf numFmtId="0" fontId="0" fillId="4" borderId="15" xfId="0" applyFill="1" applyBorder="1"/>
    <xf numFmtId="0" fontId="0" fillId="4" borderId="19" xfId="0" applyFill="1" applyBorder="1"/>
    <xf numFmtId="2" fontId="0" fillId="0" borderId="0" xfId="0" applyNumberFormat="1" applyAlignment="1">
      <alignment horizontal="left" vertical="top" textRotation="90"/>
    </xf>
    <xf numFmtId="2" fontId="0" fillId="0" borderId="26" xfId="0" applyNumberFormat="1" applyBorder="1"/>
    <xf numFmtId="10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01"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9" tint="0.39994506668294322"/>
        </patternFill>
      </fill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</border>
    </dxf>
    <dxf>
      <font>
        <b/>
        <i val="0"/>
        <color rgb="FFC00000"/>
      </font>
      <fill>
        <patternFill>
          <bgColor theme="9" tint="0.39994506668294322"/>
        </patternFill>
      </fill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</border>
    </dxf>
    <dxf>
      <font>
        <b/>
        <i val="0"/>
        <color theme="9" tint="-0.499984740745262"/>
      </font>
      <fill>
        <patternFill>
          <bgColor rgb="FF8AD76B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ED7777"/>
        </patternFill>
      </fill>
    </dxf>
    <dxf>
      <font>
        <color rgb="FFC00000"/>
      </font>
      <fill>
        <patternFill>
          <bgColor rgb="FFF2AAA8"/>
        </patternFill>
      </fill>
    </dxf>
    <dxf>
      <font>
        <color rgb="FFFF0000"/>
      </font>
      <fill>
        <patternFill>
          <bgColor rgb="FFFFC1C1"/>
        </patternFill>
      </fill>
    </dxf>
    <dxf>
      <font>
        <color rgb="FFFF0000"/>
      </font>
      <fill>
        <patternFill>
          <bgColor rgb="FFFFE1E1"/>
        </patternFill>
      </fill>
    </dxf>
    <dxf>
      <fill>
        <patternFill>
          <bgColor rgb="FFFCD908"/>
        </patternFill>
      </fill>
    </dxf>
    <dxf>
      <fill>
        <patternFill>
          <bgColor rgb="FFFCD908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9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alignment horizontal="left" vertical="top" textRotation="9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73AD93-0A78-4F55-B420-203F73CCB398}" name="Table1" displayName="Table1" ref="A1:AQ1345" totalsRowShown="0" headerRowDxfId="100">
  <autoFilter ref="A1:AQ1345" xr:uid="{8F73AD93-0A78-4F55-B420-203F73CCB398}"/>
  <tableColumns count="43">
    <tableColumn id="1" xr3:uid="{0E6C8EE3-454F-4247-990A-3C93848665DA}" name="PredictionDate" dataDxfId="99"/>
    <tableColumn id="2" xr3:uid="{EA939408-31C0-4D6A-B481-7AF0476B7AD4}" name="PredictionTime"/>
    <tableColumn id="3" xr3:uid="{2252FC96-81FC-43BE-BA9D-F67931D3247F}" name="Weekday"/>
    <tableColumn id="4" xr3:uid="{AA47422C-2F0A-4250-90C9-701497B896F5}" name="GameDate" dataDxfId="98"/>
    <tableColumn id="5" xr3:uid="{C826D132-9E84-4ECE-AD3C-01A6713BE418}" name="GameTime"/>
    <tableColumn id="6" xr3:uid="{2687AD8E-7C28-48B0-997F-EF8D1B3DABC4}" name="GameID"/>
    <tableColumn id="7" xr3:uid="{F33F2498-2A83-44A8-A25E-785045C93EB9}" name="AwayTeam"/>
    <tableColumn id="8" xr3:uid="{C792DBED-7F46-4D3A-919C-3B2A5527A451}" name="HomeTeam"/>
    <tableColumn id="9" xr3:uid="{7091EEA9-782C-4B07-BD54-7CF949DAF7BB}" name="PredictedAwayScore"/>
    <tableColumn id="10" xr3:uid="{AC61735F-87CB-47CA-9ADF-EC193CA987E8}" name="PredictedHomeScore"/>
    <tableColumn id="11" xr3:uid="{595E58B0-BE1F-4502-A082-A3AC68C31E55}" name="PredictedResult"/>
    <tableColumn id="12" xr3:uid="{34DF3D66-D651-4728-953A-4AF4608EAD9A}" name="PredictedWinner" dataDxfId="97">
      <calculatedColumnFormula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calculatedColumnFormula>
    </tableColumn>
    <tableColumn id="13" xr3:uid="{EABD7630-CBA6-43E5-97F9-E4F8F161DAA8}" name="ActualAwayScore"/>
    <tableColumn id="14" xr3:uid="{E59DBA7E-4D4A-485A-BF06-862A32261849}" name="ActualHomeScore"/>
    <tableColumn id="15" xr3:uid="{88E49345-5CE3-42FB-B503-F3843D6D76A9}" name="ActualResult"/>
    <tableColumn id="16" xr3:uid="{7B5C689F-D8C1-4028-8E2D-3FAE5AFA8820}" name="ActualWinner" dataDxfId="96">
      <calculatedColumnFormula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calculatedColumnFormula>
    </tableColumn>
    <tableColumn id="17" xr3:uid="{04FA8D5B-8625-4DED-88C8-C4742E1248FB}" name="WatchedGame"/>
    <tableColumn id="18" xr3:uid="{5149F16E-9541-416C-9588-F8DF9EBB6FB7}" name="WatchDate" dataDxfId="95"/>
    <tableColumn id="19" xr3:uid="{CBE9F616-021B-452B-B6AC-1D89573BEA4C}" name="WatchTime"/>
    <tableColumn id="24" xr3:uid="{9B01754C-88E4-4025-BF8C-5206370E8DEC}" name="ActualLoser" dataDxfId="94">
      <calculatedColumnFormula>IF(Table1[[#This Row],[ActualWinner]]="", "", IF(Table1[[#This Row],[AwayTeam]]=Table1[[#This Row],[ActualWinner]],Table1[[#This Row],[HomeTeam]],Table1[[#This Row],[AwayTeam]]))</calculatedColumnFormula>
    </tableColumn>
    <tableColumn id="32" xr3:uid="{AD3FA0DE-3B5C-4D20-89BF-83C4E2D70263}" name="AwayGameGoalDiff" dataDxfId="93">
      <calculatedColumnFormula>Table1[[#This Row],[ActualAwayScore]]-Table1[[#This Row],[PredictedAwayScore]]</calculatedColumnFormula>
    </tableColumn>
    <tableColumn id="31" xr3:uid="{2D7C0218-A1E8-46EA-A47C-70E629C06DB1}" name="HomeGameGoalDiff" dataDxfId="92">
      <calculatedColumnFormula>Table1[[#This Row],[ActualHomeScore]]-Table1[[#This Row],[PredictedHomeScore]]</calculatedColumnFormula>
    </tableColumn>
    <tableColumn id="35" xr3:uid="{DC73DC17-0707-4DC9-AC03-3DFAB4EDD277}" name="GamePredictionPoints1" dataDxfId="91">
      <calculatedColumnFormula>(0.8*IF(Table1[[#This Row],[CorrectWinnerPrediction]]=1, 1, 0))+(0.1*IF(Table1[[#This Row],[CorrectAwayScorePrediction]]=1, 1, 0))+(0.1*IF(Table1[[#This Row],[CorrectHomeScorePrediction]]=1, 1, 0))</calculatedColumnFormula>
    </tableColumn>
    <tableColumn id="34" xr3:uid="{4D69F896-BD1B-49ED-8CC2-B56C20ADCAEE}" name="GamePredictionPoints2" dataDxfId="90">
      <calculatedColumnFormula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calculatedColumnFormula>
    </tableColumn>
    <tableColumn id="33" xr3:uid="{6CDE16B3-C3BF-44D4-BAF2-8FC085B7C6A6}" name="GamePredictionPoints3"/>
    <tableColumn id="30" xr3:uid="{A07E6496-B66B-4E69-BCD5-623984164AC3}" name="AwayGoalDiffDay" dataDxfId="89">
      <calculatedColumnFormula>SUMIF(Table1[GameDate], Table1[[#This Row],[GameDate]], Table1[AwayGameGoalDiff])</calculatedColumnFormula>
    </tableColumn>
    <tableColumn id="29" xr3:uid="{F55D87D7-B30D-47EE-B4B6-D9327FC7EAF4}" name="HomeGoalDiffDay" dataDxfId="88">
      <calculatedColumnFormula>SUMIF(Table1[GameDate], Table1[[#This Row],[GameDate]], Table1[HomeGameGoalDiff])</calculatedColumnFormula>
    </tableColumn>
    <tableColumn id="41" xr3:uid="{8D097408-A83E-4854-82CA-8B3325355802}" name="GameIsOver" dataDxfId="87">
      <calculatedColumnFormula>IF(ISBLANK(Table1[[#This Row],[ActualResult]]), 0, 1)</calculatedColumnFormula>
    </tableColumn>
    <tableColumn id="40" xr3:uid="{DFCD1B8F-2D6E-4BE7-A85E-2E6D420AC2D3}" name="CorrectWinnerPrediction" dataDxfId="86">
      <calculatedColumnFormula>IF(ISBLANK(Table1[[#This Row],[ActualResult]]), 0, IF(Table1[[#This Row],[ActualWinner]]=Table1[[#This Row],[PredictedWinner]], 1, 0))</calculatedColumnFormula>
    </tableColumn>
    <tableColumn id="39" xr3:uid="{BA52148C-1961-470A-B47C-9B532630EB38}" name="CorrectAwayScorePrediction" dataDxfId="85">
      <calculatedColumnFormula>IF(Table1[[#This Row],[ActualAwayScore]]&gt;Table1[[#This Row],[PredictedAwayScore]], 0, IF(ISBLANK(Table1[[#This Row],[ActualResult]]), 0, IF(Table1[[#This Row],[ActualAwayScore]]=Table1[[#This Row],[PredictedAwayScore]], 1,0)))</calculatedColumnFormula>
    </tableColumn>
    <tableColumn id="38" xr3:uid="{41A3AC2B-0964-426A-9C48-DF1ADC2EC5C5}" name="CorrectHomeScorePrediction" dataDxfId="84">
      <calculatedColumnFormula>IF(Table1[[#This Row],[ActualHomeScore]]&gt;Table1[[#This Row],[PredictedHomeScore]], 0, IF(ISBLANK(Table1[[#This Row],[ActualResult]]), 0, IF(Table1[[#This Row],[ActualHomeScore]]=Table1[[#This Row],[PredictedHomeScore]], 1, 0)))</calculatedColumnFormula>
    </tableColumn>
    <tableColumn id="37" xr3:uid="{E268AD0B-491B-444F-BDA3-3938DF3300DD}" name="AwayShutout" dataDxfId="83">
      <calculatedColumnFormula>IF(AND(Table1[[#This Row],[GameIsOver]]=1,Table1[[#This Row],[ActualAwayScore]]=0), 1,0)</calculatedColumnFormula>
    </tableColumn>
    <tableColumn id="36" xr3:uid="{D0A4C1EF-0F7A-46FD-A2B1-FA1AA84D3116}" name="HomeShutout" dataDxfId="82">
      <calculatedColumnFormula>IF(AND(Table1[[#This Row],[GameIsOver]]=1,Table1[[#This Row],[ActualHomeScore]]=0), 1,0)</calculatedColumnFormula>
    </tableColumn>
    <tableColumn id="43" xr3:uid="{F71B51B5-8FCE-4174-B9F3-F81A2F371BD0}" name="AwayWon" dataDxfId="81">
      <calculatedColumnFormula>IF(Table1[[#This Row],[GameIsOver]]=0,0,IF(Table1[[#This Row],[ActualWinner]]=Table1[[#This Row],[AwayTeam]], 1, 0))</calculatedColumnFormula>
    </tableColumn>
    <tableColumn id="42" xr3:uid="{5E113FEB-617A-4533-B6D7-9B9A14CF2515}" name="HomeWon" dataDxfId="80">
      <calculatedColumnFormula>IF(Table1[[#This Row],[GameIsOver]]=0,0,IF(Table1[[#This Row],[ActualWinner]]=Table1[[#This Row],[HomeTeam]], 1, 0))</calculatedColumnFormula>
    </tableColumn>
    <tableColumn id="20" xr3:uid="{6117E8B1-EA3C-4F04-8590-5214C966AEC3}" name="InterConf" dataDxfId="79">
      <calculatedColumnFormula>IF(INDEX(Standings!$A$2:$C$33,MATCH(Table1[[#This Row],[AwayTeam]],Standings!$A$2:$A$33,0),2)=INDEX(Standings!$A$2:$C$33,MATCH(Table1[[#This Row],[HomeTeam]],Standings!$A$2:$A$33,0),2),1,0)</calculatedColumnFormula>
    </tableColumn>
    <tableColumn id="21" xr3:uid="{5A6474DF-0266-47DD-8325-17901FBBE9CC}" name="InterDiv" dataDxfId="78">
      <calculatedColumnFormula>IF(INDEX(Standings!$A$2:$C$33,MATCH(Table1[[#This Row],[AwayTeam]],Standings!$A$2:$A$33,0),3)=INDEX(Standings!$A$2:$C$33,MATCH(Table1[[#This Row],[HomeTeam]],Standings!$A$2:$A$33,0),3),1,0)</calculatedColumnFormula>
    </tableColumn>
    <tableColumn id="22" xr3:uid="{8768F0B5-DB4D-4916-ABFF-348F1B286ED3}" name="SameConfDiffDiv" dataDxfId="77">
      <calculatedColumnFormula>IF(Table1[[#This Row],[InterConf]]=1,IF(Table1[[#This Row],[InterDiv]]=0, 1, 0), 0)</calculatedColumnFormula>
    </tableColumn>
    <tableColumn id="23" xr3:uid="{D43268EA-243C-419D-9B75-8ADB514FC4BC}" name="CrossConf" dataDxfId="76">
      <calculatedColumnFormula>IF(INDEX(Standings!$A$2:$C$33,MATCH(Table1[[#This Row],[AwayTeam]],Standings!$A$2:$A$33,0),2)&lt;&gt;INDEX(Standings!$A$2:$C$33,MATCH(Table1[[#This Row],[HomeTeam]],Standings!$A$2:$A$33,0),2),1,0)</calculatedColumnFormula>
    </tableColumn>
    <tableColumn id="25" xr3:uid="{33B534AA-694E-4BA2-B090-7638D5F3EBE7}" name="AwayRecordAll" dataDxfId="75">
      <calculatedColumnFormula>INDEX(Table2[AWAY_RECORD], MATCH(Table1[[#This Row],[AwayTeam]],Table2[Team], 0), 0)</calculatedColumnFormula>
    </tableColumn>
    <tableColumn id="26" xr3:uid="{E6D8524B-01D9-4E3F-8963-ADEBEC4CA1C1}" name="AwayRecordVSHome" dataDxfId="74">
      <calculatedColumnFormula>INDEX(Records!$B$2:$AG$33, MATCH(Table1[[#This Row],[AwayTeam]],Records!$A$2:$A$33, 0), MATCH(Table1[[#This Row],[HomeTeam]],Records!$A$2:$A$33, 0))</calculatedColumnFormula>
    </tableColumn>
    <tableColumn id="27" xr3:uid="{3E771E21-BC90-41BD-9948-D4E465300024}" name="HomeRecordAll" dataDxfId="73">
      <calculatedColumnFormula>INDEX(Table2[HOME_RECORD], MATCH(Table1[[#This Row],[HomeTeam]],Table2[Team], 0), 0)</calculatedColumnFormula>
    </tableColumn>
    <tableColumn id="28" xr3:uid="{5055D9DF-BD89-4A1B-B392-735E6B482E65}" name="HomeRecordVSAway" dataDxfId="72">
      <calculatedColumnFormula>INDEX(Records!$B$2:$AG$33, MATCH(Table1[[#This Row],[HomeTeam]],Records!$A$2:$A$33, 0), MATCH(Table1[[#This Row],[AwayTeam]],Records!$A$2:$A$33, 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04A2E9-6DDA-4283-AAEE-1AD0CB9B58B2}" name="Table2" displayName="Table2" ref="A1:BL33" totalsRowShown="0" headerRowDxfId="71">
  <autoFilter ref="A1:BL33" xr:uid="{3004A2E9-6DDA-4283-AAEE-1AD0CB9B58B2}"/>
  <tableColumns count="64">
    <tableColumn id="1" xr3:uid="{5921676E-E84B-4424-BBB0-71A7CD24588D}" name="Team"/>
    <tableColumn id="2" xr3:uid="{4F042EDB-B07E-401D-A3DC-1EE862A0FBD2}" name="C"/>
    <tableColumn id="3" xr3:uid="{EC96354D-7947-4814-97E9-B874499226CF}" name="D"/>
    <tableColumn id="4" xr3:uid="{1C6BE841-5360-41E0-B6F4-4EA8308F6DB9}" name="Watched" dataDxfId="70">
      <calculatedColumnFormula>COUNTIFS(Table1[AwayTeam],Table2[[#This Row],[Team]],Table1[GameIsOver], 1, Table1[WatchedGame],1) + COUNTIFS(Table1[HomeTeam],Table2[[#This Row],[Team]],Table1[GameIsOver],1,Table1[WatchedGame],1)</calculatedColumnFormula>
    </tableColumn>
    <tableColumn id="5" xr3:uid="{99D8E497-7043-4BD9-8F0B-9046CAD6DFC9}" name="PctWatched"/>
    <tableColumn id="6" xr3:uid="{BE76C717-872F-49D8-B0CA-F0FA8419D2E7}" name="GP_A" dataDxfId="69">
      <calculatedColumnFormula>COUNTIFS(Table1[AwayTeam],Table2[[#This Row],[Team]], Table1[GameIsOver],1)</calculatedColumnFormula>
    </tableColumn>
    <tableColumn id="7" xr3:uid="{52D6ADEC-718C-474B-832C-1C0E1D91082B}" name="GP_H" dataDxfId="68">
      <calculatedColumnFormula>COUNTIFS(Table1[HomeTeam],Table2[[#This Row],[Team]], Table1[GameIsOver],1)</calculatedColumnFormula>
    </tableColumn>
    <tableColumn id="8" xr3:uid="{65DFD41D-6251-4E58-92BA-CB25F663FCAB}" name="GP" dataDxfId="67">
      <calculatedColumnFormula>Table2[[#This Row],[GP_A]]+Table2[[#This Row],[GP_H]]</calculatedColumnFormula>
    </tableColumn>
    <tableColumn id="9" xr3:uid="{BEA5F15B-7506-4028-BA12-003B9A7B7086}" name="GR" dataDxfId="66">
      <calculatedColumnFormula>84-Table2[[#This Row],[GP]]</calculatedColumnFormula>
    </tableColumn>
    <tableColumn id="10" xr3:uid="{CB70F77D-4B75-4AB6-AEF5-AF371AA1B43C}" name="W_A" dataDxfId="65">
      <calculatedColumnFormula>COUNTIFS(Table1[AwayTeam], Table2[[#This Row],[Team]], Table1[GameIsOver], 1, Table1[AwayWon],1)</calculatedColumnFormula>
    </tableColumn>
    <tableColumn id="11" xr3:uid="{C07D90B8-D3BA-4FC8-8144-631CEAA2C833}" name="RW_A" dataDxfId="64">
      <calculatedColumnFormula>COUNTIFS(Table1[AwayTeam], Table2[[#This Row],[Team]], Table1[GameIsOver], 1, Table1[AwayWon],1, Table1[ActualResult], "REG")</calculatedColumnFormula>
    </tableColumn>
    <tableColumn id="12" xr3:uid="{ED5B2C1F-E30D-4719-AB5F-EB18163F938C}" name="OTW_A" dataDxfId="63">
      <calculatedColumnFormula>COUNTIFS(Table1[AwayTeam], Table2[[#This Row],[Team]], Table1[GameIsOver], 1, Table1[AwayWon],1, Table1[ActualResult], "OT")</calculatedColumnFormula>
    </tableColumn>
    <tableColumn id="13" xr3:uid="{53306BA7-2308-47CA-BF29-9EC2E30A6AA5}" name="SOW_A" dataDxfId="62">
      <calculatedColumnFormula>COUNTIFS(Table1[AwayTeam], Table2[[#This Row],[Team]], Table1[GameIsOver], 1, Table1[AwayWon],1, Table1[ActualResult], "SO")</calculatedColumnFormula>
    </tableColumn>
    <tableColumn id="14" xr3:uid="{3394A887-E032-47EB-83CF-5808B9E43981}" name="L_A" dataDxfId="61">
      <calculatedColumnFormula>COUNTIFS(Table1[AwayTeam], Table2[[#This Row],[Team]], Table1[GameIsOver], 1, Table1[AwayWon],0)</calculatedColumnFormula>
    </tableColumn>
    <tableColumn id="15" xr3:uid="{05245337-765C-4AD1-B238-A673A9EC3493}" name="RL_A" dataDxfId="60">
      <calculatedColumnFormula>COUNTIFS(Table1[AwayTeam], Table2[[#This Row],[Team]], Table1[GameIsOver], 1, Table1[AwayWon],0, Table1[ActualResult], "REG")</calculatedColumnFormula>
    </tableColumn>
    <tableColumn id="16" xr3:uid="{648EDD4C-19BE-4C84-9355-864EB36E3014}" name="OTL_A" dataDxfId="59">
      <calculatedColumnFormula>COUNTIFS(Table1[AwayTeam], Table2[[#This Row],[Team]], Table1[GameIsOver], 1, Table1[AwayWon],0, Table1[ActualResult], "OT")</calculatedColumnFormula>
    </tableColumn>
    <tableColumn id="17" xr3:uid="{732D7B71-7EC3-4BD0-B673-B7459E2693FB}" name="SOL_A" dataDxfId="58">
      <calculatedColumnFormula>COUNTIFS(Table1[AwayTeam], Table2[[#This Row],[Team]], Table1[GameIsOver], 1, Table1[AwayWon],0, Table1[ActualResult], "SO")</calculatedColumnFormula>
    </tableColumn>
    <tableColumn id="18" xr3:uid="{C8577F19-3540-4AB9-8198-1F16708DD8EF}" name="W_H" dataDxfId="57">
      <calculatedColumnFormula>COUNTIFS(Table1[HomeTeam], Table2[[#This Row],[Team]], Table1[GameIsOver], 1, Table1[HomeWon],1)</calculatedColumnFormula>
    </tableColumn>
    <tableColumn id="19" xr3:uid="{89073C31-5170-4424-852B-3B281E15E82B}" name="RW_H" dataDxfId="56">
      <calculatedColumnFormula>COUNTIFS(Table1[HomeTeam], Table2[[#This Row],[Team]], Table1[GameIsOver], 1, Table1[HomeWon],1, Table1[ActualResult], "REG")</calculatedColumnFormula>
    </tableColumn>
    <tableColumn id="20" xr3:uid="{FDD909DA-CC05-4D89-A420-59700D9313BC}" name="OTW_H" dataDxfId="55">
      <calculatedColumnFormula>COUNTIFS(Table1[HomeTeam], Table2[[#This Row],[Team]], Table1[GameIsOver], 1, Table1[HomeWon],1, Table1[ActualResult], "OT")</calculatedColumnFormula>
    </tableColumn>
    <tableColumn id="21" xr3:uid="{721C8833-3688-4381-A433-51B1C2C8D48D}" name="SOW_H" dataDxfId="54">
      <calculatedColumnFormula>COUNTIFS(Table1[HomeTeam], Table2[[#This Row],[Team]], Table1[GameIsOver], 1, Table1[HomeWon],1, Table1[ActualResult], "SO")</calculatedColumnFormula>
    </tableColumn>
    <tableColumn id="26" xr3:uid="{39A049BF-A561-4C5C-85D4-BD68D404DF55}" name="L_H" dataDxfId="53">
      <calculatedColumnFormula>COUNTIFS(Table1[HomeTeam], Table2[[#This Row],[Team]], Table1[GameIsOver], 1, Table1[HomeWon],0)</calculatedColumnFormula>
    </tableColumn>
    <tableColumn id="22" xr3:uid="{6DC1A4C3-7CCF-49F2-8F17-4BFA2B177E75}" name="RL_H" dataDxfId="52">
      <calculatedColumnFormula>COUNTIFS(Table1[HomeTeam], Table2[[#This Row],[Team]], Table1[GameIsOver], 1, Table1[HomeWon],0, Table1[ActualResult], "REG")</calculatedColumnFormula>
    </tableColumn>
    <tableColumn id="23" xr3:uid="{B0D7CB57-8989-4CC2-8E2F-F045BF3EFDE8}" name="OTL_H" dataDxfId="51">
      <calculatedColumnFormula>COUNTIFS(Table1[HomeTeam], Table2[[#This Row],[Team]], Table1[GameIsOver], 1, Table1[HomeWon],0, Table1[ActualResult], "OT")</calculatedColumnFormula>
    </tableColumn>
    <tableColumn id="24" xr3:uid="{779AF5BA-04A0-4BB5-8842-041FD0981FD4}" name="SOL_H" dataDxfId="50">
      <calculatedColumnFormula>COUNTIFS(Table1[HomeTeam], Table2[[#This Row],[Team]], Table1[GameIsOver], 1, Table1[HomeWon],0, Table1[ActualResult], "SO")</calculatedColumnFormula>
    </tableColumn>
    <tableColumn id="25" xr3:uid="{33651D8C-9E47-4F74-93D3-A5B82E4A5F40}" name="W/L%" dataDxfId="49">
      <calculatedColumnFormula>Table2[[#This Row],[W]]/MAX(1,Table2[[#This Row],[W]]+Table2[[#This Row],[L]])</calculatedColumnFormula>
    </tableColumn>
    <tableColumn id="27" xr3:uid="{4DBD784B-5D73-4A25-A0D4-7C2003C37AFA}" name="W" dataDxfId="48">
      <calculatedColumnFormula>Table2[[#This Row],[W_A]]+Table2[[#This Row],[W_H]]</calculatedColumnFormula>
    </tableColumn>
    <tableColumn id="28" xr3:uid="{A9370396-A990-429E-A09C-6050179FA1D3}" name="L" dataDxfId="47">
      <calculatedColumnFormula>Table2[[#This Row],[L_A]]+Table2[[#This Row],[L_H]]</calculatedColumnFormula>
    </tableColumn>
    <tableColumn id="29" xr3:uid="{B2C2D886-AC53-4652-B016-B28922464A75}" name="RW" dataDxfId="46">
      <calculatedColumnFormula>Table2[RW_A]+Table2[RW_H]</calculatedColumnFormula>
    </tableColumn>
    <tableColumn id="30" xr3:uid="{6208F346-C4BC-4CFD-A400-4BE69C2848B8}" name="RL" dataDxfId="45">
      <calculatedColumnFormula>Table2[RL_A]+Table2[RL_H]</calculatedColumnFormula>
    </tableColumn>
    <tableColumn id="31" xr3:uid="{34CA8FC3-D493-4A34-A2CC-C6BBB7D36986}" name="OTW" dataDxfId="44">
      <calculatedColumnFormula>Table2[OTW_A]+Table2[OTW_H]</calculatedColumnFormula>
    </tableColumn>
    <tableColumn id="32" xr3:uid="{E468CEEB-A6AD-48AE-A2EC-B4DE80C3DCA6}" name="OTL" dataDxfId="43">
      <calculatedColumnFormula>Table2[OTL_A]+Table2[OTL_H]</calculatedColumnFormula>
    </tableColumn>
    <tableColumn id="33" xr3:uid="{8F9C4890-6552-45BE-947A-31587A5B09C5}" name="SOW" dataDxfId="42">
      <calculatedColumnFormula>Table2[SOW_A]+Table2[SOW_H]</calculatedColumnFormula>
    </tableColumn>
    <tableColumn id="34" xr3:uid="{C1E6357A-DE0E-4CC7-9CA8-29EF6F9C32FF}" name="SOL" dataDxfId="41">
      <calculatedColumnFormula>Table2[SOL_A]+Table2[SOL_H]</calculatedColumnFormula>
    </tableColumn>
    <tableColumn id="35" xr3:uid="{4CBB4D7D-AB6D-48B2-903E-13A3C1517728}" name="OT_SO_Record" dataDxfId="40">
      <calculatedColumnFormula>_xlfn.CONCAT(TEXT(Table2[[#This Row],[OTW]]+Table2[[#This Row],[SOW]], "0"), "-", TEXT(Table2[[#This Row],[OTL]]+Table2[[#This Row],[SOL]],"0"))</calculatedColumnFormula>
    </tableColumn>
    <tableColumn id="36" xr3:uid="{FB131BA3-C5C8-4C07-90CC-149892CF4671}" name="Total_ExtraTimes" dataDxfId="39">
      <calculatedColumnFormula>SUM(Table2[[#This Row],[OTW]],Table2[[#This Row],[OTL]],Table2[[#This Row],[SOW]],Table2[[#This Row],[SOL]])</calculatedColumnFormula>
    </tableColumn>
    <tableColumn id="37" xr3:uid="{EFC6F52D-9BFC-4E6A-BDBA-95C79F622B3D}" name="ExtraTiem%" dataDxfId="38">
      <calculatedColumnFormula>(Table2[[#This Row],[OTW]]+Table2[[#This Row],[SOW]])/IF(Table2[[#This Row],[Total_ExtraTimes]]=0,1,Table2[[#This Row],[Total_ExtraTimes]])</calculatedColumnFormula>
    </tableColumn>
    <tableColumn id="38" xr3:uid="{7615E6AF-1C05-4585-A922-2F48492BC152}" name="PctExtraTimeNeeded" dataDxfId="37">
      <calculatedColumnFormula>Table2[[#This Row],[Total_ExtraTimes]]/MAX(1,Table2[[#This Row],[GP]])</calculatedColumnFormula>
    </tableColumn>
    <tableColumn id="39" xr3:uid="{1587547F-0D1F-4DA0-B9F6-52127DEE38B9}" name="PTS" dataDxfId="36">
      <calculatedColumnFormula>(2*(Table2[[#This Row],[W_A]]+Table2[[#This Row],[W_H]]))+Table2[[#This Row],[OTL_A]]+Table2[[#This Row],[SOL_A]]+Table2[[#This Row],[OTL_H]]+Table2[[#This Row],[SOL_H]]</calculatedColumnFormula>
    </tableColumn>
    <tableColumn id="40" xr3:uid="{6C795AAF-128C-42DC-AAD8-87D3BF33ADFD}" name="PTS2" dataDxfId="35">
      <calculatedColumnFormula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calculatedColumnFormula>
    </tableColumn>
    <tableColumn id="44" xr3:uid="{49A6BB11-F68F-45E9-81AD-A5A2BEE67B66}" name="PTS%" dataDxfId="34">
      <calculatedColumnFormula>Table2[[#This Row],[PTS]]/(2*Table2[[#This Row],[GP]])</calculatedColumnFormula>
    </tableColumn>
    <tableColumn id="43" xr3:uid="{8F6C1905-0792-43E4-9678-ED6DAAD04B5E}" name="PTS2%" dataDxfId="33">
      <calculatedColumnFormula>Table2[[#This Row],[PTS]]/(3*Table2[[#This Row],[GP]])</calculatedColumnFormula>
    </tableColumn>
    <tableColumn id="41" xr3:uid="{28C920C0-A62C-423C-9F46-F8BE996916BD}" name="MAX_PTS" dataDxfId="32">
      <calculatedColumnFormula>(2*Table2[[#This Row],[GR]])+Table2[[#This Row],[PTS]]</calculatedColumnFormula>
    </tableColumn>
    <tableColumn id="42" xr3:uid="{C66D39EF-026F-494A-A00C-E8FDEAE5D985}" name="MAX_PTS2" dataDxfId="31">
      <calculatedColumnFormula>(3*Table2[[#This Row],[GR]])+Table2[[#This Row],[PTS]]</calculatedColumnFormula>
    </tableColumn>
    <tableColumn id="45" xr3:uid="{02C1559C-1CB0-4B5F-8D6D-53239B9A7E6A}" name="PROJ_PTS" dataDxfId="30">
      <calculatedColumnFormula>Table2[[#This Row],[PTS]]+(2 * Table2[[#This Row],[GR]] * Table2[[#This Row],[PTS%]])</calculatedColumnFormula>
    </tableColumn>
    <tableColumn id="46" xr3:uid="{FD805305-466B-4E91-81B8-F5157F54CE6F}" name="PROJ_PTS2" dataDxfId="29">
      <calculatedColumnFormula>Table2[[#This Row],[PTS]]+(3 * Table2[[#This Row],[GR]] * Table2[[#This Row],[PTS%]])</calculatedColumnFormula>
    </tableColumn>
    <tableColumn id="47" xr3:uid="{37467657-8E61-4678-BCFE-53D424F27C3F}" name="RECORD" dataDxfId="28">
      <calculatedColumnFormula>_xlfn.CONCAT(TEXT(Table2[[#This Row],[W]], "0"), "-", TEXT(Table2[[#This Row],[RL]],"0"), "-", TEXT(Table2[[#This Row],[OTL]]+Table2[[#This Row],[SOL]], "0"))</calculatedColumnFormula>
    </tableColumn>
    <tableColumn id="48" xr3:uid="{836B1F36-E74C-4D96-8825-5E88140DBFCE}" name="GF_A" dataDxfId="27">
      <calculatedColumnFormula>SUMIF(Table1[AwayTeam], Table2[[#This Row],[Team]], Table1[ActualAwayScore])</calculatedColumnFormula>
    </tableColumn>
    <tableColumn id="49" xr3:uid="{919BA3D4-6FBD-4A01-B213-4A9BF00325C8}" name="GA_A" dataDxfId="26">
      <calculatedColumnFormula>SUMIF(Table1[AwayTeam], Table2[[#This Row],[Team]], Table1[ActualHomeScore])</calculatedColumnFormula>
    </tableColumn>
    <tableColumn id="50" xr3:uid="{4F1269EF-3767-4757-96B8-9B5BC6F9579F}" name="GD_A" dataDxfId="25">
      <calculatedColumnFormula>Table2[[#This Row],[GF_A]]-Table2[[#This Row],[GA_A]]</calculatedColumnFormula>
    </tableColumn>
    <tableColumn id="51" xr3:uid="{237BC934-3281-44D2-9BB9-EF1BD5AA64D8}" name="GF_H" dataDxfId="24">
      <calculatedColumnFormula>SUMIF(Table1[HomeTeam], Table2[[#This Row],[Team]], Table1[ActualHomeScore])</calculatedColumnFormula>
    </tableColumn>
    <tableColumn id="52" xr3:uid="{9BA50E72-CE19-4DF5-83AA-BBEF54ED94A3}" name="GA_H" dataDxfId="23">
      <calculatedColumnFormula>SUMIF(Table1[HomeTeam], Table2[[#This Row],[Team]], Table1[ActualAwayScore])</calculatedColumnFormula>
    </tableColumn>
    <tableColumn id="53" xr3:uid="{1969D5C8-CD98-4F19-B69F-980EC8E3BC3B}" name="GD_H" dataDxfId="22">
      <calculatedColumnFormula>Table2[[#This Row],[GF_H]]-Table2[[#This Row],[GA_H]]</calculatedColumnFormula>
    </tableColumn>
    <tableColumn id="54" xr3:uid="{25869843-7575-4DD4-B1D3-643A531B4D4D}" name="GF_W" dataDxfId="21">
      <calculatedColumnFormula>SUMIFS(Table1[ActualAwayScore], Table1[AwayTeam], Table2[[#This Row],[Team]], Table1[AwayWon],1)+SUMIFS(Table1[ActualHomeScore], Table1[HomeTeam], Table2[[#This Row],[Team]], Table1[HomeWon],1)</calculatedColumnFormula>
    </tableColumn>
    <tableColumn id="55" xr3:uid="{481D6259-3417-4465-9009-F8BCB096D713}" name="GF_L" dataDxfId="20">
      <calculatedColumnFormula>SUMIFS(Table1[ActualAwayScore], Table1[AwayTeam], Table2[[#This Row],[Team]], Table1[AwayWon],0) + SUMIFS(Table1[ActualHomeScore], Table1[HomeTeam], Table2[[#This Row],[Team]], Table1[HomeWon],0)</calculatedColumnFormula>
    </tableColumn>
    <tableColumn id="56" xr3:uid="{348DF190-1FD0-4F48-A9BC-155A0E313210}" name="GD_WL" dataDxfId="19">
      <calculatedColumnFormula>Table2[[#This Row],[GF_W]]-Table2[[#This Row],[GF_L]]</calculatedColumnFormula>
    </tableColumn>
    <tableColumn id="57" xr3:uid="{CB5C3F23-9BE2-4D56-8DAB-E9FF12C23B7C}" name="GF" dataDxfId="18">
      <calculatedColumnFormula>Table2[[#This Row],[GF_A]]+Table2[[#This Row],[GF_H]]</calculatedColumnFormula>
    </tableColumn>
    <tableColumn id="58" xr3:uid="{782A6E9F-9ABD-413E-8C29-91242B95E434}" name="GA" dataDxfId="17">
      <calculatedColumnFormula>Table2[[#This Row],[GA_A]]+Table2[[#This Row],[GA_H]]</calculatedColumnFormula>
    </tableColumn>
    <tableColumn id="59" xr3:uid="{1A8E8D75-94B8-449F-94A8-86BCDD4848D8}" name="GD" dataDxfId="16">
      <calculatedColumnFormula>Table2[[#This Row],[GF]]-Table2[[#This Row],[GA]]</calculatedColumnFormula>
    </tableColumn>
    <tableColumn id="60" xr3:uid="{600AD40D-12FD-4E6D-A1D7-A84951EBC9BD}" name="GFPG" dataDxfId="15">
      <calculatedColumnFormula>Table2[[#This Row],[GF]]/Table2[[#This Row],[GP]]</calculatedColumnFormula>
    </tableColumn>
    <tableColumn id="61" xr3:uid="{50FAD8E4-251F-4EBC-BAE1-0D552AC2BE71}" name="GAPG" dataDxfId="14">
      <calculatedColumnFormula>Table2[[#This Row],[GA]]/Table2[[#This Row],[GP]]</calculatedColumnFormula>
    </tableColumn>
    <tableColumn id="62" xr3:uid="{17151576-0B0C-48E7-8D45-30E732D921A8}" name="GDPG" dataDxfId="13">
      <calculatedColumnFormula>Table2[[#This Row],[GFPG]]-Table2[[#This Row],[GAPG]]</calculatedColumnFormula>
    </tableColumn>
    <tableColumn id="63" xr3:uid="{22F1D942-33B6-4487-B738-0B0951547015}" name="AWAY_RECORD" dataDxfId="12">
      <calculatedColumnFormula>_xlfn.CONCAT(TEXT(Table2[[#This Row],[W_A]], "0"), "-", TEXT(Table2[[#This Row],[RL_A]],"0"), "-", TEXT(Table2[[#This Row],[OTL_A]]+Table2[[#This Row],[SOL_A]], "0"))</calculatedColumnFormula>
    </tableColumn>
    <tableColumn id="64" xr3:uid="{A6BF47DE-CA87-4107-9E1F-CE2A9B179648}" name="HOME_RECORD" dataDxfId="11">
      <calculatedColumnFormula>_xlfn.CONCAT(TEXT(Table2[[#This Row],[W_H]], "0"), "-", TEXT(Table2[[#This Row],[RL_H]],"0"), "-", TEXT(Table2[[#This Row],[OTL_H]]+Table2[[#This Row],[SOL_H]], "0"))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6D89-72B2-4FF1-867B-7594EB58D607}">
  <sheetPr codeName="Sheet1"/>
  <dimension ref="A1:AQ1345"/>
  <sheetViews>
    <sheetView tabSelected="1" workbookViewId="0">
      <selection activeCell="M3" sqref="M3"/>
    </sheetView>
  </sheetViews>
  <sheetFormatPr defaultRowHeight="15" x14ac:dyDescent="0.25"/>
  <cols>
    <col min="1" max="1" width="10.140625" customWidth="1"/>
    <col min="2" max="2" width="5.28515625" customWidth="1"/>
    <col min="3" max="3" width="4.5703125" customWidth="1"/>
    <col min="4" max="4" width="10.7109375" customWidth="1"/>
    <col min="5" max="5" width="5.85546875" customWidth="1"/>
    <col min="6" max="6" width="11.85546875" customWidth="1"/>
    <col min="7" max="8" width="4.85546875" customWidth="1"/>
    <col min="9" max="10" width="3" customWidth="1"/>
    <col min="11" max="11" width="4.140625" customWidth="1"/>
    <col min="12" max="12" width="4.85546875" customWidth="1"/>
    <col min="13" max="14" width="3" customWidth="1"/>
    <col min="15" max="15" width="4.140625" customWidth="1"/>
    <col min="16" max="16" width="4.85546875" customWidth="1"/>
    <col min="17" max="17" width="2.140625" customWidth="1"/>
    <col min="18" max="18" width="10.28515625" customWidth="1"/>
    <col min="19" max="19" width="5.140625" customWidth="1"/>
    <col min="20" max="20" width="4.85546875" customWidth="1"/>
    <col min="21" max="22" width="3.7109375" customWidth="1"/>
    <col min="23" max="23" width="4.28515625" customWidth="1"/>
    <col min="24" max="24" width="4.7109375" customWidth="1"/>
    <col min="25" max="33" width="3.7109375" customWidth="1"/>
    <col min="34" max="39" width="2.42578125" customWidth="1"/>
  </cols>
  <sheetData>
    <row r="1" spans="1:43" s="30" customFormat="1" ht="111.75" customHeight="1" x14ac:dyDescent="0.25">
      <c r="A1" s="30" t="s">
        <v>0</v>
      </c>
      <c r="B1" s="30" t="s">
        <v>1</v>
      </c>
      <c r="C1" s="30" t="s">
        <v>21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0" t="s">
        <v>12</v>
      </c>
      <c r="O1" s="30" t="s">
        <v>13</v>
      </c>
      <c r="P1" s="30" t="s">
        <v>14</v>
      </c>
      <c r="Q1" s="30" t="s">
        <v>15</v>
      </c>
      <c r="R1" s="30" t="s">
        <v>20</v>
      </c>
      <c r="S1" s="30" t="s">
        <v>19</v>
      </c>
      <c r="T1" s="30" t="s">
        <v>32</v>
      </c>
      <c r="U1" s="30" t="s">
        <v>81</v>
      </c>
      <c r="V1" s="30" t="s">
        <v>82</v>
      </c>
      <c r="W1" s="30" t="s">
        <v>78</v>
      </c>
      <c r="X1" s="30" t="s">
        <v>79</v>
      </c>
      <c r="Y1" s="30" t="s">
        <v>80</v>
      </c>
      <c r="Z1" s="30" t="s">
        <v>83</v>
      </c>
      <c r="AA1" s="30" t="s">
        <v>84</v>
      </c>
      <c r="AB1" s="30" t="s">
        <v>85</v>
      </c>
      <c r="AC1" s="30" t="s">
        <v>86</v>
      </c>
      <c r="AD1" s="30" t="s">
        <v>87</v>
      </c>
      <c r="AE1" s="30" t="s">
        <v>88</v>
      </c>
      <c r="AF1" s="30" t="s">
        <v>89</v>
      </c>
      <c r="AG1" s="30" t="s">
        <v>90</v>
      </c>
      <c r="AH1" s="30" t="s">
        <v>98</v>
      </c>
      <c r="AI1" s="30" t="s">
        <v>97</v>
      </c>
      <c r="AJ1" s="30" t="s">
        <v>28</v>
      </c>
      <c r="AK1" s="30" t="s">
        <v>29</v>
      </c>
      <c r="AL1" s="30" t="s">
        <v>30</v>
      </c>
      <c r="AM1" s="30" t="s">
        <v>31</v>
      </c>
      <c r="AN1" s="30" t="s">
        <v>74</v>
      </c>
      <c r="AO1" s="30" t="s">
        <v>75</v>
      </c>
      <c r="AP1" s="30" t="s">
        <v>76</v>
      </c>
      <c r="AQ1" s="30" t="s">
        <v>77</v>
      </c>
    </row>
    <row r="2" spans="1:43" x14ac:dyDescent="0.25">
      <c r="A2" s="1">
        <v>45937</v>
      </c>
      <c r="B2">
        <v>1620</v>
      </c>
      <c r="C2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TUE</v>
      </c>
      <c r="D2" t="s">
        <v>157</v>
      </c>
      <c r="E2" t="s">
        <v>158</v>
      </c>
      <c r="F2" t="s">
        <v>159</v>
      </c>
      <c r="G2" t="s">
        <v>17</v>
      </c>
      <c r="H2" t="s">
        <v>40</v>
      </c>
      <c r="I2">
        <v>8</v>
      </c>
      <c r="J2">
        <v>9</v>
      </c>
      <c r="K2" t="s">
        <v>18</v>
      </c>
      <c r="L2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CAR</v>
      </c>
      <c r="M2">
        <v>6</v>
      </c>
      <c r="N2">
        <v>3</v>
      </c>
      <c r="O2" t="s">
        <v>18</v>
      </c>
      <c r="P2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FLA</v>
      </c>
      <c r="Q2">
        <v>1</v>
      </c>
      <c r="R2" s="1">
        <v>45937</v>
      </c>
      <c r="S2">
        <v>2000</v>
      </c>
      <c r="T2" t="str">
        <f>IF(Table1[[#This Row],[ActualWinner]]="", "", IF(Table1[[#This Row],[AwayTeam]]=Table1[[#This Row],[ActualWinner]],Table1[[#This Row],[HomeTeam]],Table1[[#This Row],[AwayTeam]]))</f>
        <v>CAR</v>
      </c>
      <c r="U2">
        <f>Table1[[#This Row],[ActualAwayScore]]-Table1[[#This Row],[PredictedAwayScore]]</f>
        <v>-2</v>
      </c>
      <c r="V2">
        <f>Table1[[#This Row],[ActualHomeScore]]-Table1[[#This Row],[PredictedHomeScore]]</f>
        <v>-6</v>
      </c>
      <c r="W2">
        <f>(0.8*IF(Table1[[#This Row],[CorrectWinnerPrediction]]=1, 1, 0))+(0.1*IF(Table1[[#This Row],[CorrectAwayScorePrediction]]=1, 1, 0))+(0.1*IF(Table1[[#This Row],[CorrectHomeScorePrediction]]=1, 1, 0))</f>
        <v>0</v>
      </c>
      <c r="X2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">
        <f>SUMIF(Table1[GameDate], Table1[[#This Row],[GameDate]], Table1[AwayGameGoalDiff])</f>
        <v>2</v>
      </c>
      <c r="AA2">
        <f>SUMIF(Table1[GameDate], Table1[[#This Row],[GameDate]], Table1[HomeGameGoalDiff])</f>
        <v>-8</v>
      </c>
      <c r="AB2">
        <f>IF(ISBLANK(Table1[[#This Row],[ActualResult]]), 0, 1)</f>
        <v>1</v>
      </c>
      <c r="AC2">
        <f>IF(ISBLANK(Table1[[#This Row],[ActualResult]]), 0, IF(Table1[[#This Row],[ActualWinner]]=Table1[[#This Row],[PredictedWinner]], 1, 0))</f>
        <v>0</v>
      </c>
      <c r="AD2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">
        <f>IF(AND(Table1[[#This Row],[GameIsOver]]=1,Table1[[#This Row],[ActualAwayScore]]=0), 1,0)</f>
        <v>0</v>
      </c>
      <c r="AG2">
        <f>IF(AND(Table1[[#This Row],[GameIsOver]]=1,Table1[[#This Row],[ActualHomeScore]]=0), 1,0)</f>
        <v>0</v>
      </c>
      <c r="AH2">
        <f>IF(Table1[[#This Row],[GameIsOver]]=0,0,IF(Table1[[#This Row],[ActualWinner]]=Table1[[#This Row],[AwayTeam]], 1, 0))</f>
        <v>1</v>
      </c>
      <c r="AI2">
        <f>IF(Table1[[#This Row],[GameIsOver]]=0,0,IF(Table1[[#This Row],[ActualWinner]]=Table1[[#This Row],[HomeTeam]], 1, 0))</f>
        <v>0</v>
      </c>
      <c r="AJ2">
        <f>IF(INDEX(Standings!$A$2:$C$33,MATCH(Table1[[#This Row],[AwayTeam]],Standings!$A$2:$A$33,0),2)=INDEX(Standings!$A$2:$C$33,MATCH(Table1[[#This Row],[HomeTeam]],Standings!$A$2:$A$33,0),2),1,0)</f>
        <v>1</v>
      </c>
      <c r="AK2">
        <f>IF(INDEX(Standings!$A$2:$C$33,MATCH(Table1[[#This Row],[AwayTeam]],Standings!$A$2:$A$33,0),3)=INDEX(Standings!$A$2:$C$33,MATCH(Table1[[#This Row],[HomeTeam]],Standings!$A$2:$A$33,0),3),1,0)</f>
        <v>0</v>
      </c>
      <c r="AL2">
        <f>IF(Table1[[#This Row],[InterConf]]=1,IF(Table1[[#This Row],[InterDiv]]=0, 1, 0), 0)</f>
        <v>1</v>
      </c>
      <c r="AM2">
        <f>IF(INDEX(Standings!$A$2:$C$33,MATCH(Table1[[#This Row],[AwayTeam]],Standings!$A$2:$A$33,0),2)&lt;&gt;INDEX(Standings!$A$2:$C$33,MATCH(Table1[[#This Row],[HomeTeam]],Standings!$A$2:$A$33,0),2),1,0)</f>
        <v>0</v>
      </c>
      <c r="AN2" t="str">
        <f>INDEX(Table2[AWAY_RECORD], MATCH(Table1[[#This Row],[AwayTeam]],Table2[Team], 0), 0)</f>
        <v>2-0-0</v>
      </c>
      <c r="AO2" t="str">
        <f>INDEX(Records!$B$2:$AG$33, MATCH(Table1[[#This Row],[AwayTeam]],Records!$A$2:$A$33, 0), MATCH(Table1[[#This Row],[HomeTeam]],Records!$A$2:$A$33, 0))</f>
        <v>1-0-0</v>
      </c>
      <c r="AP2" t="str">
        <f>INDEX(Table2[HOME_RECORD], MATCH(Table1[[#This Row],[HomeTeam]],Table2[Team], 0), 0)</f>
        <v>1-1-0</v>
      </c>
      <c r="AQ2" t="str">
        <f>INDEX(Records!$B$2:$AG$33, MATCH(Table1[[#This Row],[HomeTeam]],Records!$A$2:$A$33, 0), MATCH(Table1[[#This Row],[AwayTeam]],Records!$A$2:$A$33, 0))</f>
        <v>0-1-0</v>
      </c>
    </row>
    <row r="3" spans="1:43" x14ac:dyDescent="0.25">
      <c r="A3" s="1"/>
      <c r="C3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TUE</v>
      </c>
      <c r="D3" t="s">
        <v>157</v>
      </c>
      <c r="E3" t="s">
        <v>160</v>
      </c>
      <c r="F3" t="s">
        <v>161</v>
      </c>
      <c r="G3" t="s">
        <v>47</v>
      </c>
      <c r="H3" t="s">
        <v>24</v>
      </c>
      <c r="I3">
        <v>1</v>
      </c>
      <c r="J3">
        <v>3</v>
      </c>
      <c r="K3" t="s">
        <v>27</v>
      </c>
      <c r="L3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TOR</v>
      </c>
      <c r="M3">
        <v>4</v>
      </c>
      <c r="N3">
        <v>3</v>
      </c>
      <c r="O3" t="s">
        <v>18</v>
      </c>
      <c r="P3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MTL</v>
      </c>
      <c r="R3" s="1"/>
      <c r="T3" t="str">
        <f>IF(Table1[[#This Row],[ActualWinner]]="", "", IF(Table1[[#This Row],[AwayTeam]]=Table1[[#This Row],[ActualWinner]],Table1[[#This Row],[HomeTeam]],Table1[[#This Row],[AwayTeam]]))</f>
        <v>TOR</v>
      </c>
      <c r="U3">
        <f>Table1[[#This Row],[ActualAwayScore]]-Table1[[#This Row],[PredictedAwayScore]]</f>
        <v>3</v>
      </c>
      <c r="V3">
        <f>Table1[[#This Row],[ActualHomeScore]]-Table1[[#This Row],[PredictedHomeScore]]</f>
        <v>0</v>
      </c>
      <c r="W3">
        <f>(0.8*IF(Table1[[#This Row],[CorrectWinnerPrediction]]=1, 1, 0))+(0.1*IF(Table1[[#This Row],[CorrectAwayScorePrediction]]=1, 1, 0))+(0.1*IF(Table1[[#This Row],[CorrectHomeScorePrediction]]=1, 1, 0))</f>
        <v>0.1</v>
      </c>
      <c r="X3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0.1</v>
      </c>
      <c r="Z3">
        <f>SUMIF(Table1[GameDate], Table1[[#This Row],[GameDate]], Table1[AwayGameGoalDiff])</f>
        <v>2</v>
      </c>
      <c r="AA3">
        <f>SUMIF(Table1[GameDate], Table1[[#This Row],[GameDate]], Table1[HomeGameGoalDiff])</f>
        <v>-8</v>
      </c>
      <c r="AB3">
        <f>IF(ISBLANK(Table1[[#This Row],[ActualResult]]), 0, 1)</f>
        <v>1</v>
      </c>
      <c r="AC3">
        <f>IF(ISBLANK(Table1[[#This Row],[ActualResult]]), 0, IF(Table1[[#This Row],[ActualWinner]]=Table1[[#This Row],[PredictedWinner]], 1, 0))</f>
        <v>0</v>
      </c>
      <c r="AD3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">
        <f>IF(Table1[[#This Row],[ActualHomeScore]]&gt;Table1[[#This Row],[PredictedHomeScore]], 0, IF(ISBLANK(Table1[[#This Row],[ActualResult]]), 0, IF(Table1[[#This Row],[ActualHomeScore]]=Table1[[#This Row],[PredictedHomeScore]], 1, 0)))</f>
        <v>1</v>
      </c>
      <c r="AF3">
        <f>IF(AND(Table1[[#This Row],[GameIsOver]]=1,Table1[[#This Row],[ActualAwayScore]]=0), 1,0)</f>
        <v>0</v>
      </c>
      <c r="AG3">
        <f>IF(AND(Table1[[#This Row],[GameIsOver]]=1,Table1[[#This Row],[ActualHomeScore]]=0), 1,0)</f>
        <v>0</v>
      </c>
      <c r="AH3">
        <f>IF(Table1[[#This Row],[GameIsOver]]=0,0,IF(Table1[[#This Row],[ActualWinner]]=Table1[[#This Row],[AwayTeam]], 1, 0))</f>
        <v>1</v>
      </c>
      <c r="AI3">
        <f>IF(Table1[[#This Row],[GameIsOver]]=0,0,IF(Table1[[#This Row],[ActualWinner]]=Table1[[#This Row],[HomeTeam]], 1, 0))</f>
        <v>0</v>
      </c>
      <c r="AJ3">
        <f>IF(INDEX(Standings!$A$2:$C$33,MATCH(Table1[[#This Row],[AwayTeam]],Standings!$A$2:$A$33,0),2)=INDEX(Standings!$A$2:$C$33,MATCH(Table1[[#This Row],[HomeTeam]],Standings!$A$2:$A$33,0),2),1,0)</f>
        <v>1</v>
      </c>
      <c r="AK3">
        <f>IF(INDEX(Standings!$A$2:$C$33,MATCH(Table1[[#This Row],[AwayTeam]],Standings!$A$2:$A$33,0),3)=INDEX(Standings!$A$2:$C$33,MATCH(Table1[[#This Row],[HomeTeam]],Standings!$A$2:$A$33,0),3),1,0)</f>
        <v>1</v>
      </c>
      <c r="AL3">
        <f>IF(Table1[[#This Row],[InterConf]]=1,IF(Table1[[#This Row],[InterDiv]]=0, 1, 0), 0)</f>
        <v>0</v>
      </c>
      <c r="AM3">
        <f>IF(INDEX(Standings!$A$2:$C$33,MATCH(Table1[[#This Row],[AwayTeam]],Standings!$A$2:$A$33,0),2)&lt;&gt;INDEX(Standings!$A$2:$C$33,MATCH(Table1[[#This Row],[HomeTeam]],Standings!$A$2:$A$33,0),2),1,0)</f>
        <v>0</v>
      </c>
      <c r="AN3" t="str">
        <f>INDEX(Table2[AWAY_RECORD], MATCH(Table1[[#This Row],[AwayTeam]],Table2[Team], 0), 0)</f>
        <v>1-0-0</v>
      </c>
      <c r="AO3" t="str">
        <f>INDEX(Records!$B$2:$AG$33, MATCH(Table1[[#This Row],[AwayTeam]],Records!$A$2:$A$33, 0), MATCH(Table1[[#This Row],[HomeTeam]],Records!$A$2:$A$33, 0))</f>
        <v>1-0-0</v>
      </c>
      <c r="AP3" t="str">
        <f>INDEX(Table2[HOME_RECORD], MATCH(Table1[[#This Row],[HomeTeam]],Table2[Team], 0), 0)</f>
        <v>0-2-0</v>
      </c>
      <c r="AQ3" t="str">
        <f>INDEX(Records!$B$2:$AG$33, MATCH(Table1[[#This Row],[HomeTeam]],Records!$A$2:$A$33, 0), MATCH(Table1[[#This Row],[AwayTeam]],Records!$A$2:$A$33, 0))</f>
        <v>0-1-0</v>
      </c>
    </row>
    <row r="4" spans="1:43" x14ac:dyDescent="0.25">
      <c r="A4" s="1"/>
      <c r="C4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TUE</v>
      </c>
      <c r="D4" t="s">
        <v>157</v>
      </c>
      <c r="E4" t="s">
        <v>162</v>
      </c>
      <c r="F4" t="s">
        <v>163</v>
      </c>
      <c r="G4" t="s">
        <v>51</v>
      </c>
      <c r="H4" t="s">
        <v>37</v>
      </c>
      <c r="I4">
        <v>3</v>
      </c>
      <c r="J4">
        <v>1</v>
      </c>
      <c r="K4" t="s">
        <v>26</v>
      </c>
      <c r="L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NYR</v>
      </c>
      <c r="M4">
        <v>3</v>
      </c>
      <c r="N4">
        <v>0</v>
      </c>
      <c r="O4" t="s">
        <v>18</v>
      </c>
      <c r="P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NYR</v>
      </c>
      <c r="R4" s="1"/>
      <c r="T4" t="str">
        <f>IF(Table1[[#This Row],[ActualWinner]]="", "", IF(Table1[[#This Row],[AwayTeam]]=Table1[[#This Row],[ActualWinner]],Table1[[#This Row],[HomeTeam]],Table1[[#This Row],[AwayTeam]]))</f>
        <v>BOS</v>
      </c>
      <c r="U4">
        <f>Table1[[#This Row],[ActualAwayScore]]-Table1[[#This Row],[PredictedAwayScore]]</f>
        <v>0</v>
      </c>
      <c r="V4">
        <f>Table1[[#This Row],[ActualHomeScore]]-Table1[[#This Row],[PredictedHomeScore]]</f>
        <v>-1</v>
      </c>
      <c r="W4">
        <f>(0.8*IF(Table1[[#This Row],[CorrectWinnerPrediction]]=1, 1, 0))+(0.1*IF(Table1[[#This Row],[CorrectAwayScorePrediction]]=1, 1, 0))+(0.1*IF(Table1[[#This Row],[CorrectHomeScorePrediction]]=1, 1, 0))</f>
        <v>0.9</v>
      </c>
      <c r="X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0.9</v>
      </c>
      <c r="Z4">
        <f>SUMIF(Table1[GameDate], Table1[[#This Row],[GameDate]], Table1[AwayGameGoalDiff])</f>
        <v>2</v>
      </c>
      <c r="AA4">
        <f>SUMIF(Table1[GameDate], Table1[[#This Row],[GameDate]], Table1[HomeGameGoalDiff])</f>
        <v>-8</v>
      </c>
      <c r="AB4">
        <f>IF(ISBLANK(Table1[[#This Row],[ActualResult]]), 0, 1)</f>
        <v>1</v>
      </c>
      <c r="AC4">
        <f>IF(ISBLANK(Table1[[#This Row],[ActualResult]]), 0, IF(Table1[[#This Row],[ActualWinner]]=Table1[[#This Row],[PredictedWinner]], 1, 0))</f>
        <v>1</v>
      </c>
      <c r="AD4">
        <f>IF(Table1[[#This Row],[ActualAwayScore]]&gt;Table1[[#This Row],[PredictedAwayScore]], 0, IF(ISBLANK(Table1[[#This Row],[ActualResult]]), 0, IF(Table1[[#This Row],[ActualAwayScore]]=Table1[[#This Row],[PredictedAwayScore]], 1,0)))</f>
        <v>1</v>
      </c>
      <c r="AE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">
        <f>IF(AND(Table1[[#This Row],[GameIsOver]]=1,Table1[[#This Row],[ActualAwayScore]]=0), 1,0)</f>
        <v>0</v>
      </c>
      <c r="AG4">
        <f>IF(AND(Table1[[#This Row],[GameIsOver]]=1,Table1[[#This Row],[ActualHomeScore]]=0), 1,0)</f>
        <v>1</v>
      </c>
      <c r="AH4">
        <f>IF(Table1[[#This Row],[GameIsOver]]=0,0,IF(Table1[[#This Row],[ActualWinner]]=Table1[[#This Row],[AwayTeam]], 1, 0))</f>
        <v>1</v>
      </c>
      <c r="AI4">
        <f>IF(Table1[[#This Row],[GameIsOver]]=0,0,IF(Table1[[#This Row],[ActualWinner]]=Table1[[#This Row],[HomeTeam]], 1, 0))</f>
        <v>0</v>
      </c>
      <c r="AJ4">
        <f>IF(INDEX(Standings!$A$2:$C$33,MATCH(Table1[[#This Row],[AwayTeam]],Standings!$A$2:$A$33,0),2)=INDEX(Standings!$A$2:$C$33,MATCH(Table1[[#This Row],[HomeTeam]],Standings!$A$2:$A$33,0),2),1,0)</f>
        <v>1</v>
      </c>
      <c r="AK4">
        <f>IF(INDEX(Standings!$A$2:$C$33,MATCH(Table1[[#This Row],[AwayTeam]],Standings!$A$2:$A$33,0),3)=INDEX(Standings!$A$2:$C$33,MATCH(Table1[[#This Row],[HomeTeam]],Standings!$A$2:$A$33,0),3),1,0)</f>
        <v>0</v>
      </c>
      <c r="AL4">
        <f>IF(Table1[[#This Row],[InterConf]]=1,IF(Table1[[#This Row],[InterDiv]]=0, 1, 0), 0)</f>
        <v>1</v>
      </c>
      <c r="AM4">
        <f>IF(INDEX(Standings!$A$2:$C$33,MATCH(Table1[[#This Row],[AwayTeam]],Standings!$A$2:$A$33,0),2)&lt;&gt;INDEX(Standings!$A$2:$C$33,MATCH(Table1[[#This Row],[HomeTeam]],Standings!$A$2:$A$33,0),2),1,0)</f>
        <v>0</v>
      </c>
      <c r="AN4" t="str">
        <f>INDEX(Table2[AWAY_RECORD], MATCH(Table1[[#This Row],[AwayTeam]],Table2[Team], 0), 0)</f>
        <v>2-0-0</v>
      </c>
      <c r="AO4" t="str">
        <f>INDEX(Records!$B$2:$AG$33, MATCH(Table1[[#This Row],[AwayTeam]],Records!$A$2:$A$33, 0), MATCH(Table1[[#This Row],[HomeTeam]],Records!$A$2:$A$33, 0))</f>
        <v>1-0-0</v>
      </c>
      <c r="AP4" t="str">
        <f>INDEX(Table2[HOME_RECORD], MATCH(Table1[[#This Row],[HomeTeam]],Table2[Team], 0), 0)</f>
        <v>0-1-0</v>
      </c>
      <c r="AQ4" t="str">
        <f>INDEX(Records!$B$2:$AG$33, MATCH(Table1[[#This Row],[HomeTeam]],Records!$A$2:$A$33, 0), MATCH(Table1[[#This Row],[AwayTeam]],Records!$A$2:$A$33, 0))</f>
        <v>0-1-0</v>
      </c>
    </row>
    <row r="5" spans="1:43" x14ac:dyDescent="0.25">
      <c r="A5" s="1"/>
      <c r="C5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TUE</v>
      </c>
      <c r="D5" t="s">
        <v>157</v>
      </c>
      <c r="E5" t="s">
        <v>164</v>
      </c>
      <c r="F5" t="s">
        <v>165</v>
      </c>
      <c r="G5" t="s">
        <v>23</v>
      </c>
      <c r="H5" t="s">
        <v>45</v>
      </c>
      <c r="I5">
        <v>3</v>
      </c>
      <c r="J5">
        <v>2</v>
      </c>
      <c r="K5" t="s">
        <v>27</v>
      </c>
      <c r="L5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VAN</v>
      </c>
      <c r="M5">
        <v>1</v>
      </c>
      <c r="N5">
        <v>2</v>
      </c>
      <c r="O5" t="s">
        <v>26</v>
      </c>
      <c r="P5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EDM</v>
      </c>
      <c r="R5" s="1"/>
      <c r="T5" t="str">
        <f>IF(Table1[[#This Row],[ActualWinner]]="", "", IF(Table1[[#This Row],[AwayTeam]]=Table1[[#This Row],[ActualWinner]],Table1[[#This Row],[HomeTeam]],Table1[[#This Row],[AwayTeam]]))</f>
        <v>VAN</v>
      </c>
      <c r="U5">
        <f>Table1[[#This Row],[ActualAwayScore]]-Table1[[#This Row],[PredictedAwayScore]]</f>
        <v>-2</v>
      </c>
      <c r="V5">
        <f>Table1[[#This Row],[ActualHomeScore]]-Table1[[#This Row],[PredictedHomeScore]]</f>
        <v>0</v>
      </c>
      <c r="W5">
        <f>(0.8*IF(Table1[[#This Row],[CorrectWinnerPrediction]]=1, 1, 0))+(0.1*IF(Table1[[#This Row],[CorrectAwayScorePrediction]]=1, 1, 0))+(0.1*IF(Table1[[#This Row],[CorrectHomeScorePrediction]]=1, 1, 0))</f>
        <v>0.1</v>
      </c>
      <c r="X5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0.78</v>
      </c>
      <c r="Z5">
        <f>SUMIF(Table1[GameDate], Table1[[#This Row],[GameDate]], Table1[AwayGameGoalDiff])</f>
        <v>2</v>
      </c>
      <c r="AA5">
        <f>SUMIF(Table1[GameDate], Table1[[#This Row],[GameDate]], Table1[HomeGameGoalDiff])</f>
        <v>-8</v>
      </c>
      <c r="AB5">
        <f>IF(ISBLANK(Table1[[#This Row],[ActualResult]]), 0, 1)</f>
        <v>1</v>
      </c>
      <c r="AC5">
        <f>IF(ISBLANK(Table1[[#This Row],[ActualResult]]), 0, IF(Table1[[#This Row],[ActualWinner]]=Table1[[#This Row],[PredictedWinner]], 1, 0))</f>
        <v>0</v>
      </c>
      <c r="AD5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">
        <f>IF(Table1[[#This Row],[ActualHomeScore]]&gt;Table1[[#This Row],[PredictedHomeScore]], 0, IF(ISBLANK(Table1[[#This Row],[ActualResult]]), 0, IF(Table1[[#This Row],[ActualHomeScore]]=Table1[[#This Row],[PredictedHomeScore]], 1, 0)))</f>
        <v>1</v>
      </c>
      <c r="AF5">
        <f>IF(AND(Table1[[#This Row],[GameIsOver]]=1,Table1[[#This Row],[ActualAwayScore]]=0), 1,0)</f>
        <v>0</v>
      </c>
      <c r="AG5">
        <f>IF(AND(Table1[[#This Row],[GameIsOver]]=1,Table1[[#This Row],[ActualHomeScore]]=0), 1,0)</f>
        <v>0</v>
      </c>
      <c r="AH5">
        <f>IF(Table1[[#This Row],[GameIsOver]]=0,0,IF(Table1[[#This Row],[ActualWinner]]=Table1[[#This Row],[AwayTeam]], 1, 0))</f>
        <v>0</v>
      </c>
      <c r="AI5">
        <f>IF(Table1[[#This Row],[GameIsOver]]=0,0,IF(Table1[[#This Row],[ActualWinner]]=Table1[[#This Row],[HomeTeam]], 1, 0))</f>
        <v>1</v>
      </c>
      <c r="AJ5">
        <f>IF(INDEX(Standings!$A$2:$C$33,MATCH(Table1[[#This Row],[AwayTeam]],Standings!$A$2:$A$33,0),2)=INDEX(Standings!$A$2:$C$33,MATCH(Table1[[#This Row],[HomeTeam]],Standings!$A$2:$A$33,0),2),1,0)</f>
        <v>1</v>
      </c>
      <c r="AK5">
        <f>IF(INDEX(Standings!$A$2:$C$33,MATCH(Table1[[#This Row],[AwayTeam]],Standings!$A$2:$A$33,0),3)=INDEX(Standings!$A$2:$C$33,MATCH(Table1[[#This Row],[HomeTeam]],Standings!$A$2:$A$33,0),3),1,0)</f>
        <v>1</v>
      </c>
      <c r="AL5">
        <f>IF(Table1[[#This Row],[InterConf]]=1,IF(Table1[[#This Row],[InterDiv]]=0, 1, 0), 0)</f>
        <v>0</v>
      </c>
      <c r="AM5">
        <f>IF(INDEX(Standings!$A$2:$C$33,MATCH(Table1[[#This Row],[AwayTeam]],Standings!$A$2:$A$33,0),2)&lt;&gt;INDEX(Standings!$A$2:$C$33,MATCH(Table1[[#This Row],[HomeTeam]],Standings!$A$2:$A$33,0),2),1,0)</f>
        <v>0</v>
      </c>
      <c r="AN5" t="str">
        <f>INDEX(Table2[AWAY_RECORD], MATCH(Table1[[#This Row],[AwayTeam]],Table2[Team], 0), 0)</f>
        <v>0-0-1</v>
      </c>
      <c r="AO5" t="str">
        <f>INDEX(Records!$B$2:$AG$33, MATCH(Table1[[#This Row],[AwayTeam]],Records!$A$2:$A$33, 0), MATCH(Table1[[#This Row],[HomeTeam]],Records!$A$2:$A$33, 0))</f>
        <v>0-0-2</v>
      </c>
      <c r="AP5" t="str">
        <f>INDEX(Table2[HOME_RECORD], MATCH(Table1[[#This Row],[HomeTeam]],Table2[Team], 0), 0)</f>
        <v>1-0-0</v>
      </c>
      <c r="AQ5" t="str">
        <f>INDEX(Records!$B$2:$AG$33, MATCH(Table1[[#This Row],[HomeTeam]],Records!$A$2:$A$33, 0), MATCH(Table1[[#This Row],[AwayTeam]],Records!$A$2:$A$33, 0))</f>
        <v>2-0-0</v>
      </c>
    </row>
    <row r="6" spans="1:43" x14ac:dyDescent="0.25">
      <c r="A6" s="1"/>
      <c r="C6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TUE</v>
      </c>
      <c r="D6" t="s">
        <v>157</v>
      </c>
      <c r="E6" t="s">
        <v>166</v>
      </c>
      <c r="F6" t="s">
        <v>167</v>
      </c>
      <c r="G6" t="s">
        <v>16</v>
      </c>
      <c r="H6" t="s">
        <v>25</v>
      </c>
      <c r="I6">
        <v>1</v>
      </c>
      <c r="J6">
        <v>4</v>
      </c>
      <c r="K6" t="s">
        <v>18</v>
      </c>
      <c r="L6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VGK</v>
      </c>
      <c r="M6">
        <v>4</v>
      </c>
      <c r="N6">
        <v>3</v>
      </c>
      <c r="O6" t="s">
        <v>27</v>
      </c>
      <c r="P6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CHI</v>
      </c>
      <c r="R6" s="1"/>
      <c r="T6" t="str">
        <f>IF(Table1[[#This Row],[ActualWinner]]="", "", IF(Table1[[#This Row],[AwayTeam]]=Table1[[#This Row],[ActualWinner]],Table1[[#This Row],[HomeTeam]],Table1[[#This Row],[AwayTeam]]))</f>
        <v>VGK</v>
      </c>
      <c r="U6">
        <f>Table1[[#This Row],[ActualAwayScore]]-Table1[[#This Row],[PredictedAwayScore]]</f>
        <v>3</v>
      </c>
      <c r="V6">
        <f>Table1[[#This Row],[ActualHomeScore]]-Table1[[#This Row],[PredictedHomeScore]]</f>
        <v>-1</v>
      </c>
      <c r="W6">
        <f>(0.8*IF(Table1[[#This Row],[CorrectWinnerPrediction]]=1, 1, 0))+(0.1*IF(Table1[[#This Row],[CorrectAwayScorePrediction]]=1, 1, 0))+(0.1*IF(Table1[[#This Row],[CorrectHomeScorePrediction]]=1, 1, 0))</f>
        <v>0</v>
      </c>
      <c r="X6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">
        <f>SUMIF(Table1[GameDate], Table1[[#This Row],[GameDate]], Table1[AwayGameGoalDiff])</f>
        <v>2</v>
      </c>
      <c r="AA6">
        <f>SUMIF(Table1[GameDate], Table1[[#This Row],[GameDate]], Table1[HomeGameGoalDiff])</f>
        <v>-8</v>
      </c>
      <c r="AB6">
        <f>IF(ISBLANK(Table1[[#This Row],[ActualResult]]), 0, 1)</f>
        <v>1</v>
      </c>
      <c r="AC6">
        <f>IF(ISBLANK(Table1[[#This Row],[ActualResult]]), 0, IF(Table1[[#This Row],[ActualWinner]]=Table1[[#This Row],[PredictedWinner]], 1, 0))</f>
        <v>0</v>
      </c>
      <c r="AD6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">
        <f>IF(AND(Table1[[#This Row],[GameIsOver]]=1,Table1[[#This Row],[ActualAwayScore]]=0), 1,0)</f>
        <v>0</v>
      </c>
      <c r="AG6">
        <f>IF(AND(Table1[[#This Row],[GameIsOver]]=1,Table1[[#This Row],[ActualHomeScore]]=0), 1,0)</f>
        <v>0</v>
      </c>
      <c r="AH6">
        <f>IF(Table1[[#This Row],[GameIsOver]]=0,0,IF(Table1[[#This Row],[ActualWinner]]=Table1[[#This Row],[AwayTeam]], 1, 0))</f>
        <v>1</v>
      </c>
      <c r="AI6">
        <f>IF(Table1[[#This Row],[GameIsOver]]=0,0,IF(Table1[[#This Row],[ActualWinner]]=Table1[[#This Row],[HomeTeam]], 1, 0))</f>
        <v>0</v>
      </c>
      <c r="AJ6">
        <f>IF(INDEX(Standings!$A$2:$C$33,MATCH(Table1[[#This Row],[AwayTeam]],Standings!$A$2:$A$33,0),2)=INDEX(Standings!$A$2:$C$33,MATCH(Table1[[#This Row],[HomeTeam]],Standings!$A$2:$A$33,0),2),1,0)</f>
        <v>1</v>
      </c>
      <c r="AK6">
        <f>IF(INDEX(Standings!$A$2:$C$33,MATCH(Table1[[#This Row],[AwayTeam]],Standings!$A$2:$A$33,0),3)=INDEX(Standings!$A$2:$C$33,MATCH(Table1[[#This Row],[HomeTeam]],Standings!$A$2:$A$33,0),3),1,0)</f>
        <v>0</v>
      </c>
      <c r="AL6">
        <f>IF(Table1[[#This Row],[InterConf]]=1,IF(Table1[[#This Row],[InterDiv]]=0, 1, 0), 0)</f>
        <v>1</v>
      </c>
      <c r="AM6">
        <f>IF(INDEX(Standings!$A$2:$C$33,MATCH(Table1[[#This Row],[AwayTeam]],Standings!$A$2:$A$33,0),2)&lt;&gt;INDEX(Standings!$A$2:$C$33,MATCH(Table1[[#This Row],[HomeTeam]],Standings!$A$2:$A$33,0),2),1,0)</f>
        <v>0</v>
      </c>
      <c r="AN6" t="str">
        <f>INDEX(Table2[AWAY_RECORD], MATCH(Table1[[#This Row],[AwayTeam]],Table2[Team], 0), 0)</f>
        <v>1-0-1</v>
      </c>
      <c r="AO6" t="str">
        <f>INDEX(Records!$B$2:$AG$33, MATCH(Table1[[#This Row],[AwayTeam]],Records!$A$2:$A$33, 0), MATCH(Table1[[#This Row],[HomeTeam]],Records!$A$2:$A$33, 0))</f>
        <v>1-0-0</v>
      </c>
      <c r="AP6" t="str">
        <f>INDEX(Table2[HOME_RECORD], MATCH(Table1[[#This Row],[HomeTeam]],Table2[Team], 0), 0)</f>
        <v>0-0-1</v>
      </c>
      <c r="AQ6" t="str">
        <f>INDEX(Records!$B$2:$AG$33, MATCH(Table1[[#This Row],[HomeTeam]],Records!$A$2:$A$33, 0), MATCH(Table1[[#This Row],[AwayTeam]],Records!$A$2:$A$33, 0))</f>
        <v>0-0-1</v>
      </c>
    </row>
    <row r="7" spans="1:43" x14ac:dyDescent="0.25">
      <c r="A7" s="1"/>
      <c r="C7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WED</v>
      </c>
      <c r="D7" t="s">
        <v>168</v>
      </c>
      <c r="E7" t="s">
        <v>169</v>
      </c>
      <c r="F7" t="s">
        <v>170</v>
      </c>
      <c r="G7" t="s">
        <v>54</v>
      </c>
      <c r="H7" t="s">
        <v>53</v>
      </c>
      <c r="I7">
        <v>5</v>
      </c>
      <c r="J7">
        <v>4</v>
      </c>
      <c r="K7" t="s">
        <v>26</v>
      </c>
      <c r="L7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PIT</v>
      </c>
      <c r="M7">
        <v>4</v>
      </c>
      <c r="N7">
        <v>5</v>
      </c>
      <c r="O7" t="s">
        <v>26</v>
      </c>
      <c r="P7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PHI</v>
      </c>
      <c r="R7" s="1"/>
      <c r="T7" t="str">
        <f>IF(Table1[[#This Row],[ActualWinner]]="", "", IF(Table1[[#This Row],[AwayTeam]]=Table1[[#This Row],[ActualWinner]],Table1[[#This Row],[HomeTeam]],Table1[[#This Row],[AwayTeam]]))</f>
        <v>PIT</v>
      </c>
      <c r="U7">
        <f>Table1[[#This Row],[ActualAwayScore]]-Table1[[#This Row],[PredictedAwayScore]]</f>
        <v>-1</v>
      </c>
      <c r="V7">
        <f>Table1[[#This Row],[ActualHomeScore]]-Table1[[#This Row],[PredictedHomeScore]]</f>
        <v>1</v>
      </c>
      <c r="W7">
        <f>(0.8*IF(Table1[[#This Row],[CorrectWinnerPrediction]]=1, 1, 0))+(0.1*IF(Table1[[#This Row],[CorrectAwayScorePrediction]]=1, 1, 0))+(0.1*IF(Table1[[#This Row],[CorrectHomeScorePrediction]]=1, 1, 0))</f>
        <v>0</v>
      </c>
      <c r="X7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0.68</v>
      </c>
      <c r="Z7">
        <f>SUMIF(Table1[GameDate], Table1[[#This Row],[GameDate]], Table1[AwayGameGoalDiff])</f>
        <v>-3</v>
      </c>
      <c r="AA7">
        <f>SUMIF(Table1[GameDate], Table1[[#This Row],[GameDate]], Table1[HomeGameGoalDiff])</f>
        <v>-1</v>
      </c>
      <c r="AB7">
        <f>IF(ISBLANK(Table1[[#This Row],[ActualResult]]), 0, 1)</f>
        <v>1</v>
      </c>
      <c r="AC7">
        <f>IF(ISBLANK(Table1[[#This Row],[ActualResult]]), 0, IF(Table1[[#This Row],[ActualWinner]]=Table1[[#This Row],[PredictedWinner]], 1, 0))</f>
        <v>0</v>
      </c>
      <c r="AD7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">
        <f>IF(AND(Table1[[#This Row],[GameIsOver]]=1,Table1[[#This Row],[ActualAwayScore]]=0), 1,0)</f>
        <v>0</v>
      </c>
      <c r="AG7">
        <f>IF(AND(Table1[[#This Row],[GameIsOver]]=1,Table1[[#This Row],[ActualHomeScore]]=0), 1,0)</f>
        <v>0</v>
      </c>
      <c r="AH7">
        <f>IF(Table1[[#This Row],[GameIsOver]]=0,0,IF(Table1[[#This Row],[ActualWinner]]=Table1[[#This Row],[AwayTeam]], 1, 0))</f>
        <v>0</v>
      </c>
      <c r="AI7">
        <f>IF(Table1[[#This Row],[GameIsOver]]=0,0,IF(Table1[[#This Row],[ActualWinner]]=Table1[[#This Row],[HomeTeam]], 1, 0))</f>
        <v>1</v>
      </c>
      <c r="AJ7">
        <f>IF(INDEX(Standings!$A$2:$C$33,MATCH(Table1[[#This Row],[AwayTeam]],Standings!$A$2:$A$33,0),2)=INDEX(Standings!$A$2:$C$33,MATCH(Table1[[#This Row],[HomeTeam]],Standings!$A$2:$A$33,0),2),1,0)</f>
        <v>1</v>
      </c>
      <c r="AK7">
        <f>IF(INDEX(Standings!$A$2:$C$33,MATCH(Table1[[#This Row],[AwayTeam]],Standings!$A$2:$A$33,0),3)=INDEX(Standings!$A$2:$C$33,MATCH(Table1[[#This Row],[HomeTeam]],Standings!$A$2:$A$33,0),3),1,0)</f>
        <v>1</v>
      </c>
      <c r="AL7">
        <f>IF(Table1[[#This Row],[InterConf]]=1,IF(Table1[[#This Row],[InterDiv]]=0, 1, 0), 0)</f>
        <v>0</v>
      </c>
      <c r="AM7">
        <f>IF(INDEX(Standings!$A$2:$C$33,MATCH(Table1[[#This Row],[AwayTeam]],Standings!$A$2:$A$33,0),2)&lt;&gt;INDEX(Standings!$A$2:$C$33,MATCH(Table1[[#This Row],[HomeTeam]],Standings!$A$2:$A$33,0),2),1,0)</f>
        <v>0</v>
      </c>
      <c r="AN7" t="str">
        <f>INDEX(Table2[AWAY_RECORD], MATCH(Table1[[#This Row],[AwayTeam]],Table2[Team], 0), 0)</f>
        <v>0-0-1</v>
      </c>
      <c r="AO7" t="str">
        <f>INDEX(Records!$B$2:$AG$33, MATCH(Table1[[#This Row],[AwayTeam]],Records!$A$2:$A$33, 0), MATCH(Table1[[#This Row],[HomeTeam]],Records!$A$2:$A$33, 0))</f>
        <v>0-0-1</v>
      </c>
      <c r="AP7" t="str">
        <f>INDEX(Table2[HOME_RECORD], MATCH(Table1[[#This Row],[HomeTeam]],Table2[Team], 0), 0)</f>
        <v>1-0-0</v>
      </c>
      <c r="AQ7" t="str">
        <f>INDEX(Records!$B$2:$AG$33, MATCH(Table1[[#This Row],[HomeTeam]],Records!$A$2:$A$33, 0), MATCH(Table1[[#This Row],[AwayTeam]],Records!$A$2:$A$33, 0))</f>
        <v>1-0-0</v>
      </c>
    </row>
    <row r="8" spans="1:43" x14ac:dyDescent="0.25">
      <c r="A8" s="1"/>
      <c r="C8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WED</v>
      </c>
      <c r="D8" t="s">
        <v>168</v>
      </c>
      <c r="E8" t="s">
        <v>169</v>
      </c>
      <c r="F8" t="s">
        <v>171</v>
      </c>
      <c r="G8" t="s">
        <v>50</v>
      </c>
      <c r="H8" t="s">
        <v>24</v>
      </c>
      <c r="I8">
        <v>2</v>
      </c>
      <c r="J8">
        <v>1</v>
      </c>
      <c r="K8" t="s">
        <v>18</v>
      </c>
      <c r="L8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NYI</v>
      </c>
      <c r="M8">
        <v>4</v>
      </c>
      <c r="N8">
        <v>3</v>
      </c>
      <c r="O8" t="s">
        <v>18</v>
      </c>
      <c r="P8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NYI</v>
      </c>
      <c r="R8" s="1"/>
      <c r="T8" t="str">
        <f>IF(Table1[[#This Row],[ActualWinner]]="", "", IF(Table1[[#This Row],[AwayTeam]]=Table1[[#This Row],[ActualWinner]],Table1[[#This Row],[HomeTeam]],Table1[[#This Row],[AwayTeam]]))</f>
        <v>TOR</v>
      </c>
      <c r="U8">
        <f>Table1[[#This Row],[ActualAwayScore]]-Table1[[#This Row],[PredictedAwayScore]]</f>
        <v>2</v>
      </c>
      <c r="V8">
        <f>Table1[[#This Row],[ActualHomeScore]]-Table1[[#This Row],[PredictedHomeScore]]</f>
        <v>2</v>
      </c>
      <c r="W8">
        <f>(0.8*IF(Table1[[#This Row],[CorrectWinnerPrediction]]=1, 1, 0))+(0.1*IF(Table1[[#This Row],[CorrectAwayScorePrediction]]=1, 1, 0))+(0.1*IF(Table1[[#This Row],[CorrectHomeScorePrediction]]=1, 1, 0))</f>
        <v>0.8</v>
      </c>
      <c r="X8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0.8</v>
      </c>
      <c r="Z8">
        <f>SUMIF(Table1[GameDate], Table1[[#This Row],[GameDate]], Table1[AwayGameGoalDiff])</f>
        <v>-3</v>
      </c>
      <c r="AA8">
        <f>SUMIF(Table1[GameDate], Table1[[#This Row],[GameDate]], Table1[HomeGameGoalDiff])</f>
        <v>-1</v>
      </c>
      <c r="AB8">
        <f>IF(ISBLANK(Table1[[#This Row],[ActualResult]]), 0, 1)</f>
        <v>1</v>
      </c>
      <c r="AC8">
        <f>IF(ISBLANK(Table1[[#This Row],[ActualResult]]), 0, IF(Table1[[#This Row],[ActualWinner]]=Table1[[#This Row],[PredictedWinner]], 1, 0))</f>
        <v>1</v>
      </c>
      <c r="AD8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">
        <f>IF(AND(Table1[[#This Row],[GameIsOver]]=1,Table1[[#This Row],[ActualAwayScore]]=0), 1,0)</f>
        <v>0</v>
      </c>
      <c r="AG8">
        <f>IF(AND(Table1[[#This Row],[GameIsOver]]=1,Table1[[#This Row],[ActualHomeScore]]=0), 1,0)</f>
        <v>0</v>
      </c>
      <c r="AH8">
        <f>IF(Table1[[#This Row],[GameIsOver]]=0,0,IF(Table1[[#This Row],[ActualWinner]]=Table1[[#This Row],[AwayTeam]], 1, 0))</f>
        <v>1</v>
      </c>
      <c r="AI8">
        <f>IF(Table1[[#This Row],[GameIsOver]]=0,0,IF(Table1[[#This Row],[ActualWinner]]=Table1[[#This Row],[HomeTeam]], 1, 0))</f>
        <v>0</v>
      </c>
      <c r="AJ8">
        <f>IF(INDEX(Standings!$A$2:$C$33,MATCH(Table1[[#This Row],[AwayTeam]],Standings!$A$2:$A$33,0),2)=INDEX(Standings!$A$2:$C$33,MATCH(Table1[[#This Row],[HomeTeam]],Standings!$A$2:$A$33,0),2),1,0)</f>
        <v>1</v>
      </c>
      <c r="AK8">
        <f>IF(INDEX(Standings!$A$2:$C$33,MATCH(Table1[[#This Row],[AwayTeam]],Standings!$A$2:$A$33,0),3)=INDEX(Standings!$A$2:$C$33,MATCH(Table1[[#This Row],[HomeTeam]],Standings!$A$2:$A$33,0),3),1,0)</f>
        <v>0</v>
      </c>
      <c r="AL8">
        <f>IF(Table1[[#This Row],[InterConf]]=1,IF(Table1[[#This Row],[InterDiv]]=0, 1, 0), 0)</f>
        <v>1</v>
      </c>
      <c r="AM8">
        <f>IF(INDEX(Standings!$A$2:$C$33,MATCH(Table1[[#This Row],[AwayTeam]],Standings!$A$2:$A$33,0),2)&lt;&gt;INDEX(Standings!$A$2:$C$33,MATCH(Table1[[#This Row],[HomeTeam]],Standings!$A$2:$A$33,0),2),1,0)</f>
        <v>0</v>
      </c>
      <c r="AN8" t="str">
        <f>INDEX(Table2[AWAY_RECORD], MATCH(Table1[[#This Row],[AwayTeam]],Table2[Team], 0), 0)</f>
        <v>1-0-0</v>
      </c>
      <c r="AO8" t="str">
        <f>INDEX(Records!$B$2:$AG$33, MATCH(Table1[[#This Row],[AwayTeam]],Records!$A$2:$A$33, 0), MATCH(Table1[[#This Row],[HomeTeam]],Records!$A$2:$A$33, 0))</f>
        <v>1-0-0</v>
      </c>
      <c r="AP8" t="str">
        <f>INDEX(Table2[HOME_RECORD], MATCH(Table1[[#This Row],[HomeTeam]],Table2[Team], 0), 0)</f>
        <v>0-2-0</v>
      </c>
      <c r="AQ8" t="str">
        <f>INDEX(Records!$B$2:$AG$33, MATCH(Table1[[#This Row],[HomeTeam]],Records!$A$2:$A$33, 0), MATCH(Table1[[#This Row],[AwayTeam]],Records!$A$2:$A$33, 0))</f>
        <v>0-1-0</v>
      </c>
    </row>
    <row r="9" spans="1:43" x14ac:dyDescent="0.25">
      <c r="A9" s="1"/>
      <c r="C9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WED</v>
      </c>
      <c r="D9" t="s">
        <v>168</v>
      </c>
      <c r="E9" t="s">
        <v>164</v>
      </c>
      <c r="F9" t="s">
        <v>172</v>
      </c>
      <c r="G9" t="s">
        <v>46</v>
      </c>
      <c r="H9" t="s">
        <v>41</v>
      </c>
      <c r="I9">
        <v>6</v>
      </c>
      <c r="J9">
        <v>5</v>
      </c>
      <c r="K9" t="s">
        <v>18</v>
      </c>
      <c r="L9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LAK</v>
      </c>
      <c r="M9">
        <v>2</v>
      </c>
      <c r="N9">
        <v>1</v>
      </c>
      <c r="O9" t="s">
        <v>26</v>
      </c>
      <c r="P9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LAK</v>
      </c>
      <c r="R9" s="1"/>
      <c r="T9" t="str">
        <f>IF(Table1[[#This Row],[ActualWinner]]="", "", IF(Table1[[#This Row],[AwayTeam]]=Table1[[#This Row],[ActualWinner]],Table1[[#This Row],[HomeTeam]],Table1[[#This Row],[AwayTeam]]))</f>
        <v>COL</v>
      </c>
      <c r="U9">
        <f>Table1[[#This Row],[ActualAwayScore]]-Table1[[#This Row],[PredictedAwayScore]]</f>
        <v>-4</v>
      </c>
      <c r="V9">
        <f>Table1[[#This Row],[ActualHomeScore]]-Table1[[#This Row],[PredictedHomeScore]]</f>
        <v>-4</v>
      </c>
      <c r="W9">
        <f>(0.8*IF(Table1[[#This Row],[CorrectWinnerPrediction]]=1, 1, 0))+(0.1*IF(Table1[[#This Row],[CorrectAwayScorePrediction]]=1, 1, 0))+(0.1*IF(Table1[[#This Row],[CorrectHomeScorePrediction]]=1, 1, 0))</f>
        <v>0.8</v>
      </c>
      <c r="X9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0.8</v>
      </c>
      <c r="Z9">
        <f>SUMIF(Table1[GameDate], Table1[[#This Row],[GameDate]], Table1[AwayGameGoalDiff])</f>
        <v>-3</v>
      </c>
      <c r="AA9">
        <f>SUMIF(Table1[GameDate], Table1[[#This Row],[GameDate]], Table1[HomeGameGoalDiff])</f>
        <v>-1</v>
      </c>
      <c r="AB9">
        <f>IF(ISBLANK(Table1[[#This Row],[ActualResult]]), 0, 1)</f>
        <v>1</v>
      </c>
      <c r="AC9">
        <f>IF(ISBLANK(Table1[[#This Row],[ActualResult]]), 0, IF(Table1[[#This Row],[ActualWinner]]=Table1[[#This Row],[PredictedWinner]], 1, 0))</f>
        <v>1</v>
      </c>
      <c r="AD9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">
        <f>IF(AND(Table1[[#This Row],[GameIsOver]]=1,Table1[[#This Row],[ActualAwayScore]]=0), 1,0)</f>
        <v>0</v>
      </c>
      <c r="AG9">
        <f>IF(AND(Table1[[#This Row],[GameIsOver]]=1,Table1[[#This Row],[ActualHomeScore]]=0), 1,0)</f>
        <v>0</v>
      </c>
      <c r="AH9">
        <f>IF(Table1[[#This Row],[GameIsOver]]=0,0,IF(Table1[[#This Row],[ActualWinner]]=Table1[[#This Row],[AwayTeam]], 1, 0))</f>
        <v>1</v>
      </c>
      <c r="AI9">
        <f>IF(Table1[[#This Row],[GameIsOver]]=0,0,IF(Table1[[#This Row],[ActualWinner]]=Table1[[#This Row],[HomeTeam]], 1, 0))</f>
        <v>0</v>
      </c>
      <c r="AJ9">
        <f>IF(INDEX(Standings!$A$2:$C$33,MATCH(Table1[[#This Row],[AwayTeam]],Standings!$A$2:$A$33,0),2)=INDEX(Standings!$A$2:$C$33,MATCH(Table1[[#This Row],[HomeTeam]],Standings!$A$2:$A$33,0),2),1,0)</f>
        <v>1</v>
      </c>
      <c r="AK9">
        <f>IF(INDEX(Standings!$A$2:$C$33,MATCH(Table1[[#This Row],[AwayTeam]],Standings!$A$2:$A$33,0),3)=INDEX(Standings!$A$2:$C$33,MATCH(Table1[[#This Row],[HomeTeam]],Standings!$A$2:$A$33,0),3),1,0)</f>
        <v>0</v>
      </c>
      <c r="AL9">
        <f>IF(Table1[[#This Row],[InterConf]]=1,IF(Table1[[#This Row],[InterDiv]]=0, 1, 0), 0)</f>
        <v>1</v>
      </c>
      <c r="AM9">
        <f>IF(INDEX(Standings!$A$2:$C$33,MATCH(Table1[[#This Row],[AwayTeam]],Standings!$A$2:$A$33,0),2)&lt;&gt;INDEX(Standings!$A$2:$C$33,MATCH(Table1[[#This Row],[HomeTeam]],Standings!$A$2:$A$33,0),2),1,0)</f>
        <v>0</v>
      </c>
      <c r="AN9" t="str">
        <f>INDEX(Table2[AWAY_RECORD], MATCH(Table1[[#This Row],[AwayTeam]],Table2[Team], 0), 0)</f>
        <v>1-0-0</v>
      </c>
      <c r="AO9" t="str">
        <f>INDEX(Records!$B$2:$AG$33, MATCH(Table1[[#This Row],[AwayTeam]],Records!$A$2:$A$33, 0), MATCH(Table1[[#This Row],[HomeTeam]],Records!$A$2:$A$33, 0))</f>
        <v>1-0-0</v>
      </c>
      <c r="AP9" t="str">
        <f>INDEX(Table2[HOME_RECORD], MATCH(Table1[[#This Row],[HomeTeam]],Table2[Team], 0), 0)</f>
        <v>0-0-1</v>
      </c>
      <c r="AQ9" t="str">
        <f>INDEX(Records!$B$2:$AG$33, MATCH(Table1[[#This Row],[HomeTeam]],Records!$A$2:$A$33, 0), MATCH(Table1[[#This Row],[AwayTeam]],Records!$A$2:$A$33, 0))</f>
        <v>0-0-1</v>
      </c>
    </row>
    <row r="10" spans="1:43" x14ac:dyDescent="0.25">
      <c r="A10" s="1"/>
      <c r="C10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THU</v>
      </c>
      <c r="D10" t="s">
        <v>173</v>
      </c>
      <c r="E10" t="s">
        <v>160</v>
      </c>
      <c r="F10" t="s">
        <v>174</v>
      </c>
      <c r="G10" t="s">
        <v>53</v>
      </c>
      <c r="H10" t="s">
        <v>49</v>
      </c>
      <c r="I10">
        <v>3</v>
      </c>
      <c r="J10">
        <v>6</v>
      </c>
      <c r="K10" t="s">
        <v>18</v>
      </c>
      <c r="L10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NJD</v>
      </c>
      <c r="M10">
        <v>3</v>
      </c>
      <c r="N10">
        <v>5</v>
      </c>
      <c r="O10" t="s">
        <v>18</v>
      </c>
      <c r="P10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NJD</v>
      </c>
      <c r="R10" s="1"/>
      <c r="T10" t="str">
        <f>IF(Table1[[#This Row],[ActualWinner]]="", "", IF(Table1[[#This Row],[AwayTeam]]=Table1[[#This Row],[ActualWinner]],Table1[[#This Row],[HomeTeam]],Table1[[#This Row],[AwayTeam]]))</f>
        <v>PHI</v>
      </c>
      <c r="U10">
        <f>Table1[[#This Row],[ActualAwayScore]]-Table1[[#This Row],[PredictedAwayScore]]</f>
        <v>0</v>
      </c>
      <c r="V10">
        <f>Table1[[#This Row],[ActualHomeScore]]-Table1[[#This Row],[PredictedHomeScore]]</f>
        <v>-1</v>
      </c>
      <c r="W10">
        <f>(0.8*IF(Table1[[#This Row],[CorrectWinnerPrediction]]=1, 1, 0))+(0.1*IF(Table1[[#This Row],[CorrectAwayScorePrediction]]=1, 1, 0))+(0.1*IF(Table1[[#This Row],[CorrectHomeScorePrediction]]=1, 1, 0))</f>
        <v>0.9</v>
      </c>
      <c r="X10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0.9</v>
      </c>
      <c r="Z10">
        <f>SUMIF(Table1[GameDate], Table1[[#This Row],[GameDate]], Table1[AwayGameGoalDiff])</f>
        <v>3</v>
      </c>
      <c r="AA10">
        <f>SUMIF(Table1[GameDate], Table1[[#This Row],[GameDate]], Table1[HomeGameGoalDiff])</f>
        <v>-4</v>
      </c>
      <c r="AB10">
        <f>IF(ISBLANK(Table1[[#This Row],[ActualResult]]), 0, 1)</f>
        <v>1</v>
      </c>
      <c r="AC10">
        <f>IF(ISBLANK(Table1[[#This Row],[ActualResult]]), 0, IF(Table1[[#This Row],[ActualWinner]]=Table1[[#This Row],[PredictedWinner]], 1, 0))</f>
        <v>1</v>
      </c>
      <c r="AD10">
        <f>IF(Table1[[#This Row],[ActualAwayScore]]&gt;Table1[[#This Row],[PredictedAwayScore]], 0, IF(ISBLANK(Table1[[#This Row],[ActualResult]]), 0, IF(Table1[[#This Row],[ActualAwayScore]]=Table1[[#This Row],[PredictedAwayScore]], 1,0)))</f>
        <v>1</v>
      </c>
      <c r="AE10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">
        <f>IF(AND(Table1[[#This Row],[GameIsOver]]=1,Table1[[#This Row],[ActualAwayScore]]=0), 1,0)</f>
        <v>0</v>
      </c>
      <c r="AG10">
        <f>IF(AND(Table1[[#This Row],[GameIsOver]]=1,Table1[[#This Row],[ActualHomeScore]]=0), 1,0)</f>
        <v>0</v>
      </c>
      <c r="AH10">
        <f>IF(Table1[[#This Row],[GameIsOver]]=0,0,IF(Table1[[#This Row],[ActualWinner]]=Table1[[#This Row],[AwayTeam]], 1, 0))</f>
        <v>0</v>
      </c>
      <c r="AI10">
        <f>IF(Table1[[#This Row],[GameIsOver]]=0,0,IF(Table1[[#This Row],[ActualWinner]]=Table1[[#This Row],[HomeTeam]], 1, 0))</f>
        <v>1</v>
      </c>
      <c r="AJ10">
        <f>IF(INDEX(Standings!$A$2:$C$33,MATCH(Table1[[#This Row],[AwayTeam]],Standings!$A$2:$A$33,0),2)=INDEX(Standings!$A$2:$C$33,MATCH(Table1[[#This Row],[HomeTeam]],Standings!$A$2:$A$33,0),2),1,0)</f>
        <v>1</v>
      </c>
      <c r="AK10">
        <f>IF(INDEX(Standings!$A$2:$C$33,MATCH(Table1[[#This Row],[AwayTeam]],Standings!$A$2:$A$33,0),3)=INDEX(Standings!$A$2:$C$33,MATCH(Table1[[#This Row],[HomeTeam]],Standings!$A$2:$A$33,0),3),1,0)</f>
        <v>1</v>
      </c>
      <c r="AL10">
        <f>IF(Table1[[#This Row],[InterConf]]=1,IF(Table1[[#This Row],[InterDiv]]=0, 1, 0), 0)</f>
        <v>0</v>
      </c>
      <c r="AM10">
        <f>IF(INDEX(Standings!$A$2:$C$33,MATCH(Table1[[#This Row],[AwayTeam]],Standings!$A$2:$A$33,0),2)&lt;&gt;INDEX(Standings!$A$2:$C$33,MATCH(Table1[[#This Row],[HomeTeam]],Standings!$A$2:$A$33,0),2),1,0)</f>
        <v>0</v>
      </c>
      <c r="AN10" t="str">
        <f>INDEX(Table2[AWAY_RECORD], MATCH(Table1[[#This Row],[AwayTeam]],Table2[Team], 0), 0)</f>
        <v>0-1-0</v>
      </c>
      <c r="AO10" t="str">
        <f>INDEX(Records!$B$2:$AG$33, MATCH(Table1[[#This Row],[AwayTeam]],Records!$A$2:$A$33, 0), MATCH(Table1[[#This Row],[HomeTeam]],Records!$A$2:$A$33, 0))</f>
        <v>0-1-0</v>
      </c>
      <c r="AP10" t="str">
        <f>INDEX(Table2[HOME_RECORD], MATCH(Table1[[#This Row],[HomeTeam]],Table2[Team], 0), 0)</f>
        <v>1-0-0</v>
      </c>
      <c r="AQ10" t="str">
        <f>INDEX(Records!$B$2:$AG$33, MATCH(Table1[[#This Row],[HomeTeam]],Records!$A$2:$A$33, 0), MATCH(Table1[[#This Row],[AwayTeam]],Records!$A$2:$A$33, 0))</f>
        <v>1-0-0</v>
      </c>
    </row>
    <row r="11" spans="1:43" x14ac:dyDescent="0.25">
      <c r="A11" s="1"/>
      <c r="C11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THU</v>
      </c>
      <c r="D11" t="s">
        <v>173</v>
      </c>
      <c r="E11" t="s">
        <v>160</v>
      </c>
      <c r="F11" t="s">
        <v>175</v>
      </c>
      <c r="G11" t="s">
        <v>57</v>
      </c>
      <c r="H11" t="s">
        <v>51</v>
      </c>
      <c r="I11">
        <v>3</v>
      </c>
      <c r="J11">
        <v>4</v>
      </c>
      <c r="K11" t="s">
        <v>26</v>
      </c>
      <c r="L11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NYR</v>
      </c>
      <c r="M11">
        <v>3</v>
      </c>
      <c r="N11">
        <v>4</v>
      </c>
      <c r="O11" t="s">
        <v>18</v>
      </c>
      <c r="P11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NYR</v>
      </c>
      <c r="R11" s="1"/>
      <c r="T11" t="str">
        <f>IF(Table1[[#This Row],[ActualWinner]]="", "", IF(Table1[[#This Row],[AwayTeam]]=Table1[[#This Row],[ActualWinner]],Table1[[#This Row],[HomeTeam]],Table1[[#This Row],[AwayTeam]]))</f>
        <v>TBL</v>
      </c>
      <c r="U11">
        <f>Table1[[#This Row],[ActualAwayScore]]-Table1[[#This Row],[PredictedAwayScore]]</f>
        <v>0</v>
      </c>
      <c r="V11">
        <f>Table1[[#This Row],[ActualHomeScore]]-Table1[[#This Row],[PredictedHomeScore]]</f>
        <v>0</v>
      </c>
      <c r="W11">
        <f>(0.8*IF(Table1[[#This Row],[CorrectWinnerPrediction]]=1, 1, 0))+(0.1*IF(Table1[[#This Row],[CorrectAwayScorePrediction]]=1, 1, 0))+(0.1*IF(Table1[[#This Row],[CorrectHomeScorePrediction]]=1, 1, 0))</f>
        <v>1</v>
      </c>
      <c r="X11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1</v>
      </c>
      <c r="Z11">
        <f>SUMIF(Table1[GameDate], Table1[[#This Row],[GameDate]], Table1[AwayGameGoalDiff])</f>
        <v>3</v>
      </c>
      <c r="AA11">
        <f>SUMIF(Table1[GameDate], Table1[[#This Row],[GameDate]], Table1[HomeGameGoalDiff])</f>
        <v>-4</v>
      </c>
      <c r="AB11">
        <f>IF(ISBLANK(Table1[[#This Row],[ActualResult]]), 0, 1)</f>
        <v>1</v>
      </c>
      <c r="AC11">
        <f>IF(ISBLANK(Table1[[#This Row],[ActualResult]]), 0, IF(Table1[[#This Row],[ActualWinner]]=Table1[[#This Row],[PredictedWinner]], 1, 0))</f>
        <v>1</v>
      </c>
      <c r="AD11">
        <f>IF(Table1[[#This Row],[ActualAwayScore]]&gt;Table1[[#This Row],[PredictedAwayScore]], 0, IF(ISBLANK(Table1[[#This Row],[ActualResult]]), 0, IF(Table1[[#This Row],[ActualAwayScore]]=Table1[[#This Row],[PredictedAwayScore]], 1,0)))</f>
        <v>1</v>
      </c>
      <c r="AE11">
        <f>IF(Table1[[#This Row],[ActualHomeScore]]&gt;Table1[[#This Row],[PredictedHomeScore]], 0, IF(ISBLANK(Table1[[#This Row],[ActualResult]]), 0, IF(Table1[[#This Row],[ActualHomeScore]]=Table1[[#This Row],[PredictedHomeScore]], 1, 0)))</f>
        <v>1</v>
      </c>
      <c r="AF11">
        <f>IF(AND(Table1[[#This Row],[GameIsOver]]=1,Table1[[#This Row],[ActualAwayScore]]=0), 1,0)</f>
        <v>0</v>
      </c>
      <c r="AG11">
        <f>IF(AND(Table1[[#This Row],[GameIsOver]]=1,Table1[[#This Row],[ActualHomeScore]]=0), 1,0)</f>
        <v>0</v>
      </c>
      <c r="AH11">
        <f>IF(Table1[[#This Row],[GameIsOver]]=0,0,IF(Table1[[#This Row],[ActualWinner]]=Table1[[#This Row],[AwayTeam]], 1, 0))</f>
        <v>0</v>
      </c>
      <c r="AI11">
        <f>IF(Table1[[#This Row],[GameIsOver]]=0,0,IF(Table1[[#This Row],[ActualWinner]]=Table1[[#This Row],[HomeTeam]], 1, 0))</f>
        <v>1</v>
      </c>
      <c r="AJ11">
        <f>IF(INDEX(Standings!$A$2:$C$33,MATCH(Table1[[#This Row],[AwayTeam]],Standings!$A$2:$A$33,0),2)=INDEX(Standings!$A$2:$C$33,MATCH(Table1[[#This Row],[HomeTeam]],Standings!$A$2:$A$33,0),2),1,0)</f>
        <v>1</v>
      </c>
      <c r="AK11">
        <f>IF(INDEX(Standings!$A$2:$C$33,MATCH(Table1[[#This Row],[AwayTeam]],Standings!$A$2:$A$33,0),3)=INDEX(Standings!$A$2:$C$33,MATCH(Table1[[#This Row],[HomeTeam]],Standings!$A$2:$A$33,0),3),1,0)</f>
        <v>0</v>
      </c>
      <c r="AL11">
        <f>IF(Table1[[#This Row],[InterConf]]=1,IF(Table1[[#This Row],[InterDiv]]=0, 1, 0), 0)</f>
        <v>1</v>
      </c>
      <c r="AM11">
        <f>IF(INDEX(Standings!$A$2:$C$33,MATCH(Table1[[#This Row],[AwayTeam]],Standings!$A$2:$A$33,0),2)&lt;&gt;INDEX(Standings!$A$2:$C$33,MATCH(Table1[[#This Row],[HomeTeam]],Standings!$A$2:$A$33,0),2),1,0)</f>
        <v>0</v>
      </c>
      <c r="AN11" t="str">
        <f>INDEX(Table2[AWAY_RECORD], MATCH(Table1[[#This Row],[AwayTeam]],Table2[Team], 0), 0)</f>
        <v>0-1-0</v>
      </c>
      <c r="AO11" t="str">
        <f>INDEX(Records!$B$2:$AG$33, MATCH(Table1[[#This Row],[AwayTeam]],Records!$A$2:$A$33, 0), MATCH(Table1[[#This Row],[HomeTeam]],Records!$A$2:$A$33, 0))</f>
        <v>0-1-0</v>
      </c>
      <c r="AP11" t="str">
        <f>INDEX(Table2[HOME_RECORD], MATCH(Table1[[#This Row],[HomeTeam]],Table2[Team], 0), 0)</f>
        <v>1-0-0</v>
      </c>
      <c r="AQ11" t="str">
        <f>INDEX(Records!$B$2:$AG$33, MATCH(Table1[[#This Row],[HomeTeam]],Records!$A$2:$A$33, 0), MATCH(Table1[[#This Row],[AwayTeam]],Records!$A$2:$A$33, 0))</f>
        <v>1-0-0</v>
      </c>
    </row>
    <row r="12" spans="1:43" x14ac:dyDescent="0.25">
      <c r="A12" s="1"/>
      <c r="C12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THU</v>
      </c>
      <c r="D12" t="s">
        <v>173</v>
      </c>
      <c r="E12" t="s">
        <v>160</v>
      </c>
      <c r="F12" t="s">
        <v>176</v>
      </c>
      <c r="G12" t="s">
        <v>38</v>
      </c>
      <c r="H12" t="s">
        <v>42</v>
      </c>
      <c r="I12">
        <v>4</v>
      </c>
      <c r="J12">
        <v>5</v>
      </c>
      <c r="K12" t="s">
        <v>18</v>
      </c>
      <c r="L12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CBJ</v>
      </c>
      <c r="M12">
        <v>2</v>
      </c>
      <c r="N12">
        <v>3</v>
      </c>
      <c r="O12" t="s">
        <v>27</v>
      </c>
      <c r="P12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CBJ</v>
      </c>
      <c r="R12" s="1"/>
      <c r="T12" t="str">
        <f>IF(Table1[[#This Row],[ActualWinner]]="", "", IF(Table1[[#This Row],[AwayTeam]]=Table1[[#This Row],[ActualWinner]],Table1[[#This Row],[HomeTeam]],Table1[[#This Row],[AwayTeam]]))</f>
        <v>BUF</v>
      </c>
      <c r="U12">
        <f>Table1[[#This Row],[ActualAwayScore]]-Table1[[#This Row],[PredictedAwayScore]]</f>
        <v>-2</v>
      </c>
      <c r="V12">
        <f>Table1[[#This Row],[ActualHomeScore]]-Table1[[#This Row],[PredictedHomeScore]]</f>
        <v>-2</v>
      </c>
      <c r="W12">
        <f>(0.8*IF(Table1[[#This Row],[CorrectWinnerPrediction]]=1, 1, 0))+(0.1*IF(Table1[[#This Row],[CorrectAwayScorePrediction]]=1, 1, 0))+(0.1*IF(Table1[[#This Row],[CorrectHomeScorePrediction]]=1, 1, 0))</f>
        <v>0.8</v>
      </c>
      <c r="X12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0.8</v>
      </c>
      <c r="Z12">
        <f>SUMIF(Table1[GameDate], Table1[[#This Row],[GameDate]], Table1[AwayGameGoalDiff])</f>
        <v>3</v>
      </c>
      <c r="AA12">
        <f>SUMIF(Table1[GameDate], Table1[[#This Row],[GameDate]], Table1[HomeGameGoalDiff])</f>
        <v>-4</v>
      </c>
      <c r="AB12">
        <f>IF(ISBLANK(Table1[[#This Row],[ActualResult]]), 0, 1)</f>
        <v>1</v>
      </c>
      <c r="AC12">
        <f>IF(ISBLANK(Table1[[#This Row],[ActualResult]]), 0, IF(Table1[[#This Row],[ActualWinner]]=Table1[[#This Row],[PredictedWinner]], 1, 0))</f>
        <v>1</v>
      </c>
      <c r="AD12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">
        <f>IF(AND(Table1[[#This Row],[GameIsOver]]=1,Table1[[#This Row],[ActualAwayScore]]=0), 1,0)</f>
        <v>0</v>
      </c>
      <c r="AG12">
        <f>IF(AND(Table1[[#This Row],[GameIsOver]]=1,Table1[[#This Row],[ActualHomeScore]]=0), 1,0)</f>
        <v>0</v>
      </c>
      <c r="AH12">
        <f>IF(Table1[[#This Row],[GameIsOver]]=0,0,IF(Table1[[#This Row],[ActualWinner]]=Table1[[#This Row],[AwayTeam]], 1, 0))</f>
        <v>0</v>
      </c>
      <c r="AI12">
        <f>IF(Table1[[#This Row],[GameIsOver]]=0,0,IF(Table1[[#This Row],[ActualWinner]]=Table1[[#This Row],[HomeTeam]], 1, 0))</f>
        <v>1</v>
      </c>
      <c r="AJ12">
        <f>IF(INDEX(Standings!$A$2:$C$33,MATCH(Table1[[#This Row],[AwayTeam]],Standings!$A$2:$A$33,0),2)=INDEX(Standings!$A$2:$C$33,MATCH(Table1[[#This Row],[HomeTeam]],Standings!$A$2:$A$33,0),2),1,0)</f>
        <v>1</v>
      </c>
      <c r="AK12">
        <f>IF(INDEX(Standings!$A$2:$C$33,MATCH(Table1[[#This Row],[AwayTeam]],Standings!$A$2:$A$33,0),3)=INDEX(Standings!$A$2:$C$33,MATCH(Table1[[#This Row],[HomeTeam]],Standings!$A$2:$A$33,0),3),1,0)</f>
        <v>0</v>
      </c>
      <c r="AL12">
        <f>IF(Table1[[#This Row],[InterConf]]=1,IF(Table1[[#This Row],[InterDiv]]=0, 1, 0), 0)</f>
        <v>1</v>
      </c>
      <c r="AM12">
        <f>IF(INDEX(Standings!$A$2:$C$33,MATCH(Table1[[#This Row],[AwayTeam]],Standings!$A$2:$A$33,0),2)&lt;&gt;INDEX(Standings!$A$2:$C$33,MATCH(Table1[[#This Row],[HomeTeam]],Standings!$A$2:$A$33,0),2),1,0)</f>
        <v>0</v>
      </c>
      <c r="AN12" t="str">
        <f>INDEX(Table2[AWAY_RECORD], MATCH(Table1[[#This Row],[AwayTeam]],Table2[Team], 0), 0)</f>
        <v>0-0-1</v>
      </c>
      <c r="AO12" t="str">
        <f>INDEX(Records!$B$2:$AG$33, MATCH(Table1[[#This Row],[AwayTeam]],Records!$A$2:$A$33, 0), MATCH(Table1[[#This Row],[HomeTeam]],Records!$A$2:$A$33, 0))</f>
        <v>0-0-1</v>
      </c>
      <c r="AP12" t="str">
        <f>INDEX(Table2[HOME_RECORD], MATCH(Table1[[#This Row],[HomeTeam]],Table2[Team], 0), 0)</f>
        <v>1-0-0</v>
      </c>
      <c r="AQ12" t="str">
        <f>INDEX(Records!$B$2:$AG$33, MATCH(Table1[[#This Row],[HomeTeam]],Records!$A$2:$A$33, 0), MATCH(Table1[[#This Row],[AwayTeam]],Records!$A$2:$A$33, 0))</f>
        <v>1-0-0</v>
      </c>
    </row>
    <row r="13" spans="1:43" x14ac:dyDescent="0.25">
      <c r="A13" s="1"/>
      <c r="C13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THU</v>
      </c>
      <c r="D13" t="s">
        <v>173</v>
      </c>
      <c r="E13" t="s">
        <v>162</v>
      </c>
      <c r="F13" t="s">
        <v>177</v>
      </c>
      <c r="G13" t="s">
        <v>22</v>
      </c>
      <c r="H13" t="s">
        <v>48</v>
      </c>
      <c r="I13">
        <v>1</v>
      </c>
      <c r="J13">
        <v>3</v>
      </c>
      <c r="K13" t="s">
        <v>18</v>
      </c>
      <c r="L13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NSH</v>
      </c>
      <c r="M13">
        <v>2</v>
      </c>
      <c r="N13">
        <v>3</v>
      </c>
      <c r="O13" t="s">
        <v>27</v>
      </c>
      <c r="P13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NSH</v>
      </c>
      <c r="R13" s="1"/>
      <c r="T13" t="str">
        <f>IF(Table1[[#This Row],[ActualWinner]]="", "", IF(Table1[[#This Row],[AwayTeam]]=Table1[[#This Row],[ActualWinner]],Table1[[#This Row],[HomeTeam]],Table1[[#This Row],[AwayTeam]]))</f>
        <v>MIN</v>
      </c>
      <c r="U13">
        <f>Table1[[#This Row],[ActualAwayScore]]-Table1[[#This Row],[PredictedAwayScore]]</f>
        <v>1</v>
      </c>
      <c r="V13">
        <f>Table1[[#This Row],[ActualHomeScore]]-Table1[[#This Row],[PredictedHomeScore]]</f>
        <v>0</v>
      </c>
      <c r="W13">
        <f>(0.8*IF(Table1[[#This Row],[CorrectWinnerPrediction]]=1, 1, 0))+(0.1*IF(Table1[[#This Row],[CorrectAwayScorePrediction]]=1, 1, 0))+(0.1*IF(Table1[[#This Row],[CorrectHomeScorePrediction]]=1, 1, 0))</f>
        <v>0.9</v>
      </c>
      <c r="X13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0.9</v>
      </c>
      <c r="Z13">
        <f>SUMIF(Table1[GameDate], Table1[[#This Row],[GameDate]], Table1[AwayGameGoalDiff])</f>
        <v>3</v>
      </c>
      <c r="AA13">
        <f>SUMIF(Table1[GameDate], Table1[[#This Row],[GameDate]], Table1[HomeGameGoalDiff])</f>
        <v>-4</v>
      </c>
      <c r="AB13">
        <f>IF(ISBLANK(Table1[[#This Row],[ActualResult]]), 0, 1)</f>
        <v>1</v>
      </c>
      <c r="AC13">
        <f>IF(ISBLANK(Table1[[#This Row],[ActualResult]]), 0, IF(Table1[[#This Row],[ActualWinner]]=Table1[[#This Row],[PredictedWinner]], 1, 0))</f>
        <v>1</v>
      </c>
      <c r="AD13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">
        <f>IF(Table1[[#This Row],[ActualHomeScore]]&gt;Table1[[#This Row],[PredictedHomeScore]], 0, IF(ISBLANK(Table1[[#This Row],[ActualResult]]), 0, IF(Table1[[#This Row],[ActualHomeScore]]=Table1[[#This Row],[PredictedHomeScore]], 1, 0)))</f>
        <v>1</v>
      </c>
      <c r="AF13">
        <f>IF(AND(Table1[[#This Row],[GameIsOver]]=1,Table1[[#This Row],[ActualAwayScore]]=0), 1,0)</f>
        <v>0</v>
      </c>
      <c r="AG13">
        <f>IF(AND(Table1[[#This Row],[GameIsOver]]=1,Table1[[#This Row],[ActualHomeScore]]=0), 1,0)</f>
        <v>0</v>
      </c>
      <c r="AH13">
        <f>IF(Table1[[#This Row],[GameIsOver]]=0,0,IF(Table1[[#This Row],[ActualWinner]]=Table1[[#This Row],[AwayTeam]], 1, 0))</f>
        <v>0</v>
      </c>
      <c r="AI13">
        <f>IF(Table1[[#This Row],[GameIsOver]]=0,0,IF(Table1[[#This Row],[ActualWinner]]=Table1[[#This Row],[HomeTeam]], 1, 0))</f>
        <v>1</v>
      </c>
      <c r="AJ13">
        <f>IF(INDEX(Standings!$A$2:$C$33,MATCH(Table1[[#This Row],[AwayTeam]],Standings!$A$2:$A$33,0),2)=INDEX(Standings!$A$2:$C$33,MATCH(Table1[[#This Row],[HomeTeam]],Standings!$A$2:$A$33,0),2),1,0)</f>
        <v>1</v>
      </c>
      <c r="AK13">
        <f>IF(INDEX(Standings!$A$2:$C$33,MATCH(Table1[[#This Row],[AwayTeam]],Standings!$A$2:$A$33,0),3)=INDEX(Standings!$A$2:$C$33,MATCH(Table1[[#This Row],[HomeTeam]],Standings!$A$2:$A$33,0),3),1,0)</f>
        <v>1</v>
      </c>
      <c r="AL13">
        <f>IF(Table1[[#This Row],[InterConf]]=1,IF(Table1[[#This Row],[InterDiv]]=0, 1, 0), 0)</f>
        <v>0</v>
      </c>
      <c r="AM13">
        <f>IF(INDEX(Standings!$A$2:$C$33,MATCH(Table1[[#This Row],[AwayTeam]],Standings!$A$2:$A$33,0),2)&lt;&gt;INDEX(Standings!$A$2:$C$33,MATCH(Table1[[#This Row],[HomeTeam]],Standings!$A$2:$A$33,0),2),1,0)</f>
        <v>0</v>
      </c>
      <c r="AN13" t="str">
        <f>INDEX(Table2[AWAY_RECORD], MATCH(Table1[[#This Row],[AwayTeam]],Table2[Team], 0), 0)</f>
        <v>0-0-1</v>
      </c>
      <c r="AO13" t="str">
        <f>INDEX(Records!$B$2:$AG$33, MATCH(Table1[[#This Row],[AwayTeam]],Records!$A$2:$A$33, 0), MATCH(Table1[[#This Row],[HomeTeam]],Records!$A$2:$A$33, 0))</f>
        <v>0-0-1</v>
      </c>
      <c r="AP13" t="str">
        <f>INDEX(Table2[HOME_RECORD], MATCH(Table1[[#This Row],[HomeTeam]],Table2[Team], 0), 0)</f>
        <v>1-0-0</v>
      </c>
      <c r="AQ13" t="str">
        <f>INDEX(Records!$B$2:$AG$33, MATCH(Table1[[#This Row],[HomeTeam]],Records!$A$2:$A$33, 0), MATCH(Table1[[#This Row],[AwayTeam]],Records!$A$2:$A$33, 0))</f>
        <v>1-0-0</v>
      </c>
    </row>
    <row r="14" spans="1:43" x14ac:dyDescent="0.25">
      <c r="A14" s="1"/>
      <c r="C14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THU</v>
      </c>
      <c r="D14" t="s">
        <v>173</v>
      </c>
      <c r="E14" t="s">
        <v>178</v>
      </c>
      <c r="F14" t="s">
        <v>179</v>
      </c>
      <c r="G14" t="s">
        <v>16</v>
      </c>
      <c r="H14" t="s">
        <v>58</v>
      </c>
      <c r="I14">
        <v>1</v>
      </c>
      <c r="J14">
        <v>2</v>
      </c>
      <c r="K14" t="s">
        <v>18</v>
      </c>
      <c r="L1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UTA</v>
      </c>
      <c r="M14">
        <v>2</v>
      </c>
      <c r="N14">
        <v>3</v>
      </c>
      <c r="O14" t="s">
        <v>27</v>
      </c>
      <c r="P1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UTA</v>
      </c>
      <c r="R14" s="1"/>
      <c r="T14" t="str">
        <f>IF(Table1[[#This Row],[ActualWinner]]="", "", IF(Table1[[#This Row],[AwayTeam]]=Table1[[#This Row],[ActualWinner]],Table1[[#This Row],[HomeTeam]],Table1[[#This Row],[AwayTeam]]))</f>
        <v>CHI</v>
      </c>
      <c r="U14">
        <f>Table1[[#This Row],[ActualAwayScore]]-Table1[[#This Row],[PredictedAwayScore]]</f>
        <v>1</v>
      </c>
      <c r="V14">
        <f>Table1[[#This Row],[ActualHomeScore]]-Table1[[#This Row],[PredictedHomeScore]]</f>
        <v>1</v>
      </c>
      <c r="W14">
        <f>(0.8*IF(Table1[[#This Row],[CorrectWinnerPrediction]]=1, 1, 0))+(0.1*IF(Table1[[#This Row],[CorrectAwayScorePrediction]]=1, 1, 0))+(0.1*IF(Table1[[#This Row],[CorrectHomeScorePrediction]]=1, 1, 0))</f>
        <v>0.8</v>
      </c>
      <c r="X1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0.8</v>
      </c>
      <c r="Z14">
        <f>SUMIF(Table1[GameDate], Table1[[#This Row],[GameDate]], Table1[AwayGameGoalDiff])</f>
        <v>3</v>
      </c>
      <c r="AA14">
        <f>SUMIF(Table1[GameDate], Table1[[#This Row],[GameDate]], Table1[HomeGameGoalDiff])</f>
        <v>-4</v>
      </c>
      <c r="AB14">
        <f>IF(ISBLANK(Table1[[#This Row],[ActualResult]]), 0, 1)</f>
        <v>1</v>
      </c>
      <c r="AC14">
        <f>IF(ISBLANK(Table1[[#This Row],[ActualResult]]), 0, IF(Table1[[#This Row],[ActualWinner]]=Table1[[#This Row],[PredictedWinner]], 1, 0))</f>
        <v>1</v>
      </c>
      <c r="AD1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4">
        <f>IF(AND(Table1[[#This Row],[GameIsOver]]=1,Table1[[#This Row],[ActualAwayScore]]=0), 1,0)</f>
        <v>0</v>
      </c>
      <c r="AG14">
        <f>IF(AND(Table1[[#This Row],[GameIsOver]]=1,Table1[[#This Row],[ActualHomeScore]]=0), 1,0)</f>
        <v>0</v>
      </c>
      <c r="AH14">
        <f>IF(Table1[[#This Row],[GameIsOver]]=0,0,IF(Table1[[#This Row],[ActualWinner]]=Table1[[#This Row],[AwayTeam]], 1, 0))</f>
        <v>0</v>
      </c>
      <c r="AI14">
        <f>IF(Table1[[#This Row],[GameIsOver]]=0,0,IF(Table1[[#This Row],[ActualWinner]]=Table1[[#This Row],[HomeTeam]], 1, 0))</f>
        <v>1</v>
      </c>
      <c r="AJ14">
        <f>IF(INDEX(Standings!$A$2:$C$33,MATCH(Table1[[#This Row],[AwayTeam]],Standings!$A$2:$A$33,0),2)=INDEX(Standings!$A$2:$C$33,MATCH(Table1[[#This Row],[HomeTeam]],Standings!$A$2:$A$33,0),2),1,0)</f>
        <v>1</v>
      </c>
      <c r="AK14">
        <f>IF(INDEX(Standings!$A$2:$C$33,MATCH(Table1[[#This Row],[AwayTeam]],Standings!$A$2:$A$33,0),3)=INDEX(Standings!$A$2:$C$33,MATCH(Table1[[#This Row],[HomeTeam]],Standings!$A$2:$A$33,0),3),1,0)</f>
        <v>1</v>
      </c>
      <c r="AL14">
        <f>IF(Table1[[#This Row],[InterConf]]=1,IF(Table1[[#This Row],[InterDiv]]=0, 1, 0), 0)</f>
        <v>0</v>
      </c>
      <c r="AM14">
        <f>IF(INDEX(Standings!$A$2:$C$33,MATCH(Table1[[#This Row],[AwayTeam]],Standings!$A$2:$A$33,0),2)&lt;&gt;INDEX(Standings!$A$2:$C$33,MATCH(Table1[[#This Row],[HomeTeam]],Standings!$A$2:$A$33,0),2),1,0)</f>
        <v>0</v>
      </c>
      <c r="AN14" t="str">
        <f>INDEX(Table2[AWAY_RECORD], MATCH(Table1[[#This Row],[AwayTeam]],Table2[Team], 0), 0)</f>
        <v>1-0-1</v>
      </c>
      <c r="AO14" t="str">
        <f>INDEX(Records!$B$2:$AG$33, MATCH(Table1[[#This Row],[AwayTeam]],Records!$A$2:$A$33, 0), MATCH(Table1[[#This Row],[HomeTeam]],Records!$A$2:$A$33, 0))</f>
        <v>0-0-1</v>
      </c>
      <c r="AP14" t="str">
        <f>INDEX(Table2[HOME_RECORD], MATCH(Table1[[#This Row],[HomeTeam]],Table2[Team], 0), 0)</f>
        <v>1-0-0</v>
      </c>
      <c r="AQ14" t="str">
        <f>INDEX(Records!$B$2:$AG$33, MATCH(Table1[[#This Row],[HomeTeam]],Records!$A$2:$A$33, 0), MATCH(Table1[[#This Row],[AwayTeam]],Records!$A$2:$A$33, 0))</f>
        <v>1-0-0</v>
      </c>
    </row>
    <row r="15" spans="1:43" x14ac:dyDescent="0.25">
      <c r="A15" s="1"/>
      <c r="C15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THU</v>
      </c>
      <c r="D15" t="s">
        <v>173</v>
      </c>
      <c r="E15" t="s">
        <v>178</v>
      </c>
      <c r="F15" t="s">
        <v>180</v>
      </c>
      <c r="G15" t="s">
        <v>56</v>
      </c>
      <c r="H15" t="s">
        <v>39</v>
      </c>
      <c r="I15">
        <v>3</v>
      </c>
      <c r="J15">
        <v>4</v>
      </c>
      <c r="K15" t="s">
        <v>18</v>
      </c>
      <c r="L15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CGY</v>
      </c>
      <c r="M15">
        <v>4</v>
      </c>
      <c r="N15">
        <v>3</v>
      </c>
      <c r="O15" t="s">
        <v>18</v>
      </c>
      <c r="P15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SEA</v>
      </c>
      <c r="R15" s="1"/>
      <c r="T15" t="str">
        <f>IF(Table1[[#This Row],[ActualWinner]]="", "", IF(Table1[[#This Row],[AwayTeam]]=Table1[[#This Row],[ActualWinner]],Table1[[#This Row],[HomeTeam]],Table1[[#This Row],[AwayTeam]]))</f>
        <v>CGY</v>
      </c>
      <c r="U15">
        <f>Table1[[#This Row],[ActualAwayScore]]-Table1[[#This Row],[PredictedAwayScore]]</f>
        <v>1</v>
      </c>
      <c r="V15">
        <f>Table1[[#This Row],[ActualHomeScore]]-Table1[[#This Row],[PredictedHomeScore]]</f>
        <v>-1</v>
      </c>
      <c r="W15">
        <f>(0.8*IF(Table1[[#This Row],[CorrectWinnerPrediction]]=1, 1, 0))+(0.1*IF(Table1[[#This Row],[CorrectAwayScorePrediction]]=1, 1, 0))+(0.1*IF(Table1[[#This Row],[CorrectHomeScorePrediction]]=1, 1, 0))</f>
        <v>0</v>
      </c>
      <c r="X15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5">
        <f>SUMIF(Table1[GameDate], Table1[[#This Row],[GameDate]], Table1[AwayGameGoalDiff])</f>
        <v>3</v>
      </c>
      <c r="AA15">
        <f>SUMIF(Table1[GameDate], Table1[[#This Row],[GameDate]], Table1[HomeGameGoalDiff])</f>
        <v>-4</v>
      </c>
      <c r="AB15">
        <f>IF(ISBLANK(Table1[[#This Row],[ActualResult]]), 0, 1)</f>
        <v>1</v>
      </c>
      <c r="AC15">
        <f>IF(ISBLANK(Table1[[#This Row],[ActualResult]]), 0, IF(Table1[[#This Row],[ActualWinner]]=Table1[[#This Row],[PredictedWinner]], 1, 0))</f>
        <v>0</v>
      </c>
      <c r="AD15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5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5">
        <f>IF(AND(Table1[[#This Row],[GameIsOver]]=1,Table1[[#This Row],[ActualAwayScore]]=0), 1,0)</f>
        <v>0</v>
      </c>
      <c r="AG15">
        <f>IF(AND(Table1[[#This Row],[GameIsOver]]=1,Table1[[#This Row],[ActualHomeScore]]=0), 1,0)</f>
        <v>0</v>
      </c>
      <c r="AH15">
        <f>IF(Table1[[#This Row],[GameIsOver]]=0,0,IF(Table1[[#This Row],[ActualWinner]]=Table1[[#This Row],[AwayTeam]], 1, 0))</f>
        <v>1</v>
      </c>
      <c r="AI15">
        <f>IF(Table1[[#This Row],[GameIsOver]]=0,0,IF(Table1[[#This Row],[ActualWinner]]=Table1[[#This Row],[HomeTeam]], 1, 0))</f>
        <v>0</v>
      </c>
      <c r="AJ15">
        <f>IF(INDEX(Standings!$A$2:$C$33,MATCH(Table1[[#This Row],[AwayTeam]],Standings!$A$2:$A$33,0),2)=INDEX(Standings!$A$2:$C$33,MATCH(Table1[[#This Row],[HomeTeam]],Standings!$A$2:$A$33,0),2),1,0)</f>
        <v>1</v>
      </c>
      <c r="AK15">
        <f>IF(INDEX(Standings!$A$2:$C$33,MATCH(Table1[[#This Row],[AwayTeam]],Standings!$A$2:$A$33,0),3)=INDEX(Standings!$A$2:$C$33,MATCH(Table1[[#This Row],[HomeTeam]],Standings!$A$2:$A$33,0),3),1,0)</f>
        <v>1</v>
      </c>
      <c r="AL15">
        <f>IF(Table1[[#This Row],[InterConf]]=1,IF(Table1[[#This Row],[InterDiv]]=0, 1, 0), 0)</f>
        <v>0</v>
      </c>
      <c r="AM15">
        <f>IF(INDEX(Standings!$A$2:$C$33,MATCH(Table1[[#This Row],[AwayTeam]],Standings!$A$2:$A$33,0),2)&lt;&gt;INDEX(Standings!$A$2:$C$33,MATCH(Table1[[#This Row],[HomeTeam]],Standings!$A$2:$A$33,0),2),1,0)</f>
        <v>0</v>
      </c>
      <c r="AN15" t="str">
        <f>INDEX(Table2[AWAY_RECORD], MATCH(Table1[[#This Row],[AwayTeam]],Table2[Team], 0), 0)</f>
        <v>1-0-0</v>
      </c>
      <c r="AO15" t="str">
        <f>INDEX(Records!$B$2:$AG$33, MATCH(Table1[[#This Row],[AwayTeam]],Records!$A$2:$A$33, 0), MATCH(Table1[[#This Row],[HomeTeam]],Records!$A$2:$A$33, 0))</f>
        <v>1-0-0</v>
      </c>
      <c r="AP15" t="str">
        <f>INDEX(Table2[HOME_RECORD], MATCH(Table1[[#This Row],[HomeTeam]],Table2[Team], 0), 0)</f>
        <v>0-1-0</v>
      </c>
      <c r="AQ15" t="str">
        <f>INDEX(Records!$B$2:$AG$33, MATCH(Table1[[#This Row],[HomeTeam]],Records!$A$2:$A$33, 0), MATCH(Table1[[#This Row],[AwayTeam]],Records!$A$2:$A$33, 0))</f>
        <v>0-1-0</v>
      </c>
    </row>
    <row r="16" spans="1:43" x14ac:dyDescent="0.25">
      <c r="A16" s="1"/>
      <c r="C16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THU</v>
      </c>
      <c r="D16" t="s">
        <v>173</v>
      </c>
      <c r="E16" t="s">
        <v>164</v>
      </c>
      <c r="F16" t="s">
        <v>181</v>
      </c>
      <c r="G16" t="s">
        <v>45</v>
      </c>
      <c r="H16" t="s">
        <v>23</v>
      </c>
      <c r="I16">
        <v>3</v>
      </c>
      <c r="J16">
        <v>4</v>
      </c>
      <c r="K16" t="s">
        <v>26</v>
      </c>
      <c r="L16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VAN</v>
      </c>
      <c r="M16">
        <v>4</v>
      </c>
      <c r="N16">
        <v>3</v>
      </c>
      <c r="O16" t="s">
        <v>27</v>
      </c>
      <c r="P16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EDM</v>
      </c>
      <c r="R16" s="1"/>
      <c r="T16" t="str">
        <f>IF(Table1[[#This Row],[ActualWinner]]="", "", IF(Table1[[#This Row],[AwayTeam]]=Table1[[#This Row],[ActualWinner]],Table1[[#This Row],[HomeTeam]],Table1[[#This Row],[AwayTeam]]))</f>
        <v>VAN</v>
      </c>
      <c r="U16">
        <f>Table1[[#This Row],[ActualAwayScore]]-Table1[[#This Row],[PredictedAwayScore]]</f>
        <v>1</v>
      </c>
      <c r="V16">
        <f>Table1[[#This Row],[ActualHomeScore]]-Table1[[#This Row],[PredictedHomeScore]]</f>
        <v>-1</v>
      </c>
      <c r="W16">
        <f>(0.8*IF(Table1[[#This Row],[CorrectWinnerPrediction]]=1, 1, 0))+(0.1*IF(Table1[[#This Row],[CorrectAwayScorePrediction]]=1, 1, 0))+(0.1*IF(Table1[[#This Row],[CorrectHomeScorePrediction]]=1, 1, 0))</f>
        <v>0</v>
      </c>
      <c r="X16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0.76</v>
      </c>
      <c r="Z16">
        <f>SUMIF(Table1[GameDate], Table1[[#This Row],[GameDate]], Table1[AwayGameGoalDiff])</f>
        <v>3</v>
      </c>
      <c r="AA16">
        <f>SUMIF(Table1[GameDate], Table1[[#This Row],[GameDate]], Table1[HomeGameGoalDiff])</f>
        <v>-4</v>
      </c>
      <c r="AB16">
        <f>IF(ISBLANK(Table1[[#This Row],[ActualResult]]), 0, 1)</f>
        <v>1</v>
      </c>
      <c r="AC16">
        <f>IF(ISBLANK(Table1[[#This Row],[ActualResult]]), 0, IF(Table1[[#This Row],[ActualWinner]]=Table1[[#This Row],[PredictedWinner]], 1, 0))</f>
        <v>0</v>
      </c>
      <c r="AD16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6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6">
        <f>IF(AND(Table1[[#This Row],[GameIsOver]]=1,Table1[[#This Row],[ActualAwayScore]]=0), 1,0)</f>
        <v>0</v>
      </c>
      <c r="AG16">
        <f>IF(AND(Table1[[#This Row],[GameIsOver]]=1,Table1[[#This Row],[ActualHomeScore]]=0), 1,0)</f>
        <v>0</v>
      </c>
      <c r="AH16">
        <f>IF(Table1[[#This Row],[GameIsOver]]=0,0,IF(Table1[[#This Row],[ActualWinner]]=Table1[[#This Row],[AwayTeam]], 1, 0))</f>
        <v>1</v>
      </c>
      <c r="AI16">
        <f>IF(Table1[[#This Row],[GameIsOver]]=0,0,IF(Table1[[#This Row],[ActualWinner]]=Table1[[#This Row],[HomeTeam]], 1, 0))</f>
        <v>0</v>
      </c>
      <c r="AJ16">
        <f>IF(INDEX(Standings!$A$2:$C$33,MATCH(Table1[[#This Row],[AwayTeam]],Standings!$A$2:$A$33,0),2)=INDEX(Standings!$A$2:$C$33,MATCH(Table1[[#This Row],[HomeTeam]],Standings!$A$2:$A$33,0),2),1,0)</f>
        <v>1</v>
      </c>
      <c r="AK16">
        <f>IF(INDEX(Standings!$A$2:$C$33,MATCH(Table1[[#This Row],[AwayTeam]],Standings!$A$2:$A$33,0),3)=INDEX(Standings!$A$2:$C$33,MATCH(Table1[[#This Row],[HomeTeam]],Standings!$A$2:$A$33,0),3),1,0)</f>
        <v>1</v>
      </c>
      <c r="AL16">
        <f>IF(Table1[[#This Row],[InterConf]]=1,IF(Table1[[#This Row],[InterDiv]]=0, 1, 0), 0)</f>
        <v>0</v>
      </c>
      <c r="AM16">
        <f>IF(INDEX(Standings!$A$2:$C$33,MATCH(Table1[[#This Row],[AwayTeam]],Standings!$A$2:$A$33,0),2)&lt;&gt;INDEX(Standings!$A$2:$C$33,MATCH(Table1[[#This Row],[HomeTeam]],Standings!$A$2:$A$33,0),2),1,0)</f>
        <v>0</v>
      </c>
      <c r="AN16" t="str">
        <f>INDEX(Table2[AWAY_RECORD], MATCH(Table1[[#This Row],[AwayTeam]],Table2[Team], 0), 0)</f>
        <v>1-0-0</v>
      </c>
      <c r="AO16" t="str">
        <f>INDEX(Records!$B$2:$AG$33, MATCH(Table1[[#This Row],[AwayTeam]],Records!$A$2:$A$33, 0), MATCH(Table1[[#This Row],[HomeTeam]],Records!$A$2:$A$33, 0))</f>
        <v>2-0-0</v>
      </c>
      <c r="AP16" t="str">
        <f>INDEX(Table2[HOME_RECORD], MATCH(Table1[[#This Row],[HomeTeam]],Table2[Team], 0), 0)</f>
        <v>0-0-1</v>
      </c>
      <c r="AQ16" t="str">
        <f>INDEX(Records!$B$2:$AG$33, MATCH(Table1[[#This Row],[HomeTeam]],Records!$A$2:$A$33, 0), MATCH(Table1[[#This Row],[AwayTeam]],Records!$A$2:$A$33, 0))</f>
        <v>0-0-2</v>
      </c>
    </row>
    <row r="17" spans="1:43" x14ac:dyDescent="0.25">
      <c r="A17" s="1"/>
      <c r="C17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THU</v>
      </c>
      <c r="D17" t="s">
        <v>173</v>
      </c>
      <c r="E17" t="s">
        <v>164</v>
      </c>
      <c r="F17" t="s">
        <v>182</v>
      </c>
      <c r="G17" t="s">
        <v>17</v>
      </c>
      <c r="H17" t="s">
        <v>55</v>
      </c>
      <c r="I17">
        <v>2</v>
      </c>
      <c r="J17">
        <v>1</v>
      </c>
      <c r="K17" t="s">
        <v>18</v>
      </c>
      <c r="L17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FLA</v>
      </c>
      <c r="M17">
        <v>3</v>
      </c>
      <c r="N17">
        <v>1</v>
      </c>
      <c r="O17" t="s">
        <v>18</v>
      </c>
      <c r="P17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FLA</v>
      </c>
      <c r="R17" s="1"/>
      <c r="T17" t="str">
        <f>IF(Table1[[#This Row],[ActualWinner]]="", "", IF(Table1[[#This Row],[AwayTeam]]=Table1[[#This Row],[ActualWinner]],Table1[[#This Row],[HomeTeam]],Table1[[#This Row],[AwayTeam]]))</f>
        <v>SJS</v>
      </c>
      <c r="U17">
        <f>Table1[[#This Row],[ActualAwayScore]]-Table1[[#This Row],[PredictedAwayScore]]</f>
        <v>1</v>
      </c>
      <c r="V17">
        <f>Table1[[#This Row],[ActualHomeScore]]-Table1[[#This Row],[PredictedHomeScore]]</f>
        <v>0</v>
      </c>
      <c r="W17">
        <f>(0.8*IF(Table1[[#This Row],[CorrectWinnerPrediction]]=1, 1, 0))+(0.1*IF(Table1[[#This Row],[CorrectAwayScorePrediction]]=1, 1, 0))+(0.1*IF(Table1[[#This Row],[CorrectHomeScorePrediction]]=1, 1, 0))</f>
        <v>0.9</v>
      </c>
      <c r="X17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0.9</v>
      </c>
      <c r="Z17">
        <f>SUMIF(Table1[GameDate], Table1[[#This Row],[GameDate]], Table1[AwayGameGoalDiff])</f>
        <v>3</v>
      </c>
      <c r="AA17">
        <f>SUMIF(Table1[GameDate], Table1[[#This Row],[GameDate]], Table1[HomeGameGoalDiff])</f>
        <v>-4</v>
      </c>
      <c r="AB17">
        <f>IF(ISBLANK(Table1[[#This Row],[ActualResult]]), 0, 1)</f>
        <v>1</v>
      </c>
      <c r="AC17">
        <f>IF(ISBLANK(Table1[[#This Row],[ActualResult]]), 0, IF(Table1[[#This Row],[ActualWinner]]=Table1[[#This Row],[PredictedWinner]], 1, 0))</f>
        <v>1</v>
      </c>
      <c r="AD17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7">
        <f>IF(Table1[[#This Row],[ActualHomeScore]]&gt;Table1[[#This Row],[PredictedHomeScore]], 0, IF(ISBLANK(Table1[[#This Row],[ActualResult]]), 0, IF(Table1[[#This Row],[ActualHomeScore]]=Table1[[#This Row],[PredictedHomeScore]], 1, 0)))</f>
        <v>1</v>
      </c>
      <c r="AF17">
        <f>IF(AND(Table1[[#This Row],[GameIsOver]]=1,Table1[[#This Row],[ActualAwayScore]]=0), 1,0)</f>
        <v>0</v>
      </c>
      <c r="AG17">
        <f>IF(AND(Table1[[#This Row],[GameIsOver]]=1,Table1[[#This Row],[ActualHomeScore]]=0), 1,0)</f>
        <v>0</v>
      </c>
      <c r="AH17">
        <f>IF(Table1[[#This Row],[GameIsOver]]=0,0,IF(Table1[[#This Row],[ActualWinner]]=Table1[[#This Row],[AwayTeam]], 1, 0))</f>
        <v>1</v>
      </c>
      <c r="AI17">
        <f>IF(Table1[[#This Row],[GameIsOver]]=0,0,IF(Table1[[#This Row],[ActualWinner]]=Table1[[#This Row],[HomeTeam]], 1, 0))</f>
        <v>0</v>
      </c>
      <c r="AJ17">
        <f>IF(INDEX(Standings!$A$2:$C$33,MATCH(Table1[[#This Row],[AwayTeam]],Standings!$A$2:$A$33,0),2)=INDEX(Standings!$A$2:$C$33,MATCH(Table1[[#This Row],[HomeTeam]],Standings!$A$2:$A$33,0),2),1,0)</f>
        <v>0</v>
      </c>
      <c r="AK17">
        <f>IF(INDEX(Standings!$A$2:$C$33,MATCH(Table1[[#This Row],[AwayTeam]],Standings!$A$2:$A$33,0),3)=INDEX(Standings!$A$2:$C$33,MATCH(Table1[[#This Row],[HomeTeam]],Standings!$A$2:$A$33,0),3),1,0)</f>
        <v>0</v>
      </c>
      <c r="AL17">
        <f>IF(Table1[[#This Row],[InterConf]]=1,IF(Table1[[#This Row],[InterDiv]]=0, 1, 0), 0)</f>
        <v>0</v>
      </c>
      <c r="AM17">
        <f>IF(INDEX(Standings!$A$2:$C$33,MATCH(Table1[[#This Row],[AwayTeam]],Standings!$A$2:$A$33,0),2)&lt;&gt;INDEX(Standings!$A$2:$C$33,MATCH(Table1[[#This Row],[HomeTeam]],Standings!$A$2:$A$33,0),2),1,0)</f>
        <v>1</v>
      </c>
      <c r="AN17" t="str">
        <f>INDEX(Table2[AWAY_RECORD], MATCH(Table1[[#This Row],[AwayTeam]],Table2[Team], 0), 0)</f>
        <v>2-0-0</v>
      </c>
      <c r="AO17" t="str">
        <f>INDEX(Records!$B$2:$AG$33, MATCH(Table1[[#This Row],[AwayTeam]],Records!$A$2:$A$33, 0), MATCH(Table1[[#This Row],[HomeTeam]],Records!$A$2:$A$33, 0))</f>
        <v>1-0-0</v>
      </c>
      <c r="AP17" t="str">
        <f>INDEX(Table2[HOME_RECORD], MATCH(Table1[[#This Row],[HomeTeam]],Table2[Team], 0), 0)</f>
        <v>0-1-0</v>
      </c>
      <c r="AQ17" t="str">
        <f>INDEX(Records!$B$2:$AG$33, MATCH(Table1[[#This Row],[HomeTeam]],Records!$A$2:$A$33, 0), MATCH(Table1[[#This Row],[AwayTeam]],Records!$A$2:$A$33, 0))</f>
        <v>0-1-0</v>
      </c>
    </row>
    <row r="18" spans="1:43" x14ac:dyDescent="0.25">
      <c r="A18" s="1"/>
      <c r="C18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FRI</v>
      </c>
      <c r="D18" t="s">
        <v>183</v>
      </c>
      <c r="E18" t="s">
        <v>184</v>
      </c>
      <c r="F18" t="s">
        <v>185</v>
      </c>
      <c r="G18" t="s">
        <v>51</v>
      </c>
      <c r="H18" t="s">
        <v>44</v>
      </c>
      <c r="I18">
        <v>4</v>
      </c>
      <c r="J18">
        <v>3</v>
      </c>
      <c r="K18" t="s">
        <v>18</v>
      </c>
      <c r="L18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NYR</v>
      </c>
      <c r="M18">
        <v>4</v>
      </c>
      <c r="N18">
        <v>3</v>
      </c>
      <c r="O18" t="s">
        <v>26</v>
      </c>
      <c r="P18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NYR</v>
      </c>
      <c r="R18" s="1"/>
      <c r="T18" t="str">
        <f>IF(Table1[[#This Row],[ActualWinner]]="", "", IF(Table1[[#This Row],[AwayTeam]]=Table1[[#This Row],[ActualWinner]],Table1[[#This Row],[HomeTeam]],Table1[[#This Row],[AwayTeam]]))</f>
        <v>DET</v>
      </c>
      <c r="U18">
        <f>Table1[[#This Row],[ActualAwayScore]]-Table1[[#This Row],[PredictedAwayScore]]</f>
        <v>0</v>
      </c>
      <c r="V18">
        <f>Table1[[#This Row],[ActualHomeScore]]-Table1[[#This Row],[PredictedHomeScore]]</f>
        <v>0</v>
      </c>
      <c r="W18">
        <f>(0.8*IF(Table1[[#This Row],[CorrectWinnerPrediction]]=1, 1, 0))+(0.1*IF(Table1[[#This Row],[CorrectAwayScorePrediction]]=1, 1, 0))+(0.1*IF(Table1[[#This Row],[CorrectHomeScorePrediction]]=1, 1, 0))</f>
        <v>1</v>
      </c>
      <c r="X18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1</v>
      </c>
      <c r="Z18">
        <f>SUMIF(Table1[GameDate], Table1[[#This Row],[GameDate]], Table1[AwayGameGoalDiff])</f>
        <v>-1</v>
      </c>
      <c r="AA18">
        <f>SUMIF(Table1[GameDate], Table1[[#This Row],[GameDate]], Table1[HomeGameGoalDiff])</f>
        <v>1</v>
      </c>
      <c r="AB18">
        <f>IF(ISBLANK(Table1[[#This Row],[ActualResult]]), 0, 1)</f>
        <v>1</v>
      </c>
      <c r="AC18">
        <f>IF(ISBLANK(Table1[[#This Row],[ActualResult]]), 0, IF(Table1[[#This Row],[ActualWinner]]=Table1[[#This Row],[PredictedWinner]], 1, 0))</f>
        <v>1</v>
      </c>
      <c r="AD18">
        <f>IF(Table1[[#This Row],[ActualAwayScore]]&gt;Table1[[#This Row],[PredictedAwayScore]], 0, IF(ISBLANK(Table1[[#This Row],[ActualResult]]), 0, IF(Table1[[#This Row],[ActualAwayScore]]=Table1[[#This Row],[PredictedAwayScore]], 1,0)))</f>
        <v>1</v>
      </c>
      <c r="AE18">
        <f>IF(Table1[[#This Row],[ActualHomeScore]]&gt;Table1[[#This Row],[PredictedHomeScore]], 0, IF(ISBLANK(Table1[[#This Row],[ActualResult]]), 0, IF(Table1[[#This Row],[ActualHomeScore]]=Table1[[#This Row],[PredictedHomeScore]], 1, 0)))</f>
        <v>1</v>
      </c>
      <c r="AF18">
        <f>IF(AND(Table1[[#This Row],[GameIsOver]]=1,Table1[[#This Row],[ActualAwayScore]]=0), 1,0)</f>
        <v>0</v>
      </c>
      <c r="AG18">
        <f>IF(AND(Table1[[#This Row],[GameIsOver]]=1,Table1[[#This Row],[ActualHomeScore]]=0), 1,0)</f>
        <v>0</v>
      </c>
      <c r="AH18">
        <f>IF(Table1[[#This Row],[GameIsOver]]=0,0,IF(Table1[[#This Row],[ActualWinner]]=Table1[[#This Row],[AwayTeam]], 1, 0))</f>
        <v>1</v>
      </c>
      <c r="AI18">
        <f>IF(Table1[[#This Row],[GameIsOver]]=0,0,IF(Table1[[#This Row],[ActualWinner]]=Table1[[#This Row],[HomeTeam]], 1, 0))</f>
        <v>0</v>
      </c>
      <c r="AJ18">
        <f>IF(INDEX(Standings!$A$2:$C$33,MATCH(Table1[[#This Row],[AwayTeam]],Standings!$A$2:$A$33,0),2)=INDEX(Standings!$A$2:$C$33,MATCH(Table1[[#This Row],[HomeTeam]],Standings!$A$2:$A$33,0),2),1,0)</f>
        <v>1</v>
      </c>
      <c r="AK18">
        <f>IF(INDEX(Standings!$A$2:$C$33,MATCH(Table1[[#This Row],[AwayTeam]],Standings!$A$2:$A$33,0),3)=INDEX(Standings!$A$2:$C$33,MATCH(Table1[[#This Row],[HomeTeam]],Standings!$A$2:$A$33,0),3),1,0)</f>
        <v>0</v>
      </c>
      <c r="AL18">
        <f>IF(Table1[[#This Row],[InterConf]]=1,IF(Table1[[#This Row],[InterDiv]]=0, 1, 0), 0)</f>
        <v>1</v>
      </c>
      <c r="AM18">
        <f>IF(INDEX(Standings!$A$2:$C$33,MATCH(Table1[[#This Row],[AwayTeam]],Standings!$A$2:$A$33,0),2)&lt;&gt;INDEX(Standings!$A$2:$C$33,MATCH(Table1[[#This Row],[HomeTeam]],Standings!$A$2:$A$33,0),2),1,0)</f>
        <v>0</v>
      </c>
      <c r="AN18" t="str">
        <f>INDEX(Table2[AWAY_RECORD], MATCH(Table1[[#This Row],[AwayTeam]],Table2[Team], 0), 0)</f>
        <v>2-0-0</v>
      </c>
      <c r="AO18" t="str">
        <f>INDEX(Records!$B$2:$AG$33, MATCH(Table1[[#This Row],[AwayTeam]],Records!$A$2:$A$33, 0), MATCH(Table1[[#This Row],[HomeTeam]],Records!$A$2:$A$33, 0))</f>
        <v>1-0-0</v>
      </c>
      <c r="AP18" t="str">
        <f>INDEX(Table2[HOME_RECORD], MATCH(Table1[[#This Row],[HomeTeam]],Table2[Team], 0), 0)</f>
        <v>0-0-1</v>
      </c>
      <c r="AQ18" t="str">
        <f>INDEX(Records!$B$2:$AG$33, MATCH(Table1[[#This Row],[HomeTeam]],Records!$A$2:$A$33, 0), MATCH(Table1[[#This Row],[AwayTeam]],Records!$A$2:$A$33, 0))</f>
        <v>0-0-1</v>
      </c>
    </row>
    <row r="19" spans="1:43" x14ac:dyDescent="0.25">
      <c r="A19" s="1"/>
      <c r="C19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FRI</v>
      </c>
      <c r="D19" t="s">
        <v>183</v>
      </c>
      <c r="E19" t="s">
        <v>160</v>
      </c>
      <c r="F19" t="s">
        <v>186</v>
      </c>
      <c r="G19" t="s">
        <v>59</v>
      </c>
      <c r="H19" t="s">
        <v>40</v>
      </c>
      <c r="I19">
        <v>3</v>
      </c>
      <c r="J19">
        <v>4</v>
      </c>
      <c r="K19" t="s">
        <v>18</v>
      </c>
      <c r="L19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CAR</v>
      </c>
      <c r="M19">
        <v>3</v>
      </c>
      <c r="N19">
        <v>4</v>
      </c>
      <c r="O19" t="s">
        <v>18</v>
      </c>
      <c r="P19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CAR</v>
      </c>
      <c r="R19" s="1"/>
      <c r="T19" t="str">
        <f>IF(Table1[[#This Row],[ActualWinner]]="", "", IF(Table1[[#This Row],[AwayTeam]]=Table1[[#This Row],[ActualWinner]],Table1[[#This Row],[HomeTeam]],Table1[[#This Row],[AwayTeam]]))</f>
        <v>WSH</v>
      </c>
      <c r="U19">
        <f>Table1[[#This Row],[ActualAwayScore]]-Table1[[#This Row],[PredictedAwayScore]]</f>
        <v>0</v>
      </c>
      <c r="V19">
        <f>Table1[[#This Row],[ActualHomeScore]]-Table1[[#This Row],[PredictedHomeScore]]</f>
        <v>0</v>
      </c>
      <c r="W19">
        <f>(0.8*IF(Table1[[#This Row],[CorrectWinnerPrediction]]=1, 1, 0))+(0.1*IF(Table1[[#This Row],[CorrectAwayScorePrediction]]=1, 1, 0))+(0.1*IF(Table1[[#This Row],[CorrectHomeScorePrediction]]=1, 1, 0))</f>
        <v>1</v>
      </c>
      <c r="X19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1</v>
      </c>
      <c r="Z19">
        <f>SUMIF(Table1[GameDate], Table1[[#This Row],[GameDate]], Table1[AwayGameGoalDiff])</f>
        <v>-1</v>
      </c>
      <c r="AA19">
        <f>SUMIF(Table1[GameDate], Table1[[#This Row],[GameDate]], Table1[HomeGameGoalDiff])</f>
        <v>1</v>
      </c>
      <c r="AB19">
        <f>IF(ISBLANK(Table1[[#This Row],[ActualResult]]), 0, 1)</f>
        <v>1</v>
      </c>
      <c r="AC19">
        <f>IF(ISBLANK(Table1[[#This Row],[ActualResult]]), 0, IF(Table1[[#This Row],[ActualWinner]]=Table1[[#This Row],[PredictedWinner]], 1, 0))</f>
        <v>1</v>
      </c>
      <c r="AD19">
        <f>IF(Table1[[#This Row],[ActualAwayScore]]&gt;Table1[[#This Row],[PredictedAwayScore]], 0, IF(ISBLANK(Table1[[#This Row],[ActualResult]]), 0, IF(Table1[[#This Row],[ActualAwayScore]]=Table1[[#This Row],[PredictedAwayScore]], 1,0)))</f>
        <v>1</v>
      </c>
      <c r="AE19">
        <f>IF(Table1[[#This Row],[ActualHomeScore]]&gt;Table1[[#This Row],[PredictedHomeScore]], 0, IF(ISBLANK(Table1[[#This Row],[ActualResult]]), 0, IF(Table1[[#This Row],[ActualHomeScore]]=Table1[[#This Row],[PredictedHomeScore]], 1, 0)))</f>
        <v>1</v>
      </c>
      <c r="AF19">
        <f>IF(AND(Table1[[#This Row],[GameIsOver]]=1,Table1[[#This Row],[ActualAwayScore]]=0), 1,0)</f>
        <v>0</v>
      </c>
      <c r="AG19">
        <f>IF(AND(Table1[[#This Row],[GameIsOver]]=1,Table1[[#This Row],[ActualHomeScore]]=0), 1,0)</f>
        <v>0</v>
      </c>
      <c r="AH19">
        <f>IF(Table1[[#This Row],[GameIsOver]]=0,0,IF(Table1[[#This Row],[ActualWinner]]=Table1[[#This Row],[AwayTeam]], 1, 0))</f>
        <v>0</v>
      </c>
      <c r="AI19">
        <f>IF(Table1[[#This Row],[GameIsOver]]=0,0,IF(Table1[[#This Row],[ActualWinner]]=Table1[[#This Row],[HomeTeam]], 1, 0))</f>
        <v>1</v>
      </c>
      <c r="AJ19">
        <f>IF(INDEX(Standings!$A$2:$C$33,MATCH(Table1[[#This Row],[AwayTeam]],Standings!$A$2:$A$33,0),2)=INDEX(Standings!$A$2:$C$33,MATCH(Table1[[#This Row],[HomeTeam]],Standings!$A$2:$A$33,0),2),1,0)</f>
        <v>1</v>
      </c>
      <c r="AK19">
        <f>IF(INDEX(Standings!$A$2:$C$33,MATCH(Table1[[#This Row],[AwayTeam]],Standings!$A$2:$A$33,0),3)=INDEX(Standings!$A$2:$C$33,MATCH(Table1[[#This Row],[HomeTeam]],Standings!$A$2:$A$33,0),3),1,0)</f>
        <v>1</v>
      </c>
      <c r="AL19">
        <f>IF(Table1[[#This Row],[InterConf]]=1,IF(Table1[[#This Row],[InterDiv]]=0, 1, 0), 0)</f>
        <v>0</v>
      </c>
      <c r="AM19">
        <f>IF(INDEX(Standings!$A$2:$C$33,MATCH(Table1[[#This Row],[AwayTeam]],Standings!$A$2:$A$33,0),2)&lt;&gt;INDEX(Standings!$A$2:$C$33,MATCH(Table1[[#This Row],[HomeTeam]],Standings!$A$2:$A$33,0),2),1,0)</f>
        <v>0</v>
      </c>
      <c r="AN19" t="str">
        <f>INDEX(Table2[AWAY_RECORD], MATCH(Table1[[#This Row],[AwayTeam]],Table2[Team], 0), 0)</f>
        <v>0-1-0</v>
      </c>
      <c r="AO19" t="str">
        <f>INDEX(Records!$B$2:$AG$33, MATCH(Table1[[#This Row],[AwayTeam]],Records!$A$2:$A$33, 0), MATCH(Table1[[#This Row],[HomeTeam]],Records!$A$2:$A$33, 0))</f>
        <v>0-1-0</v>
      </c>
      <c r="AP19" t="str">
        <f>INDEX(Table2[HOME_RECORD], MATCH(Table1[[#This Row],[HomeTeam]],Table2[Team], 0), 0)</f>
        <v>1-1-0</v>
      </c>
      <c r="AQ19" t="str">
        <f>INDEX(Records!$B$2:$AG$33, MATCH(Table1[[#This Row],[HomeTeam]],Records!$A$2:$A$33, 0), MATCH(Table1[[#This Row],[AwayTeam]],Records!$A$2:$A$33, 0))</f>
        <v>1-0-0</v>
      </c>
    </row>
    <row r="20" spans="1:43" x14ac:dyDescent="0.25">
      <c r="A20" s="1"/>
      <c r="C20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FRI</v>
      </c>
      <c r="D20" t="s">
        <v>183</v>
      </c>
      <c r="E20" t="s">
        <v>162</v>
      </c>
      <c r="F20" t="s">
        <v>187</v>
      </c>
      <c r="G20" t="s">
        <v>37</v>
      </c>
      <c r="H20" t="s">
        <v>60</v>
      </c>
      <c r="I20">
        <v>4</v>
      </c>
      <c r="J20">
        <v>3</v>
      </c>
      <c r="K20" t="s">
        <v>27</v>
      </c>
      <c r="L20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BOS</v>
      </c>
      <c r="M20">
        <v>3</v>
      </c>
      <c r="N20">
        <v>4</v>
      </c>
      <c r="O20" t="s">
        <v>27</v>
      </c>
      <c r="P20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WPG</v>
      </c>
      <c r="R20" s="1"/>
      <c r="T20" t="str">
        <f>IF(Table1[[#This Row],[ActualWinner]]="", "", IF(Table1[[#This Row],[AwayTeam]]=Table1[[#This Row],[ActualWinner]],Table1[[#This Row],[HomeTeam]],Table1[[#This Row],[AwayTeam]]))</f>
        <v>BOS</v>
      </c>
      <c r="U20">
        <f>Table1[[#This Row],[ActualAwayScore]]-Table1[[#This Row],[PredictedAwayScore]]</f>
        <v>-1</v>
      </c>
      <c r="V20">
        <f>Table1[[#This Row],[ActualHomeScore]]-Table1[[#This Row],[PredictedHomeScore]]</f>
        <v>1</v>
      </c>
      <c r="W20">
        <f>(0.8*IF(Table1[[#This Row],[CorrectWinnerPrediction]]=1, 1, 0))+(0.1*IF(Table1[[#This Row],[CorrectAwayScorePrediction]]=1, 1, 0))+(0.1*IF(Table1[[#This Row],[CorrectHomeScorePrediction]]=1, 1, 0))</f>
        <v>0</v>
      </c>
      <c r="X20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0.76</v>
      </c>
      <c r="Z20">
        <f>SUMIF(Table1[GameDate], Table1[[#This Row],[GameDate]], Table1[AwayGameGoalDiff])</f>
        <v>-1</v>
      </c>
      <c r="AA20">
        <f>SUMIF(Table1[GameDate], Table1[[#This Row],[GameDate]], Table1[HomeGameGoalDiff])</f>
        <v>1</v>
      </c>
      <c r="AB20">
        <f>IF(ISBLANK(Table1[[#This Row],[ActualResult]]), 0, 1)</f>
        <v>1</v>
      </c>
      <c r="AC20">
        <f>IF(ISBLANK(Table1[[#This Row],[ActualResult]]), 0, IF(Table1[[#This Row],[ActualWinner]]=Table1[[#This Row],[PredictedWinner]], 1, 0))</f>
        <v>0</v>
      </c>
      <c r="AD20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0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0">
        <f>IF(AND(Table1[[#This Row],[GameIsOver]]=1,Table1[[#This Row],[ActualAwayScore]]=0), 1,0)</f>
        <v>0</v>
      </c>
      <c r="AG20">
        <f>IF(AND(Table1[[#This Row],[GameIsOver]]=1,Table1[[#This Row],[ActualHomeScore]]=0), 1,0)</f>
        <v>0</v>
      </c>
      <c r="AH20">
        <f>IF(Table1[[#This Row],[GameIsOver]]=0,0,IF(Table1[[#This Row],[ActualWinner]]=Table1[[#This Row],[AwayTeam]], 1, 0))</f>
        <v>0</v>
      </c>
      <c r="AI20">
        <f>IF(Table1[[#This Row],[GameIsOver]]=0,0,IF(Table1[[#This Row],[ActualWinner]]=Table1[[#This Row],[HomeTeam]], 1, 0))</f>
        <v>1</v>
      </c>
      <c r="AJ20">
        <f>IF(INDEX(Standings!$A$2:$C$33,MATCH(Table1[[#This Row],[AwayTeam]],Standings!$A$2:$A$33,0),2)=INDEX(Standings!$A$2:$C$33,MATCH(Table1[[#This Row],[HomeTeam]],Standings!$A$2:$A$33,0),2),1,0)</f>
        <v>0</v>
      </c>
      <c r="AK20">
        <f>IF(INDEX(Standings!$A$2:$C$33,MATCH(Table1[[#This Row],[AwayTeam]],Standings!$A$2:$A$33,0),3)=INDEX(Standings!$A$2:$C$33,MATCH(Table1[[#This Row],[HomeTeam]],Standings!$A$2:$A$33,0),3),1,0)</f>
        <v>0</v>
      </c>
      <c r="AL20">
        <f>IF(Table1[[#This Row],[InterConf]]=1,IF(Table1[[#This Row],[InterDiv]]=0, 1, 0), 0)</f>
        <v>0</v>
      </c>
      <c r="AM20">
        <f>IF(INDEX(Standings!$A$2:$C$33,MATCH(Table1[[#This Row],[AwayTeam]],Standings!$A$2:$A$33,0),2)&lt;&gt;INDEX(Standings!$A$2:$C$33,MATCH(Table1[[#This Row],[HomeTeam]],Standings!$A$2:$A$33,0),2),1,0)</f>
        <v>1</v>
      </c>
      <c r="AN20" t="str">
        <f>INDEX(Table2[AWAY_RECORD], MATCH(Table1[[#This Row],[AwayTeam]],Table2[Team], 0), 0)</f>
        <v>0-0-1</v>
      </c>
      <c r="AO20" t="str">
        <f>INDEX(Records!$B$2:$AG$33, MATCH(Table1[[#This Row],[AwayTeam]],Records!$A$2:$A$33, 0), MATCH(Table1[[#This Row],[HomeTeam]],Records!$A$2:$A$33, 0))</f>
        <v>0-0-1</v>
      </c>
      <c r="AP20" t="str">
        <f>INDEX(Table2[HOME_RECORD], MATCH(Table1[[#This Row],[HomeTeam]],Table2[Team], 0), 0)</f>
        <v>1-0-0</v>
      </c>
      <c r="AQ20" t="str">
        <f>INDEX(Records!$B$2:$AG$33, MATCH(Table1[[#This Row],[HomeTeam]],Records!$A$2:$A$33, 0), MATCH(Table1[[#This Row],[AwayTeam]],Records!$A$2:$A$33, 0))</f>
        <v>1-0-0</v>
      </c>
    </row>
    <row r="21" spans="1:43" x14ac:dyDescent="0.25">
      <c r="A21" s="1"/>
      <c r="D21" t="s">
        <v>183</v>
      </c>
      <c r="E21" t="s">
        <v>178</v>
      </c>
      <c r="F21" t="s">
        <v>188</v>
      </c>
      <c r="G21" t="s">
        <v>61</v>
      </c>
      <c r="H21" t="s">
        <v>43</v>
      </c>
      <c r="L2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1" s="1"/>
      <c r="T21" s="64" t="str">
        <f>IF(Table1[[#This Row],[ActualWinner]]="", "", IF(Table1[[#This Row],[AwayTeam]]=Table1[[#This Row],[ActualWinner]],Table1[[#This Row],[HomeTeam]],Table1[[#This Row],[AwayTeam]]))</f>
        <v/>
      </c>
      <c r="U21" s="64">
        <f>Table1[[#This Row],[ActualAwayScore]]-Table1[[#This Row],[PredictedAwayScore]]</f>
        <v>0</v>
      </c>
      <c r="V21" s="64">
        <f>Table1[[#This Row],[ActualHomeScore]]-Table1[[#This Row],[PredictedHomeScore]]</f>
        <v>0</v>
      </c>
      <c r="W21" s="64">
        <f>(0.8*IF(Table1[[#This Row],[CorrectWinnerPrediction]]=1, 1, 0))+(0.1*IF(Table1[[#This Row],[CorrectAwayScorePrediction]]=1, 1, 0))+(0.1*IF(Table1[[#This Row],[CorrectHomeScorePrediction]]=1, 1, 0))</f>
        <v>0</v>
      </c>
      <c r="X2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1" s="64">
        <f>SUMIF(Table1[GameDate], Table1[[#This Row],[GameDate]], Table1[AwayGameGoalDiff])</f>
        <v>-1</v>
      </c>
      <c r="AA21" s="64">
        <f>SUMIF(Table1[GameDate], Table1[[#This Row],[GameDate]], Table1[HomeGameGoalDiff])</f>
        <v>1</v>
      </c>
      <c r="AB21" s="64">
        <f>IF(ISBLANK(Table1[[#This Row],[ActualResult]]), 0, 1)</f>
        <v>0</v>
      </c>
      <c r="AC21" s="64">
        <f>IF(ISBLANK(Table1[[#This Row],[ActualResult]]), 0, IF(Table1[[#This Row],[ActualWinner]]=Table1[[#This Row],[PredictedWinner]], 1, 0))</f>
        <v>0</v>
      </c>
      <c r="AD2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1" s="64">
        <f>IF(AND(Table1[[#This Row],[GameIsOver]]=1,Table1[[#This Row],[ActualAwayScore]]=0), 1,0)</f>
        <v>0</v>
      </c>
      <c r="AG21" s="64">
        <f>IF(AND(Table1[[#This Row],[GameIsOver]]=1,Table1[[#This Row],[ActualHomeScore]]=0), 1,0)</f>
        <v>0</v>
      </c>
      <c r="AH21" s="64">
        <f>IF(Table1[[#This Row],[GameIsOver]]=0,0,IF(Table1[[#This Row],[ActualWinner]]=Table1[[#This Row],[AwayTeam]], 1, 0))</f>
        <v>0</v>
      </c>
      <c r="AI21" s="64">
        <f>IF(Table1[[#This Row],[GameIsOver]]=0,0,IF(Table1[[#This Row],[ActualWinner]]=Table1[[#This Row],[HomeTeam]], 1, 0))</f>
        <v>0</v>
      </c>
      <c r="AJ21" s="64">
        <f>IF(INDEX(Standings!$A$2:$C$33,MATCH(Table1[[#This Row],[AwayTeam]],Standings!$A$2:$A$33,0),2)=INDEX(Standings!$A$2:$C$33,MATCH(Table1[[#This Row],[HomeTeam]],Standings!$A$2:$A$33,0),2),1,0)</f>
        <v>1</v>
      </c>
      <c r="AK21" s="64">
        <f>IF(INDEX(Standings!$A$2:$C$33,MATCH(Table1[[#This Row],[AwayTeam]],Standings!$A$2:$A$33,0),3)=INDEX(Standings!$A$2:$C$33,MATCH(Table1[[#This Row],[HomeTeam]],Standings!$A$2:$A$33,0),3),1,0)</f>
        <v>1</v>
      </c>
      <c r="AL21" s="64">
        <f>IF(Table1[[#This Row],[InterConf]]=1,IF(Table1[[#This Row],[InterDiv]]=0, 1, 0), 0)</f>
        <v>0</v>
      </c>
      <c r="AM21" s="64">
        <f>IF(INDEX(Standings!$A$2:$C$33,MATCH(Table1[[#This Row],[AwayTeam]],Standings!$A$2:$A$33,0),2)&lt;&gt;INDEX(Standings!$A$2:$C$33,MATCH(Table1[[#This Row],[HomeTeam]],Standings!$A$2:$A$33,0),2),1,0)</f>
        <v>0</v>
      </c>
      <c r="AN21" s="64" t="str">
        <f>INDEX(Table2[AWAY_RECORD], MATCH(Table1[[#This Row],[AwayTeam]],Table2[Team], 0), 0)</f>
        <v>0-0-0</v>
      </c>
      <c r="AO21" s="64" t="str">
        <f>INDEX(Records!$B$2:$AG$33, MATCH(Table1[[#This Row],[AwayTeam]],Records!$A$2:$A$33, 0), MATCH(Table1[[#This Row],[HomeTeam]],Records!$A$2:$A$33, 0))</f>
        <v>0-0-0</v>
      </c>
      <c r="AP21" s="64" t="str">
        <f>INDEX(Table2[HOME_RECORD], MATCH(Table1[[#This Row],[HomeTeam]],Table2[Team], 0), 0)</f>
        <v>0-0-0</v>
      </c>
      <c r="AQ21" s="64" t="str">
        <f>INDEX(Records!$B$2:$AG$33, MATCH(Table1[[#This Row],[HomeTeam]],Records!$A$2:$A$33, 0), MATCH(Table1[[#This Row],[AwayTeam]],Records!$A$2:$A$33, 0))</f>
        <v>0-0-0</v>
      </c>
    </row>
    <row r="22" spans="1:43" x14ac:dyDescent="0.25">
      <c r="A22" s="1"/>
      <c r="D22" t="s">
        <v>183</v>
      </c>
      <c r="E22" t="s">
        <v>164</v>
      </c>
      <c r="F22" t="s">
        <v>189</v>
      </c>
      <c r="G22" t="s">
        <v>36</v>
      </c>
      <c r="H22" t="s">
        <v>25</v>
      </c>
      <c r="L2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2" s="1"/>
      <c r="T22" s="64" t="str">
        <f>IF(Table1[[#This Row],[ActualWinner]]="", "", IF(Table1[[#This Row],[AwayTeam]]=Table1[[#This Row],[ActualWinner]],Table1[[#This Row],[HomeTeam]],Table1[[#This Row],[AwayTeam]]))</f>
        <v/>
      </c>
      <c r="U22" s="64">
        <f>Table1[[#This Row],[ActualAwayScore]]-Table1[[#This Row],[PredictedAwayScore]]</f>
        <v>0</v>
      </c>
      <c r="V22" s="64">
        <f>Table1[[#This Row],[ActualHomeScore]]-Table1[[#This Row],[PredictedHomeScore]]</f>
        <v>0</v>
      </c>
      <c r="W22" s="64">
        <f>(0.8*IF(Table1[[#This Row],[CorrectWinnerPrediction]]=1, 1, 0))+(0.1*IF(Table1[[#This Row],[CorrectAwayScorePrediction]]=1, 1, 0))+(0.1*IF(Table1[[#This Row],[CorrectHomeScorePrediction]]=1, 1, 0))</f>
        <v>0</v>
      </c>
      <c r="X2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2" s="64">
        <f>SUMIF(Table1[GameDate], Table1[[#This Row],[GameDate]], Table1[AwayGameGoalDiff])</f>
        <v>-1</v>
      </c>
      <c r="AA22" s="64">
        <f>SUMIF(Table1[GameDate], Table1[[#This Row],[GameDate]], Table1[HomeGameGoalDiff])</f>
        <v>1</v>
      </c>
      <c r="AB22" s="64">
        <f>IF(ISBLANK(Table1[[#This Row],[ActualResult]]), 0, 1)</f>
        <v>0</v>
      </c>
      <c r="AC22" s="64">
        <f>IF(ISBLANK(Table1[[#This Row],[ActualResult]]), 0, IF(Table1[[#This Row],[ActualWinner]]=Table1[[#This Row],[PredictedWinner]], 1, 0))</f>
        <v>0</v>
      </c>
      <c r="AD2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2" s="64">
        <f>IF(AND(Table1[[#This Row],[GameIsOver]]=1,Table1[[#This Row],[ActualAwayScore]]=0), 1,0)</f>
        <v>0</v>
      </c>
      <c r="AG22" s="64">
        <f>IF(AND(Table1[[#This Row],[GameIsOver]]=1,Table1[[#This Row],[ActualHomeScore]]=0), 1,0)</f>
        <v>0</v>
      </c>
      <c r="AH22" s="64">
        <f>IF(Table1[[#This Row],[GameIsOver]]=0,0,IF(Table1[[#This Row],[ActualWinner]]=Table1[[#This Row],[AwayTeam]], 1, 0))</f>
        <v>0</v>
      </c>
      <c r="AI22" s="64">
        <f>IF(Table1[[#This Row],[GameIsOver]]=0,0,IF(Table1[[#This Row],[ActualWinner]]=Table1[[#This Row],[HomeTeam]], 1, 0))</f>
        <v>0</v>
      </c>
      <c r="AJ22" s="64">
        <f>IF(INDEX(Standings!$A$2:$C$33,MATCH(Table1[[#This Row],[AwayTeam]],Standings!$A$2:$A$33,0),2)=INDEX(Standings!$A$2:$C$33,MATCH(Table1[[#This Row],[HomeTeam]],Standings!$A$2:$A$33,0),2),1,0)</f>
        <v>1</v>
      </c>
      <c r="AK22" s="64">
        <f>IF(INDEX(Standings!$A$2:$C$33,MATCH(Table1[[#This Row],[AwayTeam]],Standings!$A$2:$A$33,0),3)=INDEX(Standings!$A$2:$C$33,MATCH(Table1[[#This Row],[HomeTeam]],Standings!$A$2:$A$33,0),3),1,0)</f>
        <v>1</v>
      </c>
      <c r="AL22" s="64">
        <f>IF(Table1[[#This Row],[InterConf]]=1,IF(Table1[[#This Row],[InterDiv]]=0, 1, 0), 0)</f>
        <v>0</v>
      </c>
      <c r="AM22" s="64">
        <f>IF(INDEX(Standings!$A$2:$C$33,MATCH(Table1[[#This Row],[AwayTeam]],Standings!$A$2:$A$33,0),2)&lt;&gt;INDEX(Standings!$A$2:$C$33,MATCH(Table1[[#This Row],[HomeTeam]],Standings!$A$2:$A$33,0),2),1,0)</f>
        <v>0</v>
      </c>
      <c r="AN22" s="64" t="str">
        <f>INDEX(Table2[AWAY_RECORD], MATCH(Table1[[#This Row],[AwayTeam]],Table2[Team], 0), 0)</f>
        <v>0-0-0</v>
      </c>
      <c r="AO22" s="64" t="str">
        <f>INDEX(Records!$B$2:$AG$33, MATCH(Table1[[#This Row],[AwayTeam]],Records!$A$2:$A$33, 0), MATCH(Table1[[#This Row],[HomeTeam]],Records!$A$2:$A$33, 0))</f>
        <v>0-0-0</v>
      </c>
      <c r="AP22" s="64" t="str">
        <f>INDEX(Table2[HOME_RECORD], MATCH(Table1[[#This Row],[HomeTeam]],Table2[Team], 0), 0)</f>
        <v>0-0-1</v>
      </c>
      <c r="AQ22" s="64" t="str">
        <f>INDEX(Records!$B$2:$AG$33, MATCH(Table1[[#This Row],[HomeTeam]],Records!$A$2:$A$33, 0), MATCH(Table1[[#This Row],[AwayTeam]],Records!$A$2:$A$33, 0))</f>
        <v>0-0-0</v>
      </c>
    </row>
    <row r="23" spans="1:43" x14ac:dyDescent="0.25">
      <c r="A23" s="1"/>
      <c r="D23" t="s">
        <v>190</v>
      </c>
      <c r="E23" t="s">
        <v>160</v>
      </c>
      <c r="F23" t="s">
        <v>191</v>
      </c>
      <c r="G23" t="s">
        <v>16</v>
      </c>
      <c r="H23" t="s">
        <v>38</v>
      </c>
      <c r="L2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3" s="1"/>
      <c r="T23" s="64" t="str">
        <f>IF(Table1[[#This Row],[ActualWinner]]="", "", IF(Table1[[#This Row],[AwayTeam]]=Table1[[#This Row],[ActualWinner]],Table1[[#This Row],[HomeTeam]],Table1[[#This Row],[AwayTeam]]))</f>
        <v/>
      </c>
      <c r="U23" s="64">
        <f>Table1[[#This Row],[ActualAwayScore]]-Table1[[#This Row],[PredictedAwayScore]]</f>
        <v>0</v>
      </c>
      <c r="V23" s="64">
        <f>Table1[[#This Row],[ActualHomeScore]]-Table1[[#This Row],[PredictedHomeScore]]</f>
        <v>0</v>
      </c>
      <c r="W23" s="64">
        <f>(0.8*IF(Table1[[#This Row],[CorrectWinnerPrediction]]=1, 1, 0))+(0.1*IF(Table1[[#This Row],[CorrectAwayScorePrediction]]=1, 1, 0))+(0.1*IF(Table1[[#This Row],[CorrectHomeScorePrediction]]=1, 1, 0))</f>
        <v>0</v>
      </c>
      <c r="X2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3" s="64">
        <f>SUMIF(Table1[GameDate], Table1[[#This Row],[GameDate]], Table1[AwayGameGoalDiff])</f>
        <v>0</v>
      </c>
      <c r="AA23" s="64">
        <f>SUMIF(Table1[GameDate], Table1[[#This Row],[GameDate]], Table1[HomeGameGoalDiff])</f>
        <v>0</v>
      </c>
      <c r="AB23" s="64">
        <f>IF(ISBLANK(Table1[[#This Row],[ActualResult]]), 0, 1)</f>
        <v>0</v>
      </c>
      <c r="AC23" s="64">
        <f>IF(ISBLANK(Table1[[#This Row],[ActualResult]]), 0, IF(Table1[[#This Row],[ActualWinner]]=Table1[[#This Row],[PredictedWinner]], 1, 0))</f>
        <v>0</v>
      </c>
      <c r="AD2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3" s="64">
        <f>IF(AND(Table1[[#This Row],[GameIsOver]]=1,Table1[[#This Row],[ActualAwayScore]]=0), 1,0)</f>
        <v>0</v>
      </c>
      <c r="AG23" s="64">
        <f>IF(AND(Table1[[#This Row],[GameIsOver]]=1,Table1[[#This Row],[ActualHomeScore]]=0), 1,0)</f>
        <v>0</v>
      </c>
      <c r="AH23" s="64">
        <f>IF(Table1[[#This Row],[GameIsOver]]=0,0,IF(Table1[[#This Row],[ActualWinner]]=Table1[[#This Row],[AwayTeam]], 1, 0))</f>
        <v>0</v>
      </c>
      <c r="AI23" s="64">
        <f>IF(Table1[[#This Row],[GameIsOver]]=0,0,IF(Table1[[#This Row],[ActualWinner]]=Table1[[#This Row],[HomeTeam]], 1, 0))</f>
        <v>0</v>
      </c>
      <c r="AJ23" s="64">
        <f>IF(INDEX(Standings!$A$2:$C$33,MATCH(Table1[[#This Row],[AwayTeam]],Standings!$A$2:$A$33,0),2)=INDEX(Standings!$A$2:$C$33,MATCH(Table1[[#This Row],[HomeTeam]],Standings!$A$2:$A$33,0),2),1,0)</f>
        <v>0</v>
      </c>
      <c r="AK23" s="64">
        <f>IF(INDEX(Standings!$A$2:$C$33,MATCH(Table1[[#This Row],[AwayTeam]],Standings!$A$2:$A$33,0),3)=INDEX(Standings!$A$2:$C$33,MATCH(Table1[[#This Row],[HomeTeam]],Standings!$A$2:$A$33,0),3),1,0)</f>
        <v>0</v>
      </c>
      <c r="AL23" s="64">
        <f>IF(Table1[[#This Row],[InterConf]]=1,IF(Table1[[#This Row],[InterDiv]]=0, 1, 0), 0)</f>
        <v>0</v>
      </c>
      <c r="AM23" s="64">
        <f>IF(INDEX(Standings!$A$2:$C$33,MATCH(Table1[[#This Row],[AwayTeam]],Standings!$A$2:$A$33,0),2)&lt;&gt;INDEX(Standings!$A$2:$C$33,MATCH(Table1[[#This Row],[HomeTeam]],Standings!$A$2:$A$33,0),2),1,0)</f>
        <v>1</v>
      </c>
      <c r="AN23" s="64" t="str">
        <f>INDEX(Table2[AWAY_RECORD], MATCH(Table1[[#This Row],[AwayTeam]],Table2[Team], 0), 0)</f>
        <v>1-0-1</v>
      </c>
      <c r="AO23" s="64" t="str">
        <f>INDEX(Records!$B$2:$AG$33, MATCH(Table1[[#This Row],[AwayTeam]],Records!$A$2:$A$33, 0), MATCH(Table1[[#This Row],[HomeTeam]],Records!$A$2:$A$33, 0))</f>
        <v>0-0-0</v>
      </c>
      <c r="AP23" s="64" t="str">
        <f>INDEX(Table2[HOME_RECORD], MATCH(Table1[[#This Row],[HomeTeam]],Table2[Team], 0), 0)</f>
        <v>0-0-0</v>
      </c>
      <c r="AQ23" s="64" t="str">
        <f>INDEX(Records!$B$2:$AG$33, MATCH(Table1[[#This Row],[HomeTeam]],Records!$A$2:$A$33, 0), MATCH(Table1[[#This Row],[AwayTeam]],Records!$A$2:$A$33, 0))</f>
        <v>0-0-0</v>
      </c>
    </row>
    <row r="24" spans="1:43" x14ac:dyDescent="0.25">
      <c r="A24" s="1"/>
      <c r="D24" t="s">
        <v>190</v>
      </c>
      <c r="E24" t="s">
        <v>160</v>
      </c>
      <c r="F24" t="s">
        <v>192</v>
      </c>
      <c r="G24" t="s">
        <v>52</v>
      </c>
      <c r="H24" t="s">
        <v>24</v>
      </c>
      <c r="L2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4" s="1"/>
      <c r="T24" s="64" t="str">
        <f>IF(Table1[[#This Row],[ActualWinner]]="", "", IF(Table1[[#This Row],[AwayTeam]]=Table1[[#This Row],[ActualWinner]],Table1[[#This Row],[HomeTeam]],Table1[[#This Row],[AwayTeam]]))</f>
        <v/>
      </c>
      <c r="U24" s="64">
        <f>Table1[[#This Row],[ActualAwayScore]]-Table1[[#This Row],[PredictedAwayScore]]</f>
        <v>0</v>
      </c>
      <c r="V24" s="64">
        <f>Table1[[#This Row],[ActualHomeScore]]-Table1[[#This Row],[PredictedHomeScore]]</f>
        <v>0</v>
      </c>
      <c r="W24" s="64">
        <f>(0.8*IF(Table1[[#This Row],[CorrectWinnerPrediction]]=1, 1, 0))+(0.1*IF(Table1[[#This Row],[CorrectAwayScorePrediction]]=1, 1, 0))+(0.1*IF(Table1[[#This Row],[CorrectHomeScorePrediction]]=1, 1, 0))</f>
        <v>0</v>
      </c>
      <c r="X2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4" s="64">
        <f>SUMIF(Table1[GameDate], Table1[[#This Row],[GameDate]], Table1[AwayGameGoalDiff])</f>
        <v>0</v>
      </c>
      <c r="AA24" s="64">
        <f>SUMIF(Table1[GameDate], Table1[[#This Row],[GameDate]], Table1[HomeGameGoalDiff])</f>
        <v>0</v>
      </c>
      <c r="AB24" s="64">
        <f>IF(ISBLANK(Table1[[#This Row],[ActualResult]]), 0, 1)</f>
        <v>0</v>
      </c>
      <c r="AC24" s="64">
        <f>IF(ISBLANK(Table1[[#This Row],[ActualResult]]), 0, IF(Table1[[#This Row],[ActualWinner]]=Table1[[#This Row],[PredictedWinner]], 1, 0))</f>
        <v>0</v>
      </c>
      <c r="AD2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4" s="64">
        <f>IF(AND(Table1[[#This Row],[GameIsOver]]=1,Table1[[#This Row],[ActualAwayScore]]=0), 1,0)</f>
        <v>0</v>
      </c>
      <c r="AG24" s="64">
        <f>IF(AND(Table1[[#This Row],[GameIsOver]]=1,Table1[[#This Row],[ActualHomeScore]]=0), 1,0)</f>
        <v>0</v>
      </c>
      <c r="AH24" s="64">
        <f>IF(Table1[[#This Row],[GameIsOver]]=0,0,IF(Table1[[#This Row],[ActualWinner]]=Table1[[#This Row],[AwayTeam]], 1, 0))</f>
        <v>0</v>
      </c>
      <c r="AI24" s="64">
        <f>IF(Table1[[#This Row],[GameIsOver]]=0,0,IF(Table1[[#This Row],[ActualWinner]]=Table1[[#This Row],[HomeTeam]], 1, 0))</f>
        <v>0</v>
      </c>
      <c r="AJ24" s="64">
        <f>IF(INDEX(Standings!$A$2:$C$33,MATCH(Table1[[#This Row],[AwayTeam]],Standings!$A$2:$A$33,0),2)=INDEX(Standings!$A$2:$C$33,MATCH(Table1[[#This Row],[HomeTeam]],Standings!$A$2:$A$33,0),2),1,0)</f>
        <v>1</v>
      </c>
      <c r="AK24" s="64">
        <f>IF(INDEX(Standings!$A$2:$C$33,MATCH(Table1[[#This Row],[AwayTeam]],Standings!$A$2:$A$33,0),3)=INDEX(Standings!$A$2:$C$33,MATCH(Table1[[#This Row],[HomeTeam]],Standings!$A$2:$A$33,0),3),1,0)</f>
        <v>1</v>
      </c>
      <c r="AL24" s="64">
        <f>IF(Table1[[#This Row],[InterConf]]=1,IF(Table1[[#This Row],[InterDiv]]=0, 1, 0), 0)</f>
        <v>0</v>
      </c>
      <c r="AM24" s="64">
        <f>IF(INDEX(Standings!$A$2:$C$33,MATCH(Table1[[#This Row],[AwayTeam]],Standings!$A$2:$A$33,0),2)&lt;&gt;INDEX(Standings!$A$2:$C$33,MATCH(Table1[[#This Row],[HomeTeam]],Standings!$A$2:$A$33,0),2),1,0)</f>
        <v>0</v>
      </c>
      <c r="AN24" s="64" t="str">
        <f>INDEX(Table2[AWAY_RECORD], MATCH(Table1[[#This Row],[AwayTeam]],Table2[Team], 0), 0)</f>
        <v>0-0-0</v>
      </c>
      <c r="AO24" s="64" t="str">
        <f>INDEX(Records!$B$2:$AG$33, MATCH(Table1[[#This Row],[AwayTeam]],Records!$A$2:$A$33, 0), MATCH(Table1[[#This Row],[HomeTeam]],Records!$A$2:$A$33, 0))</f>
        <v>0-0-0</v>
      </c>
      <c r="AP24" s="64" t="str">
        <f>INDEX(Table2[HOME_RECORD], MATCH(Table1[[#This Row],[HomeTeam]],Table2[Team], 0), 0)</f>
        <v>0-2-0</v>
      </c>
      <c r="AQ24" s="64" t="str">
        <f>INDEX(Records!$B$2:$AG$33, MATCH(Table1[[#This Row],[HomeTeam]],Records!$A$2:$A$33, 0), MATCH(Table1[[#This Row],[AwayTeam]],Records!$A$2:$A$33, 0))</f>
        <v>0-0-0</v>
      </c>
    </row>
    <row r="25" spans="1:43" x14ac:dyDescent="0.25">
      <c r="A25" s="1"/>
      <c r="D25" t="s">
        <v>190</v>
      </c>
      <c r="E25" t="s">
        <v>160</v>
      </c>
      <c r="F25" t="s">
        <v>193</v>
      </c>
      <c r="G25" t="s">
        <v>59</v>
      </c>
      <c r="H25" t="s">
        <v>57</v>
      </c>
      <c r="L2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5" s="1"/>
      <c r="T25" s="64" t="str">
        <f>IF(Table1[[#This Row],[ActualWinner]]="", "", IF(Table1[[#This Row],[AwayTeam]]=Table1[[#This Row],[ActualWinner]],Table1[[#This Row],[HomeTeam]],Table1[[#This Row],[AwayTeam]]))</f>
        <v/>
      </c>
      <c r="U25" s="64">
        <f>Table1[[#This Row],[ActualAwayScore]]-Table1[[#This Row],[PredictedAwayScore]]</f>
        <v>0</v>
      </c>
      <c r="V25" s="64">
        <f>Table1[[#This Row],[ActualHomeScore]]-Table1[[#This Row],[PredictedHomeScore]]</f>
        <v>0</v>
      </c>
      <c r="W25" s="64">
        <f>(0.8*IF(Table1[[#This Row],[CorrectWinnerPrediction]]=1, 1, 0))+(0.1*IF(Table1[[#This Row],[CorrectAwayScorePrediction]]=1, 1, 0))+(0.1*IF(Table1[[#This Row],[CorrectHomeScorePrediction]]=1, 1, 0))</f>
        <v>0</v>
      </c>
      <c r="X2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5" s="64">
        <f>SUMIF(Table1[GameDate], Table1[[#This Row],[GameDate]], Table1[AwayGameGoalDiff])</f>
        <v>0</v>
      </c>
      <c r="AA25" s="64">
        <f>SUMIF(Table1[GameDate], Table1[[#This Row],[GameDate]], Table1[HomeGameGoalDiff])</f>
        <v>0</v>
      </c>
      <c r="AB25" s="64">
        <f>IF(ISBLANK(Table1[[#This Row],[ActualResult]]), 0, 1)</f>
        <v>0</v>
      </c>
      <c r="AC25" s="64">
        <f>IF(ISBLANK(Table1[[#This Row],[ActualResult]]), 0, IF(Table1[[#This Row],[ActualWinner]]=Table1[[#This Row],[PredictedWinner]], 1, 0))</f>
        <v>0</v>
      </c>
      <c r="AD2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5" s="64">
        <f>IF(AND(Table1[[#This Row],[GameIsOver]]=1,Table1[[#This Row],[ActualAwayScore]]=0), 1,0)</f>
        <v>0</v>
      </c>
      <c r="AG25" s="64">
        <f>IF(AND(Table1[[#This Row],[GameIsOver]]=1,Table1[[#This Row],[ActualHomeScore]]=0), 1,0)</f>
        <v>0</v>
      </c>
      <c r="AH25" s="64">
        <f>IF(Table1[[#This Row],[GameIsOver]]=0,0,IF(Table1[[#This Row],[ActualWinner]]=Table1[[#This Row],[AwayTeam]], 1, 0))</f>
        <v>0</v>
      </c>
      <c r="AI25" s="64">
        <f>IF(Table1[[#This Row],[GameIsOver]]=0,0,IF(Table1[[#This Row],[ActualWinner]]=Table1[[#This Row],[HomeTeam]], 1, 0))</f>
        <v>0</v>
      </c>
      <c r="AJ25" s="64">
        <f>IF(INDEX(Standings!$A$2:$C$33,MATCH(Table1[[#This Row],[AwayTeam]],Standings!$A$2:$A$33,0),2)=INDEX(Standings!$A$2:$C$33,MATCH(Table1[[#This Row],[HomeTeam]],Standings!$A$2:$A$33,0),2),1,0)</f>
        <v>1</v>
      </c>
      <c r="AK25" s="64">
        <f>IF(INDEX(Standings!$A$2:$C$33,MATCH(Table1[[#This Row],[AwayTeam]],Standings!$A$2:$A$33,0),3)=INDEX(Standings!$A$2:$C$33,MATCH(Table1[[#This Row],[HomeTeam]],Standings!$A$2:$A$33,0),3),1,0)</f>
        <v>0</v>
      </c>
      <c r="AL25" s="64">
        <f>IF(Table1[[#This Row],[InterConf]]=1,IF(Table1[[#This Row],[InterDiv]]=0, 1, 0), 0)</f>
        <v>1</v>
      </c>
      <c r="AM25" s="64">
        <f>IF(INDEX(Standings!$A$2:$C$33,MATCH(Table1[[#This Row],[AwayTeam]],Standings!$A$2:$A$33,0),2)&lt;&gt;INDEX(Standings!$A$2:$C$33,MATCH(Table1[[#This Row],[HomeTeam]],Standings!$A$2:$A$33,0),2),1,0)</f>
        <v>0</v>
      </c>
      <c r="AN25" s="64" t="str">
        <f>INDEX(Table2[AWAY_RECORD], MATCH(Table1[[#This Row],[AwayTeam]],Table2[Team], 0), 0)</f>
        <v>0-1-0</v>
      </c>
      <c r="AO25" s="64" t="str">
        <f>INDEX(Records!$B$2:$AG$33, MATCH(Table1[[#This Row],[AwayTeam]],Records!$A$2:$A$33, 0), MATCH(Table1[[#This Row],[HomeTeam]],Records!$A$2:$A$33, 0))</f>
        <v>0-0-0</v>
      </c>
      <c r="AP25" s="64" t="str">
        <f>INDEX(Table2[HOME_RECORD], MATCH(Table1[[#This Row],[HomeTeam]],Table2[Team], 0), 0)</f>
        <v>0-0-0</v>
      </c>
      <c r="AQ25" s="64" t="str">
        <f>INDEX(Records!$B$2:$AG$33, MATCH(Table1[[#This Row],[HomeTeam]],Records!$A$2:$A$33, 0), MATCH(Table1[[#This Row],[AwayTeam]],Records!$A$2:$A$33, 0))</f>
        <v>0-0-0</v>
      </c>
    </row>
    <row r="26" spans="1:43" x14ac:dyDescent="0.25">
      <c r="A26" s="1"/>
      <c r="D26" t="s">
        <v>190</v>
      </c>
      <c r="E26" t="s">
        <v>160</v>
      </c>
      <c r="F26" t="s">
        <v>194</v>
      </c>
      <c r="G26" t="s">
        <v>40</v>
      </c>
      <c r="H26" t="s">
        <v>53</v>
      </c>
      <c r="L2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6" s="1"/>
      <c r="T26" s="64" t="str">
        <f>IF(Table1[[#This Row],[ActualWinner]]="", "", IF(Table1[[#This Row],[AwayTeam]]=Table1[[#This Row],[ActualWinner]],Table1[[#This Row],[HomeTeam]],Table1[[#This Row],[AwayTeam]]))</f>
        <v/>
      </c>
      <c r="U26" s="64">
        <f>Table1[[#This Row],[ActualAwayScore]]-Table1[[#This Row],[PredictedAwayScore]]</f>
        <v>0</v>
      </c>
      <c r="V26" s="64">
        <f>Table1[[#This Row],[ActualHomeScore]]-Table1[[#This Row],[PredictedHomeScore]]</f>
        <v>0</v>
      </c>
      <c r="W26" s="64">
        <f>(0.8*IF(Table1[[#This Row],[CorrectWinnerPrediction]]=1, 1, 0))+(0.1*IF(Table1[[#This Row],[CorrectAwayScorePrediction]]=1, 1, 0))+(0.1*IF(Table1[[#This Row],[CorrectHomeScorePrediction]]=1, 1, 0))</f>
        <v>0</v>
      </c>
      <c r="X2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6" s="64">
        <f>SUMIF(Table1[GameDate], Table1[[#This Row],[GameDate]], Table1[AwayGameGoalDiff])</f>
        <v>0</v>
      </c>
      <c r="AA26" s="64">
        <f>SUMIF(Table1[GameDate], Table1[[#This Row],[GameDate]], Table1[HomeGameGoalDiff])</f>
        <v>0</v>
      </c>
      <c r="AB26" s="64">
        <f>IF(ISBLANK(Table1[[#This Row],[ActualResult]]), 0, 1)</f>
        <v>0</v>
      </c>
      <c r="AC26" s="64">
        <f>IF(ISBLANK(Table1[[#This Row],[ActualResult]]), 0, IF(Table1[[#This Row],[ActualWinner]]=Table1[[#This Row],[PredictedWinner]], 1, 0))</f>
        <v>0</v>
      </c>
      <c r="AD2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6" s="64">
        <f>IF(AND(Table1[[#This Row],[GameIsOver]]=1,Table1[[#This Row],[ActualAwayScore]]=0), 1,0)</f>
        <v>0</v>
      </c>
      <c r="AG26" s="64">
        <f>IF(AND(Table1[[#This Row],[GameIsOver]]=1,Table1[[#This Row],[ActualHomeScore]]=0), 1,0)</f>
        <v>0</v>
      </c>
      <c r="AH26" s="64">
        <f>IF(Table1[[#This Row],[GameIsOver]]=0,0,IF(Table1[[#This Row],[ActualWinner]]=Table1[[#This Row],[AwayTeam]], 1, 0))</f>
        <v>0</v>
      </c>
      <c r="AI26" s="64">
        <f>IF(Table1[[#This Row],[GameIsOver]]=0,0,IF(Table1[[#This Row],[ActualWinner]]=Table1[[#This Row],[HomeTeam]], 1, 0))</f>
        <v>0</v>
      </c>
      <c r="AJ26" s="64">
        <f>IF(INDEX(Standings!$A$2:$C$33,MATCH(Table1[[#This Row],[AwayTeam]],Standings!$A$2:$A$33,0),2)=INDEX(Standings!$A$2:$C$33,MATCH(Table1[[#This Row],[HomeTeam]],Standings!$A$2:$A$33,0),2),1,0)</f>
        <v>1</v>
      </c>
      <c r="AK26" s="64">
        <f>IF(INDEX(Standings!$A$2:$C$33,MATCH(Table1[[#This Row],[AwayTeam]],Standings!$A$2:$A$33,0),3)=INDEX(Standings!$A$2:$C$33,MATCH(Table1[[#This Row],[HomeTeam]],Standings!$A$2:$A$33,0),3),1,0)</f>
        <v>1</v>
      </c>
      <c r="AL26" s="64">
        <f>IF(Table1[[#This Row],[InterConf]]=1,IF(Table1[[#This Row],[InterDiv]]=0, 1, 0), 0)</f>
        <v>0</v>
      </c>
      <c r="AM26" s="64">
        <f>IF(INDEX(Standings!$A$2:$C$33,MATCH(Table1[[#This Row],[AwayTeam]],Standings!$A$2:$A$33,0),2)&lt;&gt;INDEX(Standings!$A$2:$C$33,MATCH(Table1[[#This Row],[HomeTeam]],Standings!$A$2:$A$33,0),2),1,0)</f>
        <v>0</v>
      </c>
      <c r="AN26" s="64" t="str">
        <f>INDEX(Table2[AWAY_RECORD], MATCH(Table1[[#This Row],[AwayTeam]],Table2[Team], 0), 0)</f>
        <v>0-0-0</v>
      </c>
      <c r="AO26" s="64" t="str">
        <f>INDEX(Records!$B$2:$AG$33, MATCH(Table1[[#This Row],[AwayTeam]],Records!$A$2:$A$33, 0), MATCH(Table1[[#This Row],[HomeTeam]],Records!$A$2:$A$33, 0))</f>
        <v>0-0-0</v>
      </c>
      <c r="AP26" s="64" t="str">
        <f>INDEX(Table2[HOME_RECORD], MATCH(Table1[[#This Row],[HomeTeam]],Table2[Team], 0), 0)</f>
        <v>1-0-0</v>
      </c>
      <c r="AQ26" s="64" t="str">
        <f>INDEX(Records!$B$2:$AG$33, MATCH(Table1[[#This Row],[HomeTeam]],Records!$A$2:$A$33, 0), MATCH(Table1[[#This Row],[AwayTeam]],Records!$A$2:$A$33, 0))</f>
        <v>0-0-0</v>
      </c>
    </row>
    <row r="27" spans="1:43" x14ac:dyDescent="0.25">
      <c r="A27" s="1"/>
      <c r="D27" t="s">
        <v>190</v>
      </c>
      <c r="E27" t="s">
        <v>160</v>
      </c>
      <c r="F27" t="s">
        <v>195</v>
      </c>
      <c r="G27" t="s">
        <v>47</v>
      </c>
      <c r="H27" t="s">
        <v>54</v>
      </c>
      <c r="L2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7" s="1"/>
      <c r="T27" s="64" t="str">
        <f>IF(Table1[[#This Row],[ActualWinner]]="", "", IF(Table1[[#This Row],[AwayTeam]]=Table1[[#This Row],[ActualWinner]],Table1[[#This Row],[HomeTeam]],Table1[[#This Row],[AwayTeam]]))</f>
        <v/>
      </c>
      <c r="U27" s="64">
        <f>Table1[[#This Row],[ActualAwayScore]]-Table1[[#This Row],[PredictedAwayScore]]</f>
        <v>0</v>
      </c>
      <c r="V27" s="64">
        <f>Table1[[#This Row],[ActualHomeScore]]-Table1[[#This Row],[PredictedHomeScore]]</f>
        <v>0</v>
      </c>
      <c r="W27" s="64">
        <f>(0.8*IF(Table1[[#This Row],[CorrectWinnerPrediction]]=1, 1, 0))+(0.1*IF(Table1[[#This Row],[CorrectAwayScorePrediction]]=1, 1, 0))+(0.1*IF(Table1[[#This Row],[CorrectHomeScorePrediction]]=1, 1, 0))</f>
        <v>0</v>
      </c>
      <c r="X2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7" s="64">
        <f>SUMIF(Table1[GameDate], Table1[[#This Row],[GameDate]], Table1[AwayGameGoalDiff])</f>
        <v>0</v>
      </c>
      <c r="AA27" s="64">
        <f>SUMIF(Table1[GameDate], Table1[[#This Row],[GameDate]], Table1[HomeGameGoalDiff])</f>
        <v>0</v>
      </c>
      <c r="AB27" s="64">
        <f>IF(ISBLANK(Table1[[#This Row],[ActualResult]]), 0, 1)</f>
        <v>0</v>
      </c>
      <c r="AC27" s="64">
        <f>IF(ISBLANK(Table1[[#This Row],[ActualResult]]), 0, IF(Table1[[#This Row],[ActualWinner]]=Table1[[#This Row],[PredictedWinner]], 1, 0))</f>
        <v>0</v>
      </c>
      <c r="AD2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7" s="64">
        <f>IF(AND(Table1[[#This Row],[GameIsOver]]=1,Table1[[#This Row],[ActualAwayScore]]=0), 1,0)</f>
        <v>0</v>
      </c>
      <c r="AG27" s="64">
        <f>IF(AND(Table1[[#This Row],[GameIsOver]]=1,Table1[[#This Row],[ActualHomeScore]]=0), 1,0)</f>
        <v>0</v>
      </c>
      <c r="AH27" s="64">
        <f>IF(Table1[[#This Row],[GameIsOver]]=0,0,IF(Table1[[#This Row],[ActualWinner]]=Table1[[#This Row],[AwayTeam]], 1, 0))</f>
        <v>0</v>
      </c>
      <c r="AI27" s="64">
        <f>IF(Table1[[#This Row],[GameIsOver]]=0,0,IF(Table1[[#This Row],[ActualWinner]]=Table1[[#This Row],[HomeTeam]], 1, 0))</f>
        <v>0</v>
      </c>
      <c r="AJ27" s="64">
        <f>IF(INDEX(Standings!$A$2:$C$33,MATCH(Table1[[#This Row],[AwayTeam]],Standings!$A$2:$A$33,0),2)=INDEX(Standings!$A$2:$C$33,MATCH(Table1[[#This Row],[HomeTeam]],Standings!$A$2:$A$33,0),2),1,0)</f>
        <v>1</v>
      </c>
      <c r="AK27" s="64">
        <f>IF(INDEX(Standings!$A$2:$C$33,MATCH(Table1[[#This Row],[AwayTeam]],Standings!$A$2:$A$33,0),3)=INDEX(Standings!$A$2:$C$33,MATCH(Table1[[#This Row],[HomeTeam]],Standings!$A$2:$A$33,0),3),1,0)</f>
        <v>0</v>
      </c>
      <c r="AL27" s="64">
        <f>IF(Table1[[#This Row],[InterConf]]=1,IF(Table1[[#This Row],[InterDiv]]=0, 1, 0), 0)</f>
        <v>1</v>
      </c>
      <c r="AM27" s="64">
        <f>IF(INDEX(Standings!$A$2:$C$33,MATCH(Table1[[#This Row],[AwayTeam]],Standings!$A$2:$A$33,0),2)&lt;&gt;INDEX(Standings!$A$2:$C$33,MATCH(Table1[[#This Row],[HomeTeam]],Standings!$A$2:$A$33,0),2),1,0)</f>
        <v>0</v>
      </c>
      <c r="AN27" s="64" t="str">
        <f>INDEX(Table2[AWAY_RECORD], MATCH(Table1[[#This Row],[AwayTeam]],Table2[Team], 0), 0)</f>
        <v>1-0-0</v>
      </c>
      <c r="AO27" s="64" t="str">
        <f>INDEX(Records!$B$2:$AG$33, MATCH(Table1[[#This Row],[AwayTeam]],Records!$A$2:$A$33, 0), MATCH(Table1[[#This Row],[HomeTeam]],Records!$A$2:$A$33, 0))</f>
        <v>0-0-0</v>
      </c>
      <c r="AP27" s="64" t="str">
        <f>INDEX(Table2[HOME_RECORD], MATCH(Table1[[#This Row],[HomeTeam]],Table2[Team], 0), 0)</f>
        <v>0-0-0</v>
      </c>
      <c r="AQ27" s="64" t="str">
        <f>INDEX(Records!$B$2:$AG$33, MATCH(Table1[[#This Row],[HomeTeam]],Records!$A$2:$A$33, 0), MATCH(Table1[[#This Row],[AwayTeam]],Records!$A$2:$A$33, 0))</f>
        <v>0-0-0</v>
      </c>
    </row>
    <row r="28" spans="1:43" x14ac:dyDescent="0.25">
      <c r="A28" s="1"/>
      <c r="D28" t="s">
        <v>190</v>
      </c>
      <c r="E28" t="s">
        <v>160</v>
      </c>
      <c r="F28" t="s">
        <v>196</v>
      </c>
      <c r="G28" t="s">
        <v>58</v>
      </c>
      <c r="H28" t="s">
        <v>42</v>
      </c>
      <c r="L2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8" s="1"/>
      <c r="T28" s="64" t="str">
        <f>IF(Table1[[#This Row],[ActualWinner]]="", "", IF(Table1[[#This Row],[AwayTeam]]=Table1[[#This Row],[ActualWinner]],Table1[[#This Row],[HomeTeam]],Table1[[#This Row],[AwayTeam]]))</f>
        <v/>
      </c>
      <c r="U28" s="64">
        <f>Table1[[#This Row],[ActualAwayScore]]-Table1[[#This Row],[PredictedAwayScore]]</f>
        <v>0</v>
      </c>
      <c r="V28" s="64">
        <f>Table1[[#This Row],[ActualHomeScore]]-Table1[[#This Row],[PredictedHomeScore]]</f>
        <v>0</v>
      </c>
      <c r="W28" s="64">
        <f>(0.8*IF(Table1[[#This Row],[CorrectWinnerPrediction]]=1, 1, 0))+(0.1*IF(Table1[[#This Row],[CorrectAwayScorePrediction]]=1, 1, 0))+(0.1*IF(Table1[[#This Row],[CorrectHomeScorePrediction]]=1, 1, 0))</f>
        <v>0</v>
      </c>
      <c r="X2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8" s="64">
        <f>SUMIF(Table1[GameDate], Table1[[#This Row],[GameDate]], Table1[AwayGameGoalDiff])</f>
        <v>0</v>
      </c>
      <c r="AA28" s="64">
        <f>SUMIF(Table1[GameDate], Table1[[#This Row],[GameDate]], Table1[HomeGameGoalDiff])</f>
        <v>0</v>
      </c>
      <c r="AB28" s="64">
        <f>IF(ISBLANK(Table1[[#This Row],[ActualResult]]), 0, 1)</f>
        <v>0</v>
      </c>
      <c r="AC28" s="64">
        <f>IF(ISBLANK(Table1[[#This Row],[ActualResult]]), 0, IF(Table1[[#This Row],[ActualWinner]]=Table1[[#This Row],[PredictedWinner]], 1, 0))</f>
        <v>0</v>
      </c>
      <c r="AD2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8" s="64">
        <f>IF(AND(Table1[[#This Row],[GameIsOver]]=1,Table1[[#This Row],[ActualAwayScore]]=0), 1,0)</f>
        <v>0</v>
      </c>
      <c r="AG28" s="64">
        <f>IF(AND(Table1[[#This Row],[GameIsOver]]=1,Table1[[#This Row],[ActualHomeScore]]=0), 1,0)</f>
        <v>0</v>
      </c>
      <c r="AH28" s="64">
        <f>IF(Table1[[#This Row],[GameIsOver]]=0,0,IF(Table1[[#This Row],[ActualWinner]]=Table1[[#This Row],[AwayTeam]], 1, 0))</f>
        <v>0</v>
      </c>
      <c r="AI28" s="64">
        <f>IF(Table1[[#This Row],[GameIsOver]]=0,0,IF(Table1[[#This Row],[ActualWinner]]=Table1[[#This Row],[HomeTeam]], 1, 0))</f>
        <v>0</v>
      </c>
      <c r="AJ28" s="64">
        <f>IF(INDEX(Standings!$A$2:$C$33,MATCH(Table1[[#This Row],[AwayTeam]],Standings!$A$2:$A$33,0),2)=INDEX(Standings!$A$2:$C$33,MATCH(Table1[[#This Row],[HomeTeam]],Standings!$A$2:$A$33,0),2),1,0)</f>
        <v>0</v>
      </c>
      <c r="AK28" s="64">
        <f>IF(INDEX(Standings!$A$2:$C$33,MATCH(Table1[[#This Row],[AwayTeam]],Standings!$A$2:$A$33,0),3)=INDEX(Standings!$A$2:$C$33,MATCH(Table1[[#This Row],[HomeTeam]],Standings!$A$2:$A$33,0),3),1,0)</f>
        <v>0</v>
      </c>
      <c r="AL28" s="64">
        <f>IF(Table1[[#This Row],[InterConf]]=1,IF(Table1[[#This Row],[InterDiv]]=0, 1, 0), 0)</f>
        <v>0</v>
      </c>
      <c r="AM28" s="64">
        <f>IF(INDEX(Standings!$A$2:$C$33,MATCH(Table1[[#This Row],[AwayTeam]],Standings!$A$2:$A$33,0),2)&lt;&gt;INDEX(Standings!$A$2:$C$33,MATCH(Table1[[#This Row],[HomeTeam]],Standings!$A$2:$A$33,0),2),1,0)</f>
        <v>1</v>
      </c>
      <c r="AN28" s="64" t="str">
        <f>INDEX(Table2[AWAY_RECORD], MATCH(Table1[[#This Row],[AwayTeam]],Table2[Team], 0), 0)</f>
        <v>0-0-0</v>
      </c>
      <c r="AO28" s="64" t="str">
        <f>INDEX(Records!$B$2:$AG$33, MATCH(Table1[[#This Row],[AwayTeam]],Records!$A$2:$A$33, 0), MATCH(Table1[[#This Row],[HomeTeam]],Records!$A$2:$A$33, 0))</f>
        <v>0-0-0</v>
      </c>
      <c r="AP28" s="64" t="str">
        <f>INDEX(Table2[HOME_RECORD], MATCH(Table1[[#This Row],[HomeTeam]],Table2[Team], 0), 0)</f>
        <v>1-0-0</v>
      </c>
      <c r="AQ28" s="64" t="str">
        <f>INDEX(Records!$B$2:$AG$33, MATCH(Table1[[#This Row],[HomeTeam]],Records!$A$2:$A$33, 0), MATCH(Table1[[#This Row],[AwayTeam]],Records!$A$2:$A$33, 0))</f>
        <v>0-0-0</v>
      </c>
    </row>
    <row r="29" spans="1:43" x14ac:dyDescent="0.25">
      <c r="A29" s="1"/>
      <c r="D29" t="s">
        <v>190</v>
      </c>
      <c r="E29" t="s">
        <v>160</v>
      </c>
      <c r="F29" t="s">
        <v>197</v>
      </c>
      <c r="G29" t="s">
        <v>56</v>
      </c>
      <c r="H29" t="s">
        <v>45</v>
      </c>
      <c r="L2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9" s="1"/>
      <c r="T29" s="64" t="str">
        <f>IF(Table1[[#This Row],[ActualWinner]]="", "", IF(Table1[[#This Row],[AwayTeam]]=Table1[[#This Row],[ActualWinner]],Table1[[#This Row],[HomeTeam]],Table1[[#This Row],[AwayTeam]]))</f>
        <v/>
      </c>
      <c r="U29" s="64">
        <f>Table1[[#This Row],[ActualAwayScore]]-Table1[[#This Row],[PredictedAwayScore]]</f>
        <v>0</v>
      </c>
      <c r="V29" s="64">
        <f>Table1[[#This Row],[ActualHomeScore]]-Table1[[#This Row],[PredictedHomeScore]]</f>
        <v>0</v>
      </c>
      <c r="W29" s="64">
        <f>(0.8*IF(Table1[[#This Row],[CorrectWinnerPrediction]]=1, 1, 0))+(0.1*IF(Table1[[#This Row],[CorrectAwayScorePrediction]]=1, 1, 0))+(0.1*IF(Table1[[#This Row],[CorrectHomeScorePrediction]]=1, 1, 0))</f>
        <v>0</v>
      </c>
      <c r="X2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9" s="64">
        <f>SUMIF(Table1[GameDate], Table1[[#This Row],[GameDate]], Table1[AwayGameGoalDiff])</f>
        <v>0</v>
      </c>
      <c r="AA29" s="64">
        <f>SUMIF(Table1[GameDate], Table1[[#This Row],[GameDate]], Table1[HomeGameGoalDiff])</f>
        <v>0</v>
      </c>
      <c r="AB29" s="64">
        <f>IF(ISBLANK(Table1[[#This Row],[ActualResult]]), 0, 1)</f>
        <v>0</v>
      </c>
      <c r="AC29" s="64">
        <f>IF(ISBLANK(Table1[[#This Row],[ActualResult]]), 0, IF(Table1[[#This Row],[ActualWinner]]=Table1[[#This Row],[PredictedWinner]], 1, 0))</f>
        <v>0</v>
      </c>
      <c r="AD2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9" s="64">
        <f>IF(AND(Table1[[#This Row],[GameIsOver]]=1,Table1[[#This Row],[ActualAwayScore]]=0), 1,0)</f>
        <v>0</v>
      </c>
      <c r="AG29" s="64">
        <f>IF(AND(Table1[[#This Row],[GameIsOver]]=1,Table1[[#This Row],[ActualHomeScore]]=0), 1,0)</f>
        <v>0</v>
      </c>
      <c r="AH29" s="64">
        <f>IF(Table1[[#This Row],[GameIsOver]]=0,0,IF(Table1[[#This Row],[ActualWinner]]=Table1[[#This Row],[AwayTeam]], 1, 0))</f>
        <v>0</v>
      </c>
      <c r="AI29" s="64">
        <f>IF(Table1[[#This Row],[GameIsOver]]=0,0,IF(Table1[[#This Row],[ActualWinner]]=Table1[[#This Row],[HomeTeam]], 1, 0))</f>
        <v>0</v>
      </c>
      <c r="AJ29" s="64">
        <f>IF(INDEX(Standings!$A$2:$C$33,MATCH(Table1[[#This Row],[AwayTeam]],Standings!$A$2:$A$33,0),2)=INDEX(Standings!$A$2:$C$33,MATCH(Table1[[#This Row],[HomeTeam]],Standings!$A$2:$A$33,0),2),1,0)</f>
        <v>1</v>
      </c>
      <c r="AK29" s="64">
        <f>IF(INDEX(Standings!$A$2:$C$33,MATCH(Table1[[#This Row],[AwayTeam]],Standings!$A$2:$A$33,0),3)=INDEX(Standings!$A$2:$C$33,MATCH(Table1[[#This Row],[HomeTeam]],Standings!$A$2:$A$33,0),3),1,0)</f>
        <v>1</v>
      </c>
      <c r="AL29" s="64">
        <f>IF(Table1[[#This Row],[InterConf]]=1,IF(Table1[[#This Row],[InterDiv]]=0, 1, 0), 0)</f>
        <v>0</v>
      </c>
      <c r="AM29" s="64">
        <f>IF(INDEX(Standings!$A$2:$C$33,MATCH(Table1[[#This Row],[AwayTeam]],Standings!$A$2:$A$33,0),2)&lt;&gt;INDEX(Standings!$A$2:$C$33,MATCH(Table1[[#This Row],[HomeTeam]],Standings!$A$2:$A$33,0),2),1,0)</f>
        <v>0</v>
      </c>
      <c r="AN29" s="64" t="str">
        <f>INDEX(Table2[AWAY_RECORD], MATCH(Table1[[#This Row],[AwayTeam]],Table2[Team], 0), 0)</f>
        <v>1-0-0</v>
      </c>
      <c r="AO29" s="64" t="str">
        <f>INDEX(Records!$B$2:$AG$33, MATCH(Table1[[#This Row],[AwayTeam]],Records!$A$2:$A$33, 0), MATCH(Table1[[#This Row],[HomeTeam]],Records!$A$2:$A$33, 0))</f>
        <v>0-0-0</v>
      </c>
      <c r="AP29" s="64" t="str">
        <f>INDEX(Table2[HOME_RECORD], MATCH(Table1[[#This Row],[HomeTeam]],Table2[Team], 0), 0)</f>
        <v>1-0-0</v>
      </c>
      <c r="AQ29" s="64" t="str">
        <f>INDEX(Records!$B$2:$AG$33, MATCH(Table1[[#This Row],[HomeTeam]],Records!$A$2:$A$33, 0), MATCH(Table1[[#This Row],[AwayTeam]],Records!$A$2:$A$33, 0))</f>
        <v>0-0-0</v>
      </c>
    </row>
    <row r="30" spans="1:43" x14ac:dyDescent="0.25">
      <c r="A30" s="1"/>
      <c r="D30" t="s">
        <v>190</v>
      </c>
      <c r="E30" t="s">
        <v>169</v>
      </c>
      <c r="F30" t="s">
        <v>198</v>
      </c>
      <c r="G30" t="s">
        <v>49</v>
      </c>
      <c r="H30" t="s">
        <v>50</v>
      </c>
      <c r="L3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0" s="1"/>
      <c r="T30" s="64" t="str">
        <f>IF(Table1[[#This Row],[ActualWinner]]="", "", IF(Table1[[#This Row],[AwayTeam]]=Table1[[#This Row],[ActualWinner]],Table1[[#This Row],[HomeTeam]],Table1[[#This Row],[AwayTeam]]))</f>
        <v/>
      </c>
      <c r="U30" s="64">
        <f>Table1[[#This Row],[ActualAwayScore]]-Table1[[#This Row],[PredictedAwayScore]]</f>
        <v>0</v>
      </c>
      <c r="V30" s="64">
        <f>Table1[[#This Row],[ActualHomeScore]]-Table1[[#This Row],[PredictedHomeScore]]</f>
        <v>0</v>
      </c>
      <c r="W30" s="64">
        <f>(0.8*IF(Table1[[#This Row],[CorrectWinnerPrediction]]=1, 1, 0))+(0.1*IF(Table1[[#This Row],[CorrectAwayScorePrediction]]=1, 1, 0))+(0.1*IF(Table1[[#This Row],[CorrectHomeScorePrediction]]=1, 1, 0))</f>
        <v>0</v>
      </c>
      <c r="X3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0" s="64">
        <f>SUMIF(Table1[GameDate], Table1[[#This Row],[GameDate]], Table1[AwayGameGoalDiff])</f>
        <v>0</v>
      </c>
      <c r="AA30" s="64">
        <f>SUMIF(Table1[GameDate], Table1[[#This Row],[GameDate]], Table1[HomeGameGoalDiff])</f>
        <v>0</v>
      </c>
      <c r="AB30" s="64">
        <f>IF(ISBLANK(Table1[[#This Row],[ActualResult]]), 0, 1)</f>
        <v>0</v>
      </c>
      <c r="AC30" s="64">
        <f>IF(ISBLANK(Table1[[#This Row],[ActualResult]]), 0, IF(Table1[[#This Row],[ActualWinner]]=Table1[[#This Row],[PredictedWinner]], 1, 0))</f>
        <v>0</v>
      </c>
      <c r="AD3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0" s="64">
        <f>IF(AND(Table1[[#This Row],[GameIsOver]]=1,Table1[[#This Row],[ActualAwayScore]]=0), 1,0)</f>
        <v>0</v>
      </c>
      <c r="AG30" s="64">
        <f>IF(AND(Table1[[#This Row],[GameIsOver]]=1,Table1[[#This Row],[ActualHomeScore]]=0), 1,0)</f>
        <v>0</v>
      </c>
      <c r="AH30" s="64">
        <f>IF(Table1[[#This Row],[GameIsOver]]=0,0,IF(Table1[[#This Row],[ActualWinner]]=Table1[[#This Row],[AwayTeam]], 1, 0))</f>
        <v>0</v>
      </c>
      <c r="AI30" s="64">
        <f>IF(Table1[[#This Row],[GameIsOver]]=0,0,IF(Table1[[#This Row],[ActualWinner]]=Table1[[#This Row],[HomeTeam]], 1, 0))</f>
        <v>0</v>
      </c>
      <c r="AJ30" s="64">
        <f>IF(INDEX(Standings!$A$2:$C$33,MATCH(Table1[[#This Row],[AwayTeam]],Standings!$A$2:$A$33,0),2)=INDEX(Standings!$A$2:$C$33,MATCH(Table1[[#This Row],[HomeTeam]],Standings!$A$2:$A$33,0),2),1,0)</f>
        <v>1</v>
      </c>
      <c r="AK30" s="64">
        <f>IF(INDEX(Standings!$A$2:$C$33,MATCH(Table1[[#This Row],[AwayTeam]],Standings!$A$2:$A$33,0),3)=INDEX(Standings!$A$2:$C$33,MATCH(Table1[[#This Row],[HomeTeam]],Standings!$A$2:$A$33,0),3),1,0)</f>
        <v>1</v>
      </c>
      <c r="AL30" s="64">
        <f>IF(Table1[[#This Row],[InterConf]]=1,IF(Table1[[#This Row],[InterDiv]]=0, 1, 0), 0)</f>
        <v>0</v>
      </c>
      <c r="AM30" s="64">
        <f>IF(INDEX(Standings!$A$2:$C$33,MATCH(Table1[[#This Row],[AwayTeam]],Standings!$A$2:$A$33,0),2)&lt;&gt;INDEX(Standings!$A$2:$C$33,MATCH(Table1[[#This Row],[HomeTeam]],Standings!$A$2:$A$33,0),2),1,0)</f>
        <v>0</v>
      </c>
      <c r="AN30" s="64" t="str">
        <f>INDEX(Table2[AWAY_RECORD], MATCH(Table1[[#This Row],[AwayTeam]],Table2[Team], 0), 0)</f>
        <v>0-0-0</v>
      </c>
      <c r="AO30" s="64" t="str">
        <f>INDEX(Records!$B$2:$AG$33, MATCH(Table1[[#This Row],[AwayTeam]],Records!$A$2:$A$33, 0), MATCH(Table1[[#This Row],[HomeTeam]],Records!$A$2:$A$33, 0))</f>
        <v>0-0-0</v>
      </c>
      <c r="AP30" s="64" t="str">
        <f>INDEX(Table2[HOME_RECORD], MATCH(Table1[[#This Row],[HomeTeam]],Table2[Team], 0), 0)</f>
        <v>0-0-0</v>
      </c>
      <c r="AQ30" s="64" t="str">
        <f>INDEX(Records!$B$2:$AG$33, MATCH(Table1[[#This Row],[HomeTeam]],Records!$A$2:$A$33, 0), MATCH(Table1[[#This Row],[AwayTeam]],Records!$A$2:$A$33, 0))</f>
        <v>0-0-0</v>
      </c>
    </row>
    <row r="31" spans="1:43" x14ac:dyDescent="0.25">
      <c r="A31" s="1"/>
      <c r="D31" t="s">
        <v>190</v>
      </c>
      <c r="E31" t="s">
        <v>162</v>
      </c>
      <c r="F31" t="s">
        <v>199</v>
      </c>
      <c r="G31" t="s">
        <v>43</v>
      </c>
      <c r="H31" t="s">
        <v>48</v>
      </c>
      <c r="L3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1" s="1"/>
      <c r="T31" s="64" t="str">
        <f>IF(Table1[[#This Row],[ActualWinner]]="", "", IF(Table1[[#This Row],[AwayTeam]]=Table1[[#This Row],[ActualWinner]],Table1[[#This Row],[HomeTeam]],Table1[[#This Row],[AwayTeam]]))</f>
        <v/>
      </c>
      <c r="U31" s="64">
        <f>Table1[[#This Row],[ActualAwayScore]]-Table1[[#This Row],[PredictedAwayScore]]</f>
        <v>0</v>
      </c>
      <c r="V31" s="64">
        <f>Table1[[#This Row],[ActualHomeScore]]-Table1[[#This Row],[PredictedHomeScore]]</f>
        <v>0</v>
      </c>
      <c r="W31" s="64">
        <f>(0.8*IF(Table1[[#This Row],[CorrectWinnerPrediction]]=1, 1, 0))+(0.1*IF(Table1[[#This Row],[CorrectAwayScorePrediction]]=1, 1, 0))+(0.1*IF(Table1[[#This Row],[CorrectHomeScorePrediction]]=1, 1, 0))</f>
        <v>0</v>
      </c>
      <c r="X3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1" s="64">
        <f>SUMIF(Table1[GameDate], Table1[[#This Row],[GameDate]], Table1[AwayGameGoalDiff])</f>
        <v>0</v>
      </c>
      <c r="AA31" s="64">
        <f>SUMIF(Table1[GameDate], Table1[[#This Row],[GameDate]], Table1[HomeGameGoalDiff])</f>
        <v>0</v>
      </c>
      <c r="AB31" s="64">
        <f>IF(ISBLANK(Table1[[#This Row],[ActualResult]]), 0, 1)</f>
        <v>0</v>
      </c>
      <c r="AC31" s="64">
        <f>IF(ISBLANK(Table1[[#This Row],[ActualResult]]), 0, IF(Table1[[#This Row],[ActualWinner]]=Table1[[#This Row],[PredictedWinner]], 1, 0))</f>
        <v>0</v>
      </c>
      <c r="AD3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1" s="64">
        <f>IF(AND(Table1[[#This Row],[GameIsOver]]=1,Table1[[#This Row],[ActualAwayScore]]=0), 1,0)</f>
        <v>0</v>
      </c>
      <c r="AG31" s="64">
        <f>IF(AND(Table1[[#This Row],[GameIsOver]]=1,Table1[[#This Row],[ActualHomeScore]]=0), 1,0)</f>
        <v>0</v>
      </c>
      <c r="AH31" s="64">
        <f>IF(Table1[[#This Row],[GameIsOver]]=0,0,IF(Table1[[#This Row],[ActualWinner]]=Table1[[#This Row],[AwayTeam]], 1, 0))</f>
        <v>0</v>
      </c>
      <c r="AI31" s="64">
        <f>IF(Table1[[#This Row],[GameIsOver]]=0,0,IF(Table1[[#This Row],[ActualWinner]]=Table1[[#This Row],[HomeTeam]], 1, 0))</f>
        <v>0</v>
      </c>
      <c r="AJ31" s="64">
        <f>IF(INDEX(Standings!$A$2:$C$33,MATCH(Table1[[#This Row],[AwayTeam]],Standings!$A$2:$A$33,0),2)=INDEX(Standings!$A$2:$C$33,MATCH(Table1[[#This Row],[HomeTeam]],Standings!$A$2:$A$33,0),2),1,0)</f>
        <v>1</v>
      </c>
      <c r="AK31" s="64">
        <f>IF(INDEX(Standings!$A$2:$C$33,MATCH(Table1[[#This Row],[AwayTeam]],Standings!$A$2:$A$33,0),3)=INDEX(Standings!$A$2:$C$33,MATCH(Table1[[#This Row],[HomeTeam]],Standings!$A$2:$A$33,0),3),1,0)</f>
        <v>1</v>
      </c>
      <c r="AL31" s="64">
        <f>IF(Table1[[#This Row],[InterConf]]=1,IF(Table1[[#This Row],[InterDiv]]=0, 1, 0), 0)</f>
        <v>0</v>
      </c>
      <c r="AM31" s="64">
        <f>IF(INDEX(Standings!$A$2:$C$33,MATCH(Table1[[#This Row],[AwayTeam]],Standings!$A$2:$A$33,0),2)&lt;&gt;INDEX(Standings!$A$2:$C$33,MATCH(Table1[[#This Row],[HomeTeam]],Standings!$A$2:$A$33,0),2),1,0)</f>
        <v>0</v>
      </c>
      <c r="AN31" s="64" t="str">
        <f>INDEX(Table2[AWAY_RECORD], MATCH(Table1[[#This Row],[AwayTeam]],Table2[Team], 0), 0)</f>
        <v>0-0-0</v>
      </c>
      <c r="AO31" s="64" t="str">
        <f>INDEX(Records!$B$2:$AG$33, MATCH(Table1[[#This Row],[AwayTeam]],Records!$A$2:$A$33, 0), MATCH(Table1[[#This Row],[HomeTeam]],Records!$A$2:$A$33, 0))</f>
        <v>0-0-0</v>
      </c>
      <c r="AP31" s="64" t="str">
        <f>INDEX(Table2[HOME_RECORD], MATCH(Table1[[#This Row],[HomeTeam]],Table2[Team], 0), 0)</f>
        <v>1-0-0</v>
      </c>
      <c r="AQ31" s="64" t="str">
        <f>INDEX(Records!$B$2:$AG$33, MATCH(Table1[[#This Row],[HomeTeam]],Records!$A$2:$A$33, 0), MATCH(Table1[[#This Row],[AwayTeam]],Records!$A$2:$A$33, 0))</f>
        <v>0-0-0</v>
      </c>
    </row>
    <row r="32" spans="1:43" x14ac:dyDescent="0.25">
      <c r="A32" s="1"/>
      <c r="D32" t="s">
        <v>190</v>
      </c>
      <c r="E32" t="s">
        <v>162</v>
      </c>
      <c r="F32" t="s">
        <v>200</v>
      </c>
      <c r="G32" t="s">
        <v>37</v>
      </c>
      <c r="H32" t="s">
        <v>22</v>
      </c>
      <c r="L3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2" s="1"/>
      <c r="T32" s="64" t="str">
        <f>IF(Table1[[#This Row],[ActualWinner]]="", "", IF(Table1[[#This Row],[AwayTeam]]=Table1[[#This Row],[ActualWinner]],Table1[[#This Row],[HomeTeam]],Table1[[#This Row],[AwayTeam]]))</f>
        <v/>
      </c>
      <c r="U32" s="64">
        <f>Table1[[#This Row],[ActualAwayScore]]-Table1[[#This Row],[PredictedAwayScore]]</f>
        <v>0</v>
      </c>
      <c r="V32" s="64">
        <f>Table1[[#This Row],[ActualHomeScore]]-Table1[[#This Row],[PredictedHomeScore]]</f>
        <v>0</v>
      </c>
      <c r="W32" s="64">
        <f>(0.8*IF(Table1[[#This Row],[CorrectWinnerPrediction]]=1, 1, 0))+(0.1*IF(Table1[[#This Row],[CorrectAwayScorePrediction]]=1, 1, 0))+(0.1*IF(Table1[[#This Row],[CorrectHomeScorePrediction]]=1, 1, 0))</f>
        <v>0</v>
      </c>
      <c r="X3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2" s="64">
        <f>SUMIF(Table1[GameDate], Table1[[#This Row],[GameDate]], Table1[AwayGameGoalDiff])</f>
        <v>0</v>
      </c>
      <c r="AA32" s="64">
        <f>SUMIF(Table1[GameDate], Table1[[#This Row],[GameDate]], Table1[HomeGameGoalDiff])</f>
        <v>0</v>
      </c>
      <c r="AB32" s="64">
        <f>IF(ISBLANK(Table1[[#This Row],[ActualResult]]), 0, 1)</f>
        <v>0</v>
      </c>
      <c r="AC32" s="64">
        <f>IF(ISBLANK(Table1[[#This Row],[ActualResult]]), 0, IF(Table1[[#This Row],[ActualWinner]]=Table1[[#This Row],[PredictedWinner]], 1, 0))</f>
        <v>0</v>
      </c>
      <c r="AD3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2" s="64">
        <f>IF(AND(Table1[[#This Row],[GameIsOver]]=1,Table1[[#This Row],[ActualAwayScore]]=0), 1,0)</f>
        <v>0</v>
      </c>
      <c r="AG32" s="64">
        <f>IF(AND(Table1[[#This Row],[GameIsOver]]=1,Table1[[#This Row],[ActualHomeScore]]=0), 1,0)</f>
        <v>0</v>
      </c>
      <c r="AH32" s="64">
        <f>IF(Table1[[#This Row],[GameIsOver]]=0,0,IF(Table1[[#This Row],[ActualWinner]]=Table1[[#This Row],[AwayTeam]], 1, 0))</f>
        <v>0</v>
      </c>
      <c r="AI32" s="64">
        <f>IF(Table1[[#This Row],[GameIsOver]]=0,0,IF(Table1[[#This Row],[ActualWinner]]=Table1[[#This Row],[HomeTeam]], 1, 0))</f>
        <v>0</v>
      </c>
      <c r="AJ32" s="64">
        <f>IF(INDEX(Standings!$A$2:$C$33,MATCH(Table1[[#This Row],[AwayTeam]],Standings!$A$2:$A$33,0),2)=INDEX(Standings!$A$2:$C$33,MATCH(Table1[[#This Row],[HomeTeam]],Standings!$A$2:$A$33,0),2),1,0)</f>
        <v>0</v>
      </c>
      <c r="AK32" s="64">
        <f>IF(INDEX(Standings!$A$2:$C$33,MATCH(Table1[[#This Row],[AwayTeam]],Standings!$A$2:$A$33,0),3)=INDEX(Standings!$A$2:$C$33,MATCH(Table1[[#This Row],[HomeTeam]],Standings!$A$2:$A$33,0),3),1,0)</f>
        <v>0</v>
      </c>
      <c r="AL32" s="64">
        <f>IF(Table1[[#This Row],[InterConf]]=1,IF(Table1[[#This Row],[InterDiv]]=0, 1, 0), 0)</f>
        <v>0</v>
      </c>
      <c r="AM32" s="64">
        <f>IF(INDEX(Standings!$A$2:$C$33,MATCH(Table1[[#This Row],[AwayTeam]],Standings!$A$2:$A$33,0),2)&lt;&gt;INDEX(Standings!$A$2:$C$33,MATCH(Table1[[#This Row],[HomeTeam]],Standings!$A$2:$A$33,0),2),1,0)</f>
        <v>1</v>
      </c>
      <c r="AN32" s="64" t="str">
        <f>INDEX(Table2[AWAY_RECORD], MATCH(Table1[[#This Row],[AwayTeam]],Table2[Team], 0), 0)</f>
        <v>0-0-1</v>
      </c>
      <c r="AO32" s="64" t="str">
        <f>INDEX(Records!$B$2:$AG$33, MATCH(Table1[[#This Row],[AwayTeam]],Records!$A$2:$A$33, 0), MATCH(Table1[[#This Row],[HomeTeam]],Records!$A$2:$A$33, 0))</f>
        <v>0-0-0</v>
      </c>
      <c r="AP32" s="64" t="str">
        <f>INDEX(Table2[HOME_RECORD], MATCH(Table1[[#This Row],[HomeTeam]],Table2[Team], 0), 0)</f>
        <v>0-0-0</v>
      </c>
      <c r="AQ32" s="64" t="str">
        <f>INDEX(Records!$B$2:$AG$33, MATCH(Table1[[#This Row],[HomeTeam]],Records!$A$2:$A$33, 0), MATCH(Table1[[#This Row],[AwayTeam]],Records!$A$2:$A$33, 0))</f>
        <v>0-0-0</v>
      </c>
    </row>
    <row r="33" spans="1:43" x14ac:dyDescent="0.25">
      <c r="A33" s="1"/>
      <c r="D33" t="s">
        <v>190</v>
      </c>
      <c r="E33" t="s">
        <v>178</v>
      </c>
      <c r="F33" t="s">
        <v>201</v>
      </c>
      <c r="G33" t="s">
        <v>61</v>
      </c>
      <c r="H33" t="s">
        <v>41</v>
      </c>
      <c r="L3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3" s="1"/>
      <c r="T33" s="64" t="str">
        <f>IF(Table1[[#This Row],[ActualWinner]]="", "", IF(Table1[[#This Row],[AwayTeam]]=Table1[[#This Row],[ActualWinner]],Table1[[#This Row],[HomeTeam]],Table1[[#This Row],[AwayTeam]]))</f>
        <v/>
      </c>
      <c r="U33" s="64">
        <f>Table1[[#This Row],[ActualAwayScore]]-Table1[[#This Row],[PredictedAwayScore]]</f>
        <v>0</v>
      </c>
      <c r="V33" s="64">
        <f>Table1[[#This Row],[ActualHomeScore]]-Table1[[#This Row],[PredictedHomeScore]]</f>
        <v>0</v>
      </c>
      <c r="W33" s="64">
        <f>(0.8*IF(Table1[[#This Row],[CorrectWinnerPrediction]]=1, 1, 0))+(0.1*IF(Table1[[#This Row],[CorrectAwayScorePrediction]]=1, 1, 0))+(0.1*IF(Table1[[#This Row],[CorrectHomeScorePrediction]]=1, 1, 0))</f>
        <v>0</v>
      </c>
      <c r="X3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3" s="64">
        <f>SUMIF(Table1[GameDate], Table1[[#This Row],[GameDate]], Table1[AwayGameGoalDiff])</f>
        <v>0</v>
      </c>
      <c r="AA33" s="64">
        <f>SUMIF(Table1[GameDate], Table1[[#This Row],[GameDate]], Table1[HomeGameGoalDiff])</f>
        <v>0</v>
      </c>
      <c r="AB33" s="64">
        <f>IF(ISBLANK(Table1[[#This Row],[ActualResult]]), 0, 1)</f>
        <v>0</v>
      </c>
      <c r="AC33" s="64">
        <f>IF(ISBLANK(Table1[[#This Row],[ActualResult]]), 0, IF(Table1[[#This Row],[ActualWinner]]=Table1[[#This Row],[PredictedWinner]], 1, 0))</f>
        <v>0</v>
      </c>
      <c r="AD3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3" s="64">
        <f>IF(AND(Table1[[#This Row],[GameIsOver]]=1,Table1[[#This Row],[ActualAwayScore]]=0), 1,0)</f>
        <v>0</v>
      </c>
      <c r="AG33" s="64">
        <f>IF(AND(Table1[[#This Row],[GameIsOver]]=1,Table1[[#This Row],[ActualHomeScore]]=0), 1,0)</f>
        <v>0</v>
      </c>
      <c r="AH33" s="64">
        <f>IF(Table1[[#This Row],[GameIsOver]]=0,0,IF(Table1[[#This Row],[ActualWinner]]=Table1[[#This Row],[AwayTeam]], 1, 0))</f>
        <v>0</v>
      </c>
      <c r="AI33" s="64">
        <f>IF(Table1[[#This Row],[GameIsOver]]=0,0,IF(Table1[[#This Row],[ActualWinner]]=Table1[[#This Row],[HomeTeam]], 1, 0))</f>
        <v>0</v>
      </c>
      <c r="AJ33" s="64">
        <f>IF(INDEX(Standings!$A$2:$C$33,MATCH(Table1[[#This Row],[AwayTeam]],Standings!$A$2:$A$33,0),2)=INDEX(Standings!$A$2:$C$33,MATCH(Table1[[#This Row],[HomeTeam]],Standings!$A$2:$A$33,0),2),1,0)</f>
        <v>1</v>
      </c>
      <c r="AK33" s="64">
        <f>IF(INDEX(Standings!$A$2:$C$33,MATCH(Table1[[#This Row],[AwayTeam]],Standings!$A$2:$A$33,0),3)=INDEX(Standings!$A$2:$C$33,MATCH(Table1[[#This Row],[HomeTeam]],Standings!$A$2:$A$33,0),3),1,0)</f>
        <v>1</v>
      </c>
      <c r="AL33" s="64">
        <f>IF(Table1[[#This Row],[InterConf]]=1,IF(Table1[[#This Row],[InterDiv]]=0, 1, 0), 0)</f>
        <v>0</v>
      </c>
      <c r="AM33" s="64">
        <f>IF(INDEX(Standings!$A$2:$C$33,MATCH(Table1[[#This Row],[AwayTeam]],Standings!$A$2:$A$33,0),2)&lt;&gt;INDEX(Standings!$A$2:$C$33,MATCH(Table1[[#This Row],[HomeTeam]],Standings!$A$2:$A$33,0),2),1,0)</f>
        <v>0</v>
      </c>
      <c r="AN33" s="64" t="str">
        <f>INDEX(Table2[AWAY_RECORD], MATCH(Table1[[#This Row],[AwayTeam]],Table2[Team], 0), 0)</f>
        <v>0-0-0</v>
      </c>
      <c r="AO33" s="64" t="str">
        <f>INDEX(Records!$B$2:$AG$33, MATCH(Table1[[#This Row],[AwayTeam]],Records!$A$2:$A$33, 0), MATCH(Table1[[#This Row],[HomeTeam]],Records!$A$2:$A$33, 0))</f>
        <v>0-0-0</v>
      </c>
      <c r="AP33" s="64" t="str">
        <f>INDEX(Table2[HOME_RECORD], MATCH(Table1[[#This Row],[HomeTeam]],Table2[Team], 0), 0)</f>
        <v>0-0-1</v>
      </c>
      <c r="AQ33" s="64" t="str">
        <f>INDEX(Records!$B$2:$AG$33, MATCH(Table1[[#This Row],[HomeTeam]],Records!$A$2:$A$33, 0), MATCH(Table1[[#This Row],[AwayTeam]],Records!$A$2:$A$33, 0))</f>
        <v>0-0-0</v>
      </c>
    </row>
    <row r="34" spans="1:43" x14ac:dyDescent="0.25">
      <c r="A34" s="1"/>
      <c r="D34" t="s">
        <v>190</v>
      </c>
      <c r="E34" t="s">
        <v>164</v>
      </c>
      <c r="F34" t="s">
        <v>202</v>
      </c>
      <c r="G34" t="s">
        <v>39</v>
      </c>
      <c r="H34" t="s">
        <v>23</v>
      </c>
      <c r="L3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4" s="1"/>
      <c r="T34" s="64" t="str">
        <f>IF(Table1[[#This Row],[ActualWinner]]="", "", IF(Table1[[#This Row],[AwayTeam]]=Table1[[#This Row],[ActualWinner]],Table1[[#This Row],[HomeTeam]],Table1[[#This Row],[AwayTeam]]))</f>
        <v/>
      </c>
      <c r="U34" s="64">
        <f>Table1[[#This Row],[ActualAwayScore]]-Table1[[#This Row],[PredictedAwayScore]]</f>
        <v>0</v>
      </c>
      <c r="V34" s="64">
        <f>Table1[[#This Row],[ActualHomeScore]]-Table1[[#This Row],[PredictedHomeScore]]</f>
        <v>0</v>
      </c>
      <c r="W34" s="64">
        <f>(0.8*IF(Table1[[#This Row],[CorrectWinnerPrediction]]=1, 1, 0))+(0.1*IF(Table1[[#This Row],[CorrectAwayScorePrediction]]=1, 1, 0))+(0.1*IF(Table1[[#This Row],[CorrectHomeScorePrediction]]=1, 1, 0))</f>
        <v>0</v>
      </c>
      <c r="X3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4" s="64">
        <f>SUMIF(Table1[GameDate], Table1[[#This Row],[GameDate]], Table1[AwayGameGoalDiff])</f>
        <v>0</v>
      </c>
      <c r="AA34" s="64">
        <f>SUMIF(Table1[GameDate], Table1[[#This Row],[GameDate]], Table1[HomeGameGoalDiff])</f>
        <v>0</v>
      </c>
      <c r="AB34" s="64">
        <f>IF(ISBLANK(Table1[[#This Row],[ActualResult]]), 0, 1)</f>
        <v>0</v>
      </c>
      <c r="AC34" s="64">
        <f>IF(ISBLANK(Table1[[#This Row],[ActualResult]]), 0, IF(Table1[[#This Row],[ActualWinner]]=Table1[[#This Row],[PredictedWinner]], 1, 0))</f>
        <v>0</v>
      </c>
      <c r="AD3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4" s="64">
        <f>IF(AND(Table1[[#This Row],[GameIsOver]]=1,Table1[[#This Row],[ActualAwayScore]]=0), 1,0)</f>
        <v>0</v>
      </c>
      <c r="AG34" s="64">
        <f>IF(AND(Table1[[#This Row],[GameIsOver]]=1,Table1[[#This Row],[ActualHomeScore]]=0), 1,0)</f>
        <v>0</v>
      </c>
      <c r="AH34" s="64">
        <f>IF(Table1[[#This Row],[GameIsOver]]=0,0,IF(Table1[[#This Row],[ActualWinner]]=Table1[[#This Row],[AwayTeam]], 1, 0))</f>
        <v>0</v>
      </c>
      <c r="AI34" s="64">
        <f>IF(Table1[[#This Row],[GameIsOver]]=0,0,IF(Table1[[#This Row],[ActualWinner]]=Table1[[#This Row],[HomeTeam]], 1, 0))</f>
        <v>0</v>
      </c>
      <c r="AJ34" s="64">
        <f>IF(INDEX(Standings!$A$2:$C$33,MATCH(Table1[[#This Row],[AwayTeam]],Standings!$A$2:$A$33,0),2)=INDEX(Standings!$A$2:$C$33,MATCH(Table1[[#This Row],[HomeTeam]],Standings!$A$2:$A$33,0),2),1,0)</f>
        <v>1</v>
      </c>
      <c r="AK34" s="64">
        <f>IF(INDEX(Standings!$A$2:$C$33,MATCH(Table1[[#This Row],[AwayTeam]],Standings!$A$2:$A$33,0),3)=INDEX(Standings!$A$2:$C$33,MATCH(Table1[[#This Row],[HomeTeam]],Standings!$A$2:$A$33,0),3),1,0)</f>
        <v>1</v>
      </c>
      <c r="AL34" s="64">
        <f>IF(Table1[[#This Row],[InterConf]]=1,IF(Table1[[#This Row],[InterDiv]]=0, 1, 0), 0)</f>
        <v>0</v>
      </c>
      <c r="AM34" s="64">
        <f>IF(INDEX(Standings!$A$2:$C$33,MATCH(Table1[[#This Row],[AwayTeam]],Standings!$A$2:$A$33,0),2)&lt;&gt;INDEX(Standings!$A$2:$C$33,MATCH(Table1[[#This Row],[HomeTeam]],Standings!$A$2:$A$33,0),2),1,0)</f>
        <v>0</v>
      </c>
      <c r="AN34" s="64" t="str">
        <f>INDEX(Table2[AWAY_RECORD], MATCH(Table1[[#This Row],[AwayTeam]],Table2[Team], 0), 0)</f>
        <v>0-0-0</v>
      </c>
      <c r="AO34" s="64" t="str">
        <f>INDEX(Records!$B$2:$AG$33, MATCH(Table1[[#This Row],[AwayTeam]],Records!$A$2:$A$33, 0), MATCH(Table1[[#This Row],[HomeTeam]],Records!$A$2:$A$33, 0))</f>
        <v>0-0-0</v>
      </c>
      <c r="AP34" s="64" t="str">
        <f>INDEX(Table2[HOME_RECORD], MATCH(Table1[[#This Row],[HomeTeam]],Table2[Team], 0), 0)</f>
        <v>0-0-1</v>
      </c>
      <c r="AQ34" s="64" t="str">
        <f>INDEX(Records!$B$2:$AG$33, MATCH(Table1[[#This Row],[HomeTeam]],Records!$A$2:$A$33, 0), MATCH(Table1[[#This Row],[AwayTeam]],Records!$A$2:$A$33, 0))</f>
        <v>0-0-0</v>
      </c>
    </row>
    <row r="35" spans="1:43" x14ac:dyDescent="0.25">
      <c r="A35" s="1"/>
      <c r="D35" t="s">
        <v>190</v>
      </c>
      <c r="E35" t="s">
        <v>164</v>
      </c>
      <c r="F35" t="s">
        <v>203</v>
      </c>
      <c r="G35" t="s">
        <v>46</v>
      </c>
      <c r="H35" t="s">
        <v>55</v>
      </c>
      <c r="L3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5" s="1"/>
      <c r="T35" s="64" t="str">
        <f>IF(Table1[[#This Row],[ActualWinner]]="", "", IF(Table1[[#This Row],[AwayTeam]]=Table1[[#This Row],[ActualWinner]],Table1[[#This Row],[HomeTeam]],Table1[[#This Row],[AwayTeam]]))</f>
        <v/>
      </c>
      <c r="U35" s="64">
        <f>Table1[[#This Row],[ActualAwayScore]]-Table1[[#This Row],[PredictedAwayScore]]</f>
        <v>0</v>
      </c>
      <c r="V35" s="64">
        <f>Table1[[#This Row],[ActualHomeScore]]-Table1[[#This Row],[PredictedHomeScore]]</f>
        <v>0</v>
      </c>
      <c r="W35" s="64">
        <f>(0.8*IF(Table1[[#This Row],[CorrectWinnerPrediction]]=1, 1, 0))+(0.1*IF(Table1[[#This Row],[CorrectAwayScorePrediction]]=1, 1, 0))+(0.1*IF(Table1[[#This Row],[CorrectHomeScorePrediction]]=1, 1, 0))</f>
        <v>0</v>
      </c>
      <c r="X3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5" s="64">
        <f>SUMIF(Table1[GameDate], Table1[[#This Row],[GameDate]], Table1[AwayGameGoalDiff])</f>
        <v>0</v>
      </c>
      <c r="AA35" s="64">
        <f>SUMIF(Table1[GameDate], Table1[[#This Row],[GameDate]], Table1[HomeGameGoalDiff])</f>
        <v>0</v>
      </c>
      <c r="AB35" s="64">
        <f>IF(ISBLANK(Table1[[#This Row],[ActualResult]]), 0, 1)</f>
        <v>0</v>
      </c>
      <c r="AC35" s="64">
        <f>IF(ISBLANK(Table1[[#This Row],[ActualResult]]), 0, IF(Table1[[#This Row],[ActualWinner]]=Table1[[#This Row],[PredictedWinner]], 1, 0))</f>
        <v>0</v>
      </c>
      <c r="AD3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5" s="64">
        <f>IF(AND(Table1[[#This Row],[GameIsOver]]=1,Table1[[#This Row],[ActualAwayScore]]=0), 1,0)</f>
        <v>0</v>
      </c>
      <c r="AG35" s="64">
        <f>IF(AND(Table1[[#This Row],[GameIsOver]]=1,Table1[[#This Row],[ActualHomeScore]]=0), 1,0)</f>
        <v>0</v>
      </c>
      <c r="AH35" s="64">
        <f>IF(Table1[[#This Row],[GameIsOver]]=0,0,IF(Table1[[#This Row],[ActualWinner]]=Table1[[#This Row],[AwayTeam]], 1, 0))</f>
        <v>0</v>
      </c>
      <c r="AI35" s="64">
        <f>IF(Table1[[#This Row],[GameIsOver]]=0,0,IF(Table1[[#This Row],[ActualWinner]]=Table1[[#This Row],[HomeTeam]], 1, 0))</f>
        <v>0</v>
      </c>
      <c r="AJ35" s="64">
        <f>IF(INDEX(Standings!$A$2:$C$33,MATCH(Table1[[#This Row],[AwayTeam]],Standings!$A$2:$A$33,0),2)=INDEX(Standings!$A$2:$C$33,MATCH(Table1[[#This Row],[HomeTeam]],Standings!$A$2:$A$33,0),2),1,0)</f>
        <v>1</v>
      </c>
      <c r="AK35" s="64">
        <f>IF(INDEX(Standings!$A$2:$C$33,MATCH(Table1[[#This Row],[AwayTeam]],Standings!$A$2:$A$33,0),3)=INDEX(Standings!$A$2:$C$33,MATCH(Table1[[#This Row],[HomeTeam]],Standings!$A$2:$A$33,0),3),1,0)</f>
        <v>1</v>
      </c>
      <c r="AL35" s="64">
        <f>IF(Table1[[#This Row],[InterConf]]=1,IF(Table1[[#This Row],[InterDiv]]=0, 1, 0), 0)</f>
        <v>0</v>
      </c>
      <c r="AM35" s="64">
        <f>IF(INDEX(Standings!$A$2:$C$33,MATCH(Table1[[#This Row],[AwayTeam]],Standings!$A$2:$A$33,0),2)&lt;&gt;INDEX(Standings!$A$2:$C$33,MATCH(Table1[[#This Row],[HomeTeam]],Standings!$A$2:$A$33,0),2),1,0)</f>
        <v>0</v>
      </c>
      <c r="AN35" s="64" t="str">
        <f>INDEX(Table2[AWAY_RECORD], MATCH(Table1[[#This Row],[AwayTeam]],Table2[Team], 0), 0)</f>
        <v>1-0-0</v>
      </c>
      <c r="AO35" s="64" t="str">
        <f>INDEX(Records!$B$2:$AG$33, MATCH(Table1[[#This Row],[AwayTeam]],Records!$A$2:$A$33, 0), MATCH(Table1[[#This Row],[HomeTeam]],Records!$A$2:$A$33, 0))</f>
        <v>0-0-0</v>
      </c>
      <c r="AP35" s="64" t="str">
        <f>INDEX(Table2[HOME_RECORD], MATCH(Table1[[#This Row],[HomeTeam]],Table2[Team], 0), 0)</f>
        <v>0-1-0</v>
      </c>
      <c r="AQ35" s="64" t="str">
        <f>INDEX(Records!$B$2:$AG$33, MATCH(Table1[[#This Row],[HomeTeam]],Records!$A$2:$A$33, 0), MATCH(Table1[[#This Row],[AwayTeam]],Records!$A$2:$A$33, 0))</f>
        <v>0-0-0</v>
      </c>
    </row>
    <row r="36" spans="1:43" x14ac:dyDescent="0.25">
      <c r="A36" s="1"/>
      <c r="D36" t="s">
        <v>204</v>
      </c>
      <c r="E36" t="s">
        <v>205</v>
      </c>
      <c r="F36" t="s">
        <v>206</v>
      </c>
      <c r="G36" t="s">
        <v>60</v>
      </c>
      <c r="H36" t="s">
        <v>44</v>
      </c>
      <c r="L3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6" s="1"/>
      <c r="T36" s="64" t="str">
        <f>IF(Table1[[#This Row],[ActualWinner]]="", "", IF(Table1[[#This Row],[AwayTeam]]=Table1[[#This Row],[ActualWinner]],Table1[[#This Row],[HomeTeam]],Table1[[#This Row],[AwayTeam]]))</f>
        <v/>
      </c>
      <c r="U36" s="64">
        <f>Table1[[#This Row],[ActualAwayScore]]-Table1[[#This Row],[PredictedAwayScore]]</f>
        <v>0</v>
      </c>
      <c r="V36" s="64">
        <f>Table1[[#This Row],[ActualHomeScore]]-Table1[[#This Row],[PredictedHomeScore]]</f>
        <v>0</v>
      </c>
      <c r="W36" s="64">
        <f>(0.8*IF(Table1[[#This Row],[CorrectWinnerPrediction]]=1, 1, 0))+(0.1*IF(Table1[[#This Row],[CorrectAwayScorePrediction]]=1, 1, 0))+(0.1*IF(Table1[[#This Row],[CorrectHomeScorePrediction]]=1, 1, 0))</f>
        <v>0</v>
      </c>
      <c r="X3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6" s="64">
        <f>SUMIF(Table1[GameDate], Table1[[#This Row],[GameDate]], Table1[AwayGameGoalDiff])</f>
        <v>0</v>
      </c>
      <c r="AA36" s="64">
        <f>SUMIF(Table1[GameDate], Table1[[#This Row],[GameDate]], Table1[HomeGameGoalDiff])</f>
        <v>0</v>
      </c>
      <c r="AB36" s="64">
        <f>IF(ISBLANK(Table1[[#This Row],[ActualResult]]), 0, 1)</f>
        <v>0</v>
      </c>
      <c r="AC36" s="64">
        <f>IF(ISBLANK(Table1[[#This Row],[ActualResult]]), 0, IF(Table1[[#This Row],[ActualWinner]]=Table1[[#This Row],[PredictedWinner]], 1, 0))</f>
        <v>0</v>
      </c>
      <c r="AD3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6" s="64">
        <f>IF(AND(Table1[[#This Row],[GameIsOver]]=1,Table1[[#This Row],[ActualAwayScore]]=0), 1,0)</f>
        <v>0</v>
      </c>
      <c r="AG36" s="64">
        <f>IF(AND(Table1[[#This Row],[GameIsOver]]=1,Table1[[#This Row],[ActualHomeScore]]=0), 1,0)</f>
        <v>0</v>
      </c>
      <c r="AH36" s="64">
        <f>IF(Table1[[#This Row],[GameIsOver]]=0,0,IF(Table1[[#This Row],[ActualWinner]]=Table1[[#This Row],[AwayTeam]], 1, 0))</f>
        <v>0</v>
      </c>
      <c r="AI36" s="64">
        <f>IF(Table1[[#This Row],[GameIsOver]]=0,0,IF(Table1[[#This Row],[ActualWinner]]=Table1[[#This Row],[HomeTeam]], 1, 0))</f>
        <v>0</v>
      </c>
      <c r="AJ36" s="64">
        <f>IF(INDEX(Standings!$A$2:$C$33,MATCH(Table1[[#This Row],[AwayTeam]],Standings!$A$2:$A$33,0),2)=INDEX(Standings!$A$2:$C$33,MATCH(Table1[[#This Row],[HomeTeam]],Standings!$A$2:$A$33,0),2),1,0)</f>
        <v>0</v>
      </c>
      <c r="AK36" s="64">
        <f>IF(INDEX(Standings!$A$2:$C$33,MATCH(Table1[[#This Row],[AwayTeam]],Standings!$A$2:$A$33,0),3)=INDEX(Standings!$A$2:$C$33,MATCH(Table1[[#This Row],[HomeTeam]],Standings!$A$2:$A$33,0),3),1,0)</f>
        <v>0</v>
      </c>
      <c r="AL36" s="64">
        <f>IF(Table1[[#This Row],[InterConf]]=1,IF(Table1[[#This Row],[InterDiv]]=0, 1, 0), 0)</f>
        <v>0</v>
      </c>
      <c r="AM36" s="64">
        <f>IF(INDEX(Standings!$A$2:$C$33,MATCH(Table1[[#This Row],[AwayTeam]],Standings!$A$2:$A$33,0),2)&lt;&gt;INDEX(Standings!$A$2:$C$33,MATCH(Table1[[#This Row],[HomeTeam]],Standings!$A$2:$A$33,0),2),1,0)</f>
        <v>1</v>
      </c>
      <c r="AN36" s="64" t="str">
        <f>INDEX(Table2[AWAY_RECORD], MATCH(Table1[[#This Row],[AwayTeam]],Table2[Team], 0), 0)</f>
        <v>0-0-0</v>
      </c>
      <c r="AO36" s="64" t="str">
        <f>INDEX(Records!$B$2:$AG$33, MATCH(Table1[[#This Row],[AwayTeam]],Records!$A$2:$A$33, 0), MATCH(Table1[[#This Row],[HomeTeam]],Records!$A$2:$A$33, 0))</f>
        <v>0-0-0</v>
      </c>
      <c r="AP36" s="64" t="str">
        <f>INDEX(Table2[HOME_RECORD], MATCH(Table1[[#This Row],[HomeTeam]],Table2[Team], 0), 0)</f>
        <v>0-0-1</v>
      </c>
      <c r="AQ36" s="64" t="str">
        <f>INDEX(Records!$B$2:$AG$33, MATCH(Table1[[#This Row],[HomeTeam]],Records!$A$2:$A$33, 0), MATCH(Table1[[#This Row],[AwayTeam]],Records!$A$2:$A$33, 0))</f>
        <v>0-0-0</v>
      </c>
    </row>
    <row r="37" spans="1:43" x14ac:dyDescent="0.25">
      <c r="A37" s="1"/>
      <c r="D37" t="s">
        <v>204</v>
      </c>
      <c r="E37" t="s">
        <v>207</v>
      </c>
      <c r="F37" t="s">
        <v>208</v>
      </c>
      <c r="G37" t="s">
        <v>58</v>
      </c>
      <c r="H37" t="s">
        <v>51</v>
      </c>
      <c r="L3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7" s="1"/>
      <c r="T37" s="64" t="str">
        <f>IF(Table1[[#This Row],[ActualWinner]]="", "", IF(Table1[[#This Row],[AwayTeam]]=Table1[[#This Row],[ActualWinner]],Table1[[#This Row],[HomeTeam]],Table1[[#This Row],[AwayTeam]]))</f>
        <v/>
      </c>
      <c r="U37" s="64">
        <f>Table1[[#This Row],[ActualAwayScore]]-Table1[[#This Row],[PredictedAwayScore]]</f>
        <v>0</v>
      </c>
      <c r="V37" s="64">
        <f>Table1[[#This Row],[ActualHomeScore]]-Table1[[#This Row],[PredictedHomeScore]]</f>
        <v>0</v>
      </c>
      <c r="W37" s="64">
        <f>(0.8*IF(Table1[[#This Row],[CorrectWinnerPrediction]]=1, 1, 0))+(0.1*IF(Table1[[#This Row],[CorrectAwayScorePrediction]]=1, 1, 0))+(0.1*IF(Table1[[#This Row],[CorrectHomeScorePrediction]]=1, 1, 0))</f>
        <v>0</v>
      </c>
      <c r="X3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7" s="64">
        <f>SUMIF(Table1[GameDate], Table1[[#This Row],[GameDate]], Table1[AwayGameGoalDiff])</f>
        <v>0</v>
      </c>
      <c r="AA37" s="64">
        <f>SUMIF(Table1[GameDate], Table1[[#This Row],[GameDate]], Table1[HomeGameGoalDiff])</f>
        <v>0</v>
      </c>
      <c r="AB37" s="64">
        <f>IF(ISBLANK(Table1[[#This Row],[ActualResult]]), 0, 1)</f>
        <v>0</v>
      </c>
      <c r="AC37" s="64">
        <f>IF(ISBLANK(Table1[[#This Row],[ActualResult]]), 0, IF(Table1[[#This Row],[ActualWinner]]=Table1[[#This Row],[PredictedWinner]], 1, 0))</f>
        <v>0</v>
      </c>
      <c r="AD3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7" s="64">
        <f>IF(AND(Table1[[#This Row],[GameIsOver]]=1,Table1[[#This Row],[ActualAwayScore]]=0), 1,0)</f>
        <v>0</v>
      </c>
      <c r="AG37" s="64">
        <f>IF(AND(Table1[[#This Row],[GameIsOver]]=1,Table1[[#This Row],[ActualHomeScore]]=0), 1,0)</f>
        <v>0</v>
      </c>
      <c r="AH37" s="64">
        <f>IF(Table1[[#This Row],[GameIsOver]]=0,0,IF(Table1[[#This Row],[ActualWinner]]=Table1[[#This Row],[AwayTeam]], 1, 0))</f>
        <v>0</v>
      </c>
      <c r="AI37" s="64">
        <f>IF(Table1[[#This Row],[GameIsOver]]=0,0,IF(Table1[[#This Row],[ActualWinner]]=Table1[[#This Row],[HomeTeam]], 1, 0))</f>
        <v>0</v>
      </c>
      <c r="AJ37" s="64">
        <f>IF(INDEX(Standings!$A$2:$C$33,MATCH(Table1[[#This Row],[AwayTeam]],Standings!$A$2:$A$33,0),2)=INDEX(Standings!$A$2:$C$33,MATCH(Table1[[#This Row],[HomeTeam]],Standings!$A$2:$A$33,0),2),1,0)</f>
        <v>0</v>
      </c>
      <c r="AK37" s="64">
        <f>IF(INDEX(Standings!$A$2:$C$33,MATCH(Table1[[#This Row],[AwayTeam]],Standings!$A$2:$A$33,0),3)=INDEX(Standings!$A$2:$C$33,MATCH(Table1[[#This Row],[HomeTeam]],Standings!$A$2:$A$33,0),3),1,0)</f>
        <v>0</v>
      </c>
      <c r="AL37" s="64">
        <f>IF(Table1[[#This Row],[InterConf]]=1,IF(Table1[[#This Row],[InterDiv]]=0, 1, 0), 0)</f>
        <v>0</v>
      </c>
      <c r="AM37" s="64">
        <f>IF(INDEX(Standings!$A$2:$C$33,MATCH(Table1[[#This Row],[AwayTeam]],Standings!$A$2:$A$33,0),2)&lt;&gt;INDEX(Standings!$A$2:$C$33,MATCH(Table1[[#This Row],[HomeTeam]],Standings!$A$2:$A$33,0),2),1,0)</f>
        <v>1</v>
      </c>
      <c r="AN37" s="64" t="str">
        <f>INDEX(Table2[AWAY_RECORD], MATCH(Table1[[#This Row],[AwayTeam]],Table2[Team], 0), 0)</f>
        <v>0-0-0</v>
      </c>
      <c r="AO37" s="64" t="str">
        <f>INDEX(Records!$B$2:$AG$33, MATCH(Table1[[#This Row],[AwayTeam]],Records!$A$2:$A$33, 0), MATCH(Table1[[#This Row],[HomeTeam]],Records!$A$2:$A$33, 0))</f>
        <v>0-0-0</v>
      </c>
      <c r="AP37" s="64" t="str">
        <f>INDEX(Table2[HOME_RECORD], MATCH(Table1[[#This Row],[HomeTeam]],Table2[Team], 0), 0)</f>
        <v>1-0-0</v>
      </c>
      <c r="AQ37" s="64" t="str">
        <f>INDEX(Records!$B$2:$AG$33, MATCH(Table1[[#This Row],[HomeTeam]],Records!$A$2:$A$33, 0), MATCH(Table1[[#This Row],[AwayTeam]],Records!$A$2:$A$33, 0))</f>
        <v>0-0-0</v>
      </c>
    </row>
    <row r="38" spans="1:43" x14ac:dyDescent="0.25">
      <c r="A38" s="1"/>
      <c r="D38" t="s">
        <v>204</v>
      </c>
      <c r="E38" t="s">
        <v>162</v>
      </c>
      <c r="F38" t="s">
        <v>209</v>
      </c>
      <c r="G38" t="s">
        <v>17</v>
      </c>
      <c r="H38" t="s">
        <v>36</v>
      </c>
      <c r="L3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8" s="1"/>
      <c r="T38" s="64" t="str">
        <f>IF(Table1[[#This Row],[ActualWinner]]="", "", IF(Table1[[#This Row],[AwayTeam]]=Table1[[#This Row],[ActualWinner]],Table1[[#This Row],[HomeTeam]],Table1[[#This Row],[AwayTeam]]))</f>
        <v/>
      </c>
      <c r="U38" s="64">
        <f>Table1[[#This Row],[ActualAwayScore]]-Table1[[#This Row],[PredictedAwayScore]]</f>
        <v>0</v>
      </c>
      <c r="V38" s="64">
        <f>Table1[[#This Row],[ActualHomeScore]]-Table1[[#This Row],[PredictedHomeScore]]</f>
        <v>0</v>
      </c>
      <c r="W38" s="64">
        <f>(0.8*IF(Table1[[#This Row],[CorrectWinnerPrediction]]=1, 1, 0))+(0.1*IF(Table1[[#This Row],[CorrectAwayScorePrediction]]=1, 1, 0))+(0.1*IF(Table1[[#This Row],[CorrectHomeScorePrediction]]=1, 1, 0))</f>
        <v>0</v>
      </c>
      <c r="X3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8" s="64">
        <f>SUMIF(Table1[GameDate], Table1[[#This Row],[GameDate]], Table1[AwayGameGoalDiff])</f>
        <v>0</v>
      </c>
      <c r="AA38" s="64">
        <f>SUMIF(Table1[GameDate], Table1[[#This Row],[GameDate]], Table1[HomeGameGoalDiff])</f>
        <v>0</v>
      </c>
      <c r="AB38" s="64">
        <f>IF(ISBLANK(Table1[[#This Row],[ActualResult]]), 0, 1)</f>
        <v>0</v>
      </c>
      <c r="AC38" s="64">
        <f>IF(ISBLANK(Table1[[#This Row],[ActualResult]]), 0, IF(Table1[[#This Row],[ActualWinner]]=Table1[[#This Row],[PredictedWinner]], 1, 0))</f>
        <v>0</v>
      </c>
      <c r="AD3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8" s="64">
        <f>IF(AND(Table1[[#This Row],[GameIsOver]]=1,Table1[[#This Row],[ActualAwayScore]]=0), 1,0)</f>
        <v>0</v>
      </c>
      <c r="AG38" s="64">
        <f>IF(AND(Table1[[#This Row],[GameIsOver]]=1,Table1[[#This Row],[ActualHomeScore]]=0), 1,0)</f>
        <v>0</v>
      </c>
      <c r="AH38" s="64">
        <f>IF(Table1[[#This Row],[GameIsOver]]=0,0,IF(Table1[[#This Row],[ActualWinner]]=Table1[[#This Row],[AwayTeam]], 1, 0))</f>
        <v>0</v>
      </c>
      <c r="AI38" s="64">
        <f>IF(Table1[[#This Row],[GameIsOver]]=0,0,IF(Table1[[#This Row],[ActualWinner]]=Table1[[#This Row],[HomeTeam]], 1, 0))</f>
        <v>0</v>
      </c>
      <c r="AJ38" s="64">
        <f>IF(INDEX(Standings!$A$2:$C$33,MATCH(Table1[[#This Row],[AwayTeam]],Standings!$A$2:$A$33,0),2)=INDEX(Standings!$A$2:$C$33,MATCH(Table1[[#This Row],[HomeTeam]],Standings!$A$2:$A$33,0),2),1,0)</f>
        <v>0</v>
      </c>
      <c r="AK38" s="64">
        <f>IF(INDEX(Standings!$A$2:$C$33,MATCH(Table1[[#This Row],[AwayTeam]],Standings!$A$2:$A$33,0),3)=INDEX(Standings!$A$2:$C$33,MATCH(Table1[[#This Row],[HomeTeam]],Standings!$A$2:$A$33,0),3),1,0)</f>
        <v>0</v>
      </c>
      <c r="AL38" s="64">
        <f>IF(Table1[[#This Row],[InterConf]]=1,IF(Table1[[#This Row],[InterDiv]]=0, 1, 0), 0)</f>
        <v>0</v>
      </c>
      <c r="AM38" s="64">
        <f>IF(INDEX(Standings!$A$2:$C$33,MATCH(Table1[[#This Row],[AwayTeam]],Standings!$A$2:$A$33,0),2)&lt;&gt;INDEX(Standings!$A$2:$C$33,MATCH(Table1[[#This Row],[HomeTeam]],Standings!$A$2:$A$33,0),2),1,0)</f>
        <v>1</v>
      </c>
      <c r="AN38" s="64" t="str">
        <f>INDEX(Table2[AWAY_RECORD], MATCH(Table1[[#This Row],[AwayTeam]],Table2[Team], 0), 0)</f>
        <v>2-0-0</v>
      </c>
      <c r="AO38" s="64" t="str">
        <f>INDEX(Records!$B$2:$AG$33, MATCH(Table1[[#This Row],[AwayTeam]],Records!$A$2:$A$33, 0), MATCH(Table1[[#This Row],[HomeTeam]],Records!$A$2:$A$33, 0))</f>
        <v>0-0-0</v>
      </c>
      <c r="AP38" s="64" t="str">
        <f>INDEX(Table2[HOME_RECORD], MATCH(Table1[[#This Row],[HomeTeam]],Table2[Team], 0), 0)</f>
        <v>0-0-0</v>
      </c>
      <c r="AQ38" s="64" t="str">
        <f>INDEX(Records!$B$2:$AG$33, MATCH(Table1[[#This Row],[HomeTeam]],Records!$A$2:$A$33, 0), MATCH(Table1[[#This Row],[AwayTeam]],Records!$A$2:$A$33, 0))</f>
        <v>0-0-0</v>
      </c>
    </row>
    <row r="39" spans="1:43" x14ac:dyDescent="0.25">
      <c r="A39" s="1"/>
      <c r="D39" t="s">
        <v>204</v>
      </c>
      <c r="E39" t="s">
        <v>162</v>
      </c>
      <c r="F39" t="s">
        <v>210</v>
      </c>
      <c r="G39" t="s">
        <v>39</v>
      </c>
      <c r="H39" t="s">
        <v>56</v>
      </c>
      <c r="L3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9" s="1"/>
      <c r="T39" s="64" t="str">
        <f>IF(Table1[[#This Row],[ActualWinner]]="", "", IF(Table1[[#This Row],[AwayTeam]]=Table1[[#This Row],[ActualWinner]],Table1[[#This Row],[HomeTeam]],Table1[[#This Row],[AwayTeam]]))</f>
        <v/>
      </c>
      <c r="U39" s="64">
        <f>Table1[[#This Row],[ActualAwayScore]]-Table1[[#This Row],[PredictedAwayScore]]</f>
        <v>0</v>
      </c>
      <c r="V39" s="64">
        <f>Table1[[#This Row],[ActualHomeScore]]-Table1[[#This Row],[PredictedHomeScore]]</f>
        <v>0</v>
      </c>
      <c r="W39" s="64">
        <f>(0.8*IF(Table1[[#This Row],[CorrectWinnerPrediction]]=1, 1, 0))+(0.1*IF(Table1[[#This Row],[CorrectAwayScorePrediction]]=1, 1, 0))+(0.1*IF(Table1[[#This Row],[CorrectHomeScorePrediction]]=1, 1, 0))</f>
        <v>0</v>
      </c>
      <c r="X3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9" s="64">
        <f>SUMIF(Table1[GameDate], Table1[[#This Row],[GameDate]], Table1[AwayGameGoalDiff])</f>
        <v>0</v>
      </c>
      <c r="AA39" s="64">
        <f>SUMIF(Table1[GameDate], Table1[[#This Row],[GameDate]], Table1[HomeGameGoalDiff])</f>
        <v>0</v>
      </c>
      <c r="AB39" s="64">
        <f>IF(ISBLANK(Table1[[#This Row],[ActualResult]]), 0, 1)</f>
        <v>0</v>
      </c>
      <c r="AC39" s="64">
        <f>IF(ISBLANK(Table1[[#This Row],[ActualResult]]), 0, IF(Table1[[#This Row],[ActualWinner]]=Table1[[#This Row],[PredictedWinner]], 1, 0))</f>
        <v>0</v>
      </c>
      <c r="AD3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9" s="64">
        <f>IF(AND(Table1[[#This Row],[GameIsOver]]=1,Table1[[#This Row],[ActualAwayScore]]=0), 1,0)</f>
        <v>0</v>
      </c>
      <c r="AG39" s="64">
        <f>IF(AND(Table1[[#This Row],[GameIsOver]]=1,Table1[[#This Row],[ActualHomeScore]]=0), 1,0)</f>
        <v>0</v>
      </c>
      <c r="AH39" s="64">
        <f>IF(Table1[[#This Row],[GameIsOver]]=0,0,IF(Table1[[#This Row],[ActualWinner]]=Table1[[#This Row],[AwayTeam]], 1, 0))</f>
        <v>0</v>
      </c>
      <c r="AI39" s="64">
        <f>IF(Table1[[#This Row],[GameIsOver]]=0,0,IF(Table1[[#This Row],[ActualWinner]]=Table1[[#This Row],[HomeTeam]], 1, 0))</f>
        <v>0</v>
      </c>
      <c r="AJ39" s="64">
        <f>IF(INDEX(Standings!$A$2:$C$33,MATCH(Table1[[#This Row],[AwayTeam]],Standings!$A$2:$A$33,0),2)=INDEX(Standings!$A$2:$C$33,MATCH(Table1[[#This Row],[HomeTeam]],Standings!$A$2:$A$33,0),2),1,0)</f>
        <v>1</v>
      </c>
      <c r="AK39" s="64">
        <f>IF(INDEX(Standings!$A$2:$C$33,MATCH(Table1[[#This Row],[AwayTeam]],Standings!$A$2:$A$33,0),3)=INDEX(Standings!$A$2:$C$33,MATCH(Table1[[#This Row],[HomeTeam]],Standings!$A$2:$A$33,0),3),1,0)</f>
        <v>1</v>
      </c>
      <c r="AL39" s="64">
        <f>IF(Table1[[#This Row],[InterConf]]=1,IF(Table1[[#This Row],[InterDiv]]=0, 1, 0), 0)</f>
        <v>0</v>
      </c>
      <c r="AM39" s="64">
        <f>IF(INDEX(Standings!$A$2:$C$33,MATCH(Table1[[#This Row],[AwayTeam]],Standings!$A$2:$A$33,0),2)&lt;&gt;INDEX(Standings!$A$2:$C$33,MATCH(Table1[[#This Row],[HomeTeam]],Standings!$A$2:$A$33,0),2),1,0)</f>
        <v>0</v>
      </c>
      <c r="AN39" s="64" t="str">
        <f>INDEX(Table2[AWAY_RECORD], MATCH(Table1[[#This Row],[AwayTeam]],Table2[Team], 0), 0)</f>
        <v>0-0-0</v>
      </c>
      <c r="AO39" s="64" t="str">
        <f>INDEX(Records!$B$2:$AG$33, MATCH(Table1[[#This Row],[AwayTeam]],Records!$A$2:$A$33, 0), MATCH(Table1[[#This Row],[HomeTeam]],Records!$A$2:$A$33, 0))</f>
        <v>0-1-0</v>
      </c>
      <c r="AP39" s="64" t="str">
        <f>INDEX(Table2[HOME_RECORD], MATCH(Table1[[#This Row],[HomeTeam]],Table2[Team], 0), 0)</f>
        <v>0-0-0</v>
      </c>
      <c r="AQ39" s="64" t="str">
        <f>INDEX(Records!$B$2:$AG$33, MATCH(Table1[[#This Row],[HomeTeam]],Records!$A$2:$A$33, 0), MATCH(Table1[[#This Row],[AwayTeam]],Records!$A$2:$A$33, 0))</f>
        <v>1-0-0</v>
      </c>
    </row>
    <row r="40" spans="1:43" x14ac:dyDescent="0.25">
      <c r="A40" s="1"/>
      <c r="D40" t="s">
        <v>204</v>
      </c>
      <c r="E40" t="s">
        <v>178</v>
      </c>
      <c r="F40" t="s">
        <v>211</v>
      </c>
      <c r="G40" t="s">
        <v>25</v>
      </c>
      <c r="H40" t="s">
        <v>23</v>
      </c>
      <c r="L4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0" s="1"/>
      <c r="T40" s="64" t="str">
        <f>IF(Table1[[#This Row],[ActualWinner]]="", "", IF(Table1[[#This Row],[AwayTeam]]=Table1[[#This Row],[ActualWinner]],Table1[[#This Row],[HomeTeam]],Table1[[#This Row],[AwayTeam]]))</f>
        <v/>
      </c>
      <c r="U40" s="64">
        <f>Table1[[#This Row],[ActualAwayScore]]-Table1[[#This Row],[PredictedAwayScore]]</f>
        <v>0</v>
      </c>
      <c r="V40" s="64">
        <f>Table1[[#This Row],[ActualHomeScore]]-Table1[[#This Row],[PredictedHomeScore]]</f>
        <v>0</v>
      </c>
      <c r="W40" s="64">
        <f>(0.8*IF(Table1[[#This Row],[CorrectWinnerPrediction]]=1, 1, 0))+(0.1*IF(Table1[[#This Row],[CorrectAwayScorePrediction]]=1, 1, 0))+(0.1*IF(Table1[[#This Row],[CorrectHomeScorePrediction]]=1, 1, 0))</f>
        <v>0</v>
      </c>
      <c r="X4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0" s="64">
        <f>SUMIF(Table1[GameDate], Table1[[#This Row],[GameDate]], Table1[AwayGameGoalDiff])</f>
        <v>0</v>
      </c>
      <c r="AA40" s="64">
        <f>SUMIF(Table1[GameDate], Table1[[#This Row],[GameDate]], Table1[HomeGameGoalDiff])</f>
        <v>0</v>
      </c>
      <c r="AB40" s="64">
        <f>IF(ISBLANK(Table1[[#This Row],[ActualResult]]), 0, 1)</f>
        <v>0</v>
      </c>
      <c r="AC40" s="64">
        <f>IF(ISBLANK(Table1[[#This Row],[ActualResult]]), 0, IF(Table1[[#This Row],[ActualWinner]]=Table1[[#This Row],[PredictedWinner]], 1, 0))</f>
        <v>0</v>
      </c>
      <c r="AD4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0" s="64">
        <f>IF(AND(Table1[[#This Row],[GameIsOver]]=1,Table1[[#This Row],[ActualAwayScore]]=0), 1,0)</f>
        <v>0</v>
      </c>
      <c r="AG40" s="64">
        <f>IF(AND(Table1[[#This Row],[GameIsOver]]=1,Table1[[#This Row],[ActualHomeScore]]=0), 1,0)</f>
        <v>0</v>
      </c>
      <c r="AH40" s="64">
        <f>IF(Table1[[#This Row],[GameIsOver]]=0,0,IF(Table1[[#This Row],[ActualWinner]]=Table1[[#This Row],[AwayTeam]], 1, 0))</f>
        <v>0</v>
      </c>
      <c r="AI40" s="64">
        <f>IF(Table1[[#This Row],[GameIsOver]]=0,0,IF(Table1[[#This Row],[ActualWinner]]=Table1[[#This Row],[HomeTeam]], 1, 0))</f>
        <v>0</v>
      </c>
      <c r="AJ40" s="64">
        <f>IF(INDEX(Standings!$A$2:$C$33,MATCH(Table1[[#This Row],[AwayTeam]],Standings!$A$2:$A$33,0),2)=INDEX(Standings!$A$2:$C$33,MATCH(Table1[[#This Row],[HomeTeam]],Standings!$A$2:$A$33,0),2),1,0)</f>
        <v>1</v>
      </c>
      <c r="AK40" s="64">
        <f>IF(INDEX(Standings!$A$2:$C$33,MATCH(Table1[[#This Row],[AwayTeam]],Standings!$A$2:$A$33,0),3)=INDEX(Standings!$A$2:$C$33,MATCH(Table1[[#This Row],[HomeTeam]],Standings!$A$2:$A$33,0),3),1,0)</f>
        <v>1</v>
      </c>
      <c r="AL40" s="64">
        <f>IF(Table1[[#This Row],[InterConf]]=1,IF(Table1[[#This Row],[InterDiv]]=0, 1, 0), 0)</f>
        <v>0</v>
      </c>
      <c r="AM40" s="64">
        <f>IF(INDEX(Standings!$A$2:$C$33,MATCH(Table1[[#This Row],[AwayTeam]],Standings!$A$2:$A$33,0),2)&lt;&gt;INDEX(Standings!$A$2:$C$33,MATCH(Table1[[#This Row],[HomeTeam]],Standings!$A$2:$A$33,0),2),1,0)</f>
        <v>0</v>
      </c>
      <c r="AN40" s="64" t="str">
        <f>INDEX(Table2[AWAY_RECORD], MATCH(Table1[[#This Row],[AwayTeam]],Table2[Team], 0), 0)</f>
        <v>0-0-0</v>
      </c>
      <c r="AO40" s="64" t="str">
        <f>INDEX(Records!$B$2:$AG$33, MATCH(Table1[[#This Row],[AwayTeam]],Records!$A$2:$A$33, 0), MATCH(Table1[[#This Row],[HomeTeam]],Records!$A$2:$A$33, 0))</f>
        <v>0-0-0</v>
      </c>
      <c r="AP40" s="64" t="str">
        <f>INDEX(Table2[HOME_RECORD], MATCH(Table1[[#This Row],[HomeTeam]],Table2[Team], 0), 0)</f>
        <v>0-0-1</v>
      </c>
      <c r="AQ40" s="64" t="str">
        <f>INDEX(Records!$B$2:$AG$33, MATCH(Table1[[#This Row],[HomeTeam]],Records!$A$2:$A$33, 0), MATCH(Table1[[#This Row],[AwayTeam]],Records!$A$2:$A$33, 0))</f>
        <v>0-0-0</v>
      </c>
    </row>
    <row r="41" spans="1:43" x14ac:dyDescent="0.25">
      <c r="A41" s="1"/>
      <c r="D41" t="s">
        <v>212</v>
      </c>
      <c r="E41" t="s">
        <v>160</v>
      </c>
      <c r="F41" t="s">
        <v>213</v>
      </c>
      <c r="G41" t="s">
        <v>53</v>
      </c>
      <c r="H41" t="s">
        <v>57</v>
      </c>
      <c r="L4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1" s="1"/>
      <c r="T41" s="64" t="str">
        <f>IF(Table1[[#This Row],[ActualWinner]]="", "", IF(Table1[[#This Row],[AwayTeam]]=Table1[[#This Row],[ActualWinner]],Table1[[#This Row],[HomeTeam]],Table1[[#This Row],[AwayTeam]]))</f>
        <v/>
      </c>
      <c r="U41" s="64">
        <f>Table1[[#This Row],[ActualAwayScore]]-Table1[[#This Row],[PredictedAwayScore]]</f>
        <v>0</v>
      </c>
      <c r="V41" s="64">
        <f>Table1[[#This Row],[ActualHomeScore]]-Table1[[#This Row],[PredictedHomeScore]]</f>
        <v>0</v>
      </c>
      <c r="W41" s="64">
        <f>(0.8*IF(Table1[[#This Row],[CorrectWinnerPrediction]]=1, 1, 0))+(0.1*IF(Table1[[#This Row],[CorrectAwayScorePrediction]]=1, 1, 0))+(0.1*IF(Table1[[#This Row],[CorrectHomeScorePrediction]]=1, 1, 0))</f>
        <v>0</v>
      </c>
      <c r="X4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1" s="64">
        <f>SUMIF(Table1[GameDate], Table1[[#This Row],[GameDate]], Table1[AwayGameGoalDiff])</f>
        <v>0</v>
      </c>
      <c r="AA41" s="64">
        <f>SUMIF(Table1[GameDate], Table1[[#This Row],[GameDate]], Table1[HomeGameGoalDiff])</f>
        <v>0</v>
      </c>
      <c r="AB41" s="64">
        <f>IF(ISBLANK(Table1[[#This Row],[ActualResult]]), 0, 1)</f>
        <v>0</v>
      </c>
      <c r="AC41" s="64">
        <f>IF(ISBLANK(Table1[[#This Row],[ActualResult]]), 0, IF(Table1[[#This Row],[ActualWinner]]=Table1[[#This Row],[PredictedWinner]], 1, 0))</f>
        <v>0</v>
      </c>
      <c r="AD4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1" s="64">
        <f>IF(AND(Table1[[#This Row],[GameIsOver]]=1,Table1[[#This Row],[ActualAwayScore]]=0), 1,0)</f>
        <v>0</v>
      </c>
      <c r="AG41" s="64">
        <f>IF(AND(Table1[[#This Row],[GameIsOver]]=1,Table1[[#This Row],[ActualHomeScore]]=0), 1,0)</f>
        <v>0</v>
      </c>
      <c r="AH41" s="64">
        <f>IF(Table1[[#This Row],[GameIsOver]]=0,0,IF(Table1[[#This Row],[ActualWinner]]=Table1[[#This Row],[AwayTeam]], 1, 0))</f>
        <v>0</v>
      </c>
      <c r="AI41" s="64">
        <f>IF(Table1[[#This Row],[GameIsOver]]=0,0,IF(Table1[[#This Row],[ActualWinner]]=Table1[[#This Row],[HomeTeam]], 1, 0))</f>
        <v>0</v>
      </c>
      <c r="AJ41" s="64">
        <f>IF(INDEX(Standings!$A$2:$C$33,MATCH(Table1[[#This Row],[AwayTeam]],Standings!$A$2:$A$33,0),2)=INDEX(Standings!$A$2:$C$33,MATCH(Table1[[#This Row],[HomeTeam]],Standings!$A$2:$A$33,0),2),1,0)</f>
        <v>1</v>
      </c>
      <c r="AK41" s="64">
        <f>IF(INDEX(Standings!$A$2:$C$33,MATCH(Table1[[#This Row],[AwayTeam]],Standings!$A$2:$A$33,0),3)=INDEX(Standings!$A$2:$C$33,MATCH(Table1[[#This Row],[HomeTeam]],Standings!$A$2:$A$33,0),3),1,0)</f>
        <v>0</v>
      </c>
      <c r="AL41" s="64">
        <f>IF(Table1[[#This Row],[InterConf]]=1,IF(Table1[[#This Row],[InterDiv]]=0, 1, 0), 0)</f>
        <v>1</v>
      </c>
      <c r="AM41" s="64">
        <f>IF(INDEX(Standings!$A$2:$C$33,MATCH(Table1[[#This Row],[AwayTeam]],Standings!$A$2:$A$33,0),2)&lt;&gt;INDEX(Standings!$A$2:$C$33,MATCH(Table1[[#This Row],[HomeTeam]],Standings!$A$2:$A$33,0),2),1,0)</f>
        <v>0</v>
      </c>
      <c r="AN41" s="64" t="str">
        <f>INDEX(Table2[AWAY_RECORD], MATCH(Table1[[#This Row],[AwayTeam]],Table2[Team], 0), 0)</f>
        <v>0-1-0</v>
      </c>
      <c r="AO41" s="64" t="str">
        <f>INDEX(Records!$B$2:$AG$33, MATCH(Table1[[#This Row],[AwayTeam]],Records!$A$2:$A$33, 0), MATCH(Table1[[#This Row],[HomeTeam]],Records!$A$2:$A$33, 0))</f>
        <v>0-0-0</v>
      </c>
      <c r="AP41" s="64" t="str">
        <f>INDEX(Table2[HOME_RECORD], MATCH(Table1[[#This Row],[HomeTeam]],Table2[Team], 0), 0)</f>
        <v>0-0-0</v>
      </c>
      <c r="AQ41" s="64" t="str">
        <f>INDEX(Records!$B$2:$AG$33, MATCH(Table1[[#This Row],[HomeTeam]],Records!$A$2:$A$33, 0), MATCH(Table1[[#This Row],[AwayTeam]],Records!$A$2:$A$33, 0))</f>
        <v>0-0-0</v>
      </c>
    </row>
    <row r="42" spans="1:43" x14ac:dyDescent="0.25">
      <c r="A42" s="1"/>
      <c r="D42" t="s">
        <v>212</v>
      </c>
      <c r="E42" t="s">
        <v>169</v>
      </c>
      <c r="F42" t="s">
        <v>214</v>
      </c>
      <c r="G42" t="s">
        <v>52</v>
      </c>
      <c r="H42" t="s">
        <v>37</v>
      </c>
      <c r="L4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2" s="1"/>
      <c r="T42" s="64" t="str">
        <f>IF(Table1[[#This Row],[ActualWinner]]="", "", IF(Table1[[#This Row],[AwayTeam]]=Table1[[#This Row],[ActualWinner]],Table1[[#This Row],[HomeTeam]],Table1[[#This Row],[AwayTeam]]))</f>
        <v/>
      </c>
      <c r="U42" s="64">
        <f>Table1[[#This Row],[ActualAwayScore]]-Table1[[#This Row],[PredictedAwayScore]]</f>
        <v>0</v>
      </c>
      <c r="V42" s="64">
        <f>Table1[[#This Row],[ActualHomeScore]]-Table1[[#This Row],[PredictedHomeScore]]</f>
        <v>0</v>
      </c>
      <c r="W42" s="64">
        <f>(0.8*IF(Table1[[#This Row],[CorrectWinnerPrediction]]=1, 1, 0))+(0.1*IF(Table1[[#This Row],[CorrectAwayScorePrediction]]=1, 1, 0))+(0.1*IF(Table1[[#This Row],[CorrectHomeScorePrediction]]=1, 1, 0))</f>
        <v>0</v>
      </c>
      <c r="X4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2" s="64">
        <f>SUMIF(Table1[GameDate], Table1[[#This Row],[GameDate]], Table1[AwayGameGoalDiff])</f>
        <v>0</v>
      </c>
      <c r="AA42" s="64">
        <f>SUMIF(Table1[GameDate], Table1[[#This Row],[GameDate]], Table1[HomeGameGoalDiff])</f>
        <v>0</v>
      </c>
      <c r="AB42" s="64">
        <f>IF(ISBLANK(Table1[[#This Row],[ActualResult]]), 0, 1)</f>
        <v>0</v>
      </c>
      <c r="AC42" s="64">
        <f>IF(ISBLANK(Table1[[#This Row],[ActualResult]]), 0, IF(Table1[[#This Row],[ActualWinner]]=Table1[[#This Row],[PredictedWinner]], 1, 0))</f>
        <v>0</v>
      </c>
      <c r="AD4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2" s="64">
        <f>IF(AND(Table1[[#This Row],[GameIsOver]]=1,Table1[[#This Row],[ActualAwayScore]]=0), 1,0)</f>
        <v>0</v>
      </c>
      <c r="AG42" s="64">
        <f>IF(AND(Table1[[#This Row],[GameIsOver]]=1,Table1[[#This Row],[ActualHomeScore]]=0), 1,0)</f>
        <v>0</v>
      </c>
      <c r="AH42" s="64">
        <f>IF(Table1[[#This Row],[GameIsOver]]=0,0,IF(Table1[[#This Row],[ActualWinner]]=Table1[[#This Row],[AwayTeam]], 1, 0))</f>
        <v>0</v>
      </c>
      <c r="AI42" s="64">
        <f>IF(Table1[[#This Row],[GameIsOver]]=0,0,IF(Table1[[#This Row],[ActualWinner]]=Table1[[#This Row],[HomeTeam]], 1, 0))</f>
        <v>0</v>
      </c>
      <c r="AJ42" s="64">
        <f>IF(INDEX(Standings!$A$2:$C$33,MATCH(Table1[[#This Row],[AwayTeam]],Standings!$A$2:$A$33,0),2)=INDEX(Standings!$A$2:$C$33,MATCH(Table1[[#This Row],[HomeTeam]],Standings!$A$2:$A$33,0),2),1,0)</f>
        <v>1</v>
      </c>
      <c r="AK42" s="64">
        <f>IF(INDEX(Standings!$A$2:$C$33,MATCH(Table1[[#This Row],[AwayTeam]],Standings!$A$2:$A$33,0),3)=INDEX(Standings!$A$2:$C$33,MATCH(Table1[[#This Row],[HomeTeam]],Standings!$A$2:$A$33,0),3),1,0)</f>
        <v>1</v>
      </c>
      <c r="AL42" s="64">
        <f>IF(Table1[[#This Row],[InterConf]]=1,IF(Table1[[#This Row],[InterDiv]]=0, 1, 0), 0)</f>
        <v>0</v>
      </c>
      <c r="AM42" s="64">
        <f>IF(INDEX(Standings!$A$2:$C$33,MATCH(Table1[[#This Row],[AwayTeam]],Standings!$A$2:$A$33,0),2)&lt;&gt;INDEX(Standings!$A$2:$C$33,MATCH(Table1[[#This Row],[HomeTeam]],Standings!$A$2:$A$33,0),2),1,0)</f>
        <v>0</v>
      </c>
      <c r="AN42" s="64" t="str">
        <f>INDEX(Table2[AWAY_RECORD], MATCH(Table1[[#This Row],[AwayTeam]],Table2[Team], 0), 0)</f>
        <v>0-0-0</v>
      </c>
      <c r="AO42" s="64" t="str">
        <f>INDEX(Records!$B$2:$AG$33, MATCH(Table1[[#This Row],[AwayTeam]],Records!$A$2:$A$33, 0), MATCH(Table1[[#This Row],[HomeTeam]],Records!$A$2:$A$33, 0))</f>
        <v>0-0-0</v>
      </c>
      <c r="AP42" s="64" t="str">
        <f>INDEX(Table2[HOME_RECORD], MATCH(Table1[[#This Row],[HomeTeam]],Table2[Team], 0), 0)</f>
        <v>0-1-0</v>
      </c>
      <c r="AQ42" s="64" t="str">
        <f>INDEX(Records!$B$2:$AG$33, MATCH(Table1[[#This Row],[HomeTeam]],Records!$A$2:$A$33, 0), MATCH(Table1[[#This Row],[AwayTeam]],Records!$A$2:$A$33, 0))</f>
        <v>0-0-0</v>
      </c>
    </row>
    <row r="43" spans="1:43" x14ac:dyDescent="0.25">
      <c r="A43" s="1"/>
      <c r="D43" t="s">
        <v>212</v>
      </c>
      <c r="E43" t="s">
        <v>169</v>
      </c>
      <c r="F43" t="s">
        <v>215</v>
      </c>
      <c r="G43" t="s">
        <v>60</v>
      </c>
      <c r="H43" t="s">
        <v>54</v>
      </c>
      <c r="L4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3" s="1"/>
      <c r="T43" s="64" t="str">
        <f>IF(Table1[[#This Row],[ActualWinner]]="", "", IF(Table1[[#This Row],[AwayTeam]]=Table1[[#This Row],[ActualWinner]],Table1[[#This Row],[HomeTeam]],Table1[[#This Row],[AwayTeam]]))</f>
        <v/>
      </c>
      <c r="U43" s="64">
        <f>Table1[[#This Row],[ActualAwayScore]]-Table1[[#This Row],[PredictedAwayScore]]</f>
        <v>0</v>
      </c>
      <c r="V43" s="64">
        <f>Table1[[#This Row],[ActualHomeScore]]-Table1[[#This Row],[PredictedHomeScore]]</f>
        <v>0</v>
      </c>
      <c r="W43" s="64">
        <f>(0.8*IF(Table1[[#This Row],[CorrectWinnerPrediction]]=1, 1, 0))+(0.1*IF(Table1[[#This Row],[CorrectAwayScorePrediction]]=1, 1, 0))+(0.1*IF(Table1[[#This Row],[CorrectHomeScorePrediction]]=1, 1, 0))</f>
        <v>0</v>
      </c>
      <c r="X4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3" s="64">
        <f>SUMIF(Table1[GameDate], Table1[[#This Row],[GameDate]], Table1[AwayGameGoalDiff])</f>
        <v>0</v>
      </c>
      <c r="AA43" s="64">
        <f>SUMIF(Table1[GameDate], Table1[[#This Row],[GameDate]], Table1[HomeGameGoalDiff])</f>
        <v>0</v>
      </c>
      <c r="AB43" s="64">
        <f>IF(ISBLANK(Table1[[#This Row],[ActualResult]]), 0, 1)</f>
        <v>0</v>
      </c>
      <c r="AC43" s="64">
        <f>IF(ISBLANK(Table1[[#This Row],[ActualResult]]), 0, IF(Table1[[#This Row],[ActualWinner]]=Table1[[#This Row],[PredictedWinner]], 1, 0))</f>
        <v>0</v>
      </c>
      <c r="AD4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3" s="64">
        <f>IF(AND(Table1[[#This Row],[GameIsOver]]=1,Table1[[#This Row],[ActualAwayScore]]=0), 1,0)</f>
        <v>0</v>
      </c>
      <c r="AG43" s="64">
        <f>IF(AND(Table1[[#This Row],[GameIsOver]]=1,Table1[[#This Row],[ActualHomeScore]]=0), 1,0)</f>
        <v>0</v>
      </c>
      <c r="AH43" s="64">
        <f>IF(Table1[[#This Row],[GameIsOver]]=0,0,IF(Table1[[#This Row],[ActualWinner]]=Table1[[#This Row],[AwayTeam]], 1, 0))</f>
        <v>0</v>
      </c>
      <c r="AI43" s="64">
        <f>IF(Table1[[#This Row],[GameIsOver]]=0,0,IF(Table1[[#This Row],[ActualWinner]]=Table1[[#This Row],[HomeTeam]], 1, 0))</f>
        <v>0</v>
      </c>
      <c r="AJ43" s="64">
        <f>IF(INDEX(Standings!$A$2:$C$33,MATCH(Table1[[#This Row],[AwayTeam]],Standings!$A$2:$A$33,0),2)=INDEX(Standings!$A$2:$C$33,MATCH(Table1[[#This Row],[HomeTeam]],Standings!$A$2:$A$33,0),2),1,0)</f>
        <v>0</v>
      </c>
      <c r="AK43" s="64">
        <f>IF(INDEX(Standings!$A$2:$C$33,MATCH(Table1[[#This Row],[AwayTeam]],Standings!$A$2:$A$33,0),3)=INDEX(Standings!$A$2:$C$33,MATCH(Table1[[#This Row],[HomeTeam]],Standings!$A$2:$A$33,0),3),1,0)</f>
        <v>0</v>
      </c>
      <c r="AL43" s="64">
        <f>IF(Table1[[#This Row],[InterConf]]=1,IF(Table1[[#This Row],[InterDiv]]=0, 1, 0), 0)</f>
        <v>0</v>
      </c>
      <c r="AM43" s="64">
        <f>IF(INDEX(Standings!$A$2:$C$33,MATCH(Table1[[#This Row],[AwayTeam]],Standings!$A$2:$A$33,0),2)&lt;&gt;INDEX(Standings!$A$2:$C$33,MATCH(Table1[[#This Row],[HomeTeam]],Standings!$A$2:$A$33,0),2),1,0)</f>
        <v>1</v>
      </c>
      <c r="AN43" s="64" t="str">
        <f>INDEX(Table2[AWAY_RECORD], MATCH(Table1[[#This Row],[AwayTeam]],Table2[Team], 0), 0)</f>
        <v>0-0-0</v>
      </c>
      <c r="AO43" s="64" t="str">
        <f>INDEX(Records!$B$2:$AG$33, MATCH(Table1[[#This Row],[AwayTeam]],Records!$A$2:$A$33, 0), MATCH(Table1[[#This Row],[HomeTeam]],Records!$A$2:$A$33, 0))</f>
        <v>0-0-0</v>
      </c>
      <c r="AP43" s="64" t="str">
        <f>INDEX(Table2[HOME_RECORD], MATCH(Table1[[#This Row],[HomeTeam]],Table2[Team], 0), 0)</f>
        <v>0-0-0</v>
      </c>
      <c r="AQ43" s="64" t="str">
        <f>INDEX(Records!$B$2:$AG$33, MATCH(Table1[[#This Row],[HomeTeam]],Records!$A$2:$A$33, 0), MATCH(Table1[[#This Row],[AwayTeam]],Records!$A$2:$A$33, 0))</f>
        <v>0-0-0</v>
      </c>
    </row>
    <row r="44" spans="1:43" x14ac:dyDescent="0.25">
      <c r="A44" s="1"/>
      <c r="D44" t="s">
        <v>212</v>
      </c>
      <c r="E44" t="s">
        <v>162</v>
      </c>
      <c r="F44" t="s">
        <v>216</v>
      </c>
      <c r="G44" t="s">
        <v>55</v>
      </c>
      <c r="H44" t="s">
        <v>43</v>
      </c>
      <c r="L4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4" s="1"/>
      <c r="T44" s="64" t="str">
        <f>IF(Table1[[#This Row],[ActualWinner]]="", "", IF(Table1[[#This Row],[AwayTeam]]=Table1[[#This Row],[ActualWinner]],Table1[[#This Row],[HomeTeam]],Table1[[#This Row],[AwayTeam]]))</f>
        <v/>
      </c>
      <c r="U44" s="64">
        <f>Table1[[#This Row],[ActualAwayScore]]-Table1[[#This Row],[PredictedAwayScore]]</f>
        <v>0</v>
      </c>
      <c r="V44" s="64">
        <f>Table1[[#This Row],[ActualHomeScore]]-Table1[[#This Row],[PredictedHomeScore]]</f>
        <v>0</v>
      </c>
      <c r="W44" s="64">
        <f>(0.8*IF(Table1[[#This Row],[CorrectWinnerPrediction]]=1, 1, 0))+(0.1*IF(Table1[[#This Row],[CorrectAwayScorePrediction]]=1, 1, 0))+(0.1*IF(Table1[[#This Row],[CorrectHomeScorePrediction]]=1, 1, 0))</f>
        <v>0</v>
      </c>
      <c r="X4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4" s="64">
        <f>SUMIF(Table1[GameDate], Table1[[#This Row],[GameDate]], Table1[AwayGameGoalDiff])</f>
        <v>0</v>
      </c>
      <c r="AA44" s="64">
        <f>SUMIF(Table1[GameDate], Table1[[#This Row],[GameDate]], Table1[HomeGameGoalDiff])</f>
        <v>0</v>
      </c>
      <c r="AB44" s="64">
        <f>IF(ISBLANK(Table1[[#This Row],[ActualResult]]), 0, 1)</f>
        <v>0</v>
      </c>
      <c r="AC44" s="64">
        <f>IF(ISBLANK(Table1[[#This Row],[ActualResult]]), 0, IF(Table1[[#This Row],[ActualWinner]]=Table1[[#This Row],[PredictedWinner]], 1, 0))</f>
        <v>0</v>
      </c>
      <c r="AD4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4" s="64">
        <f>IF(AND(Table1[[#This Row],[GameIsOver]]=1,Table1[[#This Row],[ActualAwayScore]]=0), 1,0)</f>
        <v>0</v>
      </c>
      <c r="AG44" s="64">
        <f>IF(AND(Table1[[#This Row],[GameIsOver]]=1,Table1[[#This Row],[ActualHomeScore]]=0), 1,0)</f>
        <v>0</v>
      </c>
      <c r="AH44" s="64">
        <f>IF(Table1[[#This Row],[GameIsOver]]=0,0,IF(Table1[[#This Row],[ActualWinner]]=Table1[[#This Row],[AwayTeam]], 1, 0))</f>
        <v>0</v>
      </c>
      <c r="AI44" s="64">
        <f>IF(Table1[[#This Row],[GameIsOver]]=0,0,IF(Table1[[#This Row],[ActualWinner]]=Table1[[#This Row],[HomeTeam]], 1, 0))</f>
        <v>0</v>
      </c>
      <c r="AJ44" s="64">
        <f>IF(INDEX(Standings!$A$2:$C$33,MATCH(Table1[[#This Row],[AwayTeam]],Standings!$A$2:$A$33,0),2)=INDEX(Standings!$A$2:$C$33,MATCH(Table1[[#This Row],[HomeTeam]],Standings!$A$2:$A$33,0),2),1,0)</f>
        <v>1</v>
      </c>
      <c r="AK44" s="64">
        <f>IF(INDEX(Standings!$A$2:$C$33,MATCH(Table1[[#This Row],[AwayTeam]],Standings!$A$2:$A$33,0),3)=INDEX(Standings!$A$2:$C$33,MATCH(Table1[[#This Row],[HomeTeam]],Standings!$A$2:$A$33,0),3),1,0)</f>
        <v>0</v>
      </c>
      <c r="AL44" s="64">
        <f>IF(Table1[[#This Row],[InterConf]]=1,IF(Table1[[#This Row],[InterDiv]]=0, 1, 0), 0)</f>
        <v>1</v>
      </c>
      <c r="AM44" s="64">
        <f>IF(INDEX(Standings!$A$2:$C$33,MATCH(Table1[[#This Row],[AwayTeam]],Standings!$A$2:$A$33,0),2)&lt;&gt;INDEX(Standings!$A$2:$C$33,MATCH(Table1[[#This Row],[HomeTeam]],Standings!$A$2:$A$33,0),2),1,0)</f>
        <v>0</v>
      </c>
      <c r="AN44" s="64" t="str">
        <f>INDEX(Table2[AWAY_RECORD], MATCH(Table1[[#This Row],[AwayTeam]],Table2[Team], 0), 0)</f>
        <v>0-0-0</v>
      </c>
      <c r="AO44" s="64" t="str">
        <f>INDEX(Records!$B$2:$AG$33, MATCH(Table1[[#This Row],[AwayTeam]],Records!$A$2:$A$33, 0), MATCH(Table1[[#This Row],[HomeTeam]],Records!$A$2:$A$33, 0))</f>
        <v>0-0-0</v>
      </c>
      <c r="AP44" s="64" t="str">
        <f>INDEX(Table2[HOME_RECORD], MATCH(Table1[[#This Row],[HomeTeam]],Table2[Team], 0), 0)</f>
        <v>0-0-0</v>
      </c>
      <c r="AQ44" s="64" t="str">
        <f>INDEX(Records!$B$2:$AG$33, MATCH(Table1[[#This Row],[HomeTeam]],Records!$A$2:$A$33, 0), MATCH(Table1[[#This Row],[AwayTeam]],Records!$A$2:$A$33, 0))</f>
        <v>0-0-0</v>
      </c>
    </row>
    <row r="45" spans="1:43" x14ac:dyDescent="0.25">
      <c r="A45" s="1"/>
      <c r="D45" t="s">
        <v>217</v>
      </c>
      <c r="E45" t="s">
        <v>160</v>
      </c>
      <c r="F45" t="s">
        <v>218</v>
      </c>
      <c r="G45" t="s">
        <v>48</v>
      </c>
      <c r="H45" t="s">
        <v>24</v>
      </c>
      <c r="L4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5" s="1"/>
      <c r="T45" s="64" t="str">
        <f>IF(Table1[[#This Row],[ActualWinner]]="", "", IF(Table1[[#This Row],[AwayTeam]]=Table1[[#This Row],[ActualWinner]],Table1[[#This Row],[HomeTeam]],Table1[[#This Row],[AwayTeam]]))</f>
        <v/>
      </c>
      <c r="U45" s="64">
        <f>Table1[[#This Row],[ActualAwayScore]]-Table1[[#This Row],[PredictedAwayScore]]</f>
        <v>0</v>
      </c>
      <c r="V45" s="64">
        <f>Table1[[#This Row],[ActualHomeScore]]-Table1[[#This Row],[PredictedHomeScore]]</f>
        <v>0</v>
      </c>
      <c r="W45" s="64">
        <f>(0.8*IF(Table1[[#This Row],[CorrectWinnerPrediction]]=1, 1, 0))+(0.1*IF(Table1[[#This Row],[CorrectAwayScorePrediction]]=1, 1, 0))+(0.1*IF(Table1[[#This Row],[CorrectHomeScorePrediction]]=1, 1, 0))</f>
        <v>0</v>
      </c>
      <c r="X4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5" s="64">
        <f>SUMIF(Table1[GameDate], Table1[[#This Row],[GameDate]], Table1[AwayGameGoalDiff])</f>
        <v>0</v>
      </c>
      <c r="AA45" s="64">
        <f>SUMIF(Table1[GameDate], Table1[[#This Row],[GameDate]], Table1[HomeGameGoalDiff])</f>
        <v>0</v>
      </c>
      <c r="AB45" s="64">
        <f>IF(ISBLANK(Table1[[#This Row],[ActualResult]]), 0, 1)</f>
        <v>0</v>
      </c>
      <c r="AC45" s="64">
        <f>IF(ISBLANK(Table1[[#This Row],[ActualResult]]), 0, IF(Table1[[#This Row],[ActualWinner]]=Table1[[#This Row],[PredictedWinner]], 1, 0))</f>
        <v>0</v>
      </c>
      <c r="AD4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5" s="64">
        <f>IF(AND(Table1[[#This Row],[GameIsOver]]=1,Table1[[#This Row],[ActualAwayScore]]=0), 1,0)</f>
        <v>0</v>
      </c>
      <c r="AG45" s="64">
        <f>IF(AND(Table1[[#This Row],[GameIsOver]]=1,Table1[[#This Row],[ActualHomeScore]]=0), 1,0)</f>
        <v>0</v>
      </c>
      <c r="AH45" s="64">
        <f>IF(Table1[[#This Row],[GameIsOver]]=0,0,IF(Table1[[#This Row],[ActualWinner]]=Table1[[#This Row],[AwayTeam]], 1, 0))</f>
        <v>0</v>
      </c>
      <c r="AI45" s="64">
        <f>IF(Table1[[#This Row],[GameIsOver]]=0,0,IF(Table1[[#This Row],[ActualWinner]]=Table1[[#This Row],[HomeTeam]], 1, 0))</f>
        <v>0</v>
      </c>
      <c r="AJ45" s="64">
        <f>IF(INDEX(Standings!$A$2:$C$33,MATCH(Table1[[#This Row],[AwayTeam]],Standings!$A$2:$A$33,0),2)=INDEX(Standings!$A$2:$C$33,MATCH(Table1[[#This Row],[HomeTeam]],Standings!$A$2:$A$33,0),2),1,0)</f>
        <v>0</v>
      </c>
      <c r="AK45" s="64">
        <f>IF(INDEX(Standings!$A$2:$C$33,MATCH(Table1[[#This Row],[AwayTeam]],Standings!$A$2:$A$33,0),3)=INDEX(Standings!$A$2:$C$33,MATCH(Table1[[#This Row],[HomeTeam]],Standings!$A$2:$A$33,0),3),1,0)</f>
        <v>0</v>
      </c>
      <c r="AL45" s="64">
        <f>IF(Table1[[#This Row],[InterConf]]=1,IF(Table1[[#This Row],[InterDiv]]=0, 1, 0), 0)</f>
        <v>0</v>
      </c>
      <c r="AM45" s="64">
        <f>IF(INDEX(Standings!$A$2:$C$33,MATCH(Table1[[#This Row],[AwayTeam]],Standings!$A$2:$A$33,0),2)&lt;&gt;INDEX(Standings!$A$2:$C$33,MATCH(Table1[[#This Row],[HomeTeam]],Standings!$A$2:$A$33,0),2),1,0)</f>
        <v>1</v>
      </c>
      <c r="AN45" s="64" t="str">
        <f>INDEX(Table2[AWAY_RECORD], MATCH(Table1[[#This Row],[AwayTeam]],Table2[Team], 0), 0)</f>
        <v>0-0-0</v>
      </c>
      <c r="AO45" s="64" t="str">
        <f>INDEX(Records!$B$2:$AG$33, MATCH(Table1[[#This Row],[AwayTeam]],Records!$A$2:$A$33, 0), MATCH(Table1[[#This Row],[HomeTeam]],Records!$A$2:$A$33, 0))</f>
        <v>0-0-0</v>
      </c>
      <c r="AP45" s="64" t="str">
        <f>INDEX(Table2[HOME_RECORD], MATCH(Table1[[#This Row],[HomeTeam]],Table2[Team], 0), 0)</f>
        <v>0-2-0</v>
      </c>
      <c r="AQ45" s="64" t="str">
        <f>INDEX(Records!$B$2:$AG$33, MATCH(Table1[[#This Row],[HomeTeam]],Records!$A$2:$A$33, 0), MATCH(Table1[[#This Row],[AwayTeam]],Records!$A$2:$A$33, 0))</f>
        <v>0-0-0</v>
      </c>
    </row>
    <row r="46" spans="1:43" x14ac:dyDescent="0.25">
      <c r="A46" s="1"/>
      <c r="D46" t="s">
        <v>217</v>
      </c>
      <c r="E46" t="s">
        <v>160</v>
      </c>
      <c r="F46" t="s">
        <v>219</v>
      </c>
      <c r="G46" t="s">
        <v>40</v>
      </c>
      <c r="H46" t="s">
        <v>47</v>
      </c>
      <c r="L4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6" s="1"/>
      <c r="T46" s="64" t="str">
        <f>IF(Table1[[#This Row],[ActualWinner]]="", "", IF(Table1[[#This Row],[AwayTeam]]=Table1[[#This Row],[ActualWinner]],Table1[[#This Row],[HomeTeam]],Table1[[#This Row],[AwayTeam]]))</f>
        <v/>
      </c>
      <c r="U46" s="64">
        <f>Table1[[#This Row],[ActualAwayScore]]-Table1[[#This Row],[PredictedAwayScore]]</f>
        <v>0</v>
      </c>
      <c r="V46" s="64">
        <f>Table1[[#This Row],[ActualHomeScore]]-Table1[[#This Row],[PredictedHomeScore]]</f>
        <v>0</v>
      </c>
      <c r="W46" s="64">
        <f>(0.8*IF(Table1[[#This Row],[CorrectWinnerPrediction]]=1, 1, 0))+(0.1*IF(Table1[[#This Row],[CorrectAwayScorePrediction]]=1, 1, 0))+(0.1*IF(Table1[[#This Row],[CorrectHomeScorePrediction]]=1, 1, 0))</f>
        <v>0</v>
      </c>
      <c r="X4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6" s="64">
        <f>SUMIF(Table1[GameDate], Table1[[#This Row],[GameDate]], Table1[AwayGameGoalDiff])</f>
        <v>0</v>
      </c>
      <c r="AA46" s="64">
        <f>SUMIF(Table1[GameDate], Table1[[#This Row],[GameDate]], Table1[HomeGameGoalDiff])</f>
        <v>0</v>
      </c>
      <c r="AB46" s="64">
        <f>IF(ISBLANK(Table1[[#This Row],[ActualResult]]), 0, 1)</f>
        <v>0</v>
      </c>
      <c r="AC46" s="64">
        <f>IF(ISBLANK(Table1[[#This Row],[ActualResult]]), 0, IF(Table1[[#This Row],[ActualWinner]]=Table1[[#This Row],[PredictedWinner]], 1, 0))</f>
        <v>0</v>
      </c>
      <c r="AD4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6" s="64">
        <f>IF(AND(Table1[[#This Row],[GameIsOver]]=1,Table1[[#This Row],[ActualAwayScore]]=0), 1,0)</f>
        <v>0</v>
      </c>
      <c r="AG46" s="64">
        <f>IF(AND(Table1[[#This Row],[GameIsOver]]=1,Table1[[#This Row],[ActualHomeScore]]=0), 1,0)</f>
        <v>0</v>
      </c>
      <c r="AH46" s="64">
        <f>IF(Table1[[#This Row],[GameIsOver]]=0,0,IF(Table1[[#This Row],[ActualWinner]]=Table1[[#This Row],[AwayTeam]], 1, 0))</f>
        <v>0</v>
      </c>
      <c r="AI46" s="64">
        <f>IF(Table1[[#This Row],[GameIsOver]]=0,0,IF(Table1[[#This Row],[ActualWinner]]=Table1[[#This Row],[HomeTeam]], 1, 0))</f>
        <v>0</v>
      </c>
      <c r="AJ46" s="64">
        <f>IF(INDEX(Standings!$A$2:$C$33,MATCH(Table1[[#This Row],[AwayTeam]],Standings!$A$2:$A$33,0),2)=INDEX(Standings!$A$2:$C$33,MATCH(Table1[[#This Row],[HomeTeam]],Standings!$A$2:$A$33,0),2),1,0)</f>
        <v>1</v>
      </c>
      <c r="AK46" s="64">
        <f>IF(INDEX(Standings!$A$2:$C$33,MATCH(Table1[[#This Row],[AwayTeam]],Standings!$A$2:$A$33,0),3)=INDEX(Standings!$A$2:$C$33,MATCH(Table1[[#This Row],[HomeTeam]],Standings!$A$2:$A$33,0),3),1,0)</f>
        <v>0</v>
      </c>
      <c r="AL46" s="64">
        <f>IF(Table1[[#This Row],[InterConf]]=1,IF(Table1[[#This Row],[InterDiv]]=0, 1, 0), 0)</f>
        <v>1</v>
      </c>
      <c r="AM46" s="64">
        <f>IF(INDEX(Standings!$A$2:$C$33,MATCH(Table1[[#This Row],[AwayTeam]],Standings!$A$2:$A$33,0),2)&lt;&gt;INDEX(Standings!$A$2:$C$33,MATCH(Table1[[#This Row],[HomeTeam]],Standings!$A$2:$A$33,0),2),1,0)</f>
        <v>0</v>
      </c>
      <c r="AN46" s="64" t="str">
        <f>INDEX(Table2[AWAY_RECORD], MATCH(Table1[[#This Row],[AwayTeam]],Table2[Team], 0), 0)</f>
        <v>0-0-0</v>
      </c>
      <c r="AO46" s="64" t="str">
        <f>INDEX(Records!$B$2:$AG$33, MATCH(Table1[[#This Row],[AwayTeam]],Records!$A$2:$A$33, 0), MATCH(Table1[[#This Row],[HomeTeam]],Records!$A$2:$A$33, 0))</f>
        <v>0-0-0</v>
      </c>
      <c r="AP46" s="64" t="str">
        <f>INDEX(Table2[HOME_RECORD], MATCH(Table1[[#This Row],[HomeTeam]],Table2[Team], 0), 0)</f>
        <v>0-0-0</v>
      </c>
      <c r="AQ46" s="64" t="str">
        <f>INDEX(Records!$B$2:$AG$33, MATCH(Table1[[#This Row],[HomeTeam]],Records!$A$2:$A$33, 0), MATCH(Table1[[#This Row],[AwayTeam]],Records!$A$2:$A$33, 0))</f>
        <v>0-0-0</v>
      </c>
    </row>
    <row r="47" spans="1:43" x14ac:dyDescent="0.25">
      <c r="A47" s="1"/>
      <c r="D47" t="s">
        <v>217</v>
      </c>
      <c r="E47" t="s">
        <v>160</v>
      </c>
      <c r="F47" t="s">
        <v>220</v>
      </c>
      <c r="G47" t="s">
        <v>52</v>
      </c>
      <c r="H47" t="s">
        <v>44</v>
      </c>
      <c r="L4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7" s="1"/>
      <c r="T47" s="64" t="str">
        <f>IF(Table1[[#This Row],[ActualWinner]]="", "", IF(Table1[[#This Row],[AwayTeam]]=Table1[[#This Row],[ActualWinner]],Table1[[#This Row],[HomeTeam]],Table1[[#This Row],[AwayTeam]]))</f>
        <v/>
      </c>
      <c r="U47" s="64">
        <f>Table1[[#This Row],[ActualAwayScore]]-Table1[[#This Row],[PredictedAwayScore]]</f>
        <v>0</v>
      </c>
      <c r="V47" s="64">
        <f>Table1[[#This Row],[ActualHomeScore]]-Table1[[#This Row],[PredictedHomeScore]]</f>
        <v>0</v>
      </c>
      <c r="W47" s="64">
        <f>(0.8*IF(Table1[[#This Row],[CorrectWinnerPrediction]]=1, 1, 0))+(0.1*IF(Table1[[#This Row],[CorrectAwayScorePrediction]]=1, 1, 0))+(0.1*IF(Table1[[#This Row],[CorrectHomeScorePrediction]]=1, 1, 0))</f>
        <v>0</v>
      </c>
      <c r="X4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7" s="64">
        <f>SUMIF(Table1[GameDate], Table1[[#This Row],[GameDate]], Table1[AwayGameGoalDiff])</f>
        <v>0</v>
      </c>
      <c r="AA47" s="64">
        <f>SUMIF(Table1[GameDate], Table1[[#This Row],[GameDate]], Table1[HomeGameGoalDiff])</f>
        <v>0</v>
      </c>
      <c r="AB47" s="64">
        <f>IF(ISBLANK(Table1[[#This Row],[ActualResult]]), 0, 1)</f>
        <v>0</v>
      </c>
      <c r="AC47" s="64">
        <f>IF(ISBLANK(Table1[[#This Row],[ActualResult]]), 0, IF(Table1[[#This Row],[ActualWinner]]=Table1[[#This Row],[PredictedWinner]], 1, 0))</f>
        <v>0</v>
      </c>
      <c r="AD4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7" s="64">
        <f>IF(AND(Table1[[#This Row],[GameIsOver]]=1,Table1[[#This Row],[ActualAwayScore]]=0), 1,0)</f>
        <v>0</v>
      </c>
      <c r="AG47" s="64">
        <f>IF(AND(Table1[[#This Row],[GameIsOver]]=1,Table1[[#This Row],[ActualHomeScore]]=0), 1,0)</f>
        <v>0</v>
      </c>
      <c r="AH47" s="64">
        <f>IF(Table1[[#This Row],[GameIsOver]]=0,0,IF(Table1[[#This Row],[ActualWinner]]=Table1[[#This Row],[AwayTeam]], 1, 0))</f>
        <v>0</v>
      </c>
      <c r="AI47" s="64">
        <f>IF(Table1[[#This Row],[GameIsOver]]=0,0,IF(Table1[[#This Row],[ActualWinner]]=Table1[[#This Row],[HomeTeam]], 1, 0))</f>
        <v>0</v>
      </c>
      <c r="AJ47" s="64">
        <f>IF(INDEX(Standings!$A$2:$C$33,MATCH(Table1[[#This Row],[AwayTeam]],Standings!$A$2:$A$33,0),2)=INDEX(Standings!$A$2:$C$33,MATCH(Table1[[#This Row],[HomeTeam]],Standings!$A$2:$A$33,0),2),1,0)</f>
        <v>1</v>
      </c>
      <c r="AK47" s="64">
        <f>IF(INDEX(Standings!$A$2:$C$33,MATCH(Table1[[#This Row],[AwayTeam]],Standings!$A$2:$A$33,0),3)=INDEX(Standings!$A$2:$C$33,MATCH(Table1[[#This Row],[HomeTeam]],Standings!$A$2:$A$33,0),3),1,0)</f>
        <v>1</v>
      </c>
      <c r="AL47" s="64">
        <f>IF(Table1[[#This Row],[InterConf]]=1,IF(Table1[[#This Row],[InterDiv]]=0, 1, 0), 0)</f>
        <v>0</v>
      </c>
      <c r="AM47" s="64">
        <f>IF(INDEX(Standings!$A$2:$C$33,MATCH(Table1[[#This Row],[AwayTeam]],Standings!$A$2:$A$33,0),2)&lt;&gt;INDEX(Standings!$A$2:$C$33,MATCH(Table1[[#This Row],[HomeTeam]],Standings!$A$2:$A$33,0),2),1,0)</f>
        <v>0</v>
      </c>
      <c r="AN47" s="64" t="str">
        <f>INDEX(Table2[AWAY_RECORD], MATCH(Table1[[#This Row],[AwayTeam]],Table2[Team], 0), 0)</f>
        <v>0-0-0</v>
      </c>
      <c r="AO47" s="64" t="str">
        <f>INDEX(Records!$B$2:$AG$33, MATCH(Table1[[#This Row],[AwayTeam]],Records!$A$2:$A$33, 0), MATCH(Table1[[#This Row],[HomeTeam]],Records!$A$2:$A$33, 0))</f>
        <v>0-0-0</v>
      </c>
      <c r="AP47" s="64" t="str">
        <f>INDEX(Table2[HOME_RECORD], MATCH(Table1[[#This Row],[HomeTeam]],Table2[Team], 0), 0)</f>
        <v>0-0-1</v>
      </c>
      <c r="AQ47" s="64" t="str">
        <f>INDEX(Records!$B$2:$AG$33, MATCH(Table1[[#This Row],[HomeTeam]],Records!$A$2:$A$33, 0), MATCH(Table1[[#This Row],[AwayTeam]],Records!$A$2:$A$33, 0))</f>
        <v>0-0-0</v>
      </c>
    </row>
    <row r="48" spans="1:43" x14ac:dyDescent="0.25">
      <c r="A48" s="1"/>
      <c r="D48" t="s">
        <v>217</v>
      </c>
      <c r="E48" t="s">
        <v>160</v>
      </c>
      <c r="F48" t="s">
        <v>221</v>
      </c>
      <c r="G48" t="s">
        <v>58</v>
      </c>
      <c r="H48" t="s">
        <v>49</v>
      </c>
      <c r="L4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8" s="1"/>
      <c r="T48" s="64" t="str">
        <f>IF(Table1[[#This Row],[ActualWinner]]="", "", IF(Table1[[#This Row],[AwayTeam]]=Table1[[#This Row],[ActualWinner]],Table1[[#This Row],[HomeTeam]],Table1[[#This Row],[AwayTeam]]))</f>
        <v/>
      </c>
      <c r="U48" s="64">
        <f>Table1[[#This Row],[ActualAwayScore]]-Table1[[#This Row],[PredictedAwayScore]]</f>
        <v>0</v>
      </c>
      <c r="V48" s="64">
        <f>Table1[[#This Row],[ActualHomeScore]]-Table1[[#This Row],[PredictedHomeScore]]</f>
        <v>0</v>
      </c>
      <c r="W48" s="64">
        <f>(0.8*IF(Table1[[#This Row],[CorrectWinnerPrediction]]=1, 1, 0))+(0.1*IF(Table1[[#This Row],[CorrectAwayScorePrediction]]=1, 1, 0))+(0.1*IF(Table1[[#This Row],[CorrectHomeScorePrediction]]=1, 1, 0))</f>
        <v>0</v>
      </c>
      <c r="X4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8" s="64">
        <f>SUMIF(Table1[GameDate], Table1[[#This Row],[GameDate]], Table1[AwayGameGoalDiff])</f>
        <v>0</v>
      </c>
      <c r="AA48" s="64">
        <f>SUMIF(Table1[GameDate], Table1[[#This Row],[GameDate]], Table1[HomeGameGoalDiff])</f>
        <v>0</v>
      </c>
      <c r="AB48" s="64">
        <f>IF(ISBLANK(Table1[[#This Row],[ActualResult]]), 0, 1)</f>
        <v>0</v>
      </c>
      <c r="AC48" s="64">
        <f>IF(ISBLANK(Table1[[#This Row],[ActualResult]]), 0, IF(Table1[[#This Row],[ActualWinner]]=Table1[[#This Row],[PredictedWinner]], 1, 0))</f>
        <v>0</v>
      </c>
      <c r="AD4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8" s="64">
        <f>IF(AND(Table1[[#This Row],[GameIsOver]]=1,Table1[[#This Row],[ActualAwayScore]]=0), 1,0)</f>
        <v>0</v>
      </c>
      <c r="AG48" s="64">
        <f>IF(AND(Table1[[#This Row],[GameIsOver]]=1,Table1[[#This Row],[ActualHomeScore]]=0), 1,0)</f>
        <v>0</v>
      </c>
      <c r="AH48" s="64">
        <f>IF(Table1[[#This Row],[GameIsOver]]=0,0,IF(Table1[[#This Row],[ActualWinner]]=Table1[[#This Row],[AwayTeam]], 1, 0))</f>
        <v>0</v>
      </c>
      <c r="AI48" s="64">
        <f>IF(Table1[[#This Row],[GameIsOver]]=0,0,IF(Table1[[#This Row],[ActualWinner]]=Table1[[#This Row],[HomeTeam]], 1, 0))</f>
        <v>0</v>
      </c>
      <c r="AJ48" s="64">
        <f>IF(INDEX(Standings!$A$2:$C$33,MATCH(Table1[[#This Row],[AwayTeam]],Standings!$A$2:$A$33,0),2)=INDEX(Standings!$A$2:$C$33,MATCH(Table1[[#This Row],[HomeTeam]],Standings!$A$2:$A$33,0),2),1,0)</f>
        <v>0</v>
      </c>
      <c r="AK48" s="64">
        <f>IF(INDEX(Standings!$A$2:$C$33,MATCH(Table1[[#This Row],[AwayTeam]],Standings!$A$2:$A$33,0),3)=INDEX(Standings!$A$2:$C$33,MATCH(Table1[[#This Row],[HomeTeam]],Standings!$A$2:$A$33,0),3),1,0)</f>
        <v>0</v>
      </c>
      <c r="AL48" s="64">
        <f>IF(Table1[[#This Row],[InterConf]]=1,IF(Table1[[#This Row],[InterDiv]]=0, 1, 0), 0)</f>
        <v>0</v>
      </c>
      <c r="AM48" s="64">
        <f>IF(INDEX(Standings!$A$2:$C$33,MATCH(Table1[[#This Row],[AwayTeam]],Standings!$A$2:$A$33,0),2)&lt;&gt;INDEX(Standings!$A$2:$C$33,MATCH(Table1[[#This Row],[HomeTeam]],Standings!$A$2:$A$33,0),2),1,0)</f>
        <v>1</v>
      </c>
      <c r="AN48" s="64" t="str">
        <f>INDEX(Table2[AWAY_RECORD], MATCH(Table1[[#This Row],[AwayTeam]],Table2[Team], 0), 0)</f>
        <v>0-0-0</v>
      </c>
      <c r="AO48" s="64" t="str">
        <f>INDEX(Records!$B$2:$AG$33, MATCH(Table1[[#This Row],[AwayTeam]],Records!$A$2:$A$33, 0), MATCH(Table1[[#This Row],[HomeTeam]],Records!$A$2:$A$33, 0))</f>
        <v>0-0-0</v>
      </c>
      <c r="AP48" s="64" t="str">
        <f>INDEX(Table2[HOME_RECORD], MATCH(Table1[[#This Row],[HomeTeam]],Table2[Team], 0), 0)</f>
        <v>1-0-0</v>
      </c>
      <c r="AQ48" s="64" t="str">
        <f>INDEX(Records!$B$2:$AG$33, MATCH(Table1[[#This Row],[HomeTeam]],Records!$A$2:$A$33, 0), MATCH(Table1[[#This Row],[AwayTeam]],Records!$A$2:$A$33, 0))</f>
        <v>0-0-0</v>
      </c>
    </row>
    <row r="49" spans="1:43" x14ac:dyDescent="0.25">
      <c r="A49" s="1"/>
      <c r="D49" t="s">
        <v>217</v>
      </c>
      <c r="E49" t="s">
        <v>160</v>
      </c>
      <c r="F49" t="s">
        <v>222</v>
      </c>
      <c r="G49" t="s">
        <v>50</v>
      </c>
      <c r="H49" t="s">
        <v>51</v>
      </c>
      <c r="L4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9" s="1"/>
      <c r="T49" s="64" t="str">
        <f>IF(Table1[[#This Row],[ActualWinner]]="", "", IF(Table1[[#This Row],[AwayTeam]]=Table1[[#This Row],[ActualWinner]],Table1[[#This Row],[HomeTeam]],Table1[[#This Row],[AwayTeam]]))</f>
        <v/>
      </c>
      <c r="U49" s="64">
        <f>Table1[[#This Row],[ActualAwayScore]]-Table1[[#This Row],[PredictedAwayScore]]</f>
        <v>0</v>
      </c>
      <c r="V49" s="64">
        <f>Table1[[#This Row],[ActualHomeScore]]-Table1[[#This Row],[PredictedHomeScore]]</f>
        <v>0</v>
      </c>
      <c r="W49" s="64">
        <f>(0.8*IF(Table1[[#This Row],[CorrectWinnerPrediction]]=1, 1, 0))+(0.1*IF(Table1[[#This Row],[CorrectAwayScorePrediction]]=1, 1, 0))+(0.1*IF(Table1[[#This Row],[CorrectHomeScorePrediction]]=1, 1, 0))</f>
        <v>0</v>
      </c>
      <c r="X4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9" s="64">
        <f>SUMIF(Table1[GameDate], Table1[[#This Row],[GameDate]], Table1[AwayGameGoalDiff])</f>
        <v>0</v>
      </c>
      <c r="AA49" s="64">
        <f>SUMIF(Table1[GameDate], Table1[[#This Row],[GameDate]], Table1[HomeGameGoalDiff])</f>
        <v>0</v>
      </c>
      <c r="AB49" s="64">
        <f>IF(ISBLANK(Table1[[#This Row],[ActualResult]]), 0, 1)</f>
        <v>0</v>
      </c>
      <c r="AC49" s="64">
        <f>IF(ISBLANK(Table1[[#This Row],[ActualResult]]), 0, IF(Table1[[#This Row],[ActualWinner]]=Table1[[#This Row],[PredictedWinner]], 1, 0))</f>
        <v>0</v>
      </c>
      <c r="AD4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9" s="64">
        <f>IF(AND(Table1[[#This Row],[GameIsOver]]=1,Table1[[#This Row],[ActualAwayScore]]=0), 1,0)</f>
        <v>0</v>
      </c>
      <c r="AG49" s="64">
        <f>IF(AND(Table1[[#This Row],[GameIsOver]]=1,Table1[[#This Row],[ActualHomeScore]]=0), 1,0)</f>
        <v>0</v>
      </c>
      <c r="AH49" s="64">
        <f>IF(Table1[[#This Row],[GameIsOver]]=0,0,IF(Table1[[#This Row],[ActualWinner]]=Table1[[#This Row],[AwayTeam]], 1, 0))</f>
        <v>0</v>
      </c>
      <c r="AI49" s="64">
        <f>IF(Table1[[#This Row],[GameIsOver]]=0,0,IF(Table1[[#This Row],[ActualWinner]]=Table1[[#This Row],[HomeTeam]], 1, 0))</f>
        <v>0</v>
      </c>
      <c r="AJ49" s="64">
        <f>IF(INDEX(Standings!$A$2:$C$33,MATCH(Table1[[#This Row],[AwayTeam]],Standings!$A$2:$A$33,0),2)=INDEX(Standings!$A$2:$C$33,MATCH(Table1[[#This Row],[HomeTeam]],Standings!$A$2:$A$33,0),2),1,0)</f>
        <v>1</v>
      </c>
      <c r="AK49" s="64">
        <f>IF(INDEX(Standings!$A$2:$C$33,MATCH(Table1[[#This Row],[AwayTeam]],Standings!$A$2:$A$33,0),3)=INDEX(Standings!$A$2:$C$33,MATCH(Table1[[#This Row],[HomeTeam]],Standings!$A$2:$A$33,0),3),1,0)</f>
        <v>1</v>
      </c>
      <c r="AL49" s="64">
        <f>IF(Table1[[#This Row],[InterConf]]=1,IF(Table1[[#This Row],[InterDiv]]=0, 1, 0), 0)</f>
        <v>0</v>
      </c>
      <c r="AM49" s="64">
        <f>IF(INDEX(Standings!$A$2:$C$33,MATCH(Table1[[#This Row],[AwayTeam]],Standings!$A$2:$A$33,0),2)&lt;&gt;INDEX(Standings!$A$2:$C$33,MATCH(Table1[[#This Row],[HomeTeam]],Standings!$A$2:$A$33,0),2),1,0)</f>
        <v>0</v>
      </c>
      <c r="AN49" s="64" t="str">
        <f>INDEX(Table2[AWAY_RECORD], MATCH(Table1[[#This Row],[AwayTeam]],Table2[Team], 0), 0)</f>
        <v>1-0-0</v>
      </c>
      <c r="AO49" s="64" t="str">
        <f>INDEX(Records!$B$2:$AG$33, MATCH(Table1[[#This Row],[AwayTeam]],Records!$A$2:$A$33, 0), MATCH(Table1[[#This Row],[HomeTeam]],Records!$A$2:$A$33, 0))</f>
        <v>0-0-0</v>
      </c>
      <c r="AP49" s="64" t="str">
        <f>INDEX(Table2[HOME_RECORD], MATCH(Table1[[#This Row],[HomeTeam]],Table2[Team], 0), 0)</f>
        <v>1-0-0</v>
      </c>
      <c r="AQ49" s="64" t="str">
        <f>INDEX(Records!$B$2:$AG$33, MATCH(Table1[[#This Row],[HomeTeam]],Records!$A$2:$A$33, 0), MATCH(Table1[[#This Row],[AwayTeam]],Records!$A$2:$A$33, 0))</f>
        <v>0-0-0</v>
      </c>
    </row>
    <row r="50" spans="1:43" x14ac:dyDescent="0.25">
      <c r="A50" s="1"/>
      <c r="D50" t="s">
        <v>217</v>
      </c>
      <c r="E50" t="s">
        <v>162</v>
      </c>
      <c r="F50" t="s">
        <v>223</v>
      </c>
      <c r="G50" t="s">
        <v>22</v>
      </c>
      <c r="H50" t="s">
        <v>38</v>
      </c>
      <c r="L5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0" s="1"/>
      <c r="T50" s="64" t="str">
        <f>IF(Table1[[#This Row],[ActualWinner]]="", "", IF(Table1[[#This Row],[AwayTeam]]=Table1[[#This Row],[ActualWinner]],Table1[[#This Row],[HomeTeam]],Table1[[#This Row],[AwayTeam]]))</f>
        <v/>
      </c>
      <c r="U50" s="64">
        <f>Table1[[#This Row],[ActualAwayScore]]-Table1[[#This Row],[PredictedAwayScore]]</f>
        <v>0</v>
      </c>
      <c r="V50" s="64">
        <f>Table1[[#This Row],[ActualHomeScore]]-Table1[[#This Row],[PredictedHomeScore]]</f>
        <v>0</v>
      </c>
      <c r="W50" s="64">
        <f>(0.8*IF(Table1[[#This Row],[CorrectWinnerPrediction]]=1, 1, 0))+(0.1*IF(Table1[[#This Row],[CorrectAwayScorePrediction]]=1, 1, 0))+(0.1*IF(Table1[[#This Row],[CorrectHomeScorePrediction]]=1, 1, 0))</f>
        <v>0</v>
      </c>
      <c r="X5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0" s="64">
        <f>SUMIF(Table1[GameDate], Table1[[#This Row],[GameDate]], Table1[AwayGameGoalDiff])</f>
        <v>0</v>
      </c>
      <c r="AA50" s="64">
        <f>SUMIF(Table1[GameDate], Table1[[#This Row],[GameDate]], Table1[HomeGameGoalDiff])</f>
        <v>0</v>
      </c>
      <c r="AB50" s="64">
        <f>IF(ISBLANK(Table1[[#This Row],[ActualResult]]), 0, 1)</f>
        <v>0</v>
      </c>
      <c r="AC50" s="64">
        <f>IF(ISBLANK(Table1[[#This Row],[ActualResult]]), 0, IF(Table1[[#This Row],[ActualWinner]]=Table1[[#This Row],[PredictedWinner]], 1, 0))</f>
        <v>0</v>
      </c>
      <c r="AD5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0" s="64">
        <f>IF(AND(Table1[[#This Row],[GameIsOver]]=1,Table1[[#This Row],[ActualAwayScore]]=0), 1,0)</f>
        <v>0</v>
      </c>
      <c r="AG50" s="64">
        <f>IF(AND(Table1[[#This Row],[GameIsOver]]=1,Table1[[#This Row],[ActualHomeScore]]=0), 1,0)</f>
        <v>0</v>
      </c>
      <c r="AH50" s="64">
        <f>IF(Table1[[#This Row],[GameIsOver]]=0,0,IF(Table1[[#This Row],[ActualWinner]]=Table1[[#This Row],[AwayTeam]], 1, 0))</f>
        <v>0</v>
      </c>
      <c r="AI50" s="64">
        <f>IF(Table1[[#This Row],[GameIsOver]]=0,0,IF(Table1[[#This Row],[ActualWinner]]=Table1[[#This Row],[HomeTeam]], 1, 0))</f>
        <v>0</v>
      </c>
      <c r="AJ50" s="64">
        <f>IF(INDEX(Standings!$A$2:$C$33,MATCH(Table1[[#This Row],[AwayTeam]],Standings!$A$2:$A$33,0),2)=INDEX(Standings!$A$2:$C$33,MATCH(Table1[[#This Row],[HomeTeam]],Standings!$A$2:$A$33,0),2),1,0)</f>
        <v>0</v>
      </c>
      <c r="AK50" s="64">
        <f>IF(INDEX(Standings!$A$2:$C$33,MATCH(Table1[[#This Row],[AwayTeam]],Standings!$A$2:$A$33,0),3)=INDEX(Standings!$A$2:$C$33,MATCH(Table1[[#This Row],[HomeTeam]],Standings!$A$2:$A$33,0),3),1,0)</f>
        <v>0</v>
      </c>
      <c r="AL50" s="64">
        <f>IF(Table1[[#This Row],[InterConf]]=1,IF(Table1[[#This Row],[InterDiv]]=0, 1, 0), 0)</f>
        <v>0</v>
      </c>
      <c r="AM50" s="64">
        <f>IF(INDEX(Standings!$A$2:$C$33,MATCH(Table1[[#This Row],[AwayTeam]],Standings!$A$2:$A$33,0),2)&lt;&gt;INDEX(Standings!$A$2:$C$33,MATCH(Table1[[#This Row],[HomeTeam]],Standings!$A$2:$A$33,0),2),1,0)</f>
        <v>1</v>
      </c>
      <c r="AN50" s="64" t="str">
        <f>INDEX(Table2[AWAY_RECORD], MATCH(Table1[[#This Row],[AwayTeam]],Table2[Team], 0), 0)</f>
        <v>0-0-1</v>
      </c>
      <c r="AO50" s="64" t="str">
        <f>INDEX(Records!$B$2:$AG$33, MATCH(Table1[[#This Row],[AwayTeam]],Records!$A$2:$A$33, 0), MATCH(Table1[[#This Row],[HomeTeam]],Records!$A$2:$A$33, 0))</f>
        <v>0-0-0</v>
      </c>
      <c r="AP50" s="64" t="str">
        <f>INDEX(Table2[HOME_RECORD], MATCH(Table1[[#This Row],[HomeTeam]],Table2[Team], 0), 0)</f>
        <v>0-0-0</v>
      </c>
      <c r="AQ50" s="64" t="str">
        <f>INDEX(Records!$B$2:$AG$33, MATCH(Table1[[#This Row],[HomeTeam]],Records!$A$2:$A$33, 0), MATCH(Table1[[#This Row],[AwayTeam]],Records!$A$2:$A$33, 0))</f>
        <v>0-0-0</v>
      </c>
    </row>
    <row r="51" spans="1:43" x14ac:dyDescent="0.25">
      <c r="A51" s="1"/>
      <c r="D51" t="s">
        <v>217</v>
      </c>
      <c r="E51" t="s">
        <v>162</v>
      </c>
      <c r="F51" t="s">
        <v>224</v>
      </c>
      <c r="G51" t="s">
        <v>61</v>
      </c>
      <c r="H51" t="s">
        <v>16</v>
      </c>
      <c r="L5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1" s="1"/>
      <c r="T51" s="64" t="str">
        <f>IF(Table1[[#This Row],[ActualWinner]]="", "", IF(Table1[[#This Row],[AwayTeam]]=Table1[[#This Row],[ActualWinner]],Table1[[#This Row],[HomeTeam]],Table1[[#This Row],[AwayTeam]]))</f>
        <v/>
      </c>
      <c r="U51" s="64">
        <f>Table1[[#This Row],[ActualAwayScore]]-Table1[[#This Row],[PredictedAwayScore]]</f>
        <v>0</v>
      </c>
      <c r="V51" s="64">
        <f>Table1[[#This Row],[ActualHomeScore]]-Table1[[#This Row],[PredictedHomeScore]]</f>
        <v>0</v>
      </c>
      <c r="W51" s="64">
        <f>(0.8*IF(Table1[[#This Row],[CorrectWinnerPrediction]]=1, 1, 0))+(0.1*IF(Table1[[#This Row],[CorrectAwayScorePrediction]]=1, 1, 0))+(0.1*IF(Table1[[#This Row],[CorrectHomeScorePrediction]]=1, 1, 0))</f>
        <v>0</v>
      </c>
      <c r="X5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1" s="64">
        <f>SUMIF(Table1[GameDate], Table1[[#This Row],[GameDate]], Table1[AwayGameGoalDiff])</f>
        <v>0</v>
      </c>
      <c r="AA51" s="64">
        <f>SUMIF(Table1[GameDate], Table1[[#This Row],[GameDate]], Table1[HomeGameGoalDiff])</f>
        <v>0</v>
      </c>
      <c r="AB51" s="64">
        <f>IF(ISBLANK(Table1[[#This Row],[ActualResult]]), 0, 1)</f>
        <v>0</v>
      </c>
      <c r="AC51" s="64">
        <f>IF(ISBLANK(Table1[[#This Row],[ActualResult]]), 0, IF(Table1[[#This Row],[ActualWinner]]=Table1[[#This Row],[PredictedWinner]], 1, 0))</f>
        <v>0</v>
      </c>
      <c r="AD5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1" s="64">
        <f>IF(AND(Table1[[#This Row],[GameIsOver]]=1,Table1[[#This Row],[ActualAwayScore]]=0), 1,0)</f>
        <v>0</v>
      </c>
      <c r="AG51" s="64">
        <f>IF(AND(Table1[[#This Row],[GameIsOver]]=1,Table1[[#This Row],[ActualHomeScore]]=0), 1,0)</f>
        <v>0</v>
      </c>
      <c r="AH51" s="64">
        <f>IF(Table1[[#This Row],[GameIsOver]]=0,0,IF(Table1[[#This Row],[ActualWinner]]=Table1[[#This Row],[AwayTeam]], 1, 0))</f>
        <v>0</v>
      </c>
      <c r="AI51" s="64">
        <f>IF(Table1[[#This Row],[GameIsOver]]=0,0,IF(Table1[[#This Row],[ActualWinner]]=Table1[[#This Row],[HomeTeam]], 1, 0))</f>
        <v>0</v>
      </c>
      <c r="AJ51" s="64">
        <f>IF(INDEX(Standings!$A$2:$C$33,MATCH(Table1[[#This Row],[AwayTeam]],Standings!$A$2:$A$33,0),2)=INDEX(Standings!$A$2:$C$33,MATCH(Table1[[#This Row],[HomeTeam]],Standings!$A$2:$A$33,0),2),1,0)</f>
        <v>1</v>
      </c>
      <c r="AK51" s="64">
        <f>IF(INDEX(Standings!$A$2:$C$33,MATCH(Table1[[#This Row],[AwayTeam]],Standings!$A$2:$A$33,0),3)=INDEX(Standings!$A$2:$C$33,MATCH(Table1[[#This Row],[HomeTeam]],Standings!$A$2:$A$33,0),3),1,0)</f>
        <v>1</v>
      </c>
      <c r="AL51" s="64">
        <f>IF(Table1[[#This Row],[InterConf]]=1,IF(Table1[[#This Row],[InterDiv]]=0, 1, 0), 0)</f>
        <v>0</v>
      </c>
      <c r="AM51" s="64">
        <f>IF(INDEX(Standings!$A$2:$C$33,MATCH(Table1[[#This Row],[AwayTeam]],Standings!$A$2:$A$33,0),2)&lt;&gt;INDEX(Standings!$A$2:$C$33,MATCH(Table1[[#This Row],[HomeTeam]],Standings!$A$2:$A$33,0),2),1,0)</f>
        <v>0</v>
      </c>
      <c r="AN51" s="64" t="str">
        <f>INDEX(Table2[AWAY_RECORD], MATCH(Table1[[#This Row],[AwayTeam]],Table2[Team], 0), 0)</f>
        <v>0-0-0</v>
      </c>
      <c r="AO51" s="64" t="str">
        <f>INDEX(Records!$B$2:$AG$33, MATCH(Table1[[#This Row],[AwayTeam]],Records!$A$2:$A$33, 0), MATCH(Table1[[#This Row],[HomeTeam]],Records!$A$2:$A$33, 0))</f>
        <v>0-0-0</v>
      </c>
      <c r="AP51" s="64" t="str">
        <f>INDEX(Table2[HOME_RECORD], MATCH(Table1[[#This Row],[HomeTeam]],Table2[Team], 0), 0)</f>
        <v>0-0-0</v>
      </c>
      <c r="AQ51" s="64" t="str">
        <f>INDEX(Records!$B$2:$AG$33, MATCH(Table1[[#This Row],[HomeTeam]],Records!$A$2:$A$33, 0), MATCH(Table1[[#This Row],[AwayTeam]],Records!$A$2:$A$33, 0))</f>
        <v>0-0-0</v>
      </c>
    </row>
    <row r="52" spans="1:43" x14ac:dyDescent="0.25">
      <c r="A52" s="1"/>
      <c r="D52" t="s">
        <v>217</v>
      </c>
      <c r="E52" t="s">
        <v>225</v>
      </c>
      <c r="F52" t="s">
        <v>226</v>
      </c>
      <c r="G52" t="s">
        <v>25</v>
      </c>
      <c r="H52" t="s">
        <v>56</v>
      </c>
      <c r="L5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2" s="1"/>
      <c r="T52" s="64" t="str">
        <f>IF(Table1[[#This Row],[ActualWinner]]="", "", IF(Table1[[#This Row],[AwayTeam]]=Table1[[#This Row],[ActualWinner]],Table1[[#This Row],[HomeTeam]],Table1[[#This Row],[AwayTeam]]))</f>
        <v/>
      </c>
      <c r="U52" s="64">
        <f>Table1[[#This Row],[ActualAwayScore]]-Table1[[#This Row],[PredictedAwayScore]]</f>
        <v>0</v>
      </c>
      <c r="V52" s="64">
        <f>Table1[[#This Row],[ActualHomeScore]]-Table1[[#This Row],[PredictedHomeScore]]</f>
        <v>0</v>
      </c>
      <c r="W52" s="64">
        <f>(0.8*IF(Table1[[#This Row],[CorrectWinnerPrediction]]=1, 1, 0))+(0.1*IF(Table1[[#This Row],[CorrectAwayScorePrediction]]=1, 1, 0))+(0.1*IF(Table1[[#This Row],[CorrectHomeScorePrediction]]=1, 1, 0))</f>
        <v>0</v>
      </c>
      <c r="X5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2" s="64">
        <f>SUMIF(Table1[GameDate], Table1[[#This Row],[GameDate]], Table1[AwayGameGoalDiff])</f>
        <v>0</v>
      </c>
      <c r="AA52" s="64">
        <f>SUMIF(Table1[GameDate], Table1[[#This Row],[GameDate]], Table1[HomeGameGoalDiff])</f>
        <v>0</v>
      </c>
      <c r="AB52" s="64">
        <f>IF(ISBLANK(Table1[[#This Row],[ActualResult]]), 0, 1)</f>
        <v>0</v>
      </c>
      <c r="AC52" s="64">
        <f>IF(ISBLANK(Table1[[#This Row],[ActualResult]]), 0, IF(Table1[[#This Row],[ActualWinner]]=Table1[[#This Row],[PredictedWinner]], 1, 0))</f>
        <v>0</v>
      </c>
      <c r="AD5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2" s="64">
        <f>IF(AND(Table1[[#This Row],[GameIsOver]]=1,Table1[[#This Row],[ActualAwayScore]]=0), 1,0)</f>
        <v>0</v>
      </c>
      <c r="AG52" s="64">
        <f>IF(AND(Table1[[#This Row],[GameIsOver]]=1,Table1[[#This Row],[ActualHomeScore]]=0), 1,0)</f>
        <v>0</v>
      </c>
      <c r="AH52" s="64">
        <f>IF(Table1[[#This Row],[GameIsOver]]=0,0,IF(Table1[[#This Row],[ActualWinner]]=Table1[[#This Row],[AwayTeam]], 1, 0))</f>
        <v>0</v>
      </c>
      <c r="AI52" s="64">
        <f>IF(Table1[[#This Row],[GameIsOver]]=0,0,IF(Table1[[#This Row],[ActualWinner]]=Table1[[#This Row],[HomeTeam]], 1, 0))</f>
        <v>0</v>
      </c>
      <c r="AJ52" s="64">
        <f>IF(INDEX(Standings!$A$2:$C$33,MATCH(Table1[[#This Row],[AwayTeam]],Standings!$A$2:$A$33,0),2)=INDEX(Standings!$A$2:$C$33,MATCH(Table1[[#This Row],[HomeTeam]],Standings!$A$2:$A$33,0),2),1,0)</f>
        <v>1</v>
      </c>
      <c r="AK52" s="64">
        <f>IF(INDEX(Standings!$A$2:$C$33,MATCH(Table1[[#This Row],[AwayTeam]],Standings!$A$2:$A$33,0),3)=INDEX(Standings!$A$2:$C$33,MATCH(Table1[[#This Row],[HomeTeam]],Standings!$A$2:$A$33,0),3),1,0)</f>
        <v>1</v>
      </c>
      <c r="AL52" s="64">
        <f>IF(Table1[[#This Row],[InterConf]]=1,IF(Table1[[#This Row],[InterDiv]]=0, 1, 0), 0)</f>
        <v>0</v>
      </c>
      <c r="AM52" s="64">
        <f>IF(INDEX(Standings!$A$2:$C$33,MATCH(Table1[[#This Row],[AwayTeam]],Standings!$A$2:$A$33,0),2)&lt;&gt;INDEX(Standings!$A$2:$C$33,MATCH(Table1[[#This Row],[HomeTeam]],Standings!$A$2:$A$33,0),2),1,0)</f>
        <v>0</v>
      </c>
      <c r="AN52" s="64" t="str">
        <f>INDEX(Table2[AWAY_RECORD], MATCH(Table1[[#This Row],[AwayTeam]],Table2[Team], 0), 0)</f>
        <v>0-0-0</v>
      </c>
      <c r="AO52" s="64" t="str">
        <f>INDEX(Records!$B$2:$AG$33, MATCH(Table1[[#This Row],[AwayTeam]],Records!$A$2:$A$33, 0), MATCH(Table1[[#This Row],[HomeTeam]],Records!$A$2:$A$33, 0))</f>
        <v>0-0-0</v>
      </c>
      <c r="AP52" s="64" t="str">
        <f>INDEX(Table2[HOME_RECORD], MATCH(Table1[[#This Row],[HomeTeam]],Table2[Team], 0), 0)</f>
        <v>0-0-0</v>
      </c>
      <c r="AQ52" s="64" t="str">
        <f>INDEX(Records!$B$2:$AG$33, MATCH(Table1[[#This Row],[HomeTeam]],Records!$A$2:$A$33, 0), MATCH(Table1[[#This Row],[AwayTeam]],Records!$A$2:$A$33, 0))</f>
        <v>0-0-0</v>
      </c>
    </row>
    <row r="53" spans="1:43" x14ac:dyDescent="0.25">
      <c r="A53" s="1"/>
      <c r="D53" t="s">
        <v>217</v>
      </c>
      <c r="E53" t="s">
        <v>166</v>
      </c>
      <c r="F53" t="s">
        <v>227</v>
      </c>
      <c r="G53" t="s">
        <v>17</v>
      </c>
      <c r="H53" t="s">
        <v>46</v>
      </c>
      <c r="L5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3" s="1"/>
      <c r="T53" s="64" t="str">
        <f>IF(Table1[[#This Row],[ActualWinner]]="", "", IF(Table1[[#This Row],[AwayTeam]]=Table1[[#This Row],[ActualWinner]],Table1[[#This Row],[HomeTeam]],Table1[[#This Row],[AwayTeam]]))</f>
        <v/>
      </c>
      <c r="U53" s="64">
        <f>Table1[[#This Row],[ActualAwayScore]]-Table1[[#This Row],[PredictedAwayScore]]</f>
        <v>0</v>
      </c>
      <c r="V53" s="64">
        <f>Table1[[#This Row],[ActualHomeScore]]-Table1[[#This Row],[PredictedHomeScore]]</f>
        <v>0</v>
      </c>
      <c r="W53" s="64">
        <f>(0.8*IF(Table1[[#This Row],[CorrectWinnerPrediction]]=1, 1, 0))+(0.1*IF(Table1[[#This Row],[CorrectAwayScorePrediction]]=1, 1, 0))+(0.1*IF(Table1[[#This Row],[CorrectHomeScorePrediction]]=1, 1, 0))</f>
        <v>0</v>
      </c>
      <c r="X5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3" s="64">
        <f>SUMIF(Table1[GameDate], Table1[[#This Row],[GameDate]], Table1[AwayGameGoalDiff])</f>
        <v>0</v>
      </c>
      <c r="AA53" s="64">
        <f>SUMIF(Table1[GameDate], Table1[[#This Row],[GameDate]], Table1[HomeGameGoalDiff])</f>
        <v>0</v>
      </c>
      <c r="AB53" s="64">
        <f>IF(ISBLANK(Table1[[#This Row],[ActualResult]]), 0, 1)</f>
        <v>0</v>
      </c>
      <c r="AC53" s="64">
        <f>IF(ISBLANK(Table1[[#This Row],[ActualResult]]), 0, IF(Table1[[#This Row],[ActualWinner]]=Table1[[#This Row],[PredictedWinner]], 1, 0))</f>
        <v>0</v>
      </c>
      <c r="AD5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3" s="64">
        <f>IF(AND(Table1[[#This Row],[GameIsOver]]=1,Table1[[#This Row],[ActualAwayScore]]=0), 1,0)</f>
        <v>0</v>
      </c>
      <c r="AG53" s="64">
        <f>IF(AND(Table1[[#This Row],[GameIsOver]]=1,Table1[[#This Row],[ActualHomeScore]]=0), 1,0)</f>
        <v>0</v>
      </c>
      <c r="AH53" s="64">
        <f>IF(Table1[[#This Row],[GameIsOver]]=0,0,IF(Table1[[#This Row],[ActualWinner]]=Table1[[#This Row],[AwayTeam]], 1, 0))</f>
        <v>0</v>
      </c>
      <c r="AI53" s="64">
        <f>IF(Table1[[#This Row],[GameIsOver]]=0,0,IF(Table1[[#This Row],[ActualWinner]]=Table1[[#This Row],[HomeTeam]], 1, 0))</f>
        <v>0</v>
      </c>
      <c r="AJ53" s="64">
        <f>IF(INDEX(Standings!$A$2:$C$33,MATCH(Table1[[#This Row],[AwayTeam]],Standings!$A$2:$A$33,0),2)=INDEX(Standings!$A$2:$C$33,MATCH(Table1[[#This Row],[HomeTeam]],Standings!$A$2:$A$33,0),2),1,0)</f>
        <v>0</v>
      </c>
      <c r="AK53" s="64">
        <f>IF(INDEX(Standings!$A$2:$C$33,MATCH(Table1[[#This Row],[AwayTeam]],Standings!$A$2:$A$33,0),3)=INDEX(Standings!$A$2:$C$33,MATCH(Table1[[#This Row],[HomeTeam]],Standings!$A$2:$A$33,0),3),1,0)</f>
        <v>0</v>
      </c>
      <c r="AL53" s="64">
        <f>IF(Table1[[#This Row],[InterConf]]=1,IF(Table1[[#This Row],[InterDiv]]=0, 1, 0), 0)</f>
        <v>0</v>
      </c>
      <c r="AM53" s="64">
        <f>IF(INDEX(Standings!$A$2:$C$33,MATCH(Table1[[#This Row],[AwayTeam]],Standings!$A$2:$A$33,0),2)&lt;&gt;INDEX(Standings!$A$2:$C$33,MATCH(Table1[[#This Row],[HomeTeam]],Standings!$A$2:$A$33,0),2),1,0)</f>
        <v>1</v>
      </c>
      <c r="AN53" s="64" t="str">
        <f>INDEX(Table2[AWAY_RECORD], MATCH(Table1[[#This Row],[AwayTeam]],Table2[Team], 0), 0)</f>
        <v>2-0-0</v>
      </c>
      <c r="AO53" s="64" t="str">
        <f>INDEX(Records!$B$2:$AG$33, MATCH(Table1[[#This Row],[AwayTeam]],Records!$A$2:$A$33, 0), MATCH(Table1[[#This Row],[HomeTeam]],Records!$A$2:$A$33, 0))</f>
        <v>0-0-0</v>
      </c>
      <c r="AP53" s="64" t="str">
        <f>INDEX(Table2[HOME_RECORD], MATCH(Table1[[#This Row],[HomeTeam]],Table2[Team], 0), 0)</f>
        <v>0-0-0</v>
      </c>
      <c r="AQ53" s="64" t="str">
        <f>INDEX(Records!$B$2:$AG$33, MATCH(Table1[[#This Row],[HomeTeam]],Records!$A$2:$A$33, 0), MATCH(Table1[[#This Row],[AwayTeam]],Records!$A$2:$A$33, 0))</f>
        <v>0-0-0</v>
      </c>
    </row>
    <row r="54" spans="1:43" x14ac:dyDescent="0.25">
      <c r="A54" s="1"/>
      <c r="D54" t="s">
        <v>228</v>
      </c>
      <c r="E54" t="s">
        <v>169</v>
      </c>
      <c r="F54" t="s">
        <v>229</v>
      </c>
      <c r="G54" t="s">
        <v>54</v>
      </c>
      <c r="H54" t="s">
        <v>59</v>
      </c>
      <c r="L5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4" s="1"/>
      <c r="T54" s="64" t="str">
        <f>IF(Table1[[#This Row],[ActualWinner]]="", "", IF(Table1[[#This Row],[AwayTeam]]=Table1[[#This Row],[ActualWinner]],Table1[[#This Row],[HomeTeam]],Table1[[#This Row],[AwayTeam]]))</f>
        <v/>
      </c>
      <c r="U54" s="64">
        <f>Table1[[#This Row],[ActualAwayScore]]-Table1[[#This Row],[PredictedAwayScore]]</f>
        <v>0</v>
      </c>
      <c r="V54" s="64">
        <f>Table1[[#This Row],[ActualHomeScore]]-Table1[[#This Row],[PredictedHomeScore]]</f>
        <v>0</v>
      </c>
      <c r="W54" s="64">
        <f>(0.8*IF(Table1[[#This Row],[CorrectWinnerPrediction]]=1, 1, 0))+(0.1*IF(Table1[[#This Row],[CorrectAwayScorePrediction]]=1, 1, 0))+(0.1*IF(Table1[[#This Row],[CorrectHomeScorePrediction]]=1, 1, 0))</f>
        <v>0</v>
      </c>
      <c r="X5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4" s="64">
        <f>SUMIF(Table1[GameDate], Table1[[#This Row],[GameDate]], Table1[AwayGameGoalDiff])</f>
        <v>0</v>
      </c>
      <c r="AA54" s="64">
        <f>SUMIF(Table1[GameDate], Table1[[#This Row],[GameDate]], Table1[HomeGameGoalDiff])</f>
        <v>0</v>
      </c>
      <c r="AB54" s="64">
        <f>IF(ISBLANK(Table1[[#This Row],[ActualResult]]), 0, 1)</f>
        <v>0</v>
      </c>
      <c r="AC54" s="64">
        <f>IF(ISBLANK(Table1[[#This Row],[ActualResult]]), 0, IF(Table1[[#This Row],[ActualWinner]]=Table1[[#This Row],[PredictedWinner]], 1, 0))</f>
        <v>0</v>
      </c>
      <c r="AD5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4" s="64">
        <f>IF(AND(Table1[[#This Row],[GameIsOver]]=1,Table1[[#This Row],[ActualAwayScore]]=0), 1,0)</f>
        <v>0</v>
      </c>
      <c r="AG54" s="64">
        <f>IF(AND(Table1[[#This Row],[GameIsOver]]=1,Table1[[#This Row],[ActualHomeScore]]=0), 1,0)</f>
        <v>0</v>
      </c>
      <c r="AH54" s="64">
        <f>IF(Table1[[#This Row],[GameIsOver]]=0,0,IF(Table1[[#This Row],[ActualWinner]]=Table1[[#This Row],[AwayTeam]], 1, 0))</f>
        <v>0</v>
      </c>
      <c r="AI54" s="64">
        <f>IF(Table1[[#This Row],[GameIsOver]]=0,0,IF(Table1[[#This Row],[ActualWinner]]=Table1[[#This Row],[HomeTeam]], 1, 0))</f>
        <v>0</v>
      </c>
      <c r="AJ54" s="64">
        <f>IF(INDEX(Standings!$A$2:$C$33,MATCH(Table1[[#This Row],[AwayTeam]],Standings!$A$2:$A$33,0),2)=INDEX(Standings!$A$2:$C$33,MATCH(Table1[[#This Row],[HomeTeam]],Standings!$A$2:$A$33,0),2),1,0)</f>
        <v>1</v>
      </c>
      <c r="AK54" s="64">
        <f>IF(INDEX(Standings!$A$2:$C$33,MATCH(Table1[[#This Row],[AwayTeam]],Standings!$A$2:$A$33,0),3)=INDEX(Standings!$A$2:$C$33,MATCH(Table1[[#This Row],[HomeTeam]],Standings!$A$2:$A$33,0),3),1,0)</f>
        <v>1</v>
      </c>
      <c r="AL54" s="64">
        <f>IF(Table1[[#This Row],[InterConf]]=1,IF(Table1[[#This Row],[InterDiv]]=0, 1, 0), 0)</f>
        <v>0</v>
      </c>
      <c r="AM54" s="64">
        <f>IF(INDEX(Standings!$A$2:$C$33,MATCH(Table1[[#This Row],[AwayTeam]],Standings!$A$2:$A$33,0),2)&lt;&gt;INDEX(Standings!$A$2:$C$33,MATCH(Table1[[#This Row],[HomeTeam]],Standings!$A$2:$A$33,0),2),1,0)</f>
        <v>0</v>
      </c>
      <c r="AN54" s="64" t="str">
        <f>INDEX(Table2[AWAY_RECORD], MATCH(Table1[[#This Row],[AwayTeam]],Table2[Team], 0), 0)</f>
        <v>0-0-1</v>
      </c>
      <c r="AO54" s="64" t="str">
        <f>INDEX(Records!$B$2:$AG$33, MATCH(Table1[[#This Row],[AwayTeam]],Records!$A$2:$A$33, 0), MATCH(Table1[[#This Row],[HomeTeam]],Records!$A$2:$A$33, 0))</f>
        <v>0-0-0</v>
      </c>
      <c r="AP54" s="64" t="str">
        <f>INDEX(Table2[HOME_RECORD], MATCH(Table1[[#This Row],[HomeTeam]],Table2[Team], 0), 0)</f>
        <v>0-0-0</v>
      </c>
      <c r="AQ54" s="64" t="str">
        <f>INDEX(Records!$B$2:$AG$33, MATCH(Table1[[#This Row],[HomeTeam]],Records!$A$2:$A$33, 0), MATCH(Table1[[#This Row],[AwayTeam]],Records!$A$2:$A$33, 0))</f>
        <v>0-0-0</v>
      </c>
    </row>
    <row r="55" spans="1:43" x14ac:dyDescent="0.25">
      <c r="A55" s="1"/>
      <c r="D55" t="s">
        <v>228</v>
      </c>
      <c r="E55" t="s">
        <v>169</v>
      </c>
      <c r="F55" t="s">
        <v>230</v>
      </c>
      <c r="G55" t="s">
        <v>41</v>
      </c>
      <c r="H55" t="s">
        <v>60</v>
      </c>
      <c r="L5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5" s="1"/>
      <c r="T55" s="64" t="str">
        <f>IF(Table1[[#This Row],[ActualWinner]]="", "", IF(Table1[[#This Row],[AwayTeam]]=Table1[[#This Row],[ActualWinner]],Table1[[#This Row],[HomeTeam]],Table1[[#This Row],[AwayTeam]]))</f>
        <v/>
      </c>
      <c r="U55" s="64">
        <f>Table1[[#This Row],[ActualAwayScore]]-Table1[[#This Row],[PredictedAwayScore]]</f>
        <v>0</v>
      </c>
      <c r="V55" s="64">
        <f>Table1[[#This Row],[ActualHomeScore]]-Table1[[#This Row],[PredictedHomeScore]]</f>
        <v>0</v>
      </c>
      <c r="W55" s="64">
        <f>(0.8*IF(Table1[[#This Row],[CorrectWinnerPrediction]]=1, 1, 0))+(0.1*IF(Table1[[#This Row],[CorrectAwayScorePrediction]]=1, 1, 0))+(0.1*IF(Table1[[#This Row],[CorrectHomeScorePrediction]]=1, 1, 0))</f>
        <v>0</v>
      </c>
      <c r="X5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5" s="64">
        <f>SUMIF(Table1[GameDate], Table1[[#This Row],[GameDate]], Table1[AwayGameGoalDiff])</f>
        <v>0</v>
      </c>
      <c r="AA55" s="64">
        <f>SUMIF(Table1[GameDate], Table1[[#This Row],[GameDate]], Table1[HomeGameGoalDiff])</f>
        <v>0</v>
      </c>
      <c r="AB55" s="64">
        <f>IF(ISBLANK(Table1[[#This Row],[ActualResult]]), 0, 1)</f>
        <v>0</v>
      </c>
      <c r="AC55" s="64">
        <f>IF(ISBLANK(Table1[[#This Row],[ActualResult]]), 0, IF(Table1[[#This Row],[ActualWinner]]=Table1[[#This Row],[PredictedWinner]], 1, 0))</f>
        <v>0</v>
      </c>
      <c r="AD5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5" s="64">
        <f>IF(AND(Table1[[#This Row],[GameIsOver]]=1,Table1[[#This Row],[ActualAwayScore]]=0), 1,0)</f>
        <v>0</v>
      </c>
      <c r="AG55" s="64">
        <f>IF(AND(Table1[[#This Row],[GameIsOver]]=1,Table1[[#This Row],[ActualHomeScore]]=0), 1,0)</f>
        <v>0</v>
      </c>
      <c r="AH55" s="64">
        <f>IF(Table1[[#This Row],[GameIsOver]]=0,0,IF(Table1[[#This Row],[ActualWinner]]=Table1[[#This Row],[AwayTeam]], 1, 0))</f>
        <v>0</v>
      </c>
      <c r="AI55" s="64">
        <f>IF(Table1[[#This Row],[GameIsOver]]=0,0,IF(Table1[[#This Row],[ActualWinner]]=Table1[[#This Row],[HomeTeam]], 1, 0))</f>
        <v>0</v>
      </c>
      <c r="AJ55" s="64">
        <f>IF(INDEX(Standings!$A$2:$C$33,MATCH(Table1[[#This Row],[AwayTeam]],Standings!$A$2:$A$33,0),2)=INDEX(Standings!$A$2:$C$33,MATCH(Table1[[#This Row],[HomeTeam]],Standings!$A$2:$A$33,0),2),1,0)</f>
        <v>1</v>
      </c>
      <c r="AK55" s="64">
        <f>IF(INDEX(Standings!$A$2:$C$33,MATCH(Table1[[#This Row],[AwayTeam]],Standings!$A$2:$A$33,0),3)=INDEX(Standings!$A$2:$C$33,MATCH(Table1[[#This Row],[HomeTeam]],Standings!$A$2:$A$33,0),3),1,0)</f>
        <v>1</v>
      </c>
      <c r="AL55" s="64">
        <f>IF(Table1[[#This Row],[InterConf]]=1,IF(Table1[[#This Row],[InterDiv]]=0, 1, 0), 0)</f>
        <v>0</v>
      </c>
      <c r="AM55" s="64">
        <f>IF(INDEX(Standings!$A$2:$C$33,MATCH(Table1[[#This Row],[AwayTeam]],Standings!$A$2:$A$33,0),2)&lt;&gt;INDEX(Standings!$A$2:$C$33,MATCH(Table1[[#This Row],[HomeTeam]],Standings!$A$2:$A$33,0),2),1,0)</f>
        <v>0</v>
      </c>
      <c r="AN55" s="64" t="str">
        <f>INDEX(Table2[AWAY_RECORD], MATCH(Table1[[#This Row],[AwayTeam]],Table2[Team], 0), 0)</f>
        <v>0-0-0</v>
      </c>
      <c r="AO55" s="64" t="str">
        <f>INDEX(Records!$B$2:$AG$33, MATCH(Table1[[#This Row],[AwayTeam]],Records!$A$2:$A$33, 0), MATCH(Table1[[#This Row],[HomeTeam]],Records!$A$2:$A$33, 0))</f>
        <v>0-0-0</v>
      </c>
      <c r="AP55" s="64" t="str">
        <f>INDEX(Table2[HOME_RECORD], MATCH(Table1[[#This Row],[HomeTeam]],Table2[Team], 0), 0)</f>
        <v>1-0-0</v>
      </c>
      <c r="AQ55" s="64" t="str">
        <f>INDEX(Records!$B$2:$AG$33, MATCH(Table1[[#This Row],[HomeTeam]],Records!$A$2:$A$33, 0), MATCH(Table1[[#This Row],[AwayTeam]],Records!$A$2:$A$33, 0))</f>
        <v>0-0-0</v>
      </c>
    </row>
    <row r="56" spans="1:43" x14ac:dyDescent="0.25">
      <c r="A56" s="1"/>
      <c r="D56" t="s">
        <v>228</v>
      </c>
      <c r="E56" t="s">
        <v>164</v>
      </c>
      <c r="F56" t="s">
        <v>231</v>
      </c>
      <c r="G56" t="s">
        <v>45</v>
      </c>
      <c r="H56" t="s">
        <v>36</v>
      </c>
      <c r="L5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6" s="1"/>
      <c r="T56" s="64" t="str">
        <f>IF(Table1[[#This Row],[ActualWinner]]="", "", IF(Table1[[#This Row],[AwayTeam]]=Table1[[#This Row],[ActualWinner]],Table1[[#This Row],[HomeTeam]],Table1[[#This Row],[AwayTeam]]))</f>
        <v/>
      </c>
      <c r="U56" s="64">
        <f>Table1[[#This Row],[ActualAwayScore]]-Table1[[#This Row],[PredictedAwayScore]]</f>
        <v>0</v>
      </c>
      <c r="V56" s="64">
        <f>Table1[[#This Row],[ActualHomeScore]]-Table1[[#This Row],[PredictedHomeScore]]</f>
        <v>0</v>
      </c>
      <c r="W56" s="64">
        <f>(0.8*IF(Table1[[#This Row],[CorrectWinnerPrediction]]=1, 1, 0))+(0.1*IF(Table1[[#This Row],[CorrectAwayScorePrediction]]=1, 1, 0))+(0.1*IF(Table1[[#This Row],[CorrectHomeScorePrediction]]=1, 1, 0))</f>
        <v>0</v>
      </c>
      <c r="X5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6" s="64">
        <f>SUMIF(Table1[GameDate], Table1[[#This Row],[GameDate]], Table1[AwayGameGoalDiff])</f>
        <v>0</v>
      </c>
      <c r="AA56" s="64">
        <f>SUMIF(Table1[GameDate], Table1[[#This Row],[GameDate]], Table1[HomeGameGoalDiff])</f>
        <v>0</v>
      </c>
      <c r="AB56" s="64">
        <f>IF(ISBLANK(Table1[[#This Row],[ActualResult]]), 0, 1)</f>
        <v>0</v>
      </c>
      <c r="AC56" s="64">
        <f>IF(ISBLANK(Table1[[#This Row],[ActualResult]]), 0, IF(Table1[[#This Row],[ActualWinner]]=Table1[[#This Row],[PredictedWinner]], 1, 0))</f>
        <v>0</v>
      </c>
      <c r="AD5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6" s="64">
        <f>IF(AND(Table1[[#This Row],[GameIsOver]]=1,Table1[[#This Row],[ActualAwayScore]]=0), 1,0)</f>
        <v>0</v>
      </c>
      <c r="AG56" s="64">
        <f>IF(AND(Table1[[#This Row],[GameIsOver]]=1,Table1[[#This Row],[ActualHomeScore]]=0), 1,0)</f>
        <v>0</v>
      </c>
      <c r="AH56" s="64">
        <f>IF(Table1[[#This Row],[GameIsOver]]=0,0,IF(Table1[[#This Row],[ActualWinner]]=Table1[[#This Row],[AwayTeam]], 1, 0))</f>
        <v>0</v>
      </c>
      <c r="AI56" s="64">
        <f>IF(Table1[[#This Row],[GameIsOver]]=0,0,IF(Table1[[#This Row],[ActualWinner]]=Table1[[#This Row],[HomeTeam]], 1, 0))</f>
        <v>0</v>
      </c>
      <c r="AJ56" s="64">
        <f>IF(INDEX(Standings!$A$2:$C$33,MATCH(Table1[[#This Row],[AwayTeam]],Standings!$A$2:$A$33,0),2)=INDEX(Standings!$A$2:$C$33,MATCH(Table1[[#This Row],[HomeTeam]],Standings!$A$2:$A$33,0),2),1,0)</f>
        <v>1</v>
      </c>
      <c r="AK56" s="64">
        <f>IF(INDEX(Standings!$A$2:$C$33,MATCH(Table1[[#This Row],[AwayTeam]],Standings!$A$2:$A$33,0),3)=INDEX(Standings!$A$2:$C$33,MATCH(Table1[[#This Row],[HomeTeam]],Standings!$A$2:$A$33,0),3),1,0)</f>
        <v>1</v>
      </c>
      <c r="AL56" s="64">
        <f>IF(Table1[[#This Row],[InterConf]]=1,IF(Table1[[#This Row],[InterDiv]]=0, 1, 0), 0)</f>
        <v>0</v>
      </c>
      <c r="AM56" s="64">
        <f>IF(INDEX(Standings!$A$2:$C$33,MATCH(Table1[[#This Row],[AwayTeam]],Standings!$A$2:$A$33,0),2)&lt;&gt;INDEX(Standings!$A$2:$C$33,MATCH(Table1[[#This Row],[HomeTeam]],Standings!$A$2:$A$33,0),2),1,0)</f>
        <v>0</v>
      </c>
      <c r="AN56" s="64" t="str">
        <f>INDEX(Table2[AWAY_RECORD], MATCH(Table1[[#This Row],[AwayTeam]],Table2[Team], 0), 0)</f>
        <v>1-0-0</v>
      </c>
      <c r="AO56" s="64" t="str">
        <f>INDEX(Records!$B$2:$AG$33, MATCH(Table1[[#This Row],[AwayTeam]],Records!$A$2:$A$33, 0), MATCH(Table1[[#This Row],[HomeTeam]],Records!$A$2:$A$33, 0))</f>
        <v>0-0-0</v>
      </c>
      <c r="AP56" s="64" t="str">
        <f>INDEX(Table2[HOME_RECORD], MATCH(Table1[[#This Row],[HomeTeam]],Table2[Team], 0), 0)</f>
        <v>0-0-0</v>
      </c>
      <c r="AQ56" s="64" t="str">
        <f>INDEX(Records!$B$2:$AG$33, MATCH(Table1[[#This Row],[HomeTeam]],Records!$A$2:$A$33, 0), MATCH(Table1[[#This Row],[AwayTeam]],Records!$A$2:$A$33, 0))</f>
        <v>0-0-0</v>
      </c>
    </row>
    <row r="57" spans="1:43" x14ac:dyDescent="0.25">
      <c r="A57" s="1"/>
      <c r="D57" t="s">
        <v>232</v>
      </c>
      <c r="E57" t="s">
        <v>160</v>
      </c>
      <c r="F57" t="s">
        <v>233</v>
      </c>
      <c r="G57" t="s">
        <v>58</v>
      </c>
      <c r="H57" t="s">
        <v>37</v>
      </c>
      <c r="L5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7" s="1"/>
      <c r="T57" s="64" t="str">
        <f>IF(Table1[[#This Row],[ActualWinner]]="", "", IF(Table1[[#This Row],[AwayTeam]]=Table1[[#This Row],[ActualWinner]],Table1[[#This Row],[HomeTeam]],Table1[[#This Row],[AwayTeam]]))</f>
        <v/>
      </c>
      <c r="U57" s="64">
        <f>Table1[[#This Row],[ActualAwayScore]]-Table1[[#This Row],[PredictedAwayScore]]</f>
        <v>0</v>
      </c>
      <c r="V57" s="64">
        <f>Table1[[#This Row],[ActualHomeScore]]-Table1[[#This Row],[PredictedHomeScore]]</f>
        <v>0</v>
      </c>
      <c r="W57" s="64">
        <f>(0.8*IF(Table1[[#This Row],[CorrectWinnerPrediction]]=1, 1, 0))+(0.1*IF(Table1[[#This Row],[CorrectAwayScorePrediction]]=1, 1, 0))+(0.1*IF(Table1[[#This Row],[CorrectHomeScorePrediction]]=1, 1, 0))</f>
        <v>0</v>
      </c>
      <c r="X5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7" s="64">
        <f>SUMIF(Table1[GameDate], Table1[[#This Row],[GameDate]], Table1[AwayGameGoalDiff])</f>
        <v>0</v>
      </c>
      <c r="AA57" s="64">
        <f>SUMIF(Table1[GameDate], Table1[[#This Row],[GameDate]], Table1[HomeGameGoalDiff])</f>
        <v>0</v>
      </c>
      <c r="AB57" s="64">
        <f>IF(ISBLANK(Table1[[#This Row],[ActualResult]]), 0, 1)</f>
        <v>0</v>
      </c>
      <c r="AC57" s="64">
        <f>IF(ISBLANK(Table1[[#This Row],[ActualResult]]), 0, IF(Table1[[#This Row],[ActualWinner]]=Table1[[#This Row],[PredictedWinner]], 1, 0))</f>
        <v>0</v>
      </c>
      <c r="AD5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7" s="64">
        <f>IF(AND(Table1[[#This Row],[GameIsOver]]=1,Table1[[#This Row],[ActualAwayScore]]=0), 1,0)</f>
        <v>0</v>
      </c>
      <c r="AG57" s="64">
        <f>IF(AND(Table1[[#This Row],[GameIsOver]]=1,Table1[[#This Row],[ActualHomeScore]]=0), 1,0)</f>
        <v>0</v>
      </c>
      <c r="AH57" s="64">
        <f>IF(Table1[[#This Row],[GameIsOver]]=0,0,IF(Table1[[#This Row],[ActualWinner]]=Table1[[#This Row],[AwayTeam]], 1, 0))</f>
        <v>0</v>
      </c>
      <c r="AI57" s="64">
        <f>IF(Table1[[#This Row],[GameIsOver]]=0,0,IF(Table1[[#This Row],[ActualWinner]]=Table1[[#This Row],[HomeTeam]], 1, 0))</f>
        <v>0</v>
      </c>
      <c r="AJ57" s="64">
        <f>IF(INDEX(Standings!$A$2:$C$33,MATCH(Table1[[#This Row],[AwayTeam]],Standings!$A$2:$A$33,0),2)=INDEX(Standings!$A$2:$C$33,MATCH(Table1[[#This Row],[HomeTeam]],Standings!$A$2:$A$33,0),2),1,0)</f>
        <v>0</v>
      </c>
      <c r="AK57" s="64">
        <f>IF(INDEX(Standings!$A$2:$C$33,MATCH(Table1[[#This Row],[AwayTeam]],Standings!$A$2:$A$33,0),3)=INDEX(Standings!$A$2:$C$33,MATCH(Table1[[#This Row],[HomeTeam]],Standings!$A$2:$A$33,0),3),1,0)</f>
        <v>0</v>
      </c>
      <c r="AL57" s="64">
        <f>IF(Table1[[#This Row],[InterConf]]=1,IF(Table1[[#This Row],[InterDiv]]=0, 1, 0), 0)</f>
        <v>0</v>
      </c>
      <c r="AM57" s="64">
        <f>IF(INDEX(Standings!$A$2:$C$33,MATCH(Table1[[#This Row],[AwayTeam]],Standings!$A$2:$A$33,0),2)&lt;&gt;INDEX(Standings!$A$2:$C$33,MATCH(Table1[[#This Row],[HomeTeam]],Standings!$A$2:$A$33,0),2),1,0)</f>
        <v>1</v>
      </c>
      <c r="AN57" s="64" t="str">
        <f>INDEX(Table2[AWAY_RECORD], MATCH(Table1[[#This Row],[AwayTeam]],Table2[Team], 0), 0)</f>
        <v>0-0-0</v>
      </c>
      <c r="AO57" s="64" t="str">
        <f>INDEX(Records!$B$2:$AG$33, MATCH(Table1[[#This Row],[AwayTeam]],Records!$A$2:$A$33, 0), MATCH(Table1[[#This Row],[HomeTeam]],Records!$A$2:$A$33, 0))</f>
        <v>0-0-0</v>
      </c>
      <c r="AP57" s="64" t="str">
        <f>INDEX(Table2[HOME_RECORD], MATCH(Table1[[#This Row],[HomeTeam]],Table2[Team], 0), 0)</f>
        <v>0-1-0</v>
      </c>
      <c r="AQ57" s="64" t="str">
        <f>INDEX(Records!$B$2:$AG$33, MATCH(Table1[[#This Row],[HomeTeam]],Records!$A$2:$A$33, 0), MATCH(Table1[[#This Row],[AwayTeam]],Records!$A$2:$A$33, 0))</f>
        <v>0-0-0</v>
      </c>
    </row>
    <row r="58" spans="1:43" x14ac:dyDescent="0.25">
      <c r="A58" s="1"/>
      <c r="D58" t="s">
        <v>232</v>
      </c>
      <c r="E58" t="s">
        <v>160</v>
      </c>
      <c r="F58" t="s">
        <v>234</v>
      </c>
      <c r="G58" t="s">
        <v>43</v>
      </c>
      <c r="H58" t="s">
        <v>38</v>
      </c>
      <c r="L5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8" s="1"/>
      <c r="T58" s="64" t="str">
        <f>IF(Table1[[#This Row],[ActualWinner]]="", "", IF(Table1[[#This Row],[AwayTeam]]=Table1[[#This Row],[ActualWinner]],Table1[[#This Row],[HomeTeam]],Table1[[#This Row],[AwayTeam]]))</f>
        <v/>
      </c>
      <c r="U58" s="64">
        <f>Table1[[#This Row],[ActualAwayScore]]-Table1[[#This Row],[PredictedAwayScore]]</f>
        <v>0</v>
      </c>
      <c r="V58" s="64">
        <f>Table1[[#This Row],[ActualHomeScore]]-Table1[[#This Row],[PredictedHomeScore]]</f>
        <v>0</v>
      </c>
      <c r="W58" s="64">
        <f>(0.8*IF(Table1[[#This Row],[CorrectWinnerPrediction]]=1, 1, 0))+(0.1*IF(Table1[[#This Row],[CorrectAwayScorePrediction]]=1, 1, 0))+(0.1*IF(Table1[[#This Row],[CorrectHomeScorePrediction]]=1, 1, 0))</f>
        <v>0</v>
      </c>
      <c r="X5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8" s="64">
        <f>SUMIF(Table1[GameDate], Table1[[#This Row],[GameDate]], Table1[AwayGameGoalDiff])</f>
        <v>0</v>
      </c>
      <c r="AA58" s="64">
        <f>SUMIF(Table1[GameDate], Table1[[#This Row],[GameDate]], Table1[HomeGameGoalDiff])</f>
        <v>0</v>
      </c>
      <c r="AB58" s="64">
        <f>IF(ISBLANK(Table1[[#This Row],[ActualResult]]), 0, 1)</f>
        <v>0</v>
      </c>
      <c r="AC58" s="64">
        <f>IF(ISBLANK(Table1[[#This Row],[ActualResult]]), 0, IF(Table1[[#This Row],[ActualWinner]]=Table1[[#This Row],[PredictedWinner]], 1, 0))</f>
        <v>0</v>
      </c>
      <c r="AD5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8" s="64">
        <f>IF(AND(Table1[[#This Row],[GameIsOver]]=1,Table1[[#This Row],[ActualAwayScore]]=0), 1,0)</f>
        <v>0</v>
      </c>
      <c r="AG58" s="64">
        <f>IF(AND(Table1[[#This Row],[GameIsOver]]=1,Table1[[#This Row],[ActualHomeScore]]=0), 1,0)</f>
        <v>0</v>
      </c>
      <c r="AH58" s="64">
        <f>IF(Table1[[#This Row],[GameIsOver]]=0,0,IF(Table1[[#This Row],[ActualWinner]]=Table1[[#This Row],[AwayTeam]], 1, 0))</f>
        <v>0</v>
      </c>
      <c r="AI58" s="64">
        <f>IF(Table1[[#This Row],[GameIsOver]]=0,0,IF(Table1[[#This Row],[ActualWinner]]=Table1[[#This Row],[HomeTeam]], 1, 0))</f>
        <v>0</v>
      </c>
      <c r="AJ58" s="64">
        <f>IF(INDEX(Standings!$A$2:$C$33,MATCH(Table1[[#This Row],[AwayTeam]],Standings!$A$2:$A$33,0),2)=INDEX(Standings!$A$2:$C$33,MATCH(Table1[[#This Row],[HomeTeam]],Standings!$A$2:$A$33,0),2),1,0)</f>
        <v>0</v>
      </c>
      <c r="AK58" s="64">
        <f>IF(INDEX(Standings!$A$2:$C$33,MATCH(Table1[[#This Row],[AwayTeam]],Standings!$A$2:$A$33,0),3)=INDEX(Standings!$A$2:$C$33,MATCH(Table1[[#This Row],[HomeTeam]],Standings!$A$2:$A$33,0),3),1,0)</f>
        <v>0</v>
      </c>
      <c r="AL58" s="64">
        <f>IF(Table1[[#This Row],[InterConf]]=1,IF(Table1[[#This Row],[InterDiv]]=0, 1, 0), 0)</f>
        <v>0</v>
      </c>
      <c r="AM58" s="64">
        <f>IF(INDEX(Standings!$A$2:$C$33,MATCH(Table1[[#This Row],[AwayTeam]],Standings!$A$2:$A$33,0),2)&lt;&gt;INDEX(Standings!$A$2:$C$33,MATCH(Table1[[#This Row],[HomeTeam]],Standings!$A$2:$A$33,0),2),1,0)</f>
        <v>1</v>
      </c>
      <c r="AN58" s="64" t="str">
        <f>INDEX(Table2[AWAY_RECORD], MATCH(Table1[[#This Row],[AwayTeam]],Table2[Team], 0), 0)</f>
        <v>0-0-0</v>
      </c>
      <c r="AO58" s="64" t="str">
        <f>INDEX(Records!$B$2:$AG$33, MATCH(Table1[[#This Row],[AwayTeam]],Records!$A$2:$A$33, 0), MATCH(Table1[[#This Row],[HomeTeam]],Records!$A$2:$A$33, 0))</f>
        <v>0-0-0</v>
      </c>
      <c r="AP58" s="64" t="str">
        <f>INDEX(Table2[HOME_RECORD], MATCH(Table1[[#This Row],[HomeTeam]],Table2[Team], 0), 0)</f>
        <v>0-0-0</v>
      </c>
      <c r="AQ58" s="64" t="str">
        <f>INDEX(Records!$B$2:$AG$33, MATCH(Table1[[#This Row],[HomeTeam]],Records!$A$2:$A$33, 0), MATCH(Table1[[#This Row],[AwayTeam]],Records!$A$2:$A$33, 0))</f>
        <v>0-0-0</v>
      </c>
    </row>
    <row r="59" spans="1:43" x14ac:dyDescent="0.25">
      <c r="A59" s="1"/>
      <c r="D59" t="s">
        <v>232</v>
      </c>
      <c r="E59" t="s">
        <v>160</v>
      </c>
      <c r="F59" t="s">
        <v>235</v>
      </c>
      <c r="G59" t="s">
        <v>48</v>
      </c>
      <c r="H59" t="s">
        <v>47</v>
      </c>
      <c r="L5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9" s="1"/>
      <c r="T59" s="64" t="str">
        <f>IF(Table1[[#This Row],[ActualWinner]]="", "", IF(Table1[[#This Row],[AwayTeam]]=Table1[[#This Row],[ActualWinner]],Table1[[#This Row],[HomeTeam]],Table1[[#This Row],[AwayTeam]]))</f>
        <v/>
      </c>
      <c r="U59" s="64">
        <f>Table1[[#This Row],[ActualAwayScore]]-Table1[[#This Row],[PredictedAwayScore]]</f>
        <v>0</v>
      </c>
      <c r="V59" s="64">
        <f>Table1[[#This Row],[ActualHomeScore]]-Table1[[#This Row],[PredictedHomeScore]]</f>
        <v>0</v>
      </c>
      <c r="W59" s="64">
        <f>(0.8*IF(Table1[[#This Row],[CorrectWinnerPrediction]]=1, 1, 0))+(0.1*IF(Table1[[#This Row],[CorrectAwayScorePrediction]]=1, 1, 0))+(0.1*IF(Table1[[#This Row],[CorrectHomeScorePrediction]]=1, 1, 0))</f>
        <v>0</v>
      </c>
      <c r="X5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9" s="64">
        <f>SUMIF(Table1[GameDate], Table1[[#This Row],[GameDate]], Table1[AwayGameGoalDiff])</f>
        <v>0</v>
      </c>
      <c r="AA59" s="64">
        <f>SUMIF(Table1[GameDate], Table1[[#This Row],[GameDate]], Table1[HomeGameGoalDiff])</f>
        <v>0</v>
      </c>
      <c r="AB59" s="64">
        <f>IF(ISBLANK(Table1[[#This Row],[ActualResult]]), 0, 1)</f>
        <v>0</v>
      </c>
      <c r="AC59" s="64">
        <f>IF(ISBLANK(Table1[[#This Row],[ActualResult]]), 0, IF(Table1[[#This Row],[ActualWinner]]=Table1[[#This Row],[PredictedWinner]], 1, 0))</f>
        <v>0</v>
      </c>
      <c r="AD5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9" s="64">
        <f>IF(AND(Table1[[#This Row],[GameIsOver]]=1,Table1[[#This Row],[ActualAwayScore]]=0), 1,0)</f>
        <v>0</v>
      </c>
      <c r="AG59" s="64">
        <f>IF(AND(Table1[[#This Row],[GameIsOver]]=1,Table1[[#This Row],[ActualHomeScore]]=0), 1,0)</f>
        <v>0</v>
      </c>
      <c r="AH59" s="64">
        <f>IF(Table1[[#This Row],[GameIsOver]]=0,0,IF(Table1[[#This Row],[ActualWinner]]=Table1[[#This Row],[AwayTeam]], 1, 0))</f>
        <v>0</v>
      </c>
      <c r="AI59" s="64">
        <f>IF(Table1[[#This Row],[GameIsOver]]=0,0,IF(Table1[[#This Row],[ActualWinner]]=Table1[[#This Row],[HomeTeam]], 1, 0))</f>
        <v>0</v>
      </c>
      <c r="AJ59" s="64">
        <f>IF(INDEX(Standings!$A$2:$C$33,MATCH(Table1[[#This Row],[AwayTeam]],Standings!$A$2:$A$33,0),2)=INDEX(Standings!$A$2:$C$33,MATCH(Table1[[#This Row],[HomeTeam]],Standings!$A$2:$A$33,0),2),1,0)</f>
        <v>0</v>
      </c>
      <c r="AK59" s="64">
        <f>IF(INDEX(Standings!$A$2:$C$33,MATCH(Table1[[#This Row],[AwayTeam]],Standings!$A$2:$A$33,0),3)=INDEX(Standings!$A$2:$C$33,MATCH(Table1[[#This Row],[HomeTeam]],Standings!$A$2:$A$33,0),3),1,0)</f>
        <v>0</v>
      </c>
      <c r="AL59" s="64">
        <f>IF(Table1[[#This Row],[InterConf]]=1,IF(Table1[[#This Row],[InterDiv]]=0, 1, 0), 0)</f>
        <v>0</v>
      </c>
      <c r="AM59" s="64">
        <f>IF(INDEX(Standings!$A$2:$C$33,MATCH(Table1[[#This Row],[AwayTeam]],Standings!$A$2:$A$33,0),2)&lt;&gt;INDEX(Standings!$A$2:$C$33,MATCH(Table1[[#This Row],[HomeTeam]],Standings!$A$2:$A$33,0),2),1,0)</f>
        <v>1</v>
      </c>
      <c r="AN59" s="64" t="str">
        <f>INDEX(Table2[AWAY_RECORD], MATCH(Table1[[#This Row],[AwayTeam]],Table2[Team], 0), 0)</f>
        <v>0-0-0</v>
      </c>
      <c r="AO59" s="64" t="str">
        <f>INDEX(Records!$B$2:$AG$33, MATCH(Table1[[#This Row],[AwayTeam]],Records!$A$2:$A$33, 0), MATCH(Table1[[#This Row],[HomeTeam]],Records!$A$2:$A$33, 0))</f>
        <v>0-0-0</v>
      </c>
      <c r="AP59" s="64" t="str">
        <f>INDEX(Table2[HOME_RECORD], MATCH(Table1[[#This Row],[HomeTeam]],Table2[Team], 0), 0)</f>
        <v>0-0-0</v>
      </c>
      <c r="AQ59" s="64" t="str">
        <f>INDEX(Records!$B$2:$AG$33, MATCH(Table1[[#This Row],[HomeTeam]],Records!$A$2:$A$33, 0), MATCH(Table1[[#This Row],[AwayTeam]],Records!$A$2:$A$33, 0))</f>
        <v>0-0-0</v>
      </c>
    </row>
    <row r="60" spans="1:43" x14ac:dyDescent="0.25">
      <c r="A60" s="1"/>
      <c r="D60" t="s">
        <v>232</v>
      </c>
      <c r="E60" t="s">
        <v>160</v>
      </c>
      <c r="F60" t="s">
        <v>236</v>
      </c>
      <c r="G60" t="s">
        <v>53</v>
      </c>
      <c r="H60" t="s">
        <v>52</v>
      </c>
      <c r="L6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0" s="1"/>
      <c r="T60" s="64" t="str">
        <f>IF(Table1[[#This Row],[ActualWinner]]="", "", IF(Table1[[#This Row],[AwayTeam]]=Table1[[#This Row],[ActualWinner]],Table1[[#This Row],[HomeTeam]],Table1[[#This Row],[AwayTeam]]))</f>
        <v/>
      </c>
      <c r="U60" s="64">
        <f>Table1[[#This Row],[ActualAwayScore]]-Table1[[#This Row],[PredictedAwayScore]]</f>
        <v>0</v>
      </c>
      <c r="V60" s="64">
        <f>Table1[[#This Row],[ActualHomeScore]]-Table1[[#This Row],[PredictedHomeScore]]</f>
        <v>0</v>
      </c>
      <c r="W60" s="64">
        <f>(0.8*IF(Table1[[#This Row],[CorrectWinnerPrediction]]=1, 1, 0))+(0.1*IF(Table1[[#This Row],[CorrectAwayScorePrediction]]=1, 1, 0))+(0.1*IF(Table1[[#This Row],[CorrectHomeScorePrediction]]=1, 1, 0))</f>
        <v>0</v>
      </c>
      <c r="X6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0" s="64">
        <f>SUMIF(Table1[GameDate], Table1[[#This Row],[GameDate]], Table1[AwayGameGoalDiff])</f>
        <v>0</v>
      </c>
      <c r="AA60" s="64">
        <f>SUMIF(Table1[GameDate], Table1[[#This Row],[GameDate]], Table1[HomeGameGoalDiff])</f>
        <v>0</v>
      </c>
      <c r="AB60" s="64">
        <f>IF(ISBLANK(Table1[[#This Row],[ActualResult]]), 0, 1)</f>
        <v>0</v>
      </c>
      <c r="AC60" s="64">
        <f>IF(ISBLANK(Table1[[#This Row],[ActualResult]]), 0, IF(Table1[[#This Row],[ActualWinner]]=Table1[[#This Row],[PredictedWinner]], 1, 0))</f>
        <v>0</v>
      </c>
      <c r="AD6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0" s="64">
        <f>IF(AND(Table1[[#This Row],[GameIsOver]]=1,Table1[[#This Row],[ActualAwayScore]]=0), 1,0)</f>
        <v>0</v>
      </c>
      <c r="AG60" s="64">
        <f>IF(AND(Table1[[#This Row],[GameIsOver]]=1,Table1[[#This Row],[ActualHomeScore]]=0), 1,0)</f>
        <v>0</v>
      </c>
      <c r="AH60" s="64">
        <f>IF(Table1[[#This Row],[GameIsOver]]=0,0,IF(Table1[[#This Row],[ActualWinner]]=Table1[[#This Row],[AwayTeam]], 1, 0))</f>
        <v>0</v>
      </c>
      <c r="AI60" s="64">
        <f>IF(Table1[[#This Row],[GameIsOver]]=0,0,IF(Table1[[#This Row],[ActualWinner]]=Table1[[#This Row],[HomeTeam]], 1, 0))</f>
        <v>0</v>
      </c>
      <c r="AJ60" s="64">
        <f>IF(INDEX(Standings!$A$2:$C$33,MATCH(Table1[[#This Row],[AwayTeam]],Standings!$A$2:$A$33,0),2)=INDEX(Standings!$A$2:$C$33,MATCH(Table1[[#This Row],[HomeTeam]],Standings!$A$2:$A$33,0),2),1,0)</f>
        <v>1</v>
      </c>
      <c r="AK60" s="64">
        <f>IF(INDEX(Standings!$A$2:$C$33,MATCH(Table1[[#This Row],[AwayTeam]],Standings!$A$2:$A$33,0),3)=INDEX(Standings!$A$2:$C$33,MATCH(Table1[[#This Row],[HomeTeam]],Standings!$A$2:$A$33,0),3),1,0)</f>
        <v>0</v>
      </c>
      <c r="AL60" s="64">
        <f>IF(Table1[[#This Row],[InterConf]]=1,IF(Table1[[#This Row],[InterDiv]]=0, 1, 0), 0)</f>
        <v>1</v>
      </c>
      <c r="AM60" s="64">
        <f>IF(INDEX(Standings!$A$2:$C$33,MATCH(Table1[[#This Row],[AwayTeam]],Standings!$A$2:$A$33,0),2)&lt;&gt;INDEX(Standings!$A$2:$C$33,MATCH(Table1[[#This Row],[HomeTeam]],Standings!$A$2:$A$33,0),2),1,0)</f>
        <v>0</v>
      </c>
      <c r="AN60" s="64" t="str">
        <f>INDEX(Table2[AWAY_RECORD], MATCH(Table1[[#This Row],[AwayTeam]],Table2[Team], 0), 0)</f>
        <v>0-1-0</v>
      </c>
      <c r="AO60" s="64" t="str">
        <f>INDEX(Records!$B$2:$AG$33, MATCH(Table1[[#This Row],[AwayTeam]],Records!$A$2:$A$33, 0), MATCH(Table1[[#This Row],[HomeTeam]],Records!$A$2:$A$33, 0))</f>
        <v>0-0-0</v>
      </c>
      <c r="AP60" s="64" t="str">
        <f>INDEX(Table2[HOME_RECORD], MATCH(Table1[[#This Row],[HomeTeam]],Table2[Team], 0), 0)</f>
        <v>0-0-0</v>
      </c>
      <c r="AQ60" s="64" t="str">
        <f>INDEX(Records!$B$2:$AG$33, MATCH(Table1[[#This Row],[HomeTeam]],Records!$A$2:$A$33, 0), MATCH(Table1[[#This Row],[AwayTeam]],Records!$A$2:$A$33, 0))</f>
        <v>0-0-0</v>
      </c>
    </row>
    <row r="61" spans="1:43" x14ac:dyDescent="0.25">
      <c r="A61" s="1"/>
      <c r="D61" t="s">
        <v>232</v>
      </c>
      <c r="E61" t="s">
        <v>160</v>
      </c>
      <c r="F61" t="s">
        <v>237</v>
      </c>
      <c r="G61" t="s">
        <v>22</v>
      </c>
      <c r="H61" t="s">
        <v>57</v>
      </c>
      <c r="L6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1" s="1"/>
      <c r="T61" s="64" t="str">
        <f>IF(Table1[[#This Row],[ActualWinner]]="", "", IF(Table1[[#This Row],[AwayTeam]]=Table1[[#This Row],[ActualWinner]],Table1[[#This Row],[HomeTeam]],Table1[[#This Row],[AwayTeam]]))</f>
        <v/>
      </c>
      <c r="U61" s="64">
        <f>Table1[[#This Row],[ActualAwayScore]]-Table1[[#This Row],[PredictedAwayScore]]</f>
        <v>0</v>
      </c>
      <c r="V61" s="64">
        <f>Table1[[#This Row],[ActualHomeScore]]-Table1[[#This Row],[PredictedHomeScore]]</f>
        <v>0</v>
      </c>
      <c r="W61" s="64">
        <f>(0.8*IF(Table1[[#This Row],[CorrectWinnerPrediction]]=1, 1, 0))+(0.1*IF(Table1[[#This Row],[CorrectAwayScorePrediction]]=1, 1, 0))+(0.1*IF(Table1[[#This Row],[CorrectHomeScorePrediction]]=1, 1, 0))</f>
        <v>0</v>
      </c>
      <c r="X6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1" s="64">
        <f>SUMIF(Table1[GameDate], Table1[[#This Row],[GameDate]], Table1[AwayGameGoalDiff])</f>
        <v>0</v>
      </c>
      <c r="AA61" s="64">
        <f>SUMIF(Table1[GameDate], Table1[[#This Row],[GameDate]], Table1[HomeGameGoalDiff])</f>
        <v>0</v>
      </c>
      <c r="AB61" s="64">
        <f>IF(ISBLANK(Table1[[#This Row],[ActualResult]]), 0, 1)</f>
        <v>0</v>
      </c>
      <c r="AC61" s="64">
        <f>IF(ISBLANK(Table1[[#This Row],[ActualResult]]), 0, IF(Table1[[#This Row],[ActualWinner]]=Table1[[#This Row],[PredictedWinner]], 1, 0))</f>
        <v>0</v>
      </c>
      <c r="AD6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1" s="64">
        <f>IF(AND(Table1[[#This Row],[GameIsOver]]=1,Table1[[#This Row],[ActualAwayScore]]=0), 1,0)</f>
        <v>0</v>
      </c>
      <c r="AG61" s="64">
        <f>IF(AND(Table1[[#This Row],[GameIsOver]]=1,Table1[[#This Row],[ActualHomeScore]]=0), 1,0)</f>
        <v>0</v>
      </c>
      <c r="AH61" s="64">
        <f>IF(Table1[[#This Row],[GameIsOver]]=0,0,IF(Table1[[#This Row],[ActualWinner]]=Table1[[#This Row],[AwayTeam]], 1, 0))</f>
        <v>0</v>
      </c>
      <c r="AI61" s="64">
        <f>IF(Table1[[#This Row],[GameIsOver]]=0,0,IF(Table1[[#This Row],[ActualWinner]]=Table1[[#This Row],[HomeTeam]], 1, 0))</f>
        <v>0</v>
      </c>
      <c r="AJ61" s="64">
        <f>IF(INDEX(Standings!$A$2:$C$33,MATCH(Table1[[#This Row],[AwayTeam]],Standings!$A$2:$A$33,0),2)=INDEX(Standings!$A$2:$C$33,MATCH(Table1[[#This Row],[HomeTeam]],Standings!$A$2:$A$33,0),2),1,0)</f>
        <v>0</v>
      </c>
      <c r="AK61" s="64">
        <f>IF(INDEX(Standings!$A$2:$C$33,MATCH(Table1[[#This Row],[AwayTeam]],Standings!$A$2:$A$33,0),3)=INDEX(Standings!$A$2:$C$33,MATCH(Table1[[#This Row],[HomeTeam]],Standings!$A$2:$A$33,0),3),1,0)</f>
        <v>0</v>
      </c>
      <c r="AL61" s="64">
        <f>IF(Table1[[#This Row],[InterConf]]=1,IF(Table1[[#This Row],[InterDiv]]=0, 1, 0), 0)</f>
        <v>0</v>
      </c>
      <c r="AM61" s="64">
        <f>IF(INDEX(Standings!$A$2:$C$33,MATCH(Table1[[#This Row],[AwayTeam]],Standings!$A$2:$A$33,0),2)&lt;&gt;INDEX(Standings!$A$2:$C$33,MATCH(Table1[[#This Row],[HomeTeam]],Standings!$A$2:$A$33,0),2),1,0)</f>
        <v>1</v>
      </c>
      <c r="AN61" s="64" t="str">
        <f>INDEX(Table2[AWAY_RECORD], MATCH(Table1[[#This Row],[AwayTeam]],Table2[Team], 0), 0)</f>
        <v>0-0-1</v>
      </c>
      <c r="AO61" s="64" t="str">
        <f>INDEX(Records!$B$2:$AG$33, MATCH(Table1[[#This Row],[AwayTeam]],Records!$A$2:$A$33, 0), MATCH(Table1[[#This Row],[HomeTeam]],Records!$A$2:$A$33, 0))</f>
        <v>0-0-0</v>
      </c>
      <c r="AP61" s="64" t="str">
        <f>INDEX(Table2[HOME_RECORD], MATCH(Table1[[#This Row],[HomeTeam]],Table2[Team], 0), 0)</f>
        <v>0-0-0</v>
      </c>
      <c r="AQ61" s="64" t="str">
        <f>INDEX(Records!$B$2:$AG$33, MATCH(Table1[[#This Row],[HomeTeam]],Records!$A$2:$A$33, 0), MATCH(Table1[[#This Row],[AwayTeam]],Records!$A$2:$A$33, 0))</f>
        <v>0-0-0</v>
      </c>
    </row>
    <row r="62" spans="1:43" x14ac:dyDescent="0.25">
      <c r="A62" s="1"/>
      <c r="D62" t="s">
        <v>232</v>
      </c>
      <c r="E62" t="s">
        <v>160</v>
      </c>
      <c r="F62" t="s">
        <v>238</v>
      </c>
      <c r="G62" t="s">
        <v>23</v>
      </c>
      <c r="H62" t="s">
        <v>40</v>
      </c>
      <c r="L6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2" s="1"/>
      <c r="T62" s="64" t="str">
        <f>IF(Table1[[#This Row],[ActualWinner]]="", "", IF(Table1[[#This Row],[AwayTeam]]=Table1[[#This Row],[ActualWinner]],Table1[[#This Row],[HomeTeam]],Table1[[#This Row],[AwayTeam]]))</f>
        <v/>
      </c>
      <c r="U62" s="64">
        <f>Table1[[#This Row],[ActualAwayScore]]-Table1[[#This Row],[PredictedAwayScore]]</f>
        <v>0</v>
      </c>
      <c r="V62" s="64">
        <f>Table1[[#This Row],[ActualHomeScore]]-Table1[[#This Row],[PredictedHomeScore]]</f>
        <v>0</v>
      </c>
      <c r="W62" s="64">
        <f>(0.8*IF(Table1[[#This Row],[CorrectWinnerPrediction]]=1, 1, 0))+(0.1*IF(Table1[[#This Row],[CorrectAwayScorePrediction]]=1, 1, 0))+(0.1*IF(Table1[[#This Row],[CorrectHomeScorePrediction]]=1, 1, 0))</f>
        <v>0</v>
      </c>
      <c r="X6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2" s="64">
        <f>SUMIF(Table1[GameDate], Table1[[#This Row],[GameDate]], Table1[AwayGameGoalDiff])</f>
        <v>0</v>
      </c>
      <c r="AA62" s="64">
        <f>SUMIF(Table1[GameDate], Table1[[#This Row],[GameDate]], Table1[HomeGameGoalDiff])</f>
        <v>0</v>
      </c>
      <c r="AB62" s="64">
        <f>IF(ISBLANK(Table1[[#This Row],[ActualResult]]), 0, 1)</f>
        <v>0</v>
      </c>
      <c r="AC62" s="64">
        <f>IF(ISBLANK(Table1[[#This Row],[ActualResult]]), 0, IF(Table1[[#This Row],[ActualWinner]]=Table1[[#This Row],[PredictedWinner]], 1, 0))</f>
        <v>0</v>
      </c>
      <c r="AD6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2" s="64">
        <f>IF(AND(Table1[[#This Row],[GameIsOver]]=1,Table1[[#This Row],[ActualAwayScore]]=0), 1,0)</f>
        <v>0</v>
      </c>
      <c r="AG62" s="64">
        <f>IF(AND(Table1[[#This Row],[GameIsOver]]=1,Table1[[#This Row],[ActualHomeScore]]=0), 1,0)</f>
        <v>0</v>
      </c>
      <c r="AH62" s="64">
        <f>IF(Table1[[#This Row],[GameIsOver]]=0,0,IF(Table1[[#This Row],[ActualWinner]]=Table1[[#This Row],[AwayTeam]], 1, 0))</f>
        <v>0</v>
      </c>
      <c r="AI62" s="64">
        <f>IF(Table1[[#This Row],[GameIsOver]]=0,0,IF(Table1[[#This Row],[ActualWinner]]=Table1[[#This Row],[HomeTeam]], 1, 0))</f>
        <v>0</v>
      </c>
      <c r="AJ62" s="64">
        <f>IF(INDEX(Standings!$A$2:$C$33,MATCH(Table1[[#This Row],[AwayTeam]],Standings!$A$2:$A$33,0),2)=INDEX(Standings!$A$2:$C$33,MATCH(Table1[[#This Row],[HomeTeam]],Standings!$A$2:$A$33,0),2),1,0)</f>
        <v>0</v>
      </c>
      <c r="AK62" s="64">
        <f>IF(INDEX(Standings!$A$2:$C$33,MATCH(Table1[[#This Row],[AwayTeam]],Standings!$A$2:$A$33,0),3)=INDEX(Standings!$A$2:$C$33,MATCH(Table1[[#This Row],[HomeTeam]],Standings!$A$2:$A$33,0),3),1,0)</f>
        <v>0</v>
      </c>
      <c r="AL62" s="64">
        <f>IF(Table1[[#This Row],[InterConf]]=1,IF(Table1[[#This Row],[InterDiv]]=0, 1, 0), 0)</f>
        <v>0</v>
      </c>
      <c r="AM62" s="64">
        <f>IF(INDEX(Standings!$A$2:$C$33,MATCH(Table1[[#This Row],[AwayTeam]],Standings!$A$2:$A$33,0),2)&lt;&gt;INDEX(Standings!$A$2:$C$33,MATCH(Table1[[#This Row],[HomeTeam]],Standings!$A$2:$A$33,0),2),1,0)</f>
        <v>1</v>
      </c>
      <c r="AN62" s="64" t="str">
        <f>INDEX(Table2[AWAY_RECORD], MATCH(Table1[[#This Row],[AwayTeam]],Table2[Team], 0), 0)</f>
        <v>0-0-1</v>
      </c>
      <c r="AO62" s="64" t="str">
        <f>INDEX(Records!$B$2:$AG$33, MATCH(Table1[[#This Row],[AwayTeam]],Records!$A$2:$A$33, 0), MATCH(Table1[[#This Row],[HomeTeam]],Records!$A$2:$A$33, 0))</f>
        <v>0-0-0</v>
      </c>
      <c r="AP62" s="64" t="str">
        <f>INDEX(Table2[HOME_RECORD], MATCH(Table1[[#This Row],[HomeTeam]],Table2[Team], 0), 0)</f>
        <v>1-1-0</v>
      </c>
      <c r="AQ62" s="64" t="str">
        <f>INDEX(Records!$B$2:$AG$33, MATCH(Table1[[#This Row],[HomeTeam]],Records!$A$2:$A$33, 0), MATCH(Table1[[#This Row],[AwayTeam]],Records!$A$2:$A$33, 0))</f>
        <v>0-0-0</v>
      </c>
    </row>
    <row r="63" spans="1:43" x14ac:dyDescent="0.25">
      <c r="A63" s="1"/>
      <c r="D63" t="s">
        <v>232</v>
      </c>
      <c r="E63" t="s">
        <v>169</v>
      </c>
      <c r="F63" t="s">
        <v>239</v>
      </c>
      <c r="G63" t="s">
        <v>16</v>
      </c>
      <c r="H63" t="s">
        <v>50</v>
      </c>
      <c r="L6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3" s="1"/>
      <c r="T63" s="64" t="str">
        <f>IF(Table1[[#This Row],[ActualWinner]]="", "", IF(Table1[[#This Row],[AwayTeam]]=Table1[[#This Row],[ActualWinner]],Table1[[#This Row],[HomeTeam]],Table1[[#This Row],[AwayTeam]]))</f>
        <v/>
      </c>
      <c r="U63" s="64">
        <f>Table1[[#This Row],[ActualAwayScore]]-Table1[[#This Row],[PredictedAwayScore]]</f>
        <v>0</v>
      </c>
      <c r="V63" s="64">
        <f>Table1[[#This Row],[ActualHomeScore]]-Table1[[#This Row],[PredictedHomeScore]]</f>
        <v>0</v>
      </c>
      <c r="W63" s="64">
        <f>(0.8*IF(Table1[[#This Row],[CorrectWinnerPrediction]]=1, 1, 0))+(0.1*IF(Table1[[#This Row],[CorrectAwayScorePrediction]]=1, 1, 0))+(0.1*IF(Table1[[#This Row],[CorrectHomeScorePrediction]]=1, 1, 0))</f>
        <v>0</v>
      </c>
      <c r="X6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3" s="64">
        <f>SUMIF(Table1[GameDate], Table1[[#This Row],[GameDate]], Table1[AwayGameGoalDiff])</f>
        <v>0</v>
      </c>
      <c r="AA63" s="64">
        <f>SUMIF(Table1[GameDate], Table1[[#This Row],[GameDate]], Table1[HomeGameGoalDiff])</f>
        <v>0</v>
      </c>
      <c r="AB63" s="64">
        <f>IF(ISBLANK(Table1[[#This Row],[ActualResult]]), 0, 1)</f>
        <v>0</v>
      </c>
      <c r="AC63" s="64">
        <f>IF(ISBLANK(Table1[[#This Row],[ActualResult]]), 0, IF(Table1[[#This Row],[ActualWinner]]=Table1[[#This Row],[PredictedWinner]], 1, 0))</f>
        <v>0</v>
      </c>
      <c r="AD6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3" s="64">
        <f>IF(AND(Table1[[#This Row],[GameIsOver]]=1,Table1[[#This Row],[ActualAwayScore]]=0), 1,0)</f>
        <v>0</v>
      </c>
      <c r="AG63" s="64">
        <f>IF(AND(Table1[[#This Row],[GameIsOver]]=1,Table1[[#This Row],[ActualHomeScore]]=0), 1,0)</f>
        <v>0</v>
      </c>
      <c r="AH63" s="64">
        <f>IF(Table1[[#This Row],[GameIsOver]]=0,0,IF(Table1[[#This Row],[ActualWinner]]=Table1[[#This Row],[AwayTeam]], 1, 0))</f>
        <v>0</v>
      </c>
      <c r="AI63" s="64">
        <f>IF(Table1[[#This Row],[GameIsOver]]=0,0,IF(Table1[[#This Row],[ActualWinner]]=Table1[[#This Row],[HomeTeam]], 1, 0))</f>
        <v>0</v>
      </c>
      <c r="AJ63" s="64">
        <f>IF(INDEX(Standings!$A$2:$C$33,MATCH(Table1[[#This Row],[AwayTeam]],Standings!$A$2:$A$33,0),2)=INDEX(Standings!$A$2:$C$33,MATCH(Table1[[#This Row],[HomeTeam]],Standings!$A$2:$A$33,0),2),1,0)</f>
        <v>0</v>
      </c>
      <c r="AK63" s="64">
        <f>IF(INDEX(Standings!$A$2:$C$33,MATCH(Table1[[#This Row],[AwayTeam]],Standings!$A$2:$A$33,0),3)=INDEX(Standings!$A$2:$C$33,MATCH(Table1[[#This Row],[HomeTeam]],Standings!$A$2:$A$33,0),3),1,0)</f>
        <v>0</v>
      </c>
      <c r="AL63" s="64">
        <f>IF(Table1[[#This Row],[InterConf]]=1,IF(Table1[[#This Row],[InterDiv]]=0, 1, 0), 0)</f>
        <v>0</v>
      </c>
      <c r="AM63" s="64">
        <f>IF(INDEX(Standings!$A$2:$C$33,MATCH(Table1[[#This Row],[AwayTeam]],Standings!$A$2:$A$33,0),2)&lt;&gt;INDEX(Standings!$A$2:$C$33,MATCH(Table1[[#This Row],[HomeTeam]],Standings!$A$2:$A$33,0),2),1,0)</f>
        <v>1</v>
      </c>
      <c r="AN63" s="64" t="str">
        <f>INDEX(Table2[AWAY_RECORD], MATCH(Table1[[#This Row],[AwayTeam]],Table2[Team], 0), 0)</f>
        <v>1-0-1</v>
      </c>
      <c r="AO63" s="64" t="str">
        <f>INDEX(Records!$B$2:$AG$33, MATCH(Table1[[#This Row],[AwayTeam]],Records!$A$2:$A$33, 0), MATCH(Table1[[#This Row],[HomeTeam]],Records!$A$2:$A$33, 0))</f>
        <v>0-0-0</v>
      </c>
      <c r="AP63" s="64" t="str">
        <f>INDEX(Table2[HOME_RECORD], MATCH(Table1[[#This Row],[HomeTeam]],Table2[Team], 0), 0)</f>
        <v>0-0-0</v>
      </c>
      <c r="AQ63" s="64" t="str">
        <f>INDEX(Records!$B$2:$AG$33, MATCH(Table1[[#This Row],[HomeTeam]],Records!$A$2:$A$33, 0), MATCH(Table1[[#This Row],[AwayTeam]],Records!$A$2:$A$33, 0))</f>
        <v>0-0-0</v>
      </c>
    </row>
    <row r="64" spans="1:43" x14ac:dyDescent="0.25">
      <c r="A64" s="1"/>
      <c r="D64" t="s">
        <v>232</v>
      </c>
      <c r="E64" t="s">
        <v>162</v>
      </c>
      <c r="F64" t="s">
        <v>240</v>
      </c>
      <c r="G64" t="s">
        <v>55</v>
      </c>
      <c r="H64" t="s">
        <v>61</v>
      </c>
      <c r="L6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4" s="1"/>
      <c r="T64" s="64" t="str">
        <f>IF(Table1[[#This Row],[ActualWinner]]="", "", IF(Table1[[#This Row],[AwayTeam]]=Table1[[#This Row],[ActualWinner]],Table1[[#This Row],[HomeTeam]],Table1[[#This Row],[AwayTeam]]))</f>
        <v/>
      </c>
      <c r="U64" s="64">
        <f>Table1[[#This Row],[ActualAwayScore]]-Table1[[#This Row],[PredictedAwayScore]]</f>
        <v>0</v>
      </c>
      <c r="V64" s="64">
        <f>Table1[[#This Row],[ActualHomeScore]]-Table1[[#This Row],[PredictedHomeScore]]</f>
        <v>0</v>
      </c>
      <c r="W64" s="64">
        <f>(0.8*IF(Table1[[#This Row],[CorrectWinnerPrediction]]=1, 1, 0))+(0.1*IF(Table1[[#This Row],[CorrectAwayScorePrediction]]=1, 1, 0))+(0.1*IF(Table1[[#This Row],[CorrectHomeScorePrediction]]=1, 1, 0))</f>
        <v>0</v>
      </c>
      <c r="X6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4" s="64">
        <f>SUMIF(Table1[GameDate], Table1[[#This Row],[GameDate]], Table1[AwayGameGoalDiff])</f>
        <v>0</v>
      </c>
      <c r="AA64" s="64">
        <f>SUMIF(Table1[GameDate], Table1[[#This Row],[GameDate]], Table1[HomeGameGoalDiff])</f>
        <v>0</v>
      </c>
      <c r="AB64" s="64">
        <f>IF(ISBLANK(Table1[[#This Row],[ActualResult]]), 0, 1)</f>
        <v>0</v>
      </c>
      <c r="AC64" s="64">
        <f>IF(ISBLANK(Table1[[#This Row],[ActualResult]]), 0, IF(Table1[[#This Row],[ActualWinner]]=Table1[[#This Row],[PredictedWinner]], 1, 0))</f>
        <v>0</v>
      </c>
      <c r="AD6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4" s="64">
        <f>IF(AND(Table1[[#This Row],[GameIsOver]]=1,Table1[[#This Row],[ActualAwayScore]]=0), 1,0)</f>
        <v>0</v>
      </c>
      <c r="AG64" s="64">
        <f>IF(AND(Table1[[#This Row],[GameIsOver]]=1,Table1[[#This Row],[ActualHomeScore]]=0), 1,0)</f>
        <v>0</v>
      </c>
      <c r="AH64" s="64">
        <f>IF(Table1[[#This Row],[GameIsOver]]=0,0,IF(Table1[[#This Row],[ActualWinner]]=Table1[[#This Row],[AwayTeam]], 1, 0))</f>
        <v>0</v>
      </c>
      <c r="AI64" s="64">
        <f>IF(Table1[[#This Row],[GameIsOver]]=0,0,IF(Table1[[#This Row],[ActualWinner]]=Table1[[#This Row],[HomeTeam]], 1, 0))</f>
        <v>0</v>
      </c>
      <c r="AJ64" s="64">
        <f>IF(INDEX(Standings!$A$2:$C$33,MATCH(Table1[[#This Row],[AwayTeam]],Standings!$A$2:$A$33,0),2)=INDEX(Standings!$A$2:$C$33,MATCH(Table1[[#This Row],[HomeTeam]],Standings!$A$2:$A$33,0),2),1,0)</f>
        <v>1</v>
      </c>
      <c r="AK64" s="64">
        <f>IF(INDEX(Standings!$A$2:$C$33,MATCH(Table1[[#This Row],[AwayTeam]],Standings!$A$2:$A$33,0),3)=INDEX(Standings!$A$2:$C$33,MATCH(Table1[[#This Row],[HomeTeam]],Standings!$A$2:$A$33,0),3),1,0)</f>
        <v>0</v>
      </c>
      <c r="AL64" s="64">
        <f>IF(Table1[[#This Row],[InterConf]]=1,IF(Table1[[#This Row],[InterDiv]]=0, 1, 0), 0)</f>
        <v>1</v>
      </c>
      <c r="AM64" s="64">
        <f>IF(INDEX(Standings!$A$2:$C$33,MATCH(Table1[[#This Row],[AwayTeam]],Standings!$A$2:$A$33,0),2)&lt;&gt;INDEX(Standings!$A$2:$C$33,MATCH(Table1[[#This Row],[HomeTeam]],Standings!$A$2:$A$33,0),2),1,0)</f>
        <v>0</v>
      </c>
      <c r="AN64" s="64" t="str">
        <f>INDEX(Table2[AWAY_RECORD], MATCH(Table1[[#This Row],[AwayTeam]],Table2[Team], 0), 0)</f>
        <v>0-0-0</v>
      </c>
      <c r="AO64" s="64" t="str">
        <f>INDEX(Records!$B$2:$AG$33, MATCH(Table1[[#This Row],[AwayTeam]],Records!$A$2:$A$33, 0), MATCH(Table1[[#This Row],[HomeTeam]],Records!$A$2:$A$33, 0))</f>
        <v>0-0-0</v>
      </c>
      <c r="AP64" s="64" t="str">
        <f>INDEX(Table2[HOME_RECORD], MATCH(Table1[[#This Row],[HomeTeam]],Table2[Team], 0), 0)</f>
        <v>0-0-0</v>
      </c>
      <c r="AQ64" s="64" t="str">
        <f>INDEX(Records!$B$2:$AG$33, MATCH(Table1[[#This Row],[HomeTeam]],Records!$A$2:$A$33, 0), MATCH(Table1[[#This Row],[AwayTeam]],Records!$A$2:$A$33, 0))</f>
        <v>0-0-0</v>
      </c>
    </row>
    <row r="65" spans="1:43" x14ac:dyDescent="0.25">
      <c r="A65" s="1"/>
      <c r="D65" t="s">
        <v>232</v>
      </c>
      <c r="E65" t="s">
        <v>178</v>
      </c>
      <c r="F65" t="s">
        <v>241</v>
      </c>
      <c r="G65" t="s">
        <v>41</v>
      </c>
      <c r="H65" t="s">
        <v>39</v>
      </c>
      <c r="L6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5" s="1"/>
      <c r="T65" s="64" t="str">
        <f>IF(Table1[[#This Row],[ActualWinner]]="", "", IF(Table1[[#This Row],[AwayTeam]]=Table1[[#This Row],[ActualWinner]],Table1[[#This Row],[HomeTeam]],Table1[[#This Row],[AwayTeam]]))</f>
        <v/>
      </c>
      <c r="U65" s="64">
        <f>Table1[[#This Row],[ActualAwayScore]]-Table1[[#This Row],[PredictedAwayScore]]</f>
        <v>0</v>
      </c>
      <c r="V65" s="64">
        <f>Table1[[#This Row],[ActualHomeScore]]-Table1[[#This Row],[PredictedHomeScore]]</f>
        <v>0</v>
      </c>
      <c r="W65" s="64">
        <f>(0.8*IF(Table1[[#This Row],[CorrectWinnerPrediction]]=1, 1, 0))+(0.1*IF(Table1[[#This Row],[CorrectAwayScorePrediction]]=1, 1, 0))+(0.1*IF(Table1[[#This Row],[CorrectHomeScorePrediction]]=1, 1, 0))</f>
        <v>0</v>
      </c>
      <c r="X6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5" s="64">
        <f>SUMIF(Table1[GameDate], Table1[[#This Row],[GameDate]], Table1[AwayGameGoalDiff])</f>
        <v>0</v>
      </c>
      <c r="AA65" s="64">
        <f>SUMIF(Table1[GameDate], Table1[[#This Row],[GameDate]], Table1[HomeGameGoalDiff])</f>
        <v>0</v>
      </c>
      <c r="AB65" s="64">
        <f>IF(ISBLANK(Table1[[#This Row],[ActualResult]]), 0, 1)</f>
        <v>0</v>
      </c>
      <c r="AC65" s="64">
        <f>IF(ISBLANK(Table1[[#This Row],[ActualResult]]), 0, IF(Table1[[#This Row],[ActualWinner]]=Table1[[#This Row],[PredictedWinner]], 1, 0))</f>
        <v>0</v>
      </c>
      <c r="AD6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5" s="64">
        <f>IF(AND(Table1[[#This Row],[GameIsOver]]=1,Table1[[#This Row],[ActualAwayScore]]=0), 1,0)</f>
        <v>0</v>
      </c>
      <c r="AG65" s="64">
        <f>IF(AND(Table1[[#This Row],[GameIsOver]]=1,Table1[[#This Row],[ActualHomeScore]]=0), 1,0)</f>
        <v>0</v>
      </c>
      <c r="AH65" s="64">
        <f>IF(Table1[[#This Row],[GameIsOver]]=0,0,IF(Table1[[#This Row],[ActualWinner]]=Table1[[#This Row],[AwayTeam]], 1, 0))</f>
        <v>0</v>
      </c>
      <c r="AI65" s="64">
        <f>IF(Table1[[#This Row],[GameIsOver]]=0,0,IF(Table1[[#This Row],[ActualWinner]]=Table1[[#This Row],[HomeTeam]], 1, 0))</f>
        <v>0</v>
      </c>
      <c r="AJ65" s="64">
        <f>IF(INDEX(Standings!$A$2:$C$33,MATCH(Table1[[#This Row],[AwayTeam]],Standings!$A$2:$A$33,0),2)=INDEX(Standings!$A$2:$C$33,MATCH(Table1[[#This Row],[HomeTeam]],Standings!$A$2:$A$33,0),2),1,0)</f>
        <v>1</v>
      </c>
      <c r="AK65" s="64">
        <f>IF(INDEX(Standings!$A$2:$C$33,MATCH(Table1[[#This Row],[AwayTeam]],Standings!$A$2:$A$33,0),3)=INDEX(Standings!$A$2:$C$33,MATCH(Table1[[#This Row],[HomeTeam]],Standings!$A$2:$A$33,0),3),1,0)</f>
        <v>0</v>
      </c>
      <c r="AL65" s="64">
        <f>IF(Table1[[#This Row],[InterConf]]=1,IF(Table1[[#This Row],[InterDiv]]=0, 1, 0), 0)</f>
        <v>1</v>
      </c>
      <c r="AM65" s="64">
        <f>IF(INDEX(Standings!$A$2:$C$33,MATCH(Table1[[#This Row],[AwayTeam]],Standings!$A$2:$A$33,0),2)&lt;&gt;INDEX(Standings!$A$2:$C$33,MATCH(Table1[[#This Row],[HomeTeam]],Standings!$A$2:$A$33,0),2),1,0)</f>
        <v>0</v>
      </c>
      <c r="AN65" s="64" t="str">
        <f>INDEX(Table2[AWAY_RECORD], MATCH(Table1[[#This Row],[AwayTeam]],Table2[Team], 0), 0)</f>
        <v>0-0-0</v>
      </c>
      <c r="AO65" s="64" t="str">
        <f>INDEX(Records!$B$2:$AG$33, MATCH(Table1[[#This Row],[AwayTeam]],Records!$A$2:$A$33, 0), MATCH(Table1[[#This Row],[HomeTeam]],Records!$A$2:$A$33, 0))</f>
        <v>0-0-0</v>
      </c>
      <c r="AP65" s="64" t="str">
        <f>INDEX(Table2[HOME_RECORD], MATCH(Table1[[#This Row],[HomeTeam]],Table2[Team], 0), 0)</f>
        <v>0-1-0</v>
      </c>
      <c r="AQ65" s="64" t="str">
        <f>INDEX(Records!$B$2:$AG$33, MATCH(Table1[[#This Row],[HomeTeam]],Records!$A$2:$A$33, 0), MATCH(Table1[[#This Row],[AwayTeam]],Records!$A$2:$A$33, 0))</f>
        <v>0-0-0</v>
      </c>
    </row>
    <row r="66" spans="1:43" x14ac:dyDescent="0.25">
      <c r="A66" s="1"/>
      <c r="D66" t="s">
        <v>232</v>
      </c>
      <c r="E66" t="s">
        <v>164</v>
      </c>
      <c r="F66" t="s">
        <v>242</v>
      </c>
      <c r="G66" t="s">
        <v>24</v>
      </c>
      <c r="H66" t="s">
        <v>25</v>
      </c>
      <c r="L6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6" s="1"/>
      <c r="T66" s="64" t="str">
        <f>IF(Table1[[#This Row],[ActualWinner]]="", "", IF(Table1[[#This Row],[AwayTeam]]=Table1[[#This Row],[ActualWinner]],Table1[[#This Row],[HomeTeam]],Table1[[#This Row],[AwayTeam]]))</f>
        <v/>
      </c>
      <c r="U66" s="64">
        <f>Table1[[#This Row],[ActualAwayScore]]-Table1[[#This Row],[PredictedAwayScore]]</f>
        <v>0</v>
      </c>
      <c r="V66" s="64">
        <f>Table1[[#This Row],[ActualHomeScore]]-Table1[[#This Row],[PredictedHomeScore]]</f>
        <v>0</v>
      </c>
      <c r="W66" s="64">
        <f>(0.8*IF(Table1[[#This Row],[CorrectWinnerPrediction]]=1, 1, 0))+(0.1*IF(Table1[[#This Row],[CorrectAwayScorePrediction]]=1, 1, 0))+(0.1*IF(Table1[[#This Row],[CorrectHomeScorePrediction]]=1, 1, 0))</f>
        <v>0</v>
      </c>
      <c r="X6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6" s="64">
        <f>SUMIF(Table1[GameDate], Table1[[#This Row],[GameDate]], Table1[AwayGameGoalDiff])</f>
        <v>0</v>
      </c>
      <c r="AA66" s="64">
        <f>SUMIF(Table1[GameDate], Table1[[#This Row],[GameDate]], Table1[HomeGameGoalDiff])</f>
        <v>0</v>
      </c>
      <c r="AB66" s="64">
        <f>IF(ISBLANK(Table1[[#This Row],[ActualResult]]), 0, 1)</f>
        <v>0</v>
      </c>
      <c r="AC66" s="64">
        <f>IF(ISBLANK(Table1[[#This Row],[ActualResult]]), 0, IF(Table1[[#This Row],[ActualWinner]]=Table1[[#This Row],[PredictedWinner]], 1, 0))</f>
        <v>0</v>
      </c>
      <c r="AD6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6" s="64">
        <f>IF(AND(Table1[[#This Row],[GameIsOver]]=1,Table1[[#This Row],[ActualAwayScore]]=0), 1,0)</f>
        <v>0</v>
      </c>
      <c r="AG66" s="64">
        <f>IF(AND(Table1[[#This Row],[GameIsOver]]=1,Table1[[#This Row],[ActualHomeScore]]=0), 1,0)</f>
        <v>0</v>
      </c>
      <c r="AH66" s="64">
        <f>IF(Table1[[#This Row],[GameIsOver]]=0,0,IF(Table1[[#This Row],[ActualWinner]]=Table1[[#This Row],[AwayTeam]], 1, 0))</f>
        <v>0</v>
      </c>
      <c r="AI66" s="64">
        <f>IF(Table1[[#This Row],[GameIsOver]]=0,0,IF(Table1[[#This Row],[ActualWinner]]=Table1[[#This Row],[HomeTeam]], 1, 0))</f>
        <v>0</v>
      </c>
      <c r="AJ66" s="64">
        <f>IF(INDEX(Standings!$A$2:$C$33,MATCH(Table1[[#This Row],[AwayTeam]],Standings!$A$2:$A$33,0),2)=INDEX(Standings!$A$2:$C$33,MATCH(Table1[[#This Row],[HomeTeam]],Standings!$A$2:$A$33,0),2),1,0)</f>
        <v>0</v>
      </c>
      <c r="AK66" s="64">
        <f>IF(INDEX(Standings!$A$2:$C$33,MATCH(Table1[[#This Row],[AwayTeam]],Standings!$A$2:$A$33,0),3)=INDEX(Standings!$A$2:$C$33,MATCH(Table1[[#This Row],[HomeTeam]],Standings!$A$2:$A$33,0),3),1,0)</f>
        <v>0</v>
      </c>
      <c r="AL66" s="64">
        <f>IF(Table1[[#This Row],[InterConf]]=1,IF(Table1[[#This Row],[InterDiv]]=0, 1, 0), 0)</f>
        <v>0</v>
      </c>
      <c r="AM66" s="64">
        <f>IF(INDEX(Standings!$A$2:$C$33,MATCH(Table1[[#This Row],[AwayTeam]],Standings!$A$2:$A$33,0),2)&lt;&gt;INDEX(Standings!$A$2:$C$33,MATCH(Table1[[#This Row],[HomeTeam]],Standings!$A$2:$A$33,0),2),1,0)</f>
        <v>1</v>
      </c>
      <c r="AN66" s="64" t="str">
        <f>INDEX(Table2[AWAY_RECORD], MATCH(Table1[[#This Row],[AwayTeam]],Table2[Team], 0), 0)</f>
        <v>0-0-0</v>
      </c>
      <c r="AO66" s="64" t="str">
        <f>INDEX(Records!$B$2:$AG$33, MATCH(Table1[[#This Row],[AwayTeam]],Records!$A$2:$A$33, 0), MATCH(Table1[[#This Row],[HomeTeam]],Records!$A$2:$A$33, 0))</f>
        <v>0-0-0</v>
      </c>
      <c r="AP66" s="64" t="str">
        <f>INDEX(Table2[HOME_RECORD], MATCH(Table1[[#This Row],[HomeTeam]],Table2[Team], 0), 0)</f>
        <v>0-0-1</v>
      </c>
      <c r="AQ66" s="64" t="str">
        <f>INDEX(Records!$B$2:$AG$33, MATCH(Table1[[#This Row],[HomeTeam]],Records!$A$2:$A$33, 0), MATCH(Table1[[#This Row],[AwayTeam]],Records!$A$2:$A$33, 0))</f>
        <v>0-0-0</v>
      </c>
    </row>
    <row r="67" spans="1:43" x14ac:dyDescent="0.25">
      <c r="A67" s="1"/>
      <c r="D67" t="s">
        <v>243</v>
      </c>
      <c r="E67" t="s">
        <v>160</v>
      </c>
      <c r="F67" t="s">
        <v>244</v>
      </c>
      <c r="G67" t="s">
        <v>56</v>
      </c>
      <c r="H67" t="s">
        <v>44</v>
      </c>
      <c r="L6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7" s="1"/>
      <c r="T67" s="64" t="str">
        <f>IF(Table1[[#This Row],[ActualWinner]]="", "", IF(Table1[[#This Row],[AwayTeam]]=Table1[[#This Row],[ActualWinner]],Table1[[#This Row],[HomeTeam]],Table1[[#This Row],[AwayTeam]]))</f>
        <v/>
      </c>
      <c r="U67" s="64">
        <f>Table1[[#This Row],[ActualAwayScore]]-Table1[[#This Row],[PredictedAwayScore]]</f>
        <v>0</v>
      </c>
      <c r="V67" s="64">
        <f>Table1[[#This Row],[ActualHomeScore]]-Table1[[#This Row],[PredictedHomeScore]]</f>
        <v>0</v>
      </c>
      <c r="W67" s="64">
        <f>(0.8*IF(Table1[[#This Row],[CorrectWinnerPrediction]]=1, 1, 0))+(0.1*IF(Table1[[#This Row],[CorrectAwayScorePrediction]]=1, 1, 0))+(0.1*IF(Table1[[#This Row],[CorrectHomeScorePrediction]]=1, 1, 0))</f>
        <v>0</v>
      </c>
      <c r="X6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7" s="64">
        <f>SUMIF(Table1[GameDate], Table1[[#This Row],[GameDate]], Table1[AwayGameGoalDiff])</f>
        <v>0</v>
      </c>
      <c r="AA67" s="64">
        <f>SUMIF(Table1[GameDate], Table1[[#This Row],[GameDate]], Table1[HomeGameGoalDiff])</f>
        <v>0</v>
      </c>
      <c r="AB67" s="64">
        <f>IF(ISBLANK(Table1[[#This Row],[ActualResult]]), 0, 1)</f>
        <v>0</v>
      </c>
      <c r="AC67" s="64">
        <f>IF(ISBLANK(Table1[[#This Row],[ActualResult]]), 0, IF(Table1[[#This Row],[ActualWinner]]=Table1[[#This Row],[PredictedWinner]], 1, 0))</f>
        <v>0</v>
      </c>
      <c r="AD6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7" s="64">
        <f>IF(AND(Table1[[#This Row],[GameIsOver]]=1,Table1[[#This Row],[ActualAwayScore]]=0), 1,0)</f>
        <v>0</v>
      </c>
      <c r="AG67" s="64">
        <f>IF(AND(Table1[[#This Row],[GameIsOver]]=1,Table1[[#This Row],[ActualHomeScore]]=0), 1,0)</f>
        <v>0</v>
      </c>
      <c r="AH67" s="64">
        <f>IF(Table1[[#This Row],[GameIsOver]]=0,0,IF(Table1[[#This Row],[ActualWinner]]=Table1[[#This Row],[AwayTeam]], 1, 0))</f>
        <v>0</v>
      </c>
      <c r="AI67" s="64">
        <f>IF(Table1[[#This Row],[GameIsOver]]=0,0,IF(Table1[[#This Row],[ActualWinner]]=Table1[[#This Row],[HomeTeam]], 1, 0))</f>
        <v>0</v>
      </c>
      <c r="AJ67" s="64">
        <f>IF(INDEX(Standings!$A$2:$C$33,MATCH(Table1[[#This Row],[AwayTeam]],Standings!$A$2:$A$33,0),2)=INDEX(Standings!$A$2:$C$33,MATCH(Table1[[#This Row],[HomeTeam]],Standings!$A$2:$A$33,0),2),1,0)</f>
        <v>0</v>
      </c>
      <c r="AK67" s="64">
        <f>IF(INDEX(Standings!$A$2:$C$33,MATCH(Table1[[#This Row],[AwayTeam]],Standings!$A$2:$A$33,0),3)=INDEX(Standings!$A$2:$C$33,MATCH(Table1[[#This Row],[HomeTeam]],Standings!$A$2:$A$33,0),3),1,0)</f>
        <v>0</v>
      </c>
      <c r="AL67" s="64">
        <f>IF(Table1[[#This Row],[InterConf]]=1,IF(Table1[[#This Row],[InterDiv]]=0, 1, 0), 0)</f>
        <v>0</v>
      </c>
      <c r="AM67" s="64">
        <f>IF(INDEX(Standings!$A$2:$C$33,MATCH(Table1[[#This Row],[AwayTeam]],Standings!$A$2:$A$33,0),2)&lt;&gt;INDEX(Standings!$A$2:$C$33,MATCH(Table1[[#This Row],[HomeTeam]],Standings!$A$2:$A$33,0),2),1,0)</f>
        <v>1</v>
      </c>
      <c r="AN67" s="64" t="str">
        <f>INDEX(Table2[AWAY_RECORD], MATCH(Table1[[#This Row],[AwayTeam]],Table2[Team], 0), 0)</f>
        <v>1-0-0</v>
      </c>
      <c r="AO67" s="64" t="str">
        <f>INDEX(Records!$B$2:$AG$33, MATCH(Table1[[#This Row],[AwayTeam]],Records!$A$2:$A$33, 0), MATCH(Table1[[#This Row],[HomeTeam]],Records!$A$2:$A$33, 0))</f>
        <v>0-0-0</v>
      </c>
      <c r="AP67" s="64" t="str">
        <f>INDEX(Table2[HOME_RECORD], MATCH(Table1[[#This Row],[HomeTeam]],Table2[Team], 0), 0)</f>
        <v>0-0-1</v>
      </c>
      <c r="AQ67" s="64" t="str">
        <f>INDEX(Records!$B$2:$AG$33, MATCH(Table1[[#This Row],[HomeTeam]],Records!$A$2:$A$33, 0), MATCH(Table1[[#This Row],[AwayTeam]],Records!$A$2:$A$33, 0))</f>
        <v>0-0-0</v>
      </c>
    </row>
    <row r="68" spans="1:43" x14ac:dyDescent="0.25">
      <c r="A68" s="1"/>
      <c r="D68" t="s">
        <v>243</v>
      </c>
      <c r="E68" t="s">
        <v>160</v>
      </c>
      <c r="F68" t="s">
        <v>245</v>
      </c>
      <c r="G68" t="s">
        <v>51</v>
      </c>
      <c r="H68" t="s">
        <v>59</v>
      </c>
      <c r="L6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8" s="1"/>
      <c r="T68" s="64" t="str">
        <f>IF(Table1[[#This Row],[ActualWinner]]="", "", IF(Table1[[#This Row],[AwayTeam]]=Table1[[#This Row],[ActualWinner]],Table1[[#This Row],[HomeTeam]],Table1[[#This Row],[AwayTeam]]))</f>
        <v/>
      </c>
      <c r="U68" s="64">
        <f>Table1[[#This Row],[ActualAwayScore]]-Table1[[#This Row],[PredictedAwayScore]]</f>
        <v>0</v>
      </c>
      <c r="V68" s="64">
        <f>Table1[[#This Row],[ActualHomeScore]]-Table1[[#This Row],[PredictedHomeScore]]</f>
        <v>0</v>
      </c>
      <c r="W68" s="64">
        <f>(0.8*IF(Table1[[#This Row],[CorrectWinnerPrediction]]=1, 1, 0))+(0.1*IF(Table1[[#This Row],[CorrectAwayScorePrediction]]=1, 1, 0))+(0.1*IF(Table1[[#This Row],[CorrectHomeScorePrediction]]=1, 1, 0))</f>
        <v>0</v>
      </c>
      <c r="X6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8" s="64">
        <f>SUMIF(Table1[GameDate], Table1[[#This Row],[GameDate]], Table1[AwayGameGoalDiff])</f>
        <v>0</v>
      </c>
      <c r="AA68" s="64">
        <f>SUMIF(Table1[GameDate], Table1[[#This Row],[GameDate]], Table1[HomeGameGoalDiff])</f>
        <v>0</v>
      </c>
      <c r="AB68" s="64">
        <f>IF(ISBLANK(Table1[[#This Row],[ActualResult]]), 0, 1)</f>
        <v>0</v>
      </c>
      <c r="AC68" s="64">
        <f>IF(ISBLANK(Table1[[#This Row],[ActualResult]]), 0, IF(Table1[[#This Row],[ActualWinner]]=Table1[[#This Row],[PredictedWinner]], 1, 0))</f>
        <v>0</v>
      </c>
      <c r="AD6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8" s="64">
        <f>IF(AND(Table1[[#This Row],[GameIsOver]]=1,Table1[[#This Row],[ActualAwayScore]]=0), 1,0)</f>
        <v>0</v>
      </c>
      <c r="AG68" s="64">
        <f>IF(AND(Table1[[#This Row],[GameIsOver]]=1,Table1[[#This Row],[ActualHomeScore]]=0), 1,0)</f>
        <v>0</v>
      </c>
      <c r="AH68" s="64">
        <f>IF(Table1[[#This Row],[GameIsOver]]=0,0,IF(Table1[[#This Row],[ActualWinner]]=Table1[[#This Row],[AwayTeam]], 1, 0))</f>
        <v>0</v>
      </c>
      <c r="AI68" s="64">
        <f>IF(Table1[[#This Row],[GameIsOver]]=0,0,IF(Table1[[#This Row],[ActualWinner]]=Table1[[#This Row],[HomeTeam]], 1, 0))</f>
        <v>0</v>
      </c>
      <c r="AJ68" s="64">
        <f>IF(INDEX(Standings!$A$2:$C$33,MATCH(Table1[[#This Row],[AwayTeam]],Standings!$A$2:$A$33,0),2)=INDEX(Standings!$A$2:$C$33,MATCH(Table1[[#This Row],[HomeTeam]],Standings!$A$2:$A$33,0),2),1,0)</f>
        <v>1</v>
      </c>
      <c r="AK68" s="64">
        <f>IF(INDEX(Standings!$A$2:$C$33,MATCH(Table1[[#This Row],[AwayTeam]],Standings!$A$2:$A$33,0),3)=INDEX(Standings!$A$2:$C$33,MATCH(Table1[[#This Row],[HomeTeam]],Standings!$A$2:$A$33,0),3),1,0)</f>
        <v>1</v>
      </c>
      <c r="AL68" s="64">
        <f>IF(Table1[[#This Row],[InterConf]]=1,IF(Table1[[#This Row],[InterDiv]]=0, 1, 0), 0)</f>
        <v>0</v>
      </c>
      <c r="AM68" s="64">
        <f>IF(INDEX(Standings!$A$2:$C$33,MATCH(Table1[[#This Row],[AwayTeam]],Standings!$A$2:$A$33,0),2)&lt;&gt;INDEX(Standings!$A$2:$C$33,MATCH(Table1[[#This Row],[HomeTeam]],Standings!$A$2:$A$33,0),2),1,0)</f>
        <v>0</v>
      </c>
      <c r="AN68" s="64" t="str">
        <f>INDEX(Table2[AWAY_RECORD], MATCH(Table1[[#This Row],[AwayTeam]],Table2[Team], 0), 0)</f>
        <v>2-0-0</v>
      </c>
      <c r="AO68" s="64" t="str">
        <f>INDEX(Records!$B$2:$AG$33, MATCH(Table1[[#This Row],[AwayTeam]],Records!$A$2:$A$33, 0), MATCH(Table1[[#This Row],[HomeTeam]],Records!$A$2:$A$33, 0))</f>
        <v>0-0-0</v>
      </c>
      <c r="AP68" s="64" t="str">
        <f>INDEX(Table2[HOME_RECORD], MATCH(Table1[[#This Row],[HomeTeam]],Table2[Team], 0), 0)</f>
        <v>0-0-0</v>
      </c>
      <c r="AQ68" s="64" t="str">
        <f>INDEX(Records!$B$2:$AG$33, MATCH(Table1[[#This Row],[HomeTeam]],Records!$A$2:$A$33, 0), MATCH(Table1[[#This Row],[AwayTeam]],Records!$A$2:$A$33, 0))</f>
        <v>0-0-0</v>
      </c>
    </row>
    <row r="69" spans="1:43" x14ac:dyDescent="0.25">
      <c r="A69" s="1"/>
      <c r="D69" t="s">
        <v>243</v>
      </c>
      <c r="E69" t="s">
        <v>160</v>
      </c>
      <c r="F69" t="s">
        <v>246</v>
      </c>
      <c r="G69" t="s">
        <v>54</v>
      </c>
      <c r="H69" t="s">
        <v>42</v>
      </c>
      <c r="L6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9" s="1"/>
      <c r="T69" s="64" t="str">
        <f>IF(Table1[[#This Row],[ActualWinner]]="", "", IF(Table1[[#This Row],[AwayTeam]]=Table1[[#This Row],[ActualWinner]],Table1[[#This Row],[HomeTeam]],Table1[[#This Row],[AwayTeam]]))</f>
        <v/>
      </c>
      <c r="U69" s="64">
        <f>Table1[[#This Row],[ActualAwayScore]]-Table1[[#This Row],[PredictedAwayScore]]</f>
        <v>0</v>
      </c>
      <c r="V69" s="64">
        <f>Table1[[#This Row],[ActualHomeScore]]-Table1[[#This Row],[PredictedHomeScore]]</f>
        <v>0</v>
      </c>
      <c r="W69" s="64">
        <f>(0.8*IF(Table1[[#This Row],[CorrectWinnerPrediction]]=1, 1, 0))+(0.1*IF(Table1[[#This Row],[CorrectAwayScorePrediction]]=1, 1, 0))+(0.1*IF(Table1[[#This Row],[CorrectHomeScorePrediction]]=1, 1, 0))</f>
        <v>0</v>
      </c>
      <c r="X6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9" s="64">
        <f>SUMIF(Table1[GameDate], Table1[[#This Row],[GameDate]], Table1[AwayGameGoalDiff])</f>
        <v>0</v>
      </c>
      <c r="AA69" s="64">
        <f>SUMIF(Table1[GameDate], Table1[[#This Row],[GameDate]], Table1[HomeGameGoalDiff])</f>
        <v>0</v>
      </c>
      <c r="AB69" s="64">
        <f>IF(ISBLANK(Table1[[#This Row],[ActualResult]]), 0, 1)</f>
        <v>0</v>
      </c>
      <c r="AC69" s="64">
        <f>IF(ISBLANK(Table1[[#This Row],[ActualResult]]), 0, IF(Table1[[#This Row],[ActualWinner]]=Table1[[#This Row],[PredictedWinner]], 1, 0))</f>
        <v>0</v>
      </c>
      <c r="AD6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9" s="64">
        <f>IF(AND(Table1[[#This Row],[GameIsOver]]=1,Table1[[#This Row],[ActualAwayScore]]=0), 1,0)</f>
        <v>0</v>
      </c>
      <c r="AG69" s="64">
        <f>IF(AND(Table1[[#This Row],[GameIsOver]]=1,Table1[[#This Row],[ActualHomeScore]]=0), 1,0)</f>
        <v>0</v>
      </c>
      <c r="AH69" s="64">
        <f>IF(Table1[[#This Row],[GameIsOver]]=0,0,IF(Table1[[#This Row],[ActualWinner]]=Table1[[#This Row],[AwayTeam]], 1, 0))</f>
        <v>0</v>
      </c>
      <c r="AI69" s="64">
        <f>IF(Table1[[#This Row],[GameIsOver]]=0,0,IF(Table1[[#This Row],[ActualWinner]]=Table1[[#This Row],[HomeTeam]], 1, 0))</f>
        <v>0</v>
      </c>
      <c r="AJ69" s="64">
        <f>IF(INDEX(Standings!$A$2:$C$33,MATCH(Table1[[#This Row],[AwayTeam]],Standings!$A$2:$A$33,0),2)=INDEX(Standings!$A$2:$C$33,MATCH(Table1[[#This Row],[HomeTeam]],Standings!$A$2:$A$33,0),2),1,0)</f>
        <v>1</v>
      </c>
      <c r="AK69" s="64">
        <f>IF(INDEX(Standings!$A$2:$C$33,MATCH(Table1[[#This Row],[AwayTeam]],Standings!$A$2:$A$33,0),3)=INDEX(Standings!$A$2:$C$33,MATCH(Table1[[#This Row],[HomeTeam]],Standings!$A$2:$A$33,0),3),1,0)</f>
        <v>1</v>
      </c>
      <c r="AL69" s="64">
        <f>IF(Table1[[#This Row],[InterConf]]=1,IF(Table1[[#This Row],[InterDiv]]=0, 1, 0), 0)</f>
        <v>0</v>
      </c>
      <c r="AM69" s="64">
        <f>IF(INDEX(Standings!$A$2:$C$33,MATCH(Table1[[#This Row],[AwayTeam]],Standings!$A$2:$A$33,0),2)&lt;&gt;INDEX(Standings!$A$2:$C$33,MATCH(Table1[[#This Row],[HomeTeam]],Standings!$A$2:$A$33,0),2),1,0)</f>
        <v>0</v>
      </c>
      <c r="AN69" s="64" t="str">
        <f>INDEX(Table2[AWAY_RECORD], MATCH(Table1[[#This Row],[AwayTeam]],Table2[Team], 0), 0)</f>
        <v>0-0-1</v>
      </c>
      <c r="AO69" s="64" t="str">
        <f>INDEX(Records!$B$2:$AG$33, MATCH(Table1[[#This Row],[AwayTeam]],Records!$A$2:$A$33, 0), MATCH(Table1[[#This Row],[HomeTeam]],Records!$A$2:$A$33, 0))</f>
        <v>0-0-0</v>
      </c>
      <c r="AP69" s="64" t="str">
        <f>INDEX(Table2[HOME_RECORD], MATCH(Table1[[#This Row],[HomeTeam]],Table2[Team], 0), 0)</f>
        <v>1-0-0</v>
      </c>
      <c r="AQ69" s="64" t="str">
        <f>INDEX(Records!$B$2:$AG$33, MATCH(Table1[[#This Row],[HomeTeam]],Records!$A$2:$A$33, 0), MATCH(Table1[[#This Row],[AwayTeam]],Records!$A$2:$A$33, 0))</f>
        <v>0-0-0</v>
      </c>
    </row>
    <row r="70" spans="1:43" x14ac:dyDescent="0.25">
      <c r="A70" s="1"/>
      <c r="D70" t="s">
        <v>243</v>
      </c>
      <c r="E70" t="s">
        <v>162</v>
      </c>
      <c r="F70" t="s">
        <v>247</v>
      </c>
      <c r="G70" t="s">
        <v>36</v>
      </c>
      <c r="H70" t="s">
        <v>60</v>
      </c>
      <c r="L7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0" s="1"/>
      <c r="T70" s="64" t="str">
        <f>IF(Table1[[#This Row],[ActualWinner]]="", "", IF(Table1[[#This Row],[AwayTeam]]=Table1[[#This Row],[ActualWinner]],Table1[[#This Row],[HomeTeam]],Table1[[#This Row],[AwayTeam]]))</f>
        <v/>
      </c>
      <c r="U70" s="64">
        <f>Table1[[#This Row],[ActualAwayScore]]-Table1[[#This Row],[PredictedAwayScore]]</f>
        <v>0</v>
      </c>
      <c r="V70" s="64">
        <f>Table1[[#This Row],[ActualHomeScore]]-Table1[[#This Row],[PredictedHomeScore]]</f>
        <v>0</v>
      </c>
      <c r="W70" s="64">
        <f>(0.8*IF(Table1[[#This Row],[CorrectWinnerPrediction]]=1, 1, 0))+(0.1*IF(Table1[[#This Row],[CorrectAwayScorePrediction]]=1, 1, 0))+(0.1*IF(Table1[[#This Row],[CorrectHomeScorePrediction]]=1, 1, 0))</f>
        <v>0</v>
      </c>
      <c r="X7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0" s="64">
        <f>SUMIF(Table1[GameDate], Table1[[#This Row],[GameDate]], Table1[AwayGameGoalDiff])</f>
        <v>0</v>
      </c>
      <c r="AA70" s="64">
        <f>SUMIF(Table1[GameDate], Table1[[#This Row],[GameDate]], Table1[HomeGameGoalDiff])</f>
        <v>0</v>
      </c>
      <c r="AB70" s="64">
        <f>IF(ISBLANK(Table1[[#This Row],[ActualResult]]), 0, 1)</f>
        <v>0</v>
      </c>
      <c r="AC70" s="64">
        <f>IF(ISBLANK(Table1[[#This Row],[ActualResult]]), 0, IF(Table1[[#This Row],[ActualWinner]]=Table1[[#This Row],[PredictedWinner]], 1, 0))</f>
        <v>0</v>
      </c>
      <c r="AD7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0" s="64">
        <f>IF(AND(Table1[[#This Row],[GameIsOver]]=1,Table1[[#This Row],[ActualAwayScore]]=0), 1,0)</f>
        <v>0</v>
      </c>
      <c r="AG70" s="64">
        <f>IF(AND(Table1[[#This Row],[GameIsOver]]=1,Table1[[#This Row],[ActualHomeScore]]=0), 1,0)</f>
        <v>0</v>
      </c>
      <c r="AH70" s="64">
        <f>IF(Table1[[#This Row],[GameIsOver]]=0,0,IF(Table1[[#This Row],[ActualWinner]]=Table1[[#This Row],[AwayTeam]], 1, 0))</f>
        <v>0</v>
      </c>
      <c r="AI70" s="64">
        <f>IF(Table1[[#This Row],[GameIsOver]]=0,0,IF(Table1[[#This Row],[ActualWinner]]=Table1[[#This Row],[HomeTeam]], 1, 0))</f>
        <v>0</v>
      </c>
      <c r="AJ70" s="64">
        <f>IF(INDEX(Standings!$A$2:$C$33,MATCH(Table1[[#This Row],[AwayTeam]],Standings!$A$2:$A$33,0),2)=INDEX(Standings!$A$2:$C$33,MATCH(Table1[[#This Row],[HomeTeam]],Standings!$A$2:$A$33,0),2),1,0)</f>
        <v>1</v>
      </c>
      <c r="AK70" s="64">
        <f>IF(INDEX(Standings!$A$2:$C$33,MATCH(Table1[[#This Row],[AwayTeam]],Standings!$A$2:$A$33,0),3)=INDEX(Standings!$A$2:$C$33,MATCH(Table1[[#This Row],[HomeTeam]],Standings!$A$2:$A$33,0),3),1,0)</f>
        <v>0</v>
      </c>
      <c r="AL70" s="64">
        <f>IF(Table1[[#This Row],[InterConf]]=1,IF(Table1[[#This Row],[InterDiv]]=0, 1, 0), 0)</f>
        <v>1</v>
      </c>
      <c r="AM70" s="64">
        <f>IF(INDEX(Standings!$A$2:$C$33,MATCH(Table1[[#This Row],[AwayTeam]],Standings!$A$2:$A$33,0),2)&lt;&gt;INDEX(Standings!$A$2:$C$33,MATCH(Table1[[#This Row],[HomeTeam]],Standings!$A$2:$A$33,0),2),1,0)</f>
        <v>0</v>
      </c>
      <c r="AN70" s="64" t="str">
        <f>INDEX(Table2[AWAY_RECORD], MATCH(Table1[[#This Row],[AwayTeam]],Table2[Team], 0), 0)</f>
        <v>0-0-0</v>
      </c>
      <c r="AO70" s="64" t="str">
        <f>INDEX(Records!$B$2:$AG$33, MATCH(Table1[[#This Row],[AwayTeam]],Records!$A$2:$A$33, 0), MATCH(Table1[[#This Row],[HomeTeam]],Records!$A$2:$A$33, 0))</f>
        <v>0-0-0</v>
      </c>
      <c r="AP70" s="64" t="str">
        <f>INDEX(Table2[HOME_RECORD], MATCH(Table1[[#This Row],[HomeTeam]],Table2[Team], 0), 0)</f>
        <v>1-0-0</v>
      </c>
      <c r="AQ70" s="64" t="str">
        <f>INDEX(Records!$B$2:$AG$33, MATCH(Table1[[#This Row],[HomeTeam]],Records!$A$2:$A$33, 0), MATCH(Table1[[#This Row],[AwayTeam]],Records!$A$2:$A$33, 0))</f>
        <v>0-0-0</v>
      </c>
    </row>
    <row r="71" spans="1:43" x14ac:dyDescent="0.25">
      <c r="A71" s="1"/>
      <c r="D71" t="s">
        <v>248</v>
      </c>
      <c r="E71" t="s">
        <v>205</v>
      </c>
      <c r="F71" t="s">
        <v>249</v>
      </c>
      <c r="G71" t="s">
        <v>53</v>
      </c>
      <c r="H71" t="s">
        <v>37</v>
      </c>
      <c r="L7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1" s="1"/>
      <c r="T71" s="64" t="str">
        <f>IF(Table1[[#This Row],[ActualWinner]]="", "", IF(Table1[[#This Row],[AwayTeam]]=Table1[[#This Row],[ActualWinner]],Table1[[#This Row],[HomeTeam]],Table1[[#This Row],[AwayTeam]]))</f>
        <v/>
      </c>
      <c r="U71" s="64">
        <f>Table1[[#This Row],[ActualAwayScore]]-Table1[[#This Row],[PredictedAwayScore]]</f>
        <v>0</v>
      </c>
      <c r="V71" s="64">
        <f>Table1[[#This Row],[ActualHomeScore]]-Table1[[#This Row],[PredictedHomeScore]]</f>
        <v>0</v>
      </c>
      <c r="W71" s="64">
        <f>(0.8*IF(Table1[[#This Row],[CorrectWinnerPrediction]]=1, 1, 0))+(0.1*IF(Table1[[#This Row],[CorrectAwayScorePrediction]]=1, 1, 0))+(0.1*IF(Table1[[#This Row],[CorrectHomeScorePrediction]]=1, 1, 0))</f>
        <v>0</v>
      </c>
      <c r="X7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1" s="64">
        <f>SUMIF(Table1[GameDate], Table1[[#This Row],[GameDate]], Table1[AwayGameGoalDiff])</f>
        <v>0</v>
      </c>
      <c r="AA71" s="64">
        <f>SUMIF(Table1[GameDate], Table1[[#This Row],[GameDate]], Table1[HomeGameGoalDiff])</f>
        <v>0</v>
      </c>
      <c r="AB71" s="64">
        <f>IF(ISBLANK(Table1[[#This Row],[ActualResult]]), 0, 1)</f>
        <v>0</v>
      </c>
      <c r="AC71" s="64">
        <f>IF(ISBLANK(Table1[[#This Row],[ActualResult]]), 0, IF(Table1[[#This Row],[ActualWinner]]=Table1[[#This Row],[PredictedWinner]], 1, 0))</f>
        <v>0</v>
      </c>
      <c r="AD7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1" s="64">
        <f>IF(AND(Table1[[#This Row],[GameIsOver]]=1,Table1[[#This Row],[ActualAwayScore]]=0), 1,0)</f>
        <v>0</v>
      </c>
      <c r="AG71" s="64">
        <f>IF(AND(Table1[[#This Row],[GameIsOver]]=1,Table1[[#This Row],[ActualHomeScore]]=0), 1,0)</f>
        <v>0</v>
      </c>
      <c r="AH71" s="64">
        <f>IF(Table1[[#This Row],[GameIsOver]]=0,0,IF(Table1[[#This Row],[ActualWinner]]=Table1[[#This Row],[AwayTeam]], 1, 0))</f>
        <v>0</v>
      </c>
      <c r="AI71" s="64">
        <f>IF(Table1[[#This Row],[GameIsOver]]=0,0,IF(Table1[[#This Row],[ActualWinner]]=Table1[[#This Row],[HomeTeam]], 1, 0))</f>
        <v>0</v>
      </c>
      <c r="AJ71" s="64">
        <f>IF(INDEX(Standings!$A$2:$C$33,MATCH(Table1[[#This Row],[AwayTeam]],Standings!$A$2:$A$33,0),2)=INDEX(Standings!$A$2:$C$33,MATCH(Table1[[#This Row],[HomeTeam]],Standings!$A$2:$A$33,0),2),1,0)</f>
        <v>1</v>
      </c>
      <c r="AK71" s="64">
        <f>IF(INDEX(Standings!$A$2:$C$33,MATCH(Table1[[#This Row],[AwayTeam]],Standings!$A$2:$A$33,0),3)=INDEX(Standings!$A$2:$C$33,MATCH(Table1[[#This Row],[HomeTeam]],Standings!$A$2:$A$33,0),3),1,0)</f>
        <v>0</v>
      </c>
      <c r="AL71" s="64">
        <f>IF(Table1[[#This Row],[InterConf]]=1,IF(Table1[[#This Row],[InterDiv]]=0, 1, 0), 0)</f>
        <v>1</v>
      </c>
      <c r="AM71" s="64">
        <f>IF(INDEX(Standings!$A$2:$C$33,MATCH(Table1[[#This Row],[AwayTeam]],Standings!$A$2:$A$33,0),2)&lt;&gt;INDEX(Standings!$A$2:$C$33,MATCH(Table1[[#This Row],[HomeTeam]],Standings!$A$2:$A$33,0),2),1,0)</f>
        <v>0</v>
      </c>
      <c r="AN71" s="64" t="str">
        <f>INDEX(Table2[AWAY_RECORD], MATCH(Table1[[#This Row],[AwayTeam]],Table2[Team], 0), 0)</f>
        <v>0-1-0</v>
      </c>
      <c r="AO71" s="64" t="str">
        <f>INDEX(Records!$B$2:$AG$33, MATCH(Table1[[#This Row],[AwayTeam]],Records!$A$2:$A$33, 0), MATCH(Table1[[#This Row],[HomeTeam]],Records!$A$2:$A$33, 0))</f>
        <v>0-0-0</v>
      </c>
      <c r="AP71" s="64" t="str">
        <f>INDEX(Table2[HOME_RECORD], MATCH(Table1[[#This Row],[HomeTeam]],Table2[Team], 0), 0)</f>
        <v>0-1-0</v>
      </c>
      <c r="AQ71" s="64" t="str">
        <f>INDEX(Records!$B$2:$AG$33, MATCH(Table1[[#This Row],[HomeTeam]],Records!$A$2:$A$33, 0), MATCH(Table1[[#This Row],[AwayTeam]],Records!$A$2:$A$33, 0))</f>
        <v>0-0-0</v>
      </c>
    </row>
    <row r="72" spans="1:43" x14ac:dyDescent="0.25">
      <c r="A72" s="1"/>
      <c r="D72" t="s">
        <v>248</v>
      </c>
      <c r="E72" t="s">
        <v>250</v>
      </c>
      <c r="F72" t="s">
        <v>251</v>
      </c>
      <c r="G72" t="s">
        <v>23</v>
      </c>
      <c r="H72" t="s">
        <v>49</v>
      </c>
      <c r="L7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2" s="1"/>
      <c r="T72" s="64" t="str">
        <f>IF(Table1[[#This Row],[ActualWinner]]="", "", IF(Table1[[#This Row],[AwayTeam]]=Table1[[#This Row],[ActualWinner]],Table1[[#This Row],[HomeTeam]],Table1[[#This Row],[AwayTeam]]))</f>
        <v/>
      </c>
      <c r="U72" s="64">
        <f>Table1[[#This Row],[ActualAwayScore]]-Table1[[#This Row],[PredictedAwayScore]]</f>
        <v>0</v>
      </c>
      <c r="V72" s="64">
        <f>Table1[[#This Row],[ActualHomeScore]]-Table1[[#This Row],[PredictedHomeScore]]</f>
        <v>0</v>
      </c>
      <c r="W72" s="64">
        <f>(0.8*IF(Table1[[#This Row],[CorrectWinnerPrediction]]=1, 1, 0))+(0.1*IF(Table1[[#This Row],[CorrectAwayScorePrediction]]=1, 1, 0))+(0.1*IF(Table1[[#This Row],[CorrectHomeScorePrediction]]=1, 1, 0))</f>
        <v>0</v>
      </c>
      <c r="X7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2" s="64">
        <f>SUMIF(Table1[GameDate], Table1[[#This Row],[GameDate]], Table1[AwayGameGoalDiff])</f>
        <v>0</v>
      </c>
      <c r="AA72" s="64">
        <f>SUMIF(Table1[GameDate], Table1[[#This Row],[GameDate]], Table1[HomeGameGoalDiff])</f>
        <v>0</v>
      </c>
      <c r="AB72" s="64">
        <f>IF(ISBLANK(Table1[[#This Row],[ActualResult]]), 0, 1)</f>
        <v>0</v>
      </c>
      <c r="AC72" s="64">
        <f>IF(ISBLANK(Table1[[#This Row],[ActualResult]]), 0, IF(Table1[[#This Row],[ActualWinner]]=Table1[[#This Row],[PredictedWinner]], 1, 0))</f>
        <v>0</v>
      </c>
      <c r="AD7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2" s="64">
        <f>IF(AND(Table1[[#This Row],[GameIsOver]]=1,Table1[[#This Row],[ActualAwayScore]]=0), 1,0)</f>
        <v>0</v>
      </c>
      <c r="AG72" s="64">
        <f>IF(AND(Table1[[#This Row],[GameIsOver]]=1,Table1[[#This Row],[ActualHomeScore]]=0), 1,0)</f>
        <v>0</v>
      </c>
      <c r="AH72" s="64">
        <f>IF(Table1[[#This Row],[GameIsOver]]=0,0,IF(Table1[[#This Row],[ActualWinner]]=Table1[[#This Row],[AwayTeam]], 1, 0))</f>
        <v>0</v>
      </c>
      <c r="AI72" s="64">
        <f>IF(Table1[[#This Row],[GameIsOver]]=0,0,IF(Table1[[#This Row],[ActualWinner]]=Table1[[#This Row],[HomeTeam]], 1, 0))</f>
        <v>0</v>
      </c>
      <c r="AJ72" s="64">
        <f>IF(INDEX(Standings!$A$2:$C$33,MATCH(Table1[[#This Row],[AwayTeam]],Standings!$A$2:$A$33,0),2)=INDEX(Standings!$A$2:$C$33,MATCH(Table1[[#This Row],[HomeTeam]],Standings!$A$2:$A$33,0),2),1,0)</f>
        <v>0</v>
      </c>
      <c r="AK72" s="64">
        <f>IF(INDEX(Standings!$A$2:$C$33,MATCH(Table1[[#This Row],[AwayTeam]],Standings!$A$2:$A$33,0),3)=INDEX(Standings!$A$2:$C$33,MATCH(Table1[[#This Row],[HomeTeam]],Standings!$A$2:$A$33,0),3),1,0)</f>
        <v>0</v>
      </c>
      <c r="AL72" s="64">
        <f>IF(Table1[[#This Row],[InterConf]]=1,IF(Table1[[#This Row],[InterDiv]]=0, 1, 0), 0)</f>
        <v>0</v>
      </c>
      <c r="AM72" s="64">
        <f>IF(INDEX(Standings!$A$2:$C$33,MATCH(Table1[[#This Row],[AwayTeam]],Standings!$A$2:$A$33,0),2)&lt;&gt;INDEX(Standings!$A$2:$C$33,MATCH(Table1[[#This Row],[HomeTeam]],Standings!$A$2:$A$33,0),2),1,0)</f>
        <v>1</v>
      </c>
      <c r="AN72" s="64" t="str">
        <f>INDEX(Table2[AWAY_RECORD], MATCH(Table1[[#This Row],[AwayTeam]],Table2[Team], 0), 0)</f>
        <v>0-0-1</v>
      </c>
      <c r="AO72" s="64" t="str">
        <f>INDEX(Records!$B$2:$AG$33, MATCH(Table1[[#This Row],[AwayTeam]],Records!$A$2:$A$33, 0), MATCH(Table1[[#This Row],[HomeTeam]],Records!$A$2:$A$33, 0))</f>
        <v>0-0-0</v>
      </c>
      <c r="AP72" s="64" t="str">
        <f>INDEX(Table2[HOME_RECORD], MATCH(Table1[[#This Row],[HomeTeam]],Table2[Team], 0), 0)</f>
        <v>1-0-0</v>
      </c>
      <c r="AQ72" s="64" t="str">
        <f>INDEX(Records!$B$2:$AG$33, MATCH(Table1[[#This Row],[HomeTeam]],Records!$A$2:$A$33, 0), MATCH(Table1[[#This Row],[AwayTeam]],Records!$A$2:$A$33, 0))</f>
        <v>0-0-0</v>
      </c>
    </row>
    <row r="73" spans="1:43" x14ac:dyDescent="0.25">
      <c r="A73" s="1"/>
      <c r="D73" t="s">
        <v>248</v>
      </c>
      <c r="E73" t="s">
        <v>252</v>
      </c>
      <c r="F73" t="s">
        <v>253</v>
      </c>
      <c r="G73" t="s">
        <v>45</v>
      </c>
      <c r="H73" t="s">
        <v>55</v>
      </c>
      <c r="L7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3" s="1"/>
      <c r="T73" s="64" t="str">
        <f>IF(Table1[[#This Row],[ActualWinner]]="", "", IF(Table1[[#This Row],[AwayTeam]]=Table1[[#This Row],[ActualWinner]],Table1[[#This Row],[HomeTeam]],Table1[[#This Row],[AwayTeam]]))</f>
        <v/>
      </c>
      <c r="U73" s="64">
        <f>Table1[[#This Row],[ActualAwayScore]]-Table1[[#This Row],[PredictedAwayScore]]</f>
        <v>0</v>
      </c>
      <c r="V73" s="64">
        <f>Table1[[#This Row],[ActualHomeScore]]-Table1[[#This Row],[PredictedHomeScore]]</f>
        <v>0</v>
      </c>
      <c r="W73" s="64">
        <f>(0.8*IF(Table1[[#This Row],[CorrectWinnerPrediction]]=1, 1, 0))+(0.1*IF(Table1[[#This Row],[CorrectAwayScorePrediction]]=1, 1, 0))+(0.1*IF(Table1[[#This Row],[CorrectHomeScorePrediction]]=1, 1, 0))</f>
        <v>0</v>
      </c>
      <c r="X7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3" s="64">
        <f>SUMIF(Table1[GameDate], Table1[[#This Row],[GameDate]], Table1[AwayGameGoalDiff])</f>
        <v>0</v>
      </c>
      <c r="AA73" s="64">
        <f>SUMIF(Table1[GameDate], Table1[[#This Row],[GameDate]], Table1[HomeGameGoalDiff])</f>
        <v>0</v>
      </c>
      <c r="AB73" s="64">
        <f>IF(ISBLANK(Table1[[#This Row],[ActualResult]]), 0, 1)</f>
        <v>0</v>
      </c>
      <c r="AC73" s="64">
        <f>IF(ISBLANK(Table1[[#This Row],[ActualResult]]), 0, IF(Table1[[#This Row],[ActualWinner]]=Table1[[#This Row],[PredictedWinner]], 1, 0))</f>
        <v>0</v>
      </c>
      <c r="AD7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3" s="64">
        <f>IF(AND(Table1[[#This Row],[GameIsOver]]=1,Table1[[#This Row],[ActualAwayScore]]=0), 1,0)</f>
        <v>0</v>
      </c>
      <c r="AG73" s="64">
        <f>IF(AND(Table1[[#This Row],[GameIsOver]]=1,Table1[[#This Row],[ActualHomeScore]]=0), 1,0)</f>
        <v>0</v>
      </c>
      <c r="AH73" s="64">
        <f>IF(Table1[[#This Row],[GameIsOver]]=0,0,IF(Table1[[#This Row],[ActualWinner]]=Table1[[#This Row],[AwayTeam]], 1, 0))</f>
        <v>0</v>
      </c>
      <c r="AI73" s="64">
        <f>IF(Table1[[#This Row],[GameIsOver]]=0,0,IF(Table1[[#This Row],[ActualWinner]]=Table1[[#This Row],[HomeTeam]], 1, 0))</f>
        <v>0</v>
      </c>
      <c r="AJ73" s="64">
        <f>IF(INDEX(Standings!$A$2:$C$33,MATCH(Table1[[#This Row],[AwayTeam]],Standings!$A$2:$A$33,0),2)=INDEX(Standings!$A$2:$C$33,MATCH(Table1[[#This Row],[HomeTeam]],Standings!$A$2:$A$33,0),2),1,0)</f>
        <v>1</v>
      </c>
      <c r="AK73" s="64">
        <f>IF(INDEX(Standings!$A$2:$C$33,MATCH(Table1[[#This Row],[AwayTeam]],Standings!$A$2:$A$33,0),3)=INDEX(Standings!$A$2:$C$33,MATCH(Table1[[#This Row],[HomeTeam]],Standings!$A$2:$A$33,0),3),1,0)</f>
        <v>1</v>
      </c>
      <c r="AL73" s="64">
        <f>IF(Table1[[#This Row],[InterConf]]=1,IF(Table1[[#This Row],[InterDiv]]=0, 1, 0), 0)</f>
        <v>0</v>
      </c>
      <c r="AM73" s="64">
        <f>IF(INDEX(Standings!$A$2:$C$33,MATCH(Table1[[#This Row],[AwayTeam]],Standings!$A$2:$A$33,0),2)&lt;&gt;INDEX(Standings!$A$2:$C$33,MATCH(Table1[[#This Row],[HomeTeam]],Standings!$A$2:$A$33,0),2),1,0)</f>
        <v>0</v>
      </c>
      <c r="AN73" s="64" t="str">
        <f>INDEX(Table2[AWAY_RECORD], MATCH(Table1[[#This Row],[AwayTeam]],Table2[Team], 0), 0)</f>
        <v>1-0-0</v>
      </c>
      <c r="AO73" s="64" t="str">
        <f>INDEX(Records!$B$2:$AG$33, MATCH(Table1[[#This Row],[AwayTeam]],Records!$A$2:$A$33, 0), MATCH(Table1[[#This Row],[HomeTeam]],Records!$A$2:$A$33, 0))</f>
        <v>0-0-0</v>
      </c>
      <c r="AP73" s="64" t="str">
        <f>INDEX(Table2[HOME_RECORD], MATCH(Table1[[#This Row],[HomeTeam]],Table2[Team], 0), 0)</f>
        <v>0-1-0</v>
      </c>
      <c r="AQ73" s="64" t="str">
        <f>INDEX(Records!$B$2:$AG$33, MATCH(Table1[[#This Row],[HomeTeam]],Records!$A$2:$A$33, 0), MATCH(Table1[[#This Row],[AwayTeam]],Records!$A$2:$A$33, 0))</f>
        <v>0-0-0</v>
      </c>
    </row>
    <row r="74" spans="1:43" x14ac:dyDescent="0.25">
      <c r="A74" s="1"/>
      <c r="D74" t="s">
        <v>248</v>
      </c>
      <c r="E74" t="s">
        <v>207</v>
      </c>
      <c r="F74" t="s">
        <v>254</v>
      </c>
      <c r="G74" t="s">
        <v>22</v>
      </c>
      <c r="H74" t="s">
        <v>17</v>
      </c>
      <c r="L7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4" s="1"/>
      <c r="T74" s="64" t="str">
        <f>IF(Table1[[#This Row],[ActualWinner]]="", "", IF(Table1[[#This Row],[AwayTeam]]=Table1[[#This Row],[ActualWinner]],Table1[[#This Row],[HomeTeam]],Table1[[#This Row],[AwayTeam]]))</f>
        <v/>
      </c>
      <c r="U74" s="64">
        <f>Table1[[#This Row],[ActualAwayScore]]-Table1[[#This Row],[PredictedAwayScore]]</f>
        <v>0</v>
      </c>
      <c r="V74" s="64">
        <f>Table1[[#This Row],[ActualHomeScore]]-Table1[[#This Row],[PredictedHomeScore]]</f>
        <v>0</v>
      </c>
      <c r="W74" s="64">
        <f>(0.8*IF(Table1[[#This Row],[CorrectWinnerPrediction]]=1, 1, 0))+(0.1*IF(Table1[[#This Row],[CorrectAwayScorePrediction]]=1, 1, 0))+(0.1*IF(Table1[[#This Row],[CorrectHomeScorePrediction]]=1, 1, 0))</f>
        <v>0</v>
      </c>
      <c r="X7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4" s="64">
        <f>SUMIF(Table1[GameDate], Table1[[#This Row],[GameDate]], Table1[AwayGameGoalDiff])</f>
        <v>0</v>
      </c>
      <c r="AA74" s="64">
        <f>SUMIF(Table1[GameDate], Table1[[#This Row],[GameDate]], Table1[HomeGameGoalDiff])</f>
        <v>0</v>
      </c>
      <c r="AB74" s="64">
        <f>IF(ISBLANK(Table1[[#This Row],[ActualResult]]), 0, 1)</f>
        <v>0</v>
      </c>
      <c r="AC74" s="64">
        <f>IF(ISBLANK(Table1[[#This Row],[ActualResult]]), 0, IF(Table1[[#This Row],[ActualWinner]]=Table1[[#This Row],[PredictedWinner]], 1, 0))</f>
        <v>0</v>
      </c>
      <c r="AD7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4" s="64">
        <f>IF(AND(Table1[[#This Row],[GameIsOver]]=1,Table1[[#This Row],[ActualAwayScore]]=0), 1,0)</f>
        <v>0</v>
      </c>
      <c r="AG74" s="64">
        <f>IF(AND(Table1[[#This Row],[GameIsOver]]=1,Table1[[#This Row],[ActualHomeScore]]=0), 1,0)</f>
        <v>0</v>
      </c>
      <c r="AH74" s="64">
        <f>IF(Table1[[#This Row],[GameIsOver]]=0,0,IF(Table1[[#This Row],[ActualWinner]]=Table1[[#This Row],[AwayTeam]], 1, 0))</f>
        <v>0</v>
      </c>
      <c r="AI74" s="64">
        <f>IF(Table1[[#This Row],[GameIsOver]]=0,0,IF(Table1[[#This Row],[ActualWinner]]=Table1[[#This Row],[HomeTeam]], 1, 0))</f>
        <v>0</v>
      </c>
      <c r="AJ74" s="64">
        <f>IF(INDEX(Standings!$A$2:$C$33,MATCH(Table1[[#This Row],[AwayTeam]],Standings!$A$2:$A$33,0),2)=INDEX(Standings!$A$2:$C$33,MATCH(Table1[[#This Row],[HomeTeam]],Standings!$A$2:$A$33,0),2),1,0)</f>
        <v>0</v>
      </c>
      <c r="AK74" s="64">
        <f>IF(INDEX(Standings!$A$2:$C$33,MATCH(Table1[[#This Row],[AwayTeam]],Standings!$A$2:$A$33,0),3)=INDEX(Standings!$A$2:$C$33,MATCH(Table1[[#This Row],[HomeTeam]],Standings!$A$2:$A$33,0),3),1,0)</f>
        <v>0</v>
      </c>
      <c r="AL74" s="64">
        <f>IF(Table1[[#This Row],[InterConf]]=1,IF(Table1[[#This Row],[InterDiv]]=0, 1, 0), 0)</f>
        <v>0</v>
      </c>
      <c r="AM74" s="64">
        <f>IF(INDEX(Standings!$A$2:$C$33,MATCH(Table1[[#This Row],[AwayTeam]],Standings!$A$2:$A$33,0),2)&lt;&gt;INDEX(Standings!$A$2:$C$33,MATCH(Table1[[#This Row],[HomeTeam]],Standings!$A$2:$A$33,0),2),1,0)</f>
        <v>1</v>
      </c>
      <c r="AN74" s="64" t="str">
        <f>INDEX(Table2[AWAY_RECORD], MATCH(Table1[[#This Row],[AwayTeam]],Table2[Team], 0), 0)</f>
        <v>0-0-1</v>
      </c>
      <c r="AO74" s="64" t="str">
        <f>INDEX(Records!$B$2:$AG$33, MATCH(Table1[[#This Row],[AwayTeam]],Records!$A$2:$A$33, 0), MATCH(Table1[[#This Row],[HomeTeam]],Records!$A$2:$A$33, 0))</f>
        <v>0-0-0</v>
      </c>
      <c r="AP74" s="64" t="str">
        <f>INDEX(Table2[HOME_RECORD], MATCH(Table1[[#This Row],[HomeTeam]],Table2[Team], 0), 0)</f>
        <v>0-0-0</v>
      </c>
      <c r="AQ74" s="64" t="str">
        <f>INDEX(Records!$B$2:$AG$33, MATCH(Table1[[#This Row],[HomeTeam]],Records!$A$2:$A$33, 0), MATCH(Table1[[#This Row],[AwayTeam]],Records!$A$2:$A$33, 0))</f>
        <v>0-0-0</v>
      </c>
    </row>
    <row r="75" spans="1:43" x14ac:dyDescent="0.25">
      <c r="A75" s="1"/>
      <c r="D75" t="s">
        <v>248</v>
      </c>
      <c r="E75" t="s">
        <v>160</v>
      </c>
      <c r="F75" t="s">
        <v>255</v>
      </c>
      <c r="G75" t="s">
        <v>58</v>
      </c>
      <c r="H75" t="s">
        <v>38</v>
      </c>
      <c r="L7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5" s="1"/>
      <c r="T75" s="64" t="str">
        <f>IF(Table1[[#This Row],[ActualWinner]]="", "", IF(Table1[[#This Row],[AwayTeam]]=Table1[[#This Row],[ActualWinner]],Table1[[#This Row],[HomeTeam]],Table1[[#This Row],[AwayTeam]]))</f>
        <v/>
      </c>
      <c r="U75" s="64">
        <f>Table1[[#This Row],[ActualAwayScore]]-Table1[[#This Row],[PredictedAwayScore]]</f>
        <v>0</v>
      </c>
      <c r="V75" s="64">
        <f>Table1[[#This Row],[ActualHomeScore]]-Table1[[#This Row],[PredictedHomeScore]]</f>
        <v>0</v>
      </c>
      <c r="W75" s="64">
        <f>(0.8*IF(Table1[[#This Row],[CorrectWinnerPrediction]]=1, 1, 0))+(0.1*IF(Table1[[#This Row],[CorrectAwayScorePrediction]]=1, 1, 0))+(0.1*IF(Table1[[#This Row],[CorrectHomeScorePrediction]]=1, 1, 0))</f>
        <v>0</v>
      </c>
      <c r="X7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5" s="64">
        <f>SUMIF(Table1[GameDate], Table1[[#This Row],[GameDate]], Table1[AwayGameGoalDiff])</f>
        <v>0</v>
      </c>
      <c r="AA75" s="64">
        <f>SUMIF(Table1[GameDate], Table1[[#This Row],[GameDate]], Table1[HomeGameGoalDiff])</f>
        <v>0</v>
      </c>
      <c r="AB75" s="64">
        <f>IF(ISBLANK(Table1[[#This Row],[ActualResult]]), 0, 1)</f>
        <v>0</v>
      </c>
      <c r="AC75" s="64">
        <f>IF(ISBLANK(Table1[[#This Row],[ActualResult]]), 0, IF(Table1[[#This Row],[ActualWinner]]=Table1[[#This Row],[PredictedWinner]], 1, 0))</f>
        <v>0</v>
      </c>
      <c r="AD7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5" s="64">
        <f>IF(AND(Table1[[#This Row],[GameIsOver]]=1,Table1[[#This Row],[ActualAwayScore]]=0), 1,0)</f>
        <v>0</v>
      </c>
      <c r="AG75" s="64">
        <f>IF(AND(Table1[[#This Row],[GameIsOver]]=1,Table1[[#This Row],[ActualHomeScore]]=0), 1,0)</f>
        <v>0</v>
      </c>
      <c r="AH75" s="64">
        <f>IF(Table1[[#This Row],[GameIsOver]]=0,0,IF(Table1[[#This Row],[ActualWinner]]=Table1[[#This Row],[AwayTeam]], 1, 0))</f>
        <v>0</v>
      </c>
      <c r="AI75" s="64">
        <f>IF(Table1[[#This Row],[GameIsOver]]=0,0,IF(Table1[[#This Row],[ActualWinner]]=Table1[[#This Row],[HomeTeam]], 1, 0))</f>
        <v>0</v>
      </c>
      <c r="AJ75" s="64">
        <f>IF(INDEX(Standings!$A$2:$C$33,MATCH(Table1[[#This Row],[AwayTeam]],Standings!$A$2:$A$33,0),2)=INDEX(Standings!$A$2:$C$33,MATCH(Table1[[#This Row],[HomeTeam]],Standings!$A$2:$A$33,0),2),1,0)</f>
        <v>0</v>
      </c>
      <c r="AK75" s="64">
        <f>IF(INDEX(Standings!$A$2:$C$33,MATCH(Table1[[#This Row],[AwayTeam]],Standings!$A$2:$A$33,0),3)=INDEX(Standings!$A$2:$C$33,MATCH(Table1[[#This Row],[HomeTeam]],Standings!$A$2:$A$33,0),3),1,0)</f>
        <v>0</v>
      </c>
      <c r="AL75" s="64">
        <f>IF(Table1[[#This Row],[InterConf]]=1,IF(Table1[[#This Row],[InterDiv]]=0, 1, 0), 0)</f>
        <v>0</v>
      </c>
      <c r="AM75" s="64">
        <f>IF(INDEX(Standings!$A$2:$C$33,MATCH(Table1[[#This Row],[AwayTeam]],Standings!$A$2:$A$33,0),2)&lt;&gt;INDEX(Standings!$A$2:$C$33,MATCH(Table1[[#This Row],[HomeTeam]],Standings!$A$2:$A$33,0),2),1,0)</f>
        <v>1</v>
      </c>
      <c r="AN75" s="64" t="str">
        <f>INDEX(Table2[AWAY_RECORD], MATCH(Table1[[#This Row],[AwayTeam]],Table2[Team], 0), 0)</f>
        <v>0-0-0</v>
      </c>
      <c r="AO75" s="64" t="str">
        <f>INDEX(Records!$B$2:$AG$33, MATCH(Table1[[#This Row],[AwayTeam]],Records!$A$2:$A$33, 0), MATCH(Table1[[#This Row],[HomeTeam]],Records!$A$2:$A$33, 0))</f>
        <v>0-0-0</v>
      </c>
      <c r="AP75" s="64" t="str">
        <f>INDEX(Table2[HOME_RECORD], MATCH(Table1[[#This Row],[HomeTeam]],Table2[Team], 0), 0)</f>
        <v>0-0-0</v>
      </c>
      <c r="AQ75" s="64" t="str">
        <f>INDEX(Records!$B$2:$AG$33, MATCH(Table1[[#This Row],[HomeTeam]],Records!$A$2:$A$33, 0), MATCH(Table1[[#This Row],[AwayTeam]],Records!$A$2:$A$33, 0))</f>
        <v>0-0-0</v>
      </c>
    </row>
    <row r="76" spans="1:43" x14ac:dyDescent="0.25">
      <c r="A76" s="1"/>
      <c r="D76" t="s">
        <v>248</v>
      </c>
      <c r="E76" t="s">
        <v>160</v>
      </c>
      <c r="F76" t="s">
        <v>256</v>
      </c>
      <c r="G76" t="s">
        <v>44</v>
      </c>
      <c r="H76" t="s">
        <v>47</v>
      </c>
      <c r="L7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6" s="1"/>
      <c r="T76" s="64" t="str">
        <f>IF(Table1[[#This Row],[ActualWinner]]="", "", IF(Table1[[#This Row],[AwayTeam]]=Table1[[#This Row],[ActualWinner]],Table1[[#This Row],[HomeTeam]],Table1[[#This Row],[AwayTeam]]))</f>
        <v/>
      </c>
      <c r="U76" s="64">
        <f>Table1[[#This Row],[ActualAwayScore]]-Table1[[#This Row],[PredictedAwayScore]]</f>
        <v>0</v>
      </c>
      <c r="V76" s="64">
        <f>Table1[[#This Row],[ActualHomeScore]]-Table1[[#This Row],[PredictedHomeScore]]</f>
        <v>0</v>
      </c>
      <c r="W76" s="64">
        <f>(0.8*IF(Table1[[#This Row],[CorrectWinnerPrediction]]=1, 1, 0))+(0.1*IF(Table1[[#This Row],[CorrectAwayScorePrediction]]=1, 1, 0))+(0.1*IF(Table1[[#This Row],[CorrectHomeScorePrediction]]=1, 1, 0))</f>
        <v>0</v>
      </c>
      <c r="X7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6" s="64">
        <f>SUMIF(Table1[GameDate], Table1[[#This Row],[GameDate]], Table1[AwayGameGoalDiff])</f>
        <v>0</v>
      </c>
      <c r="AA76" s="64">
        <f>SUMIF(Table1[GameDate], Table1[[#This Row],[GameDate]], Table1[HomeGameGoalDiff])</f>
        <v>0</v>
      </c>
      <c r="AB76" s="64">
        <f>IF(ISBLANK(Table1[[#This Row],[ActualResult]]), 0, 1)</f>
        <v>0</v>
      </c>
      <c r="AC76" s="64">
        <f>IF(ISBLANK(Table1[[#This Row],[ActualResult]]), 0, IF(Table1[[#This Row],[ActualWinner]]=Table1[[#This Row],[PredictedWinner]], 1, 0))</f>
        <v>0</v>
      </c>
      <c r="AD7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6" s="64">
        <f>IF(AND(Table1[[#This Row],[GameIsOver]]=1,Table1[[#This Row],[ActualAwayScore]]=0), 1,0)</f>
        <v>0</v>
      </c>
      <c r="AG76" s="64">
        <f>IF(AND(Table1[[#This Row],[GameIsOver]]=1,Table1[[#This Row],[ActualHomeScore]]=0), 1,0)</f>
        <v>0</v>
      </c>
      <c r="AH76" s="64">
        <f>IF(Table1[[#This Row],[GameIsOver]]=0,0,IF(Table1[[#This Row],[ActualWinner]]=Table1[[#This Row],[AwayTeam]], 1, 0))</f>
        <v>0</v>
      </c>
      <c r="AI76" s="64">
        <f>IF(Table1[[#This Row],[GameIsOver]]=0,0,IF(Table1[[#This Row],[ActualWinner]]=Table1[[#This Row],[HomeTeam]], 1, 0))</f>
        <v>0</v>
      </c>
      <c r="AJ76" s="64">
        <f>IF(INDEX(Standings!$A$2:$C$33,MATCH(Table1[[#This Row],[AwayTeam]],Standings!$A$2:$A$33,0),2)=INDEX(Standings!$A$2:$C$33,MATCH(Table1[[#This Row],[HomeTeam]],Standings!$A$2:$A$33,0),2),1,0)</f>
        <v>1</v>
      </c>
      <c r="AK76" s="64">
        <f>IF(INDEX(Standings!$A$2:$C$33,MATCH(Table1[[#This Row],[AwayTeam]],Standings!$A$2:$A$33,0),3)=INDEX(Standings!$A$2:$C$33,MATCH(Table1[[#This Row],[HomeTeam]],Standings!$A$2:$A$33,0),3),1,0)</f>
        <v>1</v>
      </c>
      <c r="AL76" s="64">
        <f>IF(Table1[[#This Row],[InterConf]]=1,IF(Table1[[#This Row],[InterDiv]]=0, 1, 0), 0)</f>
        <v>0</v>
      </c>
      <c r="AM76" s="64">
        <f>IF(INDEX(Standings!$A$2:$C$33,MATCH(Table1[[#This Row],[AwayTeam]],Standings!$A$2:$A$33,0),2)&lt;&gt;INDEX(Standings!$A$2:$C$33,MATCH(Table1[[#This Row],[HomeTeam]],Standings!$A$2:$A$33,0),2),1,0)</f>
        <v>0</v>
      </c>
      <c r="AN76" s="64" t="str">
        <f>INDEX(Table2[AWAY_RECORD], MATCH(Table1[[#This Row],[AwayTeam]],Table2[Team], 0), 0)</f>
        <v>0-0-0</v>
      </c>
      <c r="AO76" s="64" t="str">
        <f>INDEX(Records!$B$2:$AG$33, MATCH(Table1[[#This Row],[AwayTeam]],Records!$A$2:$A$33, 0), MATCH(Table1[[#This Row],[HomeTeam]],Records!$A$2:$A$33, 0))</f>
        <v>0-0-0</v>
      </c>
      <c r="AP76" s="64" t="str">
        <f>INDEX(Table2[HOME_RECORD], MATCH(Table1[[#This Row],[HomeTeam]],Table2[Team], 0), 0)</f>
        <v>0-0-0</v>
      </c>
      <c r="AQ76" s="64" t="str">
        <f>INDEX(Records!$B$2:$AG$33, MATCH(Table1[[#This Row],[HomeTeam]],Records!$A$2:$A$33, 0), MATCH(Table1[[#This Row],[AwayTeam]],Records!$A$2:$A$33, 0))</f>
        <v>0-0-0</v>
      </c>
    </row>
    <row r="77" spans="1:43" x14ac:dyDescent="0.25">
      <c r="A77" s="1"/>
      <c r="D77" t="s">
        <v>248</v>
      </c>
      <c r="E77" t="s">
        <v>160</v>
      </c>
      <c r="F77" t="s">
        <v>257</v>
      </c>
      <c r="G77" t="s">
        <v>48</v>
      </c>
      <c r="H77" t="s">
        <v>52</v>
      </c>
      <c r="L7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7" s="1"/>
      <c r="T77" s="64" t="str">
        <f>IF(Table1[[#This Row],[ActualWinner]]="", "", IF(Table1[[#This Row],[AwayTeam]]=Table1[[#This Row],[ActualWinner]],Table1[[#This Row],[HomeTeam]],Table1[[#This Row],[AwayTeam]]))</f>
        <v/>
      </c>
      <c r="U77" s="64">
        <f>Table1[[#This Row],[ActualAwayScore]]-Table1[[#This Row],[PredictedAwayScore]]</f>
        <v>0</v>
      </c>
      <c r="V77" s="64">
        <f>Table1[[#This Row],[ActualHomeScore]]-Table1[[#This Row],[PredictedHomeScore]]</f>
        <v>0</v>
      </c>
      <c r="W77" s="64">
        <f>(0.8*IF(Table1[[#This Row],[CorrectWinnerPrediction]]=1, 1, 0))+(0.1*IF(Table1[[#This Row],[CorrectAwayScorePrediction]]=1, 1, 0))+(0.1*IF(Table1[[#This Row],[CorrectHomeScorePrediction]]=1, 1, 0))</f>
        <v>0</v>
      </c>
      <c r="X7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7" s="64">
        <f>SUMIF(Table1[GameDate], Table1[[#This Row],[GameDate]], Table1[AwayGameGoalDiff])</f>
        <v>0</v>
      </c>
      <c r="AA77" s="64">
        <f>SUMIF(Table1[GameDate], Table1[[#This Row],[GameDate]], Table1[HomeGameGoalDiff])</f>
        <v>0</v>
      </c>
      <c r="AB77" s="64">
        <f>IF(ISBLANK(Table1[[#This Row],[ActualResult]]), 0, 1)</f>
        <v>0</v>
      </c>
      <c r="AC77" s="64">
        <f>IF(ISBLANK(Table1[[#This Row],[ActualResult]]), 0, IF(Table1[[#This Row],[ActualWinner]]=Table1[[#This Row],[PredictedWinner]], 1, 0))</f>
        <v>0</v>
      </c>
      <c r="AD7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7" s="64">
        <f>IF(AND(Table1[[#This Row],[GameIsOver]]=1,Table1[[#This Row],[ActualAwayScore]]=0), 1,0)</f>
        <v>0</v>
      </c>
      <c r="AG77" s="64">
        <f>IF(AND(Table1[[#This Row],[GameIsOver]]=1,Table1[[#This Row],[ActualHomeScore]]=0), 1,0)</f>
        <v>0</v>
      </c>
      <c r="AH77" s="64">
        <f>IF(Table1[[#This Row],[GameIsOver]]=0,0,IF(Table1[[#This Row],[ActualWinner]]=Table1[[#This Row],[AwayTeam]], 1, 0))</f>
        <v>0</v>
      </c>
      <c r="AI77" s="64">
        <f>IF(Table1[[#This Row],[GameIsOver]]=0,0,IF(Table1[[#This Row],[ActualWinner]]=Table1[[#This Row],[HomeTeam]], 1, 0))</f>
        <v>0</v>
      </c>
      <c r="AJ77" s="64">
        <f>IF(INDEX(Standings!$A$2:$C$33,MATCH(Table1[[#This Row],[AwayTeam]],Standings!$A$2:$A$33,0),2)=INDEX(Standings!$A$2:$C$33,MATCH(Table1[[#This Row],[HomeTeam]],Standings!$A$2:$A$33,0),2),1,0)</f>
        <v>0</v>
      </c>
      <c r="AK77" s="64">
        <f>IF(INDEX(Standings!$A$2:$C$33,MATCH(Table1[[#This Row],[AwayTeam]],Standings!$A$2:$A$33,0),3)=INDEX(Standings!$A$2:$C$33,MATCH(Table1[[#This Row],[HomeTeam]],Standings!$A$2:$A$33,0),3),1,0)</f>
        <v>0</v>
      </c>
      <c r="AL77" s="64">
        <f>IF(Table1[[#This Row],[InterConf]]=1,IF(Table1[[#This Row],[InterDiv]]=0, 1, 0), 0)</f>
        <v>0</v>
      </c>
      <c r="AM77" s="64">
        <f>IF(INDEX(Standings!$A$2:$C$33,MATCH(Table1[[#This Row],[AwayTeam]],Standings!$A$2:$A$33,0),2)&lt;&gt;INDEX(Standings!$A$2:$C$33,MATCH(Table1[[#This Row],[HomeTeam]],Standings!$A$2:$A$33,0),2),1,0)</f>
        <v>1</v>
      </c>
      <c r="AN77" s="64" t="str">
        <f>INDEX(Table2[AWAY_RECORD], MATCH(Table1[[#This Row],[AwayTeam]],Table2[Team], 0), 0)</f>
        <v>0-0-0</v>
      </c>
      <c r="AO77" s="64" t="str">
        <f>INDEX(Records!$B$2:$AG$33, MATCH(Table1[[#This Row],[AwayTeam]],Records!$A$2:$A$33, 0), MATCH(Table1[[#This Row],[HomeTeam]],Records!$A$2:$A$33, 0))</f>
        <v>0-0-0</v>
      </c>
      <c r="AP77" s="64" t="str">
        <f>INDEX(Table2[HOME_RECORD], MATCH(Table1[[#This Row],[HomeTeam]],Table2[Team], 0), 0)</f>
        <v>0-0-0</v>
      </c>
      <c r="AQ77" s="64" t="str">
        <f>INDEX(Records!$B$2:$AG$33, MATCH(Table1[[#This Row],[HomeTeam]],Records!$A$2:$A$33, 0), MATCH(Table1[[#This Row],[AwayTeam]],Records!$A$2:$A$33, 0))</f>
        <v>0-0-0</v>
      </c>
    </row>
    <row r="78" spans="1:43" x14ac:dyDescent="0.25">
      <c r="A78" s="1"/>
      <c r="D78" t="s">
        <v>248</v>
      </c>
      <c r="E78" t="s">
        <v>160</v>
      </c>
      <c r="F78" t="s">
        <v>258</v>
      </c>
      <c r="G78" t="s">
        <v>43</v>
      </c>
      <c r="H78" t="s">
        <v>54</v>
      </c>
      <c r="L7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8" s="1"/>
      <c r="T78" s="64" t="str">
        <f>IF(Table1[[#This Row],[ActualWinner]]="", "", IF(Table1[[#This Row],[AwayTeam]]=Table1[[#This Row],[ActualWinner]],Table1[[#This Row],[HomeTeam]],Table1[[#This Row],[AwayTeam]]))</f>
        <v/>
      </c>
      <c r="U78" s="64">
        <f>Table1[[#This Row],[ActualAwayScore]]-Table1[[#This Row],[PredictedAwayScore]]</f>
        <v>0</v>
      </c>
      <c r="V78" s="64">
        <f>Table1[[#This Row],[ActualHomeScore]]-Table1[[#This Row],[PredictedHomeScore]]</f>
        <v>0</v>
      </c>
      <c r="W78" s="64">
        <f>(0.8*IF(Table1[[#This Row],[CorrectWinnerPrediction]]=1, 1, 0))+(0.1*IF(Table1[[#This Row],[CorrectAwayScorePrediction]]=1, 1, 0))+(0.1*IF(Table1[[#This Row],[CorrectHomeScorePrediction]]=1, 1, 0))</f>
        <v>0</v>
      </c>
      <c r="X7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8" s="64">
        <f>SUMIF(Table1[GameDate], Table1[[#This Row],[GameDate]], Table1[AwayGameGoalDiff])</f>
        <v>0</v>
      </c>
      <c r="AA78" s="64">
        <f>SUMIF(Table1[GameDate], Table1[[#This Row],[GameDate]], Table1[HomeGameGoalDiff])</f>
        <v>0</v>
      </c>
      <c r="AB78" s="64">
        <f>IF(ISBLANK(Table1[[#This Row],[ActualResult]]), 0, 1)</f>
        <v>0</v>
      </c>
      <c r="AC78" s="64">
        <f>IF(ISBLANK(Table1[[#This Row],[ActualResult]]), 0, IF(Table1[[#This Row],[ActualWinner]]=Table1[[#This Row],[PredictedWinner]], 1, 0))</f>
        <v>0</v>
      </c>
      <c r="AD7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8" s="64">
        <f>IF(AND(Table1[[#This Row],[GameIsOver]]=1,Table1[[#This Row],[ActualAwayScore]]=0), 1,0)</f>
        <v>0</v>
      </c>
      <c r="AG78" s="64">
        <f>IF(AND(Table1[[#This Row],[GameIsOver]]=1,Table1[[#This Row],[ActualHomeScore]]=0), 1,0)</f>
        <v>0</v>
      </c>
      <c r="AH78" s="64">
        <f>IF(Table1[[#This Row],[GameIsOver]]=0,0,IF(Table1[[#This Row],[ActualWinner]]=Table1[[#This Row],[AwayTeam]], 1, 0))</f>
        <v>0</v>
      </c>
      <c r="AI78" s="64">
        <f>IF(Table1[[#This Row],[GameIsOver]]=0,0,IF(Table1[[#This Row],[ActualWinner]]=Table1[[#This Row],[HomeTeam]], 1, 0))</f>
        <v>0</v>
      </c>
      <c r="AJ78" s="64">
        <f>IF(INDEX(Standings!$A$2:$C$33,MATCH(Table1[[#This Row],[AwayTeam]],Standings!$A$2:$A$33,0),2)=INDEX(Standings!$A$2:$C$33,MATCH(Table1[[#This Row],[HomeTeam]],Standings!$A$2:$A$33,0),2),1,0)</f>
        <v>0</v>
      </c>
      <c r="AK78" s="64">
        <f>IF(INDEX(Standings!$A$2:$C$33,MATCH(Table1[[#This Row],[AwayTeam]],Standings!$A$2:$A$33,0),3)=INDEX(Standings!$A$2:$C$33,MATCH(Table1[[#This Row],[HomeTeam]],Standings!$A$2:$A$33,0),3),1,0)</f>
        <v>0</v>
      </c>
      <c r="AL78" s="64">
        <f>IF(Table1[[#This Row],[InterConf]]=1,IF(Table1[[#This Row],[InterDiv]]=0, 1, 0), 0)</f>
        <v>0</v>
      </c>
      <c r="AM78" s="64">
        <f>IF(INDEX(Standings!$A$2:$C$33,MATCH(Table1[[#This Row],[AwayTeam]],Standings!$A$2:$A$33,0),2)&lt;&gt;INDEX(Standings!$A$2:$C$33,MATCH(Table1[[#This Row],[HomeTeam]],Standings!$A$2:$A$33,0),2),1,0)</f>
        <v>1</v>
      </c>
      <c r="AN78" s="64" t="str">
        <f>INDEX(Table2[AWAY_RECORD], MATCH(Table1[[#This Row],[AwayTeam]],Table2[Team], 0), 0)</f>
        <v>0-0-0</v>
      </c>
      <c r="AO78" s="64" t="str">
        <f>INDEX(Records!$B$2:$AG$33, MATCH(Table1[[#This Row],[AwayTeam]],Records!$A$2:$A$33, 0), MATCH(Table1[[#This Row],[HomeTeam]],Records!$A$2:$A$33, 0))</f>
        <v>0-0-0</v>
      </c>
      <c r="AP78" s="64" t="str">
        <f>INDEX(Table2[HOME_RECORD], MATCH(Table1[[#This Row],[HomeTeam]],Table2[Team], 0), 0)</f>
        <v>0-0-0</v>
      </c>
      <c r="AQ78" s="64" t="str">
        <f>INDEX(Records!$B$2:$AG$33, MATCH(Table1[[#This Row],[HomeTeam]],Records!$A$2:$A$33, 0), MATCH(Table1[[#This Row],[AwayTeam]],Records!$A$2:$A$33, 0))</f>
        <v>0-0-0</v>
      </c>
    </row>
    <row r="79" spans="1:43" x14ac:dyDescent="0.25">
      <c r="A79" s="1"/>
      <c r="D79" t="s">
        <v>248</v>
      </c>
      <c r="E79" t="s">
        <v>160</v>
      </c>
      <c r="F79" t="s">
        <v>259</v>
      </c>
      <c r="G79" t="s">
        <v>40</v>
      </c>
      <c r="H79" t="s">
        <v>16</v>
      </c>
      <c r="L7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9" s="1"/>
      <c r="T79" s="64" t="str">
        <f>IF(Table1[[#This Row],[ActualWinner]]="", "", IF(Table1[[#This Row],[AwayTeam]]=Table1[[#This Row],[ActualWinner]],Table1[[#This Row],[HomeTeam]],Table1[[#This Row],[AwayTeam]]))</f>
        <v/>
      </c>
      <c r="U79" s="64">
        <f>Table1[[#This Row],[ActualAwayScore]]-Table1[[#This Row],[PredictedAwayScore]]</f>
        <v>0</v>
      </c>
      <c r="V79" s="64">
        <f>Table1[[#This Row],[ActualHomeScore]]-Table1[[#This Row],[PredictedHomeScore]]</f>
        <v>0</v>
      </c>
      <c r="W79" s="64">
        <f>(0.8*IF(Table1[[#This Row],[CorrectWinnerPrediction]]=1, 1, 0))+(0.1*IF(Table1[[#This Row],[CorrectAwayScorePrediction]]=1, 1, 0))+(0.1*IF(Table1[[#This Row],[CorrectHomeScorePrediction]]=1, 1, 0))</f>
        <v>0</v>
      </c>
      <c r="X7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9" s="64">
        <f>SUMIF(Table1[GameDate], Table1[[#This Row],[GameDate]], Table1[AwayGameGoalDiff])</f>
        <v>0</v>
      </c>
      <c r="AA79" s="64">
        <f>SUMIF(Table1[GameDate], Table1[[#This Row],[GameDate]], Table1[HomeGameGoalDiff])</f>
        <v>0</v>
      </c>
      <c r="AB79" s="64">
        <f>IF(ISBLANK(Table1[[#This Row],[ActualResult]]), 0, 1)</f>
        <v>0</v>
      </c>
      <c r="AC79" s="64">
        <f>IF(ISBLANK(Table1[[#This Row],[ActualResult]]), 0, IF(Table1[[#This Row],[ActualWinner]]=Table1[[#This Row],[PredictedWinner]], 1, 0))</f>
        <v>0</v>
      </c>
      <c r="AD7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9" s="64">
        <f>IF(AND(Table1[[#This Row],[GameIsOver]]=1,Table1[[#This Row],[ActualAwayScore]]=0), 1,0)</f>
        <v>0</v>
      </c>
      <c r="AG79" s="64">
        <f>IF(AND(Table1[[#This Row],[GameIsOver]]=1,Table1[[#This Row],[ActualHomeScore]]=0), 1,0)</f>
        <v>0</v>
      </c>
      <c r="AH79" s="64">
        <f>IF(Table1[[#This Row],[GameIsOver]]=0,0,IF(Table1[[#This Row],[ActualWinner]]=Table1[[#This Row],[AwayTeam]], 1, 0))</f>
        <v>0</v>
      </c>
      <c r="AI79" s="64">
        <f>IF(Table1[[#This Row],[GameIsOver]]=0,0,IF(Table1[[#This Row],[ActualWinner]]=Table1[[#This Row],[HomeTeam]], 1, 0))</f>
        <v>0</v>
      </c>
      <c r="AJ79" s="64">
        <f>IF(INDEX(Standings!$A$2:$C$33,MATCH(Table1[[#This Row],[AwayTeam]],Standings!$A$2:$A$33,0),2)=INDEX(Standings!$A$2:$C$33,MATCH(Table1[[#This Row],[HomeTeam]],Standings!$A$2:$A$33,0),2),1,0)</f>
        <v>0</v>
      </c>
      <c r="AK79" s="64">
        <f>IF(INDEX(Standings!$A$2:$C$33,MATCH(Table1[[#This Row],[AwayTeam]],Standings!$A$2:$A$33,0),3)=INDEX(Standings!$A$2:$C$33,MATCH(Table1[[#This Row],[HomeTeam]],Standings!$A$2:$A$33,0),3),1,0)</f>
        <v>0</v>
      </c>
      <c r="AL79" s="64">
        <f>IF(Table1[[#This Row],[InterConf]]=1,IF(Table1[[#This Row],[InterDiv]]=0, 1, 0), 0)</f>
        <v>0</v>
      </c>
      <c r="AM79" s="64">
        <f>IF(INDEX(Standings!$A$2:$C$33,MATCH(Table1[[#This Row],[AwayTeam]],Standings!$A$2:$A$33,0),2)&lt;&gt;INDEX(Standings!$A$2:$C$33,MATCH(Table1[[#This Row],[HomeTeam]],Standings!$A$2:$A$33,0),2),1,0)</f>
        <v>1</v>
      </c>
      <c r="AN79" s="64" t="str">
        <f>INDEX(Table2[AWAY_RECORD], MATCH(Table1[[#This Row],[AwayTeam]],Table2[Team], 0), 0)</f>
        <v>0-0-0</v>
      </c>
      <c r="AO79" s="64" t="str">
        <f>INDEX(Records!$B$2:$AG$33, MATCH(Table1[[#This Row],[AwayTeam]],Records!$A$2:$A$33, 0), MATCH(Table1[[#This Row],[HomeTeam]],Records!$A$2:$A$33, 0))</f>
        <v>0-0-0</v>
      </c>
      <c r="AP79" s="64" t="str">
        <f>INDEX(Table2[HOME_RECORD], MATCH(Table1[[#This Row],[HomeTeam]],Table2[Team], 0), 0)</f>
        <v>0-0-0</v>
      </c>
      <c r="AQ79" s="64" t="str">
        <f>INDEX(Records!$B$2:$AG$33, MATCH(Table1[[#This Row],[HomeTeam]],Records!$A$2:$A$33, 0), MATCH(Table1[[#This Row],[AwayTeam]],Records!$A$2:$A$33, 0))</f>
        <v>0-0-0</v>
      </c>
    </row>
    <row r="80" spans="1:43" x14ac:dyDescent="0.25">
      <c r="A80" s="1"/>
      <c r="D80" t="s">
        <v>248</v>
      </c>
      <c r="E80" t="s">
        <v>160</v>
      </c>
      <c r="F80" t="s">
        <v>260</v>
      </c>
      <c r="G80" t="s">
        <v>42</v>
      </c>
      <c r="H80" t="s">
        <v>61</v>
      </c>
      <c r="L8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0" s="1"/>
      <c r="T80" s="64" t="str">
        <f>IF(Table1[[#This Row],[ActualWinner]]="", "", IF(Table1[[#This Row],[AwayTeam]]=Table1[[#This Row],[ActualWinner]],Table1[[#This Row],[HomeTeam]],Table1[[#This Row],[AwayTeam]]))</f>
        <v/>
      </c>
      <c r="U80" s="64">
        <f>Table1[[#This Row],[ActualAwayScore]]-Table1[[#This Row],[PredictedAwayScore]]</f>
        <v>0</v>
      </c>
      <c r="V80" s="64">
        <f>Table1[[#This Row],[ActualHomeScore]]-Table1[[#This Row],[PredictedHomeScore]]</f>
        <v>0</v>
      </c>
      <c r="W80" s="64">
        <f>(0.8*IF(Table1[[#This Row],[CorrectWinnerPrediction]]=1, 1, 0))+(0.1*IF(Table1[[#This Row],[CorrectAwayScorePrediction]]=1, 1, 0))+(0.1*IF(Table1[[#This Row],[CorrectHomeScorePrediction]]=1, 1, 0))</f>
        <v>0</v>
      </c>
      <c r="X8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0" s="64">
        <f>SUMIF(Table1[GameDate], Table1[[#This Row],[GameDate]], Table1[AwayGameGoalDiff])</f>
        <v>0</v>
      </c>
      <c r="AA80" s="64">
        <f>SUMIF(Table1[GameDate], Table1[[#This Row],[GameDate]], Table1[HomeGameGoalDiff])</f>
        <v>0</v>
      </c>
      <c r="AB80" s="64">
        <f>IF(ISBLANK(Table1[[#This Row],[ActualResult]]), 0, 1)</f>
        <v>0</v>
      </c>
      <c r="AC80" s="64">
        <f>IF(ISBLANK(Table1[[#This Row],[ActualResult]]), 0, IF(Table1[[#This Row],[ActualWinner]]=Table1[[#This Row],[PredictedWinner]], 1, 0))</f>
        <v>0</v>
      </c>
      <c r="AD8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0" s="64">
        <f>IF(AND(Table1[[#This Row],[GameIsOver]]=1,Table1[[#This Row],[ActualAwayScore]]=0), 1,0)</f>
        <v>0</v>
      </c>
      <c r="AG80" s="64">
        <f>IF(AND(Table1[[#This Row],[GameIsOver]]=1,Table1[[#This Row],[ActualHomeScore]]=0), 1,0)</f>
        <v>0</v>
      </c>
      <c r="AH80" s="64">
        <f>IF(Table1[[#This Row],[GameIsOver]]=0,0,IF(Table1[[#This Row],[ActualWinner]]=Table1[[#This Row],[AwayTeam]], 1, 0))</f>
        <v>0</v>
      </c>
      <c r="AI80" s="64">
        <f>IF(Table1[[#This Row],[GameIsOver]]=0,0,IF(Table1[[#This Row],[ActualWinner]]=Table1[[#This Row],[HomeTeam]], 1, 0))</f>
        <v>0</v>
      </c>
      <c r="AJ80" s="64">
        <f>IF(INDEX(Standings!$A$2:$C$33,MATCH(Table1[[#This Row],[AwayTeam]],Standings!$A$2:$A$33,0),2)=INDEX(Standings!$A$2:$C$33,MATCH(Table1[[#This Row],[HomeTeam]],Standings!$A$2:$A$33,0),2),1,0)</f>
        <v>0</v>
      </c>
      <c r="AK80" s="64">
        <f>IF(INDEX(Standings!$A$2:$C$33,MATCH(Table1[[#This Row],[AwayTeam]],Standings!$A$2:$A$33,0),3)=INDEX(Standings!$A$2:$C$33,MATCH(Table1[[#This Row],[HomeTeam]],Standings!$A$2:$A$33,0),3),1,0)</f>
        <v>0</v>
      </c>
      <c r="AL80" s="64">
        <f>IF(Table1[[#This Row],[InterConf]]=1,IF(Table1[[#This Row],[InterDiv]]=0, 1, 0), 0)</f>
        <v>0</v>
      </c>
      <c r="AM80" s="64">
        <f>IF(INDEX(Standings!$A$2:$C$33,MATCH(Table1[[#This Row],[AwayTeam]],Standings!$A$2:$A$33,0),2)&lt;&gt;INDEX(Standings!$A$2:$C$33,MATCH(Table1[[#This Row],[HomeTeam]],Standings!$A$2:$A$33,0),2),1,0)</f>
        <v>1</v>
      </c>
      <c r="AN80" s="64" t="str">
        <f>INDEX(Table2[AWAY_RECORD], MATCH(Table1[[#This Row],[AwayTeam]],Table2[Team], 0), 0)</f>
        <v>0-0-0</v>
      </c>
      <c r="AO80" s="64" t="str">
        <f>INDEX(Records!$B$2:$AG$33, MATCH(Table1[[#This Row],[AwayTeam]],Records!$A$2:$A$33, 0), MATCH(Table1[[#This Row],[HomeTeam]],Records!$A$2:$A$33, 0))</f>
        <v>0-0-0</v>
      </c>
      <c r="AP80" s="64" t="str">
        <f>INDEX(Table2[HOME_RECORD], MATCH(Table1[[#This Row],[HomeTeam]],Table2[Team], 0), 0)</f>
        <v>0-0-0</v>
      </c>
      <c r="AQ80" s="64" t="str">
        <f>INDEX(Records!$B$2:$AG$33, MATCH(Table1[[#This Row],[HomeTeam]],Records!$A$2:$A$33, 0), MATCH(Table1[[#This Row],[AwayTeam]],Records!$A$2:$A$33, 0))</f>
        <v>0-0-0</v>
      </c>
    </row>
    <row r="81" spans="1:43" x14ac:dyDescent="0.25">
      <c r="A81" s="1"/>
      <c r="D81" t="s">
        <v>248</v>
      </c>
      <c r="E81" t="s">
        <v>160</v>
      </c>
      <c r="F81" t="s">
        <v>261</v>
      </c>
      <c r="G81" t="s">
        <v>24</v>
      </c>
      <c r="H81" t="s">
        <v>41</v>
      </c>
      <c r="L8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1" s="1"/>
      <c r="T81" s="64" t="str">
        <f>IF(Table1[[#This Row],[ActualWinner]]="", "", IF(Table1[[#This Row],[AwayTeam]]=Table1[[#This Row],[ActualWinner]],Table1[[#This Row],[HomeTeam]],Table1[[#This Row],[AwayTeam]]))</f>
        <v/>
      </c>
      <c r="U81" s="64">
        <f>Table1[[#This Row],[ActualAwayScore]]-Table1[[#This Row],[PredictedAwayScore]]</f>
        <v>0</v>
      </c>
      <c r="V81" s="64">
        <f>Table1[[#This Row],[ActualHomeScore]]-Table1[[#This Row],[PredictedHomeScore]]</f>
        <v>0</v>
      </c>
      <c r="W81" s="64">
        <f>(0.8*IF(Table1[[#This Row],[CorrectWinnerPrediction]]=1, 1, 0))+(0.1*IF(Table1[[#This Row],[CorrectAwayScorePrediction]]=1, 1, 0))+(0.1*IF(Table1[[#This Row],[CorrectHomeScorePrediction]]=1, 1, 0))</f>
        <v>0</v>
      </c>
      <c r="X8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1" s="64">
        <f>SUMIF(Table1[GameDate], Table1[[#This Row],[GameDate]], Table1[AwayGameGoalDiff])</f>
        <v>0</v>
      </c>
      <c r="AA81" s="64">
        <f>SUMIF(Table1[GameDate], Table1[[#This Row],[GameDate]], Table1[HomeGameGoalDiff])</f>
        <v>0</v>
      </c>
      <c r="AB81" s="64">
        <f>IF(ISBLANK(Table1[[#This Row],[ActualResult]]), 0, 1)</f>
        <v>0</v>
      </c>
      <c r="AC81" s="64">
        <f>IF(ISBLANK(Table1[[#This Row],[ActualResult]]), 0, IF(Table1[[#This Row],[ActualWinner]]=Table1[[#This Row],[PredictedWinner]], 1, 0))</f>
        <v>0</v>
      </c>
      <c r="AD8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1" s="64">
        <f>IF(AND(Table1[[#This Row],[GameIsOver]]=1,Table1[[#This Row],[ActualAwayScore]]=0), 1,0)</f>
        <v>0</v>
      </c>
      <c r="AG81" s="64">
        <f>IF(AND(Table1[[#This Row],[GameIsOver]]=1,Table1[[#This Row],[ActualHomeScore]]=0), 1,0)</f>
        <v>0</v>
      </c>
      <c r="AH81" s="64">
        <f>IF(Table1[[#This Row],[GameIsOver]]=0,0,IF(Table1[[#This Row],[ActualWinner]]=Table1[[#This Row],[AwayTeam]], 1, 0))</f>
        <v>0</v>
      </c>
      <c r="AI81" s="64">
        <f>IF(Table1[[#This Row],[GameIsOver]]=0,0,IF(Table1[[#This Row],[ActualWinner]]=Table1[[#This Row],[HomeTeam]], 1, 0))</f>
        <v>0</v>
      </c>
      <c r="AJ81" s="64">
        <f>IF(INDEX(Standings!$A$2:$C$33,MATCH(Table1[[#This Row],[AwayTeam]],Standings!$A$2:$A$33,0),2)=INDEX(Standings!$A$2:$C$33,MATCH(Table1[[#This Row],[HomeTeam]],Standings!$A$2:$A$33,0),2),1,0)</f>
        <v>0</v>
      </c>
      <c r="AK81" s="64">
        <f>IF(INDEX(Standings!$A$2:$C$33,MATCH(Table1[[#This Row],[AwayTeam]],Standings!$A$2:$A$33,0),3)=INDEX(Standings!$A$2:$C$33,MATCH(Table1[[#This Row],[HomeTeam]],Standings!$A$2:$A$33,0),3),1,0)</f>
        <v>0</v>
      </c>
      <c r="AL81" s="64">
        <f>IF(Table1[[#This Row],[InterConf]]=1,IF(Table1[[#This Row],[InterDiv]]=0, 1, 0), 0)</f>
        <v>0</v>
      </c>
      <c r="AM81" s="64">
        <f>IF(INDEX(Standings!$A$2:$C$33,MATCH(Table1[[#This Row],[AwayTeam]],Standings!$A$2:$A$33,0),2)&lt;&gt;INDEX(Standings!$A$2:$C$33,MATCH(Table1[[#This Row],[HomeTeam]],Standings!$A$2:$A$33,0),2),1,0)</f>
        <v>1</v>
      </c>
      <c r="AN81" s="64" t="str">
        <f>INDEX(Table2[AWAY_RECORD], MATCH(Table1[[#This Row],[AwayTeam]],Table2[Team], 0), 0)</f>
        <v>0-0-0</v>
      </c>
      <c r="AO81" s="64" t="str">
        <f>INDEX(Records!$B$2:$AG$33, MATCH(Table1[[#This Row],[AwayTeam]],Records!$A$2:$A$33, 0), MATCH(Table1[[#This Row],[HomeTeam]],Records!$A$2:$A$33, 0))</f>
        <v>0-0-0</v>
      </c>
      <c r="AP81" s="64" t="str">
        <f>INDEX(Table2[HOME_RECORD], MATCH(Table1[[#This Row],[HomeTeam]],Table2[Team], 0), 0)</f>
        <v>0-0-1</v>
      </c>
      <c r="AQ81" s="64" t="str">
        <f>INDEX(Records!$B$2:$AG$33, MATCH(Table1[[#This Row],[HomeTeam]],Records!$A$2:$A$33, 0), MATCH(Table1[[#This Row],[AwayTeam]],Records!$A$2:$A$33, 0))</f>
        <v>0-0-0</v>
      </c>
    </row>
    <row r="82" spans="1:43" x14ac:dyDescent="0.25">
      <c r="A82" s="1"/>
      <c r="D82" t="s">
        <v>248</v>
      </c>
      <c r="E82" t="s">
        <v>169</v>
      </c>
      <c r="F82" t="s">
        <v>262</v>
      </c>
      <c r="G82" t="s">
        <v>57</v>
      </c>
      <c r="H82" t="s">
        <v>50</v>
      </c>
      <c r="L8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2" s="1"/>
      <c r="T82" s="64" t="str">
        <f>IF(Table1[[#This Row],[ActualWinner]]="", "", IF(Table1[[#This Row],[AwayTeam]]=Table1[[#This Row],[ActualWinner]],Table1[[#This Row],[HomeTeam]],Table1[[#This Row],[AwayTeam]]))</f>
        <v/>
      </c>
      <c r="U82" s="64">
        <f>Table1[[#This Row],[ActualAwayScore]]-Table1[[#This Row],[PredictedAwayScore]]</f>
        <v>0</v>
      </c>
      <c r="V82" s="64">
        <f>Table1[[#This Row],[ActualHomeScore]]-Table1[[#This Row],[PredictedHomeScore]]</f>
        <v>0</v>
      </c>
      <c r="W82" s="64">
        <f>(0.8*IF(Table1[[#This Row],[CorrectWinnerPrediction]]=1, 1, 0))+(0.1*IF(Table1[[#This Row],[CorrectAwayScorePrediction]]=1, 1, 0))+(0.1*IF(Table1[[#This Row],[CorrectHomeScorePrediction]]=1, 1, 0))</f>
        <v>0</v>
      </c>
      <c r="X8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2" s="64">
        <f>SUMIF(Table1[GameDate], Table1[[#This Row],[GameDate]], Table1[AwayGameGoalDiff])</f>
        <v>0</v>
      </c>
      <c r="AA82" s="64">
        <f>SUMIF(Table1[GameDate], Table1[[#This Row],[GameDate]], Table1[HomeGameGoalDiff])</f>
        <v>0</v>
      </c>
      <c r="AB82" s="64">
        <f>IF(ISBLANK(Table1[[#This Row],[ActualResult]]), 0, 1)</f>
        <v>0</v>
      </c>
      <c r="AC82" s="64">
        <f>IF(ISBLANK(Table1[[#This Row],[ActualResult]]), 0, IF(Table1[[#This Row],[ActualWinner]]=Table1[[#This Row],[PredictedWinner]], 1, 0))</f>
        <v>0</v>
      </c>
      <c r="AD8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2" s="64">
        <f>IF(AND(Table1[[#This Row],[GameIsOver]]=1,Table1[[#This Row],[ActualAwayScore]]=0), 1,0)</f>
        <v>0</v>
      </c>
      <c r="AG82" s="64">
        <f>IF(AND(Table1[[#This Row],[GameIsOver]]=1,Table1[[#This Row],[ActualHomeScore]]=0), 1,0)</f>
        <v>0</v>
      </c>
      <c r="AH82" s="64">
        <f>IF(Table1[[#This Row],[GameIsOver]]=0,0,IF(Table1[[#This Row],[ActualWinner]]=Table1[[#This Row],[AwayTeam]], 1, 0))</f>
        <v>0</v>
      </c>
      <c r="AI82" s="64">
        <f>IF(Table1[[#This Row],[GameIsOver]]=0,0,IF(Table1[[#This Row],[ActualWinner]]=Table1[[#This Row],[HomeTeam]], 1, 0))</f>
        <v>0</v>
      </c>
      <c r="AJ82" s="64">
        <f>IF(INDEX(Standings!$A$2:$C$33,MATCH(Table1[[#This Row],[AwayTeam]],Standings!$A$2:$A$33,0),2)=INDEX(Standings!$A$2:$C$33,MATCH(Table1[[#This Row],[HomeTeam]],Standings!$A$2:$A$33,0),2),1,0)</f>
        <v>1</v>
      </c>
      <c r="AK82" s="64">
        <f>IF(INDEX(Standings!$A$2:$C$33,MATCH(Table1[[#This Row],[AwayTeam]],Standings!$A$2:$A$33,0),3)=INDEX(Standings!$A$2:$C$33,MATCH(Table1[[#This Row],[HomeTeam]],Standings!$A$2:$A$33,0),3),1,0)</f>
        <v>0</v>
      </c>
      <c r="AL82" s="64">
        <f>IF(Table1[[#This Row],[InterConf]]=1,IF(Table1[[#This Row],[InterDiv]]=0, 1, 0), 0)</f>
        <v>1</v>
      </c>
      <c r="AM82" s="64">
        <f>IF(INDEX(Standings!$A$2:$C$33,MATCH(Table1[[#This Row],[AwayTeam]],Standings!$A$2:$A$33,0),2)&lt;&gt;INDEX(Standings!$A$2:$C$33,MATCH(Table1[[#This Row],[HomeTeam]],Standings!$A$2:$A$33,0),2),1,0)</f>
        <v>0</v>
      </c>
      <c r="AN82" s="64" t="str">
        <f>INDEX(Table2[AWAY_RECORD], MATCH(Table1[[#This Row],[AwayTeam]],Table2[Team], 0), 0)</f>
        <v>0-1-0</v>
      </c>
      <c r="AO82" s="64" t="str">
        <f>INDEX(Records!$B$2:$AG$33, MATCH(Table1[[#This Row],[AwayTeam]],Records!$A$2:$A$33, 0), MATCH(Table1[[#This Row],[HomeTeam]],Records!$A$2:$A$33, 0))</f>
        <v>0-0-0</v>
      </c>
      <c r="AP82" s="64" t="str">
        <f>INDEX(Table2[HOME_RECORD], MATCH(Table1[[#This Row],[HomeTeam]],Table2[Team], 0), 0)</f>
        <v>0-0-0</v>
      </c>
      <c r="AQ82" s="64" t="str">
        <f>INDEX(Records!$B$2:$AG$33, MATCH(Table1[[#This Row],[HomeTeam]],Records!$A$2:$A$33, 0), MATCH(Table1[[#This Row],[AwayTeam]],Records!$A$2:$A$33, 0))</f>
        <v>0-0-0</v>
      </c>
    </row>
    <row r="83" spans="1:43" x14ac:dyDescent="0.25">
      <c r="A83" s="1"/>
      <c r="D83" t="s">
        <v>248</v>
      </c>
      <c r="E83" t="s">
        <v>164</v>
      </c>
      <c r="F83" t="s">
        <v>263</v>
      </c>
      <c r="G83" t="s">
        <v>36</v>
      </c>
      <c r="H83" t="s">
        <v>39</v>
      </c>
      <c r="L8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3" s="1"/>
      <c r="T83" s="64" t="str">
        <f>IF(Table1[[#This Row],[ActualWinner]]="", "", IF(Table1[[#This Row],[AwayTeam]]=Table1[[#This Row],[ActualWinner]],Table1[[#This Row],[HomeTeam]],Table1[[#This Row],[AwayTeam]]))</f>
        <v/>
      </c>
      <c r="U83" s="64">
        <f>Table1[[#This Row],[ActualAwayScore]]-Table1[[#This Row],[PredictedAwayScore]]</f>
        <v>0</v>
      </c>
      <c r="V83" s="64">
        <f>Table1[[#This Row],[ActualHomeScore]]-Table1[[#This Row],[PredictedHomeScore]]</f>
        <v>0</v>
      </c>
      <c r="W83" s="64">
        <f>(0.8*IF(Table1[[#This Row],[CorrectWinnerPrediction]]=1, 1, 0))+(0.1*IF(Table1[[#This Row],[CorrectAwayScorePrediction]]=1, 1, 0))+(0.1*IF(Table1[[#This Row],[CorrectHomeScorePrediction]]=1, 1, 0))</f>
        <v>0</v>
      </c>
      <c r="X8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3" s="64">
        <f>SUMIF(Table1[GameDate], Table1[[#This Row],[GameDate]], Table1[AwayGameGoalDiff])</f>
        <v>0</v>
      </c>
      <c r="AA83" s="64">
        <f>SUMIF(Table1[GameDate], Table1[[#This Row],[GameDate]], Table1[HomeGameGoalDiff])</f>
        <v>0</v>
      </c>
      <c r="AB83" s="64">
        <f>IF(ISBLANK(Table1[[#This Row],[ActualResult]]), 0, 1)</f>
        <v>0</v>
      </c>
      <c r="AC83" s="64">
        <f>IF(ISBLANK(Table1[[#This Row],[ActualResult]]), 0, IF(Table1[[#This Row],[ActualWinner]]=Table1[[#This Row],[PredictedWinner]], 1, 0))</f>
        <v>0</v>
      </c>
      <c r="AD8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3" s="64">
        <f>IF(AND(Table1[[#This Row],[GameIsOver]]=1,Table1[[#This Row],[ActualAwayScore]]=0), 1,0)</f>
        <v>0</v>
      </c>
      <c r="AG83" s="64">
        <f>IF(AND(Table1[[#This Row],[GameIsOver]]=1,Table1[[#This Row],[ActualHomeScore]]=0), 1,0)</f>
        <v>0</v>
      </c>
      <c r="AH83" s="64">
        <f>IF(Table1[[#This Row],[GameIsOver]]=0,0,IF(Table1[[#This Row],[ActualWinner]]=Table1[[#This Row],[AwayTeam]], 1, 0))</f>
        <v>0</v>
      </c>
      <c r="AI83" s="64">
        <f>IF(Table1[[#This Row],[GameIsOver]]=0,0,IF(Table1[[#This Row],[ActualWinner]]=Table1[[#This Row],[HomeTeam]], 1, 0))</f>
        <v>0</v>
      </c>
      <c r="AJ83" s="64">
        <f>IF(INDEX(Standings!$A$2:$C$33,MATCH(Table1[[#This Row],[AwayTeam]],Standings!$A$2:$A$33,0),2)=INDEX(Standings!$A$2:$C$33,MATCH(Table1[[#This Row],[HomeTeam]],Standings!$A$2:$A$33,0),2),1,0)</f>
        <v>1</v>
      </c>
      <c r="AK83" s="64">
        <f>IF(INDEX(Standings!$A$2:$C$33,MATCH(Table1[[#This Row],[AwayTeam]],Standings!$A$2:$A$33,0),3)=INDEX(Standings!$A$2:$C$33,MATCH(Table1[[#This Row],[HomeTeam]],Standings!$A$2:$A$33,0),3),1,0)</f>
        <v>1</v>
      </c>
      <c r="AL83" s="64">
        <f>IF(Table1[[#This Row],[InterConf]]=1,IF(Table1[[#This Row],[InterDiv]]=0, 1, 0), 0)</f>
        <v>0</v>
      </c>
      <c r="AM83" s="64">
        <f>IF(INDEX(Standings!$A$2:$C$33,MATCH(Table1[[#This Row],[AwayTeam]],Standings!$A$2:$A$33,0),2)&lt;&gt;INDEX(Standings!$A$2:$C$33,MATCH(Table1[[#This Row],[HomeTeam]],Standings!$A$2:$A$33,0),2),1,0)</f>
        <v>0</v>
      </c>
      <c r="AN83" s="64" t="str">
        <f>INDEX(Table2[AWAY_RECORD], MATCH(Table1[[#This Row],[AwayTeam]],Table2[Team], 0), 0)</f>
        <v>0-0-0</v>
      </c>
      <c r="AO83" s="64" t="str">
        <f>INDEX(Records!$B$2:$AG$33, MATCH(Table1[[#This Row],[AwayTeam]],Records!$A$2:$A$33, 0), MATCH(Table1[[#This Row],[HomeTeam]],Records!$A$2:$A$33, 0))</f>
        <v>0-0-0</v>
      </c>
      <c r="AP83" s="64" t="str">
        <f>INDEX(Table2[HOME_RECORD], MATCH(Table1[[#This Row],[HomeTeam]],Table2[Team], 0), 0)</f>
        <v>0-1-0</v>
      </c>
      <c r="AQ83" s="64" t="str">
        <f>INDEX(Records!$B$2:$AG$33, MATCH(Table1[[#This Row],[HomeTeam]],Records!$A$2:$A$33, 0), MATCH(Table1[[#This Row],[AwayTeam]],Records!$A$2:$A$33, 0))</f>
        <v>0-0-0</v>
      </c>
    </row>
    <row r="84" spans="1:43" x14ac:dyDescent="0.25">
      <c r="A84" s="1"/>
      <c r="D84" t="s">
        <v>248</v>
      </c>
      <c r="E84" t="s">
        <v>164</v>
      </c>
      <c r="F84" t="s">
        <v>264</v>
      </c>
      <c r="G84" t="s">
        <v>46</v>
      </c>
      <c r="H84" t="s">
        <v>25</v>
      </c>
      <c r="L8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4" s="1"/>
      <c r="T84" s="64" t="str">
        <f>IF(Table1[[#This Row],[ActualWinner]]="", "", IF(Table1[[#This Row],[AwayTeam]]=Table1[[#This Row],[ActualWinner]],Table1[[#This Row],[HomeTeam]],Table1[[#This Row],[AwayTeam]]))</f>
        <v/>
      </c>
      <c r="U84" s="64">
        <f>Table1[[#This Row],[ActualAwayScore]]-Table1[[#This Row],[PredictedAwayScore]]</f>
        <v>0</v>
      </c>
      <c r="V84" s="64">
        <f>Table1[[#This Row],[ActualHomeScore]]-Table1[[#This Row],[PredictedHomeScore]]</f>
        <v>0</v>
      </c>
      <c r="W84" s="64">
        <f>(0.8*IF(Table1[[#This Row],[CorrectWinnerPrediction]]=1, 1, 0))+(0.1*IF(Table1[[#This Row],[CorrectAwayScorePrediction]]=1, 1, 0))+(0.1*IF(Table1[[#This Row],[CorrectHomeScorePrediction]]=1, 1, 0))</f>
        <v>0</v>
      </c>
      <c r="X8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4" s="64">
        <f>SUMIF(Table1[GameDate], Table1[[#This Row],[GameDate]], Table1[AwayGameGoalDiff])</f>
        <v>0</v>
      </c>
      <c r="AA84" s="64">
        <f>SUMIF(Table1[GameDate], Table1[[#This Row],[GameDate]], Table1[HomeGameGoalDiff])</f>
        <v>0</v>
      </c>
      <c r="AB84" s="64">
        <f>IF(ISBLANK(Table1[[#This Row],[ActualResult]]), 0, 1)</f>
        <v>0</v>
      </c>
      <c r="AC84" s="64">
        <f>IF(ISBLANK(Table1[[#This Row],[ActualResult]]), 0, IF(Table1[[#This Row],[ActualWinner]]=Table1[[#This Row],[PredictedWinner]], 1, 0))</f>
        <v>0</v>
      </c>
      <c r="AD8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4" s="64">
        <f>IF(AND(Table1[[#This Row],[GameIsOver]]=1,Table1[[#This Row],[ActualAwayScore]]=0), 1,0)</f>
        <v>0</v>
      </c>
      <c r="AG84" s="64">
        <f>IF(AND(Table1[[#This Row],[GameIsOver]]=1,Table1[[#This Row],[ActualHomeScore]]=0), 1,0)</f>
        <v>0</v>
      </c>
      <c r="AH84" s="64">
        <f>IF(Table1[[#This Row],[GameIsOver]]=0,0,IF(Table1[[#This Row],[ActualWinner]]=Table1[[#This Row],[AwayTeam]], 1, 0))</f>
        <v>0</v>
      </c>
      <c r="AI84" s="64">
        <f>IF(Table1[[#This Row],[GameIsOver]]=0,0,IF(Table1[[#This Row],[ActualWinner]]=Table1[[#This Row],[HomeTeam]], 1, 0))</f>
        <v>0</v>
      </c>
      <c r="AJ84" s="64">
        <f>IF(INDEX(Standings!$A$2:$C$33,MATCH(Table1[[#This Row],[AwayTeam]],Standings!$A$2:$A$33,0),2)=INDEX(Standings!$A$2:$C$33,MATCH(Table1[[#This Row],[HomeTeam]],Standings!$A$2:$A$33,0),2),1,0)</f>
        <v>1</v>
      </c>
      <c r="AK84" s="64">
        <f>IF(INDEX(Standings!$A$2:$C$33,MATCH(Table1[[#This Row],[AwayTeam]],Standings!$A$2:$A$33,0),3)=INDEX(Standings!$A$2:$C$33,MATCH(Table1[[#This Row],[HomeTeam]],Standings!$A$2:$A$33,0),3),1,0)</f>
        <v>1</v>
      </c>
      <c r="AL84" s="64">
        <f>IF(Table1[[#This Row],[InterConf]]=1,IF(Table1[[#This Row],[InterDiv]]=0, 1, 0), 0)</f>
        <v>0</v>
      </c>
      <c r="AM84" s="64">
        <f>IF(INDEX(Standings!$A$2:$C$33,MATCH(Table1[[#This Row],[AwayTeam]],Standings!$A$2:$A$33,0),2)&lt;&gt;INDEX(Standings!$A$2:$C$33,MATCH(Table1[[#This Row],[HomeTeam]],Standings!$A$2:$A$33,0),2),1,0)</f>
        <v>0</v>
      </c>
      <c r="AN84" s="64" t="str">
        <f>INDEX(Table2[AWAY_RECORD], MATCH(Table1[[#This Row],[AwayTeam]],Table2[Team], 0), 0)</f>
        <v>1-0-0</v>
      </c>
      <c r="AO84" s="64" t="str">
        <f>INDEX(Records!$B$2:$AG$33, MATCH(Table1[[#This Row],[AwayTeam]],Records!$A$2:$A$33, 0), MATCH(Table1[[#This Row],[HomeTeam]],Records!$A$2:$A$33, 0))</f>
        <v>0-0-0</v>
      </c>
      <c r="AP84" s="64" t="str">
        <f>INDEX(Table2[HOME_RECORD], MATCH(Table1[[#This Row],[HomeTeam]],Table2[Team], 0), 0)</f>
        <v>0-0-1</v>
      </c>
      <c r="AQ84" s="64" t="str">
        <f>INDEX(Records!$B$2:$AG$33, MATCH(Table1[[#This Row],[HomeTeam]],Records!$A$2:$A$33, 0), MATCH(Table1[[#This Row],[AwayTeam]],Records!$A$2:$A$33, 0))</f>
        <v>0-0-0</v>
      </c>
    </row>
    <row r="85" spans="1:43" x14ac:dyDescent="0.25">
      <c r="A85" s="1"/>
      <c r="D85" t="s">
        <v>265</v>
      </c>
      <c r="E85" t="s">
        <v>158</v>
      </c>
      <c r="F85" t="s">
        <v>266</v>
      </c>
      <c r="G85" t="s">
        <v>56</v>
      </c>
      <c r="H85" t="s">
        <v>59</v>
      </c>
      <c r="L8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5" s="1"/>
      <c r="T85" s="64" t="str">
        <f>IF(Table1[[#This Row],[ActualWinner]]="", "", IF(Table1[[#This Row],[AwayTeam]]=Table1[[#This Row],[ActualWinner]],Table1[[#This Row],[HomeTeam]],Table1[[#This Row],[AwayTeam]]))</f>
        <v/>
      </c>
      <c r="U85" s="64">
        <f>Table1[[#This Row],[ActualAwayScore]]-Table1[[#This Row],[PredictedAwayScore]]</f>
        <v>0</v>
      </c>
      <c r="V85" s="64">
        <f>Table1[[#This Row],[ActualHomeScore]]-Table1[[#This Row],[PredictedHomeScore]]</f>
        <v>0</v>
      </c>
      <c r="W85" s="64">
        <f>(0.8*IF(Table1[[#This Row],[CorrectWinnerPrediction]]=1, 1, 0))+(0.1*IF(Table1[[#This Row],[CorrectAwayScorePrediction]]=1, 1, 0))+(0.1*IF(Table1[[#This Row],[CorrectHomeScorePrediction]]=1, 1, 0))</f>
        <v>0</v>
      </c>
      <c r="X8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5" s="64">
        <f>SUMIF(Table1[GameDate], Table1[[#This Row],[GameDate]], Table1[AwayGameGoalDiff])</f>
        <v>0</v>
      </c>
      <c r="AA85" s="64">
        <f>SUMIF(Table1[GameDate], Table1[[#This Row],[GameDate]], Table1[HomeGameGoalDiff])</f>
        <v>0</v>
      </c>
      <c r="AB85" s="64">
        <f>IF(ISBLANK(Table1[[#This Row],[ActualResult]]), 0, 1)</f>
        <v>0</v>
      </c>
      <c r="AC85" s="64">
        <f>IF(ISBLANK(Table1[[#This Row],[ActualResult]]), 0, IF(Table1[[#This Row],[ActualWinner]]=Table1[[#This Row],[PredictedWinner]], 1, 0))</f>
        <v>0</v>
      </c>
      <c r="AD8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5" s="64">
        <f>IF(AND(Table1[[#This Row],[GameIsOver]]=1,Table1[[#This Row],[ActualAwayScore]]=0), 1,0)</f>
        <v>0</v>
      </c>
      <c r="AG85" s="64">
        <f>IF(AND(Table1[[#This Row],[GameIsOver]]=1,Table1[[#This Row],[ActualHomeScore]]=0), 1,0)</f>
        <v>0</v>
      </c>
      <c r="AH85" s="64">
        <f>IF(Table1[[#This Row],[GameIsOver]]=0,0,IF(Table1[[#This Row],[ActualWinner]]=Table1[[#This Row],[AwayTeam]], 1, 0))</f>
        <v>0</v>
      </c>
      <c r="AI85" s="64">
        <f>IF(Table1[[#This Row],[GameIsOver]]=0,0,IF(Table1[[#This Row],[ActualWinner]]=Table1[[#This Row],[HomeTeam]], 1, 0))</f>
        <v>0</v>
      </c>
      <c r="AJ85" s="64">
        <f>IF(INDEX(Standings!$A$2:$C$33,MATCH(Table1[[#This Row],[AwayTeam]],Standings!$A$2:$A$33,0),2)=INDEX(Standings!$A$2:$C$33,MATCH(Table1[[#This Row],[HomeTeam]],Standings!$A$2:$A$33,0),2),1,0)</f>
        <v>0</v>
      </c>
      <c r="AK85" s="64">
        <f>IF(INDEX(Standings!$A$2:$C$33,MATCH(Table1[[#This Row],[AwayTeam]],Standings!$A$2:$A$33,0),3)=INDEX(Standings!$A$2:$C$33,MATCH(Table1[[#This Row],[HomeTeam]],Standings!$A$2:$A$33,0),3),1,0)</f>
        <v>0</v>
      </c>
      <c r="AL85" s="64">
        <f>IF(Table1[[#This Row],[InterConf]]=1,IF(Table1[[#This Row],[InterDiv]]=0, 1, 0), 0)</f>
        <v>0</v>
      </c>
      <c r="AM85" s="64">
        <f>IF(INDEX(Standings!$A$2:$C$33,MATCH(Table1[[#This Row],[AwayTeam]],Standings!$A$2:$A$33,0),2)&lt;&gt;INDEX(Standings!$A$2:$C$33,MATCH(Table1[[#This Row],[HomeTeam]],Standings!$A$2:$A$33,0),2),1,0)</f>
        <v>1</v>
      </c>
      <c r="AN85" s="64" t="str">
        <f>INDEX(Table2[AWAY_RECORD], MATCH(Table1[[#This Row],[AwayTeam]],Table2[Team], 0), 0)</f>
        <v>1-0-0</v>
      </c>
      <c r="AO85" s="64" t="str">
        <f>INDEX(Records!$B$2:$AG$33, MATCH(Table1[[#This Row],[AwayTeam]],Records!$A$2:$A$33, 0), MATCH(Table1[[#This Row],[HomeTeam]],Records!$A$2:$A$33, 0))</f>
        <v>0-0-0</v>
      </c>
      <c r="AP85" s="64" t="str">
        <f>INDEX(Table2[HOME_RECORD], MATCH(Table1[[#This Row],[HomeTeam]],Table2[Team], 0), 0)</f>
        <v>0-0-0</v>
      </c>
      <c r="AQ85" s="64" t="str">
        <f>INDEX(Records!$B$2:$AG$33, MATCH(Table1[[#This Row],[HomeTeam]],Records!$A$2:$A$33, 0), MATCH(Table1[[#This Row],[AwayTeam]],Records!$A$2:$A$33, 0))</f>
        <v>0-0-0</v>
      </c>
    </row>
    <row r="86" spans="1:43" x14ac:dyDescent="0.25">
      <c r="A86" s="1"/>
      <c r="D86" t="s">
        <v>265</v>
      </c>
      <c r="E86" t="s">
        <v>207</v>
      </c>
      <c r="F86" t="s">
        <v>267</v>
      </c>
      <c r="G86" t="s">
        <v>23</v>
      </c>
      <c r="H86" t="s">
        <v>51</v>
      </c>
      <c r="L8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6" s="1"/>
      <c r="T86" s="64" t="str">
        <f>IF(Table1[[#This Row],[ActualWinner]]="", "", IF(Table1[[#This Row],[AwayTeam]]=Table1[[#This Row],[ActualWinner]],Table1[[#This Row],[HomeTeam]],Table1[[#This Row],[AwayTeam]]))</f>
        <v/>
      </c>
      <c r="U86" s="64">
        <f>Table1[[#This Row],[ActualAwayScore]]-Table1[[#This Row],[PredictedAwayScore]]</f>
        <v>0</v>
      </c>
      <c r="V86" s="64">
        <f>Table1[[#This Row],[ActualHomeScore]]-Table1[[#This Row],[PredictedHomeScore]]</f>
        <v>0</v>
      </c>
      <c r="W86" s="64">
        <f>(0.8*IF(Table1[[#This Row],[CorrectWinnerPrediction]]=1, 1, 0))+(0.1*IF(Table1[[#This Row],[CorrectAwayScorePrediction]]=1, 1, 0))+(0.1*IF(Table1[[#This Row],[CorrectHomeScorePrediction]]=1, 1, 0))</f>
        <v>0</v>
      </c>
      <c r="X8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6" s="64">
        <f>SUMIF(Table1[GameDate], Table1[[#This Row],[GameDate]], Table1[AwayGameGoalDiff])</f>
        <v>0</v>
      </c>
      <c r="AA86" s="64">
        <f>SUMIF(Table1[GameDate], Table1[[#This Row],[GameDate]], Table1[HomeGameGoalDiff])</f>
        <v>0</v>
      </c>
      <c r="AB86" s="64">
        <f>IF(ISBLANK(Table1[[#This Row],[ActualResult]]), 0, 1)</f>
        <v>0</v>
      </c>
      <c r="AC86" s="64">
        <f>IF(ISBLANK(Table1[[#This Row],[ActualResult]]), 0, IF(Table1[[#This Row],[ActualWinner]]=Table1[[#This Row],[PredictedWinner]], 1, 0))</f>
        <v>0</v>
      </c>
      <c r="AD8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6" s="64">
        <f>IF(AND(Table1[[#This Row],[GameIsOver]]=1,Table1[[#This Row],[ActualAwayScore]]=0), 1,0)</f>
        <v>0</v>
      </c>
      <c r="AG86" s="64">
        <f>IF(AND(Table1[[#This Row],[GameIsOver]]=1,Table1[[#This Row],[ActualHomeScore]]=0), 1,0)</f>
        <v>0</v>
      </c>
      <c r="AH86" s="64">
        <f>IF(Table1[[#This Row],[GameIsOver]]=0,0,IF(Table1[[#This Row],[ActualWinner]]=Table1[[#This Row],[AwayTeam]], 1, 0))</f>
        <v>0</v>
      </c>
      <c r="AI86" s="64">
        <f>IF(Table1[[#This Row],[GameIsOver]]=0,0,IF(Table1[[#This Row],[ActualWinner]]=Table1[[#This Row],[HomeTeam]], 1, 0))</f>
        <v>0</v>
      </c>
      <c r="AJ86" s="64">
        <f>IF(INDEX(Standings!$A$2:$C$33,MATCH(Table1[[#This Row],[AwayTeam]],Standings!$A$2:$A$33,0),2)=INDEX(Standings!$A$2:$C$33,MATCH(Table1[[#This Row],[HomeTeam]],Standings!$A$2:$A$33,0),2),1,0)</f>
        <v>0</v>
      </c>
      <c r="AK86" s="64">
        <f>IF(INDEX(Standings!$A$2:$C$33,MATCH(Table1[[#This Row],[AwayTeam]],Standings!$A$2:$A$33,0),3)=INDEX(Standings!$A$2:$C$33,MATCH(Table1[[#This Row],[HomeTeam]],Standings!$A$2:$A$33,0),3),1,0)</f>
        <v>0</v>
      </c>
      <c r="AL86" s="64">
        <f>IF(Table1[[#This Row],[InterConf]]=1,IF(Table1[[#This Row],[InterDiv]]=0, 1, 0), 0)</f>
        <v>0</v>
      </c>
      <c r="AM86" s="64">
        <f>IF(INDEX(Standings!$A$2:$C$33,MATCH(Table1[[#This Row],[AwayTeam]],Standings!$A$2:$A$33,0),2)&lt;&gt;INDEX(Standings!$A$2:$C$33,MATCH(Table1[[#This Row],[HomeTeam]],Standings!$A$2:$A$33,0),2),1,0)</f>
        <v>1</v>
      </c>
      <c r="AN86" s="64" t="str">
        <f>INDEX(Table2[AWAY_RECORD], MATCH(Table1[[#This Row],[AwayTeam]],Table2[Team], 0), 0)</f>
        <v>0-0-1</v>
      </c>
      <c r="AO86" s="64" t="str">
        <f>INDEX(Records!$B$2:$AG$33, MATCH(Table1[[#This Row],[AwayTeam]],Records!$A$2:$A$33, 0), MATCH(Table1[[#This Row],[HomeTeam]],Records!$A$2:$A$33, 0))</f>
        <v>0-0-0</v>
      </c>
      <c r="AP86" s="64" t="str">
        <f>INDEX(Table2[HOME_RECORD], MATCH(Table1[[#This Row],[HomeTeam]],Table2[Team], 0), 0)</f>
        <v>1-0-0</v>
      </c>
      <c r="AQ86" s="64" t="str">
        <f>INDEX(Records!$B$2:$AG$33, MATCH(Table1[[#This Row],[HomeTeam]],Records!$A$2:$A$33, 0), MATCH(Table1[[#This Row],[AwayTeam]],Records!$A$2:$A$33, 0))</f>
        <v>0-0-0</v>
      </c>
    </row>
    <row r="87" spans="1:43" x14ac:dyDescent="0.25">
      <c r="A87" s="1"/>
      <c r="D87" t="s">
        <v>265</v>
      </c>
      <c r="E87" t="s">
        <v>160</v>
      </c>
      <c r="F87" t="s">
        <v>268</v>
      </c>
      <c r="G87" t="s">
        <v>40</v>
      </c>
      <c r="H87" t="s">
        <v>53</v>
      </c>
      <c r="L8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7" s="1"/>
      <c r="T87" s="64" t="str">
        <f>IF(Table1[[#This Row],[ActualWinner]]="", "", IF(Table1[[#This Row],[AwayTeam]]=Table1[[#This Row],[ActualWinner]],Table1[[#This Row],[HomeTeam]],Table1[[#This Row],[AwayTeam]]))</f>
        <v/>
      </c>
      <c r="U87" s="64">
        <f>Table1[[#This Row],[ActualAwayScore]]-Table1[[#This Row],[PredictedAwayScore]]</f>
        <v>0</v>
      </c>
      <c r="V87" s="64">
        <f>Table1[[#This Row],[ActualHomeScore]]-Table1[[#This Row],[PredictedHomeScore]]</f>
        <v>0</v>
      </c>
      <c r="W87" s="64">
        <f>(0.8*IF(Table1[[#This Row],[CorrectWinnerPrediction]]=1, 1, 0))+(0.1*IF(Table1[[#This Row],[CorrectAwayScorePrediction]]=1, 1, 0))+(0.1*IF(Table1[[#This Row],[CorrectHomeScorePrediction]]=1, 1, 0))</f>
        <v>0</v>
      </c>
      <c r="X8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7" s="64">
        <f>SUMIF(Table1[GameDate], Table1[[#This Row],[GameDate]], Table1[AwayGameGoalDiff])</f>
        <v>0</v>
      </c>
      <c r="AA87" s="64">
        <f>SUMIF(Table1[GameDate], Table1[[#This Row],[GameDate]], Table1[HomeGameGoalDiff])</f>
        <v>0</v>
      </c>
      <c r="AB87" s="64">
        <f>IF(ISBLANK(Table1[[#This Row],[ActualResult]]), 0, 1)</f>
        <v>0</v>
      </c>
      <c r="AC87" s="64">
        <f>IF(ISBLANK(Table1[[#This Row],[ActualResult]]), 0, IF(Table1[[#This Row],[ActualWinner]]=Table1[[#This Row],[PredictedWinner]], 1, 0))</f>
        <v>0</v>
      </c>
      <c r="AD8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7" s="64">
        <f>IF(AND(Table1[[#This Row],[GameIsOver]]=1,Table1[[#This Row],[ActualAwayScore]]=0), 1,0)</f>
        <v>0</v>
      </c>
      <c r="AG87" s="64">
        <f>IF(AND(Table1[[#This Row],[GameIsOver]]=1,Table1[[#This Row],[ActualHomeScore]]=0), 1,0)</f>
        <v>0</v>
      </c>
      <c r="AH87" s="64">
        <f>IF(Table1[[#This Row],[GameIsOver]]=0,0,IF(Table1[[#This Row],[ActualWinner]]=Table1[[#This Row],[AwayTeam]], 1, 0))</f>
        <v>0</v>
      </c>
      <c r="AI87" s="64">
        <f>IF(Table1[[#This Row],[GameIsOver]]=0,0,IF(Table1[[#This Row],[ActualWinner]]=Table1[[#This Row],[HomeTeam]], 1, 0))</f>
        <v>0</v>
      </c>
      <c r="AJ87" s="64">
        <f>IF(INDEX(Standings!$A$2:$C$33,MATCH(Table1[[#This Row],[AwayTeam]],Standings!$A$2:$A$33,0),2)=INDEX(Standings!$A$2:$C$33,MATCH(Table1[[#This Row],[HomeTeam]],Standings!$A$2:$A$33,0),2),1,0)</f>
        <v>1</v>
      </c>
      <c r="AK87" s="64">
        <f>IF(INDEX(Standings!$A$2:$C$33,MATCH(Table1[[#This Row],[AwayTeam]],Standings!$A$2:$A$33,0),3)=INDEX(Standings!$A$2:$C$33,MATCH(Table1[[#This Row],[HomeTeam]],Standings!$A$2:$A$33,0),3),1,0)</f>
        <v>1</v>
      </c>
      <c r="AL87" s="64">
        <f>IF(Table1[[#This Row],[InterConf]]=1,IF(Table1[[#This Row],[InterDiv]]=0, 1, 0), 0)</f>
        <v>0</v>
      </c>
      <c r="AM87" s="64">
        <f>IF(INDEX(Standings!$A$2:$C$33,MATCH(Table1[[#This Row],[AwayTeam]],Standings!$A$2:$A$33,0),2)&lt;&gt;INDEX(Standings!$A$2:$C$33,MATCH(Table1[[#This Row],[HomeTeam]],Standings!$A$2:$A$33,0),2),1,0)</f>
        <v>0</v>
      </c>
      <c r="AN87" s="64" t="str">
        <f>INDEX(Table2[AWAY_RECORD], MATCH(Table1[[#This Row],[AwayTeam]],Table2[Team], 0), 0)</f>
        <v>0-0-0</v>
      </c>
      <c r="AO87" s="64" t="str">
        <f>INDEX(Records!$B$2:$AG$33, MATCH(Table1[[#This Row],[AwayTeam]],Records!$A$2:$A$33, 0), MATCH(Table1[[#This Row],[HomeTeam]],Records!$A$2:$A$33, 0))</f>
        <v>0-0-0</v>
      </c>
      <c r="AP87" s="64" t="str">
        <f>INDEX(Table2[HOME_RECORD], MATCH(Table1[[#This Row],[HomeTeam]],Table2[Team], 0), 0)</f>
        <v>1-0-0</v>
      </c>
      <c r="AQ87" s="64" t="str">
        <f>INDEX(Records!$B$2:$AG$33, MATCH(Table1[[#This Row],[HomeTeam]],Records!$A$2:$A$33, 0), MATCH(Table1[[#This Row],[AwayTeam]],Records!$A$2:$A$33, 0))</f>
        <v>0-0-0</v>
      </c>
    </row>
    <row r="88" spans="1:43" x14ac:dyDescent="0.25">
      <c r="A88" s="1"/>
      <c r="D88" t="s">
        <v>269</v>
      </c>
      <c r="E88" t="s">
        <v>205</v>
      </c>
      <c r="F88" t="s">
        <v>270</v>
      </c>
      <c r="G88" t="s">
        <v>17</v>
      </c>
      <c r="H88" t="s">
        <v>38</v>
      </c>
      <c r="L8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8" s="1"/>
      <c r="T88" s="64" t="str">
        <f>IF(Table1[[#This Row],[ActualWinner]]="", "", IF(Table1[[#This Row],[AwayTeam]]=Table1[[#This Row],[ActualWinner]],Table1[[#This Row],[HomeTeam]],Table1[[#This Row],[AwayTeam]]))</f>
        <v/>
      </c>
      <c r="U88" s="64">
        <f>Table1[[#This Row],[ActualAwayScore]]-Table1[[#This Row],[PredictedAwayScore]]</f>
        <v>0</v>
      </c>
      <c r="V88" s="64">
        <f>Table1[[#This Row],[ActualHomeScore]]-Table1[[#This Row],[PredictedHomeScore]]</f>
        <v>0</v>
      </c>
      <c r="W88" s="64">
        <f>(0.8*IF(Table1[[#This Row],[CorrectWinnerPrediction]]=1, 1, 0))+(0.1*IF(Table1[[#This Row],[CorrectAwayScorePrediction]]=1, 1, 0))+(0.1*IF(Table1[[#This Row],[CorrectHomeScorePrediction]]=1, 1, 0))</f>
        <v>0</v>
      </c>
      <c r="X8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8" s="64">
        <f>SUMIF(Table1[GameDate], Table1[[#This Row],[GameDate]], Table1[AwayGameGoalDiff])</f>
        <v>0</v>
      </c>
      <c r="AA88" s="64">
        <f>SUMIF(Table1[GameDate], Table1[[#This Row],[GameDate]], Table1[HomeGameGoalDiff])</f>
        <v>0</v>
      </c>
      <c r="AB88" s="64">
        <f>IF(ISBLANK(Table1[[#This Row],[ActualResult]]), 0, 1)</f>
        <v>0</v>
      </c>
      <c r="AC88" s="64">
        <f>IF(ISBLANK(Table1[[#This Row],[ActualResult]]), 0, IF(Table1[[#This Row],[ActualWinner]]=Table1[[#This Row],[PredictedWinner]], 1, 0))</f>
        <v>0</v>
      </c>
      <c r="AD8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8" s="64">
        <f>IF(AND(Table1[[#This Row],[GameIsOver]]=1,Table1[[#This Row],[ActualAwayScore]]=0), 1,0)</f>
        <v>0</v>
      </c>
      <c r="AG88" s="64">
        <f>IF(AND(Table1[[#This Row],[GameIsOver]]=1,Table1[[#This Row],[ActualHomeScore]]=0), 1,0)</f>
        <v>0</v>
      </c>
      <c r="AH88" s="64">
        <f>IF(Table1[[#This Row],[GameIsOver]]=0,0,IF(Table1[[#This Row],[ActualWinner]]=Table1[[#This Row],[AwayTeam]], 1, 0))</f>
        <v>0</v>
      </c>
      <c r="AI88" s="64">
        <f>IF(Table1[[#This Row],[GameIsOver]]=0,0,IF(Table1[[#This Row],[ActualWinner]]=Table1[[#This Row],[HomeTeam]], 1, 0))</f>
        <v>0</v>
      </c>
      <c r="AJ88" s="64">
        <f>IF(INDEX(Standings!$A$2:$C$33,MATCH(Table1[[#This Row],[AwayTeam]],Standings!$A$2:$A$33,0),2)=INDEX(Standings!$A$2:$C$33,MATCH(Table1[[#This Row],[HomeTeam]],Standings!$A$2:$A$33,0),2),1,0)</f>
        <v>1</v>
      </c>
      <c r="AK88" s="64">
        <f>IF(INDEX(Standings!$A$2:$C$33,MATCH(Table1[[#This Row],[AwayTeam]],Standings!$A$2:$A$33,0),3)=INDEX(Standings!$A$2:$C$33,MATCH(Table1[[#This Row],[HomeTeam]],Standings!$A$2:$A$33,0),3),1,0)</f>
        <v>1</v>
      </c>
      <c r="AL88" s="64">
        <f>IF(Table1[[#This Row],[InterConf]]=1,IF(Table1[[#This Row],[InterDiv]]=0, 1, 0), 0)</f>
        <v>0</v>
      </c>
      <c r="AM88" s="64">
        <f>IF(INDEX(Standings!$A$2:$C$33,MATCH(Table1[[#This Row],[AwayTeam]],Standings!$A$2:$A$33,0),2)&lt;&gt;INDEX(Standings!$A$2:$C$33,MATCH(Table1[[#This Row],[HomeTeam]],Standings!$A$2:$A$33,0),2),1,0)</f>
        <v>0</v>
      </c>
      <c r="AN88" s="64" t="str">
        <f>INDEX(Table2[AWAY_RECORD], MATCH(Table1[[#This Row],[AwayTeam]],Table2[Team], 0), 0)</f>
        <v>2-0-0</v>
      </c>
      <c r="AO88" s="64" t="str">
        <f>INDEX(Records!$B$2:$AG$33, MATCH(Table1[[#This Row],[AwayTeam]],Records!$A$2:$A$33, 0), MATCH(Table1[[#This Row],[HomeTeam]],Records!$A$2:$A$33, 0))</f>
        <v>0-0-0</v>
      </c>
      <c r="AP88" s="64" t="str">
        <f>INDEX(Table2[HOME_RECORD], MATCH(Table1[[#This Row],[HomeTeam]],Table2[Team], 0), 0)</f>
        <v>0-0-0</v>
      </c>
      <c r="AQ88" s="64" t="str">
        <f>INDEX(Records!$B$2:$AG$33, MATCH(Table1[[#This Row],[HomeTeam]],Records!$A$2:$A$33, 0), MATCH(Table1[[#This Row],[AwayTeam]],Records!$A$2:$A$33, 0))</f>
        <v>0-0-0</v>
      </c>
    </row>
    <row r="89" spans="1:43" x14ac:dyDescent="0.25">
      <c r="A89" s="1"/>
      <c r="D89" t="s">
        <v>269</v>
      </c>
      <c r="E89" t="s">
        <v>160</v>
      </c>
      <c r="F89" t="s">
        <v>271</v>
      </c>
      <c r="G89" t="s">
        <v>52</v>
      </c>
      <c r="H89" t="s">
        <v>49</v>
      </c>
      <c r="L8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9" s="1"/>
      <c r="T89" s="64" t="str">
        <f>IF(Table1[[#This Row],[ActualWinner]]="", "", IF(Table1[[#This Row],[AwayTeam]]=Table1[[#This Row],[ActualWinner]],Table1[[#This Row],[HomeTeam]],Table1[[#This Row],[AwayTeam]]))</f>
        <v/>
      </c>
      <c r="U89" s="64">
        <f>Table1[[#This Row],[ActualAwayScore]]-Table1[[#This Row],[PredictedAwayScore]]</f>
        <v>0</v>
      </c>
      <c r="V89" s="64">
        <f>Table1[[#This Row],[ActualHomeScore]]-Table1[[#This Row],[PredictedHomeScore]]</f>
        <v>0</v>
      </c>
      <c r="W89" s="64">
        <f>(0.8*IF(Table1[[#This Row],[CorrectWinnerPrediction]]=1, 1, 0))+(0.1*IF(Table1[[#This Row],[CorrectAwayScorePrediction]]=1, 1, 0))+(0.1*IF(Table1[[#This Row],[CorrectHomeScorePrediction]]=1, 1, 0))</f>
        <v>0</v>
      </c>
      <c r="X8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9" s="64">
        <f>SUMIF(Table1[GameDate], Table1[[#This Row],[GameDate]], Table1[AwayGameGoalDiff])</f>
        <v>0</v>
      </c>
      <c r="AA89" s="64">
        <f>SUMIF(Table1[GameDate], Table1[[#This Row],[GameDate]], Table1[HomeGameGoalDiff])</f>
        <v>0</v>
      </c>
      <c r="AB89" s="64">
        <f>IF(ISBLANK(Table1[[#This Row],[ActualResult]]), 0, 1)</f>
        <v>0</v>
      </c>
      <c r="AC89" s="64">
        <f>IF(ISBLANK(Table1[[#This Row],[ActualResult]]), 0, IF(Table1[[#This Row],[ActualWinner]]=Table1[[#This Row],[PredictedWinner]], 1, 0))</f>
        <v>0</v>
      </c>
      <c r="AD8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9" s="64">
        <f>IF(AND(Table1[[#This Row],[GameIsOver]]=1,Table1[[#This Row],[ActualAwayScore]]=0), 1,0)</f>
        <v>0</v>
      </c>
      <c r="AG89" s="64">
        <f>IF(AND(Table1[[#This Row],[GameIsOver]]=1,Table1[[#This Row],[ActualHomeScore]]=0), 1,0)</f>
        <v>0</v>
      </c>
      <c r="AH89" s="64">
        <f>IF(Table1[[#This Row],[GameIsOver]]=0,0,IF(Table1[[#This Row],[ActualWinner]]=Table1[[#This Row],[AwayTeam]], 1, 0))</f>
        <v>0</v>
      </c>
      <c r="AI89" s="64">
        <f>IF(Table1[[#This Row],[GameIsOver]]=0,0,IF(Table1[[#This Row],[ActualWinner]]=Table1[[#This Row],[HomeTeam]], 1, 0))</f>
        <v>0</v>
      </c>
      <c r="AJ89" s="64">
        <f>IF(INDEX(Standings!$A$2:$C$33,MATCH(Table1[[#This Row],[AwayTeam]],Standings!$A$2:$A$33,0),2)=INDEX(Standings!$A$2:$C$33,MATCH(Table1[[#This Row],[HomeTeam]],Standings!$A$2:$A$33,0),2),1,0)</f>
        <v>1</v>
      </c>
      <c r="AK89" s="64">
        <f>IF(INDEX(Standings!$A$2:$C$33,MATCH(Table1[[#This Row],[AwayTeam]],Standings!$A$2:$A$33,0),3)=INDEX(Standings!$A$2:$C$33,MATCH(Table1[[#This Row],[HomeTeam]],Standings!$A$2:$A$33,0),3),1,0)</f>
        <v>0</v>
      </c>
      <c r="AL89" s="64">
        <f>IF(Table1[[#This Row],[InterConf]]=1,IF(Table1[[#This Row],[InterDiv]]=0, 1, 0), 0)</f>
        <v>1</v>
      </c>
      <c r="AM89" s="64">
        <f>IF(INDEX(Standings!$A$2:$C$33,MATCH(Table1[[#This Row],[AwayTeam]],Standings!$A$2:$A$33,0),2)&lt;&gt;INDEX(Standings!$A$2:$C$33,MATCH(Table1[[#This Row],[HomeTeam]],Standings!$A$2:$A$33,0),2),1,0)</f>
        <v>0</v>
      </c>
      <c r="AN89" s="64" t="str">
        <f>INDEX(Table2[AWAY_RECORD], MATCH(Table1[[#This Row],[AwayTeam]],Table2[Team], 0), 0)</f>
        <v>0-0-0</v>
      </c>
      <c r="AO89" s="64" t="str">
        <f>INDEX(Records!$B$2:$AG$33, MATCH(Table1[[#This Row],[AwayTeam]],Records!$A$2:$A$33, 0), MATCH(Table1[[#This Row],[HomeTeam]],Records!$A$2:$A$33, 0))</f>
        <v>0-0-0</v>
      </c>
      <c r="AP89" s="64" t="str">
        <f>INDEX(Table2[HOME_RECORD], MATCH(Table1[[#This Row],[HomeTeam]],Table2[Team], 0), 0)</f>
        <v>1-0-0</v>
      </c>
      <c r="AQ89" s="64" t="str">
        <f>INDEX(Records!$B$2:$AG$33, MATCH(Table1[[#This Row],[HomeTeam]],Records!$A$2:$A$33, 0), MATCH(Table1[[#This Row],[AwayTeam]],Records!$A$2:$A$33, 0))</f>
        <v>0-0-0</v>
      </c>
    </row>
    <row r="90" spans="1:43" x14ac:dyDescent="0.25">
      <c r="A90" s="1"/>
      <c r="D90" t="s">
        <v>269</v>
      </c>
      <c r="E90" t="s">
        <v>162</v>
      </c>
      <c r="F90" t="s">
        <v>272</v>
      </c>
      <c r="G90" t="s">
        <v>25</v>
      </c>
      <c r="H90" t="s">
        <v>22</v>
      </c>
      <c r="L9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0" s="1"/>
      <c r="T90" s="64" t="str">
        <f>IF(Table1[[#This Row],[ActualWinner]]="", "", IF(Table1[[#This Row],[AwayTeam]]=Table1[[#This Row],[ActualWinner]],Table1[[#This Row],[HomeTeam]],Table1[[#This Row],[AwayTeam]]))</f>
        <v/>
      </c>
      <c r="U90" s="64">
        <f>Table1[[#This Row],[ActualAwayScore]]-Table1[[#This Row],[PredictedAwayScore]]</f>
        <v>0</v>
      </c>
      <c r="V90" s="64">
        <f>Table1[[#This Row],[ActualHomeScore]]-Table1[[#This Row],[PredictedHomeScore]]</f>
        <v>0</v>
      </c>
      <c r="W90" s="64">
        <f>(0.8*IF(Table1[[#This Row],[CorrectWinnerPrediction]]=1, 1, 0))+(0.1*IF(Table1[[#This Row],[CorrectAwayScorePrediction]]=1, 1, 0))+(0.1*IF(Table1[[#This Row],[CorrectHomeScorePrediction]]=1, 1, 0))</f>
        <v>0</v>
      </c>
      <c r="X9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0" s="64">
        <f>SUMIF(Table1[GameDate], Table1[[#This Row],[GameDate]], Table1[AwayGameGoalDiff])</f>
        <v>0</v>
      </c>
      <c r="AA90" s="64">
        <f>SUMIF(Table1[GameDate], Table1[[#This Row],[GameDate]], Table1[HomeGameGoalDiff])</f>
        <v>0</v>
      </c>
      <c r="AB90" s="64">
        <f>IF(ISBLANK(Table1[[#This Row],[ActualResult]]), 0, 1)</f>
        <v>0</v>
      </c>
      <c r="AC90" s="64">
        <f>IF(ISBLANK(Table1[[#This Row],[ActualResult]]), 0, IF(Table1[[#This Row],[ActualWinner]]=Table1[[#This Row],[PredictedWinner]], 1, 0))</f>
        <v>0</v>
      </c>
      <c r="AD9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0" s="64">
        <f>IF(AND(Table1[[#This Row],[GameIsOver]]=1,Table1[[#This Row],[ActualAwayScore]]=0), 1,0)</f>
        <v>0</v>
      </c>
      <c r="AG90" s="64">
        <f>IF(AND(Table1[[#This Row],[GameIsOver]]=1,Table1[[#This Row],[ActualHomeScore]]=0), 1,0)</f>
        <v>0</v>
      </c>
      <c r="AH90" s="64">
        <f>IF(Table1[[#This Row],[GameIsOver]]=0,0,IF(Table1[[#This Row],[ActualWinner]]=Table1[[#This Row],[AwayTeam]], 1, 0))</f>
        <v>0</v>
      </c>
      <c r="AI90" s="64">
        <f>IF(Table1[[#This Row],[GameIsOver]]=0,0,IF(Table1[[#This Row],[ActualWinner]]=Table1[[#This Row],[HomeTeam]], 1, 0))</f>
        <v>0</v>
      </c>
      <c r="AJ90" s="64">
        <f>IF(INDEX(Standings!$A$2:$C$33,MATCH(Table1[[#This Row],[AwayTeam]],Standings!$A$2:$A$33,0),2)=INDEX(Standings!$A$2:$C$33,MATCH(Table1[[#This Row],[HomeTeam]],Standings!$A$2:$A$33,0),2),1,0)</f>
        <v>1</v>
      </c>
      <c r="AK90" s="64">
        <f>IF(INDEX(Standings!$A$2:$C$33,MATCH(Table1[[#This Row],[AwayTeam]],Standings!$A$2:$A$33,0),3)=INDEX(Standings!$A$2:$C$33,MATCH(Table1[[#This Row],[HomeTeam]],Standings!$A$2:$A$33,0),3),1,0)</f>
        <v>0</v>
      </c>
      <c r="AL90" s="64">
        <f>IF(Table1[[#This Row],[InterConf]]=1,IF(Table1[[#This Row],[InterDiv]]=0, 1, 0), 0)</f>
        <v>1</v>
      </c>
      <c r="AM90" s="64">
        <f>IF(INDEX(Standings!$A$2:$C$33,MATCH(Table1[[#This Row],[AwayTeam]],Standings!$A$2:$A$33,0),2)&lt;&gt;INDEX(Standings!$A$2:$C$33,MATCH(Table1[[#This Row],[HomeTeam]],Standings!$A$2:$A$33,0),2),1,0)</f>
        <v>0</v>
      </c>
      <c r="AN90" s="64" t="str">
        <f>INDEX(Table2[AWAY_RECORD], MATCH(Table1[[#This Row],[AwayTeam]],Table2[Team], 0), 0)</f>
        <v>0-0-0</v>
      </c>
      <c r="AO90" s="64" t="str">
        <f>INDEX(Records!$B$2:$AG$33, MATCH(Table1[[#This Row],[AwayTeam]],Records!$A$2:$A$33, 0), MATCH(Table1[[#This Row],[HomeTeam]],Records!$A$2:$A$33, 0))</f>
        <v>0-0-0</v>
      </c>
      <c r="AP90" s="64" t="str">
        <f>INDEX(Table2[HOME_RECORD], MATCH(Table1[[#This Row],[HomeTeam]],Table2[Team], 0), 0)</f>
        <v>0-0-0</v>
      </c>
      <c r="AQ90" s="64" t="str">
        <f>INDEX(Records!$B$2:$AG$33, MATCH(Table1[[#This Row],[HomeTeam]],Records!$A$2:$A$33, 0), MATCH(Table1[[#This Row],[AwayTeam]],Records!$A$2:$A$33, 0))</f>
        <v>0-0-0</v>
      </c>
    </row>
    <row r="91" spans="1:43" x14ac:dyDescent="0.25">
      <c r="A91" s="1"/>
      <c r="D91" t="s">
        <v>273</v>
      </c>
      <c r="E91" t="s">
        <v>207</v>
      </c>
      <c r="F91" t="s">
        <v>274</v>
      </c>
      <c r="G91" t="s">
        <v>49</v>
      </c>
      <c r="H91" t="s">
        <v>44</v>
      </c>
      <c r="L9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1" s="1"/>
      <c r="T91" s="64" t="str">
        <f>IF(Table1[[#This Row],[ActualWinner]]="", "", IF(Table1[[#This Row],[AwayTeam]]=Table1[[#This Row],[ActualWinner]],Table1[[#This Row],[HomeTeam]],Table1[[#This Row],[AwayTeam]]))</f>
        <v/>
      </c>
      <c r="U91" s="64">
        <f>Table1[[#This Row],[ActualAwayScore]]-Table1[[#This Row],[PredictedAwayScore]]</f>
        <v>0</v>
      </c>
      <c r="V91" s="64">
        <f>Table1[[#This Row],[ActualHomeScore]]-Table1[[#This Row],[PredictedHomeScore]]</f>
        <v>0</v>
      </c>
      <c r="W91" s="64">
        <f>(0.8*IF(Table1[[#This Row],[CorrectWinnerPrediction]]=1, 1, 0))+(0.1*IF(Table1[[#This Row],[CorrectAwayScorePrediction]]=1, 1, 0))+(0.1*IF(Table1[[#This Row],[CorrectHomeScorePrediction]]=1, 1, 0))</f>
        <v>0</v>
      </c>
      <c r="X9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1" s="64">
        <f>SUMIF(Table1[GameDate], Table1[[#This Row],[GameDate]], Table1[AwayGameGoalDiff])</f>
        <v>0</v>
      </c>
      <c r="AA91" s="64">
        <f>SUMIF(Table1[GameDate], Table1[[#This Row],[GameDate]], Table1[HomeGameGoalDiff])</f>
        <v>0</v>
      </c>
      <c r="AB91" s="64">
        <f>IF(ISBLANK(Table1[[#This Row],[ActualResult]]), 0, 1)</f>
        <v>0</v>
      </c>
      <c r="AC91" s="64">
        <f>IF(ISBLANK(Table1[[#This Row],[ActualResult]]), 0, IF(Table1[[#This Row],[ActualWinner]]=Table1[[#This Row],[PredictedWinner]], 1, 0))</f>
        <v>0</v>
      </c>
      <c r="AD9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1" s="64">
        <f>IF(AND(Table1[[#This Row],[GameIsOver]]=1,Table1[[#This Row],[ActualAwayScore]]=0), 1,0)</f>
        <v>0</v>
      </c>
      <c r="AG91" s="64">
        <f>IF(AND(Table1[[#This Row],[GameIsOver]]=1,Table1[[#This Row],[ActualHomeScore]]=0), 1,0)</f>
        <v>0</v>
      </c>
      <c r="AH91" s="64">
        <f>IF(Table1[[#This Row],[GameIsOver]]=0,0,IF(Table1[[#This Row],[ActualWinner]]=Table1[[#This Row],[AwayTeam]], 1, 0))</f>
        <v>0</v>
      </c>
      <c r="AI91" s="64">
        <f>IF(Table1[[#This Row],[GameIsOver]]=0,0,IF(Table1[[#This Row],[ActualWinner]]=Table1[[#This Row],[HomeTeam]], 1, 0))</f>
        <v>0</v>
      </c>
      <c r="AJ91" s="64">
        <f>IF(INDEX(Standings!$A$2:$C$33,MATCH(Table1[[#This Row],[AwayTeam]],Standings!$A$2:$A$33,0),2)=INDEX(Standings!$A$2:$C$33,MATCH(Table1[[#This Row],[HomeTeam]],Standings!$A$2:$A$33,0),2),1,0)</f>
        <v>1</v>
      </c>
      <c r="AK91" s="64">
        <f>IF(INDEX(Standings!$A$2:$C$33,MATCH(Table1[[#This Row],[AwayTeam]],Standings!$A$2:$A$33,0),3)=INDEX(Standings!$A$2:$C$33,MATCH(Table1[[#This Row],[HomeTeam]],Standings!$A$2:$A$33,0),3),1,0)</f>
        <v>0</v>
      </c>
      <c r="AL91" s="64">
        <f>IF(Table1[[#This Row],[InterConf]]=1,IF(Table1[[#This Row],[InterDiv]]=0, 1, 0), 0)</f>
        <v>1</v>
      </c>
      <c r="AM91" s="64">
        <f>IF(INDEX(Standings!$A$2:$C$33,MATCH(Table1[[#This Row],[AwayTeam]],Standings!$A$2:$A$33,0),2)&lt;&gt;INDEX(Standings!$A$2:$C$33,MATCH(Table1[[#This Row],[HomeTeam]],Standings!$A$2:$A$33,0),2),1,0)</f>
        <v>0</v>
      </c>
      <c r="AN91" s="64" t="str">
        <f>INDEX(Table2[AWAY_RECORD], MATCH(Table1[[#This Row],[AwayTeam]],Table2[Team], 0), 0)</f>
        <v>0-0-0</v>
      </c>
      <c r="AO91" s="64" t="str">
        <f>INDEX(Records!$B$2:$AG$33, MATCH(Table1[[#This Row],[AwayTeam]],Records!$A$2:$A$33, 0), MATCH(Table1[[#This Row],[HomeTeam]],Records!$A$2:$A$33, 0))</f>
        <v>0-0-0</v>
      </c>
      <c r="AP91" s="64" t="str">
        <f>INDEX(Table2[HOME_RECORD], MATCH(Table1[[#This Row],[HomeTeam]],Table2[Team], 0), 0)</f>
        <v>0-0-1</v>
      </c>
      <c r="AQ91" s="64" t="str">
        <f>INDEX(Records!$B$2:$AG$33, MATCH(Table1[[#This Row],[HomeTeam]],Records!$A$2:$A$33, 0), MATCH(Table1[[#This Row],[AwayTeam]],Records!$A$2:$A$33, 0))</f>
        <v>0-0-0</v>
      </c>
    </row>
    <row r="92" spans="1:43" x14ac:dyDescent="0.25">
      <c r="A92" s="1"/>
      <c r="D92" t="s">
        <v>273</v>
      </c>
      <c r="E92" t="s">
        <v>275</v>
      </c>
      <c r="F92" t="s">
        <v>276</v>
      </c>
      <c r="G92" t="s">
        <v>17</v>
      </c>
      <c r="H92" t="s">
        <v>42</v>
      </c>
      <c r="L9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2" s="1"/>
      <c r="T92" s="64" t="str">
        <f>IF(Table1[[#This Row],[ActualWinner]]="", "", IF(Table1[[#This Row],[AwayTeam]]=Table1[[#This Row],[ActualWinner]],Table1[[#This Row],[HomeTeam]],Table1[[#This Row],[AwayTeam]]))</f>
        <v/>
      </c>
      <c r="U92" s="64">
        <f>Table1[[#This Row],[ActualAwayScore]]-Table1[[#This Row],[PredictedAwayScore]]</f>
        <v>0</v>
      </c>
      <c r="V92" s="64">
        <f>Table1[[#This Row],[ActualHomeScore]]-Table1[[#This Row],[PredictedHomeScore]]</f>
        <v>0</v>
      </c>
      <c r="W92" s="64">
        <f>(0.8*IF(Table1[[#This Row],[CorrectWinnerPrediction]]=1, 1, 0))+(0.1*IF(Table1[[#This Row],[CorrectAwayScorePrediction]]=1, 1, 0))+(0.1*IF(Table1[[#This Row],[CorrectHomeScorePrediction]]=1, 1, 0))</f>
        <v>0</v>
      </c>
      <c r="X9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2" s="64">
        <f>SUMIF(Table1[GameDate], Table1[[#This Row],[GameDate]], Table1[AwayGameGoalDiff])</f>
        <v>0</v>
      </c>
      <c r="AA92" s="64">
        <f>SUMIF(Table1[GameDate], Table1[[#This Row],[GameDate]], Table1[HomeGameGoalDiff])</f>
        <v>0</v>
      </c>
      <c r="AB92" s="64">
        <f>IF(ISBLANK(Table1[[#This Row],[ActualResult]]), 0, 1)</f>
        <v>0</v>
      </c>
      <c r="AC92" s="64">
        <f>IF(ISBLANK(Table1[[#This Row],[ActualResult]]), 0, IF(Table1[[#This Row],[ActualWinner]]=Table1[[#This Row],[PredictedWinner]], 1, 0))</f>
        <v>0</v>
      </c>
      <c r="AD9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2" s="64">
        <f>IF(AND(Table1[[#This Row],[GameIsOver]]=1,Table1[[#This Row],[ActualAwayScore]]=0), 1,0)</f>
        <v>0</v>
      </c>
      <c r="AG92" s="64">
        <f>IF(AND(Table1[[#This Row],[GameIsOver]]=1,Table1[[#This Row],[ActualHomeScore]]=0), 1,0)</f>
        <v>0</v>
      </c>
      <c r="AH92" s="64">
        <f>IF(Table1[[#This Row],[GameIsOver]]=0,0,IF(Table1[[#This Row],[ActualWinner]]=Table1[[#This Row],[AwayTeam]], 1, 0))</f>
        <v>0</v>
      </c>
      <c r="AI92" s="64">
        <f>IF(Table1[[#This Row],[GameIsOver]]=0,0,IF(Table1[[#This Row],[ActualWinner]]=Table1[[#This Row],[HomeTeam]], 1, 0))</f>
        <v>0</v>
      </c>
      <c r="AJ92" s="64">
        <f>IF(INDEX(Standings!$A$2:$C$33,MATCH(Table1[[#This Row],[AwayTeam]],Standings!$A$2:$A$33,0),2)=INDEX(Standings!$A$2:$C$33,MATCH(Table1[[#This Row],[HomeTeam]],Standings!$A$2:$A$33,0),2),1,0)</f>
        <v>1</v>
      </c>
      <c r="AK92" s="64">
        <f>IF(INDEX(Standings!$A$2:$C$33,MATCH(Table1[[#This Row],[AwayTeam]],Standings!$A$2:$A$33,0),3)=INDEX(Standings!$A$2:$C$33,MATCH(Table1[[#This Row],[HomeTeam]],Standings!$A$2:$A$33,0),3),1,0)</f>
        <v>0</v>
      </c>
      <c r="AL92" s="64">
        <f>IF(Table1[[#This Row],[InterConf]]=1,IF(Table1[[#This Row],[InterDiv]]=0, 1, 0), 0)</f>
        <v>1</v>
      </c>
      <c r="AM92" s="64">
        <f>IF(INDEX(Standings!$A$2:$C$33,MATCH(Table1[[#This Row],[AwayTeam]],Standings!$A$2:$A$33,0),2)&lt;&gt;INDEX(Standings!$A$2:$C$33,MATCH(Table1[[#This Row],[HomeTeam]],Standings!$A$2:$A$33,0),2),1,0)</f>
        <v>0</v>
      </c>
      <c r="AN92" s="64" t="str">
        <f>INDEX(Table2[AWAY_RECORD], MATCH(Table1[[#This Row],[AwayTeam]],Table2[Team], 0), 0)</f>
        <v>2-0-0</v>
      </c>
      <c r="AO92" s="64" t="str">
        <f>INDEX(Records!$B$2:$AG$33, MATCH(Table1[[#This Row],[AwayTeam]],Records!$A$2:$A$33, 0), MATCH(Table1[[#This Row],[HomeTeam]],Records!$A$2:$A$33, 0))</f>
        <v>0-0-0</v>
      </c>
      <c r="AP92" s="64" t="str">
        <f>INDEX(Table2[HOME_RECORD], MATCH(Table1[[#This Row],[HomeTeam]],Table2[Team], 0), 0)</f>
        <v>1-0-0</v>
      </c>
      <c r="AQ92" s="64" t="str">
        <f>INDEX(Records!$B$2:$AG$33, MATCH(Table1[[#This Row],[HomeTeam]],Records!$A$2:$A$33, 0), MATCH(Table1[[#This Row],[AwayTeam]],Records!$A$2:$A$33, 0))</f>
        <v>0-0-0</v>
      </c>
    </row>
    <row r="93" spans="1:43" x14ac:dyDescent="0.25">
      <c r="A93" s="1"/>
      <c r="D93" t="s">
        <v>273</v>
      </c>
      <c r="E93" t="s">
        <v>184</v>
      </c>
      <c r="F93" t="s">
        <v>277</v>
      </c>
      <c r="G93" t="s">
        <v>38</v>
      </c>
      <c r="H93" t="s">
        <v>47</v>
      </c>
      <c r="L9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3" s="1"/>
      <c r="T93" s="64" t="str">
        <f>IF(Table1[[#This Row],[ActualWinner]]="", "", IF(Table1[[#This Row],[AwayTeam]]=Table1[[#This Row],[ActualWinner]],Table1[[#This Row],[HomeTeam]],Table1[[#This Row],[AwayTeam]]))</f>
        <v/>
      </c>
      <c r="U93" s="64">
        <f>Table1[[#This Row],[ActualAwayScore]]-Table1[[#This Row],[PredictedAwayScore]]</f>
        <v>0</v>
      </c>
      <c r="V93" s="64">
        <f>Table1[[#This Row],[ActualHomeScore]]-Table1[[#This Row],[PredictedHomeScore]]</f>
        <v>0</v>
      </c>
      <c r="W93" s="64">
        <f>(0.8*IF(Table1[[#This Row],[CorrectWinnerPrediction]]=1, 1, 0))+(0.1*IF(Table1[[#This Row],[CorrectAwayScorePrediction]]=1, 1, 0))+(0.1*IF(Table1[[#This Row],[CorrectHomeScorePrediction]]=1, 1, 0))</f>
        <v>0</v>
      </c>
      <c r="X9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3" s="64">
        <f>SUMIF(Table1[GameDate], Table1[[#This Row],[GameDate]], Table1[AwayGameGoalDiff])</f>
        <v>0</v>
      </c>
      <c r="AA93" s="64">
        <f>SUMIF(Table1[GameDate], Table1[[#This Row],[GameDate]], Table1[HomeGameGoalDiff])</f>
        <v>0</v>
      </c>
      <c r="AB93" s="64">
        <f>IF(ISBLANK(Table1[[#This Row],[ActualResult]]), 0, 1)</f>
        <v>0</v>
      </c>
      <c r="AC93" s="64">
        <f>IF(ISBLANK(Table1[[#This Row],[ActualResult]]), 0, IF(Table1[[#This Row],[ActualWinner]]=Table1[[#This Row],[PredictedWinner]], 1, 0))</f>
        <v>0</v>
      </c>
      <c r="AD9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3" s="64">
        <f>IF(AND(Table1[[#This Row],[GameIsOver]]=1,Table1[[#This Row],[ActualAwayScore]]=0), 1,0)</f>
        <v>0</v>
      </c>
      <c r="AG93" s="64">
        <f>IF(AND(Table1[[#This Row],[GameIsOver]]=1,Table1[[#This Row],[ActualHomeScore]]=0), 1,0)</f>
        <v>0</v>
      </c>
      <c r="AH93" s="64">
        <f>IF(Table1[[#This Row],[GameIsOver]]=0,0,IF(Table1[[#This Row],[ActualWinner]]=Table1[[#This Row],[AwayTeam]], 1, 0))</f>
        <v>0</v>
      </c>
      <c r="AI93" s="64">
        <f>IF(Table1[[#This Row],[GameIsOver]]=0,0,IF(Table1[[#This Row],[ActualWinner]]=Table1[[#This Row],[HomeTeam]], 1, 0))</f>
        <v>0</v>
      </c>
      <c r="AJ93" s="64">
        <f>IF(INDEX(Standings!$A$2:$C$33,MATCH(Table1[[#This Row],[AwayTeam]],Standings!$A$2:$A$33,0),2)=INDEX(Standings!$A$2:$C$33,MATCH(Table1[[#This Row],[HomeTeam]],Standings!$A$2:$A$33,0),2),1,0)</f>
        <v>1</v>
      </c>
      <c r="AK93" s="64">
        <f>IF(INDEX(Standings!$A$2:$C$33,MATCH(Table1[[#This Row],[AwayTeam]],Standings!$A$2:$A$33,0),3)=INDEX(Standings!$A$2:$C$33,MATCH(Table1[[#This Row],[HomeTeam]],Standings!$A$2:$A$33,0),3),1,0)</f>
        <v>1</v>
      </c>
      <c r="AL93" s="64">
        <f>IF(Table1[[#This Row],[InterConf]]=1,IF(Table1[[#This Row],[InterDiv]]=0, 1, 0), 0)</f>
        <v>0</v>
      </c>
      <c r="AM93" s="64">
        <f>IF(INDEX(Standings!$A$2:$C$33,MATCH(Table1[[#This Row],[AwayTeam]],Standings!$A$2:$A$33,0),2)&lt;&gt;INDEX(Standings!$A$2:$C$33,MATCH(Table1[[#This Row],[HomeTeam]],Standings!$A$2:$A$33,0),2),1,0)</f>
        <v>0</v>
      </c>
      <c r="AN93" s="64" t="str">
        <f>INDEX(Table2[AWAY_RECORD], MATCH(Table1[[#This Row],[AwayTeam]],Table2[Team], 0), 0)</f>
        <v>0-0-1</v>
      </c>
      <c r="AO93" s="64" t="str">
        <f>INDEX(Records!$B$2:$AG$33, MATCH(Table1[[#This Row],[AwayTeam]],Records!$A$2:$A$33, 0), MATCH(Table1[[#This Row],[HomeTeam]],Records!$A$2:$A$33, 0))</f>
        <v>0-0-0</v>
      </c>
      <c r="AP93" s="64" t="str">
        <f>INDEX(Table2[HOME_RECORD], MATCH(Table1[[#This Row],[HomeTeam]],Table2[Team], 0), 0)</f>
        <v>0-0-0</v>
      </c>
      <c r="AQ93" s="64" t="str">
        <f>INDEX(Records!$B$2:$AG$33, MATCH(Table1[[#This Row],[HomeTeam]],Records!$A$2:$A$33, 0), MATCH(Table1[[#This Row],[AwayTeam]],Records!$A$2:$A$33, 0))</f>
        <v>0-0-0</v>
      </c>
    </row>
    <row r="94" spans="1:43" x14ac:dyDescent="0.25">
      <c r="A94" s="1"/>
      <c r="D94" t="s">
        <v>273</v>
      </c>
      <c r="E94" t="s">
        <v>278</v>
      </c>
      <c r="F94" t="s">
        <v>279</v>
      </c>
      <c r="G94" t="s">
        <v>59</v>
      </c>
      <c r="H94" t="s">
        <v>40</v>
      </c>
      <c r="L9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4" s="1"/>
      <c r="T94" s="64" t="str">
        <f>IF(Table1[[#This Row],[ActualWinner]]="", "", IF(Table1[[#This Row],[AwayTeam]]=Table1[[#This Row],[ActualWinner]],Table1[[#This Row],[HomeTeam]],Table1[[#This Row],[AwayTeam]]))</f>
        <v/>
      </c>
      <c r="U94" s="64">
        <f>Table1[[#This Row],[ActualAwayScore]]-Table1[[#This Row],[PredictedAwayScore]]</f>
        <v>0</v>
      </c>
      <c r="V94" s="64">
        <f>Table1[[#This Row],[ActualHomeScore]]-Table1[[#This Row],[PredictedHomeScore]]</f>
        <v>0</v>
      </c>
      <c r="W94" s="64">
        <f>(0.8*IF(Table1[[#This Row],[CorrectWinnerPrediction]]=1, 1, 0))+(0.1*IF(Table1[[#This Row],[CorrectAwayScorePrediction]]=1, 1, 0))+(0.1*IF(Table1[[#This Row],[CorrectHomeScorePrediction]]=1, 1, 0))</f>
        <v>0</v>
      </c>
      <c r="X9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4" s="64">
        <f>SUMIF(Table1[GameDate], Table1[[#This Row],[GameDate]], Table1[AwayGameGoalDiff])</f>
        <v>0</v>
      </c>
      <c r="AA94" s="64">
        <f>SUMIF(Table1[GameDate], Table1[[#This Row],[GameDate]], Table1[HomeGameGoalDiff])</f>
        <v>0</v>
      </c>
      <c r="AB94" s="64">
        <f>IF(ISBLANK(Table1[[#This Row],[ActualResult]]), 0, 1)</f>
        <v>0</v>
      </c>
      <c r="AC94" s="64">
        <f>IF(ISBLANK(Table1[[#This Row],[ActualResult]]), 0, IF(Table1[[#This Row],[ActualWinner]]=Table1[[#This Row],[PredictedWinner]], 1, 0))</f>
        <v>0</v>
      </c>
      <c r="AD9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4" s="64">
        <f>IF(AND(Table1[[#This Row],[GameIsOver]]=1,Table1[[#This Row],[ActualAwayScore]]=0), 1,0)</f>
        <v>0</v>
      </c>
      <c r="AG94" s="64">
        <f>IF(AND(Table1[[#This Row],[GameIsOver]]=1,Table1[[#This Row],[ActualHomeScore]]=0), 1,0)</f>
        <v>0</v>
      </c>
      <c r="AH94" s="64">
        <f>IF(Table1[[#This Row],[GameIsOver]]=0,0,IF(Table1[[#This Row],[ActualWinner]]=Table1[[#This Row],[AwayTeam]], 1, 0))</f>
        <v>0</v>
      </c>
      <c r="AI94" s="64">
        <f>IF(Table1[[#This Row],[GameIsOver]]=0,0,IF(Table1[[#This Row],[ActualWinner]]=Table1[[#This Row],[HomeTeam]], 1, 0))</f>
        <v>0</v>
      </c>
      <c r="AJ94" s="64">
        <f>IF(INDEX(Standings!$A$2:$C$33,MATCH(Table1[[#This Row],[AwayTeam]],Standings!$A$2:$A$33,0),2)=INDEX(Standings!$A$2:$C$33,MATCH(Table1[[#This Row],[HomeTeam]],Standings!$A$2:$A$33,0),2),1,0)</f>
        <v>1</v>
      </c>
      <c r="AK94" s="64">
        <f>IF(INDEX(Standings!$A$2:$C$33,MATCH(Table1[[#This Row],[AwayTeam]],Standings!$A$2:$A$33,0),3)=INDEX(Standings!$A$2:$C$33,MATCH(Table1[[#This Row],[HomeTeam]],Standings!$A$2:$A$33,0),3),1,0)</f>
        <v>1</v>
      </c>
      <c r="AL94" s="64">
        <f>IF(Table1[[#This Row],[InterConf]]=1,IF(Table1[[#This Row],[InterDiv]]=0, 1, 0), 0)</f>
        <v>0</v>
      </c>
      <c r="AM94" s="64">
        <f>IF(INDEX(Standings!$A$2:$C$33,MATCH(Table1[[#This Row],[AwayTeam]],Standings!$A$2:$A$33,0),2)&lt;&gt;INDEX(Standings!$A$2:$C$33,MATCH(Table1[[#This Row],[HomeTeam]],Standings!$A$2:$A$33,0),2),1,0)</f>
        <v>0</v>
      </c>
      <c r="AN94" s="64" t="str">
        <f>INDEX(Table2[AWAY_RECORD], MATCH(Table1[[#This Row],[AwayTeam]],Table2[Team], 0), 0)</f>
        <v>0-1-0</v>
      </c>
      <c r="AO94" s="64" t="str">
        <f>INDEX(Records!$B$2:$AG$33, MATCH(Table1[[#This Row],[AwayTeam]],Records!$A$2:$A$33, 0), MATCH(Table1[[#This Row],[HomeTeam]],Records!$A$2:$A$33, 0))</f>
        <v>0-1-0</v>
      </c>
      <c r="AP94" s="64" t="str">
        <f>INDEX(Table2[HOME_RECORD], MATCH(Table1[[#This Row],[HomeTeam]],Table2[Team], 0), 0)</f>
        <v>1-1-0</v>
      </c>
      <c r="AQ94" s="64" t="str">
        <f>INDEX(Records!$B$2:$AG$33, MATCH(Table1[[#This Row],[HomeTeam]],Records!$A$2:$A$33, 0), MATCH(Table1[[#This Row],[AwayTeam]],Records!$A$2:$A$33, 0))</f>
        <v>1-0-0</v>
      </c>
    </row>
    <row r="95" spans="1:43" x14ac:dyDescent="0.25">
      <c r="A95" s="1"/>
      <c r="D95" t="s">
        <v>273</v>
      </c>
      <c r="E95" t="s">
        <v>160</v>
      </c>
      <c r="F95" t="s">
        <v>280</v>
      </c>
      <c r="G95" t="s">
        <v>56</v>
      </c>
      <c r="H95" t="s">
        <v>53</v>
      </c>
      <c r="L9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5" s="1"/>
      <c r="T95" s="64" t="str">
        <f>IF(Table1[[#This Row],[ActualWinner]]="", "", IF(Table1[[#This Row],[AwayTeam]]=Table1[[#This Row],[ActualWinner]],Table1[[#This Row],[HomeTeam]],Table1[[#This Row],[AwayTeam]]))</f>
        <v/>
      </c>
      <c r="U95" s="64">
        <f>Table1[[#This Row],[ActualAwayScore]]-Table1[[#This Row],[PredictedAwayScore]]</f>
        <v>0</v>
      </c>
      <c r="V95" s="64">
        <f>Table1[[#This Row],[ActualHomeScore]]-Table1[[#This Row],[PredictedHomeScore]]</f>
        <v>0</v>
      </c>
      <c r="W95" s="64">
        <f>(0.8*IF(Table1[[#This Row],[CorrectWinnerPrediction]]=1, 1, 0))+(0.1*IF(Table1[[#This Row],[CorrectAwayScorePrediction]]=1, 1, 0))+(0.1*IF(Table1[[#This Row],[CorrectHomeScorePrediction]]=1, 1, 0))</f>
        <v>0</v>
      </c>
      <c r="X9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5" s="64">
        <f>SUMIF(Table1[GameDate], Table1[[#This Row],[GameDate]], Table1[AwayGameGoalDiff])</f>
        <v>0</v>
      </c>
      <c r="AA95" s="64">
        <f>SUMIF(Table1[GameDate], Table1[[#This Row],[GameDate]], Table1[HomeGameGoalDiff])</f>
        <v>0</v>
      </c>
      <c r="AB95" s="64">
        <f>IF(ISBLANK(Table1[[#This Row],[ActualResult]]), 0, 1)</f>
        <v>0</v>
      </c>
      <c r="AC95" s="64">
        <f>IF(ISBLANK(Table1[[#This Row],[ActualResult]]), 0, IF(Table1[[#This Row],[ActualWinner]]=Table1[[#This Row],[PredictedWinner]], 1, 0))</f>
        <v>0</v>
      </c>
      <c r="AD9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5" s="64">
        <f>IF(AND(Table1[[#This Row],[GameIsOver]]=1,Table1[[#This Row],[ActualAwayScore]]=0), 1,0)</f>
        <v>0</v>
      </c>
      <c r="AG95" s="64">
        <f>IF(AND(Table1[[#This Row],[GameIsOver]]=1,Table1[[#This Row],[ActualHomeScore]]=0), 1,0)</f>
        <v>0</v>
      </c>
      <c r="AH95" s="64">
        <f>IF(Table1[[#This Row],[GameIsOver]]=0,0,IF(Table1[[#This Row],[ActualWinner]]=Table1[[#This Row],[AwayTeam]], 1, 0))</f>
        <v>0</v>
      </c>
      <c r="AI95" s="64">
        <f>IF(Table1[[#This Row],[GameIsOver]]=0,0,IF(Table1[[#This Row],[ActualWinner]]=Table1[[#This Row],[HomeTeam]], 1, 0))</f>
        <v>0</v>
      </c>
      <c r="AJ95" s="64">
        <f>IF(INDEX(Standings!$A$2:$C$33,MATCH(Table1[[#This Row],[AwayTeam]],Standings!$A$2:$A$33,0),2)=INDEX(Standings!$A$2:$C$33,MATCH(Table1[[#This Row],[HomeTeam]],Standings!$A$2:$A$33,0),2),1,0)</f>
        <v>0</v>
      </c>
      <c r="AK95" s="64">
        <f>IF(INDEX(Standings!$A$2:$C$33,MATCH(Table1[[#This Row],[AwayTeam]],Standings!$A$2:$A$33,0),3)=INDEX(Standings!$A$2:$C$33,MATCH(Table1[[#This Row],[HomeTeam]],Standings!$A$2:$A$33,0),3),1,0)</f>
        <v>0</v>
      </c>
      <c r="AL95" s="64">
        <f>IF(Table1[[#This Row],[InterConf]]=1,IF(Table1[[#This Row],[InterDiv]]=0, 1, 0), 0)</f>
        <v>0</v>
      </c>
      <c r="AM95" s="64">
        <f>IF(INDEX(Standings!$A$2:$C$33,MATCH(Table1[[#This Row],[AwayTeam]],Standings!$A$2:$A$33,0),2)&lt;&gt;INDEX(Standings!$A$2:$C$33,MATCH(Table1[[#This Row],[HomeTeam]],Standings!$A$2:$A$33,0),2),1,0)</f>
        <v>1</v>
      </c>
      <c r="AN95" s="64" t="str">
        <f>INDEX(Table2[AWAY_RECORD], MATCH(Table1[[#This Row],[AwayTeam]],Table2[Team], 0), 0)</f>
        <v>1-0-0</v>
      </c>
      <c r="AO95" s="64" t="str">
        <f>INDEX(Records!$B$2:$AG$33, MATCH(Table1[[#This Row],[AwayTeam]],Records!$A$2:$A$33, 0), MATCH(Table1[[#This Row],[HomeTeam]],Records!$A$2:$A$33, 0))</f>
        <v>0-0-0</v>
      </c>
      <c r="AP95" s="64" t="str">
        <f>INDEX(Table2[HOME_RECORD], MATCH(Table1[[#This Row],[HomeTeam]],Table2[Team], 0), 0)</f>
        <v>1-0-0</v>
      </c>
      <c r="AQ95" s="64" t="str">
        <f>INDEX(Records!$B$2:$AG$33, MATCH(Table1[[#This Row],[HomeTeam]],Records!$A$2:$A$33, 0), MATCH(Table1[[#This Row],[AwayTeam]],Records!$A$2:$A$33, 0))</f>
        <v>0-0-0</v>
      </c>
    </row>
    <row r="96" spans="1:43" x14ac:dyDescent="0.25">
      <c r="A96" s="1"/>
      <c r="D96" t="s">
        <v>273</v>
      </c>
      <c r="E96" t="s">
        <v>281</v>
      </c>
      <c r="F96" t="s">
        <v>282</v>
      </c>
      <c r="G96" t="s">
        <v>57</v>
      </c>
      <c r="H96" t="s">
        <v>51</v>
      </c>
      <c r="L9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6" s="1"/>
      <c r="T96" s="64" t="str">
        <f>IF(Table1[[#This Row],[ActualWinner]]="", "", IF(Table1[[#This Row],[AwayTeam]]=Table1[[#This Row],[ActualWinner]],Table1[[#This Row],[HomeTeam]],Table1[[#This Row],[AwayTeam]]))</f>
        <v/>
      </c>
      <c r="U96" s="64">
        <f>Table1[[#This Row],[ActualAwayScore]]-Table1[[#This Row],[PredictedAwayScore]]</f>
        <v>0</v>
      </c>
      <c r="V96" s="64">
        <f>Table1[[#This Row],[ActualHomeScore]]-Table1[[#This Row],[PredictedHomeScore]]</f>
        <v>0</v>
      </c>
      <c r="W96" s="64">
        <f>(0.8*IF(Table1[[#This Row],[CorrectWinnerPrediction]]=1, 1, 0))+(0.1*IF(Table1[[#This Row],[CorrectAwayScorePrediction]]=1, 1, 0))+(0.1*IF(Table1[[#This Row],[CorrectHomeScorePrediction]]=1, 1, 0))</f>
        <v>0</v>
      </c>
      <c r="X9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6" s="64">
        <f>SUMIF(Table1[GameDate], Table1[[#This Row],[GameDate]], Table1[AwayGameGoalDiff])</f>
        <v>0</v>
      </c>
      <c r="AA96" s="64">
        <f>SUMIF(Table1[GameDate], Table1[[#This Row],[GameDate]], Table1[HomeGameGoalDiff])</f>
        <v>0</v>
      </c>
      <c r="AB96" s="64">
        <f>IF(ISBLANK(Table1[[#This Row],[ActualResult]]), 0, 1)</f>
        <v>0</v>
      </c>
      <c r="AC96" s="64">
        <f>IF(ISBLANK(Table1[[#This Row],[ActualResult]]), 0, IF(Table1[[#This Row],[ActualWinner]]=Table1[[#This Row],[PredictedWinner]], 1, 0))</f>
        <v>0</v>
      </c>
      <c r="AD9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6" s="64">
        <f>IF(AND(Table1[[#This Row],[GameIsOver]]=1,Table1[[#This Row],[ActualAwayScore]]=0), 1,0)</f>
        <v>0</v>
      </c>
      <c r="AG96" s="64">
        <f>IF(AND(Table1[[#This Row],[GameIsOver]]=1,Table1[[#This Row],[ActualHomeScore]]=0), 1,0)</f>
        <v>0</v>
      </c>
      <c r="AH96" s="64">
        <f>IF(Table1[[#This Row],[GameIsOver]]=0,0,IF(Table1[[#This Row],[ActualWinner]]=Table1[[#This Row],[AwayTeam]], 1, 0))</f>
        <v>0</v>
      </c>
      <c r="AI96" s="64">
        <f>IF(Table1[[#This Row],[GameIsOver]]=0,0,IF(Table1[[#This Row],[ActualWinner]]=Table1[[#This Row],[HomeTeam]], 1, 0))</f>
        <v>0</v>
      </c>
      <c r="AJ96" s="64">
        <f>IF(INDEX(Standings!$A$2:$C$33,MATCH(Table1[[#This Row],[AwayTeam]],Standings!$A$2:$A$33,0),2)=INDEX(Standings!$A$2:$C$33,MATCH(Table1[[#This Row],[HomeTeam]],Standings!$A$2:$A$33,0),2),1,0)</f>
        <v>1</v>
      </c>
      <c r="AK96" s="64">
        <f>IF(INDEX(Standings!$A$2:$C$33,MATCH(Table1[[#This Row],[AwayTeam]],Standings!$A$2:$A$33,0),3)=INDEX(Standings!$A$2:$C$33,MATCH(Table1[[#This Row],[HomeTeam]],Standings!$A$2:$A$33,0),3),1,0)</f>
        <v>0</v>
      </c>
      <c r="AL96" s="64">
        <f>IF(Table1[[#This Row],[InterConf]]=1,IF(Table1[[#This Row],[InterDiv]]=0, 1, 0), 0)</f>
        <v>1</v>
      </c>
      <c r="AM96" s="64">
        <f>IF(INDEX(Standings!$A$2:$C$33,MATCH(Table1[[#This Row],[AwayTeam]],Standings!$A$2:$A$33,0),2)&lt;&gt;INDEX(Standings!$A$2:$C$33,MATCH(Table1[[#This Row],[HomeTeam]],Standings!$A$2:$A$33,0),2),1,0)</f>
        <v>0</v>
      </c>
      <c r="AN96" s="64" t="str">
        <f>INDEX(Table2[AWAY_RECORD], MATCH(Table1[[#This Row],[AwayTeam]],Table2[Team], 0), 0)</f>
        <v>0-1-0</v>
      </c>
      <c r="AO96" s="64" t="str">
        <f>INDEX(Records!$B$2:$AG$33, MATCH(Table1[[#This Row],[AwayTeam]],Records!$A$2:$A$33, 0), MATCH(Table1[[#This Row],[HomeTeam]],Records!$A$2:$A$33, 0))</f>
        <v>0-1-0</v>
      </c>
      <c r="AP96" s="64" t="str">
        <f>INDEX(Table2[HOME_RECORD], MATCH(Table1[[#This Row],[HomeTeam]],Table2[Team], 0), 0)</f>
        <v>1-0-0</v>
      </c>
      <c r="AQ96" s="64" t="str">
        <f>INDEX(Records!$B$2:$AG$33, MATCH(Table1[[#This Row],[HomeTeam]],Records!$A$2:$A$33, 0), MATCH(Table1[[#This Row],[AwayTeam]],Records!$A$2:$A$33, 0))</f>
        <v>1-0-0</v>
      </c>
    </row>
    <row r="97" spans="1:43" x14ac:dyDescent="0.25">
      <c r="A97" s="1"/>
      <c r="D97" t="s">
        <v>273</v>
      </c>
      <c r="E97" t="s">
        <v>169</v>
      </c>
      <c r="F97" t="s">
        <v>283</v>
      </c>
      <c r="G97" t="s">
        <v>61</v>
      </c>
      <c r="H97" t="s">
        <v>52</v>
      </c>
      <c r="L9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7" s="1"/>
      <c r="T97" s="64" t="str">
        <f>IF(Table1[[#This Row],[ActualWinner]]="", "", IF(Table1[[#This Row],[AwayTeam]]=Table1[[#This Row],[ActualWinner]],Table1[[#This Row],[HomeTeam]],Table1[[#This Row],[AwayTeam]]))</f>
        <v/>
      </c>
      <c r="U97" s="64">
        <f>Table1[[#This Row],[ActualAwayScore]]-Table1[[#This Row],[PredictedAwayScore]]</f>
        <v>0</v>
      </c>
      <c r="V97" s="64">
        <f>Table1[[#This Row],[ActualHomeScore]]-Table1[[#This Row],[PredictedHomeScore]]</f>
        <v>0</v>
      </c>
      <c r="W97" s="64">
        <f>(0.8*IF(Table1[[#This Row],[CorrectWinnerPrediction]]=1, 1, 0))+(0.1*IF(Table1[[#This Row],[CorrectAwayScorePrediction]]=1, 1, 0))+(0.1*IF(Table1[[#This Row],[CorrectHomeScorePrediction]]=1, 1, 0))</f>
        <v>0</v>
      </c>
      <c r="X9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7" s="64">
        <f>SUMIF(Table1[GameDate], Table1[[#This Row],[GameDate]], Table1[AwayGameGoalDiff])</f>
        <v>0</v>
      </c>
      <c r="AA97" s="64">
        <f>SUMIF(Table1[GameDate], Table1[[#This Row],[GameDate]], Table1[HomeGameGoalDiff])</f>
        <v>0</v>
      </c>
      <c r="AB97" s="64">
        <f>IF(ISBLANK(Table1[[#This Row],[ActualResult]]), 0, 1)</f>
        <v>0</v>
      </c>
      <c r="AC97" s="64">
        <f>IF(ISBLANK(Table1[[#This Row],[ActualResult]]), 0, IF(Table1[[#This Row],[ActualWinner]]=Table1[[#This Row],[PredictedWinner]], 1, 0))</f>
        <v>0</v>
      </c>
      <c r="AD9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7" s="64">
        <f>IF(AND(Table1[[#This Row],[GameIsOver]]=1,Table1[[#This Row],[ActualAwayScore]]=0), 1,0)</f>
        <v>0</v>
      </c>
      <c r="AG97" s="64">
        <f>IF(AND(Table1[[#This Row],[GameIsOver]]=1,Table1[[#This Row],[ActualHomeScore]]=0), 1,0)</f>
        <v>0</v>
      </c>
      <c r="AH97" s="64">
        <f>IF(Table1[[#This Row],[GameIsOver]]=0,0,IF(Table1[[#This Row],[ActualWinner]]=Table1[[#This Row],[AwayTeam]], 1, 0))</f>
        <v>0</v>
      </c>
      <c r="AI97" s="64">
        <f>IF(Table1[[#This Row],[GameIsOver]]=0,0,IF(Table1[[#This Row],[ActualWinner]]=Table1[[#This Row],[HomeTeam]], 1, 0))</f>
        <v>0</v>
      </c>
      <c r="AJ97" s="64">
        <f>IF(INDEX(Standings!$A$2:$C$33,MATCH(Table1[[#This Row],[AwayTeam]],Standings!$A$2:$A$33,0),2)=INDEX(Standings!$A$2:$C$33,MATCH(Table1[[#This Row],[HomeTeam]],Standings!$A$2:$A$33,0),2),1,0)</f>
        <v>0</v>
      </c>
      <c r="AK97" s="64">
        <f>IF(INDEX(Standings!$A$2:$C$33,MATCH(Table1[[#This Row],[AwayTeam]],Standings!$A$2:$A$33,0),3)=INDEX(Standings!$A$2:$C$33,MATCH(Table1[[#This Row],[HomeTeam]],Standings!$A$2:$A$33,0),3),1,0)</f>
        <v>0</v>
      </c>
      <c r="AL97" s="64">
        <f>IF(Table1[[#This Row],[InterConf]]=1,IF(Table1[[#This Row],[InterDiv]]=0, 1, 0), 0)</f>
        <v>0</v>
      </c>
      <c r="AM97" s="64">
        <f>IF(INDEX(Standings!$A$2:$C$33,MATCH(Table1[[#This Row],[AwayTeam]],Standings!$A$2:$A$33,0),2)&lt;&gt;INDEX(Standings!$A$2:$C$33,MATCH(Table1[[#This Row],[HomeTeam]],Standings!$A$2:$A$33,0),2),1,0)</f>
        <v>1</v>
      </c>
      <c r="AN97" s="64" t="str">
        <f>INDEX(Table2[AWAY_RECORD], MATCH(Table1[[#This Row],[AwayTeam]],Table2[Team], 0), 0)</f>
        <v>0-0-0</v>
      </c>
      <c r="AO97" s="64" t="str">
        <f>INDEX(Records!$B$2:$AG$33, MATCH(Table1[[#This Row],[AwayTeam]],Records!$A$2:$A$33, 0), MATCH(Table1[[#This Row],[HomeTeam]],Records!$A$2:$A$33, 0))</f>
        <v>0-0-0</v>
      </c>
      <c r="AP97" s="64" t="str">
        <f>INDEX(Table2[HOME_RECORD], MATCH(Table1[[#This Row],[HomeTeam]],Table2[Team], 0), 0)</f>
        <v>0-0-0</v>
      </c>
      <c r="AQ97" s="64" t="str">
        <f>INDEX(Records!$B$2:$AG$33, MATCH(Table1[[#This Row],[HomeTeam]],Records!$A$2:$A$33, 0), MATCH(Table1[[#This Row],[AwayTeam]],Records!$A$2:$A$33, 0))</f>
        <v>0-0-0</v>
      </c>
    </row>
    <row r="98" spans="1:43" x14ac:dyDescent="0.25">
      <c r="A98" s="1"/>
      <c r="D98" t="s">
        <v>273</v>
      </c>
      <c r="E98" t="s">
        <v>284</v>
      </c>
      <c r="F98" t="s">
        <v>285</v>
      </c>
      <c r="G98" t="s">
        <v>23</v>
      </c>
      <c r="H98" t="s">
        <v>50</v>
      </c>
      <c r="L9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8" s="1"/>
      <c r="T98" s="64" t="str">
        <f>IF(Table1[[#This Row],[ActualWinner]]="", "", IF(Table1[[#This Row],[AwayTeam]]=Table1[[#This Row],[ActualWinner]],Table1[[#This Row],[HomeTeam]],Table1[[#This Row],[AwayTeam]]))</f>
        <v/>
      </c>
      <c r="U98" s="64">
        <f>Table1[[#This Row],[ActualAwayScore]]-Table1[[#This Row],[PredictedAwayScore]]</f>
        <v>0</v>
      </c>
      <c r="V98" s="64">
        <f>Table1[[#This Row],[ActualHomeScore]]-Table1[[#This Row],[PredictedHomeScore]]</f>
        <v>0</v>
      </c>
      <c r="W98" s="64">
        <f>(0.8*IF(Table1[[#This Row],[CorrectWinnerPrediction]]=1, 1, 0))+(0.1*IF(Table1[[#This Row],[CorrectAwayScorePrediction]]=1, 1, 0))+(0.1*IF(Table1[[#This Row],[CorrectHomeScorePrediction]]=1, 1, 0))</f>
        <v>0</v>
      </c>
      <c r="X9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8" s="64">
        <f>SUMIF(Table1[GameDate], Table1[[#This Row],[GameDate]], Table1[AwayGameGoalDiff])</f>
        <v>0</v>
      </c>
      <c r="AA98" s="64">
        <f>SUMIF(Table1[GameDate], Table1[[#This Row],[GameDate]], Table1[HomeGameGoalDiff])</f>
        <v>0</v>
      </c>
      <c r="AB98" s="64">
        <f>IF(ISBLANK(Table1[[#This Row],[ActualResult]]), 0, 1)</f>
        <v>0</v>
      </c>
      <c r="AC98" s="64">
        <f>IF(ISBLANK(Table1[[#This Row],[ActualResult]]), 0, IF(Table1[[#This Row],[ActualWinner]]=Table1[[#This Row],[PredictedWinner]], 1, 0))</f>
        <v>0</v>
      </c>
      <c r="AD9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8" s="64">
        <f>IF(AND(Table1[[#This Row],[GameIsOver]]=1,Table1[[#This Row],[ActualAwayScore]]=0), 1,0)</f>
        <v>0</v>
      </c>
      <c r="AG98" s="64">
        <f>IF(AND(Table1[[#This Row],[GameIsOver]]=1,Table1[[#This Row],[ActualHomeScore]]=0), 1,0)</f>
        <v>0</v>
      </c>
      <c r="AH98" s="64">
        <f>IF(Table1[[#This Row],[GameIsOver]]=0,0,IF(Table1[[#This Row],[ActualWinner]]=Table1[[#This Row],[AwayTeam]], 1, 0))</f>
        <v>0</v>
      </c>
      <c r="AI98" s="64">
        <f>IF(Table1[[#This Row],[GameIsOver]]=0,0,IF(Table1[[#This Row],[ActualWinner]]=Table1[[#This Row],[HomeTeam]], 1, 0))</f>
        <v>0</v>
      </c>
      <c r="AJ98" s="64">
        <f>IF(INDEX(Standings!$A$2:$C$33,MATCH(Table1[[#This Row],[AwayTeam]],Standings!$A$2:$A$33,0),2)=INDEX(Standings!$A$2:$C$33,MATCH(Table1[[#This Row],[HomeTeam]],Standings!$A$2:$A$33,0),2),1,0)</f>
        <v>0</v>
      </c>
      <c r="AK98" s="64">
        <f>IF(INDEX(Standings!$A$2:$C$33,MATCH(Table1[[#This Row],[AwayTeam]],Standings!$A$2:$A$33,0),3)=INDEX(Standings!$A$2:$C$33,MATCH(Table1[[#This Row],[HomeTeam]],Standings!$A$2:$A$33,0),3),1,0)</f>
        <v>0</v>
      </c>
      <c r="AL98" s="64">
        <f>IF(Table1[[#This Row],[InterConf]]=1,IF(Table1[[#This Row],[InterDiv]]=0, 1, 0), 0)</f>
        <v>0</v>
      </c>
      <c r="AM98" s="64">
        <f>IF(INDEX(Standings!$A$2:$C$33,MATCH(Table1[[#This Row],[AwayTeam]],Standings!$A$2:$A$33,0),2)&lt;&gt;INDEX(Standings!$A$2:$C$33,MATCH(Table1[[#This Row],[HomeTeam]],Standings!$A$2:$A$33,0),2),1,0)</f>
        <v>1</v>
      </c>
      <c r="AN98" s="64" t="str">
        <f>INDEX(Table2[AWAY_RECORD], MATCH(Table1[[#This Row],[AwayTeam]],Table2[Team], 0), 0)</f>
        <v>0-0-1</v>
      </c>
      <c r="AO98" s="64" t="str">
        <f>INDEX(Records!$B$2:$AG$33, MATCH(Table1[[#This Row],[AwayTeam]],Records!$A$2:$A$33, 0), MATCH(Table1[[#This Row],[HomeTeam]],Records!$A$2:$A$33, 0))</f>
        <v>0-0-0</v>
      </c>
      <c r="AP98" s="64" t="str">
        <f>INDEX(Table2[HOME_RECORD], MATCH(Table1[[#This Row],[HomeTeam]],Table2[Team], 0), 0)</f>
        <v>0-0-0</v>
      </c>
      <c r="AQ98" s="64" t="str">
        <f>INDEX(Records!$B$2:$AG$33, MATCH(Table1[[#This Row],[HomeTeam]],Records!$A$2:$A$33, 0), MATCH(Table1[[#This Row],[AwayTeam]],Records!$A$2:$A$33, 0))</f>
        <v>0-0-0</v>
      </c>
    </row>
    <row r="99" spans="1:43" x14ac:dyDescent="0.25">
      <c r="A99" s="1"/>
      <c r="D99" t="s">
        <v>273</v>
      </c>
      <c r="E99" t="s">
        <v>162</v>
      </c>
      <c r="F99" t="s">
        <v>286</v>
      </c>
      <c r="G99" t="s">
        <v>54</v>
      </c>
      <c r="H99" t="s">
        <v>16</v>
      </c>
      <c r="L9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9" s="1"/>
      <c r="T99" s="64" t="str">
        <f>IF(Table1[[#This Row],[ActualWinner]]="", "", IF(Table1[[#This Row],[AwayTeam]]=Table1[[#This Row],[ActualWinner]],Table1[[#This Row],[HomeTeam]],Table1[[#This Row],[AwayTeam]]))</f>
        <v/>
      </c>
      <c r="U99" s="64">
        <f>Table1[[#This Row],[ActualAwayScore]]-Table1[[#This Row],[PredictedAwayScore]]</f>
        <v>0</v>
      </c>
      <c r="V99" s="64">
        <f>Table1[[#This Row],[ActualHomeScore]]-Table1[[#This Row],[PredictedHomeScore]]</f>
        <v>0</v>
      </c>
      <c r="W99" s="64">
        <f>(0.8*IF(Table1[[#This Row],[CorrectWinnerPrediction]]=1, 1, 0))+(0.1*IF(Table1[[#This Row],[CorrectAwayScorePrediction]]=1, 1, 0))+(0.1*IF(Table1[[#This Row],[CorrectHomeScorePrediction]]=1, 1, 0))</f>
        <v>0</v>
      </c>
      <c r="X9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9" s="64">
        <f>SUMIF(Table1[GameDate], Table1[[#This Row],[GameDate]], Table1[AwayGameGoalDiff])</f>
        <v>0</v>
      </c>
      <c r="AA99" s="64">
        <f>SUMIF(Table1[GameDate], Table1[[#This Row],[GameDate]], Table1[HomeGameGoalDiff])</f>
        <v>0</v>
      </c>
      <c r="AB99" s="64">
        <f>IF(ISBLANK(Table1[[#This Row],[ActualResult]]), 0, 1)</f>
        <v>0</v>
      </c>
      <c r="AC99" s="64">
        <f>IF(ISBLANK(Table1[[#This Row],[ActualResult]]), 0, IF(Table1[[#This Row],[ActualWinner]]=Table1[[#This Row],[PredictedWinner]], 1, 0))</f>
        <v>0</v>
      </c>
      <c r="AD9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9" s="64">
        <f>IF(AND(Table1[[#This Row],[GameIsOver]]=1,Table1[[#This Row],[ActualAwayScore]]=0), 1,0)</f>
        <v>0</v>
      </c>
      <c r="AG99" s="64">
        <f>IF(AND(Table1[[#This Row],[GameIsOver]]=1,Table1[[#This Row],[ActualHomeScore]]=0), 1,0)</f>
        <v>0</v>
      </c>
      <c r="AH99" s="64">
        <f>IF(Table1[[#This Row],[GameIsOver]]=0,0,IF(Table1[[#This Row],[ActualWinner]]=Table1[[#This Row],[AwayTeam]], 1, 0))</f>
        <v>0</v>
      </c>
      <c r="AI99" s="64">
        <f>IF(Table1[[#This Row],[GameIsOver]]=0,0,IF(Table1[[#This Row],[ActualWinner]]=Table1[[#This Row],[HomeTeam]], 1, 0))</f>
        <v>0</v>
      </c>
      <c r="AJ99" s="64">
        <f>IF(INDEX(Standings!$A$2:$C$33,MATCH(Table1[[#This Row],[AwayTeam]],Standings!$A$2:$A$33,0),2)=INDEX(Standings!$A$2:$C$33,MATCH(Table1[[#This Row],[HomeTeam]],Standings!$A$2:$A$33,0),2),1,0)</f>
        <v>0</v>
      </c>
      <c r="AK99" s="64">
        <f>IF(INDEX(Standings!$A$2:$C$33,MATCH(Table1[[#This Row],[AwayTeam]],Standings!$A$2:$A$33,0),3)=INDEX(Standings!$A$2:$C$33,MATCH(Table1[[#This Row],[HomeTeam]],Standings!$A$2:$A$33,0),3),1,0)</f>
        <v>0</v>
      </c>
      <c r="AL99" s="64">
        <f>IF(Table1[[#This Row],[InterConf]]=1,IF(Table1[[#This Row],[InterDiv]]=0, 1, 0), 0)</f>
        <v>0</v>
      </c>
      <c r="AM99" s="64">
        <f>IF(INDEX(Standings!$A$2:$C$33,MATCH(Table1[[#This Row],[AwayTeam]],Standings!$A$2:$A$33,0),2)&lt;&gt;INDEX(Standings!$A$2:$C$33,MATCH(Table1[[#This Row],[HomeTeam]],Standings!$A$2:$A$33,0),2),1,0)</f>
        <v>1</v>
      </c>
      <c r="AN99" s="64" t="str">
        <f>INDEX(Table2[AWAY_RECORD], MATCH(Table1[[#This Row],[AwayTeam]],Table2[Team], 0), 0)</f>
        <v>0-0-1</v>
      </c>
      <c r="AO99" s="64" t="str">
        <f>INDEX(Records!$B$2:$AG$33, MATCH(Table1[[#This Row],[AwayTeam]],Records!$A$2:$A$33, 0), MATCH(Table1[[#This Row],[HomeTeam]],Records!$A$2:$A$33, 0))</f>
        <v>0-0-0</v>
      </c>
      <c r="AP99" s="64" t="str">
        <f>INDEX(Table2[HOME_RECORD], MATCH(Table1[[#This Row],[HomeTeam]],Table2[Team], 0), 0)</f>
        <v>0-0-0</v>
      </c>
      <c r="AQ99" s="64" t="str">
        <f>INDEX(Records!$B$2:$AG$33, MATCH(Table1[[#This Row],[HomeTeam]],Records!$A$2:$A$33, 0), MATCH(Table1[[#This Row],[AwayTeam]],Records!$A$2:$A$33, 0))</f>
        <v>0-0-0</v>
      </c>
    </row>
    <row r="100" spans="1:43" x14ac:dyDescent="0.25">
      <c r="A100" s="1"/>
      <c r="D100" t="s">
        <v>273</v>
      </c>
      <c r="E100" t="s">
        <v>287</v>
      </c>
      <c r="F100" t="s">
        <v>288</v>
      </c>
      <c r="G100" t="s">
        <v>22</v>
      </c>
      <c r="H100" t="s">
        <v>60</v>
      </c>
      <c r="L10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0" s="1"/>
      <c r="T100" s="64" t="str">
        <f>IF(Table1[[#This Row],[ActualWinner]]="", "", IF(Table1[[#This Row],[AwayTeam]]=Table1[[#This Row],[ActualWinner]],Table1[[#This Row],[HomeTeam]],Table1[[#This Row],[AwayTeam]]))</f>
        <v/>
      </c>
      <c r="U100" s="64">
        <f>Table1[[#This Row],[ActualAwayScore]]-Table1[[#This Row],[PredictedAwayScore]]</f>
        <v>0</v>
      </c>
      <c r="V100" s="64">
        <f>Table1[[#This Row],[ActualHomeScore]]-Table1[[#This Row],[PredictedHomeScore]]</f>
        <v>0</v>
      </c>
      <c r="W100" s="64">
        <f>(0.8*IF(Table1[[#This Row],[CorrectWinnerPrediction]]=1, 1, 0))+(0.1*IF(Table1[[#This Row],[CorrectAwayScorePrediction]]=1, 1, 0))+(0.1*IF(Table1[[#This Row],[CorrectHomeScorePrediction]]=1, 1, 0))</f>
        <v>0</v>
      </c>
      <c r="X10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0" s="64">
        <f>SUMIF(Table1[GameDate], Table1[[#This Row],[GameDate]], Table1[AwayGameGoalDiff])</f>
        <v>0</v>
      </c>
      <c r="AA100" s="64">
        <f>SUMIF(Table1[GameDate], Table1[[#This Row],[GameDate]], Table1[HomeGameGoalDiff])</f>
        <v>0</v>
      </c>
      <c r="AB100" s="64">
        <f>IF(ISBLANK(Table1[[#This Row],[ActualResult]]), 0, 1)</f>
        <v>0</v>
      </c>
      <c r="AC100" s="64">
        <f>IF(ISBLANK(Table1[[#This Row],[ActualResult]]), 0, IF(Table1[[#This Row],[ActualWinner]]=Table1[[#This Row],[PredictedWinner]], 1, 0))</f>
        <v>0</v>
      </c>
      <c r="AD10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0" s="64">
        <f>IF(AND(Table1[[#This Row],[GameIsOver]]=1,Table1[[#This Row],[ActualAwayScore]]=0), 1,0)</f>
        <v>0</v>
      </c>
      <c r="AG100" s="64">
        <f>IF(AND(Table1[[#This Row],[GameIsOver]]=1,Table1[[#This Row],[ActualHomeScore]]=0), 1,0)</f>
        <v>0</v>
      </c>
      <c r="AH100" s="64">
        <f>IF(Table1[[#This Row],[GameIsOver]]=0,0,IF(Table1[[#This Row],[ActualWinner]]=Table1[[#This Row],[AwayTeam]], 1, 0))</f>
        <v>0</v>
      </c>
      <c r="AI100" s="64">
        <f>IF(Table1[[#This Row],[GameIsOver]]=0,0,IF(Table1[[#This Row],[ActualWinner]]=Table1[[#This Row],[HomeTeam]], 1, 0))</f>
        <v>0</v>
      </c>
      <c r="AJ100" s="64">
        <f>IF(INDEX(Standings!$A$2:$C$33,MATCH(Table1[[#This Row],[AwayTeam]],Standings!$A$2:$A$33,0),2)=INDEX(Standings!$A$2:$C$33,MATCH(Table1[[#This Row],[HomeTeam]],Standings!$A$2:$A$33,0),2),1,0)</f>
        <v>1</v>
      </c>
      <c r="AK100" s="64">
        <f>IF(INDEX(Standings!$A$2:$C$33,MATCH(Table1[[#This Row],[AwayTeam]],Standings!$A$2:$A$33,0),3)=INDEX(Standings!$A$2:$C$33,MATCH(Table1[[#This Row],[HomeTeam]],Standings!$A$2:$A$33,0),3),1,0)</f>
        <v>1</v>
      </c>
      <c r="AL100" s="64">
        <f>IF(Table1[[#This Row],[InterConf]]=1,IF(Table1[[#This Row],[InterDiv]]=0, 1, 0), 0)</f>
        <v>0</v>
      </c>
      <c r="AM100" s="64">
        <f>IF(INDEX(Standings!$A$2:$C$33,MATCH(Table1[[#This Row],[AwayTeam]],Standings!$A$2:$A$33,0),2)&lt;&gt;INDEX(Standings!$A$2:$C$33,MATCH(Table1[[#This Row],[HomeTeam]],Standings!$A$2:$A$33,0),2),1,0)</f>
        <v>0</v>
      </c>
      <c r="AN100" s="64" t="str">
        <f>INDEX(Table2[AWAY_RECORD], MATCH(Table1[[#This Row],[AwayTeam]],Table2[Team], 0), 0)</f>
        <v>0-0-1</v>
      </c>
      <c r="AO100" s="64" t="str">
        <f>INDEX(Records!$B$2:$AG$33, MATCH(Table1[[#This Row],[AwayTeam]],Records!$A$2:$A$33, 0), MATCH(Table1[[#This Row],[HomeTeam]],Records!$A$2:$A$33, 0))</f>
        <v>0-0-0</v>
      </c>
      <c r="AP100" s="64" t="str">
        <f>INDEX(Table2[HOME_RECORD], MATCH(Table1[[#This Row],[HomeTeam]],Table2[Team], 0), 0)</f>
        <v>1-0-0</v>
      </c>
      <c r="AQ100" s="64" t="str">
        <f>INDEX(Records!$B$2:$AG$33, MATCH(Table1[[#This Row],[HomeTeam]],Records!$A$2:$A$33, 0), MATCH(Table1[[#This Row],[AwayTeam]],Records!$A$2:$A$33, 0))</f>
        <v>0-0-0</v>
      </c>
    </row>
    <row r="101" spans="1:43" x14ac:dyDescent="0.25">
      <c r="A101" s="1"/>
      <c r="D101" t="s">
        <v>273</v>
      </c>
      <c r="E101" t="s">
        <v>289</v>
      </c>
      <c r="F101" t="s">
        <v>290</v>
      </c>
      <c r="G101" t="s">
        <v>41</v>
      </c>
      <c r="H101" t="s">
        <v>43</v>
      </c>
      <c r="L10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1" s="1"/>
      <c r="T101" s="64" t="str">
        <f>IF(Table1[[#This Row],[ActualWinner]]="", "", IF(Table1[[#This Row],[AwayTeam]]=Table1[[#This Row],[ActualWinner]],Table1[[#This Row],[HomeTeam]],Table1[[#This Row],[AwayTeam]]))</f>
        <v/>
      </c>
      <c r="U101" s="64">
        <f>Table1[[#This Row],[ActualAwayScore]]-Table1[[#This Row],[PredictedAwayScore]]</f>
        <v>0</v>
      </c>
      <c r="V101" s="64">
        <f>Table1[[#This Row],[ActualHomeScore]]-Table1[[#This Row],[PredictedHomeScore]]</f>
        <v>0</v>
      </c>
      <c r="W101" s="64">
        <f>(0.8*IF(Table1[[#This Row],[CorrectWinnerPrediction]]=1, 1, 0))+(0.1*IF(Table1[[#This Row],[CorrectAwayScorePrediction]]=1, 1, 0))+(0.1*IF(Table1[[#This Row],[CorrectHomeScorePrediction]]=1, 1, 0))</f>
        <v>0</v>
      </c>
      <c r="X10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1" s="64">
        <f>SUMIF(Table1[GameDate], Table1[[#This Row],[GameDate]], Table1[AwayGameGoalDiff])</f>
        <v>0</v>
      </c>
      <c r="AA101" s="64">
        <f>SUMIF(Table1[GameDate], Table1[[#This Row],[GameDate]], Table1[HomeGameGoalDiff])</f>
        <v>0</v>
      </c>
      <c r="AB101" s="64">
        <f>IF(ISBLANK(Table1[[#This Row],[ActualResult]]), 0, 1)</f>
        <v>0</v>
      </c>
      <c r="AC101" s="64">
        <f>IF(ISBLANK(Table1[[#This Row],[ActualResult]]), 0, IF(Table1[[#This Row],[ActualWinner]]=Table1[[#This Row],[PredictedWinner]], 1, 0))</f>
        <v>0</v>
      </c>
      <c r="AD10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1" s="64">
        <f>IF(AND(Table1[[#This Row],[GameIsOver]]=1,Table1[[#This Row],[ActualAwayScore]]=0), 1,0)</f>
        <v>0</v>
      </c>
      <c r="AG101" s="64">
        <f>IF(AND(Table1[[#This Row],[GameIsOver]]=1,Table1[[#This Row],[ActualHomeScore]]=0), 1,0)</f>
        <v>0</v>
      </c>
      <c r="AH101" s="64">
        <f>IF(Table1[[#This Row],[GameIsOver]]=0,0,IF(Table1[[#This Row],[ActualWinner]]=Table1[[#This Row],[AwayTeam]], 1, 0))</f>
        <v>0</v>
      </c>
      <c r="AI101" s="64">
        <f>IF(Table1[[#This Row],[GameIsOver]]=0,0,IF(Table1[[#This Row],[ActualWinner]]=Table1[[#This Row],[HomeTeam]], 1, 0))</f>
        <v>0</v>
      </c>
      <c r="AJ101" s="64">
        <f>IF(INDEX(Standings!$A$2:$C$33,MATCH(Table1[[#This Row],[AwayTeam]],Standings!$A$2:$A$33,0),2)=INDEX(Standings!$A$2:$C$33,MATCH(Table1[[#This Row],[HomeTeam]],Standings!$A$2:$A$33,0),2),1,0)</f>
        <v>1</v>
      </c>
      <c r="AK101" s="64">
        <f>IF(INDEX(Standings!$A$2:$C$33,MATCH(Table1[[#This Row],[AwayTeam]],Standings!$A$2:$A$33,0),3)=INDEX(Standings!$A$2:$C$33,MATCH(Table1[[#This Row],[HomeTeam]],Standings!$A$2:$A$33,0),3),1,0)</f>
        <v>1</v>
      </c>
      <c r="AL101" s="64">
        <f>IF(Table1[[#This Row],[InterConf]]=1,IF(Table1[[#This Row],[InterDiv]]=0, 1, 0), 0)</f>
        <v>0</v>
      </c>
      <c r="AM101" s="64">
        <f>IF(INDEX(Standings!$A$2:$C$33,MATCH(Table1[[#This Row],[AwayTeam]],Standings!$A$2:$A$33,0),2)&lt;&gt;INDEX(Standings!$A$2:$C$33,MATCH(Table1[[#This Row],[HomeTeam]],Standings!$A$2:$A$33,0),2),1,0)</f>
        <v>0</v>
      </c>
      <c r="AN101" s="64" t="str">
        <f>INDEX(Table2[AWAY_RECORD], MATCH(Table1[[#This Row],[AwayTeam]],Table2[Team], 0), 0)</f>
        <v>0-0-0</v>
      </c>
      <c r="AO101" s="64" t="str">
        <f>INDEX(Records!$B$2:$AG$33, MATCH(Table1[[#This Row],[AwayTeam]],Records!$A$2:$A$33, 0), MATCH(Table1[[#This Row],[HomeTeam]],Records!$A$2:$A$33, 0))</f>
        <v>0-0-0</v>
      </c>
      <c r="AP101" s="64" t="str">
        <f>INDEX(Table2[HOME_RECORD], MATCH(Table1[[#This Row],[HomeTeam]],Table2[Team], 0), 0)</f>
        <v>0-0-0</v>
      </c>
      <c r="AQ101" s="64" t="str">
        <f>INDEX(Records!$B$2:$AG$33, MATCH(Table1[[#This Row],[HomeTeam]],Records!$A$2:$A$33, 0), MATCH(Table1[[#This Row],[AwayTeam]],Records!$A$2:$A$33, 0))</f>
        <v>0-0-0</v>
      </c>
    </row>
    <row r="102" spans="1:43" x14ac:dyDescent="0.25">
      <c r="A102" s="1"/>
      <c r="D102" t="s">
        <v>273</v>
      </c>
      <c r="E102" t="s">
        <v>291</v>
      </c>
      <c r="F102" t="s">
        <v>292</v>
      </c>
      <c r="G102" t="s">
        <v>25</v>
      </c>
      <c r="H102" t="s">
        <v>48</v>
      </c>
      <c r="L10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2" s="1"/>
      <c r="T102" s="64" t="str">
        <f>IF(Table1[[#This Row],[ActualWinner]]="", "", IF(Table1[[#This Row],[AwayTeam]]=Table1[[#This Row],[ActualWinner]],Table1[[#This Row],[HomeTeam]],Table1[[#This Row],[AwayTeam]]))</f>
        <v/>
      </c>
      <c r="U102" s="64">
        <f>Table1[[#This Row],[ActualAwayScore]]-Table1[[#This Row],[PredictedAwayScore]]</f>
        <v>0</v>
      </c>
      <c r="V102" s="64">
        <f>Table1[[#This Row],[ActualHomeScore]]-Table1[[#This Row],[PredictedHomeScore]]</f>
        <v>0</v>
      </c>
      <c r="W102" s="64">
        <f>(0.8*IF(Table1[[#This Row],[CorrectWinnerPrediction]]=1, 1, 0))+(0.1*IF(Table1[[#This Row],[CorrectAwayScorePrediction]]=1, 1, 0))+(0.1*IF(Table1[[#This Row],[CorrectHomeScorePrediction]]=1, 1, 0))</f>
        <v>0</v>
      </c>
      <c r="X10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2" s="64">
        <f>SUMIF(Table1[GameDate], Table1[[#This Row],[GameDate]], Table1[AwayGameGoalDiff])</f>
        <v>0</v>
      </c>
      <c r="AA102" s="64">
        <f>SUMIF(Table1[GameDate], Table1[[#This Row],[GameDate]], Table1[HomeGameGoalDiff])</f>
        <v>0</v>
      </c>
      <c r="AB102" s="64">
        <f>IF(ISBLANK(Table1[[#This Row],[ActualResult]]), 0, 1)</f>
        <v>0</v>
      </c>
      <c r="AC102" s="64">
        <f>IF(ISBLANK(Table1[[#This Row],[ActualResult]]), 0, IF(Table1[[#This Row],[ActualWinner]]=Table1[[#This Row],[PredictedWinner]], 1, 0))</f>
        <v>0</v>
      </c>
      <c r="AD10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2" s="64">
        <f>IF(AND(Table1[[#This Row],[GameIsOver]]=1,Table1[[#This Row],[ActualAwayScore]]=0), 1,0)</f>
        <v>0</v>
      </c>
      <c r="AG102" s="64">
        <f>IF(AND(Table1[[#This Row],[GameIsOver]]=1,Table1[[#This Row],[ActualHomeScore]]=0), 1,0)</f>
        <v>0</v>
      </c>
      <c r="AH102" s="64">
        <f>IF(Table1[[#This Row],[GameIsOver]]=0,0,IF(Table1[[#This Row],[ActualWinner]]=Table1[[#This Row],[AwayTeam]], 1, 0))</f>
        <v>0</v>
      </c>
      <c r="AI102" s="64">
        <f>IF(Table1[[#This Row],[GameIsOver]]=0,0,IF(Table1[[#This Row],[ActualWinner]]=Table1[[#This Row],[HomeTeam]], 1, 0))</f>
        <v>0</v>
      </c>
      <c r="AJ102" s="64">
        <f>IF(INDEX(Standings!$A$2:$C$33,MATCH(Table1[[#This Row],[AwayTeam]],Standings!$A$2:$A$33,0),2)=INDEX(Standings!$A$2:$C$33,MATCH(Table1[[#This Row],[HomeTeam]],Standings!$A$2:$A$33,0),2),1,0)</f>
        <v>1</v>
      </c>
      <c r="AK102" s="64">
        <f>IF(INDEX(Standings!$A$2:$C$33,MATCH(Table1[[#This Row],[AwayTeam]],Standings!$A$2:$A$33,0),3)=INDEX(Standings!$A$2:$C$33,MATCH(Table1[[#This Row],[HomeTeam]],Standings!$A$2:$A$33,0),3),1,0)</f>
        <v>0</v>
      </c>
      <c r="AL102" s="64">
        <f>IF(Table1[[#This Row],[InterConf]]=1,IF(Table1[[#This Row],[InterDiv]]=0, 1, 0), 0)</f>
        <v>1</v>
      </c>
      <c r="AM102" s="64">
        <f>IF(INDEX(Standings!$A$2:$C$33,MATCH(Table1[[#This Row],[AwayTeam]],Standings!$A$2:$A$33,0),2)&lt;&gt;INDEX(Standings!$A$2:$C$33,MATCH(Table1[[#This Row],[HomeTeam]],Standings!$A$2:$A$33,0),2),1,0)</f>
        <v>0</v>
      </c>
      <c r="AN102" s="64" t="str">
        <f>INDEX(Table2[AWAY_RECORD], MATCH(Table1[[#This Row],[AwayTeam]],Table2[Team], 0), 0)</f>
        <v>0-0-0</v>
      </c>
      <c r="AO102" s="64" t="str">
        <f>INDEX(Records!$B$2:$AG$33, MATCH(Table1[[#This Row],[AwayTeam]],Records!$A$2:$A$33, 0), MATCH(Table1[[#This Row],[HomeTeam]],Records!$A$2:$A$33, 0))</f>
        <v>0-0-0</v>
      </c>
      <c r="AP102" s="64" t="str">
        <f>INDEX(Table2[HOME_RECORD], MATCH(Table1[[#This Row],[HomeTeam]],Table2[Team], 0), 0)</f>
        <v>1-0-0</v>
      </c>
      <c r="AQ102" s="64" t="str">
        <f>INDEX(Records!$B$2:$AG$33, MATCH(Table1[[#This Row],[HomeTeam]],Records!$A$2:$A$33, 0), MATCH(Table1[[#This Row],[AwayTeam]],Records!$A$2:$A$33, 0))</f>
        <v>0-0-0</v>
      </c>
    </row>
    <row r="103" spans="1:43" x14ac:dyDescent="0.25">
      <c r="A103" s="1"/>
      <c r="D103" t="s">
        <v>273</v>
      </c>
      <c r="E103" t="s">
        <v>178</v>
      </c>
      <c r="F103" t="s">
        <v>293</v>
      </c>
      <c r="G103" t="s">
        <v>24</v>
      </c>
      <c r="H103" t="s">
        <v>58</v>
      </c>
      <c r="L10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3" s="1"/>
      <c r="T103" s="64" t="str">
        <f>IF(Table1[[#This Row],[ActualWinner]]="", "", IF(Table1[[#This Row],[AwayTeam]]=Table1[[#This Row],[ActualWinner]],Table1[[#This Row],[HomeTeam]],Table1[[#This Row],[AwayTeam]]))</f>
        <v/>
      </c>
      <c r="U103" s="64">
        <f>Table1[[#This Row],[ActualAwayScore]]-Table1[[#This Row],[PredictedAwayScore]]</f>
        <v>0</v>
      </c>
      <c r="V103" s="64">
        <f>Table1[[#This Row],[ActualHomeScore]]-Table1[[#This Row],[PredictedHomeScore]]</f>
        <v>0</v>
      </c>
      <c r="W103" s="64">
        <f>(0.8*IF(Table1[[#This Row],[CorrectWinnerPrediction]]=1, 1, 0))+(0.1*IF(Table1[[#This Row],[CorrectAwayScorePrediction]]=1, 1, 0))+(0.1*IF(Table1[[#This Row],[CorrectHomeScorePrediction]]=1, 1, 0))</f>
        <v>0</v>
      </c>
      <c r="X10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3" s="64">
        <f>SUMIF(Table1[GameDate], Table1[[#This Row],[GameDate]], Table1[AwayGameGoalDiff])</f>
        <v>0</v>
      </c>
      <c r="AA103" s="64">
        <f>SUMIF(Table1[GameDate], Table1[[#This Row],[GameDate]], Table1[HomeGameGoalDiff])</f>
        <v>0</v>
      </c>
      <c r="AB103" s="64">
        <f>IF(ISBLANK(Table1[[#This Row],[ActualResult]]), 0, 1)</f>
        <v>0</v>
      </c>
      <c r="AC103" s="64">
        <f>IF(ISBLANK(Table1[[#This Row],[ActualResult]]), 0, IF(Table1[[#This Row],[ActualWinner]]=Table1[[#This Row],[PredictedWinner]], 1, 0))</f>
        <v>0</v>
      </c>
      <c r="AD10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3" s="64">
        <f>IF(AND(Table1[[#This Row],[GameIsOver]]=1,Table1[[#This Row],[ActualAwayScore]]=0), 1,0)</f>
        <v>0</v>
      </c>
      <c r="AG103" s="64">
        <f>IF(AND(Table1[[#This Row],[GameIsOver]]=1,Table1[[#This Row],[ActualHomeScore]]=0), 1,0)</f>
        <v>0</v>
      </c>
      <c r="AH103" s="64">
        <f>IF(Table1[[#This Row],[GameIsOver]]=0,0,IF(Table1[[#This Row],[ActualWinner]]=Table1[[#This Row],[AwayTeam]], 1, 0))</f>
        <v>0</v>
      </c>
      <c r="AI103" s="64">
        <f>IF(Table1[[#This Row],[GameIsOver]]=0,0,IF(Table1[[#This Row],[ActualWinner]]=Table1[[#This Row],[HomeTeam]], 1, 0))</f>
        <v>0</v>
      </c>
      <c r="AJ103" s="64">
        <f>IF(INDEX(Standings!$A$2:$C$33,MATCH(Table1[[#This Row],[AwayTeam]],Standings!$A$2:$A$33,0),2)=INDEX(Standings!$A$2:$C$33,MATCH(Table1[[#This Row],[HomeTeam]],Standings!$A$2:$A$33,0),2),1,0)</f>
        <v>0</v>
      </c>
      <c r="AK103" s="64">
        <f>IF(INDEX(Standings!$A$2:$C$33,MATCH(Table1[[#This Row],[AwayTeam]],Standings!$A$2:$A$33,0),3)=INDEX(Standings!$A$2:$C$33,MATCH(Table1[[#This Row],[HomeTeam]],Standings!$A$2:$A$33,0),3),1,0)</f>
        <v>0</v>
      </c>
      <c r="AL103" s="64">
        <f>IF(Table1[[#This Row],[InterConf]]=1,IF(Table1[[#This Row],[InterDiv]]=0, 1, 0), 0)</f>
        <v>0</v>
      </c>
      <c r="AM103" s="64">
        <f>IF(INDEX(Standings!$A$2:$C$33,MATCH(Table1[[#This Row],[AwayTeam]],Standings!$A$2:$A$33,0),2)&lt;&gt;INDEX(Standings!$A$2:$C$33,MATCH(Table1[[#This Row],[HomeTeam]],Standings!$A$2:$A$33,0),2),1,0)</f>
        <v>1</v>
      </c>
      <c r="AN103" s="64" t="str">
        <f>INDEX(Table2[AWAY_RECORD], MATCH(Table1[[#This Row],[AwayTeam]],Table2[Team], 0), 0)</f>
        <v>0-0-0</v>
      </c>
      <c r="AO103" s="64" t="str">
        <f>INDEX(Records!$B$2:$AG$33, MATCH(Table1[[#This Row],[AwayTeam]],Records!$A$2:$A$33, 0), MATCH(Table1[[#This Row],[HomeTeam]],Records!$A$2:$A$33, 0))</f>
        <v>0-0-0</v>
      </c>
      <c r="AP103" s="64" t="str">
        <f>INDEX(Table2[HOME_RECORD], MATCH(Table1[[#This Row],[HomeTeam]],Table2[Team], 0), 0)</f>
        <v>1-0-0</v>
      </c>
      <c r="AQ103" s="64" t="str">
        <f>INDEX(Records!$B$2:$AG$33, MATCH(Table1[[#This Row],[HomeTeam]],Records!$A$2:$A$33, 0), MATCH(Table1[[#This Row],[AwayTeam]],Records!$A$2:$A$33, 0))</f>
        <v>0-0-0</v>
      </c>
    </row>
    <row r="104" spans="1:43" x14ac:dyDescent="0.25">
      <c r="A104" s="1"/>
      <c r="D104" t="s">
        <v>273</v>
      </c>
      <c r="E104" t="s">
        <v>294</v>
      </c>
      <c r="F104" t="s">
        <v>295</v>
      </c>
      <c r="G104" t="s">
        <v>39</v>
      </c>
      <c r="H104" t="s">
        <v>36</v>
      </c>
      <c r="L10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4" s="1"/>
      <c r="T104" s="64" t="str">
        <f>IF(Table1[[#This Row],[ActualWinner]]="", "", IF(Table1[[#This Row],[AwayTeam]]=Table1[[#This Row],[ActualWinner]],Table1[[#This Row],[HomeTeam]],Table1[[#This Row],[AwayTeam]]))</f>
        <v/>
      </c>
      <c r="U104" s="64">
        <f>Table1[[#This Row],[ActualAwayScore]]-Table1[[#This Row],[PredictedAwayScore]]</f>
        <v>0</v>
      </c>
      <c r="V104" s="64">
        <f>Table1[[#This Row],[ActualHomeScore]]-Table1[[#This Row],[PredictedHomeScore]]</f>
        <v>0</v>
      </c>
      <c r="W104" s="64">
        <f>(0.8*IF(Table1[[#This Row],[CorrectWinnerPrediction]]=1, 1, 0))+(0.1*IF(Table1[[#This Row],[CorrectAwayScorePrediction]]=1, 1, 0))+(0.1*IF(Table1[[#This Row],[CorrectHomeScorePrediction]]=1, 1, 0))</f>
        <v>0</v>
      </c>
      <c r="X10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4" s="64">
        <f>SUMIF(Table1[GameDate], Table1[[#This Row],[GameDate]], Table1[AwayGameGoalDiff])</f>
        <v>0</v>
      </c>
      <c r="AA104" s="64">
        <f>SUMIF(Table1[GameDate], Table1[[#This Row],[GameDate]], Table1[HomeGameGoalDiff])</f>
        <v>0</v>
      </c>
      <c r="AB104" s="64">
        <f>IF(ISBLANK(Table1[[#This Row],[ActualResult]]), 0, 1)</f>
        <v>0</v>
      </c>
      <c r="AC104" s="64">
        <f>IF(ISBLANK(Table1[[#This Row],[ActualResult]]), 0, IF(Table1[[#This Row],[ActualWinner]]=Table1[[#This Row],[PredictedWinner]], 1, 0))</f>
        <v>0</v>
      </c>
      <c r="AD10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4" s="64">
        <f>IF(AND(Table1[[#This Row],[GameIsOver]]=1,Table1[[#This Row],[ActualAwayScore]]=0), 1,0)</f>
        <v>0</v>
      </c>
      <c r="AG104" s="64">
        <f>IF(AND(Table1[[#This Row],[GameIsOver]]=1,Table1[[#This Row],[ActualHomeScore]]=0), 1,0)</f>
        <v>0</v>
      </c>
      <c r="AH104" s="64">
        <f>IF(Table1[[#This Row],[GameIsOver]]=0,0,IF(Table1[[#This Row],[ActualWinner]]=Table1[[#This Row],[AwayTeam]], 1, 0))</f>
        <v>0</v>
      </c>
      <c r="AI104" s="64">
        <f>IF(Table1[[#This Row],[GameIsOver]]=0,0,IF(Table1[[#This Row],[ActualWinner]]=Table1[[#This Row],[HomeTeam]], 1, 0))</f>
        <v>0</v>
      </c>
      <c r="AJ104" s="64">
        <f>IF(INDEX(Standings!$A$2:$C$33,MATCH(Table1[[#This Row],[AwayTeam]],Standings!$A$2:$A$33,0),2)=INDEX(Standings!$A$2:$C$33,MATCH(Table1[[#This Row],[HomeTeam]],Standings!$A$2:$A$33,0),2),1,0)</f>
        <v>1</v>
      </c>
      <c r="AK104" s="64">
        <f>IF(INDEX(Standings!$A$2:$C$33,MATCH(Table1[[#This Row],[AwayTeam]],Standings!$A$2:$A$33,0),3)=INDEX(Standings!$A$2:$C$33,MATCH(Table1[[#This Row],[HomeTeam]],Standings!$A$2:$A$33,0),3),1,0)</f>
        <v>1</v>
      </c>
      <c r="AL104" s="64">
        <f>IF(Table1[[#This Row],[InterConf]]=1,IF(Table1[[#This Row],[InterDiv]]=0, 1, 0), 0)</f>
        <v>0</v>
      </c>
      <c r="AM104" s="64">
        <f>IF(INDEX(Standings!$A$2:$C$33,MATCH(Table1[[#This Row],[AwayTeam]],Standings!$A$2:$A$33,0),2)&lt;&gt;INDEX(Standings!$A$2:$C$33,MATCH(Table1[[#This Row],[HomeTeam]],Standings!$A$2:$A$33,0),2),1,0)</f>
        <v>0</v>
      </c>
      <c r="AN104" s="64" t="str">
        <f>INDEX(Table2[AWAY_RECORD], MATCH(Table1[[#This Row],[AwayTeam]],Table2[Team], 0), 0)</f>
        <v>0-0-0</v>
      </c>
      <c r="AO104" s="64" t="str">
        <f>INDEX(Records!$B$2:$AG$33, MATCH(Table1[[#This Row],[AwayTeam]],Records!$A$2:$A$33, 0), MATCH(Table1[[#This Row],[HomeTeam]],Records!$A$2:$A$33, 0))</f>
        <v>0-0-0</v>
      </c>
      <c r="AP104" s="64" t="str">
        <f>INDEX(Table2[HOME_RECORD], MATCH(Table1[[#This Row],[HomeTeam]],Table2[Team], 0), 0)</f>
        <v>0-0-0</v>
      </c>
      <c r="AQ104" s="64" t="str">
        <f>INDEX(Records!$B$2:$AG$33, MATCH(Table1[[#This Row],[HomeTeam]],Records!$A$2:$A$33, 0), MATCH(Table1[[#This Row],[AwayTeam]],Records!$A$2:$A$33, 0))</f>
        <v>0-0-0</v>
      </c>
    </row>
    <row r="105" spans="1:43" x14ac:dyDescent="0.25">
      <c r="A105" s="1"/>
      <c r="D105" t="s">
        <v>273</v>
      </c>
      <c r="E105" t="s">
        <v>166</v>
      </c>
      <c r="F105" t="s">
        <v>296</v>
      </c>
      <c r="G105" t="s">
        <v>45</v>
      </c>
      <c r="H105" t="s">
        <v>46</v>
      </c>
      <c r="L10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5" s="1"/>
      <c r="T105" s="64" t="str">
        <f>IF(Table1[[#This Row],[ActualWinner]]="", "", IF(Table1[[#This Row],[AwayTeam]]=Table1[[#This Row],[ActualWinner]],Table1[[#This Row],[HomeTeam]],Table1[[#This Row],[AwayTeam]]))</f>
        <v/>
      </c>
      <c r="U105" s="64">
        <f>Table1[[#This Row],[ActualAwayScore]]-Table1[[#This Row],[PredictedAwayScore]]</f>
        <v>0</v>
      </c>
      <c r="V105" s="64">
        <f>Table1[[#This Row],[ActualHomeScore]]-Table1[[#This Row],[PredictedHomeScore]]</f>
        <v>0</v>
      </c>
      <c r="W105" s="64">
        <f>(0.8*IF(Table1[[#This Row],[CorrectWinnerPrediction]]=1, 1, 0))+(0.1*IF(Table1[[#This Row],[CorrectAwayScorePrediction]]=1, 1, 0))+(0.1*IF(Table1[[#This Row],[CorrectHomeScorePrediction]]=1, 1, 0))</f>
        <v>0</v>
      </c>
      <c r="X10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5" s="64">
        <f>SUMIF(Table1[GameDate], Table1[[#This Row],[GameDate]], Table1[AwayGameGoalDiff])</f>
        <v>0</v>
      </c>
      <c r="AA105" s="64">
        <f>SUMIF(Table1[GameDate], Table1[[#This Row],[GameDate]], Table1[HomeGameGoalDiff])</f>
        <v>0</v>
      </c>
      <c r="AB105" s="64">
        <f>IF(ISBLANK(Table1[[#This Row],[ActualResult]]), 0, 1)</f>
        <v>0</v>
      </c>
      <c r="AC105" s="64">
        <f>IF(ISBLANK(Table1[[#This Row],[ActualResult]]), 0, IF(Table1[[#This Row],[ActualWinner]]=Table1[[#This Row],[PredictedWinner]], 1, 0))</f>
        <v>0</v>
      </c>
      <c r="AD10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5" s="64">
        <f>IF(AND(Table1[[#This Row],[GameIsOver]]=1,Table1[[#This Row],[ActualAwayScore]]=0), 1,0)</f>
        <v>0</v>
      </c>
      <c r="AG105" s="64">
        <f>IF(AND(Table1[[#This Row],[GameIsOver]]=1,Table1[[#This Row],[ActualHomeScore]]=0), 1,0)</f>
        <v>0</v>
      </c>
      <c r="AH105" s="64">
        <f>IF(Table1[[#This Row],[GameIsOver]]=0,0,IF(Table1[[#This Row],[ActualWinner]]=Table1[[#This Row],[AwayTeam]], 1, 0))</f>
        <v>0</v>
      </c>
      <c r="AI105" s="64">
        <f>IF(Table1[[#This Row],[GameIsOver]]=0,0,IF(Table1[[#This Row],[ActualWinner]]=Table1[[#This Row],[HomeTeam]], 1, 0))</f>
        <v>0</v>
      </c>
      <c r="AJ105" s="64">
        <f>IF(INDEX(Standings!$A$2:$C$33,MATCH(Table1[[#This Row],[AwayTeam]],Standings!$A$2:$A$33,0),2)=INDEX(Standings!$A$2:$C$33,MATCH(Table1[[#This Row],[HomeTeam]],Standings!$A$2:$A$33,0),2),1,0)</f>
        <v>1</v>
      </c>
      <c r="AK105" s="64">
        <f>IF(INDEX(Standings!$A$2:$C$33,MATCH(Table1[[#This Row],[AwayTeam]],Standings!$A$2:$A$33,0),3)=INDEX(Standings!$A$2:$C$33,MATCH(Table1[[#This Row],[HomeTeam]],Standings!$A$2:$A$33,0),3),1,0)</f>
        <v>1</v>
      </c>
      <c r="AL105" s="64">
        <f>IF(Table1[[#This Row],[InterConf]]=1,IF(Table1[[#This Row],[InterDiv]]=0, 1, 0), 0)</f>
        <v>0</v>
      </c>
      <c r="AM105" s="64">
        <f>IF(INDEX(Standings!$A$2:$C$33,MATCH(Table1[[#This Row],[AwayTeam]],Standings!$A$2:$A$33,0),2)&lt;&gt;INDEX(Standings!$A$2:$C$33,MATCH(Table1[[#This Row],[HomeTeam]],Standings!$A$2:$A$33,0),2),1,0)</f>
        <v>0</v>
      </c>
      <c r="AN105" s="64" t="str">
        <f>INDEX(Table2[AWAY_RECORD], MATCH(Table1[[#This Row],[AwayTeam]],Table2[Team], 0), 0)</f>
        <v>1-0-0</v>
      </c>
      <c r="AO105" s="64" t="str">
        <f>INDEX(Records!$B$2:$AG$33, MATCH(Table1[[#This Row],[AwayTeam]],Records!$A$2:$A$33, 0), MATCH(Table1[[#This Row],[HomeTeam]],Records!$A$2:$A$33, 0))</f>
        <v>0-0-0</v>
      </c>
      <c r="AP105" s="64" t="str">
        <f>INDEX(Table2[HOME_RECORD], MATCH(Table1[[#This Row],[HomeTeam]],Table2[Team], 0), 0)</f>
        <v>0-0-0</v>
      </c>
      <c r="AQ105" s="64" t="str">
        <f>INDEX(Records!$B$2:$AG$33, MATCH(Table1[[#This Row],[HomeTeam]],Records!$A$2:$A$33, 0), MATCH(Table1[[#This Row],[AwayTeam]],Records!$A$2:$A$33, 0))</f>
        <v>0-0-0</v>
      </c>
    </row>
    <row r="106" spans="1:43" x14ac:dyDescent="0.25">
      <c r="A106" s="1"/>
      <c r="D106" t="s">
        <v>297</v>
      </c>
      <c r="E106" t="s">
        <v>298</v>
      </c>
      <c r="F106" t="s">
        <v>299</v>
      </c>
      <c r="G106" t="s">
        <v>37</v>
      </c>
      <c r="H106" t="s">
        <v>55</v>
      </c>
      <c r="L10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6" s="1"/>
      <c r="T106" s="64" t="str">
        <f>IF(Table1[[#This Row],[ActualWinner]]="", "", IF(Table1[[#This Row],[AwayTeam]]=Table1[[#This Row],[ActualWinner]],Table1[[#This Row],[HomeTeam]],Table1[[#This Row],[AwayTeam]]))</f>
        <v/>
      </c>
      <c r="U106" s="64">
        <f>Table1[[#This Row],[ActualAwayScore]]-Table1[[#This Row],[PredictedAwayScore]]</f>
        <v>0</v>
      </c>
      <c r="V106" s="64">
        <f>Table1[[#This Row],[ActualHomeScore]]-Table1[[#This Row],[PredictedHomeScore]]</f>
        <v>0</v>
      </c>
      <c r="W106" s="64">
        <f>(0.8*IF(Table1[[#This Row],[CorrectWinnerPrediction]]=1, 1, 0))+(0.1*IF(Table1[[#This Row],[CorrectAwayScorePrediction]]=1, 1, 0))+(0.1*IF(Table1[[#This Row],[CorrectHomeScorePrediction]]=1, 1, 0))</f>
        <v>0</v>
      </c>
      <c r="X10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6" s="64">
        <f>SUMIF(Table1[GameDate], Table1[[#This Row],[GameDate]], Table1[AwayGameGoalDiff])</f>
        <v>0</v>
      </c>
      <c r="AA106" s="64">
        <f>SUMIF(Table1[GameDate], Table1[[#This Row],[GameDate]], Table1[HomeGameGoalDiff])</f>
        <v>0</v>
      </c>
      <c r="AB106" s="64">
        <f>IF(ISBLANK(Table1[[#This Row],[ActualResult]]), 0, 1)</f>
        <v>0</v>
      </c>
      <c r="AC106" s="64">
        <f>IF(ISBLANK(Table1[[#This Row],[ActualResult]]), 0, IF(Table1[[#This Row],[ActualWinner]]=Table1[[#This Row],[PredictedWinner]], 1, 0))</f>
        <v>0</v>
      </c>
      <c r="AD10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6" s="64">
        <f>IF(AND(Table1[[#This Row],[GameIsOver]]=1,Table1[[#This Row],[ActualAwayScore]]=0), 1,0)</f>
        <v>0</v>
      </c>
      <c r="AG106" s="64">
        <f>IF(AND(Table1[[#This Row],[GameIsOver]]=1,Table1[[#This Row],[ActualHomeScore]]=0), 1,0)</f>
        <v>0</v>
      </c>
      <c r="AH106" s="64">
        <f>IF(Table1[[#This Row],[GameIsOver]]=0,0,IF(Table1[[#This Row],[ActualWinner]]=Table1[[#This Row],[AwayTeam]], 1, 0))</f>
        <v>0</v>
      </c>
      <c r="AI106" s="64">
        <f>IF(Table1[[#This Row],[GameIsOver]]=0,0,IF(Table1[[#This Row],[ActualWinner]]=Table1[[#This Row],[HomeTeam]], 1, 0))</f>
        <v>0</v>
      </c>
      <c r="AJ106" s="64">
        <f>IF(INDEX(Standings!$A$2:$C$33,MATCH(Table1[[#This Row],[AwayTeam]],Standings!$A$2:$A$33,0),2)=INDEX(Standings!$A$2:$C$33,MATCH(Table1[[#This Row],[HomeTeam]],Standings!$A$2:$A$33,0),2),1,0)</f>
        <v>0</v>
      </c>
      <c r="AK106" s="64">
        <f>IF(INDEX(Standings!$A$2:$C$33,MATCH(Table1[[#This Row],[AwayTeam]],Standings!$A$2:$A$33,0),3)=INDEX(Standings!$A$2:$C$33,MATCH(Table1[[#This Row],[HomeTeam]],Standings!$A$2:$A$33,0),3),1,0)</f>
        <v>0</v>
      </c>
      <c r="AL106" s="64">
        <f>IF(Table1[[#This Row],[InterConf]]=1,IF(Table1[[#This Row],[InterDiv]]=0, 1, 0), 0)</f>
        <v>0</v>
      </c>
      <c r="AM106" s="64">
        <f>IF(INDEX(Standings!$A$2:$C$33,MATCH(Table1[[#This Row],[AwayTeam]],Standings!$A$2:$A$33,0),2)&lt;&gt;INDEX(Standings!$A$2:$C$33,MATCH(Table1[[#This Row],[HomeTeam]],Standings!$A$2:$A$33,0),2),1,0)</f>
        <v>1</v>
      </c>
      <c r="AN106" s="64" t="str">
        <f>INDEX(Table2[AWAY_RECORD], MATCH(Table1[[#This Row],[AwayTeam]],Table2[Team], 0), 0)</f>
        <v>0-0-1</v>
      </c>
      <c r="AO106" s="64" t="str">
        <f>INDEX(Records!$B$2:$AG$33, MATCH(Table1[[#This Row],[AwayTeam]],Records!$A$2:$A$33, 0), MATCH(Table1[[#This Row],[HomeTeam]],Records!$A$2:$A$33, 0))</f>
        <v>0-0-0</v>
      </c>
      <c r="AP106" s="64" t="str">
        <f>INDEX(Table2[HOME_RECORD], MATCH(Table1[[#This Row],[HomeTeam]],Table2[Team], 0), 0)</f>
        <v>0-1-0</v>
      </c>
      <c r="AQ106" s="64" t="str">
        <f>INDEX(Records!$B$2:$AG$33, MATCH(Table1[[#This Row],[HomeTeam]],Records!$A$2:$A$33, 0), MATCH(Table1[[#This Row],[AwayTeam]],Records!$A$2:$A$33, 0))</f>
        <v>0-0-0</v>
      </c>
    </row>
    <row r="107" spans="1:43" x14ac:dyDescent="0.25">
      <c r="A107" s="1"/>
      <c r="D107" t="s">
        <v>297</v>
      </c>
      <c r="E107" t="s">
        <v>169</v>
      </c>
      <c r="F107" t="s">
        <v>300</v>
      </c>
      <c r="G107" t="s">
        <v>47</v>
      </c>
      <c r="H107" t="s">
        <v>59</v>
      </c>
      <c r="L10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7" s="1"/>
      <c r="T107" s="64" t="str">
        <f>IF(Table1[[#This Row],[ActualWinner]]="", "", IF(Table1[[#This Row],[AwayTeam]]=Table1[[#This Row],[ActualWinner]],Table1[[#This Row],[HomeTeam]],Table1[[#This Row],[AwayTeam]]))</f>
        <v/>
      </c>
      <c r="U107" s="64">
        <f>Table1[[#This Row],[ActualAwayScore]]-Table1[[#This Row],[PredictedAwayScore]]</f>
        <v>0</v>
      </c>
      <c r="V107" s="64">
        <f>Table1[[#This Row],[ActualHomeScore]]-Table1[[#This Row],[PredictedHomeScore]]</f>
        <v>0</v>
      </c>
      <c r="W107" s="64">
        <f>(0.8*IF(Table1[[#This Row],[CorrectWinnerPrediction]]=1, 1, 0))+(0.1*IF(Table1[[#This Row],[CorrectAwayScorePrediction]]=1, 1, 0))+(0.1*IF(Table1[[#This Row],[CorrectHomeScorePrediction]]=1, 1, 0))</f>
        <v>0</v>
      </c>
      <c r="X10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7" s="64">
        <f>SUMIF(Table1[GameDate], Table1[[#This Row],[GameDate]], Table1[AwayGameGoalDiff])</f>
        <v>0</v>
      </c>
      <c r="AA107" s="64">
        <f>SUMIF(Table1[GameDate], Table1[[#This Row],[GameDate]], Table1[HomeGameGoalDiff])</f>
        <v>0</v>
      </c>
      <c r="AB107" s="64">
        <f>IF(ISBLANK(Table1[[#This Row],[ActualResult]]), 0, 1)</f>
        <v>0</v>
      </c>
      <c r="AC107" s="64">
        <f>IF(ISBLANK(Table1[[#This Row],[ActualResult]]), 0, IF(Table1[[#This Row],[ActualWinner]]=Table1[[#This Row],[PredictedWinner]], 1, 0))</f>
        <v>0</v>
      </c>
      <c r="AD10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7" s="64">
        <f>IF(AND(Table1[[#This Row],[GameIsOver]]=1,Table1[[#This Row],[ActualAwayScore]]=0), 1,0)</f>
        <v>0</v>
      </c>
      <c r="AG107" s="64">
        <f>IF(AND(Table1[[#This Row],[GameIsOver]]=1,Table1[[#This Row],[ActualHomeScore]]=0), 1,0)</f>
        <v>0</v>
      </c>
      <c r="AH107" s="64">
        <f>IF(Table1[[#This Row],[GameIsOver]]=0,0,IF(Table1[[#This Row],[ActualWinner]]=Table1[[#This Row],[AwayTeam]], 1, 0))</f>
        <v>0</v>
      </c>
      <c r="AI107" s="64">
        <f>IF(Table1[[#This Row],[GameIsOver]]=0,0,IF(Table1[[#This Row],[ActualWinner]]=Table1[[#This Row],[HomeTeam]], 1, 0))</f>
        <v>0</v>
      </c>
      <c r="AJ107" s="64">
        <f>IF(INDEX(Standings!$A$2:$C$33,MATCH(Table1[[#This Row],[AwayTeam]],Standings!$A$2:$A$33,0),2)=INDEX(Standings!$A$2:$C$33,MATCH(Table1[[#This Row],[HomeTeam]],Standings!$A$2:$A$33,0),2),1,0)</f>
        <v>1</v>
      </c>
      <c r="AK107" s="64">
        <f>IF(INDEX(Standings!$A$2:$C$33,MATCH(Table1[[#This Row],[AwayTeam]],Standings!$A$2:$A$33,0),3)=INDEX(Standings!$A$2:$C$33,MATCH(Table1[[#This Row],[HomeTeam]],Standings!$A$2:$A$33,0),3),1,0)</f>
        <v>0</v>
      </c>
      <c r="AL107" s="64">
        <f>IF(Table1[[#This Row],[InterConf]]=1,IF(Table1[[#This Row],[InterDiv]]=0, 1, 0), 0)</f>
        <v>1</v>
      </c>
      <c r="AM107" s="64">
        <f>IF(INDEX(Standings!$A$2:$C$33,MATCH(Table1[[#This Row],[AwayTeam]],Standings!$A$2:$A$33,0),2)&lt;&gt;INDEX(Standings!$A$2:$C$33,MATCH(Table1[[#This Row],[HomeTeam]],Standings!$A$2:$A$33,0),2),1,0)</f>
        <v>0</v>
      </c>
      <c r="AN107" s="64" t="str">
        <f>INDEX(Table2[AWAY_RECORD], MATCH(Table1[[#This Row],[AwayTeam]],Table2[Team], 0), 0)</f>
        <v>1-0-0</v>
      </c>
      <c r="AO107" s="64" t="str">
        <f>INDEX(Records!$B$2:$AG$33, MATCH(Table1[[#This Row],[AwayTeam]],Records!$A$2:$A$33, 0), MATCH(Table1[[#This Row],[HomeTeam]],Records!$A$2:$A$33, 0))</f>
        <v>0-0-0</v>
      </c>
      <c r="AP107" s="64" t="str">
        <f>INDEX(Table2[HOME_RECORD], MATCH(Table1[[#This Row],[HomeTeam]],Table2[Team], 0), 0)</f>
        <v>0-0-0</v>
      </c>
      <c r="AQ107" s="64" t="str">
        <f>INDEX(Records!$B$2:$AG$33, MATCH(Table1[[#This Row],[HomeTeam]],Records!$A$2:$A$33, 0), MATCH(Table1[[#This Row],[AwayTeam]],Records!$A$2:$A$33, 0))</f>
        <v>0-0-0</v>
      </c>
    </row>
    <row r="108" spans="1:43" x14ac:dyDescent="0.25">
      <c r="A108" s="1"/>
      <c r="D108" t="s">
        <v>297</v>
      </c>
      <c r="E108" t="s">
        <v>301</v>
      </c>
      <c r="F108" t="s">
        <v>302</v>
      </c>
      <c r="G108" t="s">
        <v>43</v>
      </c>
      <c r="H108" t="s">
        <v>41</v>
      </c>
      <c r="L10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8" s="1"/>
      <c r="T108" s="64" t="str">
        <f>IF(Table1[[#This Row],[ActualWinner]]="", "", IF(Table1[[#This Row],[AwayTeam]]=Table1[[#This Row],[ActualWinner]],Table1[[#This Row],[HomeTeam]],Table1[[#This Row],[AwayTeam]]))</f>
        <v/>
      </c>
      <c r="U108" s="64">
        <f>Table1[[#This Row],[ActualAwayScore]]-Table1[[#This Row],[PredictedAwayScore]]</f>
        <v>0</v>
      </c>
      <c r="V108" s="64">
        <f>Table1[[#This Row],[ActualHomeScore]]-Table1[[#This Row],[PredictedHomeScore]]</f>
        <v>0</v>
      </c>
      <c r="W108" s="64">
        <f>(0.8*IF(Table1[[#This Row],[CorrectWinnerPrediction]]=1, 1, 0))+(0.1*IF(Table1[[#This Row],[CorrectAwayScorePrediction]]=1, 1, 0))+(0.1*IF(Table1[[#This Row],[CorrectHomeScorePrediction]]=1, 1, 0))</f>
        <v>0</v>
      </c>
      <c r="X10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8" s="64">
        <f>SUMIF(Table1[GameDate], Table1[[#This Row],[GameDate]], Table1[AwayGameGoalDiff])</f>
        <v>0</v>
      </c>
      <c r="AA108" s="64">
        <f>SUMIF(Table1[GameDate], Table1[[#This Row],[GameDate]], Table1[HomeGameGoalDiff])</f>
        <v>0</v>
      </c>
      <c r="AB108" s="64">
        <f>IF(ISBLANK(Table1[[#This Row],[ActualResult]]), 0, 1)</f>
        <v>0</v>
      </c>
      <c r="AC108" s="64">
        <f>IF(ISBLANK(Table1[[#This Row],[ActualResult]]), 0, IF(Table1[[#This Row],[ActualWinner]]=Table1[[#This Row],[PredictedWinner]], 1, 0))</f>
        <v>0</v>
      </c>
      <c r="AD10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8" s="64">
        <f>IF(AND(Table1[[#This Row],[GameIsOver]]=1,Table1[[#This Row],[ActualAwayScore]]=0), 1,0)</f>
        <v>0</v>
      </c>
      <c r="AG108" s="64">
        <f>IF(AND(Table1[[#This Row],[GameIsOver]]=1,Table1[[#This Row],[ActualHomeScore]]=0), 1,0)</f>
        <v>0</v>
      </c>
      <c r="AH108" s="64">
        <f>IF(Table1[[#This Row],[GameIsOver]]=0,0,IF(Table1[[#This Row],[ActualWinner]]=Table1[[#This Row],[AwayTeam]], 1, 0))</f>
        <v>0</v>
      </c>
      <c r="AI108" s="64">
        <f>IF(Table1[[#This Row],[GameIsOver]]=0,0,IF(Table1[[#This Row],[ActualWinner]]=Table1[[#This Row],[HomeTeam]], 1, 0))</f>
        <v>0</v>
      </c>
      <c r="AJ108" s="64">
        <f>IF(INDEX(Standings!$A$2:$C$33,MATCH(Table1[[#This Row],[AwayTeam]],Standings!$A$2:$A$33,0),2)=INDEX(Standings!$A$2:$C$33,MATCH(Table1[[#This Row],[HomeTeam]],Standings!$A$2:$A$33,0),2),1,0)</f>
        <v>1</v>
      </c>
      <c r="AK108" s="64">
        <f>IF(INDEX(Standings!$A$2:$C$33,MATCH(Table1[[#This Row],[AwayTeam]],Standings!$A$2:$A$33,0),3)=INDEX(Standings!$A$2:$C$33,MATCH(Table1[[#This Row],[HomeTeam]],Standings!$A$2:$A$33,0),3),1,0)</f>
        <v>1</v>
      </c>
      <c r="AL108" s="64">
        <f>IF(Table1[[#This Row],[InterConf]]=1,IF(Table1[[#This Row],[InterDiv]]=0, 1, 0), 0)</f>
        <v>0</v>
      </c>
      <c r="AM108" s="64">
        <f>IF(INDEX(Standings!$A$2:$C$33,MATCH(Table1[[#This Row],[AwayTeam]],Standings!$A$2:$A$33,0),2)&lt;&gt;INDEX(Standings!$A$2:$C$33,MATCH(Table1[[#This Row],[HomeTeam]],Standings!$A$2:$A$33,0),2),1,0)</f>
        <v>0</v>
      </c>
      <c r="AN108" s="64" t="str">
        <f>INDEX(Table2[AWAY_RECORD], MATCH(Table1[[#This Row],[AwayTeam]],Table2[Team], 0), 0)</f>
        <v>0-0-0</v>
      </c>
      <c r="AO108" s="64" t="str">
        <f>INDEX(Records!$B$2:$AG$33, MATCH(Table1[[#This Row],[AwayTeam]],Records!$A$2:$A$33, 0), MATCH(Table1[[#This Row],[HomeTeam]],Records!$A$2:$A$33, 0))</f>
        <v>0-0-0</v>
      </c>
      <c r="AP108" s="64" t="str">
        <f>INDEX(Table2[HOME_RECORD], MATCH(Table1[[#This Row],[HomeTeam]],Table2[Team], 0), 0)</f>
        <v>0-0-1</v>
      </c>
      <c r="AQ108" s="64" t="str">
        <f>INDEX(Records!$B$2:$AG$33, MATCH(Table1[[#This Row],[HomeTeam]],Records!$A$2:$A$33, 0), MATCH(Table1[[#This Row],[AwayTeam]],Records!$A$2:$A$33, 0))</f>
        <v>0-0-0</v>
      </c>
    </row>
    <row r="109" spans="1:43" x14ac:dyDescent="0.25">
      <c r="A109" s="1"/>
      <c r="D109" t="s">
        <v>303</v>
      </c>
      <c r="E109" t="s">
        <v>160</v>
      </c>
      <c r="F109" t="s">
        <v>304</v>
      </c>
      <c r="G109" t="s">
        <v>38</v>
      </c>
      <c r="H109" t="s">
        <v>24</v>
      </c>
      <c r="L10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9" s="1"/>
      <c r="T109" s="64" t="str">
        <f>IF(Table1[[#This Row],[ActualWinner]]="", "", IF(Table1[[#This Row],[AwayTeam]]=Table1[[#This Row],[ActualWinner]],Table1[[#This Row],[HomeTeam]],Table1[[#This Row],[AwayTeam]]))</f>
        <v/>
      </c>
      <c r="U109" s="64">
        <f>Table1[[#This Row],[ActualAwayScore]]-Table1[[#This Row],[PredictedAwayScore]]</f>
        <v>0</v>
      </c>
      <c r="V109" s="64">
        <f>Table1[[#This Row],[ActualHomeScore]]-Table1[[#This Row],[PredictedHomeScore]]</f>
        <v>0</v>
      </c>
      <c r="W109" s="64">
        <f>(0.8*IF(Table1[[#This Row],[CorrectWinnerPrediction]]=1, 1, 0))+(0.1*IF(Table1[[#This Row],[CorrectAwayScorePrediction]]=1, 1, 0))+(0.1*IF(Table1[[#This Row],[CorrectHomeScorePrediction]]=1, 1, 0))</f>
        <v>0</v>
      </c>
      <c r="X10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9" s="64">
        <f>SUMIF(Table1[GameDate], Table1[[#This Row],[GameDate]], Table1[AwayGameGoalDiff])</f>
        <v>0</v>
      </c>
      <c r="AA109" s="64">
        <f>SUMIF(Table1[GameDate], Table1[[#This Row],[GameDate]], Table1[HomeGameGoalDiff])</f>
        <v>0</v>
      </c>
      <c r="AB109" s="64">
        <f>IF(ISBLANK(Table1[[#This Row],[ActualResult]]), 0, 1)</f>
        <v>0</v>
      </c>
      <c r="AC109" s="64">
        <f>IF(ISBLANK(Table1[[#This Row],[ActualResult]]), 0, IF(Table1[[#This Row],[ActualWinner]]=Table1[[#This Row],[PredictedWinner]], 1, 0))</f>
        <v>0</v>
      </c>
      <c r="AD10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9" s="64">
        <f>IF(AND(Table1[[#This Row],[GameIsOver]]=1,Table1[[#This Row],[ActualAwayScore]]=0), 1,0)</f>
        <v>0</v>
      </c>
      <c r="AG109" s="64">
        <f>IF(AND(Table1[[#This Row],[GameIsOver]]=1,Table1[[#This Row],[ActualHomeScore]]=0), 1,0)</f>
        <v>0</v>
      </c>
      <c r="AH109" s="64">
        <f>IF(Table1[[#This Row],[GameIsOver]]=0,0,IF(Table1[[#This Row],[ActualWinner]]=Table1[[#This Row],[AwayTeam]], 1, 0))</f>
        <v>0</v>
      </c>
      <c r="AI109" s="64">
        <f>IF(Table1[[#This Row],[GameIsOver]]=0,0,IF(Table1[[#This Row],[ActualWinner]]=Table1[[#This Row],[HomeTeam]], 1, 0))</f>
        <v>0</v>
      </c>
      <c r="AJ109" s="64">
        <f>IF(INDEX(Standings!$A$2:$C$33,MATCH(Table1[[#This Row],[AwayTeam]],Standings!$A$2:$A$33,0),2)=INDEX(Standings!$A$2:$C$33,MATCH(Table1[[#This Row],[HomeTeam]],Standings!$A$2:$A$33,0),2),1,0)</f>
        <v>1</v>
      </c>
      <c r="AK109" s="64">
        <f>IF(INDEX(Standings!$A$2:$C$33,MATCH(Table1[[#This Row],[AwayTeam]],Standings!$A$2:$A$33,0),3)=INDEX(Standings!$A$2:$C$33,MATCH(Table1[[#This Row],[HomeTeam]],Standings!$A$2:$A$33,0),3),1,0)</f>
        <v>1</v>
      </c>
      <c r="AL109" s="64">
        <f>IF(Table1[[#This Row],[InterConf]]=1,IF(Table1[[#This Row],[InterDiv]]=0, 1, 0), 0)</f>
        <v>0</v>
      </c>
      <c r="AM109" s="64">
        <f>IF(INDEX(Standings!$A$2:$C$33,MATCH(Table1[[#This Row],[AwayTeam]],Standings!$A$2:$A$33,0),2)&lt;&gt;INDEX(Standings!$A$2:$C$33,MATCH(Table1[[#This Row],[HomeTeam]],Standings!$A$2:$A$33,0),2),1,0)</f>
        <v>0</v>
      </c>
      <c r="AN109" s="64" t="str">
        <f>INDEX(Table2[AWAY_RECORD], MATCH(Table1[[#This Row],[AwayTeam]],Table2[Team], 0), 0)</f>
        <v>0-0-1</v>
      </c>
      <c r="AO109" s="64" t="str">
        <f>INDEX(Records!$B$2:$AG$33, MATCH(Table1[[#This Row],[AwayTeam]],Records!$A$2:$A$33, 0), MATCH(Table1[[#This Row],[HomeTeam]],Records!$A$2:$A$33, 0))</f>
        <v>0-0-0</v>
      </c>
      <c r="AP109" s="64" t="str">
        <f>INDEX(Table2[HOME_RECORD], MATCH(Table1[[#This Row],[HomeTeam]],Table2[Team], 0), 0)</f>
        <v>0-2-0</v>
      </c>
      <c r="AQ109" s="64" t="str">
        <f>INDEX(Records!$B$2:$AG$33, MATCH(Table1[[#This Row],[HomeTeam]],Records!$A$2:$A$33, 0), MATCH(Table1[[#This Row],[AwayTeam]],Records!$A$2:$A$33, 0))</f>
        <v>0-0-0</v>
      </c>
    </row>
    <row r="110" spans="1:43" x14ac:dyDescent="0.25">
      <c r="A110" s="1"/>
      <c r="D110" t="s">
        <v>303</v>
      </c>
      <c r="E110" t="s">
        <v>160</v>
      </c>
      <c r="F110" t="s">
        <v>305</v>
      </c>
      <c r="G110" t="s">
        <v>50</v>
      </c>
      <c r="H110" t="s">
        <v>52</v>
      </c>
      <c r="L11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0" s="1"/>
      <c r="T110" s="64" t="str">
        <f>IF(Table1[[#This Row],[ActualWinner]]="", "", IF(Table1[[#This Row],[AwayTeam]]=Table1[[#This Row],[ActualWinner]],Table1[[#This Row],[HomeTeam]],Table1[[#This Row],[AwayTeam]]))</f>
        <v/>
      </c>
      <c r="U110" s="64">
        <f>Table1[[#This Row],[ActualAwayScore]]-Table1[[#This Row],[PredictedAwayScore]]</f>
        <v>0</v>
      </c>
      <c r="V110" s="64">
        <f>Table1[[#This Row],[ActualHomeScore]]-Table1[[#This Row],[PredictedHomeScore]]</f>
        <v>0</v>
      </c>
      <c r="W110" s="64">
        <f>(0.8*IF(Table1[[#This Row],[CorrectWinnerPrediction]]=1, 1, 0))+(0.1*IF(Table1[[#This Row],[CorrectAwayScorePrediction]]=1, 1, 0))+(0.1*IF(Table1[[#This Row],[CorrectHomeScorePrediction]]=1, 1, 0))</f>
        <v>0</v>
      </c>
      <c r="X11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0" s="64">
        <f>SUMIF(Table1[GameDate], Table1[[#This Row],[GameDate]], Table1[AwayGameGoalDiff])</f>
        <v>0</v>
      </c>
      <c r="AA110" s="64">
        <f>SUMIF(Table1[GameDate], Table1[[#This Row],[GameDate]], Table1[HomeGameGoalDiff])</f>
        <v>0</v>
      </c>
      <c r="AB110" s="64">
        <f>IF(ISBLANK(Table1[[#This Row],[ActualResult]]), 0, 1)</f>
        <v>0</v>
      </c>
      <c r="AC110" s="64">
        <f>IF(ISBLANK(Table1[[#This Row],[ActualResult]]), 0, IF(Table1[[#This Row],[ActualWinner]]=Table1[[#This Row],[PredictedWinner]], 1, 0))</f>
        <v>0</v>
      </c>
      <c r="AD11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0" s="64">
        <f>IF(AND(Table1[[#This Row],[GameIsOver]]=1,Table1[[#This Row],[ActualAwayScore]]=0), 1,0)</f>
        <v>0</v>
      </c>
      <c r="AG110" s="64">
        <f>IF(AND(Table1[[#This Row],[GameIsOver]]=1,Table1[[#This Row],[ActualHomeScore]]=0), 1,0)</f>
        <v>0</v>
      </c>
      <c r="AH110" s="64">
        <f>IF(Table1[[#This Row],[GameIsOver]]=0,0,IF(Table1[[#This Row],[ActualWinner]]=Table1[[#This Row],[AwayTeam]], 1, 0))</f>
        <v>0</v>
      </c>
      <c r="AI110" s="64">
        <f>IF(Table1[[#This Row],[GameIsOver]]=0,0,IF(Table1[[#This Row],[ActualWinner]]=Table1[[#This Row],[HomeTeam]], 1, 0))</f>
        <v>0</v>
      </c>
      <c r="AJ110" s="64">
        <f>IF(INDEX(Standings!$A$2:$C$33,MATCH(Table1[[#This Row],[AwayTeam]],Standings!$A$2:$A$33,0),2)=INDEX(Standings!$A$2:$C$33,MATCH(Table1[[#This Row],[HomeTeam]],Standings!$A$2:$A$33,0),2),1,0)</f>
        <v>1</v>
      </c>
      <c r="AK110" s="64">
        <f>IF(INDEX(Standings!$A$2:$C$33,MATCH(Table1[[#This Row],[AwayTeam]],Standings!$A$2:$A$33,0),3)=INDEX(Standings!$A$2:$C$33,MATCH(Table1[[#This Row],[HomeTeam]],Standings!$A$2:$A$33,0),3),1,0)</f>
        <v>0</v>
      </c>
      <c r="AL110" s="64">
        <f>IF(Table1[[#This Row],[InterConf]]=1,IF(Table1[[#This Row],[InterDiv]]=0, 1, 0), 0)</f>
        <v>1</v>
      </c>
      <c r="AM110" s="64">
        <f>IF(INDEX(Standings!$A$2:$C$33,MATCH(Table1[[#This Row],[AwayTeam]],Standings!$A$2:$A$33,0),2)&lt;&gt;INDEX(Standings!$A$2:$C$33,MATCH(Table1[[#This Row],[HomeTeam]],Standings!$A$2:$A$33,0),2),1,0)</f>
        <v>0</v>
      </c>
      <c r="AN110" s="64" t="str">
        <f>INDEX(Table2[AWAY_RECORD], MATCH(Table1[[#This Row],[AwayTeam]],Table2[Team], 0), 0)</f>
        <v>1-0-0</v>
      </c>
      <c r="AO110" s="64" t="str">
        <f>INDEX(Records!$B$2:$AG$33, MATCH(Table1[[#This Row],[AwayTeam]],Records!$A$2:$A$33, 0), MATCH(Table1[[#This Row],[HomeTeam]],Records!$A$2:$A$33, 0))</f>
        <v>0-0-0</v>
      </c>
      <c r="AP110" s="64" t="str">
        <f>INDEX(Table2[HOME_RECORD], MATCH(Table1[[#This Row],[HomeTeam]],Table2[Team], 0), 0)</f>
        <v>0-0-0</v>
      </c>
      <c r="AQ110" s="64" t="str">
        <f>INDEX(Records!$B$2:$AG$33, MATCH(Table1[[#This Row],[HomeTeam]],Records!$A$2:$A$33, 0), MATCH(Table1[[#This Row],[AwayTeam]],Records!$A$2:$A$33, 0))</f>
        <v>0-0-0</v>
      </c>
    </row>
    <row r="111" spans="1:43" x14ac:dyDescent="0.25">
      <c r="A111" s="1"/>
      <c r="D111" t="s">
        <v>303</v>
      </c>
      <c r="E111" t="s">
        <v>160</v>
      </c>
      <c r="F111" t="s">
        <v>306</v>
      </c>
      <c r="G111" t="s">
        <v>53</v>
      </c>
      <c r="H111" t="s">
        <v>44</v>
      </c>
      <c r="L11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1" s="1"/>
      <c r="T111" s="64" t="str">
        <f>IF(Table1[[#This Row],[ActualWinner]]="", "", IF(Table1[[#This Row],[AwayTeam]]=Table1[[#This Row],[ActualWinner]],Table1[[#This Row],[HomeTeam]],Table1[[#This Row],[AwayTeam]]))</f>
        <v/>
      </c>
      <c r="U111" s="64">
        <f>Table1[[#This Row],[ActualAwayScore]]-Table1[[#This Row],[PredictedAwayScore]]</f>
        <v>0</v>
      </c>
      <c r="V111" s="64">
        <f>Table1[[#This Row],[ActualHomeScore]]-Table1[[#This Row],[PredictedHomeScore]]</f>
        <v>0</v>
      </c>
      <c r="W111" s="64">
        <f>(0.8*IF(Table1[[#This Row],[CorrectWinnerPrediction]]=1, 1, 0))+(0.1*IF(Table1[[#This Row],[CorrectAwayScorePrediction]]=1, 1, 0))+(0.1*IF(Table1[[#This Row],[CorrectHomeScorePrediction]]=1, 1, 0))</f>
        <v>0</v>
      </c>
      <c r="X11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1" s="64">
        <f>SUMIF(Table1[GameDate], Table1[[#This Row],[GameDate]], Table1[AwayGameGoalDiff])</f>
        <v>0</v>
      </c>
      <c r="AA111" s="64">
        <f>SUMIF(Table1[GameDate], Table1[[#This Row],[GameDate]], Table1[HomeGameGoalDiff])</f>
        <v>0</v>
      </c>
      <c r="AB111" s="64">
        <f>IF(ISBLANK(Table1[[#This Row],[ActualResult]]), 0, 1)</f>
        <v>0</v>
      </c>
      <c r="AC111" s="64">
        <f>IF(ISBLANK(Table1[[#This Row],[ActualResult]]), 0, IF(Table1[[#This Row],[ActualWinner]]=Table1[[#This Row],[PredictedWinner]], 1, 0))</f>
        <v>0</v>
      </c>
      <c r="AD11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1" s="64">
        <f>IF(AND(Table1[[#This Row],[GameIsOver]]=1,Table1[[#This Row],[ActualAwayScore]]=0), 1,0)</f>
        <v>0</v>
      </c>
      <c r="AG111" s="64">
        <f>IF(AND(Table1[[#This Row],[GameIsOver]]=1,Table1[[#This Row],[ActualHomeScore]]=0), 1,0)</f>
        <v>0</v>
      </c>
      <c r="AH111" s="64">
        <f>IF(Table1[[#This Row],[GameIsOver]]=0,0,IF(Table1[[#This Row],[ActualWinner]]=Table1[[#This Row],[AwayTeam]], 1, 0))</f>
        <v>0</v>
      </c>
      <c r="AI111" s="64">
        <f>IF(Table1[[#This Row],[GameIsOver]]=0,0,IF(Table1[[#This Row],[ActualWinner]]=Table1[[#This Row],[HomeTeam]], 1, 0))</f>
        <v>0</v>
      </c>
      <c r="AJ111" s="64">
        <f>IF(INDEX(Standings!$A$2:$C$33,MATCH(Table1[[#This Row],[AwayTeam]],Standings!$A$2:$A$33,0),2)=INDEX(Standings!$A$2:$C$33,MATCH(Table1[[#This Row],[HomeTeam]],Standings!$A$2:$A$33,0),2),1,0)</f>
        <v>1</v>
      </c>
      <c r="AK111" s="64">
        <f>IF(INDEX(Standings!$A$2:$C$33,MATCH(Table1[[#This Row],[AwayTeam]],Standings!$A$2:$A$33,0),3)=INDEX(Standings!$A$2:$C$33,MATCH(Table1[[#This Row],[HomeTeam]],Standings!$A$2:$A$33,0),3),1,0)</f>
        <v>0</v>
      </c>
      <c r="AL111" s="64">
        <f>IF(Table1[[#This Row],[InterConf]]=1,IF(Table1[[#This Row],[InterDiv]]=0, 1, 0), 0)</f>
        <v>1</v>
      </c>
      <c r="AM111" s="64">
        <f>IF(INDEX(Standings!$A$2:$C$33,MATCH(Table1[[#This Row],[AwayTeam]],Standings!$A$2:$A$33,0),2)&lt;&gt;INDEX(Standings!$A$2:$C$33,MATCH(Table1[[#This Row],[HomeTeam]],Standings!$A$2:$A$33,0),2),1,0)</f>
        <v>0</v>
      </c>
      <c r="AN111" s="64" t="str">
        <f>INDEX(Table2[AWAY_RECORD], MATCH(Table1[[#This Row],[AwayTeam]],Table2[Team], 0), 0)</f>
        <v>0-1-0</v>
      </c>
      <c r="AO111" s="64" t="str">
        <f>INDEX(Records!$B$2:$AG$33, MATCH(Table1[[#This Row],[AwayTeam]],Records!$A$2:$A$33, 0), MATCH(Table1[[#This Row],[HomeTeam]],Records!$A$2:$A$33, 0))</f>
        <v>0-0-0</v>
      </c>
      <c r="AP111" s="64" t="str">
        <f>INDEX(Table2[HOME_RECORD], MATCH(Table1[[#This Row],[HomeTeam]],Table2[Team], 0), 0)</f>
        <v>0-0-1</v>
      </c>
      <c r="AQ111" s="64" t="str">
        <f>INDEX(Records!$B$2:$AG$33, MATCH(Table1[[#This Row],[HomeTeam]],Records!$A$2:$A$33, 0), MATCH(Table1[[#This Row],[AwayTeam]],Records!$A$2:$A$33, 0))</f>
        <v>0-0-0</v>
      </c>
    </row>
    <row r="112" spans="1:43" x14ac:dyDescent="0.25">
      <c r="A112" s="1"/>
      <c r="D112" t="s">
        <v>303</v>
      </c>
      <c r="E112" t="s">
        <v>160</v>
      </c>
      <c r="F112" t="s">
        <v>307</v>
      </c>
      <c r="G112" t="s">
        <v>56</v>
      </c>
      <c r="H112" t="s">
        <v>57</v>
      </c>
      <c r="L11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2" s="1"/>
      <c r="T112" s="64" t="str">
        <f>IF(Table1[[#This Row],[ActualWinner]]="", "", IF(Table1[[#This Row],[AwayTeam]]=Table1[[#This Row],[ActualWinner]],Table1[[#This Row],[HomeTeam]],Table1[[#This Row],[AwayTeam]]))</f>
        <v/>
      </c>
      <c r="U112" s="64">
        <f>Table1[[#This Row],[ActualAwayScore]]-Table1[[#This Row],[PredictedAwayScore]]</f>
        <v>0</v>
      </c>
      <c r="V112" s="64">
        <f>Table1[[#This Row],[ActualHomeScore]]-Table1[[#This Row],[PredictedHomeScore]]</f>
        <v>0</v>
      </c>
      <c r="W112" s="64">
        <f>(0.8*IF(Table1[[#This Row],[CorrectWinnerPrediction]]=1, 1, 0))+(0.1*IF(Table1[[#This Row],[CorrectAwayScorePrediction]]=1, 1, 0))+(0.1*IF(Table1[[#This Row],[CorrectHomeScorePrediction]]=1, 1, 0))</f>
        <v>0</v>
      </c>
      <c r="X11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2" s="64">
        <f>SUMIF(Table1[GameDate], Table1[[#This Row],[GameDate]], Table1[AwayGameGoalDiff])</f>
        <v>0</v>
      </c>
      <c r="AA112" s="64">
        <f>SUMIF(Table1[GameDate], Table1[[#This Row],[GameDate]], Table1[HomeGameGoalDiff])</f>
        <v>0</v>
      </c>
      <c r="AB112" s="64">
        <f>IF(ISBLANK(Table1[[#This Row],[ActualResult]]), 0, 1)</f>
        <v>0</v>
      </c>
      <c r="AC112" s="64">
        <f>IF(ISBLANK(Table1[[#This Row],[ActualResult]]), 0, IF(Table1[[#This Row],[ActualWinner]]=Table1[[#This Row],[PredictedWinner]], 1, 0))</f>
        <v>0</v>
      </c>
      <c r="AD11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2" s="64">
        <f>IF(AND(Table1[[#This Row],[GameIsOver]]=1,Table1[[#This Row],[ActualAwayScore]]=0), 1,0)</f>
        <v>0</v>
      </c>
      <c r="AG112" s="64">
        <f>IF(AND(Table1[[#This Row],[GameIsOver]]=1,Table1[[#This Row],[ActualHomeScore]]=0), 1,0)</f>
        <v>0</v>
      </c>
      <c r="AH112" s="64">
        <f>IF(Table1[[#This Row],[GameIsOver]]=0,0,IF(Table1[[#This Row],[ActualWinner]]=Table1[[#This Row],[AwayTeam]], 1, 0))</f>
        <v>0</v>
      </c>
      <c r="AI112" s="64">
        <f>IF(Table1[[#This Row],[GameIsOver]]=0,0,IF(Table1[[#This Row],[ActualWinner]]=Table1[[#This Row],[HomeTeam]], 1, 0))</f>
        <v>0</v>
      </c>
      <c r="AJ112" s="64">
        <f>IF(INDEX(Standings!$A$2:$C$33,MATCH(Table1[[#This Row],[AwayTeam]],Standings!$A$2:$A$33,0),2)=INDEX(Standings!$A$2:$C$33,MATCH(Table1[[#This Row],[HomeTeam]],Standings!$A$2:$A$33,0),2),1,0)</f>
        <v>0</v>
      </c>
      <c r="AK112" s="64">
        <f>IF(INDEX(Standings!$A$2:$C$33,MATCH(Table1[[#This Row],[AwayTeam]],Standings!$A$2:$A$33,0),3)=INDEX(Standings!$A$2:$C$33,MATCH(Table1[[#This Row],[HomeTeam]],Standings!$A$2:$A$33,0),3),1,0)</f>
        <v>0</v>
      </c>
      <c r="AL112" s="64">
        <f>IF(Table1[[#This Row],[InterConf]]=1,IF(Table1[[#This Row],[InterDiv]]=0, 1, 0), 0)</f>
        <v>0</v>
      </c>
      <c r="AM112" s="64">
        <f>IF(INDEX(Standings!$A$2:$C$33,MATCH(Table1[[#This Row],[AwayTeam]],Standings!$A$2:$A$33,0),2)&lt;&gt;INDEX(Standings!$A$2:$C$33,MATCH(Table1[[#This Row],[HomeTeam]],Standings!$A$2:$A$33,0),2),1,0)</f>
        <v>1</v>
      </c>
      <c r="AN112" s="64" t="str">
        <f>INDEX(Table2[AWAY_RECORD], MATCH(Table1[[#This Row],[AwayTeam]],Table2[Team], 0), 0)</f>
        <v>1-0-0</v>
      </c>
      <c r="AO112" s="64" t="str">
        <f>INDEX(Records!$B$2:$AG$33, MATCH(Table1[[#This Row],[AwayTeam]],Records!$A$2:$A$33, 0), MATCH(Table1[[#This Row],[HomeTeam]],Records!$A$2:$A$33, 0))</f>
        <v>0-0-0</v>
      </c>
      <c r="AP112" s="64" t="str">
        <f>INDEX(Table2[HOME_RECORD], MATCH(Table1[[#This Row],[HomeTeam]],Table2[Team], 0), 0)</f>
        <v>0-0-0</v>
      </c>
      <c r="AQ112" s="64" t="str">
        <f>INDEX(Records!$B$2:$AG$33, MATCH(Table1[[#This Row],[HomeTeam]],Records!$A$2:$A$33, 0), MATCH(Table1[[#This Row],[AwayTeam]],Records!$A$2:$A$33, 0))</f>
        <v>0-0-0</v>
      </c>
    </row>
    <row r="113" spans="1:43" x14ac:dyDescent="0.25">
      <c r="A113" s="1"/>
      <c r="D113" t="s">
        <v>303</v>
      </c>
      <c r="E113" t="s">
        <v>160</v>
      </c>
      <c r="F113" t="s">
        <v>308</v>
      </c>
      <c r="G113" t="s">
        <v>23</v>
      </c>
      <c r="H113" t="s">
        <v>17</v>
      </c>
      <c r="L11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3" s="1"/>
      <c r="T113" s="64" t="str">
        <f>IF(Table1[[#This Row],[ActualWinner]]="", "", IF(Table1[[#This Row],[AwayTeam]]=Table1[[#This Row],[ActualWinner]],Table1[[#This Row],[HomeTeam]],Table1[[#This Row],[AwayTeam]]))</f>
        <v/>
      </c>
      <c r="U113" s="64">
        <f>Table1[[#This Row],[ActualAwayScore]]-Table1[[#This Row],[PredictedAwayScore]]</f>
        <v>0</v>
      </c>
      <c r="V113" s="64">
        <f>Table1[[#This Row],[ActualHomeScore]]-Table1[[#This Row],[PredictedHomeScore]]</f>
        <v>0</v>
      </c>
      <c r="W113" s="64">
        <f>(0.8*IF(Table1[[#This Row],[CorrectWinnerPrediction]]=1, 1, 0))+(0.1*IF(Table1[[#This Row],[CorrectAwayScorePrediction]]=1, 1, 0))+(0.1*IF(Table1[[#This Row],[CorrectHomeScorePrediction]]=1, 1, 0))</f>
        <v>0</v>
      </c>
      <c r="X11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3" s="64">
        <f>SUMIF(Table1[GameDate], Table1[[#This Row],[GameDate]], Table1[AwayGameGoalDiff])</f>
        <v>0</v>
      </c>
      <c r="AA113" s="64">
        <f>SUMIF(Table1[GameDate], Table1[[#This Row],[GameDate]], Table1[HomeGameGoalDiff])</f>
        <v>0</v>
      </c>
      <c r="AB113" s="64">
        <f>IF(ISBLANK(Table1[[#This Row],[ActualResult]]), 0, 1)</f>
        <v>0</v>
      </c>
      <c r="AC113" s="64">
        <f>IF(ISBLANK(Table1[[#This Row],[ActualResult]]), 0, IF(Table1[[#This Row],[ActualWinner]]=Table1[[#This Row],[PredictedWinner]], 1, 0))</f>
        <v>0</v>
      </c>
      <c r="AD11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3" s="64">
        <f>IF(AND(Table1[[#This Row],[GameIsOver]]=1,Table1[[#This Row],[ActualAwayScore]]=0), 1,0)</f>
        <v>0</v>
      </c>
      <c r="AG113" s="64">
        <f>IF(AND(Table1[[#This Row],[GameIsOver]]=1,Table1[[#This Row],[ActualHomeScore]]=0), 1,0)</f>
        <v>0</v>
      </c>
      <c r="AH113" s="64">
        <f>IF(Table1[[#This Row],[GameIsOver]]=0,0,IF(Table1[[#This Row],[ActualWinner]]=Table1[[#This Row],[AwayTeam]], 1, 0))</f>
        <v>0</v>
      </c>
      <c r="AI113" s="64">
        <f>IF(Table1[[#This Row],[GameIsOver]]=0,0,IF(Table1[[#This Row],[ActualWinner]]=Table1[[#This Row],[HomeTeam]], 1, 0))</f>
        <v>0</v>
      </c>
      <c r="AJ113" s="64">
        <f>IF(INDEX(Standings!$A$2:$C$33,MATCH(Table1[[#This Row],[AwayTeam]],Standings!$A$2:$A$33,0),2)=INDEX(Standings!$A$2:$C$33,MATCH(Table1[[#This Row],[HomeTeam]],Standings!$A$2:$A$33,0),2),1,0)</f>
        <v>0</v>
      </c>
      <c r="AK113" s="64">
        <f>IF(INDEX(Standings!$A$2:$C$33,MATCH(Table1[[#This Row],[AwayTeam]],Standings!$A$2:$A$33,0),3)=INDEX(Standings!$A$2:$C$33,MATCH(Table1[[#This Row],[HomeTeam]],Standings!$A$2:$A$33,0),3),1,0)</f>
        <v>0</v>
      </c>
      <c r="AL113" s="64">
        <f>IF(Table1[[#This Row],[InterConf]]=1,IF(Table1[[#This Row],[InterDiv]]=0, 1, 0), 0)</f>
        <v>0</v>
      </c>
      <c r="AM113" s="64">
        <f>IF(INDEX(Standings!$A$2:$C$33,MATCH(Table1[[#This Row],[AwayTeam]],Standings!$A$2:$A$33,0),2)&lt;&gt;INDEX(Standings!$A$2:$C$33,MATCH(Table1[[#This Row],[HomeTeam]],Standings!$A$2:$A$33,0),2),1,0)</f>
        <v>1</v>
      </c>
      <c r="AN113" s="64" t="str">
        <f>INDEX(Table2[AWAY_RECORD], MATCH(Table1[[#This Row],[AwayTeam]],Table2[Team], 0), 0)</f>
        <v>0-0-1</v>
      </c>
      <c r="AO113" s="64" t="str">
        <f>INDEX(Records!$B$2:$AG$33, MATCH(Table1[[#This Row],[AwayTeam]],Records!$A$2:$A$33, 0), MATCH(Table1[[#This Row],[HomeTeam]],Records!$A$2:$A$33, 0))</f>
        <v>0-0-0</v>
      </c>
      <c r="AP113" s="64" t="str">
        <f>INDEX(Table2[HOME_RECORD], MATCH(Table1[[#This Row],[HomeTeam]],Table2[Team], 0), 0)</f>
        <v>0-0-0</v>
      </c>
      <c r="AQ113" s="64" t="str">
        <f>INDEX(Records!$B$2:$AG$33, MATCH(Table1[[#This Row],[HomeTeam]],Records!$A$2:$A$33, 0), MATCH(Table1[[#This Row],[AwayTeam]],Records!$A$2:$A$33, 0))</f>
        <v>0-0-0</v>
      </c>
    </row>
    <row r="114" spans="1:43" x14ac:dyDescent="0.25">
      <c r="A114" s="1"/>
      <c r="D114" t="s">
        <v>303</v>
      </c>
      <c r="E114" t="s">
        <v>160</v>
      </c>
      <c r="F114" t="s">
        <v>309</v>
      </c>
      <c r="G114" t="s">
        <v>51</v>
      </c>
      <c r="H114" t="s">
        <v>49</v>
      </c>
      <c r="L11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4" s="1"/>
      <c r="T114" s="64" t="str">
        <f>IF(Table1[[#This Row],[ActualWinner]]="", "", IF(Table1[[#This Row],[AwayTeam]]=Table1[[#This Row],[ActualWinner]],Table1[[#This Row],[HomeTeam]],Table1[[#This Row],[AwayTeam]]))</f>
        <v/>
      </c>
      <c r="U114" s="64">
        <f>Table1[[#This Row],[ActualAwayScore]]-Table1[[#This Row],[PredictedAwayScore]]</f>
        <v>0</v>
      </c>
      <c r="V114" s="64">
        <f>Table1[[#This Row],[ActualHomeScore]]-Table1[[#This Row],[PredictedHomeScore]]</f>
        <v>0</v>
      </c>
      <c r="W114" s="64">
        <f>(0.8*IF(Table1[[#This Row],[CorrectWinnerPrediction]]=1, 1, 0))+(0.1*IF(Table1[[#This Row],[CorrectAwayScorePrediction]]=1, 1, 0))+(0.1*IF(Table1[[#This Row],[CorrectHomeScorePrediction]]=1, 1, 0))</f>
        <v>0</v>
      </c>
      <c r="X11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4" s="64">
        <f>SUMIF(Table1[GameDate], Table1[[#This Row],[GameDate]], Table1[AwayGameGoalDiff])</f>
        <v>0</v>
      </c>
      <c r="AA114" s="64">
        <f>SUMIF(Table1[GameDate], Table1[[#This Row],[GameDate]], Table1[HomeGameGoalDiff])</f>
        <v>0</v>
      </c>
      <c r="AB114" s="64">
        <f>IF(ISBLANK(Table1[[#This Row],[ActualResult]]), 0, 1)</f>
        <v>0</v>
      </c>
      <c r="AC114" s="64">
        <f>IF(ISBLANK(Table1[[#This Row],[ActualResult]]), 0, IF(Table1[[#This Row],[ActualWinner]]=Table1[[#This Row],[PredictedWinner]], 1, 0))</f>
        <v>0</v>
      </c>
      <c r="AD11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4" s="64">
        <f>IF(AND(Table1[[#This Row],[GameIsOver]]=1,Table1[[#This Row],[ActualAwayScore]]=0), 1,0)</f>
        <v>0</v>
      </c>
      <c r="AG114" s="64">
        <f>IF(AND(Table1[[#This Row],[GameIsOver]]=1,Table1[[#This Row],[ActualHomeScore]]=0), 1,0)</f>
        <v>0</v>
      </c>
      <c r="AH114" s="64">
        <f>IF(Table1[[#This Row],[GameIsOver]]=0,0,IF(Table1[[#This Row],[ActualWinner]]=Table1[[#This Row],[AwayTeam]], 1, 0))</f>
        <v>0</v>
      </c>
      <c r="AI114" s="64">
        <f>IF(Table1[[#This Row],[GameIsOver]]=0,0,IF(Table1[[#This Row],[ActualWinner]]=Table1[[#This Row],[HomeTeam]], 1, 0))</f>
        <v>0</v>
      </c>
      <c r="AJ114" s="64">
        <f>IF(INDEX(Standings!$A$2:$C$33,MATCH(Table1[[#This Row],[AwayTeam]],Standings!$A$2:$A$33,0),2)=INDEX(Standings!$A$2:$C$33,MATCH(Table1[[#This Row],[HomeTeam]],Standings!$A$2:$A$33,0),2),1,0)</f>
        <v>1</v>
      </c>
      <c r="AK114" s="64">
        <f>IF(INDEX(Standings!$A$2:$C$33,MATCH(Table1[[#This Row],[AwayTeam]],Standings!$A$2:$A$33,0),3)=INDEX(Standings!$A$2:$C$33,MATCH(Table1[[#This Row],[HomeTeam]],Standings!$A$2:$A$33,0),3),1,0)</f>
        <v>1</v>
      </c>
      <c r="AL114" s="64">
        <f>IF(Table1[[#This Row],[InterConf]]=1,IF(Table1[[#This Row],[InterDiv]]=0, 1, 0), 0)</f>
        <v>0</v>
      </c>
      <c r="AM114" s="64">
        <f>IF(INDEX(Standings!$A$2:$C$33,MATCH(Table1[[#This Row],[AwayTeam]],Standings!$A$2:$A$33,0),2)&lt;&gt;INDEX(Standings!$A$2:$C$33,MATCH(Table1[[#This Row],[HomeTeam]],Standings!$A$2:$A$33,0),2),1,0)</f>
        <v>0</v>
      </c>
      <c r="AN114" s="64" t="str">
        <f>INDEX(Table2[AWAY_RECORD], MATCH(Table1[[#This Row],[AwayTeam]],Table2[Team], 0), 0)</f>
        <v>2-0-0</v>
      </c>
      <c r="AO114" s="64" t="str">
        <f>INDEX(Records!$B$2:$AG$33, MATCH(Table1[[#This Row],[AwayTeam]],Records!$A$2:$A$33, 0), MATCH(Table1[[#This Row],[HomeTeam]],Records!$A$2:$A$33, 0))</f>
        <v>0-0-0</v>
      </c>
      <c r="AP114" s="64" t="str">
        <f>INDEX(Table2[HOME_RECORD], MATCH(Table1[[#This Row],[HomeTeam]],Table2[Team], 0), 0)</f>
        <v>1-0-0</v>
      </c>
      <c r="AQ114" s="64" t="str">
        <f>INDEX(Records!$B$2:$AG$33, MATCH(Table1[[#This Row],[HomeTeam]],Records!$A$2:$A$33, 0), MATCH(Table1[[#This Row],[AwayTeam]],Records!$A$2:$A$33, 0))</f>
        <v>0-0-0</v>
      </c>
    </row>
    <row r="115" spans="1:43" x14ac:dyDescent="0.25">
      <c r="A115" s="1"/>
      <c r="D115" t="s">
        <v>303</v>
      </c>
      <c r="E115" t="s">
        <v>162</v>
      </c>
      <c r="F115" t="s">
        <v>310</v>
      </c>
      <c r="G115" t="s">
        <v>60</v>
      </c>
      <c r="H115" t="s">
        <v>16</v>
      </c>
      <c r="L11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5" s="1"/>
      <c r="T115" s="64" t="str">
        <f>IF(Table1[[#This Row],[ActualWinner]]="", "", IF(Table1[[#This Row],[AwayTeam]]=Table1[[#This Row],[ActualWinner]],Table1[[#This Row],[HomeTeam]],Table1[[#This Row],[AwayTeam]]))</f>
        <v/>
      </c>
      <c r="U115" s="64">
        <f>Table1[[#This Row],[ActualAwayScore]]-Table1[[#This Row],[PredictedAwayScore]]</f>
        <v>0</v>
      </c>
      <c r="V115" s="64">
        <f>Table1[[#This Row],[ActualHomeScore]]-Table1[[#This Row],[PredictedHomeScore]]</f>
        <v>0</v>
      </c>
      <c r="W115" s="64">
        <f>(0.8*IF(Table1[[#This Row],[CorrectWinnerPrediction]]=1, 1, 0))+(0.1*IF(Table1[[#This Row],[CorrectAwayScorePrediction]]=1, 1, 0))+(0.1*IF(Table1[[#This Row],[CorrectHomeScorePrediction]]=1, 1, 0))</f>
        <v>0</v>
      </c>
      <c r="X11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5" s="64">
        <f>SUMIF(Table1[GameDate], Table1[[#This Row],[GameDate]], Table1[AwayGameGoalDiff])</f>
        <v>0</v>
      </c>
      <c r="AA115" s="64">
        <f>SUMIF(Table1[GameDate], Table1[[#This Row],[GameDate]], Table1[HomeGameGoalDiff])</f>
        <v>0</v>
      </c>
      <c r="AB115" s="64">
        <f>IF(ISBLANK(Table1[[#This Row],[ActualResult]]), 0, 1)</f>
        <v>0</v>
      </c>
      <c r="AC115" s="64">
        <f>IF(ISBLANK(Table1[[#This Row],[ActualResult]]), 0, IF(Table1[[#This Row],[ActualWinner]]=Table1[[#This Row],[PredictedWinner]], 1, 0))</f>
        <v>0</v>
      </c>
      <c r="AD11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5" s="64">
        <f>IF(AND(Table1[[#This Row],[GameIsOver]]=1,Table1[[#This Row],[ActualAwayScore]]=0), 1,0)</f>
        <v>0</v>
      </c>
      <c r="AG115" s="64">
        <f>IF(AND(Table1[[#This Row],[GameIsOver]]=1,Table1[[#This Row],[ActualHomeScore]]=0), 1,0)</f>
        <v>0</v>
      </c>
      <c r="AH115" s="64">
        <f>IF(Table1[[#This Row],[GameIsOver]]=0,0,IF(Table1[[#This Row],[ActualWinner]]=Table1[[#This Row],[AwayTeam]], 1, 0))</f>
        <v>0</v>
      </c>
      <c r="AI115" s="64">
        <f>IF(Table1[[#This Row],[GameIsOver]]=0,0,IF(Table1[[#This Row],[ActualWinner]]=Table1[[#This Row],[HomeTeam]], 1, 0))</f>
        <v>0</v>
      </c>
      <c r="AJ115" s="64">
        <f>IF(INDEX(Standings!$A$2:$C$33,MATCH(Table1[[#This Row],[AwayTeam]],Standings!$A$2:$A$33,0),2)=INDEX(Standings!$A$2:$C$33,MATCH(Table1[[#This Row],[HomeTeam]],Standings!$A$2:$A$33,0),2),1,0)</f>
        <v>1</v>
      </c>
      <c r="AK115" s="64">
        <f>IF(INDEX(Standings!$A$2:$C$33,MATCH(Table1[[#This Row],[AwayTeam]],Standings!$A$2:$A$33,0),3)=INDEX(Standings!$A$2:$C$33,MATCH(Table1[[#This Row],[HomeTeam]],Standings!$A$2:$A$33,0),3),1,0)</f>
        <v>1</v>
      </c>
      <c r="AL115" s="64">
        <f>IF(Table1[[#This Row],[InterConf]]=1,IF(Table1[[#This Row],[InterDiv]]=0, 1, 0), 0)</f>
        <v>0</v>
      </c>
      <c r="AM115" s="64">
        <f>IF(INDEX(Standings!$A$2:$C$33,MATCH(Table1[[#This Row],[AwayTeam]],Standings!$A$2:$A$33,0),2)&lt;&gt;INDEX(Standings!$A$2:$C$33,MATCH(Table1[[#This Row],[HomeTeam]],Standings!$A$2:$A$33,0),2),1,0)</f>
        <v>0</v>
      </c>
      <c r="AN115" s="64" t="str">
        <f>INDEX(Table2[AWAY_RECORD], MATCH(Table1[[#This Row],[AwayTeam]],Table2[Team], 0), 0)</f>
        <v>0-0-0</v>
      </c>
      <c r="AO115" s="64" t="str">
        <f>INDEX(Records!$B$2:$AG$33, MATCH(Table1[[#This Row],[AwayTeam]],Records!$A$2:$A$33, 0), MATCH(Table1[[#This Row],[HomeTeam]],Records!$A$2:$A$33, 0))</f>
        <v>0-0-0</v>
      </c>
      <c r="AP115" s="64" t="str">
        <f>INDEX(Table2[HOME_RECORD], MATCH(Table1[[#This Row],[HomeTeam]],Table2[Team], 0), 0)</f>
        <v>0-0-0</v>
      </c>
      <c r="AQ115" s="64" t="str">
        <f>INDEX(Records!$B$2:$AG$33, MATCH(Table1[[#This Row],[HomeTeam]],Records!$A$2:$A$33, 0), MATCH(Table1[[#This Row],[AwayTeam]],Records!$A$2:$A$33, 0))</f>
        <v>0-0-0</v>
      </c>
    </row>
    <row r="116" spans="1:43" x14ac:dyDescent="0.25">
      <c r="A116" s="1"/>
      <c r="D116" t="s">
        <v>303</v>
      </c>
      <c r="E116" t="s">
        <v>162</v>
      </c>
      <c r="F116" t="s">
        <v>311</v>
      </c>
      <c r="G116" t="s">
        <v>55</v>
      </c>
      <c r="H116" t="s">
        <v>48</v>
      </c>
      <c r="L11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6" s="1"/>
      <c r="T116" s="64" t="str">
        <f>IF(Table1[[#This Row],[ActualWinner]]="", "", IF(Table1[[#This Row],[AwayTeam]]=Table1[[#This Row],[ActualWinner]],Table1[[#This Row],[HomeTeam]],Table1[[#This Row],[AwayTeam]]))</f>
        <v/>
      </c>
      <c r="U116" s="64">
        <f>Table1[[#This Row],[ActualAwayScore]]-Table1[[#This Row],[PredictedAwayScore]]</f>
        <v>0</v>
      </c>
      <c r="V116" s="64">
        <f>Table1[[#This Row],[ActualHomeScore]]-Table1[[#This Row],[PredictedHomeScore]]</f>
        <v>0</v>
      </c>
      <c r="W116" s="64">
        <f>(0.8*IF(Table1[[#This Row],[CorrectWinnerPrediction]]=1, 1, 0))+(0.1*IF(Table1[[#This Row],[CorrectAwayScorePrediction]]=1, 1, 0))+(0.1*IF(Table1[[#This Row],[CorrectHomeScorePrediction]]=1, 1, 0))</f>
        <v>0</v>
      </c>
      <c r="X11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6" s="64">
        <f>SUMIF(Table1[GameDate], Table1[[#This Row],[GameDate]], Table1[AwayGameGoalDiff])</f>
        <v>0</v>
      </c>
      <c r="AA116" s="64">
        <f>SUMIF(Table1[GameDate], Table1[[#This Row],[GameDate]], Table1[HomeGameGoalDiff])</f>
        <v>0</v>
      </c>
      <c r="AB116" s="64">
        <f>IF(ISBLANK(Table1[[#This Row],[ActualResult]]), 0, 1)</f>
        <v>0</v>
      </c>
      <c r="AC116" s="64">
        <f>IF(ISBLANK(Table1[[#This Row],[ActualResult]]), 0, IF(Table1[[#This Row],[ActualWinner]]=Table1[[#This Row],[PredictedWinner]], 1, 0))</f>
        <v>0</v>
      </c>
      <c r="AD11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6" s="64">
        <f>IF(AND(Table1[[#This Row],[GameIsOver]]=1,Table1[[#This Row],[ActualAwayScore]]=0), 1,0)</f>
        <v>0</v>
      </c>
      <c r="AG116" s="64">
        <f>IF(AND(Table1[[#This Row],[GameIsOver]]=1,Table1[[#This Row],[ActualHomeScore]]=0), 1,0)</f>
        <v>0</v>
      </c>
      <c r="AH116" s="64">
        <f>IF(Table1[[#This Row],[GameIsOver]]=0,0,IF(Table1[[#This Row],[ActualWinner]]=Table1[[#This Row],[AwayTeam]], 1, 0))</f>
        <v>0</v>
      </c>
      <c r="AI116" s="64">
        <f>IF(Table1[[#This Row],[GameIsOver]]=0,0,IF(Table1[[#This Row],[ActualWinner]]=Table1[[#This Row],[HomeTeam]], 1, 0))</f>
        <v>0</v>
      </c>
      <c r="AJ116" s="64">
        <f>IF(INDEX(Standings!$A$2:$C$33,MATCH(Table1[[#This Row],[AwayTeam]],Standings!$A$2:$A$33,0),2)=INDEX(Standings!$A$2:$C$33,MATCH(Table1[[#This Row],[HomeTeam]],Standings!$A$2:$A$33,0),2),1,0)</f>
        <v>1</v>
      </c>
      <c r="AK116" s="64">
        <f>IF(INDEX(Standings!$A$2:$C$33,MATCH(Table1[[#This Row],[AwayTeam]],Standings!$A$2:$A$33,0),3)=INDEX(Standings!$A$2:$C$33,MATCH(Table1[[#This Row],[HomeTeam]],Standings!$A$2:$A$33,0),3),1,0)</f>
        <v>0</v>
      </c>
      <c r="AL116" s="64">
        <f>IF(Table1[[#This Row],[InterConf]]=1,IF(Table1[[#This Row],[InterDiv]]=0, 1, 0), 0)</f>
        <v>1</v>
      </c>
      <c r="AM116" s="64">
        <f>IF(INDEX(Standings!$A$2:$C$33,MATCH(Table1[[#This Row],[AwayTeam]],Standings!$A$2:$A$33,0),2)&lt;&gt;INDEX(Standings!$A$2:$C$33,MATCH(Table1[[#This Row],[HomeTeam]],Standings!$A$2:$A$33,0),2),1,0)</f>
        <v>0</v>
      </c>
      <c r="AN116" s="64" t="str">
        <f>INDEX(Table2[AWAY_RECORD], MATCH(Table1[[#This Row],[AwayTeam]],Table2[Team], 0), 0)</f>
        <v>0-0-0</v>
      </c>
      <c r="AO116" s="64" t="str">
        <f>INDEX(Records!$B$2:$AG$33, MATCH(Table1[[#This Row],[AwayTeam]],Records!$A$2:$A$33, 0), MATCH(Table1[[#This Row],[HomeTeam]],Records!$A$2:$A$33, 0))</f>
        <v>0-0-0</v>
      </c>
      <c r="AP116" s="64" t="str">
        <f>INDEX(Table2[HOME_RECORD], MATCH(Table1[[#This Row],[HomeTeam]],Table2[Team], 0), 0)</f>
        <v>1-0-0</v>
      </c>
      <c r="AQ116" s="64" t="str">
        <f>INDEX(Records!$B$2:$AG$33, MATCH(Table1[[#This Row],[HomeTeam]],Records!$A$2:$A$33, 0), MATCH(Table1[[#This Row],[AwayTeam]],Records!$A$2:$A$33, 0))</f>
        <v>0-0-0</v>
      </c>
    </row>
    <row r="117" spans="1:43" x14ac:dyDescent="0.25">
      <c r="A117" s="1"/>
      <c r="D117" t="s">
        <v>303</v>
      </c>
      <c r="E117" t="s">
        <v>162</v>
      </c>
      <c r="F117" t="s">
        <v>312</v>
      </c>
      <c r="G117" t="s">
        <v>61</v>
      </c>
      <c r="H117" t="s">
        <v>22</v>
      </c>
      <c r="L11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7" s="1"/>
      <c r="T117" s="64" t="str">
        <f>IF(Table1[[#This Row],[ActualWinner]]="", "", IF(Table1[[#This Row],[AwayTeam]]=Table1[[#This Row],[ActualWinner]],Table1[[#This Row],[HomeTeam]],Table1[[#This Row],[AwayTeam]]))</f>
        <v/>
      </c>
      <c r="U117" s="64">
        <f>Table1[[#This Row],[ActualAwayScore]]-Table1[[#This Row],[PredictedAwayScore]]</f>
        <v>0</v>
      </c>
      <c r="V117" s="64">
        <f>Table1[[#This Row],[ActualHomeScore]]-Table1[[#This Row],[PredictedHomeScore]]</f>
        <v>0</v>
      </c>
      <c r="W117" s="64">
        <f>(0.8*IF(Table1[[#This Row],[CorrectWinnerPrediction]]=1, 1, 0))+(0.1*IF(Table1[[#This Row],[CorrectAwayScorePrediction]]=1, 1, 0))+(0.1*IF(Table1[[#This Row],[CorrectHomeScorePrediction]]=1, 1, 0))</f>
        <v>0</v>
      </c>
      <c r="X11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7" s="64">
        <f>SUMIF(Table1[GameDate], Table1[[#This Row],[GameDate]], Table1[AwayGameGoalDiff])</f>
        <v>0</v>
      </c>
      <c r="AA117" s="64">
        <f>SUMIF(Table1[GameDate], Table1[[#This Row],[GameDate]], Table1[HomeGameGoalDiff])</f>
        <v>0</v>
      </c>
      <c r="AB117" s="64">
        <f>IF(ISBLANK(Table1[[#This Row],[ActualResult]]), 0, 1)</f>
        <v>0</v>
      </c>
      <c r="AC117" s="64">
        <f>IF(ISBLANK(Table1[[#This Row],[ActualResult]]), 0, IF(Table1[[#This Row],[ActualWinner]]=Table1[[#This Row],[PredictedWinner]], 1, 0))</f>
        <v>0</v>
      </c>
      <c r="AD11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7" s="64">
        <f>IF(AND(Table1[[#This Row],[GameIsOver]]=1,Table1[[#This Row],[ActualAwayScore]]=0), 1,0)</f>
        <v>0</v>
      </c>
      <c r="AG117" s="64">
        <f>IF(AND(Table1[[#This Row],[GameIsOver]]=1,Table1[[#This Row],[ActualHomeScore]]=0), 1,0)</f>
        <v>0</v>
      </c>
      <c r="AH117" s="64">
        <f>IF(Table1[[#This Row],[GameIsOver]]=0,0,IF(Table1[[#This Row],[ActualWinner]]=Table1[[#This Row],[AwayTeam]], 1, 0))</f>
        <v>0</v>
      </c>
      <c r="AI117" s="64">
        <f>IF(Table1[[#This Row],[GameIsOver]]=0,0,IF(Table1[[#This Row],[ActualWinner]]=Table1[[#This Row],[HomeTeam]], 1, 0))</f>
        <v>0</v>
      </c>
      <c r="AJ117" s="64">
        <f>IF(INDEX(Standings!$A$2:$C$33,MATCH(Table1[[#This Row],[AwayTeam]],Standings!$A$2:$A$33,0),2)=INDEX(Standings!$A$2:$C$33,MATCH(Table1[[#This Row],[HomeTeam]],Standings!$A$2:$A$33,0),2),1,0)</f>
        <v>1</v>
      </c>
      <c r="AK117" s="64">
        <f>IF(INDEX(Standings!$A$2:$C$33,MATCH(Table1[[#This Row],[AwayTeam]],Standings!$A$2:$A$33,0),3)=INDEX(Standings!$A$2:$C$33,MATCH(Table1[[#This Row],[HomeTeam]],Standings!$A$2:$A$33,0),3),1,0)</f>
        <v>1</v>
      </c>
      <c r="AL117" s="64">
        <f>IF(Table1[[#This Row],[InterConf]]=1,IF(Table1[[#This Row],[InterDiv]]=0, 1, 0), 0)</f>
        <v>0</v>
      </c>
      <c r="AM117" s="64">
        <f>IF(INDEX(Standings!$A$2:$C$33,MATCH(Table1[[#This Row],[AwayTeam]],Standings!$A$2:$A$33,0),2)&lt;&gt;INDEX(Standings!$A$2:$C$33,MATCH(Table1[[#This Row],[HomeTeam]],Standings!$A$2:$A$33,0),2),1,0)</f>
        <v>0</v>
      </c>
      <c r="AN117" s="64" t="str">
        <f>INDEX(Table2[AWAY_RECORD], MATCH(Table1[[#This Row],[AwayTeam]],Table2[Team], 0), 0)</f>
        <v>0-0-0</v>
      </c>
      <c r="AO117" s="64" t="str">
        <f>INDEX(Records!$B$2:$AG$33, MATCH(Table1[[#This Row],[AwayTeam]],Records!$A$2:$A$33, 0), MATCH(Table1[[#This Row],[HomeTeam]],Records!$A$2:$A$33, 0))</f>
        <v>0-0-0</v>
      </c>
      <c r="AP117" s="64" t="str">
        <f>INDEX(Table2[HOME_RECORD], MATCH(Table1[[#This Row],[HomeTeam]],Table2[Team], 0), 0)</f>
        <v>0-0-0</v>
      </c>
      <c r="AQ117" s="64" t="str">
        <f>INDEX(Records!$B$2:$AG$33, MATCH(Table1[[#This Row],[HomeTeam]],Records!$A$2:$A$33, 0), MATCH(Table1[[#This Row],[AwayTeam]],Records!$A$2:$A$33, 0))</f>
        <v>0-0-0</v>
      </c>
    </row>
    <row r="118" spans="1:43" x14ac:dyDescent="0.25">
      <c r="A118" s="1"/>
      <c r="D118" t="s">
        <v>303</v>
      </c>
      <c r="E118" t="s">
        <v>178</v>
      </c>
      <c r="F118" t="s">
        <v>313</v>
      </c>
      <c r="G118" t="s">
        <v>58</v>
      </c>
      <c r="H118" t="s">
        <v>45</v>
      </c>
      <c r="L11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8" s="1"/>
      <c r="T118" s="64" t="str">
        <f>IF(Table1[[#This Row],[ActualWinner]]="", "", IF(Table1[[#This Row],[AwayTeam]]=Table1[[#This Row],[ActualWinner]],Table1[[#This Row],[HomeTeam]],Table1[[#This Row],[AwayTeam]]))</f>
        <v/>
      </c>
      <c r="U118" s="64">
        <f>Table1[[#This Row],[ActualAwayScore]]-Table1[[#This Row],[PredictedAwayScore]]</f>
        <v>0</v>
      </c>
      <c r="V118" s="64">
        <f>Table1[[#This Row],[ActualHomeScore]]-Table1[[#This Row],[PredictedHomeScore]]</f>
        <v>0</v>
      </c>
      <c r="W118" s="64">
        <f>(0.8*IF(Table1[[#This Row],[CorrectWinnerPrediction]]=1, 1, 0))+(0.1*IF(Table1[[#This Row],[CorrectAwayScorePrediction]]=1, 1, 0))+(0.1*IF(Table1[[#This Row],[CorrectHomeScorePrediction]]=1, 1, 0))</f>
        <v>0</v>
      </c>
      <c r="X11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8" s="64">
        <f>SUMIF(Table1[GameDate], Table1[[#This Row],[GameDate]], Table1[AwayGameGoalDiff])</f>
        <v>0</v>
      </c>
      <c r="AA118" s="64">
        <f>SUMIF(Table1[GameDate], Table1[[#This Row],[GameDate]], Table1[HomeGameGoalDiff])</f>
        <v>0</v>
      </c>
      <c r="AB118" s="64">
        <f>IF(ISBLANK(Table1[[#This Row],[ActualResult]]), 0, 1)</f>
        <v>0</v>
      </c>
      <c r="AC118" s="64">
        <f>IF(ISBLANK(Table1[[#This Row],[ActualResult]]), 0, IF(Table1[[#This Row],[ActualWinner]]=Table1[[#This Row],[PredictedWinner]], 1, 0))</f>
        <v>0</v>
      </c>
      <c r="AD11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8" s="64">
        <f>IF(AND(Table1[[#This Row],[GameIsOver]]=1,Table1[[#This Row],[ActualAwayScore]]=0), 1,0)</f>
        <v>0</v>
      </c>
      <c r="AG118" s="64">
        <f>IF(AND(Table1[[#This Row],[GameIsOver]]=1,Table1[[#This Row],[ActualHomeScore]]=0), 1,0)</f>
        <v>0</v>
      </c>
      <c r="AH118" s="64">
        <f>IF(Table1[[#This Row],[GameIsOver]]=0,0,IF(Table1[[#This Row],[ActualWinner]]=Table1[[#This Row],[AwayTeam]], 1, 0))</f>
        <v>0</v>
      </c>
      <c r="AI118" s="64">
        <f>IF(Table1[[#This Row],[GameIsOver]]=0,0,IF(Table1[[#This Row],[ActualWinner]]=Table1[[#This Row],[HomeTeam]], 1, 0))</f>
        <v>0</v>
      </c>
      <c r="AJ118" s="64">
        <f>IF(INDEX(Standings!$A$2:$C$33,MATCH(Table1[[#This Row],[AwayTeam]],Standings!$A$2:$A$33,0),2)=INDEX(Standings!$A$2:$C$33,MATCH(Table1[[#This Row],[HomeTeam]],Standings!$A$2:$A$33,0),2),1,0)</f>
        <v>1</v>
      </c>
      <c r="AK118" s="64">
        <f>IF(INDEX(Standings!$A$2:$C$33,MATCH(Table1[[#This Row],[AwayTeam]],Standings!$A$2:$A$33,0),3)=INDEX(Standings!$A$2:$C$33,MATCH(Table1[[#This Row],[HomeTeam]],Standings!$A$2:$A$33,0),3),1,0)</f>
        <v>0</v>
      </c>
      <c r="AL118" s="64">
        <f>IF(Table1[[#This Row],[InterConf]]=1,IF(Table1[[#This Row],[InterDiv]]=0, 1, 0), 0)</f>
        <v>1</v>
      </c>
      <c r="AM118" s="64">
        <f>IF(INDEX(Standings!$A$2:$C$33,MATCH(Table1[[#This Row],[AwayTeam]],Standings!$A$2:$A$33,0),2)&lt;&gt;INDEX(Standings!$A$2:$C$33,MATCH(Table1[[#This Row],[HomeTeam]],Standings!$A$2:$A$33,0),2),1,0)</f>
        <v>0</v>
      </c>
      <c r="AN118" s="64" t="str">
        <f>INDEX(Table2[AWAY_RECORD], MATCH(Table1[[#This Row],[AwayTeam]],Table2[Team], 0), 0)</f>
        <v>0-0-0</v>
      </c>
      <c r="AO118" s="64" t="str">
        <f>INDEX(Records!$B$2:$AG$33, MATCH(Table1[[#This Row],[AwayTeam]],Records!$A$2:$A$33, 0), MATCH(Table1[[#This Row],[HomeTeam]],Records!$A$2:$A$33, 0))</f>
        <v>0-0-0</v>
      </c>
      <c r="AP118" s="64" t="str">
        <f>INDEX(Table2[HOME_RECORD], MATCH(Table1[[#This Row],[HomeTeam]],Table2[Team], 0), 0)</f>
        <v>1-0-0</v>
      </c>
      <c r="AQ118" s="64" t="str">
        <f>INDEX(Records!$B$2:$AG$33, MATCH(Table1[[#This Row],[HomeTeam]],Records!$A$2:$A$33, 0), MATCH(Table1[[#This Row],[AwayTeam]],Records!$A$2:$A$33, 0))</f>
        <v>0-0-0</v>
      </c>
    </row>
    <row r="119" spans="1:43" x14ac:dyDescent="0.25">
      <c r="A119" s="1"/>
      <c r="D119" t="s">
        <v>303</v>
      </c>
      <c r="E119" t="s">
        <v>164</v>
      </c>
      <c r="F119" t="s">
        <v>314</v>
      </c>
      <c r="G119" t="s">
        <v>39</v>
      </c>
      <c r="H119" t="s">
        <v>25</v>
      </c>
      <c r="L11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9" s="1"/>
      <c r="T119" s="64" t="str">
        <f>IF(Table1[[#This Row],[ActualWinner]]="", "", IF(Table1[[#This Row],[AwayTeam]]=Table1[[#This Row],[ActualWinner]],Table1[[#This Row],[HomeTeam]],Table1[[#This Row],[AwayTeam]]))</f>
        <v/>
      </c>
      <c r="U119" s="64">
        <f>Table1[[#This Row],[ActualAwayScore]]-Table1[[#This Row],[PredictedAwayScore]]</f>
        <v>0</v>
      </c>
      <c r="V119" s="64">
        <f>Table1[[#This Row],[ActualHomeScore]]-Table1[[#This Row],[PredictedHomeScore]]</f>
        <v>0</v>
      </c>
      <c r="W119" s="64">
        <f>(0.8*IF(Table1[[#This Row],[CorrectWinnerPrediction]]=1, 1, 0))+(0.1*IF(Table1[[#This Row],[CorrectAwayScorePrediction]]=1, 1, 0))+(0.1*IF(Table1[[#This Row],[CorrectHomeScorePrediction]]=1, 1, 0))</f>
        <v>0</v>
      </c>
      <c r="X11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9" s="64">
        <f>SUMIF(Table1[GameDate], Table1[[#This Row],[GameDate]], Table1[AwayGameGoalDiff])</f>
        <v>0</v>
      </c>
      <c r="AA119" s="64">
        <f>SUMIF(Table1[GameDate], Table1[[#This Row],[GameDate]], Table1[HomeGameGoalDiff])</f>
        <v>0</v>
      </c>
      <c r="AB119" s="64">
        <f>IF(ISBLANK(Table1[[#This Row],[ActualResult]]), 0, 1)</f>
        <v>0</v>
      </c>
      <c r="AC119" s="64">
        <f>IF(ISBLANK(Table1[[#This Row],[ActualResult]]), 0, IF(Table1[[#This Row],[ActualWinner]]=Table1[[#This Row],[PredictedWinner]], 1, 0))</f>
        <v>0</v>
      </c>
      <c r="AD11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9" s="64">
        <f>IF(AND(Table1[[#This Row],[GameIsOver]]=1,Table1[[#This Row],[ActualAwayScore]]=0), 1,0)</f>
        <v>0</v>
      </c>
      <c r="AG119" s="64">
        <f>IF(AND(Table1[[#This Row],[GameIsOver]]=1,Table1[[#This Row],[ActualHomeScore]]=0), 1,0)</f>
        <v>0</v>
      </c>
      <c r="AH119" s="64">
        <f>IF(Table1[[#This Row],[GameIsOver]]=0,0,IF(Table1[[#This Row],[ActualWinner]]=Table1[[#This Row],[AwayTeam]], 1, 0))</f>
        <v>0</v>
      </c>
      <c r="AI119" s="64">
        <f>IF(Table1[[#This Row],[GameIsOver]]=0,0,IF(Table1[[#This Row],[ActualWinner]]=Table1[[#This Row],[HomeTeam]], 1, 0))</f>
        <v>0</v>
      </c>
      <c r="AJ119" s="64">
        <f>IF(INDEX(Standings!$A$2:$C$33,MATCH(Table1[[#This Row],[AwayTeam]],Standings!$A$2:$A$33,0),2)=INDEX(Standings!$A$2:$C$33,MATCH(Table1[[#This Row],[HomeTeam]],Standings!$A$2:$A$33,0),2),1,0)</f>
        <v>1</v>
      </c>
      <c r="AK119" s="64">
        <f>IF(INDEX(Standings!$A$2:$C$33,MATCH(Table1[[#This Row],[AwayTeam]],Standings!$A$2:$A$33,0),3)=INDEX(Standings!$A$2:$C$33,MATCH(Table1[[#This Row],[HomeTeam]],Standings!$A$2:$A$33,0),3),1,0)</f>
        <v>1</v>
      </c>
      <c r="AL119" s="64">
        <f>IF(Table1[[#This Row],[InterConf]]=1,IF(Table1[[#This Row],[InterDiv]]=0, 1, 0), 0)</f>
        <v>0</v>
      </c>
      <c r="AM119" s="64">
        <f>IF(INDEX(Standings!$A$2:$C$33,MATCH(Table1[[#This Row],[AwayTeam]],Standings!$A$2:$A$33,0),2)&lt;&gt;INDEX(Standings!$A$2:$C$33,MATCH(Table1[[#This Row],[HomeTeam]],Standings!$A$2:$A$33,0),2),1,0)</f>
        <v>0</v>
      </c>
      <c r="AN119" s="64" t="str">
        <f>INDEX(Table2[AWAY_RECORD], MATCH(Table1[[#This Row],[AwayTeam]],Table2[Team], 0), 0)</f>
        <v>0-0-0</v>
      </c>
      <c r="AO119" s="64" t="str">
        <f>INDEX(Records!$B$2:$AG$33, MATCH(Table1[[#This Row],[AwayTeam]],Records!$A$2:$A$33, 0), MATCH(Table1[[#This Row],[HomeTeam]],Records!$A$2:$A$33, 0))</f>
        <v>0-0-0</v>
      </c>
      <c r="AP119" s="64" t="str">
        <f>INDEX(Table2[HOME_RECORD], MATCH(Table1[[#This Row],[HomeTeam]],Table2[Team], 0), 0)</f>
        <v>0-0-1</v>
      </c>
      <c r="AQ119" s="64" t="str">
        <f>INDEX(Records!$B$2:$AG$33, MATCH(Table1[[#This Row],[HomeTeam]],Records!$A$2:$A$33, 0), MATCH(Table1[[#This Row],[AwayTeam]],Records!$A$2:$A$33, 0))</f>
        <v>0-0-0</v>
      </c>
    </row>
    <row r="120" spans="1:43" x14ac:dyDescent="0.25">
      <c r="A120" s="1"/>
      <c r="D120" t="s">
        <v>315</v>
      </c>
      <c r="E120" t="s">
        <v>178</v>
      </c>
      <c r="F120" t="s">
        <v>316</v>
      </c>
      <c r="G120" t="s">
        <v>54</v>
      </c>
      <c r="H120" t="s">
        <v>41</v>
      </c>
      <c r="L12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0" s="1"/>
      <c r="T120" s="64" t="str">
        <f>IF(Table1[[#This Row],[ActualWinner]]="", "", IF(Table1[[#This Row],[AwayTeam]]=Table1[[#This Row],[ActualWinner]],Table1[[#This Row],[HomeTeam]],Table1[[#This Row],[AwayTeam]]))</f>
        <v/>
      </c>
      <c r="U120" s="64">
        <f>Table1[[#This Row],[ActualAwayScore]]-Table1[[#This Row],[PredictedAwayScore]]</f>
        <v>0</v>
      </c>
      <c r="V120" s="64">
        <f>Table1[[#This Row],[ActualHomeScore]]-Table1[[#This Row],[PredictedHomeScore]]</f>
        <v>0</v>
      </c>
      <c r="W120" s="64">
        <f>(0.8*IF(Table1[[#This Row],[CorrectWinnerPrediction]]=1, 1, 0))+(0.1*IF(Table1[[#This Row],[CorrectAwayScorePrediction]]=1, 1, 0))+(0.1*IF(Table1[[#This Row],[CorrectHomeScorePrediction]]=1, 1, 0))</f>
        <v>0</v>
      </c>
      <c r="X12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0" s="64">
        <f>SUMIF(Table1[GameDate], Table1[[#This Row],[GameDate]], Table1[AwayGameGoalDiff])</f>
        <v>0</v>
      </c>
      <c r="AA120" s="64">
        <f>SUMIF(Table1[GameDate], Table1[[#This Row],[GameDate]], Table1[HomeGameGoalDiff])</f>
        <v>0</v>
      </c>
      <c r="AB120" s="64">
        <f>IF(ISBLANK(Table1[[#This Row],[ActualResult]]), 0, 1)</f>
        <v>0</v>
      </c>
      <c r="AC120" s="64">
        <f>IF(ISBLANK(Table1[[#This Row],[ActualResult]]), 0, IF(Table1[[#This Row],[ActualWinner]]=Table1[[#This Row],[PredictedWinner]], 1, 0))</f>
        <v>0</v>
      </c>
      <c r="AD12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0" s="64">
        <f>IF(AND(Table1[[#This Row],[GameIsOver]]=1,Table1[[#This Row],[ActualAwayScore]]=0), 1,0)</f>
        <v>0</v>
      </c>
      <c r="AG120" s="64">
        <f>IF(AND(Table1[[#This Row],[GameIsOver]]=1,Table1[[#This Row],[ActualHomeScore]]=0), 1,0)</f>
        <v>0</v>
      </c>
      <c r="AH120" s="64">
        <f>IF(Table1[[#This Row],[GameIsOver]]=0,0,IF(Table1[[#This Row],[ActualWinner]]=Table1[[#This Row],[AwayTeam]], 1, 0))</f>
        <v>0</v>
      </c>
      <c r="AI120" s="64">
        <f>IF(Table1[[#This Row],[GameIsOver]]=0,0,IF(Table1[[#This Row],[ActualWinner]]=Table1[[#This Row],[HomeTeam]], 1, 0))</f>
        <v>0</v>
      </c>
      <c r="AJ120" s="64">
        <f>IF(INDEX(Standings!$A$2:$C$33,MATCH(Table1[[#This Row],[AwayTeam]],Standings!$A$2:$A$33,0),2)=INDEX(Standings!$A$2:$C$33,MATCH(Table1[[#This Row],[HomeTeam]],Standings!$A$2:$A$33,0),2),1,0)</f>
        <v>0</v>
      </c>
      <c r="AK120" s="64">
        <f>IF(INDEX(Standings!$A$2:$C$33,MATCH(Table1[[#This Row],[AwayTeam]],Standings!$A$2:$A$33,0),3)=INDEX(Standings!$A$2:$C$33,MATCH(Table1[[#This Row],[HomeTeam]],Standings!$A$2:$A$33,0),3),1,0)</f>
        <v>0</v>
      </c>
      <c r="AL120" s="64">
        <f>IF(Table1[[#This Row],[InterConf]]=1,IF(Table1[[#This Row],[InterDiv]]=0, 1, 0), 0)</f>
        <v>0</v>
      </c>
      <c r="AM120" s="64">
        <f>IF(INDEX(Standings!$A$2:$C$33,MATCH(Table1[[#This Row],[AwayTeam]],Standings!$A$2:$A$33,0),2)&lt;&gt;INDEX(Standings!$A$2:$C$33,MATCH(Table1[[#This Row],[HomeTeam]],Standings!$A$2:$A$33,0),2),1,0)</f>
        <v>1</v>
      </c>
      <c r="AN120" s="64" t="str">
        <f>INDEX(Table2[AWAY_RECORD], MATCH(Table1[[#This Row],[AwayTeam]],Table2[Team], 0), 0)</f>
        <v>0-0-1</v>
      </c>
      <c r="AO120" s="64" t="str">
        <f>INDEX(Records!$B$2:$AG$33, MATCH(Table1[[#This Row],[AwayTeam]],Records!$A$2:$A$33, 0), MATCH(Table1[[#This Row],[HomeTeam]],Records!$A$2:$A$33, 0))</f>
        <v>0-0-0</v>
      </c>
      <c r="AP120" s="64" t="str">
        <f>INDEX(Table2[HOME_RECORD], MATCH(Table1[[#This Row],[HomeTeam]],Table2[Team], 0), 0)</f>
        <v>0-0-1</v>
      </c>
      <c r="AQ120" s="64" t="str">
        <f>INDEX(Records!$B$2:$AG$33, MATCH(Table1[[#This Row],[HomeTeam]],Records!$A$2:$A$33, 0), MATCH(Table1[[#This Row],[AwayTeam]],Records!$A$2:$A$33, 0))</f>
        <v>0-0-0</v>
      </c>
    </row>
    <row r="121" spans="1:43" x14ac:dyDescent="0.25">
      <c r="A121" s="1"/>
      <c r="D121" t="s">
        <v>315</v>
      </c>
      <c r="E121" t="s">
        <v>164</v>
      </c>
      <c r="F121" t="s">
        <v>317</v>
      </c>
      <c r="G121" t="s">
        <v>37</v>
      </c>
      <c r="H121" t="s">
        <v>36</v>
      </c>
      <c r="L12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1" s="1"/>
      <c r="T121" s="64" t="str">
        <f>IF(Table1[[#This Row],[ActualWinner]]="", "", IF(Table1[[#This Row],[AwayTeam]]=Table1[[#This Row],[ActualWinner]],Table1[[#This Row],[HomeTeam]],Table1[[#This Row],[AwayTeam]]))</f>
        <v/>
      </c>
      <c r="U121" s="64">
        <f>Table1[[#This Row],[ActualAwayScore]]-Table1[[#This Row],[PredictedAwayScore]]</f>
        <v>0</v>
      </c>
      <c r="V121" s="64">
        <f>Table1[[#This Row],[ActualHomeScore]]-Table1[[#This Row],[PredictedHomeScore]]</f>
        <v>0</v>
      </c>
      <c r="W121" s="64">
        <f>(0.8*IF(Table1[[#This Row],[CorrectWinnerPrediction]]=1, 1, 0))+(0.1*IF(Table1[[#This Row],[CorrectAwayScorePrediction]]=1, 1, 0))+(0.1*IF(Table1[[#This Row],[CorrectHomeScorePrediction]]=1, 1, 0))</f>
        <v>0</v>
      </c>
      <c r="X12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1" s="64">
        <f>SUMIF(Table1[GameDate], Table1[[#This Row],[GameDate]], Table1[AwayGameGoalDiff])</f>
        <v>0</v>
      </c>
      <c r="AA121" s="64">
        <f>SUMIF(Table1[GameDate], Table1[[#This Row],[GameDate]], Table1[HomeGameGoalDiff])</f>
        <v>0</v>
      </c>
      <c r="AB121" s="64">
        <f>IF(ISBLANK(Table1[[#This Row],[ActualResult]]), 0, 1)</f>
        <v>0</v>
      </c>
      <c r="AC121" s="64">
        <f>IF(ISBLANK(Table1[[#This Row],[ActualResult]]), 0, IF(Table1[[#This Row],[ActualWinner]]=Table1[[#This Row],[PredictedWinner]], 1, 0))</f>
        <v>0</v>
      </c>
      <c r="AD12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1" s="64">
        <f>IF(AND(Table1[[#This Row],[GameIsOver]]=1,Table1[[#This Row],[ActualAwayScore]]=0), 1,0)</f>
        <v>0</v>
      </c>
      <c r="AG121" s="64">
        <f>IF(AND(Table1[[#This Row],[GameIsOver]]=1,Table1[[#This Row],[ActualHomeScore]]=0), 1,0)</f>
        <v>0</v>
      </c>
      <c r="AH121" s="64">
        <f>IF(Table1[[#This Row],[GameIsOver]]=0,0,IF(Table1[[#This Row],[ActualWinner]]=Table1[[#This Row],[AwayTeam]], 1, 0))</f>
        <v>0</v>
      </c>
      <c r="AI121" s="64">
        <f>IF(Table1[[#This Row],[GameIsOver]]=0,0,IF(Table1[[#This Row],[ActualWinner]]=Table1[[#This Row],[HomeTeam]], 1, 0))</f>
        <v>0</v>
      </c>
      <c r="AJ121" s="64">
        <f>IF(INDEX(Standings!$A$2:$C$33,MATCH(Table1[[#This Row],[AwayTeam]],Standings!$A$2:$A$33,0),2)=INDEX(Standings!$A$2:$C$33,MATCH(Table1[[#This Row],[HomeTeam]],Standings!$A$2:$A$33,0),2),1,0)</f>
        <v>0</v>
      </c>
      <c r="AK121" s="64">
        <f>IF(INDEX(Standings!$A$2:$C$33,MATCH(Table1[[#This Row],[AwayTeam]],Standings!$A$2:$A$33,0),3)=INDEX(Standings!$A$2:$C$33,MATCH(Table1[[#This Row],[HomeTeam]],Standings!$A$2:$A$33,0),3),1,0)</f>
        <v>0</v>
      </c>
      <c r="AL121" s="64">
        <f>IF(Table1[[#This Row],[InterConf]]=1,IF(Table1[[#This Row],[InterDiv]]=0, 1, 0), 0)</f>
        <v>0</v>
      </c>
      <c r="AM121" s="64">
        <f>IF(INDEX(Standings!$A$2:$C$33,MATCH(Table1[[#This Row],[AwayTeam]],Standings!$A$2:$A$33,0),2)&lt;&gt;INDEX(Standings!$A$2:$C$33,MATCH(Table1[[#This Row],[HomeTeam]],Standings!$A$2:$A$33,0),2),1,0)</f>
        <v>1</v>
      </c>
      <c r="AN121" s="64" t="str">
        <f>INDEX(Table2[AWAY_RECORD], MATCH(Table1[[#This Row],[AwayTeam]],Table2[Team], 0), 0)</f>
        <v>0-0-1</v>
      </c>
      <c r="AO121" s="64" t="str">
        <f>INDEX(Records!$B$2:$AG$33, MATCH(Table1[[#This Row],[AwayTeam]],Records!$A$2:$A$33, 0), MATCH(Table1[[#This Row],[HomeTeam]],Records!$A$2:$A$33, 0))</f>
        <v>0-0-0</v>
      </c>
      <c r="AP121" s="64" t="str">
        <f>INDEX(Table2[HOME_RECORD], MATCH(Table1[[#This Row],[HomeTeam]],Table2[Team], 0), 0)</f>
        <v>0-0-0</v>
      </c>
      <c r="AQ121" s="64" t="str">
        <f>INDEX(Records!$B$2:$AG$33, MATCH(Table1[[#This Row],[HomeTeam]],Records!$A$2:$A$33, 0), MATCH(Table1[[#This Row],[AwayTeam]],Records!$A$2:$A$33, 0))</f>
        <v>0-0-0</v>
      </c>
    </row>
    <row r="122" spans="1:43" x14ac:dyDescent="0.25">
      <c r="A122" s="1"/>
      <c r="D122" t="s">
        <v>318</v>
      </c>
      <c r="E122" t="s">
        <v>205</v>
      </c>
      <c r="F122" t="s">
        <v>319</v>
      </c>
      <c r="G122" t="s">
        <v>49</v>
      </c>
      <c r="H122" t="s">
        <v>59</v>
      </c>
      <c r="L12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2" s="1"/>
      <c r="T122" s="64" t="str">
        <f>IF(Table1[[#This Row],[ActualWinner]]="", "", IF(Table1[[#This Row],[AwayTeam]]=Table1[[#This Row],[ActualWinner]],Table1[[#This Row],[HomeTeam]],Table1[[#This Row],[AwayTeam]]))</f>
        <v/>
      </c>
      <c r="U122" s="64">
        <f>Table1[[#This Row],[ActualAwayScore]]-Table1[[#This Row],[PredictedAwayScore]]</f>
        <v>0</v>
      </c>
      <c r="V122" s="64">
        <f>Table1[[#This Row],[ActualHomeScore]]-Table1[[#This Row],[PredictedHomeScore]]</f>
        <v>0</v>
      </c>
      <c r="W122" s="64">
        <f>(0.8*IF(Table1[[#This Row],[CorrectWinnerPrediction]]=1, 1, 0))+(0.1*IF(Table1[[#This Row],[CorrectAwayScorePrediction]]=1, 1, 0))+(0.1*IF(Table1[[#This Row],[CorrectHomeScorePrediction]]=1, 1, 0))</f>
        <v>0</v>
      </c>
      <c r="X12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2" s="64">
        <f>SUMIF(Table1[GameDate], Table1[[#This Row],[GameDate]], Table1[AwayGameGoalDiff])</f>
        <v>0</v>
      </c>
      <c r="AA122" s="64">
        <f>SUMIF(Table1[GameDate], Table1[[#This Row],[GameDate]], Table1[HomeGameGoalDiff])</f>
        <v>0</v>
      </c>
      <c r="AB122" s="64">
        <f>IF(ISBLANK(Table1[[#This Row],[ActualResult]]), 0, 1)</f>
        <v>0</v>
      </c>
      <c r="AC122" s="64">
        <f>IF(ISBLANK(Table1[[#This Row],[ActualResult]]), 0, IF(Table1[[#This Row],[ActualWinner]]=Table1[[#This Row],[PredictedWinner]], 1, 0))</f>
        <v>0</v>
      </c>
      <c r="AD12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2" s="64">
        <f>IF(AND(Table1[[#This Row],[GameIsOver]]=1,Table1[[#This Row],[ActualAwayScore]]=0), 1,0)</f>
        <v>0</v>
      </c>
      <c r="AG122" s="64">
        <f>IF(AND(Table1[[#This Row],[GameIsOver]]=1,Table1[[#This Row],[ActualHomeScore]]=0), 1,0)</f>
        <v>0</v>
      </c>
      <c r="AH122" s="64">
        <f>IF(Table1[[#This Row],[GameIsOver]]=0,0,IF(Table1[[#This Row],[ActualWinner]]=Table1[[#This Row],[AwayTeam]], 1, 0))</f>
        <v>0</v>
      </c>
      <c r="AI122" s="64">
        <f>IF(Table1[[#This Row],[GameIsOver]]=0,0,IF(Table1[[#This Row],[ActualWinner]]=Table1[[#This Row],[HomeTeam]], 1, 0))</f>
        <v>0</v>
      </c>
      <c r="AJ122" s="64">
        <f>IF(INDEX(Standings!$A$2:$C$33,MATCH(Table1[[#This Row],[AwayTeam]],Standings!$A$2:$A$33,0),2)=INDEX(Standings!$A$2:$C$33,MATCH(Table1[[#This Row],[HomeTeam]],Standings!$A$2:$A$33,0),2),1,0)</f>
        <v>1</v>
      </c>
      <c r="AK122" s="64">
        <f>IF(INDEX(Standings!$A$2:$C$33,MATCH(Table1[[#This Row],[AwayTeam]],Standings!$A$2:$A$33,0),3)=INDEX(Standings!$A$2:$C$33,MATCH(Table1[[#This Row],[HomeTeam]],Standings!$A$2:$A$33,0),3),1,0)</f>
        <v>1</v>
      </c>
      <c r="AL122" s="64">
        <f>IF(Table1[[#This Row],[InterConf]]=1,IF(Table1[[#This Row],[InterDiv]]=0, 1, 0), 0)</f>
        <v>0</v>
      </c>
      <c r="AM122" s="64">
        <f>IF(INDEX(Standings!$A$2:$C$33,MATCH(Table1[[#This Row],[AwayTeam]],Standings!$A$2:$A$33,0),2)&lt;&gt;INDEX(Standings!$A$2:$C$33,MATCH(Table1[[#This Row],[HomeTeam]],Standings!$A$2:$A$33,0),2),1,0)</f>
        <v>0</v>
      </c>
      <c r="AN122" s="64" t="str">
        <f>INDEX(Table2[AWAY_RECORD], MATCH(Table1[[#This Row],[AwayTeam]],Table2[Team], 0), 0)</f>
        <v>0-0-0</v>
      </c>
      <c r="AO122" s="64" t="str">
        <f>INDEX(Records!$B$2:$AG$33, MATCH(Table1[[#This Row],[AwayTeam]],Records!$A$2:$A$33, 0), MATCH(Table1[[#This Row],[HomeTeam]],Records!$A$2:$A$33, 0))</f>
        <v>0-0-0</v>
      </c>
      <c r="AP122" s="64" t="str">
        <f>INDEX(Table2[HOME_RECORD], MATCH(Table1[[#This Row],[HomeTeam]],Table2[Team], 0), 0)</f>
        <v>0-0-0</v>
      </c>
      <c r="AQ122" s="64" t="str">
        <f>INDEX(Records!$B$2:$AG$33, MATCH(Table1[[#This Row],[HomeTeam]],Records!$A$2:$A$33, 0), MATCH(Table1[[#This Row],[AwayTeam]],Records!$A$2:$A$33, 0))</f>
        <v>0-0-0</v>
      </c>
    </row>
    <row r="123" spans="1:43" x14ac:dyDescent="0.25">
      <c r="A123" s="1"/>
      <c r="D123" t="s">
        <v>318</v>
      </c>
      <c r="E123" t="s">
        <v>250</v>
      </c>
      <c r="F123" t="s">
        <v>320</v>
      </c>
      <c r="G123" t="s">
        <v>40</v>
      </c>
      <c r="H123" t="s">
        <v>60</v>
      </c>
      <c r="L12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3" s="1"/>
      <c r="T123" s="64" t="str">
        <f>IF(Table1[[#This Row],[ActualWinner]]="", "", IF(Table1[[#This Row],[AwayTeam]]=Table1[[#This Row],[ActualWinner]],Table1[[#This Row],[HomeTeam]],Table1[[#This Row],[AwayTeam]]))</f>
        <v/>
      </c>
      <c r="U123" s="64">
        <f>Table1[[#This Row],[ActualAwayScore]]-Table1[[#This Row],[PredictedAwayScore]]</f>
        <v>0</v>
      </c>
      <c r="V123" s="64">
        <f>Table1[[#This Row],[ActualHomeScore]]-Table1[[#This Row],[PredictedHomeScore]]</f>
        <v>0</v>
      </c>
      <c r="W123" s="64">
        <f>(0.8*IF(Table1[[#This Row],[CorrectWinnerPrediction]]=1, 1, 0))+(0.1*IF(Table1[[#This Row],[CorrectAwayScorePrediction]]=1, 1, 0))+(0.1*IF(Table1[[#This Row],[CorrectHomeScorePrediction]]=1, 1, 0))</f>
        <v>0</v>
      </c>
      <c r="X12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3" s="64">
        <f>SUMIF(Table1[GameDate], Table1[[#This Row],[GameDate]], Table1[AwayGameGoalDiff])</f>
        <v>0</v>
      </c>
      <c r="AA123" s="64">
        <f>SUMIF(Table1[GameDate], Table1[[#This Row],[GameDate]], Table1[HomeGameGoalDiff])</f>
        <v>0</v>
      </c>
      <c r="AB123" s="64">
        <f>IF(ISBLANK(Table1[[#This Row],[ActualResult]]), 0, 1)</f>
        <v>0</v>
      </c>
      <c r="AC123" s="64">
        <f>IF(ISBLANK(Table1[[#This Row],[ActualResult]]), 0, IF(Table1[[#This Row],[ActualWinner]]=Table1[[#This Row],[PredictedWinner]], 1, 0))</f>
        <v>0</v>
      </c>
      <c r="AD12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3" s="64">
        <f>IF(AND(Table1[[#This Row],[GameIsOver]]=1,Table1[[#This Row],[ActualAwayScore]]=0), 1,0)</f>
        <v>0</v>
      </c>
      <c r="AG123" s="64">
        <f>IF(AND(Table1[[#This Row],[GameIsOver]]=1,Table1[[#This Row],[ActualHomeScore]]=0), 1,0)</f>
        <v>0</v>
      </c>
      <c r="AH123" s="64">
        <f>IF(Table1[[#This Row],[GameIsOver]]=0,0,IF(Table1[[#This Row],[ActualWinner]]=Table1[[#This Row],[AwayTeam]], 1, 0))</f>
        <v>0</v>
      </c>
      <c r="AI123" s="64">
        <f>IF(Table1[[#This Row],[GameIsOver]]=0,0,IF(Table1[[#This Row],[ActualWinner]]=Table1[[#This Row],[HomeTeam]], 1, 0))</f>
        <v>0</v>
      </c>
      <c r="AJ123" s="64">
        <f>IF(INDEX(Standings!$A$2:$C$33,MATCH(Table1[[#This Row],[AwayTeam]],Standings!$A$2:$A$33,0),2)=INDEX(Standings!$A$2:$C$33,MATCH(Table1[[#This Row],[HomeTeam]],Standings!$A$2:$A$33,0),2),1,0)</f>
        <v>0</v>
      </c>
      <c r="AK123" s="64">
        <f>IF(INDEX(Standings!$A$2:$C$33,MATCH(Table1[[#This Row],[AwayTeam]],Standings!$A$2:$A$33,0),3)=INDEX(Standings!$A$2:$C$33,MATCH(Table1[[#This Row],[HomeTeam]],Standings!$A$2:$A$33,0),3),1,0)</f>
        <v>0</v>
      </c>
      <c r="AL123" s="64">
        <f>IF(Table1[[#This Row],[InterConf]]=1,IF(Table1[[#This Row],[InterDiv]]=0, 1, 0), 0)</f>
        <v>0</v>
      </c>
      <c r="AM123" s="64">
        <f>IF(INDEX(Standings!$A$2:$C$33,MATCH(Table1[[#This Row],[AwayTeam]],Standings!$A$2:$A$33,0),2)&lt;&gt;INDEX(Standings!$A$2:$C$33,MATCH(Table1[[#This Row],[HomeTeam]],Standings!$A$2:$A$33,0),2),1,0)</f>
        <v>1</v>
      </c>
      <c r="AN123" s="64" t="str">
        <f>INDEX(Table2[AWAY_RECORD], MATCH(Table1[[#This Row],[AwayTeam]],Table2[Team], 0), 0)</f>
        <v>0-0-0</v>
      </c>
      <c r="AO123" s="64" t="str">
        <f>INDEX(Records!$B$2:$AG$33, MATCH(Table1[[#This Row],[AwayTeam]],Records!$A$2:$A$33, 0), MATCH(Table1[[#This Row],[HomeTeam]],Records!$A$2:$A$33, 0))</f>
        <v>0-0-0</v>
      </c>
      <c r="AP123" s="64" t="str">
        <f>INDEX(Table2[HOME_RECORD], MATCH(Table1[[#This Row],[HomeTeam]],Table2[Team], 0), 0)</f>
        <v>1-0-0</v>
      </c>
      <c r="AQ123" s="64" t="str">
        <f>INDEX(Records!$B$2:$AG$33, MATCH(Table1[[#This Row],[HomeTeam]],Records!$A$2:$A$33, 0), MATCH(Table1[[#This Row],[AwayTeam]],Records!$A$2:$A$33, 0))</f>
        <v>0-0-0</v>
      </c>
    </row>
    <row r="124" spans="1:43" x14ac:dyDescent="0.25">
      <c r="A124" s="1"/>
      <c r="D124" t="s">
        <v>318</v>
      </c>
      <c r="E124" t="s">
        <v>252</v>
      </c>
      <c r="F124" t="s">
        <v>321</v>
      </c>
      <c r="G124" t="s">
        <v>23</v>
      </c>
      <c r="H124" t="s">
        <v>57</v>
      </c>
      <c r="L12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4" s="1"/>
      <c r="T124" s="64" t="str">
        <f>IF(Table1[[#This Row],[ActualWinner]]="", "", IF(Table1[[#This Row],[AwayTeam]]=Table1[[#This Row],[ActualWinner]],Table1[[#This Row],[HomeTeam]],Table1[[#This Row],[AwayTeam]]))</f>
        <v/>
      </c>
      <c r="U124" s="64">
        <f>Table1[[#This Row],[ActualAwayScore]]-Table1[[#This Row],[PredictedAwayScore]]</f>
        <v>0</v>
      </c>
      <c r="V124" s="64">
        <f>Table1[[#This Row],[ActualHomeScore]]-Table1[[#This Row],[PredictedHomeScore]]</f>
        <v>0</v>
      </c>
      <c r="W124" s="64">
        <f>(0.8*IF(Table1[[#This Row],[CorrectWinnerPrediction]]=1, 1, 0))+(0.1*IF(Table1[[#This Row],[CorrectAwayScorePrediction]]=1, 1, 0))+(0.1*IF(Table1[[#This Row],[CorrectHomeScorePrediction]]=1, 1, 0))</f>
        <v>0</v>
      </c>
      <c r="X12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4" s="64">
        <f>SUMIF(Table1[GameDate], Table1[[#This Row],[GameDate]], Table1[AwayGameGoalDiff])</f>
        <v>0</v>
      </c>
      <c r="AA124" s="64">
        <f>SUMIF(Table1[GameDate], Table1[[#This Row],[GameDate]], Table1[HomeGameGoalDiff])</f>
        <v>0</v>
      </c>
      <c r="AB124" s="64">
        <f>IF(ISBLANK(Table1[[#This Row],[ActualResult]]), 0, 1)</f>
        <v>0</v>
      </c>
      <c r="AC124" s="64">
        <f>IF(ISBLANK(Table1[[#This Row],[ActualResult]]), 0, IF(Table1[[#This Row],[ActualWinner]]=Table1[[#This Row],[PredictedWinner]], 1, 0))</f>
        <v>0</v>
      </c>
      <c r="AD12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4" s="64">
        <f>IF(AND(Table1[[#This Row],[GameIsOver]]=1,Table1[[#This Row],[ActualAwayScore]]=0), 1,0)</f>
        <v>0</v>
      </c>
      <c r="AG124" s="64">
        <f>IF(AND(Table1[[#This Row],[GameIsOver]]=1,Table1[[#This Row],[ActualHomeScore]]=0), 1,0)</f>
        <v>0</v>
      </c>
      <c r="AH124" s="64">
        <f>IF(Table1[[#This Row],[GameIsOver]]=0,0,IF(Table1[[#This Row],[ActualWinner]]=Table1[[#This Row],[AwayTeam]], 1, 0))</f>
        <v>0</v>
      </c>
      <c r="AI124" s="64">
        <f>IF(Table1[[#This Row],[GameIsOver]]=0,0,IF(Table1[[#This Row],[ActualWinner]]=Table1[[#This Row],[HomeTeam]], 1, 0))</f>
        <v>0</v>
      </c>
      <c r="AJ124" s="64">
        <f>IF(INDEX(Standings!$A$2:$C$33,MATCH(Table1[[#This Row],[AwayTeam]],Standings!$A$2:$A$33,0),2)=INDEX(Standings!$A$2:$C$33,MATCH(Table1[[#This Row],[HomeTeam]],Standings!$A$2:$A$33,0),2),1,0)</f>
        <v>0</v>
      </c>
      <c r="AK124" s="64">
        <f>IF(INDEX(Standings!$A$2:$C$33,MATCH(Table1[[#This Row],[AwayTeam]],Standings!$A$2:$A$33,0),3)=INDEX(Standings!$A$2:$C$33,MATCH(Table1[[#This Row],[HomeTeam]],Standings!$A$2:$A$33,0),3),1,0)</f>
        <v>0</v>
      </c>
      <c r="AL124" s="64">
        <f>IF(Table1[[#This Row],[InterConf]]=1,IF(Table1[[#This Row],[InterDiv]]=0, 1, 0), 0)</f>
        <v>0</v>
      </c>
      <c r="AM124" s="64">
        <f>IF(INDEX(Standings!$A$2:$C$33,MATCH(Table1[[#This Row],[AwayTeam]],Standings!$A$2:$A$33,0),2)&lt;&gt;INDEX(Standings!$A$2:$C$33,MATCH(Table1[[#This Row],[HomeTeam]],Standings!$A$2:$A$33,0),2),1,0)</f>
        <v>1</v>
      </c>
      <c r="AN124" s="64" t="str">
        <f>INDEX(Table2[AWAY_RECORD], MATCH(Table1[[#This Row],[AwayTeam]],Table2[Team], 0), 0)</f>
        <v>0-0-1</v>
      </c>
      <c r="AO124" s="64" t="str">
        <f>INDEX(Records!$B$2:$AG$33, MATCH(Table1[[#This Row],[AwayTeam]],Records!$A$2:$A$33, 0), MATCH(Table1[[#This Row],[HomeTeam]],Records!$A$2:$A$33, 0))</f>
        <v>0-0-0</v>
      </c>
      <c r="AP124" s="64" t="str">
        <f>INDEX(Table2[HOME_RECORD], MATCH(Table1[[#This Row],[HomeTeam]],Table2[Team], 0), 0)</f>
        <v>0-0-0</v>
      </c>
      <c r="AQ124" s="64" t="str">
        <f>INDEX(Records!$B$2:$AG$33, MATCH(Table1[[#This Row],[HomeTeam]],Records!$A$2:$A$33, 0), MATCH(Table1[[#This Row],[AwayTeam]],Records!$A$2:$A$33, 0))</f>
        <v>0-0-0</v>
      </c>
    </row>
    <row r="125" spans="1:43" x14ac:dyDescent="0.25">
      <c r="A125" s="1"/>
      <c r="D125" t="s">
        <v>318</v>
      </c>
      <c r="E125" t="s">
        <v>207</v>
      </c>
      <c r="F125" t="s">
        <v>322</v>
      </c>
      <c r="G125" t="s">
        <v>56</v>
      </c>
      <c r="H125" t="s">
        <v>17</v>
      </c>
      <c r="L12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5" s="1"/>
      <c r="T125" s="64" t="str">
        <f>IF(Table1[[#This Row],[ActualWinner]]="", "", IF(Table1[[#This Row],[AwayTeam]]=Table1[[#This Row],[ActualWinner]],Table1[[#This Row],[HomeTeam]],Table1[[#This Row],[AwayTeam]]))</f>
        <v/>
      </c>
      <c r="U125" s="64">
        <f>Table1[[#This Row],[ActualAwayScore]]-Table1[[#This Row],[PredictedAwayScore]]</f>
        <v>0</v>
      </c>
      <c r="V125" s="64">
        <f>Table1[[#This Row],[ActualHomeScore]]-Table1[[#This Row],[PredictedHomeScore]]</f>
        <v>0</v>
      </c>
      <c r="W125" s="64">
        <f>(0.8*IF(Table1[[#This Row],[CorrectWinnerPrediction]]=1, 1, 0))+(0.1*IF(Table1[[#This Row],[CorrectAwayScorePrediction]]=1, 1, 0))+(0.1*IF(Table1[[#This Row],[CorrectHomeScorePrediction]]=1, 1, 0))</f>
        <v>0</v>
      </c>
      <c r="X12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5" s="64">
        <f>SUMIF(Table1[GameDate], Table1[[#This Row],[GameDate]], Table1[AwayGameGoalDiff])</f>
        <v>0</v>
      </c>
      <c r="AA125" s="64">
        <f>SUMIF(Table1[GameDate], Table1[[#This Row],[GameDate]], Table1[HomeGameGoalDiff])</f>
        <v>0</v>
      </c>
      <c r="AB125" s="64">
        <f>IF(ISBLANK(Table1[[#This Row],[ActualResult]]), 0, 1)</f>
        <v>0</v>
      </c>
      <c r="AC125" s="64">
        <f>IF(ISBLANK(Table1[[#This Row],[ActualResult]]), 0, IF(Table1[[#This Row],[ActualWinner]]=Table1[[#This Row],[PredictedWinner]], 1, 0))</f>
        <v>0</v>
      </c>
      <c r="AD12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5" s="64">
        <f>IF(AND(Table1[[#This Row],[GameIsOver]]=1,Table1[[#This Row],[ActualAwayScore]]=0), 1,0)</f>
        <v>0</v>
      </c>
      <c r="AG125" s="64">
        <f>IF(AND(Table1[[#This Row],[GameIsOver]]=1,Table1[[#This Row],[ActualHomeScore]]=0), 1,0)</f>
        <v>0</v>
      </c>
      <c r="AH125" s="64">
        <f>IF(Table1[[#This Row],[GameIsOver]]=0,0,IF(Table1[[#This Row],[ActualWinner]]=Table1[[#This Row],[AwayTeam]], 1, 0))</f>
        <v>0</v>
      </c>
      <c r="AI125" s="64">
        <f>IF(Table1[[#This Row],[GameIsOver]]=0,0,IF(Table1[[#This Row],[ActualWinner]]=Table1[[#This Row],[HomeTeam]], 1, 0))</f>
        <v>0</v>
      </c>
      <c r="AJ125" s="64">
        <f>IF(INDEX(Standings!$A$2:$C$33,MATCH(Table1[[#This Row],[AwayTeam]],Standings!$A$2:$A$33,0),2)=INDEX(Standings!$A$2:$C$33,MATCH(Table1[[#This Row],[HomeTeam]],Standings!$A$2:$A$33,0),2),1,0)</f>
        <v>0</v>
      </c>
      <c r="AK125" s="64">
        <f>IF(INDEX(Standings!$A$2:$C$33,MATCH(Table1[[#This Row],[AwayTeam]],Standings!$A$2:$A$33,0),3)=INDEX(Standings!$A$2:$C$33,MATCH(Table1[[#This Row],[HomeTeam]],Standings!$A$2:$A$33,0),3),1,0)</f>
        <v>0</v>
      </c>
      <c r="AL125" s="64">
        <f>IF(Table1[[#This Row],[InterConf]]=1,IF(Table1[[#This Row],[InterDiv]]=0, 1, 0), 0)</f>
        <v>0</v>
      </c>
      <c r="AM125" s="64">
        <f>IF(INDEX(Standings!$A$2:$C$33,MATCH(Table1[[#This Row],[AwayTeam]],Standings!$A$2:$A$33,0),2)&lt;&gt;INDEX(Standings!$A$2:$C$33,MATCH(Table1[[#This Row],[HomeTeam]],Standings!$A$2:$A$33,0),2),1,0)</f>
        <v>1</v>
      </c>
      <c r="AN125" s="64" t="str">
        <f>INDEX(Table2[AWAY_RECORD], MATCH(Table1[[#This Row],[AwayTeam]],Table2[Team], 0), 0)</f>
        <v>1-0-0</v>
      </c>
      <c r="AO125" s="64" t="str">
        <f>INDEX(Records!$B$2:$AG$33, MATCH(Table1[[#This Row],[AwayTeam]],Records!$A$2:$A$33, 0), MATCH(Table1[[#This Row],[HomeTeam]],Records!$A$2:$A$33, 0))</f>
        <v>0-0-0</v>
      </c>
      <c r="AP125" s="64" t="str">
        <f>INDEX(Table2[HOME_RECORD], MATCH(Table1[[#This Row],[HomeTeam]],Table2[Team], 0), 0)</f>
        <v>0-0-0</v>
      </c>
      <c r="AQ125" s="64" t="str">
        <f>INDEX(Records!$B$2:$AG$33, MATCH(Table1[[#This Row],[HomeTeam]],Records!$A$2:$A$33, 0), MATCH(Table1[[#This Row],[AwayTeam]],Records!$A$2:$A$33, 0))</f>
        <v>0-0-0</v>
      </c>
    </row>
    <row r="126" spans="1:43" x14ac:dyDescent="0.25">
      <c r="A126" s="1"/>
      <c r="D126" t="s">
        <v>318</v>
      </c>
      <c r="E126" t="s">
        <v>160</v>
      </c>
      <c r="F126" t="s">
        <v>323</v>
      </c>
      <c r="G126" t="s">
        <v>50</v>
      </c>
      <c r="H126" t="s">
        <v>24</v>
      </c>
      <c r="L12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6" s="1"/>
      <c r="T126" s="64" t="str">
        <f>IF(Table1[[#This Row],[ActualWinner]]="", "", IF(Table1[[#This Row],[AwayTeam]]=Table1[[#This Row],[ActualWinner]],Table1[[#This Row],[HomeTeam]],Table1[[#This Row],[AwayTeam]]))</f>
        <v/>
      </c>
      <c r="U126" s="64">
        <f>Table1[[#This Row],[ActualAwayScore]]-Table1[[#This Row],[PredictedAwayScore]]</f>
        <v>0</v>
      </c>
      <c r="V126" s="64">
        <f>Table1[[#This Row],[ActualHomeScore]]-Table1[[#This Row],[PredictedHomeScore]]</f>
        <v>0</v>
      </c>
      <c r="W126" s="64">
        <f>(0.8*IF(Table1[[#This Row],[CorrectWinnerPrediction]]=1, 1, 0))+(0.1*IF(Table1[[#This Row],[CorrectAwayScorePrediction]]=1, 1, 0))+(0.1*IF(Table1[[#This Row],[CorrectHomeScorePrediction]]=1, 1, 0))</f>
        <v>0</v>
      </c>
      <c r="X12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6" s="64">
        <f>SUMIF(Table1[GameDate], Table1[[#This Row],[GameDate]], Table1[AwayGameGoalDiff])</f>
        <v>0</v>
      </c>
      <c r="AA126" s="64">
        <f>SUMIF(Table1[GameDate], Table1[[#This Row],[GameDate]], Table1[HomeGameGoalDiff])</f>
        <v>0</v>
      </c>
      <c r="AB126" s="64">
        <f>IF(ISBLANK(Table1[[#This Row],[ActualResult]]), 0, 1)</f>
        <v>0</v>
      </c>
      <c r="AC126" s="64">
        <f>IF(ISBLANK(Table1[[#This Row],[ActualResult]]), 0, IF(Table1[[#This Row],[ActualWinner]]=Table1[[#This Row],[PredictedWinner]], 1, 0))</f>
        <v>0</v>
      </c>
      <c r="AD12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6" s="64">
        <f>IF(AND(Table1[[#This Row],[GameIsOver]]=1,Table1[[#This Row],[ActualAwayScore]]=0), 1,0)</f>
        <v>0</v>
      </c>
      <c r="AG126" s="64">
        <f>IF(AND(Table1[[#This Row],[GameIsOver]]=1,Table1[[#This Row],[ActualHomeScore]]=0), 1,0)</f>
        <v>0</v>
      </c>
      <c r="AH126" s="64">
        <f>IF(Table1[[#This Row],[GameIsOver]]=0,0,IF(Table1[[#This Row],[ActualWinner]]=Table1[[#This Row],[AwayTeam]], 1, 0))</f>
        <v>0</v>
      </c>
      <c r="AI126" s="64">
        <f>IF(Table1[[#This Row],[GameIsOver]]=0,0,IF(Table1[[#This Row],[ActualWinner]]=Table1[[#This Row],[HomeTeam]], 1, 0))</f>
        <v>0</v>
      </c>
      <c r="AJ126" s="64">
        <f>IF(INDEX(Standings!$A$2:$C$33,MATCH(Table1[[#This Row],[AwayTeam]],Standings!$A$2:$A$33,0),2)=INDEX(Standings!$A$2:$C$33,MATCH(Table1[[#This Row],[HomeTeam]],Standings!$A$2:$A$33,0),2),1,0)</f>
        <v>1</v>
      </c>
      <c r="AK126" s="64">
        <f>IF(INDEX(Standings!$A$2:$C$33,MATCH(Table1[[#This Row],[AwayTeam]],Standings!$A$2:$A$33,0),3)=INDEX(Standings!$A$2:$C$33,MATCH(Table1[[#This Row],[HomeTeam]],Standings!$A$2:$A$33,0),3),1,0)</f>
        <v>0</v>
      </c>
      <c r="AL126" s="64">
        <f>IF(Table1[[#This Row],[InterConf]]=1,IF(Table1[[#This Row],[InterDiv]]=0, 1, 0), 0)</f>
        <v>1</v>
      </c>
      <c r="AM126" s="64">
        <f>IF(INDEX(Standings!$A$2:$C$33,MATCH(Table1[[#This Row],[AwayTeam]],Standings!$A$2:$A$33,0),2)&lt;&gt;INDEX(Standings!$A$2:$C$33,MATCH(Table1[[#This Row],[HomeTeam]],Standings!$A$2:$A$33,0),2),1,0)</f>
        <v>0</v>
      </c>
      <c r="AN126" s="64" t="str">
        <f>INDEX(Table2[AWAY_RECORD], MATCH(Table1[[#This Row],[AwayTeam]],Table2[Team], 0), 0)</f>
        <v>1-0-0</v>
      </c>
      <c r="AO126" s="64" t="str">
        <f>INDEX(Records!$B$2:$AG$33, MATCH(Table1[[#This Row],[AwayTeam]],Records!$A$2:$A$33, 0), MATCH(Table1[[#This Row],[HomeTeam]],Records!$A$2:$A$33, 0))</f>
        <v>1-0-0</v>
      </c>
      <c r="AP126" s="64" t="str">
        <f>INDEX(Table2[HOME_RECORD], MATCH(Table1[[#This Row],[HomeTeam]],Table2[Team], 0), 0)</f>
        <v>0-2-0</v>
      </c>
      <c r="AQ126" s="64" t="str">
        <f>INDEX(Records!$B$2:$AG$33, MATCH(Table1[[#This Row],[HomeTeam]],Records!$A$2:$A$33, 0), MATCH(Table1[[#This Row],[AwayTeam]],Records!$A$2:$A$33, 0))</f>
        <v>0-1-0</v>
      </c>
    </row>
    <row r="127" spans="1:43" x14ac:dyDescent="0.25">
      <c r="A127" s="1"/>
      <c r="D127" t="s">
        <v>318</v>
      </c>
      <c r="E127" t="s">
        <v>160</v>
      </c>
      <c r="F127" t="s">
        <v>324</v>
      </c>
      <c r="G127" t="s">
        <v>38</v>
      </c>
      <c r="H127" t="s">
        <v>47</v>
      </c>
      <c r="L12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7" s="1"/>
      <c r="T127" s="64" t="str">
        <f>IF(Table1[[#This Row],[ActualWinner]]="", "", IF(Table1[[#This Row],[AwayTeam]]=Table1[[#This Row],[ActualWinner]],Table1[[#This Row],[HomeTeam]],Table1[[#This Row],[AwayTeam]]))</f>
        <v/>
      </c>
      <c r="U127" s="64">
        <f>Table1[[#This Row],[ActualAwayScore]]-Table1[[#This Row],[PredictedAwayScore]]</f>
        <v>0</v>
      </c>
      <c r="V127" s="64">
        <f>Table1[[#This Row],[ActualHomeScore]]-Table1[[#This Row],[PredictedHomeScore]]</f>
        <v>0</v>
      </c>
      <c r="W127" s="64">
        <f>(0.8*IF(Table1[[#This Row],[CorrectWinnerPrediction]]=1, 1, 0))+(0.1*IF(Table1[[#This Row],[CorrectAwayScorePrediction]]=1, 1, 0))+(0.1*IF(Table1[[#This Row],[CorrectHomeScorePrediction]]=1, 1, 0))</f>
        <v>0</v>
      </c>
      <c r="X12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7" s="64">
        <f>SUMIF(Table1[GameDate], Table1[[#This Row],[GameDate]], Table1[AwayGameGoalDiff])</f>
        <v>0</v>
      </c>
      <c r="AA127" s="64">
        <f>SUMIF(Table1[GameDate], Table1[[#This Row],[GameDate]], Table1[HomeGameGoalDiff])</f>
        <v>0</v>
      </c>
      <c r="AB127" s="64">
        <f>IF(ISBLANK(Table1[[#This Row],[ActualResult]]), 0, 1)</f>
        <v>0</v>
      </c>
      <c r="AC127" s="64">
        <f>IF(ISBLANK(Table1[[#This Row],[ActualResult]]), 0, IF(Table1[[#This Row],[ActualWinner]]=Table1[[#This Row],[PredictedWinner]], 1, 0))</f>
        <v>0</v>
      </c>
      <c r="AD12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7" s="64">
        <f>IF(AND(Table1[[#This Row],[GameIsOver]]=1,Table1[[#This Row],[ActualAwayScore]]=0), 1,0)</f>
        <v>0</v>
      </c>
      <c r="AG127" s="64">
        <f>IF(AND(Table1[[#This Row],[GameIsOver]]=1,Table1[[#This Row],[ActualHomeScore]]=0), 1,0)</f>
        <v>0</v>
      </c>
      <c r="AH127" s="64">
        <f>IF(Table1[[#This Row],[GameIsOver]]=0,0,IF(Table1[[#This Row],[ActualWinner]]=Table1[[#This Row],[AwayTeam]], 1, 0))</f>
        <v>0</v>
      </c>
      <c r="AI127" s="64">
        <f>IF(Table1[[#This Row],[GameIsOver]]=0,0,IF(Table1[[#This Row],[ActualWinner]]=Table1[[#This Row],[HomeTeam]], 1, 0))</f>
        <v>0</v>
      </c>
      <c r="AJ127" s="64">
        <f>IF(INDEX(Standings!$A$2:$C$33,MATCH(Table1[[#This Row],[AwayTeam]],Standings!$A$2:$A$33,0),2)=INDEX(Standings!$A$2:$C$33,MATCH(Table1[[#This Row],[HomeTeam]],Standings!$A$2:$A$33,0),2),1,0)</f>
        <v>1</v>
      </c>
      <c r="AK127" s="64">
        <f>IF(INDEX(Standings!$A$2:$C$33,MATCH(Table1[[#This Row],[AwayTeam]],Standings!$A$2:$A$33,0),3)=INDEX(Standings!$A$2:$C$33,MATCH(Table1[[#This Row],[HomeTeam]],Standings!$A$2:$A$33,0),3),1,0)</f>
        <v>1</v>
      </c>
      <c r="AL127" s="64">
        <f>IF(Table1[[#This Row],[InterConf]]=1,IF(Table1[[#This Row],[InterDiv]]=0, 1, 0), 0)</f>
        <v>0</v>
      </c>
      <c r="AM127" s="64">
        <f>IF(INDEX(Standings!$A$2:$C$33,MATCH(Table1[[#This Row],[AwayTeam]],Standings!$A$2:$A$33,0),2)&lt;&gt;INDEX(Standings!$A$2:$C$33,MATCH(Table1[[#This Row],[HomeTeam]],Standings!$A$2:$A$33,0),2),1,0)</f>
        <v>0</v>
      </c>
      <c r="AN127" s="64" t="str">
        <f>INDEX(Table2[AWAY_RECORD], MATCH(Table1[[#This Row],[AwayTeam]],Table2[Team], 0), 0)</f>
        <v>0-0-1</v>
      </c>
      <c r="AO127" s="64" t="str">
        <f>INDEX(Records!$B$2:$AG$33, MATCH(Table1[[#This Row],[AwayTeam]],Records!$A$2:$A$33, 0), MATCH(Table1[[#This Row],[HomeTeam]],Records!$A$2:$A$33, 0))</f>
        <v>0-0-0</v>
      </c>
      <c r="AP127" s="64" t="str">
        <f>INDEX(Table2[HOME_RECORD], MATCH(Table1[[#This Row],[HomeTeam]],Table2[Team], 0), 0)</f>
        <v>0-0-0</v>
      </c>
      <c r="AQ127" s="64" t="str">
        <f>INDEX(Records!$B$2:$AG$33, MATCH(Table1[[#This Row],[HomeTeam]],Records!$A$2:$A$33, 0), MATCH(Table1[[#This Row],[AwayTeam]],Records!$A$2:$A$33, 0))</f>
        <v>0-0-0</v>
      </c>
    </row>
    <row r="128" spans="1:43" x14ac:dyDescent="0.25">
      <c r="A128" s="1"/>
      <c r="D128" t="s">
        <v>318</v>
      </c>
      <c r="E128" t="s">
        <v>160</v>
      </c>
      <c r="F128" t="s">
        <v>325</v>
      </c>
      <c r="G128" t="s">
        <v>55</v>
      </c>
      <c r="H128" t="s">
        <v>44</v>
      </c>
      <c r="L12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8" s="1"/>
      <c r="T128" s="64" t="str">
        <f>IF(Table1[[#This Row],[ActualWinner]]="", "", IF(Table1[[#This Row],[AwayTeam]]=Table1[[#This Row],[ActualWinner]],Table1[[#This Row],[HomeTeam]],Table1[[#This Row],[AwayTeam]]))</f>
        <v/>
      </c>
      <c r="U128" s="64">
        <f>Table1[[#This Row],[ActualAwayScore]]-Table1[[#This Row],[PredictedAwayScore]]</f>
        <v>0</v>
      </c>
      <c r="V128" s="64">
        <f>Table1[[#This Row],[ActualHomeScore]]-Table1[[#This Row],[PredictedHomeScore]]</f>
        <v>0</v>
      </c>
      <c r="W128" s="64">
        <f>(0.8*IF(Table1[[#This Row],[CorrectWinnerPrediction]]=1, 1, 0))+(0.1*IF(Table1[[#This Row],[CorrectAwayScorePrediction]]=1, 1, 0))+(0.1*IF(Table1[[#This Row],[CorrectHomeScorePrediction]]=1, 1, 0))</f>
        <v>0</v>
      </c>
      <c r="X12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8" s="64">
        <f>SUMIF(Table1[GameDate], Table1[[#This Row],[GameDate]], Table1[AwayGameGoalDiff])</f>
        <v>0</v>
      </c>
      <c r="AA128" s="64">
        <f>SUMIF(Table1[GameDate], Table1[[#This Row],[GameDate]], Table1[HomeGameGoalDiff])</f>
        <v>0</v>
      </c>
      <c r="AB128" s="64">
        <f>IF(ISBLANK(Table1[[#This Row],[ActualResult]]), 0, 1)</f>
        <v>0</v>
      </c>
      <c r="AC128" s="64">
        <f>IF(ISBLANK(Table1[[#This Row],[ActualResult]]), 0, IF(Table1[[#This Row],[ActualWinner]]=Table1[[#This Row],[PredictedWinner]], 1, 0))</f>
        <v>0</v>
      </c>
      <c r="AD12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8" s="64">
        <f>IF(AND(Table1[[#This Row],[GameIsOver]]=1,Table1[[#This Row],[ActualAwayScore]]=0), 1,0)</f>
        <v>0</v>
      </c>
      <c r="AG128" s="64">
        <f>IF(AND(Table1[[#This Row],[GameIsOver]]=1,Table1[[#This Row],[ActualHomeScore]]=0), 1,0)</f>
        <v>0</v>
      </c>
      <c r="AH128" s="64">
        <f>IF(Table1[[#This Row],[GameIsOver]]=0,0,IF(Table1[[#This Row],[ActualWinner]]=Table1[[#This Row],[AwayTeam]], 1, 0))</f>
        <v>0</v>
      </c>
      <c r="AI128" s="64">
        <f>IF(Table1[[#This Row],[GameIsOver]]=0,0,IF(Table1[[#This Row],[ActualWinner]]=Table1[[#This Row],[HomeTeam]], 1, 0))</f>
        <v>0</v>
      </c>
      <c r="AJ128" s="64">
        <f>IF(INDEX(Standings!$A$2:$C$33,MATCH(Table1[[#This Row],[AwayTeam]],Standings!$A$2:$A$33,0),2)=INDEX(Standings!$A$2:$C$33,MATCH(Table1[[#This Row],[HomeTeam]],Standings!$A$2:$A$33,0),2),1,0)</f>
        <v>0</v>
      </c>
      <c r="AK128" s="64">
        <f>IF(INDEX(Standings!$A$2:$C$33,MATCH(Table1[[#This Row],[AwayTeam]],Standings!$A$2:$A$33,0),3)=INDEX(Standings!$A$2:$C$33,MATCH(Table1[[#This Row],[HomeTeam]],Standings!$A$2:$A$33,0),3),1,0)</f>
        <v>0</v>
      </c>
      <c r="AL128" s="64">
        <f>IF(Table1[[#This Row],[InterConf]]=1,IF(Table1[[#This Row],[InterDiv]]=0, 1, 0), 0)</f>
        <v>0</v>
      </c>
      <c r="AM128" s="64">
        <f>IF(INDEX(Standings!$A$2:$C$33,MATCH(Table1[[#This Row],[AwayTeam]],Standings!$A$2:$A$33,0),2)&lt;&gt;INDEX(Standings!$A$2:$C$33,MATCH(Table1[[#This Row],[HomeTeam]],Standings!$A$2:$A$33,0),2),1,0)</f>
        <v>1</v>
      </c>
      <c r="AN128" s="64" t="str">
        <f>INDEX(Table2[AWAY_RECORD], MATCH(Table1[[#This Row],[AwayTeam]],Table2[Team], 0), 0)</f>
        <v>0-0-0</v>
      </c>
      <c r="AO128" s="64" t="str">
        <f>INDEX(Records!$B$2:$AG$33, MATCH(Table1[[#This Row],[AwayTeam]],Records!$A$2:$A$33, 0), MATCH(Table1[[#This Row],[HomeTeam]],Records!$A$2:$A$33, 0))</f>
        <v>0-0-0</v>
      </c>
      <c r="AP128" s="64" t="str">
        <f>INDEX(Table2[HOME_RECORD], MATCH(Table1[[#This Row],[HomeTeam]],Table2[Team], 0), 0)</f>
        <v>0-0-1</v>
      </c>
      <c r="AQ128" s="64" t="str">
        <f>INDEX(Records!$B$2:$AG$33, MATCH(Table1[[#This Row],[HomeTeam]],Records!$A$2:$A$33, 0), MATCH(Table1[[#This Row],[AwayTeam]],Records!$A$2:$A$33, 0))</f>
        <v>0-0-0</v>
      </c>
    </row>
    <row r="129" spans="1:43" x14ac:dyDescent="0.25">
      <c r="A129" s="1"/>
      <c r="D129" t="s">
        <v>318</v>
      </c>
      <c r="E129" t="s">
        <v>160</v>
      </c>
      <c r="F129" t="s">
        <v>326</v>
      </c>
      <c r="G129" t="s">
        <v>52</v>
      </c>
      <c r="H129" t="s">
        <v>53</v>
      </c>
      <c r="L12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9" s="1"/>
      <c r="T129" s="64" t="str">
        <f>IF(Table1[[#This Row],[ActualWinner]]="", "", IF(Table1[[#This Row],[AwayTeam]]=Table1[[#This Row],[ActualWinner]],Table1[[#This Row],[HomeTeam]],Table1[[#This Row],[AwayTeam]]))</f>
        <v/>
      </c>
      <c r="U129" s="64">
        <f>Table1[[#This Row],[ActualAwayScore]]-Table1[[#This Row],[PredictedAwayScore]]</f>
        <v>0</v>
      </c>
      <c r="V129" s="64">
        <f>Table1[[#This Row],[ActualHomeScore]]-Table1[[#This Row],[PredictedHomeScore]]</f>
        <v>0</v>
      </c>
      <c r="W129" s="64">
        <f>(0.8*IF(Table1[[#This Row],[CorrectWinnerPrediction]]=1, 1, 0))+(0.1*IF(Table1[[#This Row],[CorrectAwayScorePrediction]]=1, 1, 0))+(0.1*IF(Table1[[#This Row],[CorrectHomeScorePrediction]]=1, 1, 0))</f>
        <v>0</v>
      </c>
      <c r="X12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9" s="64">
        <f>SUMIF(Table1[GameDate], Table1[[#This Row],[GameDate]], Table1[AwayGameGoalDiff])</f>
        <v>0</v>
      </c>
      <c r="AA129" s="64">
        <f>SUMIF(Table1[GameDate], Table1[[#This Row],[GameDate]], Table1[HomeGameGoalDiff])</f>
        <v>0</v>
      </c>
      <c r="AB129" s="64">
        <f>IF(ISBLANK(Table1[[#This Row],[ActualResult]]), 0, 1)</f>
        <v>0</v>
      </c>
      <c r="AC129" s="64">
        <f>IF(ISBLANK(Table1[[#This Row],[ActualResult]]), 0, IF(Table1[[#This Row],[ActualWinner]]=Table1[[#This Row],[PredictedWinner]], 1, 0))</f>
        <v>0</v>
      </c>
      <c r="AD12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9" s="64">
        <f>IF(AND(Table1[[#This Row],[GameIsOver]]=1,Table1[[#This Row],[ActualAwayScore]]=0), 1,0)</f>
        <v>0</v>
      </c>
      <c r="AG129" s="64">
        <f>IF(AND(Table1[[#This Row],[GameIsOver]]=1,Table1[[#This Row],[ActualHomeScore]]=0), 1,0)</f>
        <v>0</v>
      </c>
      <c r="AH129" s="64">
        <f>IF(Table1[[#This Row],[GameIsOver]]=0,0,IF(Table1[[#This Row],[ActualWinner]]=Table1[[#This Row],[AwayTeam]], 1, 0))</f>
        <v>0</v>
      </c>
      <c r="AI129" s="64">
        <f>IF(Table1[[#This Row],[GameIsOver]]=0,0,IF(Table1[[#This Row],[ActualWinner]]=Table1[[#This Row],[HomeTeam]], 1, 0))</f>
        <v>0</v>
      </c>
      <c r="AJ129" s="64">
        <f>IF(INDEX(Standings!$A$2:$C$33,MATCH(Table1[[#This Row],[AwayTeam]],Standings!$A$2:$A$33,0),2)=INDEX(Standings!$A$2:$C$33,MATCH(Table1[[#This Row],[HomeTeam]],Standings!$A$2:$A$33,0),2),1,0)</f>
        <v>1</v>
      </c>
      <c r="AK129" s="64">
        <f>IF(INDEX(Standings!$A$2:$C$33,MATCH(Table1[[#This Row],[AwayTeam]],Standings!$A$2:$A$33,0),3)=INDEX(Standings!$A$2:$C$33,MATCH(Table1[[#This Row],[HomeTeam]],Standings!$A$2:$A$33,0),3),1,0)</f>
        <v>0</v>
      </c>
      <c r="AL129" s="64">
        <f>IF(Table1[[#This Row],[InterConf]]=1,IF(Table1[[#This Row],[InterDiv]]=0, 1, 0), 0)</f>
        <v>1</v>
      </c>
      <c r="AM129" s="64">
        <f>IF(INDEX(Standings!$A$2:$C$33,MATCH(Table1[[#This Row],[AwayTeam]],Standings!$A$2:$A$33,0),2)&lt;&gt;INDEX(Standings!$A$2:$C$33,MATCH(Table1[[#This Row],[HomeTeam]],Standings!$A$2:$A$33,0),2),1,0)</f>
        <v>0</v>
      </c>
      <c r="AN129" s="64" t="str">
        <f>INDEX(Table2[AWAY_RECORD], MATCH(Table1[[#This Row],[AwayTeam]],Table2[Team], 0), 0)</f>
        <v>0-0-0</v>
      </c>
      <c r="AO129" s="64" t="str">
        <f>INDEX(Records!$B$2:$AG$33, MATCH(Table1[[#This Row],[AwayTeam]],Records!$A$2:$A$33, 0), MATCH(Table1[[#This Row],[HomeTeam]],Records!$A$2:$A$33, 0))</f>
        <v>0-0-0</v>
      </c>
      <c r="AP129" s="64" t="str">
        <f>INDEX(Table2[HOME_RECORD], MATCH(Table1[[#This Row],[HomeTeam]],Table2[Team], 0), 0)</f>
        <v>1-0-0</v>
      </c>
      <c r="AQ129" s="64" t="str">
        <f>INDEX(Records!$B$2:$AG$33, MATCH(Table1[[#This Row],[HomeTeam]],Records!$A$2:$A$33, 0), MATCH(Table1[[#This Row],[AwayTeam]],Records!$A$2:$A$33, 0))</f>
        <v>0-0-0</v>
      </c>
    </row>
    <row r="130" spans="1:43" x14ac:dyDescent="0.25">
      <c r="A130" s="1"/>
      <c r="D130" t="s">
        <v>318</v>
      </c>
      <c r="E130" t="s">
        <v>160</v>
      </c>
      <c r="F130" t="s">
        <v>327</v>
      </c>
      <c r="G130" t="s">
        <v>51</v>
      </c>
      <c r="H130" t="s">
        <v>42</v>
      </c>
      <c r="L13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0" s="1"/>
      <c r="T130" s="64" t="str">
        <f>IF(Table1[[#This Row],[ActualWinner]]="", "", IF(Table1[[#This Row],[AwayTeam]]=Table1[[#This Row],[ActualWinner]],Table1[[#This Row],[HomeTeam]],Table1[[#This Row],[AwayTeam]]))</f>
        <v/>
      </c>
      <c r="U130" s="64">
        <f>Table1[[#This Row],[ActualAwayScore]]-Table1[[#This Row],[PredictedAwayScore]]</f>
        <v>0</v>
      </c>
      <c r="V130" s="64">
        <f>Table1[[#This Row],[ActualHomeScore]]-Table1[[#This Row],[PredictedHomeScore]]</f>
        <v>0</v>
      </c>
      <c r="W130" s="64">
        <f>(0.8*IF(Table1[[#This Row],[CorrectWinnerPrediction]]=1, 1, 0))+(0.1*IF(Table1[[#This Row],[CorrectAwayScorePrediction]]=1, 1, 0))+(0.1*IF(Table1[[#This Row],[CorrectHomeScorePrediction]]=1, 1, 0))</f>
        <v>0</v>
      </c>
      <c r="X13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0" s="64">
        <f>SUMIF(Table1[GameDate], Table1[[#This Row],[GameDate]], Table1[AwayGameGoalDiff])</f>
        <v>0</v>
      </c>
      <c r="AA130" s="64">
        <f>SUMIF(Table1[GameDate], Table1[[#This Row],[GameDate]], Table1[HomeGameGoalDiff])</f>
        <v>0</v>
      </c>
      <c r="AB130" s="64">
        <f>IF(ISBLANK(Table1[[#This Row],[ActualResult]]), 0, 1)</f>
        <v>0</v>
      </c>
      <c r="AC130" s="64">
        <f>IF(ISBLANK(Table1[[#This Row],[ActualResult]]), 0, IF(Table1[[#This Row],[ActualWinner]]=Table1[[#This Row],[PredictedWinner]], 1, 0))</f>
        <v>0</v>
      </c>
      <c r="AD13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0" s="64">
        <f>IF(AND(Table1[[#This Row],[GameIsOver]]=1,Table1[[#This Row],[ActualAwayScore]]=0), 1,0)</f>
        <v>0</v>
      </c>
      <c r="AG130" s="64">
        <f>IF(AND(Table1[[#This Row],[GameIsOver]]=1,Table1[[#This Row],[ActualHomeScore]]=0), 1,0)</f>
        <v>0</v>
      </c>
      <c r="AH130" s="64">
        <f>IF(Table1[[#This Row],[GameIsOver]]=0,0,IF(Table1[[#This Row],[ActualWinner]]=Table1[[#This Row],[AwayTeam]], 1, 0))</f>
        <v>0</v>
      </c>
      <c r="AI130" s="64">
        <f>IF(Table1[[#This Row],[GameIsOver]]=0,0,IF(Table1[[#This Row],[ActualWinner]]=Table1[[#This Row],[HomeTeam]], 1, 0))</f>
        <v>0</v>
      </c>
      <c r="AJ130" s="64">
        <f>IF(INDEX(Standings!$A$2:$C$33,MATCH(Table1[[#This Row],[AwayTeam]],Standings!$A$2:$A$33,0),2)=INDEX(Standings!$A$2:$C$33,MATCH(Table1[[#This Row],[HomeTeam]],Standings!$A$2:$A$33,0),2),1,0)</f>
        <v>1</v>
      </c>
      <c r="AK130" s="64">
        <f>IF(INDEX(Standings!$A$2:$C$33,MATCH(Table1[[#This Row],[AwayTeam]],Standings!$A$2:$A$33,0),3)=INDEX(Standings!$A$2:$C$33,MATCH(Table1[[#This Row],[HomeTeam]],Standings!$A$2:$A$33,0),3),1,0)</f>
        <v>1</v>
      </c>
      <c r="AL130" s="64">
        <f>IF(Table1[[#This Row],[InterConf]]=1,IF(Table1[[#This Row],[InterDiv]]=0, 1, 0), 0)</f>
        <v>0</v>
      </c>
      <c r="AM130" s="64">
        <f>IF(INDEX(Standings!$A$2:$C$33,MATCH(Table1[[#This Row],[AwayTeam]],Standings!$A$2:$A$33,0),2)&lt;&gt;INDEX(Standings!$A$2:$C$33,MATCH(Table1[[#This Row],[HomeTeam]],Standings!$A$2:$A$33,0),2),1,0)</f>
        <v>0</v>
      </c>
      <c r="AN130" s="64" t="str">
        <f>INDEX(Table2[AWAY_RECORD], MATCH(Table1[[#This Row],[AwayTeam]],Table2[Team], 0), 0)</f>
        <v>2-0-0</v>
      </c>
      <c r="AO130" s="64" t="str">
        <f>INDEX(Records!$B$2:$AG$33, MATCH(Table1[[#This Row],[AwayTeam]],Records!$A$2:$A$33, 0), MATCH(Table1[[#This Row],[HomeTeam]],Records!$A$2:$A$33, 0))</f>
        <v>0-0-0</v>
      </c>
      <c r="AP130" s="64" t="str">
        <f>INDEX(Table2[HOME_RECORD], MATCH(Table1[[#This Row],[HomeTeam]],Table2[Team], 0), 0)</f>
        <v>1-0-0</v>
      </c>
      <c r="AQ130" s="64" t="str">
        <f>INDEX(Records!$B$2:$AG$33, MATCH(Table1[[#This Row],[HomeTeam]],Records!$A$2:$A$33, 0), MATCH(Table1[[#This Row],[AwayTeam]],Records!$A$2:$A$33, 0))</f>
        <v>0-0-0</v>
      </c>
    </row>
    <row r="131" spans="1:43" x14ac:dyDescent="0.25">
      <c r="A131" s="1"/>
      <c r="D131" t="s">
        <v>318</v>
      </c>
      <c r="E131" t="s">
        <v>160</v>
      </c>
      <c r="F131" t="s">
        <v>328</v>
      </c>
      <c r="G131" t="s">
        <v>43</v>
      </c>
      <c r="H131" t="s">
        <v>16</v>
      </c>
      <c r="L13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1" s="1"/>
      <c r="T131" s="64" t="str">
        <f>IF(Table1[[#This Row],[ActualWinner]]="", "", IF(Table1[[#This Row],[AwayTeam]]=Table1[[#This Row],[ActualWinner]],Table1[[#This Row],[HomeTeam]],Table1[[#This Row],[AwayTeam]]))</f>
        <v/>
      </c>
      <c r="U131" s="64">
        <f>Table1[[#This Row],[ActualAwayScore]]-Table1[[#This Row],[PredictedAwayScore]]</f>
        <v>0</v>
      </c>
      <c r="V131" s="64">
        <f>Table1[[#This Row],[ActualHomeScore]]-Table1[[#This Row],[PredictedHomeScore]]</f>
        <v>0</v>
      </c>
      <c r="W131" s="64">
        <f>(0.8*IF(Table1[[#This Row],[CorrectWinnerPrediction]]=1, 1, 0))+(0.1*IF(Table1[[#This Row],[CorrectAwayScorePrediction]]=1, 1, 0))+(0.1*IF(Table1[[#This Row],[CorrectHomeScorePrediction]]=1, 1, 0))</f>
        <v>0</v>
      </c>
      <c r="X13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1" s="64">
        <f>SUMIF(Table1[GameDate], Table1[[#This Row],[GameDate]], Table1[AwayGameGoalDiff])</f>
        <v>0</v>
      </c>
      <c r="AA131" s="64">
        <f>SUMIF(Table1[GameDate], Table1[[#This Row],[GameDate]], Table1[HomeGameGoalDiff])</f>
        <v>0</v>
      </c>
      <c r="AB131" s="64">
        <f>IF(ISBLANK(Table1[[#This Row],[ActualResult]]), 0, 1)</f>
        <v>0</v>
      </c>
      <c r="AC131" s="64">
        <f>IF(ISBLANK(Table1[[#This Row],[ActualResult]]), 0, IF(Table1[[#This Row],[ActualWinner]]=Table1[[#This Row],[PredictedWinner]], 1, 0))</f>
        <v>0</v>
      </c>
      <c r="AD13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1" s="64">
        <f>IF(AND(Table1[[#This Row],[GameIsOver]]=1,Table1[[#This Row],[ActualAwayScore]]=0), 1,0)</f>
        <v>0</v>
      </c>
      <c r="AG131" s="64">
        <f>IF(AND(Table1[[#This Row],[GameIsOver]]=1,Table1[[#This Row],[ActualHomeScore]]=0), 1,0)</f>
        <v>0</v>
      </c>
      <c r="AH131" s="64">
        <f>IF(Table1[[#This Row],[GameIsOver]]=0,0,IF(Table1[[#This Row],[ActualWinner]]=Table1[[#This Row],[AwayTeam]], 1, 0))</f>
        <v>0</v>
      </c>
      <c r="AI131" s="64">
        <f>IF(Table1[[#This Row],[GameIsOver]]=0,0,IF(Table1[[#This Row],[ActualWinner]]=Table1[[#This Row],[HomeTeam]], 1, 0))</f>
        <v>0</v>
      </c>
      <c r="AJ131" s="64">
        <f>IF(INDEX(Standings!$A$2:$C$33,MATCH(Table1[[#This Row],[AwayTeam]],Standings!$A$2:$A$33,0),2)=INDEX(Standings!$A$2:$C$33,MATCH(Table1[[#This Row],[HomeTeam]],Standings!$A$2:$A$33,0),2),1,0)</f>
        <v>1</v>
      </c>
      <c r="AK131" s="64">
        <f>IF(INDEX(Standings!$A$2:$C$33,MATCH(Table1[[#This Row],[AwayTeam]],Standings!$A$2:$A$33,0),3)=INDEX(Standings!$A$2:$C$33,MATCH(Table1[[#This Row],[HomeTeam]],Standings!$A$2:$A$33,0),3),1,0)</f>
        <v>1</v>
      </c>
      <c r="AL131" s="64">
        <f>IF(Table1[[#This Row],[InterConf]]=1,IF(Table1[[#This Row],[InterDiv]]=0, 1, 0), 0)</f>
        <v>0</v>
      </c>
      <c r="AM131" s="64">
        <f>IF(INDEX(Standings!$A$2:$C$33,MATCH(Table1[[#This Row],[AwayTeam]],Standings!$A$2:$A$33,0),2)&lt;&gt;INDEX(Standings!$A$2:$C$33,MATCH(Table1[[#This Row],[HomeTeam]],Standings!$A$2:$A$33,0),2),1,0)</f>
        <v>0</v>
      </c>
      <c r="AN131" s="64" t="str">
        <f>INDEX(Table2[AWAY_RECORD], MATCH(Table1[[#This Row],[AwayTeam]],Table2[Team], 0), 0)</f>
        <v>0-0-0</v>
      </c>
      <c r="AO131" s="64" t="str">
        <f>INDEX(Records!$B$2:$AG$33, MATCH(Table1[[#This Row],[AwayTeam]],Records!$A$2:$A$33, 0), MATCH(Table1[[#This Row],[HomeTeam]],Records!$A$2:$A$33, 0))</f>
        <v>0-0-0</v>
      </c>
      <c r="AP131" s="64" t="str">
        <f>INDEX(Table2[HOME_RECORD], MATCH(Table1[[#This Row],[HomeTeam]],Table2[Team], 0), 0)</f>
        <v>0-0-0</v>
      </c>
      <c r="AQ131" s="64" t="str">
        <f>INDEX(Records!$B$2:$AG$33, MATCH(Table1[[#This Row],[HomeTeam]],Records!$A$2:$A$33, 0), MATCH(Table1[[#This Row],[AwayTeam]],Records!$A$2:$A$33, 0))</f>
        <v>0-0-0</v>
      </c>
    </row>
    <row r="132" spans="1:43" x14ac:dyDescent="0.25">
      <c r="A132" s="1"/>
      <c r="D132" t="s">
        <v>318</v>
      </c>
      <c r="E132" t="s">
        <v>162</v>
      </c>
      <c r="F132" t="s">
        <v>329</v>
      </c>
      <c r="G132" t="s">
        <v>61</v>
      </c>
      <c r="H132" t="s">
        <v>48</v>
      </c>
      <c r="L13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2" s="1"/>
      <c r="T132" s="64" t="str">
        <f>IF(Table1[[#This Row],[ActualWinner]]="", "", IF(Table1[[#This Row],[AwayTeam]]=Table1[[#This Row],[ActualWinner]],Table1[[#This Row],[HomeTeam]],Table1[[#This Row],[AwayTeam]]))</f>
        <v/>
      </c>
      <c r="U132" s="64">
        <f>Table1[[#This Row],[ActualAwayScore]]-Table1[[#This Row],[PredictedAwayScore]]</f>
        <v>0</v>
      </c>
      <c r="V132" s="64">
        <f>Table1[[#This Row],[ActualHomeScore]]-Table1[[#This Row],[PredictedHomeScore]]</f>
        <v>0</v>
      </c>
      <c r="W132" s="64">
        <f>(0.8*IF(Table1[[#This Row],[CorrectWinnerPrediction]]=1, 1, 0))+(0.1*IF(Table1[[#This Row],[CorrectAwayScorePrediction]]=1, 1, 0))+(0.1*IF(Table1[[#This Row],[CorrectHomeScorePrediction]]=1, 1, 0))</f>
        <v>0</v>
      </c>
      <c r="X13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2" s="64">
        <f>SUMIF(Table1[GameDate], Table1[[#This Row],[GameDate]], Table1[AwayGameGoalDiff])</f>
        <v>0</v>
      </c>
      <c r="AA132" s="64">
        <f>SUMIF(Table1[GameDate], Table1[[#This Row],[GameDate]], Table1[HomeGameGoalDiff])</f>
        <v>0</v>
      </c>
      <c r="AB132" s="64">
        <f>IF(ISBLANK(Table1[[#This Row],[ActualResult]]), 0, 1)</f>
        <v>0</v>
      </c>
      <c r="AC132" s="64">
        <f>IF(ISBLANK(Table1[[#This Row],[ActualResult]]), 0, IF(Table1[[#This Row],[ActualWinner]]=Table1[[#This Row],[PredictedWinner]], 1, 0))</f>
        <v>0</v>
      </c>
      <c r="AD13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2" s="64">
        <f>IF(AND(Table1[[#This Row],[GameIsOver]]=1,Table1[[#This Row],[ActualAwayScore]]=0), 1,0)</f>
        <v>0</v>
      </c>
      <c r="AG132" s="64">
        <f>IF(AND(Table1[[#This Row],[GameIsOver]]=1,Table1[[#This Row],[ActualHomeScore]]=0), 1,0)</f>
        <v>0</v>
      </c>
      <c r="AH132" s="64">
        <f>IF(Table1[[#This Row],[GameIsOver]]=0,0,IF(Table1[[#This Row],[ActualWinner]]=Table1[[#This Row],[AwayTeam]], 1, 0))</f>
        <v>0</v>
      </c>
      <c r="AI132" s="64">
        <f>IF(Table1[[#This Row],[GameIsOver]]=0,0,IF(Table1[[#This Row],[ActualWinner]]=Table1[[#This Row],[HomeTeam]], 1, 0))</f>
        <v>0</v>
      </c>
      <c r="AJ132" s="64">
        <f>IF(INDEX(Standings!$A$2:$C$33,MATCH(Table1[[#This Row],[AwayTeam]],Standings!$A$2:$A$33,0),2)=INDEX(Standings!$A$2:$C$33,MATCH(Table1[[#This Row],[HomeTeam]],Standings!$A$2:$A$33,0),2),1,0)</f>
        <v>1</v>
      </c>
      <c r="AK132" s="64">
        <f>IF(INDEX(Standings!$A$2:$C$33,MATCH(Table1[[#This Row],[AwayTeam]],Standings!$A$2:$A$33,0),3)=INDEX(Standings!$A$2:$C$33,MATCH(Table1[[#This Row],[HomeTeam]],Standings!$A$2:$A$33,0),3),1,0)</f>
        <v>1</v>
      </c>
      <c r="AL132" s="64">
        <f>IF(Table1[[#This Row],[InterConf]]=1,IF(Table1[[#This Row],[InterDiv]]=0, 1, 0), 0)</f>
        <v>0</v>
      </c>
      <c r="AM132" s="64">
        <f>IF(INDEX(Standings!$A$2:$C$33,MATCH(Table1[[#This Row],[AwayTeam]],Standings!$A$2:$A$33,0),2)&lt;&gt;INDEX(Standings!$A$2:$C$33,MATCH(Table1[[#This Row],[HomeTeam]],Standings!$A$2:$A$33,0),2),1,0)</f>
        <v>0</v>
      </c>
      <c r="AN132" s="64" t="str">
        <f>INDEX(Table2[AWAY_RECORD], MATCH(Table1[[#This Row],[AwayTeam]],Table2[Team], 0), 0)</f>
        <v>0-0-0</v>
      </c>
      <c r="AO132" s="64" t="str">
        <f>INDEX(Records!$B$2:$AG$33, MATCH(Table1[[#This Row],[AwayTeam]],Records!$A$2:$A$33, 0), MATCH(Table1[[#This Row],[HomeTeam]],Records!$A$2:$A$33, 0))</f>
        <v>0-0-0</v>
      </c>
      <c r="AP132" s="64" t="str">
        <f>INDEX(Table2[HOME_RECORD], MATCH(Table1[[#This Row],[HomeTeam]],Table2[Team], 0), 0)</f>
        <v>1-0-0</v>
      </c>
      <c r="AQ132" s="64" t="str">
        <f>INDEX(Records!$B$2:$AG$33, MATCH(Table1[[#This Row],[HomeTeam]],Records!$A$2:$A$33, 0), MATCH(Table1[[#This Row],[AwayTeam]],Records!$A$2:$A$33, 0))</f>
        <v>0-0-0</v>
      </c>
    </row>
    <row r="133" spans="1:43" x14ac:dyDescent="0.25">
      <c r="A133" s="1"/>
      <c r="D133" t="s">
        <v>318</v>
      </c>
      <c r="E133" t="s">
        <v>178</v>
      </c>
      <c r="F133" t="s">
        <v>330</v>
      </c>
      <c r="G133" t="s">
        <v>37</v>
      </c>
      <c r="H133" t="s">
        <v>46</v>
      </c>
      <c r="L13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3" s="1"/>
      <c r="T133" s="64" t="str">
        <f>IF(Table1[[#This Row],[ActualWinner]]="", "", IF(Table1[[#This Row],[AwayTeam]]=Table1[[#This Row],[ActualWinner]],Table1[[#This Row],[HomeTeam]],Table1[[#This Row],[AwayTeam]]))</f>
        <v/>
      </c>
      <c r="U133" s="64">
        <f>Table1[[#This Row],[ActualAwayScore]]-Table1[[#This Row],[PredictedAwayScore]]</f>
        <v>0</v>
      </c>
      <c r="V133" s="64">
        <f>Table1[[#This Row],[ActualHomeScore]]-Table1[[#This Row],[PredictedHomeScore]]</f>
        <v>0</v>
      </c>
      <c r="W133" s="64">
        <f>(0.8*IF(Table1[[#This Row],[CorrectWinnerPrediction]]=1, 1, 0))+(0.1*IF(Table1[[#This Row],[CorrectAwayScorePrediction]]=1, 1, 0))+(0.1*IF(Table1[[#This Row],[CorrectHomeScorePrediction]]=1, 1, 0))</f>
        <v>0</v>
      </c>
      <c r="X13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3" s="64">
        <f>SUMIF(Table1[GameDate], Table1[[#This Row],[GameDate]], Table1[AwayGameGoalDiff])</f>
        <v>0</v>
      </c>
      <c r="AA133" s="64">
        <f>SUMIF(Table1[GameDate], Table1[[#This Row],[GameDate]], Table1[HomeGameGoalDiff])</f>
        <v>0</v>
      </c>
      <c r="AB133" s="64">
        <f>IF(ISBLANK(Table1[[#This Row],[ActualResult]]), 0, 1)</f>
        <v>0</v>
      </c>
      <c r="AC133" s="64">
        <f>IF(ISBLANK(Table1[[#This Row],[ActualResult]]), 0, IF(Table1[[#This Row],[ActualWinner]]=Table1[[#This Row],[PredictedWinner]], 1, 0))</f>
        <v>0</v>
      </c>
      <c r="AD13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3" s="64">
        <f>IF(AND(Table1[[#This Row],[GameIsOver]]=1,Table1[[#This Row],[ActualAwayScore]]=0), 1,0)</f>
        <v>0</v>
      </c>
      <c r="AG133" s="64">
        <f>IF(AND(Table1[[#This Row],[GameIsOver]]=1,Table1[[#This Row],[ActualHomeScore]]=0), 1,0)</f>
        <v>0</v>
      </c>
      <c r="AH133" s="64">
        <f>IF(Table1[[#This Row],[GameIsOver]]=0,0,IF(Table1[[#This Row],[ActualWinner]]=Table1[[#This Row],[AwayTeam]], 1, 0))</f>
        <v>0</v>
      </c>
      <c r="AI133" s="64">
        <f>IF(Table1[[#This Row],[GameIsOver]]=0,0,IF(Table1[[#This Row],[ActualWinner]]=Table1[[#This Row],[HomeTeam]], 1, 0))</f>
        <v>0</v>
      </c>
      <c r="AJ133" s="64">
        <f>IF(INDEX(Standings!$A$2:$C$33,MATCH(Table1[[#This Row],[AwayTeam]],Standings!$A$2:$A$33,0),2)=INDEX(Standings!$A$2:$C$33,MATCH(Table1[[#This Row],[HomeTeam]],Standings!$A$2:$A$33,0),2),1,0)</f>
        <v>0</v>
      </c>
      <c r="AK133" s="64">
        <f>IF(INDEX(Standings!$A$2:$C$33,MATCH(Table1[[#This Row],[AwayTeam]],Standings!$A$2:$A$33,0),3)=INDEX(Standings!$A$2:$C$33,MATCH(Table1[[#This Row],[HomeTeam]],Standings!$A$2:$A$33,0),3),1,0)</f>
        <v>0</v>
      </c>
      <c r="AL133" s="64">
        <f>IF(Table1[[#This Row],[InterConf]]=1,IF(Table1[[#This Row],[InterDiv]]=0, 1, 0), 0)</f>
        <v>0</v>
      </c>
      <c r="AM133" s="64">
        <f>IF(INDEX(Standings!$A$2:$C$33,MATCH(Table1[[#This Row],[AwayTeam]],Standings!$A$2:$A$33,0),2)&lt;&gt;INDEX(Standings!$A$2:$C$33,MATCH(Table1[[#This Row],[HomeTeam]],Standings!$A$2:$A$33,0),2),1,0)</f>
        <v>1</v>
      </c>
      <c r="AN133" s="64" t="str">
        <f>INDEX(Table2[AWAY_RECORD], MATCH(Table1[[#This Row],[AwayTeam]],Table2[Team], 0), 0)</f>
        <v>0-0-1</v>
      </c>
      <c r="AO133" s="64" t="str">
        <f>INDEX(Records!$B$2:$AG$33, MATCH(Table1[[#This Row],[AwayTeam]],Records!$A$2:$A$33, 0), MATCH(Table1[[#This Row],[HomeTeam]],Records!$A$2:$A$33, 0))</f>
        <v>0-0-0</v>
      </c>
      <c r="AP133" s="64" t="str">
        <f>INDEX(Table2[HOME_RECORD], MATCH(Table1[[#This Row],[HomeTeam]],Table2[Team], 0), 0)</f>
        <v>0-0-0</v>
      </c>
      <c r="AQ133" s="64" t="str">
        <f>INDEX(Records!$B$2:$AG$33, MATCH(Table1[[#This Row],[HomeTeam]],Records!$A$2:$A$33, 0), MATCH(Table1[[#This Row],[AwayTeam]],Records!$A$2:$A$33, 0))</f>
        <v>0-0-0</v>
      </c>
    </row>
    <row r="134" spans="1:43" x14ac:dyDescent="0.25">
      <c r="A134" s="1"/>
      <c r="D134" t="s">
        <v>318</v>
      </c>
      <c r="E134" t="s">
        <v>164</v>
      </c>
      <c r="F134" t="s">
        <v>331</v>
      </c>
      <c r="G134" t="s">
        <v>45</v>
      </c>
      <c r="H134" t="s">
        <v>58</v>
      </c>
      <c r="L13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4" s="1"/>
      <c r="T134" s="64" t="str">
        <f>IF(Table1[[#This Row],[ActualWinner]]="", "", IF(Table1[[#This Row],[AwayTeam]]=Table1[[#This Row],[ActualWinner]],Table1[[#This Row],[HomeTeam]],Table1[[#This Row],[AwayTeam]]))</f>
        <v/>
      </c>
      <c r="U134" s="64">
        <f>Table1[[#This Row],[ActualAwayScore]]-Table1[[#This Row],[PredictedAwayScore]]</f>
        <v>0</v>
      </c>
      <c r="V134" s="64">
        <f>Table1[[#This Row],[ActualHomeScore]]-Table1[[#This Row],[PredictedHomeScore]]</f>
        <v>0</v>
      </c>
      <c r="W134" s="64">
        <f>(0.8*IF(Table1[[#This Row],[CorrectWinnerPrediction]]=1, 1, 0))+(0.1*IF(Table1[[#This Row],[CorrectAwayScorePrediction]]=1, 1, 0))+(0.1*IF(Table1[[#This Row],[CorrectHomeScorePrediction]]=1, 1, 0))</f>
        <v>0</v>
      </c>
      <c r="X13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4" s="64">
        <f>SUMIF(Table1[GameDate], Table1[[#This Row],[GameDate]], Table1[AwayGameGoalDiff])</f>
        <v>0</v>
      </c>
      <c r="AA134" s="64">
        <f>SUMIF(Table1[GameDate], Table1[[#This Row],[GameDate]], Table1[HomeGameGoalDiff])</f>
        <v>0</v>
      </c>
      <c r="AB134" s="64">
        <f>IF(ISBLANK(Table1[[#This Row],[ActualResult]]), 0, 1)</f>
        <v>0</v>
      </c>
      <c r="AC134" s="64">
        <f>IF(ISBLANK(Table1[[#This Row],[ActualResult]]), 0, IF(Table1[[#This Row],[ActualWinner]]=Table1[[#This Row],[PredictedWinner]], 1, 0))</f>
        <v>0</v>
      </c>
      <c r="AD13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4" s="64">
        <f>IF(AND(Table1[[#This Row],[GameIsOver]]=1,Table1[[#This Row],[ActualAwayScore]]=0), 1,0)</f>
        <v>0</v>
      </c>
      <c r="AG134" s="64">
        <f>IF(AND(Table1[[#This Row],[GameIsOver]]=1,Table1[[#This Row],[ActualHomeScore]]=0), 1,0)</f>
        <v>0</v>
      </c>
      <c r="AH134" s="64">
        <f>IF(Table1[[#This Row],[GameIsOver]]=0,0,IF(Table1[[#This Row],[ActualWinner]]=Table1[[#This Row],[AwayTeam]], 1, 0))</f>
        <v>0</v>
      </c>
      <c r="AI134" s="64">
        <f>IF(Table1[[#This Row],[GameIsOver]]=0,0,IF(Table1[[#This Row],[ActualWinner]]=Table1[[#This Row],[HomeTeam]], 1, 0))</f>
        <v>0</v>
      </c>
      <c r="AJ134" s="64">
        <f>IF(INDEX(Standings!$A$2:$C$33,MATCH(Table1[[#This Row],[AwayTeam]],Standings!$A$2:$A$33,0),2)=INDEX(Standings!$A$2:$C$33,MATCH(Table1[[#This Row],[HomeTeam]],Standings!$A$2:$A$33,0),2),1,0)</f>
        <v>1</v>
      </c>
      <c r="AK134" s="64">
        <f>IF(INDEX(Standings!$A$2:$C$33,MATCH(Table1[[#This Row],[AwayTeam]],Standings!$A$2:$A$33,0),3)=INDEX(Standings!$A$2:$C$33,MATCH(Table1[[#This Row],[HomeTeam]],Standings!$A$2:$A$33,0),3),1,0)</f>
        <v>0</v>
      </c>
      <c r="AL134" s="64">
        <f>IF(Table1[[#This Row],[InterConf]]=1,IF(Table1[[#This Row],[InterDiv]]=0, 1, 0), 0)</f>
        <v>1</v>
      </c>
      <c r="AM134" s="64">
        <f>IF(INDEX(Standings!$A$2:$C$33,MATCH(Table1[[#This Row],[AwayTeam]],Standings!$A$2:$A$33,0),2)&lt;&gt;INDEX(Standings!$A$2:$C$33,MATCH(Table1[[#This Row],[HomeTeam]],Standings!$A$2:$A$33,0),2),1,0)</f>
        <v>0</v>
      </c>
      <c r="AN134" s="64" t="str">
        <f>INDEX(Table2[AWAY_RECORD], MATCH(Table1[[#This Row],[AwayTeam]],Table2[Team], 0), 0)</f>
        <v>1-0-0</v>
      </c>
      <c r="AO134" s="64" t="str">
        <f>INDEX(Records!$B$2:$AG$33, MATCH(Table1[[#This Row],[AwayTeam]],Records!$A$2:$A$33, 0), MATCH(Table1[[#This Row],[HomeTeam]],Records!$A$2:$A$33, 0))</f>
        <v>0-0-0</v>
      </c>
      <c r="AP134" s="64" t="str">
        <f>INDEX(Table2[HOME_RECORD], MATCH(Table1[[#This Row],[HomeTeam]],Table2[Team], 0), 0)</f>
        <v>1-0-0</v>
      </c>
      <c r="AQ134" s="64" t="str">
        <f>INDEX(Records!$B$2:$AG$33, MATCH(Table1[[#This Row],[HomeTeam]],Records!$A$2:$A$33, 0), MATCH(Table1[[#This Row],[AwayTeam]],Records!$A$2:$A$33, 0))</f>
        <v>0-0-0</v>
      </c>
    </row>
    <row r="135" spans="1:43" x14ac:dyDescent="0.25">
      <c r="A135" s="1"/>
      <c r="D135" t="s">
        <v>318</v>
      </c>
      <c r="E135" t="s">
        <v>164</v>
      </c>
      <c r="F135" t="s">
        <v>332</v>
      </c>
      <c r="G135" t="s">
        <v>54</v>
      </c>
      <c r="H135" t="s">
        <v>25</v>
      </c>
      <c r="L13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5" s="1"/>
      <c r="T135" s="64" t="str">
        <f>IF(Table1[[#This Row],[ActualWinner]]="", "", IF(Table1[[#This Row],[AwayTeam]]=Table1[[#This Row],[ActualWinner]],Table1[[#This Row],[HomeTeam]],Table1[[#This Row],[AwayTeam]]))</f>
        <v/>
      </c>
      <c r="U135" s="64">
        <f>Table1[[#This Row],[ActualAwayScore]]-Table1[[#This Row],[PredictedAwayScore]]</f>
        <v>0</v>
      </c>
      <c r="V135" s="64">
        <f>Table1[[#This Row],[ActualHomeScore]]-Table1[[#This Row],[PredictedHomeScore]]</f>
        <v>0</v>
      </c>
      <c r="W135" s="64">
        <f>(0.8*IF(Table1[[#This Row],[CorrectWinnerPrediction]]=1, 1, 0))+(0.1*IF(Table1[[#This Row],[CorrectAwayScorePrediction]]=1, 1, 0))+(0.1*IF(Table1[[#This Row],[CorrectHomeScorePrediction]]=1, 1, 0))</f>
        <v>0</v>
      </c>
      <c r="X13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5" s="64">
        <f>SUMIF(Table1[GameDate], Table1[[#This Row],[GameDate]], Table1[AwayGameGoalDiff])</f>
        <v>0</v>
      </c>
      <c r="AA135" s="64">
        <f>SUMIF(Table1[GameDate], Table1[[#This Row],[GameDate]], Table1[HomeGameGoalDiff])</f>
        <v>0</v>
      </c>
      <c r="AB135" s="64">
        <f>IF(ISBLANK(Table1[[#This Row],[ActualResult]]), 0, 1)</f>
        <v>0</v>
      </c>
      <c r="AC135" s="64">
        <f>IF(ISBLANK(Table1[[#This Row],[ActualResult]]), 0, IF(Table1[[#This Row],[ActualWinner]]=Table1[[#This Row],[PredictedWinner]], 1, 0))</f>
        <v>0</v>
      </c>
      <c r="AD13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5" s="64">
        <f>IF(AND(Table1[[#This Row],[GameIsOver]]=1,Table1[[#This Row],[ActualAwayScore]]=0), 1,0)</f>
        <v>0</v>
      </c>
      <c r="AG135" s="64">
        <f>IF(AND(Table1[[#This Row],[GameIsOver]]=1,Table1[[#This Row],[ActualHomeScore]]=0), 1,0)</f>
        <v>0</v>
      </c>
      <c r="AH135" s="64">
        <f>IF(Table1[[#This Row],[GameIsOver]]=0,0,IF(Table1[[#This Row],[ActualWinner]]=Table1[[#This Row],[AwayTeam]], 1, 0))</f>
        <v>0</v>
      </c>
      <c r="AI135" s="64">
        <f>IF(Table1[[#This Row],[GameIsOver]]=0,0,IF(Table1[[#This Row],[ActualWinner]]=Table1[[#This Row],[HomeTeam]], 1, 0))</f>
        <v>0</v>
      </c>
      <c r="AJ135" s="64">
        <f>IF(INDEX(Standings!$A$2:$C$33,MATCH(Table1[[#This Row],[AwayTeam]],Standings!$A$2:$A$33,0),2)=INDEX(Standings!$A$2:$C$33,MATCH(Table1[[#This Row],[HomeTeam]],Standings!$A$2:$A$33,0),2),1,0)</f>
        <v>0</v>
      </c>
      <c r="AK135" s="64">
        <f>IF(INDEX(Standings!$A$2:$C$33,MATCH(Table1[[#This Row],[AwayTeam]],Standings!$A$2:$A$33,0),3)=INDEX(Standings!$A$2:$C$33,MATCH(Table1[[#This Row],[HomeTeam]],Standings!$A$2:$A$33,0),3),1,0)</f>
        <v>0</v>
      </c>
      <c r="AL135" s="64">
        <f>IF(Table1[[#This Row],[InterConf]]=1,IF(Table1[[#This Row],[InterDiv]]=0, 1, 0), 0)</f>
        <v>0</v>
      </c>
      <c r="AM135" s="64">
        <f>IF(INDEX(Standings!$A$2:$C$33,MATCH(Table1[[#This Row],[AwayTeam]],Standings!$A$2:$A$33,0),2)&lt;&gt;INDEX(Standings!$A$2:$C$33,MATCH(Table1[[#This Row],[HomeTeam]],Standings!$A$2:$A$33,0),2),1,0)</f>
        <v>1</v>
      </c>
      <c r="AN135" s="64" t="str">
        <f>INDEX(Table2[AWAY_RECORD], MATCH(Table1[[#This Row],[AwayTeam]],Table2[Team], 0), 0)</f>
        <v>0-0-1</v>
      </c>
      <c r="AO135" s="64" t="str">
        <f>INDEX(Records!$B$2:$AG$33, MATCH(Table1[[#This Row],[AwayTeam]],Records!$A$2:$A$33, 0), MATCH(Table1[[#This Row],[HomeTeam]],Records!$A$2:$A$33, 0))</f>
        <v>0-0-0</v>
      </c>
      <c r="AP135" s="64" t="str">
        <f>INDEX(Table2[HOME_RECORD], MATCH(Table1[[#This Row],[HomeTeam]],Table2[Team], 0), 0)</f>
        <v>0-0-1</v>
      </c>
      <c r="AQ135" s="64" t="str">
        <f>INDEX(Records!$B$2:$AG$33, MATCH(Table1[[#This Row],[HomeTeam]],Records!$A$2:$A$33, 0), MATCH(Table1[[#This Row],[AwayTeam]],Records!$A$2:$A$33, 0))</f>
        <v>0-0-0</v>
      </c>
    </row>
    <row r="136" spans="1:43" x14ac:dyDescent="0.25">
      <c r="A136" s="1"/>
      <c r="D136" t="s">
        <v>333</v>
      </c>
      <c r="E136" t="s">
        <v>207</v>
      </c>
      <c r="F136" t="s">
        <v>334</v>
      </c>
      <c r="G136" t="s">
        <v>42</v>
      </c>
      <c r="H136" t="s">
        <v>22</v>
      </c>
      <c r="L13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6" s="1"/>
      <c r="T136" s="64" t="str">
        <f>IF(Table1[[#This Row],[ActualWinner]]="", "", IF(Table1[[#This Row],[AwayTeam]]=Table1[[#This Row],[ActualWinner]],Table1[[#This Row],[HomeTeam]],Table1[[#This Row],[AwayTeam]]))</f>
        <v/>
      </c>
      <c r="U136" s="64">
        <f>Table1[[#This Row],[ActualAwayScore]]-Table1[[#This Row],[PredictedAwayScore]]</f>
        <v>0</v>
      </c>
      <c r="V136" s="64">
        <f>Table1[[#This Row],[ActualHomeScore]]-Table1[[#This Row],[PredictedHomeScore]]</f>
        <v>0</v>
      </c>
      <c r="W136" s="64">
        <f>(0.8*IF(Table1[[#This Row],[CorrectWinnerPrediction]]=1, 1, 0))+(0.1*IF(Table1[[#This Row],[CorrectAwayScorePrediction]]=1, 1, 0))+(0.1*IF(Table1[[#This Row],[CorrectHomeScorePrediction]]=1, 1, 0))</f>
        <v>0</v>
      </c>
      <c r="X13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6" s="64">
        <f>SUMIF(Table1[GameDate], Table1[[#This Row],[GameDate]], Table1[AwayGameGoalDiff])</f>
        <v>0</v>
      </c>
      <c r="AA136" s="64">
        <f>SUMIF(Table1[GameDate], Table1[[#This Row],[GameDate]], Table1[HomeGameGoalDiff])</f>
        <v>0</v>
      </c>
      <c r="AB136" s="64">
        <f>IF(ISBLANK(Table1[[#This Row],[ActualResult]]), 0, 1)</f>
        <v>0</v>
      </c>
      <c r="AC136" s="64">
        <f>IF(ISBLANK(Table1[[#This Row],[ActualResult]]), 0, IF(Table1[[#This Row],[ActualWinner]]=Table1[[#This Row],[PredictedWinner]], 1, 0))</f>
        <v>0</v>
      </c>
      <c r="AD13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6" s="64">
        <f>IF(AND(Table1[[#This Row],[GameIsOver]]=1,Table1[[#This Row],[ActualAwayScore]]=0), 1,0)</f>
        <v>0</v>
      </c>
      <c r="AG136" s="64">
        <f>IF(AND(Table1[[#This Row],[GameIsOver]]=1,Table1[[#This Row],[ActualHomeScore]]=0), 1,0)</f>
        <v>0</v>
      </c>
      <c r="AH136" s="64">
        <f>IF(Table1[[#This Row],[GameIsOver]]=0,0,IF(Table1[[#This Row],[ActualWinner]]=Table1[[#This Row],[AwayTeam]], 1, 0))</f>
        <v>0</v>
      </c>
      <c r="AI136" s="64">
        <f>IF(Table1[[#This Row],[GameIsOver]]=0,0,IF(Table1[[#This Row],[ActualWinner]]=Table1[[#This Row],[HomeTeam]], 1, 0))</f>
        <v>0</v>
      </c>
      <c r="AJ136" s="64">
        <f>IF(INDEX(Standings!$A$2:$C$33,MATCH(Table1[[#This Row],[AwayTeam]],Standings!$A$2:$A$33,0),2)=INDEX(Standings!$A$2:$C$33,MATCH(Table1[[#This Row],[HomeTeam]],Standings!$A$2:$A$33,0),2),1,0)</f>
        <v>0</v>
      </c>
      <c r="AK136" s="64">
        <f>IF(INDEX(Standings!$A$2:$C$33,MATCH(Table1[[#This Row],[AwayTeam]],Standings!$A$2:$A$33,0),3)=INDEX(Standings!$A$2:$C$33,MATCH(Table1[[#This Row],[HomeTeam]],Standings!$A$2:$A$33,0),3),1,0)</f>
        <v>0</v>
      </c>
      <c r="AL136" s="64">
        <f>IF(Table1[[#This Row],[InterConf]]=1,IF(Table1[[#This Row],[InterDiv]]=0, 1, 0), 0)</f>
        <v>0</v>
      </c>
      <c r="AM136" s="64">
        <f>IF(INDEX(Standings!$A$2:$C$33,MATCH(Table1[[#This Row],[AwayTeam]],Standings!$A$2:$A$33,0),2)&lt;&gt;INDEX(Standings!$A$2:$C$33,MATCH(Table1[[#This Row],[HomeTeam]],Standings!$A$2:$A$33,0),2),1,0)</f>
        <v>1</v>
      </c>
      <c r="AN136" s="64" t="str">
        <f>INDEX(Table2[AWAY_RECORD], MATCH(Table1[[#This Row],[AwayTeam]],Table2[Team], 0), 0)</f>
        <v>0-0-0</v>
      </c>
      <c r="AO136" s="64" t="str">
        <f>INDEX(Records!$B$2:$AG$33, MATCH(Table1[[#This Row],[AwayTeam]],Records!$A$2:$A$33, 0), MATCH(Table1[[#This Row],[HomeTeam]],Records!$A$2:$A$33, 0))</f>
        <v>0-0-0</v>
      </c>
      <c r="AP136" s="64" t="str">
        <f>INDEX(Table2[HOME_RECORD], MATCH(Table1[[#This Row],[HomeTeam]],Table2[Team], 0), 0)</f>
        <v>0-0-0</v>
      </c>
      <c r="AQ136" s="64" t="str">
        <f>INDEX(Records!$B$2:$AG$33, MATCH(Table1[[#This Row],[HomeTeam]],Records!$A$2:$A$33, 0), MATCH(Table1[[#This Row],[AwayTeam]],Records!$A$2:$A$33, 0))</f>
        <v>0-0-0</v>
      </c>
    </row>
    <row r="137" spans="1:43" x14ac:dyDescent="0.25">
      <c r="A137" s="1"/>
      <c r="D137" t="s">
        <v>333</v>
      </c>
      <c r="E137" t="s">
        <v>162</v>
      </c>
      <c r="F137" t="s">
        <v>335</v>
      </c>
      <c r="G137" t="s">
        <v>40</v>
      </c>
      <c r="H137" t="s">
        <v>39</v>
      </c>
      <c r="L13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7" s="1"/>
      <c r="T137" s="64" t="str">
        <f>IF(Table1[[#This Row],[ActualWinner]]="", "", IF(Table1[[#This Row],[AwayTeam]]=Table1[[#This Row],[ActualWinner]],Table1[[#This Row],[HomeTeam]],Table1[[#This Row],[AwayTeam]]))</f>
        <v/>
      </c>
      <c r="U137" s="64">
        <f>Table1[[#This Row],[ActualAwayScore]]-Table1[[#This Row],[PredictedAwayScore]]</f>
        <v>0</v>
      </c>
      <c r="V137" s="64">
        <f>Table1[[#This Row],[ActualHomeScore]]-Table1[[#This Row],[PredictedHomeScore]]</f>
        <v>0</v>
      </c>
      <c r="W137" s="64">
        <f>(0.8*IF(Table1[[#This Row],[CorrectWinnerPrediction]]=1, 1, 0))+(0.1*IF(Table1[[#This Row],[CorrectAwayScorePrediction]]=1, 1, 0))+(0.1*IF(Table1[[#This Row],[CorrectHomeScorePrediction]]=1, 1, 0))</f>
        <v>0</v>
      </c>
      <c r="X13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7" s="64">
        <f>SUMIF(Table1[GameDate], Table1[[#This Row],[GameDate]], Table1[AwayGameGoalDiff])</f>
        <v>0</v>
      </c>
      <c r="AA137" s="64">
        <f>SUMIF(Table1[GameDate], Table1[[#This Row],[GameDate]], Table1[HomeGameGoalDiff])</f>
        <v>0</v>
      </c>
      <c r="AB137" s="64">
        <f>IF(ISBLANK(Table1[[#This Row],[ActualResult]]), 0, 1)</f>
        <v>0</v>
      </c>
      <c r="AC137" s="64">
        <f>IF(ISBLANK(Table1[[#This Row],[ActualResult]]), 0, IF(Table1[[#This Row],[ActualWinner]]=Table1[[#This Row],[PredictedWinner]], 1, 0))</f>
        <v>0</v>
      </c>
      <c r="AD13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7" s="64">
        <f>IF(AND(Table1[[#This Row],[GameIsOver]]=1,Table1[[#This Row],[ActualAwayScore]]=0), 1,0)</f>
        <v>0</v>
      </c>
      <c r="AG137" s="64">
        <f>IF(AND(Table1[[#This Row],[GameIsOver]]=1,Table1[[#This Row],[ActualHomeScore]]=0), 1,0)</f>
        <v>0</v>
      </c>
      <c r="AH137" s="64">
        <f>IF(Table1[[#This Row],[GameIsOver]]=0,0,IF(Table1[[#This Row],[ActualWinner]]=Table1[[#This Row],[AwayTeam]], 1, 0))</f>
        <v>0</v>
      </c>
      <c r="AI137" s="64">
        <f>IF(Table1[[#This Row],[GameIsOver]]=0,0,IF(Table1[[#This Row],[ActualWinner]]=Table1[[#This Row],[HomeTeam]], 1, 0))</f>
        <v>0</v>
      </c>
      <c r="AJ137" s="64">
        <f>IF(INDEX(Standings!$A$2:$C$33,MATCH(Table1[[#This Row],[AwayTeam]],Standings!$A$2:$A$33,0),2)=INDEX(Standings!$A$2:$C$33,MATCH(Table1[[#This Row],[HomeTeam]],Standings!$A$2:$A$33,0),2),1,0)</f>
        <v>0</v>
      </c>
      <c r="AK137" s="64">
        <f>IF(INDEX(Standings!$A$2:$C$33,MATCH(Table1[[#This Row],[AwayTeam]],Standings!$A$2:$A$33,0),3)=INDEX(Standings!$A$2:$C$33,MATCH(Table1[[#This Row],[HomeTeam]],Standings!$A$2:$A$33,0),3),1,0)</f>
        <v>0</v>
      </c>
      <c r="AL137" s="64">
        <f>IF(Table1[[#This Row],[InterConf]]=1,IF(Table1[[#This Row],[InterDiv]]=0, 1, 0), 0)</f>
        <v>0</v>
      </c>
      <c r="AM137" s="64">
        <f>IF(INDEX(Standings!$A$2:$C$33,MATCH(Table1[[#This Row],[AwayTeam]],Standings!$A$2:$A$33,0),2)&lt;&gt;INDEX(Standings!$A$2:$C$33,MATCH(Table1[[#This Row],[HomeTeam]],Standings!$A$2:$A$33,0),2),1,0)</f>
        <v>1</v>
      </c>
      <c r="AN137" s="64" t="str">
        <f>INDEX(Table2[AWAY_RECORD], MATCH(Table1[[#This Row],[AwayTeam]],Table2[Team], 0), 0)</f>
        <v>0-0-0</v>
      </c>
      <c r="AO137" s="64" t="str">
        <f>INDEX(Records!$B$2:$AG$33, MATCH(Table1[[#This Row],[AwayTeam]],Records!$A$2:$A$33, 0), MATCH(Table1[[#This Row],[HomeTeam]],Records!$A$2:$A$33, 0))</f>
        <v>0-0-0</v>
      </c>
      <c r="AP137" s="64" t="str">
        <f>INDEX(Table2[HOME_RECORD], MATCH(Table1[[#This Row],[HomeTeam]],Table2[Team], 0), 0)</f>
        <v>0-1-0</v>
      </c>
      <c r="AQ137" s="64" t="str">
        <f>INDEX(Records!$B$2:$AG$33, MATCH(Table1[[#This Row],[HomeTeam]],Records!$A$2:$A$33, 0), MATCH(Table1[[#This Row],[AwayTeam]],Records!$A$2:$A$33, 0))</f>
        <v>0-0-0</v>
      </c>
    </row>
    <row r="138" spans="1:43" x14ac:dyDescent="0.25">
      <c r="A138" s="1"/>
      <c r="D138" t="s">
        <v>336</v>
      </c>
      <c r="E138" t="s">
        <v>160</v>
      </c>
      <c r="F138" t="s">
        <v>337</v>
      </c>
      <c r="G138" t="s">
        <v>36</v>
      </c>
      <c r="H138" t="s">
        <v>51</v>
      </c>
      <c r="L13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8" s="1"/>
      <c r="T138" s="64" t="str">
        <f>IF(Table1[[#This Row],[ActualWinner]]="", "", IF(Table1[[#This Row],[AwayTeam]]=Table1[[#This Row],[ActualWinner]],Table1[[#This Row],[HomeTeam]],Table1[[#This Row],[AwayTeam]]))</f>
        <v/>
      </c>
      <c r="U138" s="64">
        <f>Table1[[#This Row],[ActualAwayScore]]-Table1[[#This Row],[PredictedAwayScore]]</f>
        <v>0</v>
      </c>
      <c r="V138" s="64">
        <f>Table1[[#This Row],[ActualHomeScore]]-Table1[[#This Row],[PredictedHomeScore]]</f>
        <v>0</v>
      </c>
      <c r="W138" s="64">
        <f>(0.8*IF(Table1[[#This Row],[CorrectWinnerPrediction]]=1, 1, 0))+(0.1*IF(Table1[[#This Row],[CorrectAwayScorePrediction]]=1, 1, 0))+(0.1*IF(Table1[[#This Row],[CorrectHomeScorePrediction]]=1, 1, 0))</f>
        <v>0</v>
      </c>
      <c r="X13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8" s="64">
        <f>SUMIF(Table1[GameDate], Table1[[#This Row],[GameDate]], Table1[AwayGameGoalDiff])</f>
        <v>0</v>
      </c>
      <c r="AA138" s="64">
        <f>SUMIF(Table1[GameDate], Table1[[#This Row],[GameDate]], Table1[HomeGameGoalDiff])</f>
        <v>0</v>
      </c>
      <c r="AB138" s="64">
        <f>IF(ISBLANK(Table1[[#This Row],[ActualResult]]), 0, 1)</f>
        <v>0</v>
      </c>
      <c r="AC138" s="64">
        <f>IF(ISBLANK(Table1[[#This Row],[ActualResult]]), 0, IF(Table1[[#This Row],[ActualWinner]]=Table1[[#This Row],[PredictedWinner]], 1, 0))</f>
        <v>0</v>
      </c>
      <c r="AD13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8" s="64">
        <f>IF(AND(Table1[[#This Row],[GameIsOver]]=1,Table1[[#This Row],[ActualAwayScore]]=0), 1,0)</f>
        <v>0</v>
      </c>
      <c r="AG138" s="64">
        <f>IF(AND(Table1[[#This Row],[GameIsOver]]=1,Table1[[#This Row],[ActualHomeScore]]=0), 1,0)</f>
        <v>0</v>
      </c>
      <c r="AH138" s="64">
        <f>IF(Table1[[#This Row],[GameIsOver]]=0,0,IF(Table1[[#This Row],[ActualWinner]]=Table1[[#This Row],[AwayTeam]], 1, 0))</f>
        <v>0</v>
      </c>
      <c r="AI138" s="64">
        <f>IF(Table1[[#This Row],[GameIsOver]]=0,0,IF(Table1[[#This Row],[ActualWinner]]=Table1[[#This Row],[HomeTeam]], 1, 0))</f>
        <v>0</v>
      </c>
      <c r="AJ138" s="64">
        <f>IF(INDEX(Standings!$A$2:$C$33,MATCH(Table1[[#This Row],[AwayTeam]],Standings!$A$2:$A$33,0),2)=INDEX(Standings!$A$2:$C$33,MATCH(Table1[[#This Row],[HomeTeam]],Standings!$A$2:$A$33,0),2),1,0)</f>
        <v>0</v>
      </c>
      <c r="AK138" s="64">
        <f>IF(INDEX(Standings!$A$2:$C$33,MATCH(Table1[[#This Row],[AwayTeam]],Standings!$A$2:$A$33,0),3)=INDEX(Standings!$A$2:$C$33,MATCH(Table1[[#This Row],[HomeTeam]],Standings!$A$2:$A$33,0),3),1,0)</f>
        <v>0</v>
      </c>
      <c r="AL138" s="64">
        <f>IF(Table1[[#This Row],[InterConf]]=1,IF(Table1[[#This Row],[InterDiv]]=0, 1, 0), 0)</f>
        <v>0</v>
      </c>
      <c r="AM138" s="64">
        <f>IF(INDEX(Standings!$A$2:$C$33,MATCH(Table1[[#This Row],[AwayTeam]],Standings!$A$2:$A$33,0),2)&lt;&gt;INDEX(Standings!$A$2:$C$33,MATCH(Table1[[#This Row],[HomeTeam]],Standings!$A$2:$A$33,0),2),1,0)</f>
        <v>1</v>
      </c>
      <c r="AN138" s="64" t="str">
        <f>INDEX(Table2[AWAY_RECORD], MATCH(Table1[[#This Row],[AwayTeam]],Table2[Team], 0), 0)</f>
        <v>0-0-0</v>
      </c>
      <c r="AO138" s="64" t="str">
        <f>INDEX(Records!$B$2:$AG$33, MATCH(Table1[[#This Row],[AwayTeam]],Records!$A$2:$A$33, 0), MATCH(Table1[[#This Row],[HomeTeam]],Records!$A$2:$A$33, 0))</f>
        <v>0-0-0</v>
      </c>
      <c r="AP138" s="64" t="str">
        <f>INDEX(Table2[HOME_RECORD], MATCH(Table1[[#This Row],[HomeTeam]],Table2[Team], 0), 0)</f>
        <v>1-0-0</v>
      </c>
      <c r="AQ138" s="64" t="str">
        <f>INDEX(Records!$B$2:$AG$33, MATCH(Table1[[#This Row],[HomeTeam]],Records!$A$2:$A$33, 0), MATCH(Table1[[#This Row],[AwayTeam]],Records!$A$2:$A$33, 0))</f>
        <v>0-0-0</v>
      </c>
    </row>
    <row r="139" spans="1:43" x14ac:dyDescent="0.25">
      <c r="A139" s="1"/>
      <c r="D139" t="s">
        <v>336</v>
      </c>
      <c r="E139" t="s">
        <v>160</v>
      </c>
      <c r="F139" t="s">
        <v>338</v>
      </c>
      <c r="G139" t="s">
        <v>41</v>
      </c>
      <c r="H139" t="s">
        <v>53</v>
      </c>
      <c r="L13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9" s="1"/>
      <c r="T139" s="64" t="str">
        <f>IF(Table1[[#This Row],[ActualWinner]]="", "", IF(Table1[[#This Row],[AwayTeam]]=Table1[[#This Row],[ActualWinner]],Table1[[#This Row],[HomeTeam]],Table1[[#This Row],[AwayTeam]]))</f>
        <v/>
      </c>
      <c r="U139" s="64">
        <f>Table1[[#This Row],[ActualAwayScore]]-Table1[[#This Row],[PredictedAwayScore]]</f>
        <v>0</v>
      </c>
      <c r="V139" s="64">
        <f>Table1[[#This Row],[ActualHomeScore]]-Table1[[#This Row],[PredictedHomeScore]]</f>
        <v>0</v>
      </c>
      <c r="W139" s="64">
        <f>(0.8*IF(Table1[[#This Row],[CorrectWinnerPrediction]]=1, 1, 0))+(0.1*IF(Table1[[#This Row],[CorrectAwayScorePrediction]]=1, 1, 0))+(0.1*IF(Table1[[#This Row],[CorrectHomeScorePrediction]]=1, 1, 0))</f>
        <v>0</v>
      </c>
      <c r="X13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9" s="64">
        <f>SUMIF(Table1[GameDate], Table1[[#This Row],[GameDate]], Table1[AwayGameGoalDiff])</f>
        <v>0</v>
      </c>
      <c r="AA139" s="64">
        <f>SUMIF(Table1[GameDate], Table1[[#This Row],[GameDate]], Table1[HomeGameGoalDiff])</f>
        <v>0</v>
      </c>
      <c r="AB139" s="64">
        <f>IF(ISBLANK(Table1[[#This Row],[ActualResult]]), 0, 1)</f>
        <v>0</v>
      </c>
      <c r="AC139" s="64">
        <f>IF(ISBLANK(Table1[[#This Row],[ActualResult]]), 0, IF(Table1[[#This Row],[ActualWinner]]=Table1[[#This Row],[PredictedWinner]], 1, 0))</f>
        <v>0</v>
      </c>
      <c r="AD13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9" s="64">
        <f>IF(AND(Table1[[#This Row],[GameIsOver]]=1,Table1[[#This Row],[ActualAwayScore]]=0), 1,0)</f>
        <v>0</v>
      </c>
      <c r="AG139" s="64">
        <f>IF(AND(Table1[[#This Row],[GameIsOver]]=1,Table1[[#This Row],[ActualHomeScore]]=0), 1,0)</f>
        <v>0</v>
      </c>
      <c r="AH139" s="64">
        <f>IF(Table1[[#This Row],[GameIsOver]]=0,0,IF(Table1[[#This Row],[ActualWinner]]=Table1[[#This Row],[AwayTeam]], 1, 0))</f>
        <v>0</v>
      </c>
      <c r="AI139" s="64">
        <f>IF(Table1[[#This Row],[GameIsOver]]=0,0,IF(Table1[[#This Row],[ActualWinner]]=Table1[[#This Row],[HomeTeam]], 1, 0))</f>
        <v>0</v>
      </c>
      <c r="AJ139" s="64">
        <f>IF(INDEX(Standings!$A$2:$C$33,MATCH(Table1[[#This Row],[AwayTeam]],Standings!$A$2:$A$33,0),2)=INDEX(Standings!$A$2:$C$33,MATCH(Table1[[#This Row],[HomeTeam]],Standings!$A$2:$A$33,0),2),1,0)</f>
        <v>0</v>
      </c>
      <c r="AK139" s="64">
        <f>IF(INDEX(Standings!$A$2:$C$33,MATCH(Table1[[#This Row],[AwayTeam]],Standings!$A$2:$A$33,0),3)=INDEX(Standings!$A$2:$C$33,MATCH(Table1[[#This Row],[HomeTeam]],Standings!$A$2:$A$33,0),3),1,0)</f>
        <v>0</v>
      </c>
      <c r="AL139" s="64">
        <f>IF(Table1[[#This Row],[InterConf]]=1,IF(Table1[[#This Row],[InterDiv]]=0, 1, 0), 0)</f>
        <v>0</v>
      </c>
      <c r="AM139" s="64">
        <f>IF(INDEX(Standings!$A$2:$C$33,MATCH(Table1[[#This Row],[AwayTeam]],Standings!$A$2:$A$33,0),2)&lt;&gt;INDEX(Standings!$A$2:$C$33,MATCH(Table1[[#This Row],[HomeTeam]],Standings!$A$2:$A$33,0),2),1,0)</f>
        <v>1</v>
      </c>
      <c r="AN139" s="64" t="str">
        <f>INDEX(Table2[AWAY_RECORD], MATCH(Table1[[#This Row],[AwayTeam]],Table2[Team], 0), 0)</f>
        <v>0-0-0</v>
      </c>
      <c r="AO139" s="64" t="str">
        <f>INDEX(Records!$B$2:$AG$33, MATCH(Table1[[#This Row],[AwayTeam]],Records!$A$2:$A$33, 0), MATCH(Table1[[#This Row],[HomeTeam]],Records!$A$2:$A$33, 0))</f>
        <v>0-0-0</v>
      </c>
      <c r="AP139" s="64" t="str">
        <f>INDEX(Table2[HOME_RECORD], MATCH(Table1[[#This Row],[HomeTeam]],Table2[Team], 0), 0)</f>
        <v>1-0-0</v>
      </c>
      <c r="AQ139" s="64" t="str">
        <f>INDEX(Records!$B$2:$AG$33, MATCH(Table1[[#This Row],[HomeTeam]],Records!$A$2:$A$33, 0), MATCH(Table1[[#This Row],[AwayTeam]],Records!$A$2:$A$33, 0))</f>
        <v>0-0-0</v>
      </c>
    </row>
    <row r="140" spans="1:43" x14ac:dyDescent="0.25">
      <c r="A140" s="1"/>
      <c r="D140" t="s">
        <v>336</v>
      </c>
      <c r="E140" t="s">
        <v>169</v>
      </c>
      <c r="F140" t="s">
        <v>339</v>
      </c>
      <c r="G140" t="s">
        <v>55</v>
      </c>
      <c r="H140" t="s">
        <v>24</v>
      </c>
      <c r="L14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4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40" s="1"/>
      <c r="T140" s="64" t="str">
        <f>IF(Table1[[#This Row],[ActualWinner]]="", "", IF(Table1[[#This Row],[AwayTeam]]=Table1[[#This Row],[ActualWinner]],Table1[[#This Row],[HomeTeam]],Table1[[#This Row],[AwayTeam]]))</f>
        <v/>
      </c>
      <c r="U140" s="64">
        <f>Table1[[#This Row],[ActualAwayScore]]-Table1[[#This Row],[PredictedAwayScore]]</f>
        <v>0</v>
      </c>
      <c r="V140" s="64">
        <f>Table1[[#This Row],[ActualHomeScore]]-Table1[[#This Row],[PredictedHomeScore]]</f>
        <v>0</v>
      </c>
      <c r="W140" s="64">
        <f>(0.8*IF(Table1[[#This Row],[CorrectWinnerPrediction]]=1, 1, 0))+(0.1*IF(Table1[[#This Row],[CorrectAwayScorePrediction]]=1, 1, 0))+(0.1*IF(Table1[[#This Row],[CorrectHomeScorePrediction]]=1, 1, 0))</f>
        <v>0</v>
      </c>
      <c r="X14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40" s="64">
        <f>SUMIF(Table1[GameDate], Table1[[#This Row],[GameDate]], Table1[AwayGameGoalDiff])</f>
        <v>0</v>
      </c>
      <c r="AA140" s="64">
        <f>SUMIF(Table1[GameDate], Table1[[#This Row],[GameDate]], Table1[HomeGameGoalDiff])</f>
        <v>0</v>
      </c>
      <c r="AB140" s="64">
        <f>IF(ISBLANK(Table1[[#This Row],[ActualResult]]), 0, 1)</f>
        <v>0</v>
      </c>
      <c r="AC140" s="64">
        <f>IF(ISBLANK(Table1[[#This Row],[ActualResult]]), 0, IF(Table1[[#This Row],[ActualWinner]]=Table1[[#This Row],[PredictedWinner]], 1, 0))</f>
        <v>0</v>
      </c>
      <c r="AD14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4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40" s="64">
        <f>IF(AND(Table1[[#This Row],[GameIsOver]]=1,Table1[[#This Row],[ActualAwayScore]]=0), 1,0)</f>
        <v>0</v>
      </c>
      <c r="AG140" s="64">
        <f>IF(AND(Table1[[#This Row],[GameIsOver]]=1,Table1[[#This Row],[ActualHomeScore]]=0), 1,0)</f>
        <v>0</v>
      </c>
      <c r="AH140" s="64">
        <f>IF(Table1[[#This Row],[GameIsOver]]=0,0,IF(Table1[[#This Row],[ActualWinner]]=Table1[[#This Row],[AwayTeam]], 1, 0))</f>
        <v>0</v>
      </c>
      <c r="AI140" s="64">
        <f>IF(Table1[[#This Row],[GameIsOver]]=0,0,IF(Table1[[#This Row],[ActualWinner]]=Table1[[#This Row],[HomeTeam]], 1, 0))</f>
        <v>0</v>
      </c>
      <c r="AJ140" s="64">
        <f>IF(INDEX(Standings!$A$2:$C$33,MATCH(Table1[[#This Row],[AwayTeam]],Standings!$A$2:$A$33,0),2)=INDEX(Standings!$A$2:$C$33,MATCH(Table1[[#This Row],[HomeTeam]],Standings!$A$2:$A$33,0),2),1,0)</f>
        <v>0</v>
      </c>
      <c r="AK140" s="64">
        <f>IF(INDEX(Standings!$A$2:$C$33,MATCH(Table1[[#This Row],[AwayTeam]],Standings!$A$2:$A$33,0),3)=INDEX(Standings!$A$2:$C$33,MATCH(Table1[[#This Row],[HomeTeam]],Standings!$A$2:$A$33,0),3),1,0)</f>
        <v>0</v>
      </c>
      <c r="AL140" s="64">
        <f>IF(Table1[[#This Row],[InterConf]]=1,IF(Table1[[#This Row],[InterDiv]]=0, 1, 0), 0)</f>
        <v>0</v>
      </c>
      <c r="AM140" s="64">
        <f>IF(INDEX(Standings!$A$2:$C$33,MATCH(Table1[[#This Row],[AwayTeam]],Standings!$A$2:$A$33,0),2)&lt;&gt;INDEX(Standings!$A$2:$C$33,MATCH(Table1[[#This Row],[HomeTeam]],Standings!$A$2:$A$33,0),2),1,0)</f>
        <v>1</v>
      </c>
      <c r="AN140" s="64" t="str">
        <f>INDEX(Table2[AWAY_RECORD], MATCH(Table1[[#This Row],[AwayTeam]],Table2[Team], 0), 0)</f>
        <v>0-0-0</v>
      </c>
      <c r="AO140" s="64" t="str">
        <f>INDEX(Records!$B$2:$AG$33, MATCH(Table1[[#This Row],[AwayTeam]],Records!$A$2:$A$33, 0), MATCH(Table1[[#This Row],[HomeTeam]],Records!$A$2:$A$33, 0))</f>
        <v>0-0-0</v>
      </c>
      <c r="AP140" s="64" t="str">
        <f>INDEX(Table2[HOME_RECORD], MATCH(Table1[[#This Row],[HomeTeam]],Table2[Team], 0), 0)</f>
        <v>0-2-0</v>
      </c>
      <c r="AQ140" s="64" t="str">
        <f>INDEX(Records!$B$2:$AG$33, MATCH(Table1[[#This Row],[HomeTeam]],Records!$A$2:$A$33, 0), MATCH(Table1[[#This Row],[AwayTeam]],Records!$A$2:$A$33, 0))</f>
        <v>0-0-0</v>
      </c>
    </row>
    <row r="141" spans="1:43" x14ac:dyDescent="0.25">
      <c r="A141" s="1"/>
      <c r="D141" t="s">
        <v>336</v>
      </c>
      <c r="E141" t="s">
        <v>178</v>
      </c>
      <c r="F141" t="s">
        <v>340</v>
      </c>
      <c r="G141" t="s">
        <v>54</v>
      </c>
      <c r="H141" t="s">
        <v>58</v>
      </c>
      <c r="L14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4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41" s="1"/>
      <c r="T141" s="64" t="str">
        <f>IF(Table1[[#This Row],[ActualWinner]]="", "", IF(Table1[[#This Row],[AwayTeam]]=Table1[[#This Row],[ActualWinner]],Table1[[#This Row],[HomeTeam]],Table1[[#This Row],[AwayTeam]]))</f>
        <v/>
      </c>
      <c r="U141" s="64">
        <f>Table1[[#This Row],[ActualAwayScore]]-Table1[[#This Row],[PredictedAwayScore]]</f>
        <v>0</v>
      </c>
      <c r="V141" s="64">
        <f>Table1[[#This Row],[ActualHomeScore]]-Table1[[#This Row],[PredictedHomeScore]]</f>
        <v>0</v>
      </c>
      <c r="W141" s="64">
        <f>(0.8*IF(Table1[[#This Row],[CorrectWinnerPrediction]]=1, 1, 0))+(0.1*IF(Table1[[#This Row],[CorrectAwayScorePrediction]]=1, 1, 0))+(0.1*IF(Table1[[#This Row],[CorrectHomeScorePrediction]]=1, 1, 0))</f>
        <v>0</v>
      </c>
      <c r="X14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41" s="64">
        <f>SUMIF(Table1[GameDate], Table1[[#This Row],[GameDate]], Table1[AwayGameGoalDiff])</f>
        <v>0</v>
      </c>
      <c r="AA141" s="64">
        <f>SUMIF(Table1[GameDate], Table1[[#This Row],[GameDate]], Table1[HomeGameGoalDiff])</f>
        <v>0</v>
      </c>
      <c r="AB141" s="64">
        <f>IF(ISBLANK(Table1[[#This Row],[ActualResult]]), 0, 1)</f>
        <v>0</v>
      </c>
      <c r="AC141" s="64">
        <f>IF(ISBLANK(Table1[[#This Row],[ActualResult]]), 0, IF(Table1[[#This Row],[ActualWinner]]=Table1[[#This Row],[PredictedWinner]], 1, 0))</f>
        <v>0</v>
      </c>
      <c r="AD14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4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41" s="64">
        <f>IF(AND(Table1[[#This Row],[GameIsOver]]=1,Table1[[#This Row],[ActualAwayScore]]=0), 1,0)</f>
        <v>0</v>
      </c>
      <c r="AG141" s="64">
        <f>IF(AND(Table1[[#This Row],[GameIsOver]]=1,Table1[[#This Row],[ActualHomeScore]]=0), 1,0)</f>
        <v>0</v>
      </c>
      <c r="AH141" s="64">
        <f>IF(Table1[[#This Row],[GameIsOver]]=0,0,IF(Table1[[#This Row],[ActualWinner]]=Table1[[#This Row],[AwayTeam]], 1, 0))</f>
        <v>0</v>
      </c>
      <c r="AI141" s="64">
        <f>IF(Table1[[#This Row],[GameIsOver]]=0,0,IF(Table1[[#This Row],[ActualWinner]]=Table1[[#This Row],[HomeTeam]], 1, 0))</f>
        <v>0</v>
      </c>
      <c r="AJ141" s="64">
        <f>IF(INDEX(Standings!$A$2:$C$33,MATCH(Table1[[#This Row],[AwayTeam]],Standings!$A$2:$A$33,0),2)=INDEX(Standings!$A$2:$C$33,MATCH(Table1[[#This Row],[HomeTeam]],Standings!$A$2:$A$33,0),2),1,0)</f>
        <v>0</v>
      </c>
      <c r="AK141" s="64">
        <f>IF(INDEX(Standings!$A$2:$C$33,MATCH(Table1[[#This Row],[AwayTeam]],Standings!$A$2:$A$33,0),3)=INDEX(Standings!$A$2:$C$33,MATCH(Table1[[#This Row],[HomeTeam]],Standings!$A$2:$A$33,0),3),1,0)</f>
        <v>0</v>
      </c>
      <c r="AL141" s="64">
        <f>IF(Table1[[#This Row],[InterConf]]=1,IF(Table1[[#This Row],[InterDiv]]=0, 1, 0), 0)</f>
        <v>0</v>
      </c>
      <c r="AM141" s="64">
        <f>IF(INDEX(Standings!$A$2:$C$33,MATCH(Table1[[#This Row],[AwayTeam]],Standings!$A$2:$A$33,0),2)&lt;&gt;INDEX(Standings!$A$2:$C$33,MATCH(Table1[[#This Row],[HomeTeam]],Standings!$A$2:$A$33,0),2),1,0)</f>
        <v>1</v>
      </c>
      <c r="AN141" s="64" t="str">
        <f>INDEX(Table2[AWAY_RECORD], MATCH(Table1[[#This Row],[AwayTeam]],Table2[Team], 0), 0)</f>
        <v>0-0-1</v>
      </c>
      <c r="AO141" s="64" t="str">
        <f>INDEX(Records!$B$2:$AG$33, MATCH(Table1[[#This Row],[AwayTeam]],Records!$A$2:$A$33, 0), MATCH(Table1[[#This Row],[HomeTeam]],Records!$A$2:$A$33, 0))</f>
        <v>0-0-0</v>
      </c>
      <c r="AP141" s="64" t="str">
        <f>INDEX(Table2[HOME_RECORD], MATCH(Table1[[#This Row],[HomeTeam]],Table2[Team], 0), 0)</f>
        <v>1-0-0</v>
      </c>
      <c r="AQ141" s="64" t="str">
        <f>INDEX(Records!$B$2:$AG$33, MATCH(Table1[[#This Row],[HomeTeam]],Records!$A$2:$A$33, 0), MATCH(Table1[[#This Row],[AwayTeam]],Records!$A$2:$A$33, 0))</f>
        <v>0-0-0</v>
      </c>
    </row>
    <row r="142" spans="1:43" x14ac:dyDescent="0.25">
      <c r="A142" s="1"/>
      <c r="D142" t="s">
        <v>341</v>
      </c>
      <c r="E142" t="s">
        <v>160</v>
      </c>
      <c r="F142" t="s">
        <v>342</v>
      </c>
      <c r="G142" t="s">
        <v>55</v>
      </c>
      <c r="H142" t="s">
        <v>47</v>
      </c>
      <c r="L14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4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42" s="1"/>
      <c r="T142" s="64" t="str">
        <f>IF(Table1[[#This Row],[ActualWinner]]="", "", IF(Table1[[#This Row],[AwayTeam]]=Table1[[#This Row],[ActualWinner]],Table1[[#This Row],[HomeTeam]],Table1[[#This Row],[AwayTeam]]))</f>
        <v/>
      </c>
      <c r="U142" s="64">
        <f>Table1[[#This Row],[ActualAwayScore]]-Table1[[#This Row],[PredictedAwayScore]]</f>
        <v>0</v>
      </c>
      <c r="V142" s="64">
        <f>Table1[[#This Row],[ActualHomeScore]]-Table1[[#This Row],[PredictedHomeScore]]</f>
        <v>0</v>
      </c>
      <c r="W142" s="64">
        <f>(0.8*IF(Table1[[#This Row],[CorrectWinnerPrediction]]=1, 1, 0))+(0.1*IF(Table1[[#This Row],[CorrectAwayScorePrediction]]=1, 1, 0))+(0.1*IF(Table1[[#This Row],[CorrectHomeScorePrediction]]=1, 1, 0))</f>
        <v>0</v>
      </c>
      <c r="X14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42" s="64">
        <f>SUMIF(Table1[GameDate], Table1[[#This Row],[GameDate]], Table1[AwayGameGoalDiff])</f>
        <v>0</v>
      </c>
      <c r="AA142" s="64">
        <f>SUMIF(Table1[GameDate], Table1[[#This Row],[GameDate]], Table1[HomeGameGoalDiff])</f>
        <v>0</v>
      </c>
      <c r="AB142" s="64">
        <f>IF(ISBLANK(Table1[[#This Row],[ActualResult]]), 0, 1)</f>
        <v>0</v>
      </c>
      <c r="AC142" s="64">
        <f>IF(ISBLANK(Table1[[#This Row],[ActualResult]]), 0, IF(Table1[[#This Row],[ActualWinner]]=Table1[[#This Row],[PredictedWinner]], 1, 0))</f>
        <v>0</v>
      </c>
      <c r="AD14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4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42" s="64">
        <f>IF(AND(Table1[[#This Row],[GameIsOver]]=1,Table1[[#This Row],[ActualAwayScore]]=0), 1,0)</f>
        <v>0</v>
      </c>
      <c r="AG142" s="64">
        <f>IF(AND(Table1[[#This Row],[GameIsOver]]=1,Table1[[#This Row],[ActualHomeScore]]=0), 1,0)</f>
        <v>0</v>
      </c>
      <c r="AH142" s="64">
        <f>IF(Table1[[#This Row],[GameIsOver]]=0,0,IF(Table1[[#This Row],[ActualWinner]]=Table1[[#This Row],[AwayTeam]], 1, 0))</f>
        <v>0</v>
      </c>
      <c r="AI142" s="64">
        <f>IF(Table1[[#This Row],[GameIsOver]]=0,0,IF(Table1[[#This Row],[ActualWinner]]=Table1[[#This Row],[HomeTeam]], 1, 0))</f>
        <v>0</v>
      </c>
      <c r="AJ142" s="64">
        <f>IF(INDEX(Standings!$A$2:$C$33,MATCH(Table1[[#This Row],[AwayTeam]],Standings!$A$2:$A$33,0),2)=INDEX(Standings!$A$2:$C$33,MATCH(Table1[[#This Row],[HomeTeam]],Standings!$A$2:$A$33,0),2),1,0)</f>
        <v>0</v>
      </c>
      <c r="AK142" s="64">
        <f>IF(INDEX(Standings!$A$2:$C$33,MATCH(Table1[[#This Row],[AwayTeam]],Standings!$A$2:$A$33,0),3)=INDEX(Standings!$A$2:$C$33,MATCH(Table1[[#This Row],[HomeTeam]],Standings!$A$2:$A$33,0),3),1,0)</f>
        <v>0</v>
      </c>
      <c r="AL142" s="64">
        <f>IF(Table1[[#This Row],[InterConf]]=1,IF(Table1[[#This Row],[InterDiv]]=0, 1, 0), 0)</f>
        <v>0</v>
      </c>
      <c r="AM142" s="64">
        <f>IF(INDEX(Standings!$A$2:$C$33,MATCH(Table1[[#This Row],[AwayTeam]],Standings!$A$2:$A$33,0),2)&lt;&gt;INDEX(Standings!$A$2:$C$33,MATCH(Table1[[#This Row],[HomeTeam]],Standings!$A$2:$A$33,0),2),1,0)</f>
        <v>1</v>
      </c>
      <c r="AN142" s="64" t="str">
        <f>INDEX(Table2[AWAY_RECORD], MATCH(Table1[[#This Row],[AwayTeam]],Table2[Team], 0), 0)</f>
        <v>0-0-0</v>
      </c>
      <c r="AO142" s="64" t="str">
        <f>INDEX(Records!$B$2:$AG$33, MATCH(Table1[[#This Row],[AwayTeam]],Records!$A$2:$A$33, 0), MATCH(Table1[[#This Row],[HomeTeam]],Records!$A$2:$A$33, 0))</f>
        <v>0-0-0</v>
      </c>
      <c r="AP142" s="64" t="str">
        <f>INDEX(Table2[HOME_RECORD], MATCH(Table1[[#This Row],[HomeTeam]],Table2[Team], 0), 0)</f>
        <v>0-0-0</v>
      </c>
      <c r="AQ142" s="64" t="str">
        <f>INDEX(Records!$B$2:$AG$33, MATCH(Table1[[#This Row],[HomeTeam]],Records!$A$2:$A$33, 0), MATCH(Table1[[#This Row],[AwayTeam]],Records!$A$2:$A$33, 0))</f>
        <v>0-0-0</v>
      </c>
    </row>
    <row r="143" spans="1:43" x14ac:dyDescent="0.25">
      <c r="A143" s="1"/>
      <c r="D143" t="s">
        <v>341</v>
      </c>
      <c r="E143" t="s">
        <v>160</v>
      </c>
      <c r="F143" t="s">
        <v>343</v>
      </c>
      <c r="G143" t="s">
        <v>41</v>
      </c>
      <c r="H143" t="s">
        <v>49</v>
      </c>
      <c r="L14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4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43" s="1"/>
      <c r="T143" s="64" t="str">
        <f>IF(Table1[[#This Row],[ActualWinner]]="", "", IF(Table1[[#This Row],[AwayTeam]]=Table1[[#This Row],[ActualWinner]],Table1[[#This Row],[HomeTeam]],Table1[[#This Row],[AwayTeam]]))</f>
        <v/>
      </c>
      <c r="U143" s="64">
        <f>Table1[[#This Row],[ActualAwayScore]]-Table1[[#This Row],[PredictedAwayScore]]</f>
        <v>0</v>
      </c>
      <c r="V143" s="64">
        <f>Table1[[#This Row],[ActualHomeScore]]-Table1[[#This Row],[PredictedHomeScore]]</f>
        <v>0</v>
      </c>
      <c r="W143" s="64">
        <f>(0.8*IF(Table1[[#This Row],[CorrectWinnerPrediction]]=1, 1, 0))+(0.1*IF(Table1[[#This Row],[CorrectAwayScorePrediction]]=1, 1, 0))+(0.1*IF(Table1[[#This Row],[CorrectHomeScorePrediction]]=1, 1, 0))</f>
        <v>0</v>
      </c>
      <c r="X14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43" s="64">
        <f>SUMIF(Table1[GameDate], Table1[[#This Row],[GameDate]], Table1[AwayGameGoalDiff])</f>
        <v>0</v>
      </c>
      <c r="AA143" s="64">
        <f>SUMIF(Table1[GameDate], Table1[[#This Row],[GameDate]], Table1[HomeGameGoalDiff])</f>
        <v>0</v>
      </c>
      <c r="AB143" s="64">
        <f>IF(ISBLANK(Table1[[#This Row],[ActualResult]]), 0, 1)</f>
        <v>0</v>
      </c>
      <c r="AC143" s="64">
        <f>IF(ISBLANK(Table1[[#This Row],[ActualResult]]), 0, IF(Table1[[#This Row],[ActualWinner]]=Table1[[#This Row],[PredictedWinner]], 1, 0))</f>
        <v>0</v>
      </c>
      <c r="AD14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4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43" s="64">
        <f>IF(AND(Table1[[#This Row],[GameIsOver]]=1,Table1[[#This Row],[ActualAwayScore]]=0), 1,0)</f>
        <v>0</v>
      </c>
      <c r="AG143" s="64">
        <f>IF(AND(Table1[[#This Row],[GameIsOver]]=1,Table1[[#This Row],[ActualHomeScore]]=0), 1,0)</f>
        <v>0</v>
      </c>
      <c r="AH143" s="64">
        <f>IF(Table1[[#This Row],[GameIsOver]]=0,0,IF(Table1[[#This Row],[ActualWinner]]=Table1[[#This Row],[AwayTeam]], 1, 0))</f>
        <v>0</v>
      </c>
      <c r="AI143" s="64">
        <f>IF(Table1[[#This Row],[GameIsOver]]=0,0,IF(Table1[[#This Row],[ActualWinner]]=Table1[[#This Row],[HomeTeam]], 1, 0))</f>
        <v>0</v>
      </c>
      <c r="AJ143" s="64">
        <f>IF(INDEX(Standings!$A$2:$C$33,MATCH(Table1[[#This Row],[AwayTeam]],Standings!$A$2:$A$33,0),2)=INDEX(Standings!$A$2:$C$33,MATCH(Table1[[#This Row],[HomeTeam]],Standings!$A$2:$A$33,0),2),1,0)</f>
        <v>0</v>
      </c>
      <c r="AK143" s="64">
        <f>IF(INDEX(Standings!$A$2:$C$33,MATCH(Table1[[#This Row],[AwayTeam]],Standings!$A$2:$A$33,0),3)=INDEX(Standings!$A$2:$C$33,MATCH(Table1[[#This Row],[HomeTeam]],Standings!$A$2:$A$33,0),3),1,0)</f>
        <v>0</v>
      </c>
      <c r="AL143" s="64">
        <f>IF(Table1[[#This Row],[InterConf]]=1,IF(Table1[[#This Row],[InterDiv]]=0, 1, 0), 0)</f>
        <v>0</v>
      </c>
      <c r="AM143" s="64">
        <f>IF(INDEX(Standings!$A$2:$C$33,MATCH(Table1[[#This Row],[AwayTeam]],Standings!$A$2:$A$33,0),2)&lt;&gt;INDEX(Standings!$A$2:$C$33,MATCH(Table1[[#This Row],[HomeTeam]],Standings!$A$2:$A$33,0),2),1,0)</f>
        <v>1</v>
      </c>
      <c r="AN143" s="64" t="str">
        <f>INDEX(Table2[AWAY_RECORD], MATCH(Table1[[#This Row],[AwayTeam]],Table2[Team], 0), 0)</f>
        <v>0-0-0</v>
      </c>
      <c r="AO143" s="64" t="str">
        <f>INDEX(Records!$B$2:$AG$33, MATCH(Table1[[#This Row],[AwayTeam]],Records!$A$2:$A$33, 0), MATCH(Table1[[#This Row],[HomeTeam]],Records!$A$2:$A$33, 0))</f>
        <v>0-0-0</v>
      </c>
      <c r="AP143" s="64" t="str">
        <f>INDEX(Table2[HOME_RECORD], MATCH(Table1[[#This Row],[HomeTeam]],Table2[Team], 0), 0)</f>
        <v>1-0-0</v>
      </c>
      <c r="AQ143" s="64" t="str">
        <f>INDEX(Records!$B$2:$AG$33, MATCH(Table1[[#This Row],[HomeTeam]],Records!$A$2:$A$33, 0), MATCH(Table1[[#This Row],[AwayTeam]],Records!$A$2:$A$33, 0))</f>
        <v>0-0-0</v>
      </c>
    </row>
    <row r="144" spans="1:43" x14ac:dyDescent="0.25">
      <c r="A144" s="1"/>
      <c r="D144" t="s">
        <v>341</v>
      </c>
      <c r="E144" t="s">
        <v>160</v>
      </c>
      <c r="F144" t="s">
        <v>344</v>
      </c>
      <c r="G144" t="s">
        <v>36</v>
      </c>
      <c r="H144" t="s">
        <v>50</v>
      </c>
      <c r="L14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4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44" s="1"/>
      <c r="T144" s="64" t="str">
        <f>IF(Table1[[#This Row],[ActualWinner]]="", "", IF(Table1[[#This Row],[AwayTeam]]=Table1[[#This Row],[ActualWinner]],Table1[[#This Row],[HomeTeam]],Table1[[#This Row],[AwayTeam]]))</f>
        <v/>
      </c>
      <c r="U144" s="64">
        <f>Table1[[#This Row],[ActualAwayScore]]-Table1[[#This Row],[PredictedAwayScore]]</f>
        <v>0</v>
      </c>
      <c r="V144" s="64">
        <f>Table1[[#This Row],[ActualHomeScore]]-Table1[[#This Row],[PredictedHomeScore]]</f>
        <v>0</v>
      </c>
      <c r="W144" s="64">
        <f>(0.8*IF(Table1[[#This Row],[CorrectWinnerPrediction]]=1, 1, 0))+(0.1*IF(Table1[[#This Row],[CorrectAwayScorePrediction]]=1, 1, 0))+(0.1*IF(Table1[[#This Row],[CorrectHomeScorePrediction]]=1, 1, 0))</f>
        <v>0</v>
      </c>
      <c r="X14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44" s="64">
        <f>SUMIF(Table1[GameDate], Table1[[#This Row],[GameDate]], Table1[AwayGameGoalDiff])</f>
        <v>0</v>
      </c>
      <c r="AA144" s="64">
        <f>SUMIF(Table1[GameDate], Table1[[#This Row],[GameDate]], Table1[HomeGameGoalDiff])</f>
        <v>0</v>
      </c>
      <c r="AB144" s="64">
        <f>IF(ISBLANK(Table1[[#This Row],[ActualResult]]), 0, 1)</f>
        <v>0</v>
      </c>
      <c r="AC144" s="64">
        <f>IF(ISBLANK(Table1[[#This Row],[ActualResult]]), 0, IF(Table1[[#This Row],[ActualWinner]]=Table1[[#This Row],[PredictedWinner]], 1, 0))</f>
        <v>0</v>
      </c>
      <c r="AD14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4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44" s="64">
        <f>IF(AND(Table1[[#This Row],[GameIsOver]]=1,Table1[[#This Row],[ActualAwayScore]]=0), 1,0)</f>
        <v>0</v>
      </c>
      <c r="AG144" s="64">
        <f>IF(AND(Table1[[#This Row],[GameIsOver]]=1,Table1[[#This Row],[ActualHomeScore]]=0), 1,0)</f>
        <v>0</v>
      </c>
      <c r="AH144" s="64">
        <f>IF(Table1[[#This Row],[GameIsOver]]=0,0,IF(Table1[[#This Row],[ActualWinner]]=Table1[[#This Row],[AwayTeam]], 1, 0))</f>
        <v>0</v>
      </c>
      <c r="AI144" s="64">
        <f>IF(Table1[[#This Row],[GameIsOver]]=0,0,IF(Table1[[#This Row],[ActualWinner]]=Table1[[#This Row],[HomeTeam]], 1, 0))</f>
        <v>0</v>
      </c>
      <c r="AJ144" s="64">
        <f>IF(INDEX(Standings!$A$2:$C$33,MATCH(Table1[[#This Row],[AwayTeam]],Standings!$A$2:$A$33,0),2)=INDEX(Standings!$A$2:$C$33,MATCH(Table1[[#This Row],[HomeTeam]],Standings!$A$2:$A$33,0),2),1,0)</f>
        <v>0</v>
      </c>
      <c r="AK144" s="64">
        <f>IF(INDEX(Standings!$A$2:$C$33,MATCH(Table1[[#This Row],[AwayTeam]],Standings!$A$2:$A$33,0),3)=INDEX(Standings!$A$2:$C$33,MATCH(Table1[[#This Row],[HomeTeam]],Standings!$A$2:$A$33,0),3),1,0)</f>
        <v>0</v>
      </c>
      <c r="AL144" s="64">
        <f>IF(Table1[[#This Row],[InterConf]]=1,IF(Table1[[#This Row],[InterDiv]]=0, 1, 0), 0)</f>
        <v>0</v>
      </c>
      <c r="AM144" s="64">
        <f>IF(INDEX(Standings!$A$2:$C$33,MATCH(Table1[[#This Row],[AwayTeam]],Standings!$A$2:$A$33,0),2)&lt;&gt;INDEX(Standings!$A$2:$C$33,MATCH(Table1[[#This Row],[HomeTeam]],Standings!$A$2:$A$33,0),2),1,0)</f>
        <v>1</v>
      </c>
      <c r="AN144" s="64" t="str">
        <f>INDEX(Table2[AWAY_RECORD], MATCH(Table1[[#This Row],[AwayTeam]],Table2[Team], 0), 0)</f>
        <v>0-0-0</v>
      </c>
      <c r="AO144" s="64" t="str">
        <f>INDEX(Records!$B$2:$AG$33, MATCH(Table1[[#This Row],[AwayTeam]],Records!$A$2:$A$33, 0), MATCH(Table1[[#This Row],[HomeTeam]],Records!$A$2:$A$33, 0))</f>
        <v>0-0-0</v>
      </c>
      <c r="AP144" s="64" t="str">
        <f>INDEX(Table2[HOME_RECORD], MATCH(Table1[[#This Row],[HomeTeam]],Table2[Team], 0), 0)</f>
        <v>0-0-0</v>
      </c>
      <c r="AQ144" s="64" t="str">
        <f>INDEX(Records!$B$2:$AG$33, MATCH(Table1[[#This Row],[HomeTeam]],Records!$A$2:$A$33, 0), MATCH(Table1[[#This Row],[AwayTeam]],Records!$A$2:$A$33, 0))</f>
        <v>0-0-0</v>
      </c>
    </row>
    <row r="145" spans="1:43" x14ac:dyDescent="0.25">
      <c r="A145" s="1"/>
      <c r="D145" t="s">
        <v>341</v>
      </c>
      <c r="E145" t="s">
        <v>160</v>
      </c>
      <c r="F145" t="s">
        <v>345</v>
      </c>
      <c r="G145" t="s">
        <v>46</v>
      </c>
      <c r="H145" t="s">
        <v>59</v>
      </c>
      <c r="L14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4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45" s="1"/>
      <c r="T145" s="64" t="str">
        <f>IF(Table1[[#This Row],[ActualWinner]]="", "", IF(Table1[[#This Row],[AwayTeam]]=Table1[[#This Row],[ActualWinner]],Table1[[#This Row],[HomeTeam]],Table1[[#This Row],[AwayTeam]]))</f>
        <v/>
      </c>
      <c r="U145" s="64">
        <f>Table1[[#This Row],[ActualAwayScore]]-Table1[[#This Row],[PredictedAwayScore]]</f>
        <v>0</v>
      </c>
      <c r="V145" s="64">
        <f>Table1[[#This Row],[ActualHomeScore]]-Table1[[#This Row],[PredictedHomeScore]]</f>
        <v>0</v>
      </c>
      <c r="W145" s="64">
        <f>(0.8*IF(Table1[[#This Row],[CorrectWinnerPrediction]]=1, 1, 0))+(0.1*IF(Table1[[#This Row],[CorrectAwayScorePrediction]]=1, 1, 0))+(0.1*IF(Table1[[#This Row],[CorrectHomeScorePrediction]]=1, 1, 0))</f>
        <v>0</v>
      </c>
      <c r="X14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45" s="64">
        <f>SUMIF(Table1[GameDate], Table1[[#This Row],[GameDate]], Table1[AwayGameGoalDiff])</f>
        <v>0</v>
      </c>
      <c r="AA145" s="64">
        <f>SUMIF(Table1[GameDate], Table1[[#This Row],[GameDate]], Table1[HomeGameGoalDiff])</f>
        <v>0</v>
      </c>
      <c r="AB145" s="64">
        <f>IF(ISBLANK(Table1[[#This Row],[ActualResult]]), 0, 1)</f>
        <v>0</v>
      </c>
      <c r="AC145" s="64">
        <f>IF(ISBLANK(Table1[[#This Row],[ActualResult]]), 0, IF(Table1[[#This Row],[ActualWinner]]=Table1[[#This Row],[PredictedWinner]], 1, 0))</f>
        <v>0</v>
      </c>
      <c r="AD14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4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45" s="64">
        <f>IF(AND(Table1[[#This Row],[GameIsOver]]=1,Table1[[#This Row],[ActualAwayScore]]=0), 1,0)</f>
        <v>0</v>
      </c>
      <c r="AG145" s="64">
        <f>IF(AND(Table1[[#This Row],[GameIsOver]]=1,Table1[[#This Row],[ActualHomeScore]]=0), 1,0)</f>
        <v>0</v>
      </c>
      <c r="AH145" s="64">
        <f>IF(Table1[[#This Row],[GameIsOver]]=0,0,IF(Table1[[#This Row],[ActualWinner]]=Table1[[#This Row],[AwayTeam]], 1, 0))</f>
        <v>0</v>
      </c>
      <c r="AI145" s="64">
        <f>IF(Table1[[#This Row],[GameIsOver]]=0,0,IF(Table1[[#This Row],[ActualWinner]]=Table1[[#This Row],[HomeTeam]], 1, 0))</f>
        <v>0</v>
      </c>
      <c r="AJ145" s="64">
        <f>IF(INDEX(Standings!$A$2:$C$33,MATCH(Table1[[#This Row],[AwayTeam]],Standings!$A$2:$A$33,0),2)=INDEX(Standings!$A$2:$C$33,MATCH(Table1[[#This Row],[HomeTeam]],Standings!$A$2:$A$33,0),2),1,0)</f>
        <v>0</v>
      </c>
      <c r="AK145" s="64">
        <f>IF(INDEX(Standings!$A$2:$C$33,MATCH(Table1[[#This Row],[AwayTeam]],Standings!$A$2:$A$33,0),3)=INDEX(Standings!$A$2:$C$33,MATCH(Table1[[#This Row],[HomeTeam]],Standings!$A$2:$A$33,0),3),1,0)</f>
        <v>0</v>
      </c>
      <c r="AL145" s="64">
        <f>IF(Table1[[#This Row],[InterConf]]=1,IF(Table1[[#This Row],[InterDiv]]=0, 1, 0), 0)</f>
        <v>0</v>
      </c>
      <c r="AM145" s="64">
        <f>IF(INDEX(Standings!$A$2:$C$33,MATCH(Table1[[#This Row],[AwayTeam]],Standings!$A$2:$A$33,0),2)&lt;&gt;INDEX(Standings!$A$2:$C$33,MATCH(Table1[[#This Row],[HomeTeam]],Standings!$A$2:$A$33,0),2),1,0)</f>
        <v>1</v>
      </c>
      <c r="AN145" s="64" t="str">
        <f>INDEX(Table2[AWAY_RECORD], MATCH(Table1[[#This Row],[AwayTeam]],Table2[Team], 0), 0)</f>
        <v>1-0-0</v>
      </c>
      <c r="AO145" s="64" t="str">
        <f>INDEX(Records!$B$2:$AG$33, MATCH(Table1[[#This Row],[AwayTeam]],Records!$A$2:$A$33, 0), MATCH(Table1[[#This Row],[HomeTeam]],Records!$A$2:$A$33, 0))</f>
        <v>0-0-0</v>
      </c>
      <c r="AP145" s="64" t="str">
        <f>INDEX(Table2[HOME_RECORD], MATCH(Table1[[#This Row],[HomeTeam]],Table2[Team], 0), 0)</f>
        <v>0-0-0</v>
      </c>
      <c r="AQ145" s="64" t="str">
        <f>INDEX(Records!$B$2:$AG$33, MATCH(Table1[[#This Row],[HomeTeam]],Records!$A$2:$A$33, 0), MATCH(Table1[[#This Row],[AwayTeam]],Records!$A$2:$A$33, 0))</f>
        <v>0-0-0</v>
      </c>
    </row>
    <row r="146" spans="1:43" x14ac:dyDescent="0.25">
      <c r="A146" s="1"/>
      <c r="D146" t="s">
        <v>341</v>
      </c>
      <c r="E146" t="s">
        <v>160</v>
      </c>
      <c r="F146" t="s">
        <v>346</v>
      </c>
      <c r="G146" t="s">
        <v>24</v>
      </c>
      <c r="H146" t="s">
        <v>42</v>
      </c>
      <c r="L14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4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46" s="1"/>
      <c r="T146" s="64" t="str">
        <f>IF(Table1[[#This Row],[ActualWinner]]="", "", IF(Table1[[#This Row],[AwayTeam]]=Table1[[#This Row],[ActualWinner]],Table1[[#This Row],[HomeTeam]],Table1[[#This Row],[AwayTeam]]))</f>
        <v/>
      </c>
      <c r="U146" s="64">
        <f>Table1[[#This Row],[ActualAwayScore]]-Table1[[#This Row],[PredictedAwayScore]]</f>
        <v>0</v>
      </c>
      <c r="V146" s="64">
        <f>Table1[[#This Row],[ActualHomeScore]]-Table1[[#This Row],[PredictedHomeScore]]</f>
        <v>0</v>
      </c>
      <c r="W146" s="64">
        <f>(0.8*IF(Table1[[#This Row],[CorrectWinnerPrediction]]=1, 1, 0))+(0.1*IF(Table1[[#This Row],[CorrectAwayScorePrediction]]=1, 1, 0))+(0.1*IF(Table1[[#This Row],[CorrectHomeScorePrediction]]=1, 1, 0))</f>
        <v>0</v>
      </c>
      <c r="X14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46" s="64">
        <f>SUMIF(Table1[GameDate], Table1[[#This Row],[GameDate]], Table1[AwayGameGoalDiff])</f>
        <v>0</v>
      </c>
      <c r="AA146" s="64">
        <f>SUMIF(Table1[GameDate], Table1[[#This Row],[GameDate]], Table1[HomeGameGoalDiff])</f>
        <v>0</v>
      </c>
      <c r="AB146" s="64">
        <f>IF(ISBLANK(Table1[[#This Row],[ActualResult]]), 0, 1)</f>
        <v>0</v>
      </c>
      <c r="AC146" s="64">
        <f>IF(ISBLANK(Table1[[#This Row],[ActualResult]]), 0, IF(Table1[[#This Row],[ActualWinner]]=Table1[[#This Row],[PredictedWinner]], 1, 0))</f>
        <v>0</v>
      </c>
      <c r="AD14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4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46" s="64">
        <f>IF(AND(Table1[[#This Row],[GameIsOver]]=1,Table1[[#This Row],[ActualAwayScore]]=0), 1,0)</f>
        <v>0</v>
      </c>
      <c r="AG146" s="64">
        <f>IF(AND(Table1[[#This Row],[GameIsOver]]=1,Table1[[#This Row],[ActualHomeScore]]=0), 1,0)</f>
        <v>0</v>
      </c>
      <c r="AH146" s="64">
        <f>IF(Table1[[#This Row],[GameIsOver]]=0,0,IF(Table1[[#This Row],[ActualWinner]]=Table1[[#This Row],[AwayTeam]], 1, 0))</f>
        <v>0</v>
      </c>
      <c r="AI146" s="64">
        <f>IF(Table1[[#This Row],[GameIsOver]]=0,0,IF(Table1[[#This Row],[ActualWinner]]=Table1[[#This Row],[HomeTeam]], 1, 0))</f>
        <v>0</v>
      </c>
      <c r="AJ146" s="64">
        <f>IF(INDEX(Standings!$A$2:$C$33,MATCH(Table1[[#This Row],[AwayTeam]],Standings!$A$2:$A$33,0),2)=INDEX(Standings!$A$2:$C$33,MATCH(Table1[[#This Row],[HomeTeam]],Standings!$A$2:$A$33,0),2),1,0)</f>
        <v>1</v>
      </c>
      <c r="AK146" s="64">
        <f>IF(INDEX(Standings!$A$2:$C$33,MATCH(Table1[[#This Row],[AwayTeam]],Standings!$A$2:$A$33,0),3)=INDEX(Standings!$A$2:$C$33,MATCH(Table1[[#This Row],[HomeTeam]],Standings!$A$2:$A$33,0),3),1,0)</f>
        <v>0</v>
      </c>
      <c r="AL146" s="64">
        <f>IF(Table1[[#This Row],[InterConf]]=1,IF(Table1[[#This Row],[InterDiv]]=0, 1, 0), 0)</f>
        <v>1</v>
      </c>
      <c r="AM146" s="64">
        <f>IF(INDEX(Standings!$A$2:$C$33,MATCH(Table1[[#This Row],[AwayTeam]],Standings!$A$2:$A$33,0),2)&lt;&gt;INDEX(Standings!$A$2:$C$33,MATCH(Table1[[#This Row],[HomeTeam]],Standings!$A$2:$A$33,0),2),1,0)</f>
        <v>0</v>
      </c>
      <c r="AN146" s="64" t="str">
        <f>INDEX(Table2[AWAY_RECORD], MATCH(Table1[[#This Row],[AwayTeam]],Table2[Team], 0), 0)</f>
        <v>0-0-0</v>
      </c>
      <c r="AO146" s="64" t="str">
        <f>INDEX(Records!$B$2:$AG$33, MATCH(Table1[[#This Row],[AwayTeam]],Records!$A$2:$A$33, 0), MATCH(Table1[[#This Row],[HomeTeam]],Records!$A$2:$A$33, 0))</f>
        <v>0-0-0</v>
      </c>
      <c r="AP146" s="64" t="str">
        <f>INDEX(Table2[HOME_RECORD], MATCH(Table1[[#This Row],[HomeTeam]],Table2[Team], 0), 0)</f>
        <v>1-0-0</v>
      </c>
      <c r="AQ146" s="64" t="str">
        <f>INDEX(Records!$B$2:$AG$33, MATCH(Table1[[#This Row],[HomeTeam]],Records!$A$2:$A$33, 0), MATCH(Table1[[#This Row],[AwayTeam]],Records!$A$2:$A$33, 0))</f>
        <v>0-0-0</v>
      </c>
    </row>
    <row r="147" spans="1:43" x14ac:dyDescent="0.25">
      <c r="A147" s="1"/>
      <c r="D147" t="s">
        <v>341</v>
      </c>
      <c r="E147" t="s">
        <v>162</v>
      </c>
      <c r="F147" t="s">
        <v>347</v>
      </c>
      <c r="G147" t="s">
        <v>60</v>
      </c>
      <c r="H147" t="s">
        <v>61</v>
      </c>
      <c r="L14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4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47" s="1"/>
      <c r="T147" s="64" t="str">
        <f>IF(Table1[[#This Row],[ActualWinner]]="", "", IF(Table1[[#This Row],[AwayTeam]]=Table1[[#This Row],[ActualWinner]],Table1[[#This Row],[HomeTeam]],Table1[[#This Row],[AwayTeam]]))</f>
        <v/>
      </c>
      <c r="U147" s="64">
        <f>Table1[[#This Row],[ActualAwayScore]]-Table1[[#This Row],[PredictedAwayScore]]</f>
        <v>0</v>
      </c>
      <c r="V147" s="64">
        <f>Table1[[#This Row],[ActualHomeScore]]-Table1[[#This Row],[PredictedHomeScore]]</f>
        <v>0</v>
      </c>
      <c r="W147" s="64">
        <f>(0.8*IF(Table1[[#This Row],[CorrectWinnerPrediction]]=1, 1, 0))+(0.1*IF(Table1[[#This Row],[CorrectAwayScorePrediction]]=1, 1, 0))+(0.1*IF(Table1[[#This Row],[CorrectHomeScorePrediction]]=1, 1, 0))</f>
        <v>0</v>
      </c>
      <c r="X14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47" s="64">
        <f>SUMIF(Table1[GameDate], Table1[[#This Row],[GameDate]], Table1[AwayGameGoalDiff])</f>
        <v>0</v>
      </c>
      <c r="AA147" s="64">
        <f>SUMIF(Table1[GameDate], Table1[[#This Row],[GameDate]], Table1[HomeGameGoalDiff])</f>
        <v>0</v>
      </c>
      <c r="AB147" s="64">
        <f>IF(ISBLANK(Table1[[#This Row],[ActualResult]]), 0, 1)</f>
        <v>0</v>
      </c>
      <c r="AC147" s="64">
        <f>IF(ISBLANK(Table1[[#This Row],[ActualResult]]), 0, IF(Table1[[#This Row],[ActualWinner]]=Table1[[#This Row],[PredictedWinner]], 1, 0))</f>
        <v>0</v>
      </c>
      <c r="AD14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4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47" s="64">
        <f>IF(AND(Table1[[#This Row],[GameIsOver]]=1,Table1[[#This Row],[ActualAwayScore]]=0), 1,0)</f>
        <v>0</v>
      </c>
      <c r="AG147" s="64">
        <f>IF(AND(Table1[[#This Row],[GameIsOver]]=1,Table1[[#This Row],[ActualHomeScore]]=0), 1,0)</f>
        <v>0</v>
      </c>
      <c r="AH147" s="64">
        <f>IF(Table1[[#This Row],[GameIsOver]]=0,0,IF(Table1[[#This Row],[ActualWinner]]=Table1[[#This Row],[AwayTeam]], 1, 0))</f>
        <v>0</v>
      </c>
      <c r="AI147" s="64">
        <f>IF(Table1[[#This Row],[GameIsOver]]=0,0,IF(Table1[[#This Row],[ActualWinner]]=Table1[[#This Row],[HomeTeam]], 1, 0))</f>
        <v>0</v>
      </c>
      <c r="AJ147" s="64">
        <f>IF(INDEX(Standings!$A$2:$C$33,MATCH(Table1[[#This Row],[AwayTeam]],Standings!$A$2:$A$33,0),2)=INDEX(Standings!$A$2:$C$33,MATCH(Table1[[#This Row],[HomeTeam]],Standings!$A$2:$A$33,0),2),1,0)</f>
        <v>1</v>
      </c>
      <c r="AK147" s="64">
        <f>IF(INDEX(Standings!$A$2:$C$33,MATCH(Table1[[#This Row],[AwayTeam]],Standings!$A$2:$A$33,0),3)=INDEX(Standings!$A$2:$C$33,MATCH(Table1[[#This Row],[HomeTeam]],Standings!$A$2:$A$33,0),3),1,0)</f>
        <v>1</v>
      </c>
      <c r="AL147" s="64">
        <f>IF(Table1[[#This Row],[InterConf]]=1,IF(Table1[[#This Row],[InterDiv]]=0, 1, 0), 0)</f>
        <v>0</v>
      </c>
      <c r="AM147" s="64">
        <f>IF(INDEX(Standings!$A$2:$C$33,MATCH(Table1[[#This Row],[AwayTeam]],Standings!$A$2:$A$33,0),2)&lt;&gt;INDEX(Standings!$A$2:$C$33,MATCH(Table1[[#This Row],[HomeTeam]],Standings!$A$2:$A$33,0),2),1,0)</f>
        <v>0</v>
      </c>
      <c r="AN147" s="64" t="str">
        <f>INDEX(Table2[AWAY_RECORD], MATCH(Table1[[#This Row],[AwayTeam]],Table2[Team], 0), 0)</f>
        <v>0-0-0</v>
      </c>
      <c r="AO147" s="64" t="str">
        <f>INDEX(Records!$B$2:$AG$33, MATCH(Table1[[#This Row],[AwayTeam]],Records!$A$2:$A$33, 0), MATCH(Table1[[#This Row],[HomeTeam]],Records!$A$2:$A$33, 0))</f>
        <v>0-0-0</v>
      </c>
      <c r="AP147" s="64" t="str">
        <f>INDEX(Table2[HOME_RECORD], MATCH(Table1[[#This Row],[HomeTeam]],Table2[Team], 0), 0)</f>
        <v>0-0-0</v>
      </c>
      <c r="AQ147" s="64" t="str">
        <f>INDEX(Records!$B$2:$AG$33, MATCH(Table1[[#This Row],[HomeTeam]],Records!$A$2:$A$33, 0), MATCH(Table1[[#This Row],[AwayTeam]],Records!$A$2:$A$33, 0))</f>
        <v>0-0-0</v>
      </c>
    </row>
    <row r="148" spans="1:43" x14ac:dyDescent="0.25">
      <c r="A148" s="1"/>
      <c r="D148" t="s">
        <v>341</v>
      </c>
      <c r="E148" t="s">
        <v>162</v>
      </c>
      <c r="F148" t="s">
        <v>348</v>
      </c>
      <c r="G148" t="s">
        <v>37</v>
      </c>
      <c r="H148" t="s">
        <v>43</v>
      </c>
      <c r="L14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4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48" s="1"/>
      <c r="T148" s="64" t="str">
        <f>IF(Table1[[#This Row],[ActualWinner]]="", "", IF(Table1[[#This Row],[AwayTeam]]=Table1[[#This Row],[ActualWinner]],Table1[[#This Row],[HomeTeam]],Table1[[#This Row],[AwayTeam]]))</f>
        <v/>
      </c>
      <c r="U148" s="64">
        <f>Table1[[#This Row],[ActualAwayScore]]-Table1[[#This Row],[PredictedAwayScore]]</f>
        <v>0</v>
      </c>
      <c r="V148" s="64">
        <f>Table1[[#This Row],[ActualHomeScore]]-Table1[[#This Row],[PredictedHomeScore]]</f>
        <v>0</v>
      </c>
      <c r="W148" s="64">
        <f>(0.8*IF(Table1[[#This Row],[CorrectWinnerPrediction]]=1, 1, 0))+(0.1*IF(Table1[[#This Row],[CorrectAwayScorePrediction]]=1, 1, 0))+(0.1*IF(Table1[[#This Row],[CorrectHomeScorePrediction]]=1, 1, 0))</f>
        <v>0</v>
      </c>
      <c r="X14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48" s="64">
        <f>SUMIF(Table1[GameDate], Table1[[#This Row],[GameDate]], Table1[AwayGameGoalDiff])</f>
        <v>0</v>
      </c>
      <c r="AA148" s="64">
        <f>SUMIF(Table1[GameDate], Table1[[#This Row],[GameDate]], Table1[HomeGameGoalDiff])</f>
        <v>0</v>
      </c>
      <c r="AB148" s="64">
        <f>IF(ISBLANK(Table1[[#This Row],[ActualResult]]), 0, 1)</f>
        <v>0</v>
      </c>
      <c r="AC148" s="64">
        <f>IF(ISBLANK(Table1[[#This Row],[ActualResult]]), 0, IF(Table1[[#This Row],[ActualWinner]]=Table1[[#This Row],[PredictedWinner]], 1, 0))</f>
        <v>0</v>
      </c>
      <c r="AD14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4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48" s="64">
        <f>IF(AND(Table1[[#This Row],[GameIsOver]]=1,Table1[[#This Row],[ActualAwayScore]]=0), 1,0)</f>
        <v>0</v>
      </c>
      <c r="AG148" s="64">
        <f>IF(AND(Table1[[#This Row],[GameIsOver]]=1,Table1[[#This Row],[ActualHomeScore]]=0), 1,0)</f>
        <v>0</v>
      </c>
      <c r="AH148" s="64">
        <f>IF(Table1[[#This Row],[GameIsOver]]=0,0,IF(Table1[[#This Row],[ActualWinner]]=Table1[[#This Row],[AwayTeam]], 1, 0))</f>
        <v>0</v>
      </c>
      <c r="AI148" s="64">
        <f>IF(Table1[[#This Row],[GameIsOver]]=0,0,IF(Table1[[#This Row],[ActualWinner]]=Table1[[#This Row],[HomeTeam]], 1, 0))</f>
        <v>0</v>
      </c>
      <c r="AJ148" s="64">
        <f>IF(INDEX(Standings!$A$2:$C$33,MATCH(Table1[[#This Row],[AwayTeam]],Standings!$A$2:$A$33,0),2)=INDEX(Standings!$A$2:$C$33,MATCH(Table1[[#This Row],[HomeTeam]],Standings!$A$2:$A$33,0),2),1,0)</f>
        <v>0</v>
      </c>
      <c r="AK148" s="64">
        <f>IF(INDEX(Standings!$A$2:$C$33,MATCH(Table1[[#This Row],[AwayTeam]],Standings!$A$2:$A$33,0),3)=INDEX(Standings!$A$2:$C$33,MATCH(Table1[[#This Row],[HomeTeam]],Standings!$A$2:$A$33,0),3),1,0)</f>
        <v>0</v>
      </c>
      <c r="AL148" s="64">
        <f>IF(Table1[[#This Row],[InterConf]]=1,IF(Table1[[#This Row],[InterDiv]]=0, 1, 0), 0)</f>
        <v>0</v>
      </c>
      <c r="AM148" s="64">
        <f>IF(INDEX(Standings!$A$2:$C$33,MATCH(Table1[[#This Row],[AwayTeam]],Standings!$A$2:$A$33,0),2)&lt;&gt;INDEX(Standings!$A$2:$C$33,MATCH(Table1[[#This Row],[HomeTeam]],Standings!$A$2:$A$33,0),2),1,0)</f>
        <v>1</v>
      </c>
      <c r="AN148" s="64" t="str">
        <f>INDEX(Table2[AWAY_RECORD], MATCH(Table1[[#This Row],[AwayTeam]],Table2[Team], 0), 0)</f>
        <v>0-0-1</v>
      </c>
      <c r="AO148" s="64" t="str">
        <f>INDEX(Records!$B$2:$AG$33, MATCH(Table1[[#This Row],[AwayTeam]],Records!$A$2:$A$33, 0), MATCH(Table1[[#This Row],[HomeTeam]],Records!$A$2:$A$33, 0))</f>
        <v>0-0-0</v>
      </c>
      <c r="AP148" s="64" t="str">
        <f>INDEX(Table2[HOME_RECORD], MATCH(Table1[[#This Row],[HomeTeam]],Table2[Team], 0), 0)</f>
        <v>0-0-0</v>
      </c>
      <c r="AQ148" s="64" t="str">
        <f>INDEX(Records!$B$2:$AG$33, MATCH(Table1[[#This Row],[HomeTeam]],Records!$A$2:$A$33, 0), MATCH(Table1[[#This Row],[AwayTeam]],Records!$A$2:$A$33, 0))</f>
        <v>0-0-0</v>
      </c>
    </row>
    <row r="149" spans="1:43" x14ac:dyDescent="0.25">
      <c r="A149" s="1"/>
      <c r="D149" t="s">
        <v>341</v>
      </c>
      <c r="E149" t="s">
        <v>178</v>
      </c>
      <c r="F149" t="s">
        <v>349</v>
      </c>
      <c r="G149" t="s">
        <v>22</v>
      </c>
      <c r="H149" t="s">
        <v>45</v>
      </c>
      <c r="L14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4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49" s="1"/>
      <c r="T149" s="64" t="str">
        <f>IF(Table1[[#This Row],[ActualWinner]]="", "", IF(Table1[[#This Row],[AwayTeam]]=Table1[[#This Row],[ActualWinner]],Table1[[#This Row],[HomeTeam]],Table1[[#This Row],[AwayTeam]]))</f>
        <v/>
      </c>
      <c r="U149" s="64">
        <f>Table1[[#This Row],[ActualAwayScore]]-Table1[[#This Row],[PredictedAwayScore]]</f>
        <v>0</v>
      </c>
      <c r="V149" s="64">
        <f>Table1[[#This Row],[ActualHomeScore]]-Table1[[#This Row],[PredictedHomeScore]]</f>
        <v>0</v>
      </c>
      <c r="W149" s="64">
        <f>(0.8*IF(Table1[[#This Row],[CorrectWinnerPrediction]]=1, 1, 0))+(0.1*IF(Table1[[#This Row],[CorrectAwayScorePrediction]]=1, 1, 0))+(0.1*IF(Table1[[#This Row],[CorrectHomeScorePrediction]]=1, 1, 0))</f>
        <v>0</v>
      </c>
      <c r="X14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49" s="64">
        <f>SUMIF(Table1[GameDate], Table1[[#This Row],[GameDate]], Table1[AwayGameGoalDiff])</f>
        <v>0</v>
      </c>
      <c r="AA149" s="64">
        <f>SUMIF(Table1[GameDate], Table1[[#This Row],[GameDate]], Table1[HomeGameGoalDiff])</f>
        <v>0</v>
      </c>
      <c r="AB149" s="64">
        <f>IF(ISBLANK(Table1[[#This Row],[ActualResult]]), 0, 1)</f>
        <v>0</v>
      </c>
      <c r="AC149" s="64">
        <f>IF(ISBLANK(Table1[[#This Row],[ActualResult]]), 0, IF(Table1[[#This Row],[ActualWinner]]=Table1[[#This Row],[PredictedWinner]], 1, 0))</f>
        <v>0</v>
      </c>
      <c r="AD14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4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49" s="64">
        <f>IF(AND(Table1[[#This Row],[GameIsOver]]=1,Table1[[#This Row],[ActualAwayScore]]=0), 1,0)</f>
        <v>0</v>
      </c>
      <c r="AG149" s="64">
        <f>IF(AND(Table1[[#This Row],[GameIsOver]]=1,Table1[[#This Row],[ActualHomeScore]]=0), 1,0)</f>
        <v>0</v>
      </c>
      <c r="AH149" s="64">
        <f>IF(Table1[[#This Row],[GameIsOver]]=0,0,IF(Table1[[#This Row],[ActualWinner]]=Table1[[#This Row],[AwayTeam]], 1, 0))</f>
        <v>0</v>
      </c>
      <c r="AI149" s="64">
        <f>IF(Table1[[#This Row],[GameIsOver]]=0,0,IF(Table1[[#This Row],[ActualWinner]]=Table1[[#This Row],[HomeTeam]], 1, 0))</f>
        <v>0</v>
      </c>
      <c r="AJ149" s="64">
        <f>IF(INDEX(Standings!$A$2:$C$33,MATCH(Table1[[#This Row],[AwayTeam]],Standings!$A$2:$A$33,0),2)=INDEX(Standings!$A$2:$C$33,MATCH(Table1[[#This Row],[HomeTeam]],Standings!$A$2:$A$33,0),2),1,0)</f>
        <v>1</v>
      </c>
      <c r="AK149" s="64">
        <f>IF(INDEX(Standings!$A$2:$C$33,MATCH(Table1[[#This Row],[AwayTeam]],Standings!$A$2:$A$33,0),3)=INDEX(Standings!$A$2:$C$33,MATCH(Table1[[#This Row],[HomeTeam]],Standings!$A$2:$A$33,0),3),1,0)</f>
        <v>0</v>
      </c>
      <c r="AL149" s="64">
        <f>IF(Table1[[#This Row],[InterConf]]=1,IF(Table1[[#This Row],[InterDiv]]=0, 1, 0), 0)</f>
        <v>1</v>
      </c>
      <c r="AM149" s="64">
        <f>IF(INDEX(Standings!$A$2:$C$33,MATCH(Table1[[#This Row],[AwayTeam]],Standings!$A$2:$A$33,0),2)&lt;&gt;INDEX(Standings!$A$2:$C$33,MATCH(Table1[[#This Row],[HomeTeam]],Standings!$A$2:$A$33,0),2),1,0)</f>
        <v>0</v>
      </c>
      <c r="AN149" s="64" t="str">
        <f>INDEX(Table2[AWAY_RECORD], MATCH(Table1[[#This Row],[AwayTeam]],Table2[Team], 0), 0)</f>
        <v>0-0-1</v>
      </c>
      <c r="AO149" s="64" t="str">
        <f>INDEX(Records!$B$2:$AG$33, MATCH(Table1[[#This Row],[AwayTeam]],Records!$A$2:$A$33, 0), MATCH(Table1[[#This Row],[HomeTeam]],Records!$A$2:$A$33, 0))</f>
        <v>0-0-0</v>
      </c>
      <c r="AP149" s="64" t="str">
        <f>INDEX(Table2[HOME_RECORD], MATCH(Table1[[#This Row],[HomeTeam]],Table2[Team], 0), 0)</f>
        <v>1-0-0</v>
      </c>
      <c r="AQ149" s="64" t="str">
        <f>INDEX(Records!$B$2:$AG$33, MATCH(Table1[[#This Row],[HomeTeam]],Records!$A$2:$A$33, 0), MATCH(Table1[[#This Row],[AwayTeam]],Records!$A$2:$A$33, 0))</f>
        <v>0-0-0</v>
      </c>
    </row>
    <row r="150" spans="1:43" x14ac:dyDescent="0.25">
      <c r="A150" s="1"/>
      <c r="D150" t="s">
        <v>341</v>
      </c>
      <c r="E150" t="s">
        <v>225</v>
      </c>
      <c r="F150" t="s">
        <v>350</v>
      </c>
      <c r="G150" t="s">
        <v>44</v>
      </c>
      <c r="H150" t="s">
        <v>56</v>
      </c>
      <c r="L15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5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50" s="1"/>
      <c r="T150" s="64" t="str">
        <f>IF(Table1[[#This Row],[ActualWinner]]="", "", IF(Table1[[#This Row],[AwayTeam]]=Table1[[#This Row],[ActualWinner]],Table1[[#This Row],[HomeTeam]],Table1[[#This Row],[AwayTeam]]))</f>
        <v/>
      </c>
      <c r="U150" s="64">
        <f>Table1[[#This Row],[ActualAwayScore]]-Table1[[#This Row],[PredictedAwayScore]]</f>
        <v>0</v>
      </c>
      <c r="V150" s="64">
        <f>Table1[[#This Row],[ActualHomeScore]]-Table1[[#This Row],[PredictedHomeScore]]</f>
        <v>0</v>
      </c>
      <c r="W150" s="64">
        <f>(0.8*IF(Table1[[#This Row],[CorrectWinnerPrediction]]=1, 1, 0))+(0.1*IF(Table1[[#This Row],[CorrectAwayScorePrediction]]=1, 1, 0))+(0.1*IF(Table1[[#This Row],[CorrectHomeScorePrediction]]=1, 1, 0))</f>
        <v>0</v>
      </c>
      <c r="X15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50" s="64">
        <f>SUMIF(Table1[GameDate], Table1[[#This Row],[GameDate]], Table1[AwayGameGoalDiff])</f>
        <v>0</v>
      </c>
      <c r="AA150" s="64">
        <f>SUMIF(Table1[GameDate], Table1[[#This Row],[GameDate]], Table1[HomeGameGoalDiff])</f>
        <v>0</v>
      </c>
      <c r="AB150" s="64">
        <f>IF(ISBLANK(Table1[[#This Row],[ActualResult]]), 0, 1)</f>
        <v>0</v>
      </c>
      <c r="AC150" s="64">
        <f>IF(ISBLANK(Table1[[#This Row],[ActualResult]]), 0, IF(Table1[[#This Row],[ActualWinner]]=Table1[[#This Row],[PredictedWinner]], 1, 0))</f>
        <v>0</v>
      </c>
      <c r="AD15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5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50" s="64">
        <f>IF(AND(Table1[[#This Row],[GameIsOver]]=1,Table1[[#This Row],[ActualAwayScore]]=0), 1,0)</f>
        <v>0</v>
      </c>
      <c r="AG150" s="64">
        <f>IF(AND(Table1[[#This Row],[GameIsOver]]=1,Table1[[#This Row],[ActualHomeScore]]=0), 1,0)</f>
        <v>0</v>
      </c>
      <c r="AH150" s="64">
        <f>IF(Table1[[#This Row],[GameIsOver]]=0,0,IF(Table1[[#This Row],[ActualWinner]]=Table1[[#This Row],[AwayTeam]], 1, 0))</f>
        <v>0</v>
      </c>
      <c r="AI150" s="64">
        <f>IF(Table1[[#This Row],[GameIsOver]]=0,0,IF(Table1[[#This Row],[ActualWinner]]=Table1[[#This Row],[HomeTeam]], 1, 0))</f>
        <v>0</v>
      </c>
      <c r="AJ150" s="64">
        <f>IF(INDEX(Standings!$A$2:$C$33,MATCH(Table1[[#This Row],[AwayTeam]],Standings!$A$2:$A$33,0),2)=INDEX(Standings!$A$2:$C$33,MATCH(Table1[[#This Row],[HomeTeam]],Standings!$A$2:$A$33,0),2),1,0)</f>
        <v>0</v>
      </c>
      <c r="AK150" s="64">
        <f>IF(INDEX(Standings!$A$2:$C$33,MATCH(Table1[[#This Row],[AwayTeam]],Standings!$A$2:$A$33,0),3)=INDEX(Standings!$A$2:$C$33,MATCH(Table1[[#This Row],[HomeTeam]],Standings!$A$2:$A$33,0),3),1,0)</f>
        <v>0</v>
      </c>
      <c r="AL150" s="64">
        <f>IF(Table1[[#This Row],[InterConf]]=1,IF(Table1[[#This Row],[InterDiv]]=0, 1, 0), 0)</f>
        <v>0</v>
      </c>
      <c r="AM150" s="64">
        <f>IF(INDEX(Standings!$A$2:$C$33,MATCH(Table1[[#This Row],[AwayTeam]],Standings!$A$2:$A$33,0),2)&lt;&gt;INDEX(Standings!$A$2:$C$33,MATCH(Table1[[#This Row],[HomeTeam]],Standings!$A$2:$A$33,0),2),1,0)</f>
        <v>1</v>
      </c>
      <c r="AN150" s="64" t="str">
        <f>INDEX(Table2[AWAY_RECORD], MATCH(Table1[[#This Row],[AwayTeam]],Table2[Team], 0), 0)</f>
        <v>0-0-0</v>
      </c>
      <c r="AO150" s="64" t="str">
        <f>INDEX(Records!$B$2:$AG$33, MATCH(Table1[[#This Row],[AwayTeam]],Records!$A$2:$A$33, 0), MATCH(Table1[[#This Row],[HomeTeam]],Records!$A$2:$A$33, 0))</f>
        <v>0-0-0</v>
      </c>
      <c r="AP150" s="64" t="str">
        <f>INDEX(Table2[HOME_RECORD], MATCH(Table1[[#This Row],[HomeTeam]],Table2[Team], 0), 0)</f>
        <v>0-0-0</v>
      </c>
      <c r="AQ150" s="64" t="str">
        <f>INDEX(Records!$B$2:$AG$33, MATCH(Table1[[#This Row],[HomeTeam]],Records!$A$2:$A$33, 0), MATCH(Table1[[#This Row],[AwayTeam]],Records!$A$2:$A$33, 0))</f>
        <v>0-0-0</v>
      </c>
    </row>
    <row r="151" spans="1:43" x14ac:dyDescent="0.25">
      <c r="A151" s="1"/>
      <c r="D151" t="s">
        <v>341</v>
      </c>
      <c r="E151" t="s">
        <v>164</v>
      </c>
      <c r="F151" t="s">
        <v>351</v>
      </c>
      <c r="G151" t="s">
        <v>40</v>
      </c>
      <c r="H151" t="s">
        <v>23</v>
      </c>
      <c r="L15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5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51" s="1"/>
      <c r="T151" s="64" t="str">
        <f>IF(Table1[[#This Row],[ActualWinner]]="", "", IF(Table1[[#This Row],[AwayTeam]]=Table1[[#This Row],[ActualWinner]],Table1[[#This Row],[HomeTeam]],Table1[[#This Row],[AwayTeam]]))</f>
        <v/>
      </c>
      <c r="U151" s="64">
        <f>Table1[[#This Row],[ActualAwayScore]]-Table1[[#This Row],[PredictedAwayScore]]</f>
        <v>0</v>
      </c>
      <c r="V151" s="64">
        <f>Table1[[#This Row],[ActualHomeScore]]-Table1[[#This Row],[PredictedHomeScore]]</f>
        <v>0</v>
      </c>
      <c r="W151" s="64">
        <f>(0.8*IF(Table1[[#This Row],[CorrectWinnerPrediction]]=1, 1, 0))+(0.1*IF(Table1[[#This Row],[CorrectAwayScorePrediction]]=1, 1, 0))+(0.1*IF(Table1[[#This Row],[CorrectHomeScorePrediction]]=1, 1, 0))</f>
        <v>0</v>
      </c>
      <c r="X15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51" s="64">
        <f>SUMIF(Table1[GameDate], Table1[[#This Row],[GameDate]], Table1[AwayGameGoalDiff])</f>
        <v>0</v>
      </c>
      <c r="AA151" s="64">
        <f>SUMIF(Table1[GameDate], Table1[[#This Row],[GameDate]], Table1[HomeGameGoalDiff])</f>
        <v>0</v>
      </c>
      <c r="AB151" s="64">
        <f>IF(ISBLANK(Table1[[#This Row],[ActualResult]]), 0, 1)</f>
        <v>0</v>
      </c>
      <c r="AC151" s="64">
        <f>IF(ISBLANK(Table1[[#This Row],[ActualResult]]), 0, IF(Table1[[#This Row],[ActualWinner]]=Table1[[#This Row],[PredictedWinner]], 1, 0))</f>
        <v>0</v>
      </c>
      <c r="AD15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5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51" s="64">
        <f>IF(AND(Table1[[#This Row],[GameIsOver]]=1,Table1[[#This Row],[ActualAwayScore]]=0), 1,0)</f>
        <v>0</v>
      </c>
      <c r="AG151" s="64">
        <f>IF(AND(Table1[[#This Row],[GameIsOver]]=1,Table1[[#This Row],[ActualHomeScore]]=0), 1,0)</f>
        <v>0</v>
      </c>
      <c r="AH151" s="64">
        <f>IF(Table1[[#This Row],[GameIsOver]]=0,0,IF(Table1[[#This Row],[ActualWinner]]=Table1[[#This Row],[AwayTeam]], 1, 0))</f>
        <v>0</v>
      </c>
      <c r="AI151" s="64">
        <f>IF(Table1[[#This Row],[GameIsOver]]=0,0,IF(Table1[[#This Row],[ActualWinner]]=Table1[[#This Row],[HomeTeam]], 1, 0))</f>
        <v>0</v>
      </c>
      <c r="AJ151" s="64">
        <f>IF(INDEX(Standings!$A$2:$C$33,MATCH(Table1[[#This Row],[AwayTeam]],Standings!$A$2:$A$33,0),2)=INDEX(Standings!$A$2:$C$33,MATCH(Table1[[#This Row],[HomeTeam]],Standings!$A$2:$A$33,0),2),1,0)</f>
        <v>0</v>
      </c>
      <c r="AK151" s="64">
        <f>IF(INDEX(Standings!$A$2:$C$33,MATCH(Table1[[#This Row],[AwayTeam]],Standings!$A$2:$A$33,0),3)=INDEX(Standings!$A$2:$C$33,MATCH(Table1[[#This Row],[HomeTeam]],Standings!$A$2:$A$33,0),3),1,0)</f>
        <v>0</v>
      </c>
      <c r="AL151" s="64">
        <f>IF(Table1[[#This Row],[InterConf]]=1,IF(Table1[[#This Row],[InterDiv]]=0, 1, 0), 0)</f>
        <v>0</v>
      </c>
      <c r="AM151" s="64">
        <f>IF(INDEX(Standings!$A$2:$C$33,MATCH(Table1[[#This Row],[AwayTeam]],Standings!$A$2:$A$33,0),2)&lt;&gt;INDEX(Standings!$A$2:$C$33,MATCH(Table1[[#This Row],[HomeTeam]],Standings!$A$2:$A$33,0),2),1,0)</f>
        <v>1</v>
      </c>
      <c r="AN151" s="64" t="str">
        <f>INDEX(Table2[AWAY_RECORD], MATCH(Table1[[#This Row],[AwayTeam]],Table2[Team], 0), 0)</f>
        <v>0-0-0</v>
      </c>
      <c r="AO151" s="64" t="str">
        <f>INDEX(Records!$B$2:$AG$33, MATCH(Table1[[#This Row],[AwayTeam]],Records!$A$2:$A$33, 0), MATCH(Table1[[#This Row],[HomeTeam]],Records!$A$2:$A$33, 0))</f>
        <v>0-0-0</v>
      </c>
      <c r="AP151" s="64" t="str">
        <f>INDEX(Table2[HOME_RECORD], MATCH(Table1[[#This Row],[HomeTeam]],Table2[Team], 0), 0)</f>
        <v>0-0-1</v>
      </c>
      <c r="AQ151" s="64" t="str">
        <f>INDEX(Records!$B$2:$AG$33, MATCH(Table1[[#This Row],[HomeTeam]],Records!$A$2:$A$33, 0), MATCH(Table1[[#This Row],[AwayTeam]],Records!$A$2:$A$33, 0))</f>
        <v>0-0-0</v>
      </c>
    </row>
    <row r="152" spans="1:43" x14ac:dyDescent="0.25">
      <c r="A152" s="1"/>
      <c r="D152" t="s">
        <v>341</v>
      </c>
      <c r="E152" t="s">
        <v>166</v>
      </c>
      <c r="F152" t="s">
        <v>352</v>
      </c>
      <c r="G152" t="s">
        <v>57</v>
      </c>
      <c r="H152" t="s">
        <v>25</v>
      </c>
      <c r="L15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5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52" s="1"/>
      <c r="T152" s="64" t="str">
        <f>IF(Table1[[#This Row],[ActualWinner]]="", "", IF(Table1[[#This Row],[AwayTeam]]=Table1[[#This Row],[ActualWinner]],Table1[[#This Row],[HomeTeam]],Table1[[#This Row],[AwayTeam]]))</f>
        <v/>
      </c>
      <c r="U152" s="64">
        <f>Table1[[#This Row],[ActualAwayScore]]-Table1[[#This Row],[PredictedAwayScore]]</f>
        <v>0</v>
      </c>
      <c r="V152" s="64">
        <f>Table1[[#This Row],[ActualHomeScore]]-Table1[[#This Row],[PredictedHomeScore]]</f>
        <v>0</v>
      </c>
      <c r="W152" s="64">
        <f>(0.8*IF(Table1[[#This Row],[CorrectWinnerPrediction]]=1, 1, 0))+(0.1*IF(Table1[[#This Row],[CorrectAwayScorePrediction]]=1, 1, 0))+(0.1*IF(Table1[[#This Row],[CorrectHomeScorePrediction]]=1, 1, 0))</f>
        <v>0</v>
      </c>
      <c r="X15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52" s="64">
        <f>SUMIF(Table1[GameDate], Table1[[#This Row],[GameDate]], Table1[AwayGameGoalDiff])</f>
        <v>0</v>
      </c>
      <c r="AA152" s="64">
        <f>SUMIF(Table1[GameDate], Table1[[#This Row],[GameDate]], Table1[HomeGameGoalDiff])</f>
        <v>0</v>
      </c>
      <c r="AB152" s="64">
        <f>IF(ISBLANK(Table1[[#This Row],[ActualResult]]), 0, 1)</f>
        <v>0</v>
      </c>
      <c r="AC152" s="64">
        <f>IF(ISBLANK(Table1[[#This Row],[ActualResult]]), 0, IF(Table1[[#This Row],[ActualWinner]]=Table1[[#This Row],[PredictedWinner]], 1, 0))</f>
        <v>0</v>
      </c>
      <c r="AD15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5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52" s="64">
        <f>IF(AND(Table1[[#This Row],[GameIsOver]]=1,Table1[[#This Row],[ActualAwayScore]]=0), 1,0)</f>
        <v>0</v>
      </c>
      <c r="AG152" s="64">
        <f>IF(AND(Table1[[#This Row],[GameIsOver]]=1,Table1[[#This Row],[ActualHomeScore]]=0), 1,0)</f>
        <v>0</v>
      </c>
      <c r="AH152" s="64">
        <f>IF(Table1[[#This Row],[GameIsOver]]=0,0,IF(Table1[[#This Row],[ActualWinner]]=Table1[[#This Row],[AwayTeam]], 1, 0))</f>
        <v>0</v>
      </c>
      <c r="AI152" s="64">
        <f>IF(Table1[[#This Row],[GameIsOver]]=0,0,IF(Table1[[#This Row],[ActualWinner]]=Table1[[#This Row],[HomeTeam]], 1, 0))</f>
        <v>0</v>
      </c>
      <c r="AJ152" s="64">
        <f>IF(INDEX(Standings!$A$2:$C$33,MATCH(Table1[[#This Row],[AwayTeam]],Standings!$A$2:$A$33,0),2)=INDEX(Standings!$A$2:$C$33,MATCH(Table1[[#This Row],[HomeTeam]],Standings!$A$2:$A$33,0),2),1,0)</f>
        <v>0</v>
      </c>
      <c r="AK152" s="64">
        <f>IF(INDEX(Standings!$A$2:$C$33,MATCH(Table1[[#This Row],[AwayTeam]],Standings!$A$2:$A$33,0),3)=INDEX(Standings!$A$2:$C$33,MATCH(Table1[[#This Row],[HomeTeam]],Standings!$A$2:$A$33,0),3),1,0)</f>
        <v>0</v>
      </c>
      <c r="AL152" s="64">
        <f>IF(Table1[[#This Row],[InterConf]]=1,IF(Table1[[#This Row],[InterDiv]]=0, 1, 0), 0)</f>
        <v>0</v>
      </c>
      <c r="AM152" s="64">
        <f>IF(INDEX(Standings!$A$2:$C$33,MATCH(Table1[[#This Row],[AwayTeam]],Standings!$A$2:$A$33,0),2)&lt;&gt;INDEX(Standings!$A$2:$C$33,MATCH(Table1[[#This Row],[HomeTeam]],Standings!$A$2:$A$33,0),2),1,0)</f>
        <v>1</v>
      </c>
      <c r="AN152" s="64" t="str">
        <f>INDEX(Table2[AWAY_RECORD], MATCH(Table1[[#This Row],[AwayTeam]],Table2[Team], 0), 0)</f>
        <v>0-1-0</v>
      </c>
      <c r="AO152" s="64" t="str">
        <f>INDEX(Records!$B$2:$AG$33, MATCH(Table1[[#This Row],[AwayTeam]],Records!$A$2:$A$33, 0), MATCH(Table1[[#This Row],[HomeTeam]],Records!$A$2:$A$33, 0))</f>
        <v>0-0-0</v>
      </c>
      <c r="AP152" s="64" t="str">
        <f>INDEX(Table2[HOME_RECORD], MATCH(Table1[[#This Row],[HomeTeam]],Table2[Team], 0), 0)</f>
        <v>0-0-1</v>
      </c>
      <c r="AQ152" s="64" t="str">
        <f>INDEX(Records!$B$2:$AG$33, MATCH(Table1[[#This Row],[HomeTeam]],Records!$A$2:$A$33, 0), MATCH(Table1[[#This Row],[AwayTeam]],Records!$A$2:$A$33, 0))</f>
        <v>0-0-0</v>
      </c>
    </row>
    <row r="153" spans="1:43" x14ac:dyDescent="0.25">
      <c r="A153" s="1"/>
      <c r="D153" t="s">
        <v>353</v>
      </c>
      <c r="E153" t="s">
        <v>169</v>
      </c>
      <c r="F153" t="s">
        <v>354</v>
      </c>
      <c r="G153" t="s">
        <v>53</v>
      </c>
      <c r="H153" t="s">
        <v>38</v>
      </c>
      <c r="L15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5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53" s="1"/>
      <c r="T153" s="64" t="str">
        <f>IF(Table1[[#This Row],[ActualWinner]]="", "", IF(Table1[[#This Row],[AwayTeam]]=Table1[[#This Row],[ActualWinner]],Table1[[#This Row],[HomeTeam]],Table1[[#This Row],[AwayTeam]]))</f>
        <v/>
      </c>
      <c r="U153" s="64">
        <f>Table1[[#This Row],[ActualAwayScore]]-Table1[[#This Row],[PredictedAwayScore]]</f>
        <v>0</v>
      </c>
      <c r="V153" s="64">
        <f>Table1[[#This Row],[ActualHomeScore]]-Table1[[#This Row],[PredictedHomeScore]]</f>
        <v>0</v>
      </c>
      <c r="W153" s="64">
        <f>(0.8*IF(Table1[[#This Row],[CorrectWinnerPrediction]]=1, 1, 0))+(0.1*IF(Table1[[#This Row],[CorrectAwayScorePrediction]]=1, 1, 0))+(0.1*IF(Table1[[#This Row],[CorrectHomeScorePrediction]]=1, 1, 0))</f>
        <v>0</v>
      </c>
      <c r="X15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53" s="64">
        <f>SUMIF(Table1[GameDate], Table1[[#This Row],[GameDate]], Table1[AwayGameGoalDiff])</f>
        <v>0</v>
      </c>
      <c r="AA153" s="64">
        <f>SUMIF(Table1[GameDate], Table1[[#This Row],[GameDate]], Table1[HomeGameGoalDiff])</f>
        <v>0</v>
      </c>
      <c r="AB153" s="64">
        <f>IF(ISBLANK(Table1[[#This Row],[ActualResult]]), 0, 1)</f>
        <v>0</v>
      </c>
      <c r="AC153" s="64">
        <f>IF(ISBLANK(Table1[[#This Row],[ActualResult]]), 0, IF(Table1[[#This Row],[ActualWinner]]=Table1[[#This Row],[PredictedWinner]], 1, 0))</f>
        <v>0</v>
      </c>
      <c r="AD15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5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53" s="64">
        <f>IF(AND(Table1[[#This Row],[GameIsOver]]=1,Table1[[#This Row],[ActualAwayScore]]=0), 1,0)</f>
        <v>0</v>
      </c>
      <c r="AG153" s="64">
        <f>IF(AND(Table1[[#This Row],[GameIsOver]]=1,Table1[[#This Row],[ActualHomeScore]]=0), 1,0)</f>
        <v>0</v>
      </c>
      <c r="AH153" s="64">
        <f>IF(Table1[[#This Row],[GameIsOver]]=0,0,IF(Table1[[#This Row],[ActualWinner]]=Table1[[#This Row],[AwayTeam]], 1, 0))</f>
        <v>0</v>
      </c>
      <c r="AI153" s="64">
        <f>IF(Table1[[#This Row],[GameIsOver]]=0,0,IF(Table1[[#This Row],[ActualWinner]]=Table1[[#This Row],[HomeTeam]], 1, 0))</f>
        <v>0</v>
      </c>
      <c r="AJ153" s="64">
        <f>IF(INDEX(Standings!$A$2:$C$33,MATCH(Table1[[#This Row],[AwayTeam]],Standings!$A$2:$A$33,0),2)=INDEX(Standings!$A$2:$C$33,MATCH(Table1[[#This Row],[HomeTeam]],Standings!$A$2:$A$33,0),2),1,0)</f>
        <v>1</v>
      </c>
      <c r="AK153" s="64">
        <f>IF(INDEX(Standings!$A$2:$C$33,MATCH(Table1[[#This Row],[AwayTeam]],Standings!$A$2:$A$33,0),3)=INDEX(Standings!$A$2:$C$33,MATCH(Table1[[#This Row],[HomeTeam]],Standings!$A$2:$A$33,0),3),1,0)</f>
        <v>0</v>
      </c>
      <c r="AL153" s="64">
        <f>IF(Table1[[#This Row],[InterConf]]=1,IF(Table1[[#This Row],[InterDiv]]=0, 1, 0), 0)</f>
        <v>1</v>
      </c>
      <c r="AM153" s="64">
        <f>IF(INDEX(Standings!$A$2:$C$33,MATCH(Table1[[#This Row],[AwayTeam]],Standings!$A$2:$A$33,0),2)&lt;&gt;INDEX(Standings!$A$2:$C$33,MATCH(Table1[[#This Row],[HomeTeam]],Standings!$A$2:$A$33,0),2),1,0)</f>
        <v>0</v>
      </c>
      <c r="AN153" s="64" t="str">
        <f>INDEX(Table2[AWAY_RECORD], MATCH(Table1[[#This Row],[AwayTeam]],Table2[Team], 0), 0)</f>
        <v>0-1-0</v>
      </c>
      <c r="AO153" s="64" t="str">
        <f>INDEX(Records!$B$2:$AG$33, MATCH(Table1[[#This Row],[AwayTeam]],Records!$A$2:$A$33, 0), MATCH(Table1[[#This Row],[HomeTeam]],Records!$A$2:$A$33, 0))</f>
        <v>0-0-0</v>
      </c>
      <c r="AP153" s="64" t="str">
        <f>INDEX(Table2[HOME_RECORD], MATCH(Table1[[#This Row],[HomeTeam]],Table2[Team], 0), 0)</f>
        <v>0-0-0</v>
      </c>
      <c r="AQ153" s="64" t="str">
        <f>INDEX(Records!$B$2:$AG$33, MATCH(Table1[[#This Row],[HomeTeam]],Records!$A$2:$A$33, 0), MATCH(Table1[[#This Row],[AwayTeam]],Records!$A$2:$A$33, 0))</f>
        <v>0-0-0</v>
      </c>
    </row>
    <row r="154" spans="1:43" x14ac:dyDescent="0.25">
      <c r="A154" s="1"/>
      <c r="D154" t="s">
        <v>353</v>
      </c>
      <c r="E154" t="s">
        <v>169</v>
      </c>
      <c r="F154" t="s">
        <v>355</v>
      </c>
      <c r="G154" t="s">
        <v>17</v>
      </c>
      <c r="H154" t="s">
        <v>52</v>
      </c>
      <c r="L15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5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54" s="1"/>
      <c r="T154" s="64" t="str">
        <f>IF(Table1[[#This Row],[ActualWinner]]="", "", IF(Table1[[#This Row],[AwayTeam]]=Table1[[#This Row],[ActualWinner]],Table1[[#This Row],[HomeTeam]],Table1[[#This Row],[AwayTeam]]))</f>
        <v/>
      </c>
      <c r="U154" s="64">
        <f>Table1[[#This Row],[ActualAwayScore]]-Table1[[#This Row],[PredictedAwayScore]]</f>
        <v>0</v>
      </c>
      <c r="V154" s="64">
        <f>Table1[[#This Row],[ActualHomeScore]]-Table1[[#This Row],[PredictedHomeScore]]</f>
        <v>0</v>
      </c>
      <c r="W154" s="64">
        <f>(0.8*IF(Table1[[#This Row],[CorrectWinnerPrediction]]=1, 1, 0))+(0.1*IF(Table1[[#This Row],[CorrectAwayScorePrediction]]=1, 1, 0))+(0.1*IF(Table1[[#This Row],[CorrectHomeScorePrediction]]=1, 1, 0))</f>
        <v>0</v>
      </c>
      <c r="X15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54" s="64">
        <f>SUMIF(Table1[GameDate], Table1[[#This Row],[GameDate]], Table1[AwayGameGoalDiff])</f>
        <v>0</v>
      </c>
      <c r="AA154" s="64">
        <f>SUMIF(Table1[GameDate], Table1[[#This Row],[GameDate]], Table1[HomeGameGoalDiff])</f>
        <v>0</v>
      </c>
      <c r="AB154" s="64">
        <f>IF(ISBLANK(Table1[[#This Row],[ActualResult]]), 0, 1)</f>
        <v>0</v>
      </c>
      <c r="AC154" s="64">
        <f>IF(ISBLANK(Table1[[#This Row],[ActualResult]]), 0, IF(Table1[[#This Row],[ActualWinner]]=Table1[[#This Row],[PredictedWinner]], 1, 0))</f>
        <v>0</v>
      </c>
      <c r="AD15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5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54" s="64">
        <f>IF(AND(Table1[[#This Row],[GameIsOver]]=1,Table1[[#This Row],[ActualAwayScore]]=0), 1,0)</f>
        <v>0</v>
      </c>
      <c r="AG154" s="64">
        <f>IF(AND(Table1[[#This Row],[GameIsOver]]=1,Table1[[#This Row],[ActualHomeScore]]=0), 1,0)</f>
        <v>0</v>
      </c>
      <c r="AH154" s="64">
        <f>IF(Table1[[#This Row],[GameIsOver]]=0,0,IF(Table1[[#This Row],[ActualWinner]]=Table1[[#This Row],[AwayTeam]], 1, 0))</f>
        <v>0</v>
      </c>
      <c r="AI154" s="64">
        <f>IF(Table1[[#This Row],[GameIsOver]]=0,0,IF(Table1[[#This Row],[ActualWinner]]=Table1[[#This Row],[HomeTeam]], 1, 0))</f>
        <v>0</v>
      </c>
      <c r="AJ154" s="64">
        <f>IF(INDEX(Standings!$A$2:$C$33,MATCH(Table1[[#This Row],[AwayTeam]],Standings!$A$2:$A$33,0),2)=INDEX(Standings!$A$2:$C$33,MATCH(Table1[[#This Row],[HomeTeam]],Standings!$A$2:$A$33,0),2),1,0)</f>
        <v>1</v>
      </c>
      <c r="AK154" s="64">
        <f>IF(INDEX(Standings!$A$2:$C$33,MATCH(Table1[[#This Row],[AwayTeam]],Standings!$A$2:$A$33,0),3)=INDEX(Standings!$A$2:$C$33,MATCH(Table1[[#This Row],[HomeTeam]],Standings!$A$2:$A$33,0),3),1,0)</f>
        <v>1</v>
      </c>
      <c r="AL154" s="64">
        <f>IF(Table1[[#This Row],[InterConf]]=1,IF(Table1[[#This Row],[InterDiv]]=0, 1, 0), 0)</f>
        <v>0</v>
      </c>
      <c r="AM154" s="64">
        <f>IF(INDEX(Standings!$A$2:$C$33,MATCH(Table1[[#This Row],[AwayTeam]],Standings!$A$2:$A$33,0),2)&lt;&gt;INDEX(Standings!$A$2:$C$33,MATCH(Table1[[#This Row],[HomeTeam]],Standings!$A$2:$A$33,0),2),1,0)</f>
        <v>0</v>
      </c>
      <c r="AN154" s="64" t="str">
        <f>INDEX(Table2[AWAY_RECORD], MATCH(Table1[[#This Row],[AwayTeam]],Table2[Team], 0), 0)</f>
        <v>2-0-0</v>
      </c>
      <c r="AO154" s="64" t="str">
        <f>INDEX(Records!$B$2:$AG$33, MATCH(Table1[[#This Row],[AwayTeam]],Records!$A$2:$A$33, 0), MATCH(Table1[[#This Row],[HomeTeam]],Records!$A$2:$A$33, 0))</f>
        <v>0-0-0</v>
      </c>
      <c r="AP154" s="64" t="str">
        <f>INDEX(Table2[HOME_RECORD], MATCH(Table1[[#This Row],[HomeTeam]],Table2[Team], 0), 0)</f>
        <v>0-0-0</v>
      </c>
      <c r="AQ154" s="64" t="str">
        <f>INDEX(Records!$B$2:$AG$33, MATCH(Table1[[#This Row],[HomeTeam]],Records!$A$2:$A$33, 0), MATCH(Table1[[#This Row],[AwayTeam]],Records!$A$2:$A$33, 0))</f>
        <v>0-0-0</v>
      </c>
    </row>
    <row r="155" spans="1:43" x14ac:dyDescent="0.25">
      <c r="A155" s="1"/>
      <c r="D155" t="s">
        <v>356</v>
      </c>
      <c r="E155" t="s">
        <v>160</v>
      </c>
      <c r="F155" t="s">
        <v>357</v>
      </c>
      <c r="G155" t="s">
        <v>48</v>
      </c>
      <c r="H155" t="s">
        <v>37</v>
      </c>
      <c r="L15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5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55" s="1"/>
      <c r="T155" s="64" t="str">
        <f>IF(Table1[[#This Row],[ActualWinner]]="", "", IF(Table1[[#This Row],[AwayTeam]]=Table1[[#This Row],[ActualWinner]],Table1[[#This Row],[HomeTeam]],Table1[[#This Row],[AwayTeam]]))</f>
        <v/>
      </c>
      <c r="U155" s="64">
        <f>Table1[[#This Row],[ActualAwayScore]]-Table1[[#This Row],[PredictedAwayScore]]</f>
        <v>0</v>
      </c>
      <c r="V155" s="64">
        <f>Table1[[#This Row],[ActualHomeScore]]-Table1[[#This Row],[PredictedHomeScore]]</f>
        <v>0</v>
      </c>
      <c r="W155" s="64">
        <f>(0.8*IF(Table1[[#This Row],[CorrectWinnerPrediction]]=1, 1, 0))+(0.1*IF(Table1[[#This Row],[CorrectAwayScorePrediction]]=1, 1, 0))+(0.1*IF(Table1[[#This Row],[CorrectHomeScorePrediction]]=1, 1, 0))</f>
        <v>0</v>
      </c>
      <c r="X15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55" s="64">
        <f>SUMIF(Table1[GameDate], Table1[[#This Row],[GameDate]], Table1[AwayGameGoalDiff])</f>
        <v>0</v>
      </c>
      <c r="AA155" s="64">
        <f>SUMIF(Table1[GameDate], Table1[[#This Row],[GameDate]], Table1[HomeGameGoalDiff])</f>
        <v>0</v>
      </c>
      <c r="AB155" s="64">
        <f>IF(ISBLANK(Table1[[#This Row],[ActualResult]]), 0, 1)</f>
        <v>0</v>
      </c>
      <c r="AC155" s="64">
        <f>IF(ISBLANK(Table1[[#This Row],[ActualResult]]), 0, IF(Table1[[#This Row],[ActualWinner]]=Table1[[#This Row],[PredictedWinner]], 1, 0))</f>
        <v>0</v>
      </c>
      <c r="AD15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5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55" s="64">
        <f>IF(AND(Table1[[#This Row],[GameIsOver]]=1,Table1[[#This Row],[ActualAwayScore]]=0), 1,0)</f>
        <v>0</v>
      </c>
      <c r="AG155" s="64">
        <f>IF(AND(Table1[[#This Row],[GameIsOver]]=1,Table1[[#This Row],[ActualHomeScore]]=0), 1,0)</f>
        <v>0</v>
      </c>
      <c r="AH155" s="64">
        <f>IF(Table1[[#This Row],[GameIsOver]]=0,0,IF(Table1[[#This Row],[ActualWinner]]=Table1[[#This Row],[AwayTeam]], 1, 0))</f>
        <v>0</v>
      </c>
      <c r="AI155" s="64">
        <f>IF(Table1[[#This Row],[GameIsOver]]=0,0,IF(Table1[[#This Row],[ActualWinner]]=Table1[[#This Row],[HomeTeam]], 1, 0))</f>
        <v>0</v>
      </c>
      <c r="AJ155" s="64">
        <f>IF(INDEX(Standings!$A$2:$C$33,MATCH(Table1[[#This Row],[AwayTeam]],Standings!$A$2:$A$33,0),2)=INDEX(Standings!$A$2:$C$33,MATCH(Table1[[#This Row],[HomeTeam]],Standings!$A$2:$A$33,0),2),1,0)</f>
        <v>0</v>
      </c>
      <c r="AK155" s="64">
        <f>IF(INDEX(Standings!$A$2:$C$33,MATCH(Table1[[#This Row],[AwayTeam]],Standings!$A$2:$A$33,0),3)=INDEX(Standings!$A$2:$C$33,MATCH(Table1[[#This Row],[HomeTeam]],Standings!$A$2:$A$33,0),3),1,0)</f>
        <v>0</v>
      </c>
      <c r="AL155" s="64">
        <f>IF(Table1[[#This Row],[InterConf]]=1,IF(Table1[[#This Row],[InterDiv]]=0, 1, 0), 0)</f>
        <v>0</v>
      </c>
      <c r="AM155" s="64">
        <f>IF(INDEX(Standings!$A$2:$C$33,MATCH(Table1[[#This Row],[AwayTeam]],Standings!$A$2:$A$33,0),2)&lt;&gt;INDEX(Standings!$A$2:$C$33,MATCH(Table1[[#This Row],[HomeTeam]],Standings!$A$2:$A$33,0),2),1,0)</f>
        <v>1</v>
      </c>
      <c r="AN155" s="64" t="str">
        <f>INDEX(Table2[AWAY_RECORD], MATCH(Table1[[#This Row],[AwayTeam]],Table2[Team], 0), 0)</f>
        <v>0-0-0</v>
      </c>
      <c r="AO155" s="64" t="str">
        <f>INDEX(Records!$B$2:$AG$33, MATCH(Table1[[#This Row],[AwayTeam]],Records!$A$2:$A$33, 0), MATCH(Table1[[#This Row],[HomeTeam]],Records!$A$2:$A$33, 0))</f>
        <v>0-0-0</v>
      </c>
      <c r="AP155" s="64" t="str">
        <f>INDEX(Table2[HOME_RECORD], MATCH(Table1[[#This Row],[HomeTeam]],Table2[Team], 0), 0)</f>
        <v>0-1-0</v>
      </c>
      <c r="AQ155" s="64" t="str">
        <f>INDEX(Records!$B$2:$AG$33, MATCH(Table1[[#This Row],[HomeTeam]],Records!$A$2:$A$33, 0), MATCH(Table1[[#This Row],[AwayTeam]],Records!$A$2:$A$33, 0))</f>
        <v>0-0-0</v>
      </c>
    </row>
    <row r="156" spans="1:43" x14ac:dyDescent="0.25">
      <c r="A156" s="1"/>
      <c r="D156" t="s">
        <v>356</v>
      </c>
      <c r="E156" t="s">
        <v>160</v>
      </c>
      <c r="F156" t="s">
        <v>358</v>
      </c>
      <c r="G156" t="s">
        <v>51</v>
      </c>
      <c r="H156" t="s">
        <v>24</v>
      </c>
      <c r="L15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5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56" s="1"/>
      <c r="T156" s="64" t="str">
        <f>IF(Table1[[#This Row],[ActualWinner]]="", "", IF(Table1[[#This Row],[AwayTeam]]=Table1[[#This Row],[ActualWinner]],Table1[[#This Row],[HomeTeam]],Table1[[#This Row],[AwayTeam]]))</f>
        <v/>
      </c>
      <c r="U156" s="64">
        <f>Table1[[#This Row],[ActualAwayScore]]-Table1[[#This Row],[PredictedAwayScore]]</f>
        <v>0</v>
      </c>
      <c r="V156" s="64">
        <f>Table1[[#This Row],[ActualHomeScore]]-Table1[[#This Row],[PredictedHomeScore]]</f>
        <v>0</v>
      </c>
      <c r="W156" s="64">
        <f>(0.8*IF(Table1[[#This Row],[CorrectWinnerPrediction]]=1, 1, 0))+(0.1*IF(Table1[[#This Row],[CorrectAwayScorePrediction]]=1, 1, 0))+(0.1*IF(Table1[[#This Row],[CorrectHomeScorePrediction]]=1, 1, 0))</f>
        <v>0</v>
      </c>
      <c r="X15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56" s="64">
        <f>SUMIF(Table1[GameDate], Table1[[#This Row],[GameDate]], Table1[AwayGameGoalDiff])</f>
        <v>0</v>
      </c>
      <c r="AA156" s="64">
        <f>SUMIF(Table1[GameDate], Table1[[#This Row],[GameDate]], Table1[HomeGameGoalDiff])</f>
        <v>0</v>
      </c>
      <c r="AB156" s="64">
        <f>IF(ISBLANK(Table1[[#This Row],[ActualResult]]), 0, 1)</f>
        <v>0</v>
      </c>
      <c r="AC156" s="64">
        <f>IF(ISBLANK(Table1[[#This Row],[ActualResult]]), 0, IF(Table1[[#This Row],[ActualWinner]]=Table1[[#This Row],[PredictedWinner]], 1, 0))</f>
        <v>0</v>
      </c>
      <c r="AD15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5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56" s="64">
        <f>IF(AND(Table1[[#This Row],[GameIsOver]]=1,Table1[[#This Row],[ActualAwayScore]]=0), 1,0)</f>
        <v>0</v>
      </c>
      <c r="AG156" s="64">
        <f>IF(AND(Table1[[#This Row],[GameIsOver]]=1,Table1[[#This Row],[ActualHomeScore]]=0), 1,0)</f>
        <v>0</v>
      </c>
      <c r="AH156" s="64">
        <f>IF(Table1[[#This Row],[GameIsOver]]=0,0,IF(Table1[[#This Row],[ActualWinner]]=Table1[[#This Row],[AwayTeam]], 1, 0))</f>
        <v>0</v>
      </c>
      <c r="AI156" s="64">
        <f>IF(Table1[[#This Row],[GameIsOver]]=0,0,IF(Table1[[#This Row],[ActualWinner]]=Table1[[#This Row],[HomeTeam]], 1, 0))</f>
        <v>0</v>
      </c>
      <c r="AJ156" s="64">
        <f>IF(INDEX(Standings!$A$2:$C$33,MATCH(Table1[[#This Row],[AwayTeam]],Standings!$A$2:$A$33,0),2)=INDEX(Standings!$A$2:$C$33,MATCH(Table1[[#This Row],[HomeTeam]],Standings!$A$2:$A$33,0),2),1,0)</f>
        <v>1</v>
      </c>
      <c r="AK156" s="64">
        <f>IF(INDEX(Standings!$A$2:$C$33,MATCH(Table1[[#This Row],[AwayTeam]],Standings!$A$2:$A$33,0),3)=INDEX(Standings!$A$2:$C$33,MATCH(Table1[[#This Row],[HomeTeam]],Standings!$A$2:$A$33,0),3),1,0)</f>
        <v>0</v>
      </c>
      <c r="AL156" s="64">
        <f>IF(Table1[[#This Row],[InterConf]]=1,IF(Table1[[#This Row],[InterDiv]]=0, 1, 0), 0)</f>
        <v>1</v>
      </c>
      <c r="AM156" s="64">
        <f>IF(INDEX(Standings!$A$2:$C$33,MATCH(Table1[[#This Row],[AwayTeam]],Standings!$A$2:$A$33,0),2)&lt;&gt;INDEX(Standings!$A$2:$C$33,MATCH(Table1[[#This Row],[HomeTeam]],Standings!$A$2:$A$33,0),2),1,0)</f>
        <v>0</v>
      </c>
      <c r="AN156" s="64" t="str">
        <f>INDEX(Table2[AWAY_RECORD], MATCH(Table1[[#This Row],[AwayTeam]],Table2[Team], 0), 0)</f>
        <v>2-0-0</v>
      </c>
      <c r="AO156" s="64" t="str">
        <f>INDEX(Records!$B$2:$AG$33, MATCH(Table1[[#This Row],[AwayTeam]],Records!$A$2:$A$33, 0), MATCH(Table1[[#This Row],[HomeTeam]],Records!$A$2:$A$33, 0))</f>
        <v>0-0-0</v>
      </c>
      <c r="AP156" s="64" t="str">
        <f>INDEX(Table2[HOME_RECORD], MATCH(Table1[[#This Row],[HomeTeam]],Table2[Team], 0), 0)</f>
        <v>0-2-0</v>
      </c>
      <c r="AQ156" s="64" t="str">
        <f>INDEX(Records!$B$2:$AG$33, MATCH(Table1[[#This Row],[HomeTeam]],Records!$A$2:$A$33, 0), MATCH(Table1[[#This Row],[AwayTeam]],Records!$A$2:$A$33, 0))</f>
        <v>0-0-0</v>
      </c>
    </row>
    <row r="157" spans="1:43" x14ac:dyDescent="0.25">
      <c r="A157" s="1"/>
      <c r="D157" t="s">
        <v>356</v>
      </c>
      <c r="E157" t="s">
        <v>160</v>
      </c>
      <c r="F157" t="s">
        <v>359</v>
      </c>
      <c r="G157" t="s">
        <v>55</v>
      </c>
      <c r="H157" t="s">
        <v>52</v>
      </c>
      <c r="L15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5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57" s="1"/>
      <c r="T157" s="64" t="str">
        <f>IF(Table1[[#This Row],[ActualWinner]]="", "", IF(Table1[[#This Row],[AwayTeam]]=Table1[[#This Row],[ActualWinner]],Table1[[#This Row],[HomeTeam]],Table1[[#This Row],[AwayTeam]]))</f>
        <v/>
      </c>
      <c r="U157" s="64">
        <f>Table1[[#This Row],[ActualAwayScore]]-Table1[[#This Row],[PredictedAwayScore]]</f>
        <v>0</v>
      </c>
      <c r="V157" s="64">
        <f>Table1[[#This Row],[ActualHomeScore]]-Table1[[#This Row],[PredictedHomeScore]]</f>
        <v>0</v>
      </c>
      <c r="W157" s="64">
        <f>(0.8*IF(Table1[[#This Row],[CorrectWinnerPrediction]]=1, 1, 0))+(0.1*IF(Table1[[#This Row],[CorrectAwayScorePrediction]]=1, 1, 0))+(0.1*IF(Table1[[#This Row],[CorrectHomeScorePrediction]]=1, 1, 0))</f>
        <v>0</v>
      </c>
      <c r="X15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57" s="64">
        <f>SUMIF(Table1[GameDate], Table1[[#This Row],[GameDate]], Table1[AwayGameGoalDiff])</f>
        <v>0</v>
      </c>
      <c r="AA157" s="64">
        <f>SUMIF(Table1[GameDate], Table1[[#This Row],[GameDate]], Table1[HomeGameGoalDiff])</f>
        <v>0</v>
      </c>
      <c r="AB157" s="64">
        <f>IF(ISBLANK(Table1[[#This Row],[ActualResult]]), 0, 1)</f>
        <v>0</v>
      </c>
      <c r="AC157" s="64">
        <f>IF(ISBLANK(Table1[[#This Row],[ActualResult]]), 0, IF(Table1[[#This Row],[ActualWinner]]=Table1[[#This Row],[PredictedWinner]], 1, 0))</f>
        <v>0</v>
      </c>
      <c r="AD15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5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57" s="64">
        <f>IF(AND(Table1[[#This Row],[GameIsOver]]=1,Table1[[#This Row],[ActualAwayScore]]=0), 1,0)</f>
        <v>0</v>
      </c>
      <c r="AG157" s="64">
        <f>IF(AND(Table1[[#This Row],[GameIsOver]]=1,Table1[[#This Row],[ActualHomeScore]]=0), 1,0)</f>
        <v>0</v>
      </c>
      <c r="AH157" s="64">
        <f>IF(Table1[[#This Row],[GameIsOver]]=0,0,IF(Table1[[#This Row],[ActualWinner]]=Table1[[#This Row],[AwayTeam]], 1, 0))</f>
        <v>0</v>
      </c>
      <c r="AI157" s="64">
        <f>IF(Table1[[#This Row],[GameIsOver]]=0,0,IF(Table1[[#This Row],[ActualWinner]]=Table1[[#This Row],[HomeTeam]], 1, 0))</f>
        <v>0</v>
      </c>
      <c r="AJ157" s="64">
        <f>IF(INDEX(Standings!$A$2:$C$33,MATCH(Table1[[#This Row],[AwayTeam]],Standings!$A$2:$A$33,0),2)=INDEX(Standings!$A$2:$C$33,MATCH(Table1[[#This Row],[HomeTeam]],Standings!$A$2:$A$33,0),2),1,0)</f>
        <v>0</v>
      </c>
      <c r="AK157" s="64">
        <f>IF(INDEX(Standings!$A$2:$C$33,MATCH(Table1[[#This Row],[AwayTeam]],Standings!$A$2:$A$33,0),3)=INDEX(Standings!$A$2:$C$33,MATCH(Table1[[#This Row],[HomeTeam]],Standings!$A$2:$A$33,0),3),1,0)</f>
        <v>0</v>
      </c>
      <c r="AL157" s="64">
        <f>IF(Table1[[#This Row],[InterConf]]=1,IF(Table1[[#This Row],[InterDiv]]=0, 1, 0), 0)</f>
        <v>0</v>
      </c>
      <c r="AM157" s="64">
        <f>IF(INDEX(Standings!$A$2:$C$33,MATCH(Table1[[#This Row],[AwayTeam]],Standings!$A$2:$A$33,0),2)&lt;&gt;INDEX(Standings!$A$2:$C$33,MATCH(Table1[[#This Row],[HomeTeam]],Standings!$A$2:$A$33,0),2),1,0)</f>
        <v>1</v>
      </c>
      <c r="AN157" s="64" t="str">
        <f>INDEX(Table2[AWAY_RECORD], MATCH(Table1[[#This Row],[AwayTeam]],Table2[Team], 0), 0)</f>
        <v>0-0-0</v>
      </c>
      <c r="AO157" s="64" t="str">
        <f>INDEX(Records!$B$2:$AG$33, MATCH(Table1[[#This Row],[AwayTeam]],Records!$A$2:$A$33, 0), MATCH(Table1[[#This Row],[HomeTeam]],Records!$A$2:$A$33, 0))</f>
        <v>0-0-0</v>
      </c>
      <c r="AP157" s="64" t="str">
        <f>INDEX(Table2[HOME_RECORD], MATCH(Table1[[#This Row],[HomeTeam]],Table2[Team], 0), 0)</f>
        <v>0-0-0</v>
      </c>
      <c r="AQ157" s="64" t="str">
        <f>INDEX(Records!$B$2:$AG$33, MATCH(Table1[[#This Row],[HomeTeam]],Records!$A$2:$A$33, 0), MATCH(Table1[[#This Row],[AwayTeam]],Records!$A$2:$A$33, 0))</f>
        <v>0-0-0</v>
      </c>
    </row>
    <row r="158" spans="1:43" x14ac:dyDescent="0.25">
      <c r="A158" s="1"/>
      <c r="D158" t="s">
        <v>356</v>
      </c>
      <c r="E158" t="s">
        <v>160</v>
      </c>
      <c r="F158" t="s">
        <v>360</v>
      </c>
      <c r="G158" t="s">
        <v>36</v>
      </c>
      <c r="H158" t="s">
        <v>49</v>
      </c>
      <c r="L15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5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58" s="1"/>
      <c r="T158" s="64" t="str">
        <f>IF(Table1[[#This Row],[ActualWinner]]="", "", IF(Table1[[#This Row],[AwayTeam]]=Table1[[#This Row],[ActualWinner]],Table1[[#This Row],[HomeTeam]],Table1[[#This Row],[AwayTeam]]))</f>
        <v/>
      </c>
      <c r="U158" s="64">
        <f>Table1[[#This Row],[ActualAwayScore]]-Table1[[#This Row],[PredictedAwayScore]]</f>
        <v>0</v>
      </c>
      <c r="V158" s="64">
        <f>Table1[[#This Row],[ActualHomeScore]]-Table1[[#This Row],[PredictedHomeScore]]</f>
        <v>0</v>
      </c>
      <c r="W158" s="64">
        <f>(0.8*IF(Table1[[#This Row],[CorrectWinnerPrediction]]=1, 1, 0))+(0.1*IF(Table1[[#This Row],[CorrectAwayScorePrediction]]=1, 1, 0))+(0.1*IF(Table1[[#This Row],[CorrectHomeScorePrediction]]=1, 1, 0))</f>
        <v>0</v>
      </c>
      <c r="X15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58" s="64">
        <f>SUMIF(Table1[GameDate], Table1[[#This Row],[GameDate]], Table1[AwayGameGoalDiff])</f>
        <v>0</v>
      </c>
      <c r="AA158" s="64">
        <f>SUMIF(Table1[GameDate], Table1[[#This Row],[GameDate]], Table1[HomeGameGoalDiff])</f>
        <v>0</v>
      </c>
      <c r="AB158" s="64">
        <f>IF(ISBLANK(Table1[[#This Row],[ActualResult]]), 0, 1)</f>
        <v>0</v>
      </c>
      <c r="AC158" s="64">
        <f>IF(ISBLANK(Table1[[#This Row],[ActualResult]]), 0, IF(Table1[[#This Row],[ActualWinner]]=Table1[[#This Row],[PredictedWinner]], 1, 0))</f>
        <v>0</v>
      </c>
      <c r="AD15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5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58" s="64">
        <f>IF(AND(Table1[[#This Row],[GameIsOver]]=1,Table1[[#This Row],[ActualAwayScore]]=0), 1,0)</f>
        <v>0</v>
      </c>
      <c r="AG158" s="64">
        <f>IF(AND(Table1[[#This Row],[GameIsOver]]=1,Table1[[#This Row],[ActualHomeScore]]=0), 1,0)</f>
        <v>0</v>
      </c>
      <c r="AH158" s="64">
        <f>IF(Table1[[#This Row],[GameIsOver]]=0,0,IF(Table1[[#This Row],[ActualWinner]]=Table1[[#This Row],[AwayTeam]], 1, 0))</f>
        <v>0</v>
      </c>
      <c r="AI158" s="64">
        <f>IF(Table1[[#This Row],[GameIsOver]]=0,0,IF(Table1[[#This Row],[ActualWinner]]=Table1[[#This Row],[HomeTeam]], 1, 0))</f>
        <v>0</v>
      </c>
      <c r="AJ158" s="64">
        <f>IF(INDEX(Standings!$A$2:$C$33,MATCH(Table1[[#This Row],[AwayTeam]],Standings!$A$2:$A$33,0),2)=INDEX(Standings!$A$2:$C$33,MATCH(Table1[[#This Row],[HomeTeam]],Standings!$A$2:$A$33,0),2),1,0)</f>
        <v>0</v>
      </c>
      <c r="AK158" s="64">
        <f>IF(INDEX(Standings!$A$2:$C$33,MATCH(Table1[[#This Row],[AwayTeam]],Standings!$A$2:$A$33,0),3)=INDEX(Standings!$A$2:$C$33,MATCH(Table1[[#This Row],[HomeTeam]],Standings!$A$2:$A$33,0),3),1,0)</f>
        <v>0</v>
      </c>
      <c r="AL158" s="64">
        <f>IF(Table1[[#This Row],[InterConf]]=1,IF(Table1[[#This Row],[InterDiv]]=0, 1, 0), 0)</f>
        <v>0</v>
      </c>
      <c r="AM158" s="64">
        <f>IF(INDEX(Standings!$A$2:$C$33,MATCH(Table1[[#This Row],[AwayTeam]],Standings!$A$2:$A$33,0),2)&lt;&gt;INDEX(Standings!$A$2:$C$33,MATCH(Table1[[#This Row],[HomeTeam]],Standings!$A$2:$A$33,0),2),1,0)</f>
        <v>1</v>
      </c>
      <c r="AN158" s="64" t="str">
        <f>INDEX(Table2[AWAY_RECORD], MATCH(Table1[[#This Row],[AwayTeam]],Table2[Team], 0), 0)</f>
        <v>0-0-0</v>
      </c>
      <c r="AO158" s="64" t="str">
        <f>INDEX(Records!$B$2:$AG$33, MATCH(Table1[[#This Row],[AwayTeam]],Records!$A$2:$A$33, 0), MATCH(Table1[[#This Row],[HomeTeam]],Records!$A$2:$A$33, 0))</f>
        <v>0-0-0</v>
      </c>
      <c r="AP158" s="64" t="str">
        <f>INDEX(Table2[HOME_RECORD], MATCH(Table1[[#This Row],[HomeTeam]],Table2[Team], 0), 0)</f>
        <v>1-0-0</v>
      </c>
      <c r="AQ158" s="64" t="str">
        <f>INDEX(Records!$B$2:$AG$33, MATCH(Table1[[#This Row],[HomeTeam]],Records!$A$2:$A$33, 0), MATCH(Table1[[#This Row],[AwayTeam]],Records!$A$2:$A$33, 0))</f>
        <v>0-0-0</v>
      </c>
    </row>
    <row r="159" spans="1:43" x14ac:dyDescent="0.25">
      <c r="A159" s="1"/>
      <c r="D159" t="s">
        <v>356</v>
      </c>
      <c r="E159" t="s">
        <v>160</v>
      </c>
      <c r="F159" t="s">
        <v>361</v>
      </c>
      <c r="G159" t="s">
        <v>17</v>
      </c>
      <c r="H159" t="s">
        <v>54</v>
      </c>
      <c r="L15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5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59" s="1"/>
      <c r="T159" s="64" t="str">
        <f>IF(Table1[[#This Row],[ActualWinner]]="", "", IF(Table1[[#This Row],[AwayTeam]]=Table1[[#This Row],[ActualWinner]],Table1[[#This Row],[HomeTeam]],Table1[[#This Row],[AwayTeam]]))</f>
        <v/>
      </c>
      <c r="U159" s="64">
        <f>Table1[[#This Row],[ActualAwayScore]]-Table1[[#This Row],[PredictedAwayScore]]</f>
        <v>0</v>
      </c>
      <c r="V159" s="64">
        <f>Table1[[#This Row],[ActualHomeScore]]-Table1[[#This Row],[PredictedHomeScore]]</f>
        <v>0</v>
      </c>
      <c r="W159" s="64">
        <f>(0.8*IF(Table1[[#This Row],[CorrectWinnerPrediction]]=1, 1, 0))+(0.1*IF(Table1[[#This Row],[CorrectAwayScorePrediction]]=1, 1, 0))+(0.1*IF(Table1[[#This Row],[CorrectHomeScorePrediction]]=1, 1, 0))</f>
        <v>0</v>
      </c>
      <c r="X15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59" s="64">
        <f>SUMIF(Table1[GameDate], Table1[[#This Row],[GameDate]], Table1[AwayGameGoalDiff])</f>
        <v>0</v>
      </c>
      <c r="AA159" s="64">
        <f>SUMIF(Table1[GameDate], Table1[[#This Row],[GameDate]], Table1[HomeGameGoalDiff])</f>
        <v>0</v>
      </c>
      <c r="AB159" s="64">
        <f>IF(ISBLANK(Table1[[#This Row],[ActualResult]]), 0, 1)</f>
        <v>0</v>
      </c>
      <c r="AC159" s="64">
        <f>IF(ISBLANK(Table1[[#This Row],[ActualResult]]), 0, IF(Table1[[#This Row],[ActualWinner]]=Table1[[#This Row],[PredictedWinner]], 1, 0))</f>
        <v>0</v>
      </c>
      <c r="AD15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5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59" s="64">
        <f>IF(AND(Table1[[#This Row],[GameIsOver]]=1,Table1[[#This Row],[ActualAwayScore]]=0), 1,0)</f>
        <v>0</v>
      </c>
      <c r="AG159" s="64">
        <f>IF(AND(Table1[[#This Row],[GameIsOver]]=1,Table1[[#This Row],[ActualHomeScore]]=0), 1,0)</f>
        <v>0</v>
      </c>
      <c r="AH159" s="64">
        <f>IF(Table1[[#This Row],[GameIsOver]]=0,0,IF(Table1[[#This Row],[ActualWinner]]=Table1[[#This Row],[AwayTeam]], 1, 0))</f>
        <v>0</v>
      </c>
      <c r="AI159" s="64">
        <f>IF(Table1[[#This Row],[GameIsOver]]=0,0,IF(Table1[[#This Row],[ActualWinner]]=Table1[[#This Row],[HomeTeam]], 1, 0))</f>
        <v>0</v>
      </c>
      <c r="AJ159" s="64">
        <f>IF(INDEX(Standings!$A$2:$C$33,MATCH(Table1[[#This Row],[AwayTeam]],Standings!$A$2:$A$33,0),2)=INDEX(Standings!$A$2:$C$33,MATCH(Table1[[#This Row],[HomeTeam]],Standings!$A$2:$A$33,0),2),1,0)</f>
        <v>1</v>
      </c>
      <c r="AK159" s="64">
        <f>IF(INDEX(Standings!$A$2:$C$33,MATCH(Table1[[#This Row],[AwayTeam]],Standings!$A$2:$A$33,0),3)=INDEX(Standings!$A$2:$C$33,MATCH(Table1[[#This Row],[HomeTeam]],Standings!$A$2:$A$33,0),3),1,0)</f>
        <v>0</v>
      </c>
      <c r="AL159" s="64">
        <f>IF(Table1[[#This Row],[InterConf]]=1,IF(Table1[[#This Row],[InterDiv]]=0, 1, 0), 0)</f>
        <v>1</v>
      </c>
      <c r="AM159" s="64">
        <f>IF(INDEX(Standings!$A$2:$C$33,MATCH(Table1[[#This Row],[AwayTeam]],Standings!$A$2:$A$33,0),2)&lt;&gt;INDEX(Standings!$A$2:$C$33,MATCH(Table1[[#This Row],[HomeTeam]],Standings!$A$2:$A$33,0),2),1,0)</f>
        <v>0</v>
      </c>
      <c r="AN159" s="64" t="str">
        <f>INDEX(Table2[AWAY_RECORD], MATCH(Table1[[#This Row],[AwayTeam]],Table2[Team], 0), 0)</f>
        <v>2-0-0</v>
      </c>
      <c r="AO159" s="64" t="str">
        <f>INDEX(Records!$B$2:$AG$33, MATCH(Table1[[#This Row],[AwayTeam]],Records!$A$2:$A$33, 0), MATCH(Table1[[#This Row],[HomeTeam]],Records!$A$2:$A$33, 0))</f>
        <v>0-0-0</v>
      </c>
      <c r="AP159" s="64" t="str">
        <f>INDEX(Table2[HOME_RECORD], MATCH(Table1[[#This Row],[HomeTeam]],Table2[Team], 0), 0)</f>
        <v>0-0-0</v>
      </c>
      <c r="AQ159" s="64" t="str">
        <f>INDEX(Records!$B$2:$AG$33, MATCH(Table1[[#This Row],[HomeTeam]],Records!$A$2:$A$33, 0), MATCH(Table1[[#This Row],[AwayTeam]],Records!$A$2:$A$33, 0))</f>
        <v>0-0-0</v>
      </c>
    </row>
    <row r="160" spans="1:43" x14ac:dyDescent="0.25">
      <c r="A160" s="1"/>
      <c r="D160" t="s">
        <v>356</v>
      </c>
      <c r="E160" t="s">
        <v>169</v>
      </c>
      <c r="F160" t="s">
        <v>362</v>
      </c>
      <c r="G160" t="s">
        <v>46</v>
      </c>
      <c r="H160" t="s">
        <v>50</v>
      </c>
      <c r="L16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6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60" s="1"/>
      <c r="T160" s="64" t="str">
        <f>IF(Table1[[#This Row],[ActualWinner]]="", "", IF(Table1[[#This Row],[AwayTeam]]=Table1[[#This Row],[ActualWinner]],Table1[[#This Row],[HomeTeam]],Table1[[#This Row],[AwayTeam]]))</f>
        <v/>
      </c>
      <c r="U160" s="64">
        <f>Table1[[#This Row],[ActualAwayScore]]-Table1[[#This Row],[PredictedAwayScore]]</f>
        <v>0</v>
      </c>
      <c r="V160" s="64">
        <f>Table1[[#This Row],[ActualHomeScore]]-Table1[[#This Row],[PredictedHomeScore]]</f>
        <v>0</v>
      </c>
      <c r="W160" s="64">
        <f>(0.8*IF(Table1[[#This Row],[CorrectWinnerPrediction]]=1, 1, 0))+(0.1*IF(Table1[[#This Row],[CorrectAwayScorePrediction]]=1, 1, 0))+(0.1*IF(Table1[[#This Row],[CorrectHomeScorePrediction]]=1, 1, 0))</f>
        <v>0</v>
      </c>
      <c r="X16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60" s="64">
        <f>SUMIF(Table1[GameDate], Table1[[#This Row],[GameDate]], Table1[AwayGameGoalDiff])</f>
        <v>0</v>
      </c>
      <c r="AA160" s="64">
        <f>SUMIF(Table1[GameDate], Table1[[#This Row],[GameDate]], Table1[HomeGameGoalDiff])</f>
        <v>0</v>
      </c>
      <c r="AB160" s="64">
        <f>IF(ISBLANK(Table1[[#This Row],[ActualResult]]), 0, 1)</f>
        <v>0</v>
      </c>
      <c r="AC160" s="64">
        <f>IF(ISBLANK(Table1[[#This Row],[ActualResult]]), 0, IF(Table1[[#This Row],[ActualWinner]]=Table1[[#This Row],[PredictedWinner]], 1, 0))</f>
        <v>0</v>
      </c>
      <c r="AD16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6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60" s="64">
        <f>IF(AND(Table1[[#This Row],[GameIsOver]]=1,Table1[[#This Row],[ActualAwayScore]]=0), 1,0)</f>
        <v>0</v>
      </c>
      <c r="AG160" s="64">
        <f>IF(AND(Table1[[#This Row],[GameIsOver]]=1,Table1[[#This Row],[ActualHomeScore]]=0), 1,0)</f>
        <v>0</v>
      </c>
      <c r="AH160" s="64">
        <f>IF(Table1[[#This Row],[GameIsOver]]=0,0,IF(Table1[[#This Row],[ActualWinner]]=Table1[[#This Row],[AwayTeam]], 1, 0))</f>
        <v>0</v>
      </c>
      <c r="AI160" s="64">
        <f>IF(Table1[[#This Row],[GameIsOver]]=0,0,IF(Table1[[#This Row],[ActualWinner]]=Table1[[#This Row],[HomeTeam]], 1, 0))</f>
        <v>0</v>
      </c>
      <c r="AJ160" s="64">
        <f>IF(INDEX(Standings!$A$2:$C$33,MATCH(Table1[[#This Row],[AwayTeam]],Standings!$A$2:$A$33,0),2)=INDEX(Standings!$A$2:$C$33,MATCH(Table1[[#This Row],[HomeTeam]],Standings!$A$2:$A$33,0),2),1,0)</f>
        <v>0</v>
      </c>
      <c r="AK160" s="64">
        <f>IF(INDEX(Standings!$A$2:$C$33,MATCH(Table1[[#This Row],[AwayTeam]],Standings!$A$2:$A$33,0),3)=INDEX(Standings!$A$2:$C$33,MATCH(Table1[[#This Row],[HomeTeam]],Standings!$A$2:$A$33,0),3),1,0)</f>
        <v>0</v>
      </c>
      <c r="AL160" s="64">
        <f>IF(Table1[[#This Row],[InterConf]]=1,IF(Table1[[#This Row],[InterDiv]]=0, 1, 0), 0)</f>
        <v>0</v>
      </c>
      <c r="AM160" s="64">
        <f>IF(INDEX(Standings!$A$2:$C$33,MATCH(Table1[[#This Row],[AwayTeam]],Standings!$A$2:$A$33,0),2)&lt;&gt;INDEX(Standings!$A$2:$C$33,MATCH(Table1[[#This Row],[HomeTeam]],Standings!$A$2:$A$33,0),2),1,0)</f>
        <v>1</v>
      </c>
      <c r="AN160" s="64" t="str">
        <f>INDEX(Table2[AWAY_RECORD], MATCH(Table1[[#This Row],[AwayTeam]],Table2[Team], 0), 0)</f>
        <v>1-0-0</v>
      </c>
      <c r="AO160" s="64" t="str">
        <f>INDEX(Records!$B$2:$AG$33, MATCH(Table1[[#This Row],[AwayTeam]],Records!$A$2:$A$33, 0), MATCH(Table1[[#This Row],[HomeTeam]],Records!$A$2:$A$33, 0))</f>
        <v>0-0-0</v>
      </c>
      <c r="AP160" s="64" t="str">
        <f>INDEX(Table2[HOME_RECORD], MATCH(Table1[[#This Row],[HomeTeam]],Table2[Team], 0), 0)</f>
        <v>0-0-0</v>
      </c>
      <c r="AQ160" s="64" t="str">
        <f>INDEX(Records!$B$2:$AG$33, MATCH(Table1[[#This Row],[HomeTeam]],Records!$A$2:$A$33, 0), MATCH(Table1[[#This Row],[AwayTeam]],Records!$A$2:$A$33, 0))</f>
        <v>0-0-0</v>
      </c>
    </row>
    <row r="161" spans="1:43" x14ac:dyDescent="0.25">
      <c r="A161" s="1"/>
      <c r="D161" t="s">
        <v>356</v>
      </c>
      <c r="E161" t="s">
        <v>162</v>
      </c>
      <c r="F161" t="s">
        <v>363</v>
      </c>
      <c r="G161" t="s">
        <v>25</v>
      </c>
      <c r="H161" t="s">
        <v>61</v>
      </c>
      <c r="L16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6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61" s="1"/>
      <c r="T161" s="64" t="str">
        <f>IF(Table1[[#This Row],[ActualWinner]]="", "", IF(Table1[[#This Row],[AwayTeam]]=Table1[[#This Row],[ActualWinner]],Table1[[#This Row],[HomeTeam]],Table1[[#This Row],[AwayTeam]]))</f>
        <v/>
      </c>
      <c r="U161" s="64">
        <f>Table1[[#This Row],[ActualAwayScore]]-Table1[[#This Row],[PredictedAwayScore]]</f>
        <v>0</v>
      </c>
      <c r="V161" s="64">
        <f>Table1[[#This Row],[ActualHomeScore]]-Table1[[#This Row],[PredictedHomeScore]]</f>
        <v>0</v>
      </c>
      <c r="W161" s="64">
        <f>(0.8*IF(Table1[[#This Row],[CorrectWinnerPrediction]]=1, 1, 0))+(0.1*IF(Table1[[#This Row],[CorrectAwayScorePrediction]]=1, 1, 0))+(0.1*IF(Table1[[#This Row],[CorrectHomeScorePrediction]]=1, 1, 0))</f>
        <v>0</v>
      </c>
      <c r="X16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61" s="64">
        <f>SUMIF(Table1[GameDate], Table1[[#This Row],[GameDate]], Table1[AwayGameGoalDiff])</f>
        <v>0</v>
      </c>
      <c r="AA161" s="64">
        <f>SUMIF(Table1[GameDate], Table1[[#This Row],[GameDate]], Table1[HomeGameGoalDiff])</f>
        <v>0</v>
      </c>
      <c r="AB161" s="64">
        <f>IF(ISBLANK(Table1[[#This Row],[ActualResult]]), 0, 1)</f>
        <v>0</v>
      </c>
      <c r="AC161" s="64">
        <f>IF(ISBLANK(Table1[[#This Row],[ActualResult]]), 0, IF(Table1[[#This Row],[ActualWinner]]=Table1[[#This Row],[PredictedWinner]], 1, 0))</f>
        <v>0</v>
      </c>
      <c r="AD16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6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61" s="64">
        <f>IF(AND(Table1[[#This Row],[GameIsOver]]=1,Table1[[#This Row],[ActualAwayScore]]=0), 1,0)</f>
        <v>0</v>
      </c>
      <c r="AG161" s="64">
        <f>IF(AND(Table1[[#This Row],[GameIsOver]]=1,Table1[[#This Row],[ActualHomeScore]]=0), 1,0)</f>
        <v>0</v>
      </c>
      <c r="AH161" s="64">
        <f>IF(Table1[[#This Row],[GameIsOver]]=0,0,IF(Table1[[#This Row],[ActualWinner]]=Table1[[#This Row],[AwayTeam]], 1, 0))</f>
        <v>0</v>
      </c>
      <c r="AI161" s="64">
        <f>IF(Table1[[#This Row],[GameIsOver]]=0,0,IF(Table1[[#This Row],[ActualWinner]]=Table1[[#This Row],[HomeTeam]], 1, 0))</f>
        <v>0</v>
      </c>
      <c r="AJ161" s="64">
        <f>IF(INDEX(Standings!$A$2:$C$33,MATCH(Table1[[#This Row],[AwayTeam]],Standings!$A$2:$A$33,0),2)=INDEX(Standings!$A$2:$C$33,MATCH(Table1[[#This Row],[HomeTeam]],Standings!$A$2:$A$33,0),2),1,0)</f>
        <v>1</v>
      </c>
      <c r="AK161" s="64">
        <f>IF(INDEX(Standings!$A$2:$C$33,MATCH(Table1[[#This Row],[AwayTeam]],Standings!$A$2:$A$33,0),3)=INDEX(Standings!$A$2:$C$33,MATCH(Table1[[#This Row],[HomeTeam]],Standings!$A$2:$A$33,0),3),1,0)</f>
        <v>0</v>
      </c>
      <c r="AL161" s="64">
        <f>IF(Table1[[#This Row],[InterConf]]=1,IF(Table1[[#This Row],[InterDiv]]=0, 1, 0), 0)</f>
        <v>1</v>
      </c>
      <c r="AM161" s="64">
        <f>IF(INDEX(Standings!$A$2:$C$33,MATCH(Table1[[#This Row],[AwayTeam]],Standings!$A$2:$A$33,0),2)&lt;&gt;INDEX(Standings!$A$2:$C$33,MATCH(Table1[[#This Row],[HomeTeam]],Standings!$A$2:$A$33,0),2),1,0)</f>
        <v>0</v>
      </c>
      <c r="AN161" s="64" t="str">
        <f>INDEX(Table2[AWAY_RECORD], MATCH(Table1[[#This Row],[AwayTeam]],Table2[Team], 0), 0)</f>
        <v>0-0-0</v>
      </c>
      <c r="AO161" s="64" t="str">
        <f>INDEX(Records!$B$2:$AG$33, MATCH(Table1[[#This Row],[AwayTeam]],Records!$A$2:$A$33, 0), MATCH(Table1[[#This Row],[HomeTeam]],Records!$A$2:$A$33, 0))</f>
        <v>0-0-0</v>
      </c>
      <c r="AP161" s="64" t="str">
        <f>INDEX(Table2[HOME_RECORD], MATCH(Table1[[#This Row],[HomeTeam]],Table2[Team], 0), 0)</f>
        <v>0-0-0</v>
      </c>
      <c r="AQ161" s="64" t="str">
        <f>INDEX(Records!$B$2:$AG$33, MATCH(Table1[[#This Row],[HomeTeam]],Records!$A$2:$A$33, 0), MATCH(Table1[[#This Row],[AwayTeam]],Records!$A$2:$A$33, 0))</f>
        <v>0-0-0</v>
      </c>
    </row>
    <row r="162" spans="1:43" x14ac:dyDescent="0.25">
      <c r="A162" s="1"/>
      <c r="D162" t="s">
        <v>356</v>
      </c>
      <c r="E162" t="s">
        <v>162</v>
      </c>
      <c r="F162" t="s">
        <v>364</v>
      </c>
      <c r="G162" t="s">
        <v>60</v>
      </c>
      <c r="H162" t="s">
        <v>43</v>
      </c>
      <c r="L16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6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62" s="1"/>
      <c r="T162" s="64" t="str">
        <f>IF(Table1[[#This Row],[ActualWinner]]="", "", IF(Table1[[#This Row],[AwayTeam]]=Table1[[#This Row],[ActualWinner]],Table1[[#This Row],[HomeTeam]],Table1[[#This Row],[AwayTeam]]))</f>
        <v/>
      </c>
      <c r="U162" s="64">
        <f>Table1[[#This Row],[ActualAwayScore]]-Table1[[#This Row],[PredictedAwayScore]]</f>
        <v>0</v>
      </c>
      <c r="V162" s="64">
        <f>Table1[[#This Row],[ActualHomeScore]]-Table1[[#This Row],[PredictedHomeScore]]</f>
        <v>0</v>
      </c>
      <c r="W162" s="64">
        <f>(0.8*IF(Table1[[#This Row],[CorrectWinnerPrediction]]=1, 1, 0))+(0.1*IF(Table1[[#This Row],[CorrectAwayScorePrediction]]=1, 1, 0))+(0.1*IF(Table1[[#This Row],[CorrectHomeScorePrediction]]=1, 1, 0))</f>
        <v>0</v>
      </c>
      <c r="X16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62" s="64">
        <f>SUMIF(Table1[GameDate], Table1[[#This Row],[GameDate]], Table1[AwayGameGoalDiff])</f>
        <v>0</v>
      </c>
      <c r="AA162" s="64">
        <f>SUMIF(Table1[GameDate], Table1[[#This Row],[GameDate]], Table1[HomeGameGoalDiff])</f>
        <v>0</v>
      </c>
      <c r="AB162" s="64">
        <f>IF(ISBLANK(Table1[[#This Row],[ActualResult]]), 0, 1)</f>
        <v>0</v>
      </c>
      <c r="AC162" s="64">
        <f>IF(ISBLANK(Table1[[#This Row],[ActualResult]]), 0, IF(Table1[[#This Row],[ActualWinner]]=Table1[[#This Row],[PredictedWinner]], 1, 0))</f>
        <v>0</v>
      </c>
      <c r="AD16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6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62" s="64">
        <f>IF(AND(Table1[[#This Row],[GameIsOver]]=1,Table1[[#This Row],[ActualAwayScore]]=0), 1,0)</f>
        <v>0</v>
      </c>
      <c r="AG162" s="64">
        <f>IF(AND(Table1[[#This Row],[GameIsOver]]=1,Table1[[#This Row],[ActualHomeScore]]=0), 1,0)</f>
        <v>0</v>
      </c>
      <c r="AH162" s="64">
        <f>IF(Table1[[#This Row],[GameIsOver]]=0,0,IF(Table1[[#This Row],[ActualWinner]]=Table1[[#This Row],[AwayTeam]], 1, 0))</f>
        <v>0</v>
      </c>
      <c r="AI162" s="64">
        <f>IF(Table1[[#This Row],[GameIsOver]]=0,0,IF(Table1[[#This Row],[ActualWinner]]=Table1[[#This Row],[HomeTeam]], 1, 0))</f>
        <v>0</v>
      </c>
      <c r="AJ162" s="64">
        <f>IF(INDEX(Standings!$A$2:$C$33,MATCH(Table1[[#This Row],[AwayTeam]],Standings!$A$2:$A$33,0),2)=INDEX(Standings!$A$2:$C$33,MATCH(Table1[[#This Row],[HomeTeam]],Standings!$A$2:$A$33,0),2),1,0)</f>
        <v>1</v>
      </c>
      <c r="AK162" s="64">
        <f>IF(INDEX(Standings!$A$2:$C$33,MATCH(Table1[[#This Row],[AwayTeam]],Standings!$A$2:$A$33,0),3)=INDEX(Standings!$A$2:$C$33,MATCH(Table1[[#This Row],[HomeTeam]],Standings!$A$2:$A$33,0),3),1,0)</f>
        <v>1</v>
      </c>
      <c r="AL162" s="64">
        <f>IF(Table1[[#This Row],[InterConf]]=1,IF(Table1[[#This Row],[InterDiv]]=0, 1, 0), 0)</f>
        <v>0</v>
      </c>
      <c r="AM162" s="64">
        <f>IF(INDEX(Standings!$A$2:$C$33,MATCH(Table1[[#This Row],[AwayTeam]],Standings!$A$2:$A$33,0),2)&lt;&gt;INDEX(Standings!$A$2:$C$33,MATCH(Table1[[#This Row],[HomeTeam]],Standings!$A$2:$A$33,0),2),1,0)</f>
        <v>0</v>
      </c>
      <c r="AN162" s="64" t="str">
        <f>INDEX(Table2[AWAY_RECORD], MATCH(Table1[[#This Row],[AwayTeam]],Table2[Team], 0), 0)</f>
        <v>0-0-0</v>
      </c>
      <c r="AO162" s="64" t="str">
        <f>INDEX(Records!$B$2:$AG$33, MATCH(Table1[[#This Row],[AwayTeam]],Records!$A$2:$A$33, 0), MATCH(Table1[[#This Row],[HomeTeam]],Records!$A$2:$A$33, 0))</f>
        <v>0-0-0</v>
      </c>
      <c r="AP162" s="64" t="str">
        <f>INDEX(Table2[HOME_RECORD], MATCH(Table1[[#This Row],[HomeTeam]],Table2[Team], 0), 0)</f>
        <v>0-0-0</v>
      </c>
      <c r="AQ162" s="64" t="str">
        <f>INDEX(Records!$B$2:$AG$33, MATCH(Table1[[#This Row],[HomeTeam]],Records!$A$2:$A$33, 0), MATCH(Table1[[#This Row],[AwayTeam]],Records!$A$2:$A$33, 0))</f>
        <v>0-0-0</v>
      </c>
    </row>
    <row r="163" spans="1:43" x14ac:dyDescent="0.25">
      <c r="A163" s="1"/>
      <c r="D163" t="s">
        <v>356</v>
      </c>
      <c r="E163" t="s">
        <v>178</v>
      </c>
      <c r="F163" t="s">
        <v>365</v>
      </c>
      <c r="G163" t="s">
        <v>22</v>
      </c>
      <c r="H163" t="s">
        <v>39</v>
      </c>
      <c r="L16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6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63" s="1"/>
      <c r="T163" s="64" t="str">
        <f>IF(Table1[[#This Row],[ActualWinner]]="", "", IF(Table1[[#This Row],[AwayTeam]]=Table1[[#This Row],[ActualWinner]],Table1[[#This Row],[HomeTeam]],Table1[[#This Row],[AwayTeam]]))</f>
        <v/>
      </c>
      <c r="U163" s="64">
        <f>Table1[[#This Row],[ActualAwayScore]]-Table1[[#This Row],[PredictedAwayScore]]</f>
        <v>0</v>
      </c>
      <c r="V163" s="64">
        <f>Table1[[#This Row],[ActualHomeScore]]-Table1[[#This Row],[PredictedHomeScore]]</f>
        <v>0</v>
      </c>
      <c r="W163" s="64">
        <f>(0.8*IF(Table1[[#This Row],[CorrectWinnerPrediction]]=1, 1, 0))+(0.1*IF(Table1[[#This Row],[CorrectAwayScorePrediction]]=1, 1, 0))+(0.1*IF(Table1[[#This Row],[CorrectHomeScorePrediction]]=1, 1, 0))</f>
        <v>0</v>
      </c>
      <c r="X16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63" s="64">
        <f>SUMIF(Table1[GameDate], Table1[[#This Row],[GameDate]], Table1[AwayGameGoalDiff])</f>
        <v>0</v>
      </c>
      <c r="AA163" s="64">
        <f>SUMIF(Table1[GameDate], Table1[[#This Row],[GameDate]], Table1[HomeGameGoalDiff])</f>
        <v>0</v>
      </c>
      <c r="AB163" s="64">
        <f>IF(ISBLANK(Table1[[#This Row],[ActualResult]]), 0, 1)</f>
        <v>0</v>
      </c>
      <c r="AC163" s="64">
        <f>IF(ISBLANK(Table1[[#This Row],[ActualResult]]), 0, IF(Table1[[#This Row],[ActualWinner]]=Table1[[#This Row],[PredictedWinner]], 1, 0))</f>
        <v>0</v>
      </c>
      <c r="AD16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6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63" s="64">
        <f>IF(AND(Table1[[#This Row],[GameIsOver]]=1,Table1[[#This Row],[ActualAwayScore]]=0), 1,0)</f>
        <v>0</v>
      </c>
      <c r="AG163" s="64">
        <f>IF(AND(Table1[[#This Row],[GameIsOver]]=1,Table1[[#This Row],[ActualHomeScore]]=0), 1,0)</f>
        <v>0</v>
      </c>
      <c r="AH163" s="64">
        <f>IF(Table1[[#This Row],[GameIsOver]]=0,0,IF(Table1[[#This Row],[ActualWinner]]=Table1[[#This Row],[AwayTeam]], 1, 0))</f>
        <v>0</v>
      </c>
      <c r="AI163" s="64">
        <f>IF(Table1[[#This Row],[GameIsOver]]=0,0,IF(Table1[[#This Row],[ActualWinner]]=Table1[[#This Row],[HomeTeam]], 1, 0))</f>
        <v>0</v>
      </c>
      <c r="AJ163" s="64">
        <f>IF(INDEX(Standings!$A$2:$C$33,MATCH(Table1[[#This Row],[AwayTeam]],Standings!$A$2:$A$33,0),2)=INDEX(Standings!$A$2:$C$33,MATCH(Table1[[#This Row],[HomeTeam]],Standings!$A$2:$A$33,0),2),1,0)</f>
        <v>1</v>
      </c>
      <c r="AK163" s="64">
        <f>IF(INDEX(Standings!$A$2:$C$33,MATCH(Table1[[#This Row],[AwayTeam]],Standings!$A$2:$A$33,0),3)=INDEX(Standings!$A$2:$C$33,MATCH(Table1[[#This Row],[HomeTeam]],Standings!$A$2:$A$33,0),3),1,0)</f>
        <v>0</v>
      </c>
      <c r="AL163" s="64">
        <f>IF(Table1[[#This Row],[InterConf]]=1,IF(Table1[[#This Row],[InterDiv]]=0, 1, 0), 0)</f>
        <v>1</v>
      </c>
      <c r="AM163" s="64">
        <f>IF(INDEX(Standings!$A$2:$C$33,MATCH(Table1[[#This Row],[AwayTeam]],Standings!$A$2:$A$33,0),2)&lt;&gt;INDEX(Standings!$A$2:$C$33,MATCH(Table1[[#This Row],[HomeTeam]],Standings!$A$2:$A$33,0),2),1,0)</f>
        <v>0</v>
      </c>
      <c r="AN163" s="64" t="str">
        <f>INDEX(Table2[AWAY_RECORD], MATCH(Table1[[#This Row],[AwayTeam]],Table2[Team], 0), 0)</f>
        <v>0-0-1</v>
      </c>
      <c r="AO163" s="64" t="str">
        <f>INDEX(Records!$B$2:$AG$33, MATCH(Table1[[#This Row],[AwayTeam]],Records!$A$2:$A$33, 0), MATCH(Table1[[#This Row],[HomeTeam]],Records!$A$2:$A$33, 0))</f>
        <v>0-0-0</v>
      </c>
      <c r="AP163" s="64" t="str">
        <f>INDEX(Table2[HOME_RECORD], MATCH(Table1[[#This Row],[HomeTeam]],Table2[Team], 0), 0)</f>
        <v>0-1-0</v>
      </c>
      <c r="AQ163" s="64" t="str">
        <f>INDEX(Records!$B$2:$AG$33, MATCH(Table1[[#This Row],[HomeTeam]],Records!$A$2:$A$33, 0), MATCH(Table1[[#This Row],[AwayTeam]],Records!$A$2:$A$33, 0))</f>
        <v>0-0-0</v>
      </c>
    </row>
    <row r="164" spans="1:43" x14ac:dyDescent="0.25">
      <c r="A164" s="1"/>
      <c r="D164" t="s">
        <v>356</v>
      </c>
      <c r="E164" t="s">
        <v>178</v>
      </c>
      <c r="F164" t="s">
        <v>366</v>
      </c>
      <c r="G164" t="s">
        <v>40</v>
      </c>
      <c r="H164" t="s">
        <v>45</v>
      </c>
      <c r="L16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6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64" s="1"/>
      <c r="T164" s="64" t="str">
        <f>IF(Table1[[#This Row],[ActualWinner]]="", "", IF(Table1[[#This Row],[AwayTeam]]=Table1[[#This Row],[ActualWinner]],Table1[[#This Row],[HomeTeam]],Table1[[#This Row],[AwayTeam]]))</f>
        <v/>
      </c>
      <c r="U164" s="64">
        <f>Table1[[#This Row],[ActualAwayScore]]-Table1[[#This Row],[PredictedAwayScore]]</f>
        <v>0</v>
      </c>
      <c r="V164" s="64">
        <f>Table1[[#This Row],[ActualHomeScore]]-Table1[[#This Row],[PredictedHomeScore]]</f>
        <v>0</v>
      </c>
      <c r="W164" s="64">
        <f>(0.8*IF(Table1[[#This Row],[CorrectWinnerPrediction]]=1, 1, 0))+(0.1*IF(Table1[[#This Row],[CorrectAwayScorePrediction]]=1, 1, 0))+(0.1*IF(Table1[[#This Row],[CorrectHomeScorePrediction]]=1, 1, 0))</f>
        <v>0</v>
      </c>
      <c r="X16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64" s="64">
        <f>SUMIF(Table1[GameDate], Table1[[#This Row],[GameDate]], Table1[AwayGameGoalDiff])</f>
        <v>0</v>
      </c>
      <c r="AA164" s="64">
        <f>SUMIF(Table1[GameDate], Table1[[#This Row],[GameDate]], Table1[HomeGameGoalDiff])</f>
        <v>0</v>
      </c>
      <c r="AB164" s="64">
        <f>IF(ISBLANK(Table1[[#This Row],[ActualResult]]), 0, 1)</f>
        <v>0</v>
      </c>
      <c r="AC164" s="64">
        <f>IF(ISBLANK(Table1[[#This Row],[ActualResult]]), 0, IF(Table1[[#This Row],[ActualWinner]]=Table1[[#This Row],[PredictedWinner]], 1, 0))</f>
        <v>0</v>
      </c>
      <c r="AD16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6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64" s="64">
        <f>IF(AND(Table1[[#This Row],[GameIsOver]]=1,Table1[[#This Row],[ActualAwayScore]]=0), 1,0)</f>
        <v>0</v>
      </c>
      <c r="AG164" s="64">
        <f>IF(AND(Table1[[#This Row],[GameIsOver]]=1,Table1[[#This Row],[ActualHomeScore]]=0), 1,0)</f>
        <v>0</v>
      </c>
      <c r="AH164" s="64">
        <f>IF(Table1[[#This Row],[GameIsOver]]=0,0,IF(Table1[[#This Row],[ActualWinner]]=Table1[[#This Row],[AwayTeam]], 1, 0))</f>
        <v>0</v>
      </c>
      <c r="AI164" s="64">
        <f>IF(Table1[[#This Row],[GameIsOver]]=0,0,IF(Table1[[#This Row],[ActualWinner]]=Table1[[#This Row],[HomeTeam]], 1, 0))</f>
        <v>0</v>
      </c>
      <c r="AJ164" s="64">
        <f>IF(INDEX(Standings!$A$2:$C$33,MATCH(Table1[[#This Row],[AwayTeam]],Standings!$A$2:$A$33,0),2)=INDEX(Standings!$A$2:$C$33,MATCH(Table1[[#This Row],[HomeTeam]],Standings!$A$2:$A$33,0),2),1,0)</f>
        <v>0</v>
      </c>
      <c r="AK164" s="64">
        <f>IF(INDEX(Standings!$A$2:$C$33,MATCH(Table1[[#This Row],[AwayTeam]],Standings!$A$2:$A$33,0),3)=INDEX(Standings!$A$2:$C$33,MATCH(Table1[[#This Row],[HomeTeam]],Standings!$A$2:$A$33,0),3),1,0)</f>
        <v>0</v>
      </c>
      <c r="AL164" s="64">
        <f>IF(Table1[[#This Row],[InterConf]]=1,IF(Table1[[#This Row],[InterDiv]]=0, 1, 0), 0)</f>
        <v>0</v>
      </c>
      <c r="AM164" s="64">
        <f>IF(INDEX(Standings!$A$2:$C$33,MATCH(Table1[[#This Row],[AwayTeam]],Standings!$A$2:$A$33,0),2)&lt;&gt;INDEX(Standings!$A$2:$C$33,MATCH(Table1[[#This Row],[HomeTeam]],Standings!$A$2:$A$33,0),2),1,0)</f>
        <v>1</v>
      </c>
      <c r="AN164" s="64" t="str">
        <f>INDEX(Table2[AWAY_RECORD], MATCH(Table1[[#This Row],[AwayTeam]],Table2[Team], 0), 0)</f>
        <v>0-0-0</v>
      </c>
      <c r="AO164" s="64" t="str">
        <f>INDEX(Records!$B$2:$AG$33, MATCH(Table1[[#This Row],[AwayTeam]],Records!$A$2:$A$33, 0), MATCH(Table1[[#This Row],[HomeTeam]],Records!$A$2:$A$33, 0))</f>
        <v>0-0-0</v>
      </c>
      <c r="AP164" s="64" t="str">
        <f>INDEX(Table2[HOME_RECORD], MATCH(Table1[[#This Row],[HomeTeam]],Table2[Team], 0), 0)</f>
        <v>1-0-0</v>
      </c>
      <c r="AQ164" s="64" t="str">
        <f>INDEX(Records!$B$2:$AG$33, MATCH(Table1[[#This Row],[HomeTeam]],Records!$A$2:$A$33, 0), MATCH(Table1[[#This Row],[AwayTeam]],Records!$A$2:$A$33, 0))</f>
        <v>0-0-0</v>
      </c>
    </row>
    <row r="165" spans="1:43" x14ac:dyDescent="0.25">
      <c r="A165" s="1"/>
      <c r="D165" t="s">
        <v>356</v>
      </c>
      <c r="E165" t="s">
        <v>225</v>
      </c>
      <c r="F165" t="s">
        <v>367</v>
      </c>
      <c r="G165" t="s">
        <v>58</v>
      </c>
      <c r="H165" t="s">
        <v>56</v>
      </c>
      <c r="L16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6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65" s="1"/>
      <c r="T165" s="64" t="str">
        <f>IF(Table1[[#This Row],[ActualWinner]]="", "", IF(Table1[[#This Row],[AwayTeam]]=Table1[[#This Row],[ActualWinner]],Table1[[#This Row],[HomeTeam]],Table1[[#This Row],[AwayTeam]]))</f>
        <v/>
      </c>
      <c r="U165" s="64">
        <f>Table1[[#This Row],[ActualAwayScore]]-Table1[[#This Row],[PredictedAwayScore]]</f>
        <v>0</v>
      </c>
      <c r="V165" s="64">
        <f>Table1[[#This Row],[ActualHomeScore]]-Table1[[#This Row],[PredictedHomeScore]]</f>
        <v>0</v>
      </c>
      <c r="W165" s="64">
        <f>(0.8*IF(Table1[[#This Row],[CorrectWinnerPrediction]]=1, 1, 0))+(0.1*IF(Table1[[#This Row],[CorrectAwayScorePrediction]]=1, 1, 0))+(0.1*IF(Table1[[#This Row],[CorrectHomeScorePrediction]]=1, 1, 0))</f>
        <v>0</v>
      </c>
      <c r="X16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65" s="64">
        <f>SUMIF(Table1[GameDate], Table1[[#This Row],[GameDate]], Table1[AwayGameGoalDiff])</f>
        <v>0</v>
      </c>
      <c r="AA165" s="64">
        <f>SUMIF(Table1[GameDate], Table1[[#This Row],[GameDate]], Table1[HomeGameGoalDiff])</f>
        <v>0</v>
      </c>
      <c r="AB165" s="64">
        <f>IF(ISBLANK(Table1[[#This Row],[ActualResult]]), 0, 1)</f>
        <v>0</v>
      </c>
      <c r="AC165" s="64">
        <f>IF(ISBLANK(Table1[[#This Row],[ActualResult]]), 0, IF(Table1[[#This Row],[ActualWinner]]=Table1[[#This Row],[PredictedWinner]], 1, 0))</f>
        <v>0</v>
      </c>
      <c r="AD16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6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65" s="64">
        <f>IF(AND(Table1[[#This Row],[GameIsOver]]=1,Table1[[#This Row],[ActualAwayScore]]=0), 1,0)</f>
        <v>0</v>
      </c>
      <c r="AG165" s="64">
        <f>IF(AND(Table1[[#This Row],[GameIsOver]]=1,Table1[[#This Row],[ActualHomeScore]]=0), 1,0)</f>
        <v>0</v>
      </c>
      <c r="AH165" s="64">
        <f>IF(Table1[[#This Row],[GameIsOver]]=0,0,IF(Table1[[#This Row],[ActualWinner]]=Table1[[#This Row],[AwayTeam]], 1, 0))</f>
        <v>0</v>
      </c>
      <c r="AI165" s="64">
        <f>IF(Table1[[#This Row],[GameIsOver]]=0,0,IF(Table1[[#This Row],[ActualWinner]]=Table1[[#This Row],[HomeTeam]], 1, 0))</f>
        <v>0</v>
      </c>
      <c r="AJ165" s="64">
        <f>IF(INDEX(Standings!$A$2:$C$33,MATCH(Table1[[#This Row],[AwayTeam]],Standings!$A$2:$A$33,0),2)=INDEX(Standings!$A$2:$C$33,MATCH(Table1[[#This Row],[HomeTeam]],Standings!$A$2:$A$33,0),2),1,0)</f>
        <v>1</v>
      </c>
      <c r="AK165" s="64">
        <f>IF(INDEX(Standings!$A$2:$C$33,MATCH(Table1[[#This Row],[AwayTeam]],Standings!$A$2:$A$33,0),3)=INDEX(Standings!$A$2:$C$33,MATCH(Table1[[#This Row],[HomeTeam]],Standings!$A$2:$A$33,0),3),1,0)</f>
        <v>0</v>
      </c>
      <c r="AL165" s="64">
        <f>IF(Table1[[#This Row],[InterConf]]=1,IF(Table1[[#This Row],[InterDiv]]=0, 1, 0), 0)</f>
        <v>1</v>
      </c>
      <c r="AM165" s="64">
        <f>IF(INDEX(Standings!$A$2:$C$33,MATCH(Table1[[#This Row],[AwayTeam]],Standings!$A$2:$A$33,0),2)&lt;&gt;INDEX(Standings!$A$2:$C$33,MATCH(Table1[[#This Row],[HomeTeam]],Standings!$A$2:$A$33,0),2),1,0)</f>
        <v>0</v>
      </c>
      <c r="AN165" s="64" t="str">
        <f>INDEX(Table2[AWAY_RECORD], MATCH(Table1[[#This Row],[AwayTeam]],Table2[Team], 0), 0)</f>
        <v>0-0-0</v>
      </c>
      <c r="AO165" s="64" t="str">
        <f>INDEX(Records!$B$2:$AG$33, MATCH(Table1[[#This Row],[AwayTeam]],Records!$A$2:$A$33, 0), MATCH(Table1[[#This Row],[HomeTeam]],Records!$A$2:$A$33, 0))</f>
        <v>0-0-0</v>
      </c>
      <c r="AP165" s="64" t="str">
        <f>INDEX(Table2[HOME_RECORD], MATCH(Table1[[#This Row],[HomeTeam]],Table2[Team], 0), 0)</f>
        <v>0-0-0</v>
      </c>
      <c r="AQ165" s="64" t="str">
        <f>INDEX(Records!$B$2:$AG$33, MATCH(Table1[[#This Row],[HomeTeam]],Records!$A$2:$A$33, 0), MATCH(Table1[[#This Row],[AwayTeam]],Records!$A$2:$A$33, 0))</f>
        <v>0-0-0</v>
      </c>
    </row>
    <row r="166" spans="1:43" x14ac:dyDescent="0.25">
      <c r="A166" s="1"/>
      <c r="D166" t="s">
        <v>356</v>
      </c>
      <c r="E166" t="s">
        <v>164</v>
      </c>
      <c r="F166" t="s">
        <v>368</v>
      </c>
      <c r="G166" t="s">
        <v>44</v>
      </c>
      <c r="H166" t="s">
        <v>23</v>
      </c>
      <c r="L16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6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66" s="1"/>
      <c r="T166" s="64" t="str">
        <f>IF(Table1[[#This Row],[ActualWinner]]="", "", IF(Table1[[#This Row],[AwayTeam]]=Table1[[#This Row],[ActualWinner]],Table1[[#This Row],[HomeTeam]],Table1[[#This Row],[AwayTeam]]))</f>
        <v/>
      </c>
      <c r="U166" s="64">
        <f>Table1[[#This Row],[ActualAwayScore]]-Table1[[#This Row],[PredictedAwayScore]]</f>
        <v>0</v>
      </c>
      <c r="V166" s="64">
        <f>Table1[[#This Row],[ActualHomeScore]]-Table1[[#This Row],[PredictedHomeScore]]</f>
        <v>0</v>
      </c>
      <c r="W166" s="64">
        <f>(0.8*IF(Table1[[#This Row],[CorrectWinnerPrediction]]=1, 1, 0))+(0.1*IF(Table1[[#This Row],[CorrectAwayScorePrediction]]=1, 1, 0))+(0.1*IF(Table1[[#This Row],[CorrectHomeScorePrediction]]=1, 1, 0))</f>
        <v>0</v>
      </c>
      <c r="X16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66" s="64">
        <f>SUMIF(Table1[GameDate], Table1[[#This Row],[GameDate]], Table1[AwayGameGoalDiff])</f>
        <v>0</v>
      </c>
      <c r="AA166" s="64">
        <f>SUMIF(Table1[GameDate], Table1[[#This Row],[GameDate]], Table1[HomeGameGoalDiff])</f>
        <v>0</v>
      </c>
      <c r="AB166" s="64">
        <f>IF(ISBLANK(Table1[[#This Row],[ActualResult]]), 0, 1)</f>
        <v>0</v>
      </c>
      <c r="AC166" s="64">
        <f>IF(ISBLANK(Table1[[#This Row],[ActualResult]]), 0, IF(Table1[[#This Row],[ActualWinner]]=Table1[[#This Row],[PredictedWinner]], 1, 0))</f>
        <v>0</v>
      </c>
      <c r="AD16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6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66" s="64">
        <f>IF(AND(Table1[[#This Row],[GameIsOver]]=1,Table1[[#This Row],[ActualAwayScore]]=0), 1,0)</f>
        <v>0</v>
      </c>
      <c r="AG166" s="64">
        <f>IF(AND(Table1[[#This Row],[GameIsOver]]=1,Table1[[#This Row],[ActualHomeScore]]=0), 1,0)</f>
        <v>0</v>
      </c>
      <c r="AH166" s="64">
        <f>IF(Table1[[#This Row],[GameIsOver]]=0,0,IF(Table1[[#This Row],[ActualWinner]]=Table1[[#This Row],[AwayTeam]], 1, 0))</f>
        <v>0</v>
      </c>
      <c r="AI166" s="64">
        <f>IF(Table1[[#This Row],[GameIsOver]]=0,0,IF(Table1[[#This Row],[ActualWinner]]=Table1[[#This Row],[HomeTeam]], 1, 0))</f>
        <v>0</v>
      </c>
      <c r="AJ166" s="64">
        <f>IF(INDEX(Standings!$A$2:$C$33,MATCH(Table1[[#This Row],[AwayTeam]],Standings!$A$2:$A$33,0),2)=INDEX(Standings!$A$2:$C$33,MATCH(Table1[[#This Row],[HomeTeam]],Standings!$A$2:$A$33,0),2),1,0)</f>
        <v>0</v>
      </c>
      <c r="AK166" s="64">
        <f>IF(INDEX(Standings!$A$2:$C$33,MATCH(Table1[[#This Row],[AwayTeam]],Standings!$A$2:$A$33,0),3)=INDEX(Standings!$A$2:$C$33,MATCH(Table1[[#This Row],[HomeTeam]],Standings!$A$2:$A$33,0),3),1,0)</f>
        <v>0</v>
      </c>
      <c r="AL166" s="64">
        <f>IF(Table1[[#This Row],[InterConf]]=1,IF(Table1[[#This Row],[InterDiv]]=0, 1, 0), 0)</f>
        <v>0</v>
      </c>
      <c r="AM166" s="64">
        <f>IF(INDEX(Standings!$A$2:$C$33,MATCH(Table1[[#This Row],[AwayTeam]],Standings!$A$2:$A$33,0),2)&lt;&gt;INDEX(Standings!$A$2:$C$33,MATCH(Table1[[#This Row],[HomeTeam]],Standings!$A$2:$A$33,0),2),1,0)</f>
        <v>1</v>
      </c>
      <c r="AN166" s="64" t="str">
        <f>INDEX(Table2[AWAY_RECORD], MATCH(Table1[[#This Row],[AwayTeam]],Table2[Team], 0), 0)</f>
        <v>0-0-0</v>
      </c>
      <c r="AO166" s="64" t="str">
        <f>INDEX(Records!$B$2:$AG$33, MATCH(Table1[[#This Row],[AwayTeam]],Records!$A$2:$A$33, 0), MATCH(Table1[[#This Row],[HomeTeam]],Records!$A$2:$A$33, 0))</f>
        <v>0-0-0</v>
      </c>
      <c r="AP166" s="64" t="str">
        <f>INDEX(Table2[HOME_RECORD], MATCH(Table1[[#This Row],[HomeTeam]],Table2[Team], 0), 0)</f>
        <v>0-0-1</v>
      </c>
      <c r="AQ166" s="64" t="str">
        <f>INDEX(Records!$B$2:$AG$33, MATCH(Table1[[#This Row],[HomeTeam]],Records!$A$2:$A$33, 0), MATCH(Table1[[#This Row],[AwayTeam]],Records!$A$2:$A$33, 0))</f>
        <v>0-0-0</v>
      </c>
    </row>
    <row r="167" spans="1:43" x14ac:dyDescent="0.25">
      <c r="A167" s="1"/>
      <c r="D167" t="s">
        <v>369</v>
      </c>
      <c r="E167" t="s">
        <v>162</v>
      </c>
      <c r="F167" t="s">
        <v>370</v>
      </c>
      <c r="G167" t="s">
        <v>47</v>
      </c>
      <c r="H167" t="s">
        <v>16</v>
      </c>
      <c r="L16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6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67" s="1"/>
      <c r="T167" s="64" t="str">
        <f>IF(Table1[[#This Row],[ActualWinner]]="", "", IF(Table1[[#This Row],[AwayTeam]]=Table1[[#This Row],[ActualWinner]],Table1[[#This Row],[HomeTeam]],Table1[[#This Row],[AwayTeam]]))</f>
        <v/>
      </c>
      <c r="U167" s="64">
        <f>Table1[[#This Row],[ActualAwayScore]]-Table1[[#This Row],[PredictedAwayScore]]</f>
        <v>0</v>
      </c>
      <c r="V167" s="64">
        <f>Table1[[#This Row],[ActualHomeScore]]-Table1[[#This Row],[PredictedHomeScore]]</f>
        <v>0</v>
      </c>
      <c r="W167" s="64">
        <f>(0.8*IF(Table1[[#This Row],[CorrectWinnerPrediction]]=1, 1, 0))+(0.1*IF(Table1[[#This Row],[CorrectAwayScorePrediction]]=1, 1, 0))+(0.1*IF(Table1[[#This Row],[CorrectHomeScorePrediction]]=1, 1, 0))</f>
        <v>0</v>
      </c>
      <c r="X16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67" s="64">
        <f>SUMIF(Table1[GameDate], Table1[[#This Row],[GameDate]], Table1[AwayGameGoalDiff])</f>
        <v>0</v>
      </c>
      <c r="AA167" s="64">
        <f>SUMIF(Table1[GameDate], Table1[[#This Row],[GameDate]], Table1[HomeGameGoalDiff])</f>
        <v>0</v>
      </c>
      <c r="AB167" s="64">
        <f>IF(ISBLANK(Table1[[#This Row],[ActualResult]]), 0, 1)</f>
        <v>0</v>
      </c>
      <c r="AC167" s="64">
        <f>IF(ISBLANK(Table1[[#This Row],[ActualResult]]), 0, IF(Table1[[#This Row],[ActualWinner]]=Table1[[#This Row],[PredictedWinner]], 1, 0))</f>
        <v>0</v>
      </c>
      <c r="AD16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6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67" s="64">
        <f>IF(AND(Table1[[#This Row],[GameIsOver]]=1,Table1[[#This Row],[ActualAwayScore]]=0), 1,0)</f>
        <v>0</v>
      </c>
      <c r="AG167" s="64">
        <f>IF(AND(Table1[[#This Row],[GameIsOver]]=1,Table1[[#This Row],[ActualHomeScore]]=0), 1,0)</f>
        <v>0</v>
      </c>
      <c r="AH167" s="64">
        <f>IF(Table1[[#This Row],[GameIsOver]]=0,0,IF(Table1[[#This Row],[ActualWinner]]=Table1[[#This Row],[AwayTeam]], 1, 0))</f>
        <v>0</v>
      </c>
      <c r="AI167" s="64">
        <f>IF(Table1[[#This Row],[GameIsOver]]=0,0,IF(Table1[[#This Row],[ActualWinner]]=Table1[[#This Row],[HomeTeam]], 1, 0))</f>
        <v>0</v>
      </c>
      <c r="AJ167" s="64">
        <f>IF(INDEX(Standings!$A$2:$C$33,MATCH(Table1[[#This Row],[AwayTeam]],Standings!$A$2:$A$33,0),2)=INDEX(Standings!$A$2:$C$33,MATCH(Table1[[#This Row],[HomeTeam]],Standings!$A$2:$A$33,0),2),1,0)</f>
        <v>0</v>
      </c>
      <c r="AK167" s="64">
        <f>IF(INDEX(Standings!$A$2:$C$33,MATCH(Table1[[#This Row],[AwayTeam]],Standings!$A$2:$A$33,0),3)=INDEX(Standings!$A$2:$C$33,MATCH(Table1[[#This Row],[HomeTeam]],Standings!$A$2:$A$33,0),3),1,0)</f>
        <v>0</v>
      </c>
      <c r="AL167" s="64">
        <f>IF(Table1[[#This Row],[InterConf]]=1,IF(Table1[[#This Row],[InterDiv]]=0, 1, 0), 0)</f>
        <v>0</v>
      </c>
      <c r="AM167" s="64">
        <f>IF(INDEX(Standings!$A$2:$C$33,MATCH(Table1[[#This Row],[AwayTeam]],Standings!$A$2:$A$33,0),2)&lt;&gt;INDEX(Standings!$A$2:$C$33,MATCH(Table1[[#This Row],[HomeTeam]],Standings!$A$2:$A$33,0),2),1,0)</f>
        <v>1</v>
      </c>
      <c r="AN167" s="64" t="str">
        <f>INDEX(Table2[AWAY_RECORD], MATCH(Table1[[#This Row],[AwayTeam]],Table2[Team], 0), 0)</f>
        <v>1-0-0</v>
      </c>
      <c r="AO167" s="64" t="str">
        <f>INDEX(Records!$B$2:$AG$33, MATCH(Table1[[#This Row],[AwayTeam]],Records!$A$2:$A$33, 0), MATCH(Table1[[#This Row],[HomeTeam]],Records!$A$2:$A$33, 0))</f>
        <v>0-0-0</v>
      </c>
      <c r="AP167" s="64" t="str">
        <f>INDEX(Table2[HOME_RECORD], MATCH(Table1[[#This Row],[HomeTeam]],Table2[Team], 0), 0)</f>
        <v>0-0-0</v>
      </c>
      <c r="AQ167" s="64" t="str">
        <f>INDEX(Records!$B$2:$AG$33, MATCH(Table1[[#This Row],[HomeTeam]],Records!$A$2:$A$33, 0), MATCH(Table1[[#This Row],[AwayTeam]],Records!$A$2:$A$33, 0))</f>
        <v>0-0-0</v>
      </c>
    </row>
    <row r="168" spans="1:43" x14ac:dyDescent="0.25">
      <c r="A168" s="1"/>
      <c r="D168" t="s">
        <v>369</v>
      </c>
      <c r="E168" t="s">
        <v>178</v>
      </c>
      <c r="F168" t="s">
        <v>371</v>
      </c>
      <c r="G168" t="s">
        <v>57</v>
      </c>
      <c r="H168" t="s">
        <v>41</v>
      </c>
      <c r="L16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6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68" s="1"/>
      <c r="T168" s="64" t="str">
        <f>IF(Table1[[#This Row],[ActualWinner]]="", "", IF(Table1[[#This Row],[AwayTeam]]=Table1[[#This Row],[ActualWinner]],Table1[[#This Row],[HomeTeam]],Table1[[#This Row],[AwayTeam]]))</f>
        <v/>
      </c>
      <c r="U168" s="64">
        <f>Table1[[#This Row],[ActualAwayScore]]-Table1[[#This Row],[PredictedAwayScore]]</f>
        <v>0</v>
      </c>
      <c r="V168" s="64">
        <f>Table1[[#This Row],[ActualHomeScore]]-Table1[[#This Row],[PredictedHomeScore]]</f>
        <v>0</v>
      </c>
      <c r="W168" s="64">
        <f>(0.8*IF(Table1[[#This Row],[CorrectWinnerPrediction]]=1, 1, 0))+(0.1*IF(Table1[[#This Row],[CorrectAwayScorePrediction]]=1, 1, 0))+(0.1*IF(Table1[[#This Row],[CorrectHomeScorePrediction]]=1, 1, 0))</f>
        <v>0</v>
      </c>
      <c r="X16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68" s="64">
        <f>SUMIF(Table1[GameDate], Table1[[#This Row],[GameDate]], Table1[AwayGameGoalDiff])</f>
        <v>0</v>
      </c>
      <c r="AA168" s="64">
        <f>SUMIF(Table1[GameDate], Table1[[#This Row],[GameDate]], Table1[HomeGameGoalDiff])</f>
        <v>0</v>
      </c>
      <c r="AB168" s="64">
        <f>IF(ISBLANK(Table1[[#This Row],[ActualResult]]), 0, 1)</f>
        <v>0</v>
      </c>
      <c r="AC168" s="64">
        <f>IF(ISBLANK(Table1[[#This Row],[ActualResult]]), 0, IF(Table1[[#This Row],[ActualWinner]]=Table1[[#This Row],[PredictedWinner]], 1, 0))</f>
        <v>0</v>
      </c>
      <c r="AD16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6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68" s="64">
        <f>IF(AND(Table1[[#This Row],[GameIsOver]]=1,Table1[[#This Row],[ActualAwayScore]]=0), 1,0)</f>
        <v>0</v>
      </c>
      <c r="AG168" s="64">
        <f>IF(AND(Table1[[#This Row],[GameIsOver]]=1,Table1[[#This Row],[ActualHomeScore]]=0), 1,0)</f>
        <v>0</v>
      </c>
      <c r="AH168" s="64">
        <f>IF(Table1[[#This Row],[GameIsOver]]=0,0,IF(Table1[[#This Row],[ActualWinner]]=Table1[[#This Row],[AwayTeam]], 1, 0))</f>
        <v>0</v>
      </c>
      <c r="AI168" s="64">
        <f>IF(Table1[[#This Row],[GameIsOver]]=0,0,IF(Table1[[#This Row],[ActualWinner]]=Table1[[#This Row],[HomeTeam]], 1, 0))</f>
        <v>0</v>
      </c>
      <c r="AJ168" s="64">
        <f>IF(INDEX(Standings!$A$2:$C$33,MATCH(Table1[[#This Row],[AwayTeam]],Standings!$A$2:$A$33,0),2)=INDEX(Standings!$A$2:$C$33,MATCH(Table1[[#This Row],[HomeTeam]],Standings!$A$2:$A$33,0),2),1,0)</f>
        <v>0</v>
      </c>
      <c r="AK168" s="64">
        <f>IF(INDEX(Standings!$A$2:$C$33,MATCH(Table1[[#This Row],[AwayTeam]],Standings!$A$2:$A$33,0),3)=INDEX(Standings!$A$2:$C$33,MATCH(Table1[[#This Row],[HomeTeam]],Standings!$A$2:$A$33,0),3),1,0)</f>
        <v>0</v>
      </c>
      <c r="AL168" s="64">
        <f>IF(Table1[[#This Row],[InterConf]]=1,IF(Table1[[#This Row],[InterDiv]]=0, 1, 0), 0)</f>
        <v>0</v>
      </c>
      <c r="AM168" s="64">
        <f>IF(INDEX(Standings!$A$2:$C$33,MATCH(Table1[[#This Row],[AwayTeam]],Standings!$A$2:$A$33,0),2)&lt;&gt;INDEX(Standings!$A$2:$C$33,MATCH(Table1[[#This Row],[HomeTeam]],Standings!$A$2:$A$33,0),2),1,0)</f>
        <v>1</v>
      </c>
      <c r="AN168" s="64" t="str">
        <f>INDEX(Table2[AWAY_RECORD], MATCH(Table1[[#This Row],[AwayTeam]],Table2[Team], 0), 0)</f>
        <v>0-1-0</v>
      </c>
      <c r="AO168" s="64" t="str">
        <f>INDEX(Records!$B$2:$AG$33, MATCH(Table1[[#This Row],[AwayTeam]],Records!$A$2:$A$33, 0), MATCH(Table1[[#This Row],[HomeTeam]],Records!$A$2:$A$33, 0))</f>
        <v>0-0-0</v>
      </c>
      <c r="AP168" s="64" t="str">
        <f>INDEX(Table2[HOME_RECORD], MATCH(Table1[[#This Row],[HomeTeam]],Table2[Team], 0), 0)</f>
        <v>0-0-1</v>
      </c>
      <c r="AQ168" s="64" t="str">
        <f>INDEX(Records!$B$2:$AG$33, MATCH(Table1[[#This Row],[HomeTeam]],Records!$A$2:$A$33, 0), MATCH(Table1[[#This Row],[AwayTeam]],Records!$A$2:$A$33, 0))</f>
        <v>0-0-0</v>
      </c>
    </row>
    <row r="169" spans="1:43" x14ac:dyDescent="0.25">
      <c r="A169" s="1"/>
      <c r="D169" t="s">
        <v>372</v>
      </c>
      <c r="E169" t="s">
        <v>205</v>
      </c>
      <c r="F169" t="s">
        <v>373</v>
      </c>
      <c r="G169" t="s">
        <v>36</v>
      </c>
      <c r="H169" t="s">
        <v>53</v>
      </c>
      <c r="L16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6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69" s="1"/>
      <c r="T169" s="64" t="str">
        <f>IF(Table1[[#This Row],[ActualWinner]]="", "", IF(Table1[[#This Row],[AwayTeam]]=Table1[[#This Row],[ActualWinner]],Table1[[#This Row],[HomeTeam]],Table1[[#This Row],[AwayTeam]]))</f>
        <v/>
      </c>
      <c r="U169" s="64">
        <f>Table1[[#This Row],[ActualAwayScore]]-Table1[[#This Row],[PredictedAwayScore]]</f>
        <v>0</v>
      </c>
      <c r="V169" s="64">
        <f>Table1[[#This Row],[ActualHomeScore]]-Table1[[#This Row],[PredictedHomeScore]]</f>
        <v>0</v>
      </c>
      <c r="W169" s="64">
        <f>(0.8*IF(Table1[[#This Row],[CorrectWinnerPrediction]]=1, 1, 0))+(0.1*IF(Table1[[#This Row],[CorrectAwayScorePrediction]]=1, 1, 0))+(0.1*IF(Table1[[#This Row],[CorrectHomeScorePrediction]]=1, 1, 0))</f>
        <v>0</v>
      </c>
      <c r="X16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69" s="64">
        <f>SUMIF(Table1[GameDate], Table1[[#This Row],[GameDate]], Table1[AwayGameGoalDiff])</f>
        <v>0</v>
      </c>
      <c r="AA169" s="64">
        <f>SUMIF(Table1[GameDate], Table1[[#This Row],[GameDate]], Table1[HomeGameGoalDiff])</f>
        <v>0</v>
      </c>
      <c r="AB169" s="64">
        <f>IF(ISBLANK(Table1[[#This Row],[ActualResult]]), 0, 1)</f>
        <v>0</v>
      </c>
      <c r="AC169" s="64">
        <f>IF(ISBLANK(Table1[[#This Row],[ActualResult]]), 0, IF(Table1[[#This Row],[ActualWinner]]=Table1[[#This Row],[PredictedWinner]], 1, 0))</f>
        <v>0</v>
      </c>
      <c r="AD16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6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69" s="64">
        <f>IF(AND(Table1[[#This Row],[GameIsOver]]=1,Table1[[#This Row],[ActualAwayScore]]=0), 1,0)</f>
        <v>0</v>
      </c>
      <c r="AG169" s="64">
        <f>IF(AND(Table1[[#This Row],[GameIsOver]]=1,Table1[[#This Row],[ActualHomeScore]]=0), 1,0)</f>
        <v>0</v>
      </c>
      <c r="AH169" s="64">
        <f>IF(Table1[[#This Row],[GameIsOver]]=0,0,IF(Table1[[#This Row],[ActualWinner]]=Table1[[#This Row],[AwayTeam]], 1, 0))</f>
        <v>0</v>
      </c>
      <c r="AI169" s="64">
        <f>IF(Table1[[#This Row],[GameIsOver]]=0,0,IF(Table1[[#This Row],[ActualWinner]]=Table1[[#This Row],[HomeTeam]], 1, 0))</f>
        <v>0</v>
      </c>
      <c r="AJ169" s="64">
        <f>IF(INDEX(Standings!$A$2:$C$33,MATCH(Table1[[#This Row],[AwayTeam]],Standings!$A$2:$A$33,0),2)=INDEX(Standings!$A$2:$C$33,MATCH(Table1[[#This Row],[HomeTeam]],Standings!$A$2:$A$33,0),2),1,0)</f>
        <v>0</v>
      </c>
      <c r="AK169" s="64">
        <f>IF(INDEX(Standings!$A$2:$C$33,MATCH(Table1[[#This Row],[AwayTeam]],Standings!$A$2:$A$33,0),3)=INDEX(Standings!$A$2:$C$33,MATCH(Table1[[#This Row],[HomeTeam]],Standings!$A$2:$A$33,0),3),1,0)</f>
        <v>0</v>
      </c>
      <c r="AL169" s="64">
        <f>IF(Table1[[#This Row],[InterConf]]=1,IF(Table1[[#This Row],[InterDiv]]=0, 1, 0), 0)</f>
        <v>0</v>
      </c>
      <c r="AM169" s="64">
        <f>IF(INDEX(Standings!$A$2:$C$33,MATCH(Table1[[#This Row],[AwayTeam]],Standings!$A$2:$A$33,0),2)&lt;&gt;INDEX(Standings!$A$2:$C$33,MATCH(Table1[[#This Row],[HomeTeam]],Standings!$A$2:$A$33,0),2),1,0)</f>
        <v>1</v>
      </c>
      <c r="AN169" s="64" t="str">
        <f>INDEX(Table2[AWAY_RECORD], MATCH(Table1[[#This Row],[AwayTeam]],Table2[Team], 0), 0)</f>
        <v>0-0-0</v>
      </c>
      <c r="AO169" s="64" t="str">
        <f>INDEX(Records!$B$2:$AG$33, MATCH(Table1[[#This Row],[AwayTeam]],Records!$A$2:$A$33, 0), MATCH(Table1[[#This Row],[HomeTeam]],Records!$A$2:$A$33, 0))</f>
        <v>0-0-0</v>
      </c>
      <c r="AP169" s="64" t="str">
        <f>INDEX(Table2[HOME_RECORD], MATCH(Table1[[#This Row],[HomeTeam]],Table2[Team], 0), 0)</f>
        <v>1-0-0</v>
      </c>
      <c r="AQ169" s="64" t="str">
        <f>INDEX(Records!$B$2:$AG$33, MATCH(Table1[[#This Row],[HomeTeam]],Records!$A$2:$A$33, 0), MATCH(Table1[[#This Row],[AwayTeam]],Records!$A$2:$A$33, 0))</f>
        <v>0-0-0</v>
      </c>
    </row>
    <row r="170" spans="1:43" x14ac:dyDescent="0.25">
      <c r="A170" s="1"/>
      <c r="D170" t="s">
        <v>372</v>
      </c>
      <c r="E170" t="s">
        <v>250</v>
      </c>
      <c r="F170" t="s">
        <v>374</v>
      </c>
      <c r="G170" t="s">
        <v>46</v>
      </c>
      <c r="H170" t="s">
        <v>49</v>
      </c>
      <c r="L17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7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70" s="1"/>
      <c r="T170" s="64" t="str">
        <f>IF(Table1[[#This Row],[ActualWinner]]="", "", IF(Table1[[#This Row],[AwayTeam]]=Table1[[#This Row],[ActualWinner]],Table1[[#This Row],[HomeTeam]],Table1[[#This Row],[AwayTeam]]))</f>
        <v/>
      </c>
      <c r="U170" s="64">
        <f>Table1[[#This Row],[ActualAwayScore]]-Table1[[#This Row],[PredictedAwayScore]]</f>
        <v>0</v>
      </c>
      <c r="V170" s="64">
        <f>Table1[[#This Row],[ActualHomeScore]]-Table1[[#This Row],[PredictedHomeScore]]</f>
        <v>0</v>
      </c>
      <c r="W170" s="64">
        <f>(0.8*IF(Table1[[#This Row],[CorrectWinnerPrediction]]=1, 1, 0))+(0.1*IF(Table1[[#This Row],[CorrectAwayScorePrediction]]=1, 1, 0))+(0.1*IF(Table1[[#This Row],[CorrectHomeScorePrediction]]=1, 1, 0))</f>
        <v>0</v>
      </c>
      <c r="X17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70" s="64">
        <f>SUMIF(Table1[GameDate], Table1[[#This Row],[GameDate]], Table1[AwayGameGoalDiff])</f>
        <v>0</v>
      </c>
      <c r="AA170" s="64">
        <f>SUMIF(Table1[GameDate], Table1[[#This Row],[GameDate]], Table1[HomeGameGoalDiff])</f>
        <v>0</v>
      </c>
      <c r="AB170" s="64">
        <f>IF(ISBLANK(Table1[[#This Row],[ActualResult]]), 0, 1)</f>
        <v>0</v>
      </c>
      <c r="AC170" s="64">
        <f>IF(ISBLANK(Table1[[#This Row],[ActualResult]]), 0, IF(Table1[[#This Row],[ActualWinner]]=Table1[[#This Row],[PredictedWinner]], 1, 0))</f>
        <v>0</v>
      </c>
      <c r="AD17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7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70" s="64">
        <f>IF(AND(Table1[[#This Row],[GameIsOver]]=1,Table1[[#This Row],[ActualAwayScore]]=0), 1,0)</f>
        <v>0</v>
      </c>
      <c r="AG170" s="64">
        <f>IF(AND(Table1[[#This Row],[GameIsOver]]=1,Table1[[#This Row],[ActualHomeScore]]=0), 1,0)</f>
        <v>0</v>
      </c>
      <c r="AH170" s="64">
        <f>IF(Table1[[#This Row],[GameIsOver]]=0,0,IF(Table1[[#This Row],[ActualWinner]]=Table1[[#This Row],[AwayTeam]], 1, 0))</f>
        <v>0</v>
      </c>
      <c r="AI170" s="64">
        <f>IF(Table1[[#This Row],[GameIsOver]]=0,0,IF(Table1[[#This Row],[ActualWinner]]=Table1[[#This Row],[HomeTeam]], 1, 0))</f>
        <v>0</v>
      </c>
      <c r="AJ170" s="64">
        <f>IF(INDEX(Standings!$A$2:$C$33,MATCH(Table1[[#This Row],[AwayTeam]],Standings!$A$2:$A$33,0),2)=INDEX(Standings!$A$2:$C$33,MATCH(Table1[[#This Row],[HomeTeam]],Standings!$A$2:$A$33,0),2),1,0)</f>
        <v>0</v>
      </c>
      <c r="AK170" s="64">
        <f>IF(INDEX(Standings!$A$2:$C$33,MATCH(Table1[[#This Row],[AwayTeam]],Standings!$A$2:$A$33,0),3)=INDEX(Standings!$A$2:$C$33,MATCH(Table1[[#This Row],[HomeTeam]],Standings!$A$2:$A$33,0),3),1,0)</f>
        <v>0</v>
      </c>
      <c r="AL170" s="64">
        <f>IF(Table1[[#This Row],[InterConf]]=1,IF(Table1[[#This Row],[InterDiv]]=0, 1, 0), 0)</f>
        <v>0</v>
      </c>
      <c r="AM170" s="64">
        <f>IF(INDEX(Standings!$A$2:$C$33,MATCH(Table1[[#This Row],[AwayTeam]],Standings!$A$2:$A$33,0),2)&lt;&gt;INDEX(Standings!$A$2:$C$33,MATCH(Table1[[#This Row],[HomeTeam]],Standings!$A$2:$A$33,0),2),1,0)</f>
        <v>1</v>
      </c>
      <c r="AN170" s="64" t="str">
        <f>INDEX(Table2[AWAY_RECORD], MATCH(Table1[[#This Row],[AwayTeam]],Table2[Team], 0), 0)</f>
        <v>1-0-0</v>
      </c>
      <c r="AO170" s="64" t="str">
        <f>INDEX(Records!$B$2:$AG$33, MATCH(Table1[[#This Row],[AwayTeam]],Records!$A$2:$A$33, 0), MATCH(Table1[[#This Row],[HomeTeam]],Records!$A$2:$A$33, 0))</f>
        <v>0-0-0</v>
      </c>
      <c r="AP170" s="64" t="str">
        <f>INDEX(Table2[HOME_RECORD], MATCH(Table1[[#This Row],[HomeTeam]],Table2[Team], 0), 0)</f>
        <v>1-0-0</v>
      </c>
      <c r="AQ170" s="64" t="str">
        <f>INDEX(Records!$B$2:$AG$33, MATCH(Table1[[#This Row],[HomeTeam]],Records!$A$2:$A$33, 0), MATCH(Table1[[#This Row],[AwayTeam]],Records!$A$2:$A$33, 0))</f>
        <v>0-0-0</v>
      </c>
    </row>
    <row r="171" spans="1:43" x14ac:dyDescent="0.25">
      <c r="A171" s="1"/>
      <c r="D171" t="s">
        <v>372</v>
      </c>
      <c r="E171" t="s">
        <v>160</v>
      </c>
      <c r="F171" t="s">
        <v>375</v>
      </c>
      <c r="G171" t="s">
        <v>55</v>
      </c>
      <c r="H171" t="s">
        <v>37</v>
      </c>
      <c r="L17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7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71" s="1"/>
      <c r="T171" s="64" t="str">
        <f>IF(Table1[[#This Row],[ActualWinner]]="", "", IF(Table1[[#This Row],[AwayTeam]]=Table1[[#This Row],[ActualWinner]],Table1[[#This Row],[HomeTeam]],Table1[[#This Row],[AwayTeam]]))</f>
        <v/>
      </c>
      <c r="U171" s="64">
        <f>Table1[[#This Row],[ActualAwayScore]]-Table1[[#This Row],[PredictedAwayScore]]</f>
        <v>0</v>
      </c>
      <c r="V171" s="64">
        <f>Table1[[#This Row],[ActualHomeScore]]-Table1[[#This Row],[PredictedHomeScore]]</f>
        <v>0</v>
      </c>
      <c r="W171" s="64">
        <f>(0.8*IF(Table1[[#This Row],[CorrectWinnerPrediction]]=1, 1, 0))+(0.1*IF(Table1[[#This Row],[CorrectAwayScorePrediction]]=1, 1, 0))+(0.1*IF(Table1[[#This Row],[CorrectHomeScorePrediction]]=1, 1, 0))</f>
        <v>0</v>
      </c>
      <c r="X17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71" s="64">
        <f>SUMIF(Table1[GameDate], Table1[[#This Row],[GameDate]], Table1[AwayGameGoalDiff])</f>
        <v>0</v>
      </c>
      <c r="AA171" s="64">
        <f>SUMIF(Table1[GameDate], Table1[[#This Row],[GameDate]], Table1[HomeGameGoalDiff])</f>
        <v>0</v>
      </c>
      <c r="AB171" s="64">
        <f>IF(ISBLANK(Table1[[#This Row],[ActualResult]]), 0, 1)</f>
        <v>0</v>
      </c>
      <c r="AC171" s="64">
        <f>IF(ISBLANK(Table1[[#This Row],[ActualResult]]), 0, IF(Table1[[#This Row],[ActualWinner]]=Table1[[#This Row],[PredictedWinner]], 1, 0))</f>
        <v>0</v>
      </c>
      <c r="AD17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7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71" s="64">
        <f>IF(AND(Table1[[#This Row],[GameIsOver]]=1,Table1[[#This Row],[ActualAwayScore]]=0), 1,0)</f>
        <v>0</v>
      </c>
      <c r="AG171" s="64">
        <f>IF(AND(Table1[[#This Row],[GameIsOver]]=1,Table1[[#This Row],[ActualHomeScore]]=0), 1,0)</f>
        <v>0</v>
      </c>
      <c r="AH171" s="64">
        <f>IF(Table1[[#This Row],[GameIsOver]]=0,0,IF(Table1[[#This Row],[ActualWinner]]=Table1[[#This Row],[AwayTeam]], 1, 0))</f>
        <v>0</v>
      </c>
      <c r="AI171" s="64">
        <f>IF(Table1[[#This Row],[GameIsOver]]=0,0,IF(Table1[[#This Row],[ActualWinner]]=Table1[[#This Row],[HomeTeam]], 1, 0))</f>
        <v>0</v>
      </c>
      <c r="AJ171" s="64">
        <f>IF(INDEX(Standings!$A$2:$C$33,MATCH(Table1[[#This Row],[AwayTeam]],Standings!$A$2:$A$33,0),2)=INDEX(Standings!$A$2:$C$33,MATCH(Table1[[#This Row],[HomeTeam]],Standings!$A$2:$A$33,0),2),1,0)</f>
        <v>0</v>
      </c>
      <c r="AK171" s="64">
        <f>IF(INDEX(Standings!$A$2:$C$33,MATCH(Table1[[#This Row],[AwayTeam]],Standings!$A$2:$A$33,0),3)=INDEX(Standings!$A$2:$C$33,MATCH(Table1[[#This Row],[HomeTeam]],Standings!$A$2:$A$33,0),3),1,0)</f>
        <v>0</v>
      </c>
      <c r="AL171" s="64">
        <f>IF(Table1[[#This Row],[InterConf]]=1,IF(Table1[[#This Row],[InterDiv]]=0, 1, 0), 0)</f>
        <v>0</v>
      </c>
      <c r="AM171" s="64">
        <f>IF(INDEX(Standings!$A$2:$C$33,MATCH(Table1[[#This Row],[AwayTeam]],Standings!$A$2:$A$33,0),2)&lt;&gt;INDEX(Standings!$A$2:$C$33,MATCH(Table1[[#This Row],[HomeTeam]],Standings!$A$2:$A$33,0),2),1,0)</f>
        <v>1</v>
      </c>
      <c r="AN171" s="64" t="str">
        <f>INDEX(Table2[AWAY_RECORD], MATCH(Table1[[#This Row],[AwayTeam]],Table2[Team], 0), 0)</f>
        <v>0-0-0</v>
      </c>
      <c r="AO171" s="64" t="str">
        <f>INDEX(Records!$B$2:$AG$33, MATCH(Table1[[#This Row],[AwayTeam]],Records!$A$2:$A$33, 0), MATCH(Table1[[#This Row],[HomeTeam]],Records!$A$2:$A$33, 0))</f>
        <v>0-0-0</v>
      </c>
      <c r="AP171" s="64" t="str">
        <f>INDEX(Table2[HOME_RECORD], MATCH(Table1[[#This Row],[HomeTeam]],Table2[Team], 0), 0)</f>
        <v>0-1-0</v>
      </c>
      <c r="AQ171" s="64" t="str">
        <f>INDEX(Records!$B$2:$AG$33, MATCH(Table1[[#This Row],[HomeTeam]],Records!$A$2:$A$33, 0), MATCH(Table1[[#This Row],[AwayTeam]],Records!$A$2:$A$33, 0))</f>
        <v>0-0-0</v>
      </c>
    </row>
    <row r="172" spans="1:43" x14ac:dyDescent="0.25">
      <c r="A172" s="1"/>
      <c r="D172" t="s">
        <v>372</v>
      </c>
      <c r="E172" t="s">
        <v>160</v>
      </c>
      <c r="F172" t="s">
        <v>376</v>
      </c>
      <c r="G172" t="s">
        <v>51</v>
      </c>
      <c r="H172" t="s">
        <v>52</v>
      </c>
      <c r="L17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7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72" s="1"/>
      <c r="T172" s="64" t="str">
        <f>IF(Table1[[#This Row],[ActualWinner]]="", "", IF(Table1[[#This Row],[AwayTeam]]=Table1[[#This Row],[ActualWinner]],Table1[[#This Row],[HomeTeam]],Table1[[#This Row],[AwayTeam]]))</f>
        <v/>
      </c>
      <c r="U172" s="64">
        <f>Table1[[#This Row],[ActualAwayScore]]-Table1[[#This Row],[PredictedAwayScore]]</f>
        <v>0</v>
      </c>
      <c r="V172" s="64">
        <f>Table1[[#This Row],[ActualHomeScore]]-Table1[[#This Row],[PredictedHomeScore]]</f>
        <v>0</v>
      </c>
      <c r="W172" s="64">
        <f>(0.8*IF(Table1[[#This Row],[CorrectWinnerPrediction]]=1, 1, 0))+(0.1*IF(Table1[[#This Row],[CorrectAwayScorePrediction]]=1, 1, 0))+(0.1*IF(Table1[[#This Row],[CorrectHomeScorePrediction]]=1, 1, 0))</f>
        <v>0</v>
      </c>
      <c r="X17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72" s="64">
        <f>SUMIF(Table1[GameDate], Table1[[#This Row],[GameDate]], Table1[AwayGameGoalDiff])</f>
        <v>0</v>
      </c>
      <c r="AA172" s="64">
        <f>SUMIF(Table1[GameDate], Table1[[#This Row],[GameDate]], Table1[HomeGameGoalDiff])</f>
        <v>0</v>
      </c>
      <c r="AB172" s="64">
        <f>IF(ISBLANK(Table1[[#This Row],[ActualResult]]), 0, 1)</f>
        <v>0</v>
      </c>
      <c r="AC172" s="64">
        <f>IF(ISBLANK(Table1[[#This Row],[ActualResult]]), 0, IF(Table1[[#This Row],[ActualWinner]]=Table1[[#This Row],[PredictedWinner]], 1, 0))</f>
        <v>0</v>
      </c>
      <c r="AD17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7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72" s="64">
        <f>IF(AND(Table1[[#This Row],[GameIsOver]]=1,Table1[[#This Row],[ActualAwayScore]]=0), 1,0)</f>
        <v>0</v>
      </c>
      <c r="AG172" s="64">
        <f>IF(AND(Table1[[#This Row],[GameIsOver]]=1,Table1[[#This Row],[ActualHomeScore]]=0), 1,0)</f>
        <v>0</v>
      </c>
      <c r="AH172" s="64">
        <f>IF(Table1[[#This Row],[GameIsOver]]=0,0,IF(Table1[[#This Row],[ActualWinner]]=Table1[[#This Row],[AwayTeam]], 1, 0))</f>
        <v>0</v>
      </c>
      <c r="AI172" s="64">
        <f>IF(Table1[[#This Row],[GameIsOver]]=0,0,IF(Table1[[#This Row],[ActualWinner]]=Table1[[#This Row],[HomeTeam]], 1, 0))</f>
        <v>0</v>
      </c>
      <c r="AJ172" s="64">
        <f>IF(INDEX(Standings!$A$2:$C$33,MATCH(Table1[[#This Row],[AwayTeam]],Standings!$A$2:$A$33,0),2)=INDEX(Standings!$A$2:$C$33,MATCH(Table1[[#This Row],[HomeTeam]],Standings!$A$2:$A$33,0),2),1,0)</f>
        <v>1</v>
      </c>
      <c r="AK172" s="64">
        <f>IF(INDEX(Standings!$A$2:$C$33,MATCH(Table1[[#This Row],[AwayTeam]],Standings!$A$2:$A$33,0),3)=INDEX(Standings!$A$2:$C$33,MATCH(Table1[[#This Row],[HomeTeam]],Standings!$A$2:$A$33,0),3),1,0)</f>
        <v>0</v>
      </c>
      <c r="AL172" s="64">
        <f>IF(Table1[[#This Row],[InterConf]]=1,IF(Table1[[#This Row],[InterDiv]]=0, 1, 0), 0)</f>
        <v>1</v>
      </c>
      <c r="AM172" s="64">
        <f>IF(INDEX(Standings!$A$2:$C$33,MATCH(Table1[[#This Row],[AwayTeam]],Standings!$A$2:$A$33,0),2)&lt;&gt;INDEX(Standings!$A$2:$C$33,MATCH(Table1[[#This Row],[HomeTeam]],Standings!$A$2:$A$33,0),2),1,0)</f>
        <v>0</v>
      </c>
      <c r="AN172" s="64" t="str">
        <f>INDEX(Table2[AWAY_RECORD], MATCH(Table1[[#This Row],[AwayTeam]],Table2[Team], 0), 0)</f>
        <v>2-0-0</v>
      </c>
      <c r="AO172" s="64" t="str">
        <f>INDEX(Records!$B$2:$AG$33, MATCH(Table1[[#This Row],[AwayTeam]],Records!$A$2:$A$33, 0), MATCH(Table1[[#This Row],[HomeTeam]],Records!$A$2:$A$33, 0))</f>
        <v>0-0-0</v>
      </c>
      <c r="AP172" s="64" t="str">
        <f>INDEX(Table2[HOME_RECORD], MATCH(Table1[[#This Row],[HomeTeam]],Table2[Team], 0), 0)</f>
        <v>0-0-0</v>
      </c>
      <c r="AQ172" s="64" t="str">
        <f>INDEX(Records!$B$2:$AG$33, MATCH(Table1[[#This Row],[HomeTeam]],Records!$A$2:$A$33, 0), MATCH(Table1[[#This Row],[AwayTeam]],Records!$A$2:$A$33, 0))</f>
        <v>0-0-0</v>
      </c>
    </row>
    <row r="173" spans="1:43" x14ac:dyDescent="0.25">
      <c r="A173" s="1"/>
      <c r="D173" t="s">
        <v>372</v>
      </c>
      <c r="E173" t="s">
        <v>160</v>
      </c>
      <c r="F173" t="s">
        <v>377</v>
      </c>
      <c r="G173" t="s">
        <v>48</v>
      </c>
      <c r="H173" t="s">
        <v>54</v>
      </c>
      <c r="L17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7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73" s="1"/>
      <c r="T173" s="64" t="str">
        <f>IF(Table1[[#This Row],[ActualWinner]]="", "", IF(Table1[[#This Row],[AwayTeam]]=Table1[[#This Row],[ActualWinner]],Table1[[#This Row],[HomeTeam]],Table1[[#This Row],[AwayTeam]]))</f>
        <v/>
      </c>
      <c r="U173" s="64">
        <f>Table1[[#This Row],[ActualAwayScore]]-Table1[[#This Row],[PredictedAwayScore]]</f>
        <v>0</v>
      </c>
      <c r="V173" s="64">
        <f>Table1[[#This Row],[ActualHomeScore]]-Table1[[#This Row],[PredictedHomeScore]]</f>
        <v>0</v>
      </c>
      <c r="W173" s="64">
        <f>(0.8*IF(Table1[[#This Row],[CorrectWinnerPrediction]]=1, 1, 0))+(0.1*IF(Table1[[#This Row],[CorrectAwayScorePrediction]]=1, 1, 0))+(0.1*IF(Table1[[#This Row],[CorrectHomeScorePrediction]]=1, 1, 0))</f>
        <v>0</v>
      </c>
      <c r="X17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73" s="64">
        <f>SUMIF(Table1[GameDate], Table1[[#This Row],[GameDate]], Table1[AwayGameGoalDiff])</f>
        <v>0</v>
      </c>
      <c r="AA173" s="64">
        <f>SUMIF(Table1[GameDate], Table1[[#This Row],[GameDate]], Table1[HomeGameGoalDiff])</f>
        <v>0</v>
      </c>
      <c r="AB173" s="64">
        <f>IF(ISBLANK(Table1[[#This Row],[ActualResult]]), 0, 1)</f>
        <v>0</v>
      </c>
      <c r="AC173" s="64">
        <f>IF(ISBLANK(Table1[[#This Row],[ActualResult]]), 0, IF(Table1[[#This Row],[ActualWinner]]=Table1[[#This Row],[PredictedWinner]], 1, 0))</f>
        <v>0</v>
      </c>
      <c r="AD17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7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73" s="64">
        <f>IF(AND(Table1[[#This Row],[GameIsOver]]=1,Table1[[#This Row],[ActualAwayScore]]=0), 1,0)</f>
        <v>0</v>
      </c>
      <c r="AG173" s="64">
        <f>IF(AND(Table1[[#This Row],[GameIsOver]]=1,Table1[[#This Row],[ActualHomeScore]]=0), 1,0)</f>
        <v>0</v>
      </c>
      <c r="AH173" s="64">
        <f>IF(Table1[[#This Row],[GameIsOver]]=0,0,IF(Table1[[#This Row],[ActualWinner]]=Table1[[#This Row],[AwayTeam]], 1, 0))</f>
        <v>0</v>
      </c>
      <c r="AI173" s="64">
        <f>IF(Table1[[#This Row],[GameIsOver]]=0,0,IF(Table1[[#This Row],[ActualWinner]]=Table1[[#This Row],[HomeTeam]], 1, 0))</f>
        <v>0</v>
      </c>
      <c r="AJ173" s="64">
        <f>IF(INDEX(Standings!$A$2:$C$33,MATCH(Table1[[#This Row],[AwayTeam]],Standings!$A$2:$A$33,0),2)=INDEX(Standings!$A$2:$C$33,MATCH(Table1[[#This Row],[HomeTeam]],Standings!$A$2:$A$33,0),2),1,0)</f>
        <v>0</v>
      </c>
      <c r="AK173" s="64">
        <f>IF(INDEX(Standings!$A$2:$C$33,MATCH(Table1[[#This Row],[AwayTeam]],Standings!$A$2:$A$33,0),3)=INDEX(Standings!$A$2:$C$33,MATCH(Table1[[#This Row],[HomeTeam]],Standings!$A$2:$A$33,0),3),1,0)</f>
        <v>0</v>
      </c>
      <c r="AL173" s="64">
        <f>IF(Table1[[#This Row],[InterConf]]=1,IF(Table1[[#This Row],[InterDiv]]=0, 1, 0), 0)</f>
        <v>0</v>
      </c>
      <c r="AM173" s="64">
        <f>IF(INDEX(Standings!$A$2:$C$33,MATCH(Table1[[#This Row],[AwayTeam]],Standings!$A$2:$A$33,0),2)&lt;&gt;INDEX(Standings!$A$2:$C$33,MATCH(Table1[[#This Row],[HomeTeam]],Standings!$A$2:$A$33,0),2),1,0)</f>
        <v>1</v>
      </c>
      <c r="AN173" s="64" t="str">
        <f>INDEX(Table2[AWAY_RECORD], MATCH(Table1[[#This Row],[AwayTeam]],Table2[Team], 0), 0)</f>
        <v>0-0-0</v>
      </c>
      <c r="AO173" s="64" t="str">
        <f>INDEX(Records!$B$2:$AG$33, MATCH(Table1[[#This Row],[AwayTeam]],Records!$A$2:$A$33, 0), MATCH(Table1[[#This Row],[HomeTeam]],Records!$A$2:$A$33, 0))</f>
        <v>0-0-0</v>
      </c>
      <c r="AP173" s="64" t="str">
        <f>INDEX(Table2[HOME_RECORD], MATCH(Table1[[#This Row],[HomeTeam]],Table2[Team], 0), 0)</f>
        <v>0-0-0</v>
      </c>
      <c r="AQ173" s="64" t="str">
        <f>INDEX(Records!$B$2:$AG$33, MATCH(Table1[[#This Row],[HomeTeam]],Records!$A$2:$A$33, 0), MATCH(Table1[[#This Row],[AwayTeam]],Records!$A$2:$A$33, 0))</f>
        <v>0-0-0</v>
      </c>
    </row>
    <row r="174" spans="1:43" x14ac:dyDescent="0.25">
      <c r="A174" s="1"/>
      <c r="D174" t="s">
        <v>372</v>
      </c>
      <c r="E174" t="s">
        <v>160</v>
      </c>
      <c r="F174" t="s">
        <v>378</v>
      </c>
      <c r="G174" t="s">
        <v>38</v>
      </c>
      <c r="H174" t="s">
        <v>59</v>
      </c>
      <c r="L17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7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74" s="1"/>
      <c r="T174" s="64" t="str">
        <f>IF(Table1[[#This Row],[ActualWinner]]="", "", IF(Table1[[#This Row],[AwayTeam]]=Table1[[#This Row],[ActualWinner]],Table1[[#This Row],[HomeTeam]],Table1[[#This Row],[AwayTeam]]))</f>
        <v/>
      </c>
      <c r="U174" s="64">
        <f>Table1[[#This Row],[ActualAwayScore]]-Table1[[#This Row],[PredictedAwayScore]]</f>
        <v>0</v>
      </c>
      <c r="V174" s="64">
        <f>Table1[[#This Row],[ActualHomeScore]]-Table1[[#This Row],[PredictedHomeScore]]</f>
        <v>0</v>
      </c>
      <c r="W174" s="64">
        <f>(0.8*IF(Table1[[#This Row],[CorrectWinnerPrediction]]=1, 1, 0))+(0.1*IF(Table1[[#This Row],[CorrectAwayScorePrediction]]=1, 1, 0))+(0.1*IF(Table1[[#This Row],[CorrectHomeScorePrediction]]=1, 1, 0))</f>
        <v>0</v>
      </c>
      <c r="X17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74" s="64">
        <f>SUMIF(Table1[GameDate], Table1[[#This Row],[GameDate]], Table1[AwayGameGoalDiff])</f>
        <v>0</v>
      </c>
      <c r="AA174" s="64">
        <f>SUMIF(Table1[GameDate], Table1[[#This Row],[GameDate]], Table1[HomeGameGoalDiff])</f>
        <v>0</v>
      </c>
      <c r="AB174" s="64">
        <f>IF(ISBLANK(Table1[[#This Row],[ActualResult]]), 0, 1)</f>
        <v>0</v>
      </c>
      <c r="AC174" s="64">
        <f>IF(ISBLANK(Table1[[#This Row],[ActualResult]]), 0, IF(Table1[[#This Row],[ActualWinner]]=Table1[[#This Row],[PredictedWinner]], 1, 0))</f>
        <v>0</v>
      </c>
      <c r="AD17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7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74" s="64">
        <f>IF(AND(Table1[[#This Row],[GameIsOver]]=1,Table1[[#This Row],[ActualAwayScore]]=0), 1,0)</f>
        <v>0</v>
      </c>
      <c r="AG174" s="64">
        <f>IF(AND(Table1[[#This Row],[GameIsOver]]=1,Table1[[#This Row],[ActualHomeScore]]=0), 1,0)</f>
        <v>0</v>
      </c>
      <c r="AH174" s="64">
        <f>IF(Table1[[#This Row],[GameIsOver]]=0,0,IF(Table1[[#This Row],[ActualWinner]]=Table1[[#This Row],[AwayTeam]], 1, 0))</f>
        <v>0</v>
      </c>
      <c r="AI174" s="64">
        <f>IF(Table1[[#This Row],[GameIsOver]]=0,0,IF(Table1[[#This Row],[ActualWinner]]=Table1[[#This Row],[HomeTeam]], 1, 0))</f>
        <v>0</v>
      </c>
      <c r="AJ174" s="64">
        <f>IF(INDEX(Standings!$A$2:$C$33,MATCH(Table1[[#This Row],[AwayTeam]],Standings!$A$2:$A$33,0),2)=INDEX(Standings!$A$2:$C$33,MATCH(Table1[[#This Row],[HomeTeam]],Standings!$A$2:$A$33,0),2),1,0)</f>
        <v>1</v>
      </c>
      <c r="AK174" s="64">
        <f>IF(INDEX(Standings!$A$2:$C$33,MATCH(Table1[[#This Row],[AwayTeam]],Standings!$A$2:$A$33,0),3)=INDEX(Standings!$A$2:$C$33,MATCH(Table1[[#This Row],[HomeTeam]],Standings!$A$2:$A$33,0),3),1,0)</f>
        <v>0</v>
      </c>
      <c r="AL174" s="64">
        <f>IF(Table1[[#This Row],[InterConf]]=1,IF(Table1[[#This Row],[InterDiv]]=0, 1, 0), 0)</f>
        <v>1</v>
      </c>
      <c r="AM174" s="64">
        <f>IF(INDEX(Standings!$A$2:$C$33,MATCH(Table1[[#This Row],[AwayTeam]],Standings!$A$2:$A$33,0),2)&lt;&gt;INDEX(Standings!$A$2:$C$33,MATCH(Table1[[#This Row],[HomeTeam]],Standings!$A$2:$A$33,0),2),1,0)</f>
        <v>0</v>
      </c>
      <c r="AN174" s="64" t="str">
        <f>INDEX(Table2[AWAY_RECORD], MATCH(Table1[[#This Row],[AwayTeam]],Table2[Team], 0), 0)</f>
        <v>0-0-1</v>
      </c>
      <c r="AO174" s="64" t="str">
        <f>INDEX(Records!$B$2:$AG$33, MATCH(Table1[[#This Row],[AwayTeam]],Records!$A$2:$A$33, 0), MATCH(Table1[[#This Row],[HomeTeam]],Records!$A$2:$A$33, 0))</f>
        <v>0-0-0</v>
      </c>
      <c r="AP174" s="64" t="str">
        <f>INDEX(Table2[HOME_RECORD], MATCH(Table1[[#This Row],[HomeTeam]],Table2[Team], 0), 0)</f>
        <v>0-0-0</v>
      </c>
      <c r="AQ174" s="64" t="str">
        <f>INDEX(Records!$B$2:$AG$33, MATCH(Table1[[#This Row],[HomeTeam]],Records!$A$2:$A$33, 0), MATCH(Table1[[#This Row],[AwayTeam]],Records!$A$2:$A$33, 0))</f>
        <v>0-0-0</v>
      </c>
    </row>
    <row r="175" spans="1:43" x14ac:dyDescent="0.25">
      <c r="A175" s="1"/>
      <c r="D175" t="s">
        <v>372</v>
      </c>
      <c r="E175" t="s">
        <v>160</v>
      </c>
      <c r="F175" t="s">
        <v>379</v>
      </c>
      <c r="G175" t="s">
        <v>25</v>
      </c>
      <c r="H175" t="s">
        <v>42</v>
      </c>
      <c r="L17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7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75" s="1"/>
      <c r="T175" s="64" t="str">
        <f>IF(Table1[[#This Row],[ActualWinner]]="", "", IF(Table1[[#This Row],[AwayTeam]]=Table1[[#This Row],[ActualWinner]],Table1[[#This Row],[HomeTeam]],Table1[[#This Row],[AwayTeam]]))</f>
        <v/>
      </c>
      <c r="U175" s="64">
        <f>Table1[[#This Row],[ActualAwayScore]]-Table1[[#This Row],[PredictedAwayScore]]</f>
        <v>0</v>
      </c>
      <c r="V175" s="64">
        <f>Table1[[#This Row],[ActualHomeScore]]-Table1[[#This Row],[PredictedHomeScore]]</f>
        <v>0</v>
      </c>
      <c r="W175" s="64">
        <f>(0.8*IF(Table1[[#This Row],[CorrectWinnerPrediction]]=1, 1, 0))+(0.1*IF(Table1[[#This Row],[CorrectAwayScorePrediction]]=1, 1, 0))+(0.1*IF(Table1[[#This Row],[CorrectHomeScorePrediction]]=1, 1, 0))</f>
        <v>0</v>
      </c>
      <c r="X17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75" s="64">
        <f>SUMIF(Table1[GameDate], Table1[[#This Row],[GameDate]], Table1[AwayGameGoalDiff])</f>
        <v>0</v>
      </c>
      <c r="AA175" s="64">
        <f>SUMIF(Table1[GameDate], Table1[[#This Row],[GameDate]], Table1[HomeGameGoalDiff])</f>
        <v>0</v>
      </c>
      <c r="AB175" s="64">
        <f>IF(ISBLANK(Table1[[#This Row],[ActualResult]]), 0, 1)</f>
        <v>0</v>
      </c>
      <c r="AC175" s="64">
        <f>IF(ISBLANK(Table1[[#This Row],[ActualResult]]), 0, IF(Table1[[#This Row],[ActualWinner]]=Table1[[#This Row],[PredictedWinner]], 1, 0))</f>
        <v>0</v>
      </c>
      <c r="AD17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7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75" s="64">
        <f>IF(AND(Table1[[#This Row],[GameIsOver]]=1,Table1[[#This Row],[ActualAwayScore]]=0), 1,0)</f>
        <v>0</v>
      </c>
      <c r="AG175" s="64">
        <f>IF(AND(Table1[[#This Row],[GameIsOver]]=1,Table1[[#This Row],[ActualHomeScore]]=0), 1,0)</f>
        <v>0</v>
      </c>
      <c r="AH175" s="64">
        <f>IF(Table1[[#This Row],[GameIsOver]]=0,0,IF(Table1[[#This Row],[ActualWinner]]=Table1[[#This Row],[AwayTeam]], 1, 0))</f>
        <v>0</v>
      </c>
      <c r="AI175" s="64">
        <f>IF(Table1[[#This Row],[GameIsOver]]=0,0,IF(Table1[[#This Row],[ActualWinner]]=Table1[[#This Row],[HomeTeam]], 1, 0))</f>
        <v>0</v>
      </c>
      <c r="AJ175" s="64">
        <f>IF(INDEX(Standings!$A$2:$C$33,MATCH(Table1[[#This Row],[AwayTeam]],Standings!$A$2:$A$33,0),2)=INDEX(Standings!$A$2:$C$33,MATCH(Table1[[#This Row],[HomeTeam]],Standings!$A$2:$A$33,0),2),1,0)</f>
        <v>0</v>
      </c>
      <c r="AK175" s="64">
        <f>IF(INDEX(Standings!$A$2:$C$33,MATCH(Table1[[#This Row],[AwayTeam]],Standings!$A$2:$A$33,0),3)=INDEX(Standings!$A$2:$C$33,MATCH(Table1[[#This Row],[HomeTeam]],Standings!$A$2:$A$33,0),3),1,0)</f>
        <v>0</v>
      </c>
      <c r="AL175" s="64">
        <f>IF(Table1[[#This Row],[InterConf]]=1,IF(Table1[[#This Row],[InterDiv]]=0, 1, 0), 0)</f>
        <v>0</v>
      </c>
      <c r="AM175" s="64">
        <f>IF(INDEX(Standings!$A$2:$C$33,MATCH(Table1[[#This Row],[AwayTeam]],Standings!$A$2:$A$33,0),2)&lt;&gt;INDEX(Standings!$A$2:$C$33,MATCH(Table1[[#This Row],[HomeTeam]],Standings!$A$2:$A$33,0),2),1,0)</f>
        <v>1</v>
      </c>
      <c r="AN175" s="64" t="str">
        <f>INDEX(Table2[AWAY_RECORD], MATCH(Table1[[#This Row],[AwayTeam]],Table2[Team], 0), 0)</f>
        <v>0-0-0</v>
      </c>
      <c r="AO175" s="64" t="str">
        <f>INDEX(Records!$B$2:$AG$33, MATCH(Table1[[#This Row],[AwayTeam]],Records!$A$2:$A$33, 0), MATCH(Table1[[#This Row],[HomeTeam]],Records!$A$2:$A$33, 0))</f>
        <v>0-0-0</v>
      </c>
      <c r="AP175" s="64" t="str">
        <f>INDEX(Table2[HOME_RECORD], MATCH(Table1[[#This Row],[HomeTeam]],Table2[Team], 0), 0)</f>
        <v>1-0-0</v>
      </c>
      <c r="AQ175" s="64" t="str">
        <f>INDEX(Records!$B$2:$AG$33, MATCH(Table1[[#This Row],[HomeTeam]],Records!$A$2:$A$33, 0), MATCH(Table1[[#This Row],[AwayTeam]],Records!$A$2:$A$33, 0))</f>
        <v>0-0-0</v>
      </c>
    </row>
    <row r="176" spans="1:43" x14ac:dyDescent="0.25">
      <c r="A176" s="1"/>
      <c r="D176" t="s">
        <v>372</v>
      </c>
      <c r="E176" t="s">
        <v>160</v>
      </c>
      <c r="F176" t="s">
        <v>380</v>
      </c>
      <c r="G176" t="s">
        <v>40</v>
      </c>
      <c r="H176" t="s">
        <v>61</v>
      </c>
      <c r="L17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7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76" s="1"/>
      <c r="T176" s="64" t="str">
        <f>IF(Table1[[#This Row],[ActualWinner]]="", "", IF(Table1[[#This Row],[AwayTeam]]=Table1[[#This Row],[ActualWinner]],Table1[[#This Row],[HomeTeam]],Table1[[#This Row],[AwayTeam]]))</f>
        <v/>
      </c>
      <c r="U176" s="64">
        <f>Table1[[#This Row],[ActualAwayScore]]-Table1[[#This Row],[PredictedAwayScore]]</f>
        <v>0</v>
      </c>
      <c r="V176" s="64">
        <f>Table1[[#This Row],[ActualHomeScore]]-Table1[[#This Row],[PredictedHomeScore]]</f>
        <v>0</v>
      </c>
      <c r="W176" s="64">
        <f>(0.8*IF(Table1[[#This Row],[CorrectWinnerPrediction]]=1, 1, 0))+(0.1*IF(Table1[[#This Row],[CorrectAwayScorePrediction]]=1, 1, 0))+(0.1*IF(Table1[[#This Row],[CorrectHomeScorePrediction]]=1, 1, 0))</f>
        <v>0</v>
      </c>
      <c r="X17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76" s="64">
        <f>SUMIF(Table1[GameDate], Table1[[#This Row],[GameDate]], Table1[AwayGameGoalDiff])</f>
        <v>0</v>
      </c>
      <c r="AA176" s="64">
        <f>SUMIF(Table1[GameDate], Table1[[#This Row],[GameDate]], Table1[HomeGameGoalDiff])</f>
        <v>0</v>
      </c>
      <c r="AB176" s="64">
        <f>IF(ISBLANK(Table1[[#This Row],[ActualResult]]), 0, 1)</f>
        <v>0</v>
      </c>
      <c r="AC176" s="64">
        <f>IF(ISBLANK(Table1[[#This Row],[ActualResult]]), 0, IF(Table1[[#This Row],[ActualWinner]]=Table1[[#This Row],[PredictedWinner]], 1, 0))</f>
        <v>0</v>
      </c>
      <c r="AD17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7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76" s="64">
        <f>IF(AND(Table1[[#This Row],[GameIsOver]]=1,Table1[[#This Row],[ActualAwayScore]]=0), 1,0)</f>
        <v>0</v>
      </c>
      <c r="AG176" s="64">
        <f>IF(AND(Table1[[#This Row],[GameIsOver]]=1,Table1[[#This Row],[ActualHomeScore]]=0), 1,0)</f>
        <v>0</v>
      </c>
      <c r="AH176" s="64">
        <f>IF(Table1[[#This Row],[GameIsOver]]=0,0,IF(Table1[[#This Row],[ActualWinner]]=Table1[[#This Row],[AwayTeam]], 1, 0))</f>
        <v>0</v>
      </c>
      <c r="AI176" s="64">
        <f>IF(Table1[[#This Row],[GameIsOver]]=0,0,IF(Table1[[#This Row],[ActualWinner]]=Table1[[#This Row],[HomeTeam]], 1, 0))</f>
        <v>0</v>
      </c>
      <c r="AJ176" s="64">
        <f>IF(INDEX(Standings!$A$2:$C$33,MATCH(Table1[[#This Row],[AwayTeam]],Standings!$A$2:$A$33,0),2)=INDEX(Standings!$A$2:$C$33,MATCH(Table1[[#This Row],[HomeTeam]],Standings!$A$2:$A$33,0),2),1,0)</f>
        <v>0</v>
      </c>
      <c r="AK176" s="64">
        <f>IF(INDEX(Standings!$A$2:$C$33,MATCH(Table1[[#This Row],[AwayTeam]],Standings!$A$2:$A$33,0),3)=INDEX(Standings!$A$2:$C$33,MATCH(Table1[[#This Row],[HomeTeam]],Standings!$A$2:$A$33,0),3),1,0)</f>
        <v>0</v>
      </c>
      <c r="AL176" s="64">
        <f>IF(Table1[[#This Row],[InterConf]]=1,IF(Table1[[#This Row],[InterDiv]]=0, 1, 0), 0)</f>
        <v>0</v>
      </c>
      <c r="AM176" s="64">
        <f>IF(INDEX(Standings!$A$2:$C$33,MATCH(Table1[[#This Row],[AwayTeam]],Standings!$A$2:$A$33,0),2)&lt;&gt;INDEX(Standings!$A$2:$C$33,MATCH(Table1[[#This Row],[HomeTeam]],Standings!$A$2:$A$33,0),2),1,0)</f>
        <v>1</v>
      </c>
      <c r="AN176" s="64" t="str">
        <f>INDEX(Table2[AWAY_RECORD], MATCH(Table1[[#This Row],[AwayTeam]],Table2[Team], 0), 0)</f>
        <v>0-0-0</v>
      </c>
      <c r="AO176" s="64" t="str">
        <f>INDEX(Records!$B$2:$AG$33, MATCH(Table1[[#This Row],[AwayTeam]],Records!$A$2:$A$33, 0), MATCH(Table1[[#This Row],[HomeTeam]],Records!$A$2:$A$33, 0))</f>
        <v>0-0-0</v>
      </c>
      <c r="AP176" s="64" t="str">
        <f>INDEX(Table2[HOME_RECORD], MATCH(Table1[[#This Row],[HomeTeam]],Table2[Team], 0), 0)</f>
        <v>0-0-0</v>
      </c>
      <c r="AQ176" s="64" t="str">
        <f>INDEX(Records!$B$2:$AG$33, MATCH(Table1[[#This Row],[HomeTeam]],Records!$A$2:$A$33, 0), MATCH(Table1[[#This Row],[AwayTeam]],Records!$A$2:$A$33, 0))</f>
        <v>0-0-0</v>
      </c>
    </row>
    <row r="177" spans="1:43" x14ac:dyDescent="0.25">
      <c r="A177" s="1"/>
      <c r="D177" t="s">
        <v>372</v>
      </c>
      <c r="E177" t="s">
        <v>160</v>
      </c>
      <c r="F177" t="s">
        <v>381</v>
      </c>
      <c r="G177" t="s">
        <v>24</v>
      </c>
      <c r="H177" t="s">
        <v>45</v>
      </c>
      <c r="L17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7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77" s="1"/>
      <c r="T177" s="64" t="str">
        <f>IF(Table1[[#This Row],[ActualWinner]]="", "", IF(Table1[[#This Row],[AwayTeam]]=Table1[[#This Row],[ActualWinner]],Table1[[#This Row],[HomeTeam]],Table1[[#This Row],[AwayTeam]]))</f>
        <v/>
      </c>
      <c r="U177" s="64">
        <f>Table1[[#This Row],[ActualAwayScore]]-Table1[[#This Row],[PredictedAwayScore]]</f>
        <v>0</v>
      </c>
      <c r="V177" s="64">
        <f>Table1[[#This Row],[ActualHomeScore]]-Table1[[#This Row],[PredictedHomeScore]]</f>
        <v>0</v>
      </c>
      <c r="W177" s="64">
        <f>(0.8*IF(Table1[[#This Row],[CorrectWinnerPrediction]]=1, 1, 0))+(0.1*IF(Table1[[#This Row],[CorrectAwayScorePrediction]]=1, 1, 0))+(0.1*IF(Table1[[#This Row],[CorrectHomeScorePrediction]]=1, 1, 0))</f>
        <v>0</v>
      </c>
      <c r="X17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77" s="64">
        <f>SUMIF(Table1[GameDate], Table1[[#This Row],[GameDate]], Table1[AwayGameGoalDiff])</f>
        <v>0</v>
      </c>
      <c r="AA177" s="64">
        <f>SUMIF(Table1[GameDate], Table1[[#This Row],[GameDate]], Table1[HomeGameGoalDiff])</f>
        <v>0</v>
      </c>
      <c r="AB177" s="64">
        <f>IF(ISBLANK(Table1[[#This Row],[ActualResult]]), 0, 1)</f>
        <v>0</v>
      </c>
      <c r="AC177" s="64">
        <f>IF(ISBLANK(Table1[[#This Row],[ActualResult]]), 0, IF(Table1[[#This Row],[ActualWinner]]=Table1[[#This Row],[PredictedWinner]], 1, 0))</f>
        <v>0</v>
      </c>
      <c r="AD17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7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77" s="64">
        <f>IF(AND(Table1[[#This Row],[GameIsOver]]=1,Table1[[#This Row],[ActualAwayScore]]=0), 1,0)</f>
        <v>0</v>
      </c>
      <c r="AG177" s="64">
        <f>IF(AND(Table1[[#This Row],[GameIsOver]]=1,Table1[[#This Row],[ActualHomeScore]]=0), 1,0)</f>
        <v>0</v>
      </c>
      <c r="AH177" s="64">
        <f>IF(Table1[[#This Row],[GameIsOver]]=0,0,IF(Table1[[#This Row],[ActualWinner]]=Table1[[#This Row],[AwayTeam]], 1, 0))</f>
        <v>0</v>
      </c>
      <c r="AI177" s="64">
        <f>IF(Table1[[#This Row],[GameIsOver]]=0,0,IF(Table1[[#This Row],[ActualWinner]]=Table1[[#This Row],[HomeTeam]], 1, 0))</f>
        <v>0</v>
      </c>
      <c r="AJ177" s="64">
        <f>IF(INDEX(Standings!$A$2:$C$33,MATCH(Table1[[#This Row],[AwayTeam]],Standings!$A$2:$A$33,0),2)=INDEX(Standings!$A$2:$C$33,MATCH(Table1[[#This Row],[HomeTeam]],Standings!$A$2:$A$33,0),2),1,0)</f>
        <v>0</v>
      </c>
      <c r="AK177" s="64">
        <f>IF(INDEX(Standings!$A$2:$C$33,MATCH(Table1[[#This Row],[AwayTeam]],Standings!$A$2:$A$33,0),3)=INDEX(Standings!$A$2:$C$33,MATCH(Table1[[#This Row],[HomeTeam]],Standings!$A$2:$A$33,0),3),1,0)</f>
        <v>0</v>
      </c>
      <c r="AL177" s="64">
        <f>IF(Table1[[#This Row],[InterConf]]=1,IF(Table1[[#This Row],[InterDiv]]=0, 1, 0), 0)</f>
        <v>0</v>
      </c>
      <c r="AM177" s="64">
        <f>IF(INDEX(Standings!$A$2:$C$33,MATCH(Table1[[#This Row],[AwayTeam]],Standings!$A$2:$A$33,0),2)&lt;&gt;INDEX(Standings!$A$2:$C$33,MATCH(Table1[[#This Row],[HomeTeam]],Standings!$A$2:$A$33,0),2),1,0)</f>
        <v>1</v>
      </c>
      <c r="AN177" s="64" t="str">
        <f>INDEX(Table2[AWAY_RECORD], MATCH(Table1[[#This Row],[AwayTeam]],Table2[Team], 0), 0)</f>
        <v>0-0-0</v>
      </c>
      <c r="AO177" s="64" t="str">
        <f>INDEX(Records!$B$2:$AG$33, MATCH(Table1[[#This Row],[AwayTeam]],Records!$A$2:$A$33, 0), MATCH(Table1[[#This Row],[HomeTeam]],Records!$A$2:$A$33, 0))</f>
        <v>0-0-0</v>
      </c>
      <c r="AP177" s="64" t="str">
        <f>INDEX(Table2[HOME_RECORD], MATCH(Table1[[#This Row],[HomeTeam]],Table2[Team], 0), 0)</f>
        <v>1-0-0</v>
      </c>
      <c r="AQ177" s="64" t="str">
        <f>INDEX(Records!$B$2:$AG$33, MATCH(Table1[[#This Row],[HomeTeam]],Records!$A$2:$A$33, 0), MATCH(Table1[[#This Row],[AwayTeam]],Records!$A$2:$A$33, 0))</f>
        <v>0-0-0</v>
      </c>
    </row>
    <row r="178" spans="1:43" x14ac:dyDescent="0.25">
      <c r="A178" s="1"/>
      <c r="D178" t="s">
        <v>372</v>
      </c>
      <c r="E178" t="s">
        <v>178</v>
      </c>
      <c r="F178" t="s">
        <v>382</v>
      </c>
      <c r="G178" t="s">
        <v>57</v>
      </c>
      <c r="H178" t="s">
        <v>58</v>
      </c>
      <c r="L17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7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78" s="1"/>
      <c r="T178" s="64" t="str">
        <f>IF(Table1[[#This Row],[ActualWinner]]="", "", IF(Table1[[#This Row],[AwayTeam]]=Table1[[#This Row],[ActualWinner]],Table1[[#This Row],[HomeTeam]],Table1[[#This Row],[AwayTeam]]))</f>
        <v/>
      </c>
      <c r="U178" s="64">
        <f>Table1[[#This Row],[ActualAwayScore]]-Table1[[#This Row],[PredictedAwayScore]]</f>
        <v>0</v>
      </c>
      <c r="V178" s="64">
        <f>Table1[[#This Row],[ActualHomeScore]]-Table1[[#This Row],[PredictedHomeScore]]</f>
        <v>0</v>
      </c>
      <c r="W178" s="64">
        <f>(0.8*IF(Table1[[#This Row],[CorrectWinnerPrediction]]=1, 1, 0))+(0.1*IF(Table1[[#This Row],[CorrectAwayScorePrediction]]=1, 1, 0))+(0.1*IF(Table1[[#This Row],[CorrectHomeScorePrediction]]=1, 1, 0))</f>
        <v>0</v>
      </c>
      <c r="X17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78" s="64">
        <f>SUMIF(Table1[GameDate], Table1[[#This Row],[GameDate]], Table1[AwayGameGoalDiff])</f>
        <v>0</v>
      </c>
      <c r="AA178" s="64">
        <f>SUMIF(Table1[GameDate], Table1[[#This Row],[GameDate]], Table1[HomeGameGoalDiff])</f>
        <v>0</v>
      </c>
      <c r="AB178" s="64">
        <f>IF(ISBLANK(Table1[[#This Row],[ActualResult]]), 0, 1)</f>
        <v>0</v>
      </c>
      <c r="AC178" s="64">
        <f>IF(ISBLANK(Table1[[#This Row],[ActualResult]]), 0, IF(Table1[[#This Row],[ActualWinner]]=Table1[[#This Row],[PredictedWinner]], 1, 0))</f>
        <v>0</v>
      </c>
      <c r="AD17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7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78" s="64">
        <f>IF(AND(Table1[[#This Row],[GameIsOver]]=1,Table1[[#This Row],[ActualAwayScore]]=0), 1,0)</f>
        <v>0</v>
      </c>
      <c r="AG178" s="64">
        <f>IF(AND(Table1[[#This Row],[GameIsOver]]=1,Table1[[#This Row],[ActualHomeScore]]=0), 1,0)</f>
        <v>0</v>
      </c>
      <c r="AH178" s="64">
        <f>IF(Table1[[#This Row],[GameIsOver]]=0,0,IF(Table1[[#This Row],[ActualWinner]]=Table1[[#This Row],[AwayTeam]], 1, 0))</f>
        <v>0</v>
      </c>
      <c r="AI178" s="64">
        <f>IF(Table1[[#This Row],[GameIsOver]]=0,0,IF(Table1[[#This Row],[ActualWinner]]=Table1[[#This Row],[HomeTeam]], 1, 0))</f>
        <v>0</v>
      </c>
      <c r="AJ178" s="64">
        <f>IF(INDEX(Standings!$A$2:$C$33,MATCH(Table1[[#This Row],[AwayTeam]],Standings!$A$2:$A$33,0),2)=INDEX(Standings!$A$2:$C$33,MATCH(Table1[[#This Row],[HomeTeam]],Standings!$A$2:$A$33,0),2),1,0)</f>
        <v>0</v>
      </c>
      <c r="AK178" s="64">
        <f>IF(INDEX(Standings!$A$2:$C$33,MATCH(Table1[[#This Row],[AwayTeam]],Standings!$A$2:$A$33,0),3)=INDEX(Standings!$A$2:$C$33,MATCH(Table1[[#This Row],[HomeTeam]],Standings!$A$2:$A$33,0),3),1,0)</f>
        <v>0</v>
      </c>
      <c r="AL178" s="64">
        <f>IF(Table1[[#This Row],[InterConf]]=1,IF(Table1[[#This Row],[InterDiv]]=0, 1, 0), 0)</f>
        <v>0</v>
      </c>
      <c r="AM178" s="64">
        <f>IF(INDEX(Standings!$A$2:$C$33,MATCH(Table1[[#This Row],[AwayTeam]],Standings!$A$2:$A$33,0),2)&lt;&gt;INDEX(Standings!$A$2:$C$33,MATCH(Table1[[#This Row],[HomeTeam]],Standings!$A$2:$A$33,0),2),1,0)</f>
        <v>1</v>
      </c>
      <c r="AN178" s="64" t="str">
        <f>INDEX(Table2[AWAY_RECORD], MATCH(Table1[[#This Row],[AwayTeam]],Table2[Team], 0), 0)</f>
        <v>0-1-0</v>
      </c>
      <c r="AO178" s="64" t="str">
        <f>INDEX(Records!$B$2:$AG$33, MATCH(Table1[[#This Row],[AwayTeam]],Records!$A$2:$A$33, 0), MATCH(Table1[[#This Row],[HomeTeam]],Records!$A$2:$A$33, 0))</f>
        <v>0-0-0</v>
      </c>
      <c r="AP178" s="64" t="str">
        <f>INDEX(Table2[HOME_RECORD], MATCH(Table1[[#This Row],[HomeTeam]],Table2[Team], 0), 0)</f>
        <v>1-0-0</v>
      </c>
      <c r="AQ178" s="64" t="str">
        <f>INDEX(Records!$B$2:$AG$33, MATCH(Table1[[#This Row],[HomeTeam]],Records!$A$2:$A$33, 0), MATCH(Table1[[#This Row],[AwayTeam]],Records!$A$2:$A$33, 0))</f>
        <v>0-0-0</v>
      </c>
    </row>
    <row r="179" spans="1:43" x14ac:dyDescent="0.25">
      <c r="A179" s="1"/>
      <c r="D179" t="s">
        <v>372</v>
      </c>
      <c r="E179" t="s">
        <v>164</v>
      </c>
      <c r="F179" t="s">
        <v>383</v>
      </c>
      <c r="G179" t="s">
        <v>44</v>
      </c>
      <c r="H179" t="s">
        <v>39</v>
      </c>
      <c r="L17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7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79" s="1"/>
      <c r="T179" s="64" t="str">
        <f>IF(Table1[[#This Row],[ActualWinner]]="", "", IF(Table1[[#This Row],[AwayTeam]]=Table1[[#This Row],[ActualWinner]],Table1[[#This Row],[HomeTeam]],Table1[[#This Row],[AwayTeam]]))</f>
        <v/>
      </c>
      <c r="U179" s="64">
        <f>Table1[[#This Row],[ActualAwayScore]]-Table1[[#This Row],[PredictedAwayScore]]</f>
        <v>0</v>
      </c>
      <c r="V179" s="64">
        <f>Table1[[#This Row],[ActualHomeScore]]-Table1[[#This Row],[PredictedHomeScore]]</f>
        <v>0</v>
      </c>
      <c r="W179" s="64">
        <f>(0.8*IF(Table1[[#This Row],[CorrectWinnerPrediction]]=1, 1, 0))+(0.1*IF(Table1[[#This Row],[CorrectAwayScorePrediction]]=1, 1, 0))+(0.1*IF(Table1[[#This Row],[CorrectHomeScorePrediction]]=1, 1, 0))</f>
        <v>0</v>
      </c>
      <c r="X17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79" s="64">
        <f>SUMIF(Table1[GameDate], Table1[[#This Row],[GameDate]], Table1[AwayGameGoalDiff])</f>
        <v>0</v>
      </c>
      <c r="AA179" s="64">
        <f>SUMIF(Table1[GameDate], Table1[[#This Row],[GameDate]], Table1[HomeGameGoalDiff])</f>
        <v>0</v>
      </c>
      <c r="AB179" s="64">
        <f>IF(ISBLANK(Table1[[#This Row],[ActualResult]]), 0, 1)</f>
        <v>0</v>
      </c>
      <c r="AC179" s="64">
        <f>IF(ISBLANK(Table1[[#This Row],[ActualResult]]), 0, IF(Table1[[#This Row],[ActualWinner]]=Table1[[#This Row],[PredictedWinner]], 1, 0))</f>
        <v>0</v>
      </c>
      <c r="AD17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7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79" s="64">
        <f>IF(AND(Table1[[#This Row],[GameIsOver]]=1,Table1[[#This Row],[ActualAwayScore]]=0), 1,0)</f>
        <v>0</v>
      </c>
      <c r="AG179" s="64">
        <f>IF(AND(Table1[[#This Row],[GameIsOver]]=1,Table1[[#This Row],[ActualHomeScore]]=0), 1,0)</f>
        <v>0</v>
      </c>
      <c r="AH179" s="64">
        <f>IF(Table1[[#This Row],[GameIsOver]]=0,0,IF(Table1[[#This Row],[ActualWinner]]=Table1[[#This Row],[AwayTeam]], 1, 0))</f>
        <v>0</v>
      </c>
      <c r="AI179" s="64">
        <f>IF(Table1[[#This Row],[GameIsOver]]=0,0,IF(Table1[[#This Row],[ActualWinner]]=Table1[[#This Row],[HomeTeam]], 1, 0))</f>
        <v>0</v>
      </c>
      <c r="AJ179" s="64">
        <f>IF(INDEX(Standings!$A$2:$C$33,MATCH(Table1[[#This Row],[AwayTeam]],Standings!$A$2:$A$33,0),2)=INDEX(Standings!$A$2:$C$33,MATCH(Table1[[#This Row],[HomeTeam]],Standings!$A$2:$A$33,0),2),1,0)</f>
        <v>0</v>
      </c>
      <c r="AK179" s="64">
        <f>IF(INDEX(Standings!$A$2:$C$33,MATCH(Table1[[#This Row],[AwayTeam]],Standings!$A$2:$A$33,0),3)=INDEX(Standings!$A$2:$C$33,MATCH(Table1[[#This Row],[HomeTeam]],Standings!$A$2:$A$33,0),3),1,0)</f>
        <v>0</v>
      </c>
      <c r="AL179" s="64">
        <f>IF(Table1[[#This Row],[InterConf]]=1,IF(Table1[[#This Row],[InterDiv]]=0, 1, 0), 0)</f>
        <v>0</v>
      </c>
      <c r="AM179" s="64">
        <f>IF(INDEX(Standings!$A$2:$C$33,MATCH(Table1[[#This Row],[AwayTeam]],Standings!$A$2:$A$33,0),2)&lt;&gt;INDEX(Standings!$A$2:$C$33,MATCH(Table1[[#This Row],[HomeTeam]],Standings!$A$2:$A$33,0),2),1,0)</f>
        <v>1</v>
      </c>
      <c r="AN179" s="64" t="str">
        <f>INDEX(Table2[AWAY_RECORD], MATCH(Table1[[#This Row],[AwayTeam]],Table2[Team], 0), 0)</f>
        <v>0-0-0</v>
      </c>
      <c r="AO179" s="64" t="str">
        <f>INDEX(Records!$B$2:$AG$33, MATCH(Table1[[#This Row],[AwayTeam]],Records!$A$2:$A$33, 0), MATCH(Table1[[#This Row],[HomeTeam]],Records!$A$2:$A$33, 0))</f>
        <v>0-0-0</v>
      </c>
      <c r="AP179" s="64" t="str">
        <f>INDEX(Table2[HOME_RECORD], MATCH(Table1[[#This Row],[HomeTeam]],Table2[Team], 0), 0)</f>
        <v>0-1-0</v>
      </c>
      <c r="AQ179" s="64" t="str">
        <f>INDEX(Records!$B$2:$AG$33, MATCH(Table1[[#This Row],[HomeTeam]],Records!$A$2:$A$33, 0), MATCH(Table1[[#This Row],[AwayTeam]],Records!$A$2:$A$33, 0))</f>
        <v>0-0-0</v>
      </c>
    </row>
    <row r="180" spans="1:43" x14ac:dyDescent="0.25">
      <c r="A180" s="1"/>
      <c r="D180" t="s">
        <v>372</v>
      </c>
      <c r="E180" t="s">
        <v>164</v>
      </c>
      <c r="F180" t="s">
        <v>384</v>
      </c>
      <c r="G180" t="s">
        <v>22</v>
      </c>
      <c r="H180" t="s">
        <v>56</v>
      </c>
      <c r="L18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8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80" s="1"/>
      <c r="T180" s="64" t="str">
        <f>IF(Table1[[#This Row],[ActualWinner]]="", "", IF(Table1[[#This Row],[AwayTeam]]=Table1[[#This Row],[ActualWinner]],Table1[[#This Row],[HomeTeam]],Table1[[#This Row],[AwayTeam]]))</f>
        <v/>
      </c>
      <c r="U180" s="64">
        <f>Table1[[#This Row],[ActualAwayScore]]-Table1[[#This Row],[PredictedAwayScore]]</f>
        <v>0</v>
      </c>
      <c r="V180" s="64">
        <f>Table1[[#This Row],[ActualHomeScore]]-Table1[[#This Row],[PredictedHomeScore]]</f>
        <v>0</v>
      </c>
      <c r="W180" s="64">
        <f>(0.8*IF(Table1[[#This Row],[CorrectWinnerPrediction]]=1, 1, 0))+(0.1*IF(Table1[[#This Row],[CorrectAwayScorePrediction]]=1, 1, 0))+(0.1*IF(Table1[[#This Row],[CorrectHomeScorePrediction]]=1, 1, 0))</f>
        <v>0</v>
      </c>
      <c r="X18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80" s="64">
        <f>SUMIF(Table1[GameDate], Table1[[#This Row],[GameDate]], Table1[AwayGameGoalDiff])</f>
        <v>0</v>
      </c>
      <c r="AA180" s="64">
        <f>SUMIF(Table1[GameDate], Table1[[#This Row],[GameDate]], Table1[HomeGameGoalDiff])</f>
        <v>0</v>
      </c>
      <c r="AB180" s="64">
        <f>IF(ISBLANK(Table1[[#This Row],[ActualResult]]), 0, 1)</f>
        <v>0</v>
      </c>
      <c r="AC180" s="64">
        <f>IF(ISBLANK(Table1[[#This Row],[ActualResult]]), 0, IF(Table1[[#This Row],[ActualWinner]]=Table1[[#This Row],[PredictedWinner]], 1, 0))</f>
        <v>0</v>
      </c>
      <c r="AD18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8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80" s="64">
        <f>IF(AND(Table1[[#This Row],[GameIsOver]]=1,Table1[[#This Row],[ActualAwayScore]]=0), 1,0)</f>
        <v>0</v>
      </c>
      <c r="AG180" s="64">
        <f>IF(AND(Table1[[#This Row],[GameIsOver]]=1,Table1[[#This Row],[ActualHomeScore]]=0), 1,0)</f>
        <v>0</v>
      </c>
      <c r="AH180" s="64">
        <f>IF(Table1[[#This Row],[GameIsOver]]=0,0,IF(Table1[[#This Row],[ActualWinner]]=Table1[[#This Row],[AwayTeam]], 1, 0))</f>
        <v>0</v>
      </c>
      <c r="AI180" s="64">
        <f>IF(Table1[[#This Row],[GameIsOver]]=0,0,IF(Table1[[#This Row],[ActualWinner]]=Table1[[#This Row],[HomeTeam]], 1, 0))</f>
        <v>0</v>
      </c>
      <c r="AJ180" s="64">
        <f>IF(INDEX(Standings!$A$2:$C$33,MATCH(Table1[[#This Row],[AwayTeam]],Standings!$A$2:$A$33,0),2)=INDEX(Standings!$A$2:$C$33,MATCH(Table1[[#This Row],[HomeTeam]],Standings!$A$2:$A$33,0),2),1,0)</f>
        <v>1</v>
      </c>
      <c r="AK180" s="64">
        <f>IF(INDEX(Standings!$A$2:$C$33,MATCH(Table1[[#This Row],[AwayTeam]],Standings!$A$2:$A$33,0),3)=INDEX(Standings!$A$2:$C$33,MATCH(Table1[[#This Row],[HomeTeam]],Standings!$A$2:$A$33,0),3),1,0)</f>
        <v>0</v>
      </c>
      <c r="AL180" s="64">
        <f>IF(Table1[[#This Row],[InterConf]]=1,IF(Table1[[#This Row],[InterDiv]]=0, 1, 0), 0)</f>
        <v>1</v>
      </c>
      <c r="AM180" s="64">
        <f>IF(INDEX(Standings!$A$2:$C$33,MATCH(Table1[[#This Row],[AwayTeam]],Standings!$A$2:$A$33,0),2)&lt;&gt;INDEX(Standings!$A$2:$C$33,MATCH(Table1[[#This Row],[HomeTeam]],Standings!$A$2:$A$33,0),2),1,0)</f>
        <v>0</v>
      </c>
      <c r="AN180" s="64" t="str">
        <f>INDEX(Table2[AWAY_RECORD], MATCH(Table1[[#This Row],[AwayTeam]],Table2[Team], 0), 0)</f>
        <v>0-0-1</v>
      </c>
      <c r="AO180" s="64" t="str">
        <f>INDEX(Records!$B$2:$AG$33, MATCH(Table1[[#This Row],[AwayTeam]],Records!$A$2:$A$33, 0), MATCH(Table1[[#This Row],[HomeTeam]],Records!$A$2:$A$33, 0))</f>
        <v>0-0-0</v>
      </c>
      <c r="AP180" s="64" t="str">
        <f>INDEX(Table2[HOME_RECORD], MATCH(Table1[[#This Row],[HomeTeam]],Table2[Team], 0), 0)</f>
        <v>0-0-0</v>
      </c>
      <c r="AQ180" s="64" t="str">
        <f>INDEX(Records!$B$2:$AG$33, MATCH(Table1[[#This Row],[HomeTeam]],Records!$A$2:$A$33, 0), MATCH(Table1[[#This Row],[AwayTeam]],Records!$A$2:$A$33, 0))</f>
        <v>0-0-0</v>
      </c>
    </row>
    <row r="181" spans="1:43" x14ac:dyDescent="0.25">
      <c r="A181" s="1"/>
      <c r="D181" t="s">
        <v>385</v>
      </c>
      <c r="E181" t="s">
        <v>386</v>
      </c>
      <c r="F181" t="s">
        <v>387</v>
      </c>
      <c r="G181" t="s">
        <v>17</v>
      </c>
      <c r="H181" t="s">
        <v>16</v>
      </c>
      <c r="L18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8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81" s="1"/>
      <c r="T181" s="64" t="str">
        <f>IF(Table1[[#This Row],[ActualWinner]]="", "", IF(Table1[[#This Row],[AwayTeam]]=Table1[[#This Row],[ActualWinner]],Table1[[#This Row],[HomeTeam]],Table1[[#This Row],[AwayTeam]]))</f>
        <v/>
      </c>
      <c r="U181" s="64">
        <f>Table1[[#This Row],[ActualAwayScore]]-Table1[[#This Row],[PredictedAwayScore]]</f>
        <v>0</v>
      </c>
      <c r="V181" s="64">
        <f>Table1[[#This Row],[ActualHomeScore]]-Table1[[#This Row],[PredictedHomeScore]]</f>
        <v>0</v>
      </c>
      <c r="W181" s="64">
        <f>(0.8*IF(Table1[[#This Row],[CorrectWinnerPrediction]]=1, 1, 0))+(0.1*IF(Table1[[#This Row],[CorrectAwayScorePrediction]]=1, 1, 0))+(0.1*IF(Table1[[#This Row],[CorrectHomeScorePrediction]]=1, 1, 0))</f>
        <v>0</v>
      </c>
      <c r="X18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81" s="64">
        <f>SUMIF(Table1[GameDate], Table1[[#This Row],[GameDate]], Table1[AwayGameGoalDiff])</f>
        <v>0</v>
      </c>
      <c r="AA181" s="64">
        <f>SUMIF(Table1[GameDate], Table1[[#This Row],[GameDate]], Table1[HomeGameGoalDiff])</f>
        <v>0</v>
      </c>
      <c r="AB181" s="64">
        <f>IF(ISBLANK(Table1[[#This Row],[ActualResult]]), 0, 1)</f>
        <v>0</v>
      </c>
      <c r="AC181" s="64">
        <f>IF(ISBLANK(Table1[[#This Row],[ActualResult]]), 0, IF(Table1[[#This Row],[ActualWinner]]=Table1[[#This Row],[PredictedWinner]], 1, 0))</f>
        <v>0</v>
      </c>
      <c r="AD18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8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81" s="64">
        <f>IF(AND(Table1[[#This Row],[GameIsOver]]=1,Table1[[#This Row],[ActualAwayScore]]=0), 1,0)</f>
        <v>0</v>
      </c>
      <c r="AG181" s="64">
        <f>IF(AND(Table1[[#This Row],[GameIsOver]]=1,Table1[[#This Row],[ActualHomeScore]]=0), 1,0)</f>
        <v>0</v>
      </c>
      <c r="AH181" s="64">
        <f>IF(Table1[[#This Row],[GameIsOver]]=0,0,IF(Table1[[#This Row],[ActualWinner]]=Table1[[#This Row],[AwayTeam]], 1, 0))</f>
        <v>0</v>
      </c>
      <c r="AI181" s="64">
        <f>IF(Table1[[#This Row],[GameIsOver]]=0,0,IF(Table1[[#This Row],[ActualWinner]]=Table1[[#This Row],[HomeTeam]], 1, 0))</f>
        <v>0</v>
      </c>
      <c r="AJ181" s="64">
        <f>IF(INDEX(Standings!$A$2:$C$33,MATCH(Table1[[#This Row],[AwayTeam]],Standings!$A$2:$A$33,0),2)=INDEX(Standings!$A$2:$C$33,MATCH(Table1[[#This Row],[HomeTeam]],Standings!$A$2:$A$33,0),2),1,0)</f>
        <v>0</v>
      </c>
      <c r="AK181" s="64">
        <f>IF(INDEX(Standings!$A$2:$C$33,MATCH(Table1[[#This Row],[AwayTeam]],Standings!$A$2:$A$33,0),3)=INDEX(Standings!$A$2:$C$33,MATCH(Table1[[#This Row],[HomeTeam]],Standings!$A$2:$A$33,0),3),1,0)</f>
        <v>0</v>
      </c>
      <c r="AL181" s="64">
        <f>IF(Table1[[#This Row],[InterConf]]=1,IF(Table1[[#This Row],[InterDiv]]=0, 1, 0), 0)</f>
        <v>0</v>
      </c>
      <c r="AM181" s="64">
        <f>IF(INDEX(Standings!$A$2:$C$33,MATCH(Table1[[#This Row],[AwayTeam]],Standings!$A$2:$A$33,0),2)&lt;&gt;INDEX(Standings!$A$2:$C$33,MATCH(Table1[[#This Row],[HomeTeam]],Standings!$A$2:$A$33,0),2),1,0)</f>
        <v>1</v>
      </c>
      <c r="AN181" s="64" t="str">
        <f>INDEX(Table2[AWAY_RECORD], MATCH(Table1[[#This Row],[AwayTeam]],Table2[Team], 0), 0)</f>
        <v>2-0-0</v>
      </c>
      <c r="AO181" s="64" t="str">
        <f>INDEX(Records!$B$2:$AG$33, MATCH(Table1[[#This Row],[AwayTeam]],Records!$A$2:$A$33, 0), MATCH(Table1[[#This Row],[HomeTeam]],Records!$A$2:$A$33, 0))</f>
        <v>0-0-0</v>
      </c>
      <c r="AP181" s="64" t="str">
        <f>INDEX(Table2[HOME_RECORD], MATCH(Table1[[#This Row],[HomeTeam]],Table2[Team], 0), 0)</f>
        <v>0-0-0</v>
      </c>
      <c r="AQ181" s="64" t="str">
        <f>INDEX(Records!$B$2:$AG$33, MATCH(Table1[[#This Row],[HomeTeam]],Records!$A$2:$A$33, 0), MATCH(Table1[[#This Row],[AwayTeam]],Records!$A$2:$A$33, 0))</f>
        <v>0-0-0</v>
      </c>
    </row>
    <row r="182" spans="1:43" x14ac:dyDescent="0.25">
      <c r="A182" s="1"/>
      <c r="D182" t="s">
        <v>385</v>
      </c>
      <c r="E182" t="s">
        <v>207</v>
      </c>
      <c r="F182" t="s">
        <v>388</v>
      </c>
      <c r="G182" t="s">
        <v>50</v>
      </c>
      <c r="H182" t="s">
        <v>43</v>
      </c>
      <c r="L18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8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82" s="1"/>
      <c r="T182" s="64" t="str">
        <f>IF(Table1[[#This Row],[ActualWinner]]="", "", IF(Table1[[#This Row],[AwayTeam]]=Table1[[#This Row],[ActualWinner]],Table1[[#This Row],[HomeTeam]],Table1[[#This Row],[AwayTeam]]))</f>
        <v/>
      </c>
      <c r="U182" s="64">
        <f>Table1[[#This Row],[ActualAwayScore]]-Table1[[#This Row],[PredictedAwayScore]]</f>
        <v>0</v>
      </c>
      <c r="V182" s="64">
        <f>Table1[[#This Row],[ActualHomeScore]]-Table1[[#This Row],[PredictedHomeScore]]</f>
        <v>0</v>
      </c>
      <c r="W182" s="64">
        <f>(0.8*IF(Table1[[#This Row],[CorrectWinnerPrediction]]=1, 1, 0))+(0.1*IF(Table1[[#This Row],[CorrectAwayScorePrediction]]=1, 1, 0))+(0.1*IF(Table1[[#This Row],[CorrectHomeScorePrediction]]=1, 1, 0))</f>
        <v>0</v>
      </c>
      <c r="X18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82" s="64">
        <f>SUMIF(Table1[GameDate], Table1[[#This Row],[GameDate]], Table1[AwayGameGoalDiff])</f>
        <v>0</v>
      </c>
      <c r="AA182" s="64">
        <f>SUMIF(Table1[GameDate], Table1[[#This Row],[GameDate]], Table1[HomeGameGoalDiff])</f>
        <v>0</v>
      </c>
      <c r="AB182" s="64">
        <f>IF(ISBLANK(Table1[[#This Row],[ActualResult]]), 0, 1)</f>
        <v>0</v>
      </c>
      <c r="AC182" s="64">
        <f>IF(ISBLANK(Table1[[#This Row],[ActualResult]]), 0, IF(Table1[[#This Row],[ActualWinner]]=Table1[[#This Row],[PredictedWinner]], 1, 0))</f>
        <v>0</v>
      </c>
      <c r="AD18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8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82" s="64">
        <f>IF(AND(Table1[[#This Row],[GameIsOver]]=1,Table1[[#This Row],[ActualAwayScore]]=0), 1,0)</f>
        <v>0</v>
      </c>
      <c r="AG182" s="64">
        <f>IF(AND(Table1[[#This Row],[GameIsOver]]=1,Table1[[#This Row],[ActualHomeScore]]=0), 1,0)</f>
        <v>0</v>
      </c>
      <c r="AH182" s="64">
        <f>IF(Table1[[#This Row],[GameIsOver]]=0,0,IF(Table1[[#This Row],[ActualWinner]]=Table1[[#This Row],[AwayTeam]], 1, 0))</f>
        <v>0</v>
      </c>
      <c r="AI182" s="64">
        <f>IF(Table1[[#This Row],[GameIsOver]]=0,0,IF(Table1[[#This Row],[ActualWinner]]=Table1[[#This Row],[HomeTeam]], 1, 0))</f>
        <v>0</v>
      </c>
      <c r="AJ182" s="64">
        <f>IF(INDEX(Standings!$A$2:$C$33,MATCH(Table1[[#This Row],[AwayTeam]],Standings!$A$2:$A$33,0),2)=INDEX(Standings!$A$2:$C$33,MATCH(Table1[[#This Row],[HomeTeam]],Standings!$A$2:$A$33,0),2),1,0)</f>
        <v>0</v>
      </c>
      <c r="AK182" s="64">
        <f>IF(INDEX(Standings!$A$2:$C$33,MATCH(Table1[[#This Row],[AwayTeam]],Standings!$A$2:$A$33,0),3)=INDEX(Standings!$A$2:$C$33,MATCH(Table1[[#This Row],[HomeTeam]],Standings!$A$2:$A$33,0),3),1,0)</f>
        <v>0</v>
      </c>
      <c r="AL182" s="64">
        <f>IF(Table1[[#This Row],[InterConf]]=1,IF(Table1[[#This Row],[InterDiv]]=0, 1, 0), 0)</f>
        <v>0</v>
      </c>
      <c r="AM182" s="64">
        <f>IF(INDEX(Standings!$A$2:$C$33,MATCH(Table1[[#This Row],[AwayTeam]],Standings!$A$2:$A$33,0),2)&lt;&gt;INDEX(Standings!$A$2:$C$33,MATCH(Table1[[#This Row],[HomeTeam]],Standings!$A$2:$A$33,0),2),1,0)</f>
        <v>1</v>
      </c>
      <c r="AN182" s="64" t="str">
        <f>INDEX(Table2[AWAY_RECORD], MATCH(Table1[[#This Row],[AwayTeam]],Table2[Team], 0), 0)</f>
        <v>1-0-0</v>
      </c>
      <c r="AO182" s="64" t="str">
        <f>INDEX(Records!$B$2:$AG$33, MATCH(Table1[[#This Row],[AwayTeam]],Records!$A$2:$A$33, 0), MATCH(Table1[[#This Row],[HomeTeam]],Records!$A$2:$A$33, 0))</f>
        <v>0-0-0</v>
      </c>
      <c r="AP182" s="64" t="str">
        <f>INDEX(Table2[HOME_RECORD], MATCH(Table1[[#This Row],[HomeTeam]],Table2[Team], 0), 0)</f>
        <v>0-0-0</v>
      </c>
      <c r="AQ182" s="64" t="str">
        <f>INDEX(Records!$B$2:$AG$33, MATCH(Table1[[#This Row],[HomeTeam]],Records!$A$2:$A$33, 0), MATCH(Table1[[#This Row],[AwayTeam]],Records!$A$2:$A$33, 0))</f>
        <v>0-0-0</v>
      </c>
    </row>
    <row r="183" spans="1:43" x14ac:dyDescent="0.25">
      <c r="A183" s="1"/>
      <c r="D183" t="s">
        <v>385</v>
      </c>
      <c r="E183" t="s">
        <v>160</v>
      </c>
      <c r="F183" t="s">
        <v>389</v>
      </c>
      <c r="G183" t="s">
        <v>47</v>
      </c>
      <c r="H183" t="s">
        <v>60</v>
      </c>
      <c r="L18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8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83" s="1"/>
      <c r="T183" s="64" t="str">
        <f>IF(Table1[[#This Row],[ActualWinner]]="", "", IF(Table1[[#This Row],[AwayTeam]]=Table1[[#This Row],[ActualWinner]],Table1[[#This Row],[HomeTeam]],Table1[[#This Row],[AwayTeam]]))</f>
        <v/>
      </c>
      <c r="U183" s="64">
        <f>Table1[[#This Row],[ActualAwayScore]]-Table1[[#This Row],[PredictedAwayScore]]</f>
        <v>0</v>
      </c>
      <c r="V183" s="64">
        <f>Table1[[#This Row],[ActualHomeScore]]-Table1[[#This Row],[PredictedHomeScore]]</f>
        <v>0</v>
      </c>
      <c r="W183" s="64">
        <f>(0.8*IF(Table1[[#This Row],[CorrectWinnerPrediction]]=1, 1, 0))+(0.1*IF(Table1[[#This Row],[CorrectAwayScorePrediction]]=1, 1, 0))+(0.1*IF(Table1[[#This Row],[CorrectHomeScorePrediction]]=1, 1, 0))</f>
        <v>0</v>
      </c>
      <c r="X18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83" s="64">
        <f>SUMIF(Table1[GameDate], Table1[[#This Row],[GameDate]], Table1[AwayGameGoalDiff])</f>
        <v>0</v>
      </c>
      <c r="AA183" s="64">
        <f>SUMIF(Table1[GameDate], Table1[[#This Row],[GameDate]], Table1[HomeGameGoalDiff])</f>
        <v>0</v>
      </c>
      <c r="AB183" s="64">
        <f>IF(ISBLANK(Table1[[#This Row],[ActualResult]]), 0, 1)</f>
        <v>0</v>
      </c>
      <c r="AC183" s="64">
        <f>IF(ISBLANK(Table1[[#This Row],[ActualResult]]), 0, IF(Table1[[#This Row],[ActualWinner]]=Table1[[#This Row],[PredictedWinner]], 1, 0))</f>
        <v>0</v>
      </c>
      <c r="AD18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8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83" s="64">
        <f>IF(AND(Table1[[#This Row],[GameIsOver]]=1,Table1[[#This Row],[ActualAwayScore]]=0), 1,0)</f>
        <v>0</v>
      </c>
      <c r="AG183" s="64">
        <f>IF(AND(Table1[[#This Row],[GameIsOver]]=1,Table1[[#This Row],[ActualHomeScore]]=0), 1,0)</f>
        <v>0</v>
      </c>
      <c r="AH183" s="64">
        <f>IF(Table1[[#This Row],[GameIsOver]]=0,0,IF(Table1[[#This Row],[ActualWinner]]=Table1[[#This Row],[AwayTeam]], 1, 0))</f>
        <v>0</v>
      </c>
      <c r="AI183" s="64">
        <f>IF(Table1[[#This Row],[GameIsOver]]=0,0,IF(Table1[[#This Row],[ActualWinner]]=Table1[[#This Row],[HomeTeam]], 1, 0))</f>
        <v>0</v>
      </c>
      <c r="AJ183" s="64">
        <f>IF(INDEX(Standings!$A$2:$C$33,MATCH(Table1[[#This Row],[AwayTeam]],Standings!$A$2:$A$33,0),2)=INDEX(Standings!$A$2:$C$33,MATCH(Table1[[#This Row],[HomeTeam]],Standings!$A$2:$A$33,0),2),1,0)</f>
        <v>0</v>
      </c>
      <c r="AK183" s="64">
        <f>IF(INDEX(Standings!$A$2:$C$33,MATCH(Table1[[#This Row],[AwayTeam]],Standings!$A$2:$A$33,0),3)=INDEX(Standings!$A$2:$C$33,MATCH(Table1[[#This Row],[HomeTeam]],Standings!$A$2:$A$33,0),3),1,0)</f>
        <v>0</v>
      </c>
      <c r="AL183" s="64">
        <f>IF(Table1[[#This Row],[InterConf]]=1,IF(Table1[[#This Row],[InterDiv]]=0, 1, 0), 0)</f>
        <v>0</v>
      </c>
      <c r="AM183" s="64">
        <f>IF(INDEX(Standings!$A$2:$C$33,MATCH(Table1[[#This Row],[AwayTeam]],Standings!$A$2:$A$33,0),2)&lt;&gt;INDEX(Standings!$A$2:$C$33,MATCH(Table1[[#This Row],[HomeTeam]],Standings!$A$2:$A$33,0),2),1,0)</f>
        <v>1</v>
      </c>
      <c r="AN183" s="64" t="str">
        <f>INDEX(Table2[AWAY_RECORD], MATCH(Table1[[#This Row],[AwayTeam]],Table2[Team], 0), 0)</f>
        <v>1-0-0</v>
      </c>
      <c r="AO183" s="64" t="str">
        <f>INDEX(Records!$B$2:$AG$33, MATCH(Table1[[#This Row],[AwayTeam]],Records!$A$2:$A$33, 0), MATCH(Table1[[#This Row],[HomeTeam]],Records!$A$2:$A$33, 0))</f>
        <v>0-0-0</v>
      </c>
      <c r="AP183" s="64" t="str">
        <f>INDEX(Table2[HOME_RECORD], MATCH(Table1[[#This Row],[HomeTeam]],Table2[Team], 0), 0)</f>
        <v>1-0-0</v>
      </c>
      <c r="AQ183" s="64" t="str">
        <f>INDEX(Records!$B$2:$AG$33, MATCH(Table1[[#This Row],[HomeTeam]],Records!$A$2:$A$33, 0), MATCH(Table1[[#This Row],[AwayTeam]],Records!$A$2:$A$33, 0))</f>
        <v>0-0-0</v>
      </c>
    </row>
    <row r="184" spans="1:43" x14ac:dyDescent="0.25">
      <c r="A184" s="1"/>
      <c r="D184" t="s">
        <v>385</v>
      </c>
      <c r="E184" t="s">
        <v>162</v>
      </c>
      <c r="F184" t="s">
        <v>390</v>
      </c>
      <c r="G184" t="s">
        <v>41</v>
      </c>
      <c r="H184" t="s">
        <v>48</v>
      </c>
      <c r="L18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8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84" s="1"/>
      <c r="T184" s="64" t="str">
        <f>IF(Table1[[#This Row],[ActualWinner]]="", "", IF(Table1[[#This Row],[AwayTeam]]=Table1[[#This Row],[ActualWinner]],Table1[[#This Row],[HomeTeam]],Table1[[#This Row],[AwayTeam]]))</f>
        <v/>
      </c>
      <c r="U184" s="64">
        <f>Table1[[#This Row],[ActualAwayScore]]-Table1[[#This Row],[PredictedAwayScore]]</f>
        <v>0</v>
      </c>
      <c r="V184" s="64">
        <f>Table1[[#This Row],[ActualHomeScore]]-Table1[[#This Row],[PredictedHomeScore]]</f>
        <v>0</v>
      </c>
      <c r="W184" s="64">
        <f>(0.8*IF(Table1[[#This Row],[CorrectWinnerPrediction]]=1, 1, 0))+(0.1*IF(Table1[[#This Row],[CorrectAwayScorePrediction]]=1, 1, 0))+(0.1*IF(Table1[[#This Row],[CorrectHomeScorePrediction]]=1, 1, 0))</f>
        <v>0</v>
      </c>
      <c r="X18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84" s="64">
        <f>SUMIF(Table1[GameDate], Table1[[#This Row],[GameDate]], Table1[AwayGameGoalDiff])</f>
        <v>0</v>
      </c>
      <c r="AA184" s="64">
        <f>SUMIF(Table1[GameDate], Table1[[#This Row],[GameDate]], Table1[HomeGameGoalDiff])</f>
        <v>0</v>
      </c>
      <c r="AB184" s="64">
        <f>IF(ISBLANK(Table1[[#This Row],[ActualResult]]), 0, 1)</f>
        <v>0</v>
      </c>
      <c r="AC184" s="64">
        <f>IF(ISBLANK(Table1[[#This Row],[ActualResult]]), 0, IF(Table1[[#This Row],[ActualWinner]]=Table1[[#This Row],[PredictedWinner]], 1, 0))</f>
        <v>0</v>
      </c>
      <c r="AD18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8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84" s="64">
        <f>IF(AND(Table1[[#This Row],[GameIsOver]]=1,Table1[[#This Row],[ActualAwayScore]]=0), 1,0)</f>
        <v>0</v>
      </c>
      <c r="AG184" s="64">
        <f>IF(AND(Table1[[#This Row],[GameIsOver]]=1,Table1[[#This Row],[ActualHomeScore]]=0), 1,0)</f>
        <v>0</v>
      </c>
      <c r="AH184" s="64">
        <f>IF(Table1[[#This Row],[GameIsOver]]=0,0,IF(Table1[[#This Row],[ActualWinner]]=Table1[[#This Row],[AwayTeam]], 1, 0))</f>
        <v>0</v>
      </c>
      <c r="AI184" s="64">
        <f>IF(Table1[[#This Row],[GameIsOver]]=0,0,IF(Table1[[#This Row],[ActualWinner]]=Table1[[#This Row],[HomeTeam]], 1, 0))</f>
        <v>0</v>
      </c>
      <c r="AJ184" s="64">
        <f>IF(INDEX(Standings!$A$2:$C$33,MATCH(Table1[[#This Row],[AwayTeam]],Standings!$A$2:$A$33,0),2)=INDEX(Standings!$A$2:$C$33,MATCH(Table1[[#This Row],[HomeTeam]],Standings!$A$2:$A$33,0),2),1,0)</f>
        <v>1</v>
      </c>
      <c r="AK184" s="64">
        <f>IF(INDEX(Standings!$A$2:$C$33,MATCH(Table1[[#This Row],[AwayTeam]],Standings!$A$2:$A$33,0),3)=INDEX(Standings!$A$2:$C$33,MATCH(Table1[[#This Row],[HomeTeam]],Standings!$A$2:$A$33,0),3),1,0)</f>
        <v>1</v>
      </c>
      <c r="AL184" s="64">
        <f>IF(Table1[[#This Row],[InterConf]]=1,IF(Table1[[#This Row],[InterDiv]]=0, 1, 0), 0)</f>
        <v>0</v>
      </c>
      <c r="AM184" s="64">
        <f>IF(INDEX(Standings!$A$2:$C$33,MATCH(Table1[[#This Row],[AwayTeam]],Standings!$A$2:$A$33,0),2)&lt;&gt;INDEX(Standings!$A$2:$C$33,MATCH(Table1[[#This Row],[HomeTeam]],Standings!$A$2:$A$33,0),2),1,0)</f>
        <v>0</v>
      </c>
      <c r="AN184" s="64" t="str">
        <f>INDEX(Table2[AWAY_RECORD], MATCH(Table1[[#This Row],[AwayTeam]],Table2[Team], 0), 0)</f>
        <v>0-0-0</v>
      </c>
      <c r="AO184" s="64" t="str">
        <f>INDEX(Records!$B$2:$AG$33, MATCH(Table1[[#This Row],[AwayTeam]],Records!$A$2:$A$33, 0), MATCH(Table1[[#This Row],[HomeTeam]],Records!$A$2:$A$33, 0))</f>
        <v>0-0-0</v>
      </c>
      <c r="AP184" s="64" t="str">
        <f>INDEX(Table2[HOME_RECORD], MATCH(Table1[[#This Row],[HomeTeam]],Table2[Team], 0), 0)</f>
        <v>1-0-0</v>
      </c>
      <c r="AQ184" s="64" t="str">
        <f>INDEX(Records!$B$2:$AG$33, MATCH(Table1[[#This Row],[HomeTeam]],Records!$A$2:$A$33, 0), MATCH(Table1[[#This Row],[AwayTeam]],Records!$A$2:$A$33, 0))</f>
        <v>0-0-0</v>
      </c>
    </row>
    <row r="185" spans="1:43" x14ac:dyDescent="0.25">
      <c r="A185" s="1"/>
      <c r="D185" t="s">
        <v>385</v>
      </c>
      <c r="E185" t="s">
        <v>164</v>
      </c>
      <c r="F185" t="s">
        <v>391</v>
      </c>
      <c r="G185" t="s">
        <v>22</v>
      </c>
      <c r="H185" t="s">
        <v>23</v>
      </c>
      <c r="L18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8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85" s="1"/>
      <c r="T185" s="64" t="str">
        <f>IF(Table1[[#This Row],[ActualWinner]]="", "", IF(Table1[[#This Row],[AwayTeam]]=Table1[[#This Row],[ActualWinner]],Table1[[#This Row],[HomeTeam]],Table1[[#This Row],[AwayTeam]]))</f>
        <v/>
      </c>
      <c r="U185" s="64">
        <f>Table1[[#This Row],[ActualAwayScore]]-Table1[[#This Row],[PredictedAwayScore]]</f>
        <v>0</v>
      </c>
      <c r="V185" s="64">
        <f>Table1[[#This Row],[ActualHomeScore]]-Table1[[#This Row],[PredictedHomeScore]]</f>
        <v>0</v>
      </c>
      <c r="W185" s="64">
        <f>(0.8*IF(Table1[[#This Row],[CorrectWinnerPrediction]]=1, 1, 0))+(0.1*IF(Table1[[#This Row],[CorrectAwayScorePrediction]]=1, 1, 0))+(0.1*IF(Table1[[#This Row],[CorrectHomeScorePrediction]]=1, 1, 0))</f>
        <v>0</v>
      </c>
      <c r="X18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85" s="64">
        <f>SUMIF(Table1[GameDate], Table1[[#This Row],[GameDate]], Table1[AwayGameGoalDiff])</f>
        <v>0</v>
      </c>
      <c r="AA185" s="64">
        <f>SUMIF(Table1[GameDate], Table1[[#This Row],[GameDate]], Table1[HomeGameGoalDiff])</f>
        <v>0</v>
      </c>
      <c r="AB185" s="64">
        <f>IF(ISBLANK(Table1[[#This Row],[ActualResult]]), 0, 1)</f>
        <v>0</v>
      </c>
      <c r="AC185" s="64">
        <f>IF(ISBLANK(Table1[[#This Row],[ActualResult]]), 0, IF(Table1[[#This Row],[ActualWinner]]=Table1[[#This Row],[PredictedWinner]], 1, 0))</f>
        <v>0</v>
      </c>
      <c r="AD18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8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85" s="64">
        <f>IF(AND(Table1[[#This Row],[GameIsOver]]=1,Table1[[#This Row],[ActualAwayScore]]=0), 1,0)</f>
        <v>0</v>
      </c>
      <c r="AG185" s="64">
        <f>IF(AND(Table1[[#This Row],[GameIsOver]]=1,Table1[[#This Row],[ActualHomeScore]]=0), 1,0)</f>
        <v>0</v>
      </c>
      <c r="AH185" s="64">
        <f>IF(Table1[[#This Row],[GameIsOver]]=0,0,IF(Table1[[#This Row],[ActualWinner]]=Table1[[#This Row],[AwayTeam]], 1, 0))</f>
        <v>0</v>
      </c>
      <c r="AI185" s="64">
        <f>IF(Table1[[#This Row],[GameIsOver]]=0,0,IF(Table1[[#This Row],[ActualWinner]]=Table1[[#This Row],[HomeTeam]], 1, 0))</f>
        <v>0</v>
      </c>
      <c r="AJ185" s="64">
        <f>IF(INDEX(Standings!$A$2:$C$33,MATCH(Table1[[#This Row],[AwayTeam]],Standings!$A$2:$A$33,0),2)=INDEX(Standings!$A$2:$C$33,MATCH(Table1[[#This Row],[HomeTeam]],Standings!$A$2:$A$33,0),2),1,0)</f>
        <v>1</v>
      </c>
      <c r="AK185" s="64">
        <f>IF(INDEX(Standings!$A$2:$C$33,MATCH(Table1[[#This Row],[AwayTeam]],Standings!$A$2:$A$33,0),3)=INDEX(Standings!$A$2:$C$33,MATCH(Table1[[#This Row],[HomeTeam]],Standings!$A$2:$A$33,0),3),1,0)</f>
        <v>0</v>
      </c>
      <c r="AL185" s="64">
        <f>IF(Table1[[#This Row],[InterConf]]=1,IF(Table1[[#This Row],[InterDiv]]=0, 1, 0), 0)</f>
        <v>1</v>
      </c>
      <c r="AM185" s="64">
        <f>IF(INDEX(Standings!$A$2:$C$33,MATCH(Table1[[#This Row],[AwayTeam]],Standings!$A$2:$A$33,0),2)&lt;&gt;INDEX(Standings!$A$2:$C$33,MATCH(Table1[[#This Row],[HomeTeam]],Standings!$A$2:$A$33,0),2),1,0)</f>
        <v>0</v>
      </c>
      <c r="AN185" s="64" t="str">
        <f>INDEX(Table2[AWAY_RECORD], MATCH(Table1[[#This Row],[AwayTeam]],Table2[Team], 0), 0)</f>
        <v>0-0-1</v>
      </c>
      <c r="AO185" s="64" t="str">
        <f>INDEX(Records!$B$2:$AG$33, MATCH(Table1[[#This Row],[AwayTeam]],Records!$A$2:$A$33, 0), MATCH(Table1[[#This Row],[HomeTeam]],Records!$A$2:$A$33, 0))</f>
        <v>0-0-0</v>
      </c>
      <c r="AP185" s="64" t="str">
        <f>INDEX(Table2[HOME_RECORD], MATCH(Table1[[#This Row],[HomeTeam]],Table2[Team], 0), 0)</f>
        <v>0-0-1</v>
      </c>
      <c r="AQ185" s="64" t="str">
        <f>INDEX(Records!$B$2:$AG$33, MATCH(Table1[[#This Row],[HomeTeam]],Records!$A$2:$A$33, 0), MATCH(Table1[[#This Row],[AwayTeam]],Records!$A$2:$A$33, 0))</f>
        <v>0-0-0</v>
      </c>
    </row>
    <row r="186" spans="1:43" x14ac:dyDescent="0.25">
      <c r="A186" s="1"/>
      <c r="D186" t="s">
        <v>392</v>
      </c>
      <c r="E186" t="s">
        <v>160</v>
      </c>
      <c r="F186" t="s">
        <v>393</v>
      </c>
      <c r="G186" t="s">
        <v>46</v>
      </c>
      <c r="H186" t="s">
        <v>51</v>
      </c>
      <c r="L18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8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86" s="1"/>
      <c r="T186" s="64" t="str">
        <f>IF(Table1[[#This Row],[ActualWinner]]="", "", IF(Table1[[#This Row],[AwayTeam]]=Table1[[#This Row],[ActualWinner]],Table1[[#This Row],[HomeTeam]],Table1[[#This Row],[AwayTeam]]))</f>
        <v/>
      </c>
      <c r="U186" s="64">
        <f>Table1[[#This Row],[ActualAwayScore]]-Table1[[#This Row],[PredictedAwayScore]]</f>
        <v>0</v>
      </c>
      <c r="V186" s="64">
        <f>Table1[[#This Row],[ActualHomeScore]]-Table1[[#This Row],[PredictedHomeScore]]</f>
        <v>0</v>
      </c>
      <c r="W186" s="64">
        <f>(0.8*IF(Table1[[#This Row],[CorrectWinnerPrediction]]=1, 1, 0))+(0.1*IF(Table1[[#This Row],[CorrectAwayScorePrediction]]=1, 1, 0))+(0.1*IF(Table1[[#This Row],[CorrectHomeScorePrediction]]=1, 1, 0))</f>
        <v>0</v>
      </c>
      <c r="X18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86" s="64">
        <f>SUMIF(Table1[GameDate], Table1[[#This Row],[GameDate]], Table1[AwayGameGoalDiff])</f>
        <v>0</v>
      </c>
      <c r="AA186" s="64">
        <f>SUMIF(Table1[GameDate], Table1[[#This Row],[GameDate]], Table1[HomeGameGoalDiff])</f>
        <v>0</v>
      </c>
      <c r="AB186" s="64">
        <f>IF(ISBLANK(Table1[[#This Row],[ActualResult]]), 0, 1)</f>
        <v>0</v>
      </c>
      <c r="AC186" s="64">
        <f>IF(ISBLANK(Table1[[#This Row],[ActualResult]]), 0, IF(Table1[[#This Row],[ActualWinner]]=Table1[[#This Row],[PredictedWinner]], 1, 0))</f>
        <v>0</v>
      </c>
      <c r="AD18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8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86" s="64">
        <f>IF(AND(Table1[[#This Row],[GameIsOver]]=1,Table1[[#This Row],[ActualAwayScore]]=0), 1,0)</f>
        <v>0</v>
      </c>
      <c r="AG186" s="64">
        <f>IF(AND(Table1[[#This Row],[GameIsOver]]=1,Table1[[#This Row],[ActualHomeScore]]=0), 1,0)</f>
        <v>0</v>
      </c>
      <c r="AH186" s="64">
        <f>IF(Table1[[#This Row],[GameIsOver]]=0,0,IF(Table1[[#This Row],[ActualWinner]]=Table1[[#This Row],[AwayTeam]], 1, 0))</f>
        <v>0</v>
      </c>
      <c r="AI186" s="64">
        <f>IF(Table1[[#This Row],[GameIsOver]]=0,0,IF(Table1[[#This Row],[ActualWinner]]=Table1[[#This Row],[HomeTeam]], 1, 0))</f>
        <v>0</v>
      </c>
      <c r="AJ186" s="64">
        <f>IF(INDEX(Standings!$A$2:$C$33,MATCH(Table1[[#This Row],[AwayTeam]],Standings!$A$2:$A$33,0),2)=INDEX(Standings!$A$2:$C$33,MATCH(Table1[[#This Row],[HomeTeam]],Standings!$A$2:$A$33,0),2),1,0)</f>
        <v>0</v>
      </c>
      <c r="AK186" s="64">
        <f>IF(INDEX(Standings!$A$2:$C$33,MATCH(Table1[[#This Row],[AwayTeam]],Standings!$A$2:$A$33,0),3)=INDEX(Standings!$A$2:$C$33,MATCH(Table1[[#This Row],[HomeTeam]],Standings!$A$2:$A$33,0),3),1,0)</f>
        <v>0</v>
      </c>
      <c r="AL186" s="64">
        <f>IF(Table1[[#This Row],[InterConf]]=1,IF(Table1[[#This Row],[InterDiv]]=0, 1, 0), 0)</f>
        <v>0</v>
      </c>
      <c r="AM186" s="64">
        <f>IF(INDEX(Standings!$A$2:$C$33,MATCH(Table1[[#This Row],[AwayTeam]],Standings!$A$2:$A$33,0),2)&lt;&gt;INDEX(Standings!$A$2:$C$33,MATCH(Table1[[#This Row],[HomeTeam]],Standings!$A$2:$A$33,0),2),1,0)</f>
        <v>1</v>
      </c>
      <c r="AN186" s="64" t="str">
        <f>INDEX(Table2[AWAY_RECORD], MATCH(Table1[[#This Row],[AwayTeam]],Table2[Team], 0), 0)</f>
        <v>1-0-0</v>
      </c>
      <c r="AO186" s="64" t="str">
        <f>INDEX(Records!$B$2:$AG$33, MATCH(Table1[[#This Row],[AwayTeam]],Records!$A$2:$A$33, 0), MATCH(Table1[[#This Row],[HomeTeam]],Records!$A$2:$A$33, 0))</f>
        <v>0-0-0</v>
      </c>
      <c r="AP186" s="64" t="str">
        <f>INDEX(Table2[HOME_RECORD], MATCH(Table1[[#This Row],[HomeTeam]],Table2[Team], 0), 0)</f>
        <v>1-0-0</v>
      </c>
      <c r="AQ186" s="64" t="str">
        <f>INDEX(Records!$B$2:$AG$33, MATCH(Table1[[#This Row],[HomeTeam]],Records!$A$2:$A$33, 0), MATCH(Table1[[#This Row],[AwayTeam]],Records!$A$2:$A$33, 0))</f>
        <v>0-0-0</v>
      </c>
    </row>
    <row r="187" spans="1:43" x14ac:dyDescent="0.25">
      <c r="A187" s="1"/>
      <c r="D187" t="s">
        <v>392</v>
      </c>
      <c r="E187" t="s">
        <v>289</v>
      </c>
      <c r="F187" t="s">
        <v>394</v>
      </c>
      <c r="G187" t="s">
        <v>24</v>
      </c>
      <c r="H187" t="s">
        <v>39</v>
      </c>
      <c r="L18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8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87" s="1"/>
      <c r="T187" s="64" t="str">
        <f>IF(Table1[[#This Row],[ActualWinner]]="", "", IF(Table1[[#This Row],[AwayTeam]]=Table1[[#This Row],[ActualWinner]],Table1[[#This Row],[HomeTeam]],Table1[[#This Row],[AwayTeam]]))</f>
        <v/>
      </c>
      <c r="U187" s="64">
        <f>Table1[[#This Row],[ActualAwayScore]]-Table1[[#This Row],[PredictedAwayScore]]</f>
        <v>0</v>
      </c>
      <c r="V187" s="64">
        <f>Table1[[#This Row],[ActualHomeScore]]-Table1[[#This Row],[PredictedHomeScore]]</f>
        <v>0</v>
      </c>
      <c r="W187" s="64">
        <f>(0.8*IF(Table1[[#This Row],[CorrectWinnerPrediction]]=1, 1, 0))+(0.1*IF(Table1[[#This Row],[CorrectAwayScorePrediction]]=1, 1, 0))+(0.1*IF(Table1[[#This Row],[CorrectHomeScorePrediction]]=1, 1, 0))</f>
        <v>0</v>
      </c>
      <c r="X18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87" s="64">
        <f>SUMIF(Table1[GameDate], Table1[[#This Row],[GameDate]], Table1[AwayGameGoalDiff])</f>
        <v>0</v>
      </c>
      <c r="AA187" s="64">
        <f>SUMIF(Table1[GameDate], Table1[[#This Row],[GameDate]], Table1[HomeGameGoalDiff])</f>
        <v>0</v>
      </c>
      <c r="AB187" s="64">
        <f>IF(ISBLANK(Table1[[#This Row],[ActualResult]]), 0, 1)</f>
        <v>0</v>
      </c>
      <c r="AC187" s="64">
        <f>IF(ISBLANK(Table1[[#This Row],[ActualResult]]), 0, IF(Table1[[#This Row],[ActualWinner]]=Table1[[#This Row],[PredictedWinner]], 1, 0))</f>
        <v>0</v>
      </c>
      <c r="AD18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8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87" s="64">
        <f>IF(AND(Table1[[#This Row],[GameIsOver]]=1,Table1[[#This Row],[ActualAwayScore]]=0), 1,0)</f>
        <v>0</v>
      </c>
      <c r="AG187" s="64">
        <f>IF(AND(Table1[[#This Row],[GameIsOver]]=1,Table1[[#This Row],[ActualHomeScore]]=0), 1,0)</f>
        <v>0</v>
      </c>
      <c r="AH187" s="64">
        <f>IF(Table1[[#This Row],[GameIsOver]]=0,0,IF(Table1[[#This Row],[ActualWinner]]=Table1[[#This Row],[AwayTeam]], 1, 0))</f>
        <v>0</v>
      </c>
      <c r="AI187" s="64">
        <f>IF(Table1[[#This Row],[GameIsOver]]=0,0,IF(Table1[[#This Row],[ActualWinner]]=Table1[[#This Row],[HomeTeam]], 1, 0))</f>
        <v>0</v>
      </c>
      <c r="AJ187" s="64">
        <f>IF(INDEX(Standings!$A$2:$C$33,MATCH(Table1[[#This Row],[AwayTeam]],Standings!$A$2:$A$33,0),2)=INDEX(Standings!$A$2:$C$33,MATCH(Table1[[#This Row],[HomeTeam]],Standings!$A$2:$A$33,0),2),1,0)</f>
        <v>0</v>
      </c>
      <c r="AK187" s="64">
        <f>IF(INDEX(Standings!$A$2:$C$33,MATCH(Table1[[#This Row],[AwayTeam]],Standings!$A$2:$A$33,0),3)=INDEX(Standings!$A$2:$C$33,MATCH(Table1[[#This Row],[HomeTeam]],Standings!$A$2:$A$33,0),3),1,0)</f>
        <v>0</v>
      </c>
      <c r="AL187" s="64">
        <f>IF(Table1[[#This Row],[InterConf]]=1,IF(Table1[[#This Row],[InterDiv]]=0, 1, 0), 0)</f>
        <v>0</v>
      </c>
      <c r="AM187" s="64">
        <f>IF(INDEX(Standings!$A$2:$C$33,MATCH(Table1[[#This Row],[AwayTeam]],Standings!$A$2:$A$33,0),2)&lt;&gt;INDEX(Standings!$A$2:$C$33,MATCH(Table1[[#This Row],[HomeTeam]],Standings!$A$2:$A$33,0),2),1,0)</f>
        <v>1</v>
      </c>
      <c r="AN187" s="64" t="str">
        <f>INDEX(Table2[AWAY_RECORD], MATCH(Table1[[#This Row],[AwayTeam]],Table2[Team], 0), 0)</f>
        <v>0-0-0</v>
      </c>
      <c r="AO187" s="64" t="str">
        <f>INDEX(Records!$B$2:$AG$33, MATCH(Table1[[#This Row],[AwayTeam]],Records!$A$2:$A$33, 0), MATCH(Table1[[#This Row],[HomeTeam]],Records!$A$2:$A$33, 0))</f>
        <v>0-0-0</v>
      </c>
      <c r="AP187" s="64" t="str">
        <f>INDEX(Table2[HOME_RECORD], MATCH(Table1[[#This Row],[HomeTeam]],Table2[Team], 0), 0)</f>
        <v>0-1-0</v>
      </c>
      <c r="AQ187" s="64" t="str">
        <f>INDEX(Records!$B$2:$AG$33, MATCH(Table1[[#This Row],[HomeTeam]],Records!$A$2:$A$33, 0), MATCH(Table1[[#This Row],[AwayTeam]],Records!$A$2:$A$33, 0))</f>
        <v>0-0-0</v>
      </c>
    </row>
    <row r="188" spans="1:43" x14ac:dyDescent="0.25">
      <c r="A188" s="1"/>
      <c r="D188" t="s">
        <v>392</v>
      </c>
      <c r="E188" t="s">
        <v>301</v>
      </c>
      <c r="F188" t="s">
        <v>395</v>
      </c>
      <c r="G188" t="s">
        <v>44</v>
      </c>
      <c r="H188" t="s">
        <v>45</v>
      </c>
      <c r="L18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8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88" s="1"/>
      <c r="T188" s="64" t="str">
        <f>IF(Table1[[#This Row],[ActualWinner]]="", "", IF(Table1[[#This Row],[AwayTeam]]=Table1[[#This Row],[ActualWinner]],Table1[[#This Row],[HomeTeam]],Table1[[#This Row],[AwayTeam]]))</f>
        <v/>
      </c>
      <c r="U188" s="64">
        <f>Table1[[#This Row],[ActualAwayScore]]-Table1[[#This Row],[PredictedAwayScore]]</f>
        <v>0</v>
      </c>
      <c r="V188" s="64">
        <f>Table1[[#This Row],[ActualHomeScore]]-Table1[[#This Row],[PredictedHomeScore]]</f>
        <v>0</v>
      </c>
      <c r="W188" s="64">
        <f>(0.8*IF(Table1[[#This Row],[CorrectWinnerPrediction]]=1, 1, 0))+(0.1*IF(Table1[[#This Row],[CorrectAwayScorePrediction]]=1, 1, 0))+(0.1*IF(Table1[[#This Row],[CorrectHomeScorePrediction]]=1, 1, 0))</f>
        <v>0</v>
      </c>
      <c r="X18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88" s="64">
        <f>SUMIF(Table1[GameDate], Table1[[#This Row],[GameDate]], Table1[AwayGameGoalDiff])</f>
        <v>0</v>
      </c>
      <c r="AA188" s="64">
        <f>SUMIF(Table1[GameDate], Table1[[#This Row],[GameDate]], Table1[HomeGameGoalDiff])</f>
        <v>0</v>
      </c>
      <c r="AB188" s="64">
        <f>IF(ISBLANK(Table1[[#This Row],[ActualResult]]), 0, 1)</f>
        <v>0</v>
      </c>
      <c r="AC188" s="64">
        <f>IF(ISBLANK(Table1[[#This Row],[ActualResult]]), 0, IF(Table1[[#This Row],[ActualWinner]]=Table1[[#This Row],[PredictedWinner]], 1, 0))</f>
        <v>0</v>
      </c>
      <c r="AD18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8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88" s="64">
        <f>IF(AND(Table1[[#This Row],[GameIsOver]]=1,Table1[[#This Row],[ActualAwayScore]]=0), 1,0)</f>
        <v>0</v>
      </c>
      <c r="AG188" s="64">
        <f>IF(AND(Table1[[#This Row],[GameIsOver]]=1,Table1[[#This Row],[ActualHomeScore]]=0), 1,0)</f>
        <v>0</v>
      </c>
      <c r="AH188" s="64">
        <f>IF(Table1[[#This Row],[GameIsOver]]=0,0,IF(Table1[[#This Row],[ActualWinner]]=Table1[[#This Row],[AwayTeam]], 1, 0))</f>
        <v>0</v>
      </c>
      <c r="AI188" s="64">
        <f>IF(Table1[[#This Row],[GameIsOver]]=0,0,IF(Table1[[#This Row],[ActualWinner]]=Table1[[#This Row],[HomeTeam]], 1, 0))</f>
        <v>0</v>
      </c>
      <c r="AJ188" s="64">
        <f>IF(INDEX(Standings!$A$2:$C$33,MATCH(Table1[[#This Row],[AwayTeam]],Standings!$A$2:$A$33,0),2)=INDEX(Standings!$A$2:$C$33,MATCH(Table1[[#This Row],[HomeTeam]],Standings!$A$2:$A$33,0),2),1,0)</f>
        <v>0</v>
      </c>
      <c r="AK188" s="64">
        <f>IF(INDEX(Standings!$A$2:$C$33,MATCH(Table1[[#This Row],[AwayTeam]],Standings!$A$2:$A$33,0),3)=INDEX(Standings!$A$2:$C$33,MATCH(Table1[[#This Row],[HomeTeam]],Standings!$A$2:$A$33,0),3),1,0)</f>
        <v>0</v>
      </c>
      <c r="AL188" s="64">
        <f>IF(Table1[[#This Row],[InterConf]]=1,IF(Table1[[#This Row],[InterDiv]]=0, 1, 0), 0)</f>
        <v>0</v>
      </c>
      <c r="AM188" s="64">
        <f>IF(INDEX(Standings!$A$2:$C$33,MATCH(Table1[[#This Row],[AwayTeam]],Standings!$A$2:$A$33,0),2)&lt;&gt;INDEX(Standings!$A$2:$C$33,MATCH(Table1[[#This Row],[HomeTeam]],Standings!$A$2:$A$33,0),2),1,0)</f>
        <v>1</v>
      </c>
      <c r="AN188" s="64" t="str">
        <f>INDEX(Table2[AWAY_RECORD], MATCH(Table1[[#This Row],[AwayTeam]],Table2[Team], 0), 0)</f>
        <v>0-0-0</v>
      </c>
      <c r="AO188" s="64" t="str">
        <f>INDEX(Records!$B$2:$AG$33, MATCH(Table1[[#This Row],[AwayTeam]],Records!$A$2:$A$33, 0), MATCH(Table1[[#This Row],[HomeTeam]],Records!$A$2:$A$33, 0))</f>
        <v>0-0-0</v>
      </c>
      <c r="AP188" s="64" t="str">
        <f>INDEX(Table2[HOME_RECORD], MATCH(Table1[[#This Row],[HomeTeam]],Table2[Team], 0), 0)</f>
        <v>1-0-0</v>
      </c>
      <c r="AQ188" s="64" t="str">
        <f>INDEX(Records!$B$2:$AG$33, MATCH(Table1[[#This Row],[HomeTeam]],Records!$A$2:$A$33, 0), MATCH(Table1[[#This Row],[AwayTeam]],Records!$A$2:$A$33, 0))</f>
        <v>0-0-0</v>
      </c>
    </row>
    <row r="189" spans="1:43" x14ac:dyDescent="0.25">
      <c r="A189" s="1"/>
      <c r="D189" t="s">
        <v>396</v>
      </c>
      <c r="E189" t="s">
        <v>160</v>
      </c>
      <c r="F189" t="s">
        <v>397</v>
      </c>
      <c r="G189" t="s">
        <v>42</v>
      </c>
      <c r="H189" t="s">
        <v>53</v>
      </c>
      <c r="L18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8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89" s="1"/>
      <c r="T189" s="64" t="str">
        <f>IF(Table1[[#This Row],[ActualWinner]]="", "", IF(Table1[[#This Row],[AwayTeam]]=Table1[[#This Row],[ActualWinner]],Table1[[#This Row],[HomeTeam]],Table1[[#This Row],[AwayTeam]]))</f>
        <v/>
      </c>
      <c r="U189" s="64">
        <f>Table1[[#This Row],[ActualAwayScore]]-Table1[[#This Row],[PredictedAwayScore]]</f>
        <v>0</v>
      </c>
      <c r="V189" s="64">
        <f>Table1[[#This Row],[ActualHomeScore]]-Table1[[#This Row],[PredictedHomeScore]]</f>
        <v>0</v>
      </c>
      <c r="W189" s="64">
        <f>(0.8*IF(Table1[[#This Row],[CorrectWinnerPrediction]]=1, 1, 0))+(0.1*IF(Table1[[#This Row],[CorrectAwayScorePrediction]]=1, 1, 0))+(0.1*IF(Table1[[#This Row],[CorrectHomeScorePrediction]]=1, 1, 0))</f>
        <v>0</v>
      </c>
      <c r="X18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89" s="64">
        <f>SUMIF(Table1[GameDate], Table1[[#This Row],[GameDate]], Table1[AwayGameGoalDiff])</f>
        <v>0</v>
      </c>
      <c r="AA189" s="64">
        <f>SUMIF(Table1[GameDate], Table1[[#This Row],[GameDate]], Table1[HomeGameGoalDiff])</f>
        <v>0</v>
      </c>
      <c r="AB189" s="64">
        <f>IF(ISBLANK(Table1[[#This Row],[ActualResult]]), 0, 1)</f>
        <v>0</v>
      </c>
      <c r="AC189" s="64">
        <f>IF(ISBLANK(Table1[[#This Row],[ActualResult]]), 0, IF(Table1[[#This Row],[ActualWinner]]=Table1[[#This Row],[PredictedWinner]], 1, 0))</f>
        <v>0</v>
      </c>
      <c r="AD18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8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89" s="64">
        <f>IF(AND(Table1[[#This Row],[GameIsOver]]=1,Table1[[#This Row],[ActualAwayScore]]=0), 1,0)</f>
        <v>0</v>
      </c>
      <c r="AG189" s="64">
        <f>IF(AND(Table1[[#This Row],[GameIsOver]]=1,Table1[[#This Row],[ActualHomeScore]]=0), 1,0)</f>
        <v>0</v>
      </c>
      <c r="AH189" s="64">
        <f>IF(Table1[[#This Row],[GameIsOver]]=0,0,IF(Table1[[#This Row],[ActualWinner]]=Table1[[#This Row],[AwayTeam]], 1, 0))</f>
        <v>0</v>
      </c>
      <c r="AI189" s="64">
        <f>IF(Table1[[#This Row],[GameIsOver]]=0,0,IF(Table1[[#This Row],[ActualWinner]]=Table1[[#This Row],[HomeTeam]], 1, 0))</f>
        <v>0</v>
      </c>
      <c r="AJ189" s="64">
        <f>IF(INDEX(Standings!$A$2:$C$33,MATCH(Table1[[#This Row],[AwayTeam]],Standings!$A$2:$A$33,0),2)=INDEX(Standings!$A$2:$C$33,MATCH(Table1[[#This Row],[HomeTeam]],Standings!$A$2:$A$33,0),2),1,0)</f>
        <v>1</v>
      </c>
      <c r="AK189" s="64">
        <f>IF(INDEX(Standings!$A$2:$C$33,MATCH(Table1[[#This Row],[AwayTeam]],Standings!$A$2:$A$33,0),3)=INDEX(Standings!$A$2:$C$33,MATCH(Table1[[#This Row],[HomeTeam]],Standings!$A$2:$A$33,0),3),1,0)</f>
        <v>1</v>
      </c>
      <c r="AL189" s="64">
        <f>IF(Table1[[#This Row],[InterConf]]=1,IF(Table1[[#This Row],[InterDiv]]=0, 1, 0), 0)</f>
        <v>0</v>
      </c>
      <c r="AM189" s="64">
        <f>IF(INDEX(Standings!$A$2:$C$33,MATCH(Table1[[#This Row],[AwayTeam]],Standings!$A$2:$A$33,0),2)&lt;&gt;INDEX(Standings!$A$2:$C$33,MATCH(Table1[[#This Row],[HomeTeam]],Standings!$A$2:$A$33,0),2),1,0)</f>
        <v>0</v>
      </c>
      <c r="AN189" s="64" t="str">
        <f>INDEX(Table2[AWAY_RECORD], MATCH(Table1[[#This Row],[AwayTeam]],Table2[Team], 0), 0)</f>
        <v>0-0-0</v>
      </c>
      <c r="AO189" s="64" t="str">
        <f>INDEX(Records!$B$2:$AG$33, MATCH(Table1[[#This Row],[AwayTeam]],Records!$A$2:$A$33, 0), MATCH(Table1[[#This Row],[HomeTeam]],Records!$A$2:$A$33, 0))</f>
        <v>0-0-0</v>
      </c>
      <c r="AP189" s="64" t="str">
        <f>INDEX(Table2[HOME_RECORD], MATCH(Table1[[#This Row],[HomeTeam]],Table2[Team], 0), 0)</f>
        <v>1-0-0</v>
      </c>
      <c r="AQ189" s="64" t="str">
        <f>INDEX(Records!$B$2:$AG$33, MATCH(Table1[[#This Row],[HomeTeam]],Records!$A$2:$A$33, 0), MATCH(Table1[[#This Row],[AwayTeam]],Records!$A$2:$A$33, 0))</f>
        <v>0-0-0</v>
      </c>
    </row>
    <row r="190" spans="1:43" x14ac:dyDescent="0.25">
      <c r="A190" s="1"/>
      <c r="D190" t="s">
        <v>396</v>
      </c>
      <c r="E190" t="s">
        <v>162</v>
      </c>
      <c r="F190" t="s">
        <v>398</v>
      </c>
      <c r="G190" t="s">
        <v>37</v>
      </c>
      <c r="H190" t="s">
        <v>40</v>
      </c>
      <c r="L19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9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90" s="1"/>
      <c r="T190" s="64" t="str">
        <f>IF(Table1[[#This Row],[ActualWinner]]="", "", IF(Table1[[#This Row],[AwayTeam]]=Table1[[#This Row],[ActualWinner]],Table1[[#This Row],[HomeTeam]],Table1[[#This Row],[AwayTeam]]))</f>
        <v/>
      </c>
      <c r="U190" s="64">
        <f>Table1[[#This Row],[ActualAwayScore]]-Table1[[#This Row],[PredictedAwayScore]]</f>
        <v>0</v>
      </c>
      <c r="V190" s="64">
        <f>Table1[[#This Row],[ActualHomeScore]]-Table1[[#This Row],[PredictedHomeScore]]</f>
        <v>0</v>
      </c>
      <c r="W190" s="64">
        <f>(0.8*IF(Table1[[#This Row],[CorrectWinnerPrediction]]=1, 1, 0))+(0.1*IF(Table1[[#This Row],[CorrectAwayScorePrediction]]=1, 1, 0))+(0.1*IF(Table1[[#This Row],[CorrectHomeScorePrediction]]=1, 1, 0))</f>
        <v>0</v>
      </c>
      <c r="X19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90" s="64">
        <f>SUMIF(Table1[GameDate], Table1[[#This Row],[GameDate]], Table1[AwayGameGoalDiff])</f>
        <v>0</v>
      </c>
      <c r="AA190" s="64">
        <f>SUMIF(Table1[GameDate], Table1[[#This Row],[GameDate]], Table1[HomeGameGoalDiff])</f>
        <v>0</v>
      </c>
      <c r="AB190" s="64">
        <f>IF(ISBLANK(Table1[[#This Row],[ActualResult]]), 0, 1)</f>
        <v>0</v>
      </c>
      <c r="AC190" s="64">
        <f>IF(ISBLANK(Table1[[#This Row],[ActualResult]]), 0, IF(Table1[[#This Row],[ActualWinner]]=Table1[[#This Row],[PredictedWinner]], 1, 0))</f>
        <v>0</v>
      </c>
      <c r="AD19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9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90" s="64">
        <f>IF(AND(Table1[[#This Row],[GameIsOver]]=1,Table1[[#This Row],[ActualAwayScore]]=0), 1,0)</f>
        <v>0</v>
      </c>
      <c r="AG190" s="64">
        <f>IF(AND(Table1[[#This Row],[GameIsOver]]=1,Table1[[#This Row],[ActualHomeScore]]=0), 1,0)</f>
        <v>0</v>
      </c>
      <c r="AH190" s="64">
        <f>IF(Table1[[#This Row],[GameIsOver]]=0,0,IF(Table1[[#This Row],[ActualWinner]]=Table1[[#This Row],[AwayTeam]], 1, 0))</f>
        <v>0</v>
      </c>
      <c r="AI190" s="64">
        <f>IF(Table1[[#This Row],[GameIsOver]]=0,0,IF(Table1[[#This Row],[ActualWinner]]=Table1[[#This Row],[HomeTeam]], 1, 0))</f>
        <v>0</v>
      </c>
      <c r="AJ190" s="64">
        <f>IF(INDEX(Standings!$A$2:$C$33,MATCH(Table1[[#This Row],[AwayTeam]],Standings!$A$2:$A$33,0),2)=INDEX(Standings!$A$2:$C$33,MATCH(Table1[[#This Row],[HomeTeam]],Standings!$A$2:$A$33,0),2),1,0)</f>
        <v>1</v>
      </c>
      <c r="AK190" s="64">
        <f>IF(INDEX(Standings!$A$2:$C$33,MATCH(Table1[[#This Row],[AwayTeam]],Standings!$A$2:$A$33,0),3)=INDEX(Standings!$A$2:$C$33,MATCH(Table1[[#This Row],[HomeTeam]],Standings!$A$2:$A$33,0),3),1,0)</f>
        <v>0</v>
      </c>
      <c r="AL190" s="64">
        <f>IF(Table1[[#This Row],[InterConf]]=1,IF(Table1[[#This Row],[InterDiv]]=0, 1, 0), 0)</f>
        <v>1</v>
      </c>
      <c r="AM190" s="64">
        <f>IF(INDEX(Standings!$A$2:$C$33,MATCH(Table1[[#This Row],[AwayTeam]],Standings!$A$2:$A$33,0),2)&lt;&gt;INDEX(Standings!$A$2:$C$33,MATCH(Table1[[#This Row],[HomeTeam]],Standings!$A$2:$A$33,0),2),1,0)</f>
        <v>0</v>
      </c>
      <c r="AN190" s="64" t="str">
        <f>INDEX(Table2[AWAY_RECORD], MATCH(Table1[[#This Row],[AwayTeam]],Table2[Team], 0), 0)</f>
        <v>0-0-1</v>
      </c>
      <c r="AO190" s="64" t="str">
        <f>INDEX(Records!$B$2:$AG$33, MATCH(Table1[[#This Row],[AwayTeam]],Records!$A$2:$A$33, 0), MATCH(Table1[[#This Row],[HomeTeam]],Records!$A$2:$A$33, 0))</f>
        <v>0-0-0</v>
      </c>
      <c r="AP190" s="64" t="str">
        <f>INDEX(Table2[HOME_RECORD], MATCH(Table1[[#This Row],[HomeTeam]],Table2[Team], 0), 0)</f>
        <v>1-1-0</v>
      </c>
      <c r="AQ190" s="64" t="str">
        <f>INDEX(Records!$B$2:$AG$33, MATCH(Table1[[#This Row],[HomeTeam]],Records!$A$2:$A$33, 0), MATCH(Table1[[#This Row],[AwayTeam]],Records!$A$2:$A$33, 0))</f>
        <v>0-0-0</v>
      </c>
    </row>
    <row r="191" spans="1:43" x14ac:dyDescent="0.25">
      <c r="A191" s="1"/>
      <c r="D191" t="s">
        <v>396</v>
      </c>
      <c r="E191" t="s">
        <v>162</v>
      </c>
      <c r="F191" t="s">
        <v>399</v>
      </c>
      <c r="G191" t="s">
        <v>46</v>
      </c>
      <c r="H191" t="s">
        <v>16</v>
      </c>
      <c r="L19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9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91" s="1"/>
      <c r="T191" s="64" t="str">
        <f>IF(Table1[[#This Row],[ActualWinner]]="", "", IF(Table1[[#This Row],[AwayTeam]]=Table1[[#This Row],[ActualWinner]],Table1[[#This Row],[HomeTeam]],Table1[[#This Row],[AwayTeam]]))</f>
        <v/>
      </c>
      <c r="U191" s="64">
        <f>Table1[[#This Row],[ActualAwayScore]]-Table1[[#This Row],[PredictedAwayScore]]</f>
        <v>0</v>
      </c>
      <c r="V191" s="64">
        <f>Table1[[#This Row],[ActualHomeScore]]-Table1[[#This Row],[PredictedHomeScore]]</f>
        <v>0</v>
      </c>
      <c r="W191" s="64">
        <f>(0.8*IF(Table1[[#This Row],[CorrectWinnerPrediction]]=1, 1, 0))+(0.1*IF(Table1[[#This Row],[CorrectAwayScorePrediction]]=1, 1, 0))+(0.1*IF(Table1[[#This Row],[CorrectHomeScorePrediction]]=1, 1, 0))</f>
        <v>0</v>
      </c>
      <c r="X19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91" s="64">
        <f>SUMIF(Table1[GameDate], Table1[[#This Row],[GameDate]], Table1[AwayGameGoalDiff])</f>
        <v>0</v>
      </c>
      <c r="AA191" s="64">
        <f>SUMIF(Table1[GameDate], Table1[[#This Row],[GameDate]], Table1[HomeGameGoalDiff])</f>
        <v>0</v>
      </c>
      <c r="AB191" s="64">
        <f>IF(ISBLANK(Table1[[#This Row],[ActualResult]]), 0, 1)</f>
        <v>0</v>
      </c>
      <c r="AC191" s="64">
        <f>IF(ISBLANK(Table1[[#This Row],[ActualResult]]), 0, IF(Table1[[#This Row],[ActualWinner]]=Table1[[#This Row],[PredictedWinner]], 1, 0))</f>
        <v>0</v>
      </c>
      <c r="AD19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9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91" s="64">
        <f>IF(AND(Table1[[#This Row],[GameIsOver]]=1,Table1[[#This Row],[ActualAwayScore]]=0), 1,0)</f>
        <v>0</v>
      </c>
      <c r="AG191" s="64">
        <f>IF(AND(Table1[[#This Row],[GameIsOver]]=1,Table1[[#This Row],[ActualHomeScore]]=0), 1,0)</f>
        <v>0</v>
      </c>
      <c r="AH191" s="64">
        <f>IF(Table1[[#This Row],[GameIsOver]]=0,0,IF(Table1[[#This Row],[ActualWinner]]=Table1[[#This Row],[AwayTeam]], 1, 0))</f>
        <v>0</v>
      </c>
      <c r="AI191" s="64">
        <f>IF(Table1[[#This Row],[GameIsOver]]=0,0,IF(Table1[[#This Row],[ActualWinner]]=Table1[[#This Row],[HomeTeam]], 1, 0))</f>
        <v>0</v>
      </c>
      <c r="AJ191" s="64">
        <f>IF(INDEX(Standings!$A$2:$C$33,MATCH(Table1[[#This Row],[AwayTeam]],Standings!$A$2:$A$33,0),2)=INDEX(Standings!$A$2:$C$33,MATCH(Table1[[#This Row],[HomeTeam]],Standings!$A$2:$A$33,0),2),1,0)</f>
        <v>1</v>
      </c>
      <c r="AK191" s="64">
        <f>IF(INDEX(Standings!$A$2:$C$33,MATCH(Table1[[#This Row],[AwayTeam]],Standings!$A$2:$A$33,0),3)=INDEX(Standings!$A$2:$C$33,MATCH(Table1[[#This Row],[HomeTeam]],Standings!$A$2:$A$33,0),3),1,0)</f>
        <v>0</v>
      </c>
      <c r="AL191" s="64">
        <f>IF(Table1[[#This Row],[InterConf]]=1,IF(Table1[[#This Row],[InterDiv]]=0, 1, 0), 0)</f>
        <v>1</v>
      </c>
      <c r="AM191" s="64">
        <f>IF(INDEX(Standings!$A$2:$C$33,MATCH(Table1[[#This Row],[AwayTeam]],Standings!$A$2:$A$33,0),2)&lt;&gt;INDEX(Standings!$A$2:$C$33,MATCH(Table1[[#This Row],[HomeTeam]],Standings!$A$2:$A$33,0),2),1,0)</f>
        <v>0</v>
      </c>
      <c r="AN191" s="64" t="str">
        <f>INDEX(Table2[AWAY_RECORD], MATCH(Table1[[#This Row],[AwayTeam]],Table2[Team], 0), 0)</f>
        <v>1-0-0</v>
      </c>
      <c r="AO191" s="64" t="str">
        <f>INDEX(Records!$B$2:$AG$33, MATCH(Table1[[#This Row],[AwayTeam]],Records!$A$2:$A$33, 0), MATCH(Table1[[#This Row],[HomeTeam]],Records!$A$2:$A$33, 0))</f>
        <v>0-0-0</v>
      </c>
      <c r="AP191" s="64" t="str">
        <f>INDEX(Table2[HOME_RECORD], MATCH(Table1[[#This Row],[HomeTeam]],Table2[Team], 0), 0)</f>
        <v>0-0-0</v>
      </c>
      <c r="AQ191" s="64" t="str">
        <f>INDEX(Records!$B$2:$AG$33, MATCH(Table1[[#This Row],[HomeTeam]],Records!$A$2:$A$33, 0), MATCH(Table1[[#This Row],[AwayTeam]],Records!$A$2:$A$33, 0))</f>
        <v>0-0-0</v>
      </c>
    </row>
    <row r="192" spans="1:43" x14ac:dyDescent="0.25">
      <c r="A192" s="1"/>
      <c r="D192" t="s">
        <v>396</v>
      </c>
      <c r="E192" t="s">
        <v>162</v>
      </c>
      <c r="F192" t="s">
        <v>400</v>
      </c>
      <c r="G192" t="s">
        <v>47</v>
      </c>
      <c r="H192" t="s">
        <v>61</v>
      </c>
      <c r="L19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9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92" s="1"/>
      <c r="T192" s="64" t="str">
        <f>IF(Table1[[#This Row],[ActualWinner]]="", "", IF(Table1[[#This Row],[AwayTeam]]=Table1[[#This Row],[ActualWinner]],Table1[[#This Row],[HomeTeam]],Table1[[#This Row],[AwayTeam]]))</f>
        <v/>
      </c>
      <c r="U192" s="64">
        <f>Table1[[#This Row],[ActualAwayScore]]-Table1[[#This Row],[PredictedAwayScore]]</f>
        <v>0</v>
      </c>
      <c r="V192" s="64">
        <f>Table1[[#This Row],[ActualHomeScore]]-Table1[[#This Row],[PredictedHomeScore]]</f>
        <v>0</v>
      </c>
      <c r="W192" s="64">
        <f>(0.8*IF(Table1[[#This Row],[CorrectWinnerPrediction]]=1, 1, 0))+(0.1*IF(Table1[[#This Row],[CorrectAwayScorePrediction]]=1, 1, 0))+(0.1*IF(Table1[[#This Row],[CorrectHomeScorePrediction]]=1, 1, 0))</f>
        <v>0</v>
      </c>
      <c r="X19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92" s="64">
        <f>SUMIF(Table1[GameDate], Table1[[#This Row],[GameDate]], Table1[AwayGameGoalDiff])</f>
        <v>0</v>
      </c>
      <c r="AA192" s="64">
        <f>SUMIF(Table1[GameDate], Table1[[#This Row],[GameDate]], Table1[HomeGameGoalDiff])</f>
        <v>0</v>
      </c>
      <c r="AB192" s="64">
        <f>IF(ISBLANK(Table1[[#This Row],[ActualResult]]), 0, 1)</f>
        <v>0</v>
      </c>
      <c r="AC192" s="64">
        <f>IF(ISBLANK(Table1[[#This Row],[ActualResult]]), 0, IF(Table1[[#This Row],[ActualWinner]]=Table1[[#This Row],[PredictedWinner]], 1, 0))</f>
        <v>0</v>
      </c>
      <c r="AD19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9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92" s="64">
        <f>IF(AND(Table1[[#This Row],[GameIsOver]]=1,Table1[[#This Row],[ActualAwayScore]]=0), 1,0)</f>
        <v>0</v>
      </c>
      <c r="AG192" s="64">
        <f>IF(AND(Table1[[#This Row],[GameIsOver]]=1,Table1[[#This Row],[ActualHomeScore]]=0), 1,0)</f>
        <v>0</v>
      </c>
      <c r="AH192" s="64">
        <f>IF(Table1[[#This Row],[GameIsOver]]=0,0,IF(Table1[[#This Row],[ActualWinner]]=Table1[[#This Row],[AwayTeam]], 1, 0))</f>
        <v>0</v>
      </c>
      <c r="AI192" s="64">
        <f>IF(Table1[[#This Row],[GameIsOver]]=0,0,IF(Table1[[#This Row],[ActualWinner]]=Table1[[#This Row],[HomeTeam]], 1, 0))</f>
        <v>0</v>
      </c>
      <c r="AJ192" s="64">
        <f>IF(INDEX(Standings!$A$2:$C$33,MATCH(Table1[[#This Row],[AwayTeam]],Standings!$A$2:$A$33,0),2)=INDEX(Standings!$A$2:$C$33,MATCH(Table1[[#This Row],[HomeTeam]],Standings!$A$2:$A$33,0),2),1,0)</f>
        <v>0</v>
      </c>
      <c r="AK192" s="64">
        <f>IF(INDEX(Standings!$A$2:$C$33,MATCH(Table1[[#This Row],[AwayTeam]],Standings!$A$2:$A$33,0),3)=INDEX(Standings!$A$2:$C$33,MATCH(Table1[[#This Row],[HomeTeam]],Standings!$A$2:$A$33,0),3),1,0)</f>
        <v>0</v>
      </c>
      <c r="AL192" s="64">
        <f>IF(Table1[[#This Row],[InterConf]]=1,IF(Table1[[#This Row],[InterDiv]]=0, 1, 0), 0)</f>
        <v>0</v>
      </c>
      <c r="AM192" s="64">
        <f>IF(INDEX(Standings!$A$2:$C$33,MATCH(Table1[[#This Row],[AwayTeam]],Standings!$A$2:$A$33,0),2)&lt;&gt;INDEX(Standings!$A$2:$C$33,MATCH(Table1[[#This Row],[HomeTeam]],Standings!$A$2:$A$33,0),2),1,0)</f>
        <v>1</v>
      </c>
      <c r="AN192" s="64" t="str">
        <f>INDEX(Table2[AWAY_RECORD], MATCH(Table1[[#This Row],[AwayTeam]],Table2[Team], 0), 0)</f>
        <v>1-0-0</v>
      </c>
      <c r="AO192" s="64" t="str">
        <f>INDEX(Records!$B$2:$AG$33, MATCH(Table1[[#This Row],[AwayTeam]],Records!$A$2:$A$33, 0), MATCH(Table1[[#This Row],[HomeTeam]],Records!$A$2:$A$33, 0))</f>
        <v>0-0-0</v>
      </c>
      <c r="AP192" s="64" t="str">
        <f>INDEX(Table2[HOME_RECORD], MATCH(Table1[[#This Row],[HomeTeam]],Table2[Team], 0), 0)</f>
        <v>0-0-0</v>
      </c>
      <c r="AQ192" s="64" t="str">
        <f>INDEX(Records!$B$2:$AG$33, MATCH(Table1[[#This Row],[HomeTeam]],Records!$A$2:$A$33, 0), MATCH(Table1[[#This Row],[AwayTeam]],Records!$A$2:$A$33, 0))</f>
        <v>0-0-0</v>
      </c>
    </row>
    <row r="193" spans="1:43" x14ac:dyDescent="0.25">
      <c r="A193" s="1"/>
      <c r="D193" t="s">
        <v>396</v>
      </c>
      <c r="E193" t="s">
        <v>162</v>
      </c>
      <c r="F193" t="s">
        <v>401</v>
      </c>
      <c r="G193" t="s">
        <v>50</v>
      </c>
      <c r="H193" t="s">
        <v>48</v>
      </c>
      <c r="L19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9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93" s="1"/>
      <c r="T193" s="64" t="str">
        <f>IF(Table1[[#This Row],[ActualWinner]]="", "", IF(Table1[[#This Row],[AwayTeam]]=Table1[[#This Row],[ActualWinner]],Table1[[#This Row],[HomeTeam]],Table1[[#This Row],[AwayTeam]]))</f>
        <v/>
      </c>
      <c r="U193" s="64">
        <f>Table1[[#This Row],[ActualAwayScore]]-Table1[[#This Row],[PredictedAwayScore]]</f>
        <v>0</v>
      </c>
      <c r="V193" s="64">
        <f>Table1[[#This Row],[ActualHomeScore]]-Table1[[#This Row],[PredictedHomeScore]]</f>
        <v>0</v>
      </c>
      <c r="W193" s="64">
        <f>(0.8*IF(Table1[[#This Row],[CorrectWinnerPrediction]]=1, 1, 0))+(0.1*IF(Table1[[#This Row],[CorrectAwayScorePrediction]]=1, 1, 0))+(0.1*IF(Table1[[#This Row],[CorrectHomeScorePrediction]]=1, 1, 0))</f>
        <v>0</v>
      </c>
      <c r="X19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93" s="64">
        <f>SUMIF(Table1[GameDate], Table1[[#This Row],[GameDate]], Table1[AwayGameGoalDiff])</f>
        <v>0</v>
      </c>
      <c r="AA193" s="64">
        <f>SUMIF(Table1[GameDate], Table1[[#This Row],[GameDate]], Table1[HomeGameGoalDiff])</f>
        <v>0</v>
      </c>
      <c r="AB193" s="64">
        <f>IF(ISBLANK(Table1[[#This Row],[ActualResult]]), 0, 1)</f>
        <v>0</v>
      </c>
      <c r="AC193" s="64">
        <f>IF(ISBLANK(Table1[[#This Row],[ActualResult]]), 0, IF(Table1[[#This Row],[ActualWinner]]=Table1[[#This Row],[PredictedWinner]], 1, 0))</f>
        <v>0</v>
      </c>
      <c r="AD19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9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93" s="64">
        <f>IF(AND(Table1[[#This Row],[GameIsOver]]=1,Table1[[#This Row],[ActualAwayScore]]=0), 1,0)</f>
        <v>0</v>
      </c>
      <c r="AG193" s="64">
        <f>IF(AND(Table1[[#This Row],[GameIsOver]]=1,Table1[[#This Row],[ActualHomeScore]]=0), 1,0)</f>
        <v>0</v>
      </c>
      <c r="AH193" s="64">
        <f>IF(Table1[[#This Row],[GameIsOver]]=0,0,IF(Table1[[#This Row],[ActualWinner]]=Table1[[#This Row],[AwayTeam]], 1, 0))</f>
        <v>0</v>
      </c>
      <c r="AI193" s="64">
        <f>IF(Table1[[#This Row],[GameIsOver]]=0,0,IF(Table1[[#This Row],[ActualWinner]]=Table1[[#This Row],[HomeTeam]], 1, 0))</f>
        <v>0</v>
      </c>
      <c r="AJ193" s="64">
        <f>IF(INDEX(Standings!$A$2:$C$33,MATCH(Table1[[#This Row],[AwayTeam]],Standings!$A$2:$A$33,0),2)=INDEX(Standings!$A$2:$C$33,MATCH(Table1[[#This Row],[HomeTeam]],Standings!$A$2:$A$33,0),2),1,0)</f>
        <v>0</v>
      </c>
      <c r="AK193" s="64">
        <f>IF(INDEX(Standings!$A$2:$C$33,MATCH(Table1[[#This Row],[AwayTeam]],Standings!$A$2:$A$33,0),3)=INDEX(Standings!$A$2:$C$33,MATCH(Table1[[#This Row],[HomeTeam]],Standings!$A$2:$A$33,0),3),1,0)</f>
        <v>0</v>
      </c>
      <c r="AL193" s="64">
        <f>IF(Table1[[#This Row],[InterConf]]=1,IF(Table1[[#This Row],[InterDiv]]=0, 1, 0), 0)</f>
        <v>0</v>
      </c>
      <c r="AM193" s="64">
        <f>IF(INDEX(Standings!$A$2:$C$33,MATCH(Table1[[#This Row],[AwayTeam]],Standings!$A$2:$A$33,0),2)&lt;&gt;INDEX(Standings!$A$2:$C$33,MATCH(Table1[[#This Row],[HomeTeam]],Standings!$A$2:$A$33,0),2),1,0)</f>
        <v>1</v>
      </c>
      <c r="AN193" s="64" t="str">
        <f>INDEX(Table2[AWAY_RECORD], MATCH(Table1[[#This Row],[AwayTeam]],Table2[Team], 0), 0)</f>
        <v>1-0-0</v>
      </c>
      <c r="AO193" s="64" t="str">
        <f>INDEX(Records!$B$2:$AG$33, MATCH(Table1[[#This Row],[AwayTeam]],Records!$A$2:$A$33, 0), MATCH(Table1[[#This Row],[HomeTeam]],Records!$A$2:$A$33, 0))</f>
        <v>0-0-0</v>
      </c>
      <c r="AP193" s="64" t="str">
        <f>INDEX(Table2[HOME_RECORD], MATCH(Table1[[#This Row],[HomeTeam]],Table2[Team], 0), 0)</f>
        <v>1-0-0</v>
      </c>
      <c r="AQ193" s="64" t="str">
        <f>INDEX(Records!$B$2:$AG$33, MATCH(Table1[[#This Row],[HomeTeam]],Records!$A$2:$A$33, 0), MATCH(Table1[[#This Row],[AwayTeam]],Records!$A$2:$A$33, 0))</f>
        <v>0-0-0</v>
      </c>
    </row>
    <row r="194" spans="1:43" x14ac:dyDescent="0.25">
      <c r="A194" s="1"/>
      <c r="D194" t="s">
        <v>396</v>
      </c>
      <c r="E194" t="s">
        <v>162</v>
      </c>
      <c r="F194" t="s">
        <v>402</v>
      </c>
      <c r="G194" t="s">
        <v>49</v>
      </c>
      <c r="H194" t="s">
        <v>43</v>
      </c>
      <c r="L19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9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94" s="1"/>
      <c r="T194" s="64" t="str">
        <f>IF(Table1[[#This Row],[ActualWinner]]="", "", IF(Table1[[#This Row],[AwayTeam]]=Table1[[#This Row],[ActualWinner]],Table1[[#This Row],[HomeTeam]],Table1[[#This Row],[AwayTeam]]))</f>
        <v/>
      </c>
      <c r="U194" s="64">
        <f>Table1[[#This Row],[ActualAwayScore]]-Table1[[#This Row],[PredictedAwayScore]]</f>
        <v>0</v>
      </c>
      <c r="V194" s="64">
        <f>Table1[[#This Row],[ActualHomeScore]]-Table1[[#This Row],[PredictedHomeScore]]</f>
        <v>0</v>
      </c>
      <c r="W194" s="64">
        <f>(0.8*IF(Table1[[#This Row],[CorrectWinnerPrediction]]=1, 1, 0))+(0.1*IF(Table1[[#This Row],[CorrectAwayScorePrediction]]=1, 1, 0))+(0.1*IF(Table1[[#This Row],[CorrectHomeScorePrediction]]=1, 1, 0))</f>
        <v>0</v>
      </c>
      <c r="X19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94" s="64">
        <f>SUMIF(Table1[GameDate], Table1[[#This Row],[GameDate]], Table1[AwayGameGoalDiff])</f>
        <v>0</v>
      </c>
      <c r="AA194" s="64">
        <f>SUMIF(Table1[GameDate], Table1[[#This Row],[GameDate]], Table1[HomeGameGoalDiff])</f>
        <v>0</v>
      </c>
      <c r="AB194" s="64">
        <f>IF(ISBLANK(Table1[[#This Row],[ActualResult]]), 0, 1)</f>
        <v>0</v>
      </c>
      <c r="AC194" s="64">
        <f>IF(ISBLANK(Table1[[#This Row],[ActualResult]]), 0, IF(Table1[[#This Row],[ActualWinner]]=Table1[[#This Row],[PredictedWinner]], 1, 0))</f>
        <v>0</v>
      </c>
      <c r="AD19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9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94" s="64">
        <f>IF(AND(Table1[[#This Row],[GameIsOver]]=1,Table1[[#This Row],[ActualAwayScore]]=0), 1,0)</f>
        <v>0</v>
      </c>
      <c r="AG194" s="64">
        <f>IF(AND(Table1[[#This Row],[GameIsOver]]=1,Table1[[#This Row],[ActualHomeScore]]=0), 1,0)</f>
        <v>0</v>
      </c>
      <c r="AH194" s="64">
        <f>IF(Table1[[#This Row],[GameIsOver]]=0,0,IF(Table1[[#This Row],[ActualWinner]]=Table1[[#This Row],[AwayTeam]], 1, 0))</f>
        <v>0</v>
      </c>
      <c r="AI194" s="64">
        <f>IF(Table1[[#This Row],[GameIsOver]]=0,0,IF(Table1[[#This Row],[ActualWinner]]=Table1[[#This Row],[HomeTeam]], 1, 0))</f>
        <v>0</v>
      </c>
      <c r="AJ194" s="64">
        <f>IF(INDEX(Standings!$A$2:$C$33,MATCH(Table1[[#This Row],[AwayTeam]],Standings!$A$2:$A$33,0),2)=INDEX(Standings!$A$2:$C$33,MATCH(Table1[[#This Row],[HomeTeam]],Standings!$A$2:$A$33,0),2),1,0)</f>
        <v>0</v>
      </c>
      <c r="AK194" s="64">
        <f>IF(INDEX(Standings!$A$2:$C$33,MATCH(Table1[[#This Row],[AwayTeam]],Standings!$A$2:$A$33,0),3)=INDEX(Standings!$A$2:$C$33,MATCH(Table1[[#This Row],[HomeTeam]],Standings!$A$2:$A$33,0),3),1,0)</f>
        <v>0</v>
      </c>
      <c r="AL194" s="64">
        <f>IF(Table1[[#This Row],[InterConf]]=1,IF(Table1[[#This Row],[InterDiv]]=0, 1, 0), 0)</f>
        <v>0</v>
      </c>
      <c r="AM194" s="64">
        <f>IF(INDEX(Standings!$A$2:$C$33,MATCH(Table1[[#This Row],[AwayTeam]],Standings!$A$2:$A$33,0),2)&lt;&gt;INDEX(Standings!$A$2:$C$33,MATCH(Table1[[#This Row],[HomeTeam]],Standings!$A$2:$A$33,0),2),1,0)</f>
        <v>1</v>
      </c>
      <c r="AN194" s="64" t="str">
        <f>INDEX(Table2[AWAY_RECORD], MATCH(Table1[[#This Row],[AwayTeam]],Table2[Team], 0), 0)</f>
        <v>0-0-0</v>
      </c>
      <c r="AO194" s="64" t="str">
        <f>INDEX(Records!$B$2:$AG$33, MATCH(Table1[[#This Row],[AwayTeam]],Records!$A$2:$A$33, 0), MATCH(Table1[[#This Row],[HomeTeam]],Records!$A$2:$A$33, 0))</f>
        <v>0-0-0</v>
      </c>
      <c r="AP194" s="64" t="str">
        <f>INDEX(Table2[HOME_RECORD], MATCH(Table1[[#This Row],[HomeTeam]],Table2[Team], 0), 0)</f>
        <v>0-0-0</v>
      </c>
      <c r="AQ194" s="64" t="str">
        <f>INDEX(Records!$B$2:$AG$33, MATCH(Table1[[#This Row],[HomeTeam]],Records!$A$2:$A$33, 0), MATCH(Table1[[#This Row],[AwayTeam]],Records!$A$2:$A$33, 0))</f>
        <v>0-0-0</v>
      </c>
    </row>
    <row r="195" spans="1:43" x14ac:dyDescent="0.25">
      <c r="A195" s="1"/>
      <c r="D195" t="s">
        <v>396</v>
      </c>
      <c r="E195" t="s">
        <v>162</v>
      </c>
      <c r="F195" t="s">
        <v>403</v>
      </c>
      <c r="G195" t="s">
        <v>17</v>
      </c>
      <c r="H195" t="s">
        <v>60</v>
      </c>
      <c r="L19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9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95" s="1"/>
      <c r="T195" s="64" t="str">
        <f>IF(Table1[[#This Row],[ActualWinner]]="", "", IF(Table1[[#This Row],[AwayTeam]]=Table1[[#This Row],[ActualWinner]],Table1[[#This Row],[HomeTeam]],Table1[[#This Row],[AwayTeam]]))</f>
        <v/>
      </c>
      <c r="U195" s="64">
        <f>Table1[[#This Row],[ActualAwayScore]]-Table1[[#This Row],[PredictedAwayScore]]</f>
        <v>0</v>
      </c>
      <c r="V195" s="64">
        <f>Table1[[#This Row],[ActualHomeScore]]-Table1[[#This Row],[PredictedHomeScore]]</f>
        <v>0</v>
      </c>
      <c r="W195" s="64">
        <f>(0.8*IF(Table1[[#This Row],[CorrectWinnerPrediction]]=1, 1, 0))+(0.1*IF(Table1[[#This Row],[CorrectAwayScorePrediction]]=1, 1, 0))+(0.1*IF(Table1[[#This Row],[CorrectHomeScorePrediction]]=1, 1, 0))</f>
        <v>0</v>
      </c>
      <c r="X19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95" s="64">
        <f>SUMIF(Table1[GameDate], Table1[[#This Row],[GameDate]], Table1[AwayGameGoalDiff])</f>
        <v>0</v>
      </c>
      <c r="AA195" s="64">
        <f>SUMIF(Table1[GameDate], Table1[[#This Row],[GameDate]], Table1[HomeGameGoalDiff])</f>
        <v>0</v>
      </c>
      <c r="AB195" s="64">
        <f>IF(ISBLANK(Table1[[#This Row],[ActualResult]]), 0, 1)</f>
        <v>0</v>
      </c>
      <c r="AC195" s="64">
        <f>IF(ISBLANK(Table1[[#This Row],[ActualResult]]), 0, IF(Table1[[#This Row],[ActualWinner]]=Table1[[#This Row],[PredictedWinner]], 1, 0))</f>
        <v>0</v>
      </c>
      <c r="AD19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9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95" s="64">
        <f>IF(AND(Table1[[#This Row],[GameIsOver]]=1,Table1[[#This Row],[ActualAwayScore]]=0), 1,0)</f>
        <v>0</v>
      </c>
      <c r="AG195" s="64">
        <f>IF(AND(Table1[[#This Row],[GameIsOver]]=1,Table1[[#This Row],[ActualHomeScore]]=0), 1,0)</f>
        <v>0</v>
      </c>
      <c r="AH195" s="64">
        <f>IF(Table1[[#This Row],[GameIsOver]]=0,0,IF(Table1[[#This Row],[ActualWinner]]=Table1[[#This Row],[AwayTeam]], 1, 0))</f>
        <v>0</v>
      </c>
      <c r="AI195" s="64">
        <f>IF(Table1[[#This Row],[GameIsOver]]=0,0,IF(Table1[[#This Row],[ActualWinner]]=Table1[[#This Row],[HomeTeam]], 1, 0))</f>
        <v>0</v>
      </c>
      <c r="AJ195" s="64">
        <f>IF(INDEX(Standings!$A$2:$C$33,MATCH(Table1[[#This Row],[AwayTeam]],Standings!$A$2:$A$33,0),2)=INDEX(Standings!$A$2:$C$33,MATCH(Table1[[#This Row],[HomeTeam]],Standings!$A$2:$A$33,0),2),1,0)</f>
        <v>0</v>
      </c>
      <c r="AK195" s="64">
        <f>IF(INDEX(Standings!$A$2:$C$33,MATCH(Table1[[#This Row],[AwayTeam]],Standings!$A$2:$A$33,0),3)=INDEX(Standings!$A$2:$C$33,MATCH(Table1[[#This Row],[HomeTeam]],Standings!$A$2:$A$33,0),3),1,0)</f>
        <v>0</v>
      </c>
      <c r="AL195" s="64">
        <f>IF(Table1[[#This Row],[InterConf]]=1,IF(Table1[[#This Row],[InterDiv]]=0, 1, 0), 0)</f>
        <v>0</v>
      </c>
      <c r="AM195" s="64">
        <f>IF(INDEX(Standings!$A$2:$C$33,MATCH(Table1[[#This Row],[AwayTeam]],Standings!$A$2:$A$33,0),2)&lt;&gt;INDEX(Standings!$A$2:$C$33,MATCH(Table1[[#This Row],[HomeTeam]],Standings!$A$2:$A$33,0),2),1,0)</f>
        <v>1</v>
      </c>
      <c r="AN195" s="64" t="str">
        <f>INDEX(Table2[AWAY_RECORD], MATCH(Table1[[#This Row],[AwayTeam]],Table2[Team], 0), 0)</f>
        <v>2-0-0</v>
      </c>
      <c r="AO195" s="64" t="str">
        <f>INDEX(Records!$B$2:$AG$33, MATCH(Table1[[#This Row],[AwayTeam]],Records!$A$2:$A$33, 0), MATCH(Table1[[#This Row],[HomeTeam]],Records!$A$2:$A$33, 0))</f>
        <v>0-0-0</v>
      </c>
      <c r="AP195" s="64" t="str">
        <f>INDEX(Table2[HOME_RECORD], MATCH(Table1[[#This Row],[HomeTeam]],Table2[Team], 0), 0)</f>
        <v>1-0-0</v>
      </c>
      <c r="AQ195" s="64" t="str">
        <f>INDEX(Records!$B$2:$AG$33, MATCH(Table1[[#This Row],[HomeTeam]],Records!$A$2:$A$33, 0), MATCH(Table1[[#This Row],[AwayTeam]],Records!$A$2:$A$33, 0))</f>
        <v>0-0-0</v>
      </c>
    </row>
    <row r="196" spans="1:43" x14ac:dyDescent="0.25">
      <c r="A196" s="1"/>
      <c r="D196" t="s">
        <v>396</v>
      </c>
      <c r="E196" t="s">
        <v>178</v>
      </c>
      <c r="F196" t="s">
        <v>404</v>
      </c>
      <c r="G196" t="s">
        <v>22</v>
      </c>
      <c r="H196" t="s">
        <v>58</v>
      </c>
      <c r="L19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9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96" s="1"/>
      <c r="T196" s="64" t="str">
        <f>IF(Table1[[#This Row],[ActualWinner]]="", "", IF(Table1[[#This Row],[AwayTeam]]=Table1[[#This Row],[ActualWinner]],Table1[[#This Row],[HomeTeam]],Table1[[#This Row],[AwayTeam]]))</f>
        <v/>
      </c>
      <c r="U196" s="64">
        <f>Table1[[#This Row],[ActualAwayScore]]-Table1[[#This Row],[PredictedAwayScore]]</f>
        <v>0</v>
      </c>
      <c r="V196" s="64">
        <f>Table1[[#This Row],[ActualHomeScore]]-Table1[[#This Row],[PredictedHomeScore]]</f>
        <v>0</v>
      </c>
      <c r="W196" s="64">
        <f>(0.8*IF(Table1[[#This Row],[CorrectWinnerPrediction]]=1, 1, 0))+(0.1*IF(Table1[[#This Row],[CorrectAwayScorePrediction]]=1, 1, 0))+(0.1*IF(Table1[[#This Row],[CorrectHomeScorePrediction]]=1, 1, 0))</f>
        <v>0</v>
      </c>
      <c r="X19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96" s="64">
        <f>SUMIF(Table1[GameDate], Table1[[#This Row],[GameDate]], Table1[AwayGameGoalDiff])</f>
        <v>0</v>
      </c>
      <c r="AA196" s="64">
        <f>SUMIF(Table1[GameDate], Table1[[#This Row],[GameDate]], Table1[HomeGameGoalDiff])</f>
        <v>0</v>
      </c>
      <c r="AB196" s="64">
        <f>IF(ISBLANK(Table1[[#This Row],[ActualResult]]), 0, 1)</f>
        <v>0</v>
      </c>
      <c r="AC196" s="64">
        <f>IF(ISBLANK(Table1[[#This Row],[ActualResult]]), 0, IF(Table1[[#This Row],[ActualWinner]]=Table1[[#This Row],[PredictedWinner]], 1, 0))</f>
        <v>0</v>
      </c>
      <c r="AD19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9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96" s="64">
        <f>IF(AND(Table1[[#This Row],[GameIsOver]]=1,Table1[[#This Row],[ActualAwayScore]]=0), 1,0)</f>
        <v>0</v>
      </c>
      <c r="AG196" s="64">
        <f>IF(AND(Table1[[#This Row],[GameIsOver]]=1,Table1[[#This Row],[ActualHomeScore]]=0), 1,0)</f>
        <v>0</v>
      </c>
      <c r="AH196" s="64">
        <f>IF(Table1[[#This Row],[GameIsOver]]=0,0,IF(Table1[[#This Row],[ActualWinner]]=Table1[[#This Row],[AwayTeam]], 1, 0))</f>
        <v>0</v>
      </c>
      <c r="AI196" s="64">
        <f>IF(Table1[[#This Row],[GameIsOver]]=0,0,IF(Table1[[#This Row],[ActualWinner]]=Table1[[#This Row],[HomeTeam]], 1, 0))</f>
        <v>0</v>
      </c>
      <c r="AJ196" s="64">
        <f>IF(INDEX(Standings!$A$2:$C$33,MATCH(Table1[[#This Row],[AwayTeam]],Standings!$A$2:$A$33,0),2)=INDEX(Standings!$A$2:$C$33,MATCH(Table1[[#This Row],[HomeTeam]],Standings!$A$2:$A$33,0),2),1,0)</f>
        <v>1</v>
      </c>
      <c r="AK196" s="64">
        <f>IF(INDEX(Standings!$A$2:$C$33,MATCH(Table1[[#This Row],[AwayTeam]],Standings!$A$2:$A$33,0),3)=INDEX(Standings!$A$2:$C$33,MATCH(Table1[[#This Row],[HomeTeam]],Standings!$A$2:$A$33,0),3),1,0)</f>
        <v>1</v>
      </c>
      <c r="AL196" s="64">
        <f>IF(Table1[[#This Row],[InterConf]]=1,IF(Table1[[#This Row],[InterDiv]]=0, 1, 0), 0)</f>
        <v>0</v>
      </c>
      <c r="AM196" s="64">
        <f>IF(INDEX(Standings!$A$2:$C$33,MATCH(Table1[[#This Row],[AwayTeam]],Standings!$A$2:$A$33,0),2)&lt;&gt;INDEX(Standings!$A$2:$C$33,MATCH(Table1[[#This Row],[HomeTeam]],Standings!$A$2:$A$33,0),2),1,0)</f>
        <v>0</v>
      </c>
      <c r="AN196" s="64" t="str">
        <f>INDEX(Table2[AWAY_RECORD], MATCH(Table1[[#This Row],[AwayTeam]],Table2[Team], 0), 0)</f>
        <v>0-0-1</v>
      </c>
      <c r="AO196" s="64" t="str">
        <f>INDEX(Records!$B$2:$AG$33, MATCH(Table1[[#This Row],[AwayTeam]],Records!$A$2:$A$33, 0), MATCH(Table1[[#This Row],[HomeTeam]],Records!$A$2:$A$33, 0))</f>
        <v>0-0-0</v>
      </c>
      <c r="AP196" s="64" t="str">
        <f>INDEX(Table2[HOME_RECORD], MATCH(Table1[[#This Row],[HomeTeam]],Table2[Team], 0), 0)</f>
        <v>1-0-0</v>
      </c>
      <c r="AQ196" s="64" t="str">
        <f>INDEX(Records!$B$2:$AG$33, MATCH(Table1[[#This Row],[HomeTeam]],Records!$A$2:$A$33, 0), MATCH(Table1[[#This Row],[AwayTeam]],Records!$A$2:$A$33, 0))</f>
        <v>0-0-0</v>
      </c>
    </row>
    <row r="197" spans="1:43" x14ac:dyDescent="0.25">
      <c r="A197" s="1"/>
      <c r="D197" t="s">
        <v>396</v>
      </c>
      <c r="E197" t="s">
        <v>164</v>
      </c>
      <c r="F197" t="s">
        <v>405</v>
      </c>
      <c r="G197" t="s">
        <v>52</v>
      </c>
      <c r="H197" t="s">
        <v>25</v>
      </c>
      <c r="L19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9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97" s="1"/>
      <c r="T197" s="64" t="str">
        <f>IF(Table1[[#This Row],[ActualWinner]]="", "", IF(Table1[[#This Row],[AwayTeam]]=Table1[[#This Row],[ActualWinner]],Table1[[#This Row],[HomeTeam]],Table1[[#This Row],[AwayTeam]]))</f>
        <v/>
      </c>
      <c r="U197" s="64">
        <f>Table1[[#This Row],[ActualAwayScore]]-Table1[[#This Row],[PredictedAwayScore]]</f>
        <v>0</v>
      </c>
      <c r="V197" s="64">
        <f>Table1[[#This Row],[ActualHomeScore]]-Table1[[#This Row],[PredictedHomeScore]]</f>
        <v>0</v>
      </c>
      <c r="W197" s="64">
        <f>(0.8*IF(Table1[[#This Row],[CorrectWinnerPrediction]]=1, 1, 0))+(0.1*IF(Table1[[#This Row],[CorrectAwayScorePrediction]]=1, 1, 0))+(0.1*IF(Table1[[#This Row],[CorrectHomeScorePrediction]]=1, 1, 0))</f>
        <v>0</v>
      </c>
      <c r="X19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97" s="64">
        <f>SUMIF(Table1[GameDate], Table1[[#This Row],[GameDate]], Table1[AwayGameGoalDiff])</f>
        <v>0</v>
      </c>
      <c r="AA197" s="64">
        <f>SUMIF(Table1[GameDate], Table1[[#This Row],[GameDate]], Table1[HomeGameGoalDiff])</f>
        <v>0</v>
      </c>
      <c r="AB197" s="64">
        <f>IF(ISBLANK(Table1[[#This Row],[ActualResult]]), 0, 1)</f>
        <v>0</v>
      </c>
      <c r="AC197" s="64">
        <f>IF(ISBLANK(Table1[[#This Row],[ActualResult]]), 0, IF(Table1[[#This Row],[ActualWinner]]=Table1[[#This Row],[PredictedWinner]], 1, 0))</f>
        <v>0</v>
      </c>
      <c r="AD19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9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97" s="64">
        <f>IF(AND(Table1[[#This Row],[GameIsOver]]=1,Table1[[#This Row],[ActualAwayScore]]=0), 1,0)</f>
        <v>0</v>
      </c>
      <c r="AG197" s="64">
        <f>IF(AND(Table1[[#This Row],[GameIsOver]]=1,Table1[[#This Row],[ActualHomeScore]]=0), 1,0)</f>
        <v>0</v>
      </c>
      <c r="AH197" s="64">
        <f>IF(Table1[[#This Row],[GameIsOver]]=0,0,IF(Table1[[#This Row],[ActualWinner]]=Table1[[#This Row],[AwayTeam]], 1, 0))</f>
        <v>0</v>
      </c>
      <c r="AI197" s="64">
        <f>IF(Table1[[#This Row],[GameIsOver]]=0,0,IF(Table1[[#This Row],[ActualWinner]]=Table1[[#This Row],[HomeTeam]], 1, 0))</f>
        <v>0</v>
      </c>
      <c r="AJ197" s="64">
        <f>IF(INDEX(Standings!$A$2:$C$33,MATCH(Table1[[#This Row],[AwayTeam]],Standings!$A$2:$A$33,0),2)=INDEX(Standings!$A$2:$C$33,MATCH(Table1[[#This Row],[HomeTeam]],Standings!$A$2:$A$33,0),2),1,0)</f>
        <v>0</v>
      </c>
      <c r="AK197" s="64">
        <f>IF(INDEX(Standings!$A$2:$C$33,MATCH(Table1[[#This Row],[AwayTeam]],Standings!$A$2:$A$33,0),3)=INDEX(Standings!$A$2:$C$33,MATCH(Table1[[#This Row],[HomeTeam]],Standings!$A$2:$A$33,0),3),1,0)</f>
        <v>0</v>
      </c>
      <c r="AL197" s="64">
        <f>IF(Table1[[#This Row],[InterConf]]=1,IF(Table1[[#This Row],[InterDiv]]=0, 1, 0), 0)</f>
        <v>0</v>
      </c>
      <c r="AM197" s="64">
        <f>IF(INDEX(Standings!$A$2:$C$33,MATCH(Table1[[#This Row],[AwayTeam]],Standings!$A$2:$A$33,0),2)&lt;&gt;INDEX(Standings!$A$2:$C$33,MATCH(Table1[[#This Row],[HomeTeam]],Standings!$A$2:$A$33,0),2),1,0)</f>
        <v>1</v>
      </c>
      <c r="AN197" s="64" t="str">
        <f>INDEX(Table2[AWAY_RECORD], MATCH(Table1[[#This Row],[AwayTeam]],Table2[Team], 0), 0)</f>
        <v>0-0-0</v>
      </c>
      <c r="AO197" s="64" t="str">
        <f>INDEX(Records!$B$2:$AG$33, MATCH(Table1[[#This Row],[AwayTeam]],Records!$A$2:$A$33, 0), MATCH(Table1[[#This Row],[HomeTeam]],Records!$A$2:$A$33, 0))</f>
        <v>0-0-0</v>
      </c>
      <c r="AP197" s="64" t="str">
        <f>INDEX(Table2[HOME_RECORD], MATCH(Table1[[#This Row],[HomeTeam]],Table2[Team], 0), 0)</f>
        <v>0-0-1</v>
      </c>
      <c r="AQ197" s="64" t="str">
        <f>INDEX(Records!$B$2:$AG$33, MATCH(Table1[[#This Row],[HomeTeam]],Records!$A$2:$A$33, 0), MATCH(Table1[[#This Row],[AwayTeam]],Records!$A$2:$A$33, 0))</f>
        <v>0-0-0</v>
      </c>
    </row>
    <row r="198" spans="1:43" x14ac:dyDescent="0.25">
      <c r="A198" s="1"/>
      <c r="D198" t="s">
        <v>396</v>
      </c>
      <c r="E198" t="s">
        <v>164</v>
      </c>
      <c r="F198" t="s">
        <v>406</v>
      </c>
      <c r="G198" t="s">
        <v>23</v>
      </c>
      <c r="H198" t="s">
        <v>36</v>
      </c>
      <c r="L19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9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98" s="1"/>
      <c r="T198" s="64" t="str">
        <f>IF(Table1[[#This Row],[ActualWinner]]="", "", IF(Table1[[#This Row],[AwayTeam]]=Table1[[#This Row],[ActualWinner]],Table1[[#This Row],[HomeTeam]],Table1[[#This Row],[AwayTeam]]))</f>
        <v/>
      </c>
      <c r="U198" s="64">
        <f>Table1[[#This Row],[ActualAwayScore]]-Table1[[#This Row],[PredictedAwayScore]]</f>
        <v>0</v>
      </c>
      <c r="V198" s="64">
        <f>Table1[[#This Row],[ActualHomeScore]]-Table1[[#This Row],[PredictedHomeScore]]</f>
        <v>0</v>
      </c>
      <c r="W198" s="64">
        <f>(0.8*IF(Table1[[#This Row],[CorrectWinnerPrediction]]=1, 1, 0))+(0.1*IF(Table1[[#This Row],[CorrectAwayScorePrediction]]=1, 1, 0))+(0.1*IF(Table1[[#This Row],[CorrectHomeScorePrediction]]=1, 1, 0))</f>
        <v>0</v>
      </c>
      <c r="X19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98" s="64">
        <f>SUMIF(Table1[GameDate], Table1[[#This Row],[GameDate]], Table1[AwayGameGoalDiff])</f>
        <v>0</v>
      </c>
      <c r="AA198" s="64">
        <f>SUMIF(Table1[GameDate], Table1[[#This Row],[GameDate]], Table1[HomeGameGoalDiff])</f>
        <v>0</v>
      </c>
      <c r="AB198" s="64">
        <f>IF(ISBLANK(Table1[[#This Row],[ActualResult]]), 0, 1)</f>
        <v>0</v>
      </c>
      <c r="AC198" s="64">
        <f>IF(ISBLANK(Table1[[#This Row],[ActualResult]]), 0, IF(Table1[[#This Row],[ActualWinner]]=Table1[[#This Row],[PredictedWinner]], 1, 0))</f>
        <v>0</v>
      </c>
      <c r="AD19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9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98" s="64">
        <f>IF(AND(Table1[[#This Row],[GameIsOver]]=1,Table1[[#This Row],[ActualAwayScore]]=0), 1,0)</f>
        <v>0</v>
      </c>
      <c r="AG198" s="64">
        <f>IF(AND(Table1[[#This Row],[GameIsOver]]=1,Table1[[#This Row],[ActualHomeScore]]=0), 1,0)</f>
        <v>0</v>
      </c>
      <c r="AH198" s="64">
        <f>IF(Table1[[#This Row],[GameIsOver]]=0,0,IF(Table1[[#This Row],[ActualWinner]]=Table1[[#This Row],[AwayTeam]], 1, 0))</f>
        <v>0</v>
      </c>
      <c r="AI198" s="64">
        <f>IF(Table1[[#This Row],[GameIsOver]]=0,0,IF(Table1[[#This Row],[ActualWinner]]=Table1[[#This Row],[HomeTeam]], 1, 0))</f>
        <v>0</v>
      </c>
      <c r="AJ198" s="64">
        <f>IF(INDEX(Standings!$A$2:$C$33,MATCH(Table1[[#This Row],[AwayTeam]],Standings!$A$2:$A$33,0),2)=INDEX(Standings!$A$2:$C$33,MATCH(Table1[[#This Row],[HomeTeam]],Standings!$A$2:$A$33,0),2),1,0)</f>
        <v>1</v>
      </c>
      <c r="AK198" s="64">
        <f>IF(INDEX(Standings!$A$2:$C$33,MATCH(Table1[[#This Row],[AwayTeam]],Standings!$A$2:$A$33,0),3)=INDEX(Standings!$A$2:$C$33,MATCH(Table1[[#This Row],[HomeTeam]],Standings!$A$2:$A$33,0),3),1,0)</f>
        <v>1</v>
      </c>
      <c r="AL198" s="64">
        <f>IF(Table1[[#This Row],[InterConf]]=1,IF(Table1[[#This Row],[InterDiv]]=0, 1, 0), 0)</f>
        <v>0</v>
      </c>
      <c r="AM198" s="64">
        <f>IF(INDEX(Standings!$A$2:$C$33,MATCH(Table1[[#This Row],[AwayTeam]],Standings!$A$2:$A$33,0),2)&lt;&gt;INDEX(Standings!$A$2:$C$33,MATCH(Table1[[#This Row],[HomeTeam]],Standings!$A$2:$A$33,0),2),1,0)</f>
        <v>0</v>
      </c>
      <c r="AN198" s="64" t="str">
        <f>INDEX(Table2[AWAY_RECORD], MATCH(Table1[[#This Row],[AwayTeam]],Table2[Team], 0), 0)</f>
        <v>0-0-1</v>
      </c>
      <c r="AO198" s="64" t="str">
        <f>INDEX(Records!$B$2:$AG$33, MATCH(Table1[[#This Row],[AwayTeam]],Records!$A$2:$A$33, 0), MATCH(Table1[[#This Row],[HomeTeam]],Records!$A$2:$A$33, 0))</f>
        <v>0-0-0</v>
      </c>
      <c r="AP198" s="64" t="str">
        <f>INDEX(Table2[HOME_RECORD], MATCH(Table1[[#This Row],[HomeTeam]],Table2[Team], 0), 0)</f>
        <v>0-0-0</v>
      </c>
      <c r="AQ198" s="64" t="str">
        <f>INDEX(Records!$B$2:$AG$33, MATCH(Table1[[#This Row],[HomeTeam]],Records!$A$2:$A$33, 0), MATCH(Table1[[#This Row],[AwayTeam]],Records!$A$2:$A$33, 0))</f>
        <v>0-0-0</v>
      </c>
    </row>
    <row r="199" spans="1:43" x14ac:dyDescent="0.25">
      <c r="A199" s="1"/>
      <c r="D199" t="s">
        <v>396</v>
      </c>
      <c r="E199" t="s">
        <v>166</v>
      </c>
      <c r="F199" t="s">
        <v>407</v>
      </c>
      <c r="G199" t="s">
        <v>38</v>
      </c>
      <c r="H199" t="s">
        <v>55</v>
      </c>
      <c r="L19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9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99" s="1"/>
      <c r="T199" s="64" t="str">
        <f>IF(Table1[[#This Row],[ActualWinner]]="", "", IF(Table1[[#This Row],[AwayTeam]]=Table1[[#This Row],[ActualWinner]],Table1[[#This Row],[HomeTeam]],Table1[[#This Row],[AwayTeam]]))</f>
        <v/>
      </c>
      <c r="U199" s="64">
        <f>Table1[[#This Row],[ActualAwayScore]]-Table1[[#This Row],[PredictedAwayScore]]</f>
        <v>0</v>
      </c>
      <c r="V199" s="64">
        <f>Table1[[#This Row],[ActualHomeScore]]-Table1[[#This Row],[PredictedHomeScore]]</f>
        <v>0</v>
      </c>
      <c r="W199" s="64">
        <f>(0.8*IF(Table1[[#This Row],[CorrectWinnerPrediction]]=1, 1, 0))+(0.1*IF(Table1[[#This Row],[CorrectAwayScorePrediction]]=1, 1, 0))+(0.1*IF(Table1[[#This Row],[CorrectHomeScorePrediction]]=1, 1, 0))</f>
        <v>0</v>
      </c>
      <c r="X19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99" s="64">
        <f>SUMIF(Table1[GameDate], Table1[[#This Row],[GameDate]], Table1[AwayGameGoalDiff])</f>
        <v>0</v>
      </c>
      <c r="AA199" s="64">
        <f>SUMIF(Table1[GameDate], Table1[[#This Row],[GameDate]], Table1[HomeGameGoalDiff])</f>
        <v>0</v>
      </c>
      <c r="AB199" s="64">
        <f>IF(ISBLANK(Table1[[#This Row],[ActualResult]]), 0, 1)</f>
        <v>0</v>
      </c>
      <c r="AC199" s="64">
        <f>IF(ISBLANK(Table1[[#This Row],[ActualResult]]), 0, IF(Table1[[#This Row],[ActualWinner]]=Table1[[#This Row],[PredictedWinner]], 1, 0))</f>
        <v>0</v>
      </c>
      <c r="AD19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9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99" s="64">
        <f>IF(AND(Table1[[#This Row],[GameIsOver]]=1,Table1[[#This Row],[ActualAwayScore]]=0), 1,0)</f>
        <v>0</v>
      </c>
      <c r="AG199" s="64">
        <f>IF(AND(Table1[[#This Row],[GameIsOver]]=1,Table1[[#This Row],[ActualHomeScore]]=0), 1,0)</f>
        <v>0</v>
      </c>
      <c r="AH199" s="64">
        <f>IF(Table1[[#This Row],[GameIsOver]]=0,0,IF(Table1[[#This Row],[ActualWinner]]=Table1[[#This Row],[AwayTeam]], 1, 0))</f>
        <v>0</v>
      </c>
      <c r="AI199" s="64">
        <f>IF(Table1[[#This Row],[GameIsOver]]=0,0,IF(Table1[[#This Row],[ActualWinner]]=Table1[[#This Row],[HomeTeam]], 1, 0))</f>
        <v>0</v>
      </c>
      <c r="AJ199" s="64">
        <f>IF(INDEX(Standings!$A$2:$C$33,MATCH(Table1[[#This Row],[AwayTeam]],Standings!$A$2:$A$33,0),2)=INDEX(Standings!$A$2:$C$33,MATCH(Table1[[#This Row],[HomeTeam]],Standings!$A$2:$A$33,0),2),1,0)</f>
        <v>0</v>
      </c>
      <c r="AK199" s="64">
        <f>IF(INDEX(Standings!$A$2:$C$33,MATCH(Table1[[#This Row],[AwayTeam]],Standings!$A$2:$A$33,0),3)=INDEX(Standings!$A$2:$C$33,MATCH(Table1[[#This Row],[HomeTeam]],Standings!$A$2:$A$33,0),3),1,0)</f>
        <v>0</v>
      </c>
      <c r="AL199" s="64">
        <f>IF(Table1[[#This Row],[InterConf]]=1,IF(Table1[[#This Row],[InterDiv]]=0, 1, 0), 0)</f>
        <v>0</v>
      </c>
      <c r="AM199" s="64">
        <f>IF(INDEX(Standings!$A$2:$C$33,MATCH(Table1[[#This Row],[AwayTeam]],Standings!$A$2:$A$33,0),2)&lt;&gt;INDEX(Standings!$A$2:$C$33,MATCH(Table1[[#This Row],[HomeTeam]],Standings!$A$2:$A$33,0),2),1,0)</f>
        <v>1</v>
      </c>
      <c r="AN199" s="64" t="str">
        <f>INDEX(Table2[AWAY_RECORD], MATCH(Table1[[#This Row],[AwayTeam]],Table2[Team], 0), 0)</f>
        <v>0-0-1</v>
      </c>
      <c r="AO199" s="64" t="str">
        <f>INDEX(Records!$B$2:$AG$33, MATCH(Table1[[#This Row],[AwayTeam]],Records!$A$2:$A$33, 0), MATCH(Table1[[#This Row],[HomeTeam]],Records!$A$2:$A$33, 0))</f>
        <v>0-0-0</v>
      </c>
      <c r="AP199" s="64" t="str">
        <f>INDEX(Table2[HOME_RECORD], MATCH(Table1[[#This Row],[HomeTeam]],Table2[Team], 0), 0)</f>
        <v>0-1-0</v>
      </c>
      <c r="AQ199" s="64" t="str">
        <f>INDEX(Records!$B$2:$AG$33, MATCH(Table1[[#This Row],[HomeTeam]],Records!$A$2:$A$33, 0), MATCH(Table1[[#This Row],[AwayTeam]],Records!$A$2:$A$33, 0))</f>
        <v>0-0-0</v>
      </c>
    </row>
    <row r="200" spans="1:43" x14ac:dyDescent="0.25">
      <c r="A200" s="1"/>
      <c r="D200" t="s">
        <v>408</v>
      </c>
      <c r="E200" t="s">
        <v>169</v>
      </c>
      <c r="F200" t="s">
        <v>409</v>
      </c>
      <c r="G200" t="s">
        <v>53</v>
      </c>
      <c r="H200" t="s">
        <v>59</v>
      </c>
      <c r="L20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0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00" s="1"/>
      <c r="T200" s="64" t="str">
        <f>IF(Table1[[#This Row],[ActualWinner]]="", "", IF(Table1[[#This Row],[AwayTeam]]=Table1[[#This Row],[ActualWinner]],Table1[[#This Row],[HomeTeam]],Table1[[#This Row],[AwayTeam]]))</f>
        <v/>
      </c>
      <c r="U200" s="64">
        <f>Table1[[#This Row],[ActualAwayScore]]-Table1[[#This Row],[PredictedAwayScore]]</f>
        <v>0</v>
      </c>
      <c r="V200" s="64">
        <f>Table1[[#This Row],[ActualHomeScore]]-Table1[[#This Row],[PredictedHomeScore]]</f>
        <v>0</v>
      </c>
      <c r="W200" s="64">
        <f>(0.8*IF(Table1[[#This Row],[CorrectWinnerPrediction]]=1, 1, 0))+(0.1*IF(Table1[[#This Row],[CorrectAwayScorePrediction]]=1, 1, 0))+(0.1*IF(Table1[[#This Row],[CorrectHomeScorePrediction]]=1, 1, 0))</f>
        <v>0</v>
      </c>
      <c r="X20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00" s="64">
        <f>SUMIF(Table1[GameDate], Table1[[#This Row],[GameDate]], Table1[AwayGameGoalDiff])</f>
        <v>0</v>
      </c>
      <c r="AA200" s="64">
        <f>SUMIF(Table1[GameDate], Table1[[#This Row],[GameDate]], Table1[HomeGameGoalDiff])</f>
        <v>0</v>
      </c>
      <c r="AB200" s="64">
        <f>IF(ISBLANK(Table1[[#This Row],[ActualResult]]), 0, 1)</f>
        <v>0</v>
      </c>
      <c r="AC200" s="64">
        <f>IF(ISBLANK(Table1[[#This Row],[ActualResult]]), 0, IF(Table1[[#This Row],[ActualWinner]]=Table1[[#This Row],[PredictedWinner]], 1, 0))</f>
        <v>0</v>
      </c>
      <c r="AD20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0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00" s="64">
        <f>IF(AND(Table1[[#This Row],[GameIsOver]]=1,Table1[[#This Row],[ActualAwayScore]]=0), 1,0)</f>
        <v>0</v>
      </c>
      <c r="AG200" s="64">
        <f>IF(AND(Table1[[#This Row],[GameIsOver]]=1,Table1[[#This Row],[ActualHomeScore]]=0), 1,0)</f>
        <v>0</v>
      </c>
      <c r="AH200" s="64">
        <f>IF(Table1[[#This Row],[GameIsOver]]=0,0,IF(Table1[[#This Row],[ActualWinner]]=Table1[[#This Row],[AwayTeam]], 1, 0))</f>
        <v>0</v>
      </c>
      <c r="AI200" s="64">
        <f>IF(Table1[[#This Row],[GameIsOver]]=0,0,IF(Table1[[#This Row],[ActualWinner]]=Table1[[#This Row],[HomeTeam]], 1, 0))</f>
        <v>0</v>
      </c>
      <c r="AJ200" s="64">
        <f>IF(INDEX(Standings!$A$2:$C$33,MATCH(Table1[[#This Row],[AwayTeam]],Standings!$A$2:$A$33,0),2)=INDEX(Standings!$A$2:$C$33,MATCH(Table1[[#This Row],[HomeTeam]],Standings!$A$2:$A$33,0),2),1,0)</f>
        <v>1</v>
      </c>
      <c r="AK200" s="64">
        <f>IF(INDEX(Standings!$A$2:$C$33,MATCH(Table1[[#This Row],[AwayTeam]],Standings!$A$2:$A$33,0),3)=INDEX(Standings!$A$2:$C$33,MATCH(Table1[[#This Row],[HomeTeam]],Standings!$A$2:$A$33,0),3),1,0)</f>
        <v>1</v>
      </c>
      <c r="AL200" s="64">
        <f>IF(Table1[[#This Row],[InterConf]]=1,IF(Table1[[#This Row],[InterDiv]]=0, 1, 0), 0)</f>
        <v>0</v>
      </c>
      <c r="AM200" s="64">
        <f>IF(INDEX(Standings!$A$2:$C$33,MATCH(Table1[[#This Row],[AwayTeam]],Standings!$A$2:$A$33,0),2)&lt;&gt;INDEX(Standings!$A$2:$C$33,MATCH(Table1[[#This Row],[HomeTeam]],Standings!$A$2:$A$33,0),2),1,0)</f>
        <v>0</v>
      </c>
      <c r="AN200" s="64" t="str">
        <f>INDEX(Table2[AWAY_RECORD], MATCH(Table1[[#This Row],[AwayTeam]],Table2[Team], 0), 0)</f>
        <v>0-1-0</v>
      </c>
      <c r="AO200" s="64" t="str">
        <f>INDEX(Records!$B$2:$AG$33, MATCH(Table1[[#This Row],[AwayTeam]],Records!$A$2:$A$33, 0), MATCH(Table1[[#This Row],[HomeTeam]],Records!$A$2:$A$33, 0))</f>
        <v>0-0-0</v>
      </c>
      <c r="AP200" s="64" t="str">
        <f>INDEX(Table2[HOME_RECORD], MATCH(Table1[[#This Row],[HomeTeam]],Table2[Team], 0), 0)</f>
        <v>0-0-0</v>
      </c>
      <c r="AQ200" s="64" t="str">
        <f>INDEX(Records!$B$2:$AG$33, MATCH(Table1[[#This Row],[HomeTeam]],Records!$A$2:$A$33, 0), MATCH(Table1[[#This Row],[AwayTeam]],Records!$A$2:$A$33, 0))</f>
        <v>0-0-0</v>
      </c>
    </row>
    <row r="201" spans="1:43" x14ac:dyDescent="0.25">
      <c r="A201" s="1"/>
      <c r="D201" t="s">
        <v>408</v>
      </c>
      <c r="E201" t="s">
        <v>289</v>
      </c>
      <c r="F201" t="s">
        <v>410</v>
      </c>
      <c r="G201" t="s">
        <v>39</v>
      </c>
      <c r="H201" t="s">
        <v>45</v>
      </c>
      <c r="L20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0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01" s="1"/>
      <c r="T201" s="64" t="str">
        <f>IF(Table1[[#This Row],[ActualWinner]]="", "", IF(Table1[[#This Row],[AwayTeam]]=Table1[[#This Row],[ActualWinner]],Table1[[#This Row],[HomeTeam]],Table1[[#This Row],[AwayTeam]]))</f>
        <v/>
      </c>
      <c r="U201" s="64">
        <f>Table1[[#This Row],[ActualAwayScore]]-Table1[[#This Row],[PredictedAwayScore]]</f>
        <v>0</v>
      </c>
      <c r="V201" s="64">
        <f>Table1[[#This Row],[ActualHomeScore]]-Table1[[#This Row],[PredictedHomeScore]]</f>
        <v>0</v>
      </c>
      <c r="W201" s="64">
        <f>(0.8*IF(Table1[[#This Row],[CorrectWinnerPrediction]]=1, 1, 0))+(0.1*IF(Table1[[#This Row],[CorrectAwayScorePrediction]]=1, 1, 0))+(0.1*IF(Table1[[#This Row],[CorrectHomeScorePrediction]]=1, 1, 0))</f>
        <v>0</v>
      </c>
      <c r="X20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01" s="64">
        <f>SUMIF(Table1[GameDate], Table1[[#This Row],[GameDate]], Table1[AwayGameGoalDiff])</f>
        <v>0</v>
      </c>
      <c r="AA201" s="64">
        <f>SUMIF(Table1[GameDate], Table1[[#This Row],[GameDate]], Table1[HomeGameGoalDiff])</f>
        <v>0</v>
      </c>
      <c r="AB201" s="64">
        <f>IF(ISBLANK(Table1[[#This Row],[ActualResult]]), 0, 1)</f>
        <v>0</v>
      </c>
      <c r="AC201" s="64">
        <f>IF(ISBLANK(Table1[[#This Row],[ActualResult]]), 0, IF(Table1[[#This Row],[ActualWinner]]=Table1[[#This Row],[PredictedWinner]], 1, 0))</f>
        <v>0</v>
      </c>
      <c r="AD20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0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01" s="64">
        <f>IF(AND(Table1[[#This Row],[GameIsOver]]=1,Table1[[#This Row],[ActualAwayScore]]=0), 1,0)</f>
        <v>0</v>
      </c>
      <c r="AG201" s="64">
        <f>IF(AND(Table1[[#This Row],[GameIsOver]]=1,Table1[[#This Row],[ActualHomeScore]]=0), 1,0)</f>
        <v>0</v>
      </c>
      <c r="AH201" s="64">
        <f>IF(Table1[[#This Row],[GameIsOver]]=0,0,IF(Table1[[#This Row],[ActualWinner]]=Table1[[#This Row],[AwayTeam]], 1, 0))</f>
        <v>0</v>
      </c>
      <c r="AI201" s="64">
        <f>IF(Table1[[#This Row],[GameIsOver]]=0,0,IF(Table1[[#This Row],[ActualWinner]]=Table1[[#This Row],[HomeTeam]], 1, 0))</f>
        <v>0</v>
      </c>
      <c r="AJ201" s="64">
        <f>IF(INDEX(Standings!$A$2:$C$33,MATCH(Table1[[#This Row],[AwayTeam]],Standings!$A$2:$A$33,0),2)=INDEX(Standings!$A$2:$C$33,MATCH(Table1[[#This Row],[HomeTeam]],Standings!$A$2:$A$33,0),2),1,0)</f>
        <v>1</v>
      </c>
      <c r="AK201" s="64">
        <f>IF(INDEX(Standings!$A$2:$C$33,MATCH(Table1[[#This Row],[AwayTeam]],Standings!$A$2:$A$33,0),3)=INDEX(Standings!$A$2:$C$33,MATCH(Table1[[#This Row],[HomeTeam]],Standings!$A$2:$A$33,0),3),1,0)</f>
        <v>1</v>
      </c>
      <c r="AL201" s="64">
        <f>IF(Table1[[#This Row],[InterConf]]=1,IF(Table1[[#This Row],[InterDiv]]=0, 1, 0), 0)</f>
        <v>0</v>
      </c>
      <c r="AM201" s="64">
        <f>IF(INDEX(Standings!$A$2:$C$33,MATCH(Table1[[#This Row],[AwayTeam]],Standings!$A$2:$A$33,0),2)&lt;&gt;INDEX(Standings!$A$2:$C$33,MATCH(Table1[[#This Row],[HomeTeam]],Standings!$A$2:$A$33,0),2),1,0)</f>
        <v>0</v>
      </c>
      <c r="AN201" s="64" t="str">
        <f>INDEX(Table2[AWAY_RECORD], MATCH(Table1[[#This Row],[AwayTeam]],Table2[Team], 0), 0)</f>
        <v>0-0-0</v>
      </c>
      <c r="AO201" s="64" t="str">
        <f>INDEX(Records!$B$2:$AG$33, MATCH(Table1[[#This Row],[AwayTeam]],Records!$A$2:$A$33, 0), MATCH(Table1[[#This Row],[HomeTeam]],Records!$A$2:$A$33, 0))</f>
        <v>0-0-0</v>
      </c>
      <c r="AP201" s="64" t="str">
        <f>INDEX(Table2[HOME_RECORD], MATCH(Table1[[#This Row],[HomeTeam]],Table2[Team], 0), 0)</f>
        <v>1-0-0</v>
      </c>
      <c r="AQ201" s="64" t="str">
        <f>INDEX(Records!$B$2:$AG$33, MATCH(Table1[[#This Row],[HomeTeam]],Records!$A$2:$A$33, 0), MATCH(Table1[[#This Row],[AwayTeam]],Records!$A$2:$A$33, 0))</f>
        <v>0-0-0</v>
      </c>
    </row>
    <row r="202" spans="1:43" x14ac:dyDescent="0.25">
      <c r="A202" s="1"/>
      <c r="D202" t="s">
        <v>408</v>
      </c>
      <c r="E202" t="s">
        <v>178</v>
      </c>
      <c r="F202" t="s">
        <v>411</v>
      </c>
      <c r="G202" t="s">
        <v>49</v>
      </c>
      <c r="H202" t="s">
        <v>41</v>
      </c>
      <c r="L20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0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02" s="1"/>
      <c r="T202" s="64" t="str">
        <f>IF(Table1[[#This Row],[ActualWinner]]="", "", IF(Table1[[#This Row],[AwayTeam]]=Table1[[#This Row],[ActualWinner]],Table1[[#This Row],[HomeTeam]],Table1[[#This Row],[AwayTeam]]))</f>
        <v/>
      </c>
      <c r="U202" s="64">
        <f>Table1[[#This Row],[ActualAwayScore]]-Table1[[#This Row],[PredictedAwayScore]]</f>
        <v>0</v>
      </c>
      <c r="V202" s="64">
        <f>Table1[[#This Row],[ActualHomeScore]]-Table1[[#This Row],[PredictedHomeScore]]</f>
        <v>0</v>
      </c>
      <c r="W202" s="64">
        <f>(0.8*IF(Table1[[#This Row],[CorrectWinnerPrediction]]=1, 1, 0))+(0.1*IF(Table1[[#This Row],[CorrectAwayScorePrediction]]=1, 1, 0))+(0.1*IF(Table1[[#This Row],[CorrectHomeScorePrediction]]=1, 1, 0))</f>
        <v>0</v>
      </c>
      <c r="X20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02" s="64">
        <f>SUMIF(Table1[GameDate], Table1[[#This Row],[GameDate]], Table1[AwayGameGoalDiff])</f>
        <v>0</v>
      </c>
      <c r="AA202" s="64">
        <f>SUMIF(Table1[GameDate], Table1[[#This Row],[GameDate]], Table1[HomeGameGoalDiff])</f>
        <v>0</v>
      </c>
      <c r="AB202" s="64">
        <f>IF(ISBLANK(Table1[[#This Row],[ActualResult]]), 0, 1)</f>
        <v>0</v>
      </c>
      <c r="AC202" s="64">
        <f>IF(ISBLANK(Table1[[#This Row],[ActualResult]]), 0, IF(Table1[[#This Row],[ActualWinner]]=Table1[[#This Row],[PredictedWinner]], 1, 0))</f>
        <v>0</v>
      </c>
      <c r="AD20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0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02" s="64">
        <f>IF(AND(Table1[[#This Row],[GameIsOver]]=1,Table1[[#This Row],[ActualAwayScore]]=0), 1,0)</f>
        <v>0</v>
      </c>
      <c r="AG202" s="64">
        <f>IF(AND(Table1[[#This Row],[GameIsOver]]=1,Table1[[#This Row],[ActualHomeScore]]=0), 1,0)</f>
        <v>0</v>
      </c>
      <c r="AH202" s="64">
        <f>IF(Table1[[#This Row],[GameIsOver]]=0,0,IF(Table1[[#This Row],[ActualWinner]]=Table1[[#This Row],[AwayTeam]], 1, 0))</f>
        <v>0</v>
      </c>
      <c r="AI202" s="64">
        <f>IF(Table1[[#This Row],[GameIsOver]]=0,0,IF(Table1[[#This Row],[ActualWinner]]=Table1[[#This Row],[HomeTeam]], 1, 0))</f>
        <v>0</v>
      </c>
      <c r="AJ202" s="64">
        <f>IF(INDEX(Standings!$A$2:$C$33,MATCH(Table1[[#This Row],[AwayTeam]],Standings!$A$2:$A$33,0),2)=INDEX(Standings!$A$2:$C$33,MATCH(Table1[[#This Row],[HomeTeam]],Standings!$A$2:$A$33,0),2),1,0)</f>
        <v>0</v>
      </c>
      <c r="AK202" s="64">
        <f>IF(INDEX(Standings!$A$2:$C$33,MATCH(Table1[[#This Row],[AwayTeam]],Standings!$A$2:$A$33,0),3)=INDEX(Standings!$A$2:$C$33,MATCH(Table1[[#This Row],[HomeTeam]],Standings!$A$2:$A$33,0),3),1,0)</f>
        <v>0</v>
      </c>
      <c r="AL202" s="64">
        <f>IF(Table1[[#This Row],[InterConf]]=1,IF(Table1[[#This Row],[InterDiv]]=0, 1, 0), 0)</f>
        <v>0</v>
      </c>
      <c r="AM202" s="64">
        <f>IF(INDEX(Standings!$A$2:$C$33,MATCH(Table1[[#This Row],[AwayTeam]],Standings!$A$2:$A$33,0),2)&lt;&gt;INDEX(Standings!$A$2:$C$33,MATCH(Table1[[#This Row],[HomeTeam]],Standings!$A$2:$A$33,0),2),1,0)</f>
        <v>1</v>
      </c>
      <c r="AN202" s="64" t="str">
        <f>INDEX(Table2[AWAY_RECORD], MATCH(Table1[[#This Row],[AwayTeam]],Table2[Team], 0), 0)</f>
        <v>0-0-0</v>
      </c>
      <c r="AO202" s="64" t="str">
        <f>INDEX(Records!$B$2:$AG$33, MATCH(Table1[[#This Row],[AwayTeam]],Records!$A$2:$A$33, 0), MATCH(Table1[[#This Row],[HomeTeam]],Records!$A$2:$A$33, 0))</f>
        <v>0-0-0</v>
      </c>
      <c r="AP202" s="64" t="str">
        <f>INDEX(Table2[HOME_RECORD], MATCH(Table1[[#This Row],[HomeTeam]],Table2[Team], 0), 0)</f>
        <v>0-0-1</v>
      </c>
      <c r="AQ202" s="64" t="str">
        <f>INDEX(Records!$B$2:$AG$33, MATCH(Table1[[#This Row],[HomeTeam]],Records!$A$2:$A$33, 0), MATCH(Table1[[#This Row],[AwayTeam]],Records!$A$2:$A$33, 0))</f>
        <v>0-0-0</v>
      </c>
    </row>
    <row r="203" spans="1:43" x14ac:dyDescent="0.25">
      <c r="A203" s="1"/>
      <c r="D203" t="s">
        <v>408</v>
      </c>
      <c r="E203" t="s">
        <v>164</v>
      </c>
      <c r="F203" t="s">
        <v>412</v>
      </c>
      <c r="G203" t="s">
        <v>24</v>
      </c>
      <c r="H203" t="s">
        <v>56</v>
      </c>
      <c r="L20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0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03" s="1"/>
      <c r="T203" s="64" t="str">
        <f>IF(Table1[[#This Row],[ActualWinner]]="", "", IF(Table1[[#This Row],[AwayTeam]]=Table1[[#This Row],[ActualWinner]],Table1[[#This Row],[HomeTeam]],Table1[[#This Row],[AwayTeam]]))</f>
        <v/>
      </c>
      <c r="U203" s="64">
        <f>Table1[[#This Row],[ActualAwayScore]]-Table1[[#This Row],[PredictedAwayScore]]</f>
        <v>0</v>
      </c>
      <c r="V203" s="64">
        <f>Table1[[#This Row],[ActualHomeScore]]-Table1[[#This Row],[PredictedHomeScore]]</f>
        <v>0</v>
      </c>
      <c r="W203" s="64">
        <f>(0.8*IF(Table1[[#This Row],[CorrectWinnerPrediction]]=1, 1, 0))+(0.1*IF(Table1[[#This Row],[CorrectAwayScorePrediction]]=1, 1, 0))+(0.1*IF(Table1[[#This Row],[CorrectHomeScorePrediction]]=1, 1, 0))</f>
        <v>0</v>
      </c>
      <c r="X20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03" s="64">
        <f>SUMIF(Table1[GameDate], Table1[[#This Row],[GameDate]], Table1[AwayGameGoalDiff])</f>
        <v>0</v>
      </c>
      <c r="AA203" s="64">
        <f>SUMIF(Table1[GameDate], Table1[[#This Row],[GameDate]], Table1[HomeGameGoalDiff])</f>
        <v>0</v>
      </c>
      <c r="AB203" s="64">
        <f>IF(ISBLANK(Table1[[#This Row],[ActualResult]]), 0, 1)</f>
        <v>0</v>
      </c>
      <c r="AC203" s="64">
        <f>IF(ISBLANK(Table1[[#This Row],[ActualResult]]), 0, IF(Table1[[#This Row],[ActualWinner]]=Table1[[#This Row],[PredictedWinner]], 1, 0))</f>
        <v>0</v>
      </c>
      <c r="AD20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0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03" s="64">
        <f>IF(AND(Table1[[#This Row],[GameIsOver]]=1,Table1[[#This Row],[ActualAwayScore]]=0), 1,0)</f>
        <v>0</v>
      </c>
      <c r="AG203" s="64">
        <f>IF(AND(Table1[[#This Row],[GameIsOver]]=1,Table1[[#This Row],[ActualHomeScore]]=0), 1,0)</f>
        <v>0</v>
      </c>
      <c r="AH203" s="64">
        <f>IF(Table1[[#This Row],[GameIsOver]]=0,0,IF(Table1[[#This Row],[ActualWinner]]=Table1[[#This Row],[AwayTeam]], 1, 0))</f>
        <v>0</v>
      </c>
      <c r="AI203" s="64">
        <f>IF(Table1[[#This Row],[GameIsOver]]=0,0,IF(Table1[[#This Row],[ActualWinner]]=Table1[[#This Row],[HomeTeam]], 1, 0))</f>
        <v>0</v>
      </c>
      <c r="AJ203" s="64">
        <f>IF(INDEX(Standings!$A$2:$C$33,MATCH(Table1[[#This Row],[AwayTeam]],Standings!$A$2:$A$33,0),2)=INDEX(Standings!$A$2:$C$33,MATCH(Table1[[#This Row],[HomeTeam]],Standings!$A$2:$A$33,0),2),1,0)</f>
        <v>0</v>
      </c>
      <c r="AK203" s="64">
        <f>IF(INDEX(Standings!$A$2:$C$33,MATCH(Table1[[#This Row],[AwayTeam]],Standings!$A$2:$A$33,0),3)=INDEX(Standings!$A$2:$C$33,MATCH(Table1[[#This Row],[HomeTeam]],Standings!$A$2:$A$33,0),3),1,0)</f>
        <v>0</v>
      </c>
      <c r="AL203" s="64">
        <f>IF(Table1[[#This Row],[InterConf]]=1,IF(Table1[[#This Row],[InterDiv]]=0, 1, 0), 0)</f>
        <v>0</v>
      </c>
      <c r="AM203" s="64">
        <f>IF(INDEX(Standings!$A$2:$C$33,MATCH(Table1[[#This Row],[AwayTeam]],Standings!$A$2:$A$33,0),2)&lt;&gt;INDEX(Standings!$A$2:$C$33,MATCH(Table1[[#This Row],[HomeTeam]],Standings!$A$2:$A$33,0),2),1,0)</f>
        <v>1</v>
      </c>
      <c r="AN203" s="64" t="str">
        <f>INDEX(Table2[AWAY_RECORD], MATCH(Table1[[#This Row],[AwayTeam]],Table2[Team], 0), 0)</f>
        <v>0-0-0</v>
      </c>
      <c r="AO203" s="64" t="str">
        <f>INDEX(Records!$B$2:$AG$33, MATCH(Table1[[#This Row],[AwayTeam]],Records!$A$2:$A$33, 0), MATCH(Table1[[#This Row],[HomeTeam]],Records!$A$2:$A$33, 0))</f>
        <v>0-0-0</v>
      </c>
      <c r="AP203" s="64" t="str">
        <f>INDEX(Table2[HOME_RECORD], MATCH(Table1[[#This Row],[HomeTeam]],Table2[Team], 0), 0)</f>
        <v>0-0-0</v>
      </c>
      <c r="AQ203" s="64" t="str">
        <f>INDEX(Records!$B$2:$AG$33, MATCH(Table1[[#This Row],[HomeTeam]],Records!$A$2:$A$33, 0), MATCH(Table1[[#This Row],[AwayTeam]],Records!$A$2:$A$33, 0))</f>
        <v>0-0-0</v>
      </c>
    </row>
    <row r="204" spans="1:43" x14ac:dyDescent="0.25">
      <c r="A204" s="1"/>
      <c r="D204" t="s">
        <v>413</v>
      </c>
      <c r="E204" t="s">
        <v>160</v>
      </c>
      <c r="F204" t="s">
        <v>414</v>
      </c>
      <c r="G204" t="s">
        <v>16</v>
      </c>
      <c r="H204" t="s">
        <v>44</v>
      </c>
      <c r="L20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0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04" s="1"/>
      <c r="T204" s="64" t="str">
        <f>IF(Table1[[#This Row],[ActualWinner]]="", "", IF(Table1[[#This Row],[AwayTeam]]=Table1[[#This Row],[ActualWinner]],Table1[[#This Row],[HomeTeam]],Table1[[#This Row],[AwayTeam]]))</f>
        <v/>
      </c>
      <c r="U204" s="64">
        <f>Table1[[#This Row],[ActualAwayScore]]-Table1[[#This Row],[PredictedAwayScore]]</f>
        <v>0</v>
      </c>
      <c r="V204" s="64">
        <f>Table1[[#This Row],[ActualHomeScore]]-Table1[[#This Row],[PredictedHomeScore]]</f>
        <v>0</v>
      </c>
      <c r="W204" s="64">
        <f>(0.8*IF(Table1[[#This Row],[CorrectWinnerPrediction]]=1, 1, 0))+(0.1*IF(Table1[[#This Row],[CorrectAwayScorePrediction]]=1, 1, 0))+(0.1*IF(Table1[[#This Row],[CorrectHomeScorePrediction]]=1, 1, 0))</f>
        <v>0</v>
      </c>
      <c r="X20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04" s="64">
        <f>SUMIF(Table1[GameDate], Table1[[#This Row],[GameDate]], Table1[AwayGameGoalDiff])</f>
        <v>0</v>
      </c>
      <c r="AA204" s="64">
        <f>SUMIF(Table1[GameDate], Table1[[#This Row],[GameDate]], Table1[HomeGameGoalDiff])</f>
        <v>0</v>
      </c>
      <c r="AB204" s="64">
        <f>IF(ISBLANK(Table1[[#This Row],[ActualResult]]), 0, 1)</f>
        <v>0</v>
      </c>
      <c r="AC204" s="64">
        <f>IF(ISBLANK(Table1[[#This Row],[ActualResult]]), 0, IF(Table1[[#This Row],[ActualWinner]]=Table1[[#This Row],[PredictedWinner]], 1, 0))</f>
        <v>0</v>
      </c>
      <c r="AD20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0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04" s="64">
        <f>IF(AND(Table1[[#This Row],[GameIsOver]]=1,Table1[[#This Row],[ActualAwayScore]]=0), 1,0)</f>
        <v>0</v>
      </c>
      <c r="AG204" s="64">
        <f>IF(AND(Table1[[#This Row],[GameIsOver]]=1,Table1[[#This Row],[ActualHomeScore]]=0), 1,0)</f>
        <v>0</v>
      </c>
      <c r="AH204" s="64">
        <f>IF(Table1[[#This Row],[GameIsOver]]=0,0,IF(Table1[[#This Row],[ActualWinner]]=Table1[[#This Row],[AwayTeam]], 1, 0))</f>
        <v>0</v>
      </c>
      <c r="AI204" s="64">
        <f>IF(Table1[[#This Row],[GameIsOver]]=0,0,IF(Table1[[#This Row],[ActualWinner]]=Table1[[#This Row],[HomeTeam]], 1, 0))</f>
        <v>0</v>
      </c>
      <c r="AJ204" s="64">
        <f>IF(INDEX(Standings!$A$2:$C$33,MATCH(Table1[[#This Row],[AwayTeam]],Standings!$A$2:$A$33,0),2)=INDEX(Standings!$A$2:$C$33,MATCH(Table1[[#This Row],[HomeTeam]],Standings!$A$2:$A$33,0),2),1,0)</f>
        <v>0</v>
      </c>
      <c r="AK204" s="64">
        <f>IF(INDEX(Standings!$A$2:$C$33,MATCH(Table1[[#This Row],[AwayTeam]],Standings!$A$2:$A$33,0),3)=INDEX(Standings!$A$2:$C$33,MATCH(Table1[[#This Row],[HomeTeam]],Standings!$A$2:$A$33,0),3),1,0)</f>
        <v>0</v>
      </c>
      <c r="AL204" s="64">
        <f>IF(Table1[[#This Row],[InterConf]]=1,IF(Table1[[#This Row],[InterDiv]]=0, 1, 0), 0)</f>
        <v>0</v>
      </c>
      <c r="AM204" s="64">
        <f>IF(INDEX(Standings!$A$2:$C$33,MATCH(Table1[[#This Row],[AwayTeam]],Standings!$A$2:$A$33,0),2)&lt;&gt;INDEX(Standings!$A$2:$C$33,MATCH(Table1[[#This Row],[HomeTeam]],Standings!$A$2:$A$33,0),2),1,0)</f>
        <v>1</v>
      </c>
      <c r="AN204" s="64" t="str">
        <f>INDEX(Table2[AWAY_RECORD], MATCH(Table1[[#This Row],[AwayTeam]],Table2[Team], 0), 0)</f>
        <v>1-0-1</v>
      </c>
      <c r="AO204" s="64" t="str">
        <f>INDEX(Records!$B$2:$AG$33, MATCH(Table1[[#This Row],[AwayTeam]],Records!$A$2:$A$33, 0), MATCH(Table1[[#This Row],[HomeTeam]],Records!$A$2:$A$33, 0))</f>
        <v>0-0-0</v>
      </c>
      <c r="AP204" s="64" t="str">
        <f>INDEX(Table2[HOME_RECORD], MATCH(Table1[[#This Row],[HomeTeam]],Table2[Team], 0), 0)</f>
        <v>0-0-1</v>
      </c>
      <c r="AQ204" s="64" t="str">
        <f>INDEX(Records!$B$2:$AG$33, MATCH(Table1[[#This Row],[HomeTeam]],Records!$A$2:$A$33, 0), MATCH(Table1[[#This Row],[AwayTeam]],Records!$A$2:$A$33, 0))</f>
        <v>0-0-0</v>
      </c>
    </row>
    <row r="205" spans="1:43" x14ac:dyDescent="0.25">
      <c r="A205" s="1"/>
      <c r="D205" t="s">
        <v>413</v>
      </c>
      <c r="E205" t="s">
        <v>160</v>
      </c>
      <c r="F205" t="s">
        <v>415</v>
      </c>
      <c r="G205" t="s">
        <v>60</v>
      </c>
      <c r="H205" t="s">
        <v>57</v>
      </c>
      <c r="L20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0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05" s="1"/>
      <c r="T205" s="64" t="str">
        <f>IF(Table1[[#This Row],[ActualWinner]]="", "", IF(Table1[[#This Row],[AwayTeam]]=Table1[[#This Row],[ActualWinner]],Table1[[#This Row],[HomeTeam]],Table1[[#This Row],[AwayTeam]]))</f>
        <v/>
      </c>
      <c r="U205" s="64">
        <f>Table1[[#This Row],[ActualAwayScore]]-Table1[[#This Row],[PredictedAwayScore]]</f>
        <v>0</v>
      </c>
      <c r="V205" s="64">
        <f>Table1[[#This Row],[ActualHomeScore]]-Table1[[#This Row],[PredictedHomeScore]]</f>
        <v>0</v>
      </c>
      <c r="W205" s="64">
        <f>(0.8*IF(Table1[[#This Row],[CorrectWinnerPrediction]]=1, 1, 0))+(0.1*IF(Table1[[#This Row],[CorrectAwayScorePrediction]]=1, 1, 0))+(0.1*IF(Table1[[#This Row],[CorrectHomeScorePrediction]]=1, 1, 0))</f>
        <v>0</v>
      </c>
      <c r="X20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05" s="64">
        <f>SUMIF(Table1[GameDate], Table1[[#This Row],[GameDate]], Table1[AwayGameGoalDiff])</f>
        <v>0</v>
      </c>
      <c r="AA205" s="64">
        <f>SUMIF(Table1[GameDate], Table1[[#This Row],[GameDate]], Table1[HomeGameGoalDiff])</f>
        <v>0</v>
      </c>
      <c r="AB205" s="64">
        <f>IF(ISBLANK(Table1[[#This Row],[ActualResult]]), 0, 1)</f>
        <v>0</v>
      </c>
      <c r="AC205" s="64">
        <f>IF(ISBLANK(Table1[[#This Row],[ActualResult]]), 0, IF(Table1[[#This Row],[ActualWinner]]=Table1[[#This Row],[PredictedWinner]], 1, 0))</f>
        <v>0</v>
      </c>
      <c r="AD20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0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05" s="64">
        <f>IF(AND(Table1[[#This Row],[GameIsOver]]=1,Table1[[#This Row],[ActualAwayScore]]=0), 1,0)</f>
        <v>0</v>
      </c>
      <c r="AG205" s="64">
        <f>IF(AND(Table1[[#This Row],[GameIsOver]]=1,Table1[[#This Row],[ActualHomeScore]]=0), 1,0)</f>
        <v>0</v>
      </c>
      <c r="AH205" s="64">
        <f>IF(Table1[[#This Row],[GameIsOver]]=0,0,IF(Table1[[#This Row],[ActualWinner]]=Table1[[#This Row],[AwayTeam]], 1, 0))</f>
        <v>0</v>
      </c>
      <c r="AI205" s="64">
        <f>IF(Table1[[#This Row],[GameIsOver]]=0,0,IF(Table1[[#This Row],[ActualWinner]]=Table1[[#This Row],[HomeTeam]], 1, 0))</f>
        <v>0</v>
      </c>
      <c r="AJ205" s="64">
        <f>IF(INDEX(Standings!$A$2:$C$33,MATCH(Table1[[#This Row],[AwayTeam]],Standings!$A$2:$A$33,0),2)=INDEX(Standings!$A$2:$C$33,MATCH(Table1[[#This Row],[HomeTeam]],Standings!$A$2:$A$33,0),2),1,0)</f>
        <v>0</v>
      </c>
      <c r="AK205" s="64">
        <f>IF(INDEX(Standings!$A$2:$C$33,MATCH(Table1[[#This Row],[AwayTeam]],Standings!$A$2:$A$33,0),3)=INDEX(Standings!$A$2:$C$33,MATCH(Table1[[#This Row],[HomeTeam]],Standings!$A$2:$A$33,0),3),1,0)</f>
        <v>0</v>
      </c>
      <c r="AL205" s="64">
        <f>IF(Table1[[#This Row],[InterConf]]=1,IF(Table1[[#This Row],[InterDiv]]=0, 1, 0), 0)</f>
        <v>0</v>
      </c>
      <c r="AM205" s="64">
        <f>IF(INDEX(Standings!$A$2:$C$33,MATCH(Table1[[#This Row],[AwayTeam]],Standings!$A$2:$A$33,0),2)&lt;&gt;INDEX(Standings!$A$2:$C$33,MATCH(Table1[[#This Row],[HomeTeam]],Standings!$A$2:$A$33,0),2),1,0)</f>
        <v>1</v>
      </c>
      <c r="AN205" s="64" t="str">
        <f>INDEX(Table2[AWAY_RECORD], MATCH(Table1[[#This Row],[AwayTeam]],Table2[Team], 0), 0)</f>
        <v>0-0-0</v>
      </c>
      <c r="AO205" s="64" t="str">
        <f>INDEX(Records!$B$2:$AG$33, MATCH(Table1[[#This Row],[AwayTeam]],Records!$A$2:$A$33, 0), MATCH(Table1[[#This Row],[HomeTeam]],Records!$A$2:$A$33, 0))</f>
        <v>0-0-0</v>
      </c>
      <c r="AP205" s="64" t="str">
        <f>INDEX(Table2[HOME_RECORD], MATCH(Table1[[#This Row],[HomeTeam]],Table2[Team], 0), 0)</f>
        <v>0-0-0</v>
      </c>
      <c r="AQ205" s="64" t="str">
        <f>INDEX(Records!$B$2:$AG$33, MATCH(Table1[[#This Row],[HomeTeam]],Records!$A$2:$A$33, 0), MATCH(Table1[[#This Row],[AwayTeam]],Records!$A$2:$A$33, 0))</f>
        <v>0-0-0</v>
      </c>
    </row>
    <row r="206" spans="1:43" x14ac:dyDescent="0.25">
      <c r="A206" s="1"/>
      <c r="D206" t="s">
        <v>413</v>
      </c>
      <c r="E206" t="s">
        <v>160</v>
      </c>
      <c r="F206" t="s">
        <v>416</v>
      </c>
      <c r="G206" t="s">
        <v>58</v>
      </c>
      <c r="H206" t="s">
        <v>54</v>
      </c>
      <c r="L20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0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06" s="1"/>
      <c r="T206" s="64" t="str">
        <f>IF(Table1[[#This Row],[ActualWinner]]="", "", IF(Table1[[#This Row],[AwayTeam]]=Table1[[#This Row],[ActualWinner]],Table1[[#This Row],[HomeTeam]],Table1[[#This Row],[AwayTeam]]))</f>
        <v/>
      </c>
      <c r="U206" s="64">
        <f>Table1[[#This Row],[ActualAwayScore]]-Table1[[#This Row],[PredictedAwayScore]]</f>
        <v>0</v>
      </c>
      <c r="V206" s="64">
        <f>Table1[[#This Row],[ActualHomeScore]]-Table1[[#This Row],[PredictedHomeScore]]</f>
        <v>0</v>
      </c>
      <c r="W206" s="64">
        <f>(0.8*IF(Table1[[#This Row],[CorrectWinnerPrediction]]=1, 1, 0))+(0.1*IF(Table1[[#This Row],[CorrectAwayScorePrediction]]=1, 1, 0))+(0.1*IF(Table1[[#This Row],[CorrectHomeScorePrediction]]=1, 1, 0))</f>
        <v>0</v>
      </c>
      <c r="X20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06" s="64">
        <f>SUMIF(Table1[GameDate], Table1[[#This Row],[GameDate]], Table1[AwayGameGoalDiff])</f>
        <v>0</v>
      </c>
      <c r="AA206" s="64">
        <f>SUMIF(Table1[GameDate], Table1[[#This Row],[GameDate]], Table1[HomeGameGoalDiff])</f>
        <v>0</v>
      </c>
      <c r="AB206" s="64">
        <f>IF(ISBLANK(Table1[[#This Row],[ActualResult]]), 0, 1)</f>
        <v>0</v>
      </c>
      <c r="AC206" s="64">
        <f>IF(ISBLANK(Table1[[#This Row],[ActualResult]]), 0, IF(Table1[[#This Row],[ActualWinner]]=Table1[[#This Row],[PredictedWinner]], 1, 0))</f>
        <v>0</v>
      </c>
      <c r="AD20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0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06" s="64">
        <f>IF(AND(Table1[[#This Row],[GameIsOver]]=1,Table1[[#This Row],[ActualAwayScore]]=0), 1,0)</f>
        <v>0</v>
      </c>
      <c r="AG206" s="64">
        <f>IF(AND(Table1[[#This Row],[GameIsOver]]=1,Table1[[#This Row],[ActualHomeScore]]=0), 1,0)</f>
        <v>0</v>
      </c>
      <c r="AH206" s="64">
        <f>IF(Table1[[#This Row],[GameIsOver]]=0,0,IF(Table1[[#This Row],[ActualWinner]]=Table1[[#This Row],[AwayTeam]], 1, 0))</f>
        <v>0</v>
      </c>
      <c r="AI206" s="64">
        <f>IF(Table1[[#This Row],[GameIsOver]]=0,0,IF(Table1[[#This Row],[ActualWinner]]=Table1[[#This Row],[HomeTeam]], 1, 0))</f>
        <v>0</v>
      </c>
      <c r="AJ206" s="64">
        <f>IF(INDEX(Standings!$A$2:$C$33,MATCH(Table1[[#This Row],[AwayTeam]],Standings!$A$2:$A$33,0),2)=INDEX(Standings!$A$2:$C$33,MATCH(Table1[[#This Row],[HomeTeam]],Standings!$A$2:$A$33,0),2),1,0)</f>
        <v>0</v>
      </c>
      <c r="AK206" s="64">
        <f>IF(INDEX(Standings!$A$2:$C$33,MATCH(Table1[[#This Row],[AwayTeam]],Standings!$A$2:$A$33,0),3)=INDEX(Standings!$A$2:$C$33,MATCH(Table1[[#This Row],[HomeTeam]],Standings!$A$2:$A$33,0),3),1,0)</f>
        <v>0</v>
      </c>
      <c r="AL206" s="64">
        <f>IF(Table1[[#This Row],[InterConf]]=1,IF(Table1[[#This Row],[InterDiv]]=0, 1, 0), 0)</f>
        <v>0</v>
      </c>
      <c r="AM206" s="64">
        <f>IF(INDEX(Standings!$A$2:$C$33,MATCH(Table1[[#This Row],[AwayTeam]],Standings!$A$2:$A$33,0),2)&lt;&gt;INDEX(Standings!$A$2:$C$33,MATCH(Table1[[#This Row],[HomeTeam]],Standings!$A$2:$A$33,0),2),1,0)</f>
        <v>1</v>
      </c>
      <c r="AN206" s="64" t="str">
        <f>INDEX(Table2[AWAY_RECORD], MATCH(Table1[[#This Row],[AwayTeam]],Table2[Team], 0), 0)</f>
        <v>0-0-0</v>
      </c>
      <c r="AO206" s="64" t="str">
        <f>INDEX(Records!$B$2:$AG$33, MATCH(Table1[[#This Row],[AwayTeam]],Records!$A$2:$A$33, 0), MATCH(Table1[[#This Row],[HomeTeam]],Records!$A$2:$A$33, 0))</f>
        <v>0-0-0</v>
      </c>
      <c r="AP206" s="64" t="str">
        <f>INDEX(Table2[HOME_RECORD], MATCH(Table1[[#This Row],[HomeTeam]],Table2[Team], 0), 0)</f>
        <v>0-0-0</v>
      </c>
      <c r="AQ206" s="64" t="str">
        <f>INDEX(Records!$B$2:$AG$33, MATCH(Table1[[#This Row],[HomeTeam]],Records!$A$2:$A$33, 0), MATCH(Table1[[#This Row],[AwayTeam]],Records!$A$2:$A$33, 0))</f>
        <v>0-0-0</v>
      </c>
    </row>
    <row r="207" spans="1:43" x14ac:dyDescent="0.25">
      <c r="A207" s="1"/>
      <c r="D207" t="s">
        <v>413</v>
      </c>
      <c r="E207" t="s">
        <v>160</v>
      </c>
      <c r="F207" t="s">
        <v>417</v>
      </c>
      <c r="G207" t="s">
        <v>42</v>
      </c>
      <c r="H207" t="s">
        <v>40</v>
      </c>
      <c r="L20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0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07" s="1"/>
      <c r="T207" s="64" t="str">
        <f>IF(Table1[[#This Row],[ActualWinner]]="", "", IF(Table1[[#This Row],[AwayTeam]]=Table1[[#This Row],[ActualWinner]],Table1[[#This Row],[HomeTeam]],Table1[[#This Row],[AwayTeam]]))</f>
        <v/>
      </c>
      <c r="U207" s="64">
        <f>Table1[[#This Row],[ActualAwayScore]]-Table1[[#This Row],[PredictedAwayScore]]</f>
        <v>0</v>
      </c>
      <c r="V207" s="64">
        <f>Table1[[#This Row],[ActualHomeScore]]-Table1[[#This Row],[PredictedHomeScore]]</f>
        <v>0</v>
      </c>
      <c r="W207" s="64">
        <f>(0.8*IF(Table1[[#This Row],[CorrectWinnerPrediction]]=1, 1, 0))+(0.1*IF(Table1[[#This Row],[CorrectAwayScorePrediction]]=1, 1, 0))+(0.1*IF(Table1[[#This Row],[CorrectHomeScorePrediction]]=1, 1, 0))</f>
        <v>0</v>
      </c>
      <c r="X20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07" s="64">
        <f>SUMIF(Table1[GameDate], Table1[[#This Row],[GameDate]], Table1[AwayGameGoalDiff])</f>
        <v>0</v>
      </c>
      <c r="AA207" s="64">
        <f>SUMIF(Table1[GameDate], Table1[[#This Row],[GameDate]], Table1[HomeGameGoalDiff])</f>
        <v>0</v>
      </c>
      <c r="AB207" s="64">
        <f>IF(ISBLANK(Table1[[#This Row],[ActualResult]]), 0, 1)</f>
        <v>0</v>
      </c>
      <c r="AC207" s="64">
        <f>IF(ISBLANK(Table1[[#This Row],[ActualResult]]), 0, IF(Table1[[#This Row],[ActualWinner]]=Table1[[#This Row],[PredictedWinner]], 1, 0))</f>
        <v>0</v>
      </c>
      <c r="AD20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0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07" s="64">
        <f>IF(AND(Table1[[#This Row],[GameIsOver]]=1,Table1[[#This Row],[ActualAwayScore]]=0), 1,0)</f>
        <v>0</v>
      </c>
      <c r="AG207" s="64">
        <f>IF(AND(Table1[[#This Row],[GameIsOver]]=1,Table1[[#This Row],[ActualHomeScore]]=0), 1,0)</f>
        <v>0</v>
      </c>
      <c r="AH207" s="64">
        <f>IF(Table1[[#This Row],[GameIsOver]]=0,0,IF(Table1[[#This Row],[ActualWinner]]=Table1[[#This Row],[AwayTeam]], 1, 0))</f>
        <v>0</v>
      </c>
      <c r="AI207" s="64">
        <f>IF(Table1[[#This Row],[GameIsOver]]=0,0,IF(Table1[[#This Row],[ActualWinner]]=Table1[[#This Row],[HomeTeam]], 1, 0))</f>
        <v>0</v>
      </c>
      <c r="AJ207" s="64">
        <f>IF(INDEX(Standings!$A$2:$C$33,MATCH(Table1[[#This Row],[AwayTeam]],Standings!$A$2:$A$33,0),2)=INDEX(Standings!$A$2:$C$33,MATCH(Table1[[#This Row],[HomeTeam]],Standings!$A$2:$A$33,0),2),1,0)</f>
        <v>1</v>
      </c>
      <c r="AK207" s="64">
        <f>IF(INDEX(Standings!$A$2:$C$33,MATCH(Table1[[#This Row],[AwayTeam]],Standings!$A$2:$A$33,0),3)=INDEX(Standings!$A$2:$C$33,MATCH(Table1[[#This Row],[HomeTeam]],Standings!$A$2:$A$33,0),3),1,0)</f>
        <v>1</v>
      </c>
      <c r="AL207" s="64">
        <f>IF(Table1[[#This Row],[InterConf]]=1,IF(Table1[[#This Row],[InterDiv]]=0, 1, 0), 0)</f>
        <v>0</v>
      </c>
      <c r="AM207" s="64">
        <f>IF(INDEX(Standings!$A$2:$C$33,MATCH(Table1[[#This Row],[AwayTeam]],Standings!$A$2:$A$33,0),2)&lt;&gt;INDEX(Standings!$A$2:$C$33,MATCH(Table1[[#This Row],[HomeTeam]],Standings!$A$2:$A$33,0),2),1,0)</f>
        <v>0</v>
      </c>
      <c r="AN207" s="64" t="str">
        <f>INDEX(Table2[AWAY_RECORD], MATCH(Table1[[#This Row],[AwayTeam]],Table2[Team], 0), 0)</f>
        <v>0-0-0</v>
      </c>
      <c r="AO207" s="64" t="str">
        <f>INDEX(Records!$B$2:$AG$33, MATCH(Table1[[#This Row],[AwayTeam]],Records!$A$2:$A$33, 0), MATCH(Table1[[#This Row],[HomeTeam]],Records!$A$2:$A$33, 0))</f>
        <v>0-0-0</v>
      </c>
      <c r="AP207" s="64" t="str">
        <f>INDEX(Table2[HOME_RECORD], MATCH(Table1[[#This Row],[HomeTeam]],Table2[Team], 0), 0)</f>
        <v>1-1-0</v>
      </c>
      <c r="AQ207" s="64" t="str">
        <f>INDEX(Records!$B$2:$AG$33, MATCH(Table1[[#This Row],[HomeTeam]],Records!$A$2:$A$33, 0), MATCH(Table1[[#This Row],[AwayTeam]],Records!$A$2:$A$33, 0))</f>
        <v>0-0-0</v>
      </c>
    </row>
    <row r="208" spans="1:43" x14ac:dyDescent="0.25">
      <c r="A208" s="1"/>
      <c r="D208" t="s">
        <v>413</v>
      </c>
      <c r="E208" t="s">
        <v>162</v>
      </c>
      <c r="F208" t="s">
        <v>418</v>
      </c>
      <c r="G208" t="s">
        <v>37</v>
      </c>
      <c r="H208" t="s">
        <v>61</v>
      </c>
      <c r="L20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0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08" s="1"/>
      <c r="T208" s="64" t="str">
        <f>IF(Table1[[#This Row],[ActualWinner]]="", "", IF(Table1[[#This Row],[AwayTeam]]=Table1[[#This Row],[ActualWinner]],Table1[[#This Row],[HomeTeam]],Table1[[#This Row],[AwayTeam]]))</f>
        <v/>
      </c>
      <c r="U208" s="64">
        <f>Table1[[#This Row],[ActualAwayScore]]-Table1[[#This Row],[PredictedAwayScore]]</f>
        <v>0</v>
      </c>
      <c r="V208" s="64">
        <f>Table1[[#This Row],[ActualHomeScore]]-Table1[[#This Row],[PredictedHomeScore]]</f>
        <v>0</v>
      </c>
      <c r="W208" s="64">
        <f>(0.8*IF(Table1[[#This Row],[CorrectWinnerPrediction]]=1, 1, 0))+(0.1*IF(Table1[[#This Row],[CorrectAwayScorePrediction]]=1, 1, 0))+(0.1*IF(Table1[[#This Row],[CorrectHomeScorePrediction]]=1, 1, 0))</f>
        <v>0</v>
      </c>
      <c r="X20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08" s="64">
        <f>SUMIF(Table1[GameDate], Table1[[#This Row],[GameDate]], Table1[AwayGameGoalDiff])</f>
        <v>0</v>
      </c>
      <c r="AA208" s="64">
        <f>SUMIF(Table1[GameDate], Table1[[#This Row],[GameDate]], Table1[HomeGameGoalDiff])</f>
        <v>0</v>
      </c>
      <c r="AB208" s="64">
        <f>IF(ISBLANK(Table1[[#This Row],[ActualResult]]), 0, 1)</f>
        <v>0</v>
      </c>
      <c r="AC208" s="64">
        <f>IF(ISBLANK(Table1[[#This Row],[ActualResult]]), 0, IF(Table1[[#This Row],[ActualWinner]]=Table1[[#This Row],[PredictedWinner]], 1, 0))</f>
        <v>0</v>
      </c>
      <c r="AD20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0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08" s="64">
        <f>IF(AND(Table1[[#This Row],[GameIsOver]]=1,Table1[[#This Row],[ActualAwayScore]]=0), 1,0)</f>
        <v>0</v>
      </c>
      <c r="AG208" s="64">
        <f>IF(AND(Table1[[#This Row],[GameIsOver]]=1,Table1[[#This Row],[ActualHomeScore]]=0), 1,0)</f>
        <v>0</v>
      </c>
      <c r="AH208" s="64">
        <f>IF(Table1[[#This Row],[GameIsOver]]=0,0,IF(Table1[[#This Row],[ActualWinner]]=Table1[[#This Row],[AwayTeam]], 1, 0))</f>
        <v>0</v>
      </c>
      <c r="AI208" s="64">
        <f>IF(Table1[[#This Row],[GameIsOver]]=0,0,IF(Table1[[#This Row],[ActualWinner]]=Table1[[#This Row],[HomeTeam]], 1, 0))</f>
        <v>0</v>
      </c>
      <c r="AJ208" s="64">
        <f>IF(INDEX(Standings!$A$2:$C$33,MATCH(Table1[[#This Row],[AwayTeam]],Standings!$A$2:$A$33,0),2)=INDEX(Standings!$A$2:$C$33,MATCH(Table1[[#This Row],[HomeTeam]],Standings!$A$2:$A$33,0),2),1,0)</f>
        <v>0</v>
      </c>
      <c r="AK208" s="64">
        <f>IF(INDEX(Standings!$A$2:$C$33,MATCH(Table1[[#This Row],[AwayTeam]],Standings!$A$2:$A$33,0),3)=INDEX(Standings!$A$2:$C$33,MATCH(Table1[[#This Row],[HomeTeam]],Standings!$A$2:$A$33,0),3),1,0)</f>
        <v>0</v>
      </c>
      <c r="AL208" s="64">
        <f>IF(Table1[[#This Row],[InterConf]]=1,IF(Table1[[#This Row],[InterDiv]]=0, 1, 0), 0)</f>
        <v>0</v>
      </c>
      <c r="AM208" s="64">
        <f>IF(INDEX(Standings!$A$2:$C$33,MATCH(Table1[[#This Row],[AwayTeam]],Standings!$A$2:$A$33,0),2)&lt;&gt;INDEX(Standings!$A$2:$C$33,MATCH(Table1[[#This Row],[HomeTeam]],Standings!$A$2:$A$33,0),2),1,0)</f>
        <v>1</v>
      </c>
      <c r="AN208" s="64" t="str">
        <f>INDEX(Table2[AWAY_RECORD], MATCH(Table1[[#This Row],[AwayTeam]],Table2[Team], 0), 0)</f>
        <v>0-0-1</v>
      </c>
      <c r="AO208" s="64" t="str">
        <f>INDEX(Records!$B$2:$AG$33, MATCH(Table1[[#This Row],[AwayTeam]],Records!$A$2:$A$33, 0), MATCH(Table1[[#This Row],[HomeTeam]],Records!$A$2:$A$33, 0))</f>
        <v>0-0-0</v>
      </c>
      <c r="AP208" s="64" t="str">
        <f>INDEX(Table2[HOME_RECORD], MATCH(Table1[[#This Row],[HomeTeam]],Table2[Team], 0), 0)</f>
        <v>0-0-0</v>
      </c>
      <c r="AQ208" s="64" t="str">
        <f>INDEX(Records!$B$2:$AG$33, MATCH(Table1[[#This Row],[HomeTeam]],Records!$A$2:$A$33, 0), MATCH(Table1[[#This Row],[AwayTeam]],Records!$A$2:$A$33, 0))</f>
        <v>0-0-0</v>
      </c>
    </row>
    <row r="209" spans="1:43" x14ac:dyDescent="0.25">
      <c r="A209" s="1"/>
      <c r="D209" t="s">
        <v>413</v>
      </c>
      <c r="E209" t="s">
        <v>162</v>
      </c>
      <c r="F209" t="s">
        <v>419</v>
      </c>
      <c r="G209" t="s">
        <v>59</v>
      </c>
      <c r="H209" t="s">
        <v>48</v>
      </c>
      <c r="L20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0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09" s="1"/>
      <c r="T209" s="64" t="str">
        <f>IF(Table1[[#This Row],[ActualWinner]]="", "", IF(Table1[[#This Row],[AwayTeam]]=Table1[[#This Row],[ActualWinner]],Table1[[#This Row],[HomeTeam]],Table1[[#This Row],[AwayTeam]]))</f>
        <v/>
      </c>
      <c r="U209" s="64">
        <f>Table1[[#This Row],[ActualAwayScore]]-Table1[[#This Row],[PredictedAwayScore]]</f>
        <v>0</v>
      </c>
      <c r="V209" s="64">
        <f>Table1[[#This Row],[ActualHomeScore]]-Table1[[#This Row],[PredictedHomeScore]]</f>
        <v>0</v>
      </c>
      <c r="W209" s="64">
        <f>(0.8*IF(Table1[[#This Row],[CorrectWinnerPrediction]]=1, 1, 0))+(0.1*IF(Table1[[#This Row],[CorrectAwayScorePrediction]]=1, 1, 0))+(0.1*IF(Table1[[#This Row],[CorrectHomeScorePrediction]]=1, 1, 0))</f>
        <v>0</v>
      </c>
      <c r="X20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09" s="64">
        <f>SUMIF(Table1[GameDate], Table1[[#This Row],[GameDate]], Table1[AwayGameGoalDiff])</f>
        <v>0</v>
      </c>
      <c r="AA209" s="64">
        <f>SUMIF(Table1[GameDate], Table1[[#This Row],[GameDate]], Table1[HomeGameGoalDiff])</f>
        <v>0</v>
      </c>
      <c r="AB209" s="64">
        <f>IF(ISBLANK(Table1[[#This Row],[ActualResult]]), 0, 1)</f>
        <v>0</v>
      </c>
      <c r="AC209" s="64">
        <f>IF(ISBLANK(Table1[[#This Row],[ActualResult]]), 0, IF(Table1[[#This Row],[ActualWinner]]=Table1[[#This Row],[PredictedWinner]], 1, 0))</f>
        <v>0</v>
      </c>
      <c r="AD20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0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09" s="64">
        <f>IF(AND(Table1[[#This Row],[GameIsOver]]=1,Table1[[#This Row],[ActualAwayScore]]=0), 1,0)</f>
        <v>0</v>
      </c>
      <c r="AG209" s="64">
        <f>IF(AND(Table1[[#This Row],[GameIsOver]]=1,Table1[[#This Row],[ActualHomeScore]]=0), 1,0)</f>
        <v>0</v>
      </c>
      <c r="AH209" s="64">
        <f>IF(Table1[[#This Row],[GameIsOver]]=0,0,IF(Table1[[#This Row],[ActualWinner]]=Table1[[#This Row],[AwayTeam]], 1, 0))</f>
        <v>0</v>
      </c>
      <c r="AI209" s="64">
        <f>IF(Table1[[#This Row],[GameIsOver]]=0,0,IF(Table1[[#This Row],[ActualWinner]]=Table1[[#This Row],[HomeTeam]], 1, 0))</f>
        <v>0</v>
      </c>
      <c r="AJ209" s="64">
        <f>IF(INDEX(Standings!$A$2:$C$33,MATCH(Table1[[#This Row],[AwayTeam]],Standings!$A$2:$A$33,0),2)=INDEX(Standings!$A$2:$C$33,MATCH(Table1[[#This Row],[HomeTeam]],Standings!$A$2:$A$33,0),2),1,0)</f>
        <v>0</v>
      </c>
      <c r="AK209" s="64">
        <f>IF(INDEX(Standings!$A$2:$C$33,MATCH(Table1[[#This Row],[AwayTeam]],Standings!$A$2:$A$33,0),3)=INDEX(Standings!$A$2:$C$33,MATCH(Table1[[#This Row],[HomeTeam]],Standings!$A$2:$A$33,0),3),1,0)</f>
        <v>0</v>
      </c>
      <c r="AL209" s="64">
        <f>IF(Table1[[#This Row],[InterConf]]=1,IF(Table1[[#This Row],[InterDiv]]=0, 1, 0), 0)</f>
        <v>0</v>
      </c>
      <c r="AM209" s="64">
        <f>IF(INDEX(Standings!$A$2:$C$33,MATCH(Table1[[#This Row],[AwayTeam]],Standings!$A$2:$A$33,0),2)&lt;&gt;INDEX(Standings!$A$2:$C$33,MATCH(Table1[[#This Row],[HomeTeam]],Standings!$A$2:$A$33,0),2),1,0)</f>
        <v>1</v>
      </c>
      <c r="AN209" s="64" t="str">
        <f>INDEX(Table2[AWAY_RECORD], MATCH(Table1[[#This Row],[AwayTeam]],Table2[Team], 0), 0)</f>
        <v>0-1-0</v>
      </c>
      <c r="AO209" s="64" t="str">
        <f>INDEX(Records!$B$2:$AG$33, MATCH(Table1[[#This Row],[AwayTeam]],Records!$A$2:$A$33, 0), MATCH(Table1[[#This Row],[HomeTeam]],Records!$A$2:$A$33, 0))</f>
        <v>0-0-0</v>
      </c>
      <c r="AP209" s="64" t="str">
        <f>INDEX(Table2[HOME_RECORD], MATCH(Table1[[#This Row],[HomeTeam]],Table2[Team], 0), 0)</f>
        <v>1-0-0</v>
      </c>
      <c r="AQ209" s="64" t="str">
        <f>INDEX(Records!$B$2:$AG$33, MATCH(Table1[[#This Row],[HomeTeam]],Records!$A$2:$A$33, 0), MATCH(Table1[[#This Row],[AwayTeam]],Records!$A$2:$A$33, 0))</f>
        <v>0-0-0</v>
      </c>
    </row>
    <row r="210" spans="1:43" x14ac:dyDescent="0.25">
      <c r="A210" s="1"/>
      <c r="D210" t="s">
        <v>413</v>
      </c>
      <c r="E210" t="s">
        <v>162</v>
      </c>
      <c r="F210" t="s">
        <v>420</v>
      </c>
      <c r="G210" t="s">
        <v>47</v>
      </c>
      <c r="H210" t="s">
        <v>43</v>
      </c>
      <c r="L21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1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10" s="1"/>
      <c r="T210" s="64" t="str">
        <f>IF(Table1[[#This Row],[ActualWinner]]="", "", IF(Table1[[#This Row],[AwayTeam]]=Table1[[#This Row],[ActualWinner]],Table1[[#This Row],[HomeTeam]],Table1[[#This Row],[AwayTeam]]))</f>
        <v/>
      </c>
      <c r="U210" s="64">
        <f>Table1[[#This Row],[ActualAwayScore]]-Table1[[#This Row],[PredictedAwayScore]]</f>
        <v>0</v>
      </c>
      <c r="V210" s="64">
        <f>Table1[[#This Row],[ActualHomeScore]]-Table1[[#This Row],[PredictedHomeScore]]</f>
        <v>0</v>
      </c>
      <c r="W210" s="64">
        <f>(0.8*IF(Table1[[#This Row],[CorrectWinnerPrediction]]=1, 1, 0))+(0.1*IF(Table1[[#This Row],[CorrectAwayScorePrediction]]=1, 1, 0))+(0.1*IF(Table1[[#This Row],[CorrectHomeScorePrediction]]=1, 1, 0))</f>
        <v>0</v>
      </c>
      <c r="X21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10" s="64">
        <f>SUMIF(Table1[GameDate], Table1[[#This Row],[GameDate]], Table1[AwayGameGoalDiff])</f>
        <v>0</v>
      </c>
      <c r="AA210" s="64">
        <f>SUMIF(Table1[GameDate], Table1[[#This Row],[GameDate]], Table1[HomeGameGoalDiff])</f>
        <v>0</v>
      </c>
      <c r="AB210" s="64">
        <f>IF(ISBLANK(Table1[[#This Row],[ActualResult]]), 0, 1)</f>
        <v>0</v>
      </c>
      <c r="AC210" s="64">
        <f>IF(ISBLANK(Table1[[#This Row],[ActualResult]]), 0, IF(Table1[[#This Row],[ActualWinner]]=Table1[[#This Row],[PredictedWinner]], 1, 0))</f>
        <v>0</v>
      </c>
      <c r="AD21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1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10" s="64">
        <f>IF(AND(Table1[[#This Row],[GameIsOver]]=1,Table1[[#This Row],[ActualAwayScore]]=0), 1,0)</f>
        <v>0</v>
      </c>
      <c r="AG210" s="64">
        <f>IF(AND(Table1[[#This Row],[GameIsOver]]=1,Table1[[#This Row],[ActualHomeScore]]=0), 1,0)</f>
        <v>0</v>
      </c>
      <c r="AH210" s="64">
        <f>IF(Table1[[#This Row],[GameIsOver]]=0,0,IF(Table1[[#This Row],[ActualWinner]]=Table1[[#This Row],[AwayTeam]], 1, 0))</f>
        <v>0</v>
      </c>
      <c r="AI210" s="64">
        <f>IF(Table1[[#This Row],[GameIsOver]]=0,0,IF(Table1[[#This Row],[ActualWinner]]=Table1[[#This Row],[HomeTeam]], 1, 0))</f>
        <v>0</v>
      </c>
      <c r="AJ210" s="64">
        <f>IF(INDEX(Standings!$A$2:$C$33,MATCH(Table1[[#This Row],[AwayTeam]],Standings!$A$2:$A$33,0),2)=INDEX(Standings!$A$2:$C$33,MATCH(Table1[[#This Row],[HomeTeam]],Standings!$A$2:$A$33,0),2),1,0)</f>
        <v>0</v>
      </c>
      <c r="AK210" s="64">
        <f>IF(INDEX(Standings!$A$2:$C$33,MATCH(Table1[[#This Row],[AwayTeam]],Standings!$A$2:$A$33,0),3)=INDEX(Standings!$A$2:$C$33,MATCH(Table1[[#This Row],[HomeTeam]],Standings!$A$2:$A$33,0),3),1,0)</f>
        <v>0</v>
      </c>
      <c r="AL210" s="64">
        <f>IF(Table1[[#This Row],[InterConf]]=1,IF(Table1[[#This Row],[InterDiv]]=0, 1, 0), 0)</f>
        <v>0</v>
      </c>
      <c r="AM210" s="64">
        <f>IF(INDEX(Standings!$A$2:$C$33,MATCH(Table1[[#This Row],[AwayTeam]],Standings!$A$2:$A$33,0),2)&lt;&gt;INDEX(Standings!$A$2:$C$33,MATCH(Table1[[#This Row],[HomeTeam]],Standings!$A$2:$A$33,0),2),1,0)</f>
        <v>1</v>
      </c>
      <c r="AN210" s="64" t="str">
        <f>INDEX(Table2[AWAY_RECORD], MATCH(Table1[[#This Row],[AwayTeam]],Table2[Team], 0), 0)</f>
        <v>1-0-0</v>
      </c>
      <c r="AO210" s="64" t="str">
        <f>INDEX(Records!$B$2:$AG$33, MATCH(Table1[[#This Row],[AwayTeam]],Records!$A$2:$A$33, 0), MATCH(Table1[[#This Row],[HomeTeam]],Records!$A$2:$A$33, 0))</f>
        <v>0-0-0</v>
      </c>
      <c r="AP210" s="64" t="str">
        <f>INDEX(Table2[HOME_RECORD], MATCH(Table1[[#This Row],[HomeTeam]],Table2[Team], 0), 0)</f>
        <v>0-0-0</v>
      </c>
      <c r="AQ210" s="64" t="str">
        <f>INDEX(Records!$B$2:$AG$33, MATCH(Table1[[#This Row],[HomeTeam]],Records!$A$2:$A$33, 0), MATCH(Table1[[#This Row],[AwayTeam]],Records!$A$2:$A$33, 0))</f>
        <v>0-0-0</v>
      </c>
    </row>
    <row r="211" spans="1:43" x14ac:dyDescent="0.25">
      <c r="A211" s="1"/>
      <c r="D211" t="s">
        <v>413</v>
      </c>
      <c r="E211" t="s">
        <v>162</v>
      </c>
      <c r="F211" t="s">
        <v>421</v>
      </c>
      <c r="G211" t="s">
        <v>50</v>
      </c>
      <c r="H211" t="s">
        <v>22</v>
      </c>
      <c r="L21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1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11" s="1"/>
      <c r="T211" s="64" t="str">
        <f>IF(Table1[[#This Row],[ActualWinner]]="", "", IF(Table1[[#This Row],[AwayTeam]]=Table1[[#This Row],[ActualWinner]],Table1[[#This Row],[HomeTeam]],Table1[[#This Row],[AwayTeam]]))</f>
        <v/>
      </c>
      <c r="U211" s="64">
        <f>Table1[[#This Row],[ActualAwayScore]]-Table1[[#This Row],[PredictedAwayScore]]</f>
        <v>0</v>
      </c>
      <c r="V211" s="64">
        <f>Table1[[#This Row],[ActualHomeScore]]-Table1[[#This Row],[PredictedHomeScore]]</f>
        <v>0</v>
      </c>
      <c r="W211" s="64">
        <f>(0.8*IF(Table1[[#This Row],[CorrectWinnerPrediction]]=1, 1, 0))+(0.1*IF(Table1[[#This Row],[CorrectAwayScorePrediction]]=1, 1, 0))+(0.1*IF(Table1[[#This Row],[CorrectHomeScorePrediction]]=1, 1, 0))</f>
        <v>0</v>
      </c>
      <c r="X21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11" s="64">
        <f>SUMIF(Table1[GameDate], Table1[[#This Row],[GameDate]], Table1[AwayGameGoalDiff])</f>
        <v>0</v>
      </c>
      <c r="AA211" s="64">
        <f>SUMIF(Table1[GameDate], Table1[[#This Row],[GameDate]], Table1[HomeGameGoalDiff])</f>
        <v>0</v>
      </c>
      <c r="AB211" s="64">
        <f>IF(ISBLANK(Table1[[#This Row],[ActualResult]]), 0, 1)</f>
        <v>0</v>
      </c>
      <c r="AC211" s="64">
        <f>IF(ISBLANK(Table1[[#This Row],[ActualResult]]), 0, IF(Table1[[#This Row],[ActualWinner]]=Table1[[#This Row],[PredictedWinner]], 1, 0))</f>
        <v>0</v>
      </c>
      <c r="AD21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1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11" s="64">
        <f>IF(AND(Table1[[#This Row],[GameIsOver]]=1,Table1[[#This Row],[ActualAwayScore]]=0), 1,0)</f>
        <v>0</v>
      </c>
      <c r="AG211" s="64">
        <f>IF(AND(Table1[[#This Row],[GameIsOver]]=1,Table1[[#This Row],[ActualHomeScore]]=0), 1,0)</f>
        <v>0</v>
      </c>
      <c r="AH211" s="64">
        <f>IF(Table1[[#This Row],[GameIsOver]]=0,0,IF(Table1[[#This Row],[ActualWinner]]=Table1[[#This Row],[AwayTeam]], 1, 0))</f>
        <v>0</v>
      </c>
      <c r="AI211" s="64">
        <f>IF(Table1[[#This Row],[GameIsOver]]=0,0,IF(Table1[[#This Row],[ActualWinner]]=Table1[[#This Row],[HomeTeam]], 1, 0))</f>
        <v>0</v>
      </c>
      <c r="AJ211" s="64">
        <f>IF(INDEX(Standings!$A$2:$C$33,MATCH(Table1[[#This Row],[AwayTeam]],Standings!$A$2:$A$33,0),2)=INDEX(Standings!$A$2:$C$33,MATCH(Table1[[#This Row],[HomeTeam]],Standings!$A$2:$A$33,0),2),1,0)</f>
        <v>0</v>
      </c>
      <c r="AK211" s="64">
        <f>IF(INDEX(Standings!$A$2:$C$33,MATCH(Table1[[#This Row],[AwayTeam]],Standings!$A$2:$A$33,0),3)=INDEX(Standings!$A$2:$C$33,MATCH(Table1[[#This Row],[HomeTeam]],Standings!$A$2:$A$33,0),3),1,0)</f>
        <v>0</v>
      </c>
      <c r="AL211" s="64">
        <f>IF(Table1[[#This Row],[InterConf]]=1,IF(Table1[[#This Row],[InterDiv]]=0, 1, 0), 0)</f>
        <v>0</v>
      </c>
      <c r="AM211" s="64">
        <f>IF(INDEX(Standings!$A$2:$C$33,MATCH(Table1[[#This Row],[AwayTeam]],Standings!$A$2:$A$33,0),2)&lt;&gt;INDEX(Standings!$A$2:$C$33,MATCH(Table1[[#This Row],[HomeTeam]],Standings!$A$2:$A$33,0),2),1,0)</f>
        <v>1</v>
      </c>
      <c r="AN211" s="64" t="str">
        <f>INDEX(Table2[AWAY_RECORD], MATCH(Table1[[#This Row],[AwayTeam]],Table2[Team], 0), 0)</f>
        <v>1-0-0</v>
      </c>
      <c r="AO211" s="64" t="str">
        <f>INDEX(Records!$B$2:$AG$33, MATCH(Table1[[#This Row],[AwayTeam]],Records!$A$2:$A$33, 0), MATCH(Table1[[#This Row],[HomeTeam]],Records!$A$2:$A$33, 0))</f>
        <v>0-0-0</v>
      </c>
      <c r="AP211" s="64" t="str">
        <f>INDEX(Table2[HOME_RECORD], MATCH(Table1[[#This Row],[HomeTeam]],Table2[Team], 0), 0)</f>
        <v>0-0-0</v>
      </c>
      <c r="AQ211" s="64" t="str">
        <f>INDEX(Records!$B$2:$AG$33, MATCH(Table1[[#This Row],[HomeTeam]],Records!$A$2:$A$33, 0), MATCH(Table1[[#This Row],[AwayTeam]],Records!$A$2:$A$33, 0))</f>
        <v>0-0-0</v>
      </c>
    </row>
    <row r="212" spans="1:43" x14ac:dyDescent="0.25">
      <c r="A212" s="1"/>
      <c r="D212" t="s">
        <v>413</v>
      </c>
      <c r="E212" t="s">
        <v>164</v>
      </c>
      <c r="F212" t="s">
        <v>422</v>
      </c>
      <c r="G212" t="s">
        <v>38</v>
      </c>
      <c r="H212" t="s">
        <v>36</v>
      </c>
      <c r="L21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1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12" s="1"/>
      <c r="T212" s="64" t="str">
        <f>IF(Table1[[#This Row],[ActualWinner]]="", "", IF(Table1[[#This Row],[AwayTeam]]=Table1[[#This Row],[ActualWinner]],Table1[[#This Row],[HomeTeam]],Table1[[#This Row],[AwayTeam]]))</f>
        <v/>
      </c>
      <c r="U212" s="64">
        <f>Table1[[#This Row],[ActualAwayScore]]-Table1[[#This Row],[PredictedAwayScore]]</f>
        <v>0</v>
      </c>
      <c r="V212" s="64">
        <f>Table1[[#This Row],[ActualHomeScore]]-Table1[[#This Row],[PredictedHomeScore]]</f>
        <v>0</v>
      </c>
      <c r="W212" s="64">
        <f>(0.8*IF(Table1[[#This Row],[CorrectWinnerPrediction]]=1, 1, 0))+(0.1*IF(Table1[[#This Row],[CorrectAwayScorePrediction]]=1, 1, 0))+(0.1*IF(Table1[[#This Row],[CorrectHomeScorePrediction]]=1, 1, 0))</f>
        <v>0</v>
      </c>
      <c r="X21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12" s="64">
        <f>SUMIF(Table1[GameDate], Table1[[#This Row],[GameDate]], Table1[AwayGameGoalDiff])</f>
        <v>0</v>
      </c>
      <c r="AA212" s="64">
        <f>SUMIF(Table1[GameDate], Table1[[#This Row],[GameDate]], Table1[HomeGameGoalDiff])</f>
        <v>0</v>
      </c>
      <c r="AB212" s="64">
        <f>IF(ISBLANK(Table1[[#This Row],[ActualResult]]), 0, 1)</f>
        <v>0</v>
      </c>
      <c r="AC212" s="64">
        <f>IF(ISBLANK(Table1[[#This Row],[ActualResult]]), 0, IF(Table1[[#This Row],[ActualWinner]]=Table1[[#This Row],[PredictedWinner]], 1, 0))</f>
        <v>0</v>
      </c>
      <c r="AD21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1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12" s="64">
        <f>IF(AND(Table1[[#This Row],[GameIsOver]]=1,Table1[[#This Row],[ActualAwayScore]]=0), 1,0)</f>
        <v>0</v>
      </c>
      <c r="AG212" s="64">
        <f>IF(AND(Table1[[#This Row],[GameIsOver]]=1,Table1[[#This Row],[ActualHomeScore]]=0), 1,0)</f>
        <v>0</v>
      </c>
      <c r="AH212" s="64">
        <f>IF(Table1[[#This Row],[GameIsOver]]=0,0,IF(Table1[[#This Row],[ActualWinner]]=Table1[[#This Row],[AwayTeam]], 1, 0))</f>
        <v>0</v>
      </c>
      <c r="AI212" s="64">
        <f>IF(Table1[[#This Row],[GameIsOver]]=0,0,IF(Table1[[#This Row],[ActualWinner]]=Table1[[#This Row],[HomeTeam]], 1, 0))</f>
        <v>0</v>
      </c>
      <c r="AJ212" s="64">
        <f>IF(INDEX(Standings!$A$2:$C$33,MATCH(Table1[[#This Row],[AwayTeam]],Standings!$A$2:$A$33,0),2)=INDEX(Standings!$A$2:$C$33,MATCH(Table1[[#This Row],[HomeTeam]],Standings!$A$2:$A$33,0),2),1,0)</f>
        <v>0</v>
      </c>
      <c r="AK212" s="64">
        <f>IF(INDEX(Standings!$A$2:$C$33,MATCH(Table1[[#This Row],[AwayTeam]],Standings!$A$2:$A$33,0),3)=INDEX(Standings!$A$2:$C$33,MATCH(Table1[[#This Row],[HomeTeam]],Standings!$A$2:$A$33,0),3),1,0)</f>
        <v>0</v>
      </c>
      <c r="AL212" s="64">
        <f>IF(Table1[[#This Row],[InterConf]]=1,IF(Table1[[#This Row],[InterDiv]]=0, 1, 0), 0)</f>
        <v>0</v>
      </c>
      <c r="AM212" s="64">
        <f>IF(INDEX(Standings!$A$2:$C$33,MATCH(Table1[[#This Row],[AwayTeam]],Standings!$A$2:$A$33,0),2)&lt;&gt;INDEX(Standings!$A$2:$C$33,MATCH(Table1[[#This Row],[HomeTeam]],Standings!$A$2:$A$33,0),2),1,0)</f>
        <v>1</v>
      </c>
      <c r="AN212" s="64" t="str">
        <f>INDEX(Table2[AWAY_RECORD], MATCH(Table1[[#This Row],[AwayTeam]],Table2[Team], 0), 0)</f>
        <v>0-0-1</v>
      </c>
      <c r="AO212" s="64" t="str">
        <f>INDEX(Records!$B$2:$AG$33, MATCH(Table1[[#This Row],[AwayTeam]],Records!$A$2:$A$33, 0), MATCH(Table1[[#This Row],[HomeTeam]],Records!$A$2:$A$33, 0))</f>
        <v>0-0-0</v>
      </c>
      <c r="AP212" s="64" t="str">
        <f>INDEX(Table2[HOME_RECORD], MATCH(Table1[[#This Row],[HomeTeam]],Table2[Team], 0), 0)</f>
        <v>0-0-0</v>
      </c>
      <c r="AQ212" s="64" t="str">
        <f>INDEX(Records!$B$2:$AG$33, MATCH(Table1[[#This Row],[HomeTeam]],Records!$A$2:$A$33, 0), MATCH(Table1[[#This Row],[AwayTeam]],Records!$A$2:$A$33, 0))</f>
        <v>0-0-0</v>
      </c>
    </row>
    <row r="213" spans="1:43" x14ac:dyDescent="0.25">
      <c r="A213" s="1"/>
      <c r="D213" t="s">
        <v>413</v>
      </c>
      <c r="E213" t="s">
        <v>164</v>
      </c>
      <c r="F213" t="s">
        <v>423</v>
      </c>
      <c r="G213" t="s">
        <v>52</v>
      </c>
      <c r="H213" t="s">
        <v>46</v>
      </c>
      <c r="L21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1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13" s="1"/>
      <c r="T213" s="64" t="str">
        <f>IF(Table1[[#This Row],[ActualWinner]]="", "", IF(Table1[[#This Row],[AwayTeam]]=Table1[[#This Row],[ActualWinner]],Table1[[#This Row],[HomeTeam]],Table1[[#This Row],[AwayTeam]]))</f>
        <v/>
      </c>
      <c r="U213" s="64">
        <f>Table1[[#This Row],[ActualAwayScore]]-Table1[[#This Row],[PredictedAwayScore]]</f>
        <v>0</v>
      </c>
      <c r="V213" s="64">
        <f>Table1[[#This Row],[ActualHomeScore]]-Table1[[#This Row],[PredictedHomeScore]]</f>
        <v>0</v>
      </c>
      <c r="W213" s="64">
        <f>(0.8*IF(Table1[[#This Row],[CorrectWinnerPrediction]]=1, 1, 0))+(0.1*IF(Table1[[#This Row],[CorrectAwayScorePrediction]]=1, 1, 0))+(0.1*IF(Table1[[#This Row],[CorrectHomeScorePrediction]]=1, 1, 0))</f>
        <v>0</v>
      </c>
      <c r="X21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13" s="64">
        <f>SUMIF(Table1[GameDate], Table1[[#This Row],[GameDate]], Table1[AwayGameGoalDiff])</f>
        <v>0</v>
      </c>
      <c r="AA213" s="64">
        <f>SUMIF(Table1[GameDate], Table1[[#This Row],[GameDate]], Table1[HomeGameGoalDiff])</f>
        <v>0</v>
      </c>
      <c r="AB213" s="64">
        <f>IF(ISBLANK(Table1[[#This Row],[ActualResult]]), 0, 1)</f>
        <v>0</v>
      </c>
      <c r="AC213" s="64">
        <f>IF(ISBLANK(Table1[[#This Row],[ActualResult]]), 0, IF(Table1[[#This Row],[ActualWinner]]=Table1[[#This Row],[PredictedWinner]], 1, 0))</f>
        <v>0</v>
      </c>
      <c r="AD21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1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13" s="64">
        <f>IF(AND(Table1[[#This Row],[GameIsOver]]=1,Table1[[#This Row],[ActualAwayScore]]=0), 1,0)</f>
        <v>0</v>
      </c>
      <c r="AG213" s="64">
        <f>IF(AND(Table1[[#This Row],[GameIsOver]]=1,Table1[[#This Row],[ActualHomeScore]]=0), 1,0)</f>
        <v>0</v>
      </c>
      <c r="AH213" s="64">
        <f>IF(Table1[[#This Row],[GameIsOver]]=0,0,IF(Table1[[#This Row],[ActualWinner]]=Table1[[#This Row],[AwayTeam]], 1, 0))</f>
        <v>0</v>
      </c>
      <c r="AI213" s="64">
        <f>IF(Table1[[#This Row],[GameIsOver]]=0,0,IF(Table1[[#This Row],[ActualWinner]]=Table1[[#This Row],[HomeTeam]], 1, 0))</f>
        <v>0</v>
      </c>
      <c r="AJ213" s="64">
        <f>IF(INDEX(Standings!$A$2:$C$33,MATCH(Table1[[#This Row],[AwayTeam]],Standings!$A$2:$A$33,0),2)=INDEX(Standings!$A$2:$C$33,MATCH(Table1[[#This Row],[HomeTeam]],Standings!$A$2:$A$33,0),2),1,0)</f>
        <v>0</v>
      </c>
      <c r="AK213" s="64">
        <f>IF(INDEX(Standings!$A$2:$C$33,MATCH(Table1[[#This Row],[AwayTeam]],Standings!$A$2:$A$33,0),3)=INDEX(Standings!$A$2:$C$33,MATCH(Table1[[#This Row],[HomeTeam]],Standings!$A$2:$A$33,0),3),1,0)</f>
        <v>0</v>
      </c>
      <c r="AL213" s="64">
        <f>IF(Table1[[#This Row],[InterConf]]=1,IF(Table1[[#This Row],[InterDiv]]=0, 1, 0), 0)</f>
        <v>0</v>
      </c>
      <c r="AM213" s="64">
        <f>IF(INDEX(Standings!$A$2:$C$33,MATCH(Table1[[#This Row],[AwayTeam]],Standings!$A$2:$A$33,0),2)&lt;&gt;INDEX(Standings!$A$2:$C$33,MATCH(Table1[[#This Row],[HomeTeam]],Standings!$A$2:$A$33,0),2),1,0)</f>
        <v>1</v>
      </c>
      <c r="AN213" s="64" t="str">
        <f>INDEX(Table2[AWAY_RECORD], MATCH(Table1[[#This Row],[AwayTeam]],Table2[Team], 0), 0)</f>
        <v>0-0-0</v>
      </c>
      <c r="AO213" s="64" t="str">
        <f>INDEX(Records!$B$2:$AG$33, MATCH(Table1[[#This Row],[AwayTeam]],Records!$A$2:$A$33, 0), MATCH(Table1[[#This Row],[HomeTeam]],Records!$A$2:$A$33, 0))</f>
        <v>0-0-0</v>
      </c>
      <c r="AP213" s="64" t="str">
        <f>INDEX(Table2[HOME_RECORD], MATCH(Table1[[#This Row],[HomeTeam]],Table2[Team], 0), 0)</f>
        <v>0-0-0</v>
      </c>
      <c r="AQ213" s="64" t="str">
        <f>INDEX(Records!$B$2:$AG$33, MATCH(Table1[[#This Row],[HomeTeam]],Records!$A$2:$A$33, 0), MATCH(Table1[[#This Row],[AwayTeam]],Records!$A$2:$A$33, 0))</f>
        <v>0-0-0</v>
      </c>
    </row>
    <row r="214" spans="1:43" x14ac:dyDescent="0.25">
      <c r="A214" s="1"/>
      <c r="D214" t="s">
        <v>413</v>
      </c>
      <c r="E214" t="s">
        <v>164</v>
      </c>
      <c r="F214" t="s">
        <v>424</v>
      </c>
      <c r="G214" t="s">
        <v>23</v>
      </c>
      <c r="H214" t="s">
        <v>55</v>
      </c>
      <c r="L21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1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14" s="1"/>
      <c r="T214" s="64" t="str">
        <f>IF(Table1[[#This Row],[ActualWinner]]="", "", IF(Table1[[#This Row],[AwayTeam]]=Table1[[#This Row],[ActualWinner]],Table1[[#This Row],[HomeTeam]],Table1[[#This Row],[AwayTeam]]))</f>
        <v/>
      </c>
      <c r="U214" s="64">
        <f>Table1[[#This Row],[ActualAwayScore]]-Table1[[#This Row],[PredictedAwayScore]]</f>
        <v>0</v>
      </c>
      <c r="V214" s="64">
        <f>Table1[[#This Row],[ActualHomeScore]]-Table1[[#This Row],[PredictedHomeScore]]</f>
        <v>0</v>
      </c>
      <c r="W214" s="64">
        <f>(0.8*IF(Table1[[#This Row],[CorrectWinnerPrediction]]=1, 1, 0))+(0.1*IF(Table1[[#This Row],[CorrectAwayScorePrediction]]=1, 1, 0))+(0.1*IF(Table1[[#This Row],[CorrectHomeScorePrediction]]=1, 1, 0))</f>
        <v>0</v>
      </c>
      <c r="X21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14" s="64">
        <f>SUMIF(Table1[GameDate], Table1[[#This Row],[GameDate]], Table1[AwayGameGoalDiff])</f>
        <v>0</v>
      </c>
      <c r="AA214" s="64">
        <f>SUMIF(Table1[GameDate], Table1[[#This Row],[GameDate]], Table1[HomeGameGoalDiff])</f>
        <v>0</v>
      </c>
      <c r="AB214" s="64">
        <f>IF(ISBLANK(Table1[[#This Row],[ActualResult]]), 0, 1)</f>
        <v>0</v>
      </c>
      <c r="AC214" s="64">
        <f>IF(ISBLANK(Table1[[#This Row],[ActualResult]]), 0, IF(Table1[[#This Row],[ActualWinner]]=Table1[[#This Row],[PredictedWinner]], 1, 0))</f>
        <v>0</v>
      </c>
      <c r="AD21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1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14" s="64">
        <f>IF(AND(Table1[[#This Row],[GameIsOver]]=1,Table1[[#This Row],[ActualAwayScore]]=0), 1,0)</f>
        <v>0</v>
      </c>
      <c r="AG214" s="64">
        <f>IF(AND(Table1[[#This Row],[GameIsOver]]=1,Table1[[#This Row],[ActualHomeScore]]=0), 1,0)</f>
        <v>0</v>
      </c>
      <c r="AH214" s="64">
        <f>IF(Table1[[#This Row],[GameIsOver]]=0,0,IF(Table1[[#This Row],[ActualWinner]]=Table1[[#This Row],[AwayTeam]], 1, 0))</f>
        <v>0</v>
      </c>
      <c r="AI214" s="64">
        <f>IF(Table1[[#This Row],[GameIsOver]]=0,0,IF(Table1[[#This Row],[ActualWinner]]=Table1[[#This Row],[HomeTeam]], 1, 0))</f>
        <v>0</v>
      </c>
      <c r="AJ214" s="64">
        <f>IF(INDEX(Standings!$A$2:$C$33,MATCH(Table1[[#This Row],[AwayTeam]],Standings!$A$2:$A$33,0),2)=INDEX(Standings!$A$2:$C$33,MATCH(Table1[[#This Row],[HomeTeam]],Standings!$A$2:$A$33,0),2),1,0)</f>
        <v>1</v>
      </c>
      <c r="AK214" s="64">
        <f>IF(INDEX(Standings!$A$2:$C$33,MATCH(Table1[[#This Row],[AwayTeam]],Standings!$A$2:$A$33,0),3)=INDEX(Standings!$A$2:$C$33,MATCH(Table1[[#This Row],[HomeTeam]],Standings!$A$2:$A$33,0),3),1,0)</f>
        <v>1</v>
      </c>
      <c r="AL214" s="64">
        <f>IF(Table1[[#This Row],[InterConf]]=1,IF(Table1[[#This Row],[InterDiv]]=0, 1, 0), 0)</f>
        <v>0</v>
      </c>
      <c r="AM214" s="64">
        <f>IF(INDEX(Standings!$A$2:$C$33,MATCH(Table1[[#This Row],[AwayTeam]],Standings!$A$2:$A$33,0),2)&lt;&gt;INDEX(Standings!$A$2:$C$33,MATCH(Table1[[#This Row],[HomeTeam]],Standings!$A$2:$A$33,0),2),1,0)</f>
        <v>0</v>
      </c>
      <c r="AN214" s="64" t="str">
        <f>INDEX(Table2[AWAY_RECORD], MATCH(Table1[[#This Row],[AwayTeam]],Table2[Team], 0), 0)</f>
        <v>0-0-1</v>
      </c>
      <c r="AO214" s="64" t="str">
        <f>INDEX(Records!$B$2:$AG$33, MATCH(Table1[[#This Row],[AwayTeam]],Records!$A$2:$A$33, 0), MATCH(Table1[[#This Row],[HomeTeam]],Records!$A$2:$A$33, 0))</f>
        <v>0-0-0</v>
      </c>
      <c r="AP214" s="64" t="str">
        <f>INDEX(Table2[HOME_RECORD], MATCH(Table1[[#This Row],[HomeTeam]],Table2[Team], 0), 0)</f>
        <v>0-1-0</v>
      </c>
      <c r="AQ214" s="64" t="str">
        <f>INDEX(Records!$B$2:$AG$33, MATCH(Table1[[#This Row],[HomeTeam]],Records!$A$2:$A$33, 0), MATCH(Table1[[#This Row],[AwayTeam]],Records!$A$2:$A$33, 0))</f>
        <v>0-0-0</v>
      </c>
    </row>
    <row r="215" spans="1:43" x14ac:dyDescent="0.25">
      <c r="A215" s="1"/>
      <c r="D215" t="s">
        <v>425</v>
      </c>
      <c r="E215" t="s">
        <v>207</v>
      </c>
      <c r="F215" t="s">
        <v>426</v>
      </c>
      <c r="G215" t="s">
        <v>49</v>
      </c>
      <c r="H215" t="s">
        <v>25</v>
      </c>
      <c r="L21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1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15" s="1"/>
      <c r="T215" s="64" t="str">
        <f>IF(Table1[[#This Row],[ActualWinner]]="", "", IF(Table1[[#This Row],[AwayTeam]]=Table1[[#This Row],[ActualWinner]],Table1[[#This Row],[HomeTeam]],Table1[[#This Row],[AwayTeam]]))</f>
        <v/>
      </c>
      <c r="U215" s="64">
        <f>Table1[[#This Row],[ActualAwayScore]]-Table1[[#This Row],[PredictedAwayScore]]</f>
        <v>0</v>
      </c>
      <c r="V215" s="64">
        <f>Table1[[#This Row],[ActualHomeScore]]-Table1[[#This Row],[PredictedHomeScore]]</f>
        <v>0</v>
      </c>
      <c r="W215" s="64">
        <f>(0.8*IF(Table1[[#This Row],[CorrectWinnerPrediction]]=1, 1, 0))+(0.1*IF(Table1[[#This Row],[CorrectAwayScorePrediction]]=1, 1, 0))+(0.1*IF(Table1[[#This Row],[CorrectHomeScorePrediction]]=1, 1, 0))</f>
        <v>0</v>
      </c>
      <c r="X21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15" s="64">
        <f>SUMIF(Table1[GameDate], Table1[[#This Row],[GameDate]], Table1[AwayGameGoalDiff])</f>
        <v>0</v>
      </c>
      <c r="AA215" s="64">
        <f>SUMIF(Table1[GameDate], Table1[[#This Row],[GameDate]], Table1[HomeGameGoalDiff])</f>
        <v>0</v>
      </c>
      <c r="AB215" s="64">
        <f>IF(ISBLANK(Table1[[#This Row],[ActualResult]]), 0, 1)</f>
        <v>0</v>
      </c>
      <c r="AC215" s="64">
        <f>IF(ISBLANK(Table1[[#This Row],[ActualResult]]), 0, IF(Table1[[#This Row],[ActualWinner]]=Table1[[#This Row],[PredictedWinner]], 1, 0))</f>
        <v>0</v>
      </c>
      <c r="AD21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1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15" s="64">
        <f>IF(AND(Table1[[#This Row],[GameIsOver]]=1,Table1[[#This Row],[ActualAwayScore]]=0), 1,0)</f>
        <v>0</v>
      </c>
      <c r="AG215" s="64">
        <f>IF(AND(Table1[[#This Row],[GameIsOver]]=1,Table1[[#This Row],[ActualHomeScore]]=0), 1,0)</f>
        <v>0</v>
      </c>
      <c r="AH215" s="64">
        <f>IF(Table1[[#This Row],[GameIsOver]]=0,0,IF(Table1[[#This Row],[ActualWinner]]=Table1[[#This Row],[AwayTeam]], 1, 0))</f>
        <v>0</v>
      </c>
      <c r="AI215" s="64">
        <f>IF(Table1[[#This Row],[GameIsOver]]=0,0,IF(Table1[[#This Row],[ActualWinner]]=Table1[[#This Row],[HomeTeam]], 1, 0))</f>
        <v>0</v>
      </c>
      <c r="AJ215" s="64">
        <f>IF(INDEX(Standings!$A$2:$C$33,MATCH(Table1[[#This Row],[AwayTeam]],Standings!$A$2:$A$33,0),2)=INDEX(Standings!$A$2:$C$33,MATCH(Table1[[#This Row],[HomeTeam]],Standings!$A$2:$A$33,0),2),1,0)</f>
        <v>0</v>
      </c>
      <c r="AK215" s="64">
        <f>IF(INDEX(Standings!$A$2:$C$33,MATCH(Table1[[#This Row],[AwayTeam]],Standings!$A$2:$A$33,0),3)=INDEX(Standings!$A$2:$C$33,MATCH(Table1[[#This Row],[HomeTeam]],Standings!$A$2:$A$33,0),3),1,0)</f>
        <v>0</v>
      </c>
      <c r="AL215" s="64">
        <f>IF(Table1[[#This Row],[InterConf]]=1,IF(Table1[[#This Row],[InterDiv]]=0, 1, 0), 0)</f>
        <v>0</v>
      </c>
      <c r="AM215" s="64">
        <f>IF(INDEX(Standings!$A$2:$C$33,MATCH(Table1[[#This Row],[AwayTeam]],Standings!$A$2:$A$33,0),2)&lt;&gt;INDEX(Standings!$A$2:$C$33,MATCH(Table1[[#This Row],[HomeTeam]],Standings!$A$2:$A$33,0),2),1,0)</f>
        <v>1</v>
      </c>
      <c r="AN215" s="64" t="str">
        <f>INDEX(Table2[AWAY_RECORD], MATCH(Table1[[#This Row],[AwayTeam]],Table2[Team], 0), 0)</f>
        <v>0-0-0</v>
      </c>
      <c r="AO215" s="64" t="str">
        <f>INDEX(Records!$B$2:$AG$33, MATCH(Table1[[#This Row],[AwayTeam]],Records!$A$2:$A$33, 0), MATCH(Table1[[#This Row],[HomeTeam]],Records!$A$2:$A$33, 0))</f>
        <v>0-0-0</v>
      </c>
      <c r="AP215" s="64" t="str">
        <f>INDEX(Table2[HOME_RECORD], MATCH(Table1[[#This Row],[HomeTeam]],Table2[Team], 0), 0)</f>
        <v>0-0-1</v>
      </c>
      <c r="AQ215" s="64" t="str">
        <f>INDEX(Records!$B$2:$AG$33, MATCH(Table1[[#This Row],[HomeTeam]],Records!$A$2:$A$33, 0), MATCH(Table1[[#This Row],[AwayTeam]],Records!$A$2:$A$33, 0))</f>
        <v>0-0-0</v>
      </c>
    </row>
    <row r="216" spans="1:43" x14ac:dyDescent="0.25">
      <c r="A216" s="1"/>
      <c r="D216" t="s">
        <v>425</v>
      </c>
      <c r="E216" t="s">
        <v>160</v>
      </c>
      <c r="F216" t="s">
        <v>427</v>
      </c>
      <c r="G216" t="s">
        <v>60</v>
      </c>
      <c r="H216" t="s">
        <v>17</v>
      </c>
      <c r="L21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1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16" s="1"/>
      <c r="T216" s="64" t="str">
        <f>IF(Table1[[#This Row],[ActualWinner]]="", "", IF(Table1[[#This Row],[AwayTeam]]=Table1[[#This Row],[ActualWinner]],Table1[[#This Row],[HomeTeam]],Table1[[#This Row],[AwayTeam]]))</f>
        <v/>
      </c>
      <c r="U216" s="64">
        <f>Table1[[#This Row],[ActualAwayScore]]-Table1[[#This Row],[PredictedAwayScore]]</f>
        <v>0</v>
      </c>
      <c r="V216" s="64">
        <f>Table1[[#This Row],[ActualHomeScore]]-Table1[[#This Row],[PredictedHomeScore]]</f>
        <v>0</v>
      </c>
      <c r="W216" s="64">
        <f>(0.8*IF(Table1[[#This Row],[CorrectWinnerPrediction]]=1, 1, 0))+(0.1*IF(Table1[[#This Row],[CorrectAwayScorePrediction]]=1, 1, 0))+(0.1*IF(Table1[[#This Row],[CorrectHomeScorePrediction]]=1, 1, 0))</f>
        <v>0</v>
      </c>
      <c r="X21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16" s="64">
        <f>SUMIF(Table1[GameDate], Table1[[#This Row],[GameDate]], Table1[AwayGameGoalDiff])</f>
        <v>0</v>
      </c>
      <c r="AA216" s="64">
        <f>SUMIF(Table1[GameDate], Table1[[#This Row],[GameDate]], Table1[HomeGameGoalDiff])</f>
        <v>0</v>
      </c>
      <c r="AB216" s="64">
        <f>IF(ISBLANK(Table1[[#This Row],[ActualResult]]), 0, 1)</f>
        <v>0</v>
      </c>
      <c r="AC216" s="64">
        <f>IF(ISBLANK(Table1[[#This Row],[ActualResult]]), 0, IF(Table1[[#This Row],[ActualWinner]]=Table1[[#This Row],[PredictedWinner]], 1, 0))</f>
        <v>0</v>
      </c>
      <c r="AD21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1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16" s="64">
        <f>IF(AND(Table1[[#This Row],[GameIsOver]]=1,Table1[[#This Row],[ActualAwayScore]]=0), 1,0)</f>
        <v>0</v>
      </c>
      <c r="AG216" s="64">
        <f>IF(AND(Table1[[#This Row],[GameIsOver]]=1,Table1[[#This Row],[ActualHomeScore]]=0), 1,0)</f>
        <v>0</v>
      </c>
      <c r="AH216" s="64">
        <f>IF(Table1[[#This Row],[GameIsOver]]=0,0,IF(Table1[[#This Row],[ActualWinner]]=Table1[[#This Row],[AwayTeam]], 1, 0))</f>
        <v>0</v>
      </c>
      <c r="AI216" s="64">
        <f>IF(Table1[[#This Row],[GameIsOver]]=0,0,IF(Table1[[#This Row],[ActualWinner]]=Table1[[#This Row],[HomeTeam]], 1, 0))</f>
        <v>0</v>
      </c>
      <c r="AJ216" s="64">
        <f>IF(INDEX(Standings!$A$2:$C$33,MATCH(Table1[[#This Row],[AwayTeam]],Standings!$A$2:$A$33,0),2)=INDEX(Standings!$A$2:$C$33,MATCH(Table1[[#This Row],[HomeTeam]],Standings!$A$2:$A$33,0),2),1,0)</f>
        <v>0</v>
      </c>
      <c r="AK216" s="64">
        <f>IF(INDEX(Standings!$A$2:$C$33,MATCH(Table1[[#This Row],[AwayTeam]],Standings!$A$2:$A$33,0),3)=INDEX(Standings!$A$2:$C$33,MATCH(Table1[[#This Row],[HomeTeam]],Standings!$A$2:$A$33,0),3),1,0)</f>
        <v>0</v>
      </c>
      <c r="AL216" s="64">
        <f>IF(Table1[[#This Row],[InterConf]]=1,IF(Table1[[#This Row],[InterDiv]]=0, 1, 0), 0)</f>
        <v>0</v>
      </c>
      <c r="AM216" s="64">
        <f>IF(INDEX(Standings!$A$2:$C$33,MATCH(Table1[[#This Row],[AwayTeam]],Standings!$A$2:$A$33,0),2)&lt;&gt;INDEX(Standings!$A$2:$C$33,MATCH(Table1[[#This Row],[HomeTeam]],Standings!$A$2:$A$33,0),2),1,0)</f>
        <v>1</v>
      </c>
      <c r="AN216" s="64" t="str">
        <f>INDEX(Table2[AWAY_RECORD], MATCH(Table1[[#This Row],[AwayTeam]],Table2[Team], 0), 0)</f>
        <v>0-0-0</v>
      </c>
      <c r="AO216" s="64" t="str">
        <f>INDEX(Records!$B$2:$AG$33, MATCH(Table1[[#This Row],[AwayTeam]],Records!$A$2:$A$33, 0), MATCH(Table1[[#This Row],[HomeTeam]],Records!$A$2:$A$33, 0))</f>
        <v>0-0-0</v>
      </c>
      <c r="AP216" s="64" t="str">
        <f>INDEX(Table2[HOME_RECORD], MATCH(Table1[[#This Row],[HomeTeam]],Table2[Team], 0), 0)</f>
        <v>0-0-0</v>
      </c>
      <c r="AQ216" s="64" t="str">
        <f>INDEX(Records!$B$2:$AG$33, MATCH(Table1[[#This Row],[HomeTeam]],Records!$A$2:$A$33, 0), MATCH(Table1[[#This Row],[AwayTeam]],Records!$A$2:$A$33, 0))</f>
        <v>0-0-0</v>
      </c>
    </row>
    <row r="217" spans="1:43" x14ac:dyDescent="0.25">
      <c r="A217" s="1"/>
      <c r="D217" t="s">
        <v>425</v>
      </c>
      <c r="E217" t="s">
        <v>162</v>
      </c>
      <c r="F217" t="s">
        <v>428</v>
      </c>
      <c r="G217" t="s">
        <v>56</v>
      </c>
      <c r="H217" t="s">
        <v>39</v>
      </c>
      <c r="L21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1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17" s="1"/>
      <c r="T217" s="64" t="str">
        <f>IF(Table1[[#This Row],[ActualWinner]]="", "", IF(Table1[[#This Row],[AwayTeam]]=Table1[[#This Row],[ActualWinner]],Table1[[#This Row],[HomeTeam]],Table1[[#This Row],[AwayTeam]]))</f>
        <v/>
      </c>
      <c r="U217" s="64">
        <f>Table1[[#This Row],[ActualAwayScore]]-Table1[[#This Row],[PredictedAwayScore]]</f>
        <v>0</v>
      </c>
      <c r="V217" s="64">
        <f>Table1[[#This Row],[ActualHomeScore]]-Table1[[#This Row],[PredictedHomeScore]]</f>
        <v>0</v>
      </c>
      <c r="W217" s="64">
        <f>(0.8*IF(Table1[[#This Row],[CorrectWinnerPrediction]]=1, 1, 0))+(0.1*IF(Table1[[#This Row],[CorrectAwayScorePrediction]]=1, 1, 0))+(0.1*IF(Table1[[#This Row],[CorrectHomeScorePrediction]]=1, 1, 0))</f>
        <v>0</v>
      </c>
      <c r="X21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17" s="64">
        <f>SUMIF(Table1[GameDate], Table1[[#This Row],[GameDate]], Table1[AwayGameGoalDiff])</f>
        <v>0</v>
      </c>
      <c r="AA217" s="64">
        <f>SUMIF(Table1[GameDate], Table1[[#This Row],[GameDate]], Table1[HomeGameGoalDiff])</f>
        <v>0</v>
      </c>
      <c r="AB217" s="64">
        <f>IF(ISBLANK(Table1[[#This Row],[ActualResult]]), 0, 1)</f>
        <v>0</v>
      </c>
      <c r="AC217" s="64">
        <f>IF(ISBLANK(Table1[[#This Row],[ActualResult]]), 0, IF(Table1[[#This Row],[ActualWinner]]=Table1[[#This Row],[PredictedWinner]], 1, 0))</f>
        <v>0</v>
      </c>
      <c r="AD21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1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17" s="64">
        <f>IF(AND(Table1[[#This Row],[GameIsOver]]=1,Table1[[#This Row],[ActualAwayScore]]=0), 1,0)</f>
        <v>0</v>
      </c>
      <c r="AG217" s="64">
        <f>IF(AND(Table1[[#This Row],[GameIsOver]]=1,Table1[[#This Row],[ActualHomeScore]]=0), 1,0)</f>
        <v>0</v>
      </c>
      <c r="AH217" s="64">
        <f>IF(Table1[[#This Row],[GameIsOver]]=0,0,IF(Table1[[#This Row],[ActualWinner]]=Table1[[#This Row],[AwayTeam]], 1, 0))</f>
        <v>0</v>
      </c>
      <c r="AI217" s="64">
        <f>IF(Table1[[#This Row],[GameIsOver]]=0,0,IF(Table1[[#This Row],[ActualWinner]]=Table1[[#This Row],[HomeTeam]], 1, 0))</f>
        <v>0</v>
      </c>
      <c r="AJ217" s="64">
        <f>IF(INDEX(Standings!$A$2:$C$33,MATCH(Table1[[#This Row],[AwayTeam]],Standings!$A$2:$A$33,0),2)=INDEX(Standings!$A$2:$C$33,MATCH(Table1[[#This Row],[HomeTeam]],Standings!$A$2:$A$33,0),2),1,0)</f>
        <v>1</v>
      </c>
      <c r="AK217" s="64">
        <f>IF(INDEX(Standings!$A$2:$C$33,MATCH(Table1[[#This Row],[AwayTeam]],Standings!$A$2:$A$33,0),3)=INDEX(Standings!$A$2:$C$33,MATCH(Table1[[#This Row],[HomeTeam]],Standings!$A$2:$A$33,0),3),1,0)</f>
        <v>1</v>
      </c>
      <c r="AL217" s="64">
        <f>IF(Table1[[#This Row],[InterConf]]=1,IF(Table1[[#This Row],[InterDiv]]=0, 1, 0), 0)</f>
        <v>0</v>
      </c>
      <c r="AM217" s="64">
        <f>IF(INDEX(Standings!$A$2:$C$33,MATCH(Table1[[#This Row],[AwayTeam]],Standings!$A$2:$A$33,0),2)&lt;&gt;INDEX(Standings!$A$2:$C$33,MATCH(Table1[[#This Row],[HomeTeam]],Standings!$A$2:$A$33,0),2),1,0)</f>
        <v>0</v>
      </c>
      <c r="AN217" s="64" t="str">
        <f>INDEX(Table2[AWAY_RECORD], MATCH(Table1[[#This Row],[AwayTeam]],Table2[Team], 0), 0)</f>
        <v>1-0-0</v>
      </c>
      <c r="AO217" s="64" t="str">
        <f>INDEX(Records!$B$2:$AG$33, MATCH(Table1[[#This Row],[AwayTeam]],Records!$A$2:$A$33, 0), MATCH(Table1[[#This Row],[HomeTeam]],Records!$A$2:$A$33, 0))</f>
        <v>1-0-0</v>
      </c>
      <c r="AP217" s="64" t="str">
        <f>INDEX(Table2[HOME_RECORD], MATCH(Table1[[#This Row],[HomeTeam]],Table2[Team], 0), 0)</f>
        <v>0-1-0</v>
      </c>
      <c r="AQ217" s="64" t="str">
        <f>INDEX(Records!$B$2:$AG$33, MATCH(Table1[[#This Row],[HomeTeam]],Records!$A$2:$A$33, 0), MATCH(Table1[[#This Row],[AwayTeam]],Records!$A$2:$A$33, 0))</f>
        <v>0-1-0</v>
      </c>
    </row>
    <row r="218" spans="1:43" x14ac:dyDescent="0.25">
      <c r="A218" s="1"/>
      <c r="D218" t="s">
        <v>429</v>
      </c>
      <c r="E218" t="s">
        <v>205</v>
      </c>
      <c r="F218" t="s">
        <v>430</v>
      </c>
      <c r="G218" t="s">
        <v>16</v>
      </c>
      <c r="H218" t="s">
        <v>37</v>
      </c>
      <c r="L21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1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18" s="1"/>
      <c r="T218" s="64" t="str">
        <f>IF(Table1[[#This Row],[ActualWinner]]="", "", IF(Table1[[#This Row],[AwayTeam]]=Table1[[#This Row],[ActualWinner]],Table1[[#This Row],[HomeTeam]],Table1[[#This Row],[AwayTeam]]))</f>
        <v/>
      </c>
      <c r="U218" s="64">
        <f>Table1[[#This Row],[ActualAwayScore]]-Table1[[#This Row],[PredictedAwayScore]]</f>
        <v>0</v>
      </c>
      <c r="V218" s="64">
        <f>Table1[[#This Row],[ActualHomeScore]]-Table1[[#This Row],[PredictedHomeScore]]</f>
        <v>0</v>
      </c>
      <c r="W218" s="64">
        <f>(0.8*IF(Table1[[#This Row],[CorrectWinnerPrediction]]=1, 1, 0))+(0.1*IF(Table1[[#This Row],[CorrectAwayScorePrediction]]=1, 1, 0))+(0.1*IF(Table1[[#This Row],[CorrectHomeScorePrediction]]=1, 1, 0))</f>
        <v>0</v>
      </c>
      <c r="X21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18" s="64">
        <f>SUMIF(Table1[GameDate], Table1[[#This Row],[GameDate]], Table1[AwayGameGoalDiff])</f>
        <v>0</v>
      </c>
      <c r="AA218" s="64">
        <f>SUMIF(Table1[GameDate], Table1[[#This Row],[GameDate]], Table1[HomeGameGoalDiff])</f>
        <v>0</v>
      </c>
      <c r="AB218" s="64">
        <f>IF(ISBLANK(Table1[[#This Row],[ActualResult]]), 0, 1)</f>
        <v>0</v>
      </c>
      <c r="AC218" s="64">
        <f>IF(ISBLANK(Table1[[#This Row],[ActualResult]]), 0, IF(Table1[[#This Row],[ActualWinner]]=Table1[[#This Row],[PredictedWinner]], 1, 0))</f>
        <v>0</v>
      </c>
      <c r="AD21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1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18" s="64">
        <f>IF(AND(Table1[[#This Row],[GameIsOver]]=1,Table1[[#This Row],[ActualAwayScore]]=0), 1,0)</f>
        <v>0</v>
      </c>
      <c r="AG218" s="64">
        <f>IF(AND(Table1[[#This Row],[GameIsOver]]=1,Table1[[#This Row],[ActualHomeScore]]=0), 1,0)</f>
        <v>0</v>
      </c>
      <c r="AH218" s="64">
        <f>IF(Table1[[#This Row],[GameIsOver]]=0,0,IF(Table1[[#This Row],[ActualWinner]]=Table1[[#This Row],[AwayTeam]], 1, 0))</f>
        <v>0</v>
      </c>
      <c r="AI218" s="64">
        <f>IF(Table1[[#This Row],[GameIsOver]]=0,0,IF(Table1[[#This Row],[ActualWinner]]=Table1[[#This Row],[HomeTeam]], 1, 0))</f>
        <v>0</v>
      </c>
      <c r="AJ218" s="64">
        <f>IF(INDEX(Standings!$A$2:$C$33,MATCH(Table1[[#This Row],[AwayTeam]],Standings!$A$2:$A$33,0),2)=INDEX(Standings!$A$2:$C$33,MATCH(Table1[[#This Row],[HomeTeam]],Standings!$A$2:$A$33,0),2),1,0)</f>
        <v>0</v>
      </c>
      <c r="AK218" s="64">
        <f>IF(INDEX(Standings!$A$2:$C$33,MATCH(Table1[[#This Row],[AwayTeam]],Standings!$A$2:$A$33,0),3)=INDEX(Standings!$A$2:$C$33,MATCH(Table1[[#This Row],[HomeTeam]],Standings!$A$2:$A$33,0),3),1,0)</f>
        <v>0</v>
      </c>
      <c r="AL218" s="64">
        <f>IF(Table1[[#This Row],[InterConf]]=1,IF(Table1[[#This Row],[InterDiv]]=0, 1, 0), 0)</f>
        <v>0</v>
      </c>
      <c r="AM218" s="64">
        <f>IF(INDEX(Standings!$A$2:$C$33,MATCH(Table1[[#This Row],[AwayTeam]],Standings!$A$2:$A$33,0),2)&lt;&gt;INDEX(Standings!$A$2:$C$33,MATCH(Table1[[#This Row],[HomeTeam]],Standings!$A$2:$A$33,0),2),1,0)</f>
        <v>1</v>
      </c>
      <c r="AN218" s="64" t="str">
        <f>INDEX(Table2[AWAY_RECORD], MATCH(Table1[[#This Row],[AwayTeam]],Table2[Team], 0), 0)</f>
        <v>1-0-1</v>
      </c>
      <c r="AO218" s="64" t="str">
        <f>INDEX(Records!$B$2:$AG$33, MATCH(Table1[[#This Row],[AwayTeam]],Records!$A$2:$A$33, 0), MATCH(Table1[[#This Row],[HomeTeam]],Records!$A$2:$A$33, 0))</f>
        <v>0-0-0</v>
      </c>
      <c r="AP218" s="64" t="str">
        <f>INDEX(Table2[HOME_RECORD], MATCH(Table1[[#This Row],[HomeTeam]],Table2[Team], 0), 0)</f>
        <v>0-1-0</v>
      </c>
      <c r="AQ218" s="64" t="str">
        <f>INDEX(Records!$B$2:$AG$33, MATCH(Table1[[#This Row],[HomeTeam]],Records!$A$2:$A$33, 0), MATCH(Table1[[#This Row],[AwayTeam]],Records!$A$2:$A$33, 0))</f>
        <v>0-0-0</v>
      </c>
    </row>
    <row r="219" spans="1:43" x14ac:dyDescent="0.25">
      <c r="A219" s="1"/>
      <c r="D219" t="s">
        <v>429</v>
      </c>
      <c r="E219" t="s">
        <v>205</v>
      </c>
      <c r="F219" t="s">
        <v>431</v>
      </c>
      <c r="G219" t="s">
        <v>61</v>
      </c>
      <c r="H219" t="s">
        <v>44</v>
      </c>
      <c r="L21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1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19" s="1"/>
      <c r="T219" s="64" t="str">
        <f>IF(Table1[[#This Row],[ActualWinner]]="", "", IF(Table1[[#This Row],[AwayTeam]]=Table1[[#This Row],[ActualWinner]],Table1[[#This Row],[HomeTeam]],Table1[[#This Row],[AwayTeam]]))</f>
        <v/>
      </c>
      <c r="U219" s="64">
        <f>Table1[[#This Row],[ActualAwayScore]]-Table1[[#This Row],[PredictedAwayScore]]</f>
        <v>0</v>
      </c>
      <c r="V219" s="64">
        <f>Table1[[#This Row],[ActualHomeScore]]-Table1[[#This Row],[PredictedHomeScore]]</f>
        <v>0</v>
      </c>
      <c r="W219" s="64">
        <f>(0.8*IF(Table1[[#This Row],[CorrectWinnerPrediction]]=1, 1, 0))+(0.1*IF(Table1[[#This Row],[CorrectAwayScorePrediction]]=1, 1, 0))+(0.1*IF(Table1[[#This Row],[CorrectHomeScorePrediction]]=1, 1, 0))</f>
        <v>0</v>
      </c>
      <c r="X21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19" s="64">
        <f>SUMIF(Table1[GameDate], Table1[[#This Row],[GameDate]], Table1[AwayGameGoalDiff])</f>
        <v>0</v>
      </c>
      <c r="AA219" s="64">
        <f>SUMIF(Table1[GameDate], Table1[[#This Row],[GameDate]], Table1[HomeGameGoalDiff])</f>
        <v>0</v>
      </c>
      <c r="AB219" s="64">
        <f>IF(ISBLANK(Table1[[#This Row],[ActualResult]]), 0, 1)</f>
        <v>0</v>
      </c>
      <c r="AC219" s="64">
        <f>IF(ISBLANK(Table1[[#This Row],[ActualResult]]), 0, IF(Table1[[#This Row],[ActualWinner]]=Table1[[#This Row],[PredictedWinner]], 1, 0))</f>
        <v>0</v>
      </c>
      <c r="AD21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1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19" s="64">
        <f>IF(AND(Table1[[#This Row],[GameIsOver]]=1,Table1[[#This Row],[ActualAwayScore]]=0), 1,0)</f>
        <v>0</v>
      </c>
      <c r="AG219" s="64">
        <f>IF(AND(Table1[[#This Row],[GameIsOver]]=1,Table1[[#This Row],[ActualHomeScore]]=0), 1,0)</f>
        <v>0</v>
      </c>
      <c r="AH219" s="64">
        <f>IF(Table1[[#This Row],[GameIsOver]]=0,0,IF(Table1[[#This Row],[ActualWinner]]=Table1[[#This Row],[AwayTeam]], 1, 0))</f>
        <v>0</v>
      </c>
      <c r="AI219" s="64">
        <f>IF(Table1[[#This Row],[GameIsOver]]=0,0,IF(Table1[[#This Row],[ActualWinner]]=Table1[[#This Row],[HomeTeam]], 1, 0))</f>
        <v>0</v>
      </c>
      <c r="AJ219" s="64">
        <f>IF(INDEX(Standings!$A$2:$C$33,MATCH(Table1[[#This Row],[AwayTeam]],Standings!$A$2:$A$33,0),2)=INDEX(Standings!$A$2:$C$33,MATCH(Table1[[#This Row],[HomeTeam]],Standings!$A$2:$A$33,0),2),1,0)</f>
        <v>0</v>
      </c>
      <c r="AK219" s="64">
        <f>IF(INDEX(Standings!$A$2:$C$33,MATCH(Table1[[#This Row],[AwayTeam]],Standings!$A$2:$A$33,0),3)=INDEX(Standings!$A$2:$C$33,MATCH(Table1[[#This Row],[HomeTeam]],Standings!$A$2:$A$33,0),3),1,0)</f>
        <v>0</v>
      </c>
      <c r="AL219" s="64">
        <f>IF(Table1[[#This Row],[InterConf]]=1,IF(Table1[[#This Row],[InterDiv]]=0, 1, 0), 0)</f>
        <v>0</v>
      </c>
      <c r="AM219" s="64">
        <f>IF(INDEX(Standings!$A$2:$C$33,MATCH(Table1[[#This Row],[AwayTeam]],Standings!$A$2:$A$33,0),2)&lt;&gt;INDEX(Standings!$A$2:$C$33,MATCH(Table1[[#This Row],[HomeTeam]],Standings!$A$2:$A$33,0),2),1,0)</f>
        <v>1</v>
      </c>
      <c r="AN219" s="64" t="str">
        <f>INDEX(Table2[AWAY_RECORD], MATCH(Table1[[#This Row],[AwayTeam]],Table2[Team], 0), 0)</f>
        <v>0-0-0</v>
      </c>
      <c r="AO219" s="64" t="str">
        <f>INDEX(Records!$B$2:$AG$33, MATCH(Table1[[#This Row],[AwayTeam]],Records!$A$2:$A$33, 0), MATCH(Table1[[#This Row],[HomeTeam]],Records!$A$2:$A$33, 0))</f>
        <v>0-0-0</v>
      </c>
      <c r="AP219" s="64" t="str">
        <f>INDEX(Table2[HOME_RECORD], MATCH(Table1[[#This Row],[HomeTeam]],Table2[Team], 0), 0)</f>
        <v>0-0-1</v>
      </c>
      <c r="AQ219" s="64" t="str">
        <f>INDEX(Records!$B$2:$AG$33, MATCH(Table1[[#This Row],[HomeTeam]],Records!$A$2:$A$33, 0), MATCH(Table1[[#This Row],[AwayTeam]],Records!$A$2:$A$33, 0))</f>
        <v>0-0-0</v>
      </c>
    </row>
    <row r="220" spans="1:43" x14ac:dyDescent="0.25">
      <c r="A220" s="1"/>
      <c r="D220" t="s">
        <v>429</v>
      </c>
      <c r="E220" t="s">
        <v>432</v>
      </c>
      <c r="F220" t="s">
        <v>433</v>
      </c>
      <c r="G220" t="s">
        <v>57</v>
      </c>
      <c r="H220" t="s">
        <v>48</v>
      </c>
      <c r="L22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2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20" s="1"/>
      <c r="T220" s="64" t="str">
        <f>IF(Table1[[#This Row],[ActualWinner]]="", "", IF(Table1[[#This Row],[AwayTeam]]=Table1[[#This Row],[ActualWinner]],Table1[[#This Row],[HomeTeam]],Table1[[#This Row],[AwayTeam]]))</f>
        <v/>
      </c>
      <c r="U220" s="64">
        <f>Table1[[#This Row],[ActualAwayScore]]-Table1[[#This Row],[PredictedAwayScore]]</f>
        <v>0</v>
      </c>
      <c r="V220" s="64">
        <f>Table1[[#This Row],[ActualHomeScore]]-Table1[[#This Row],[PredictedHomeScore]]</f>
        <v>0</v>
      </c>
      <c r="W220" s="64">
        <f>(0.8*IF(Table1[[#This Row],[CorrectWinnerPrediction]]=1, 1, 0))+(0.1*IF(Table1[[#This Row],[CorrectAwayScorePrediction]]=1, 1, 0))+(0.1*IF(Table1[[#This Row],[CorrectHomeScorePrediction]]=1, 1, 0))</f>
        <v>0</v>
      </c>
      <c r="X22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20" s="64">
        <f>SUMIF(Table1[GameDate], Table1[[#This Row],[GameDate]], Table1[AwayGameGoalDiff])</f>
        <v>0</v>
      </c>
      <c r="AA220" s="64">
        <f>SUMIF(Table1[GameDate], Table1[[#This Row],[GameDate]], Table1[HomeGameGoalDiff])</f>
        <v>0</v>
      </c>
      <c r="AB220" s="64">
        <f>IF(ISBLANK(Table1[[#This Row],[ActualResult]]), 0, 1)</f>
        <v>0</v>
      </c>
      <c r="AC220" s="64">
        <f>IF(ISBLANK(Table1[[#This Row],[ActualResult]]), 0, IF(Table1[[#This Row],[ActualWinner]]=Table1[[#This Row],[PredictedWinner]], 1, 0))</f>
        <v>0</v>
      </c>
      <c r="AD22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2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20" s="64">
        <f>IF(AND(Table1[[#This Row],[GameIsOver]]=1,Table1[[#This Row],[ActualAwayScore]]=0), 1,0)</f>
        <v>0</v>
      </c>
      <c r="AG220" s="64">
        <f>IF(AND(Table1[[#This Row],[GameIsOver]]=1,Table1[[#This Row],[ActualHomeScore]]=0), 1,0)</f>
        <v>0</v>
      </c>
      <c r="AH220" s="64">
        <f>IF(Table1[[#This Row],[GameIsOver]]=0,0,IF(Table1[[#This Row],[ActualWinner]]=Table1[[#This Row],[AwayTeam]], 1, 0))</f>
        <v>0</v>
      </c>
      <c r="AI220" s="64">
        <f>IF(Table1[[#This Row],[GameIsOver]]=0,0,IF(Table1[[#This Row],[ActualWinner]]=Table1[[#This Row],[HomeTeam]], 1, 0))</f>
        <v>0</v>
      </c>
      <c r="AJ220" s="64">
        <f>IF(INDEX(Standings!$A$2:$C$33,MATCH(Table1[[#This Row],[AwayTeam]],Standings!$A$2:$A$33,0),2)=INDEX(Standings!$A$2:$C$33,MATCH(Table1[[#This Row],[HomeTeam]],Standings!$A$2:$A$33,0),2),1,0)</f>
        <v>0</v>
      </c>
      <c r="AK220" s="64">
        <f>IF(INDEX(Standings!$A$2:$C$33,MATCH(Table1[[#This Row],[AwayTeam]],Standings!$A$2:$A$33,0),3)=INDEX(Standings!$A$2:$C$33,MATCH(Table1[[#This Row],[HomeTeam]],Standings!$A$2:$A$33,0),3),1,0)</f>
        <v>0</v>
      </c>
      <c r="AL220" s="64">
        <f>IF(Table1[[#This Row],[InterConf]]=1,IF(Table1[[#This Row],[InterDiv]]=0, 1, 0), 0)</f>
        <v>0</v>
      </c>
      <c r="AM220" s="64">
        <f>IF(INDEX(Standings!$A$2:$C$33,MATCH(Table1[[#This Row],[AwayTeam]],Standings!$A$2:$A$33,0),2)&lt;&gt;INDEX(Standings!$A$2:$C$33,MATCH(Table1[[#This Row],[HomeTeam]],Standings!$A$2:$A$33,0),2),1,0)</f>
        <v>1</v>
      </c>
      <c r="AN220" s="64" t="str">
        <f>INDEX(Table2[AWAY_RECORD], MATCH(Table1[[#This Row],[AwayTeam]],Table2[Team], 0), 0)</f>
        <v>0-1-0</v>
      </c>
      <c r="AO220" s="64" t="str">
        <f>INDEX(Records!$B$2:$AG$33, MATCH(Table1[[#This Row],[AwayTeam]],Records!$A$2:$A$33, 0), MATCH(Table1[[#This Row],[HomeTeam]],Records!$A$2:$A$33, 0))</f>
        <v>0-0-0</v>
      </c>
      <c r="AP220" s="64" t="str">
        <f>INDEX(Table2[HOME_RECORD], MATCH(Table1[[#This Row],[HomeTeam]],Table2[Team], 0), 0)</f>
        <v>1-0-0</v>
      </c>
      <c r="AQ220" s="64" t="str">
        <f>INDEX(Records!$B$2:$AG$33, MATCH(Table1[[#This Row],[HomeTeam]],Records!$A$2:$A$33, 0), MATCH(Table1[[#This Row],[AwayTeam]],Records!$A$2:$A$33, 0))</f>
        <v>0-0-0</v>
      </c>
    </row>
    <row r="221" spans="1:43" x14ac:dyDescent="0.25">
      <c r="A221" s="1"/>
      <c r="D221" t="s">
        <v>429</v>
      </c>
      <c r="E221" t="s">
        <v>250</v>
      </c>
      <c r="F221" t="s">
        <v>434</v>
      </c>
      <c r="G221" t="s">
        <v>45</v>
      </c>
      <c r="H221" t="s">
        <v>50</v>
      </c>
      <c r="L22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2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21" s="1"/>
      <c r="T221" s="64" t="str">
        <f>IF(Table1[[#This Row],[ActualWinner]]="", "", IF(Table1[[#This Row],[AwayTeam]]=Table1[[#This Row],[ActualWinner]],Table1[[#This Row],[HomeTeam]],Table1[[#This Row],[AwayTeam]]))</f>
        <v/>
      </c>
      <c r="U221" s="64">
        <f>Table1[[#This Row],[ActualAwayScore]]-Table1[[#This Row],[PredictedAwayScore]]</f>
        <v>0</v>
      </c>
      <c r="V221" s="64">
        <f>Table1[[#This Row],[ActualHomeScore]]-Table1[[#This Row],[PredictedHomeScore]]</f>
        <v>0</v>
      </c>
      <c r="W221" s="64">
        <f>(0.8*IF(Table1[[#This Row],[CorrectWinnerPrediction]]=1, 1, 0))+(0.1*IF(Table1[[#This Row],[CorrectAwayScorePrediction]]=1, 1, 0))+(0.1*IF(Table1[[#This Row],[CorrectHomeScorePrediction]]=1, 1, 0))</f>
        <v>0</v>
      </c>
      <c r="X22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21" s="64">
        <f>SUMIF(Table1[GameDate], Table1[[#This Row],[GameDate]], Table1[AwayGameGoalDiff])</f>
        <v>0</v>
      </c>
      <c r="AA221" s="64">
        <f>SUMIF(Table1[GameDate], Table1[[#This Row],[GameDate]], Table1[HomeGameGoalDiff])</f>
        <v>0</v>
      </c>
      <c r="AB221" s="64">
        <f>IF(ISBLANK(Table1[[#This Row],[ActualResult]]), 0, 1)</f>
        <v>0</v>
      </c>
      <c r="AC221" s="64">
        <f>IF(ISBLANK(Table1[[#This Row],[ActualResult]]), 0, IF(Table1[[#This Row],[ActualWinner]]=Table1[[#This Row],[PredictedWinner]], 1, 0))</f>
        <v>0</v>
      </c>
      <c r="AD22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2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21" s="64">
        <f>IF(AND(Table1[[#This Row],[GameIsOver]]=1,Table1[[#This Row],[ActualAwayScore]]=0), 1,0)</f>
        <v>0</v>
      </c>
      <c r="AG221" s="64">
        <f>IF(AND(Table1[[#This Row],[GameIsOver]]=1,Table1[[#This Row],[ActualHomeScore]]=0), 1,0)</f>
        <v>0</v>
      </c>
      <c r="AH221" s="64">
        <f>IF(Table1[[#This Row],[GameIsOver]]=0,0,IF(Table1[[#This Row],[ActualWinner]]=Table1[[#This Row],[AwayTeam]], 1, 0))</f>
        <v>0</v>
      </c>
      <c r="AI221" s="64">
        <f>IF(Table1[[#This Row],[GameIsOver]]=0,0,IF(Table1[[#This Row],[ActualWinner]]=Table1[[#This Row],[HomeTeam]], 1, 0))</f>
        <v>0</v>
      </c>
      <c r="AJ221" s="64">
        <f>IF(INDEX(Standings!$A$2:$C$33,MATCH(Table1[[#This Row],[AwayTeam]],Standings!$A$2:$A$33,0),2)=INDEX(Standings!$A$2:$C$33,MATCH(Table1[[#This Row],[HomeTeam]],Standings!$A$2:$A$33,0),2),1,0)</f>
        <v>0</v>
      </c>
      <c r="AK221" s="64">
        <f>IF(INDEX(Standings!$A$2:$C$33,MATCH(Table1[[#This Row],[AwayTeam]],Standings!$A$2:$A$33,0),3)=INDEX(Standings!$A$2:$C$33,MATCH(Table1[[#This Row],[HomeTeam]],Standings!$A$2:$A$33,0),3),1,0)</f>
        <v>0</v>
      </c>
      <c r="AL221" s="64">
        <f>IF(Table1[[#This Row],[InterConf]]=1,IF(Table1[[#This Row],[InterDiv]]=0, 1, 0), 0)</f>
        <v>0</v>
      </c>
      <c r="AM221" s="64">
        <f>IF(INDEX(Standings!$A$2:$C$33,MATCH(Table1[[#This Row],[AwayTeam]],Standings!$A$2:$A$33,0),2)&lt;&gt;INDEX(Standings!$A$2:$C$33,MATCH(Table1[[#This Row],[HomeTeam]],Standings!$A$2:$A$33,0),2),1,0)</f>
        <v>1</v>
      </c>
      <c r="AN221" s="64" t="str">
        <f>INDEX(Table2[AWAY_RECORD], MATCH(Table1[[#This Row],[AwayTeam]],Table2[Team], 0), 0)</f>
        <v>1-0-0</v>
      </c>
      <c r="AO221" s="64" t="str">
        <f>INDEX(Records!$B$2:$AG$33, MATCH(Table1[[#This Row],[AwayTeam]],Records!$A$2:$A$33, 0), MATCH(Table1[[#This Row],[HomeTeam]],Records!$A$2:$A$33, 0))</f>
        <v>0-0-0</v>
      </c>
      <c r="AP221" s="64" t="str">
        <f>INDEX(Table2[HOME_RECORD], MATCH(Table1[[#This Row],[HomeTeam]],Table2[Team], 0), 0)</f>
        <v>0-0-0</v>
      </c>
      <c r="AQ221" s="64" t="str">
        <f>INDEX(Records!$B$2:$AG$33, MATCH(Table1[[#This Row],[HomeTeam]],Records!$A$2:$A$33, 0), MATCH(Table1[[#This Row],[AwayTeam]],Records!$A$2:$A$33, 0))</f>
        <v>0-0-0</v>
      </c>
    </row>
    <row r="222" spans="1:43" x14ac:dyDescent="0.25">
      <c r="A222" s="1"/>
      <c r="D222" t="s">
        <v>429</v>
      </c>
      <c r="E222" t="s">
        <v>252</v>
      </c>
      <c r="F222" t="s">
        <v>435</v>
      </c>
      <c r="G222" t="s">
        <v>38</v>
      </c>
      <c r="H222" t="s">
        <v>46</v>
      </c>
      <c r="L22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2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22" s="1"/>
      <c r="T222" s="64" t="str">
        <f>IF(Table1[[#This Row],[ActualWinner]]="", "", IF(Table1[[#This Row],[AwayTeam]]=Table1[[#This Row],[ActualWinner]],Table1[[#This Row],[HomeTeam]],Table1[[#This Row],[AwayTeam]]))</f>
        <v/>
      </c>
      <c r="U222" s="64">
        <f>Table1[[#This Row],[ActualAwayScore]]-Table1[[#This Row],[PredictedAwayScore]]</f>
        <v>0</v>
      </c>
      <c r="V222" s="64">
        <f>Table1[[#This Row],[ActualHomeScore]]-Table1[[#This Row],[PredictedHomeScore]]</f>
        <v>0</v>
      </c>
      <c r="W222" s="64">
        <f>(0.8*IF(Table1[[#This Row],[CorrectWinnerPrediction]]=1, 1, 0))+(0.1*IF(Table1[[#This Row],[CorrectAwayScorePrediction]]=1, 1, 0))+(0.1*IF(Table1[[#This Row],[CorrectHomeScorePrediction]]=1, 1, 0))</f>
        <v>0</v>
      </c>
      <c r="X22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22" s="64">
        <f>SUMIF(Table1[GameDate], Table1[[#This Row],[GameDate]], Table1[AwayGameGoalDiff])</f>
        <v>0</v>
      </c>
      <c r="AA222" s="64">
        <f>SUMIF(Table1[GameDate], Table1[[#This Row],[GameDate]], Table1[HomeGameGoalDiff])</f>
        <v>0</v>
      </c>
      <c r="AB222" s="64">
        <f>IF(ISBLANK(Table1[[#This Row],[ActualResult]]), 0, 1)</f>
        <v>0</v>
      </c>
      <c r="AC222" s="64">
        <f>IF(ISBLANK(Table1[[#This Row],[ActualResult]]), 0, IF(Table1[[#This Row],[ActualWinner]]=Table1[[#This Row],[PredictedWinner]], 1, 0))</f>
        <v>0</v>
      </c>
      <c r="AD22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2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22" s="64">
        <f>IF(AND(Table1[[#This Row],[GameIsOver]]=1,Table1[[#This Row],[ActualAwayScore]]=0), 1,0)</f>
        <v>0</v>
      </c>
      <c r="AG222" s="64">
        <f>IF(AND(Table1[[#This Row],[GameIsOver]]=1,Table1[[#This Row],[ActualHomeScore]]=0), 1,0)</f>
        <v>0</v>
      </c>
      <c r="AH222" s="64">
        <f>IF(Table1[[#This Row],[GameIsOver]]=0,0,IF(Table1[[#This Row],[ActualWinner]]=Table1[[#This Row],[AwayTeam]], 1, 0))</f>
        <v>0</v>
      </c>
      <c r="AI222" s="64">
        <f>IF(Table1[[#This Row],[GameIsOver]]=0,0,IF(Table1[[#This Row],[ActualWinner]]=Table1[[#This Row],[HomeTeam]], 1, 0))</f>
        <v>0</v>
      </c>
      <c r="AJ222" s="64">
        <f>IF(INDEX(Standings!$A$2:$C$33,MATCH(Table1[[#This Row],[AwayTeam]],Standings!$A$2:$A$33,0),2)=INDEX(Standings!$A$2:$C$33,MATCH(Table1[[#This Row],[HomeTeam]],Standings!$A$2:$A$33,0),2),1,0)</f>
        <v>0</v>
      </c>
      <c r="AK222" s="64">
        <f>IF(INDEX(Standings!$A$2:$C$33,MATCH(Table1[[#This Row],[AwayTeam]],Standings!$A$2:$A$33,0),3)=INDEX(Standings!$A$2:$C$33,MATCH(Table1[[#This Row],[HomeTeam]],Standings!$A$2:$A$33,0),3),1,0)</f>
        <v>0</v>
      </c>
      <c r="AL222" s="64">
        <f>IF(Table1[[#This Row],[InterConf]]=1,IF(Table1[[#This Row],[InterDiv]]=0, 1, 0), 0)</f>
        <v>0</v>
      </c>
      <c r="AM222" s="64">
        <f>IF(INDEX(Standings!$A$2:$C$33,MATCH(Table1[[#This Row],[AwayTeam]],Standings!$A$2:$A$33,0),2)&lt;&gt;INDEX(Standings!$A$2:$C$33,MATCH(Table1[[#This Row],[HomeTeam]],Standings!$A$2:$A$33,0),2),1,0)</f>
        <v>1</v>
      </c>
      <c r="AN222" s="64" t="str">
        <f>INDEX(Table2[AWAY_RECORD], MATCH(Table1[[#This Row],[AwayTeam]],Table2[Team], 0), 0)</f>
        <v>0-0-1</v>
      </c>
      <c r="AO222" s="64" t="str">
        <f>INDEX(Records!$B$2:$AG$33, MATCH(Table1[[#This Row],[AwayTeam]],Records!$A$2:$A$33, 0), MATCH(Table1[[#This Row],[HomeTeam]],Records!$A$2:$A$33, 0))</f>
        <v>0-0-0</v>
      </c>
      <c r="AP222" s="64" t="str">
        <f>INDEX(Table2[HOME_RECORD], MATCH(Table1[[#This Row],[HomeTeam]],Table2[Team], 0), 0)</f>
        <v>0-0-0</v>
      </c>
      <c r="AQ222" s="64" t="str">
        <f>INDEX(Records!$B$2:$AG$33, MATCH(Table1[[#This Row],[HomeTeam]],Records!$A$2:$A$33, 0), MATCH(Table1[[#This Row],[AwayTeam]],Records!$A$2:$A$33, 0))</f>
        <v>0-0-0</v>
      </c>
    </row>
    <row r="223" spans="1:43" x14ac:dyDescent="0.25">
      <c r="A223" s="1"/>
      <c r="D223" t="s">
        <v>429</v>
      </c>
      <c r="E223" t="s">
        <v>252</v>
      </c>
      <c r="F223" t="s">
        <v>436</v>
      </c>
      <c r="G223" t="s">
        <v>52</v>
      </c>
      <c r="H223" t="s">
        <v>55</v>
      </c>
      <c r="L22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2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23" s="1"/>
      <c r="T223" s="64" t="str">
        <f>IF(Table1[[#This Row],[ActualWinner]]="", "", IF(Table1[[#This Row],[AwayTeam]]=Table1[[#This Row],[ActualWinner]],Table1[[#This Row],[HomeTeam]],Table1[[#This Row],[AwayTeam]]))</f>
        <v/>
      </c>
      <c r="U223" s="64">
        <f>Table1[[#This Row],[ActualAwayScore]]-Table1[[#This Row],[PredictedAwayScore]]</f>
        <v>0</v>
      </c>
      <c r="V223" s="64">
        <f>Table1[[#This Row],[ActualHomeScore]]-Table1[[#This Row],[PredictedHomeScore]]</f>
        <v>0</v>
      </c>
      <c r="W223" s="64">
        <f>(0.8*IF(Table1[[#This Row],[CorrectWinnerPrediction]]=1, 1, 0))+(0.1*IF(Table1[[#This Row],[CorrectAwayScorePrediction]]=1, 1, 0))+(0.1*IF(Table1[[#This Row],[CorrectHomeScorePrediction]]=1, 1, 0))</f>
        <v>0</v>
      </c>
      <c r="X22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23" s="64">
        <f>SUMIF(Table1[GameDate], Table1[[#This Row],[GameDate]], Table1[AwayGameGoalDiff])</f>
        <v>0</v>
      </c>
      <c r="AA223" s="64">
        <f>SUMIF(Table1[GameDate], Table1[[#This Row],[GameDate]], Table1[HomeGameGoalDiff])</f>
        <v>0</v>
      </c>
      <c r="AB223" s="64">
        <f>IF(ISBLANK(Table1[[#This Row],[ActualResult]]), 0, 1)</f>
        <v>0</v>
      </c>
      <c r="AC223" s="64">
        <f>IF(ISBLANK(Table1[[#This Row],[ActualResult]]), 0, IF(Table1[[#This Row],[ActualWinner]]=Table1[[#This Row],[PredictedWinner]], 1, 0))</f>
        <v>0</v>
      </c>
      <c r="AD22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2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23" s="64">
        <f>IF(AND(Table1[[#This Row],[GameIsOver]]=1,Table1[[#This Row],[ActualAwayScore]]=0), 1,0)</f>
        <v>0</v>
      </c>
      <c r="AG223" s="64">
        <f>IF(AND(Table1[[#This Row],[GameIsOver]]=1,Table1[[#This Row],[ActualHomeScore]]=0), 1,0)</f>
        <v>0</v>
      </c>
      <c r="AH223" s="64">
        <f>IF(Table1[[#This Row],[GameIsOver]]=0,0,IF(Table1[[#This Row],[ActualWinner]]=Table1[[#This Row],[AwayTeam]], 1, 0))</f>
        <v>0</v>
      </c>
      <c r="AI223" s="64">
        <f>IF(Table1[[#This Row],[GameIsOver]]=0,0,IF(Table1[[#This Row],[ActualWinner]]=Table1[[#This Row],[HomeTeam]], 1, 0))</f>
        <v>0</v>
      </c>
      <c r="AJ223" s="64">
        <f>IF(INDEX(Standings!$A$2:$C$33,MATCH(Table1[[#This Row],[AwayTeam]],Standings!$A$2:$A$33,0),2)=INDEX(Standings!$A$2:$C$33,MATCH(Table1[[#This Row],[HomeTeam]],Standings!$A$2:$A$33,0),2),1,0)</f>
        <v>0</v>
      </c>
      <c r="AK223" s="64">
        <f>IF(INDEX(Standings!$A$2:$C$33,MATCH(Table1[[#This Row],[AwayTeam]],Standings!$A$2:$A$33,0),3)=INDEX(Standings!$A$2:$C$33,MATCH(Table1[[#This Row],[HomeTeam]],Standings!$A$2:$A$33,0),3),1,0)</f>
        <v>0</v>
      </c>
      <c r="AL223" s="64">
        <f>IF(Table1[[#This Row],[InterConf]]=1,IF(Table1[[#This Row],[InterDiv]]=0, 1, 0), 0)</f>
        <v>0</v>
      </c>
      <c r="AM223" s="64">
        <f>IF(INDEX(Standings!$A$2:$C$33,MATCH(Table1[[#This Row],[AwayTeam]],Standings!$A$2:$A$33,0),2)&lt;&gt;INDEX(Standings!$A$2:$C$33,MATCH(Table1[[#This Row],[HomeTeam]],Standings!$A$2:$A$33,0),2),1,0)</f>
        <v>1</v>
      </c>
      <c r="AN223" s="64" t="str">
        <f>INDEX(Table2[AWAY_RECORD], MATCH(Table1[[#This Row],[AwayTeam]],Table2[Team], 0), 0)</f>
        <v>0-0-0</v>
      </c>
      <c r="AO223" s="64" t="str">
        <f>INDEX(Records!$B$2:$AG$33, MATCH(Table1[[#This Row],[AwayTeam]],Records!$A$2:$A$33, 0), MATCH(Table1[[#This Row],[HomeTeam]],Records!$A$2:$A$33, 0))</f>
        <v>0-0-0</v>
      </c>
      <c r="AP223" s="64" t="str">
        <f>INDEX(Table2[HOME_RECORD], MATCH(Table1[[#This Row],[HomeTeam]],Table2[Team], 0), 0)</f>
        <v>0-1-0</v>
      </c>
      <c r="AQ223" s="64" t="str">
        <f>INDEX(Records!$B$2:$AG$33, MATCH(Table1[[#This Row],[HomeTeam]],Records!$A$2:$A$33, 0), MATCH(Table1[[#This Row],[AwayTeam]],Records!$A$2:$A$33, 0))</f>
        <v>0-0-0</v>
      </c>
    </row>
    <row r="224" spans="1:43" x14ac:dyDescent="0.25">
      <c r="A224" s="1"/>
      <c r="D224" t="s">
        <v>429</v>
      </c>
      <c r="E224" t="s">
        <v>160</v>
      </c>
      <c r="F224" t="s">
        <v>437</v>
      </c>
      <c r="G224" t="s">
        <v>54</v>
      </c>
      <c r="H224" t="s">
        <v>47</v>
      </c>
      <c r="L22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2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24" s="1"/>
      <c r="T224" s="64" t="str">
        <f>IF(Table1[[#This Row],[ActualWinner]]="", "", IF(Table1[[#This Row],[AwayTeam]]=Table1[[#This Row],[ActualWinner]],Table1[[#This Row],[HomeTeam]],Table1[[#This Row],[AwayTeam]]))</f>
        <v/>
      </c>
      <c r="U224" s="64">
        <f>Table1[[#This Row],[ActualAwayScore]]-Table1[[#This Row],[PredictedAwayScore]]</f>
        <v>0</v>
      </c>
      <c r="V224" s="64">
        <f>Table1[[#This Row],[ActualHomeScore]]-Table1[[#This Row],[PredictedHomeScore]]</f>
        <v>0</v>
      </c>
      <c r="W224" s="64">
        <f>(0.8*IF(Table1[[#This Row],[CorrectWinnerPrediction]]=1, 1, 0))+(0.1*IF(Table1[[#This Row],[CorrectAwayScorePrediction]]=1, 1, 0))+(0.1*IF(Table1[[#This Row],[CorrectHomeScorePrediction]]=1, 1, 0))</f>
        <v>0</v>
      </c>
      <c r="X22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24" s="64">
        <f>SUMIF(Table1[GameDate], Table1[[#This Row],[GameDate]], Table1[AwayGameGoalDiff])</f>
        <v>0</v>
      </c>
      <c r="AA224" s="64">
        <f>SUMIF(Table1[GameDate], Table1[[#This Row],[GameDate]], Table1[HomeGameGoalDiff])</f>
        <v>0</v>
      </c>
      <c r="AB224" s="64">
        <f>IF(ISBLANK(Table1[[#This Row],[ActualResult]]), 0, 1)</f>
        <v>0</v>
      </c>
      <c r="AC224" s="64">
        <f>IF(ISBLANK(Table1[[#This Row],[ActualResult]]), 0, IF(Table1[[#This Row],[ActualWinner]]=Table1[[#This Row],[PredictedWinner]], 1, 0))</f>
        <v>0</v>
      </c>
      <c r="AD22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2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24" s="64">
        <f>IF(AND(Table1[[#This Row],[GameIsOver]]=1,Table1[[#This Row],[ActualAwayScore]]=0), 1,0)</f>
        <v>0</v>
      </c>
      <c r="AG224" s="64">
        <f>IF(AND(Table1[[#This Row],[GameIsOver]]=1,Table1[[#This Row],[ActualHomeScore]]=0), 1,0)</f>
        <v>0</v>
      </c>
      <c r="AH224" s="64">
        <f>IF(Table1[[#This Row],[GameIsOver]]=0,0,IF(Table1[[#This Row],[ActualWinner]]=Table1[[#This Row],[AwayTeam]], 1, 0))</f>
        <v>0</v>
      </c>
      <c r="AI224" s="64">
        <f>IF(Table1[[#This Row],[GameIsOver]]=0,0,IF(Table1[[#This Row],[ActualWinner]]=Table1[[#This Row],[HomeTeam]], 1, 0))</f>
        <v>0</v>
      </c>
      <c r="AJ224" s="64">
        <f>IF(INDEX(Standings!$A$2:$C$33,MATCH(Table1[[#This Row],[AwayTeam]],Standings!$A$2:$A$33,0),2)=INDEX(Standings!$A$2:$C$33,MATCH(Table1[[#This Row],[HomeTeam]],Standings!$A$2:$A$33,0),2),1,0)</f>
        <v>1</v>
      </c>
      <c r="AK224" s="64">
        <f>IF(INDEX(Standings!$A$2:$C$33,MATCH(Table1[[#This Row],[AwayTeam]],Standings!$A$2:$A$33,0),3)=INDEX(Standings!$A$2:$C$33,MATCH(Table1[[#This Row],[HomeTeam]],Standings!$A$2:$A$33,0),3),1,0)</f>
        <v>0</v>
      </c>
      <c r="AL224" s="64">
        <f>IF(Table1[[#This Row],[InterConf]]=1,IF(Table1[[#This Row],[InterDiv]]=0, 1, 0), 0)</f>
        <v>1</v>
      </c>
      <c r="AM224" s="64">
        <f>IF(INDEX(Standings!$A$2:$C$33,MATCH(Table1[[#This Row],[AwayTeam]],Standings!$A$2:$A$33,0),2)&lt;&gt;INDEX(Standings!$A$2:$C$33,MATCH(Table1[[#This Row],[HomeTeam]],Standings!$A$2:$A$33,0),2),1,0)</f>
        <v>0</v>
      </c>
      <c r="AN224" s="64" t="str">
        <f>INDEX(Table2[AWAY_RECORD], MATCH(Table1[[#This Row],[AwayTeam]],Table2[Team], 0), 0)</f>
        <v>0-0-1</v>
      </c>
      <c r="AO224" s="64" t="str">
        <f>INDEX(Records!$B$2:$AG$33, MATCH(Table1[[#This Row],[AwayTeam]],Records!$A$2:$A$33, 0), MATCH(Table1[[#This Row],[HomeTeam]],Records!$A$2:$A$33, 0))</f>
        <v>0-0-0</v>
      </c>
      <c r="AP224" s="64" t="str">
        <f>INDEX(Table2[HOME_RECORD], MATCH(Table1[[#This Row],[HomeTeam]],Table2[Team], 0), 0)</f>
        <v>0-0-0</v>
      </c>
      <c r="AQ224" s="64" t="str">
        <f>INDEX(Records!$B$2:$AG$33, MATCH(Table1[[#This Row],[HomeTeam]],Records!$A$2:$A$33, 0), MATCH(Table1[[#This Row],[AwayTeam]],Records!$A$2:$A$33, 0))</f>
        <v>0-0-0</v>
      </c>
    </row>
    <row r="225" spans="1:43" x14ac:dyDescent="0.25">
      <c r="A225" s="1"/>
      <c r="D225" t="s">
        <v>429</v>
      </c>
      <c r="E225" t="s">
        <v>160</v>
      </c>
      <c r="F225" t="s">
        <v>438</v>
      </c>
      <c r="G225" t="s">
        <v>24</v>
      </c>
      <c r="H225" t="s">
        <v>23</v>
      </c>
      <c r="L22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2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25" s="1"/>
      <c r="T225" s="64" t="str">
        <f>IF(Table1[[#This Row],[ActualWinner]]="", "", IF(Table1[[#This Row],[AwayTeam]]=Table1[[#This Row],[ActualWinner]],Table1[[#This Row],[HomeTeam]],Table1[[#This Row],[AwayTeam]]))</f>
        <v/>
      </c>
      <c r="U225" s="64">
        <f>Table1[[#This Row],[ActualAwayScore]]-Table1[[#This Row],[PredictedAwayScore]]</f>
        <v>0</v>
      </c>
      <c r="V225" s="64">
        <f>Table1[[#This Row],[ActualHomeScore]]-Table1[[#This Row],[PredictedHomeScore]]</f>
        <v>0</v>
      </c>
      <c r="W225" s="64">
        <f>(0.8*IF(Table1[[#This Row],[CorrectWinnerPrediction]]=1, 1, 0))+(0.1*IF(Table1[[#This Row],[CorrectAwayScorePrediction]]=1, 1, 0))+(0.1*IF(Table1[[#This Row],[CorrectHomeScorePrediction]]=1, 1, 0))</f>
        <v>0</v>
      </c>
      <c r="X22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25" s="64">
        <f>SUMIF(Table1[GameDate], Table1[[#This Row],[GameDate]], Table1[AwayGameGoalDiff])</f>
        <v>0</v>
      </c>
      <c r="AA225" s="64">
        <f>SUMIF(Table1[GameDate], Table1[[#This Row],[GameDate]], Table1[HomeGameGoalDiff])</f>
        <v>0</v>
      </c>
      <c r="AB225" s="64">
        <f>IF(ISBLANK(Table1[[#This Row],[ActualResult]]), 0, 1)</f>
        <v>0</v>
      </c>
      <c r="AC225" s="64">
        <f>IF(ISBLANK(Table1[[#This Row],[ActualResult]]), 0, IF(Table1[[#This Row],[ActualWinner]]=Table1[[#This Row],[PredictedWinner]], 1, 0))</f>
        <v>0</v>
      </c>
      <c r="AD22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2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25" s="64">
        <f>IF(AND(Table1[[#This Row],[GameIsOver]]=1,Table1[[#This Row],[ActualAwayScore]]=0), 1,0)</f>
        <v>0</v>
      </c>
      <c r="AG225" s="64">
        <f>IF(AND(Table1[[#This Row],[GameIsOver]]=1,Table1[[#This Row],[ActualHomeScore]]=0), 1,0)</f>
        <v>0</v>
      </c>
      <c r="AH225" s="64">
        <f>IF(Table1[[#This Row],[GameIsOver]]=0,0,IF(Table1[[#This Row],[ActualWinner]]=Table1[[#This Row],[AwayTeam]], 1, 0))</f>
        <v>0</v>
      </c>
      <c r="AI225" s="64">
        <f>IF(Table1[[#This Row],[GameIsOver]]=0,0,IF(Table1[[#This Row],[ActualWinner]]=Table1[[#This Row],[HomeTeam]], 1, 0))</f>
        <v>0</v>
      </c>
      <c r="AJ225" s="64">
        <f>IF(INDEX(Standings!$A$2:$C$33,MATCH(Table1[[#This Row],[AwayTeam]],Standings!$A$2:$A$33,0),2)=INDEX(Standings!$A$2:$C$33,MATCH(Table1[[#This Row],[HomeTeam]],Standings!$A$2:$A$33,0),2),1,0)</f>
        <v>0</v>
      </c>
      <c r="AK225" s="64">
        <f>IF(INDEX(Standings!$A$2:$C$33,MATCH(Table1[[#This Row],[AwayTeam]],Standings!$A$2:$A$33,0),3)=INDEX(Standings!$A$2:$C$33,MATCH(Table1[[#This Row],[HomeTeam]],Standings!$A$2:$A$33,0),3),1,0)</f>
        <v>0</v>
      </c>
      <c r="AL225" s="64">
        <f>IF(Table1[[#This Row],[InterConf]]=1,IF(Table1[[#This Row],[InterDiv]]=0, 1, 0), 0)</f>
        <v>0</v>
      </c>
      <c r="AM225" s="64">
        <f>IF(INDEX(Standings!$A$2:$C$33,MATCH(Table1[[#This Row],[AwayTeam]],Standings!$A$2:$A$33,0),2)&lt;&gt;INDEX(Standings!$A$2:$C$33,MATCH(Table1[[#This Row],[HomeTeam]],Standings!$A$2:$A$33,0),2),1,0)</f>
        <v>1</v>
      </c>
      <c r="AN225" s="64" t="str">
        <f>INDEX(Table2[AWAY_RECORD], MATCH(Table1[[#This Row],[AwayTeam]],Table2[Team], 0), 0)</f>
        <v>0-0-0</v>
      </c>
      <c r="AO225" s="64" t="str">
        <f>INDEX(Records!$B$2:$AG$33, MATCH(Table1[[#This Row],[AwayTeam]],Records!$A$2:$A$33, 0), MATCH(Table1[[#This Row],[HomeTeam]],Records!$A$2:$A$33, 0))</f>
        <v>0-0-0</v>
      </c>
      <c r="AP225" s="64" t="str">
        <f>INDEX(Table2[HOME_RECORD], MATCH(Table1[[#This Row],[HomeTeam]],Table2[Team], 0), 0)</f>
        <v>0-0-1</v>
      </c>
      <c r="AQ225" s="64" t="str">
        <f>INDEX(Records!$B$2:$AG$33, MATCH(Table1[[#This Row],[HomeTeam]],Records!$A$2:$A$33, 0), MATCH(Table1[[#This Row],[AwayTeam]],Records!$A$2:$A$33, 0))</f>
        <v>0-0-0</v>
      </c>
    </row>
    <row r="226" spans="1:43" x14ac:dyDescent="0.25">
      <c r="A226" s="1"/>
      <c r="D226" t="s">
        <v>429</v>
      </c>
      <c r="E226" t="s">
        <v>162</v>
      </c>
      <c r="F226" t="s">
        <v>439</v>
      </c>
      <c r="G226" t="s">
        <v>42</v>
      </c>
      <c r="H226" t="s">
        <v>43</v>
      </c>
      <c r="L22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2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26" s="1"/>
      <c r="T226" s="64" t="str">
        <f>IF(Table1[[#This Row],[ActualWinner]]="", "", IF(Table1[[#This Row],[AwayTeam]]=Table1[[#This Row],[ActualWinner]],Table1[[#This Row],[HomeTeam]],Table1[[#This Row],[AwayTeam]]))</f>
        <v/>
      </c>
      <c r="U226" s="64">
        <f>Table1[[#This Row],[ActualAwayScore]]-Table1[[#This Row],[PredictedAwayScore]]</f>
        <v>0</v>
      </c>
      <c r="V226" s="64">
        <f>Table1[[#This Row],[ActualHomeScore]]-Table1[[#This Row],[PredictedHomeScore]]</f>
        <v>0</v>
      </c>
      <c r="W226" s="64">
        <f>(0.8*IF(Table1[[#This Row],[CorrectWinnerPrediction]]=1, 1, 0))+(0.1*IF(Table1[[#This Row],[CorrectAwayScorePrediction]]=1, 1, 0))+(0.1*IF(Table1[[#This Row],[CorrectHomeScorePrediction]]=1, 1, 0))</f>
        <v>0</v>
      </c>
      <c r="X22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26" s="64">
        <f>SUMIF(Table1[GameDate], Table1[[#This Row],[GameDate]], Table1[AwayGameGoalDiff])</f>
        <v>0</v>
      </c>
      <c r="AA226" s="64">
        <f>SUMIF(Table1[GameDate], Table1[[#This Row],[GameDate]], Table1[HomeGameGoalDiff])</f>
        <v>0</v>
      </c>
      <c r="AB226" s="64">
        <f>IF(ISBLANK(Table1[[#This Row],[ActualResult]]), 0, 1)</f>
        <v>0</v>
      </c>
      <c r="AC226" s="64">
        <f>IF(ISBLANK(Table1[[#This Row],[ActualResult]]), 0, IF(Table1[[#This Row],[ActualWinner]]=Table1[[#This Row],[PredictedWinner]], 1, 0))</f>
        <v>0</v>
      </c>
      <c r="AD22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2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26" s="64">
        <f>IF(AND(Table1[[#This Row],[GameIsOver]]=1,Table1[[#This Row],[ActualAwayScore]]=0), 1,0)</f>
        <v>0</v>
      </c>
      <c r="AG226" s="64">
        <f>IF(AND(Table1[[#This Row],[GameIsOver]]=1,Table1[[#This Row],[ActualHomeScore]]=0), 1,0)</f>
        <v>0</v>
      </c>
      <c r="AH226" s="64">
        <f>IF(Table1[[#This Row],[GameIsOver]]=0,0,IF(Table1[[#This Row],[ActualWinner]]=Table1[[#This Row],[AwayTeam]], 1, 0))</f>
        <v>0</v>
      </c>
      <c r="AI226" s="64">
        <f>IF(Table1[[#This Row],[GameIsOver]]=0,0,IF(Table1[[#This Row],[ActualWinner]]=Table1[[#This Row],[HomeTeam]], 1, 0))</f>
        <v>0</v>
      </c>
      <c r="AJ226" s="64">
        <f>IF(INDEX(Standings!$A$2:$C$33,MATCH(Table1[[#This Row],[AwayTeam]],Standings!$A$2:$A$33,0),2)=INDEX(Standings!$A$2:$C$33,MATCH(Table1[[#This Row],[HomeTeam]],Standings!$A$2:$A$33,0),2),1,0)</f>
        <v>0</v>
      </c>
      <c r="AK226" s="64">
        <f>IF(INDEX(Standings!$A$2:$C$33,MATCH(Table1[[#This Row],[AwayTeam]],Standings!$A$2:$A$33,0),3)=INDEX(Standings!$A$2:$C$33,MATCH(Table1[[#This Row],[HomeTeam]],Standings!$A$2:$A$33,0),3),1,0)</f>
        <v>0</v>
      </c>
      <c r="AL226" s="64">
        <f>IF(Table1[[#This Row],[InterConf]]=1,IF(Table1[[#This Row],[InterDiv]]=0, 1, 0), 0)</f>
        <v>0</v>
      </c>
      <c r="AM226" s="64">
        <f>IF(INDEX(Standings!$A$2:$C$33,MATCH(Table1[[#This Row],[AwayTeam]],Standings!$A$2:$A$33,0),2)&lt;&gt;INDEX(Standings!$A$2:$C$33,MATCH(Table1[[#This Row],[HomeTeam]],Standings!$A$2:$A$33,0),2),1,0)</f>
        <v>1</v>
      </c>
      <c r="AN226" s="64" t="str">
        <f>INDEX(Table2[AWAY_RECORD], MATCH(Table1[[#This Row],[AwayTeam]],Table2[Team], 0), 0)</f>
        <v>0-0-0</v>
      </c>
      <c r="AO226" s="64" t="str">
        <f>INDEX(Records!$B$2:$AG$33, MATCH(Table1[[#This Row],[AwayTeam]],Records!$A$2:$A$33, 0), MATCH(Table1[[#This Row],[HomeTeam]],Records!$A$2:$A$33, 0))</f>
        <v>0-0-0</v>
      </c>
      <c r="AP226" s="64" t="str">
        <f>INDEX(Table2[HOME_RECORD], MATCH(Table1[[#This Row],[HomeTeam]],Table2[Team], 0), 0)</f>
        <v>0-0-0</v>
      </c>
      <c r="AQ226" s="64" t="str">
        <f>INDEX(Records!$B$2:$AG$33, MATCH(Table1[[#This Row],[HomeTeam]],Records!$A$2:$A$33, 0), MATCH(Table1[[#This Row],[AwayTeam]],Records!$A$2:$A$33, 0))</f>
        <v>0-0-0</v>
      </c>
    </row>
    <row r="227" spans="1:43" x14ac:dyDescent="0.25">
      <c r="A227" s="1"/>
      <c r="D227" t="s">
        <v>429</v>
      </c>
      <c r="E227" t="s">
        <v>164</v>
      </c>
      <c r="F227" t="s">
        <v>440</v>
      </c>
      <c r="G227" t="s">
        <v>39</v>
      </c>
      <c r="H227" t="s">
        <v>41</v>
      </c>
      <c r="L22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2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27" s="1"/>
      <c r="T227" s="64" t="str">
        <f>IF(Table1[[#This Row],[ActualWinner]]="", "", IF(Table1[[#This Row],[AwayTeam]]=Table1[[#This Row],[ActualWinner]],Table1[[#This Row],[HomeTeam]],Table1[[#This Row],[AwayTeam]]))</f>
        <v/>
      </c>
      <c r="U227" s="64">
        <f>Table1[[#This Row],[ActualAwayScore]]-Table1[[#This Row],[PredictedAwayScore]]</f>
        <v>0</v>
      </c>
      <c r="V227" s="64">
        <f>Table1[[#This Row],[ActualHomeScore]]-Table1[[#This Row],[PredictedHomeScore]]</f>
        <v>0</v>
      </c>
      <c r="W227" s="64">
        <f>(0.8*IF(Table1[[#This Row],[CorrectWinnerPrediction]]=1, 1, 0))+(0.1*IF(Table1[[#This Row],[CorrectAwayScorePrediction]]=1, 1, 0))+(0.1*IF(Table1[[#This Row],[CorrectHomeScorePrediction]]=1, 1, 0))</f>
        <v>0</v>
      </c>
      <c r="X22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27" s="64">
        <f>SUMIF(Table1[GameDate], Table1[[#This Row],[GameDate]], Table1[AwayGameGoalDiff])</f>
        <v>0</v>
      </c>
      <c r="AA227" s="64">
        <f>SUMIF(Table1[GameDate], Table1[[#This Row],[GameDate]], Table1[HomeGameGoalDiff])</f>
        <v>0</v>
      </c>
      <c r="AB227" s="64">
        <f>IF(ISBLANK(Table1[[#This Row],[ActualResult]]), 0, 1)</f>
        <v>0</v>
      </c>
      <c r="AC227" s="64">
        <f>IF(ISBLANK(Table1[[#This Row],[ActualResult]]), 0, IF(Table1[[#This Row],[ActualWinner]]=Table1[[#This Row],[PredictedWinner]], 1, 0))</f>
        <v>0</v>
      </c>
      <c r="AD22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2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27" s="64">
        <f>IF(AND(Table1[[#This Row],[GameIsOver]]=1,Table1[[#This Row],[ActualAwayScore]]=0), 1,0)</f>
        <v>0</v>
      </c>
      <c r="AG227" s="64">
        <f>IF(AND(Table1[[#This Row],[GameIsOver]]=1,Table1[[#This Row],[ActualHomeScore]]=0), 1,0)</f>
        <v>0</v>
      </c>
      <c r="AH227" s="64">
        <f>IF(Table1[[#This Row],[GameIsOver]]=0,0,IF(Table1[[#This Row],[ActualWinner]]=Table1[[#This Row],[AwayTeam]], 1, 0))</f>
        <v>0</v>
      </c>
      <c r="AI227" s="64">
        <f>IF(Table1[[#This Row],[GameIsOver]]=0,0,IF(Table1[[#This Row],[ActualWinner]]=Table1[[#This Row],[HomeTeam]], 1, 0))</f>
        <v>0</v>
      </c>
      <c r="AJ227" s="64">
        <f>IF(INDEX(Standings!$A$2:$C$33,MATCH(Table1[[#This Row],[AwayTeam]],Standings!$A$2:$A$33,0),2)=INDEX(Standings!$A$2:$C$33,MATCH(Table1[[#This Row],[HomeTeam]],Standings!$A$2:$A$33,0),2),1,0)</f>
        <v>1</v>
      </c>
      <c r="AK227" s="64">
        <f>IF(INDEX(Standings!$A$2:$C$33,MATCH(Table1[[#This Row],[AwayTeam]],Standings!$A$2:$A$33,0),3)=INDEX(Standings!$A$2:$C$33,MATCH(Table1[[#This Row],[HomeTeam]],Standings!$A$2:$A$33,0),3),1,0)</f>
        <v>0</v>
      </c>
      <c r="AL227" s="64">
        <f>IF(Table1[[#This Row],[InterConf]]=1,IF(Table1[[#This Row],[InterDiv]]=0, 1, 0), 0)</f>
        <v>1</v>
      </c>
      <c r="AM227" s="64">
        <f>IF(INDEX(Standings!$A$2:$C$33,MATCH(Table1[[#This Row],[AwayTeam]],Standings!$A$2:$A$33,0),2)&lt;&gt;INDEX(Standings!$A$2:$C$33,MATCH(Table1[[#This Row],[HomeTeam]],Standings!$A$2:$A$33,0),2),1,0)</f>
        <v>0</v>
      </c>
      <c r="AN227" s="64" t="str">
        <f>INDEX(Table2[AWAY_RECORD], MATCH(Table1[[#This Row],[AwayTeam]],Table2[Team], 0), 0)</f>
        <v>0-0-0</v>
      </c>
      <c r="AO227" s="64" t="str">
        <f>INDEX(Records!$B$2:$AG$33, MATCH(Table1[[#This Row],[AwayTeam]],Records!$A$2:$A$33, 0), MATCH(Table1[[#This Row],[HomeTeam]],Records!$A$2:$A$33, 0))</f>
        <v>0-0-0</v>
      </c>
      <c r="AP227" s="64" t="str">
        <f>INDEX(Table2[HOME_RECORD], MATCH(Table1[[#This Row],[HomeTeam]],Table2[Team], 0), 0)</f>
        <v>0-0-1</v>
      </c>
      <c r="AQ227" s="64" t="str">
        <f>INDEX(Records!$B$2:$AG$33, MATCH(Table1[[#This Row],[HomeTeam]],Records!$A$2:$A$33, 0), MATCH(Table1[[#This Row],[AwayTeam]],Records!$A$2:$A$33, 0))</f>
        <v>0-0-0</v>
      </c>
    </row>
    <row r="228" spans="1:43" x14ac:dyDescent="0.25">
      <c r="A228" s="1"/>
      <c r="D228" t="s">
        <v>441</v>
      </c>
      <c r="E228" t="s">
        <v>432</v>
      </c>
      <c r="F228" t="s">
        <v>442</v>
      </c>
      <c r="G228" t="s">
        <v>60</v>
      </c>
      <c r="H228" t="s">
        <v>40</v>
      </c>
      <c r="L22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2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28" s="1"/>
      <c r="T228" s="64" t="str">
        <f>IF(Table1[[#This Row],[ActualWinner]]="", "", IF(Table1[[#This Row],[AwayTeam]]=Table1[[#This Row],[ActualWinner]],Table1[[#This Row],[HomeTeam]],Table1[[#This Row],[AwayTeam]]))</f>
        <v/>
      </c>
      <c r="U228" s="64">
        <f>Table1[[#This Row],[ActualAwayScore]]-Table1[[#This Row],[PredictedAwayScore]]</f>
        <v>0</v>
      </c>
      <c r="V228" s="64">
        <f>Table1[[#This Row],[ActualHomeScore]]-Table1[[#This Row],[PredictedHomeScore]]</f>
        <v>0</v>
      </c>
      <c r="W228" s="64">
        <f>(0.8*IF(Table1[[#This Row],[CorrectWinnerPrediction]]=1, 1, 0))+(0.1*IF(Table1[[#This Row],[CorrectAwayScorePrediction]]=1, 1, 0))+(0.1*IF(Table1[[#This Row],[CorrectHomeScorePrediction]]=1, 1, 0))</f>
        <v>0</v>
      </c>
      <c r="X22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28" s="64">
        <f>SUMIF(Table1[GameDate], Table1[[#This Row],[GameDate]], Table1[AwayGameGoalDiff])</f>
        <v>0</v>
      </c>
      <c r="AA228" s="64">
        <f>SUMIF(Table1[GameDate], Table1[[#This Row],[GameDate]], Table1[HomeGameGoalDiff])</f>
        <v>0</v>
      </c>
      <c r="AB228" s="64">
        <f>IF(ISBLANK(Table1[[#This Row],[ActualResult]]), 0, 1)</f>
        <v>0</v>
      </c>
      <c r="AC228" s="64">
        <f>IF(ISBLANK(Table1[[#This Row],[ActualResult]]), 0, IF(Table1[[#This Row],[ActualWinner]]=Table1[[#This Row],[PredictedWinner]], 1, 0))</f>
        <v>0</v>
      </c>
      <c r="AD22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2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28" s="64">
        <f>IF(AND(Table1[[#This Row],[GameIsOver]]=1,Table1[[#This Row],[ActualAwayScore]]=0), 1,0)</f>
        <v>0</v>
      </c>
      <c r="AG228" s="64">
        <f>IF(AND(Table1[[#This Row],[GameIsOver]]=1,Table1[[#This Row],[ActualHomeScore]]=0), 1,0)</f>
        <v>0</v>
      </c>
      <c r="AH228" s="64">
        <f>IF(Table1[[#This Row],[GameIsOver]]=0,0,IF(Table1[[#This Row],[ActualWinner]]=Table1[[#This Row],[AwayTeam]], 1, 0))</f>
        <v>0</v>
      </c>
      <c r="AI228" s="64">
        <f>IF(Table1[[#This Row],[GameIsOver]]=0,0,IF(Table1[[#This Row],[ActualWinner]]=Table1[[#This Row],[HomeTeam]], 1, 0))</f>
        <v>0</v>
      </c>
      <c r="AJ228" s="64">
        <f>IF(INDEX(Standings!$A$2:$C$33,MATCH(Table1[[#This Row],[AwayTeam]],Standings!$A$2:$A$33,0),2)=INDEX(Standings!$A$2:$C$33,MATCH(Table1[[#This Row],[HomeTeam]],Standings!$A$2:$A$33,0),2),1,0)</f>
        <v>0</v>
      </c>
      <c r="AK228" s="64">
        <f>IF(INDEX(Standings!$A$2:$C$33,MATCH(Table1[[#This Row],[AwayTeam]],Standings!$A$2:$A$33,0),3)=INDEX(Standings!$A$2:$C$33,MATCH(Table1[[#This Row],[HomeTeam]],Standings!$A$2:$A$33,0),3),1,0)</f>
        <v>0</v>
      </c>
      <c r="AL228" s="64">
        <f>IF(Table1[[#This Row],[InterConf]]=1,IF(Table1[[#This Row],[InterDiv]]=0, 1, 0), 0)</f>
        <v>0</v>
      </c>
      <c r="AM228" s="64">
        <f>IF(INDEX(Standings!$A$2:$C$33,MATCH(Table1[[#This Row],[AwayTeam]],Standings!$A$2:$A$33,0),2)&lt;&gt;INDEX(Standings!$A$2:$C$33,MATCH(Table1[[#This Row],[HomeTeam]],Standings!$A$2:$A$33,0),2),1,0)</f>
        <v>1</v>
      </c>
      <c r="AN228" s="64" t="str">
        <f>INDEX(Table2[AWAY_RECORD], MATCH(Table1[[#This Row],[AwayTeam]],Table2[Team], 0), 0)</f>
        <v>0-0-0</v>
      </c>
      <c r="AO228" s="64" t="str">
        <f>INDEX(Records!$B$2:$AG$33, MATCH(Table1[[#This Row],[AwayTeam]],Records!$A$2:$A$33, 0), MATCH(Table1[[#This Row],[HomeTeam]],Records!$A$2:$A$33, 0))</f>
        <v>0-0-0</v>
      </c>
      <c r="AP228" s="64" t="str">
        <f>INDEX(Table2[HOME_RECORD], MATCH(Table1[[#This Row],[HomeTeam]],Table2[Team], 0), 0)</f>
        <v>1-1-0</v>
      </c>
      <c r="AQ228" s="64" t="str">
        <f>INDEX(Records!$B$2:$AG$33, MATCH(Table1[[#This Row],[HomeTeam]],Records!$A$2:$A$33, 0), MATCH(Table1[[#This Row],[AwayTeam]],Records!$A$2:$A$33, 0))</f>
        <v>0-0-0</v>
      </c>
    </row>
    <row r="229" spans="1:43" x14ac:dyDescent="0.25">
      <c r="A229" s="1"/>
      <c r="D229" t="s">
        <v>441</v>
      </c>
      <c r="E229" t="s">
        <v>443</v>
      </c>
      <c r="F229" t="s">
        <v>444</v>
      </c>
      <c r="G229" t="s">
        <v>22</v>
      </c>
      <c r="H229" t="s">
        <v>59</v>
      </c>
      <c r="L22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2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29" s="1"/>
      <c r="T229" s="64" t="str">
        <f>IF(Table1[[#This Row],[ActualWinner]]="", "", IF(Table1[[#This Row],[AwayTeam]]=Table1[[#This Row],[ActualWinner]],Table1[[#This Row],[HomeTeam]],Table1[[#This Row],[AwayTeam]]))</f>
        <v/>
      </c>
      <c r="U229" s="64">
        <f>Table1[[#This Row],[ActualAwayScore]]-Table1[[#This Row],[PredictedAwayScore]]</f>
        <v>0</v>
      </c>
      <c r="V229" s="64">
        <f>Table1[[#This Row],[ActualHomeScore]]-Table1[[#This Row],[PredictedHomeScore]]</f>
        <v>0</v>
      </c>
      <c r="W229" s="64">
        <f>(0.8*IF(Table1[[#This Row],[CorrectWinnerPrediction]]=1, 1, 0))+(0.1*IF(Table1[[#This Row],[CorrectAwayScorePrediction]]=1, 1, 0))+(0.1*IF(Table1[[#This Row],[CorrectHomeScorePrediction]]=1, 1, 0))</f>
        <v>0</v>
      </c>
      <c r="X22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29" s="64">
        <f>SUMIF(Table1[GameDate], Table1[[#This Row],[GameDate]], Table1[AwayGameGoalDiff])</f>
        <v>0</v>
      </c>
      <c r="AA229" s="64">
        <f>SUMIF(Table1[GameDate], Table1[[#This Row],[GameDate]], Table1[HomeGameGoalDiff])</f>
        <v>0</v>
      </c>
      <c r="AB229" s="64">
        <f>IF(ISBLANK(Table1[[#This Row],[ActualResult]]), 0, 1)</f>
        <v>0</v>
      </c>
      <c r="AC229" s="64">
        <f>IF(ISBLANK(Table1[[#This Row],[ActualResult]]), 0, IF(Table1[[#This Row],[ActualWinner]]=Table1[[#This Row],[PredictedWinner]], 1, 0))</f>
        <v>0</v>
      </c>
      <c r="AD22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2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29" s="64">
        <f>IF(AND(Table1[[#This Row],[GameIsOver]]=1,Table1[[#This Row],[ActualAwayScore]]=0), 1,0)</f>
        <v>0</v>
      </c>
      <c r="AG229" s="64">
        <f>IF(AND(Table1[[#This Row],[GameIsOver]]=1,Table1[[#This Row],[ActualHomeScore]]=0), 1,0)</f>
        <v>0</v>
      </c>
      <c r="AH229" s="64">
        <f>IF(Table1[[#This Row],[GameIsOver]]=0,0,IF(Table1[[#This Row],[ActualWinner]]=Table1[[#This Row],[AwayTeam]], 1, 0))</f>
        <v>0</v>
      </c>
      <c r="AI229" s="64">
        <f>IF(Table1[[#This Row],[GameIsOver]]=0,0,IF(Table1[[#This Row],[ActualWinner]]=Table1[[#This Row],[HomeTeam]], 1, 0))</f>
        <v>0</v>
      </c>
      <c r="AJ229" s="64">
        <f>IF(INDEX(Standings!$A$2:$C$33,MATCH(Table1[[#This Row],[AwayTeam]],Standings!$A$2:$A$33,0),2)=INDEX(Standings!$A$2:$C$33,MATCH(Table1[[#This Row],[HomeTeam]],Standings!$A$2:$A$33,0),2),1,0)</f>
        <v>0</v>
      </c>
      <c r="AK229" s="64">
        <f>IF(INDEX(Standings!$A$2:$C$33,MATCH(Table1[[#This Row],[AwayTeam]],Standings!$A$2:$A$33,0),3)=INDEX(Standings!$A$2:$C$33,MATCH(Table1[[#This Row],[HomeTeam]],Standings!$A$2:$A$33,0),3),1,0)</f>
        <v>0</v>
      </c>
      <c r="AL229" s="64">
        <f>IF(Table1[[#This Row],[InterConf]]=1,IF(Table1[[#This Row],[InterDiv]]=0, 1, 0), 0)</f>
        <v>0</v>
      </c>
      <c r="AM229" s="64">
        <f>IF(INDEX(Standings!$A$2:$C$33,MATCH(Table1[[#This Row],[AwayTeam]],Standings!$A$2:$A$33,0),2)&lt;&gt;INDEX(Standings!$A$2:$C$33,MATCH(Table1[[#This Row],[HomeTeam]],Standings!$A$2:$A$33,0),2),1,0)</f>
        <v>1</v>
      </c>
      <c r="AN229" s="64" t="str">
        <f>INDEX(Table2[AWAY_RECORD], MATCH(Table1[[#This Row],[AwayTeam]],Table2[Team], 0), 0)</f>
        <v>0-0-1</v>
      </c>
      <c r="AO229" s="64" t="str">
        <f>INDEX(Records!$B$2:$AG$33, MATCH(Table1[[#This Row],[AwayTeam]],Records!$A$2:$A$33, 0), MATCH(Table1[[#This Row],[HomeTeam]],Records!$A$2:$A$33, 0))</f>
        <v>0-0-0</v>
      </c>
      <c r="AP229" s="64" t="str">
        <f>INDEX(Table2[HOME_RECORD], MATCH(Table1[[#This Row],[HomeTeam]],Table2[Team], 0), 0)</f>
        <v>0-0-0</v>
      </c>
      <c r="AQ229" s="64" t="str">
        <f>INDEX(Records!$B$2:$AG$33, MATCH(Table1[[#This Row],[HomeTeam]],Records!$A$2:$A$33, 0), MATCH(Table1[[#This Row],[AwayTeam]],Records!$A$2:$A$33, 0))</f>
        <v>0-0-0</v>
      </c>
    </row>
    <row r="230" spans="1:43" x14ac:dyDescent="0.25">
      <c r="A230" s="1"/>
      <c r="D230" t="s">
        <v>441</v>
      </c>
      <c r="E230" t="s">
        <v>158</v>
      </c>
      <c r="F230" t="s">
        <v>445</v>
      </c>
      <c r="G230" t="s">
        <v>58</v>
      </c>
      <c r="H230" t="s">
        <v>53</v>
      </c>
      <c r="L23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3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30" s="1"/>
      <c r="T230" s="64" t="str">
        <f>IF(Table1[[#This Row],[ActualWinner]]="", "", IF(Table1[[#This Row],[AwayTeam]]=Table1[[#This Row],[ActualWinner]],Table1[[#This Row],[HomeTeam]],Table1[[#This Row],[AwayTeam]]))</f>
        <v/>
      </c>
      <c r="U230" s="64">
        <f>Table1[[#This Row],[ActualAwayScore]]-Table1[[#This Row],[PredictedAwayScore]]</f>
        <v>0</v>
      </c>
      <c r="V230" s="64">
        <f>Table1[[#This Row],[ActualHomeScore]]-Table1[[#This Row],[PredictedHomeScore]]</f>
        <v>0</v>
      </c>
      <c r="W230" s="64">
        <f>(0.8*IF(Table1[[#This Row],[CorrectWinnerPrediction]]=1, 1, 0))+(0.1*IF(Table1[[#This Row],[CorrectAwayScorePrediction]]=1, 1, 0))+(0.1*IF(Table1[[#This Row],[CorrectHomeScorePrediction]]=1, 1, 0))</f>
        <v>0</v>
      </c>
      <c r="X23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30" s="64">
        <f>SUMIF(Table1[GameDate], Table1[[#This Row],[GameDate]], Table1[AwayGameGoalDiff])</f>
        <v>0</v>
      </c>
      <c r="AA230" s="64">
        <f>SUMIF(Table1[GameDate], Table1[[#This Row],[GameDate]], Table1[HomeGameGoalDiff])</f>
        <v>0</v>
      </c>
      <c r="AB230" s="64">
        <f>IF(ISBLANK(Table1[[#This Row],[ActualResult]]), 0, 1)</f>
        <v>0</v>
      </c>
      <c r="AC230" s="64">
        <f>IF(ISBLANK(Table1[[#This Row],[ActualResult]]), 0, IF(Table1[[#This Row],[ActualWinner]]=Table1[[#This Row],[PredictedWinner]], 1, 0))</f>
        <v>0</v>
      </c>
      <c r="AD23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3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30" s="64">
        <f>IF(AND(Table1[[#This Row],[GameIsOver]]=1,Table1[[#This Row],[ActualAwayScore]]=0), 1,0)</f>
        <v>0</v>
      </c>
      <c r="AG230" s="64">
        <f>IF(AND(Table1[[#This Row],[GameIsOver]]=1,Table1[[#This Row],[ActualHomeScore]]=0), 1,0)</f>
        <v>0</v>
      </c>
      <c r="AH230" s="64">
        <f>IF(Table1[[#This Row],[GameIsOver]]=0,0,IF(Table1[[#This Row],[ActualWinner]]=Table1[[#This Row],[AwayTeam]], 1, 0))</f>
        <v>0</v>
      </c>
      <c r="AI230" s="64">
        <f>IF(Table1[[#This Row],[GameIsOver]]=0,0,IF(Table1[[#This Row],[ActualWinner]]=Table1[[#This Row],[HomeTeam]], 1, 0))</f>
        <v>0</v>
      </c>
      <c r="AJ230" s="64">
        <f>IF(INDEX(Standings!$A$2:$C$33,MATCH(Table1[[#This Row],[AwayTeam]],Standings!$A$2:$A$33,0),2)=INDEX(Standings!$A$2:$C$33,MATCH(Table1[[#This Row],[HomeTeam]],Standings!$A$2:$A$33,0),2),1,0)</f>
        <v>0</v>
      </c>
      <c r="AK230" s="64">
        <f>IF(INDEX(Standings!$A$2:$C$33,MATCH(Table1[[#This Row],[AwayTeam]],Standings!$A$2:$A$33,0),3)=INDEX(Standings!$A$2:$C$33,MATCH(Table1[[#This Row],[HomeTeam]],Standings!$A$2:$A$33,0),3),1,0)</f>
        <v>0</v>
      </c>
      <c r="AL230" s="64">
        <f>IF(Table1[[#This Row],[InterConf]]=1,IF(Table1[[#This Row],[InterDiv]]=0, 1, 0), 0)</f>
        <v>0</v>
      </c>
      <c r="AM230" s="64">
        <f>IF(INDEX(Standings!$A$2:$C$33,MATCH(Table1[[#This Row],[AwayTeam]],Standings!$A$2:$A$33,0),2)&lt;&gt;INDEX(Standings!$A$2:$C$33,MATCH(Table1[[#This Row],[HomeTeam]],Standings!$A$2:$A$33,0),2),1,0)</f>
        <v>1</v>
      </c>
      <c r="AN230" s="64" t="str">
        <f>INDEX(Table2[AWAY_RECORD], MATCH(Table1[[#This Row],[AwayTeam]],Table2[Team], 0), 0)</f>
        <v>0-0-0</v>
      </c>
      <c r="AO230" s="64" t="str">
        <f>INDEX(Records!$B$2:$AG$33, MATCH(Table1[[#This Row],[AwayTeam]],Records!$A$2:$A$33, 0), MATCH(Table1[[#This Row],[HomeTeam]],Records!$A$2:$A$33, 0))</f>
        <v>0-0-0</v>
      </c>
      <c r="AP230" s="64" t="str">
        <f>INDEX(Table2[HOME_RECORD], MATCH(Table1[[#This Row],[HomeTeam]],Table2[Team], 0), 0)</f>
        <v>1-0-0</v>
      </c>
      <c r="AQ230" s="64" t="str">
        <f>INDEX(Records!$B$2:$AG$33, MATCH(Table1[[#This Row],[HomeTeam]],Records!$A$2:$A$33, 0), MATCH(Table1[[#This Row],[AwayTeam]],Records!$A$2:$A$33, 0))</f>
        <v>0-0-0</v>
      </c>
    </row>
    <row r="231" spans="1:43" x14ac:dyDescent="0.25">
      <c r="A231" s="1"/>
      <c r="D231" t="s">
        <v>441</v>
      </c>
      <c r="E231" t="s">
        <v>160</v>
      </c>
      <c r="F231" t="s">
        <v>446</v>
      </c>
      <c r="G231" t="s">
        <v>45</v>
      </c>
      <c r="H231" t="s">
        <v>51</v>
      </c>
      <c r="L23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3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31" s="1"/>
      <c r="T231" s="64" t="str">
        <f>IF(Table1[[#This Row],[ActualWinner]]="", "", IF(Table1[[#This Row],[AwayTeam]]=Table1[[#This Row],[ActualWinner]],Table1[[#This Row],[HomeTeam]],Table1[[#This Row],[AwayTeam]]))</f>
        <v/>
      </c>
      <c r="U231" s="64">
        <f>Table1[[#This Row],[ActualAwayScore]]-Table1[[#This Row],[PredictedAwayScore]]</f>
        <v>0</v>
      </c>
      <c r="V231" s="64">
        <f>Table1[[#This Row],[ActualHomeScore]]-Table1[[#This Row],[PredictedHomeScore]]</f>
        <v>0</v>
      </c>
      <c r="W231" s="64">
        <f>(0.8*IF(Table1[[#This Row],[CorrectWinnerPrediction]]=1, 1, 0))+(0.1*IF(Table1[[#This Row],[CorrectAwayScorePrediction]]=1, 1, 0))+(0.1*IF(Table1[[#This Row],[CorrectHomeScorePrediction]]=1, 1, 0))</f>
        <v>0</v>
      </c>
      <c r="X23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31" s="64">
        <f>SUMIF(Table1[GameDate], Table1[[#This Row],[GameDate]], Table1[AwayGameGoalDiff])</f>
        <v>0</v>
      </c>
      <c r="AA231" s="64">
        <f>SUMIF(Table1[GameDate], Table1[[#This Row],[GameDate]], Table1[HomeGameGoalDiff])</f>
        <v>0</v>
      </c>
      <c r="AB231" s="64">
        <f>IF(ISBLANK(Table1[[#This Row],[ActualResult]]), 0, 1)</f>
        <v>0</v>
      </c>
      <c r="AC231" s="64">
        <f>IF(ISBLANK(Table1[[#This Row],[ActualResult]]), 0, IF(Table1[[#This Row],[ActualWinner]]=Table1[[#This Row],[PredictedWinner]], 1, 0))</f>
        <v>0</v>
      </c>
      <c r="AD23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3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31" s="64">
        <f>IF(AND(Table1[[#This Row],[GameIsOver]]=1,Table1[[#This Row],[ActualAwayScore]]=0), 1,0)</f>
        <v>0</v>
      </c>
      <c r="AG231" s="64">
        <f>IF(AND(Table1[[#This Row],[GameIsOver]]=1,Table1[[#This Row],[ActualHomeScore]]=0), 1,0)</f>
        <v>0</v>
      </c>
      <c r="AH231" s="64">
        <f>IF(Table1[[#This Row],[GameIsOver]]=0,0,IF(Table1[[#This Row],[ActualWinner]]=Table1[[#This Row],[AwayTeam]], 1, 0))</f>
        <v>0</v>
      </c>
      <c r="AI231" s="64">
        <f>IF(Table1[[#This Row],[GameIsOver]]=0,0,IF(Table1[[#This Row],[ActualWinner]]=Table1[[#This Row],[HomeTeam]], 1, 0))</f>
        <v>0</v>
      </c>
      <c r="AJ231" s="64">
        <f>IF(INDEX(Standings!$A$2:$C$33,MATCH(Table1[[#This Row],[AwayTeam]],Standings!$A$2:$A$33,0),2)=INDEX(Standings!$A$2:$C$33,MATCH(Table1[[#This Row],[HomeTeam]],Standings!$A$2:$A$33,0),2),1,0)</f>
        <v>0</v>
      </c>
      <c r="AK231" s="64">
        <f>IF(INDEX(Standings!$A$2:$C$33,MATCH(Table1[[#This Row],[AwayTeam]],Standings!$A$2:$A$33,0),3)=INDEX(Standings!$A$2:$C$33,MATCH(Table1[[#This Row],[HomeTeam]],Standings!$A$2:$A$33,0),3),1,0)</f>
        <v>0</v>
      </c>
      <c r="AL231" s="64">
        <f>IF(Table1[[#This Row],[InterConf]]=1,IF(Table1[[#This Row],[InterDiv]]=0, 1, 0), 0)</f>
        <v>0</v>
      </c>
      <c r="AM231" s="64">
        <f>IF(INDEX(Standings!$A$2:$C$33,MATCH(Table1[[#This Row],[AwayTeam]],Standings!$A$2:$A$33,0),2)&lt;&gt;INDEX(Standings!$A$2:$C$33,MATCH(Table1[[#This Row],[HomeTeam]],Standings!$A$2:$A$33,0),2),1,0)</f>
        <v>1</v>
      </c>
      <c r="AN231" s="64" t="str">
        <f>INDEX(Table2[AWAY_RECORD], MATCH(Table1[[#This Row],[AwayTeam]],Table2[Team], 0), 0)</f>
        <v>1-0-0</v>
      </c>
      <c r="AO231" s="64" t="str">
        <f>INDEX(Records!$B$2:$AG$33, MATCH(Table1[[#This Row],[AwayTeam]],Records!$A$2:$A$33, 0), MATCH(Table1[[#This Row],[HomeTeam]],Records!$A$2:$A$33, 0))</f>
        <v>0-0-0</v>
      </c>
      <c r="AP231" s="64" t="str">
        <f>INDEX(Table2[HOME_RECORD], MATCH(Table1[[#This Row],[HomeTeam]],Table2[Team], 0), 0)</f>
        <v>1-0-0</v>
      </c>
      <c r="AQ231" s="64" t="str">
        <f>INDEX(Records!$B$2:$AG$33, MATCH(Table1[[#This Row],[HomeTeam]],Records!$A$2:$A$33, 0), MATCH(Table1[[#This Row],[AwayTeam]],Records!$A$2:$A$33, 0))</f>
        <v>0-0-0</v>
      </c>
    </row>
    <row r="232" spans="1:43" x14ac:dyDescent="0.25">
      <c r="A232" s="1"/>
      <c r="D232" t="s">
        <v>441</v>
      </c>
      <c r="E232" t="s">
        <v>178</v>
      </c>
      <c r="F232" t="s">
        <v>447</v>
      </c>
      <c r="G232" t="s">
        <v>52</v>
      </c>
      <c r="H232" t="s">
        <v>36</v>
      </c>
      <c r="L23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3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32" s="1"/>
      <c r="T232" s="64" t="str">
        <f>IF(Table1[[#This Row],[ActualWinner]]="", "", IF(Table1[[#This Row],[AwayTeam]]=Table1[[#This Row],[ActualWinner]],Table1[[#This Row],[HomeTeam]],Table1[[#This Row],[AwayTeam]]))</f>
        <v/>
      </c>
      <c r="U232" s="64">
        <f>Table1[[#This Row],[ActualAwayScore]]-Table1[[#This Row],[PredictedAwayScore]]</f>
        <v>0</v>
      </c>
      <c r="V232" s="64">
        <f>Table1[[#This Row],[ActualHomeScore]]-Table1[[#This Row],[PredictedHomeScore]]</f>
        <v>0</v>
      </c>
      <c r="W232" s="64">
        <f>(0.8*IF(Table1[[#This Row],[CorrectWinnerPrediction]]=1, 1, 0))+(0.1*IF(Table1[[#This Row],[CorrectAwayScorePrediction]]=1, 1, 0))+(0.1*IF(Table1[[#This Row],[CorrectHomeScorePrediction]]=1, 1, 0))</f>
        <v>0</v>
      </c>
      <c r="X23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32" s="64">
        <f>SUMIF(Table1[GameDate], Table1[[#This Row],[GameDate]], Table1[AwayGameGoalDiff])</f>
        <v>0</v>
      </c>
      <c r="AA232" s="64">
        <f>SUMIF(Table1[GameDate], Table1[[#This Row],[GameDate]], Table1[HomeGameGoalDiff])</f>
        <v>0</v>
      </c>
      <c r="AB232" s="64">
        <f>IF(ISBLANK(Table1[[#This Row],[ActualResult]]), 0, 1)</f>
        <v>0</v>
      </c>
      <c r="AC232" s="64">
        <f>IF(ISBLANK(Table1[[#This Row],[ActualResult]]), 0, IF(Table1[[#This Row],[ActualWinner]]=Table1[[#This Row],[PredictedWinner]], 1, 0))</f>
        <v>0</v>
      </c>
      <c r="AD23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3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32" s="64">
        <f>IF(AND(Table1[[#This Row],[GameIsOver]]=1,Table1[[#This Row],[ActualAwayScore]]=0), 1,0)</f>
        <v>0</v>
      </c>
      <c r="AG232" s="64">
        <f>IF(AND(Table1[[#This Row],[GameIsOver]]=1,Table1[[#This Row],[ActualHomeScore]]=0), 1,0)</f>
        <v>0</v>
      </c>
      <c r="AH232" s="64">
        <f>IF(Table1[[#This Row],[GameIsOver]]=0,0,IF(Table1[[#This Row],[ActualWinner]]=Table1[[#This Row],[AwayTeam]], 1, 0))</f>
        <v>0</v>
      </c>
      <c r="AI232" s="64">
        <f>IF(Table1[[#This Row],[GameIsOver]]=0,0,IF(Table1[[#This Row],[ActualWinner]]=Table1[[#This Row],[HomeTeam]], 1, 0))</f>
        <v>0</v>
      </c>
      <c r="AJ232" s="64">
        <f>IF(INDEX(Standings!$A$2:$C$33,MATCH(Table1[[#This Row],[AwayTeam]],Standings!$A$2:$A$33,0),2)=INDEX(Standings!$A$2:$C$33,MATCH(Table1[[#This Row],[HomeTeam]],Standings!$A$2:$A$33,0),2),1,0)</f>
        <v>0</v>
      </c>
      <c r="AK232" s="64">
        <f>IF(INDEX(Standings!$A$2:$C$33,MATCH(Table1[[#This Row],[AwayTeam]],Standings!$A$2:$A$33,0),3)=INDEX(Standings!$A$2:$C$33,MATCH(Table1[[#This Row],[HomeTeam]],Standings!$A$2:$A$33,0),3),1,0)</f>
        <v>0</v>
      </c>
      <c r="AL232" s="64">
        <f>IF(Table1[[#This Row],[InterConf]]=1,IF(Table1[[#This Row],[InterDiv]]=0, 1, 0), 0)</f>
        <v>0</v>
      </c>
      <c r="AM232" s="64">
        <f>IF(INDEX(Standings!$A$2:$C$33,MATCH(Table1[[#This Row],[AwayTeam]],Standings!$A$2:$A$33,0),2)&lt;&gt;INDEX(Standings!$A$2:$C$33,MATCH(Table1[[#This Row],[HomeTeam]],Standings!$A$2:$A$33,0),2),1,0)</f>
        <v>1</v>
      </c>
      <c r="AN232" s="64" t="str">
        <f>INDEX(Table2[AWAY_RECORD], MATCH(Table1[[#This Row],[AwayTeam]],Table2[Team], 0), 0)</f>
        <v>0-0-0</v>
      </c>
      <c r="AO232" s="64" t="str">
        <f>INDEX(Records!$B$2:$AG$33, MATCH(Table1[[#This Row],[AwayTeam]],Records!$A$2:$A$33, 0), MATCH(Table1[[#This Row],[HomeTeam]],Records!$A$2:$A$33, 0))</f>
        <v>0-0-0</v>
      </c>
      <c r="AP232" s="64" t="str">
        <f>INDEX(Table2[HOME_RECORD], MATCH(Table1[[#This Row],[HomeTeam]],Table2[Team], 0), 0)</f>
        <v>0-0-0</v>
      </c>
      <c r="AQ232" s="64" t="str">
        <f>INDEX(Records!$B$2:$AG$33, MATCH(Table1[[#This Row],[HomeTeam]],Records!$A$2:$A$33, 0), MATCH(Table1[[#This Row],[AwayTeam]],Records!$A$2:$A$33, 0))</f>
        <v>0-0-0</v>
      </c>
    </row>
    <row r="233" spans="1:43" x14ac:dyDescent="0.25">
      <c r="A233" s="1"/>
      <c r="D233" t="s">
        <v>448</v>
      </c>
      <c r="E233" t="s">
        <v>162</v>
      </c>
      <c r="F233" t="s">
        <v>449</v>
      </c>
      <c r="G233" t="s">
        <v>25</v>
      </c>
      <c r="H233" t="s">
        <v>37</v>
      </c>
      <c r="L23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3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33" s="1"/>
      <c r="T233" s="64" t="str">
        <f>IF(Table1[[#This Row],[ActualWinner]]="", "", IF(Table1[[#This Row],[AwayTeam]]=Table1[[#This Row],[ActualWinner]],Table1[[#This Row],[HomeTeam]],Table1[[#This Row],[AwayTeam]]))</f>
        <v/>
      </c>
      <c r="U233" s="64">
        <f>Table1[[#This Row],[ActualAwayScore]]-Table1[[#This Row],[PredictedAwayScore]]</f>
        <v>0</v>
      </c>
      <c r="V233" s="64">
        <f>Table1[[#This Row],[ActualHomeScore]]-Table1[[#This Row],[PredictedHomeScore]]</f>
        <v>0</v>
      </c>
      <c r="W233" s="64">
        <f>(0.8*IF(Table1[[#This Row],[CorrectWinnerPrediction]]=1, 1, 0))+(0.1*IF(Table1[[#This Row],[CorrectAwayScorePrediction]]=1, 1, 0))+(0.1*IF(Table1[[#This Row],[CorrectHomeScorePrediction]]=1, 1, 0))</f>
        <v>0</v>
      </c>
      <c r="X23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33" s="64">
        <f>SUMIF(Table1[GameDate], Table1[[#This Row],[GameDate]], Table1[AwayGameGoalDiff])</f>
        <v>0</v>
      </c>
      <c r="AA233" s="64">
        <f>SUMIF(Table1[GameDate], Table1[[#This Row],[GameDate]], Table1[HomeGameGoalDiff])</f>
        <v>0</v>
      </c>
      <c r="AB233" s="64">
        <f>IF(ISBLANK(Table1[[#This Row],[ActualResult]]), 0, 1)</f>
        <v>0</v>
      </c>
      <c r="AC233" s="64">
        <f>IF(ISBLANK(Table1[[#This Row],[ActualResult]]), 0, IF(Table1[[#This Row],[ActualWinner]]=Table1[[#This Row],[PredictedWinner]], 1, 0))</f>
        <v>0</v>
      </c>
      <c r="AD23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3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33" s="64">
        <f>IF(AND(Table1[[#This Row],[GameIsOver]]=1,Table1[[#This Row],[ActualAwayScore]]=0), 1,0)</f>
        <v>0</v>
      </c>
      <c r="AG233" s="64">
        <f>IF(AND(Table1[[#This Row],[GameIsOver]]=1,Table1[[#This Row],[ActualHomeScore]]=0), 1,0)</f>
        <v>0</v>
      </c>
      <c r="AH233" s="64">
        <f>IF(Table1[[#This Row],[GameIsOver]]=0,0,IF(Table1[[#This Row],[ActualWinner]]=Table1[[#This Row],[AwayTeam]], 1, 0))</f>
        <v>0</v>
      </c>
      <c r="AI233" s="64">
        <f>IF(Table1[[#This Row],[GameIsOver]]=0,0,IF(Table1[[#This Row],[ActualWinner]]=Table1[[#This Row],[HomeTeam]], 1, 0))</f>
        <v>0</v>
      </c>
      <c r="AJ233" s="64">
        <f>IF(INDEX(Standings!$A$2:$C$33,MATCH(Table1[[#This Row],[AwayTeam]],Standings!$A$2:$A$33,0),2)=INDEX(Standings!$A$2:$C$33,MATCH(Table1[[#This Row],[HomeTeam]],Standings!$A$2:$A$33,0),2),1,0)</f>
        <v>0</v>
      </c>
      <c r="AK233" s="64">
        <f>IF(INDEX(Standings!$A$2:$C$33,MATCH(Table1[[#This Row],[AwayTeam]],Standings!$A$2:$A$33,0),3)=INDEX(Standings!$A$2:$C$33,MATCH(Table1[[#This Row],[HomeTeam]],Standings!$A$2:$A$33,0),3),1,0)</f>
        <v>0</v>
      </c>
      <c r="AL233" s="64">
        <f>IF(Table1[[#This Row],[InterConf]]=1,IF(Table1[[#This Row],[InterDiv]]=0, 1, 0), 0)</f>
        <v>0</v>
      </c>
      <c r="AM233" s="64">
        <f>IF(INDEX(Standings!$A$2:$C$33,MATCH(Table1[[#This Row],[AwayTeam]],Standings!$A$2:$A$33,0),2)&lt;&gt;INDEX(Standings!$A$2:$C$33,MATCH(Table1[[#This Row],[HomeTeam]],Standings!$A$2:$A$33,0),2),1,0)</f>
        <v>1</v>
      </c>
      <c r="AN233" s="64" t="str">
        <f>INDEX(Table2[AWAY_RECORD], MATCH(Table1[[#This Row],[AwayTeam]],Table2[Team], 0), 0)</f>
        <v>0-0-0</v>
      </c>
      <c r="AO233" s="64" t="str">
        <f>INDEX(Records!$B$2:$AG$33, MATCH(Table1[[#This Row],[AwayTeam]],Records!$A$2:$A$33, 0), MATCH(Table1[[#This Row],[HomeTeam]],Records!$A$2:$A$33, 0))</f>
        <v>0-0-0</v>
      </c>
      <c r="AP233" s="64" t="str">
        <f>INDEX(Table2[HOME_RECORD], MATCH(Table1[[#This Row],[HomeTeam]],Table2[Team], 0), 0)</f>
        <v>0-1-0</v>
      </c>
      <c r="AQ233" s="64" t="str">
        <f>INDEX(Records!$B$2:$AG$33, MATCH(Table1[[#This Row],[HomeTeam]],Records!$A$2:$A$33, 0), MATCH(Table1[[#This Row],[AwayTeam]],Records!$A$2:$A$33, 0))</f>
        <v>0-0-0</v>
      </c>
    </row>
    <row r="234" spans="1:43" x14ac:dyDescent="0.25">
      <c r="A234" s="1"/>
      <c r="D234" t="s">
        <v>448</v>
      </c>
      <c r="E234" t="s">
        <v>162</v>
      </c>
      <c r="F234" t="s">
        <v>450</v>
      </c>
      <c r="G234" t="s">
        <v>44</v>
      </c>
      <c r="H234" t="s">
        <v>17</v>
      </c>
      <c r="L23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3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34" s="1"/>
      <c r="T234" s="64" t="str">
        <f>IF(Table1[[#This Row],[ActualWinner]]="", "", IF(Table1[[#This Row],[AwayTeam]]=Table1[[#This Row],[ActualWinner]],Table1[[#This Row],[HomeTeam]],Table1[[#This Row],[AwayTeam]]))</f>
        <v/>
      </c>
      <c r="U234" s="64">
        <f>Table1[[#This Row],[ActualAwayScore]]-Table1[[#This Row],[PredictedAwayScore]]</f>
        <v>0</v>
      </c>
      <c r="V234" s="64">
        <f>Table1[[#This Row],[ActualHomeScore]]-Table1[[#This Row],[PredictedHomeScore]]</f>
        <v>0</v>
      </c>
      <c r="W234" s="64">
        <f>(0.8*IF(Table1[[#This Row],[CorrectWinnerPrediction]]=1, 1, 0))+(0.1*IF(Table1[[#This Row],[CorrectAwayScorePrediction]]=1, 1, 0))+(0.1*IF(Table1[[#This Row],[CorrectHomeScorePrediction]]=1, 1, 0))</f>
        <v>0</v>
      </c>
      <c r="X23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34" s="64">
        <f>SUMIF(Table1[GameDate], Table1[[#This Row],[GameDate]], Table1[AwayGameGoalDiff])</f>
        <v>0</v>
      </c>
      <c r="AA234" s="64">
        <f>SUMIF(Table1[GameDate], Table1[[#This Row],[GameDate]], Table1[HomeGameGoalDiff])</f>
        <v>0</v>
      </c>
      <c r="AB234" s="64">
        <f>IF(ISBLANK(Table1[[#This Row],[ActualResult]]), 0, 1)</f>
        <v>0</v>
      </c>
      <c r="AC234" s="64">
        <f>IF(ISBLANK(Table1[[#This Row],[ActualResult]]), 0, IF(Table1[[#This Row],[ActualWinner]]=Table1[[#This Row],[PredictedWinner]], 1, 0))</f>
        <v>0</v>
      </c>
      <c r="AD23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3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34" s="64">
        <f>IF(AND(Table1[[#This Row],[GameIsOver]]=1,Table1[[#This Row],[ActualAwayScore]]=0), 1,0)</f>
        <v>0</v>
      </c>
      <c r="AG234" s="64">
        <f>IF(AND(Table1[[#This Row],[GameIsOver]]=1,Table1[[#This Row],[ActualHomeScore]]=0), 1,0)</f>
        <v>0</v>
      </c>
      <c r="AH234" s="64">
        <f>IF(Table1[[#This Row],[GameIsOver]]=0,0,IF(Table1[[#This Row],[ActualWinner]]=Table1[[#This Row],[AwayTeam]], 1, 0))</f>
        <v>0</v>
      </c>
      <c r="AI234" s="64">
        <f>IF(Table1[[#This Row],[GameIsOver]]=0,0,IF(Table1[[#This Row],[ActualWinner]]=Table1[[#This Row],[HomeTeam]], 1, 0))</f>
        <v>0</v>
      </c>
      <c r="AJ234" s="64">
        <f>IF(INDEX(Standings!$A$2:$C$33,MATCH(Table1[[#This Row],[AwayTeam]],Standings!$A$2:$A$33,0),2)=INDEX(Standings!$A$2:$C$33,MATCH(Table1[[#This Row],[HomeTeam]],Standings!$A$2:$A$33,0),2),1,0)</f>
        <v>1</v>
      </c>
      <c r="AK234" s="64">
        <f>IF(INDEX(Standings!$A$2:$C$33,MATCH(Table1[[#This Row],[AwayTeam]],Standings!$A$2:$A$33,0),3)=INDEX(Standings!$A$2:$C$33,MATCH(Table1[[#This Row],[HomeTeam]],Standings!$A$2:$A$33,0),3),1,0)</f>
        <v>1</v>
      </c>
      <c r="AL234" s="64">
        <f>IF(Table1[[#This Row],[InterConf]]=1,IF(Table1[[#This Row],[InterDiv]]=0, 1, 0), 0)</f>
        <v>0</v>
      </c>
      <c r="AM234" s="64">
        <f>IF(INDEX(Standings!$A$2:$C$33,MATCH(Table1[[#This Row],[AwayTeam]],Standings!$A$2:$A$33,0),2)&lt;&gt;INDEX(Standings!$A$2:$C$33,MATCH(Table1[[#This Row],[HomeTeam]],Standings!$A$2:$A$33,0),2),1,0)</f>
        <v>0</v>
      </c>
      <c r="AN234" s="64" t="str">
        <f>INDEX(Table2[AWAY_RECORD], MATCH(Table1[[#This Row],[AwayTeam]],Table2[Team], 0), 0)</f>
        <v>0-0-0</v>
      </c>
      <c r="AO234" s="64" t="str">
        <f>INDEX(Records!$B$2:$AG$33, MATCH(Table1[[#This Row],[AwayTeam]],Records!$A$2:$A$33, 0), MATCH(Table1[[#This Row],[HomeTeam]],Records!$A$2:$A$33, 0))</f>
        <v>0-0-0</v>
      </c>
      <c r="AP234" s="64" t="str">
        <f>INDEX(Table2[HOME_RECORD], MATCH(Table1[[#This Row],[HomeTeam]],Table2[Team], 0), 0)</f>
        <v>0-0-0</v>
      </c>
      <c r="AQ234" s="64" t="str">
        <f>INDEX(Records!$B$2:$AG$33, MATCH(Table1[[#This Row],[HomeTeam]],Records!$A$2:$A$33, 0), MATCH(Table1[[#This Row],[AwayTeam]],Records!$A$2:$A$33, 0))</f>
        <v>0-0-0</v>
      </c>
    </row>
    <row r="235" spans="1:43" x14ac:dyDescent="0.25">
      <c r="A235" s="1"/>
      <c r="D235" t="s">
        <v>448</v>
      </c>
      <c r="E235" t="s">
        <v>178</v>
      </c>
      <c r="F235" t="s">
        <v>451</v>
      </c>
      <c r="G235" t="s">
        <v>41</v>
      </c>
      <c r="H235" t="s">
        <v>16</v>
      </c>
      <c r="L23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3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35" s="1"/>
      <c r="T235" s="64" t="str">
        <f>IF(Table1[[#This Row],[ActualWinner]]="", "", IF(Table1[[#This Row],[AwayTeam]]=Table1[[#This Row],[ActualWinner]],Table1[[#This Row],[HomeTeam]],Table1[[#This Row],[AwayTeam]]))</f>
        <v/>
      </c>
      <c r="U235" s="64">
        <f>Table1[[#This Row],[ActualAwayScore]]-Table1[[#This Row],[PredictedAwayScore]]</f>
        <v>0</v>
      </c>
      <c r="V235" s="64">
        <f>Table1[[#This Row],[ActualHomeScore]]-Table1[[#This Row],[PredictedHomeScore]]</f>
        <v>0</v>
      </c>
      <c r="W235" s="64">
        <f>(0.8*IF(Table1[[#This Row],[CorrectWinnerPrediction]]=1, 1, 0))+(0.1*IF(Table1[[#This Row],[CorrectAwayScorePrediction]]=1, 1, 0))+(0.1*IF(Table1[[#This Row],[CorrectHomeScorePrediction]]=1, 1, 0))</f>
        <v>0</v>
      </c>
      <c r="X23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35" s="64">
        <f>SUMIF(Table1[GameDate], Table1[[#This Row],[GameDate]], Table1[AwayGameGoalDiff])</f>
        <v>0</v>
      </c>
      <c r="AA235" s="64">
        <f>SUMIF(Table1[GameDate], Table1[[#This Row],[GameDate]], Table1[HomeGameGoalDiff])</f>
        <v>0</v>
      </c>
      <c r="AB235" s="64">
        <f>IF(ISBLANK(Table1[[#This Row],[ActualResult]]), 0, 1)</f>
        <v>0</v>
      </c>
      <c r="AC235" s="64">
        <f>IF(ISBLANK(Table1[[#This Row],[ActualResult]]), 0, IF(Table1[[#This Row],[ActualWinner]]=Table1[[#This Row],[PredictedWinner]], 1, 0))</f>
        <v>0</v>
      </c>
      <c r="AD23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3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35" s="64">
        <f>IF(AND(Table1[[#This Row],[GameIsOver]]=1,Table1[[#This Row],[ActualAwayScore]]=0), 1,0)</f>
        <v>0</v>
      </c>
      <c r="AG235" s="64">
        <f>IF(AND(Table1[[#This Row],[GameIsOver]]=1,Table1[[#This Row],[ActualHomeScore]]=0), 1,0)</f>
        <v>0</v>
      </c>
      <c r="AH235" s="64">
        <f>IF(Table1[[#This Row],[GameIsOver]]=0,0,IF(Table1[[#This Row],[ActualWinner]]=Table1[[#This Row],[AwayTeam]], 1, 0))</f>
        <v>0</v>
      </c>
      <c r="AI235" s="64">
        <f>IF(Table1[[#This Row],[GameIsOver]]=0,0,IF(Table1[[#This Row],[ActualWinner]]=Table1[[#This Row],[HomeTeam]], 1, 0))</f>
        <v>0</v>
      </c>
      <c r="AJ235" s="64">
        <f>IF(INDEX(Standings!$A$2:$C$33,MATCH(Table1[[#This Row],[AwayTeam]],Standings!$A$2:$A$33,0),2)=INDEX(Standings!$A$2:$C$33,MATCH(Table1[[#This Row],[HomeTeam]],Standings!$A$2:$A$33,0),2),1,0)</f>
        <v>1</v>
      </c>
      <c r="AK235" s="64">
        <f>IF(INDEX(Standings!$A$2:$C$33,MATCH(Table1[[#This Row],[AwayTeam]],Standings!$A$2:$A$33,0),3)=INDEX(Standings!$A$2:$C$33,MATCH(Table1[[#This Row],[HomeTeam]],Standings!$A$2:$A$33,0),3),1,0)</f>
        <v>1</v>
      </c>
      <c r="AL235" s="64">
        <f>IF(Table1[[#This Row],[InterConf]]=1,IF(Table1[[#This Row],[InterDiv]]=0, 1, 0), 0)</f>
        <v>0</v>
      </c>
      <c r="AM235" s="64">
        <f>IF(INDEX(Standings!$A$2:$C$33,MATCH(Table1[[#This Row],[AwayTeam]],Standings!$A$2:$A$33,0),2)&lt;&gt;INDEX(Standings!$A$2:$C$33,MATCH(Table1[[#This Row],[HomeTeam]],Standings!$A$2:$A$33,0),2),1,0)</f>
        <v>0</v>
      </c>
      <c r="AN235" s="64" t="str">
        <f>INDEX(Table2[AWAY_RECORD], MATCH(Table1[[#This Row],[AwayTeam]],Table2[Team], 0), 0)</f>
        <v>0-0-0</v>
      </c>
      <c r="AO235" s="64" t="str">
        <f>INDEX(Records!$B$2:$AG$33, MATCH(Table1[[#This Row],[AwayTeam]],Records!$A$2:$A$33, 0), MATCH(Table1[[#This Row],[HomeTeam]],Records!$A$2:$A$33, 0))</f>
        <v>0-0-0</v>
      </c>
      <c r="AP235" s="64" t="str">
        <f>INDEX(Table2[HOME_RECORD], MATCH(Table1[[#This Row],[HomeTeam]],Table2[Team], 0), 0)</f>
        <v>0-0-0</v>
      </c>
      <c r="AQ235" s="64" t="str">
        <f>INDEX(Records!$B$2:$AG$33, MATCH(Table1[[#This Row],[HomeTeam]],Records!$A$2:$A$33, 0), MATCH(Table1[[#This Row],[AwayTeam]],Records!$A$2:$A$33, 0))</f>
        <v>0-0-0</v>
      </c>
    </row>
    <row r="236" spans="1:43" x14ac:dyDescent="0.25">
      <c r="A236" s="1"/>
      <c r="D236" t="s">
        <v>448</v>
      </c>
      <c r="E236" t="s">
        <v>164</v>
      </c>
      <c r="F236" t="s">
        <v>452</v>
      </c>
      <c r="G236" t="s">
        <v>39</v>
      </c>
      <c r="H236" t="s">
        <v>55</v>
      </c>
      <c r="L23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3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36" s="1"/>
      <c r="T236" s="64" t="str">
        <f>IF(Table1[[#This Row],[ActualWinner]]="", "", IF(Table1[[#This Row],[AwayTeam]]=Table1[[#This Row],[ActualWinner]],Table1[[#This Row],[HomeTeam]],Table1[[#This Row],[AwayTeam]]))</f>
        <v/>
      </c>
      <c r="U236" s="64">
        <f>Table1[[#This Row],[ActualAwayScore]]-Table1[[#This Row],[PredictedAwayScore]]</f>
        <v>0</v>
      </c>
      <c r="V236" s="64">
        <f>Table1[[#This Row],[ActualHomeScore]]-Table1[[#This Row],[PredictedHomeScore]]</f>
        <v>0</v>
      </c>
      <c r="W236" s="64">
        <f>(0.8*IF(Table1[[#This Row],[CorrectWinnerPrediction]]=1, 1, 0))+(0.1*IF(Table1[[#This Row],[CorrectAwayScorePrediction]]=1, 1, 0))+(0.1*IF(Table1[[#This Row],[CorrectHomeScorePrediction]]=1, 1, 0))</f>
        <v>0</v>
      </c>
      <c r="X23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36" s="64">
        <f>SUMIF(Table1[GameDate], Table1[[#This Row],[GameDate]], Table1[AwayGameGoalDiff])</f>
        <v>0</v>
      </c>
      <c r="AA236" s="64">
        <f>SUMIF(Table1[GameDate], Table1[[#This Row],[GameDate]], Table1[HomeGameGoalDiff])</f>
        <v>0</v>
      </c>
      <c r="AB236" s="64">
        <f>IF(ISBLANK(Table1[[#This Row],[ActualResult]]), 0, 1)</f>
        <v>0</v>
      </c>
      <c r="AC236" s="64">
        <f>IF(ISBLANK(Table1[[#This Row],[ActualResult]]), 0, IF(Table1[[#This Row],[ActualWinner]]=Table1[[#This Row],[PredictedWinner]], 1, 0))</f>
        <v>0</v>
      </c>
      <c r="AD23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3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36" s="64">
        <f>IF(AND(Table1[[#This Row],[GameIsOver]]=1,Table1[[#This Row],[ActualAwayScore]]=0), 1,0)</f>
        <v>0</v>
      </c>
      <c r="AG236" s="64">
        <f>IF(AND(Table1[[#This Row],[GameIsOver]]=1,Table1[[#This Row],[ActualHomeScore]]=0), 1,0)</f>
        <v>0</v>
      </c>
      <c r="AH236" s="64">
        <f>IF(Table1[[#This Row],[GameIsOver]]=0,0,IF(Table1[[#This Row],[ActualWinner]]=Table1[[#This Row],[AwayTeam]], 1, 0))</f>
        <v>0</v>
      </c>
      <c r="AI236" s="64">
        <f>IF(Table1[[#This Row],[GameIsOver]]=0,0,IF(Table1[[#This Row],[ActualWinner]]=Table1[[#This Row],[HomeTeam]], 1, 0))</f>
        <v>0</v>
      </c>
      <c r="AJ236" s="64">
        <f>IF(INDEX(Standings!$A$2:$C$33,MATCH(Table1[[#This Row],[AwayTeam]],Standings!$A$2:$A$33,0),2)=INDEX(Standings!$A$2:$C$33,MATCH(Table1[[#This Row],[HomeTeam]],Standings!$A$2:$A$33,0),2),1,0)</f>
        <v>1</v>
      </c>
      <c r="AK236" s="64">
        <f>IF(INDEX(Standings!$A$2:$C$33,MATCH(Table1[[#This Row],[AwayTeam]],Standings!$A$2:$A$33,0),3)=INDEX(Standings!$A$2:$C$33,MATCH(Table1[[#This Row],[HomeTeam]],Standings!$A$2:$A$33,0),3),1,0)</f>
        <v>1</v>
      </c>
      <c r="AL236" s="64">
        <f>IF(Table1[[#This Row],[InterConf]]=1,IF(Table1[[#This Row],[InterDiv]]=0, 1, 0), 0)</f>
        <v>0</v>
      </c>
      <c r="AM236" s="64">
        <f>IF(INDEX(Standings!$A$2:$C$33,MATCH(Table1[[#This Row],[AwayTeam]],Standings!$A$2:$A$33,0),2)&lt;&gt;INDEX(Standings!$A$2:$C$33,MATCH(Table1[[#This Row],[HomeTeam]],Standings!$A$2:$A$33,0),2),1,0)</f>
        <v>0</v>
      </c>
      <c r="AN236" s="64" t="str">
        <f>INDEX(Table2[AWAY_RECORD], MATCH(Table1[[#This Row],[AwayTeam]],Table2[Team], 0), 0)</f>
        <v>0-0-0</v>
      </c>
      <c r="AO236" s="64" t="str">
        <f>INDEX(Records!$B$2:$AG$33, MATCH(Table1[[#This Row],[AwayTeam]],Records!$A$2:$A$33, 0), MATCH(Table1[[#This Row],[HomeTeam]],Records!$A$2:$A$33, 0))</f>
        <v>0-0-0</v>
      </c>
      <c r="AP236" s="64" t="str">
        <f>INDEX(Table2[HOME_RECORD], MATCH(Table1[[#This Row],[HomeTeam]],Table2[Team], 0), 0)</f>
        <v>0-1-0</v>
      </c>
      <c r="AQ236" s="64" t="str">
        <f>INDEX(Records!$B$2:$AG$33, MATCH(Table1[[#This Row],[HomeTeam]],Records!$A$2:$A$33, 0), MATCH(Table1[[#This Row],[AwayTeam]],Records!$A$2:$A$33, 0))</f>
        <v>0-0-0</v>
      </c>
    </row>
    <row r="237" spans="1:43" x14ac:dyDescent="0.25">
      <c r="A237" s="1"/>
      <c r="D237" t="s">
        <v>453</v>
      </c>
      <c r="E237" t="s">
        <v>162</v>
      </c>
      <c r="F237" t="s">
        <v>454</v>
      </c>
      <c r="G237" t="s">
        <v>58</v>
      </c>
      <c r="H237" t="s">
        <v>24</v>
      </c>
      <c r="L23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3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37" s="1"/>
      <c r="T237" s="64" t="str">
        <f>IF(Table1[[#This Row],[ActualWinner]]="", "", IF(Table1[[#This Row],[AwayTeam]]=Table1[[#This Row],[ActualWinner]],Table1[[#This Row],[HomeTeam]],Table1[[#This Row],[AwayTeam]]))</f>
        <v/>
      </c>
      <c r="U237" s="64">
        <f>Table1[[#This Row],[ActualAwayScore]]-Table1[[#This Row],[PredictedAwayScore]]</f>
        <v>0</v>
      </c>
      <c r="V237" s="64">
        <f>Table1[[#This Row],[ActualHomeScore]]-Table1[[#This Row],[PredictedHomeScore]]</f>
        <v>0</v>
      </c>
      <c r="W237" s="64">
        <f>(0.8*IF(Table1[[#This Row],[CorrectWinnerPrediction]]=1, 1, 0))+(0.1*IF(Table1[[#This Row],[CorrectAwayScorePrediction]]=1, 1, 0))+(0.1*IF(Table1[[#This Row],[CorrectHomeScorePrediction]]=1, 1, 0))</f>
        <v>0</v>
      </c>
      <c r="X23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37" s="64">
        <f>SUMIF(Table1[GameDate], Table1[[#This Row],[GameDate]], Table1[AwayGameGoalDiff])</f>
        <v>0</v>
      </c>
      <c r="AA237" s="64">
        <f>SUMIF(Table1[GameDate], Table1[[#This Row],[GameDate]], Table1[HomeGameGoalDiff])</f>
        <v>0</v>
      </c>
      <c r="AB237" s="64">
        <f>IF(ISBLANK(Table1[[#This Row],[ActualResult]]), 0, 1)</f>
        <v>0</v>
      </c>
      <c r="AC237" s="64">
        <f>IF(ISBLANK(Table1[[#This Row],[ActualResult]]), 0, IF(Table1[[#This Row],[ActualWinner]]=Table1[[#This Row],[PredictedWinner]], 1, 0))</f>
        <v>0</v>
      </c>
      <c r="AD23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3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37" s="64">
        <f>IF(AND(Table1[[#This Row],[GameIsOver]]=1,Table1[[#This Row],[ActualAwayScore]]=0), 1,0)</f>
        <v>0</v>
      </c>
      <c r="AG237" s="64">
        <f>IF(AND(Table1[[#This Row],[GameIsOver]]=1,Table1[[#This Row],[ActualHomeScore]]=0), 1,0)</f>
        <v>0</v>
      </c>
      <c r="AH237" s="64">
        <f>IF(Table1[[#This Row],[GameIsOver]]=0,0,IF(Table1[[#This Row],[ActualWinner]]=Table1[[#This Row],[AwayTeam]], 1, 0))</f>
        <v>0</v>
      </c>
      <c r="AI237" s="64">
        <f>IF(Table1[[#This Row],[GameIsOver]]=0,0,IF(Table1[[#This Row],[ActualWinner]]=Table1[[#This Row],[HomeTeam]], 1, 0))</f>
        <v>0</v>
      </c>
      <c r="AJ237" s="64">
        <f>IF(INDEX(Standings!$A$2:$C$33,MATCH(Table1[[#This Row],[AwayTeam]],Standings!$A$2:$A$33,0),2)=INDEX(Standings!$A$2:$C$33,MATCH(Table1[[#This Row],[HomeTeam]],Standings!$A$2:$A$33,0),2),1,0)</f>
        <v>0</v>
      </c>
      <c r="AK237" s="64">
        <f>IF(INDEX(Standings!$A$2:$C$33,MATCH(Table1[[#This Row],[AwayTeam]],Standings!$A$2:$A$33,0),3)=INDEX(Standings!$A$2:$C$33,MATCH(Table1[[#This Row],[HomeTeam]],Standings!$A$2:$A$33,0),3),1,0)</f>
        <v>0</v>
      </c>
      <c r="AL237" s="64">
        <f>IF(Table1[[#This Row],[InterConf]]=1,IF(Table1[[#This Row],[InterDiv]]=0, 1, 0), 0)</f>
        <v>0</v>
      </c>
      <c r="AM237" s="64">
        <f>IF(INDEX(Standings!$A$2:$C$33,MATCH(Table1[[#This Row],[AwayTeam]],Standings!$A$2:$A$33,0),2)&lt;&gt;INDEX(Standings!$A$2:$C$33,MATCH(Table1[[#This Row],[HomeTeam]],Standings!$A$2:$A$33,0),2),1,0)</f>
        <v>1</v>
      </c>
      <c r="AN237" s="64" t="str">
        <f>INDEX(Table2[AWAY_RECORD], MATCH(Table1[[#This Row],[AwayTeam]],Table2[Team], 0), 0)</f>
        <v>0-0-0</v>
      </c>
      <c r="AO237" s="64" t="str">
        <f>INDEX(Records!$B$2:$AG$33, MATCH(Table1[[#This Row],[AwayTeam]],Records!$A$2:$A$33, 0), MATCH(Table1[[#This Row],[HomeTeam]],Records!$A$2:$A$33, 0))</f>
        <v>0-0-0</v>
      </c>
      <c r="AP237" s="64" t="str">
        <f>INDEX(Table2[HOME_RECORD], MATCH(Table1[[#This Row],[HomeTeam]],Table2[Team], 0), 0)</f>
        <v>0-2-0</v>
      </c>
      <c r="AQ237" s="64" t="str">
        <f>INDEX(Records!$B$2:$AG$33, MATCH(Table1[[#This Row],[HomeTeam]],Records!$A$2:$A$33, 0), MATCH(Table1[[#This Row],[AwayTeam]],Records!$A$2:$A$33, 0))</f>
        <v>0-0-0</v>
      </c>
    </row>
    <row r="238" spans="1:43" x14ac:dyDescent="0.25">
      <c r="A238" s="1"/>
      <c r="D238" t="s">
        <v>453</v>
      </c>
      <c r="E238" t="s">
        <v>162</v>
      </c>
      <c r="F238" t="s">
        <v>455</v>
      </c>
      <c r="G238" t="s">
        <v>60</v>
      </c>
      <c r="H238" t="s">
        <v>47</v>
      </c>
      <c r="L23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3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38" s="1"/>
      <c r="T238" s="64" t="str">
        <f>IF(Table1[[#This Row],[ActualWinner]]="", "", IF(Table1[[#This Row],[AwayTeam]]=Table1[[#This Row],[ActualWinner]],Table1[[#This Row],[HomeTeam]],Table1[[#This Row],[AwayTeam]]))</f>
        <v/>
      </c>
      <c r="U238" s="64">
        <f>Table1[[#This Row],[ActualAwayScore]]-Table1[[#This Row],[PredictedAwayScore]]</f>
        <v>0</v>
      </c>
      <c r="V238" s="64">
        <f>Table1[[#This Row],[ActualHomeScore]]-Table1[[#This Row],[PredictedHomeScore]]</f>
        <v>0</v>
      </c>
      <c r="W238" s="64">
        <f>(0.8*IF(Table1[[#This Row],[CorrectWinnerPrediction]]=1, 1, 0))+(0.1*IF(Table1[[#This Row],[CorrectAwayScorePrediction]]=1, 1, 0))+(0.1*IF(Table1[[#This Row],[CorrectHomeScorePrediction]]=1, 1, 0))</f>
        <v>0</v>
      </c>
      <c r="X23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38" s="64">
        <f>SUMIF(Table1[GameDate], Table1[[#This Row],[GameDate]], Table1[AwayGameGoalDiff])</f>
        <v>0</v>
      </c>
      <c r="AA238" s="64">
        <f>SUMIF(Table1[GameDate], Table1[[#This Row],[GameDate]], Table1[HomeGameGoalDiff])</f>
        <v>0</v>
      </c>
      <c r="AB238" s="64">
        <f>IF(ISBLANK(Table1[[#This Row],[ActualResult]]), 0, 1)</f>
        <v>0</v>
      </c>
      <c r="AC238" s="64">
        <f>IF(ISBLANK(Table1[[#This Row],[ActualResult]]), 0, IF(Table1[[#This Row],[ActualWinner]]=Table1[[#This Row],[PredictedWinner]], 1, 0))</f>
        <v>0</v>
      </c>
      <c r="AD23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3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38" s="64">
        <f>IF(AND(Table1[[#This Row],[GameIsOver]]=1,Table1[[#This Row],[ActualAwayScore]]=0), 1,0)</f>
        <v>0</v>
      </c>
      <c r="AG238" s="64">
        <f>IF(AND(Table1[[#This Row],[GameIsOver]]=1,Table1[[#This Row],[ActualHomeScore]]=0), 1,0)</f>
        <v>0</v>
      </c>
      <c r="AH238" s="64">
        <f>IF(Table1[[#This Row],[GameIsOver]]=0,0,IF(Table1[[#This Row],[ActualWinner]]=Table1[[#This Row],[AwayTeam]], 1, 0))</f>
        <v>0</v>
      </c>
      <c r="AI238" s="64">
        <f>IF(Table1[[#This Row],[GameIsOver]]=0,0,IF(Table1[[#This Row],[ActualWinner]]=Table1[[#This Row],[HomeTeam]], 1, 0))</f>
        <v>0</v>
      </c>
      <c r="AJ238" s="64">
        <f>IF(INDEX(Standings!$A$2:$C$33,MATCH(Table1[[#This Row],[AwayTeam]],Standings!$A$2:$A$33,0),2)=INDEX(Standings!$A$2:$C$33,MATCH(Table1[[#This Row],[HomeTeam]],Standings!$A$2:$A$33,0),2),1,0)</f>
        <v>0</v>
      </c>
      <c r="AK238" s="64">
        <f>IF(INDEX(Standings!$A$2:$C$33,MATCH(Table1[[#This Row],[AwayTeam]],Standings!$A$2:$A$33,0),3)=INDEX(Standings!$A$2:$C$33,MATCH(Table1[[#This Row],[HomeTeam]],Standings!$A$2:$A$33,0),3),1,0)</f>
        <v>0</v>
      </c>
      <c r="AL238" s="64">
        <f>IF(Table1[[#This Row],[InterConf]]=1,IF(Table1[[#This Row],[InterDiv]]=0, 1, 0), 0)</f>
        <v>0</v>
      </c>
      <c r="AM238" s="64">
        <f>IF(INDEX(Standings!$A$2:$C$33,MATCH(Table1[[#This Row],[AwayTeam]],Standings!$A$2:$A$33,0),2)&lt;&gt;INDEX(Standings!$A$2:$C$33,MATCH(Table1[[#This Row],[HomeTeam]],Standings!$A$2:$A$33,0),2),1,0)</f>
        <v>1</v>
      </c>
      <c r="AN238" s="64" t="str">
        <f>INDEX(Table2[AWAY_RECORD], MATCH(Table1[[#This Row],[AwayTeam]],Table2[Team], 0), 0)</f>
        <v>0-0-0</v>
      </c>
      <c r="AO238" s="64" t="str">
        <f>INDEX(Records!$B$2:$AG$33, MATCH(Table1[[#This Row],[AwayTeam]],Records!$A$2:$A$33, 0), MATCH(Table1[[#This Row],[HomeTeam]],Records!$A$2:$A$33, 0))</f>
        <v>0-0-0</v>
      </c>
      <c r="AP238" s="64" t="str">
        <f>INDEX(Table2[HOME_RECORD], MATCH(Table1[[#This Row],[HomeTeam]],Table2[Team], 0), 0)</f>
        <v>0-0-0</v>
      </c>
      <c r="AQ238" s="64" t="str">
        <f>INDEX(Records!$B$2:$AG$33, MATCH(Table1[[#This Row],[HomeTeam]],Records!$A$2:$A$33, 0), MATCH(Table1[[#This Row],[AwayTeam]],Records!$A$2:$A$33, 0))</f>
        <v>0-0-0</v>
      </c>
    </row>
    <row r="239" spans="1:43" x14ac:dyDescent="0.25">
      <c r="A239" s="1"/>
      <c r="D239" t="s">
        <v>453</v>
      </c>
      <c r="E239" t="s">
        <v>162</v>
      </c>
      <c r="F239" t="s">
        <v>456</v>
      </c>
      <c r="G239" t="s">
        <v>44</v>
      </c>
      <c r="H239" t="s">
        <v>57</v>
      </c>
      <c r="L23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3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39" s="1"/>
      <c r="T239" s="64" t="str">
        <f>IF(Table1[[#This Row],[ActualWinner]]="", "", IF(Table1[[#This Row],[AwayTeam]]=Table1[[#This Row],[ActualWinner]],Table1[[#This Row],[HomeTeam]],Table1[[#This Row],[AwayTeam]]))</f>
        <v/>
      </c>
      <c r="U239" s="64">
        <f>Table1[[#This Row],[ActualAwayScore]]-Table1[[#This Row],[PredictedAwayScore]]</f>
        <v>0</v>
      </c>
      <c r="V239" s="64">
        <f>Table1[[#This Row],[ActualHomeScore]]-Table1[[#This Row],[PredictedHomeScore]]</f>
        <v>0</v>
      </c>
      <c r="W239" s="64">
        <f>(0.8*IF(Table1[[#This Row],[CorrectWinnerPrediction]]=1, 1, 0))+(0.1*IF(Table1[[#This Row],[CorrectAwayScorePrediction]]=1, 1, 0))+(0.1*IF(Table1[[#This Row],[CorrectHomeScorePrediction]]=1, 1, 0))</f>
        <v>0</v>
      </c>
      <c r="X23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39" s="64">
        <f>SUMIF(Table1[GameDate], Table1[[#This Row],[GameDate]], Table1[AwayGameGoalDiff])</f>
        <v>0</v>
      </c>
      <c r="AA239" s="64">
        <f>SUMIF(Table1[GameDate], Table1[[#This Row],[GameDate]], Table1[HomeGameGoalDiff])</f>
        <v>0</v>
      </c>
      <c r="AB239" s="64">
        <f>IF(ISBLANK(Table1[[#This Row],[ActualResult]]), 0, 1)</f>
        <v>0</v>
      </c>
      <c r="AC239" s="64">
        <f>IF(ISBLANK(Table1[[#This Row],[ActualResult]]), 0, IF(Table1[[#This Row],[ActualWinner]]=Table1[[#This Row],[PredictedWinner]], 1, 0))</f>
        <v>0</v>
      </c>
      <c r="AD23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3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39" s="64">
        <f>IF(AND(Table1[[#This Row],[GameIsOver]]=1,Table1[[#This Row],[ActualAwayScore]]=0), 1,0)</f>
        <v>0</v>
      </c>
      <c r="AG239" s="64">
        <f>IF(AND(Table1[[#This Row],[GameIsOver]]=1,Table1[[#This Row],[ActualHomeScore]]=0), 1,0)</f>
        <v>0</v>
      </c>
      <c r="AH239" s="64">
        <f>IF(Table1[[#This Row],[GameIsOver]]=0,0,IF(Table1[[#This Row],[ActualWinner]]=Table1[[#This Row],[AwayTeam]], 1, 0))</f>
        <v>0</v>
      </c>
      <c r="AI239" s="64">
        <f>IF(Table1[[#This Row],[GameIsOver]]=0,0,IF(Table1[[#This Row],[ActualWinner]]=Table1[[#This Row],[HomeTeam]], 1, 0))</f>
        <v>0</v>
      </c>
      <c r="AJ239" s="64">
        <f>IF(INDEX(Standings!$A$2:$C$33,MATCH(Table1[[#This Row],[AwayTeam]],Standings!$A$2:$A$33,0),2)=INDEX(Standings!$A$2:$C$33,MATCH(Table1[[#This Row],[HomeTeam]],Standings!$A$2:$A$33,0),2),1,0)</f>
        <v>1</v>
      </c>
      <c r="AK239" s="64">
        <f>IF(INDEX(Standings!$A$2:$C$33,MATCH(Table1[[#This Row],[AwayTeam]],Standings!$A$2:$A$33,0),3)=INDEX(Standings!$A$2:$C$33,MATCH(Table1[[#This Row],[HomeTeam]],Standings!$A$2:$A$33,0),3),1,0)</f>
        <v>1</v>
      </c>
      <c r="AL239" s="64">
        <f>IF(Table1[[#This Row],[InterConf]]=1,IF(Table1[[#This Row],[InterDiv]]=0, 1, 0), 0)</f>
        <v>0</v>
      </c>
      <c r="AM239" s="64">
        <f>IF(INDEX(Standings!$A$2:$C$33,MATCH(Table1[[#This Row],[AwayTeam]],Standings!$A$2:$A$33,0),2)&lt;&gt;INDEX(Standings!$A$2:$C$33,MATCH(Table1[[#This Row],[HomeTeam]],Standings!$A$2:$A$33,0),2),1,0)</f>
        <v>0</v>
      </c>
      <c r="AN239" s="64" t="str">
        <f>INDEX(Table2[AWAY_RECORD], MATCH(Table1[[#This Row],[AwayTeam]],Table2[Team], 0), 0)</f>
        <v>0-0-0</v>
      </c>
      <c r="AO239" s="64" t="str">
        <f>INDEX(Records!$B$2:$AG$33, MATCH(Table1[[#This Row],[AwayTeam]],Records!$A$2:$A$33, 0), MATCH(Table1[[#This Row],[HomeTeam]],Records!$A$2:$A$33, 0))</f>
        <v>0-0-0</v>
      </c>
      <c r="AP239" s="64" t="str">
        <f>INDEX(Table2[HOME_RECORD], MATCH(Table1[[#This Row],[HomeTeam]],Table2[Team], 0), 0)</f>
        <v>0-0-0</v>
      </c>
      <c r="AQ239" s="64" t="str">
        <f>INDEX(Records!$B$2:$AG$33, MATCH(Table1[[#This Row],[HomeTeam]],Records!$A$2:$A$33, 0), MATCH(Table1[[#This Row],[AwayTeam]],Records!$A$2:$A$33, 0))</f>
        <v>0-0-0</v>
      </c>
    </row>
    <row r="240" spans="1:43" x14ac:dyDescent="0.25">
      <c r="A240" s="1"/>
      <c r="D240" t="s">
        <v>453</v>
      </c>
      <c r="E240" t="s">
        <v>162</v>
      </c>
      <c r="F240" t="s">
        <v>457</v>
      </c>
      <c r="G240" t="s">
        <v>45</v>
      </c>
      <c r="H240" t="s">
        <v>49</v>
      </c>
      <c r="L24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4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40" s="1"/>
      <c r="T240" s="64" t="str">
        <f>IF(Table1[[#This Row],[ActualWinner]]="", "", IF(Table1[[#This Row],[AwayTeam]]=Table1[[#This Row],[ActualWinner]],Table1[[#This Row],[HomeTeam]],Table1[[#This Row],[AwayTeam]]))</f>
        <v/>
      </c>
      <c r="U240" s="64">
        <f>Table1[[#This Row],[ActualAwayScore]]-Table1[[#This Row],[PredictedAwayScore]]</f>
        <v>0</v>
      </c>
      <c r="V240" s="64">
        <f>Table1[[#This Row],[ActualHomeScore]]-Table1[[#This Row],[PredictedHomeScore]]</f>
        <v>0</v>
      </c>
      <c r="W240" s="64">
        <f>(0.8*IF(Table1[[#This Row],[CorrectWinnerPrediction]]=1, 1, 0))+(0.1*IF(Table1[[#This Row],[CorrectAwayScorePrediction]]=1, 1, 0))+(0.1*IF(Table1[[#This Row],[CorrectHomeScorePrediction]]=1, 1, 0))</f>
        <v>0</v>
      </c>
      <c r="X24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40" s="64">
        <f>SUMIF(Table1[GameDate], Table1[[#This Row],[GameDate]], Table1[AwayGameGoalDiff])</f>
        <v>0</v>
      </c>
      <c r="AA240" s="64">
        <f>SUMIF(Table1[GameDate], Table1[[#This Row],[GameDate]], Table1[HomeGameGoalDiff])</f>
        <v>0</v>
      </c>
      <c r="AB240" s="64">
        <f>IF(ISBLANK(Table1[[#This Row],[ActualResult]]), 0, 1)</f>
        <v>0</v>
      </c>
      <c r="AC240" s="64">
        <f>IF(ISBLANK(Table1[[#This Row],[ActualResult]]), 0, IF(Table1[[#This Row],[ActualWinner]]=Table1[[#This Row],[PredictedWinner]], 1, 0))</f>
        <v>0</v>
      </c>
      <c r="AD24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4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40" s="64">
        <f>IF(AND(Table1[[#This Row],[GameIsOver]]=1,Table1[[#This Row],[ActualAwayScore]]=0), 1,0)</f>
        <v>0</v>
      </c>
      <c r="AG240" s="64">
        <f>IF(AND(Table1[[#This Row],[GameIsOver]]=1,Table1[[#This Row],[ActualHomeScore]]=0), 1,0)</f>
        <v>0</v>
      </c>
      <c r="AH240" s="64">
        <f>IF(Table1[[#This Row],[GameIsOver]]=0,0,IF(Table1[[#This Row],[ActualWinner]]=Table1[[#This Row],[AwayTeam]], 1, 0))</f>
        <v>0</v>
      </c>
      <c r="AI240" s="64">
        <f>IF(Table1[[#This Row],[GameIsOver]]=0,0,IF(Table1[[#This Row],[ActualWinner]]=Table1[[#This Row],[HomeTeam]], 1, 0))</f>
        <v>0</v>
      </c>
      <c r="AJ240" s="64">
        <f>IF(INDEX(Standings!$A$2:$C$33,MATCH(Table1[[#This Row],[AwayTeam]],Standings!$A$2:$A$33,0),2)=INDEX(Standings!$A$2:$C$33,MATCH(Table1[[#This Row],[HomeTeam]],Standings!$A$2:$A$33,0),2),1,0)</f>
        <v>0</v>
      </c>
      <c r="AK240" s="64">
        <f>IF(INDEX(Standings!$A$2:$C$33,MATCH(Table1[[#This Row],[AwayTeam]],Standings!$A$2:$A$33,0),3)=INDEX(Standings!$A$2:$C$33,MATCH(Table1[[#This Row],[HomeTeam]],Standings!$A$2:$A$33,0),3),1,0)</f>
        <v>0</v>
      </c>
      <c r="AL240" s="64">
        <f>IF(Table1[[#This Row],[InterConf]]=1,IF(Table1[[#This Row],[InterDiv]]=0, 1, 0), 0)</f>
        <v>0</v>
      </c>
      <c r="AM240" s="64">
        <f>IF(INDEX(Standings!$A$2:$C$33,MATCH(Table1[[#This Row],[AwayTeam]],Standings!$A$2:$A$33,0),2)&lt;&gt;INDEX(Standings!$A$2:$C$33,MATCH(Table1[[#This Row],[HomeTeam]],Standings!$A$2:$A$33,0),2),1,0)</f>
        <v>1</v>
      </c>
      <c r="AN240" s="64" t="str">
        <f>INDEX(Table2[AWAY_RECORD], MATCH(Table1[[#This Row],[AwayTeam]],Table2[Team], 0), 0)</f>
        <v>1-0-0</v>
      </c>
      <c r="AO240" s="64" t="str">
        <f>INDEX(Records!$B$2:$AG$33, MATCH(Table1[[#This Row],[AwayTeam]],Records!$A$2:$A$33, 0), MATCH(Table1[[#This Row],[HomeTeam]],Records!$A$2:$A$33, 0))</f>
        <v>0-0-0</v>
      </c>
      <c r="AP240" s="64" t="str">
        <f>INDEX(Table2[HOME_RECORD], MATCH(Table1[[#This Row],[HomeTeam]],Table2[Team], 0), 0)</f>
        <v>1-0-0</v>
      </c>
      <c r="AQ240" s="64" t="str">
        <f>INDEX(Records!$B$2:$AG$33, MATCH(Table1[[#This Row],[HomeTeam]],Records!$A$2:$A$33, 0), MATCH(Table1[[#This Row],[AwayTeam]],Records!$A$2:$A$33, 0))</f>
        <v>0-0-0</v>
      </c>
    </row>
    <row r="241" spans="1:43" x14ac:dyDescent="0.25">
      <c r="A241" s="1"/>
      <c r="D241" t="s">
        <v>453</v>
      </c>
      <c r="E241" t="s">
        <v>162</v>
      </c>
      <c r="F241" t="s">
        <v>458</v>
      </c>
      <c r="G241" t="s">
        <v>61</v>
      </c>
      <c r="H241" t="s">
        <v>51</v>
      </c>
      <c r="L24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4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41" s="1"/>
      <c r="T241" s="64" t="str">
        <f>IF(Table1[[#This Row],[ActualWinner]]="", "", IF(Table1[[#This Row],[AwayTeam]]=Table1[[#This Row],[ActualWinner]],Table1[[#This Row],[HomeTeam]],Table1[[#This Row],[AwayTeam]]))</f>
        <v/>
      </c>
      <c r="U241" s="64">
        <f>Table1[[#This Row],[ActualAwayScore]]-Table1[[#This Row],[PredictedAwayScore]]</f>
        <v>0</v>
      </c>
      <c r="V241" s="64">
        <f>Table1[[#This Row],[ActualHomeScore]]-Table1[[#This Row],[PredictedHomeScore]]</f>
        <v>0</v>
      </c>
      <c r="W241" s="64">
        <f>(0.8*IF(Table1[[#This Row],[CorrectWinnerPrediction]]=1, 1, 0))+(0.1*IF(Table1[[#This Row],[CorrectAwayScorePrediction]]=1, 1, 0))+(0.1*IF(Table1[[#This Row],[CorrectHomeScorePrediction]]=1, 1, 0))</f>
        <v>0</v>
      </c>
      <c r="X24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41" s="64">
        <f>SUMIF(Table1[GameDate], Table1[[#This Row],[GameDate]], Table1[AwayGameGoalDiff])</f>
        <v>0</v>
      </c>
      <c r="AA241" s="64">
        <f>SUMIF(Table1[GameDate], Table1[[#This Row],[GameDate]], Table1[HomeGameGoalDiff])</f>
        <v>0</v>
      </c>
      <c r="AB241" s="64">
        <f>IF(ISBLANK(Table1[[#This Row],[ActualResult]]), 0, 1)</f>
        <v>0</v>
      </c>
      <c r="AC241" s="64">
        <f>IF(ISBLANK(Table1[[#This Row],[ActualResult]]), 0, IF(Table1[[#This Row],[ActualWinner]]=Table1[[#This Row],[PredictedWinner]], 1, 0))</f>
        <v>0</v>
      </c>
      <c r="AD24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4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41" s="64">
        <f>IF(AND(Table1[[#This Row],[GameIsOver]]=1,Table1[[#This Row],[ActualAwayScore]]=0), 1,0)</f>
        <v>0</v>
      </c>
      <c r="AG241" s="64">
        <f>IF(AND(Table1[[#This Row],[GameIsOver]]=1,Table1[[#This Row],[ActualHomeScore]]=0), 1,0)</f>
        <v>0</v>
      </c>
      <c r="AH241" s="64">
        <f>IF(Table1[[#This Row],[GameIsOver]]=0,0,IF(Table1[[#This Row],[ActualWinner]]=Table1[[#This Row],[AwayTeam]], 1, 0))</f>
        <v>0</v>
      </c>
      <c r="AI241" s="64">
        <f>IF(Table1[[#This Row],[GameIsOver]]=0,0,IF(Table1[[#This Row],[ActualWinner]]=Table1[[#This Row],[HomeTeam]], 1, 0))</f>
        <v>0</v>
      </c>
      <c r="AJ241" s="64">
        <f>IF(INDEX(Standings!$A$2:$C$33,MATCH(Table1[[#This Row],[AwayTeam]],Standings!$A$2:$A$33,0),2)=INDEX(Standings!$A$2:$C$33,MATCH(Table1[[#This Row],[HomeTeam]],Standings!$A$2:$A$33,0),2),1,0)</f>
        <v>0</v>
      </c>
      <c r="AK241" s="64">
        <f>IF(INDEX(Standings!$A$2:$C$33,MATCH(Table1[[#This Row],[AwayTeam]],Standings!$A$2:$A$33,0),3)=INDEX(Standings!$A$2:$C$33,MATCH(Table1[[#This Row],[HomeTeam]],Standings!$A$2:$A$33,0),3),1,0)</f>
        <v>0</v>
      </c>
      <c r="AL241" s="64">
        <f>IF(Table1[[#This Row],[InterConf]]=1,IF(Table1[[#This Row],[InterDiv]]=0, 1, 0), 0)</f>
        <v>0</v>
      </c>
      <c r="AM241" s="64">
        <f>IF(INDEX(Standings!$A$2:$C$33,MATCH(Table1[[#This Row],[AwayTeam]],Standings!$A$2:$A$33,0),2)&lt;&gt;INDEX(Standings!$A$2:$C$33,MATCH(Table1[[#This Row],[HomeTeam]],Standings!$A$2:$A$33,0),2),1,0)</f>
        <v>1</v>
      </c>
      <c r="AN241" s="64" t="str">
        <f>INDEX(Table2[AWAY_RECORD], MATCH(Table1[[#This Row],[AwayTeam]],Table2[Team], 0), 0)</f>
        <v>0-0-0</v>
      </c>
      <c r="AO241" s="64" t="str">
        <f>INDEX(Records!$B$2:$AG$33, MATCH(Table1[[#This Row],[AwayTeam]],Records!$A$2:$A$33, 0), MATCH(Table1[[#This Row],[HomeTeam]],Records!$A$2:$A$33, 0))</f>
        <v>0-0-0</v>
      </c>
      <c r="AP241" s="64" t="str">
        <f>INDEX(Table2[HOME_RECORD], MATCH(Table1[[#This Row],[HomeTeam]],Table2[Team], 0), 0)</f>
        <v>1-0-0</v>
      </c>
      <c r="AQ241" s="64" t="str">
        <f>INDEX(Records!$B$2:$AG$33, MATCH(Table1[[#This Row],[HomeTeam]],Records!$A$2:$A$33, 0), MATCH(Table1[[#This Row],[AwayTeam]],Records!$A$2:$A$33, 0))</f>
        <v>0-0-0</v>
      </c>
    </row>
    <row r="242" spans="1:43" x14ac:dyDescent="0.25">
      <c r="A242" s="1"/>
      <c r="D242" t="s">
        <v>453</v>
      </c>
      <c r="E242" t="s">
        <v>162</v>
      </c>
      <c r="F242" t="s">
        <v>459</v>
      </c>
      <c r="G242" t="s">
        <v>22</v>
      </c>
      <c r="H242" t="s">
        <v>53</v>
      </c>
      <c r="L24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4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42" s="1"/>
      <c r="T242" s="64" t="str">
        <f>IF(Table1[[#This Row],[ActualWinner]]="", "", IF(Table1[[#This Row],[AwayTeam]]=Table1[[#This Row],[ActualWinner]],Table1[[#This Row],[HomeTeam]],Table1[[#This Row],[AwayTeam]]))</f>
        <v/>
      </c>
      <c r="U242" s="64">
        <f>Table1[[#This Row],[ActualAwayScore]]-Table1[[#This Row],[PredictedAwayScore]]</f>
        <v>0</v>
      </c>
      <c r="V242" s="64">
        <f>Table1[[#This Row],[ActualHomeScore]]-Table1[[#This Row],[PredictedHomeScore]]</f>
        <v>0</v>
      </c>
      <c r="W242" s="64">
        <f>(0.8*IF(Table1[[#This Row],[CorrectWinnerPrediction]]=1, 1, 0))+(0.1*IF(Table1[[#This Row],[CorrectAwayScorePrediction]]=1, 1, 0))+(0.1*IF(Table1[[#This Row],[CorrectHomeScorePrediction]]=1, 1, 0))</f>
        <v>0</v>
      </c>
      <c r="X24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42" s="64">
        <f>SUMIF(Table1[GameDate], Table1[[#This Row],[GameDate]], Table1[AwayGameGoalDiff])</f>
        <v>0</v>
      </c>
      <c r="AA242" s="64">
        <f>SUMIF(Table1[GameDate], Table1[[#This Row],[GameDate]], Table1[HomeGameGoalDiff])</f>
        <v>0</v>
      </c>
      <c r="AB242" s="64">
        <f>IF(ISBLANK(Table1[[#This Row],[ActualResult]]), 0, 1)</f>
        <v>0</v>
      </c>
      <c r="AC242" s="64">
        <f>IF(ISBLANK(Table1[[#This Row],[ActualResult]]), 0, IF(Table1[[#This Row],[ActualWinner]]=Table1[[#This Row],[PredictedWinner]], 1, 0))</f>
        <v>0</v>
      </c>
      <c r="AD24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4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42" s="64">
        <f>IF(AND(Table1[[#This Row],[GameIsOver]]=1,Table1[[#This Row],[ActualAwayScore]]=0), 1,0)</f>
        <v>0</v>
      </c>
      <c r="AG242" s="64">
        <f>IF(AND(Table1[[#This Row],[GameIsOver]]=1,Table1[[#This Row],[ActualHomeScore]]=0), 1,0)</f>
        <v>0</v>
      </c>
      <c r="AH242" s="64">
        <f>IF(Table1[[#This Row],[GameIsOver]]=0,0,IF(Table1[[#This Row],[ActualWinner]]=Table1[[#This Row],[AwayTeam]], 1, 0))</f>
        <v>0</v>
      </c>
      <c r="AI242" s="64">
        <f>IF(Table1[[#This Row],[GameIsOver]]=0,0,IF(Table1[[#This Row],[ActualWinner]]=Table1[[#This Row],[HomeTeam]], 1, 0))</f>
        <v>0</v>
      </c>
      <c r="AJ242" s="64">
        <f>IF(INDEX(Standings!$A$2:$C$33,MATCH(Table1[[#This Row],[AwayTeam]],Standings!$A$2:$A$33,0),2)=INDEX(Standings!$A$2:$C$33,MATCH(Table1[[#This Row],[HomeTeam]],Standings!$A$2:$A$33,0),2),1,0)</f>
        <v>0</v>
      </c>
      <c r="AK242" s="64">
        <f>IF(INDEX(Standings!$A$2:$C$33,MATCH(Table1[[#This Row],[AwayTeam]],Standings!$A$2:$A$33,0),3)=INDEX(Standings!$A$2:$C$33,MATCH(Table1[[#This Row],[HomeTeam]],Standings!$A$2:$A$33,0),3),1,0)</f>
        <v>0</v>
      </c>
      <c r="AL242" s="64">
        <f>IF(Table1[[#This Row],[InterConf]]=1,IF(Table1[[#This Row],[InterDiv]]=0, 1, 0), 0)</f>
        <v>0</v>
      </c>
      <c r="AM242" s="64">
        <f>IF(INDEX(Standings!$A$2:$C$33,MATCH(Table1[[#This Row],[AwayTeam]],Standings!$A$2:$A$33,0),2)&lt;&gt;INDEX(Standings!$A$2:$C$33,MATCH(Table1[[#This Row],[HomeTeam]],Standings!$A$2:$A$33,0),2),1,0)</f>
        <v>1</v>
      </c>
      <c r="AN242" s="64" t="str">
        <f>INDEX(Table2[AWAY_RECORD], MATCH(Table1[[#This Row],[AwayTeam]],Table2[Team], 0), 0)</f>
        <v>0-0-1</v>
      </c>
      <c r="AO242" s="64" t="str">
        <f>INDEX(Records!$B$2:$AG$33, MATCH(Table1[[#This Row],[AwayTeam]],Records!$A$2:$A$33, 0), MATCH(Table1[[#This Row],[HomeTeam]],Records!$A$2:$A$33, 0))</f>
        <v>0-0-0</v>
      </c>
      <c r="AP242" s="64" t="str">
        <f>INDEX(Table2[HOME_RECORD], MATCH(Table1[[#This Row],[HomeTeam]],Table2[Team], 0), 0)</f>
        <v>1-0-0</v>
      </c>
      <c r="AQ242" s="64" t="str">
        <f>INDEX(Records!$B$2:$AG$33, MATCH(Table1[[#This Row],[HomeTeam]],Records!$A$2:$A$33, 0), MATCH(Table1[[#This Row],[AwayTeam]],Records!$A$2:$A$33, 0))</f>
        <v>0-0-0</v>
      </c>
    </row>
    <row r="243" spans="1:43" x14ac:dyDescent="0.25">
      <c r="A243" s="1"/>
      <c r="D243" t="s">
        <v>453</v>
      </c>
      <c r="E243" t="s">
        <v>162</v>
      </c>
      <c r="F243" t="s">
        <v>460</v>
      </c>
      <c r="G243" t="s">
        <v>25</v>
      </c>
      <c r="H243" t="s">
        <v>54</v>
      </c>
      <c r="L24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4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43" s="1"/>
      <c r="T243" s="64" t="str">
        <f>IF(Table1[[#This Row],[ActualWinner]]="", "", IF(Table1[[#This Row],[AwayTeam]]=Table1[[#This Row],[ActualWinner]],Table1[[#This Row],[HomeTeam]],Table1[[#This Row],[AwayTeam]]))</f>
        <v/>
      </c>
      <c r="U243" s="64">
        <f>Table1[[#This Row],[ActualAwayScore]]-Table1[[#This Row],[PredictedAwayScore]]</f>
        <v>0</v>
      </c>
      <c r="V243" s="64">
        <f>Table1[[#This Row],[ActualHomeScore]]-Table1[[#This Row],[PredictedHomeScore]]</f>
        <v>0</v>
      </c>
      <c r="W243" s="64">
        <f>(0.8*IF(Table1[[#This Row],[CorrectWinnerPrediction]]=1, 1, 0))+(0.1*IF(Table1[[#This Row],[CorrectAwayScorePrediction]]=1, 1, 0))+(0.1*IF(Table1[[#This Row],[CorrectHomeScorePrediction]]=1, 1, 0))</f>
        <v>0</v>
      </c>
      <c r="X24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43" s="64">
        <f>SUMIF(Table1[GameDate], Table1[[#This Row],[GameDate]], Table1[AwayGameGoalDiff])</f>
        <v>0</v>
      </c>
      <c r="AA243" s="64">
        <f>SUMIF(Table1[GameDate], Table1[[#This Row],[GameDate]], Table1[HomeGameGoalDiff])</f>
        <v>0</v>
      </c>
      <c r="AB243" s="64">
        <f>IF(ISBLANK(Table1[[#This Row],[ActualResult]]), 0, 1)</f>
        <v>0</v>
      </c>
      <c r="AC243" s="64">
        <f>IF(ISBLANK(Table1[[#This Row],[ActualResult]]), 0, IF(Table1[[#This Row],[ActualWinner]]=Table1[[#This Row],[PredictedWinner]], 1, 0))</f>
        <v>0</v>
      </c>
      <c r="AD24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4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43" s="64">
        <f>IF(AND(Table1[[#This Row],[GameIsOver]]=1,Table1[[#This Row],[ActualAwayScore]]=0), 1,0)</f>
        <v>0</v>
      </c>
      <c r="AG243" s="64">
        <f>IF(AND(Table1[[#This Row],[GameIsOver]]=1,Table1[[#This Row],[ActualHomeScore]]=0), 1,0)</f>
        <v>0</v>
      </c>
      <c r="AH243" s="64">
        <f>IF(Table1[[#This Row],[GameIsOver]]=0,0,IF(Table1[[#This Row],[ActualWinner]]=Table1[[#This Row],[AwayTeam]], 1, 0))</f>
        <v>0</v>
      </c>
      <c r="AI243" s="64">
        <f>IF(Table1[[#This Row],[GameIsOver]]=0,0,IF(Table1[[#This Row],[ActualWinner]]=Table1[[#This Row],[HomeTeam]], 1, 0))</f>
        <v>0</v>
      </c>
      <c r="AJ243" s="64">
        <f>IF(INDEX(Standings!$A$2:$C$33,MATCH(Table1[[#This Row],[AwayTeam]],Standings!$A$2:$A$33,0),2)=INDEX(Standings!$A$2:$C$33,MATCH(Table1[[#This Row],[HomeTeam]],Standings!$A$2:$A$33,0),2),1,0)</f>
        <v>0</v>
      </c>
      <c r="AK243" s="64">
        <f>IF(INDEX(Standings!$A$2:$C$33,MATCH(Table1[[#This Row],[AwayTeam]],Standings!$A$2:$A$33,0),3)=INDEX(Standings!$A$2:$C$33,MATCH(Table1[[#This Row],[HomeTeam]],Standings!$A$2:$A$33,0),3),1,0)</f>
        <v>0</v>
      </c>
      <c r="AL243" s="64">
        <f>IF(Table1[[#This Row],[InterConf]]=1,IF(Table1[[#This Row],[InterDiv]]=0, 1, 0), 0)</f>
        <v>0</v>
      </c>
      <c r="AM243" s="64">
        <f>IF(INDEX(Standings!$A$2:$C$33,MATCH(Table1[[#This Row],[AwayTeam]],Standings!$A$2:$A$33,0),2)&lt;&gt;INDEX(Standings!$A$2:$C$33,MATCH(Table1[[#This Row],[HomeTeam]],Standings!$A$2:$A$33,0),2),1,0)</f>
        <v>1</v>
      </c>
      <c r="AN243" s="64" t="str">
        <f>INDEX(Table2[AWAY_RECORD], MATCH(Table1[[#This Row],[AwayTeam]],Table2[Team], 0), 0)</f>
        <v>0-0-0</v>
      </c>
      <c r="AO243" s="64" t="str">
        <f>INDEX(Records!$B$2:$AG$33, MATCH(Table1[[#This Row],[AwayTeam]],Records!$A$2:$A$33, 0), MATCH(Table1[[#This Row],[HomeTeam]],Records!$A$2:$A$33, 0))</f>
        <v>0-0-0</v>
      </c>
      <c r="AP243" s="64" t="str">
        <f>INDEX(Table2[HOME_RECORD], MATCH(Table1[[#This Row],[HomeTeam]],Table2[Team], 0), 0)</f>
        <v>0-0-0</v>
      </c>
      <c r="AQ243" s="64" t="str">
        <f>INDEX(Records!$B$2:$AG$33, MATCH(Table1[[#This Row],[HomeTeam]],Records!$A$2:$A$33, 0), MATCH(Table1[[#This Row],[AwayTeam]],Records!$A$2:$A$33, 0))</f>
        <v>0-0-0</v>
      </c>
    </row>
    <row r="244" spans="1:43" x14ac:dyDescent="0.25">
      <c r="A244" s="1"/>
      <c r="D244" t="s">
        <v>453</v>
      </c>
      <c r="E244" t="s">
        <v>162</v>
      </c>
      <c r="F244" t="s">
        <v>461</v>
      </c>
      <c r="G244" t="s">
        <v>43</v>
      </c>
      <c r="H244" t="s">
        <v>59</v>
      </c>
      <c r="L24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4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44" s="1"/>
      <c r="T244" s="64" t="str">
        <f>IF(Table1[[#This Row],[ActualWinner]]="", "", IF(Table1[[#This Row],[AwayTeam]]=Table1[[#This Row],[ActualWinner]],Table1[[#This Row],[HomeTeam]],Table1[[#This Row],[AwayTeam]]))</f>
        <v/>
      </c>
      <c r="U244" s="64">
        <f>Table1[[#This Row],[ActualAwayScore]]-Table1[[#This Row],[PredictedAwayScore]]</f>
        <v>0</v>
      </c>
      <c r="V244" s="64">
        <f>Table1[[#This Row],[ActualHomeScore]]-Table1[[#This Row],[PredictedHomeScore]]</f>
        <v>0</v>
      </c>
      <c r="W244" s="64">
        <f>(0.8*IF(Table1[[#This Row],[CorrectWinnerPrediction]]=1, 1, 0))+(0.1*IF(Table1[[#This Row],[CorrectAwayScorePrediction]]=1, 1, 0))+(0.1*IF(Table1[[#This Row],[CorrectHomeScorePrediction]]=1, 1, 0))</f>
        <v>0</v>
      </c>
      <c r="X24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44" s="64">
        <f>SUMIF(Table1[GameDate], Table1[[#This Row],[GameDate]], Table1[AwayGameGoalDiff])</f>
        <v>0</v>
      </c>
      <c r="AA244" s="64">
        <f>SUMIF(Table1[GameDate], Table1[[#This Row],[GameDate]], Table1[HomeGameGoalDiff])</f>
        <v>0</v>
      </c>
      <c r="AB244" s="64">
        <f>IF(ISBLANK(Table1[[#This Row],[ActualResult]]), 0, 1)</f>
        <v>0</v>
      </c>
      <c r="AC244" s="64">
        <f>IF(ISBLANK(Table1[[#This Row],[ActualResult]]), 0, IF(Table1[[#This Row],[ActualWinner]]=Table1[[#This Row],[PredictedWinner]], 1, 0))</f>
        <v>0</v>
      </c>
      <c r="AD24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4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44" s="64">
        <f>IF(AND(Table1[[#This Row],[GameIsOver]]=1,Table1[[#This Row],[ActualAwayScore]]=0), 1,0)</f>
        <v>0</v>
      </c>
      <c r="AG244" s="64">
        <f>IF(AND(Table1[[#This Row],[GameIsOver]]=1,Table1[[#This Row],[ActualHomeScore]]=0), 1,0)</f>
        <v>0</v>
      </c>
      <c r="AH244" s="64">
        <f>IF(Table1[[#This Row],[GameIsOver]]=0,0,IF(Table1[[#This Row],[ActualWinner]]=Table1[[#This Row],[AwayTeam]], 1, 0))</f>
        <v>0</v>
      </c>
      <c r="AI244" s="64">
        <f>IF(Table1[[#This Row],[GameIsOver]]=0,0,IF(Table1[[#This Row],[ActualWinner]]=Table1[[#This Row],[HomeTeam]], 1, 0))</f>
        <v>0</v>
      </c>
      <c r="AJ244" s="64">
        <f>IF(INDEX(Standings!$A$2:$C$33,MATCH(Table1[[#This Row],[AwayTeam]],Standings!$A$2:$A$33,0),2)=INDEX(Standings!$A$2:$C$33,MATCH(Table1[[#This Row],[HomeTeam]],Standings!$A$2:$A$33,0),2),1,0)</f>
        <v>0</v>
      </c>
      <c r="AK244" s="64">
        <f>IF(INDEX(Standings!$A$2:$C$33,MATCH(Table1[[#This Row],[AwayTeam]],Standings!$A$2:$A$33,0),3)=INDEX(Standings!$A$2:$C$33,MATCH(Table1[[#This Row],[HomeTeam]],Standings!$A$2:$A$33,0),3),1,0)</f>
        <v>0</v>
      </c>
      <c r="AL244" s="64">
        <f>IF(Table1[[#This Row],[InterConf]]=1,IF(Table1[[#This Row],[InterDiv]]=0, 1, 0), 0)</f>
        <v>0</v>
      </c>
      <c r="AM244" s="64">
        <f>IF(INDEX(Standings!$A$2:$C$33,MATCH(Table1[[#This Row],[AwayTeam]],Standings!$A$2:$A$33,0),2)&lt;&gt;INDEX(Standings!$A$2:$C$33,MATCH(Table1[[#This Row],[HomeTeam]],Standings!$A$2:$A$33,0),2),1,0)</f>
        <v>1</v>
      </c>
      <c r="AN244" s="64" t="str">
        <f>INDEX(Table2[AWAY_RECORD], MATCH(Table1[[#This Row],[AwayTeam]],Table2[Team], 0), 0)</f>
        <v>0-0-0</v>
      </c>
      <c r="AO244" s="64" t="str">
        <f>INDEX(Records!$B$2:$AG$33, MATCH(Table1[[#This Row],[AwayTeam]],Records!$A$2:$A$33, 0), MATCH(Table1[[#This Row],[HomeTeam]],Records!$A$2:$A$33, 0))</f>
        <v>0-0-0</v>
      </c>
      <c r="AP244" s="64" t="str">
        <f>INDEX(Table2[HOME_RECORD], MATCH(Table1[[#This Row],[HomeTeam]],Table2[Team], 0), 0)</f>
        <v>0-0-0</v>
      </c>
      <c r="AQ244" s="64" t="str">
        <f>INDEX(Records!$B$2:$AG$33, MATCH(Table1[[#This Row],[HomeTeam]],Records!$A$2:$A$33, 0), MATCH(Table1[[#This Row],[AwayTeam]],Records!$A$2:$A$33, 0))</f>
        <v>0-0-0</v>
      </c>
    </row>
    <row r="245" spans="1:43" x14ac:dyDescent="0.25">
      <c r="A245" s="1"/>
      <c r="D245" t="s">
        <v>453</v>
      </c>
      <c r="E245" t="s">
        <v>162</v>
      </c>
      <c r="F245" t="s">
        <v>462</v>
      </c>
      <c r="G245" t="s">
        <v>41</v>
      </c>
      <c r="H245" t="s">
        <v>42</v>
      </c>
      <c r="L24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4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45" s="1"/>
      <c r="T245" s="64" t="str">
        <f>IF(Table1[[#This Row],[ActualWinner]]="", "", IF(Table1[[#This Row],[AwayTeam]]=Table1[[#This Row],[ActualWinner]],Table1[[#This Row],[HomeTeam]],Table1[[#This Row],[AwayTeam]]))</f>
        <v/>
      </c>
      <c r="U245" s="64">
        <f>Table1[[#This Row],[ActualAwayScore]]-Table1[[#This Row],[PredictedAwayScore]]</f>
        <v>0</v>
      </c>
      <c r="V245" s="64">
        <f>Table1[[#This Row],[ActualHomeScore]]-Table1[[#This Row],[PredictedHomeScore]]</f>
        <v>0</v>
      </c>
      <c r="W245" s="64">
        <f>(0.8*IF(Table1[[#This Row],[CorrectWinnerPrediction]]=1, 1, 0))+(0.1*IF(Table1[[#This Row],[CorrectAwayScorePrediction]]=1, 1, 0))+(0.1*IF(Table1[[#This Row],[CorrectHomeScorePrediction]]=1, 1, 0))</f>
        <v>0</v>
      </c>
      <c r="X24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45" s="64">
        <f>SUMIF(Table1[GameDate], Table1[[#This Row],[GameDate]], Table1[AwayGameGoalDiff])</f>
        <v>0</v>
      </c>
      <c r="AA245" s="64">
        <f>SUMIF(Table1[GameDate], Table1[[#This Row],[GameDate]], Table1[HomeGameGoalDiff])</f>
        <v>0</v>
      </c>
      <c r="AB245" s="64">
        <f>IF(ISBLANK(Table1[[#This Row],[ActualResult]]), 0, 1)</f>
        <v>0</v>
      </c>
      <c r="AC245" s="64">
        <f>IF(ISBLANK(Table1[[#This Row],[ActualResult]]), 0, IF(Table1[[#This Row],[ActualWinner]]=Table1[[#This Row],[PredictedWinner]], 1, 0))</f>
        <v>0</v>
      </c>
      <c r="AD24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4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45" s="64">
        <f>IF(AND(Table1[[#This Row],[GameIsOver]]=1,Table1[[#This Row],[ActualAwayScore]]=0), 1,0)</f>
        <v>0</v>
      </c>
      <c r="AG245" s="64">
        <f>IF(AND(Table1[[#This Row],[GameIsOver]]=1,Table1[[#This Row],[ActualHomeScore]]=0), 1,0)</f>
        <v>0</v>
      </c>
      <c r="AH245" s="64">
        <f>IF(Table1[[#This Row],[GameIsOver]]=0,0,IF(Table1[[#This Row],[ActualWinner]]=Table1[[#This Row],[AwayTeam]], 1, 0))</f>
        <v>0</v>
      </c>
      <c r="AI245" s="64">
        <f>IF(Table1[[#This Row],[GameIsOver]]=0,0,IF(Table1[[#This Row],[ActualWinner]]=Table1[[#This Row],[HomeTeam]], 1, 0))</f>
        <v>0</v>
      </c>
      <c r="AJ245" s="64">
        <f>IF(INDEX(Standings!$A$2:$C$33,MATCH(Table1[[#This Row],[AwayTeam]],Standings!$A$2:$A$33,0),2)=INDEX(Standings!$A$2:$C$33,MATCH(Table1[[#This Row],[HomeTeam]],Standings!$A$2:$A$33,0),2),1,0)</f>
        <v>0</v>
      </c>
      <c r="AK245" s="64">
        <f>IF(INDEX(Standings!$A$2:$C$33,MATCH(Table1[[#This Row],[AwayTeam]],Standings!$A$2:$A$33,0),3)=INDEX(Standings!$A$2:$C$33,MATCH(Table1[[#This Row],[HomeTeam]],Standings!$A$2:$A$33,0),3),1,0)</f>
        <v>0</v>
      </c>
      <c r="AL245" s="64">
        <f>IF(Table1[[#This Row],[InterConf]]=1,IF(Table1[[#This Row],[InterDiv]]=0, 1, 0), 0)</f>
        <v>0</v>
      </c>
      <c r="AM245" s="64">
        <f>IF(INDEX(Standings!$A$2:$C$33,MATCH(Table1[[#This Row],[AwayTeam]],Standings!$A$2:$A$33,0),2)&lt;&gt;INDEX(Standings!$A$2:$C$33,MATCH(Table1[[#This Row],[HomeTeam]],Standings!$A$2:$A$33,0),2),1,0)</f>
        <v>1</v>
      </c>
      <c r="AN245" s="64" t="str">
        <f>INDEX(Table2[AWAY_RECORD], MATCH(Table1[[#This Row],[AwayTeam]],Table2[Team], 0), 0)</f>
        <v>0-0-0</v>
      </c>
      <c r="AO245" s="64" t="str">
        <f>INDEX(Records!$B$2:$AG$33, MATCH(Table1[[#This Row],[AwayTeam]],Records!$A$2:$A$33, 0), MATCH(Table1[[#This Row],[HomeTeam]],Records!$A$2:$A$33, 0))</f>
        <v>0-0-0</v>
      </c>
      <c r="AP245" s="64" t="str">
        <f>INDEX(Table2[HOME_RECORD], MATCH(Table1[[#This Row],[HomeTeam]],Table2[Team], 0), 0)</f>
        <v>1-0-0</v>
      </c>
      <c r="AQ245" s="64" t="str">
        <f>INDEX(Records!$B$2:$AG$33, MATCH(Table1[[#This Row],[HomeTeam]],Records!$A$2:$A$33, 0), MATCH(Table1[[#This Row],[AwayTeam]],Records!$A$2:$A$33, 0))</f>
        <v>0-0-0</v>
      </c>
    </row>
    <row r="246" spans="1:43" x14ac:dyDescent="0.25">
      <c r="A246" s="1"/>
      <c r="D246" t="s">
        <v>453</v>
      </c>
      <c r="E246" t="s">
        <v>178</v>
      </c>
      <c r="F246" t="s">
        <v>463</v>
      </c>
      <c r="G246" t="s">
        <v>40</v>
      </c>
      <c r="H246" t="s">
        <v>48</v>
      </c>
      <c r="L24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4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46" s="1"/>
      <c r="T246" s="64" t="str">
        <f>IF(Table1[[#This Row],[ActualWinner]]="", "", IF(Table1[[#This Row],[AwayTeam]]=Table1[[#This Row],[ActualWinner]],Table1[[#This Row],[HomeTeam]],Table1[[#This Row],[AwayTeam]]))</f>
        <v/>
      </c>
      <c r="U246" s="64">
        <f>Table1[[#This Row],[ActualAwayScore]]-Table1[[#This Row],[PredictedAwayScore]]</f>
        <v>0</v>
      </c>
      <c r="V246" s="64">
        <f>Table1[[#This Row],[ActualHomeScore]]-Table1[[#This Row],[PredictedHomeScore]]</f>
        <v>0</v>
      </c>
      <c r="W246" s="64">
        <f>(0.8*IF(Table1[[#This Row],[CorrectWinnerPrediction]]=1, 1, 0))+(0.1*IF(Table1[[#This Row],[CorrectAwayScorePrediction]]=1, 1, 0))+(0.1*IF(Table1[[#This Row],[CorrectHomeScorePrediction]]=1, 1, 0))</f>
        <v>0</v>
      </c>
      <c r="X24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46" s="64">
        <f>SUMIF(Table1[GameDate], Table1[[#This Row],[GameDate]], Table1[AwayGameGoalDiff])</f>
        <v>0</v>
      </c>
      <c r="AA246" s="64">
        <f>SUMIF(Table1[GameDate], Table1[[#This Row],[GameDate]], Table1[HomeGameGoalDiff])</f>
        <v>0</v>
      </c>
      <c r="AB246" s="64">
        <f>IF(ISBLANK(Table1[[#This Row],[ActualResult]]), 0, 1)</f>
        <v>0</v>
      </c>
      <c r="AC246" s="64">
        <f>IF(ISBLANK(Table1[[#This Row],[ActualResult]]), 0, IF(Table1[[#This Row],[ActualWinner]]=Table1[[#This Row],[PredictedWinner]], 1, 0))</f>
        <v>0</v>
      </c>
      <c r="AD24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4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46" s="64">
        <f>IF(AND(Table1[[#This Row],[GameIsOver]]=1,Table1[[#This Row],[ActualAwayScore]]=0), 1,0)</f>
        <v>0</v>
      </c>
      <c r="AG246" s="64">
        <f>IF(AND(Table1[[#This Row],[GameIsOver]]=1,Table1[[#This Row],[ActualHomeScore]]=0), 1,0)</f>
        <v>0</v>
      </c>
      <c r="AH246" s="64">
        <f>IF(Table1[[#This Row],[GameIsOver]]=0,0,IF(Table1[[#This Row],[ActualWinner]]=Table1[[#This Row],[AwayTeam]], 1, 0))</f>
        <v>0</v>
      </c>
      <c r="AI246" s="64">
        <f>IF(Table1[[#This Row],[GameIsOver]]=0,0,IF(Table1[[#This Row],[ActualWinner]]=Table1[[#This Row],[HomeTeam]], 1, 0))</f>
        <v>0</v>
      </c>
      <c r="AJ246" s="64">
        <f>IF(INDEX(Standings!$A$2:$C$33,MATCH(Table1[[#This Row],[AwayTeam]],Standings!$A$2:$A$33,0),2)=INDEX(Standings!$A$2:$C$33,MATCH(Table1[[#This Row],[HomeTeam]],Standings!$A$2:$A$33,0),2),1,0)</f>
        <v>0</v>
      </c>
      <c r="AK246" s="64">
        <f>IF(INDEX(Standings!$A$2:$C$33,MATCH(Table1[[#This Row],[AwayTeam]],Standings!$A$2:$A$33,0),3)=INDEX(Standings!$A$2:$C$33,MATCH(Table1[[#This Row],[HomeTeam]],Standings!$A$2:$A$33,0),3),1,0)</f>
        <v>0</v>
      </c>
      <c r="AL246" s="64">
        <f>IF(Table1[[#This Row],[InterConf]]=1,IF(Table1[[#This Row],[InterDiv]]=0, 1, 0), 0)</f>
        <v>0</v>
      </c>
      <c r="AM246" s="64">
        <f>IF(INDEX(Standings!$A$2:$C$33,MATCH(Table1[[#This Row],[AwayTeam]],Standings!$A$2:$A$33,0),2)&lt;&gt;INDEX(Standings!$A$2:$C$33,MATCH(Table1[[#This Row],[HomeTeam]],Standings!$A$2:$A$33,0),2),1,0)</f>
        <v>1</v>
      </c>
      <c r="AN246" s="64" t="str">
        <f>INDEX(Table2[AWAY_RECORD], MATCH(Table1[[#This Row],[AwayTeam]],Table2[Team], 0), 0)</f>
        <v>0-0-0</v>
      </c>
      <c r="AO246" s="64" t="str">
        <f>INDEX(Records!$B$2:$AG$33, MATCH(Table1[[#This Row],[AwayTeam]],Records!$A$2:$A$33, 0), MATCH(Table1[[#This Row],[HomeTeam]],Records!$A$2:$A$33, 0))</f>
        <v>0-0-0</v>
      </c>
      <c r="AP246" s="64" t="str">
        <f>INDEX(Table2[HOME_RECORD], MATCH(Table1[[#This Row],[HomeTeam]],Table2[Team], 0), 0)</f>
        <v>1-0-0</v>
      </c>
      <c r="AQ246" s="64" t="str">
        <f>INDEX(Records!$B$2:$AG$33, MATCH(Table1[[#This Row],[HomeTeam]],Records!$A$2:$A$33, 0), MATCH(Table1[[#This Row],[AwayTeam]],Records!$A$2:$A$33, 0))</f>
        <v>0-0-0</v>
      </c>
    </row>
    <row r="247" spans="1:43" x14ac:dyDescent="0.25">
      <c r="A247" s="1"/>
      <c r="D247" t="s">
        <v>453</v>
      </c>
      <c r="E247" t="s">
        <v>164</v>
      </c>
      <c r="F247" t="s">
        <v>464</v>
      </c>
      <c r="G247" t="s">
        <v>36</v>
      </c>
      <c r="H247" t="s">
        <v>23</v>
      </c>
      <c r="L24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4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47" s="1"/>
      <c r="T247" s="64" t="str">
        <f>IF(Table1[[#This Row],[ActualWinner]]="", "", IF(Table1[[#This Row],[AwayTeam]]=Table1[[#This Row],[ActualWinner]],Table1[[#This Row],[HomeTeam]],Table1[[#This Row],[AwayTeam]]))</f>
        <v/>
      </c>
      <c r="U247" s="64">
        <f>Table1[[#This Row],[ActualAwayScore]]-Table1[[#This Row],[PredictedAwayScore]]</f>
        <v>0</v>
      </c>
      <c r="V247" s="64">
        <f>Table1[[#This Row],[ActualHomeScore]]-Table1[[#This Row],[PredictedHomeScore]]</f>
        <v>0</v>
      </c>
      <c r="W247" s="64">
        <f>(0.8*IF(Table1[[#This Row],[CorrectWinnerPrediction]]=1, 1, 0))+(0.1*IF(Table1[[#This Row],[CorrectAwayScorePrediction]]=1, 1, 0))+(0.1*IF(Table1[[#This Row],[CorrectHomeScorePrediction]]=1, 1, 0))</f>
        <v>0</v>
      </c>
      <c r="X24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47" s="64">
        <f>SUMIF(Table1[GameDate], Table1[[#This Row],[GameDate]], Table1[AwayGameGoalDiff])</f>
        <v>0</v>
      </c>
      <c r="AA247" s="64">
        <f>SUMIF(Table1[GameDate], Table1[[#This Row],[GameDate]], Table1[HomeGameGoalDiff])</f>
        <v>0</v>
      </c>
      <c r="AB247" s="64">
        <f>IF(ISBLANK(Table1[[#This Row],[ActualResult]]), 0, 1)</f>
        <v>0</v>
      </c>
      <c r="AC247" s="64">
        <f>IF(ISBLANK(Table1[[#This Row],[ActualResult]]), 0, IF(Table1[[#This Row],[ActualWinner]]=Table1[[#This Row],[PredictedWinner]], 1, 0))</f>
        <v>0</v>
      </c>
      <c r="AD24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4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47" s="64">
        <f>IF(AND(Table1[[#This Row],[GameIsOver]]=1,Table1[[#This Row],[ActualAwayScore]]=0), 1,0)</f>
        <v>0</v>
      </c>
      <c r="AG247" s="64">
        <f>IF(AND(Table1[[#This Row],[GameIsOver]]=1,Table1[[#This Row],[ActualHomeScore]]=0), 1,0)</f>
        <v>0</v>
      </c>
      <c r="AH247" s="64">
        <f>IF(Table1[[#This Row],[GameIsOver]]=0,0,IF(Table1[[#This Row],[ActualWinner]]=Table1[[#This Row],[AwayTeam]], 1, 0))</f>
        <v>0</v>
      </c>
      <c r="AI247" s="64">
        <f>IF(Table1[[#This Row],[GameIsOver]]=0,0,IF(Table1[[#This Row],[ActualWinner]]=Table1[[#This Row],[HomeTeam]], 1, 0))</f>
        <v>0</v>
      </c>
      <c r="AJ247" s="64">
        <f>IF(INDEX(Standings!$A$2:$C$33,MATCH(Table1[[#This Row],[AwayTeam]],Standings!$A$2:$A$33,0),2)=INDEX(Standings!$A$2:$C$33,MATCH(Table1[[#This Row],[HomeTeam]],Standings!$A$2:$A$33,0),2),1,0)</f>
        <v>1</v>
      </c>
      <c r="AK247" s="64">
        <f>IF(INDEX(Standings!$A$2:$C$33,MATCH(Table1[[#This Row],[AwayTeam]],Standings!$A$2:$A$33,0),3)=INDEX(Standings!$A$2:$C$33,MATCH(Table1[[#This Row],[HomeTeam]],Standings!$A$2:$A$33,0),3),1,0)</f>
        <v>1</v>
      </c>
      <c r="AL247" s="64">
        <f>IF(Table1[[#This Row],[InterConf]]=1,IF(Table1[[#This Row],[InterDiv]]=0, 1, 0), 0)</f>
        <v>0</v>
      </c>
      <c r="AM247" s="64">
        <f>IF(INDEX(Standings!$A$2:$C$33,MATCH(Table1[[#This Row],[AwayTeam]],Standings!$A$2:$A$33,0),2)&lt;&gt;INDEX(Standings!$A$2:$C$33,MATCH(Table1[[#This Row],[HomeTeam]],Standings!$A$2:$A$33,0),2),1,0)</f>
        <v>0</v>
      </c>
      <c r="AN247" s="64" t="str">
        <f>INDEX(Table2[AWAY_RECORD], MATCH(Table1[[#This Row],[AwayTeam]],Table2[Team], 0), 0)</f>
        <v>0-0-0</v>
      </c>
      <c r="AO247" s="64" t="str">
        <f>INDEX(Records!$B$2:$AG$33, MATCH(Table1[[#This Row],[AwayTeam]],Records!$A$2:$A$33, 0), MATCH(Table1[[#This Row],[HomeTeam]],Records!$A$2:$A$33, 0))</f>
        <v>0-0-0</v>
      </c>
      <c r="AP247" s="64" t="str">
        <f>INDEX(Table2[HOME_RECORD], MATCH(Table1[[#This Row],[HomeTeam]],Table2[Team], 0), 0)</f>
        <v>0-0-1</v>
      </c>
      <c r="AQ247" s="64" t="str">
        <f>INDEX(Records!$B$2:$AG$33, MATCH(Table1[[#This Row],[HomeTeam]],Records!$A$2:$A$33, 0), MATCH(Table1[[#This Row],[AwayTeam]],Records!$A$2:$A$33, 0))</f>
        <v>0-0-0</v>
      </c>
    </row>
    <row r="248" spans="1:43" x14ac:dyDescent="0.25">
      <c r="A248" s="1"/>
      <c r="D248" t="s">
        <v>465</v>
      </c>
      <c r="E248" t="s">
        <v>289</v>
      </c>
      <c r="F248" t="s">
        <v>466</v>
      </c>
      <c r="G248" t="s">
        <v>52</v>
      </c>
      <c r="H248" t="s">
        <v>38</v>
      </c>
      <c r="L24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4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48" s="1"/>
      <c r="T248" s="64" t="str">
        <f>IF(Table1[[#This Row],[ActualWinner]]="", "", IF(Table1[[#This Row],[AwayTeam]]=Table1[[#This Row],[ActualWinner]],Table1[[#This Row],[HomeTeam]],Table1[[#This Row],[AwayTeam]]))</f>
        <v/>
      </c>
      <c r="U248" s="64">
        <f>Table1[[#This Row],[ActualAwayScore]]-Table1[[#This Row],[PredictedAwayScore]]</f>
        <v>0</v>
      </c>
      <c r="V248" s="64">
        <f>Table1[[#This Row],[ActualHomeScore]]-Table1[[#This Row],[PredictedHomeScore]]</f>
        <v>0</v>
      </c>
      <c r="W248" s="64">
        <f>(0.8*IF(Table1[[#This Row],[CorrectWinnerPrediction]]=1, 1, 0))+(0.1*IF(Table1[[#This Row],[CorrectAwayScorePrediction]]=1, 1, 0))+(0.1*IF(Table1[[#This Row],[CorrectHomeScorePrediction]]=1, 1, 0))</f>
        <v>0</v>
      </c>
      <c r="X24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48" s="64">
        <f>SUMIF(Table1[GameDate], Table1[[#This Row],[GameDate]], Table1[AwayGameGoalDiff])</f>
        <v>0</v>
      </c>
      <c r="AA248" s="64">
        <f>SUMIF(Table1[GameDate], Table1[[#This Row],[GameDate]], Table1[HomeGameGoalDiff])</f>
        <v>0</v>
      </c>
      <c r="AB248" s="64">
        <f>IF(ISBLANK(Table1[[#This Row],[ActualResult]]), 0, 1)</f>
        <v>0</v>
      </c>
      <c r="AC248" s="64">
        <f>IF(ISBLANK(Table1[[#This Row],[ActualResult]]), 0, IF(Table1[[#This Row],[ActualWinner]]=Table1[[#This Row],[PredictedWinner]], 1, 0))</f>
        <v>0</v>
      </c>
      <c r="AD24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4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48" s="64">
        <f>IF(AND(Table1[[#This Row],[GameIsOver]]=1,Table1[[#This Row],[ActualAwayScore]]=0), 1,0)</f>
        <v>0</v>
      </c>
      <c r="AG248" s="64">
        <f>IF(AND(Table1[[#This Row],[GameIsOver]]=1,Table1[[#This Row],[ActualHomeScore]]=0), 1,0)</f>
        <v>0</v>
      </c>
      <c r="AH248" s="64">
        <f>IF(Table1[[#This Row],[GameIsOver]]=0,0,IF(Table1[[#This Row],[ActualWinner]]=Table1[[#This Row],[AwayTeam]], 1, 0))</f>
        <v>0</v>
      </c>
      <c r="AI248" s="64">
        <f>IF(Table1[[#This Row],[GameIsOver]]=0,0,IF(Table1[[#This Row],[ActualWinner]]=Table1[[#This Row],[HomeTeam]], 1, 0))</f>
        <v>0</v>
      </c>
      <c r="AJ248" s="64">
        <f>IF(INDEX(Standings!$A$2:$C$33,MATCH(Table1[[#This Row],[AwayTeam]],Standings!$A$2:$A$33,0),2)=INDEX(Standings!$A$2:$C$33,MATCH(Table1[[#This Row],[HomeTeam]],Standings!$A$2:$A$33,0),2),1,0)</f>
        <v>1</v>
      </c>
      <c r="AK248" s="64">
        <f>IF(INDEX(Standings!$A$2:$C$33,MATCH(Table1[[#This Row],[AwayTeam]],Standings!$A$2:$A$33,0),3)=INDEX(Standings!$A$2:$C$33,MATCH(Table1[[#This Row],[HomeTeam]],Standings!$A$2:$A$33,0),3),1,0)</f>
        <v>1</v>
      </c>
      <c r="AL248" s="64">
        <f>IF(Table1[[#This Row],[InterConf]]=1,IF(Table1[[#This Row],[InterDiv]]=0, 1, 0), 0)</f>
        <v>0</v>
      </c>
      <c r="AM248" s="64">
        <f>IF(INDEX(Standings!$A$2:$C$33,MATCH(Table1[[#This Row],[AwayTeam]],Standings!$A$2:$A$33,0),2)&lt;&gt;INDEX(Standings!$A$2:$C$33,MATCH(Table1[[#This Row],[HomeTeam]],Standings!$A$2:$A$33,0),2),1,0)</f>
        <v>0</v>
      </c>
      <c r="AN248" s="64" t="str">
        <f>INDEX(Table2[AWAY_RECORD], MATCH(Table1[[#This Row],[AwayTeam]],Table2[Team], 0), 0)</f>
        <v>0-0-0</v>
      </c>
      <c r="AO248" s="64" t="str">
        <f>INDEX(Records!$B$2:$AG$33, MATCH(Table1[[#This Row],[AwayTeam]],Records!$A$2:$A$33, 0), MATCH(Table1[[#This Row],[HomeTeam]],Records!$A$2:$A$33, 0))</f>
        <v>0-0-0</v>
      </c>
      <c r="AP248" s="64" t="str">
        <f>INDEX(Table2[HOME_RECORD], MATCH(Table1[[#This Row],[HomeTeam]],Table2[Team], 0), 0)</f>
        <v>0-0-0</v>
      </c>
      <c r="AQ248" s="64" t="str">
        <f>INDEX(Records!$B$2:$AG$33, MATCH(Table1[[#This Row],[HomeTeam]],Records!$A$2:$A$33, 0), MATCH(Table1[[#This Row],[AwayTeam]],Records!$A$2:$A$33, 0))</f>
        <v>0-0-0</v>
      </c>
    </row>
    <row r="249" spans="1:43" x14ac:dyDescent="0.25">
      <c r="A249" s="1"/>
      <c r="D249" t="s">
        <v>465</v>
      </c>
      <c r="E249" t="s">
        <v>289</v>
      </c>
      <c r="F249" t="s">
        <v>467</v>
      </c>
      <c r="G249" t="s">
        <v>16</v>
      </c>
      <c r="H249" t="s">
        <v>17</v>
      </c>
      <c r="L24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4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49" s="1"/>
      <c r="T249" s="64" t="str">
        <f>IF(Table1[[#This Row],[ActualWinner]]="", "", IF(Table1[[#This Row],[AwayTeam]]=Table1[[#This Row],[ActualWinner]],Table1[[#This Row],[HomeTeam]],Table1[[#This Row],[AwayTeam]]))</f>
        <v/>
      </c>
      <c r="U249" s="64">
        <f>Table1[[#This Row],[ActualAwayScore]]-Table1[[#This Row],[PredictedAwayScore]]</f>
        <v>0</v>
      </c>
      <c r="V249" s="64">
        <f>Table1[[#This Row],[ActualHomeScore]]-Table1[[#This Row],[PredictedHomeScore]]</f>
        <v>0</v>
      </c>
      <c r="W249" s="64">
        <f>(0.8*IF(Table1[[#This Row],[CorrectWinnerPrediction]]=1, 1, 0))+(0.1*IF(Table1[[#This Row],[CorrectAwayScorePrediction]]=1, 1, 0))+(0.1*IF(Table1[[#This Row],[CorrectHomeScorePrediction]]=1, 1, 0))</f>
        <v>0</v>
      </c>
      <c r="X24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49" s="64">
        <f>SUMIF(Table1[GameDate], Table1[[#This Row],[GameDate]], Table1[AwayGameGoalDiff])</f>
        <v>0</v>
      </c>
      <c r="AA249" s="64">
        <f>SUMIF(Table1[GameDate], Table1[[#This Row],[GameDate]], Table1[HomeGameGoalDiff])</f>
        <v>0</v>
      </c>
      <c r="AB249" s="64">
        <f>IF(ISBLANK(Table1[[#This Row],[ActualResult]]), 0, 1)</f>
        <v>0</v>
      </c>
      <c r="AC249" s="64">
        <f>IF(ISBLANK(Table1[[#This Row],[ActualResult]]), 0, IF(Table1[[#This Row],[ActualWinner]]=Table1[[#This Row],[PredictedWinner]], 1, 0))</f>
        <v>0</v>
      </c>
      <c r="AD24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4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49" s="64">
        <f>IF(AND(Table1[[#This Row],[GameIsOver]]=1,Table1[[#This Row],[ActualAwayScore]]=0), 1,0)</f>
        <v>0</v>
      </c>
      <c r="AG249" s="64">
        <f>IF(AND(Table1[[#This Row],[GameIsOver]]=1,Table1[[#This Row],[ActualHomeScore]]=0), 1,0)</f>
        <v>0</v>
      </c>
      <c r="AH249" s="64">
        <f>IF(Table1[[#This Row],[GameIsOver]]=0,0,IF(Table1[[#This Row],[ActualWinner]]=Table1[[#This Row],[AwayTeam]], 1, 0))</f>
        <v>0</v>
      </c>
      <c r="AI249" s="64">
        <f>IF(Table1[[#This Row],[GameIsOver]]=0,0,IF(Table1[[#This Row],[ActualWinner]]=Table1[[#This Row],[HomeTeam]], 1, 0))</f>
        <v>0</v>
      </c>
      <c r="AJ249" s="64">
        <f>IF(INDEX(Standings!$A$2:$C$33,MATCH(Table1[[#This Row],[AwayTeam]],Standings!$A$2:$A$33,0),2)=INDEX(Standings!$A$2:$C$33,MATCH(Table1[[#This Row],[HomeTeam]],Standings!$A$2:$A$33,0),2),1,0)</f>
        <v>0</v>
      </c>
      <c r="AK249" s="64">
        <f>IF(INDEX(Standings!$A$2:$C$33,MATCH(Table1[[#This Row],[AwayTeam]],Standings!$A$2:$A$33,0),3)=INDEX(Standings!$A$2:$C$33,MATCH(Table1[[#This Row],[HomeTeam]],Standings!$A$2:$A$33,0),3),1,0)</f>
        <v>0</v>
      </c>
      <c r="AL249" s="64">
        <f>IF(Table1[[#This Row],[InterConf]]=1,IF(Table1[[#This Row],[InterDiv]]=0, 1, 0), 0)</f>
        <v>0</v>
      </c>
      <c r="AM249" s="64">
        <f>IF(INDEX(Standings!$A$2:$C$33,MATCH(Table1[[#This Row],[AwayTeam]],Standings!$A$2:$A$33,0),2)&lt;&gt;INDEX(Standings!$A$2:$C$33,MATCH(Table1[[#This Row],[HomeTeam]],Standings!$A$2:$A$33,0),2),1,0)</f>
        <v>1</v>
      </c>
      <c r="AN249" s="64" t="str">
        <f>INDEX(Table2[AWAY_RECORD], MATCH(Table1[[#This Row],[AwayTeam]],Table2[Team], 0), 0)</f>
        <v>1-0-1</v>
      </c>
      <c r="AO249" s="64" t="str">
        <f>INDEX(Records!$B$2:$AG$33, MATCH(Table1[[#This Row],[AwayTeam]],Records!$A$2:$A$33, 0), MATCH(Table1[[#This Row],[HomeTeam]],Records!$A$2:$A$33, 0))</f>
        <v>0-0-0</v>
      </c>
      <c r="AP249" s="64" t="str">
        <f>INDEX(Table2[HOME_RECORD], MATCH(Table1[[#This Row],[HomeTeam]],Table2[Team], 0), 0)</f>
        <v>0-0-0</v>
      </c>
      <c r="AQ249" s="64" t="str">
        <f>INDEX(Records!$B$2:$AG$33, MATCH(Table1[[#This Row],[HomeTeam]],Records!$A$2:$A$33, 0), MATCH(Table1[[#This Row],[AwayTeam]],Records!$A$2:$A$33, 0))</f>
        <v>0-0-0</v>
      </c>
    </row>
    <row r="250" spans="1:43" x14ac:dyDescent="0.25">
      <c r="A250" s="1"/>
      <c r="D250" t="s">
        <v>468</v>
      </c>
      <c r="E250" t="s">
        <v>298</v>
      </c>
      <c r="F250" t="s">
        <v>469</v>
      </c>
      <c r="G250" t="s">
        <v>55</v>
      </c>
      <c r="H250" t="s">
        <v>46</v>
      </c>
      <c r="L25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5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50" s="1"/>
      <c r="T250" s="64" t="str">
        <f>IF(Table1[[#This Row],[ActualWinner]]="", "", IF(Table1[[#This Row],[AwayTeam]]=Table1[[#This Row],[ActualWinner]],Table1[[#This Row],[HomeTeam]],Table1[[#This Row],[AwayTeam]]))</f>
        <v/>
      </c>
      <c r="U250" s="64">
        <f>Table1[[#This Row],[ActualAwayScore]]-Table1[[#This Row],[PredictedAwayScore]]</f>
        <v>0</v>
      </c>
      <c r="V250" s="64">
        <f>Table1[[#This Row],[ActualHomeScore]]-Table1[[#This Row],[PredictedHomeScore]]</f>
        <v>0</v>
      </c>
      <c r="W250" s="64">
        <f>(0.8*IF(Table1[[#This Row],[CorrectWinnerPrediction]]=1, 1, 0))+(0.1*IF(Table1[[#This Row],[CorrectAwayScorePrediction]]=1, 1, 0))+(0.1*IF(Table1[[#This Row],[CorrectHomeScorePrediction]]=1, 1, 0))</f>
        <v>0</v>
      </c>
      <c r="X25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50" s="64">
        <f>SUMIF(Table1[GameDate], Table1[[#This Row],[GameDate]], Table1[AwayGameGoalDiff])</f>
        <v>0</v>
      </c>
      <c r="AA250" s="64">
        <f>SUMIF(Table1[GameDate], Table1[[#This Row],[GameDate]], Table1[HomeGameGoalDiff])</f>
        <v>0</v>
      </c>
      <c r="AB250" s="64">
        <f>IF(ISBLANK(Table1[[#This Row],[ActualResult]]), 0, 1)</f>
        <v>0</v>
      </c>
      <c r="AC250" s="64">
        <f>IF(ISBLANK(Table1[[#This Row],[ActualResult]]), 0, IF(Table1[[#This Row],[ActualWinner]]=Table1[[#This Row],[PredictedWinner]], 1, 0))</f>
        <v>0</v>
      </c>
      <c r="AD25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5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50" s="64">
        <f>IF(AND(Table1[[#This Row],[GameIsOver]]=1,Table1[[#This Row],[ActualAwayScore]]=0), 1,0)</f>
        <v>0</v>
      </c>
      <c r="AG250" s="64">
        <f>IF(AND(Table1[[#This Row],[GameIsOver]]=1,Table1[[#This Row],[ActualHomeScore]]=0), 1,0)</f>
        <v>0</v>
      </c>
      <c r="AH250" s="64">
        <f>IF(Table1[[#This Row],[GameIsOver]]=0,0,IF(Table1[[#This Row],[ActualWinner]]=Table1[[#This Row],[AwayTeam]], 1, 0))</f>
        <v>0</v>
      </c>
      <c r="AI250" s="64">
        <f>IF(Table1[[#This Row],[GameIsOver]]=0,0,IF(Table1[[#This Row],[ActualWinner]]=Table1[[#This Row],[HomeTeam]], 1, 0))</f>
        <v>0</v>
      </c>
      <c r="AJ250" s="64">
        <f>IF(INDEX(Standings!$A$2:$C$33,MATCH(Table1[[#This Row],[AwayTeam]],Standings!$A$2:$A$33,0),2)=INDEX(Standings!$A$2:$C$33,MATCH(Table1[[#This Row],[HomeTeam]],Standings!$A$2:$A$33,0),2),1,0)</f>
        <v>1</v>
      </c>
      <c r="AK250" s="64">
        <f>IF(INDEX(Standings!$A$2:$C$33,MATCH(Table1[[#This Row],[AwayTeam]],Standings!$A$2:$A$33,0),3)=INDEX(Standings!$A$2:$C$33,MATCH(Table1[[#This Row],[HomeTeam]],Standings!$A$2:$A$33,0),3),1,0)</f>
        <v>1</v>
      </c>
      <c r="AL250" s="64">
        <f>IF(Table1[[#This Row],[InterConf]]=1,IF(Table1[[#This Row],[InterDiv]]=0, 1, 0), 0)</f>
        <v>0</v>
      </c>
      <c r="AM250" s="64">
        <f>IF(INDEX(Standings!$A$2:$C$33,MATCH(Table1[[#This Row],[AwayTeam]],Standings!$A$2:$A$33,0),2)&lt;&gt;INDEX(Standings!$A$2:$C$33,MATCH(Table1[[#This Row],[HomeTeam]],Standings!$A$2:$A$33,0),2),1,0)</f>
        <v>0</v>
      </c>
      <c r="AN250" s="64" t="str">
        <f>INDEX(Table2[AWAY_RECORD], MATCH(Table1[[#This Row],[AwayTeam]],Table2[Team], 0), 0)</f>
        <v>0-0-0</v>
      </c>
      <c r="AO250" s="64" t="str">
        <f>INDEX(Records!$B$2:$AG$33, MATCH(Table1[[#This Row],[AwayTeam]],Records!$A$2:$A$33, 0), MATCH(Table1[[#This Row],[HomeTeam]],Records!$A$2:$A$33, 0))</f>
        <v>0-0-0</v>
      </c>
      <c r="AP250" s="64" t="str">
        <f>INDEX(Table2[HOME_RECORD], MATCH(Table1[[#This Row],[HomeTeam]],Table2[Team], 0), 0)</f>
        <v>0-0-0</v>
      </c>
      <c r="AQ250" s="64" t="str">
        <f>INDEX(Records!$B$2:$AG$33, MATCH(Table1[[#This Row],[HomeTeam]],Records!$A$2:$A$33, 0), MATCH(Table1[[#This Row],[AwayTeam]],Records!$A$2:$A$33, 0))</f>
        <v>0-0-0</v>
      </c>
    </row>
    <row r="251" spans="1:43" x14ac:dyDescent="0.25">
      <c r="A251" s="1"/>
      <c r="D251" t="s">
        <v>468</v>
      </c>
      <c r="E251" t="s">
        <v>298</v>
      </c>
      <c r="F251" t="s">
        <v>470</v>
      </c>
      <c r="G251" t="s">
        <v>39</v>
      </c>
      <c r="H251" t="s">
        <v>56</v>
      </c>
      <c r="L25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5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51" s="1"/>
      <c r="T251" s="64" t="str">
        <f>IF(Table1[[#This Row],[ActualWinner]]="", "", IF(Table1[[#This Row],[AwayTeam]]=Table1[[#This Row],[ActualWinner]],Table1[[#This Row],[HomeTeam]],Table1[[#This Row],[AwayTeam]]))</f>
        <v/>
      </c>
      <c r="U251" s="64">
        <f>Table1[[#This Row],[ActualAwayScore]]-Table1[[#This Row],[PredictedAwayScore]]</f>
        <v>0</v>
      </c>
      <c r="V251" s="64">
        <f>Table1[[#This Row],[ActualHomeScore]]-Table1[[#This Row],[PredictedHomeScore]]</f>
        <v>0</v>
      </c>
      <c r="W251" s="64">
        <f>(0.8*IF(Table1[[#This Row],[CorrectWinnerPrediction]]=1, 1, 0))+(0.1*IF(Table1[[#This Row],[CorrectAwayScorePrediction]]=1, 1, 0))+(0.1*IF(Table1[[#This Row],[CorrectHomeScorePrediction]]=1, 1, 0))</f>
        <v>0</v>
      </c>
      <c r="X25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51" s="64">
        <f>SUMIF(Table1[GameDate], Table1[[#This Row],[GameDate]], Table1[AwayGameGoalDiff])</f>
        <v>0</v>
      </c>
      <c r="AA251" s="64">
        <f>SUMIF(Table1[GameDate], Table1[[#This Row],[GameDate]], Table1[HomeGameGoalDiff])</f>
        <v>0</v>
      </c>
      <c r="AB251" s="64">
        <f>IF(ISBLANK(Table1[[#This Row],[ActualResult]]), 0, 1)</f>
        <v>0</v>
      </c>
      <c r="AC251" s="64">
        <f>IF(ISBLANK(Table1[[#This Row],[ActualResult]]), 0, IF(Table1[[#This Row],[ActualWinner]]=Table1[[#This Row],[PredictedWinner]], 1, 0))</f>
        <v>0</v>
      </c>
      <c r="AD25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5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51" s="64">
        <f>IF(AND(Table1[[#This Row],[GameIsOver]]=1,Table1[[#This Row],[ActualAwayScore]]=0), 1,0)</f>
        <v>0</v>
      </c>
      <c r="AG251" s="64">
        <f>IF(AND(Table1[[#This Row],[GameIsOver]]=1,Table1[[#This Row],[ActualHomeScore]]=0), 1,0)</f>
        <v>0</v>
      </c>
      <c r="AH251" s="64">
        <f>IF(Table1[[#This Row],[GameIsOver]]=0,0,IF(Table1[[#This Row],[ActualWinner]]=Table1[[#This Row],[AwayTeam]], 1, 0))</f>
        <v>0</v>
      </c>
      <c r="AI251" s="64">
        <f>IF(Table1[[#This Row],[GameIsOver]]=0,0,IF(Table1[[#This Row],[ActualWinner]]=Table1[[#This Row],[HomeTeam]], 1, 0))</f>
        <v>0</v>
      </c>
      <c r="AJ251" s="64">
        <f>IF(INDEX(Standings!$A$2:$C$33,MATCH(Table1[[#This Row],[AwayTeam]],Standings!$A$2:$A$33,0),2)=INDEX(Standings!$A$2:$C$33,MATCH(Table1[[#This Row],[HomeTeam]],Standings!$A$2:$A$33,0),2),1,0)</f>
        <v>1</v>
      </c>
      <c r="AK251" s="64">
        <f>IF(INDEX(Standings!$A$2:$C$33,MATCH(Table1[[#This Row],[AwayTeam]],Standings!$A$2:$A$33,0),3)=INDEX(Standings!$A$2:$C$33,MATCH(Table1[[#This Row],[HomeTeam]],Standings!$A$2:$A$33,0),3),1,0)</f>
        <v>1</v>
      </c>
      <c r="AL251" s="64">
        <f>IF(Table1[[#This Row],[InterConf]]=1,IF(Table1[[#This Row],[InterDiv]]=0, 1, 0), 0)</f>
        <v>0</v>
      </c>
      <c r="AM251" s="64">
        <f>IF(INDEX(Standings!$A$2:$C$33,MATCH(Table1[[#This Row],[AwayTeam]],Standings!$A$2:$A$33,0),2)&lt;&gt;INDEX(Standings!$A$2:$C$33,MATCH(Table1[[#This Row],[HomeTeam]],Standings!$A$2:$A$33,0),2),1,0)</f>
        <v>0</v>
      </c>
      <c r="AN251" s="64" t="str">
        <f>INDEX(Table2[AWAY_RECORD], MATCH(Table1[[#This Row],[AwayTeam]],Table2[Team], 0), 0)</f>
        <v>0-0-0</v>
      </c>
      <c r="AO251" s="64" t="str">
        <f>INDEX(Records!$B$2:$AG$33, MATCH(Table1[[#This Row],[AwayTeam]],Records!$A$2:$A$33, 0), MATCH(Table1[[#This Row],[HomeTeam]],Records!$A$2:$A$33, 0))</f>
        <v>0-1-0</v>
      </c>
      <c r="AP251" s="64" t="str">
        <f>INDEX(Table2[HOME_RECORD], MATCH(Table1[[#This Row],[HomeTeam]],Table2[Team], 0), 0)</f>
        <v>0-0-0</v>
      </c>
      <c r="AQ251" s="64" t="str">
        <f>INDEX(Records!$B$2:$AG$33, MATCH(Table1[[#This Row],[HomeTeam]],Records!$A$2:$A$33, 0), MATCH(Table1[[#This Row],[AwayTeam]],Records!$A$2:$A$33, 0))</f>
        <v>1-0-0</v>
      </c>
    </row>
    <row r="252" spans="1:43" x14ac:dyDescent="0.25">
      <c r="A252" s="1"/>
      <c r="D252" t="s">
        <v>468</v>
      </c>
      <c r="E252" t="s">
        <v>162</v>
      </c>
      <c r="F252" t="s">
        <v>471</v>
      </c>
      <c r="G252" t="s">
        <v>58</v>
      </c>
      <c r="H252" t="s">
        <v>47</v>
      </c>
      <c r="L25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5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52" s="1"/>
      <c r="T252" s="64" t="str">
        <f>IF(Table1[[#This Row],[ActualWinner]]="", "", IF(Table1[[#This Row],[AwayTeam]]=Table1[[#This Row],[ActualWinner]],Table1[[#This Row],[HomeTeam]],Table1[[#This Row],[AwayTeam]]))</f>
        <v/>
      </c>
      <c r="U252" s="64">
        <f>Table1[[#This Row],[ActualAwayScore]]-Table1[[#This Row],[PredictedAwayScore]]</f>
        <v>0</v>
      </c>
      <c r="V252" s="64">
        <f>Table1[[#This Row],[ActualHomeScore]]-Table1[[#This Row],[PredictedHomeScore]]</f>
        <v>0</v>
      </c>
      <c r="W252" s="64">
        <f>(0.8*IF(Table1[[#This Row],[CorrectWinnerPrediction]]=1, 1, 0))+(0.1*IF(Table1[[#This Row],[CorrectAwayScorePrediction]]=1, 1, 0))+(0.1*IF(Table1[[#This Row],[CorrectHomeScorePrediction]]=1, 1, 0))</f>
        <v>0</v>
      </c>
      <c r="X25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52" s="64">
        <f>SUMIF(Table1[GameDate], Table1[[#This Row],[GameDate]], Table1[AwayGameGoalDiff])</f>
        <v>0</v>
      </c>
      <c r="AA252" s="64">
        <f>SUMIF(Table1[GameDate], Table1[[#This Row],[GameDate]], Table1[HomeGameGoalDiff])</f>
        <v>0</v>
      </c>
      <c r="AB252" s="64">
        <f>IF(ISBLANK(Table1[[#This Row],[ActualResult]]), 0, 1)</f>
        <v>0</v>
      </c>
      <c r="AC252" s="64">
        <f>IF(ISBLANK(Table1[[#This Row],[ActualResult]]), 0, IF(Table1[[#This Row],[ActualWinner]]=Table1[[#This Row],[PredictedWinner]], 1, 0))</f>
        <v>0</v>
      </c>
      <c r="AD25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5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52" s="64">
        <f>IF(AND(Table1[[#This Row],[GameIsOver]]=1,Table1[[#This Row],[ActualAwayScore]]=0), 1,0)</f>
        <v>0</v>
      </c>
      <c r="AG252" s="64">
        <f>IF(AND(Table1[[#This Row],[GameIsOver]]=1,Table1[[#This Row],[ActualHomeScore]]=0), 1,0)</f>
        <v>0</v>
      </c>
      <c r="AH252" s="64">
        <f>IF(Table1[[#This Row],[GameIsOver]]=0,0,IF(Table1[[#This Row],[ActualWinner]]=Table1[[#This Row],[AwayTeam]], 1, 0))</f>
        <v>0</v>
      </c>
      <c r="AI252" s="64">
        <f>IF(Table1[[#This Row],[GameIsOver]]=0,0,IF(Table1[[#This Row],[ActualWinner]]=Table1[[#This Row],[HomeTeam]], 1, 0))</f>
        <v>0</v>
      </c>
      <c r="AJ252" s="64">
        <f>IF(INDEX(Standings!$A$2:$C$33,MATCH(Table1[[#This Row],[AwayTeam]],Standings!$A$2:$A$33,0),2)=INDEX(Standings!$A$2:$C$33,MATCH(Table1[[#This Row],[HomeTeam]],Standings!$A$2:$A$33,0),2),1,0)</f>
        <v>0</v>
      </c>
      <c r="AK252" s="64">
        <f>IF(INDEX(Standings!$A$2:$C$33,MATCH(Table1[[#This Row],[AwayTeam]],Standings!$A$2:$A$33,0),3)=INDEX(Standings!$A$2:$C$33,MATCH(Table1[[#This Row],[HomeTeam]],Standings!$A$2:$A$33,0),3),1,0)</f>
        <v>0</v>
      </c>
      <c r="AL252" s="64">
        <f>IF(Table1[[#This Row],[InterConf]]=1,IF(Table1[[#This Row],[InterDiv]]=0, 1, 0), 0)</f>
        <v>0</v>
      </c>
      <c r="AM252" s="64">
        <f>IF(INDEX(Standings!$A$2:$C$33,MATCH(Table1[[#This Row],[AwayTeam]],Standings!$A$2:$A$33,0),2)&lt;&gt;INDEX(Standings!$A$2:$C$33,MATCH(Table1[[#This Row],[HomeTeam]],Standings!$A$2:$A$33,0),2),1,0)</f>
        <v>1</v>
      </c>
      <c r="AN252" s="64" t="str">
        <f>INDEX(Table2[AWAY_RECORD], MATCH(Table1[[#This Row],[AwayTeam]],Table2[Team], 0), 0)</f>
        <v>0-0-0</v>
      </c>
      <c r="AO252" s="64" t="str">
        <f>INDEX(Records!$B$2:$AG$33, MATCH(Table1[[#This Row],[AwayTeam]],Records!$A$2:$A$33, 0), MATCH(Table1[[#This Row],[HomeTeam]],Records!$A$2:$A$33, 0))</f>
        <v>0-0-0</v>
      </c>
      <c r="AP252" s="64" t="str">
        <f>INDEX(Table2[HOME_RECORD], MATCH(Table1[[#This Row],[HomeTeam]],Table2[Team], 0), 0)</f>
        <v>0-0-0</v>
      </c>
      <c r="AQ252" s="64" t="str">
        <f>INDEX(Records!$B$2:$AG$33, MATCH(Table1[[#This Row],[HomeTeam]],Records!$A$2:$A$33, 0), MATCH(Table1[[#This Row],[AwayTeam]],Records!$A$2:$A$33, 0))</f>
        <v>0-0-0</v>
      </c>
    </row>
    <row r="253" spans="1:43" x14ac:dyDescent="0.25">
      <c r="A253" s="1"/>
      <c r="D253" t="s">
        <v>468</v>
      </c>
      <c r="E253" t="s">
        <v>162</v>
      </c>
      <c r="F253" t="s">
        <v>472</v>
      </c>
      <c r="G253" t="s">
        <v>25</v>
      </c>
      <c r="H253" t="s">
        <v>44</v>
      </c>
      <c r="L25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5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53" s="1"/>
      <c r="T253" s="64" t="str">
        <f>IF(Table1[[#This Row],[ActualWinner]]="", "", IF(Table1[[#This Row],[AwayTeam]]=Table1[[#This Row],[ActualWinner]],Table1[[#This Row],[HomeTeam]],Table1[[#This Row],[AwayTeam]]))</f>
        <v/>
      </c>
      <c r="U253" s="64">
        <f>Table1[[#This Row],[ActualAwayScore]]-Table1[[#This Row],[PredictedAwayScore]]</f>
        <v>0</v>
      </c>
      <c r="V253" s="64">
        <f>Table1[[#This Row],[ActualHomeScore]]-Table1[[#This Row],[PredictedHomeScore]]</f>
        <v>0</v>
      </c>
      <c r="W253" s="64">
        <f>(0.8*IF(Table1[[#This Row],[CorrectWinnerPrediction]]=1, 1, 0))+(0.1*IF(Table1[[#This Row],[CorrectAwayScorePrediction]]=1, 1, 0))+(0.1*IF(Table1[[#This Row],[CorrectHomeScorePrediction]]=1, 1, 0))</f>
        <v>0</v>
      </c>
      <c r="X25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53" s="64">
        <f>SUMIF(Table1[GameDate], Table1[[#This Row],[GameDate]], Table1[AwayGameGoalDiff])</f>
        <v>0</v>
      </c>
      <c r="AA253" s="64">
        <f>SUMIF(Table1[GameDate], Table1[[#This Row],[GameDate]], Table1[HomeGameGoalDiff])</f>
        <v>0</v>
      </c>
      <c r="AB253" s="64">
        <f>IF(ISBLANK(Table1[[#This Row],[ActualResult]]), 0, 1)</f>
        <v>0</v>
      </c>
      <c r="AC253" s="64">
        <f>IF(ISBLANK(Table1[[#This Row],[ActualResult]]), 0, IF(Table1[[#This Row],[ActualWinner]]=Table1[[#This Row],[PredictedWinner]], 1, 0))</f>
        <v>0</v>
      </c>
      <c r="AD25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5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53" s="64">
        <f>IF(AND(Table1[[#This Row],[GameIsOver]]=1,Table1[[#This Row],[ActualAwayScore]]=0), 1,0)</f>
        <v>0</v>
      </c>
      <c r="AG253" s="64">
        <f>IF(AND(Table1[[#This Row],[GameIsOver]]=1,Table1[[#This Row],[ActualHomeScore]]=0), 1,0)</f>
        <v>0</v>
      </c>
      <c r="AH253" s="64">
        <f>IF(Table1[[#This Row],[GameIsOver]]=0,0,IF(Table1[[#This Row],[ActualWinner]]=Table1[[#This Row],[AwayTeam]], 1, 0))</f>
        <v>0</v>
      </c>
      <c r="AI253" s="64">
        <f>IF(Table1[[#This Row],[GameIsOver]]=0,0,IF(Table1[[#This Row],[ActualWinner]]=Table1[[#This Row],[HomeTeam]], 1, 0))</f>
        <v>0</v>
      </c>
      <c r="AJ253" s="64">
        <f>IF(INDEX(Standings!$A$2:$C$33,MATCH(Table1[[#This Row],[AwayTeam]],Standings!$A$2:$A$33,0),2)=INDEX(Standings!$A$2:$C$33,MATCH(Table1[[#This Row],[HomeTeam]],Standings!$A$2:$A$33,0),2),1,0)</f>
        <v>0</v>
      </c>
      <c r="AK253" s="64">
        <f>IF(INDEX(Standings!$A$2:$C$33,MATCH(Table1[[#This Row],[AwayTeam]],Standings!$A$2:$A$33,0),3)=INDEX(Standings!$A$2:$C$33,MATCH(Table1[[#This Row],[HomeTeam]],Standings!$A$2:$A$33,0),3),1,0)</f>
        <v>0</v>
      </c>
      <c r="AL253" s="64">
        <f>IF(Table1[[#This Row],[InterConf]]=1,IF(Table1[[#This Row],[InterDiv]]=0, 1, 0), 0)</f>
        <v>0</v>
      </c>
      <c r="AM253" s="64">
        <f>IF(INDEX(Standings!$A$2:$C$33,MATCH(Table1[[#This Row],[AwayTeam]],Standings!$A$2:$A$33,0),2)&lt;&gt;INDEX(Standings!$A$2:$C$33,MATCH(Table1[[#This Row],[HomeTeam]],Standings!$A$2:$A$33,0),2),1,0)</f>
        <v>1</v>
      </c>
      <c r="AN253" s="64" t="str">
        <f>INDEX(Table2[AWAY_RECORD], MATCH(Table1[[#This Row],[AwayTeam]],Table2[Team], 0), 0)</f>
        <v>0-0-0</v>
      </c>
      <c r="AO253" s="64" t="str">
        <f>INDEX(Records!$B$2:$AG$33, MATCH(Table1[[#This Row],[AwayTeam]],Records!$A$2:$A$33, 0), MATCH(Table1[[#This Row],[HomeTeam]],Records!$A$2:$A$33, 0))</f>
        <v>0-0-0</v>
      </c>
      <c r="AP253" s="64" t="str">
        <f>INDEX(Table2[HOME_RECORD], MATCH(Table1[[#This Row],[HomeTeam]],Table2[Team], 0), 0)</f>
        <v>0-0-1</v>
      </c>
      <c r="AQ253" s="64" t="str">
        <f>INDEX(Records!$B$2:$AG$33, MATCH(Table1[[#This Row],[HomeTeam]],Records!$A$2:$A$33, 0), MATCH(Table1[[#This Row],[AwayTeam]],Records!$A$2:$A$33, 0))</f>
        <v>0-0-0</v>
      </c>
    </row>
    <row r="254" spans="1:43" x14ac:dyDescent="0.25">
      <c r="A254" s="1"/>
      <c r="D254" t="s">
        <v>468</v>
      </c>
      <c r="E254" t="s">
        <v>162</v>
      </c>
      <c r="F254" t="s">
        <v>473</v>
      </c>
      <c r="G254" t="s">
        <v>16</v>
      </c>
      <c r="H254" t="s">
        <v>57</v>
      </c>
      <c r="L25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5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54" s="1"/>
      <c r="T254" s="64" t="str">
        <f>IF(Table1[[#This Row],[ActualWinner]]="", "", IF(Table1[[#This Row],[AwayTeam]]=Table1[[#This Row],[ActualWinner]],Table1[[#This Row],[HomeTeam]],Table1[[#This Row],[AwayTeam]]))</f>
        <v/>
      </c>
      <c r="U254" s="64">
        <f>Table1[[#This Row],[ActualAwayScore]]-Table1[[#This Row],[PredictedAwayScore]]</f>
        <v>0</v>
      </c>
      <c r="V254" s="64">
        <f>Table1[[#This Row],[ActualHomeScore]]-Table1[[#This Row],[PredictedHomeScore]]</f>
        <v>0</v>
      </c>
      <c r="W254" s="64">
        <f>(0.8*IF(Table1[[#This Row],[CorrectWinnerPrediction]]=1, 1, 0))+(0.1*IF(Table1[[#This Row],[CorrectAwayScorePrediction]]=1, 1, 0))+(0.1*IF(Table1[[#This Row],[CorrectHomeScorePrediction]]=1, 1, 0))</f>
        <v>0</v>
      </c>
      <c r="X25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54" s="64">
        <f>SUMIF(Table1[GameDate], Table1[[#This Row],[GameDate]], Table1[AwayGameGoalDiff])</f>
        <v>0</v>
      </c>
      <c r="AA254" s="64">
        <f>SUMIF(Table1[GameDate], Table1[[#This Row],[GameDate]], Table1[HomeGameGoalDiff])</f>
        <v>0</v>
      </c>
      <c r="AB254" s="64">
        <f>IF(ISBLANK(Table1[[#This Row],[ActualResult]]), 0, 1)</f>
        <v>0</v>
      </c>
      <c r="AC254" s="64">
        <f>IF(ISBLANK(Table1[[#This Row],[ActualResult]]), 0, IF(Table1[[#This Row],[ActualWinner]]=Table1[[#This Row],[PredictedWinner]], 1, 0))</f>
        <v>0</v>
      </c>
      <c r="AD25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5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54" s="64">
        <f>IF(AND(Table1[[#This Row],[GameIsOver]]=1,Table1[[#This Row],[ActualAwayScore]]=0), 1,0)</f>
        <v>0</v>
      </c>
      <c r="AG254" s="64">
        <f>IF(AND(Table1[[#This Row],[GameIsOver]]=1,Table1[[#This Row],[ActualHomeScore]]=0), 1,0)</f>
        <v>0</v>
      </c>
      <c r="AH254" s="64">
        <f>IF(Table1[[#This Row],[GameIsOver]]=0,0,IF(Table1[[#This Row],[ActualWinner]]=Table1[[#This Row],[AwayTeam]], 1, 0))</f>
        <v>0</v>
      </c>
      <c r="AI254" s="64">
        <f>IF(Table1[[#This Row],[GameIsOver]]=0,0,IF(Table1[[#This Row],[ActualWinner]]=Table1[[#This Row],[HomeTeam]], 1, 0))</f>
        <v>0</v>
      </c>
      <c r="AJ254" s="64">
        <f>IF(INDEX(Standings!$A$2:$C$33,MATCH(Table1[[#This Row],[AwayTeam]],Standings!$A$2:$A$33,0),2)=INDEX(Standings!$A$2:$C$33,MATCH(Table1[[#This Row],[HomeTeam]],Standings!$A$2:$A$33,0),2),1,0)</f>
        <v>0</v>
      </c>
      <c r="AK254" s="64">
        <f>IF(INDEX(Standings!$A$2:$C$33,MATCH(Table1[[#This Row],[AwayTeam]],Standings!$A$2:$A$33,0),3)=INDEX(Standings!$A$2:$C$33,MATCH(Table1[[#This Row],[HomeTeam]],Standings!$A$2:$A$33,0),3),1,0)</f>
        <v>0</v>
      </c>
      <c r="AL254" s="64">
        <f>IF(Table1[[#This Row],[InterConf]]=1,IF(Table1[[#This Row],[InterDiv]]=0, 1, 0), 0)</f>
        <v>0</v>
      </c>
      <c r="AM254" s="64">
        <f>IF(INDEX(Standings!$A$2:$C$33,MATCH(Table1[[#This Row],[AwayTeam]],Standings!$A$2:$A$33,0),2)&lt;&gt;INDEX(Standings!$A$2:$C$33,MATCH(Table1[[#This Row],[HomeTeam]],Standings!$A$2:$A$33,0),2),1,0)</f>
        <v>1</v>
      </c>
      <c r="AN254" s="64" t="str">
        <f>INDEX(Table2[AWAY_RECORD], MATCH(Table1[[#This Row],[AwayTeam]],Table2[Team], 0), 0)</f>
        <v>1-0-1</v>
      </c>
      <c r="AO254" s="64" t="str">
        <f>INDEX(Records!$B$2:$AG$33, MATCH(Table1[[#This Row],[AwayTeam]],Records!$A$2:$A$33, 0), MATCH(Table1[[#This Row],[HomeTeam]],Records!$A$2:$A$33, 0))</f>
        <v>0-0-0</v>
      </c>
      <c r="AP254" s="64" t="str">
        <f>INDEX(Table2[HOME_RECORD], MATCH(Table1[[#This Row],[HomeTeam]],Table2[Team], 0), 0)</f>
        <v>0-0-0</v>
      </c>
      <c r="AQ254" s="64" t="str">
        <f>INDEX(Records!$B$2:$AG$33, MATCH(Table1[[#This Row],[HomeTeam]],Records!$A$2:$A$33, 0), MATCH(Table1[[#This Row],[AwayTeam]],Records!$A$2:$A$33, 0))</f>
        <v>0-0-0</v>
      </c>
    </row>
    <row r="255" spans="1:43" x14ac:dyDescent="0.25">
      <c r="A255" s="1"/>
      <c r="D255" t="s">
        <v>468</v>
      </c>
      <c r="E255" t="s">
        <v>162</v>
      </c>
      <c r="F255" t="s">
        <v>474</v>
      </c>
      <c r="G255" t="s">
        <v>61</v>
      </c>
      <c r="H255" t="s">
        <v>49</v>
      </c>
      <c r="L25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5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55" s="1"/>
      <c r="T255" s="64" t="str">
        <f>IF(Table1[[#This Row],[ActualWinner]]="", "", IF(Table1[[#This Row],[AwayTeam]]=Table1[[#This Row],[ActualWinner]],Table1[[#This Row],[HomeTeam]],Table1[[#This Row],[AwayTeam]]))</f>
        <v/>
      </c>
      <c r="U255" s="64">
        <f>Table1[[#This Row],[ActualAwayScore]]-Table1[[#This Row],[PredictedAwayScore]]</f>
        <v>0</v>
      </c>
      <c r="V255" s="64">
        <f>Table1[[#This Row],[ActualHomeScore]]-Table1[[#This Row],[PredictedHomeScore]]</f>
        <v>0</v>
      </c>
      <c r="W255" s="64">
        <f>(0.8*IF(Table1[[#This Row],[CorrectWinnerPrediction]]=1, 1, 0))+(0.1*IF(Table1[[#This Row],[CorrectAwayScorePrediction]]=1, 1, 0))+(0.1*IF(Table1[[#This Row],[CorrectHomeScorePrediction]]=1, 1, 0))</f>
        <v>0</v>
      </c>
      <c r="X25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55" s="64">
        <f>SUMIF(Table1[GameDate], Table1[[#This Row],[GameDate]], Table1[AwayGameGoalDiff])</f>
        <v>0</v>
      </c>
      <c r="AA255" s="64">
        <f>SUMIF(Table1[GameDate], Table1[[#This Row],[GameDate]], Table1[HomeGameGoalDiff])</f>
        <v>0</v>
      </c>
      <c r="AB255" s="64">
        <f>IF(ISBLANK(Table1[[#This Row],[ActualResult]]), 0, 1)</f>
        <v>0</v>
      </c>
      <c r="AC255" s="64">
        <f>IF(ISBLANK(Table1[[#This Row],[ActualResult]]), 0, IF(Table1[[#This Row],[ActualWinner]]=Table1[[#This Row],[PredictedWinner]], 1, 0))</f>
        <v>0</v>
      </c>
      <c r="AD25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5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55" s="64">
        <f>IF(AND(Table1[[#This Row],[GameIsOver]]=1,Table1[[#This Row],[ActualAwayScore]]=0), 1,0)</f>
        <v>0</v>
      </c>
      <c r="AG255" s="64">
        <f>IF(AND(Table1[[#This Row],[GameIsOver]]=1,Table1[[#This Row],[ActualHomeScore]]=0), 1,0)</f>
        <v>0</v>
      </c>
      <c r="AH255" s="64">
        <f>IF(Table1[[#This Row],[GameIsOver]]=0,0,IF(Table1[[#This Row],[ActualWinner]]=Table1[[#This Row],[AwayTeam]], 1, 0))</f>
        <v>0</v>
      </c>
      <c r="AI255" s="64">
        <f>IF(Table1[[#This Row],[GameIsOver]]=0,0,IF(Table1[[#This Row],[ActualWinner]]=Table1[[#This Row],[HomeTeam]], 1, 0))</f>
        <v>0</v>
      </c>
      <c r="AJ255" s="64">
        <f>IF(INDEX(Standings!$A$2:$C$33,MATCH(Table1[[#This Row],[AwayTeam]],Standings!$A$2:$A$33,0),2)=INDEX(Standings!$A$2:$C$33,MATCH(Table1[[#This Row],[HomeTeam]],Standings!$A$2:$A$33,0),2),1,0)</f>
        <v>0</v>
      </c>
      <c r="AK255" s="64">
        <f>IF(INDEX(Standings!$A$2:$C$33,MATCH(Table1[[#This Row],[AwayTeam]],Standings!$A$2:$A$33,0),3)=INDEX(Standings!$A$2:$C$33,MATCH(Table1[[#This Row],[HomeTeam]],Standings!$A$2:$A$33,0),3),1,0)</f>
        <v>0</v>
      </c>
      <c r="AL255" s="64">
        <f>IF(Table1[[#This Row],[InterConf]]=1,IF(Table1[[#This Row],[InterDiv]]=0, 1, 0), 0)</f>
        <v>0</v>
      </c>
      <c r="AM255" s="64">
        <f>IF(INDEX(Standings!$A$2:$C$33,MATCH(Table1[[#This Row],[AwayTeam]],Standings!$A$2:$A$33,0),2)&lt;&gt;INDEX(Standings!$A$2:$C$33,MATCH(Table1[[#This Row],[HomeTeam]],Standings!$A$2:$A$33,0),2),1,0)</f>
        <v>1</v>
      </c>
      <c r="AN255" s="64" t="str">
        <f>INDEX(Table2[AWAY_RECORD], MATCH(Table1[[#This Row],[AwayTeam]],Table2[Team], 0), 0)</f>
        <v>0-0-0</v>
      </c>
      <c r="AO255" s="64" t="str">
        <f>INDEX(Records!$B$2:$AG$33, MATCH(Table1[[#This Row],[AwayTeam]],Records!$A$2:$A$33, 0), MATCH(Table1[[#This Row],[HomeTeam]],Records!$A$2:$A$33, 0))</f>
        <v>0-0-0</v>
      </c>
      <c r="AP255" s="64" t="str">
        <f>INDEX(Table2[HOME_RECORD], MATCH(Table1[[#This Row],[HomeTeam]],Table2[Team], 0), 0)</f>
        <v>1-0-0</v>
      </c>
      <c r="AQ255" s="64" t="str">
        <f>INDEX(Records!$B$2:$AG$33, MATCH(Table1[[#This Row],[HomeTeam]],Records!$A$2:$A$33, 0), MATCH(Table1[[#This Row],[AwayTeam]],Records!$A$2:$A$33, 0))</f>
        <v>0-0-0</v>
      </c>
    </row>
    <row r="256" spans="1:43" x14ac:dyDescent="0.25">
      <c r="A256" s="1"/>
      <c r="D256" t="s">
        <v>468</v>
      </c>
      <c r="E256" t="s">
        <v>162</v>
      </c>
      <c r="F256" t="s">
        <v>475</v>
      </c>
      <c r="G256" t="s">
        <v>40</v>
      </c>
      <c r="H256" t="s">
        <v>50</v>
      </c>
      <c r="L25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5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56" s="1"/>
      <c r="T256" s="64" t="str">
        <f>IF(Table1[[#This Row],[ActualWinner]]="", "", IF(Table1[[#This Row],[AwayTeam]]=Table1[[#This Row],[ActualWinner]],Table1[[#This Row],[HomeTeam]],Table1[[#This Row],[AwayTeam]]))</f>
        <v/>
      </c>
      <c r="U256" s="64">
        <f>Table1[[#This Row],[ActualAwayScore]]-Table1[[#This Row],[PredictedAwayScore]]</f>
        <v>0</v>
      </c>
      <c r="V256" s="64">
        <f>Table1[[#This Row],[ActualHomeScore]]-Table1[[#This Row],[PredictedHomeScore]]</f>
        <v>0</v>
      </c>
      <c r="W256" s="64">
        <f>(0.8*IF(Table1[[#This Row],[CorrectWinnerPrediction]]=1, 1, 0))+(0.1*IF(Table1[[#This Row],[CorrectAwayScorePrediction]]=1, 1, 0))+(0.1*IF(Table1[[#This Row],[CorrectHomeScorePrediction]]=1, 1, 0))</f>
        <v>0</v>
      </c>
      <c r="X25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56" s="64">
        <f>SUMIF(Table1[GameDate], Table1[[#This Row],[GameDate]], Table1[AwayGameGoalDiff])</f>
        <v>0</v>
      </c>
      <c r="AA256" s="64">
        <f>SUMIF(Table1[GameDate], Table1[[#This Row],[GameDate]], Table1[HomeGameGoalDiff])</f>
        <v>0</v>
      </c>
      <c r="AB256" s="64">
        <f>IF(ISBLANK(Table1[[#This Row],[ActualResult]]), 0, 1)</f>
        <v>0</v>
      </c>
      <c r="AC256" s="64">
        <f>IF(ISBLANK(Table1[[#This Row],[ActualResult]]), 0, IF(Table1[[#This Row],[ActualWinner]]=Table1[[#This Row],[PredictedWinner]], 1, 0))</f>
        <v>0</v>
      </c>
      <c r="AD25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5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56" s="64">
        <f>IF(AND(Table1[[#This Row],[GameIsOver]]=1,Table1[[#This Row],[ActualAwayScore]]=0), 1,0)</f>
        <v>0</v>
      </c>
      <c r="AG256" s="64">
        <f>IF(AND(Table1[[#This Row],[GameIsOver]]=1,Table1[[#This Row],[ActualHomeScore]]=0), 1,0)</f>
        <v>0</v>
      </c>
      <c r="AH256" s="64">
        <f>IF(Table1[[#This Row],[GameIsOver]]=0,0,IF(Table1[[#This Row],[ActualWinner]]=Table1[[#This Row],[AwayTeam]], 1, 0))</f>
        <v>0</v>
      </c>
      <c r="AI256" s="64">
        <f>IF(Table1[[#This Row],[GameIsOver]]=0,0,IF(Table1[[#This Row],[ActualWinner]]=Table1[[#This Row],[HomeTeam]], 1, 0))</f>
        <v>0</v>
      </c>
      <c r="AJ256" s="64">
        <f>IF(INDEX(Standings!$A$2:$C$33,MATCH(Table1[[#This Row],[AwayTeam]],Standings!$A$2:$A$33,0),2)=INDEX(Standings!$A$2:$C$33,MATCH(Table1[[#This Row],[HomeTeam]],Standings!$A$2:$A$33,0),2),1,0)</f>
        <v>1</v>
      </c>
      <c r="AK256" s="64">
        <f>IF(INDEX(Standings!$A$2:$C$33,MATCH(Table1[[#This Row],[AwayTeam]],Standings!$A$2:$A$33,0),3)=INDEX(Standings!$A$2:$C$33,MATCH(Table1[[#This Row],[HomeTeam]],Standings!$A$2:$A$33,0),3),1,0)</f>
        <v>1</v>
      </c>
      <c r="AL256" s="64">
        <f>IF(Table1[[#This Row],[InterConf]]=1,IF(Table1[[#This Row],[InterDiv]]=0, 1, 0), 0)</f>
        <v>0</v>
      </c>
      <c r="AM256" s="64">
        <f>IF(INDEX(Standings!$A$2:$C$33,MATCH(Table1[[#This Row],[AwayTeam]],Standings!$A$2:$A$33,0),2)&lt;&gt;INDEX(Standings!$A$2:$C$33,MATCH(Table1[[#This Row],[HomeTeam]],Standings!$A$2:$A$33,0),2),1,0)</f>
        <v>0</v>
      </c>
      <c r="AN256" s="64" t="str">
        <f>INDEX(Table2[AWAY_RECORD], MATCH(Table1[[#This Row],[AwayTeam]],Table2[Team], 0), 0)</f>
        <v>0-0-0</v>
      </c>
      <c r="AO256" s="64" t="str">
        <f>INDEX(Records!$B$2:$AG$33, MATCH(Table1[[#This Row],[AwayTeam]],Records!$A$2:$A$33, 0), MATCH(Table1[[#This Row],[HomeTeam]],Records!$A$2:$A$33, 0))</f>
        <v>0-0-0</v>
      </c>
      <c r="AP256" s="64" t="str">
        <f>INDEX(Table2[HOME_RECORD], MATCH(Table1[[#This Row],[HomeTeam]],Table2[Team], 0), 0)</f>
        <v>0-0-0</v>
      </c>
      <c r="AQ256" s="64" t="str">
        <f>INDEX(Records!$B$2:$AG$33, MATCH(Table1[[#This Row],[HomeTeam]],Records!$A$2:$A$33, 0), MATCH(Table1[[#This Row],[AwayTeam]],Records!$A$2:$A$33, 0))</f>
        <v>0-0-0</v>
      </c>
    </row>
    <row r="257" spans="1:43" x14ac:dyDescent="0.25">
      <c r="A257" s="1"/>
      <c r="D257" t="s">
        <v>468</v>
      </c>
      <c r="E257" t="s">
        <v>162</v>
      </c>
      <c r="F257" t="s">
        <v>476</v>
      </c>
      <c r="G257" t="s">
        <v>53</v>
      </c>
      <c r="H257" t="s">
        <v>51</v>
      </c>
      <c r="L25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5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57" s="1"/>
      <c r="T257" s="64" t="str">
        <f>IF(Table1[[#This Row],[ActualWinner]]="", "", IF(Table1[[#This Row],[AwayTeam]]=Table1[[#This Row],[ActualWinner]],Table1[[#This Row],[HomeTeam]],Table1[[#This Row],[AwayTeam]]))</f>
        <v/>
      </c>
      <c r="U257" s="64">
        <f>Table1[[#This Row],[ActualAwayScore]]-Table1[[#This Row],[PredictedAwayScore]]</f>
        <v>0</v>
      </c>
      <c r="V257" s="64">
        <f>Table1[[#This Row],[ActualHomeScore]]-Table1[[#This Row],[PredictedHomeScore]]</f>
        <v>0</v>
      </c>
      <c r="W257" s="64">
        <f>(0.8*IF(Table1[[#This Row],[CorrectWinnerPrediction]]=1, 1, 0))+(0.1*IF(Table1[[#This Row],[CorrectAwayScorePrediction]]=1, 1, 0))+(0.1*IF(Table1[[#This Row],[CorrectHomeScorePrediction]]=1, 1, 0))</f>
        <v>0</v>
      </c>
      <c r="X25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57" s="64">
        <f>SUMIF(Table1[GameDate], Table1[[#This Row],[GameDate]], Table1[AwayGameGoalDiff])</f>
        <v>0</v>
      </c>
      <c r="AA257" s="64">
        <f>SUMIF(Table1[GameDate], Table1[[#This Row],[GameDate]], Table1[HomeGameGoalDiff])</f>
        <v>0</v>
      </c>
      <c r="AB257" s="64">
        <f>IF(ISBLANK(Table1[[#This Row],[ActualResult]]), 0, 1)</f>
        <v>0</v>
      </c>
      <c r="AC257" s="64">
        <f>IF(ISBLANK(Table1[[#This Row],[ActualResult]]), 0, IF(Table1[[#This Row],[ActualWinner]]=Table1[[#This Row],[PredictedWinner]], 1, 0))</f>
        <v>0</v>
      </c>
      <c r="AD25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5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57" s="64">
        <f>IF(AND(Table1[[#This Row],[GameIsOver]]=1,Table1[[#This Row],[ActualAwayScore]]=0), 1,0)</f>
        <v>0</v>
      </c>
      <c r="AG257" s="64">
        <f>IF(AND(Table1[[#This Row],[GameIsOver]]=1,Table1[[#This Row],[ActualHomeScore]]=0), 1,0)</f>
        <v>0</v>
      </c>
      <c r="AH257" s="64">
        <f>IF(Table1[[#This Row],[GameIsOver]]=0,0,IF(Table1[[#This Row],[ActualWinner]]=Table1[[#This Row],[AwayTeam]], 1, 0))</f>
        <v>0</v>
      </c>
      <c r="AI257" s="64">
        <f>IF(Table1[[#This Row],[GameIsOver]]=0,0,IF(Table1[[#This Row],[ActualWinner]]=Table1[[#This Row],[HomeTeam]], 1, 0))</f>
        <v>0</v>
      </c>
      <c r="AJ257" s="64">
        <f>IF(INDEX(Standings!$A$2:$C$33,MATCH(Table1[[#This Row],[AwayTeam]],Standings!$A$2:$A$33,0),2)=INDEX(Standings!$A$2:$C$33,MATCH(Table1[[#This Row],[HomeTeam]],Standings!$A$2:$A$33,0),2),1,0)</f>
        <v>1</v>
      </c>
      <c r="AK257" s="64">
        <f>IF(INDEX(Standings!$A$2:$C$33,MATCH(Table1[[#This Row],[AwayTeam]],Standings!$A$2:$A$33,0),3)=INDEX(Standings!$A$2:$C$33,MATCH(Table1[[#This Row],[HomeTeam]],Standings!$A$2:$A$33,0),3),1,0)</f>
        <v>1</v>
      </c>
      <c r="AL257" s="64">
        <f>IF(Table1[[#This Row],[InterConf]]=1,IF(Table1[[#This Row],[InterDiv]]=0, 1, 0), 0)</f>
        <v>0</v>
      </c>
      <c r="AM257" s="64">
        <f>IF(INDEX(Standings!$A$2:$C$33,MATCH(Table1[[#This Row],[AwayTeam]],Standings!$A$2:$A$33,0),2)&lt;&gt;INDEX(Standings!$A$2:$C$33,MATCH(Table1[[#This Row],[HomeTeam]],Standings!$A$2:$A$33,0),2),1,0)</f>
        <v>0</v>
      </c>
      <c r="AN257" s="64" t="str">
        <f>INDEX(Table2[AWAY_RECORD], MATCH(Table1[[#This Row],[AwayTeam]],Table2[Team], 0), 0)</f>
        <v>0-1-0</v>
      </c>
      <c r="AO257" s="64" t="str">
        <f>INDEX(Records!$B$2:$AG$33, MATCH(Table1[[#This Row],[AwayTeam]],Records!$A$2:$A$33, 0), MATCH(Table1[[#This Row],[HomeTeam]],Records!$A$2:$A$33, 0))</f>
        <v>0-0-0</v>
      </c>
      <c r="AP257" s="64" t="str">
        <f>INDEX(Table2[HOME_RECORD], MATCH(Table1[[#This Row],[HomeTeam]],Table2[Team], 0), 0)</f>
        <v>1-0-0</v>
      </c>
      <c r="AQ257" s="64" t="str">
        <f>INDEX(Records!$B$2:$AG$33, MATCH(Table1[[#This Row],[HomeTeam]],Records!$A$2:$A$33, 0), MATCH(Table1[[#This Row],[AwayTeam]],Records!$A$2:$A$33, 0))</f>
        <v>0-0-0</v>
      </c>
    </row>
    <row r="258" spans="1:43" x14ac:dyDescent="0.25">
      <c r="A258" s="1"/>
      <c r="D258" t="s">
        <v>468</v>
      </c>
      <c r="E258" t="s">
        <v>162</v>
      </c>
      <c r="F258" t="s">
        <v>477</v>
      </c>
      <c r="G258" t="s">
        <v>37</v>
      </c>
      <c r="H258" t="s">
        <v>54</v>
      </c>
      <c r="L25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5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58" s="1"/>
      <c r="T258" s="64" t="str">
        <f>IF(Table1[[#This Row],[ActualWinner]]="", "", IF(Table1[[#This Row],[AwayTeam]]=Table1[[#This Row],[ActualWinner]],Table1[[#This Row],[HomeTeam]],Table1[[#This Row],[AwayTeam]]))</f>
        <v/>
      </c>
      <c r="U258" s="64">
        <f>Table1[[#This Row],[ActualAwayScore]]-Table1[[#This Row],[PredictedAwayScore]]</f>
        <v>0</v>
      </c>
      <c r="V258" s="64">
        <f>Table1[[#This Row],[ActualHomeScore]]-Table1[[#This Row],[PredictedHomeScore]]</f>
        <v>0</v>
      </c>
      <c r="W258" s="64">
        <f>(0.8*IF(Table1[[#This Row],[CorrectWinnerPrediction]]=1, 1, 0))+(0.1*IF(Table1[[#This Row],[CorrectAwayScorePrediction]]=1, 1, 0))+(0.1*IF(Table1[[#This Row],[CorrectHomeScorePrediction]]=1, 1, 0))</f>
        <v>0</v>
      </c>
      <c r="X25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58" s="64">
        <f>SUMIF(Table1[GameDate], Table1[[#This Row],[GameDate]], Table1[AwayGameGoalDiff])</f>
        <v>0</v>
      </c>
      <c r="AA258" s="64">
        <f>SUMIF(Table1[GameDate], Table1[[#This Row],[GameDate]], Table1[HomeGameGoalDiff])</f>
        <v>0</v>
      </c>
      <c r="AB258" s="64">
        <f>IF(ISBLANK(Table1[[#This Row],[ActualResult]]), 0, 1)</f>
        <v>0</v>
      </c>
      <c r="AC258" s="64">
        <f>IF(ISBLANK(Table1[[#This Row],[ActualResult]]), 0, IF(Table1[[#This Row],[ActualWinner]]=Table1[[#This Row],[PredictedWinner]], 1, 0))</f>
        <v>0</v>
      </c>
      <c r="AD25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5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58" s="64">
        <f>IF(AND(Table1[[#This Row],[GameIsOver]]=1,Table1[[#This Row],[ActualAwayScore]]=0), 1,0)</f>
        <v>0</v>
      </c>
      <c r="AG258" s="64">
        <f>IF(AND(Table1[[#This Row],[GameIsOver]]=1,Table1[[#This Row],[ActualHomeScore]]=0), 1,0)</f>
        <v>0</v>
      </c>
      <c r="AH258" s="64">
        <f>IF(Table1[[#This Row],[GameIsOver]]=0,0,IF(Table1[[#This Row],[ActualWinner]]=Table1[[#This Row],[AwayTeam]], 1, 0))</f>
        <v>0</v>
      </c>
      <c r="AI258" s="64">
        <f>IF(Table1[[#This Row],[GameIsOver]]=0,0,IF(Table1[[#This Row],[ActualWinner]]=Table1[[#This Row],[HomeTeam]], 1, 0))</f>
        <v>0</v>
      </c>
      <c r="AJ258" s="64">
        <f>IF(INDEX(Standings!$A$2:$C$33,MATCH(Table1[[#This Row],[AwayTeam]],Standings!$A$2:$A$33,0),2)=INDEX(Standings!$A$2:$C$33,MATCH(Table1[[#This Row],[HomeTeam]],Standings!$A$2:$A$33,0),2),1,0)</f>
        <v>1</v>
      </c>
      <c r="AK258" s="64">
        <f>IF(INDEX(Standings!$A$2:$C$33,MATCH(Table1[[#This Row],[AwayTeam]],Standings!$A$2:$A$33,0),3)=INDEX(Standings!$A$2:$C$33,MATCH(Table1[[#This Row],[HomeTeam]],Standings!$A$2:$A$33,0),3),1,0)</f>
        <v>0</v>
      </c>
      <c r="AL258" s="64">
        <f>IF(Table1[[#This Row],[InterConf]]=1,IF(Table1[[#This Row],[InterDiv]]=0, 1, 0), 0)</f>
        <v>1</v>
      </c>
      <c r="AM258" s="64">
        <f>IF(INDEX(Standings!$A$2:$C$33,MATCH(Table1[[#This Row],[AwayTeam]],Standings!$A$2:$A$33,0),2)&lt;&gt;INDEX(Standings!$A$2:$C$33,MATCH(Table1[[#This Row],[HomeTeam]],Standings!$A$2:$A$33,0),2),1,0)</f>
        <v>0</v>
      </c>
      <c r="AN258" s="64" t="str">
        <f>INDEX(Table2[AWAY_RECORD], MATCH(Table1[[#This Row],[AwayTeam]],Table2[Team], 0), 0)</f>
        <v>0-0-1</v>
      </c>
      <c r="AO258" s="64" t="str">
        <f>INDEX(Records!$B$2:$AG$33, MATCH(Table1[[#This Row],[AwayTeam]],Records!$A$2:$A$33, 0), MATCH(Table1[[#This Row],[HomeTeam]],Records!$A$2:$A$33, 0))</f>
        <v>0-0-0</v>
      </c>
      <c r="AP258" s="64" t="str">
        <f>INDEX(Table2[HOME_RECORD], MATCH(Table1[[#This Row],[HomeTeam]],Table2[Team], 0), 0)</f>
        <v>0-0-0</v>
      </c>
      <c r="AQ258" s="64" t="str">
        <f>INDEX(Records!$B$2:$AG$33, MATCH(Table1[[#This Row],[HomeTeam]],Records!$A$2:$A$33, 0), MATCH(Table1[[#This Row],[AwayTeam]],Records!$A$2:$A$33, 0))</f>
        <v>0-0-0</v>
      </c>
    </row>
    <row r="259" spans="1:43" x14ac:dyDescent="0.25">
      <c r="A259" s="1"/>
      <c r="D259" t="s">
        <v>468</v>
      </c>
      <c r="E259" t="s">
        <v>162</v>
      </c>
      <c r="F259" t="s">
        <v>478</v>
      </c>
      <c r="G259" t="s">
        <v>43</v>
      </c>
      <c r="H259" t="s">
        <v>42</v>
      </c>
      <c r="L25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5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59" s="1"/>
      <c r="T259" s="64" t="str">
        <f>IF(Table1[[#This Row],[ActualWinner]]="", "", IF(Table1[[#This Row],[AwayTeam]]=Table1[[#This Row],[ActualWinner]],Table1[[#This Row],[HomeTeam]],Table1[[#This Row],[AwayTeam]]))</f>
        <v/>
      </c>
      <c r="U259" s="64">
        <f>Table1[[#This Row],[ActualAwayScore]]-Table1[[#This Row],[PredictedAwayScore]]</f>
        <v>0</v>
      </c>
      <c r="V259" s="64">
        <f>Table1[[#This Row],[ActualHomeScore]]-Table1[[#This Row],[PredictedHomeScore]]</f>
        <v>0</v>
      </c>
      <c r="W259" s="64">
        <f>(0.8*IF(Table1[[#This Row],[CorrectWinnerPrediction]]=1, 1, 0))+(0.1*IF(Table1[[#This Row],[CorrectAwayScorePrediction]]=1, 1, 0))+(0.1*IF(Table1[[#This Row],[CorrectHomeScorePrediction]]=1, 1, 0))</f>
        <v>0</v>
      </c>
      <c r="X25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59" s="64">
        <f>SUMIF(Table1[GameDate], Table1[[#This Row],[GameDate]], Table1[AwayGameGoalDiff])</f>
        <v>0</v>
      </c>
      <c r="AA259" s="64">
        <f>SUMIF(Table1[GameDate], Table1[[#This Row],[GameDate]], Table1[HomeGameGoalDiff])</f>
        <v>0</v>
      </c>
      <c r="AB259" s="64">
        <f>IF(ISBLANK(Table1[[#This Row],[ActualResult]]), 0, 1)</f>
        <v>0</v>
      </c>
      <c r="AC259" s="64">
        <f>IF(ISBLANK(Table1[[#This Row],[ActualResult]]), 0, IF(Table1[[#This Row],[ActualWinner]]=Table1[[#This Row],[PredictedWinner]], 1, 0))</f>
        <v>0</v>
      </c>
      <c r="AD25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5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59" s="64">
        <f>IF(AND(Table1[[#This Row],[GameIsOver]]=1,Table1[[#This Row],[ActualAwayScore]]=0), 1,0)</f>
        <v>0</v>
      </c>
      <c r="AG259" s="64">
        <f>IF(AND(Table1[[#This Row],[GameIsOver]]=1,Table1[[#This Row],[ActualHomeScore]]=0), 1,0)</f>
        <v>0</v>
      </c>
      <c r="AH259" s="64">
        <f>IF(Table1[[#This Row],[GameIsOver]]=0,0,IF(Table1[[#This Row],[ActualWinner]]=Table1[[#This Row],[AwayTeam]], 1, 0))</f>
        <v>0</v>
      </c>
      <c r="AI259" s="64">
        <f>IF(Table1[[#This Row],[GameIsOver]]=0,0,IF(Table1[[#This Row],[ActualWinner]]=Table1[[#This Row],[HomeTeam]], 1, 0))</f>
        <v>0</v>
      </c>
      <c r="AJ259" s="64">
        <f>IF(INDEX(Standings!$A$2:$C$33,MATCH(Table1[[#This Row],[AwayTeam]],Standings!$A$2:$A$33,0),2)=INDEX(Standings!$A$2:$C$33,MATCH(Table1[[#This Row],[HomeTeam]],Standings!$A$2:$A$33,0),2),1,0)</f>
        <v>0</v>
      </c>
      <c r="AK259" s="64">
        <f>IF(INDEX(Standings!$A$2:$C$33,MATCH(Table1[[#This Row],[AwayTeam]],Standings!$A$2:$A$33,0),3)=INDEX(Standings!$A$2:$C$33,MATCH(Table1[[#This Row],[HomeTeam]],Standings!$A$2:$A$33,0),3),1,0)</f>
        <v>0</v>
      </c>
      <c r="AL259" s="64">
        <f>IF(Table1[[#This Row],[InterConf]]=1,IF(Table1[[#This Row],[InterDiv]]=0, 1, 0), 0)</f>
        <v>0</v>
      </c>
      <c r="AM259" s="64">
        <f>IF(INDEX(Standings!$A$2:$C$33,MATCH(Table1[[#This Row],[AwayTeam]],Standings!$A$2:$A$33,0),2)&lt;&gt;INDEX(Standings!$A$2:$C$33,MATCH(Table1[[#This Row],[HomeTeam]],Standings!$A$2:$A$33,0),2),1,0)</f>
        <v>1</v>
      </c>
      <c r="AN259" s="64" t="str">
        <f>INDEX(Table2[AWAY_RECORD], MATCH(Table1[[#This Row],[AwayTeam]],Table2[Team], 0), 0)</f>
        <v>0-0-0</v>
      </c>
      <c r="AO259" s="64" t="str">
        <f>INDEX(Records!$B$2:$AG$33, MATCH(Table1[[#This Row],[AwayTeam]],Records!$A$2:$A$33, 0), MATCH(Table1[[#This Row],[HomeTeam]],Records!$A$2:$A$33, 0))</f>
        <v>0-0-0</v>
      </c>
      <c r="AP259" s="64" t="str">
        <f>INDEX(Table2[HOME_RECORD], MATCH(Table1[[#This Row],[HomeTeam]],Table2[Team], 0), 0)</f>
        <v>1-0-0</v>
      </c>
      <c r="AQ259" s="64" t="str">
        <f>INDEX(Records!$B$2:$AG$33, MATCH(Table1[[#This Row],[HomeTeam]],Records!$A$2:$A$33, 0), MATCH(Table1[[#This Row],[AwayTeam]],Records!$A$2:$A$33, 0))</f>
        <v>0-0-0</v>
      </c>
    </row>
    <row r="260" spans="1:43" x14ac:dyDescent="0.25">
      <c r="A260" s="1"/>
      <c r="D260" t="s">
        <v>468</v>
      </c>
      <c r="E260" t="s">
        <v>178</v>
      </c>
      <c r="F260" t="s">
        <v>479</v>
      </c>
      <c r="G260" t="s">
        <v>23</v>
      </c>
      <c r="H260" t="s">
        <v>60</v>
      </c>
      <c r="L26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6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60" s="1"/>
      <c r="T260" s="64" t="str">
        <f>IF(Table1[[#This Row],[ActualWinner]]="", "", IF(Table1[[#This Row],[AwayTeam]]=Table1[[#This Row],[ActualWinner]],Table1[[#This Row],[HomeTeam]],Table1[[#This Row],[AwayTeam]]))</f>
        <v/>
      </c>
      <c r="U260" s="64">
        <f>Table1[[#This Row],[ActualAwayScore]]-Table1[[#This Row],[PredictedAwayScore]]</f>
        <v>0</v>
      </c>
      <c r="V260" s="64">
        <f>Table1[[#This Row],[ActualHomeScore]]-Table1[[#This Row],[PredictedHomeScore]]</f>
        <v>0</v>
      </c>
      <c r="W260" s="64">
        <f>(0.8*IF(Table1[[#This Row],[CorrectWinnerPrediction]]=1, 1, 0))+(0.1*IF(Table1[[#This Row],[CorrectAwayScorePrediction]]=1, 1, 0))+(0.1*IF(Table1[[#This Row],[CorrectHomeScorePrediction]]=1, 1, 0))</f>
        <v>0</v>
      </c>
      <c r="X26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60" s="64">
        <f>SUMIF(Table1[GameDate], Table1[[#This Row],[GameDate]], Table1[AwayGameGoalDiff])</f>
        <v>0</v>
      </c>
      <c r="AA260" s="64">
        <f>SUMIF(Table1[GameDate], Table1[[#This Row],[GameDate]], Table1[HomeGameGoalDiff])</f>
        <v>0</v>
      </c>
      <c r="AB260" s="64">
        <f>IF(ISBLANK(Table1[[#This Row],[ActualResult]]), 0, 1)</f>
        <v>0</v>
      </c>
      <c r="AC260" s="64">
        <f>IF(ISBLANK(Table1[[#This Row],[ActualResult]]), 0, IF(Table1[[#This Row],[ActualWinner]]=Table1[[#This Row],[PredictedWinner]], 1, 0))</f>
        <v>0</v>
      </c>
      <c r="AD26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6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60" s="64">
        <f>IF(AND(Table1[[#This Row],[GameIsOver]]=1,Table1[[#This Row],[ActualAwayScore]]=0), 1,0)</f>
        <v>0</v>
      </c>
      <c r="AG260" s="64">
        <f>IF(AND(Table1[[#This Row],[GameIsOver]]=1,Table1[[#This Row],[ActualHomeScore]]=0), 1,0)</f>
        <v>0</v>
      </c>
      <c r="AH260" s="64">
        <f>IF(Table1[[#This Row],[GameIsOver]]=0,0,IF(Table1[[#This Row],[ActualWinner]]=Table1[[#This Row],[AwayTeam]], 1, 0))</f>
        <v>0</v>
      </c>
      <c r="AI260" s="64">
        <f>IF(Table1[[#This Row],[GameIsOver]]=0,0,IF(Table1[[#This Row],[ActualWinner]]=Table1[[#This Row],[HomeTeam]], 1, 0))</f>
        <v>0</v>
      </c>
      <c r="AJ260" s="64">
        <f>IF(INDEX(Standings!$A$2:$C$33,MATCH(Table1[[#This Row],[AwayTeam]],Standings!$A$2:$A$33,0),2)=INDEX(Standings!$A$2:$C$33,MATCH(Table1[[#This Row],[HomeTeam]],Standings!$A$2:$A$33,0),2),1,0)</f>
        <v>1</v>
      </c>
      <c r="AK260" s="64">
        <f>IF(INDEX(Standings!$A$2:$C$33,MATCH(Table1[[#This Row],[AwayTeam]],Standings!$A$2:$A$33,0),3)=INDEX(Standings!$A$2:$C$33,MATCH(Table1[[#This Row],[HomeTeam]],Standings!$A$2:$A$33,0),3),1,0)</f>
        <v>0</v>
      </c>
      <c r="AL260" s="64">
        <f>IF(Table1[[#This Row],[InterConf]]=1,IF(Table1[[#This Row],[InterDiv]]=0, 1, 0), 0)</f>
        <v>1</v>
      </c>
      <c r="AM260" s="64">
        <f>IF(INDEX(Standings!$A$2:$C$33,MATCH(Table1[[#This Row],[AwayTeam]],Standings!$A$2:$A$33,0),2)&lt;&gt;INDEX(Standings!$A$2:$C$33,MATCH(Table1[[#This Row],[HomeTeam]],Standings!$A$2:$A$33,0),2),1,0)</f>
        <v>0</v>
      </c>
      <c r="AN260" s="64" t="str">
        <f>INDEX(Table2[AWAY_RECORD], MATCH(Table1[[#This Row],[AwayTeam]],Table2[Team], 0), 0)</f>
        <v>0-0-1</v>
      </c>
      <c r="AO260" s="64" t="str">
        <f>INDEX(Records!$B$2:$AG$33, MATCH(Table1[[#This Row],[AwayTeam]],Records!$A$2:$A$33, 0), MATCH(Table1[[#This Row],[HomeTeam]],Records!$A$2:$A$33, 0))</f>
        <v>0-0-0</v>
      </c>
      <c r="AP260" s="64" t="str">
        <f>INDEX(Table2[HOME_RECORD], MATCH(Table1[[#This Row],[HomeTeam]],Table2[Team], 0), 0)</f>
        <v>1-0-0</v>
      </c>
      <c r="AQ260" s="64" t="str">
        <f>INDEX(Records!$B$2:$AG$33, MATCH(Table1[[#This Row],[HomeTeam]],Records!$A$2:$A$33, 0), MATCH(Table1[[#This Row],[AwayTeam]],Records!$A$2:$A$33, 0))</f>
        <v>0-0-0</v>
      </c>
    </row>
    <row r="261" spans="1:43" x14ac:dyDescent="0.25">
      <c r="A261" s="1"/>
      <c r="D261" t="s">
        <v>468</v>
      </c>
      <c r="E261" t="s">
        <v>178</v>
      </c>
      <c r="F261" t="s">
        <v>480</v>
      </c>
      <c r="G261" t="s">
        <v>36</v>
      </c>
      <c r="H261" t="s">
        <v>45</v>
      </c>
      <c r="L26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6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61" s="1"/>
      <c r="T261" s="64" t="str">
        <f>IF(Table1[[#This Row],[ActualWinner]]="", "", IF(Table1[[#This Row],[AwayTeam]]=Table1[[#This Row],[ActualWinner]],Table1[[#This Row],[HomeTeam]],Table1[[#This Row],[AwayTeam]]))</f>
        <v/>
      </c>
      <c r="U261" s="64">
        <f>Table1[[#This Row],[ActualAwayScore]]-Table1[[#This Row],[PredictedAwayScore]]</f>
        <v>0</v>
      </c>
      <c r="V261" s="64">
        <f>Table1[[#This Row],[ActualHomeScore]]-Table1[[#This Row],[PredictedHomeScore]]</f>
        <v>0</v>
      </c>
      <c r="W261" s="64">
        <f>(0.8*IF(Table1[[#This Row],[CorrectWinnerPrediction]]=1, 1, 0))+(0.1*IF(Table1[[#This Row],[CorrectAwayScorePrediction]]=1, 1, 0))+(0.1*IF(Table1[[#This Row],[CorrectHomeScorePrediction]]=1, 1, 0))</f>
        <v>0</v>
      </c>
      <c r="X26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61" s="64">
        <f>SUMIF(Table1[GameDate], Table1[[#This Row],[GameDate]], Table1[AwayGameGoalDiff])</f>
        <v>0</v>
      </c>
      <c r="AA261" s="64">
        <f>SUMIF(Table1[GameDate], Table1[[#This Row],[GameDate]], Table1[HomeGameGoalDiff])</f>
        <v>0</v>
      </c>
      <c r="AB261" s="64">
        <f>IF(ISBLANK(Table1[[#This Row],[ActualResult]]), 0, 1)</f>
        <v>0</v>
      </c>
      <c r="AC261" s="64">
        <f>IF(ISBLANK(Table1[[#This Row],[ActualResult]]), 0, IF(Table1[[#This Row],[ActualWinner]]=Table1[[#This Row],[PredictedWinner]], 1, 0))</f>
        <v>0</v>
      </c>
      <c r="AD26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6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61" s="64">
        <f>IF(AND(Table1[[#This Row],[GameIsOver]]=1,Table1[[#This Row],[ActualAwayScore]]=0), 1,0)</f>
        <v>0</v>
      </c>
      <c r="AG261" s="64">
        <f>IF(AND(Table1[[#This Row],[GameIsOver]]=1,Table1[[#This Row],[ActualHomeScore]]=0), 1,0)</f>
        <v>0</v>
      </c>
      <c r="AH261" s="64">
        <f>IF(Table1[[#This Row],[GameIsOver]]=0,0,IF(Table1[[#This Row],[ActualWinner]]=Table1[[#This Row],[AwayTeam]], 1, 0))</f>
        <v>0</v>
      </c>
      <c r="AI261" s="64">
        <f>IF(Table1[[#This Row],[GameIsOver]]=0,0,IF(Table1[[#This Row],[ActualWinner]]=Table1[[#This Row],[HomeTeam]], 1, 0))</f>
        <v>0</v>
      </c>
      <c r="AJ261" s="64">
        <f>IF(INDEX(Standings!$A$2:$C$33,MATCH(Table1[[#This Row],[AwayTeam]],Standings!$A$2:$A$33,0),2)=INDEX(Standings!$A$2:$C$33,MATCH(Table1[[#This Row],[HomeTeam]],Standings!$A$2:$A$33,0),2),1,0)</f>
        <v>1</v>
      </c>
      <c r="AK261" s="64">
        <f>IF(INDEX(Standings!$A$2:$C$33,MATCH(Table1[[#This Row],[AwayTeam]],Standings!$A$2:$A$33,0),3)=INDEX(Standings!$A$2:$C$33,MATCH(Table1[[#This Row],[HomeTeam]],Standings!$A$2:$A$33,0),3),1,0)</f>
        <v>1</v>
      </c>
      <c r="AL261" s="64">
        <f>IF(Table1[[#This Row],[InterConf]]=1,IF(Table1[[#This Row],[InterDiv]]=0, 1, 0), 0)</f>
        <v>0</v>
      </c>
      <c r="AM261" s="64">
        <f>IF(INDEX(Standings!$A$2:$C$33,MATCH(Table1[[#This Row],[AwayTeam]],Standings!$A$2:$A$33,0),2)&lt;&gt;INDEX(Standings!$A$2:$C$33,MATCH(Table1[[#This Row],[HomeTeam]],Standings!$A$2:$A$33,0),2),1,0)</f>
        <v>0</v>
      </c>
      <c r="AN261" s="64" t="str">
        <f>INDEX(Table2[AWAY_RECORD], MATCH(Table1[[#This Row],[AwayTeam]],Table2[Team], 0), 0)</f>
        <v>0-0-0</v>
      </c>
      <c r="AO261" s="64" t="str">
        <f>INDEX(Records!$B$2:$AG$33, MATCH(Table1[[#This Row],[AwayTeam]],Records!$A$2:$A$33, 0), MATCH(Table1[[#This Row],[HomeTeam]],Records!$A$2:$A$33, 0))</f>
        <v>0-0-0</v>
      </c>
      <c r="AP261" s="64" t="str">
        <f>INDEX(Table2[HOME_RECORD], MATCH(Table1[[#This Row],[HomeTeam]],Table2[Team], 0), 0)</f>
        <v>1-0-0</v>
      </c>
      <c r="AQ261" s="64" t="str">
        <f>INDEX(Records!$B$2:$AG$33, MATCH(Table1[[#This Row],[HomeTeam]],Records!$A$2:$A$33, 0), MATCH(Table1[[#This Row],[AwayTeam]],Records!$A$2:$A$33, 0))</f>
        <v>0-0-0</v>
      </c>
    </row>
    <row r="262" spans="1:43" x14ac:dyDescent="0.25">
      <c r="A262" s="1"/>
      <c r="D262" t="s">
        <v>468</v>
      </c>
      <c r="E262" t="s">
        <v>164</v>
      </c>
      <c r="F262" t="s">
        <v>481</v>
      </c>
      <c r="G262" t="s">
        <v>48</v>
      </c>
      <c r="H262" t="s">
        <v>41</v>
      </c>
      <c r="L26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6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62" s="1"/>
      <c r="T262" s="64" t="str">
        <f>IF(Table1[[#This Row],[ActualWinner]]="", "", IF(Table1[[#This Row],[AwayTeam]]=Table1[[#This Row],[ActualWinner]],Table1[[#This Row],[HomeTeam]],Table1[[#This Row],[AwayTeam]]))</f>
        <v/>
      </c>
      <c r="U262" s="64">
        <f>Table1[[#This Row],[ActualAwayScore]]-Table1[[#This Row],[PredictedAwayScore]]</f>
        <v>0</v>
      </c>
      <c r="V262" s="64">
        <f>Table1[[#This Row],[ActualHomeScore]]-Table1[[#This Row],[PredictedHomeScore]]</f>
        <v>0</v>
      </c>
      <c r="W262" s="64">
        <f>(0.8*IF(Table1[[#This Row],[CorrectWinnerPrediction]]=1, 1, 0))+(0.1*IF(Table1[[#This Row],[CorrectAwayScorePrediction]]=1, 1, 0))+(0.1*IF(Table1[[#This Row],[CorrectHomeScorePrediction]]=1, 1, 0))</f>
        <v>0</v>
      </c>
      <c r="X26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62" s="64">
        <f>SUMIF(Table1[GameDate], Table1[[#This Row],[GameDate]], Table1[AwayGameGoalDiff])</f>
        <v>0</v>
      </c>
      <c r="AA262" s="64">
        <f>SUMIF(Table1[GameDate], Table1[[#This Row],[GameDate]], Table1[HomeGameGoalDiff])</f>
        <v>0</v>
      </c>
      <c r="AB262" s="64">
        <f>IF(ISBLANK(Table1[[#This Row],[ActualResult]]), 0, 1)</f>
        <v>0</v>
      </c>
      <c r="AC262" s="64">
        <f>IF(ISBLANK(Table1[[#This Row],[ActualResult]]), 0, IF(Table1[[#This Row],[ActualWinner]]=Table1[[#This Row],[PredictedWinner]], 1, 0))</f>
        <v>0</v>
      </c>
      <c r="AD26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6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62" s="64">
        <f>IF(AND(Table1[[#This Row],[GameIsOver]]=1,Table1[[#This Row],[ActualAwayScore]]=0), 1,0)</f>
        <v>0</v>
      </c>
      <c r="AG262" s="64">
        <f>IF(AND(Table1[[#This Row],[GameIsOver]]=1,Table1[[#This Row],[ActualHomeScore]]=0), 1,0)</f>
        <v>0</v>
      </c>
      <c r="AH262" s="64">
        <f>IF(Table1[[#This Row],[GameIsOver]]=0,0,IF(Table1[[#This Row],[ActualWinner]]=Table1[[#This Row],[AwayTeam]], 1, 0))</f>
        <v>0</v>
      </c>
      <c r="AI262" s="64">
        <f>IF(Table1[[#This Row],[GameIsOver]]=0,0,IF(Table1[[#This Row],[ActualWinner]]=Table1[[#This Row],[HomeTeam]], 1, 0))</f>
        <v>0</v>
      </c>
      <c r="AJ262" s="64">
        <f>IF(INDEX(Standings!$A$2:$C$33,MATCH(Table1[[#This Row],[AwayTeam]],Standings!$A$2:$A$33,0),2)=INDEX(Standings!$A$2:$C$33,MATCH(Table1[[#This Row],[HomeTeam]],Standings!$A$2:$A$33,0),2),1,0)</f>
        <v>1</v>
      </c>
      <c r="AK262" s="64">
        <f>IF(INDEX(Standings!$A$2:$C$33,MATCH(Table1[[#This Row],[AwayTeam]],Standings!$A$2:$A$33,0),3)=INDEX(Standings!$A$2:$C$33,MATCH(Table1[[#This Row],[HomeTeam]],Standings!$A$2:$A$33,0),3),1,0)</f>
        <v>1</v>
      </c>
      <c r="AL262" s="64">
        <f>IF(Table1[[#This Row],[InterConf]]=1,IF(Table1[[#This Row],[InterDiv]]=0, 1, 0), 0)</f>
        <v>0</v>
      </c>
      <c r="AM262" s="64">
        <f>IF(INDEX(Standings!$A$2:$C$33,MATCH(Table1[[#This Row],[AwayTeam]],Standings!$A$2:$A$33,0),2)&lt;&gt;INDEX(Standings!$A$2:$C$33,MATCH(Table1[[#This Row],[HomeTeam]],Standings!$A$2:$A$33,0),2),1,0)</f>
        <v>0</v>
      </c>
      <c r="AN262" s="64" t="str">
        <f>INDEX(Table2[AWAY_RECORD], MATCH(Table1[[#This Row],[AwayTeam]],Table2[Team], 0), 0)</f>
        <v>0-0-0</v>
      </c>
      <c r="AO262" s="64" t="str">
        <f>INDEX(Records!$B$2:$AG$33, MATCH(Table1[[#This Row],[AwayTeam]],Records!$A$2:$A$33, 0), MATCH(Table1[[#This Row],[HomeTeam]],Records!$A$2:$A$33, 0))</f>
        <v>0-0-0</v>
      </c>
      <c r="AP262" s="64" t="str">
        <f>INDEX(Table2[HOME_RECORD], MATCH(Table1[[#This Row],[HomeTeam]],Table2[Team], 0), 0)</f>
        <v>0-0-1</v>
      </c>
      <c r="AQ262" s="64" t="str">
        <f>INDEX(Records!$B$2:$AG$33, MATCH(Table1[[#This Row],[HomeTeam]],Records!$A$2:$A$33, 0), MATCH(Table1[[#This Row],[AwayTeam]],Records!$A$2:$A$33, 0))</f>
        <v>0-0-0</v>
      </c>
    </row>
    <row r="263" spans="1:43" x14ac:dyDescent="0.25">
      <c r="A263" s="1"/>
      <c r="D263" t="s">
        <v>482</v>
      </c>
      <c r="E263" t="s">
        <v>162</v>
      </c>
      <c r="F263" t="s">
        <v>483</v>
      </c>
      <c r="G263" t="s">
        <v>42</v>
      </c>
      <c r="H263" t="s">
        <v>38</v>
      </c>
      <c r="L26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6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63" s="1"/>
      <c r="T263" s="64" t="str">
        <f>IF(Table1[[#This Row],[ActualWinner]]="", "", IF(Table1[[#This Row],[AwayTeam]]=Table1[[#This Row],[ActualWinner]],Table1[[#This Row],[HomeTeam]],Table1[[#This Row],[AwayTeam]]))</f>
        <v/>
      </c>
      <c r="U263" s="64">
        <f>Table1[[#This Row],[ActualAwayScore]]-Table1[[#This Row],[PredictedAwayScore]]</f>
        <v>0</v>
      </c>
      <c r="V263" s="64">
        <f>Table1[[#This Row],[ActualHomeScore]]-Table1[[#This Row],[PredictedHomeScore]]</f>
        <v>0</v>
      </c>
      <c r="W263" s="64">
        <f>(0.8*IF(Table1[[#This Row],[CorrectWinnerPrediction]]=1, 1, 0))+(0.1*IF(Table1[[#This Row],[CorrectAwayScorePrediction]]=1, 1, 0))+(0.1*IF(Table1[[#This Row],[CorrectHomeScorePrediction]]=1, 1, 0))</f>
        <v>0</v>
      </c>
      <c r="X26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63" s="64">
        <f>SUMIF(Table1[GameDate], Table1[[#This Row],[GameDate]], Table1[AwayGameGoalDiff])</f>
        <v>0</v>
      </c>
      <c r="AA263" s="64">
        <f>SUMIF(Table1[GameDate], Table1[[#This Row],[GameDate]], Table1[HomeGameGoalDiff])</f>
        <v>0</v>
      </c>
      <c r="AB263" s="64">
        <f>IF(ISBLANK(Table1[[#This Row],[ActualResult]]), 0, 1)</f>
        <v>0</v>
      </c>
      <c r="AC263" s="64">
        <f>IF(ISBLANK(Table1[[#This Row],[ActualResult]]), 0, IF(Table1[[#This Row],[ActualWinner]]=Table1[[#This Row],[PredictedWinner]], 1, 0))</f>
        <v>0</v>
      </c>
      <c r="AD26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6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63" s="64">
        <f>IF(AND(Table1[[#This Row],[GameIsOver]]=1,Table1[[#This Row],[ActualAwayScore]]=0), 1,0)</f>
        <v>0</v>
      </c>
      <c r="AG263" s="64">
        <f>IF(AND(Table1[[#This Row],[GameIsOver]]=1,Table1[[#This Row],[ActualHomeScore]]=0), 1,0)</f>
        <v>0</v>
      </c>
      <c r="AH263" s="64">
        <f>IF(Table1[[#This Row],[GameIsOver]]=0,0,IF(Table1[[#This Row],[ActualWinner]]=Table1[[#This Row],[AwayTeam]], 1, 0))</f>
        <v>0</v>
      </c>
      <c r="AI263" s="64">
        <f>IF(Table1[[#This Row],[GameIsOver]]=0,0,IF(Table1[[#This Row],[ActualWinner]]=Table1[[#This Row],[HomeTeam]], 1, 0))</f>
        <v>0</v>
      </c>
      <c r="AJ263" s="64">
        <f>IF(INDEX(Standings!$A$2:$C$33,MATCH(Table1[[#This Row],[AwayTeam]],Standings!$A$2:$A$33,0),2)=INDEX(Standings!$A$2:$C$33,MATCH(Table1[[#This Row],[HomeTeam]],Standings!$A$2:$A$33,0),2),1,0)</f>
        <v>1</v>
      </c>
      <c r="AK263" s="64">
        <f>IF(INDEX(Standings!$A$2:$C$33,MATCH(Table1[[#This Row],[AwayTeam]],Standings!$A$2:$A$33,0),3)=INDEX(Standings!$A$2:$C$33,MATCH(Table1[[#This Row],[HomeTeam]],Standings!$A$2:$A$33,0),3),1,0)</f>
        <v>0</v>
      </c>
      <c r="AL263" s="64">
        <f>IF(Table1[[#This Row],[InterConf]]=1,IF(Table1[[#This Row],[InterDiv]]=0, 1, 0), 0)</f>
        <v>1</v>
      </c>
      <c r="AM263" s="64">
        <f>IF(INDEX(Standings!$A$2:$C$33,MATCH(Table1[[#This Row],[AwayTeam]],Standings!$A$2:$A$33,0),2)&lt;&gt;INDEX(Standings!$A$2:$C$33,MATCH(Table1[[#This Row],[HomeTeam]],Standings!$A$2:$A$33,0),2),1,0)</f>
        <v>0</v>
      </c>
      <c r="AN263" s="64" t="str">
        <f>INDEX(Table2[AWAY_RECORD], MATCH(Table1[[#This Row],[AwayTeam]],Table2[Team], 0), 0)</f>
        <v>0-0-0</v>
      </c>
      <c r="AO263" s="64" t="str">
        <f>INDEX(Records!$B$2:$AG$33, MATCH(Table1[[#This Row],[AwayTeam]],Records!$A$2:$A$33, 0), MATCH(Table1[[#This Row],[HomeTeam]],Records!$A$2:$A$33, 0))</f>
        <v>1-0-0</v>
      </c>
      <c r="AP263" s="64" t="str">
        <f>INDEX(Table2[HOME_RECORD], MATCH(Table1[[#This Row],[HomeTeam]],Table2[Team], 0), 0)</f>
        <v>0-0-0</v>
      </c>
      <c r="AQ263" s="64" t="str">
        <f>INDEX(Records!$B$2:$AG$33, MATCH(Table1[[#This Row],[HomeTeam]],Records!$A$2:$A$33, 0), MATCH(Table1[[#This Row],[AwayTeam]],Records!$A$2:$A$33, 0))</f>
        <v>0-0-1</v>
      </c>
    </row>
    <row r="264" spans="1:43" x14ac:dyDescent="0.25">
      <c r="A264" s="1"/>
      <c r="D264" t="s">
        <v>482</v>
      </c>
      <c r="E264" t="s">
        <v>178</v>
      </c>
      <c r="F264" t="s">
        <v>484</v>
      </c>
      <c r="G264" t="s">
        <v>55</v>
      </c>
      <c r="H264" t="s">
        <v>22</v>
      </c>
      <c r="L26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6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64" s="1"/>
      <c r="T264" s="64" t="str">
        <f>IF(Table1[[#This Row],[ActualWinner]]="", "", IF(Table1[[#This Row],[AwayTeam]]=Table1[[#This Row],[ActualWinner]],Table1[[#This Row],[HomeTeam]],Table1[[#This Row],[AwayTeam]]))</f>
        <v/>
      </c>
      <c r="U264" s="64">
        <f>Table1[[#This Row],[ActualAwayScore]]-Table1[[#This Row],[PredictedAwayScore]]</f>
        <v>0</v>
      </c>
      <c r="V264" s="64">
        <f>Table1[[#This Row],[ActualHomeScore]]-Table1[[#This Row],[PredictedHomeScore]]</f>
        <v>0</v>
      </c>
      <c r="W264" s="64">
        <f>(0.8*IF(Table1[[#This Row],[CorrectWinnerPrediction]]=1, 1, 0))+(0.1*IF(Table1[[#This Row],[CorrectAwayScorePrediction]]=1, 1, 0))+(0.1*IF(Table1[[#This Row],[CorrectHomeScorePrediction]]=1, 1, 0))</f>
        <v>0</v>
      </c>
      <c r="X26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64" s="64">
        <f>SUMIF(Table1[GameDate], Table1[[#This Row],[GameDate]], Table1[AwayGameGoalDiff])</f>
        <v>0</v>
      </c>
      <c r="AA264" s="64">
        <f>SUMIF(Table1[GameDate], Table1[[#This Row],[GameDate]], Table1[HomeGameGoalDiff])</f>
        <v>0</v>
      </c>
      <c r="AB264" s="64">
        <f>IF(ISBLANK(Table1[[#This Row],[ActualResult]]), 0, 1)</f>
        <v>0</v>
      </c>
      <c r="AC264" s="64">
        <f>IF(ISBLANK(Table1[[#This Row],[ActualResult]]), 0, IF(Table1[[#This Row],[ActualWinner]]=Table1[[#This Row],[PredictedWinner]], 1, 0))</f>
        <v>0</v>
      </c>
      <c r="AD26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6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64" s="64">
        <f>IF(AND(Table1[[#This Row],[GameIsOver]]=1,Table1[[#This Row],[ActualAwayScore]]=0), 1,0)</f>
        <v>0</v>
      </c>
      <c r="AG264" s="64">
        <f>IF(AND(Table1[[#This Row],[GameIsOver]]=1,Table1[[#This Row],[ActualHomeScore]]=0), 1,0)</f>
        <v>0</v>
      </c>
      <c r="AH264" s="64">
        <f>IF(Table1[[#This Row],[GameIsOver]]=0,0,IF(Table1[[#This Row],[ActualWinner]]=Table1[[#This Row],[AwayTeam]], 1, 0))</f>
        <v>0</v>
      </c>
      <c r="AI264" s="64">
        <f>IF(Table1[[#This Row],[GameIsOver]]=0,0,IF(Table1[[#This Row],[ActualWinner]]=Table1[[#This Row],[HomeTeam]], 1, 0))</f>
        <v>0</v>
      </c>
      <c r="AJ264" s="64">
        <f>IF(INDEX(Standings!$A$2:$C$33,MATCH(Table1[[#This Row],[AwayTeam]],Standings!$A$2:$A$33,0),2)=INDEX(Standings!$A$2:$C$33,MATCH(Table1[[#This Row],[HomeTeam]],Standings!$A$2:$A$33,0),2),1,0)</f>
        <v>1</v>
      </c>
      <c r="AK264" s="64">
        <f>IF(INDEX(Standings!$A$2:$C$33,MATCH(Table1[[#This Row],[AwayTeam]],Standings!$A$2:$A$33,0),3)=INDEX(Standings!$A$2:$C$33,MATCH(Table1[[#This Row],[HomeTeam]],Standings!$A$2:$A$33,0),3),1,0)</f>
        <v>0</v>
      </c>
      <c r="AL264" s="64">
        <f>IF(Table1[[#This Row],[InterConf]]=1,IF(Table1[[#This Row],[InterDiv]]=0, 1, 0), 0)</f>
        <v>1</v>
      </c>
      <c r="AM264" s="64">
        <f>IF(INDEX(Standings!$A$2:$C$33,MATCH(Table1[[#This Row],[AwayTeam]],Standings!$A$2:$A$33,0),2)&lt;&gt;INDEX(Standings!$A$2:$C$33,MATCH(Table1[[#This Row],[HomeTeam]],Standings!$A$2:$A$33,0),2),1,0)</f>
        <v>0</v>
      </c>
      <c r="AN264" s="64" t="str">
        <f>INDEX(Table2[AWAY_RECORD], MATCH(Table1[[#This Row],[AwayTeam]],Table2[Team], 0), 0)</f>
        <v>0-0-0</v>
      </c>
      <c r="AO264" s="64" t="str">
        <f>INDEX(Records!$B$2:$AG$33, MATCH(Table1[[#This Row],[AwayTeam]],Records!$A$2:$A$33, 0), MATCH(Table1[[#This Row],[HomeTeam]],Records!$A$2:$A$33, 0))</f>
        <v>0-0-0</v>
      </c>
      <c r="AP264" s="64" t="str">
        <f>INDEX(Table2[HOME_RECORD], MATCH(Table1[[#This Row],[HomeTeam]],Table2[Team], 0), 0)</f>
        <v>0-0-0</v>
      </c>
      <c r="AQ264" s="64" t="str">
        <f>INDEX(Records!$B$2:$AG$33, MATCH(Table1[[#This Row],[HomeTeam]],Records!$A$2:$A$33, 0), MATCH(Table1[[#This Row],[AwayTeam]],Records!$A$2:$A$33, 0))</f>
        <v>0-0-0</v>
      </c>
    </row>
    <row r="265" spans="1:43" x14ac:dyDescent="0.25">
      <c r="A265" s="1"/>
      <c r="D265" t="s">
        <v>482</v>
      </c>
      <c r="E265" t="s">
        <v>178</v>
      </c>
      <c r="F265" t="s">
        <v>485</v>
      </c>
      <c r="G265" t="s">
        <v>36</v>
      </c>
      <c r="H265" t="s">
        <v>39</v>
      </c>
      <c r="L26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6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65" s="1"/>
      <c r="T265" s="64" t="str">
        <f>IF(Table1[[#This Row],[ActualWinner]]="", "", IF(Table1[[#This Row],[AwayTeam]]=Table1[[#This Row],[ActualWinner]],Table1[[#This Row],[HomeTeam]],Table1[[#This Row],[AwayTeam]]))</f>
        <v/>
      </c>
      <c r="U265" s="64">
        <f>Table1[[#This Row],[ActualAwayScore]]-Table1[[#This Row],[PredictedAwayScore]]</f>
        <v>0</v>
      </c>
      <c r="V265" s="64">
        <f>Table1[[#This Row],[ActualHomeScore]]-Table1[[#This Row],[PredictedHomeScore]]</f>
        <v>0</v>
      </c>
      <c r="W265" s="64">
        <f>(0.8*IF(Table1[[#This Row],[CorrectWinnerPrediction]]=1, 1, 0))+(0.1*IF(Table1[[#This Row],[CorrectAwayScorePrediction]]=1, 1, 0))+(0.1*IF(Table1[[#This Row],[CorrectHomeScorePrediction]]=1, 1, 0))</f>
        <v>0</v>
      </c>
      <c r="X26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65" s="64">
        <f>SUMIF(Table1[GameDate], Table1[[#This Row],[GameDate]], Table1[AwayGameGoalDiff])</f>
        <v>0</v>
      </c>
      <c r="AA265" s="64">
        <f>SUMIF(Table1[GameDate], Table1[[#This Row],[GameDate]], Table1[HomeGameGoalDiff])</f>
        <v>0</v>
      </c>
      <c r="AB265" s="64">
        <f>IF(ISBLANK(Table1[[#This Row],[ActualResult]]), 0, 1)</f>
        <v>0</v>
      </c>
      <c r="AC265" s="64">
        <f>IF(ISBLANK(Table1[[#This Row],[ActualResult]]), 0, IF(Table1[[#This Row],[ActualWinner]]=Table1[[#This Row],[PredictedWinner]], 1, 0))</f>
        <v>0</v>
      </c>
      <c r="AD26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6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65" s="64">
        <f>IF(AND(Table1[[#This Row],[GameIsOver]]=1,Table1[[#This Row],[ActualAwayScore]]=0), 1,0)</f>
        <v>0</v>
      </c>
      <c r="AG265" s="64">
        <f>IF(AND(Table1[[#This Row],[GameIsOver]]=1,Table1[[#This Row],[ActualHomeScore]]=0), 1,0)</f>
        <v>0</v>
      </c>
      <c r="AH265" s="64">
        <f>IF(Table1[[#This Row],[GameIsOver]]=0,0,IF(Table1[[#This Row],[ActualWinner]]=Table1[[#This Row],[AwayTeam]], 1, 0))</f>
        <v>0</v>
      </c>
      <c r="AI265" s="64">
        <f>IF(Table1[[#This Row],[GameIsOver]]=0,0,IF(Table1[[#This Row],[ActualWinner]]=Table1[[#This Row],[HomeTeam]], 1, 0))</f>
        <v>0</v>
      </c>
      <c r="AJ265" s="64">
        <f>IF(INDEX(Standings!$A$2:$C$33,MATCH(Table1[[#This Row],[AwayTeam]],Standings!$A$2:$A$33,0),2)=INDEX(Standings!$A$2:$C$33,MATCH(Table1[[#This Row],[HomeTeam]],Standings!$A$2:$A$33,0),2),1,0)</f>
        <v>1</v>
      </c>
      <c r="AK265" s="64">
        <f>IF(INDEX(Standings!$A$2:$C$33,MATCH(Table1[[#This Row],[AwayTeam]],Standings!$A$2:$A$33,0),3)=INDEX(Standings!$A$2:$C$33,MATCH(Table1[[#This Row],[HomeTeam]],Standings!$A$2:$A$33,0),3),1,0)</f>
        <v>1</v>
      </c>
      <c r="AL265" s="64">
        <f>IF(Table1[[#This Row],[InterConf]]=1,IF(Table1[[#This Row],[InterDiv]]=0, 1, 0), 0)</f>
        <v>0</v>
      </c>
      <c r="AM265" s="64">
        <f>IF(INDEX(Standings!$A$2:$C$33,MATCH(Table1[[#This Row],[AwayTeam]],Standings!$A$2:$A$33,0),2)&lt;&gt;INDEX(Standings!$A$2:$C$33,MATCH(Table1[[#This Row],[HomeTeam]],Standings!$A$2:$A$33,0),2),1,0)</f>
        <v>0</v>
      </c>
      <c r="AN265" s="64" t="str">
        <f>INDEX(Table2[AWAY_RECORD], MATCH(Table1[[#This Row],[AwayTeam]],Table2[Team], 0), 0)</f>
        <v>0-0-0</v>
      </c>
      <c r="AO265" s="64" t="str">
        <f>INDEX(Records!$B$2:$AG$33, MATCH(Table1[[#This Row],[AwayTeam]],Records!$A$2:$A$33, 0), MATCH(Table1[[#This Row],[HomeTeam]],Records!$A$2:$A$33, 0))</f>
        <v>0-0-0</v>
      </c>
      <c r="AP265" s="64" t="str">
        <f>INDEX(Table2[HOME_RECORD], MATCH(Table1[[#This Row],[HomeTeam]],Table2[Team], 0), 0)</f>
        <v>0-1-0</v>
      </c>
      <c r="AQ265" s="64" t="str">
        <f>INDEX(Records!$B$2:$AG$33, MATCH(Table1[[#This Row],[HomeTeam]],Records!$A$2:$A$33, 0), MATCH(Table1[[#This Row],[AwayTeam]],Records!$A$2:$A$33, 0))</f>
        <v>0-0-0</v>
      </c>
    </row>
    <row r="266" spans="1:43" x14ac:dyDescent="0.25">
      <c r="A266" s="1"/>
      <c r="D266" t="s">
        <v>486</v>
      </c>
      <c r="E266" t="s">
        <v>487</v>
      </c>
      <c r="F266" t="s">
        <v>488</v>
      </c>
      <c r="G266" t="s">
        <v>17</v>
      </c>
      <c r="H266" t="s">
        <v>59</v>
      </c>
      <c r="L26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6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66" s="1"/>
      <c r="T266" s="64" t="str">
        <f>IF(Table1[[#This Row],[ActualWinner]]="", "", IF(Table1[[#This Row],[AwayTeam]]=Table1[[#This Row],[ActualWinner]],Table1[[#This Row],[HomeTeam]],Table1[[#This Row],[AwayTeam]]))</f>
        <v/>
      </c>
      <c r="U266" s="64">
        <f>Table1[[#This Row],[ActualAwayScore]]-Table1[[#This Row],[PredictedAwayScore]]</f>
        <v>0</v>
      </c>
      <c r="V266" s="64">
        <f>Table1[[#This Row],[ActualHomeScore]]-Table1[[#This Row],[PredictedHomeScore]]</f>
        <v>0</v>
      </c>
      <c r="W266" s="64">
        <f>(0.8*IF(Table1[[#This Row],[CorrectWinnerPrediction]]=1, 1, 0))+(0.1*IF(Table1[[#This Row],[CorrectAwayScorePrediction]]=1, 1, 0))+(0.1*IF(Table1[[#This Row],[CorrectHomeScorePrediction]]=1, 1, 0))</f>
        <v>0</v>
      </c>
      <c r="X26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66" s="64">
        <f>SUMIF(Table1[GameDate], Table1[[#This Row],[GameDate]], Table1[AwayGameGoalDiff])</f>
        <v>0</v>
      </c>
      <c r="AA266" s="64">
        <f>SUMIF(Table1[GameDate], Table1[[#This Row],[GameDate]], Table1[HomeGameGoalDiff])</f>
        <v>0</v>
      </c>
      <c r="AB266" s="64">
        <f>IF(ISBLANK(Table1[[#This Row],[ActualResult]]), 0, 1)</f>
        <v>0</v>
      </c>
      <c r="AC266" s="64">
        <f>IF(ISBLANK(Table1[[#This Row],[ActualResult]]), 0, IF(Table1[[#This Row],[ActualWinner]]=Table1[[#This Row],[PredictedWinner]], 1, 0))</f>
        <v>0</v>
      </c>
      <c r="AD26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6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66" s="64">
        <f>IF(AND(Table1[[#This Row],[GameIsOver]]=1,Table1[[#This Row],[ActualAwayScore]]=0), 1,0)</f>
        <v>0</v>
      </c>
      <c r="AG266" s="64">
        <f>IF(AND(Table1[[#This Row],[GameIsOver]]=1,Table1[[#This Row],[ActualHomeScore]]=0), 1,0)</f>
        <v>0</v>
      </c>
      <c r="AH266" s="64">
        <f>IF(Table1[[#This Row],[GameIsOver]]=0,0,IF(Table1[[#This Row],[ActualWinner]]=Table1[[#This Row],[AwayTeam]], 1, 0))</f>
        <v>0</v>
      </c>
      <c r="AI266" s="64">
        <f>IF(Table1[[#This Row],[GameIsOver]]=0,0,IF(Table1[[#This Row],[ActualWinner]]=Table1[[#This Row],[HomeTeam]], 1, 0))</f>
        <v>0</v>
      </c>
      <c r="AJ266" s="64">
        <f>IF(INDEX(Standings!$A$2:$C$33,MATCH(Table1[[#This Row],[AwayTeam]],Standings!$A$2:$A$33,0),2)=INDEX(Standings!$A$2:$C$33,MATCH(Table1[[#This Row],[HomeTeam]],Standings!$A$2:$A$33,0),2),1,0)</f>
        <v>1</v>
      </c>
      <c r="AK266" s="64">
        <f>IF(INDEX(Standings!$A$2:$C$33,MATCH(Table1[[#This Row],[AwayTeam]],Standings!$A$2:$A$33,0),3)=INDEX(Standings!$A$2:$C$33,MATCH(Table1[[#This Row],[HomeTeam]],Standings!$A$2:$A$33,0),3),1,0)</f>
        <v>0</v>
      </c>
      <c r="AL266" s="64">
        <f>IF(Table1[[#This Row],[InterConf]]=1,IF(Table1[[#This Row],[InterDiv]]=0, 1, 0), 0)</f>
        <v>1</v>
      </c>
      <c r="AM266" s="64">
        <f>IF(INDEX(Standings!$A$2:$C$33,MATCH(Table1[[#This Row],[AwayTeam]],Standings!$A$2:$A$33,0),2)&lt;&gt;INDEX(Standings!$A$2:$C$33,MATCH(Table1[[#This Row],[HomeTeam]],Standings!$A$2:$A$33,0),2),1,0)</f>
        <v>0</v>
      </c>
      <c r="AN266" s="64" t="str">
        <f>INDEX(Table2[AWAY_RECORD], MATCH(Table1[[#This Row],[AwayTeam]],Table2[Team], 0), 0)</f>
        <v>2-0-0</v>
      </c>
      <c r="AO266" s="64" t="str">
        <f>INDEX(Records!$B$2:$AG$33, MATCH(Table1[[#This Row],[AwayTeam]],Records!$A$2:$A$33, 0), MATCH(Table1[[#This Row],[HomeTeam]],Records!$A$2:$A$33, 0))</f>
        <v>0-0-0</v>
      </c>
      <c r="AP266" s="64" t="str">
        <f>INDEX(Table2[HOME_RECORD], MATCH(Table1[[#This Row],[HomeTeam]],Table2[Team], 0), 0)</f>
        <v>0-0-0</v>
      </c>
      <c r="AQ266" s="64" t="str">
        <f>INDEX(Records!$B$2:$AG$33, MATCH(Table1[[#This Row],[HomeTeam]],Records!$A$2:$A$33, 0), MATCH(Table1[[#This Row],[AwayTeam]],Records!$A$2:$A$33, 0))</f>
        <v>0-0-0</v>
      </c>
    </row>
    <row r="267" spans="1:43" x14ac:dyDescent="0.25">
      <c r="A267" s="1"/>
      <c r="D267" t="s">
        <v>486</v>
      </c>
      <c r="E267" t="s">
        <v>489</v>
      </c>
      <c r="F267" t="s">
        <v>490</v>
      </c>
      <c r="G267" t="s">
        <v>61</v>
      </c>
      <c r="H267" t="s">
        <v>48</v>
      </c>
      <c r="L26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6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67" s="1"/>
      <c r="T267" s="64" t="str">
        <f>IF(Table1[[#This Row],[ActualWinner]]="", "", IF(Table1[[#This Row],[AwayTeam]]=Table1[[#This Row],[ActualWinner]],Table1[[#This Row],[HomeTeam]],Table1[[#This Row],[AwayTeam]]))</f>
        <v/>
      </c>
      <c r="U267" s="64">
        <f>Table1[[#This Row],[ActualAwayScore]]-Table1[[#This Row],[PredictedAwayScore]]</f>
        <v>0</v>
      </c>
      <c r="V267" s="64">
        <f>Table1[[#This Row],[ActualHomeScore]]-Table1[[#This Row],[PredictedHomeScore]]</f>
        <v>0</v>
      </c>
      <c r="W267" s="64">
        <f>(0.8*IF(Table1[[#This Row],[CorrectWinnerPrediction]]=1, 1, 0))+(0.1*IF(Table1[[#This Row],[CorrectAwayScorePrediction]]=1, 1, 0))+(0.1*IF(Table1[[#This Row],[CorrectHomeScorePrediction]]=1, 1, 0))</f>
        <v>0</v>
      </c>
      <c r="X26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67" s="64">
        <f>SUMIF(Table1[GameDate], Table1[[#This Row],[GameDate]], Table1[AwayGameGoalDiff])</f>
        <v>0</v>
      </c>
      <c r="AA267" s="64">
        <f>SUMIF(Table1[GameDate], Table1[[#This Row],[GameDate]], Table1[HomeGameGoalDiff])</f>
        <v>0</v>
      </c>
      <c r="AB267" s="64">
        <f>IF(ISBLANK(Table1[[#This Row],[ActualResult]]), 0, 1)</f>
        <v>0</v>
      </c>
      <c r="AC267" s="64">
        <f>IF(ISBLANK(Table1[[#This Row],[ActualResult]]), 0, IF(Table1[[#This Row],[ActualWinner]]=Table1[[#This Row],[PredictedWinner]], 1, 0))</f>
        <v>0</v>
      </c>
      <c r="AD26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6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67" s="64">
        <f>IF(AND(Table1[[#This Row],[GameIsOver]]=1,Table1[[#This Row],[ActualAwayScore]]=0), 1,0)</f>
        <v>0</v>
      </c>
      <c r="AG267" s="64">
        <f>IF(AND(Table1[[#This Row],[GameIsOver]]=1,Table1[[#This Row],[ActualHomeScore]]=0), 1,0)</f>
        <v>0</v>
      </c>
      <c r="AH267" s="64">
        <f>IF(Table1[[#This Row],[GameIsOver]]=0,0,IF(Table1[[#This Row],[ActualWinner]]=Table1[[#This Row],[AwayTeam]], 1, 0))</f>
        <v>0</v>
      </c>
      <c r="AI267" s="64">
        <f>IF(Table1[[#This Row],[GameIsOver]]=0,0,IF(Table1[[#This Row],[ActualWinner]]=Table1[[#This Row],[HomeTeam]], 1, 0))</f>
        <v>0</v>
      </c>
      <c r="AJ267" s="64">
        <f>IF(INDEX(Standings!$A$2:$C$33,MATCH(Table1[[#This Row],[AwayTeam]],Standings!$A$2:$A$33,0),2)=INDEX(Standings!$A$2:$C$33,MATCH(Table1[[#This Row],[HomeTeam]],Standings!$A$2:$A$33,0),2),1,0)</f>
        <v>1</v>
      </c>
      <c r="AK267" s="64">
        <f>IF(INDEX(Standings!$A$2:$C$33,MATCH(Table1[[#This Row],[AwayTeam]],Standings!$A$2:$A$33,0),3)=INDEX(Standings!$A$2:$C$33,MATCH(Table1[[#This Row],[HomeTeam]],Standings!$A$2:$A$33,0),3),1,0)</f>
        <v>1</v>
      </c>
      <c r="AL267" s="64">
        <f>IF(Table1[[#This Row],[InterConf]]=1,IF(Table1[[#This Row],[InterDiv]]=0, 1, 0), 0)</f>
        <v>0</v>
      </c>
      <c r="AM267" s="64">
        <f>IF(INDEX(Standings!$A$2:$C$33,MATCH(Table1[[#This Row],[AwayTeam]],Standings!$A$2:$A$33,0),2)&lt;&gt;INDEX(Standings!$A$2:$C$33,MATCH(Table1[[#This Row],[HomeTeam]],Standings!$A$2:$A$33,0),2),1,0)</f>
        <v>0</v>
      </c>
      <c r="AN267" s="64" t="str">
        <f>INDEX(Table2[AWAY_RECORD], MATCH(Table1[[#This Row],[AwayTeam]],Table2[Team], 0), 0)</f>
        <v>0-0-0</v>
      </c>
      <c r="AO267" s="64" t="str">
        <f>INDEX(Records!$B$2:$AG$33, MATCH(Table1[[#This Row],[AwayTeam]],Records!$A$2:$A$33, 0), MATCH(Table1[[#This Row],[HomeTeam]],Records!$A$2:$A$33, 0))</f>
        <v>0-0-0</v>
      </c>
      <c r="AP267" s="64" t="str">
        <f>INDEX(Table2[HOME_RECORD], MATCH(Table1[[#This Row],[HomeTeam]],Table2[Team], 0), 0)</f>
        <v>1-0-0</v>
      </c>
      <c r="AQ267" s="64" t="str">
        <f>INDEX(Records!$B$2:$AG$33, MATCH(Table1[[#This Row],[HomeTeam]],Records!$A$2:$A$33, 0), MATCH(Table1[[#This Row],[AwayTeam]],Records!$A$2:$A$33, 0))</f>
        <v>0-0-0</v>
      </c>
    </row>
    <row r="268" spans="1:43" x14ac:dyDescent="0.25">
      <c r="A268" s="1"/>
      <c r="D268" t="s">
        <v>486</v>
      </c>
      <c r="E268" t="s">
        <v>207</v>
      </c>
      <c r="F268" t="s">
        <v>491</v>
      </c>
      <c r="G268" t="s">
        <v>51</v>
      </c>
      <c r="H268" t="s">
        <v>56</v>
      </c>
      <c r="L26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6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68" s="1"/>
      <c r="T268" s="64" t="str">
        <f>IF(Table1[[#This Row],[ActualWinner]]="", "", IF(Table1[[#This Row],[AwayTeam]]=Table1[[#This Row],[ActualWinner]],Table1[[#This Row],[HomeTeam]],Table1[[#This Row],[AwayTeam]]))</f>
        <v/>
      </c>
      <c r="U268" s="64">
        <f>Table1[[#This Row],[ActualAwayScore]]-Table1[[#This Row],[PredictedAwayScore]]</f>
        <v>0</v>
      </c>
      <c r="V268" s="64">
        <f>Table1[[#This Row],[ActualHomeScore]]-Table1[[#This Row],[PredictedHomeScore]]</f>
        <v>0</v>
      </c>
      <c r="W268" s="64">
        <f>(0.8*IF(Table1[[#This Row],[CorrectWinnerPrediction]]=1, 1, 0))+(0.1*IF(Table1[[#This Row],[CorrectAwayScorePrediction]]=1, 1, 0))+(0.1*IF(Table1[[#This Row],[CorrectHomeScorePrediction]]=1, 1, 0))</f>
        <v>0</v>
      </c>
      <c r="X26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68" s="64">
        <f>SUMIF(Table1[GameDate], Table1[[#This Row],[GameDate]], Table1[AwayGameGoalDiff])</f>
        <v>0</v>
      </c>
      <c r="AA268" s="64">
        <f>SUMIF(Table1[GameDate], Table1[[#This Row],[GameDate]], Table1[HomeGameGoalDiff])</f>
        <v>0</v>
      </c>
      <c r="AB268" s="64">
        <f>IF(ISBLANK(Table1[[#This Row],[ActualResult]]), 0, 1)</f>
        <v>0</v>
      </c>
      <c r="AC268" s="64">
        <f>IF(ISBLANK(Table1[[#This Row],[ActualResult]]), 0, IF(Table1[[#This Row],[ActualWinner]]=Table1[[#This Row],[PredictedWinner]], 1, 0))</f>
        <v>0</v>
      </c>
      <c r="AD26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6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68" s="64">
        <f>IF(AND(Table1[[#This Row],[GameIsOver]]=1,Table1[[#This Row],[ActualAwayScore]]=0), 1,0)</f>
        <v>0</v>
      </c>
      <c r="AG268" s="64">
        <f>IF(AND(Table1[[#This Row],[GameIsOver]]=1,Table1[[#This Row],[ActualHomeScore]]=0), 1,0)</f>
        <v>0</v>
      </c>
      <c r="AH268" s="64">
        <f>IF(Table1[[#This Row],[GameIsOver]]=0,0,IF(Table1[[#This Row],[ActualWinner]]=Table1[[#This Row],[AwayTeam]], 1, 0))</f>
        <v>0</v>
      </c>
      <c r="AI268" s="64">
        <f>IF(Table1[[#This Row],[GameIsOver]]=0,0,IF(Table1[[#This Row],[ActualWinner]]=Table1[[#This Row],[HomeTeam]], 1, 0))</f>
        <v>0</v>
      </c>
      <c r="AJ268" s="64">
        <f>IF(INDEX(Standings!$A$2:$C$33,MATCH(Table1[[#This Row],[AwayTeam]],Standings!$A$2:$A$33,0),2)=INDEX(Standings!$A$2:$C$33,MATCH(Table1[[#This Row],[HomeTeam]],Standings!$A$2:$A$33,0),2),1,0)</f>
        <v>0</v>
      </c>
      <c r="AK268" s="64">
        <f>IF(INDEX(Standings!$A$2:$C$33,MATCH(Table1[[#This Row],[AwayTeam]],Standings!$A$2:$A$33,0),3)=INDEX(Standings!$A$2:$C$33,MATCH(Table1[[#This Row],[HomeTeam]],Standings!$A$2:$A$33,0),3),1,0)</f>
        <v>0</v>
      </c>
      <c r="AL268" s="64">
        <f>IF(Table1[[#This Row],[InterConf]]=1,IF(Table1[[#This Row],[InterDiv]]=0, 1, 0), 0)</f>
        <v>0</v>
      </c>
      <c r="AM268" s="64">
        <f>IF(INDEX(Standings!$A$2:$C$33,MATCH(Table1[[#This Row],[AwayTeam]],Standings!$A$2:$A$33,0),2)&lt;&gt;INDEX(Standings!$A$2:$C$33,MATCH(Table1[[#This Row],[HomeTeam]],Standings!$A$2:$A$33,0),2),1,0)</f>
        <v>1</v>
      </c>
      <c r="AN268" s="64" t="str">
        <f>INDEX(Table2[AWAY_RECORD], MATCH(Table1[[#This Row],[AwayTeam]],Table2[Team], 0), 0)</f>
        <v>2-0-0</v>
      </c>
      <c r="AO268" s="64" t="str">
        <f>INDEX(Records!$B$2:$AG$33, MATCH(Table1[[#This Row],[AwayTeam]],Records!$A$2:$A$33, 0), MATCH(Table1[[#This Row],[HomeTeam]],Records!$A$2:$A$33, 0))</f>
        <v>0-0-0</v>
      </c>
      <c r="AP268" s="64" t="str">
        <f>INDEX(Table2[HOME_RECORD], MATCH(Table1[[#This Row],[HomeTeam]],Table2[Team], 0), 0)</f>
        <v>0-0-0</v>
      </c>
      <c r="AQ268" s="64" t="str">
        <f>INDEX(Records!$B$2:$AG$33, MATCH(Table1[[#This Row],[HomeTeam]],Records!$A$2:$A$33, 0), MATCH(Table1[[#This Row],[AwayTeam]],Records!$A$2:$A$33, 0))</f>
        <v>0-0-0</v>
      </c>
    </row>
    <row r="269" spans="1:43" x14ac:dyDescent="0.25">
      <c r="A269" s="1"/>
      <c r="D269" t="s">
        <v>486</v>
      </c>
      <c r="E269" t="s">
        <v>162</v>
      </c>
      <c r="F269" t="s">
        <v>492</v>
      </c>
      <c r="G269" t="s">
        <v>47</v>
      </c>
      <c r="H269" t="s">
        <v>24</v>
      </c>
      <c r="L26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6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69" s="1"/>
      <c r="T269" s="64" t="str">
        <f>IF(Table1[[#This Row],[ActualWinner]]="", "", IF(Table1[[#This Row],[AwayTeam]]=Table1[[#This Row],[ActualWinner]],Table1[[#This Row],[HomeTeam]],Table1[[#This Row],[AwayTeam]]))</f>
        <v/>
      </c>
      <c r="U269" s="64">
        <f>Table1[[#This Row],[ActualAwayScore]]-Table1[[#This Row],[PredictedAwayScore]]</f>
        <v>0</v>
      </c>
      <c r="V269" s="64">
        <f>Table1[[#This Row],[ActualHomeScore]]-Table1[[#This Row],[PredictedHomeScore]]</f>
        <v>0</v>
      </c>
      <c r="W269" s="64">
        <f>(0.8*IF(Table1[[#This Row],[CorrectWinnerPrediction]]=1, 1, 0))+(0.1*IF(Table1[[#This Row],[CorrectAwayScorePrediction]]=1, 1, 0))+(0.1*IF(Table1[[#This Row],[CorrectHomeScorePrediction]]=1, 1, 0))</f>
        <v>0</v>
      </c>
      <c r="X26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69" s="64">
        <f>SUMIF(Table1[GameDate], Table1[[#This Row],[GameDate]], Table1[AwayGameGoalDiff])</f>
        <v>0</v>
      </c>
      <c r="AA269" s="64">
        <f>SUMIF(Table1[GameDate], Table1[[#This Row],[GameDate]], Table1[HomeGameGoalDiff])</f>
        <v>0</v>
      </c>
      <c r="AB269" s="64">
        <f>IF(ISBLANK(Table1[[#This Row],[ActualResult]]), 0, 1)</f>
        <v>0</v>
      </c>
      <c r="AC269" s="64">
        <f>IF(ISBLANK(Table1[[#This Row],[ActualResult]]), 0, IF(Table1[[#This Row],[ActualWinner]]=Table1[[#This Row],[PredictedWinner]], 1, 0))</f>
        <v>0</v>
      </c>
      <c r="AD26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6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69" s="64">
        <f>IF(AND(Table1[[#This Row],[GameIsOver]]=1,Table1[[#This Row],[ActualAwayScore]]=0), 1,0)</f>
        <v>0</v>
      </c>
      <c r="AG269" s="64">
        <f>IF(AND(Table1[[#This Row],[GameIsOver]]=1,Table1[[#This Row],[ActualHomeScore]]=0), 1,0)</f>
        <v>0</v>
      </c>
      <c r="AH269" s="64">
        <f>IF(Table1[[#This Row],[GameIsOver]]=0,0,IF(Table1[[#This Row],[ActualWinner]]=Table1[[#This Row],[AwayTeam]], 1, 0))</f>
        <v>0</v>
      </c>
      <c r="AI269" s="64">
        <f>IF(Table1[[#This Row],[GameIsOver]]=0,0,IF(Table1[[#This Row],[ActualWinner]]=Table1[[#This Row],[HomeTeam]], 1, 0))</f>
        <v>0</v>
      </c>
      <c r="AJ269" s="64">
        <f>IF(INDEX(Standings!$A$2:$C$33,MATCH(Table1[[#This Row],[AwayTeam]],Standings!$A$2:$A$33,0),2)=INDEX(Standings!$A$2:$C$33,MATCH(Table1[[#This Row],[HomeTeam]],Standings!$A$2:$A$33,0),2),1,0)</f>
        <v>1</v>
      </c>
      <c r="AK269" s="64">
        <f>IF(INDEX(Standings!$A$2:$C$33,MATCH(Table1[[#This Row],[AwayTeam]],Standings!$A$2:$A$33,0),3)=INDEX(Standings!$A$2:$C$33,MATCH(Table1[[#This Row],[HomeTeam]],Standings!$A$2:$A$33,0),3),1,0)</f>
        <v>1</v>
      </c>
      <c r="AL269" s="64">
        <f>IF(Table1[[#This Row],[InterConf]]=1,IF(Table1[[#This Row],[InterDiv]]=0, 1, 0), 0)</f>
        <v>0</v>
      </c>
      <c r="AM269" s="64">
        <f>IF(INDEX(Standings!$A$2:$C$33,MATCH(Table1[[#This Row],[AwayTeam]],Standings!$A$2:$A$33,0),2)&lt;&gt;INDEX(Standings!$A$2:$C$33,MATCH(Table1[[#This Row],[HomeTeam]],Standings!$A$2:$A$33,0),2),1,0)</f>
        <v>0</v>
      </c>
      <c r="AN269" s="64" t="str">
        <f>INDEX(Table2[AWAY_RECORD], MATCH(Table1[[#This Row],[AwayTeam]],Table2[Team], 0), 0)</f>
        <v>1-0-0</v>
      </c>
      <c r="AO269" s="64" t="str">
        <f>INDEX(Records!$B$2:$AG$33, MATCH(Table1[[#This Row],[AwayTeam]],Records!$A$2:$A$33, 0), MATCH(Table1[[#This Row],[HomeTeam]],Records!$A$2:$A$33, 0))</f>
        <v>1-0-0</v>
      </c>
      <c r="AP269" s="64" t="str">
        <f>INDEX(Table2[HOME_RECORD], MATCH(Table1[[#This Row],[HomeTeam]],Table2[Team], 0), 0)</f>
        <v>0-2-0</v>
      </c>
      <c r="AQ269" s="64" t="str">
        <f>INDEX(Records!$B$2:$AG$33, MATCH(Table1[[#This Row],[HomeTeam]],Records!$A$2:$A$33, 0), MATCH(Table1[[#This Row],[AwayTeam]],Records!$A$2:$A$33, 0))</f>
        <v>0-1-0</v>
      </c>
    </row>
    <row r="270" spans="1:43" x14ac:dyDescent="0.25">
      <c r="A270" s="1"/>
      <c r="D270" t="s">
        <v>486</v>
      </c>
      <c r="E270" t="s">
        <v>162</v>
      </c>
      <c r="F270" t="s">
        <v>493</v>
      </c>
      <c r="G270" t="s">
        <v>58</v>
      </c>
      <c r="H270" t="s">
        <v>52</v>
      </c>
      <c r="L27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7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70" s="1"/>
      <c r="T270" s="64" t="str">
        <f>IF(Table1[[#This Row],[ActualWinner]]="", "", IF(Table1[[#This Row],[AwayTeam]]=Table1[[#This Row],[ActualWinner]],Table1[[#This Row],[HomeTeam]],Table1[[#This Row],[AwayTeam]]))</f>
        <v/>
      </c>
      <c r="U270" s="64">
        <f>Table1[[#This Row],[ActualAwayScore]]-Table1[[#This Row],[PredictedAwayScore]]</f>
        <v>0</v>
      </c>
      <c r="V270" s="64">
        <f>Table1[[#This Row],[ActualHomeScore]]-Table1[[#This Row],[PredictedHomeScore]]</f>
        <v>0</v>
      </c>
      <c r="W270" s="64">
        <f>(0.8*IF(Table1[[#This Row],[CorrectWinnerPrediction]]=1, 1, 0))+(0.1*IF(Table1[[#This Row],[CorrectAwayScorePrediction]]=1, 1, 0))+(0.1*IF(Table1[[#This Row],[CorrectHomeScorePrediction]]=1, 1, 0))</f>
        <v>0</v>
      </c>
      <c r="X27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70" s="64">
        <f>SUMIF(Table1[GameDate], Table1[[#This Row],[GameDate]], Table1[AwayGameGoalDiff])</f>
        <v>0</v>
      </c>
      <c r="AA270" s="64">
        <f>SUMIF(Table1[GameDate], Table1[[#This Row],[GameDate]], Table1[HomeGameGoalDiff])</f>
        <v>0</v>
      </c>
      <c r="AB270" s="64">
        <f>IF(ISBLANK(Table1[[#This Row],[ActualResult]]), 0, 1)</f>
        <v>0</v>
      </c>
      <c r="AC270" s="64">
        <f>IF(ISBLANK(Table1[[#This Row],[ActualResult]]), 0, IF(Table1[[#This Row],[ActualWinner]]=Table1[[#This Row],[PredictedWinner]], 1, 0))</f>
        <v>0</v>
      </c>
      <c r="AD27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7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70" s="64">
        <f>IF(AND(Table1[[#This Row],[GameIsOver]]=1,Table1[[#This Row],[ActualAwayScore]]=0), 1,0)</f>
        <v>0</v>
      </c>
      <c r="AG270" s="64">
        <f>IF(AND(Table1[[#This Row],[GameIsOver]]=1,Table1[[#This Row],[ActualHomeScore]]=0), 1,0)</f>
        <v>0</v>
      </c>
      <c r="AH270" s="64">
        <f>IF(Table1[[#This Row],[GameIsOver]]=0,0,IF(Table1[[#This Row],[ActualWinner]]=Table1[[#This Row],[AwayTeam]], 1, 0))</f>
        <v>0</v>
      </c>
      <c r="AI270" s="64">
        <f>IF(Table1[[#This Row],[GameIsOver]]=0,0,IF(Table1[[#This Row],[ActualWinner]]=Table1[[#This Row],[HomeTeam]], 1, 0))</f>
        <v>0</v>
      </c>
      <c r="AJ270" s="64">
        <f>IF(INDEX(Standings!$A$2:$C$33,MATCH(Table1[[#This Row],[AwayTeam]],Standings!$A$2:$A$33,0),2)=INDEX(Standings!$A$2:$C$33,MATCH(Table1[[#This Row],[HomeTeam]],Standings!$A$2:$A$33,0),2),1,0)</f>
        <v>0</v>
      </c>
      <c r="AK270" s="64">
        <f>IF(INDEX(Standings!$A$2:$C$33,MATCH(Table1[[#This Row],[AwayTeam]],Standings!$A$2:$A$33,0),3)=INDEX(Standings!$A$2:$C$33,MATCH(Table1[[#This Row],[HomeTeam]],Standings!$A$2:$A$33,0),3),1,0)</f>
        <v>0</v>
      </c>
      <c r="AL270" s="64">
        <f>IF(Table1[[#This Row],[InterConf]]=1,IF(Table1[[#This Row],[InterDiv]]=0, 1, 0), 0)</f>
        <v>0</v>
      </c>
      <c r="AM270" s="64">
        <f>IF(INDEX(Standings!$A$2:$C$33,MATCH(Table1[[#This Row],[AwayTeam]],Standings!$A$2:$A$33,0),2)&lt;&gt;INDEX(Standings!$A$2:$C$33,MATCH(Table1[[#This Row],[HomeTeam]],Standings!$A$2:$A$33,0),2),1,0)</f>
        <v>1</v>
      </c>
      <c r="AN270" s="64" t="str">
        <f>INDEX(Table2[AWAY_RECORD], MATCH(Table1[[#This Row],[AwayTeam]],Table2[Team], 0), 0)</f>
        <v>0-0-0</v>
      </c>
      <c r="AO270" s="64" t="str">
        <f>INDEX(Records!$B$2:$AG$33, MATCH(Table1[[#This Row],[AwayTeam]],Records!$A$2:$A$33, 0), MATCH(Table1[[#This Row],[HomeTeam]],Records!$A$2:$A$33, 0))</f>
        <v>0-0-0</v>
      </c>
      <c r="AP270" s="64" t="str">
        <f>INDEX(Table2[HOME_RECORD], MATCH(Table1[[#This Row],[HomeTeam]],Table2[Team], 0), 0)</f>
        <v>0-0-0</v>
      </c>
      <c r="AQ270" s="64" t="str">
        <f>INDEX(Records!$B$2:$AG$33, MATCH(Table1[[#This Row],[HomeTeam]],Records!$A$2:$A$33, 0), MATCH(Table1[[#This Row],[AwayTeam]],Records!$A$2:$A$33, 0))</f>
        <v>0-0-0</v>
      </c>
    </row>
    <row r="271" spans="1:43" x14ac:dyDescent="0.25">
      <c r="A271" s="1"/>
      <c r="D271" t="s">
        <v>486</v>
      </c>
      <c r="E271" t="s">
        <v>162</v>
      </c>
      <c r="F271" t="s">
        <v>494</v>
      </c>
      <c r="G271" t="s">
        <v>49</v>
      </c>
      <c r="H271" t="s">
        <v>50</v>
      </c>
      <c r="L27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7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71" s="1"/>
      <c r="T271" s="64" t="str">
        <f>IF(Table1[[#This Row],[ActualWinner]]="", "", IF(Table1[[#This Row],[AwayTeam]]=Table1[[#This Row],[ActualWinner]],Table1[[#This Row],[HomeTeam]],Table1[[#This Row],[AwayTeam]]))</f>
        <v/>
      </c>
      <c r="U271" s="64">
        <f>Table1[[#This Row],[ActualAwayScore]]-Table1[[#This Row],[PredictedAwayScore]]</f>
        <v>0</v>
      </c>
      <c r="V271" s="64">
        <f>Table1[[#This Row],[ActualHomeScore]]-Table1[[#This Row],[PredictedHomeScore]]</f>
        <v>0</v>
      </c>
      <c r="W271" s="64">
        <f>(0.8*IF(Table1[[#This Row],[CorrectWinnerPrediction]]=1, 1, 0))+(0.1*IF(Table1[[#This Row],[CorrectAwayScorePrediction]]=1, 1, 0))+(0.1*IF(Table1[[#This Row],[CorrectHomeScorePrediction]]=1, 1, 0))</f>
        <v>0</v>
      </c>
      <c r="X27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71" s="64">
        <f>SUMIF(Table1[GameDate], Table1[[#This Row],[GameDate]], Table1[AwayGameGoalDiff])</f>
        <v>0</v>
      </c>
      <c r="AA271" s="64">
        <f>SUMIF(Table1[GameDate], Table1[[#This Row],[GameDate]], Table1[HomeGameGoalDiff])</f>
        <v>0</v>
      </c>
      <c r="AB271" s="64">
        <f>IF(ISBLANK(Table1[[#This Row],[ActualResult]]), 0, 1)</f>
        <v>0</v>
      </c>
      <c r="AC271" s="64">
        <f>IF(ISBLANK(Table1[[#This Row],[ActualResult]]), 0, IF(Table1[[#This Row],[ActualWinner]]=Table1[[#This Row],[PredictedWinner]], 1, 0))</f>
        <v>0</v>
      </c>
      <c r="AD27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7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71" s="64">
        <f>IF(AND(Table1[[#This Row],[GameIsOver]]=1,Table1[[#This Row],[ActualAwayScore]]=0), 1,0)</f>
        <v>0</v>
      </c>
      <c r="AG271" s="64">
        <f>IF(AND(Table1[[#This Row],[GameIsOver]]=1,Table1[[#This Row],[ActualHomeScore]]=0), 1,0)</f>
        <v>0</v>
      </c>
      <c r="AH271" s="64">
        <f>IF(Table1[[#This Row],[GameIsOver]]=0,0,IF(Table1[[#This Row],[ActualWinner]]=Table1[[#This Row],[AwayTeam]], 1, 0))</f>
        <v>0</v>
      </c>
      <c r="AI271" s="64">
        <f>IF(Table1[[#This Row],[GameIsOver]]=0,0,IF(Table1[[#This Row],[ActualWinner]]=Table1[[#This Row],[HomeTeam]], 1, 0))</f>
        <v>0</v>
      </c>
      <c r="AJ271" s="64">
        <f>IF(INDEX(Standings!$A$2:$C$33,MATCH(Table1[[#This Row],[AwayTeam]],Standings!$A$2:$A$33,0),2)=INDEX(Standings!$A$2:$C$33,MATCH(Table1[[#This Row],[HomeTeam]],Standings!$A$2:$A$33,0),2),1,0)</f>
        <v>1</v>
      </c>
      <c r="AK271" s="64">
        <f>IF(INDEX(Standings!$A$2:$C$33,MATCH(Table1[[#This Row],[AwayTeam]],Standings!$A$2:$A$33,0),3)=INDEX(Standings!$A$2:$C$33,MATCH(Table1[[#This Row],[HomeTeam]],Standings!$A$2:$A$33,0),3),1,0)</f>
        <v>1</v>
      </c>
      <c r="AL271" s="64">
        <f>IF(Table1[[#This Row],[InterConf]]=1,IF(Table1[[#This Row],[InterDiv]]=0, 1, 0), 0)</f>
        <v>0</v>
      </c>
      <c r="AM271" s="64">
        <f>IF(INDEX(Standings!$A$2:$C$33,MATCH(Table1[[#This Row],[AwayTeam]],Standings!$A$2:$A$33,0),2)&lt;&gt;INDEX(Standings!$A$2:$C$33,MATCH(Table1[[#This Row],[HomeTeam]],Standings!$A$2:$A$33,0),2),1,0)</f>
        <v>0</v>
      </c>
      <c r="AN271" s="64" t="str">
        <f>INDEX(Table2[AWAY_RECORD], MATCH(Table1[[#This Row],[AwayTeam]],Table2[Team], 0), 0)</f>
        <v>0-0-0</v>
      </c>
      <c r="AO271" s="64" t="str">
        <f>INDEX(Records!$B$2:$AG$33, MATCH(Table1[[#This Row],[AwayTeam]],Records!$A$2:$A$33, 0), MATCH(Table1[[#This Row],[HomeTeam]],Records!$A$2:$A$33, 0))</f>
        <v>0-0-0</v>
      </c>
      <c r="AP271" s="64" t="str">
        <f>INDEX(Table2[HOME_RECORD], MATCH(Table1[[#This Row],[HomeTeam]],Table2[Team], 0), 0)</f>
        <v>0-0-0</v>
      </c>
      <c r="AQ271" s="64" t="str">
        <f>INDEX(Records!$B$2:$AG$33, MATCH(Table1[[#This Row],[HomeTeam]],Records!$A$2:$A$33, 0), MATCH(Table1[[#This Row],[AwayTeam]],Records!$A$2:$A$33, 0))</f>
        <v>0-0-0</v>
      </c>
    </row>
    <row r="272" spans="1:43" x14ac:dyDescent="0.25">
      <c r="A272" s="1"/>
      <c r="D272" t="s">
        <v>486</v>
      </c>
      <c r="E272" t="s">
        <v>178</v>
      </c>
      <c r="F272" t="s">
        <v>495</v>
      </c>
      <c r="G272" t="s">
        <v>16</v>
      </c>
      <c r="H272" t="s">
        <v>40</v>
      </c>
      <c r="L27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7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72" s="1"/>
      <c r="T272" s="64" t="str">
        <f>IF(Table1[[#This Row],[ActualWinner]]="", "", IF(Table1[[#This Row],[AwayTeam]]=Table1[[#This Row],[ActualWinner]],Table1[[#This Row],[HomeTeam]],Table1[[#This Row],[AwayTeam]]))</f>
        <v/>
      </c>
      <c r="U272" s="64">
        <f>Table1[[#This Row],[ActualAwayScore]]-Table1[[#This Row],[PredictedAwayScore]]</f>
        <v>0</v>
      </c>
      <c r="V272" s="64">
        <f>Table1[[#This Row],[ActualHomeScore]]-Table1[[#This Row],[PredictedHomeScore]]</f>
        <v>0</v>
      </c>
      <c r="W272" s="64">
        <f>(0.8*IF(Table1[[#This Row],[CorrectWinnerPrediction]]=1, 1, 0))+(0.1*IF(Table1[[#This Row],[CorrectAwayScorePrediction]]=1, 1, 0))+(0.1*IF(Table1[[#This Row],[CorrectHomeScorePrediction]]=1, 1, 0))</f>
        <v>0</v>
      </c>
      <c r="X27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72" s="64">
        <f>SUMIF(Table1[GameDate], Table1[[#This Row],[GameDate]], Table1[AwayGameGoalDiff])</f>
        <v>0</v>
      </c>
      <c r="AA272" s="64">
        <f>SUMIF(Table1[GameDate], Table1[[#This Row],[GameDate]], Table1[HomeGameGoalDiff])</f>
        <v>0</v>
      </c>
      <c r="AB272" s="64">
        <f>IF(ISBLANK(Table1[[#This Row],[ActualResult]]), 0, 1)</f>
        <v>0</v>
      </c>
      <c r="AC272" s="64">
        <f>IF(ISBLANK(Table1[[#This Row],[ActualResult]]), 0, IF(Table1[[#This Row],[ActualWinner]]=Table1[[#This Row],[PredictedWinner]], 1, 0))</f>
        <v>0</v>
      </c>
      <c r="AD27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7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72" s="64">
        <f>IF(AND(Table1[[#This Row],[GameIsOver]]=1,Table1[[#This Row],[ActualAwayScore]]=0), 1,0)</f>
        <v>0</v>
      </c>
      <c r="AG272" s="64">
        <f>IF(AND(Table1[[#This Row],[GameIsOver]]=1,Table1[[#This Row],[ActualHomeScore]]=0), 1,0)</f>
        <v>0</v>
      </c>
      <c r="AH272" s="64">
        <f>IF(Table1[[#This Row],[GameIsOver]]=0,0,IF(Table1[[#This Row],[ActualWinner]]=Table1[[#This Row],[AwayTeam]], 1, 0))</f>
        <v>0</v>
      </c>
      <c r="AI272" s="64">
        <f>IF(Table1[[#This Row],[GameIsOver]]=0,0,IF(Table1[[#This Row],[ActualWinner]]=Table1[[#This Row],[HomeTeam]], 1, 0))</f>
        <v>0</v>
      </c>
      <c r="AJ272" s="64">
        <f>IF(INDEX(Standings!$A$2:$C$33,MATCH(Table1[[#This Row],[AwayTeam]],Standings!$A$2:$A$33,0),2)=INDEX(Standings!$A$2:$C$33,MATCH(Table1[[#This Row],[HomeTeam]],Standings!$A$2:$A$33,0),2),1,0)</f>
        <v>0</v>
      </c>
      <c r="AK272" s="64">
        <f>IF(INDEX(Standings!$A$2:$C$33,MATCH(Table1[[#This Row],[AwayTeam]],Standings!$A$2:$A$33,0),3)=INDEX(Standings!$A$2:$C$33,MATCH(Table1[[#This Row],[HomeTeam]],Standings!$A$2:$A$33,0),3),1,0)</f>
        <v>0</v>
      </c>
      <c r="AL272" s="64">
        <f>IF(Table1[[#This Row],[InterConf]]=1,IF(Table1[[#This Row],[InterDiv]]=0, 1, 0), 0)</f>
        <v>0</v>
      </c>
      <c r="AM272" s="64">
        <f>IF(INDEX(Standings!$A$2:$C$33,MATCH(Table1[[#This Row],[AwayTeam]],Standings!$A$2:$A$33,0),2)&lt;&gt;INDEX(Standings!$A$2:$C$33,MATCH(Table1[[#This Row],[HomeTeam]],Standings!$A$2:$A$33,0),2),1,0)</f>
        <v>1</v>
      </c>
      <c r="AN272" s="64" t="str">
        <f>INDEX(Table2[AWAY_RECORD], MATCH(Table1[[#This Row],[AwayTeam]],Table2[Team], 0), 0)</f>
        <v>1-0-1</v>
      </c>
      <c r="AO272" s="64" t="str">
        <f>INDEX(Records!$B$2:$AG$33, MATCH(Table1[[#This Row],[AwayTeam]],Records!$A$2:$A$33, 0), MATCH(Table1[[#This Row],[HomeTeam]],Records!$A$2:$A$33, 0))</f>
        <v>0-0-0</v>
      </c>
      <c r="AP272" s="64" t="str">
        <f>INDEX(Table2[HOME_RECORD], MATCH(Table1[[#This Row],[HomeTeam]],Table2[Team], 0), 0)</f>
        <v>1-1-0</v>
      </c>
      <c r="AQ272" s="64" t="str">
        <f>INDEX(Records!$B$2:$AG$33, MATCH(Table1[[#This Row],[HomeTeam]],Records!$A$2:$A$33, 0), MATCH(Table1[[#This Row],[AwayTeam]],Records!$A$2:$A$33, 0))</f>
        <v>0-0-0</v>
      </c>
    </row>
    <row r="273" spans="1:43" x14ac:dyDescent="0.25">
      <c r="A273" s="1"/>
      <c r="D273" t="s">
        <v>486</v>
      </c>
      <c r="E273" t="s">
        <v>178</v>
      </c>
      <c r="F273" t="s">
        <v>496</v>
      </c>
      <c r="G273" t="s">
        <v>55</v>
      </c>
      <c r="H273" t="s">
        <v>43</v>
      </c>
      <c r="L27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7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73" s="1"/>
      <c r="T273" s="64" t="str">
        <f>IF(Table1[[#This Row],[ActualWinner]]="", "", IF(Table1[[#This Row],[AwayTeam]]=Table1[[#This Row],[ActualWinner]],Table1[[#This Row],[HomeTeam]],Table1[[#This Row],[AwayTeam]]))</f>
        <v/>
      </c>
      <c r="U273" s="64">
        <f>Table1[[#This Row],[ActualAwayScore]]-Table1[[#This Row],[PredictedAwayScore]]</f>
        <v>0</v>
      </c>
      <c r="V273" s="64">
        <f>Table1[[#This Row],[ActualHomeScore]]-Table1[[#This Row],[PredictedHomeScore]]</f>
        <v>0</v>
      </c>
      <c r="W273" s="64">
        <f>(0.8*IF(Table1[[#This Row],[CorrectWinnerPrediction]]=1, 1, 0))+(0.1*IF(Table1[[#This Row],[CorrectAwayScorePrediction]]=1, 1, 0))+(0.1*IF(Table1[[#This Row],[CorrectHomeScorePrediction]]=1, 1, 0))</f>
        <v>0</v>
      </c>
      <c r="X27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73" s="64">
        <f>SUMIF(Table1[GameDate], Table1[[#This Row],[GameDate]], Table1[AwayGameGoalDiff])</f>
        <v>0</v>
      </c>
      <c r="AA273" s="64">
        <f>SUMIF(Table1[GameDate], Table1[[#This Row],[GameDate]], Table1[HomeGameGoalDiff])</f>
        <v>0</v>
      </c>
      <c r="AB273" s="64">
        <f>IF(ISBLANK(Table1[[#This Row],[ActualResult]]), 0, 1)</f>
        <v>0</v>
      </c>
      <c r="AC273" s="64">
        <f>IF(ISBLANK(Table1[[#This Row],[ActualResult]]), 0, IF(Table1[[#This Row],[ActualWinner]]=Table1[[#This Row],[PredictedWinner]], 1, 0))</f>
        <v>0</v>
      </c>
      <c r="AD27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7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73" s="64">
        <f>IF(AND(Table1[[#This Row],[GameIsOver]]=1,Table1[[#This Row],[ActualAwayScore]]=0), 1,0)</f>
        <v>0</v>
      </c>
      <c r="AG273" s="64">
        <f>IF(AND(Table1[[#This Row],[GameIsOver]]=1,Table1[[#This Row],[ActualHomeScore]]=0), 1,0)</f>
        <v>0</v>
      </c>
      <c r="AH273" s="64">
        <f>IF(Table1[[#This Row],[GameIsOver]]=0,0,IF(Table1[[#This Row],[ActualWinner]]=Table1[[#This Row],[AwayTeam]], 1, 0))</f>
        <v>0</v>
      </c>
      <c r="AI273" s="64">
        <f>IF(Table1[[#This Row],[GameIsOver]]=0,0,IF(Table1[[#This Row],[ActualWinner]]=Table1[[#This Row],[HomeTeam]], 1, 0))</f>
        <v>0</v>
      </c>
      <c r="AJ273" s="64">
        <f>IF(INDEX(Standings!$A$2:$C$33,MATCH(Table1[[#This Row],[AwayTeam]],Standings!$A$2:$A$33,0),2)=INDEX(Standings!$A$2:$C$33,MATCH(Table1[[#This Row],[HomeTeam]],Standings!$A$2:$A$33,0),2),1,0)</f>
        <v>1</v>
      </c>
      <c r="AK273" s="64">
        <f>IF(INDEX(Standings!$A$2:$C$33,MATCH(Table1[[#This Row],[AwayTeam]],Standings!$A$2:$A$33,0),3)=INDEX(Standings!$A$2:$C$33,MATCH(Table1[[#This Row],[HomeTeam]],Standings!$A$2:$A$33,0),3),1,0)</f>
        <v>0</v>
      </c>
      <c r="AL273" s="64">
        <f>IF(Table1[[#This Row],[InterConf]]=1,IF(Table1[[#This Row],[InterDiv]]=0, 1, 0), 0)</f>
        <v>1</v>
      </c>
      <c r="AM273" s="64">
        <f>IF(INDEX(Standings!$A$2:$C$33,MATCH(Table1[[#This Row],[AwayTeam]],Standings!$A$2:$A$33,0),2)&lt;&gt;INDEX(Standings!$A$2:$C$33,MATCH(Table1[[#This Row],[HomeTeam]],Standings!$A$2:$A$33,0),2),1,0)</f>
        <v>0</v>
      </c>
      <c r="AN273" s="64" t="str">
        <f>INDEX(Table2[AWAY_RECORD], MATCH(Table1[[#This Row],[AwayTeam]],Table2[Team], 0), 0)</f>
        <v>0-0-0</v>
      </c>
      <c r="AO273" s="64" t="str">
        <f>INDEX(Records!$B$2:$AG$33, MATCH(Table1[[#This Row],[AwayTeam]],Records!$A$2:$A$33, 0), MATCH(Table1[[#This Row],[HomeTeam]],Records!$A$2:$A$33, 0))</f>
        <v>0-0-0</v>
      </c>
      <c r="AP273" s="64" t="str">
        <f>INDEX(Table2[HOME_RECORD], MATCH(Table1[[#This Row],[HomeTeam]],Table2[Team], 0), 0)</f>
        <v>0-0-0</v>
      </c>
      <c r="AQ273" s="64" t="str">
        <f>INDEX(Records!$B$2:$AG$33, MATCH(Table1[[#This Row],[HomeTeam]],Records!$A$2:$A$33, 0), MATCH(Table1[[#This Row],[AwayTeam]],Records!$A$2:$A$33, 0))</f>
        <v>0-0-0</v>
      </c>
    </row>
    <row r="274" spans="1:43" x14ac:dyDescent="0.25">
      <c r="A274" s="1"/>
      <c r="D274" t="s">
        <v>486</v>
      </c>
      <c r="E274" t="s">
        <v>178</v>
      </c>
      <c r="F274" t="s">
        <v>497</v>
      </c>
      <c r="G274" t="s">
        <v>57</v>
      </c>
      <c r="H274" t="s">
        <v>22</v>
      </c>
      <c r="L27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7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74" s="1"/>
      <c r="T274" s="64" t="str">
        <f>IF(Table1[[#This Row],[ActualWinner]]="", "", IF(Table1[[#This Row],[AwayTeam]]=Table1[[#This Row],[ActualWinner]],Table1[[#This Row],[HomeTeam]],Table1[[#This Row],[AwayTeam]]))</f>
        <v/>
      </c>
      <c r="U274" s="64">
        <f>Table1[[#This Row],[ActualAwayScore]]-Table1[[#This Row],[PredictedAwayScore]]</f>
        <v>0</v>
      </c>
      <c r="V274" s="64">
        <f>Table1[[#This Row],[ActualHomeScore]]-Table1[[#This Row],[PredictedHomeScore]]</f>
        <v>0</v>
      </c>
      <c r="W274" s="64">
        <f>(0.8*IF(Table1[[#This Row],[CorrectWinnerPrediction]]=1, 1, 0))+(0.1*IF(Table1[[#This Row],[CorrectAwayScorePrediction]]=1, 1, 0))+(0.1*IF(Table1[[#This Row],[CorrectHomeScorePrediction]]=1, 1, 0))</f>
        <v>0</v>
      </c>
      <c r="X27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74" s="64">
        <f>SUMIF(Table1[GameDate], Table1[[#This Row],[GameDate]], Table1[AwayGameGoalDiff])</f>
        <v>0</v>
      </c>
      <c r="AA274" s="64">
        <f>SUMIF(Table1[GameDate], Table1[[#This Row],[GameDate]], Table1[HomeGameGoalDiff])</f>
        <v>0</v>
      </c>
      <c r="AB274" s="64">
        <f>IF(ISBLANK(Table1[[#This Row],[ActualResult]]), 0, 1)</f>
        <v>0</v>
      </c>
      <c r="AC274" s="64">
        <f>IF(ISBLANK(Table1[[#This Row],[ActualResult]]), 0, IF(Table1[[#This Row],[ActualWinner]]=Table1[[#This Row],[PredictedWinner]], 1, 0))</f>
        <v>0</v>
      </c>
      <c r="AD27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7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74" s="64">
        <f>IF(AND(Table1[[#This Row],[GameIsOver]]=1,Table1[[#This Row],[ActualAwayScore]]=0), 1,0)</f>
        <v>0</v>
      </c>
      <c r="AG274" s="64">
        <f>IF(AND(Table1[[#This Row],[GameIsOver]]=1,Table1[[#This Row],[ActualHomeScore]]=0), 1,0)</f>
        <v>0</v>
      </c>
      <c r="AH274" s="64">
        <f>IF(Table1[[#This Row],[GameIsOver]]=0,0,IF(Table1[[#This Row],[ActualWinner]]=Table1[[#This Row],[AwayTeam]], 1, 0))</f>
        <v>0</v>
      </c>
      <c r="AI274" s="64">
        <f>IF(Table1[[#This Row],[GameIsOver]]=0,0,IF(Table1[[#This Row],[ActualWinner]]=Table1[[#This Row],[HomeTeam]], 1, 0))</f>
        <v>0</v>
      </c>
      <c r="AJ274" s="64">
        <f>IF(INDEX(Standings!$A$2:$C$33,MATCH(Table1[[#This Row],[AwayTeam]],Standings!$A$2:$A$33,0),2)=INDEX(Standings!$A$2:$C$33,MATCH(Table1[[#This Row],[HomeTeam]],Standings!$A$2:$A$33,0),2),1,0)</f>
        <v>0</v>
      </c>
      <c r="AK274" s="64">
        <f>IF(INDEX(Standings!$A$2:$C$33,MATCH(Table1[[#This Row],[AwayTeam]],Standings!$A$2:$A$33,0),3)=INDEX(Standings!$A$2:$C$33,MATCH(Table1[[#This Row],[HomeTeam]],Standings!$A$2:$A$33,0),3),1,0)</f>
        <v>0</v>
      </c>
      <c r="AL274" s="64">
        <f>IF(Table1[[#This Row],[InterConf]]=1,IF(Table1[[#This Row],[InterDiv]]=0, 1, 0), 0)</f>
        <v>0</v>
      </c>
      <c r="AM274" s="64">
        <f>IF(INDEX(Standings!$A$2:$C$33,MATCH(Table1[[#This Row],[AwayTeam]],Standings!$A$2:$A$33,0),2)&lt;&gt;INDEX(Standings!$A$2:$C$33,MATCH(Table1[[#This Row],[HomeTeam]],Standings!$A$2:$A$33,0),2),1,0)</f>
        <v>1</v>
      </c>
      <c r="AN274" s="64" t="str">
        <f>INDEX(Table2[AWAY_RECORD], MATCH(Table1[[#This Row],[AwayTeam]],Table2[Team], 0), 0)</f>
        <v>0-1-0</v>
      </c>
      <c r="AO274" s="64" t="str">
        <f>INDEX(Records!$B$2:$AG$33, MATCH(Table1[[#This Row],[AwayTeam]],Records!$A$2:$A$33, 0), MATCH(Table1[[#This Row],[HomeTeam]],Records!$A$2:$A$33, 0))</f>
        <v>0-0-0</v>
      </c>
      <c r="AP274" s="64" t="str">
        <f>INDEX(Table2[HOME_RECORD], MATCH(Table1[[#This Row],[HomeTeam]],Table2[Team], 0), 0)</f>
        <v>0-0-0</v>
      </c>
      <c r="AQ274" s="64" t="str">
        <f>INDEX(Records!$B$2:$AG$33, MATCH(Table1[[#This Row],[HomeTeam]],Records!$A$2:$A$33, 0), MATCH(Table1[[#This Row],[AwayTeam]],Records!$A$2:$A$33, 0))</f>
        <v>0-0-0</v>
      </c>
    </row>
    <row r="275" spans="1:43" x14ac:dyDescent="0.25">
      <c r="A275" s="1"/>
      <c r="D275" t="s">
        <v>486</v>
      </c>
      <c r="E275" t="s">
        <v>164</v>
      </c>
      <c r="F275" t="s">
        <v>498</v>
      </c>
      <c r="G275" t="s">
        <v>44</v>
      </c>
      <c r="H275" t="s">
        <v>41</v>
      </c>
      <c r="L27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7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75" s="1"/>
      <c r="T275" s="64" t="str">
        <f>IF(Table1[[#This Row],[ActualWinner]]="", "", IF(Table1[[#This Row],[AwayTeam]]=Table1[[#This Row],[ActualWinner]],Table1[[#This Row],[HomeTeam]],Table1[[#This Row],[AwayTeam]]))</f>
        <v/>
      </c>
      <c r="U275" s="64">
        <f>Table1[[#This Row],[ActualAwayScore]]-Table1[[#This Row],[PredictedAwayScore]]</f>
        <v>0</v>
      </c>
      <c r="V275" s="64">
        <f>Table1[[#This Row],[ActualHomeScore]]-Table1[[#This Row],[PredictedHomeScore]]</f>
        <v>0</v>
      </c>
      <c r="W275" s="64">
        <f>(0.8*IF(Table1[[#This Row],[CorrectWinnerPrediction]]=1, 1, 0))+(0.1*IF(Table1[[#This Row],[CorrectAwayScorePrediction]]=1, 1, 0))+(0.1*IF(Table1[[#This Row],[CorrectHomeScorePrediction]]=1, 1, 0))</f>
        <v>0</v>
      </c>
      <c r="X27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75" s="64">
        <f>SUMIF(Table1[GameDate], Table1[[#This Row],[GameDate]], Table1[AwayGameGoalDiff])</f>
        <v>0</v>
      </c>
      <c r="AA275" s="64">
        <f>SUMIF(Table1[GameDate], Table1[[#This Row],[GameDate]], Table1[HomeGameGoalDiff])</f>
        <v>0</v>
      </c>
      <c r="AB275" s="64">
        <f>IF(ISBLANK(Table1[[#This Row],[ActualResult]]), 0, 1)</f>
        <v>0</v>
      </c>
      <c r="AC275" s="64">
        <f>IF(ISBLANK(Table1[[#This Row],[ActualResult]]), 0, IF(Table1[[#This Row],[ActualWinner]]=Table1[[#This Row],[PredictedWinner]], 1, 0))</f>
        <v>0</v>
      </c>
      <c r="AD27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7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75" s="64">
        <f>IF(AND(Table1[[#This Row],[GameIsOver]]=1,Table1[[#This Row],[ActualAwayScore]]=0), 1,0)</f>
        <v>0</v>
      </c>
      <c r="AG275" s="64">
        <f>IF(AND(Table1[[#This Row],[GameIsOver]]=1,Table1[[#This Row],[ActualHomeScore]]=0), 1,0)</f>
        <v>0</v>
      </c>
      <c r="AH275" s="64">
        <f>IF(Table1[[#This Row],[GameIsOver]]=0,0,IF(Table1[[#This Row],[ActualWinner]]=Table1[[#This Row],[AwayTeam]], 1, 0))</f>
        <v>0</v>
      </c>
      <c r="AI275" s="64">
        <f>IF(Table1[[#This Row],[GameIsOver]]=0,0,IF(Table1[[#This Row],[ActualWinner]]=Table1[[#This Row],[HomeTeam]], 1, 0))</f>
        <v>0</v>
      </c>
      <c r="AJ275" s="64">
        <f>IF(INDEX(Standings!$A$2:$C$33,MATCH(Table1[[#This Row],[AwayTeam]],Standings!$A$2:$A$33,0),2)=INDEX(Standings!$A$2:$C$33,MATCH(Table1[[#This Row],[HomeTeam]],Standings!$A$2:$A$33,0),2),1,0)</f>
        <v>0</v>
      </c>
      <c r="AK275" s="64">
        <f>IF(INDEX(Standings!$A$2:$C$33,MATCH(Table1[[#This Row],[AwayTeam]],Standings!$A$2:$A$33,0),3)=INDEX(Standings!$A$2:$C$33,MATCH(Table1[[#This Row],[HomeTeam]],Standings!$A$2:$A$33,0),3),1,0)</f>
        <v>0</v>
      </c>
      <c r="AL275" s="64">
        <f>IF(Table1[[#This Row],[InterConf]]=1,IF(Table1[[#This Row],[InterDiv]]=0, 1, 0), 0)</f>
        <v>0</v>
      </c>
      <c r="AM275" s="64">
        <f>IF(INDEX(Standings!$A$2:$C$33,MATCH(Table1[[#This Row],[AwayTeam]],Standings!$A$2:$A$33,0),2)&lt;&gt;INDEX(Standings!$A$2:$C$33,MATCH(Table1[[#This Row],[HomeTeam]],Standings!$A$2:$A$33,0),2),1,0)</f>
        <v>1</v>
      </c>
      <c r="AN275" s="64" t="str">
        <f>INDEX(Table2[AWAY_RECORD], MATCH(Table1[[#This Row],[AwayTeam]],Table2[Team], 0), 0)</f>
        <v>0-0-0</v>
      </c>
      <c r="AO275" s="64" t="str">
        <f>INDEX(Records!$B$2:$AG$33, MATCH(Table1[[#This Row],[AwayTeam]],Records!$A$2:$A$33, 0), MATCH(Table1[[#This Row],[HomeTeam]],Records!$A$2:$A$33, 0))</f>
        <v>0-0-0</v>
      </c>
      <c r="AP275" s="64" t="str">
        <f>INDEX(Table2[HOME_RECORD], MATCH(Table1[[#This Row],[HomeTeam]],Table2[Team], 0), 0)</f>
        <v>0-0-1</v>
      </c>
      <c r="AQ275" s="64" t="str">
        <f>INDEX(Records!$B$2:$AG$33, MATCH(Table1[[#This Row],[HomeTeam]],Records!$A$2:$A$33, 0), MATCH(Table1[[#This Row],[AwayTeam]],Records!$A$2:$A$33, 0))</f>
        <v>0-0-0</v>
      </c>
    </row>
    <row r="276" spans="1:43" x14ac:dyDescent="0.25">
      <c r="A276" s="1"/>
      <c r="D276" t="s">
        <v>486</v>
      </c>
      <c r="E276" t="s">
        <v>164</v>
      </c>
      <c r="F276" t="s">
        <v>499</v>
      </c>
      <c r="G276" t="s">
        <v>54</v>
      </c>
      <c r="H276" t="s">
        <v>46</v>
      </c>
      <c r="L27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7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76" s="1"/>
      <c r="T276" s="64" t="str">
        <f>IF(Table1[[#This Row],[ActualWinner]]="", "", IF(Table1[[#This Row],[AwayTeam]]=Table1[[#This Row],[ActualWinner]],Table1[[#This Row],[HomeTeam]],Table1[[#This Row],[AwayTeam]]))</f>
        <v/>
      </c>
      <c r="U276" s="64">
        <f>Table1[[#This Row],[ActualAwayScore]]-Table1[[#This Row],[PredictedAwayScore]]</f>
        <v>0</v>
      </c>
      <c r="V276" s="64">
        <f>Table1[[#This Row],[ActualHomeScore]]-Table1[[#This Row],[PredictedHomeScore]]</f>
        <v>0</v>
      </c>
      <c r="W276" s="64">
        <f>(0.8*IF(Table1[[#This Row],[CorrectWinnerPrediction]]=1, 1, 0))+(0.1*IF(Table1[[#This Row],[CorrectAwayScorePrediction]]=1, 1, 0))+(0.1*IF(Table1[[#This Row],[CorrectHomeScorePrediction]]=1, 1, 0))</f>
        <v>0</v>
      </c>
      <c r="X27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76" s="64">
        <f>SUMIF(Table1[GameDate], Table1[[#This Row],[GameDate]], Table1[AwayGameGoalDiff])</f>
        <v>0</v>
      </c>
      <c r="AA276" s="64">
        <f>SUMIF(Table1[GameDate], Table1[[#This Row],[GameDate]], Table1[HomeGameGoalDiff])</f>
        <v>0</v>
      </c>
      <c r="AB276" s="64">
        <f>IF(ISBLANK(Table1[[#This Row],[ActualResult]]), 0, 1)</f>
        <v>0</v>
      </c>
      <c r="AC276" s="64">
        <f>IF(ISBLANK(Table1[[#This Row],[ActualResult]]), 0, IF(Table1[[#This Row],[ActualWinner]]=Table1[[#This Row],[PredictedWinner]], 1, 0))</f>
        <v>0</v>
      </c>
      <c r="AD27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7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76" s="64">
        <f>IF(AND(Table1[[#This Row],[GameIsOver]]=1,Table1[[#This Row],[ActualAwayScore]]=0), 1,0)</f>
        <v>0</v>
      </c>
      <c r="AG276" s="64">
        <f>IF(AND(Table1[[#This Row],[GameIsOver]]=1,Table1[[#This Row],[ActualHomeScore]]=0), 1,0)</f>
        <v>0</v>
      </c>
      <c r="AH276" s="64">
        <f>IF(Table1[[#This Row],[GameIsOver]]=0,0,IF(Table1[[#This Row],[ActualWinner]]=Table1[[#This Row],[AwayTeam]], 1, 0))</f>
        <v>0</v>
      </c>
      <c r="AI276" s="64">
        <f>IF(Table1[[#This Row],[GameIsOver]]=0,0,IF(Table1[[#This Row],[ActualWinner]]=Table1[[#This Row],[HomeTeam]], 1, 0))</f>
        <v>0</v>
      </c>
      <c r="AJ276" s="64">
        <f>IF(INDEX(Standings!$A$2:$C$33,MATCH(Table1[[#This Row],[AwayTeam]],Standings!$A$2:$A$33,0),2)=INDEX(Standings!$A$2:$C$33,MATCH(Table1[[#This Row],[HomeTeam]],Standings!$A$2:$A$33,0),2),1,0)</f>
        <v>0</v>
      </c>
      <c r="AK276" s="64">
        <f>IF(INDEX(Standings!$A$2:$C$33,MATCH(Table1[[#This Row],[AwayTeam]],Standings!$A$2:$A$33,0),3)=INDEX(Standings!$A$2:$C$33,MATCH(Table1[[#This Row],[HomeTeam]],Standings!$A$2:$A$33,0),3),1,0)</f>
        <v>0</v>
      </c>
      <c r="AL276" s="64">
        <f>IF(Table1[[#This Row],[InterConf]]=1,IF(Table1[[#This Row],[InterDiv]]=0, 1, 0), 0)</f>
        <v>0</v>
      </c>
      <c r="AM276" s="64">
        <f>IF(INDEX(Standings!$A$2:$C$33,MATCH(Table1[[#This Row],[AwayTeam]],Standings!$A$2:$A$33,0),2)&lt;&gt;INDEX(Standings!$A$2:$C$33,MATCH(Table1[[#This Row],[HomeTeam]],Standings!$A$2:$A$33,0),2),1,0)</f>
        <v>1</v>
      </c>
      <c r="AN276" s="64" t="str">
        <f>INDEX(Table2[AWAY_RECORD], MATCH(Table1[[#This Row],[AwayTeam]],Table2[Team], 0), 0)</f>
        <v>0-0-1</v>
      </c>
      <c r="AO276" s="64" t="str">
        <f>INDEX(Records!$B$2:$AG$33, MATCH(Table1[[#This Row],[AwayTeam]],Records!$A$2:$A$33, 0), MATCH(Table1[[#This Row],[HomeTeam]],Records!$A$2:$A$33, 0))</f>
        <v>0-0-0</v>
      </c>
      <c r="AP276" s="64" t="str">
        <f>INDEX(Table2[HOME_RECORD], MATCH(Table1[[#This Row],[HomeTeam]],Table2[Team], 0), 0)</f>
        <v>0-0-0</v>
      </c>
      <c r="AQ276" s="64" t="str">
        <f>INDEX(Records!$B$2:$AG$33, MATCH(Table1[[#This Row],[HomeTeam]],Records!$A$2:$A$33, 0), MATCH(Table1[[#This Row],[AwayTeam]],Records!$A$2:$A$33, 0))</f>
        <v>0-0-0</v>
      </c>
    </row>
    <row r="277" spans="1:43" x14ac:dyDescent="0.25">
      <c r="A277" s="1"/>
      <c r="D277" t="s">
        <v>500</v>
      </c>
      <c r="E277" t="s">
        <v>298</v>
      </c>
      <c r="F277" t="s">
        <v>501</v>
      </c>
      <c r="G277" t="s">
        <v>23</v>
      </c>
      <c r="H277" t="s">
        <v>45</v>
      </c>
      <c r="L27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7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77" s="1"/>
      <c r="T277" s="64" t="str">
        <f>IF(Table1[[#This Row],[ActualWinner]]="", "", IF(Table1[[#This Row],[AwayTeam]]=Table1[[#This Row],[ActualWinner]],Table1[[#This Row],[HomeTeam]],Table1[[#This Row],[AwayTeam]]))</f>
        <v/>
      </c>
      <c r="U277" s="64">
        <f>Table1[[#This Row],[ActualAwayScore]]-Table1[[#This Row],[PredictedAwayScore]]</f>
        <v>0</v>
      </c>
      <c r="V277" s="64">
        <f>Table1[[#This Row],[ActualHomeScore]]-Table1[[#This Row],[PredictedHomeScore]]</f>
        <v>0</v>
      </c>
      <c r="W277" s="64">
        <f>(0.8*IF(Table1[[#This Row],[CorrectWinnerPrediction]]=1, 1, 0))+(0.1*IF(Table1[[#This Row],[CorrectAwayScorePrediction]]=1, 1, 0))+(0.1*IF(Table1[[#This Row],[CorrectHomeScorePrediction]]=1, 1, 0))</f>
        <v>0</v>
      </c>
      <c r="X27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77" s="64">
        <f>SUMIF(Table1[GameDate], Table1[[#This Row],[GameDate]], Table1[AwayGameGoalDiff])</f>
        <v>0</v>
      </c>
      <c r="AA277" s="64">
        <f>SUMIF(Table1[GameDate], Table1[[#This Row],[GameDate]], Table1[HomeGameGoalDiff])</f>
        <v>0</v>
      </c>
      <c r="AB277" s="64">
        <f>IF(ISBLANK(Table1[[#This Row],[ActualResult]]), 0, 1)</f>
        <v>0</v>
      </c>
      <c r="AC277" s="64">
        <f>IF(ISBLANK(Table1[[#This Row],[ActualResult]]), 0, IF(Table1[[#This Row],[ActualWinner]]=Table1[[#This Row],[PredictedWinner]], 1, 0))</f>
        <v>0</v>
      </c>
      <c r="AD27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7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77" s="64">
        <f>IF(AND(Table1[[#This Row],[GameIsOver]]=1,Table1[[#This Row],[ActualAwayScore]]=0), 1,0)</f>
        <v>0</v>
      </c>
      <c r="AG277" s="64">
        <f>IF(AND(Table1[[#This Row],[GameIsOver]]=1,Table1[[#This Row],[ActualHomeScore]]=0), 1,0)</f>
        <v>0</v>
      </c>
      <c r="AH277" s="64">
        <f>IF(Table1[[#This Row],[GameIsOver]]=0,0,IF(Table1[[#This Row],[ActualWinner]]=Table1[[#This Row],[AwayTeam]], 1, 0))</f>
        <v>0</v>
      </c>
      <c r="AI277" s="64">
        <f>IF(Table1[[#This Row],[GameIsOver]]=0,0,IF(Table1[[#This Row],[ActualWinner]]=Table1[[#This Row],[HomeTeam]], 1, 0))</f>
        <v>0</v>
      </c>
      <c r="AJ277" s="64">
        <f>IF(INDEX(Standings!$A$2:$C$33,MATCH(Table1[[#This Row],[AwayTeam]],Standings!$A$2:$A$33,0),2)=INDEX(Standings!$A$2:$C$33,MATCH(Table1[[#This Row],[HomeTeam]],Standings!$A$2:$A$33,0),2),1,0)</f>
        <v>1</v>
      </c>
      <c r="AK277" s="64">
        <f>IF(INDEX(Standings!$A$2:$C$33,MATCH(Table1[[#This Row],[AwayTeam]],Standings!$A$2:$A$33,0),3)=INDEX(Standings!$A$2:$C$33,MATCH(Table1[[#This Row],[HomeTeam]],Standings!$A$2:$A$33,0),3),1,0)</f>
        <v>1</v>
      </c>
      <c r="AL277" s="64">
        <f>IF(Table1[[#This Row],[InterConf]]=1,IF(Table1[[#This Row],[InterDiv]]=0, 1, 0), 0)</f>
        <v>0</v>
      </c>
      <c r="AM277" s="64">
        <f>IF(INDEX(Standings!$A$2:$C$33,MATCH(Table1[[#This Row],[AwayTeam]],Standings!$A$2:$A$33,0),2)&lt;&gt;INDEX(Standings!$A$2:$C$33,MATCH(Table1[[#This Row],[HomeTeam]],Standings!$A$2:$A$33,0),2),1,0)</f>
        <v>0</v>
      </c>
      <c r="AN277" s="64" t="str">
        <f>INDEX(Table2[AWAY_RECORD], MATCH(Table1[[#This Row],[AwayTeam]],Table2[Team], 0), 0)</f>
        <v>0-0-1</v>
      </c>
      <c r="AO277" s="64" t="str">
        <f>INDEX(Records!$B$2:$AG$33, MATCH(Table1[[#This Row],[AwayTeam]],Records!$A$2:$A$33, 0), MATCH(Table1[[#This Row],[HomeTeam]],Records!$A$2:$A$33, 0))</f>
        <v>0-0-2</v>
      </c>
      <c r="AP277" s="64" t="str">
        <f>INDEX(Table2[HOME_RECORD], MATCH(Table1[[#This Row],[HomeTeam]],Table2[Team], 0), 0)</f>
        <v>1-0-0</v>
      </c>
      <c r="AQ277" s="64" t="str">
        <f>INDEX(Records!$B$2:$AG$33, MATCH(Table1[[#This Row],[HomeTeam]],Records!$A$2:$A$33, 0), MATCH(Table1[[#This Row],[AwayTeam]],Records!$A$2:$A$33, 0))</f>
        <v>2-0-0</v>
      </c>
    </row>
    <row r="278" spans="1:43" x14ac:dyDescent="0.25">
      <c r="A278" s="1"/>
      <c r="D278" t="s">
        <v>500</v>
      </c>
      <c r="E278" t="s">
        <v>432</v>
      </c>
      <c r="F278" t="s">
        <v>502</v>
      </c>
      <c r="G278" t="s">
        <v>17</v>
      </c>
      <c r="H278" t="s">
        <v>37</v>
      </c>
      <c r="L27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7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78" s="1"/>
      <c r="T278" s="64" t="str">
        <f>IF(Table1[[#This Row],[ActualWinner]]="", "", IF(Table1[[#This Row],[AwayTeam]]=Table1[[#This Row],[ActualWinner]],Table1[[#This Row],[HomeTeam]],Table1[[#This Row],[AwayTeam]]))</f>
        <v/>
      </c>
      <c r="U278" s="64">
        <f>Table1[[#This Row],[ActualAwayScore]]-Table1[[#This Row],[PredictedAwayScore]]</f>
        <v>0</v>
      </c>
      <c r="V278" s="64">
        <f>Table1[[#This Row],[ActualHomeScore]]-Table1[[#This Row],[PredictedHomeScore]]</f>
        <v>0</v>
      </c>
      <c r="W278" s="64">
        <f>(0.8*IF(Table1[[#This Row],[CorrectWinnerPrediction]]=1, 1, 0))+(0.1*IF(Table1[[#This Row],[CorrectAwayScorePrediction]]=1, 1, 0))+(0.1*IF(Table1[[#This Row],[CorrectHomeScorePrediction]]=1, 1, 0))</f>
        <v>0</v>
      </c>
      <c r="X27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78" s="64">
        <f>SUMIF(Table1[GameDate], Table1[[#This Row],[GameDate]], Table1[AwayGameGoalDiff])</f>
        <v>0</v>
      </c>
      <c r="AA278" s="64">
        <f>SUMIF(Table1[GameDate], Table1[[#This Row],[GameDate]], Table1[HomeGameGoalDiff])</f>
        <v>0</v>
      </c>
      <c r="AB278" s="64">
        <f>IF(ISBLANK(Table1[[#This Row],[ActualResult]]), 0, 1)</f>
        <v>0</v>
      </c>
      <c r="AC278" s="64">
        <f>IF(ISBLANK(Table1[[#This Row],[ActualResult]]), 0, IF(Table1[[#This Row],[ActualWinner]]=Table1[[#This Row],[PredictedWinner]], 1, 0))</f>
        <v>0</v>
      </c>
      <c r="AD27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7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78" s="64">
        <f>IF(AND(Table1[[#This Row],[GameIsOver]]=1,Table1[[#This Row],[ActualAwayScore]]=0), 1,0)</f>
        <v>0</v>
      </c>
      <c r="AG278" s="64">
        <f>IF(AND(Table1[[#This Row],[GameIsOver]]=1,Table1[[#This Row],[ActualHomeScore]]=0), 1,0)</f>
        <v>0</v>
      </c>
      <c r="AH278" s="64">
        <f>IF(Table1[[#This Row],[GameIsOver]]=0,0,IF(Table1[[#This Row],[ActualWinner]]=Table1[[#This Row],[AwayTeam]], 1, 0))</f>
        <v>0</v>
      </c>
      <c r="AI278" s="64">
        <f>IF(Table1[[#This Row],[GameIsOver]]=0,0,IF(Table1[[#This Row],[ActualWinner]]=Table1[[#This Row],[HomeTeam]], 1, 0))</f>
        <v>0</v>
      </c>
      <c r="AJ278" s="64">
        <f>IF(INDEX(Standings!$A$2:$C$33,MATCH(Table1[[#This Row],[AwayTeam]],Standings!$A$2:$A$33,0),2)=INDEX(Standings!$A$2:$C$33,MATCH(Table1[[#This Row],[HomeTeam]],Standings!$A$2:$A$33,0),2),1,0)</f>
        <v>1</v>
      </c>
      <c r="AK278" s="64">
        <f>IF(INDEX(Standings!$A$2:$C$33,MATCH(Table1[[#This Row],[AwayTeam]],Standings!$A$2:$A$33,0),3)=INDEX(Standings!$A$2:$C$33,MATCH(Table1[[#This Row],[HomeTeam]],Standings!$A$2:$A$33,0),3),1,0)</f>
        <v>1</v>
      </c>
      <c r="AL278" s="64">
        <f>IF(Table1[[#This Row],[InterConf]]=1,IF(Table1[[#This Row],[InterDiv]]=0, 1, 0), 0)</f>
        <v>0</v>
      </c>
      <c r="AM278" s="64">
        <f>IF(INDEX(Standings!$A$2:$C$33,MATCH(Table1[[#This Row],[AwayTeam]],Standings!$A$2:$A$33,0),2)&lt;&gt;INDEX(Standings!$A$2:$C$33,MATCH(Table1[[#This Row],[HomeTeam]],Standings!$A$2:$A$33,0),2),1,0)</f>
        <v>0</v>
      </c>
      <c r="AN278" s="64" t="str">
        <f>INDEX(Table2[AWAY_RECORD], MATCH(Table1[[#This Row],[AwayTeam]],Table2[Team], 0), 0)</f>
        <v>2-0-0</v>
      </c>
      <c r="AO278" s="64" t="str">
        <f>INDEX(Records!$B$2:$AG$33, MATCH(Table1[[#This Row],[AwayTeam]],Records!$A$2:$A$33, 0), MATCH(Table1[[#This Row],[HomeTeam]],Records!$A$2:$A$33, 0))</f>
        <v>0-0-0</v>
      </c>
      <c r="AP278" s="64" t="str">
        <f>INDEX(Table2[HOME_RECORD], MATCH(Table1[[#This Row],[HomeTeam]],Table2[Team], 0), 0)</f>
        <v>0-1-0</v>
      </c>
      <c r="AQ278" s="64" t="str">
        <f>INDEX(Records!$B$2:$AG$33, MATCH(Table1[[#This Row],[HomeTeam]],Records!$A$2:$A$33, 0), MATCH(Table1[[#This Row],[AwayTeam]],Records!$A$2:$A$33, 0))</f>
        <v>0-0-0</v>
      </c>
    </row>
    <row r="279" spans="1:43" x14ac:dyDescent="0.25">
      <c r="A279" s="1"/>
      <c r="D279" t="s">
        <v>500</v>
      </c>
      <c r="E279" t="s">
        <v>443</v>
      </c>
      <c r="F279" t="s">
        <v>503</v>
      </c>
      <c r="G279" t="s">
        <v>25</v>
      </c>
      <c r="H279" t="s">
        <v>38</v>
      </c>
      <c r="L27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7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79" s="1"/>
      <c r="T279" s="64" t="str">
        <f>IF(Table1[[#This Row],[ActualWinner]]="", "", IF(Table1[[#This Row],[AwayTeam]]=Table1[[#This Row],[ActualWinner]],Table1[[#This Row],[HomeTeam]],Table1[[#This Row],[AwayTeam]]))</f>
        <v/>
      </c>
      <c r="U279" s="64">
        <f>Table1[[#This Row],[ActualAwayScore]]-Table1[[#This Row],[PredictedAwayScore]]</f>
        <v>0</v>
      </c>
      <c r="V279" s="64">
        <f>Table1[[#This Row],[ActualHomeScore]]-Table1[[#This Row],[PredictedHomeScore]]</f>
        <v>0</v>
      </c>
      <c r="W279" s="64">
        <f>(0.8*IF(Table1[[#This Row],[CorrectWinnerPrediction]]=1, 1, 0))+(0.1*IF(Table1[[#This Row],[CorrectAwayScorePrediction]]=1, 1, 0))+(0.1*IF(Table1[[#This Row],[CorrectHomeScorePrediction]]=1, 1, 0))</f>
        <v>0</v>
      </c>
      <c r="X27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79" s="64">
        <f>SUMIF(Table1[GameDate], Table1[[#This Row],[GameDate]], Table1[AwayGameGoalDiff])</f>
        <v>0</v>
      </c>
      <c r="AA279" s="64">
        <f>SUMIF(Table1[GameDate], Table1[[#This Row],[GameDate]], Table1[HomeGameGoalDiff])</f>
        <v>0</v>
      </c>
      <c r="AB279" s="64">
        <f>IF(ISBLANK(Table1[[#This Row],[ActualResult]]), 0, 1)</f>
        <v>0</v>
      </c>
      <c r="AC279" s="64">
        <f>IF(ISBLANK(Table1[[#This Row],[ActualResult]]), 0, IF(Table1[[#This Row],[ActualWinner]]=Table1[[#This Row],[PredictedWinner]], 1, 0))</f>
        <v>0</v>
      </c>
      <c r="AD27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7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79" s="64">
        <f>IF(AND(Table1[[#This Row],[GameIsOver]]=1,Table1[[#This Row],[ActualAwayScore]]=0), 1,0)</f>
        <v>0</v>
      </c>
      <c r="AG279" s="64">
        <f>IF(AND(Table1[[#This Row],[GameIsOver]]=1,Table1[[#This Row],[ActualHomeScore]]=0), 1,0)</f>
        <v>0</v>
      </c>
      <c r="AH279" s="64">
        <f>IF(Table1[[#This Row],[GameIsOver]]=0,0,IF(Table1[[#This Row],[ActualWinner]]=Table1[[#This Row],[AwayTeam]], 1, 0))</f>
        <v>0</v>
      </c>
      <c r="AI279" s="64">
        <f>IF(Table1[[#This Row],[GameIsOver]]=0,0,IF(Table1[[#This Row],[ActualWinner]]=Table1[[#This Row],[HomeTeam]], 1, 0))</f>
        <v>0</v>
      </c>
      <c r="AJ279" s="64">
        <f>IF(INDEX(Standings!$A$2:$C$33,MATCH(Table1[[#This Row],[AwayTeam]],Standings!$A$2:$A$33,0),2)=INDEX(Standings!$A$2:$C$33,MATCH(Table1[[#This Row],[HomeTeam]],Standings!$A$2:$A$33,0),2),1,0)</f>
        <v>0</v>
      </c>
      <c r="AK279" s="64">
        <f>IF(INDEX(Standings!$A$2:$C$33,MATCH(Table1[[#This Row],[AwayTeam]],Standings!$A$2:$A$33,0),3)=INDEX(Standings!$A$2:$C$33,MATCH(Table1[[#This Row],[HomeTeam]],Standings!$A$2:$A$33,0),3),1,0)</f>
        <v>0</v>
      </c>
      <c r="AL279" s="64">
        <f>IF(Table1[[#This Row],[InterConf]]=1,IF(Table1[[#This Row],[InterDiv]]=0, 1, 0), 0)</f>
        <v>0</v>
      </c>
      <c r="AM279" s="64">
        <f>IF(INDEX(Standings!$A$2:$C$33,MATCH(Table1[[#This Row],[AwayTeam]],Standings!$A$2:$A$33,0),2)&lt;&gt;INDEX(Standings!$A$2:$C$33,MATCH(Table1[[#This Row],[HomeTeam]],Standings!$A$2:$A$33,0),2),1,0)</f>
        <v>1</v>
      </c>
      <c r="AN279" s="64" t="str">
        <f>INDEX(Table2[AWAY_RECORD], MATCH(Table1[[#This Row],[AwayTeam]],Table2[Team], 0), 0)</f>
        <v>0-0-0</v>
      </c>
      <c r="AO279" s="64" t="str">
        <f>INDEX(Records!$B$2:$AG$33, MATCH(Table1[[#This Row],[AwayTeam]],Records!$A$2:$A$33, 0), MATCH(Table1[[#This Row],[HomeTeam]],Records!$A$2:$A$33, 0))</f>
        <v>0-0-0</v>
      </c>
      <c r="AP279" s="64" t="str">
        <f>INDEX(Table2[HOME_RECORD], MATCH(Table1[[#This Row],[HomeTeam]],Table2[Team], 0), 0)</f>
        <v>0-0-0</v>
      </c>
      <c r="AQ279" s="64" t="str">
        <f>INDEX(Records!$B$2:$AG$33, MATCH(Table1[[#This Row],[HomeTeam]],Records!$A$2:$A$33, 0), MATCH(Table1[[#This Row],[AwayTeam]],Records!$A$2:$A$33, 0))</f>
        <v>0-0-0</v>
      </c>
    </row>
    <row r="280" spans="1:43" x14ac:dyDescent="0.25">
      <c r="A280" s="1"/>
      <c r="D280" t="s">
        <v>500</v>
      </c>
      <c r="E280" t="s">
        <v>162</v>
      </c>
      <c r="F280" t="s">
        <v>504</v>
      </c>
      <c r="G280" t="s">
        <v>49</v>
      </c>
      <c r="H280" t="s">
        <v>24</v>
      </c>
      <c r="L28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8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80" s="1"/>
      <c r="T280" s="64" t="str">
        <f>IF(Table1[[#This Row],[ActualWinner]]="", "", IF(Table1[[#This Row],[AwayTeam]]=Table1[[#This Row],[ActualWinner]],Table1[[#This Row],[HomeTeam]],Table1[[#This Row],[AwayTeam]]))</f>
        <v/>
      </c>
      <c r="U280" s="64">
        <f>Table1[[#This Row],[ActualAwayScore]]-Table1[[#This Row],[PredictedAwayScore]]</f>
        <v>0</v>
      </c>
      <c r="V280" s="64">
        <f>Table1[[#This Row],[ActualHomeScore]]-Table1[[#This Row],[PredictedHomeScore]]</f>
        <v>0</v>
      </c>
      <c r="W280" s="64">
        <f>(0.8*IF(Table1[[#This Row],[CorrectWinnerPrediction]]=1, 1, 0))+(0.1*IF(Table1[[#This Row],[CorrectAwayScorePrediction]]=1, 1, 0))+(0.1*IF(Table1[[#This Row],[CorrectHomeScorePrediction]]=1, 1, 0))</f>
        <v>0</v>
      </c>
      <c r="X28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80" s="64">
        <f>SUMIF(Table1[GameDate], Table1[[#This Row],[GameDate]], Table1[AwayGameGoalDiff])</f>
        <v>0</v>
      </c>
      <c r="AA280" s="64">
        <f>SUMIF(Table1[GameDate], Table1[[#This Row],[GameDate]], Table1[HomeGameGoalDiff])</f>
        <v>0</v>
      </c>
      <c r="AB280" s="64">
        <f>IF(ISBLANK(Table1[[#This Row],[ActualResult]]), 0, 1)</f>
        <v>0</v>
      </c>
      <c r="AC280" s="64">
        <f>IF(ISBLANK(Table1[[#This Row],[ActualResult]]), 0, IF(Table1[[#This Row],[ActualWinner]]=Table1[[#This Row],[PredictedWinner]], 1, 0))</f>
        <v>0</v>
      </c>
      <c r="AD28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8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80" s="64">
        <f>IF(AND(Table1[[#This Row],[GameIsOver]]=1,Table1[[#This Row],[ActualAwayScore]]=0), 1,0)</f>
        <v>0</v>
      </c>
      <c r="AG280" s="64">
        <f>IF(AND(Table1[[#This Row],[GameIsOver]]=1,Table1[[#This Row],[ActualHomeScore]]=0), 1,0)</f>
        <v>0</v>
      </c>
      <c r="AH280" s="64">
        <f>IF(Table1[[#This Row],[GameIsOver]]=0,0,IF(Table1[[#This Row],[ActualWinner]]=Table1[[#This Row],[AwayTeam]], 1, 0))</f>
        <v>0</v>
      </c>
      <c r="AI280" s="64">
        <f>IF(Table1[[#This Row],[GameIsOver]]=0,0,IF(Table1[[#This Row],[ActualWinner]]=Table1[[#This Row],[HomeTeam]], 1, 0))</f>
        <v>0</v>
      </c>
      <c r="AJ280" s="64">
        <f>IF(INDEX(Standings!$A$2:$C$33,MATCH(Table1[[#This Row],[AwayTeam]],Standings!$A$2:$A$33,0),2)=INDEX(Standings!$A$2:$C$33,MATCH(Table1[[#This Row],[HomeTeam]],Standings!$A$2:$A$33,0),2),1,0)</f>
        <v>1</v>
      </c>
      <c r="AK280" s="64">
        <f>IF(INDEX(Standings!$A$2:$C$33,MATCH(Table1[[#This Row],[AwayTeam]],Standings!$A$2:$A$33,0),3)=INDEX(Standings!$A$2:$C$33,MATCH(Table1[[#This Row],[HomeTeam]],Standings!$A$2:$A$33,0),3),1,0)</f>
        <v>0</v>
      </c>
      <c r="AL280" s="64">
        <f>IF(Table1[[#This Row],[InterConf]]=1,IF(Table1[[#This Row],[InterDiv]]=0, 1, 0), 0)</f>
        <v>1</v>
      </c>
      <c r="AM280" s="64">
        <f>IF(INDEX(Standings!$A$2:$C$33,MATCH(Table1[[#This Row],[AwayTeam]],Standings!$A$2:$A$33,0),2)&lt;&gt;INDEX(Standings!$A$2:$C$33,MATCH(Table1[[#This Row],[HomeTeam]],Standings!$A$2:$A$33,0),2),1,0)</f>
        <v>0</v>
      </c>
      <c r="AN280" s="64" t="str">
        <f>INDEX(Table2[AWAY_RECORD], MATCH(Table1[[#This Row],[AwayTeam]],Table2[Team], 0), 0)</f>
        <v>0-0-0</v>
      </c>
      <c r="AO280" s="64" t="str">
        <f>INDEX(Records!$B$2:$AG$33, MATCH(Table1[[#This Row],[AwayTeam]],Records!$A$2:$A$33, 0), MATCH(Table1[[#This Row],[HomeTeam]],Records!$A$2:$A$33, 0))</f>
        <v>0-0-0</v>
      </c>
      <c r="AP280" s="64" t="str">
        <f>INDEX(Table2[HOME_RECORD], MATCH(Table1[[#This Row],[HomeTeam]],Table2[Team], 0), 0)</f>
        <v>0-2-0</v>
      </c>
      <c r="AQ280" s="64" t="str">
        <f>INDEX(Records!$B$2:$AG$33, MATCH(Table1[[#This Row],[HomeTeam]],Records!$A$2:$A$33, 0), MATCH(Table1[[#This Row],[AwayTeam]],Records!$A$2:$A$33, 0))</f>
        <v>0-0-0</v>
      </c>
    </row>
    <row r="281" spans="1:43" x14ac:dyDescent="0.25">
      <c r="A281" s="1"/>
      <c r="D281" t="s">
        <v>500</v>
      </c>
      <c r="E281" t="s">
        <v>162</v>
      </c>
      <c r="F281" t="s">
        <v>505</v>
      </c>
      <c r="G281" t="s">
        <v>57</v>
      </c>
      <c r="H281" t="s">
        <v>60</v>
      </c>
      <c r="L28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8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81" s="1"/>
      <c r="T281" s="64" t="str">
        <f>IF(Table1[[#This Row],[ActualWinner]]="", "", IF(Table1[[#This Row],[AwayTeam]]=Table1[[#This Row],[ActualWinner]],Table1[[#This Row],[HomeTeam]],Table1[[#This Row],[AwayTeam]]))</f>
        <v/>
      </c>
      <c r="U281" s="64">
        <f>Table1[[#This Row],[ActualAwayScore]]-Table1[[#This Row],[PredictedAwayScore]]</f>
        <v>0</v>
      </c>
      <c r="V281" s="64">
        <f>Table1[[#This Row],[ActualHomeScore]]-Table1[[#This Row],[PredictedHomeScore]]</f>
        <v>0</v>
      </c>
      <c r="W281" s="64">
        <f>(0.8*IF(Table1[[#This Row],[CorrectWinnerPrediction]]=1, 1, 0))+(0.1*IF(Table1[[#This Row],[CorrectAwayScorePrediction]]=1, 1, 0))+(0.1*IF(Table1[[#This Row],[CorrectHomeScorePrediction]]=1, 1, 0))</f>
        <v>0</v>
      </c>
      <c r="X28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81" s="64">
        <f>SUMIF(Table1[GameDate], Table1[[#This Row],[GameDate]], Table1[AwayGameGoalDiff])</f>
        <v>0</v>
      </c>
      <c r="AA281" s="64">
        <f>SUMIF(Table1[GameDate], Table1[[#This Row],[GameDate]], Table1[HomeGameGoalDiff])</f>
        <v>0</v>
      </c>
      <c r="AB281" s="64">
        <f>IF(ISBLANK(Table1[[#This Row],[ActualResult]]), 0, 1)</f>
        <v>0</v>
      </c>
      <c r="AC281" s="64">
        <f>IF(ISBLANK(Table1[[#This Row],[ActualResult]]), 0, IF(Table1[[#This Row],[ActualWinner]]=Table1[[#This Row],[PredictedWinner]], 1, 0))</f>
        <v>0</v>
      </c>
      <c r="AD28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8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81" s="64">
        <f>IF(AND(Table1[[#This Row],[GameIsOver]]=1,Table1[[#This Row],[ActualAwayScore]]=0), 1,0)</f>
        <v>0</v>
      </c>
      <c r="AG281" s="64">
        <f>IF(AND(Table1[[#This Row],[GameIsOver]]=1,Table1[[#This Row],[ActualHomeScore]]=0), 1,0)</f>
        <v>0</v>
      </c>
      <c r="AH281" s="64">
        <f>IF(Table1[[#This Row],[GameIsOver]]=0,0,IF(Table1[[#This Row],[ActualWinner]]=Table1[[#This Row],[AwayTeam]], 1, 0))</f>
        <v>0</v>
      </c>
      <c r="AI281" s="64">
        <f>IF(Table1[[#This Row],[GameIsOver]]=0,0,IF(Table1[[#This Row],[ActualWinner]]=Table1[[#This Row],[HomeTeam]], 1, 0))</f>
        <v>0</v>
      </c>
      <c r="AJ281" s="64">
        <f>IF(INDEX(Standings!$A$2:$C$33,MATCH(Table1[[#This Row],[AwayTeam]],Standings!$A$2:$A$33,0),2)=INDEX(Standings!$A$2:$C$33,MATCH(Table1[[#This Row],[HomeTeam]],Standings!$A$2:$A$33,0),2),1,0)</f>
        <v>0</v>
      </c>
      <c r="AK281" s="64">
        <f>IF(INDEX(Standings!$A$2:$C$33,MATCH(Table1[[#This Row],[AwayTeam]],Standings!$A$2:$A$33,0),3)=INDEX(Standings!$A$2:$C$33,MATCH(Table1[[#This Row],[HomeTeam]],Standings!$A$2:$A$33,0),3),1,0)</f>
        <v>0</v>
      </c>
      <c r="AL281" s="64">
        <f>IF(Table1[[#This Row],[InterConf]]=1,IF(Table1[[#This Row],[InterDiv]]=0, 1, 0), 0)</f>
        <v>0</v>
      </c>
      <c r="AM281" s="64">
        <f>IF(INDEX(Standings!$A$2:$C$33,MATCH(Table1[[#This Row],[AwayTeam]],Standings!$A$2:$A$33,0),2)&lt;&gt;INDEX(Standings!$A$2:$C$33,MATCH(Table1[[#This Row],[HomeTeam]],Standings!$A$2:$A$33,0),2),1,0)</f>
        <v>1</v>
      </c>
      <c r="AN281" s="64" t="str">
        <f>INDEX(Table2[AWAY_RECORD], MATCH(Table1[[#This Row],[AwayTeam]],Table2[Team], 0), 0)</f>
        <v>0-1-0</v>
      </c>
      <c r="AO281" s="64" t="str">
        <f>INDEX(Records!$B$2:$AG$33, MATCH(Table1[[#This Row],[AwayTeam]],Records!$A$2:$A$33, 0), MATCH(Table1[[#This Row],[HomeTeam]],Records!$A$2:$A$33, 0))</f>
        <v>0-0-0</v>
      </c>
      <c r="AP281" s="64" t="str">
        <f>INDEX(Table2[HOME_RECORD], MATCH(Table1[[#This Row],[HomeTeam]],Table2[Team], 0), 0)</f>
        <v>1-0-0</v>
      </c>
      <c r="AQ281" s="64" t="str">
        <f>INDEX(Records!$B$2:$AG$33, MATCH(Table1[[#This Row],[HomeTeam]],Records!$A$2:$A$33, 0), MATCH(Table1[[#This Row],[AwayTeam]],Records!$A$2:$A$33, 0))</f>
        <v>0-0-0</v>
      </c>
    </row>
    <row r="282" spans="1:43" x14ac:dyDescent="0.25">
      <c r="A282" s="1"/>
      <c r="D282" t="s">
        <v>500</v>
      </c>
      <c r="E282" t="s">
        <v>162</v>
      </c>
      <c r="F282" t="s">
        <v>506</v>
      </c>
      <c r="G282" t="s">
        <v>53</v>
      </c>
      <c r="H282" t="s">
        <v>39</v>
      </c>
      <c r="L28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8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82" s="1"/>
      <c r="T282" s="64" t="str">
        <f>IF(Table1[[#This Row],[ActualWinner]]="", "", IF(Table1[[#This Row],[AwayTeam]]=Table1[[#This Row],[ActualWinner]],Table1[[#This Row],[HomeTeam]],Table1[[#This Row],[AwayTeam]]))</f>
        <v/>
      </c>
      <c r="U282" s="64">
        <f>Table1[[#This Row],[ActualAwayScore]]-Table1[[#This Row],[PredictedAwayScore]]</f>
        <v>0</v>
      </c>
      <c r="V282" s="64">
        <f>Table1[[#This Row],[ActualHomeScore]]-Table1[[#This Row],[PredictedHomeScore]]</f>
        <v>0</v>
      </c>
      <c r="W282" s="64">
        <f>(0.8*IF(Table1[[#This Row],[CorrectWinnerPrediction]]=1, 1, 0))+(0.1*IF(Table1[[#This Row],[CorrectAwayScorePrediction]]=1, 1, 0))+(0.1*IF(Table1[[#This Row],[CorrectHomeScorePrediction]]=1, 1, 0))</f>
        <v>0</v>
      </c>
      <c r="X28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82" s="64">
        <f>SUMIF(Table1[GameDate], Table1[[#This Row],[GameDate]], Table1[AwayGameGoalDiff])</f>
        <v>0</v>
      </c>
      <c r="AA282" s="64">
        <f>SUMIF(Table1[GameDate], Table1[[#This Row],[GameDate]], Table1[HomeGameGoalDiff])</f>
        <v>0</v>
      </c>
      <c r="AB282" s="64">
        <f>IF(ISBLANK(Table1[[#This Row],[ActualResult]]), 0, 1)</f>
        <v>0</v>
      </c>
      <c r="AC282" s="64">
        <f>IF(ISBLANK(Table1[[#This Row],[ActualResult]]), 0, IF(Table1[[#This Row],[ActualWinner]]=Table1[[#This Row],[PredictedWinner]], 1, 0))</f>
        <v>0</v>
      </c>
      <c r="AD28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8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82" s="64">
        <f>IF(AND(Table1[[#This Row],[GameIsOver]]=1,Table1[[#This Row],[ActualAwayScore]]=0), 1,0)</f>
        <v>0</v>
      </c>
      <c r="AG282" s="64">
        <f>IF(AND(Table1[[#This Row],[GameIsOver]]=1,Table1[[#This Row],[ActualHomeScore]]=0), 1,0)</f>
        <v>0</v>
      </c>
      <c r="AH282" s="64">
        <f>IF(Table1[[#This Row],[GameIsOver]]=0,0,IF(Table1[[#This Row],[ActualWinner]]=Table1[[#This Row],[AwayTeam]], 1, 0))</f>
        <v>0</v>
      </c>
      <c r="AI282" s="64">
        <f>IF(Table1[[#This Row],[GameIsOver]]=0,0,IF(Table1[[#This Row],[ActualWinner]]=Table1[[#This Row],[HomeTeam]], 1, 0))</f>
        <v>0</v>
      </c>
      <c r="AJ282" s="64">
        <f>IF(INDEX(Standings!$A$2:$C$33,MATCH(Table1[[#This Row],[AwayTeam]],Standings!$A$2:$A$33,0),2)=INDEX(Standings!$A$2:$C$33,MATCH(Table1[[#This Row],[HomeTeam]],Standings!$A$2:$A$33,0),2),1,0)</f>
        <v>0</v>
      </c>
      <c r="AK282" s="64">
        <f>IF(INDEX(Standings!$A$2:$C$33,MATCH(Table1[[#This Row],[AwayTeam]],Standings!$A$2:$A$33,0),3)=INDEX(Standings!$A$2:$C$33,MATCH(Table1[[#This Row],[HomeTeam]],Standings!$A$2:$A$33,0),3),1,0)</f>
        <v>0</v>
      </c>
      <c r="AL282" s="64">
        <f>IF(Table1[[#This Row],[InterConf]]=1,IF(Table1[[#This Row],[InterDiv]]=0, 1, 0), 0)</f>
        <v>0</v>
      </c>
      <c r="AM282" s="64">
        <f>IF(INDEX(Standings!$A$2:$C$33,MATCH(Table1[[#This Row],[AwayTeam]],Standings!$A$2:$A$33,0),2)&lt;&gt;INDEX(Standings!$A$2:$C$33,MATCH(Table1[[#This Row],[HomeTeam]],Standings!$A$2:$A$33,0),2),1,0)</f>
        <v>1</v>
      </c>
      <c r="AN282" s="64" t="str">
        <f>INDEX(Table2[AWAY_RECORD], MATCH(Table1[[#This Row],[AwayTeam]],Table2[Team], 0), 0)</f>
        <v>0-1-0</v>
      </c>
      <c r="AO282" s="64" t="str">
        <f>INDEX(Records!$B$2:$AG$33, MATCH(Table1[[#This Row],[AwayTeam]],Records!$A$2:$A$33, 0), MATCH(Table1[[#This Row],[HomeTeam]],Records!$A$2:$A$33, 0))</f>
        <v>0-0-0</v>
      </c>
      <c r="AP282" s="64" t="str">
        <f>INDEX(Table2[HOME_RECORD], MATCH(Table1[[#This Row],[HomeTeam]],Table2[Team], 0), 0)</f>
        <v>0-1-0</v>
      </c>
      <c r="AQ282" s="64" t="str">
        <f>INDEX(Records!$B$2:$AG$33, MATCH(Table1[[#This Row],[HomeTeam]],Records!$A$2:$A$33, 0), MATCH(Table1[[#This Row],[AwayTeam]],Records!$A$2:$A$33, 0))</f>
        <v>0-0-0</v>
      </c>
    </row>
    <row r="283" spans="1:43" x14ac:dyDescent="0.25">
      <c r="A283" s="1"/>
      <c r="D283" t="s">
        <v>500</v>
      </c>
      <c r="E283" t="s">
        <v>178</v>
      </c>
      <c r="F283" t="s">
        <v>507</v>
      </c>
      <c r="G283" t="s">
        <v>54</v>
      </c>
      <c r="H283" t="s">
        <v>36</v>
      </c>
      <c r="L28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8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83" s="1"/>
      <c r="T283" s="64" t="str">
        <f>IF(Table1[[#This Row],[ActualWinner]]="", "", IF(Table1[[#This Row],[AwayTeam]]=Table1[[#This Row],[ActualWinner]],Table1[[#This Row],[HomeTeam]],Table1[[#This Row],[AwayTeam]]))</f>
        <v/>
      </c>
      <c r="U283" s="64">
        <f>Table1[[#This Row],[ActualAwayScore]]-Table1[[#This Row],[PredictedAwayScore]]</f>
        <v>0</v>
      </c>
      <c r="V283" s="64">
        <f>Table1[[#This Row],[ActualHomeScore]]-Table1[[#This Row],[PredictedHomeScore]]</f>
        <v>0</v>
      </c>
      <c r="W283" s="64">
        <f>(0.8*IF(Table1[[#This Row],[CorrectWinnerPrediction]]=1, 1, 0))+(0.1*IF(Table1[[#This Row],[CorrectAwayScorePrediction]]=1, 1, 0))+(0.1*IF(Table1[[#This Row],[CorrectHomeScorePrediction]]=1, 1, 0))</f>
        <v>0</v>
      </c>
      <c r="X28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83" s="64">
        <f>SUMIF(Table1[GameDate], Table1[[#This Row],[GameDate]], Table1[AwayGameGoalDiff])</f>
        <v>0</v>
      </c>
      <c r="AA283" s="64">
        <f>SUMIF(Table1[GameDate], Table1[[#This Row],[GameDate]], Table1[HomeGameGoalDiff])</f>
        <v>0</v>
      </c>
      <c r="AB283" s="64">
        <f>IF(ISBLANK(Table1[[#This Row],[ActualResult]]), 0, 1)</f>
        <v>0</v>
      </c>
      <c r="AC283" s="64">
        <f>IF(ISBLANK(Table1[[#This Row],[ActualResult]]), 0, IF(Table1[[#This Row],[ActualWinner]]=Table1[[#This Row],[PredictedWinner]], 1, 0))</f>
        <v>0</v>
      </c>
      <c r="AD28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8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83" s="64">
        <f>IF(AND(Table1[[#This Row],[GameIsOver]]=1,Table1[[#This Row],[ActualAwayScore]]=0), 1,0)</f>
        <v>0</v>
      </c>
      <c r="AG283" s="64">
        <f>IF(AND(Table1[[#This Row],[GameIsOver]]=1,Table1[[#This Row],[ActualHomeScore]]=0), 1,0)</f>
        <v>0</v>
      </c>
      <c r="AH283" s="64">
        <f>IF(Table1[[#This Row],[GameIsOver]]=0,0,IF(Table1[[#This Row],[ActualWinner]]=Table1[[#This Row],[AwayTeam]], 1, 0))</f>
        <v>0</v>
      </c>
      <c r="AI283" s="64">
        <f>IF(Table1[[#This Row],[GameIsOver]]=0,0,IF(Table1[[#This Row],[ActualWinner]]=Table1[[#This Row],[HomeTeam]], 1, 0))</f>
        <v>0</v>
      </c>
      <c r="AJ283" s="64">
        <f>IF(INDEX(Standings!$A$2:$C$33,MATCH(Table1[[#This Row],[AwayTeam]],Standings!$A$2:$A$33,0),2)=INDEX(Standings!$A$2:$C$33,MATCH(Table1[[#This Row],[HomeTeam]],Standings!$A$2:$A$33,0),2),1,0)</f>
        <v>0</v>
      </c>
      <c r="AK283" s="64">
        <f>IF(INDEX(Standings!$A$2:$C$33,MATCH(Table1[[#This Row],[AwayTeam]],Standings!$A$2:$A$33,0),3)=INDEX(Standings!$A$2:$C$33,MATCH(Table1[[#This Row],[HomeTeam]],Standings!$A$2:$A$33,0),3),1,0)</f>
        <v>0</v>
      </c>
      <c r="AL283" s="64">
        <f>IF(Table1[[#This Row],[InterConf]]=1,IF(Table1[[#This Row],[InterDiv]]=0, 1, 0), 0)</f>
        <v>0</v>
      </c>
      <c r="AM283" s="64">
        <f>IF(INDEX(Standings!$A$2:$C$33,MATCH(Table1[[#This Row],[AwayTeam]],Standings!$A$2:$A$33,0),2)&lt;&gt;INDEX(Standings!$A$2:$C$33,MATCH(Table1[[#This Row],[HomeTeam]],Standings!$A$2:$A$33,0),2),1,0)</f>
        <v>1</v>
      </c>
      <c r="AN283" s="64" t="str">
        <f>INDEX(Table2[AWAY_RECORD], MATCH(Table1[[#This Row],[AwayTeam]],Table2[Team], 0), 0)</f>
        <v>0-0-1</v>
      </c>
      <c r="AO283" s="64" t="str">
        <f>INDEX(Records!$B$2:$AG$33, MATCH(Table1[[#This Row],[AwayTeam]],Records!$A$2:$A$33, 0), MATCH(Table1[[#This Row],[HomeTeam]],Records!$A$2:$A$33, 0))</f>
        <v>0-0-0</v>
      </c>
      <c r="AP283" s="64" t="str">
        <f>INDEX(Table2[HOME_RECORD], MATCH(Table1[[#This Row],[HomeTeam]],Table2[Team], 0), 0)</f>
        <v>0-0-0</v>
      </c>
      <c r="AQ283" s="64" t="str">
        <f>INDEX(Records!$B$2:$AG$33, MATCH(Table1[[#This Row],[HomeTeam]],Records!$A$2:$A$33, 0), MATCH(Table1[[#This Row],[AwayTeam]],Records!$A$2:$A$33, 0))</f>
        <v>0-0-0</v>
      </c>
    </row>
    <row r="284" spans="1:43" x14ac:dyDescent="0.25">
      <c r="A284" s="1"/>
      <c r="D284" t="s">
        <v>508</v>
      </c>
      <c r="E284" t="s">
        <v>178</v>
      </c>
      <c r="F284" t="s">
        <v>509</v>
      </c>
      <c r="G284" t="s">
        <v>51</v>
      </c>
      <c r="H284" t="s">
        <v>45</v>
      </c>
      <c r="L28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8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84" s="1"/>
      <c r="T284" s="64" t="str">
        <f>IF(Table1[[#This Row],[ActualWinner]]="", "", IF(Table1[[#This Row],[AwayTeam]]=Table1[[#This Row],[ActualWinner]],Table1[[#This Row],[HomeTeam]],Table1[[#This Row],[AwayTeam]]))</f>
        <v/>
      </c>
      <c r="U284" s="64">
        <f>Table1[[#This Row],[ActualAwayScore]]-Table1[[#This Row],[PredictedAwayScore]]</f>
        <v>0</v>
      </c>
      <c r="V284" s="64">
        <f>Table1[[#This Row],[ActualHomeScore]]-Table1[[#This Row],[PredictedHomeScore]]</f>
        <v>0</v>
      </c>
      <c r="W284" s="64">
        <f>(0.8*IF(Table1[[#This Row],[CorrectWinnerPrediction]]=1, 1, 0))+(0.1*IF(Table1[[#This Row],[CorrectAwayScorePrediction]]=1, 1, 0))+(0.1*IF(Table1[[#This Row],[CorrectHomeScorePrediction]]=1, 1, 0))</f>
        <v>0</v>
      </c>
      <c r="X28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84" s="64">
        <f>SUMIF(Table1[GameDate], Table1[[#This Row],[GameDate]], Table1[AwayGameGoalDiff])</f>
        <v>0</v>
      </c>
      <c r="AA284" s="64">
        <f>SUMIF(Table1[GameDate], Table1[[#This Row],[GameDate]], Table1[HomeGameGoalDiff])</f>
        <v>0</v>
      </c>
      <c r="AB284" s="64">
        <f>IF(ISBLANK(Table1[[#This Row],[ActualResult]]), 0, 1)</f>
        <v>0</v>
      </c>
      <c r="AC284" s="64">
        <f>IF(ISBLANK(Table1[[#This Row],[ActualResult]]), 0, IF(Table1[[#This Row],[ActualWinner]]=Table1[[#This Row],[PredictedWinner]], 1, 0))</f>
        <v>0</v>
      </c>
      <c r="AD28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8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84" s="64">
        <f>IF(AND(Table1[[#This Row],[GameIsOver]]=1,Table1[[#This Row],[ActualAwayScore]]=0), 1,0)</f>
        <v>0</v>
      </c>
      <c r="AG284" s="64">
        <f>IF(AND(Table1[[#This Row],[GameIsOver]]=1,Table1[[#This Row],[ActualHomeScore]]=0), 1,0)</f>
        <v>0</v>
      </c>
      <c r="AH284" s="64">
        <f>IF(Table1[[#This Row],[GameIsOver]]=0,0,IF(Table1[[#This Row],[ActualWinner]]=Table1[[#This Row],[AwayTeam]], 1, 0))</f>
        <v>0</v>
      </c>
      <c r="AI284" s="64">
        <f>IF(Table1[[#This Row],[GameIsOver]]=0,0,IF(Table1[[#This Row],[ActualWinner]]=Table1[[#This Row],[HomeTeam]], 1, 0))</f>
        <v>0</v>
      </c>
      <c r="AJ284" s="64">
        <f>IF(INDEX(Standings!$A$2:$C$33,MATCH(Table1[[#This Row],[AwayTeam]],Standings!$A$2:$A$33,0),2)=INDEX(Standings!$A$2:$C$33,MATCH(Table1[[#This Row],[HomeTeam]],Standings!$A$2:$A$33,0),2),1,0)</f>
        <v>0</v>
      </c>
      <c r="AK284" s="64">
        <f>IF(INDEX(Standings!$A$2:$C$33,MATCH(Table1[[#This Row],[AwayTeam]],Standings!$A$2:$A$33,0),3)=INDEX(Standings!$A$2:$C$33,MATCH(Table1[[#This Row],[HomeTeam]],Standings!$A$2:$A$33,0),3),1,0)</f>
        <v>0</v>
      </c>
      <c r="AL284" s="64">
        <f>IF(Table1[[#This Row],[InterConf]]=1,IF(Table1[[#This Row],[InterDiv]]=0, 1, 0), 0)</f>
        <v>0</v>
      </c>
      <c r="AM284" s="64">
        <f>IF(INDEX(Standings!$A$2:$C$33,MATCH(Table1[[#This Row],[AwayTeam]],Standings!$A$2:$A$33,0),2)&lt;&gt;INDEX(Standings!$A$2:$C$33,MATCH(Table1[[#This Row],[HomeTeam]],Standings!$A$2:$A$33,0),2),1,0)</f>
        <v>1</v>
      </c>
      <c r="AN284" s="64" t="str">
        <f>INDEX(Table2[AWAY_RECORD], MATCH(Table1[[#This Row],[AwayTeam]],Table2[Team], 0), 0)</f>
        <v>2-0-0</v>
      </c>
      <c r="AO284" s="64" t="str">
        <f>INDEX(Records!$B$2:$AG$33, MATCH(Table1[[#This Row],[AwayTeam]],Records!$A$2:$A$33, 0), MATCH(Table1[[#This Row],[HomeTeam]],Records!$A$2:$A$33, 0))</f>
        <v>0-0-0</v>
      </c>
      <c r="AP284" s="64" t="str">
        <f>INDEX(Table2[HOME_RECORD], MATCH(Table1[[#This Row],[HomeTeam]],Table2[Team], 0), 0)</f>
        <v>1-0-0</v>
      </c>
      <c r="AQ284" s="64" t="str">
        <f>INDEX(Records!$B$2:$AG$33, MATCH(Table1[[#This Row],[HomeTeam]],Records!$A$2:$A$33, 0), MATCH(Table1[[#This Row],[AwayTeam]],Records!$A$2:$A$33, 0))</f>
        <v>0-0-0</v>
      </c>
    </row>
    <row r="285" spans="1:43" x14ac:dyDescent="0.25">
      <c r="A285" s="1"/>
      <c r="D285" t="s">
        <v>508</v>
      </c>
      <c r="E285" t="s">
        <v>166</v>
      </c>
      <c r="F285" t="s">
        <v>510</v>
      </c>
      <c r="G285" t="s">
        <v>53</v>
      </c>
      <c r="H285" t="s">
        <v>23</v>
      </c>
      <c r="L28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8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85" s="1"/>
      <c r="T285" s="64" t="str">
        <f>IF(Table1[[#This Row],[ActualWinner]]="", "", IF(Table1[[#This Row],[AwayTeam]]=Table1[[#This Row],[ActualWinner]],Table1[[#This Row],[HomeTeam]],Table1[[#This Row],[AwayTeam]]))</f>
        <v/>
      </c>
      <c r="U285" s="64">
        <f>Table1[[#This Row],[ActualAwayScore]]-Table1[[#This Row],[PredictedAwayScore]]</f>
        <v>0</v>
      </c>
      <c r="V285" s="64">
        <f>Table1[[#This Row],[ActualHomeScore]]-Table1[[#This Row],[PredictedHomeScore]]</f>
        <v>0</v>
      </c>
      <c r="W285" s="64">
        <f>(0.8*IF(Table1[[#This Row],[CorrectWinnerPrediction]]=1, 1, 0))+(0.1*IF(Table1[[#This Row],[CorrectAwayScorePrediction]]=1, 1, 0))+(0.1*IF(Table1[[#This Row],[CorrectHomeScorePrediction]]=1, 1, 0))</f>
        <v>0</v>
      </c>
      <c r="X28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85" s="64">
        <f>SUMIF(Table1[GameDate], Table1[[#This Row],[GameDate]], Table1[AwayGameGoalDiff])</f>
        <v>0</v>
      </c>
      <c r="AA285" s="64">
        <f>SUMIF(Table1[GameDate], Table1[[#This Row],[GameDate]], Table1[HomeGameGoalDiff])</f>
        <v>0</v>
      </c>
      <c r="AB285" s="64">
        <f>IF(ISBLANK(Table1[[#This Row],[ActualResult]]), 0, 1)</f>
        <v>0</v>
      </c>
      <c r="AC285" s="64">
        <f>IF(ISBLANK(Table1[[#This Row],[ActualResult]]), 0, IF(Table1[[#This Row],[ActualWinner]]=Table1[[#This Row],[PredictedWinner]], 1, 0))</f>
        <v>0</v>
      </c>
      <c r="AD28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8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85" s="64">
        <f>IF(AND(Table1[[#This Row],[GameIsOver]]=1,Table1[[#This Row],[ActualAwayScore]]=0), 1,0)</f>
        <v>0</v>
      </c>
      <c r="AG285" s="64">
        <f>IF(AND(Table1[[#This Row],[GameIsOver]]=1,Table1[[#This Row],[ActualHomeScore]]=0), 1,0)</f>
        <v>0</v>
      </c>
      <c r="AH285" s="64">
        <f>IF(Table1[[#This Row],[GameIsOver]]=0,0,IF(Table1[[#This Row],[ActualWinner]]=Table1[[#This Row],[AwayTeam]], 1, 0))</f>
        <v>0</v>
      </c>
      <c r="AI285" s="64">
        <f>IF(Table1[[#This Row],[GameIsOver]]=0,0,IF(Table1[[#This Row],[ActualWinner]]=Table1[[#This Row],[HomeTeam]], 1, 0))</f>
        <v>0</v>
      </c>
      <c r="AJ285" s="64">
        <f>IF(INDEX(Standings!$A$2:$C$33,MATCH(Table1[[#This Row],[AwayTeam]],Standings!$A$2:$A$33,0),2)=INDEX(Standings!$A$2:$C$33,MATCH(Table1[[#This Row],[HomeTeam]],Standings!$A$2:$A$33,0),2),1,0)</f>
        <v>0</v>
      </c>
      <c r="AK285" s="64">
        <f>IF(INDEX(Standings!$A$2:$C$33,MATCH(Table1[[#This Row],[AwayTeam]],Standings!$A$2:$A$33,0),3)=INDEX(Standings!$A$2:$C$33,MATCH(Table1[[#This Row],[HomeTeam]],Standings!$A$2:$A$33,0),3),1,0)</f>
        <v>0</v>
      </c>
      <c r="AL285" s="64">
        <f>IF(Table1[[#This Row],[InterConf]]=1,IF(Table1[[#This Row],[InterDiv]]=0, 1, 0), 0)</f>
        <v>0</v>
      </c>
      <c r="AM285" s="64">
        <f>IF(INDEX(Standings!$A$2:$C$33,MATCH(Table1[[#This Row],[AwayTeam]],Standings!$A$2:$A$33,0),2)&lt;&gt;INDEX(Standings!$A$2:$C$33,MATCH(Table1[[#This Row],[HomeTeam]],Standings!$A$2:$A$33,0),2),1,0)</f>
        <v>1</v>
      </c>
      <c r="AN285" s="64" t="str">
        <f>INDEX(Table2[AWAY_RECORD], MATCH(Table1[[#This Row],[AwayTeam]],Table2[Team], 0), 0)</f>
        <v>0-1-0</v>
      </c>
      <c r="AO285" s="64" t="str">
        <f>INDEX(Records!$B$2:$AG$33, MATCH(Table1[[#This Row],[AwayTeam]],Records!$A$2:$A$33, 0), MATCH(Table1[[#This Row],[HomeTeam]],Records!$A$2:$A$33, 0))</f>
        <v>0-0-0</v>
      </c>
      <c r="AP285" s="64" t="str">
        <f>INDEX(Table2[HOME_RECORD], MATCH(Table1[[#This Row],[HomeTeam]],Table2[Team], 0), 0)</f>
        <v>0-0-1</v>
      </c>
      <c r="AQ285" s="64" t="str">
        <f>INDEX(Records!$B$2:$AG$33, MATCH(Table1[[#This Row],[HomeTeam]],Records!$A$2:$A$33, 0), MATCH(Table1[[#This Row],[AwayTeam]],Records!$A$2:$A$33, 0))</f>
        <v>0-0-0</v>
      </c>
    </row>
    <row r="286" spans="1:43" x14ac:dyDescent="0.25">
      <c r="A286" s="1"/>
      <c r="D286" t="s">
        <v>511</v>
      </c>
      <c r="E286" t="s">
        <v>298</v>
      </c>
      <c r="F286" t="s">
        <v>512</v>
      </c>
      <c r="G286" t="s">
        <v>50</v>
      </c>
      <c r="H286" t="s">
        <v>55</v>
      </c>
      <c r="L28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8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86" s="1"/>
      <c r="T286" s="64" t="str">
        <f>IF(Table1[[#This Row],[ActualWinner]]="", "", IF(Table1[[#This Row],[AwayTeam]]=Table1[[#This Row],[ActualWinner]],Table1[[#This Row],[HomeTeam]],Table1[[#This Row],[AwayTeam]]))</f>
        <v/>
      </c>
      <c r="U286" s="64">
        <f>Table1[[#This Row],[ActualAwayScore]]-Table1[[#This Row],[PredictedAwayScore]]</f>
        <v>0</v>
      </c>
      <c r="V286" s="64">
        <f>Table1[[#This Row],[ActualHomeScore]]-Table1[[#This Row],[PredictedHomeScore]]</f>
        <v>0</v>
      </c>
      <c r="W286" s="64">
        <f>(0.8*IF(Table1[[#This Row],[CorrectWinnerPrediction]]=1, 1, 0))+(0.1*IF(Table1[[#This Row],[CorrectAwayScorePrediction]]=1, 1, 0))+(0.1*IF(Table1[[#This Row],[CorrectHomeScorePrediction]]=1, 1, 0))</f>
        <v>0</v>
      </c>
      <c r="X28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86" s="64">
        <f>SUMIF(Table1[GameDate], Table1[[#This Row],[GameDate]], Table1[AwayGameGoalDiff])</f>
        <v>0</v>
      </c>
      <c r="AA286" s="64">
        <f>SUMIF(Table1[GameDate], Table1[[#This Row],[GameDate]], Table1[HomeGameGoalDiff])</f>
        <v>0</v>
      </c>
      <c r="AB286" s="64">
        <f>IF(ISBLANK(Table1[[#This Row],[ActualResult]]), 0, 1)</f>
        <v>0</v>
      </c>
      <c r="AC286" s="64">
        <f>IF(ISBLANK(Table1[[#This Row],[ActualResult]]), 0, IF(Table1[[#This Row],[ActualWinner]]=Table1[[#This Row],[PredictedWinner]], 1, 0))</f>
        <v>0</v>
      </c>
      <c r="AD28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8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86" s="64">
        <f>IF(AND(Table1[[#This Row],[GameIsOver]]=1,Table1[[#This Row],[ActualAwayScore]]=0), 1,0)</f>
        <v>0</v>
      </c>
      <c r="AG286" s="64">
        <f>IF(AND(Table1[[#This Row],[GameIsOver]]=1,Table1[[#This Row],[ActualHomeScore]]=0), 1,0)</f>
        <v>0</v>
      </c>
      <c r="AH286" s="64">
        <f>IF(Table1[[#This Row],[GameIsOver]]=0,0,IF(Table1[[#This Row],[ActualWinner]]=Table1[[#This Row],[AwayTeam]], 1, 0))</f>
        <v>0</v>
      </c>
      <c r="AI286" s="64">
        <f>IF(Table1[[#This Row],[GameIsOver]]=0,0,IF(Table1[[#This Row],[ActualWinner]]=Table1[[#This Row],[HomeTeam]], 1, 0))</f>
        <v>0</v>
      </c>
      <c r="AJ286" s="64">
        <f>IF(INDEX(Standings!$A$2:$C$33,MATCH(Table1[[#This Row],[AwayTeam]],Standings!$A$2:$A$33,0),2)=INDEX(Standings!$A$2:$C$33,MATCH(Table1[[#This Row],[HomeTeam]],Standings!$A$2:$A$33,0),2),1,0)</f>
        <v>0</v>
      </c>
      <c r="AK286" s="64">
        <f>IF(INDEX(Standings!$A$2:$C$33,MATCH(Table1[[#This Row],[AwayTeam]],Standings!$A$2:$A$33,0),3)=INDEX(Standings!$A$2:$C$33,MATCH(Table1[[#This Row],[HomeTeam]],Standings!$A$2:$A$33,0),3),1,0)</f>
        <v>0</v>
      </c>
      <c r="AL286" s="64">
        <f>IF(Table1[[#This Row],[InterConf]]=1,IF(Table1[[#This Row],[InterDiv]]=0, 1, 0), 0)</f>
        <v>0</v>
      </c>
      <c r="AM286" s="64">
        <f>IF(INDEX(Standings!$A$2:$C$33,MATCH(Table1[[#This Row],[AwayTeam]],Standings!$A$2:$A$33,0),2)&lt;&gt;INDEX(Standings!$A$2:$C$33,MATCH(Table1[[#This Row],[HomeTeam]],Standings!$A$2:$A$33,0),2),1,0)</f>
        <v>1</v>
      </c>
      <c r="AN286" s="64" t="str">
        <f>INDEX(Table2[AWAY_RECORD], MATCH(Table1[[#This Row],[AwayTeam]],Table2[Team], 0), 0)</f>
        <v>1-0-0</v>
      </c>
      <c r="AO286" s="64" t="str">
        <f>INDEX(Records!$B$2:$AG$33, MATCH(Table1[[#This Row],[AwayTeam]],Records!$A$2:$A$33, 0), MATCH(Table1[[#This Row],[HomeTeam]],Records!$A$2:$A$33, 0))</f>
        <v>0-0-0</v>
      </c>
      <c r="AP286" s="64" t="str">
        <f>INDEX(Table2[HOME_RECORD], MATCH(Table1[[#This Row],[HomeTeam]],Table2[Team], 0), 0)</f>
        <v>0-1-0</v>
      </c>
      <c r="AQ286" s="64" t="str">
        <f>INDEX(Records!$B$2:$AG$33, MATCH(Table1[[#This Row],[HomeTeam]],Records!$A$2:$A$33, 0), MATCH(Table1[[#This Row],[AwayTeam]],Records!$A$2:$A$33, 0))</f>
        <v>0-0-0</v>
      </c>
    </row>
    <row r="287" spans="1:43" x14ac:dyDescent="0.25">
      <c r="A287" s="1"/>
      <c r="D287" t="s">
        <v>511</v>
      </c>
      <c r="E287" t="s">
        <v>162</v>
      </c>
      <c r="F287" t="s">
        <v>513</v>
      </c>
      <c r="G287" t="s">
        <v>41</v>
      </c>
      <c r="H287" t="s">
        <v>24</v>
      </c>
      <c r="L28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8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87" s="1"/>
      <c r="T287" s="64" t="str">
        <f>IF(Table1[[#This Row],[ActualWinner]]="", "", IF(Table1[[#This Row],[AwayTeam]]=Table1[[#This Row],[ActualWinner]],Table1[[#This Row],[HomeTeam]],Table1[[#This Row],[AwayTeam]]))</f>
        <v/>
      </c>
      <c r="U287" s="64">
        <f>Table1[[#This Row],[ActualAwayScore]]-Table1[[#This Row],[PredictedAwayScore]]</f>
        <v>0</v>
      </c>
      <c r="V287" s="64">
        <f>Table1[[#This Row],[ActualHomeScore]]-Table1[[#This Row],[PredictedHomeScore]]</f>
        <v>0</v>
      </c>
      <c r="W287" s="64">
        <f>(0.8*IF(Table1[[#This Row],[CorrectWinnerPrediction]]=1, 1, 0))+(0.1*IF(Table1[[#This Row],[CorrectAwayScorePrediction]]=1, 1, 0))+(0.1*IF(Table1[[#This Row],[CorrectHomeScorePrediction]]=1, 1, 0))</f>
        <v>0</v>
      </c>
      <c r="X28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87" s="64">
        <f>SUMIF(Table1[GameDate], Table1[[#This Row],[GameDate]], Table1[AwayGameGoalDiff])</f>
        <v>0</v>
      </c>
      <c r="AA287" s="64">
        <f>SUMIF(Table1[GameDate], Table1[[#This Row],[GameDate]], Table1[HomeGameGoalDiff])</f>
        <v>0</v>
      </c>
      <c r="AB287" s="64">
        <f>IF(ISBLANK(Table1[[#This Row],[ActualResult]]), 0, 1)</f>
        <v>0</v>
      </c>
      <c r="AC287" s="64">
        <f>IF(ISBLANK(Table1[[#This Row],[ActualResult]]), 0, IF(Table1[[#This Row],[ActualWinner]]=Table1[[#This Row],[PredictedWinner]], 1, 0))</f>
        <v>0</v>
      </c>
      <c r="AD28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8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87" s="64">
        <f>IF(AND(Table1[[#This Row],[GameIsOver]]=1,Table1[[#This Row],[ActualAwayScore]]=0), 1,0)</f>
        <v>0</v>
      </c>
      <c r="AG287" s="64">
        <f>IF(AND(Table1[[#This Row],[GameIsOver]]=1,Table1[[#This Row],[ActualHomeScore]]=0), 1,0)</f>
        <v>0</v>
      </c>
      <c r="AH287" s="64">
        <f>IF(Table1[[#This Row],[GameIsOver]]=0,0,IF(Table1[[#This Row],[ActualWinner]]=Table1[[#This Row],[AwayTeam]], 1, 0))</f>
        <v>0</v>
      </c>
      <c r="AI287" s="64">
        <f>IF(Table1[[#This Row],[GameIsOver]]=0,0,IF(Table1[[#This Row],[ActualWinner]]=Table1[[#This Row],[HomeTeam]], 1, 0))</f>
        <v>0</v>
      </c>
      <c r="AJ287" s="64">
        <f>IF(INDEX(Standings!$A$2:$C$33,MATCH(Table1[[#This Row],[AwayTeam]],Standings!$A$2:$A$33,0),2)=INDEX(Standings!$A$2:$C$33,MATCH(Table1[[#This Row],[HomeTeam]],Standings!$A$2:$A$33,0),2),1,0)</f>
        <v>0</v>
      </c>
      <c r="AK287" s="64">
        <f>IF(INDEX(Standings!$A$2:$C$33,MATCH(Table1[[#This Row],[AwayTeam]],Standings!$A$2:$A$33,0),3)=INDEX(Standings!$A$2:$C$33,MATCH(Table1[[#This Row],[HomeTeam]],Standings!$A$2:$A$33,0),3),1,0)</f>
        <v>0</v>
      </c>
      <c r="AL287" s="64">
        <f>IF(Table1[[#This Row],[InterConf]]=1,IF(Table1[[#This Row],[InterDiv]]=0, 1, 0), 0)</f>
        <v>0</v>
      </c>
      <c r="AM287" s="64">
        <f>IF(INDEX(Standings!$A$2:$C$33,MATCH(Table1[[#This Row],[AwayTeam]],Standings!$A$2:$A$33,0),2)&lt;&gt;INDEX(Standings!$A$2:$C$33,MATCH(Table1[[#This Row],[HomeTeam]],Standings!$A$2:$A$33,0),2),1,0)</f>
        <v>1</v>
      </c>
      <c r="AN287" s="64" t="str">
        <f>INDEX(Table2[AWAY_RECORD], MATCH(Table1[[#This Row],[AwayTeam]],Table2[Team], 0), 0)</f>
        <v>0-0-0</v>
      </c>
      <c r="AO287" s="64" t="str">
        <f>INDEX(Records!$B$2:$AG$33, MATCH(Table1[[#This Row],[AwayTeam]],Records!$A$2:$A$33, 0), MATCH(Table1[[#This Row],[HomeTeam]],Records!$A$2:$A$33, 0))</f>
        <v>0-0-0</v>
      </c>
      <c r="AP287" s="64" t="str">
        <f>INDEX(Table2[HOME_RECORD], MATCH(Table1[[#This Row],[HomeTeam]],Table2[Team], 0), 0)</f>
        <v>0-2-0</v>
      </c>
      <c r="AQ287" s="64" t="str">
        <f>INDEX(Records!$B$2:$AG$33, MATCH(Table1[[#This Row],[HomeTeam]],Records!$A$2:$A$33, 0), MATCH(Table1[[#This Row],[AwayTeam]],Records!$A$2:$A$33, 0))</f>
        <v>0-0-0</v>
      </c>
    </row>
    <row r="288" spans="1:43" x14ac:dyDescent="0.25">
      <c r="A288" s="1"/>
      <c r="D288" t="s">
        <v>511</v>
      </c>
      <c r="E288" t="s">
        <v>162</v>
      </c>
      <c r="F288" t="s">
        <v>514</v>
      </c>
      <c r="G288" t="s">
        <v>22</v>
      </c>
      <c r="H288" t="s">
        <v>47</v>
      </c>
      <c r="L28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8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88" s="1"/>
      <c r="T288" s="64" t="str">
        <f>IF(Table1[[#This Row],[ActualWinner]]="", "", IF(Table1[[#This Row],[AwayTeam]]=Table1[[#This Row],[ActualWinner]],Table1[[#This Row],[HomeTeam]],Table1[[#This Row],[AwayTeam]]))</f>
        <v/>
      </c>
      <c r="U288" s="64">
        <f>Table1[[#This Row],[ActualAwayScore]]-Table1[[#This Row],[PredictedAwayScore]]</f>
        <v>0</v>
      </c>
      <c r="V288" s="64">
        <f>Table1[[#This Row],[ActualHomeScore]]-Table1[[#This Row],[PredictedHomeScore]]</f>
        <v>0</v>
      </c>
      <c r="W288" s="64">
        <f>(0.8*IF(Table1[[#This Row],[CorrectWinnerPrediction]]=1, 1, 0))+(0.1*IF(Table1[[#This Row],[CorrectAwayScorePrediction]]=1, 1, 0))+(0.1*IF(Table1[[#This Row],[CorrectHomeScorePrediction]]=1, 1, 0))</f>
        <v>0</v>
      </c>
      <c r="X28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88" s="64">
        <f>SUMIF(Table1[GameDate], Table1[[#This Row],[GameDate]], Table1[AwayGameGoalDiff])</f>
        <v>0</v>
      </c>
      <c r="AA288" s="64">
        <f>SUMIF(Table1[GameDate], Table1[[#This Row],[GameDate]], Table1[HomeGameGoalDiff])</f>
        <v>0</v>
      </c>
      <c r="AB288" s="64">
        <f>IF(ISBLANK(Table1[[#This Row],[ActualResult]]), 0, 1)</f>
        <v>0</v>
      </c>
      <c r="AC288" s="64">
        <f>IF(ISBLANK(Table1[[#This Row],[ActualResult]]), 0, IF(Table1[[#This Row],[ActualWinner]]=Table1[[#This Row],[PredictedWinner]], 1, 0))</f>
        <v>0</v>
      </c>
      <c r="AD28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8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88" s="64">
        <f>IF(AND(Table1[[#This Row],[GameIsOver]]=1,Table1[[#This Row],[ActualAwayScore]]=0), 1,0)</f>
        <v>0</v>
      </c>
      <c r="AG288" s="64">
        <f>IF(AND(Table1[[#This Row],[GameIsOver]]=1,Table1[[#This Row],[ActualHomeScore]]=0), 1,0)</f>
        <v>0</v>
      </c>
      <c r="AH288" s="64">
        <f>IF(Table1[[#This Row],[GameIsOver]]=0,0,IF(Table1[[#This Row],[ActualWinner]]=Table1[[#This Row],[AwayTeam]], 1, 0))</f>
        <v>0</v>
      </c>
      <c r="AI288" s="64">
        <f>IF(Table1[[#This Row],[GameIsOver]]=0,0,IF(Table1[[#This Row],[ActualWinner]]=Table1[[#This Row],[HomeTeam]], 1, 0))</f>
        <v>0</v>
      </c>
      <c r="AJ288" s="64">
        <f>IF(INDEX(Standings!$A$2:$C$33,MATCH(Table1[[#This Row],[AwayTeam]],Standings!$A$2:$A$33,0),2)=INDEX(Standings!$A$2:$C$33,MATCH(Table1[[#This Row],[HomeTeam]],Standings!$A$2:$A$33,0),2),1,0)</f>
        <v>0</v>
      </c>
      <c r="AK288" s="64">
        <f>IF(INDEX(Standings!$A$2:$C$33,MATCH(Table1[[#This Row],[AwayTeam]],Standings!$A$2:$A$33,0),3)=INDEX(Standings!$A$2:$C$33,MATCH(Table1[[#This Row],[HomeTeam]],Standings!$A$2:$A$33,0),3),1,0)</f>
        <v>0</v>
      </c>
      <c r="AL288" s="64">
        <f>IF(Table1[[#This Row],[InterConf]]=1,IF(Table1[[#This Row],[InterDiv]]=0, 1, 0), 0)</f>
        <v>0</v>
      </c>
      <c r="AM288" s="64">
        <f>IF(INDEX(Standings!$A$2:$C$33,MATCH(Table1[[#This Row],[AwayTeam]],Standings!$A$2:$A$33,0),2)&lt;&gt;INDEX(Standings!$A$2:$C$33,MATCH(Table1[[#This Row],[HomeTeam]],Standings!$A$2:$A$33,0),2),1,0)</f>
        <v>1</v>
      </c>
      <c r="AN288" s="64" t="str">
        <f>INDEX(Table2[AWAY_RECORD], MATCH(Table1[[#This Row],[AwayTeam]],Table2[Team], 0), 0)</f>
        <v>0-0-1</v>
      </c>
      <c r="AO288" s="64" t="str">
        <f>INDEX(Records!$B$2:$AG$33, MATCH(Table1[[#This Row],[AwayTeam]],Records!$A$2:$A$33, 0), MATCH(Table1[[#This Row],[HomeTeam]],Records!$A$2:$A$33, 0))</f>
        <v>0-0-0</v>
      </c>
      <c r="AP288" s="64" t="str">
        <f>INDEX(Table2[HOME_RECORD], MATCH(Table1[[#This Row],[HomeTeam]],Table2[Team], 0), 0)</f>
        <v>0-0-0</v>
      </c>
      <c r="AQ288" s="64" t="str">
        <f>INDEX(Records!$B$2:$AG$33, MATCH(Table1[[#This Row],[HomeTeam]],Records!$A$2:$A$33, 0), MATCH(Table1[[#This Row],[AwayTeam]],Records!$A$2:$A$33, 0))</f>
        <v>0-0-0</v>
      </c>
    </row>
    <row r="289" spans="1:43" x14ac:dyDescent="0.25">
      <c r="A289" s="1"/>
      <c r="D289" t="s">
        <v>511</v>
      </c>
      <c r="E289" t="s">
        <v>162</v>
      </c>
      <c r="F289" t="s">
        <v>515</v>
      </c>
      <c r="G289" t="s">
        <v>59</v>
      </c>
      <c r="H289" t="s">
        <v>52</v>
      </c>
      <c r="L28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8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89" s="1"/>
      <c r="T289" s="64" t="str">
        <f>IF(Table1[[#This Row],[ActualWinner]]="", "", IF(Table1[[#This Row],[AwayTeam]]=Table1[[#This Row],[ActualWinner]],Table1[[#This Row],[HomeTeam]],Table1[[#This Row],[AwayTeam]]))</f>
        <v/>
      </c>
      <c r="U289" s="64">
        <f>Table1[[#This Row],[ActualAwayScore]]-Table1[[#This Row],[PredictedAwayScore]]</f>
        <v>0</v>
      </c>
      <c r="V289" s="64">
        <f>Table1[[#This Row],[ActualHomeScore]]-Table1[[#This Row],[PredictedHomeScore]]</f>
        <v>0</v>
      </c>
      <c r="W289" s="64">
        <f>(0.8*IF(Table1[[#This Row],[CorrectWinnerPrediction]]=1, 1, 0))+(0.1*IF(Table1[[#This Row],[CorrectAwayScorePrediction]]=1, 1, 0))+(0.1*IF(Table1[[#This Row],[CorrectHomeScorePrediction]]=1, 1, 0))</f>
        <v>0</v>
      </c>
      <c r="X28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89" s="64">
        <f>SUMIF(Table1[GameDate], Table1[[#This Row],[GameDate]], Table1[AwayGameGoalDiff])</f>
        <v>0</v>
      </c>
      <c r="AA289" s="64">
        <f>SUMIF(Table1[GameDate], Table1[[#This Row],[GameDate]], Table1[HomeGameGoalDiff])</f>
        <v>0</v>
      </c>
      <c r="AB289" s="64">
        <f>IF(ISBLANK(Table1[[#This Row],[ActualResult]]), 0, 1)</f>
        <v>0</v>
      </c>
      <c r="AC289" s="64">
        <f>IF(ISBLANK(Table1[[#This Row],[ActualResult]]), 0, IF(Table1[[#This Row],[ActualWinner]]=Table1[[#This Row],[PredictedWinner]], 1, 0))</f>
        <v>0</v>
      </c>
      <c r="AD28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8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89" s="64">
        <f>IF(AND(Table1[[#This Row],[GameIsOver]]=1,Table1[[#This Row],[ActualAwayScore]]=0), 1,0)</f>
        <v>0</v>
      </c>
      <c r="AG289" s="64">
        <f>IF(AND(Table1[[#This Row],[GameIsOver]]=1,Table1[[#This Row],[ActualHomeScore]]=0), 1,0)</f>
        <v>0</v>
      </c>
      <c r="AH289" s="64">
        <f>IF(Table1[[#This Row],[GameIsOver]]=0,0,IF(Table1[[#This Row],[ActualWinner]]=Table1[[#This Row],[AwayTeam]], 1, 0))</f>
        <v>0</v>
      </c>
      <c r="AI289" s="64">
        <f>IF(Table1[[#This Row],[GameIsOver]]=0,0,IF(Table1[[#This Row],[ActualWinner]]=Table1[[#This Row],[HomeTeam]], 1, 0))</f>
        <v>0</v>
      </c>
      <c r="AJ289" s="64">
        <f>IF(INDEX(Standings!$A$2:$C$33,MATCH(Table1[[#This Row],[AwayTeam]],Standings!$A$2:$A$33,0),2)=INDEX(Standings!$A$2:$C$33,MATCH(Table1[[#This Row],[HomeTeam]],Standings!$A$2:$A$33,0),2),1,0)</f>
        <v>1</v>
      </c>
      <c r="AK289" s="64">
        <f>IF(INDEX(Standings!$A$2:$C$33,MATCH(Table1[[#This Row],[AwayTeam]],Standings!$A$2:$A$33,0),3)=INDEX(Standings!$A$2:$C$33,MATCH(Table1[[#This Row],[HomeTeam]],Standings!$A$2:$A$33,0),3),1,0)</f>
        <v>0</v>
      </c>
      <c r="AL289" s="64">
        <f>IF(Table1[[#This Row],[InterConf]]=1,IF(Table1[[#This Row],[InterDiv]]=0, 1, 0), 0)</f>
        <v>1</v>
      </c>
      <c r="AM289" s="64">
        <f>IF(INDEX(Standings!$A$2:$C$33,MATCH(Table1[[#This Row],[AwayTeam]],Standings!$A$2:$A$33,0),2)&lt;&gt;INDEX(Standings!$A$2:$C$33,MATCH(Table1[[#This Row],[HomeTeam]],Standings!$A$2:$A$33,0),2),1,0)</f>
        <v>0</v>
      </c>
      <c r="AN289" s="64" t="str">
        <f>INDEX(Table2[AWAY_RECORD], MATCH(Table1[[#This Row],[AwayTeam]],Table2[Team], 0), 0)</f>
        <v>0-1-0</v>
      </c>
      <c r="AO289" s="64" t="str">
        <f>INDEX(Records!$B$2:$AG$33, MATCH(Table1[[#This Row],[AwayTeam]],Records!$A$2:$A$33, 0), MATCH(Table1[[#This Row],[HomeTeam]],Records!$A$2:$A$33, 0))</f>
        <v>0-0-0</v>
      </c>
      <c r="AP289" s="64" t="str">
        <f>INDEX(Table2[HOME_RECORD], MATCH(Table1[[#This Row],[HomeTeam]],Table2[Team], 0), 0)</f>
        <v>0-0-0</v>
      </c>
      <c r="AQ289" s="64" t="str">
        <f>INDEX(Records!$B$2:$AG$33, MATCH(Table1[[#This Row],[HomeTeam]],Records!$A$2:$A$33, 0), MATCH(Table1[[#This Row],[AwayTeam]],Records!$A$2:$A$33, 0))</f>
        <v>0-0-0</v>
      </c>
    </row>
    <row r="290" spans="1:43" x14ac:dyDescent="0.25">
      <c r="A290" s="1"/>
      <c r="D290" t="s">
        <v>511</v>
      </c>
      <c r="E290" t="s">
        <v>162</v>
      </c>
      <c r="F290" t="s">
        <v>516</v>
      </c>
      <c r="G290" t="s">
        <v>17</v>
      </c>
      <c r="H290" t="s">
        <v>42</v>
      </c>
      <c r="L29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9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90" s="1"/>
      <c r="T290" s="64" t="str">
        <f>IF(Table1[[#This Row],[ActualWinner]]="", "", IF(Table1[[#This Row],[AwayTeam]]=Table1[[#This Row],[ActualWinner]],Table1[[#This Row],[HomeTeam]],Table1[[#This Row],[AwayTeam]]))</f>
        <v/>
      </c>
      <c r="U290" s="64">
        <f>Table1[[#This Row],[ActualAwayScore]]-Table1[[#This Row],[PredictedAwayScore]]</f>
        <v>0</v>
      </c>
      <c r="V290" s="64">
        <f>Table1[[#This Row],[ActualHomeScore]]-Table1[[#This Row],[PredictedHomeScore]]</f>
        <v>0</v>
      </c>
      <c r="W290" s="64">
        <f>(0.8*IF(Table1[[#This Row],[CorrectWinnerPrediction]]=1, 1, 0))+(0.1*IF(Table1[[#This Row],[CorrectAwayScorePrediction]]=1, 1, 0))+(0.1*IF(Table1[[#This Row],[CorrectHomeScorePrediction]]=1, 1, 0))</f>
        <v>0</v>
      </c>
      <c r="X29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90" s="64">
        <f>SUMIF(Table1[GameDate], Table1[[#This Row],[GameDate]], Table1[AwayGameGoalDiff])</f>
        <v>0</v>
      </c>
      <c r="AA290" s="64">
        <f>SUMIF(Table1[GameDate], Table1[[#This Row],[GameDate]], Table1[HomeGameGoalDiff])</f>
        <v>0</v>
      </c>
      <c r="AB290" s="64">
        <f>IF(ISBLANK(Table1[[#This Row],[ActualResult]]), 0, 1)</f>
        <v>0</v>
      </c>
      <c r="AC290" s="64">
        <f>IF(ISBLANK(Table1[[#This Row],[ActualResult]]), 0, IF(Table1[[#This Row],[ActualWinner]]=Table1[[#This Row],[PredictedWinner]], 1, 0))</f>
        <v>0</v>
      </c>
      <c r="AD29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9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90" s="64">
        <f>IF(AND(Table1[[#This Row],[GameIsOver]]=1,Table1[[#This Row],[ActualAwayScore]]=0), 1,0)</f>
        <v>0</v>
      </c>
      <c r="AG290" s="64">
        <f>IF(AND(Table1[[#This Row],[GameIsOver]]=1,Table1[[#This Row],[ActualHomeScore]]=0), 1,0)</f>
        <v>0</v>
      </c>
      <c r="AH290" s="64">
        <f>IF(Table1[[#This Row],[GameIsOver]]=0,0,IF(Table1[[#This Row],[ActualWinner]]=Table1[[#This Row],[AwayTeam]], 1, 0))</f>
        <v>0</v>
      </c>
      <c r="AI290" s="64">
        <f>IF(Table1[[#This Row],[GameIsOver]]=0,0,IF(Table1[[#This Row],[ActualWinner]]=Table1[[#This Row],[HomeTeam]], 1, 0))</f>
        <v>0</v>
      </c>
      <c r="AJ290" s="64">
        <f>IF(INDEX(Standings!$A$2:$C$33,MATCH(Table1[[#This Row],[AwayTeam]],Standings!$A$2:$A$33,0),2)=INDEX(Standings!$A$2:$C$33,MATCH(Table1[[#This Row],[HomeTeam]],Standings!$A$2:$A$33,0),2),1,0)</f>
        <v>1</v>
      </c>
      <c r="AK290" s="64">
        <f>IF(INDEX(Standings!$A$2:$C$33,MATCH(Table1[[#This Row],[AwayTeam]],Standings!$A$2:$A$33,0),3)=INDEX(Standings!$A$2:$C$33,MATCH(Table1[[#This Row],[HomeTeam]],Standings!$A$2:$A$33,0),3),1,0)</f>
        <v>0</v>
      </c>
      <c r="AL290" s="64">
        <f>IF(Table1[[#This Row],[InterConf]]=1,IF(Table1[[#This Row],[InterDiv]]=0, 1, 0), 0)</f>
        <v>1</v>
      </c>
      <c r="AM290" s="64">
        <f>IF(INDEX(Standings!$A$2:$C$33,MATCH(Table1[[#This Row],[AwayTeam]],Standings!$A$2:$A$33,0),2)&lt;&gt;INDEX(Standings!$A$2:$C$33,MATCH(Table1[[#This Row],[HomeTeam]],Standings!$A$2:$A$33,0),2),1,0)</f>
        <v>0</v>
      </c>
      <c r="AN290" s="64" t="str">
        <f>INDEX(Table2[AWAY_RECORD], MATCH(Table1[[#This Row],[AwayTeam]],Table2[Team], 0), 0)</f>
        <v>2-0-0</v>
      </c>
      <c r="AO290" s="64" t="str">
        <f>INDEX(Records!$B$2:$AG$33, MATCH(Table1[[#This Row],[AwayTeam]],Records!$A$2:$A$33, 0), MATCH(Table1[[#This Row],[HomeTeam]],Records!$A$2:$A$33, 0))</f>
        <v>0-0-0</v>
      </c>
      <c r="AP290" s="64" t="str">
        <f>INDEX(Table2[HOME_RECORD], MATCH(Table1[[#This Row],[HomeTeam]],Table2[Team], 0), 0)</f>
        <v>1-0-0</v>
      </c>
      <c r="AQ290" s="64" t="str">
        <f>INDEX(Records!$B$2:$AG$33, MATCH(Table1[[#This Row],[HomeTeam]],Records!$A$2:$A$33, 0), MATCH(Table1[[#This Row],[AwayTeam]],Records!$A$2:$A$33, 0))</f>
        <v>0-0-0</v>
      </c>
    </row>
    <row r="291" spans="1:43" x14ac:dyDescent="0.25">
      <c r="A291" s="1"/>
      <c r="D291" t="s">
        <v>511</v>
      </c>
      <c r="E291" t="s">
        <v>178</v>
      </c>
      <c r="F291" t="s">
        <v>517</v>
      </c>
      <c r="G291" t="s">
        <v>44</v>
      </c>
      <c r="H291" t="s">
        <v>61</v>
      </c>
      <c r="L29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9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91" s="1"/>
      <c r="T291" s="64" t="str">
        <f>IF(Table1[[#This Row],[ActualWinner]]="", "", IF(Table1[[#This Row],[AwayTeam]]=Table1[[#This Row],[ActualWinner]],Table1[[#This Row],[HomeTeam]],Table1[[#This Row],[AwayTeam]]))</f>
        <v/>
      </c>
      <c r="U291" s="64">
        <f>Table1[[#This Row],[ActualAwayScore]]-Table1[[#This Row],[PredictedAwayScore]]</f>
        <v>0</v>
      </c>
      <c r="V291" s="64">
        <f>Table1[[#This Row],[ActualHomeScore]]-Table1[[#This Row],[PredictedHomeScore]]</f>
        <v>0</v>
      </c>
      <c r="W291" s="64">
        <f>(0.8*IF(Table1[[#This Row],[CorrectWinnerPrediction]]=1, 1, 0))+(0.1*IF(Table1[[#This Row],[CorrectAwayScorePrediction]]=1, 1, 0))+(0.1*IF(Table1[[#This Row],[CorrectHomeScorePrediction]]=1, 1, 0))</f>
        <v>0</v>
      </c>
      <c r="X29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91" s="64">
        <f>SUMIF(Table1[GameDate], Table1[[#This Row],[GameDate]], Table1[AwayGameGoalDiff])</f>
        <v>0</v>
      </c>
      <c r="AA291" s="64">
        <f>SUMIF(Table1[GameDate], Table1[[#This Row],[GameDate]], Table1[HomeGameGoalDiff])</f>
        <v>0</v>
      </c>
      <c r="AB291" s="64">
        <f>IF(ISBLANK(Table1[[#This Row],[ActualResult]]), 0, 1)</f>
        <v>0</v>
      </c>
      <c r="AC291" s="64">
        <f>IF(ISBLANK(Table1[[#This Row],[ActualResult]]), 0, IF(Table1[[#This Row],[ActualWinner]]=Table1[[#This Row],[PredictedWinner]], 1, 0))</f>
        <v>0</v>
      </c>
      <c r="AD29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9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91" s="64">
        <f>IF(AND(Table1[[#This Row],[GameIsOver]]=1,Table1[[#This Row],[ActualAwayScore]]=0), 1,0)</f>
        <v>0</v>
      </c>
      <c r="AG291" s="64">
        <f>IF(AND(Table1[[#This Row],[GameIsOver]]=1,Table1[[#This Row],[ActualHomeScore]]=0), 1,0)</f>
        <v>0</v>
      </c>
      <c r="AH291" s="64">
        <f>IF(Table1[[#This Row],[GameIsOver]]=0,0,IF(Table1[[#This Row],[ActualWinner]]=Table1[[#This Row],[AwayTeam]], 1, 0))</f>
        <v>0</v>
      </c>
      <c r="AI291" s="64">
        <f>IF(Table1[[#This Row],[GameIsOver]]=0,0,IF(Table1[[#This Row],[ActualWinner]]=Table1[[#This Row],[HomeTeam]], 1, 0))</f>
        <v>0</v>
      </c>
      <c r="AJ291" s="64">
        <f>IF(INDEX(Standings!$A$2:$C$33,MATCH(Table1[[#This Row],[AwayTeam]],Standings!$A$2:$A$33,0),2)=INDEX(Standings!$A$2:$C$33,MATCH(Table1[[#This Row],[HomeTeam]],Standings!$A$2:$A$33,0),2),1,0)</f>
        <v>0</v>
      </c>
      <c r="AK291" s="64">
        <f>IF(INDEX(Standings!$A$2:$C$33,MATCH(Table1[[#This Row],[AwayTeam]],Standings!$A$2:$A$33,0),3)=INDEX(Standings!$A$2:$C$33,MATCH(Table1[[#This Row],[HomeTeam]],Standings!$A$2:$A$33,0),3),1,0)</f>
        <v>0</v>
      </c>
      <c r="AL291" s="64">
        <f>IF(Table1[[#This Row],[InterConf]]=1,IF(Table1[[#This Row],[InterDiv]]=0, 1, 0), 0)</f>
        <v>0</v>
      </c>
      <c r="AM291" s="64">
        <f>IF(INDEX(Standings!$A$2:$C$33,MATCH(Table1[[#This Row],[AwayTeam]],Standings!$A$2:$A$33,0),2)&lt;&gt;INDEX(Standings!$A$2:$C$33,MATCH(Table1[[#This Row],[HomeTeam]],Standings!$A$2:$A$33,0),2),1,0)</f>
        <v>1</v>
      </c>
      <c r="AN291" s="64" t="str">
        <f>INDEX(Table2[AWAY_RECORD], MATCH(Table1[[#This Row],[AwayTeam]],Table2[Team], 0), 0)</f>
        <v>0-0-0</v>
      </c>
      <c r="AO291" s="64" t="str">
        <f>INDEX(Records!$B$2:$AG$33, MATCH(Table1[[#This Row],[AwayTeam]],Records!$A$2:$A$33, 0), MATCH(Table1[[#This Row],[HomeTeam]],Records!$A$2:$A$33, 0))</f>
        <v>0-0-0</v>
      </c>
      <c r="AP291" s="64" t="str">
        <f>INDEX(Table2[HOME_RECORD], MATCH(Table1[[#This Row],[HomeTeam]],Table2[Team], 0), 0)</f>
        <v>0-0-0</v>
      </c>
      <c r="AQ291" s="64" t="str">
        <f>INDEX(Records!$B$2:$AG$33, MATCH(Table1[[#This Row],[HomeTeam]],Records!$A$2:$A$33, 0), MATCH(Table1[[#This Row],[AwayTeam]],Records!$A$2:$A$33, 0))</f>
        <v>0-0-0</v>
      </c>
    </row>
    <row r="292" spans="1:43" x14ac:dyDescent="0.25">
      <c r="A292" s="1"/>
      <c r="D292" t="s">
        <v>511</v>
      </c>
      <c r="E292" t="s">
        <v>178</v>
      </c>
      <c r="F292" t="s">
        <v>518</v>
      </c>
      <c r="G292" t="s">
        <v>49</v>
      </c>
      <c r="H292" t="s">
        <v>60</v>
      </c>
      <c r="L29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9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92" s="1"/>
      <c r="T292" s="64" t="str">
        <f>IF(Table1[[#This Row],[ActualWinner]]="", "", IF(Table1[[#This Row],[AwayTeam]]=Table1[[#This Row],[ActualWinner]],Table1[[#This Row],[HomeTeam]],Table1[[#This Row],[AwayTeam]]))</f>
        <v/>
      </c>
      <c r="U292" s="64">
        <f>Table1[[#This Row],[ActualAwayScore]]-Table1[[#This Row],[PredictedAwayScore]]</f>
        <v>0</v>
      </c>
      <c r="V292" s="64">
        <f>Table1[[#This Row],[ActualHomeScore]]-Table1[[#This Row],[PredictedHomeScore]]</f>
        <v>0</v>
      </c>
      <c r="W292" s="64">
        <f>(0.8*IF(Table1[[#This Row],[CorrectWinnerPrediction]]=1, 1, 0))+(0.1*IF(Table1[[#This Row],[CorrectAwayScorePrediction]]=1, 1, 0))+(0.1*IF(Table1[[#This Row],[CorrectHomeScorePrediction]]=1, 1, 0))</f>
        <v>0</v>
      </c>
      <c r="X29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92" s="64">
        <f>SUMIF(Table1[GameDate], Table1[[#This Row],[GameDate]], Table1[AwayGameGoalDiff])</f>
        <v>0</v>
      </c>
      <c r="AA292" s="64">
        <f>SUMIF(Table1[GameDate], Table1[[#This Row],[GameDate]], Table1[HomeGameGoalDiff])</f>
        <v>0</v>
      </c>
      <c r="AB292" s="64">
        <f>IF(ISBLANK(Table1[[#This Row],[ActualResult]]), 0, 1)</f>
        <v>0</v>
      </c>
      <c r="AC292" s="64">
        <f>IF(ISBLANK(Table1[[#This Row],[ActualResult]]), 0, IF(Table1[[#This Row],[ActualWinner]]=Table1[[#This Row],[PredictedWinner]], 1, 0))</f>
        <v>0</v>
      </c>
      <c r="AD29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9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92" s="64">
        <f>IF(AND(Table1[[#This Row],[GameIsOver]]=1,Table1[[#This Row],[ActualAwayScore]]=0), 1,0)</f>
        <v>0</v>
      </c>
      <c r="AG292" s="64">
        <f>IF(AND(Table1[[#This Row],[GameIsOver]]=1,Table1[[#This Row],[ActualHomeScore]]=0), 1,0)</f>
        <v>0</v>
      </c>
      <c r="AH292" s="64">
        <f>IF(Table1[[#This Row],[GameIsOver]]=0,0,IF(Table1[[#This Row],[ActualWinner]]=Table1[[#This Row],[AwayTeam]], 1, 0))</f>
        <v>0</v>
      </c>
      <c r="AI292" s="64">
        <f>IF(Table1[[#This Row],[GameIsOver]]=0,0,IF(Table1[[#This Row],[ActualWinner]]=Table1[[#This Row],[HomeTeam]], 1, 0))</f>
        <v>0</v>
      </c>
      <c r="AJ292" s="64">
        <f>IF(INDEX(Standings!$A$2:$C$33,MATCH(Table1[[#This Row],[AwayTeam]],Standings!$A$2:$A$33,0),2)=INDEX(Standings!$A$2:$C$33,MATCH(Table1[[#This Row],[HomeTeam]],Standings!$A$2:$A$33,0),2),1,0)</f>
        <v>0</v>
      </c>
      <c r="AK292" s="64">
        <f>IF(INDEX(Standings!$A$2:$C$33,MATCH(Table1[[#This Row],[AwayTeam]],Standings!$A$2:$A$33,0),3)=INDEX(Standings!$A$2:$C$33,MATCH(Table1[[#This Row],[HomeTeam]],Standings!$A$2:$A$33,0),3),1,0)</f>
        <v>0</v>
      </c>
      <c r="AL292" s="64">
        <f>IF(Table1[[#This Row],[InterConf]]=1,IF(Table1[[#This Row],[InterDiv]]=0, 1, 0), 0)</f>
        <v>0</v>
      </c>
      <c r="AM292" s="64">
        <f>IF(INDEX(Standings!$A$2:$C$33,MATCH(Table1[[#This Row],[AwayTeam]],Standings!$A$2:$A$33,0),2)&lt;&gt;INDEX(Standings!$A$2:$C$33,MATCH(Table1[[#This Row],[HomeTeam]],Standings!$A$2:$A$33,0),2),1,0)</f>
        <v>1</v>
      </c>
      <c r="AN292" s="64" t="str">
        <f>INDEX(Table2[AWAY_RECORD], MATCH(Table1[[#This Row],[AwayTeam]],Table2[Team], 0), 0)</f>
        <v>0-0-0</v>
      </c>
      <c r="AO292" s="64" t="str">
        <f>INDEX(Records!$B$2:$AG$33, MATCH(Table1[[#This Row],[AwayTeam]],Records!$A$2:$A$33, 0), MATCH(Table1[[#This Row],[HomeTeam]],Records!$A$2:$A$33, 0))</f>
        <v>0-0-0</v>
      </c>
      <c r="AP292" s="64" t="str">
        <f>INDEX(Table2[HOME_RECORD], MATCH(Table1[[#This Row],[HomeTeam]],Table2[Team], 0), 0)</f>
        <v>1-0-0</v>
      </c>
      <c r="AQ292" s="64" t="str">
        <f>INDEX(Records!$B$2:$AG$33, MATCH(Table1[[#This Row],[HomeTeam]],Records!$A$2:$A$33, 0), MATCH(Table1[[#This Row],[AwayTeam]],Records!$A$2:$A$33, 0))</f>
        <v>0-0-0</v>
      </c>
    </row>
    <row r="293" spans="1:43" x14ac:dyDescent="0.25">
      <c r="A293" s="1"/>
      <c r="D293" t="s">
        <v>519</v>
      </c>
      <c r="E293" t="s">
        <v>298</v>
      </c>
      <c r="F293" t="s">
        <v>520</v>
      </c>
      <c r="G293" t="s">
        <v>48</v>
      </c>
      <c r="H293" t="s">
        <v>46</v>
      </c>
      <c r="L29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9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93" s="1"/>
      <c r="T293" s="64" t="str">
        <f>IF(Table1[[#This Row],[ActualWinner]]="", "", IF(Table1[[#This Row],[AwayTeam]]=Table1[[#This Row],[ActualWinner]],Table1[[#This Row],[HomeTeam]],Table1[[#This Row],[AwayTeam]]))</f>
        <v/>
      </c>
      <c r="U293" s="64">
        <f>Table1[[#This Row],[ActualAwayScore]]-Table1[[#This Row],[PredictedAwayScore]]</f>
        <v>0</v>
      </c>
      <c r="V293" s="64">
        <f>Table1[[#This Row],[ActualHomeScore]]-Table1[[#This Row],[PredictedHomeScore]]</f>
        <v>0</v>
      </c>
      <c r="W293" s="64">
        <f>(0.8*IF(Table1[[#This Row],[CorrectWinnerPrediction]]=1, 1, 0))+(0.1*IF(Table1[[#This Row],[CorrectAwayScorePrediction]]=1, 1, 0))+(0.1*IF(Table1[[#This Row],[CorrectHomeScorePrediction]]=1, 1, 0))</f>
        <v>0</v>
      </c>
      <c r="X29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93" s="64">
        <f>SUMIF(Table1[GameDate], Table1[[#This Row],[GameDate]], Table1[AwayGameGoalDiff])</f>
        <v>0</v>
      </c>
      <c r="AA293" s="64">
        <f>SUMIF(Table1[GameDate], Table1[[#This Row],[GameDate]], Table1[HomeGameGoalDiff])</f>
        <v>0</v>
      </c>
      <c r="AB293" s="64">
        <f>IF(ISBLANK(Table1[[#This Row],[ActualResult]]), 0, 1)</f>
        <v>0</v>
      </c>
      <c r="AC293" s="64">
        <f>IF(ISBLANK(Table1[[#This Row],[ActualResult]]), 0, IF(Table1[[#This Row],[ActualWinner]]=Table1[[#This Row],[PredictedWinner]], 1, 0))</f>
        <v>0</v>
      </c>
      <c r="AD29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9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93" s="64">
        <f>IF(AND(Table1[[#This Row],[GameIsOver]]=1,Table1[[#This Row],[ActualAwayScore]]=0), 1,0)</f>
        <v>0</v>
      </c>
      <c r="AG293" s="64">
        <f>IF(AND(Table1[[#This Row],[GameIsOver]]=1,Table1[[#This Row],[ActualHomeScore]]=0), 1,0)</f>
        <v>0</v>
      </c>
      <c r="AH293" s="64">
        <f>IF(Table1[[#This Row],[GameIsOver]]=0,0,IF(Table1[[#This Row],[ActualWinner]]=Table1[[#This Row],[AwayTeam]], 1, 0))</f>
        <v>0</v>
      </c>
      <c r="AI293" s="64">
        <f>IF(Table1[[#This Row],[GameIsOver]]=0,0,IF(Table1[[#This Row],[ActualWinner]]=Table1[[#This Row],[HomeTeam]], 1, 0))</f>
        <v>0</v>
      </c>
      <c r="AJ293" s="64">
        <f>IF(INDEX(Standings!$A$2:$C$33,MATCH(Table1[[#This Row],[AwayTeam]],Standings!$A$2:$A$33,0),2)=INDEX(Standings!$A$2:$C$33,MATCH(Table1[[#This Row],[HomeTeam]],Standings!$A$2:$A$33,0),2),1,0)</f>
        <v>1</v>
      </c>
      <c r="AK293" s="64">
        <f>IF(INDEX(Standings!$A$2:$C$33,MATCH(Table1[[#This Row],[AwayTeam]],Standings!$A$2:$A$33,0),3)=INDEX(Standings!$A$2:$C$33,MATCH(Table1[[#This Row],[HomeTeam]],Standings!$A$2:$A$33,0),3),1,0)</f>
        <v>0</v>
      </c>
      <c r="AL293" s="64">
        <f>IF(Table1[[#This Row],[InterConf]]=1,IF(Table1[[#This Row],[InterDiv]]=0, 1, 0), 0)</f>
        <v>1</v>
      </c>
      <c r="AM293" s="64">
        <f>IF(INDEX(Standings!$A$2:$C$33,MATCH(Table1[[#This Row],[AwayTeam]],Standings!$A$2:$A$33,0),2)&lt;&gt;INDEX(Standings!$A$2:$C$33,MATCH(Table1[[#This Row],[HomeTeam]],Standings!$A$2:$A$33,0),2),1,0)</f>
        <v>0</v>
      </c>
      <c r="AN293" s="64" t="str">
        <f>INDEX(Table2[AWAY_RECORD], MATCH(Table1[[#This Row],[AwayTeam]],Table2[Team], 0), 0)</f>
        <v>0-0-0</v>
      </c>
      <c r="AO293" s="64" t="str">
        <f>INDEX(Records!$B$2:$AG$33, MATCH(Table1[[#This Row],[AwayTeam]],Records!$A$2:$A$33, 0), MATCH(Table1[[#This Row],[HomeTeam]],Records!$A$2:$A$33, 0))</f>
        <v>0-0-0</v>
      </c>
      <c r="AP293" s="64" t="str">
        <f>INDEX(Table2[HOME_RECORD], MATCH(Table1[[#This Row],[HomeTeam]],Table2[Team], 0), 0)</f>
        <v>0-0-0</v>
      </c>
      <c r="AQ293" s="64" t="str">
        <f>INDEX(Records!$B$2:$AG$33, MATCH(Table1[[#This Row],[HomeTeam]],Records!$A$2:$A$33, 0), MATCH(Table1[[#This Row],[AwayTeam]],Records!$A$2:$A$33, 0))</f>
        <v>0-0-0</v>
      </c>
    </row>
    <row r="294" spans="1:43" x14ac:dyDescent="0.25">
      <c r="A294" s="1"/>
      <c r="D294" t="s">
        <v>519</v>
      </c>
      <c r="E294" t="s">
        <v>289</v>
      </c>
      <c r="F294" t="s">
        <v>521</v>
      </c>
      <c r="G294" t="s">
        <v>57</v>
      </c>
      <c r="H294" t="s">
        <v>38</v>
      </c>
      <c r="L29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9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94" s="1"/>
      <c r="T294" s="64" t="str">
        <f>IF(Table1[[#This Row],[ActualWinner]]="", "", IF(Table1[[#This Row],[AwayTeam]]=Table1[[#This Row],[ActualWinner]],Table1[[#This Row],[HomeTeam]],Table1[[#This Row],[AwayTeam]]))</f>
        <v/>
      </c>
      <c r="U294" s="64">
        <f>Table1[[#This Row],[ActualAwayScore]]-Table1[[#This Row],[PredictedAwayScore]]</f>
        <v>0</v>
      </c>
      <c r="V294" s="64">
        <f>Table1[[#This Row],[ActualHomeScore]]-Table1[[#This Row],[PredictedHomeScore]]</f>
        <v>0</v>
      </c>
      <c r="W294" s="64">
        <f>(0.8*IF(Table1[[#This Row],[CorrectWinnerPrediction]]=1, 1, 0))+(0.1*IF(Table1[[#This Row],[CorrectAwayScorePrediction]]=1, 1, 0))+(0.1*IF(Table1[[#This Row],[CorrectHomeScorePrediction]]=1, 1, 0))</f>
        <v>0</v>
      </c>
      <c r="X29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94" s="64">
        <f>SUMIF(Table1[GameDate], Table1[[#This Row],[GameDate]], Table1[AwayGameGoalDiff])</f>
        <v>0</v>
      </c>
      <c r="AA294" s="64">
        <f>SUMIF(Table1[GameDate], Table1[[#This Row],[GameDate]], Table1[HomeGameGoalDiff])</f>
        <v>0</v>
      </c>
      <c r="AB294" s="64">
        <f>IF(ISBLANK(Table1[[#This Row],[ActualResult]]), 0, 1)</f>
        <v>0</v>
      </c>
      <c r="AC294" s="64">
        <f>IF(ISBLANK(Table1[[#This Row],[ActualResult]]), 0, IF(Table1[[#This Row],[ActualWinner]]=Table1[[#This Row],[PredictedWinner]], 1, 0))</f>
        <v>0</v>
      </c>
      <c r="AD29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9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94" s="64">
        <f>IF(AND(Table1[[#This Row],[GameIsOver]]=1,Table1[[#This Row],[ActualAwayScore]]=0), 1,0)</f>
        <v>0</v>
      </c>
      <c r="AG294" s="64">
        <f>IF(AND(Table1[[#This Row],[GameIsOver]]=1,Table1[[#This Row],[ActualHomeScore]]=0), 1,0)</f>
        <v>0</v>
      </c>
      <c r="AH294" s="64">
        <f>IF(Table1[[#This Row],[GameIsOver]]=0,0,IF(Table1[[#This Row],[ActualWinner]]=Table1[[#This Row],[AwayTeam]], 1, 0))</f>
        <v>0</v>
      </c>
      <c r="AI294" s="64">
        <f>IF(Table1[[#This Row],[GameIsOver]]=0,0,IF(Table1[[#This Row],[ActualWinner]]=Table1[[#This Row],[HomeTeam]], 1, 0))</f>
        <v>0</v>
      </c>
      <c r="AJ294" s="64">
        <f>IF(INDEX(Standings!$A$2:$C$33,MATCH(Table1[[#This Row],[AwayTeam]],Standings!$A$2:$A$33,0),2)=INDEX(Standings!$A$2:$C$33,MATCH(Table1[[#This Row],[HomeTeam]],Standings!$A$2:$A$33,0),2),1,0)</f>
        <v>1</v>
      </c>
      <c r="AK294" s="64">
        <f>IF(INDEX(Standings!$A$2:$C$33,MATCH(Table1[[#This Row],[AwayTeam]],Standings!$A$2:$A$33,0),3)=INDEX(Standings!$A$2:$C$33,MATCH(Table1[[#This Row],[HomeTeam]],Standings!$A$2:$A$33,0),3),1,0)</f>
        <v>1</v>
      </c>
      <c r="AL294" s="64">
        <f>IF(Table1[[#This Row],[InterConf]]=1,IF(Table1[[#This Row],[InterDiv]]=0, 1, 0), 0)</f>
        <v>0</v>
      </c>
      <c r="AM294" s="64">
        <f>IF(INDEX(Standings!$A$2:$C$33,MATCH(Table1[[#This Row],[AwayTeam]],Standings!$A$2:$A$33,0),2)&lt;&gt;INDEX(Standings!$A$2:$C$33,MATCH(Table1[[#This Row],[HomeTeam]],Standings!$A$2:$A$33,0),2),1,0)</f>
        <v>0</v>
      </c>
      <c r="AN294" s="64" t="str">
        <f>INDEX(Table2[AWAY_RECORD], MATCH(Table1[[#This Row],[AwayTeam]],Table2[Team], 0), 0)</f>
        <v>0-1-0</v>
      </c>
      <c r="AO294" s="64" t="str">
        <f>INDEX(Records!$B$2:$AG$33, MATCH(Table1[[#This Row],[AwayTeam]],Records!$A$2:$A$33, 0), MATCH(Table1[[#This Row],[HomeTeam]],Records!$A$2:$A$33, 0))</f>
        <v>0-0-0</v>
      </c>
      <c r="AP294" s="64" t="str">
        <f>INDEX(Table2[HOME_RECORD], MATCH(Table1[[#This Row],[HomeTeam]],Table2[Team], 0), 0)</f>
        <v>0-0-0</v>
      </c>
      <c r="AQ294" s="64" t="str">
        <f>INDEX(Records!$B$2:$AG$33, MATCH(Table1[[#This Row],[HomeTeam]],Records!$A$2:$A$33, 0), MATCH(Table1[[#This Row],[AwayTeam]],Records!$A$2:$A$33, 0))</f>
        <v>0-0-0</v>
      </c>
    </row>
    <row r="295" spans="1:43" x14ac:dyDescent="0.25">
      <c r="A295" s="1"/>
      <c r="D295" t="s">
        <v>519</v>
      </c>
      <c r="E295" t="s">
        <v>289</v>
      </c>
      <c r="F295" t="s">
        <v>522</v>
      </c>
      <c r="G295" t="s">
        <v>51</v>
      </c>
      <c r="H295" t="s">
        <v>39</v>
      </c>
      <c r="L29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9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95" s="1"/>
      <c r="T295" s="64" t="str">
        <f>IF(Table1[[#This Row],[ActualWinner]]="", "", IF(Table1[[#This Row],[AwayTeam]]=Table1[[#This Row],[ActualWinner]],Table1[[#This Row],[HomeTeam]],Table1[[#This Row],[AwayTeam]]))</f>
        <v/>
      </c>
      <c r="U295" s="64">
        <f>Table1[[#This Row],[ActualAwayScore]]-Table1[[#This Row],[PredictedAwayScore]]</f>
        <v>0</v>
      </c>
      <c r="V295" s="64">
        <f>Table1[[#This Row],[ActualHomeScore]]-Table1[[#This Row],[PredictedHomeScore]]</f>
        <v>0</v>
      </c>
      <c r="W295" s="64">
        <f>(0.8*IF(Table1[[#This Row],[CorrectWinnerPrediction]]=1, 1, 0))+(0.1*IF(Table1[[#This Row],[CorrectAwayScorePrediction]]=1, 1, 0))+(0.1*IF(Table1[[#This Row],[CorrectHomeScorePrediction]]=1, 1, 0))</f>
        <v>0</v>
      </c>
      <c r="X29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95" s="64">
        <f>SUMIF(Table1[GameDate], Table1[[#This Row],[GameDate]], Table1[AwayGameGoalDiff])</f>
        <v>0</v>
      </c>
      <c r="AA295" s="64">
        <f>SUMIF(Table1[GameDate], Table1[[#This Row],[GameDate]], Table1[HomeGameGoalDiff])</f>
        <v>0</v>
      </c>
      <c r="AB295" s="64">
        <f>IF(ISBLANK(Table1[[#This Row],[ActualResult]]), 0, 1)</f>
        <v>0</v>
      </c>
      <c r="AC295" s="64">
        <f>IF(ISBLANK(Table1[[#This Row],[ActualResult]]), 0, IF(Table1[[#This Row],[ActualWinner]]=Table1[[#This Row],[PredictedWinner]], 1, 0))</f>
        <v>0</v>
      </c>
      <c r="AD29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9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95" s="64">
        <f>IF(AND(Table1[[#This Row],[GameIsOver]]=1,Table1[[#This Row],[ActualAwayScore]]=0), 1,0)</f>
        <v>0</v>
      </c>
      <c r="AG295" s="64">
        <f>IF(AND(Table1[[#This Row],[GameIsOver]]=1,Table1[[#This Row],[ActualHomeScore]]=0), 1,0)</f>
        <v>0</v>
      </c>
      <c r="AH295" s="64">
        <f>IF(Table1[[#This Row],[GameIsOver]]=0,0,IF(Table1[[#This Row],[ActualWinner]]=Table1[[#This Row],[AwayTeam]], 1, 0))</f>
        <v>0</v>
      </c>
      <c r="AI295" s="64">
        <f>IF(Table1[[#This Row],[GameIsOver]]=0,0,IF(Table1[[#This Row],[ActualWinner]]=Table1[[#This Row],[HomeTeam]], 1, 0))</f>
        <v>0</v>
      </c>
      <c r="AJ295" s="64">
        <f>IF(INDEX(Standings!$A$2:$C$33,MATCH(Table1[[#This Row],[AwayTeam]],Standings!$A$2:$A$33,0),2)=INDEX(Standings!$A$2:$C$33,MATCH(Table1[[#This Row],[HomeTeam]],Standings!$A$2:$A$33,0),2),1,0)</f>
        <v>0</v>
      </c>
      <c r="AK295" s="64">
        <f>IF(INDEX(Standings!$A$2:$C$33,MATCH(Table1[[#This Row],[AwayTeam]],Standings!$A$2:$A$33,0),3)=INDEX(Standings!$A$2:$C$33,MATCH(Table1[[#This Row],[HomeTeam]],Standings!$A$2:$A$33,0),3),1,0)</f>
        <v>0</v>
      </c>
      <c r="AL295" s="64">
        <f>IF(Table1[[#This Row],[InterConf]]=1,IF(Table1[[#This Row],[InterDiv]]=0, 1, 0), 0)</f>
        <v>0</v>
      </c>
      <c r="AM295" s="64">
        <f>IF(INDEX(Standings!$A$2:$C$33,MATCH(Table1[[#This Row],[AwayTeam]],Standings!$A$2:$A$33,0),2)&lt;&gt;INDEX(Standings!$A$2:$C$33,MATCH(Table1[[#This Row],[HomeTeam]],Standings!$A$2:$A$33,0),2),1,0)</f>
        <v>1</v>
      </c>
      <c r="AN295" s="64" t="str">
        <f>INDEX(Table2[AWAY_RECORD], MATCH(Table1[[#This Row],[AwayTeam]],Table2[Team], 0), 0)</f>
        <v>2-0-0</v>
      </c>
      <c r="AO295" s="64" t="str">
        <f>INDEX(Records!$B$2:$AG$33, MATCH(Table1[[#This Row],[AwayTeam]],Records!$A$2:$A$33, 0), MATCH(Table1[[#This Row],[HomeTeam]],Records!$A$2:$A$33, 0))</f>
        <v>0-0-0</v>
      </c>
      <c r="AP295" s="64" t="str">
        <f>INDEX(Table2[HOME_RECORD], MATCH(Table1[[#This Row],[HomeTeam]],Table2[Team], 0), 0)</f>
        <v>0-1-0</v>
      </c>
      <c r="AQ295" s="64" t="str">
        <f>INDEX(Records!$B$2:$AG$33, MATCH(Table1[[#This Row],[HomeTeam]],Records!$A$2:$A$33, 0), MATCH(Table1[[#This Row],[AwayTeam]],Records!$A$2:$A$33, 0))</f>
        <v>0-0-0</v>
      </c>
    </row>
    <row r="296" spans="1:43" x14ac:dyDescent="0.25">
      <c r="A296" s="1"/>
      <c r="D296" t="s">
        <v>519</v>
      </c>
      <c r="E296" t="s">
        <v>164</v>
      </c>
      <c r="F296" t="s">
        <v>523</v>
      </c>
      <c r="G296" t="s">
        <v>53</v>
      </c>
      <c r="H296" t="s">
        <v>45</v>
      </c>
      <c r="L29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9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96" s="1"/>
      <c r="T296" s="64" t="str">
        <f>IF(Table1[[#This Row],[ActualWinner]]="", "", IF(Table1[[#This Row],[AwayTeam]]=Table1[[#This Row],[ActualWinner]],Table1[[#This Row],[HomeTeam]],Table1[[#This Row],[AwayTeam]]))</f>
        <v/>
      </c>
      <c r="U296" s="64">
        <f>Table1[[#This Row],[ActualAwayScore]]-Table1[[#This Row],[PredictedAwayScore]]</f>
        <v>0</v>
      </c>
      <c r="V296" s="64">
        <f>Table1[[#This Row],[ActualHomeScore]]-Table1[[#This Row],[PredictedHomeScore]]</f>
        <v>0</v>
      </c>
      <c r="W296" s="64">
        <f>(0.8*IF(Table1[[#This Row],[CorrectWinnerPrediction]]=1, 1, 0))+(0.1*IF(Table1[[#This Row],[CorrectAwayScorePrediction]]=1, 1, 0))+(0.1*IF(Table1[[#This Row],[CorrectHomeScorePrediction]]=1, 1, 0))</f>
        <v>0</v>
      </c>
      <c r="X29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96" s="64">
        <f>SUMIF(Table1[GameDate], Table1[[#This Row],[GameDate]], Table1[AwayGameGoalDiff])</f>
        <v>0</v>
      </c>
      <c r="AA296" s="64">
        <f>SUMIF(Table1[GameDate], Table1[[#This Row],[GameDate]], Table1[HomeGameGoalDiff])</f>
        <v>0</v>
      </c>
      <c r="AB296" s="64">
        <f>IF(ISBLANK(Table1[[#This Row],[ActualResult]]), 0, 1)</f>
        <v>0</v>
      </c>
      <c r="AC296" s="64">
        <f>IF(ISBLANK(Table1[[#This Row],[ActualResult]]), 0, IF(Table1[[#This Row],[ActualWinner]]=Table1[[#This Row],[PredictedWinner]], 1, 0))</f>
        <v>0</v>
      </c>
      <c r="AD29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9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96" s="64">
        <f>IF(AND(Table1[[#This Row],[GameIsOver]]=1,Table1[[#This Row],[ActualAwayScore]]=0), 1,0)</f>
        <v>0</v>
      </c>
      <c r="AG296" s="64">
        <f>IF(AND(Table1[[#This Row],[GameIsOver]]=1,Table1[[#This Row],[ActualHomeScore]]=0), 1,0)</f>
        <v>0</v>
      </c>
      <c r="AH296" s="64">
        <f>IF(Table1[[#This Row],[GameIsOver]]=0,0,IF(Table1[[#This Row],[ActualWinner]]=Table1[[#This Row],[AwayTeam]], 1, 0))</f>
        <v>0</v>
      </c>
      <c r="AI296" s="64">
        <f>IF(Table1[[#This Row],[GameIsOver]]=0,0,IF(Table1[[#This Row],[ActualWinner]]=Table1[[#This Row],[HomeTeam]], 1, 0))</f>
        <v>0</v>
      </c>
      <c r="AJ296" s="64">
        <f>IF(INDEX(Standings!$A$2:$C$33,MATCH(Table1[[#This Row],[AwayTeam]],Standings!$A$2:$A$33,0),2)=INDEX(Standings!$A$2:$C$33,MATCH(Table1[[#This Row],[HomeTeam]],Standings!$A$2:$A$33,0),2),1,0)</f>
        <v>0</v>
      </c>
      <c r="AK296" s="64">
        <f>IF(INDEX(Standings!$A$2:$C$33,MATCH(Table1[[#This Row],[AwayTeam]],Standings!$A$2:$A$33,0),3)=INDEX(Standings!$A$2:$C$33,MATCH(Table1[[#This Row],[HomeTeam]],Standings!$A$2:$A$33,0),3),1,0)</f>
        <v>0</v>
      </c>
      <c r="AL296" s="64">
        <f>IF(Table1[[#This Row],[InterConf]]=1,IF(Table1[[#This Row],[InterDiv]]=0, 1, 0), 0)</f>
        <v>0</v>
      </c>
      <c r="AM296" s="64">
        <f>IF(INDEX(Standings!$A$2:$C$33,MATCH(Table1[[#This Row],[AwayTeam]],Standings!$A$2:$A$33,0),2)&lt;&gt;INDEX(Standings!$A$2:$C$33,MATCH(Table1[[#This Row],[HomeTeam]],Standings!$A$2:$A$33,0),2),1,0)</f>
        <v>1</v>
      </c>
      <c r="AN296" s="64" t="str">
        <f>INDEX(Table2[AWAY_RECORD], MATCH(Table1[[#This Row],[AwayTeam]],Table2[Team], 0), 0)</f>
        <v>0-1-0</v>
      </c>
      <c r="AO296" s="64" t="str">
        <f>INDEX(Records!$B$2:$AG$33, MATCH(Table1[[#This Row],[AwayTeam]],Records!$A$2:$A$33, 0), MATCH(Table1[[#This Row],[HomeTeam]],Records!$A$2:$A$33, 0))</f>
        <v>0-0-0</v>
      </c>
      <c r="AP296" s="64" t="str">
        <f>INDEX(Table2[HOME_RECORD], MATCH(Table1[[#This Row],[HomeTeam]],Table2[Team], 0), 0)</f>
        <v>1-0-0</v>
      </c>
      <c r="AQ296" s="64" t="str">
        <f>INDEX(Records!$B$2:$AG$33, MATCH(Table1[[#This Row],[HomeTeam]],Records!$A$2:$A$33, 0), MATCH(Table1[[#This Row],[AwayTeam]],Records!$A$2:$A$33, 0))</f>
        <v>0-0-0</v>
      </c>
    </row>
    <row r="297" spans="1:43" x14ac:dyDescent="0.25">
      <c r="A297" s="1"/>
      <c r="D297" t="s">
        <v>524</v>
      </c>
      <c r="E297" t="s">
        <v>298</v>
      </c>
      <c r="F297" t="s">
        <v>525</v>
      </c>
      <c r="G297" t="s">
        <v>58</v>
      </c>
      <c r="H297" t="s">
        <v>25</v>
      </c>
      <c r="L29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9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97" s="1"/>
      <c r="T297" s="64" t="str">
        <f>IF(Table1[[#This Row],[ActualWinner]]="", "", IF(Table1[[#This Row],[AwayTeam]]=Table1[[#This Row],[ActualWinner]],Table1[[#This Row],[HomeTeam]],Table1[[#This Row],[AwayTeam]]))</f>
        <v/>
      </c>
      <c r="U297" s="64">
        <f>Table1[[#This Row],[ActualAwayScore]]-Table1[[#This Row],[PredictedAwayScore]]</f>
        <v>0</v>
      </c>
      <c r="V297" s="64">
        <f>Table1[[#This Row],[ActualHomeScore]]-Table1[[#This Row],[PredictedHomeScore]]</f>
        <v>0</v>
      </c>
      <c r="W297" s="64">
        <f>(0.8*IF(Table1[[#This Row],[CorrectWinnerPrediction]]=1, 1, 0))+(0.1*IF(Table1[[#This Row],[CorrectAwayScorePrediction]]=1, 1, 0))+(0.1*IF(Table1[[#This Row],[CorrectHomeScorePrediction]]=1, 1, 0))</f>
        <v>0</v>
      </c>
      <c r="X29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97" s="64">
        <f>SUMIF(Table1[GameDate], Table1[[#This Row],[GameDate]], Table1[AwayGameGoalDiff])</f>
        <v>0</v>
      </c>
      <c r="AA297" s="64">
        <f>SUMIF(Table1[GameDate], Table1[[#This Row],[GameDate]], Table1[HomeGameGoalDiff])</f>
        <v>0</v>
      </c>
      <c r="AB297" s="64">
        <f>IF(ISBLANK(Table1[[#This Row],[ActualResult]]), 0, 1)</f>
        <v>0</v>
      </c>
      <c r="AC297" s="64">
        <f>IF(ISBLANK(Table1[[#This Row],[ActualResult]]), 0, IF(Table1[[#This Row],[ActualWinner]]=Table1[[#This Row],[PredictedWinner]], 1, 0))</f>
        <v>0</v>
      </c>
      <c r="AD29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9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97" s="64">
        <f>IF(AND(Table1[[#This Row],[GameIsOver]]=1,Table1[[#This Row],[ActualAwayScore]]=0), 1,0)</f>
        <v>0</v>
      </c>
      <c r="AG297" s="64">
        <f>IF(AND(Table1[[#This Row],[GameIsOver]]=1,Table1[[#This Row],[ActualHomeScore]]=0), 1,0)</f>
        <v>0</v>
      </c>
      <c r="AH297" s="64">
        <f>IF(Table1[[#This Row],[GameIsOver]]=0,0,IF(Table1[[#This Row],[ActualWinner]]=Table1[[#This Row],[AwayTeam]], 1, 0))</f>
        <v>0</v>
      </c>
      <c r="AI297" s="64">
        <f>IF(Table1[[#This Row],[GameIsOver]]=0,0,IF(Table1[[#This Row],[ActualWinner]]=Table1[[#This Row],[HomeTeam]], 1, 0))</f>
        <v>0</v>
      </c>
      <c r="AJ297" s="64">
        <f>IF(INDEX(Standings!$A$2:$C$33,MATCH(Table1[[#This Row],[AwayTeam]],Standings!$A$2:$A$33,0),2)=INDEX(Standings!$A$2:$C$33,MATCH(Table1[[#This Row],[HomeTeam]],Standings!$A$2:$A$33,0),2),1,0)</f>
        <v>1</v>
      </c>
      <c r="AK297" s="64">
        <f>IF(INDEX(Standings!$A$2:$C$33,MATCH(Table1[[#This Row],[AwayTeam]],Standings!$A$2:$A$33,0),3)=INDEX(Standings!$A$2:$C$33,MATCH(Table1[[#This Row],[HomeTeam]],Standings!$A$2:$A$33,0),3),1,0)</f>
        <v>0</v>
      </c>
      <c r="AL297" s="64">
        <f>IF(Table1[[#This Row],[InterConf]]=1,IF(Table1[[#This Row],[InterDiv]]=0, 1, 0), 0)</f>
        <v>1</v>
      </c>
      <c r="AM297" s="64">
        <f>IF(INDEX(Standings!$A$2:$C$33,MATCH(Table1[[#This Row],[AwayTeam]],Standings!$A$2:$A$33,0),2)&lt;&gt;INDEX(Standings!$A$2:$C$33,MATCH(Table1[[#This Row],[HomeTeam]],Standings!$A$2:$A$33,0),2),1,0)</f>
        <v>0</v>
      </c>
      <c r="AN297" s="64" t="str">
        <f>INDEX(Table2[AWAY_RECORD], MATCH(Table1[[#This Row],[AwayTeam]],Table2[Team], 0), 0)</f>
        <v>0-0-0</v>
      </c>
      <c r="AO297" s="64" t="str">
        <f>INDEX(Records!$B$2:$AG$33, MATCH(Table1[[#This Row],[AwayTeam]],Records!$A$2:$A$33, 0), MATCH(Table1[[#This Row],[HomeTeam]],Records!$A$2:$A$33, 0))</f>
        <v>0-0-0</v>
      </c>
      <c r="AP297" s="64" t="str">
        <f>INDEX(Table2[HOME_RECORD], MATCH(Table1[[#This Row],[HomeTeam]],Table2[Team], 0), 0)</f>
        <v>0-0-1</v>
      </c>
      <c r="AQ297" s="64" t="str">
        <f>INDEX(Records!$B$2:$AG$33, MATCH(Table1[[#This Row],[HomeTeam]],Records!$A$2:$A$33, 0), MATCH(Table1[[#This Row],[AwayTeam]],Records!$A$2:$A$33, 0))</f>
        <v>0-0-0</v>
      </c>
    </row>
    <row r="298" spans="1:43" x14ac:dyDescent="0.25">
      <c r="A298" s="1"/>
      <c r="D298" t="s">
        <v>524</v>
      </c>
      <c r="E298" t="s">
        <v>298</v>
      </c>
      <c r="F298" t="s">
        <v>526</v>
      </c>
      <c r="G298" t="s">
        <v>48</v>
      </c>
      <c r="H298" t="s">
        <v>36</v>
      </c>
      <c r="L29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9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98" s="1"/>
      <c r="T298" s="64" t="str">
        <f>IF(Table1[[#This Row],[ActualWinner]]="", "", IF(Table1[[#This Row],[AwayTeam]]=Table1[[#This Row],[ActualWinner]],Table1[[#This Row],[HomeTeam]],Table1[[#This Row],[AwayTeam]]))</f>
        <v/>
      </c>
      <c r="U298" s="64">
        <f>Table1[[#This Row],[ActualAwayScore]]-Table1[[#This Row],[PredictedAwayScore]]</f>
        <v>0</v>
      </c>
      <c r="V298" s="64">
        <f>Table1[[#This Row],[ActualHomeScore]]-Table1[[#This Row],[PredictedHomeScore]]</f>
        <v>0</v>
      </c>
      <c r="W298" s="64">
        <f>(0.8*IF(Table1[[#This Row],[CorrectWinnerPrediction]]=1, 1, 0))+(0.1*IF(Table1[[#This Row],[CorrectAwayScorePrediction]]=1, 1, 0))+(0.1*IF(Table1[[#This Row],[CorrectHomeScorePrediction]]=1, 1, 0))</f>
        <v>0</v>
      </c>
      <c r="X29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98" s="64">
        <f>SUMIF(Table1[GameDate], Table1[[#This Row],[GameDate]], Table1[AwayGameGoalDiff])</f>
        <v>0</v>
      </c>
      <c r="AA298" s="64">
        <f>SUMIF(Table1[GameDate], Table1[[#This Row],[GameDate]], Table1[HomeGameGoalDiff])</f>
        <v>0</v>
      </c>
      <c r="AB298" s="64">
        <f>IF(ISBLANK(Table1[[#This Row],[ActualResult]]), 0, 1)</f>
        <v>0</v>
      </c>
      <c r="AC298" s="64">
        <f>IF(ISBLANK(Table1[[#This Row],[ActualResult]]), 0, IF(Table1[[#This Row],[ActualWinner]]=Table1[[#This Row],[PredictedWinner]], 1, 0))</f>
        <v>0</v>
      </c>
      <c r="AD29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9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98" s="64">
        <f>IF(AND(Table1[[#This Row],[GameIsOver]]=1,Table1[[#This Row],[ActualAwayScore]]=0), 1,0)</f>
        <v>0</v>
      </c>
      <c r="AG298" s="64">
        <f>IF(AND(Table1[[#This Row],[GameIsOver]]=1,Table1[[#This Row],[ActualHomeScore]]=0), 1,0)</f>
        <v>0</v>
      </c>
      <c r="AH298" s="64">
        <f>IF(Table1[[#This Row],[GameIsOver]]=0,0,IF(Table1[[#This Row],[ActualWinner]]=Table1[[#This Row],[AwayTeam]], 1, 0))</f>
        <v>0</v>
      </c>
      <c r="AI298" s="64">
        <f>IF(Table1[[#This Row],[GameIsOver]]=0,0,IF(Table1[[#This Row],[ActualWinner]]=Table1[[#This Row],[HomeTeam]], 1, 0))</f>
        <v>0</v>
      </c>
      <c r="AJ298" s="64">
        <f>IF(INDEX(Standings!$A$2:$C$33,MATCH(Table1[[#This Row],[AwayTeam]],Standings!$A$2:$A$33,0),2)=INDEX(Standings!$A$2:$C$33,MATCH(Table1[[#This Row],[HomeTeam]],Standings!$A$2:$A$33,0),2),1,0)</f>
        <v>1</v>
      </c>
      <c r="AK298" s="64">
        <f>IF(INDEX(Standings!$A$2:$C$33,MATCH(Table1[[#This Row],[AwayTeam]],Standings!$A$2:$A$33,0),3)=INDEX(Standings!$A$2:$C$33,MATCH(Table1[[#This Row],[HomeTeam]],Standings!$A$2:$A$33,0),3),1,0)</f>
        <v>0</v>
      </c>
      <c r="AL298" s="64">
        <f>IF(Table1[[#This Row],[InterConf]]=1,IF(Table1[[#This Row],[InterDiv]]=0, 1, 0), 0)</f>
        <v>1</v>
      </c>
      <c r="AM298" s="64">
        <f>IF(INDEX(Standings!$A$2:$C$33,MATCH(Table1[[#This Row],[AwayTeam]],Standings!$A$2:$A$33,0),2)&lt;&gt;INDEX(Standings!$A$2:$C$33,MATCH(Table1[[#This Row],[HomeTeam]],Standings!$A$2:$A$33,0),2),1,0)</f>
        <v>0</v>
      </c>
      <c r="AN298" s="64" t="str">
        <f>INDEX(Table2[AWAY_RECORD], MATCH(Table1[[#This Row],[AwayTeam]],Table2[Team], 0), 0)</f>
        <v>0-0-0</v>
      </c>
      <c r="AO298" s="64" t="str">
        <f>INDEX(Records!$B$2:$AG$33, MATCH(Table1[[#This Row],[AwayTeam]],Records!$A$2:$A$33, 0), MATCH(Table1[[#This Row],[HomeTeam]],Records!$A$2:$A$33, 0))</f>
        <v>0-0-0</v>
      </c>
      <c r="AP298" s="64" t="str">
        <f>INDEX(Table2[HOME_RECORD], MATCH(Table1[[#This Row],[HomeTeam]],Table2[Team], 0), 0)</f>
        <v>0-0-0</v>
      </c>
      <c r="AQ298" s="64" t="str">
        <f>INDEX(Records!$B$2:$AG$33, MATCH(Table1[[#This Row],[HomeTeam]],Records!$A$2:$A$33, 0), MATCH(Table1[[#This Row],[AwayTeam]],Records!$A$2:$A$33, 0))</f>
        <v>0-0-0</v>
      </c>
    </row>
    <row r="299" spans="1:43" x14ac:dyDescent="0.25">
      <c r="A299" s="1"/>
      <c r="D299" t="s">
        <v>524</v>
      </c>
      <c r="E299" t="s">
        <v>298</v>
      </c>
      <c r="F299" t="s">
        <v>527</v>
      </c>
      <c r="G299" t="s">
        <v>54</v>
      </c>
      <c r="H299" t="s">
        <v>55</v>
      </c>
      <c r="L29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29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299" s="1"/>
      <c r="T299" s="64" t="str">
        <f>IF(Table1[[#This Row],[ActualWinner]]="", "", IF(Table1[[#This Row],[AwayTeam]]=Table1[[#This Row],[ActualWinner]],Table1[[#This Row],[HomeTeam]],Table1[[#This Row],[AwayTeam]]))</f>
        <v/>
      </c>
      <c r="U299" s="64">
        <f>Table1[[#This Row],[ActualAwayScore]]-Table1[[#This Row],[PredictedAwayScore]]</f>
        <v>0</v>
      </c>
      <c r="V299" s="64">
        <f>Table1[[#This Row],[ActualHomeScore]]-Table1[[#This Row],[PredictedHomeScore]]</f>
        <v>0</v>
      </c>
      <c r="W299" s="64">
        <f>(0.8*IF(Table1[[#This Row],[CorrectWinnerPrediction]]=1, 1, 0))+(0.1*IF(Table1[[#This Row],[CorrectAwayScorePrediction]]=1, 1, 0))+(0.1*IF(Table1[[#This Row],[CorrectHomeScorePrediction]]=1, 1, 0))</f>
        <v>0</v>
      </c>
      <c r="X29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99" s="64">
        <f>SUMIF(Table1[GameDate], Table1[[#This Row],[GameDate]], Table1[AwayGameGoalDiff])</f>
        <v>0</v>
      </c>
      <c r="AA299" s="64">
        <f>SUMIF(Table1[GameDate], Table1[[#This Row],[GameDate]], Table1[HomeGameGoalDiff])</f>
        <v>0</v>
      </c>
      <c r="AB299" s="64">
        <f>IF(ISBLANK(Table1[[#This Row],[ActualResult]]), 0, 1)</f>
        <v>0</v>
      </c>
      <c r="AC299" s="64">
        <f>IF(ISBLANK(Table1[[#This Row],[ActualResult]]), 0, IF(Table1[[#This Row],[ActualWinner]]=Table1[[#This Row],[PredictedWinner]], 1, 0))</f>
        <v>0</v>
      </c>
      <c r="AD29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9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99" s="64">
        <f>IF(AND(Table1[[#This Row],[GameIsOver]]=1,Table1[[#This Row],[ActualAwayScore]]=0), 1,0)</f>
        <v>0</v>
      </c>
      <c r="AG299" s="64">
        <f>IF(AND(Table1[[#This Row],[GameIsOver]]=1,Table1[[#This Row],[ActualHomeScore]]=0), 1,0)</f>
        <v>0</v>
      </c>
      <c r="AH299" s="64">
        <f>IF(Table1[[#This Row],[GameIsOver]]=0,0,IF(Table1[[#This Row],[ActualWinner]]=Table1[[#This Row],[AwayTeam]], 1, 0))</f>
        <v>0</v>
      </c>
      <c r="AI299" s="64">
        <f>IF(Table1[[#This Row],[GameIsOver]]=0,0,IF(Table1[[#This Row],[ActualWinner]]=Table1[[#This Row],[HomeTeam]], 1, 0))</f>
        <v>0</v>
      </c>
      <c r="AJ299" s="64">
        <f>IF(INDEX(Standings!$A$2:$C$33,MATCH(Table1[[#This Row],[AwayTeam]],Standings!$A$2:$A$33,0),2)=INDEX(Standings!$A$2:$C$33,MATCH(Table1[[#This Row],[HomeTeam]],Standings!$A$2:$A$33,0),2),1,0)</f>
        <v>0</v>
      </c>
      <c r="AK299" s="64">
        <f>IF(INDEX(Standings!$A$2:$C$33,MATCH(Table1[[#This Row],[AwayTeam]],Standings!$A$2:$A$33,0),3)=INDEX(Standings!$A$2:$C$33,MATCH(Table1[[#This Row],[HomeTeam]],Standings!$A$2:$A$33,0),3),1,0)</f>
        <v>0</v>
      </c>
      <c r="AL299" s="64">
        <f>IF(Table1[[#This Row],[InterConf]]=1,IF(Table1[[#This Row],[InterDiv]]=0, 1, 0), 0)</f>
        <v>0</v>
      </c>
      <c r="AM299" s="64">
        <f>IF(INDEX(Standings!$A$2:$C$33,MATCH(Table1[[#This Row],[AwayTeam]],Standings!$A$2:$A$33,0),2)&lt;&gt;INDEX(Standings!$A$2:$C$33,MATCH(Table1[[#This Row],[HomeTeam]],Standings!$A$2:$A$33,0),2),1,0)</f>
        <v>1</v>
      </c>
      <c r="AN299" s="64" t="str">
        <f>INDEX(Table2[AWAY_RECORD], MATCH(Table1[[#This Row],[AwayTeam]],Table2[Team], 0), 0)</f>
        <v>0-0-1</v>
      </c>
      <c r="AO299" s="64" t="str">
        <f>INDEX(Records!$B$2:$AG$33, MATCH(Table1[[#This Row],[AwayTeam]],Records!$A$2:$A$33, 0), MATCH(Table1[[#This Row],[HomeTeam]],Records!$A$2:$A$33, 0))</f>
        <v>0-0-0</v>
      </c>
      <c r="AP299" s="64" t="str">
        <f>INDEX(Table2[HOME_RECORD], MATCH(Table1[[#This Row],[HomeTeam]],Table2[Team], 0), 0)</f>
        <v>0-1-0</v>
      </c>
      <c r="AQ299" s="64" t="str">
        <f>INDEX(Records!$B$2:$AG$33, MATCH(Table1[[#This Row],[HomeTeam]],Records!$A$2:$A$33, 0), MATCH(Table1[[#This Row],[AwayTeam]],Records!$A$2:$A$33, 0))</f>
        <v>0-0-0</v>
      </c>
    </row>
    <row r="300" spans="1:43" x14ac:dyDescent="0.25">
      <c r="A300" s="1"/>
      <c r="D300" t="s">
        <v>524</v>
      </c>
      <c r="E300" t="s">
        <v>205</v>
      </c>
      <c r="F300" t="s">
        <v>528</v>
      </c>
      <c r="G300" t="s">
        <v>40</v>
      </c>
      <c r="H300" t="s">
        <v>56</v>
      </c>
      <c r="L30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0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00" s="1"/>
      <c r="T300" s="64" t="str">
        <f>IF(Table1[[#This Row],[ActualWinner]]="", "", IF(Table1[[#This Row],[AwayTeam]]=Table1[[#This Row],[ActualWinner]],Table1[[#This Row],[HomeTeam]],Table1[[#This Row],[AwayTeam]]))</f>
        <v/>
      </c>
      <c r="U300" s="64">
        <f>Table1[[#This Row],[ActualAwayScore]]-Table1[[#This Row],[PredictedAwayScore]]</f>
        <v>0</v>
      </c>
      <c r="V300" s="64">
        <f>Table1[[#This Row],[ActualHomeScore]]-Table1[[#This Row],[PredictedHomeScore]]</f>
        <v>0</v>
      </c>
      <c r="W300" s="64">
        <f>(0.8*IF(Table1[[#This Row],[CorrectWinnerPrediction]]=1, 1, 0))+(0.1*IF(Table1[[#This Row],[CorrectAwayScorePrediction]]=1, 1, 0))+(0.1*IF(Table1[[#This Row],[CorrectHomeScorePrediction]]=1, 1, 0))</f>
        <v>0</v>
      </c>
      <c r="X30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00" s="64">
        <f>SUMIF(Table1[GameDate], Table1[[#This Row],[GameDate]], Table1[AwayGameGoalDiff])</f>
        <v>0</v>
      </c>
      <c r="AA300" s="64">
        <f>SUMIF(Table1[GameDate], Table1[[#This Row],[GameDate]], Table1[HomeGameGoalDiff])</f>
        <v>0</v>
      </c>
      <c r="AB300" s="64">
        <f>IF(ISBLANK(Table1[[#This Row],[ActualResult]]), 0, 1)</f>
        <v>0</v>
      </c>
      <c r="AC300" s="64">
        <f>IF(ISBLANK(Table1[[#This Row],[ActualResult]]), 0, IF(Table1[[#This Row],[ActualWinner]]=Table1[[#This Row],[PredictedWinner]], 1, 0))</f>
        <v>0</v>
      </c>
      <c r="AD30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0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00" s="64">
        <f>IF(AND(Table1[[#This Row],[GameIsOver]]=1,Table1[[#This Row],[ActualAwayScore]]=0), 1,0)</f>
        <v>0</v>
      </c>
      <c r="AG300" s="64">
        <f>IF(AND(Table1[[#This Row],[GameIsOver]]=1,Table1[[#This Row],[ActualHomeScore]]=0), 1,0)</f>
        <v>0</v>
      </c>
      <c r="AH300" s="64">
        <f>IF(Table1[[#This Row],[GameIsOver]]=0,0,IF(Table1[[#This Row],[ActualWinner]]=Table1[[#This Row],[AwayTeam]], 1, 0))</f>
        <v>0</v>
      </c>
      <c r="AI300" s="64">
        <f>IF(Table1[[#This Row],[GameIsOver]]=0,0,IF(Table1[[#This Row],[ActualWinner]]=Table1[[#This Row],[HomeTeam]], 1, 0))</f>
        <v>0</v>
      </c>
      <c r="AJ300" s="64">
        <f>IF(INDEX(Standings!$A$2:$C$33,MATCH(Table1[[#This Row],[AwayTeam]],Standings!$A$2:$A$33,0),2)=INDEX(Standings!$A$2:$C$33,MATCH(Table1[[#This Row],[HomeTeam]],Standings!$A$2:$A$33,0),2),1,0)</f>
        <v>0</v>
      </c>
      <c r="AK300" s="64">
        <f>IF(INDEX(Standings!$A$2:$C$33,MATCH(Table1[[#This Row],[AwayTeam]],Standings!$A$2:$A$33,0),3)=INDEX(Standings!$A$2:$C$33,MATCH(Table1[[#This Row],[HomeTeam]],Standings!$A$2:$A$33,0),3),1,0)</f>
        <v>0</v>
      </c>
      <c r="AL300" s="64">
        <f>IF(Table1[[#This Row],[InterConf]]=1,IF(Table1[[#This Row],[InterDiv]]=0, 1, 0), 0)</f>
        <v>0</v>
      </c>
      <c r="AM300" s="64">
        <f>IF(INDEX(Standings!$A$2:$C$33,MATCH(Table1[[#This Row],[AwayTeam]],Standings!$A$2:$A$33,0),2)&lt;&gt;INDEX(Standings!$A$2:$C$33,MATCH(Table1[[#This Row],[HomeTeam]],Standings!$A$2:$A$33,0),2),1,0)</f>
        <v>1</v>
      </c>
      <c r="AN300" s="64" t="str">
        <f>INDEX(Table2[AWAY_RECORD], MATCH(Table1[[#This Row],[AwayTeam]],Table2[Team], 0), 0)</f>
        <v>0-0-0</v>
      </c>
      <c r="AO300" s="64" t="str">
        <f>INDEX(Records!$B$2:$AG$33, MATCH(Table1[[#This Row],[AwayTeam]],Records!$A$2:$A$33, 0), MATCH(Table1[[#This Row],[HomeTeam]],Records!$A$2:$A$33, 0))</f>
        <v>0-0-0</v>
      </c>
      <c r="AP300" s="64" t="str">
        <f>INDEX(Table2[HOME_RECORD], MATCH(Table1[[#This Row],[HomeTeam]],Table2[Team], 0), 0)</f>
        <v>0-0-0</v>
      </c>
      <c r="AQ300" s="64" t="str">
        <f>INDEX(Records!$B$2:$AG$33, MATCH(Table1[[#This Row],[HomeTeam]],Records!$A$2:$A$33, 0), MATCH(Table1[[#This Row],[AwayTeam]],Records!$A$2:$A$33, 0))</f>
        <v>0-0-0</v>
      </c>
    </row>
    <row r="301" spans="1:43" x14ac:dyDescent="0.25">
      <c r="A301" s="1"/>
      <c r="D301" t="s">
        <v>524</v>
      </c>
      <c r="E301" t="s">
        <v>162</v>
      </c>
      <c r="F301" t="s">
        <v>529</v>
      </c>
      <c r="G301" t="s">
        <v>47</v>
      </c>
      <c r="H301" t="s">
        <v>37</v>
      </c>
      <c r="L30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0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01" s="1"/>
      <c r="T301" s="64" t="str">
        <f>IF(Table1[[#This Row],[ActualWinner]]="", "", IF(Table1[[#This Row],[AwayTeam]]=Table1[[#This Row],[ActualWinner]],Table1[[#This Row],[HomeTeam]],Table1[[#This Row],[AwayTeam]]))</f>
        <v/>
      </c>
      <c r="U301" s="64">
        <f>Table1[[#This Row],[ActualAwayScore]]-Table1[[#This Row],[PredictedAwayScore]]</f>
        <v>0</v>
      </c>
      <c r="V301" s="64">
        <f>Table1[[#This Row],[ActualHomeScore]]-Table1[[#This Row],[PredictedHomeScore]]</f>
        <v>0</v>
      </c>
      <c r="W301" s="64">
        <f>(0.8*IF(Table1[[#This Row],[CorrectWinnerPrediction]]=1, 1, 0))+(0.1*IF(Table1[[#This Row],[CorrectAwayScorePrediction]]=1, 1, 0))+(0.1*IF(Table1[[#This Row],[CorrectHomeScorePrediction]]=1, 1, 0))</f>
        <v>0</v>
      </c>
      <c r="X30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01" s="64">
        <f>SUMIF(Table1[GameDate], Table1[[#This Row],[GameDate]], Table1[AwayGameGoalDiff])</f>
        <v>0</v>
      </c>
      <c r="AA301" s="64">
        <f>SUMIF(Table1[GameDate], Table1[[#This Row],[GameDate]], Table1[HomeGameGoalDiff])</f>
        <v>0</v>
      </c>
      <c r="AB301" s="64">
        <f>IF(ISBLANK(Table1[[#This Row],[ActualResult]]), 0, 1)</f>
        <v>0</v>
      </c>
      <c r="AC301" s="64">
        <f>IF(ISBLANK(Table1[[#This Row],[ActualResult]]), 0, IF(Table1[[#This Row],[ActualWinner]]=Table1[[#This Row],[PredictedWinner]], 1, 0))</f>
        <v>0</v>
      </c>
      <c r="AD30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0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01" s="64">
        <f>IF(AND(Table1[[#This Row],[GameIsOver]]=1,Table1[[#This Row],[ActualAwayScore]]=0), 1,0)</f>
        <v>0</v>
      </c>
      <c r="AG301" s="64">
        <f>IF(AND(Table1[[#This Row],[GameIsOver]]=1,Table1[[#This Row],[ActualHomeScore]]=0), 1,0)</f>
        <v>0</v>
      </c>
      <c r="AH301" s="64">
        <f>IF(Table1[[#This Row],[GameIsOver]]=0,0,IF(Table1[[#This Row],[ActualWinner]]=Table1[[#This Row],[AwayTeam]], 1, 0))</f>
        <v>0</v>
      </c>
      <c r="AI301" s="64">
        <f>IF(Table1[[#This Row],[GameIsOver]]=0,0,IF(Table1[[#This Row],[ActualWinner]]=Table1[[#This Row],[HomeTeam]], 1, 0))</f>
        <v>0</v>
      </c>
      <c r="AJ301" s="64">
        <f>IF(INDEX(Standings!$A$2:$C$33,MATCH(Table1[[#This Row],[AwayTeam]],Standings!$A$2:$A$33,0),2)=INDEX(Standings!$A$2:$C$33,MATCH(Table1[[#This Row],[HomeTeam]],Standings!$A$2:$A$33,0),2),1,0)</f>
        <v>1</v>
      </c>
      <c r="AK301" s="64">
        <f>IF(INDEX(Standings!$A$2:$C$33,MATCH(Table1[[#This Row],[AwayTeam]],Standings!$A$2:$A$33,0),3)=INDEX(Standings!$A$2:$C$33,MATCH(Table1[[#This Row],[HomeTeam]],Standings!$A$2:$A$33,0),3),1,0)</f>
        <v>1</v>
      </c>
      <c r="AL301" s="64">
        <f>IF(Table1[[#This Row],[InterConf]]=1,IF(Table1[[#This Row],[InterDiv]]=0, 1, 0), 0)</f>
        <v>0</v>
      </c>
      <c r="AM301" s="64">
        <f>IF(INDEX(Standings!$A$2:$C$33,MATCH(Table1[[#This Row],[AwayTeam]],Standings!$A$2:$A$33,0),2)&lt;&gt;INDEX(Standings!$A$2:$C$33,MATCH(Table1[[#This Row],[HomeTeam]],Standings!$A$2:$A$33,0),2),1,0)</f>
        <v>0</v>
      </c>
      <c r="AN301" s="64" t="str">
        <f>INDEX(Table2[AWAY_RECORD], MATCH(Table1[[#This Row],[AwayTeam]],Table2[Team], 0), 0)</f>
        <v>1-0-0</v>
      </c>
      <c r="AO301" s="64" t="str">
        <f>INDEX(Records!$B$2:$AG$33, MATCH(Table1[[#This Row],[AwayTeam]],Records!$A$2:$A$33, 0), MATCH(Table1[[#This Row],[HomeTeam]],Records!$A$2:$A$33, 0))</f>
        <v>0-0-0</v>
      </c>
      <c r="AP301" s="64" t="str">
        <f>INDEX(Table2[HOME_RECORD], MATCH(Table1[[#This Row],[HomeTeam]],Table2[Team], 0), 0)</f>
        <v>0-1-0</v>
      </c>
      <c r="AQ301" s="64" t="str">
        <f>INDEX(Records!$B$2:$AG$33, MATCH(Table1[[#This Row],[HomeTeam]],Records!$A$2:$A$33, 0), MATCH(Table1[[#This Row],[AwayTeam]],Records!$A$2:$A$33, 0))</f>
        <v>0-0-0</v>
      </c>
    </row>
    <row r="302" spans="1:43" x14ac:dyDescent="0.25">
      <c r="A302" s="1"/>
      <c r="D302" t="s">
        <v>524</v>
      </c>
      <c r="E302" t="s">
        <v>162</v>
      </c>
      <c r="F302" t="s">
        <v>530</v>
      </c>
      <c r="G302" t="s">
        <v>22</v>
      </c>
      <c r="H302" t="s">
        <v>24</v>
      </c>
      <c r="L30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0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02" s="1"/>
      <c r="T302" s="64" t="str">
        <f>IF(Table1[[#This Row],[ActualWinner]]="", "", IF(Table1[[#This Row],[AwayTeam]]=Table1[[#This Row],[ActualWinner]],Table1[[#This Row],[HomeTeam]],Table1[[#This Row],[AwayTeam]]))</f>
        <v/>
      </c>
      <c r="U302" s="64">
        <f>Table1[[#This Row],[ActualAwayScore]]-Table1[[#This Row],[PredictedAwayScore]]</f>
        <v>0</v>
      </c>
      <c r="V302" s="64">
        <f>Table1[[#This Row],[ActualHomeScore]]-Table1[[#This Row],[PredictedHomeScore]]</f>
        <v>0</v>
      </c>
      <c r="W302" s="64">
        <f>(0.8*IF(Table1[[#This Row],[CorrectWinnerPrediction]]=1, 1, 0))+(0.1*IF(Table1[[#This Row],[CorrectAwayScorePrediction]]=1, 1, 0))+(0.1*IF(Table1[[#This Row],[CorrectHomeScorePrediction]]=1, 1, 0))</f>
        <v>0</v>
      </c>
      <c r="X30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02" s="64">
        <f>SUMIF(Table1[GameDate], Table1[[#This Row],[GameDate]], Table1[AwayGameGoalDiff])</f>
        <v>0</v>
      </c>
      <c r="AA302" s="64">
        <f>SUMIF(Table1[GameDate], Table1[[#This Row],[GameDate]], Table1[HomeGameGoalDiff])</f>
        <v>0</v>
      </c>
      <c r="AB302" s="64">
        <f>IF(ISBLANK(Table1[[#This Row],[ActualResult]]), 0, 1)</f>
        <v>0</v>
      </c>
      <c r="AC302" s="64">
        <f>IF(ISBLANK(Table1[[#This Row],[ActualResult]]), 0, IF(Table1[[#This Row],[ActualWinner]]=Table1[[#This Row],[PredictedWinner]], 1, 0))</f>
        <v>0</v>
      </c>
      <c r="AD30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0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02" s="64">
        <f>IF(AND(Table1[[#This Row],[GameIsOver]]=1,Table1[[#This Row],[ActualAwayScore]]=0), 1,0)</f>
        <v>0</v>
      </c>
      <c r="AG302" s="64">
        <f>IF(AND(Table1[[#This Row],[GameIsOver]]=1,Table1[[#This Row],[ActualHomeScore]]=0), 1,0)</f>
        <v>0</v>
      </c>
      <c r="AH302" s="64">
        <f>IF(Table1[[#This Row],[GameIsOver]]=0,0,IF(Table1[[#This Row],[ActualWinner]]=Table1[[#This Row],[AwayTeam]], 1, 0))</f>
        <v>0</v>
      </c>
      <c r="AI302" s="64">
        <f>IF(Table1[[#This Row],[GameIsOver]]=0,0,IF(Table1[[#This Row],[ActualWinner]]=Table1[[#This Row],[HomeTeam]], 1, 0))</f>
        <v>0</v>
      </c>
      <c r="AJ302" s="64">
        <f>IF(INDEX(Standings!$A$2:$C$33,MATCH(Table1[[#This Row],[AwayTeam]],Standings!$A$2:$A$33,0),2)=INDEX(Standings!$A$2:$C$33,MATCH(Table1[[#This Row],[HomeTeam]],Standings!$A$2:$A$33,0),2),1,0)</f>
        <v>0</v>
      </c>
      <c r="AK302" s="64">
        <f>IF(INDEX(Standings!$A$2:$C$33,MATCH(Table1[[#This Row],[AwayTeam]],Standings!$A$2:$A$33,0),3)=INDEX(Standings!$A$2:$C$33,MATCH(Table1[[#This Row],[HomeTeam]],Standings!$A$2:$A$33,0),3),1,0)</f>
        <v>0</v>
      </c>
      <c r="AL302" s="64">
        <f>IF(Table1[[#This Row],[InterConf]]=1,IF(Table1[[#This Row],[InterDiv]]=0, 1, 0), 0)</f>
        <v>0</v>
      </c>
      <c r="AM302" s="64">
        <f>IF(INDEX(Standings!$A$2:$C$33,MATCH(Table1[[#This Row],[AwayTeam]],Standings!$A$2:$A$33,0),2)&lt;&gt;INDEX(Standings!$A$2:$C$33,MATCH(Table1[[#This Row],[HomeTeam]],Standings!$A$2:$A$33,0),2),1,0)</f>
        <v>1</v>
      </c>
      <c r="AN302" s="64" t="str">
        <f>INDEX(Table2[AWAY_RECORD], MATCH(Table1[[#This Row],[AwayTeam]],Table2[Team], 0), 0)</f>
        <v>0-0-1</v>
      </c>
      <c r="AO302" s="64" t="str">
        <f>INDEX(Records!$B$2:$AG$33, MATCH(Table1[[#This Row],[AwayTeam]],Records!$A$2:$A$33, 0), MATCH(Table1[[#This Row],[HomeTeam]],Records!$A$2:$A$33, 0))</f>
        <v>0-0-0</v>
      </c>
      <c r="AP302" s="64" t="str">
        <f>INDEX(Table2[HOME_RECORD], MATCH(Table1[[#This Row],[HomeTeam]],Table2[Team], 0), 0)</f>
        <v>0-2-0</v>
      </c>
      <c r="AQ302" s="64" t="str">
        <f>INDEX(Records!$B$2:$AG$33, MATCH(Table1[[#This Row],[HomeTeam]],Records!$A$2:$A$33, 0), MATCH(Table1[[#This Row],[AwayTeam]],Records!$A$2:$A$33, 0))</f>
        <v>0-0-0</v>
      </c>
    </row>
    <row r="303" spans="1:43" x14ac:dyDescent="0.25">
      <c r="A303" s="1"/>
      <c r="D303" t="s">
        <v>524</v>
      </c>
      <c r="E303" t="s">
        <v>162</v>
      </c>
      <c r="F303" t="s">
        <v>531</v>
      </c>
      <c r="G303" t="s">
        <v>41</v>
      </c>
      <c r="H303" t="s">
        <v>52</v>
      </c>
      <c r="L30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0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03" s="1"/>
      <c r="T303" s="64" t="str">
        <f>IF(Table1[[#This Row],[ActualWinner]]="", "", IF(Table1[[#This Row],[AwayTeam]]=Table1[[#This Row],[ActualWinner]],Table1[[#This Row],[HomeTeam]],Table1[[#This Row],[AwayTeam]]))</f>
        <v/>
      </c>
      <c r="U303" s="64">
        <f>Table1[[#This Row],[ActualAwayScore]]-Table1[[#This Row],[PredictedAwayScore]]</f>
        <v>0</v>
      </c>
      <c r="V303" s="64">
        <f>Table1[[#This Row],[ActualHomeScore]]-Table1[[#This Row],[PredictedHomeScore]]</f>
        <v>0</v>
      </c>
      <c r="W303" s="64">
        <f>(0.8*IF(Table1[[#This Row],[CorrectWinnerPrediction]]=1, 1, 0))+(0.1*IF(Table1[[#This Row],[CorrectAwayScorePrediction]]=1, 1, 0))+(0.1*IF(Table1[[#This Row],[CorrectHomeScorePrediction]]=1, 1, 0))</f>
        <v>0</v>
      </c>
      <c r="X30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03" s="64">
        <f>SUMIF(Table1[GameDate], Table1[[#This Row],[GameDate]], Table1[AwayGameGoalDiff])</f>
        <v>0</v>
      </c>
      <c r="AA303" s="64">
        <f>SUMIF(Table1[GameDate], Table1[[#This Row],[GameDate]], Table1[HomeGameGoalDiff])</f>
        <v>0</v>
      </c>
      <c r="AB303" s="64">
        <f>IF(ISBLANK(Table1[[#This Row],[ActualResult]]), 0, 1)</f>
        <v>0</v>
      </c>
      <c r="AC303" s="64">
        <f>IF(ISBLANK(Table1[[#This Row],[ActualResult]]), 0, IF(Table1[[#This Row],[ActualWinner]]=Table1[[#This Row],[PredictedWinner]], 1, 0))</f>
        <v>0</v>
      </c>
      <c r="AD30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0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03" s="64">
        <f>IF(AND(Table1[[#This Row],[GameIsOver]]=1,Table1[[#This Row],[ActualAwayScore]]=0), 1,0)</f>
        <v>0</v>
      </c>
      <c r="AG303" s="64">
        <f>IF(AND(Table1[[#This Row],[GameIsOver]]=1,Table1[[#This Row],[ActualHomeScore]]=0), 1,0)</f>
        <v>0</v>
      </c>
      <c r="AH303" s="64">
        <f>IF(Table1[[#This Row],[GameIsOver]]=0,0,IF(Table1[[#This Row],[ActualWinner]]=Table1[[#This Row],[AwayTeam]], 1, 0))</f>
        <v>0</v>
      </c>
      <c r="AI303" s="64">
        <f>IF(Table1[[#This Row],[GameIsOver]]=0,0,IF(Table1[[#This Row],[ActualWinner]]=Table1[[#This Row],[HomeTeam]], 1, 0))</f>
        <v>0</v>
      </c>
      <c r="AJ303" s="64">
        <f>IF(INDEX(Standings!$A$2:$C$33,MATCH(Table1[[#This Row],[AwayTeam]],Standings!$A$2:$A$33,0),2)=INDEX(Standings!$A$2:$C$33,MATCH(Table1[[#This Row],[HomeTeam]],Standings!$A$2:$A$33,0),2),1,0)</f>
        <v>0</v>
      </c>
      <c r="AK303" s="64">
        <f>IF(INDEX(Standings!$A$2:$C$33,MATCH(Table1[[#This Row],[AwayTeam]],Standings!$A$2:$A$33,0),3)=INDEX(Standings!$A$2:$C$33,MATCH(Table1[[#This Row],[HomeTeam]],Standings!$A$2:$A$33,0),3),1,0)</f>
        <v>0</v>
      </c>
      <c r="AL303" s="64">
        <f>IF(Table1[[#This Row],[InterConf]]=1,IF(Table1[[#This Row],[InterDiv]]=0, 1, 0), 0)</f>
        <v>0</v>
      </c>
      <c r="AM303" s="64">
        <f>IF(INDEX(Standings!$A$2:$C$33,MATCH(Table1[[#This Row],[AwayTeam]],Standings!$A$2:$A$33,0),2)&lt;&gt;INDEX(Standings!$A$2:$C$33,MATCH(Table1[[#This Row],[HomeTeam]],Standings!$A$2:$A$33,0),2),1,0)</f>
        <v>1</v>
      </c>
      <c r="AN303" s="64" t="str">
        <f>INDEX(Table2[AWAY_RECORD], MATCH(Table1[[#This Row],[AwayTeam]],Table2[Team], 0), 0)</f>
        <v>0-0-0</v>
      </c>
      <c r="AO303" s="64" t="str">
        <f>INDEX(Records!$B$2:$AG$33, MATCH(Table1[[#This Row],[AwayTeam]],Records!$A$2:$A$33, 0), MATCH(Table1[[#This Row],[HomeTeam]],Records!$A$2:$A$33, 0))</f>
        <v>0-0-0</v>
      </c>
      <c r="AP303" s="64" t="str">
        <f>INDEX(Table2[HOME_RECORD], MATCH(Table1[[#This Row],[HomeTeam]],Table2[Team], 0), 0)</f>
        <v>0-0-0</v>
      </c>
      <c r="AQ303" s="64" t="str">
        <f>INDEX(Records!$B$2:$AG$33, MATCH(Table1[[#This Row],[HomeTeam]],Records!$A$2:$A$33, 0), MATCH(Table1[[#This Row],[AwayTeam]],Records!$A$2:$A$33, 0))</f>
        <v>0-0-0</v>
      </c>
    </row>
    <row r="304" spans="1:43" x14ac:dyDescent="0.25">
      <c r="A304" s="1"/>
      <c r="D304" t="s">
        <v>524</v>
      </c>
      <c r="E304" t="s">
        <v>162</v>
      </c>
      <c r="F304" t="s">
        <v>532</v>
      </c>
      <c r="G304" t="s">
        <v>44</v>
      </c>
      <c r="H304" t="s">
        <v>17</v>
      </c>
      <c r="L30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0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04" s="1"/>
      <c r="T304" s="64" t="str">
        <f>IF(Table1[[#This Row],[ActualWinner]]="", "", IF(Table1[[#This Row],[AwayTeam]]=Table1[[#This Row],[ActualWinner]],Table1[[#This Row],[HomeTeam]],Table1[[#This Row],[AwayTeam]]))</f>
        <v/>
      </c>
      <c r="U304" s="64">
        <f>Table1[[#This Row],[ActualAwayScore]]-Table1[[#This Row],[PredictedAwayScore]]</f>
        <v>0</v>
      </c>
      <c r="V304" s="64">
        <f>Table1[[#This Row],[ActualHomeScore]]-Table1[[#This Row],[PredictedHomeScore]]</f>
        <v>0</v>
      </c>
      <c r="W304" s="64">
        <f>(0.8*IF(Table1[[#This Row],[CorrectWinnerPrediction]]=1, 1, 0))+(0.1*IF(Table1[[#This Row],[CorrectAwayScorePrediction]]=1, 1, 0))+(0.1*IF(Table1[[#This Row],[CorrectHomeScorePrediction]]=1, 1, 0))</f>
        <v>0</v>
      </c>
      <c r="X30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04" s="64">
        <f>SUMIF(Table1[GameDate], Table1[[#This Row],[GameDate]], Table1[AwayGameGoalDiff])</f>
        <v>0</v>
      </c>
      <c r="AA304" s="64">
        <f>SUMIF(Table1[GameDate], Table1[[#This Row],[GameDate]], Table1[HomeGameGoalDiff])</f>
        <v>0</v>
      </c>
      <c r="AB304" s="64">
        <f>IF(ISBLANK(Table1[[#This Row],[ActualResult]]), 0, 1)</f>
        <v>0</v>
      </c>
      <c r="AC304" s="64">
        <f>IF(ISBLANK(Table1[[#This Row],[ActualResult]]), 0, IF(Table1[[#This Row],[ActualWinner]]=Table1[[#This Row],[PredictedWinner]], 1, 0))</f>
        <v>0</v>
      </c>
      <c r="AD30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0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04" s="64">
        <f>IF(AND(Table1[[#This Row],[GameIsOver]]=1,Table1[[#This Row],[ActualAwayScore]]=0), 1,0)</f>
        <v>0</v>
      </c>
      <c r="AG304" s="64">
        <f>IF(AND(Table1[[#This Row],[GameIsOver]]=1,Table1[[#This Row],[ActualHomeScore]]=0), 1,0)</f>
        <v>0</v>
      </c>
      <c r="AH304" s="64">
        <f>IF(Table1[[#This Row],[GameIsOver]]=0,0,IF(Table1[[#This Row],[ActualWinner]]=Table1[[#This Row],[AwayTeam]], 1, 0))</f>
        <v>0</v>
      </c>
      <c r="AI304" s="64">
        <f>IF(Table1[[#This Row],[GameIsOver]]=0,0,IF(Table1[[#This Row],[ActualWinner]]=Table1[[#This Row],[HomeTeam]], 1, 0))</f>
        <v>0</v>
      </c>
      <c r="AJ304" s="64">
        <f>IF(INDEX(Standings!$A$2:$C$33,MATCH(Table1[[#This Row],[AwayTeam]],Standings!$A$2:$A$33,0),2)=INDEX(Standings!$A$2:$C$33,MATCH(Table1[[#This Row],[HomeTeam]],Standings!$A$2:$A$33,0),2),1,0)</f>
        <v>1</v>
      </c>
      <c r="AK304" s="64">
        <f>IF(INDEX(Standings!$A$2:$C$33,MATCH(Table1[[#This Row],[AwayTeam]],Standings!$A$2:$A$33,0),3)=INDEX(Standings!$A$2:$C$33,MATCH(Table1[[#This Row],[HomeTeam]],Standings!$A$2:$A$33,0),3),1,0)</f>
        <v>1</v>
      </c>
      <c r="AL304" s="64">
        <f>IF(Table1[[#This Row],[InterConf]]=1,IF(Table1[[#This Row],[InterDiv]]=0, 1, 0), 0)</f>
        <v>0</v>
      </c>
      <c r="AM304" s="64">
        <f>IF(INDEX(Standings!$A$2:$C$33,MATCH(Table1[[#This Row],[AwayTeam]],Standings!$A$2:$A$33,0),2)&lt;&gt;INDEX(Standings!$A$2:$C$33,MATCH(Table1[[#This Row],[HomeTeam]],Standings!$A$2:$A$33,0),2),1,0)</f>
        <v>0</v>
      </c>
      <c r="AN304" s="64" t="str">
        <f>INDEX(Table2[AWAY_RECORD], MATCH(Table1[[#This Row],[AwayTeam]],Table2[Team], 0), 0)</f>
        <v>0-0-0</v>
      </c>
      <c r="AO304" s="64" t="str">
        <f>INDEX(Records!$B$2:$AG$33, MATCH(Table1[[#This Row],[AwayTeam]],Records!$A$2:$A$33, 0), MATCH(Table1[[#This Row],[HomeTeam]],Records!$A$2:$A$33, 0))</f>
        <v>0-0-0</v>
      </c>
      <c r="AP304" s="64" t="str">
        <f>INDEX(Table2[HOME_RECORD], MATCH(Table1[[#This Row],[HomeTeam]],Table2[Team], 0), 0)</f>
        <v>0-0-0</v>
      </c>
      <c r="AQ304" s="64" t="str">
        <f>INDEX(Records!$B$2:$AG$33, MATCH(Table1[[#This Row],[HomeTeam]],Records!$A$2:$A$33, 0), MATCH(Table1[[#This Row],[AwayTeam]],Records!$A$2:$A$33, 0))</f>
        <v>0-0-0</v>
      </c>
    </row>
    <row r="305" spans="1:43" x14ac:dyDescent="0.25">
      <c r="A305" s="1"/>
      <c r="D305" t="s">
        <v>524</v>
      </c>
      <c r="E305" t="s">
        <v>162</v>
      </c>
      <c r="F305" t="s">
        <v>533</v>
      </c>
      <c r="G305" t="s">
        <v>59</v>
      </c>
      <c r="H305" t="s">
        <v>49</v>
      </c>
      <c r="L30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0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05" s="1"/>
      <c r="T305" s="64" t="str">
        <f>IF(Table1[[#This Row],[ActualWinner]]="", "", IF(Table1[[#This Row],[AwayTeam]]=Table1[[#This Row],[ActualWinner]],Table1[[#This Row],[HomeTeam]],Table1[[#This Row],[AwayTeam]]))</f>
        <v/>
      </c>
      <c r="U305" s="64">
        <f>Table1[[#This Row],[ActualAwayScore]]-Table1[[#This Row],[PredictedAwayScore]]</f>
        <v>0</v>
      </c>
      <c r="V305" s="64">
        <f>Table1[[#This Row],[ActualHomeScore]]-Table1[[#This Row],[PredictedHomeScore]]</f>
        <v>0</v>
      </c>
      <c r="W305" s="64">
        <f>(0.8*IF(Table1[[#This Row],[CorrectWinnerPrediction]]=1, 1, 0))+(0.1*IF(Table1[[#This Row],[CorrectAwayScorePrediction]]=1, 1, 0))+(0.1*IF(Table1[[#This Row],[CorrectHomeScorePrediction]]=1, 1, 0))</f>
        <v>0</v>
      </c>
      <c r="X30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05" s="64">
        <f>SUMIF(Table1[GameDate], Table1[[#This Row],[GameDate]], Table1[AwayGameGoalDiff])</f>
        <v>0</v>
      </c>
      <c r="AA305" s="64">
        <f>SUMIF(Table1[GameDate], Table1[[#This Row],[GameDate]], Table1[HomeGameGoalDiff])</f>
        <v>0</v>
      </c>
      <c r="AB305" s="64">
        <f>IF(ISBLANK(Table1[[#This Row],[ActualResult]]), 0, 1)</f>
        <v>0</v>
      </c>
      <c r="AC305" s="64">
        <f>IF(ISBLANK(Table1[[#This Row],[ActualResult]]), 0, IF(Table1[[#This Row],[ActualWinner]]=Table1[[#This Row],[PredictedWinner]], 1, 0))</f>
        <v>0</v>
      </c>
      <c r="AD30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0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05" s="64">
        <f>IF(AND(Table1[[#This Row],[GameIsOver]]=1,Table1[[#This Row],[ActualAwayScore]]=0), 1,0)</f>
        <v>0</v>
      </c>
      <c r="AG305" s="64">
        <f>IF(AND(Table1[[#This Row],[GameIsOver]]=1,Table1[[#This Row],[ActualHomeScore]]=0), 1,0)</f>
        <v>0</v>
      </c>
      <c r="AH305" s="64">
        <f>IF(Table1[[#This Row],[GameIsOver]]=0,0,IF(Table1[[#This Row],[ActualWinner]]=Table1[[#This Row],[AwayTeam]], 1, 0))</f>
        <v>0</v>
      </c>
      <c r="AI305" s="64">
        <f>IF(Table1[[#This Row],[GameIsOver]]=0,0,IF(Table1[[#This Row],[ActualWinner]]=Table1[[#This Row],[HomeTeam]], 1, 0))</f>
        <v>0</v>
      </c>
      <c r="AJ305" s="64">
        <f>IF(INDEX(Standings!$A$2:$C$33,MATCH(Table1[[#This Row],[AwayTeam]],Standings!$A$2:$A$33,0),2)=INDEX(Standings!$A$2:$C$33,MATCH(Table1[[#This Row],[HomeTeam]],Standings!$A$2:$A$33,0),2),1,0)</f>
        <v>1</v>
      </c>
      <c r="AK305" s="64">
        <f>IF(INDEX(Standings!$A$2:$C$33,MATCH(Table1[[#This Row],[AwayTeam]],Standings!$A$2:$A$33,0),3)=INDEX(Standings!$A$2:$C$33,MATCH(Table1[[#This Row],[HomeTeam]],Standings!$A$2:$A$33,0),3),1,0)</f>
        <v>1</v>
      </c>
      <c r="AL305" s="64">
        <f>IF(Table1[[#This Row],[InterConf]]=1,IF(Table1[[#This Row],[InterDiv]]=0, 1, 0), 0)</f>
        <v>0</v>
      </c>
      <c r="AM305" s="64">
        <f>IF(INDEX(Standings!$A$2:$C$33,MATCH(Table1[[#This Row],[AwayTeam]],Standings!$A$2:$A$33,0),2)&lt;&gt;INDEX(Standings!$A$2:$C$33,MATCH(Table1[[#This Row],[HomeTeam]],Standings!$A$2:$A$33,0),2),1,0)</f>
        <v>0</v>
      </c>
      <c r="AN305" s="64" t="str">
        <f>INDEX(Table2[AWAY_RECORD], MATCH(Table1[[#This Row],[AwayTeam]],Table2[Team], 0), 0)</f>
        <v>0-1-0</v>
      </c>
      <c r="AO305" s="64" t="str">
        <f>INDEX(Records!$B$2:$AG$33, MATCH(Table1[[#This Row],[AwayTeam]],Records!$A$2:$A$33, 0), MATCH(Table1[[#This Row],[HomeTeam]],Records!$A$2:$A$33, 0))</f>
        <v>0-0-0</v>
      </c>
      <c r="AP305" s="64" t="str">
        <f>INDEX(Table2[HOME_RECORD], MATCH(Table1[[#This Row],[HomeTeam]],Table2[Team], 0), 0)</f>
        <v>1-0-0</v>
      </c>
      <c r="AQ305" s="64" t="str">
        <f>INDEX(Records!$B$2:$AG$33, MATCH(Table1[[#This Row],[HomeTeam]],Records!$A$2:$A$33, 0), MATCH(Table1[[#This Row],[AwayTeam]],Records!$A$2:$A$33, 0))</f>
        <v>0-0-0</v>
      </c>
    </row>
    <row r="306" spans="1:43" x14ac:dyDescent="0.25">
      <c r="A306" s="1"/>
      <c r="D306" t="s">
        <v>524</v>
      </c>
      <c r="E306" t="s">
        <v>162</v>
      </c>
      <c r="F306" t="s">
        <v>534</v>
      </c>
      <c r="G306" t="s">
        <v>57</v>
      </c>
      <c r="H306" t="s">
        <v>42</v>
      </c>
      <c r="L30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0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06" s="1"/>
      <c r="T306" s="64" t="str">
        <f>IF(Table1[[#This Row],[ActualWinner]]="", "", IF(Table1[[#This Row],[AwayTeam]]=Table1[[#This Row],[ActualWinner]],Table1[[#This Row],[HomeTeam]],Table1[[#This Row],[AwayTeam]]))</f>
        <v/>
      </c>
      <c r="U306" s="64">
        <f>Table1[[#This Row],[ActualAwayScore]]-Table1[[#This Row],[PredictedAwayScore]]</f>
        <v>0</v>
      </c>
      <c r="V306" s="64">
        <f>Table1[[#This Row],[ActualHomeScore]]-Table1[[#This Row],[PredictedHomeScore]]</f>
        <v>0</v>
      </c>
      <c r="W306" s="64">
        <f>(0.8*IF(Table1[[#This Row],[CorrectWinnerPrediction]]=1, 1, 0))+(0.1*IF(Table1[[#This Row],[CorrectAwayScorePrediction]]=1, 1, 0))+(0.1*IF(Table1[[#This Row],[CorrectHomeScorePrediction]]=1, 1, 0))</f>
        <v>0</v>
      </c>
      <c r="X30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06" s="64">
        <f>SUMIF(Table1[GameDate], Table1[[#This Row],[GameDate]], Table1[AwayGameGoalDiff])</f>
        <v>0</v>
      </c>
      <c r="AA306" s="64">
        <f>SUMIF(Table1[GameDate], Table1[[#This Row],[GameDate]], Table1[HomeGameGoalDiff])</f>
        <v>0</v>
      </c>
      <c r="AB306" s="64">
        <f>IF(ISBLANK(Table1[[#This Row],[ActualResult]]), 0, 1)</f>
        <v>0</v>
      </c>
      <c r="AC306" s="64">
        <f>IF(ISBLANK(Table1[[#This Row],[ActualResult]]), 0, IF(Table1[[#This Row],[ActualWinner]]=Table1[[#This Row],[PredictedWinner]], 1, 0))</f>
        <v>0</v>
      </c>
      <c r="AD30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0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06" s="64">
        <f>IF(AND(Table1[[#This Row],[GameIsOver]]=1,Table1[[#This Row],[ActualAwayScore]]=0), 1,0)</f>
        <v>0</v>
      </c>
      <c r="AG306" s="64">
        <f>IF(AND(Table1[[#This Row],[GameIsOver]]=1,Table1[[#This Row],[ActualHomeScore]]=0), 1,0)</f>
        <v>0</v>
      </c>
      <c r="AH306" s="64">
        <f>IF(Table1[[#This Row],[GameIsOver]]=0,0,IF(Table1[[#This Row],[ActualWinner]]=Table1[[#This Row],[AwayTeam]], 1, 0))</f>
        <v>0</v>
      </c>
      <c r="AI306" s="64">
        <f>IF(Table1[[#This Row],[GameIsOver]]=0,0,IF(Table1[[#This Row],[ActualWinner]]=Table1[[#This Row],[HomeTeam]], 1, 0))</f>
        <v>0</v>
      </c>
      <c r="AJ306" s="64">
        <f>IF(INDEX(Standings!$A$2:$C$33,MATCH(Table1[[#This Row],[AwayTeam]],Standings!$A$2:$A$33,0),2)=INDEX(Standings!$A$2:$C$33,MATCH(Table1[[#This Row],[HomeTeam]],Standings!$A$2:$A$33,0),2),1,0)</f>
        <v>1</v>
      </c>
      <c r="AK306" s="64">
        <f>IF(INDEX(Standings!$A$2:$C$33,MATCH(Table1[[#This Row],[AwayTeam]],Standings!$A$2:$A$33,0),3)=INDEX(Standings!$A$2:$C$33,MATCH(Table1[[#This Row],[HomeTeam]],Standings!$A$2:$A$33,0),3),1,0)</f>
        <v>0</v>
      </c>
      <c r="AL306" s="64">
        <f>IF(Table1[[#This Row],[InterConf]]=1,IF(Table1[[#This Row],[InterDiv]]=0, 1, 0), 0)</f>
        <v>1</v>
      </c>
      <c r="AM306" s="64">
        <f>IF(INDEX(Standings!$A$2:$C$33,MATCH(Table1[[#This Row],[AwayTeam]],Standings!$A$2:$A$33,0),2)&lt;&gt;INDEX(Standings!$A$2:$C$33,MATCH(Table1[[#This Row],[HomeTeam]],Standings!$A$2:$A$33,0),2),1,0)</f>
        <v>0</v>
      </c>
      <c r="AN306" s="64" t="str">
        <f>INDEX(Table2[AWAY_RECORD], MATCH(Table1[[#This Row],[AwayTeam]],Table2[Team], 0), 0)</f>
        <v>0-1-0</v>
      </c>
      <c r="AO306" s="64" t="str">
        <f>INDEX(Records!$B$2:$AG$33, MATCH(Table1[[#This Row],[AwayTeam]],Records!$A$2:$A$33, 0), MATCH(Table1[[#This Row],[HomeTeam]],Records!$A$2:$A$33, 0))</f>
        <v>0-0-0</v>
      </c>
      <c r="AP306" s="64" t="str">
        <f>INDEX(Table2[HOME_RECORD], MATCH(Table1[[#This Row],[HomeTeam]],Table2[Team], 0), 0)</f>
        <v>1-0-0</v>
      </c>
      <c r="AQ306" s="64" t="str">
        <f>INDEX(Records!$B$2:$AG$33, MATCH(Table1[[#This Row],[HomeTeam]],Records!$A$2:$A$33, 0), MATCH(Table1[[#This Row],[AwayTeam]],Records!$A$2:$A$33, 0))</f>
        <v>0-0-0</v>
      </c>
    </row>
    <row r="307" spans="1:43" x14ac:dyDescent="0.25">
      <c r="A307" s="1"/>
      <c r="D307" t="s">
        <v>524</v>
      </c>
      <c r="E307" t="s">
        <v>178</v>
      </c>
      <c r="F307" t="s">
        <v>535</v>
      </c>
      <c r="G307" t="s">
        <v>38</v>
      </c>
      <c r="H307" t="s">
        <v>16</v>
      </c>
      <c r="L30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0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07" s="1"/>
      <c r="T307" s="64" t="str">
        <f>IF(Table1[[#This Row],[ActualWinner]]="", "", IF(Table1[[#This Row],[AwayTeam]]=Table1[[#This Row],[ActualWinner]],Table1[[#This Row],[HomeTeam]],Table1[[#This Row],[AwayTeam]]))</f>
        <v/>
      </c>
      <c r="U307" s="64">
        <f>Table1[[#This Row],[ActualAwayScore]]-Table1[[#This Row],[PredictedAwayScore]]</f>
        <v>0</v>
      </c>
      <c r="V307" s="64">
        <f>Table1[[#This Row],[ActualHomeScore]]-Table1[[#This Row],[PredictedHomeScore]]</f>
        <v>0</v>
      </c>
      <c r="W307" s="64">
        <f>(0.8*IF(Table1[[#This Row],[CorrectWinnerPrediction]]=1, 1, 0))+(0.1*IF(Table1[[#This Row],[CorrectAwayScorePrediction]]=1, 1, 0))+(0.1*IF(Table1[[#This Row],[CorrectHomeScorePrediction]]=1, 1, 0))</f>
        <v>0</v>
      </c>
      <c r="X30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07" s="64">
        <f>SUMIF(Table1[GameDate], Table1[[#This Row],[GameDate]], Table1[AwayGameGoalDiff])</f>
        <v>0</v>
      </c>
      <c r="AA307" s="64">
        <f>SUMIF(Table1[GameDate], Table1[[#This Row],[GameDate]], Table1[HomeGameGoalDiff])</f>
        <v>0</v>
      </c>
      <c r="AB307" s="64">
        <f>IF(ISBLANK(Table1[[#This Row],[ActualResult]]), 0, 1)</f>
        <v>0</v>
      </c>
      <c r="AC307" s="64">
        <f>IF(ISBLANK(Table1[[#This Row],[ActualResult]]), 0, IF(Table1[[#This Row],[ActualWinner]]=Table1[[#This Row],[PredictedWinner]], 1, 0))</f>
        <v>0</v>
      </c>
      <c r="AD30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0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07" s="64">
        <f>IF(AND(Table1[[#This Row],[GameIsOver]]=1,Table1[[#This Row],[ActualAwayScore]]=0), 1,0)</f>
        <v>0</v>
      </c>
      <c r="AG307" s="64">
        <f>IF(AND(Table1[[#This Row],[GameIsOver]]=1,Table1[[#This Row],[ActualHomeScore]]=0), 1,0)</f>
        <v>0</v>
      </c>
      <c r="AH307" s="64">
        <f>IF(Table1[[#This Row],[GameIsOver]]=0,0,IF(Table1[[#This Row],[ActualWinner]]=Table1[[#This Row],[AwayTeam]], 1, 0))</f>
        <v>0</v>
      </c>
      <c r="AI307" s="64">
        <f>IF(Table1[[#This Row],[GameIsOver]]=0,0,IF(Table1[[#This Row],[ActualWinner]]=Table1[[#This Row],[HomeTeam]], 1, 0))</f>
        <v>0</v>
      </c>
      <c r="AJ307" s="64">
        <f>IF(INDEX(Standings!$A$2:$C$33,MATCH(Table1[[#This Row],[AwayTeam]],Standings!$A$2:$A$33,0),2)=INDEX(Standings!$A$2:$C$33,MATCH(Table1[[#This Row],[HomeTeam]],Standings!$A$2:$A$33,0),2),1,0)</f>
        <v>0</v>
      </c>
      <c r="AK307" s="64">
        <f>IF(INDEX(Standings!$A$2:$C$33,MATCH(Table1[[#This Row],[AwayTeam]],Standings!$A$2:$A$33,0),3)=INDEX(Standings!$A$2:$C$33,MATCH(Table1[[#This Row],[HomeTeam]],Standings!$A$2:$A$33,0),3),1,0)</f>
        <v>0</v>
      </c>
      <c r="AL307" s="64">
        <f>IF(Table1[[#This Row],[InterConf]]=1,IF(Table1[[#This Row],[InterDiv]]=0, 1, 0), 0)</f>
        <v>0</v>
      </c>
      <c r="AM307" s="64">
        <f>IF(INDEX(Standings!$A$2:$C$33,MATCH(Table1[[#This Row],[AwayTeam]],Standings!$A$2:$A$33,0),2)&lt;&gt;INDEX(Standings!$A$2:$C$33,MATCH(Table1[[#This Row],[HomeTeam]],Standings!$A$2:$A$33,0),2),1,0)</f>
        <v>1</v>
      </c>
      <c r="AN307" s="64" t="str">
        <f>INDEX(Table2[AWAY_RECORD], MATCH(Table1[[#This Row],[AwayTeam]],Table2[Team], 0), 0)</f>
        <v>0-0-1</v>
      </c>
      <c r="AO307" s="64" t="str">
        <f>INDEX(Records!$B$2:$AG$33, MATCH(Table1[[#This Row],[AwayTeam]],Records!$A$2:$A$33, 0), MATCH(Table1[[#This Row],[HomeTeam]],Records!$A$2:$A$33, 0))</f>
        <v>0-0-0</v>
      </c>
      <c r="AP307" s="64" t="str">
        <f>INDEX(Table2[HOME_RECORD], MATCH(Table1[[#This Row],[HomeTeam]],Table2[Team], 0), 0)</f>
        <v>0-0-0</v>
      </c>
      <c r="AQ307" s="64" t="str">
        <f>INDEX(Records!$B$2:$AG$33, MATCH(Table1[[#This Row],[HomeTeam]],Records!$A$2:$A$33, 0), MATCH(Table1[[#This Row],[AwayTeam]],Records!$A$2:$A$33, 0))</f>
        <v>0-0-0</v>
      </c>
    </row>
    <row r="308" spans="1:43" x14ac:dyDescent="0.25">
      <c r="A308" s="1"/>
      <c r="D308" t="s">
        <v>524</v>
      </c>
      <c r="E308" t="s">
        <v>178</v>
      </c>
      <c r="F308" t="s">
        <v>536</v>
      </c>
      <c r="G308" t="s">
        <v>60</v>
      </c>
      <c r="H308" t="s">
        <v>43</v>
      </c>
      <c r="L30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0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08" s="1"/>
      <c r="T308" s="64" t="str">
        <f>IF(Table1[[#This Row],[ActualWinner]]="", "", IF(Table1[[#This Row],[AwayTeam]]=Table1[[#This Row],[ActualWinner]],Table1[[#This Row],[HomeTeam]],Table1[[#This Row],[AwayTeam]]))</f>
        <v/>
      </c>
      <c r="U308" s="64">
        <f>Table1[[#This Row],[ActualAwayScore]]-Table1[[#This Row],[PredictedAwayScore]]</f>
        <v>0</v>
      </c>
      <c r="V308" s="64">
        <f>Table1[[#This Row],[ActualHomeScore]]-Table1[[#This Row],[PredictedHomeScore]]</f>
        <v>0</v>
      </c>
      <c r="W308" s="64">
        <f>(0.8*IF(Table1[[#This Row],[CorrectWinnerPrediction]]=1, 1, 0))+(0.1*IF(Table1[[#This Row],[CorrectAwayScorePrediction]]=1, 1, 0))+(0.1*IF(Table1[[#This Row],[CorrectHomeScorePrediction]]=1, 1, 0))</f>
        <v>0</v>
      </c>
      <c r="X30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08" s="64">
        <f>SUMIF(Table1[GameDate], Table1[[#This Row],[GameDate]], Table1[AwayGameGoalDiff])</f>
        <v>0</v>
      </c>
      <c r="AA308" s="64">
        <f>SUMIF(Table1[GameDate], Table1[[#This Row],[GameDate]], Table1[HomeGameGoalDiff])</f>
        <v>0</v>
      </c>
      <c r="AB308" s="64">
        <f>IF(ISBLANK(Table1[[#This Row],[ActualResult]]), 0, 1)</f>
        <v>0</v>
      </c>
      <c r="AC308" s="64">
        <f>IF(ISBLANK(Table1[[#This Row],[ActualResult]]), 0, IF(Table1[[#This Row],[ActualWinner]]=Table1[[#This Row],[PredictedWinner]], 1, 0))</f>
        <v>0</v>
      </c>
      <c r="AD30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0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08" s="64">
        <f>IF(AND(Table1[[#This Row],[GameIsOver]]=1,Table1[[#This Row],[ActualAwayScore]]=0), 1,0)</f>
        <v>0</v>
      </c>
      <c r="AG308" s="64">
        <f>IF(AND(Table1[[#This Row],[GameIsOver]]=1,Table1[[#This Row],[ActualHomeScore]]=0), 1,0)</f>
        <v>0</v>
      </c>
      <c r="AH308" s="64">
        <f>IF(Table1[[#This Row],[GameIsOver]]=0,0,IF(Table1[[#This Row],[ActualWinner]]=Table1[[#This Row],[AwayTeam]], 1, 0))</f>
        <v>0</v>
      </c>
      <c r="AI308" s="64">
        <f>IF(Table1[[#This Row],[GameIsOver]]=0,0,IF(Table1[[#This Row],[ActualWinner]]=Table1[[#This Row],[HomeTeam]], 1, 0))</f>
        <v>0</v>
      </c>
      <c r="AJ308" s="64">
        <f>IF(INDEX(Standings!$A$2:$C$33,MATCH(Table1[[#This Row],[AwayTeam]],Standings!$A$2:$A$33,0),2)=INDEX(Standings!$A$2:$C$33,MATCH(Table1[[#This Row],[HomeTeam]],Standings!$A$2:$A$33,0),2),1,0)</f>
        <v>1</v>
      </c>
      <c r="AK308" s="64">
        <f>IF(INDEX(Standings!$A$2:$C$33,MATCH(Table1[[#This Row],[AwayTeam]],Standings!$A$2:$A$33,0),3)=INDEX(Standings!$A$2:$C$33,MATCH(Table1[[#This Row],[HomeTeam]],Standings!$A$2:$A$33,0),3),1,0)</f>
        <v>1</v>
      </c>
      <c r="AL308" s="64">
        <f>IF(Table1[[#This Row],[InterConf]]=1,IF(Table1[[#This Row],[InterDiv]]=0, 1, 0), 0)</f>
        <v>0</v>
      </c>
      <c r="AM308" s="64">
        <f>IF(INDEX(Standings!$A$2:$C$33,MATCH(Table1[[#This Row],[AwayTeam]],Standings!$A$2:$A$33,0),2)&lt;&gt;INDEX(Standings!$A$2:$C$33,MATCH(Table1[[#This Row],[HomeTeam]],Standings!$A$2:$A$33,0),2),1,0)</f>
        <v>0</v>
      </c>
      <c r="AN308" s="64" t="str">
        <f>INDEX(Table2[AWAY_RECORD], MATCH(Table1[[#This Row],[AwayTeam]],Table2[Team], 0), 0)</f>
        <v>0-0-0</v>
      </c>
      <c r="AO308" s="64" t="str">
        <f>INDEX(Records!$B$2:$AG$33, MATCH(Table1[[#This Row],[AwayTeam]],Records!$A$2:$A$33, 0), MATCH(Table1[[#This Row],[HomeTeam]],Records!$A$2:$A$33, 0))</f>
        <v>0-0-0</v>
      </c>
      <c r="AP308" s="64" t="str">
        <f>INDEX(Table2[HOME_RECORD], MATCH(Table1[[#This Row],[HomeTeam]],Table2[Team], 0), 0)</f>
        <v>0-0-0</v>
      </c>
      <c r="AQ308" s="64" t="str">
        <f>INDEX(Records!$B$2:$AG$33, MATCH(Table1[[#This Row],[HomeTeam]],Records!$A$2:$A$33, 0), MATCH(Table1[[#This Row],[AwayTeam]],Records!$A$2:$A$33, 0))</f>
        <v>0-0-0</v>
      </c>
    </row>
    <row r="309" spans="1:43" x14ac:dyDescent="0.25">
      <c r="A309" s="1"/>
      <c r="D309" t="s">
        <v>524</v>
      </c>
      <c r="E309" t="s">
        <v>164</v>
      </c>
      <c r="F309" t="s">
        <v>537</v>
      </c>
      <c r="G309" t="s">
        <v>61</v>
      </c>
      <c r="H309" t="s">
        <v>58</v>
      </c>
      <c r="L30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0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09" s="1"/>
      <c r="T309" s="64" t="str">
        <f>IF(Table1[[#This Row],[ActualWinner]]="", "", IF(Table1[[#This Row],[AwayTeam]]=Table1[[#This Row],[ActualWinner]],Table1[[#This Row],[HomeTeam]],Table1[[#This Row],[AwayTeam]]))</f>
        <v/>
      </c>
      <c r="U309" s="64">
        <f>Table1[[#This Row],[ActualAwayScore]]-Table1[[#This Row],[PredictedAwayScore]]</f>
        <v>0</v>
      </c>
      <c r="V309" s="64">
        <f>Table1[[#This Row],[ActualHomeScore]]-Table1[[#This Row],[PredictedHomeScore]]</f>
        <v>0</v>
      </c>
      <c r="W309" s="64">
        <f>(0.8*IF(Table1[[#This Row],[CorrectWinnerPrediction]]=1, 1, 0))+(0.1*IF(Table1[[#This Row],[CorrectAwayScorePrediction]]=1, 1, 0))+(0.1*IF(Table1[[#This Row],[CorrectHomeScorePrediction]]=1, 1, 0))</f>
        <v>0</v>
      </c>
      <c r="X30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09" s="64">
        <f>SUMIF(Table1[GameDate], Table1[[#This Row],[GameDate]], Table1[AwayGameGoalDiff])</f>
        <v>0</v>
      </c>
      <c r="AA309" s="64">
        <f>SUMIF(Table1[GameDate], Table1[[#This Row],[GameDate]], Table1[HomeGameGoalDiff])</f>
        <v>0</v>
      </c>
      <c r="AB309" s="64">
        <f>IF(ISBLANK(Table1[[#This Row],[ActualResult]]), 0, 1)</f>
        <v>0</v>
      </c>
      <c r="AC309" s="64">
        <f>IF(ISBLANK(Table1[[#This Row],[ActualResult]]), 0, IF(Table1[[#This Row],[ActualWinner]]=Table1[[#This Row],[PredictedWinner]], 1, 0))</f>
        <v>0</v>
      </c>
      <c r="AD30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0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09" s="64">
        <f>IF(AND(Table1[[#This Row],[GameIsOver]]=1,Table1[[#This Row],[ActualAwayScore]]=0), 1,0)</f>
        <v>0</v>
      </c>
      <c r="AG309" s="64">
        <f>IF(AND(Table1[[#This Row],[GameIsOver]]=1,Table1[[#This Row],[ActualHomeScore]]=0), 1,0)</f>
        <v>0</v>
      </c>
      <c r="AH309" s="64">
        <f>IF(Table1[[#This Row],[GameIsOver]]=0,0,IF(Table1[[#This Row],[ActualWinner]]=Table1[[#This Row],[AwayTeam]], 1, 0))</f>
        <v>0</v>
      </c>
      <c r="AI309" s="64">
        <f>IF(Table1[[#This Row],[GameIsOver]]=0,0,IF(Table1[[#This Row],[ActualWinner]]=Table1[[#This Row],[HomeTeam]], 1, 0))</f>
        <v>0</v>
      </c>
      <c r="AJ309" s="64">
        <f>IF(INDEX(Standings!$A$2:$C$33,MATCH(Table1[[#This Row],[AwayTeam]],Standings!$A$2:$A$33,0),2)=INDEX(Standings!$A$2:$C$33,MATCH(Table1[[#This Row],[HomeTeam]],Standings!$A$2:$A$33,0),2),1,0)</f>
        <v>1</v>
      </c>
      <c r="AK309" s="64">
        <f>IF(INDEX(Standings!$A$2:$C$33,MATCH(Table1[[#This Row],[AwayTeam]],Standings!$A$2:$A$33,0),3)=INDEX(Standings!$A$2:$C$33,MATCH(Table1[[#This Row],[HomeTeam]],Standings!$A$2:$A$33,0),3),1,0)</f>
        <v>1</v>
      </c>
      <c r="AL309" s="64">
        <f>IF(Table1[[#This Row],[InterConf]]=1,IF(Table1[[#This Row],[InterDiv]]=0, 1, 0), 0)</f>
        <v>0</v>
      </c>
      <c r="AM309" s="64">
        <f>IF(INDEX(Standings!$A$2:$C$33,MATCH(Table1[[#This Row],[AwayTeam]],Standings!$A$2:$A$33,0),2)&lt;&gt;INDEX(Standings!$A$2:$C$33,MATCH(Table1[[#This Row],[HomeTeam]],Standings!$A$2:$A$33,0),2),1,0)</f>
        <v>0</v>
      </c>
      <c r="AN309" s="64" t="str">
        <f>INDEX(Table2[AWAY_RECORD], MATCH(Table1[[#This Row],[AwayTeam]],Table2[Team], 0), 0)</f>
        <v>0-0-0</v>
      </c>
      <c r="AO309" s="64" t="str">
        <f>INDEX(Records!$B$2:$AG$33, MATCH(Table1[[#This Row],[AwayTeam]],Records!$A$2:$A$33, 0), MATCH(Table1[[#This Row],[HomeTeam]],Records!$A$2:$A$33, 0))</f>
        <v>0-0-0</v>
      </c>
      <c r="AP309" s="64" t="str">
        <f>INDEX(Table2[HOME_RECORD], MATCH(Table1[[#This Row],[HomeTeam]],Table2[Team], 0), 0)</f>
        <v>1-0-0</v>
      </c>
      <c r="AQ309" s="64" t="str">
        <f>INDEX(Records!$B$2:$AG$33, MATCH(Table1[[#This Row],[HomeTeam]],Records!$A$2:$A$33, 0), MATCH(Table1[[#This Row],[AwayTeam]],Records!$A$2:$A$33, 0))</f>
        <v>0-0-0</v>
      </c>
    </row>
    <row r="310" spans="1:43" x14ac:dyDescent="0.25">
      <c r="A310" s="1"/>
      <c r="D310" t="s">
        <v>538</v>
      </c>
      <c r="E310" t="s">
        <v>298</v>
      </c>
      <c r="F310" t="s">
        <v>539</v>
      </c>
      <c r="G310" t="s">
        <v>50</v>
      </c>
      <c r="H310" t="s">
        <v>46</v>
      </c>
      <c r="L31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1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10" s="1"/>
      <c r="T310" s="64" t="str">
        <f>IF(Table1[[#This Row],[ActualWinner]]="", "", IF(Table1[[#This Row],[AwayTeam]]=Table1[[#This Row],[ActualWinner]],Table1[[#This Row],[HomeTeam]],Table1[[#This Row],[AwayTeam]]))</f>
        <v/>
      </c>
      <c r="U310" s="64">
        <f>Table1[[#This Row],[ActualAwayScore]]-Table1[[#This Row],[PredictedAwayScore]]</f>
        <v>0</v>
      </c>
      <c r="V310" s="64">
        <f>Table1[[#This Row],[ActualHomeScore]]-Table1[[#This Row],[PredictedHomeScore]]</f>
        <v>0</v>
      </c>
      <c r="W310" s="64">
        <f>(0.8*IF(Table1[[#This Row],[CorrectWinnerPrediction]]=1, 1, 0))+(0.1*IF(Table1[[#This Row],[CorrectAwayScorePrediction]]=1, 1, 0))+(0.1*IF(Table1[[#This Row],[CorrectHomeScorePrediction]]=1, 1, 0))</f>
        <v>0</v>
      </c>
      <c r="X31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10" s="64">
        <f>SUMIF(Table1[GameDate], Table1[[#This Row],[GameDate]], Table1[AwayGameGoalDiff])</f>
        <v>0</v>
      </c>
      <c r="AA310" s="64">
        <f>SUMIF(Table1[GameDate], Table1[[#This Row],[GameDate]], Table1[HomeGameGoalDiff])</f>
        <v>0</v>
      </c>
      <c r="AB310" s="64">
        <f>IF(ISBLANK(Table1[[#This Row],[ActualResult]]), 0, 1)</f>
        <v>0</v>
      </c>
      <c r="AC310" s="64">
        <f>IF(ISBLANK(Table1[[#This Row],[ActualResult]]), 0, IF(Table1[[#This Row],[ActualWinner]]=Table1[[#This Row],[PredictedWinner]], 1, 0))</f>
        <v>0</v>
      </c>
      <c r="AD31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1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10" s="64">
        <f>IF(AND(Table1[[#This Row],[GameIsOver]]=1,Table1[[#This Row],[ActualAwayScore]]=0), 1,0)</f>
        <v>0</v>
      </c>
      <c r="AG310" s="64">
        <f>IF(AND(Table1[[#This Row],[GameIsOver]]=1,Table1[[#This Row],[ActualHomeScore]]=0), 1,0)</f>
        <v>0</v>
      </c>
      <c r="AH310" s="64">
        <f>IF(Table1[[#This Row],[GameIsOver]]=0,0,IF(Table1[[#This Row],[ActualWinner]]=Table1[[#This Row],[AwayTeam]], 1, 0))</f>
        <v>0</v>
      </c>
      <c r="AI310" s="64">
        <f>IF(Table1[[#This Row],[GameIsOver]]=0,0,IF(Table1[[#This Row],[ActualWinner]]=Table1[[#This Row],[HomeTeam]], 1, 0))</f>
        <v>0</v>
      </c>
      <c r="AJ310" s="64">
        <f>IF(INDEX(Standings!$A$2:$C$33,MATCH(Table1[[#This Row],[AwayTeam]],Standings!$A$2:$A$33,0),2)=INDEX(Standings!$A$2:$C$33,MATCH(Table1[[#This Row],[HomeTeam]],Standings!$A$2:$A$33,0),2),1,0)</f>
        <v>0</v>
      </c>
      <c r="AK310" s="64">
        <f>IF(INDEX(Standings!$A$2:$C$33,MATCH(Table1[[#This Row],[AwayTeam]],Standings!$A$2:$A$33,0),3)=INDEX(Standings!$A$2:$C$33,MATCH(Table1[[#This Row],[HomeTeam]],Standings!$A$2:$A$33,0),3),1,0)</f>
        <v>0</v>
      </c>
      <c r="AL310" s="64">
        <f>IF(Table1[[#This Row],[InterConf]]=1,IF(Table1[[#This Row],[InterDiv]]=0, 1, 0), 0)</f>
        <v>0</v>
      </c>
      <c r="AM310" s="64">
        <f>IF(INDEX(Standings!$A$2:$C$33,MATCH(Table1[[#This Row],[AwayTeam]],Standings!$A$2:$A$33,0),2)&lt;&gt;INDEX(Standings!$A$2:$C$33,MATCH(Table1[[#This Row],[HomeTeam]],Standings!$A$2:$A$33,0),2),1,0)</f>
        <v>1</v>
      </c>
      <c r="AN310" s="64" t="str">
        <f>INDEX(Table2[AWAY_RECORD], MATCH(Table1[[#This Row],[AwayTeam]],Table2[Team], 0), 0)</f>
        <v>1-0-0</v>
      </c>
      <c r="AO310" s="64" t="str">
        <f>INDEX(Records!$B$2:$AG$33, MATCH(Table1[[#This Row],[AwayTeam]],Records!$A$2:$A$33, 0), MATCH(Table1[[#This Row],[HomeTeam]],Records!$A$2:$A$33, 0))</f>
        <v>0-0-0</v>
      </c>
      <c r="AP310" s="64" t="str">
        <f>INDEX(Table2[HOME_RECORD], MATCH(Table1[[#This Row],[HomeTeam]],Table2[Team], 0), 0)</f>
        <v>0-0-0</v>
      </c>
      <c r="AQ310" s="64" t="str">
        <f>INDEX(Records!$B$2:$AG$33, MATCH(Table1[[#This Row],[HomeTeam]],Records!$A$2:$A$33, 0), MATCH(Table1[[#This Row],[AwayTeam]],Records!$A$2:$A$33, 0))</f>
        <v>0-0-0</v>
      </c>
    </row>
    <row r="311" spans="1:43" x14ac:dyDescent="0.25">
      <c r="A311" s="1"/>
      <c r="D311" t="s">
        <v>538</v>
      </c>
      <c r="E311" t="s">
        <v>164</v>
      </c>
      <c r="F311" t="s">
        <v>540</v>
      </c>
      <c r="G311" t="s">
        <v>51</v>
      </c>
      <c r="H311" t="s">
        <v>23</v>
      </c>
      <c r="L31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1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11" s="1"/>
      <c r="T311" s="64" t="str">
        <f>IF(Table1[[#This Row],[ActualWinner]]="", "", IF(Table1[[#This Row],[AwayTeam]]=Table1[[#This Row],[ActualWinner]],Table1[[#This Row],[HomeTeam]],Table1[[#This Row],[AwayTeam]]))</f>
        <v/>
      </c>
      <c r="U311" s="64">
        <f>Table1[[#This Row],[ActualAwayScore]]-Table1[[#This Row],[PredictedAwayScore]]</f>
        <v>0</v>
      </c>
      <c r="V311" s="64">
        <f>Table1[[#This Row],[ActualHomeScore]]-Table1[[#This Row],[PredictedHomeScore]]</f>
        <v>0</v>
      </c>
      <c r="W311" s="64">
        <f>(0.8*IF(Table1[[#This Row],[CorrectWinnerPrediction]]=1, 1, 0))+(0.1*IF(Table1[[#This Row],[CorrectAwayScorePrediction]]=1, 1, 0))+(0.1*IF(Table1[[#This Row],[CorrectHomeScorePrediction]]=1, 1, 0))</f>
        <v>0</v>
      </c>
      <c r="X31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11" s="64">
        <f>SUMIF(Table1[GameDate], Table1[[#This Row],[GameDate]], Table1[AwayGameGoalDiff])</f>
        <v>0</v>
      </c>
      <c r="AA311" s="64">
        <f>SUMIF(Table1[GameDate], Table1[[#This Row],[GameDate]], Table1[HomeGameGoalDiff])</f>
        <v>0</v>
      </c>
      <c r="AB311" s="64">
        <f>IF(ISBLANK(Table1[[#This Row],[ActualResult]]), 0, 1)</f>
        <v>0</v>
      </c>
      <c r="AC311" s="64">
        <f>IF(ISBLANK(Table1[[#This Row],[ActualResult]]), 0, IF(Table1[[#This Row],[ActualWinner]]=Table1[[#This Row],[PredictedWinner]], 1, 0))</f>
        <v>0</v>
      </c>
      <c r="AD31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1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11" s="64">
        <f>IF(AND(Table1[[#This Row],[GameIsOver]]=1,Table1[[#This Row],[ActualAwayScore]]=0), 1,0)</f>
        <v>0</v>
      </c>
      <c r="AG311" s="64">
        <f>IF(AND(Table1[[#This Row],[GameIsOver]]=1,Table1[[#This Row],[ActualHomeScore]]=0), 1,0)</f>
        <v>0</v>
      </c>
      <c r="AH311" s="64">
        <f>IF(Table1[[#This Row],[GameIsOver]]=0,0,IF(Table1[[#This Row],[ActualWinner]]=Table1[[#This Row],[AwayTeam]], 1, 0))</f>
        <v>0</v>
      </c>
      <c r="AI311" s="64">
        <f>IF(Table1[[#This Row],[GameIsOver]]=0,0,IF(Table1[[#This Row],[ActualWinner]]=Table1[[#This Row],[HomeTeam]], 1, 0))</f>
        <v>0</v>
      </c>
      <c r="AJ311" s="64">
        <f>IF(INDEX(Standings!$A$2:$C$33,MATCH(Table1[[#This Row],[AwayTeam]],Standings!$A$2:$A$33,0),2)=INDEX(Standings!$A$2:$C$33,MATCH(Table1[[#This Row],[HomeTeam]],Standings!$A$2:$A$33,0),2),1,0)</f>
        <v>0</v>
      </c>
      <c r="AK311" s="64">
        <f>IF(INDEX(Standings!$A$2:$C$33,MATCH(Table1[[#This Row],[AwayTeam]],Standings!$A$2:$A$33,0),3)=INDEX(Standings!$A$2:$C$33,MATCH(Table1[[#This Row],[HomeTeam]],Standings!$A$2:$A$33,0),3),1,0)</f>
        <v>0</v>
      </c>
      <c r="AL311" s="64">
        <f>IF(Table1[[#This Row],[InterConf]]=1,IF(Table1[[#This Row],[InterDiv]]=0, 1, 0), 0)</f>
        <v>0</v>
      </c>
      <c r="AM311" s="64">
        <f>IF(INDEX(Standings!$A$2:$C$33,MATCH(Table1[[#This Row],[AwayTeam]],Standings!$A$2:$A$33,0),2)&lt;&gt;INDEX(Standings!$A$2:$C$33,MATCH(Table1[[#This Row],[HomeTeam]],Standings!$A$2:$A$33,0),2),1,0)</f>
        <v>1</v>
      </c>
      <c r="AN311" s="64" t="str">
        <f>INDEX(Table2[AWAY_RECORD], MATCH(Table1[[#This Row],[AwayTeam]],Table2[Team], 0), 0)</f>
        <v>2-0-0</v>
      </c>
      <c r="AO311" s="64" t="str">
        <f>INDEX(Records!$B$2:$AG$33, MATCH(Table1[[#This Row],[AwayTeam]],Records!$A$2:$A$33, 0), MATCH(Table1[[#This Row],[HomeTeam]],Records!$A$2:$A$33, 0))</f>
        <v>0-0-0</v>
      </c>
      <c r="AP311" s="64" t="str">
        <f>INDEX(Table2[HOME_RECORD], MATCH(Table1[[#This Row],[HomeTeam]],Table2[Team], 0), 0)</f>
        <v>0-0-1</v>
      </c>
      <c r="AQ311" s="64" t="str">
        <f>INDEX(Records!$B$2:$AG$33, MATCH(Table1[[#This Row],[HomeTeam]],Records!$A$2:$A$33, 0), MATCH(Table1[[#This Row],[AwayTeam]],Records!$A$2:$A$33, 0))</f>
        <v>0-0-0</v>
      </c>
    </row>
    <row r="312" spans="1:43" x14ac:dyDescent="0.25">
      <c r="A312" s="1"/>
      <c r="D312" t="s">
        <v>541</v>
      </c>
      <c r="E312" t="s">
        <v>298</v>
      </c>
      <c r="F312" t="s">
        <v>542</v>
      </c>
      <c r="G312" t="s">
        <v>48</v>
      </c>
      <c r="H312" t="s">
        <v>25</v>
      </c>
      <c r="L31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1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12" s="1"/>
      <c r="T312" s="64" t="str">
        <f>IF(Table1[[#This Row],[ActualWinner]]="", "", IF(Table1[[#This Row],[AwayTeam]]=Table1[[#This Row],[ActualWinner]],Table1[[#This Row],[HomeTeam]],Table1[[#This Row],[AwayTeam]]))</f>
        <v/>
      </c>
      <c r="U312" s="64">
        <f>Table1[[#This Row],[ActualAwayScore]]-Table1[[#This Row],[PredictedAwayScore]]</f>
        <v>0</v>
      </c>
      <c r="V312" s="64">
        <f>Table1[[#This Row],[ActualHomeScore]]-Table1[[#This Row],[PredictedHomeScore]]</f>
        <v>0</v>
      </c>
      <c r="W312" s="64">
        <f>(0.8*IF(Table1[[#This Row],[CorrectWinnerPrediction]]=1, 1, 0))+(0.1*IF(Table1[[#This Row],[CorrectAwayScorePrediction]]=1, 1, 0))+(0.1*IF(Table1[[#This Row],[CorrectHomeScorePrediction]]=1, 1, 0))</f>
        <v>0</v>
      </c>
      <c r="X31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12" s="64">
        <f>SUMIF(Table1[GameDate], Table1[[#This Row],[GameDate]], Table1[AwayGameGoalDiff])</f>
        <v>0</v>
      </c>
      <c r="AA312" s="64">
        <f>SUMIF(Table1[GameDate], Table1[[#This Row],[GameDate]], Table1[HomeGameGoalDiff])</f>
        <v>0</v>
      </c>
      <c r="AB312" s="64">
        <f>IF(ISBLANK(Table1[[#This Row],[ActualResult]]), 0, 1)</f>
        <v>0</v>
      </c>
      <c r="AC312" s="64">
        <f>IF(ISBLANK(Table1[[#This Row],[ActualResult]]), 0, IF(Table1[[#This Row],[ActualWinner]]=Table1[[#This Row],[PredictedWinner]], 1, 0))</f>
        <v>0</v>
      </c>
      <c r="AD31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1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12" s="64">
        <f>IF(AND(Table1[[#This Row],[GameIsOver]]=1,Table1[[#This Row],[ActualAwayScore]]=0), 1,0)</f>
        <v>0</v>
      </c>
      <c r="AG312" s="64">
        <f>IF(AND(Table1[[#This Row],[GameIsOver]]=1,Table1[[#This Row],[ActualHomeScore]]=0), 1,0)</f>
        <v>0</v>
      </c>
      <c r="AH312" s="64">
        <f>IF(Table1[[#This Row],[GameIsOver]]=0,0,IF(Table1[[#This Row],[ActualWinner]]=Table1[[#This Row],[AwayTeam]], 1, 0))</f>
        <v>0</v>
      </c>
      <c r="AI312" s="64">
        <f>IF(Table1[[#This Row],[GameIsOver]]=0,0,IF(Table1[[#This Row],[ActualWinner]]=Table1[[#This Row],[HomeTeam]], 1, 0))</f>
        <v>0</v>
      </c>
      <c r="AJ312" s="64">
        <f>IF(INDEX(Standings!$A$2:$C$33,MATCH(Table1[[#This Row],[AwayTeam]],Standings!$A$2:$A$33,0),2)=INDEX(Standings!$A$2:$C$33,MATCH(Table1[[#This Row],[HomeTeam]],Standings!$A$2:$A$33,0),2),1,0)</f>
        <v>1</v>
      </c>
      <c r="AK312" s="64">
        <f>IF(INDEX(Standings!$A$2:$C$33,MATCH(Table1[[#This Row],[AwayTeam]],Standings!$A$2:$A$33,0),3)=INDEX(Standings!$A$2:$C$33,MATCH(Table1[[#This Row],[HomeTeam]],Standings!$A$2:$A$33,0),3),1,0)</f>
        <v>0</v>
      </c>
      <c r="AL312" s="64">
        <f>IF(Table1[[#This Row],[InterConf]]=1,IF(Table1[[#This Row],[InterDiv]]=0, 1, 0), 0)</f>
        <v>1</v>
      </c>
      <c r="AM312" s="64">
        <f>IF(INDEX(Standings!$A$2:$C$33,MATCH(Table1[[#This Row],[AwayTeam]],Standings!$A$2:$A$33,0),2)&lt;&gt;INDEX(Standings!$A$2:$C$33,MATCH(Table1[[#This Row],[HomeTeam]],Standings!$A$2:$A$33,0),2),1,0)</f>
        <v>0</v>
      </c>
      <c r="AN312" s="64" t="str">
        <f>INDEX(Table2[AWAY_RECORD], MATCH(Table1[[#This Row],[AwayTeam]],Table2[Team], 0), 0)</f>
        <v>0-0-0</v>
      </c>
      <c r="AO312" s="64" t="str">
        <f>INDEX(Records!$B$2:$AG$33, MATCH(Table1[[#This Row],[AwayTeam]],Records!$A$2:$A$33, 0), MATCH(Table1[[#This Row],[HomeTeam]],Records!$A$2:$A$33, 0))</f>
        <v>0-0-0</v>
      </c>
      <c r="AP312" s="64" t="str">
        <f>INDEX(Table2[HOME_RECORD], MATCH(Table1[[#This Row],[HomeTeam]],Table2[Team], 0), 0)</f>
        <v>0-0-1</v>
      </c>
      <c r="AQ312" s="64" t="str">
        <f>INDEX(Records!$B$2:$AG$33, MATCH(Table1[[#This Row],[HomeTeam]],Records!$A$2:$A$33, 0), MATCH(Table1[[#This Row],[AwayTeam]],Records!$A$2:$A$33, 0))</f>
        <v>0-0-0</v>
      </c>
    </row>
    <row r="313" spans="1:43" x14ac:dyDescent="0.25">
      <c r="A313" s="1"/>
      <c r="D313" t="s">
        <v>541</v>
      </c>
      <c r="E313" t="s">
        <v>432</v>
      </c>
      <c r="F313" t="s">
        <v>543</v>
      </c>
      <c r="G313" t="s">
        <v>56</v>
      </c>
      <c r="H313" t="s">
        <v>40</v>
      </c>
      <c r="L31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1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13" s="1"/>
      <c r="T313" s="64" t="str">
        <f>IF(Table1[[#This Row],[ActualWinner]]="", "", IF(Table1[[#This Row],[AwayTeam]]=Table1[[#This Row],[ActualWinner]],Table1[[#This Row],[HomeTeam]],Table1[[#This Row],[AwayTeam]]))</f>
        <v/>
      </c>
      <c r="U313" s="64">
        <f>Table1[[#This Row],[ActualAwayScore]]-Table1[[#This Row],[PredictedAwayScore]]</f>
        <v>0</v>
      </c>
      <c r="V313" s="64">
        <f>Table1[[#This Row],[ActualHomeScore]]-Table1[[#This Row],[PredictedHomeScore]]</f>
        <v>0</v>
      </c>
      <c r="W313" s="64">
        <f>(0.8*IF(Table1[[#This Row],[CorrectWinnerPrediction]]=1, 1, 0))+(0.1*IF(Table1[[#This Row],[CorrectAwayScorePrediction]]=1, 1, 0))+(0.1*IF(Table1[[#This Row],[CorrectHomeScorePrediction]]=1, 1, 0))</f>
        <v>0</v>
      </c>
      <c r="X31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13" s="64">
        <f>SUMIF(Table1[GameDate], Table1[[#This Row],[GameDate]], Table1[AwayGameGoalDiff])</f>
        <v>0</v>
      </c>
      <c r="AA313" s="64">
        <f>SUMIF(Table1[GameDate], Table1[[#This Row],[GameDate]], Table1[HomeGameGoalDiff])</f>
        <v>0</v>
      </c>
      <c r="AB313" s="64">
        <f>IF(ISBLANK(Table1[[#This Row],[ActualResult]]), 0, 1)</f>
        <v>0</v>
      </c>
      <c r="AC313" s="64">
        <f>IF(ISBLANK(Table1[[#This Row],[ActualResult]]), 0, IF(Table1[[#This Row],[ActualWinner]]=Table1[[#This Row],[PredictedWinner]], 1, 0))</f>
        <v>0</v>
      </c>
      <c r="AD31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1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13" s="64">
        <f>IF(AND(Table1[[#This Row],[GameIsOver]]=1,Table1[[#This Row],[ActualAwayScore]]=0), 1,0)</f>
        <v>0</v>
      </c>
      <c r="AG313" s="64">
        <f>IF(AND(Table1[[#This Row],[GameIsOver]]=1,Table1[[#This Row],[ActualHomeScore]]=0), 1,0)</f>
        <v>0</v>
      </c>
      <c r="AH313" s="64">
        <f>IF(Table1[[#This Row],[GameIsOver]]=0,0,IF(Table1[[#This Row],[ActualWinner]]=Table1[[#This Row],[AwayTeam]], 1, 0))</f>
        <v>0</v>
      </c>
      <c r="AI313" s="64">
        <f>IF(Table1[[#This Row],[GameIsOver]]=0,0,IF(Table1[[#This Row],[ActualWinner]]=Table1[[#This Row],[HomeTeam]], 1, 0))</f>
        <v>0</v>
      </c>
      <c r="AJ313" s="64">
        <f>IF(INDEX(Standings!$A$2:$C$33,MATCH(Table1[[#This Row],[AwayTeam]],Standings!$A$2:$A$33,0),2)=INDEX(Standings!$A$2:$C$33,MATCH(Table1[[#This Row],[HomeTeam]],Standings!$A$2:$A$33,0),2),1,0)</f>
        <v>0</v>
      </c>
      <c r="AK313" s="64">
        <f>IF(INDEX(Standings!$A$2:$C$33,MATCH(Table1[[#This Row],[AwayTeam]],Standings!$A$2:$A$33,0),3)=INDEX(Standings!$A$2:$C$33,MATCH(Table1[[#This Row],[HomeTeam]],Standings!$A$2:$A$33,0),3),1,0)</f>
        <v>0</v>
      </c>
      <c r="AL313" s="64">
        <f>IF(Table1[[#This Row],[InterConf]]=1,IF(Table1[[#This Row],[InterDiv]]=0, 1, 0), 0)</f>
        <v>0</v>
      </c>
      <c r="AM313" s="64">
        <f>IF(INDEX(Standings!$A$2:$C$33,MATCH(Table1[[#This Row],[AwayTeam]],Standings!$A$2:$A$33,0),2)&lt;&gt;INDEX(Standings!$A$2:$C$33,MATCH(Table1[[#This Row],[HomeTeam]],Standings!$A$2:$A$33,0),2),1,0)</f>
        <v>1</v>
      </c>
      <c r="AN313" s="64" t="str">
        <f>INDEX(Table2[AWAY_RECORD], MATCH(Table1[[#This Row],[AwayTeam]],Table2[Team], 0), 0)</f>
        <v>1-0-0</v>
      </c>
      <c r="AO313" s="64" t="str">
        <f>INDEX(Records!$B$2:$AG$33, MATCH(Table1[[#This Row],[AwayTeam]],Records!$A$2:$A$33, 0), MATCH(Table1[[#This Row],[HomeTeam]],Records!$A$2:$A$33, 0))</f>
        <v>0-0-0</v>
      </c>
      <c r="AP313" s="64" t="str">
        <f>INDEX(Table2[HOME_RECORD], MATCH(Table1[[#This Row],[HomeTeam]],Table2[Team], 0), 0)</f>
        <v>1-1-0</v>
      </c>
      <c r="AQ313" s="64" t="str">
        <f>INDEX(Records!$B$2:$AG$33, MATCH(Table1[[#This Row],[HomeTeam]],Records!$A$2:$A$33, 0), MATCH(Table1[[#This Row],[AwayTeam]],Records!$A$2:$A$33, 0))</f>
        <v>0-0-0</v>
      </c>
    </row>
    <row r="314" spans="1:43" x14ac:dyDescent="0.25">
      <c r="A314" s="1"/>
      <c r="D314" t="s">
        <v>541</v>
      </c>
      <c r="E314" t="s">
        <v>443</v>
      </c>
      <c r="F314" t="s">
        <v>544</v>
      </c>
      <c r="G314" t="s">
        <v>60</v>
      </c>
      <c r="H314" t="s">
        <v>16</v>
      </c>
      <c r="L31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1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14" s="1"/>
      <c r="T314" s="64" t="str">
        <f>IF(Table1[[#This Row],[ActualWinner]]="", "", IF(Table1[[#This Row],[AwayTeam]]=Table1[[#This Row],[ActualWinner]],Table1[[#This Row],[HomeTeam]],Table1[[#This Row],[AwayTeam]]))</f>
        <v/>
      </c>
      <c r="U314" s="64">
        <f>Table1[[#This Row],[ActualAwayScore]]-Table1[[#This Row],[PredictedAwayScore]]</f>
        <v>0</v>
      </c>
      <c r="V314" s="64">
        <f>Table1[[#This Row],[ActualHomeScore]]-Table1[[#This Row],[PredictedHomeScore]]</f>
        <v>0</v>
      </c>
      <c r="W314" s="64">
        <f>(0.8*IF(Table1[[#This Row],[CorrectWinnerPrediction]]=1, 1, 0))+(0.1*IF(Table1[[#This Row],[CorrectAwayScorePrediction]]=1, 1, 0))+(0.1*IF(Table1[[#This Row],[CorrectHomeScorePrediction]]=1, 1, 0))</f>
        <v>0</v>
      </c>
      <c r="X31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14" s="64">
        <f>SUMIF(Table1[GameDate], Table1[[#This Row],[GameDate]], Table1[AwayGameGoalDiff])</f>
        <v>0</v>
      </c>
      <c r="AA314" s="64">
        <f>SUMIF(Table1[GameDate], Table1[[#This Row],[GameDate]], Table1[HomeGameGoalDiff])</f>
        <v>0</v>
      </c>
      <c r="AB314" s="64">
        <f>IF(ISBLANK(Table1[[#This Row],[ActualResult]]), 0, 1)</f>
        <v>0</v>
      </c>
      <c r="AC314" s="64">
        <f>IF(ISBLANK(Table1[[#This Row],[ActualResult]]), 0, IF(Table1[[#This Row],[ActualWinner]]=Table1[[#This Row],[PredictedWinner]], 1, 0))</f>
        <v>0</v>
      </c>
      <c r="AD31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1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14" s="64">
        <f>IF(AND(Table1[[#This Row],[GameIsOver]]=1,Table1[[#This Row],[ActualAwayScore]]=0), 1,0)</f>
        <v>0</v>
      </c>
      <c r="AG314" s="64">
        <f>IF(AND(Table1[[#This Row],[GameIsOver]]=1,Table1[[#This Row],[ActualHomeScore]]=0), 1,0)</f>
        <v>0</v>
      </c>
      <c r="AH314" s="64">
        <f>IF(Table1[[#This Row],[GameIsOver]]=0,0,IF(Table1[[#This Row],[ActualWinner]]=Table1[[#This Row],[AwayTeam]], 1, 0))</f>
        <v>0</v>
      </c>
      <c r="AI314" s="64">
        <f>IF(Table1[[#This Row],[GameIsOver]]=0,0,IF(Table1[[#This Row],[ActualWinner]]=Table1[[#This Row],[HomeTeam]], 1, 0))</f>
        <v>0</v>
      </c>
      <c r="AJ314" s="64">
        <f>IF(INDEX(Standings!$A$2:$C$33,MATCH(Table1[[#This Row],[AwayTeam]],Standings!$A$2:$A$33,0),2)=INDEX(Standings!$A$2:$C$33,MATCH(Table1[[#This Row],[HomeTeam]],Standings!$A$2:$A$33,0),2),1,0)</f>
        <v>1</v>
      </c>
      <c r="AK314" s="64">
        <f>IF(INDEX(Standings!$A$2:$C$33,MATCH(Table1[[#This Row],[AwayTeam]],Standings!$A$2:$A$33,0),3)=INDEX(Standings!$A$2:$C$33,MATCH(Table1[[#This Row],[HomeTeam]],Standings!$A$2:$A$33,0),3),1,0)</f>
        <v>1</v>
      </c>
      <c r="AL314" s="64">
        <f>IF(Table1[[#This Row],[InterConf]]=1,IF(Table1[[#This Row],[InterDiv]]=0, 1, 0), 0)</f>
        <v>0</v>
      </c>
      <c r="AM314" s="64">
        <f>IF(INDEX(Standings!$A$2:$C$33,MATCH(Table1[[#This Row],[AwayTeam]],Standings!$A$2:$A$33,0),2)&lt;&gt;INDEX(Standings!$A$2:$C$33,MATCH(Table1[[#This Row],[HomeTeam]],Standings!$A$2:$A$33,0),2),1,0)</f>
        <v>0</v>
      </c>
      <c r="AN314" s="64" t="str">
        <f>INDEX(Table2[AWAY_RECORD], MATCH(Table1[[#This Row],[AwayTeam]],Table2[Team], 0), 0)</f>
        <v>0-0-0</v>
      </c>
      <c r="AO314" s="64" t="str">
        <f>INDEX(Records!$B$2:$AG$33, MATCH(Table1[[#This Row],[AwayTeam]],Records!$A$2:$A$33, 0), MATCH(Table1[[#This Row],[HomeTeam]],Records!$A$2:$A$33, 0))</f>
        <v>0-0-0</v>
      </c>
      <c r="AP314" s="64" t="str">
        <f>INDEX(Table2[HOME_RECORD], MATCH(Table1[[#This Row],[HomeTeam]],Table2[Team], 0), 0)</f>
        <v>0-0-0</v>
      </c>
      <c r="AQ314" s="64" t="str">
        <f>INDEX(Records!$B$2:$AG$33, MATCH(Table1[[#This Row],[HomeTeam]],Records!$A$2:$A$33, 0), MATCH(Table1[[#This Row],[AwayTeam]],Records!$A$2:$A$33, 0))</f>
        <v>0-0-0</v>
      </c>
    </row>
    <row r="315" spans="1:43" x14ac:dyDescent="0.25">
      <c r="A315" s="1"/>
      <c r="D315" t="s">
        <v>541</v>
      </c>
      <c r="E315" t="s">
        <v>162</v>
      </c>
      <c r="F315" t="s">
        <v>545</v>
      </c>
      <c r="G315" t="s">
        <v>22</v>
      </c>
      <c r="H315" t="s">
        <v>37</v>
      </c>
      <c r="L31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1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15" s="1"/>
      <c r="T315" s="64" t="str">
        <f>IF(Table1[[#This Row],[ActualWinner]]="", "", IF(Table1[[#This Row],[AwayTeam]]=Table1[[#This Row],[ActualWinner]],Table1[[#This Row],[HomeTeam]],Table1[[#This Row],[AwayTeam]]))</f>
        <v/>
      </c>
      <c r="U315" s="64">
        <f>Table1[[#This Row],[ActualAwayScore]]-Table1[[#This Row],[PredictedAwayScore]]</f>
        <v>0</v>
      </c>
      <c r="V315" s="64">
        <f>Table1[[#This Row],[ActualHomeScore]]-Table1[[#This Row],[PredictedHomeScore]]</f>
        <v>0</v>
      </c>
      <c r="W315" s="64">
        <f>(0.8*IF(Table1[[#This Row],[CorrectWinnerPrediction]]=1, 1, 0))+(0.1*IF(Table1[[#This Row],[CorrectAwayScorePrediction]]=1, 1, 0))+(0.1*IF(Table1[[#This Row],[CorrectHomeScorePrediction]]=1, 1, 0))</f>
        <v>0</v>
      </c>
      <c r="X31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15" s="64">
        <f>SUMIF(Table1[GameDate], Table1[[#This Row],[GameDate]], Table1[AwayGameGoalDiff])</f>
        <v>0</v>
      </c>
      <c r="AA315" s="64">
        <f>SUMIF(Table1[GameDate], Table1[[#This Row],[GameDate]], Table1[HomeGameGoalDiff])</f>
        <v>0</v>
      </c>
      <c r="AB315" s="64">
        <f>IF(ISBLANK(Table1[[#This Row],[ActualResult]]), 0, 1)</f>
        <v>0</v>
      </c>
      <c r="AC315" s="64">
        <f>IF(ISBLANK(Table1[[#This Row],[ActualResult]]), 0, IF(Table1[[#This Row],[ActualWinner]]=Table1[[#This Row],[PredictedWinner]], 1, 0))</f>
        <v>0</v>
      </c>
      <c r="AD31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1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15" s="64">
        <f>IF(AND(Table1[[#This Row],[GameIsOver]]=1,Table1[[#This Row],[ActualAwayScore]]=0), 1,0)</f>
        <v>0</v>
      </c>
      <c r="AG315" s="64">
        <f>IF(AND(Table1[[#This Row],[GameIsOver]]=1,Table1[[#This Row],[ActualHomeScore]]=0), 1,0)</f>
        <v>0</v>
      </c>
      <c r="AH315" s="64">
        <f>IF(Table1[[#This Row],[GameIsOver]]=0,0,IF(Table1[[#This Row],[ActualWinner]]=Table1[[#This Row],[AwayTeam]], 1, 0))</f>
        <v>0</v>
      </c>
      <c r="AI315" s="64">
        <f>IF(Table1[[#This Row],[GameIsOver]]=0,0,IF(Table1[[#This Row],[ActualWinner]]=Table1[[#This Row],[HomeTeam]], 1, 0))</f>
        <v>0</v>
      </c>
      <c r="AJ315" s="64">
        <f>IF(INDEX(Standings!$A$2:$C$33,MATCH(Table1[[#This Row],[AwayTeam]],Standings!$A$2:$A$33,0),2)=INDEX(Standings!$A$2:$C$33,MATCH(Table1[[#This Row],[HomeTeam]],Standings!$A$2:$A$33,0),2),1,0)</f>
        <v>0</v>
      </c>
      <c r="AK315" s="64">
        <f>IF(INDEX(Standings!$A$2:$C$33,MATCH(Table1[[#This Row],[AwayTeam]],Standings!$A$2:$A$33,0),3)=INDEX(Standings!$A$2:$C$33,MATCH(Table1[[#This Row],[HomeTeam]],Standings!$A$2:$A$33,0),3),1,0)</f>
        <v>0</v>
      </c>
      <c r="AL315" s="64">
        <f>IF(Table1[[#This Row],[InterConf]]=1,IF(Table1[[#This Row],[InterDiv]]=0, 1, 0), 0)</f>
        <v>0</v>
      </c>
      <c r="AM315" s="64">
        <f>IF(INDEX(Standings!$A$2:$C$33,MATCH(Table1[[#This Row],[AwayTeam]],Standings!$A$2:$A$33,0),2)&lt;&gt;INDEX(Standings!$A$2:$C$33,MATCH(Table1[[#This Row],[HomeTeam]],Standings!$A$2:$A$33,0),2),1,0)</f>
        <v>1</v>
      </c>
      <c r="AN315" s="64" t="str">
        <f>INDEX(Table2[AWAY_RECORD], MATCH(Table1[[#This Row],[AwayTeam]],Table2[Team], 0), 0)</f>
        <v>0-0-1</v>
      </c>
      <c r="AO315" s="64" t="str">
        <f>INDEX(Records!$B$2:$AG$33, MATCH(Table1[[#This Row],[AwayTeam]],Records!$A$2:$A$33, 0), MATCH(Table1[[#This Row],[HomeTeam]],Records!$A$2:$A$33, 0))</f>
        <v>0-0-0</v>
      </c>
      <c r="AP315" s="64" t="str">
        <f>INDEX(Table2[HOME_RECORD], MATCH(Table1[[#This Row],[HomeTeam]],Table2[Team], 0), 0)</f>
        <v>0-1-0</v>
      </c>
      <c r="AQ315" s="64" t="str">
        <f>INDEX(Records!$B$2:$AG$33, MATCH(Table1[[#This Row],[HomeTeam]],Records!$A$2:$A$33, 0), MATCH(Table1[[#This Row],[AwayTeam]],Records!$A$2:$A$33, 0))</f>
        <v>0-0-0</v>
      </c>
    </row>
    <row r="316" spans="1:43" x14ac:dyDescent="0.25">
      <c r="A316" s="1"/>
      <c r="D316" t="s">
        <v>541</v>
      </c>
      <c r="E316" t="s">
        <v>162</v>
      </c>
      <c r="F316" t="s">
        <v>546</v>
      </c>
      <c r="G316" t="s">
        <v>45</v>
      </c>
      <c r="H316" t="s">
        <v>24</v>
      </c>
      <c r="L31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1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16" s="1"/>
      <c r="T316" s="64" t="str">
        <f>IF(Table1[[#This Row],[ActualWinner]]="", "", IF(Table1[[#This Row],[AwayTeam]]=Table1[[#This Row],[ActualWinner]],Table1[[#This Row],[HomeTeam]],Table1[[#This Row],[AwayTeam]]))</f>
        <v/>
      </c>
      <c r="U316" s="64">
        <f>Table1[[#This Row],[ActualAwayScore]]-Table1[[#This Row],[PredictedAwayScore]]</f>
        <v>0</v>
      </c>
      <c r="V316" s="64">
        <f>Table1[[#This Row],[ActualHomeScore]]-Table1[[#This Row],[PredictedHomeScore]]</f>
        <v>0</v>
      </c>
      <c r="W316" s="64">
        <f>(0.8*IF(Table1[[#This Row],[CorrectWinnerPrediction]]=1, 1, 0))+(0.1*IF(Table1[[#This Row],[CorrectAwayScorePrediction]]=1, 1, 0))+(0.1*IF(Table1[[#This Row],[CorrectHomeScorePrediction]]=1, 1, 0))</f>
        <v>0</v>
      </c>
      <c r="X31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16" s="64">
        <f>SUMIF(Table1[GameDate], Table1[[#This Row],[GameDate]], Table1[AwayGameGoalDiff])</f>
        <v>0</v>
      </c>
      <c r="AA316" s="64">
        <f>SUMIF(Table1[GameDate], Table1[[#This Row],[GameDate]], Table1[HomeGameGoalDiff])</f>
        <v>0</v>
      </c>
      <c r="AB316" s="64">
        <f>IF(ISBLANK(Table1[[#This Row],[ActualResult]]), 0, 1)</f>
        <v>0</v>
      </c>
      <c r="AC316" s="64">
        <f>IF(ISBLANK(Table1[[#This Row],[ActualResult]]), 0, IF(Table1[[#This Row],[ActualWinner]]=Table1[[#This Row],[PredictedWinner]], 1, 0))</f>
        <v>0</v>
      </c>
      <c r="AD31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1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16" s="64">
        <f>IF(AND(Table1[[#This Row],[GameIsOver]]=1,Table1[[#This Row],[ActualAwayScore]]=0), 1,0)</f>
        <v>0</v>
      </c>
      <c r="AG316" s="64">
        <f>IF(AND(Table1[[#This Row],[GameIsOver]]=1,Table1[[#This Row],[ActualHomeScore]]=0), 1,0)</f>
        <v>0</v>
      </c>
      <c r="AH316" s="64">
        <f>IF(Table1[[#This Row],[GameIsOver]]=0,0,IF(Table1[[#This Row],[ActualWinner]]=Table1[[#This Row],[AwayTeam]], 1, 0))</f>
        <v>0</v>
      </c>
      <c r="AI316" s="64">
        <f>IF(Table1[[#This Row],[GameIsOver]]=0,0,IF(Table1[[#This Row],[ActualWinner]]=Table1[[#This Row],[HomeTeam]], 1, 0))</f>
        <v>0</v>
      </c>
      <c r="AJ316" s="64">
        <f>IF(INDEX(Standings!$A$2:$C$33,MATCH(Table1[[#This Row],[AwayTeam]],Standings!$A$2:$A$33,0),2)=INDEX(Standings!$A$2:$C$33,MATCH(Table1[[#This Row],[HomeTeam]],Standings!$A$2:$A$33,0),2),1,0)</f>
        <v>0</v>
      </c>
      <c r="AK316" s="64">
        <f>IF(INDEX(Standings!$A$2:$C$33,MATCH(Table1[[#This Row],[AwayTeam]],Standings!$A$2:$A$33,0),3)=INDEX(Standings!$A$2:$C$33,MATCH(Table1[[#This Row],[HomeTeam]],Standings!$A$2:$A$33,0),3),1,0)</f>
        <v>0</v>
      </c>
      <c r="AL316" s="64">
        <f>IF(Table1[[#This Row],[InterConf]]=1,IF(Table1[[#This Row],[InterDiv]]=0, 1, 0), 0)</f>
        <v>0</v>
      </c>
      <c r="AM316" s="64">
        <f>IF(INDEX(Standings!$A$2:$C$33,MATCH(Table1[[#This Row],[AwayTeam]],Standings!$A$2:$A$33,0),2)&lt;&gt;INDEX(Standings!$A$2:$C$33,MATCH(Table1[[#This Row],[HomeTeam]],Standings!$A$2:$A$33,0),2),1,0)</f>
        <v>1</v>
      </c>
      <c r="AN316" s="64" t="str">
        <f>INDEX(Table2[AWAY_RECORD], MATCH(Table1[[#This Row],[AwayTeam]],Table2[Team], 0), 0)</f>
        <v>1-0-0</v>
      </c>
      <c r="AO316" s="64" t="str">
        <f>INDEX(Records!$B$2:$AG$33, MATCH(Table1[[#This Row],[AwayTeam]],Records!$A$2:$A$33, 0), MATCH(Table1[[#This Row],[HomeTeam]],Records!$A$2:$A$33, 0))</f>
        <v>0-0-0</v>
      </c>
      <c r="AP316" s="64" t="str">
        <f>INDEX(Table2[HOME_RECORD], MATCH(Table1[[#This Row],[HomeTeam]],Table2[Team], 0), 0)</f>
        <v>0-2-0</v>
      </c>
      <c r="AQ316" s="64" t="str">
        <f>INDEX(Records!$B$2:$AG$33, MATCH(Table1[[#This Row],[HomeTeam]],Records!$A$2:$A$33, 0), MATCH(Table1[[#This Row],[AwayTeam]],Records!$A$2:$A$33, 0))</f>
        <v>0-0-0</v>
      </c>
    </row>
    <row r="317" spans="1:43" x14ac:dyDescent="0.25">
      <c r="A317" s="1"/>
      <c r="D317" t="s">
        <v>541</v>
      </c>
      <c r="E317" t="s">
        <v>162</v>
      </c>
      <c r="F317" t="s">
        <v>547</v>
      </c>
      <c r="G317" t="s">
        <v>41</v>
      </c>
      <c r="H317" t="s">
        <v>47</v>
      </c>
      <c r="L31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1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17" s="1"/>
      <c r="T317" s="64" t="str">
        <f>IF(Table1[[#This Row],[ActualWinner]]="", "", IF(Table1[[#This Row],[AwayTeam]]=Table1[[#This Row],[ActualWinner]],Table1[[#This Row],[HomeTeam]],Table1[[#This Row],[AwayTeam]]))</f>
        <v/>
      </c>
      <c r="U317" s="64">
        <f>Table1[[#This Row],[ActualAwayScore]]-Table1[[#This Row],[PredictedAwayScore]]</f>
        <v>0</v>
      </c>
      <c r="V317" s="64">
        <f>Table1[[#This Row],[ActualHomeScore]]-Table1[[#This Row],[PredictedHomeScore]]</f>
        <v>0</v>
      </c>
      <c r="W317" s="64">
        <f>(0.8*IF(Table1[[#This Row],[CorrectWinnerPrediction]]=1, 1, 0))+(0.1*IF(Table1[[#This Row],[CorrectAwayScorePrediction]]=1, 1, 0))+(0.1*IF(Table1[[#This Row],[CorrectHomeScorePrediction]]=1, 1, 0))</f>
        <v>0</v>
      </c>
      <c r="X31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17" s="64">
        <f>SUMIF(Table1[GameDate], Table1[[#This Row],[GameDate]], Table1[AwayGameGoalDiff])</f>
        <v>0</v>
      </c>
      <c r="AA317" s="64">
        <f>SUMIF(Table1[GameDate], Table1[[#This Row],[GameDate]], Table1[HomeGameGoalDiff])</f>
        <v>0</v>
      </c>
      <c r="AB317" s="64">
        <f>IF(ISBLANK(Table1[[#This Row],[ActualResult]]), 0, 1)</f>
        <v>0</v>
      </c>
      <c r="AC317" s="64">
        <f>IF(ISBLANK(Table1[[#This Row],[ActualResult]]), 0, IF(Table1[[#This Row],[ActualWinner]]=Table1[[#This Row],[PredictedWinner]], 1, 0))</f>
        <v>0</v>
      </c>
      <c r="AD31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1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17" s="64">
        <f>IF(AND(Table1[[#This Row],[GameIsOver]]=1,Table1[[#This Row],[ActualAwayScore]]=0), 1,0)</f>
        <v>0</v>
      </c>
      <c r="AG317" s="64">
        <f>IF(AND(Table1[[#This Row],[GameIsOver]]=1,Table1[[#This Row],[ActualHomeScore]]=0), 1,0)</f>
        <v>0</v>
      </c>
      <c r="AH317" s="64">
        <f>IF(Table1[[#This Row],[GameIsOver]]=0,0,IF(Table1[[#This Row],[ActualWinner]]=Table1[[#This Row],[AwayTeam]], 1, 0))</f>
        <v>0</v>
      </c>
      <c r="AI317" s="64">
        <f>IF(Table1[[#This Row],[GameIsOver]]=0,0,IF(Table1[[#This Row],[ActualWinner]]=Table1[[#This Row],[HomeTeam]], 1, 0))</f>
        <v>0</v>
      </c>
      <c r="AJ317" s="64">
        <f>IF(INDEX(Standings!$A$2:$C$33,MATCH(Table1[[#This Row],[AwayTeam]],Standings!$A$2:$A$33,0),2)=INDEX(Standings!$A$2:$C$33,MATCH(Table1[[#This Row],[HomeTeam]],Standings!$A$2:$A$33,0),2),1,0)</f>
        <v>0</v>
      </c>
      <c r="AK317" s="64">
        <f>IF(INDEX(Standings!$A$2:$C$33,MATCH(Table1[[#This Row],[AwayTeam]],Standings!$A$2:$A$33,0),3)=INDEX(Standings!$A$2:$C$33,MATCH(Table1[[#This Row],[HomeTeam]],Standings!$A$2:$A$33,0),3),1,0)</f>
        <v>0</v>
      </c>
      <c r="AL317" s="64">
        <f>IF(Table1[[#This Row],[InterConf]]=1,IF(Table1[[#This Row],[InterDiv]]=0, 1, 0), 0)</f>
        <v>0</v>
      </c>
      <c r="AM317" s="64">
        <f>IF(INDEX(Standings!$A$2:$C$33,MATCH(Table1[[#This Row],[AwayTeam]],Standings!$A$2:$A$33,0),2)&lt;&gt;INDEX(Standings!$A$2:$C$33,MATCH(Table1[[#This Row],[HomeTeam]],Standings!$A$2:$A$33,0),2),1,0)</f>
        <v>1</v>
      </c>
      <c r="AN317" s="64" t="str">
        <f>INDEX(Table2[AWAY_RECORD], MATCH(Table1[[#This Row],[AwayTeam]],Table2[Team], 0), 0)</f>
        <v>0-0-0</v>
      </c>
      <c r="AO317" s="64" t="str">
        <f>INDEX(Records!$B$2:$AG$33, MATCH(Table1[[#This Row],[AwayTeam]],Records!$A$2:$A$33, 0), MATCH(Table1[[#This Row],[HomeTeam]],Records!$A$2:$A$33, 0))</f>
        <v>0-0-0</v>
      </c>
      <c r="AP317" s="64" t="str">
        <f>INDEX(Table2[HOME_RECORD], MATCH(Table1[[#This Row],[HomeTeam]],Table2[Team], 0), 0)</f>
        <v>0-0-0</v>
      </c>
      <c r="AQ317" s="64" t="str">
        <f>INDEX(Records!$B$2:$AG$33, MATCH(Table1[[#This Row],[HomeTeam]],Records!$A$2:$A$33, 0), MATCH(Table1[[#This Row],[AwayTeam]],Records!$A$2:$A$33, 0))</f>
        <v>0-0-0</v>
      </c>
    </row>
    <row r="318" spans="1:43" x14ac:dyDescent="0.25">
      <c r="A318" s="1"/>
      <c r="D318" t="s">
        <v>541</v>
      </c>
      <c r="E318" t="s">
        <v>162</v>
      </c>
      <c r="F318" t="s">
        <v>548</v>
      </c>
      <c r="G318" t="s">
        <v>44</v>
      </c>
      <c r="H318" t="s">
        <v>57</v>
      </c>
      <c r="L31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1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18" s="1"/>
      <c r="T318" s="64" t="str">
        <f>IF(Table1[[#This Row],[ActualWinner]]="", "", IF(Table1[[#This Row],[AwayTeam]]=Table1[[#This Row],[ActualWinner]],Table1[[#This Row],[HomeTeam]],Table1[[#This Row],[AwayTeam]]))</f>
        <v/>
      </c>
      <c r="U318" s="64">
        <f>Table1[[#This Row],[ActualAwayScore]]-Table1[[#This Row],[PredictedAwayScore]]</f>
        <v>0</v>
      </c>
      <c r="V318" s="64">
        <f>Table1[[#This Row],[ActualHomeScore]]-Table1[[#This Row],[PredictedHomeScore]]</f>
        <v>0</v>
      </c>
      <c r="W318" s="64">
        <f>(0.8*IF(Table1[[#This Row],[CorrectWinnerPrediction]]=1, 1, 0))+(0.1*IF(Table1[[#This Row],[CorrectAwayScorePrediction]]=1, 1, 0))+(0.1*IF(Table1[[#This Row],[CorrectHomeScorePrediction]]=1, 1, 0))</f>
        <v>0</v>
      </c>
      <c r="X31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18" s="64">
        <f>SUMIF(Table1[GameDate], Table1[[#This Row],[GameDate]], Table1[AwayGameGoalDiff])</f>
        <v>0</v>
      </c>
      <c r="AA318" s="64">
        <f>SUMIF(Table1[GameDate], Table1[[#This Row],[GameDate]], Table1[HomeGameGoalDiff])</f>
        <v>0</v>
      </c>
      <c r="AB318" s="64">
        <f>IF(ISBLANK(Table1[[#This Row],[ActualResult]]), 0, 1)</f>
        <v>0</v>
      </c>
      <c r="AC318" s="64">
        <f>IF(ISBLANK(Table1[[#This Row],[ActualResult]]), 0, IF(Table1[[#This Row],[ActualWinner]]=Table1[[#This Row],[PredictedWinner]], 1, 0))</f>
        <v>0</v>
      </c>
      <c r="AD31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1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18" s="64">
        <f>IF(AND(Table1[[#This Row],[GameIsOver]]=1,Table1[[#This Row],[ActualAwayScore]]=0), 1,0)</f>
        <v>0</v>
      </c>
      <c r="AG318" s="64">
        <f>IF(AND(Table1[[#This Row],[GameIsOver]]=1,Table1[[#This Row],[ActualHomeScore]]=0), 1,0)</f>
        <v>0</v>
      </c>
      <c r="AH318" s="64">
        <f>IF(Table1[[#This Row],[GameIsOver]]=0,0,IF(Table1[[#This Row],[ActualWinner]]=Table1[[#This Row],[AwayTeam]], 1, 0))</f>
        <v>0</v>
      </c>
      <c r="AI318" s="64">
        <f>IF(Table1[[#This Row],[GameIsOver]]=0,0,IF(Table1[[#This Row],[ActualWinner]]=Table1[[#This Row],[HomeTeam]], 1, 0))</f>
        <v>0</v>
      </c>
      <c r="AJ318" s="64">
        <f>IF(INDEX(Standings!$A$2:$C$33,MATCH(Table1[[#This Row],[AwayTeam]],Standings!$A$2:$A$33,0),2)=INDEX(Standings!$A$2:$C$33,MATCH(Table1[[#This Row],[HomeTeam]],Standings!$A$2:$A$33,0),2),1,0)</f>
        <v>1</v>
      </c>
      <c r="AK318" s="64">
        <f>IF(INDEX(Standings!$A$2:$C$33,MATCH(Table1[[#This Row],[AwayTeam]],Standings!$A$2:$A$33,0),3)=INDEX(Standings!$A$2:$C$33,MATCH(Table1[[#This Row],[HomeTeam]],Standings!$A$2:$A$33,0),3),1,0)</f>
        <v>1</v>
      </c>
      <c r="AL318" s="64">
        <f>IF(Table1[[#This Row],[InterConf]]=1,IF(Table1[[#This Row],[InterDiv]]=0, 1, 0), 0)</f>
        <v>0</v>
      </c>
      <c r="AM318" s="64">
        <f>IF(INDEX(Standings!$A$2:$C$33,MATCH(Table1[[#This Row],[AwayTeam]],Standings!$A$2:$A$33,0),2)&lt;&gt;INDEX(Standings!$A$2:$C$33,MATCH(Table1[[#This Row],[HomeTeam]],Standings!$A$2:$A$33,0),2),1,0)</f>
        <v>0</v>
      </c>
      <c r="AN318" s="64" t="str">
        <f>INDEX(Table2[AWAY_RECORD], MATCH(Table1[[#This Row],[AwayTeam]],Table2[Team], 0), 0)</f>
        <v>0-0-0</v>
      </c>
      <c r="AO318" s="64" t="str">
        <f>INDEX(Records!$B$2:$AG$33, MATCH(Table1[[#This Row],[AwayTeam]],Records!$A$2:$A$33, 0), MATCH(Table1[[#This Row],[HomeTeam]],Records!$A$2:$A$33, 0))</f>
        <v>0-0-0</v>
      </c>
      <c r="AP318" s="64" t="str">
        <f>INDEX(Table2[HOME_RECORD], MATCH(Table1[[#This Row],[HomeTeam]],Table2[Team], 0), 0)</f>
        <v>0-0-0</v>
      </c>
      <c r="AQ318" s="64" t="str">
        <f>INDEX(Records!$B$2:$AG$33, MATCH(Table1[[#This Row],[HomeTeam]],Records!$A$2:$A$33, 0), MATCH(Table1[[#This Row],[AwayTeam]],Records!$A$2:$A$33, 0))</f>
        <v>0-0-0</v>
      </c>
    </row>
    <row r="319" spans="1:43" x14ac:dyDescent="0.25">
      <c r="A319" s="1"/>
      <c r="D319" t="s">
        <v>541</v>
      </c>
      <c r="E319" t="s">
        <v>162</v>
      </c>
      <c r="F319" t="s">
        <v>549</v>
      </c>
      <c r="G319" t="s">
        <v>52</v>
      </c>
      <c r="H319" t="s">
        <v>54</v>
      </c>
      <c r="L31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1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19" s="1"/>
      <c r="T319" s="64" t="str">
        <f>IF(Table1[[#This Row],[ActualWinner]]="", "", IF(Table1[[#This Row],[AwayTeam]]=Table1[[#This Row],[ActualWinner]],Table1[[#This Row],[HomeTeam]],Table1[[#This Row],[AwayTeam]]))</f>
        <v/>
      </c>
      <c r="U319" s="64">
        <f>Table1[[#This Row],[ActualAwayScore]]-Table1[[#This Row],[PredictedAwayScore]]</f>
        <v>0</v>
      </c>
      <c r="V319" s="64">
        <f>Table1[[#This Row],[ActualHomeScore]]-Table1[[#This Row],[PredictedHomeScore]]</f>
        <v>0</v>
      </c>
      <c r="W319" s="64">
        <f>(0.8*IF(Table1[[#This Row],[CorrectWinnerPrediction]]=1, 1, 0))+(0.1*IF(Table1[[#This Row],[CorrectAwayScorePrediction]]=1, 1, 0))+(0.1*IF(Table1[[#This Row],[CorrectHomeScorePrediction]]=1, 1, 0))</f>
        <v>0</v>
      </c>
      <c r="X31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19" s="64">
        <f>SUMIF(Table1[GameDate], Table1[[#This Row],[GameDate]], Table1[AwayGameGoalDiff])</f>
        <v>0</v>
      </c>
      <c r="AA319" s="64">
        <f>SUMIF(Table1[GameDate], Table1[[#This Row],[GameDate]], Table1[HomeGameGoalDiff])</f>
        <v>0</v>
      </c>
      <c r="AB319" s="64">
        <f>IF(ISBLANK(Table1[[#This Row],[ActualResult]]), 0, 1)</f>
        <v>0</v>
      </c>
      <c r="AC319" s="64">
        <f>IF(ISBLANK(Table1[[#This Row],[ActualResult]]), 0, IF(Table1[[#This Row],[ActualWinner]]=Table1[[#This Row],[PredictedWinner]], 1, 0))</f>
        <v>0</v>
      </c>
      <c r="AD31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1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19" s="64">
        <f>IF(AND(Table1[[#This Row],[GameIsOver]]=1,Table1[[#This Row],[ActualAwayScore]]=0), 1,0)</f>
        <v>0</v>
      </c>
      <c r="AG319" s="64">
        <f>IF(AND(Table1[[#This Row],[GameIsOver]]=1,Table1[[#This Row],[ActualHomeScore]]=0), 1,0)</f>
        <v>0</v>
      </c>
      <c r="AH319" s="64">
        <f>IF(Table1[[#This Row],[GameIsOver]]=0,0,IF(Table1[[#This Row],[ActualWinner]]=Table1[[#This Row],[AwayTeam]], 1, 0))</f>
        <v>0</v>
      </c>
      <c r="AI319" s="64">
        <f>IF(Table1[[#This Row],[GameIsOver]]=0,0,IF(Table1[[#This Row],[ActualWinner]]=Table1[[#This Row],[HomeTeam]], 1, 0))</f>
        <v>0</v>
      </c>
      <c r="AJ319" s="64">
        <f>IF(INDEX(Standings!$A$2:$C$33,MATCH(Table1[[#This Row],[AwayTeam]],Standings!$A$2:$A$33,0),2)=INDEX(Standings!$A$2:$C$33,MATCH(Table1[[#This Row],[HomeTeam]],Standings!$A$2:$A$33,0),2),1,0)</f>
        <v>1</v>
      </c>
      <c r="AK319" s="64">
        <f>IF(INDEX(Standings!$A$2:$C$33,MATCH(Table1[[#This Row],[AwayTeam]],Standings!$A$2:$A$33,0),3)=INDEX(Standings!$A$2:$C$33,MATCH(Table1[[#This Row],[HomeTeam]],Standings!$A$2:$A$33,0),3),1,0)</f>
        <v>0</v>
      </c>
      <c r="AL319" s="64">
        <f>IF(Table1[[#This Row],[InterConf]]=1,IF(Table1[[#This Row],[InterDiv]]=0, 1, 0), 0)</f>
        <v>1</v>
      </c>
      <c r="AM319" s="64">
        <f>IF(INDEX(Standings!$A$2:$C$33,MATCH(Table1[[#This Row],[AwayTeam]],Standings!$A$2:$A$33,0),2)&lt;&gt;INDEX(Standings!$A$2:$C$33,MATCH(Table1[[#This Row],[HomeTeam]],Standings!$A$2:$A$33,0),2),1,0)</f>
        <v>0</v>
      </c>
      <c r="AN319" s="64" t="str">
        <f>INDEX(Table2[AWAY_RECORD], MATCH(Table1[[#This Row],[AwayTeam]],Table2[Team], 0), 0)</f>
        <v>0-0-0</v>
      </c>
      <c r="AO319" s="64" t="str">
        <f>INDEX(Records!$B$2:$AG$33, MATCH(Table1[[#This Row],[AwayTeam]],Records!$A$2:$A$33, 0), MATCH(Table1[[#This Row],[HomeTeam]],Records!$A$2:$A$33, 0))</f>
        <v>0-0-0</v>
      </c>
      <c r="AP319" s="64" t="str">
        <f>INDEX(Table2[HOME_RECORD], MATCH(Table1[[#This Row],[HomeTeam]],Table2[Team], 0), 0)</f>
        <v>0-0-0</v>
      </c>
      <c r="AQ319" s="64" t="str">
        <f>INDEX(Records!$B$2:$AG$33, MATCH(Table1[[#This Row],[HomeTeam]],Records!$A$2:$A$33, 0), MATCH(Table1[[#This Row],[AwayTeam]],Records!$A$2:$A$33, 0))</f>
        <v>0-0-0</v>
      </c>
    </row>
    <row r="320" spans="1:43" x14ac:dyDescent="0.25">
      <c r="A320" s="1"/>
      <c r="D320" t="s">
        <v>541</v>
      </c>
      <c r="E320" t="s">
        <v>162</v>
      </c>
      <c r="F320" t="s">
        <v>550</v>
      </c>
      <c r="G320" t="s">
        <v>49</v>
      </c>
      <c r="H320" t="s">
        <v>59</v>
      </c>
      <c r="L32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2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20" s="1"/>
      <c r="T320" s="64" t="str">
        <f>IF(Table1[[#This Row],[ActualWinner]]="", "", IF(Table1[[#This Row],[AwayTeam]]=Table1[[#This Row],[ActualWinner]],Table1[[#This Row],[HomeTeam]],Table1[[#This Row],[AwayTeam]]))</f>
        <v/>
      </c>
      <c r="U320" s="64">
        <f>Table1[[#This Row],[ActualAwayScore]]-Table1[[#This Row],[PredictedAwayScore]]</f>
        <v>0</v>
      </c>
      <c r="V320" s="64">
        <f>Table1[[#This Row],[ActualHomeScore]]-Table1[[#This Row],[PredictedHomeScore]]</f>
        <v>0</v>
      </c>
      <c r="W320" s="64">
        <f>(0.8*IF(Table1[[#This Row],[CorrectWinnerPrediction]]=1, 1, 0))+(0.1*IF(Table1[[#This Row],[CorrectAwayScorePrediction]]=1, 1, 0))+(0.1*IF(Table1[[#This Row],[CorrectHomeScorePrediction]]=1, 1, 0))</f>
        <v>0</v>
      </c>
      <c r="X32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20" s="64">
        <f>SUMIF(Table1[GameDate], Table1[[#This Row],[GameDate]], Table1[AwayGameGoalDiff])</f>
        <v>0</v>
      </c>
      <c r="AA320" s="64">
        <f>SUMIF(Table1[GameDate], Table1[[#This Row],[GameDate]], Table1[HomeGameGoalDiff])</f>
        <v>0</v>
      </c>
      <c r="AB320" s="64">
        <f>IF(ISBLANK(Table1[[#This Row],[ActualResult]]), 0, 1)</f>
        <v>0</v>
      </c>
      <c r="AC320" s="64">
        <f>IF(ISBLANK(Table1[[#This Row],[ActualResult]]), 0, IF(Table1[[#This Row],[ActualWinner]]=Table1[[#This Row],[PredictedWinner]], 1, 0))</f>
        <v>0</v>
      </c>
      <c r="AD32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2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20" s="64">
        <f>IF(AND(Table1[[#This Row],[GameIsOver]]=1,Table1[[#This Row],[ActualAwayScore]]=0), 1,0)</f>
        <v>0</v>
      </c>
      <c r="AG320" s="64">
        <f>IF(AND(Table1[[#This Row],[GameIsOver]]=1,Table1[[#This Row],[ActualHomeScore]]=0), 1,0)</f>
        <v>0</v>
      </c>
      <c r="AH320" s="64">
        <f>IF(Table1[[#This Row],[GameIsOver]]=0,0,IF(Table1[[#This Row],[ActualWinner]]=Table1[[#This Row],[AwayTeam]], 1, 0))</f>
        <v>0</v>
      </c>
      <c r="AI320" s="64">
        <f>IF(Table1[[#This Row],[GameIsOver]]=0,0,IF(Table1[[#This Row],[ActualWinner]]=Table1[[#This Row],[HomeTeam]], 1, 0))</f>
        <v>0</v>
      </c>
      <c r="AJ320" s="64">
        <f>IF(INDEX(Standings!$A$2:$C$33,MATCH(Table1[[#This Row],[AwayTeam]],Standings!$A$2:$A$33,0),2)=INDEX(Standings!$A$2:$C$33,MATCH(Table1[[#This Row],[HomeTeam]],Standings!$A$2:$A$33,0),2),1,0)</f>
        <v>1</v>
      </c>
      <c r="AK320" s="64">
        <f>IF(INDEX(Standings!$A$2:$C$33,MATCH(Table1[[#This Row],[AwayTeam]],Standings!$A$2:$A$33,0),3)=INDEX(Standings!$A$2:$C$33,MATCH(Table1[[#This Row],[HomeTeam]],Standings!$A$2:$A$33,0),3),1,0)</f>
        <v>1</v>
      </c>
      <c r="AL320" s="64">
        <f>IF(Table1[[#This Row],[InterConf]]=1,IF(Table1[[#This Row],[InterDiv]]=0, 1, 0), 0)</f>
        <v>0</v>
      </c>
      <c r="AM320" s="64">
        <f>IF(INDEX(Standings!$A$2:$C$33,MATCH(Table1[[#This Row],[AwayTeam]],Standings!$A$2:$A$33,0),2)&lt;&gt;INDEX(Standings!$A$2:$C$33,MATCH(Table1[[#This Row],[HomeTeam]],Standings!$A$2:$A$33,0),2),1,0)</f>
        <v>0</v>
      </c>
      <c r="AN320" s="64" t="str">
        <f>INDEX(Table2[AWAY_RECORD], MATCH(Table1[[#This Row],[AwayTeam]],Table2[Team], 0), 0)</f>
        <v>0-0-0</v>
      </c>
      <c r="AO320" s="64" t="str">
        <f>INDEX(Records!$B$2:$AG$33, MATCH(Table1[[#This Row],[AwayTeam]],Records!$A$2:$A$33, 0), MATCH(Table1[[#This Row],[HomeTeam]],Records!$A$2:$A$33, 0))</f>
        <v>0-0-0</v>
      </c>
      <c r="AP320" s="64" t="str">
        <f>INDEX(Table2[HOME_RECORD], MATCH(Table1[[#This Row],[HomeTeam]],Table2[Team], 0), 0)</f>
        <v>0-0-0</v>
      </c>
      <c r="AQ320" s="64" t="str">
        <f>INDEX(Records!$B$2:$AG$33, MATCH(Table1[[#This Row],[HomeTeam]],Records!$A$2:$A$33, 0), MATCH(Table1[[#This Row],[AwayTeam]],Records!$A$2:$A$33, 0))</f>
        <v>0-0-0</v>
      </c>
    </row>
    <row r="321" spans="1:43" x14ac:dyDescent="0.25">
      <c r="A321" s="1"/>
      <c r="D321" t="s">
        <v>541</v>
      </c>
      <c r="E321" t="s">
        <v>162</v>
      </c>
      <c r="F321" t="s">
        <v>551</v>
      </c>
      <c r="G321" t="s">
        <v>53</v>
      </c>
      <c r="H321" t="s">
        <v>42</v>
      </c>
      <c r="L32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2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21" s="1"/>
      <c r="T321" s="64" t="str">
        <f>IF(Table1[[#This Row],[ActualWinner]]="", "", IF(Table1[[#This Row],[AwayTeam]]=Table1[[#This Row],[ActualWinner]],Table1[[#This Row],[HomeTeam]],Table1[[#This Row],[AwayTeam]]))</f>
        <v/>
      </c>
      <c r="U321" s="64">
        <f>Table1[[#This Row],[ActualAwayScore]]-Table1[[#This Row],[PredictedAwayScore]]</f>
        <v>0</v>
      </c>
      <c r="V321" s="64">
        <f>Table1[[#This Row],[ActualHomeScore]]-Table1[[#This Row],[PredictedHomeScore]]</f>
        <v>0</v>
      </c>
      <c r="W321" s="64">
        <f>(0.8*IF(Table1[[#This Row],[CorrectWinnerPrediction]]=1, 1, 0))+(0.1*IF(Table1[[#This Row],[CorrectAwayScorePrediction]]=1, 1, 0))+(0.1*IF(Table1[[#This Row],[CorrectHomeScorePrediction]]=1, 1, 0))</f>
        <v>0</v>
      </c>
      <c r="X32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21" s="64">
        <f>SUMIF(Table1[GameDate], Table1[[#This Row],[GameDate]], Table1[AwayGameGoalDiff])</f>
        <v>0</v>
      </c>
      <c r="AA321" s="64">
        <f>SUMIF(Table1[GameDate], Table1[[#This Row],[GameDate]], Table1[HomeGameGoalDiff])</f>
        <v>0</v>
      </c>
      <c r="AB321" s="64">
        <f>IF(ISBLANK(Table1[[#This Row],[ActualResult]]), 0, 1)</f>
        <v>0</v>
      </c>
      <c r="AC321" s="64">
        <f>IF(ISBLANK(Table1[[#This Row],[ActualResult]]), 0, IF(Table1[[#This Row],[ActualWinner]]=Table1[[#This Row],[PredictedWinner]], 1, 0))</f>
        <v>0</v>
      </c>
      <c r="AD32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2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21" s="64">
        <f>IF(AND(Table1[[#This Row],[GameIsOver]]=1,Table1[[#This Row],[ActualAwayScore]]=0), 1,0)</f>
        <v>0</v>
      </c>
      <c r="AG321" s="64">
        <f>IF(AND(Table1[[#This Row],[GameIsOver]]=1,Table1[[#This Row],[ActualHomeScore]]=0), 1,0)</f>
        <v>0</v>
      </c>
      <c r="AH321" s="64">
        <f>IF(Table1[[#This Row],[GameIsOver]]=0,0,IF(Table1[[#This Row],[ActualWinner]]=Table1[[#This Row],[AwayTeam]], 1, 0))</f>
        <v>0</v>
      </c>
      <c r="AI321" s="64">
        <f>IF(Table1[[#This Row],[GameIsOver]]=0,0,IF(Table1[[#This Row],[ActualWinner]]=Table1[[#This Row],[HomeTeam]], 1, 0))</f>
        <v>0</v>
      </c>
      <c r="AJ321" s="64">
        <f>IF(INDEX(Standings!$A$2:$C$33,MATCH(Table1[[#This Row],[AwayTeam]],Standings!$A$2:$A$33,0),2)=INDEX(Standings!$A$2:$C$33,MATCH(Table1[[#This Row],[HomeTeam]],Standings!$A$2:$A$33,0),2),1,0)</f>
        <v>1</v>
      </c>
      <c r="AK321" s="64">
        <f>IF(INDEX(Standings!$A$2:$C$33,MATCH(Table1[[#This Row],[AwayTeam]],Standings!$A$2:$A$33,0),3)=INDEX(Standings!$A$2:$C$33,MATCH(Table1[[#This Row],[HomeTeam]],Standings!$A$2:$A$33,0),3),1,0)</f>
        <v>1</v>
      </c>
      <c r="AL321" s="64">
        <f>IF(Table1[[#This Row],[InterConf]]=1,IF(Table1[[#This Row],[InterDiv]]=0, 1, 0), 0)</f>
        <v>0</v>
      </c>
      <c r="AM321" s="64">
        <f>IF(INDEX(Standings!$A$2:$C$33,MATCH(Table1[[#This Row],[AwayTeam]],Standings!$A$2:$A$33,0),2)&lt;&gt;INDEX(Standings!$A$2:$C$33,MATCH(Table1[[#This Row],[HomeTeam]],Standings!$A$2:$A$33,0),2),1,0)</f>
        <v>0</v>
      </c>
      <c r="AN321" s="64" t="str">
        <f>INDEX(Table2[AWAY_RECORD], MATCH(Table1[[#This Row],[AwayTeam]],Table2[Team], 0), 0)</f>
        <v>0-1-0</v>
      </c>
      <c r="AO321" s="64" t="str">
        <f>INDEX(Records!$B$2:$AG$33, MATCH(Table1[[#This Row],[AwayTeam]],Records!$A$2:$A$33, 0), MATCH(Table1[[#This Row],[HomeTeam]],Records!$A$2:$A$33, 0))</f>
        <v>0-0-0</v>
      </c>
      <c r="AP321" s="64" t="str">
        <f>INDEX(Table2[HOME_RECORD], MATCH(Table1[[#This Row],[HomeTeam]],Table2[Team], 0), 0)</f>
        <v>1-0-0</v>
      </c>
      <c r="AQ321" s="64" t="str">
        <f>INDEX(Records!$B$2:$AG$33, MATCH(Table1[[#This Row],[HomeTeam]],Records!$A$2:$A$33, 0), MATCH(Table1[[#This Row],[AwayTeam]],Records!$A$2:$A$33, 0))</f>
        <v>0-0-0</v>
      </c>
    </row>
    <row r="322" spans="1:43" x14ac:dyDescent="0.25">
      <c r="A322" s="1"/>
      <c r="D322" t="s">
        <v>541</v>
      </c>
      <c r="E322" t="s">
        <v>162</v>
      </c>
      <c r="F322" t="s">
        <v>552</v>
      </c>
      <c r="G322" t="s">
        <v>17</v>
      </c>
      <c r="H322" t="s">
        <v>61</v>
      </c>
      <c r="L32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2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22" s="1"/>
      <c r="T322" s="64" t="str">
        <f>IF(Table1[[#This Row],[ActualWinner]]="", "", IF(Table1[[#This Row],[AwayTeam]]=Table1[[#This Row],[ActualWinner]],Table1[[#This Row],[HomeTeam]],Table1[[#This Row],[AwayTeam]]))</f>
        <v/>
      </c>
      <c r="U322" s="64">
        <f>Table1[[#This Row],[ActualAwayScore]]-Table1[[#This Row],[PredictedAwayScore]]</f>
        <v>0</v>
      </c>
      <c r="V322" s="64">
        <f>Table1[[#This Row],[ActualHomeScore]]-Table1[[#This Row],[PredictedHomeScore]]</f>
        <v>0</v>
      </c>
      <c r="W322" s="64">
        <f>(0.8*IF(Table1[[#This Row],[CorrectWinnerPrediction]]=1, 1, 0))+(0.1*IF(Table1[[#This Row],[CorrectAwayScorePrediction]]=1, 1, 0))+(0.1*IF(Table1[[#This Row],[CorrectHomeScorePrediction]]=1, 1, 0))</f>
        <v>0</v>
      </c>
      <c r="X32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22" s="64">
        <f>SUMIF(Table1[GameDate], Table1[[#This Row],[GameDate]], Table1[AwayGameGoalDiff])</f>
        <v>0</v>
      </c>
      <c r="AA322" s="64">
        <f>SUMIF(Table1[GameDate], Table1[[#This Row],[GameDate]], Table1[HomeGameGoalDiff])</f>
        <v>0</v>
      </c>
      <c r="AB322" s="64">
        <f>IF(ISBLANK(Table1[[#This Row],[ActualResult]]), 0, 1)</f>
        <v>0</v>
      </c>
      <c r="AC322" s="64">
        <f>IF(ISBLANK(Table1[[#This Row],[ActualResult]]), 0, IF(Table1[[#This Row],[ActualWinner]]=Table1[[#This Row],[PredictedWinner]], 1, 0))</f>
        <v>0</v>
      </c>
      <c r="AD32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2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22" s="64">
        <f>IF(AND(Table1[[#This Row],[GameIsOver]]=1,Table1[[#This Row],[ActualAwayScore]]=0), 1,0)</f>
        <v>0</v>
      </c>
      <c r="AG322" s="64">
        <f>IF(AND(Table1[[#This Row],[GameIsOver]]=1,Table1[[#This Row],[ActualHomeScore]]=0), 1,0)</f>
        <v>0</v>
      </c>
      <c r="AH322" s="64">
        <f>IF(Table1[[#This Row],[GameIsOver]]=0,0,IF(Table1[[#This Row],[ActualWinner]]=Table1[[#This Row],[AwayTeam]], 1, 0))</f>
        <v>0</v>
      </c>
      <c r="AI322" s="64">
        <f>IF(Table1[[#This Row],[GameIsOver]]=0,0,IF(Table1[[#This Row],[ActualWinner]]=Table1[[#This Row],[HomeTeam]], 1, 0))</f>
        <v>0</v>
      </c>
      <c r="AJ322" s="64">
        <f>IF(INDEX(Standings!$A$2:$C$33,MATCH(Table1[[#This Row],[AwayTeam]],Standings!$A$2:$A$33,0),2)=INDEX(Standings!$A$2:$C$33,MATCH(Table1[[#This Row],[HomeTeam]],Standings!$A$2:$A$33,0),2),1,0)</f>
        <v>0</v>
      </c>
      <c r="AK322" s="64">
        <f>IF(INDEX(Standings!$A$2:$C$33,MATCH(Table1[[#This Row],[AwayTeam]],Standings!$A$2:$A$33,0),3)=INDEX(Standings!$A$2:$C$33,MATCH(Table1[[#This Row],[HomeTeam]],Standings!$A$2:$A$33,0),3),1,0)</f>
        <v>0</v>
      </c>
      <c r="AL322" s="64">
        <f>IF(Table1[[#This Row],[InterConf]]=1,IF(Table1[[#This Row],[InterDiv]]=0, 1, 0), 0)</f>
        <v>0</v>
      </c>
      <c r="AM322" s="64">
        <f>IF(INDEX(Standings!$A$2:$C$33,MATCH(Table1[[#This Row],[AwayTeam]],Standings!$A$2:$A$33,0),2)&lt;&gt;INDEX(Standings!$A$2:$C$33,MATCH(Table1[[#This Row],[HomeTeam]],Standings!$A$2:$A$33,0),2),1,0)</f>
        <v>1</v>
      </c>
      <c r="AN322" s="64" t="str">
        <f>INDEX(Table2[AWAY_RECORD], MATCH(Table1[[#This Row],[AwayTeam]],Table2[Team], 0), 0)</f>
        <v>2-0-0</v>
      </c>
      <c r="AO322" s="64" t="str">
        <f>INDEX(Records!$B$2:$AG$33, MATCH(Table1[[#This Row],[AwayTeam]],Records!$A$2:$A$33, 0), MATCH(Table1[[#This Row],[HomeTeam]],Records!$A$2:$A$33, 0))</f>
        <v>0-0-0</v>
      </c>
      <c r="AP322" s="64" t="str">
        <f>INDEX(Table2[HOME_RECORD], MATCH(Table1[[#This Row],[HomeTeam]],Table2[Team], 0), 0)</f>
        <v>0-0-0</v>
      </c>
      <c r="AQ322" s="64" t="str">
        <f>INDEX(Records!$B$2:$AG$33, MATCH(Table1[[#This Row],[HomeTeam]],Records!$A$2:$A$33, 0), MATCH(Table1[[#This Row],[AwayTeam]],Records!$A$2:$A$33, 0))</f>
        <v>0-0-0</v>
      </c>
    </row>
    <row r="323" spans="1:43" x14ac:dyDescent="0.25">
      <c r="A323" s="1"/>
      <c r="D323" t="s">
        <v>541</v>
      </c>
      <c r="E323" t="s">
        <v>178</v>
      </c>
      <c r="F323" t="s">
        <v>553</v>
      </c>
      <c r="G323" t="s">
        <v>38</v>
      </c>
      <c r="H323" t="s">
        <v>43</v>
      </c>
      <c r="L32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2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23" s="1"/>
      <c r="T323" s="64" t="str">
        <f>IF(Table1[[#This Row],[ActualWinner]]="", "", IF(Table1[[#This Row],[AwayTeam]]=Table1[[#This Row],[ActualWinner]],Table1[[#This Row],[HomeTeam]],Table1[[#This Row],[AwayTeam]]))</f>
        <v/>
      </c>
      <c r="U323" s="64">
        <f>Table1[[#This Row],[ActualAwayScore]]-Table1[[#This Row],[PredictedAwayScore]]</f>
        <v>0</v>
      </c>
      <c r="V323" s="64">
        <f>Table1[[#This Row],[ActualHomeScore]]-Table1[[#This Row],[PredictedHomeScore]]</f>
        <v>0</v>
      </c>
      <c r="W323" s="64">
        <f>(0.8*IF(Table1[[#This Row],[CorrectWinnerPrediction]]=1, 1, 0))+(0.1*IF(Table1[[#This Row],[CorrectAwayScorePrediction]]=1, 1, 0))+(0.1*IF(Table1[[#This Row],[CorrectHomeScorePrediction]]=1, 1, 0))</f>
        <v>0</v>
      </c>
      <c r="X32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23" s="64">
        <f>SUMIF(Table1[GameDate], Table1[[#This Row],[GameDate]], Table1[AwayGameGoalDiff])</f>
        <v>0</v>
      </c>
      <c r="AA323" s="64">
        <f>SUMIF(Table1[GameDate], Table1[[#This Row],[GameDate]], Table1[HomeGameGoalDiff])</f>
        <v>0</v>
      </c>
      <c r="AB323" s="64">
        <f>IF(ISBLANK(Table1[[#This Row],[ActualResult]]), 0, 1)</f>
        <v>0</v>
      </c>
      <c r="AC323" s="64">
        <f>IF(ISBLANK(Table1[[#This Row],[ActualResult]]), 0, IF(Table1[[#This Row],[ActualWinner]]=Table1[[#This Row],[PredictedWinner]], 1, 0))</f>
        <v>0</v>
      </c>
      <c r="AD32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2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23" s="64">
        <f>IF(AND(Table1[[#This Row],[GameIsOver]]=1,Table1[[#This Row],[ActualAwayScore]]=0), 1,0)</f>
        <v>0</v>
      </c>
      <c r="AG323" s="64">
        <f>IF(AND(Table1[[#This Row],[GameIsOver]]=1,Table1[[#This Row],[ActualHomeScore]]=0), 1,0)</f>
        <v>0</v>
      </c>
      <c r="AH323" s="64">
        <f>IF(Table1[[#This Row],[GameIsOver]]=0,0,IF(Table1[[#This Row],[ActualWinner]]=Table1[[#This Row],[AwayTeam]], 1, 0))</f>
        <v>0</v>
      </c>
      <c r="AI323" s="64">
        <f>IF(Table1[[#This Row],[GameIsOver]]=0,0,IF(Table1[[#This Row],[ActualWinner]]=Table1[[#This Row],[HomeTeam]], 1, 0))</f>
        <v>0</v>
      </c>
      <c r="AJ323" s="64">
        <f>IF(INDEX(Standings!$A$2:$C$33,MATCH(Table1[[#This Row],[AwayTeam]],Standings!$A$2:$A$33,0),2)=INDEX(Standings!$A$2:$C$33,MATCH(Table1[[#This Row],[HomeTeam]],Standings!$A$2:$A$33,0),2),1,0)</f>
        <v>0</v>
      </c>
      <c r="AK323" s="64">
        <f>IF(INDEX(Standings!$A$2:$C$33,MATCH(Table1[[#This Row],[AwayTeam]],Standings!$A$2:$A$33,0),3)=INDEX(Standings!$A$2:$C$33,MATCH(Table1[[#This Row],[HomeTeam]],Standings!$A$2:$A$33,0),3),1,0)</f>
        <v>0</v>
      </c>
      <c r="AL323" s="64">
        <f>IF(Table1[[#This Row],[InterConf]]=1,IF(Table1[[#This Row],[InterDiv]]=0, 1, 0), 0)</f>
        <v>0</v>
      </c>
      <c r="AM323" s="64">
        <f>IF(INDEX(Standings!$A$2:$C$33,MATCH(Table1[[#This Row],[AwayTeam]],Standings!$A$2:$A$33,0),2)&lt;&gt;INDEX(Standings!$A$2:$C$33,MATCH(Table1[[#This Row],[HomeTeam]],Standings!$A$2:$A$33,0),2),1,0)</f>
        <v>1</v>
      </c>
      <c r="AN323" s="64" t="str">
        <f>INDEX(Table2[AWAY_RECORD], MATCH(Table1[[#This Row],[AwayTeam]],Table2[Team], 0), 0)</f>
        <v>0-0-1</v>
      </c>
      <c r="AO323" s="64" t="str">
        <f>INDEX(Records!$B$2:$AG$33, MATCH(Table1[[#This Row],[AwayTeam]],Records!$A$2:$A$33, 0), MATCH(Table1[[#This Row],[HomeTeam]],Records!$A$2:$A$33, 0))</f>
        <v>0-0-0</v>
      </c>
      <c r="AP323" s="64" t="str">
        <f>INDEX(Table2[HOME_RECORD], MATCH(Table1[[#This Row],[HomeTeam]],Table2[Team], 0), 0)</f>
        <v>0-0-0</v>
      </c>
      <c r="AQ323" s="64" t="str">
        <f>INDEX(Records!$B$2:$AG$33, MATCH(Table1[[#This Row],[HomeTeam]],Records!$A$2:$A$33, 0), MATCH(Table1[[#This Row],[AwayTeam]],Records!$A$2:$A$33, 0))</f>
        <v>0-0-0</v>
      </c>
    </row>
    <row r="324" spans="1:43" x14ac:dyDescent="0.25">
      <c r="A324" s="1"/>
      <c r="D324" t="s">
        <v>541</v>
      </c>
      <c r="E324" t="s">
        <v>164</v>
      </c>
      <c r="F324" t="s">
        <v>554</v>
      </c>
      <c r="G324" t="s">
        <v>55</v>
      </c>
      <c r="H324" t="s">
        <v>58</v>
      </c>
      <c r="L32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2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24" s="1"/>
      <c r="T324" s="64" t="str">
        <f>IF(Table1[[#This Row],[ActualWinner]]="", "", IF(Table1[[#This Row],[AwayTeam]]=Table1[[#This Row],[ActualWinner]],Table1[[#This Row],[HomeTeam]],Table1[[#This Row],[AwayTeam]]))</f>
        <v/>
      </c>
      <c r="U324" s="64">
        <f>Table1[[#This Row],[ActualAwayScore]]-Table1[[#This Row],[PredictedAwayScore]]</f>
        <v>0</v>
      </c>
      <c r="V324" s="64">
        <f>Table1[[#This Row],[ActualHomeScore]]-Table1[[#This Row],[PredictedHomeScore]]</f>
        <v>0</v>
      </c>
      <c r="W324" s="64">
        <f>(0.8*IF(Table1[[#This Row],[CorrectWinnerPrediction]]=1, 1, 0))+(0.1*IF(Table1[[#This Row],[CorrectAwayScorePrediction]]=1, 1, 0))+(0.1*IF(Table1[[#This Row],[CorrectHomeScorePrediction]]=1, 1, 0))</f>
        <v>0</v>
      </c>
      <c r="X32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24" s="64">
        <f>SUMIF(Table1[GameDate], Table1[[#This Row],[GameDate]], Table1[AwayGameGoalDiff])</f>
        <v>0</v>
      </c>
      <c r="AA324" s="64">
        <f>SUMIF(Table1[GameDate], Table1[[#This Row],[GameDate]], Table1[HomeGameGoalDiff])</f>
        <v>0</v>
      </c>
      <c r="AB324" s="64">
        <f>IF(ISBLANK(Table1[[#This Row],[ActualResult]]), 0, 1)</f>
        <v>0</v>
      </c>
      <c r="AC324" s="64">
        <f>IF(ISBLANK(Table1[[#This Row],[ActualResult]]), 0, IF(Table1[[#This Row],[ActualWinner]]=Table1[[#This Row],[PredictedWinner]], 1, 0))</f>
        <v>0</v>
      </c>
      <c r="AD32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2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24" s="64">
        <f>IF(AND(Table1[[#This Row],[GameIsOver]]=1,Table1[[#This Row],[ActualAwayScore]]=0), 1,0)</f>
        <v>0</v>
      </c>
      <c r="AG324" s="64">
        <f>IF(AND(Table1[[#This Row],[GameIsOver]]=1,Table1[[#This Row],[ActualHomeScore]]=0), 1,0)</f>
        <v>0</v>
      </c>
      <c r="AH324" s="64">
        <f>IF(Table1[[#This Row],[GameIsOver]]=0,0,IF(Table1[[#This Row],[ActualWinner]]=Table1[[#This Row],[AwayTeam]], 1, 0))</f>
        <v>0</v>
      </c>
      <c r="AI324" s="64">
        <f>IF(Table1[[#This Row],[GameIsOver]]=0,0,IF(Table1[[#This Row],[ActualWinner]]=Table1[[#This Row],[HomeTeam]], 1, 0))</f>
        <v>0</v>
      </c>
      <c r="AJ324" s="64">
        <f>IF(INDEX(Standings!$A$2:$C$33,MATCH(Table1[[#This Row],[AwayTeam]],Standings!$A$2:$A$33,0),2)=INDEX(Standings!$A$2:$C$33,MATCH(Table1[[#This Row],[HomeTeam]],Standings!$A$2:$A$33,0),2),1,0)</f>
        <v>1</v>
      </c>
      <c r="AK324" s="64">
        <f>IF(INDEX(Standings!$A$2:$C$33,MATCH(Table1[[#This Row],[AwayTeam]],Standings!$A$2:$A$33,0),3)=INDEX(Standings!$A$2:$C$33,MATCH(Table1[[#This Row],[HomeTeam]],Standings!$A$2:$A$33,0),3),1,0)</f>
        <v>0</v>
      </c>
      <c r="AL324" s="64">
        <f>IF(Table1[[#This Row],[InterConf]]=1,IF(Table1[[#This Row],[InterDiv]]=0, 1, 0), 0)</f>
        <v>1</v>
      </c>
      <c r="AM324" s="64">
        <f>IF(INDEX(Standings!$A$2:$C$33,MATCH(Table1[[#This Row],[AwayTeam]],Standings!$A$2:$A$33,0),2)&lt;&gt;INDEX(Standings!$A$2:$C$33,MATCH(Table1[[#This Row],[HomeTeam]],Standings!$A$2:$A$33,0),2),1,0)</f>
        <v>0</v>
      </c>
      <c r="AN324" s="64" t="str">
        <f>INDEX(Table2[AWAY_RECORD], MATCH(Table1[[#This Row],[AwayTeam]],Table2[Team], 0), 0)</f>
        <v>0-0-0</v>
      </c>
      <c r="AO324" s="64" t="str">
        <f>INDEX(Records!$B$2:$AG$33, MATCH(Table1[[#This Row],[AwayTeam]],Records!$A$2:$A$33, 0), MATCH(Table1[[#This Row],[HomeTeam]],Records!$A$2:$A$33, 0))</f>
        <v>0-0-0</v>
      </c>
      <c r="AP324" s="64" t="str">
        <f>INDEX(Table2[HOME_RECORD], MATCH(Table1[[#This Row],[HomeTeam]],Table2[Team], 0), 0)</f>
        <v>1-0-0</v>
      </c>
      <c r="AQ324" s="64" t="str">
        <f>INDEX(Records!$B$2:$AG$33, MATCH(Table1[[#This Row],[HomeTeam]],Records!$A$2:$A$33, 0), MATCH(Table1[[#This Row],[AwayTeam]],Records!$A$2:$A$33, 0))</f>
        <v>0-0-0</v>
      </c>
    </row>
    <row r="325" spans="1:43" x14ac:dyDescent="0.25">
      <c r="A325" s="1"/>
      <c r="D325" t="s">
        <v>555</v>
      </c>
      <c r="E325" t="s">
        <v>298</v>
      </c>
      <c r="F325" t="s">
        <v>556</v>
      </c>
      <c r="G325" t="s">
        <v>50</v>
      </c>
      <c r="H325" t="s">
        <v>36</v>
      </c>
      <c r="L32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2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25" s="1"/>
      <c r="T325" s="64" t="str">
        <f>IF(Table1[[#This Row],[ActualWinner]]="", "", IF(Table1[[#This Row],[AwayTeam]]=Table1[[#This Row],[ActualWinner]],Table1[[#This Row],[HomeTeam]],Table1[[#This Row],[AwayTeam]]))</f>
        <v/>
      </c>
      <c r="U325" s="64">
        <f>Table1[[#This Row],[ActualAwayScore]]-Table1[[#This Row],[PredictedAwayScore]]</f>
        <v>0</v>
      </c>
      <c r="V325" s="64">
        <f>Table1[[#This Row],[ActualHomeScore]]-Table1[[#This Row],[PredictedHomeScore]]</f>
        <v>0</v>
      </c>
      <c r="W325" s="64">
        <f>(0.8*IF(Table1[[#This Row],[CorrectWinnerPrediction]]=1, 1, 0))+(0.1*IF(Table1[[#This Row],[CorrectAwayScorePrediction]]=1, 1, 0))+(0.1*IF(Table1[[#This Row],[CorrectHomeScorePrediction]]=1, 1, 0))</f>
        <v>0</v>
      </c>
      <c r="X32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25" s="64">
        <f>SUMIF(Table1[GameDate], Table1[[#This Row],[GameDate]], Table1[AwayGameGoalDiff])</f>
        <v>0</v>
      </c>
      <c r="AA325" s="64">
        <f>SUMIF(Table1[GameDate], Table1[[#This Row],[GameDate]], Table1[HomeGameGoalDiff])</f>
        <v>0</v>
      </c>
      <c r="AB325" s="64">
        <f>IF(ISBLANK(Table1[[#This Row],[ActualResult]]), 0, 1)</f>
        <v>0</v>
      </c>
      <c r="AC325" s="64">
        <f>IF(ISBLANK(Table1[[#This Row],[ActualResult]]), 0, IF(Table1[[#This Row],[ActualWinner]]=Table1[[#This Row],[PredictedWinner]], 1, 0))</f>
        <v>0</v>
      </c>
      <c r="AD32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2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25" s="64">
        <f>IF(AND(Table1[[#This Row],[GameIsOver]]=1,Table1[[#This Row],[ActualAwayScore]]=0), 1,0)</f>
        <v>0</v>
      </c>
      <c r="AG325" s="64">
        <f>IF(AND(Table1[[#This Row],[GameIsOver]]=1,Table1[[#This Row],[ActualHomeScore]]=0), 1,0)</f>
        <v>0</v>
      </c>
      <c r="AH325" s="64">
        <f>IF(Table1[[#This Row],[GameIsOver]]=0,0,IF(Table1[[#This Row],[ActualWinner]]=Table1[[#This Row],[AwayTeam]], 1, 0))</f>
        <v>0</v>
      </c>
      <c r="AI325" s="64">
        <f>IF(Table1[[#This Row],[GameIsOver]]=0,0,IF(Table1[[#This Row],[ActualWinner]]=Table1[[#This Row],[HomeTeam]], 1, 0))</f>
        <v>0</v>
      </c>
      <c r="AJ325" s="64">
        <f>IF(INDEX(Standings!$A$2:$C$33,MATCH(Table1[[#This Row],[AwayTeam]],Standings!$A$2:$A$33,0),2)=INDEX(Standings!$A$2:$C$33,MATCH(Table1[[#This Row],[HomeTeam]],Standings!$A$2:$A$33,0),2),1,0)</f>
        <v>0</v>
      </c>
      <c r="AK325" s="64">
        <f>IF(INDEX(Standings!$A$2:$C$33,MATCH(Table1[[#This Row],[AwayTeam]],Standings!$A$2:$A$33,0),3)=INDEX(Standings!$A$2:$C$33,MATCH(Table1[[#This Row],[HomeTeam]],Standings!$A$2:$A$33,0),3),1,0)</f>
        <v>0</v>
      </c>
      <c r="AL325" s="64">
        <f>IF(Table1[[#This Row],[InterConf]]=1,IF(Table1[[#This Row],[InterDiv]]=0, 1, 0), 0)</f>
        <v>0</v>
      </c>
      <c r="AM325" s="64">
        <f>IF(INDEX(Standings!$A$2:$C$33,MATCH(Table1[[#This Row],[AwayTeam]],Standings!$A$2:$A$33,0),2)&lt;&gt;INDEX(Standings!$A$2:$C$33,MATCH(Table1[[#This Row],[HomeTeam]],Standings!$A$2:$A$33,0),2),1,0)</f>
        <v>1</v>
      </c>
      <c r="AN325" s="64" t="str">
        <f>INDEX(Table2[AWAY_RECORD], MATCH(Table1[[#This Row],[AwayTeam]],Table2[Team], 0), 0)</f>
        <v>1-0-0</v>
      </c>
      <c r="AO325" s="64" t="str">
        <f>INDEX(Records!$B$2:$AG$33, MATCH(Table1[[#This Row],[AwayTeam]],Records!$A$2:$A$33, 0), MATCH(Table1[[#This Row],[HomeTeam]],Records!$A$2:$A$33, 0))</f>
        <v>0-0-0</v>
      </c>
      <c r="AP325" s="64" t="str">
        <f>INDEX(Table2[HOME_RECORD], MATCH(Table1[[#This Row],[HomeTeam]],Table2[Team], 0), 0)</f>
        <v>0-0-0</v>
      </c>
      <c r="AQ325" s="64" t="str">
        <f>INDEX(Records!$B$2:$AG$33, MATCH(Table1[[#This Row],[HomeTeam]],Records!$A$2:$A$33, 0), MATCH(Table1[[#This Row],[AwayTeam]],Records!$A$2:$A$33, 0))</f>
        <v>0-0-0</v>
      </c>
    </row>
    <row r="326" spans="1:43" x14ac:dyDescent="0.25">
      <c r="A326" s="1"/>
      <c r="D326" t="s">
        <v>555</v>
      </c>
      <c r="E326" t="s">
        <v>298</v>
      </c>
      <c r="F326" t="s">
        <v>557</v>
      </c>
      <c r="G326" t="s">
        <v>39</v>
      </c>
      <c r="H326" t="s">
        <v>46</v>
      </c>
      <c r="L32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2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26" s="1"/>
      <c r="T326" s="64" t="str">
        <f>IF(Table1[[#This Row],[ActualWinner]]="", "", IF(Table1[[#This Row],[AwayTeam]]=Table1[[#This Row],[ActualWinner]],Table1[[#This Row],[HomeTeam]],Table1[[#This Row],[AwayTeam]]))</f>
        <v/>
      </c>
      <c r="U326" s="64">
        <f>Table1[[#This Row],[ActualAwayScore]]-Table1[[#This Row],[PredictedAwayScore]]</f>
        <v>0</v>
      </c>
      <c r="V326" s="64">
        <f>Table1[[#This Row],[ActualHomeScore]]-Table1[[#This Row],[PredictedHomeScore]]</f>
        <v>0</v>
      </c>
      <c r="W326" s="64">
        <f>(0.8*IF(Table1[[#This Row],[CorrectWinnerPrediction]]=1, 1, 0))+(0.1*IF(Table1[[#This Row],[CorrectAwayScorePrediction]]=1, 1, 0))+(0.1*IF(Table1[[#This Row],[CorrectHomeScorePrediction]]=1, 1, 0))</f>
        <v>0</v>
      </c>
      <c r="X32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26" s="64">
        <f>SUMIF(Table1[GameDate], Table1[[#This Row],[GameDate]], Table1[AwayGameGoalDiff])</f>
        <v>0</v>
      </c>
      <c r="AA326" s="64">
        <f>SUMIF(Table1[GameDate], Table1[[#This Row],[GameDate]], Table1[HomeGameGoalDiff])</f>
        <v>0</v>
      </c>
      <c r="AB326" s="64">
        <f>IF(ISBLANK(Table1[[#This Row],[ActualResult]]), 0, 1)</f>
        <v>0</v>
      </c>
      <c r="AC326" s="64">
        <f>IF(ISBLANK(Table1[[#This Row],[ActualResult]]), 0, IF(Table1[[#This Row],[ActualWinner]]=Table1[[#This Row],[PredictedWinner]], 1, 0))</f>
        <v>0</v>
      </c>
      <c r="AD32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2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26" s="64">
        <f>IF(AND(Table1[[#This Row],[GameIsOver]]=1,Table1[[#This Row],[ActualAwayScore]]=0), 1,0)</f>
        <v>0</v>
      </c>
      <c r="AG326" s="64">
        <f>IF(AND(Table1[[#This Row],[GameIsOver]]=1,Table1[[#This Row],[ActualHomeScore]]=0), 1,0)</f>
        <v>0</v>
      </c>
      <c r="AH326" s="64">
        <f>IF(Table1[[#This Row],[GameIsOver]]=0,0,IF(Table1[[#This Row],[ActualWinner]]=Table1[[#This Row],[AwayTeam]], 1, 0))</f>
        <v>0</v>
      </c>
      <c r="AI326" s="64">
        <f>IF(Table1[[#This Row],[GameIsOver]]=0,0,IF(Table1[[#This Row],[ActualWinner]]=Table1[[#This Row],[HomeTeam]], 1, 0))</f>
        <v>0</v>
      </c>
      <c r="AJ326" s="64">
        <f>IF(INDEX(Standings!$A$2:$C$33,MATCH(Table1[[#This Row],[AwayTeam]],Standings!$A$2:$A$33,0),2)=INDEX(Standings!$A$2:$C$33,MATCH(Table1[[#This Row],[HomeTeam]],Standings!$A$2:$A$33,0),2),1,0)</f>
        <v>1</v>
      </c>
      <c r="AK326" s="64">
        <f>IF(INDEX(Standings!$A$2:$C$33,MATCH(Table1[[#This Row],[AwayTeam]],Standings!$A$2:$A$33,0),3)=INDEX(Standings!$A$2:$C$33,MATCH(Table1[[#This Row],[HomeTeam]],Standings!$A$2:$A$33,0),3),1,0)</f>
        <v>1</v>
      </c>
      <c r="AL326" s="64">
        <f>IF(Table1[[#This Row],[InterConf]]=1,IF(Table1[[#This Row],[InterDiv]]=0, 1, 0), 0)</f>
        <v>0</v>
      </c>
      <c r="AM326" s="64">
        <f>IF(INDEX(Standings!$A$2:$C$33,MATCH(Table1[[#This Row],[AwayTeam]],Standings!$A$2:$A$33,0),2)&lt;&gt;INDEX(Standings!$A$2:$C$33,MATCH(Table1[[#This Row],[HomeTeam]],Standings!$A$2:$A$33,0),2),1,0)</f>
        <v>0</v>
      </c>
      <c r="AN326" s="64" t="str">
        <f>INDEX(Table2[AWAY_RECORD], MATCH(Table1[[#This Row],[AwayTeam]],Table2[Team], 0), 0)</f>
        <v>0-0-0</v>
      </c>
      <c r="AO326" s="64" t="str">
        <f>INDEX(Records!$B$2:$AG$33, MATCH(Table1[[#This Row],[AwayTeam]],Records!$A$2:$A$33, 0), MATCH(Table1[[#This Row],[HomeTeam]],Records!$A$2:$A$33, 0))</f>
        <v>0-0-0</v>
      </c>
      <c r="AP326" s="64" t="str">
        <f>INDEX(Table2[HOME_RECORD], MATCH(Table1[[#This Row],[HomeTeam]],Table2[Team], 0), 0)</f>
        <v>0-0-0</v>
      </c>
      <c r="AQ326" s="64" t="str">
        <f>INDEX(Records!$B$2:$AG$33, MATCH(Table1[[#This Row],[HomeTeam]],Records!$A$2:$A$33, 0), MATCH(Table1[[#This Row],[AwayTeam]],Records!$A$2:$A$33, 0))</f>
        <v>0-0-0</v>
      </c>
    </row>
    <row r="327" spans="1:43" x14ac:dyDescent="0.25">
      <c r="A327" s="1"/>
      <c r="D327" t="s">
        <v>555</v>
      </c>
      <c r="E327" t="s">
        <v>289</v>
      </c>
      <c r="F327" t="s">
        <v>558</v>
      </c>
      <c r="G327" t="s">
        <v>45</v>
      </c>
      <c r="H327" t="s">
        <v>53</v>
      </c>
      <c r="L32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2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27" s="1"/>
      <c r="T327" s="64" t="str">
        <f>IF(Table1[[#This Row],[ActualWinner]]="", "", IF(Table1[[#This Row],[AwayTeam]]=Table1[[#This Row],[ActualWinner]],Table1[[#This Row],[HomeTeam]],Table1[[#This Row],[AwayTeam]]))</f>
        <v/>
      </c>
      <c r="U327" s="64">
        <f>Table1[[#This Row],[ActualAwayScore]]-Table1[[#This Row],[PredictedAwayScore]]</f>
        <v>0</v>
      </c>
      <c r="V327" s="64">
        <f>Table1[[#This Row],[ActualHomeScore]]-Table1[[#This Row],[PredictedHomeScore]]</f>
        <v>0</v>
      </c>
      <c r="W327" s="64">
        <f>(0.8*IF(Table1[[#This Row],[CorrectWinnerPrediction]]=1, 1, 0))+(0.1*IF(Table1[[#This Row],[CorrectAwayScorePrediction]]=1, 1, 0))+(0.1*IF(Table1[[#This Row],[CorrectHomeScorePrediction]]=1, 1, 0))</f>
        <v>0</v>
      </c>
      <c r="X32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27" s="64">
        <f>SUMIF(Table1[GameDate], Table1[[#This Row],[GameDate]], Table1[AwayGameGoalDiff])</f>
        <v>0</v>
      </c>
      <c r="AA327" s="64">
        <f>SUMIF(Table1[GameDate], Table1[[#This Row],[GameDate]], Table1[HomeGameGoalDiff])</f>
        <v>0</v>
      </c>
      <c r="AB327" s="64">
        <f>IF(ISBLANK(Table1[[#This Row],[ActualResult]]), 0, 1)</f>
        <v>0</v>
      </c>
      <c r="AC327" s="64">
        <f>IF(ISBLANK(Table1[[#This Row],[ActualResult]]), 0, IF(Table1[[#This Row],[ActualWinner]]=Table1[[#This Row],[PredictedWinner]], 1, 0))</f>
        <v>0</v>
      </c>
      <c r="AD32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2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27" s="64">
        <f>IF(AND(Table1[[#This Row],[GameIsOver]]=1,Table1[[#This Row],[ActualAwayScore]]=0), 1,0)</f>
        <v>0</v>
      </c>
      <c r="AG327" s="64">
        <f>IF(AND(Table1[[#This Row],[GameIsOver]]=1,Table1[[#This Row],[ActualHomeScore]]=0), 1,0)</f>
        <v>0</v>
      </c>
      <c r="AH327" s="64">
        <f>IF(Table1[[#This Row],[GameIsOver]]=0,0,IF(Table1[[#This Row],[ActualWinner]]=Table1[[#This Row],[AwayTeam]], 1, 0))</f>
        <v>0</v>
      </c>
      <c r="AI327" s="64">
        <f>IF(Table1[[#This Row],[GameIsOver]]=0,0,IF(Table1[[#This Row],[ActualWinner]]=Table1[[#This Row],[HomeTeam]], 1, 0))</f>
        <v>0</v>
      </c>
      <c r="AJ327" s="64">
        <f>IF(INDEX(Standings!$A$2:$C$33,MATCH(Table1[[#This Row],[AwayTeam]],Standings!$A$2:$A$33,0),2)=INDEX(Standings!$A$2:$C$33,MATCH(Table1[[#This Row],[HomeTeam]],Standings!$A$2:$A$33,0),2),1,0)</f>
        <v>0</v>
      </c>
      <c r="AK327" s="64">
        <f>IF(INDEX(Standings!$A$2:$C$33,MATCH(Table1[[#This Row],[AwayTeam]],Standings!$A$2:$A$33,0),3)=INDEX(Standings!$A$2:$C$33,MATCH(Table1[[#This Row],[HomeTeam]],Standings!$A$2:$A$33,0),3),1,0)</f>
        <v>0</v>
      </c>
      <c r="AL327" s="64">
        <f>IF(Table1[[#This Row],[InterConf]]=1,IF(Table1[[#This Row],[InterDiv]]=0, 1, 0), 0)</f>
        <v>0</v>
      </c>
      <c r="AM327" s="64">
        <f>IF(INDEX(Standings!$A$2:$C$33,MATCH(Table1[[#This Row],[AwayTeam]],Standings!$A$2:$A$33,0),2)&lt;&gt;INDEX(Standings!$A$2:$C$33,MATCH(Table1[[#This Row],[HomeTeam]],Standings!$A$2:$A$33,0),2),1,0)</f>
        <v>1</v>
      </c>
      <c r="AN327" s="64" t="str">
        <f>INDEX(Table2[AWAY_RECORD], MATCH(Table1[[#This Row],[AwayTeam]],Table2[Team], 0), 0)</f>
        <v>1-0-0</v>
      </c>
      <c r="AO327" s="64" t="str">
        <f>INDEX(Records!$B$2:$AG$33, MATCH(Table1[[#This Row],[AwayTeam]],Records!$A$2:$A$33, 0), MATCH(Table1[[#This Row],[HomeTeam]],Records!$A$2:$A$33, 0))</f>
        <v>0-0-0</v>
      </c>
      <c r="AP327" s="64" t="str">
        <f>INDEX(Table2[HOME_RECORD], MATCH(Table1[[#This Row],[HomeTeam]],Table2[Team], 0), 0)</f>
        <v>1-0-0</v>
      </c>
      <c r="AQ327" s="64" t="str">
        <f>INDEX(Records!$B$2:$AG$33, MATCH(Table1[[#This Row],[HomeTeam]],Records!$A$2:$A$33, 0), MATCH(Table1[[#This Row],[AwayTeam]],Records!$A$2:$A$33, 0))</f>
        <v>0-0-0</v>
      </c>
    </row>
    <row r="328" spans="1:43" x14ac:dyDescent="0.25">
      <c r="A328" s="1"/>
      <c r="D328" t="s">
        <v>555</v>
      </c>
      <c r="E328" t="s">
        <v>178</v>
      </c>
      <c r="F328" t="s">
        <v>559</v>
      </c>
      <c r="G328" t="s">
        <v>17</v>
      </c>
      <c r="H328" t="s">
        <v>43</v>
      </c>
      <c r="L32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2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28" s="1"/>
      <c r="T328" s="64" t="str">
        <f>IF(Table1[[#This Row],[ActualWinner]]="", "", IF(Table1[[#This Row],[AwayTeam]]=Table1[[#This Row],[ActualWinner]],Table1[[#This Row],[HomeTeam]],Table1[[#This Row],[AwayTeam]]))</f>
        <v/>
      </c>
      <c r="U328" s="64">
        <f>Table1[[#This Row],[ActualAwayScore]]-Table1[[#This Row],[PredictedAwayScore]]</f>
        <v>0</v>
      </c>
      <c r="V328" s="64">
        <f>Table1[[#This Row],[ActualHomeScore]]-Table1[[#This Row],[PredictedHomeScore]]</f>
        <v>0</v>
      </c>
      <c r="W328" s="64">
        <f>(0.8*IF(Table1[[#This Row],[CorrectWinnerPrediction]]=1, 1, 0))+(0.1*IF(Table1[[#This Row],[CorrectAwayScorePrediction]]=1, 1, 0))+(0.1*IF(Table1[[#This Row],[CorrectHomeScorePrediction]]=1, 1, 0))</f>
        <v>0</v>
      </c>
      <c r="X32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28" s="64">
        <f>SUMIF(Table1[GameDate], Table1[[#This Row],[GameDate]], Table1[AwayGameGoalDiff])</f>
        <v>0</v>
      </c>
      <c r="AA328" s="64">
        <f>SUMIF(Table1[GameDate], Table1[[#This Row],[GameDate]], Table1[HomeGameGoalDiff])</f>
        <v>0</v>
      </c>
      <c r="AB328" s="64">
        <f>IF(ISBLANK(Table1[[#This Row],[ActualResult]]), 0, 1)</f>
        <v>0</v>
      </c>
      <c r="AC328" s="64">
        <f>IF(ISBLANK(Table1[[#This Row],[ActualResult]]), 0, IF(Table1[[#This Row],[ActualWinner]]=Table1[[#This Row],[PredictedWinner]], 1, 0))</f>
        <v>0</v>
      </c>
      <c r="AD32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2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28" s="64">
        <f>IF(AND(Table1[[#This Row],[GameIsOver]]=1,Table1[[#This Row],[ActualAwayScore]]=0), 1,0)</f>
        <v>0</v>
      </c>
      <c r="AG328" s="64">
        <f>IF(AND(Table1[[#This Row],[GameIsOver]]=1,Table1[[#This Row],[ActualHomeScore]]=0), 1,0)</f>
        <v>0</v>
      </c>
      <c r="AH328" s="64">
        <f>IF(Table1[[#This Row],[GameIsOver]]=0,0,IF(Table1[[#This Row],[ActualWinner]]=Table1[[#This Row],[AwayTeam]], 1, 0))</f>
        <v>0</v>
      </c>
      <c r="AI328" s="64">
        <f>IF(Table1[[#This Row],[GameIsOver]]=0,0,IF(Table1[[#This Row],[ActualWinner]]=Table1[[#This Row],[HomeTeam]], 1, 0))</f>
        <v>0</v>
      </c>
      <c r="AJ328" s="64">
        <f>IF(INDEX(Standings!$A$2:$C$33,MATCH(Table1[[#This Row],[AwayTeam]],Standings!$A$2:$A$33,0),2)=INDEX(Standings!$A$2:$C$33,MATCH(Table1[[#This Row],[HomeTeam]],Standings!$A$2:$A$33,0),2),1,0)</f>
        <v>0</v>
      </c>
      <c r="AK328" s="64">
        <f>IF(INDEX(Standings!$A$2:$C$33,MATCH(Table1[[#This Row],[AwayTeam]],Standings!$A$2:$A$33,0),3)=INDEX(Standings!$A$2:$C$33,MATCH(Table1[[#This Row],[HomeTeam]],Standings!$A$2:$A$33,0),3),1,0)</f>
        <v>0</v>
      </c>
      <c r="AL328" s="64">
        <f>IF(Table1[[#This Row],[InterConf]]=1,IF(Table1[[#This Row],[InterDiv]]=0, 1, 0), 0)</f>
        <v>0</v>
      </c>
      <c r="AM328" s="64">
        <f>IF(INDEX(Standings!$A$2:$C$33,MATCH(Table1[[#This Row],[AwayTeam]],Standings!$A$2:$A$33,0),2)&lt;&gt;INDEX(Standings!$A$2:$C$33,MATCH(Table1[[#This Row],[HomeTeam]],Standings!$A$2:$A$33,0),2),1,0)</f>
        <v>1</v>
      </c>
      <c r="AN328" s="64" t="str">
        <f>INDEX(Table2[AWAY_RECORD], MATCH(Table1[[#This Row],[AwayTeam]],Table2[Team], 0), 0)</f>
        <v>2-0-0</v>
      </c>
      <c r="AO328" s="64" t="str">
        <f>INDEX(Records!$B$2:$AG$33, MATCH(Table1[[#This Row],[AwayTeam]],Records!$A$2:$A$33, 0), MATCH(Table1[[#This Row],[HomeTeam]],Records!$A$2:$A$33, 0))</f>
        <v>0-0-0</v>
      </c>
      <c r="AP328" s="64" t="str">
        <f>INDEX(Table2[HOME_RECORD], MATCH(Table1[[#This Row],[HomeTeam]],Table2[Team], 0), 0)</f>
        <v>0-0-0</v>
      </c>
      <c r="AQ328" s="64" t="str">
        <f>INDEX(Records!$B$2:$AG$33, MATCH(Table1[[#This Row],[HomeTeam]],Records!$A$2:$A$33, 0), MATCH(Table1[[#This Row],[AwayTeam]],Records!$A$2:$A$33, 0))</f>
        <v>0-0-0</v>
      </c>
    </row>
    <row r="329" spans="1:43" x14ac:dyDescent="0.25">
      <c r="A329" s="1"/>
      <c r="D329" t="s">
        <v>555</v>
      </c>
      <c r="E329" t="s">
        <v>178</v>
      </c>
      <c r="F329" t="s">
        <v>560</v>
      </c>
      <c r="G329" t="s">
        <v>39</v>
      </c>
      <c r="H329" t="s">
        <v>36</v>
      </c>
      <c r="L32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2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29" s="1"/>
      <c r="T329" s="64" t="str">
        <f>IF(Table1[[#This Row],[ActualWinner]]="", "", IF(Table1[[#This Row],[AwayTeam]]=Table1[[#This Row],[ActualWinner]],Table1[[#This Row],[HomeTeam]],Table1[[#This Row],[AwayTeam]]))</f>
        <v/>
      </c>
      <c r="U329" s="64">
        <f>Table1[[#This Row],[ActualAwayScore]]-Table1[[#This Row],[PredictedAwayScore]]</f>
        <v>0</v>
      </c>
      <c r="V329" s="64">
        <f>Table1[[#This Row],[ActualHomeScore]]-Table1[[#This Row],[PredictedHomeScore]]</f>
        <v>0</v>
      </c>
      <c r="W329" s="64">
        <f>(0.8*IF(Table1[[#This Row],[CorrectWinnerPrediction]]=1, 1, 0))+(0.1*IF(Table1[[#This Row],[CorrectAwayScorePrediction]]=1, 1, 0))+(0.1*IF(Table1[[#This Row],[CorrectHomeScorePrediction]]=1, 1, 0))</f>
        <v>0</v>
      </c>
      <c r="X32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29" s="64">
        <f>SUMIF(Table1[GameDate], Table1[[#This Row],[GameDate]], Table1[AwayGameGoalDiff])</f>
        <v>0</v>
      </c>
      <c r="AA329" s="64">
        <f>SUMIF(Table1[GameDate], Table1[[#This Row],[GameDate]], Table1[HomeGameGoalDiff])</f>
        <v>0</v>
      </c>
      <c r="AB329" s="64">
        <f>IF(ISBLANK(Table1[[#This Row],[ActualResult]]), 0, 1)</f>
        <v>0</v>
      </c>
      <c r="AC329" s="64">
        <f>IF(ISBLANK(Table1[[#This Row],[ActualResult]]), 0, IF(Table1[[#This Row],[ActualWinner]]=Table1[[#This Row],[PredictedWinner]], 1, 0))</f>
        <v>0</v>
      </c>
      <c r="AD32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2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29" s="64">
        <f>IF(AND(Table1[[#This Row],[GameIsOver]]=1,Table1[[#This Row],[ActualAwayScore]]=0), 1,0)</f>
        <v>0</v>
      </c>
      <c r="AG329" s="64">
        <f>IF(AND(Table1[[#This Row],[GameIsOver]]=1,Table1[[#This Row],[ActualHomeScore]]=0), 1,0)</f>
        <v>0</v>
      </c>
      <c r="AH329" s="64">
        <f>IF(Table1[[#This Row],[GameIsOver]]=0,0,IF(Table1[[#This Row],[ActualWinner]]=Table1[[#This Row],[AwayTeam]], 1, 0))</f>
        <v>0</v>
      </c>
      <c r="AI329" s="64">
        <f>IF(Table1[[#This Row],[GameIsOver]]=0,0,IF(Table1[[#This Row],[ActualWinner]]=Table1[[#This Row],[HomeTeam]], 1, 0))</f>
        <v>0</v>
      </c>
      <c r="AJ329" s="64">
        <f>IF(INDEX(Standings!$A$2:$C$33,MATCH(Table1[[#This Row],[AwayTeam]],Standings!$A$2:$A$33,0),2)=INDEX(Standings!$A$2:$C$33,MATCH(Table1[[#This Row],[HomeTeam]],Standings!$A$2:$A$33,0),2),1,0)</f>
        <v>1</v>
      </c>
      <c r="AK329" s="64">
        <f>IF(INDEX(Standings!$A$2:$C$33,MATCH(Table1[[#This Row],[AwayTeam]],Standings!$A$2:$A$33,0),3)=INDEX(Standings!$A$2:$C$33,MATCH(Table1[[#This Row],[HomeTeam]],Standings!$A$2:$A$33,0),3),1,0)</f>
        <v>1</v>
      </c>
      <c r="AL329" s="64">
        <f>IF(Table1[[#This Row],[InterConf]]=1,IF(Table1[[#This Row],[InterDiv]]=0, 1, 0), 0)</f>
        <v>0</v>
      </c>
      <c r="AM329" s="64">
        <f>IF(INDEX(Standings!$A$2:$C$33,MATCH(Table1[[#This Row],[AwayTeam]],Standings!$A$2:$A$33,0),2)&lt;&gt;INDEX(Standings!$A$2:$C$33,MATCH(Table1[[#This Row],[HomeTeam]],Standings!$A$2:$A$33,0),2),1,0)</f>
        <v>0</v>
      </c>
      <c r="AN329" s="64" t="str">
        <f>INDEX(Table2[AWAY_RECORD], MATCH(Table1[[#This Row],[AwayTeam]],Table2[Team], 0), 0)</f>
        <v>0-0-0</v>
      </c>
      <c r="AO329" s="64" t="str">
        <f>INDEX(Records!$B$2:$AG$33, MATCH(Table1[[#This Row],[AwayTeam]],Records!$A$2:$A$33, 0), MATCH(Table1[[#This Row],[HomeTeam]],Records!$A$2:$A$33, 0))</f>
        <v>0-0-0</v>
      </c>
      <c r="AP329" s="64" t="str">
        <f>INDEX(Table2[HOME_RECORD], MATCH(Table1[[#This Row],[HomeTeam]],Table2[Team], 0), 0)</f>
        <v>0-0-0</v>
      </c>
      <c r="AQ329" s="64" t="str">
        <f>INDEX(Records!$B$2:$AG$33, MATCH(Table1[[#This Row],[HomeTeam]],Records!$A$2:$A$33, 0), MATCH(Table1[[#This Row],[AwayTeam]],Records!$A$2:$A$33, 0))</f>
        <v>0-0-0</v>
      </c>
    </row>
    <row r="330" spans="1:43" x14ac:dyDescent="0.25">
      <c r="A330" s="1"/>
      <c r="D330" t="s">
        <v>555</v>
      </c>
      <c r="E330" t="s">
        <v>164</v>
      </c>
      <c r="F330" t="s">
        <v>561</v>
      </c>
      <c r="G330" t="s">
        <v>23</v>
      </c>
      <c r="H330" t="s">
        <v>25</v>
      </c>
      <c r="L33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3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30" s="1"/>
      <c r="T330" s="64" t="str">
        <f>IF(Table1[[#This Row],[ActualWinner]]="", "", IF(Table1[[#This Row],[AwayTeam]]=Table1[[#This Row],[ActualWinner]],Table1[[#This Row],[HomeTeam]],Table1[[#This Row],[AwayTeam]]))</f>
        <v/>
      </c>
      <c r="U330" s="64">
        <f>Table1[[#This Row],[ActualAwayScore]]-Table1[[#This Row],[PredictedAwayScore]]</f>
        <v>0</v>
      </c>
      <c r="V330" s="64">
        <f>Table1[[#This Row],[ActualHomeScore]]-Table1[[#This Row],[PredictedHomeScore]]</f>
        <v>0</v>
      </c>
      <c r="W330" s="64">
        <f>(0.8*IF(Table1[[#This Row],[CorrectWinnerPrediction]]=1, 1, 0))+(0.1*IF(Table1[[#This Row],[CorrectAwayScorePrediction]]=1, 1, 0))+(0.1*IF(Table1[[#This Row],[CorrectHomeScorePrediction]]=1, 1, 0))</f>
        <v>0</v>
      </c>
      <c r="X33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30" s="64">
        <f>SUMIF(Table1[GameDate], Table1[[#This Row],[GameDate]], Table1[AwayGameGoalDiff])</f>
        <v>0</v>
      </c>
      <c r="AA330" s="64">
        <f>SUMIF(Table1[GameDate], Table1[[#This Row],[GameDate]], Table1[HomeGameGoalDiff])</f>
        <v>0</v>
      </c>
      <c r="AB330" s="64">
        <f>IF(ISBLANK(Table1[[#This Row],[ActualResult]]), 0, 1)</f>
        <v>0</v>
      </c>
      <c r="AC330" s="64">
        <f>IF(ISBLANK(Table1[[#This Row],[ActualResult]]), 0, IF(Table1[[#This Row],[ActualWinner]]=Table1[[#This Row],[PredictedWinner]], 1, 0))</f>
        <v>0</v>
      </c>
      <c r="AD33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3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30" s="64">
        <f>IF(AND(Table1[[#This Row],[GameIsOver]]=1,Table1[[#This Row],[ActualAwayScore]]=0), 1,0)</f>
        <v>0</v>
      </c>
      <c r="AG330" s="64">
        <f>IF(AND(Table1[[#This Row],[GameIsOver]]=1,Table1[[#This Row],[ActualHomeScore]]=0), 1,0)</f>
        <v>0</v>
      </c>
      <c r="AH330" s="64">
        <f>IF(Table1[[#This Row],[GameIsOver]]=0,0,IF(Table1[[#This Row],[ActualWinner]]=Table1[[#This Row],[AwayTeam]], 1, 0))</f>
        <v>0</v>
      </c>
      <c r="AI330" s="64">
        <f>IF(Table1[[#This Row],[GameIsOver]]=0,0,IF(Table1[[#This Row],[ActualWinner]]=Table1[[#This Row],[HomeTeam]], 1, 0))</f>
        <v>0</v>
      </c>
      <c r="AJ330" s="64">
        <f>IF(INDEX(Standings!$A$2:$C$33,MATCH(Table1[[#This Row],[AwayTeam]],Standings!$A$2:$A$33,0),2)=INDEX(Standings!$A$2:$C$33,MATCH(Table1[[#This Row],[HomeTeam]],Standings!$A$2:$A$33,0),2),1,0)</f>
        <v>1</v>
      </c>
      <c r="AK330" s="64">
        <f>IF(INDEX(Standings!$A$2:$C$33,MATCH(Table1[[#This Row],[AwayTeam]],Standings!$A$2:$A$33,0),3)=INDEX(Standings!$A$2:$C$33,MATCH(Table1[[#This Row],[HomeTeam]],Standings!$A$2:$A$33,0),3),1,0)</f>
        <v>1</v>
      </c>
      <c r="AL330" s="64">
        <f>IF(Table1[[#This Row],[InterConf]]=1,IF(Table1[[#This Row],[InterDiv]]=0, 1, 0), 0)</f>
        <v>0</v>
      </c>
      <c r="AM330" s="64">
        <f>IF(INDEX(Standings!$A$2:$C$33,MATCH(Table1[[#This Row],[AwayTeam]],Standings!$A$2:$A$33,0),2)&lt;&gt;INDEX(Standings!$A$2:$C$33,MATCH(Table1[[#This Row],[HomeTeam]],Standings!$A$2:$A$33,0),2),1,0)</f>
        <v>0</v>
      </c>
      <c r="AN330" s="64" t="str">
        <f>INDEX(Table2[AWAY_RECORD], MATCH(Table1[[#This Row],[AwayTeam]],Table2[Team], 0), 0)</f>
        <v>0-0-1</v>
      </c>
      <c r="AO330" s="64" t="str">
        <f>INDEX(Records!$B$2:$AG$33, MATCH(Table1[[#This Row],[AwayTeam]],Records!$A$2:$A$33, 0), MATCH(Table1[[#This Row],[HomeTeam]],Records!$A$2:$A$33, 0))</f>
        <v>0-0-0</v>
      </c>
      <c r="AP330" s="64" t="str">
        <f>INDEX(Table2[HOME_RECORD], MATCH(Table1[[#This Row],[HomeTeam]],Table2[Team], 0), 0)</f>
        <v>0-0-1</v>
      </c>
      <c r="AQ330" s="64" t="str">
        <f>INDEX(Records!$B$2:$AG$33, MATCH(Table1[[#This Row],[HomeTeam]],Records!$A$2:$A$33, 0), MATCH(Table1[[#This Row],[AwayTeam]],Records!$A$2:$A$33, 0))</f>
        <v>0-0-0</v>
      </c>
    </row>
    <row r="331" spans="1:43" x14ac:dyDescent="0.25">
      <c r="A331" s="1"/>
      <c r="D331" t="s">
        <v>555</v>
      </c>
      <c r="E331" t="s">
        <v>164</v>
      </c>
      <c r="F331" t="s">
        <v>562</v>
      </c>
      <c r="G331" t="s">
        <v>48</v>
      </c>
      <c r="H331" t="s">
        <v>55</v>
      </c>
      <c r="L33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3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31" s="1"/>
      <c r="T331" s="64" t="str">
        <f>IF(Table1[[#This Row],[ActualWinner]]="", "", IF(Table1[[#This Row],[AwayTeam]]=Table1[[#This Row],[ActualWinner]],Table1[[#This Row],[HomeTeam]],Table1[[#This Row],[AwayTeam]]))</f>
        <v/>
      </c>
      <c r="U331" s="64">
        <f>Table1[[#This Row],[ActualAwayScore]]-Table1[[#This Row],[PredictedAwayScore]]</f>
        <v>0</v>
      </c>
      <c r="V331" s="64">
        <f>Table1[[#This Row],[ActualHomeScore]]-Table1[[#This Row],[PredictedHomeScore]]</f>
        <v>0</v>
      </c>
      <c r="W331" s="64">
        <f>(0.8*IF(Table1[[#This Row],[CorrectWinnerPrediction]]=1, 1, 0))+(0.1*IF(Table1[[#This Row],[CorrectAwayScorePrediction]]=1, 1, 0))+(0.1*IF(Table1[[#This Row],[CorrectHomeScorePrediction]]=1, 1, 0))</f>
        <v>0</v>
      </c>
      <c r="X33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31" s="64">
        <f>SUMIF(Table1[GameDate], Table1[[#This Row],[GameDate]], Table1[AwayGameGoalDiff])</f>
        <v>0</v>
      </c>
      <c r="AA331" s="64">
        <f>SUMIF(Table1[GameDate], Table1[[#This Row],[GameDate]], Table1[HomeGameGoalDiff])</f>
        <v>0</v>
      </c>
      <c r="AB331" s="64">
        <f>IF(ISBLANK(Table1[[#This Row],[ActualResult]]), 0, 1)</f>
        <v>0</v>
      </c>
      <c r="AC331" s="64">
        <f>IF(ISBLANK(Table1[[#This Row],[ActualResult]]), 0, IF(Table1[[#This Row],[ActualWinner]]=Table1[[#This Row],[PredictedWinner]], 1, 0))</f>
        <v>0</v>
      </c>
      <c r="AD33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3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31" s="64">
        <f>IF(AND(Table1[[#This Row],[GameIsOver]]=1,Table1[[#This Row],[ActualAwayScore]]=0), 1,0)</f>
        <v>0</v>
      </c>
      <c r="AG331" s="64">
        <f>IF(AND(Table1[[#This Row],[GameIsOver]]=1,Table1[[#This Row],[ActualHomeScore]]=0), 1,0)</f>
        <v>0</v>
      </c>
      <c r="AH331" s="64">
        <f>IF(Table1[[#This Row],[GameIsOver]]=0,0,IF(Table1[[#This Row],[ActualWinner]]=Table1[[#This Row],[AwayTeam]], 1, 0))</f>
        <v>0</v>
      </c>
      <c r="AI331" s="64">
        <f>IF(Table1[[#This Row],[GameIsOver]]=0,0,IF(Table1[[#This Row],[ActualWinner]]=Table1[[#This Row],[HomeTeam]], 1, 0))</f>
        <v>0</v>
      </c>
      <c r="AJ331" s="64">
        <f>IF(INDEX(Standings!$A$2:$C$33,MATCH(Table1[[#This Row],[AwayTeam]],Standings!$A$2:$A$33,0),2)=INDEX(Standings!$A$2:$C$33,MATCH(Table1[[#This Row],[HomeTeam]],Standings!$A$2:$A$33,0),2),1,0)</f>
        <v>1</v>
      </c>
      <c r="AK331" s="64">
        <f>IF(INDEX(Standings!$A$2:$C$33,MATCH(Table1[[#This Row],[AwayTeam]],Standings!$A$2:$A$33,0),3)=INDEX(Standings!$A$2:$C$33,MATCH(Table1[[#This Row],[HomeTeam]],Standings!$A$2:$A$33,0),3),1,0)</f>
        <v>0</v>
      </c>
      <c r="AL331" s="64">
        <f>IF(Table1[[#This Row],[InterConf]]=1,IF(Table1[[#This Row],[InterDiv]]=0, 1, 0), 0)</f>
        <v>1</v>
      </c>
      <c r="AM331" s="64">
        <f>IF(INDEX(Standings!$A$2:$C$33,MATCH(Table1[[#This Row],[AwayTeam]],Standings!$A$2:$A$33,0),2)&lt;&gt;INDEX(Standings!$A$2:$C$33,MATCH(Table1[[#This Row],[HomeTeam]],Standings!$A$2:$A$33,0),2),1,0)</f>
        <v>0</v>
      </c>
      <c r="AN331" s="64" t="str">
        <f>INDEX(Table2[AWAY_RECORD], MATCH(Table1[[#This Row],[AwayTeam]],Table2[Team], 0), 0)</f>
        <v>0-0-0</v>
      </c>
      <c r="AO331" s="64" t="str">
        <f>INDEX(Records!$B$2:$AG$33, MATCH(Table1[[#This Row],[AwayTeam]],Records!$A$2:$A$33, 0), MATCH(Table1[[#This Row],[HomeTeam]],Records!$A$2:$A$33, 0))</f>
        <v>0-0-0</v>
      </c>
      <c r="AP331" s="64" t="str">
        <f>INDEX(Table2[HOME_RECORD], MATCH(Table1[[#This Row],[HomeTeam]],Table2[Team], 0), 0)</f>
        <v>0-1-0</v>
      </c>
      <c r="AQ331" s="64" t="str">
        <f>INDEX(Records!$B$2:$AG$33, MATCH(Table1[[#This Row],[HomeTeam]],Records!$A$2:$A$33, 0), MATCH(Table1[[#This Row],[AwayTeam]],Records!$A$2:$A$33, 0))</f>
        <v>0-0-0</v>
      </c>
    </row>
    <row r="332" spans="1:43" x14ac:dyDescent="0.25">
      <c r="A332" s="1"/>
      <c r="D332" t="s">
        <v>563</v>
      </c>
      <c r="E332" t="s">
        <v>289</v>
      </c>
      <c r="F332" t="s">
        <v>564</v>
      </c>
      <c r="G332" t="s">
        <v>47</v>
      </c>
      <c r="H332" t="s">
        <v>51</v>
      </c>
      <c r="L33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3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32" s="1"/>
      <c r="T332" s="64" t="str">
        <f>IF(Table1[[#This Row],[ActualWinner]]="", "", IF(Table1[[#This Row],[AwayTeam]]=Table1[[#This Row],[ActualWinner]],Table1[[#This Row],[HomeTeam]],Table1[[#This Row],[AwayTeam]]))</f>
        <v/>
      </c>
      <c r="U332" s="64">
        <f>Table1[[#This Row],[ActualAwayScore]]-Table1[[#This Row],[PredictedAwayScore]]</f>
        <v>0</v>
      </c>
      <c r="V332" s="64">
        <f>Table1[[#This Row],[ActualHomeScore]]-Table1[[#This Row],[PredictedHomeScore]]</f>
        <v>0</v>
      </c>
      <c r="W332" s="64">
        <f>(0.8*IF(Table1[[#This Row],[CorrectWinnerPrediction]]=1, 1, 0))+(0.1*IF(Table1[[#This Row],[CorrectAwayScorePrediction]]=1, 1, 0))+(0.1*IF(Table1[[#This Row],[CorrectHomeScorePrediction]]=1, 1, 0))</f>
        <v>0</v>
      </c>
      <c r="X33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32" s="64">
        <f>SUMIF(Table1[GameDate], Table1[[#This Row],[GameDate]], Table1[AwayGameGoalDiff])</f>
        <v>0</v>
      </c>
      <c r="AA332" s="64">
        <f>SUMIF(Table1[GameDate], Table1[[#This Row],[GameDate]], Table1[HomeGameGoalDiff])</f>
        <v>0</v>
      </c>
      <c r="AB332" s="64">
        <f>IF(ISBLANK(Table1[[#This Row],[ActualResult]]), 0, 1)</f>
        <v>0</v>
      </c>
      <c r="AC332" s="64">
        <f>IF(ISBLANK(Table1[[#This Row],[ActualResult]]), 0, IF(Table1[[#This Row],[ActualWinner]]=Table1[[#This Row],[PredictedWinner]], 1, 0))</f>
        <v>0</v>
      </c>
      <c r="AD33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3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32" s="64">
        <f>IF(AND(Table1[[#This Row],[GameIsOver]]=1,Table1[[#This Row],[ActualAwayScore]]=0), 1,0)</f>
        <v>0</v>
      </c>
      <c r="AG332" s="64">
        <f>IF(AND(Table1[[#This Row],[GameIsOver]]=1,Table1[[#This Row],[ActualHomeScore]]=0), 1,0)</f>
        <v>0</v>
      </c>
      <c r="AH332" s="64">
        <f>IF(Table1[[#This Row],[GameIsOver]]=0,0,IF(Table1[[#This Row],[ActualWinner]]=Table1[[#This Row],[AwayTeam]], 1, 0))</f>
        <v>0</v>
      </c>
      <c r="AI332" s="64">
        <f>IF(Table1[[#This Row],[GameIsOver]]=0,0,IF(Table1[[#This Row],[ActualWinner]]=Table1[[#This Row],[HomeTeam]], 1, 0))</f>
        <v>0</v>
      </c>
      <c r="AJ332" s="64">
        <f>IF(INDEX(Standings!$A$2:$C$33,MATCH(Table1[[#This Row],[AwayTeam]],Standings!$A$2:$A$33,0),2)=INDEX(Standings!$A$2:$C$33,MATCH(Table1[[#This Row],[HomeTeam]],Standings!$A$2:$A$33,0),2),1,0)</f>
        <v>1</v>
      </c>
      <c r="AK332" s="64">
        <f>IF(INDEX(Standings!$A$2:$C$33,MATCH(Table1[[#This Row],[AwayTeam]],Standings!$A$2:$A$33,0),3)=INDEX(Standings!$A$2:$C$33,MATCH(Table1[[#This Row],[HomeTeam]],Standings!$A$2:$A$33,0),3),1,0)</f>
        <v>0</v>
      </c>
      <c r="AL332" s="64">
        <f>IF(Table1[[#This Row],[InterConf]]=1,IF(Table1[[#This Row],[InterDiv]]=0, 1, 0), 0)</f>
        <v>1</v>
      </c>
      <c r="AM332" s="64">
        <f>IF(INDEX(Standings!$A$2:$C$33,MATCH(Table1[[#This Row],[AwayTeam]],Standings!$A$2:$A$33,0),2)&lt;&gt;INDEX(Standings!$A$2:$C$33,MATCH(Table1[[#This Row],[HomeTeam]],Standings!$A$2:$A$33,0),2),1,0)</f>
        <v>0</v>
      </c>
      <c r="AN332" s="64" t="str">
        <f>INDEX(Table2[AWAY_RECORD], MATCH(Table1[[#This Row],[AwayTeam]],Table2[Team], 0), 0)</f>
        <v>1-0-0</v>
      </c>
      <c r="AO332" s="64" t="str">
        <f>INDEX(Records!$B$2:$AG$33, MATCH(Table1[[#This Row],[AwayTeam]],Records!$A$2:$A$33, 0), MATCH(Table1[[#This Row],[HomeTeam]],Records!$A$2:$A$33, 0))</f>
        <v>0-0-0</v>
      </c>
      <c r="AP332" s="64" t="str">
        <f>INDEX(Table2[HOME_RECORD], MATCH(Table1[[#This Row],[HomeTeam]],Table2[Team], 0), 0)</f>
        <v>1-0-0</v>
      </c>
      <c r="AQ332" s="64" t="str">
        <f>INDEX(Records!$B$2:$AG$33, MATCH(Table1[[#This Row],[HomeTeam]],Records!$A$2:$A$33, 0), MATCH(Table1[[#This Row],[AwayTeam]],Records!$A$2:$A$33, 0))</f>
        <v>0-0-0</v>
      </c>
    </row>
    <row r="333" spans="1:43" x14ac:dyDescent="0.25">
      <c r="A333" s="1"/>
      <c r="D333" t="s">
        <v>563</v>
      </c>
      <c r="E333" t="s">
        <v>166</v>
      </c>
      <c r="F333" t="s">
        <v>565</v>
      </c>
      <c r="G333" t="s">
        <v>23</v>
      </c>
      <c r="H333" t="s">
        <v>58</v>
      </c>
      <c r="L33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3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33" s="1"/>
      <c r="T333" s="64" t="str">
        <f>IF(Table1[[#This Row],[ActualWinner]]="", "", IF(Table1[[#This Row],[AwayTeam]]=Table1[[#This Row],[ActualWinner]],Table1[[#This Row],[HomeTeam]],Table1[[#This Row],[AwayTeam]]))</f>
        <v/>
      </c>
      <c r="U333" s="64">
        <f>Table1[[#This Row],[ActualAwayScore]]-Table1[[#This Row],[PredictedAwayScore]]</f>
        <v>0</v>
      </c>
      <c r="V333" s="64">
        <f>Table1[[#This Row],[ActualHomeScore]]-Table1[[#This Row],[PredictedHomeScore]]</f>
        <v>0</v>
      </c>
      <c r="W333" s="64">
        <f>(0.8*IF(Table1[[#This Row],[CorrectWinnerPrediction]]=1, 1, 0))+(0.1*IF(Table1[[#This Row],[CorrectAwayScorePrediction]]=1, 1, 0))+(0.1*IF(Table1[[#This Row],[CorrectHomeScorePrediction]]=1, 1, 0))</f>
        <v>0</v>
      </c>
      <c r="X33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33" s="64">
        <f>SUMIF(Table1[GameDate], Table1[[#This Row],[GameDate]], Table1[AwayGameGoalDiff])</f>
        <v>0</v>
      </c>
      <c r="AA333" s="64">
        <f>SUMIF(Table1[GameDate], Table1[[#This Row],[GameDate]], Table1[HomeGameGoalDiff])</f>
        <v>0</v>
      </c>
      <c r="AB333" s="64">
        <f>IF(ISBLANK(Table1[[#This Row],[ActualResult]]), 0, 1)</f>
        <v>0</v>
      </c>
      <c r="AC333" s="64">
        <f>IF(ISBLANK(Table1[[#This Row],[ActualResult]]), 0, IF(Table1[[#This Row],[ActualWinner]]=Table1[[#This Row],[PredictedWinner]], 1, 0))</f>
        <v>0</v>
      </c>
      <c r="AD33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3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33" s="64">
        <f>IF(AND(Table1[[#This Row],[GameIsOver]]=1,Table1[[#This Row],[ActualAwayScore]]=0), 1,0)</f>
        <v>0</v>
      </c>
      <c r="AG333" s="64">
        <f>IF(AND(Table1[[#This Row],[GameIsOver]]=1,Table1[[#This Row],[ActualHomeScore]]=0), 1,0)</f>
        <v>0</v>
      </c>
      <c r="AH333" s="64">
        <f>IF(Table1[[#This Row],[GameIsOver]]=0,0,IF(Table1[[#This Row],[ActualWinner]]=Table1[[#This Row],[AwayTeam]], 1, 0))</f>
        <v>0</v>
      </c>
      <c r="AI333" s="64">
        <f>IF(Table1[[#This Row],[GameIsOver]]=0,0,IF(Table1[[#This Row],[ActualWinner]]=Table1[[#This Row],[HomeTeam]], 1, 0))</f>
        <v>0</v>
      </c>
      <c r="AJ333" s="64">
        <f>IF(INDEX(Standings!$A$2:$C$33,MATCH(Table1[[#This Row],[AwayTeam]],Standings!$A$2:$A$33,0),2)=INDEX(Standings!$A$2:$C$33,MATCH(Table1[[#This Row],[HomeTeam]],Standings!$A$2:$A$33,0),2),1,0)</f>
        <v>1</v>
      </c>
      <c r="AK333" s="64">
        <f>IF(INDEX(Standings!$A$2:$C$33,MATCH(Table1[[#This Row],[AwayTeam]],Standings!$A$2:$A$33,0),3)=INDEX(Standings!$A$2:$C$33,MATCH(Table1[[#This Row],[HomeTeam]],Standings!$A$2:$A$33,0),3),1,0)</f>
        <v>0</v>
      </c>
      <c r="AL333" s="64">
        <f>IF(Table1[[#This Row],[InterConf]]=1,IF(Table1[[#This Row],[InterDiv]]=0, 1, 0), 0)</f>
        <v>1</v>
      </c>
      <c r="AM333" s="64">
        <f>IF(INDEX(Standings!$A$2:$C$33,MATCH(Table1[[#This Row],[AwayTeam]],Standings!$A$2:$A$33,0),2)&lt;&gt;INDEX(Standings!$A$2:$C$33,MATCH(Table1[[#This Row],[HomeTeam]],Standings!$A$2:$A$33,0),2),1,0)</f>
        <v>0</v>
      </c>
      <c r="AN333" s="64" t="str">
        <f>INDEX(Table2[AWAY_RECORD], MATCH(Table1[[#This Row],[AwayTeam]],Table2[Team], 0), 0)</f>
        <v>0-0-1</v>
      </c>
      <c r="AO333" s="64" t="str">
        <f>INDEX(Records!$B$2:$AG$33, MATCH(Table1[[#This Row],[AwayTeam]],Records!$A$2:$A$33, 0), MATCH(Table1[[#This Row],[HomeTeam]],Records!$A$2:$A$33, 0))</f>
        <v>0-0-0</v>
      </c>
      <c r="AP333" s="64" t="str">
        <f>INDEX(Table2[HOME_RECORD], MATCH(Table1[[#This Row],[HomeTeam]],Table2[Team], 0), 0)</f>
        <v>1-0-0</v>
      </c>
      <c r="AQ333" s="64" t="str">
        <f>INDEX(Records!$B$2:$AG$33, MATCH(Table1[[#This Row],[HomeTeam]],Records!$A$2:$A$33, 0), MATCH(Table1[[#This Row],[AwayTeam]],Records!$A$2:$A$33, 0))</f>
        <v>0-0-0</v>
      </c>
    </row>
    <row r="334" spans="1:43" x14ac:dyDescent="0.25">
      <c r="A334" s="1"/>
      <c r="D334" t="s">
        <v>566</v>
      </c>
      <c r="E334" t="s">
        <v>162</v>
      </c>
      <c r="F334" t="s">
        <v>567</v>
      </c>
      <c r="G334" t="s">
        <v>46</v>
      </c>
      <c r="H334" t="s">
        <v>37</v>
      </c>
      <c r="L33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3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34" s="1"/>
      <c r="T334" s="64" t="str">
        <f>IF(Table1[[#This Row],[ActualWinner]]="", "", IF(Table1[[#This Row],[AwayTeam]]=Table1[[#This Row],[ActualWinner]],Table1[[#This Row],[HomeTeam]],Table1[[#This Row],[AwayTeam]]))</f>
        <v/>
      </c>
      <c r="U334" s="64">
        <f>Table1[[#This Row],[ActualAwayScore]]-Table1[[#This Row],[PredictedAwayScore]]</f>
        <v>0</v>
      </c>
      <c r="V334" s="64">
        <f>Table1[[#This Row],[ActualHomeScore]]-Table1[[#This Row],[PredictedHomeScore]]</f>
        <v>0</v>
      </c>
      <c r="W334" s="64">
        <f>(0.8*IF(Table1[[#This Row],[CorrectWinnerPrediction]]=1, 1, 0))+(0.1*IF(Table1[[#This Row],[CorrectAwayScorePrediction]]=1, 1, 0))+(0.1*IF(Table1[[#This Row],[CorrectHomeScorePrediction]]=1, 1, 0))</f>
        <v>0</v>
      </c>
      <c r="X33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34" s="64">
        <f>SUMIF(Table1[GameDate], Table1[[#This Row],[GameDate]], Table1[AwayGameGoalDiff])</f>
        <v>0</v>
      </c>
      <c r="AA334" s="64">
        <f>SUMIF(Table1[GameDate], Table1[[#This Row],[GameDate]], Table1[HomeGameGoalDiff])</f>
        <v>0</v>
      </c>
      <c r="AB334" s="64">
        <f>IF(ISBLANK(Table1[[#This Row],[ActualResult]]), 0, 1)</f>
        <v>0</v>
      </c>
      <c r="AC334" s="64">
        <f>IF(ISBLANK(Table1[[#This Row],[ActualResult]]), 0, IF(Table1[[#This Row],[ActualWinner]]=Table1[[#This Row],[PredictedWinner]], 1, 0))</f>
        <v>0</v>
      </c>
      <c r="AD33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3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34" s="64">
        <f>IF(AND(Table1[[#This Row],[GameIsOver]]=1,Table1[[#This Row],[ActualAwayScore]]=0), 1,0)</f>
        <v>0</v>
      </c>
      <c r="AG334" s="64">
        <f>IF(AND(Table1[[#This Row],[GameIsOver]]=1,Table1[[#This Row],[ActualHomeScore]]=0), 1,0)</f>
        <v>0</v>
      </c>
      <c r="AH334" s="64">
        <f>IF(Table1[[#This Row],[GameIsOver]]=0,0,IF(Table1[[#This Row],[ActualWinner]]=Table1[[#This Row],[AwayTeam]], 1, 0))</f>
        <v>0</v>
      </c>
      <c r="AI334" s="64">
        <f>IF(Table1[[#This Row],[GameIsOver]]=0,0,IF(Table1[[#This Row],[ActualWinner]]=Table1[[#This Row],[HomeTeam]], 1, 0))</f>
        <v>0</v>
      </c>
      <c r="AJ334" s="64">
        <f>IF(INDEX(Standings!$A$2:$C$33,MATCH(Table1[[#This Row],[AwayTeam]],Standings!$A$2:$A$33,0),2)=INDEX(Standings!$A$2:$C$33,MATCH(Table1[[#This Row],[HomeTeam]],Standings!$A$2:$A$33,0),2),1,0)</f>
        <v>0</v>
      </c>
      <c r="AK334" s="64">
        <f>IF(INDEX(Standings!$A$2:$C$33,MATCH(Table1[[#This Row],[AwayTeam]],Standings!$A$2:$A$33,0),3)=INDEX(Standings!$A$2:$C$33,MATCH(Table1[[#This Row],[HomeTeam]],Standings!$A$2:$A$33,0),3),1,0)</f>
        <v>0</v>
      </c>
      <c r="AL334" s="64">
        <f>IF(Table1[[#This Row],[InterConf]]=1,IF(Table1[[#This Row],[InterDiv]]=0, 1, 0), 0)</f>
        <v>0</v>
      </c>
      <c r="AM334" s="64">
        <f>IF(INDEX(Standings!$A$2:$C$33,MATCH(Table1[[#This Row],[AwayTeam]],Standings!$A$2:$A$33,0),2)&lt;&gt;INDEX(Standings!$A$2:$C$33,MATCH(Table1[[#This Row],[HomeTeam]],Standings!$A$2:$A$33,0),2),1,0)</f>
        <v>1</v>
      </c>
      <c r="AN334" s="64" t="str">
        <f>INDEX(Table2[AWAY_RECORD], MATCH(Table1[[#This Row],[AwayTeam]],Table2[Team], 0), 0)</f>
        <v>1-0-0</v>
      </c>
      <c r="AO334" s="64" t="str">
        <f>INDEX(Records!$B$2:$AG$33, MATCH(Table1[[#This Row],[AwayTeam]],Records!$A$2:$A$33, 0), MATCH(Table1[[#This Row],[HomeTeam]],Records!$A$2:$A$33, 0))</f>
        <v>0-0-0</v>
      </c>
      <c r="AP334" s="64" t="str">
        <f>INDEX(Table2[HOME_RECORD], MATCH(Table1[[#This Row],[HomeTeam]],Table2[Team], 0), 0)</f>
        <v>0-1-0</v>
      </c>
      <c r="AQ334" s="64" t="str">
        <f>INDEX(Records!$B$2:$AG$33, MATCH(Table1[[#This Row],[HomeTeam]],Records!$A$2:$A$33, 0), MATCH(Table1[[#This Row],[AwayTeam]],Records!$A$2:$A$33, 0))</f>
        <v>0-0-0</v>
      </c>
    </row>
    <row r="335" spans="1:43" x14ac:dyDescent="0.25">
      <c r="A335" s="1"/>
      <c r="D335" t="s">
        <v>566</v>
      </c>
      <c r="E335" t="s">
        <v>162</v>
      </c>
      <c r="F335" t="s">
        <v>568</v>
      </c>
      <c r="G335" t="s">
        <v>59</v>
      </c>
      <c r="H335" t="s">
        <v>57</v>
      </c>
      <c r="L33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3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35" s="1"/>
      <c r="T335" s="64" t="str">
        <f>IF(Table1[[#This Row],[ActualWinner]]="", "", IF(Table1[[#This Row],[AwayTeam]]=Table1[[#This Row],[ActualWinner]],Table1[[#This Row],[HomeTeam]],Table1[[#This Row],[AwayTeam]]))</f>
        <v/>
      </c>
      <c r="U335" s="64">
        <f>Table1[[#This Row],[ActualAwayScore]]-Table1[[#This Row],[PredictedAwayScore]]</f>
        <v>0</v>
      </c>
      <c r="V335" s="64">
        <f>Table1[[#This Row],[ActualHomeScore]]-Table1[[#This Row],[PredictedHomeScore]]</f>
        <v>0</v>
      </c>
      <c r="W335" s="64">
        <f>(0.8*IF(Table1[[#This Row],[CorrectWinnerPrediction]]=1, 1, 0))+(0.1*IF(Table1[[#This Row],[CorrectAwayScorePrediction]]=1, 1, 0))+(0.1*IF(Table1[[#This Row],[CorrectHomeScorePrediction]]=1, 1, 0))</f>
        <v>0</v>
      </c>
      <c r="X33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35" s="64">
        <f>SUMIF(Table1[GameDate], Table1[[#This Row],[GameDate]], Table1[AwayGameGoalDiff])</f>
        <v>0</v>
      </c>
      <c r="AA335" s="64">
        <f>SUMIF(Table1[GameDate], Table1[[#This Row],[GameDate]], Table1[HomeGameGoalDiff])</f>
        <v>0</v>
      </c>
      <c r="AB335" s="64">
        <f>IF(ISBLANK(Table1[[#This Row],[ActualResult]]), 0, 1)</f>
        <v>0</v>
      </c>
      <c r="AC335" s="64">
        <f>IF(ISBLANK(Table1[[#This Row],[ActualResult]]), 0, IF(Table1[[#This Row],[ActualWinner]]=Table1[[#This Row],[PredictedWinner]], 1, 0))</f>
        <v>0</v>
      </c>
      <c r="AD33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3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35" s="64">
        <f>IF(AND(Table1[[#This Row],[GameIsOver]]=1,Table1[[#This Row],[ActualAwayScore]]=0), 1,0)</f>
        <v>0</v>
      </c>
      <c r="AG335" s="64">
        <f>IF(AND(Table1[[#This Row],[GameIsOver]]=1,Table1[[#This Row],[ActualHomeScore]]=0), 1,0)</f>
        <v>0</v>
      </c>
      <c r="AH335" s="64">
        <f>IF(Table1[[#This Row],[GameIsOver]]=0,0,IF(Table1[[#This Row],[ActualWinner]]=Table1[[#This Row],[AwayTeam]], 1, 0))</f>
        <v>0</v>
      </c>
      <c r="AI335" s="64">
        <f>IF(Table1[[#This Row],[GameIsOver]]=0,0,IF(Table1[[#This Row],[ActualWinner]]=Table1[[#This Row],[HomeTeam]], 1, 0))</f>
        <v>0</v>
      </c>
      <c r="AJ335" s="64">
        <f>IF(INDEX(Standings!$A$2:$C$33,MATCH(Table1[[#This Row],[AwayTeam]],Standings!$A$2:$A$33,0),2)=INDEX(Standings!$A$2:$C$33,MATCH(Table1[[#This Row],[HomeTeam]],Standings!$A$2:$A$33,0),2),1,0)</f>
        <v>1</v>
      </c>
      <c r="AK335" s="64">
        <f>IF(INDEX(Standings!$A$2:$C$33,MATCH(Table1[[#This Row],[AwayTeam]],Standings!$A$2:$A$33,0),3)=INDEX(Standings!$A$2:$C$33,MATCH(Table1[[#This Row],[HomeTeam]],Standings!$A$2:$A$33,0),3),1,0)</f>
        <v>0</v>
      </c>
      <c r="AL335" s="64">
        <f>IF(Table1[[#This Row],[InterConf]]=1,IF(Table1[[#This Row],[InterDiv]]=0, 1, 0), 0)</f>
        <v>1</v>
      </c>
      <c r="AM335" s="64">
        <f>IF(INDEX(Standings!$A$2:$C$33,MATCH(Table1[[#This Row],[AwayTeam]],Standings!$A$2:$A$33,0),2)&lt;&gt;INDEX(Standings!$A$2:$C$33,MATCH(Table1[[#This Row],[HomeTeam]],Standings!$A$2:$A$33,0),2),1,0)</f>
        <v>0</v>
      </c>
      <c r="AN335" s="64" t="str">
        <f>INDEX(Table2[AWAY_RECORD], MATCH(Table1[[#This Row],[AwayTeam]],Table2[Team], 0), 0)</f>
        <v>0-1-0</v>
      </c>
      <c r="AO335" s="64" t="str">
        <f>INDEX(Records!$B$2:$AG$33, MATCH(Table1[[#This Row],[AwayTeam]],Records!$A$2:$A$33, 0), MATCH(Table1[[#This Row],[HomeTeam]],Records!$A$2:$A$33, 0))</f>
        <v>0-0-0</v>
      </c>
      <c r="AP335" s="64" t="str">
        <f>INDEX(Table2[HOME_RECORD], MATCH(Table1[[#This Row],[HomeTeam]],Table2[Team], 0), 0)</f>
        <v>0-0-0</v>
      </c>
      <c r="AQ335" s="64" t="str">
        <f>INDEX(Records!$B$2:$AG$33, MATCH(Table1[[#This Row],[HomeTeam]],Records!$A$2:$A$33, 0), MATCH(Table1[[#This Row],[AwayTeam]],Records!$A$2:$A$33, 0))</f>
        <v>0-0-0</v>
      </c>
    </row>
    <row r="336" spans="1:43" x14ac:dyDescent="0.25">
      <c r="A336" s="1"/>
      <c r="D336" t="s">
        <v>566</v>
      </c>
      <c r="E336" t="s">
        <v>162</v>
      </c>
      <c r="F336" t="s">
        <v>569</v>
      </c>
      <c r="G336" t="s">
        <v>45</v>
      </c>
      <c r="H336" t="s">
        <v>17</v>
      </c>
      <c r="L33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3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36" s="1"/>
      <c r="T336" s="64" t="str">
        <f>IF(Table1[[#This Row],[ActualWinner]]="", "", IF(Table1[[#This Row],[AwayTeam]]=Table1[[#This Row],[ActualWinner]],Table1[[#This Row],[HomeTeam]],Table1[[#This Row],[AwayTeam]]))</f>
        <v/>
      </c>
      <c r="U336" s="64">
        <f>Table1[[#This Row],[ActualAwayScore]]-Table1[[#This Row],[PredictedAwayScore]]</f>
        <v>0</v>
      </c>
      <c r="V336" s="64">
        <f>Table1[[#This Row],[ActualHomeScore]]-Table1[[#This Row],[PredictedHomeScore]]</f>
        <v>0</v>
      </c>
      <c r="W336" s="64">
        <f>(0.8*IF(Table1[[#This Row],[CorrectWinnerPrediction]]=1, 1, 0))+(0.1*IF(Table1[[#This Row],[CorrectAwayScorePrediction]]=1, 1, 0))+(0.1*IF(Table1[[#This Row],[CorrectHomeScorePrediction]]=1, 1, 0))</f>
        <v>0</v>
      </c>
      <c r="X33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36" s="64">
        <f>SUMIF(Table1[GameDate], Table1[[#This Row],[GameDate]], Table1[AwayGameGoalDiff])</f>
        <v>0</v>
      </c>
      <c r="AA336" s="64">
        <f>SUMIF(Table1[GameDate], Table1[[#This Row],[GameDate]], Table1[HomeGameGoalDiff])</f>
        <v>0</v>
      </c>
      <c r="AB336" s="64">
        <f>IF(ISBLANK(Table1[[#This Row],[ActualResult]]), 0, 1)</f>
        <v>0</v>
      </c>
      <c r="AC336" s="64">
        <f>IF(ISBLANK(Table1[[#This Row],[ActualResult]]), 0, IF(Table1[[#This Row],[ActualWinner]]=Table1[[#This Row],[PredictedWinner]], 1, 0))</f>
        <v>0</v>
      </c>
      <c r="AD33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3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36" s="64">
        <f>IF(AND(Table1[[#This Row],[GameIsOver]]=1,Table1[[#This Row],[ActualAwayScore]]=0), 1,0)</f>
        <v>0</v>
      </c>
      <c r="AG336" s="64">
        <f>IF(AND(Table1[[#This Row],[GameIsOver]]=1,Table1[[#This Row],[ActualHomeScore]]=0), 1,0)</f>
        <v>0</v>
      </c>
      <c r="AH336" s="64">
        <f>IF(Table1[[#This Row],[GameIsOver]]=0,0,IF(Table1[[#This Row],[ActualWinner]]=Table1[[#This Row],[AwayTeam]], 1, 0))</f>
        <v>0</v>
      </c>
      <c r="AI336" s="64">
        <f>IF(Table1[[#This Row],[GameIsOver]]=0,0,IF(Table1[[#This Row],[ActualWinner]]=Table1[[#This Row],[HomeTeam]], 1, 0))</f>
        <v>0</v>
      </c>
      <c r="AJ336" s="64">
        <f>IF(INDEX(Standings!$A$2:$C$33,MATCH(Table1[[#This Row],[AwayTeam]],Standings!$A$2:$A$33,0),2)=INDEX(Standings!$A$2:$C$33,MATCH(Table1[[#This Row],[HomeTeam]],Standings!$A$2:$A$33,0),2),1,0)</f>
        <v>0</v>
      </c>
      <c r="AK336" s="64">
        <f>IF(INDEX(Standings!$A$2:$C$33,MATCH(Table1[[#This Row],[AwayTeam]],Standings!$A$2:$A$33,0),3)=INDEX(Standings!$A$2:$C$33,MATCH(Table1[[#This Row],[HomeTeam]],Standings!$A$2:$A$33,0),3),1,0)</f>
        <v>0</v>
      </c>
      <c r="AL336" s="64">
        <f>IF(Table1[[#This Row],[InterConf]]=1,IF(Table1[[#This Row],[InterDiv]]=0, 1, 0), 0)</f>
        <v>0</v>
      </c>
      <c r="AM336" s="64">
        <f>IF(INDEX(Standings!$A$2:$C$33,MATCH(Table1[[#This Row],[AwayTeam]],Standings!$A$2:$A$33,0),2)&lt;&gt;INDEX(Standings!$A$2:$C$33,MATCH(Table1[[#This Row],[HomeTeam]],Standings!$A$2:$A$33,0),2),1,0)</f>
        <v>1</v>
      </c>
      <c r="AN336" s="64" t="str">
        <f>INDEX(Table2[AWAY_RECORD], MATCH(Table1[[#This Row],[AwayTeam]],Table2[Team], 0), 0)</f>
        <v>1-0-0</v>
      </c>
      <c r="AO336" s="64" t="str">
        <f>INDEX(Records!$B$2:$AG$33, MATCH(Table1[[#This Row],[AwayTeam]],Records!$A$2:$A$33, 0), MATCH(Table1[[#This Row],[HomeTeam]],Records!$A$2:$A$33, 0))</f>
        <v>0-0-0</v>
      </c>
      <c r="AP336" s="64" t="str">
        <f>INDEX(Table2[HOME_RECORD], MATCH(Table1[[#This Row],[HomeTeam]],Table2[Team], 0), 0)</f>
        <v>0-0-0</v>
      </c>
      <c r="AQ336" s="64" t="str">
        <f>INDEX(Records!$B$2:$AG$33, MATCH(Table1[[#This Row],[HomeTeam]],Records!$A$2:$A$33, 0), MATCH(Table1[[#This Row],[AwayTeam]],Records!$A$2:$A$33, 0))</f>
        <v>0-0-0</v>
      </c>
    </row>
    <row r="337" spans="1:43" x14ac:dyDescent="0.25">
      <c r="A337" s="1"/>
      <c r="D337" t="s">
        <v>566</v>
      </c>
      <c r="E337" t="s">
        <v>162</v>
      </c>
      <c r="F337" t="s">
        <v>570</v>
      </c>
      <c r="G337" t="s">
        <v>42</v>
      </c>
      <c r="H337" t="s">
        <v>50</v>
      </c>
      <c r="L33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3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37" s="1"/>
      <c r="T337" s="64" t="str">
        <f>IF(Table1[[#This Row],[ActualWinner]]="", "", IF(Table1[[#This Row],[AwayTeam]]=Table1[[#This Row],[ActualWinner]],Table1[[#This Row],[HomeTeam]],Table1[[#This Row],[AwayTeam]]))</f>
        <v/>
      </c>
      <c r="U337" s="64">
        <f>Table1[[#This Row],[ActualAwayScore]]-Table1[[#This Row],[PredictedAwayScore]]</f>
        <v>0</v>
      </c>
      <c r="V337" s="64">
        <f>Table1[[#This Row],[ActualHomeScore]]-Table1[[#This Row],[PredictedHomeScore]]</f>
        <v>0</v>
      </c>
      <c r="W337" s="64">
        <f>(0.8*IF(Table1[[#This Row],[CorrectWinnerPrediction]]=1, 1, 0))+(0.1*IF(Table1[[#This Row],[CorrectAwayScorePrediction]]=1, 1, 0))+(0.1*IF(Table1[[#This Row],[CorrectHomeScorePrediction]]=1, 1, 0))</f>
        <v>0</v>
      </c>
      <c r="X33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37" s="64">
        <f>SUMIF(Table1[GameDate], Table1[[#This Row],[GameDate]], Table1[AwayGameGoalDiff])</f>
        <v>0</v>
      </c>
      <c r="AA337" s="64">
        <f>SUMIF(Table1[GameDate], Table1[[#This Row],[GameDate]], Table1[HomeGameGoalDiff])</f>
        <v>0</v>
      </c>
      <c r="AB337" s="64">
        <f>IF(ISBLANK(Table1[[#This Row],[ActualResult]]), 0, 1)</f>
        <v>0</v>
      </c>
      <c r="AC337" s="64">
        <f>IF(ISBLANK(Table1[[#This Row],[ActualResult]]), 0, IF(Table1[[#This Row],[ActualWinner]]=Table1[[#This Row],[PredictedWinner]], 1, 0))</f>
        <v>0</v>
      </c>
      <c r="AD33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3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37" s="64">
        <f>IF(AND(Table1[[#This Row],[GameIsOver]]=1,Table1[[#This Row],[ActualAwayScore]]=0), 1,0)</f>
        <v>0</v>
      </c>
      <c r="AG337" s="64">
        <f>IF(AND(Table1[[#This Row],[GameIsOver]]=1,Table1[[#This Row],[ActualHomeScore]]=0), 1,0)</f>
        <v>0</v>
      </c>
      <c r="AH337" s="64">
        <f>IF(Table1[[#This Row],[GameIsOver]]=0,0,IF(Table1[[#This Row],[ActualWinner]]=Table1[[#This Row],[AwayTeam]], 1, 0))</f>
        <v>0</v>
      </c>
      <c r="AI337" s="64">
        <f>IF(Table1[[#This Row],[GameIsOver]]=0,0,IF(Table1[[#This Row],[ActualWinner]]=Table1[[#This Row],[HomeTeam]], 1, 0))</f>
        <v>0</v>
      </c>
      <c r="AJ337" s="64">
        <f>IF(INDEX(Standings!$A$2:$C$33,MATCH(Table1[[#This Row],[AwayTeam]],Standings!$A$2:$A$33,0),2)=INDEX(Standings!$A$2:$C$33,MATCH(Table1[[#This Row],[HomeTeam]],Standings!$A$2:$A$33,0),2),1,0)</f>
        <v>1</v>
      </c>
      <c r="AK337" s="64">
        <f>IF(INDEX(Standings!$A$2:$C$33,MATCH(Table1[[#This Row],[AwayTeam]],Standings!$A$2:$A$33,0),3)=INDEX(Standings!$A$2:$C$33,MATCH(Table1[[#This Row],[HomeTeam]],Standings!$A$2:$A$33,0),3),1,0)</f>
        <v>1</v>
      </c>
      <c r="AL337" s="64">
        <f>IF(Table1[[#This Row],[InterConf]]=1,IF(Table1[[#This Row],[InterDiv]]=0, 1, 0), 0)</f>
        <v>0</v>
      </c>
      <c r="AM337" s="64">
        <f>IF(INDEX(Standings!$A$2:$C$33,MATCH(Table1[[#This Row],[AwayTeam]],Standings!$A$2:$A$33,0),2)&lt;&gt;INDEX(Standings!$A$2:$C$33,MATCH(Table1[[#This Row],[HomeTeam]],Standings!$A$2:$A$33,0),2),1,0)</f>
        <v>0</v>
      </c>
      <c r="AN337" s="64" t="str">
        <f>INDEX(Table2[AWAY_RECORD], MATCH(Table1[[#This Row],[AwayTeam]],Table2[Team], 0), 0)</f>
        <v>0-0-0</v>
      </c>
      <c r="AO337" s="64" t="str">
        <f>INDEX(Records!$B$2:$AG$33, MATCH(Table1[[#This Row],[AwayTeam]],Records!$A$2:$A$33, 0), MATCH(Table1[[#This Row],[HomeTeam]],Records!$A$2:$A$33, 0))</f>
        <v>0-0-0</v>
      </c>
      <c r="AP337" s="64" t="str">
        <f>INDEX(Table2[HOME_RECORD], MATCH(Table1[[#This Row],[HomeTeam]],Table2[Team], 0), 0)</f>
        <v>0-0-0</v>
      </c>
      <c r="AQ337" s="64" t="str">
        <f>INDEX(Records!$B$2:$AG$33, MATCH(Table1[[#This Row],[HomeTeam]],Records!$A$2:$A$33, 0), MATCH(Table1[[#This Row],[AwayTeam]],Records!$A$2:$A$33, 0))</f>
        <v>0-0-0</v>
      </c>
    </row>
    <row r="338" spans="1:43" x14ac:dyDescent="0.25">
      <c r="A338" s="1"/>
      <c r="D338" t="s">
        <v>566</v>
      </c>
      <c r="E338" t="s">
        <v>162</v>
      </c>
      <c r="F338" t="s">
        <v>571</v>
      </c>
      <c r="G338" t="s">
        <v>38</v>
      </c>
      <c r="H338" t="s">
        <v>53</v>
      </c>
      <c r="L33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3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38" s="1"/>
      <c r="T338" s="64" t="str">
        <f>IF(Table1[[#This Row],[ActualWinner]]="", "", IF(Table1[[#This Row],[AwayTeam]]=Table1[[#This Row],[ActualWinner]],Table1[[#This Row],[HomeTeam]],Table1[[#This Row],[AwayTeam]]))</f>
        <v/>
      </c>
      <c r="U338" s="64">
        <f>Table1[[#This Row],[ActualAwayScore]]-Table1[[#This Row],[PredictedAwayScore]]</f>
        <v>0</v>
      </c>
      <c r="V338" s="64">
        <f>Table1[[#This Row],[ActualHomeScore]]-Table1[[#This Row],[PredictedHomeScore]]</f>
        <v>0</v>
      </c>
      <c r="W338" s="64">
        <f>(0.8*IF(Table1[[#This Row],[CorrectWinnerPrediction]]=1, 1, 0))+(0.1*IF(Table1[[#This Row],[CorrectAwayScorePrediction]]=1, 1, 0))+(0.1*IF(Table1[[#This Row],[CorrectHomeScorePrediction]]=1, 1, 0))</f>
        <v>0</v>
      </c>
      <c r="X33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38" s="64">
        <f>SUMIF(Table1[GameDate], Table1[[#This Row],[GameDate]], Table1[AwayGameGoalDiff])</f>
        <v>0</v>
      </c>
      <c r="AA338" s="64">
        <f>SUMIF(Table1[GameDate], Table1[[#This Row],[GameDate]], Table1[HomeGameGoalDiff])</f>
        <v>0</v>
      </c>
      <c r="AB338" s="64">
        <f>IF(ISBLANK(Table1[[#This Row],[ActualResult]]), 0, 1)</f>
        <v>0</v>
      </c>
      <c r="AC338" s="64">
        <f>IF(ISBLANK(Table1[[#This Row],[ActualResult]]), 0, IF(Table1[[#This Row],[ActualWinner]]=Table1[[#This Row],[PredictedWinner]], 1, 0))</f>
        <v>0</v>
      </c>
      <c r="AD33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3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38" s="64">
        <f>IF(AND(Table1[[#This Row],[GameIsOver]]=1,Table1[[#This Row],[ActualAwayScore]]=0), 1,0)</f>
        <v>0</v>
      </c>
      <c r="AG338" s="64">
        <f>IF(AND(Table1[[#This Row],[GameIsOver]]=1,Table1[[#This Row],[ActualHomeScore]]=0), 1,0)</f>
        <v>0</v>
      </c>
      <c r="AH338" s="64">
        <f>IF(Table1[[#This Row],[GameIsOver]]=0,0,IF(Table1[[#This Row],[ActualWinner]]=Table1[[#This Row],[AwayTeam]], 1, 0))</f>
        <v>0</v>
      </c>
      <c r="AI338" s="64">
        <f>IF(Table1[[#This Row],[GameIsOver]]=0,0,IF(Table1[[#This Row],[ActualWinner]]=Table1[[#This Row],[HomeTeam]], 1, 0))</f>
        <v>0</v>
      </c>
      <c r="AJ338" s="64">
        <f>IF(INDEX(Standings!$A$2:$C$33,MATCH(Table1[[#This Row],[AwayTeam]],Standings!$A$2:$A$33,0),2)=INDEX(Standings!$A$2:$C$33,MATCH(Table1[[#This Row],[HomeTeam]],Standings!$A$2:$A$33,0),2),1,0)</f>
        <v>1</v>
      </c>
      <c r="AK338" s="64">
        <f>IF(INDEX(Standings!$A$2:$C$33,MATCH(Table1[[#This Row],[AwayTeam]],Standings!$A$2:$A$33,0),3)=INDEX(Standings!$A$2:$C$33,MATCH(Table1[[#This Row],[HomeTeam]],Standings!$A$2:$A$33,0),3),1,0)</f>
        <v>0</v>
      </c>
      <c r="AL338" s="64">
        <f>IF(Table1[[#This Row],[InterConf]]=1,IF(Table1[[#This Row],[InterDiv]]=0, 1, 0), 0)</f>
        <v>1</v>
      </c>
      <c r="AM338" s="64">
        <f>IF(INDEX(Standings!$A$2:$C$33,MATCH(Table1[[#This Row],[AwayTeam]],Standings!$A$2:$A$33,0),2)&lt;&gt;INDEX(Standings!$A$2:$C$33,MATCH(Table1[[#This Row],[HomeTeam]],Standings!$A$2:$A$33,0),2),1,0)</f>
        <v>0</v>
      </c>
      <c r="AN338" s="64" t="str">
        <f>INDEX(Table2[AWAY_RECORD], MATCH(Table1[[#This Row],[AwayTeam]],Table2[Team], 0), 0)</f>
        <v>0-0-1</v>
      </c>
      <c r="AO338" s="64" t="str">
        <f>INDEX(Records!$B$2:$AG$33, MATCH(Table1[[#This Row],[AwayTeam]],Records!$A$2:$A$33, 0), MATCH(Table1[[#This Row],[HomeTeam]],Records!$A$2:$A$33, 0))</f>
        <v>0-0-0</v>
      </c>
      <c r="AP338" s="64" t="str">
        <f>INDEX(Table2[HOME_RECORD], MATCH(Table1[[#This Row],[HomeTeam]],Table2[Team], 0), 0)</f>
        <v>1-0-0</v>
      </c>
      <c r="AQ338" s="64" t="str">
        <f>INDEX(Records!$B$2:$AG$33, MATCH(Table1[[#This Row],[HomeTeam]],Records!$A$2:$A$33, 0), MATCH(Table1[[#This Row],[AwayTeam]],Records!$A$2:$A$33, 0))</f>
        <v>0-0-0</v>
      </c>
    </row>
    <row r="339" spans="1:43" x14ac:dyDescent="0.25">
      <c r="A339" s="1"/>
      <c r="D339" t="s">
        <v>566</v>
      </c>
      <c r="E339" t="s">
        <v>289</v>
      </c>
      <c r="F339" t="s">
        <v>572</v>
      </c>
      <c r="G339" t="s">
        <v>24</v>
      </c>
      <c r="H339" t="s">
        <v>16</v>
      </c>
      <c r="L33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3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39" s="1"/>
      <c r="T339" s="64" t="str">
        <f>IF(Table1[[#This Row],[ActualWinner]]="", "", IF(Table1[[#This Row],[AwayTeam]]=Table1[[#This Row],[ActualWinner]],Table1[[#This Row],[HomeTeam]],Table1[[#This Row],[AwayTeam]]))</f>
        <v/>
      </c>
      <c r="U339" s="64">
        <f>Table1[[#This Row],[ActualAwayScore]]-Table1[[#This Row],[PredictedAwayScore]]</f>
        <v>0</v>
      </c>
      <c r="V339" s="64">
        <f>Table1[[#This Row],[ActualHomeScore]]-Table1[[#This Row],[PredictedHomeScore]]</f>
        <v>0</v>
      </c>
      <c r="W339" s="64">
        <f>(0.8*IF(Table1[[#This Row],[CorrectWinnerPrediction]]=1, 1, 0))+(0.1*IF(Table1[[#This Row],[CorrectAwayScorePrediction]]=1, 1, 0))+(0.1*IF(Table1[[#This Row],[CorrectHomeScorePrediction]]=1, 1, 0))</f>
        <v>0</v>
      </c>
      <c r="X33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39" s="64">
        <f>SUMIF(Table1[GameDate], Table1[[#This Row],[GameDate]], Table1[AwayGameGoalDiff])</f>
        <v>0</v>
      </c>
      <c r="AA339" s="64">
        <f>SUMIF(Table1[GameDate], Table1[[#This Row],[GameDate]], Table1[HomeGameGoalDiff])</f>
        <v>0</v>
      </c>
      <c r="AB339" s="64">
        <f>IF(ISBLANK(Table1[[#This Row],[ActualResult]]), 0, 1)</f>
        <v>0</v>
      </c>
      <c r="AC339" s="64">
        <f>IF(ISBLANK(Table1[[#This Row],[ActualResult]]), 0, IF(Table1[[#This Row],[ActualWinner]]=Table1[[#This Row],[PredictedWinner]], 1, 0))</f>
        <v>0</v>
      </c>
      <c r="AD33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3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39" s="64">
        <f>IF(AND(Table1[[#This Row],[GameIsOver]]=1,Table1[[#This Row],[ActualAwayScore]]=0), 1,0)</f>
        <v>0</v>
      </c>
      <c r="AG339" s="64">
        <f>IF(AND(Table1[[#This Row],[GameIsOver]]=1,Table1[[#This Row],[ActualHomeScore]]=0), 1,0)</f>
        <v>0</v>
      </c>
      <c r="AH339" s="64">
        <f>IF(Table1[[#This Row],[GameIsOver]]=0,0,IF(Table1[[#This Row],[ActualWinner]]=Table1[[#This Row],[AwayTeam]], 1, 0))</f>
        <v>0</v>
      </c>
      <c r="AI339" s="64">
        <f>IF(Table1[[#This Row],[GameIsOver]]=0,0,IF(Table1[[#This Row],[ActualWinner]]=Table1[[#This Row],[HomeTeam]], 1, 0))</f>
        <v>0</v>
      </c>
      <c r="AJ339" s="64">
        <f>IF(INDEX(Standings!$A$2:$C$33,MATCH(Table1[[#This Row],[AwayTeam]],Standings!$A$2:$A$33,0),2)=INDEX(Standings!$A$2:$C$33,MATCH(Table1[[#This Row],[HomeTeam]],Standings!$A$2:$A$33,0),2),1,0)</f>
        <v>0</v>
      </c>
      <c r="AK339" s="64">
        <f>IF(INDEX(Standings!$A$2:$C$33,MATCH(Table1[[#This Row],[AwayTeam]],Standings!$A$2:$A$33,0),3)=INDEX(Standings!$A$2:$C$33,MATCH(Table1[[#This Row],[HomeTeam]],Standings!$A$2:$A$33,0),3),1,0)</f>
        <v>0</v>
      </c>
      <c r="AL339" s="64">
        <f>IF(Table1[[#This Row],[InterConf]]=1,IF(Table1[[#This Row],[InterDiv]]=0, 1, 0), 0)</f>
        <v>0</v>
      </c>
      <c r="AM339" s="64">
        <f>IF(INDEX(Standings!$A$2:$C$33,MATCH(Table1[[#This Row],[AwayTeam]],Standings!$A$2:$A$33,0),2)&lt;&gt;INDEX(Standings!$A$2:$C$33,MATCH(Table1[[#This Row],[HomeTeam]],Standings!$A$2:$A$33,0),2),1,0)</f>
        <v>1</v>
      </c>
      <c r="AN339" s="64" t="str">
        <f>INDEX(Table2[AWAY_RECORD], MATCH(Table1[[#This Row],[AwayTeam]],Table2[Team], 0), 0)</f>
        <v>0-0-0</v>
      </c>
      <c r="AO339" s="64" t="str">
        <f>INDEX(Records!$B$2:$AG$33, MATCH(Table1[[#This Row],[AwayTeam]],Records!$A$2:$A$33, 0), MATCH(Table1[[#This Row],[HomeTeam]],Records!$A$2:$A$33, 0))</f>
        <v>0-0-0</v>
      </c>
      <c r="AP339" s="64" t="str">
        <f>INDEX(Table2[HOME_RECORD], MATCH(Table1[[#This Row],[HomeTeam]],Table2[Team], 0), 0)</f>
        <v>0-0-0</v>
      </c>
      <c r="AQ339" s="64" t="str">
        <f>INDEX(Records!$B$2:$AG$33, MATCH(Table1[[#This Row],[HomeTeam]],Records!$A$2:$A$33, 0), MATCH(Table1[[#This Row],[AwayTeam]],Records!$A$2:$A$33, 0))</f>
        <v>0-0-0</v>
      </c>
    </row>
    <row r="340" spans="1:43" x14ac:dyDescent="0.25">
      <c r="A340" s="1"/>
      <c r="D340" t="s">
        <v>566</v>
      </c>
      <c r="E340" t="s">
        <v>178</v>
      </c>
      <c r="F340" t="s">
        <v>573</v>
      </c>
      <c r="G340" t="s">
        <v>36</v>
      </c>
      <c r="H340" t="s">
        <v>61</v>
      </c>
      <c r="L34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4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40" s="1"/>
      <c r="T340" s="64" t="str">
        <f>IF(Table1[[#This Row],[ActualWinner]]="", "", IF(Table1[[#This Row],[AwayTeam]]=Table1[[#This Row],[ActualWinner]],Table1[[#This Row],[HomeTeam]],Table1[[#This Row],[AwayTeam]]))</f>
        <v/>
      </c>
      <c r="U340" s="64">
        <f>Table1[[#This Row],[ActualAwayScore]]-Table1[[#This Row],[PredictedAwayScore]]</f>
        <v>0</v>
      </c>
      <c r="V340" s="64">
        <f>Table1[[#This Row],[ActualHomeScore]]-Table1[[#This Row],[PredictedHomeScore]]</f>
        <v>0</v>
      </c>
      <c r="W340" s="64">
        <f>(0.8*IF(Table1[[#This Row],[CorrectWinnerPrediction]]=1, 1, 0))+(0.1*IF(Table1[[#This Row],[CorrectAwayScorePrediction]]=1, 1, 0))+(0.1*IF(Table1[[#This Row],[CorrectHomeScorePrediction]]=1, 1, 0))</f>
        <v>0</v>
      </c>
      <c r="X34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40" s="64">
        <f>SUMIF(Table1[GameDate], Table1[[#This Row],[GameDate]], Table1[AwayGameGoalDiff])</f>
        <v>0</v>
      </c>
      <c r="AA340" s="64">
        <f>SUMIF(Table1[GameDate], Table1[[#This Row],[GameDate]], Table1[HomeGameGoalDiff])</f>
        <v>0</v>
      </c>
      <c r="AB340" s="64">
        <f>IF(ISBLANK(Table1[[#This Row],[ActualResult]]), 0, 1)</f>
        <v>0</v>
      </c>
      <c r="AC340" s="64">
        <f>IF(ISBLANK(Table1[[#This Row],[ActualResult]]), 0, IF(Table1[[#This Row],[ActualWinner]]=Table1[[#This Row],[PredictedWinner]], 1, 0))</f>
        <v>0</v>
      </c>
      <c r="AD34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4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40" s="64">
        <f>IF(AND(Table1[[#This Row],[GameIsOver]]=1,Table1[[#This Row],[ActualAwayScore]]=0), 1,0)</f>
        <v>0</v>
      </c>
      <c r="AG340" s="64">
        <f>IF(AND(Table1[[#This Row],[GameIsOver]]=1,Table1[[#This Row],[ActualHomeScore]]=0), 1,0)</f>
        <v>0</v>
      </c>
      <c r="AH340" s="64">
        <f>IF(Table1[[#This Row],[GameIsOver]]=0,0,IF(Table1[[#This Row],[ActualWinner]]=Table1[[#This Row],[AwayTeam]], 1, 0))</f>
        <v>0</v>
      </c>
      <c r="AI340" s="64">
        <f>IF(Table1[[#This Row],[GameIsOver]]=0,0,IF(Table1[[#This Row],[ActualWinner]]=Table1[[#This Row],[HomeTeam]], 1, 0))</f>
        <v>0</v>
      </c>
      <c r="AJ340" s="64">
        <f>IF(INDEX(Standings!$A$2:$C$33,MATCH(Table1[[#This Row],[AwayTeam]],Standings!$A$2:$A$33,0),2)=INDEX(Standings!$A$2:$C$33,MATCH(Table1[[#This Row],[HomeTeam]],Standings!$A$2:$A$33,0),2),1,0)</f>
        <v>1</v>
      </c>
      <c r="AK340" s="64">
        <f>IF(INDEX(Standings!$A$2:$C$33,MATCH(Table1[[#This Row],[AwayTeam]],Standings!$A$2:$A$33,0),3)=INDEX(Standings!$A$2:$C$33,MATCH(Table1[[#This Row],[HomeTeam]],Standings!$A$2:$A$33,0),3),1,0)</f>
        <v>0</v>
      </c>
      <c r="AL340" s="64">
        <f>IF(Table1[[#This Row],[InterConf]]=1,IF(Table1[[#This Row],[InterDiv]]=0, 1, 0), 0)</f>
        <v>1</v>
      </c>
      <c r="AM340" s="64">
        <f>IF(INDEX(Standings!$A$2:$C$33,MATCH(Table1[[#This Row],[AwayTeam]],Standings!$A$2:$A$33,0),2)&lt;&gt;INDEX(Standings!$A$2:$C$33,MATCH(Table1[[#This Row],[HomeTeam]],Standings!$A$2:$A$33,0),2),1,0)</f>
        <v>0</v>
      </c>
      <c r="AN340" s="64" t="str">
        <f>INDEX(Table2[AWAY_RECORD], MATCH(Table1[[#This Row],[AwayTeam]],Table2[Team], 0), 0)</f>
        <v>0-0-0</v>
      </c>
      <c r="AO340" s="64" t="str">
        <f>INDEX(Records!$B$2:$AG$33, MATCH(Table1[[#This Row],[AwayTeam]],Records!$A$2:$A$33, 0), MATCH(Table1[[#This Row],[HomeTeam]],Records!$A$2:$A$33, 0))</f>
        <v>0-0-0</v>
      </c>
      <c r="AP340" s="64" t="str">
        <f>INDEX(Table2[HOME_RECORD], MATCH(Table1[[#This Row],[HomeTeam]],Table2[Team], 0), 0)</f>
        <v>0-0-0</v>
      </c>
      <c r="AQ340" s="64" t="str">
        <f>INDEX(Records!$B$2:$AG$33, MATCH(Table1[[#This Row],[HomeTeam]],Records!$A$2:$A$33, 0), MATCH(Table1[[#This Row],[AwayTeam]],Records!$A$2:$A$33, 0))</f>
        <v>0-0-0</v>
      </c>
    </row>
    <row r="341" spans="1:43" x14ac:dyDescent="0.25">
      <c r="A341" s="1"/>
      <c r="D341" t="s">
        <v>566</v>
      </c>
      <c r="E341" t="s">
        <v>178</v>
      </c>
      <c r="F341" t="s">
        <v>574</v>
      </c>
      <c r="G341" t="s">
        <v>48</v>
      </c>
      <c r="H341" t="s">
        <v>22</v>
      </c>
      <c r="L34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4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41" s="1"/>
      <c r="T341" s="64" t="str">
        <f>IF(Table1[[#This Row],[ActualWinner]]="", "", IF(Table1[[#This Row],[AwayTeam]]=Table1[[#This Row],[ActualWinner]],Table1[[#This Row],[HomeTeam]],Table1[[#This Row],[AwayTeam]]))</f>
        <v/>
      </c>
      <c r="U341" s="64">
        <f>Table1[[#This Row],[ActualAwayScore]]-Table1[[#This Row],[PredictedAwayScore]]</f>
        <v>0</v>
      </c>
      <c r="V341" s="64">
        <f>Table1[[#This Row],[ActualHomeScore]]-Table1[[#This Row],[PredictedHomeScore]]</f>
        <v>0</v>
      </c>
      <c r="W341" s="64">
        <f>(0.8*IF(Table1[[#This Row],[CorrectWinnerPrediction]]=1, 1, 0))+(0.1*IF(Table1[[#This Row],[CorrectAwayScorePrediction]]=1, 1, 0))+(0.1*IF(Table1[[#This Row],[CorrectHomeScorePrediction]]=1, 1, 0))</f>
        <v>0</v>
      </c>
      <c r="X34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41" s="64">
        <f>SUMIF(Table1[GameDate], Table1[[#This Row],[GameDate]], Table1[AwayGameGoalDiff])</f>
        <v>0</v>
      </c>
      <c r="AA341" s="64">
        <f>SUMIF(Table1[GameDate], Table1[[#This Row],[GameDate]], Table1[HomeGameGoalDiff])</f>
        <v>0</v>
      </c>
      <c r="AB341" s="64">
        <f>IF(ISBLANK(Table1[[#This Row],[ActualResult]]), 0, 1)</f>
        <v>0</v>
      </c>
      <c r="AC341" s="64">
        <f>IF(ISBLANK(Table1[[#This Row],[ActualResult]]), 0, IF(Table1[[#This Row],[ActualWinner]]=Table1[[#This Row],[PredictedWinner]], 1, 0))</f>
        <v>0</v>
      </c>
      <c r="AD34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4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41" s="64">
        <f>IF(AND(Table1[[#This Row],[GameIsOver]]=1,Table1[[#This Row],[ActualAwayScore]]=0), 1,0)</f>
        <v>0</v>
      </c>
      <c r="AG341" s="64">
        <f>IF(AND(Table1[[#This Row],[GameIsOver]]=1,Table1[[#This Row],[ActualHomeScore]]=0), 1,0)</f>
        <v>0</v>
      </c>
      <c r="AH341" s="64">
        <f>IF(Table1[[#This Row],[GameIsOver]]=0,0,IF(Table1[[#This Row],[ActualWinner]]=Table1[[#This Row],[AwayTeam]], 1, 0))</f>
        <v>0</v>
      </c>
      <c r="AI341" s="64">
        <f>IF(Table1[[#This Row],[GameIsOver]]=0,0,IF(Table1[[#This Row],[ActualWinner]]=Table1[[#This Row],[HomeTeam]], 1, 0))</f>
        <v>0</v>
      </c>
      <c r="AJ341" s="64">
        <f>IF(INDEX(Standings!$A$2:$C$33,MATCH(Table1[[#This Row],[AwayTeam]],Standings!$A$2:$A$33,0),2)=INDEX(Standings!$A$2:$C$33,MATCH(Table1[[#This Row],[HomeTeam]],Standings!$A$2:$A$33,0),2),1,0)</f>
        <v>1</v>
      </c>
      <c r="AK341" s="64">
        <f>IF(INDEX(Standings!$A$2:$C$33,MATCH(Table1[[#This Row],[AwayTeam]],Standings!$A$2:$A$33,0),3)=INDEX(Standings!$A$2:$C$33,MATCH(Table1[[#This Row],[HomeTeam]],Standings!$A$2:$A$33,0),3),1,0)</f>
        <v>1</v>
      </c>
      <c r="AL341" s="64">
        <f>IF(Table1[[#This Row],[InterConf]]=1,IF(Table1[[#This Row],[InterDiv]]=0, 1, 0), 0)</f>
        <v>0</v>
      </c>
      <c r="AM341" s="64">
        <f>IF(INDEX(Standings!$A$2:$C$33,MATCH(Table1[[#This Row],[AwayTeam]],Standings!$A$2:$A$33,0),2)&lt;&gt;INDEX(Standings!$A$2:$C$33,MATCH(Table1[[#This Row],[HomeTeam]],Standings!$A$2:$A$33,0),2),1,0)</f>
        <v>0</v>
      </c>
      <c r="AN341" s="64" t="str">
        <f>INDEX(Table2[AWAY_RECORD], MATCH(Table1[[#This Row],[AwayTeam]],Table2[Team], 0), 0)</f>
        <v>0-0-0</v>
      </c>
      <c r="AO341" s="64" t="str">
        <f>INDEX(Records!$B$2:$AG$33, MATCH(Table1[[#This Row],[AwayTeam]],Records!$A$2:$A$33, 0), MATCH(Table1[[#This Row],[HomeTeam]],Records!$A$2:$A$33, 0))</f>
        <v>1-0-0</v>
      </c>
      <c r="AP341" s="64" t="str">
        <f>INDEX(Table2[HOME_RECORD], MATCH(Table1[[#This Row],[HomeTeam]],Table2[Team], 0), 0)</f>
        <v>0-0-0</v>
      </c>
      <c r="AQ341" s="64" t="str">
        <f>INDEX(Records!$B$2:$AG$33, MATCH(Table1[[#This Row],[HomeTeam]],Records!$A$2:$A$33, 0), MATCH(Table1[[#This Row],[AwayTeam]],Records!$A$2:$A$33, 0))</f>
        <v>0-0-1</v>
      </c>
    </row>
    <row r="342" spans="1:43" x14ac:dyDescent="0.25">
      <c r="A342" s="1"/>
      <c r="D342" t="s">
        <v>566</v>
      </c>
      <c r="E342" t="s">
        <v>178</v>
      </c>
      <c r="F342" t="s">
        <v>575</v>
      </c>
      <c r="G342" t="s">
        <v>52</v>
      </c>
      <c r="H342" t="s">
        <v>60</v>
      </c>
      <c r="L34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4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42" s="1"/>
      <c r="T342" s="64" t="str">
        <f>IF(Table1[[#This Row],[ActualWinner]]="", "", IF(Table1[[#This Row],[AwayTeam]]=Table1[[#This Row],[ActualWinner]],Table1[[#This Row],[HomeTeam]],Table1[[#This Row],[AwayTeam]]))</f>
        <v/>
      </c>
      <c r="U342" s="64">
        <f>Table1[[#This Row],[ActualAwayScore]]-Table1[[#This Row],[PredictedAwayScore]]</f>
        <v>0</v>
      </c>
      <c r="V342" s="64">
        <f>Table1[[#This Row],[ActualHomeScore]]-Table1[[#This Row],[PredictedHomeScore]]</f>
        <v>0</v>
      </c>
      <c r="W342" s="64">
        <f>(0.8*IF(Table1[[#This Row],[CorrectWinnerPrediction]]=1, 1, 0))+(0.1*IF(Table1[[#This Row],[CorrectAwayScorePrediction]]=1, 1, 0))+(0.1*IF(Table1[[#This Row],[CorrectHomeScorePrediction]]=1, 1, 0))</f>
        <v>0</v>
      </c>
      <c r="X34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42" s="64">
        <f>SUMIF(Table1[GameDate], Table1[[#This Row],[GameDate]], Table1[AwayGameGoalDiff])</f>
        <v>0</v>
      </c>
      <c r="AA342" s="64">
        <f>SUMIF(Table1[GameDate], Table1[[#This Row],[GameDate]], Table1[HomeGameGoalDiff])</f>
        <v>0</v>
      </c>
      <c r="AB342" s="64">
        <f>IF(ISBLANK(Table1[[#This Row],[ActualResult]]), 0, 1)</f>
        <v>0</v>
      </c>
      <c r="AC342" s="64">
        <f>IF(ISBLANK(Table1[[#This Row],[ActualResult]]), 0, IF(Table1[[#This Row],[ActualWinner]]=Table1[[#This Row],[PredictedWinner]], 1, 0))</f>
        <v>0</v>
      </c>
      <c r="AD34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4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42" s="64">
        <f>IF(AND(Table1[[#This Row],[GameIsOver]]=1,Table1[[#This Row],[ActualAwayScore]]=0), 1,0)</f>
        <v>0</v>
      </c>
      <c r="AG342" s="64">
        <f>IF(AND(Table1[[#This Row],[GameIsOver]]=1,Table1[[#This Row],[ActualHomeScore]]=0), 1,0)</f>
        <v>0</v>
      </c>
      <c r="AH342" s="64">
        <f>IF(Table1[[#This Row],[GameIsOver]]=0,0,IF(Table1[[#This Row],[ActualWinner]]=Table1[[#This Row],[AwayTeam]], 1, 0))</f>
        <v>0</v>
      </c>
      <c r="AI342" s="64">
        <f>IF(Table1[[#This Row],[GameIsOver]]=0,0,IF(Table1[[#This Row],[ActualWinner]]=Table1[[#This Row],[HomeTeam]], 1, 0))</f>
        <v>0</v>
      </c>
      <c r="AJ342" s="64">
        <f>IF(INDEX(Standings!$A$2:$C$33,MATCH(Table1[[#This Row],[AwayTeam]],Standings!$A$2:$A$33,0),2)=INDEX(Standings!$A$2:$C$33,MATCH(Table1[[#This Row],[HomeTeam]],Standings!$A$2:$A$33,0),2),1,0)</f>
        <v>0</v>
      </c>
      <c r="AK342" s="64">
        <f>IF(INDEX(Standings!$A$2:$C$33,MATCH(Table1[[#This Row],[AwayTeam]],Standings!$A$2:$A$33,0),3)=INDEX(Standings!$A$2:$C$33,MATCH(Table1[[#This Row],[HomeTeam]],Standings!$A$2:$A$33,0),3),1,0)</f>
        <v>0</v>
      </c>
      <c r="AL342" s="64">
        <f>IF(Table1[[#This Row],[InterConf]]=1,IF(Table1[[#This Row],[InterDiv]]=0, 1, 0), 0)</f>
        <v>0</v>
      </c>
      <c r="AM342" s="64">
        <f>IF(INDEX(Standings!$A$2:$C$33,MATCH(Table1[[#This Row],[AwayTeam]],Standings!$A$2:$A$33,0),2)&lt;&gt;INDEX(Standings!$A$2:$C$33,MATCH(Table1[[#This Row],[HomeTeam]],Standings!$A$2:$A$33,0),2),1,0)</f>
        <v>1</v>
      </c>
      <c r="AN342" s="64" t="str">
        <f>INDEX(Table2[AWAY_RECORD], MATCH(Table1[[#This Row],[AwayTeam]],Table2[Team], 0), 0)</f>
        <v>0-0-0</v>
      </c>
      <c r="AO342" s="64" t="str">
        <f>INDEX(Records!$B$2:$AG$33, MATCH(Table1[[#This Row],[AwayTeam]],Records!$A$2:$A$33, 0), MATCH(Table1[[#This Row],[HomeTeam]],Records!$A$2:$A$33, 0))</f>
        <v>0-0-0</v>
      </c>
      <c r="AP342" s="64" t="str">
        <f>INDEX(Table2[HOME_RECORD], MATCH(Table1[[#This Row],[HomeTeam]],Table2[Team], 0), 0)</f>
        <v>1-0-0</v>
      </c>
      <c r="AQ342" s="64" t="str">
        <f>INDEX(Records!$B$2:$AG$33, MATCH(Table1[[#This Row],[HomeTeam]],Records!$A$2:$A$33, 0), MATCH(Table1[[#This Row],[AwayTeam]],Records!$A$2:$A$33, 0))</f>
        <v>0-0-0</v>
      </c>
    </row>
    <row r="343" spans="1:43" x14ac:dyDescent="0.25">
      <c r="A343" s="1"/>
      <c r="D343" t="s">
        <v>576</v>
      </c>
      <c r="E343" t="s">
        <v>298</v>
      </c>
      <c r="F343" t="s">
        <v>577</v>
      </c>
      <c r="G343" t="s">
        <v>43</v>
      </c>
      <c r="H343" t="s">
        <v>25</v>
      </c>
      <c r="L34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4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43" s="1"/>
      <c r="T343" s="64" t="str">
        <f>IF(Table1[[#This Row],[ActualWinner]]="", "", IF(Table1[[#This Row],[AwayTeam]]=Table1[[#This Row],[ActualWinner]],Table1[[#This Row],[HomeTeam]],Table1[[#This Row],[AwayTeam]]))</f>
        <v/>
      </c>
      <c r="U343" s="64">
        <f>Table1[[#This Row],[ActualAwayScore]]-Table1[[#This Row],[PredictedAwayScore]]</f>
        <v>0</v>
      </c>
      <c r="V343" s="64">
        <f>Table1[[#This Row],[ActualHomeScore]]-Table1[[#This Row],[PredictedHomeScore]]</f>
        <v>0</v>
      </c>
      <c r="W343" s="64">
        <f>(0.8*IF(Table1[[#This Row],[CorrectWinnerPrediction]]=1, 1, 0))+(0.1*IF(Table1[[#This Row],[CorrectAwayScorePrediction]]=1, 1, 0))+(0.1*IF(Table1[[#This Row],[CorrectHomeScorePrediction]]=1, 1, 0))</f>
        <v>0</v>
      </c>
      <c r="X34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43" s="64">
        <f>SUMIF(Table1[GameDate], Table1[[#This Row],[GameDate]], Table1[AwayGameGoalDiff])</f>
        <v>0</v>
      </c>
      <c r="AA343" s="64">
        <f>SUMIF(Table1[GameDate], Table1[[#This Row],[GameDate]], Table1[HomeGameGoalDiff])</f>
        <v>0</v>
      </c>
      <c r="AB343" s="64">
        <f>IF(ISBLANK(Table1[[#This Row],[ActualResult]]), 0, 1)</f>
        <v>0</v>
      </c>
      <c r="AC343" s="64">
        <f>IF(ISBLANK(Table1[[#This Row],[ActualResult]]), 0, IF(Table1[[#This Row],[ActualWinner]]=Table1[[#This Row],[PredictedWinner]], 1, 0))</f>
        <v>0</v>
      </c>
      <c r="AD34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4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43" s="64">
        <f>IF(AND(Table1[[#This Row],[GameIsOver]]=1,Table1[[#This Row],[ActualAwayScore]]=0), 1,0)</f>
        <v>0</v>
      </c>
      <c r="AG343" s="64">
        <f>IF(AND(Table1[[#This Row],[GameIsOver]]=1,Table1[[#This Row],[ActualHomeScore]]=0), 1,0)</f>
        <v>0</v>
      </c>
      <c r="AH343" s="64">
        <f>IF(Table1[[#This Row],[GameIsOver]]=0,0,IF(Table1[[#This Row],[ActualWinner]]=Table1[[#This Row],[AwayTeam]], 1, 0))</f>
        <v>0</v>
      </c>
      <c r="AI343" s="64">
        <f>IF(Table1[[#This Row],[GameIsOver]]=0,0,IF(Table1[[#This Row],[ActualWinner]]=Table1[[#This Row],[HomeTeam]], 1, 0))</f>
        <v>0</v>
      </c>
      <c r="AJ343" s="64">
        <f>IF(INDEX(Standings!$A$2:$C$33,MATCH(Table1[[#This Row],[AwayTeam]],Standings!$A$2:$A$33,0),2)=INDEX(Standings!$A$2:$C$33,MATCH(Table1[[#This Row],[HomeTeam]],Standings!$A$2:$A$33,0),2),1,0)</f>
        <v>1</v>
      </c>
      <c r="AK343" s="64">
        <f>IF(INDEX(Standings!$A$2:$C$33,MATCH(Table1[[#This Row],[AwayTeam]],Standings!$A$2:$A$33,0),3)=INDEX(Standings!$A$2:$C$33,MATCH(Table1[[#This Row],[HomeTeam]],Standings!$A$2:$A$33,0),3),1,0)</f>
        <v>0</v>
      </c>
      <c r="AL343" s="64">
        <f>IF(Table1[[#This Row],[InterConf]]=1,IF(Table1[[#This Row],[InterDiv]]=0, 1, 0), 0)</f>
        <v>1</v>
      </c>
      <c r="AM343" s="64">
        <f>IF(INDEX(Standings!$A$2:$C$33,MATCH(Table1[[#This Row],[AwayTeam]],Standings!$A$2:$A$33,0),2)&lt;&gt;INDEX(Standings!$A$2:$C$33,MATCH(Table1[[#This Row],[HomeTeam]],Standings!$A$2:$A$33,0),2),1,0)</f>
        <v>0</v>
      </c>
      <c r="AN343" s="64" t="str">
        <f>INDEX(Table2[AWAY_RECORD], MATCH(Table1[[#This Row],[AwayTeam]],Table2[Team], 0), 0)</f>
        <v>0-0-0</v>
      </c>
      <c r="AO343" s="64" t="str">
        <f>INDEX(Records!$B$2:$AG$33, MATCH(Table1[[#This Row],[AwayTeam]],Records!$A$2:$A$33, 0), MATCH(Table1[[#This Row],[HomeTeam]],Records!$A$2:$A$33, 0))</f>
        <v>0-0-0</v>
      </c>
      <c r="AP343" s="64" t="str">
        <f>INDEX(Table2[HOME_RECORD], MATCH(Table1[[#This Row],[HomeTeam]],Table2[Team], 0), 0)</f>
        <v>0-0-1</v>
      </c>
      <c r="AQ343" s="64" t="str">
        <f>INDEX(Records!$B$2:$AG$33, MATCH(Table1[[#This Row],[HomeTeam]],Records!$A$2:$A$33, 0), MATCH(Table1[[#This Row],[AwayTeam]],Records!$A$2:$A$33, 0))</f>
        <v>0-0-0</v>
      </c>
    </row>
    <row r="344" spans="1:43" x14ac:dyDescent="0.25">
      <c r="A344" s="1"/>
      <c r="D344" t="s">
        <v>576</v>
      </c>
      <c r="E344" t="s">
        <v>298</v>
      </c>
      <c r="F344" t="s">
        <v>578</v>
      </c>
      <c r="G344" t="s">
        <v>39</v>
      </c>
      <c r="H344" t="s">
        <v>55</v>
      </c>
      <c r="L34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4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44" s="1"/>
      <c r="T344" s="64" t="str">
        <f>IF(Table1[[#This Row],[ActualWinner]]="", "", IF(Table1[[#This Row],[AwayTeam]]=Table1[[#This Row],[ActualWinner]],Table1[[#This Row],[HomeTeam]],Table1[[#This Row],[AwayTeam]]))</f>
        <v/>
      </c>
      <c r="U344" s="64">
        <f>Table1[[#This Row],[ActualAwayScore]]-Table1[[#This Row],[PredictedAwayScore]]</f>
        <v>0</v>
      </c>
      <c r="V344" s="64">
        <f>Table1[[#This Row],[ActualHomeScore]]-Table1[[#This Row],[PredictedHomeScore]]</f>
        <v>0</v>
      </c>
      <c r="W344" s="64">
        <f>(0.8*IF(Table1[[#This Row],[CorrectWinnerPrediction]]=1, 1, 0))+(0.1*IF(Table1[[#This Row],[CorrectAwayScorePrediction]]=1, 1, 0))+(0.1*IF(Table1[[#This Row],[CorrectHomeScorePrediction]]=1, 1, 0))</f>
        <v>0</v>
      </c>
      <c r="X34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44" s="64">
        <f>SUMIF(Table1[GameDate], Table1[[#This Row],[GameDate]], Table1[AwayGameGoalDiff])</f>
        <v>0</v>
      </c>
      <c r="AA344" s="64">
        <f>SUMIF(Table1[GameDate], Table1[[#This Row],[GameDate]], Table1[HomeGameGoalDiff])</f>
        <v>0</v>
      </c>
      <c r="AB344" s="64">
        <f>IF(ISBLANK(Table1[[#This Row],[ActualResult]]), 0, 1)</f>
        <v>0</v>
      </c>
      <c r="AC344" s="64">
        <f>IF(ISBLANK(Table1[[#This Row],[ActualResult]]), 0, IF(Table1[[#This Row],[ActualWinner]]=Table1[[#This Row],[PredictedWinner]], 1, 0))</f>
        <v>0</v>
      </c>
      <c r="AD34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4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44" s="64">
        <f>IF(AND(Table1[[#This Row],[GameIsOver]]=1,Table1[[#This Row],[ActualAwayScore]]=0), 1,0)</f>
        <v>0</v>
      </c>
      <c r="AG344" s="64">
        <f>IF(AND(Table1[[#This Row],[GameIsOver]]=1,Table1[[#This Row],[ActualHomeScore]]=0), 1,0)</f>
        <v>0</v>
      </c>
      <c r="AH344" s="64">
        <f>IF(Table1[[#This Row],[GameIsOver]]=0,0,IF(Table1[[#This Row],[ActualWinner]]=Table1[[#This Row],[AwayTeam]], 1, 0))</f>
        <v>0</v>
      </c>
      <c r="AI344" s="64">
        <f>IF(Table1[[#This Row],[GameIsOver]]=0,0,IF(Table1[[#This Row],[ActualWinner]]=Table1[[#This Row],[HomeTeam]], 1, 0))</f>
        <v>0</v>
      </c>
      <c r="AJ344" s="64">
        <f>IF(INDEX(Standings!$A$2:$C$33,MATCH(Table1[[#This Row],[AwayTeam]],Standings!$A$2:$A$33,0),2)=INDEX(Standings!$A$2:$C$33,MATCH(Table1[[#This Row],[HomeTeam]],Standings!$A$2:$A$33,0),2),1,0)</f>
        <v>1</v>
      </c>
      <c r="AK344" s="64">
        <f>IF(INDEX(Standings!$A$2:$C$33,MATCH(Table1[[#This Row],[AwayTeam]],Standings!$A$2:$A$33,0),3)=INDEX(Standings!$A$2:$C$33,MATCH(Table1[[#This Row],[HomeTeam]],Standings!$A$2:$A$33,0),3),1,0)</f>
        <v>1</v>
      </c>
      <c r="AL344" s="64">
        <f>IF(Table1[[#This Row],[InterConf]]=1,IF(Table1[[#This Row],[InterDiv]]=0, 1, 0), 0)</f>
        <v>0</v>
      </c>
      <c r="AM344" s="64">
        <f>IF(INDEX(Standings!$A$2:$C$33,MATCH(Table1[[#This Row],[AwayTeam]],Standings!$A$2:$A$33,0),2)&lt;&gt;INDEX(Standings!$A$2:$C$33,MATCH(Table1[[#This Row],[HomeTeam]],Standings!$A$2:$A$33,0),2),1,0)</f>
        <v>0</v>
      </c>
      <c r="AN344" s="64" t="str">
        <f>INDEX(Table2[AWAY_RECORD], MATCH(Table1[[#This Row],[AwayTeam]],Table2[Team], 0), 0)</f>
        <v>0-0-0</v>
      </c>
      <c r="AO344" s="64" t="str">
        <f>INDEX(Records!$B$2:$AG$33, MATCH(Table1[[#This Row],[AwayTeam]],Records!$A$2:$A$33, 0), MATCH(Table1[[#This Row],[HomeTeam]],Records!$A$2:$A$33, 0))</f>
        <v>0-0-0</v>
      </c>
      <c r="AP344" s="64" t="str">
        <f>INDEX(Table2[HOME_RECORD], MATCH(Table1[[#This Row],[HomeTeam]],Table2[Team], 0), 0)</f>
        <v>0-1-0</v>
      </c>
      <c r="AQ344" s="64" t="str">
        <f>INDEX(Records!$B$2:$AG$33, MATCH(Table1[[#This Row],[HomeTeam]],Records!$A$2:$A$33, 0), MATCH(Table1[[#This Row],[AwayTeam]],Records!$A$2:$A$33, 0))</f>
        <v>0-0-0</v>
      </c>
    </row>
    <row r="345" spans="1:43" x14ac:dyDescent="0.25">
      <c r="A345" s="1"/>
      <c r="D345" t="s">
        <v>576</v>
      </c>
      <c r="E345" t="s">
        <v>289</v>
      </c>
      <c r="F345" t="s">
        <v>579</v>
      </c>
      <c r="G345" t="s">
        <v>37</v>
      </c>
      <c r="H345" t="s">
        <v>44</v>
      </c>
      <c r="L34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4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45" s="1"/>
      <c r="T345" s="64" t="str">
        <f>IF(Table1[[#This Row],[ActualWinner]]="", "", IF(Table1[[#This Row],[AwayTeam]]=Table1[[#This Row],[ActualWinner]],Table1[[#This Row],[HomeTeam]],Table1[[#This Row],[AwayTeam]]))</f>
        <v/>
      </c>
      <c r="U345" s="64">
        <f>Table1[[#This Row],[ActualAwayScore]]-Table1[[#This Row],[PredictedAwayScore]]</f>
        <v>0</v>
      </c>
      <c r="V345" s="64">
        <f>Table1[[#This Row],[ActualHomeScore]]-Table1[[#This Row],[PredictedHomeScore]]</f>
        <v>0</v>
      </c>
      <c r="W345" s="64">
        <f>(0.8*IF(Table1[[#This Row],[CorrectWinnerPrediction]]=1, 1, 0))+(0.1*IF(Table1[[#This Row],[CorrectAwayScorePrediction]]=1, 1, 0))+(0.1*IF(Table1[[#This Row],[CorrectHomeScorePrediction]]=1, 1, 0))</f>
        <v>0</v>
      </c>
      <c r="X34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45" s="64">
        <f>SUMIF(Table1[GameDate], Table1[[#This Row],[GameDate]], Table1[AwayGameGoalDiff])</f>
        <v>0</v>
      </c>
      <c r="AA345" s="64">
        <f>SUMIF(Table1[GameDate], Table1[[#This Row],[GameDate]], Table1[HomeGameGoalDiff])</f>
        <v>0</v>
      </c>
      <c r="AB345" s="64">
        <f>IF(ISBLANK(Table1[[#This Row],[ActualResult]]), 0, 1)</f>
        <v>0</v>
      </c>
      <c r="AC345" s="64">
        <f>IF(ISBLANK(Table1[[#This Row],[ActualResult]]), 0, IF(Table1[[#This Row],[ActualWinner]]=Table1[[#This Row],[PredictedWinner]], 1, 0))</f>
        <v>0</v>
      </c>
      <c r="AD34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4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45" s="64">
        <f>IF(AND(Table1[[#This Row],[GameIsOver]]=1,Table1[[#This Row],[ActualAwayScore]]=0), 1,0)</f>
        <v>0</v>
      </c>
      <c r="AG345" s="64">
        <f>IF(AND(Table1[[#This Row],[GameIsOver]]=1,Table1[[#This Row],[ActualHomeScore]]=0), 1,0)</f>
        <v>0</v>
      </c>
      <c r="AH345" s="64">
        <f>IF(Table1[[#This Row],[GameIsOver]]=0,0,IF(Table1[[#This Row],[ActualWinner]]=Table1[[#This Row],[AwayTeam]], 1, 0))</f>
        <v>0</v>
      </c>
      <c r="AI345" s="64">
        <f>IF(Table1[[#This Row],[GameIsOver]]=0,0,IF(Table1[[#This Row],[ActualWinner]]=Table1[[#This Row],[HomeTeam]], 1, 0))</f>
        <v>0</v>
      </c>
      <c r="AJ345" s="64">
        <f>IF(INDEX(Standings!$A$2:$C$33,MATCH(Table1[[#This Row],[AwayTeam]],Standings!$A$2:$A$33,0),2)=INDEX(Standings!$A$2:$C$33,MATCH(Table1[[#This Row],[HomeTeam]],Standings!$A$2:$A$33,0),2),1,0)</f>
        <v>1</v>
      </c>
      <c r="AK345" s="64">
        <f>IF(INDEX(Standings!$A$2:$C$33,MATCH(Table1[[#This Row],[AwayTeam]],Standings!$A$2:$A$33,0),3)=INDEX(Standings!$A$2:$C$33,MATCH(Table1[[#This Row],[HomeTeam]],Standings!$A$2:$A$33,0),3),1,0)</f>
        <v>1</v>
      </c>
      <c r="AL345" s="64">
        <f>IF(Table1[[#This Row],[InterConf]]=1,IF(Table1[[#This Row],[InterDiv]]=0, 1, 0), 0)</f>
        <v>0</v>
      </c>
      <c r="AM345" s="64">
        <f>IF(INDEX(Standings!$A$2:$C$33,MATCH(Table1[[#This Row],[AwayTeam]],Standings!$A$2:$A$33,0),2)&lt;&gt;INDEX(Standings!$A$2:$C$33,MATCH(Table1[[#This Row],[HomeTeam]],Standings!$A$2:$A$33,0),2),1,0)</f>
        <v>0</v>
      </c>
      <c r="AN345" s="64" t="str">
        <f>INDEX(Table2[AWAY_RECORD], MATCH(Table1[[#This Row],[AwayTeam]],Table2[Team], 0), 0)</f>
        <v>0-0-1</v>
      </c>
      <c r="AO345" s="64" t="str">
        <f>INDEX(Records!$B$2:$AG$33, MATCH(Table1[[#This Row],[AwayTeam]],Records!$A$2:$A$33, 0), MATCH(Table1[[#This Row],[HomeTeam]],Records!$A$2:$A$33, 0))</f>
        <v>0-0-0</v>
      </c>
      <c r="AP345" s="64" t="str">
        <f>INDEX(Table2[HOME_RECORD], MATCH(Table1[[#This Row],[HomeTeam]],Table2[Team], 0), 0)</f>
        <v>0-0-1</v>
      </c>
      <c r="AQ345" s="64" t="str">
        <f>INDEX(Records!$B$2:$AG$33, MATCH(Table1[[#This Row],[HomeTeam]],Records!$A$2:$A$33, 0), MATCH(Table1[[#This Row],[AwayTeam]],Records!$A$2:$A$33, 0))</f>
        <v>0-0-0</v>
      </c>
    </row>
    <row r="346" spans="1:43" x14ac:dyDescent="0.25">
      <c r="A346" s="1"/>
      <c r="D346" t="s">
        <v>576</v>
      </c>
      <c r="E346" t="s">
        <v>289</v>
      </c>
      <c r="F346" t="s">
        <v>580</v>
      </c>
      <c r="G346" t="s">
        <v>47</v>
      </c>
      <c r="H346" t="s">
        <v>49</v>
      </c>
      <c r="L34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4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46" s="1"/>
      <c r="T346" s="64" t="str">
        <f>IF(Table1[[#This Row],[ActualWinner]]="", "", IF(Table1[[#This Row],[AwayTeam]]=Table1[[#This Row],[ActualWinner]],Table1[[#This Row],[HomeTeam]],Table1[[#This Row],[AwayTeam]]))</f>
        <v/>
      </c>
      <c r="U346" s="64">
        <f>Table1[[#This Row],[ActualAwayScore]]-Table1[[#This Row],[PredictedAwayScore]]</f>
        <v>0</v>
      </c>
      <c r="V346" s="64">
        <f>Table1[[#This Row],[ActualHomeScore]]-Table1[[#This Row],[PredictedHomeScore]]</f>
        <v>0</v>
      </c>
      <c r="W346" s="64">
        <f>(0.8*IF(Table1[[#This Row],[CorrectWinnerPrediction]]=1, 1, 0))+(0.1*IF(Table1[[#This Row],[CorrectAwayScorePrediction]]=1, 1, 0))+(0.1*IF(Table1[[#This Row],[CorrectHomeScorePrediction]]=1, 1, 0))</f>
        <v>0</v>
      </c>
      <c r="X34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46" s="64">
        <f>SUMIF(Table1[GameDate], Table1[[#This Row],[GameDate]], Table1[AwayGameGoalDiff])</f>
        <v>0</v>
      </c>
      <c r="AA346" s="64">
        <f>SUMIF(Table1[GameDate], Table1[[#This Row],[GameDate]], Table1[HomeGameGoalDiff])</f>
        <v>0</v>
      </c>
      <c r="AB346" s="64">
        <f>IF(ISBLANK(Table1[[#This Row],[ActualResult]]), 0, 1)</f>
        <v>0</v>
      </c>
      <c r="AC346" s="64">
        <f>IF(ISBLANK(Table1[[#This Row],[ActualResult]]), 0, IF(Table1[[#This Row],[ActualWinner]]=Table1[[#This Row],[PredictedWinner]], 1, 0))</f>
        <v>0</v>
      </c>
      <c r="AD34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4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46" s="64">
        <f>IF(AND(Table1[[#This Row],[GameIsOver]]=1,Table1[[#This Row],[ActualAwayScore]]=0), 1,0)</f>
        <v>0</v>
      </c>
      <c r="AG346" s="64">
        <f>IF(AND(Table1[[#This Row],[GameIsOver]]=1,Table1[[#This Row],[ActualHomeScore]]=0), 1,0)</f>
        <v>0</v>
      </c>
      <c r="AH346" s="64">
        <f>IF(Table1[[#This Row],[GameIsOver]]=0,0,IF(Table1[[#This Row],[ActualWinner]]=Table1[[#This Row],[AwayTeam]], 1, 0))</f>
        <v>0</v>
      </c>
      <c r="AI346" s="64">
        <f>IF(Table1[[#This Row],[GameIsOver]]=0,0,IF(Table1[[#This Row],[ActualWinner]]=Table1[[#This Row],[HomeTeam]], 1, 0))</f>
        <v>0</v>
      </c>
      <c r="AJ346" s="64">
        <f>IF(INDEX(Standings!$A$2:$C$33,MATCH(Table1[[#This Row],[AwayTeam]],Standings!$A$2:$A$33,0),2)=INDEX(Standings!$A$2:$C$33,MATCH(Table1[[#This Row],[HomeTeam]],Standings!$A$2:$A$33,0),2),1,0)</f>
        <v>1</v>
      </c>
      <c r="AK346" s="64">
        <f>IF(INDEX(Standings!$A$2:$C$33,MATCH(Table1[[#This Row],[AwayTeam]],Standings!$A$2:$A$33,0),3)=INDEX(Standings!$A$2:$C$33,MATCH(Table1[[#This Row],[HomeTeam]],Standings!$A$2:$A$33,0),3),1,0)</f>
        <v>0</v>
      </c>
      <c r="AL346" s="64">
        <f>IF(Table1[[#This Row],[InterConf]]=1,IF(Table1[[#This Row],[InterDiv]]=0, 1, 0), 0)</f>
        <v>1</v>
      </c>
      <c r="AM346" s="64">
        <f>IF(INDEX(Standings!$A$2:$C$33,MATCH(Table1[[#This Row],[AwayTeam]],Standings!$A$2:$A$33,0),2)&lt;&gt;INDEX(Standings!$A$2:$C$33,MATCH(Table1[[#This Row],[HomeTeam]],Standings!$A$2:$A$33,0),2),1,0)</f>
        <v>0</v>
      </c>
      <c r="AN346" s="64" t="str">
        <f>INDEX(Table2[AWAY_RECORD], MATCH(Table1[[#This Row],[AwayTeam]],Table2[Team], 0), 0)</f>
        <v>1-0-0</v>
      </c>
      <c r="AO346" s="64" t="str">
        <f>INDEX(Records!$B$2:$AG$33, MATCH(Table1[[#This Row],[AwayTeam]],Records!$A$2:$A$33, 0), MATCH(Table1[[#This Row],[HomeTeam]],Records!$A$2:$A$33, 0))</f>
        <v>0-0-0</v>
      </c>
      <c r="AP346" s="64" t="str">
        <f>INDEX(Table2[HOME_RECORD], MATCH(Table1[[#This Row],[HomeTeam]],Table2[Team], 0), 0)</f>
        <v>1-0-0</v>
      </c>
      <c r="AQ346" s="64" t="str">
        <f>INDEX(Records!$B$2:$AG$33, MATCH(Table1[[#This Row],[HomeTeam]],Records!$A$2:$A$33, 0), MATCH(Table1[[#This Row],[AwayTeam]],Records!$A$2:$A$33, 0))</f>
        <v>0-0-0</v>
      </c>
    </row>
    <row r="347" spans="1:43" x14ac:dyDescent="0.25">
      <c r="A347" s="1"/>
      <c r="D347" t="s">
        <v>576</v>
      </c>
      <c r="E347" t="s">
        <v>164</v>
      </c>
      <c r="F347" t="s">
        <v>581</v>
      </c>
      <c r="G347" t="s">
        <v>41</v>
      </c>
      <c r="H347" t="s">
        <v>58</v>
      </c>
      <c r="L34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4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47" s="1"/>
      <c r="T347" s="64" t="str">
        <f>IF(Table1[[#This Row],[ActualWinner]]="", "", IF(Table1[[#This Row],[AwayTeam]]=Table1[[#This Row],[ActualWinner]],Table1[[#This Row],[HomeTeam]],Table1[[#This Row],[AwayTeam]]))</f>
        <v/>
      </c>
      <c r="U347" s="64">
        <f>Table1[[#This Row],[ActualAwayScore]]-Table1[[#This Row],[PredictedAwayScore]]</f>
        <v>0</v>
      </c>
      <c r="V347" s="64">
        <f>Table1[[#This Row],[ActualHomeScore]]-Table1[[#This Row],[PredictedHomeScore]]</f>
        <v>0</v>
      </c>
      <c r="W347" s="64">
        <f>(0.8*IF(Table1[[#This Row],[CorrectWinnerPrediction]]=1, 1, 0))+(0.1*IF(Table1[[#This Row],[CorrectAwayScorePrediction]]=1, 1, 0))+(0.1*IF(Table1[[#This Row],[CorrectHomeScorePrediction]]=1, 1, 0))</f>
        <v>0</v>
      </c>
      <c r="X34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47" s="64">
        <f>SUMIF(Table1[GameDate], Table1[[#This Row],[GameDate]], Table1[AwayGameGoalDiff])</f>
        <v>0</v>
      </c>
      <c r="AA347" s="64">
        <f>SUMIF(Table1[GameDate], Table1[[#This Row],[GameDate]], Table1[HomeGameGoalDiff])</f>
        <v>0</v>
      </c>
      <c r="AB347" s="64">
        <f>IF(ISBLANK(Table1[[#This Row],[ActualResult]]), 0, 1)</f>
        <v>0</v>
      </c>
      <c r="AC347" s="64">
        <f>IF(ISBLANK(Table1[[#This Row],[ActualResult]]), 0, IF(Table1[[#This Row],[ActualWinner]]=Table1[[#This Row],[PredictedWinner]], 1, 0))</f>
        <v>0</v>
      </c>
      <c r="AD34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4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47" s="64">
        <f>IF(AND(Table1[[#This Row],[GameIsOver]]=1,Table1[[#This Row],[ActualAwayScore]]=0), 1,0)</f>
        <v>0</v>
      </c>
      <c r="AG347" s="64">
        <f>IF(AND(Table1[[#This Row],[GameIsOver]]=1,Table1[[#This Row],[ActualHomeScore]]=0), 1,0)</f>
        <v>0</v>
      </c>
      <c r="AH347" s="64">
        <f>IF(Table1[[#This Row],[GameIsOver]]=0,0,IF(Table1[[#This Row],[ActualWinner]]=Table1[[#This Row],[AwayTeam]], 1, 0))</f>
        <v>0</v>
      </c>
      <c r="AI347" s="64">
        <f>IF(Table1[[#This Row],[GameIsOver]]=0,0,IF(Table1[[#This Row],[ActualWinner]]=Table1[[#This Row],[HomeTeam]], 1, 0))</f>
        <v>0</v>
      </c>
      <c r="AJ347" s="64">
        <f>IF(INDEX(Standings!$A$2:$C$33,MATCH(Table1[[#This Row],[AwayTeam]],Standings!$A$2:$A$33,0),2)=INDEX(Standings!$A$2:$C$33,MATCH(Table1[[#This Row],[HomeTeam]],Standings!$A$2:$A$33,0),2),1,0)</f>
        <v>1</v>
      </c>
      <c r="AK347" s="64">
        <f>IF(INDEX(Standings!$A$2:$C$33,MATCH(Table1[[#This Row],[AwayTeam]],Standings!$A$2:$A$33,0),3)=INDEX(Standings!$A$2:$C$33,MATCH(Table1[[#This Row],[HomeTeam]],Standings!$A$2:$A$33,0),3),1,0)</f>
        <v>1</v>
      </c>
      <c r="AL347" s="64">
        <f>IF(Table1[[#This Row],[InterConf]]=1,IF(Table1[[#This Row],[InterDiv]]=0, 1, 0), 0)</f>
        <v>0</v>
      </c>
      <c r="AM347" s="64">
        <f>IF(INDEX(Standings!$A$2:$C$33,MATCH(Table1[[#This Row],[AwayTeam]],Standings!$A$2:$A$33,0),2)&lt;&gt;INDEX(Standings!$A$2:$C$33,MATCH(Table1[[#This Row],[HomeTeam]],Standings!$A$2:$A$33,0),2),1,0)</f>
        <v>0</v>
      </c>
      <c r="AN347" s="64" t="str">
        <f>INDEX(Table2[AWAY_RECORD], MATCH(Table1[[#This Row],[AwayTeam]],Table2[Team], 0), 0)</f>
        <v>0-0-0</v>
      </c>
      <c r="AO347" s="64" t="str">
        <f>INDEX(Records!$B$2:$AG$33, MATCH(Table1[[#This Row],[AwayTeam]],Records!$A$2:$A$33, 0), MATCH(Table1[[#This Row],[HomeTeam]],Records!$A$2:$A$33, 0))</f>
        <v>0-0-0</v>
      </c>
      <c r="AP347" s="64" t="str">
        <f>INDEX(Table2[HOME_RECORD], MATCH(Table1[[#This Row],[HomeTeam]],Table2[Team], 0), 0)</f>
        <v>1-0-0</v>
      </c>
      <c r="AQ347" s="64" t="str">
        <f>INDEX(Records!$B$2:$AG$33, MATCH(Table1[[#This Row],[HomeTeam]],Records!$A$2:$A$33, 0), MATCH(Table1[[#This Row],[AwayTeam]],Records!$A$2:$A$33, 0))</f>
        <v>0-0-0</v>
      </c>
    </row>
    <row r="348" spans="1:43" x14ac:dyDescent="0.25">
      <c r="A348" s="1"/>
      <c r="D348" t="s">
        <v>582</v>
      </c>
      <c r="E348" t="s">
        <v>162</v>
      </c>
      <c r="F348" t="s">
        <v>583</v>
      </c>
      <c r="G348" t="s">
        <v>46</v>
      </c>
      <c r="H348" t="s">
        <v>24</v>
      </c>
      <c r="L34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4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48" s="1"/>
      <c r="T348" s="64" t="str">
        <f>IF(Table1[[#This Row],[ActualWinner]]="", "", IF(Table1[[#This Row],[AwayTeam]]=Table1[[#This Row],[ActualWinner]],Table1[[#This Row],[HomeTeam]],Table1[[#This Row],[AwayTeam]]))</f>
        <v/>
      </c>
      <c r="U348" s="64">
        <f>Table1[[#This Row],[ActualAwayScore]]-Table1[[#This Row],[PredictedAwayScore]]</f>
        <v>0</v>
      </c>
      <c r="V348" s="64">
        <f>Table1[[#This Row],[ActualHomeScore]]-Table1[[#This Row],[PredictedHomeScore]]</f>
        <v>0</v>
      </c>
      <c r="W348" s="64">
        <f>(0.8*IF(Table1[[#This Row],[CorrectWinnerPrediction]]=1, 1, 0))+(0.1*IF(Table1[[#This Row],[CorrectAwayScorePrediction]]=1, 1, 0))+(0.1*IF(Table1[[#This Row],[CorrectHomeScorePrediction]]=1, 1, 0))</f>
        <v>0</v>
      </c>
      <c r="X34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48" s="64">
        <f>SUMIF(Table1[GameDate], Table1[[#This Row],[GameDate]], Table1[AwayGameGoalDiff])</f>
        <v>0</v>
      </c>
      <c r="AA348" s="64">
        <f>SUMIF(Table1[GameDate], Table1[[#This Row],[GameDate]], Table1[HomeGameGoalDiff])</f>
        <v>0</v>
      </c>
      <c r="AB348" s="64">
        <f>IF(ISBLANK(Table1[[#This Row],[ActualResult]]), 0, 1)</f>
        <v>0</v>
      </c>
      <c r="AC348" s="64">
        <f>IF(ISBLANK(Table1[[#This Row],[ActualResult]]), 0, IF(Table1[[#This Row],[ActualWinner]]=Table1[[#This Row],[PredictedWinner]], 1, 0))</f>
        <v>0</v>
      </c>
      <c r="AD34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4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48" s="64">
        <f>IF(AND(Table1[[#This Row],[GameIsOver]]=1,Table1[[#This Row],[ActualAwayScore]]=0), 1,0)</f>
        <v>0</v>
      </c>
      <c r="AG348" s="64">
        <f>IF(AND(Table1[[#This Row],[GameIsOver]]=1,Table1[[#This Row],[ActualHomeScore]]=0), 1,0)</f>
        <v>0</v>
      </c>
      <c r="AH348" s="64">
        <f>IF(Table1[[#This Row],[GameIsOver]]=0,0,IF(Table1[[#This Row],[ActualWinner]]=Table1[[#This Row],[AwayTeam]], 1, 0))</f>
        <v>0</v>
      </c>
      <c r="AI348" s="64">
        <f>IF(Table1[[#This Row],[GameIsOver]]=0,0,IF(Table1[[#This Row],[ActualWinner]]=Table1[[#This Row],[HomeTeam]], 1, 0))</f>
        <v>0</v>
      </c>
      <c r="AJ348" s="64">
        <f>IF(INDEX(Standings!$A$2:$C$33,MATCH(Table1[[#This Row],[AwayTeam]],Standings!$A$2:$A$33,0),2)=INDEX(Standings!$A$2:$C$33,MATCH(Table1[[#This Row],[HomeTeam]],Standings!$A$2:$A$33,0),2),1,0)</f>
        <v>0</v>
      </c>
      <c r="AK348" s="64">
        <f>IF(INDEX(Standings!$A$2:$C$33,MATCH(Table1[[#This Row],[AwayTeam]],Standings!$A$2:$A$33,0),3)=INDEX(Standings!$A$2:$C$33,MATCH(Table1[[#This Row],[HomeTeam]],Standings!$A$2:$A$33,0),3),1,0)</f>
        <v>0</v>
      </c>
      <c r="AL348" s="64">
        <f>IF(Table1[[#This Row],[InterConf]]=1,IF(Table1[[#This Row],[InterDiv]]=0, 1, 0), 0)</f>
        <v>0</v>
      </c>
      <c r="AM348" s="64">
        <f>IF(INDEX(Standings!$A$2:$C$33,MATCH(Table1[[#This Row],[AwayTeam]],Standings!$A$2:$A$33,0),2)&lt;&gt;INDEX(Standings!$A$2:$C$33,MATCH(Table1[[#This Row],[HomeTeam]],Standings!$A$2:$A$33,0),2),1,0)</f>
        <v>1</v>
      </c>
      <c r="AN348" s="64" t="str">
        <f>INDEX(Table2[AWAY_RECORD], MATCH(Table1[[#This Row],[AwayTeam]],Table2[Team], 0), 0)</f>
        <v>1-0-0</v>
      </c>
      <c r="AO348" s="64" t="str">
        <f>INDEX(Records!$B$2:$AG$33, MATCH(Table1[[#This Row],[AwayTeam]],Records!$A$2:$A$33, 0), MATCH(Table1[[#This Row],[HomeTeam]],Records!$A$2:$A$33, 0))</f>
        <v>0-0-0</v>
      </c>
      <c r="AP348" s="64" t="str">
        <f>INDEX(Table2[HOME_RECORD], MATCH(Table1[[#This Row],[HomeTeam]],Table2[Team], 0), 0)</f>
        <v>0-2-0</v>
      </c>
      <c r="AQ348" s="64" t="str">
        <f>INDEX(Records!$B$2:$AG$33, MATCH(Table1[[#This Row],[HomeTeam]],Records!$A$2:$A$33, 0), MATCH(Table1[[#This Row],[AwayTeam]],Records!$A$2:$A$33, 0))</f>
        <v>0-0-0</v>
      </c>
    </row>
    <row r="349" spans="1:43" x14ac:dyDescent="0.25">
      <c r="A349" s="1"/>
      <c r="D349" t="s">
        <v>582</v>
      </c>
      <c r="E349" t="s">
        <v>162</v>
      </c>
      <c r="F349" t="s">
        <v>584</v>
      </c>
      <c r="G349" t="s">
        <v>53</v>
      </c>
      <c r="H349" t="s">
        <v>52</v>
      </c>
      <c r="L34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4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49" s="1"/>
      <c r="T349" s="64" t="str">
        <f>IF(Table1[[#This Row],[ActualWinner]]="", "", IF(Table1[[#This Row],[AwayTeam]]=Table1[[#This Row],[ActualWinner]],Table1[[#This Row],[HomeTeam]],Table1[[#This Row],[AwayTeam]]))</f>
        <v/>
      </c>
      <c r="U349" s="64">
        <f>Table1[[#This Row],[ActualAwayScore]]-Table1[[#This Row],[PredictedAwayScore]]</f>
        <v>0</v>
      </c>
      <c r="V349" s="64">
        <f>Table1[[#This Row],[ActualHomeScore]]-Table1[[#This Row],[PredictedHomeScore]]</f>
        <v>0</v>
      </c>
      <c r="W349" s="64">
        <f>(0.8*IF(Table1[[#This Row],[CorrectWinnerPrediction]]=1, 1, 0))+(0.1*IF(Table1[[#This Row],[CorrectAwayScorePrediction]]=1, 1, 0))+(0.1*IF(Table1[[#This Row],[CorrectHomeScorePrediction]]=1, 1, 0))</f>
        <v>0</v>
      </c>
      <c r="X34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49" s="64">
        <f>SUMIF(Table1[GameDate], Table1[[#This Row],[GameDate]], Table1[AwayGameGoalDiff])</f>
        <v>0</v>
      </c>
      <c r="AA349" s="64">
        <f>SUMIF(Table1[GameDate], Table1[[#This Row],[GameDate]], Table1[HomeGameGoalDiff])</f>
        <v>0</v>
      </c>
      <c r="AB349" s="64">
        <f>IF(ISBLANK(Table1[[#This Row],[ActualResult]]), 0, 1)</f>
        <v>0</v>
      </c>
      <c r="AC349" s="64">
        <f>IF(ISBLANK(Table1[[#This Row],[ActualResult]]), 0, IF(Table1[[#This Row],[ActualWinner]]=Table1[[#This Row],[PredictedWinner]], 1, 0))</f>
        <v>0</v>
      </c>
      <c r="AD34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4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49" s="64">
        <f>IF(AND(Table1[[#This Row],[GameIsOver]]=1,Table1[[#This Row],[ActualAwayScore]]=0), 1,0)</f>
        <v>0</v>
      </c>
      <c r="AG349" s="64">
        <f>IF(AND(Table1[[#This Row],[GameIsOver]]=1,Table1[[#This Row],[ActualHomeScore]]=0), 1,0)</f>
        <v>0</v>
      </c>
      <c r="AH349" s="64">
        <f>IF(Table1[[#This Row],[GameIsOver]]=0,0,IF(Table1[[#This Row],[ActualWinner]]=Table1[[#This Row],[AwayTeam]], 1, 0))</f>
        <v>0</v>
      </c>
      <c r="AI349" s="64">
        <f>IF(Table1[[#This Row],[GameIsOver]]=0,0,IF(Table1[[#This Row],[ActualWinner]]=Table1[[#This Row],[HomeTeam]], 1, 0))</f>
        <v>0</v>
      </c>
      <c r="AJ349" s="64">
        <f>IF(INDEX(Standings!$A$2:$C$33,MATCH(Table1[[#This Row],[AwayTeam]],Standings!$A$2:$A$33,0),2)=INDEX(Standings!$A$2:$C$33,MATCH(Table1[[#This Row],[HomeTeam]],Standings!$A$2:$A$33,0),2),1,0)</f>
        <v>1</v>
      </c>
      <c r="AK349" s="64">
        <f>IF(INDEX(Standings!$A$2:$C$33,MATCH(Table1[[#This Row],[AwayTeam]],Standings!$A$2:$A$33,0),3)=INDEX(Standings!$A$2:$C$33,MATCH(Table1[[#This Row],[HomeTeam]],Standings!$A$2:$A$33,0),3),1,0)</f>
        <v>0</v>
      </c>
      <c r="AL349" s="64">
        <f>IF(Table1[[#This Row],[InterConf]]=1,IF(Table1[[#This Row],[InterDiv]]=0, 1, 0), 0)</f>
        <v>1</v>
      </c>
      <c r="AM349" s="64">
        <f>IF(INDEX(Standings!$A$2:$C$33,MATCH(Table1[[#This Row],[AwayTeam]],Standings!$A$2:$A$33,0),2)&lt;&gt;INDEX(Standings!$A$2:$C$33,MATCH(Table1[[#This Row],[HomeTeam]],Standings!$A$2:$A$33,0),2),1,0)</f>
        <v>0</v>
      </c>
      <c r="AN349" s="64" t="str">
        <f>INDEX(Table2[AWAY_RECORD], MATCH(Table1[[#This Row],[AwayTeam]],Table2[Team], 0), 0)</f>
        <v>0-1-0</v>
      </c>
      <c r="AO349" s="64" t="str">
        <f>INDEX(Records!$B$2:$AG$33, MATCH(Table1[[#This Row],[AwayTeam]],Records!$A$2:$A$33, 0), MATCH(Table1[[#This Row],[HomeTeam]],Records!$A$2:$A$33, 0))</f>
        <v>0-0-0</v>
      </c>
      <c r="AP349" s="64" t="str">
        <f>INDEX(Table2[HOME_RECORD], MATCH(Table1[[#This Row],[HomeTeam]],Table2[Team], 0), 0)</f>
        <v>0-0-0</v>
      </c>
      <c r="AQ349" s="64" t="str">
        <f>INDEX(Records!$B$2:$AG$33, MATCH(Table1[[#This Row],[HomeTeam]],Records!$A$2:$A$33, 0), MATCH(Table1[[#This Row],[AwayTeam]],Records!$A$2:$A$33, 0))</f>
        <v>0-0-0</v>
      </c>
    </row>
    <row r="350" spans="1:43" x14ac:dyDescent="0.25">
      <c r="A350" s="1"/>
      <c r="D350" t="s">
        <v>582</v>
      </c>
      <c r="E350" t="s">
        <v>162</v>
      </c>
      <c r="F350" t="s">
        <v>585</v>
      </c>
      <c r="G350" t="s">
        <v>45</v>
      </c>
      <c r="H350" t="s">
        <v>57</v>
      </c>
      <c r="L35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5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50" s="1"/>
      <c r="T350" s="64" t="str">
        <f>IF(Table1[[#This Row],[ActualWinner]]="", "", IF(Table1[[#This Row],[AwayTeam]]=Table1[[#This Row],[ActualWinner]],Table1[[#This Row],[HomeTeam]],Table1[[#This Row],[AwayTeam]]))</f>
        <v/>
      </c>
      <c r="U350" s="64">
        <f>Table1[[#This Row],[ActualAwayScore]]-Table1[[#This Row],[PredictedAwayScore]]</f>
        <v>0</v>
      </c>
      <c r="V350" s="64">
        <f>Table1[[#This Row],[ActualHomeScore]]-Table1[[#This Row],[PredictedHomeScore]]</f>
        <v>0</v>
      </c>
      <c r="W350" s="64">
        <f>(0.8*IF(Table1[[#This Row],[CorrectWinnerPrediction]]=1, 1, 0))+(0.1*IF(Table1[[#This Row],[CorrectAwayScorePrediction]]=1, 1, 0))+(0.1*IF(Table1[[#This Row],[CorrectHomeScorePrediction]]=1, 1, 0))</f>
        <v>0</v>
      </c>
      <c r="X35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50" s="64">
        <f>SUMIF(Table1[GameDate], Table1[[#This Row],[GameDate]], Table1[AwayGameGoalDiff])</f>
        <v>0</v>
      </c>
      <c r="AA350" s="64">
        <f>SUMIF(Table1[GameDate], Table1[[#This Row],[GameDate]], Table1[HomeGameGoalDiff])</f>
        <v>0</v>
      </c>
      <c r="AB350" s="64">
        <f>IF(ISBLANK(Table1[[#This Row],[ActualResult]]), 0, 1)</f>
        <v>0</v>
      </c>
      <c r="AC350" s="64">
        <f>IF(ISBLANK(Table1[[#This Row],[ActualResult]]), 0, IF(Table1[[#This Row],[ActualWinner]]=Table1[[#This Row],[PredictedWinner]], 1, 0))</f>
        <v>0</v>
      </c>
      <c r="AD35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5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50" s="64">
        <f>IF(AND(Table1[[#This Row],[GameIsOver]]=1,Table1[[#This Row],[ActualAwayScore]]=0), 1,0)</f>
        <v>0</v>
      </c>
      <c r="AG350" s="64">
        <f>IF(AND(Table1[[#This Row],[GameIsOver]]=1,Table1[[#This Row],[ActualHomeScore]]=0), 1,0)</f>
        <v>0</v>
      </c>
      <c r="AH350" s="64">
        <f>IF(Table1[[#This Row],[GameIsOver]]=0,0,IF(Table1[[#This Row],[ActualWinner]]=Table1[[#This Row],[AwayTeam]], 1, 0))</f>
        <v>0</v>
      </c>
      <c r="AI350" s="64">
        <f>IF(Table1[[#This Row],[GameIsOver]]=0,0,IF(Table1[[#This Row],[ActualWinner]]=Table1[[#This Row],[HomeTeam]], 1, 0))</f>
        <v>0</v>
      </c>
      <c r="AJ350" s="64">
        <f>IF(INDEX(Standings!$A$2:$C$33,MATCH(Table1[[#This Row],[AwayTeam]],Standings!$A$2:$A$33,0),2)=INDEX(Standings!$A$2:$C$33,MATCH(Table1[[#This Row],[HomeTeam]],Standings!$A$2:$A$33,0),2),1,0)</f>
        <v>0</v>
      </c>
      <c r="AK350" s="64">
        <f>IF(INDEX(Standings!$A$2:$C$33,MATCH(Table1[[#This Row],[AwayTeam]],Standings!$A$2:$A$33,0),3)=INDEX(Standings!$A$2:$C$33,MATCH(Table1[[#This Row],[HomeTeam]],Standings!$A$2:$A$33,0),3),1,0)</f>
        <v>0</v>
      </c>
      <c r="AL350" s="64">
        <f>IF(Table1[[#This Row],[InterConf]]=1,IF(Table1[[#This Row],[InterDiv]]=0, 1, 0), 0)</f>
        <v>0</v>
      </c>
      <c r="AM350" s="64">
        <f>IF(INDEX(Standings!$A$2:$C$33,MATCH(Table1[[#This Row],[AwayTeam]],Standings!$A$2:$A$33,0),2)&lt;&gt;INDEX(Standings!$A$2:$C$33,MATCH(Table1[[#This Row],[HomeTeam]],Standings!$A$2:$A$33,0),2),1,0)</f>
        <v>1</v>
      </c>
      <c r="AN350" s="64" t="str">
        <f>INDEX(Table2[AWAY_RECORD], MATCH(Table1[[#This Row],[AwayTeam]],Table2[Team], 0), 0)</f>
        <v>1-0-0</v>
      </c>
      <c r="AO350" s="64" t="str">
        <f>INDEX(Records!$B$2:$AG$33, MATCH(Table1[[#This Row],[AwayTeam]],Records!$A$2:$A$33, 0), MATCH(Table1[[#This Row],[HomeTeam]],Records!$A$2:$A$33, 0))</f>
        <v>0-0-0</v>
      </c>
      <c r="AP350" s="64" t="str">
        <f>INDEX(Table2[HOME_RECORD], MATCH(Table1[[#This Row],[HomeTeam]],Table2[Team], 0), 0)</f>
        <v>0-0-0</v>
      </c>
      <c r="AQ350" s="64" t="str">
        <f>INDEX(Records!$B$2:$AG$33, MATCH(Table1[[#This Row],[HomeTeam]],Records!$A$2:$A$33, 0), MATCH(Table1[[#This Row],[AwayTeam]],Records!$A$2:$A$33, 0))</f>
        <v>0-0-0</v>
      </c>
    </row>
    <row r="351" spans="1:43" x14ac:dyDescent="0.25">
      <c r="A351" s="1"/>
      <c r="D351" t="s">
        <v>582</v>
      </c>
      <c r="E351" t="s">
        <v>162</v>
      </c>
      <c r="F351" t="s">
        <v>586</v>
      </c>
      <c r="G351" t="s">
        <v>61</v>
      </c>
      <c r="H351" t="s">
        <v>54</v>
      </c>
      <c r="L35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5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51" s="1"/>
      <c r="T351" s="64" t="str">
        <f>IF(Table1[[#This Row],[ActualWinner]]="", "", IF(Table1[[#This Row],[AwayTeam]]=Table1[[#This Row],[ActualWinner]],Table1[[#This Row],[HomeTeam]],Table1[[#This Row],[AwayTeam]]))</f>
        <v/>
      </c>
      <c r="U351" s="64">
        <f>Table1[[#This Row],[ActualAwayScore]]-Table1[[#This Row],[PredictedAwayScore]]</f>
        <v>0</v>
      </c>
      <c r="V351" s="64">
        <f>Table1[[#This Row],[ActualHomeScore]]-Table1[[#This Row],[PredictedHomeScore]]</f>
        <v>0</v>
      </c>
      <c r="W351" s="64">
        <f>(0.8*IF(Table1[[#This Row],[CorrectWinnerPrediction]]=1, 1, 0))+(0.1*IF(Table1[[#This Row],[CorrectAwayScorePrediction]]=1, 1, 0))+(0.1*IF(Table1[[#This Row],[CorrectHomeScorePrediction]]=1, 1, 0))</f>
        <v>0</v>
      </c>
      <c r="X35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51" s="64">
        <f>SUMIF(Table1[GameDate], Table1[[#This Row],[GameDate]], Table1[AwayGameGoalDiff])</f>
        <v>0</v>
      </c>
      <c r="AA351" s="64">
        <f>SUMIF(Table1[GameDate], Table1[[#This Row],[GameDate]], Table1[HomeGameGoalDiff])</f>
        <v>0</v>
      </c>
      <c r="AB351" s="64">
        <f>IF(ISBLANK(Table1[[#This Row],[ActualResult]]), 0, 1)</f>
        <v>0</v>
      </c>
      <c r="AC351" s="64">
        <f>IF(ISBLANK(Table1[[#This Row],[ActualResult]]), 0, IF(Table1[[#This Row],[ActualWinner]]=Table1[[#This Row],[PredictedWinner]], 1, 0))</f>
        <v>0</v>
      </c>
      <c r="AD35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5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51" s="64">
        <f>IF(AND(Table1[[#This Row],[GameIsOver]]=1,Table1[[#This Row],[ActualAwayScore]]=0), 1,0)</f>
        <v>0</v>
      </c>
      <c r="AG351" s="64">
        <f>IF(AND(Table1[[#This Row],[GameIsOver]]=1,Table1[[#This Row],[ActualHomeScore]]=0), 1,0)</f>
        <v>0</v>
      </c>
      <c r="AH351" s="64">
        <f>IF(Table1[[#This Row],[GameIsOver]]=0,0,IF(Table1[[#This Row],[ActualWinner]]=Table1[[#This Row],[AwayTeam]], 1, 0))</f>
        <v>0</v>
      </c>
      <c r="AI351" s="64">
        <f>IF(Table1[[#This Row],[GameIsOver]]=0,0,IF(Table1[[#This Row],[ActualWinner]]=Table1[[#This Row],[HomeTeam]], 1, 0))</f>
        <v>0</v>
      </c>
      <c r="AJ351" s="64">
        <f>IF(INDEX(Standings!$A$2:$C$33,MATCH(Table1[[#This Row],[AwayTeam]],Standings!$A$2:$A$33,0),2)=INDEX(Standings!$A$2:$C$33,MATCH(Table1[[#This Row],[HomeTeam]],Standings!$A$2:$A$33,0),2),1,0)</f>
        <v>0</v>
      </c>
      <c r="AK351" s="64">
        <f>IF(INDEX(Standings!$A$2:$C$33,MATCH(Table1[[#This Row],[AwayTeam]],Standings!$A$2:$A$33,0),3)=INDEX(Standings!$A$2:$C$33,MATCH(Table1[[#This Row],[HomeTeam]],Standings!$A$2:$A$33,0),3),1,0)</f>
        <v>0</v>
      </c>
      <c r="AL351" s="64">
        <f>IF(Table1[[#This Row],[InterConf]]=1,IF(Table1[[#This Row],[InterDiv]]=0, 1, 0), 0)</f>
        <v>0</v>
      </c>
      <c r="AM351" s="64">
        <f>IF(INDEX(Standings!$A$2:$C$33,MATCH(Table1[[#This Row],[AwayTeam]],Standings!$A$2:$A$33,0),2)&lt;&gt;INDEX(Standings!$A$2:$C$33,MATCH(Table1[[#This Row],[HomeTeam]],Standings!$A$2:$A$33,0),2),1,0)</f>
        <v>1</v>
      </c>
      <c r="AN351" s="64" t="str">
        <f>INDEX(Table2[AWAY_RECORD], MATCH(Table1[[#This Row],[AwayTeam]],Table2[Team], 0), 0)</f>
        <v>0-0-0</v>
      </c>
      <c r="AO351" s="64" t="str">
        <f>INDEX(Records!$B$2:$AG$33, MATCH(Table1[[#This Row],[AwayTeam]],Records!$A$2:$A$33, 0), MATCH(Table1[[#This Row],[HomeTeam]],Records!$A$2:$A$33, 0))</f>
        <v>0-0-0</v>
      </c>
      <c r="AP351" s="64" t="str">
        <f>INDEX(Table2[HOME_RECORD], MATCH(Table1[[#This Row],[HomeTeam]],Table2[Team], 0), 0)</f>
        <v>0-0-0</v>
      </c>
      <c r="AQ351" s="64" t="str">
        <f>INDEX(Records!$B$2:$AG$33, MATCH(Table1[[#This Row],[HomeTeam]],Records!$A$2:$A$33, 0), MATCH(Table1[[#This Row],[AwayTeam]],Records!$A$2:$A$33, 0))</f>
        <v>0-0-0</v>
      </c>
    </row>
    <row r="352" spans="1:43" x14ac:dyDescent="0.25">
      <c r="A352" s="1"/>
      <c r="D352" t="s">
        <v>582</v>
      </c>
      <c r="E352" t="s">
        <v>162</v>
      </c>
      <c r="F352" t="s">
        <v>587</v>
      </c>
      <c r="G352" t="s">
        <v>38</v>
      </c>
      <c r="H352" t="s">
        <v>59</v>
      </c>
      <c r="L35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5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52" s="1"/>
      <c r="T352" s="64" t="str">
        <f>IF(Table1[[#This Row],[ActualWinner]]="", "", IF(Table1[[#This Row],[AwayTeam]]=Table1[[#This Row],[ActualWinner]],Table1[[#This Row],[HomeTeam]],Table1[[#This Row],[AwayTeam]]))</f>
        <v/>
      </c>
      <c r="U352" s="64">
        <f>Table1[[#This Row],[ActualAwayScore]]-Table1[[#This Row],[PredictedAwayScore]]</f>
        <v>0</v>
      </c>
      <c r="V352" s="64">
        <f>Table1[[#This Row],[ActualHomeScore]]-Table1[[#This Row],[PredictedHomeScore]]</f>
        <v>0</v>
      </c>
      <c r="W352" s="64">
        <f>(0.8*IF(Table1[[#This Row],[CorrectWinnerPrediction]]=1, 1, 0))+(0.1*IF(Table1[[#This Row],[CorrectAwayScorePrediction]]=1, 1, 0))+(0.1*IF(Table1[[#This Row],[CorrectHomeScorePrediction]]=1, 1, 0))</f>
        <v>0</v>
      </c>
      <c r="X35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52" s="64">
        <f>SUMIF(Table1[GameDate], Table1[[#This Row],[GameDate]], Table1[AwayGameGoalDiff])</f>
        <v>0</v>
      </c>
      <c r="AA352" s="64">
        <f>SUMIF(Table1[GameDate], Table1[[#This Row],[GameDate]], Table1[HomeGameGoalDiff])</f>
        <v>0</v>
      </c>
      <c r="AB352" s="64">
        <f>IF(ISBLANK(Table1[[#This Row],[ActualResult]]), 0, 1)</f>
        <v>0</v>
      </c>
      <c r="AC352" s="64">
        <f>IF(ISBLANK(Table1[[#This Row],[ActualResult]]), 0, IF(Table1[[#This Row],[ActualWinner]]=Table1[[#This Row],[PredictedWinner]], 1, 0))</f>
        <v>0</v>
      </c>
      <c r="AD35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5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52" s="64">
        <f>IF(AND(Table1[[#This Row],[GameIsOver]]=1,Table1[[#This Row],[ActualAwayScore]]=0), 1,0)</f>
        <v>0</v>
      </c>
      <c r="AG352" s="64">
        <f>IF(AND(Table1[[#This Row],[GameIsOver]]=1,Table1[[#This Row],[ActualHomeScore]]=0), 1,0)</f>
        <v>0</v>
      </c>
      <c r="AH352" s="64">
        <f>IF(Table1[[#This Row],[GameIsOver]]=0,0,IF(Table1[[#This Row],[ActualWinner]]=Table1[[#This Row],[AwayTeam]], 1, 0))</f>
        <v>0</v>
      </c>
      <c r="AI352" s="64">
        <f>IF(Table1[[#This Row],[GameIsOver]]=0,0,IF(Table1[[#This Row],[ActualWinner]]=Table1[[#This Row],[HomeTeam]], 1, 0))</f>
        <v>0</v>
      </c>
      <c r="AJ352" s="64">
        <f>IF(INDEX(Standings!$A$2:$C$33,MATCH(Table1[[#This Row],[AwayTeam]],Standings!$A$2:$A$33,0),2)=INDEX(Standings!$A$2:$C$33,MATCH(Table1[[#This Row],[HomeTeam]],Standings!$A$2:$A$33,0),2),1,0)</f>
        <v>1</v>
      </c>
      <c r="AK352" s="64">
        <f>IF(INDEX(Standings!$A$2:$C$33,MATCH(Table1[[#This Row],[AwayTeam]],Standings!$A$2:$A$33,0),3)=INDEX(Standings!$A$2:$C$33,MATCH(Table1[[#This Row],[HomeTeam]],Standings!$A$2:$A$33,0),3),1,0)</f>
        <v>0</v>
      </c>
      <c r="AL352" s="64">
        <f>IF(Table1[[#This Row],[InterConf]]=1,IF(Table1[[#This Row],[InterDiv]]=0, 1, 0), 0)</f>
        <v>1</v>
      </c>
      <c r="AM352" s="64">
        <f>IF(INDEX(Standings!$A$2:$C$33,MATCH(Table1[[#This Row],[AwayTeam]],Standings!$A$2:$A$33,0),2)&lt;&gt;INDEX(Standings!$A$2:$C$33,MATCH(Table1[[#This Row],[HomeTeam]],Standings!$A$2:$A$33,0),2),1,0)</f>
        <v>0</v>
      </c>
      <c r="AN352" s="64" t="str">
        <f>INDEX(Table2[AWAY_RECORD], MATCH(Table1[[#This Row],[AwayTeam]],Table2[Team], 0), 0)</f>
        <v>0-0-1</v>
      </c>
      <c r="AO352" s="64" t="str">
        <f>INDEX(Records!$B$2:$AG$33, MATCH(Table1[[#This Row],[AwayTeam]],Records!$A$2:$A$33, 0), MATCH(Table1[[#This Row],[HomeTeam]],Records!$A$2:$A$33, 0))</f>
        <v>0-0-0</v>
      </c>
      <c r="AP352" s="64" t="str">
        <f>INDEX(Table2[HOME_RECORD], MATCH(Table1[[#This Row],[HomeTeam]],Table2[Team], 0), 0)</f>
        <v>0-0-0</v>
      </c>
      <c r="AQ352" s="64" t="str">
        <f>INDEX(Records!$B$2:$AG$33, MATCH(Table1[[#This Row],[HomeTeam]],Records!$A$2:$A$33, 0), MATCH(Table1[[#This Row],[AwayTeam]],Records!$A$2:$A$33, 0))</f>
        <v>0-0-0</v>
      </c>
    </row>
    <row r="353" spans="1:43" x14ac:dyDescent="0.25">
      <c r="A353" s="1"/>
      <c r="D353" t="s">
        <v>582</v>
      </c>
      <c r="E353" t="s">
        <v>162</v>
      </c>
      <c r="F353" t="s">
        <v>588</v>
      </c>
      <c r="G353" t="s">
        <v>47</v>
      </c>
      <c r="H353" t="s">
        <v>40</v>
      </c>
      <c r="L35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5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53" s="1"/>
      <c r="T353" s="64" t="str">
        <f>IF(Table1[[#This Row],[ActualWinner]]="", "", IF(Table1[[#This Row],[AwayTeam]]=Table1[[#This Row],[ActualWinner]],Table1[[#This Row],[HomeTeam]],Table1[[#This Row],[AwayTeam]]))</f>
        <v/>
      </c>
      <c r="U353" s="64">
        <f>Table1[[#This Row],[ActualAwayScore]]-Table1[[#This Row],[PredictedAwayScore]]</f>
        <v>0</v>
      </c>
      <c r="V353" s="64">
        <f>Table1[[#This Row],[ActualHomeScore]]-Table1[[#This Row],[PredictedHomeScore]]</f>
        <v>0</v>
      </c>
      <c r="W353" s="64">
        <f>(0.8*IF(Table1[[#This Row],[CorrectWinnerPrediction]]=1, 1, 0))+(0.1*IF(Table1[[#This Row],[CorrectAwayScorePrediction]]=1, 1, 0))+(0.1*IF(Table1[[#This Row],[CorrectHomeScorePrediction]]=1, 1, 0))</f>
        <v>0</v>
      </c>
      <c r="X35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53" s="64">
        <f>SUMIF(Table1[GameDate], Table1[[#This Row],[GameDate]], Table1[AwayGameGoalDiff])</f>
        <v>0</v>
      </c>
      <c r="AA353" s="64">
        <f>SUMIF(Table1[GameDate], Table1[[#This Row],[GameDate]], Table1[HomeGameGoalDiff])</f>
        <v>0</v>
      </c>
      <c r="AB353" s="64">
        <f>IF(ISBLANK(Table1[[#This Row],[ActualResult]]), 0, 1)</f>
        <v>0</v>
      </c>
      <c r="AC353" s="64">
        <f>IF(ISBLANK(Table1[[#This Row],[ActualResult]]), 0, IF(Table1[[#This Row],[ActualWinner]]=Table1[[#This Row],[PredictedWinner]], 1, 0))</f>
        <v>0</v>
      </c>
      <c r="AD35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5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53" s="64">
        <f>IF(AND(Table1[[#This Row],[GameIsOver]]=1,Table1[[#This Row],[ActualAwayScore]]=0), 1,0)</f>
        <v>0</v>
      </c>
      <c r="AG353" s="64">
        <f>IF(AND(Table1[[#This Row],[GameIsOver]]=1,Table1[[#This Row],[ActualHomeScore]]=0), 1,0)</f>
        <v>0</v>
      </c>
      <c r="AH353" s="64">
        <f>IF(Table1[[#This Row],[GameIsOver]]=0,0,IF(Table1[[#This Row],[ActualWinner]]=Table1[[#This Row],[AwayTeam]], 1, 0))</f>
        <v>0</v>
      </c>
      <c r="AI353" s="64">
        <f>IF(Table1[[#This Row],[GameIsOver]]=0,0,IF(Table1[[#This Row],[ActualWinner]]=Table1[[#This Row],[HomeTeam]], 1, 0))</f>
        <v>0</v>
      </c>
      <c r="AJ353" s="64">
        <f>IF(INDEX(Standings!$A$2:$C$33,MATCH(Table1[[#This Row],[AwayTeam]],Standings!$A$2:$A$33,0),2)=INDEX(Standings!$A$2:$C$33,MATCH(Table1[[#This Row],[HomeTeam]],Standings!$A$2:$A$33,0),2),1,0)</f>
        <v>1</v>
      </c>
      <c r="AK353" s="64">
        <f>IF(INDEX(Standings!$A$2:$C$33,MATCH(Table1[[#This Row],[AwayTeam]],Standings!$A$2:$A$33,0),3)=INDEX(Standings!$A$2:$C$33,MATCH(Table1[[#This Row],[HomeTeam]],Standings!$A$2:$A$33,0),3),1,0)</f>
        <v>0</v>
      </c>
      <c r="AL353" s="64">
        <f>IF(Table1[[#This Row],[InterConf]]=1,IF(Table1[[#This Row],[InterDiv]]=0, 1, 0), 0)</f>
        <v>1</v>
      </c>
      <c r="AM353" s="64">
        <f>IF(INDEX(Standings!$A$2:$C$33,MATCH(Table1[[#This Row],[AwayTeam]],Standings!$A$2:$A$33,0),2)&lt;&gt;INDEX(Standings!$A$2:$C$33,MATCH(Table1[[#This Row],[HomeTeam]],Standings!$A$2:$A$33,0),2),1,0)</f>
        <v>0</v>
      </c>
      <c r="AN353" s="64" t="str">
        <f>INDEX(Table2[AWAY_RECORD], MATCH(Table1[[#This Row],[AwayTeam]],Table2[Team], 0), 0)</f>
        <v>1-0-0</v>
      </c>
      <c r="AO353" s="64" t="str">
        <f>INDEX(Records!$B$2:$AG$33, MATCH(Table1[[#This Row],[AwayTeam]],Records!$A$2:$A$33, 0), MATCH(Table1[[#This Row],[HomeTeam]],Records!$A$2:$A$33, 0))</f>
        <v>0-0-0</v>
      </c>
      <c r="AP353" s="64" t="str">
        <f>INDEX(Table2[HOME_RECORD], MATCH(Table1[[#This Row],[HomeTeam]],Table2[Team], 0), 0)</f>
        <v>1-1-0</v>
      </c>
      <c r="AQ353" s="64" t="str">
        <f>INDEX(Records!$B$2:$AG$33, MATCH(Table1[[#This Row],[HomeTeam]],Records!$A$2:$A$33, 0), MATCH(Table1[[#This Row],[AwayTeam]],Records!$A$2:$A$33, 0))</f>
        <v>0-0-0</v>
      </c>
    </row>
    <row r="354" spans="1:43" x14ac:dyDescent="0.25">
      <c r="A354" s="1"/>
      <c r="D354" t="s">
        <v>582</v>
      </c>
      <c r="E354" t="s">
        <v>178</v>
      </c>
      <c r="F354" t="s">
        <v>589</v>
      </c>
      <c r="G354" t="s">
        <v>42</v>
      </c>
      <c r="H354" t="s">
        <v>16</v>
      </c>
      <c r="L35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5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54" s="1"/>
      <c r="T354" s="64" t="str">
        <f>IF(Table1[[#This Row],[ActualWinner]]="", "", IF(Table1[[#This Row],[AwayTeam]]=Table1[[#This Row],[ActualWinner]],Table1[[#This Row],[HomeTeam]],Table1[[#This Row],[AwayTeam]]))</f>
        <v/>
      </c>
      <c r="U354" s="64">
        <f>Table1[[#This Row],[ActualAwayScore]]-Table1[[#This Row],[PredictedAwayScore]]</f>
        <v>0</v>
      </c>
      <c r="V354" s="64">
        <f>Table1[[#This Row],[ActualHomeScore]]-Table1[[#This Row],[PredictedHomeScore]]</f>
        <v>0</v>
      </c>
      <c r="W354" s="64">
        <f>(0.8*IF(Table1[[#This Row],[CorrectWinnerPrediction]]=1, 1, 0))+(0.1*IF(Table1[[#This Row],[CorrectAwayScorePrediction]]=1, 1, 0))+(0.1*IF(Table1[[#This Row],[CorrectHomeScorePrediction]]=1, 1, 0))</f>
        <v>0</v>
      </c>
      <c r="X35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54" s="64">
        <f>SUMIF(Table1[GameDate], Table1[[#This Row],[GameDate]], Table1[AwayGameGoalDiff])</f>
        <v>0</v>
      </c>
      <c r="AA354" s="64">
        <f>SUMIF(Table1[GameDate], Table1[[#This Row],[GameDate]], Table1[HomeGameGoalDiff])</f>
        <v>0</v>
      </c>
      <c r="AB354" s="64">
        <f>IF(ISBLANK(Table1[[#This Row],[ActualResult]]), 0, 1)</f>
        <v>0</v>
      </c>
      <c r="AC354" s="64">
        <f>IF(ISBLANK(Table1[[#This Row],[ActualResult]]), 0, IF(Table1[[#This Row],[ActualWinner]]=Table1[[#This Row],[PredictedWinner]], 1, 0))</f>
        <v>0</v>
      </c>
      <c r="AD35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5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54" s="64">
        <f>IF(AND(Table1[[#This Row],[GameIsOver]]=1,Table1[[#This Row],[ActualAwayScore]]=0), 1,0)</f>
        <v>0</v>
      </c>
      <c r="AG354" s="64">
        <f>IF(AND(Table1[[#This Row],[GameIsOver]]=1,Table1[[#This Row],[ActualHomeScore]]=0), 1,0)</f>
        <v>0</v>
      </c>
      <c r="AH354" s="64">
        <f>IF(Table1[[#This Row],[GameIsOver]]=0,0,IF(Table1[[#This Row],[ActualWinner]]=Table1[[#This Row],[AwayTeam]], 1, 0))</f>
        <v>0</v>
      </c>
      <c r="AI354" s="64">
        <f>IF(Table1[[#This Row],[GameIsOver]]=0,0,IF(Table1[[#This Row],[ActualWinner]]=Table1[[#This Row],[HomeTeam]], 1, 0))</f>
        <v>0</v>
      </c>
      <c r="AJ354" s="64">
        <f>IF(INDEX(Standings!$A$2:$C$33,MATCH(Table1[[#This Row],[AwayTeam]],Standings!$A$2:$A$33,0),2)=INDEX(Standings!$A$2:$C$33,MATCH(Table1[[#This Row],[HomeTeam]],Standings!$A$2:$A$33,0),2),1,0)</f>
        <v>0</v>
      </c>
      <c r="AK354" s="64">
        <f>IF(INDEX(Standings!$A$2:$C$33,MATCH(Table1[[#This Row],[AwayTeam]],Standings!$A$2:$A$33,0),3)=INDEX(Standings!$A$2:$C$33,MATCH(Table1[[#This Row],[HomeTeam]],Standings!$A$2:$A$33,0),3),1,0)</f>
        <v>0</v>
      </c>
      <c r="AL354" s="64">
        <f>IF(Table1[[#This Row],[InterConf]]=1,IF(Table1[[#This Row],[InterDiv]]=0, 1, 0), 0)</f>
        <v>0</v>
      </c>
      <c r="AM354" s="64">
        <f>IF(INDEX(Standings!$A$2:$C$33,MATCH(Table1[[#This Row],[AwayTeam]],Standings!$A$2:$A$33,0),2)&lt;&gt;INDEX(Standings!$A$2:$C$33,MATCH(Table1[[#This Row],[HomeTeam]],Standings!$A$2:$A$33,0),2),1,0)</f>
        <v>1</v>
      </c>
      <c r="AN354" s="64" t="str">
        <f>INDEX(Table2[AWAY_RECORD], MATCH(Table1[[#This Row],[AwayTeam]],Table2[Team], 0), 0)</f>
        <v>0-0-0</v>
      </c>
      <c r="AO354" s="64" t="str">
        <f>INDEX(Records!$B$2:$AG$33, MATCH(Table1[[#This Row],[AwayTeam]],Records!$A$2:$A$33, 0), MATCH(Table1[[#This Row],[HomeTeam]],Records!$A$2:$A$33, 0))</f>
        <v>0-0-0</v>
      </c>
      <c r="AP354" s="64" t="str">
        <f>INDEX(Table2[HOME_RECORD], MATCH(Table1[[#This Row],[HomeTeam]],Table2[Team], 0), 0)</f>
        <v>0-0-0</v>
      </c>
      <c r="AQ354" s="64" t="str">
        <f>INDEX(Records!$B$2:$AG$33, MATCH(Table1[[#This Row],[HomeTeam]],Records!$A$2:$A$33, 0), MATCH(Table1[[#This Row],[AwayTeam]],Records!$A$2:$A$33, 0))</f>
        <v>0-0-0</v>
      </c>
    </row>
    <row r="355" spans="1:43" x14ac:dyDescent="0.25">
      <c r="A355" s="1"/>
      <c r="D355" t="s">
        <v>582</v>
      </c>
      <c r="E355" t="s">
        <v>178</v>
      </c>
      <c r="F355" t="s">
        <v>590</v>
      </c>
      <c r="G355" t="s">
        <v>50</v>
      </c>
      <c r="H355" t="s">
        <v>60</v>
      </c>
      <c r="L35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5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55" s="1"/>
      <c r="T355" s="64" t="str">
        <f>IF(Table1[[#This Row],[ActualWinner]]="", "", IF(Table1[[#This Row],[AwayTeam]]=Table1[[#This Row],[ActualWinner]],Table1[[#This Row],[HomeTeam]],Table1[[#This Row],[AwayTeam]]))</f>
        <v/>
      </c>
      <c r="U355" s="64">
        <f>Table1[[#This Row],[ActualAwayScore]]-Table1[[#This Row],[PredictedAwayScore]]</f>
        <v>0</v>
      </c>
      <c r="V355" s="64">
        <f>Table1[[#This Row],[ActualHomeScore]]-Table1[[#This Row],[PredictedHomeScore]]</f>
        <v>0</v>
      </c>
      <c r="W355" s="64">
        <f>(0.8*IF(Table1[[#This Row],[CorrectWinnerPrediction]]=1, 1, 0))+(0.1*IF(Table1[[#This Row],[CorrectAwayScorePrediction]]=1, 1, 0))+(0.1*IF(Table1[[#This Row],[CorrectHomeScorePrediction]]=1, 1, 0))</f>
        <v>0</v>
      </c>
      <c r="X35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55" s="64">
        <f>SUMIF(Table1[GameDate], Table1[[#This Row],[GameDate]], Table1[AwayGameGoalDiff])</f>
        <v>0</v>
      </c>
      <c r="AA355" s="64">
        <f>SUMIF(Table1[GameDate], Table1[[#This Row],[GameDate]], Table1[HomeGameGoalDiff])</f>
        <v>0</v>
      </c>
      <c r="AB355" s="64">
        <f>IF(ISBLANK(Table1[[#This Row],[ActualResult]]), 0, 1)</f>
        <v>0</v>
      </c>
      <c r="AC355" s="64">
        <f>IF(ISBLANK(Table1[[#This Row],[ActualResult]]), 0, IF(Table1[[#This Row],[ActualWinner]]=Table1[[#This Row],[PredictedWinner]], 1, 0))</f>
        <v>0</v>
      </c>
      <c r="AD35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5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55" s="64">
        <f>IF(AND(Table1[[#This Row],[GameIsOver]]=1,Table1[[#This Row],[ActualAwayScore]]=0), 1,0)</f>
        <v>0</v>
      </c>
      <c r="AG355" s="64">
        <f>IF(AND(Table1[[#This Row],[GameIsOver]]=1,Table1[[#This Row],[ActualHomeScore]]=0), 1,0)</f>
        <v>0</v>
      </c>
      <c r="AH355" s="64">
        <f>IF(Table1[[#This Row],[GameIsOver]]=0,0,IF(Table1[[#This Row],[ActualWinner]]=Table1[[#This Row],[AwayTeam]], 1, 0))</f>
        <v>0</v>
      </c>
      <c r="AI355" s="64">
        <f>IF(Table1[[#This Row],[GameIsOver]]=0,0,IF(Table1[[#This Row],[ActualWinner]]=Table1[[#This Row],[HomeTeam]], 1, 0))</f>
        <v>0</v>
      </c>
      <c r="AJ355" s="64">
        <f>IF(INDEX(Standings!$A$2:$C$33,MATCH(Table1[[#This Row],[AwayTeam]],Standings!$A$2:$A$33,0),2)=INDEX(Standings!$A$2:$C$33,MATCH(Table1[[#This Row],[HomeTeam]],Standings!$A$2:$A$33,0),2),1,0)</f>
        <v>0</v>
      </c>
      <c r="AK355" s="64">
        <f>IF(INDEX(Standings!$A$2:$C$33,MATCH(Table1[[#This Row],[AwayTeam]],Standings!$A$2:$A$33,0),3)=INDEX(Standings!$A$2:$C$33,MATCH(Table1[[#This Row],[HomeTeam]],Standings!$A$2:$A$33,0),3),1,0)</f>
        <v>0</v>
      </c>
      <c r="AL355" s="64">
        <f>IF(Table1[[#This Row],[InterConf]]=1,IF(Table1[[#This Row],[InterDiv]]=0, 1, 0), 0)</f>
        <v>0</v>
      </c>
      <c r="AM355" s="64">
        <f>IF(INDEX(Standings!$A$2:$C$33,MATCH(Table1[[#This Row],[AwayTeam]],Standings!$A$2:$A$33,0),2)&lt;&gt;INDEX(Standings!$A$2:$C$33,MATCH(Table1[[#This Row],[HomeTeam]],Standings!$A$2:$A$33,0),2),1,0)</f>
        <v>1</v>
      </c>
      <c r="AN355" s="64" t="str">
        <f>INDEX(Table2[AWAY_RECORD], MATCH(Table1[[#This Row],[AwayTeam]],Table2[Team], 0), 0)</f>
        <v>1-0-0</v>
      </c>
      <c r="AO355" s="64" t="str">
        <f>INDEX(Records!$B$2:$AG$33, MATCH(Table1[[#This Row],[AwayTeam]],Records!$A$2:$A$33, 0), MATCH(Table1[[#This Row],[HomeTeam]],Records!$A$2:$A$33, 0))</f>
        <v>0-0-0</v>
      </c>
      <c r="AP355" s="64" t="str">
        <f>INDEX(Table2[HOME_RECORD], MATCH(Table1[[#This Row],[HomeTeam]],Table2[Team], 0), 0)</f>
        <v>1-0-0</v>
      </c>
      <c r="AQ355" s="64" t="str">
        <f>INDEX(Records!$B$2:$AG$33, MATCH(Table1[[#This Row],[HomeTeam]],Records!$A$2:$A$33, 0), MATCH(Table1[[#This Row],[AwayTeam]],Records!$A$2:$A$33, 0))</f>
        <v>0-0-0</v>
      </c>
    </row>
    <row r="356" spans="1:43" x14ac:dyDescent="0.25">
      <c r="A356" s="1"/>
      <c r="D356" t="s">
        <v>582</v>
      </c>
      <c r="E356" t="s">
        <v>178</v>
      </c>
      <c r="F356" t="s">
        <v>591</v>
      </c>
      <c r="G356" t="s">
        <v>22</v>
      </c>
      <c r="H356" t="s">
        <v>39</v>
      </c>
      <c r="L35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5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56" s="1"/>
      <c r="T356" s="64" t="str">
        <f>IF(Table1[[#This Row],[ActualWinner]]="", "", IF(Table1[[#This Row],[AwayTeam]]=Table1[[#This Row],[ActualWinner]],Table1[[#This Row],[HomeTeam]],Table1[[#This Row],[AwayTeam]]))</f>
        <v/>
      </c>
      <c r="U356" s="64">
        <f>Table1[[#This Row],[ActualAwayScore]]-Table1[[#This Row],[PredictedAwayScore]]</f>
        <v>0</v>
      </c>
      <c r="V356" s="64">
        <f>Table1[[#This Row],[ActualHomeScore]]-Table1[[#This Row],[PredictedHomeScore]]</f>
        <v>0</v>
      </c>
      <c r="W356" s="64">
        <f>(0.8*IF(Table1[[#This Row],[CorrectWinnerPrediction]]=1, 1, 0))+(0.1*IF(Table1[[#This Row],[CorrectAwayScorePrediction]]=1, 1, 0))+(0.1*IF(Table1[[#This Row],[CorrectHomeScorePrediction]]=1, 1, 0))</f>
        <v>0</v>
      </c>
      <c r="X35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56" s="64">
        <f>SUMIF(Table1[GameDate], Table1[[#This Row],[GameDate]], Table1[AwayGameGoalDiff])</f>
        <v>0</v>
      </c>
      <c r="AA356" s="64">
        <f>SUMIF(Table1[GameDate], Table1[[#This Row],[GameDate]], Table1[HomeGameGoalDiff])</f>
        <v>0</v>
      </c>
      <c r="AB356" s="64">
        <f>IF(ISBLANK(Table1[[#This Row],[ActualResult]]), 0, 1)</f>
        <v>0</v>
      </c>
      <c r="AC356" s="64">
        <f>IF(ISBLANK(Table1[[#This Row],[ActualResult]]), 0, IF(Table1[[#This Row],[ActualWinner]]=Table1[[#This Row],[PredictedWinner]], 1, 0))</f>
        <v>0</v>
      </c>
      <c r="AD35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5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56" s="64">
        <f>IF(AND(Table1[[#This Row],[GameIsOver]]=1,Table1[[#This Row],[ActualAwayScore]]=0), 1,0)</f>
        <v>0</v>
      </c>
      <c r="AG356" s="64">
        <f>IF(AND(Table1[[#This Row],[GameIsOver]]=1,Table1[[#This Row],[ActualHomeScore]]=0), 1,0)</f>
        <v>0</v>
      </c>
      <c r="AH356" s="64">
        <f>IF(Table1[[#This Row],[GameIsOver]]=0,0,IF(Table1[[#This Row],[ActualWinner]]=Table1[[#This Row],[AwayTeam]], 1, 0))</f>
        <v>0</v>
      </c>
      <c r="AI356" s="64">
        <f>IF(Table1[[#This Row],[GameIsOver]]=0,0,IF(Table1[[#This Row],[ActualWinner]]=Table1[[#This Row],[HomeTeam]], 1, 0))</f>
        <v>0</v>
      </c>
      <c r="AJ356" s="64">
        <f>IF(INDEX(Standings!$A$2:$C$33,MATCH(Table1[[#This Row],[AwayTeam]],Standings!$A$2:$A$33,0),2)=INDEX(Standings!$A$2:$C$33,MATCH(Table1[[#This Row],[HomeTeam]],Standings!$A$2:$A$33,0),2),1,0)</f>
        <v>1</v>
      </c>
      <c r="AK356" s="64">
        <f>IF(INDEX(Standings!$A$2:$C$33,MATCH(Table1[[#This Row],[AwayTeam]],Standings!$A$2:$A$33,0),3)=INDEX(Standings!$A$2:$C$33,MATCH(Table1[[#This Row],[HomeTeam]],Standings!$A$2:$A$33,0),3),1,0)</f>
        <v>0</v>
      </c>
      <c r="AL356" s="64">
        <f>IF(Table1[[#This Row],[InterConf]]=1,IF(Table1[[#This Row],[InterDiv]]=0, 1, 0), 0)</f>
        <v>1</v>
      </c>
      <c r="AM356" s="64">
        <f>IF(INDEX(Standings!$A$2:$C$33,MATCH(Table1[[#This Row],[AwayTeam]],Standings!$A$2:$A$33,0),2)&lt;&gt;INDEX(Standings!$A$2:$C$33,MATCH(Table1[[#This Row],[HomeTeam]],Standings!$A$2:$A$33,0),2),1,0)</f>
        <v>0</v>
      </c>
      <c r="AN356" s="64" t="str">
        <f>INDEX(Table2[AWAY_RECORD], MATCH(Table1[[#This Row],[AwayTeam]],Table2[Team], 0), 0)</f>
        <v>0-0-1</v>
      </c>
      <c r="AO356" s="64" t="str">
        <f>INDEX(Records!$B$2:$AG$33, MATCH(Table1[[#This Row],[AwayTeam]],Records!$A$2:$A$33, 0), MATCH(Table1[[#This Row],[HomeTeam]],Records!$A$2:$A$33, 0))</f>
        <v>0-0-0</v>
      </c>
      <c r="AP356" s="64" t="str">
        <f>INDEX(Table2[HOME_RECORD], MATCH(Table1[[#This Row],[HomeTeam]],Table2[Team], 0), 0)</f>
        <v>0-1-0</v>
      </c>
      <c r="AQ356" s="64" t="str">
        <f>INDEX(Records!$B$2:$AG$33, MATCH(Table1[[#This Row],[HomeTeam]],Records!$A$2:$A$33, 0), MATCH(Table1[[#This Row],[AwayTeam]],Records!$A$2:$A$33, 0))</f>
        <v>0-0-0</v>
      </c>
    </row>
    <row r="357" spans="1:43" x14ac:dyDescent="0.25">
      <c r="A357" s="1"/>
      <c r="D357" t="s">
        <v>582</v>
      </c>
      <c r="E357" t="s">
        <v>164</v>
      </c>
      <c r="F357" t="s">
        <v>592</v>
      </c>
      <c r="G357" t="s">
        <v>36</v>
      </c>
      <c r="H357" t="s">
        <v>41</v>
      </c>
      <c r="L35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5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57" s="1"/>
      <c r="T357" s="64" t="str">
        <f>IF(Table1[[#This Row],[ActualWinner]]="", "", IF(Table1[[#This Row],[AwayTeam]]=Table1[[#This Row],[ActualWinner]],Table1[[#This Row],[HomeTeam]],Table1[[#This Row],[AwayTeam]]))</f>
        <v/>
      </c>
      <c r="U357" s="64">
        <f>Table1[[#This Row],[ActualAwayScore]]-Table1[[#This Row],[PredictedAwayScore]]</f>
        <v>0</v>
      </c>
      <c r="V357" s="64">
        <f>Table1[[#This Row],[ActualHomeScore]]-Table1[[#This Row],[PredictedHomeScore]]</f>
        <v>0</v>
      </c>
      <c r="W357" s="64">
        <f>(0.8*IF(Table1[[#This Row],[CorrectWinnerPrediction]]=1, 1, 0))+(0.1*IF(Table1[[#This Row],[CorrectAwayScorePrediction]]=1, 1, 0))+(0.1*IF(Table1[[#This Row],[CorrectHomeScorePrediction]]=1, 1, 0))</f>
        <v>0</v>
      </c>
      <c r="X35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57" s="64">
        <f>SUMIF(Table1[GameDate], Table1[[#This Row],[GameDate]], Table1[AwayGameGoalDiff])</f>
        <v>0</v>
      </c>
      <c r="AA357" s="64">
        <f>SUMIF(Table1[GameDate], Table1[[#This Row],[GameDate]], Table1[HomeGameGoalDiff])</f>
        <v>0</v>
      </c>
      <c r="AB357" s="64">
        <f>IF(ISBLANK(Table1[[#This Row],[ActualResult]]), 0, 1)</f>
        <v>0</v>
      </c>
      <c r="AC357" s="64">
        <f>IF(ISBLANK(Table1[[#This Row],[ActualResult]]), 0, IF(Table1[[#This Row],[ActualWinner]]=Table1[[#This Row],[PredictedWinner]], 1, 0))</f>
        <v>0</v>
      </c>
      <c r="AD35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5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57" s="64">
        <f>IF(AND(Table1[[#This Row],[GameIsOver]]=1,Table1[[#This Row],[ActualAwayScore]]=0), 1,0)</f>
        <v>0</v>
      </c>
      <c r="AG357" s="64">
        <f>IF(AND(Table1[[#This Row],[GameIsOver]]=1,Table1[[#This Row],[ActualHomeScore]]=0), 1,0)</f>
        <v>0</v>
      </c>
      <c r="AH357" s="64">
        <f>IF(Table1[[#This Row],[GameIsOver]]=0,0,IF(Table1[[#This Row],[ActualWinner]]=Table1[[#This Row],[AwayTeam]], 1, 0))</f>
        <v>0</v>
      </c>
      <c r="AI357" s="64">
        <f>IF(Table1[[#This Row],[GameIsOver]]=0,0,IF(Table1[[#This Row],[ActualWinner]]=Table1[[#This Row],[HomeTeam]], 1, 0))</f>
        <v>0</v>
      </c>
      <c r="AJ357" s="64">
        <f>IF(INDEX(Standings!$A$2:$C$33,MATCH(Table1[[#This Row],[AwayTeam]],Standings!$A$2:$A$33,0),2)=INDEX(Standings!$A$2:$C$33,MATCH(Table1[[#This Row],[HomeTeam]],Standings!$A$2:$A$33,0),2),1,0)</f>
        <v>1</v>
      </c>
      <c r="AK357" s="64">
        <f>IF(INDEX(Standings!$A$2:$C$33,MATCH(Table1[[#This Row],[AwayTeam]],Standings!$A$2:$A$33,0),3)=INDEX(Standings!$A$2:$C$33,MATCH(Table1[[#This Row],[HomeTeam]],Standings!$A$2:$A$33,0),3),1,0)</f>
        <v>0</v>
      </c>
      <c r="AL357" s="64">
        <f>IF(Table1[[#This Row],[InterConf]]=1,IF(Table1[[#This Row],[InterDiv]]=0, 1, 0), 0)</f>
        <v>1</v>
      </c>
      <c r="AM357" s="64">
        <f>IF(INDEX(Standings!$A$2:$C$33,MATCH(Table1[[#This Row],[AwayTeam]],Standings!$A$2:$A$33,0),2)&lt;&gt;INDEX(Standings!$A$2:$C$33,MATCH(Table1[[#This Row],[HomeTeam]],Standings!$A$2:$A$33,0),2),1,0)</f>
        <v>0</v>
      </c>
      <c r="AN357" s="64" t="str">
        <f>INDEX(Table2[AWAY_RECORD], MATCH(Table1[[#This Row],[AwayTeam]],Table2[Team], 0), 0)</f>
        <v>0-0-0</v>
      </c>
      <c r="AO357" s="64" t="str">
        <f>INDEX(Records!$B$2:$AG$33, MATCH(Table1[[#This Row],[AwayTeam]],Records!$A$2:$A$33, 0), MATCH(Table1[[#This Row],[HomeTeam]],Records!$A$2:$A$33, 0))</f>
        <v>0-0-0</v>
      </c>
      <c r="AP357" s="64" t="str">
        <f>INDEX(Table2[HOME_RECORD], MATCH(Table1[[#This Row],[HomeTeam]],Table2[Team], 0), 0)</f>
        <v>0-0-1</v>
      </c>
      <c r="AQ357" s="64" t="str">
        <f>INDEX(Records!$B$2:$AG$33, MATCH(Table1[[#This Row],[HomeTeam]],Records!$A$2:$A$33, 0), MATCH(Table1[[#This Row],[AwayTeam]],Records!$A$2:$A$33, 0))</f>
        <v>0-0-0</v>
      </c>
    </row>
    <row r="358" spans="1:43" x14ac:dyDescent="0.25">
      <c r="A358" s="1"/>
      <c r="D358" t="s">
        <v>582</v>
      </c>
      <c r="E358" t="s">
        <v>593</v>
      </c>
      <c r="F358" t="s">
        <v>594</v>
      </c>
      <c r="G358" t="s">
        <v>23</v>
      </c>
      <c r="H358" t="s">
        <v>56</v>
      </c>
      <c r="L35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5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58" s="1"/>
      <c r="T358" s="64" t="str">
        <f>IF(Table1[[#This Row],[ActualWinner]]="", "", IF(Table1[[#This Row],[AwayTeam]]=Table1[[#This Row],[ActualWinner]],Table1[[#This Row],[HomeTeam]],Table1[[#This Row],[AwayTeam]]))</f>
        <v/>
      </c>
      <c r="U358" s="64">
        <f>Table1[[#This Row],[ActualAwayScore]]-Table1[[#This Row],[PredictedAwayScore]]</f>
        <v>0</v>
      </c>
      <c r="V358" s="64">
        <f>Table1[[#This Row],[ActualHomeScore]]-Table1[[#This Row],[PredictedHomeScore]]</f>
        <v>0</v>
      </c>
      <c r="W358" s="64">
        <f>(0.8*IF(Table1[[#This Row],[CorrectWinnerPrediction]]=1, 1, 0))+(0.1*IF(Table1[[#This Row],[CorrectAwayScorePrediction]]=1, 1, 0))+(0.1*IF(Table1[[#This Row],[CorrectHomeScorePrediction]]=1, 1, 0))</f>
        <v>0</v>
      </c>
      <c r="X35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58" s="64">
        <f>SUMIF(Table1[GameDate], Table1[[#This Row],[GameDate]], Table1[AwayGameGoalDiff])</f>
        <v>0</v>
      </c>
      <c r="AA358" s="64">
        <f>SUMIF(Table1[GameDate], Table1[[#This Row],[GameDate]], Table1[HomeGameGoalDiff])</f>
        <v>0</v>
      </c>
      <c r="AB358" s="64">
        <f>IF(ISBLANK(Table1[[#This Row],[ActualResult]]), 0, 1)</f>
        <v>0</v>
      </c>
      <c r="AC358" s="64">
        <f>IF(ISBLANK(Table1[[#This Row],[ActualResult]]), 0, IF(Table1[[#This Row],[ActualWinner]]=Table1[[#This Row],[PredictedWinner]], 1, 0))</f>
        <v>0</v>
      </c>
      <c r="AD35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5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58" s="64">
        <f>IF(AND(Table1[[#This Row],[GameIsOver]]=1,Table1[[#This Row],[ActualAwayScore]]=0), 1,0)</f>
        <v>0</v>
      </c>
      <c r="AG358" s="64">
        <f>IF(AND(Table1[[#This Row],[GameIsOver]]=1,Table1[[#This Row],[ActualHomeScore]]=0), 1,0)</f>
        <v>0</v>
      </c>
      <c r="AH358" s="64">
        <f>IF(Table1[[#This Row],[GameIsOver]]=0,0,IF(Table1[[#This Row],[ActualWinner]]=Table1[[#This Row],[AwayTeam]], 1, 0))</f>
        <v>0</v>
      </c>
      <c r="AI358" s="64">
        <f>IF(Table1[[#This Row],[GameIsOver]]=0,0,IF(Table1[[#This Row],[ActualWinner]]=Table1[[#This Row],[HomeTeam]], 1, 0))</f>
        <v>0</v>
      </c>
      <c r="AJ358" s="64">
        <f>IF(INDEX(Standings!$A$2:$C$33,MATCH(Table1[[#This Row],[AwayTeam]],Standings!$A$2:$A$33,0),2)=INDEX(Standings!$A$2:$C$33,MATCH(Table1[[#This Row],[HomeTeam]],Standings!$A$2:$A$33,0),2),1,0)</f>
        <v>1</v>
      </c>
      <c r="AK358" s="64">
        <f>IF(INDEX(Standings!$A$2:$C$33,MATCH(Table1[[#This Row],[AwayTeam]],Standings!$A$2:$A$33,0),3)=INDEX(Standings!$A$2:$C$33,MATCH(Table1[[#This Row],[HomeTeam]],Standings!$A$2:$A$33,0),3),1,0)</f>
        <v>1</v>
      </c>
      <c r="AL358" s="64">
        <f>IF(Table1[[#This Row],[InterConf]]=1,IF(Table1[[#This Row],[InterDiv]]=0, 1, 0), 0)</f>
        <v>0</v>
      </c>
      <c r="AM358" s="64">
        <f>IF(INDEX(Standings!$A$2:$C$33,MATCH(Table1[[#This Row],[AwayTeam]],Standings!$A$2:$A$33,0),2)&lt;&gt;INDEX(Standings!$A$2:$C$33,MATCH(Table1[[#This Row],[HomeTeam]],Standings!$A$2:$A$33,0),2),1,0)</f>
        <v>0</v>
      </c>
      <c r="AN358" s="64" t="str">
        <f>INDEX(Table2[AWAY_RECORD], MATCH(Table1[[#This Row],[AwayTeam]],Table2[Team], 0), 0)</f>
        <v>0-0-1</v>
      </c>
      <c r="AO358" s="64" t="str">
        <f>INDEX(Records!$B$2:$AG$33, MATCH(Table1[[#This Row],[AwayTeam]],Records!$A$2:$A$33, 0), MATCH(Table1[[#This Row],[HomeTeam]],Records!$A$2:$A$33, 0))</f>
        <v>0-0-0</v>
      </c>
      <c r="AP358" s="64" t="str">
        <f>INDEX(Table2[HOME_RECORD], MATCH(Table1[[#This Row],[HomeTeam]],Table2[Team], 0), 0)</f>
        <v>0-0-0</v>
      </c>
      <c r="AQ358" s="64" t="str">
        <f>INDEX(Records!$B$2:$AG$33, MATCH(Table1[[#This Row],[HomeTeam]],Records!$A$2:$A$33, 0), MATCH(Table1[[#This Row],[AwayTeam]],Records!$A$2:$A$33, 0))</f>
        <v>0-0-0</v>
      </c>
    </row>
    <row r="359" spans="1:43" x14ac:dyDescent="0.25">
      <c r="A359" s="1"/>
      <c r="D359" t="s">
        <v>595</v>
      </c>
      <c r="E359" t="s">
        <v>298</v>
      </c>
      <c r="F359" t="s">
        <v>596</v>
      </c>
      <c r="G359" t="s">
        <v>43</v>
      </c>
      <c r="H359" t="s">
        <v>25</v>
      </c>
      <c r="L35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5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59" s="1"/>
      <c r="T359" s="64" t="str">
        <f>IF(Table1[[#This Row],[ActualWinner]]="", "", IF(Table1[[#This Row],[AwayTeam]]=Table1[[#This Row],[ActualWinner]],Table1[[#This Row],[HomeTeam]],Table1[[#This Row],[AwayTeam]]))</f>
        <v/>
      </c>
      <c r="U359" s="64">
        <f>Table1[[#This Row],[ActualAwayScore]]-Table1[[#This Row],[PredictedAwayScore]]</f>
        <v>0</v>
      </c>
      <c r="V359" s="64">
        <f>Table1[[#This Row],[ActualHomeScore]]-Table1[[#This Row],[PredictedHomeScore]]</f>
        <v>0</v>
      </c>
      <c r="W359" s="64">
        <f>(0.8*IF(Table1[[#This Row],[CorrectWinnerPrediction]]=1, 1, 0))+(0.1*IF(Table1[[#This Row],[CorrectAwayScorePrediction]]=1, 1, 0))+(0.1*IF(Table1[[#This Row],[CorrectHomeScorePrediction]]=1, 1, 0))</f>
        <v>0</v>
      </c>
      <c r="X35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59" s="64">
        <f>SUMIF(Table1[GameDate], Table1[[#This Row],[GameDate]], Table1[AwayGameGoalDiff])</f>
        <v>0</v>
      </c>
      <c r="AA359" s="64">
        <f>SUMIF(Table1[GameDate], Table1[[#This Row],[GameDate]], Table1[HomeGameGoalDiff])</f>
        <v>0</v>
      </c>
      <c r="AB359" s="64">
        <f>IF(ISBLANK(Table1[[#This Row],[ActualResult]]), 0, 1)</f>
        <v>0</v>
      </c>
      <c r="AC359" s="64">
        <f>IF(ISBLANK(Table1[[#This Row],[ActualResult]]), 0, IF(Table1[[#This Row],[ActualWinner]]=Table1[[#This Row],[PredictedWinner]], 1, 0))</f>
        <v>0</v>
      </c>
      <c r="AD35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5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59" s="64">
        <f>IF(AND(Table1[[#This Row],[GameIsOver]]=1,Table1[[#This Row],[ActualAwayScore]]=0), 1,0)</f>
        <v>0</v>
      </c>
      <c r="AG359" s="64">
        <f>IF(AND(Table1[[#This Row],[GameIsOver]]=1,Table1[[#This Row],[ActualHomeScore]]=0), 1,0)</f>
        <v>0</v>
      </c>
      <c r="AH359" s="64">
        <f>IF(Table1[[#This Row],[GameIsOver]]=0,0,IF(Table1[[#This Row],[ActualWinner]]=Table1[[#This Row],[AwayTeam]], 1, 0))</f>
        <v>0</v>
      </c>
      <c r="AI359" s="64">
        <f>IF(Table1[[#This Row],[GameIsOver]]=0,0,IF(Table1[[#This Row],[ActualWinner]]=Table1[[#This Row],[HomeTeam]], 1, 0))</f>
        <v>0</v>
      </c>
      <c r="AJ359" s="64">
        <f>IF(INDEX(Standings!$A$2:$C$33,MATCH(Table1[[#This Row],[AwayTeam]],Standings!$A$2:$A$33,0),2)=INDEX(Standings!$A$2:$C$33,MATCH(Table1[[#This Row],[HomeTeam]],Standings!$A$2:$A$33,0),2),1,0)</f>
        <v>1</v>
      </c>
      <c r="AK359" s="64">
        <f>IF(INDEX(Standings!$A$2:$C$33,MATCH(Table1[[#This Row],[AwayTeam]],Standings!$A$2:$A$33,0),3)=INDEX(Standings!$A$2:$C$33,MATCH(Table1[[#This Row],[HomeTeam]],Standings!$A$2:$A$33,0),3),1,0)</f>
        <v>0</v>
      </c>
      <c r="AL359" s="64">
        <f>IF(Table1[[#This Row],[InterConf]]=1,IF(Table1[[#This Row],[InterDiv]]=0, 1, 0), 0)</f>
        <v>1</v>
      </c>
      <c r="AM359" s="64">
        <f>IF(INDEX(Standings!$A$2:$C$33,MATCH(Table1[[#This Row],[AwayTeam]],Standings!$A$2:$A$33,0),2)&lt;&gt;INDEX(Standings!$A$2:$C$33,MATCH(Table1[[#This Row],[HomeTeam]],Standings!$A$2:$A$33,0),2),1,0)</f>
        <v>0</v>
      </c>
      <c r="AN359" s="64" t="str">
        <f>INDEX(Table2[AWAY_RECORD], MATCH(Table1[[#This Row],[AwayTeam]],Table2[Team], 0), 0)</f>
        <v>0-0-0</v>
      </c>
      <c r="AO359" s="64" t="str">
        <f>INDEX(Records!$B$2:$AG$33, MATCH(Table1[[#This Row],[AwayTeam]],Records!$A$2:$A$33, 0), MATCH(Table1[[#This Row],[HomeTeam]],Records!$A$2:$A$33, 0))</f>
        <v>0-0-0</v>
      </c>
      <c r="AP359" s="64" t="str">
        <f>INDEX(Table2[HOME_RECORD], MATCH(Table1[[#This Row],[HomeTeam]],Table2[Team], 0), 0)</f>
        <v>0-0-1</v>
      </c>
      <c r="AQ359" s="64" t="str">
        <f>INDEX(Records!$B$2:$AG$33, MATCH(Table1[[#This Row],[HomeTeam]],Records!$A$2:$A$33, 0), MATCH(Table1[[#This Row],[AwayTeam]],Records!$A$2:$A$33, 0))</f>
        <v>0-0-0</v>
      </c>
    </row>
    <row r="360" spans="1:43" x14ac:dyDescent="0.25">
      <c r="A360" s="1"/>
      <c r="D360" t="s">
        <v>597</v>
      </c>
      <c r="E360" t="s">
        <v>432</v>
      </c>
      <c r="F360" t="s">
        <v>598</v>
      </c>
      <c r="G360" t="s">
        <v>45</v>
      </c>
      <c r="H360" t="s">
        <v>40</v>
      </c>
      <c r="L36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6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60" s="1"/>
      <c r="T360" s="64" t="str">
        <f>IF(Table1[[#This Row],[ActualWinner]]="", "", IF(Table1[[#This Row],[AwayTeam]]=Table1[[#This Row],[ActualWinner]],Table1[[#This Row],[HomeTeam]],Table1[[#This Row],[AwayTeam]]))</f>
        <v/>
      </c>
      <c r="U360" s="64">
        <f>Table1[[#This Row],[ActualAwayScore]]-Table1[[#This Row],[PredictedAwayScore]]</f>
        <v>0</v>
      </c>
      <c r="V360" s="64">
        <f>Table1[[#This Row],[ActualHomeScore]]-Table1[[#This Row],[PredictedHomeScore]]</f>
        <v>0</v>
      </c>
      <c r="W360" s="64">
        <f>(0.8*IF(Table1[[#This Row],[CorrectWinnerPrediction]]=1, 1, 0))+(0.1*IF(Table1[[#This Row],[CorrectAwayScorePrediction]]=1, 1, 0))+(0.1*IF(Table1[[#This Row],[CorrectHomeScorePrediction]]=1, 1, 0))</f>
        <v>0</v>
      </c>
      <c r="X36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60" s="64">
        <f>SUMIF(Table1[GameDate], Table1[[#This Row],[GameDate]], Table1[AwayGameGoalDiff])</f>
        <v>0</v>
      </c>
      <c r="AA360" s="64">
        <f>SUMIF(Table1[GameDate], Table1[[#This Row],[GameDate]], Table1[HomeGameGoalDiff])</f>
        <v>0</v>
      </c>
      <c r="AB360" s="64">
        <f>IF(ISBLANK(Table1[[#This Row],[ActualResult]]), 0, 1)</f>
        <v>0</v>
      </c>
      <c r="AC360" s="64">
        <f>IF(ISBLANK(Table1[[#This Row],[ActualResult]]), 0, IF(Table1[[#This Row],[ActualWinner]]=Table1[[#This Row],[PredictedWinner]], 1, 0))</f>
        <v>0</v>
      </c>
      <c r="AD36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6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60" s="64">
        <f>IF(AND(Table1[[#This Row],[GameIsOver]]=1,Table1[[#This Row],[ActualAwayScore]]=0), 1,0)</f>
        <v>0</v>
      </c>
      <c r="AG360" s="64">
        <f>IF(AND(Table1[[#This Row],[GameIsOver]]=1,Table1[[#This Row],[ActualHomeScore]]=0), 1,0)</f>
        <v>0</v>
      </c>
      <c r="AH360" s="64">
        <f>IF(Table1[[#This Row],[GameIsOver]]=0,0,IF(Table1[[#This Row],[ActualWinner]]=Table1[[#This Row],[AwayTeam]], 1, 0))</f>
        <v>0</v>
      </c>
      <c r="AI360" s="64">
        <f>IF(Table1[[#This Row],[GameIsOver]]=0,0,IF(Table1[[#This Row],[ActualWinner]]=Table1[[#This Row],[HomeTeam]], 1, 0))</f>
        <v>0</v>
      </c>
      <c r="AJ360" s="64">
        <f>IF(INDEX(Standings!$A$2:$C$33,MATCH(Table1[[#This Row],[AwayTeam]],Standings!$A$2:$A$33,0),2)=INDEX(Standings!$A$2:$C$33,MATCH(Table1[[#This Row],[HomeTeam]],Standings!$A$2:$A$33,0),2),1,0)</f>
        <v>0</v>
      </c>
      <c r="AK360" s="64">
        <f>IF(INDEX(Standings!$A$2:$C$33,MATCH(Table1[[#This Row],[AwayTeam]],Standings!$A$2:$A$33,0),3)=INDEX(Standings!$A$2:$C$33,MATCH(Table1[[#This Row],[HomeTeam]],Standings!$A$2:$A$33,0),3),1,0)</f>
        <v>0</v>
      </c>
      <c r="AL360" s="64">
        <f>IF(Table1[[#This Row],[InterConf]]=1,IF(Table1[[#This Row],[InterDiv]]=0, 1, 0), 0)</f>
        <v>0</v>
      </c>
      <c r="AM360" s="64">
        <f>IF(INDEX(Standings!$A$2:$C$33,MATCH(Table1[[#This Row],[AwayTeam]],Standings!$A$2:$A$33,0),2)&lt;&gt;INDEX(Standings!$A$2:$C$33,MATCH(Table1[[#This Row],[HomeTeam]],Standings!$A$2:$A$33,0),2),1,0)</f>
        <v>1</v>
      </c>
      <c r="AN360" s="64" t="str">
        <f>INDEX(Table2[AWAY_RECORD], MATCH(Table1[[#This Row],[AwayTeam]],Table2[Team], 0), 0)</f>
        <v>1-0-0</v>
      </c>
      <c r="AO360" s="64" t="str">
        <f>INDEX(Records!$B$2:$AG$33, MATCH(Table1[[#This Row],[AwayTeam]],Records!$A$2:$A$33, 0), MATCH(Table1[[#This Row],[HomeTeam]],Records!$A$2:$A$33, 0))</f>
        <v>0-0-0</v>
      </c>
      <c r="AP360" s="64" t="str">
        <f>INDEX(Table2[HOME_RECORD], MATCH(Table1[[#This Row],[HomeTeam]],Table2[Team], 0), 0)</f>
        <v>1-1-0</v>
      </c>
      <c r="AQ360" s="64" t="str">
        <f>INDEX(Records!$B$2:$AG$33, MATCH(Table1[[#This Row],[HomeTeam]],Records!$A$2:$A$33, 0), MATCH(Table1[[#This Row],[AwayTeam]],Records!$A$2:$A$33, 0))</f>
        <v>0-0-0</v>
      </c>
    </row>
    <row r="361" spans="1:43" x14ac:dyDescent="0.25">
      <c r="A361" s="1"/>
      <c r="D361" t="s">
        <v>597</v>
      </c>
      <c r="E361" t="s">
        <v>443</v>
      </c>
      <c r="F361" t="s">
        <v>599</v>
      </c>
      <c r="G361" t="s">
        <v>16</v>
      </c>
      <c r="H361" t="s">
        <v>39</v>
      </c>
      <c r="L36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6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61" s="1"/>
      <c r="T361" s="64" t="str">
        <f>IF(Table1[[#This Row],[ActualWinner]]="", "", IF(Table1[[#This Row],[AwayTeam]]=Table1[[#This Row],[ActualWinner]],Table1[[#This Row],[HomeTeam]],Table1[[#This Row],[AwayTeam]]))</f>
        <v/>
      </c>
      <c r="U361" s="64">
        <f>Table1[[#This Row],[ActualAwayScore]]-Table1[[#This Row],[PredictedAwayScore]]</f>
        <v>0</v>
      </c>
      <c r="V361" s="64">
        <f>Table1[[#This Row],[ActualHomeScore]]-Table1[[#This Row],[PredictedHomeScore]]</f>
        <v>0</v>
      </c>
      <c r="W361" s="64">
        <f>(0.8*IF(Table1[[#This Row],[CorrectWinnerPrediction]]=1, 1, 0))+(0.1*IF(Table1[[#This Row],[CorrectAwayScorePrediction]]=1, 1, 0))+(0.1*IF(Table1[[#This Row],[CorrectHomeScorePrediction]]=1, 1, 0))</f>
        <v>0</v>
      </c>
      <c r="X36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61" s="64">
        <f>SUMIF(Table1[GameDate], Table1[[#This Row],[GameDate]], Table1[AwayGameGoalDiff])</f>
        <v>0</v>
      </c>
      <c r="AA361" s="64">
        <f>SUMIF(Table1[GameDate], Table1[[#This Row],[GameDate]], Table1[HomeGameGoalDiff])</f>
        <v>0</v>
      </c>
      <c r="AB361" s="64">
        <f>IF(ISBLANK(Table1[[#This Row],[ActualResult]]), 0, 1)</f>
        <v>0</v>
      </c>
      <c r="AC361" s="64">
        <f>IF(ISBLANK(Table1[[#This Row],[ActualResult]]), 0, IF(Table1[[#This Row],[ActualWinner]]=Table1[[#This Row],[PredictedWinner]], 1, 0))</f>
        <v>0</v>
      </c>
      <c r="AD36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6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61" s="64">
        <f>IF(AND(Table1[[#This Row],[GameIsOver]]=1,Table1[[#This Row],[ActualAwayScore]]=0), 1,0)</f>
        <v>0</v>
      </c>
      <c r="AG361" s="64">
        <f>IF(AND(Table1[[#This Row],[GameIsOver]]=1,Table1[[#This Row],[ActualHomeScore]]=0), 1,0)</f>
        <v>0</v>
      </c>
      <c r="AH361" s="64">
        <f>IF(Table1[[#This Row],[GameIsOver]]=0,0,IF(Table1[[#This Row],[ActualWinner]]=Table1[[#This Row],[AwayTeam]], 1, 0))</f>
        <v>0</v>
      </c>
      <c r="AI361" s="64">
        <f>IF(Table1[[#This Row],[GameIsOver]]=0,0,IF(Table1[[#This Row],[ActualWinner]]=Table1[[#This Row],[HomeTeam]], 1, 0))</f>
        <v>0</v>
      </c>
      <c r="AJ361" s="64">
        <f>IF(INDEX(Standings!$A$2:$C$33,MATCH(Table1[[#This Row],[AwayTeam]],Standings!$A$2:$A$33,0),2)=INDEX(Standings!$A$2:$C$33,MATCH(Table1[[#This Row],[HomeTeam]],Standings!$A$2:$A$33,0),2),1,0)</f>
        <v>1</v>
      </c>
      <c r="AK361" s="64">
        <f>IF(INDEX(Standings!$A$2:$C$33,MATCH(Table1[[#This Row],[AwayTeam]],Standings!$A$2:$A$33,0),3)=INDEX(Standings!$A$2:$C$33,MATCH(Table1[[#This Row],[HomeTeam]],Standings!$A$2:$A$33,0),3),1,0)</f>
        <v>0</v>
      </c>
      <c r="AL361" s="64">
        <f>IF(Table1[[#This Row],[InterConf]]=1,IF(Table1[[#This Row],[InterDiv]]=0, 1, 0), 0)</f>
        <v>1</v>
      </c>
      <c r="AM361" s="64">
        <f>IF(INDEX(Standings!$A$2:$C$33,MATCH(Table1[[#This Row],[AwayTeam]],Standings!$A$2:$A$33,0),2)&lt;&gt;INDEX(Standings!$A$2:$C$33,MATCH(Table1[[#This Row],[HomeTeam]],Standings!$A$2:$A$33,0),2),1,0)</f>
        <v>0</v>
      </c>
      <c r="AN361" s="64" t="str">
        <f>INDEX(Table2[AWAY_RECORD], MATCH(Table1[[#This Row],[AwayTeam]],Table2[Team], 0), 0)</f>
        <v>1-0-1</v>
      </c>
      <c r="AO361" s="64" t="str">
        <f>INDEX(Records!$B$2:$AG$33, MATCH(Table1[[#This Row],[AwayTeam]],Records!$A$2:$A$33, 0), MATCH(Table1[[#This Row],[HomeTeam]],Records!$A$2:$A$33, 0))</f>
        <v>0-0-0</v>
      </c>
      <c r="AP361" s="64" t="str">
        <f>INDEX(Table2[HOME_RECORD], MATCH(Table1[[#This Row],[HomeTeam]],Table2[Team], 0), 0)</f>
        <v>0-1-0</v>
      </c>
      <c r="AQ361" s="64" t="str">
        <f>INDEX(Records!$B$2:$AG$33, MATCH(Table1[[#This Row],[HomeTeam]],Records!$A$2:$A$33, 0), MATCH(Table1[[#This Row],[AwayTeam]],Records!$A$2:$A$33, 0))</f>
        <v>0-0-0</v>
      </c>
    </row>
    <row r="362" spans="1:43" x14ac:dyDescent="0.25">
      <c r="A362" s="1"/>
      <c r="D362" t="s">
        <v>597</v>
      </c>
      <c r="E362" t="s">
        <v>160</v>
      </c>
      <c r="F362" t="s">
        <v>600</v>
      </c>
      <c r="G362" t="s">
        <v>38</v>
      </c>
      <c r="H362" t="s">
        <v>17</v>
      </c>
      <c r="L36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6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62" s="1"/>
      <c r="T362" s="64" t="str">
        <f>IF(Table1[[#This Row],[ActualWinner]]="", "", IF(Table1[[#This Row],[AwayTeam]]=Table1[[#This Row],[ActualWinner]],Table1[[#This Row],[HomeTeam]],Table1[[#This Row],[AwayTeam]]))</f>
        <v/>
      </c>
      <c r="U362" s="64">
        <f>Table1[[#This Row],[ActualAwayScore]]-Table1[[#This Row],[PredictedAwayScore]]</f>
        <v>0</v>
      </c>
      <c r="V362" s="64">
        <f>Table1[[#This Row],[ActualHomeScore]]-Table1[[#This Row],[PredictedHomeScore]]</f>
        <v>0</v>
      </c>
      <c r="W362" s="64">
        <f>(0.8*IF(Table1[[#This Row],[CorrectWinnerPrediction]]=1, 1, 0))+(0.1*IF(Table1[[#This Row],[CorrectAwayScorePrediction]]=1, 1, 0))+(0.1*IF(Table1[[#This Row],[CorrectHomeScorePrediction]]=1, 1, 0))</f>
        <v>0</v>
      </c>
      <c r="X36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62" s="64">
        <f>SUMIF(Table1[GameDate], Table1[[#This Row],[GameDate]], Table1[AwayGameGoalDiff])</f>
        <v>0</v>
      </c>
      <c r="AA362" s="64">
        <f>SUMIF(Table1[GameDate], Table1[[#This Row],[GameDate]], Table1[HomeGameGoalDiff])</f>
        <v>0</v>
      </c>
      <c r="AB362" s="64">
        <f>IF(ISBLANK(Table1[[#This Row],[ActualResult]]), 0, 1)</f>
        <v>0</v>
      </c>
      <c r="AC362" s="64">
        <f>IF(ISBLANK(Table1[[#This Row],[ActualResult]]), 0, IF(Table1[[#This Row],[ActualWinner]]=Table1[[#This Row],[PredictedWinner]], 1, 0))</f>
        <v>0</v>
      </c>
      <c r="AD36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6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62" s="64">
        <f>IF(AND(Table1[[#This Row],[GameIsOver]]=1,Table1[[#This Row],[ActualAwayScore]]=0), 1,0)</f>
        <v>0</v>
      </c>
      <c r="AG362" s="64">
        <f>IF(AND(Table1[[#This Row],[GameIsOver]]=1,Table1[[#This Row],[ActualHomeScore]]=0), 1,0)</f>
        <v>0</v>
      </c>
      <c r="AH362" s="64">
        <f>IF(Table1[[#This Row],[GameIsOver]]=0,0,IF(Table1[[#This Row],[ActualWinner]]=Table1[[#This Row],[AwayTeam]], 1, 0))</f>
        <v>0</v>
      </c>
      <c r="AI362" s="64">
        <f>IF(Table1[[#This Row],[GameIsOver]]=0,0,IF(Table1[[#This Row],[ActualWinner]]=Table1[[#This Row],[HomeTeam]], 1, 0))</f>
        <v>0</v>
      </c>
      <c r="AJ362" s="64">
        <f>IF(INDEX(Standings!$A$2:$C$33,MATCH(Table1[[#This Row],[AwayTeam]],Standings!$A$2:$A$33,0),2)=INDEX(Standings!$A$2:$C$33,MATCH(Table1[[#This Row],[HomeTeam]],Standings!$A$2:$A$33,0),2),1,0)</f>
        <v>1</v>
      </c>
      <c r="AK362" s="64">
        <f>IF(INDEX(Standings!$A$2:$C$33,MATCH(Table1[[#This Row],[AwayTeam]],Standings!$A$2:$A$33,0),3)=INDEX(Standings!$A$2:$C$33,MATCH(Table1[[#This Row],[HomeTeam]],Standings!$A$2:$A$33,0),3),1,0)</f>
        <v>1</v>
      </c>
      <c r="AL362" s="64">
        <f>IF(Table1[[#This Row],[InterConf]]=1,IF(Table1[[#This Row],[InterDiv]]=0, 1, 0), 0)</f>
        <v>0</v>
      </c>
      <c r="AM362" s="64">
        <f>IF(INDEX(Standings!$A$2:$C$33,MATCH(Table1[[#This Row],[AwayTeam]],Standings!$A$2:$A$33,0),2)&lt;&gt;INDEX(Standings!$A$2:$C$33,MATCH(Table1[[#This Row],[HomeTeam]],Standings!$A$2:$A$33,0),2),1,0)</f>
        <v>0</v>
      </c>
      <c r="AN362" s="64" t="str">
        <f>INDEX(Table2[AWAY_RECORD], MATCH(Table1[[#This Row],[AwayTeam]],Table2[Team], 0), 0)</f>
        <v>0-0-1</v>
      </c>
      <c r="AO362" s="64" t="str">
        <f>INDEX(Records!$B$2:$AG$33, MATCH(Table1[[#This Row],[AwayTeam]],Records!$A$2:$A$33, 0), MATCH(Table1[[#This Row],[HomeTeam]],Records!$A$2:$A$33, 0))</f>
        <v>0-0-0</v>
      </c>
      <c r="AP362" s="64" t="str">
        <f>INDEX(Table2[HOME_RECORD], MATCH(Table1[[#This Row],[HomeTeam]],Table2[Team], 0), 0)</f>
        <v>0-0-0</v>
      </c>
      <c r="AQ362" s="64" t="str">
        <f>INDEX(Records!$B$2:$AG$33, MATCH(Table1[[#This Row],[HomeTeam]],Records!$A$2:$A$33, 0), MATCH(Table1[[#This Row],[AwayTeam]],Records!$A$2:$A$33, 0))</f>
        <v>0-0-0</v>
      </c>
    </row>
    <row r="363" spans="1:43" x14ac:dyDescent="0.25">
      <c r="A363" s="1"/>
      <c r="D363" t="s">
        <v>597</v>
      </c>
      <c r="E363" t="s">
        <v>160</v>
      </c>
      <c r="F363" t="s">
        <v>601</v>
      </c>
      <c r="G363" t="s">
        <v>54</v>
      </c>
      <c r="H363" t="s">
        <v>48</v>
      </c>
      <c r="L36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6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63" s="1"/>
      <c r="T363" s="64" t="str">
        <f>IF(Table1[[#This Row],[ActualWinner]]="", "", IF(Table1[[#This Row],[AwayTeam]]=Table1[[#This Row],[ActualWinner]],Table1[[#This Row],[HomeTeam]],Table1[[#This Row],[AwayTeam]]))</f>
        <v/>
      </c>
      <c r="U363" s="64">
        <f>Table1[[#This Row],[ActualAwayScore]]-Table1[[#This Row],[PredictedAwayScore]]</f>
        <v>0</v>
      </c>
      <c r="V363" s="64">
        <f>Table1[[#This Row],[ActualHomeScore]]-Table1[[#This Row],[PredictedHomeScore]]</f>
        <v>0</v>
      </c>
      <c r="W363" s="64">
        <f>(0.8*IF(Table1[[#This Row],[CorrectWinnerPrediction]]=1, 1, 0))+(0.1*IF(Table1[[#This Row],[CorrectAwayScorePrediction]]=1, 1, 0))+(0.1*IF(Table1[[#This Row],[CorrectHomeScorePrediction]]=1, 1, 0))</f>
        <v>0</v>
      </c>
      <c r="X36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63" s="64">
        <f>SUMIF(Table1[GameDate], Table1[[#This Row],[GameDate]], Table1[AwayGameGoalDiff])</f>
        <v>0</v>
      </c>
      <c r="AA363" s="64">
        <f>SUMIF(Table1[GameDate], Table1[[#This Row],[GameDate]], Table1[HomeGameGoalDiff])</f>
        <v>0</v>
      </c>
      <c r="AB363" s="64">
        <f>IF(ISBLANK(Table1[[#This Row],[ActualResult]]), 0, 1)</f>
        <v>0</v>
      </c>
      <c r="AC363" s="64">
        <f>IF(ISBLANK(Table1[[#This Row],[ActualResult]]), 0, IF(Table1[[#This Row],[ActualWinner]]=Table1[[#This Row],[PredictedWinner]], 1, 0))</f>
        <v>0</v>
      </c>
      <c r="AD36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6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63" s="64">
        <f>IF(AND(Table1[[#This Row],[GameIsOver]]=1,Table1[[#This Row],[ActualAwayScore]]=0), 1,0)</f>
        <v>0</v>
      </c>
      <c r="AG363" s="64">
        <f>IF(AND(Table1[[#This Row],[GameIsOver]]=1,Table1[[#This Row],[ActualHomeScore]]=0), 1,0)</f>
        <v>0</v>
      </c>
      <c r="AH363" s="64">
        <f>IF(Table1[[#This Row],[GameIsOver]]=0,0,IF(Table1[[#This Row],[ActualWinner]]=Table1[[#This Row],[AwayTeam]], 1, 0))</f>
        <v>0</v>
      </c>
      <c r="AI363" s="64">
        <f>IF(Table1[[#This Row],[GameIsOver]]=0,0,IF(Table1[[#This Row],[ActualWinner]]=Table1[[#This Row],[HomeTeam]], 1, 0))</f>
        <v>0</v>
      </c>
      <c r="AJ363" s="64">
        <f>IF(INDEX(Standings!$A$2:$C$33,MATCH(Table1[[#This Row],[AwayTeam]],Standings!$A$2:$A$33,0),2)=INDEX(Standings!$A$2:$C$33,MATCH(Table1[[#This Row],[HomeTeam]],Standings!$A$2:$A$33,0),2),1,0)</f>
        <v>0</v>
      </c>
      <c r="AK363" s="64">
        <f>IF(INDEX(Standings!$A$2:$C$33,MATCH(Table1[[#This Row],[AwayTeam]],Standings!$A$2:$A$33,0),3)=INDEX(Standings!$A$2:$C$33,MATCH(Table1[[#This Row],[HomeTeam]],Standings!$A$2:$A$33,0),3),1,0)</f>
        <v>0</v>
      </c>
      <c r="AL363" s="64">
        <f>IF(Table1[[#This Row],[InterConf]]=1,IF(Table1[[#This Row],[InterDiv]]=0, 1, 0), 0)</f>
        <v>0</v>
      </c>
      <c r="AM363" s="64">
        <f>IF(INDEX(Standings!$A$2:$C$33,MATCH(Table1[[#This Row],[AwayTeam]],Standings!$A$2:$A$33,0),2)&lt;&gt;INDEX(Standings!$A$2:$C$33,MATCH(Table1[[#This Row],[HomeTeam]],Standings!$A$2:$A$33,0),2),1,0)</f>
        <v>1</v>
      </c>
      <c r="AN363" s="64" t="str">
        <f>INDEX(Table2[AWAY_RECORD], MATCH(Table1[[#This Row],[AwayTeam]],Table2[Team], 0), 0)</f>
        <v>0-0-1</v>
      </c>
      <c r="AO363" s="64" t="str">
        <f>INDEX(Records!$B$2:$AG$33, MATCH(Table1[[#This Row],[AwayTeam]],Records!$A$2:$A$33, 0), MATCH(Table1[[#This Row],[HomeTeam]],Records!$A$2:$A$33, 0))</f>
        <v>0-0-0</v>
      </c>
      <c r="AP363" s="64" t="str">
        <f>INDEX(Table2[HOME_RECORD], MATCH(Table1[[#This Row],[HomeTeam]],Table2[Team], 0), 0)</f>
        <v>1-0-0</v>
      </c>
      <c r="AQ363" s="64" t="str">
        <f>INDEX(Records!$B$2:$AG$33, MATCH(Table1[[#This Row],[HomeTeam]],Records!$A$2:$A$33, 0), MATCH(Table1[[#This Row],[AwayTeam]],Records!$A$2:$A$33, 0))</f>
        <v>0-0-0</v>
      </c>
    </row>
    <row r="364" spans="1:43" x14ac:dyDescent="0.25">
      <c r="A364" s="1"/>
      <c r="D364" t="s">
        <v>597</v>
      </c>
      <c r="E364" t="s">
        <v>162</v>
      </c>
      <c r="F364" t="s">
        <v>602</v>
      </c>
      <c r="G364" t="s">
        <v>59</v>
      </c>
      <c r="H364" t="s">
        <v>37</v>
      </c>
      <c r="L36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6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64" s="1"/>
      <c r="T364" s="64" t="str">
        <f>IF(Table1[[#This Row],[ActualWinner]]="", "", IF(Table1[[#This Row],[AwayTeam]]=Table1[[#This Row],[ActualWinner]],Table1[[#This Row],[HomeTeam]],Table1[[#This Row],[AwayTeam]]))</f>
        <v/>
      </c>
      <c r="U364" s="64">
        <f>Table1[[#This Row],[ActualAwayScore]]-Table1[[#This Row],[PredictedAwayScore]]</f>
        <v>0</v>
      </c>
      <c r="V364" s="64">
        <f>Table1[[#This Row],[ActualHomeScore]]-Table1[[#This Row],[PredictedHomeScore]]</f>
        <v>0</v>
      </c>
      <c r="W364" s="64">
        <f>(0.8*IF(Table1[[#This Row],[CorrectWinnerPrediction]]=1, 1, 0))+(0.1*IF(Table1[[#This Row],[CorrectAwayScorePrediction]]=1, 1, 0))+(0.1*IF(Table1[[#This Row],[CorrectHomeScorePrediction]]=1, 1, 0))</f>
        <v>0</v>
      </c>
      <c r="X36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64" s="64">
        <f>SUMIF(Table1[GameDate], Table1[[#This Row],[GameDate]], Table1[AwayGameGoalDiff])</f>
        <v>0</v>
      </c>
      <c r="AA364" s="64">
        <f>SUMIF(Table1[GameDate], Table1[[#This Row],[GameDate]], Table1[HomeGameGoalDiff])</f>
        <v>0</v>
      </c>
      <c r="AB364" s="64">
        <f>IF(ISBLANK(Table1[[#This Row],[ActualResult]]), 0, 1)</f>
        <v>0</v>
      </c>
      <c r="AC364" s="64">
        <f>IF(ISBLANK(Table1[[#This Row],[ActualResult]]), 0, IF(Table1[[#This Row],[ActualWinner]]=Table1[[#This Row],[PredictedWinner]], 1, 0))</f>
        <v>0</v>
      </c>
      <c r="AD36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6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64" s="64">
        <f>IF(AND(Table1[[#This Row],[GameIsOver]]=1,Table1[[#This Row],[ActualAwayScore]]=0), 1,0)</f>
        <v>0</v>
      </c>
      <c r="AG364" s="64">
        <f>IF(AND(Table1[[#This Row],[GameIsOver]]=1,Table1[[#This Row],[ActualHomeScore]]=0), 1,0)</f>
        <v>0</v>
      </c>
      <c r="AH364" s="64">
        <f>IF(Table1[[#This Row],[GameIsOver]]=0,0,IF(Table1[[#This Row],[ActualWinner]]=Table1[[#This Row],[AwayTeam]], 1, 0))</f>
        <v>0</v>
      </c>
      <c r="AI364" s="64">
        <f>IF(Table1[[#This Row],[GameIsOver]]=0,0,IF(Table1[[#This Row],[ActualWinner]]=Table1[[#This Row],[HomeTeam]], 1, 0))</f>
        <v>0</v>
      </c>
      <c r="AJ364" s="64">
        <f>IF(INDEX(Standings!$A$2:$C$33,MATCH(Table1[[#This Row],[AwayTeam]],Standings!$A$2:$A$33,0),2)=INDEX(Standings!$A$2:$C$33,MATCH(Table1[[#This Row],[HomeTeam]],Standings!$A$2:$A$33,0),2),1,0)</f>
        <v>1</v>
      </c>
      <c r="AK364" s="64">
        <f>IF(INDEX(Standings!$A$2:$C$33,MATCH(Table1[[#This Row],[AwayTeam]],Standings!$A$2:$A$33,0),3)=INDEX(Standings!$A$2:$C$33,MATCH(Table1[[#This Row],[HomeTeam]],Standings!$A$2:$A$33,0),3),1,0)</f>
        <v>0</v>
      </c>
      <c r="AL364" s="64">
        <f>IF(Table1[[#This Row],[InterConf]]=1,IF(Table1[[#This Row],[InterDiv]]=0, 1, 0), 0)</f>
        <v>1</v>
      </c>
      <c r="AM364" s="64">
        <f>IF(INDEX(Standings!$A$2:$C$33,MATCH(Table1[[#This Row],[AwayTeam]],Standings!$A$2:$A$33,0),2)&lt;&gt;INDEX(Standings!$A$2:$C$33,MATCH(Table1[[#This Row],[HomeTeam]],Standings!$A$2:$A$33,0),2),1,0)</f>
        <v>0</v>
      </c>
      <c r="AN364" s="64" t="str">
        <f>INDEX(Table2[AWAY_RECORD], MATCH(Table1[[#This Row],[AwayTeam]],Table2[Team], 0), 0)</f>
        <v>0-1-0</v>
      </c>
      <c r="AO364" s="64" t="str">
        <f>INDEX(Records!$B$2:$AG$33, MATCH(Table1[[#This Row],[AwayTeam]],Records!$A$2:$A$33, 0), MATCH(Table1[[#This Row],[HomeTeam]],Records!$A$2:$A$33, 0))</f>
        <v>0-0-0</v>
      </c>
      <c r="AP364" s="64" t="str">
        <f>INDEX(Table2[HOME_RECORD], MATCH(Table1[[#This Row],[HomeTeam]],Table2[Team], 0), 0)</f>
        <v>0-1-0</v>
      </c>
      <c r="AQ364" s="64" t="str">
        <f>INDEX(Records!$B$2:$AG$33, MATCH(Table1[[#This Row],[HomeTeam]],Records!$A$2:$A$33, 0), MATCH(Table1[[#This Row],[AwayTeam]],Records!$A$2:$A$33, 0))</f>
        <v>0-0-0</v>
      </c>
    </row>
    <row r="365" spans="1:43" x14ac:dyDescent="0.25">
      <c r="A365" s="1"/>
      <c r="D365" t="s">
        <v>597</v>
      </c>
      <c r="E365" t="s">
        <v>162</v>
      </c>
      <c r="F365" t="s">
        <v>603</v>
      </c>
      <c r="G365" t="s">
        <v>42</v>
      </c>
      <c r="H365" t="s">
        <v>24</v>
      </c>
      <c r="L36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6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65" s="1"/>
      <c r="T365" s="64" t="str">
        <f>IF(Table1[[#This Row],[ActualWinner]]="", "", IF(Table1[[#This Row],[AwayTeam]]=Table1[[#This Row],[ActualWinner]],Table1[[#This Row],[HomeTeam]],Table1[[#This Row],[AwayTeam]]))</f>
        <v/>
      </c>
      <c r="U365" s="64">
        <f>Table1[[#This Row],[ActualAwayScore]]-Table1[[#This Row],[PredictedAwayScore]]</f>
        <v>0</v>
      </c>
      <c r="V365" s="64">
        <f>Table1[[#This Row],[ActualHomeScore]]-Table1[[#This Row],[PredictedHomeScore]]</f>
        <v>0</v>
      </c>
      <c r="W365" s="64">
        <f>(0.8*IF(Table1[[#This Row],[CorrectWinnerPrediction]]=1, 1, 0))+(0.1*IF(Table1[[#This Row],[CorrectAwayScorePrediction]]=1, 1, 0))+(0.1*IF(Table1[[#This Row],[CorrectHomeScorePrediction]]=1, 1, 0))</f>
        <v>0</v>
      </c>
      <c r="X36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65" s="64">
        <f>SUMIF(Table1[GameDate], Table1[[#This Row],[GameDate]], Table1[AwayGameGoalDiff])</f>
        <v>0</v>
      </c>
      <c r="AA365" s="64">
        <f>SUMIF(Table1[GameDate], Table1[[#This Row],[GameDate]], Table1[HomeGameGoalDiff])</f>
        <v>0</v>
      </c>
      <c r="AB365" s="64">
        <f>IF(ISBLANK(Table1[[#This Row],[ActualResult]]), 0, 1)</f>
        <v>0</v>
      </c>
      <c r="AC365" s="64">
        <f>IF(ISBLANK(Table1[[#This Row],[ActualResult]]), 0, IF(Table1[[#This Row],[ActualWinner]]=Table1[[#This Row],[PredictedWinner]], 1, 0))</f>
        <v>0</v>
      </c>
      <c r="AD36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6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65" s="64">
        <f>IF(AND(Table1[[#This Row],[GameIsOver]]=1,Table1[[#This Row],[ActualAwayScore]]=0), 1,0)</f>
        <v>0</v>
      </c>
      <c r="AG365" s="64">
        <f>IF(AND(Table1[[#This Row],[GameIsOver]]=1,Table1[[#This Row],[ActualHomeScore]]=0), 1,0)</f>
        <v>0</v>
      </c>
      <c r="AH365" s="64">
        <f>IF(Table1[[#This Row],[GameIsOver]]=0,0,IF(Table1[[#This Row],[ActualWinner]]=Table1[[#This Row],[AwayTeam]], 1, 0))</f>
        <v>0</v>
      </c>
      <c r="AI365" s="64">
        <f>IF(Table1[[#This Row],[GameIsOver]]=0,0,IF(Table1[[#This Row],[ActualWinner]]=Table1[[#This Row],[HomeTeam]], 1, 0))</f>
        <v>0</v>
      </c>
      <c r="AJ365" s="64">
        <f>IF(INDEX(Standings!$A$2:$C$33,MATCH(Table1[[#This Row],[AwayTeam]],Standings!$A$2:$A$33,0),2)=INDEX(Standings!$A$2:$C$33,MATCH(Table1[[#This Row],[HomeTeam]],Standings!$A$2:$A$33,0),2),1,0)</f>
        <v>1</v>
      </c>
      <c r="AK365" s="64">
        <f>IF(INDEX(Standings!$A$2:$C$33,MATCH(Table1[[#This Row],[AwayTeam]],Standings!$A$2:$A$33,0),3)=INDEX(Standings!$A$2:$C$33,MATCH(Table1[[#This Row],[HomeTeam]],Standings!$A$2:$A$33,0),3),1,0)</f>
        <v>0</v>
      </c>
      <c r="AL365" s="64">
        <f>IF(Table1[[#This Row],[InterConf]]=1,IF(Table1[[#This Row],[InterDiv]]=0, 1, 0), 0)</f>
        <v>1</v>
      </c>
      <c r="AM365" s="64">
        <f>IF(INDEX(Standings!$A$2:$C$33,MATCH(Table1[[#This Row],[AwayTeam]],Standings!$A$2:$A$33,0),2)&lt;&gt;INDEX(Standings!$A$2:$C$33,MATCH(Table1[[#This Row],[HomeTeam]],Standings!$A$2:$A$33,0),2),1,0)</f>
        <v>0</v>
      </c>
      <c r="AN365" s="64" t="str">
        <f>INDEX(Table2[AWAY_RECORD], MATCH(Table1[[#This Row],[AwayTeam]],Table2[Team], 0), 0)</f>
        <v>0-0-0</v>
      </c>
      <c r="AO365" s="64" t="str">
        <f>INDEX(Records!$B$2:$AG$33, MATCH(Table1[[#This Row],[AwayTeam]],Records!$A$2:$A$33, 0), MATCH(Table1[[#This Row],[HomeTeam]],Records!$A$2:$A$33, 0))</f>
        <v>0-0-0</v>
      </c>
      <c r="AP365" s="64" t="str">
        <f>INDEX(Table2[HOME_RECORD], MATCH(Table1[[#This Row],[HomeTeam]],Table2[Team], 0), 0)</f>
        <v>0-2-0</v>
      </c>
      <c r="AQ365" s="64" t="str">
        <f>INDEX(Records!$B$2:$AG$33, MATCH(Table1[[#This Row],[HomeTeam]],Records!$A$2:$A$33, 0), MATCH(Table1[[#This Row],[AwayTeam]],Records!$A$2:$A$33, 0))</f>
        <v>0-0-0</v>
      </c>
    </row>
    <row r="366" spans="1:43" x14ac:dyDescent="0.25">
      <c r="A366" s="1"/>
      <c r="D366" t="s">
        <v>597</v>
      </c>
      <c r="E366" t="s">
        <v>162</v>
      </c>
      <c r="F366" t="s">
        <v>604</v>
      </c>
      <c r="G366" t="s">
        <v>53</v>
      </c>
      <c r="H366" t="s">
        <v>47</v>
      </c>
      <c r="L36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6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66" s="1"/>
      <c r="T366" s="64" t="str">
        <f>IF(Table1[[#This Row],[ActualWinner]]="", "", IF(Table1[[#This Row],[AwayTeam]]=Table1[[#This Row],[ActualWinner]],Table1[[#This Row],[HomeTeam]],Table1[[#This Row],[AwayTeam]]))</f>
        <v/>
      </c>
      <c r="U366" s="64">
        <f>Table1[[#This Row],[ActualAwayScore]]-Table1[[#This Row],[PredictedAwayScore]]</f>
        <v>0</v>
      </c>
      <c r="V366" s="64">
        <f>Table1[[#This Row],[ActualHomeScore]]-Table1[[#This Row],[PredictedHomeScore]]</f>
        <v>0</v>
      </c>
      <c r="W366" s="64">
        <f>(0.8*IF(Table1[[#This Row],[CorrectWinnerPrediction]]=1, 1, 0))+(0.1*IF(Table1[[#This Row],[CorrectAwayScorePrediction]]=1, 1, 0))+(0.1*IF(Table1[[#This Row],[CorrectHomeScorePrediction]]=1, 1, 0))</f>
        <v>0</v>
      </c>
      <c r="X36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66" s="64">
        <f>SUMIF(Table1[GameDate], Table1[[#This Row],[GameDate]], Table1[AwayGameGoalDiff])</f>
        <v>0</v>
      </c>
      <c r="AA366" s="64">
        <f>SUMIF(Table1[GameDate], Table1[[#This Row],[GameDate]], Table1[HomeGameGoalDiff])</f>
        <v>0</v>
      </c>
      <c r="AB366" s="64">
        <f>IF(ISBLANK(Table1[[#This Row],[ActualResult]]), 0, 1)</f>
        <v>0</v>
      </c>
      <c r="AC366" s="64">
        <f>IF(ISBLANK(Table1[[#This Row],[ActualResult]]), 0, IF(Table1[[#This Row],[ActualWinner]]=Table1[[#This Row],[PredictedWinner]], 1, 0))</f>
        <v>0</v>
      </c>
      <c r="AD36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6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66" s="64">
        <f>IF(AND(Table1[[#This Row],[GameIsOver]]=1,Table1[[#This Row],[ActualAwayScore]]=0), 1,0)</f>
        <v>0</v>
      </c>
      <c r="AG366" s="64">
        <f>IF(AND(Table1[[#This Row],[GameIsOver]]=1,Table1[[#This Row],[ActualHomeScore]]=0), 1,0)</f>
        <v>0</v>
      </c>
      <c r="AH366" s="64">
        <f>IF(Table1[[#This Row],[GameIsOver]]=0,0,IF(Table1[[#This Row],[ActualWinner]]=Table1[[#This Row],[AwayTeam]], 1, 0))</f>
        <v>0</v>
      </c>
      <c r="AI366" s="64">
        <f>IF(Table1[[#This Row],[GameIsOver]]=0,0,IF(Table1[[#This Row],[ActualWinner]]=Table1[[#This Row],[HomeTeam]], 1, 0))</f>
        <v>0</v>
      </c>
      <c r="AJ366" s="64">
        <f>IF(INDEX(Standings!$A$2:$C$33,MATCH(Table1[[#This Row],[AwayTeam]],Standings!$A$2:$A$33,0),2)=INDEX(Standings!$A$2:$C$33,MATCH(Table1[[#This Row],[HomeTeam]],Standings!$A$2:$A$33,0),2),1,0)</f>
        <v>1</v>
      </c>
      <c r="AK366" s="64">
        <f>IF(INDEX(Standings!$A$2:$C$33,MATCH(Table1[[#This Row],[AwayTeam]],Standings!$A$2:$A$33,0),3)=INDEX(Standings!$A$2:$C$33,MATCH(Table1[[#This Row],[HomeTeam]],Standings!$A$2:$A$33,0),3),1,0)</f>
        <v>0</v>
      </c>
      <c r="AL366" s="64">
        <f>IF(Table1[[#This Row],[InterConf]]=1,IF(Table1[[#This Row],[InterDiv]]=0, 1, 0), 0)</f>
        <v>1</v>
      </c>
      <c r="AM366" s="64">
        <f>IF(INDEX(Standings!$A$2:$C$33,MATCH(Table1[[#This Row],[AwayTeam]],Standings!$A$2:$A$33,0),2)&lt;&gt;INDEX(Standings!$A$2:$C$33,MATCH(Table1[[#This Row],[HomeTeam]],Standings!$A$2:$A$33,0),2),1,0)</f>
        <v>0</v>
      </c>
      <c r="AN366" s="64" t="str">
        <f>INDEX(Table2[AWAY_RECORD], MATCH(Table1[[#This Row],[AwayTeam]],Table2[Team], 0), 0)</f>
        <v>0-1-0</v>
      </c>
      <c r="AO366" s="64" t="str">
        <f>INDEX(Records!$B$2:$AG$33, MATCH(Table1[[#This Row],[AwayTeam]],Records!$A$2:$A$33, 0), MATCH(Table1[[#This Row],[HomeTeam]],Records!$A$2:$A$33, 0))</f>
        <v>0-0-0</v>
      </c>
      <c r="AP366" s="64" t="str">
        <f>INDEX(Table2[HOME_RECORD], MATCH(Table1[[#This Row],[HomeTeam]],Table2[Team], 0), 0)</f>
        <v>0-0-0</v>
      </c>
      <c r="AQ366" s="64" t="str">
        <f>INDEX(Records!$B$2:$AG$33, MATCH(Table1[[#This Row],[HomeTeam]],Records!$A$2:$A$33, 0), MATCH(Table1[[#This Row],[AwayTeam]],Records!$A$2:$A$33, 0))</f>
        <v>0-0-0</v>
      </c>
    </row>
    <row r="367" spans="1:43" x14ac:dyDescent="0.25">
      <c r="A367" s="1"/>
      <c r="D367" t="s">
        <v>597</v>
      </c>
      <c r="E367" t="s">
        <v>162</v>
      </c>
      <c r="F367" t="s">
        <v>605</v>
      </c>
      <c r="G367" t="s">
        <v>46</v>
      </c>
      <c r="H367" t="s">
        <v>52</v>
      </c>
      <c r="L36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6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67" s="1"/>
      <c r="T367" s="64" t="str">
        <f>IF(Table1[[#This Row],[ActualWinner]]="", "", IF(Table1[[#This Row],[AwayTeam]]=Table1[[#This Row],[ActualWinner]],Table1[[#This Row],[HomeTeam]],Table1[[#This Row],[AwayTeam]]))</f>
        <v/>
      </c>
      <c r="U367" s="64">
        <f>Table1[[#This Row],[ActualAwayScore]]-Table1[[#This Row],[PredictedAwayScore]]</f>
        <v>0</v>
      </c>
      <c r="V367" s="64">
        <f>Table1[[#This Row],[ActualHomeScore]]-Table1[[#This Row],[PredictedHomeScore]]</f>
        <v>0</v>
      </c>
      <c r="W367" s="64">
        <f>(0.8*IF(Table1[[#This Row],[CorrectWinnerPrediction]]=1, 1, 0))+(0.1*IF(Table1[[#This Row],[CorrectAwayScorePrediction]]=1, 1, 0))+(0.1*IF(Table1[[#This Row],[CorrectHomeScorePrediction]]=1, 1, 0))</f>
        <v>0</v>
      </c>
      <c r="X36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67" s="64">
        <f>SUMIF(Table1[GameDate], Table1[[#This Row],[GameDate]], Table1[AwayGameGoalDiff])</f>
        <v>0</v>
      </c>
      <c r="AA367" s="64">
        <f>SUMIF(Table1[GameDate], Table1[[#This Row],[GameDate]], Table1[HomeGameGoalDiff])</f>
        <v>0</v>
      </c>
      <c r="AB367" s="64">
        <f>IF(ISBLANK(Table1[[#This Row],[ActualResult]]), 0, 1)</f>
        <v>0</v>
      </c>
      <c r="AC367" s="64">
        <f>IF(ISBLANK(Table1[[#This Row],[ActualResult]]), 0, IF(Table1[[#This Row],[ActualWinner]]=Table1[[#This Row],[PredictedWinner]], 1, 0))</f>
        <v>0</v>
      </c>
      <c r="AD36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6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67" s="64">
        <f>IF(AND(Table1[[#This Row],[GameIsOver]]=1,Table1[[#This Row],[ActualAwayScore]]=0), 1,0)</f>
        <v>0</v>
      </c>
      <c r="AG367" s="64">
        <f>IF(AND(Table1[[#This Row],[GameIsOver]]=1,Table1[[#This Row],[ActualHomeScore]]=0), 1,0)</f>
        <v>0</v>
      </c>
      <c r="AH367" s="64">
        <f>IF(Table1[[#This Row],[GameIsOver]]=0,0,IF(Table1[[#This Row],[ActualWinner]]=Table1[[#This Row],[AwayTeam]], 1, 0))</f>
        <v>0</v>
      </c>
      <c r="AI367" s="64">
        <f>IF(Table1[[#This Row],[GameIsOver]]=0,0,IF(Table1[[#This Row],[ActualWinner]]=Table1[[#This Row],[HomeTeam]], 1, 0))</f>
        <v>0</v>
      </c>
      <c r="AJ367" s="64">
        <f>IF(INDEX(Standings!$A$2:$C$33,MATCH(Table1[[#This Row],[AwayTeam]],Standings!$A$2:$A$33,0),2)=INDEX(Standings!$A$2:$C$33,MATCH(Table1[[#This Row],[HomeTeam]],Standings!$A$2:$A$33,0),2),1,0)</f>
        <v>0</v>
      </c>
      <c r="AK367" s="64">
        <f>IF(INDEX(Standings!$A$2:$C$33,MATCH(Table1[[#This Row],[AwayTeam]],Standings!$A$2:$A$33,0),3)=INDEX(Standings!$A$2:$C$33,MATCH(Table1[[#This Row],[HomeTeam]],Standings!$A$2:$A$33,0),3),1,0)</f>
        <v>0</v>
      </c>
      <c r="AL367" s="64">
        <f>IF(Table1[[#This Row],[InterConf]]=1,IF(Table1[[#This Row],[InterDiv]]=0, 1, 0), 0)</f>
        <v>0</v>
      </c>
      <c r="AM367" s="64">
        <f>IF(INDEX(Standings!$A$2:$C$33,MATCH(Table1[[#This Row],[AwayTeam]],Standings!$A$2:$A$33,0),2)&lt;&gt;INDEX(Standings!$A$2:$C$33,MATCH(Table1[[#This Row],[HomeTeam]],Standings!$A$2:$A$33,0),2),1,0)</f>
        <v>1</v>
      </c>
      <c r="AN367" s="64" t="str">
        <f>INDEX(Table2[AWAY_RECORD], MATCH(Table1[[#This Row],[AwayTeam]],Table2[Team], 0), 0)</f>
        <v>1-0-0</v>
      </c>
      <c r="AO367" s="64" t="str">
        <f>INDEX(Records!$B$2:$AG$33, MATCH(Table1[[#This Row],[AwayTeam]],Records!$A$2:$A$33, 0), MATCH(Table1[[#This Row],[HomeTeam]],Records!$A$2:$A$33, 0))</f>
        <v>0-0-0</v>
      </c>
      <c r="AP367" s="64" t="str">
        <f>INDEX(Table2[HOME_RECORD], MATCH(Table1[[#This Row],[HomeTeam]],Table2[Team], 0), 0)</f>
        <v>0-0-0</v>
      </c>
      <c r="AQ367" s="64" t="str">
        <f>INDEX(Records!$B$2:$AG$33, MATCH(Table1[[#This Row],[HomeTeam]],Records!$A$2:$A$33, 0), MATCH(Table1[[#This Row],[AwayTeam]],Records!$A$2:$A$33, 0))</f>
        <v>0-0-0</v>
      </c>
    </row>
    <row r="368" spans="1:43" x14ac:dyDescent="0.25">
      <c r="A368" s="1"/>
      <c r="D368" t="s">
        <v>597</v>
      </c>
      <c r="E368" t="s">
        <v>162</v>
      </c>
      <c r="F368" t="s">
        <v>606</v>
      </c>
      <c r="G368" t="s">
        <v>50</v>
      </c>
      <c r="H368" t="s">
        <v>44</v>
      </c>
      <c r="L36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6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68" s="1"/>
      <c r="T368" s="64" t="str">
        <f>IF(Table1[[#This Row],[ActualWinner]]="", "", IF(Table1[[#This Row],[AwayTeam]]=Table1[[#This Row],[ActualWinner]],Table1[[#This Row],[HomeTeam]],Table1[[#This Row],[AwayTeam]]))</f>
        <v/>
      </c>
      <c r="U368" s="64">
        <f>Table1[[#This Row],[ActualAwayScore]]-Table1[[#This Row],[PredictedAwayScore]]</f>
        <v>0</v>
      </c>
      <c r="V368" s="64">
        <f>Table1[[#This Row],[ActualHomeScore]]-Table1[[#This Row],[PredictedHomeScore]]</f>
        <v>0</v>
      </c>
      <c r="W368" s="64">
        <f>(0.8*IF(Table1[[#This Row],[CorrectWinnerPrediction]]=1, 1, 0))+(0.1*IF(Table1[[#This Row],[CorrectAwayScorePrediction]]=1, 1, 0))+(0.1*IF(Table1[[#This Row],[CorrectHomeScorePrediction]]=1, 1, 0))</f>
        <v>0</v>
      </c>
      <c r="X36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68" s="64">
        <f>SUMIF(Table1[GameDate], Table1[[#This Row],[GameDate]], Table1[AwayGameGoalDiff])</f>
        <v>0</v>
      </c>
      <c r="AA368" s="64">
        <f>SUMIF(Table1[GameDate], Table1[[#This Row],[GameDate]], Table1[HomeGameGoalDiff])</f>
        <v>0</v>
      </c>
      <c r="AB368" s="64">
        <f>IF(ISBLANK(Table1[[#This Row],[ActualResult]]), 0, 1)</f>
        <v>0</v>
      </c>
      <c r="AC368" s="64">
        <f>IF(ISBLANK(Table1[[#This Row],[ActualResult]]), 0, IF(Table1[[#This Row],[ActualWinner]]=Table1[[#This Row],[PredictedWinner]], 1, 0))</f>
        <v>0</v>
      </c>
      <c r="AD36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6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68" s="64">
        <f>IF(AND(Table1[[#This Row],[GameIsOver]]=1,Table1[[#This Row],[ActualAwayScore]]=0), 1,0)</f>
        <v>0</v>
      </c>
      <c r="AG368" s="64">
        <f>IF(AND(Table1[[#This Row],[GameIsOver]]=1,Table1[[#This Row],[ActualHomeScore]]=0), 1,0)</f>
        <v>0</v>
      </c>
      <c r="AH368" s="64">
        <f>IF(Table1[[#This Row],[GameIsOver]]=0,0,IF(Table1[[#This Row],[ActualWinner]]=Table1[[#This Row],[AwayTeam]], 1, 0))</f>
        <v>0</v>
      </c>
      <c r="AI368" s="64">
        <f>IF(Table1[[#This Row],[GameIsOver]]=0,0,IF(Table1[[#This Row],[ActualWinner]]=Table1[[#This Row],[HomeTeam]], 1, 0))</f>
        <v>0</v>
      </c>
      <c r="AJ368" s="64">
        <f>IF(INDEX(Standings!$A$2:$C$33,MATCH(Table1[[#This Row],[AwayTeam]],Standings!$A$2:$A$33,0),2)=INDEX(Standings!$A$2:$C$33,MATCH(Table1[[#This Row],[HomeTeam]],Standings!$A$2:$A$33,0),2),1,0)</f>
        <v>1</v>
      </c>
      <c r="AK368" s="64">
        <f>IF(INDEX(Standings!$A$2:$C$33,MATCH(Table1[[#This Row],[AwayTeam]],Standings!$A$2:$A$33,0),3)=INDEX(Standings!$A$2:$C$33,MATCH(Table1[[#This Row],[HomeTeam]],Standings!$A$2:$A$33,0),3),1,0)</f>
        <v>0</v>
      </c>
      <c r="AL368" s="64">
        <f>IF(Table1[[#This Row],[InterConf]]=1,IF(Table1[[#This Row],[InterDiv]]=0, 1, 0), 0)</f>
        <v>1</v>
      </c>
      <c r="AM368" s="64">
        <f>IF(INDEX(Standings!$A$2:$C$33,MATCH(Table1[[#This Row],[AwayTeam]],Standings!$A$2:$A$33,0),2)&lt;&gt;INDEX(Standings!$A$2:$C$33,MATCH(Table1[[#This Row],[HomeTeam]],Standings!$A$2:$A$33,0),2),1,0)</f>
        <v>0</v>
      </c>
      <c r="AN368" s="64" t="str">
        <f>INDEX(Table2[AWAY_RECORD], MATCH(Table1[[#This Row],[AwayTeam]],Table2[Team], 0), 0)</f>
        <v>1-0-0</v>
      </c>
      <c r="AO368" s="64" t="str">
        <f>INDEX(Records!$B$2:$AG$33, MATCH(Table1[[#This Row],[AwayTeam]],Records!$A$2:$A$33, 0), MATCH(Table1[[#This Row],[HomeTeam]],Records!$A$2:$A$33, 0))</f>
        <v>0-0-0</v>
      </c>
      <c r="AP368" s="64" t="str">
        <f>INDEX(Table2[HOME_RECORD], MATCH(Table1[[#This Row],[HomeTeam]],Table2[Team], 0), 0)</f>
        <v>0-0-1</v>
      </c>
      <c r="AQ368" s="64" t="str">
        <f>INDEX(Records!$B$2:$AG$33, MATCH(Table1[[#This Row],[HomeTeam]],Records!$A$2:$A$33, 0), MATCH(Table1[[#This Row],[AwayTeam]],Records!$A$2:$A$33, 0))</f>
        <v>0-0-0</v>
      </c>
    </row>
    <row r="369" spans="1:43" x14ac:dyDescent="0.25">
      <c r="A369" s="1"/>
      <c r="D369" t="s">
        <v>597</v>
      </c>
      <c r="E369" t="s">
        <v>162</v>
      </c>
      <c r="F369" t="s">
        <v>607</v>
      </c>
      <c r="G369" t="s">
        <v>49</v>
      </c>
      <c r="H369" t="s">
        <v>61</v>
      </c>
      <c r="L36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6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69" s="1"/>
      <c r="T369" s="64" t="str">
        <f>IF(Table1[[#This Row],[ActualWinner]]="", "", IF(Table1[[#This Row],[AwayTeam]]=Table1[[#This Row],[ActualWinner]],Table1[[#This Row],[HomeTeam]],Table1[[#This Row],[AwayTeam]]))</f>
        <v/>
      </c>
      <c r="U369" s="64">
        <f>Table1[[#This Row],[ActualAwayScore]]-Table1[[#This Row],[PredictedAwayScore]]</f>
        <v>0</v>
      </c>
      <c r="V369" s="64">
        <f>Table1[[#This Row],[ActualHomeScore]]-Table1[[#This Row],[PredictedHomeScore]]</f>
        <v>0</v>
      </c>
      <c r="W369" s="64">
        <f>(0.8*IF(Table1[[#This Row],[CorrectWinnerPrediction]]=1, 1, 0))+(0.1*IF(Table1[[#This Row],[CorrectAwayScorePrediction]]=1, 1, 0))+(0.1*IF(Table1[[#This Row],[CorrectHomeScorePrediction]]=1, 1, 0))</f>
        <v>0</v>
      </c>
      <c r="X36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69" s="64">
        <f>SUMIF(Table1[GameDate], Table1[[#This Row],[GameDate]], Table1[AwayGameGoalDiff])</f>
        <v>0</v>
      </c>
      <c r="AA369" s="64">
        <f>SUMIF(Table1[GameDate], Table1[[#This Row],[GameDate]], Table1[HomeGameGoalDiff])</f>
        <v>0</v>
      </c>
      <c r="AB369" s="64">
        <f>IF(ISBLANK(Table1[[#This Row],[ActualResult]]), 0, 1)</f>
        <v>0</v>
      </c>
      <c r="AC369" s="64">
        <f>IF(ISBLANK(Table1[[#This Row],[ActualResult]]), 0, IF(Table1[[#This Row],[ActualWinner]]=Table1[[#This Row],[PredictedWinner]], 1, 0))</f>
        <v>0</v>
      </c>
      <c r="AD36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6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69" s="64">
        <f>IF(AND(Table1[[#This Row],[GameIsOver]]=1,Table1[[#This Row],[ActualAwayScore]]=0), 1,0)</f>
        <v>0</v>
      </c>
      <c r="AG369" s="64">
        <f>IF(AND(Table1[[#This Row],[GameIsOver]]=1,Table1[[#This Row],[ActualHomeScore]]=0), 1,0)</f>
        <v>0</v>
      </c>
      <c r="AH369" s="64">
        <f>IF(Table1[[#This Row],[GameIsOver]]=0,0,IF(Table1[[#This Row],[ActualWinner]]=Table1[[#This Row],[AwayTeam]], 1, 0))</f>
        <v>0</v>
      </c>
      <c r="AI369" s="64">
        <f>IF(Table1[[#This Row],[GameIsOver]]=0,0,IF(Table1[[#This Row],[ActualWinner]]=Table1[[#This Row],[HomeTeam]], 1, 0))</f>
        <v>0</v>
      </c>
      <c r="AJ369" s="64">
        <f>IF(INDEX(Standings!$A$2:$C$33,MATCH(Table1[[#This Row],[AwayTeam]],Standings!$A$2:$A$33,0),2)=INDEX(Standings!$A$2:$C$33,MATCH(Table1[[#This Row],[HomeTeam]],Standings!$A$2:$A$33,0),2),1,0)</f>
        <v>0</v>
      </c>
      <c r="AK369" s="64">
        <f>IF(INDEX(Standings!$A$2:$C$33,MATCH(Table1[[#This Row],[AwayTeam]],Standings!$A$2:$A$33,0),3)=INDEX(Standings!$A$2:$C$33,MATCH(Table1[[#This Row],[HomeTeam]],Standings!$A$2:$A$33,0),3),1,0)</f>
        <v>0</v>
      </c>
      <c r="AL369" s="64">
        <f>IF(Table1[[#This Row],[InterConf]]=1,IF(Table1[[#This Row],[InterDiv]]=0, 1, 0), 0)</f>
        <v>0</v>
      </c>
      <c r="AM369" s="64">
        <f>IF(INDEX(Standings!$A$2:$C$33,MATCH(Table1[[#This Row],[AwayTeam]],Standings!$A$2:$A$33,0),2)&lt;&gt;INDEX(Standings!$A$2:$C$33,MATCH(Table1[[#This Row],[HomeTeam]],Standings!$A$2:$A$33,0),2),1,0)</f>
        <v>1</v>
      </c>
      <c r="AN369" s="64" t="str">
        <f>INDEX(Table2[AWAY_RECORD], MATCH(Table1[[#This Row],[AwayTeam]],Table2[Team], 0), 0)</f>
        <v>0-0-0</v>
      </c>
      <c r="AO369" s="64" t="str">
        <f>INDEX(Records!$B$2:$AG$33, MATCH(Table1[[#This Row],[AwayTeam]],Records!$A$2:$A$33, 0), MATCH(Table1[[#This Row],[HomeTeam]],Records!$A$2:$A$33, 0))</f>
        <v>0-0-0</v>
      </c>
      <c r="AP369" s="64" t="str">
        <f>INDEX(Table2[HOME_RECORD], MATCH(Table1[[#This Row],[HomeTeam]],Table2[Team], 0), 0)</f>
        <v>0-0-0</v>
      </c>
      <c r="AQ369" s="64" t="str">
        <f>INDEX(Records!$B$2:$AG$33, MATCH(Table1[[#This Row],[HomeTeam]],Records!$A$2:$A$33, 0), MATCH(Table1[[#This Row],[AwayTeam]],Records!$A$2:$A$33, 0))</f>
        <v>0-0-0</v>
      </c>
    </row>
    <row r="370" spans="1:43" x14ac:dyDescent="0.25">
      <c r="A370" s="1"/>
      <c r="D370" t="s">
        <v>597</v>
      </c>
      <c r="E370" t="s">
        <v>162</v>
      </c>
      <c r="F370" t="s">
        <v>608</v>
      </c>
      <c r="G370" t="s">
        <v>25</v>
      </c>
      <c r="H370" t="s">
        <v>60</v>
      </c>
      <c r="L37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7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70" s="1"/>
      <c r="T370" s="64" t="str">
        <f>IF(Table1[[#This Row],[ActualWinner]]="", "", IF(Table1[[#This Row],[AwayTeam]]=Table1[[#This Row],[ActualWinner]],Table1[[#This Row],[HomeTeam]],Table1[[#This Row],[AwayTeam]]))</f>
        <v/>
      </c>
      <c r="U370" s="64">
        <f>Table1[[#This Row],[ActualAwayScore]]-Table1[[#This Row],[PredictedAwayScore]]</f>
        <v>0</v>
      </c>
      <c r="V370" s="64">
        <f>Table1[[#This Row],[ActualHomeScore]]-Table1[[#This Row],[PredictedHomeScore]]</f>
        <v>0</v>
      </c>
      <c r="W370" s="64">
        <f>(0.8*IF(Table1[[#This Row],[CorrectWinnerPrediction]]=1, 1, 0))+(0.1*IF(Table1[[#This Row],[CorrectAwayScorePrediction]]=1, 1, 0))+(0.1*IF(Table1[[#This Row],[CorrectHomeScorePrediction]]=1, 1, 0))</f>
        <v>0</v>
      </c>
      <c r="X37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70" s="64">
        <f>SUMIF(Table1[GameDate], Table1[[#This Row],[GameDate]], Table1[AwayGameGoalDiff])</f>
        <v>0</v>
      </c>
      <c r="AA370" s="64">
        <f>SUMIF(Table1[GameDate], Table1[[#This Row],[GameDate]], Table1[HomeGameGoalDiff])</f>
        <v>0</v>
      </c>
      <c r="AB370" s="64">
        <f>IF(ISBLANK(Table1[[#This Row],[ActualResult]]), 0, 1)</f>
        <v>0</v>
      </c>
      <c r="AC370" s="64">
        <f>IF(ISBLANK(Table1[[#This Row],[ActualResult]]), 0, IF(Table1[[#This Row],[ActualWinner]]=Table1[[#This Row],[PredictedWinner]], 1, 0))</f>
        <v>0</v>
      </c>
      <c r="AD37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7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70" s="64">
        <f>IF(AND(Table1[[#This Row],[GameIsOver]]=1,Table1[[#This Row],[ActualAwayScore]]=0), 1,0)</f>
        <v>0</v>
      </c>
      <c r="AG370" s="64">
        <f>IF(AND(Table1[[#This Row],[GameIsOver]]=1,Table1[[#This Row],[ActualHomeScore]]=0), 1,0)</f>
        <v>0</v>
      </c>
      <c r="AH370" s="64">
        <f>IF(Table1[[#This Row],[GameIsOver]]=0,0,IF(Table1[[#This Row],[ActualWinner]]=Table1[[#This Row],[AwayTeam]], 1, 0))</f>
        <v>0</v>
      </c>
      <c r="AI370" s="64">
        <f>IF(Table1[[#This Row],[GameIsOver]]=0,0,IF(Table1[[#This Row],[ActualWinner]]=Table1[[#This Row],[HomeTeam]], 1, 0))</f>
        <v>0</v>
      </c>
      <c r="AJ370" s="64">
        <f>IF(INDEX(Standings!$A$2:$C$33,MATCH(Table1[[#This Row],[AwayTeam]],Standings!$A$2:$A$33,0),2)=INDEX(Standings!$A$2:$C$33,MATCH(Table1[[#This Row],[HomeTeam]],Standings!$A$2:$A$33,0),2),1,0)</f>
        <v>1</v>
      </c>
      <c r="AK370" s="64">
        <f>IF(INDEX(Standings!$A$2:$C$33,MATCH(Table1[[#This Row],[AwayTeam]],Standings!$A$2:$A$33,0),3)=INDEX(Standings!$A$2:$C$33,MATCH(Table1[[#This Row],[HomeTeam]],Standings!$A$2:$A$33,0),3),1,0)</f>
        <v>0</v>
      </c>
      <c r="AL370" s="64">
        <f>IF(Table1[[#This Row],[InterConf]]=1,IF(Table1[[#This Row],[InterDiv]]=0, 1, 0), 0)</f>
        <v>1</v>
      </c>
      <c r="AM370" s="64">
        <f>IF(INDEX(Standings!$A$2:$C$33,MATCH(Table1[[#This Row],[AwayTeam]],Standings!$A$2:$A$33,0),2)&lt;&gt;INDEX(Standings!$A$2:$C$33,MATCH(Table1[[#This Row],[HomeTeam]],Standings!$A$2:$A$33,0),2),1,0)</f>
        <v>0</v>
      </c>
      <c r="AN370" s="64" t="str">
        <f>INDEX(Table2[AWAY_RECORD], MATCH(Table1[[#This Row],[AwayTeam]],Table2[Team], 0), 0)</f>
        <v>0-0-0</v>
      </c>
      <c r="AO370" s="64" t="str">
        <f>INDEX(Records!$B$2:$AG$33, MATCH(Table1[[#This Row],[AwayTeam]],Records!$A$2:$A$33, 0), MATCH(Table1[[#This Row],[HomeTeam]],Records!$A$2:$A$33, 0))</f>
        <v>0-0-0</v>
      </c>
      <c r="AP370" s="64" t="str">
        <f>INDEX(Table2[HOME_RECORD], MATCH(Table1[[#This Row],[HomeTeam]],Table2[Team], 0), 0)</f>
        <v>1-0-0</v>
      </c>
      <c r="AQ370" s="64" t="str">
        <f>INDEX(Records!$B$2:$AG$33, MATCH(Table1[[#This Row],[HomeTeam]],Records!$A$2:$A$33, 0), MATCH(Table1[[#This Row],[AwayTeam]],Records!$A$2:$A$33, 0))</f>
        <v>0-0-0</v>
      </c>
    </row>
    <row r="371" spans="1:43" x14ac:dyDescent="0.25">
      <c r="A371" s="1"/>
      <c r="D371" t="s">
        <v>597</v>
      </c>
      <c r="E371" t="s">
        <v>164</v>
      </c>
      <c r="F371" t="s">
        <v>609</v>
      </c>
      <c r="G371" t="s">
        <v>36</v>
      </c>
      <c r="H371" t="s">
        <v>58</v>
      </c>
      <c r="L37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7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71" s="1"/>
      <c r="T371" s="64" t="str">
        <f>IF(Table1[[#This Row],[ActualWinner]]="", "", IF(Table1[[#This Row],[AwayTeam]]=Table1[[#This Row],[ActualWinner]],Table1[[#This Row],[HomeTeam]],Table1[[#This Row],[AwayTeam]]))</f>
        <v/>
      </c>
      <c r="U371" s="64">
        <f>Table1[[#This Row],[ActualAwayScore]]-Table1[[#This Row],[PredictedAwayScore]]</f>
        <v>0</v>
      </c>
      <c r="V371" s="64">
        <f>Table1[[#This Row],[ActualHomeScore]]-Table1[[#This Row],[PredictedHomeScore]]</f>
        <v>0</v>
      </c>
      <c r="W371" s="64">
        <f>(0.8*IF(Table1[[#This Row],[CorrectWinnerPrediction]]=1, 1, 0))+(0.1*IF(Table1[[#This Row],[CorrectAwayScorePrediction]]=1, 1, 0))+(0.1*IF(Table1[[#This Row],[CorrectHomeScorePrediction]]=1, 1, 0))</f>
        <v>0</v>
      </c>
      <c r="X37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71" s="64">
        <f>SUMIF(Table1[GameDate], Table1[[#This Row],[GameDate]], Table1[AwayGameGoalDiff])</f>
        <v>0</v>
      </c>
      <c r="AA371" s="64">
        <f>SUMIF(Table1[GameDate], Table1[[#This Row],[GameDate]], Table1[HomeGameGoalDiff])</f>
        <v>0</v>
      </c>
      <c r="AB371" s="64">
        <f>IF(ISBLANK(Table1[[#This Row],[ActualResult]]), 0, 1)</f>
        <v>0</v>
      </c>
      <c r="AC371" s="64">
        <f>IF(ISBLANK(Table1[[#This Row],[ActualResult]]), 0, IF(Table1[[#This Row],[ActualWinner]]=Table1[[#This Row],[PredictedWinner]], 1, 0))</f>
        <v>0</v>
      </c>
      <c r="AD37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7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71" s="64">
        <f>IF(AND(Table1[[#This Row],[GameIsOver]]=1,Table1[[#This Row],[ActualAwayScore]]=0), 1,0)</f>
        <v>0</v>
      </c>
      <c r="AG371" s="64">
        <f>IF(AND(Table1[[#This Row],[GameIsOver]]=1,Table1[[#This Row],[ActualHomeScore]]=0), 1,0)</f>
        <v>0</v>
      </c>
      <c r="AH371" s="64">
        <f>IF(Table1[[#This Row],[GameIsOver]]=0,0,IF(Table1[[#This Row],[ActualWinner]]=Table1[[#This Row],[AwayTeam]], 1, 0))</f>
        <v>0</v>
      </c>
      <c r="AI371" s="64">
        <f>IF(Table1[[#This Row],[GameIsOver]]=0,0,IF(Table1[[#This Row],[ActualWinner]]=Table1[[#This Row],[HomeTeam]], 1, 0))</f>
        <v>0</v>
      </c>
      <c r="AJ371" s="64">
        <f>IF(INDEX(Standings!$A$2:$C$33,MATCH(Table1[[#This Row],[AwayTeam]],Standings!$A$2:$A$33,0),2)=INDEX(Standings!$A$2:$C$33,MATCH(Table1[[#This Row],[HomeTeam]],Standings!$A$2:$A$33,0),2),1,0)</f>
        <v>1</v>
      </c>
      <c r="AK371" s="64">
        <f>IF(INDEX(Standings!$A$2:$C$33,MATCH(Table1[[#This Row],[AwayTeam]],Standings!$A$2:$A$33,0),3)=INDEX(Standings!$A$2:$C$33,MATCH(Table1[[#This Row],[HomeTeam]],Standings!$A$2:$A$33,0),3),1,0)</f>
        <v>0</v>
      </c>
      <c r="AL371" s="64">
        <f>IF(Table1[[#This Row],[InterConf]]=1,IF(Table1[[#This Row],[InterDiv]]=0, 1, 0), 0)</f>
        <v>1</v>
      </c>
      <c r="AM371" s="64">
        <f>IF(INDEX(Standings!$A$2:$C$33,MATCH(Table1[[#This Row],[AwayTeam]],Standings!$A$2:$A$33,0),2)&lt;&gt;INDEX(Standings!$A$2:$C$33,MATCH(Table1[[#This Row],[HomeTeam]],Standings!$A$2:$A$33,0),2),1,0)</f>
        <v>0</v>
      </c>
      <c r="AN371" s="64" t="str">
        <f>INDEX(Table2[AWAY_RECORD], MATCH(Table1[[#This Row],[AwayTeam]],Table2[Team], 0), 0)</f>
        <v>0-0-0</v>
      </c>
      <c r="AO371" s="64" t="str">
        <f>INDEX(Records!$B$2:$AG$33, MATCH(Table1[[#This Row],[AwayTeam]],Records!$A$2:$A$33, 0), MATCH(Table1[[#This Row],[HomeTeam]],Records!$A$2:$A$33, 0))</f>
        <v>0-0-0</v>
      </c>
      <c r="AP371" s="64" t="str">
        <f>INDEX(Table2[HOME_RECORD], MATCH(Table1[[#This Row],[HomeTeam]],Table2[Team], 0), 0)</f>
        <v>1-0-0</v>
      </c>
      <c r="AQ371" s="64" t="str">
        <f>INDEX(Records!$B$2:$AG$33, MATCH(Table1[[#This Row],[HomeTeam]],Records!$A$2:$A$33, 0), MATCH(Table1[[#This Row],[AwayTeam]],Records!$A$2:$A$33, 0))</f>
        <v>0-0-0</v>
      </c>
    </row>
    <row r="372" spans="1:43" x14ac:dyDescent="0.25">
      <c r="A372" s="1"/>
      <c r="D372" t="s">
        <v>610</v>
      </c>
      <c r="E372" t="s">
        <v>298</v>
      </c>
      <c r="F372" t="s">
        <v>611</v>
      </c>
      <c r="G372" t="s">
        <v>22</v>
      </c>
      <c r="H372" t="s">
        <v>23</v>
      </c>
      <c r="L37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7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72" s="1"/>
      <c r="T372" s="64" t="str">
        <f>IF(Table1[[#This Row],[ActualWinner]]="", "", IF(Table1[[#This Row],[AwayTeam]]=Table1[[#This Row],[ActualWinner]],Table1[[#This Row],[HomeTeam]],Table1[[#This Row],[AwayTeam]]))</f>
        <v/>
      </c>
      <c r="U372" s="64">
        <f>Table1[[#This Row],[ActualAwayScore]]-Table1[[#This Row],[PredictedAwayScore]]</f>
        <v>0</v>
      </c>
      <c r="V372" s="64">
        <f>Table1[[#This Row],[ActualHomeScore]]-Table1[[#This Row],[PredictedHomeScore]]</f>
        <v>0</v>
      </c>
      <c r="W372" s="64">
        <f>(0.8*IF(Table1[[#This Row],[CorrectWinnerPrediction]]=1, 1, 0))+(0.1*IF(Table1[[#This Row],[CorrectAwayScorePrediction]]=1, 1, 0))+(0.1*IF(Table1[[#This Row],[CorrectHomeScorePrediction]]=1, 1, 0))</f>
        <v>0</v>
      </c>
      <c r="X37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72" s="64">
        <f>SUMIF(Table1[GameDate], Table1[[#This Row],[GameDate]], Table1[AwayGameGoalDiff])</f>
        <v>0</v>
      </c>
      <c r="AA372" s="64">
        <f>SUMIF(Table1[GameDate], Table1[[#This Row],[GameDate]], Table1[HomeGameGoalDiff])</f>
        <v>0</v>
      </c>
      <c r="AB372" s="64">
        <f>IF(ISBLANK(Table1[[#This Row],[ActualResult]]), 0, 1)</f>
        <v>0</v>
      </c>
      <c r="AC372" s="64">
        <f>IF(ISBLANK(Table1[[#This Row],[ActualResult]]), 0, IF(Table1[[#This Row],[ActualWinner]]=Table1[[#This Row],[PredictedWinner]], 1, 0))</f>
        <v>0</v>
      </c>
      <c r="AD37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7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72" s="64">
        <f>IF(AND(Table1[[#This Row],[GameIsOver]]=1,Table1[[#This Row],[ActualAwayScore]]=0), 1,0)</f>
        <v>0</v>
      </c>
      <c r="AG372" s="64">
        <f>IF(AND(Table1[[#This Row],[GameIsOver]]=1,Table1[[#This Row],[ActualHomeScore]]=0), 1,0)</f>
        <v>0</v>
      </c>
      <c r="AH372" s="64">
        <f>IF(Table1[[#This Row],[GameIsOver]]=0,0,IF(Table1[[#This Row],[ActualWinner]]=Table1[[#This Row],[AwayTeam]], 1, 0))</f>
        <v>0</v>
      </c>
      <c r="AI372" s="64">
        <f>IF(Table1[[#This Row],[GameIsOver]]=0,0,IF(Table1[[#This Row],[ActualWinner]]=Table1[[#This Row],[HomeTeam]], 1, 0))</f>
        <v>0</v>
      </c>
      <c r="AJ372" s="64">
        <f>IF(INDEX(Standings!$A$2:$C$33,MATCH(Table1[[#This Row],[AwayTeam]],Standings!$A$2:$A$33,0),2)=INDEX(Standings!$A$2:$C$33,MATCH(Table1[[#This Row],[HomeTeam]],Standings!$A$2:$A$33,0),2),1,0)</f>
        <v>1</v>
      </c>
      <c r="AK372" s="64">
        <f>IF(INDEX(Standings!$A$2:$C$33,MATCH(Table1[[#This Row],[AwayTeam]],Standings!$A$2:$A$33,0),3)=INDEX(Standings!$A$2:$C$33,MATCH(Table1[[#This Row],[HomeTeam]],Standings!$A$2:$A$33,0),3),1,0)</f>
        <v>0</v>
      </c>
      <c r="AL372" s="64">
        <f>IF(Table1[[#This Row],[InterConf]]=1,IF(Table1[[#This Row],[InterDiv]]=0, 1, 0), 0)</f>
        <v>1</v>
      </c>
      <c r="AM372" s="64">
        <f>IF(INDEX(Standings!$A$2:$C$33,MATCH(Table1[[#This Row],[AwayTeam]],Standings!$A$2:$A$33,0),2)&lt;&gt;INDEX(Standings!$A$2:$C$33,MATCH(Table1[[#This Row],[HomeTeam]],Standings!$A$2:$A$33,0),2),1,0)</f>
        <v>0</v>
      </c>
      <c r="AN372" s="64" t="str">
        <f>INDEX(Table2[AWAY_RECORD], MATCH(Table1[[#This Row],[AwayTeam]],Table2[Team], 0), 0)</f>
        <v>0-0-1</v>
      </c>
      <c r="AO372" s="64" t="str">
        <f>INDEX(Records!$B$2:$AG$33, MATCH(Table1[[#This Row],[AwayTeam]],Records!$A$2:$A$33, 0), MATCH(Table1[[#This Row],[HomeTeam]],Records!$A$2:$A$33, 0))</f>
        <v>0-0-0</v>
      </c>
      <c r="AP372" s="64" t="str">
        <f>INDEX(Table2[HOME_RECORD], MATCH(Table1[[#This Row],[HomeTeam]],Table2[Team], 0), 0)</f>
        <v>0-0-1</v>
      </c>
      <c r="AQ372" s="64" t="str">
        <f>INDEX(Records!$B$2:$AG$33, MATCH(Table1[[#This Row],[HomeTeam]],Records!$A$2:$A$33, 0), MATCH(Table1[[#This Row],[AwayTeam]],Records!$A$2:$A$33, 0))</f>
        <v>0-0-0</v>
      </c>
    </row>
    <row r="373" spans="1:43" x14ac:dyDescent="0.25">
      <c r="A373" s="1"/>
      <c r="D373" t="s">
        <v>610</v>
      </c>
      <c r="E373" t="s">
        <v>298</v>
      </c>
      <c r="F373" t="s">
        <v>612</v>
      </c>
      <c r="G373" t="s">
        <v>56</v>
      </c>
      <c r="H373" t="s">
        <v>55</v>
      </c>
      <c r="L37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7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73" s="1"/>
      <c r="T373" s="64" t="str">
        <f>IF(Table1[[#This Row],[ActualWinner]]="", "", IF(Table1[[#This Row],[AwayTeam]]=Table1[[#This Row],[ActualWinner]],Table1[[#This Row],[HomeTeam]],Table1[[#This Row],[AwayTeam]]))</f>
        <v/>
      </c>
      <c r="U373" s="64">
        <f>Table1[[#This Row],[ActualAwayScore]]-Table1[[#This Row],[PredictedAwayScore]]</f>
        <v>0</v>
      </c>
      <c r="V373" s="64">
        <f>Table1[[#This Row],[ActualHomeScore]]-Table1[[#This Row],[PredictedHomeScore]]</f>
        <v>0</v>
      </c>
      <c r="W373" s="64">
        <f>(0.8*IF(Table1[[#This Row],[CorrectWinnerPrediction]]=1, 1, 0))+(0.1*IF(Table1[[#This Row],[CorrectAwayScorePrediction]]=1, 1, 0))+(0.1*IF(Table1[[#This Row],[CorrectHomeScorePrediction]]=1, 1, 0))</f>
        <v>0</v>
      </c>
      <c r="X37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73" s="64">
        <f>SUMIF(Table1[GameDate], Table1[[#This Row],[GameDate]], Table1[AwayGameGoalDiff])</f>
        <v>0</v>
      </c>
      <c r="AA373" s="64">
        <f>SUMIF(Table1[GameDate], Table1[[#This Row],[GameDate]], Table1[HomeGameGoalDiff])</f>
        <v>0</v>
      </c>
      <c r="AB373" s="64">
        <f>IF(ISBLANK(Table1[[#This Row],[ActualResult]]), 0, 1)</f>
        <v>0</v>
      </c>
      <c r="AC373" s="64">
        <f>IF(ISBLANK(Table1[[#This Row],[ActualResult]]), 0, IF(Table1[[#This Row],[ActualWinner]]=Table1[[#This Row],[PredictedWinner]], 1, 0))</f>
        <v>0</v>
      </c>
      <c r="AD37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7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73" s="64">
        <f>IF(AND(Table1[[#This Row],[GameIsOver]]=1,Table1[[#This Row],[ActualAwayScore]]=0), 1,0)</f>
        <v>0</v>
      </c>
      <c r="AG373" s="64">
        <f>IF(AND(Table1[[#This Row],[GameIsOver]]=1,Table1[[#This Row],[ActualHomeScore]]=0), 1,0)</f>
        <v>0</v>
      </c>
      <c r="AH373" s="64">
        <f>IF(Table1[[#This Row],[GameIsOver]]=0,0,IF(Table1[[#This Row],[ActualWinner]]=Table1[[#This Row],[AwayTeam]], 1, 0))</f>
        <v>0</v>
      </c>
      <c r="AI373" s="64">
        <f>IF(Table1[[#This Row],[GameIsOver]]=0,0,IF(Table1[[#This Row],[ActualWinner]]=Table1[[#This Row],[HomeTeam]], 1, 0))</f>
        <v>0</v>
      </c>
      <c r="AJ373" s="64">
        <f>IF(INDEX(Standings!$A$2:$C$33,MATCH(Table1[[#This Row],[AwayTeam]],Standings!$A$2:$A$33,0),2)=INDEX(Standings!$A$2:$C$33,MATCH(Table1[[#This Row],[HomeTeam]],Standings!$A$2:$A$33,0),2),1,0)</f>
        <v>1</v>
      </c>
      <c r="AK373" s="64">
        <f>IF(INDEX(Standings!$A$2:$C$33,MATCH(Table1[[#This Row],[AwayTeam]],Standings!$A$2:$A$33,0),3)=INDEX(Standings!$A$2:$C$33,MATCH(Table1[[#This Row],[HomeTeam]],Standings!$A$2:$A$33,0),3),1,0)</f>
        <v>1</v>
      </c>
      <c r="AL373" s="64">
        <f>IF(Table1[[#This Row],[InterConf]]=1,IF(Table1[[#This Row],[InterDiv]]=0, 1, 0), 0)</f>
        <v>0</v>
      </c>
      <c r="AM373" s="64">
        <f>IF(INDEX(Standings!$A$2:$C$33,MATCH(Table1[[#This Row],[AwayTeam]],Standings!$A$2:$A$33,0),2)&lt;&gt;INDEX(Standings!$A$2:$C$33,MATCH(Table1[[#This Row],[HomeTeam]],Standings!$A$2:$A$33,0),2),1,0)</f>
        <v>0</v>
      </c>
      <c r="AN373" s="64" t="str">
        <f>INDEX(Table2[AWAY_RECORD], MATCH(Table1[[#This Row],[AwayTeam]],Table2[Team], 0), 0)</f>
        <v>1-0-0</v>
      </c>
      <c r="AO373" s="64" t="str">
        <f>INDEX(Records!$B$2:$AG$33, MATCH(Table1[[#This Row],[AwayTeam]],Records!$A$2:$A$33, 0), MATCH(Table1[[#This Row],[HomeTeam]],Records!$A$2:$A$33, 0))</f>
        <v>0-0-0</v>
      </c>
      <c r="AP373" s="64" t="str">
        <f>INDEX(Table2[HOME_RECORD], MATCH(Table1[[#This Row],[HomeTeam]],Table2[Team], 0), 0)</f>
        <v>0-1-0</v>
      </c>
      <c r="AQ373" s="64" t="str">
        <f>INDEX(Records!$B$2:$AG$33, MATCH(Table1[[#This Row],[HomeTeam]],Records!$A$2:$A$33, 0), MATCH(Table1[[#This Row],[AwayTeam]],Records!$A$2:$A$33, 0))</f>
        <v>0-0-0</v>
      </c>
    </row>
    <row r="374" spans="1:43" x14ac:dyDescent="0.25">
      <c r="A374" s="1"/>
      <c r="D374" t="s">
        <v>610</v>
      </c>
      <c r="E374" t="s">
        <v>432</v>
      </c>
      <c r="F374" t="s">
        <v>613</v>
      </c>
      <c r="G374" t="s">
        <v>40</v>
      </c>
      <c r="H374" t="s">
        <v>51</v>
      </c>
      <c r="L37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7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74" s="1"/>
      <c r="T374" s="64" t="str">
        <f>IF(Table1[[#This Row],[ActualWinner]]="", "", IF(Table1[[#This Row],[AwayTeam]]=Table1[[#This Row],[ActualWinner]],Table1[[#This Row],[HomeTeam]],Table1[[#This Row],[AwayTeam]]))</f>
        <v/>
      </c>
      <c r="U374" s="64">
        <f>Table1[[#This Row],[ActualAwayScore]]-Table1[[#This Row],[PredictedAwayScore]]</f>
        <v>0</v>
      </c>
      <c r="V374" s="64">
        <f>Table1[[#This Row],[ActualHomeScore]]-Table1[[#This Row],[PredictedHomeScore]]</f>
        <v>0</v>
      </c>
      <c r="W374" s="64">
        <f>(0.8*IF(Table1[[#This Row],[CorrectWinnerPrediction]]=1, 1, 0))+(0.1*IF(Table1[[#This Row],[CorrectAwayScorePrediction]]=1, 1, 0))+(0.1*IF(Table1[[#This Row],[CorrectHomeScorePrediction]]=1, 1, 0))</f>
        <v>0</v>
      </c>
      <c r="X37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74" s="64">
        <f>SUMIF(Table1[GameDate], Table1[[#This Row],[GameDate]], Table1[AwayGameGoalDiff])</f>
        <v>0</v>
      </c>
      <c r="AA374" s="64">
        <f>SUMIF(Table1[GameDate], Table1[[#This Row],[GameDate]], Table1[HomeGameGoalDiff])</f>
        <v>0</v>
      </c>
      <c r="AB374" s="64">
        <f>IF(ISBLANK(Table1[[#This Row],[ActualResult]]), 0, 1)</f>
        <v>0</v>
      </c>
      <c r="AC374" s="64">
        <f>IF(ISBLANK(Table1[[#This Row],[ActualResult]]), 0, IF(Table1[[#This Row],[ActualWinner]]=Table1[[#This Row],[PredictedWinner]], 1, 0))</f>
        <v>0</v>
      </c>
      <c r="AD37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7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74" s="64">
        <f>IF(AND(Table1[[#This Row],[GameIsOver]]=1,Table1[[#This Row],[ActualAwayScore]]=0), 1,0)</f>
        <v>0</v>
      </c>
      <c r="AG374" s="64">
        <f>IF(AND(Table1[[#This Row],[GameIsOver]]=1,Table1[[#This Row],[ActualHomeScore]]=0), 1,0)</f>
        <v>0</v>
      </c>
      <c r="AH374" s="64">
        <f>IF(Table1[[#This Row],[GameIsOver]]=0,0,IF(Table1[[#This Row],[ActualWinner]]=Table1[[#This Row],[AwayTeam]], 1, 0))</f>
        <v>0</v>
      </c>
      <c r="AI374" s="64">
        <f>IF(Table1[[#This Row],[GameIsOver]]=0,0,IF(Table1[[#This Row],[ActualWinner]]=Table1[[#This Row],[HomeTeam]], 1, 0))</f>
        <v>0</v>
      </c>
      <c r="AJ374" s="64">
        <f>IF(INDEX(Standings!$A$2:$C$33,MATCH(Table1[[#This Row],[AwayTeam]],Standings!$A$2:$A$33,0),2)=INDEX(Standings!$A$2:$C$33,MATCH(Table1[[#This Row],[HomeTeam]],Standings!$A$2:$A$33,0),2),1,0)</f>
        <v>1</v>
      </c>
      <c r="AK374" s="64">
        <f>IF(INDEX(Standings!$A$2:$C$33,MATCH(Table1[[#This Row],[AwayTeam]],Standings!$A$2:$A$33,0),3)=INDEX(Standings!$A$2:$C$33,MATCH(Table1[[#This Row],[HomeTeam]],Standings!$A$2:$A$33,0),3),1,0)</f>
        <v>1</v>
      </c>
      <c r="AL374" s="64">
        <f>IF(Table1[[#This Row],[InterConf]]=1,IF(Table1[[#This Row],[InterDiv]]=0, 1, 0), 0)</f>
        <v>0</v>
      </c>
      <c r="AM374" s="64">
        <f>IF(INDEX(Standings!$A$2:$C$33,MATCH(Table1[[#This Row],[AwayTeam]],Standings!$A$2:$A$33,0),2)&lt;&gt;INDEX(Standings!$A$2:$C$33,MATCH(Table1[[#This Row],[HomeTeam]],Standings!$A$2:$A$33,0),2),1,0)</f>
        <v>0</v>
      </c>
      <c r="AN374" s="64" t="str">
        <f>INDEX(Table2[AWAY_RECORD], MATCH(Table1[[#This Row],[AwayTeam]],Table2[Team], 0), 0)</f>
        <v>0-0-0</v>
      </c>
      <c r="AO374" s="64" t="str">
        <f>INDEX(Records!$B$2:$AG$33, MATCH(Table1[[#This Row],[AwayTeam]],Records!$A$2:$A$33, 0), MATCH(Table1[[#This Row],[HomeTeam]],Records!$A$2:$A$33, 0))</f>
        <v>0-0-0</v>
      </c>
      <c r="AP374" s="64" t="str">
        <f>INDEX(Table2[HOME_RECORD], MATCH(Table1[[#This Row],[HomeTeam]],Table2[Team], 0), 0)</f>
        <v>1-0-0</v>
      </c>
      <c r="AQ374" s="64" t="str">
        <f>INDEX(Records!$B$2:$AG$33, MATCH(Table1[[#This Row],[HomeTeam]],Records!$A$2:$A$33, 0), MATCH(Table1[[#This Row],[AwayTeam]],Records!$A$2:$A$33, 0))</f>
        <v>0-0-0</v>
      </c>
    </row>
    <row r="375" spans="1:43" x14ac:dyDescent="0.25">
      <c r="A375" s="1"/>
      <c r="D375" t="s">
        <v>610</v>
      </c>
      <c r="E375" t="s">
        <v>207</v>
      </c>
      <c r="F375" t="s">
        <v>614</v>
      </c>
      <c r="G375" t="s">
        <v>38</v>
      </c>
      <c r="H375" t="s">
        <v>57</v>
      </c>
      <c r="L37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7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75" s="1"/>
      <c r="T375" s="64" t="str">
        <f>IF(Table1[[#This Row],[ActualWinner]]="", "", IF(Table1[[#This Row],[AwayTeam]]=Table1[[#This Row],[ActualWinner]],Table1[[#This Row],[HomeTeam]],Table1[[#This Row],[AwayTeam]]))</f>
        <v/>
      </c>
      <c r="U375" s="64">
        <f>Table1[[#This Row],[ActualAwayScore]]-Table1[[#This Row],[PredictedAwayScore]]</f>
        <v>0</v>
      </c>
      <c r="V375" s="64">
        <f>Table1[[#This Row],[ActualHomeScore]]-Table1[[#This Row],[PredictedHomeScore]]</f>
        <v>0</v>
      </c>
      <c r="W375" s="64">
        <f>(0.8*IF(Table1[[#This Row],[CorrectWinnerPrediction]]=1, 1, 0))+(0.1*IF(Table1[[#This Row],[CorrectAwayScorePrediction]]=1, 1, 0))+(0.1*IF(Table1[[#This Row],[CorrectHomeScorePrediction]]=1, 1, 0))</f>
        <v>0</v>
      </c>
      <c r="X37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75" s="64">
        <f>SUMIF(Table1[GameDate], Table1[[#This Row],[GameDate]], Table1[AwayGameGoalDiff])</f>
        <v>0</v>
      </c>
      <c r="AA375" s="64">
        <f>SUMIF(Table1[GameDate], Table1[[#This Row],[GameDate]], Table1[HomeGameGoalDiff])</f>
        <v>0</v>
      </c>
      <c r="AB375" s="64">
        <f>IF(ISBLANK(Table1[[#This Row],[ActualResult]]), 0, 1)</f>
        <v>0</v>
      </c>
      <c r="AC375" s="64">
        <f>IF(ISBLANK(Table1[[#This Row],[ActualResult]]), 0, IF(Table1[[#This Row],[ActualWinner]]=Table1[[#This Row],[PredictedWinner]], 1, 0))</f>
        <v>0</v>
      </c>
      <c r="AD37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7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75" s="64">
        <f>IF(AND(Table1[[#This Row],[GameIsOver]]=1,Table1[[#This Row],[ActualAwayScore]]=0), 1,0)</f>
        <v>0</v>
      </c>
      <c r="AG375" s="64">
        <f>IF(AND(Table1[[#This Row],[GameIsOver]]=1,Table1[[#This Row],[ActualHomeScore]]=0), 1,0)</f>
        <v>0</v>
      </c>
      <c r="AH375" s="64">
        <f>IF(Table1[[#This Row],[GameIsOver]]=0,0,IF(Table1[[#This Row],[ActualWinner]]=Table1[[#This Row],[AwayTeam]], 1, 0))</f>
        <v>0</v>
      </c>
      <c r="AI375" s="64">
        <f>IF(Table1[[#This Row],[GameIsOver]]=0,0,IF(Table1[[#This Row],[ActualWinner]]=Table1[[#This Row],[HomeTeam]], 1, 0))</f>
        <v>0</v>
      </c>
      <c r="AJ375" s="64">
        <f>IF(INDEX(Standings!$A$2:$C$33,MATCH(Table1[[#This Row],[AwayTeam]],Standings!$A$2:$A$33,0),2)=INDEX(Standings!$A$2:$C$33,MATCH(Table1[[#This Row],[HomeTeam]],Standings!$A$2:$A$33,0),2),1,0)</f>
        <v>1</v>
      </c>
      <c r="AK375" s="64">
        <f>IF(INDEX(Standings!$A$2:$C$33,MATCH(Table1[[#This Row],[AwayTeam]],Standings!$A$2:$A$33,0),3)=INDEX(Standings!$A$2:$C$33,MATCH(Table1[[#This Row],[HomeTeam]],Standings!$A$2:$A$33,0),3),1,0)</f>
        <v>1</v>
      </c>
      <c r="AL375" s="64">
        <f>IF(Table1[[#This Row],[InterConf]]=1,IF(Table1[[#This Row],[InterDiv]]=0, 1, 0), 0)</f>
        <v>0</v>
      </c>
      <c r="AM375" s="64">
        <f>IF(INDEX(Standings!$A$2:$C$33,MATCH(Table1[[#This Row],[AwayTeam]],Standings!$A$2:$A$33,0),2)&lt;&gt;INDEX(Standings!$A$2:$C$33,MATCH(Table1[[#This Row],[HomeTeam]],Standings!$A$2:$A$33,0),2),1,0)</f>
        <v>0</v>
      </c>
      <c r="AN375" s="64" t="str">
        <f>INDEX(Table2[AWAY_RECORD], MATCH(Table1[[#This Row],[AwayTeam]],Table2[Team], 0), 0)</f>
        <v>0-0-1</v>
      </c>
      <c r="AO375" s="64" t="str">
        <f>INDEX(Records!$B$2:$AG$33, MATCH(Table1[[#This Row],[AwayTeam]],Records!$A$2:$A$33, 0), MATCH(Table1[[#This Row],[HomeTeam]],Records!$A$2:$A$33, 0))</f>
        <v>0-0-0</v>
      </c>
      <c r="AP375" s="64" t="str">
        <f>INDEX(Table2[HOME_RECORD], MATCH(Table1[[#This Row],[HomeTeam]],Table2[Team], 0), 0)</f>
        <v>0-0-0</v>
      </c>
      <c r="AQ375" s="64" t="str">
        <f>INDEX(Records!$B$2:$AG$33, MATCH(Table1[[#This Row],[HomeTeam]],Records!$A$2:$A$33, 0), MATCH(Table1[[#This Row],[AwayTeam]],Records!$A$2:$A$33, 0))</f>
        <v>0-0-0</v>
      </c>
    </row>
    <row r="376" spans="1:43" x14ac:dyDescent="0.25">
      <c r="A376" s="1"/>
      <c r="D376" t="s">
        <v>610</v>
      </c>
      <c r="E376" t="s">
        <v>162</v>
      </c>
      <c r="F376" t="s">
        <v>615</v>
      </c>
      <c r="G376" t="s">
        <v>45</v>
      </c>
      <c r="H376" t="s">
        <v>61</v>
      </c>
      <c r="L37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7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76" s="1"/>
      <c r="T376" s="64" t="str">
        <f>IF(Table1[[#This Row],[ActualWinner]]="", "", IF(Table1[[#This Row],[AwayTeam]]=Table1[[#This Row],[ActualWinner]],Table1[[#This Row],[HomeTeam]],Table1[[#This Row],[AwayTeam]]))</f>
        <v/>
      </c>
      <c r="U376" s="64">
        <f>Table1[[#This Row],[ActualAwayScore]]-Table1[[#This Row],[PredictedAwayScore]]</f>
        <v>0</v>
      </c>
      <c r="V376" s="64">
        <f>Table1[[#This Row],[ActualHomeScore]]-Table1[[#This Row],[PredictedHomeScore]]</f>
        <v>0</v>
      </c>
      <c r="W376" s="64">
        <f>(0.8*IF(Table1[[#This Row],[CorrectWinnerPrediction]]=1, 1, 0))+(0.1*IF(Table1[[#This Row],[CorrectAwayScorePrediction]]=1, 1, 0))+(0.1*IF(Table1[[#This Row],[CorrectHomeScorePrediction]]=1, 1, 0))</f>
        <v>0</v>
      </c>
      <c r="X37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76" s="64">
        <f>SUMIF(Table1[GameDate], Table1[[#This Row],[GameDate]], Table1[AwayGameGoalDiff])</f>
        <v>0</v>
      </c>
      <c r="AA376" s="64">
        <f>SUMIF(Table1[GameDate], Table1[[#This Row],[GameDate]], Table1[HomeGameGoalDiff])</f>
        <v>0</v>
      </c>
      <c r="AB376" s="64">
        <f>IF(ISBLANK(Table1[[#This Row],[ActualResult]]), 0, 1)</f>
        <v>0</v>
      </c>
      <c r="AC376" s="64">
        <f>IF(ISBLANK(Table1[[#This Row],[ActualResult]]), 0, IF(Table1[[#This Row],[ActualWinner]]=Table1[[#This Row],[PredictedWinner]], 1, 0))</f>
        <v>0</v>
      </c>
      <c r="AD37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7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76" s="64">
        <f>IF(AND(Table1[[#This Row],[GameIsOver]]=1,Table1[[#This Row],[ActualAwayScore]]=0), 1,0)</f>
        <v>0</v>
      </c>
      <c r="AG376" s="64">
        <f>IF(AND(Table1[[#This Row],[GameIsOver]]=1,Table1[[#This Row],[ActualHomeScore]]=0), 1,0)</f>
        <v>0</v>
      </c>
      <c r="AH376" s="64">
        <f>IF(Table1[[#This Row],[GameIsOver]]=0,0,IF(Table1[[#This Row],[ActualWinner]]=Table1[[#This Row],[AwayTeam]], 1, 0))</f>
        <v>0</v>
      </c>
      <c r="AI376" s="64">
        <f>IF(Table1[[#This Row],[GameIsOver]]=0,0,IF(Table1[[#This Row],[ActualWinner]]=Table1[[#This Row],[HomeTeam]], 1, 0))</f>
        <v>0</v>
      </c>
      <c r="AJ376" s="64">
        <f>IF(INDEX(Standings!$A$2:$C$33,MATCH(Table1[[#This Row],[AwayTeam]],Standings!$A$2:$A$33,0),2)=INDEX(Standings!$A$2:$C$33,MATCH(Table1[[#This Row],[HomeTeam]],Standings!$A$2:$A$33,0),2),1,0)</f>
        <v>1</v>
      </c>
      <c r="AK376" s="64">
        <f>IF(INDEX(Standings!$A$2:$C$33,MATCH(Table1[[#This Row],[AwayTeam]],Standings!$A$2:$A$33,0),3)=INDEX(Standings!$A$2:$C$33,MATCH(Table1[[#This Row],[HomeTeam]],Standings!$A$2:$A$33,0),3),1,0)</f>
        <v>0</v>
      </c>
      <c r="AL376" s="64">
        <f>IF(Table1[[#This Row],[InterConf]]=1,IF(Table1[[#This Row],[InterDiv]]=0, 1, 0), 0)</f>
        <v>1</v>
      </c>
      <c r="AM376" s="64">
        <f>IF(INDEX(Standings!$A$2:$C$33,MATCH(Table1[[#This Row],[AwayTeam]],Standings!$A$2:$A$33,0),2)&lt;&gt;INDEX(Standings!$A$2:$C$33,MATCH(Table1[[#This Row],[HomeTeam]],Standings!$A$2:$A$33,0),2),1,0)</f>
        <v>0</v>
      </c>
      <c r="AN376" s="64" t="str">
        <f>INDEX(Table2[AWAY_RECORD], MATCH(Table1[[#This Row],[AwayTeam]],Table2[Team], 0), 0)</f>
        <v>1-0-0</v>
      </c>
      <c r="AO376" s="64" t="str">
        <f>INDEX(Records!$B$2:$AG$33, MATCH(Table1[[#This Row],[AwayTeam]],Records!$A$2:$A$33, 0), MATCH(Table1[[#This Row],[HomeTeam]],Records!$A$2:$A$33, 0))</f>
        <v>0-0-0</v>
      </c>
      <c r="AP376" s="64" t="str">
        <f>INDEX(Table2[HOME_RECORD], MATCH(Table1[[#This Row],[HomeTeam]],Table2[Team], 0), 0)</f>
        <v>0-0-0</v>
      </c>
      <c r="AQ376" s="64" t="str">
        <f>INDEX(Records!$B$2:$AG$33, MATCH(Table1[[#This Row],[HomeTeam]],Records!$A$2:$A$33, 0), MATCH(Table1[[#This Row],[AwayTeam]],Records!$A$2:$A$33, 0))</f>
        <v>0-0-0</v>
      </c>
    </row>
    <row r="377" spans="1:43" x14ac:dyDescent="0.25">
      <c r="A377" s="1"/>
      <c r="D377" t="s">
        <v>610</v>
      </c>
      <c r="E377" t="s">
        <v>162</v>
      </c>
      <c r="F377" t="s">
        <v>616</v>
      </c>
      <c r="G377" t="s">
        <v>54</v>
      </c>
      <c r="H377" t="s">
        <v>43</v>
      </c>
      <c r="L37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7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77" s="1"/>
      <c r="T377" s="64" t="str">
        <f>IF(Table1[[#This Row],[ActualWinner]]="", "", IF(Table1[[#This Row],[AwayTeam]]=Table1[[#This Row],[ActualWinner]],Table1[[#This Row],[HomeTeam]],Table1[[#This Row],[AwayTeam]]))</f>
        <v/>
      </c>
      <c r="U377" s="64">
        <f>Table1[[#This Row],[ActualAwayScore]]-Table1[[#This Row],[PredictedAwayScore]]</f>
        <v>0</v>
      </c>
      <c r="V377" s="64">
        <f>Table1[[#This Row],[ActualHomeScore]]-Table1[[#This Row],[PredictedHomeScore]]</f>
        <v>0</v>
      </c>
      <c r="W377" s="64">
        <f>(0.8*IF(Table1[[#This Row],[CorrectWinnerPrediction]]=1, 1, 0))+(0.1*IF(Table1[[#This Row],[CorrectAwayScorePrediction]]=1, 1, 0))+(0.1*IF(Table1[[#This Row],[CorrectHomeScorePrediction]]=1, 1, 0))</f>
        <v>0</v>
      </c>
      <c r="X37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77" s="64">
        <f>SUMIF(Table1[GameDate], Table1[[#This Row],[GameDate]], Table1[AwayGameGoalDiff])</f>
        <v>0</v>
      </c>
      <c r="AA377" s="64">
        <f>SUMIF(Table1[GameDate], Table1[[#This Row],[GameDate]], Table1[HomeGameGoalDiff])</f>
        <v>0</v>
      </c>
      <c r="AB377" s="64">
        <f>IF(ISBLANK(Table1[[#This Row],[ActualResult]]), 0, 1)</f>
        <v>0</v>
      </c>
      <c r="AC377" s="64">
        <f>IF(ISBLANK(Table1[[#This Row],[ActualResult]]), 0, IF(Table1[[#This Row],[ActualWinner]]=Table1[[#This Row],[PredictedWinner]], 1, 0))</f>
        <v>0</v>
      </c>
      <c r="AD37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7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77" s="64">
        <f>IF(AND(Table1[[#This Row],[GameIsOver]]=1,Table1[[#This Row],[ActualAwayScore]]=0), 1,0)</f>
        <v>0</v>
      </c>
      <c r="AG377" s="64">
        <f>IF(AND(Table1[[#This Row],[GameIsOver]]=1,Table1[[#This Row],[ActualHomeScore]]=0), 1,0)</f>
        <v>0</v>
      </c>
      <c r="AH377" s="64">
        <f>IF(Table1[[#This Row],[GameIsOver]]=0,0,IF(Table1[[#This Row],[ActualWinner]]=Table1[[#This Row],[AwayTeam]], 1, 0))</f>
        <v>0</v>
      </c>
      <c r="AI377" s="64">
        <f>IF(Table1[[#This Row],[GameIsOver]]=0,0,IF(Table1[[#This Row],[ActualWinner]]=Table1[[#This Row],[HomeTeam]], 1, 0))</f>
        <v>0</v>
      </c>
      <c r="AJ377" s="64">
        <f>IF(INDEX(Standings!$A$2:$C$33,MATCH(Table1[[#This Row],[AwayTeam]],Standings!$A$2:$A$33,0),2)=INDEX(Standings!$A$2:$C$33,MATCH(Table1[[#This Row],[HomeTeam]],Standings!$A$2:$A$33,0),2),1,0)</f>
        <v>0</v>
      </c>
      <c r="AK377" s="64">
        <f>IF(INDEX(Standings!$A$2:$C$33,MATCH(Table1[[#This Row],[AwayTeam]],Standings!$A$2:$A$33,0),3)=INDEX(Standings!$A$2:$C$33,MATCH(Table1[[#This Row],[HomeTeam]],Standings!$A$2:$A$33,0),3),1,0)</f>
        <v>0</v>
      </c>
      <c r="AL377" s="64">
        <f>IF(Table1[[#This Row],[InterConf]]=1,IF(Table1[[#This Row],[InterDiv]]=0, 1, 0), 0)</f>
        <v>0</v>
      </c>
      <c r="AM377" s="64">
        <f>IF(INDEX(Standings!$A$2:$C$33,MATCH(Table1[[#This Row],[AwayTeam]],Standings!$A$2:$A$33,0),2)&lt;&gt;INDEX(Standings!$A$2:$C$33,MATCH(Table1[[#This Row],[HomeTeam]],Standings!$A$2:$A$33,0),2),1,0)</f>
        <v>1</v>
      </c>
      <c r="AN377" s="64" t="str">
        <f>INDEX(Table2[AWAY_RECORD], MATCH(Table1[[#This Row],[AwayTeam]],Table2[Team], 0), 0)</f>
        <v>0-0-1</v>
      </c>
      <c r="AO377" s="64" t="str">
        <f>INDEX(Records!$B$2:$AG$33, MATCH(Table1[[#This Row],[AwayTeam]],Records!$A$2:$A$33, 0), MATCH(Table1[[#This Row],[HomeTeam]],Records!$A$2:$A$33, 0))</f>
        <v>0-0-0</v>
      </c>
      <c r="AP377" s="64" t="str">
        <f>INDEX(Table2[HOME_RECORD], MATCH(Table1[[#This Row],[HomeTeam]],Table2[Team], 0), 0)</f>
        <v>0-0-0</v>
      </c>
      <c r="AQ377" s="64" t="str">
        <f>INDEX(Records!$B$2:$AG$33, MATCH(Table1[[#This Row],[HomeTeam]],Records!$A$2:$A$33, 0), MATCH(Table1[[#This Row],[AwayTeam]],Records!$A$2:$A$33, 0))</f>
        <v>0-0-0</v>
      </c>
    </row>
    <row r="378" spans="1:43" x14ac:dyDescent="0.25">
      <c r="A378" s="1"/>
      <c r="D378" t="s">
        <v>610</v>
      </c>
      <c r="E378" t="s">
        <v>178</v>
      </c>
      <c r="F378" t="s">
        <v>617</v>
      </c>
      <c r="G378" t="s">
        <v>16</v>
      </c>
      <c r="H378" t="s">
        <v>23</v>
      </c>
      <c r="L37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7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78" s="1"/>
      <c r="T378" s="64" t="str">
        <f>IF(Table1[[#This Row],[ActualWinner]]="", "", IF(Table1[[#This Row],[AwayTeam]]=Table1[[#This Row],[ActualWinner]],Table1[[#This Row],[HomeTeam]],Table1[[#This Row],[AwayTeam]]))</f>
        <v/>
      </c>
      <c r="U378" s="64">
        <f>Table1[[#This Row],[ActualAwayScore]]-Table1[[#This Row],[PredictedAwayScore]]</f>
        <v>0</v>
      </c>
      <c r="V378" s="64">
        <f>Table1[[#This Row],[ActualHomeScore]]-Table1[[#This Row],[PredictedHomeScore]]</f>
        <v>0</v>
      </c>
      <c r="W378" s="64">
        <f>(0.8*IF(Table1[[#This Row],[CorrectWinnerPrediction]]=1, 1, 0))+(0.1*IF(Table1[[#This Row],[CorrectAwayScorePrediction]]=1, 1, 0))+(0.1*IF(Table1[[#This Row],[CorrectHomeScorePrediction]]=1, 1, 0))</f>
        <v>0</v>
      </c>
      <c r="X37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78" s="64">
        <f>SUMIF(Table1[GameDate], Table1[[#This Row],[GameDate]], Table1[AwayGameGoalDiff])</f>
        <v>0</v>
      </c>
      <c r="AA378" s="64">
        <f>SUMIF(Table1[GameDate], Table1[[#This Row],[GameDate]], Table1[HomeGameGoalDiff])</f>
        <v>0</v>
      </c>
      <c r="AB378" s="64">
        <f>IF(ISBLANK(Table1[[#This Row],[ActualResult]]), 0, 1)</f>
        <v>0</v>
      </c>
      <c r="AC378" s="64">
        <f>IF(ISBLANK(Table1[[#This Row],[ActualResult]]), 0, IF(Table1[[#This Row],[ActualWinner]]=Table1[[#This Row],[PredictedWinner]], 1, 0))</f>
        <v>0</v>
      </c>
      <c r="AD37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7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78" s="64">
        <f>IF(AND(Table1[[#This Row],[GameIsOver]]=1,Table1[[#This Row],[ActualAwayScore]]=0), 1,0)</f>
        <v>0</v>
      </c>
      <c r="AG378" s="64">
        <f>IF(AND(Table1[[#This Row],[GameIsOver]]=1,Table1[[#This Row],[ActualHomeScore]]=0), 1,0)</f>
        <v>0</v>
      </c>
      <c r="AH378" s="64">
        <f>IF(Table1[[#This Row],[GameIsOver]]=0,0,IF(Table1[[#This Row],[ActualWinner]]=Table1[[#This Row],[AwayTeam]], 1, 0))</f>
        <v>0</v>
      </c>
      <c r="AI378" s="64">
        <f>IF(Table1[[#This Row],[GameIsOver]]=0,0,IF(Table1[[#This Row],[ActualWinner]]=Table1[[#This Row],[HomeTeam]], 1, 0))</f>
        <v>0</v>
      </c>
      <c r="AJ378" s="64">
        <f>IF(INDEX(Standings!$A$2:$C$33,MATCH(Table1[[#This Row],[AwayTeam]],Standings!$A$2:$A$33,0),2)=INDEX(Standings!$A$2:$C$33,MATCH(Table1[[#This Row],[HomeTeam]],Standings!$A$2:$A$33,0),2),1,0)</f>
        <v>1</v>
      </c>
      <c r="AK378" s="64">
        <f>IF(INDEX(Standings!$A$2:$C$33,MATCH(Table1[[#This Row],[AwayTeam]],Standings!$A$2:$A$33,0),3)=INDEX(Standings!$A$2:$C$33,MATCH(Table1[[#This Row],[HomeTeam]],Standings!$A$2:$A$33,0),3),1,0)</f>
        <v>0</v>
      </c>
      <c r="AL378" s="64">
        <f>IF(Table1[[#This Row],[InterConf]]=1,IF(Table1[[#This Row],[InterDiv]]=0, 1, 0), 0)</f>
        <v>1</v>
      </c>
      <c r="AM378" s="64">
        <f>IF(INDEX(Standings!$A$2:$C$33,MATCH(Table1[[#This Row],[AwayTeam]],Standings!$A$2:$A$33,0),2)&lt;&gt;INDEX(Standings!$A$2:$C$33,MATCH(Table1[[#This Row],[HomeTeam]],Standings!$A$2:$A$33,0),2),1,0)</f>
        <v>0</v>
      </c>
      <c r="AN378" s="64" t="str">
        <f>INDEX(Table2[AWAY_RECORD], MATCH(Table1[[#This Row],[AwayTeam]],Table2[Team], 0), 0)</f>
        <v>1-0-1</v>
      </c>
      <c r="AO378" s="64" t="str">
        <f>INDEX(Records!$B$2:$AG$33, MATCH(Table1[[#This Row],[AwayTeam]],Records!$A$2:$A$33, 0), MATCH(Table1[[#This Row],[HomeTeam]],Records!$A$2:$A$33, 0))</f>
        <v>0-0-0</v>
      </c>
      <c r="AP378" s="64" t="str">
        <f>INDEX(Table2[HOME_RECORD], MATCH(Table1[[#This Row],[HomeTeam]],Table2[Team], 0), 0)</f>
        <v>0-0-1</v>
      </c>
      <c r="AQ378" s="64" t="str">
        <f>INDEX(Records!$B$2:$AG$33, MATCH(Table1[[#This Row],[HomeTeam]],Records!$A$2:$A$33, 0), MATCH(Table1[[#This Row],[AwayTeam]],Records!$A$2:$A$33, 0))</f>
        <v>0-0-0</v>
      </c>
    </row>
    <row r="379" spans="1:43" x14ac:dyDescent="0.25">
      <c r="A379" s="1"/>
      <c r="D379" t="s">
        <v>618</v>
      </c>
      <c r="E379" t="s">
        <v>162</v>
      </c>
      <c r="F379" t="s">
        <v>619</v>
      </c>
      <c r="G379" t="s">
        <v>42</v>
      </c>
      <c r="H379" t="s">
        <v>49</v>
      </c>
      <c r="L37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7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79" s="1"/>
      <c r="T379" s="64" t="str">
        <f>IF(Table1[[#This Row],[ActualWinner]]="", "", IF(Table1[[#This Row],[AwayTeam]]=Table1[[#This Row],[ActualWinner]],Table1[[#This Row],[HomeTeam]],Table1[[#This Row],[AwayTeam]]))</f>
        <v/>
      </c>
      <c r="U379" s="64">
        <f>Table1[[#This Row],[ActualAwayScore]]-Table1[[#This Row],[PredictedAwayScore]]</f>
        <v>0</v>
      </c>
      <c r="V379" s="64">
        <f>Table1[[#This Row],[ActualHomeScore]]-Table1[[#This Row],[PredictedHomeScore]]</f>
        <v>0</v>
      </c>
      <c r="W379" s="64">
        <f>(0.8*IF(Table1[[#This Row],[CorrectWinnerPrediction]]=1, 1, 0))+(0.1*IF(Table1[[#This Row],[CorrectAwayScorePrediction]]=1, 1, 0))+(0.1*IF(Table1[[#This Row],[CorrectHomeScorePrediction]]=1, 1, 0))</f>
        <v>0</v>
      </c>
      <c r="X37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79" s="64">
        <f>SUMIF(Table1[GameDate], Table1[[#This Row],[GameDate]], Table1[AwayGameGoalDiff])</f>
        <v>0</v>
      </c>
      <c r="AA379" s="64">
        <f>SUMIF(Table1[GameDate], Table1[[#This Row],[GameDate]], Table1[HomeGameGoalDiff])</f>
        <v>0</v>
      </c>
      <c r="AB379" s="64">
        <f>IF(ISBLANK(Table1[[#This Row],[ActualResult]]), 0, 1)</f>
        <v>0</v>
      </c>
      <c r="AC379" s="64">
        <f>IF(ISBLANK(Table1[[#This Row],[ActualResult]]), 0, IF(Table1[[#This Row],[ActualWinner]]=Table1[[#This Row],[PredictedWinner]], 1, 0))</f>
        <v>0</v>
      </c>
      <c r="AD37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7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79" s="64">
        <f>IF(AND(Table1[[#This Row],[GameIsOver]]=1,Table1[[#This Row],[ActualAwayScore]]=0), 1,0)</f>
        <v>0</v>
      </c>
      <c r="AG379" s="64">
        <f>IF(AND(Table1[[#This Row],[GameIsOver]]=1,Table1[[#This Row],[ActualHomeScore]]=0), 1,0)</f>
        <v>0</v>
      </c>
      <c r="AH379" s="64">
        <f>IF(Table1[[#This Row],[GameIsOver]]=0,0,IF(Table1[[#This Row],[ActualWinner]]=Table1[[#This Row],[AwayTeam]], 1, 0))</f>
        <v>0</v>
      </c>
      <c r="AI379" s="64">
        <f>IF(Table1[[#This Row],[GameIsOver]]=0,0,IF(Table1[[#This Row],[ActualWinner]]=Table1[[#This Row],[HomeTeam]], 1, 0))</f>
        <v>0</v>
      </c>
      <c r="AJ379" s="64">
        <f>IF(INDEX(Standings!$A$2:$C$33,MATCH(Table1[[#This Row],[AwayTeam]],Standings!$A$2:$A$33,0),2)=INDEX(Standings!$A$2:$C$33,MATCH(Table1[[#This Row],[HomeTeam]],Standings!$A$2:$A$33,0),2),1,0)</f>
        <v>1</v>
      </c>
      <c r="AK379" s="64">
        <f>IF(INDEX(Standings!$A$2:$C$33,MATCH(Table1[[#This Row],[AwayTeam]],Standings!$A$2:$A$33,0),3)=INDEX(Standings!$A$2:$C$33,MATCH(Table1[[#This Row],[HomeTeam]],Standings!$A$2:$A$33,0),3),1,0)</f>
        <v>1</v>
      </c>
      <c r="AL379" s="64">
        <f>IF(Table1[[#This Row],[InterConf]]=1,IF(Table1[[#This Row],[InterDiv]]=0, 1, 0), 0)</f>
        <v>0</v>
      </c>
      <c r="AM379" s="64">
        <f>IF(INDEX(Standings!$A$2:$C$33,MATCH(Table1[[#This Row],[AwayTeam]],Standings!$A$2:$A$33,0),2)&lt;&gt;INDEX(Standings!$A$2:$C$33,MATCH(Table1[[#This Row],[HomeTeam]],Standings!$A$2:$A$33,0),2),1,0)</f>
        <v>0</v>
      </c>
      <c r="AN379" s="64" t="str">
        <f>INDEX(Table2[AWAY_RECORD], MATCH(Table1[[#This Row],[AwayTeam]],Table2[Team], 0), 0)</f>
        <v>0-0-0</v>
      </c>
      <c r="AO379" s="64" t="str">
        <f>INDEX(Records!$B$2:$AG$33, MATCH(Table1[[#This Row],[AwayTeam]],Records!$A$2:$A$33, 0), MATCH(Table1[[#This Row],[HomeTeam]],Records!$A$2:$A$33, 0))</f>
        <v>0-0-0</v>
      </c>
      <c r="AP379" s="64" t="str">
        <f>INDEX(Table2[HOME_RECORD], MATCH(Table1[[#This Row],[HomeTeam]],Table2[Team], 0), 0)</f>
        <v>1-0-0</v>
      </c>
      <c r="AQ379" s="64" t="str">
        <f>INDEX(Records!$B$2:$AG$33, MATCH(Table1[[#This Row],[HomeTeam]],Records!$A$2:$A$33, 0), MATCH(Table1[[#This Row],[AwayTeam]],Records!$A$2:$A$33, 0))</f>
        <v>0-0-0</v>
      </c>
    </row>
    <row r="380" spans="1:43" x14ac:dyDescent="0.25">
      <c r="A380" s="1"/>
      <c r="D380" t="s">
        <v>618</v>
      </c>
      <c r="E380" t="s">
        <v>289</v>
      </c>
      <c r="F380" t="s">
        <v>620</v>
      </c>
      <c r="G380" t="s">
        <v>46</v>
      </c>
      <c r="H380" t="s">
        <v>47</v>
      </c>
      <c r="L38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8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80" s="1"/>
      <c r="T380" s="64" t="str">
        <f>IF(Table1[[#This Row],[ActualWinner]]="", "", IF(Table1[[#This Row],[AwayTeam]]=Table1[[#This Row],[ActualWinner]],Table1[[#This Row],[HomeTeam]],Table1[[#This Row],[AwayTeam]]))</f>
        <v/>
      </c>
      <c r="U380" s="64">
        <f>Table1[[#This Row],[ActualAwayScore]]-Table1[[#This Row],[PredictedAwayScore]]</f>
        <v>0</v>
      </c>
      <c r="V380" s="64">
        <f>Table1[[#This Row],[ActualHomeScore]]-Table1[[#This Row],[PredictedHomeScore]]</f>
        <v>0</v>
      </c>
      <c r="W380" s="64">
        <f>(0.8*IF(Table1[[#This Row],[CorrectWinnerPrediction]]=1, 1, 0))+(0.1*IF(Table1[[#This Row],[CorrectAwayScorePrediction]]=1, 1, 0))+(0.1*IF(Table1[[#This Row],[CorrectHomeScorePrediction]]=1, 1, 0))</f>
        <v>0</v>
      </c>
      <c r="X38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80" s="64">
        <f>SUMIF(Table1[GameDate], Table1[[#This Row],[GameDate]], Table1[AwayGameGoalDiff])</f>
        <v>0</v>
      </c>
      <c r="AA380" s="64">
        <f>SUMIF(Table1[GameDate], Table1[[#This Row],[GameDate]], Table1[HomeGameGoalDiff])</f>
        <v>0</v>
      </c>
      <c r="AB380" s="64">
        <f>IF(ISBLANK(Table1[[#This Row],[ActualResult]]), 0, 1)</f>
        <v>0</v>
      </c>
      <c r="AC380" s="64">
        <f>IF(ISBLANK(Table1[[#This Row],[ActualResult]]), 0, IF(Table1[[#This Row],[ActualWinner]]=Table1[[#This Row],[PredictedWinner]], 1, 0))</f>
        <v>0</v>
      </c>
      <c r="AD38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8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80" s="64">
        <f>IF(AND(Table1[[#This Row],[GameIsOver]]=1,Table1[[#This Row],[ActualAwayScore]]=0), 1,0)</f>
        <v>0</v>
      </c>
      <c r="AG380" s="64">
        <f>IF(AND(Table1[[#This Row],[GameIsOver]]=1,Table1[[#This Row],[ActualHomeScore]]=0), 1,0)</f>
        <v>0</v>
      </c>
      <c r="AH380" s="64">
        <f>IF(Table1[[#This Row],[GameIsOver]]=0,0,IF(Table1[[#This Row],[ActualWinner]]=Table1[[#This Row],[AwayTeam]], 1, 0))</f>
        <v>0</v>
      </c>
      <c r="AI380" s="64">
        <f>IF(Table1[[#This Row],[GameIsOver]]=0,0,IF(Table1[[#This Row],[ActualWinner]]=Table1[[#This Row],[HomeTeam]], 1, 0))</f>
        <v>0</v>
      </c>
      <c r="AJ380" s="64">
        <f>IF(INDEX(Standings!$A$2:$C$33,MATCH(Table1[[#This Row],[AwayTeam]],Standings!$A$2:$A$33,0),2)=INDEX(Standings!$A$2:$C$33,MATCH(Table1[[#This Row],[HomeTeam]],Standings!$A$2:$A$33,0),2),1,0)</f>
        <v>0</v>
      </c>
      <c r="AK380" s="64">
        <f>IF(INDEX(Standings!$A$2:$C$33,MATCH(Table1[[#This Row],[AwayTeam]],Standings!$A$2:$A$33,0),3)=INDEX(Standings!$A$2:$C$33,MATCH(Table1[[#This Row],[HomeTeam]],Standings!$A$2:$A$33,0),3),1,0)</f>
        <v>0</v>
      </c>
      <c r="AL380" s="64">
        <f>IF(Table1[[#This Row],[InterConf]]=1,IF(Table1[[#This Row],[InterDiv]]=0, 1, 0), 0)</f>
        <v>0</v>
      </c>
      <c r="AM380" s="64">
        <f>IF(INDEX(Standings!$A$2:$C$33,MATCH(Table1[[#This Row],[AwayTeam]],Standings!$A$2:$A$33,0),2)&lt;&gt;INDEX(Standings!$A$2:$C$33,MATCH(Table1[[#This Row],[HomeTeam]],Standings!$A$2:$A$33,0),2),1,0)</f>
        <v>1</v>
      </c>
      <c r="AN380" s="64" t="str">
        <f>INDEX(Table2[AWAY_RECORD], MATCH(Table1[[#This Row],[AwayTeam]],Table2[Team], 0), 0)</f>
        <v>1-0-0</v>
      </c>
      <c r="AO380" s="64" t="str">
        <f>INDEX(Records!$B$2:$AG$33, MATCH(Table1[[#This Row],[AwayTeam]],Records!$A$2:$A$33, 0), MATCH(Table1[[#This Row],[HomeTeam]],Records!$A$2:$A$33, 0))</f>
        <v>0-0-0</v>
      </c>
      <c r="AP380" s="64" t="str">
        <f>INDEX(Table2[HOME_RECORD], MATCH(Table1[[#This Row],[HomeTeam]],Table2[Team], 0), 0)</f>
        <v>0-0-0</v>
      </c>
      <c r="AQ380" s="64" t="str">
        <f>INDEX(Records!$B$2:$AG$33, MATCH(Table1[[#This Row],[HomeTeam]],Records!$A$2:$A$33, 0), MATCH(Table1[[#This Row],[AwayTeam]],Records!$A$2:$A$33, 0))</f>
        <v>0-0-0</v>
      </c>
    </row>
    <row r="381" spans="1:43" x14ac:dyDescent="0.25">
      <c r="A381" s="1"/>
      <c r="D381" t="s">
        <v>618</v>
      </c>
      <c r="E381" t="s">
        <v>289</v>
      </c>
      <c r="F381" t="s">
        <v>621</v>
      </c>
      <c r="G381" t="s">
        <v>39</v>
      </c>
      <c r="H381" t="s">
        <v>52</v>
      </c>
      <c r="L38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8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81" s="1"/>
      <c r="T381" s="64" t="str">
        <f>IF(Table1[[#This Row],[ActualWinner]]="", "", IF(Table1[[#This Row],[AwayTeam]]=Table1[[#This Row],[ActualWinner]],Table1[[#This Row],[HomeTeam]],Table1[[#This Row],[AwayTeam]]))</f>
        <v/>
      </c>
      <c r="U381" s="64">
        <f>Table1[[#This Row],[ActualAwayScore]]-Table1[[#This Row],[PredictedAwayScore]]</f>
        <v>0</v>
      </c>
      <c r="V381" s="64">
        <f>Table1[[#This Row],[ActualHomeScore]]-Table1[[#This Row],[PredictedHomeScore]]</f>
        <v>0</v>
      </c>
      <c r="W381" s="64">
        <f>(0.8*IF(Table1[[#This Row],[CorrectWinnerPrediction]]=1, 1, 0))+(0.1*IF(Table1[[#This Row],[CorrectAwayScorePrediction]]=1, 1, 0))+(0.1*IF(Table1[[#This Row],[CorrectHomeScorePrediction]]=1, 1, 0))</f>
        <v>0</v>
      </c>
      <c r="X38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81" s="64">
        <f>SUMIF(Table1[GameDate], Table1[[#This Row],[GameDate]], Table1[AwayGameGoalDiff])</f>
        <v>0</v>
      </c>
      <c r="AA381" s="64">
        <f>SUMIF(Table1[GameDate], Table1[[#This Row],[GameDate]], Table1[HomeGameGoalDiff])</f>
        <v>0</v>
      </c>
      <c r="AB381" s="64">
        <f>IF(ISBLANK(Table1[[#This Row],[ActualResult]]), 0, 1)</f>
        <v>0</v>
      </c>
      <c r="AC381" s="64">
        <f>IF(ISBLANK(Table1[[#This Row],[ActualResult]]), 0, IF(Table1[[#This Row],[ActualWinner]]=Table1[[#This Row],[PredictedWinner]], 1, 0))</f>
        <v>0</v>
      </c>
      <c r="AD38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8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81" s="64">
        <f>IF(AND(Table1[[#This Row],[GameIsOver]]=1,Table1[[#This Row],[ActualAwayScore]]=0), 1,0)</f>
        <v>0</v>
      </c>
      <c r="AG381" s="64">
        <f>IF(AND(Table1[[#This Row],[GameIsOver]]=1,Table1[[#This Row],[ActualHomeScore]]=0), 1,0)</f>
        <v>0</v>
      </c>
      <c r="AH381" s="64">
        <f>IF(Table1[[#This Row],[GameIsOver]]=0,0,IF(Table1[[#This Row],[ActualWinner]]=Table1[[#This Row],[AwayTeam]], 1, 0))</f>
        <v>0</v>
      </c>
      <c r="AI381" s="64">
        <f>IF(Table1[[#This Row],[GameIsOver]]=0,0,IF(Table1[[#This Row],[ActualWinner]]=Table1[[#This Row],[HomeTeam]], 1, 0))</f>
        <v>0</v>
      </c>
      <c r="AJ381" s="64">
        <f>IF(INDEX(Standings!$A$2:$C$33,MATCH(Table1[[#This Row],[AwayTeam]],Standings!$A$2:$A$33,0),2)=INDEX(Standings!$A$2:$C$33,MATCH(Table1[[#This Row],[HomeTeam]],Standings!$A$2:$A$33,0),2),1,0)</f>
        <v>0</v>
      </c>
      <c r="AK381" s="64">
        <f>IF(INDEX(Standings!$A$2:$C$33,MATCH(Table1[[#This Row],[AwayTeam]],Standings!$A$2:$A$33,0),3)=INDEX(Standings!$A$2:$C$33,MATCH(Table1[[#This Row],[HomeTeam]],Standings!$A$2:$A$33,0),3),1,0)</f>
        <v>0</v>
      </c>
      <c r="AL381" s="64">
        <f>IF(Table1[[#This Row],[InterConf]]=1,IF(Table1[[#This Row],[InterDiv]]=0, 1, 0), 0)</f>
        <v>0</v>
      </c>
      <c r="AM381" s="64">
        <f>IF(INDEX(Standings!$A$2:$C$33,MATCH(Table1[[#This Row],[AwayTeam]],Standings!$A$2:$A$33,0),2)&lt;&gt;INDEX(Standings!$A$2:$C$33,MATCH(Table1[[#This Row],[HomeTeam]],Standings!$A$2:$A$33,0),2),1,0)</f>
        <v>1</v>
      </c>
      <c r="AN381" s="64" t="str">
        <f>INDEX(Table2[AWAY_RECORD], MATCH(Table1[[#This Row],[AwayTeam]],Table2[Team], 0), 0)</f>
        <v>0-0-0</v>
      </c>
      <c r="AO381" s="64" t="str">
        <f>INDEX(Records!$B$2:$AG$33, MATCH(Table1[[#This Row],[AwayTeam]],Records!$A$2:$A$33, 0), MATCH(Table1[[#This Row],[HomeTeam]],Records!$A$2:$A$33, 0))</f>
        <v>0-0-0</v>
      </c>
      <c r="AP381" s="64" t="str">
        <f>INDEX(Table2[HOME_RECORD], MATCH(Table1[[#This Row],[HomeTeam]],Table2[Team], 0), 0)</f>
        <v>0-0-0</v>
      </c>
      <c r="AQ381" s="64" t="str">
        <f>INDEX(Records!$B$2:$AG$33, MATCH(Table1[[#This Row],[HomeTeam]],Records!$A$2:$A$33, 0), MATCH(Table1[[#This Row],[AwayTeam]],Records!$A$2:$A$33, 0))</f>
        <v>0-0-0</v>
      </c>
    </row>
    <row r="382" spans="1:43" x14ac:dyDescent="0.25">
      <c r="A382" s="1"/>
      <c r="D382" t="s">
        <v>618</v>
      </c>
      <c r="E382" t="s">
        <v>289</v>
      </c>
      <c r="F382" t="s">
        <v>622</v>
      </c>
      <c r="G382" t="s">
        <v>24</v>
      </c>
      <c r="H382" t="s">
        <v>50</v>
      </c>
      <c r="L38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8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82" s="1"/>
      <c r="T382" s="64" t="str">
        <f>IF(Table1[[#This Row],[ActualWinner]]="", "", IF(Table1[[#This Row],[AwayTeam]]=Table1[[#This Row],[ActualWinner]],Table1[[#This Row],[HomeTeam]],Table1[[#This Row],[AwayTeam]]))</f>
        <v/>
      </c>
      <c r="U382" s="64">
        <f>Table1[[#This Row],[ActualAwayScore]]-Table1[[#This Row],[PredictedAwayScore]]</f>
        <v>0</v>
      </c>
      <c r="V382" s="64">
        <f>Table1[[#This Row],[ActualHomeScore]]-Table1[[#This Row],[PredictedHomeScore]]</f>
        <v>0</v>
      </c>
      <c r="W382" s="64">
        <f>(0.8*IF(Table1[[#This Row],[CorrectWinnerPrediction]]=1, 1, 0))+(0.1*IF(Table1[[#This Row],[CorrectAwayScorePrediction]]=1, 1, 0))+(0.1*IF(Table1[[#This Row],[CorrectHomeScorePrediction]]=1, 1, 0))</f>
        <v>0</v>
      </c>
      <c r="X38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82" s="64">
        <f>SUMIF(Table1[GameDate], Table1[[#This Row],[GameDate]], Table1[AwayGameGoalDiff])</f>
        <v>0</v>
      </c>
      <c r="AA382" s="64">
        <f>SUMIF(Table1[GameDate], Table1[[#This Row],[GameDate]], Table1[HomeGameGoalDiff])</f>
        <v>0</v>
      </c>
      <c r="AB382" s="64">
        <f>IF(ISBLANK(Table1[[#This Row],[ActualResult]]), 0, 1)</f>
        <v>0</v>
      </c>
      <c r="AC382" s="64">
        <f>IF(ISBLANK(Table1[[#This Row],[ActualResult]]), 0, IF(Table1[[#This Row],[ActualWinner]]=Table1[[#This Row],[PredictedWinner]], 1, 0))</f>
        <v>0</v>
      </c>
      <c r="AD38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8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82" s="64">
        <f>IF(AND(Table1[[#This Row],[GameIsOver]]=1,Table1[[#This Row],[ActualAwayScore]]=0), 1,0)</f>
        <v>0</v>
      </c>
      <c r="AG382" s="64">
        <f>IF(AND(Table1[[#This Row],[GameIsOver]]=1,Table1[[#This Row],[ActualHomeScore]]=0), 1,0)</f>
        <v>0</v>
      </c>
      <c r="AH382" s="64">
        <f>IF(Table1[[#This Row],[GameIsOver]]=0,0,IF(Table1[[#This Row],[ActualWinner]]=Table1[[#This Row],[AwayTeam]], 1, 0))</f>
        <v>0</v>
      </c>
      <c r="AI382" s="64">
        <f>IF(Table1[[#This Row],[GameIsOver]]=0,0,IF(Table1[[#This Row],[ActualWinner]]=Table1[[#This Row],[HomeTeam]], 1, 0))</f>
        <v>0</v>
      </c>
      <c r="AJ382" s="64">
        <f>IF(INDEX(Standings!$A$2:$C$33,MATCH(Table1[[#This Row],[AwayTeam]],Standings!$A$2:$A$33,0),2)=INDEX(Standings!$A$2:$C$33,MATCH(Table1[[#This Row],[HomeTeam]],Standings!$A$2:$A$33,0),2),1,0)</f>
        <v>1</v>
      </c>
      <c r="AK382" s="64">
        <f>IF(INDEX(Standings!$A$2:$C$33,MATCH(Table1[[#This Row],[AwayTeam]],Standings!$A$2:$A$33,0),3)=INDEX(Standings!$A$2:$C$33,MATCH(Table1[[#This Row],[HomeTeam]],Standings!$A$2:$A$33,0),3),1,0)</f>
        <v>0</v>
      </c>
      <c r="AL382" s="64">
        <f>IF(Table1[[#This Row],[InterConf]]=1,IF(Table1[[#This Row],[InterDiv]]=0, 1, 0), 0)</f>
        <v>1</v>
      </c>
      <c r="AM382" s="64">
        <f>IF(INDEX(Standings!$A$2:$C$33,MATCH(Table1[[#This Row],[AwayTeam]],Standings!$A$2:$A$33,0),2)&lt;&gt;INDEX(Standings!$A$2:$C$33,MATCH(Table1[[#This Row],[HomeTeam]],Standings!$A$2:$A$33,0),2),1,0)</f>
        <v>0</v>
      </c>
      <c r="AN382" s="64" t="str">
        <f>INDEX(Table2[AWAY_RECORD], MATCH(Table1[[#This Row],[AwayTeam]],Table2[Team], 0), 0)</f>
        <v>0-0-0</v>
      </c>
      <c r="AO382" s="64" t="str">
        <f>INDEX(Records!$B$2:$AG$33, MATCH(Table1[[#This Row],[AwayTeam]],Records!$A$2:$A$33, 0), MATCH(Table1[[#This Row],[HomeTeam]],Records!$A$2:$A$33, 0))</f>
        <v>0-1-0</v>
      </c>
      <c r="AP382" s="64" t="str">
        <f>INDEX(Table2[HOME_RECORD], MATCH(Table1[[#This Row],[HomeTeam]],Table2[Team], 0), 0)</f>
        <v>0-0-0</v>
      </c>
      <c r="AQ382" s="64" t="str">
        <f>INDEX(Records!$B$2:$AG$33, MATCH(Table1[[#This Row],[HomeTeam]],Records!$A$2:$A$33, 0), MATCH(Table1[[#This Row],[AwayTeam]],Records!$A$2:$A$33, 0))</f>
        <v>1-0-0</v>
      </c>
    </row>
    <row r="383" spans="1:43" x14ac:dyDescent="0.25">
      <c r="A383" s="1"/>
      <c r="D383" t="s">
        <v>618</v>
      </c>
      <c r="E383" t="s">
        <v>289</v>
      </c>
      <c r="F383" t="s">
        <v>623</v>
      </c>
      <c r="G383" t="s">
        <v>58</v>
      </c>
      <c r="H383" t="s">
        <v>60</v>
      </c>
      <c r="L38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8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83" s="1"/>
      <c r="T383" s="64" t="str">
        <f>IF(Table1[[#This Row],[ActualWinner]]="", "", IF(Table1[[#This Row],[AwayTeam]]=Table1[[#This Row],[ActualWinner]],Table1[[#This Row],[HomeTeam]],Table1[[#This Row],[AwayTeam]]))</f>
        <v/>
      </c>
      <c r="U383" s="64">
        <f>Table1[[#This Row],[ActualAwayScore]]-Table1[[#This Row],[PredictedAwayScore]]</f>
        <v>0</v>
      </c>
      <c r="V383" s="64">
        <f>Table1[[#This Row],[ActualHomeScore]]-Table1[[#This Row],[PredictedHomeScore]]</f>
        <v>0</v>
      </c>
      <c r="W383" s="64">
        <f>(0.8*IF(Table1[[#This Row],[CorrectWinnerPrediction]]=1, 1, 0))+(0.1*IF(Table1[[#This Row],[CorrectAwayScorePrediction]]=1, 1, 0))+(0.1*IF(Table1[[#This Row],[CorrectHomeScorePrediction]]=1, 1, 0))</f>
        <v>0</v>
      </c>
      <c r="X38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83" s="64">
        <f>SUMIF(Table1[GameDate], Table1[[#This Row],[GameDate]], Table1[AwayGameGoalDiff])</f>
        <v>0</v>
      </c>
      <c r="AA383" s="64">
        <f>SUMIF(Table1[GameDate], Table1[[#This Row],[GameDate]], Table1[HomeGameGoalDiff])</f>
        <v>0</v>
      </c>
      <c r="AB383" s="64">
        <f>IF(ISBLANK(Table1[[#This Row],[ActualResult]]), 0, 1)</f>
        <v>0</v>
      </c>
      <c r="AC383" s="64">
        <f>IF(ISBLANK(Table1[[#This Row],[ActualResult]]), 0, IF(Table1[[#This Row],[ActualWinner]]=Table1[[#This Row],[PredictedWinner]], 1, 0))</f>
        <v>0</v>
      </c>
      <c r="AD38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8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83" s="64">
        <f>IF(AND(Table1[[#This Row],[GameIsOver]]=1,Table1[[#This Row],[ActualAwayScore]]=0), 1,0)</f>
        <v>0</v>
      </c>
      <c r="AG383" s="64">
        <f>IF(AND(Table1[[#This Row],[GameIsOver]]=1,Table1[[#This Row],[ActualHomeScore]]=0), 1,0)</f>
        <v>0</v>
      </c>
      <c r="AH383" s="64">
        <f>IF(Table1[[#This Row],[GameIsOver]]=0,0,IF(Table1[[#This Row],[ActualWinner]]=Table1[[#This Row],[AwayTeam]], 1, 0))</f>
        <v>0</v>
      </c>
      <c r="AI383" s="64">
        <f>IF(Table1[[#This Row],[GameIsOver]]=0,0,IF(Table1[[#This Row],[ActualWinner]]=Table1[[#This Row],[HomeTeam]], 1, 0))</f>
        <v>0</v>
      </c>
      <c r="AJ383" s="64">
        <f>IF(INDEX(Standings!$A$2:$C$33,MATCH(Table1[[#This Row],[AwayTeam]],Standings!$A$2:$A$33,0),2)=INDEX(Standings!$A$2:$C$33,MATCH(Table1[[#This Row],[HomeTeam]],Standings!$A$2:$A$33,0),2),1,0)</f>
        <v>1</v>
      </c>
      <c r="AK383" s="64">
        <f>IF(INDEX(Standings!$A$2:$C$33,MATCH(Table1[[#This Row],[AwayTeam]],Standings!$A$2:$A$33,0),3)=INDEX(Standings!$A$2:$C$33,MATCH(Table1[[#This Row],[HomeTeam]],Standings!$A$2:$A$33,0),3),1,0)</f>
        <v>1</v>
      </c>
      <c r="AL383" s="64">
        <f>IF(Table1[[#This Row],[InterConf]]=1,IF(Table1[[#This Row],[InterDiv]]=0, 1, 0), 0)</f>
        <v>0</v>
      </c>
      <c r="AM383" s="64">
        <f>IF(INDEX(Standings!$A$2:$C$33,MATCH(Table1[[#This Row],[AwayTeam]],Standings!$A$2:$A$33,0),2)&lt;&gt;INDEX(Standings!$A$2:$C$33,MATCH(Table1[[#This Row],[HomeTeam]],Standings!$A$2:$A$33,0),2),1,0)</f>
        <v>0</v>
      </c>
      <c r="AN383" s="64" t="str">
        <f>INDEX(Table2[AWAY_RECORD], MATCH(Table1[[#This Row],[AwayTeam]],Table2[Team], 0), 0)</f>
        <v>0-0-0</v>
      </c>
      <c r="AO383" s="64" t="str">
        <f>INDEX(Records!$B$2:$AG$33, MATCH(Table1[[#This Row],[AwayTeam]],Records!$A$2:$A$33, 0), MATCH(Table1[[#This Row],[HomeTeam]],Records!$A$2:$A$33, 0))</f>
        <v>0-0-0</v>
      </c>
      <c r="AP383" s="64" t="str">
        <f>INDEX(Table2[HOME_RECORD], MATCH(Table1[[#This Row],[HomeTeam]],Table2[Team], 0), 0)</f>
        <v>1-0-0</v>
      </c>
      <c r="AQ383" s="64" t="str">
        <f>INDEX(Records!$B$2:$AG$33, MATCH(Table1[[#This Row],[HomeTeam]],Records!$A$2:$A$33, 0), MATCH(Table1[[#This Row],[AwayTeam]],Records!$A$2:$A$33, 0))</f>
        <v>0-0-0</v>
      </c>
    </row>
    <row r="384" spans="1:43" x14ac:dyDescent="0.25">
      <c r="A384" s="1"/>
      <c r="D384" t="s">
        <v>618</v>
      </c>
      <c r="E384" t="s">
        <v>593</v>
      </c>
      <c r="F384" t="s">
        <v>624</v>
      </c>
      <c r="G384" t="s">
        <v>36</v>
      </c>
      <c r="H384" t="s">
        <v>56</v>
      </c>
      <c r="L38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8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84" s="1"/>
      <c r="T384" s="64" t="str">
        <f>IF(Table1[[#This Row],[ActualWinner]]="", "", IF(Table1[[#This Row],[AwayTeam]]=Table1[[#This Row],[ActualWinner]],Table1[[#This Row],[HomeTeam]],Table1[[#This Row],[AwayTeam]]))</f>
        <v/>
      </c>
      <c r="U384" s="64">
        <f>Table1[[#This Row],[ActualAwayScore]]-Table1[[#This Row],[PredictedAwayScore]]</f>
        <v>0</v>
      </c>
      <c r="V384" s="64">
        <f>Table1[[#This Row],[ActualHomeScore]]-Table1[[#This Row],[PredictedHomeScore]]</f>
        <v>0</v>
      </c>
      <c r="W384" s="64">
        <f>(0.8*IF(Table1[[#This Row],[CorrectWinnerPrediction]]=1, 1, 0))+(0.1*IF(Table1[[#This Row],[CorrectAwayScorePrediction]]=1, 1, 0))+(0.1*IF(Table1[[#This Row],[CorrectHomeScorePrediction]]=1, 1, 0))</f>
        <v>0</v>
      </c>
      <c r="X38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84" s="64">
        <f>SUMIF(Table1[GameDate], Table1[[#This Row],[GameDate]], Table1[AwayGameGoalDiff])</f>
        <v>0</v>
      </c>
      <c r="AA384" s="64">
        <f>SUMIF(Table1[GameDate], Table1[[#This Row],[GameDate]], Table1[HomeGameGoalDiff])</f>
        <v>0</v>
      </c>
      <c r="AB384" s="64">
        <f>IF(ISBLANK(Table1[[#This Row],[ActualResult]]), 0, 1)</f>
        <v>0</v>
      </c>
      <c r="AC384" s="64">
        <f>IF(ISBLANK(Table1[[#This Row],[ActualResult]]), 0, IF(Table1[[#This Row],[ActualWinner]]=Table1[[#This Row],[PredictedWinner]], 1, 0))</f>
        <v>0</v>
      </c>
      <c r="AD38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8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84" s="64">
        <f>IF(AND(Table1[[#This Row],[GameIsOver]]=1,Table1[[#This Row],[ActualAwayScore]]=0), 1,0)</f>
        <v>0</v>
      </c>
      <c r="AG384" s="64">
        <f>IF(AND(Table1[[#This Row],[GameIsOver]]=1,Table1[[#This Row],[ActualHomeScore]]=0), 1,0)</f>
        <v>0</v>
      </c>
      <c r="AH384" s="64">
        <f>IF(Table1[[#This Row],[GameIsOver]]=0,0,IF(Table1[[#This Row],[ActualWinner]]=Table1[[#This Row],[AwayTeam]], 1, 0))</f>
        <v>0</v>
      </c>
      <c r="AI384" s="64">
        <f>IF(Table1[[#This Row],[GameIsOver]]=0,0,IF(Table1[[#This Row],[ActualWinner]]=Table1[[#This Row],[HomeTeam]], 1, 0))</f>
        <v>0</v>
      </c>
      <c r="AJ384" s="64">
        <f>IF(INDEX(Standings!$A$2:$C$33,MATCH(Table1[[#This Row],[AwayTeam]],Standings!$A$2:$A$33,0),2)=INDEX(Standings!$A$2:$C$33,MATCH(Table1[[#This Row],[HomeTeam]],Standings!$A$2:$A$33,0),2),1,0)</f>
        <v>1</v>
      </c>
      <c r="AK384" s="64">
        <f>IF(INDEX(Standings!$A$2:$C$33,MATCH(Table1[[#This Row],[AwayTeam]],Standings!$A$2:$A$33,0),3)=INDEX(Standings!$A$2:$C$33,MATCH(Table1[[#This Row],[HomeTeam]],Standings!$A$2:$A$33,0),3),1,0)</f>
        <v>1</v>
      </c>
      <c r="AL384" s="64">
        <f>IF(Table1[[#This Row],[InterConf]]=1,IF(Table1[[#This Row],[InterDiv]]=0, 1, 0), 0)</f>
        <v>0</v>
      </c>
      <c r="AM384" s="64">
        <f>IF(INDEX(Standings!$A$2:$C$33,MATCH(Table1[[#This Row],[AwayTeam]],Standings!$A$2:$A$33,0),2)&lt;&gt;INDEX(Standings!$A$2:$C$33,MATCH(Table1[[#This Row],[HomeTeam]],Standings!$A$2:$A$33,0),2),1,0)</f>
        <v>0</v>
      </c>
      <c r="AN384" s="64" t="str">
        <f>INDEX(Table2[AWAY_RECORD], MATCH(Table1[[#This Row],[AwayTeam]],Table2[Team], 0), 0)</f>
        <v>0-0-0</v>
      </c>
      <c r="AO384" s="64" t="str">
        <f>INDEX(Records!$B$2:$AG$33, MATCH(Table1[[#This Row],[AwayTeam]],Records!$A$2:$A$33, 0), MATCH(Table1[[#This Row],[HomeTeam]],Records!$A$2:$A$33, 0))</f>
        <v>0-0-0</v>
      </c>
      <c r="AP384" s="64" t="str">
        <f>INDEX(Table2[HOME_RECORD], MATCH(Table1[[#This Row],[HomeTeam]],Table2[Team], 0), 0)</f>
        <v>0-0-0</v>
      </c>
      <c r="AQ384" s="64" t="str">
        <f>INDEX(Records!$B$2:$AG$33, MATCH(Table1[[#This Row],[HomeTeam]],Records!$A$2:$A$33, 0), MATCH(Table1[[#This Row],[AwayTeam]],Records!$A$2:$A$33, 0))</f>
        <v>0-0-0</v>
      </c>
    </row>
    <row r="385" spans="1:43" x14ac:dyDescent="0.25">
      <c r="A385" s="1"/>
      <c r="D385" t="s">
        <v>625</v>
      </c>
      <c r="E385" t="s">
        <v>298</v>
      </c>
      <c r="F385" t="s">
        <v>626</v>
      </c>
      <c r="G385" t="s">
        <v>22</v>
      </c>
      <c r="H385" t="s">
        <v>55</v>
      </c>
      <c r="L38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8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85" s="1"/>
      <c r="T385" s="64" t="str">
        <f>IF(Table1[[#This Row],[ActualWinner]]="", "", IF(Table1[[#This Row],[AwayTeam]]=Table1[[#This Row],[ActualWinner]],Table1[[#This Row],[HomeTeam]],Table1[[#This Row],[AwayTeam]]))</f>
        <v/>
      </c>
      <c r="U385" s="64">
        <f>Table1[[#This Row],[ActualAwayScore]]-Table1[[#This Row],[PredictedAwayScore]]</f>
        <v>0</v>
      </c>
      <c r="V385" s="64">
        <f>Table1[[#This Row],[ActualHomeScore]]-Table1[[#This Row],[PredictedHomeScore]]</f>
        <v>0</v>
      </c>
      <c r="W385" s="64">
        <f>(0.8*IF(Table1[[#This Row],[CorrectWinnerPrediction]]=1, 1, 0))+(0.1*IF(Table1[[#This Row],[CorrectAwayScorePrediction]]=1, 1, 0))+(0.1*IF(Table1[[#This Row],[CorrectHomeScorePrediction]]=1, 1, 0))</f>
        <v>0</v>
      </c>
      <c r="X38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85" s="64">
        <f>SUMIF(Table1[GameDate], Table1[[#This Row],[GameDate]], Table1[AwayGameGoalDiff])</f>
        <v>0</v>
      </c>
      <c r="AA385" s="64">
        <f>SUMIF(Table1[GameDate], Table1[[#This Row],[GameDate]], Table1[HomeGameGoalDiff])</f>
        <v>0</v>
      </c>
      <c r="AB385" s="64">
        <f>IF(ISBLANK(Table1[[#This Row],[ActualResult]]), 0, 1)</f>
        <v>0</v>
      </c>
      <c r="AC385" s="64">
        <f>IF(ISBLANK(Table1[[#This Row],[ActualResult]]), 0, IF(Table1[[#This Row],[ActualWinner]]=Table1[[#This Row],[PredictedWinner]], 1, 0))</f>
        <v>0</v>
      </c>
      <c r="AD38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8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85" s="64">
        <f>IF(AND(Table1[[#This Row],[GameIsOver]]=1,Table1[[#This Row],[ActualAwayScore]]=0), 1,0)</f>
        <v>0</v>
      </c>
      <c r="AG385" s="64">
        <f>IF(AND(Table1[[#This Row],[GameIsOver]]=1,Table1[[#This Row],[ActualHomeScore]]=0), 1,0)</f>
        <v>0</v>
      </c>
      <c r="AH385" s="64">
        <f>IF(Table1[[#This Row],[GameIsOver]]=0,0,IF(Table1[[#This Row],[ActualWinner]]=Table1[[#This Row],[AwayTeam]], 1, 0))</f>
        <v>0</v>
      </c>
      <c r="AI385" s="64">
        <f>IF(Table1[[#This Row],[GameIsOver]]=0,0,IF(Table1[[#This Row],[ActualWinner]]=Table1[[#This Row],[HomeTeam]], 1, 0))</f>
        <v>0</v>
      </c>
      <c r="AJ385" s="64">
        <f>IF(INDEX(Standings!$A$2:$C$33,MATCH(Table1[[#This Row],[AwayTeam]],Standings!$A$2:$A$33,0),2)=INDEX(Standings!$A$2:$C$33,MATCH(Table1[[#This Row],[HomeTeam]],Standings!$A$2:$A$33,0),2),1,0)</f>
        <v>1</v>
      </c>
      <c r="AK385" s="64">
        <f>IF(INDEX(Standings!$A$2:$C$33,MATCH(Table1[[#This Row],[AwayTeam]],Standings!$A$2:$A$33,0),3)=INDEX(Standings!$A$2:$C$33,MATCH(Table1[[#This Row],[HomeTeam]],Standings!$A$2:$A$33,0),3),1,0)</f>
        <v>0</v>
      </c>
      <c r="AL385" s="64">
        <f>IF(Table1[[#This Row],[InterConf]]=1,IF(Table1[[#This Row],[InterDiv]]=0, 1, 0), 0)</f>
        <v>1</v>
      </c>
      <c r="AM385" s="64">
        <f>IF(INDEX(Standings!$A$2:$C$33,MATCH(Table1[[#This Row],[AwayTeam]],Standings!$A$2:$A$33,0),2)&lt;&gt;INDEX(Standings!$A$2:$C$33,MATCH(Table1[[#This Row],[HomeTeam]],Standings!$A$2:$A$33,0),2),1,0)</f>
        <v>0</v>
      </c>
      <c r="AN385" s="64" t="str">
        <f>INDEX(Table2[AWAY_RECORD], MATCH(Table1[[#This Row],[AwayTeam]],Table2[Team], 0), 0)</f>
        <v>0-0-1</v>
      </c>
      <c r="AO385" s="64" t="str">
        <f>INDEX(Records!$B$2:$AG$33, MATCH(Table1[[#This Row],[AwayTeam]],Records!$A$2:$A$33, 0), MATCH(Table1[[#This Row],[HomeTeam]],Records!$A$2:$A$33, 0))</f>
        <v>0-0-0</v>
      </c>
      <c r="AP385" s="64" t="str">
        <f>INDEX(Table2[HOME_RECORD], MATCH(Table1[[#This Row],[HomeTeam]],Table2[Team], 0), 0)</f>
        <v>0-1-0</v>
      </c>
      <c r="AQ385" s="64" t="str">
        <f>INDEX(Records!$B$2:$AG$33, MATCH(Table1[[#This Row],[HomeTeam]],Records!$A$2:$A$33, 0), MATCH(Table1[[#This Row],[AwayTeam]],Records!$A$2:$A$33, 0))</f>
        <v>0-0-0</v>
      </c>
    </row>
    <row r="386" spans="1:43" x14ac:dyDescent="0.25">
      <c r="A386" s="1"/>
      <c r="D386" t="s">
        <v>625</v>
      </c>
      <c r="E386" t="s">
        <v>178</v>
      </c>
      <c r="F386" t="s">
        <v>627</v>
      </c>
      <c r="G386" t="s">
        <v>25</v>
      </c>
      <c r="H386" t="s">
        <v>45</v>
      </c>
      <c r="L38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8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86" s="1"/>
      <c r="T386" s="64" t="str">
        <f>IF(Table1[[#This Row],[ActualWinner]]="", "", IF(Table1[[#This Row],[AwayTeam]]=Table1[[#This Row],[ActualWinner]],Table1[[#This Row],[HomeTeam]],Table1[[#This Row],[AwayTeam]]))</f>
        <v/>
      </c>
      <c r="U386" s="64">
        <f>Table1[[#This Row],[ActualAwayScore]]-Table1[[#This Row],[PredictedAwayScore]]</f>
        <v>0</v>
      </c>
      <c r="V386" s="64">
        <f>Table1[[#This Row],[ActualHomeScore]]-Table1[[#This Row],[PredictedHomeScore]]</f>
        <v>0</v>
      </c>
      <c r="W386" s="64">
        <f>(0.8*IF(Table1[[#This Row],[CorrectWinnerPrediction]]=1, 1, 0))+(0.1*IF(Table1[[#This Row],[CorrectAwayScorePrediction]]=1, 1, 0))+(0.1*IF(Table1[[#This Row],[CorrectHomeScorePrediction]]=1, 1, 0))</f>
        <v>0</v>
      </c>
      <c r="X38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86" s="64">
        <f>SUMIF(Table1[GameDate], Table1[[#This Row],[GameDate]], Table1[AwayGameGoalDiff])</f>
        <v>0</v>
      </c>
      <c r="AA386" s="64">
        <f>SUMIF(Table1[GameDate], Table1[[#This Row],[GameDate]], Table1[HomeGameGoalDiff])</f>
        <v>0</v>
      </c>
      <c r="AB386" s="64">
        <f>IF(ISBLANK(Table1[[#This Row],[ActualResult]]), 0, 1)</f>
        <v>0</v>
      </c>
      <c r="AC386" s="64">
        <f>IF(ISBLANK(Table1[[#This Row],[ActualResult]]), 0, IF(Table1[[#This Row],[ActualWinner]]=Table1[[#This Row],[PredictedWinner]], 1, 0))</f>
        <v>0</v>
      </c>
      <c r="AD38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8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86" s="64">
        <f>IF(AND(Table1[[#This Row],[GameIsOver]]=1,Table1[[#This Row],[ActualAwayScore]]=0), 1,0)</f>
        <v>0</v>
      </c>
      <c r="AG386" s="64">
        <f>IF(AND(Table1[[#This Row],[GameIsOver]]=1,Table1[[#This Row],[ActualHomeScore]]=0), 1,0)</f>
        <v>0</v>
      </c>
      <c r="AH386" s="64">
        <f>IF(Table1[[#This Row],[GameIsOver]]=0,0,IF(Table1[[#This Row],[ActualWinner]]=Table1[[#This Row],[AwayTeam]], 1, 0))</f>
        <v>0</v>
      </c>
      <c r="AI386" s="64">
        <f>IF(Table1[[#This Row],[GameIsOver]]=0,0,IF(Table1[[#This Row],[ActualWinner]]=Table1[[#This Row],[HomeTeam]], 1, 0))</f>
        <v>0</v>
      </c>
      <c r="AJ386" s="64">
        <f>IF(INDEX(Standings!$A$2:$C$33,MATCH(Table1[[#This Row],[AwayTeam]],Standings!$A$2:$A$33,0),2)=INDEX(Standings!$A$2:$C$33,MATCH(Table1[[#This Row],[HomeTeam]],Standings!$A$2:$A$33,0),2),1,0)</f>
        <v>1</v>
      </c>
      <c r="AK386" s="64">
        <f>IF(INDEX(Standings!$A$2:$C$33,MATCH(Table1[[#This Row],[AwayTeam]],Standings!$A$2:$A$33,0),3)=INDEX(Standings!$A$2:$C$33,MATCH(Table1[[#This Row],[HomeTeam]],Standings!$A$2:$A$33,0),3),1,0)</f>
        <v>1</v>
      </c>
      <c r="AL386" s="64">
        <f>IF(Table1[[#This Row],[InterConf]]=1,IF(Table1[[#This Row],[InterDiv]]=0, 1, 0), 0)</f>
        <v>0</v>
      </c>
      <c r="AM386" s="64">
        <f>IF(INDEX(Standings!$A$2:$C$33,MATCH(Table1[[#This Row],[AwayTeam]],Standings!$A$2:$A$33,0),2)&lt;&gt;INDEX(Standings!$A$2:$C$33,MATCH(Table1[[#This Row],[HomeTeam]],Standings!$A$2:$A$33,0),2),1,0)</f>
        <v>0</v>
      </c>
      <c r="AN386" s="64" t="str">
        <f>INDEX(Table2[AWAY_RECORD], MATCH(Table1[[#This Row],[AwayTeam]],Table2[Team], 0), 0)</f>
        <v>0-0-0</v>
      </c>
      <c r="AO386" s="64" t="str">
        <f>INDEX(Records!$B$2:$AG$33, MATCH(Table1[[#This Row],[AwayTeam]],Records!$A$2:$A$33, 0), MATCH(Table1[[#This Row],[HomeTeam]],Records!$A$2:$A$33, 0))</f>
        <v>0-0-0</v>
      </c>
      <c r="AP386" s="64" t="str">
        <f>INDEX(Table2[HOME_RECORD], MATCH(Table1[[#This Row],[HomeTeam]],Table2[Team], 0), 0)</f>
        <v>1-0-0</v>
      </c>
      <c r="AQ386" s="64" t="str">
        <f>INDEX(Records!$B$2:$AG$33, MATCH(Table1[[#This Row],[HomeTeam]],Records!$A$2:$A$33, 0), MATCH(Table1[[#This Row],[AwayTeam]],Records!$A$2:$A$33, 0))</f>
        <v>0-0-0</v>
      </c>
    </row>
    <row r="387" spans="1:43" x14ac:dyDescent="0.25">
      <c r="A387" s="1"/>
      <c r="D387" t="s">
        <v>628</v>
      </c>
      <c r="E387" t="s">
        <v>162</v>
      </c>
      <c r="F387" t="s">
        <v>629</v>
      </c>
      <c r="G387" t="s">
        <v>60</v>
      </c>
      <c r="H387" t="s">
        <v>37</v>
      </c>
      <c r="L38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8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87" s="1"/>
      <c r="T387" s="64" t="str">
        <f>IF(Table1[[#This Row],[ActualWinner]]="", "", IF(Table1[[#This Row],[AwayTeam]]=Table1[[#This Row],[ActualWinner]],Table1[[#This Row],[HomeTeam]],Table1[[#This Row],[AwayTeam]]))</f>
        <v/>
      </c>
      <c r="U387" s="64">
        <f>Table1[[#This Row],[ActualAwayScore]]-Table1[[#This Row],[PredictedAwayScore]]</f>
        <v>0</v>
      </c>
      <c r="V387" s="64">
        <f>Table1[[#This Row],[ActualHomeScore]]-Table1[[#This Row],[PredictedHomeScore]]</f>
        <v>0</v>
      </c>
      <c r="W387" s="64">
        <f>(0.8*IF(Table1[[#This Row],[CorrectWinnerPrediction]]=1, 1, 0))+(0.1*IF(Table1[[#This Row],[CorrectAwayScorePrediction]]=1, 1, 0))+(0.1*IF(Table1[[#This Row],[CorrectHomeScorePrediction]]=1, 1, 0))</f>
        <v>0</v>
      </c>
      <c r="X38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87" s="64">
        <f>SUMIF(Table1[GameDate], Table1[[#This Row],[GameDate]], Table1[AwayGameGoalDiff])</f>
        <v>0</v>
      </c>
      <c r="AA387" s="64">
        <f>SUMIF(Table1[GameDate], Table1[[#This Row],[GameDate]], Table1[HomeGameGoalDiff])</f>
        <v>0</v>
      </c>
      <c r="AB387" s="64">
        <f>IF(ISBLANK(Table1[[#This Row],[ActualResult]]), 0, 1)</f>
        <v>0</v>
      </c>
      <c r="AC387" s="64">
        <f>IF(ISBLANK(Table1[[#This Row],[ActualResult]]), 0, IF(Table1[[#This Row],[ActualWinner]]=Table1[[#This Row],[PredictedWinner]], 1, 0))</f>
        <v>0</v>
      </c>
      <c r="AD38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8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87" s="64">
        <f>IF(AND(Table1[[#This Row],[GameIsOver]]=1,Table1[[#This Row],[ActualAwayScore]]=0), 1,0)</f>
        <v>0</v>
      </c>
      <c r="AG387" s="64">
        <f>IF(AND(Table1[[#This Row],[GameIsOver]]=1,Table1[[#This Row],[ActualHomeScore]]=0), 1,0)</f>
        <v>0</v>
      </c>
      <c r="AH387" s="64">
        <f>IF(Table1[[#This Row],[GameIsOver]]=0,0,IF(Table1[[#This Row],[ActualWinner]]=Table1[[#This Row],[AwayTeam]], 1, 0))</f>
        <v>0</v>
      </c>
      <c r="AI387" s="64">
        <f>IF(Table1[[#This Row],[GameIsOver]]=0,0,IF(Table1[[#This Row],[ActualWinner]]=Table1[[#This Row],[HomeTeam]], 1, 0))</f>
        <v>0</v>
      </c>
      <c r="AJ387" s="64">
        <f>IF(INDEX(Standings!$A$2:$C$33,MATCH(Table1[[#This Row],[AwayTeam]],Standings!$A$2:$A$33,0),2)=INDEX(Standings!$A$2:$C$33,MATCH(Table1[[#This Row],[HomeTeam]],Standings!$A$2:$A$33,0),2),1,0)</f>
        <v>0</v>
      </c>
      <c r="AK387" s="64">
        <f>IF(INDEX(Standings!$A$2:$C$33,MATCH(Table1[[#This Row],[AwayTeam]],Standings!$A$2:$A$33,0),3)=INDEX(Standings!$A$2:$C$33,MATCH(Table1[[#This Row],[HomeTeam]],Standings!$A$2:$A$33,0),3),1,0)</f>
        <v>0</v>
      </c>
      <c r="AL387" s="64">
        <f>IF(Table1[[#This Row],[InterConf]]=1,IF(Table1[[#This Row],[InterDiv]]=0, 1, 0), 0)</f>
        <v>0</v>
      </c>
      <c r="AM387" s="64">
        <f>IF(INDEX(Standings!$A$2:$C$33,MATCH(Table1[[#This Row],[AwayTeam]],Standings!$A$2:$A$33,0),2)&lt;&gt;INDEX(Standings!$A$2:$C$33,MATCH(Table1[[#This Row],[HomeTeam]],Standings!$A$2:$A$33,0),2),1,0)</f>
        <v>1</v>
      </c>
      <c r="AN387" s="64" t="str">
        <f>INDEX(Table2[AWAY_RECORD], MATCH(Table1[[#This Row],[AwayTeam]],Table2[Team], 0), 0)</f>
        <v>0-0-0</v>
      </c>
      <c r="AO387" s="64" t="str">
        <f>INDEX(Records!$B$2:$AG$33, MATCH(Table1[[#This Row],[AwayTeam]],Records!$A$2:$A$33, 0), MATCH(Table1[[#This Row],[HomeTeam]],Records!$A$2:$A$33, 0))</f>
        <v>1-0-0</v>
      </c>
      <c r="AP387" s="64" t="str">
        <f>INDEX(Table2[HOME_RECORD], MATCH(Table1[[#This Row],[HomeTeam]],Table2[Team], 0), 0)</f>
        <v>0-1-0</v>
      </c>
      <c r="AQ387" s="64" t="str">
        <f>INDEX(Records!$B$2:$AG$33, MATCH(Table1[[#This Row],[HomeTeam]],Records!$A$2:$A$33, 0), MATCH(Table1[[#This Row],[AwayTeam]],Records!$A$2:$A$33, 0))</f>
        <v>0-0-1</v>
      </c>
    </row>
    <row r="388" spans="1:43" x14ac:dyDescent="0.25">
      <c r="A388" s="1"/>
      <c r="D388" t="s">
        <v>628</v>
      </c>
      <c r="E388" t="s">
        <v>162</v>
      </c>
      <c r="F388" t="s">
        <v>630</v>
      </c>
      <c r="G388" t="s">
        <v>51</v>
      </c>
      <c r="H388" t="s">
        <v>38</v>
      </c>
      <c r="L38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8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88" s="1"/>
      <c r="T388" s="64" t="str">
        <f>IF(Table1[[#This Row],[ActualWinner]]="", "", IF(Table1[[#This Row],[AwayTeam]]=Table1[[#This Row],[ActualWinner]],Table1[[#This Row],[HomeTeam]],Table1[[#This Row],[AwayTeam]]))</f>
        <v/>
      </c>
      <c r="U388" s="64">
        <f>Table1[[#This Row],[ActualAwayScore]]-Table1[[#This Row],[PredictedAwayScore]]</f>
        <v>0</v>
      </c>
      <c r="V388" s="64">
        <f>Table1[[#This Row],[ActualHomeScore]]-Table1[[#This Row],[PredictedHomeScore]]</f>
        <v>0</v>
      </c>
      <c r="W388" s="64">
        <f>(0.8*IF(Table1[[#This Row],[CorrectWinnerPrediction]]=1, 1, 0))+(0.1*IF(Table1[[#This Row],[CorrectAwayScorePrediction]]=1, 1, 0))+(0.1*IF(Table1[[#This Row],[CorrectHomeScorePrediction]]=1, 1, 0))</f>
        <v>0</v>
      </c>
      <c r="X38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88" s="64">
        <f>SUMIF(Table1[GameDate], Table1[[#This Row],[GameDate]], Table1[AwayGameGoalDiff])</f>
        <v>0</v>
      </c>
      <c r="AA388" s="64">
        <f>SUMIF(Table1[GameDate], Table1[[#This Row],[GameDate]], Table1[HomeGameGoalDiff])</f>
        <v>0</v>
      </c>
      <c r="AB388" s="64">
        <f>IF(ISBLANK(Table1[[#This Row],[ActualResult]]), 0, 1)</f>
        <v>0</v>
      </c>
      <c r="AC388" s="64">
        <f>IF(ISBLANK(Table1[[#This Row],[ActualResult]]), 0, IF(Table1[[#This Row],[ActualWinner]]=Table1[[#This Row],[PredictedWinner]], 1, 0))</f>
        <v>0</v>
      </c>
      <c r="AD38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8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88" s="64">
        <f>IF(AND(Table1[[#This Row],[GameIsOver]]=1,Table1[[#This Row],[ActualAwayScore]]=0), 1,0)</f>
        <v>0</v>
      </c>
      <c r="AG388" s="64">
        <f>IF(AND(Table1[[#This Row],[GameIsOver]]=1,Table1[[#This Row],[ActualHomeScore]]=0), 1,0)</f>
        <v>0</v>
      </c>
      <c r="AH388" s="64">
        <f>IF(Table1[[#This Row],[GameIsOver]]=0,0,IF(Table1[[#This Row],[ActualWinner]]=Table1[[#This Row],[AwayTeam]], 1, 0))</f>
        <v>0</v>
      </c>
      <c r="AI388" s="64">
        <f>IF(Table1[[#This Row],[GameIsOver]]=0,0,IF(Table1[[#This Row],[ActualWinner]]=Table1[[#This Row],[HomeTeam]], 1, 0))</f>
        <v>0</v>
      </c>
      <c r="AJ388" s="64">
        <f>IF(INDEX(Standings!$A$2:$C$33,MATCH(Table1[[#This Row],[AwayTeam]],Standings!$A$2:$A$33,0),2)=INDEX(Standings!$A$2:$C$33,MATCH(Table1[[#This Row],[HomeTeam]],Standings!$A$2:$A$33,0),2),1,0)</f>
        <v>1</v>
      </c>
      <c r="AK388" s="64">
        <f>IF(INDEX(Standings!$A$2:$C$33,MATCH(Table1[[#This Row],[AwayTeam]],Standings!$A$2:$A$33,0),3)=INDEX(Standings!$A$2:$C$33,MATCH(Table1[[#This Row],[HomeTeam]],Standings!$A$2:$A$33,0),3),1,0)</f>
        <v>0</v>
      </c>
      <c r="AL388" s="64">
        <f>IF(Table1[[#This Row],[InterConf]]=1,IF(Table1[[#This Row],[InterDiv]]=0, 1, 0), 0)</f>
        <v>1</v>
      </c>
      <c r="AM388" s="64">
        <f>IF(INDEX(Standings!$A$2:$C$33,MATCH(Table1[[#This Row],[AwayTeam]],Standings!$A$2:$A$33,0),2)&lt;&gt;INDEX(Standings!$A$2:$C$33,MATCH(Table1[[#This Row],[HomeTeam]],Standings!$A$2:$A$33,0),2),1,0)</f>
        <v>0</v>
      </c>
      <c r="AN388" s="64" t="str">
        <f>INDEX(Table2[AWAY_RECORD], MATCH(Table1[[#This Row],[AwayTeam]],Table2[Team], 0), 0)</f>
        <v>2-0-0</v>
      </c>
      <c r="AO388" s="64" t="str">
        <f>INDEX(Records!$B$2:$AG$33, MATCH(Table1[[#This Row],[AwayTeam]],Records!$A$2:$A$33, 0), MATCH(Table1[[#This Row],[HomeTeam]],Records!$A$2:$A$33, 0))</f>
        <v>0-0-0</v>
      </c>
      <c r="AP388" s="64" t="str">
        <f>INDEX(Table2[HOME_RECORD], MATCH(Table1[[#This Row],[HomeTeam]],Table2[Team], 0), 0)</f>
        <v>0-0-0</v>
      </c>
      <c r="AQ388" s="64" t="str">
        <f>INDEX(Records!$B$2:$AG$33, MATCH(Table1[[#This Row],[HomeTeam]],Records!$A$2:$A$33, 0), MATCH(Table1[[#This Row],[AwayTeam]],Records!$A$2:$A$33, 0))</f>
        <v>0-0-0</v>
      </c>
    </row>
    <row r="389" spans="1:43" x14ac:dyDescent="0.25">
      <c r="A389" s="1"/>
      <c r="D389" t="s">
        <v>628</v>
      </c>
      <c r="E389" t="s">
        <v>162</v>
      </c>
      <c r="F389" t="s">
        <v>631</v>
      </c>
      <c r="G389" t="s">
        <v>40</v>
      </c>
      <c r="H389" t="s">
        <v>57</v>
      </c>
      <c r="L38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8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89" s="1"/>
      <c r="T389" s="64" t="str">
        <f>IF(Table1[[#This Row],[ActualWinner]]="", "", IF(Table1[[#This Row],[AwayTeam]]=Table1[[#This Row],[ActualWinner]],Table1[[#This Row],[HomeTeam]],Table1[[#This Row],[AwayTeam]]))</f>
        <v/>
      </c>
      <c r="U389" s="64">
        <f>Table1[[#This Row],[ActualAwayScore]]-Table1[[#This Row],[PredictedAwayScore]]</f>
        <v>0</v>
      </c>
      <c r="V389" s="64">
        <f>Table1[[#This Row],[ActualHomeScore]]-Table1[[#This Row],[PredictedHomeScore]]</f>
        <v>0</v>
      </c>
      <c r="W389" s="64">
        <f>(0.8*IF(Table1[[#This Row],[CorrectWinnerPrediction]]=1, 1, 0))+(0.1*IF(Table1[[#This Row],[CorrectAwayScorePrediction]]=1, 1, 0))+(0.1*IF(Table1[[#This Row],[CorrectHomeScorePrediction]]=1, 1, 0))</f>
        <v>0</v>
      </c>
      <c r="X38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89" s="64">
        <f>SUMIF(Table1[GameDate], Table1[[#This Row],[GameDate]], Table1[AwayGameGoalDiff])</f>
        <v>0</v>
      </c>
      <c r="AA389" s="64">
        <f>SUMIF(Table1[GameDate], Table1[[#This Row],[GameDate]], Table1[HomeGameGoalDiff])</f>
        <v>0</v>
      </c>
      <c r="AB389" s="64">
        <f>IF(ISBLANK(Table1[[#This Row],[ActualResult]]), 0, 1)</f>
        <v>0</v>
      </c>
      <c r="AC389" s="64">
        <f>IF(ISBLANK(Table1[[#This Row],[ActualResult]]), 0, IF(Table1[[#This Row],[ActualWinner]]=Table1[[#This Row],[PredictedWinner]], 1, 0))</f>
        <v>0</v>
      </c>
      <c r="AD38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8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89" s="64">
        <f>IF(AND(Table1[[#This Row],[GameIsOver]]=1,Table1[[#This Row],[ActualAwayScore]]=0), 1,0)</f>
        <v>0</v>
      </c>
      <c r="AG389" s="64">
        <f>IF(AND(Table1[[#This Row],[GameIsOver]]=1,Table1[[#This Row],[ActualHomeScore]]=0), 1,0)</f>
        <v>0</v>
      </c>
      <c r="AH389" s="64">
        <f>IF(Table1[[#This Row],[GameIsOver]]=0,0,IF(Table1[[#This Row],[ActualWinner]]=Table1[[#This Row],[AwayTeam]], 1, 0))</f>
        <v>0</v>
      </c>
      <c r="AI389" s="64">
        <f>IF(Table1[[#This Row],[GameIsOver]]=0,0,IF(Table1[[#This Row],[ActualWinner]]=Table1[[#This Row],[HomeTeam]], 1, 0))</f>
        <v>0</v>
      </c>
      <c r="AJ389" s="64">
        <f>IF(INDEX(Standings!$A$2:$C$33,MATCH(Table1[[#This Row],[AwayTeam]],Standings!$A$2:$A$33,0),2)=INDEX(Standings!$A$2:$C$33,MATCH(Table1[[#This Row],[HomeTeam]],Standings!$A$2:$A$33,0),2),1,0)</f>
        <v>1</v>
      </c>
      <c r="AK389" s="64">
        <f>IF(INDEX(Standings!$A$2:$C$33,MATCH(Table1[[#This Row],[AwayTeam]],Standings!$A$2:$A$33,0),3)=INDEX(Standings!$A$2:$C$33,MATCH(Table1[[#This Row],[HomeTeam]],Standings!$A$2:$A$33,0),3),1,0)</f>
        <v>0</v>
      </c>
      <c r="AL389" s="64">
        <f>IF(Table1[[#This Row],[InterConf]]=1,IF(Table1[[#This Row],[InterDiv]]=0, 1, 0), 0)</f>
        <v>1</v>
      </c>
      <c r="AM389" s="64">
        <f>IF(INDEX(Standings!$A$2:$C$33,MATCH(Table1[[#This Row],[AwayTeam]],Standings!$A$2:$A$33,0),2)&lt;&gt;INDEX(Standings!$A$2:$C$33,MATCH(Table1[[#This Row],[HomeTeam]],Standings!$A$2:$A$33,0),2),1,0)</f>
        <v>0</v>
      </c>
      <c r="AN389" s="64" t="str">
        <f>INDEX(Table2[AWAY_RECORD], MATCH(Table1[[#This Row],[AwayTeam]],Table2[Team], 0), 0)</f>
        <v>0-0-0</v>
      </c>
      <c r="AO389" s="64" t="str">
        <f>INDEX(Records!$B$2:$AG$33, MATCH(Table1[[#This Row],[AwayTeam]],Records!$A$2:$A$33, 0), MATCH(Table1[[#This Row],[HomeTeam]],Records!$A$2:$A$33, 0))</f>
        <v>0-0-0</v>
      </c>
      <c r="AP389" s="64" t="str">
        <f>INDEX(Table2[HOME_RECORD], MATCH(Table1[[#This Row],[HomeTeam]],Table2[Team], 0), 0)</f>
        <v>0-0-0</v>
      </c>
      <c r="AQ389" s="64" t="str">
        <f>INDEX(Records!$B$2:$AG$33, MATCH(Table1[[#This Row],[HomeTeam]],Records!$A$2:$A$33, 0), MATCH(Table1[[#This Row],[AwayTeam]],Records!$A$2:$A$33, 0))</f>
        <v>0-0-0</v>
      </c>
    </row>
    <row r="390" spans="1:43" x14ac:dyDescent="0.25">
      <c r="A390" s="1"/>
      <c r="D390" t="s">
        <v>628</v>
      </c>
      <c r="E390" t="s">
        <v>162</v>
      </c>
      <c r="F390" t="s">
        <v>632</v>
      </c>
      <c r="G390" t="s">
        <v>52</v>
      </c>
      <c r="H390" t="s">
        <v>17</v>
      </c>
      <c r="L39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9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90" s="1"/>
      <c r="T390" s="64" t="str">
        <f>IF(Table1[[#This Row],[ActualWinner]]="", "", IF(Table1[[#This Row],[AwayTeam]]=Table1[[#This Row],[ActualWinner]],Table1[[#This Row],[HomeTeam]],Table1[[#This Row],[AwayTeam]]))</f>
        <v/>
      </c>
      <c r="U390" s="64">
        <f>Table1[[#This Row],[ActualAwayScore]]-Table1[[#This Row],[PredictedAwayScore]]</f>
        <v>0</v>
      </c>
      <c r="V390" s="64">
        <f>Table1[[#This Row],[ActualHomeScore]]-Table1[[#This Row],[PredictedHomeScore]]</f>
        <v>0</v>
      </c>
      <c r="W390" s="64">
        <f>(0.8*IF(Table1[[#This Row],[CorrectWinnerPrediction]]=1, 1, 0))+(0.1*IF(Table1[[#This Row],[CorrectAwayScorePrediction]]=1, 1, 0))+(0.1*IF(Table1[[#This Row],[CorrectHomeScorePrediction]]=1, 1, 0))</f>
        <v>0</v>
      </c>
      <c r="X39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90" s="64">
        <f>SUMIF(Table1[GameDate], Table1[[#This Row],[GameDate]], Table1[AwayGameGoalDiff])</f>
        <v>0</v>
      </c>
      <c r="AA390" s="64">
        <f>SUMIF(Table1[GameDate], Table1[[#This Row],[GameDate]], Table1[HomeGameGoalDiff])</f>
        <v>0</v>
      </c>
      <c r="AB390" s="64">
        <f>IF(ISBLANK(Table1[[#This Row],[ActualResult]]), 0, 1)</f>
        <v>0</v>
      </c>
      <c r="AC390" s="64">
        <f>IF(ISBLANK(Table1[[#This Row],[ActualResult]]), 0, IF(Table1[[#This Row],[ActualWinner]]=Table1[[#This Row],[PredictedWinner]], 1, 0))</f>
        <v>0</v>
      </c>
      <c r="AD39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9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90" s="64">
        <f>IF(AND(Table1[[#This Row],[GameIsOver]]=1,Table1[[#This Row],[ActualAwayScore]]=0), 1,0)</f>
        <v>0</v>
      </c>
      <c r="AG390" s="64">
        <f>IF(AND(Table1[[#This Row],[GameIsOver]]=1,Table1[[#This Row],[ActualHomeScore]]=0), 1,0)</f>
        <v>0</v>
      </c>
      <c r="AH390" s="64">
        <f>IF(Table1[[#This Row],[GameIsOver]]=0,0,IF(Table1[[#This Row],[ActualWinner]]=Table1[[#This Row],[AwayTeam]], 1, 0))</f>
        <v>0</v>
      </c>
      <c r="AI390" s="64">
        <f>IF(Table1[[#This Row],[GameIsOver]]=0,0,IF(Table1[[#This Row],[ActualWinner]]=Table1[[#This Row],[HomeTeam]], 1, 0))</f>
        <v>0</v>
      </c>
      <c r="AJ390" s="64">
        <f>IF(INDEX(Standings!$A$2:$C$33,MATCH(Table1[[#This Row],[AwayTeam]],Standings!$A$2:$A$33,0),2)=INDEX(Standings!$A$2:$C$33,MATCH(Table1[[#This Row],[HomeTeam]],Standings!$A$2:$A$33,0),2),1,0)</f>
        <v>1</v>
      </c>
      <c r="AK390" s="64">
        <f>IF(INDEX(Standings!$A$2:$C$33,MATCH(Table1[[#This Row],[AwayTeam]],Standings!$A$2:$A$33,0),3)=INDEX(Standings!$A$2:$C$33,MATCH(Table1[[#This Row],[HomeTeam]],Standings!$A$2:$A$33,0),3),1,0)</f>
        <v>1</v>
      </c>
      <c r="AL390" s="64">
        <f>IF(Table1[[#This Row],[InterConf]]=1,IF(Table1[[#This Row],[InterDiv]]=0, 1, 0), 0)</f>
        <v>0</v>
      </c>
      <c r="AM390" s="64">
        <f>IF(INDEX(Standings!$A$2:$C$33,MATCH(Table1[[#This Row],[AwayTeam]],Standings!$A$2:$A$33,0),2)&lt;&gt;INDEX(Standings!$A$2:$C$33,MATCH(Table1[[#This Row],[HomeTeam]],Standings!$A$2:$A$33,0),2),1,0)</f>
        <v>0</v>
      </c>
      <c r="AN390" s="64" t="str">
        <f>INDEX(Table2[AWAY_RECORD], MATCH(Table1[[#This Row],[AwayTeam]],Table2[Team], 0), 0)</f>
        <v>0-0-0</v>
      </c>
      <c r="AO390" s="64" t="str">
        <f>INDEX(Records!$B$2:$AG$33, MATCH(Table1[[#This Row],[AwayTeam]],Records!$A$2:$A$33, 0), MATCH(Table1[[#This Row],[HomeTeam]],Records!$A$2:$A$33, 0))</f>
        <v>0-0-0</v>
      </c>
      <c r="AP390" s="64" t="str">
        <f>INDEX(Table2[HOME_RECORD], MATCH(Table1[[#This Row],[HomeTeam]],Table2[Team], 0), 0)</f>
        <v>0-0-0</v>
      </c>
      <c r="AQ390" s="64" t="str">
        <f>INDEX(Records!$B$2:$AG$33, MATCH(Table1[[#This Row],[HomeTeam]],Records!$A$2:$A$33, 0), MATCH(Table1[[#This Row],[AwayTeam]],Records!$A$2:$A$33, 0))</f>
        <v>0-0-0</v>
      </c>
    </row>
    <row r="391" spans="1:43" x14ac:dyDescent="0.25">
      <c r="A391" s="1"/>
      <c r="D391" t="s">
        <v>628</v>
      </c>
      <c r="E391" t="s">
        <v>162</v>
      </c>
      <c r="F391" t="s">
        <v>633</v>
      </c>
      <c r="G391" t="s">
        <v>61</v>
      </c>
      <c r="H391" t="s">
        <v>50</v>
      </c>
      <c r="L39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9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91" s="1"/>
      <c r="T391" s="64" t="str">
        <f>IF(Table1[[#This Row],[ActualWinner]]="", "", IF(Table1[[#This Row],[AwayTeam]]=Table1[[#This Row],[ActualWinner]],Table1[[#This Row],[HomeTeam]],Table1[[#This Row],[AwayTeam]]))</f>
        <v/>
      </c>
      <c r="U391" s="64">
        <f>Table1[[#This Row],[ActualAwayScore]]-Table1[[#This Row],[PredictedAwayScore]]</f>
        <v>0</v>
      </c>
      <c r="V391" s="64">
        <f>Table1[[#This Row],[ActualHomeScore]]-Table1[[#This Row],[PredictedHomeScore]]</f>
        <v>0</v>
      </c>
      <c r="W391" s="64">
        <f>(0.8*IF(Table1[[#This Row],[CorrectWinnerPrediction]]=1, 1, 0))+(0.1*IF(Table1[[#This Row],[CorrectAwayScorePrediction]]=1, 1, 0))+(0.1*IF(Table1[[#This Row],[CorrectHomeScorePrediction]]=1, 1, 0))</f>
        <v>0</v>
      </c>
      <c r="X39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91" s="64">
        <f>SUMIF(Table1[GameDate], Table1[[#This Row],[GameDate]], Table1[AwayGameGoalDiff])</f>
        <v>0</v>
      </c>
      <c r="AA391" s="64">
        <f>SUMIF(Table1[GameDate], Table1[[#This Row],[GameDate]], Table1[HomeGameGoalDiff])</f>
        <v>0</v>
      </c>
      <c r="AB391" s="64">
        <f>IF(ISBLANK(Table1[[#This Row],[ActualResult]]), 0, 1)</f>
        <v>0</v>
      </c>
      <c r="AC391" s="64">
        <f>IF(ISBLANK(Table1[[#This Row],[ActualResult]]), 0, IF(Table1[[#This Row],[ActualWinner]]=Table1[[#This Row],[PredictedWinner]], 1, 0))</f>
        <v>0</v>
      </c>
      <c r="AD39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9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91" s="64">
        <f>IF(AND(Table1[[#This Row],[GameIsOver]]=1,Table1[[#This Row],[ActualAwayScore]]=0), 1,0)</f>
        <v>0</v>
      </c>
      <c r="AG391" s="64">
        <f>IF(AND(Table1[[#This Row],[GameIsOver]]=1,Table1[[#This Row],[ActualHomeScore]]=0), 1,0)</f>
        <v>0</v>
      </c>
      <c r="AH391" s="64">
        <f>IF(Table1[[#This Row],[GameIsOver]]=0,0,IF(Table1[[#This Row],[ActualWinner]]=Table1[[#This Row],[AwayTeam]], 1, 0))</f>
        <v>0</v>
      </c>
      <c r="AI391" s="64">
        <f>IF(Table1[[#This Row],[GameIsOver]]=0,0,IF(Table1[[#This Row],[ActualWinner]]=Table1[[#This Row],[HomeTeam]], 1, 0))</f>
        <v>0</v>
      </c>
      <c r="AJ391" s="64">
        <f>IF(INDEX(Standings!$A$2:$C$33,MATCH(Table1[[#This Row],[AwayTeam]],Standings!$A$2:$A$33,0),2)=INDEX(Standings!$A$2:$C$33,MATCH(Table1[[#This Row],[HomeTeam]],Standings!$A$2:$A$33,0),2),1,0)</f>
        <v>0</v>
      </c>
      <c r="AK391" s="64">
        <f>IF(INDEX(Standings!$A$2:$C$33,MATCH(Table1[[#This Row],[AwayTeam]],Standings!$A$2:$A$33,0),3)=INDEX(Standings!$A$2:$C$33,MATCH(Table1[[#This Row],[HomeTeam]],Standings!$A$2:$A$33,0),3),1,0)</f>
        <v>0</v>
      </c>
      <c r="AL391" s="64">
        <f>IF(Table1[[#This Row],[InterConf]]=1,IF(Table1[[#This Row],[InterDiv]]=0, 1, 0), 0)</f>
        <v>0</v>
      </c>
      <c r="AM391" s="64">
        <f>IF(INDEX(Standings!$A$2:$C$33,MATCH(Table1[[#This Row],[AwayTeam]],Standings!$A$2:$A$33,0),2)&lt;&gt;INDEX(Standings!$A$2:$C$33,MATCH(Table1[[#This Row],[HomeTeam]],Standings!$A$2:$A$33,0),2),1,0)</f>
        <v>1</v>
      </c>
      <c r="AN391" s="64" t="str">
        <f>INDEX(Table2[AWAY_RECORD], MATCH(Table1[[#This Row],[AwayTeam]],Table2[Team], 0), 0)</f>
        <v>0-0-0</v>
      </c>
      <c r="AO391" s="64" t="str">
        <f>INDEX(Records!$B$2:$AG$33, MATCH(Table1[[#This Row],[AwayTeam]],Records!$A$2:$A$33, 0), MATCH(Table1[[#This Row],[HomeTeam]],Records!$A$2:$A$33, 0))</f>
        <v>0-0-0</v>
      </c>
      <c r="AP391" s="64" t="str">
        <f>INDEX(Table2[HOME_RECORD], MATCH(Table1[[#This Row],[HomeTeam]],Table2[Team], 0), 0)</f>
        <v>0-0-0</v>
      </c>
      <c r="AQ391" s="64" t="str">
        <f>INDEX(Records!$B$2:$AG$33, MATCH(Table1[[#This Row],[HomeTeam]],Records!$A$2:$A$33, 0), MATCH(Table1[[#This Row],[AwayTeam]],Records!$A$2:$A$33, 0))</f>
        <v>0-0-0</v>
      </c>
    </row>
    <row r="392" spans="1:43" x14ac:dyDescent="0.25">
      <c r="A392" s="1"/>
      <c r="D392" t="s">
        <v>628</v>
      </c>
      <c r="E392" t="s">
        <v>162</v>
      </c>
      <c r="F392" t="s">
        <v>634</v>
      </c>
      <c r="G392" t="s">
        <v>39</v>
      </c>
      <c r="H392" t="s">
        <v>54</v>
      </c>
      <c r="L39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9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92" s="1"/>
      <c r="T392" s="64" t="str">
        <f>IF(Table1[[#This Row],[ActualWinner]]="", "", IF(Table1[[#This Row],[AwayTeam]]=Table1[[#This Row],[ActualWinner]],Table1[[#This Row],[HomeTeam]],Table1[[#This Row],[AwayTeam]]))</f>
        <v/>
      </c>
      <c r="U392" s="64">
        <f>Table1[[#This Row],[ActualAwayScore]]-Table1[[#This Row],[PredictedAwayScore]]</f>
        <v>0</v>
      </c>
      <c r="V392" s="64">
        <f>Table1[[#This Row],[ActualHomeScore]]-Table1[[#This Row],[PredictedHomeScore]]</f>
        <v>0</v>
      </c>
      <c r="W392" s="64">
        <f>(0.8*IF(Table1[[#This Row],[CorrectWinnerPrediction]]=1, 1, 0))+(0.1*IF(Table1[[#This Row],[CorrectAwayScorePrediction]]=1, 1, 0))+(0.1*IF(Table1[[#This Row],[CorrectHomeScorePrediction]]=1, 1, 0))</f>
        <v>0</v>
      </c>
      <c r="X39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92" s="64">
        <f>SUMIF(Table1[GameDate], Table1[[#This Row],[GameDate]], Table1[AwayGameGoalDiff])</f>
        <v>0</v>
      </c>
      <c r="AA392" s="64">
        <f>SUMIF(Table1[GameDate], Table1[[#This Row],[GameDate]], Table1[HomeGameGoalDiff])</f>
        <v>0</v>
      </c>
      <c r="AB392" s="64">
        <f>IF(ISBLANK(Table1[[#This Row],[ActualResult]]), 0, 1)</f>
        <v>0</v>
      </c>
      <c r="AC392" s="64">
        <f>IF(ISBLANK(Table1[[#This Row],[ActualResult]]), 0, IF(Table1[[#This Row],[ActualWinner]]=Table1[[#This Row],[PredictedWinner]], 1, 0))</f>
        <v>0</v>
      </c>
      <c r="AD39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9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92" s="64">
        <f>IF(AND(Table1[[#This Row],[GameIsOver]]=1,Table1[[#This Row],[ActualAwayScore]]=0), 1,0)</f>
        <v>0</v>
      </c>
      <c r="AG392" s="64">
        <f>IF(AND(Table1[[#This Row],[GameIsOver]]=1,Table1[[#This Row],[ActualHomeScore]]=0), 1,0)</f>
        <v>0</v>
      </c>
      <c r="AH392" s="64">
        <f>IF(Table1[[#This Row],[GameIsOver]]=0,0,IF(Table1[[#This Row],[ActualWinner]]=Table1[[#This Row],[AwayTeam]], 1, 0))</f>
        <v>0</v>
      </c>
      <c r="AI392" s="64">
        <f>IF(Table1[[#This Row],[GameIsOver]]=0,0,IF(Table1[[#This Row],[ActualWinner]]=Table1[[#This Row],[HomeTeam]], 1, 0))</f>
        <v>0</v>
      </c>
      <c r="AJ392" s="64">
        <f>IF(INDEX(Standings!$A$2:$C$33,MATCH(Table1[[#This Row],[AwayTeam]],Standings!$A$2:$A$33,0),2)=INDEX(Standings!$A$2:$C$33,MATCH(Table1[[#This Row],[HomeTeam]],Standings!$A$2:$A$33,0),2),1,0)</f>
        <v>0</v>
      </c>
      <c r="AK392" s="64">
        <f>IF(INDEX(Standings!$A$2:$C$33,MATCH(Table1[[#This Row],[AwayTeam]],Standings!$A$2:$A$33,0),3)=INDEX(Standings!$A$2:$C$33,MATCH(Table1[[#This Row],[HomeTeam]],Standings!$A$2:$A$33,0),3),1,0)</f>
        <v>0</v>
      </c>
      <c r="AL392" s="64">
        <f>IF(Table1[[#This Row],[InterConf]]=1,IF(Table1[[#This Row],[InterDiv]]=0, 1, 0), 0)</f>
        <v>0</v>
      </c>
      <c r="AM392" s="64">
        <f>IF(INDEX(Standings!$A$2:$C$33,MATCH(Table1[[#This Row],[AwayTeam]],Standings!$A$2:$A$33,0),2)&lt;&gt;INDEX(Standings!$A$2:$C$33,MATCH(Table1[[#This Row],[HomeTeam]],Standings!$A$2:$A$33,0),2),1,0)</f>
        <v>1</v>
      </c>
      <c r="AN392" s="64" t="str">
        <f>INDEX(Table2[AWAY_RECORD], MATCH(Table1[[#This Row],[AwayTeam]],Table2[Team], 0), 0)</f>
        <v>0-0-0</v>
      </c>
      <c r="AO392" s="64" t="str">
        <f>INDEX(Records!$B$2:$AG$33, MATCH(Table1[[#This Row],[AwayTeam]],Records!$A$2:$A$33, 0), MATCH(Table1[[#This Row],[HomeTeam]],Records!$A$2:$A$33, 0))</f>
        <v>0-0-0</v>
      </c>
      <c r="AP392" s="64" t="str">
        <f>INDEX(Table2[HOME_RECORD], MATCH(Table1[[#This Row],[HomeTeam]],Table2[Team], 0), 0)</f>
        <v>0-0-0</v>
      </c>
      <c r="AQ392" s="64" t="str">
        <f>INDEX(Records!$B$2:$AG$33, MATCH(Table1[[#This Row],[HomeTeam]],Records!$A$2:$A$33, 0), MATCH(Table1[[#This Row],[AwayTeam]],Records!$A$2:$A$33, 0))</f>
        <v>0-0-0</v>
      </c>
    </row>
    <row r="393" spans="1:43" x14ac:dyDescent="0.25">
      <c r="A393" s="1"/>
      <c r="D393" t="s">
        <v>628</v>
      </c>
      <c r="E393" t="s">
        <v>162</v>
      </c>
      <c r="F393" t="s">
        <v>635</v>
      </c>
      <c r="G393" t="s">
        <v>53</v>
      </c>
      <c r="H393" t="s">
        <v>59</v>
      </c>
      <c r="L39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9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93" s="1"/>
      <c r="T393" s="64" t="str">
        <f>IF(Table1[[#This Row],[ActualWinner]]="", "", IF(Table1[[#This Row],[AwayTeam]]=Table1[[#This Row],[ActualWinner]],Table1[[#This Row],[HomeTeam]],Table1[[#This Row],[AwayTeam]]))</f>
        <v/>
      </c>
      <c r="U393" s="64">
        <f>Table1[[#This Row],[ActualAwayScore]]-Table1[[#This Row],[PredictedAwayScore]]</f>
        <v>0</v>
      </c>
      <c r="V393" s="64">
        <f>Table1[[#This Row],[ActualHomeScore]]-Table1[[#This Row],[PredictedHomeScore]]</f>
        <v>0</v>
      </c>
      <c r="W393" s="64">
        <f>(0.8*IF(Table1[[#This Row],[CorrectWinnerPrediction]]=1, 1, 0))+(0.1*IF(Table1[[#This Row],[CorrectAwayScorePrediction]]=1, 1, 0))+(0.1*IF(Table1[[#This Row],[CorrectHomeScorePrediction]]=1, 1, 0))</f>
        <v>0</v>
      </c>
      <c r="X39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93" s="64">
        <f>SUMIF(Table1[GameDate], Table1[[#This Row],[GameDate]], Table1[AwayGameGoalDiff])</f>
        <v>0</v>
      </c>
      <c r="AA393" s="64">
        <f>SUMIF(Table1[GameDate], Table1[[#This Row],[GameDate]], Table1[HomeGameGoalDiff])</f>
        <v>0</v>
      </c>
      <c r="AB393" s="64">
        <f>IF(ISBLANK(Table1[[#This Row],[ActualResult]]), 0, 1)</f>
        <v>0</v>
      </c>
      <c r="AC393" s="64">
        <f>IF(ISBLANK(Table1[[#This Row],[ActualResult]]), 0, IF(Table1[[#This Row],[ActualWinner]]=Table1[[#This Row],[PredictedWinner]], 1, 0))</f>
        <v>0</v>
      </c>
      <c r="AD39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9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93" s="64">
        <f>IF(AND(Table1[[#This Row],[GameIsOver]]=1,Table1[[#This Row],[ActualAwayScore]]=0), 1,0)</f>
        <v>0</v>
      </c>
      <c r="AG393" s="64">
        <f>IF(AND(Table1[[#This Row],[GameIsOver]]=1,Table1[[#This Row],[ActualHomeScore]]=0), 1,0)</f>
        <v>0</v>
      </c>
      <c r="AH393" s="64">
        <f>IF(Table1[[#This Row],[GameIsOver]]=0,0,IF(Table1[[#This Row],[ActualWinner]]=Table1[[#This Row],[AwayTeam]], 1, 0))</f>
        <v>0</v>
      </c>
      <c r="AI393" s="64">
        <f>IF(Table1[[#This Row],[GameIsOver]]=0,0,IF(Table1[[#This Row],[ActualWinner]]=Table1[[#This Row],[HomeTeam]], 1, 0))</f>
        <v>0</v>
      </c>
      <c r="AJ393" s="64">
        <f>IF(INDEX(Standings!$A$2:$C$33,MATCH(Table1[[#This Row],[AwayTeam]],Standings!$A$2:$A$33,0),2)=INDEX(Standings!$A$2:$C$33,MATCH(Table1[[#This Row],[HomeTeam]],Standings!$A$2:$A$33,0),2),1,0)</f>
        <v>1</v>
      </c>
      <c r="AK393" s="64">
        <f>IF(INDEX(Standings!$A$2:$C$33,MATCH(Table1[[#This Row],[AwayTeam]],Standings!$A$2:$A$33,0),3)=INDEX(Standings!$A$2:$C$33,MATCH(Table1[[#This Row],[HomeTeam]],Standings!$A$2:$A$33,0),3),1,0)</f>
        <v>1</v>
      </c>
      <c r="AL393" s="64">
        <f>IF(Table1[[#This Row],[InterConf]]=1,IF(Table1[[#This Row],[InterDiv]]=0, 1, 0), 0)</f>
        <v>0</v>
      </c>
      <c r="AM393" s="64">
        <f>IF(INDEX(Standings!$A$2:$C$33,MATCH(Table1[[#This Row],[AwayTeam]],Standings!$A$2:$A$33,0),2)&lt;&gt;INDEX(Standings!$A$2:$C$33,MATCH(Table1[[#This Row],[HomeTeam]],Standings!$A$2:$A$33,0),2),1,0)</f>
        <v>0</v>
      </c>
      <c r="AN393" s="64" t="str">
        <f>INDEX(Table2[AWAY_RECORD], MATCH(Table1[[#This Row],[AwayTeam]],Table2[Team], 0), 0)</f>
        <v>0-1-0</v>
      </c>
      <c r="AO393" s="64" t="str">
        <f>INDEX(Records!$B$2:$AG$33, MATCH(Table1[[#This Row],[AwayTeam]],Records!$A$2:$A$33, 0), MATCH(Table1[[#This Row],[HomeTeam]],Records!$A$2:$A$33, 0))</f>
        <v>0-0-0</v>
      </c>
      <c r="AP393" s="64" t="str">
        <f>INDEX(Table2[HOME_RECORD], MATCH(Table1[[#This Row],[HomeTeam]],Table2[Team], 0), 0)</f>
        <v>0-0-0</v>
      </c>
      <c r="AQ393" s="64" t="str">
        <f>INDEX(Records!$B$2:$AG$33, MATCH(Table1[[#This Row],[HomeTeam]],Records!$A$2:$A$33, 0), MATCH(Table1[[#This Row],[AwayTeam]],Records!$A$2:$A$33, 0))</f>
        <v>0-0-0</v>
      </c>
    </row>
    <row r="394" spans="1:43" x14ac:dyDescent="0.25">
      <c r="A394" s="1"/>
      <c r="D394" t="s">
        <v>628</v>
      </c>
      <c r="E394" t="s">
        <v>162</v>
      </c>
      <c r="F394" t="s">
        <v>636</v>
      </c>
      <c r="G394" t="s">
        <v>49</v>
      </c>
      <c r="H394" t="s">
        <v>42</v>
      </c>
      <c r="L39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9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94" s="1"/>
      <c r="T394" s="64" t="str">
        <f>IF(Table1[[#This Row],[ActualWinner]]="", "", IF(Table1[[#This Row],[AwayTeam]]=Table1[[#This Row],[ActualWinner]],Table1[[#This Row],[HomeTeam]],Table1[[#This Row],[AwayTeam]]))</f>
        <v/>
      </c>
      <c r="U394" s="64">
        <f>Table1[[#This Row],[ActualAwayScore]]-Table1[[#This Row],[PredictedAwayScore]]</f>
        <v>0</v>
      </c>
      <c r="V394" s="64">
        <f>Table1[[#This Row],[ActualHomeScore]]-Table1[[#This Row],[PredictedHomeScore]]</f>
        <v>0</v>
      </c>
      <c r="W394" s="64">
        <f>(0.8*IF(Table1[[#This Row],[CorrectWinnerPrediction]]=1, 1, 0))+(0.1*IF(Table1[[#This Row],[CorrectAwayScorePrediction]]=1, 1, 0))+(0.1*IF(Table1[[#This Row],[CorrectHomeScorePrediction]]=1, 1, 0))</f>
        <v>0</v>
      </c>
      <c r="X39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94" s="64">
        <f>SUMIF(Table1[GameDate], Table1[[#This Row],[GameDate]], Table1[AwayGameGoalDiff])</f>
        <v>0</v>
      </c>
      <c r="AA394" s="64">
        <f>SUMIF(Table1[GameDate], Table1[[#This Row],[GameDate]], Table1[HomeGameGoalDiff])</f>
        <v>0</v>
      </c>
      <c r="AB394" s="64">
        <f>IF(ISBLANK(Table1[[#This Row],[ActualResult]]), 0, 1)</f>
        <v>0</v>
      </c>
      <c r="AC394" s="64">
        <f>IF(ISBLANK(Table1[[#This Row],[ActualResult]]), 0, IF(Table1[[#This Row],[ActualWinner]]=Table1[[#This Row],[PredictedWinner]], 1, 0))</f>
        <v>0</v>
      </c>
      <c r="AD39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9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94" s="64">
        <f>IF(AND(Table1[[#This Row],[GameIsOver]]=1,Table1[[#This Row],[ActualAwayScore]]=0), 1,0)</f>
        <v>0</v>
      </c>
      <c r="AG394" s="64">
        <f>IF(AND(Table1[[#This Row],[GameIsOver]]=1,Table1[[#This Row],[ActualHomeScore]]=0), 1,0)</f>
        <v>0</v>
      </c>
      <c r="AH394" s="64">
        <f>IF(Table1[[#This Row],[GameIsOver]]=0,0,IF(Table1[[#This Row],[ActualWinner]]=Table1[[#This Row],[AwayTeam]], 1, 0))</f>
        <v>0</v>
      </c>
      <c r="AI394" s="64">
        <f>IF(Table1[[#This Row],[GameIsOver]]=0,0,IF(Table1[[#This Row],[ActualWinner]]=Table1[[#This Row],[HomeTeam]], 1, 0))</f>
        <v>0</v>
      </c>
      <c r="AJ394" s="64">
        <f>IF(INDEX(Standings!$A$2:$C$33,MATCH(Table1[[#This Row],[AwayTeam]],Standings!$A$2:$A$33,0),2)=INDEX(Standings!$A$2:$C$33,MATCH(Table1[[#This Row],[HomeTeam]],Standings!$A$2:$A$33,0),2),1,0)</f>
        <v>1</v>
      </c>
      <c r="AK394" s="64">
        <f>IF(INDEX(Standings!$A$2:$C$33,MATCH(Table1[[#This Row],[AwayTeam]],Standings!$A$2:$A$33,0),3)=INDEX(Standings!$A$2:$C$33,MATCH(Table1[[#This Row],[HomeTeam]],Standings!$A$2:$A$33,0),3),1,0)</f>
        <v>1</v>
      </c>
      <c r="AL394" s="64">
        <f>IF(Table1[[#This Row],[InterConf]]=1,IF(Table1[[#This Row],[InterDiv]]=0, 1, 0), 0)</f>
        <v>0</v>
      </c>
      <c r="AM394" s="64">
        <f>IF(INDEX(Standings!$A$2:$C$33,MATCH(Table1[[#This Row],[AwayTeam]],Standings!$A$2:$A$33,0),2)&lt;&gt;INDEX(Standings!$A$2:$C$33,MATCH(Table1[[#This Row],[HomeTeam]],Standings!$A$2:$A$33,0),2),1,0)</f>
        <v>0</v>
      </c>
      <c r="AN394" s="64" t="str">
        <f>INDEX(Table2[AWAY_RECORD], MATCH(Table1[[#This Row],[AwayTeam]],Table2[Team], 0), 0)</f>
        <v>0-0-0</v>
      </c>
      <c r="AO394" s="64" t="str">
        <f>INDEX(Records!$B$2:$AG$33, MATCH(Table1[[#This Row],[AwayTeam]],Records!$A$2:$A$33, 0), MATCH(Table1[[#This Row],[HomeTeam]],Records!$A$2:$A$33, 0))</f>
        <v>0-0-0</v>
      </c>
      <c r="AP394" s="64" t="str">
        <f>INDEX(Table2[HOME_RECORD], MATCH(Table1[[#This Row],[HomeTeam]],Table2[Team], 0), 0)</f>
        <v>1-0-0</v>
      </c>
      <c r="AQ394" s="64" t="str">
        <f>INDEX(Records!$B$2:$AG$33, MATCH(Table1[[#This Row],[HomeTeam]],Records!$A$2:$A$33, 0), MATCH(Table1[[#This Row],[AwayTeam]],Records!$A$2:$A$33, 0))</f>
        <v>0-0-0</v>
      </c>
    </row>
    <row r="395" spans="1:43" x14ac:dyDescent="0.25">
      <c r="A395" s="1"/>
      <c r="D395" t="s">
        <v>628</v>
      </c>
      <c r="E395" t="s">
        <v>289</v>
      </c>
      <c r="F395" t="s">
        <v>637</v>
      </c>
      <c r="G395" t="s">
        <v>23</v>
      </c>
      <c r="H395" t="s">
        <v>44</v>
      </c>
      <c r="L39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9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95" s="1"/>
      <c r="T395" s="64" t="str">
        <f>IF(Table1[[#This Row],[ActualWinner]]="", "", IF(Table1[[#This Row],[AwayTeam]]=Table1[[#This Row],[ActualWinner]],Table1[[#This Row],[HomeTeam]],Table1[[#This Row],[AwayTeam]]))</f>
        <v/>
      </c>
      <c r="U395" s="64">
        <f>Table1[[#This Row],[ActualAwayScore]]-Table1[[#This Row],[PredictedAwayScore]]</f>
        <v>0</v>
      </c>
      <c r="V395" s="64">
        <f>Table1[[#This Row],[ActualHomeScore]]-Table1[[#This Row],[PredictedHomeScore]]</f>
        <v>0</v>
      </c>
      <c r="W395" s="64">
        <f>(0.8*IF(Table1[[#This Row],[CorrectWinnerPrediction]]=1, 1, 0))+(0.1*IF(Table1[[#This Row],[CorrectAwayScorePrediction]]=1, 1, 0))+(0.1*IF(Table1[[#This Row],[CorrectHomeScorePrediction]]=1, 1, 0))</f>
        <v>0</v>
      </c>
      <c r="X39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95" s="64">
        <f>SUMIF(Table1[GameDate], Table1[[#This Row],[GameDate]], Table1[AwayGameGoalDiff])</f>
        <v>0</v>
      </c>
      <c r="AA395" s="64">
        <f>SUMIF(Table1[GameDate], Table1[[#This Row],[GameDate]], Table1[HomeGameGoalDiff])</f>
        <v>0</v>
      </c>
      <c r="AB395" s="64">
        <f>IF(ISBLANK(Table1[[#This Row],[ActualResult]]), 0, 1)</f>
        <v>0</v>
      </c>
      <c r="AC395" s="64">
        <f>IF(ISBLANK(Table1[[#This Row],[ActualResult]]), 0, IF(Table1[[#This Row],[ActualWinner]]=Table1[[#This Row],[PredictedWinner]], 1, 0))</f>
        <v>0</v>
      </c>
      <c r="AD39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9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95" s="64">
        <f>IF(AND(Table1[[#This Row],[GameIsOver]]=1,Table1[[#This Row],[ActualAwayScore]]=0), 1,0)</f>
        <v>0</v>
      </c>
      <c r="AG395" s="64">
        <f>IF(AND(Table1[[#This Row],[GameIsOver]]=1,Table1[[#This Row],[ActualHomeScore]]=0), 1,0)</f>
        <v>0</v>
      </c>
      <c r="AH395" s="64">
        <f>IF(Table1[[#This Row],[GameIsOver]]=0,0,IF(Table1[[#This Row],[ActualWinner]]=Table1[[#This Row],[AwayTeam]], 1, 0))</f>
        <v>0</v>
      </c>
      <c r="AI395" s="64">
        <f>IF(Table1[[#This Row],[GameIsOver]]=0,0,IF(Table1[[#This Row],[ActualWinner]]=Table1[[#This Row],[HomeTeam]], 1, 0))</f>
        <v>0</v>
      </c>
      <c r="AJ395" s="64">
        <f>IF(INDEX(Standings!$A$2:$C$33,MATCH(Table1[[#This Row],[AwayTeam]],Standings!$A$2:$A$33,0),2)=INDEX(Standings!$A$2:$C$33,MATCH(Table1[[#This Row],[HomeTeam]],Standings!$A$2:$A$33,0),2),1,0)</f>
        <v>0</v>
      </c>
      <c r="AK395" s="64">
        <f>IF(INDEX(Standings!$A$2:$C$33,MATCH(Table1[[#This Row],[AwayTeam]],Standings!$A$2:$A$33,0),3)=INDEX(Standings!$A$2:$C$33,MATCH(Table1[[#This Row],[HomeTeam]],Standings!$A$2:$A$33,0),3),1,0)</f>
        <v>0</v>
      </c>
      <c r="AL395" s="64">
        <f>IF(Table1[[#This Row],[InterConf]]=1,IF(Table1[[#This Row],[InterDiv]]=0, 1, 0), 0)</f>
        <v>0</v>
      </c>
      <c r="AM395" s="64">
        <f>IF(INDEX(Standings!$A$2:$C$33,MATCH(Table1[[#This Row],[AwayTeam]],Standings!$A$2:$A$33,0),2)&lt;&gt;INDEX(Standings!$A$2:$C$33,MATCH(Table1[[#This Row],[HomeTeam]],Standings!$A$2:$A$33,0),2),1,0)</f>
        <v>1</v>
      </c>
      <c r="AN395" s="64" t="str">
        <f>INDEX(Table2[AWAY_RECORD], MATCH(Table1[[#This Row],[AwayTeam]],Table2[Team], 0), 0)</f>
        <v>0-0-1</v>
      </c>
      <c r="AO395" s="64" t="str">
        <f>INDEX(Records!$B$2:$AG$33, MATCH(Table1[[#This Row],[AwayTeam]],Records!$A$2:$A$33, 0), MATCH(Table1[[#This Row],[HomeTeam]],Records!$A$2:$A$33, 0))</f>
        <v>0-0-0</v>
      </c>
      <c r="AP395" s="64" t="str">
        <f>INDEX(Table2[HOME_RECORD], MATCH(Table1[[#This Row],[HomeTeam]],Table2[Team], 0), 0)</f>
        <v>0-0-1</v>
      </c>
      <c r="AQ395" s="64" t="str">
        <f>INDEX(Records!$B$2:$AG$33, MATCH(Table1[[#This Row],[HomeTeam]],Records!$A$2:$A$33, 0), MATCH(Table1[[#This Row],[AwayTeam]],Records!$A$2:$A$33, 0))</f>
        <v>0-0-0</v>
      </c>
    </row>
    <row r="396" spans="1:43" x14ac:dyDescent="0.25">
      <c r="A396" s="1"/>
      <c r="D396" t="s">
        <v>628</v>
      </c>
      <c r="E396" t="s">
        <v>178</v>
      </c>
      <c r="F396" t="s">
        <v>638</v>
      </c>
      <c r="G396" t="s">
        <v>48</v>
      </c>
      <c r="H396" t="s">
        <v>43</v>
      </c>
      <c r="L39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9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96" s="1"/>
      <c r="T396" s="64" t="str">
        <f>IF(Table1[[#This Row],[ActualWinner]]="", "", IF(Table1[[#This Row],[AwayTeam]]=Table1[[#This Row],[ActualWinner]],Table1[[#This Row],[HomeTeam]],Table1[[#This Row],[AwayTeam]]))</f>
        <v/>
      </c>
      <c r="U396" s="64">
        <f>Table1[[#This Row],[ActualAwayScore]]-Table1[[#This Row],[PredictedAwayScore]]</f>
        <v>0</v>
      </c>
      <c r="V396" s="64">
        <f>Table1[[#This Row],[ActualHomeScore]]-Table1[[#This Row],[PredictedHomeScore]]</f>
        <v>0</v>
      </c>
      <c r="W396" s="64">
        <f>(0.8*IF(Table1[[#This Row],[CorrectWinnerPrediction]]=1, 1, 0))+(0.1*IF(Table1[[#This Row],[CorrectAwayScorePrediction]]=1, 1, 0))+(0.1*IF(Table1[[#This Row],[CorrectHomeScorePrediction]]=1, 1, 0))</f>
        <v>0</v>
      </c>
      <c r="X39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96" s="64">
        <f>SUMIF(Table1[GameDate], Table1[[#This Row],[GameDate]], Table1[AwayGameGoalDiff])</f>
        <v>0</v>
      </c>
      <c r="AA396" s="64">
        <f>SUMIF(Table1[GameDate], Table1[[#This Row],[GameDate]], Table1[HomeGameGoalDiff])</f>
        <v>0</v>
      </c>
      <c r="AB396" s="64">
        <f>IF(ISBLANK(Table1[[#This Row],[ActualResult]]), 0, 1)</f>
        <v>0</v>
      </c>
      <c r="AC396" s="64">
        <f>IF(ISBLANK(Table1[[#This Row],[ActualResult]]), 0, IF(Table1[[#This Row],[ActualWinner]]=Table1[[#This Row],[PredictedWinner]], 1, 0))</f>
        <v>0</v>
      </c>
      <c r="AD39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9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96" s="64">
        <f>IF(AND(Table1[[#This Row],[GameIsOver]]=1,Table1[[#This Row],[ActualAwayScore]]=0), 1,0)</f>
        <v>0</v>
      </c>
      <c r="AG396" s="64">
        <f>IF(AND(Table1[[#This Row],[GameIsOver]]=1,Table1[[#This Row],[ActualHomeScore]]=0), 1,0)</f>
        <v>0</v>
      </c>
      <c r="AH396" s="64">
        <f>IF(Table1[[#This Row],[GameIsOver]]=0,0,IF(Table1[[#This Row],[ActualWinner]]=Table1[[#This Row],[AwayTeam]], 1, 0))</f>
        <v>0</v>
      </c>
      <c r="AI396" s="64">
        <f>IF(Table1[[#This Row],[GameIsOver]]=0,0,IF(Table1[[#This Row],[ActualWinner]]=Table1[[#This Row],[HomeTeam]], 1, 0))</f>
        <v>0</v>
      </c>
      <c r="AJ396" s="64">
        <f>IF(INDEX(Standings!$A$2:$C$33,MATCH(Table1[[#This Row],[AwayTeam]],Standings!$A$2:$A$33,0),2)=INDEX(Standings!$A$2:$C$33,MATCH(Table1[[#This Row],[HomeTeam]],Standings!$A$2:$A$33,0),2),1,0)</f>
        <v>1</v>
      </c>
      <c r="AK396" s="64">
        <f>IF(INDEX(Standings!$A$2:$C$33,MATCH(Table1[[#This Row],[AwayTeam]],Standings!$A$2:$A$33,0),3)=INDEX(Standings!$A$2:$C$33,MATCH(Table1[[#This Row],[HomeTeam]],Standings!$A$2:$A$33,0),3),1,0)</f>
        <v>1</v>
      </c>
      <c r="AL396" s="64">
        <f>IF(Table1[[#This Row],[InterConf]]=1,IF(Table1[[#This Row],[InterDiv]]=0, 1, 0), 0)</f>
        <v>0</v>
      </c>
      <c r="AM396" s="64">
        <f>IF(INDEX(Standings!$A$2:$C$33,MATCH(Table1[[#This Row],[AwayTeam]],Standings!$A$2:$A$33,0),2)&lt;&gt;INDEX(Standings!$A$2:$C$33,MATCH(Table1[[#This Row],[HomeTeam]],Standings!$A$2:$A$33,0),2),1,0)</f>
        <v>0</v>
      </c>
      <c r="AN396" s="64" t="str">
        <f>INDEX(Table2[AWAY_RECORD], MATCH(Table1[[#This Row],[AwayTeam]],Table2[Team], 0), 0)</f>
        <v>0-0-0</v>
      </c>
      <c r="AO396" s="64" t="str">
        <f>INDEX(Records!$B$2:$AG$33, MATCH(Table1[[#This Row],[AwayTeam]],Records!$A$2:$A$33, 0), MATCH(Table1[[#This Row],[HomeTeam]],Records!$A$2:$A$33, 0))</f>
        <v>0-0-0</v>
      </c>
      <c r="AP396" s="64" t="str">
        <f>INDEX(Table2[HOME_RECORD], MATCH(Table1[[#This Row],[HomeTeam]],Table2[Team], 0), 0)</f>
        <v>0-0-0</v>
      </c>
      <c r="AQ396" s="64" t="str">
        <f>INDEX(Records!$B$2:$AG$33, MATCH(Table1[[#This Row],[HomeTeam]],Records!$A$2:$A$33, 0), MATCH(Table1[[#This Row],[AwayTeam]],Records!$A$2:$A$33, 0))</f>
        <v>0-0-0</v>
      </c>
    </row>
    <row r="397" spans="1:43" x14ac:dyDescent="0.25">
      <c r="A397" s="1"/>
      <c r="D397" t="s">
        <v>628</v>
      </c>
      <c r="E397" t="s">
        <v>178</v>
      </c>
      <c r="F397" t="s">
        <v>639</v>
      </c>
      <c r="G397" t="s">
        <v>58</v>
      </c>
      <c r="H397" t="s">
        <v>22</v>
      </c>
      <c r="L39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9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97" s="1"/>
      <c r="T397" s="64" t="str">
        <f>IF(Table1[[#This Row],[ActualWinner]]="", "", IF(Table1[[#This Row],[AwayTeam]]=Table1[[#This Row],[ActualWinner]],Table1[[#This Row],[HomeTeam]],Table1[[#This Row],[AwayTeam]]))</f>
        <v/>
      </c>
      <c r="U397" s="64">
        <f>Table1[[#This Row],[ActualAwayScore]]-Table1[[#This Row],[PredictedAwayScore]]</f>
        <v>0</v>
      </c>
      <c r="V397" s="64">
        <f>Table1[[#This Row],[ActualHomeScore]]-Table1[[#This Row],[PredictedHomeScore]]</f>
        <v>0</v>
      </c>
      <c r="W397" s="64">
        <f>(0.8*IF(Table1[[#This Row],[CorrectWinnerPrediction]]=1, 1, 0))+(0.1*IF(Table1[[#This Row],[CorrectAwayScorePrediction]]=1, 1, 0))+(0.1*IF(Table1[[#This Row],[CorrectHomeScorePrediction]]=1, 1, 0))</f>
        <v>0</v>
      </c>
      <c r="X39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97" s="64">
        <f>SUMIF(Table1[GameDate], Table1[[#This Row],[GameDate]], Table1[AwayGameGoalDiff])</f>
        <v>0</v>
      </c>
      <c r="AA397" s="64">
        <f>SUMIF(Table1[GameDate], Table1[[#This Row],[GameDate]], Table1[HomeGameGoalDiff])</f>
        <v>0</v>
      </c>
      <c r="AB397" s="64">
        <f>IF(ISBLANK(Table1[[#This Row],[ActualResult]]), 0, 1)</f>
        <v>0</v>
      </c>
      <c r="AC397" s="64">
        <f>IF(ISBLANK(Table1[[#This Row],[ActualResult]]), 0, IF(Table1[[#This Row],[ActualWinner]]=Table1[[#This Row],[PredictedWinner]], 1, 0))</f>
        <v>0</v>
      </c>
      <c r="AD39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9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97" s="64">
        <f>IF(AND(Table1[[#This Row],[GameIsOver]]=1,Table1[[#This Row],[ActualAwayScore]]=0), 1,0)</f>
        <v>0</v>
      </c>
      <c r="AG397" s="64">
        <f>IF(AND(Table1[[#This Row],[GameIsOver]]=1,Table1[[#This Row],[ActualHomeScore]]=0), 1,0)</f>
        <v>0</v>
      </c>
      <c r="AH397" s="64">
        <f>IF(Table1[[#This Row],[GameIsOver]]=0,0,IF(Table1[[#This Row],[ActualWinner]]=Table1[[#This Row],[AwayTeam]], 1, 0))</f>
        <v>0</v>
      </c>
      <c r="AI397" s="64">
        <f>IF(Table1[[#This Row],[GameIsOver]]=0,0,IF(Table1[[#This Row],[ActualWinner]]=Table1[[#This Row],[HomeTeam]], 1, 0))</f>
        <v>0</v>
      </c>
      <c r="AJ397" s="64">
        <f>IF(INDEX(Standings!$A$2:$C$33,MATCH(Table1[[#This Row],[AwayTeam]],Standings!$A$2:$A$33,0),2)=INDEX(Standings!$A$2:$C$33,MATCH(Table1[[#This Row],[HomeTeam]],Standings!$A$2:$A$33,0),2),1,0)</f>
        <v>1</v>
      </c>
      <c r="AK397" s="64">
        <f>IF(INDEX(Standings!$A$2:$C$33,MATCH(Table1[[#This Row],[AwayTeam]],Standings!$A$2:$A$33,0),3)=INDEX(Standings!$A$2:$C$33,MATCH(Table1[[#This Row],[HomeTeam]],Standings!$A$2:$A$33,0),3),1,0)</f>
        <v>1</v>
      </c>
      <c r="AL397" s="64">
        <f>IF(Table1[[#This Row],[InterConf]]=1,IF(Table1[[#This Row],[InterDiv]]=0, 1, 0), 0)</f>
        <v>0</v>
      </c>
      <c r="AM397" s="64">
        <f>IF(INDEX(Standings!$A$2:$C$33,MATCH(Table1[[#This Row],[AwayTeam]],Standings!$A$2:$A$33,0),2)&lt;&gt;INDEX(Standings!$A$2:$C$33,MATCH(Table1[[#This Row],[HomeTeam]],Standings!$A$2:$A$33,0),2),1,0)</f>
        <v>0</v>
      </c>
      <c r="AN397" s="64" t="str">
        <f>INDEX(Table2[AWAY_RECORD], MATCH(Table1[[#This Row],[AwayTeam]],Table2[Team], 0), 0)</f>
        <v>0-0-0</v>
      </c>
      <c r="AO397" s="64" t="str">
        <f>INDEX(Records!$B$2:$AG$33, MATCH(Table1[[#This Row],[AwayTeam]],Records!$A$2:$A$33, 0), MATCH(Table1[[#This Row],[HomeTeam]],Records!$A$2:$A$33, 0))</f>
        <v>0-0-0</v>
      </c>
      <c r="AP397" s="64" t="str">
        <f>INDEX(Table2[HOME_RECORD], MATCH(Table1[[#This Row],[HomeTeam]],Table2[Team], 0), 0)</f>
        <v>0-0-0</v>
      </c>
      <c r="AQ397" s="64" t="str">
        <f>INDEX(Records!$B$2:$AG$33, MATCH(Table1[[#This Row],[HomeTeam]],Records!$A$2:$A$33, 0), MATCH(Table1[[#This Row],[AwayTeam]],Records!$A$2:$A$33, 0))</f>
        <v>0-0-0</v>
      </c>
    </row>
    <row r="398" spans="1:43" x14ac:dyDescent="0.25">
      <c r="A398" s="1"/>
      <c r="D398" t="s">
        <v>628</v>
      </c>
      <c r="E398" t="s">
        <v>166</v>
      </c>
      <c r="F398" t="s">
        <v>640</v>
      </c>
      <c r="G398" t="s">
        <v>47</v>
      </c>
      <c r="H398" t="s">
        <v>41</v>
      </c>
      <c r="L39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9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98" s="1"/>
      <c r="T398" s="64" t="str">
        <f>IF(Table1[[#This Row],[ActualWinner]]="", "", IF(Table1[[#This Row],[AwayTeam]]=Table1[[#This Row],[ActualWinner]],Table1[[#This Row],[HomeTeam]],Table1[[#This Row],[AwayTeam]]))</f>
        <v/>
      </c>
      <c r="U398" s="64">
        <f>Table1[[#This Row],[ActualAwayScore]]-Table1[[#This Row],[PredictedAwayScore]]</f>
        <v>0</v>
      </c>
      <c r="V398" s="64">
        <f>Table1[[#This Row],[ActualHomeScore]]-Table1[[#This Row],[PredictedHomeScore]]</f>
        <v>0</v>
      </c>
      <c r="W398" s="64">
        <f>(0.8*IF(Table1[[#This Row],[CorrectWinnerPrediction]]=1, 1, 0))+(0.1*IF(Table1[[#This Row],[CorrectAwayScorePrediction]]=1, 1, 0))+(0.1*IF(Table1[[#This Row],[CorrectHomeScorePrediction]]=1, 1, 0))</f>
        <v>0</v>
      </c>
      <c r="X39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98" s="64">
        <f>SUMIF(Table1[GameDate], Table1[[#This Row],[GameDate]], Table1[AwayGameGoalDiff])</f>
        <v>0</v>
      </c>
      <c r="AA398" s="64">
        <f>SUMIF(Table1[GameDate], Table1[[#This Row],[GameDate]], Table1[HomeGameGoalDiff])</f>
        <v>0</v>
      </c>
      <c r="AB398" s="64">
        <f>IF(ISBLANK(Table1[[#This Row],[ActualResult]]), 0, 1)</f>
        <v>0</v>
      </c>
      <c r="AC398" s="64">
        <f>IF(ISBLANK(Table1[[#This Row],[ActualResult]]), 0, IF(Table1[[#This Row],[ActualWinner]]=Table1[[#This Row],[PredictedWinner]], 1, 0))</f>
        <v>0</v>
      </c>
      <c r="AD39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9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98" s="64">
        <f>IF(AND(Table1[[#This Row],[GameIsOver]]=1,Table1[[#This Row],[ActualAwayScore]]=0), 1,0)</f>
        <v>0</v>
      </c>
      <c r="AG398" s="64">
        <f>IF(AND(Table1[[#This Row],[GameIsOver]]=1,Table1[[#This Row],[ActualHomeScore]]=0), 1,0)</f>
        <v>0</v>
      </c>
      <c r="AH398" s="64">
        <f>IF(Table1[[#This Row],[GameIsOver]]=0,0,IF(Table1[[#This Row],[ActualWinner]]=Table1[[#This Row],[AwayTeam]], 1, 0))</f>
        <v>0</v>
      </c>
      <c r="AI398" s="64">
        <f>IF(Table1[[#This Row],[GameIsOver]]=0,0,IF(Table1[[#This Row],[ActualWinner]]=Table1[[#This Row],[HomeTeam]], 1, 0))</f>
        <v>0</v>
      </c>
      <c r="AJ398" s="64">
        <f>IF(INDEX(Standings!$A$2:$C$33,MATCH(Table1[[#This Row],[AwayTeam]],Standings!$A$2:$A$33,0),2)=INDEX(Standings!$A$2:$C$33,MATCH(Table1[[#This Row],[HomeTeam]],Standings!$A$2:$A$33,0),2),1,0)</f>
        <v>0</v>
      </c>
      <c r="AK398" s="64">
        <f>IF(INDEX(Standings!$A$2:$C$33,MATCH(Table1[[#This Row],[AwayTeam]],Standings!$A$2:$A$33,0),3)=INDEX(Standings!$A$2:$C$33,MATCH(Table1[[#This Row],[HomeTeam]],Standings!$A$2:$A$33,0),3),1,0)</f>
        <v>0</v>
      </c>
      <c r="AL398" s="64">
        <f>IF(Table1[[#This Row],[InterConf]]=1,IF(Table1[[#This Row],[InterDiv]]=0, 1, 0), 0)</f>
        <v>0</v>
      </c>
      <c r="AM398" s="64">
        <f>IF(INDEX(Standings!$A$2:$C$33,MATCH(Table1[[#This Row],[AwayTeam]],Standings!$A$2:$A$33,0),2)&lt;&gt;INDEX(Standings!$A$2:$C$33,MATCH(Table1[[#This Row],[HomeTeam]],Standings!$A$2:$A$33,0),2),1,0)</f>
        <v>1</v>
      </c>
      <c r="AN398" s="64" t="str">
        <f>INDEX(Table2[AWAY_RECORD], MATCH(Table1[[#This Row],[AwayTeam]],Table2[Team], 0), 0)</f>
        <v>1-0-0</v>
      </c>
      <c r="AO398" s="64" t="str">
        <f>INDEX(Records!$B$2:$AG$33, MATCH(Table1[[#This Row],[AwayTeam]],Records!$A$2:$A$33, 0), MATCH(Table1[[#This Row],[HomeTeam]],Records!$A$2:$A$33, 0))</f>
        <v>0-0-0</v>
      </c>
      <c r="AP398" s="64" t="str">
        <f>INDEX(Table2[HOME_RECORD], MATCH(Table1[[#This Row],[HomeTeam]],Table2[Team], 0), 0)</f>
        <v>0-0-1</v>
      </c>
      <c r="AQ398" s="64" t="str">
        <f>INDEX(Records!$B$2:$AG$33, MATCH(Table1[[#This Row],[HomeTeam]],Records!$A$2:$A$33, 0), MATCH(Table1[[#This Row],[AwayTeam]],Records!$A$2:$A$33, 0))</f>
        <v>0-0-0</v>
      </c>
    </row>
    <row r="399" spans="1:43" x14ac:dyDescent="0.25">
      <c r="A399" s="1"/>
      <c r="D399" t="s">
        <v>628</v>
      </c>
      <c r="E399" t="s">
        <v>166</v>
      </c>
      <c r="F399" t="s">
        <v>641</v>
      </c>
      <c r="G399" t="s">
        <v>55</v>
      </c>
      <c r="H399" t="s">
        <v>36</v>
      </c>
      <c r="L39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39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399" s="1"/>
      <c r="T399" s="64" t="str">
        <f>IF(Table1[[#This Row],[ActualWinner]]="", "", IF(Table1[[#This Row],[AwayTeam]]=Table1[[#This Row],[ActualWinner]],Table1[[#This Row],[HomeTeam]],Table1[[#This Row],[AwayTeam]]))</f>
        <v/>
      </c>
      <c r="U399" s="64">
        <f>Table1[[#This Row],[ActualAwayScore]]-Table1[[#This Row],[PredictedAwayScore]]</f>
        <v>0</v>
      </c>
      <c r="V399" s="64">
        <f>Table1[[#This Row],[ActualHomeScore]]-Table1[[#This Row],[PredictedHomeScore]]</f>
        <v>0</v>
      </c>
      <c r="W399" s="64">
        <f>(0.8*IF(Table1[[#This Row],[CorrectWinnerPrediction]]=1, 1, 0))+(0.1*IF(Table1[[#This Row],[CorrectAwayScorePrediction]]=1, 1, 0))+(0.1*IF(Table1[[#This Row],[CorrectHomeScorePrediction]]=1, 1, 0))</f>
        <v>0</v>
      </c>
      <c r="X39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399" s="64">
        <f>SUMIF(Table1[GameDate], Table1[[#This Row],[GameDate]], Table1[AwayGameGoalDiff])</f>
        <v>0</v>
      </c>
      <c r="AA399" s="64">
        <f>SUMIF(Table1[GameDate], Table1[[#This Row],[GameDate]], Table1[HomeGameGoalDiff])</f>
        <v>0</v>
      </c>
      <c r="AB399" s="64">
        <f>IF(ISBLANK(Table1[[#This Row],[ActualResult]]), 0, 1)</f>
        <v>0</v>
      </c>
      <c r="AC399" s="64">
        <f>IF(ISBLANK(Table1[[#This Row],[ActualResult]]), 0, IF(Table1[[#This Row],[ActualWinner]]=Table1[[#This Row],[PredictedWinner]], 1, 0))</f>
        <v>0</v>
      </c>
      <c r="AD39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9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399" s="64">
        <f>IF(AND(Table1[[#This Row],[GameIsOver]]=1,Table1[[#This Row],[ActualAwayScore]]=0), 1,0)</f>
        <v>0</v>
      </c>
      <c r="AG399" s="64">
        <f>IF(AND(Table1[[#This Row],[GameIsOver]]=1,Table1[[#This Row],[ActualHomeScore]]=0), 1,0)</f>
        <v>0</v>
      </c>
      <c r="AH399" s="64">
        <f>IF(Table1[[#This Row],[GameIsOver]]=0,0,IF(Table1[[#This Row],[ActualWinner]]=Table1[[#This Row],[AwayTeam]], 1, 0))</f>
        <v>0</v>
      </c>
      <c r="AI399" s="64">
        <f>IF(Table1[[#This Row],[GameIsOver]]=0,0,IF(Table1[[#This Row],[ActualWinner]]=Table1[[#This Row],[HomeTeam]], 1, 0))</f>
        <v>0</v>
      </c>
      <c r="AJ399" s="64">
        <f>IF(INDEX(Standings!$A$2:$C$33,MATCH(Table1[[#This Row],[AwayTeam]],Standings!$A$2:$A$33,0),2)=INDEX(Standings!$A$2:$C$33,MATCH(Table1[[#This Row],[HomeTeam]],Standings!$A$2:$A$33,0),2),1,0)</f>
        <v>1</v>
      </c>
      <c r="AK399" s="64">
        <f>IF(INDEX(Standings!$A$2:$C$33,MATCH(Table1[[#This Row],[AwayTeam]],Standings!$A$2:$A$33,0),3)=INDEX(Standings!$A$2:$C$33,MATCH(Table1[[#This Row],[HomeTeam]],Standings!$A$2:$A$33,0),3),1,0)</f>
        <v>1</v>
      </c>
      <c r="AL399" s="64">
        <f>IF(Table1[[#This Row],[InterConf]]=1,IF(Table1[[#This Row],[InterDiv]]=0, 1, 0), 0)</f>
        <v>0</v>
      </c>
      <c r="AM399" s="64">
        <f>IF(INDEX(Standings!$A$2:$C$33,MATCH(Table1[[#This Row],[AwayTeam]],Standings!$A$2:$A$33,0),2)&lt;&gt;INDEX(Standings!$A$2:$C$33,MATCH(Table1[[#This Row],[HomeTeam]],Standings!$A$2:$A$33,0),2),1,0)</f>
        <v>0</v>
      </c>
      <c r="AN399" s="64" t="str">
        <f>INDEX(Table2[AWAY_RECORD], MATCH(Table1[[#This Row],[AwayTeam]],Table2[Team], 0), 0)</f>
        <v>0-0-0</v>
      </c>
      <c r="AO399" s="64" t="str">
        <f>INDEX(Records!$B$2:$AG$33, MATCH(Table1[[#This Row],[AwayTeam]],Records!$A$2:$A$33, 0), MATCH(Table1[[#This Row],[HomeTeam]],Records!$A$2:$A$33, 0))</f>
        <v>0-0-0</v>
      </c>
      <c r="AP399" s="64" t="str">
        <f>INDEX(Table2[HOME_RECORD], MATCH(Table1[[#This Row],[HomeTeam]],Table2[Team], 0), 0)</f>
        <v>0-0-0</v>
      </c>
      <c r="AQ399" s="64" t="str">
        <f>INDEX(Records!$B$2:$AG$33, MATCH(Table1[[#This Row],[HomeTeam]],Records!$A$2:$A$33, 0), MATCH(Table1[[#This Row],[AwayTeam]],Records!$A$2:$A$33, 0))</f>
        <v>0-0-0</v>
      </c>
    </row>
    <row r="400" spans="1:43" x14ac:dyDescent="0.25">
      <c r="A400" s="1"/>
      <c r="D400" t="s">
        <v>628</v>
      </c>
      <c r="E400" t="s">
        <v>593</v>
      </c>
      <c r="F400" t="s">
        <v>642</v>
      </c>
      <c r="G400" t="s">
        <v>16</v>
      </c>
      <c r="H400" t="s">
        <v>56</v>
      </c>
      <c r="L40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0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00" s="1"/>
      <c r="T400" s="64" t="str">
        <f>IF(Table1[[#This Row],[ActualWinner]]="", "", IF(Table1[[#This Row],[AwayTeam]]=Table1[[#This Row],[ActualWinner]],Table1[[#This Row],[HomeTeam]],Table1[[#This Row],[AwayTeam]]))</f>
        <v/>
      </c>
      <c r="U400" s="64">
        <f>Table1[[#This Row],[ActualAwayScore]]-Table1[[#This Row],[PredictedAwayScore]]</f>
        <v>0</v>
      </c>
      <c r="V400" s="64">
        <f>Table1[[#This Row],[ActualHomeScore]]-Table1[[#This Row],[PredictedHomeScore]]</f>
        <v>0</v>
      </c>
      <c r="W400" s="64">
        <f>(0.8*IF(Table1[[#This Row],[CorrectWinnerPrediction]]=1, 1, 0))+(0.1*IF(Table1[[#This Row],[CorrectAwayScorePrediction]]=1, 1, 0))+(0.1*IF(Table1[[#This Row],[CorrectHomeScorePrediction]]=1, 1, 0))</f>
        <v>0</v>
      </c>
      <c r="X40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00" s="64">
        <f>SUMIF(Table1[GameDate], Table1[[#This Row],[GameDate]], Table1[AwayGameGoalDiff])</f>
        <v>0</v>
      </c>
      <c r="AA400" s="64">
        <f>SUMIF(Table1[GameDate], Table1[[#This Row],[GameDate]], Table1[HomeGameGoalDiff])</f>
        <v>0</v>
      </c>
      <c r="AB400" s="64">
        <f>IF(ISBLANK(Table1[[#This Row],[ActualResult]]), 0, 1)</f>
        <v>0</v>
      </c>
      <c r="AC400" s="64">
        <f>IF(ISBLANK(Table1[[#This Row],[ActualResult]]), 0, IF(Table1[[#This Row],[ActualWinner]]=Table1[[#This Row],[PredictedWinner]], 1, 0))</f>
        <v>0</v>
      </c>
      <c r="AD40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0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00" s="64">
        <f>IF(AND(Table1[[#This Row],[GameIsOver]]=1,Table1[[#This Row],[ActualAwayScore]]=0), 1,0)</f>
        <v>0</v>
      </c>
      <c r="AG400" s="64">
        <f>IF(AND(Table1[[#This Row],[GameIsOver]]=1,Table1[[#This Row],[ActualHomeScore]]=0), 1,0)</f>
        <v>0</v>
      </c>
      <c r="AH400" s="64">
        <f>IF(Table1[[#This Row],[GameIsOver]]=0,0,IF(Table1[[#This Row],[ActualWinner]]=Table1[[#This Row],[AwayTeam]], 1, 0))</f>
        <v>0</v>
      </c>
      <c r="AI400" s="64">
        <f>IF(Table1[[#This Row],[GameIsOver]]=0,0,IF(Table1[[#This Row],[ActualWinner]]=Table1[[#This Row],[HomeTeam]], 1, 0))</f>
        <v>0</v>
      </c>
      <c r="AJ400" s="64">
        <f>IF(INDEX(Standings!$A$2:$C$33,MATCH(Table1[[#This Row],[AwayTeam]],Standings!$A$2:$A$33,0),2)=INDEX(Standings!$A$2:$C$33,MATCH(Table1[[#This Row],[HomeTeam]],Standings!$A$2:$A$33,0),2),1,0)</f>
        <v>1</v>
      </c>
      <c r="AK400" s="64">
        <f>IF(INDEX(Standings!$A$2:$C$33,MATCH(Table1[[#This Row],[AwayTeam]],Standings!$A$2:$A$33,0),3)=INDEX(Standings!$A$2:$C$33,MATCH(Table1[[#This Row],[HomeTeam]],Standings!$A$2:$A$33,0),3),1,0)</f>
        <v>0</v>
      </c>
      <c r="AL400" s="64">
        <f>IF(Table1[[#This Row],[InterConf]]=1,IF(Table1[[#This Row],[InterDiv]]=0, 1, 0), 0)</f>
        <v>1</v>
      </c>
      <c r="AM400" s="64">
        <f>IF(INDEX(Standings!$A$2:$C$33,MATCH(Table1[[#This Row],[AwayTeam]],Standings!$A$2:$A$33,0),2)&lt;&gt;INDEX(Standings!$A$2:$C$33,MATCH(Table1[[#This Row],[HomeTeam]],Standings!$A$2:$A$33,0),2),1,0)</f>
        <v>0</v>
      </c>
      <c r="AN400" s="64" t="str">
        <f>INDEX(Table2[AWAY_RECORD], MATCH(Table1[[#This Row],[AwayTeam]],Table2[Team], 0), 0)</f>
        <v>1-0-1</v>
      </c>
      <c r="AO400" s="64" t="str">
        <f>INDEX(Records!$B$2:$AG$33, MATCH(Table1[[#This Row],[AwayTeam]],Records!$A$2:$A$33, 0), MATCH(Table1[[#This Row],[HomeTeam]],Records!$A$2:$A$33, 0))</f>
        <v>0-0-0</v>
      </c>
      <c r="AP400" s="64" t="str">
        <f>INDEX(Table2[HOME_RECORD], MATCH(Table1[[#This Row],[HomeTeam]],Table2[Team], 0), 0)</f>
        <v>0-0-0</v>
      </c>
      <c r="AQ400" s="64" t="str">
        <f>INDEX(Records!$B$2:$AG$33, MATCH(Table1[[#This Row],[HomeTeam]],Records!$A$2:$A$33, 0), MATCH(Table1[[#This Row],[AwayTeam]],Records!$A$2:$A$33, 0))</f>
        <v>0-0-0</v>
      </c>
    </row>
    <row r="401" spans="1:43" x14ac:dyDescent="0.25">
      <c r="A401" s="1"/>
      <c r="D401" t="s">
        <v>643</v>
      </c>
      <c r="E401" t="s">
        <v>432</v>
      </c>
      <c r="F401" t="s">
        <v>644</v>
      </c>
      <c r="G401" t="s">
        <v>24</v>
      </c>
      <c r="H401" t="s">
        <v>37</v>
      </c>
      <c r="L40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0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01" s="1"/>
      <c r="T401" s="64" t="str">
        <f>IF(Table1[[#This Row],[ActualWinner]]="", "", IF(Table1[[#This Row],[AwayTeam]]=Table1[[#This Row],[ActualWinner]],Table1[[#This Row],[HomeTeam]],Table1[[#This Row],[AwayTeam]]))</f>
        <v/>
      </c>
      <c r="U401" s="64">
        <f>Table1[[#This Row],[ActualAwayScore]]-Table1[[#This Row],[PredictedAwayScore]]</f>
        <v>0</v>
      </c>
      <c r="V401" s="64">
        <f>Table1[[#This Row],[ActualHomeScore]]-Table1[[#This Row],[PredictedHomeScore]]</f>
        <v>0</v>
      </c>
      <c r="W401" s="64">
        <f>(0.8*IF(Table1[[#This Row],[CorrectWinnerPrediction]]=1, 1, 0))+(0.1*IF(Table1[[#This Row],[CorrectAwayScorePrediction]]=1, 1, 0))+(0.1*IF(Table1[[#This Row],[CorrectHomeScorePrediction]]=1, 1, 0))</f>
        <v>0</v>
      </c>
      <c r="X40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01" s="64">
        <f>SUMIF(Table1[GameDate], Table1[[#This Row],[GameDate]], Table1[AwayGameGoalDiff])</f>
        <v>0</v>
      </c>
      <c r="AA401" s="64">
        <f>SUMIF(Table1[GameDate], Table1[[#This Row],[GameDate]], Table1[HomeGameGoalDiff])</f>
        <v>0</v>
      </c>
      <c r="AB401" s="64">
        <f>IF(ISBLANK(Table1[[#This Row],[ActualResult]]), 0, 1)</f>
        <v>0</v>
      </c>
      <c r="AC401" s="64">
        <f>IF(ISBLANK(Table1[[#This Row],[ActualResult]]), 0, IF(Table1[[#This Row],[ActualWinner]]=Table1[[#This Row],[PredictedWinner]], 1, 0))</f>
        <v>0</v>
      </c>
      <c r="AD40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0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01" s="64">
        <f>IF(AND(Table1[[#This Row],[GameIsOver]]=1,Table1[[#This Row],[ActualAwayScore]]=0), 1,0)</f>
        <v>0</v>
      </c>
      <c r="AG401" s="64">
        <f>IF(AND(Table1[[#This Row],[GameIsOver]]=1,Table1[[#This Row],[ActualHomeScore]]=0), 1,0)</f>
        <v>0</v>
      </c>
      <c r="AH401" s="64">
        <f>IF(Table1[[#This Row],[GameIsOver]]=0,0,IF(Table1[[#This Row],[ActualWinner]]=Table1[[#This Row],[AwayTeam]], 1, 0))</f>
        <v>0</v>
      </c>
      <c r="AI401" s="64">
        <f>IF(Table1[[#This Row],[GameIsOver]]=0,0,IF(Table1[[#This Row],[ActualWinner]]=Table1[[#This Row],[HomeTeam]], 1, 0))</f>
        <v>0</v>
      </c>
      <c r="AJ401" s="64">
        <f>IF(INDEX(Standings!$A$2:$C$33,MATCH(Table1[[#This Row],[AwayTeam]],Standings!$A$2:$A$33,0),2)=INDEX(Standings!$A$2:$C$33,MATCH(Table1[[#This Row],[HomeTeam]],Standings!$A$2:$A$33,0),2),1,0)</f>
        <v>1</v>
      </c>
      <c r="AK401" s="64">
        <f>IF(INDEX(Standings!$A$2:$C$33,MATCH(Table1[[#This Row],[AwayTeam]],Standings!$A$2:$A$33,0),3)=INDEX(Standings!$A$2:$C$33,MATCH(Table1[[#This Row],[HomeTeam]],Standings!$A$2:$A$33,0),3),1,0)</f>
        <v>1</v>
      </c>
      <c r="AL401" s="64">
        <f>IF(Table1[[#This Row],[InterConf]]=1,IF(Table1[[#This Row],[InterDiv]]=0, 1, 0), 0)</f>
        <v>0</v>
      </c>
      <c r="AM401" s="64">
        <f>IF(INDEX(Standings!$A$2:$C$33,MATCH(Table1[[#This Row],[AwayTeam]],Standings!$A$2:$A$33,0),2)&lt;&gt;INDEX(Standings!$A$2:$C$33,MATCH(Table1[[#This Row],[HomeTeam]],Standings!$A$2:$A$33,0),2),1,0)</f>
        <v>0</v>
      </c>
      <c r="AN401" s="64" t="str">
        <f>INDEX(Table2[AWAY_RECORD], MATCH(Table1[[#This Row],[AwayTeam]],Table2[Team], 0), 0)</f>
        <v>0-0-0</v>
      </c>
      <c r="AO401" s="64" t="str">
        <f>INDEX(Records!$B$2:$AG$33, MATCH(Table1[[#This Row],[AwayTeam]],Records!$A$2:$A$33, 0), MATCH(Table1[[#This Row],[HomeTeam]],Records!$A$2:$A$33, 0))</f>
        <v>0-0-0</v>
      </c>
      <c r="AP401" s="64" t="str">
        <f>INDEX(Table2[HOME_RECORD], MATCH(Table1[[#This Row],[HomeTeam]],Table2[Team], 0), 0)</f>
        <v>0-1-0</v>
      </c>
      <c r="AQ401" s="64" t="str">
        <f>INDEX(Records!$B$2:$AG$33, MATCH(Table1[[#This Row],[HomeTeam]],Records!$A$2:$A$33, 0), MATCH(Table1[[#This Row],[AwayTeam]],Records!$A$2:$A$33, 0))</f>
        <v>0-0-0</v>
      </c>
    </row>
    <row r="402" spans="1:43" x14ac:dyDescent="0.25">
      <c r="A402" s="1"/>
      <c r="D402" t="s">
        <v>643</v>
      </c>
      <c r="E402" t="s">
        <v>432</v>
      </c>
      <c r="F402" t="s">
        <v>645</v>
      </c>
      <c r="G402" t="s">
        <v>39</v>
      </c>
      <c r="H402" t="s">
        <v>49</v>
      </c>
      <c r="L40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0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02" s="1"/>
      <c r="T402" s="64" t="str">
        <f>IF(Table1[[#This Row],[ActualWinner]]="", "", IF(Table1[[#This Row],[AwayTeam]]=Table1[[#This Row],[ActualWinner]],Table1[[#This Row],[HomeTeam]],Table1[[#This Row],[AwayTeam]]))</f>
        <v/>
      </c>
      <c r="U402" s="64">
        <f>Table1[[#This Row],[ActualAwayScore]]-Table1[[#This Row],[PredictedAwayScore]]</f>
        <v>0</v>
      </c>
      <c r="V402" s="64">
        <f>Table1[[#This Row],[ActualHomeScore]]-Table1[[#This Row],[PredictedHomeScore]]</f>
        <v>0</v>
      </c>
      <c r="W402" s="64">
        <f>(0.8*IF(Table1[[#This Row],[CorrectWinnerPrediction]]=1, 1, 0))+(0.1*IF(Table1[[#This Row],[CorrectAwayScorePrediction]]=1, 1, 0))+(0.1*IF(Table1[[#This Row],[CorrectHomeScorePrediction]]=1, 1, 0))</f>
        <v>0</v>
      </c>
      <c r="X40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02" s="64">
        <f>SUMIF(Table1[GameDate], Table1[[#This Row],[GameDate]], Table1[AwayGameGoalDiff])</f>
        <v>0</v>
      </c>
      <c r="AA402" s="64">
        <f>SUMIF(Table1[GameDate], Table1[[#This Row],[GameDate]], Table1[HomeGameGoalDiff])</f>
        <v>0</v>
      </c>
      <c r="AB402" s="64">
        <f>IF(ISBLANK(Table1[[#This Row],[ActualResult]]), 0, 1)</f>
        <v>0</v>
      </c>
      <c r="AC402" s="64">
        <f>IF(ISBLANK(Table1[[#This Row],[ActualResult]]), 0, IF(Table1[[#This Row],[ActualWinner]]=Table1[[#This Row],[PredictedWinner]], 1, 0))</f>
        <v>0</v>
      </c>
      <c r="AD40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0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02" s="64">
        <f>IF(AND(Table1[[#This Row],[GameIsOver]]=1,Table1[[#This Row],[ActualAwayScore]]=0), 1,0)</f>
        <v>0</v>
      </c>
      <c r="AG402" s="64">
        <f>IF(AND(Table1[[#This Row],[GameIsOver]]=1,Table1[[#This Row],[ActualHomeScore]]=0), 1,0)</f>
        <v>0</v>
      </c>
      <c r="AH402" s="64">
        <f>IF(Table1[[#This Row],[GameIsOver]]=0,0,IF(Table1[[#This Row],[ActualWinner]]=Table1[[#This Row],[AwayTeam]], 1, 0))</f>
        <v>0</v>
      </c>
      <c r="AI402" s="64">
        <f>IF(Table1[[#This Row],[GameIsOver]]=0,0,IF(Table1[[#This Row],[ActualWinner]]=Table1[[#This Row],[HomeTeam]], 1, 0))</f>
        <v>0</v>
      </c>
      <c r="AJ402" s="64">
        <f>IF(INDEX(Standings!$A$2:$C$33,MATCH(Table1[[#This Row],[AwayTeam]],Standings!$A$2:$A$33,0),2)=INDEX(Standings!$A$2:$C$33,MATCH(Table1[[#This Row],[HomeTeam]],Standings!$A$2:$A$33,0),2),1,0)</f>
        <v>0</v>
      </c>
      <c r="AK402" s="64">
        <f>IF(INDEX(Standings!$A$2:$C$33,MATCH(Table1[[#This Row],[AwayTeam]],Standings!$A$2:$A$33,0),3)=INDEX(Standings!$A$2:$C$33,MATCH(Table1[[#This Row],[HomeTeam]],Standings!$A$2:$A$33,0),3),1,0)</f>
        <v>0</v>
      </c>
      <c r="AL402" s="64">
        <f>IF(Table1[[#This Row],[InterConf]]=1,IF(Table1[[#This Row],[InterDiv]]=0, 1, 0), 0)</f>
        <v>0</v>
      </c>
      <c r="AM402" s="64">
        <f>IF(INDEX(Standings!$A$2:$C$33,MATCH(Table1[[#This Row],[AwayTeam]],Standings!$A$2:$A$33,0),2)&lt;&gt;INDEX(Standings!$A$2:$C$33,MATCH(Table1[[#This Row],[HomeTeam]],Standings!$A$2:$A$33,0),2),1,0)</f>
        <v>1</v>
      </c>
      <c r="AN402" s="64" t="str">
        <f>INDEX(Table2[AWAY_RECORD], MATCH(Table1[[#This Row],[AwayTeam]],Table2[Team], 0), 0)</f>
        <v>0-0-0</v>
      </c>
      <c r="AO402" s="64" t="str">
        <f>INDEX(Records!$B$2:$AG$33, MATCH(Table1[[#This Row],[AwayTeam]],Records!$A$2:$A$33, 0), MATCH(Table1[[#This Row],[HomeTeam]],Records!$A$2:$A$33, 0))</f>
        <v>0-0-0</v>
      </c>
      <c r="AP402" s="64" t="str">
        <f>INDEX(Table2[HOME_RECORD], MATCH(Table1[[#This Row],[HomeTeam]],Table2[Team], 0), 0)</f>
        <v>1-0-0</v>
      </c>
      <c r="AQ402" s="64" t="str">
        <f>INDEX(Records!$B$2:$AG$33, MATCH(Table1[[#This Row],[HomeTeam]],Records!$A$2:$A$33, 0), MATCH(Table1[[#This Row],[AwayTeam]],Records!$A$2:$A$33, 0))</f>
        <v>0-0-0</v>
      </c>
    </row>
    <row r="403" spans="1:43" x14ac:dyDescent="0.25">
      <c r="A403" s="1"/>
      <c r="D403" t="s">
        <v>643</v>
      </c>
      <c r="E403" t="s">
        <v>432</v>
      </c>
      <c r="F403" t="s">
        <v>646</v>
      </c>
      <c r="G403" t="s">
        <v>58</v>
      </c>
      <c r="H403" t="s">
        <v>48</v>
      </c>
      <c r="L40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0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03" s="1"/>
      <c r="T403" s="64" t="str">
        <f>IF(Table1[[#This Row],[ActualWinner]]="", "", IF(Table1[[#This Row],[AwayTeam]]=Table1[[#This Row],[ActualWinner]],Table1[[#This Row],[HomeTeam]],Table1[[#This Row],[AwayTeam]]))</f>
        <v/>
      </c>
      <c r="U403" s="64">
        <f>Table1[[#This Row],[ActualAwayScore]]-Table1[[#This Row],[PredictedAwayScore]]</f>
        <v>0</v>
      </c>
      <c r="V403" s="64">
        <f>Table1[[#This Row],[ActualHomeScore]]-Table1[[#This Row],[PredictedHomeScore]]</f>
        <v>0</v>
      </c>
      <c r="W403" s="64">
        <f>(0.8*IF(Table1[[#This Row],[CorrectWinnerPrediction]]=1, 1, 0))+(0.1*IF(Table1[[#This Row],[CorrectAwayScorePrediction]]=1, 1, 0))+(0.1*IF(Table1[[#This Row],[CorrectHomeScorePrediction]]=1, 1, 0))</f>
        <v>0</v>
      </c>
      <c r="X40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03" s="64">
        <f>SUMIF(Table1[GameDate], Table1[[#This Row],[GameDate]], Table1[AwayGameGoalDiff])</f>
        <v>0</v>
      </c>
      <c r="AA403" s="64">
        <f>SUMIF(Table1[GameDate], Table1[[#This Row],[GameDate]], Table1[HomeGameGoalDiff])</f>
        <v>0</v>
      </c>
      <c r="AB403" s="64">
        <f>IF(ISBLANK(Table1[[#This Row],[ActualResult]]), 0, 1)</f>
        <v>0</v>
      </c>
      <c r="AC403" s="64">
        <f>IF(ISBLANK(Table1[[#This Row],[ActualResult]]), 0, IF(Table1[[#This Row],[ActualWinner]]=Table1[[#This Row],[PredictedWinner]], 1, 0))</f>
        <v>0</v>
      </c>
      <c r="AD40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0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03" s="64">
        <f>IF(AND(Table1[[#This Row],[GameIsOver]]=1,Table1[[#This Row],[ActualAwayScore]]=0), 1,0)</f>
        <v>0</v>
      </c>
      <c r="AG403" s="64">
        <f>IF(AND(Table1[[#This Row],[GameIsOver]]=1,Table1[[#This Row],[ActualHomeScore]]=0), 1,0)</f>
        <v>0</v>
      </c>
      <c r="AH403" s="64">
        <f>IF(Table1[[#This Row],[GameIsOver]]=0,0,IF(Table1[[#This Row],[ActualWinner]]=Table1[[#This Row],[AwayTeam]], 1, 0))</f>
        <v>0</v>
      </c>
      <c r="AI403" s="64">
        <f>IF(Table1[[#This Row],[GameIsOver]]=0,0,IF(Table1[[#This Row],[ActualWinner]]=Table1[[#This Row],[HomeTeam]], 1, 0))</f>
        <v>0</v>
      </c>
      <c r="AJ403" s="64">
        <f>IF(INDEX(Standings!$A$2:$C$33,MATCH(Table1[[#This Row],[AwayTeam]],Standings!$A$2:$A$33,0),2)=INDEX(Standings!$A$2:$C$33,MATCH(Table1[[#This Row],[HomeTeam]],Standings!$A$2:$A$33,0),2),1,0)</f>
        <v>1</v>
      </c>
      <c r="AK403" s="64">
        <f>IF(INDEX(Standings!$A$2:$C$33,MATCH(Table1[[#This Row],[AwayTeam]],Standings!$A$2:$A$33,0),3)=INDEX(Standings!$A$2:$C$33,MATCH(Table1[[#This Row],[HomeTeam]],Standings!$A$2:$A$33,0),3),1,0)</f>
        <v>1</v>
      </c>
      <c r="AL403" s="64">
        <f>IF(Table1[[#This Row],[InterConf]]=1,IF(Table1[[#This Row],[InterDiv]]=0, 1, 0), 0)</f>
        <v>0</v>
      </c>
      <c r="AM403" s="64">
        <f>IF(INDEX(Standings!$A$2:$C$33,MATCH(Table1[[#This Row],[AwayTeam]],Standings!$A$2:$A$33,0),2)&lt;&gt;INDEX(Standings!$A$2:$C$33,MATCH(Table1[[#This Row],[HomeTeam]],Standings!$A$2:$A$33,0),2),1,0)</f>
        <v>0</v>
      </c>
      <c r="AN403" s="64" t="str">
        <f>INDEX(Table2[AWAY_RECORD], MATCH(Table1[[#This Row],[AwayTeam]],Table2[Team], 0), 0)</f>
        <v>0-0-0</v>
      </c>
      <c r="AO403" s="64" t="str">
        <f>INDEX(Records!$B$2:$AG$33, MATCH(Table1[[#This Row],[AwayTeam]],Records!$A$2:$A$33, 0), MATCH(Table1[[#This Row],[HomeTeam]],Records!$A$2:$A$33, 0))</f>
        <v>0-0-0</v>
      </c>
      <c r="AP403" s="64" t="str">
        <f>INDEX(Table2[HOME_RECORD], MATCH(Table1[[#This Row],[HomeTeam]],Table2[Team], 0), 0)</f>
        <v>1-0-0</v>
      </c>
      <c r="AQ403" s="64" t="str">
        <f>INDEX(Records!$B$2:$AG$33, MATCH(Table1[[#This Row],[HomeTeam]],Records!$A$2:$A$33, 0), MATCH(Table1[[#This Row],[AwayTeam]],Records!$A$2:$A$33, 0))</f>
        <v>0-0-0</v>
      </c>
    </row>
    <row r="404" spans="1:43" x14ac:dyDescent="0.25">
      <c r="A404" s="1"/>
      <c r="D404" t="s">
        <v>643</v>
      </c>
      <c r="E404" t="s">
        <v>386</v>
      </c>
      <c r="F404" t="s">
        <v>647</v>
      </c>
      <c r="G404" t="s">
        <v>43</v>
      </c>
      <c r="H404" t="s">
        <v>61</v>
      </c>
      <c r="L40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0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04" s="1"/>
      <c r="T404" s="64" t="str">
        <f>IF(Table1[[#This Row],[ActualWinner]]="", "", IF(Table1[[#This Row],[AwayTeam]]=Table1[[#This Row],[ActualWinner]],Table1[[#This Row],[HomeTeam]],Table1[[#This Row],[AwayTeam]]))</f>
        <v/>
      </c>
      <c r="U404" s="64">
        <f>Table1[[#This Row],[ActualAwayScore]]-Table1[[#This Row],[PredictedAwayScore]]</f>
        <v>0</v>
      </c>
      <c r="V404" s="64">
        <f>Table1[[#This Row],[ActualHomeScore]]-Table1[[#This Row],[PredictedHomeScore]]</f>
        <v>0</v>
      </c>
      <c r="W404" s="64">
        <f>(0.8*IF(Table1[[#This Row],[CorrectWinnerPrediction]]=1, 1, 0))+(0.1*IF(Table1[[#This Row],[CorrectAwayScorePrediction]]=1, 1, 0))+(0.1*IF(Table1[[#This Row],[CorrectHomeScorePrediction]]=1, 1, 0))</f>
        <v>0</v>
      </c>
      <c r="X40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04" s="64">
        <f>SUMIF(Table1[GameDate], Table1[[#This Row],[GameDate]], Table1[AwayGameGoalDiff])</f>
        <v>0</v>
      </c>
      <c r="AA404" s="64">
        <f>SUMIF(Table1[GameDate], Table1[[#This Row],[GameDate]], Table1[HomeGameGoalDiff])</f>
        <v>0</v>
      </c>
      <c r="AB404" s="64">
        <f>IF(ISBLANK(Table1[[#This Row],[ActualResult]]), 0, 1)</f>
        <v>0</v>
      </c>
      <c r="AC404" s="64">
        <f>IF(ISBLANK(Table1[[#This Row],[ActualResult]]), 0, IF(Table1[[#This Row],[ActualWinner]]=Table1[[#This Row],[PredictedWinner]], 1, 0))</f>
        <v>0</v>
      </c>
      <c r="AD40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0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04" s="64">
        <f>IF(AND(Table1[[#This Row],[GameIsOver]]=1,Table1[[#This Row],[ActualAwayScore]]=0), 1,0)</f>
        <v>0</v>
      </c>
      <c r="AG404" s="64">
        <f>IF(AND(Table1[[#This Row],[GameIsOver]]=1,Table1[[#This Row],[ActualHomeScore]]=0), 1,0)</f>
        <v>0</v>
      </c>
      <c r="AH404" s="64">
        <f>IF(Table1[[#This Row],[GameIsOver]]=0,0,IF(Table1[[#This Row],[ActualWinner]]=Table1[[#This Row],[AwayTeam]], 1, 0))</f>
        <v>0</v>
      </c>
      <c r="AI404" s="64">
        <f>IF(Table1[[#This Row],[GameIsOver]]=0,0,IF(Table1[[#This Row],[ActualWinner]]=Table1[[#This Row],[HomeTeam]], 1, 0))</f>
        <v>0</v>
      </c>
      <c r="AJ404" s="64">
        <f>IF(INDEX(Standings!$A$2:$C$33,MATCH(Table1[[#This Row],[AwayTeam]],Standings!$A$2:$A$33,0),2)=INDEX(Standings!$A$2:$C$33,MATCH(Table1[[#This Row],[HomeTeam]],Standings!$A$2:$A$33,0),2),1,0)</f>
        <v>1</v>
      </c>
      <c r="AK404" s="64">
        <f>IF(INDEX(Standings!$A$2:$C$33,MATCH(Table1[[#This Row],[AwayTeam]],Standings!$A$2:$A$33,0),3)=INDEX(Standings!$A$2:$C$33,MATCH(Table1[[#This Row],[HomeTeam]],Standings!$A$2:$A$33,0),3),1,0)</f>
        <v>1</v>
      </c>
      <c r="AL404" s="64">
        <f>IF(Table1[[#This Row],[InterConf]]=1,IF(Table1[[#This Row],[InterDiv]]=0, 1, 0), 0)</f>
        <v>0</v>
      </c>
      <c r="AM404" s="64">
        <f>IF(INDEX(Standings!$A$2:$C$33,MATCH(Table1[[#This Row],[AwayTeam]],Standings!$A$2:$A$33,0),2)&lt;&gt;INDEX(Standings!$A$2:$C$33,MATCH(Table1[[#This Row],[HomeTeam]],Standings!$A$2:$A$33,0),2),1,0)</f>
        <v>0</v>
      </c>
      <c r="AN404" s="64" t="str">
        <f>INDEX(Table2[AWAY_RECORD], MATCH(Table1[[#This Row],[AwayTeam]],Table2[Team], 0), 0)</f>
        <v>0-0-0</v>
      </c>
      <c r="AO404" s="64" t="str">
        <f>INDEX(Records!$B$2:$AG$33, MATCH(Table1[[#This Row],[AwayTeam]],Records!$A$2:$A$33, 0), MATCH(Table1[[#This Row],[HomeTeam]],Records!$A$2:$A$33, 0))</f>
        <v>0-0-0</v>
      </c>
      <c r="AP404" s="64" t="str">
        <f>INDEX(Table2[HOME_RECORD], MATCH(Table1[[#This Row],[HomeTeam]],Table2[Team], 0), 0)</f>
        <v>0-0-0</v>
      </c>
      <c r="AQ404" s="64" t="str">
        <f>INDEX(Records!$B$2:$AG$33, MATCH(Table1[[#This Row],[HomeTeam]],Records!$A$2:$A$33, 0), MATCH(Table1[[#This Row],[AwayTeam]],Records!$A$2:$A$33, 0))</f>
        <v>0-0-0</v>
      </c>
    </row>
    <row r="405" spans="1:43" x14ac:dyDescent="0.25">
      <c r="A405" s="1"/>
      <c r="D405" t="s">
        <v>643</v>
      </c>
      <c r="E405" t="s">
        <v>252</v>
      </c>
      <c r="F405" t="s">
        <v>648</v>
      </c>
      <c r="G405" t="s">
        <v>52</v>
      </c>
      <c r="H405" t="s">
        <v>57</v>
      </c>
      <c r="L40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0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05" s="1"/>
      <c r="T405" s="64" t="str">
        <f>IF(Table1[[#This Row],[ActualWinner]]="", "", IF(Table1[[#This Row],[AwayTeam]]=Table1[[#This Row],[ActualWinner]],Table1[[#This Row],[HomeTeam]],Table1[[#This Row],[AwayTeam]]))</f>
        <v/>
      </c>
      <c r="U405" s="64">
        <f>Table1[[#This Row],[ActualAwayScore]]-Table1[[#This Row],[PredictedAwayScore]]</f>
        <v>0</v>
      </c>
      <c r="V405" s="64">
        <f>Table1[[#This Row],[ActualHomeScore]]-Table1[[#This Row],[PredictedHomeScore]]</f>
        <v>0</v>
      </c>
      <c r="W405" s="64">
        <f>(0.8*IF(Table1[[#This Row],[CorrectWinnerPrediction]]=1, 1, 0))+(0.1*IF(Table1[[#This Row],[CorrectAwayScorePrediction]]=1, 1, 0))+(0.1*IF(Table1[[#This Row],[CorrectHomeScorePrediction]]=1, 1, 0))</f>
        <v>0</v>
      </c>
      <c r="X40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05" s="64">
        <f>SUMIF(Table1[GameDate], Table1[[#This Row],[GameDate]], Table1[AwayGameGoalDiff])</f>
        <v>0</v>
      </c>
      <c r="AA405" s="64">
        <f>SUMIF(Table1[GameDate], Table1[[#This Row],[GameDate]], Table1[HomeGameGoalDiff])</f>
        <v>0</v>
      </c>
      <c r="AB405" s="64">
        <f>IF(ISBLANK(Table1[[#This Row],[ActualResult]]), 0, 1)</f>
        <v>0</v>
      </c>
      <c r="AC405" s="64">
        <f>IF(ISBLANK(Table1[[#This Row],[ActualResult]]), 0, IF(Table1[[#This Row],[ActualWinner]]=Table1[[#This Row],[PredictedWinner]], 1, 0))</f>
        <v>0</v>
      </c>
      <c r="AD40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0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05" s="64">
        <f>IF(AND(Table1[[#This Row],[GameIsOver]]=1,Table1[[#This Row],[ActualAwayScore]]=0), 1,0)</f>
        <v>0</v>
      </c>
      <c r="AG405" s="64">
        <f>IF(AND(Table1[[#This Row],[GameIsOver]]=1,Table1[[#This Row],[ActualHomeScore]]=0), 1,0)</f>
        <v>0</v>
      </c>
      <c r="AH405" s="64">
        <f>IF(Table1[[#This Row],[GameIsOver]]=0,0,IF(Table1[[#This Row],[ActualWinner]]=Table1[[#This Row],[AwayTeam]], 1, 0))</f>
        <v>0</v>
      </c>
      <c r="AI405" s="64">
        <f>IF(Table1[[#This Row],[GameIsOver]]=0,0,IF(Table1[[#This Row],[ActualWinner]]=Table1[[#This Row],[HomeTeam]], 1, 0))</f>
        <v>0</v>
      </c>
      <c r="AJ405" s="64">
        <f>IF(INDEX(Standings!$A$2:$C$33,MATCH(Table1[[#This Row],[AwayTeam]],Standings!$A$2:$A$33,0),2)=INDEX(Standings!$A$2:$C$33,MATCH(Table1[[#This Row],[HomeTeam]],Standings!$A$2:$A$33,0),2),1,0)</f>
        <v>1</v>
      </c>
      <c r="AK405" s="64">
        <f>IF(INDEX(Standings!$A$2:$C$33,MATCH(Table1[[#This Row],[AwayTeam]],Standings!$A$2:$A$33,0),3)=INDEX(Standings!$A$2:$C$33,MATCH(Table1[[#This Row],[HomeTeam]],Standings!$A$2:$A$33,0),3),1,0)</f>
        <v>1</v>
      </c>
      <c r="AL405" s="64">
        <f>IF(Table1[[#This Row],[InterConf]]=1,IF(Table1[[#This Row],[InterDiv]]=0, 1, 0), 0)</f>
        <v>0</v>
      </c>
      <c r="AM405" s="64">
        <f>IF(INDEX(Standings!$A$2:$C$33,MATCH(Table1[[#This Row],[AwayTeam]],Standings!$A$2:$A$33,0),2)&lt;&gt;INDEX(Standings!$A$2:$C$33,MATCH(Table1[[#This Row],[HomeTeam]],Standings!$A$2:$A$33,0),2),1,0)</f>
        <v>0</v>
      </c>
      <c r="AN405" s="64" t="str">
        <f>INDEX(Table2[AWAY_RECORD], MATCH(Table1[[#This Row],[AwayTeam]],Table2[Team], 0), 0)</f>
        <v>0-0-0</v>
      </c>
      <c r="AO405" s="64" t="str">
        <f>INDEX(Records!$B$2:$AG$33, MATCH(Table1[[#This Row],[AwayTeam]],Records!$A$2:$A$33, 0), MATCH(Table1[[#This Row],[HomeTeam]],Records!$A$2:$A$33, 0))</f>
        <v>0-0-0</v>
      </c>
      <c r="AP405" s="64" t="str">
        <f>INDEX(Table2[HOME_RECORD], MATCH(Table1[[#This Row],[HomeTeam]],Table2[Team], 0), 0)</f>
        <v>0-0-0</v>
      </c>
      <c r="AQ405" s="64" t="str">
        <f>INDEX(Records!$B$2:$AG$33, MATCH(Table1[[#This Row],[HomeTeam]],Records!$A$2:$A$33, 0), MATCH(Table1[[#This Row],[AwayTeam]],Records!$A$2:$A$33, 0))</f>
        <v>0-0-0</v>
      </c>
    </row>
    <row r="406" spans="1:43" x14ac:dyDescent="0.25">
      <c r="A406" s="1"/>
      <c r="D406" t="s">
        <v>643</v>
      </c>
      <c r="E406" t="s">
        <v>252</v>
      </c>
      <c r="F406" t="s">
        <v>649</v>
      </c>
      <c r="G406" t="s">
        <v>23</v>
      </c>
      <c r="H406" t="s">
        <v>53</v>
      </c>
      <c r="L40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0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06" s="1"/>
      <c r="T406" s="64" t="str">
        <f>IF(Table1[[#This Row],[ActualWinner]]="", "", IF(Table1[[#This Row],[AwayTeam]]=Table1[[#This Row],[ActualWinner]],Table1[[#This Row],[HomeTeam]],Table1[[#This Row],[AwayTeam]]))</f>
        <v/>
      </c>
      <c r="U406" s="64">
        <f>Table1[[#This Row],[ActualAwayScore]]-Table1[[#This Row],[PredictedAwayScore]]</f>
        <v>0</v>
      </c>
      <c r="V406" s="64">
        <f>Table1[[#This Row],[ActualHomeScore]]-Table1[[#This Row],[PredictedHomeScore]]</f>
        <v>0</v>
      </c>
      <c r="W406" s="64">
        <f>(0.8*IF(Table1[[#This Row],[CorrectWinnerPrediction]]=1, 1, 0))+(0.1*IF(Table1[[#This Row],[CorrectAwayScorePrediction]]=1, 1, 0))+(0.1*IF(Table1[[#This Row],[CorrectHomeScorePrediction]]=1, 1, 0))</f>
        <v>0</v>
      </c>
      <c r="X40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06" s="64">
        <f>SUMIF(Table1[GameDate], Table1[[#This Row],[GameDate]], Table1[AwayGameGoalDiff])</f>
        <v>0</v>
      </c>
      <c r="AA406" s="64">
        <f>SUMIF(Table1[GameDate], Table1[[#This Row],[GameDate]], Table1[HomeGameGoalDiff])</f>
        <v>0</v>
      </c>
      <c r="AB406" s="64">
        <f>IF(ISBLANK(Table1[[#This Row],[ActualResult]]), 0, 1)</f>
        <v>0</v>
      </c>
      <c r="AC406" s="64">
        <f>IF(ISBLANK(Table1[[#This Row],[ActualResult]]), 0, IF(Table1[[#This Row],[ActualWinner]]=Table1[[#This Row],[PredictedWinner]], 1, 0))</f>
        <v>0</v>
      </c>
      <c r="AD40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0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06" s="64">
        <f>IF(AND(Table1[[#This Row],[GameIsOver]]=1,Table1[[#This Row],[ActualAwayScore]]=0), 1,0)</f>
        <v>0</v>
      </c>
      <c r="AG406" s="64">
        <f>IF(AND(Table1[[#This Row],[GameIsOver]]=1,Table1[[#This Row],[ActualHomeScore]]=0), 1,0)</f>
        <v>0</v>
      </c>
      <c r="AH406" s="64">
        <f>IF(Table1[[#This Row],[GameIsOver]]=0,0,IF(Table1[[#This Row],[ActualWinner]]=Table1[[#This Row],[AwayTeam]], 1, 0))</f>
        <v>0</v>
      </c>
      <c r="AI406" s="64">
        <f>IF(Table1[[#This Row],[GameIsOver]]=0,0,IF(Table1[[#This Row],[ActualWinner]]=Table1[[#This Row],[HomeTeam]], 1, 0))</f>
        <v>0</v>
      </c>
      <c r="AJ406" s="64">
        <f>IF(INDEX(Standings!$A$2:$C$33,MATCH(Table1[[#This Row],[AwayTeam]],Standings!$A$2:$A$33,0),2)=INDEX(Standings!$A$2:$C$33,MATCH(Table1[[#This Row],[HomeTeam]],Standings!$A$2:$A$33,0),2),1,0)</f>
        <v>0</v>
      </c>
      <c r="AK406" s="64">
        <f>IF(INDEX(Standings!$A$2:$C$33,MATCH(Table1[[#This Row],[AwayTeam]],Standings!$A$2:$A$33,0),3)=INDEX(Standings!$A$2:$C$33,MATCH(Table1[[#This Row],[HomeTeam]],Standings!$A$2:$A$33,0),3),1,0)</f>
        <v>0</v>
      </c>
      <c r="AL406" s="64">
        <f>IF(Table1[[#This Row],[InterConf]]=1,IF(Table1[[#This Row],[InterDiv]]=0, 1, 0), 0)</f>
        <v>0</v>
      </c>
      <c r="AM406" s="64">
        <f>IF(INDEX(Standings!$A$2:$C$33,MATCH(Table1[[#This Row],[AwayTeam]],Standings!$A$2:$A$33,0),2)&lt;&gt;INDEX(Standings!$A$2:$C$33,MATCH(Table1[[#This Row],[HomeTeam]],Standings!$A$2:$A$33,0),2),1,0)</f>
        <v>1</v>
      </c>
      <c r="AN406" s="64" t="str">
        <f>INDEX(Table2[AWAY_RECORD], MATCH(Table1[[#This Row],[AwayTeam]],Table2[Team], 0), 0)</f>
        <v>0-0-1</v>
      </c>
      <c r="AO406" s="64" t="str">
        <f>INDEX(Records!$B$2:$AG$33, MATCH(Table1[[#This Row],[AwayTeam]],Records!$A$2:$A$33, 0), MATCH(Table1[[#This Row],[HomeTeam]],Records!$A$2:$A$33, 0))</f>
        <v>0-0-0</v>
      </c>
      <c r="AP406" s="64" t="str">
        <f>INDEX(Table2[HOME_RECORD], MATCH(Table1[[#This Row],[HomeTeam]],Table2[Team], 0), 0)</f>
        <v>1-0-0</v>
      </c>
      <c r="AQ406" s="64" t="str">
        <f>INDEX(Records!$B$2:$AG$33, MATCH(Table1[[#This Row],[HomeTeam]],Records!$A$2:$A$33, 0), MATCH(Table1[[#This Row],[AwayTeam]],Records!$A$2:$A$33, 0))</f>
        <v>0-0-0</v>
      </c>
    </row>
    <row r="407" spans="1:43" x14ac:dyDescent="0.25">
      <c r="A407" s="1"/>
      <c r="D407" t="s">
        <v>643</v>
      </c>
      <c r="E407" t="s">
        <v>252</v>
      </c>
      <c r="F407" t="s">
        <v>650</v>
      </c>
      <c r="G407" t="s">
        <v>17</v>
      </c>
      <c r="H407" t="s">
        <v>59</v>
      </c>
      <c r="L40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0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07" s="1"/>
      <c r="T407" s="64" t="str">
        <f>IF(Table1[[#This Row],[ActualWinner]]="", "", IF(Table1[[#This Row],[AwayTeam]]=Table1[[#This Row],[ActualWinner]],Table1[[#This Row],[HomeTeam]],Table1[[#This Row],[AwayTeam]]))</f>
        <v/>
      </c>
      <c r="U407" s="64">
        <f>Table1[[#This Row],[ActualAwayScore]]-Table1[[#This Row],[PredictedAwayScore]]</f>
        <v>0</v>
      </c>
      <c r="V407" s="64">
        <f>Table1[[#This Row],[ActualHomeScore]]-Table1[[#This Row],[PredictedHomeScore]]</f>
        <v>0</v>
      </c>
      <c r="W407" s="64">
        <f>(0.8*IF(Table1[[#This Row],[CorrectWinnerPrediction]]=1, 1, 0))+(0.1*IF(Table1[[#This Row],[CorrectAwayScorePrediction]]=1, 1, 0))+(0.1*IF(Table1[[#This Row],[CorrectHomeScorePrediction]]=1, 1, 0))</f>
        <v>0</v>
      </c>
      <c r="X40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07" s="64">
        <f>SUMIF(Table1[GameDate], Table1[[#This Row],[GameDate]], Table1[AwayGameGoalDiff])</f>
        <v>0</v>
      </c>
      <c r="AA407" s="64">
        <f>SUMIF(Table1[GameDate], Table1[[#This Row],[GameDate]], Table1[HomeGameGoalDiff])</f>
        <v>0</v>
      </c>
      <c r="AB407" s="64">
        <f>IF(ISBLANK(Table1[[#This Row],[ActualResult]]), 0, 1)</f>
        <v>0</v>
      </c>
      <c r="AC407" s="64">
        <f>IF(ISBLANK(Table1[[#This Row],[ActualResult]]), 0, IF(Table1[[#This Row],[ActualWinner]]=Table1[[#This Row],[PredictedWinner]], 1, 0))</f>
        <v>0</v>
      </c>
      <c r="AD40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0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07" s="64">
        <f>IF(AND(Table1[[#This Row],[GameIsOver]]=1,Table1[[#This Row],[ActualAwayScore]]=0), 1,0)</f>
        <v>0</v>
      </c>
      <c r="AG407" s="64">
        <f>IF(AND(Table1[[#This Row],[GameIsOver]]=1,Table1[[#This Row],[ActualHomeScore]]=0), 1,0)</f>
        <v>0</v>
      </c>
      <c r="AH407" s="64">
        <f>IF(Table1[[#This Row],[GameIsOver]]=0,0,IF(Table1[[#This Row],[ActualWinner]]=Table1[[#This Row],[AwayTeam]], 1, 0))</f>
        <v>0</v>
      </c>
      <c r="AI407" s="64">
        <f>IF(Table1[[#This Row],[GameIsOver]]=0,0,IF(Table1[[#This Row],[ActualWinner]]=Table1[[#This Row],[HomeTeam]], 1, 0))</f>
        <v>0</v>
      </c>
      <c r="AJ407" s="64">
        <f>IF(INDEX(Standings!$A$2:$C$33,MATCH(Table1[[#This Row],[AwayTeam]],Standings!$A$2:$A$33,0),2)=INDEX(Standings!$A$2:$C$33,MATCH(Table1[[#This Row],[HomeTeam]],Standings!$A$2:$A$33,0),2),1,0)</f>
        <v>1</v>
      </c>
      <c r="AK407" s="64">
        <f>IF(INDEX(Standings!$A$2:$C$33,MATCH(Table1[[#This Row],[AwayTeam]],Standings!$A$2:$A$33,0),3)=INDEX(Standings!$A$2:$C$33,MATCH(Table1[[#This Row],[HomeTeam]],Standings!$A$2:$A$33,0),3),1,0)</f>
        <v>0</v>
      </c>
      <c r="AL407" s="64">
        <f>IF(Table1[[#This Row],[InterConf]]=1,IF(Table1[[#This Row],[InterDiv]]=0, 1, 0), 0)</f>
        <v>1</v>
      </c>
      <c r="AM407" s="64">
        <f>IF(INDEX(Standings!$A$2:$C$33,MATCH(Table1[[#This Row],[AwayTeam]],Standings!$A$2:$A$33,0),2)&lt;&gt;INDEX(Standings!$A$2:$C$33,MATCH(Table1[[#This Row],[HomeTeam]],Standings!$A$2:$A$33,0),2),1,0)</f>
        <v>0</v>
      </c>
      <c r="AN407" s="64" t="str">
        <f>INDEX(Table2[AWAY_RECORD], MATCH(Table1[[#This Row],[AwayTeam]],Table2[Team], 0), 0)</f>
        <v>2-0-0</v>
      </c>
      <c r="AO407" s="64" t="str">
        <f>INDEX(Records!$B$2:$AG$33, MATCH(Table1[[#This Row],[AwayTeam]],Records!$A$2:$A$33, 0), MATCH(Table1[[#This Row],[HomeTeam]],Records!$A$2:$A$33, 0))</f>
        <v>0-0-0</v>
      </c>
      <c r="AP407" s="64" t="str">
        <f>INDEX(Table2[HOME_RECORD], MATCH(Table1[[#This Row],[HomeTeam]],Table2[Team], 0), 0)</f>
        <v>0-0-0</v>
      </c>
      <c r="AQ407" s="64" t="str">
        <f>INDEX(Records!$B$2:$AG$33, MATCH(Table1[[#This Row],[HomeTeam]],Records!$A$2:$A$33, 0), MATCH(Table1[[#This Row],[AwayTeam]],Records!$A$2:$A$33, 0))</f>
        <v>0-0-0</v>
      </c>
    </row>
    <row r="408" spans="1:43" x14ac:dyDescent="0.25">
      <c r="A408" s="1"/>
      <c r="D408" t="s">
        <v>643</v>
      </c>
      <c r="E408" t="s">
        <v>252</v>
      </c>
      <c r="F408" t="s">
        <v>651</v>
      </c>
      <c r="G408" t="s">
        <v>44</v>
      </c>
      <c r="H408" t="s">
        <v>42</v>
      </c>
      <c r="L40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0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08" s="1"/>
      <c r="T408" s="64" t="str">
        <f>IF(Table1[[#This Row],[ActualWinner]]="", "", IF(Table1[[#This Row],[AwayTeam]]=Table1[[#This Row],[ActualWinner]],Table1[[#This Row],[HomeTeam]],Table1[[#This Row],[AwayTeam]]))</f>
        <v/>
      </c>
      <c r="U408" s="64">
        <f>Table1[[#This Row],[ActualAwayScore]]-Table1[[#This Row],[PredictedAwayScore]]</f>
        <v>0</v>
      </c>
      <c r="V408" s="64">
        <f>Table1[[#This Row],[ActualHomeScore]]-Table1[[#This Row],[PredictedHomeScore]]</f>
        <v>0</v>
      </c>
      <c r="W408" s="64">
        <f>(0.8*IF(Table1[[#This Row],[CorrectWinnerPrediction]]=1, 1, 0))+(0.1*IF(Table1[[#This Row],[CorrectAwayScorePrediction]]=1, 1, 0))+(0.1*IF(Table1[[#This Row],[CorrectHomeScorePrediction]]=1, 1, 0))</f>
        <v>0</v>
      </c>
      <c r="X40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08" s="64">
        <f>SUMIF(Table1[GameDate], Table1[[#This Row],[GameDate]], Table1[AwayGameGoalDiff])</f>
        <v>0</v>
      </c>
      <c r="AA408" s="64">
        <f>SUMIF(Table1[GameDate], Table1[[#This Row],[GameDate]], Table1[HomeGameGoalDiff])</f>
        <v>0</v>
      </c>
      <c r="AB408" s="64">
        <f>IF(ISBLANK(Table1[[#This Row],[ActualResult]]), 0, 1)</f>
        <v>0</v>
      </c>
      <c r="AC408" s="64">
        <f>IF(ISBLANK(Table1[[#This Row],[ActualResult]]), 0, IF(Table1[[#This Row],[ActualWinner]]=Table1[[#This Row],[PredictedWinner]], 1, 0))</f>
        <v>0</v>
      </c>
      <c r="AD40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0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08" s="64">
        <f>IF(AND(Table1[[#This Row],[GameIsOver]]=1,Table1[[#This Row],[ActualAwayScore]]=0), 1,0)</f>
        <v>0</v>
      </c>
      <c r="AG408" s="64">
        <f>IF(AND(Table1[[#This Row],[GameIsOver]]=1,Table1[[#This Row],[ActualHomeScore]]=0), 1,0)</f>
        <v>0</v>
      </c>
      <c r="AH408" s="64">
        <f>IF(Table1[[#This Row],[GameIsOver]]=0,0,IF(Table1[[#This Row],[ActualWinner]]=Table1[[#This Row],[AwayTeam]], 1, 0))</f>
        <v>0</v>
      </c>
      <c r="AI408" s="64">
        <f>IF(Table1[[#This Row],[GameIsOver]]=0,0,IF(Table1[[#This Row],[ActualWinner]]=Table1[[#This Row],[HomeTeam]], 1, 0))</f>
        <v>0</v>
      </c>
      <c r="AJ408" s="64">
        <f>IF(INDEX(Standings!$A$2:$C$33,MATCH(Table1[[#This Row],[AwayTeam]],Standings!$A$2:$A$33,0),2)=INDEX(Standings!$A$2:$C$33,MATCH(Table1[[#This Row],[HomeTeam]],Standings!$A$2:$A$33,0),2),1,0)</f>
        <v>1</v>
      </c>
      <c r="AK408" s="64">
        <f>IF(INDEX(Standings!$A$2:$C$33,MATCH(Table1[[#This Row],[AwayTeam]],Standings!$A$2:$A$33,0),3)=INDEX(Standings!$A$2:$C$33,MATCH(Table1[[#This Row],[HomeTeam]],Standings!$A$2:$A$33,0),3),1,0)</f>
        <v>0</v>
      </c>
      <c r="AL408" s="64">
        <f>IF(Table1[[#This Row],[InterConf]]=1,IF(Table1[[#This Row],[InterDiv]]=0, 1, 0), 0)</f>
        <v>1</v>
      </c>
      <c r="AM408" s="64">
        <f>IF(INDEX(Standings!$A$2:$C$33,MATCH(Table1[[#This Row],[AwayTeam]],Standings!$A$2:$A$33,0),2)&lt;&gt;INDEX(Standings!$A$2:$C$33,MATCH(Table1[[#This Row],[HomeTeam]],Standings!$A$2:$A$33,0),2),1,0)</f>
        <v>0</v>
      </c>
      <c r="AN408" s="64" t="str">
        <f>INDEX(Table2[AWAY_RECORD], MATCH(Table1[[#This Row],[AwayTeam]],Table2[Team], 0), 0)</f>
        <v>0-0-0</v>
      </c>
      <c r="AO408" s="64" t="str">
        <f>INDEX(Records!$B$2:$AG$33, MATCH(Table1[[#This Row],[AwayTeam]],Records!$A$2:$A$33, 0), MATCH(Table1[[#This Row],[HomeTeam]],Records!$A$2:$A$33, 0))</f>
        <v>0-0-0</v>
      </c>
      <c r="AP408" s="64" t="str">
        <f>INDEX(Table2[HOME_RECORD], MATCH(Table1[[#This Row],[HomeTeam]],Table2[Team], 0), 0)</f>
        <v>1-0-0</v>
      </c>
      <c r="AQ408" s="64" t="str">
        <f>INDEX(Records!$B$2:$AG$33, MATCH(Table1[[#This Row],[HomeTeam]],Records!$A$2:$A$33, 0), MATCH(Table1[[#This Row],[AwayTeam]],Records!$A$2:$A$33, 0))</f>
        <v>0-0-0</v>
      </c>
    </row>
    <row r="409" spans="1:43" x14ac:dyDescent="0.25">
      <c r="A409" s="1"/>
      <c r="D409" t="s">
        <v>643</v>
      </c>
      <c r="E409" t="s">
        <v>158</v>
      </c>
      <c r="F409" t="s">
        <v>652</v>
      </c>
      <c r="G409" t="s">
        <v>41</v>
      </c>
      <c r="H409" t="s">
        <v>22</v>
      </c>
      <c r="L40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0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09" s="1"/>
      <c r="T409" s="64" t="str">
        <f>IF(Table1[[#This Row],[ActualWinner]]="", "", IF(Table1[[#This Row],[AwayTeam]]=Table1[[#This Row],[ActualWinner]],Table1[[#This Row],[HomeTeam]],Table1[[#This Row],[AwayTeam]]))</f>
        <v/>
      </c>
      <c r="U409" s="64">
        <f>Table1[[#This Row],[ActualAwayScore]]-Table1[[#This Row],[PredictedAwayScore]]</f>
        <v>0</v>
      </c>
      <c r="V409" s="64">
        <f>Table1[[#This Row],[ActualHomeScore]]-Table1[[#This Row],[PredictedHomeScore]]</f>
        <v>0</v>
      </c>
      <c r="W409" s="64">
        <f>(0.8*IF(Table1[[#This Row],[CorrectWinnerPrediction]]=1, 1, 0))+(0.1*IF(Table1[[#This Row],[CorrectAwayScorePrediction]]=1, 1, 0))+(0.1*IF(Table1[[#This Row],[CorrectHomeScorePrediction]]=1, 1, 0))</f>
        <v>0</v>
      </c>
      <c r="X40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09" s="64">
        <f>SUMIF(Table1[GameDate], Table1[[#This Row],[GameDate]], Table1[AwayGameGoalDiff])</f>
        <v>0</v>
      </c>
      <c r="AA409" s="64">
        <f>SUMIF(Table1[GameDate], Table1[[#This Row],[GameDate]], Table1[HomeGameGoalDiff])</f>
        <v>0</v>
      </c>
      <c r="AB409" s="64">
        <f>IF(ISBLANK(Table1[[#This Row],[ActualResult]]), 0, 1)</f>
        <v>0</v>
      </c>
      <c r="AC409" s="64">
        <f>IF(ISBLANK(Table1[[#This Row],[ActualResult]]), 0, IF(Table1[[#This Row],[ActualWinner]]=Table1[[#This Row],[PredictedWinner]], 1, 0))</f>
        <v>0</v>
      </c>
      <c r="AD40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0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09" s="64">
        <f>IF(AND(Table1[[#This Row],[GameIsOver]]=1,Table1[[#This Row],[ActualAwayScore]]=0), 1,0)</f>
        <v>0</v>
      </c>
      <c r="AG409" s="64">
        <f>IF(AND(Table1[[#This Row],[GameIsOver]]=1,Table1[[#This Row],[ActualHomeScore]]=0), 1,0)</f>
        <v>0</v>
      </c>
      <c r="AH409" s="64">
        <f>IF(Table1[[#This Row],[GameIsOver]]=0,0,IF(Table1[[#This Row],[ActualWinner]]=Table1[[#This Row],[AwayTeam]], 1, 0))</f>
        <v>0</v>
      </c>
      <c r="AI409" s="64">
        <f>IF(Table1[[#This Row],[GameIsOver]]=0,0,IF(Table1[[#This Row],[ActualWinner]]=Table1[[#This Row],[HomeTeam]], 1, 0))</f>
        <v>0</v>
      </c>
      <c r="AJ409" s="64">
        <f>IF(INDEX(Standings!$A$2:$C$33,MATCH(Table1[[#This Row],[AwayTeam]],Standings!$A$2:$A$33,0),2)=INDEX(Standings!$A$2:$C$33,MATCH(Table1[[#This Row],[HomeTeam]],Standings!$A$2:$A$33,0),2),1,0)</f>
        <v>1</v>
      </c>
      <c r="AK409" s="64">
        <f>IF(INDEX(Standings!$A$2:$C$33,MATCH(Table1[[#This Row],[AwayTeam]],Standings!$A$2:$A$33,0),3)=INDEX(Standings!$A$2:$C$33,MATCH(Table1[[#This Row],[HomeTeam]],Standings!$A$2:$A$33,0),3),1,0)</f>
        <v>1</v>
      </c>
      <c r="AL409" s="64">
        <f>IF(Table1[[#This Row],[InterConf]]=1,IF(Table1[[#This Row],[InterDiv]]=0, 1, 0), 0)</f>
        <v>0</v>
      </c>
      <c r="AM409" s="64">
        <f>IF(INDEX(Standings!$A$2:$C$33,MATCH(Table1[[#This Row],[AwayTeam]],Standings!$A$2:$A$33,0),2)&lt;&gt;INDEX(Standings!$A$2:$C$33,MATCH(Table1[[#This Row],[HomeTeam]],Standings!$A$2:$A$33,0),2),1,0)</f>
        <v>0</v>
      </c>
      <c r="AN409" s="64" t="str">
        <f>INDEX(Table2[AWAY_RECORD], MATCH(Table1[[#This Row],[AwayTeam]],Table2[Team], 0), 0)</f>
        <v>0-0-0</v>
      </c>
      <c r="AO409" s="64" t="str">
        <f>INDEX(Records!$B$2:$AG$33, MATCH(Table1[[#This Row],[AwayTeam]],Records!$A$2:$A$33, 0), MATCH(Table1[[#This Row],[HomeTeam]],Records!$A$2:$A$33, 0))</f>
        <v>0-0-0</v>
      </c>
      <c r="AP409" s="64" t="str">
        <f>INDEX(Table2[HOME_RECORD], MATCH(Table1[[#This Row],[HomeTeam]],Table2[Team], 0), 0)</f>
        <v>0-0-0</v>
      </c>
      <c r="AQ409" s="64" t="str">
        <f>INDEX(Records!$B$2:$AG$33, MATCH(Table1[[#This Row],[HomeTeam]],Records!$A$2:$A$33, 0), MATCH(Table1[[#This Row],[AwayTeam]],Records!$A$2:$A$33, 0))</f>
        <v>0-0-0</v>
      </c>
    </row>
    <row r="410" spans="1:43" x14ac:dyDescent="0.25">
      <c r="A410" s="1"/>
      <c r="D410" t="s">
        <v>643</v>
      </c>
      <c r="E410" t="s">
        <v>158</v>
      </c>
      <c r="F410" t="s">
        <v>653</v>
      </c>
      <c r="G410" t="s">
        <v>46</v>
      </c>
      <c r="H410" t="s">
        <v>36</v>
      </c>
      <c r="L41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1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10" s="1"/>
      <c r="T410" s="64" t="str">
        <f>IF(Table1[[#This Row],[ActualWinner]]="", "", IF(Table1[[#This Row],[AwayTeam]]=Table1[[#This Row],[ActualWinner]],Table1[[#This Row],[HomeTeam]],Table1[[#This Row],[AwayTeam]]))</f>
        <v/>
      </c>
      <c r="U410" s="64">
        <f>Table1[[#This Row],[ActualAwayScore]]-Table1[[#This Row],[PredictedAwayScore]]</f>
        <v>0</v>
      </c>
      <c r="V410" s="64">
        <f>Table1[[#This Row],[ActualHomeScore]]-Table1[[#This Row],[PredictedHomeScore]]</f>
        <v>0</v>
      </c>
      <c r="W410" s="64">
        <f>(0.8*IF(Table1[[#This Row],[CorrectWinnerPrediction]]=1, 1, 0))+(0.1*IF(Table1[[#This Row],[CorrectAwayScorePrediction]]=1, 1, 0))+(0.1*IF(Table1[[#This Row],[CorrectHomeScorePrediction]]=1, 1, 0))</f>
        <v>0</v>
      </c>
      <c r="X41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10" s="64">
        <f>SUMIF(Table1[GameDate], Table1[[#This Row],[GameDate]], Table1[AwayGameGoalDiff])</f>
        <v>0</v>
      </c>
      <c r="AA410" s="64">
        <f>SUMIF(Table1[GameDate], Table1[[#This Row],[GameDate]], Table1[HomeGameGoalDiff])</f>
        <v>0</v>
      </c>
      <c r="AB410" s="64">
        <f>IF(ISBLANK(Table1[[#This Row],[ActualResult]]), 0, 1)</f>
        <v>0</v>
      </c>
      <c r="AC410" s="64">
        <f>IF(ISBLANK(Table1[[#This Row],[ActualResult]]), 0, IF(Table1[[#This Row],[ActualWinner]]=Table1[[#This Row],[PredictedWinner]], 1, 0))</f>
        <v>0</v>
      </c>
      <c r="AD41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1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10" s="64">
        <f>IF(AND(Table1[[#This Row],[GameIsOver]]=1,Table1[[#This Row],[ActualAwayScore]]=0), 1,0)</f>
        <v>0</v>
      </c>
      <c r="AG410" s="64">
        <f>IF(AND(Table1[[#This Row],[GameIsOver]]=1,Table1[[#This Row],[ActualHomeScore]]=0), 1,0)</f>
        <v>0</v>
      </c>
      <c r="AH410" s="64">
        <f>IF(Table1[[#This Row],[GameIsOver]]=0,0,IF(Table1[[#This Row],[ActualWinner]]=Table1[[#This Row],[AwayTeam]], 1, 0))</f>
        <v>0</v>
      </c>
      <c r="AI410" s="64">
        <f>IF(Table1[[#This Row],[GameIsOver]]=0,0,IF(Table1[[#This Row],[ActualWinner]]=Table1[[#This Row],[HomeTeam]], 1, 0))</f>
        <v>0</v>
      </c>
      <c r="AJ410" s="64">
        <f>IF(INDEX(Standings!$A$2:$C$33,MATCH(Table1[[#This Row],[AwayTeam]],Standings!$A$2:$A$33,0),2)=INDEX(Standings!$A$2:$C$33,MATCH(Table1[[#This Row],[HomeTeam]],Standings!$A$2:$A$33,0),2),1,0)</f>
        <v>1</v>
      </c>
      <c r="AK410" s="64">
        <f>IF(INDEX(Standings!$A$2:$C$33,MATCH(Table1[[#This Row],[AwayTeam]],Standings!$A$2:$A$33,0),3)=INDEX(Standings!$A$2:$C$33,MATCH(Table1[[#This Row],[HomeTeam]],Standings!$A$2:$A$33,0),3),1,0)</f>
        <v>1</v>
      </c>
      <c r="AL410" s="64">
        <f>IF(Table1[[#This Row],[InterConf]]=1,IF(Table1[[#This Row],[InterDiv]]=0, 1, 0), 0)</f>
        <v>0</v>
      </c>
      <c r="AM410" s="64">
        <f>IF(INDEX(Standings!$A$2:$C$33,MATCH(Table1[[#This Row],[AwayTeam]],Standings!$A$2:$A$33,0),2)&lt;&gt;INDEX(Standings!$A$2:$C$33,MATCH(Table1[[#This Row],[HomeTeam]],Standings!$A$2:$A$33,0),2),1,0)</f>
        <v>0</v>
      </c>
      <c r="AN410" s="64" t="str">
        <f>INDEX(Table2[AWAY_RECORD], MATCH(Table1[[#This Row],[AwayTeam]],Table2[Team], 0), 0)</f>
        <v>1-0-0</v>
      </c>
      <c r="AO410" s="64" t="str">
        <f>INDEX(Records!$B$2:$AG$33, MATCH(Table1[[#This Row],[AwayTeam]],Records!$A$2:$A$33, 0), MATCH(Table1[[#This Row],[HomeTeam]],Records!$A$2:$A$33, 0))</f>
        <v>0-0-0</v>
      </c>
      <c r="AP410" s="64" t="str">
        <f>INDEX(Table2[HOME_RECORD], MATCH(Table1[[#This Row],[HomeTeam]],Table2[Team], 0), 0)</f>
        <v>0-0-0</v>
      </c>
      <c r="AQ410" s="64" t="str">
        <f>INDEX(Records!$B$2:$AG$33, MATCH(Table1[[#This Row],[HomeTeam]],Records!$A$2:$A$33, 0), MATCH(Table1[[#This Row],[AwayTeam]],Records!$A$2:$A$33, 0))</f>
        <v>0-0-0</v>
      </c>
    </row>
    <row r="411" spans="1:43" x14ac:dyDescent="0.25">
      <c r="A411" s="1"/>
      <c r="D411" t="s">
        <v>643</v>
      </c>
      <c r="E411" t="s">
        <v>158</v>
      </c>
      <c r="F411" t="s">
        <v>654</v>
      </c>
      <c r="G411" t="s">
        <v>25</v>
      </c>
      <c r="H411" t="s">
        <v>55</v>
      </c>
      <c r="L41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1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11" s="1"/>
      <c r="T411" s="64" t="str">
        <f>IF(Table1[[#This Row],[ActualWinner]]="", "", IF(Table1[[#This Row],[AwayTeam]]=Table1[[#This Row],[ActualWinner]],Table1[[#This Row],[HomeTeam]],Table1[[#This Row],[AwayTeam]]))</f>
        <v/>
      </c>
      <c r="U411" s="64">
        <f>Table1[[#This Row],[ActualAwayScore]]-Table1[[#This Row],[PredictedAwayScore]]</f>
        <v>0</v>
      </c>
      <c r="V411" s="64">
        <f>Table1[[#This Row],[ActualHomeScore]]-Table1[[#This Row],[PredictedHomeScore]]</f>
        <v>0</v>
      </c>
      <c r="W411" s="64">
        <f>(0.8*IF(Table1[[#This Row],[CorrectWinnerPrediction]]=1, 1, 0))+(0.1*IF(Table1[[#This Row],[CorrectAwayScorePrediction]]=1, 1, 0))+(0.1*IF(Table1[[#This Row],[CorrectHomeScorePrediction]]=1, 1, 0))</f>
        <v>0</v>
      </c>
      <c r="X41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11" s="64">
        <f>SUMIF(Table1[GameDate], Table1[[#This Row],[GameDate]], Table1[AwayGameGoalDiff])</f>
        <v>0</v>
      </c>
      <c r="AA411" s="64">
        <f>SUMIF(Table1[GameDate], Table1[[#This Row],[GameDate]], Table1[HomeGameGoalDiff])</f>
        <v>0</v>
      </c>
      <c r="AB411" s="64">
        <f>IF(ISBLANK(Table1[[#This Row],[ActualResult]]), 0, 1)</f>
        <v>0</v>
      </c>
      <c r="AC411" s="64">
        <f>IF(ISBLANK(Table1[[#This Row],[ActualResult]]), 0, IF(Table1[[#This Row],[ActualWinner]]=Table1[[#This Row],[PredictedWinner]], 1, 0))</f>
        <v>0</v>
      </c>
      <c r="AD41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1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11" s="64">
        <f>IF(AND(Table1[[#This Row],[GameIsOver]]=1,Table1[[#This Row],[ActualAwayScore]]=0), 1,0)</f>
        <v>0</v>
      </c>
      <c r="AG411" s="64">
        <f>IF(AND(Table1[[#This Row],[GameIsOver]]=1,Table1[[#This Row],[ActualHomeScore]]=0), 1,0)</f>
        <v>0</v>
      </c>
      <c r="AH411" s="64">
        <f>IF(Table1[[#This Row],[GameIsOver]]=0,0,IF(Table1[[#This Row],[ActualWinner]]=Table1[[#This Row],[AwayTeam]], 1, 0))</f>
        <v>0</v>
      </c>
      <c r="AI411" s="64">
        <f>IF(Table1[[#This Row],[GameIsOver]]=0,0,IF(Table1[[#This Row],[ActualWinner]]=Table1[[#This Row],[HomeTeam]], 1, 0))</f>
        <v>0</v>
      </c>
      <c r="AJ411" s="64">
        <f>IF(INDEX(Standings!$A$2:$C$33,MATCH(Table1[[#This Row],[AwayTeam]],Standings!$A$2:$A$33,0),2)=INDEX(Standings!$A$2:$C$33,MATCH(Table1[[#This Row],[HomeTeam]],Standings!$A$2:$A$33,0),2),1,0)</f>
        <v>1</v>
      </c>
      <c r="AK411" s="64">
        <f>IF(INDEX(Standings!$A$2:$C$33,MATCH(Table1[[#This Row],[AwayTeam]],Standings!$A$2:$A$33,0),3)=INDEX(Standings!$A$2:$C$33,MATCH(Table1[[#This Row],[HomeTeam]],Standings!$A$2:$A$33,0),3),1,0)</f>
        <v>1</v>
      </c>
      <c r="AL411" s="64">
        <f>IF(Table1[[#This Row],[InterConf]]=1,IF(Table1[[#This Row],[InterDiv]]=0, 1, 0), 0)</f>
        <v>0</v>
      </c>
      <c r="AM411" s="64">
        <f>IF(INDEX(Standings!$A$2:$C$33,MATCH(Table1[[#This Row],[AwayTeam]],Standings!$A$2:$A$33,0),2)&lt;&gt;INDEX(Standings!$A$2:$C$33,MATCH(Table1[[#This Row],[HomeTeam]],Standings!$A$2:$A$33,0),2),1,0)</f>
        <v>0</v>
      </c>
      <c r="AN411" s="64" t="str">
        <f>INDEX(Table2[AWAY_RECORD], MATCH(Table1[[#This Row],[AwayTeam]],Table2[Team], 0), 0)</f>
        <v>0-0-0</v>
      </c>
      <c r="AO411" s="64" t="str">
        <f>INDEX(Records!$B$2:$AG$33, MATCH(Table1[[#This Row],[AwayTeam]],Records!$A$2:$A$33, 0), MATCH(Table1[[#This Row],[HomeTeam]],Records!$A$2:$A$33, 0))</f>
        <v>0-0-0</v>
      </c>
      <c r="AP411" s="64" t="str">
        <f>INDEX(Table2[HOME_RECORD], MATCH(Table1[[#This Row],[HomeTeam]],Table2[Team], 0), 0)</f>
        <v>0-1-0</v>
      </c>
      <c r="AQ411" s="64" t="str">
        <f>INDEX(Records!$B$2:$AG$33, MATCH(Table1[[#This Row],[HomeTeam]],Records!$A$2:$A$33, 0), MATCH(Table1[[#This Row],[AwayTeam]],Records!$A$2:$A$33, 0))</f>
        <v>0-0-0</v>
      </c>
    </row>
    <row r="412" spans="1:43" x14ac:dyDescent="0.25">
      <c r="A412" s="1"/>
      <c r="D412" t="s">
        <v>643</v>
      </c>
      <c r="E412" t="s">
        <v>184</v>
      </c>
      <c r="F412" t="s">
        <v>655</v>
      </c>
      <c r="G412" t="s">
        <v>51</v>
      </c>
      <c r="H412" t="s">
        <v>16</v>
      </c>
      <c r="L41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1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12" s="1"/>
      <c r="T412" s="64" t="str">
        <f>IF(Table1[[#This Row],[ActualWinner]]="", "", IF(Table1[[#This Row],[AwayTeam]]=Table1[[#This Row],[ActualWinner]],Table1[[#This Row],[HomeTeam]],Table1[[#This Row],[AwayTeam]]))</f>
        <v/>
      </c>
      <c r="U412" s="64">
        <f>Table1[[#This Row],[ActualAwayScore]]-Table1[[#This Row],[PredictedAwayScore]]</f>
        <v>0</v>
      </c>
      <c r="V412" s="64">
        <f>Table1[[#This Row],[ActualHomeScore]]-Table1[[#This Row],[PredictedHomeScore]]</f>
        <v>0</v>
      </c>
      <c r="W412" s="64">
        <f>(0.8*IF(Table1[[#This Row],[CorrectWinnerPrediction]]=1, 1, 0))+(0.1*IF(Table1[[#This Row],[CorrectAwayScorePrediction]]=1, 1, 0))+(0.1*IF(Table1[[#This Row],[CorrectHomeScorePrediction]]=1, 1, 0))</f>
        <v>0</v>
      </c>
      <c r="X41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12" s="64">
        <f>SUMIF(Table1[GameDate], Table1[[#This Row],[GameDate]], Table1[AwayGameGoalDiff])</f>
        <v>0</v>
      </c>
      <c r="AA412" s="64">
        <f>SUMIF(Table1[GameDate], Table1[[#This Row],[GameDate]], Table1[HomeGameGoalDiff])</f>
        <v>0</v>
      </c>
      <c r="AB412" s="64">
        <f>IF(ISBLANK(Table1[[#This Row],[ActualResult]]), 0, 1)</f>
        <v>0</v>
      </c>
      <c r="AC412" s="64">
        <f>IF(ISBLANK(Table1[[#This Row],[ActualResult]]), 0, IF(Table1[[#This Row],[ActualWinner]]=Table1[[#This Row],[PredictedWinner]], 1, 0))</f>
        <v>0</v>
      </c>
      <c r="AD41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1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12" s="64">
        <f>IF(AND(Table1[[#This Row],[GameIsOver]]=1,Table1[[#This Row],[ActualAwayScore]]=0), 1,0)</f>
        <v>0</v>
      </c>
      <c r="AG412" s="64">
        <f>IF(AND(Table1[[#This Row],[GameIsOver]]=1,Table1[[#This Row],[ActualHomeScore]]=0), 1,0)</f>
        <v>0</v>
      </c>
      <c r="AH412" s="64">
        <f>IF(Table1[[#This Row],[GameIsOver]]=0,0,IF(Table1[[#This Row],[ActualWinner]]=Table1[[#This Row],[AwayTeam]], 1, 0))</f>
        <v>0</v>
      </c>
      <c r="AI412" s="64">
        <f>IF(Table1[[#This Row],[GameIsOver]]=0,0,IF(Table1[[#This Row],[ActualWinner]]=Table1[[#This Row],[HomeTeam]], 1, 0))</f>
        <v>0</v>
      </c>
      <c r="AJ412" s="64">
        <f>IF(INDEX(Standings!$A$2:$C$33,MATCH(Table1[[#This Row],[AwayTeam]],Standings!$A$2:$A$33,0),2)=INDEX(Standings!$A$2:$C$33,MATCH(Table1[[#This Row],[HomeTeam]],Standings!$A$2:$A$33,0),2),1,0)</f>
        <v>0</v>
      </c>
      <c r="AK412" s="64">
        <f>IF(INDEX(Standings!$A$2:$C$33,MATCH(Table1[[#This Row],[AwayTeam]],Standings!$A$2:$A$33,0),3)=INDEX(Standings!$A$2:$C$33,MATCH(Table1[[#This Row],[HomeTeam]],Standings!$A$2:$A$33,0),3),1,0)</f>
        <v>0</v>
      </c>
      <c r="AL412" s="64">
        <f>IF(Table1[[#This Row],[InterConf]]=1,IF(Table1[[#This Row],[InterDiv]]=0, 1, 0), 0)</f>
        <v>0</v>
      </c>
      <c r="AM412" s="64">
        <f>IF(INDEX(Standings!$A$2:$C$33,MATCH(Table1[[#This Row],[AwayTeam]],Standings!$A$2:$A$33,0),2)&lt;&gt;INDEX(Standings!$A$2:$C$33,MATCH(Table1[[#This Row],[HomeTeam]],Standings!$A$2:$A$33,0),2),1,0)</f>
        <v>1</v>
      </c>
      <c r="AN412" s="64" t="str">
        <f>INDEX(Table2[AWAY_RECORD], MATCH(Table1[[#This Row],[AwayTeam]],Table2[Team], 0), 0)</f>
        <v>2-0-0</v>
      </c>
      <c r="AO412" s="64" t="str">
        <f>INDEX(Records!$B$2:$AG$33, MATCH(Table1[[#This Row],[AwayTeam]],Records!$A$2:$A$33, 0), MATCH(Table1[[#This Row],[HomeTeam]],Records!$A$2:$A$33, 0))</f>
        <v>0-0-0</v>
      </c>
      <c r="AP412" s="64" t="str">
        <f>INDEX(Table2[HOME_RECORD], MATCH(Table1[[#This Row],[HomeTeam]],Table2[Team], 0), 0)</f>
        <v>0-0-0</v>
      </c>
      <c r="AQ412" s="64" t="str">
        <f>INDEX(Records!$B$2:$AG$33, MATCH(Table1[[#This Row],[HomeTeam]],Records!$A$2:$A$33, 0), MATCH(Table1[[#This Row],[AwayTeam]],Records!$A$2:$A$33, 0))</f>
        <v>0-0-0</v>
      </c>
    </row>
    <row r="413" spans="1:43" x14ac:dyDescent="0.25">
      <c r="A413" s="1"/>
      <c r="D413" t="s">
        <v>643</v>
      </c>
      <c r="E413" t="s">
        <v>289</v>
      </c>
      <c r="F413" t="s">
        <v>656</v>
      </c>
      <c r="G413" t="s">
        <v>60</v>
      </c>
      <c r="H413" t="s">
        <v>50</v>
      </c>
      <c r="L41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1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13" s="1"/>
      <c r="T413" s="64" t="str">
        <f>IF(Table1[[#This Row],[ActualWinner]]="", "", IF(Table1[[#This Row],[AwayTeam]]=Table1[[#This Row],[ActualWinner]],Table1[[#This Row],[HomeTeam]],Table1[[#This Row],[AwayTeam]]))</f>
        <v/>
      </c>
      <c r="U413" s="64">
        <f>Table1[[#This Row],[ActualAwayScore]]-Table1[[#This Row],[PredictedAwayScore]]</f>
        <v>0</v>
      </c>
      <c r="V413" s="64">
        <f>Table1[[#This Row],[ActualHomeScore]]-Table1[[#This Row],[PredictedHomeScore]]</f>
        <v>0</v>
      </c>
      <c r="W413" s="64">
        <f>(0.8*IF(Table1[[#This Row],[CorrectWinnerPrediction]]=1, 1, 0))+(0.1*IF(Table1[[#This Row],[CorrectAwayScorePrediction]]=1, 1, 0))+(0.1*IF(Table1[[#This Row],[CorrectHomeScorePrediction]]=1, 1, 0))</f>
        <v>0</v>
      </c>
      <c r="X41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13" s="64">
        <f>SUMIF(Table1[GameDate], Table1[[#This Row],[GameDate]], Table1[AwayGameGoalDiff])</f>
        <v>0</v>
      </c>
      <c r="AA413" s="64">
        <f>SUMIF(Table1[GameDate], Table1[[#This Row],[GameDate]], Table1[HomeGameGoalDiff])</f>
        <v>0</v>
      </c>
      <c r="AB413" s="64">
        <f>IF(ISBLANK(Table1[[#This Row],[ActualResult]]), 0, 1)</f>
        <v>0</v>
      </c>
      <c r="AC413" s="64">
        <f>IF(ISBLANK(Table1[[#This Row],[ActualResult]]), 0, IF(Table1[[#This Row],[ActualWinner]]=Table1[[#This Row],[PredictedWinner]], 1, 0))</f>
        <v>0</v>
      </c>
      <c r="AD41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1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13" s="64">
        <f>IF(AND(Table1[[#This Row],[GameIsOver]]=1,Table1[[#This Row],[ActualAwayScore]]=0), 1,0)</f>
        <v>0</v>
      </c>
      <c r="AG413" s="64">
        <f>IF(AND(Table1[[#This Row],[GameIsOver]]=1,Table1[[#This Row],[ActualHomeScore]]=0), 1,0)</f>
        <v>0</v>
      </c>
      <c r="AH413" s="64">
        <f>IF(Table1[[#This Row],[GameIsOver]]=0,0,IF(Table1[[#This Row],[ActualWinner]]=Table1[[#This Row],[AwayTeam]], 1, 0))</f>
        <v>0</v>
      </c>
      <c r="AI413" s="64">
        <f>IF(Table1[[#This Row],[GameIsOver]]=0,0,IF(Table1[[#This Row],[ActualWinner]]=Table1[[#This Row],[HomeTeam]], 1, 0))</f>
        <v>0</v>
      </c>
      <c r="AJ413" s="64">
        <f>IF(INDEX(Standings!$A$2:$C$33,MATCH(Table1[[#This Row],[AwayTeam]],Standings!$A$2:$A$33,0),2)=INDEX(Standings!$A$2:$C$33,MATCH(Table1[[#This Row],[HomeTeam]],Standings!$A$2:$A$33,0),2),1,0)</f>
        <v>0</v>
      </c>
      <c r="AK413" s="64">
        <f>IF(INDEX(Standings!$A$2:$C$33,MATCH(Table1[[#This Row],[AwayTeam]],Standings!$A$2:$A$33,0),3)=INDEX(Standings!$A$2:$C$33,MATCH(Table1[[#This Row],[HomeTeam]],Standings!$A$2:$A$33,0),3),1,0)</f>
        <v>0</v>
      </c>
      <c r="AL413" s="64">
        <f>IF(Table1[[#This Row],[InterConf]]=1,IF(Table1[[#This Row],[InterDiv]]=0, 1, 0), 0)</f>
        <v>0</v>
      </c>
      <c r="AM413" s="64">
        <f>IF(INDEX(Standings!$A$2:$C$33,MATCH(Table1[[#This Row],[AwayTeam]],Standings!$A$2:$A$33,0),2)&lt;&gt;INDEX(Standings!$A$2:$C$33,MATCH(Table1[[#This Row],[HomeTeam]],Standings!$A$2:$A$33,0),2),1,0)</f>
        <v>1</v>
      </c>
      <c r="AN413" s="64" t="str">
        <f>INDEX(Table2[AWAY_RECORD], MATCH(Table1[[#This Row],[AwayTeam]],Table2[Team], 0), 0)</f>
        <v>0-0-0</v>
      </c>
      <c r="AO413" s="64" t="str">
        <f>INDEX(Records!$B$2:$AG$33, MATCH(Table1[[#This Row],[AwayTeam]],Records!$A$2:$A$33, 0), MATCH(Table1[[#This Row],[HomeTeam]],Records!$A$2:$A$33, 0))</f>
        <v>0-0-0</v>
      </c>
      <c r="AP413" s="64" t="str">
        <f>INDEX(Table2[HOME_RECORD], MATCH(Table1[[#This Row],[HomeTeam]],Table2[Team], 0), 0)</f>
        <v>0-0-0</v>
      </c>
      <c r="AQ413" s="64" t="str">
        <f>INDEX(Records!$B$2:$AG$33, MATCH(Table1[[#This Row],[HomeTeam]],Records!$A$2:$A$33, 0), MATCH(Table1[[#This Row],[AwayTeam]],Records!$A$2:$A$33, 0))</f>
        <v>0-0-0</v>
      </c>
    </row>
    <row r="414" spans="1:43" x14ac:dyDescent="0.25">
      <c r="A414" s="1"/>
      <c r="D414" t="s">
        <v>643</v>
      </c>
      <c r="E414" t="s">
        <v>178</v>
      </c>
      <c r="F414" t="s">
        <v>657</v>
      </c>
      <c r="G414" t="s">
        <v>54</v>
      </c>
      <c r="H414" t="s">
        <v>38</v>
      </c>
      <c r="L41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1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14" s="1"/>
      <c r="T414" s="64" t="str">
        <f>IF(Table1[[#This Row],[ActualWinner]]="", "", IF(Table1[[#This Row],[AwayTeam]]=Table1[[#This Row],[ActualWinner]],Table1[[#This Row],[HomeTeam]],Table1[[#This Row],[AwayTeam]]))</f>
        <v/>
      </c>
      <c r="U414" s="64">
        <f>Table1[[#This Row],[ActualAwayScore]]-Table1[[#This Row],[PredictedAwayScore]]</f>
        <v>0</v>
      </c>
      <c r="V414" s="64">
        <f>Table1[[#This Row],[ActualHomeScore]]-Table1[[#This Row],[PredictedHomeScore]]</f>
        <v>0</v>
      </c>
      <c r="W414" s="64">
        <f>(0.8*IF(Table1[[#This Row],[CorrectWinnerPrediction]]=1, 1, 0))+(0.1*IF(Table1[[#This Row],[CorrectAwayScorePrediction]]=1, 1, 0))+(0.1*IF(Table1[[#This Row],[CorrectHomeScorePrediction]]=1, 1, 0))</f>
        <v>0</v>
      </c>
      <c r="X41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14" s="64">
        <f>SUMIF(Table1[GameDate], Table1[[#This Row],[GameDate]], Table1[AwayGameGoalDiff])</f>
        <v>0</v>
      </c>
      <c r="AA414" s="64">
        <f>SUMIF(Table1[GameDate], Table1[[#This Row],[GameDate]], Table1[HomeGameGoalDiff])</f>
        <v>0</v>
      </c>
      <c r="AB414" s="64">
        <f>IF(ISBLANK(Table1[[#This Row],[ActualResult]]), 0, 1)</f>
        <v>0</v>
      </c>
      <c r="AC414" s="64">
        <f>IF(ISBLANK(Table1[[#This Row],[ActualResult]]), 0, IF(Table1[[#This Row],[ActualWinner]]=Table1[[#This Row],[PredictedWinner]], 1, 0))</f>
        <v>0</v>
      </c>
      <c r="AD41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1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14" s="64">
        <f>IF(AND(Table1[[#This Row],[GameIsOver]]=1,Table1[[#This Row],[ActualAwayScore]]=0), 1,0)</f>
        <v>0</v>
      </c>
      <c r="AG414" s="64">
        <f>IF(AND(Table1[[#This Row],[GameIsOver]]=1,Table1[[#This Row],[ActualHomeScore]]=0), 1,0)</f>
        <v>0</v>
      </c>
      <c r="AH414" s="64">
        <f>IF(Table1[[#This Row],[GameIsOver]]=0,0,IF(Table1[[#This Row],[ActualWinner]]=Table1[[#This Row],[AwayTeam]], 1, 0))</f>
        <v>0</v>
      </c>
      <c r="AI414" s="64">
        <f>IF(Table1[[#This Row],[GameIsOver]]=0,0,IF(Table1[[#This Row],[ActualWinner]]=Table1[[#This Row],[HomeTeam]], 1, 0))</f>
        <v>0</v>
      </c>
      <c r="AJ414" s="64">
        <f>IF(INDEX(Standings!$A$2:$C$33,MATCH(Table1[[#This Row],[AwayTeam]],Standings!$A$2:$A$33,0),2)=INDEX(Standings!$A$2:$C$33,MATCH(Table1[[#This Row],[HomeTeam]],Standings!$A$2:$A$33,0),2),1,0)</f>
        <v>1</v>
      </c>
      <c r="AK414" s="64">
        <f>IF(INDEX(Standings!$A$2:$C$33,MATCH(Table1[[#This Row],[AwayTeam]],Standings!$A$2:$A$33,0),3)=INDEX(Standings!$A$2:$C$33,MATCH(Table1[[#This Row],[HomeTeam]],Standings!$A$2:$A$33,0),3),1,0)</f>
        <v>0</v>
      </c>
      <c r="AL414" s="64">
        <f>IF(Table1[[#This Row],[InterConf]]=1,IF(Table1[[#This Row],[InterDiv]]=0, 1, 0), 0)</f>
        <v>1</v>
      </c>
      <c r="AM414" s="64">
        <f>IF(INDEX(Standings!$A$2:$C$33,MATCH(Table1[[#This Row],[AwayTeam]],Standings!$A$2:$A$33,0),2)&lt;&gt;INDEX(Standings!$A$2:$C$33,MATCH(Table1[[#This Row],[HomeTeam]],Standings!$A$2:$A$33,0),2),1,0)</f>
        <v>0</v>
      </c>
      <c r="AN414" s="64" t="str">
        <f>INDEX(Table2[AWAY_RECORD], MATCH(Table1[[#This Row],[AwayTeam]],Table2[Team], 0), 0)</f>
        <v>0-0-1</v>
      </c>
      <c r="AO414" s="64" t="str">
        <f>INDEX(Records!$B$2:$AG$33, MATCH(Table1[[#This Row],[AwayTeam]],Records!$A$2:$A$33, 0), MATCH(Table1[[#This Row],[HomeTeam]],Records!$A$2:$A$33, 0))</f>
        <v>0-0-0</v>
      </c>
      <c r="AP414" s="64" t="str">
        <f>INDEX(Table2[HOME_RECORD], MATCH(Table1[[#This Row],[HomeTeam]],Table2[Team], 0), 0)</f>
        <v>0-0-0</v>
      </c>
      <c r="AQ414" s="64" t="str">
        <f>INDEX(Records!$B$2:$AG$33, MATCH(Table1[[#This Row],[HomeTeam]],Records!$A$2:$A$33, 0), MATCH(Table1[[#This Row],[AwayTeam]],Records!$A$2:$A$33, 0))</f>
        <v>0-0-0</v>
      </c>
    </row>
    <row r="415" spans="1:43" x14ac:dyDescent="0.25">
      <c r="A415" s="1"/>
      <c r="D415" t="s">
        <v>643</v>
      </c>
      <c r="E415" t="s">
        <v>178</v>
      </c>
      <c r="F415" t="s">
        <v>658</v>
      </c>
      <c r="G415" t="s">
        <v>56</v>
      </c>
      <c r="H415" t="s">
        <v>45</v>
      </c>
      <c r="L41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1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15" s="1"/>
      <c r="T415" s="64" t="str">
        <f>IF(Table1[[#This Row],[ActualWinner]]="", "", IF(Table1[[#This Row],[AwayTeam]]=Table1[[#This Row],[ActualWinner]],Table1[[#This Row],[HomeTeam]],Table1[[#This Row],[AwayTeam]]))</f>
        <v/>
      </c>
      <c r="U415" s="64">
        <f>Table1[[#This Row],[ActualAwayScore]]-Table1[[#This Row],[PredictedAwayScore]]</f>
        <v>0</v>
      </c>
      <c r="V415" s="64">
        <f>Table1[[#This Row],[ActualHomeScore]]-Table1[[#This Row],[PredictedHomeScore]]</f>
        <v>0</v>
      </c>
      <c r="W415" s="64">
        <f>(0.8*IF(Table1[[#This Row],[CorrectWinnerPrediction]]=1, 1, 0))+(0.1*IF(Table1[[#This Row],[CorrectAwayScorePrediction]]=1, 1, 0))+(0.1*IF(Table1[[#This Row],[CorrectHomeScorePrediction]]=1, 1, 0))</f>
        <v>0</v>
      </c>
      <c r="X41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15" s="64">
        <f>SUMIF(Table1[GameDate], Table1[[#This Row],[GameDate]], Table1[AwayGameGoalDiff])</f>
        <v>0</v>
      </c>
      <c r="AA415" s="64">
        <f>SUMIF(Table1[GameDate], Table1[[#This Row],[GameDate]], Table1[HomeGameGoalDiff])</f>
        <v>0</v>
      </c>
      <c r="AB415" s="64">
        <f>IF(ISBLANK(Table1[[#This Row],[ActualResult]]), 0, 1)</f>
        <v>0</v>
      </c>
      <c r="AC415" s="64">
        <f>IF(ISBLANK(Table1[[#This Row],[ActualResult]]), 0, IF(Table1[[#This Row],[ActualWinner]]=Table1[[#This Row],[PredictedWinner]], 1, 0))</f>
        <v>0</v>
      </c>
      <c r="AD41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1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15" s="64">
        <f>IF(AND(Table1[[#This Row],[GameIsOver]]=1,Table1[[#This Row],[ActualAwayScore]]=0), 1,0)</f>
        <v>0</v>
      </c>
      <c r="AG415" s="64">
        <f>IF(AND(Table1[[#This Row],[GameIsOver]]=1,Table1[[#This Row],[ActualHomeScore]]=0), 1,0)</f>
        <v>0</v>
      </c>
      <c r="AH415" s="64">
        <f>IF(Table1[[#This Row],[GameIsOver]]=0,0,IF(Table1[[#This Row],[ActualWinner]]=Table1[[#This Row],[AwayTeam]], 1, 0))</f>
        <v>0</v>
      </c>
      <c r="AI415" s="64">
        <f>IF(Table1[[#This Row],[GameIsOver]]=0,0,IF(Table1[[#This Row],[ActualWinner]]=Table1[[#This Row],[HomeTeam]], 1, 0))</f>
        <v>0</v>
      </c>
      <c r="AJ415" s="64">
        <f>IF(INDEX(Standings!$A$2:$C$33,MATCH(Table1[[#This Row],[AwayTeam]],Standings!$A$2:$A$33,0),2)=INDEX(Standings!$A$2:$C$33,MATCH(Table1[[#This Row],[HomeTeam]],Standings!$A$2:$A$33,0),2),1,0)</f>
        <v>1</v>
      </c>
      <c r="AK415" s="64">
        <f>IF(INDEX(Standings!$A$2:$C$33,MATCH(Table1[[#This Row],[AwayTeam]],Standings!$A$2:$A$33,0),3)=INDEX(Standings!$A$2:$C$33,MATCH(Table1[[#This Row],[HomeTeam]],Standings!$A$2:$A$33,0),3),1,0)</f>
        <v>1</v>
      </c>
      <c r="AL415" s="64">
        <f>IF(Table1[[#This Row],[InterConf]]=1,IF(Table1[[#This Row],[InterDiv]]=0, 1, 0), 0)</f>
        <v>0</v>
      </c>
      <c r="AM415" s="64">
        <f>IF(INDEX(Standings!$A$2:$C$33,MATCH(Table1[[#This Row],[AwayTeam]],Standings!$A$2:$A$33,0),2)&lt;&gt;INDEX(Standings!$A$2:$C$33,MATCH(Table1[[#This Row],[HomeTeam]],Standings!$A$2:$A$33,0),2),1,0)</f>
        <v>0</v>
      </c>
      <c r="AN415" s="64" t="str">
        <f>INDEX(Table2[AWAY_RECORD], MATCH(Table1[[#This Row],[AwayTeam]],Table2[Team], 0), 0)</f>
        <v>1-0-0</v>
      </c>
      <c r="AO415" s="64" t="str">
        <f>INDEX(Records!$B$2:$AG$33, MATCH(Table1[[#This Row],[AwayTeam]],Records!$A$2:$A$33, 0), MATCH(Table1[[#This Row],[HomeTeam]],Records!$A$2:$A$33, 0))</f>
        <v>0-0-0</v>
      </c>
      <c r="AP415" s="64" t="str">
        <f>INDEX(Table2[HOME_RECORD], MATCH(Table1[[#This Row],[HomeTeam]],Table2[Team], 0), 0)</f>
        <v>1-0-0</v>
      </c>
      <c r="AQ415" s="64" t="str">
        <f>INDEX(Records!$B$2:$AG$33, MATCH(Table1[[#This Row],[HomeTeam]],Records!$A$2:$A$33, 0), MATCH(Table1[[#This Row],[AwayTeam]],Records!$A$2:$A$33, 0))</f>
        <v>0-0-0</v>
      </c>
    </row>
    <row r="416" spans="1:43" x14ac:dyDescent="0.25">
      <c r="A416" s="1"/>
      <c r="D416" t="s">
        <v>659</v>
      </c>
      <c r="E416" t="s">
        <v>158</v>
      </c>
      <c r="F416" t="s">
        <v>660</v>
      </c>
      <c r="G416" t="s">
        <v>47</v>
      </c>
      <c r="H416" t="s">
        <v>25</v>
      </c>
      <c r="L41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1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16" s="1"/>
      <c r="T416" s="64" t="str">
        <f>IF(Table1[[#This Row],[ActualWinner]]="", "", IF(Table1[[#This Row],[AwayTeam]]=Table1[[#This Row],[ActualWinner]],Table1[[#This Row],[HomeTeam]],Table1[[#This Row],[AwayTeam]]))</f>
        <v/>
      </c>
      <c r="U416" s="64">
        <f>Table1[[#This Row],[ActualAwayScore]]-Table1[[#This Row],[PredictedAwayScore]]</f>
        <v>0</v>
      </c>
      <c r="V416" s="64">
        <f>Table1[[#This Row],[ActualHomeScore]]-Table1[[#This Row],[PredictedHomeScore]]</f>
        <v>0</v>
      </c>
      <c r="W416" s="64">
        <f>(0.8*IF(Table1[[#This Row],[CorrectWinnerPrediction]]=1, 1, 0))+(0.1*IF(Table1[[#This Row],[CorrectAwayScorePrediction]]=1, 1, 0))+(0.1*IF(Table1[[#This Row],[CorrectHomeScorePrediction]]=1, 1, 0))</f>
        <v>0</v>
      </c>
      <c r="X41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16" s="64">
        <f>SUMIF(Table1[GameDate], Table1[[#This Row],[GameDate]], Table1[AwayGameGoalDiff])</f>
        <v>0</v>
      </c>
      <c r="AA416" s="64">
        <f>SUMIF(Table1[GameDate], Table1[[#This Row],[GameDate]], Table1[HomeGameGoalDiff])</f>
        <v>0</v>
      </c>
      <c r="AB416" s="64">
        <f>IF(ISBLANK(Table1[[#This Row],[ActualResult]]), 0, 1)</f>
        <v>0</v>
      </c>
      <c r="AC416" s="64">
        <f>IF(ISBLANK(Table1[[#This Row],[ActualResult]]), 0, IF(Table1[[#This Row],[ActualWinner]]=Table1[[#This Row],[PredictedWinner]], 1, 0))</f>
        <v>0</v>
      </c>
      <c r="AD41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1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16" s="64">
        <f>IF(AND(Table1[[#This Row],[GameIsOver]]=1,Table1[[#This Row],[ActualAwayScore]]=0), 1,0)</f>
        <v>0</v>
      </c>
      <c r="AG416" s="64">
        <f>IF(AND(Table1[[#This Row],[GameIsOver]]=1,Table1[[#This Row],[ActualHomeScore]]=0), 1,0)</f>
        <v>0</v>
      </c>
      <c r="AH416" s="64">
        <f>IF(Table1[[#This Row],[GameIsOver]]=0,0,IF(Table1[[#This Row],[ActualWinner]]=Table1[[#This Row],[AwayTeam]], 1, 0))</f>
        <v>0</v>
      </c>
      <c r="AI416" s="64">
        <f>IF(Table1[[#This Row],[GameIsOver]]=0,0,IF(Table1[[#This Row],[ActualWinner]]=Table1[[#This Row],[HomeTeam]], 1, 0))</f>
        <v>0</v>
      </c>
      <c r="AJ416" s="64">
        <f>IF(INDEX(Standings!$A$2:$C$33,MATCH(Table1[[#This Row],[AwayTeam]],Standings!$A$2:$A$33,0),2)=INDEX(Standings!$A$2:$C$33,MATCH(Table1[[#This Row],[HomeTeam]],Standings!$A$2:$A$33,0),2),1,0)</f>
        <v>0</v>
      </c>
      <c r="AK416" s="64">
        <f>IF(INDEX(Standings!$A$2:$C$33,MATCH(Table1[[#This Row],[AwayTeam]],Standings!$A$2:$A$33,0),3)=INDEX(Standings!$A$2:$C$33,MATCH(Table1[[#This Row],[HomeTeam]],Standings!$A$2:$A$33,0),3),1,0)</f>
        <v>0</v>
      </c>
      <c r="AL416" s="64">
        <f>IF(Table1[[#This Row],[InterConf]]=1,IF(Table1[[#This Row],[InterDiv]]=0, 1, 0), 0)</f>
        <v>0</v>
      </c>
      <c r="AM416" s="64">
        <f>IF(INDEX(Standings!$A$2:$C$33,MATCH(Table1[[#This Row],[AwayTeam]],Standings!$A$2:$A$33,0),2)&lt;&gt;INDEX(Standings!$A$2:$C$33,MATCH(Table1[[#This Row],[HomeTeam]],Standings!$A$2:$A$33,0),2),1,0)</f>
        <v>1</v>
      </c>
      <c r="AN416" s="64" t="str">
        <f>INDEX(Table2[AWAY_RECORD], MATCH(Table1[[#This Row],[AwayTeam]],Table2[Team], 0), 0)</f>
        <v>1-0-0</v>
      </c>
      <c r="AO416" s="64" t="str">
        <f>INDEX(Records!$B$2:$AG$33, MATCH(Table1[[#This Row],[AwayTeam]],Records!$A$2:$A$33, 0), MATCH(Table1[[#This Row],[HomeTeam]],Records!$A$2:$A$33, 0))</f>
        <v>0-0-0</v>
      </c>
      <c r="AP416" s="64" t="str">
        <f>INDEX(Table2[HOME_RECORD], MATCH(Table1[[#This Row],[HomeTeam]],Table2[Team], 0), 0)</f>
        <v>0-0-1</v>
      </c>
      <c r="AQ416" s="64" t="str">
        <f>INDEX(Records!$B$2:$AG$33, MATCH(Table1[[#This Row],[HomeTeam]],Records!$A$2:$A$33, 0), MATCH(Table1[[#This Row],[AwayTeam]],Records!$A$2:$A$33, 0))</f>
        <v>0-0-0</v>
      </c>
    </row>
    <row r="417" spans="1:43" x14ac:dyDescent="0.25">
      <c r="A417" s="1"/>
      <c r="D417" t="s">
        <v>659</v>
      </c>
      <c r="E417" t="s">
        <v>160</v>
      </c>
      <c r="F417" t="s">
        <v>661</v>
      </c>
      <c r="G417" t="s">
        <v>57</v>
      </c>
      <c r="H417" t="s">
        <v>17</v>
      </c>
      <c r="L41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1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17" s="1"/>
      <c r="T417" s="64" t="str">
        <f>IF(Table1[[#This Row],[ActualWinner]]="", "", IF(Table1[[#This Row],[AwayTeam]]=Table1[[#This Row],[ActualWinner]],Table1[[#This Row],[HomeTeam]],Table1[[#This Row],[AwayTeam]]))</f>
        <v/>
      </c>
      <c r="U417" s="64">
        <f>Table1[[#This Row],[ActualAwayScore]]-Table1[[#This Row],[PredictedAwayScore]]</f>
        <v>0</v>
      </c>
      <c r="V417" s="64">
        <f>Table1[[#This Row],[ActualHomeScore]]-Table1[[#This Row],[PredictedHomeScore]]</f>
        <v>0</v>
      </c>
      <c r="W417" s="64">
        <f>(0.8*IF(Table1[[#This Row],[CorrectWinnerPrediction]]=1, 1, 0))+(0.1*IF(Table1[[#This Row],[CorrectAwayScorePrediction]]=1, 1, 0))+(0.1*IF(Table1[[#This Row],[CorrectHomeScorePrediction]]=1, 1, 0))</f>
        <v>0</v>
      </c>
      <c r="X41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17" s="64">
        <f>SUMIF(Table1[GameDate], Table1[[#This Row],[GameDate]], Table1[AwayGameGoalDiff])</f>
        <v>0</v>
      </c>
      <c r="AA417" s="64">
        <f>SUMIF(Table1[GameDate], Table1[[#This Row],[GameDate]], Table1[HomeGameGoalDiff])</f>
        <v>0</v>
      </c>
      <c r="AB417" s="64">
        <f>IF(ISBLANK(Table1[[#This Row],[ActualResult]]), 0, 1)</f>
        <v>0</v>
      </c>
      <c r="AC417" s="64">
        <f>IF(ISBLANK(Table1[[#This Row],[ActualResult]]), 0, IF(Table1[[#This Row],[ActualWinner]]=Table1[[#This Row],[PredictedWinner]], 1, 0))</f>
        <v>0</v>
      </c>
      <c r="AD41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1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17" s="64">
        <f>IF(AND(Table1[[#This Row],[GameIsOver]]=1,Table1[[#This Row],[ActualAwayScore]]=0), 1,0)</f>
        <v>0</v>
      </c>
      <c r="AG417" s="64">
        <f>IF(AND(Table1[[#This Row],[GameIsOver]]=1,Table1[[#This Row],[ActualHomeScore]]=0), 1,0)</f>
        <v>0</v>
      </c>
      <c r="AH417" s="64">
        <f>IF(Table1[[#This Row],[GameIsOver]]=0,0,IF(Table1[[#This Row],[ActualWinner]]=Table1[[#This Row],[AwayTeam]], 1, 0))</f>
        <v>0</v>
      </c>
      <c r="AI417" s="64">
        <f>IF(Table1[[#This Row],[GameIsOver]]=0,0,IF(Table1[[#This Row],[ActualWinner]]=Table1[[#This Row],[HomeTeam]], 1, 0))</f>
        <v>0</v>
      </c>
      <c r="AJ417" s="64">
        <f>IF(INDEX(Standings!$A$2:$C$33,MATCH(Table1[[#This Row],[AwayTeam]],Standings!$A$2:$A$33,0),2)=INDEX(Standings!$A$2:$C$33,MATCH(Table1[[#This Row],[HomeTeam]],Standings!$A$2:$A$33,0),2),1,0)</f>
        <v>1</v>
      </c>
      <c r="AK417" s="64">
        <f>IF(INDEX(Standings!$A$2:$C$33,MATCH(Table1[[#This Row],[AwayTeam]],Standings!$A$2:$A$33,0),3)=INDEX(Standings!$A$2:$C$33,MATCH(Table1[[#This Row],[HomeTeam]],Standings!$A$2:$A$33,0),3),1,0)</f>
        <v>1</v>
      </c>
      <c r="AL417" s="64">
        <f>IF(Table1[[#This Row],[InterConf]]=1,IF(Table1[[#This Row],[InterDiv]]=0, 1, 0), 0)</f>
        <v>0</v>
      </c>
      <c r="AM417" s="64">
        <f>IF(INDEX(Standings!$A$2:$C$33,MATCH(Table1[[#This Row],[AwayTeam]],Standings!$A$2:$A$33,0),2)&lt;&gt;INDEX(Standings!$A$2:$C$33,MATCH(Table1[[#This Row],[HomeTeam]],Standings!$A$2:$A$33,0),2),1,0)</f>
        <v>0</v>
      </c>
      <c r="AN417" s="64" t="str">
        <f>INDEX(Table2[AWAY_RECORD], MATCH(Table1[[#This Row],[AwayTeam]],Table2[Team], 0), 0)</f>
        <v>0-1-0</v>
      </c>
      <c r="AO417" s="64" t="str">
        <f>INDEX(Records!$B$2:$AG$33, MATCH(Table1[[#This Row],[AwayTeam]],Records!$A$2:$A$33, 0), MATCH(Table1[[#This Row],[HomeTeam]],Records!$A$2:$A$33, 0))</f>
        <v>0-0-0</v>
      </c>
      <c r="AP417" s="64" t="str">
        <f>INDEX(Table2[HOME_RECORD], MATCH(Table1[[#This Row],[HomeTeam]],Table2[Team], 0), 0)</f>
        <v>0-0-0</v>
      </c>
      <c r="AQ417" s="64" t="str">
        <f>INDEX(Records!$B$2:$AG$33, MATCH(Table1[[#This Row],[HomeTeam]],Records!$A$2:$A$33, 0), MATCH(Table1[[#This Row],[AwayTeam]],Records!$A$2:$A$33, 0))</f>
        <v>0-0-0</v>
      </c>
    </row>
    <row r="418" spans="1:43" x14ac:dyDescent="0.25">
      <c r="A418" s="1"/>
      <c r="D418" t="s">
        <v>659</v>
      </c>
      <c r="E418" t="s">
        <v>162</v>
      </c>
      <c r="F418" t="s">
        <v>662</v>
      </c>
      <c r="G418" t="s">
        <v>48</v>
      </c>
      <c r="H418" t="s">
        <v>44</v>
      </c>
      <c r="L41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1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18" s="1"/>
      <c r="T418" s="64" t="str">
        <f>IF(Table1[[#This Row],[ActualWinner]]="", "", IF(Table1[[#This Row],[AwayTeam]]=Table1[[#This Row],[ActualWinner]],Table1[[#This Row],[HomeTeam]],Table1[[#This Row],[AwayTeam]]))</f>
        <v/>
      </c>
      <c r="U418" s="64">
        <f>Table1[[#This Row],[ActualAwayScore]]-Table1[[#This Row],[PredictedAwayScore]]</f>
        <v>0</v>
      </c>
      <c r="V418" s="64">
        <f>Table1[[#This Row],[ActualHomeScore]]-Table1[[#This Row],[PredictedHomeScore]]</f>
        <v>0</v>
      </c>
      <c r="W418" s="64">
        <f>(0.8*IF(Table1[[#This Row],[CorrectWinnerPrediction]]=1, 1, 0))+(0.1*IF(Table1[[#This Row],[CorrectAwayScorePrediction]]=1, 1, 0))+(0.1*IF(Table1[[#This Row],[CorrectHomeScorePrediction]]=1, 1, 0))</f>
        <v>0</v>
      </c>
      <c r="X41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18" s="64">
        <f>SUMIF(Table1[GameDate], Table1[[#This Row],[GameDate]], Table1[AwayGameGoalDiff])</f>
        <v>0</v>
      </c>
      <c r="AA418" s="64">
        <f>SUMIF(Table1[GameDate], Table1[[#This Row],[GameDate]], Table1[HomeGameGoalDiff])</f>
        <v>0</v>
      </c>
      <c r="AB418" s="64">
        <f>IF(ISBLANK(Table1[[#This Row],[ActualResult]]), 0, 1)</f>
        <v>0</v>
      </c>
      <c r="AC418" s="64">
        <f>IF(ISBLANK(Table1[[#This Row],[ActualResult]]), 0, IF(Table1[[#This Row],[ActualWinner]]=Table1[[#This Row],[PredictedWinner]], 1, 0))</f>
        <v>0</v>
      </c>
      <c r="AD41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1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18" s="64">
        <f>IF(AND(Table1[[#This Row],[GameIsOver]]=1,Table1[[#This Row],[ActualAwayScore]]=0), 1,0)</f>
        <v>0</v>
      </c>
      <c r="AG418" s="64">
        <f>IF(AND(Table1[[#This Row],[GameIsOver]]=1,Table1[[#This Row],[ActualHomeScore]]=0), 1,0)</f>
        <v>0</v>
      </c>
      <c r="AH418" s="64">
        <f>IF(Table1[[#This Row],[GameIsOver]]=0,0,IF(Table1[[#This Row],[ActualWinner]]=Table1[[#This Row],[AwayTeam]], 1, 0))</f>
        <v>0</v>
      </c>
      <c r="AI418" s="64">
        <f>IF(Table1[[#This Row],[GameIsOver]]=0,0,IF(Table1[[#This Row],[ActualWinner]]=Table1[[#This Row],[HomeTeam]], 1, 0))</f>
        <v>0</v>
      </c>
      <c r="AJ418" s="64">
        <f>IF(INDEX(Standings!$A$2:$C$33,MATCH(Table1[[#This Row],[AwayTeam]],Standings!$A$2:$A$33,0),2)=INDEX(Standings!$A$2:$C$33,MATCH(Table1[[#This Row],[HomeTeam]],Standings!$A$2:$A$33,0),2),1,0)</f>
        <v>0</v>
      </c>
      <c r="AK418" s="64">
        <f>IF(INDEX(Standings!$A$2:$C$33,MATCH(Table1[[#This Row],[AwayTeam]],Standings!$A$2:$A$33,0),3)=INDEX(Standings!$A$2:$C$33,MATCH(Table1[[#This Row],[HomeTeam]],Standings!$A$2:$A$33,0),3),1,0)</f>
        <v>0</v>
      </c>
      <c r="AL418" s="64">
        <f>IF(Table1[[#This Row],[InterConf]]=1,IF(Table1[[#This Row],[InterDiv]]=0, 1, 0), 0)</f>
        <v>0</v>
      </c>
      <c r="AM418" s="64">
        <f>IF(INDEX(Standings!$A$2:$C$33,MATCH(Table1[[#This Row],[AwayTeam]],Standings!$A$2:$A$33,0),2)&lt;&gt;INDEX(Standings!$A$2:$C$33,MATCH(Table1[[#This Row],[HomeTeam]],Standings!$A$2:$A$33,0),2),1,0)</f>
        <v>1</v>
      </c>
      <c r="AN418" s="64" t="str">
        <f>INDEX(Table2[AWAY_RECORD], MATCH(Table1[[#This Row],[AwayTeam]],Table2[Team], 0), 0)</f>
        <v>0-0-0</v>
      </c>
      <c r="AO418" s="64" t="str">
        <f>INDEX(Records!$B$2:$AG$33, MATCH(Table1[[#This Row],[AwayTeam]],Records!$A$2:$A$33, 0), MATCH(Table1[[#This Row],[HomeTeam]],Records!$A$2:$A$33, 0))</f>
        <v>0-0-0</v>
      </c>
      <c r="AP418" s="64" t="str">
        <f>INDEX(Table2[HOME_RECORD], MATCH(Table1[[#This Row],[HomeTeam]],Table2[Team], 0), 0)</f>
        <v>0-0-1</v>
      </c>
      <c r="AQ418" s="64" t="str">
        <f>INDEX(Records!$B$2:$AG$33, MATCH(Table1[[#This Row],[HomeTeam]],Records!$A$2:$A$33, 0), MATCH(Table1[[#This Row],[AwayTeam]],Records!$A$2:$A$33, 0))</f>
        <v>0-0-0</v>
      </c>
    </row>
    <row r="419" spans="1:43" x14ac:dyDescent="0.25">
      <c r="A419" s="1"/>
      <c r="D419" t="s">
        <v>659</v>
      </c>
      <c r="E419" t="s">
        <v>162</v>
      </c>
      <c r="F419" t="s">
        <v>663</v>
      </c>
      <c r="G419" t="s">
        <v>60</v>
      </c>
      <c r="H419" t="s">
        <v>49</v>
      </c>
      <c r="L41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1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19" s="1"/>
      <c r="T419" s="64" t="str">
        <f>IF(Table1[[#This Row],[ActualWinner]]="", "", IF(Table1[[#This Row],[AwayTeam]]=Table1[[#This Row],[ActualWinner]],Table1[[#This Row],[HomeTeam]],Table1[[#This Row],[AwayTeam]]))</f>
        <v/>
      </c>
      <c r="U419" s="64">
        <f>Table1[[#This Row],[ActualAwayScore]]-Table1[[#This Row],[PredictedAwayScore]]</f>
        <v>0</v>
      </c>
      <c r="V419" s="64">
        <f>Table1[[#This Row],[ActualHomeScore]]-Table1[[#This Row],[PredictedHomeScore]]</f>
        <v>0</v>
      </c>
      <c r="W419" s="64">
        <f>(0.8*IF(Table1[[#This Row],[CorrectWinnerPrediction]]=1, 1, 0))+(0.1*IF(Table1[[#This Row],[CorrectAwayScorePrediction]]=1, 1, 0))+(0.1*IF(Table1[[#This Row],[CorrectHomeScorePrediction]]=1, 1, 0))</f>
        <v>0</v>
      </c>
      <c r="X41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19" s="64">
        <f>SUMIF(Table1[GameDate], Table1[[#This Row],[GameDate]], Table1[AwayGameGoalDiff])</f>
        <v>0</v>
      </c>
      <c r="AA419" s="64">
        <f>SUMIF(Table1[GameDate], Table1[[#This Row],[GameDate]], Table1[HomeGameGoalDiff])</f>
        <v>0</v>
      </c>
      <c r="AB419" s="64">
        <f>IF(ISBLANK(Table1[[#This Row],[ActualResult]]), 0, 1)</f>
        <v>0</v>
      </c>
      <c r="AC419" s="64">
        <f>IF(ISBLANK(Table1[[#This Row],[ActualResult]]), 0, IF(Table1[[#This Row],[ActualWinner]]=Table1[[#This Row],[PredictedWinner]], 1, 0))</f>
        <v>0</v>
      </c>
      <c r="AD41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1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19" s="64">
        <f>IF(AND(Table1[[#This Row],[GameIsOver]]=1,Table1[[#This Row],[ActualAwayScore]]=0), 1,0)</f>
        <v>0</v>
      </c>
      <c r="AG419" s="64">
        <f>IF(AND(Table1[[#This Row],[GameIsOver]]=1,Table1[[#This Row],[ActualHomeScore]]=0), 1,0)</f>
        <v>0</v>
      </c>
      <c r="AH419" s="64">
        <f>IF(Table1[[#This Row],[GameIsOver]]=0,0,IF(Table1[[#This Row],[ActualWinner]]=Table1[[#This Row],[AwayTeam]], 1, 0))</f>
        <v>0</v>
      </c>
      <c r="AI419" s="64">
        <f>IF(Table1[[#This Row],[GameIsOver]]=0,0,IF(Table1[[#This Row],[ActualWinner]]=Table1[[#This Row],[HomeTeam]], 1, 0))</f>
        <v>0</v>
      </c>
      <c r="AJ419" s="64">
        <f>IF(INDEX(Standings!$A$2:$C$33,MATCH(Table1[[#This Row],[AwayTeam]],Standings!$A$2:$A$33,0),2)=INDEX(Standings!$A$2:$C$33,MATCH(Table1[[#This Row],[HomeTeam]],Standings!$A$2:$A$33,0),2),1,0)</f>
        <v>0</v>
      </c>
      <c r="AK419" s="64">
        <f>IF(INDEX(Standings!$A$2:$C$33,MATCH(Table1[[#This Row],[AwayTeam]],Standings!$A$2:$A$33,0),3)=INDEX(Standings!$A$2:$C$33,MATCH(Table1[[#This Row],[HomeTeam]],Standings!$A$2:$A$33,0),3),1,0)</f>
        <v>0</v>
      </c>
      <c r="AL419" s="64">
        <f>IF(Table1[[#This Row],[InterConf]]=1,IF(Table1[[#This Row],[InterDiv]]=0, 1, 0), 0)</f>
        <v>0</v>
      </c>
      <c r="AM419" s="64">
        <f>IF(INDEX(Standings!$A$2:$C$33,MATCH(Table1[[#This Row],[AwayTeam]],Standings!$A$2:$A$33,0),2)&lt;&gt;INDEX(Standings!$A$2:$C$33,MATCH(Table1[[#This Row],[HomeTeam]],Standings!$A$2:$A$33,0),2),1,0)</f>
        <v>1</v>
      </c>
      <c r="AN419" s="64" t="str">
        <f>INDEX(Table2[AWAY_RECORD], MATCH(Table1[[#This Row],[AwayTeam]],Table2[Team], 0), 0)</f>
        <v>0-0-0</v>
      </c>
      <c r="AO419" s="64" t="str">
        <f>INDEX(Records!$B$2:$AG$33, MATCH(Table1[[#This Row],[AwayTeam]],Records!$A$2:$A$33, 0), MATCH(Table1[[#This Row],[HomeTeam]],Records!$A$2:$A$33, 0))</f>
        <v>0-0-0</v>
      </c>
      <c r="AP419" s="64" t="str">
        <f>INDEX(Table2[HOME_RECORD], MATCH(Table1[[#This Row],[HomeTeam]],Table2[Team], 0), 0)</f>
        <v>1-0-0</v>
      </c>
      <c r="AQ419" s="64" t="str">
        <f>INDEX(Records!$B$2:$AG$33, MATCH(Table1[[#This Row],[HomeTeam]],Records!$A$2:$A$33, 0), MATCH(Table1[[#This Row],[AwayTeam]],Records!$A$2:$A$33, 0))</f>
        <v>0-0-0</v>
      </c>
    </row>
    <row r="420" spans="1:43" x14ac:dyDescent="0.25">
      <c r="A420" s="1"/>
      <c r="D420" t="s">
        <v>659</v>
      </c>
      <c r="E420" t="s">
        <v>162</v>
      </c>
      <c r="F420" t="s">
        <v>664</v>
      </c>
      <c r="G420" t="s">
        <v>39</v>
      </c>
      <c r="H420" t="s">
        <v>51</v>
      </c>
      <c r="L42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2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20" s="1"/>
      <c r="T420" s="64" t="str">
        <f>IF(Table1[[#This Row],[ActualWinner]]="", "", IF(Table1[[#This Row],[AwayTeam]]=Table1[[#This Row],[ActualWinner]],Table1[[#This Row],[HomeTeam]],Table1[[#This Row],[AwayTeam]]))</f>
        <v/>
      </c>
      <c r="U420" s="64">
        <f>Table1[[#This Row],[ActualAwayScore]]-Table1[[#This Row],[PredictedAwayScore]]</f>
        <v>0</v>
      </c>
      <c r="V420" s="64">
        <f>Table1[[#This Row],[ActualHomeScore]]-Table1[[#This Row],[PredictedHomeScore]]</f>
        <v>0</v>
      </c>
      <c r="W420" s="64">
        <f>(0.8*IF(Table1[[#This Row],[CorrectWinnerPrediction]]=1, 1, 0))+(0.1*IF(Table1[[#This Row],[CorrectAwayScorePrediction]]=1, 1, 0))+(0.1*IF(Table1[[#This Row],[CorrectHomeScorePrediction]]=1, 1, 0))</f>
        <v>0</v>
      </c>
      <c r="X42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20" s="64">
        <f>SUMIF(Table1[GameDate], Table1[[#This Row],[GameDate]], Table1[AwayGameGoalDiff])</f>
        <v>0</v>
      </c>
      <c r="AA420" s="64">
        <f>SUMIF(Table1[GameDate], Table1[[#This Row],[GameDate]], Table1[HomeGameGoalDiff])</f>
        <v>0</v>
      </c>
      <c r="AB420" s="64">
        <f>IF(ISBLANK(Table1[[#This Row],[ActualResult]]), 0, 1)</f>
        <v>0</v>
      </c>
      <c r="AC420" s="64">
        <f>IF(ISBLANK(Table1[[#This Row],[ActualResult]]), 0, IF(Table1[[#This Row],[ActualWinner]]=Table1[[#This Row],[PredictedWinner]], 1, 0))</f>
        <v>0</v>
      </c>
      <c r="AD42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2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20" s="64">
        <f>IF(AND(Table1[[#This Row],[GameIsOver]]=1,Table1[[#This Row],[ActualAwayScore]]=0), 1,0)</f>
        <v>0</v>
      </c>
      <c r="AG420" s="64">
        <f>IF(AND(Table1[[#This Row],[GameIsOver]]=1,Table1[[#This Row],[ActualHomeScore]]=0), 1,0)</f>
        <v>0</v>
      </c>
      <c r="AH420" s="64">
        <f>IF(Table1[[#This Row],[GameIsOver]]=0,0,IF(Table1[[#This Row],[ActualWinner]]=Table1[[#This Row],[AwayTeam]], 1, 0))</f>
        <v>0</v>
      </c>
      <c r="AI420" s="64">
        <f>IF(Table1[[#This Row],[GameIsOver]]=0,0,IF(Table1[[#This Row],[ActualWinner]]=Table1[[#This Row],[HomeTeam]], 1, 0))</f>
        <v>0</v>
      </c>
      <c r="AJ420" s="64">
        <f>IF(INDEX(Standings!$A$2:$C$33,MATCH(Table1[[#This Row],[AwayTeam]],Standings!$A$2:$A$33,0),2)=INDEX(Standings!$A$2:$C$33,MATCH(Table1[[#This Row],[HomeTeam]],Standings!$A$2:$A$33,0),2),1,0)</f>
        <v>0</v>
      </c>
      <c r="AK420" s="64">
        <f>IF(INDEX(Standings!$A$2:$C$33,MATCH(Table1[[#This Row],[AwayTeam]],Standings!$A$2:$A$33,0),3)=INDEX(Standings!$A$2:$C$33,MATCH(Table1[[#This Row],[HomeTeam]],Standings!$A$2:$A$33,0),3),1,0)</f>
        <v>0</v>
      </c>
      <c r="AL420" s="64">
        <f>IF(Table1[[#This Row],[InterConf]]=1,IF(Table1[[#This Row],[InterDiv]]=0, 1, 0), 0)</f>
        <v>0</v>
      </c>
      <c r="AM420" s="64">
        <f>IF(INDEX(Standings!$A$2:$C$33,MATCH(Table1[[#This Row],[AwayTeam]],Standings!$A$2:$A$33,0),2)&lt;&gt;INDEX(Standings!$A$2:$C$33,MATCH(Table1[[#This Row],[HomeTeam]],Standings!$A$2:$A$33,0),2),1,0)</f>
        <v>1</v>
      </c>
      <c r="AN420" s="64" t="str">
        <f>INDEX(Table2[AWAY_RECORD], MATCH(Table1[[#This Row],[AwayTeam]],Table2[Team], 0), 0)</f>
        <v>0-0-0</v>
      </c>
      <c r="AO420" s="64" t="str">
        <f>INDEX(Records!$B$2:$AG$33, MATCH(Table1[[#This Row],[AwayTeam]],Records!$A$2:$A$33, 0), MATCH(Table1[[#This Row],[HomeTeam]],Records!$A$2:$A$33, 0))</f>
        <v>0-0-0</v>
      </c>
      <c r="AP420" s="64" t="str">
        <f>INDEX(Table2[HOME_RECORD], MATCH(Table1[[#This Row],[HomeTeam]],Table2[Team], 0), 0)</f>
        <v>1-0-0</v>
      </c>
      <c r="AQ420" s="64" t="str">
        <f>INDEX(Records!$B$2:$AG$33, MATCH(Table1[[#This Row],[HomeTeam]],Records!$A$2:$A$33, 0), MATCH(Table1[[#This Row],[AwayTeam]],Records!$A$2:$A$33, 0))</f>
        <v>0-0-0</v>
      </c>
    </row>
    <row r="421" spans="1:43" x14ac:dyDescent="0.25">
      <c r="A421" s="1"/>
      <c r="D421" t="s">
        <v>659</v>
      </c>
      <c r="E421" t="s">
        <v>162</v>
      </c>
      <c r="F421" t="s">
        <v>665</v>
      </c>
      <c r="G421" t="s">
        <v>24</v>
      </c>
      <c r="H421" t="s">
        <v>54</v>
      </c>
      <c r="L42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2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21" s="1"/>
      <c r="T421" s="64" t="str">
        <f>IF(Table1[[#This Row],[ActualWinner]]="", "", IF(Table1[[#This Row],[AwayTeam]]=Table1[[#This Row],[ActualWinner]],Table1[[#This Row],[HomeTeam]],Table1[[#This Row],[AwayTeam]]))</f>
        <v/>
      </c>
      <c r="U421" s="64">
        <f>Table1[[#This Row],[ActualAwayScore]]-Table1[[#This Row],[PredictedAwayScore]]</f>
        <v>0</v>
      </c>
      <c r="V421" s="64">
        <f>Table1[[#This Row],[ActualHomeScore]]-Table1[[#This Row],[PredictedHomeScore]]</f>
        <v>0</v>
      </c>
      <c r="W421" s="64">
        <f>(0.8*IF(Table1[[#This Row],[CorrectWinnerPrediction]]=1, 1, 0))+(0.1*IF(Table1[[#This Row],[CorrectAwayScorePrediction]]=1, 1, 0))+(0.1*IF(Table1[[#This Row],[CorrectHomeScorePrediction]]=1, 1, 0))</f>
        <v>0</v>
      </c>
      <c r="X42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21" s="64">
        <f>SUMIF(Table1[GameDate], Table1[[#This Row],[GameDate]], Table1[AwayGameGoalDiff])</f>
        <v>0</v>
      </c>
      <c r="AA421" s="64">
        <f>SUMIF(Table1[GameDate], Table1[[#This Row],[GameDate]], Table1[HomeGameGoalDiff])</f>
        <v>0</v>
      </c>
      <c r="AB421" s="64">
        <f>IF(ISBLANK(Table1[[#This Row],[ActualResult]]), 0, 1)</f>
        <v>0</v>
      </c>
      <c r="AC421" s="64">
        <f>IF(ISBLANK(Table1[[#This Row],[ActualResult]]), 0, IF(Table1[[#This Row],[ActualWinner]]=Table1[[#This Row],[PredictedWinner]], 1, 0))</f>
        <v>0</v>
      </c>
      <c r="AD42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2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21" s="64">
        <f>IF(AND(Table1[[#This Row],[GameIsOver]]=1,Table1[[#This Row],[ActualAwayScore]]=0), 1,0)</f>
        <v>0</v>
      </c>
      <c r="AG421" s="64">
        <f>IF(AND(Table1[[#This Row],[GameIsOver]]=1,Table1[[#This Row],[ActualHomeScore]]=0), 1,0)</f>
        <v>0</v>
      </c>
      <c r="AH421" s="64">
        <f>IF(Table1[[#This Row],[GameIsOver]]=0,0,IF(Table1[[#This Row],[ActualWinner]]=Table1[[#This Row],[AwayTeam]], 1, 0))</f>
        <v>0</v>
      </c>
      <c r="AI421" s="64">
        <f>IF(Table1[[#This Row],[GameIsOver]]=0,0,IF(Table1[[#This Row],[ActualWinner]]=Table1[[#This Row],[HomeTeam]], 1, 0))</f>
        <v>0</v>
      </c>
      <c r="AJ421" s="64">
        <f>IF(INDEX(Standings!$A$2:$C$33,MATCH(Table1[[#This Row],[AwayTeam]],Standings!$A$2:$A$33,0),2)=INDEX(Standings!$A$2:$C$33,MATCH(Table1[[#This Row],[HomeTeam]],Standings!$A$2:$A$33,0),2),1,0)</f>
        <v>1</v>
      </c>
      <c r="AK421" s="64">
        <f>IF(INDEX(Standings!$A$2:$C$33,MATCH(Table1[[#This Row],[AwayTeam]],Standings!$A$2:$A$33,0),3)=INDEX(Standings!$A$2:$C$33,MATCH(Table1[[#This Row],[HomeTeam]],Standings!$A$2:$A$33,0),3),1,0)</f>
        <v>0</v>
      </c>
      <c r="AL421" s="64">
        <f>IF(Table1[[#This Row],[InterConf]]=1,IF(Table1[[#This Row],[InterDiv]]=0, 1, 0), 0)</f>
        <v>1</v>
      </c>
      <c r="AM421" s="64">
        <f>IF(INDEX(Standings!$A$2:$C$33,MATCH(Table1[[#This Row],[AwayTeam]],Standings!$A$2:$A$33,0),2)&lt;&gt;INDEX(Standings!$A$2:$C$33,MATCH(Table1[[#This Row],[HomeTeam]],Standings!$A$2:$A$33,0),2),1,0)</f>
        <v>0</v>
      </c>
      <c r="AN421" s="64" t="str">
        <f>INDEX(Table2[AWAY_RECORD], MATCH(Table1[[#This Row],[AwayTeam]],Table2[Team], 0), 0)</f>
        <v>0-0-0</v>
      </c>
      <c r="AO421" s="64" t="str">
        <f>INDEX(Records!$B$2:$AG$33, MATCH(Table1[[#This Row],[AwayTeam]],Records!$A$2:$A$33, 0), MATCH(Table1[[#This Row],[HomeTeam]],Records!$A$2:$A$33, 0))</f>
        <v>0-0-0</v>
      </c>
      <c r="AP421" s="64" t="str">
        <f>INDEX(Table2[HOME_RECORD], MATCH(Table1[[#This Row],[HomeTeam]],Table2[Team], 0), 0)</f>
        <v>0-0-0</v>
      </c>
      <c r="AQ421" s="64" t="str">
        <f>INDEX(Records!$B$2:$AG$33, MATCH(Table1[[#This Row],[HomeTeam]],Records!$A$2:$A$33, 0), MATCH(Table1[[#This Row],[AwayTeam]],Records!$A$2:$A$33, 0))</f>
        <v>0-0-0</v>
      </c>
    </row>
    <row r="422" spans="1:43" x14ac:dyDescent="0.25">
      <c r="A422" s="1"/>
      <c r="D422" t="s">
        <v>659</v>
      </c>
      <c r="E422" t="s">
        <v>162</v>
      </c>
      <c r="F422" t="s">
        <v>666</v>
      </c>
      <c r="G422" t="s">
        <v>52</v>
      </c>
      <c r="H422" t="s">
        <v>40</v>
      </c>
      <c r="L42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2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22" s="1"/>
      <c r="T422" s="64" t="str">
        <f>IF(Table1[[#This Row],[ActualWinner]]="", "", IF(Table1[[#This Row],[AwayTeam]]=Table1[[#This Row],[ActualWinner]],Table1[[#This Row],[HomeTeam]],Table1[[#This Row],[AwayTeam]]))</f>
        <v/>
      </c>
      <c r="U422" s="64">
        <f>Table1[[#This Row],[ActualAwayScore]]-Table1[[#This Row],[PredictedAwayScore]]</f>
        <v>0</v>
      </c>
      <c r="V422" s="64">
        <f>Table1[[#This Row],[ActualHomeScore]]-Table1[[#This Row],[PredictedHomeScore]]</f>
        <v>0</v>
      </c>
      <c r="W422" s="64">
        <f>(0.8*IF(Table1[[#This Row],[CorrectWinnerPrediction]]=1, 1, 0))+(0.1*IF(Table1[[#This Row],[CorrectAwayScorePrediction]]=1, 1, 0))+(0.1*IF(Table1[[#This Row],[CorrectHomeScorePrediction]]=1, 1, 0))</f>
        <v>0</v>
      </c>
      <c r="X42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22" s="64">
        <f>SUMIF(Table1[GameDate], Table1[[#This Row],[GameDate]], Table1[AwayGameGoalDiff])</f>
        <v>0</v>
      </c>
      <c r="AA422" s="64">
        <f>SUMIF(Table1[GameDate], Table1[[#This Row],[GameDate]], Table1[HomeGameGoalDiff])</f>
        <v>0</v>
      </c>
      <c r="AB422" s="64">
        <f>IF(ISBLANK(Table1[[#This Row],[ActualResult]]), 0, 1)</f>
        <v>0</v>
      </c>
      <c r="AC422" s="64">
        <f>IF(ISBLANK(Table1[[#This Row],[ActualResult]]), 0, IF(Table1[[#This Row],[ActualWinner]]=Table1[[#This Row],[PredictedWinner]], 1, 0))</f>
        <v>0</v>
      </c>
      <c r="AD42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2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22" s="64">
        <f>IF(AND(Table1[[#This Row],[GameIsOver]]=1,Table1[[#This Row],[ActualAwayScore]]=0), 1,0)</f>
        <v>0</v>
      </c>
      <c r="AG422" s="64">
        <f>IF(AND(Table1[[#This Row],[GameIsOver]]=1,Table1[[#This Row],[ActualHomeScore]]=0), 1,0)</f>
        <v>0</v>
      </c>
      <c r="AH422" s="64">
        <f>IF(Table1[[#This Row],[GameIsOver]]=0,0,IF(Table1[[#This Row],[ActualWinner]]=Table1[[#This Row],[AwayTeam]], 1, 0))</f>
        <v>0</v>
      </c>
      <c r="AI422" s="64">
        <f>IF(Table1[[#This Row],[GameIsOver]]=0,0,IF(Table1[[#This Row],[ActualWinner]]=Table1[[#This Row],[HomeTeam]], 1, 0))</f>
        <v>0</v>
      </c>
      <c r="AJ422" s="64">
        <f>IF(INDEX(Standings!$A$2:$C$33,MATCH(Table1[[#This Row],[AwayTeam]],Standings!$A$2:$A$33,0),2)=INDEX(Standings!$A$2:$C$33,MATCH(Table1[[#This Row],[HomeTeam]],Standings!$A$2:$A$33,0),2),1,0)</f>
        <v>1</v>
      </c>
      <c r="AK422" s="64">
        <f>IF(INDEX(Standings!$A$2:$C$33,MATCH(Table1[[#This Row],[AwayTeam]],Standings!$A$2:$A$33,0),3)=INDEX(Standings!$A$2:$C$33,MATCH(Table1[[#This Row],[HomeTeam]],Standings!$A$2:$A$33,0),3),1,0)</f>
        <v>0</v>
      </c>
      <c r="AL422" s="64">
        <f>IF(Table1[[#This Row],[InterConf]]=1,IF(Table1[[#This Row],[InterDiv]]=0, 1, 0), 0)</f>
        <v>1</v>
      </c>
      <c r="AM422" s="64">
        <f>IF(INDEX(Standings!$A$2:$C$33,MATCH(Table1[[#This Row],[AwayTeam]],Standings!$A$2:$A$33,0),2)&lt;&gt;INDEX(Standings!$A$2:$C$33,MATCH(Table1[[#This Row],[HomeTeam]],Standings!$A$2:$A$33,0),2),1,0)</f>
        <v>0</v>
      </c>
      <c r="AN422" s="64" t="str">
        <f>INDEX(Table2[AWAY_RECORD], MATCH(Table1[[#This Row],[AwayTeam]],Table2[Team], 0), 0)</f>
        <v>0-0-0</v>
      </c>
      <c r="AO422" s="64" t="str">
        <f>INDEX(Records!$B$2:$AG$33, MATCH(Table1[[#This Row],[AwayTeam]],Records!$A$2:$A$33, 0), MATCH(Table1[[#This Row],[HomeTeam]],Records!$A$2:$A$33, 0))</f>
        <v>0-0-0</v>
      </c>
      <c r="AP422" s="64" t="str">
        <f>INDEX(Table2[HOME_RECORD], MATCH(Table1[[#This Row],[HomeTeam]],Table2[Team], 0), 0)</f>
        <v>1-1-0</v>
      </c>
      <c r="AQ422" s="64" t="str">
        <f>INDEX(Records!$B$2:$AG$33, MATCH(Table1[[#This Row],[HomeTeam]],Records!$A$2:$A$33, 0), MATCH(Table1[[#This Row],[AwayTeam]],Records!$A$2:$A$33, 0))</f>
        <v>0-0-0</v>
      </c>
    </row>
    <row r="423" spans="1:43" x14ac:dyDescent="0.25">
      <c r="A423" s="1"/>
      <c r="D423" t="s">
        <v>659</v>
      </c>
      <c r="E423" t="s">
        <v>162</v>
      </c>
      <c r="F423" t="s">
        <v>667</v>
      </c>
      <c r="G423" t="s">
        <v>59</v>
      </c>
      <c r="H423" t="s">
        <v>61</v>
      </c>
      <c r="L42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2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23" s="1"/>
      <c r="T423" s="64" t="str">
        <f>IF(Table1[[#This Row],[ActualWinner]]="", "", IF(Table1[[#This Row],[AwayTeam]]=Table1[[#This Row],[ActualWinner]],Table1[[#This Row],[HomeTeam]],Table1[[#This Row],[AwayTeam]]))</f>
        <v/>
      </c>
      <c r="U423" s="64">
        <f>Table1[[#This Row],[ActualAwayScore]]-Table1[[#This Row],[PredictedAwayScore]]</f>
        <v>0</v>
      </c>
      <c r="V423" s="64">
        <f>Table1[[#This Row],[ActualHomeScore]]-Table1[[#This Row],[PredictedHomeScore]]</f>
        <v>0</v>
      </c>
      <c r="W423" s="64">
        <f>(0.8*IF(Table1[[#This Row],[CorrectWinnerPrediction]]=1, 1, 0))+(0.1*IF(Table1[[#This Row],[CorrectAwayScorePrediction]]=1, 1, 0))+(0.1*IF(Table1[[#This Row],[CorrectHomeScorePrediction]]=1, 1, 0))</f>
        <v>0</v>
      </c>
      <c r="X42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23" s="64">
        <f>SUMIF(Table1[GameDate], Table1[[#This Row],[GameDate]], Table1[AwayGameGoalDiff])</f>
        <v>0</v>
      </c>
      <c r="AA423" s="64">
        <f>SUMIF(Table1[GameDate], Table1[[#This Row],[GameDate]], Table1[HomeGameGoalDiff])</f>
        <v>0</v>
      </c>
      <c r="AB423" s="64">
        <f>IF(ISBLANK(Table1[[#This Row],[ActualResult]]), 0, 1)</f>
        <v>0</v>
      </c>
      <c r="AC423" s="64">
        <f>IF(ISBLANK(Table1[[#This Row],[ActualResult]]), 0, IF(Table1[[#This Row],[ActualWinner]]=Table1[[#This Row],[PredictedWinner]], 1, 0))</f>
        <v>0</v>
      </c>
      <c r="AD42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2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23" s="64">
        <f>IF(AND(Table1[[#This Row],[GameIsOver]]=1,Table1[[#This Row],[ActualAwayScore]]=0), 1,0)</f>
        <v>0</v>
      </c>
      <c r="AG423" s="64">
        <f>IF(AND(Table1[[#This Row],[GameIsOver]]=1,Table1[[#This Row],[ActualHomeScore]]=0), 1,0)</f>
        <v>0</v>
      </c>
      <c r="AH423" s="64">
        <f>IF(Table1[[#This Row],[GameIsOver]]=0,0,IF(Table1[[#This Row],[ActualWinner]]=Table1[[#This Row],[AwayTeam]], 1, 0))</f>
        <v>0</v>
      </c>
      <c r="AI423" s="64">
        <f>IF(Table1[[#This Row],[GameIsOver]]=0,0,IF(Table1[[#This Row],[ActualWinner]]=Table1[[#This Row],[HomeTeam]], 1, 0))</f>
        <v>0</v>
      </c>
      <c r="AJ423" s="64">
        <f>IF(INDEX(Standings!$A$2:$C$33,MATCH(Table1[[#This Row],[AwayTeam]],Standings!$A$2:$A$33,0),2)=INDEX(Standings!$A$2:$C$33,MATCH(Table1[[#This Row],[HomeTeam]],Standings!$A$2:$A$33,0),2),1,0)</f>
        <v>0</v>
      </c>
      <c r="AK423" s="64">
        <f>IF(INDEX(Standings!$A$2:$C$33,MATCH(Table1[[#This Row],[AwayTeam]],Standings!$A$2:$A$33,0),3)=INDEX(Standings!$A$2:$C$33,MATCH(Table1[[#This Row],[HomeTeam]],Standings!$A$2:$A$33,0),3),1,0)</f>
        <v>0</v>
      </c>
      <c r="AL423" s="64">
        <f>IF(Table1[[#This Row],[InterConf]]=1,IF(Table1[[#This Row],[InterDiv]]=0, 1, 0), 0)</f>
        <v>0</v>
      </c>
      <c r="AM423" s="64">
        <f>IF(INDEX(Standings!$A$2:$C$33,MATCH(Table1[[#This Row],[AwayTeam]],Standings!$A$2:$A$33,0),2)&lt;&gt;INDEX(Standings!$A$2:$C$33,MATCH(Table1[[#This Row],[HomeTeam]],Standings!$A$2:$A$33,0),2),1,0)</f>
        <v>1</v>
      </c>
      <c r="AN423" s="64" t="str">
        <f>INDEX(Table2[AWAY_RECORD], MATCH(Table1[[#This Row],[AwayTeam]],Table2[Team], 0), 0)</f>
        <v>0-1-0</v>
      </c>
      <c r="AO423" s="64" t="str">
        <f>INDEX(Records!$B$2:$AG$33, MATCH(Table1[[#This Row],[AwayTeam]],Records!$A$2:$A$33, 0), MATCH(Table1[[#This Row],[HomeTeam]],Records!$A$2:$A$33, 0))</f>
        <v>0-0-0</v>
      </c>
      <c r="AP423" s="64" t="str">
        <f>INDEX(Table2[HOME_RECORD], MATCH(Table1[[#This Row],[HomeTeam]],Table2[Team], 0), 0)</f>
        <v>0-0-0</v>
      </c>
      <c r="AQ423" s="64" t="str">
        <f>INDEX(Records!$B$2:$AG$33, MATCH(Table1[[#This Row],[HomeTeam]],Records!$A$2:$A$33, 0), MATCH(Table1[[#This Row],[AwayTeam]],Records!$A$2:$A$33, 0))</f>
        <v>0-0-0</v>
      </c>
    </row>
    <row r="424" spans="1:43" x14ac:dyDescent="0.25">
      <c r="A424" s="1"/>
      <c r="D424" t="s">
        <v>659</v>
      </c>
      <c r="E424" t="s">
        <v>289</v>
      </c>
      <c r="F424" t="s">
        <v>668</v>
      </c>
      <c r="G424" t="s">
        <v>50</v>
      </c>
      <c r="H424" t="s">
        <v>53</v>
      </c>
      <c r="L42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2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24" s="1"/>
      <c r="T424" s="64" t="str">
        <f>IF(Table1[[#This Row],[ActualWinner]]="", "", IF(Table1[[#This Row],[AwayTeam]]=Table1[[#This Row],[ActualWinner]],Table1[[#This Row],[HomeTeam]],Table1[[#This Row],[AwayTeam]]))</f>
        <v/>
      </c>
      <c r="U424" s="64">
        <f>Table1[[#This Row],[ActualAwayScore]]-Table1[[#This Row],[PredictedAwayScore]]</f>
        <v>0</v>
      </c>
      <c r="V424" s="64">
        <f>Table1[[#This Row],[ActualHomeScore]]-Table1[[#This Row],[PredictedHomeScore]]</f>
        <v>0</v>
      </c>
      <c r="W424" s="64">
        <f>(0.8*IF(Table1[[#This Row],[CorrectWinnerPrediction]]=1, 1, 0))+(0.1*IF(Table1[[#This Row],[CorrectAwayScorePrediction]]=1, 1, 0))+(0.1*IF(Table1[[#This Row],[CorrectHomeScorePrediction]]=1, 1, 0))</f>
        <v>0</v>
      </c>
      <c r="X42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24" s="64">
        <f>SUMIF(Table1[GameDate], Table1[[#This Row],[GameDate]], Table1[AwayGameGoalDiff])</f>
        <v>0</v>
      </c>
      <c r="AA424" s="64">
        <f>SUMIF(Table1[GameDate], Table1[[#This Row],[GameDate]], Table1[HomeGameGoalDiff])</f>
        <v>0</v>
      </c>
      <c r="AB424" s="64">
        <f>IF(ISBLANK(Table1[[#This Row],[ActualResult]]), 0, 1)</f>
        <v>0</v>
      </c>
      <c r="AC424" s="64">
        <f>IF(ISBLANK(Table1[[#This Row],[ActualResult]]), 0, IF(Table1[[#This Row],[ActualWinner]]=Table1[[#This Row],[PredictedWinner]], 1, 0))</f>
        <v>0</v>
      </c>
      <c r="AD42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2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24" s="64">
        <f>IF(AND(Table1[[#This Row],[GameIsOver]]=1,Table1[[#This Row],[ActualAwayScore]]=0), 1,0)</f>
        <v>0</v>
      </c>
      <c r="AG424" s="64">
        <f>IF(AND(Table1[[#This Row],[GameIsOver]]=1,Table1[[#This Row],[ActualHomeScore]]=0), 1,0)</f>
        <v>0</v>
      </c>
      <c r="AH424" s="64">
        <f>IF(Table1[[#This Row],[GameIsOver]]=0,0,IF(Table1[[#This Row],[ActualWinner]]=Table1[[#This Row],[AwayTeam]], 1, 0))</f>
        <v>0</v>
      </c>
      <c r="AI424" s="64">
        <f>IF(Table1[[#This Row],[GameIsOver]]=0,0,IF(Table1[[#This Row],[ActualWinner]]=Table1[[#This Row],[HomeTeam]], 1, 0))</f>
        <v>0</v>
      </c>
      <c r="AJ424" s="64">
        <f>IF(INDEX(Standings!$A$2:$C$33,MATCH(Table1[[#This Row],[AwayTeam]],Standings!$A$2:$A$33,0),2)=INDEX(Standings!$A$2:$C$33,MATCH(Table1[[#This Row],[HomeTeam]],Standings!$A$2:$A$33,0),2),1,0)</f>
        <v>1</v>
      </c>
      <c r="AK424" s="64">
        <f>IF(INDEX(Standings!$A$2:$C$33,MATCH(Table1[[#This Row],[AwayTeam]],Standings!$A$2:$A$33,0),3)=INDEX(Standings!$A$2:$C$33,MATCH(Table1[[#This Row],[HomeTeam]],Standings!$A$2:$A$33,0),3),1,0)</f>
        <v>1</v>
      </c>
      <c r="AL424" s="64">
        <f>IF(Table1[[#This Row],[InterConf]]=1,IF(Table1[[#This Row],[InterDiv]]=0, 1, 0), 0)</f>
        <v>0</v>
      </c>
      <c r="AM424" s="64">
        <f>IF(INDEX(Standings!$A$2:$C$33,MATCH(Table1[[#This Row],[AwayTeam]],Standings!$A$2:$A$33,0),2)&lt;&gt;INDEX(Standings!$A$2:$C$33,MATCH(Table1[[#This Row],[HomeTeam]],Standings!$A$2:$A$33,0),2),1,0)</f>
        <v>0</v>
      </c>
      <c r="AN424" s="64" t="str">
        <f>INDEX(Table2[AWAY_RECORD], MATCH(Table1[[#This Row],[AwayTeam]],Table2[Team], 0), 0)</f>
        <v>1-0-0</v>
      </c>
      <c r="AO424" s="64" t="str">
        <f>INDEX(Records!$B$2:$AG$33, MATCH(Table1[[#This Row],[AwayTeam]],Records!$A$2:$A$33, 0), MATCH(Table1[[#This Row],[HomeTeam]],Records!$A$2:$A$33, 0))</f>
        <v>0-0-0</v>
      </c>
      <c r="AP424" s="64" t="str">
        <f>INDEX(Table2[HOME_RECORD], MATCH(Table1[[#This Row],[HomeTeam]],Table2[Team], 0), 0)</f>
        <v>1-0-0</v>
      </c>
      <c r="AQ424" s="64" t="str">
        <f>INDEX(Records!$B$2:$AG$33, MATCH(Table1[[#This Row],[HomeTeam]],Records!$A$2:$A$33, 0), MATCH(Table1[[#This Row],[AwayTeam]],Records!$A$2:$A$33, 0))</f>
        <v>0-0-0</v>
      </c>
    </row>
    <row r="425" spans="1:43" x14ac:dyDescent="0.25">
      <c r="A425" s="1"/>
      <c r="D425" t="s">
        <v>659</v>
      </c>
      <c r="E425" t="s">
        <v>178</v>
      </c>
      <c r="F425" t="s">
        <v>669</v>
      </c>
      <c r="G425" t="s">
        <v>58</v>
      </c>
      <c r="H425" t="s">
        <v>43</v>
      </c>
      <c r="L42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2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25" s="1"/>
      <c r="T425" s="64" t="str">
        <f>IF(Table1[[#This Row],[ActualWinner]]="", "", IF(Table1[[#This Row],[AwayTeam]]=Table1[[#This Row],[ActualWinner]],Table1[[#This Row],[HomeTeam]],Table1[[#This Row],[AwayTeam]]))</f>
        <v/>
      </c>
      <c r="U425" s="64">
        <f>Table1[[#This Row],[ActualAwayScore]]-Table1[[#This Row],[PredictedAwayScore]]</f>
        <v>0</v>
      </c>
      <c r="V425" s="64">
        <f>Table1[[#This Row],[ActualHomeScore]]-Table1[[#This Row],[PredictedHomeScore]]</f>
        <v>0</v>
      </c>
      <c r="W425" s="64">
        <f>(0.8*IF(Table1[[#This Row],[CorrectWinnerPrediction]]=1, 1, 0))+(0.1*IF(Table1[[#This Row],[CorrectAwayScorePrediction]]=1, 1, 0))+(0.1*IF(Table1[[#This Row],[CorrectHomeScorePrediction]]=1, 1, 0))</f>
        <v>0</v>
      </c>
      <c r="X42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25" s="64">
        <f>SUMIF(Table1[GameDate], Table1[[#This Row],[GameDate]], Table1[AwayGameGoalDiff])</f>
        <v>0</v>
      </c>
      <c r="AA425" s="64">
        <f>SUMIF(Table1[GameDate], Table1[[#This Row],[GameDate]], Table1[HomeGameGoalDiff])</f>
        <v>0</v>
      </c>
      <c r="AB425" s="64">
        <f>IF(ISBLANK(Table1[[#This Row],[ActualResult]]), 0, 1)</f>
        <v>0</v>
      </c>
      <c r="AC425" s="64">
        <f>IF(ISBLANK(Table1[[#This Row],[ActualResult]]), 0, IF(Table1[[#This Row],[ActualWinner]]=Table1[[#This Row],[PredictedWinner]], 1, 0))</f>
        <v>0</v>
      </c>
      <c r="AD42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2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25" s="64">
        <f>IF(AND(Table1[[#This Row],[GameIsOver]]=1,Table1[[#This Row],[ActualAwayScore]]=0), 1,0)</f>
        <v>0</v>
      </c>
      <c r="AG425" s="64">
        <f>IF(AND(Table1[[#This Row],[GameIsOver]]=1,Table1[[#This Row],[ActualHomeScore]]=0), 1,0)</f>
        <v>0</v>
      </c>
      <c r="AH425" s="64">
        <f>IF(Table1[[#This Row],[GameIsOver]]=0,0,IF(Table1[[#This Row],[ActualWinner]]=Table1[[#This Row],[AwayTeam]], 1, 0))</f>
        <v>0</v>
      </c>
      <c r="AI425" s="64">
        <f>IF(Table1[[#This Row],[GameIsOver]]=0,0,IF(Table1[[#This Row],[ActualWinner]]=Table1[[#This Row],[HomeTeam]], 1, 0))</f>
        <v>0</v>
      </c>
      <c r="AJ425" s="64">
        <f>IF(INDEX(Standings!$A$2:$C$33,MATCH(Table1[[#This Row],[AwayTeam]],Standings!$A$2:$A$33,0),2)=INDEX(Standings!$A$2:$C$33,MATCH(Table1[[#This Row],[HomeTeam]],Standings!$A$2:$A$33,0),2),1,0)</f>
        <v>1</v>
      </c>
      <c r="AK425" s="64">
        <f>IF(INDEX(Standings!$A$2:$C$33,MATCH(Table1[[#This Row],[AwayTeam]],Standings!$A$2:$A$33,0),3)=INDEX(Standings!$A$2:$C$33,MATCH(Table1[[#This Row],[HomeTeam]],Standings!$A$2:$A$33,0),3),1,0)</f>
        <v>1</v>
      </c>
      <c r="AL425" s="64">
        <f>IF(Table1[[#This Row],[InterConf]]=1,IF(Table1[[#This Row],[InterDiv]]=0, 1, 0), 0)</f>
        <v>0</v>
      </c>
      <c r="AM425" s="64">
        <f>IF(INDEX(Standings!$A$2:$C$33,MATCH(Table1[[#This Row],[AwayTeam]],Standings!$A$2:$A$33,0),2)&lt;&gt;INDEX(Standings!$A$2:$C$33,MATCH(Table1[[#This Row],[HomeTeam]],Standings!$A$2:$A$33,0),2),1,0)</f>
        <v>0</v>
      </c>
      <c r="AN425" s="64" t="str">
        <f>INDEX(Table2[AWAY_RECORD], MATCH(Table1[[#This Row],[AwayTeam]],Table2[Team], 0), 0)</f>
        <v>0-0-0</v>
      </c>
      <c r="AO425" s="64" t="str">
        <f>INDEX(Records!$B$2:$AG$33, MATCH(Table1[[#This Row],[AwayTeam]],Records!$A$2:$A$33, 0), MATCH(Table1[[#This Row],[HomeTeam]],Records!$A$2:$A$33, 0))</f>
        <v>0-0-0</v>
      </c>
      <c r="AP425" s="64" t="str">
        <f>INDEX(Table2[HOME_RECORD], MATCH(Table1[[#This Row],[HomeTeam]],Table2[Team], 0), 0)</f>
        <v>0-0-0</v>
      </c>
      <c r="AQ425" s="64" t="str">
        <f>INDEX(Records!$B$2:$AG$33, MATCH(Table1[[#This Row],[HomeTeam]],Records!$A$2:$A$33, 0), MATCH(Table1[[#This Row],[AwayTeam]],Records!$A$2:$A$33, 0))</f>
        <v>0-0-0</v>
      </c>
    </row>
    <row r="426" spans="1:43" x14ac:dyDescent="0.25">
      <c r="A426" s="1"/>
      <c r="D426" t="s">
        <v>659</v>
      </c>
      <c r="E426" t="s">
        <v>164</v>
      </c>
      <c r="F426" t="s">
        <v>670</v>
      </c>
      <c r="G426" t="s">
        <v>55</v>
      </c>
      <c r="H426" t="s">
        <v>41</v>
      </c>
      <c r="L42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2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26" s="1"/>
      <c r="T426" s="64" t="str">
        <f>IF(Table1[[#This Row],[ActualWinner]]="", "", IF(Table1[[#This Row],[AwayTeam]]=Table1[[#This Row],[ActualWinner]],Table1[[#This Row],[HomeTeam]],Table1[[#This Row],[AwayTeam]]))</f>
        <v/>
      </c>
      <c r="U426" s="64">
        <f>Table1[[#This Row],[ActualAwayScore]]-Table1[[#This Row],[PredictedAwayScore]]</f>
        <v>0</v>
      </c>
      <c r="V426" s="64">
        <f>Table1[[#This Row],[ActualHomeScore]]-Table1[[#This Row],[PredictedHomeScore]]</f>
        <v>0</v>
      </c>
      <c r="W426" s="64">
        <f>(0.8*IF(Table1[[#This Row],[CorrectWinnerPrediction]]=1, 1, 0))+(0.1*IF(Table1[[#This Row],[CorrectAwayScorePrediction]]=1, 1, 0))+(0.1*IF(Table1[[#This Row],[CorrectHomeScorePrediction]]=1, 1, 0))</f>
        <v>0</v>
      </c>
      <c r="X42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26" s="64">
        <f>SUMIF(Table1[GameDate], Table1[[#This Row],[GameDate]], Table1[AwayGameGoalDiff])</f>
        <v>0</v>
      </c>
      <c r="AA426" s="64">
        <f>SUMIF(Table1[GameDate], Table1[[#This Row],[GameDate]], Table1[HomeGameGoalDiff])</f>
        <v>0</v>
      </c>
      <c r="AB426" s="64">
        <f>IF(ISBLANK(Table1[[#This Row],[ActualResult]]), 0, 1)</f>
        <v>0</v>
      </c>
      <c r="AC426" s="64">
        <f>IF(ISBLANK(Table1[[#This Row],[ActualResult]]), 0, IF(Table1[[#This Row],[ActualWinner]]=Table1[[#This Row],[PredictedWinner]], 1, 0))</f>
        <v>0</v>
      </c>
      <c r="AD42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2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26" s="64">
        <f>IF(AND(Table1[[#This Row],[GameIsOver]]=1,Table1[[#This Row],[ActualAwayScore]]=0), 1,0)</f>
        <v>0</v>
      </c>
      <c r="AG426" s="64">
        <f>IF(AND(Table1[[#This Row],[GameIsOver]]=1,Table1[[#This Row],[ActualHomeScore]]=0), 1,0)</f>
        <v>0</v>
      </c>
      <c r="AH426" s="64">
        <f>IF(Table1[[#This Row],[GameIsOver]]=0,0,IF(Table1[[#This Row],[ActualWinner]]=Table1[[#This Row],[AwayTeam]], 1, 0))</f>
        <v>0</v>
      </c>
      <c r="AI426" s="64">
        <f>IF(Table1[[#This Row],[GameIsOver]]=0,0,IF(Table1[[#This Row],[ActualWinner]]=Table1[[#This Row],[HomeTeam]], 1, 0))</f>
        <v>0</v>
      </c>
      <c r="AJ426" s="64">
        <f>IF(INDEX(Standings!$A$2:$C$33,MATCH(Table1[[#This Row],[AwayTeam]],Standings!$A$2:$A$33,0),2)=INDEX(Standings!$A$2:$C$33,MATCH(Table1[[#This Row],[HomeTeam]],Standings!$A$2:$A$33,0),2),1,0)</f>
        <v>1</v>
      </c>
      <c r="AK426" s="64">
        <f>IF(INDEX(Standings!$A$2:$C$33,MATCH(Table1[[#This Row],[AwayTeam]],Standings!$A$2:$A$33,0),3)=INDEX(Standings!$A$2:$C$33,MATCH(Table1[[#This Row],[HomeTeam]],Standings!$A$2:$A$33,0),3),1,0)</f>
        <v>0</v>
      </c>
      <c r="AL426" s="64">
        <f>IF(Table1[[#This Row],[InterConf]]=1,IF(Table1[[#This Row],[InterDiv]]=0, 1, 0), 0)</f>
        <v>1</v>
      </c>
      <c r="AM426" s="64">
        <f>IF(INDEX(Standings!$A$2:$C$33,MATCH(Table1[[#This Row],[AwayTeam]],Standings!$A$2:$A$33,0),2)&lt;&gt;INDEX(Standings!$A$2:$C$33,MATCH(Table1[[#This Row],[HomeTeam]],Standings!$A$2:$A$33,0),2),1,0)</f>
        <v>0</v>
      </c>
      <c r="AN426" s="64" t="str">
        <f>INDEX(Table2[AWAY_RECORD], MATCH(Table1[[#This Row],[AwayTeam]],Table2[Team], 0), 0)</f>
        <v>0-0-0</v>
      </c>
      <c r="AO426" s="64" t="str">
        <f>INDEX(Records!$B$2:$AG$33, MATCH(Table1[[#This Row],[AwayTeam]],Records!$A$2:$A$33, 0), MATCH(Table1[[#This Row],[HomeTeam]],Records!$A$2:$A$33, 0))</f>
        <v>0-0-0</v>
      </c>
      <c r="AP426" s="64" t="str">
        <f>INDEX(Table2[HOME_RECORD], MATCH(Table1[[#This Row],[HomeTeam]],Table2[Team], 0), 0)</f>
        <v>0-0-1</v>
      </c>
      <c r="AQ426" s="64" t="str">
        <f>INDEX(Records!$B$2:$AG$33, MATCH(Table1[[#This Row],[HomeTeam]],Records!$A$2:$A$33, 0), MATCH(Table1[[#This Row],[AwayTeam]],Records!$A$2:$A$33, 0))</f>
        <v>0-0-0</v>
      </c>
    </row>
    <row r="427" spans="1:43" x14ac:dyDescent="0.25">
      <c r="A427" s="1"/>
      <c r="D427" t="s">
        <v>659</v>
      </c>
      <c r="E427" t="s">
        <v>164</v>
      </c>
      <c r="F427" t="s">
        <v>671</v>
      </c>
      <c r="G427" t="s">
        <v>36</v>
      </c>
      <c r="H427" t="s">
        <v>46</v>
      </c>
      <c r="L42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2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27" s="1"/>
      <c r="T427" s="64" t="str">
        <f>IF(Table1[[#This Row],[ActualWinner]]="", "", IF(Table1[[#This Row],[AwayTeam]]=Table1[[#This Row],[ActualWinner]],Table1[[#This Row],[HomeTeam]],Table1[[#This Row],[AwayTeam]]))</f>
        <v/>
      </c>
      <c r="U427" s="64">
        <f>Table1[[#This Row],[ActualAwayScore]]-Table1[[#This Row],[PredictedAwayScore]]</f>
        <v>0</v>
      </c>
      <c r="V427" s="64">
        <f>Table1[[#This Row],[ActualHomeScore]]-Table1[[#This Row],[PredictedHomeScore]]</f>
        <v>0</v>
      </c>
      <c r="W427" s="64">
        <f>(0.8*IF(Table1[[#This Row],[CorrectWinnerPrediction]]=1, 1, 0))+(0.1*IF(Table1[[#This Row],[CorrectAwayScorePrediction]]=1, 1, 0))+(0.1*IF(Table1[[#This Row],[CorrectHomeScorePrediction]]=1, 1, 0))</f>
        <v>0</v>
      </c>
      <c r="X42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27" s="64">
        <f>SUMIF(Table1[GameDate], Table1[[#This Row],[GameDate]], Table1[AwayGameGoalDiff])</f>
        <v>0</v>
      </c>
      <c r="AA427" s="64">
        <f>SUMIF(Table1[GameDate], Table1[[#This Row],[GameDate]], Table1[HomeGameGoalDiff])</f>
        <v>0</v>
      </c>
      <c r="AB427" s="64">
        <f>IF(ISBLANK(Table1[[#This Row],[ActualResult]]), 0, 1)</f>
        <v>0</v>
      </c>
      <c r="AC427" s="64">
        <f>IF(ISBLANK(Table1[[#This Row],[ActualResult]]), 0, IF(Table1[[#This Row],[ActualWinner]]=Table1[[#This Row],[PredictedWinner]], 1, 0))</f>
        <v>0</v>
      </c>
      <c r="AD42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2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27" s="64">
        <f>IF(AND(Table1[[#This Row],[GameIsOver]]=1,Table1[[#This Row],[ActualAwayScore]]=0), 1,0)</f>
        <v>0</v>
      </c>
      <c r="AG427" s="64">
        <f>IF(AND(Table1[[#This Row],[GameIsOver]]=1,Table1[[#This Row],[ActualHomeScore]]=0), 1,0)</f>
        <v>0</v>
      </c>
      <c r="AH427" s="64">
        <f>IF(Table1[[#This Row],[GameIsOver]]=0,0,IF(Table1[[#This Row],[ActualWinner]]=Table1[[#This Row],[AwayTeam]], 1, 0))</f>
        <v>0</v>
      </c>
      <c r="AI427" s="64">
        <f>IF(Table1[[#This Row],[GameIsOver]]=0,0,IF(Table1[[#This Row],[ActualWinner]]=Table1[[#This Row],[HomeTeam]], 1, 0))</f>
        <v>0</v>
      </c>
      <c r="AJ427" s="64">
        <f>IF(INDEX(Standings!$A$2:$C$33,MATCH(Table1[[#This Row],[AwayTeam]],Standings!$A$2:$A$33,0),2)=INDEX(Standings!$A$2:$C$33,MATCH(Table1[[#This Row],[HomeTeam]],Standings!$A$2:$A$33,0),2),1,0)</f>
        <v>1</v>
      </c>
      <c r="AK427" s="64">
        <f>IF(INDEX(Standings!$A$2:$C$33,MATCH(Table1[[#This Row],[AwayTeam]],Standings!$A$2:$A$33,0),3)=INDEX(Standings!$A$2:$C$33,MATCH(Table1[[#This Row],[HomeTeam]],Standings!$A$2:$A$33,0),3),1,0)</f>
        <v>1</v>
      </c>
      <c r="AL427" s="64">
        <f>IF(Table1[[#This Row],[InterConf]]=1,IF(Table1[[#This Row],[InterDiv]]=0, 1, 0), 0)</f>
        <v>0</v>
      </c>
      <c r="AM427" s="64">
        <f>IF(INDEX(Standings!$A$2:$C$33,MATCH(Table1[[#This Row],[AwayTeam]],Standings!$A$2:$A$33,0),2)&lt;&gt;INDEX(Standings!$A$2:$C$33,MATCH(Table1[[#This Row],[HomeTeam]],Standings!$A$2:$A$33,0),2),1,0)</f>
        <v>0</v>
      </c>
      <c r="AN427" s="64" t="str">
        <f>INDEX(Table2[AWAY_RECORD], MATCH(Table1[[#This Row],[AwayTeam]],Table2[Team], 0), 0)</f>
        <v>0-0-0</v>
      </c>
      <c r="AO427" s="64" t="str">
        <f>INDEX(Records!$B$2:$AG$33, MATCH(Table1[[#This Row],[AwayTeam]],Records!$A$2:$A$33, 0), MATCH(Table1[[#This Row],[HomeTeam]],Records!$A$2:$A$33, 0))</f>
        <v>0-0-0</v>
      </c>
      <c r="AP427" s="64" t="str">
        <f>INDEX(Table2[HOME_RECORD], MATCH(Table1[[#This Row],[HomeTeam]],Table2[Team], 0), 0)</f>
        <v>0-0-0</v>
      </c>
      <c r="AQ427" s="64" t="str">
        <f>INDEX(Records!$B$2:$AG$33, MATCH(Table1[[#This Row],[HomeTeam]],Records!$A$2:$A$33, 0), MATCH(Table1[[#This Row],[AwayTeam]],Records!$A$2:$A$33, 0))</f>
        <v>0-0-0</v>
      </c>
    </row>
    <row r="428" spans="1:43" x14ac:dyDescent="0.25">
      <c r="A428" s="1"/>
      <c r="D428" t="s">
        <v>672</v>
      </c>
      <c r="E428" t="s">
        <v>298</v>
      </c>
      <c r="F428" t="s">
        <v>673</v>
      </c>
      <c r="G428" t="s">
        <v>45</v>
      </c>
      <c r="H428" t="s">
        <v>56</v>
      </c>
      <c r="L42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2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28" s="1"/>
      <c r="T428" s="64" t="str">
        <f>IF(Table1[[#This Row],[ActualWinner]]="", "", IF(Table1[[#This Row],[AwayTeam]]=Table1[[#This Row],[ActualWinner]],Table1[[#This Row],[HomeTeam]],Table1[[#This Row],[AwayTeam]]))</f>
        <v/>
      </c>
      <c r="U428" s="64">
        <f>Table1[[#This Row],[ActualAwayScore]]-Table1[[#This Row],[PredictedAwayScore]]</f>
        <v>0</v>
      </c>
      <c r="V428" s="64">
        <f>Table1[[#This Row],[ActualHomeScore]]-Table1[[#This Row],[PredictedHomeScore]]</f>
        <v>0</v>
      </c>
      <c r="W428" s="64">
        <f>(0.8*IF(Table1[[#This Row],[CorrectWinnerPrediction]]=1, 1, 0))+(0.1*IF(Table1[[#This Row],[CorrectAwayScorePrediction]]=1, 1, 0))+(0.1*IF(Table1[[#This Row],[CorrectHomeScorePrediction]]=1, 1, 0))</f>
        <v>0</v>
      </c>
      <c r="X42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28" s="64">
        <f>SUMIF(Table1[GameDate], Table1[[#This Row],[GameDate]], Table1[AwayGameGoalDiff])</f>
        <v>0</v>
      </c>
      <c r="AA428" s="64">
        <f>SUMIF(Table1[GameDate], Table1[[#This Row],[GameDate]], Table1[HomeGameGoalDiff])</f>
        <v>0</v>
      </c>
      <c r="AB428" s="64">
        <f>IF(ISBLANK(Table1[[#This Row],[ActualResult]]), 0, 1)</f>
        <v>0</v>
      </c>
      <c r="AC428" s="64">
        <f>IF(ISBLANK(Table1[[#This Row],[ActualResult]]), 0, IF(Table1[[#This Row],[ActualWinner]]=Table1[[#This Row],[PredictedWinner]], 1, 0))</f>
        <v>0</v>
      </c>
      <c r="AD42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2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28" s="64">
        <f>IF(AND(Table1[[#This Row],[GameIsOver]]=1,Table1[[#This Row],[ActualAwayScore]]=0), 1,0)</f>
        <v>0</v>
      </c>
      <c r="AG428" s="64">
        <f>IF(AND(Table1[[#This Row],[GameIsOver]]=1,Table1[[#This Row],[ActualHomeScore]]=0), 1,0)</f>
        <v>0</v>
      </c>
      <c r="AH428" s="64">
        <f>IF(Table1[[#This Row],[GameIsOver]]=0,0,IF(Table1[[#This Row],[ActualWinner]]=Table1[[#This Row],[AwayTeam]], 1, 0))</f>
        <v>0</v>
      </c>
      <c r="AI428" s="64">
        <f>IF(Table1[[#This Row],[GameIsOver]]=0,0,IF(Table1[[#This Row],[ActualWinner]]=Table1[[#This Row],[HomeTeam]], 1, 0))</f>
        <v>0</v>
      </c>
      <c r="AJ428" s="64">
        <f>IF(INDEX(Standings!$A$2:$C$33,MATCH(Table1[[#This Row],[AwayTeam]],Standings!$A$2:$A$33,0),2)=INDEX(Standings!$A$2:$C$33,MATCH(Table1[[#This Row],[HomeTeam]],Standings!$A$2:$A$33,0),2),1,0)</f>
        <v>1</v>
      </c>
      <c r="AK428" s="64">
        <f>IF(INDEX(Standings!$A$2:$C$33,MATCH(Table1[[#This Row],[AwayTeam]],Standings!$A$2:$A$33,0),3)=INDEX(Standings!$A$2:$C$33,MATCH(Table1[[#This Row],[HomeTeam]],Standings!$A$2:$A$33,0),3),1,0)</f>
        <v>1</v>
      </c>
      <c r="AL428" s="64">
        <f>IF(Table1[[#This Row],[InterConf]]=1,IF(Table1[[#This Row],[InterDiv]]=0, 1, 0), 0)</f>
        <v>0</v>
      </c>
      <c r="AM428" s="64">
        <f>IF(INDEX(Standings!$A$2:$C$33,MATCH(Table1[[#This Row],[AwayTeam]],Standings!$A$2:$A$33,0),2)&lt;&gt;INDEX(Standings!$A$2:$C$33,MATCH(Table1[[#This Row],[HomeTeam]],Standings!$A$2:$A$33,0),2),1,0)</f>
        <v>0</v>
      </c>
      <c r="AN428" s="64" t="str">
        <f>INDEX(Table2[AWAY_RECORD], MATCH(Table1[[#This Row],[AwayTeam]],Table2[Team], 0), 0)</f>
        <v>1-0-0</v>
      </c>
      <c r="AO428" s="64" t="str">
        <f>INDEX(Records!$B$2:$AG$33, MATCH(Table1[[#This Row],[AwayTeam]],Records!$A$2:$A$33, 0), MATCH(Table1[[#This Row],[HomeTeam]],Records!$A$2:$A$33, 0))</f>
        <v>0-0-0</v>
      </c>
      <c r="AP428" s="64" t="str">
        <f>INDEX(Table2[HOME_RECORD], MATCH(Table1[[#This Row],[HomeTeam]],Table2[Team], 0), 0)</f>
        <v>0-0-0</v>
      </c>
      <c r="AQ428" s="64" t="str">
        <f>INDEX(Records!$B$2:$AG$33, MATCH(Table1[[#This Row],[HomeTeam]],Records!$A$2:$A$33, 0), MATCH(Table1[[#This Row],[AwayTeam]],Records!$A$2:$A$33, 0))</f>
        <v>0-0-0</v>
      </c>
    </row>
    <row r="429" spans="1:43" x14ac:dyDescent="0.25">
      <c r="A429" s="1"/>
      <c r="D429" t="s">
        <v>672</v>
      </c>
      <c r="E429" t="s">
        <v>252</v>
      </c>
      <c r="F429" t="s">
        <v>674</v>
      </c>
      <c r="G429" t="s">
        <v>22</v>
      </c>
      <c r="H429" t="s">
        <v>16</v>
      </c>
      <c r="L42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2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29" s="1"/>
      <c r="T429" s="64" t="str">
        <f>IF(Table1[[#This Row],[ActualWinner]]="", "", IF(Table1[[#This Row],[AwayTeam]]=Table1[[#This Row],[ActualWinner]],Table1[[#This Row],[HomeTeam]],Table1[[#This Row],[AwayTeam]]))</f>
        <v/>
      </c>
      <c r="U429" s="64">
        <f>Table1[[#This Row],[ActualAwayScore]]-Table1[[#This Row],[PredictedAwayScore]]</f>
        <v>0</v>
      </c>
      <c r="V429" s="64">
        <f>Table1[[#This Row],[ActualHomeScore]]-Table1[[#This Row],[PredictedHomeScore]]</f>
        <v>0</v>
      </c>
      <c r="W429" s="64">
        <f>(0.8*IF(Table1[[#This Row],[CorrectWinnerPrediction]]=1, 1, 0))+(0.1*IF(Table1[[#This Row],[CorrectAwayScorePrediction]]=1, 1, 0))+(0.1*IF(Table1[[#This Row],[CorrectHomeScorePrediction]]=1, 1, 0))</f>
        <v>0</v>
      </c>
      <c r="X42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29" s="64">
        <f>SUMIF(Table1[GameDate], Table1[[#This Row],[GameDate]], Table1[AwayGameGoalDiff])</f>
        <v>0</v>
      </c>
      <c r="AA429" s="64">
        <f>SUMIF(Table1[GameDate], Table1[[#This Row],[GameDate]], Table1[HomeGameGoalDiff])</f>
        <v>0</v>
      </c>
      <c r="AB429" s="64">
        <f>IF(ISBLANK(Table1[[#This Row],[ActualResult]]), 0, 1)</f>
        <v>0</v>
      </c>
      <c r="AC429" s="64">
        <f>IF(ISBLANK(Table1[[#This Row],[ActualResult]]), 0, IF(Table1[[#This Row],[ActualWinner]]=Table1[[#This Row],[PredictedWinner]], 1, 0))</f>
        <v>0</v>
      </c>
      <c r="AD42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2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29" s="64">
        <f>IF(AND(Table1[[#This Row],[GameIsOver]]=1,Table1[[#This Row],[ActualAwayScore]]=0), 1,0)</f>
        <v>0</v>
      </c>
      <c r="AG429" s="64">
        <f>IF(AND(Table1[[#This Row],[GameIsOver]]=1,Table1[[#This Row],[ActualHomeScore]]=0), 1,0)</f>
        <v>0</v>
      </c>
      <c r="AH429" s="64">
        <f>IF(Table1[[#This Row],[GameIsOver]]=0,0,IF(Table1[[#This Row],[ActualWinner]]=Table1[[#This Row],[AwayTeam]], 1, 0))</f>
        <v>0</v>
      </c>
      <c r="AI429" s="64">
        <f>IF(Table1[[#This Row],[GameIsOver]]=0,0,IF(Table1[[#This Row],[ActualWinner]]=Table1[[#This Row],[HomeTeam]], 1, 0))</f>
        <v>0</v>
      </c>
      <c r="AJ429" s="64">
        <f>IF(INDEX(Standings!$A$2:$C$33,MATCH(Table1[[#This Row],[AwayTeam]],Standings!$A$2:$A$33,0),2)=INDEX(Standings!$A$2:$C$33,MATCH(Table1[[#This Row],[HomeTeam]],Standings!$A$2:$A$33,0),2),1,0)</f>
        <v>1</v>
      </c>
      <c r="AK429" s="64">
        <f>IF(INDEX(Standings!$A$2:$C$33,MATCH(Table1[[#This Row],[AwayTeam]],Standings!$A$2:$A$33,0),3)=INDEX(Standings!$A$2:$C$33,MATCH(Table1[[#This Row],[HomeTeam]],Standings!$A$2:$A$33,0),3),1,0)</f>
        <v>1</v>
      </c>
      <c r="AL429" s="64">
        <f>IF(Table1[[#This Row],[InterConf]]=1,IF(Table1[[#This Row],[InterDiv]]=0, 1, 0), 0)</f>
        <v>0</v>
      </c>
      <c r="AM429" s="64">
        <f>IF(INDEX(Standings!$A$2:$C$33,MATCH(Table1[[#This Row],[AwayTeam]],Standings!$A$2:$A$33,0),2)&lt;&gt;INDEX(Standings!$A$2:$C$33,MATCH(Table1[[#This Row],[HomeTeam]],Standings!$A$2:$A$33,0),2),1,0)</f>
        <v>0</v>
      </c>
      <c r="AN429" s="64" t="str">
        <f>INDEX(Table2[AWAY_RECORD], MATCH(Table1[[#This Row],[AwayTeam]],Table2[Team], 0), 0)</f>
        <v>0-0-1</v>
      </c>
      <c r="AO429" s="64" t="str">
        <f>INDEX(Records!$B$2:$AG$33, MATCH(Table1[[#This Row],[AwayTeam]],Records!$A$2:$A$33, 0), MATCH(Table1[[#This Row],[HomeTeam]],Records!$A$2:$A$33, 0))</f>
        <v>0-0-0</v>
      </c>
      <c r="AP429" s="64" t="str">
        <f>INDEX(Table2[HOME_RECORD], MATCH(Table1[[#This Row],[HomeTeam]],Table2[Team], 0), 0)</f>
        <v>0-0-0</v>
      </c>
      <c r="AQ429" s="64" t="str">
        <f>INDEX(Records!$B$2:$AG$33, MATCH(Table1[[#This Row],[HomeTeam]],Records!$A$2:$A$33, 0), MATCH(Table1[[#This Row],[AwayTeam]],Records!$A$2:$A$33, 0))</f>
        <v>0-0-0</v>
      </c>
    </row>
    <row r="430" spans="1:43" x14ac:dyDescent="0.25">
      <c r="A430" s="1"/>
      <c r="D430" t="s">
        <v>672</v>
      </c>
      <c r="E430" t="s">
        <v>207</v>
      </c>
      <c r="F430" t="s">
        <v>675</v>
      </c>
      <c r="G430" t="s">
        <v>23</v>
      </c>
      <c r="H430" t="s">
        <v>37</v>
      </c>
      <c r="L43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3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30" s="1"/>
      <c r="T430" s="64" t="str">
        <f>IF(Table1[[#This Row],[ActualWinner]]="", "", IF(Table1[[#This Row],[AwayTeam]]=Table1[[#This Row],[ActualWinner]],Table1[[#This Row],[HomeTeam]],Table1[[#This Row],[AwayTeam]]))</f>
        <v/>
      </c>
      <c r="U430" s="64">
        <f>Table1[[#This Row],[ActualAwayScore]]-Table1[[#This Row],[PredictedAwayScore]]</f>
        <v>0</v>
      </c>
      <c r="V430" s="64">
        <f>Table1[[#This Row],[ActualHomeScore]]-Table1[[#This Row],[PredictedHomeScore]]</f>
        <v>0</v>
      </c>
      <c r="W430" s="64">
        <f>(0.8*IF(Table1[[#This Row],[CorrectWinnerPrediction]]=1, 1, 0))+(0.1*IF(Table1[[#This Row],[CorrectAwayScorePrediction]]=1, 1, 0))+(0.1*IF(Table1[[#This Row],[CorrectHomeScorePrediction]]=1, 1, 0))</f>
        <v>0</v>
      </c>
      <c r="X43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30" s="64">
        <f>SUMIF(Table1[GameDate], Table1[[#This Row],[GameDate]], Table1[AwayGameGoalDiff])</f>
        <v>0</v>
      </c>
      <c r="AA430" s="64">
        <f>SUMIF(Table1[GameDate], Table1[[#This Row],[GameDate]], Table1[HomeGameGoalDiff])</f>
        <v>0</v>
      </c>
      <c r="AB430" s="64">
        <f>IF(ISBLANK(Table1[[#This Row],[ActualResult]]), 0, 1)</f>
        <v>0</v>
      </c>
      <c r="AC430" s="64">
        <f>IF(ISBLANK(Table1[[#This Row],[ActualResult]]), 0, IF(Table1[[#This Row],[ActualWinner]]=Table1[[#This Row],[PredictedWinner]], 1, 0))</f>
        <v>0</v>
      </c>
      <c r="AD43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3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30" s="64">
        <f>IF(AND(Table1[[#This Row],[GameIsOver]]=1,Table1[[#This Row],[ActualAwayScore]]=0), 1,0)</f>
        <v>0</v>
      </c>
      <c r="AG430" s="64">
        <f>IF(AND(Table1[[#This Row],[GameIsOver]]=1,Table1[[#This Row],[ActualHomeScore]]=0), 1,0)</f>
        <v>0</v>
      </c>
      <c r="AH430" s="64">
        <f>IF(Table1[[#This Row],[GameIsOver]]=0,0,IF(Table1[[#This Row],[ActualWinner]]=Table1[[#This Row],[AwayTeam]], 1, 0))</f>
        <v>0</v>
      </c>
      <c r="AI430" s="64">
        <f>IF(Table1[[#This Row],[GameIsOver]]=0,0,IF(Table1[[#This Row],[ActualWinner]]=Table1[[#This Row],[HomeTeam]], 1, 0))</f>
        <v>0</v>
      </c>
      <c r="AJ430" s="64">
        <f>IF(INDEX(Standings!$A$2:$C$33,MATCH(Table1[[#This Row],[AwayTeam]],Standings!$A$2:$A$33,0),2)=INDEX(Standings!$A$2:$C$33,MATCH(Table1[[#This Row],[HomeTeam]],Standings!$A$2:$A$33,0),2),1,0)</f>
        <v>0</v>
      </c>
      <c r="AK430" s="64">
        <f>IF(INDEX(Standings!$A$2:$C$33,MATCH(Table1[[#This Row],[AwayTeam]],Standings!$A$2:$A$33,0),3)=INDEX(Standings!$A$2:$C$33,MATCH(Table1[[#This Row],[HomeTeam]],Standings!$A$2:$A$33,0),3),1,0)</f>
        <v>0</v>
      </c>
      <c r="AL430" s="64">
        <f>IF(Table1[[#This Row],[InterConf]]=1,IF(Table1[[#This Row],[InterDiv]]=0, 1, 0), 0)</f>
        <v>0</v>
      </c>
      <c r="AM430" s="64">
        <f>IF(INDEX(Standings!$A$2:$C$33,MATCH(Table1[[#This Row],[AwayTeam]],Standings!$A$2:$A$33,0),2)&lt;&gt;INDEX(Standings!$A$2:$C$33,MATCH(Table1[[#This Row],[HomeTeam]],Standings!$A$2:$A$33,0),2),1,0)</f>
        <v>1</v>
      </c>
      <c r="AN430" s="64" t="str">
        <f>INDEX(Table2[AWAY_RECORD], MATCH(Table1[[#This Row],[AwayTeam]],Table2[Team], 0), 0)</f>
        <v>0-0-1</v>
      </c>
      <c r="AO430" s="64" t="str">
        <f>INDEX(Records!$B$2:$AG$33, MATCH(Table1[[#This Row],[AwayTeam]],Records!$A$2:$A$33, 0), MATCH(Table1[[#This Row],[HomeTeam]],Records!$A$2:$A$33, 0))</f>
        <v>0-0-0</v>
      </c>
      <c r="AP430" s="64" t="str">
        <f>INDEX(Table2[HOME_RECORD], MATCH(Table1[[#This Row],[HomeTeam]],Table2[Team], 0), 0)</f>
        <v>0-1-0</v>
      </c>
      <c r="AQ430" s="64" t="str">
        <f>INDEX(Records!$B$2:$AG$33, MATCH(Table1[[#This Row],[HomeTeam]],Records!$A$2:$A$33, 0), MATCH(Table1[[#This Row],[AwayTeam]],Records!$A$2:$A$33, 0))</f>
        <v>0-0-0</v>
      </c>
    </row>
    <row r="431" spans="1:43" x14ac:dyDescent="0.25">
      <c r="A431" s="1"/>
      <c r="D431" t="s">
        <v>676</v>
      </c>
      <c r="E431" t="s">
        <v>432</v>
      </c>
      <c r="F431" t="s">
        <v>677</v>
      </c>
      <c r="G431" t="s">
        <v>52</v>
      </c>
      <c r="H431" t="s">
        <v>48</v>
      </c>
      <c r="L43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3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31" s="1"/>
      <c r="T431" s="64" t="str">
        <f>IF(Table1[[#This Row],[ActualWinner]]="", "", IF(Table1[[#This Row],[AwayTeam]]=Table1[[#This Row],[ActualWinner]],Table1[[#This Row],[HomeTeam]],Table1[[#This Row],[AwayTeam]]))</f>
        <v/>
      </c>
      <c r="U431" s="64">
        <f>Table1[[#This Row],[ActualAwayScore]]-Table1[[#This Row],[PredictedAwayScore]]</f>
        <v>0</v>
      </c>
      <c r="V431" s="64">
        <f>Table1[[#This Row],[ActualHomeScore]]-Table1[[#This Row],[PredictedHomeScore]]</f>
        <v>0</v>
      </c>
      <c r="W431" s="64">
        <f>(0.8*IF(Table1[[#This Row],[CorrectWinnerPrediction]]=1, 1, 0))+(0.1*IF(Table1[[#This Row],[CorrectAwayScorePrediction]]=1, 1, 0))+(0.1*IF(Table1[[#This Row],[CorrectHomeScorePrediction]]=1, 1, 0))</f>
        <v>0</v>
      </c>
      <c r="X43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31" s="64">
        <f>SUMIF(Table1[GameDate], Table1[[#This Row],[GameDate]], Table1[AwayGameGoalDiff])</f>
        <v>0</v>
      </c>
      <c r="AA431" s="64">
        <f>SUMIF(Table1[GameDate], Table1[[#This Row],[GameDate]], Table1[HomeGameGoalDiff])</f>
        <v>0</v>
      </c>
      <c r="AB431" s="64">
        <f>IF(ISBLANK(Table1[[#This Row],[ActualResult]]), 0, 1)</f>
        <v>0</v>
      </c>
      <c r="AC431" s="64">
        <f>IF(ISBLANK(Table1[[#This Row],[ActualResult]]), 0, IF(Table1[[#This Row],[ActualWinner]]=Table1[[#This Row],[PredictedWinner]], 1, 0))</f>
        <v>0</v>
      </c>
      <c r="AD43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3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31" s="64">
        <f>IF(AND(Table1[[#This Row],[GameIsOver]]=1,Table1[[#This Row],[ActualAwayScore]]=0), 1,0)</f>
        <v>0</v>
      </c>
      <c r="AG431" s="64">
        <f>IF(AND(Table1[[#This Row],[GameIsOver]]=1,Table1[[#This Row],[ActualHomeScore]]=0), 1,0)</f>
        <v>0</v>
      </c>
      <c r="AH431" s="64">
        <f>IF(Table1[[#This Row],[GameIsOver]]=0,0,IF(Table1[[#This Row],[ActualWinner]]=Table1[[#This Row],[AwayTeam]], 1, 0))</f>
        <v>0</v>
      </c>
      <c r="AI431" s="64">
        <f>IF(Table1[[#This Row],[GameIsOver]]=0,0,IF(Table1[[#This Row],[ActualWinner]]=Table1[[#This Row],[HomeTeam]], 1, 0))</f>
        <v>0</v>
      </c>
      <c r="AJ431" s="64">
        <f>IF(INDEX(Standings!$A$2:$C$33,MATCH(Table1[[#This Row],[AwayTeam]],Standings!$A$2:$A$33,0),2)=INDEX(Standings!$A$2:$C$33,MATCH(Table1[[#This Row],[HomeTeam]],Standings!$A$2:$A$33,0),2),1,0)</f>
        <v>0</v>
      </c>
      <c r="AK431" s="64">
        <f>IF(INDEX(Standings!$A$2:$C$33,MATCH(Table1[[#This Row],[AwayTeam]],Standings!$A$2:$A$33,0),3)=INDEX(Standings!$A$2:$C$33,MATCH(Table1[[#This Row],[HomeTeam]],Standings!$A$2:$A$33,0),3),1,0)</f>
        <v>0</v>
      </c>
      <c r="AL431" s="64">
        <f>IF(Table1[[#This Row],[InterConf]]=1,IF(Table1[[#This Row],[InterDiv]]=0, 1, 0), 0)</f>
        <v>0</v>
      </c>
      <c r="AM431" s="64">
        <f>IF(INDEX(Standings!$A$2:$C$33,MATCH(Table1[[#This Row],[AwayTeam]],Standings!$A$2:$A$33,0),2)&lt;&gt;INDEX(Standings!$A$2:$C$33,MATCH(Table1[[#This Row],[HomeTeam]],Standings!$A$2:$A$33,0),2),1,0)</f>
        <v>1</v>
      </c>
      <c r="AN431" s="64" t="str">
        <f>INDEX(Table2[AWAY_RECORD], MATCH(Table1[[#This Row],[AwayTeam]],Table2[Team], 0), 0)</f>
        <v>0-0-0</v>
      </c>
      <c r="AO431" s="64" t="str">
        <f>INDEX(Records!$B$2:$AG$33, MATCH(Table1[[#This Row],[AwayTeam]],Records!$A$2:$A$33, 0), MATCH(Table1[[#This Row],[HomeTeam]],Records!$A$2:$A$33, 0))</f>
        <v>0-0-0</v>
      </c>
      <c r="AP431" s="64" t="str">
        <f>INDEX(Table2[HOME_RECORD], MATCH(Table1[[#This Row],[HomeTeam]],Table2[Team], 0), 0)</f>
        <v>1-0-0</v>
      </c>
      <c r="AQ431" s="64" t="str">
        <f>INDEX(Records!$B$2:$AG$33, MATCH(Table1[[#This Row],[HomeTeam]],Records!$A$2:$A$33, 0), MATCH(Table1[[#This Row],[AwayTeam]],Records!$A$2:$A$33, 0))</f>
        <v>0-0-0</v>
      </c>
    </row>
    <row r="432" spans="1:43" x14ac:dyDescent="0.25">
      <c r="A432" s="1"/>
      <c r="D432" t="s">
        <v>676</v>
      </c>
      <c r="E432" t="s">
        <v>162</v>
      </c>
      <c r="F432" t="s">
        <v>678</v>
      </c>
      <c r="G432" t="s">
        <v>40</v>
      </c>
      <c r="H432" t="s">
        <v>51</v>
      </c>
      <c r="L43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3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32" s="1"/>
      <c r="T432" s="64" t="str">
        <f>IF(Table1[[#This Row],[ActualWinner]]="", "", IF(Table1[[#This Row],[AwayTeam]]=Table1[[#This Row],[ActualWinner]],Table1[[#This Row],[HomeTeam]],Table1[[#This Row],[AwayTeam]]))</f>
        <v/>
      </c>
      <c r="U432" s="64">
        <f>Table1[[#This Row],[ActualAwayScore]]-Table1[[#This Row],[PredictedAwayScore]]</f>
        <v>0</v>
      </c>
      <c r="V432" s="64">
        <f>Table1[[#This Row],[ActualHomeScore]]-Table1[[#This Row],[PredictedHomeScore]]</f>
        <v>0</v>
      </c>
      <c r="W432" s="64">
        <f>(0.8*IF(Table1[[#This Row],[CorrectWinnerPrediction]]=1, 1, 0))+(0.1*IF(Table1[[#This Row],[CorrectAwayScorePrediction]]=1, 1, 0))+(0.1*IF(Table1[[#This Row],[CorrectHomeScorePrediction]]=1, 1, 0))</f>
        <v>0</v>
      </c>
      <c r="X43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32" s="64">
        <f>SUMIF(Table1[GameDate], Table1[[#This Row],[GameDate]], Table1[AwayGameGoalDiff])</f>
        <v>0</v>
      </c>
      <c r="AA432" s="64">
        <f>SUMIF(Table1[GameDate], Table1[[#This Row],[GameDate]], Table1[HomeGameGoalDiff])</f>
        <v>0</v>
      </c>
      <c r="AB432" s="64">
        <f>IF(ISBLANK(Table1[[#This Row],[ActualResult]]), 0, 1)</f>
        <v>0</v>
      </c>
      <c r="AC432" s="64">
        <f>IF(ISBLANK(Table1[[#This Row],[ActualResult]]), 0, IF(Table1[[#This Row],[ActualWinner]]=Table1[[#This Row],[PredictedWinner]], 1, 0))</f>
        <v>0</v>
      </c>
      <c r="AD43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3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32" s="64">
        <f>IF(AND(Table1[[#This Row],[GameIsOver]]=1,Table1[[#This Row],[ActualAwayScore]]=0), 1,0)</f>
        <v>0</v>
      </c>
      <c r="AG432" s="64">
        <f>IF(AND(Table1[[#This Row],[GameIsOver]]=1,Table1[[#This Row],[ActualHomeScore]]=0), 1,0)</f>
        <v>0</v>
      </c>
      <c r="AH432" s="64">
        <f>IF(Table1[[#This Row],[GameIsOver]]=0,0,IF(Table1[[#This Row],[ActualWinner]]=Table1[[#This Row],[AwayTeam]], 1, 0))</f>
        <v>0</v>
      </c>
      <c r="AI432" s="64">
        <f>IF(Table1[[#This Row],[GameIsOver]]=0,0,IF(Table1[[#This Row],[ActualWinner]]=Table1[[#This Row],[HomeTeam]], 1, 0))</f>
        <v>0</v>
      </c>
      <c r="AJ432" s="64">
        <f>IF(INDEX(Standings!$A$2:$C$33,MATCH(Table1[[#This Row],[AwayTeam]],Standings!$A$2:$A$33,0),2)=INDEX(Standings!$A$2:$C$33,MATCH(Table1[[#This Row],[HomeTeam]],Standings!$A$2:$A$33,0),2),1,0)</f>
        <v>1</v>
      </c>
      <c r="AK432" s="64">
        <f>IF(INDEX(Standings!$A$2:$C$33,MATCH(Table1[[#This Row],[AwayTeam]],Standings!$A$2:$A$33,0),3)=INDEX(Standings!$A$2:$C$33,MATCH(Table1[[#This Row],[HomeTeam]],Standings!$A$2:$A$33,0),3),1,0)</f>
        <v>1</v>
      </c>
      <c r="AL432" s="64">
        <f>IF(Table1[[#This Row],[InterConf]]=1,IF(Table1[[#This Row],[InterDiv]]=0, 1, 0), 0)</f>
        <v>0</v>
      </c>
      <c r="AM432" s="64">
        <f>IF(INDEX(Standings!$A$2:$C$33,MATCH(Table1[[#This Row],[AwayTeam]],Standings!$A$2:$A$33,0),2)&lt;&gt;INDEX(Standings!$A$2:$C$33,MATCH(Table1[[#This Row],[HomeTeam]],Standings!$A$2:$A$33,0),2),1,0)</f>
        <v>0</v>
      </c>
      <c r="AN432" s="64" t="str">
        <f>INDEX(Table2[AWAY_RECORD], MATCH(Table1[[#This Row],[AwayTeam]],Table2[Team], 0), 0)</f>
        <v>0-0-0</v>
      </c>
      <c r="AO432" s="64" t="str">
        <f>INDEX(Records!$B$2:$AG$33, MATCH(Table1[[#This Row],[AwayTeam]],Records!$A$2:$A$33, 0), MATCH(Table1[[#This Row],[HomeTeam]],Records!$A$2:$A$33, 0))</f>
        <v>0-0-0</v>
      </c>
      <c r="AP432" s="64" t="str">
        <f>INDEX(Table2[HOME_RECORD], MATCH(Table1[[#This Row],[HomeTeam]],Table2[Team], 0), 0)</f>
        <v>1-0-0</v>
      </c>
      <c r="AQ432" s="64" t="str">
        <f>INDEX(Records!$B$2:$AG$33, MATCH(Table1[[#This Row],[HomeTeam]],Records!$A$2:$A$33, 0), MATCH(Table1[[#This Row],[AwayTeam]],Records!$A$2:$A$33, 0))</f>
        <v>0-0-0</v>
      </c>
    </row>
    <row r="433" spans="1:43" x14ac:dyDescent="0.25">
      <c r="A433" s="1"/>
      <c r="D433" t="s">
        <v>676</v>
      </c>
      <c r="E433" t="s">
        <v>162</v>
      </c>
      <c r="F433" t="s">
        <v>679</v>
      </c>
      <c r="G433" t="s">
        <v>42</v>
      </c>
      <c r="H433" t="s">
        <v>54</v>
      </c>
      <c r="L43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3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33" s="1"/>
      <c r="T433" s="64" t="str">
        <f>IF(Table1[[#This Row],[ActualWinner]]="", "", IF(Table1[[#This Row],[AwayTeam]]=Table1[[#This Row],[ActualWinner]],Table1[[#This Row],[HomeTeam]],Table1[[#This Row],[AwayTeam]]))</f>
        <v/>
      </c>
      <c r="U433" s="64">
        <f>Table1[[#This Row],[ActualAwayScore]]-Table1[[#This Row],[PredictedAwayScore]]</f>
        <v>0</v>
      </c>
      <c r="V433" s="64">
        <f>Table1[[#This Row],[ActualHomeScore]]-Table1[[#This Row],[PredictedHomeScore]]</f>
        <v>0</v>
      </c>
      <c r="W433" s="64">
        <f>(0.8*IF(Table1[[#This Row],[CorrectWinnerPrediction]]=1, 1, 0))+(0.1*IF(Table1[[#This Row],[CorrectAwayScorePrediction]]=1, 1, 0))+(0.1*IF(Table1[[#This Row],[CorrectHomeScorePrediction]]=1, 1, 0))</f>
        <v>0</v>
      </c>
      <c r="X43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33" s="64">
        <f>SUMIF(Table1[GameDate], Table1[[#This Row],[GameDate]], Table1[AwayGameGoalDiff])</f>
        <v>0</v>
      </c>
      <c r="AA433" s="64">
        <f>SUMIF(Table1[GameDate], Table1[[#This Row],[GameDate]], Table1[HomeGameGoalDiff])</f>
        <v>0</v>
      </c>
      <c r="AB433" s="64">
        <f>IF(ISBLANK(Table1[[#This Row],[ActualResult]]), 0, 1)</f>
        <v>0</v>
      </c>
      <c r="AC433" s="64">
        <f>IF(ISBLANK(Table1[[#This Row],[ActualResult]]), 0, IF(Table1[[#This Row],[ActualWinner]]=Table1[[#This Row],[PredictedWinner]], 1, 0))</f>
        <v>0</v>
      </c>
      <c r="AD43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3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33" s="64">
        <f>IF(AND(Table1[[#This Row],[GameIsOver]]=1,Table1[[#This Row],[ActualAwayScore]]=0), 1,0)</f>
        <v>0</v>
      </c>
      <c r="AG433" s="64">
        <f>IF(AND(Table1[[#This Row],[GameIsOver]]=1,Table1[[#This Row],[ActualHomeScore]]=0), 1,0)</f>
        <v>0</v>
      </c>
      <c r="AH433" s="64">
        <f>IF(Table1[[#This Row],[GameIsOver]]=0,0,IF(Table1[[#This Row],[ActualWinner]]=Table1[[#This Row],[AwayTeam]], 1, 0))</f>
        <v>0</v>
      </c>
      <c r="AI433" s="64">
        <f>IF(Table1[[#This Row],[GameIsOver]]=0,0,IF(Table1[[#This Row],[ActualWinner]]=Table1[[#This Row],[HomeTeam]], 1, 0))</f>
        <v>0</v>
      </c>
      <c r="AJ433" s="64">
        <f>IF(INDEX(Standings!$A$2:$C$33,MATCH(Table1[[#This Row],[AwayTeam]],Standings!$A$2:$A$33,0),2)=INDEX(Standings!$A$2:$C$33,MATCH(Table1[[#This Row],[HomeTeam]],Standings!$A$2:$A$33,0),2),1,0)</f>
        <v>1</v>
      </c>
      <c r="AK433" s="64">
        <f>IF(INDEX(Standings!$A$2:$C$33,MATCH(Table1[[#This Row],[AwayTeam]],Standings!$A$2:$A$33,0),3)=INDEX(Standings!$A$2:$C$33,MATCH(Table1[[#This Row],[HomeTeam]],Standings!$A$2:$A$33,0),3),1,0)</f>
        <v>1</v>
      </c>
      <c r="AL433" s="64">
        <f>IF(Table1[[#This Row],[InterConf]]=1,IF(Table1[[#This Row],[InterDiv]]=0, 1, 0), 0)</f>
        <v>0</v>
      </c>
      <c r="AM433" s="64">
        <f>IF(INDEX(Standings!$A$2:$C$33,MATCH(Table1[[#This Row],[AwayTeam]],Standings!$A$2:$A$33,0),2)&lt;&gt;INDEX(Standings!$A$2:$C$33,MATCH(Table1[[#This Row],[HomeTeam]],Standings!$A$2:$A$33,0),2),1,0)</f>
        <v>0</v>
      </c>
      <c r="AN433" s="64" t="str">
        <f>INDEX(Table2[AWAY_RECORD], MATCH(Table1[[#This Row],[AwayTeam]],Table2[Team], 0), 0)</f>
        <v>0-0-0</v>
      </c>
      <c r="AO433" s="64" t="str">
        <f>INDEX(Records!$B$2:$AG$33, MATCH(Table1[[#This Row],[AwayTeam]],Records!$A$2:$A$33, 0), MATCH(Table1[[#This Row],[HomeTeam]],Records!$A$2:$A$33, 0))</f>
        <v>0-0-0</v>
      </c>
      <c r="AP433" s="64" t="str">
        <f>INDEX(Table2[HOME_RECORD], MATCH(Table1[[#This Row],[HomeTeam]],Table2[Team], 0), 0)</f>
        <v>0-0-0</v>
      </c>
      <c r="AQ433" s="64" t="str">
        <f>INDEX(Records!$B$2:$AG$33, MATCH(Table1[[#This Row],[HomeTeam]],Records!$A$2:$A$33, 0), MATCH(Table1[[#This Row],[AwayTeam]],Records!$A$2:$A$33, 0))</f>
        <v>0-0-0</v>
      </c>
    </row>
    <row r="434" spans="1:43" x14ac:dyDescent="0.25">
      <c r="A434" s="1"/>
      <c r="D434" t="s">
        <v>676</v>
      </c>
      <c r="E434" t="s">
        <v>289</v>
      </c>
      <c r="F434" t="s">
        <v>680</v>
      </c>
      <c r="G434" t="s">
        <v>53</v>
      </c>
      <c r="H434" t="s">
        <v>24</v>
      </c>
      <c r="L43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3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34" s="1"/>
      <c r="T434" s="64" t="str">
        <f>IF(Table1[[#This Row],[ActualWinner]]="", "", IF(Table1[[#This Row],[AwayTeam]]=Table1[[#This Row],[ActualWinner]],Table1[[#This Row],[HomeTeam]],Table1[[#This Row],[AwayTeam]]))</f>
        <v/>
      </c>
      <c r="U434" s="64">
        <f>Table1[[#This Row],[ActualAwayScore]]-Table1[[#This Row],[PredictedAwayScore]]</f>
        <v>0</v>
      </c>
      <c r="V434" s="64">
        <f>Table1[[#This Row],[ActualHomeScore]]-Table1[[#This Row],[PredictedHomeScore]]</f>
        <v>0</v>
      </c>
      <c r="W434" s="64">
        <f>(0.8*IF(Table1[[#This Row],[CorrectWinnerPrediction]]=1, 1, 0))+(0.1*IF(Table1[[#This Row],[CorrectAwayScorePrediction]]=1, 1, 0))+(0.1*IF(Table1[[#This Row],[CorrectHomeScorePrediction]]=1, 1, 0))</f>
        <v>0</v>
      </c>
      <c r="X43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34" s="64">
        <f>SUMIF(Table1[GameDate], Table1[[#This Row],[GameDate]], Table1[AwayGameGoalDiff])</f>
        <v>0</v>
      </c>
      <c r="AA434" s="64">
        <f>SUMIF(Table1[GameDate], Table1[[#This Row],[GameDate]], Table1[HomeGameGoalDiff])</f>
        <v>0</v>
      </c>
      <c r="AB434" s="64">
        <f>IF(ISBLANK(Table1[[#This Row],[ActualResult]]), 0, 1)</f>
        <v>0</v>
      </c>
      <c r="AC434" s="64">
        <f>IF(ISBLANK(Table1[[#This Row],[ActualResult]]), 0, IF(Table1[[#This Row],[ActualWinner]]=Table1[[#This Row],[PredictedWinner]], 1, 0))</f>
        <v>0</v>
      </c>
      <c r="AD43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3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34" s="64">
        <f>IF(AND(Table1[[#This Row],[GameIsOver]]=1,Table1[[#This Row],[ActualAwayScore]]=0), 1,0)</f>
        <v>0</v>
      </c>
      <c r="AG434" s="64">
        <f>IF(AND(Table1[[#This Row],[GameIsOver]]=1,Table1[[#This Row],[ActualHomeScore]]=0), 1,0)</f>
        <v>0</v>
      </c>
      <c r="AH434" s="64">
        <f>IF(Table1[[#This Row],[GameIsOver]]=0,0,IF(Table1[[#This Row],[ActualWinner]]=Table1[[#This Row],[AwayTeam]], 1, 0))</f>
        <v>0</v>
      </c>
      <c r="AI434" s="64">
        <f>IF(Table1[[#This Row],[GameIsOver]]=0,0,IF(Table1[[#This Row],[ActualWinner]]=Table1[[#This Row],[HomeTeam]], 1, 0))</f>
        <v>0</v>
      </c>
      <c r="AJ434" s="64">
        <f>IF(INDEX(Standings!$A$2:$C$33,MATCH(Table1[[#This Row],[AwayTeam]],Standings!$A$2:$A$33,0),2)=INDEX(Standings!$A$2:$C$33,MATCH(Table1[[#This Row],[HomeTeam]],Standings!$A$2:$A$33,0),2),1,0)</f>
        <v>1</v>
      </c>
      <c r="AK434" s="64">
        <f>IF(INDEX(Standings!$A$2:$C$33,MATCH(Table1[[#This Row],[AwayTeam]],Standings!$A$2:$A$33,0),3)=INDEX(Standings!$A$2:$C$33,MATCH(Table1[[#This Row],[HomeTeam]],Standings!$A$2:$A$33,0),3),1,0)</f>
        <v>0</v>
      </c>
      <c r="AL434" s="64">
        <f>IF(Table1[[#This Row],[InterConf]]=1,IF(Table1[[#This Row],[InterDiv]]=0, 1, 0), 0)</f>
        <v>1</v>
      </c>
      <c r="AM434" s="64">
        <f>IF(INDEX(Standings!$A$2:$C$33,MATCH(Table1[[#This Row],[AwayTeam]],Standings!$A$2:$A$33,0),2)&lt;&gt;INDEX(Standings!$A$2:$C$33,MATCH(Table1[[#This Row],[HomeTeam]],Standings!$A$2:$A$33,0),2),1,0)</f>
        <v>0</v>
      </c>
      <c r="AN434" s="64" t="str">
        <f>INDEX(Table2[AWAY_RECORD], MATCH(Table1[[#This Row],[AwayTeam]],Table2[Team], 0), 0)</f>
        <v>0-1-0</v>
      </c>
      <c r="AO434" s="64" t="str">
        <f>INDEX(Records!$B$2:$AG$33, MATCH(Table1[[#This Row],[AwayTeam]],Records!$A$2:$A$33, 0), MATCH(Table1[[#This Row],[HomeTeam]],Records!$A$2:$A$33, 0))</f>
        <v>0-0-0</v>
      </c>
      <c r="AP434" s="64" t="str">
        <f>INDEX(Table2[HOME_RECORD], MATCH(Table1[[#This Row],[HomeTeam]],Table2[Team], 0), 0)</f>
        <v>0-2-0</v>
      </c>
      <c r="AQ434" s="64" t="str">
        <f>INDEX(Records!$B$2:$AG$33, MATCH(Table1[[#This Row],[HomeTeam]],Records!$A$2:$A$33, 0), MATCH(Table1[[#This Row],[AwayTeam]],Records!$A$2:$A$33, 0))</f>
        <v>0-0-0</v>
      </c>
    </row>
    <row r="435" spans="1:43" x14ac:dyDescent="0.25">
      <c r="A435" s="1"/>
      <c r="D435" t="s">
        <v>676</v>
      </c>
      <c r="E435" t="s">
        <v>289</v>
      </c>
      <c r="F435" t="s">
        <v>681</v>
      </c>
      <c r="G435" t="s">
        <v>16</v>
      </c>
      <c r="H435" t="s">
        <v>60</v>
      </c>
      <c r="L43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3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35" s="1"/>
      <c r="T435" s="64" t="str">
        <f>IF(Table1[[#This Row],[ActualWinner]]="", "", IF(Table1[[#This Row],[AwayTeam]]=Table1[[#This Row],[ActualWinner]],Table1[[#This Row],[HomeTeam]],Table1[[#This Row],[AwayTeam]]))</f>
        <v/>
      </c>
      <c r="U435" s="64">
        <f>Table1[[#This Row],[ActualAwayScore]]-Table1[[#This Row],[PredictedAwayScore]]</f>
        <v>0</v>
      </c>
      <c r="V435" s="64">
        <f>Table1[[#This Row],[ActualHomeScore]]-Table1[[#This Row],[PredictedHomeScore]]</f>
        <v>0</v>
      </c>
      <c r="W435" s="64">
        <f>(0.8*IF(Table1[[#This Row],[CorrectWinnerPrediction]]=1, 1, 0))+(0.1*IF(Table1[[#This Row],[CorrectAwayScorePrediction]]=1, 1, 0))+(0.1*IF(Table1[[#This Row],[CorrectHomeScorePrediction]]=1, 1, 0))</f>
        <v>0</v>
      </c>
      <c r="X43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35" s="64">
        <f>SUMIF(Table1[GameDate], Table1[[#This Row],[GameDate]], Table1[AwayGameGoalDiff])</f>
        <v>0</v>
      </c>
      <c r="AA435" s="64">
        <f>SUMIF(Table1[GameDate], Table1[[#This Row],[GameDate]], Table1[HomeGameGoalDiff])</f>
        <v>0</v>
      </c>
      <c r="AB435" s="64">
        <f>IF(ISBLANK(Table1[[#This Row],[ActualResult]]), 0, 1)</f>
        <v>0</v>
      </c>
      <c r="AC435" s="64">
        <f>IF(ISBLANK(Table1[[#This Row],[ActualResult]]), 0, IF(Table1[[#This Row],[ActualWinner]]=Table1[[#This Row],[PredictedWinner]], 1, 0))</f>
        <v>0</v>
      </c>
      <c r="AD43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3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35" s="64">
        <f>IF(AND(Table1[[#This Row],[GameIsOver]]=1,Table1[[#This Row],[ActualAwayScore]]=0), 1,0)</f>
        <v>0</v>
      </c>
      <c r="AG435" s="64">
        <f>IF(AND(Table1[[#This Row],[GameIsOver]]=1,Table1[[#This Row],[ActualHomeScore]]=0), 1,0)</f>
        <v>0</v>
      </c>
      <c r="AH435" s="64">
        <f>IF(Table1[[#This Row],[GameIsOver]]=0,0,IF(Table1[[#This Row],[ActualWinner]]=Table1[[#This Row],[AwayTeam]], 1, 0))</f>
        <v>0</v>
      </c>
      <c r="AI435" s="64">
        <f>IF(Table1[[#This Row],[GameIsOver]]=0,0,IF(Table1[[#This Row],[ActualWinner]]=Table1[[#This Row],[HomeTeam]], 1, 0))</f>
        <v>0</v>
      </c>
      <c r="AJ435" s="64">
        <f>IF(INDEX(Standings!$A$2:$C$33,MATCH(Table1[[#This Row],[AwayTeam]],Standings!$A$2:$A$33,0),2)=INDEX(Standings!$A$2:$C$33,MATCH(Table1[[#This Row],[HomeTeam]],Standings!$A$2:$A$33,0),2),1,0)</f>
        <v>1</v>
      </c>
      <c r="AK435" s="64">
        <f>IF(INDEX(Standings!$A$2:$C$33,MATCH(Table1[[#This Row],[AwayTeam]],Standings!$A$2:$A$33,0),3)=INDEX(Standings!$A$2:$C$33,MATCH(Table1[[#This Row],[HomeTeam]],Standings!$A$2:$A$33,0),3),1,0)</f>
        <v>1</v>
      </c>
      <c r="AL435" s="64">
        <f>IF(Table1[[#This Row],[InterConf]]=1,IF(Table1[[#This Row],[InterDiv]]=0, 1, 0), 0)</f>
        <v>0</v>
      </c>
      <c r="AM435" s="64">
        <f>IF(INDEX(Standings!$A$2:$C$33,MATCH(Table1[[#This Row],[AwayTeam]],Standings!$A$2:$A$33,0),2)&lt;&gt;INDEX(Standings!$A$2:$C$33,MATCH(Table1[[#This Row],[HomeTeam]],Standings!$A$2:$A$33,0),2),1,0)</f>
        <v>0</v>
      </c>
      <c r="AN435" s="64" t="str">
        <f>INDEX(Table2[AWAY_RECORD], MATCH(Table1[[#This Row],[AwayTeam]],Table2[Team], 0), 0)</f>
        <v>1-0-1</v>
      </c>
      <c r="AO435" s="64" t="str">
        <f>INDEX(Records!$B$2:$AG$33, MATCH(Table1[[#This Row],[AwayTeam]],Records!$A$2:$A$33, 0), MATCH(Table1[[#This Row],[HomeTeam]],Records!$A$2:$A$33, 0))</f>
        <v>0-0-0</v>
      </c>
      <c r="AP435" s="64" t="str">
        <f>INDEX(Table2[HOME_RECORD], MATCH(Table1[[#This Row],[HomeTeam]],Table2[Team], 0), 0)</f>
        <v>1-0-0</v>
      </c>
      <c r="AQ435" s="64" t="str">
        <f>INDEX(Records!$B$2:$AG$33, MATCH(Table1[[#This Row],[HomeTeam]],Records!$A$2:$A$33, 0), MATCH(Table1[[#This Row],[AwayTeam]],Records!$A$2:$A$33, 0))</f>
        <v>0-0-0</v>
      </c>
    </row>
    <row r="436" spans="1:43" x14ac:dyDescent="0.25">
      <c r="A436" s="1"/>
      <c r="D436" t="s">
        <v>676</v>
      </c>
      <c r="E436" t="s">
        <v>166</v>
      </c>
      <c r="F436" t="s">
        <v>682</v>
      </c>
      <c r="G436" t="s">
        <v>47</v>
      </c>
      <c r="H436" t="s">
        <v>58</v>
      </c>
      <c r="L43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3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36" s="1"/>
      <c r="T436" s="64" t="str">
        <f>IF(Table1[[#This Row],[ActualWinner]]="", "", IF(Table1[[#This Row],[AwayTeam]]=Table1[[#This Row],[ActualWinner]],Table1[[#This Row],[HomeTeam]],Table1[[#This Row],[AwayTeam]]))</f>
        <v/>
      </c>
      <c r="U436" s="64">
        <f>Table1[[#This Row],[ActualAwayScore]]-Table1[[#This Row],[PredictedAwayScore]]</f>
        <v>0</v>
      </c>
      <c r="V436" s="64">
        <f>Table1[[#This Row],[ActualHomeScore]]-Table1[[#This Row],[PredictedHomeScore]]</f>
        <v>0</v>
      </c>
      <c r="W436" s="64">
        <f>(0.8*IF(Table1[[#This Row],[CorrectWinnerPrediction]]=1, 1, 0))+(0.1*IF(Table1[[#This Row],[CorrectAwayScorePrediction]]=1, 1, 0))+(0.1*IF(Table1[[#This Row],[CorrectHomeScorePrediction]]=1, 1, 0))</f>
        <v>0</v>
      </c>
      <c r="X43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36" s="64">
        <f>SUMIF(Table1[GameDate], Table1[[#This Row],[GameDate]], Table1[AwayGameGoalDiff])</f>
        <v>0</v>
      </c>
      <c r="AA436" s="64">
        <f>SUMIF(Table1[GameDate], Table1[[#This Row],[GameDate]], Table1[HomeGameGoalDiff])</f>
        <v>0</v>
      </c>
      <c r="AB436" s="64">
        <f>IF(ISBLANK(Table1[[#This Row],[ActualResult]]), 0, 1)</f>
        <v>0</v>
      </c>
      <c r="AC436" s="64">
        <f>IF(ISBLANK(Table1[[#This Row],[ActualResult]]), 0, IF(Table1[[#This Row],[ActualWinner]]=Table1[[#This Row],[PredictedWinner]], 1, 0))</f>
        <v>0</v>
      </c>
      <c r="AD43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3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36" s="64">
        <f>IF(AND(Table1[[#This Row],[GameIsOver]]=1,Table1[[#This Row],[ActualAwayScore]]=0), 1,0)</f>
        <v>0</v>
      </c>
      <c r="AG436" s="64">
        <f>IF(AND(Table1[[#This Row],[GameIsOver]]=1,Table1[[#This Row],[ActualHomeScore]]=0), 1,0)</f>
        <v>0</v>
      </c>
      <c r="AH436" s="64">
        <f>IF(Table1[[#This Row],[GameIsOver]]=0,0,IF(Table1[[#This Row],[ActualWinner]]=Table1[[#This Row],[AwayTeam]], 1, 0))</f>
        <v>0</v>
      </c>
      <c r="AI436" s="64">
        <f>IF(Table1[[#This Row],[GameIsOver]]=0,0,IF(Table1[[#This Row],[ActualWinner]]=Table1[[#This Row],[HomeTeam]], 1, 0))</f>
        <v>0</v>
      </c>
      <c r="AJ436" s="64">
        <f>IF(INDEX(Standings!$A$2:$C$33,MATCH(Table1[[#This Row],[AwayTeam]],Standings!$A$2:$A$33,0),2)=INDEX(Standings!$A$2:$C$33,MATCH(Table1[[#This Row],[HomeTeam]],Standings!$A$2:$A$33,0),2),1,0)</f>
        <v>0</v>
      </c>
      <c r="AK436" s="64">
        <f>IF(INDEX(Standings!$A$2:$C$33,MATCH(Table1[[#This Row],[AwayTeam]],Standings!$A$2:$A$33,0),3)=INDEX(Standings!$A$2:$C$33,MATCH(Table1[[#This Row],[HomeTeam]],Standings!$A$2:$A$33,0),3),1,0)</f>
        <v>0</v>
      </c>
      <c r="AL436" s="64">
        <f>IF(Table1[[#This Row],[InterConf]]=1,IF(Table1[[#This Row],[InterDiv]]=0, 1, 0), 0)</f>
        <v>0</v>
      </c>
      <c r="AM436" s="64">
        <f>IF(INDEX(Standings!$A$2:$C$33,MATCH(Table1[[#This Row],[AwayTeam]],Standings!$A$2:$A$33,0),2)&lt;&gt;INDEX(Standings!$A$2:$C$33,MATCH(Table1[[#This Row],[HomeTeam]],Standings!$A$2:$A$33,0),2),1,0)</f>
        <v>1</v>
      </c>
      <c r="AN436" s="64" t="str">
        <f>INDEX(Table2[AWAY_RECORD], MATCH(Table1[[#This Row],[AwayTeam]],Table2[Team], 0), 0)</f>
        <v>1-0-0</v>
      </c>
      <c r="AO436" s="64" t="str">
        <f>INDEX(Records!$B$2:$AG$33, MATCH(Table1[[#This Row],[AwayTeam]],Records!$A$2:$A$33, 0), MATCH(Table1[[#This Row],[HomeTeam]],Records!$A$2:$A$33, 0))</f>
        <v>0-0-0</v>
      </c>
      <c r="AP436" s="64" t="str">
        <f>INDEX(Table2[HOME_RECORD], MATCH(Table1[[#This Row],[HomeTeam]],Table2[Team], 0), 0)</f>
        <v>1-0-0</v>
      </c>
      <c r="AQ436" s="64" t="str">
        <f>INDEX(Records!$B$2:$AG$33, MATCH(Table1[[#This Row],[HomeTeam]],Records!$A$2:$A$33, 0), MATCH(Table1[[#This Row],[AwayTeam]],Records!$A$2:$A$33, 0))</f>
        <v>0-0-0</v>
      </c>
    </row>
    <row r="437" spans="1:43" x14ac:dyDescent="0.25">
      <c r="A437" s="1"/>
      <c r="D437" t="s">
        <v>683</v>
      </c>
      <c r="E437" t="s">
        <v>162</v>
      </c>
      <c r="F437" t="s">
        <v>684</v>
      </c>
      <c r="G437" t="s">
        <v>39</v>
      </c>
      <c r="H437" t="s">
        <v>44</v>
      </c>
      <c r="L43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3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37" s="1"/>
      <c r="T437" s="64" t="str">
        <f>IF(Table1[[#This Row],[ActualWinner]]="", "", IF(Table1[[#This Row],[AwayTeam]]=Table1[[#This Row],[ActualWinner]],Table1[[#This Row],[HomeTeam]],Table1[[#This Row],[AwayTeam]]))</f>
        <v/>
      </c>
      <c r="U437" s="64">
        <f>Table1[[#This Row],[ActualAwayScore]]-Table1[[#This Row],[PredictedAwayScore]]</f>
        <v>0</v>
      </c>
      <c r="V437" s="64">
        <f>Table1[[#This Row],[ActualHomeScore]]-Table1[[#This Row],[PredictedHomeScore]]</f>
        <v>0</v>
      </c>
      <c r="W437" s="64">
        <f>(0.8*IF(Table1[[#This Row],[CorrectWinnerPrediction]]=1, 1, 0))+(0.1*IF(Table1[[#This Row],[CorrectAwayScorePrediction]]=1, 1, 0))+(0.1*IF(Table1[[#This Row],[CorrectHomeScorePrediction]]=1, 1, 0))</f>
        <v>0</v>
      </c>
      <c r="X43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37" s="64">
        <f>SUMIF(Table1[GameDate], Table1[[#This Row],[GameDate]], Table1[AwayGameGoalDiff])</f>
        <v>0</v>
      </c>
      <c r="AA437" s="64">
        <f>SUMIF(Table1[GameDate], Table1[[#This Row],[GameDate]], Table1[HomeGameGoalDiff])</f>
        <v>0</v>
      </c>
      <c r="AB437" s="64">
        <f>IF(ISBLANK(Table1[[#This Row],[ActualResult]]), 0, 1)</f>
        <v>0</v>
      </c>
      <c r="AC437" s="64">
        <f>IF(ISBLANK(Table1[[#This Row],[ActualResult]]), 0, IF(Table1[[#This Row],[ActualWinner]]=Table1[[#This Row],[PredictedWinner]], 1, 0))</f>
        <v>0</v>
      </c>
      <c r="AD43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3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37" s="64">
        <f>IF(AND(Table1[[#This Row],[GameIsOver]]=1,Table1[[#This Row],[ActualAwayScore]]=0), 1,0)</f>
        <v>0</v>
      </c>
      <c r="AG437" s="64">
        <f>IF(AND(Table1[[#This Row],[GameIsOver]]=1,Table1[[#This Row],[ActualHomeScore]]=0), 1,0)</f>
        <v>0</v>
      </c>
      <c r="AH437" s="64">
        <f>IF(Table1[[#This Row],[GameIsOver]]=0,0,IF(Table1[[#This Row],[ActualWinner]]=Table1[[#This Row],[AwayTeam]], 1, 0))</f>
        <v>0</v>
      </c>
      <c r="AI437" s="64">
        <f>IF(Table1[[#This Row],[GameIsOver]]=0,0,IF(Table1[[#This Row],[ActualWinner]]=Table1[[#This Row],[HomeTeam]], 1, 0))</f>
        <v>0</v>
      </c>
      <c r="AJ437" s="64">
        <f>IF(INDEX(Standings!$A$2:$C$33,MATCH(Table1[[#This Row],[AwayTeam]],Standings!$A$2:$A$33,0),2)=INDEX(Standings!$A$2:$C$33,MATCH(Table1[[#This Row],[HomeTeam]],Standings!$A$2:$A$33,0),2),1,0)</f>
        <v>0</v>
      </c>
      <c r="AK437" s="64">
        <f>IF(INDEX(Standings!$A$2:$C$33,MATCH(Table1[[#This Row],[AwayTeam]],Standings!$A$2:$A$33,0),3)=INDEX(Standings!$A$2:$C$33,MATCH(Table1[[#This Row],[HomeTeam]],Standings!$A$2:$A$33,0),3),1,0)</f>
        <v>0</v>
      </c>
      <c r="AL437" s="64">
        <f>IF(Table1[[#This Row],[InterConf]]=1,IF(Table1[[#This Row],[InterDiv]]=0, 1, 0), 0)</f>
        <v>0</v>
      </c>
      <c r="AM437" s="64">
        <f>IF(INDEX(Standings!$A$2:$C$33,MATCH(Table1[[#This Row],[AwayTeam]],Standings!$A$2:$A$33,0),2)&lt;&gt;INDEX(Standings!$A$2:$C$33,MATCH(Table1[[#This Row],[HomeTeam]],Standings!$A$2:$A$33,0),2),1,0)</f>
        <v>1</v>
      </c>
      <c r="AN437" s="64" t="str">
        <f>INDEX(Table2[AWAY_RECORD], MATCH(Table1[[#This Row],[AwayTeam]],Table2[Team], 0), 0)</f>
        <v>0-0-0</v>
      </c>
      <c r="AO437" s="64" t="str">
        <f>INDEX(Records!$B$2:$AG$33, MATCH(Table1[[#This Row],[AwayTeam]],Records!$A$2:$A$33, 0), MATCH(Table1[[#This Row],[HomeTeam]],Records!$A$2:$A$33, 0))</f>
        <v>0-0-0</v>
      </c>
      <c r="AP437" s="64" t="str">
        <f>INDEX(Table2[HOME_RECORD], MATCH(Table1[[#This Row],[HomeTeam]],Table2[Team], 0), 0)</f>
        <v>0-0-1</v>
      </c>
      <c r="AQ437" s="64" t="str">
        <f>INDEX(Records!$B$2:$AG$33, MATCH(Table1[[#This Row],[HomeTeam]],Records!$A$2:$A$33, 0), MATCH(Table1[[#This Row],[AwayTeam]],Records!$A$2:$A$33, 0))</f>
        <v>0-0-0</v>
      </c>
    </row>
    <row r="438" spans="1:43" x14ac:dyDescent="0.25">
      <c r="A438" s="1"/>
      <c r="D438" t="s">
        <v>683</v>
      </c>
      <c r="E438" t="s">
        <v>162</v>
      </c>
      <c r="F438" t="s">
        <v>685</v>
      </c>
      <c r="G438" t="s">
        <v>55</v>
      </c>
      <c r="H438" t="s">
        <v>49</v>
      </c>
      <c r="L43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3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38" s="1"/>
      <c r="T438" s="64" t="str">
        <f>IF(Table1[[#This Row],[ActualWinner]]="", "", IF(Table1[[#This Row],[AwayTeam]]=Table1[[#This Row],[ActualWinner]],Table1[[#This Row],[HomeTeam]],Table1[[#This Row],[AwayTeam]]))</f>
        <v/>
      </c>
      <c r="U438" s="64">
        <f>Table1[[#This Row],[ActualAwayScore]]-Table1[[#This Row],[PredictedAwayScore]]</f>
        <v>0</v>
      </c>
      <c r="V438" s="64">
        <f>Table1[[#This Row],[ActualHomeScore]]-Table1[[#This Row],[PredictedHomeScore]]</f>
        <v>0</v>
      </c>
      <c r="W438" s="64">
        <f>(0.8*IF(Table1[[#This Row],[CorrectWinnerPrediction]]=1, 1, 0))+(0.1*IF(Table1[[#This Row],[CorrectAwayScorePrediction]]=1, 1, 0))+(0.1*IF(Table1[[#This Row],[CorrectHomeScorePrediction]]=1, 1, 0))</f>
        <v>0</v>
      </c>
      <c r="X43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38" s="64">
        <f>SUMIF(Table1[GameDate], Table1[[#This Row],[GameDate]], Table1[AwayGameGoalDiff])</f>
        <v>0</v>
      </c>
      <c r="AA438" s="64">
        <f>SUMIF(Table1[GameDate], Table1[[#This Row],[GameDate]], Table1[HomeGameGoalDiff])</f>
        <v>0</v>
      </c>
      <c r="AB438" s="64">
        <f>IF(ISBLANK(Table1[[#This Row],[ActualResult]]), 0, 1)</f>
        <v>0</v>
      </c>
      <c r="AC438" s="64">
        <f>IF(ISBLANK(Table1[[#This Row],[ActualResult]]), 0, IF(Table1[[#This Row],[ActualWinner]]=Table1[[#This Row],[PredictedWinner]], 1, 0))</f>
        <v>0</v>
      </c>
      <c r="AD43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3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38" s="64">
        <f>IF(AND(Table1[[#This Row],[GameIsOver]]=1,Table1[[#This Row],[ActualAwayScore]]=0), 1,0)</f>
        <v>0</v>
      </c>
      <c r="AG438" s="64">
        <f>IF(AND(Table1[[#This Row],[GameIsOver]]=1,Table1[[#This Row],[ActualHomeScore]]=0), 1,0)</f>
        <v>0</v>
      </c>
      <c r="AH438" s="64">
        <f>IF(Table1[[#This Row],[GameIsOver]]=0,0,IF(Table1[[#This Row],[ActualWinner]]=Table1[[#This Row],[AwayTeam]], 1, 0))</f>
        <v>0</v>
      </c>
      <c r="AI438" s="64">
        <f>IF(Table1[[#This Row],[GameIsOver]]=0,0,IF(Table1[[#This Row],[ActualWinner]]=Table1[[#This Row],[HomeTeam]], 1, 0))</f>
        <v>0</v>
      </c>
      <c r="AJ438" s="64">
        <f>IF(INDEX(Standings!$A$2:$C$33,MATCH(Table1[[#This Row],[AwayTeam]],Standings!$A$2:$A$33,0),2)=INDEX(Standings!$A$2:$C$33,MATCH(Table1[[#This Row],[HomeTeam]],Standings!$A$2:$A$33,0),2),1,0)</f>
        <v>0</v>
      </c>
      <c r="AK438" s="64">
        <f>IF(INDEX(Standings!$A$2:$C$33,MATCH(Table1[[#This Row],[AwayTeam]],Standings!$A$2:$A$33,0),3)=INDEX(Standings!$A$2:$C$33,MATCH(Table1[[#This Row],[HomeTeam]],Standings!$A$2:$A$33,0),3),1,0)</f>
        <v>0</v>
      </c>
      <c r="AL438" s="64">
        <f>IF(Table1[[#This Row],[InterConf]]=1,IF(Table1[[#This Row],[InterDiv]]=0, 1, 0), 0)</f>
        <v>0</v>
      </c>
      <c r="AM438" s="64">
        <f>IF(INDEX(Standings!$A$2:$C$33,MATCH(Table1[[#This Row],[AwayTeam]],Standings!$A$2:$A$33,0),2)&lt;&gt;INDEX(Standings!$A$2:$C$33,MATCH(Table1[[#This Row],[HomeTeam]],Standings!$A$2:$A$33,0),2),1,0)</f>
        <v>1</v>
      </c>
      <c r="AN438" s="64" t="str">
        <f>INDEX(Table2[AWAY_RECORD], MATCH(Table1[[#This Row],[AwayTeam]],Table2[Team], 0), 0)</f>
        <v>0-0-0</v>
      </c>
      <c r="AO438" s="64" t="str">
        <f>INDEX(Records!$B$2:$AG$33, MATCH(Table1[[#This Row],[AwayTeam]],Records!$A$2:$A$33, 0), MATCH(Table1[[#This Row],[HomeTeam]],Records!$A$2:$A$33, 0))</f>
        <v>0-0-0</v>
      </c>
      <c r="AP438" s="64" t="str">
        <f>INDEX(Table2[HOME_RECORD], MATCH(Table1[[#This Row],[HomeTeam]],Table2[Team], 0), 0)</f>
        <v>1-0-0</v>
      </c>
      <c r="AQ438" s="64" t="str">
        <f>INDEX(Records!$B$2:$AG$33, MATCH(Table1[[#This Row],[HomeTeam]],Records!$A$2:$A$33, 0), MATCH(Table1[[#This Row],[AwayTeam]],Records!$A$2:$A$33, 0))</f>
        <v>0-0-0</v>
      </c>
    </row>
    <row r="439" spans="1:43" x14ac:dyDescent="0.25">
      <c r="A439" s="1"/>
      <c r="D439" t="s">
        <v>683</v>
      </c>
      <c r="E439" t="s">
        <v>162</v>
      </c>
      <c r="F439" t="s">
        <v>686</v>
      </c>
      <c r="G439" t="s">
        <v>17</v>
      </c>
      <c r="H439" t="s">
        <v>50</v>
      </c>
      <c r="L43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3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39" s="1"/>
      <c r="T439" s="64" t="str">
        <f>IF(Table1[[#This Row],[ActualWinner]]="", "", IF(Table1[[#This Row],[AwayTeam]]=Table1[[#This Row],[ActualWinner]],Table1[[#This Row],[HomeTeam]],Table1[[#This Row],[AwayTeam]]))</f>
        <v/>
      </c>
      <c r="U439" s="64">
        <f>Table1[[#This Row],[ActualAwayScore]]-Table1[[#This Row],[PredictedAwayScore]]</f>
        <v>0</v>
      </c>
      <c r="V439" s="64">
        <f>Table1[[#This Row],[ActualHomeScore]]-Table1[[#This Row],[PredictedHomeScore]]</f>
        <v>0</v>
      </c>
      <c r="W439" s="64">
        <f>(0.8*IF(Table1[[#This Row],[CorrectWinnerPrediction]]=1, 1, 0))+(0.1*IF(Table1[[#This Row],[CorrectAwayScorePrediction]]=1, 1, 0))+(0.1*IF(Table1[[#This Row],[CorrectHomeScorePrediction]]=1, 1, 0))</f>
        <v>0</v>
      </c>
      <c r="X43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39" s="64">
        <f>SUMIF(Table1[GameDate], Table1[[#This Row],[GameDate]], Table1[AwayGameGoalDiff])</f>
        <v>0</v>
      </c>
      <c r="AA439" s="64">
        <f>SUMIF(Table1[GameDate], Table1[[#This Row],[GameDate]], Table1[HomeGameGoalDiff])</f>
        <v>0</v>
      </c>
      <c r="AB439" s="64">
        <f>IF(ISBLANK(Table1[[#This Row],[ActualResult]]), 0, 1)</f>
        <v>0</v>
      </c>
      <c r="AC439" s="64">
        <f>IF(ISBLANK(Table1[[#This Row],[ActualResult]]), 0, IF(Table1[[#This Row],[ActualWinner]]=Table1[[#This Row],[PredictedWinner]], 1, 0))</f>
        <v>0</v>
      </c>
      <c r="AD43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3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39" s="64">
        <f>IF(AND(Table1[[#This Row],[GameIsOver]]=1,Table1[[#This Row],[ActualAwayScore]]=0), 1,0)</f>
        <v>0</v>
      </c>
      <c r="AG439" s="64">
        <f>IF(AND(Table1[[#This Row],[GameIsOver]]=1,Table1[[#This Row],[ActualHomeScore]]=0), 1,0)</f>
        <v>0</v>
      </c>
      <c r="AH439" s="64">
        <f>IF(Table1[[#This Row],[GameIsOver]]=0,0,IF(Table1[[#This Row],[ActualWinner]]=Table1[[#This Row],[AwayTeam]], 1, 0))</f>
        <v>0</v>
      </c>
      <c r="AI439" s="64">
        <f>IF(Table1[[#This Row],[GameIsOver]]=0,0,IF(Table1[[#This Row],[ActualWinner]]=Table1[[#This Row],[HomeTeam]], 1, 0))</f>
        <v>0</v>
      </c>
      <c r="AJ439" s="64">
        <f>IF(INDEX(Standings!$A$2:$C$33,MATCH(Table1[[#This Row],[AwayTeam]],Standings!$A$2:$A$33,0),2)=INDEX(Standings!$A$2:$C$33,MATCH(Table1[[#This Row],[HomeTeam]],Standings!$A$2:$A$33,0),2),1,0)</f>
        <v>1</v>
      </c>
      <c r="AK439" s="64">
        <f>IF(INDEX(Standings!$A$2:$C$33,MATCH(Table1[[#This Row],[AwayTeam]],Standings!$A$2:$A$33,0),3)=INDEX(Standings!$A$2:$C$33,MATCH(Table1[[#This Row],[HomeTeam]],Standings!$A$2:$A$33,0),3),1,0)</f>
        <v>0</v>
      </c>
      <c r="AL439" s="64">
        <f>IF(Table1[[#This Row],[InterConf]]=1,IF(Table1[[#This Row],[InterDiv]]=0, 1, 0), 0)</f>
        <v>1</v>
      </c>
      <c r="AM439" s="64">
        <f>IF(INDEX(Standings!$A$2:$C$33,MATCH(Table1[[#This Row],[AwayTeam]],Standings!$A$2:$A$33,0),2)&lt;&gt;INDEX(Standings!$A$2:$C$33,MATCH(Table1[[#This Row],[HomeTeam]],Standings!$A$2:$A$33,0),2),1,0)</f>
        <v>0</v>
      </c>
      <c r="AN439" s="64" t="str">
        <f>INDEX(Table2[AWAY_RECORD], MATCH(Table1[[#This Row],[AwayTeam]],Table2[Team], 0), 0)</f>
        <v>2-0-0</v>
      </c>
      <c r="AO439" s="64" t="str">
        <f>INDEX(Records!$B$2:$AG$33, MATCH(Table1[[#This Row],[AwayTeam]],Records!$A$2:$A$33, 0), MATCH(Table1[[#This Row],[HomeTeam]],Records!$A$2:$A$33, 0))</f>
        <v>0-0-0</v>
      </c>
      <c r="AP439" s="64" t="str">
        <f>INDEX(Table2[HOME_RECORD], MATCH(Table1[[#This Row],[HomeTeam]],Table2[Team], 0), 0)</f>
        <v>0-0-0</v>
      </c>
      <c r="AQ439" s="64" t="str">
        <f>INDEX(Records!$B$2:$AG$33, MATCH(Table1[[#This Row],[HomeTeam]],Records!$A$2:$A$33, 0), MATCH(Table1[[#This Row],[AwayTeam]],Records!$A$2:$A$33, 0))</f>
        <v>0-0-0</v>
      </c>
    </row>
    <row r="440" spans="1:43" x14ac:dyDescent="0.25">
      <c r="A440" s="1"/>
      <c r="D440" t="s">
        <v>683</v>
      </c>
      <c r="E440" t="s">
        <v>162</v>
      </c>
      <c r="F440" t="s">
        <v>687</v>
      </c>
      <c r="G440" t="s">
        <v>23</v>
      </c>
      <c r="H440" t="s">
        <v>59</v>
      </c>
      <c r="L44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4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40" s="1"/>
      <c r="T440" s="64" t="str">
        <f>IF(Table1[[#This Row],[ActualWinner]]="", "", IF(Table1[[#This Row],[AwayTeam]]=Table1[[#This Row],[ActualWinner]],Table1[[#This Row],[HomeTeam]],Table1[[#This Row],[AwayTeam]]))</f>
        <v/>
      </c>
      <c r="U440" s="64">
        <f>Table1[[#This Row],[ActualAwayScore]]-Table1[[#This Row],[PredictedAwayScore]]</f>
        <v>0</v>
      </c>
      <c r="V440" s="64">
        <f>Table1[[#This Row],[ActualHomeScore]]-Table1[[#This Row],[PredictedHomeScore]]</f>
        <v>0</v>
      </c>
      <c r="W440" s="64">
        <f>(0.8*IF(Table1[[#This Row],[CorrectWinnerPrediction]]=1, 1, 0))+(0.1*IF(Table1[[#This Row],[CorrectAwayScorePrediction]]=1, 1, 0))+(0.1*IF(Table1[[#This Row],[CorrectHomeScorePrediction]]=1, 1, 0))</f>
        <v>0</v>
      </c>
      <c r="X44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40" s="64">
        <f>SUMIF(Table1[GameDate], Table1[[#This Row],[GameDate]], Table1[AwayGameGoalDiff])</f>
        <v>0</v>
      </c>
      <c r="AA440" s="64">
        <f>SUMIF(Table1[GameDate], Table1[[#This Row],[GameDate]], Table1[HomeGameGoalDiff])</f>
        <v>0</v>
      </c>
      <c r="AB440" s="64">
        <f>IF(ISBLANK(Table1[[#This Row],[ActualResult]]), 0, 1)</f>
        <v>0</v>
      </c>
      <c r="AC440" s="64">
        <f>IF(ISBLANK(Table1[[#This Row],[ActualResult]]), 0, IF(Table1[[#This Row],[ActualWinner]]=Table1[[#This Row],[PredictedWinner]], 1, 0))</f>
        <v>0</v>
      </c>
      <c r="AD44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4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40" s="64">
        <f>IF(AND(Table1[[#This Row],[GameIsOver]]=1,Table1[[#This Row],[ActualAwayScore]]=0), 1,0)</f>
        <v>0</v>
      </c>
      <c r="AG440" s="64">
        <f>IF(AND(Table1[[#This Row],[GameIsOver]]=1,Table1[[#This Row],[ActualHomeScore]]=0), 1,0)</f>
        <v>0</v>
      </c>
      <c r="AH440" s="64">
        <f>IF(Table1[[#This Row],[GameIsOver]]=0,0,IF(Table1[[#This Row],[ActualWinner]]=Table1[[#This Row],[AwayTeam]], 1, 0))</f>
        <v>0</v>
      </c>
      <c r="AI440" s="64">
        <f>IF(Table1[[#This Row],[GameIsOver]]=0,0,IF(Table1[[#This Row],[ActualWinner]]=Table1[[#This Row],[HomeTeam]], 1, 0))</f>
        <v>0</v>
      </c>
      <c r="AJ440" s="64">
        <f>IF(INDEX(Standings!$A$2:$C$33,MATCH(Table1[[#This Row],[AwayTeam]],Standings!$A$2:$A$33,0),2)=INDEX(Standings!$A$2:$C$33,MATCH(Table1[[#This Row],[HomeTeam]],Standings!$A$2:$A$33,0),2),1,0)</f>
        <v>0</v>
      </c>
      <c r="AK440" s="64">
        <f>IF(INDEX(Standings!$A$2:$C$33,MATCH(Table1[[#This Row],[AwayTeam]],Standings!$A$2:$A$33,0),3)=INDEX(Standings!$A$2:$C$33,MATCH(Table1[[#This Row],[HomeTeam]],Standings!$A$2:$A$33,0),3),1,0)</f>
        <v>0</v>
      </c>
      <c r="AL440" s="64">
        <f>IF(Table1[[#This Row],[InterConf]]=1,IF(Table1[[#This Row],[InterDiv]]=0, 1, 0), 0)</f>
        <v>0</v>
      </c>
      <c r="AM440" s="64">
        <f>IF(INDEX(Standings!$A$2:$C$33,MATCH(Table1[[#This Row],[AwayTeam]],Standings!$A$2:$A$33,0),2)&lt;&gt;INDEX(Standings!$A$2:$C$33,MATCH(Table1[[#This Row],[HomeTeam]],Standings!$A$2:$A$33,0),2),1,0)</f>
        <v>1</v>
      </c>
      <c r="AN440" s="64" t="str">
        <f>INDEX(Table2[AWAY_RECORD], MATCH(Table1[[#This Row],[AwayTeam]],Table2[Team], 0), 0)</f>
        <v>0-0-1</v>
      </c>
      <c r="AO440" s="64" t="str">
        <f>INDEX(Records!$B$2:$AG$33, MATCH(Table1[[#This Row],[AwayTeam]],Records!$A$2:$A$33, 0), MATCH(Table1[[#This Row],[HomeTeam]],Records!$A$2:$A$33, 0))</f>
        <v>0-0-0</v>
      </c>
      <c r="AP440" s="64" t="str">
        <f>INDEX(Table2[HOME_RECORD], MATCH(Table1[[#This Row],[HomeTeam]],Table2[Team], 0), 0)</f>
        <v>0-0-0</v>
      </c>
      <c r="AQ440" s="64" t="str">
        <f>INDEX(Records!$B$2:$AG$33, MATCH(Table1[[#This Row],[HomeTeam]],Records!$A$2:$A$33, 0), MATCH(Table1[[#This Row],[AwayTeam]],Records!$A$2:$A$33, 0))</f>
        <v>0-0-0</v>
      </c>
    </row>
    <row r="441" spans="1:43" x14ac:dyDescent="0.25">
      <c r="A441" s="1"/>
      <c r="D441" t="s">
        <v>683</v>
      </c>
      <c r="E441" t="s">
        <v>289</v>
      </c>
      <c r="F441" t="s">
        <v>688</v>
      </c>
      <c r="G441" t="s">
        <v>41</v>
      </c>
      <c r="H441" t="s">
        <v>37</v>
      </c>
      <c r="L44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4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41" s="1"/>
      <c r="T441" s="64" t="str">
        <f>IF(Table1[[#This Row],[ActualWinner]]="", "", IF(Table1[[#This Row],[AwayTeam]]=Table1[[#This Row],[ActualWinner]],Table1[[#This Row],[HomeTeam]],Table1[[#This Row],[AwayTeam]]))</f>
        <v/>
      </c>
      <c r="U441" s="64">
        <f>Table1[[#This Row],[ActualAwayScore]]-Table1[[#This Row],[PredictedAwayScore]]</f>
        <v>0</v>
      </c>
      <c r="V441" s="64">
        <f>Table1[[#This Row],[ActualHomeScore]]-Table1[[#This Row],[PredictedHomeScore]]</f>
        <v>0</v>
      </c>
      <c r="W441" s="64">
        <f>(0.8*IF(Table1[[#This Row],[CorrectWinnerPrediction]]=1, 1, 0))+(0.1*IF(Table1[[#This Row],[CorrectAwayScorePrediction]]=1, 1, 0))+(0.1*IF(Table1[[#This Row],[CorrectHomeScorePrediction]]=1, 1, 0))</f>
        <v>0</v>
      </c>
      <c r="X44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41" s="64">
        <f>SUMIF(Table1[GameDate], Table1[[#This Row],[GameDate]], Table1[AwayGameGoalDiff])</f>
        <v>0</v>
      </c>
      <c r="AA441" s="64">
        <f>SUMIF(Table1[GameDate], Table1[[#This Row],[GameDate]], Table1[HomeGameGoalDiff])</f>
        <v>0</v>
      </c>
      <c r="AB441" s="64">
        <f>IF(ISBLANK(Table1[[#This Row],[ActualResult]]), 0, 1)</f>
        <v>0</v>
      </c>
      <c r="AC441" s="64">
        <f>IF(ISBLANK(Table1[[#This Row],[ActualResult]]), 0, IF(Table1[[#This Row],[ActualWinner]]=Table1[[#This Row],[PredictedWinner]], 1, 0))</f>
        <v>0</v>
      </c>
      <c r="AD44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4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41" s="64">
        <f>IF(AND(Table1[[#This Row],[GameIsOver]]=1,Table1[[#This Row],[ActualAwayScore]]=0), 1,0)</f>
        <v>0</v>
      </c>
      <c r="AG441" s="64">
        <f>IF(AND(Table1[[#This Row],[GameIsOver]]=1,Table1[[#This Row],[ActualHomeScore]]=0), 1,0)</f>
        <v>0</v>
      </c>
      <c r="AH441" s="64">
        <f>IF(Table1[[#This Row],[GameIsOver]]=0,0,IF(Table1[[#This Row],[ActualWinner]]=Table1[[#This Row],[AwayTeam]], 1, 0))</f>
        <v>0</v>
      </c>
      <c r="AI441" s="64">
        <f>IF(Table1[[#This Row],[GameIsOver]]=0,0,IF(Table1[[#This Row],[ActualWinner]]=Table1[[#This Row],[HomeTeam]], 1, 0))</f>
        <v>0</v>
      </c>
      <c r="AJ441" s="64">
        <f>IF(INDEX(Standings!$A$2:$C$33,MATCH(Table1[[#This Row],[AwayTeam]],Standings!$A$2:$A$33,0),2)=INDEX(Standings!$A$2:$C$33,MATCH(Table1[[#This Row],[HomeTeam]],Standings!$A$2:$A$33,0),2),1,0)</f>
        <v>0</v>
      </c>
      <c r="AK441" s="64">
        <f>IF(INDEX(Standings!$A$2:$C$33,MATCH(Table1[[#This Row],[AwayTeam]],Standings!$A$2:$A$33,0),3)=INDEX(Standings!$A$2:$C$33,MATCH(Table1[[#This Row],[HomeTeam]],Standings!$A$2:$A$33,0),3),1,0)</f>
        <v>0</v>
      </c>
      <c r="AL441" s="64">
        <f>IF(Table1[[#This Row],[InterConf]]=1,IF(Table1[[#This Row],[InterDiv]]=0, 1, 0), 0)</f>
        <v>0</v>
      </c>
      <c r="AM441" s="64">
        <f>IF(INDEX(Standings!$A$2:$C$33,MATCH(Table1[[#This Row],[AwayTeam]],Standings!$A$2:$A$33,0),2)&lt;&gt;INDEX(Standings!$A$2:$C$33,MATCH(Table1[[#This Row],[HomeTeam]],Standings!$A$2:$A$33,0),2),1,0)</f>
        <v>1</v>
      </c>
      <c r="AN441" s="64" t="str">
        <f>INDEX(Table2[AWAY_RECORD], MATCH(Table1[[#This Row],[AwayTeam]],Table2[Team], 0), 0)</f>
        <v>0-0-0</v>
      </c>
      <c r="AO441" s="64" t="str">
        <f>INDEX(Records!$B$2:$AG$33, MATCH(Table1[[#This Row],[AwayTeam]],Records!$A$2:$A$33, 0), MATCH(Table1[[#This Row],[HomeTeam]],Records!$A$2:$A$33, 0))</f>
        <v>0-0-0</v>
      </c>
      <c r="AP441" s="64" t="str">
        <f>INDEX(Table2[HOME_RECORD], MATCH(Table1[[#This Row],[HomeTeam]],Table2[Team], 0), 0)</f>
        <v>0-1-0</v>
      </c>
      <c r="AQ441" s="64" t="str">
        <f>INDEX(Records!$B$2:$AG$33, MATCH(Table1[[#This Row],[HomeTeam]],Records!$A$2:$A$33, 0), MATCH(Table1[[#This Row],[AwayTeam]],Records!$A$2:$A$33, 0))</f>
        <v>0-0-0</v>
      </c>
    </row>
    <row r="442" spans="1:43" x14ac:dyDescent="0.25">
      <c r="A442" s="1"/>
      <c r="D442" t="s">
        <v>683</v>
      </c>
      <c r="E442" t="s">
        <v>178</v>
      </c>
      <c r="F442" t="s">
        <v>689</v>
      </c>
      <c r="G442" t="s">
        <v>38</v>
      </c>
      <c r="H442" t="s">
        <v>45</v>
      </c>
      <c r="L44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4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42" s="1"/>
      <c r="T442" s="64" t="str">
        <f>IF(Table1[[#This Row],[ActualWinner]]="", "", IF(Table1[[#This Row],[AwayTeam]]=Table1[[#This Row],[ActualWinner]],Table1[[#This Row],[HomeTeam]],Table1[[#This Row],[AwayTeam]]))</f>
        <v/>
      </c>
      <c r="U442" s="64">
        <f>Table1[[#This Row],[ActualAwayScore]]-Table1[[#This Row],[PredictedAwayScore]]</f>
        <v>0</v>
      </c>
      <c r="V442" s="64">
        <f>Table1[[#This Row],[ActualHomeScore]]-Table1[[#This Row],[PredictedHomeScore]]</f>
        <v>0</v>
      </c>
      <c r="W442" s="64">
        <f>(0.8*IF(Table1[[#This Row],[CorrectWinnerPrediction]]=1, 1, 0))+(0.1*IF(Table1[[#This Row],[CorrectAwayScorePrediction]]=1, 1, 0))+(0.1*IF(Table1[[#This Row],[CorrectHomeScorePrediction]]=1, 1, 0))</f>
        <v>0</v>
      </c>
      <c r="X44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42" s="64">
        <f>SUMIF(Table1[GameDate], Table1[[#This Row],[GameDate]], Table1[AwayGameGoalDiff])</f>
        <v>0</v>
      </c>
      <c r="AA442" s="64">
        <f>SUMIF(Table1[GameDate], Table1[[#This Row],[GameDate]], Table1[HomeGameGoalDiff])</f>
        <v>0</v>
      </c>
      <c r="AB442" s="64">
        <f>IF(ISBLANK(Table1[[#This Row],[ActualResult]]), 0, 1)</f>
        <v>0</v>
      </c>
      <c r="AC442" s="64">
        <f>IF(ISBLANK(Table1[[#This Row],[ActualResult]]), 0, IF(Table1[[#This Row],[ActualWinner]]=Table1[[#This Row],[PredictedWinner]], 1, 0))</f>
        <v>0</v>
      </c>
      <c r="AD44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4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42" s="64">
        <f>IF(AND(Table1[[#This Row],[GameIsOver]]=1,Table1[[#This Row],[ActualAwayScore]]=0), 1,0)</f>
        <v>0</v>
      </c>
      <c r="AG442" s="64">
        <f>IF(AND(Table1[[#This Row],[GameIsOver]]=1,Table1[[#This Row],[ActualHomeScore]]=0), 1,0)</f>
        <v>0</v>
      </c>
      <c r="AH442" s="64">
        <f>IF(Table1[[#This Row],[GameIsOver]]=0,0,IF(Table1[[#This Row],[ActualWinner]]=Table1[[#This Row],[AwayTeam]], 1, 0))</f>
        <v>0</v>
      </c>
      <c r="AI442" s="64">
        <f>IF(Table1[[#This Row],[GameIsOver]]=0,0,IF(Table1[[#This Row],[ActualWinner]]=Table1[[#This Row],[HomeTeam]], 1, 0))</f>
        <v>0</v>
      </c>
      <c r="AJ442" s="64">
        <f>IF(INDEX(Standings!$A$2:$C$33,MATCH(Table1[[#This Row],[AwayTeam]],Standings!$A$2:$A$33,0),2)=INDEX(Standings!$A$2:$C$33,MATCH(Table1[[#This Row],[HomeTeam]],Standings!$A$2:$A$33,0),2),1,0)</f>
        <v>0</v>
      </c>
      <c r="AK442" s="64">
        <f>IF(INDEX(Standings!$A$2:$C$33,MATCH(Table1[[#This Row],[AwayTeam]],Standings!$A$2:$A$33,0),3)=INDEX(Standings!$A$2:$C$33,MATCH(Table1[[#This Row],[HomeTeam]],Standings!$A$2:$A$33,0),3),1,0)</f>
        <v>0</v>
      </c>
      <c r="AL442" s="64">
        <f>IF(Table1[[#This Row],[InterConf]]=1,IF(Table1[[#This Row],[InterDiv]]=0, 1, 0), 0)</f>
        <v>0</v>
      </c>
      <c r="AM442" s="64">
        <f>IF(INDEX(Standings!$A$2:$C$33,MATCH(Table1[[#This Row],[AwayTeam]],Standings!$A$2:$A$33,0),2)&lt;&gt;INDEX(Standings!$A$2:$C$33,MATCH(Table1[[#This Row],[HomeTeam]],Standings!$A$2:$A$33,0),2),1,0)</f>
        <v>1</v>
      </c>
      <c r="AN442" s="64" t="str">
        <f>INDEX(Table2[AWAY_RECORD], MATCH(Table1[[#This Row],[AwayTeam]],Table2[Team], 0), 0)</f>
        <v>0-0-1</v>
      </c>
      <c r="AO442" s="64" t="str">
        <f>INDEX(Records!$B$2:$AG$33, MATCH(Table1[[#This Row],[AwayTeam]],Records!$A$2:$A$33, 0), MATCH(Table1[[#This Row],[HomeTeam]],Records!$A$2:$A$33, 0))</f>
        <v>0-0-0</v>
      </c>
      <c r="AP442" s="64" t="str">
        <f>INDEX(Table2[HOME_RECORD], MATCH(Table1[[#This Row],[HomeTeam]],Table2[Team], 0), 0)</f>
        <v>1-0-0</v>
      </c>
      <c r="AQ442" s="64" t="str">
        <f>INDEX(Records!$B$2:$AG$33, MATCH(Table1[[#This Row],[HomeTeam]],Records!$A$2:$A$33, 0), MATCH(Table1[[#This Row],[AwayTeam]],Records!$A$2:$A$33, 0))</f>
        <v>0-0-0</v>
      </c>
    </row>
    <row r="443" spans="1:43" x14ac:dyDescent="0.25">
      <c r="A443" s="1"/>
      <c r="D443" t="s">
        <v>683</v>
      </c>
      <c r="E443" t="s">
        <v>593</v>
      </c>
      <c r="F443" t="s">
        <v>690</v>
      </c>
      <c r="G443" t="s">
        <v>43</v>
      </c>
      <c r="H443" t="s">
        <v>56</v>
      </c>
      <c r="L44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4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43" s="1"/>
      <c r="T443" s="64" t="str">
        <f>IF(Table1[[#This Row],[ActualWinner]]="", "", IF(Table1[[#This Row],[AwayTeam]]=Table1[[#This Row],[ActualWinner]],Table1[[#This Row],[HomeTeam]],Table1[[#This Row],[AwayTeam]]))</f>
        <v/>
      </c>
      <c r="U443" s="64">
        <f>Table1[[#This Row],[ActualAwayScore]]-Table1[[#This Row],[PredictedAwayScore]]</f>
        <v>0</v>
      </c>
      <c r="V443" s="64">
        <f>Table1[[#This Row],[ActualHomeScore]]-Table1[[#This Row],[PredictedHomeScore]]</f>
        <v>0</v>
      </c>
      <c r="W443" s="64">
        <f>(0.8*IF(Table1[[#This Row],[CorrectWinnerPrediction]]=1, 1, 0))+(0.1*IF(Table1[[#This Row],[CorrectAwayScorePrediction]]=1, 1, 0))+(0.1*IF(Table1[[#This Row],[CorrectHomeScorePrediction]]=1, 1, 0))</f>
        <v>0</v>
      </c>
      <c r="X44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43" s="64">
        <f>SUMIF(Table1[GameDate], Table1[[#This Row],[GameDate]], Table1[AwayGameGoalDiff])</f>
        <v>0</v>
      </c>
      <c r="AA443" s="64">
        <f>SUMIF(Table1[GameDate], Table1[[#This Row],[GameDate]], Table1[HomeGameGoalDiff])</f>
        <v>0</v>
      </c>
      <c r="AB443" s="64">
        <f>IF(ISBLANK(Table1[[#This Row],[ActualResult]]), 0, 1)</f>
        <v>0</v>
      </c>
      <c r="AC443" s="64">
        <f>IF(ISBLANK(Table1[[#This Row],[ActualResult]]), 0, IF(Table1[[#This Row],[ActualWinner]]=Table1[[#This Row],[PredictedWinner]], 1, 0))</f>
        <v>0</v>
      </c>
      <c r="AD44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4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43" s="64">
        <f>IF(AND(Table1[[#This Row],[GameIsOver]]=1,Table1[[#This Row],[ActualAwayScore]]=0), 1,0)</f>
        <v>0</v>
      </c>
      <c r="AG443" s="64">
        <f>IF(AND(Table1[[#This Row],[GameIsOver]]=1,Table1[[#This Row],[ActualHomeScore]]=0), 1,0)</f>
        <v>0</v>
      </c>
      <c r="AH443" s="64">
        <f>IF(Table1[[#This Row],[GameIsOver]]=0,0,IF(Table1[[#This Row],[ActualWinner]]=Table1[[#This Row],[AwayTeam]], 1, 0))</f>
        <v>0</v>
      </c>
      <c r="AI443" s="64">
        <f>IF(Table1[[#This Row],[GameIsOver]]=0,0,IF(Table1[[#This Row],[ActualWinner]]=Table1[[#This Row],[HomeTeam]], 1, 0))</f>
        <v>0</v>
      </c>
      <c r="AJ443" s="64">
        <f>IF(INDEX(Standings!$A$2:$C$33,MATCH(Table1[[#This Row],[AwayTeam]],Standings!$A$2:$A$33,0),2)=INDEX(Standings!$A$2:$C$33,MATCH(Table1[[#This Row],[HomeTeam]],Standings!$A$2:$A$33,0),2),1,0)</f>
        <v>1</v>
      </c>
      <c r="AK443" s="64">
        <f>IF(INDEX(Standings!$A$2:$C$33,MATCH(Table1[[#This Row],[AwayTeam]],Standings!$A$2:$A$33,0),3)=INDEX(Standings!$A$2:$C$33,MATCH(Table1[[#This Row],[HomeTeam]],Standings!$A$2:$A$33,0),3),1,0)</f>
        <v>0</v>
      </c>
      <c r="AL443" s="64">
        <f>IF(Table1[[#This Row],[InterConf]]=1,IF(Table1[[#This Row],[InterDiv]]=0, 1, 0), 0)</f>
        <v>1</v>
      </c>
      <c r="AM443" s="64">
        <f>IF(INDEX(Standings!$A$2:$C$33,MATCH(Table1[[#This Row],[AwayTeam]],Standings!$A$2:$A$33,0),2)&lt;&gt;INDEX(Standings!$A$2:$C$33,MATCH(Table1[[#This Row],[HomeTeam]],Standings!$A$2:$A$33,0),2),1,0)</f>
        <v>0</v>
      </c>
      <c r="AN443" s="64" t="str">
        <f>INDEX(Table2[AWAY_RECORD], MATCH(Table1[[#This Row],[AwayTeam]],Table2[Team], 0), 0)</f>
        <v>0-0-0</v>
      </c>
      <c r="AO443" s="64" t="str">
        <f>INDEX(Records!$B$2:$AG$33, MATCH(Table1[[#This Row],[AwayTeam]],Records!$A$2:$A$33, 0), MATCH(Table1[[#This Row],[HomeTeam]],Records!$A$2:$A$33, 0))</f>
        <v>0-0-0</v>
      </c>
      <c r="AP443" s="64" t="str">
        <f>INDEX(Table2[HOME_RECORD], MATCH(Table1[[#This Row],[HomeTeam]],Table2[Team], 0), 0)</f>
        <v>0-0-0</v>
      </c>
      <c r="AQ443" s="64" t="str">
        <f>INDEX(Records!$B$2:$AG$33, MATCH(Table1[[#This Row],[HomeTeam]],Records!$A$2:$A$33, 0), MATCH(Table1[[#This Row],[AwayTeam]],Records!$A$2:$A$33, 0))</f>
        <v>0-0-0</v>
      </c>
    </row>
    <row r="444" spans="1:43" x14ac:dyDescent="0.25">
      <c r="A444" s="1"/>
      <c r="D444" t="s">
        <v>691</v>
      </c>
      <c r="E444" t="s">
        <v>298</v>
      </c>
      <c r="F444" t="s">
        <v>692</v>
      </c>
      <c r="G444" t="s">
        <v>22</v>
      </c>
      <c r="H444" t="s">
        <v>36</v>
      </c>
      <c r="L44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4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44" s="1"/>
      <c r="T444" s="64" t="str">
        <f>IF(Table1[[#This Row],[ActualWinner]]="", "", IF(Table1[[#This Row],[AwayTeam]]=Table1[[#This Row],[ActualWinner]],Table1[[#This Row],[HomeTeam]],Table1[[#This Row],[AwayTeam]]))</f>
        <v/>
      </c>
      <c r="U444" s="64">
        <f>Table1[[#This Row],[ActualAwayScore]]-Table1[[#This Row],[PredictedAwayScore]]</f>
        <v>0</v>
      </c>
      <c r="V444" s="64">
        <f>Table1[[#This Row],[ActualHomeScore]]-Table1[[#This Row],[PredictedHomeScore]]</f>
        <v>0</v>
      </c>
      <c r="W444" s="64">
        <f>(0.8*IF(Table1[[#This Row],[CorrectWinnerPrediction]]=1, 1, 0))+(0.1*IF(Table1[[#This Row],[CorrectAwayScorePrediction]]=1, 1, 0))+(0.1*IF(Table1[[#This Row],[CorrectHomeScorePrediction]]=1, 1, 0))</f>
        <v>0</v>
      </c>
      <c r="X44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44" s="64">
        <f>SUMIF(Table1[GameDate], Table1[[#This Row],[GameDate]], Table1[AwayGameGoalDiff])</f>
        <v>0</v>
      </c>
      <c r="AA444" s="64">
        <f>SUMIF(Table1[GameDate], Table1[[#This Row],[GameDate]], Table1[HomeGameGoalDiff])</f>
        <v>0</v>
      </c>
      <c r="AB444" s="64">
        <f>IF(ISBLANK(Table1[[#This Row],[ActualResult]]), 0, 1)</f>
        <v>0</v>
      </c>
      <c r="AC444" s="64">
        <f>IF(ISBLANK(Table1[[#This Row],[ActualResult]]), 0, IF(Table1[[#This Row],[ActualWinner]]=Table1[[#This Row],[PredictedWinner]], 1, 0))</f>
        <v>0</v>
      </c>
      <c r="AD44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4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44" s="64">
        <f>IF(AND(Table1[[#This Row],[GameIsOver]]=1,Table1[[#This Row],[ActualAwayScore]]=0), 1,0)</f>
        <v>0</v>
      </c>
      <c r="AG444" s="64">
        <f>IF(AND(Table1[[#This Row],[GameIsOver]]=1,Table1[[#This Row],[ActualHomeScore]]=0), 1,0)</f>
        <v>0</v>
      </c>
      <c r="AH444" s="64">
        <f>IF(Table1[[#This Row],[GameIsOver]]=0,0,IF(Table1[[#This Row],[ActualWinner]]=Table1[[#This Row],[AwayTeam]], 1, 0))</f>
        <v>0</v>
      </c>
      <c r="AI444" s="64">
        <f>IF(Table1[[#This Row],[GameIsOver]]=0,0,IF(Table1[[#This Row],[ActualWinner]]=Table1[[#This Row],[HomeTeam]], 1, 0))</f>
        <v>0</v>
      </c>
      <c r="AJ444" s="64">
        <f>IF(INDEX(Standings!$A$2:$C$33,MATCH(Table1[[#This Row],[AwayTeam]],Standings!$A$2:$A$33,0),2)=INDEX(Standings!$A$2:$C$33,MATCH(Table1[[#This Row],[HomeTeam]],Standings!$A$2:$A$33,0),2),1,0)</f>
        <v>1</v>
      </c>
      <c r="AK444" s="64">
        <f>IF(INDEX(Standings!$A$2:$C$33,MATCH(Table1[[#This Row],[AwayTeam]],Standings!$A$2:$A$33,0),3)=INDEX(Standings!$A$2:$C$33,MATCH(Table1[[#This Row],[HomeTeam]],Standings!$A$2:$A$33,0),3),1,0)</f>
        <v>0</v>
      </c>
      <c r="AL444" s="64">
        <f>IF(Table1[[#This Row],[InterConf]]=1,IF(Table1[[#This Row],[InterDiv]]=0, 1, 0), 0)</f>
        <v>1</v>
      </c>
      <c r="AM444" s="64">
        <f>IF(INDEX(Standings!$A$2:$C$33,MATCH(Table1[[#This Row],[AwayTeam]],Standings!$A$2:$A$33,0),2)&lt;&gt;INDEX(Standings!$A$2:$C$33,MATCH(Table1[[#This Row],[HomeTeam]],Standings!$A$2:$A$33,0),2),1,0)</f>
        <v>0</v>
      </c>
      <c r="AN444" s="64" t="str">
        <f>INDEX(Table2[AWAY_RECORD], MATCH(Table1[[#This Row],[AwayTeam]],Table2[Team], 0), 0)</f>
        <v>0-0-1</v>
      </c>
      <c r="AO444" s="64" t="str">
        <f>INDEX(Records!$B$2:$AG$33, MATCH(Table1[[#This Row],[AwayTeam]],Records!$A$2:$A$33, 0), MATCH(Table1[[#This Row],[HomeTeam]],Records!$A$2:$A$33, 0))</f>
        <v>0-0-0</v>
      </c>
      <c r="AP444" s="64" t="str">
        <f>INDEX(Table2[HOME_RECORD], MATCH(Table1[[#This Row],[HomeTeam]],Table2[Team], 0), 0)</f>
        <v>0-0-0</v>
      </c>
      <c r="AQ444" s="64" t="str">
        <f>INDEX(Records!$B$2:$AG$33, MATCH(Table1[[#This Row],[HomeTeam]],Records!$A$2:$A$33, 0), MATCH(Table1[[#This Row],[AwayTeam]],Records!$A$2:$A$33, 0))</f>
        <v>0-0-0</v>
      </c>
    </row>
    <row r="445" spans="1:43" x14ac:dyDescent="0.25">
      <c r="A445" s="1"/>
      <c r="D445" t="s">
        <v>691</v>
      </c>
      <c r="E445" t="s">
        <v>298</v>
      </c>
      <c r="F445" t="s">
        <v>693</v>
      </c>
      <c r="G445" t="s">
        <v>25</v>
      </c>
      <c r="H445" t="s">
        <v>46</v>
      </c>
      <c r="L44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4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45" s="1"/>
      <c r="T445" s="64" t="str">
        <f>IF(Table1[[#This Row],[ActualWinner]]="", "", IF(Table1[[#This Row],[AwayTeam]]=Table1[[#This Row],[ActualWinner]],Table1[[#This Row],[HomeTeam]],Table1[[#This Row],[AwayTeam]]))</f>
        <v/>
      </c>
      <c r="U445" s="64">
        <f>Table1[[#This Row],[ActualAwayScore]]-Table1[[#This Row],[PredictedAwayScore]]</f>
        <v>0</v>
      </c>
      <c r="V445" s="64">
        <f>Table1[[#This Row],[ActualHomeScore]]-Table1[[#This Row],[PredictedHomeScore]]</f>
        <v>0</v>
      </c>
      <c r="W445" s="64">
        <f>(0.8*IF(Table1[[#This Row],[CorrectWinnerPrediction]]=1, 1, 0))+(0.1*IF(Table1[[#This Row],[CorrectAwayScorePrediction]]=1, 1, 0))+(0.1*IF(Table1[[#This Row],[CorrectHomeScorePrediction]]=1, 1, 0))</f>
        <v>0</v>
      </c>
      <c r="X44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45" s="64">
        <f>SUMIF(Table1[GameDate], Table1[[#This Row],[GameDate]], Table1[AwayGameGoalDiff])</f>
        <v>0</v>
      </c>
      <c r="AA445" s="64">
        <f>SUMIF(Table1[GameDate], Table1[[#This Row],[GameDate]], Table1[HomeGameGoalDiff])</f>
        <v>0</v>
      </c>
      <c r="AB445" s="64">
        <f>IF(ISBLANK(Table1[[#This Row],[ActualResult]]), 0, 1)</f>
        <v>0</v>
      </c>
      <c r="AC445" s="64">
        <f>IF(ISBLANK(Table1[[#This Row],[ActualResult]]), 0, IF(Table1[[#This Row],[ActualWinner]]=Table1[[#This Row],[PredictedWinner]], 1, 0))</f>
        <v>0</v>
      </c>
      <c r="AD44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4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45" s="64">
        <f>IF(AND(Table1[[#This Row],[GameIsOver]]=1,Table1[[#This Row],[ActualAwayScore]]=0), 1,0)</f>
        <v>0</v>
      </c>
      <c r="AG445" s="64">
        <f>IF(AND(Table1[[#This Row],[GameIsOver]]=1,Table1[[#This Row],[ActualHomeScore]]=0), 1,0)</f>
        <v>0</v>
      </c>
      <c r="AH445" s="64">
        <f>IF(Table1[[#This Row],[GameIsOver]]=0,0,IF(Table1[[#This Row],[ActualWinner]]=Table1[[#This Row],[AwayTeam]], 1, 0))</f>
        <v>0</v>
      </c>
      <c r="AI445" s="64">
        <f>IF(Table1[[#This Row],[GameIsOver]]=0,0,IF(Table1[[#This Row],[ActualWinner]]=Table1[[#This Row],[HomeTeam]], 1, 0))</f>
        <v>0</v>
      </c>
      <c r="AJ445" s="64">
        <f>IF(INDEX(Standings!$A$2:$C$33,MATCH(Table1[[#This Row],[AwayTeam]],Standings!$A$2:$A$33,0),2)=INDEX(Standings!$A$2:$C$33,MATCH(Table1[[#This Row],[HomeTeam]],Standings!$A$2:$A$33,0),2),1,0)</f>
        <v>1</v>
      </c>
      <c r="AK445" s="64">
        <f>IF(INDEX(Standings!$A$2:$C$33,MATCH(Table1[[#This Row],[AwayTeam]],Standings!$A$2:$A$33,0),3)=INDEX(Standings!$A$2:$C$33,MATCH(Table1[[#This Row],[HomeTeam]],Standings!$A$2:$A$33,0),3),1,0)</f>
        <v>1</v>
      </c>
      <c r="AL445" s="64">
        <f>IF(Table1[[#This Row],[InterConf]]=1,IF(Table1[[#This Row],[InterDiv]]=0, 1, 0), 0)</f>
        <v>0</v>
      </c>
      <c r="AM445" s="64">
        <f>IF(INDEX(Standings!$A$2:$C$33,MATCH(Table1[[#This Row],[AwayTeam]],Standings!$A$2:$A$33,0),2)&lt;&gt;INDEX(Standings!$A$2:$C$33,MATCH(Table1[[#This Row],[HomeTeam]],Standings!$A$2:$A$33,0),2),1,0)</f>
        <v>0</v>
      </c>
      <c r="AN445" s="64" t="str">
        <f>INDEX(Table2[AWAY_RECORD], MATCH(Table1[[#This Row],[AwayTeam]],Table2[Team], 0), 0)</f>
        <v>0-0-0</v>
      </c>
      <c r="AO445" s="64" t="str">
        <f>INDEX(Records!$B$2:$AG$33, MATCH(Table1[[#This Row],[AwayTeam]],Records!$A$2:$A$33, 0), MATCH(Table1[[#This Row],[HomeTeam]],Records!$A$2:$A$33, 0))</f>
        <v>0-0-0</v>
      </c>
      <c r="AP445" s="64" t="str">
        <f>INDEX(Table2[HOME_RECORD], MATCH(Table1[[#This Row],[HomeTeam]],Table2[Team], 0), 0)</f>
        <v>0-0-0</v>
      </c>
      <c r="AQ445" s="64" t="str">
        <f>INDEX(Records!$B$2:$AG$33, MATCH(Table1[[#This Row],[HomeTeam]],Records!$A$2:$A$33, 0), MATCH(Table1[[#This Row],[AwayTeam]],Records!$A$2:$A$33, 0))</f>
        <v>0-0-0</v>
      </c>
    </row>
    <row r="446" spans="1:43" x14ac:dyDescent="0.25">
      <c r="A446" s="1"/>
      <c r="D446" t="s">
        <v>691</v>
      </c>
      <c r="E446" t="s">
        <v>289</v>
      </c>
      <c r="F446" t="s">
        <v>694</v>
      </c>
      <c r="G446" t="s">
        <v>57</v>
      </c>
      <c r="H446" t="s">
        <v>47</v>
      </c>
      <c r="L44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4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46" s="1"/>
      <c r="T446" s="64" t="str">
        <f>IF(Table1[[#This Row],[ActualWinner]]="", "", IF(Table1[[#This Row],[AwayTeam]]=Table1[[#This Row],[ActualWinner]],Table1[[#This Row],[HomeTeam]],Table1[[#This Row],[AwayTeam]]))</f>
        <v/>
      </c>
      <c r="U446" s="64">
        <f>Table1[[#This Row],[ActualAwayScore]]-Table1[[#This Row],[PredictedAwayScore]]</f>
        <v>0</v>
      </c>
      <c r="V446" s="64">
        <f>Table1[[#This Row],[ActualHomeScore]]-Table1[[#This Row],[PredictedHomeScore]]</f>
        <v>0</v>
      </c>
      <c r="W446" s="64">
        <f>(0.8*IF(Table1[[#This Row],[CorrectWinnerPrediction]]=1, 1, 0))+(0.1*IF(Table1[[#This Row],[CorrectAwayScorePrediction]]=1, 1, 0))+(0.1*IF(Table1[[#This Row],[CorrectHomeScorePrediction]]=1, 1, 0))</f>
        <v>0</v>
      </c>
      <c r="X44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46" s="64">
        <f>SUMIF(Table1[GameDate], Table1[[#This Row],[GameDate]], Table1[AwayGameGoalDiff])</f>
        <v>0</v>
      </c>
      <c r="AA446" s="64">
        <f>SUMIF(Table1[GameDate], Table1[[#This Row],[GameDate]], Table1[HomeGameGoalDiff])</f>
        <v>0</v>
      </c>
      <c r="AB446" s="64">
        <f>IF(ISBLANK(Table1[[#This Row],[ActualResult]]), 0, 1)</f>
        <v>0</v>
      </c>
      <c r="AC446" s="64">
        <f>IF(ISBLANK(Table1[[#This Row],[ActualResult]]), 0, IF(Table1[[#This Row],[ActualWinner]]=Table1[[#This Row],[PredictedWinner]], 1, 0))</f>
        <v>0</v>
      </c>
      <c r="AD44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4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46" s="64">
        <f>IF(AND(Table1[[#This Row],[GameIsOver]]=1,Table1[[#This Row],[ActualAwayScore]]=0), 1,0)</f>
        <v>0</v>
      </c>
      <c r="AG446" s="64">
        <f>IF(AND(Table1[[#This Row],[GameIsOver]]=1,Table1[[#This Row],[ActualHomeScore]]=0), 1,0)</f>
        <v>0</v>
      </c>
      <c r="AH446" s="64">
        <f>IF(Table1[[#This Row],[GameIsOver]]=0,0,IF(Table1[[#This Row],[ActualWinner]]=Table1[[#This Row],[AwayTeam]], 1, 0))</f>
        <v>0</v>
      </c>
      <c r="AI446" s="64">
        <f>IF(Table1[[#This Row],[GameIsOver]]=0,0,IF(Table1[[#This Row],[ActualWinner]]=Table1[[#This Row],[HomeTeam]], 1, 0))</f>
        <v>0</v>
      </c>
      <c r="AJ446" s="64">
        <f>IF(INDEX(Standings!$A$2:$C$33,MATCH(Table1[[#This Row],[AwayTeam]],Standings!$A$2:$A$33,0),2)=INDEX(Standings!$A$2:$C$33,MATCH(Table1[[#This Row],[HomeTeam]],Standings!$A$2:$A$33,0),2),1,0)</f>
        <v>1</v>
      </c>
      <c r="AK446" s="64">
        <f>IF(INDEX(Standings!$A$2:$C$33,MATCH(Table1[[#This Row],[AwayTeam]],Standings!$A$2:$A$33,0),3)=INDEX(Standings!$A$2:$C$33,MATCH(Table1[[#This Row],[HomeTeam]],Standings!$A$2:$A$33,0),3),1,0)</f>
        <v>1</v>
      </c>
      <c r="AL446" s="64">
        <f>IF(Table1[[#This Row],[InterConf]]=1,IF(Table1[[#This Row],[InterDiv]]=0, 1, 0), 0)</f>
        <v>0</v>
      </c>
      <c r="AM446" s="64">
        <f>IF(INDEX(Standings!$A$2:$C$33,MATCH(Table1[[#This Row],[AwayTeam]],Standings!$A$2:$A$33,0),2)&lt;&gt;INDEX(Standings!$A$2:$C$33,MATCH(Table1[[#This Row],[HomeTeam]],Standings!$A$2:$A$33,0),2),1,0)</f>
        <v>0</v>
      </c>
      <c r="AN446" s="64" t="str">
        <f>INDEX(Table2[AWAY_RECORD], MATCH(Table1[[#This Row],[AwayTeam]],Table2[Team], 0), 0)</f>
        <v>0-1-0</v>
      </c>
      <c r="AO446" s="64" t="str">
        <f>INDEX(Records!$B$2:$AG$33, MATCH(Table1[[#This Row],[AwayTeam]],Records!$A$2:$A$33, 0), MATCH(Table1[[#This Row],[HomeTeam]],Records!$A$2:$A$33, 0))</f>
        <v>0-0-0</v>
      </c>
      <c r="AP446" s="64" t="str">
        <f>INDEX(Table2[HOME_RECORD], MATCH(Table1[[#This Row],[HomeTeam]],Table2[Team], 0), 0)</f>
        <v>0-0-0</v>
      </c>
      <c r="AQ446" s="64" t="str">
        <f>INDEX(Records!$B$2:$AG$33, MATCH(Table1[[#This Row],[HomeTeam]],Records!$A$2:$A$33, 0), MATCH(Table1[[#This Row],[AwayTeam]],Records!$A$2:$A$33, 0))</f>
        <v>0-0-0</v>
      </c>
    </row>
    <row r="447" spans="1:43" x14ac:dyDescent="0.25">
      <c r="A447" s="1"/>
      <c r="D447" t="s">
        <v>691</v>
      </c>
      <c r="E447" t="s">
        <v>178</v>
      </c>
      <c r="F447" t="s">
        <v>695</v>
      </c>
      <c r="G447" t="s">
        <v>54</v>
      </c>
      <c r="H447" t="s">
        <v>61</v>
      </c>
      <c r="L44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4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47" s="1"/>
      <c r="T447" s="64" t="str">
        <f>IF(Table1[[#This Row],[ActualWinner]]="", "", IF(Table1[[#This Row],[AwayTeam]]=Table1[[#This Row],[ActualWinner]],Table1[[#This Row],[HomeTeam]],Table1[[#This Row],[AwayTeam]]))</f>
        <v/>
      </c>
      <c r="U447" s="64">
        <f>Table1[[#This Row],[ActualAwayScore]]-Table1[[#This Row],[PredictedAwayScore]]</f>
        <v>0</v>
      </c>
      <c r="V447" s="64">
        <f>Table1[[#This Row],[ActualHomeScore]]-Table1[[#This Row],[PredictedHomeScore]]</f>
        <v>0</v>
      </c>
      <c r="W447" s="64">
        <f>(0.8*IF(Table1[[#This Row],[CorrectWinnerPrediction]]=1, 1, 0))+(0.1*IF(Table1[[#This Row],[CorrectAwayScorePrediction]]=1, 1, 0))+(0.1*IF(Table1[[#This Row],[CorrectHomeScorePrediction]]=1, 1, 0))</f>
        <v>0</v>
      </c>
      <c r="X44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47" s="64">
        <f>SUMIF(Table1[GameDate], Table1[[#This Row],[GameDate]], Table1[AwayGameGoalDiff])</f>
        <v>0</v>
      </c>
      <c r="AA447" s="64">
        <f>SUMIF(Table1[GameDate], Table1[[#This Row],[GameDate]], Table1[HomeGameGoalDiff])</f>
        <v>0</v>
      </c>
      <c r="AB447" s="64">
        <f>IF(ISBLANK(Table1[[#This Row],[ActualResult]]), 0, 1)</f>
        <v>0</v>
      </c>
      <c r="AC447" s="64">
        <f>IF(ISBLANK(Table1[[#This Row],[ActualResult]]), 0, IF(Table1[[#This Row],[ActualWinner]]=Table1[[#This Row],[PredictedWinner]], 1, 0))</f>
        <v>0</v>
      </c>
      <c r="AD44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4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47" s="64">
        <f>IF(AND(Table1[[#This Row],[GameIsOver]]=1,Table1[[#This Row],[ActualAwayScore]]=0), 1,0)</f>
        <v>0</v>
      </c>
      <c r="AG447" s="64">
        <f>IF(AND(Table1[[#This Row],[GameIsOver]]=1,Table1[[#This Row],[ActualHomeScore]]=0), 1,0)</f>
        <v>0</v>
      </c>
      <c r="AH447" s="64">
        <f>IF(Table1[[#This Row],[GameIsOver]]=0,0,IF(Table1[[#This Row],[ActualWinner]]=Table1[[#This Row],[AwayTeam]], 1, 0))</f>
        <v>0</v>
      </c>
      <c r="AI447" s="64">
        <f>IF(Table1[[#This Row],[GameIsOver]]=0,0,IF(Table1[[#This Row],[ActualWinner]]=Table1[[#This Row],[HomeTeam]], 1, 0))</f>
        <v>0</v>
      </c>
      <c r="AJ447" s="64">
        <f>IF(INDEX(Standings!$A$2:$C$33,MATCH(Table1[[#This Row],[AwayTeam]],Standings!$A$2:$A$33,0),2)=INDEX(Standings!$A$2:$C$33,MATCH(Table1[[#This Row],[HomeTeam]],Standings!$A$2:$A$33,0),2),1,0)</f>
        <v>0</v>
      </c>
      <c r="AK447" s="64">
        <f>IF(INDEX(Standings!$A$2:$C$33,MATCH(Table1[[#This Row],[AwayTeam]],Standings!$A$2:$A$33,0),3)=INDEX(Standings!$A$2:$C$33,MATCH(Table1[[#This Row],[HomeTeam]],Standings!$A$2:$A$33,0),3),1,0)</f>
        <v>0</v>
      </c>
      <c r="AL447" s="64">
        <f>IF(Table1[[#This Row],[InterConf]]=1,IF(Table1[[#This Row],[InterDiv]]=0, 1, 0), 0)</f>
        <v>0</v>
      </c>
      <c r="AM447" s="64">
        <f>IF(INDEX(Standings!$A$2:$C$33,MATCH(Table1[[#This Row],[AwayTeam]],Standings!$A$2:$A$33,0),2)&lt;&gt;INDEX(Standings!$A$2:$C$33,MATCH(Table1[[#This Row],[HomeTeam]],Standings!$A$2:$A$33,0),2),1,0)</f>
        <v>1</v>
      </c>
      <c r="AN447" s="64" t="str">
        <f>INDEX(Table2[AWAY_RECORD], MATCH(Table1[[#This Row],[AwayTeam]],Table2[Team], 0), 0)</f>
        <v>0-0-1</v>
      </c>
      <c r="AO447" s="64" t="str">
        <f>INDEX(Records!$B$2:$AG$33, MATCH(Table1[[#This Row],[AwayTeam]],Records!$A$2:$A$33, 0), MATCH(Table1[[#This Row],[HomeTeam]],Records!$A$2:$A$33, 0))</f>
        <v>0-0-0</v>
      </c>
      <c r="AP447" s="64" t="str">
        <f>INDEX(Table2[HOME_RECORD], MATCH(Table1[[#This Row],[HomeTeam]],Table2[Team], 0), 0)</f>
        <v>0-0-0</v>
      </c>
      <c r="AQ447" s="64" t="str">
        <f>INDEX(Records!$B$2:$AG$33, MATCH(Table1[[#This Row],[HomeTeam]],Records!$A$2:$A$33, 0), MATCH(Table1[[#This Row],[AwayTeam]],Records!$A$2:$A$33, 0))</f>
        <v>0-0-0</v>
      </c>
    </row>
    <row r="448" spans="1:43" x14ac:dyDescent="0.25">
      <c r="A448" s="1"/>
      <c r="D448" t="s">
        <v>691</v>
      </c>
      <c r="E448" t="s">
        <v>166</v>
      </c>
      <c r="F448" t="s">
        <v>696</v>
      </c>
      <c r="G448" t="s">
        <v>60</v>
      </c>
      <c r="H448" t="s">
        <v>58</v>
      </c>
      <c r="L44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4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48" s="1"/>
      <c r="T448" s="64" t="str">
        <f>IF(Table1[[#This Row],[ActualWinner]]="", "", IF(Table1[[#This Row],[AwayTeam]]=Table1[[#This Row],[ActualWinner]],Table1[[#This Row],[HomeTeam]],Table1[[#This Row],[AwayTeam]]))</f>
        <v/>
      </c>
      <c r="U448" s="64">
        <f>Table1[[#This Row],[ActualAwayScore]]-Table1[[#This Row],[PredictedAwayScore]]</f>
        <v>0</v>
      </c>
      <c r="V448" s="64">
        <f>Table1[[#This Row],[ActualHomeScore]]-Table1[[#This Row],[PredictedHomeScore]]</f>
        <v>0</v>
      </c>
      <c r="W448" s="64">
        <f>(0.8*IF(Table1[[#This Row],[CorrectWinnerPrediction]]=1, 1, 0))+(0.1*IF(Table1[[#This Row],[CorrectAwayScorePrediction]]=1, 1, 0))+(0.1*IF(Table1[[#This Row],[CorrectHomeScorePrediction]]=1, 1, 0))</f>
        <v>0</v>
      </c>
      <c r="X44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48" s="64">
        <f>SUMIF(Table1[GameDate], Table1[[#This Row],[GameDate]], Table1[AwayGameGoalDiff])</f>
        <v>0</v>
      </c>
      <c r="AA448" s="64">
        <f>SUMIF(Table1[GameDate], Table1[[#This Row],[GameDate]], Table1[HomeGameGoalDiff])</f>
        <v>0</v>
      </c>
      <c r="AB448" s="64">
        <f>IF(ISBLANK(Table1[[#This Row],[ActualResult]]), 0, 1)</f>
        <v>0</v>
      </c>
      <c r="AC448" s="64">
        <f>IF(ISBLANK(Table1[[#This Row],[ActualResult]]), 0, IF(Table1[[#This Row],[ActualWinner]]=Table1[[#This Row],[PredictedWinner]], 1, 0))</f>
        <v>0</v>
      </c>
      <c r="AD44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4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48" s="64">
        <f>IF(AND(Table1[[#This Row],[GameIsOver]]=1,Table1[[#This Row],[ActualAwayScore]]=0), 1,0)</f>
        <v>0</v>
      </c>
      <c r="AG448" s="64">
        <f>IF(AND(Table1[[#This Row],[GameIsOver]]=1,Table1[[#This Row],[ActualHomeScore]]=0), 1,0)</f>
        <v>0</v>
      </c>
      <c r="AH448" s="64">
        <f>IF(Table1[[#This Row],[GameIsOver]]=0,0,IF(Table1[[#This Row],[ActualWinner]]=Table1[[#This Row],[AwayTeam]], 1, 0))</f>
        <v>0</v>
      </c>
      <c r="AI448" s="64">
        <f>IF(Table1[[#This Row],[GameIsOver]]=0,0,IF(Table1[[#This Row],[ActualWinner]]=Table1[[#This Row],[HomeTeam]], 1, 0))</f>
        <v>0</v>
      </c>
      <c r="AJ448" s="64">
        <f>IF(INDEX(Standings!$A$2:$C$33,MATCH(Table1[[#This Row],[AwayTeam]],Standings!$A$2:$A$33,0),2)=INDEX(Standings!$A$2:$C$33,MATCH(Table1[[#This Row],[HomeTeam]],Standings!$A$2:$A$33,0),2),1,0)</f>
        <v>1</v>
      </c>
      <c r="AK448" s="64">
        <f>IF(INDEX(Standings!$A$2:$C$33,MATCH(Table1[[#This Row],[AwayTeam]],Standings!$A$2:$A$33,0),3)=INDEX(Standings!$A$2:$C$33,MATCH(Table1[[#This Row],[HomeTeam]],Standings!$A$2:$A$33,0),3),1,0)</f>
        <v>1</v>
      </c>
      <c r="AL448" s="64">
        <f>IF(Table1[[#This Row],[InterConf]]=1,IF(Table1[[#This Row],[InterDiv]]=0, 1, 0), 0)</f>
        <v>0</v>
      </c>
      <c r="AM448" s="64">
        <f>IF(INDEX(Standings!$A$2:$C$33,MATCH(Table1[[#This Row],[AwayTeam]],Standings!$A$2:$A$33,0),2)&lt;&gt;INDEX(Standings!$A$2:$C$33,MATCH(Table1[[#This Row],[HomeTeam]],Standings!$A$2:$A$33,0),2),1,0)</f>
        <v>0</v>
      </c>
      <c r="AN448" s="64" t="str">
        <f>INDEX(Table2[AWAY_RECORD], MATCH(Table1[[#This Row],[AwayTeam]],Table2[Team], 0), 0)</f>
        <v>0-0-0</v>
      </c>
      <c r="AO448" s="64" t="str">
        <f>INDEX(Records!$B$2:$AG$33, MATCH(Table1[[#This Row],[AwayTeam]],Records!$A$2:$A$33, 0), MATCH(Table1[[#This Row],[HomeTeam]],Records!$A$2:$A$33, 0))</f>
        <v>0-0-0</v>
      </c>
      <c r="AP448" s="64" t="str">
        <f>INDEX(Table2[HOME_RECORD], MATCH(Table1[[#This Row],[HomeTeam]],Table2[Team], 0), 0)</f>
        <v>1-0-0</v>
      </c>
      <c r="AQ448" s="64" t="str">
        <f>INDEX(Records!$B$2:$AG$33, MATCH(Table1[[#This Row],[HomeTeam]],Records!$A$2:$A$33, 0), MATCH(Table1[[#This Row],[AwayTeam]],Records!$A$2:$A$33, 0))</f>
        <v>0-0-0</v>
      </c>
    </row>
    <row r="449" spans="1:43" x14ac:dyDescent="0.25">
      <c r="A449" s="1"/>
      <c r="D449" t="s">
        <v>697</v>
      </c>
      <c r="E449" t="s">
        <v>162</v>
      </c>
      <c r="F449" t="s">
        <v>698</v>
      </c>
      <c r="G449" t="s">
        <v>17</v>
      </c>
      <c r="H449" t="s">
        <v>24</v>
      </c>
      <c r="L44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4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49" s="1"/>
      <c r="T449" s="64" t="str">
        <f>IF(Table1[[#This Row],[ActualWinner]]="", "", IF(Table1[[#This Row],[AwayTeam]]=Table1[[#This Row],[ActualWinner]],Table1[[#This Row],[HomeTeam]],Table1[[#This Row],[AwayTeam]]))</f>
        <v/>
      </c>
      <c r="U449" s="64">
        <f>Table1[[#This Row],[ActualAwayScore]]-Table1[[#This Row],[PredictedAwayScore]]</f>
        <v>0</v>
      </c>
      <c r="V449" s="64">
        <f>Table1[[#This Row],[ActualHomeScore]]-Table1[[#This Row],[PredictedHomeScore]]</f>
        <v>0</v>
      </c>
      <c r="W449" s="64">
        <f>(0.8*IF(Table1[[#This Row],[CorrectWinnerPrediction]]=1, 1, 0))+(0.1*IF(Table1[[#This Row],[CorrectAwayScorePrediction]]=1, 1, 0))+(0.1*IF(Table1[[#This Row],[CorrectHomeScorePrediction]]=1, 1, 0))</f>
        <v>0</v>
      </c>
      <c r="X44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49" s="64">
        <f>SUMIF(Table1[GameDate], Table1[[#This Row],[GameDate]], Table1[AwayGameGoalDiff])</f>
        <v>0</v>
      </c>
      <c r="AA449" s="64">
        <f>SUMIF(Table1[GameDate], Table1[[#This Row],[GameDate]], Table1[HomeGameGoalDiff])</f>
        <v>0</v>
      </c>
      <c r="AB449" s="64">
        <f>IF(ISBLANK(Table1[[#This Row],[ActualResult]]), 0, 1)</f>
        <v>0</v>
      </c>
      <c r="AC449" s="64">
        <f>IF(ISBLANK(Table1[[#This Row],[ActualResult]]), 0, IF(Table1[[#This Row],[ActualWinner]]=Table1[[#This Row],[PredictedWinner]], 1, 0))</f>
        <v>0</v>
      </c>
      <c r="AD44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4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49" s="64">
        <f>IF(AND(Table1[[#This Row],[GameIsOver]]=1,Table1[[#This Row],[ActualAwayScore]]=0), 1,0)</f>
        <v>0</v>
      </c>
      <c r="AG449" s="64">
        <f>IF(AND(Table1[[#This Row],[GameIsOver]]=1,Table1[[#This Row],[ActualHomeScore]]=0), 1,0)</f>
        <v>0</v>
      </c>
      <c r="AH449" s="64">
        <f>IF(Table1[[#This Row],[GameIsOver]]=0,0,IF(Table1[[#This Row],[ActualWinner]]=Table1[[#This Row],[AwayTeam]], 1, 0))</f>
        <v>0</v>
      </c>
      <c r="AI449" s="64">
        <f>IF(Table1[[#This Row],[GameIsOver]]=0,0,IF(Table1[[#This Row],[ActualWinner]]=Table1[[#This Row],[HomeTeam]], 1, 0))</f>
        <v>0</v>
      </c>
      <c r="AJ449" s="64">
        <f>IF(INDEX(Standings!$A$2:$C$33,MATCH(Table1[[#This Row],[AwayTeam]],Standings!$A$2:$A$33,0),2)=INDEX(Standings!$A$2:$C$33,MATCH(Table1[[#This Row],[HomeTeam]],Standings!$A$2:$A$33,0),2),1,0)</f>
        <v>1</v>
      </c>
      <c r="AK449" s="64">
        <f>IF(INDEX(Standings!$A$2:$C$33,MATCH(Table1[[#This Row],[AwayTeam]],Standings!$A$2:$A$33,0),3)=INDEX(Standings!$A$2:$C$33,MATCH(Table1[[#This Row],[HomeTeam]],Standings!$A$2:$A$33,0),3),1,0)</f>
        <v>1</v>
      </c>
      <c r="AL449" s="64">
        <f>IF(Table1[[#This Row],[InterConf]]=1,IF(Table1[[#This Row],[InterDiv]]=0, 1, 0), 0)</f>
        <v>0</v>
      </c>
      <c r="AM449" s="64">
        <f>IF(INDEX(Standings!$A$2:$C$33,MATCH(Table1[[#This Row],[AwayTeam]],Standings!$A$2:$A$33,0),2)&lt;&gt;INDEX(Standings!$A$2:$C$33,MATCH(Table1[[#This Row],[HomeTeam]],Standings!$A$2:$A$33,0),2),1,0)</f>
        <v>0</v>
      </c>
      <c r="AN449" s="64" t="str">
        <f>INDEX(Table2[AWAY_RECORD], MATCH(Table1[[#This Row],[AwayTeam]],Table2[Team], 0), 0)</f>
        <v>2-0-0</v>
      </c>
      <c r="AO449" s="64" t="str">
        <f>INDEX(Records!$B$2:$AG$33, MATCH(Table1[[#This Row],[AwayTeam]],Records!$A$2:$A$33, 0), MATCH(Table1[[#This Row],[HomeTeam]],Records!$A$2:$A$33, 0))</f>
        <v>0-0-0</v>
      </c>
      <c r="AP449" s="64" t="str">
        <f>INDEX(Table2[HOME_RECORD], MATCH(Table1[[#This Row],[HomeTeam]],Table2[Team], 0), 0)</f>
        <v>0-2-0</v>
      </c>
      <c r="AQ449" s="64" t="str">
        <f>INDEX(Records!$B$2:$AG$33, MATCH(Table1[[#This Row],[HomeTeam]],Records!$A$2:$A$33, 0), MATCH(Table1[[#This Row],[AwayTeam]],Records!$A$2:$A$33, 0))</f>
        <v>0-0-0</v>
      </c>
    </row>
    <row r="450" spans="1:43" x14ac:dyDescent="0.25">
      <c r="A450" s="1"/>
      <c r="D450" t="s">
        <v>697</v>
      </c>
      <c r="E450" t="s">
        <v>162</v>
      </c>
      <c r="F450" t="s">
        <v>699</v>
      </c>
      <c r="G450" t="s">
        <v>49</v>
      </c>
      <c r="H450" t="s">
        <v>52</v>
      </c>
      <c r="L45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5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50" s="1"/>
      <c r="T450" s="64" t="str">
        <f>IF(Table1[[#This Row],[ActualWinner]]="", "", IF(Table1[[#This Row],[AwayTeam]]=Table1[[#This Row],[ActualWinner]],Table1[[#This Row],[HomeTeam]],Table1[[#This Row],[AwayTeam]]))</f>
        <v/>
      </c>
      <c r="U450" s="64">
        <f>Table1[[#This Row],[ActualAwayScore]]-Table1[[#This Row],[PredictedAwayScore]]</f>
        <v>0</v>
      </c>
      <c r="V450" s="64">
        <f>Table1[[#This Row],[ActualHomeScore]]-Table1[[#This Row],[PredictedHomeScore]]</f>
        <v>0</v>
      </c>
      <c r="W450" s="64">
        <f>(0.8*IF(Table1[[#This Row],[CorrectWinnerPrediction]]=1, 1, 0))+(0.1*IF(Table1[[#This Row],[CorrectAwayScorePrediction]]=1, 1, 0))+(0.1*IF(Table1[[#This Row],[CorrectHomeScorePrediction]]=1, 1, 0))</f>
        <v>0</v>
      </c>
      <c r="X45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50" s="64">
        <f>SUMIF(Table1[GameDate], Table1[[#This Row],[GameDate]], Table1[AwayGameGoalDiff])</f>
        <v>0</v>
      </c>
      <c r="AA450" s="64">
        <f>SUMIF(Table1[GameDate], Table1[[#This Row],[GameDate]], Table1[HomeGameGoalDiff])</f>
        <v>0</v>
      </c>
      <c r="AB450" s="64">
        <f>IF(ISBLANK(Table1[[#This Row],[ActualResult]]), 0, 1)</f>
        <v>0</v>
      </c>
      <c r="AC450" s="64">
        <f>IF(ISBLANK(Table1[[#This Row],[ActualResult]]), 0, IF(Table1[[#This Row],[ActualWinner]]=Table1[[#This Row],[PredictedWinner]], 1, 0))</f>
        <v>0</v>
      </c>
      <c r="AD45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5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50" s="64">
        <f>IF(AND(Table1[[#This Row],[GameIsOver]]=1,Table1[[#This Row],[ActualAwayScore]]=0), 1,0)</f>
        <v>0</v>
      </c>
      <c r="AG450" s="64">
        <f>IF(AND(Table1[[#This Row],[GameIsOver]]=1,Table1[[#This Row],[ActualHomeScore]]=0), 1,0)</f>
        <v>0</v>
      </c>
      <c r="AH450" s="64">
        <f>IF(Table1[[#This Row],[GameIsOver]]=0,0,IF(Table1[[#This Row],[ActualWinner]]=Table1[[#This Row],[AwayTeam]], 1, 0))</f>
        <v>0</v>
      </c>
      <c r="AI450" s="64">
        <f>IF(Table1[[#This Row],[GameIsOver]]=0,0,IF(Table1[[#This Row],[ActualWinner]]=Table1[[#This Row],[HomeTeam]], 1, 0))</f>
        <v>0</v>
      </c>
      <c r="AJ450" s="64">
        <f>IF(INDEX(Standings!$A$2:$C$33,MATCH(Table1[[#This Row],[AwayTeam]],Standings!$A$2:$A$33,0),2)=INDEX(Standings!$A$2:$C$33,MATCH(Table1[[#This Row],[HomeTeam]],Standings!$A$2:$A$33,0),2),1,0)</f>
        <v>1</v>
      </c>
      <c r="AK450" s="64">
        <f>IF(INDEX(Standings!$A$2:$C$33,MATCH(Table1[[#This Row],[AwayTeam]],Standings!$A$2:$A$33,0),3)=INDEX(Standings!$A$2:$C$33,MATCH(Table1[[#This Row],[HomeTeam]],Standings!$A$2:$A$33,0),3),1,0)</f>
        <v>0</v>
      </c>
      <c r="AL450" s="64">
        <f>IF(Table1[[#This Row],[InterConf]]=1,IF(Table1[[#This Row],[InterDiv]]=0, 1, 0), 0)</f>
        <v>1</v>
      </c>
      <c r="AM450" s="64">
        <f>IF(INDEX(Standings!$A$2:$C$33,MATCH(Table1[[#This Row],[AwayTeam]],Standings!$A$2:$A$33,0),2)&lt;&gt;INDEX(Standings!$A$2:$C$33,MATCH(Table1[[#This Row],[HomeTeam]],Standings!$A$2:$A$33,0),2),1,0)</f>
        <v>0</v>
      </c>
      <c r="AN450" s="64" t="str">
        <f>INDEX(Table2[AWAY_RECORD], MATCH(Table1[[#This Row],[AwayTeam]],Table2[Team], 0), 0)</f>
        <v>0-0-0</v>
      </c>
      <c r="AO450" s="64" t="str">
        <f>INDEX(Records!$B$2:$AG$33, MATCH(Table1[[#This Row],[AwayTeam]],Records!$A$2:$A$33, 0), MATCH(Table1[[#This Row],[HomeTeam]],Records!$A$2:$A$33, 0))</f>
        <v>0-0-0</v>
      </c>
      <c r="AP450" s="64" t="str">
        <f>INDEX(Table2[HOME_RECORD], MATCH(Table1[[#This Row],[HomeTeam]],Table2[Team], 0), 0)</f>
        <v>0-0-0</v>
      </c>
      <c r="AQ450" s="64" t="str">
        <f>INDEX(Records!$B$2:$AG$33, MATCH(Table1[[#This Row],[HomeTeam]],Records!$A$2:$A$33, 0), MATCH(Table1[[#This Row],[AwayTeam]],Records!$A$2:$A$33, 0))</f>
        <v>0-0-0</v>
      </c>
    </row>
    <row r="451" spans="1:43" x14ac:dyDescent="0.25">
      <c r="A451" s="1"/>
      <c r="D451" t="s">
        <v>697</v>
      </c>
      <c r="E451" t="s">
        <v>162</v>
      </c>
      <c r="F451" t="s">
        <v>700</v>
      </c>
      <c r="G451" t="s">
        <v>41</v>
      </c>
      <c r="H451" t="s">
        <v>44</v>
      </c>
      <c r="L45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5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51" s="1"/>
      <c r="T451" s="64" t="str">
        <f>IF(Table1[[#This Row],[ActualWinner]]="", "", IF(Table1[[#This Row],[AwayTeam]]=Table1[[#This Row],[ActualWinner]],Table1[[#This Row],[HomeTeam]],Table1[[#This Row],[AwayTeam]]))</f>
        <v/>
      </c>
      <c r="U451" s="64">
        <f>Table1[[#This Row],[ActualAwayScore]]-Table1[[#This Row],[PredictedAwayScore]]</f>
        <v>0</v>
      </c>
      <c r="V451" s="64">
        <f>Table1[[#This Row],[ActualHomeScore]]-Table1[[#This Row],[PredictedHomeScore]]</f>
        <v>0</v>
      </c>
      <c r="W451" s="64">
        <f>(0.8*IF(Table1[[#This Row],[CorrectWinnerPrediction]]=1, 1, 0))+(0.1*IF(Table1[[#This Row],[CorrectAwayScorePrediction]]=1, 1, 0))+(0.1*IF(Table1[[#This Row],[CorrectHomeScorePrediction]]=1, 1, 0))</f>
        <v>0</v>
      </c>
      <c r="X45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51" s="64">
        <f>SUMIF(Table1[GameDate], Table1[[#This Row],[GameDate]], Table1[AwayGameGoalDiff])</f>
        <v>0</v>
      </c>
      <c r="AA451" s="64">
        <f>SUMIF(Table1[GameDate], Table1[[#This Row],[GameDate]], Table1[HomeGameGoalDiff])</f>
        <v>0</v>
      </c>
      <c r="AB451" s="64">
        <f>IF(ISBLANK(Table1[[#This Row],[ActualResult]]), 0, 1)</f>
        <v>0</v>
      </c>
      <c r="AC451" s="64">
        <f>IF(ISBLANK(Table1[[#This Row],[ActualResult]]), 0, IF(Table1[[#This Row],[ActualWinner]]=Table1[[#This Row],[PredictedWinner]], 1, 0))</f>
        <v>0</v>
      </c>
      <c r="AD45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5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51" s="64">
        <f>IF(AND(Table1[[#This Row],[GameIsOver]]=1,Table1[[#This Row],[ActualAwayScore]]=0), 1,0)</f>
        <v>0</v>
      </c>
      <c r="AG451" s="64">
        <f>IF(AND(Table1[[#This Row],[GameIsOver]]=1,Table1[[#This Row],[ActualHomeScore]]=0), 1,0)</f>
        <v>0</v>
      </c>
      <c r="AH451" s="64">
        <f>IF(Table1[[#This Row],[GameIsOver]]=0,0,IF(Table1[[#This Row],[ActualWinner]]=Table1[[#This Row],[AwayTeam]], 1, 0))</f>
        <v>0</v>
      </c>
      <c r="AI451" s="64">
        <f>IF(Table1[[#This Row],[GameIsOver]]=0,0,IF(Table1[[#This Row],[ActualWinner]]=Table1[[#This Row],[HomeTeam]], 1, 0))</f>
        <v>0</v>
      </c>
      <c r="AJ451" s="64">
        <f>IF(INDEX(Standings!$A$2:$C$33,MATCH(Table1[[#This Row],[AwayTeam]],Standings!$A$2:$A$33,0),2)=INDEX(Standings!$A$2:$C$33,MATCH(Table1[[#This Row],[HomeTeam]],Standings!$A$2:$A$33,0),2),1,0)</f>
        <v>0</v>
      </c>
      <c r="AK451" s="64">
        <f>IF(INDEX(Standings!$A$2:$C$33,MATCH(Table1[[#This Row],[AwayTeam]],Standings!$A$2:$A$33,0),3)=INDEX(Standings!$A$2:$C$33,MATCH(Table1[[#This Row],[HomeTeam]],Standings!$A$2:$A$33,0),3),1,0)</f>
        <v>0</v>
      </c>
      <c r="AL451" s="64">
        <f>IF(Table1[[#This Row],[InterConf]]=1,IF(Table1[[#This Row],[InterDiv]]=0, 1, 0), 0)</f>
        <v>0</v>
      </c>
      <c r="AM451" s="64">
        <f>IF(INDEX(Standings!$A$2:$C$33,MATCH(Table1[[#This Row],[AwayTeam]],Standings!$A$2:$A$33,0),2)&lt;&gt;INDEX(Standings!$A$2:$C$33,MATCH(Table1[[#This Row],[HomeTeam]],Standings!$A$2:$A$33,0),2),1,0)</f>
        <v>1</v>
      </c>
      <c r="AN451" s="64" t="str">
        <f>INDEX(Table2[AWAY_RECORD], MATCH(Table1[[#This Row],[AwayTeam]],Table2[Team], 0), 0)</f>
        <v>0-0-0</v>
      </c>
      <c r="AO451" s="64" t="str">
        <f>INDEX(Records!$B$2:$AG$33, MATCH(Table1[[#This Row],[AwayTeam]],Records!$A$2:$A$33, 0), MATCH(Table1[[#This Row],[HomeTeam]],Records!$A$2:$A$33, 0))</f>
        <v>0-0-0</v>
      </c>
      <c r="AP451" s="64" t="str">
        <f>INDEX(Table2[HOME_RECORD], MATCH(Table1[[#This Row],[HomeTeam]],Table2[Team], 0), 0)</f>
        <v>0-0-1</v>
      </c>
      <c r="AQ451" s="64" t="str">
        <f>INDEX(Records!$B$2:$AG$33, MATCH(Table1[[#This Row],[HomeTeam]],Records!$A$2:$A$33, 0), MATCH(Table1[[#This Row],[AwayTeam]],Records!$A$2:$A$33, 0))</f>
        <v>0-0-0</v>
      </c>
    </row>
    <row r="452" spans="1:43" x14ac:dyDescent="0.25">
      <c r="A452" s="1"/>
      <c r="D452" t="s">
        <v>697</v>
      </c>
      <c r="E452" t="s">
        <v>162</v>
      </c>
      <c r="F452" t="s">
        <v>701</v>
      </c>
      <c r="G452" t="s">
        <v>55</v>
      </c>
      <c r="H452" t="s">
        <v>51</v>
      </c>
      <c r="L45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5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52" s="1"/>
      <c r="T452" s="64" t="str">
        <f>IF(Table1[[#This Row],[ActualWinner]]="", "", IF(Table1[[#This Row],[AwayTeam]]=Table1[[#This Row],[ActualWinner]],Table1[[#This Row],[HomeTeam]],Table1[[#This Row],[AwayTeam]]))</f>
        <v/>
      </c>
      <c r="U452" s="64">
        <f>Table1[[#This Row],[ActualAwayScore]]-Table1[[#This Row],[PredictedAwayScore]]</f>
        <v>0</v>
      </c>
      <c r="V452" s="64">
        <f>Table1[[#This Row],[ActualHomeScore]]-Table1[[#This Row],[PredictedHomeScore]]</f>
        <v>0</v>
      </c>
      <c r="W452" s="64">
        <f>(0.8*IF(Table1[[#This Row],[CorrectWinnerPrediction]]=1, 1, 0))+(0.1*IF(Table1[[#This Row],[CorrectAwayScorePrediction]]=1, 1, 0))+(0.1*IF(Table1[[#This Row],[CorrectHomeScorePrediction]]=1, 1, 0))</f>
        <v>0</v>
      </c>
      <c r="X45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52" s="64">
        <f>SUMIF(Table1[GameDate], Table1[[#This Row],[GameDate]], Table1[AwayGameGoalDiff])</f>
        <v>0</v>
      </c>
      <c r="AA452" s="64">
        <f>SUMIF(Table1[GameDate], Table1[[#This Row],[GameDate]], Table1[HomeGameGoalDiff])</f>
        <v>0</v>
      </c>
      <c r="AB452" s="64">
        <f>IF(ISBLANK(Table1[[#This Row],[ActualResult]]), 0, 1)</f>
        <v>0</v>
      </c>
      <c r="AC452" s="64">
        <f>IF(ISBLANK(Table1[[#This Row],[ActualResult]]), 0, IF(Table1[[#This Row],[ActualWinner]]=Table1[[#This Row],[PredictedWinner]], 1, 0))</f>
        <v>0</v>
      </c>
      <c r="AD45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5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52" s="64">
        <f>IF(AND(Table1[[#This Row],[GameIsOver]]=1,Table1[[#This Row],[ActualAwayScore]]=0), 1,0)</f>
        <v>0</v>
      </c>
      <c r="AG452" s="64">
        <f>IF(AND(Table1[[#This Row],[GameIsOver]]=1,Table1[[#This Row],[ActualHomeScore]]=0), 1,0)</f>
        <v>0</v>
      </c>
      <c r="AH452" s="64">
        <f>IF(Table1[[#This Row],[GameIsOver]]=0,0,IF(Table1[[#This Row],[ActualWinner]]=Table1[[#This Row],[AwayTeam]], 1, 0))</f>
        <v>0</v>
      </c>
      <c r="AI452" s="64">
        <f>IF(Table1[[#This Row],[GameIsOver]]=0,0,IF(Table1[[#This Row],[ActualWinner]]=Table1[[#This Row],[HomeTeam]], 1, 0))</f>
        <v>0</v>
      </c>
      <c r="AJ452" s="64">
        <f>IF(INDEX(Standings!$A$2:$C$33,MATCH(Table1[[#This Row],[AwayTeam]],Standings!$A$2:$A$33,0),2)=INDEX(Standings!$A$2:$C$33,MATCH(Table1[[#This Row],[HomeTeam]],Standings!$A$2:$A$33,0),2),1,0)</f>
        <v>0</v>
      </c>
      <c r="AK452" s="64">
        <f>IF(INDEX(Standings!$A$2:$C$33,MATCH(Table1[[#This Row],[AwayTeam]],Standings!$A$2:$A$33,0),3)=INDEX(Standings!$A$2:$C$33,MATCH(Table1[[#This Row],[HomeTeam]],Standings!$A$2:$A$33,0),3),1,0)</f>
        <v>0</v>
      </c>
      <c r="AL452" s="64">
        <f>IF(Table1[[#This Row],[InterConf]]=1,IF(Table1[[#This Row],[InterDiv]]=0, 1, 0), 0)</f>
        <v>0</v>
      </c>
      <c r="AM452" s="64">
        <f>IF(INDEX(Standings!$A$2:$C$33,MATCH(Table1[[#This Row],[AwayTeam]],Standings!$A$2:$A$33,0),2)&lt;&gt;INDEX(Standings!$A$2:$C$33,MATCH(Table1[[#This Row],[HomeTeam]],Standings!$A$2:$A$33,0),2),1,0)</f>
        <v>1</v>
      </c>
      <c r="AN452" s="64" t="str">
        <f>INDEX(Table2[AWAY_RECORD], MATCH(Table1[[#This Row],[AwayTeam]],Table2[Team], 0), 0)</f>
        <v>0-0-0</v>
      </c>
      <c r="AO452" s="64" t="str">
        <f>INDEX(Records!$B$2:$AG$33, MATCH(Table1[[#This Row],[AwayTeam]],Records!$A$2:$A$33, 0), MATCH(Table1[[#This Row],[HomeTeam]],Records!$A$2:$A$33, 0))</f>
        <v>0-0-0</v>
      </c>
      <c r="AP452" s="64" t="str">
        <f>INDEX(Table2[HOME_RECORD], MATCH(Table1[[#This Row],[HomeTeam]],Table2[Team], 0), 0)</f>
        <v>1-0-0</v>
      </c>
      <c r="AQ452" s="64" t="str">
        <f>INDEX(Records!$B$2:$AG$33, MATCH(Table1[[#This Row],[HomeTeam]],Records!$A$2:$A$33, 0), MATCH(Table1[[#This Row],[AwayTeam]],Records!$A$2:$A$33, 0))</f>
        <v>0-0-0</v>
      </c>
    </row>
    <row r="453" spans="1:43" x14ac:dyDescent="0.25">
      <c r="A453" s="1"/>
      <c r="D453" t="s">
        <v>697</v>
      </c>
      <c r="E453" t="s">
        <v>162</v>
      </c>
      <c r="F453" t="s">
        <v>702</v>
      </c>
      <c r="G453" t="s">
        <v>50</v>
      </c>
      <c r="H453" t="s">
        <v>53</v>
      </c>
      <c r="L45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5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53" s="1"/>
      <c r="T453" s="64" t="str">
        <f>IF(Table1[[#This Row],[ActualWinner]]="", "", IF(Table1[[#This Row],[AwayTeam]]=Table1[[#This Row],[ActualWinner]],Table1[[#This Row],[HomeTeam]],Table1[[#This Row],[AwayTeam]]))</f>
        <v/>
      </c>
      <c r="U453" s="64">
        <f>Table1[[#This Row],[ActualAwayScore]]-Table1[[#This Row],[PredictedAwayScore]]</f>
        <v>0</v>
      </c>
      <c r="V453" s="64">
        <f>Table1[[#This Row],[ActualHomeScore]]-Table1[[#This Row],[PredictedHomeScore]]</f>
        <v>0</v>
      </c>
      <c r="W453" s="64">
        <f>(0.8*IF(Table1[[#This Row],[CorrectWinnerPrediction]]=1, 1, 0))+(0.1*IF(Table1[[#This Row],[CorrectAwayScorePrediction]]=1, 1, 0))+(0.1*IF(Table1[[#This Row],[CorrectHomeScorePrediction]]=1, 1, 0))</f>
        <v>0</v>
      </c>
      <c r="X45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53" s="64">
        <f>SUMIF(Table1[GameDate], Table1[[#This Row],[GameDate]], Table1[AwayGameGoalDiff])</f>
        <v>0</v>
      </c>
      <c r="AA453" s="64">
        <f>SUMIF(Table1[GameDate], Table1[[#This Row],[GameDate]], Table1[HomeGameGoalDiff])</f>
        <v>0</v>
      </c>
      <c r="AB453" s="64">
        <f>IF(ISBLANK(Table1[[#This Row],[ActualResult]]), 0, 1)</f>
        <v>0</v>
      </c>
      <c r="AC453" s="64">
        <f>IF(ISBLANK(Table1[[#This Row],[ActualResult]]), 0, IF(Table1[[#This Row],[ActualWinner]]=Table1[[#This Row],[PredictedWinner]], 1, 0))</f>
        <v>0</v>
      </c>
      <c r="AD45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5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53" s="64">
        <f>IF(AND(Table1[[#This Row],[GameIsOver]]=1,Table1[[#This Row],[ActualAwayScore]]=0), 1,0)</f>
        <v>0</v>
      </c>
      <c r="AG453" s="64">
        <f>IF(AND(Table1[[#This Row],[GameIsOver]]=1,Table1[[#This Row],[ActualHomeScore]]=0), 1,0)</f>
        <v>0</v>
      </c>
      <c r="AH453" s="64">
        <f>IF(Table1[[#This Row],[GameIsOver]]=0,0,IF(Table1[[#This Row],[ActualWinner]]=Table1[[#This Row],[AwayTeam]], 1, 0))</f>
        <v>0</v>
      </c>
      <c r="AI453" s="64">
        <f>IF(Table1[[#This Row],[GameIsOver]]=0,0,IF(Table1[[#This Row],[ActualWinner]]=Table1[[#This Row],[HomeTeam]], 1, 0))</f>
        <v>0</v>
      </c>
      <c r="AJ453" s="64">
        <f>IF(INDEX(Standings!$A$2:$C$33,MATCH(Table1[[#This Row],[AwayTeam]],Standings!$A$2:$A$33,0),2)=INDEX(Standings!$A$2:$C$33,MATCH(Table1[[#This Row],[HomeTeam]],Standings!$A$2:$A$33,0),2),1,0)</f>
        <v>1</v>
      </c>
      <c r="AK453" s="64">
        <f>IF(INDEX(Standings!$A$2:$C$33,MATCH(Table1[[#This Row],[AwayTeam]],Standings!$A$2:$A$33,0),3)=INDEX(Standings!$A$2:$C$33,MATCH(Table1[[#This Row],[HomeTeam]],Standings!$A$2:$A$33,0),3),1,0)</f>
        <v>1</v>
      </c>
      <c r="AL453" s="64">
        <f>IF(Table1[[#This Row],[InterConf]]=1,IF(Table1[[#This Row],[InterDiv]]=0, 1, 0), 0)</f>
        <v>0</v>
      </c>
      <c r="AM453" s="64">
        <f>IF(INDEX(Standings!$A$2:$C$33,MATCH(Table1[[#This Row],[AwayTeam]],Standings!$A$2:$A$33,0),2)&lt;&gt;INDEX(Standings!$A$2:$C$33,MATCH(Table1[[#This Row],[HomeTeam]],Standings!$A$2:$A$33,0),2),1,0)</f>
        <v>0</v>
      </c>
      <c r="AN453" s="64" t="str">
        <f>INDEX(Table2[AWAY_RECORD], MATCH(Table1[[#This Row],[AwayTeam]],Table2[Team], 0), 0)</f>
        <v>1-0-0</v>
      </c>
      <c r="AO453" s="64" t="str">
        <f>INDEX(Records!$B$2:$AG$33, MATCH(Table1[[#This Row],[AwayTeam]],Records!$A$2:$A$33, 0), MATCH(Table1[[#This Row],[HomeTeam]],Records!$A$2:$A$33, 0))</f>
        <v>0-0-0</v>
      </c>
      <c r="AP453" s="64" t="str">
        <f>INDEX(Table2[HOME_RECORD], MATCH(Table1[[#This Row],[HomeTeam]],Table2[Team], 0), 0)</f>
        <v>1-0-0</v>
      </c>
      <c r="AQ453" s="64" t="str">
        <f>INDEX(Records!$B$2:$AG$33, MATCH(Table1[[#This Row],[HomeTeam]],Records!$A$2:$A$33, 0), MATCH(Table1[[#This Row],[AwayTeam]],Records!$A$2:$A$33, 0))</f>
        <v>0-0-0</v>
      </c>
    </row>
    <row r="454" spans="1:43" x14ac:dyDescent="0.25">
      <c r="A454" s="1"/>
      <c r="D454" t="s">
        <v>697</v>
      </c>
      <c r="E454" t="s">
        <v>162</v>
      </c>
      <c r="F454" t="s">
        <v>703</v>
      </c>
      <c r="G454" t="s">
        <v>42</v>
      </c>
      <c r="H454" t="s">
        <v>40</v>
      </c>
      <c r="L45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5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54" s="1"/>
      <c r="T454" s="64" t="str">
        <f>IF(Table1[[#This Row],[ActualWinner]]="", "", IF(Table1[[#This Row],[AwayTeam]]=Table1[[#This Row],[ActualWinner]],Table1[[#This Row],[HomeTeam]],Table1[[#This Row],[AwayTeam]]))</f>
        <v/>
      </c>
      <c r="U454" s="64">
        <f>Table1[[#This Row],[ActualAwayScore]]-Table1[[#This Row],[PredictedAwayScore]]</f>
        <v>0</v>
      </c>
      <c r="V454" s="64">
        <f>Table1[[#This Row],[ActualHomeScore]]-Table1[[#This Row],[PredictedHomeScore]]</f>
        <v>0</v>
      </c>
      <c r="W454" s="64">
        <f>(0.8*IF(Table1[[#This Row],[CorrectWinnerPrediction]]=1, 1, 0))+(0.1*IF(Table1[[#This Row],[CorrectAwayScorePrediction]]=1, 1, 0))+(0.1*IF(Table1[[#This Row],[CorrectHomeScorePrediction]]=1, 1, 0))</f>
        <v>0</v>
      </c>
      <c r="X45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54" s="64">
        <f>SUMIF(Table1[GameDate], Table1[[#This Row],[GameDate]], Table1[AwayGameGoalDiff])</f>
        <v>0</v>
      </c>
      <c r="AA454" s="64">
        <f>SUMIF(Table1[GameDate], Table1[[#This Row],[GameDate]], Table1[HomeGameGoalDiff])</f>
        <v>0</v>
      </c>
      <c r="AB454" s="64">
        <f>IF(ISBLANK(Table1[[#This Row],[ActualResult]]), 0, 1)</f>
        <v>0</v>
      </c>
      <c r="AC454" s="64">
        <f>IF(ISBLANK(Table1[[#This Row],[ActualResult]]), 0, IF(Table1[[#This Row],[ActualWinner]]=Table1[[#This Row],[PredictedWinner]], 1, 0))</f>
        <v>0</v>
      </c>
      <c r="AD45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5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54" s="64">
        <f>IF(AND(Table1[[#This Row],[GameIsOver]]=1,Table1[[#This Row],[ActualAwayScore]]=0), 1,0)</f>
        <v>0</v>
      </c>
      <c r="AG454" s="64">
        <f>IF(AND(Table1[[#This Row],[GameIsOver]]=1,Table1[[#This Row],[ActualHomeScore]]=0), 1,0)</f>
        <v>0</v>
      </c>
      <c r="AH454" s="64">
        <f>IF(Table1[[#This Row],[GameIsOver]]=0,0,IF(Table1[[#This Row],[ActualWinner]]=Table1[[#This Row],[AwayTeam]], 1, 0))</f>
        <v>0</v>
      </c>
      <c r="AI454" s="64">
        <f>IF(Table1[[#This Row],[GameIsOver]]=0,0,IF(Table1[[#This Row],[ActualWinner]]=Table1[[#This Row],[HomeTeam]], 1, 0))</f>
        <v>0</v>
      </c>
      <c r="AJ454" s="64">
        <f>IF(INDEX(Standings!$A$2:$C$33,MATCH(Table1[[#This Row],[AwayTeam]],Standings!$A$2:$A$33,0),2)=INDEX(Standings!$A$2:$C$33,MATCH(Table1[[#This Row],[HomeTeam]],Standings!$A$2:$A$33,0),2),1,0)</f>
        <v>1</v>
      </c>
      <c r="AK454" s="64">
        <f>IF(INDEX(Standings!$A$2:$C$33,MATCH(Table1[[#This Row],[AwayTeam]],Standings!$A$2:$A$33,0),3)=INDEX(Standings!$A$2:$C$33,MATCH(Table1[[#This Row],[HomeTeam]],Standings!$A$2:$A$33,0),3),1,0)</f>
        <v>1</v>
      </c>
      <c r="AL454" s="64">
        <f>IF(Table1[[#This Row],[InterConf]]=1,IF(Table1[[#This Row],[InterDiv]]=0, 1, 0), 0)</f>
        <v>0</v>
      </c>
      <c r="AM454" s="64">
        <f>IF(INDEX(Standings!$A$2:$C$33,MATCH(Table1[[#This Row],[AwayTeam]],Standings!$A$2:$A$33,0),2)&lt;&gt;INDEX(Standings!$A$2:$C$33,MATCH(Table1[[#This Row],[HomeTeam]],Standings!$A$2:$A$33,0),2),1,0)</f>
        <v>0</v>
      </c>
      <c r="AN454" s="64" t="str">
        <f>INDEX(Table2[AWAY_RECORD], MATCH(Table1[[#This Row],[AwayTeam]],Table2[Team], 0), 0)</f>
        <v>0-0-0</v>
      </c>
      <c r="AO454" s="64" t="str">
        <f>INDEX(Records!$B$2:$AG$33, MATCH(Table1[[#This Row],[AwayTeam]],Records!$A$2:$A$33, 0), MATCH(Table1[[#This Row],[HomeTeam]],Records!$A$2:$A$33, 0))</f>
        <v>0-0-0</v>
      </c>
      <c r="AP454" s="64" t="str">
        <f>INDEX(Table2[HOME_RECORD], MATCH(Table1[[#This Row],[HomeTeam]],Table2[Team], 0), 0)</f>
        <v>1-1-0</v>
      </c>
      <c r="AQ454" s="64" t="str">
        <f>INDEX(Records!$B$2:$AG$33, MATCH(Table1[[#This Row],[HomeTeam]],Records!$A$2:$A$33, 0), MATCH(Table1[[#This Row],[AwayTeam]],Records!$A$2:$A$33, 0))</f>
        <v>0-0-0</v>
      </c>
    </row>
    <row r="455" spans="1:43" x14ac:dyDescent="0.25">
      <c r="A455" s="1"/>
      <c r="D455" t="s">
        <v>697</v>
      </c>
      <c r="E455" t="s">
        <v>178</v>
      </c>
      <c r="F455" t="s">
        <v>704</v>
      </c>
      <c r="G455" t="s">
        <v>16</v>
      </c>
      <c r="H455" t="s">
        <v>48</v>
      </c>
      <c r="L45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5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55" s="1"/>
      <c r="T455" s="64" t="str">
        <f>IF(Table1[[#This Row],[ActualWinner]]="", "", IF(Table1[[#This Row],[AwayTeam]]=Table1[[#This Row],[ActualWinner]],Table1[[#This Row],[HomeTeam]],Table1[[#This Row],[AwayTeam]]))</f>
        <v/>
      </c>
      <c r="U455" s="64">
        <f>Table1[[#This Row],[ActualAwayScore]]-Table1[[#This Row],[PredictedAwayScore]]</f>
        <v>0</v>
      </c>
      <c r="V455" s="64">
        <f>Table1[[#This Row],[ActualHomeScore]]-Table1[[#This Row],[PredictedHomeScore]]</f>
        <v>0</v>
      </c>
      <c r="W455" s="64">
        <f>(0.8*IF(Table1[[#This Row],[CorrectWinnerPrediction]]=1, 1, 0))+(0.1*IF(Table1[[#This Row],[CorrectAwayScorePrediction]]=1, 1, 0))+(0.1*IF(Table1[[#This Row],[CorrectHomeScorePrediction]]=1, 1, 0))</f>
        <v>0</v>
      </c>
      <c r="X45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55" s="64">
        <f>SUMIF(Table1[GameDate], Table1[[#This Row],[GameDate]], Table1[AwayGameGoalDiff])</f>
        <v>0</v>
      </c>
      <c r="AA455" s="64">
        <f>SUMIF(Table1[GameDate], Table1[[#This Row],[GameDate]], Table1[HomeGameGoalDiff])</f>
        <v>0</v>
      </c>
      <c r="AB455" s="64">
        <f>IF(ISBLANK(Table1[[#This Row],[ActualResult]]), 0, 1)</f>
        <v>0</v>
      </c>
      <c r="AC455" s="64">
        <f>IF(ISBLANK(Table1[[#This Row],[ActualResult]]), 0, IF(Table1[[#This Row],[ActualWinner]]=Table1[[#This Row],[PredictedWinner]], 1, 0))</f>
        <v>0</v>
      </c>
      <c r="AD45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5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55" s="64">
        <f>IF(AND(Table1[[#This Row],[GameIsOver]]=1,Table1[[#This Row],[ActualAwayScore]]=0), 1,0)</f>
        <v>0</v>
      </c>
      <c r="AG455" s="64">
        <f>IF(AND(Table1[[#This Row],[GameIsOver]]=1,Table1[[#This Row],[ActualHomeScore]]=0), 1,0)</f>
        <v>0</v>
      </c>
      <c r="AH455" s="64">
        <f>IF(Table1[[#This Row],[GameIsOver]]=0,0,IF(Table1[[#This Row],[ActualWinner]]=Table1[[#This Row],[AwayTeam]], 1, 0))</f>
        <v>0</v>
      </c>
      <c r="AI455" s="64">
        <f>IF(Table1[[#This Row],[GameIsOver]]=0,0,IF(Table1[[#This Row],[ActualWinner]]=Table1[[#This Row],[HomeTeam]], 1, 0))</f>
        <v>0</v>
      </c>
      <c r="AJ455" s="64">
        <f>IF(INDEX(Standings!$A$2:$C$33,MATCH(Table1[[#This Row],[AwayTeam]],Standings!$A$2:$A$33,0),2)=INDEX(Standings!$A$2:$C$33,MATCH(Table1[[#This Row],[HomeTeam]],Standings!$A$2:$A$33,0),2),1,0)</f>
        <v>1</v>
      </c>
      <c r="AK455" s="64">
        <f>IF(INDEX(Standings!$A$2:$C$33,MATCH(Table1[[#This Row],[AwayTeam]],Standings!$A$2:$A$33,0),3)=INDEX(Standings!$A$2:$C$33,MATCH(Table1[[#This Row],[HomeTeam]],Standings!$A$2:$A$33,0),3),1,0)</f>
        <v>1</v>
      </c>
      <c r="AL455" s="64">
        <f>IF(Table1[[#This Row],[InterConf]]=1,IF(Table1[[#This Row],[InterDiv]]=0, 1, 0), 0)</f>
        <v>0</v>
      </c>
      <c r="AM455" s="64">
        <f>IF(INDEX(Standings!$A$2:$C$33,MATCH(Table1[[#This Row],[AwayTeam]],Standings!$A$2:$A$33,0),2)&lt;&gt;INDEX(Standings!$A$2:$C$33,MATCH(Table1[[#This Row],[HomeTeam]],Standings!$A$2:$A$33,0),2),1,0)</f>
        <v>0</v>
      </c>
      <c r="AN455" s="64" t="str">
        <f>INDEX(Table2[AWAY_RECORD], MATCH(Table1[[#This Row],[AwayTeam]],Table2[Team], 0), 0)</f>
        <v>1-0-1</v>
      </c>
      <c r="AO455" s="64" t="str">
        <f>INDEX(Records!$B$2:$AG$33, MATCH(Table1[[#This Row],[AwayTeam]],Records!$A$2:$A$33, 0), MATCH(Table1[[#This Row],[HomeTeam]],Records!$A$2:$A$33, 0))</f>
        <v>0-0-0</v>
      </c>
      <c r="AP455" s="64" t="str">
        <f>INDEX(Table2[HOME_RECORD], MATCH(Table1[[#This Row],[HomeTeam]],Table2[Team], 0), 0)</f>
        <v>1-0-0</v>
      </c>
      <c r="AQ455" s="64" t="str">
        <f>INDEX(Records!$B$2:$AG$33, MATCH(Table1[[#This Row],[HomeTeam]],Records!$A$2:$A$33, 0), MATCH(Table1[[#This Row],[AwayTeam]],Records!$A$2:$A$33, 0))</f>
        <v>0-0-0</v>
      </c>
    </row>
    <row r="456" spans="1:43" x14ac:dyDescent="0.25">
      <c r="A456" s="1"/>
      <c r="D456" t="s">
        <v>697</v>
      </c>
      <c r="E456" t="s">
        <v>178</v>
      </c>
      <c r="F456" t="s">
        <v>705</v>
      </c>
      <c r="G456" t="s">
        <v>38</v>
      </c>
      <c r="H456" t="s">
        <v>39</v>
      </c>
      <c r="L45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5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56" s="1"/>
      <c r="T456" s="64" t="str">
        <f>IF(Table1[[#This Row],[ActualWinner]]="", "", IF(Table1[[#This Row],[AwayTeam]]=Table1[[#This Row],[ActualWinner]],Table1[[#This Row],[HomeTeam]],Table1[[#This Row],[AwayTeam]]))</f>
        <v/>
      </c>
      <c r="U456" s="64">
        <f>Table1[[#This Row],[ActualAwayScore]]-Table1[[#This Row],[PredictedAwayScore]]</f>
        <v>0</v>
      </c>
      <c r="V456" s="64">
        <f>Table1[[#This Row],[ActualHomeScore]]-Table1[[#This Row],[PredictedHomeScore]]</f>
        <v>0</v>
      </c>
      <c r="W456" s="64">
        <f>(0.8*IF(Table1[[#This Row],[CorrectWinnerPrediction]]=1, 1, 0))+(0.1*IF(Table1[[#This Row],[CorrectAwayScorePrediction]]=1, 1, 0))+(0.1*IF(Table1[[#This Row],[CorrectHomeScorePrediction]]=1, 1, 0))</f>
        <v>0</v>
      </c>
      <c r="X45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56" s="64">
        <f>SUMIF(Table1[GameDate], Table1[[#This Row],[GameDate]], Table1[AwayGameGoalDiff])</f>
        <v>0</v>
      </c>
      <c r="AA456" s="64">
        <f>SUMIF(Table1[GameDate], Table1[[#This Row],[GameDate]], Table1[HomeGameGoalDiff])</f>
        <v>0</v>
      </c>
      <c r="AB456" s="64">
        <f>IF(ISBLANK(Table1[[#This Row],[ActualResult]]), 0, 1)</f>
        <v>0</v>
      </c>
      <c r="AC456" s="64">
        <f>IF(ISBLANK(Table1[[#This Row],[ActualResult]]), 0, IF(Table1[[#This Row],[ActualWinner]]=Table1[[#This Row],[PredictedWinner]], 1, 0))</f>
        <v>0</v>
      </c>
      <c r="AD45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5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56" s="64">
        <f>IF(AND(Table1[[#This Row],[GameIsOver]]=1,Table1[[#This Row],[ActualAwayScore]]=0), 1,0)</f>
        <v>0</v>
      </c>
      <c r="AG456" s="64">
        <f>IF(AND(Table1[[#This Row],[GameIsOver]]=1,Table1[[#This Row],[ActualHomeScore]]=0), 1,0)</f>
        <v>0</v>
      </c>
      <c r="AH456" s="64">
        <f>IF(Table1[[#This Row],[GameIsOver]]=0,0,IF(Table1[[#This Row],[ActualWinner]]=Table1[[#This Row],[AwayTeam]], 1, 0))</f>
        <v>0</v>
      </c>
      <c r="AI456" s="64">
        <f>IF(Table1[[#This Row],[GameIsOver]]=0,0,IF(Table1[[#This Row],[ActualWinner]]=Table1[[#This Row],[HomeTeam]], 1, 0))</f>
        <v>0</v>
      </c>
      <c r="AJ456" s="64">
        <f>IF(INDEX(Standings!$A$2:$C$33,MATCH(Table1[[#This Row],[AwayTeam]],Standings!$A$2:$A$33,0),2)=INDEX(Standings!$A$2:$C$33,MATCH(Table1[[#This Row],[HomeTeam]],Standings!$A$2:$A$33,0),2),1,0)</f>
        <v>0</v>
      </c>
      <c r="AK456" s="64">
        <f>IF(INDEX(Standings!$A$2:$C$33,MATCH(Table1[[#This Row],[AwayTeam]],Standings!$A$2:$A$33,0),3)=INDEX(Standings!$A$2:$C$33,MATCH(Table1[[#This Row],[HomeTeam]],Standings!$A$2:$A$33,0),3),1,0)</f>
        <v>0</v>
      </c>
      <c r="AL456" s="64">
        <f>IF(Table1[[#This Row],[InterConf]]=1,IF(Table1[[#This Row],[InterDiv]]=0, 1, 0), 0)</f>
        <v>0</v>
      </c>
      <c r="AM456" s="64">
        <f>IF(INDEX(Standings!$A$2:$C$33,MATCH(Table1[[#This Row],[AwayTeam]],Standings!$A$2:$A$33,0),2)&lt;&gt;INDEX(Standings!$A$2:$C$33,MATCH(Table1[[#This Row],[HomeTeam]],Standings!$A$2:$A$33,0),2),1,0)</f>
        <v>1</v>
      </c>
      <c r="AN456" s="64" t="str">
        <f>INDEX(Table2[AWAY_RECORD], MATCH(Table1[[#This Row],[AwayTeam]],Table2[Team], 0), 0)</f>
        <v>0-0-1</v>
      </c>
      <c r="AO456" s="64" t="str">
        <f>INDEX(Records!$B$2:$AG$33, MATCH(Table1[[#This Row],[AwayTeam]],Records!$A$2:$A$33, 0), MATCH(Table1[[#This Row],[HomeTeam]],Records!$A$2:$A$33, 0))</f>
        <v>0-0-0</v>
      </c>
      <c r="AP456" s="64" t="str">
        <f>INDEX(Table2[HOME_RECORD], MATCH(Table1[[#This Row],[HomeTeam]],Table2[Team], 0), 0)</f>
        <v>0-1-0</v>
      </c>
      <c r="AQ456" s="64" t="str">
        <f>INDEX(Records!$B$2:$AG$33, MATCH(Table1[[#This Row],[HomeTeam]],Records!$A$2:$A$33, 0), MATCH(Table1[[#This Row],[AwayTeam]],Records!$A$2:$A$33, 0))</f>
        <v>0-0-0</v>
      </c>
    </row>
    <row r="457" spans="1:43" x14ac:dyDescent="0.25">
      <c r="A457" s="1"/>
      <c r="D457" t="s">
        <v>697</v>
      </c>
      <c r="E457" t="s">
        <v>178</v>
      </c>
      <c r="F457" t="s">
        <v>706</v>
      </c>
      <c r="G457" t="s">
        <v>59</v>
      </c>
      <c r="H457" t="s">
        <v>45</v>
      </c>
      <c r="L45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5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57" s="1"/>
      <c r="T457" s="64" t="str">
        <f>IF(Table1[[#This Row],[ActualWinner]]="", "", IF(Table1[[#This Row],[AwayTeam]]=Table1[[#This Row],[ActualWinner]],Table1[[#This Row],[HomeTeam]],Table1[[#This Row],[AwayTeam]]))</f>
        <v/>
      </c>
      <c r="U457" s="64">
        <f>Table1[[#This Row],[ActualAwayScore]]-Table1[[#This Row],[PredictedAwayScore]]</f>
        <v>0</v>
      </c>
      <c r="V457" s="64">
        <f>Table1[[#This Row],[ActualHomeScore]]-Table1[[#This Row],[PredictedHomeScore]]</f>
        <v>0</v>
      </c>
      <c r="W457" s="64">
        <f>(0.8*IF(Table1[[#This Row],[CorrectWinnerPrediction]]=1, 1, 0))+(0.1*IF(Table1[[#This Row],[CorrectAwayScorePrediction]]=1, 1, 0))+(0.1*IF(Table1[[#This Row],[CorrectHomeScorePrediction]]=1, 1, 0))</f>
        <v>0</v>
      </c>
      <c r="X45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57" s="64">
        <f>SUMIF(Table1[GameDate], Table1[[#This Row],[GameDate]], Table1[AwayGameGoalDiff])</f>
        <v>0</v>
      </c>
      <c r="AA457" s="64">
        <f>SUMIF(Table1[GameDate], Table1[[#This Row],[GameDate]], Table1[HomeGameGoalDiff])</f>
        <v>0</v>
      </c>
      <c r="AB457" s="64">
        <f>IF(ISBLANK(Table1[[#This Row],[ActualResult]]), 0, 1)</f>
        <v>0</v>
      </c>
      <c r="AC457" s="64">
        <f>IF(ISBLANK(Table1[[#This Row],[ActualResult]]), 0, IF(Table1[[#This Row],[ActualWinner]]=Table1[[#This Row],[PredictedWinner]], 1, 0))</f>
        <v>0</v>
      </c>
      <c r="AD45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5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57" s="64">
        <f>IF(AND(Table1[[#This Row],[GameIsOver]]=1,Table1[[#This Row],[ActualAwayScore]]=0), 1,0)</f>
        <v>0</v>
      </c>
      <c r="AG457" s="64">
        <f>IF(AND(Table1[[#This Row],[GameIsOver]]=1,Table1[[#This Row],[ActualHomeScore]]=0), 1,0)</f>
        <v>0</v>
      </c>
      <c r="AH457" s="64">
        <f>IF(Table1[[#This Row],[GameIsOver]]=0,0,IF(Table1[[#This Row],[ActualWinner]]=Table1[[#This Row],[AwayTeam]], 1, 0))</f>
        <v>0</v>
      </c>
      <c r="AI457" s="64">
        <f>IF(Table1[[#This Row],[GameIsOver]]=0,0,IF(Table1[[#This Row],[ActualWinner]]=Table1[[#This Row],[HomeTeam]], 1, 0))</f>
        <v>0</v>
      </c>
      <c r="AJ457" s="64">
        <f>IF(INDEX(Standings!$A$2:$C$33,MATCH(Table1[[#This Row],[AwayTeam]],Standings!$A$2:$A$33,0),2)=INDEX(Standings!$A$2:$C$33,MATCH(Table1[[#This Row],[HomeTeam]],Standings!$A$2:$A$33,0),2),1,0)</f>
        <v>0</v>
      </c>
      <c r="AK457" s="64">
        <f>IF(INDEX(Standings!$A$2:$C$33,MATCH(Table1[[#This Row],[AwayTeam]],Standings!$A$2:$A$33,0),3)=INDEX(Standings!$A$2:$C$33,MATCH(Table1[[#This Row],[HomeTeam]],Standings!$A$2:$A$33,0),3),1,0)</f>
        <v>0</v>
      </c>
      <c r="AL457" s="64">
        <f>IF(Table1[[#This Row],[InterConf]]=1,IF(Table1[[#This Row],[InterDiv]]=0, 1, 0), 0)</f>
        <v>0</v>
      </c>
      <c r="AM457" s="64">
        <f>IF(INDEX(Standings!$A$2:$C$33,MATCH(Table1[[#This Row],[AwayTeam]],Standings!$A$2:$A$33,0),2)&lt;&gt;INDEX(Standings!$A$2:$C$33,MATCH(Table1[[#This Row],[HomeTeam]],Standings!$A$2:$A$33,0),2),1,0)</f>
        <v>1</v>
      </c>
      <c r="AN457" s="64" t="str">
        <f>INDEX(Table2[AWAY_RECORD], MATCH(Table1[[#This Row],[AwayTeam]],Table2[Team], 0), 0)</f>
        <v>0-1-0</v>
      </c>
      <c r="AO457" s="64" t="str">
        <f>INDEX(Records!$B$2:$AG$33, MATCH(Table1[[#This Row],[AwayTeam]],Records!$A$2:$A$33, 0), MATCH(Table1[[#This Row],[HomeTeam]],Records!$A$2:$A$33, 0))</f>
        <v>0-0-0</v>
      </c>
      <c r="AP457" s="64" t="str">
        <f>INDEX(Table2[HOME_RECORD], MATCH(Table1[[#This Row],[HomeTeam]],Table2[Team], 0), 0)</f>
        <v>1-0-0</v>
      </c>
      <c r="AQ457" s="64" t="str">
        <f>INDEX(Records!$B$2:$AG$33, MATCH(Table1[[#This Row],[HomeTeam]],Records!$A$2:$A$33, 0), MATCH(Table1[[#This Row],[AwayTeam]],Records!$A$2:$A$33, 0))</f>
        <v>0-0-0</v>
      </c>
    </row>
    <row r="458" spans="1:43" x14ac:dyDescent="0.25">
      <c r="A458" s="1"/>
      <c r="D458" t="s">
        <v>697</v>
      </c>
      <c r="E458" t="s">
        <v>593</v>
      </c>
      <c r="F458" t="s">
        <v>707</v>
      </c>
      <c r="G458" t="s">
        <v>43</v>
      </c>
      <c r="H458" t="s">
        <v>56</v>
      </c>
      <c r="L45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5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58" s="1"/>
      <c r="T458" s="64" t="str">
        <f>IF(Table1[[#This Row],[ActualWinner]]="", "", IF(Table1[[#This Row],[AwayTeam]]=Table1[[#This Row],[ActualWinner]],Table1[[#This Row],[HomeTeam]],Table1[[#This Row],[AwayTeam]]))</f>
        <v/>
      </c>
      <c r="U458" s="64">
        <f>Table1[[#This Row],[ActualAwayScore]]-Table1[[#This Row],[PredictedAwayScore]]</f>
        <v>0</v>
      </c>
      <c r="V458" s="64">
        <f>Table1[[#This Row],[ActualHomeScore]]-Table1[[#This Row],[PredictedHomeScore]]</f>
        <v>0</v>
      </c>
      <c r="W458" s="64">
        <f>(0.8*IF(Table1[[#This Row],[CorrectWinnerPrediction]]=1, 1, 0))+(0.1*IF(Table1[[#This Row],[CorrectAwayScorePrediction]]=1, 1, 0))+(0.1*IF(Table1[[#This Row],[CorrectHomeScorePrediction]]=1, 1, 0))</f>
        <v>0</v>
      </c>
      <c r="X45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58" s="64">
        <f>SUMIF(Table1[GameDate], Table1[[#This Row],[GameDate]], Table1[AwayGameGoalDiff])</f>
        <v>0</v>
      </c>
      <c r="AA458" s="64">
        <f>SUMIF(Table1[GameDate], Table1[[#This Row],[GameDate]], Table1[HomeGameGoalDiff])</f>
        <v>0</v>
      </c>
      <c r="AB458" s="64">
        <f>IF(ISBLANK(Table1[[#This Row],[ActualResult]]), 0, 1)</f>
        <v>0</v>
      </c>
      <c r="AC458" s="64">
        <f>IF(ISBLANK(Table1[[#This Row],[ActualResult]]), 0, IF(Table1[[#This Row],[ActualWinner]]=Table1[[#This Row],[PredictedWinner]], 1, 0))</f>
        <v>0</v>
      </c>
      <c r="AD45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5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58" s="64">
        <f>IF(AND(Table1[[#This Row],[GameIsOver]]=1,Table1[[#This Row],[ActualAwayScore]]=0), 1,0)</f>
        <v>0</v>
      </c>
      <c r="AG458" s="64">
        <f>IF(AND(Table1[[#This Row],[GameIsOver]]=1,Table1[[#This Row],[ActualHomeScore]]=0), 1,0)</f>
        <v>0</v>
      </c>
      <c r="AH458" s="64">
        <f>IF(Table1[[#This Row],[GameIsOver]]=0,0,IF(Table1[[#This Row],[ActualWinner]]=Table1[[#This Row],[AwayTeam]], 1, 0))</f>
        <v>0</v>
      </c>
      <c r="AI458" s="64">
        <f>IF(Table1[[#This Row],[GameIsOver]]=0,0,IF(Table1[[#This Row],[ActualWinner]]=Table1[[#This Row],[HomeTeam]], 1, 0))</f>
        <v>0</v>
      </c>
      <c r="AJ458" s="64">
        <f>IF(INDEX(Standings!$A$2:$C$33,MATCH(Table1[[#This Row],[AwayTeam]],Standings!$A$2:$A$33,0),2)=INDEX(Standings!$A$2:$C$33,MATCH(Table1[[#This Row],[HomeTeam]],Standings!$A$2:$A$33,0),2),1,0)</f>
        <v>1</v>
      </c>
      <c r="AK458" s="64">
        <f>IF(INDEX(Standings!$A$2:$C$33,MATCH(Table1[[#This Row],[AwayTeam]],Standings!$A$2:$A$33,0),3)=INDEX(Standings!$A$2:$C$33,MATCH(Table1[[#This Row],[HomeTeam]],Standings!$A$2:$A$33,0),3),1,0)</f>
        <v>0</v>
      </c>
      <c r="AL458" s="64">
        <f>IF(Table1[[#This Row],[InterConf]]=1,IF(Table1[[#This Row],[InterDiv]]=0, 1, 0), 0)</f>
        <v>1</v>
      </c>
      <c r="AM458" s="64">
        <f>IF(INDEX(Standings!$A$2:$C$33,MATCH(Table1[[#This Row],[AwayTeam]],Standings!$A$2:$A$33,0),2)&lt;&gt;INDEX(Standings!$A$2:$C$33,MATCH(Table1[[#This Row],[HomeTeam]],Standings!$A$2:$A$33,0),2),1,0)</f>
        <v>0</v>
      </c>
      <c r="AN458" s="64" t="str">
        <f>INDEX(Table2[AWAY_RECORD], MATCH(Table1[[#This Row],[AwayTeam]],Table2[Team], 0), 0)</f>
        <v>0-0-0</v>
      </c>
      <c r="AO458" s="64" t="str">
        <f>INDEX(Records!$B$2:$AG$33, MATCH(Table1[[#This Row],[AwayTeam]],Records!$A$2:$A$33, 0), MATCH(Table1[[#This Row],[HomeTeam]],Records!$A$2:$A$33, 0))</f>
        <v>0-0-0</v>
      </c>
      <c r="AP458" s="64" t="str">
        <f>INDEX(Table2[HOME_RECORD], MATCH(Table1[[#This Row],[HomeTeam]],Table2[Team], 0), 0)</f>
        <v>0-0-0</v>
      </c>
      <c r="AQ458" s="64" t="str">
        <f>INDEX(Records!$B$2:$AG$33, MATCH(Table1[[#This Row],[HomeTeam]],Records!$A$2:$A$33, 0), MATCH(Table1[[#This Row],[AwayTeam]],Records!$A$2:$A$33, 0))</f>
        <v>0-0-0</v>
      </c>
    </row>
    <row r="459" spans="1:43" x14ac:dyDescent="0.25">
      <c r="A459" s="1"/>
      <c r="D459" t="s">
        <v>708</v>
      </c>
      <c r="E459" t="s">
        <v>298</v>
      </c>
      <c r="F459" t="s">
        <v>709</v>
      </c>
      <c r="G459" t="s">
        <v>58</v>
      </c>
      <c r="H459" t="s">
        <v>25</v>
      </c>
      <c r="L45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5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59" s="1"/>
      <c r="T459" s="64" t="str">
        <f>IF(Table1[[#This Row],[ActualWinner]]="", "", IF(Table1[[#This Row],[AwayTeam]]=Table1[[#This Row],[ActualWinner]],Table1[[#This Row],[HomeTeam]],Table1[[#This Row],[AwayTeam]]))</f>
        <v/>
      </c>
      <c r="U459" s="64">
        <f>Table1[[#This Row],[ActualAwayScore]]-Table1[[#This Row],[PredictedAwayScore]]</f>
        <v>0</v>
      </c>
      <c r="V459" s="64">
        <f>Table1[[#This Row],[ActualHomeScore]]-Table1[[#This Row],[PredictedHomeScore]]</f>
        <v>0</v>
      </c>
      <c r="W459" s="64">
        <f>(0.8*IF(Table1[[#This Row],[CorrectWinnerPrediction]]=1, 1, 0))+(0.1*IF(Table1[[#This Row],[CorrectAwayScorePrediction]]=1, 1, 0))+(0.1*IF(Table1[[#This Row],[CorrectHomeScorePrediction]]=1, 1, 0))</f>
        <v>0</v>
      </c>
      <c r="X45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59" s="64">
        <f>SUMIF(Table1[GameDate], Table1[[#This Row],[GameDate]], Table1[AwayGameGoalDiff])</f>
        <v>0</v>
      </c>
      <c r="AA459" s="64">
        <f>SUMIF(Table1[GameDate], Table1[[#This Row],[GameDate]], Table1[HomeGameGoalDiff])</f>
        <v>0</v>
      </c>
      <c r="AB459" s="64">
        <f>IF(ISBLANK(Table1[[#This Row],[ActualResult]]), 0, 1)</f>
        <v>0</v>
      </c>
      <c r="AC459" s="64">
        <f>IF(ISBLANK(Table1[[#This Row],[ActualResult]]), 0, IF(Table1[[#This Row],[ActualWinner]]=Table1[[#This Row],[PredictedWinner]], 1, 0))</f>
        <v>0</v>
      </c>
      <c r="AD45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5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59" s="64">
        <f>IF(AND(Table1[[#This Row],[GameIsOver]]=1,Table1[[#This Row],[ActualAwayScore]]=0), 1,0)</f>
        <v>0</v>
      </c>
      <c r="AG459" s="64">
        <f>IF(AND(Table1[[#This Row],[GameIsOver]]=1,Table1[[#This Row],[ActualHomeScore]]=0), 1,0)</f>
        <v>0</v>
      </c>
      <c r="AH459" s="64">
        <f>IF(Table1[[#This Row],[GameIsOver]]=0,0,IF(Table1[[#This Row],[ActualWinner]]=Table1[[#This Row],[AwayTeam]], 1, 0))</f>
        <v>0</v>
      </c>
      <c r="AI459" s="64">
        <f>IF(Table1[[#This Row],[GameIsOver]]=0,0,IF(Table1[[#This Row],[ActualWinner]]=Table1[[#This Row],[HomeTeam]], 1, 0))</f>
        <v>0</v>
      </c>
      <c r="AJ459" s="64">
        <f>IF(INDEX(Standings!$A$2:$C$33,MATCH(Table1[[#This Row],[AwayTeam]],Standings!$A$2:$A$33,0),2)=INDEX(Standings!$A$2:$C$33,MATCH(Table1[[#This Row],[HomeTeam]],Standings!$A$2:$A$33,0),2),1,0)</f>
        <v>1</v>
      </c>
      <c r="AK459" s="64">
        <f>IF(INDEX(Standings!$A$2:$C$33,MATCH(Table1[[#This Row],[AwayTeam]],Standings!$A$2:$A$33,0),3)=INDEX(Standings!$A$2:$C$33,MATCH(Table1[[#This Row],[HomeTeam]],Standings!$A$2:$A$33,0),3),1,0)</f>
        <v>0</v>
      </c>
      <c r="AL459" s="64">
        <f>IF(Table1[[#This Row],[InterConf]]=1,IF(Table1[[#This Row],[InterDiv]]=0, 1, 0), 0)</f>
        <v>1</v>
      </c>
      <c r="AM459" s="64">
        <f>IF(INDEX(Standings!$A$2:$C$33,MATCH(Table1[[#This Row],[AwayTeam]],Standings!$A$2:$A$33,0),2)&lt;&gt;INDEX(Standings!$A$2:$C$33,MATCH(Table1[[#This Row],[HomeTeam]],Standings!$A$2:$A$33,0),2),1,0)</f>
        <v>0</v>
      </c>
      <c r="AN459" s="64" t="str">
        <f>INDEX(Table2[AWAY_RECORD], MATCH(Table1[[#This Row],[AwayTeam]],Table2[Team], 0), 0)</f>
        <v>0-0-0</v>
      </c>
      <c r="AO459" s="64" t="str">
        <f>INDEX(Records!$B$2:$AG$33, MATCH(Table1[[#This Row],[AwayTeam]],Records!$A$2:$A$33, 0), MATCH(Table1[[#This Row],[HomeTeam]],Records!$A$2:$A$33, 0))</f>
        <v>0-0-0</v>
      </c>
      <c r="AP459" s="64" t="str">
        <f>INDEX(Table2[HOME_RECORD], MATCH(Table1[[#This Row],[HomeTeam]],Table2[Team], 0), 0)</f>
        <v>0-0-1</v>
      </c>
      <c r="AQ459" s="64" t="str">
        <f>INDEX(Records!$B$2:$AG$33, MATCH(Table1[[#This Row],[HomeTeam]],Records!$A$2:$A$33, 0), MATCH(Table1[[#This Row],[AwayTeam]],Records!$A$2:$A$33, 0))</f>
        <v>0-0-0</v>
      </c>
    </row>
    <row r="460" spans="1:43" x14ac:dyDescent="0.25">
      <c r="A460" s="1"/>
      <c r="D460" t="s">
        <v>708</v>
      </c>
      <c r="E460" t="s">
        <v>298</v>
      </c>
      <c r="F460" t="s">
        <v>710</v>
      </c>
      <c r="G460" t="s">
        <v>22</v>
      </c>
      <c r="H460" t="s">
        <v>46</v>
      </c>
      <c r="L46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6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60" s="1"/>
      <c r="T460" s="64" t="str">
        <f>IF(Table1[[#This Row],[ActualWinner]]="", "", IF(Table1[[#This Row],[AwayTeam]]=Table1[[#This Row],[ActualWinner]],Table1[[#This Row],[HomeTeam]],Table1[[#This Row],[AwayTeam]]))</f>
        <v/>
      </c>
      <c r="U460" s="64">
        <f>Table1[[#This Row],[ActualAwayScore]]-Table1[[#This Row],[PredictedAwayScore]]</f>
        <v>0</v>
      </c>
      <c r="V460" s="64">
        <f>Table1[[#This Row],[ActualHomeScore]]-Table1[[#This Row],[PredictedHomeScore]]</f>
        <v>0</v>
      </c>
      <c r="W460" s="64">
        <f>(0.8*IF(Table1[[#This Row],[CorrectWinnerPrediction]]=1, 1, 0))+(0.1*IF(Table1[[#This Row],[CorrectAwayScorePrediction]]=1, 1, 0))+(0.1*IF(Table1[[#This Row],[CorrectHomeScorePrediction]]=1, 1, 0))</f>
        <v>0</v>
      </c>
      <c r="X46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60" s="64">
        <f>SUMIF(Table1[GameDate], Table1[[#This Row],[GameDate]], Table1[AwayGameGoalDiff])</f>
        <v>0</v>
      </c>
      <c r="AA460" s="64">
        <f>SUMIF(Table1[GameDate], Table1[[#This Row],[GameDate]], Table1[HomeGameGoalDiff])</f>
        <v>0</v>
      </c>
      <c r="AB460" s="64">
        <f>IF(ISBLANK(Table1[[#This Row],[ActualResult]]), 0, 1)</f>
        <v>0</v>
      </c>
      <c r="AC460" s="64">
        <f>IF(ISBLANK(Table1[[#This Row],[ActualResult]]), 0, IF(Table1[[#This Row],[ActualWinner]]=Table1[[#This Row],[PredictedWinner]], 1, 0))</f>
        <v>0</v>
      </c>
      <c r="AD46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6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60" s="64">
        <f>IF(AND(Table1[[#This Row],[GameIsOver]]=1,Table1[[#This Row],[ActualAwayScore]]=0), 1,0)</f>
        <v>0</v>
      </c>
      <c r="AG460" s="64">
        <f>IF(AND(Table1[[#This Row],[GameIsOver]]=1,Table1[[#This Row],[ActualHomeScore]]=0), 1,0)</f>
        <v>0</v>
      </c>
      <c r="AH460" s="64">
        <f>IF(Table1[[#This Row],[GameIsOver]]=0,0,IF(Table1[[#This Row],[ActualWinner]]=Table1[[#This Row],[AwayTeam]], 1, 0))</f>
        <v>0</v>
      </c>
      <c r="AI460" s="64">
        <f>IF(Table1[[#This Row],[GameIsOver]]=0,0,IF(Table1[[#This Row],[ActualWinner]]=Table1[[#This Row],[HomeTeam]], 1, 0))</f>
        <v>0</v>
      </c>
      <c r="AJ460" s="64">
        <f>IF(INDEX(Standings!$A$2:$C$33,MATCH(Table1[[#This Row],[AwayTeam]],Standings!$A$2:$A$33,0),2)=INDEX(Standings!$A$2:$C$33,MATCH(Table1[[#This Row],[HomeTeam]],Standings!$A$2:$A$33,0),2),1,0)</f>
        <v>1</v>
      </c>
      <c r="AK460" s="64">
        <f>IF(INDEX(Standings!$A$2:$C$33,MATCH(Table1[[#This Row],[AwayTeam]],Standings!$A$2:$A$33,0),3)=INDEX(Standings!$A$2:$C$33,MATCH(Table1[[#This Row],[HomeTeam]],Standings!$A$2:$A$33,0),3),1,0)</f>
        <v>0</v>
      </c>
      <c r="AL460" s="64">
        <f>IF(Table1[[#This Row],[InterConf]]=1,IF(Table1[[#This Row],[InterDiv]]=0, 1, 0), 0)</f>
        <v>1</v>
      </c>
      <c r="AM460" s="64">
        <f>IF(INDEX(Standings!$A$2:$C$33,MATCH(Table1[[#This Row],[AwayTeam]],Standings!$A$2:$A$33,0),2)&lt;&gt;INDEX(Standings!$A$2:$C$33,MATCH(Table1[[#This Row],[HomeTeam]],Standings!$A$2:$A$33,0),2),1,0)</f>
        <v>0</v>
      </c>
      <c r="AN460" s="64" t="str">
        <f>INDEX(Table2[AWAY_RECORD], MATCH(Table1[[#This Row],[AwayTeam]],Table2[Team], 0), 0)</f>
        <v>0-0-1</v>
      </c>
      <c r="AO460" s="64" t="str">
        <f>INDEX(Records!$B$2:$AG$33, MATCH(Table1[[#This Row],[AwayTeam]],Records!$A$2:$A$33, 0), MATCH(Table1[[#This Row],[HomeTeam]],Records!$A$2:$A$33, 0))</f>
        <v>0-0-0</v>
      </c>
      <c r="AP460" s="64" t="str">
        <f>INDEX(Table2[HOME_RECORD], MATCH(Table1[[#This Row],[HomeTeam]],Table2[Team], 0), 0)</f>
        <v>0-0-0</v>
      </c>
      <c r="AQ460" s="64" t="str">
        <f>INDEX(Records!$B$2:$AG$33, MATCH(Table1[[#This Row],[HomeTeam]],Records!$A$2:$A$33, 0), MATCH(Table1[[#This Row],[AwayTeam]],Records!$A$2:$A$33, 0))</f>
        <v>0-0-0</v>
      </c>
    </row>
    <row r="461" spans="1:43" x14ac:dyDescent="0.25">
      <c r="A461" s="1"/>
      <c r="D461" t="s">
        <v>708</v>
      </c>
      <c r="E461" t="s">
        <v>162</v>
      </c>
      <c r="F461" t="s">
        <v>711</v>
      </c>
      <c r="G461" t="s">
        <v>55</v>
      </c>
      <c r="H461" t="s">
        <v>50</v>
      </c>
      <c r="L46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6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61" s="1"/>
      <c r="T461" s="64" t="str">
        <f>IF(Table1[[#This Row],[ActualWinner]]="", "", IF(Table1[[#This Row],[AwayTeam]]=Table1[[#This Row],[ActualWinner]],Table1[[#This Row],[HomeTeam]],Table1[[#This Row],[AwayTeam]]))</f>
        <v/>
      </c>
      <c r="U461" s="64">
        <f>Table1[[#This Row],[ActualAwayScore]]-Table1[[#This Row],[PredictedAwayScore]]</f>
        <v>0</v>
      </c>
      <c r="V461" s="64">
        <f>Table1[[#This Row],[ActualHomeScore]]-Table1[[#This Row],[PredictedHomeScore]]</f>
        <v>0</v>
      </c>
      <c r="W461" s="64">
        <f>(0.8*IF(Table1[[#This Row],[CorrectWinnerPrediction]]=1, 1, 0))+(0.1*IF(Table1[[#This Row],[CorrectAwayScorePrediction]]=1, 1, 0))+(0.1*IF(Table1[[#This Row],[CorrectHomeScorePrediction]]=1, 1, 0))</f>
        <v>0</v>
      </c>
      <c r="X46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61" s="64">
        <f>SUMIF(Table1[GameDate], Table1[[#This Row],[GameDate]], Table1[AwayGameGoalDiff])</f>
        <v>0</v>
      </c>
      <c r="AA461" s="64">
        <f>SUMIF(Table1[GameDate], Table1[[#This Row],[GameDate]], Table1[HomeGameGoalDiff])</f>
        <v>0</v>
      </c>
      <c r="AB461" s="64">
        <f>IF(ISBLANK(Table1[[#This Row],[ActualResult]]), 0, 1)</f>
        <v>0</v>
      </c>
      <c r="AC461" s="64">
        <f>IF(ISBLANK(Table1[[#This Row],[ActualResult]]), 0, IF(Table1[[#This Row],[ActualWinner]]=Table1[[#This Row],[PredictedWinner]], 1, 0))</f>
        <v>0</v>
      </c>
      <c r="AD46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6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61" s="64">
        <f>IF(AND(Table1[[#This Row],[GameIsOver]]=1,Table1[[#This Row],[ActualAwayScore]]=0), 1,0)</f>
        <v>0</v>
      </c>
      <c r="AG461" s="64">
        <f>IF(AND(Table1[[#This Row],[GameIsOver]]=1,Table1[[#This Row],[ActualHomeScore]]=0), 1,0)</f>
        <v>0</v>
      </c>
      <c r="AH461" s="64">
        <f>IF(Table1[[#This Row],[GameIsOver]]=0,0,IF(Table1[[#This Row],[ActualWinner]]=Table1[[#This Row],[AwayTeam]], 1, 0))</f>
        <v>0</v>
      </c>
      <c r="AI461" s="64">
        <f>IF(Table1[[#This Row],[GameIsOver]]=0,0,IF(Table1[[#This Row],[ActualWinner]]=Table1[[#This Row],[HomeTeam]], 1, 0))</f>
        <v>0</v>
      </c>
      <c r="AJ461" s="64">
        <f>IF(INDEX(Standings!$A$2:$C$33,MATCH(Table1[[#This Row],[AwayTeam]],Standings!$A$2:$A$33,0),2)=INDEX(Standings!$A$2:$C$33,MATCH(Table1[[#This Row],[HomeTeam]],Standings!$A$2:$A$33,0),2),1,0)</f>
        <v>0</v>
      </c>
      <c r="AK461" s="64">
        <f>IF(INDEX(Standings!$A$2:$C$33,MATCH(Table1[[#This Row],[AwayTeam]],Standings!$A$2:$A$33,0),3)=INDEX(Standings!$A$2:$C$33,MATCH(Table1[[#This Row],[HomeTeam]],Standings!$A$2:$A$33,0),3),1,0)</f>
        <v>0</v>
      </c>
      <c r="AL461" s="64">
        <f>IF(Table1[[#This Row],[InterConf]]=1,IF(Table1[[#This Row],[InterDiv]]=0, 1, 0), 0)</f>
        <v>0</v>
      </c>
      <c r="AM461" s="64">
        <f>IF(INDEX(Standings!$A$2:$C$33,MATCH(Table1[[#This Row],[AwayTeam]],Standings!$A$2:$A$33,0),2)&lt;&gt;INDEX(Standings!$A$2:$C$33,MATCH(Table1[[#This Row],[HomeTeam]],Standings!$A$2:$A$33,0),2),1,0)</f>
        <v>1</v>
      </c>
      <c r="AN461" s="64" t="str">
        <f>INDEX(Table2[AWAY_RECORD], MATCH(Table1[[#This Row],[AwayTeam]],Table2[Team], 0), 0)</f>
        <v>0-0-0</v>
      </c>
      <c r="AO461" s="64" t="str">
        <f>INDEX(Records!$B$2:$AG$33, MATCH(Table1[[#This Row],[AwayTeam]],Records!$A$2:$A$33, 0), MATCH(Table1[[#This Row],[HomeTeam]],Records!$A$2:$A$33, 0))</f>
        <v>0-0-0</v>
      </c>
      <c r="AP461" s="64" t="str">
        <f>INDEX(Table2[HOME_RECORD], MATCH(Table1[[#This Row],[HomeTeam]],Table2[Team], 0), 0)</f>
        <v>0-0-0</v>
      </c>
      <c r="AQ461" s="64" t="str">
        <f>INDEX(Records!$B$2:$AG$33, MATCH(Table1[[#This Row],[HomeTeam]],Records!$A$2:$A$33, 0), MATCH(Table1[[#This Row],[AwayTeam]],Records!$A$2:$A$33, 0))</f>
        <v>0-0-0</v>
      </c>
    </row>
    <row r="462" spans="1:43" x14ac:dyDescent="0.25">
      <c r="A462" s="1"/>
      <c r="D462" t="s">
        <v>708</v>
      </c>
      <c r="E462" t="s">
        <v>178</v>
      </c>
      <c r="F462" t="s">
        <v>712</v>
      </c>
      <c r="G462" t="s">
        <v>16</v>
      </c>
      <c r="H462" t="s">
        <v>61</v>
      </c>
      <c r="L46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6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62" s="1"/>
      <c r="T462" s="64" t="str">
        <f>IF(Table1[[#This Row],[ActualWinner]]="", "", IF(Table1[[#This Row],[AwayTeam]]=Table1[[#This Row],[ActualWinner]],Table1[[#This Row],[HomeTeam]],Table1[[#This Row],[AwayTeam]]))</f>
        <v/>
      </c>
      <c r="U462" s="64">
        <f>Table1[[#This Row],[ActualAwayScore]]-Table1[[#This Row],[PredictedAwayScore]]</f>
        <v>0</v>
      </c>
      <c r="V462" s="64">
        <f>Table1[[#This Row],[ActualHomeScore]]-Table1[[#This Row],[PredictedHomeScore]]</f>
        <v>0</v>
      </c>
      <c r="W462" s="64">
        <f>(0.8*IF(Table1[[#This Row],[CorrectWinnerPrediction]]=1, 1, 0))+(0.1*IF(Table1[[#This Row],[CorrectAwayScorePrediction]]=1, 1, 0))+(0.1*IF(Table1[[#This Row],[CorrectHomeScorePrediction]]=1, 1, 0))</f>
        <v>0</v>
      </c>
      <c r="X46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62" s="64">
        <f>SUMIF(Table1[GameDate], Table1[[#This Row],[GameDate]], Table1[AwayGameGoalDiff])</f>
        <v>0</v>
      </c>
      <c r="AA462" s="64">
        <f>SUMIF(Table1[GameDate], Table1[[#This Row],[GameDate]], Table1[HomeGameGoalDiff])</f>
        <v>0</v>
      </c>
      <c r="AB462" s="64">
        <f>IF(ISBLANK(Table1[[#This Row],[ActualResult]]), 0, 1)</f>
        <v>0</v>
      </c>
      <c r="AC462" s="64">
        <f>IF(ISBLANK(Table1[[#This Row],[ActualResult]]), 0, IF(Table1[[#This Row],[ActualWinner]]=Table1[[#This Row],[PredictedWinner]], 1, 0))</f>
        <v>0</v>
      </c>
      <c r="AD46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6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62" s="64">
        <f>IF(AND(Table1[[#This Row],[GameIsOver]]=1,Table1[[#This Row],[ActualAwayScore]]=0), 1,0)</f>
        <v>0</v>
      </c>
      <c r="AG462" s="64">
        <f>IF(AND(Table1[[#This Row],[GameIsOver]]=1,Table1[[#This Row],[ActualHomeScore]]=0), 1,0)</f>
        <v>0</v>
      </c>
      <c r="AH462" s="64">
        <f>IF(Table1[[#This Row],[GameIsOver]]=0,0,IF(Table1[[#This Row],[ActualWinner]]=Table1[[#This Row],[AwayTeam]], 1, 0))</f>
        <v>0</v>
      </c>
      <c r="AI462" s="64">
        <f>IF(Table1[[#This Row],[GameIsOver]]=0,0,IF(Table1[[#This Row],[ActualWinner]]=Table1[[#This Row],[HomeTeam]], 1, 0))</f>
        <v>0</v>
      </c>
      <c r="AJ462" s="64">
        <f>IF(INDEX(Standings!$A$2:$C$33,MATCH(Table1[[#This Row],[AwayTeam]],Standings!$A$2:$A$33,0),2)=INDEX(Standings!$A$2:$C$33,MATCH(Table1[[#This Row],[HomeTeam]],Standings!$A$2:$A$33,0),2),1,0)</f>
        <v>1</v>
      </c>
      <c r="AK462" s="64">
        <f>IF(INDEX(Standings!$A$2:$C$33,MATCH(Table1[[#This Row],[AwayTeam]],Standings!$A$2:$A$33,0),3)=INDEX(Standings!$A$2:$C$33,MATCH(Table1[[#This Row],[HomeTeam]],Standings!$A$2:$A$33,0),3),1,0)</f>
        <v>1</v>
      </c>
      <c r="AL462" s="64">
        <f>IF(Table1[[#This Row],[InterConf]]=1,IF(Table1[[#This Row],[InterDiv]]=0, 1, 0), 0)</f>
        <v>0</v>
      </c>
      <c r="AM462" s="64">
        <f>IF(INDEX(Standings!$A$2:$C$33,MATCH(Table1[[#This Row],[AwayTeam]],Standings!$A$2:$A$33,0),2)&lt;&gt;INDEX(Standings!$A$2:$C$33,MATCH(Table1[[#This Row],[HomeTeam]],Standings!$A$2:$A$33,0),2),1,0)</f>
        <v>0</v>
      </c>
      <c r="AN462" s="64" t="str">
        <f>INDEX(Table2[AWAY_RECORD], MATCH(Table1[[#This Row],[AwayTeam]],Table2[Team], 0), 0)</f>
        <v>1-0-1</v>
      </c>
      <c r="AO462" s="64" t="str">
        <f>INDEX(Records!$B$2:$AG$33, MATCH(Table1[[#This Row],[AwayTeam]],Records!$A$2:$A$33, 0), MATCH(Table1[[#This Row],[HomeTeam]],Records!$A$2:$A$33, 0))</f>
        <v>0-0-0</v>
      </c>
      <c r="AP462" s="64" t="str">
        <f>INDEX(Table2[HOME_RECORD], MATCH(Table1[[#This Row],[HomeTeam]],Table2[Team], 0), 0)</f>
        <v>0-0-0</v>
      </c>
      <c r="AQ462" s="64" t="str">
        <f>INDEX(Records!$B$2:$AG$33, MATCH(Table1[[#This Row],[HomeTeam]],Records!$A$2:$A$33, 0), MATCH(Table1[[#This Row],[AwayTeam]],Records!$A$2:$A$33, 0))</f>
        <v>0-0-0</v>
      </c>
    </row>
    <row r="463" spans="1:43" x14ac:dyDescent="0.25">
      <c r="A463" s="1"/>
      <c r="D463" t="s">
        <v>708</v>
      </c>
      <c r="E463" t="s">
        <v>164</v>
      </c>
      <c r="F463" t="s">
        <v>713</v>
      </c>
      <c r="G463" t="s">
        <v>38</v>
      </c>
      <c r="H463" t="s">
        <v>23</v>
      </c>
      <c r="L46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6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63" s="1"/>
      <c r="T463" s="64" t="str">
        <f>IF(Table1[[#This Row],[ActualWinner]]="", "", IF(Table1[[#This Row],[AwayTeam]]=Table1[[#This Row],[ActualWinner]],Table1[[#This Row],[HomeTeam]],Table1[[#This Row],[AwayTeam]]))</f>
        <v/>
      </c>
      <c r="U463" s="64">
        <f>Table1[[#This Row],[ActualAwayScore]]-Table1[[#This Row],[PredictedAwayScore]]</f>
        <v>0</v>
      </c>
      <c r="V463" s="64">
        <f>Table1[[#This Row],[ActualHomeScore]]-Table1[[#This Row],[PredictedHomeScore]]</f>
        <v>0</v>
      </c>
      <c r="W463" s="64">
        <f>(0.8*IF(Table1[[#This Row],[CorrectWinnerPrediction]]=1, 1, 0))+(0.1*IF(Table1[[#This Row],[CorrectAwayScorePrediction]]=1, 1, 0))+(0.1*IF(Table1[[#This Row],[CorrectHomeScorePrediction]]=1, 1, 0))</f>
        <v>0</v>
      </c>
      <c r="X46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63" s="64">
        <f>SUMIF(Table1[GameDate], Table1[[#This Row],[GameDate]], Table1[AwayGameGoalDiff])</f>
        <v>0</v>
      </c>
      <c r="AA463" s="64">
        <f>SUMIF(Table1[GameDate], Table1[[#This Row],[GameDate]], Table1[HomeGameGoalDiff])</f>
        <v>0</v>
      </c>
      <c r="AB463" s="64">
        <f>IF(ISBLANK(Table1[[#This Row],[ActualResult]]), 0, 1)</f>
        <v>0</v>
      </c>
      <c r="AC463" s="64">
        <f>IF(ISBLANK(Table1[[#This Row],[ActualResult]]), 0, IF(Table1[[#This Row],[ActualWinner]]=Table1[[#This Row],[PredictedWinner]], 1, 0))</f>
        <v>0</v>
      </c>
      <c r="AD46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6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63" s="64">
        <f>IF(AND(Table1[[#This Row],[GameIsOver]]=1,Table1[[#This Row],[ActualAwayScore]]=0), 1,0)</f>
        <v>0</v>
      </c>
      <c r="AG463" s="64">
        <f>IF(AND(Table1[[#This Row],[GameIsOver]]=1,Table1[[#This Row],[ActualHomeScore]]=0), 1,0)</f>
        <v>0</v>
      </c>
      <c r="AH463" s="64">
        <f>IF(Table1[[#This Row],[GameIsOver]]=0,0,IF(Table1[[#This Row],[ActualWinner]]=Table1[[#This Row],[AwayTeam]], 1, 0))</f>
        <v>0</v>
      </c>
      <c r="AI463" s="64">
        <f>IF(Table1[[#This Row],[GameIsOver]]=0,0,IF(Table1[[#This Row],[ActualWinner]]=Table1[[#This Row],[HomeTeam]], 1, 0))</f>
        <v>0</v>
      </c>
      <c r="AJ463" s="64">
        <f>IF(INDEX(Standings!$A$2:$C$33,MATCH(Table1[[#This Row],[AwayTeam]],Standings!$A$2:$A$33,0),2)=INDEX(Standings!$A$2:$C$33,MATCH(Table1[[#This Row],[HomeTeam]],Standings!$A$2:$A$33,0),2),1,0)</f>
        <v>0</v>
      </c>
      <c r="AK463" s="64">
        <f>IF(INDEX(Standings!$A$2:$C$33,MATCH(Table1[[#This Row],[AwayTeam]],Standings!$A$2:$A$33,0),3)=INDEX(Standings!$A$2:$C$33,MATCH(Table1[[#This Row],[HomeTeam]],Standings!$A$2:$A$33,0),3),1,0)</f>
        <v>0</v>
      </c>
      <c r="AL463" s="64">
        <f>IF(Table1[[#This Row],[InterConf]]=1,IF(Table1[[#This Row],[InterDiv]]=0, 1, 0), 0)</f>
        <v>0</v>
      </c>
      <c r="AM463" s="64">
        <f>IF(INDEX(Standings!$A$2:$C$33,MATCH(Table1[[#This Row],[AwayTeam]],Standings!$A$2:$A$33,0),2)&lt;&gt;INDEX(Standings!$A$2:$C$33,MATCH(Table1[[#This Row],[HomeTeam]],Standings!$A$2:$A$33,0),2),1,0)</f>
        <v>1</v>
      </c>
      <c r="AN463" s="64" t="str">
        <f>INDEX(Table2[AWAY_RECORD], MATCH(Table1[[#This Row],[AwayTeam]],Table2[Team], 0), 0)</f>
        <v>0-0-1</v>
      </c>
      <c r="AO463" s="64" t="str">
        <f>INDEX(Records!$B$2:$AG$33, MATCH(Table1[[#This Row],[AwayTeam]],Records!$A$2:$A$33, 0), MATCH(Table1[[#This Row],[HomeTeam]],Records!$A$2:$A$33, 0))</f>
        <v>0-0-0</v>
      </c>
      <c r="AP463" s="64" t="str">
        <f>INDEX(Table2[HOME_RECORD], MATCH(Table1[[#This Row],[HomeTeam]],Table2[Team], 0), 0)</f>
        <v>0-0-1</v>
      </c>
      <c r="AQ463" s="64" t="str">
        <f>INDEX(Records!$B$2:$AG$33, MATCH(Table1[[#This Row],[HomeTeam]],Records!$A$2:$A$33, 0), MATCH(Table1[[#This Row],[AwayTeam]],Records!$A$2:$A$33, 0))</f>
        <v>0-0-0</v>
      </c>
    </row>
    <row r="464" spans="1:43" x14ac:dyDescent="0.25">
      <c r="A464" s="1"/>
      <c r="D464" t="s">
        <v>714</v>
      </c>
      <c r="E464" t="s">
        <v>298</v>
      </c>
      <c r="F464" t="s">
        <v>715</v>
      </c>
      <c r="G464" t="s">
        <v>56</v>
      </c>
      <c r="H464" t="s">
        <v>36</v>
      </c>
      <c r="L46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6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64" s="1"/>
      <c r="T464" s="64" t="str">
        <f>IF(Table1[[#This Row],[ActualWinner]]="", "", IF(Table1[[#This Row],[AwayTeam]]=Table1[[#This Row],[ActualWinner]],Table1[[#This Row],[HomeTeam]],Table1[[#This Row],[AwayTeam]]))</f>
        <v/>
      </c>
      <c r="U464" s="64">
        <f>Table1[[#This Row],[ActualAwayScore]]-Table1[[#This Row],[PredictedAwayScore]]</f>
        <v>0</v>
      </c>
      <c r="V464" s="64">
        <f>Table1[[#This Row],[ActualHomeScore]]-Table1[[#This Row],[PredictedHomeScore]]</f>
        <v>0</v>
      </c>
      <c r="W464" s="64">
        <f>(0.8*IF(Table1[[#This Row],[CorrectWinnerPrediction]]=1, 1, 0))+(0.1*IF(Table1[[#This Row],[CorrectAwayScorePrediction]]=1, 1, 0))+(0.1*IF(Table1[[#This Row],[CorrectHomeScorePrediction]]=1, 1, 0))</f>
        <v>0</v>
      </c>
      <c r="X46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64" s="64">
        <f>SUMIF(Table1[GameDate], Table1[[#This Row],[GameDate]], Table1[AwayGameGoalDiff])</f>
        <v>0</v>
      </c>
      <c r="AA464" s="64">
        <f>SUMIF(Table1[GameDate], Table1[[#This Row],[GameDate]], Table1[HomeGameGoalDiff])</f>
        <v>0</v>
      </c>
      <c r="AB464" s="64">
        <f>IF(ISBLANK(Table1[[#This Row],[ActualResult]]), 0, 1)</f>
        <v>0</v>
      </c>
      <c r="AC464" s="64">
        <f>IF(ISBLANK(Table1[[#This Row],[ActualResult]]), 0, IF(Table1[[#This Row],[ActualWinner]]=Table1[[#This Row],[PredictedWinner]], 1, 0))</f>
        <v>0</v>
      </c>
      <c r="AD46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6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64" s="64">
        <f>IF(AND(Table1[[#This Row],[GameIsOver]]=1,Table1[[#This Row],[ActualAwayScore]]=0), 1,0)</f>
        <v>0</v>
      </c>
      <c r="AG464" s="64">
        <f>IF(AND(Table1[[#This Row],[GameIsOver]]=1,Table1[[#This Row],[ActualHomeScore]]=0), 1,0)</f>
        <v>0</v>
      </c>
      <c r="AH464" s="64">
        <f>IF(Table1[[#This Row],[GameIsOver]]=0,0,IF(Table1[[#This Row],[ActualWinner]]=Table1[[#This Row],[AwayTeam]], 1, 0))</f>
        <v>0</v>
      </c>
      <c r="AI464" s="64">
        <f>IF(Table1[[#This Row],[GameIsOver]]=0,0,IF(Table1[[#This Row],[ActualWinner]]=Table1[[#This Row],[HomeTeam]], 1, 0))</f>
        <v>0</v>
      </c>
      <c r="AJ464" s="64">
        <f>IF(INDEX(Standings!$A$2:$C$33,MATCH(Table1[[#This Row],[AwayTeam]],Standings!$A$2:$A$33,0),2)=INDEX(Standings!$A$2:$C$33,MATCH(Table1[[#This Row],[HomeTeam]],Standings!$A$2:$A$33,0),2),1,0)</f>
        <v>1</v>
      </c>
      <c r="AK464" s="64">
        <f>IF(INDEX(Standings!$A$2:$C$33,MATCH(Table1[[#This Row],[AwayTeam]],Standings!$A$2:$A$33,0),3)=INDEX(Standings!$A$2:$C$33,MATCH(Table1[[#This Row],[HomeTeam]],Standings!$A$2:$A$33,0),3),1,0)</f>
        <v>1</v>
      </c>
      <c r="AL464" s="64">
        <f>IF(Table1[[#This Row],[InterConf]]=1,IF(Table1[[#This Row],[InterDiv]]=0, 1, 0), 0)</f>
        <v>0</v>
      </c>
      <c r="AM464" s="64">
        <f>IF(INDEX(Standings!$A$2:$C$33,MATCH(Table1[[#This Row],[AwayTeam]],Standings!$A$2:$A$33,0),2)&lt;&gt;INDEX(Standings!$A$2:$C$33,MATCH(Table1[[#This Row],[HomeTeam]],Standings!$A$2:$A$33,0),2),1,0)</f>
        <v>0</v>
      </c>
      <c r="AN464" s="64" t="str">
        <f>INDEX(Table2[AWAY_RECORD], MATCH(Table1[[#This Row],[AwayTeam]],Table2[Team], 0), 0)</f>
        <v>1-0-0</v>
      </c>
      <c r="AO464" s="64" t="str">
        <f>INDEX(Records!$B$2:$AG$33, MATCH(Table1[[#This Row],[AwayTeam]],Records!$A$2:$A$33, 0), MATCH(Table1[[#This Row],[HomeTeam]],Records!$A$2:$A$33, 0))</f>
        <v>0-0-0</v>
      </c>
      <c r="AP464" s="64" t="str">
        <f>INDEX(Table2[HOME_RECORD], MATCH(Table1[[#This Row],[HomeTeam]],Table2[Team], 0), 0)</f>
        <v>0-0-0</v>
      </c>
      <c r="AQ464" s="64" t="str">
        <f>INDEX(Records!$B$2:$AG$33, MATCH(Table1[[#This Row],[HomeTeam]],Records!$A$2:$A$33, 0), MATCH(Table1[[#This Row],[AwayTeam]],Records!$A$2:$A$33, 0))</f>
        <v>0-0-0</v>
      </c>
    </row>
    <row r="465" spans="1:43" x14ac:dyDescent="0.25">
      <c r="A465" s="1"/>
      <c r="D465" t="s">
        <v>714</v>
      </c>
      <c r="E465" t="s">
        <v>432</v>
      </c>
      <c r="F465" t="s">
        <v>716</v>
      </c>
      <c r="G465" t="s">
        <v>44</v>
      </c>
      <c r="H465" t="s">
        <v>37</v>
      </c>
      <c r="L46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6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65" s="1"/>
      <c r="T465" s="64" t="str">
        <f>IF(Table1[[#This Row],[ActualWinner]]="", "", IF(Table1[[#This Row],[AwayTeam]]=Table1[[#This Row],[ActualWinner]],Table1[[#This Row],[HomeTeam]],Table1[[#This Row],[AwayTeam]]))</f>
        <v/>
      </c>
      <c r="U465" s="64">
        <f>Table1[[#This Row],[ActualAwayScore]]-Table1[[#This Row],[PredictedAwayScore]]</f>
        <v>0</v>
      </c>
      <c r="V465" s="64">
        <f>Table1[[#This Row],[ActualHomeScore]]-Table1[[#This Row],[PredictedHomeScore]]</f>
        <v>0</v>
      </c>
      <c r="W465" s="64">
        <f>(0.8*IF(Table1[[#This Row],[CorrectWinnerPrediction]]=1, 1, 0))+(0.1*IF(Table1[[#This Row],[CorrectAwayScorePrediction]]=1, 1, 0))+(0.1*IF(Table1[[#This Row],[CorrectHomeScorePrediction]]=1, 1, 0))</f>
        <v>0</v>
      </c>
      <c r="X46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65" s="64">
        <f>SUMIF(Table1[GameDate], Table1[[#This Row],[GameDate]], Table1[AwayGameGoalDiff])</f>
        <v>0</v>
      </c>
      <c r="AA465" s="64">
        <f>SUMIF(Table1[GameDate], Table1[[#This Row],[GameDate]], Table1[HomeGameGoalDiff])</f>
        <v>0</v>
      </c>
      <c r="AB465" s="64">
        <f>IF(ISBLANK(Table1[[#This Row],[ActualResult]]), 0, 1)</f>
        <v>0</v>
      </c>
      <c r="AC465" s="64">
        <f>IF(ISBLANK(Table1[[#This Row],[ActualResult]]), 0, IF(Table1[[#This Row],[ActualWinner]]=Table1[[#This Row],[PredictedWinner]], 1, 0))</f>
        <v>0</v>
      </c>
      <c r="AD46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6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65" s="64">
        <f>IF(AND(Table1[[#This Row],[GameIsOver]]=1,Table1[[#This Row],[ActualAwayScore]]=0), 1,0)</f>
        <v>0</v>
      </c>
      <c r="AG465" s="64">
        <f>IF(AND(Table1[[#This Row],[GameIsOver]]=1,Table1[[#This Row],[ActualHomeScore]]=0), 1,0)</f>
        <v>0</v>
      </c>
      <c r="AH465" s="64">
        <f>IF(Table1[[#This Row],[GameIsOver]]=0,0,IF(Table1[[#This Row],[ActualWinner]]=Table1[[#This Row],[AwayTeam]], 1, 0))</f>
        <v>0</v>
      </c>
      <c r="AI465" s="64">
        <f>IF(Table1[[#This Row],[GameIsOver]]=0,0,IF(Table1[[#This Row],[ActualWinner]]=Table1[[#This Row],[HomeTeam]], 1, 0))</f>
        <v>0</v>
      </c>
      <c r="AJ465" s="64">
        <f>IF(INDEX(Standings!$A$2:$C$33,MATCH(Table1[[#This Row],[AwayTeam]],Standings!$A$2:$A$33,0),2)=INDEX(Standings!$A$2:$C$33,MATCH(Table1[[#This Row],[HomeTeam]],Standings!$A$2:$A$33,0),2),1,0)</f>
        <v>1</v>
      </c>
      <c r="AK465" s="64">
        <f>IF(INDEX(Standings!$A$2:$C$33,MATCH(Table1[[#This Row],[AwayTeam]],Standings!$A$2:$A$33,0),3)=INDEX(Standings!$A$2:$C$33,MATCH(Table1[[#This Row],[HomeTeam]],Standings!$A$2:$A$33,0),3),1,0)</f>
        <v>1</v>
      </c>
      <c r="AL465" s="64">
        <f>IF(Table1[[#This Row],[InterConf]]=1,IF(Table1[[#This Row],[InterDiv]]=0, 1, 0), 0)</f>
        <v>0</v>
      </c>
      <c r="AM465" s="64">
        <f>IF(INDEX(Standings!$A$2:$C$33,MATCH(Table1[[#This Row],[AwayTeam]],Standings!$A$2:$A$33,0),2)&lt;&gt;INDEX(Standings!$A$2:$C$33,MATCH(Table1[[#This Row],[HomeTeam]],Standings!$A$2:$A$33,0),2),1,0)</f>
        <v>0</v>
      </c>
      <c r="AN465" s="64" t="str">
        <f>INDEX(Table2[AWAY_RECORD], MATCH(Table1[[#This Row],[AwayTeam]],Table2[Team], 0), 0)</f>
        <v>0-0-0</v>
      </c>
      <c r="AO465" s="64" t="str">
        <f>INDEX(Records!$B$2:$AG$33, MATCH(Table1[[#This Row],[AwayTeam]],Records!$A$2:$A$33, 0), MATCH(Table1[[#This Row],[HomeTeam]],Records!$A$2:$A$33, 0))</f>
        <v>0-0-0</v>
      </c>
      <c r="AP465" s="64" t="str">
        <f>INDEX(Table2[HOME_RECORD], MATCH(Table1[[#This Row],[HomeTeam]],Table2[Team], 0), 0)</f>
        <v>0-1-0</v>
      </c>
      <c r="AQ465" s="64" t="str">
        <f>INDEX(Records!$B$2:$AG$33, MATCH(Table1[[#This Row],[HomeTeam]],Records!$A$2:$A$33, 0), MATCH(Table1[[#This Row],[AwayTeam]],Records!$A$2:$A$33, 0))</f>
        <v>0-0-0</v>
      </c>
    </row>
    <row r="466" spans="1:43" x14ac:dyDescent="0.25">
      <c r="A466" s="1"/>
      <c r="D466" t="s">
        <v>714</v>
      </c>
      <c r="E466" t="s">
        <v>432</v>
      </c>
      <c r="F466" t="s">
        <v>717</v>
      </c>
      <c r="G466" t="s">
        <v>17</v>
      </c>
      <c r="H466" t="s">
        <v>47</v>
      </c>
      <c r="L46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6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66" s="1"/>
      <c r="T466" s="64" t="str">
        <f>IF(Table1[[#This Row],[ActualWinner]]="", "", IF(Table1[[#This Row],[AwayTeam]]=Table1[[#This Row],[ActualWinner]],Table1[[#This Row],[HomeTeam]],Table1[[#This Row],[AwayTeam]]))</f>
        <v/>
      </c>
      <c r="U466" s="64">
        <f>Table1[[#This Row],[ActualAwayScore]]-Table1[[#This Row],[PredictedAwayScore]]</f>
        <v>0</v>
      </c>
      <c r="V466" s="64">
        <f>Table1[[#This Row],[ActualHomeScore]]-Table1[[#This Row],[PredictedHomeScore]]</f>
        <v>0</v>
      </c>
      <c r="W466" s="64">
        <f>(0.8*IF(Table1[[#This Row],[CorrectWinnerPrediction]]=1, 1, 0))+(0.1*IF(Table1[[#This Row],[CorrectAwayScorePrediction]]=1, 1, 0))+(0.1*IF(Table1[[#This Row],[CorrectHomeScorePrediction]]=1, 1, 0))</f>
        <v>0</v>
      </c>
      <c r="X46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66" s="64">
        <f>SUMIF(Table1[GameDate], Table1[[#This Row],[GameDate]], Table1[AwayGameGoalDiff])</f>
        <v>0</v>
      </c>
      <c r="AA466" s="64">
        <f>SUMIF(Table1[GameDate], Table1[[#This Row],[GameDate]], Table1[HomeGameGoalDiff])</f>
        <v>0</v>
      </c>
      <c r="AB466" s="64">
        <f>IF(ISBLANK(Table1[[#This Row],[ActualResult]]), 0, 1)</f>
        <v>0</v>
      </c>
      <c r="AC466" s="64">
        <f>IF(ISBLANK(Table1[[#This Row],[ActualResult]]), 0, IF(Table1[[#This Row],[ActualWinner]]=Table1[[#This Row],[PredictedWinner]], 1, 0))</f>
        <v>0</v>
      </c>
      <c r="AD46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6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66" s="64">
        <f>IF(AND(Table1[[#This Row],[GameIsOver]]=1,Table1[[#This Row],[ActualAwayScore]]=0), 1,0)</f>
        <v>0</v>
      </c>
      <c r="AG466" s="64">
        <f>IF(AND(Table1[[#This Row],[GameIsOver]]=1,Table1[[#This Row],[ActualHomeScore]]=0), 1,0)</f>
        <v>0</v>
      </c>
      <c r="AH466" s="64">
        <f>IF(Table1[[#This Row],[GameIsOver]]=0,0,IF(Table1[[#This Row],[ActualWinner]]=Table1[[#This Row],[AwayTeam]], 1, 0))</f>
        <v>0</v>
      </c>
      <c r="AI466" s="64">
        <f>IF(Table1[[#This Row],[GameIsOver]]=0,0,IF(Table1[[#This Row],[ActualWinner]]=Table1[[#This Row],[HomeTeam]], 1, 0))</f>
        <v>0</v>
      </c>
      <c r="AJ466" s="64">
        <f>IF(INDEX(Standings!$A$2:$C$33,MATCH(Table1[[#This Row],[AwayTeam]],Standings!$A$2:$A$33,0),2)=INDEX(Standings!$A$2:$C$33,MATCH(Table1[[#This Row],[HomeTeam]],Standings!$A$2:$A$33,0),2),1,0)</f>
        <v>1</v>
      </c>
      <c r="AK466" s="64">
        <f>IF(INDEX(Standings!$A$2:$C$33,MATCH(Table1[[#This Row],[AwayTeam]],Standings!$A$2:$A$33,0),3)=INDEX(Standings!$A$2:$C$33,MATCH(Table1[[#This Row],[HomeTeam]],Standings!$A$2:$A$33,0),3),1,0)</f>
        <v>1</v>
      </c>
      <c r="AL466" s="64">
        <f>IF(Table1[[#This Row],[InterConf]]=1,IF(Table1[[#This Row],[InterDiv]]=0, 1, 0), 0)</f>
        <v>0</v>
      </c>
      <c r="AM466" s="64">
        <f>IF(INDEX(Standings!$A$2:$C$33,MATCH(Table1[[#This Row],[AwayTeam]],Standings!$A$2:$A$33,0),2)&lt;&gt;INDEX(Standings!$A$2:$C$33,MATCH(Table1[[#This Row],[HomeTeam]],Standings!$A$2:$A$33,0),2),1,0)</f>
        <v>0</v>
      </c>
      <c r="AN466" s="64" t="str">
        <f>INDEX(Table2[AWAY_RECORD], MATCH(Table1[[#This Row],[AwayTeam]],Table2[Team], 0), 0)</f>
        <v>2-0-0</v>
      </c>
      <c r="AO466" s="64" t="str">
        <f>INDEX(Records!$B$2:$AG$33, MATCH(Table1[[#This Row],[AwayTeam]],Records!$A$2:$A$33, 0), MATCH(Table1[[#This Row],[HomeTeam]],Records!$A$2:$A$33, 0))</f>
        <v>0-0-0</v>
      </c>
      <c r="AP466" s="64" t="str">
        <f>INDEX(Table2[HOME_RECORD], MATCH(Table1[[#This Row],[HomeTeam]],Table2[Team], 0), 0)</f>
        <v>0-0-0</v>
      </c>
      <c r="AQ466" s="64" t="str">
        <f>INDEX(Records!$B$2:$AG$33, MATCH(Table1[[#This Row],[HomeTeam]],Records!$A$2:$A$33, 0), MATCH(Table1[[#This Row],[AwayTeam]],Records!$A$2:$A$33, 0))</f>
        <v>0-0-0</v>
      </c>
    </row>
    <row r="467" spans="1:43" x14ac:dyDescent="0.25">
      <c r="A467" s="1"/>
      <c r="D467" t="s">
        <v>714</v>
      </c>
      <c r="E467" t="s">
        <v>386</v>
      </c>
      <c r="F467" t="s">
        <v>718</v>
      </c>
      <c r="G467" t="s">
        <v>42</v>
      </c>
      <c r="H467" t="s">
        <v>48</v>
      </c>
      <c r="L46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6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67" s="1"/>
      <c r="T467" s="64" t="str">
        <f>IF(Table1[[#This Row],[ActualWinner]]="", "", IF(Table1[[#This Row],[AwayTeam]]=Table1[[#This Row],[ActualWinner]],Table1[[#This Row],[HomeTeam]],Table1[[#This Row],[AwayTeam]]))</f>
        <v/>
      </c>
      <c r="U467" s="64">
        <f>Table1[[#This Row],[ActualAwayScore]]-Table1[[#This Row],[PredictedAwayScore]]</f>
        <v>0</v>
      </c>
      <c r="V467" s="64">
        <f>Table1[[#This Row],[ActualHomeScore]]-Table1[[#This Row],[PredictedHomeScore]]</f>
        <v>0</v>
      </c>
      <c r="W467" s="64">
        <f>(0.8*IF(Table1[[#This Row],[CorrectWinnerPrediction]]=1, 1, 0))+(0.1*IF(Table1[[#This Row],[CorrectAwayScorePrediction]]=1, 1, 0))+(0.1*IF(Table1[[#This Row],[CorrectHomeScorePrediction]]=1, 1, 0))</f>
        <v>0</v>
      </c>
      <c r="X46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67" s="64">
        <f>SUMIF(Table1[GameDate], Table1[[#This Row],[GameDate]], Table1[AwayGameGoalDiff])</f>
        <v>0</v>
      </c>
      <c r="AA467" s="64">
        <f>SUMIF(Table1[GameDate], Table1[[#This Row],[GameDate]], Table1[HomeGameGoalDiff])</f>
        <v>0</v>
      </c>
      <c r="AB467" s="64">
        <f>IF(ISBLANK(Table1[[#This Row],[ActualResult]]), 0, 1)</f>
        <v>0</v>
      </c>
      <c r="AC467" s="64">
        <f>IF(ISBLANK(Table1[[#This Row],[ActualResult]]), 0, IF(Table1[[#This Row],[ActualWinner]]=Table1[[#This Row],[PredictedWinner]], 1, 0))</f>
        <v>0</v>
      </c>
      <c r="AD46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6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67" s="64">
        <f>IF(AND(Table1[[#This Row],[GameIsOver]]=1,Table1[[#This Row],[ActualAwayScore]]=0), 1,0)</f>
        <v>0</v>
      </c>
      <c r="AG467" s="64">
        <f>IF(AND(Table1[[#This Row],[GameIsOver]]=1,Table1[[#This Row],[ActualHomeScore]]=0), 1,0)</f>
        <v>0</v>
      </c>
      <c r="AH467" s="64">
        <f>IF(Table1[[#This Row],[GameIsOver]]=0,0,IF(Table1[[#This Row],[ActualWinner]]=Table1[[#This Row],[AwayTeam]], 1, 0))</f>
        <v>0</v>
      </c>
      <c r="AI467" s="64">
        <f>IF(Table1[[#This Row],[GameIsOver]]=0,0,IF(Table1[[#This Row],[ActualWinner]]=Table1[[#This Row],[HomeTeam]], 1, 0))</f>
        <v>0</v>
      </c>
      <c r="AJ467" s="64">
        <f>IF(INDEX(Standings!$A$2:$C$33,MATCH(Table1[[#This Row],[AwayTeam]],Standings!$A$2:$A$33,0),2)=INDEX(Standings!$A$2:$C$33,MATCH(Table1[[#This Row],[HomeTeam]],Standings!$A$2:$A$33,0),2),1,0)</f>
        <v>0</v>
      </c>
      <c r="AK467" s="64">
        <f>IF(INDEX(Standings!$A$2:$C$33,MATCH(Table1[[#This Row],[AwayTeam]],Standings!$A$2:$A$33,0),3)=INDEX(Standings!$A$2:$C$33,MATCH(Table1[[#This Row],[HomeTeam]],Standings!$A$2:$A$33,0),3),1,0)</f>
        <v>0</v>
      </c>
      <c r="AL467" s="64">
        <f>IF(Table1[[#This Row],[InterConf]]=1,IF(Table1[[#This Row],[InterDiv]]=0, 1, 0), 0)</f>
        <v>0</v>
      </c>
      <c r="AM467" s="64">
        <f>IF(INDEX(Standings!$A$2:$C$33,MATCH(Table1[[#This Row],[AwayTeam]],Standings!$A$2:$A$33,0),2)&lt;&gt;INDEX(Standings!$A$2:$C$33,MATCH(Table1[[#This Row],[HomeTeam]],Standings!$A$2:$A$33,0),2),1,0)</f>
        <v>1</v>
      </c>
      <c r="AN467" s="64" t="str">
        <f>INDEX(Table2[AWAY_RECORD], MATCH(Table1[[#This Row],[AwayTeam]],Table2[Team], 0), 0)</f>
        <v>0-0-0</v>
      </c>
      <c r="AO467" s="64" t="str">
        <f>INDEX(Records!$B$2:$AG$33, MATCH(Table1[[#This Row],[AwayTeam]],Records!$A$2:$A$33, 0), MATCH(Table1[[#This Row],[HomeTeam]],Records!$A$2:$A$33, 0))</f>
        <v>0-0-0</v>
      </c>
      <c r="AP467" s="64" t="str">
        <f>INDEX(Table2[HOME_RECORD], MATCH(Table1[[#This Row],[HomeTeam]],Table2[Team], 0), 0)</f>
        <v>1-0-0</v>
      </c>
      <c r="AQ467" s="64" t="str">
        <f>INDEX(Records!$B$2:$AG$33, MATCH(Table1[[#This Row],[HomeTeam]],Records!$A$2:$A$33, 0), MATCH(Table1[[#This Row],[AwayTeam]],Records!$A$2:$A$33, 0))</f>
        <v>0-0-0</v>
      </c>
    </row>
    <row r="468" spans="1:43" x14ac:dyDescent="0.25">
      <c r="A468" s="1"/>
      <c r="D468" t="s">
        <v>714</v>
      </c>
      <c r="E468" t="s">
        <v>252</v>
      </c>
      <c r="F468" t="s">
        <v>719</v>
      </c>
      <c r="G468" t="s">
        <v>49</v>
      </c>
      <c r="H468" t="s">
        <v>54</v>
      </c>
      <c r="L46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6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68" s="1"/>
      <c r="T468" s="64" t="str">
        <f>IF(Table1[[#This Row],[ActualWinner]]="", "", IF(Table1[[#This Row],[AwayTeam]]=Table1[[#This Row],[ActualWinner]],Table1[[#This Row],[HomeTeam]],Table1[[#This Row],[AwayTeam]]))</f>
        <v/>
      </c>
      <c r="U468" s="64">
        <f>Table1[[#This Row],[ActualAwayScore]]-Table1[[#This Row],[PredictedAwayScore]]</f>
        <v>0</v>
      </c>
      <c r="V468" s="64">
        <f>Table1[[#This Row],[ActualHomeScore]]-Table1[[#This Row],[PredictedHomeScore]]</f>
        <v>0</v>
      </c>
      <c r="W468" s="64">
        <f>(0.8*IF(Table1[[#This Row],[CorrectWinnerPrediction]]=1, 1, 0))+(0.1*IF(Table1[[#This Row],[CorrectAwayScorePrediction]]=1, 1, 0))+(0.1*IF(Table1[[#This Row],[CorrectHomeScorePrediction]]=1, 1, 0))</f>
        <v>0</v>
      </c>
      <c r="X46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68" s="64">
        <f>SUMIF(Table1[GameDate], Table1[[#This Row],[GameDate]], Table1[AwayGameGoalDiff])</f>
        <v>0</v>
      </c>
      <c r="AA468" s="64">
        <f>SUMIF(Table1[GameDate], Table1[[#This Row],[GameDate]], Table1[HomeGameGoalDiff])</f>
        <v>0</v>
      </c>
      <c r="AB468" s="64">
        <f>IF(ISBLANK(Table1[[#This Row],[ActualResult]]), 0, 1)</f>
        <v>0</v>
      </c>
      <c r="AC468" s="64">
        <f>IF(ISBLANK(Table1[[#This Row],[ActualResult]]), 0, IF(Table1[[#This Row],[ActualWinner]]=Table1[[#This Row],[PredictedWinner]], 1, 0))</f>
        <v>0</v>
      </c>
      <c r="AD46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6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68" s="64">
        <f>IF(AND(Table1[[#This Row],[GameIsOver]]=1,Table1[[#This Row],[ActualAwayScore]]=0), 1,0)</f>
        <v>0</v>
      </c>
      <c r="AG468" s="64">
        <f>IF(AND(Table1[[#This Row],[GameIsOver]]=1,Table1[[#This Row],[ActualHomeScore]]=0), 1,0)</f>
        <v>0</v>
      </c>
      <c r="AH468" s="64">
        <f>IF(Table1[[#This Row],[GameIsOver]]=0,0,IF(Table1[[#This Row],[ActualWinner]]=Table1[[#This Row],[AwayTeam]], 1, 0))</f>
        <v>0</v>
      </c>
      <c r="AI468" s="64">
        <f>IF(Table1[[#This Row],[GameIsOver]]=0,0,IF(Table1[[#This Row],[ActualWinner]]=Table1[[#This Row],[HomeTeam]], 1, 0))</f>
        <v>0</v>
      </c>
      <c r="AJ468" s="64">
        <f>IF(INDEX(Standings!$A$2:$C$33,MATCH(Table1[[#This Row],[AwayTeam]],Standings!$A$2:$A$33,0),2)=INDEX(Standings!$A$2:$C$33,MATCH(Table1[[#This Row],[HomeTeam]],Standings!$A$2:$A$33,0),2),1,0)</f>
        <v>1</v>
      </c>
      <c r="AK468" s="64">
        <f>IF(INDEX(Standings!$A$2:$C$33,MATCH(Table1[[#This Row],[AwayTeam]],Standings!$A$2:$A$33,0),3)=INDEX(Standings!$A$2:$C$33,MATCH(Table1[[#This Row],[HomeTeam]],Standings!$A$2:$A$33,0),3),1,0)</f>
        <v>1</v>
      </c>
      <c r="AL468" s="64">
        <f>IF(Table1[[#This Row],[InterConf]]=1,IF(Table1[[#This Row],[InterDiv]]=0, 1, 0), 0)</f>
        <v>0</v>
      </c>
      <c r="AM468" s="64">
        <f>IF(INDEX(Standings!$A$2:$C$33,MATCH(Table1[[#This Row],[AwayTeam]],Standings!$A$2:$A$33,0),2)&lt;&gt;INDEX(Standings!$A$2:$C$33,MATCH(Table1[[#This Row],[HomeTeam]],Standings!$A$2:$A$33,0),2),1,0)</f>
        <v>0</v>
      </c>
      <c r="AN468" s="64" t="str">
        <f>INDEX(Table2[AWAY_RECORD], MATCH(Table1[[#This Row],[AwayTeam]],Table2[Team], 0), 0)</f>
        <v>0-0-0</v>
      </c>
      <c r="AO468" s="64" t="str">
        <f>INDEX(Records!$B$2:$AG$33, MATCH(Table1[[#This Row],[AwayTeam]],Records!$A$2:$A$33, 0), MATCH(Table1[[#This Row],[HomeTeam]],Records!$A$2:$A$33, 0))</f>
        <v>0-0-0</v>
      </c>
      <c r="AP468" s="64" t="str">
        <f>INDEX(Table2[HOME_RECORD], MATCH(Table1[[#This Row],[HomeTeam]],Table2[Team], 0), 0)</f>
        <v>0-0-0</v>
      </c>
      <c r="AQ468" s="64" t="str">
        <f>INDEX(Records!$B$2:$AG$33, MATCH(Table1[[#This Row],[HomeTeam]],Records!$A$2:$A$33, 0), MATCH(Table1[[#This Row],[AwayTeam]],Records!$A$2:$A$33, 0))</f>
        <v>0-0-0</v>
      </c>
    </row>
    <row r="469" spans="1:43" x14ac:dyDescent="0.25">
      <c r="A469" s="1"/>
      <c r="D469" t="s">
        <v>714</v>
      </c>
      <c r="E469" t="s">
        <v>443</v>
      </c>
      <c r="F469" t="s">
        <v>720</v>
      </c>
      <c r="G469" t="s">
        <v>59</v>
      </c>
      <c r="H469" t="s">
        <v>39</v>
      </c>
      <c r="L46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6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69" s="1"/>
      <c r="T469" s="64" t="str">
        <f>IF(Table1[[#This Row],[ActualWinner]]="", "", IF(Table1[[#This Row],[AwayTeam]]=Table1[[#This Row],[ActualWinner]],Table1[[#This Row],[HomeTeam]],Table1[[#This Row],[AwayTeam]]))</f>
        <v/>
      </c>
      <c r="U469" s="64">
        <f>Table1[[#This Row],[ActualAwayScore]]-Table1[[#This Row],[PredictedAwayScore]]</f>
        <v>0</v>
      </c>
      <c r="V469" s="64">
        <f>Table1[[#This Row],[ActualHomeScore]]-Table1[[#This Row],[PredictedHomeScore]]</f>
        <v>0</v>
      </c>
      <c r="W469" s="64">
        <f>(0.8*IF(Table1[[#This Row],[CorrectWinnerPrediction]]=1, 1, 0))+(0.1*IF(Table1[[#This Row],[CorrectAwayScorePrediction]]=1, 1, 0))+(0.1*IF(Table1[[#This Row],[CorrectHomeScorePrediction]]=1, 1, 0))</f>
        <v>0</v>
      </c>
      <c r="X46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69" s="64">
        <f>SUMIF(Table1[GameDate], Table1[[#This Row],[GameDate]], Table1[AwayGameGoalDiff])</f>
        <v>0</v>
      </c>
      <c r="AA469" s="64">
        <f>SUMIF(Table1[GameDate], Table1[[#This Row],[GameDate]], Table1[HomeGameGoalDiff])</f>
        <v>0</v>
      </c>
      <c r="AB469" s="64">
        <f>IF(ISBLANK(Table1[[#This Row],[ActualResult]]), 0, 1)</f>
        <v>0</v>
      </c>
      <c r="AC469" s="64">
        <f>IF(ISBLANK(Table1[[#This Row],[ActualResult]]), 0, IF(Table1[[#This Row],[ActualWinner]]=Table1[[#This Row],[PredictedWinner]], 1, 0))</f>
        <v>0</v>
      </c>
      <c r="AD46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6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69" s="64">
        <f>IF(AND(Table1[[#This Row],[GameIsOver]]=1,Table1[[#This Row],[ActualAwayScore]]=0), 1,0)</f>
        <v>0</v>
      </c>
      <c r="AG469" s="64">
        <f>IF(AND(Table1[[#This Row],[GameIsOver]]=1,Table1[[#This Row],[ActualHomeScore]]=0), 1,0)</f>
        <v>0</v>
      </c>
      <c r="AH469" s="64">
        <f>IF(Table1[[#This Row],[GameIsOver]]=0,0,IF(Table1[[#This Row],[ActualWinner]]=Table1[[#This Row],[AwayTeam]], 1, 0))</f>
        <v>0</v>
      </c>
      <c r="AI469" s="64">
        <f>IF(Table1[[#This Row],[GameIsOver]]=0,0,IF(Table1[[#This Row],[ActualWinner]]=Table1[[#This Row],[HomeTeam]], 1, 0))</f>
        <v>0</v>
      </c>
      <c r="AJ469" s="64">
        <f>IF(INDEX(Standings!$A$2:$C$33,MATCH(Table1[[#This Row],[AwayTeam]],Standings!$A$2:$A$33,0),2)=INDEX(Standings!$A$2:$C$33,MATCH(Table1[[#This Row],[HomeTeam]],Standings!$A$2:$A$33,0),2),1,0)</f>
        <v>0</v>
      </c>
      <c r="AK469" s="64">
        <f>IF(INDEX(Standings!$A$2:$C$33,MATCH(Table1[[#This Row],[AwayTeam]],Standings!$A$2:$A$33,0),3)=INDEX(Standings!$A$2:$C$33,MATCH(Table1[[#This Row],[HomeTeam]],Standings!$A$2:$A$33,0),3),1,0)</f>
        <v>0</v>
      </c>
      <c r="AL469" s="64">
        <f>IF(Table1[[#This Row],[InterConf]]=1,IF(Table1[[#This Row],[InterDiv]]=0, 1, 0), 0)</f>
        <v>0</v>
      </c>
      <c r="AM469" s="64">
        <f>IF(INDEX(Standings!$A$2:$C$33,MATCH(Table1[[#This Row],[AwayTeam]],Standings!$A$2:$A$33,0),2)&lt;&gt;INDEX(Standings!$A$2:$C$33,MATCH(Table1[[#This Row],[HomeTeam]],Standings!$A$2:$A$33,0),2),1,0)</f>
        <v>1</v>
      </c>
      <c r="AN469" s="64" t="str">
        <f>INDEX(Table2[AWAY_RECORD], MATCH(Table1[[#This Row],[AwayTeam]],Table2[Team], 0), 0)</f>
        <v>0-1-0</v>
      </c>
      <c r="AO469" s="64" t="str">
        <f>INDEX(Records!$B$2:$AG$33, MATCH(Table1[[#This Row],[AwayTeam]],Records!$A$2:$A$33, 0), MATCH(Table1[[#This Row],[HomeTeam]],Records!$A$2:$A$33, 0))</f>
        <v>0-0-0</v>
      </c>
      <c r="AP469" s="64" t="str">
        <f>INDEX(Table2[HOME_RECORD], MATCH(Table1[[#This Row],[HomeTeam]],Table2[Team], 0), 0)</f>
        <v>0-1-0</v>
      </c>
      <c r="AQ469" s="64" t="str">
        <f>INDEX(Records!$B$2:$AG$33, MATCH(Table1[[#This Row],[HomeTeam]],Records!$A$2:$A$33, 0), MATCH(Table1[[#This Row],[AwayTeam]],Records!$A$2:$A$33, 0))</f>
        <v>0-0-0</v>
      </c>
    </row>
    <row r="470" spans="1:43" x14ac:dyDescent="0.25">
      <c r="A470" s="1"/>
      <c r="D470" t="s">
        <v>714</v>
      </c>
      <c r="E470" t="s">
        <v>162</v>
      </c>
      <c r="F470" t="s">
        <v>721</v>
      </c>
      <c r="G470" t="s">
        <v>57</v>
      </c>
      <c r="H470" t="s">
        <v>52</v>
      </c>
      <c r="L47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7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70" s="1"/>
      <c r="T470" s="64" t="str">
        <f>IF(Table1[[#This Row],[ActualWinner]]="", "", IF(Table1[[#This Row],[AwayTeam]]=Table1[[#This Row],[ActualWinner]],Table1[[#This Row],[HomeTeam]],Table1[[#This Row],[AwayTeam]]))</f>
        <v/>
      </c>
      <c r="U470" s="64">
        <f>Table1[[#This Row],[ActualAwayScore]]-Table1[[#This Row],[PredictedAwayScore]]</f>
        <v>0</v>
      </c>
      <c r="V470" s="64">
        <f>Table1[[#This Row],[ActualHomeScore]]-Table1[[#This Row],[PredictedHomeScore]]</f>
        <v>0</v>
      </c>
      <c r="W470" s="64">
        <f>(0.8*IF(Table1[[#This Row],[CorrectWinnerPrediction]]=1, 1, 0))+(0.1*IF(Table1[[#This Row],[CorrectAwayScorePrediction]]=1, 1, 0))+(0.1*IF(Table1[[#This Row],[CorrectHomeScorePrediction]]=1, 1, 0))</f>
        <v>0</v>
      </c>
      <c r="X47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70" s="64">
        <f>SUMIF(Table1[GameDate], Table1[[#This Row],[GameDate]], Table1[AwayGameGoalDiff])</f>
        <v>0</v>
      </c>
      <c r="AA470" s="64">
        <f>SUMIF(Table1[GameDate], Table1[[#This Row],[GameDate]], Table1[HomeGameGoalDiff])</f>
        <v>0</v>
      </c>
      <c r="AB470" s="64">
        <f>IF(ISBLANK(Table1[[#This Row],[ActualResult]]), 0, 1)</f>
        <v>0</v>
      </c>
      <c r="AC470" s="64">
        <f>IF(ISBLANK(Table1[[#This Row],[ActualResult]]), 0, IF(Table1[[#This Row],[ActualWinner]]=Table1[[#This Row],[PredictedWinner]], 1, 0))</f>
        <v>0</v>
      </c>
      <c r="AD47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7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70" s="64">
        <f>IF(AND(Table1[[#This Row],[GameIsOver]]=1,Table1[[#This Row],[ActualAwayScore]]=0), 1,0)</f>
        <v>0</v>
      </c>
      <c r="AG470" s="64">
        <f>IF(AND(Table1[[#This Row],[GameIsOver]]=1,Table1[[#This Row],[ActualHomeScore]]=0), 1,0)</f>
        <v>0</v>
      </c>
      <c r="AH470" s="64">
        <f>IF(Table1[[#This Row],[GameIsOver]]=0,0,IF(Table1[[#This Row],[ActualWinner]]=Table1[[#This Row],[AwayTeam]], 1, 0))</f>
        <v>0</v>
      </c>
      <c r="AI470" s="64">
        <f>IF(Table1[[#This Row],[GameIsOver]]=0,0,IF(Table1[[#This Row],[ActualWinner]]=Table1[[#This Row],[HomeTeam]], 1, 0))</f>
        <v>0</v>
      </c>
      <c r="AJ470" s="64">
        <f>IF(INDEX(Standings!$A$2:$C$33,MATCH(Table1[[#This Row],[AwayTeam]],Standings!$A$2:$A$33,0),2)=INDEX(Standings!$A$2:$C$33,MATCH(Table1[[#This Row],[HomeTeam]],Standings!$A$2:$A$33,0),2),1,0)</f>
        <v>1</v>
      </c>
      <c r="AK470" s="64">
        <f>IF(INDEX(Standings!$A$2:$C$33,MATCH(Table1[[#This Row],[AwayTeam]],Standings!$A$2:$A$33,0),3)=INDEX(Standings!$A$2:$C$33,MATCH(Table1[[#This Row],[HomeTeam]],Standings!$A$2:$A$33,0),3),1,0)</f>
        <v>1</v>
      </c>
      <c r="AL470" s="64">
        <f>IF(Table1[[#This Row],[InterConf]]=1,IF(Table1[[#This Row],[InterDiv]]=0, 1, 0), 0)</f>
        <v>0</v>
      </c>
      <c r="AM470" s="64">
        <f>IF(INDEX(Standings!$A$2:$C$33,MATCH(Table1[[#This Row],[AwayTeam]],Standings!$A$2:$A$33,0),2)&lt;&gt;INDEX(Standings!$A$2:$C$33,MATCH(Table1[[#This Row],[HomeTeam]],Standings!$A$2:$A$33,0),2),1,0)</f>
        <v>0</v>
      </c>
      <c r="AN470" s="64" t="str">
        <f>INDEX(Table2[AWAY_RECORD], MATCH(Table1[[#This Row],[AwayTeam]],Table2[Team], 0), 0)</f>
        <v>0-1-0</v>
      </c>
      <c r="AO470" s="64" t="str">
        <f>INDEX(Records!$B$2:$AG$33, MATCH(Table1[[#This Row],[AwayTeam]],Records!$A$2:$A$33, 0), MATCH(Table1[[#This Row],[HomeTeam]],Records!$A$2:$A$33, 0))</f>
        <v>0-0-0</v>
      </c>
      <c r="AP470" s="64" t="str">
        <f>INDEX(Table2[HOME_RECORD], MATCH(Table1[[#This Row],[HomeTeam]],Table2[Team], 0), 0)</f>
        <v>0-0-0</v>
      </c>
      <c r="AQ470" s="64" t="str">
        <f>INDEX(Records!$B$2:$AG$33, MATCH(Table1[[#This Row],[HomeTeam]],Records!$A$2:$A$33, 0), MATCH(Table1[[#This Row],[AwayTeam]],Records!$A$2:$A$33, 0))</f>
        <v>0-0-0</v>
      </c>
    </row>
    <row r="471" spans="1:43" x14ac:dyDescent="0.25">
      <c r="A471" s="1"/>
      <c r="D471" t="s">
        <v>714</v>
      </c>
      <c r="E471" t="s">
        <v>162</v>
      </c>
      <c r="F471" t="s">
        <v>722</v>
      </c>
      <c r="G471" t="s">
        <v>41</v>
      </c>
      <c r="H471" t="s">
        <v>51</v>
      </c>
      <c r="L47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7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71" s="1"/>
      <c r="T471" s="64" t="str">
        <f>IF(Table1[[#This Row],[ActualWinner]]="", "", IF(Table1[[#This Row],[AwayTeam]]=Table1[[#This Row],[ActualWinner]],Table1[[#This Row],[HomeTeam]],Table1[[#This Row],[AwayTeam]]))</f>
        <v/>
      </c>
      <c r="U471" s="64">
        <f>Table1[[#This Row],[ActualAwayScore]]-Table1[[#This Row],[PredictedAwayScore]]</f>
        <v>0</v>
      </c>
      <c r="V471" s="64">
        <f>Table1[[#This Row],[ActualHomeScore]]-Table1[[#This Row],[PredictedHomeScore]]</f>
        <v>0</v>
      </c>
      <c r="W471" s="64">
        <f>(0.8*IF(Table1[[#This Row],[CorrectWinnerPrediction]]=1, 1, 0))+(0.1*IF(Table1[[#This Row],[CorrectAwayScorePrediction]]=1, 1, 0))+(0.1*IF(Table1[[#This Row],[CorrectHomeScorePrediction]]=1, 1, 0))</f>
        <v>0</v>
      </c>
      <c r="X47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71" s="64">
        <f>SUMIF(Table1[GameDate], Table1[[#This Row],[GameDate]], Table1[AwayGameGoalDiff])</f>
        <v>0</v>
      </c>
      <c r="AA471" s="64">
        <f>SUMIF(Table1[GameDate], Table1[[#This Row],[GameDate]], Table1[HomeGameGoalDiff])</f>
        <v>0</v>
      </c>
      <c r="AB471" s="64">
        <f>IF(ISBLANK(Table1[[#This Row],[ActualResult]]), 0, 1)</f>
        <v>0</v>
      </c>
      <c r="AC471" s="64">
        <f>IF(ISBLANK(Table1[[#This Row],[ActualResult]]), 0, IF(Table1[[#This Row],[ActualWinner]]=Table1[[#This Row],[PredictedWinner]], 1, 0))</f>
        <v>0</v>
      </c>
      <c r="AD47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7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71" s="64">
        <f>IF(AND(Table1[[#This Row],[GameIsOver]]=1,Table1[[#This Row],[ActualAwayScore]]=0), 1,0)</f>
        <v>0</v>
      </c>
      <c r="AG471" s="64">
        <f>IF(AND(Table1[[#This Row],[GameIsOver]]=1,Table1[[#This Row],[ActualHomeScore]]=0), 1,0)</f>
        <v>0</v>
      </c>
      <c r="AH471" s="64">
        <f>IF(Table1[[#This Row],[GameIsOver]]=0,0,IF(Table1[[#This Row],[ActualWinner]]=Table1[[#This Row],[AwayTeam]], 1, 0))</f>
        <v>0</v>
      </c>
      <c r="AI471" s="64">
        <f>IF(Table1[[#This Row],[GameIsOver]]=0,0,IF(Table1[[#This Row],[ActualWinner]]=Table1[[#This Row],[HomeTeam]], 1, 0))</f>
        <v>0</v>
      </c>
      <c r="AJ471" s="64">
        <f>IF(INDEX(Standings!$A$2:$C$33,MATCH(Table1[[#This Row],[AwayTeam]],Standings!$A$2:$A$33,0),2)=INDEX(Standings!$A$2:$C$33,MATCH(Table1[[#This Row],[HomeTeam]],Standings!$A$2:$A$33,0),2),1,0)</f>
        <v>0</v>
      </c>
      <c r="AK471" s="64">
        <f>IF(INDEX(Standings!$A$2:$C$33,MATCH(Table1[[#This Row],[AwayTeam]],Standings!$A$2:$A$33,0),3)=INDEX(Standings!$A$2:$C$33,MATCH(Table1[[#This Row],[HomeTeam]],Standings!$A$2:$A$33,0),3),1,0)</f>
        <v>0</v>
      </c>
      <c r="AL471" s="64">
        <f>IF(Table1[[#This Row],[InterConf]]=1,IF(Table1[[#This Row],[InterDiv]]=0, 1, 0), 0)</f>
        <v>0</v>
      </c>
      <c r="AM471" s="64">
        <f>IF(INDEX(Standings!$A$2:$C$33,MATCH(Table1[[#This Row],[AwayTeam]],Standings!$A$2:$A$33,0),2)&lt;&gt;INDEX(Standings!$A$2:$C$33,MATCH(Table1[[#This Row],[HomeTeam]],Standings!$A$2:$A$33,0),2),1,0)</f>
        <v>1</v>
      </c>
      <c r="AN471" s="64" t="str">
        <f>INDEX(Table2[AWAY_RECORD], MATCH(Table1[[#This Row],[AwayTeam]],Table2[Team], 0), 0)</f>
        <v>0-0-0</v>
      </c>
      <c r="AO471" s="64" t="str">
        <f>INDEX(Records!$B$2:$AG$33, MATCH(Table1[[#This Row],[AwayTeam]],Records!$A$2:$A$33, 0), MATCH(Table1[[#This Row],[HomeTeam]],Records!$A$2:$A$33, 0))</f>
        <v>0-0-0</v>
      </c>
      <c r="AP471" s="64" t="str">
        <f>INDEX(Table2[HOME_RECORD], MATCH(Table1[[#This Row],[HomeTeam]],Table2[Team], 0), 0)</f>
        <v>1-0-0</v>
      </c>
      <c r="AQ471" s="64" t="str">
        <f>INDEX(Records!$B$2:$AG$33, MATCH(Table1[[#This Row],[HomeTeam]],Records!$A$2:$A$33, 0), MATCH(Table1[[#This Row],[AwayTeam]],Records!$A$2:$A$33, 0))</f>
        <v>0-0-0</v>
      </c>
    </row>
    <row r="472" spans="1:43" x14ac:dyDescent="0.25">
      <c r="A472" s="1"/>
      <c r="D472" t="s">
        <v>714</v>
      </c>
      <c r="E472" t="s">
        <v>162</v>
      </c>
      <c r="F472" t="s">
        <v>723</v>
      </c>
      <c r="G472" t="s">
        <v>24</v>
      </c>
      <c r="H472" t="s">
        <v>40</v>
      </c>
      <c r="L47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7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72" s="1"/>
      <c r="T472" s="64" t="str">
        <f>IF(Table1[[#This Row],[ActualWinner]]="", "", IF(Table1[[#This Row],[AwayTeam]]=Table1[[#This Row],[ActualWinner]],Table1[[#This Row],[HomeTeam]],Table1[[#This Row],[AwayTeam]]))</f>
        <v/>
      </c>
      <c r="U472" s="64">
        <f>Table1[[#This Row],[ActualAwayScore]]-Table1[[#This Row],[PredictedAwayScore]]</f>
        <v>0</v>
      </c>
      <c r="V472" s="64">
        <f>Table1[[#This Row],[ActualHomeScore]]-Table1[[#This Row],[PredictedHomeScore]]</f>
        <v>0</v>
      </c>
      <c r="W472" s="64">
        <f>(0.8*IF(Table1[[#This Row],[CorrectWinnerPrediction]]=1, 1, 0))+(0.1*IF(Table1[[#This Row],[CorrectAwayScorePrediction]]=1, 1, 0))+(0.1*IF(Table1[[#This Row],[CorrectHomeScorePrediction]]=1, 1, 0))</f>
        <v>0</v>
      </c>
      <c r="X47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72" s="64">
        <f>SUMIF(Table1[GameDate], Table1[[#This Row],[GameDate]], Table1[AwayGameGoalDiff])</f>
        <v>0</v>
      </c>
      <c r="AA472" s="64">
        <f>SUMIF(Table1[GameDate], Table1[[#This Row],[GameDate]], Table1[HomeGameGoalDiff])</f>
        <v>0</v>
      </c>
      <c r="AB472" s="64">
        <f>IF(ISBLANK(Table1[[#This Row],[ActualResult]]), 0, 1)</f>
        <v>0</v>
      </c>
      <c r="AC472" s="64">
        <f>IF(ISBLANK(Table1[[#This Row],[ActualResult]]), 0, IF(Table1[[#This Row],[ActualWinner]]=Table1[[#This Row],[PredictedWinner]], 1, 0))</f>
        <v>0</v>
      </c>
      <c r="AD47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7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72" s="64">
        <f>IF(AND(Table1[[#This Row],[GameIsOver]]=1,Table1[[#This Row],[ActualAwayScore]]=0), 1,0)</f>
        <v>0</v>
      </c>
      <c r="AG472" s="64">
        <f>IF(AND(Table1[[#This Row],[GameIsOver]]=1,Table1[[#This Row],[ActualHomeScore]]=0), 1,0)</f>
        <v>0</v>
      </c>
      <c r="AH472" s="64">
        <f>IF(Table1[[#This Row],[GameIsOver]]=0,0,IF(Table1[[#This Row],[ActualWinner]]=Table1[[#This Row],[AwayTeam]], 1, 0))</f>
        <v>0</v>
      </c>
      <c r="AI472" s="64">
        <f>IF(Table1[[#This Row],[GameIsOver]]=0,0,IF(Table1[[#This Row],[ActualWinner]]=Table1[[#This Row],[HomeTeam]], 1, 0))</f>
        <v>0</v>
      </c>
      <c r="AJ472" s="64">
        <f>IF(INDEX(Standings!$A$2:$C$33,MATCH(Table1[[#This Row],[AwayTeam]],Standings!$A$2:$A$33,0),2)=INDEX(Standings!$A$2:$C$33,MATCH(Table1[[#This Row],[HomeTeam]],Standings!$A$2:$A$33,0),2),1,0)</f>
        <v>1</v>
      </c>
      <c r="AK472" s="64">
        <f>IF(INDEX(Standings!$A$2:$C$33,MATCH(Table1[[#This Row],[AwayTeam]],Standings!$A$2:$A$33,0),3)=INDEX(Standings!$A$2:$C$33,MATCH(Table1[[#This Row],[HomeTeam]],Standings!$A$2:$A$33,0),3),1,0)</f>
        <v>0</v>
      </c>
      <c r="AL472" s="64">
        <f>IF(Table1[[#This Row],[InterConf]]=1,IF(Table1[[#This Row],[InterDiv]]=0, 1, 0), 0)</f>
        <v>1</v>
      </c>
      <c r="AM472" s="64">
        <f>IF(INDEX(Standings!$A$2:$C$33,MATCH(Table1[[#This Row],[AwayTeam]],Standings!$A$2:$A$33,0),2)&lt;&gt;INDEX(Standings!$A$2:$C$33,MATCH(Table1[[#This Row],[HomeTeam]],Standings!$A$2:$A$33,0),2),1,0)</f>
        <v>0</v>
      </c>
      <c r="AN472" s="64" t="str">
        <f>INDEX(Table2[AWAY_RECORD], MATCH(Table1[[#This Row],[AwayTeam]],Table2[Team], 0), 0)</f>
        <v>0-0-0</v>
      </c>
      <c r="AO472" s="64" t="str">
        <f>INDEX(Records!$B$2:$AG$33, MATCH(Table1[[#This Row],[AwayTeam]],Records!$A$2:$A$33, 0), MATCH(Table1[[#This Row],[HomeTeam]],Records!$A$2:$A$33, 0))</f>
        <v>0-0-0</v>
      </c>
      <c r="AP472" s="64" t="str">
        <f>INDEX(Table2[HOME_RECORD], MATCH(Table1[[#This Row],[HomeTeam]],Table2[Team], 0), 0)</f>
        <v>1-1-0</v>
      </c>
      <c r="AQ472" s="64" t="str">
        <f>INDEX(Records!$B$2:$AG$33, MATCH(Table1[[#This Row],[HomeTeam]],Records!$A$2:$A$33, 0), MATCH(Table1[[#This Row],[AwayTeam]],Records!$A$2:$A$33, 0))</f>
        <v>0-0-0</v>
      </c>
    </row>
    <row r="473" spans="1:43" x14ac:dyDescent="0.25">
      <c r="A473" s="1"/>
      <c r="D473" t="s">
        <v>714</v>
      </c>
      <c r="E473" t="s">
        <v>162</v>
      </c>
      <c r="F473" t="s">
        <v>724</v>
      </c>
      <c r="G473" t="s">
        <v>60</v>
      </c>
      <c r="H473" t="s">
        <v>25</v>
      </c>
      <c r="L47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7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73" s="1"/>
      <c r="T473" s="64" t="str">
        <f>IF(Table1[[#This Row],[ActualWinner]]="", "", IF(Table1[[#This Row],[AwayTeam]]=Table1[[#This Row],[ActualWinner]],Table1[[#This Row],[HomeTeam]],Table1[[#This Row],[AwayTeam]]))</f>
        <v/>
      </c>
      <c r="U473" s="64">
        <f>Table1[[#This Row],[ActualAwayScore]]-Table1[[#This Row],[PredictedAwayScore]]</f>
        <v>0</v>
      </c>
      <c r="V473" s="64">
        <f>Table1[[#This Row],[ActualHomeScore]]-Table1[[#This Row],[PredictedHomeScore]]</f>
        <v>0</v>
      </c>
      <c r="W473" s="64">
        <f>(0.8*IF(Table1[[#This Row],[CorrectWinnerPrediction]]=1, 1, 0))+(0.1*IF(Table1[[#This Row],[CorrectAwayScorePrediction]]=1, 1, 0))+(0.1*IF(Table1[[#This Row],[CorrectHomeScorePrediction]]=1, 1, 0))</f>
        <v>0</v>
      </c>
      <c r="X47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73" s="64">
        <f>SUMIF(Table1[GameDate], Table1[[#This Row],[GameDate]], Table1[AwayGameGoalDiff])</f>
        <v>0</v>
      </c>
      <c r="AA473" s="64">
        <f>SUMIF(Table1[GameDate], Table1[[#This Row],[GameDate]], Table1[HomeGameGoalDiff])</f>
        <v>0</v>
      </c>
      <c r="AB473" s="64">
        <f>IF(ISBLANK(Table1[[#This Row],[ActualResult]]), 0, 1)</f>
        <v>0</v>
      </c>
      <c r="AC473" s="64">
        <f>IF(ISBLANK(Table1[[#This Row],[ActualResult]]), 0, IF(Table1[[#This Row],[ActualWinner]]=Table1[[#This Row],[PredictedWinner]], 1, 0))</f>
        <v>0</v>
      </c>
      <c r="AD47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7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73" s="64">
        <f>IF(AND(Table1[[#This Row],[GameIsOver]]=1,Table1[[#This Row],[ActualAwayScore]]=0), 1,0)</f>
        <v>0</v>
      </c>
      <c r="AG473" s="64">
        <f>IF(AND(Table1[[#This Row],[GameIsOver]]=1,Table1[[#This Row],[ActualHomeScore]]=0), 1,0)</f>
        <v>0</v>
      </c>
      <c r="AH473" s="64">
        <f>IF(Table1[[#This Row],[GameIsOver]]=0,0,IF(Table1[[#This Row],[ActualWinner]]=Table1[[#This Row],[AwayTeam]], 1, 0))</f>
        <v>0</v>
      </c>
      <c r="AI473" s="64">
        <f>IF(Table1[[#This Row],[GameIsOver]]=0,0,IF(Table1[[#This Row],[ActualWinner]]=Table1[[#This Row],[HomeTeam]], 1, 0))</f>
        <v>0</v>
      </c>
      <c r="AJ473" s="64">
        <f>IF(INDEX(Standings!$A$2:$C$33,MATCH(Table1[[#This Row],[AwayTeam]],Standings!$A$2:$A$33,0),2)=INDEX(Standings!$A$2:$C$33,MATCH(Table1[[#This Row],[HomeTeam]],Standings!$A$2:$A$33,0),2),1,0)</f>
        <v>1</v>
      </c>
      <c r="AK473" s="64">
        <f>IF(INDEX(Standings!$A$2:$C$33,MATCH(Table1[[#This Row],[AwayTeam]],Standings!$A$2:$A$33,0),3)=INDEX(Standings!$A$2:$C$33,MATCH(Table1[[#This Row],[HomeTeam]],Standings!$A$2:$A$33,0),3),1,0)</f>
        <v>0</v>
      </c>
      <c r="AL473" s="64">
        <f>IF(Table1[[#This Row],[InterConf]]=1,IF(Table1[[#This Row],[InterDiv]]=0, 1, 0), 0)</f>
        <v>1</v>
      </c>
      <c r="AM473" s="64">
        <f>IF(INDEX(Standings!$A$2:$C$33,MATCH(Table1[[#This Row],[AwayTeam]],Standings!$A$2:$A$33,0),2)&lt;&gt;INDEX(Standings!$A$2:$C$33,MATCH(Table1[[#This Row],[HomeTeam]],Standings!$A$2:$A$33,0),2),1,0)</f>
        <v>0</v>
      </c>
      <c r="AN473" s="64" t="str">
        <f>INDEX(Table2[AWAY_RECORD], MATCH(Table1[[#This Row],[AwayTeam]],Table2[Team], 0), 0)</f>
        <v>0-0-0</v>
      </c>
      <c r="AO473" s="64" t="str">
        <f>INDEX(Records!$B$2:$AG$33, MATCH(Table1[[#This Row],[AwayTeam]],Records!$A$2:$A$33, 0), MATCH(Table1[[#This Row],[HomeTeam]],Records!$A$2:$A$33, 0))</f>
        <v>0-0-0</v>
      </c>
      <c r="AP473" s="64" t="str">
        <f>INDEX(Table2[HOME_RECORD], MATCH(Table1[[#This Row],[HomeTeam]],Table2[Team], 0), 0)</f>
        <v>0-0-1</v>
      </c>
      <c r="AQ473" s="64" t="str">
        <f>INDEX(Records!$B$2:$AG$33, MATCH(Table1[[#This Row],[HomeTeam]],Records!$A$2:$A$33, 0), MATCH(Table1[[#This Row],[AwayTeam]],Records!$A$2:$A$33, 0))</f>
        <v>0-0-0</v>
      </c>
    </row>
    <row r="474" spans="1:43" x14ac:dyDescent="0.25">
      <c r="A474" s="1"/>
      <c r="D474" t="s">
        <v>714</v>
      </c>
      <c r="E474" t="s">
        <v>178</v>
      </c>
      <c r="F474" t="s">
        <v>725</v>
      </c>
      <c r="G474" t="s">
        <v>53</v>
      </c>
      <c r="H474" t="s">
        <v>22</v>
      </c>
      <c r="L47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7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74" s="1"/>
      <c r="T474" s="64" t="str">
        <f>IF(Table1[[#This Row],[ActualWinner]]="", "", IF(Table1[[#This Row],[AwayTeam]]=Table1[[#This Row],[ActualWinner]],Table1[[#This Row],[HomeTeam]],Table1[[#This Row],[AwayTeam]]))</f>
        <v/>
      </c>
      <c r="U474" s="64">
        <f>Table1[[#This Row],[ActualAwayScore]]-Table1[[#This Row],[PredictedAwayScore]]</f>
        <v>0</v>
      </c>
      <c r="V474" s="64">
        <f>Table1[[#This Row],[ActualHomeScore]]-Table1[[#This Row],[PredictedHomeScore]]</f>
        <v>0</v>
      </c>
      <c r="W474" s="64">
        <f>(0.8*IF(Table1[[#This Row],[CorrectWinnerPrediction]]=1, 1, 0))+(0.1*IF(Table1[[#This Row],[CorrectAwayScorePrediction]]=1, 1, 0))+(0.1*IF(Table1[[#This Row],[CorrectHomeScorePrediction]]=1, 1, 0))</f>
        <v>0</v>
      </c>
      <c r="X47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74" s="64">
        <f>SUMIF(Table1[GameDate], Table1[[#This Row],[GameDate]], Table1[AwayGameGoalDiff])</f>
        <v>0</v>
      </c>
      <c r="AA474" s="64">
        <f>SUMIF(Table1[GameDate], Table1[[#This Row],[GameDate]], Table1[HomeGameGoalDiff])</f>
        <v>0</v>
      </c>
      <c r="AB474" s="64">
        <f>IF(ISBLANK(Table1[[#This Row],[ActualResult]]), 0, 1)</f>
        <v>0</v>
      </c>
      <c r="AC474" s="64">
        <f>IF(ISBLANK(Table1[[#This Row],[ActualResult]]), 0, IF(Table1[[#This Row],[ActualWinner]]=Table1[[#This Row],[PredictedWinner]], 1, 0))</f>
        <v>0</v>
      </c>
      <c r="AD47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7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74" s="64">
        <f>IF(AND(Table1[[#This Row],[GameIsOver]]=1,Table1[[#This Row],[ActualAwayScore]]=0), 1,0)</f>
        <v>0</v>
      </c>
      <c r="AG474" s="64">
        <f>IF(AND(Table1[[#This Row],[GameIsOver]]=1,Table1[[#This Row],[ActualHomeScore]]=0), 1,0)</f>
        <v>0</v>
      </c>
      <c r="AH474" s="64">
        <f>IF(Table1[[#This Row],[GameIsOver]]=0,0,IF(Table1[[#This Row],[ActualWinner]]=Table1[[#This Row],[AwayTeam]], 1, 0))</f>
        <v>0</v>
      </c>
      <c r="AI474" s="64">
        <f>IF(Table1[[#This Row],[GameIsOver]]=0,0,IF(Table1[[#This Row],[ActualWinner]]=Table1[[#This Row],[HomeTeam]], 1, 0))</f>
        <v>0</v>
      </c>
      <c r="AJ474" s="64">
        <f>IF(INDEX(Standings!$A$2:$C$33,MATCH(Table1[[#This Row],[AwayTeam]],Standings!$A$2:$A$33,0),2)=INDEX(Standings!$A$2:$C$33,MATCH(Table1[[#This Row],[HomeTeam]],Standings!$A$2:$A$33,0),2),1,0)</f>
        <v>0</v>
      </c>
      <c r="AK474" s="64">
        <f>IF(INDEX(Standings!$A$2:$C$33,MATCH(Table1[[#This Row],[AwayTeam]],Standings!$A$2:$A$33,0),3)=INDEX(Standings!$A$2:$C$33,MATCH(Table1[[#This Row],[HomeTeam]],Standings!$A$2:$A$33,0),3),1,0)</f>
        <v>0</v>
      </c>
      <c r="AL474" s="64">
        <f>IF(Table1[[#This Row],[InterConf]]=1,IF(Table1[[#This Row],[InterDiv]]=0, 1, 0), 0)</f>
        <v>0</v>
      </c>
      <c r="AM474" s="64">
        <f>IF(INDEX(Standings!$A$2:$C$33,MATCH(Table1[[#This Row],[AwayTeam]],Standings!$A$2:$A$33,0),2)&lt;&gt;INDEX(Standings!$A$2:$C$33,MATCH(Table1[[#This Row],[HomeTeam]],Standings!$A$2:$A$33,0),2),1,0)</f>
        <v>1</v>
      </c>
      <c r="AN474" s="64" t="str">
        <f>INDEX(Table2[AWAY_RECORD], MATCH(Table1[[#This Row],[AwayTeam]],Table2[Team], 0), 0)</f>
        <v>0-1-0</v>
      </c>
      <c r="AO474" s="64" t="str">
        <f>INDEX(Records!$B$2:$AG$33, MATCH(Table1[[#This Row],[AwayTeam]],Records!$A$2:$A$33, 0), MATCH(Table1[[#This Row],[HomeTeam]],Records!$A$2:$A$33, 0))</f>
        <v>0-0-0</v>
      </c>
      <c r="AP474" s="64" t="str">
        <f>INDEX(Table2[HOME_RECORD], MATCH(Table1[[#This Row],[HomeTeam]],Table2[Team], 0), 0)</f>
        <v>0-0-0</v>
      </c>
      <c r="AQ474" s="64" t="str">
        <f>INDEX(Records!$B$2:$AG$33, MATCH(Table1[[#This Row],[HomeTeam]],Records!$A$2:$A$33, 0), MATCH(Table1[[#This Row],[AwayTeam]],Records!$A$2:$A$33, 0))</f>
        <v>0-0-0</v>
      </c>
    </row>
    <row r="475" spans="1:43" x14ac:dyDescent="0.25">
      <c r="A475" s="1"/>
      <c r="D475" t="s">
        <v>726</v>
      </c>
      <c r="E475" t="s">
        <v>298</v>
      </c>
      <c r="F475" t="s">
        <v>727</v>
      </c>
      <c r="G475" t="s">
        <v>58</v>
      </c>
      <c r="H475" t="s">
        <v>46</v>
      </c>
      <c r="L47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7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75" s="1"/>
      <c r="T475" s="64" t="str">
        <f>IF(Table1[[#This Row],[ActualWinner]]="", "", IF(Table1[[#This Row],[AwayTeam]]=Table1[[#This Row],[ActualWinner]],Table1[[#This Row],[HomeTeam]],Table1[[#This Row],[AwayTeam]]))</f>
        <v/>
      </c>
      <c r="U475" s="64">
        <f>Table1[[#This Row],[ActualAwayScore]]-Table1[[#This Row],[PredictedAwayScore]]</f>
        <v>0</v>
      </c>
      <c r="V475" s="64">
        <f>Table1[[#This Row],[ActualHomeScore]]-Table1[[#This Row],[PredictedHomeScore]]</f>
        <v>0</v>
      </c>
      <c r="W475" s="64">
        <f>(0.8*IF(Table1[[#This Row],[CorrectWinnerPrediction]]=1, 1, 0))+(0.1*IF(Table1[[#This Row],[CorrectAwayScorePrediction]]=1, 1, 0))+(0.1*IF(Table1[[#This Row],[CorrectHomeScorePrediction]]=1, 1, 0))</f>
        <v>0</v>
      </c>
      <c r="X47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75" s="64">
        <f>SUMIF(Table1[GameDate], Table1[[#This Row],[GameDate]], Table1[AwayGameGoalDiff])</f>
        <v>0</v>
      </c>
      <c r="AA475" s="64">
        <f>SUMIF(Table1[GameDate], Table1[[#This Row],[GameDate]], Table1[HomeGameGoalDiff])</f>
        <v>0</v>
      </c>
      <c r="AB475" s="64">
        <f>IF(ISBLANK(Table1[[#This Row],[ActualResult]]), 0, 1)</f>
        <v>0</v>
      </c>
      <c r="AC475" s="64">
        <f>IF(ISBLANK(Table1[[#This Row],[ActualResult]]), 0, IF(Table1[[#This Row],[ActualWinner]]=Table1[[#This Row],[PredictedWinner]], 1, 0))</f>
        <v>0</v>
      </c>
      <c r="AD47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7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75" s="64">
        <f>IF(AND(Table1[[#This Row],[GameIsOver]]=1,Table1[[#This Row],[ActualAwayScore]]=0), 1,0)</f>
        <v>0</v>
      </c>
      <c r="AG475" s="64">
        <f>IF(AND(Table1[[#This Row],[GameIsOver]]=1,Table1[[#This Row],[ActualHomeScore]]=0), 1,0)</f>
        <v>0</v>
      </c>
      <c r="AH475" s="64">
        <f>IF(Table1[[#This Row],[GameIsOver]]=0,0,IF(Table1[[#This Row],[ActualWinner]]=Table1[[#This Row],[AwayTeam]], 1, 0))</f>
        <v>0</v>
      </c>
      <c r="AI475" s="64">
        <f>IF(Table1[[#This Row],[GameIsOver]]=0,0,IF(Table1[[#This Row],[ActualWinner]]=Table1[[#This Row],[HomeTeam]], 1, 0))</f>
        <v>0</v>
      </c>
      <c r="AJ475" s="64">
        <f>IF(INDEX(Standings!$A$2:$C$33,MATCH(Table1[[#This Row],[AwayTeam]],Standings!$A$2:$A$33,0),2)=INDEX(Standings!$A$2:$C$33,MATCH(Table1[[#This Row],[HomeTeam]],Standings!$A$2:$A$33,0),2),1,0)</f>
        <v>1</v>
      </c>
      <c r="AK475" s="64">
        <f>IF(INDEX(Standings!$A$2:$C$33,MATCH(Table1[[#This Row],[AwayTeam]],Standings!$A$2:$A$33,0),3)=INDEX(Standings!$A$2:$C$33,MATCH(Table1[[#This Row],[HomeTeam]],Standings!$A$2:$A$33,0),3),1,0)</f>
        <v>0</v>
      </c>
      <c r="AL475" s="64">
        <f>IF(Table1[[#This Row],[InterConf]]=1,IF(Table1[[#This Row],[InterDiv]]=0, 1, 0), 0)</f>
        <v>1</v>
      </c>
      <c r="AM475" s="64">
        <f>IF(INDEX(Standings!$A$2:$C$33,MATCH(Table1[[#This Row],[AwayTeam]],Standings!$A$2:$A$33,0),2)&lt;&gt;INDEX(Standings!$A$2:$C$33,MATCH(Table1[[#This Row],[HomeTeam]],Standings!$A$2:$A$33,0),2),1,0)</f>
        <v>0</v>
      </c>
      <c r="AN475" s="64" t="str">
        <f>INDEX(Table2[AWAY_RECORD], MATCH(Table1[[#This Row],[AwayTeam]],Table2[Team], 0), 0)</f>
        <v>0-0-0</v>
      </c>
      <c r="AO475" s="64" t="str">
        <f>INDEX(Records!$B$2:$AG$33, MATCH(Table1[[#This Row],[AwayTeam]],Records!$A$2:$A$33, 0), MATCH(Table1[[#This Row],[HomeTeam]],Records!$A$2:$A$33, 0))</f>
        <v>0-0-0</v>
      </c>
      <c r="AP475" s="64" t="str">
        <f>INDEX(Table2[HOME_RECORD], MATCH(Table1[[#This Row],[HomeTeam]],Table2[Team], 0), 0)</f>
        <v>0-0-0</v>
      </c>
      <c r="AQ475" s="64" t="str">
        <f>INDEX(Records!$B$2:$AG$33, MATCH(Table1[[#This Row],[HomeTeam]],Records!$A$2:$A$33, 0), MATCH(Table1[[#This Row],[AwayTeam]],Records!$A$2:$A$33, 0))</f>
        <v>0-0-0</v>
      </c>
    </row>
    <row r="476" spans="1:43" x14ac:dyDescent="0.25">
      <c r="A476" s="1"/>
      <c r="D476" t="s">
        <v>726</v>
      </c>
      <c r="E476" t="s">
        <v>298</v>
      </c>
      <c r="F476" t="s">
        <v>728</v>
      </c>
      <c r="G476" t="s">
        <v>43</v>
      </c>
      <c r="H476" t="s">
        <v>23</v>
      </c>
      <c r="L47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7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76" s="1"/>
      <c r="T476" s="64" t="str">
        <f>IF(Table1[[#This Row],[ActualWinner]]="", "", IF(Table1[[#This Row],[AwayTeam]]=Table1[[#This Row],[ActualWinner]],Table1[[#This Row],[HomeTeam]],Table1[[#This Row],[AwayTeam]]))</f>
        <v/>
      </c>
      <c r="U476" s="64">
        <f>Table1[[#This Row],[ActualAwayScore]]-Table1[[#This Row],[PredictedAwayScore]]</f>
        <v>0</v>
      </c>
      <c r="V476" s="64">
        <f>Table1[[#This Row],[ActualHomeScore]]-Table1[[#This Row],[PredictedHomeScore]]</f>
        <v>0</v>
      </c>
      <c r="W476" s="64">
        <f>(0.8*IF(Table1[[#This Row],[CorrectWinnerPrediction]]=1, 1, 0))+(0.1*IF(Table1[[#This Row],[CorrectAwayScorePrediction]]=1, 1, 0))+(0.1*IF(Table1[[#This Row],[CorrectHomeScorePrediction]]=1, 1, 0))</f>
        <v>0</v>
      </c>
      <c r="X47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76" s="64">
        <f>SUMIF(Table1[GameDate], Table1[[#This Row],[GameDate]], Table1[AwayGameGoalDiff])</f>
        <v>0</v>
      </c>
      <c r="AA476" s="64">
        <f>SUMIF(Table1[GameDate], Table1[[#This Row],[GameDate]], Table1[HomeGameGoalDiff])</f>
        <v>0</v>
      </c>
      <c r="AB476" s="64">
        <f>IF(ISBLANK(Table1[[#This Row],[ActualResult]]), 0, 1)</f>
        <v>0</v>
      </c>
      <c r="AC476" s="64">
        <f>IF(ISBLANK(Table1[[#This Row],[ActualResult]]), 0, IF(Table1[[#This Row],[ActualWinner]]=Table1[[#This Row],[PredictedWinner]], 1, 0))</f>
        <v>0</v>
      </c>
      <c r="AD47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7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76" s="64">
        <f>IF(AND(Table1[[#This Row],[GameIsOver]]=1,Table1[[#This Row],[ActualAwayScore]]=0), 1,0)</f>
        <v>0</v>
      </c>
      <c r="AG476" s="64">
        <f>IF(AND(Table1[[#This Row],[GameIsOver]]=1,Table1[[#This Row],[ActualHomeScore]]=0), 1,0)</f>
        <v>0</v>
      </c>
      <c r="AH476" s="64">
        <f>IF(Table1[[#This Row],[GameIsOver]]=0,0,IF(Table1[[#This Row],[ActualWinner]]=Table1[[#This Row],[AwayTeam]], 1, 0))</f>
        <v>0</v>
      </c>
      <c r="AI476" s="64">
        <f>IF(Table1[[#This Row],[GameIsOver]]=0,0,IF(Table1[[#This Row],[ActualWinner]]=Table1[[#This Row],[HomeTeam]], 1, 0))</f>
        <v>0</v>
      </c>
      <c r="AJ476" s="64">
        <f>IF(INDEX(Standings!$A$2:$C$33,MATCH(Table1[[#This Row],[AwayTeam]],Standings!$A$2:$A$33,0),2)=INDEX(Standings!$A$2:$C$33,MATCH(Table1[[#This Row],[HomeTeam]],Standings!$A$2:$A$33,0),2),1,0)</f>
        <v>1</v>
      </c>
      <c r="AK476" s="64">
        <f>IF(INDEX(Standings!$A$2:$C$33,MATCH(Table1[[#This Row],[AwayTeam]],Standings!$A$2:$A$33,0),3)=INDEX(Standings!$A$2:$C$33,MATCH(Table1[[#This Row],[HomeTeam]],Standings!$A$2:$A$33,0),3),1,0)</f>
        <v>0</v>
      </c>
      <c r="AL476" s="64">
        <f>IF(Table1[[#This Row],[InterConf]]=1,IF(Table1[[#This Row],[InterDiv]]=0, 1, 0), 0)</f>
        <v>1</v>
      </c>
      <c r="AM476" s="64">
        <f>IF(INDEX(Standings!$A$2:$C$33,MATCH(Table1[[#This Row],[AwayTeam]],Standings!$A$2:$A$33,0),2)&lt;&gt;INDEX(Standings!$A$2:$C$33,MATCH(Table1[[#This Row],[HomeTeam]],Standings!$A$2:$A$33,0),2),1,0)</f>
        <v>0</v>
      </c>
      <c r="AN476" s="64" t="str">
        <f>INDEX(Table2[AWAY_RECORD], MATCH(Table1[[#This Row],[AwayTeam]],Table2[Team], 0), 0)</f>
        <v>0-0-0</v>
      </c>
      <c r="AO476" s="64" t="str">
        <f>INDEX(Records!$B$2:$AG$33, MATCH(Table1[[#This Row],[AwayTeam]],Records!$A$2:$A$33, 0), MATCH(Table1[[#This Row],[HomeTeam]],Records!$A$2:$A$33, 0))</f>
        <v>0-0-0</v>
      </c>
      <c r="AP476" s="64" t="str">
        <f>INDEX(Table2[HOME_RECORD], MATCH(Table1[[#This Row],[HomeTeam]],Table2[Team], 0), 0)</f>
        <v>0-0-1</v>
      </c>
      <c r="AQ476" s="64" t="str">
        <f>INDEX(Records!$B$2:$AG$33, MATCH(Table1[[#This Row],[HomeTeam]],Records!$A$2:$A$33, 0), MATCH(Table1[[#This Row],[AwayTeam]],Records!$A$2:$A$33, 0))</f>
        <v>0-0-0</v>
      </c>
    </row>
    <row r="477" spans="1:43" x14ac:dyDescent="0.25">
      <c r="A477" s="1"/>
      <c r="D477" t="s">
        <v>726</v>
      </c>
      <c r="E477" t="s">
        <v>252</v>
      </c>
      <c r="F477" t="s">
        <v>729</v>
      </c>
      <c r="G477" t="s">
        <v>55</v>
      </c>
      <c r="H477" t="s">
        <v>54</v>
      </c>
      <c r="L47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7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77" s="1"/>
      <c r="T477" s="64" t="str">
        <f>IF(Table1[[#This Row],[ActualWinner]]="", "", IF(Table1[[#This Row],[AwayTeam]]=Table1[[#This Row],[ActualWinner]],Table1[[#This Row],[HomeTeam]],Table1[[#This Row],[AwayTeam]]))</f>
        <v/>
      </c>
      <c r="U477" s="64">
        <f>Table1[[#This Row],[ActualAwayScore]]-Table1[[#This Row],[PredictedAwayScore]]</f>
        <v>0</v>
      </c>
      <c r="V477" s="64">
        <f>Table1[[#This Row],[ActualHomeScore]]-Table1[[#This Row],[PredictedHomeScore]]</f>
        <v>0</v>
      </c>
      <c r="W477" s="64">
        <f>(0.8*IF(Table1[[#This Row],[CorrectWinnerPrediction]]=1, 1, 0))+(0.1*IF(Table1[[#This Row],[CorrectAwayScorePrediction]]=1, 1, 0))+(0.1*IF(Table1[[#This Row],[CorrectHomeScorePrediction]]=1, 1, 0))</f>
        <v>0</v>
      </c>
      <c r="X47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77" s="64">
        <f>SUMIF(Table1[GameDate], Table1[[#This Row],[GameDate]], Table1[AwayGameGoalDiff])</f>
        <v>0</v>
      </c>
      <c r="AA477" s="64">
        <f>SUMIF(Table1[GameDate], Table1[[#This Row],[GameDate]], Table1[HomeGameGoalDiff])</f>
        <v>0</v>
      </c>
      <c r="AB477" s="64">
        <f>IF(ISBLANK(Table1[[#This Row],[ActualResult]]), 0, 1)</f>
        <v>0</v>
      </c>
      <c r="AC477" s="64">
        <f>IF(ISBLANK(Table1[[#This Row],[ActualResult]]), 0, IF(Table1[[#This Row],[ActualWinner]]=Table1[[#This Row],[PredictedWinner]], 1, 0))</f>
        <v>0</v>
      </c>
      <c r="AD47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7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77" s="64">
        <f>IF(AND(Table1[[#This Row],[GameIsOver]]=1,Table1[[#This Row],[ActualAwayScore]]=0), 1,0)</f>
        <v>0</v>
      </c>
      <c r="AG477" s="64">
        <f>IF(AND(Table1[[#This Row],[GameIsOver]]=1,Table1[[#This Row],[ActualHomeScore]]=0), 1,0)</f>
        <v>0</v>
      </c>
      <c r="AH477" s="64">
        <f>IF(Table1[[#This Row],[GameIsOver]]=0,0,IF(Table1[[#This Row],[ActualWinner]]=Table1[[#This Row],[AwayTeam]], 1, 0))</f>
        <v>0</v>
      </c>
      <c r="AI477" s="64">
        <f>IF(Table1[[#This Row],[GameIsOver]]=0,0,IF(Table1[[#This Row],[ActualWinner]]=Table1[[#This Row],[HomeTeam]], 1, 0))</f>
        <v>0</v>
      </c>
      <c r="AJ477" s="64">
        <f>IF(INDEX(Standings!$A$2:$C$33,MATCH(Table1[[#This Row],[AwayTeam]],Standings!$A$2:$A$33,0),2)=INDEX(Standings!$A$2:$C$33,MATCH(Table1[[#This Row],[HomeTeam]],Standings!$A$2:$A$33,0),2),1,0)</f>
        <v>0</v>
      </c>
      <c r="AK477" s="64">
        <f>IF(INDEX(Standings!$A$2:$C$33,MATCH(Table1[[#This Row],[AwayTeam]],Standings!$A$2:$A$33,0),3)=INDEX(Standings!$A$2:$C$33,MATCH(Table1[[#This Row],[HomeTeam]],Standings!$A$2:$A$33,0),3),1,0)</f>
        <v>0</v>
      </c>
      <c r="AL477" s="64">
        <f>IF(Table1[[#This Row],[InterConf]]=1,IF(Table1[[#This Row],[InterDiv]]=0, 1, 0), 0)</f>
        <v>0</v>
      </c>
      <c r="AM477" s="64">
        <f>IF(INDEX(Standings!$A$2:$C$33,MATCH(Table1[[#This Row],[AwayTeam]],Standings!$A$2:$A$33,0),2)&lt;&gt;INDEX(Standings!$A$2:$C$33,MATCH(Table1[[#This Row],[HomeTeam]],Standings!$A$2:$A$33,0),2),1,0)</f>
        <v>1</v>
      </c>
      <c r="AN477" s="64" t="str">
        <f>INDEX(Table2[AWAY_RECORD], MATCH(Table1[[#This Row],[AwayTeam]],Table2[Team], 0), 0)</f>
        <v>0-0-0</v>
      </c>
      <c r="AO477" s="64" t="str">
        <f>INDEX(Records!$B$2:$AG$33, MATCH(Table1[[#This Row],[AwayTeam]],Records!$A$2:$A$33, 0), MATCH(Table1[[#This Row],[HomeTeam]],Records!$A$2:$A$33, 0))</f>
        <v>0-0-0</v>
      </c>
      <c r="AP477" s="64" t="str">
        <f>INDEX(Table2[HOME_RECORD], MATCH(Table1[[#This Row],[HomeTeam]],Table2[Team], 0), 0)</f>
        <v>0-0-0</v>
      </c>
      <c r="AQ477" s="64" t="str">
        <f>INDEX(Records!$B$2:$AG$33, MATCH(Table1[[#This Row],[HomeTeam]],Records!$A$2:$A$33, 0), MATCH(Table1[[#This Row],[AwayTeam]],Records!$A$2:$A$33, 0))</f>
        <v>0-0-0</v>
      </c>
    </row>
    <row r="478" spans="1:43" x14ac:dyDescent="0.25">
      <c r="A478" s="1"/>
      <c r="D478" t="s">
        <v>726</v>
      </c>
      <c r="E478" t="s">
        <v>207</v>
      </c>
      <c r="F478" t="s">
        <v>730</v>
      </c>
      <c r="G478" t="s">
        <v>48</v>
      </c>
      <c r="H478" t="s">
        <v>61</v>
      </c>
      <c r="L47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7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78" s="1"/>
      <c r="T478" s="64" t="str">
        <f>IF(Table1[[#This Row],[ActualWinner]]="", "", IF(Table1[[#This Row],[AwayTeam]]=Table1[[#This Row],[ActualWinner]],Table1[[#This Row],[HomeTeam]],Table1[[#This Row],[AwayTeam]]))</f>
        <v/>
      </c>
      <c r="U478" s="64">
        <f>Table1[[#This Row],[ActualAwayScore]]-Table1[[#This Row],[PredictedAwayScore]]</f>
        <v>0</v>
      </c>
      <c r="V478" s="64">
        <f>Table1[[#This Row],[ActualHomeScore]]-Table1[[#This Row],[PredictedHomeScore]]</f>
        <v>0</v>
      </c>
      <c r="W478" s="64">
        <f>(0.8*IF(Table1[[#This Row],[CorrectWinnerPrediction]]=1, 1, 0))+(0.1*IF(Table1[[#This Row],[CorrectAwayScorePrediction]]=1, 1, 0))+(0.1*IF(Table1[[#This Row],[CorrectHomeScorePrediction]]=1, 1, 0))</f>
        <v>0</v>
      </c>
      <c r="X47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78" s="64">
        <f>SUMIF(Table1[GameDate], Table1[[#This Row],[GameDate]], Table1[AwayGameGoalDiff])</f>
        <v>0</v>
      </c>
      <c r="AA478" s="64">
        <f>SUMIF(Table1[GameDate], Table1[[#This Row],[GameDate]], Table1[HomeGameGoalDiff])</f>
        <v>0</v>
      </c>
      <c r="AB478" s="64">
        <f>IF(ISBLANK(Table1[[#This Row],[ActualResult]]), 0, 1)</f>
        <v>0</v>
      </c>
      <c r="AC478" s="64">
        <f>IF(ISBLANK(Table1[[#This Row],[ActualResult]]), 0, IF(Table1[[#This Row],[ActualWinner]]=Table1[[#This Row],[PredictedWinner]], 1, 0))</f>
        <v>0</v>
      </c>
      <c r="AD47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7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78" s="64">
        <f>IF(AND(Table1[[#This Row],[GameIsOver]]=1,Table1[[#This Row],[ActualAwayScore]]=0), 1,0)</f>
        <v>0</v>
      </c>
      <c r="AG478" s="64">
        <f>IF(AND(Table1[[#This Row],[GameIsOver]]=1,Table1[[#This Row],[ActualHomeScore]]=0), 1,0)</f>
        <v>0</v>
      </c>
      <c r="AH478" s="64">
        <f>IF(Table1[[#This Row],[GameIsOver]]=0,0,IF(Table1[[#This Row],[ActualWinner]]=Table1[[#This Row],[AwayTeam]], 1, 0))</f>
        <v>0</v>
      </c>
      <c r="AI478" s="64">
        <f>IF(Table1[[#This Row],[GameIsOver]]=0,0,IF(Table1[[#This Row],[ActualWinner]]=Table1[[#This Row],[HomeTeam]], 1, 0))</f>
        <v>0</v>
      </c>
      <c r="AJ478" s="64">
        <f>IF(INDEX(Standings!$A$2:$C$33,MATCH(Table1[[#This Row],[AwayTeam]],Standings!$A$2:$A$33,0),2)=INDEX(Standings!$A$2:$C$33,MATCH(Table1[[#This Row],[HomeTeam]],Standings!$A$2:$A$33,0),2),1,0)</f>
        <v>1</v>
      </c>
      <c r="AK478" s="64">
        <f>IF(INDEX(Standings!$A$2:$C$33,MATCH(Table1[[#This Row],[AwayTeam]],Standings!$A$2:$A$33,0),3)=INDEX(Standings!$A$2:$C$33,MATCH(Table1[[#This Row],[HomeTeam]],Standings!$A$2:$A$33,0),3),1,0)</f>
        <v>1</v>
      </c>
      <c r="AL478" s="64">
        <f>IF(Table1[[#This Row],[InterConf]]=1,IF(Table1[[#This Row],[InterDiv]]=0, 1, 0), 0)</f>
        <v>0</v>
      </c>
      <c r="AM478" s="64">
        <f>IF(INDEX(Standings!$A$2:$C$33,MATCH(Table1[[#This Row],[AwayTeam]],Standings!$A$2:$A$33,0),2)&lt;&gt;INDEX(Standings!$A$2:$C$33,MATCH(Table1[[#This Row],[HomeTeam]],Standings!$A$2:$A$33,0),2),1,0)</f>
        <v>0</v>
      </c>
      <c r="AN478" s="64" t="str">
        <f>INDEX(Table2[AWAY_RECORD], MATCH(Table1[[#This Row],[AwayTeam]],Table2[Team], 0), 0)</f>
        <v>0-0-0</v>
      </c>
      <c r="AO478" s="64" t="str">
        <f>INDEX(Records!$B$2:$AG$33, MATCH(Table1[[#This Row],[AwayTeam]],Records!$A$2:$A$33, 0), MATCH(Table1[[#This Row],[HomeTeam]],Records!$A$2:$A$33, 0))</f>
        <v>0-0-0</v>
      </c>
      <c r="AP478" s="64" t="str">
        <f>INDEX(Table2[HOME_RECORD], MATCH(Table1[[#This Row],[HomeTeam]],Table2[Team], 0), 0)</f>
        <v>0-0-0</v>
      </c>
      <c r="AQ478" s="64" t="str">
        <f>INDEX(Records!$B$2:$AG$33, MATCH(Table1[[#This Row],[HomeTeam]],Records!$A$2:$A$33, 0), MATCH(Table1[[#This Row],[AwayTeam]],Records!$A$2:$A$33, 0))</f>
        <v>0-0-0</v>
      </c>
    </row>
    <row r="479" spans="1:43" x14ac:dyDescent="0.25">
      <c r="A479" s="1"/>
      <c r="D479" t="s">
        <v>726</v>
      </c>
      <c r="E479" t="s">
        <v>162</v>
      </c>
      <c r="F479" t="s">
        <v>731</v>
      </c>
      <c r="G479" t="s">
        <v>52</v>
      </c>
      <c r="H479" t="s">
        <v>47</v>
      </c>
      <c r="L47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7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79" s="1"/>
      <c r="T479" s="64" t="str">
        <f>IF(Table1[[#This Row],[ActualWinner]]="", "", IF(Table1[[#This Row],[AwayTeam]]=Table1[[#This Row],[ActualWinner]],Table1[[#This Row],[HomeTeam]],Table1[[#This Row],[AwayTeam]]))</f>
        <v/>
      </c>
      <c r="U479" s="64">
        <f>Table1[[#This Row],[ActualAwayScore]]-Table1[[#This Row],[PredictedAwayScore]]</f>
        <v>0</v>
      </c>
      <c r="V479" s="64">
        <f>Table1[[#This Row],[ActualHomeScore]]-Table1[[#This Row],[PredictedHomeScore]]</f>
        <v>0</v>
      </c>
      <c r="W479" s="64">
        <f>(0.8*IF(Table1[[#This Row],[CorrectWinnerPrediction]]=1, 1, 0))+(0.1*IF(Table1[[#This Row],[CorrectAwayScorePrediction]]=1, 1, 0))+(0.1*IF(Table1[[#This Row],[CorrectHomeScorePrediction]]=1, 1, 0))</f>
        <v>0</v>
      </c>
      <c r="X47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79" s="64">
        <f>SUMIF(Table1[GameDate], Table1[[#This Row],[GameDate]], Table1[AwayGameGoalDiff])</f>
        <v>0</v>
      </c>
      <c r="AA479" s="64">
        <f>SUMIF(Table1[GameDate], Table1[[#This Row],[GameDate]], Table1[HomeGameGoalDiff])</f>
        <v>0</v>
      </c>
      <c r="AB479" s="64">
        <f>IF(ISBLANK(Table1[[#This Row],[ActualResult]]), 0, 1)</f>
        <v>0</v>
      </c>
      <c r="AC479" s="64">
        <f>IF(ISBLANK(Table1[[#This Row],[ActualResult]]), 0, IF(Table1[[#This Row],[ActualWinner]]=Table1[[#This Row],[PredictedWinner]], 1, 0))</f>
        <v>0</v>
      </c>
      <c r="AD47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7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79" s="64">
        <f>IF(AND(Table1[[#This Row],[GameIsOver]]=1,Table1[[#This Row],[ActualAwayScore]]=0), 1,0)</f>
        <v>0</v>
      </c>
      <c r="AG479" s="64">
        <f>IF(AND(Table1[[#This Row],[GameIsOver]]=1,Table1[[#This Row],[ActualHomeScore]]=0), 1,0)</f>
        <v>0</v>
      </c>
      <c r="AH479" s="64">
        <f>IF(Table1[[#This Row],[GameIsOver]]=0,0,IF(Table1[[#This Row],[ActualWinner]]=Table1[[#This Row],[AwayTeam]], 1, 0))</f>
        <v>0</v>
      </c>
      <c r="AI479" s="64">
        <f>IF(Table1[[#This Row],[GameIsOver]]=0,0,IF(Table1[[#This Row],[ActualWinner]]=Table1[[#This Row],[HomeTeam]], 1, 0))</f>
        <v>0</v>
      </c>
      <c r="AJ479" s="64">
        <f>IF(INDEX(Standings!$A$2:$C$33,MATCH(Table1[[#This Row],[AwayTeam]],Standings!$A$2:$A$33,0),2)=INDEX(Standings!$A$2:$C$33,MATCH(Table1[[#This Row],[HomeTeam]],Standings!$A$2:$A$33,0),2),1,0)</f>
        <v>1</v>
      </c>
      <c r="AK479" s="64">
        <f>IF(INDEX(Standings!$A$2:$C$33,MATCH(Table1[[#This Row],[AwayTeam]],Standings!$A$2:$A$33,0),3)=INDEX(Standings!$A$2:$C$33,MATCH(Table1[[#This Row],[HomeTeam]],Standings!$A$2:$A$33,0),3),1,0)</f>
        <v>1</v>
      </c>
      <c r="AL479" s="64">
        <f>IF(Table1[[#This Row],[InterConf]]=1,IF(Table1[[#This Row],[InterDiv]]=0, 1, 0), 0)</f>
        <v>0</v>
      </c>
      <c r="AM479" s="64">
        <f>IF(INDEX(Standings!$A$2:$C$33,MATCH(Table1[[#This Row],[AwayTeam]],Standings!$A$2:$A$33,0),2)&lt;&gt;INDEX(Standings!$A$2:$C$33,MATCH(Table1[[#This Row],[HomeTeam]],Standings!$A$2:$A$33,0),2),1,0)</f>
        <v>0</v>
      </c>
      <c r="AN479" s="64" t="str">
        <f>INDEX(Table2[AWAY_RECORD], MATCH(Table1[[#This Row],[AwayTeam]],Table2[Team], 0), 0)</f>
        <v>0-0-0</v>
      </c>
      <c r="AO479" s="64" t="str">
        <f>INDEX(Records!$B$2:$AG$33, MATCH(Table1[[#This Row],[AwayTeam]],Records!$A$2:$A$33, 0), MATCH(Table1[[#This Row],[HomeTeam]],Records!$A$2:$A$33, 0))</f>
        <v>0-0-0</v>
      </c>
      <c r="AP479" s="64" t="str">
        <f>INDEX(Table2[HOME_RECORD], MATCH(Table1[[#This Row],[HomeTeam]],Table2[Team], 0), 0)</f>
        <v>0-0-0</v>
      </c>
      <c r="AQ479" s="64" t="str">
        <f>INDEX(Records!$B$2:$AG$33, MATCH(Table1[[#This Row],[HomeTeam]],Records!$A$2:$A$33, 0), MATCH(Table1[[#This Row],[AwayTeam]],Records!$A$2:$A$33, 0))</f>
        <v>0-0-0</v>
      </c>
    </row>
    <row r="480" spans="1:43" x14ac:dyDescent="0.25">
      <c r="A480" s="1"/>
      <c r="D480" t="s">
        <v>726</v>
      </c>
      <c r="E480" t="s">
        <v>162</v>
      </c>
      <c r="F480" t="s">
        <v>732</v>
      </c>
      <c r="G480" t="s">
        <v>45</v>
      </c>
      <c r="H480" t="s">
        <v>16</v>
      </c>
      <c r="L48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8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80" s="1"/>
      <c r="T480" s="64" t="str">
        <f>IF(Table1[[#This Row],[ActualWinner]]="", "", IF(Table1[[#This Row],[AwayTeam]]=Table1[[#This Row],[ActualWinner]],Table1[[#This Row],[HomeTeam]],Table1[[#This Row],[AwayTeam]]))</f>
        <v/>
      </c>
      <c r="U480" s="64">
        <f>Table1[[#This Row],[ActualAwayScore]]-Table1[[#This Row],[PredictedAwayScore]]</f>
        <v>0</v>
      </c>
      <c r="V480" s="64">
        <f>Table1[[#This Row],[ActualHomeScore]]-Table1[[#This Row],[PredictedHomeScore]]</f>
        <v>0</v>
      </c>
      <c r="W480" s="64">
        <f>(0.8*IF(Table1[[#This Row],[CorrectWinnerPrediction]]=1, 1, 0))+(0.1*IF(Table1[[#This Row],[CorrectAwayScorePrediction]]=1, 1, 0))+(0.1*IF(Table1[[#This Row],[CorrectHomeScorePrediction]]=1, 1, 0))</f>
        <v>0</v>
      </c>
      <c r="X48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80" s="64">
        <f>SUMIF(Table1[GameDate], Table1[[#This Row],[GameDate]], Table1[AwayGameGoalDiff])</f>
        <v>0</v>
      </c>
      <c r="AA480" s="64">
        <f>SUMIF(Table1[GameDate], Table1[[#This Row],[GameDate]], Table1[HomeGameGoalDiff])</f>
        <v>0</v>
      </c>
      <c r="AB480" s="64">
        <f>IF(ISBLANK(Table1[[#This Row],[ActualResult]]), 0, 1)</f>
        <v>0</v>
      </c>
      <c r="AC480" s="64">
        <f>IF(ISBLANK(Table1[[#This Row],[ActualResult]]), 0, IF(Table1[[#This Row],[ActualWinner]]=Table1[[#This Row],[PredictedWinner]], 1, 0))</f>
        <v>0</v>
      </c>
      <c r="AD48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8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80" s="64">
        <f>IF(AND(Table1[[#This Row],[GameIsOver]]=1,Table1[[#This Row],[ActualAwayScore]]=0), 1,0)</f>
        <v>0</v>
      </c>
      <c r="AG480" s="64">
        <f>IF(AND(Table1[[#This Row],[GameIsOver]]=1,Table1[[#This Row],[ActualHomeScore]]=0), 1,0)</f>
        <v>0</v>
      </c>
      <c r="AH480" s="64">
        <f>IF(Table1[[#This Row],[GameIsOver]]=0,0,IF(Table1[[#This Row],[ActualWinner]]=Table1[[#This Row],[AwayTeam]], 1, 0))</f>
        <v>0</v>
      </c>
      <c r="AI480" s="64">
        <f>IF(Table1[[#This Row],[GameIsOver]]=0,0,IF(Table1[[#This Row],[ActualWinner]]=Table1[[#This Row],[HomeTeam]], 1, 0))</f>
        <v>0</v>
      </c>
      <c r="AJ480" s="64">
        <f>IF(INDEX(Standings!$A$2:$C$33,MATCH(Table1[[#This Row],[AwayTeam]],Standings!$A$2:$A$33,0),2)=INDEX(Standings!$A$2:$C$33,MATCH(Table1[[#This Row],[HomeTeam]],Standings!$A$2:$A$33,0),2),1,0)</f>
        <v>1</v>
      </c>
      <c r="AK480" s="64">
        <f>IF(INDEX(Standings!$A$2:$C$33,MATCH(Table1[[#This Row],[AwayTeam]],Standings!$A$2:$A$33,0),3)=INDEX(Standings!$A$2:$C$33,MATCH(Table1[[#This Row],[HomeTeam]],Standings!$A$2:$A$33,0),3),1,0)</f>
        <v>0</v>
      </c>
      <c r="AL480" s="64">
        <f>IF(Table1[[#This Row],[InterConf]]=1,IF(Table1[[#This Row],[InterDiv]]=0, 1, 0), 0)</f>
        <v>1</v>
      </c>
      <c r="AM480" s="64">
        <f>IF(INDEX(Standings!$A$2:$C$33,MATCH(Table1[[#This Row],[AwayTeam]],Standings!$A$2:$A$33,0),2)&lt;&gt;INDEX(Standings!$A$2:$C$33,MATCH(Table1[[#This Row],[HomeTeam]],Standings!$A$2:$A$33,0),2),1,0)</f>
        <v>0</v>
      </c>
      <c r="AN480" s="64" t="str">
        <f>INDEX(Table2[AWAY_RECORD], MATCH(Table1[[#This Row],[AwayTeam]],Table2[Team], 0), 0)</f>
        <v>1-0-0</v>
      </c>
      <c r="AO480" s="64" t="str">
        <f>INDEX(Records!$B$2:$AG$33, MATCH(Table1[[#This Row],[AwayTeam]],Records!$A$2:$A$33, 0), MATCH(Table1[[#This Row],[HomeTeam]],Records!$A$2:$A$33, 0))</f>
        <v>0-0-0</v>
      </c>
      <c r="AP480" s="64" t="str">
        <f>INDEX(Table2[HOME_RECORD], MATCH(Table1[[#This Row],[HomeTeam]],Table2[Team], 0), 0)</f>
        <v>0-0-0</v>
      </c>
      <c r="AQ480" s="64" t="str">
        <f>INDEX(Records!$B$2:$AG$33, MATCH(Table1[[#This Row],[HomeTeam]],Records!$A$2:$A$33, 0), MATCH(Table1[[#This Row],[AwayTeam]],Records!$A$2:$A$33, 0))</f>
        <v>0-0-0</v>
      </c>
    </row>
    <row r="481" spans="1:43" x14ac:dyDescent="0.25">
      <c r="A481" s="1"/>
      <c r="D481" t="s">
        <v>726</v>
      </c>
      <c r="E481" t="s">
        <v>178</v>
      </c>
      <c r="F481" t="s">
        <v>733</v>
      </c>
      <c r="G481" t="s">
        <v>60</v>
      </c>
      <c r="H481" t="s">
        <v>36</v>
      </c>
      <c r="L48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8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81" s="1"/>
      <c r="T481" s="64" t="str">
        <f>IF(Table1[[#This Row],[ActualWinner]]="", "", IF(Table1[[#This Row],[AwayTeam]]=Table1[[#This Row],[ActualWinner]],Table1[[#This Row],[HomeTeam]],Table1[[#This Row],[AwayTeam]]))</f>
        <v/>
      </c>
      <c r="U481" s="64">
        <f>Table1[[#This Row],[ActualAwayScore]]-Table1[[#This Row],[PredictedAwayScore]]</f>
        <v>0</v>
      </c>
      <c r="V481" s="64">
        <f>Table1[[#This Row],[ActualHomeScore]]-Table1[[#This Row],[PredictedHomeScore]]</f>
        <v>0</v>
      </c>
      <c r="W481" s="64">
        <f>(0.8*IF(Table1[[#This Row],[CorrectWinnerPrediction]]=1, 1, 0))+(0.1*IF(Table1[[#This Row],[CorrectAwayScorePrediction]]=1, 1, 0))+(0.1*IF(Table1[[#This Row],[CorrectHomeScorePrediction]]=1, 1, 0))</f>
        <v>0</v>
      </c>
      <c r="X48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81" s="64">
        <f>SUMIF(Table1[GameDate], Table1[[#This Row],[GameDate]], Table1[AwayGameGoalDiff])</f>
        <v>0</v>
      </c>
      <c r="AA481" s="64">
        <f>SUMIF(Table1[GameDate], Table1[[#This Row],[GameDate]], Table1[HomeGameGoalDiff])</f>
        <v>0</v>
      </c>
      <c r="AB481" s="64">
        <f>IF(ISBLANK(Table1[[#This Row],[ActualResult]]), 0, 1)</f>
        <v>0</v>
      </c>
      <c r="AC481" s="64">
        <f>IF(ISBLANK(Table1[[#This Row],[ActualResult]]), 0, IF(Table1[[#This Row],[ActualWinner]]=Table1[[#This Row],[PredictedWinner]], 1, 0))</f>
        <v>0</v>
      </c>
      <c r="AD48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8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81" s="64">
        <f>IF(AND(Table1[[#This Row],[GameIsOver]]=1,Table1[[#This Row],[ActualAwayScore]]=0), 1,0)</f>
        <v>0</v>
      </c>
      <c r="AG481" s="64">
        <f>IF(AND(Table1[[#This Row],[GameIsOver]]=1,Table1[[#This Row],[ActualHomeScore]]=0), 1,0)</f>
        <v>0</v>
      </c>
      <c r="AH481" s="64">
        <f>IF(Table1[[#This Row],[GameIsOver]]=0,0,IF(Table1[[#This Row],[ActualWinner]]=Table1[[#This Row],[AwayTeam]], 1, 0))</f>
        <v>0</v>
      </c>
      <c r="AI481" s="64">
        <f>IF(Table1[[#This Row],[GameIsOver]]=0,0,IF(Table1[[#This Row],[ActualWinner]]=Table1[[#This Row],[HomeTeam]], 1, 0))</f>
        <v>0</v>
      </c>
      <c r="AJ481" s="64">
        <f>IF(INDEX(Standings!$A$2:$C$33,MATCH(Table1[[#This Row],[AwayTeam]],Standings!$A$2:$A$33,0),2)=INDEX(Standings!$A$2:$C$33,MATCH(Table1[[#This Row],[HomeTeam]],Standings!$A$2:$A$33,0),2),1,0)</f>
        <v>1</v>
      </c>
      <c r="AK481" s="64">
        <f>IF(INDEX(Standings!$A$2:$C$33,MATCH(Table1[[#This Row],[AwayTeam]],Standings!$A$2:$A$33,0),3)=INDEX(Standings!$A$2:$C$33,MATCH(Table1[[#This Row],[HomeTeam]],Standings!$A$2:$A$33,0),3),1,0)</f>
        <v>0</v>
      </c>
      <c r="AL481" s="64">
        <f>IF(Table1[[#This Row],[InterConf]]=1,IF(Table1[[#This Row],[InterDiv]]=0, 1, 0), 0)</f>
        <v>1</v>
      </c>
      <c r="AM481" s="64">
        <f>IF(INDEX(Standings!$A$2:$C$33,MATCH(Table1[[#This Row],[AwayTeam]],Standings!$A$2:$A$33,0),2)&lt;&gt;INDEX(Standings!$A$2:$C$33,MATCH(Table1[[#This Row],[HomeTeam]],Standings!$A$2:$A$33,0),2),1,0)</f>
        <v>0</v>
      </c>
      <c r="AN481" s="64" t="str">
        <f>INDEX(Table2[AWAY_RECORD], MATCH(Table1[[#This Row],[AwayTeam]],Table2[Team], 0), 0)</f>
        <v>0-0-0</v>
      </c>
      <c r="AO481" s="64" t="str">
        <f>INDEX(Records!$B$2:$AG$33, MATCH(Table1[[#This Row],[AwayTeam]],Records!$A$2:$A$33, 0), MATCH(Table1[[#This Row],[HomeTeam]],Records!$A$2:$A$33, 0))</f>
        <v>0-0-0</v>
      </c>
      <c r="AP481" s="64" t="str">
        <f>INDEX(Table2[HOME_RECORD], MATCH(Table1[[#This Row],[HomeTeam]],Table2[Team], 0), 0)</f>
        <v>0-0-0</v>
      </c>
      <c r="AQ481" s="64" t="str">
        <f>INDEX(Records!$B$2:$AG$33, MATCH(Table1[[#This Row],[HomeTeam]],Records!$A$2:$A$33, 0), MATCH(Table1[[#This Row],[AwayTeam]],Records!$A$2:$A$33, 0))</f>
        <v>0-0-0</v>
      </c>
    </row>
    <row r="482" spans="1:43" x14ac:dyDescent="0.25">
      <c r="A482" s="1"/>
      <c r="D482" t="s">
        <v>726</v>
      </c>
      <c r="E482" t="s">
        <v>178</v>
      </c>
      <c r="F482" t="s">
        <v>734</v>
      </c>
      <c r="G482" t="s">
        <v>38</v>
      </c>
      <c r="H482" t="s">
        <v>56</v>
      </c>
      <c r="L48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8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82" s="1"/>
      <c r="T482" s="64" t="str">
        <f>IF(Table1[[#This Row],[ActualWinner]]="", "", IF(Table1[[#This Row],[AwayTeam]]=Table1[[#This Row],[ActualWinner]],Table1[[#This Row],[HomeTeam]],Table1[[#This Row],[AwayTeam]]))</f>
        <v/>
      </c>
      <c r="U482" s="64">
        <f>Table1[[#This Row],[ActualAwayScore]]-Table1[[#This Row],[PredictedAwayScore]]</f>
        <v>0</v>
      </c>
      <c r="V482" s="64">
        <f>Table1[[#This Row],[ActualHomeScore]]-Table1[[#This Row],[PredictedHomeScore]]</f>
        <v>0</v>
      </c>
      <c r="W482" s="64">
        <f>(0.8*IF(Table1[[#This Row],[CorrectWinnerPrediction]]=1, 1, 0))+(0.1*IF(Table1[[#This Row],[CorrectAwayScorePrediction]]=1, 1, 0))+(0.1*IF(Table1[[#This Row],[CorrectHomeScorePrediction]]=1, 1, 0))</f>
        <v>0</v>
      </c>
      <c r="X48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82" s="64">
        <f>SUMIF(Table1[GameDate], Table1[[#This Row],[GameDate]], Table1[AwayGameGoalDiff])</f>
        <v>0</v>
      </c>
      <c r="AA482" s="64">
        <f>SUMIF(Table1[GameDate], Table1[[#This Row],[GameDate]], Table1[HomeGameGoalDiff])</f>
        <v>0</v>
      </c>
      <c r="AB482" s="64">
        <f>IF(ISBLANK(Table1[[#This Row],[ActualResult]]), 0, 1)</f>
        <v>0</v>
      </c>
      <c r="AC482" s="64">
        <f>IF(ISBLANK(Table1[[#This Row],[ActualResult]]), 0, IF(Table1[[#This Row],[ActualWinner]]=Table1[[#This Row],[PredictedWinner]], 1, 0))</f>
        <v>0</v>
      </c>
      <c r="AD48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8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82" s="64">
        <f>IF(AND(Table1[[#This Row],[GameIsOver]]=1,Table1[[#This Row],[ActualAwayScore]]=0), 1,0)</f>
        <v>0</v>
      </c>
      <c r="AG482" s="64">
        <f>IF(AND(Table1[[#This Row],[GameIsOver]]=1,Table1[[#This Row],[ActualHomeScore]]=0), 1,0)</f>
        <v>0</v>
      </c>
      <c r="AH482" s="64">
        <f>IF(Table1[[#This Row],[GameIsOver]]=0,0,IF(Table1[[#This Row],[ActualWinner]]=Table1[[#This Row],[AwayTeam]], 1, 0))</f>
        <v>0</v>
      </c>
      <c r="AI482" s="64">
        <f>IF(Table1[[#This Row],[GameIsOver]]=0,0,IF(Table1[[#This Row],[ActualWinner]]=Table1[[#This Row],[HomeTeam]], 1, 0))</f>
        <v>0</v>
      </c>
      <c r="AJ482" s="64">
        <f>IF(INDEX(Standings!$A$2:$C$33,MATCH(Table1[[#This Row],[AwayTeam]],Standings!$A$2:$A$33,0),2)=INDEX(Standings!$A$2:$C$33,MATCH(Table1[[#This Row],[HomeTeam]],Standings!$A$2:$A$33,0),2),1,0)</f>
        <v>0</v>
      </c>
      <c r="AK482" s="64">
        <f>IF(INDEX(Standings!$A$2:$C$33,MATCH(Table1[[#This Row],[AwayTeam]],Standings!$A$2:$A$33,0),3)=INDEX(Standings!$A$2:$C$33,MATCH(Table1[[#This Row],[HomeTeam]],Standings!$A$2:$A$33,0),3),1,0)</f>
        <v>0</v>
      </c>
      <c r="AL482" s="64">
        <f>IF(Table1[[#This Row],[InterConf]]=1,IF(Table1[[#This Row],[InterDiv]]=0, 1, 0), 0)</f>
        <v>0</v>
      </c>
      <c r="AM482" s="64">
        <f>IF(INDEX(Standings!$A$2:$C$33,MATCH(Table1[[#This Row],[AwayTeam]],Standings!$A$2:$A$33,0),2)&lt;&gt;INDEX(Standings!$A$2:$C$33,MATCH(Table1[[#This Row],[HomeTeam]],Standings!$A$2:$A$33,0),2),1,0)</f>
        <v>1</v>
      </c>
      <c r="AN482" s="64" t="str">
        <f>INDEX(Table2[AWAY_RECORD], MATCH(Table1[[#This Row],[AwayTeam]],Table2[Team], 0), 0)</f>
        <v>0-0-1</v>
      </c>
      <c r="AO482" s="64" t="str">
        <f>INDEX(Records!$B$2:$AG$33, MATCH(Table1[[#This Row],[AwayTeam]],Records!$A$2:$A$33, 0), MATCH(Table1[[#This Row],[HomeTeam]],Records!$A$2:$A$33, 0))</f>
        <v>0-0-0</v>
      </c>
      <c r="AP482" s="64" t="str">
        <f>INDEX(Table2[HOME_RECORD], MATCH(Table1[[#This Row],[HomeTeam]],Table2[Team], 0), 0)</f>
        <v>0-0-0</v>
      </c>
      <c r="AQ482" s="64" t="str">
        <f>INDEX(Records!$B$2:$AG$33, MATCH(Table1[[#This Row],[HomeTeam]],Records!$A$2:$A$33, 0), MATCH(Table1[[#This Row],[AwayTeam]],Records!$A$2:$A$33, 0))</f>
        <v>0-0-0</v>
      </c>
    </row>
    <row r="483" spans="1:43" x14ac:dyDescent="0.25">
      <c r="A483" s="1"/>
      <c r="D483" t="s">
        <v>735</v>
      </c>
      <c r="E483" t="s">
        <v>432</v>
      </c>
      <c r="F483" t="s">
        <v>736</v>
      </c>
      <c r="G483" t="s">
        <v>41</v>
      </c>
      <c r="H483" t="s">
        <v>50</v>
      </c>
      <c r="L48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8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83" s="1"/>
      <c r="T483" s="64" t="str">
        <f>IF(Table1[[#This Row],[ActualWinner]]="", "", IF(Table1[[#This Row],[AwayTeam]]=Table1[[#This Row],[ActualWinner]],Table1[[#This Row],[HomeTeam]],Table1[[#This Row],[AwayTeam]]))</f>
        <v/>
      </c>
      <c r="U483" s="64">
        <f>Table1[[#This Row],[ActualAwayScore]]-Table1[[#This Row],[PredictedAwayScore]]</f>
        <v>0</v>
      </c>
      <c r="V483" s="64">
        <f>Table1[[#This Row],[ActualHomeScore]]-Table1[[#This Row],[PredictedHomeScore]]</f>
        <v>0</v>
      </c>
      <c r="W483" s="64">
        <f>(0.8*IF(Table1[[#This Row],[CorrectWinnerPrediction]]=1, 1, 0))+(0.1*IF(Table1[[#This Row],[CorrectAwayScorePrediction]]=1, 1, 0))+(0.1*IF(Table1[[#This Row],[CorrectHomeScorePrediction]]=1, 1, 0))</f>
        <v>0</v>
      </c>
      <c r="X48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83" s="64">
        <f>SUMIF(Table1[GameDate], Table1[[#This Row],[GameDate]], Table1[AwayGameGoalDiff])</f>
        <v>0</v>
      </c>
      <c r="AA483" s="64">
        <f>SUMIF(Table1[GameDate], Table1[[#This Row],[GameDate]], Table1[HomeGameGoalDiff])</f>
        <v>0</v>
      </c>
      <c r="AB483" s="64">
        <f>IF(ISBLANK(Table1[[#This Row],[ActualResult]]), 0, 1)</f>
        <v>0</v>
      </c>
      <c r="AC483" s="64">
        <f>IF(ISBLANK(Table1[[#This Row],[ActualResult]]), 0, IF(Table1[[#This Row],[ActualWinner]]=Table1[[#This Row],[PredictedWinner]], 1, 0))</f>
        <v>0</v>
      </c>
      <c r="AD48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8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83" s="64">
        <f>IF(AND(Table1[[#This Row],[GameIsOver]]=1,Table1[[#This Row],[ActualAwayScore]]=0), 1,0)</f>
        <v>0</v>
      </c>
      <c r="AG483" s="64">
        <f>IF(AND(Table1[[#This Row],[GameIsOver]]=1,Table1[[#This Row],[ActualHomeScore]]=0), 1,0)</f>
        <v>0</v>
      </c>
      <c r="AH483" s="64">
        <f>IF(Table1[[#This Row],[GameIsOver]]=0,0,IF(Table1[[#This Row],[ActualWinner]]=Table1[[#This Row],[AwayTeam]], 1, 0))</f>
        <v>0</v>
      </c>
      <c r="AI483" s="64">
        <f>IF(Table1[[#This Row],[GameIsOver]]=0,0,IF(Table1[[#This Row],[ActualWinner]]=Table1[[#This Row],[HomeTeam]], 1, 0))</f>
        <v>0</v>
      </c>
      <c r="AJ483" s="64">
        <f>IF(INDEX(Standings!$A$2:$C$33,MATCH(Table1[[#This Row],[AwayTeam]],Standings!$A$2:$A$33,0),2)=INDEX(Standings!$A$2:$C$33,MATCH(Table1[[#This Row],[HomeTeam]],Standings!$A$2:$A$33,0),2),1,0)</f>
        <v>0</v>
      </c>
      <c r="AK483" s="64">
        <f>IF(INDEX(Standings!$A$2:$C$33,MATCH(Table1[[#This Row],[AwayTeam]],Standings!$A$2:$A$33,0),3)=INDEX(Standings!$A$2:$C$33,MATCH(Table1[[#This Row],[HomeTeam]],Standings!$A$2:$A$33,0),3),1,0)</f>
        <v>0</v>
      </c>
      <c r="AL483" s="64">
        <f>IF(Table1[[#This Row],[InterConf]]=1,IF(Table1[[#This Row],[InterDiv]]=0, 1, 0), 0)</f>
        <v>0</v>
      </c>
      <c r="AM483" s="64">
        <f>IF(INDEX(Standings!$A$2:$C$33,MATCH(Table1[[#This Row],[AwayTeam]],Standings!$A$2:$A$33,0),2)&lt;&gt;INDEX(Standings!$A$2:$C$33,MATCH(Table1[[#This Row],[HomeTeam]],Standings!$A$2:$A$33,0),2),1,0)</f>
        <v>1</v>
      </c>
      <c r="AN483" s="64" t="str">
        <f>INDEX(Table2[AWAY_RECORD], MATCH(Table1[[#This Row],[AwayTeam]],Table2[Team], 0), 0)</f>
        <v>0-0-0</v>
      </c>
      <c r="AO483" s="64" t="str">
        <f>INDEX(Records!$B$2:$AG$33, MATCH(Table1[[#This Row],[AwayTeam]],Records!$A$2:$A$33, 0), MATCH(Table1[[#This Row],[HomeTeam]],Records!$A$2:$A$33, 0))</f>
        <v>0-0-0</v>
      </c>
      <c r="AP483" s="64" t="str">
        <f>INDEX(Table2[HOME_RECORD], MATCH(Table1[[#This Row],[HomeTeam]],Table2[Team], 0), 0)</f>
        <v>0-0-0</v>
      </c>
      <c r="AQ483" s="64" t="str">
        <f>INDEX(Records!$B$2:$AG$33, MATCH(Table1[[#This Row],[HomeTeam]],Records!$A$2:$A$33, 0), MATCH(Table1[[#This Row],[AwayTeam]],Records!$A$2:$A$33, 0))</f>
        <v>0-0-0</v>
      </c>
    </row>
    <row r="484" spans="1:43" x14ac:dyDescent="0.25">
      <c r="A484" s="1"/>
      <c r="D484" t="s">
        <v>735</v>
      </c>
      <c r="E484" t="s">
        <v>162</v>
      </c>
      <c r="F484" t="s">
        <v>737</v>
      </c>
      <c r="G484" t="s">
        <v>42</v>
      </c>
      <c r="H484" t="s">
        <v>57</v>
      </c>
      <c r="L48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8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84" s="1"/>
      <c r="T484" s="64" t="str">
        <f>IF(Table1[[#This Row],[ActualWinner]]="", "", IF(Table1[[#This Row],[AwayTeam]]=Table1[[#This Row],[ActualWinner]],Table1[[#This Row],[HomeTeam]],Table1[[#This Row],[AwayTeam]]))</f>
        <v/>
      </c>
      <c r="U484" s="64">
        <f>Table1[[#This Row],[ActualAwayScore]]-Table1[[#This Row],[PredictedAwayScore]]</f>
        <v>0</v>
      </c>
      <c r="V484" s="64">
        <f>Table1[[#This Row],[ActualHomeScore]]-Table1[[#This Row],[PredictedHomeScore]]</f>
        <v>0</v>
      </c>
      <c r="W484" s="64">
        <f>(0.8*IF(Table1[[#This Row],[CorrectWinnerPrediction]]=1, 1, 0))+(0.1*IF(Table1[[#This Row],[CorrectAwayScorePrediction]]=1, 1, 0))+(0.1*IF(Table1[[#This Row],[CorrectHomeScorePrediction]]=1, 1, 0))</f>
        <v>0</v>
      </c>
      <c r="X48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84" s="64">
        <f>SUMIF(Table1[GameDate], Table1[[#This Row],[GameDate]], Table1[AwayGameGoalDiff])</f>
        <v>0</v>
      </c>
      <c r="AA484" s="64">
        <f>SUMIF(Table1[GameDate], Table1[[#This Row],[GameDate]], Table1[HomeGameGoalDiff])</f>
        <v>0</v>
      </c>
      <c r="AB484" s="64">
        <f>IF(ISBLANK(Table1[[#This Row],[ActualResult]]), 0, 1)</f>
        <v>0</v>
      </c>
      <c r="AC484" s="64">
        <f>IF(ISBLANK(Table1[[#This Row],[ActualResult]]), 0, IF(Table1[[#This Row],[ActualWinner]]=Table1[[#This Row],[PredictedWinner]], 1, 0))</f>
        <v>0</v>
      </c>
      <c r="AD48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8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84" s="64">
        <f>IF(AND(Table1[[#This Row],[GameIsOver]]=1,Table1[[#This Row],[ActualAwayScore]]=0), 1,0)</f>
        <v>0</v>
      </c>
      <c r="AG484" s="64">
        <f>IF(AND(Table1[[#This Row],[GameIsOver]]=1,Table1[[#This Row],[ActualHomeScore]]=0), 1,0)</f>
        <v>0</v>
      </c>
      <c r="AH484" s="64">
        <f>IF(Table1[[#This Row],[GameIsOver]]=0,0,IF(Table1[[#This Row],[ActualWinner]]=Table1[[#This Row],[AwayTeam]], 1, 0))</f>
        <v>0</v>
      </c>
      <c r="AI484" s="64">
        <f>IF(Table1[[#This Row],[GameIsOver]]=0,0,IF(Table1[[#This Row],[ActualWinner]]=Table1[[#This Row],[HomeTeam]], 1, 0))</f>
        <v>0</v>
      </c>
      <c r="AJ484" s="64">
        <f>IF(INDEX(Standings!$A$2:$C$33,MATCH(Table1[[#This Row],[AwayTeam]],Standings!$A$2:$A$33,0),2)=INDEX(Standings!$A$2:$C$33,MATCH(Table1[[#This Row],[HomeTeam]],Standings!$A$2:$A$33,0),2),1,0)</f>
        <v>1</v>
      </c>
      <c r="AK484" s="64">
        <f>IF(INDEX(Standings!$A$2:$C$33,MATCH(Table1[[#This Row],[AwayTeam]],Standings!$A$2:$A$33,0),3)=INDEX(Standings!$A$2:$C$33,MATCH(Table1[[#This Row],[HomeTeam]],Standings!$A$2:$A$33,0),3),1,0)</f>
        <v>0</v>
      </c>
      <c r="AL484" s="64">
        <f>IF(Table1[[#This Row],[InterConf]]=1,IF(Table1[[#This Row],[InterDiv]]=0, 1, 0), 0)</f>
        <v>1</v>
      </c>
      <c r="AM484" s="64">
        <f>IF(INDEX(Standings!$A$2:$C$33,MATCH(Table1[[#This Row],[AwayTeam]],Standings!$A$2:$A$33,0),2)&lt;&gt;INDEX(Standings!$A$2:$C$33,MATCH(Table1[[#This Row],[HomeTeam]],Standings!$A$2:$A$33,0),2),1,0)</f>
        <v>0</v>
      </c>
      <c r="AN484" s="64" t="str">
        <f>INDEX(Table2[AWAY_RECORD], MATCH(Table1[[#This Row],[AwayTeam]],Table2[Team], 0), 0)</f>
        <v>0-0-0</v>
      </c>
      <c r="AO484" s="64" t="str">
        <f>INDEX(Records!$B$2:$AG$33, MATCH(Table1[[#This Row],[AwayTeam]],Records!$A$2:$A$33, 0), MATCH(Table1[[#This Row],[HomeTeam]],Records!$A$2:$A$33, 0))</f>
        <v>0-0-0</v>
      </c>
      <c r="AP484" s="64" t="str">
        <f>INDEX(Table2[HOME_RECORD], MATCH(Table1[[#This Row],[HomeTeam]],Table2[Team], 0), 0)</f>
        <v>0-0-0</v>
      </c>
      <c r="AQ484" s="64" t="str">
        <f>INDEX(Records!$B$2:$AG$33, MATCH(Table1[[#This Row],[HomeTeam]],Records!$A$2:$A$33, 0), MATCH(Table1[[#This Row],[AwayTeam]],Records!$A$2:$A$33, 0))</f>
        <v>0-0-0</v>
      </c>
    </row>
    <row r="485" spans="1:43" x14ac:dyDescent="0.25">
      <c r="A485" s="1"/>
      <c r="D485" t="s">
        <v>735</v>
      </c>
      <c r="E485" t="s">
        <v>162</v>
      </c>
      <c r="F485" t="s">
        <v>738</v>
      </c>
      <c r="G485" t="s">
        <v>49</v>
      </c>
      <c r="H485" t="s">
        <v>51</v>
      </c>
      <c r="L48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8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85" s="1"/>
      <c r="T485" s="64" t="str">
        <f>IF(Table1[[#This Row],[ActualWinner]]="", "", IF(Table1[[#This Row],[AwayTeam]]=Table1[[#This Row],[ActualWinner]],Table1[[#This Row],[HomeTeam]],Table1[[#This Row],[AwayTeam]]))</f>
        <v/>
      </c>
      <c r="U485" s="64">
        <f>Table1[[#This Row],[ActualAwayScore]]-Table1[[#This Row],[PredictedAwayScore]]</f>
        <v>0</v>
      </c>
      <c r="V485" s="64">
        <f>Table1[[#This Row],[ActualHomeScore]]-Table1[[#This Row],[PredictedHomeScore]]</f>
        <v>0</v>
      </c>
      <c r="W485" s="64">
        <f>(0.8*IF(Table1[[#This Row],[CorrectWinnerPrediction]]=1, 1, 0))+(0.1*IF(Table1[[#This Row],[CorrectAwayScorePrediction]]=1, 1, 0))+(0.1*IF(Table1[[#This Row],[CorrectHomeScorePrediction]]=1, 1, 0))</f>
        <v>0</v>
      </c>
      <c r="X48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85" s="64">
        <f>SUMIF(Table1[GameDate], Table1[[#This Row],[GameDate]], Table1[AwayGameGoalDiff])</f>
        <v>0</v>
      </c>
      <c r="AA485" s="64">
        <f>SUMIF(Table1[GameDate], Table1[[#This Row],[GameDate]], Table1[HomeGameGoalDiff])</f>
        <v>0</v>
      </c>
      <c r="AB485" s="64">
        <f>IF(ISBLANK(Table1[[#This Row],[ActualResult]]), 0, 1)</f>
        <v>0</v>
      </c>
      <c r="AC485" s="64">
        <f>IF(ISBLANK(Table1[[#This Row],[ActualResult]]), 0, IF(Table1[[#This Row],[ActualWinner]]=Table1[[#This Row],[PredictedWinner]], 1, 0))</f>
        <v>0</v>
      </c>
      <c r="AD48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8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85" s="64">
        <f>IF(AND(Table1[[#This Row],[GameIsOver]]=1,Table1[[#This Row],[ActualAwayScore]]=0), 1,0)</f>
        <v>0</v>
      </c>
      <c r="AG485" s="64">
        <f>IF(AND(Table1[[#This Row],[GameIsOver]]=1,Table1[[#This Row],[ActualHomeScore]]=0), 1,0)</f>
        <v>0</v>
      </c>
      <c r="AH485" s="64">
        <f>IF(Table1[[#This Row],[GameIsOver]]=0,0,IF(Table1[[#This Row],[ActualWinner]]=Table1[[#This Row],[AwayTeam]], 1, 0))</f>
        <v>0</v>
      </c>
      <c r="AI485" s="64">
        <f>IF(Table1[[#This Row],[GameIsOver]]=0,0,IF(Table1[[#This Row],[ActualWinner]]=Table1[[#This Row],[HomeTeam]], 1, 0))</f>
        <v>0</v>
      </c>
      <c r="AJ485" s="64">
        <f>IF(INDEX(Standings!$A$2:$C$33,MATCH(Table1[[#This Row],[AwayTeam]],Standings!$A$2:$A$33,0),2)=INDEX(Standings!$A$2:$C$33,MATCH(Table1[[#This Row],[HomeTeam]],Standings!$A$2:$A$33,0),2),1,0)</f>
        <v>1</v>
      </c>
      <c r="AK485" s="64">
        <f>IF(INDEX(Standings!$A$2:$C$33,MATCH(Table1[[#This Row],[AwayTeam]],Standings!$A$2:$A$33,0),3)=INDEX(Standings!$A$2:$C$33,MATCH(Table1[[#This Row],[HomeTeam]],Standings!$A$2:$A$33,0),3),1,0)</f>
        <v>1</v>
      </c>
      <c r="AL485" s="64">
        <f>IF(Table1[[#This Row],[InterConf]]=1,IF(Table1[[#This Row],[InterDiv]]=0, 1, 0), 0)</f>
        <v>0</v>
      </c>
      <c r="AM485" s="64">
        <f>IF(INDEX(Standings!$A$2:$C$33,MATCH(Table1[[#This Row],[AwayTeam]],Standings!$A$2:$A$33,0),2)&lt;&gt;INDEX(Standings!$A$2:$C$33,MATCH(Table1[[#This Row],[HomeTeam]],Standings!$A$2:$A$33,0),2),1,0)</f>
        <v>0</v>
      </c>
      <c r="AN485" s="64" t="str">
        <f>INDEX(Table2[AWAY_RECORD], MATCH(Table1[[#This Row],[AwayTeam]],Table2[Team], 0), 0)</f>
        <v>0-0-0</v>
      </c>
      <c r="AO485" s="64" t="str">
        <f>INDEX(Records!$B$2:$AG$33, MATCH(Table1[[#This Row],[AwayTeam]],Records!$A$2:$A$33, 0), MATCH(Table1[[#This Row],[HomeTeam]],Records!$A$2:$A$33, 0))</f>
        <v>0-0-0</v>
      </c>
      <c r="AP485" s="64" t="str">
        <f>INDEX(Table2[HOME_RECORD], MATCH(Table1[[#This Row],[HomeTeam]],Table2[Team], 0), 0)</f>
        <v>1-0-0</v>
      </c>
      <c r="AQ485" s="64" t="str">
        <f>INDEX(Records!$B$2:$AG$33, MATCH(Table1[[#This Row],[HomeTeam]],Records!$A$2:$A$33, 0), MATCH(Table1[[#This Row],[AwayTeam]],Records!$A$2:$A$33, 0))</f>
        <v>0-0-0</v>
      </c>
    </row>
    <row r="486" spans="1:43" x14ac:dyDescent="0.25">
      <c r="A486" s="1"/>
      <c r="D486" t="s">
        <v>735</v>
      </c>
      <c r="E486" t="s">
        <v>164</v>
      </c>
      <c r="F486" t="s">
        <v>739</v>
      </c>
      <c r="G486" t="s">
        <v>59</v>
      </c>
      <c r="H486" t="s">
        <v>23</v>
      </c>
      <c r="L48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8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86" s="1"/>
      <c r="T486" s="64" t="str">
        <f>IF(Table1[[#This Row],[ActualWinner]]="", "", IF(Table1[[#This Row],[AwayTeam]]=Table1[[#This Row],[ActualWinner]],Table1[[#This Row],[HomeTeam]],Table1[[#This Row],[AwayTeam]]))</f>
        <v/>
      </c>
      <c r="U486" s="64">
        <f>Table1[[#This Row],[ActualAwayScore]]-Table1[[#This Row],[PredictedAwayScore]]</f>
        <v>0</v>
      </c>
      <c r="V486" s="64">
        <f>Table1[[#This Row],[ActualHomeScore]]-Table1[[#This Row],[PredictedHomeScore]]</f>
        <v>0</v>
      </c>
      <c r="W486" s="64">
        <f>(0.8*IF(Table1[[#This Row],[CorrectWinnerPrediction]]=1, 1, 0))+(0.1*IF(Table1[[#This Row],[CorrectAwayScorePrediction]]=1, 1, 0))+(0.1*IF(Table1[[#This Row],[CorrectHomeScorePrediction]]=1, 1, 0))</f>
        <v>0</v>
      </c>
      <c r="X48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86" s="64">
        <f>SUMIF(Table1[GameDate], Table1[[#This Row],[GameDate]], Table1[AwayGameGoalDiff])</f>
        <v>0</v>
      </c>
      <c r="AA486" s="64">
        <f>SUMIF(Table1[GameDate], Table1[[#This Row],[GameDate]], Table1[HomeGameGoalDiff])</f>
        <v>0</v>
      </c>
      <c r="AB486" s="64">
        <f>IF(ISBLANK(Table1[[#This Row],[ActualResult]]), 0, 1)</f>
        <v>0</v>
      </c>
      <c r="AC486" s="64">
        <f>IF(ISBLANK(Table1[[#This Row],[ActualResult]]), 0, IF(Table1[[#This Row],[ActualWinner]]=Table1[[#This Row],[PredictedWinner]], 1, 0))</f>
        <v>0</v>
      </c>
      <c r="AD48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8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86" s="64">
        <f>IF(AND(Table1[[#This Row],[GameIsOver]]=1,Table1[[#This Row],[ActualAwayScore]]=0), 1,0)</f>
        <v>0</v>
      </c>
      <c r="AG486" s="64">
        <f>IF(AND(Table1[[#This Row],[GameIsOver]]=1,Table1[[#This Row],[ActualHomeScore]]=0), 1,0)</f>
        <v>0</v>
      </c>
      <c r="AH486" s="64">
        <f>IF(Table1[[#This Row],[GameIsOver]]=0,0,IF(Table1[[#This Row],[ActualWinner]]=Table1[[#This Row],[AwayTeam]], 1, 0))</f>
        <v>0</v>
      </c>
      <c r="AI486" s="64">
        <f>IF(Table1[[#This Row],[GameIsOver]]=0,0,IF(Table1[[#This Row],[ActualWinner]]=Table1[[#This Row],[HomeTeam]], 1, 0))</f>
        <v>0</v>
      </c>
      <c r="AJ486" s="64">
        <f>IF(INDEX(Standings!$A$2:$C$33,MATCH(Table1[[#This Row],[AwayTeam]],Standings!$A$2:$A$33,0),2)=INDEX(Standings!$A$2:$C$33,MATCH(Table1[[#This Row],[HomeTeam]],Standings!$A$2:$A$33,0),2),1,0)</f>
        <v>0</v>
      </c>
      <c r="AK486" s="64">
        <f>IF(INDEX(Standings!$A$2:$C$33,MATCH(Table1[[#This Row],[AwayTeam]],Standings!$A$2:$A$33,0),3)=INDEX(Standings!$A$2:$C$33,MATCH(Table1[[#This Row],[HomeTeam]],Standings!$A$2:$A$33,0),3),1,0)</f>
        <v>0</v>
      </c>
      <c r="AL486" s="64">
        <f>IF(Table1[[#This Row],[InterConf]]=1,IF(Table1[[#This Row],[InterDiv]]=0, 1, 0), 0)</f>
        <v>0</v>
      </c>
      <c r="AM486" s="64">
        <f>IF(INDEX(Standings!$A$2:$C$33,MATCH(Table1[[#This Row],[AwayTeam]],Standings!$A$2:$A$33,0),2)&lt;&gt;INDEX(Standings!$A$2:$C$33,MATCH(Table1[[#This Row],[HomeTeam]],Standings!$A$2:$A$33,0),2),1,0)</f>
        <v>1</v>
      </c>
      <c r="AN486" s="64" t="str">
        <f>INDEX(Table2[AWAY_RECORD], MATCH(Table1[[#This Row],[AwayTeam]],Table2[Team], 0), 0)</f>
        <v>0-1-0</v>
      </c>
      <c r="AO486" s="64" t="str">
        <f>INDEX(Records!$B$2:$AG$33, MATCH(Table1[[#This Row],[AwayTeam]],Records!$A$2:$A$33, 0), MATCH(Table1[[#This Row],[HomeTeam]],Records!$A$2:$A$33, 0))</f>
        <v>0-0-0</v>
      </c>
      <c r="AP486" s="64" t="str">
        <f>INDEX(Table2[HOME_RECORD], MATCH(Table1[[#This Row],[HomeTeam]],Table2[Team], 0), 0)</f>
        <v>0-0-1</v>
      </c>
      <c r="AQ486" s="64" t="str">
        <f>INDEX(Records!$B$2:$AG$33, MATCH(Table1[[#This Row],[HomeTeam]],Records!$A$2:$A$33, 0), MATCH(Table1[[#This Row],[AwayTeam]],Records!$A$2:$A$33, 0))</f>
        <v>0-0-0</v>
      </c>
    </row>
    <row r="487" spans="1:43" x14ac:dyDescent="0.25">
      <c r="A487" s="1"/>
      <c r="D487" t="s">
        <v>740</v>
      </c>
      <c r="E487" t="s">
        <v>162</v>
      </c>
      <c r="F487" t="s">
        <v>741</v>
      </c>
      <c r="G487" t="s">
        <v>25</v>
      </c>
      <c r="H487" t="s">
        <v>47</v>
      </c>
      <c r="L48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8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87" s="1"/>
      <c r="T487" s="64" t="str">
        <f>IF(Table1[[#This Row],[ActualWinner]]="", "", IF(Table1[[#This Row],[AwayTeam]]=Table1[[#This Row],[ActualWinner]],Table1[[#This Row],[HomeTeam]],Table1[[#This Row],[AwayTeam]]))</f>
        <v/>
      </c>
      <c r="U487" s="64">
        <f>Table1[[#This Row],[ActualAwayScore]]-Table1[[#This Row],[PredictedAwayScore]]</f>
        <v>0</v>
      </c>
      <c r="V487" s="64">
        <f>Table1[[#This Row],[ActualHomeScore]]-Table1[[#This Row],[PredictedHomeScore]]</f>
        <v>0</v>
      </c>
      <c r="W487" s="64">
        <f>(0.8*IF(Table1[[#This Row],[CorrectWinnerPrediction]]=1, 1, 0))+(0.1*IF(Table1[[#This Row],[CorrectAwayScorePrediction]]=1, 1, 0))+(0.1*IF(Table1[[#This Row],[CorrectHomeScorePrediction]]=1, 1, 0))</f>
        <v>0</v>
      </c>
      <c r="X48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87" s="64">
        <f>SUMIF(Table1[GameDate], Table1[[#This Row],[GameDate]], Table1[AwayGameGoalDiff])</f>
        <v>0</v>
      </c>
      <c r="AA487" s="64">
        <f>SUMIF(Table1[GameDate], Table1[[#This Row],[GameDate]], Table1[HomeGameGoalDiff])</f>
        <v>0</v>
      </c>
      <c r="AB487" s="64">
        <f>IF(ISBLANK(Table1[[#This Row],[ActualResult]]), 0, 1)</f>
        <v>0</v>
      </c>
      <c r="AC487" s="64">
        <f>IF(ISBLANK(Table1[[#This Row],[ActualResult]]), 0, IF(Table1[[#This Row],[ActualWinner]]=Table1[[#This Row],[PredictedWinner]], 1, 0))</f>
        <v>0</v>
      </c>
      <c r="AD48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8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87" s="64">
        <f>IF(AND(Table1[[#This Row],[GameIsOver]]=1,Table1[[#This Row],[ActualAwayScore]]=0), 1,0)</f>
        <v>0</v>
      </c>
      <c r="AG487" s="64">
        <f>IF(AND(Table1[[#This Row],[GameIsOver]]=1,Table1[[#This Row],[ActualHomeScore]]=0), 1,0)</f>
        <v>0</v>
      </c>
      <c r="AH487" s="64">
        <f>IF(Table1[[#This Row],[GameIsOver]]=0,0,IF(Table1[[#This Row],[ActualWinner]]=Table1[[#This Row],[AwayTeam]], 1, 0))</f>
        <v>0</v>
      </c>
      <c r="AI487" s="64">
        <f>IF(Table1[[#This Row],[GameIsOver]]=0,0,IF(Table1[[#This Row],[ActualWinner]]=Table1[[#This Row],[HomeTeam]], 1, 0))</f>
        <v>0</v>
      </c>
      <c r="AJ487" s="64">
        <f>IF(INDEX(Standings!$A$2:$C$33,MATCH(Table1[[#This Row],[AwayTeam]],Standings!$A$2:$A$33,0),2)=INDEX(Standings!$A$2:$C$33,MATCH(Table1[[#This Row],[HomeTeam]],Standings!$A$2:$A$33,0),2),1,0)</f>
        <v>0</v>
      </c>
      <c r="AK487" s="64">
        <f>IF(INDEX(Standings!$A$2:$C$33,MATCH(Table1[[#This Row],[AwayTeam]],Standings!$A$2:$A$33,0),3)=INDEX(Standings!$A$2:$C$33,MATCH(Table1[[#This Row],[HomeTeam]],Standings!$A$2:$A$33,0),3),1,0)</f>
        <v>0</v>
      </c>
      <c r="AL487" s="64">
        <f>IF(Table1[[#This Row],[InterConf]]=1,IF(Table1[[#This Row],[InterDiv]]=0, 1, 0), 0)</f>
        <v>0</v>
      </c>
      <c r="AM487" s="64">
        <f>IF(INDEX(Standings!$A$2:$C$33,MATCH(Table1[[#This Row],[AwayTeam]],Standings!$A$2:$A$33,0),2)&lt;&gt;INDEX(Standings!$A$2:$C$33,MATCH(Table1[[#This Row],[HomeTeam]],Standings!$A$2:$A$33,0),2),1,0)</f>
        <v>1</v>
      </c>
      <c r="AN487" s="64" t="str">
        <f>INDEX(Table2[AWAY_RECORD], MATCH(Table1[[#This Row],[AwayTeam]],Table2[Team], 0), 0)</f>
        <v>0-0-0</v>
      </c>
      <c r="AO487" s="64" t="str">
        <f>INDEX(Records!$B$2:$AG$33, MATCH(Table1[[#This Row],[AwayTeam]],Records!$A$2:$A$33, 0), MATCH(Table1[[#This Row],[HomeTeam]],Records!$A$2:$A$33, 0))</f>
        <v>0-0-0</v>
      </c>
      <c r="AP487" s="64" t="str">
        <f>INDEX(Table2[HOME_RECORD], MATCH(Table1[[#This Row],[HomeTeam]],Table2[Team], 0), 0)</f>
        <v>0-0-0</v>
      </c>
      <c r="AQ487" s="64" t="str">
        <f>INDEX(Records!$B$2:$AG$33, MATCH(Table1[[#This Row],[HomeTeam]],Records!$A$2:$A$33, 0), MATCH(Table1[[#This Row],[AwayTeam]],Records!$A$2:$A$33, 0))</f>
        <v>0-0-0</v>
      </c>
    </row>
    <row r="488" spans="1:43" x14ac:dyDescent="0.25">
      <c r="A488" s="1"/>
      <c r="D488" t="s">
        <v>740</v>
      </c>
      <c r="E488" t="s">
        <v>162</v>
      </c>
      <c r="F488" t="s">
        <v>742</v>
      </c>
      <c r="G488" t="s">
        <v>36</v>
      </c>
      <c r="H488" t="s">
        <v>52</v>
      </c>
      <c r="L48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8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88" s="1"/>
      <c r="T488" s="64" t="str">
        <f>IF(Table1[[#This Row],[ActualWinner]]="", "", IF(Table1[[#This Row],[AwayTeam]]=Table1[[#This Row],[ActualWinner]],Table1[[#This Row],[HomeTeam]],Table1[[#This Row],[AwayTeam]]))</f>
        <v/>
      </c>
      <c r="U488" s="64">
        <f>Table1[[#This Row],[ActualAwayScore]]-Table1[[#This Row],[PredictedAwayScore]]</f>
        <v>0</v>
      </c>
      <c r="V488" s="64">
        <f>Table1[[#This Row],[ActualHomeScore]]-Table1[[#This Row],[PredictedHomeScore]]</f>
        <v>0</v>
      </c>
      <c r="W488" s="64">
        <f>(0.8*IF(Table1[[#This Row],[CorrectWinnerPrediction]]=1, 1, 0))+(0.1*IF(Table1[[#This Row],[CorrectAwayScorePrediction]]=1, 1, 0))+(0.1*IF(Table1[[#This Row],[CorrectHomeScorePrediction]]=1, 1, 0))</f>
        <v>0</v>
      </c>
      <c r="X48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88" s="64">
        <f>SUMIF(Table1[GameDate], Table1[[#This Row],[GameDate]], Table1[AwayGameGoalDiff])</f>
        <v>0</v>
      </c>
      <c r="AA488" s="64">
        <f>SUMIF(Table1[GameDate], Table1[[#This Row],[GameDate]], Table1[HomeGameGoalDiff])</f>
        <v>0</v>
      </c>
      <c r="AB488" s="64">
        <f>IF(ISBLANK(Table1[[#This Row],[ActualResult]]), 0, 1)</f>
        <v>0</v>
      </c>
      <c r="AC488" s="64">
        <f>IF(ISBLANK(Table1[[#This Row],[ActualResult]]), 0, IF(Table1[[#This Row],[ActualWinner]]=Table1[[#This Row],[PredictedWinner]], 1, 0))</f>
        <v>0</v>
      </c>
      <c r="AD48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8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88" s="64">
        <f>IF(AND(Table1[[#This Row],[GameIsOver]]=1,Table1[[#This Row],[ActualAwayScore]]=0), 1,0)</f>
        <v>0</v>
      </c>
      <c r="AG488" s="64">
        <f>IF(AND(Table1[[#This Row],[GameIsOver]]=1,Table1[[#This Row],[ActualHomeScore]]=0), 1,0)</f>
        <v>0</v>
      </c>
      <c r="AH488" s="64">
        <f>IF(Table1[[#This Row],[GameIsOver]]=0,0,IF(Table1[[#This Row],[ActualWinner]]=Table1[[#This Row],[AwayTeam]], 1, 0))</f>
        <v>0</v>
      </c>
      <c r="AI488" s="64">
        <f>IF(Table1[[#This Row],[GameIsOver]]=0,0,IF(Table1[[#This Row],[ActualWinner]]=Table1[[#This Row],[HomeTeam]], 1, 0))</f>
        <v>0</v>
      </c>
      <c r="AJ488" s="64">
        <f>IF(INDEX(Standings!$A$2:$C$33,MATCH(Table1[[#This Row],[AwayTeam]],Standings!$A$2:$A$33,0),2)=INDEX(Standings!$A$2:$C$33,MATCH(Table1[[#This Row],[HomeTeam]],Standings!$A$2:$A$33,0),2),1,0)</f>
        <v>0</v>
      </c>
      <c r="AK488" s="64">
        <f>IF(INDEX(Standings!$A$2:$C$33,MATCH(Table1[[#This Row],[AwayTeam]],Standings!$A$2:$A$33,0),3)=INDEX(Standings!$A$2:$C$33,MATCH(Table1[[#This Row],[HomeTeam]],Standings!$A$2:$A$33,0),3),1,0)</f>
        <v>0</v>
      </c>
      <c r="AL488" s="64">
        <f>IF(Table1[[#This Row],[InterConf]]=1,IF(Table1[[#This Row],[InterDiv]]=0, 1, 0), 0)</f>
        <v>0</v>
      </c>
      <c r="AM488" s="64">
        <f>IF(INDEX(Standings!$A$2:$C$33,MATCH(Table1[[#This Row],[AwayTeam]],Standings!$A$2:$A$33,0),2)&lt;&gt;INDEX(Standings!$A$2:$C$33,MATCH(Table1[[#This Row],[HomeTeam]],Standings!$A$2:$A$33,0),2),1,0)</f>
        <v>1</v>
      </c>
      <c r="AN488" s="64" t="str">
        <f>INDEX(Table2[AWAY_RECORD], MATCH(Table1[[#This Row],[AwayTeam]],Table2[Team], 0), 0)</f>
        <v>0-0-0</v>
      </c>
      <c r="AO488" s="64" t="str">
        <f>INDEX(Records!$B$2:$AG$33, MATCH(Table1[[#This Row],[AwayTeam]],Records!$A$2:$A$33, 0), MATCH(Table1[[#This Row],[HomeTeam]],Records!$A$2:$A$33, 0))</f>
        <v>0-0-0</v>
      </c>
      <c r="AP488" s="64" t="str">
        <f>INDEX(Table2[HOME_RECORD], MATCH(Table1[[#This Row],[HomeTeam]],Table2[Team], 0), 0)</f>
        <v>0-0-0</v>
      </c>
      <c r="AQ488" s="64" t="str">
        <f>INDEX(Records!$B$2:$AG$33, MATCH(Table1[[#This Row],[HomeTeam]],Records!$A$2:$A$33, 0), MATCH(Table1[[#This Row],[AwayTeam]],Records!$A$2:$A$33, 0))</f>
        <v>0-0-0</v>
      </c>
    </row>
    <row r="489" spans="1:43" x14ac:dyDescent="0.25">
      <c r="A489" s="1"/>
      <c r="D489" t="s">
        <v>740</v>
      </c>
      <c r="E489" t="s">
        <v>162</v>
      </c>
      <c r="F489" t="s">
        <v>743</v>
      </c>
      <c r="G489" t="s">
        <v>37</v>
      </c>
      <c r="H489" t="s">
        <v>17</v>
      </c>
      <c r="L48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8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89" s="1"/>
      <c r="T489" s="64" t="str">
        <f>IF(Table1[[#This Row],[ActualWinner]]="", "", IF(Table1[[#This Row],[AwayTeam]]=Table1[[#This Row],[ActualWinner]],Table1[[#This Row],[HomeTeam]],Table1[[#This Row],[AwayTeam]]))</f>
        <v/>
      </c>
      <c r="U489" s="64">
        <f>Table1[[#This Row],[ActualAwayScore]]-Table1[[#This Row],[PredictedAwayScore]]</f>
        <v>0</v>
      </c>
      <c r="V489" s="64">
        <f>Table1[[#This Row],[ActualHomeScore]]-Table1[[#This Row],[PredictedHomeScore]]</f>
        <v>0</v>
      </c>
      <c r="W489" s="64">
        <f>(0.8*IF(Table1[[#This Row],[CorrectWinnerPrediction]]=1, 1, 0))+(0.1*IF(Table1[[#This Row],[CorrectAwayScorePrediction]]=1, 1, 0))+(0.1*IF(Table1[[#This Row],[CorrectHomeScorePrediction]]=1, 1, 0))</f>
        <v>0</v>
      </c>
      <c r="X48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89" s="64">
        <f>SUMIF(Table1[GameDate], Table1[[#This Row],[GameDate]], Table1[AwayGameGoalDiff])</f>
        <v>0</v>
      </c>
      <c r="AA489" s="64">
        <f>SUMIF(Table1[GameDate], Table1[[#This Row],[GameDate]], Table1[HomeGameGoalDiff])</f>
        <v>0</v>
      </c>
      <c r="AB489" s="64">
        <f>IF(ISBLANK(Table1[[#This Row],[ActualResult]]), 0, 1)</f>
        <v>0</v>
      </c>
      <c r="AC489" s="64">
        <f>IF(ISBLANK(Table1[[#This Row],[ActualResult]]), 0, IF(Table1[[#This Row],[ActualWinner]]=Table1[[#This Row],[PredictedWinner]], 1, 0))</f>
        <v>0</v>
      </c>
      <c r="AD48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8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89" s="64">
        <f>IF(AND(Table1[[#This Row],[GameIsOver]]=1,Table1[[#This Row],[ActualAwayScore]]=0), 1,0)</f>
        <v>0</v>
      </c>
      <c r="AG489" s="64">
        <f>IF(AND(Table1[[#This Row],[GameIsOver]]=1,Table1[[#This Row],[ActualHomeScore]]=0), 1,0)</f>
        <v>0</v>
      </c>
      <c r="AH489" s="64">
        <f>IF(Table1[[#This Row],[GameIsOver]]=0,0,IF(Table1[[#This Row],[ActualWinner]]=Table1[[#This Row],[AwayTeam]], 1, 0))</f>
        <v>0</v>
      </c>
      <c r="AI489" s="64">
        <f>IF(Table1[[#This Row],[GameIsOver]]=0,0,IF(Table1[[#This Row],[ActualWinner]]=Table1[[#This Row],[HomeTeam]], 1, 0))</f>
        <v>0</v>
      </c>
      <c r="AJ489" s="64">
        <f>IF(INDEX(Standings!$A$2:$C$33,MATCH(Table1[[#This Row],[AwayTeam]],Standings!$A$2:$A$33,0),2)=INDEX(Standings!$A$2:$C$33,MATCH(Table1[[#This Row],[HomeTeam]],Standings!$A$2:$A$33,0),2),1,0)</f>
        <v>1</v>
      </c>
      <c r="AK489" s="64">
        <f>IF(INDEX(Standings!$A$2:$C$33,MATCH(Table1[[#This Row],[AwayTeam]],Standings!$A$2:$A$33,0),3)=INDEX(Standings!$A$2:$C$33,MATCH(Table1[[#This Row],[HomeTeam]],Standings!$A$2:$A$33,0),3),1,0)</f>
        <v>1</v>
      </c>
      <c r="AL489" s="64">
        <f>IF(Table1[[#This Row],[InterConf]]=1,IF(Table1[[#This Row],[InterDiv]]=0, 1, 0), 0)</f>
        <v>0</v>
      </c>
      <c r="AM489" s="64">
        <f>IF(INDEX(Standings!$A$2:$C$33,MATCH(Table1[[#This Row],[AwayTeam]],Standings!$A$2:$A$33,0),2)&lt;&gt;INDEX(Standings!$A$2:$C$33,MATCH(Table1[[#This Row],[HomeTeam]],Standings!$A$2:$A$33,0),2),1,0)</f>
        <v>0</v>
      </c>
      <c r="AN489" s="64" t="str">
        <f>INDEX(Table2[AWAY_RECORD], MATCH(Table1[[#This Row],[AwayTeam]],Table2[Team], 0), 0)</f>
        <v>0-0-1</v>
      </c>
      <c r="AO489" s="64" t="str">
        <f>INDEX(Records!$B$2:$AG$33, MATCH(Table1[[#This Row],[AwayTeam]],Records!$A$2:$A$33, 0), MATCH(Table1[[#This Row],[HomeTeam]],Records!$A$2:$A$33, 0))</f>
        <v>0-0-0</v>
      </c>
      <c r="AP489" s="64" t="str">
        <f>INDEX(Table2[HOME_RECORD], MATCH(Table1[[#This Row],[HomeTeam]],Table2[Team], 0), 0)</f>
        <v>0-0-0</v>
      </c>
      <c r="AQ489" s="64" t="str">
        <f>INDEX(Records!$B$2:$AG$33, MATCH(Table1[[#This Row],[HomeTeam]],Records!$A$2:$A$33, 0), MATCH(Table1[[#This Row],[AwayTeam]],Records!$A$2:$A$33, 0))</f>
        <v>0-0-0</v>
      </c>
    </row>
    <row r="490" spans="1:43" x14ac:dyDescent="0.25">
      <c r="A490" s="1"/>
      <c r="D490" t="s">
        <v>740</v>
      </c>
      <c r="E490" t="s">
        <v>162</v>
      </c>
      <c r="F490" t="s">
        <v>744</v>
      </c>
      <c r="G490" t="s">
        <v>16</v>
      </c>
      <c r="H490" t="s">
        <v>54</v>
      </c>
      <c r="L49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9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90" s="1"/>
      <c r="T490" s="64" t="str">
        <f>IF(Table1[[#This Row],[ActualWinner]]="", "", IF(Table1[[#This Row],[AwayTeam]]=Table1[[#This Row],[ActualWinner]],Table1[[#This Row],[HomeTeam]],Table1[[#This Row],[AwayTeam]]))</f>
        <v/>
      </c>
      <c r="U490" s="64">
        <f>Table1[[#This Row],[ActualAwayScore]]-Table1[[#This Row],[PredictedAwayScore]]</f>
        <v>0</v>
      </c>
      <c r="V490" s="64">
        <f>Table1[[#This Row],[ActualHomeScore]]-Table1[[#This Row],[PredictedHomeScore]]</f>
        <v>0</v>
      </c>
      <c r="W490" s="64">
        <f>(0.8*IF(Table1[[#This Row],[CorrectWinnerPrediction]]=1, 1, 0))+(0.1*IF(Table1[[#This Row],[CorrectAwayScorePrediction]]=1, 1, 0))+(0.1*IF(Table1[[#This Row],[CorrectHomeScorePrediction]]=1, 1, 0))</f>
        <v>0</v>
      </c>
      <c r="X49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90" s="64">
        <f>SUMIF(Table1[GameDate], Table1[[#This Row],[GameDate]], Table1[AwayGameGoalDiff])</f>
        <v>0</v>
      </c>
      <c r="AA490" s="64">
        <f>SUMIF(Table1[GameDate], Table1[[#This Row],[GameDate]], Table1[HomeGameGoalDiff])</f>
        <v>0</v>
      </c>
      <c r="AB490" s="64">
        <f>IF(ISBLANK(Table1[[#This Row],[ActualResult]]), 0, 1)</f>
        <v>0</v>
      </c>
      <c r="AC490" s="64">
        <f>IF(ISBLANK(Table1[[#This Row],[ActualResult]]), 0, IF(Table1[[#This Row],[ActualWinner]]=Table1[[#This Row],[PredictedWinner]], 1, 0))</f>
        <v>0</v>
      </c>
      <c r="AD49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9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90" s="64">
        <f>IF(AND(Table1[[#This Row],[GameIsOver]]=1,Table1[[#This Row],[ActualAwayScore]]=0), 1,0)</f>
        <v>0</v>
      </c>
      <c r="AG490" s="64">
        <f>IF(AND(Table1[[#This Row],[GameIsOver]]=1,Table1[[#This Row],[ActualHomeScore]]=0), 1,0)</f>
        <v>0</v>
      </c>
      <c r="AH490" s="64">
        <f>IF(Table1[[#This Row],[GameIsOver]]=0,0,IF(Table1[[#This Row],[ActualWinner]]=Table1[[#This Row],[AwayTeam]], 1, 0))</f>
        <v>0</v>
      </c>
      <c r="AI490" s="64">
        <f>IF(Table1[[#This Row],[GameIsOver]]=0,0,IF(Table1[[#This Row],[ActualWinner]]=Table1[[#This Row],[HomeTeam]], 1, 0))</f>
        <v>0</v>
      </c>
      <c r="AJ490" s="64">
        <f>IF(INDEX(Standings!$A$2:$C$33,MATCH(Table1[[#This Row],[AwayTeam]],Standings!$A$2:$A$33,0),2)=INDEX(Standings!$A$2:$C$33,MATCH(Table1[[#This Row],[HomeTeam]],Standings!$A$2:$A$33,0),2),1,0)</f>
        <v>0</v>
      </c>
      <c r="AK490" s="64">
        <f>IF(INDEX(Standings!$A$2:$C$33,MATCH(Table1[[#This Row],[AwayTeam]],Standings!$A$2:$A$33,0),3)=INDEX(Standings!$A$2:$C$33,MATCH(Table1[[#This Row],[HomeTeam]],Standings!$A$2:$A$33,0),3),1,0)</f>
        <v>0</v>
      </c>
      <c r="AL490" s="64">
        <f>IF(Table1[[#This Row],[InterConf]]=1,IF(Table1[[#This Row],[InterDiv]]=0, 1, 0), 0)</f>
        <v>0</v>
      </c>
      <c r="AM490" s="64">
        <f>IF(INDEX(Standings!$A$2:$C$33,MATCH(Table1[[#This Row],[AwayTeam]],Standings!$A$2:$A$33,0),2)&lt;&gt;INDEX(Standings!$A$2:$C$33,MATCH(Table1[[#This Row],[HomeTeam]],Standings!$A$2:$A$33,0),2),1,0)</f>
        <v>1</v>
      </c>
      <c r="AN490" s="64" t="str">
        <f>INDEX(Table2[AWAY_RECORD], MATCH(Table1[[#This Row],[AwayTeam]],Table2[Team], 0), 0)</f>
        <v>1-0-1</v>
      </c>
      <c r="AO490" s="64" t="str">
        <f>INDEX(Records!$B$2:$AG$33, MATCH(Table1[[#This Row],[AwayTeam]],Records!$A$2:$A$33, 0), MATCH(Table1[[#This Row],[HomeTeam]],Records!$A$2:$A$33, 0))</f>
        <v>0-0-0</v>
      </c>
      <c r="AP490" s="64" t="str">
        <f>INDEX(Table2[HOME_RECORD], MATCH(Table1[[#This Row],[HomeTeam]],Table2[Team], 0), 0)</f>
        <v>0-0-0</v>
      </c>
      <c r="AQ490" s="64" t="str">
        <f>INDEX(Records!$B$2:$AG$33, MATCH(Table1[[#This Row],[HomeTeam]],Records!$A$2:$A$33, 0), MATCH(Table1[[#This Row],[AwayTeam]],Records!$A$2:$A$33, 0))</f>
        <v>0-0-0</v>
      </c>
    </row>
    <row r="491" spans="1:43" x14ac:dyDescent="0.25">
      <c r="A491" s="1"/>
      <c r="D491" t="s">
        <v>740</v>
      </c>
      <c r="E491" t="s">
        <v>162</v>
      </c>
      <c r="F491" t="s">
        <v>745</v>
      </c>
      <c r="G491" t="s">
        <v>51</v>
      </c>
      <c r="H491" t="s">
        <v>40</v>
      </c>
      <c r="L49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9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91" s="1"/>
      <c r="T491" s="64" t="str">
        <f>IF(Table1[[#This Row],[ActualWinner]]="", "", IF(Table1[[#This Row],[AwayTeam]]=Table1[[#This Row],[ActualWinner]],Table1[[#This Row],[HomeTeam]],Table1[[#This Row],[AwayTeam]]))</f>
        <v/>
      </c>
      <c r="U491" s="64">
        <f>Table1[[#This Row],[ActualAwayScore]]-Table1[[#This Row],[PredictedAwayScore]]</f>
        <v>0</v>
      </c>
      <c r="V491" s="64">
        <f>Table1[[#This Row],[ActualHomeScore]]-Table1[[#This Row],[PredictedHomeScore]]</f>
        <v>0</v>
      </c>
      <c r="W491" s="64">
        <f>(0.8*IF(Table1[[#This Row],[CorrectWinnerPrediction]]=1, 1, 0))+(0.1*IF(Table1[[#This Row],[CorrectAwayScorePrediction]]=1, 1, 0))+(0.1*IF(Table1[[#This Row],[CorrectHomeScorePrediction]]=1, 1, 0))</f>
        <v>0</v>
      </c>
      <c r="X49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91" s="64">
        <f>SUMIF(Table1[GameDate], Table1[[#This Row],[GameDate]], Table1[AwayGameGoalDiff])</f>
        <v>0</v>
      </c>
      <c r="AA491" s="64">
        <f>SUMIF(Table1[GameDate], Table1[[#This Row],[GameDate]], Table1[HomeGameGoalDiff])</f>
        <v>0</v>
      </c>
      <c r="AB491" s="64">
        <f>IF(ISBLANK(Table1[[#This Row],[ActualResult]]), 0, 1)</f>
        <v>0</v>
      </c>
      <c r="AC491" s="64">
        <f>IF(ISBLANK(Table1[[#This Row],[ActualResult]]), 0, IF(Table1[[#This Row],[ActualWinner]]=Table1[[#This Row],[PredictedWinner]], 1, 0))</f>
        <v>0</v>
      </c>
      <c r="AD49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9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91" s="64">
        <f>IF(AND(Table1[[#This Row],[GameIsOver]]=1,Table1[[#This Row],[ActualAwayScore]]=0), 1,0)</f>
        <v>0</v>
      </c>
      <c r="AG491" s="64">
        <f>IF(AND(Table1[[#This Row],[GameIsOver]]=1,Table1[[#This Row],[ActualHomeScore]]=0), 1,0)</f>
        <v>0</v>
      </c>
      <c r="AH491" s="64">
        <f>IF(Table1[[#This Row],[GameIsOver]]=0,0,IF(Table1[[#This Row],[ActualWinner]]=Table1[[#This Row],[AwayTeam]], 1, 0))</f>
        <v>0</v>
      </c>
      <c r="AI491" s="64">
        <f>IF(Table1[[#This Row],[GameIsOver]]=0,0,IF(Table1[[#This Row],[ActualWinner]]=Table1[[#This Row],[HomeTeam]], 1, 0))</f>
        <v>0</v>
      </c>
      <c r="AJ491" s="64">
        <f>IF(INDEX(Standings!$A$2:$C$33,MATCH(Table1[[#This Row],[AwayTeam]],Standings!$A$2:$A$33,0),2)=INDEX(Standings!$A$2:$C$33,MATCH(Table1[[#This Row],[HomeTeam]],Standings!$A$2:$A$33,0),2),1,0)</f>
        <v>1</v>
      </c>
      <c r="AK491" s="64">
        <f>IF(INDEX(Standings!$A$2:$C$33,MATCH(Table1[[#This Row],[AwayTeam]],Standings!$A$2:$A$33,0),3)=INDEX(Standings!$A$2:$C$33,MATCH(Table1[[#This Row],[HomeTeam]],Standings!$A$2:$A$33,0),3),1,0)</f>
        <v>1</v>
      </c>
      <c r="AL491" s="64">
        <f>IF(Table1[[#This Row],[InterConf]]=1,IF(Table1[[#This Row],[InterDiv]]=0, 1, 0), 0)</f>
        <v>0</v>
      </c>
      <c r="AM491" s="64">
        <f>IF(INDEX(Standings!$A$2:$C$33,MATCH(Table1[[#This Row],[AwayTeam]],Standings!$A$2:$A$33,0),2)&lt;&gt;INDEX(Standings!$A$2:$C$33,MATCH(Table1[[#This Row],[HomeTeam]],Standings!$A$2:$A$33,0),2),1,0)</f>
        <v>0</v>
      </c>
      <c r="AN491" s="64" t="str">
        <f>INDEX(Table2[AWAY_RECORD], MATCH(Table1[[#This Row],[AwayTeam]],Table2[Team], 0), 0)</f>
        <v>2-0-0</v>
      </c>
      <c r="AO491" s="64" t="str">
        <f>INDEX(Records!$B$2:$AG$33, MATCH(Table1[[#This Row],[AwayTeam]],Records!$A$2:$A$33, 0), MATCH(Table1[[#This Row],[HomeTeam]],Records!$A$2:$A$33, 0))</f>
        <v>0-0-0</v>
      </c>
      <c r="AP491" s="64" t="str">
        <f>INDEX(Table2[HOME_RECORD], MATCH(Table1[[#This Row],[HomeTeam]],Table2[Team], 0), 0)</f>
        <v>1-1-0</v>
      </c>
      <c r="AQ491" s="64" t="str">
        <f>INDEX(Records!$B$2:$AG$33, MATCH(Table1[[#This Row],[HomeTeam]],Records!$A$2:$A$33, 0), MATCH(Table1[[#This Row],[AwayTeam]],Records!$A$2:$A$33, 0))</f>
        <v>0-0-0</v>
      </c>
    </row>
    <row r="492" spans="1:43" x14ac:dyDescent="0.25">
      <c r="A492" s="1"/>
      <c r="D492" t="s">
        <v>740</v>
      </c>
      <c r="E492" t="s">
        <v>178</v>
      </c>
      <c r="F492" t="s">
        <v>746</v>
      </c>
      <c r="G492" t="s">
        <v>41</v>
      </c>
      <c r="H492" t="s">
        <v>61</v>
      </c>
      <c r="L49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9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92" s="1"/>
      <c r="T492" s="64" t="str">
        <f>IF(Table1[[#This Row],[ActualWinner]]="", "", IF(Table1[[#This Row],[AwayTeam]]=Table1[[#This Row],[ActualWinner]],Table1[[#This Row],[HomeTeam]],Table1[[#This Row],[AwayTeam]]))</f>
        <v/>
      </c>
      <c r="U492" s="64">
        <f>Table1[[#This Row],[ActualAwayScore]]-Table1[[#This Row],[PredictedAwayScore]]</f>
        <v>0</v>
      </c>
      <c r="V492" s="64">
        <f>Table1[[#This Row],[ActualHomeScore]]-Table1[[#This Row],[PredictedHomeScore]]</f>
        <v>0</v>
      </c>
      <c r="W492" s="64">
        <f>(0.8*IF(Table1[[#This Row],[CorrectWinnerPrediction]]=1, 1, 0))+(0.1*IF(Table1[[#This Row],[CorrectAwayScorePrediction]]=1, 1, 0))+(0.1*IF(Table1[[#This Row],[CorrectHomeScorePrediction]]=1, 1, 0))</f>
        <v>0</v>
      </c>
      <c r="X49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92" s="64">
        <f>SUMIF(Table1[GameDate], Table1[[#This Row],[GameDate]], Table1[AwayGameGoalDiff])</f>
        <v>0</v>
      </c>
      <c r="AA492" s="64">
        <f>SUMIF(Table1[GameDate], Table1[[#This Row],[GameDate]], Table1[HomeGameGoalDiff])</f>
        <v>0</v>
      </c>
      <c r="AB492" s="64">
        <f>IF(ISBLANK(Table1[[#This Row],[ActualResult]]), 0, 1)</f>
        <v>0</v>
      </c>
      <c r="AC492" s="64">
        <f>IF(ISBLANK(Table1[[#This Row],[ActualResult]]), 0, IF(Table1[[#This Row],[ActualWinner]]=Table1[[#This Row],[PredictedWinner]], 1, 0))</f>
        <v>0</v>
      </c>
      <c r="AD49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9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92" s="64">
        <f>IF(AND(Table1[[#This Row],[GameIsOver]]=1,Table1[[#This Row],[ActualAwayScore]]=0), 1,0)</f>
        <v>0</v>
      </c>
      <c r="AG492" s="64">
        <f>IF(AND(Table1[[#This Row],[GameIsOver]]=1,Table1[[#This Row],[ActualHomeScore]]=0), 1,0)</f>
        <v>0</v>
      </c>
      <c r="AH492" s="64">
        <f>IF(Table1[[#This Row],[GameIsOver]]=0,0,IF(Table1[[#This Row],[ActualWinner]]=Table1[[#This Row],[AwayTeam]], 1, 0))</f>
        <v>0</v>
      </c>
      <c r="AI492" s="64">
        <f>IF(Table1[[#This Row],[GameIsOver]]=0,0,IF(Table1[[#This Row],[ActualWinner]]=Table1[[#This Row],[HomeTeam]], 1, 0))</f>
        <v>0</v>
      </c>
      <c r="AJ492" s="64">
        <f>IF(INDEX(Standings!$A$2:$C$33,MATCH(Table1[[#This Row],[AwayTeam]],Standings!$A$2:$A$33,0),2)=INDEX(Standings!$A$2:$C$33,MATCH(Table1[[#This Row],[HomeTeam]],Standings!$A$2:$A$33,0),2),1,0)</f>
        <v>1</v>
      </c>
      <c r="AK492" s="64">
        <f>IF(INDEX(Standings!$A$2:$C$33,MATCH(Table1[[#This Row],[AwayTeam]],Standings!$A$2:$A$33,0),3)=INDEX(Standings!$A$2:$C$33,MATCH(Table1[[#This Row],[HomeTeam]],Standings!$A$2:$A$33,0),3),1,0)</f>
        <v>1</v>
      </c>
      <c r="AL492" s="64">
        <f>IF(Table1[[#This Row],[InterConf]]=1,IF(Table1[[#This Row],[InterDiv]]=0, 1, 0), 0)</f>
        <v>0</v>
      </c>
      <c r="AM492" s="64">
        <f>IF(INDEX(Standings!$A$2:$C$33,MATCH(Table1[[#This Row],[AwayTeam]],Standings!$A$2:$A$33,0),2)&lt;&gt;INDEX(Standings!$A$2:$C$33,MATCH(Table1[[#This Row],[HomeTeam]],Standings!$A$2:$A$33,0),2),1,0)</f>
        <v>0</v>
      </c>
      <c r="AN492" s="64" t="str">
        <f>INDEX(Table2[AWAY_RECORD], MATCH(Table1[[#This Row],[AwayTeam]],Table2[Team], 0), 0)</f>
        <v>0-0-0</v>
      </c>
      <c r="AO492" s="64" t="str">
        <f>INDEX(Records!$B$2:$AG$33, MATCH(Table1[[#This Row],[AwayTeam]],Records!$A$2:$A$33, 0), MATCH(Table1[[#This Row],[HomeTeam]],Records!$A$2:$A$33, 0))</f>
        <v>0-0-0</v>
      </c>
      <c r="AP492" s="64" t="str">
        <f>INDEX(Table2[HOME_RECORD], MATCH(Table1[[#This Row],[HomeTeam]],Table2[Team], 0), 0)</f>
        <v>0-0-0</v>
      </c>
      <c r="AQ492" s="64" t="str">
        <f>INDEX(Records!$B$2:$AG$33, MATCH(Table1[[#This Row],[HomeTeam]],Records!$A$2:$A$33, 0), MATCH(Table1[[#This Row],[AwayTeam]],Records!$A$2:$A$33, 0))</f>
        <v>0-0-0</v>
      </c>
    </row>
    <row r="493" spans="1:43" x14ac:dyDescent="0.25">
      <c r="A493" s="1"/>
      <c r="D493" t="s">
        <v>740</v>
      </c>
      <c r="E493" t="s">
        <v>178</v>
      </c>
      <c r="F493" t="s">
        <v>747</v>
      </c>
      <c r="G493" t="s">
        <v>53</v>
      </c>
      <c r="H493" t="s">
        <v>60</v>
      </c>
      <c r="L49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9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93" s="1"/>
      <c r="T493" s="64" t="str">
        <f>IF(Table1[[#This Row],[ActualWinner]]="", "", IF(Table1[[#This Row],[AwayTeam]]=Table1[[#This Row],[ActualWinner]],Table1[[#This Row],[HomeTeam]],Table1[[#This Row],[AwayTeam]]))</f>
        <v/>
      </c>
      <c r="U493" s="64">
        <f>Table1[[#This Row],[ActualAwayScore]]-Table1[[#This Row],[PredictedAwayScore]]</f>
        <v>0</v>
      </c>
      <c r="V493" s="64">
        <f>Table1[[#This Row],[ActualHomeScore]]-Table1[[#This Row],[PredictedHomeScore]]</f>
        <v>0</v>
      </c>
      <c r="W493" s="64">
        <f>(0.8*IF(Table1[[#This Row],[CorrectWinnerPrediction]]=1, 1, 0))+(0.1*IF(Table1[[#This Row],[CorrectAwayScorePrediction]]=1, 1, 0))+(0.1*IF(Table1[[#This Row],[CorrectHomeScorePrediction]]=1, 1, 0))</f>
        <v>0</v>
      </c>
      <c r="X49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93" s="64">
        <f>SUMIF(Table1[GameDate], Table1[[#This Row],[GameDate]], Table1[AwayGameGoalDiff])</f>
        <v>0</v>
      </c>
      <c r="AA493" s="64">
        <f>SUMIF(Table1[GameDate], Table1[[#This Row],[GameDate]], Table1[HomeGameGoalDiff])</f>
        <v>0</v>
      </c>
      <c r="AB493" s="64">
        <f>IF(ISBLANK(Table1[[#This Row],[ActualResult]]), 0, 1)</f>
        <v>0</v>
      </c>
      <c r="AC493" s="64">
        <f>IF(ISBLANK(Table1[[#This Row],[ActualResult]]), 0, IF(Table1[[#This Row],[ActualWinner]]=Table1[[#This Row],[PredictedWinner]], 1, 0))</f>
        <v>0</v>
      </c>
      <c r="AD49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9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93" s="64">
        <f>IF(AND(Table1[[#This Row],[GameIsOver]]=1,Table1[[#This Row],[ActualAwayScore]]=0), 1,0)</f>
        <v>0</v>
      </c>
      <c r="AG493" s="64">
        <f>IF(AND(Table1[[#This Row],[GameIsOver]]=1,Table1[[#This Row],[ActualHomeScore]]=0), 1,0)</f>
        <v>0</v>
      </c>
      <c r="AH493" s="64">
        <f>IF(Table1[[#This Row],[GameIsOver]]=0,0,IF(Table1[[#This Row],[ActualWinner]]=Table1[[#This Row],[AwayTeam]], 1, 0))</f>
        <v>0</v>
      </c>
      <c r="AI493" s="64">
        <f>IF(Table1[[#This Row],[GameIsOver]]=0,0,IF(Table1[[#This Row],[ActualWinner]]=Table1[[#This Row],[HomeTeam]], 1, 0))</f>
        <v>0</v>
      </c>
      <c r="AJ493" s="64">
        <f>IF(INDEX(Standings!$A$2:$C$33,MATCH(Table1[[#This Row],[AwayTeam]],Standings!$A$2:$A$33,0),2)=INDEX(Standings!$A$2:$C$33,MATCH(Table1[[#This Row],[HomeTeam]],Standings!$A$2:$A$33,0),2),1,0)</f>
        <v>0</v>
      </c>
      <c r="AK493" s="64">
        <f>IF(INDEX(Standings!$A$2:$C$33,MATCH(Table1[[#This Row],[AwayTeam]],Standings!$A$2:$A$33,0),3)=INDEX(Standings!$A$2:$C$33,MATCH(Table1[[#This Row],[HomeTeam]],Standings!$A$2:$A$33,0),3),1,0)</f>
        <v>0</v>
      </c>
      <c r="AL493" s="64">
        <f>IF(Table1[[#This Row],[InterConf]]=1,IF(Table1[[#This Row],[InterDiv]]=0, 1, 0), 0)</f>
        <v>0</v>
      </c>
      <c r="AM493" s="64">
        <f>IF(INDEX(Standings!$A$2:$C$33,MATCH(Table1[[#This Row],[AwayTeam]],Standings!$A$2:$A$33,0),2)&lt;&gt;INDEX(Standings!$A$2:$C$33,MATCH(Table1[[#This Row],[HomeTeam]],Standings!$A$2:$A$33,0),2),1,0)</f>
        <v>1</v>
      </c>
      <c r="AN493" s="64" t="str">
        <f>INDEX(Table2[AWAY_RECORD], MATCH(Table1[[#This Row],[AwayTeam]],Table2[Team], 0), 0)</f>
        <v>0-1-0</v>
      </c>
      <c r="AO493" s="64" t="str">
        <f>INDEX(Records!$B$2:$AG$33, MATCH(Table1[[#This Row],[AwayTeam]],Records!$A$2:$A$33, 0), MATCH(Table1[[#This Row],[HomeTeam]],Records!$A$2:$A$33, 0))</f>
        <v>0-0-0</v>
      </c>
      <c r="AP493" s="64" t="str">
        <f>INDEX(Table2[HOME_RECORD], MATCH(Table1[[#This Row],[HomeTeam]],Table2[Team], 0), 0)</f>
        <v>1-0-0</v>
      </c>
      <c r="AQ493" s="64" t="str">
        <f>INDEX(Records!$B$2:$AG$33, MATCH(Table1[[#This Row],[HomeTeam]],Records!$A$2:$A$33, 0), MATCH(Table1[[#This Row],[AwayTeam]],Records!$A$2:$A$33, 0))</f>
        <v>0-0-0</v>
      </c>
    </row>
    <row r="494" spans="1:43" x14ac:dyDescent="0.25">
      <c r="A494" s="1"/>
      <c r="D494" t="s">
        <v>740</v>
      </c>
      <c r="E494" t="s">
        <v>178</v>
      </c>
      <c r="F494" t="s">
        <v>748</v>
      </c>
      <c r="G494" t="s">
        <v>48</v>
      </c>
      <c r="H494" t="s">
        <v>39</v>
      </c>
      <c r="L49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9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94" s="1"/>
      <c r="T494" s="64" t="str">
        <f>IF(Table1[[#This Row],[ActualWinner]]="", "", IF(Table1[[#This Row],[AwayTeam]]=Table1[[#This Row],[ActualWinner]],Table1[[#This Row],[HomeTeam]],Table1[[#This Row],[AwayTeam]]))</f>
        <v/>
      </c>
      <c r="U494" s="64">
        <f>Table1[[#This Row],[ActualAwayScore]]-Table1[[#This Row],[PredictedAwayScore]]</f>
        <v>0</v>
      </c>
      <c r="V494" s="64">
        <f>Table1[[#This Row],[ActualHomeScore]]-Table1[[#This Row],[PredictedHomeScore]]</f>
        <v>0</v>
      </c>
      <c r="W494" s="64">
        <f>(0.8*IF(Table1[[#This Row],[CorrectWinnerPrediction]]=1, 1, 0))+(0.1*IF(Table1[[#This Row],[CorrectAwayScorePrediction]]=1, 1, 0))+(0.1*IF(Table1[[#This Row],[CorrectHomeScorePrediction]]=1, 1, 0))</f>
        <v>0</v>
      </c>
      <c r="X49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94" s="64">
        <f>SUMIF(Table1[GameDate], Table1[[#This Row],[GameDate]], Table1[AwayGameGoalDiff])</f>
        <v>0</v>
      </c>
      <c r="AA494" s="64">
        <f>SUMIF(Table1[GameDate], Table1[[#This Row],[GameDate]], Table1[HomeGameGoalDiff])</f>
        <v>0</v>
      </c>
      <c r="AB494" s="64">
        <f>IF(ISBLANK(Table1[[#This Row],[ActualResult]]), 0, 1)</f>
        <v>0</v>
      </c>
      <c r="AC494" s="64">
        <f>IF(ISBLANK(Table1[[#This Row],[ActualResult]]), 0, IF(Table1[[#This Row],[ActualWinner]]=Table1[[#This Row],[PredictedWinner]], 1, 0))</f>
        <v>0</v>
      </c>
      <c r="AD49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9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94" s="64">
        <f>IF(AND(Table1[[#This Row],[GameIsOver]]=1,Table1[[#This Row],[ActualAwayScore]]=0), 1,0)</f>
        <v>0</v>
      </c>
      <c r="AG494" s="64">
        <f>IF(AND(Table1[[#This Row],[GameIsOver]]=1,Table1[[#This Row],[ActualHomeScore]]=0), 1,0)</f>
        <v>0</v>
      </c>
      <c r="AH494" s="64">
        <f>IF(Table1[[#This Row],[GameIsOver]]=0,0,IF(Table1[[#This Row],[ActualWinner]]=Table1[[#This Row],[AwayTeam]], 1, 0))</f>
        <v>0</v>
      </c>
      <c r="AI494" s="64">
        <f>IF(Table1[[#This Row],[GameIsOver]]=0,0,IF(Table1[[#This Row],[ActualWinner]]=Table1[[#This Row],[HomeTeam]], 1, 0))</f>
        <v>0</v>
      </c>
      <c r="AJ494" s="64">
        <f>IF(INDEX(Standings!$A$2:$C$33,MATCH(Table1[[#This Row],[AwayTeam]],Standings!$A$2:$A$33,0),2)=INDEX(Standings!$A$2:$C$33,MATCH(Table1[[#This Row],[HomeTeam]],Standings!$A$2:$A$33,0),2),1,0)</f>
        <v>1</v>
      </c>
      <c r="AK494" s="64">
        <f>IF(INDEX(Standings!$A$2:$C$33,MATCH(Table1[[#This Row],[AwayTeam]],Standings!$A$2:$A$33,0),3)=INDEX(Standings!$A$2:$C$33,MATCH(Table1[[#This Row],[HomeTeam]],Standings!$A$2:$A$33,0),3),1,0)</f>
        <v>0</v>
      </c>
      <c r="AL494" s="64">
        <f>IF(Table1[[#This Row],[InterConf]]=1,IF(Table1[[#This Row],[InterDiv]]=0, 1, 0), 0)</f>
        <v>1</v>
      </c>
      <c r="AM494" s="64">
        <f>IF(INDEX(Standings!$A$2:$C$33,MATCH(Table1[[#This Row],[AwayTeam]],Standings!$A$2:$A$33,0),2)&lt;&gt;INDEX(Standings!$A$2:$C$33,MATCH(Table1[[#This Row],[HomeTeam]],Standings!$A$2:$A$33,0),2),1,0)</f>
        <v>0</v>
      </c>
      <c r="AN494" s="64" t="str">
        <f>INDEX(Table2[AWAY_RECORD], MATCH(Table1[[#This Row],[AwayTeam]],Table2[Team], 0), 0)</f>
        <v>0-0-0</v>
      </c>
      <c r="AO494" s="64" t="str">
        <f>INDEX(Records!$B$2:$AG$33, MATCH(Table1[[#This Row],[AwayTeam]],Records!$A$2:$A$33, 0), MATCH(Table1[[#This Row],[HomeTeam]],Records!$A$2:$A$33, 0))</f>
        <v>0-0-0</v>
      </c>
      <c r="AP494" s="64" t="str">
        <f>INDEX(Table2[HOME_RECORD], MATCH(Table1[[#This Row],[HomeTeam]],Table2[Team], 0), 0)</f>
        <v>0-1-0</v>
      </c>
      <c r="AQ494" s="64" t="str">
        <f>INDEX(Records!$B$2:$AG$33, MATCH(Table1[[#This Row],[HomeTeam]],Records!$A$2:$A$33, 0), MATCH(Table1[[#This Row],[AwayTeam]],Records!$A$2:$A$33, 0))</f>
        <v>0-0-0</v>
      </c>
    </row>
    <row r="495" spans="1:43" x14ac:dyDescent="0.25">
      <c r="A495" s="1"/>
      <c r="D495" t="s">
        <v>740</v>
      </c>
      <c r="E495" t="s">
        <v>164</v>
      </c>
      <c r="F495" t="s">
        <v>749</v>
      </c>
      <c r="G495" t="s">
        <v>45</v>
      </c>
      <c r="H495" t="s">
        <v>22</v>
      </c>
      <c r="L49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9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95" s="1"/>
      <c r="T495" s="64" t="str">
        <f>IF(Table1[[#This Row],[ActualWinner]]="", "", IF(Table1[[#This Row],[AwayTeam]]=Table1[[#This Row],[ActualWinner]],Table1[[#This Row],[HomeTeam]],Table1[[#This Row],[AwayTeam]]))</f>
        <v/>
      </c>
      <c r="U495" s="64">
        <f>Table1[[#This Row],[ActualAwayScore]]-Table1[[#This Row],[PredictedAwayScore]]</f>
        <v>0</v>
      </c>
      <c r="V495" s="64">
        <f>Table1[[#This Row],[ActualHomeScore]]-Table1[[#This Row],[PredictedHomeScore]]</f>
        <v>0</v>
      </c>
      <c r="W495" s="64">
        <f>(0.8*IF(Table1[[#This Row],[CorrectWinnerPrediction]]=1, 1, 0))+(0.1*IF(Table1[[#This Row],[CorrectAwayScorePrediction]]=1, 1, 0))+(0.1*IF(Table1[[#This Row],[CorrectHomeScorePrediction]]=1, 1, 0))</f>
        <v>0</v>
      </c>
      <c r="X49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95" s="64">
        <f>SUMIF(Table1[GameDate], Table1[[#This Row],[GameDate]], Table1[AwayGameGoalDiff])</f>
        <v>0</v>
      </c>
      <c r="AA495" s="64">
        <f>SUMIF(Table1[GameDate], Table1[[#This Row],[GameDate]], Table1[HomeGameGoalDiff])</f>
        <v>0</v>
      </c>
      <c r="AB495" s="64">
        <f>IF(ISBLANK(Table1[[#This Row],[ActualResult]]), 0, 1)</f>
        <v>0</v>
      </c>
      <c r="AC495" s="64">
        <f>IF(ISBLANK(Table1[[#This Row],[ActualResult]]), 0, IF(Table1[[#This Row],[ActualWinner]]=Table1[[#This Row],[PredictedWinner]], 1, 0))</f>
        <v>0</v>
      </c>
      <c r="AD49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9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95" s="64">
        <f>IF(AND(Table1[[#This Row],[GameIsOver]]=1,Table1[[#This Row],[ActualAwayScore]]=0), 1,0)</f>
        <v>0</v>
      </c>
      <c r="AG495" s="64">
        <f>IF(AND(Table1[[#This Row],[GameIsOver]]=1,Table1[[#This Row],[ActualHomeScore]]=0), 1,0)</f>
        <v>0</v>
      </c>
      <c r="AH495" s="64">
        <f>IF(Table1[[#This Row],[GameIsOver]]=0,0,IF(Table1[[#This Row],[ActualWinner]]=Table1[[#This Row],[AwayTeam]], 1, 0))</f>
        <v>0</v>
      </c>
      <c r="AI495" s="64">
        <f>IF(Table1[[#This Row],[GameIsOver]]=0,0,IF(Table1[[#This Row],[ActualWinner]]=Table1[[#This Row],[HomeTeam]], 1, 0))</f>
        <v>0</v>
      </c>
      <c r="AJ495" s="64">
        <f>IF(INDEX(Standings!$A$2:$C$33,MATCH(Table1[[#This Row],[AwayTeam]],Standings!$A$2:$A$33,0),2)=INDEX(Standings!$A$2:$C$33,MATCH(Table1[[#This Row],[HomeTeam]],Standings!$A$2:$A$33,0),2),1,0)</f>
        <v>1</v>
      </c>
      <c r="AK495" s="64">
        <f>IF(INDEX(Standings!$A$2:$C$33,MATCH(Table1[[#This Row],[AwayTeam]],Standings!$A$2:$A$33,0),3)=INDEX(Standings!$A$2:$C$33,MATCH(Table1[[#This Row],[HomeTeam]],Standings!$A$2:$A$33,0),3),1,0)</f>
        <v>0</v>
      </c>
      <c r="AL495" s="64">
        <f>IF(Table1[[#This Row],[InterConf]]=1,IF(Table1[[#This Row],[InterDiv]]=0, 1, 0), 0)</f>
        <v>1</v>
      </c>
      <c r="AM495" s="64">
        <f>IF(INDEX(Standings!$A$2:$C$33,MATCH(Table1[[#This Row],[AwayTeam]],Standings!$A$2:$A$33,0),2)&lt;&gt;INDEX(Standings!$A$2:$C$33,MATCH(Table1[[#This Row],[HomeTeam]],Standings!$A$2:$A$33,0),2),1,0)</f>
        <v>0</v>
      </c>
      <c r="AN495" s="64" t="str">
        <f>INDEX(Table2[AWAY_RECORD], MATCH(Table1[[#This Row],[AwayTeam]],Table2[Team], 0), 0)</f>
        <v>1-0-0</v>
      </c>
      <c r="AO495" s="64" t="str">
        <f>INDEX(Records!$B$2:$AG$33, MATCH(Table1[[#This Row],[AwayTeam]],Records!$A$2:$A$33, 0), MATCH(Table1[[#This Row],[HomeTeam]],Records!$A$2:$A$33, 0))</f>
        <v>0-0-0</v>
      </c>
      <c r="AP495" s="64" t="str">
        <f>INDEX(Table2[HOME_RECORD], MATCH(Table1[[#This Row],[HomeTeam]],Table2[Team], 0), 0)</f>
        <v>0-0-0</v>
      </c>
      <c r="AQ495" s="64" t="str">
        <f>INDEX(Records!$B$2:$AG$33, MATCH(Table1[[#This Row],[HomeTeam]],Records!$A$2:$A$33, 0), MATCH(Table1[[#This Row],[AwayTeam]],Records!$A$2:$A$33, 0))</f>
        <v>0-0-0</v>
      </c>
    </row>
    <row r="496" spans="1:43" x14ac:dyDescent="0.25">
      <c r="A496" s="1"/>
      <c r="D496" t="s">
        <v>750</v>
      </c>
      <c r="E496" t="s">
        <v>298</v>
      </c>
      <c r="F496" t="s">
        <v>751</v>
      </c>
      <c r="G496" t="s">
        <v>56</v>
      </c>
      <c r="H496" t="s">
        <v>55</v>
      </c>
      <c r="L49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9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96" s="1"/>
      <c r="T496" s="64" t="str">
        <f>IF(Table1[[#This Row],[ActualWinner]]="", "", IF(Table1[[#This Row],[AwayTeam]]=Table1[[#This Row],[ActualWinner]],Table1[[#This Row],[HomeTeam]],Table1[[#This Row],[AwayTeam]]))</f>
        <v/>
      </c>
      <c r="U496" s="64">
        <f>Table1[[#This Row],[ActualAwayScore]]-Table1[[#This Row],[PredictedAwayScore]]</f>
        <v>0</v>
      </c>
      <c r="V496" s="64">
        <f>Table1[[#This Row],[ActualHomeScore]]-Table1[[#This Row],[PredictedHomeScore]]</f>
        <v>0</v>
      </c>
      <c r="W496" s="64">
        <f>(0.8*IF(Table1[[#This Row],[CorrectWinnerPrediction]]=1, 1, 0))+(0.1*IF(Table1[[#This Row],[CorrectAwayScorePrediction]]=1, 1, 0))+(0.1*IF(Table1[[#This Row],[CorrectHomeScorePrediction]]=1, 1, 0))</f>
        <v>0</v>
      </c>
      <c r="X49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96" s="64">
        <f>SUMIF(Table1[GameDate], Table1[[#This Row],[GameDate]], Table1[AwayGameGoalDiff])</f>
        <v>0</v>
      </c>
      <c r="AA496" s="64">
        <f>SUMIF(Table1[GameDate], Table1[[#This Row],[GameDate]], Table1[HomeGameGoalDiff])</f>
        <v>0</v>
      </c>
      <c r="AB496" s="64">
        <f>IF(ISBLANK(Table1[[#This Row],[ActualResult]]), 0, 1)</f>
        <v>0</v>
      </c>
      <c r="AC496" s="64">
        <f>IF(ISBLANK(Table1[[#This Row],[ActualResult]]), 0, IF(Table1[[#This Row],[ActualWinner]]=Table1[[#This Row],[PredictedWinner]], 1, 0))</f>
        <v>0</v>
      </c>
      <c r="AD49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9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96" s="64">
        <f>IF(AND(Table1[[#This Row],[GameIsOver]]=1,Table1[[#This Row],[ActualAwayScore]]=0), 1,0)</f>
        <v>0</v>
      </c>
      <c r="AG496" s="64">
        <f>IF(AND(Table1[[#This Row],[GameIsOver]]=1,Table1[[#This Row],[ActualHomeScore]]=0), 1,0)</f>
        <v>0</v>
      </c>
      <c r="AH496" s="64">
        <f>IF(Table1[[#This Row],[GameIsOver]]=0,0,IF(Table1[[#This Row],[ActualWinner]]=Table1[[#This Row],[AwayTeam]], 1, 0))</f>
        <v>0</v>
      </c>
      <c r="AI496" s="64">
        <f>IF(Table1[[#This Row],[GameIsOver]]=0,0,IF(Table1[[#This Row],[ActualWinner]]=Table1[[#This Row],[HomeTeam]], 1, 0))</f>
        <v>0</v>
      </c>
      <c r="AJ496" s="64">
        <f>IF(INDEX(Standings!$A$2:$C$33,MATCH(Table1[[#This Row],[AwayTeam]],Standings!$A$2:$A$33,0),2)=INDEX(Standings!$A$2:$C$33,MATCH(Table1[[#This Row],[HomeTeam]],Standings!$A$2:$A$33,0),2),1,0)</f>
        <v>1</v>
      </c>
      <c r="AK496" s="64">
        <f>IF(INDEX(Standings!$A$2:$C$33,MATCH(Table1[[#This Row],[AwayTeam]],Standings!$A$2:$A$33,0),3)=INDEX(Standings!$A$2:$C$33,MATCH(Table1[[#This Row],[HomeTeam]],Standings!$A$2:$A$33,0),3),1,0)</f>
        <v>1</v>
      </c>
      <c r="AL496" s="64">
        <f>IF(Table1[[#This Row],[InterConf]]=1,IF(Table1[[#This Row],[InterDiv]]=0, 1, 0), 0)</f>
        <v>0</v>
      </c>
      <c r="AM496" s="64">
        <f>IF(INDEX(Standings!$A$2:$C$33,MATCH(Table1[[#This Row],[AwayTeam]],Standings!$A$2:$A$33,0),2)&lt;&gt;INDEX(Standings!$A$2:$C$33,MATCH(Table1[[#This Row],[HomeTeam]],Standings!$A$2:$A$33,0),2),1,0)</f>
        <v>0</v>
      </c>
      <c r="AN496" s="64" t="str">
        <f>INDEX(Table2[AWAY_RECORD], MATCH(Table1[[#This Row],[AwayTeam]],Table2[Team], 0), 0)</f>
        <v>1-0-0</v>
      </c>
      <c r="AO496" s="64" t="str">
        <f>INDEX(Records!$B$2:$AG$33, MATCH(Table1[[#This Row],[AwayTeam]],Records!$A$2:$A$33, 0), MATCH(Table1[[#This Row],[HomeTeam]],Records!$A$2:$A$33, 0))</f>
        <v>0-0-0</v>
      </c>
      <c r="AP496" s="64" t="str">
        <f>INDEX(Table2[HOME_RECORD], MATCH(Table1[[#This Row],[HomeTeam]],Table2[Team], 0), 0)</f>
        <v>0-1-0</v>
      </c>
      <c r="AQ496" s="64" t="str">
        <f>INDEX(Records!$B$2:$AG$33, MATCH(Table1[[#This Row],[HomeTeam]],Records!$A$2:$A$33, 0), MATCH(Table1[[#This Row],[AwayTeam]],Records!$A$2:$A$33, 0))</f>
        <v>0-0-0</v>
      </c>
    </row>
    <row r="497" spans="1:43" x14ac:dyDescent="0.25">
      <c r="A497" s="1"/>
      <c r="D497" t="s">
        <v>750</v>
      </c>
      <c r="E497" t="s">
        <v>289</v>
      </c>
      <c r="F497" t="s">
        <v>752</v>
      </c>
      <c r="G497" t="s">
        <v>44</v>
      </c>
      <c r="H497" t="s">
        <v>49</v>
      </c>
      <c r="L49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9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97" s="1"/>
      <c r="T497" s="64" t="str">
        <f>IF(Table1[[#This Row],[ActualWinner]]="", "", IF(Table1[[#This Row],[AwayTeam]]=Table1[[#This Row],[ActualWinner]],Table1[[#This Row],[HomeTeam]],Table1[[#This Row],[AwayTeam]]))</f>
        <v/>
      </c>
      <c r="U497" s="64">
        <f>Table1[[#This Row],[ActualAwayScore]]-Table1[[#This Row],[PredictedAwayScore]]</f>
        <v>0</v>
      </c>
      <c r="V497" s="64">
        <f>Table1[[#This Row],[ActualHomeScore]]-Table1[[#This Row],[PredictedHomeScore]]</f>
        <v>0</v>
      </c>
      <c r="W497" s="64">
        <f>(0.8*IF(Table1[[#This Row],[CorrectWinnerPrediction]]=1, 1, 0))+(0.1*IF(Table1[[#This Row],[CorrectAwayScorePrediction]]=1, 1, 0))+(0.1*IF(Table1[[#This Row],[CorrectHomeScorePrediction]]=1, 1, 0))</f>
        <v>0</v>
      </c>
      <c r="X49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97" s="64">
        <f>SUMIF(Table1[GameDate], Table1[[#This Row],[GameDate]], Table1[AwayGameGoalDiff])</f>
        <v>0</v>
      </c>
      <c r="AA497" s="64">
        <f>SUMIF(Table1[GameDate], Table1[[#This Row],[GameDate]], Table1[HomeGameGoalDiff])</f>
        <v>0</v>
      </c>
      <c r="AB497" s="64">
        <f>IF(ISBLANK(Table1[[#This Row],[ActualResult]]), 0, 1)</f>
        <v>0</v>
      </c>
      <c r="AC497" s="64">
        <f>IF(ISBLANK(Table1[[#This Row],[ActualResult]]), 0, IF(Table1[[#This Row],[ActualWinner]]=Table1[[#This Row],[PredictedWinner]], 1, 0))</f>
        <v>0</v>
      </c>
      <c r="AD49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9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97" s="64">
        <f>IF(AND(Table1[[#This Row],[GameIsOver]]=1,Table1[[#This Row],[ActualAwayScore]]=0), 1,0)</f>
        <v>0</v>
      </c>
      <c r="AG497" s="64">
        <f>IF(AND(Table1[[#This Row],[GameIsOver]]=1,Table1[[#This Row],[ActualHomeScore]]=0), 1,0)</f>
        <v>0</v>
      </c>
      <c r="AH497" s="64">
        <f>IF(Table1[[#This Row],[GameIsOver]]=0,0,IF(Table1[[#This Row],[ActualWinner]]=Table1[[#This Row],[AwayTeam]], 1, 0))</f>
        <v>0</v>
      </c>
      <c r="AI497" s="64">
        <f>IF(Table1[[#This Row],[GameIsOver]]=0,0,IF(Table1[[#This Row],[ActualWinner]]=Table1[[#This Row],[HomeTeam]], 1, 0))</f>
        <v>0</v>
      </c>
      <c r="AJ497" s="64">
        <f>IF(INDEX(Standings!$A$2:$C$33,MATCH(Table1[[#This Row],[AwayTeam]],Standings!$A$2:$A$33,0),2)=INDEX(Standings!$A$2:$C$33,MATCH(Table1[[#This Row],[HomeTeam]],Standings!$A$2:$A$33,0),2),1,0)</f>
        <v>1</v>
      </c>
      <c r="AK497" s="64">
        <f>IF(INDEX(Standings!$A$2:$C$33,MATCH(Table1[[#This Row],[AwayTeam]],Standings!$A$2:$A$33,0),3)=INDEX(Standings!$A$2:$C$33,MATCH(Table1[[#This Row],[HomeTeam]],Standings!$A$2:$A$33,0),3),1,0)</f>
        <v>0</v>
      </c>
      <c r="AL497" s="64">
        <f>IF(Table1[[#This Row],[InterConf]]=1,IF(Table1[[#This Row],[InterDiv]]=0, 1, 0), 0)</f>
        <v>1</v>
      </c>
      <c r="AM497" s="64">
        <f>IF(INDEX(Standings!$A$2:$C$33,MATCH(Table1[[#This Row],[AwayTeam]],Standings!$A$2:$A$33,0),2)&lt;&gt;INDEX(Standings!$A$2:$C$33,MATCH(Table1[[#This Row],[HomeTeam]],Standings!$A$2:$A$33,0),2),1,0)</f>
        <v>0</v>
      </c>
      <c r="AN497" s="64" t="str">
        <f>INDEX(Table2[AWAY_RECORD], MATCH(Table1[[#This Row],[AwayTeam]],Table2[Team], 0), 0)</f>
        <v>0-0-0</v>
      </c>
      <c r="AO497" s="64" t="str">
        <f>INDEX(Records!$B$2:$AG$33, MATCH(Table1[[#This Row],[AwayTeam]],Records!$A$2:$A$33, 0), MATCH(Table1[[#This Row],[HomeTeam]],Records!$A$2:$A$33, 0))</f>
        <v>0-0-0</v>
      </c>
      <c r="AP497" s="64" t="str">
        <f>INDEX(Table2[HOME_RECORD], MATCH(Table1[[#This Row],[HomeTeam]],Table2[Team], 0), 0)</f>
        <v>1-0-0</v>
      </c>
      <c r="AQ497" s="64" t="str">
        <f>INDEX(Records!$B$2:$AG$33, MATCH(Table1[[#This Row],[HomeTeam]],Records!$A$2:$A$33, 0), MATCH(Table1[[#This Row],[AwayTeam]],Records!$A$2:$A$33, 0))</f>
        <v>0-0-0</v>
      </c>
    </row>
    <row r="498" spans="1:43" x14ac:dyDescent="0.25">
      <c r="A498" s="1"/>
      <c r="D498" t="s">
        <v>750</v>
      </c>
      <c r="E498" t="s">
        <v>289</v>
      </c>
      <c r="F498" t="s">
        <v>753</v>
      </c>
      <c r="G498" t="s">
        <v>24</v>
      </c>
      <c r="H498" t="s">
        <v>43</v>
      </c>
      <c r="L49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9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98" s="1"/>
      <c r="T498" s="64" t="str">
        <f>IF(Table1[[#This Row],[ActualWinner]]="", "", IF(Table1[[#This Row],[AwayTeam]]=Table1[[#This Row],[ActualWinner]],Table1[[#This Row],[HomeTeam]],Table1[[#This Row],[AwayTeam]]))</f>
        <v/>
      </c>
      <c r="U498" s="64">
        <f>Table1[[#This Row],[ActualAwayScore]]-Table1[[#This Row],[PredictedAwayScore]]</f>
        <v>0</v>
      </c>
      <c r="V498" s="64">
        <f>Table1[[#This Row],[ActualHomeScore]]-Table1[[#This Row],[PredictedHomeScore]]</f>
        <v>0</v>
      </c>
      <c r="W498" s="64">
        <f>(0.8*IF(Table1[[#This Row],[CorrectWinnerPrediction]]=1, 1, 0))+(0.1*IF(Table1[[#This Row],[CorrectAwayScorePrediction]]=1, 1, 0))+(0.1*IF(Table1[[#This Row],[CorrectHomeScorePrediction]]=1, 1, 0))</f>
        <v>0</v>
      </c>
      <c r="X49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98" s="64">
        <f>SUMIF(Table1[GameDate], Table1[[#This Row],[GameDate]], Table1[AwayGameGoalDiff])</f>
        <v>0</v>
      </c>
      <c r="AA498" s="64">
        <f>SUMIF(Table1[GameDate], Table1[[#This Row],[GameDate]], Table1[HomeGameGoalDiff])</f>
        <v>0</v>
      </c>
      <c r="AB498" s="64">
        <f>IF(ISBLANK(Table1[[#This Row],[ActualResult]]), 0, 1)</f>
        <v>0</v>
      </c>
      <c r="AC498" s="64">
        <f>IF(ISBLANK(Table1[[#This Row],[ActualResult]]), 0, IF(Table1[[#This Row],[ActualWinner]]=Table1[[#This Row],[PredictedWinner]], 1, 0))</f>
        <v>0</v>
      </c>
      <c r="AD49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9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98" s="64">
        <f>IF(AND(Table1[[#This Row],[GameIsOver]]=1,Table1[[#This Row],[ActualAwayScore]]=0), 1,0)</f>
        <v>0</v>
      </c>
      <c r="AG498" s="64">
        <f>IF(AND(Table1[[#This Row],[GameIsOver]]=1,Table1[[#This Row],[ActualHomeScore]]=0), 1,0)</f>
        <v>0</v>
      </c>
      <c r="AH498" s="64">
        <f>IF(Table1[[#This Row],[GameIsOver]]=0,0,IF(Table1[[#This Row],[ActualWinner]]=Table1[[#This Row],[AwayTeam]], 1, 0))</f>
        <v>0</v>
      </c>
      <c r="AI498" s="64">
        <f>IF(Table1[[#This Row],[GameIsOver]]=0,0,IF(Table1[[#This Row],[ActualWinner]]=Table1[[#This Row],[HomeTeam]], 1, 0))</f>
        <v>0</v>
      </c>
      <c r="AJ498" s="64">
        <f>IF(INDEX(Standings!$A$2:$C$33,MATCH(Table1[[#This Row],[AwayTeam]],Standings!$A$2:$A$33,0),2)=INDEX(Standings!$A$2:$C$33,MATCH(Table1[[#This Row],[HomeTeam]],Standings!$A$2:$A$33,0),2),1,0)</f>
        <v>0</v>
      </c>
      <c r="AK498" s="64">
        <f>IF(INDEX(Standings!$A$2:$C$33,MATCH(Table1[[#This Row],[AwayTeam]],Standings!$A$2:$A$33,0),3)=INDEX(Standings!$A$2:$C$33,MATCH(Table1[[#This Row],[HomeTeam]],Standings!$A$2:$A$33,0),3),1,0)</f>
        <v>0</v>
      </c>
      <c r="AL498" s="64">
        <f>IF(Table1[[#This Row],[InterConf]]=1,IF(Table1[[#This Row],[InterDiv]]=0, 1, 0), 0)</f>
        <v>0</v>
      </c>
      <c r="AM498" s="64">
        <f>IF(INDEX(Standings!$A$2:$C$33,MATCH(Table1[[#This Row],[AwayTeam]],Standings!$A$2:$A$33,0),2)&lt;&gt;INDEX(Standings!$A$2:$C$33,MATCH(Table1[[#This Row],[HomeTeam]],Standings!$A$2:$A$33,0),2),1,0)</f>
        <v>1</v>
      </c>
      <c r="AN498" s="64" t="str">
        <f>INDEX(Table2[AWAY_RECORD], MATCH(Table1[[#This Row],[AwayTeam]],Table2[Team], 0), 0)</f>
        <v>0-0-0</v>
      </c>
      <c r="AO498" s="64" t="str">
        <f>INDEX(Records!$B$2:$AG$33, MATCH(Table1[[#This Row],[AwayTeam]],Records!$A$2:$A$33, 0), MATCH(Table1[[#This Row],[HomeTeam]],Records!$A$2:$A$33, 0))</f>
        <v>0-0-0</v>
      </c>
      <c r="AP498" s="64" t="str">
        <f>INDEX(Table2[HOME_RECORD], MATCH(Table1[[#This Row],[HomeTeam]],Table2[Team], 0), 0)</f>
        <v>0-0-0</v>
      </c>
      <c r="AQ498" s="64" t="str">
        <f>INDEX(Records!$B$2:$AG$33, MATCH(Table1[[#This Row],[HomeTeam]],Records!$A$2:$A$33, 0), MATCH(Table1[[#This Row],[AwayTeam]],Records!$A$2:$A$33, 0))</f>
        <v>0-0-0</v>
      </c>
    </row>
    <row r="499" spans="1:43" x14ac:dyDescent="0.25">
      <c r="A499" s="1"/>
      <c r="D499" t="s">
        <v>754</v>
      </c>
      <c r="E499" t="s">
        <v>298</v>
      </c>
      <c r="F499" t="s">
        <v>755</v>
      </c>
      <c r="G499" t="s">
        <v>55</v>
      </c>
      <c r="H499" t="s">
        <v>46</v>
      </c>
      <c r="L49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49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499" s="1"/>
      <c r="T499" s="64" t="str">
        <f>IF(Table1[[#This Row],[ActualWinner]]="", "", IF(Table1[[#This Row],[AwayTeam]]=Table1[[#This Row],[ActualWinner]],Table1[[#This Row],[HomeTeam]],Table1[[#This Row],[AwayTeam]]))</f>
        <v/>
      </c>
      <c r="U499" s="64">
        <f>Table1[[#This Row],[ActualAwayScore]]-Table1[[#This Row],[PredictedAwayScore]]</f>
        <v>0</v>
      </c>
      <c r="V499" s="64">
        <f>Table1[[#This Row],[ActualHomeScore]]-Table1[[#This Row],[PredictedHomeScore]]</f>
        <v>0</v>
      </c>
      <c r="W499" s="64">
        <f>(0.8*IF(Table1[[#This Row],[CorrectWinnerPrediction]]=1, 1, 0))+(0.1*IF(Table1[[#This Row],[CorrectAwayScorePrediction]]=1, 1, 0))+(0.1*IF(Table1[[#This Row],[CorrectHomeScorePrediction]]=1, 1, 0))</f>
        <v>0</v>
      </c>
      <c r="X49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499" s="64">
        <f>SUMIF(Table1[GameDate], Table1[[#This Row],[GameDate]], Table1[AwayGameGoalDiff])</f>
        <v>0</v>
      </c>
      <c r="AA499" s="64">
        <f>SUMIF(Table1[GameDate], Table1[[#This Row],[GameDate]], Table1[HomeGameGoalDiff])</f>
        <v>0</v>
      </c>
      <c r="AB499" s="64">
        <f>IF(ISBLANK(Table1[[#This Row],[ActualResult]]), 0, 1)</f>
        <v>0</v>
      </c>
      <c r="AC499" s="64">
        <f>IF(ISBLANK(Table1[[#This Row],[ActualResult]]), 0, IF(Table1[[#This Row],[ActualWinner]]=Table1[[#This Row],[PredictedWinner]], 1, 0))</f>
        <v>0</v>
      </c>
      <c r="AD49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49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99" s="64">
        <f>IF(AND(Table1[[#This Row],[GameIsOver]]=1,Table1[[#This Row],[ActualAwayScore]]=0), 1,0)</f>
        <v>0</v>
      </c>
      <c r="AG499" s="64">
        <f>IF(AND(Table1[[#This Row],[GameIsOver]]=1,Table1[[#This Row],[ActualHomeScore]]=0), 1,0)</f>
        <v>0</v>
      </c>
      <c r="AH499" s="64">
        <f>IF(Table1[[#This Row],[GameIsOver]]=0,0,IF(Table1[[#This Row],[ActualWinner]]=Table1[[#This Row],[AwayTeam]], 1, 0))</f>
        <v>0</v>
      </c>
      <c r="AI499" s="64">
        <f>IF(Table1[[#This Row],[GameIsOver]]=0,0,IF(Table1[[#This Row],[ActualWinner]]=Table1[[#This Row],[HomeTeam]], 1, 0))</f>
        <v>0</v>
      </c>
      <c r="AJ499" s="64">
        <f>IF(INDEX(Standings!$A$2:$C$33,MATCH(Table1[[#This Row],[AwayTeam]],Standings!$A$2:$A$33,0),2)=INDEX(Standings!$A$2:$C$33,MATCH(Table1[[#This Row],[HomeTeam]],Standings!$A$2:$A$33,0),2),1,0)</f>
        <v>1</v>
      </c>
      <c r="AK499" s="64">
        <f>IF(INDEX(Standings!$A$2:$C$33,MATCH(Table1[[#This Row],[AwayTeam]],Standings!$A$2:$A$33,0),3)=INDEX(Standings!$A$2:$C$33,MATCH(Table1[[#This Row],[HomeTeam]],Standings!$A$2:$A$33,0),3),1,0)</f>
        <v>1</v>
      </c>
      <c r="AL499" s="64">
        <f>IF(Table1[[#This Row],[InterConf]]=1,IF(Table1[[#This Row],[InterDiv]]=0, 1, 0), 0)</f>
        <v>0</v>
      </c>
      <c r="AM499" s="64">
        <f>IF(INDEX(Standings!$A$2:$C$33,MATCH(Table1[[#This Row],[AwayTeam]],Standings!$A$2:$A$33,0),2)&lt;&gt;INDEX(Standings!$A$2:$C$33,MATCH(Table1[[#This Row],[HomeTeam]],Standings!$A$2:$A$33,0),2),1,0)</f>
        <v>0</v>
      </c>
      <c r="AN499" s="64" t="str">
        <f>INDEX(Table2[AWAY_RECORD], MATCH(Table1[[#This Row],[AwayTeam]],Table2[Team], 0), 0)</f>
        <v>0-0-0</v>
      </c>
      <c r="AO499" s="64" t="str">
        <f>INDEX(Records!$B$2:$AG$33, MATCH(Table1[[#This Row],[AwayTeam]],Records!$A$2:$A$33, 0), MATCH(Table1[[#This Row],[HomeTeam]],Records!$A$2:$A$33, 0))</f>
        <v>0-0-0</v>
      </c>
      <c r="AP499" s="64" t="str">
        <f>INDEX(Table2[HOME_RECORD], MATCH(Table1[[#This Row],[HomeTeam]],Table2[Team], 0), 0)</f>
        <v>0-0-0</v>
      </c>
      <c r="AQ499" s="64" t="str">
        <f>INDEX(Records!$B$2:$AG$33, MATCH(Table1[[#This Row],[HomeTeam]],Records!$A$2:$A$33, 0), MATCH(Table1[[#This Row],[AwayTeam]],Records!$A$2:$A$33, 0))</f>
        <v>0-0-0</v>
      </c>
    </row>
    <row r="500" spans="1:43" x14ac:dyDescent="0.25">
      <c r="A500" s="1"/>
      <c r="D500" t="s">
        <v>754</v>
      </c>
      <c r="E500" t="s">
        <v>162</v>
      </c>
      <c r="F500" t="s">
        <v>756</v>
      </c>
      <c r="G500" t="s">
        <v>45</v>
      </c>
      <c r="H500" t="s">
        <v>38</v>
      </c>
      <c r="L50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0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00" s="1"/>
      <c r="T500" s="64" t="str">
        <f>IF(Table1[[#This Row],[ActualWinner]]="", "", IF(Table1[[#This Row],[AwayTeam]]=Table1[[#This Row],[ActualWinner]],Table1[[#This Row],[HomeTeam]],Table1[[#This Row],[AwayTeam]]))</f>
        <v/>
      </c>
      <c r="U500" s="64">
        <f>Table1[[#This Row],[ActualAwayScore]]-Table1[[#This Row],[PredictedAwayScore]]</f>
        <v>0</v>
      </c>
      <c r="V500" s="64">
        <f>Table1[[#This Row],[ActualHomeScore]]-Table1[[#This Row],[PredictedHomeScore]]</f>
        <v>0</v>
      </c>
      <c r="W500" s="64">
        <f>(0.8*IF(Table1[[#This Row],[CorrectWinnerPrediction]]=1, 1, 0))+(0.1*IF(Table1[[#This Row],[CorrectAwayScorePrediction]]=1, 1, 0))+(0.1*IF(Table1[[#This Row],[CorrectHomeScorePrediction]]=1, 1, 0))</f>
        <v>0</v>
      </c>
      <c r="X50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00" s="64">
        <f>SUMIF(Table1[GameDate], Table1[[#This Row],[GameDate]], Table1[AwayGameGoalDiff])</f>
        <v>0</v>
      </c>
      <c r="AA500" s="64">
        <f>SUMIF(Table1[GameDate], Table1[[#This Row],[GameDate]], Table1[HomeGameGoalDiff])</f>
        <v>0</v>
      </c>
      <c r="AB500" s="64">
        <f>IF(ISBLANK(Table1[[#This Row],[ActualResult]]), 0, 1)</f>
        <v>0</v>
      </c>
      <c r="AC500" s="64">
        <f>IF(ISBLANK(Table1[[#This Row],[ActualResult]]), 0, IF(Table1[[#This Row],[ActualWinner]]=Table1[[#This Row],[PredictedWinner]], 1, 0))</f>
        <v>0</v>
      </c>
      <c r="AD50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0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00" s="64">
        <f>IF(AND(Table1[[#This Row],[GameIsOver]]=1,Table1[[#This Row],[ActualAwayScore]]=0), 1,0)</f>
        <v>0</v>
      </c>
      <c r="AG500" s="64">
        <f>IF(AND(Table1[[#This Row],[GameIsOver]]=1,Table1[[#This Row],[ActualHomeScore]]=0), 1,0)</f>
        <v>0</v>
      </c>
      <c r="AH500" s="64">
        <f>IF(Table1[[#This Row],[GameIsOver]]=0,0,IF(Table1[[#This Row],[ActualWinner]]=Table1[[#This Row],[AwayTeam]], 1, 0))</f>
        <v>0</v>
      </c>
      <c r="AI500" s="64">
        <f>IF(Table1[[#This Row],[GameIsOver]]=0,0,IF(Table1[[#This Row],[ActualWinner]]=Table1[[#This Row],[HomeTeam]], 1, 0))</f>
        <v>0</v>
      </c>
      <c r="AJ500" s="64">
        <f>IF(INDEX(Standings!$A$2:$C$33,MATCH(Table1[[#This Row],[AwayTeam]],Standings!$A$2:$A$33,0),2)=INDEX(Standings!$A$2:$C$33,MATCH(Table1[[#This Row],[HomeTeam]],Standings!$A$2:$A$33,0),2),1,0)</f>
        <v>0</v>
      </c>
      <c r="AK500" s="64">
        <f>IF(INDEX(Standings!$A$2:$C$33,MATCH(Table1[[#This Row],[AwayTeam]],Standings!$A$2:$A$33,0),3)=INDEX(Standings!$A$2:$C$33,MATCH(Table1[[#This Row],[HomeTeam]],Standings!$A$2:$A$33,0),3),1,0)</f>
        <v>0</v>
      </c>
      <c r="AL500" s="64">
        <f>IF(Table1[[#This Row],[InterConf]]=1,IF(Table1[[#This Row],[InterDiv]]=0, 1, 0), 0)</f>
        <v>0</v>
      </c>
      <c r="AM500" s="64">
        <f>IF(INDEX(Standings!$A$2:$C$33,MATCH(Table1[[#This Row],[AwayTeam]],Standings!$A$2:$A$33,0),2)&lt;&gt;INDEX(Standings!$A$2:$C$33,MATCH(Table1[[#This Row],[HomeTeam]],Standings!$A$2:$A$33,0),2),1,0)</f>
        <v>1</v>
      </c>
      <c r="AN500" s="64" t="str">
        <f>INDEX(Table2[AWAY_RECORD], MATCH(Table1[[#This Row],[AwayTeam]],Table2[Team], 0), 0)</f>
        <v>1-0-0</v>
      </c>
      <c r="AO500" s="64" t="str">
        <f>INDEX(Records!$B$2:$AG$33, MATCH(Table1[[#This Row],[AwayTeam]],Records!$A$2:$A$33, 0), MATCH(Table1[[#This Row],[HomeTeam]],Records!$A$2:$A$33, 0))</f>
        <v>0-0-0</v>
      </c>
      <c r="AP500" s="64" t="str">
        <f>INDEX(Table2[HOME_RECORD], MATCH(Table1[[#This Row],[HomeTeam]],Table2[Team], 0), 0)</f>
        <v>0-0-0</v>
      </c>
      <c r="AQ500" s="64" t="str">
        <f>INDEX(Records!$B$2:$AG$33, MATCH(Table1[[#This Row],[HomeTeam]],Records!$A$2:$A$33, 0), MATCH(Table1[[#This Row],[AwayTeam]],Records!$A$2:$A$33, 0))</f>
        <v>0-0-0</v>
      </c>
    </row>
    <row r="501" spans="1:43" x14ac:dyDescent="0.25">
      <c r="A501" s="1"/>
      <c r="D501" t="s">
        <v>754</v>
      </c>
      <c r="E501" t="s">
        <v>162</v>
      </c>
      <c r="F501" t="s">
        <v>757</v>
      </c>
      <c r="G501" t="s">
        <v>36</v>
      </c>
      <c r="H501" t="s">
        <v>47</v>
      </c>
      <c r="L50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0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01" s="1"/>
      <c r="T501" s="64" t="str">
        <f>IF(Table1[[#This Row],[ActualWinner]]="", "", IF(Table1[[#This Row],[AwayTeam]]=Table1[[#This Row],[ActualWinner]],Table1[[#This Row],[HomeTeam]],Table1[[#This Row],[AwayTeam]]))</f>
        <v/>
      </c>
      <c r="U501" s="64">
        <f>Table1[[#This Row],[ActualAwayScore]]-Table1[[#This Row],[PredictedAwayScore]]</f>
        <v>0</v>
      </c>
      <c r="V501" s="64">
        <f>Table1[[#This Row],[ActualHomeScore]]-Table1[[#This Row],[PredictedHomeScore]]</f>
        <v>0</v>
      </c>
      <c r="W501" s="64">
        <f>(0.8*IF(Table1[[#This Row],[CorrectWinnerPrediction]]=1, 1, 0))+(0.1*IF(Table1[[#This Row],[CorrectAwayScorePrediction]]=1, 1, 0))+(0.1*IF(Table1[[#This Row],[CorrectHomeScorePrediction]]=1, 1, 0))</f>
        <v>0</v>
      </c>
      <c r="X50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01" s="64">
        <f>SUMIF(Table1[GameDate], Table1[[#This Row],[GameDate]], Table1[AwayGameGoalDiff])</f>
        <v>0</v>
      </c>
      <c r="AA501" s="64">
        <f>SUMIF(Table1[GameDate], Table1[[#This Row],[GameDate]], Table1[HomeGameGoalDiff])</f>
        <v>0</v>
      </c>
      <c r="AB501" s="64">
        <f>IF(ISBLANK(Table1[[#This Row],[ActualResult]]), 0, 1)</f>
        <v>0</v>
      </c>
      <c r="AC501" s="64">
        <f>IF(ISBLANK(Table1[[#This Row],[ActualResult]]), 0, IF(Table1[[#This Row],[ActualWinner]]=Table1[[#This Row],[PredictedWinner]], 1, 0))</f>
        <v>0</v>
      </c>
      <c r="AD50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0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01" s="64">
        <f>IF(AND(Table1[[#This Row],[GameIsOver]]=1,Table1[[#This Row],[ActualAwayScore]]=0), 1,0)</f>
        <v>0</v>
      </c>
      <c r="AG501" s="64">
        <f>IF(AND(Table1[[#This Row],[GameIsOver]]=1,Table1[[#This Row],[ActualHomeScore]]=0), 1,0)</f>
        <v>0</v>
      </c>
      <c r="AH501" s="64">
        <f>IF(Table1[[#This Row],[GameIsOver]]=0,0,IF(Table1[[#This Row],[ActualWinner]]=Table1[[#This Row],[AwayTeam]], 1, 0))</f>
        <v>0</v>
      </c>
      <c r="AI501" s="64">
        <f>IF(Table1[[#This Row],[GameIsOver]]=0,0,IF(Table1[[#This Row],[ActualWinner]]=Table1[[#This Row],[HomeTeam]], 1, 0))</f>
        <v>0</v>
      </c>
      <c r="AJ501" s="64">
        <f>IF(INDEX(Standings!$A$2:$C$33,MATCH(Table1[[#This Row],[AwayTeam]],Standings!$A$2:$A$33,0),2)=INDEX(Standings!$A$2:$C$33,MATCH(Table1[[#This Row],[HomeTeam]],Standings!$A$2:$A$33,0),2),1,0)</f>
        <v>0</v>
      </c>
      <c r="AK501" s="64">
        <f>IF(INDEX(Standings!$A$2:$C$33,MATCH(Table1[[#This Row],[AwayTeam]],Standings!$A$2:$A$33,0),3)=INDEX(Standings!$A$2:$C$33,MATCH(Table1[[#This Row],[HomeTeam]],Standings!$A$2:$A$33,0),3),1,0)</f>
        <v>0</v>
      </c>
      <c r="AL501" s="64">
        <f>IF(Table1[[#This Row],[InterConf]]=1,IF(Table1[[#This Row],[InterDiv]]=0, 1, 0), 0)</f>
        <v>0</v>
      </c>
      <c r="AM501" s="64">
        <f>IF(INDEX(Standings!$A$2:$C$33,MATCH(Table1[[#This Row],[AwayTeam]],Standings!$A$2:$A$33,0),2)&lt;&gt;INDEX(Standings!$A$2:$C$33,MATCH(Table1[[#This Row],[HomeTeam]],Standings!$A$2:$A$33,0),2),1,0)</f>
        <v>1</v>
      </c>
      <c r="AN501" s="64" t="str">
        <f>INDEX(Table2[AWAY_RECORD], MATCH(Table1[[#This Row],[AwayTeam]],Table2[Team], 0), 0)</f>
        <v>0-0-0</v>
      </c>
      <c r="AO501" s="64" t="str">
        <f>INDEX(Records!$B$2:$AG$33, MATCH(Table1[[#This Row],[AwayTeam]],Records!$A$2:$A$33, 0), MATCH(Table1[[#This Row],[HomeTeam]],Records!$A$2:$A$33, 0))</f>
        <v>0-0-0</v>
      </c>
      <c r="AP501" s="64" t="str">
        <f>INDEX(Table2[HOME_RECORD], MATCH(Table1[[#This Row],[HomeTeam]],Table2[Team], 0), 0)</f>
        <v>0-0-0</v>
      </c>
      <c r="AQ501" s="64" t="str">
        <f>INDEX(Records!$B$2:$AG$33, MATCH(Table1[[#This Row],[HomeTeam]],Records!$A$2:$A$33, 0), MATCH(Table1[[#This Row],[AwayTeam]],Records!$A$2:$A$33, 0))</f>
        <v>0-0-0</v>
      </c>
    </row>
    <row r="502" spans="1:43" x14ac:dyDescent="0.25">
      <c r="A502" s="1"/>
      <c r="D502" t="s">
        <v>754</v>
      </c>
      <c r="E502" t="s">
        <v>162</v>
      </c>
      <c r="F502" t="s">
        <v>758</v>
      </c>
      <c r="G502" t="s">
        <v>25</v>
      </c>
      <c r="H502" t="s">
        <v>52</v>
      </c>
      <c r="L50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0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02" s="1"/>
      <c r="T502" s="64" t="str">
        <f>IF(Table1[[#This Row],[ActualWinner]]="", "", IF(Table1[[#This Row],[AwayTeam]]=Table1[[#This Row],[ActualWinner]],Table1[[#This Row],[HomeTeam]],Table1[[#This Row],[AwayTeam]]))</f>
        <v/>
      </c>
      <c r="U502" s="64">
        <f>Table1[[#This Row],[ActualAwayScore]]-Table1[[#This Row],[PredictedAwayScore]]</f>
        <v>0</v>
      </c>
      <c r="V502" s="64">
        <f>Table1[[#This Row],[ActualHomeScore]]-Table1[[#This Row],[PredictedHomeScore]]</f>
        <v>0</v>
      </c>
      <c r="W502" s="64">
        <f>(0.8*IF(Table1[[#This Row],[CorrectWinnerPrediction]]=1, 1, 0))+(0.1*IF(Table1[[#This Row],[CorrectAwayScorePrediction]]=1, 1, 0))+(0.1*IF(Table1[[#This Row],[CorrectHomeScorePrediction]]=1, 1, 0))</f>
        <v>0</v>
      </c>
      <c r="X50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02" s="64">
        <f>SUMIF(Table1[GameDate], Table1[[#This Row],[GameDate]], Table1[AwayGameGoalDiff])</f>
        <v>0</v>
      </c>
      <c r="AA502" s="64">
        <f>SUMIF(Table1[GameDate], Table1[[#This Row],[GameDate]], Table1[HomeGameGoalDiff])</f>
        <v>0</v>
      </c>
      <c r="AB502" s="64">
        <f>IF(ISBLANK(Table1[[#This Row],[ActualResult]]), 0, 1)</f>
        <v>0</v>
      </c>
      <c r="AC502" s="64">
        <f>IF(ISBLANK(Table1[[#This Row],[ActualResult]]), 0, IF(Table1[[#This Row],[ActualWinner]]=Table1[[#This Row],[PredictedWinner]], 1, 0))</f>
        <v>0</v>
      </c>
      <c r="AD50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0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02" s="64">
        <f>IF(AND(Table1[[#This Row],[GameIsOver]]=1,Table1[[#This Row],[ActualAwayScore]]=0), 1,0)</f>
        <v>0</v>
      </c>
      <c r="AG502" s="64">
        <f>IF(AND(Table1[[#This Row],[GameIsOver]]=1,Table1[[#This Row],[ActualHomeScore]]=0), 1,0)</f>
        <v>0</v>
      </c>
      <c r="AH502" s="64">
        <f>IF(Table1[[#This Row],[GameIsOver]]=0,0,IF(Table1[[#This Row],[ActualWinner]]=Table1[[#This Row],[AwayTeam]], 1, 0))</f>
        <v>0</v>
      </c>
      <c r="AI502" s="64">
        <f>IF(Table1[[#This Row],[GameIsOver]]=0,0,IF(Table1[[#This Row],[ActualWinner]]=Table1[[#This Row],[HomeTeam]], 1, 0))</f>
        <v>0</v>
      </c>
      <c r="AJ502" s="64">
        <f>IF(INDEX(Standings!$A$2:$C$33,MATCH(Table1[[#This Row],[AwayTeam]],Standings!$A$2:$A$33,0),2)=INDEX(Standings!$A$2:$C$33,MATCH(Table1[[#This Row],[HomeTeam]],Standings!$A$2:$A$33,0),2),1,0)</f>
        <v>0</v>
      </c>
      <c r="AK502" s="64">
        <f>IF(INDEX(Standings!$A$2:$C$33,MATCH(Table1[[#This Row],[AwayTeam]],Standings!$A$2:$A$33,0),3)=INDEX(Standings!$A$2:$C$33,MATCH(Table1[[#This Row],[HomeTeam]],Standings!$A$2:$A$33,0),3),1,0)</f>
        <v>0</v>
      </c>
      <c r="AL502" s="64">
        <f>IF(Table1[[#This Row],[InterConf]]=1,IF(Table1[[#This Row],[InterDiv]]=0, 1, 0), 0)</f>
        <v>0</v>
      </c>
      <c r="AM502" s="64">
        <f>IF(INDEX(Standings!$A$2:$C$33,MATCH(Table1[[#This Row],[AwayTeam]],Standings!$A$2:$A$33,0),2)&lt;&gt;INDEX(Standings!$A$2:$C$33,MATCH(Table1[[#This Row],[HomeTeam]],Standings!$A$2:$A$33,0),2),1,0)</f>
        <v>1</v>
      </c>
      <c r="AN502" s="64" t="str">
        <f>INDEX(Table2[AWAY_RECORD], MATCH(Table1[[#This Row],[AwayTeam]],Table2[Team], 0), 0)</f>
        <v>0-0-0</v>
      </c>
      <c r="AO502" s="64" t="str">
        <f>INDEX(Records!$B$2:$AG$33, MATCH(Table1[[#This Row],[AwayTeam]],Records!$A$2:$A$33, 0), MATCH(Table1[[#This Row],[HomeTeam]],Records!$A$2:$A$33, 0))</f>
        <v>0-0-0</v>
      </c>
      <c r="AP502" s="64" t="str">
        <f>INDEX(Table2[HOME_RECORD], MATCH(Table1[[#This Row],[HomeTeam]],Table2[Team], 0), 0)</f>
        <v>0-0-0</v>
      </c>
      <c r="AQ502" s="64" t="str">
        <f>INDEX(Records!$B$2:$AG$33, MATCH(Table1[[#This Row],[HomeTeam]],Records!$A$2:$A$33, 0), MATCH(Table1[[#This Row],[AwayTeam]],Records!$A$2:$A$33, 0))</f>
        <v>0-0-0</v>
      </c>
    </row>
    <row r="503" spans="1:43" x14ac:dyDescent="0.25">
      <c r="A503" s="1"/>
      <c r="D503" t="s">
        <v>754</v>
      </c>
      <c r="E503" t="s">
        <v>162</v>
      </c>
      <c r="F503" t="s">
        <v>759</v>
      </c>
      <c r="G503" t="s">
        <v>37</v>
      </c>
      <c r="H503" t="s">
        <v>57</v>
      </c>
      <c r="L50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0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03" s="1"/>
      <c r="T503" s="64" t="str">
        <f>IF(Table1[[#This Row],[ActualWinner]]="", "", IF(Table1[[#This Row],[AwayTeam]]=Table1[[#This Row],[ActualWinner]],Table1[[#This Row],[HomeTeam]],Table1[[#This Row],[AwayTeam]]))</f>
        <v/>
      </c>
      <c r="U503" s="64">
        <f>Table1[[#This Row],[ActualAwayScore]]-Table1[[#This Row],[PredictedAwayScore]]</f>
        <v>0</v>
      </c>
      <c r="V503" s="64">
        <f>Table1[[#This Row],[ActualHomeScore]]-Table1[[#This Row],[PredictedHomeScore]]</f>
        <v>0</v>
      </c>
      <c r="W503" s="64">
        <f>(0.8*IF(Table1[[#This Row],[CorrectWinnerPrediction]]=1, 1, 0))+(0.1*IF(Table1[[#This Row],[CorrectAwayScorePrediction]]=1, 1, 0))+(0.1*IF(Table1[[#This Row],[CorrectHomeScorePrediction]]=1, 1, 0))</f>
        <v>0</v>
      </c>
      <c r="X50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03" s="64">
        <f>SUMIF(Table1[GameDate], Table1[[#This Row],[GameDate]], Table1[AwayGameGoalDiff])</f>
        <v>0</v>
      </c>
      <c r="AA503" s="64">
        <f>SUMIF(Table1[GameDate], Table1[[#This Row],[GameDate]], Table1[HomeGameGoalDiff])</f>
        <v>0</v>
      </c>
      <c r="AB503" s="64">
        <f>IF(ISBLANK(Table1[[#This Row],[ActualResult]]), 0, 1)</f>
        <v>0</v>
      </c>
      <c r="AC503" s="64">
        <f>IF(ISBLANK(Table1[[#This Row],[ActualResult]]), 0, IF(Table1[[#This Row],[ActualWinner]]=Table1[[#This Row],[PredictedWinner]], 1, 0))</f>
        <v>0</v>
      </c>
      <c r="AD50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0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03" s="64">
        <f>IF(AND(Table1[[#This Row],[GameIsOver]]=1,Table1[[#This Row],[ActualAwayScore]]=0), 1,0)</f>
        <v>0</v>
      </c>
      <c r="AG503" s="64">
        <f>IF(AND(Table1[[#This Row],[GameIsOver]]=1,Table1[[#This Row],[ActualHomeScore]]=0), 1,0)</f>
        <v>0</v>
      </c>
      <c r="AH503" s="64">
        <f>IF(Table1[[#This Row],[GameIsOver]]=0,0,IF(Table1[[#This Row],[ActualWinner]]=Table1[[#This Row],[AwayTeam]], 1, 0))</f>
        <v>0</v>
      </c>
      <c r="AI503" s="64">
        <f>IF(Table1[[#This Row],[GameIsOver]]=0,0,IF(Table1[[#This Row],[ActualWinner]]=Table1[[#This Row],[HomeTeam]], 1, 0))</f>
        <v>0</v>
      </c>
      <c r="AJ503" s="64">
        <f>IF(INDEX(Standings!$A$2:$C$33,MATCH(Table1[[#This Row],[AwayTeam]],Standings!$A$2:$A$33,0),2)=INDEX(Standings!$A$2:$C$33,MATCH(Table1[[#This Row],[HomeTeam]],Standings!$A$2:$A$33,0),2),1,0)</f>
        <v>1</v>
      </c>
      <c r="AK503" s="64">
        <f>IF(INDEX(Standings!$A$2:$C$33,MATCH(Table1[[#This Row],[AwayTeam]],Standings!$A$2:$A$33,0),3)=INDEX(Standings!$A$2:$C$33,MATCH(Table1[[#This Row],[HomeTeam]],Standings!$A$2:$A$33,0),3),1,0)</f>
        <v>1</v>
      </c>
      <c r="AL503" s="64">
        <f>IF(Table1[[#This Row],[InterConf]]=1,IF(Table1[[#This Row],[InterDiv]]=0, 1, 0), 0)</f>
        <v>0</v>
      </c>
      <c r="AM503" s="64">
        <f>IF(INDEX(Standings!$A$2:$C$33,MATCH(Table1[[#This Row],[AwayTeam]],Standings!$A$2:$A$33,0),2)&lt;&gt;INDEX(Standings!$A$2:$C$33,MATCH(Table1[[#This Row],[HomeTeam]],Standings!$A$2:$A$33,0),2),1,0)</f>
        <v>0</v>
      </c>
      <c r="AN503" s="64" t="str">
        <f>INDEX(Table2[AWAY_RECORD], MATCH(Table1[[#This Row],[AwayTeam]],Table2[Team], 0), 0)</f>
        <v>0-0-1</v>
      </c>
      <c r="AO503" s="64" t="str">
        <f>INDEX(Records!$B$2:$AG$33, MATCH(Table1[[#This Row],[AwayTeam]],Records!$A$2:$A$33, 0), MATCH(Table1[[#This Row],[HomeTeam]],Records!$A$2:$A$33, 0))</f>
        <v>0-0-0</v>
      </c>
      <c r="AP503" s="64" t="str">
        <f>INDEX(Table2[HOME_RECORD], MATCH(Table1[[#This Row],[HomeTeam]],Table2[Team], 0), 0)</f>
        <v>0-0-0</v>
      </c>
      <c r="AQ503" s="64" t="str">
        <f>INDEX(Records!$B$2:$AG$33, MATCH(Table1[[#This Row],[HomeTeam]],Records!$A$2:$A$33, 0), MATCH(Table1[[#This Row],[AwayTeam]],Records!$A$2:$A$33, 0))</f>
        <v>0-0-0</v>
      </c>
    </row>
    <row r="504" spans="1:43" x14ac:dyDescent="0.25">
      <c r="A504" s="1"/>
      <c r="D504" t="s">
        <v>754</v>
      </c>
      <c r="E504" t="s">
        <v>162</v>
      </c>
      <c r="F504" t="s">
        <v>760</v>
      </c>
      <c r="G504" t="s">
        <v>54</v>
      </c>
      <c r="H504" t="s">
        <v>17</v>
      </c>
      <c r="L50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0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04" s="1"/>
      <c r="T504" s="64" t="str">
        <f>IF(Table1[[#This Row],[ActualWinner]]="", "", IF(Table1[[#This Row],[AwayTeam]]=Table1[[#This Row],[ActualWinner]],Table1[[#This Row],[HomeTeam]],Table1[[#This Row],[AwayTeam]]))</f>
        <v/>
      </c>
      <c r="U504" s="64">
        <f>Table1[[#This Row],[ActualAwayScore]]-Table1[[#This Row],[PredictedAwayScore]]</f>
        <v>0</v>
      </c>
      <c r="V504" s="64">
        <f>Table1[[#This Row],[ActualHomeScore]]-Table1[[#This Row],[PredictedHomeScore]]</f>
        <v>0</v>
      </c>
      <c r="W504" s="64">
        <f>(0.8*IF(Table1[[#This Row],[CorrectWinnerPrediction]]=1, 1, 0))+(0.1*IF(Table1[[#This Row],[CorrectAwayScorePrediction]]=1, 1, 0))+(0.1*IF(Table1[[#This Row],[CorrectHomeScorePrediction]]=1, 1, 0))</f>
        <v>0</v>
      </c>
      <c r="X50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04" s="64">
        <f>SUMIF(Table1[GameDate], Table1[[#This Row],[GameDate]], Table1[AwayGameGoalDiff])</f>
        <v>0</v>
      </c>
      <c r="AA504" s="64">
        <f>SUMIF(Table1[GameDate], Table1[[#This Row],[GameDate]], Table1[HomeGameGoalDiff])</f>
        <v>0</v>
      </c>
      <c r="AB504" s="64">
        <f>IF(ISBLANK(Table1[[#This Row],[ActualResult]]), 0, 1)</f>
        <v>0</v>
      </c>
      <c r="AC504" s="64">
        <f>IF(ISBLANK(Table1[[#This Row],[ActualResult]]), 0, IF(Table1[[#This Row],[ActualWinner]]=Table1[[#This Row],[PredictedWinner]], 1, 0))</f>
        <v>0</v>
      </c>
      <c r="AD50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0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04" s="64">
        <f>IF(AND(Table1[[#This Row],[GameIsOver]]=1,Table1[[#This Row],[ActualAwayScore]]=0), 1,0)</f>
        <v>0</v>
      </c>
      <c r="AG504" s="64">
        <f>IF(AND(Table1[[#This Row],[GameIsOver]]=1,Table1[[#This Row],[ActualHomeScore]]=0), 1,0)</f>
        <v>0</v>
      </c>
      <c r="AH504" s="64">
        <f>IF(Table1[[#This Row],[GameIsOver]]=0,0,IF(Table1[[#This Row],[ActualWinner]]=Table1[[#This Row],[AwayTeam]], 1, 0))</f>
        <v>0</v>
      </c>
      <c r="AI504" s="64">
        <f>IF(Table1[[#This Row],[GameIsOver]]=0,0,IF(Table1[[#This Row],[ActualWinner]]=Table1[[#This Row],[HomeTeam]], 1, 0))</f>
        <v>0</v>
      </c>
      <c r="AJ504" s="64">
        <f>IF(INDEX(Standings!$A$2:$C$33,MATCH(Table1[[#This Row],[AwayTeam]],Standings!$A$2:$A$33,0),2)=INDEX(Standings!$A$2:$C$33,MATCH(Table1[[#This Row],[HomeTeam]],Standings!$A$2:$A$33,0),2),1,0)</f>
        <v>1</v>
      </c>
      <c r="AK504" s="64">
        <f>IF(INDEX(Standings!$A$2:$C$33,MATCH(Table1[[#This Row],[AwayTeam]],Standings!$A$2:$A$33,0),3)=INDEX(Standings!$A$2:$C$33,MATCH(Table1[[#This Row],[HomeTeam]],Standings!$A$2:$A$33,0),3),1,0)</f>
        <v>0</v>
      </c>
      <c r="AL504" s="64">
        <f>IF(Table1[[#This Row],[InterConf]]=1,IF(Table1[[#This Row],[InterDiv]]=0, 1, 0), 0)</f>
        <v>1</v>
      </c>
      <c r="AM504" s="64">
        <f>IF(INDEX(Standings!$A$2:$C$33,MATCH(Table1[[#This Row],[AwayTeam]],Standings!$A$2:$A$33,0),2)&lt;&gt;INDEX(Standings!$A$2:$C$33,MATCH(Table1[[#This Row],[HomeTeam]],Standings!$A$2:$A$33,0),2),1,0)</f>
        <v>0</v>
      </c>
      <c r="AN504" s="64" t="str">
        <f>INDEX(Table2[AWAY_RECORD], MATCH(Table1[[#This Row],[AwayTeam]],Table2[Team], 0), 0)</f>
        <v>0-0-1</v>
      </c>
      <c r="AO504" s="64" t="str">
        <f>INDEX(Records!$B$2:$AG$33, MATCH(Table1[[#This Row],[AwayTeam]],Records!$A$2:$A$33, 0), MATCH(Table1[[#This Row],[HomeTeam]],Records!$A$2:$A$33, 0))</f>
        <v>0-0-0</v>
      </c>
      <c r="AP504" s="64" t="str">
        <f>INDEX(Table2[HOME_RECORD], MATCH(Table1[[#This Row],[HomeTeam]],Table2[Team], 0), 0)</f>
        <v>0-0-0</v>
      </c>
      <c r="AQ504" s="64" t="str">
        <f>INDEX(Records!$B$2:$AG$33, MATCH(Table1[[#This Row],[HomeTeam]],Records!$A$2:$A$33, 0), MATCH(Table1[[#This Row],[AwayTeam]],Records!$A$2:$A$33, 0))</f>
        <v>0-0-0</v>
      </c>
    </row>
    <row r="505" spans="1:43" x14ac:dyDescent="0.25">
      <c r="A505" s="1"/>
      <c r="D505" t="s">
        <v>754</v>
      </c>
      <c r="E505" t="s">
        <v>162</v>
      </c>
      <c r="F505" t="s">
        <v>761</v>
      </c>
      <c r="G505" t="s">
        <v>39</v>
      </c>
      <c r="H505" t="s">
        <v>50</v>
      </c>
      <c r="L50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0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05" s="1"/>
      <c r="T505" s="64" t="str">
        <f>IF(Table1[[#This Row],[ActualWinner]]="", "", IF(Table1[[#This Row],[AwayTeam]]=Table1[[#This Row],[ActualWinner]],Table1[[#This Row],[HomeTeam]],Table1[[#This Row],[AwayTeam]]))</f>
        <v/>
      </c>
      <c r="U505" s="64">
        <f>Table1[[#This Row],[ActualAwayScore]]-Table1[[#This Row],[PredictedAwayScore]]</f>
        <v>0</v>
      </c>
      <c r="V505" s="64">
        <f>Table1[[#This Row],[ActualHomeScore]]-Table1[[#This Row],[PredictedHomeScore]]</f>
        <v>0</v>
      </c>
      <c r="W505" s="64">
        <f>(0.8*IF(Table1[[#This Row],[CorrectWinnerPrediction]]=1, 1, 0))+(0.1*IF(Table1[[#This Row],[CorrectAwayScorePrediction]]=1, 1, 0))+(0.1*IF(Table1[[#This Row],[CorrectHomeScorePrediction]]=1, 1, 0))</f>
        <v>0</v>
      </c>
      <c r="X50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05" s="64">
        <f>SUMIF(Table1[GameDate], Table1[[#This Row],[GameDate]], Table1[AwayGameGoalDiff])</f>
        <v>0</v>
      </c>
      <c r="AA505" s="64">
        <f>SUMIF(Table1[GameDate], Table1[[#This Row],[GameDate]], Table1[HomeGameGoalDiff])</f>
        <v>0</v>
      </c>
      <c r="AB505" s="64">
        <f>IF(ISBLANK(Table1[[#This Row],[ActualResult]]), 0, 1)</f>
        <v>0</v>
      </c>
      <c r="AC505" s="64">
        <f>IF(ISBLANK(Table1[[#This Row],[ActualResult]]), 0, IF(Table1[[#This Row],[ActualWinner]]=Table1[[#This Row],[PredictedWinner]], 1, 0))</f>
        <v>0</v>
      </c>
      <c r="AD50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0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05" s="64">
        <f>IF(AND(Table1[[#This Row],[GameIsOver]]=1,Table1[[#This Row],[ActualAwayScore]]=0), 1,0)</f>
        <v>0</v>
      </c>
      <c r="AG505" s="64">
        <f>IF(AND(Table1[[#This Row],[GameIsOver]]=1,Table1[[#This Row],[ActualHomeScore]]=0), 1,0)</f>
        <v>0</v>
      </c>
      <c r="AH505" s="64">
        <f>IF(Table1[[#This Row],[GameIsOver]]=0,0,IF(Table1[[#This Row],[ActualWinner]]=Table1[[#This Row],[AwayTeam]], 1, 0))</f>
        <v>0</v>
      </c>
      <c r="AI505" s="64">
        <f>IF(Table1[[#This Row],[GameIsOver]]=0,0,IF(Table1[[#This Row],[ActualWinner]]=Table1[[#This Row],[HomeTeam]], 1, 0))</f>
        <v>0</v>
      </c>
      <c r="AJ505" s="64">
        <f>IF(INDEX(Standings!$A$2:$C$33,MATCH(Table1[[#This Row],[AwayTeam]],Standings!$A$2:$A$33,0),2)=INDEX(Standings!$A$2:$C$33,MATCH(Table1[[#This Row],[HomeTeam]],Standings!$A$2:$A$33,0),2),1,0)</f>
        <v>0</v>
      </c>
      <c r="AK505" s="64">
        <f>IF(INDEX(Standings!$A$2:$C$33,MATCH(Table1[[#This Row],[AwayTeam]],Standings!$A$2:$A$33,0),3)=INDEX(Standings!$A$2:$C$33,MATCH(Table1[[#This Row],[HomeTeam]],Standings!$A$2:$A$33,0),3),1,0)</f>
        <v>0</v>
      </c>
      <c r="AL505" s="64">
        <f>IF(Table1[[#This Row],[InterConf]]=1,IF(Table1[[#This Row],[InterDiv]]=0, 1, 0), 0)</f>
        <v>0</v>
      </c>
      <c r="AM505" s="64">
        <f>IF(INDEX(Standings!$A$2:$C$33,MATCH(Table1[[#This Row],[AwayTeam]],Standings!$A$2:$A$33,0),2)&lt;&gt;INDEX(Standings!$A$2:$C$33,MATCH(Table1[[#This Row],[HomeTeam]],Standings!$A$2:$A$33,0),2),1,0)</f>
        <v>1</v>
      </c>
      <c r="AN505" s="64" t="str">
        <f>INDEX(Table2[AWAY_RECORD], MATCH(Table1[[#This Row],[AwayTeam]],Table2[Team], 0), 0)</f>
        <v>0-0-0</v>
      </c>
      <c r="AO505" s="64" t="str">
        <f>INDEX(Records!$B$2:$AG$33, MATCH(Table1[[#This Row],[AwayTeam]],Records!$A$2:$A$33, 0), MATCH(Table1[[#This Row],[HomeTeam]],Records!$A$2:$A$33, 0))</f>
        <v>0-0-0</v>
      </c>
      <c r="AP505" s="64" t="str">
        <f>INDEX(Table2[HOME_RECORD], MATCH(Table1[[#This Row],[HomeTeam]],Table2[Team], 0), 0)</f>
        <v>0-0-0</v>
      </c>
      <c r="AQ505" s="64" t="str">
        <f>INDEX(Records!$B$2:$AG$33, MATCH(Table1[[#This Row],[HomeTeam]],Records!$A$2:$A$33, 0), MATCH(Table1[[#This Row],[AwayTeam]],Records!$A$2:$A$33, 0))</f>
        <v>0-0-0</v>
      </c>
    </row>
    <row r="506" spans="1:43" x14ac:dyDescent="0.25">
      <c r="A506" s="1"/>
      <c r="D506" t="s">
        <v>754</v>
      </c>
      <c r="E506" t="s">
        <v>162</v>
      </c>
      <c r="F506" t="s">
        <v>762</v>
      </c>
      <c r="G506" t="s">
        <v>22</v>
      </c>
      <c r="H506" t="s">
        <v>42</v>
      </c>
      <c r="L50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0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06" s="1"/>
      <c r="T506" s="64" t="str">
        <f>IF(Table1[[#This Row],[ActualWinner]]="", "", IF(Table1[[#This Row],[AwayTeam]]=Table1[[#This Row],[ActualWinner]],Table1[[#This Row],[HomeTeam]],Table1[[#This Row],[AwayTeam]]))</f>
        <v/>
      </c>
      <c r="U506" s="64">
        <f>Table1[[#This Row],[ActualAwayScore]]-Table1[[#This Row],[PredictedAwayScore]]</f>
        <v>0</v>
      </c>
      <c r="V506" s="64">
        <f>Table1[[#This Row],[ActualHomeScore]]-Table1[[#This Row],[PredictedHomeScore]]</f>
        <v>0</v>
      </c>
      <c r="W506" s="64">
        <f>(0.8*IF(Table1[[#This Row],[CorrectWinnerPrediction]]=1, 1, 0))+(0.1*IF(Table1[[#This Row],[CorrectAwayScorePrediction]]=1, 1, 0))+(0.1*IF(Table1[[#This Row],[CorrectHomeScorePrediction]]=1, 1, 0))</f>
        <v>0</v>
      </c>
      <c r="X50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06" s="64">
        <f>SUMIF(Table1[GameDate], Table1[[#This Row],[GameDate]], Table1[AwayGameGoalDiff])</f>
        <v>0</v>
      </c>
      <c r="AA506" s="64">
        <f>SUMIF(Table1[GameDate], Table1[[#This Row],[GameDate]], Table1[HomeGameGoalDiff])</f>
        <v>0</v>
      </c>
      <c r="AB506" s="64">
        <f>IF(ISBLANK(Table1[[#This Row],[ActualResult]]), 0, 1)</f>
        <v>0</v>
      </c>
      <c r="AC506" s="64">
        <f>IF(ISBLANK(Table1[[#This Row],[ActualResult]]), 0, IF(Table1[[#This Row],[ActualWinner]]=Table1[[#This Row],[PredictedWinner]], 1, 0))</f>
        <v>0</v>
      </c>
      <c r="AD50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0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06" s="64">
        <f>IF(AND(Table1[[#This Row],[GameIsOver]]=1,Table1[[#This Row],[ActualAwayScore]]=0), 1,0)</f>
        <v>0</v>
      </c>
      <c r="AG506" s="64">
        <f>IF(AND(Table1[[#This Row],[GameIsOver]]=1,Table1[[#This Row],[ActualHomeScore]]=0), 1,0)</f>
        <v>0</v>
      </c>
      <c r="AH506" s="64">
        <f>IF(Table1[[#This Row],[GameIsOver]]=0,0,IF(Table1[[#This Row],[ActualWinner]]=Table1[[#This Row],[AwayTeam]], 1, 0))</f>
        <v>0</v>
      </c>
      <c r="AI506" s="64">
        <f>IF(Table1[[#This Row],[GameIsOver]]=0,0,IF(Table1[[#This Row],[ActualWinner]]=Table1[[#This Row],[HomeTeam]], 1, 0))</f>
        <v>0</v>
      </c>
      <c r="AJ506" s="64">
        <f>IF(INDEX(Standings!$A$2:$C$33,MATCH(Table1[[#This Row],[AwayTeam]],Standings!$A$2:$A$33,0),2)=INDEX(Standings!$A$2:$C$33,MATCH(Table1[[#This Row],[HomeTeam]],Standings!$A$2:$A$33,0),2),1,0)</f>
        <v>0</v>
      </c>
      <c r="AK506" s="64">
        <f>IF(INDEX(Standings!$A$2:$C$33,MATCH(Table1[[#This Row],[AwayTeam]],Standings!$A$2:$A$33,0),3)=INDEX(Standings!$A$2:$C$33,MATCH(Table1[[#This Row],[HomeTeam]],Standings!$A$2:$A$33,0),3),1,0)</f>
        <v>0</v>
      </c>
      <c r="AL506" s="64">
        <f>IF(Table1[[#This Row],[InterConf]]=1,IF(Table1[[#This Row],[InterDiv]]=0, 1, 0), 0)</f>
        <v>0</v>
      </c>
      <c r="AM506" s="64">
        <f>IF(INDEX(Standings!$A$2:$C$33,MATCH(Table1[[#This Row],[AwayTeam]],Standings!$A$2:$A$33,0),2)&lt;&gt;INDEX(Standings!$A$2:$C$33,MATCH(Table1[[#This Row],[HomeTeam]],Standings!$A$2:$A$33,0),2),1,0)</f>
        <v>1</v>
      </c>
      <c r="AN506" s="64" t="str">
        <f>INDEX(Table2[AWAY_RECORD], MATCH(Table1[[#This Row],[AwayTeam]],Table2[Team], 0), 0)</f>
        <v>0-0-1</v>
      </c>
      <c r="AO506" s="64" t="str">
        <f>INDEX(Records!$B$2:$AG$33, MATCH(Table1[[#This Row],[AwayTeam]],Records!$A$2:$A$33, 0), MATCH(Table1[[#This Row],[HomeTeam]],Records!$A$2:$A$33, 0))</f>
        <v>0-0-0</v>
      </c>
      <c r="AP506" s="64" t="str">
        <f>INDEX(Table2[HOME_RECORD], MATCH(Table1[[#This Row],[HomeTeam]],Table2[Team], 0), 0)</f>
        <v>1-0-0</v>
      </c>
      <c r="AQ506" s="64" t="str">
        <f>INDEX(Records!$B$2:$AG$33, MATCH(Table1[[#This Row],[HomeTeam]],Records!$A$2:$A$33, 0), MATCH(Table1[[#This Row],[AwayTeam]],Records!$A$2:$A$33, 0))</f>
        <v>0-0-0</v>
      </c>
    </row>
    <row r="507" spans="1:43" x14ac:dyDescent="0.25">
      <c r="A507" s="1"/>
      <c r="D507" t="s">
        <v>754</v>
      </c>
      <c r="E507" t="s">
        <v>178</v>
      </c>
      <c r="F507" t="s">
        <v>763</v>
      </c>
      <c r="G507" t="s">
        <v>16</v>
      </c>
      <c r="H507" t="s">
        <v>60</v>
      </c>
      <c r="L50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0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07" s="1"/>
      <c r="T507" s="64" t="str">
        <f>IF(Table1[[#This Row],[ActualWinner]]="", "", IF(Table1[[#This Row],[AwayTeam]]=Table1[[#This Row],[ActualWinner]],Table1[[#This Row],[HomeTeam]],Table1[[#This Row],[AwayTeam]]))</f>
        <v/>
      </c>
      <c r="U507" s="64">
        <f>Table1[[#This Row],[ActualAwayScore]]-Table1[[#This Row],[PredictedAwayScore]]</f>
        <v>0</v>
      </c>
      <c r="V507" s="64">
        <f>Table1[[#This Row],[ActualHomeScore]]-Table1[[#This Row],[PredictedHomeScore]]</f>
        <v>0</v>
      </c>
      <c r="W507" s="64">
        <f>(0.8*IF(Table1[[#This Row],[CorrectWinnerPrediction]]=1, 1, 0))+(0.1*IF(Table1[[#This Row],[CorrectAwayScorePrediction]]=1, 1, 0))+(0.1*IF(Table1[[#This Row],[CorrectHomeScorePrediction]]=1, 1, 0))</f>
        <v>0</v>
      </c>
      <c r="X50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07" s="64">
        <f>SUMIF(Table1[GameDate], Table1[[#This Row],[GameDate]], Table1[AwayGameGoalDiff])</f>
        <v>0</v>
      </c>
      <c r="AA507" s="64">
        <f>SUMIF(Table1[GameDate], Table1[[#This Row],[GameDate]], Table1[HomeGameGoalDiff])</f>
        <v>0</v>
      </c>
      <c r="AB507" s="64">
        <f>IF(ISBLANK(Table1[[#This Row],[ActualResult]]), 0, 1)</f>
        <v>0</v>
      </c>
      <c r="AC507" s="64">
        <f>IF(ISBLANK(Table1[[#This Row],[ActualResult]]), 0, IF(Table1[[#This Row],[ActualWinner]]=Table1[[#This Row],[PredictedWinner]], 1, 0))</f>
        <v>0</v>
      </c>
      <c r="AD50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0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07" s="64">
        <f>IF(AND(Table1[[#This Row],[GameIsOver]]=1,Table1[[#This Row],[ActualAwayScore]]=0), 1,0)</f>
        <v>0</v>
      </c>
      <c r="AG507" s="64">
        <f>IF(AND(Table1[[#This Row],[GameIsOver]]=1,Table1[[#This Row],[ActualHomeScore]]=0), 1,0)</f>
        <v>0</v>
      </c>
      <c r="AH507" s="64">
        <f>IF(Table1[[#This Row],[GameIsOver]]=0,0,IF(Table1[[#This Row],[ActualWinner]]=Table1[[#This Row],[AwayTeam]], 1, 0))</f>
        <v>0</v>
      </c>
      <c r="AI507" s="64">
        <f>IF(Table1[[#This Row],[GameIsOver]]=0,0,IF(Table1[[#This Row],[ActualWinner]]=Table1[[#This Row],[HomeTeam]], 1, 0))</f>
        <v>0</v>
      </c>
      <c r="AJ507" s="64">
        <f>IF(INDEX(Standings!$A$2:$C$33,MATCH(Table1[[#This Row],[AwayTeam]],Standings!$A$2:$A$33,0),2)=INDEX(Standings!$A$2:$C$33,MATCH(Table1[[#This Row],[HomeTeam]],Standings!$A$2:$A$33,0),2),1,0)</f>
        <v>1</v>
      </c>
      <c r="AK507" s="64">
        <f>IF(INDEX(Standings!$A$2:$C$33,MATCH(Table1[[#This Row],[AwayTeam]],Standings!$A$2:$A$33,0),3)=INDEX(Standings!$A$2:$C$33,MATCH(Table1[[#This Row],[HomeTeam]],Standings!$A$2:$A$33,0),3),1,0)</f>
        <v>1</v>
      </c>
      <c r="AL507" s="64">
        <f>IF(Table1[[#This Row],[InterConf]]=1,IF(Table1[[#This Row],[InterDiv]]=0, 1, 0), 0)</f>
        <v>0</v>
      </c>
      <c r="AM507" s="64">
        <f>IF(INDEX(Standings!$A$2:$C$33,MATCH(Table1[[#This Row],[AwayTeam]],Standings!$A$2:$A$33,0),2)&lt;&gt;INDEX(Standings!$A$2:$C$33,MATCH(Table1[[#This Row],[HomeTeam]],Standings!$A$2:$A$33,0),2),1,0)</f>
        <v>0</v>
      </c>
      <c r="AN507" s="64" t="str">
        <f>INDEX(Table2[AWAY_RECORD], MATCH(Table1[[#This Row],[AwayTeam]],Table2[Team], 0), 0)</f>
        <v>1-0-1</v>
      </c>
      <c r="AO507" s="64" t="str">
        <f>INDEX(Records!$B$2:$AG$33, MATCH(Table1[[#This Row],[AwayTeam]],Records!$A$2:$A$33, 0), MATCH(Table1[[#This Row],[HomeTeam]],Records!$A$2:$A$33, 0))</f>
        <v>0-0-0</v>
      </c>
      <c r="AP507" s="64" t="str">
        <f>INDEX(Table2[HOME_RECORD], MATCH(Table1[[#This Row],[HomeTeam]],Table2[Team], 0), 0)</f>
        <v>1-0-0</v>
      </c>
      <c r="AQ507" s="64" t="str">
        <f>INDEX(Records!$B$2:$AG$33, MATCH(Table1[[#This Row],[HomeTeam]],Records!$A$2:$A$33, 0), MATCH(Table1[[#This Row],[AwayTeam]],Records!$A$2:$A$33, 0))</f>
        <v>0-0-0</v>
      </c>
    </row>
    <row r="508" spans="1:43" x14ac:dyDescent="0.25">
      <c r="A508" s="1"/>
      <c r="D508" t="s">
        <v>754</v>
      </c>
      <c r="E508" t="s">
        <v>164</v>
      </c>
      <c r="F508" t="s">
        <v>764</v>
      </c>
      <c r="G508" t="s">
        <v>61</v>
      </c>
      <c r="H508" t="s">
        <v>58</v>
      </c>
      <c r="L50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0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08" s="1"/>
      <c r="T508" s="64" t="str">
        <f>IF(Table1[[#This Row],[ActualWinner]]="", "", IF(Table1[[#This Row],[AwayTeam]]=Table1[[#This Row],[ActualWinner]],Table1[[#This Row],[HomeTeam]],Table1[[#This Row],[AwayTeam]]))</f>
        <v/>
      </c>
      <c r="U508" s="64">
        <f>Table1[[#This Row],[ActualAwayScore]]-Table1[[#This Row],[PredictedAwayScore]]</f>
        <v>0</v>
      </c>
      <c r="V508" s="64">
        <f>Table1[[#This Row],[ActualHomeScore]]-Table1[[#This Row],[PredictedHomeScore]]</f>
        <v>0</v>
      </c>
      <c r="W508" s="64">
        <f>(0.8*IF(Table1[[#This Row],[CorrectWinnerPrediction]]=1, 1, 0))+(0.1*IF(Table1[[#This Row],[CorrectAwayScorePrediction]]=1, 1, 0))+(0.1*IF(Table1[[#This Row],[CorrectHomeScorePrediction]]=1, 1, 0))</f>
        <v>0</v>
      </c>
      <c r="X50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08" s="64">
        <f>SUMIF(Table1[GameDate], Table1[[#This Row],[GameDate]], Table1[AwayGameGoalDiff])</f>
        <v>0</v>
      </c>
      <c r="AA508" s="64">
        <f>SUMIF(Table1[GameDate], Table1[[#This Row],[GameDate]], Table1[HomeGameGoalDiff])</f>
        <v>0</v>
      </c>
      <c r="AB508" s="64">
        <f>IF(ISBLANK(Table1[[#This Row],[ActualResult]]), 0, 1)</f>
        <v>0</v>
      </c>
      <c r="AC508" s="64">
        <f>IF(ISBLANK(Table1[[#This Row],[ActualResult]]), 0, IF(Table1[[#This Row],[ActualWinner]]=Table1[[#This Row],[PredictedWinner]], 1, 0))</f>
        <v>0</v>
      </c>
      <c r="AD50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0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08" s="64">
        <f>IF(AND(Table1[[#This Row],[GameIsOver]]=1,Table1[[#This Row],[ActualAwayScore]]=0), 1,0)</f>
        <v>0</v>
      </c>
      <c r="AG508" s="64">
        <f>IF(AND(Table1[[#This Row],[GameIsOver]]=1,Table1[[#This Row],[ActualHomeScore]]=0), 1,0)</f>
        <v>0</v>
      </c>
      <c r="AH508" s="64">
        <f>IF(Table1[[#This Row],[GameIsOver]]=0,0,IF(Table1[[#This Row],[ActualWinner]]=Table1[[#This Row],[AwayTeam]], 1, 0))</f>
        <v>0</v>
      </c>
      <c r="AI508" s="64">
        <f>IF(Table1[[#This Row],[GameIsOver]]=0,0,IF(Table1[[#This Row],[ActualWinner]]=Table1[[#This Row],[HomeTeam]], 1, 0))</f>
        <v>0</v>
      </c>
      <c r="AJ508" s="64">
        <f>IF(INDEX(Standings!$A$2:$C$33,MATCH(Table1[[#This Row],[AwayTeam]],Standings!$A$2:$A$33,0),2)=INDEX(Standings!$A$2:$C$33,MATCH(Table1[[#This Row],[HomeTeam]],Standings!$A$2:$A$33,0),2),1,0)</f>
        <v>1</v>
      </c>
      <c r="AK508" s="64">
        <f>IF(INDEX(Standings!$A$2:$C$33,MATCH(Table1[[#This Row],[AwayTeam]],Standings!$A$2:$A$33,0),3)=INDEX(Standings!$A$2:$C$33,MATCH(Table1[[#This Row],[HomeTeam]],Standings!$A$2:$A$33,0),3),1,0)</f>
        <v>1</v>
      </c>
      <c r="AL508" s="64">
        <f>IF(Table1[[#This Row],[InterConf]]=1,IF(Table1[[#This Row],[InterDiv]]=0, 1, 0), 0)</f>
        <v>0</v>
      </c>
      <c r="AM508" s="64">
        <f>IF(INDEX(Standings!$A$2:$C$33,MATCH(Table1[[#This Row],[AwayTeam]],Standings!$A$2:$A$33,0),2)&lt;&gt;INDEX(Standings!$A$2:$C$33,MATCH(Table1[[#This Row],[HomeTeam]],Standings!$A$2:$A$33,0),2),1,0)</f>
        <v>0</v>
      </c>
      <c r="AN508" s="64" t="str">
        <f>INDEX(Table2[AWAY_RECORD], MATCH(Table1[[#This Row],[AwayTeam]],Table2[Team], 0), 0)</f>
        <v>0-0-0</v>
      </c>
      <c r="AO508" s="64" t="str">
        <f>INDEX(Records!$B$2:$AG$33, MATCH(Table1[[#This Row],[AwayTeam]],Records!$A$2:$A$33, 0), MATCH(Table1[[#This Row],[HomeTeam]],Records!$A$2:$A$33, 0))</f>
        <v>0-0-0</v>
      </c>
      <c r="AP508" s="64" t="str">
        <f>INDEX(Table2[HOME_RECORD], MATCH(Table1[[#This Row],[HomeTeam]],Table2[Team], 0), 0)</f>
        <v>1-0-0</v>
      </c>
      <c r="AQ508" s="64" t="str">
        <f>INDEX(Records!$B$2:$AG$33, MATCH(Table1[[#This Row],[HomeTeam]],Records!$A$2:$A$33, 0), MATCH(Table1[[#This Row],[AwayTeam]],Records!$A$2:$A$33, 0))</f>
        <v>0-0-0</v>
      </c>
    </row>
    <row r="509" spans="1:43" x14ac:dyDescent="0.25">
      <c r="A509" s="1"/>
      <c r="D509" t="s">
        <v>754</v>
      </c>
      <c r="E509" t="s">
        <v>164</v>
      </c>
      <c r="F509" t="s">
        <v>765</v>
      </c>
      <c r="G509" t="s">
        <v>48</v>
      </c>
      <c r="H509" t="s">
        <v>23</v>
      </c>
      <c r="L50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0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09" s="1"/>
      <c r="T509" s="64" t="str">
        <f>IF(Table1[[#This Row],[ActualWinner]]="", "", IF(Table1[[#This Row],[AwayTeam]]=Table1[[#This Row],[ActualWinner]],Table1[[#This Row],[HomeTeam]],Table1[[#This Row],[AwayTeam]]))</f>
        <v/>
      </c>
      <c r="U509" s="64">
        <f>Table1[[#This Row],[ActualAwayScore]]-Table1[[#This Row],[PredictedAwayScore]]</f>
        <v>0</v>
      </c>
      <c r="V509" s="64">
        <f>Table1[[#This Row],[ActualHomeScore]]-Table1[[#This Row],[PredictedHomeScore]]</f>
        <v>0</v>
      </c>
      <c r="W509" s="64">
        <f>(0.8*IF(Table1[[#This Row],[CorrectWinnerPrediction]]=1, 1, 0))+(0.1*IF(Table1[[#This Row],[CorrectAwayScorePrediction]]=1, 1, 0))+(0.1*IF(Table1[[#This Row],[CorrectHomeScorePrediction]]=1, 1, 0))</f>
        <v>0</v>
      </c>
      <c r="X50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09" s="64">
        <f>SUMIF(Table1[GameDate], Table1[[#This Row],[GameDate]], Table1[AwayGameGoalDiff])</f>
        <v>0</v>
      </c>
      <c r="AA509" s="64">
        <f>SUMIF(Table1[GameDate], Table1[[#This Row],[GameDate]], Table1[HomeGameGoalDiff])</f>
        <v>0</v>
      </c>
      <c r="AB509" s="64">
        <f>IF(ISBLANK(Table1[[#This Row],[ActualResult]]), 0, 1)</f>
        <v>0</v>
      </c>
      <c r="AC509" s="64">
        <f>IF(ISBLANK(Table1[[#This Row],[ActualResult]]), 0, IF(Table1[[#This Row],[ActualWinner]]=Table1[[#This Row],[PredictedWinner]], 1, 0))</f>
        <v>0</v>
      </c>
      <c r="AD50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0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09" s="64">
        <f>IF(AND(Table1[[#This Row],[GameIsOver]]=1,Table1[[#This Row],[ActualAwayScore]]=0), 1,0)</f>
        <v>0</v>
      </c>
      <c r="AG509" s="64">
        <f>IF(AND(Table1[[#This Row],[GameIsOver]]=1,Table1[[#This Row],[ActualHomeScore]]=0), 1,0)</f>
        <v>0</v>
      </c>
      <c r="AH509" s="64">
        <f>IF(Table1[[#This Row],[GameIsOver]]=0,0,IF(Table1[[#This Row],[ActualWinner]]=Table1[[#This Row],[AwayTeam]], 1, 0))</f>
        <v>0</v>
      </c>
      <c r="AI509" s="64">
        <f>IF(Table1[[#This Row],[GameIsOver]]=0,0,IF(Table1[[#This Row],[ActualWinner]]=Table1[[#This Row],[HomeTeam]], 1, 0))</f>
        <v>0</v>
      </c>
      <c r="AJ509" s="64">
        <f>IF(INDEX(Standings!$A$2:$C$33,MATCH(Table1[[#This Row],[AwayTeam]],Standings!$A$2:$A$33,0),2)=INDEX(Standings!$A$2:$C$33,MATCH(Table1[[#This Row],[HomeTeam]],Standings!$A$2:$A$33,0),2),1,0)</f>
        <v>1</v>
      </c>
      <c r="AK509" s="64">
        <f>IF(INDEX(Standings!$A$2:$C$33,MATCH(Table1[[#This Row],[AwayTeam]],Standings!$A$2:$A$33,0),3)=INDEX(Standings!$A$2:$C$33,MATCH(Table1[[#This Row],[HomeTeam]],Standings!$A$2:$A$33,0),3),1,0)</f>
        <v>0</v>
      </c>
      <c r="AL509" s="64">
        <f>IF(Table1[[#This Row],[InterConf]]=1,IF(Table1[[#This Row],[InterDiv]]=0, 1, 0), 0)</f>
        <v>1</v>
      </c>
      <c r="AM509" s="64">
        <f>IF(INDEX(Standings!$A$2:$C$33,MATCH(Table1[[#This Row],[AwayTeam]],Standings!$A$2:$A$33,0),2)&lt;&gt;INDEX(Standings!$A$2:$C$33,MATCH(Table1[[#This Row],[HomeTeam]],Standings!$A$2:$A$33,0),2),1,0)</f>
        <v>0</v>
      </c>
      <c r="AN509" s="64" t="str">
        <f>INDEX(Table2[AWAY_RECORD], MATCH(Table1[[#This Row],[AwayTeam]],Table2[Team], 0), 0)</f>
        <v>0-0-0</v>
      </c>
      <c r="AO509" s="64" t="str">
        <f>INDEX(Records!$B$2:$AG$33, MATCH(Table1[[#This Row],[AwayTeam]],Records!$A$2:$A$33, 0), MATCH(Table1[[#This Row],[HomeTeam]],Records!$A$2:$A$33, 0))</f>
        <v>0-0-0</v>
      </c>
      <c r="AP509" s="64" t="str">
        <f>INDEX(Table2[HOME_RECORD], MATCH(Table1[[#This Row],[HomeTeam]],Table2[Team], 0), 0)</f>
        <v>0-0-1</v>
      </c>
      <c r="AQ509" s="64" t="str">
        <f>INDEX(Records!$B$2:$AG$33, MATCH(Table1[[#This Row],[HomeTeam]],Records!$A$2:$A$33, 0), MATCH(Table1[[#This Row],[AwayTeam]],Records!$A$2:$A$33, 0))</f>
        <v>0-0-0</v>
      </c>
    </row>
    <row r="510" spans="1:43" x14ac:dyDescent="0.25">
      <c r="A510" s="1"/>
      <c r="D510" t="s">
        <v>754</v>
      </c>
      <c r="E510" t="s">
        <v>164</v>
      </c>
      <c r="F510" t="s">
        <v>766</v>
      </c>
      <c r="G510" t="s">
        <v>59</v>
      </c>
      <c r="H510" t="s">
        <v>56</v>
      </c>
      <c r="L51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1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10" s="1"/>
      <c r="T510" s="64" t="str">
        <f>IF(Table1[[#This Row],[ActualWinner]]="", "", IF(Table1[[#This Row],[AwayTeam]]=Table1[[#This Row],[ActualWinner]],Table1[[#This Row],[HomeTeam]],Table1[[#This Row],[AwayTeam]]))</f>
        <v/>
      </c>
      <c r="U510" s="64">
        <f>Table1[[#This Row],[ActualAwayScore]]-Table1[[#This Row],[PredictedAwayScore]]</f>
        <v>0</v>
      </c>
      <c r="V510" s="64">
        <f>Table1[[#This Row],[ActualHomeScore]]-Table1[[#This Row],[PredictedHomeScore]]</f>
        <v>0</v>
      </c>
      <c r="W510" s="64">
        <f>(0.8*IF(Table1[[#This Row],[CorrectWinnerPrediction]]=1, 1, 0))+(0.1*IF(Table1[[#This Row],[CorrectAwayScorePrediction]]=1, 1, 0))+(0.1*IF(Table1[[#This Row],[CorrectHomeScorePrediction]]=1, 1, 0))</f>
        <v>0</v>
      </c>
      <c r="X51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10" s="64">
        <f>SUMIF(Table1[GameDate], Table1[[#This Row],[GameDate]], Table1[AwayGameGoalDiff])</f>
        <v>0</v>
      </c>
      <c r="AA510" s="64">
        <f>SUMIF(Table1[GameDate], Table1[[#This Row],[GameDate]], Table1[HomeGameGoalDiff])</f>
        <v>0</v>
      </c>
      <c r="AB510" s="64">
        <f>IF(ISBLANK(Table1[[#This Row],[ActualResult]]), 0, 1)</f>
        <v>0</v>
      </c>
      <c r="AC510" s="64">
        <f>IF(ISBLANK(Table1[[#This Row],[ActualResult]]), 0, IF(Table1[[#This Row],[ActualWinner]]=Table1[[#This Row],[PredictedWinner]], 1, 0))</f>
        <v>0</v>
      </c>
      <c r="AD51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1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10" s="64">
        <f>IF(AND(Table1[[#This Row],[GameIsOver]]=1,Table1[[#This Row],[ActualAwayScore]]=0), 1,0)</f>
        <v>0</v>
      </c>
      <c r="AG510" s="64">
        <f>IF(AND(Table1[[#This Row],[GameIsOver]]=1,Table1[[#This Row],[ActualHomeScore]]=0), 1,0)</f>
        <v>0</v>
      </c>
      <c r="AH510" s="64">
        <f>IF(Table1[[#This Row],[GameIsOver]]=0,0,IF(Table1[[#This Row],[ActualWinner]]=Table1[[#This Row],[AwayTeam]], 1, 0))</f>
        <v>0</v>
      </c>
      <c r="AI510" s="64">
        <f>IF(Table1[[#This Row],[GameIsOver]]=0,0,IF(Table1[[#This Row],[ActualWinner]]=Table1[[#This Row],[HomeTeam]], 1, 0))</f>
        <v>0</v>
      </c>
      <c r="AJ510" s="64">
        <f>IF(INDEX(Standings!$A$2:$C$33,MATCH(Table1[[#This Row],[AwayTeam]],Standings!$A$2:$A$33,0),2)=INDEX(Standings!$A$2:$C$33,MATCH(Table1[[#This Row],[HomeTeam]],Standings!$A$2:$A$33,0),2),1,0)</f>
        <v>0</v>
      </c>
      <c r="AK510" s="64">
        <f>IF(INDEX(Standings!$A$2:$C$33,MATCH(Table1[[#This Row],[AwayTeam]],Standings!$A$2:$A$33,0),3)=INDEX(Standings!$A$2:$C$33,MATCH(Table1[[#This Row],[HomeTeam]],Standings!$A$2:$A$33,0),3),1,0)</f>
        <v>0</v>
      </c>
      <c r="AL510" s="64">
        <f>IF(Table1[[#This Row],[InterConf]]=1,IF(Table1[[#This Row],[InterDiv]]=0, 1, 0), 0)</f>
        <v>0</v>
      </c>
      <c r="AM510" s="64">
        <f>IF(INDEX(Standings!$A$2:$C$33,MATCH(Table1[[#This Row],[AwayTeam]],Standings!$A$2:$A$33,0),2)&lt;&gt;INDEX(Standings!$A$2:$C$33,MATCH(Table1[[#This Row],[HomeTeam]],Standings!$A$2:$A$33,0),2),1,0)</f>
        <v>1</v>
      </c>
      <c r="AN510" s="64" t="str">
        <f>INDEX(Table2[AWAY_RECORD], MATCH(Table1[[#This Row],[AwayTeam]],Table2[Team], 0), 0)</f>
        <v>0-1-0</v>
      </c>
      <c r="AO510" s="64" t="str">
        <f>INDEX(Records!$B$2:$AG$33, MATCH(Table1[[#This Row],[AwayTeam]],Records!$A$2:$A$33, 0), MATCH(Table1[[#This Row],[HomeTeam]],Records!$A$2:$A$33, 0))</f>
        <v>0-0-0</v>
      </c>
      <c r="AP510" s="64" t="str">
        <f>INDEX(Table2[HOME_RECORD], MATCH(Table1[[#This Row],[HomeTeam]],Table2[Team], 0), 0)</f>
        <v>0-0-0</v>
      </c>
      <c r="AQ510" s="64" t="str">
        <f>INDEX(Records!$B$2:$AG$33, MATCH(Table1[[#This Row],[HomeTeam]],Records!$A$2:$A$33, 0), MATCH(Table1[[#This Row],[AwayTeam]],Records!$A$2:$A$33, 0))</f>
        <v>0-0-0</v>
      </c>
    </row>
    <row r="511" spans="1:43" x14ac:dyDescent="0.25">
      <c r="A511" s="1"/>
      <c r="D511" t="s">
        <v>767</v>
      </c>
      <c r="E511" t="s">
        <v>162</v>
      </c>
      <c r="F511" t="s">
        <v>768</v>
      </c>
      <c r="G511" t="s">
        <v>51</v>
      </c>
      <c r="H511" t="s">
        <v>44</v>
      </c>
      <c r="L51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1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11" s="1"/>
      <c r="T511" s="64" t="str">
        <f>IF(Table1[[#This Row],[ActualWinner]]="", "", IF(Table1[[#This Row],[AwayTeam]]=Table1[[#This Row],[ActualWinner]],Table1[[#This Row],[HomeTeam]],Table1[[#This Row],[AwayTeam]]))</f>
        <v/>
      </c>
      <c r="U511" s="64">
        <f>Table1[[#This Row],[ActualAwayScore]]-Table1[[#This Row],[PredictedAwayScore]]</f>
        <v>0</v>
      </c>
      <c r="V511" s="64">
        <f>Table1[[#This Row],[ActualHomeScore]]-Table1[[#This Row],[PredictedHomeScore]]</f>
        <v>0</v>
      </c>
      <c r="W511" s="64">
        <f>(0.8*IF(Table1[[#This Row],[CorrectWinnerPrediction]]=1, 1, 0))+(0.1*IF(Table1[[#This Row],[CorrectAwayScorePrediction]]=1, 1, 0))+(0.1*IF(Table1[[#This Row],[CorrectHomeScorePrediction]]=1, 1, 0))</f>
        <v>0</v>
      </c>
      <c r="X51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11" s="64">
        <f>SUMIF(Table1[GameDate], Table1[[#This Row],[GameDate]], Table1[AwayGameGoalDiff])</f>
        <v>0</v>
      </c>
      <c r="AA511" s="64">
        <f>SUMIF(Table1[GameDate], Table1[[#This Row],[GameDate]], Table1[HomeGameGoalDiff])</f>
        <v>0</v>
      </c>
      <c r="AB511" s="64">
        <f>IF(ISBLANK(Table1[[#This Row],[ActualResult]]), 0, 1)</f>
        <v>0</v>
      </c>
      <c r="AC511" s="64">
        <f>IF(ISBLANK(Table1[[#This Row],[ActualResult]]), 0, IF(Table1[[#This Row],[ActualWinner]]=Table1[[#This Row],[PredictedWinner]], 1, 0))</f>
        <v>0</v>
      </c>
      <c r="AD51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1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11" s="64">
        <f>IF(AND(Table1[[#This Row],[GameIsOver]]=1,Table1[[#This Row],[ActualAwayScore]]=0), 1,0)</f>
        <v>0</v>
      </c>
      <c r="AG511" s="64">
        <f>IF(AND(Table1[[#This Row],[GameIsOver]]=1,Table1[[#This Row],[ActualHomeScore]]=0), 1,0)</f>
        <v>0</v>
      </c>
      <c r="AH511" s="64">
        <f>IF(Table1[[#This Row],[GameIsOver]]=0,0,IF(Table1[[#This Row],[ActualWinner]]=Table1[[#This Row],[AwayTeam]], 1, 0))</f>
        <v>0</v>
      </c>
      <c r="AI511" s="64">
        <f>IF(Table1[[#This Row],[GameIsOver]]=0,0,IF(Table1[[#This Row],[ActualWinner]]=Table1[[#This Row],[HomeTeam]], 1, 0))</f>
        <v>0</v>
      </c>
      <c r="AJ511" s="64">
        <f>IF(INDEX(Standings!$A$2:$C$33,MATCH(Table1[[#This Row],[AwayTeam]],Standings!$A$2:$A$33,0),2)=INDEX(Standings!$A$2:$C$33,MATCH(Table1[[#This Row],[HomeTeam]],Standings!$A$2:$A$33,0),2),1,0)</f>
        <v>1</v>
      </c>
      <c r="AK511" s="64">
        <f>IF(INDEX(Standings!$A$2:$C$33,MATCH(Table1[[#This Row],[AwayTeam]],Standings!$A$2:$A$33,0),3)=INDEX(Standings!$A$2:$C$33,MATCH(Table1[[#This Row],[HomeTeam]],Standings!$A$2:$A$33,0),3),1,0)</f>
        <v>0</v>
      </c>
      <c r="AL511" s="64">
        <f>IF(Table1[[#This Row],[InterConf]]=1,IF(Table1[[#This Row],[InterDiv]]=0, 1, 0), 0)</f>
        <v>1</v>
      </c>
      <c r="AM511" s="64">
        <f>IF(INDEX(Standings!$A$2:$C$33,MATCH(Table1[[#This Row],[AwayTeam]],Standings!$A$2:$A$33,0),2)&lt;&gt;INDEX(Standings!$A$2:$C$33,MATCH(Table1[[#This Row],[HomeTeam]],Standings!$A$2:$A$33,0),2),1,0)</f>
        <v>0</v>
      </c>
      <c r="AN511" s="64" t="str">
        <f>INDEX(Table2[AWAY_RECORD], MATCH(Table1[[#This Row],[AwayTeam]],Table2[Team], 0), 0)</f>
        <v>2-0-0</v>
      </c>
      <c r="AO511" s="64" t="str">
        <f>INDEX(Records!$B$2:$AG$33, MATCH(Table1[[#This Row],[AwayTeam]],Records!$A$2:$A$33, 0), MATCH(Table1[[#This Row],[HomeTeam]],Records!$A$2:$A$33, 0))</f>
        <v>1-0-0</v>
      </c>
      <c r="AP511" s="64" t="str">
        <f>INDEX(Table2[HOME_RECORD], MATCH(Table1[[#This Row],[HomeTeam]],Table2[Team], 0), 0)</f>
        <v>0-0-1</v>
      </c>
      <c r="AQ511" s="64" t="str">
        <f>INDEX(Records!$B$2:$AG$33, MATCH(Table1[[#This Row],[HomeTeam]],Records!$A$2:$A$33, 0), MATCH(Table1[[#This Row],[AwayTeam]],Records!$A$2:$A$33, 0))</f>
        <v>0-0-1</v>
      </c>
    </row>
    <row r="512" spans="1:43" x14ac:dyDescent="0.25">
      <c r="A512" s="1"/>
      <c r="D512" t="s">
        <v>767</v>
      </c>
      <c r="E512" t="s">
        <v>162</v>
      </c>
      <c r="F512" t="s">
        <v>769</v>
      </c>
      <c r="G512" t="s">
        <v>39</v>
      </c>
      <c r="H512" t="s">
        <v>53</v>
      </c>
      <c r="L51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1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12" s="1"/>
      <c r="T512" s="64" t="str">
        <f>IF(Table1[[#This Row],[ActualWinner]]="", "", IF(Table1[[#This Row],[AwayTeam]]=Table1[[#This Row],[ActualWinner]],Table1[[#This Row],[HomeTeam]],Table1[[#This Row],[AwayTeam]]))</f>
        <v/>
      </c>
      <c r="U512" s="64">
        <f>Table1[[#This Row],[ActualAwayScore]]-Table1[[#This Row],[PredictedAwayScore]]</f>
        <v>0</v>
      </c>
      <c r="V512" s="64">
        <f>Table1[[#This Row],[ActualHomeScore]]-Table1[[#This Row],[PredictedHomeScore]]</f>
        <v>0</v>
      </c>
      <c r="W512" s="64">
        <f>(0.8*IF(Table1[[#This Row],[CorrectWinnerPrediction]]=1, 1, 0))+(0.1*IF(Table1[[#This Row],[CorrectAwayScorePrediction]]=1, 1, 0))+(0.1*IF(Table1[[#This Row],[CorrectHomeScorePrediction]]=1, 1, 0))</f>
        <v>0</v>
      </c>
      <c r="X51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12" s="64">
        <f>SUMIF(Table1[GameDate], Table1[[#This Row],[GameDate]], Table1[AwayGameGoalDiff])</f>
        <v>0</v>
      </c>
      <c r="AA512" s="64">
        <f>SUMIF(Table1[GameDate], Table1[[#This Row],[GameDate]], Table1[HomeGameGoalDiff])</f>
        <v>0</v>
      </c>
      <c r="AB512" s="64">
        <f>IF(ISBLANK(Table1[[#This Row],[ActualResult]]), 0, 1)</f>
        <v>0</v>
      </c>
      <c r="AC512" s="64">
        <f>IF(ISBLANK(Table1[[#This Row],[ActualResult]]), 0, IF(Table1[[#This Row],[ActualWinner]]=Table1[[#This Row],[PredictedWinner]], 1, 0))</f>
        <v>0</v>
      </c>
      <c r="AD51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1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12" s="64">
        <f>IF(AND(Table1[[#This Row],[GameIsOver]]=1,Table1[[#This Row],[ActualAwayScore]]=0), 1,0)</f>
        <v>0</v>
      </c>
      <c r="AG512" s="64">
        <f>IF(AND(Table1[[#This Row],[GameIsOver]]=1,Table1[[#This Row],[ActualHomeScore]]=0), 1,0)</f>
        <v>0</v>
      </c>
      <c r="AH512" s="64">
        <f>IF(Table1[[#This Row],[GameIsOver]]=0,0,IF(Table1[[#This Row],[ActualWinner]]=Table1[[#This Row],[AwayTeam]], 1, 0))</f>
        <v>0</v>
      </c>
      <c r="AI512" s="64">
        <f>IF(Table1[[#This Row],[GameIsOver]]=0,0,IF(Table1[[#This Row],[ActualWinner]]=Table1[[#This Row],[HomeTeam]], 1, 0))</f>
        <v>0</v>
      </c>
      <c r="AJ512" s="64">
        <f>IF(INDEX(Standings!$A$2:$C$33,MATCH(Table1[[#This Row],[AwayTeam]],Standings!$A$2:$A$33,0),2)=INDEX(Standings!$A$2:$C$33,MATCH(Table1[[#This Row],[HomeTeam]],Standings!$A$2:$A$33,0),2),1,0)</f>
        <v>0</v>
      </c>
      <c r="AK512" s="64">
        <f>IF(INDEX(Standings!$A$2:$C$33,MATCH(Table1[[#This Row],[AwayTeam]],Standings!$A$2:$A$33,0),3)=INDEX(Standings!$A$2:$C$33,MATCH(Table1[[#This Row],[HomeTeam]],Standings!$A$2:$A$33,0),3),1,0)</f>
        <v>0</v>
      </c>
      <c r="AL512" s="64">
        <f>IF(Table1[[#This Row],[InterConf]]=1,IF(Table1[[#This Row],[InterDiv]]=0, 1, 0), 0)</f>
        <v>0</v>
      </c>
      <c r="AM512" s="64">
        <f>IF(INDEX(Standings!$A$2:$C$33,MATCH(Table1[[#This Row],[AwayTeam]],Standings!$A$2:$A$33,0),2)&lt;&gt;INDEX(Standings!$A$2:$C$33,MATCH(Table1[[#This Row],[HomeTeam]],Standings!$A$2:$A$33,0),2),1,0)</f>
        <v>1</v>
      </c>
      <c r="AN512" s="64" t="str">
        <f>INDEX(Table2[AWAY_RECORD], MATCH(Table1[[#This Row],[AwayTeam]],Table2[Team], 0), 0)</f>
        <v>0-0-0</v>
      </c>
      <c r="AO512" s="64" t="str">
        <f>INDEX(Records!$B$2:$AG$33, MATCH(Table1[[#This Row],[AwayTeam]],Records!$A$2:$A$33, 0), MATCH(Table1[[#This Row],[HomeTeam]],Records!$A$2:$A$33, 0))</f>
        <v>0-0-0</v>
      </c>
      <c r="AP512" s="64" t="str">
        <f>INDEX(Table2[HOME_RECORD], MATCH(Table1[[#This Row],[HomeTeam]],Table2[Team], 0), 0)</f>
        <v>1-0-0</v>
      </c>
      <c r="AQ512" s="64" t="str">
        <f>INDEX(Records!$B$2:$AG$33, MATCH(Table1[[#This Row],[HomeTeam]],Records!$A$2:$A$33, 0), MATCH(Table1[[#This Row],[AwayTeam]],Records!$A$2:$A$33, 0))</f>
        <v>0-0-0</v>
      </c>
    </row>
    <row r="513" spans="1:43" x14ac:dyDescent="0.25">
      <c r="A513" s="1"/>
      <c r="D513" t="s">
        <v>767</v>
      </c>
      <c r="E513" t="s">
        <v>162</v>
      </c>
      <c r="F513" t="s">
        <v>770</v>
      </c>
      <c r="G513" t="s">
        <v>50</v>
      </c>
      <c r="H513" t="s">
        <v>40</v>
      </c>
      <c r="L51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1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13" s="1"/>
      <c r="T513" s="64" t="str">
        <f>IF(Table1[[#This Row],[ActualWinner]]="", "", IF(Table1[[#This Row],[AwayTeam]]=Table1[[#This Row],[ActualWinner]],Table1[[#This Row],[HomeTeam]],Table1[[#This Row],[AwayTeam]]))</f>
        <v/>
      </c>
      <c r="U513" s="64">
        <f>Table1[[#This Row],[ActualAwayScore]]-Table1[[#This Row],[PredictedAwayScore]]</f>
        <v>0</v>
      </c>
      <c r="V513" s="64">
        <f>Table1[[#This Row],[ActualHomeScore]]-Table1[[#This Row],[PredictedHomeScore]]</f>
        <v>0</v>
      </c>
      <c r="W513" s="64">
        <f>(0.8*IF(Table1[[#This Row],[CorrectWinnerPrediction]]=1, 1, 0))+(0.1*IF(Table1[[#This Row],[CorrectAwayScorePrediction]]=1, 1, 0))+(0.1*IF(Table1[[#This Row],[CorrectHomeScorePrediction]]=1, 1, 0))</f>
        <v>0</v>
      </c>
      <c r="X51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13" s="64">
        <f>SUMIF(Table1[GameDate], Table1[[#This Row],[GameDate]], Table1[AwayGameGoalDiff])</f>
        <v>0</v>
      </c>
      <c r="AA513" s="64">
        <f>SUMIF(Table1[GameDate], Table1[[#This Row],[GameDate]], Table1[HomeGameGoalDiff])</f>
        <v>0</v>
      </c>
      <c r="AB513" s="64">
        <f>IF(ISBLANK(Table1[[#This Row],[ActualResult]]), 0, 1)</f>
        <v>0</v>
      </c>
      <c r="AC513" s="64">
        <f>IF(ISBLANK(Table1[[#This Row],[ActualResult]]), 0, IF(Table1[[#This Row],[ActualWinner]]=Table1[[#This Row],[PredictedWinner]], 1, 0))</f>
        <v>0</v>
      </c>
      <c r="AD51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1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13" s="64">
        <f>IF(AND(Table1[[#This Row],[GameIsOver]]=1,Table1[[#This Row],[ActualAwayScore]]=0), 1,0)</f>
        <v>0</v>
      </c>
      <c r="AG513" s="64">
        <f>IF(AND(Table1[[#This Row],[GameIsOver]]=1,Table1[[#This Row],[ActualHomeScore]]=0), 1,0)</f>
        <v>0</v>
      </c>
      <c r="AH513" s="64">
        <f>IF(Table1[[#This Row],[GameIsOver]]=0,0,IF(Table1[[#This Row],[ActualWinner]]=Table1[[#This Row],[AwayTeam]], 1, 0))</f>
        <v>0</v>
      </c>
      <c r="AI513" s="64">
        <f>IF(Table1[[#This Row],[GameIsOver]]=0,0,IF(Table1[[#This Row],[ActualWinner]]=Table1[[#This Row],[HomeTeam]], 1, 0))</f>
        <v>0</v>
      </c>
      <c r="AJ513" s="64">
        <f>IF(INDEX(Standings!$A$2:$C$33,MATCH(Table1[[#This Row],[AwayTeam]],Standings!$A$2:$A$33,0),2)=INDEX(Standings!$A$2:$C$33,MATCH(Table1[[#This Row],[HomeTeam]],Standings!$A$2:$A$33,0),2),1,0)</f>
        <v>1</v>
      </c>
      <c r="AK513" s="64">
        <f>IF(INDEX(Standings!$A$2:$C$33,MATCH(Table1[[#This Row],[AwayTeam]],Standings!$A$2:$A$33,0),3)=INDEX(Standings!$A$2:$C$33,MATCH(Table1[[#This Row],[HomeTeam]],Standings!$A$2:$A$33,0),3),1,0)</f>
        <v>1</v>
      </c>
      <c r="AL513" s="64">
        <f>IF(Table1[[#This Row],[InterConf]]=1,IF(Table1[[#This Row],[InterDiv]]=0, 1, 0), 0)</f>
        <v>0</v>
      </c>
      <c r="AM513" s="64">
        <f>IF(INDEX(Standings!$A$2:$C$33,MATCH(Table1[[#This Row],[AwayTeam]],Standings!$A$2:$A$33,0),2)&lt;&gt;INDEX(Standings!$A$2:$C$33,MATCH(Table1[[#This Row],[HomeTeam]],Standings!$A$2:$A$33,0),2),1,0)</f>
        <v>0</v>
      </c>
      <c r="AN513" s="64" t="str">
        <f>INDEX(Table2[AWAY_RECORD], MATCH(Table1[[#This Row],[AwayTeam]],Table2[Team], 0), 0)</f>
        <v>1-0-0</v>
      </c>
      <c r="AO513" s="64" t="str">
        <f>INDEX(Records!$B$2:$AG$33, MATCH(Table1[[#This Row],[AwayTeam]],Records!$A$2:$A$33, 0), MATCH(Table1[[#This Row],[HomeTeam]],Records!$A$2:$A$33, 0))</f>
        <v>0-0-0</v>
      </c>
      <c r="AP513" s="64" t="str">
        <f>INDEX(Table2[HOME_RECORD], MATCH(Table1[[#This Row],[HomeTeam]],Table2[Team], 0), 0)</f>
        <v>1-1-0</v>
      </c>
      <c r="AQ513" s="64" t="str">
        <f>INDEX(Records!$B$2:$AG$33, MATCH(Table1[[#This Row],[HomeTeam]],Records!$A$2:$A$33, 0), MATCH(Table1[[#This Row],[AwayTeam]],Records!$A$2:$A$33, 0))</f>
        <v>0-0-0</v>
      </c>
    </row>
    <row r="514" spans="1:43" x14ac:dyDescent="0.25">
      <c r="A514" s="1"/>
      <c r="D514" t="s">
        <v>771</v>
      </c>
      <c r="E514" t="s">
        <v>298</v>
      </c>
      <c r="F514" t="s">
        <v>772</v>
      </c>
      <c r="G514" t="s">
        <v>46</v>
      </c>
      <c r="H514" t="s">
        <v>55</v>
      </c>
      <c r="L51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1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14" s="1"/>
      <c r="T514" s="64" t="str">
        <f>IF(Table1[[#This Row],[ActualWinner]]="", "", IF(Table1[[#This Row],[AwayTeam]]=Table1[[#This Row],[ActualWinner]],Table1[[#This Row],[HomeTeam]],Table1[[#This Row],[AwayTeam]]))</f>
        <v/>
      </c>
      <c r="U514" s="64">
        <f>Table1[[#This Row],[ActualAwayScore]]-Table1[[#This Row],[PredictedAwayScore]]</f>
        <v>0</v>
      </c>
      <c r="V514" s="64">
        <f>Table1[[#This Row],[ActualHomeScore]]-Table1[[#This Row],[PredictedHomeScore]]</f>
        <v>0</v>
      </c>
      <c r="W514" s="64">
        <f>(0.8*IF(Table1[[#This Row],[CorrectWinnerPrediction]]=1, 1, 0))+(0.1*IF(Table1[[#This Row],[CorrectAwayScorePrediction]]=1, 1, 0))+(0.1*IF(Table1[[#This Row],[CorrectHomeScorePrediction]]=1, 1, 0))</f>
        <v>0</v>
      </c>
      <c r="X51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14" s="64">
        <f>SUMIF(Table1[GameDate], Table1[[#This Row],[GameDate]], Table1[AwayGameGoalDiff])</f>
        <v>0</v>
      </c>
      <c r="AA514" s="64">
        <f>SUMIF(Table1[GameDate], Table1[[#This Row],[GameDate]], Table1[HomeGameGoalDiff])</f>
        <v>0</v>
      </c>
      <c r="AB514" s="64">
        <f>IF(ISBLANK(Table1[[#This Row],[ActualResult]]), 0, 1)</f>
        <v>0</v>
      </c>
      <c r="AC514" s="64">
        <f>IF(ISBLANK(Table1[[#This Row],[ActualResult]]), 0, IF(Table1[[#This Row],[ActualWinner]]=Table1[[#This Row],[PredictedWinner]], 1, 0))</f>
        <v>0</v>
      </c>
      <c r="AD51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1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14" s="64">
        <f>IF(AND(Table1[[#This Row],[GameIsOver]]=1,Table1[[#This Row],[ActualAwayScore]]=0), 1,0)</f>
        <v>0</v>
      </c>
      <c r="AG514" s="64">
        <f>IF(AND(Table1[[#This Row],[GameIsOver]]=1,Table1[[#This Row],[ActualHomeScore]]=0), 1,0)</f>
        <v>0</v>
      </c>
      <c r="AH514" s="64">
        <f>IF(Table1[[#This Row],[GameIsOver]]=0,0,IF(Table1[[#This Row],[ActualWinner]]=Table1[[#This Row],[AwayTeam]], 1, 0))</f>
        <v>0</v>
      </c>
      <c r="AI514" s="64">
        <f>IF(Table1[[#This Row],[GameIsOver]]=0,0,IF(Table1[[#This Row],[ActualWinner]]=Table1[[#This Row],[HomeTeam]], 1, 0))</f>
        <v>0</v>
      </c>
      <c r="AJ514" s="64">
        <f>IF(INDEX(Standings!$A$2:$C$33,MATCH(Table1[[#This Row],[AwayTeam]],Standings!$A$2:$A$33,0),2)=INDEX(Standings!$A$2:$C$33,MATCH(Table1[[#This Row],[HomeTeam]],Standings!$A$2:$A$33,0),2),1,0)</f>
        <v>1</v>
      </c>
      <c r="AK514" s="64">
        <f>IF(INDEX(Standings!$A$2:$C$33,MATCH(Table1[[#This Row],[AwayTeam]],Standings!$A$2:$A$33,0),3)=INDEX(Standings!$A$2:$C$33,MATCH(Table1[[#This Row],[HomeTeam]],Standings!$A$2:$A$33,0),3),1,0)</f>
        <v>1</v>
      </c>
      <c r="AL514" s="64">
        <f>IF(Table1[[#This Row],[InterConf]]=1,IF(Table1[[#This Row],[InterDiv]]=0, 1, 0), 0)</f>
        <v>0</v>
      </c>
      <c r="AM514" s="64">
        <f>IF(INDEX(Standings!$A$2:$C$33,MATCH(Table1[[#This Row],[AwayTeam]],Standings!$A$2:$A$33,0),2)&lt;&gt;INDEX(Standings!$A$2:$C$33,MATCH(Table1[[#This Row],[HomeTeam]],Standings!$A$2:$A$33,0),2),1,0)</f>
        <v>0</v>
      </c>
      <c r="AN514" s="64" t="str">
        <f>INDEX(Table2[AWAY_RECORD], MATCH(Table1[[#This Row],[AwayTeam]],Table2[Team], 0), 0)</f>
        <v>1-0-0</v>
      </c>
      <c r="AO514" s="64" t="str">
        <f>INDEX(Records!$B$2:$AG$33, MATCH(Table1[[#This Row],[AwayTeam]],Records!$A$2:$A$33, 0), MATCH(Table1[[#This Row],[HomeTeam]],Records!$A$2:$A$33, 0))</f>
        <v>0-0-0</v>
      </c>
      <c r="AP514" s="64" t="str">
        <f>INDEX(Table2[HOME_RECORD], MATCH(Table1[[#This Row],[HomeTeam]],Table2[Team], 0), 0)</f>
        <v>0-1-0</v>
      </c>
      <c r="AQ514" s="64" t="str">
        <f>INDEX(Records!$B$2:$AG$33, MATCH(Table1[[#This Row],[HomeTeam]],Records!$A$2:$A$33, 0), MATCH(Table1[[#This Row],[AwayTeam]],Records!$A$2:$A$33, 0))</f>
        <v>0-0-0</v>
      </c>
    </row>
    <row r="515" spans="1:43" x14ac:dyDescent="0.25">
      <c r="A515" s="1"/>
      <c r="D515" t="s">
        <v>771</v>
      </c>
      <c r="E515" t="s">
        <v>432</v>
      </c>
      <c r="F515" t="s">
        <v>773</v>
      </c>
      <c r="G515" t="s">
        <v>49</v>
      </c>
      <c r="H515" t="s">
        <v>37</v>
      </c>
      <c r="L51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1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15" s="1"/>
      <c r="T515" s="64" t="str">
        <f>IF(Table1[[#This Row],[ActualWinner]]="", "", IF(Table1[[#This Row],[AwayTeam]]=Table1[[#This Row],[ActualWinner]],Table1[[#This Row],[HomeTeam]],Table1[[#This Row],[AwayTeam]]))</f>
        <v/>
      </c>
      <c r="U515" s="64">
        <f>Table1[[#This Row],[ActualAwayScore]]-Table1[[#This Row],[PredictedAwayScore]]</f>
        <v>0</v>
      </c>
      <c r="V515" s="64">
        <f>Table1[[#This Row],[ActualHomeScore]]-Table1[[#This Row],[PredictedHomeScore]]</f>
        <v>0</v>
      </c>
      <c r="W515" s="64">
        <f>(0.8*IF(Table1[[#This Row],[CorrectWinnerPrediction]]=1, 1, 0))+(0.1*IF(Table1[[#This Row],[CorrectAwayScorePrediction]]=1, 1, 0))+(0.1*IF(Table1[[#This Row],[CorrectHomeScorePrediction]]=1, 1, 0))</f>
        <v>0</v>
      </c>
      <c r="X51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15" s="64">
        <f>SUMIF(Table1[GameDate], Table1[[#This Row],[GameDate]], Table1[AwayGameGoalDiff])</f>
        <v>0</v>
      </c>
      <c r="AA515" s="64">
        <f>SUMIF(Table1[GameDate], Table1[[#This Row],[GameDate]], Table1[HomeGameGoalDiff])</f>
        <v>0</v>
      </c>
      <c r="AB515" s="64">
        <f>IF(ISBLANK(Table1[[#This Row],[ActualResult]]), 0, 1)</f>
        <v>0</v>
      </c>
      <c r="AC515" s="64">
        <f>IF(ISBLANK(Table1[[#This Row],[ActualResult]]), 0, IF(Table1[[#This Row],[ActualWinner]]=Table1[[#This Row],[PredictedWinner]], 1, 0))</f>
        <v>0</v>
      </c>
      <c r="AD51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1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15" s="64">
        <f>IF(AND(Table1[[#This Row],[GameIsOver]]=1,Table1[[#This Row],[ActualAwayScore]]=0), 1,0)</f>
        <v>0</v>
      </c>
      <c r="AG515" s="64">
        <f>IF(AND(Table1[[#This Row],[GameIsOver]]=1,Table1[[#This Row],[ActualHomeScore]]=0), 1,0)</f>
        <v>0</v>
      </c>
      <c r="AH515" s="64">
        <f>IF(Table1[[#This Row],[GameIsOver]]=0,0,IF(Table1[[#This Row],[ActualWinner]]=Table1[[#This Row],[AwayTeam]], 1, 0))</f>
        <v>0</v>
      </c>
      <c r="AI515" s="64">
        <f>IF(Table1[[#This Row],[GameIsOver]]=0,0,IF(Table1[[#This Row],[ActualWinner]]=Table1[[#This Row],[HomeTeam]], 1, 0))</f>
        <v>0</v>
      </c>
      <c r="AJ515" s="64">
        <f>IF(INDEX(Standings!$A$2:$C$33,MATCH(Table1[[#This Row],[AwayTeam]],Standings!$A$2:$A$33,0),2)=INDEX(Standings!$A$2:$C$33,MATCH(Table1[[#This Row],[HomeTeam]],Standings!$A$2:$A$33,0),2),1,0)</f>
        <v>1</v>
      </c>
      <c r="AK515" s="64">
        <f>IF(INDEX(Standings!$A$2:$C$33,MATCH(Table1[[#This Row],[AwayTeam]],Standings!$A$2:$A$33,0),3)=INDEX(Standings!$A$2:$C$33,MATCH(Table1[[#This Row],[HomeTeam]],Standings!$A$2:$A$33,0),3),1,0)</f>
        <v>0</v>
      </c>
      <c r="AL515" s="64">
        <f>IF(Table1[[#This Row],[InterConf]]=1,IF(Table1[[#This Row],[InterDiv]]=0, 1, 0), 0)</f>
        <v>1</v>
      </c>
      <c r="AM515" s="64">
        <f>IF(INDEX(Standings!$A$2:$C$33,MATCH(Table1[[#This Row],[AwayTeam]],Standings!$A$2:$A$33,0),2)&lt;&gt;INDEX(Standings!$A$2:$C$33,MATCH(Table1[[#This Row],[HomeTeam]],Standings!$A$2:$A$33,0),2),1,0)</f>
        <v>0</v>
      </c>
      <c r="AN515" s="64" t="str">
        <f>INDEX(Table2[AWAY_RECORD], MATCH(Table1[[#This Row],[AwayTeam]],Table2[Team], 0), 0)</f>
        <v>0-0-0</v>
      </c>
      <c r="AO515" s="64" t="str">
        <f>INDEX(Records!$B$2:$AG$33, MATCH(Table1[[#This Row],[AwayTeam]],Records!$A$2:$A$33, 0), MATCH(Table1[[#This Row],[HomeTeam]],Records!$A$2:$A$33, 0))</f>
        <v>0-0-0</v>
      </c>
      <c r="AP515" s="64" t="str">
        <f>INDEX(Table2[HOME_RECORD], MATCH(Table1[[#This Row],[HomeTeam]],Table2[Team], 0), 0)</f>
        <v>0-1-0</v>
      </c>
      <c r="AQ515" s="64" t="str">
        <f>INDEX(Records!$B$2:$AG$33, MATCH(Table1[[#This Row],[HomeTeam]],Records!$A$2:$A$33, 0), MATCH(Table1[[#This Row],[AwayTeam]],Records!$A$2:$A$33, 0))</f>
        <v>0-0-0</v>
      </c>
    </row>
    <row r="516" spans="1:43" x14ac:dyDescent="0.25">
      <c r="A516" s="1"/>
      <c r="D516" t="s">
        <v>771</v>
      </c>
      <c r="E516" t="s">
        <v>432</v>
      </c>
      <c r="F516" t="s">
        <v>774</v>
      </c>
      <c r="G516" t="s">
        <v>47</v>
      </c>
      <c r="H516" t="s">
        <v>42</v>
      </c>
      <c r="L51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1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16" s="1"/>
      <c r="T516" s="64" t="str">
        <f>IF(Table1[[#This Row],[ActualWinner]]="", "", IF(Table1[[#This Row],[AwayTeam]]=Table1[[#This Row],[ActualWinner]],Table1[[#This Row],[HomeTeam]],Table1[[#This Row],[AwayTeam]]))</f>
        <v/>
      </c>
      <c r="U516" s="64">
        <f>Table1[[#This Row],[ActualAwayScore]]-Table1[[#This Row],[PredictedAwayScore]]</f>
        <v>0</v>
      </c>
      <c r="V516" s="64">
        <f>Table1[[#This Row],[ActualHomeScore]]-Table1[[#This Row],[PredictedHomeScore]]</f>
        <v>0</v>
      </c>
      <c r="W516" s="64">
        <f>(0.8*IF(Table1[[#This Row],[CorrectWinnerPrediction]]=1, 1, 0))+(0.1*IF(Table1[[#This Row],[CorrectAwayScorePrediction]]=1, 1, 0))+(0.1*IF(Table1[[#This Row],[CorrectHomeScorePrediction]]=1, 1, 0))</f>
        <v>0</v>
      </c>
      <c r="X51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16" s="64">
        <f>SUMIF(Table1[GameDate], Table1[[#This Row],[GameDate]], Table1[AwayGameGoalDiff])</f>
        <v>0</v>
      </c>
      <c r="AA516" s="64">
        <f>SUMIF(Table1[GameDate], Table1[[#This Row],[GameDate]], Table1[HomeGameGoalDiff])</f>
        <v>0</v>
      </c>
      <c r="AB516" s="64">
        <f>IF(ISBLANK(Table1[[#This Row],[ActualResult]]), 0, 1)</f>
        <v>0</v>
      </c>
      <c r="AC516" s="64">
        <f>IF(ISBLANK(Table1[[#This Row],[ActualResult]]), 0, IF(Table1[[#This Row],[ActualWinner]]=Table1[[#This Row],[PredictedWinner]], 1, 0))</f>
        <v>0</v>
      </c>
      <c r="AD51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1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16" s="64">
        <f>IF(AND(Table1[[#This Row],[GameIsOver]]=1,Table1[[#This Row],[ActualAwayScore]]=0), 1,0)</f>
        <v>0</v>
      </c>
      <c r="AG516" s="64">
        <f>IF(AND(Table1[[#This Row],[GameIsOver]]=1,Table1[[#This Row],[ActualHomeScore]]=0), 1,0)</f>
        <v>0</v>
      </c>
      <c r="AH516" s="64">
        <f>IF(Table1[[#This Row],[GameIsOver]]=0,0,IF(Table1[[#This Row],[ActualWinner]]=Table1[[#This Row],[AwayTeam]], 1, 0))</f>
        <v>0</v>
      </c>
      <c r="AI516" s="64">
        <f>IF(Table1[[#This Row],[GameIsOver]]=0,0,IF(Table1[[#This Row],[ActualWinner]]=Table1[[#This Row],[HomeTeam]], 1, 0))</f>
        <v>0</v>
      </c>
      <c r="AJ516" s="64">
        <f>IF(INDEX(Standings!$A$2:$C$33,MATCH(Table1[[#This Row],[AwayTeam]],Standings!$A$2:$A$33,0),2)=INDEX(Standings!$A$2:$C$33,MATCH(Table1[[#This Row],[HomeTeam]],Standings!$A$2:$A$33,0),2),1,0)</f>
        <v>1</v>
      </c>
      <c r="AK516" s="64">
        <f>IF(INDEX(Standings!$A$2:$C$33,MATCH(Table1[[#This Row],[AwayTeam]],Standings!$A$2:$A$33,0),3)=INDEX(Standings!$A$2:$C$33,MATCH(Table1[[#This Row],[HomeTeam]],Standings!$A$2:$A$33,0),3),1,0)</f>
        <v>0</v>
      </c>
      <c r="AL516" s="64">
        <f>IF(Table1[[#This Row],[InterConf]]=1,IF(Table1[[#This Row],[InterDiv]]=0, 1, 0), 0)</f>
        <v>1</v>
      </c>
      <c r="AM516" s="64">
        <f>IF(INDEX(Standings!$A$2:$C$33,MATCH(Table1[[#This Row],[AwayTeam]],Standings!$A$2:$A$33,0),2)&lt;&gt;INDEX(Standings!$A$2:$C$33,MATCH(Table1[[#This Row],[HomeTeam]],Standings!$A$2:$A$33,0),2),1,0)</f>
        <v>0</v>
      </c>
      <c r="AN516" s="64" t="str">
        <f>INDEX(Table2[AWAY_RECORD], MATCH(Table1[[#This Row],[AwayTeam]],Table2[Team], 0), 0)</f>
        <v>1-0-0</v>
      </c>
      <c r="AO516" s="64" t="str">
        <f>INDEX(Records!$B$2:$AG$33, MATCH(Table1[[#This Row],[AwayTeam]],Records!$A$2:$A$33, 0), MATCH(Table1[[#This Row],[HomeTeam]],Records!$A$2:$A$33, 0))</f>
        <v>0-0-0</v>
      </c>
      <c r="AP516" s="64" t="str">
        <f>INDEX(Table2[HOME_RECORD], MATCH(Table1[[#This Row],[HomeTeam]],Table2[Team], 0), 0)</f>
        <v>1-0-0</v>
      </c>
      <c r="AQ516" s="64" t="str">
        <f>INDEX(Records!$B$2:$AG$33, MATCH(Table1[[#This Row],[HomeTeam]],Records!$A$2:$A$33, 0), MATCH(Table1[[#This Row],[AwayTeam]],Records!$A$2:$A$33, 0))</f>
        <v>0-0-0</v>
      </c>
    </row>
    <row r="517" spans="1:43" x14ac:dyDescent="0.25">
      <c r="A517" s="1"/>
      <c r="D517" t="s">
        <v>771</v>
      </c>
      <c r="E517" t="s">
        <v>443</v>
      </c>
      <c r="F517" t="s">
        <v>775</v>
      </c>
      <c r="G517" t="s">
        <v>54</v>
      </c>
      <c r="H517" t="s">
        <v>57</v>
      </c>
      <c r="L51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1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17" s="1"/>
      <c r="T517" s="64" t="str">
        <f>IF(Table1[[#This Row],[ActualWinner]]="", "", IF(Table1[[#This Row],[AwayTeam]]=Table1[[#This Row],[ActualWinner]],Table1[[#This Row],[HomeTeam]],Table1[[#This Row],[AwayTeam]]))</f>
        <v/>
      </c>
      <c r="U517" s="64">
        <f>Table1[[#This Row],[ActualAwayScore]]-Table1[[#This Row],[PredictedAwayScore]]</f>
        <v>0</v>
      </c>
      <c r="V517" s="64">
        <f>Table1[[#This Row],[ActualHomeScore]]-Table1[[#This Row],[PredictedHomeScore]]</f>
        <v>0</v>
      </c>
      <c r="W517" s="64">
        <f>(0.8*IF(Table1[[#This Row],[CorrectWinnerPrediction]]=1, 1, 0))+(0.1*IF(Table1[[#This Row],[CorrectAwayScorePrediction]]=1, 1, 0))+(0.1*IF(Table1[[#This Row],[CorrectHomeScorePrediction]]=1, 1, 0))</f>
        <v>0</v>
      </c>
      <c r="X51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17" s="64">
        <f>SUMIF(Table1[GameDate], Table1[[#This Row],[GameDate]], Table1[AwayGameGoalDiff])</f>
        <v>0</v>
      </c>
      <c r="AA517" s="64">
        <f>SUMIF(Table1[GameDate], Table1[[#This Row],[GameDate]], Table1[HomeGameGoalDiff])</f>
        <v>0</v>
      </c>
      <c r="AB517" s="64">
        <f>IF(ISBLANK(Table1[[#This Row],[ActualResult]]), 0, 1)</f>
        <v>0</v>
      </c>
      <c r="AC517" s="64">
        <f>IF(ISBLANK(Table1[[#This Row],[ActualResult]]), 0, IF(Table1[[#This Row],[ActualWinner]]=Table1[[#This Row],[PredictedWinner]], 1, 0))</f>
        <v>0</v>
      </c>
      <c r="AD51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1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17" s="64">
        <f>IF(AND(Table1[[#This Row],[GameIsOver]]=1,Table1[[#This Row],[ActualAwayScore]]=0), 1,0)</f>
        <v>0</v>
      </c>
      <c r="AG517" s="64">
        <f>IF(AND(Table1[[#This Row],[GameIsOver]]=1,Table1[[#This Row],[ActualHomeScore]]=0), 1,0)</f>
        <v>0</v>
      </c>
      <c r="AH517" s="64">
        <f>IF(Table1[[#This Row],[GameIsOver]]=0,0,IF(Table1[[#This Row],[ActualWinner]]=Table1[[#This Row],[AwayTeam]], 1, 0))</f>
        <v>0</v>
      </c>
      <c r="AI517" s="64">
        <f>IF(Table1[[#This Row],[GameIsOver]]=0,0,IF(Table1[[#This Row],[ActualWinner]]=Table1[[#This Row],[HomeTeam]], 1, 0))</f>
        <v>0</v>
      </c>
      <c r="AJ517" s="64">
        <f>IF(INDEX(Standings!$A$2:$C$33,MATCH(Table1[[#This Row],[AwayTeam]],Standings!$A$2:$A$33,0),2)=INDEX(Standings!$A$2:$C$33,MATCH(Table1[[#This Row],[HomeTeam]],Standings!$A$2:$A$33,0),2),1,0)</f>
        <v>1</v>
      </c>
      <c r="AK517" s="64">
        <f>IF(INDEX(Standings!$A$2:$C$33,MATCH(Table1[[#This Row],[AwayTeam]],Standings!$A$2:$A$33,0),3)=INDEX(Standings!$A$2:$C$33,MATCH(Table1[[#This Row],[HomeTeam]],Standings!$A$2:$A$33,0),3),1,0)</f>
        <v>0</v>
      </c>
      <c r="AL517" s="64">
        <f>IF(Table1[[#This Row],[InterConf]]=1,IF(Table1[[#This Row],[InterDiv]]=0, 1, 0), 0)</f>
        <v>1</v>
      </c>
      <c r="AM517" s="64">
        <f>IF(INDEX(Standings!$A$2:$C$33,MATCH(Table1[[#This Row],[AwayTeam]],Standings!$A$2:$A$33,0),2)&lt;&gt;INDEX(Standings!$A$2:$C$33,MATCH(Table1[[#This Row],[HomeTeam]],Standings!$A$2:$A$33,0),2),1,0)</f>
        <v>0</v>
      </c>
      <c r="AN517" s="64" t="str">
        <f>INDEX(Table2[AWAY_RECORD], MATCH(Table1[[#This Row],[AwayTeam]],Table2[Team], 0), 0)</f>
        <v>0-0-1</v>
      </c>
      <c r="AO517" s="64" t="str">
        <f>INDEX(Records!$B$2:$AG$33, MATCH(Table1[[#This Row],[AwayTeam]],Records!$A$2:$A$33, 0), MATCH(Table1[[#This Row],[HomeTeam]],Records!$A$2:$A$33, 0))</f>
        <v>0-0-0</v>
      </c>
      <c r="AP517" s="64" t="str">
        <f>INDEX(Table2[HOME_RECORD], MATCH(Table1[[#This Row],[HomeTeam]],Table2[Team], 0), 0)</f>
        <v>0-0-0</v>
      </c>
      <c r="AQ517" s="64" t="str">
        <f>INDEX(Records!$B$2:$AG$33, MATCH(Table1[[#This Row],[HomeTeam]],Records!$A$2:$A$33, 0), MATCH(Table1[[#This Row],[AwayTeam]],Records!$A$2:$A$33, 0))</f>
        <v>0-0-0</v>
      </c>
    </row>
    <row r="518" spans="1:43" x14ac:dyDescent="0.25">
      <c r="A518" s="1"/>
      <c r="D518" t="s">
        <v>771</v>
      </c>
      <c r="E518" t="s">
        <v>443</v>
      </c>
      <c r="F518" t="s">
        <v>776</v>
      </c>
      <c r="G518" t="s">
        <v>60</v>
      </c>
      <c r="H518" t="s">
        <v>22</v>
      </c>
      <c r="L51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1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18" s="1"/>
      <c r="T518" s="64" t="str">
        <f>IF(Table1[[#This Row],[ActualWinner]]="", "", IF(Table1[[#This Row],[AwayTeam]]=Table1[[#This Row],[ActualWinner]],Table1[[#This Row],[HomeTeam]],Table1[[#This Row],[AwayTeam]]))</f>
        <v/>
      </c>
      <c r="U518" s="64">
        <f>Table1[[#This Row],[ActualAwayScore]]-Table1[[#This Row],[PredictedAwayScore]]</f>
        <v>0</v>
      </c>
      <c r="V518" s="64">
        <f>Table1[[#This Row],[ActualHomeScore]]-Table1[[#This Row],[PredictedHomeScore]]</f>
        <v>0</v>
      </c>
      <c r="W518" s="64">
        <f>(0.8*IF(Table1[[#This Row],[CorrectWinnerPrediction]]=1, 1, 0))+(0.1*IF(Table1[[#This Row],[CorrectAwayScorePrediction]]=1, 1, 0))+(0.1*IF(Table1[[#This Row],[CorrectHomeScorePrediction]]=1, 1, 0))</f>
        <v>0</v>
      </c>
      <c r="X51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18" s="64">
        <f>SUMIF(Table1[GameDate], Table1[[#This Row],[GameDate]], Table1[AwayGameGoalDiff])</f>
        <v>0</v>
      </c>
      <c r="AA518" s="64">
        <f>SUMIF(Table1[GameDate], Table1[[#This Row],[GameDate]], Table1[HomeGameGoalDiff])</f>
        <v>0</v>
      </c>
      <c r="AB518" s="64">
        <f>IF(ISBLANK(Table1[[#This Row],[ActualResult]]), 0, 1)</f>
        <v>0</v>
      </c>
      <c r="AC518" s="64">
        <f>IF(ISBLANK(Table1[[#This Row],[ActualResult]]), 0, IF(Table1[[#This Row],[ActualWinner]]=Table1[[#This Row],[PredictedWinner]], 1, 0))</f>
        <v>0</v>
      </c>
      <c r="AD51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1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18" s="64">
        <f>IF(AND(Table1[[#This Row],[GameIsOver]]=1,Table1[[#This Row],[ActualAwayScore]]=0), 1,0)</f>
        <v>0</v>
      </c>
      <c r="AG518" s="64">
        <f>IF(AND(Table1[[#This Row],[GameIsOver]]=1,Table1[[#This Row],[ActualHomeScore]]=0), 1,0)</f>
        <v>0</v>
      </c>
      <c r="AH518" s="64">
        <f>IF(Table1[[#This Row],[GameIsOver]]=0,0,IF(Table1[[#This Row],[ActualWinner]]=Table1[[#This Row],[AwayTeam]], 1, 0))</f>
        <v>0</v>
      </c>
      <c r="AI518" s="64">
        <f>IF(Table1[[#This Row],[GameIsOver]]=0,0,IF(Table1[[#This Row],[ActualWinner]]=Table1[[#This Row],[HomeTeam]], 1, 0))</f>
        <v>0</v>
      </c>
      <c r="AJ518" s="64">
        <f>IF(INDEX(Standings!$A$2:$C$33,MATCH(Table1[[#This Row],[AwayTeam]],Standings!$A$2:$A$33,0),2)=INDEX(Standings!$A$2:$C$33,MATCH(Table1[[#This Row],[HomeTeam]],Standings!$A$2:$A$33,0),2),1,0)</f>
        <v>1</v>
      </c>
      <c r="AK518" s="64">
        <f>IF(INDEX(Standings!$A$2:$C$33,MATCH(Table1[[#This Row],[AwayTeam]],Standings!$A$2:$A$33,0),3)=INDEX(Standings!$A$2:$C$33,MATCH(Table1[[#This Row],[HomeTeam]],Standings!$A$2:$A$33,0),3),1,0)</f>
        <v>1</v>
      </c>
      <c r="AL518" s="64">
        <f>IF(Table1[[#This Row],[InterConf]]=1,IF(Table1[[#This Row],[InterDiv]]=0, 1, 0), 0)</f>
        <v>0</v>
      </c>
      <c r="AM518" s="64">
        <f>IF(INDEX(Standings!$A$2:$C$33,MATCH(Table1[[#This Row],[AwayTeam]],Standings!$A$2:$A$33,0),2)&lt;&gt;INDEX(Standings!$A$2:$C$33,MATCH(Table1[[#This Row],[HomeTeam]],Standings!$A$2:$A$33,0),2),1,0)</f>
        <v>0</v>
      </c>
      <c r="AN518" s="64" t="str">
        <f>INDEX(Table2[AWAY_RECORD], MATCH(Table1[[#This Row],[AwayTeam]],Table2[Team], 0), 0)</f>
        <v>0-0-0</v>
      </c>
      <c r="AO518" s="64" t="str">
        <f>INDEX(Records!$B$2:$AG$33, MATCH(Table1[[#This Row],[AwayTeam]],Records!$A$2:$A$33, 0), MATCH(Table1[[#This Row],[HomeTeam]],Records!$A$2:$A$33, 0))</f>
        <v>0-0-0</v>
      </c>
      <c r="AP518" s="64" t="str">
        <f>INDEX(Table2[HOME_RECORD], MATCH(Table1[[#This Row],[HomeTeam]],Table2[Team], 0), 0)</f>
        <v>0-0-0</v>
      </c>
      <c r="AQ518" s="64" t="str">
        <f>INDEX(Records!$B$2:$AG$33, MATCH(Table1[[#This Row],[HomeTeam]],Records!$A$2:$A$33, 0), MATCH(Table1[[#This Row],[AwayTeam]],Records!$A$2:$A$33, 0))</f>
        <v>0-0-0</v>
      </c>
    </row>
    <row r="519" spans="1:43" x14ac:dyDescent="0.25">
      <c r="A519" s="1"/>
      <c r="D519" t="s">
        <v>771</v>
      </c>
      <c r="E519" t="s">
        <v>162</v>
      </c>
      <c r="F519" t="s">
        <v>777</v>
      </c>
      <c r="G519" t="s">
        <v>36</v>
      </c>
      <c r="H519" t="s">
        <v>38</v>
      </c>
      <c r="L51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1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19" s="1"/>
      <c r="T519" s="64" t="str">
        <f>IF(Table1[[#This Row],[ActualWinner]]="", "", IF(Table1[[#This Row],[AwayTeam]]=Table1[[#This Row],[ActualWinner]],Table1[[#This Row],[HomeTeam]],Table1[[#This Row],[AwayTeam]]))</f>
        <v/>
      </c>
      <c r="U519" s="64">
        <f>Table1[[#This Row],[ActualAwayScore]]-Table1[[#This Row],[PredictedAwayScore]]</f>
        <v>0</v>
      </c>
      <c r="V519" s="64">
        <f>Table1[[#This Row],[ActualHomeScore]]-Table1[[#This Row],[PredictedHomeScore]]</f>
        <v>0</v>
      </c>
      <c r="W519" s="64">
        <f>(0.8*IF(Table1[[#This Row],[CorrectWinnerPrediction]]=1, 1, 0))+(0.1*IF(Table1[[#This Row],[CorrectAwayScorePrediction]]=1, 1, 0))+(0.1*IF(Table1[[#This Row],[CorrectHomeScorePrediction]]=1, 1, 0))</f>
        <v>0</v>
      </c>
      <c r="X51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19" s="64">
        <f>SUMIF(Table1[GameDate], Table1[[#This Row],[GameDate]], Table1[AwayGameGoalDiff])</f>
        <v>0</v>
      </c>
      <c r="AA519" s="64">
        <f>SUMIF(Table1[GameDate], Table1[[#This Row],[GameDate]], Table1[HomeGameGoalDiff])</f>
        <v>0</v>
      </c>
      <c r="AB519" s="64">
        <f>IF(ISBLANK(Table1[[#This Row],[ActualResult]]), 0, 1)</f>
        <v>0</v>
      </c>
      <c r="AC519" s="64">
        <f>IF(ISBLANK(Table1[[#This Row],[ActualResult]]), 0, IF(Table1[[#This Row],[ActualWinner]]=Table1[[#This Row],[PredictedWinner]], 1, 0))</f>
        <v>0</v>
      </c>
      <c r="AD51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1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19" s="64">
        <f>IF(AND(Table1[[#This Row],[GameIsOver]]=1,Table1[[#This Row],[ActualAwayScore]]=0), 1,0)</f>
        <v>0</v>
      </c>
      <c r="AG519" s="64">
        <f>IF(AND(Table1[[#This Row],[GameIsOver]]=1,Table1[[#This Row],[ActualHomeScore]]=0), 1,0)</f>
        <v>0</v>
      </c>
      <c r="AH519" s="64">
        <f>IF(Table1[[#This Row],[GameIsOver]]=0,0,IF(Table1[[#This Row],[ActualWinner]]=Table1[[#This Row],[AwayTeam]], 1, 0))</f>
        <v>0</v>
      </c>
      <c r="AI519" s="64">
        <f>IF(Table1[[#This Row],[GameIsOver]]=0,0,IF(Table1[[#This Row],[ActualWinner]]=Table1[[#This Row],[HomeTeam]], 1, 0))</f>
        <v>0</v>
      </c>
      <c r="AJ519" s="64">
        <f>IF(INDEX(Standings!$A$2:$C$33,MATCH(Table1[[#This Row],[AwayTeam]],Standings!$A$2:$A$33,0),2)=INDEX(Standings!$A$2:$C$33,MATCH(Table1[[#This Row],[HomeTeam]],Standings!$A$2:$A$33,0),2),1,0)</f>
        <v>0</v>
      </c>
      <c r="AK519" s="64">
        <f>IF(INDEX(Standings!$A$2:$C$33,MATCH(Table1[[#This Row],[AwayTeam]],Standings!$A$2:$A$33,0),3)=INDEX(Standings!$A$2:$C$33,MATCH(Table1[[#This Row],[HomeTeam]],Standings!$A$2:$A$33,0),3),1,0)</f>
        <v>0</v>
      </c>
      <c r="AL519" s="64">
        <f>IF(Table1[[#This Row],[InterConf]]=1,IF(Table1[[#This Row],[InterDiv]]=0, 1, 0), 0)</f>
        <v>0</v>
      </c>
      <c r="AM519" s="64">
        <f>IF(INDEX(Standings!$A$2:$C$33,MATCH(Table1[[#This Row],[AwayTeam]],Standings!$A$2:$A$33,0),2)&lt;&gt;INDEX(Standings!$A$2:$C$33,MATCH(Table1[[#This Row],[HomeTeam]],Standings!$A$2:$A$33,0),2),1,0)</f>
        <v>1</v>
      </c>
      <c r="AN519" s="64" t="str">
        <f>INDEX(Table2[AWAY_RECORD], MATCH(Table1[[#This Row],[AwayTeam]],Table2[Team], 0), 0)</f>
        <v>0-0-0</v>
      </c>
      <c r="AO519" s="64" t="str">
        <f>INDEX(Records!$B$2:$AG$33, MATCH(Table1[[#This Row],[AwayTeam]],Records!$A$2:$A$33, 0), MATCH(Table1[[#This Row],[HomeTeam]],Records!$A$2:$A$33, 0))</f>
        <v>0-0-0</v>
      </c>
      <c r="AP519" s="64" t="str">
        <f>INDEX(Table2[HOME_RECORD], MATCH(Table1[[#This Row],[HomeTeam]],Table2[Team], 0), 0)</f>
        <v>0-0-0</v>
      </c>
      <c r="AQ519" s="64" t="str">
        <f>INDEX(Records!$B$2:$AG$33, MATCH(Table1[[#This Row],[HomeTeam]],Records!$A$2:$A$33, 0), MATCH(Table1[[#This Row],[AwayTeam]],Records!$A$2:$A$33, 0))</f>
        <v>0-0-0</v>
      </c>
    </row>
    <row r="520" spans="1:43" x14ac:dyDescent="0.25">
      <c r="A520" s="1"/>
      <c r="D520" t="s">
        <v>771</v>
      </c>
      <c r="E520" t="s">
        <v>162</v>
      </c>
      <c r="F520" t="s">
        <v>778</v>
      </c>
      <c r="G520" t="s">
        <v>25</v>
      </c>
      <c r="H520" t="s">
        <v>24</v>
      </c>
      <c r="L52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2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20" s="1"/>
      <c r="T520" s="64" t="str">
        <f>IF(Table1[[#This Row],[ActualWinner]]="", "", IF(Table1[[#This Row],[AwayTeam]]=Table1[[#This Row],[ActualWinner]],Table1[[#This Row],[HomeTeam]],Table1[[#This Row],[AwayTeam]]))</f>
        <v/>
      </c>
      <c r="U520" s="64">
        <f>Table1[[#This Row],[ActualAwayScore]]-Table1[[#This Row],[PredictedAwayScore]]</f>
        <v>0</v>
      </c>
      <c r="V520" s="64">
        <f>Table1[[#This Row],[ActualHomeScore]]-Table1[[#This Row],[PredictedHomeScore]]</f>
        <v>0</v>
      </c>
      <c r="W520" s="64">
        <f>(0.8*IF(Table1[[#This Row],[CorrectWinnerPrediction]]=1, 1, 0))+(0.1*IF(Table1[[#This Row],[CorrectAwayScorePrediction]]=1, 1, 0))+(0.1*IF(Table1[[#This Row],[CorrectHomeScorePrediction]]=1, 1, 0))</f>
        <v>0</v>
      </c>
      <c r="X52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20" s="64">
        <f>SUMIF(Table1[GameDate], Table1[[#This Row],[GameDate]], Table1[AwayGameGoalDiff])</f>
        <v>0</v>
      </c>
      <c r="AA520" s="64">
        <f>SUMIF(Table1[GameDate], Table1[[#This Row],[GameDate]], Table1[HomeGameGoalDiff])</f>
        <v>0</v>
      </c>
      <c r="AB520" s="64">
        <f>IF(ISBLANK(Table1[[#This Row],[ActualResult]]), 0, 1)</f>
        <v>0</v>
      </c>
      <c r="AC520" s="64">
        <f>IF(ISBLANK(Table1[[#This Row],[ActualResult]]), 0, IF(Table1[[#This Row],[ActualWinner]]=Table1[[#This Row],[PredictedWinner]], 1, 0))</f>
        <v>0</v>
      </c>
      <c r="AD52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2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20" s="64">
        <f>IF(AND(Table1[[#This Row],[GameIsOver]]=1,Table1[[#This Row],[ActualAwayScore]]=0), 1,0)</f>
        <v>0</v>
      </c>
      <c r="AG520" s="64">
        <f>IF(AND(Table1[[#This Row],[GameIsOver]]=1,Table1[[#This Row],[ActualHomeScore]]=0), 1,0)</f>
        <v>0</v>
      </c>
      <c r="AH520" s="64">
        <f>IF(Table1[[#This Row],[GameIsOver]]=0,0,IF(Table1[[#This Row],[ActualWinner]]=Table1[[#This Row],[AwayTeam]], 1, 0))</f>
        <v>0</v>
      </c>
      <c r="AI520" s="64">
        <f>IF(Table1[[#This Row],[GameIsOver]]=0,0,IF(Table1[[#This Row],[ActualWinner]]=Table1[[#This Row],[HomeTeam]], 1, 0))</f>
        <v>0</v>
      </c>
      <c r="AJ520" s="64">
        <f>IF(INDEX(Standings!$A$2:$C$33,MATCH(Table1[[#This Row],[AwayTeam]],Standings!$A$2:$A$33,0),2)=INDEX(Standings!$A$2:$C$33,MATCH(Table1[[#This Row],[HomeTeam]],Standings!$A$2:$A$33,0),2),1,0)</f>
        <v>0</v>
      </c>
      <c r="AK520" s="64">
        <f>IF(INDEX(Standings!$A$2:$C$33,MATCH(Table1[[#This Row],[AwayTeam]],Standings!$A$2:$A$33,0),3)=INDEX(Standings!$A$2:$C$33,MATCH(Table1[[#This Row],[HomeTeam]],Standings!$A$2:$A$33,0),3),1,0)</f>
        <v>0</v>
      </c>
      <c r="AL520" s="64">
        <f>IF(Table1[[#This Row],[InterConf]]=1,IF(Table1[[#This Row],[InterDiv]]=0, 1, 0), 0)</f>
        <v>0</v>
      </c>
      <c r="AM520" s="64">
        <f>IF(INDEX(Standings!$A$2:$C$33,MATCH(Table1[[#This Row],[AwayTeam]],Standings!$A$2:$A$33,0),2)&lt;&gt;INDEX(Standings!$A$2:$C$33,MATCH(Table1[[#This Row],[HomeTeam]],Standings!$A$2:$A$33,0),2),1,0)</f>
        <v>1</v>
      </c>
      <c r="AN520" s="64" t="str">
        <f>INDEX(Table2[AWAY_RECORD], MATCH(Table1[[#This Row],[AwayTeam]],Table2[Team], 0), 0)</f>
        <v>0-0-0</v>
      </c>
      <c r="AO520" s="64" t="str">
        <f>INDEX(Records!$B$2:$AG$33, MATCH(Table1[[#This Row],[AwayTeam]],Records!$A$2:$A$33, 0), MATCH(Table1[[#This Row],[HomeTeam]],Records!$A$2:$A$33, 0))</f>
        <v>0-0-0</v>
      </c>
      <c r="AP520" s="64" t="str">
        <f>INDEX(Table2[HOME_RECORD], MATCH(Table1[[#This Row],[HomeTeam]],Table2[Team], 0), 0)</f>
        <v>0-2-0</v>
      </c>
      <c r="AQ520" s="64" t="str">
        <f>INDEX(Records!$B$2:$AG$33, MATCH(Table1[[#This Row],[HomeTeam]],Records!$A$2:$A$33, 0), MATCH(Table1[[#This Row],[AwayTeam]],Records!$A$2:$A$33, 0))</f>
        <v>0-0-0</v>
      </c>
    </row>
    <row r="521" spans="1:43" x14ac:dyDescent="0.25">
      <c r="A521" s="1"/>
      <c r="D521" t="s">
        <v>771</v>
      </c>
      <c r="E521" t="s">
        <v>162</v>
      </c>
      <c r="F521" t="s">
        <v>779</v>
      </c>
      <c r="G521" t="s">
        <v>45</v>
      </c>
      <c r="H521" t="s">
        <v>52</v>
      </c>
      <c r="L52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2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21" s="1"/>
      <c r="T521" s="64" t="str">
        <f>IF(Table1[[#This Row],[ActualWinner]]="", "", IF(Table1[[#This Row],[AwayTeam]]=Table1[[#This Row],[ActualWinner]],Table1[[#This Row],[HomeTeam]],Table1[[#This Row],[AwayTeam]]))</f>
        <v/>
      </c>
      <c r="U521" s="64">
        <f>Table1[[#This Row],[ActualAwayScore]]-Table1[[#This Row],[PredictedAwayScore]]</f>
        <v>0</v>
      </c>
      <c r="V521" s="64">
        <f>Table1[[#This Row],[ActualHomeScore]]-Table1[[#This Row],[PredictedHomeScore]]</f>
        <v>0</v>
      </c>
      <c r="W521" s="64">
        <f>(0.8*IF(Table1[[#This Row],[CorrectWinnerPrediction]]=1, 1, 0))+(0.1*IF(Table1[[#This Row],[CorrectAwayScorePrediction]]=1, 1, 0))+(0.1*IF(Table1[[#This Row],[CorrectHomeScorePrediction]]=1, 1, 0))</f>
        <v>0</v>
      </c>
      <c r="X52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21" s="64">
        <f>SUMIF(Table1[GameDate], Table1[[#This Row],[GameDate]], Table1[AwayGameGoalDiff])</f>
        <v>0</v>
      </c>
      <c r="AA521" s="64">
        <f>SUMIF(Table1[GameDate], Table1[[#This Row],[GameDate]], Table1[HomeGameGoalDiff])</f>
        <v>0</v>
      </c>
      <c r="AB521" s="64">
        <f>IF(ISBLANK(Table1[[#This Row],[ActualResult]]), 0, 1)</f>
        <v>0</v>
      </c>
      <c r="AC521" s="64">
        <f>IF(ISBLANK(Table1[[#This Row],[ActualResult]]), 0, IF(Table1[[#This Row],[ActualWinner]]=Table1[[#This Row],[PredictedWinner]], 1, 0))</f>
        <v>0</v>
      </c>
      <c r="AD52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2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21" s="64">
        <f>IF(AND(Table1[[#This Row],[GameIsOver]]=1,Table1[[#This Row],[ActualAwayScore]]=0), 1,0)</f>
        <v>0</v>
      </c>
      <c r="AG521" s="64">
        <f>IF(AND(Table1[[#This Row],[GameIsOver]]=1,Table1[[#This Row],[ActualHomeScore]]=0), 1,0)</f>
        <v>0</v>
      </c>
      <c r="AH521" s="64">
        <f>IF(Table1[[#This Row],[GameIsOver]]=0,0,IF(Table1[[#This Row],[ActualWinner]]=Table1[[#This Row],[AwayTeam]], 1, 0))</f>
        <v>0</v>
      </c>
      <c r="AI521" s="64">
        <f>IF(Table1[[#This Row],[GameIsOver]]=0,0,IF(Table1[[#This Row],[ActualWinner]]=Table1[[#This Row],[HomeTeam]], 1, 0))</f>
        <v>0</v>
      </c>
      <c r="AJ521" s="64">
        <f>IF(INDEX(Standings!$A$2:$C$33,MATCH(Table1[[#This Row],[AwayTeam]],Standings!$A$2:$A$33,0),2)=INDEX(Standings!$A$2:$C$33,MATCH(Table1[[#This Row],[HomeTeam]],Standings!$A$2:$A$33,0),2),1,0)</f>
        <v>0</v>
      </c>
      <c r="AK521" s="64">
        <f>IF(INDEX(Standings!$A$2:$C$33,MATCH(Table1[[#This Row],[AwayTeam]],Standings!$A$2:$A$33,0),3)=INDEX(Standings!$A$2:$C$33,MATCH(Table1[[#This Row],[HomeTeam]],Standings!$A$2:$A$33,0),3),1,0)</f>
        <v>0</v>
      </c>
      <c r="AL521" s="64">
        <f>IF(Table1[[#This Row],[InterConf]]=1,IF(Table1[[#This Row],[InterDiv]]=0, 1, 0), 0)</f>
        <v>0</v>
      </c>
      <c r="AM521" s="64">
        <f>IF(INDEX(Standings!$A$2:$C$33,MATCH(Table1[[#This Row],[AwayTeam]],Standings!$A$2:$A$33,0),2)&lt;&gt;INDEX(Standings!$A$2:$C$33,MATCH(Table1[[#This Row],[HomeTeam]],Standings!$A$2:$A$33,0),2),1,0)</f>
        <v>1</v>
      </c>
      <c r="AN521" s="64" t="str">
        <f>INDEX(Table2[AWAY_RECORD], MATCH(Table1[[#This Row],[AwayTeam]],Table2[Team], 0), 0)</f>
        <v>1-0-0</v>
      </c>
      <c r="AO521" s="64" t="str">
        <f>INDEX(Records!$B$2:$AG$33, MATCH(Table1[[#This Row],[AwayTeam]],Records!$A$2:$A$33, 0), MATCH(Table1[[#This Row],[HomeTeam]],Records!$A$2:$A$33, 0))</f>
        <v>0-0-0</v>
      </c>
      <c r="AP521" s="64" t="str">
        <f>INDEX(Table2[HOME_RECORD], MATCH(Table1[[#This Row],[HomeTeam]],Table2[Team], 0), 0)</f>
        <v>0-0-0</v>
      </c>
      <c r="AQ521" s="64" t="str">
        <f>INDEX(Records!$B$2:$AG$33, MATCH(Table1[[#This Row],[HomeTeam]],Records!$A$2:$A$33, 0), MATCH(Table1[[#This Row],[AwayTeam]],Records!$A$2:$A$33, 0))</f>
        <v>0-0-0</v>
      </c>
    </row>
    <row r="522" spans="1:43" x14ac:dyDescent="0.25">
      <c r="A522" s="1"/>
      <c r="D522" t="s">
        <v>771</v>
      </c>
      <c r="E522" t="s">
        <v>162</v>
      </c>
      <c r="F522" t="s">
        <v>780</v>
      </c>
      <c r="G522" t="s">
        <v>17</v>
      </c>
      <c r="H522" t="s">
        <v>44</v>
      </c>
      <c r="L52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2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22" s="1"/>
      <c r="T522" s="64" t="str">
        <f>IF(Table1[[#This Row],[ActualWinner]]="", "", IF(Table1[[#This Row],[AwayTeam]]=Table1[[#This Row],[ActualWinner]],Table1[[#This Row],[HomeTeam]],Table1[[#This Row],[AwayTeam]]))</f>
        <v/>
      </c>
      <c r="U522" s="64">
        <f>Table1[[#This Row],[ActualAwayScore]]-Table1[[#This Row],[PredictedAwayScore]]</f>
        <v>0</v>
      </c>
      <c r="V522" s="64">
        <f>Table1[[#This Row],[ActualHomeScore]]-Table1[[#This Row],[PredictedHomeScore]]</f>
        <v>0</v>
      </c>
      <c r="W522" s="64">
        <f>(0.8*IF(Table1[[#This Row],[CorrectWinnerPrediction]]=1, 1, 0))+(0.1*IF(Table1[[#This Row],[CorrectAwayScorePrediction]]=1, 1, 0))+(0.1*IF(Table1[[#This Row],[CorrectHomeScorePrediction]]=1, 1, 0))</f>
        <v>0</v>
      </c>
      <c r="X52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22" s="64">
        <f>SUMIF(Table1[GameDate], Table1[[#This Row],[GameDate]], Table1[AwayGameGoalDiff])</f>
        <v>0</v>
      </c>
      <c r="AA522" s="64">
        <f>SUMIF(Table1[GameDate], Table1[[#This Row],[GameDate]], Table1[HomeGameGoalDiff])</f>
        <v>0</v>
      </c>
      <c r="AB522" s="64">
        <f>IF(ISBLANK(Table1[[#This Row],[ActualResult]]), 0, 1)</f>
        <v>0</v>
      </c>
      <c r="AC522" s="64">
        <f>IF(ISBLANK(Table1[[#This Row],[ActualResult]]), 0, IF(Table1[[#This Row],[ActualWinner]]=Table1[[#This Row],[PredictedWinner]], 1, 0))</f>
        <v>0</v>
      </c>
      <c r="AD52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2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22" s="64">
        <f>IF(AND(Table1[[#This Row],[GameIsOver]]=1,Table1[[#This Row],[ActualAwayScore]]=0), 1,0)</f>
        <v>0</v>
      </c>
      <c r="AG522" s="64">
        <f>IF(AND(Table1[[#This Row],[GameIsOver]]=1,Table1[[#This Row],[ActualHomeScore]]=0), 1,0)</f>
        <v>0</v>
      </c>
      <c r="AH522" s="64">
        <f>IF(Table1[[#This Row],[GameIsOver]]=0,0,IF(Table1[[#This Row],[ActualWinner]]=Table1[[#This Row],[AwayTeam]], 1, 0))</f>
        <v>0</v>
      </c>
      <c r="AI522" s="64">
        <f>IF(Table1[[#This Row],[GameIsOver]]=0,0,IF(Table1[[#This Row],[ActualWinner]]=Table1[[#This Row],[HomeTeam]], 1, 0))</f>
        <v>0</v>
      </c>
      <c r="AJ522" s="64">
        <f>IF(INDEX(Standings!$A$2:$C$33,MATCH(Table1[[#This Row],[AwayTeam]],Standings!$A$2:$A$33,0),2)=INDEX(Standings!$A$2:$C$33,MATCH(Table1[[#This Row],[HomeTeam]],Standings!$A$2:$A$33,0),2),1,0)</f>
        <v>1</v>
      </c>
      <c r="AK522" s="64">
        <f>IF(INDEX(Standings!$A$2:$C$33,MATCH(Table1[[#This Row],[AwayTeam]],Standings!$A$2:$A$33,0),3)=INDEX(Standings!$A$2:$C$33,MATCH(Table1[[#This Row],[HomeTeam]],Standings!$A$2:$A$33,0),3),1,0)</f>
        <v>1</v>
      </c>
      <c r="AL522" s="64">
        <f>IF(Table1[[#This Row],[InterConf]]=1,IF(Table1[[#This Row],[InterDiv]]=0, 1, 0), 0)</f>
        <v>0</v>
      </c>
      <c r="AM522" s="64">
        <f>IF(INDEX(Standings!$A$2:$C$33,MATCH(Table1[[#This Row],[AwayTeam]],Standings!$A$2:$A$33,0),2)&lt;&gt;INDEX(Standings!$A$2:$C$33,MATCH(Table1[[#This Row],[HomeTeam]],Standings!$A$2:$A$33,0),2),1,0)</f>
        <v>0</v>
      </c>
      <c r="AN522" s="64" t="str">
        <f>INDEX(Table2[AWAY_RECORD], MATCH(Table1[[#This Row],[AwayTeam]],Table2[Team], 0), 0)</f>
        <v>2-0-0</v>
      </c>
      <c r="AO522" s="64" t="str">
        <f>INDEX(Records!$B$2:$AG$33, MATCH(Table1[[#This Row],[AwayTeam]],Records!$A$2:$A$33, 0), MATCH(Table1[[#This Row],[HomeTeam]],Records!$A$2:$A$33, 0))</f>
        <v>0-0-0</v>
      </c>
      <c r="AP522" s="64" t="str">
        <f>INDEX(Table2[HOME_RECORD], MATCH(Table1[[#This Row],[HomeTeam]],Table2[Team], 0), 0)</f>
        <v>0-0-1</v>
      </c>
      <c r="AQ522" s="64" t="str">
        <f>INDEX(Records!$B$2:$AG$33, MATCH(Table1[[#This Row],[HomeTeam]],Records!$A$2:$A$33, 0), MATCH(Table1[[#This Row],[AwayTeam]],Records!$A$2:$A$33, 0))</f>
        <v>0-0-0</v>
      </c>
    </row>
    <row r="523" spans="1:43" x14ac:dyDescent="0.25">
      <c r="A523" s="1"/>
      <c r="D523" t="s">
        <v>771</v>
      </c>
      <c r="E523" t="s">
        <v>162</v>
      </c>
      <c r="F523" t="s">
        <v>781</v>
      </c>
      <c r="G523" t="s">
        <v>58</v>
      </c>
      <c r="H523" t="s">
        <v>16</v>
      </c>
      <c r="L52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2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23" s="1"/>
      <c r="T523" s="64" t="str">
        <f>IF(Table1[[#This Row],[ActualWinner]]="", "", IF(Table1[[#This Row],[AwayTeam]]=Table1[[#This Row],[ActualWinner]],Table1[[#This Row],[HomeTeam]],Table1[[#This Row],[AwayTeam]]))</f>
        <v/>
      </c>
      <c r="U523" s="64">
        <f>Table1[[#This Row],[ActualAwayScore]]-Table1[[#This Row],[PredictedAwayScore]]</f>
        <v>0</v>
      </c>
      <c r="V523" s="64">
        <f>Table1[[#This Row],[ActualHomeScore]]-Table1[[#This Row],[PredictedHomeScore]]</f>
        <v>0</v>
      </c>
      <c r="W523" s="64">
        <f>(0.8*IF(Table1[[#This Row],[CorrectWinnerPrediction]]=1, 1, 0))+(0.1*IF(Table1[[#This Row],[CorrectAwayScorePrediction]]=1, 1, 0))+(0.1*IF(Table1[[#This Row],[CorrectHomeScorePrediction]]=1, 1, 0))</f>
        <v>0</v>
      </c>
      <c r="X52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23" s="64">
        <f>SUMIF(Table1[GameDate], Table1[[#This Row],[GameDate]], Table1[AwayGameGoalDiff])</f>
        <v>0</v>
      </c>
      <c r="AA523" s="64">
        <f>SUMIF(Table1[GameDate], Table1[[#This Row],[GameDate]], Table1[HomeGameGoalDiff])</f>
        <v>0</v>
      </c>
      <c r="AB523" s="64">
        <f>IF(ISBLANK(Table1[[#This Row],[ActualResult]]), 0, 1)</f>
        <v>0</v>
      </c>
      <c r="AC523" s="64">
        <f>IF(ISBLANK(Table1[[#This Row],[ActualResult]]), 0, IF(Table1[[#This Row],[ActualWinner]]=Table1[[#This Row],[PredictedWinner]], 1, 0))</f>
        <v>0</v>
      </c>
      <c r="AD52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2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23" s="64">
        <f>IF(AND(Table1[[#This Row],[GameIsOver]]=1,Table1[[#This Row],[ActualAwayScore]]=0), 1,0)</f>
        <v>0</v>
      </c>
      <c r="AG523" s="64">
        <f>IF(AND(Table1[[#This Row],[GameIsOver]]=1,Table1[[#This Row],[ActualHomeScore]]=0), 1,0)</f>
        <v>0</v>
      </c>
      <c r="AH523" s="64">
        <f>IF(Table1[[#This Row],[GameIsOver]]=0,0,IF(Table1[[#This Row],[ActualWinner]]=Table1[[#This Row],[AwayTeam]], 1, 0))</f>
        <v>0</v>
      </c>
      <c r="AI523" s="64">
        <f>IF(Table1[[#This Row],[GameIsOver]]=0,0,IF(Table1[[#This Row],[ActualWinner]]=Table1[[#This Row],[HomeTeam]], 1, 0))</f>
        <v>0</v>
      </c>
      <c r="AJ523" s="64">
        <f>IF(INDEX(Standings!$A$2:$C$33,MATCH(Table1[[#This Row],[AwayTeam]],Standings!$A$2:$A$33,0),2)=INDEX(Standings!$A$2:$C$33,MATCH(Table1[[#This Row],[HomeTeam]],Standings!$A$2:$A$33,0),2),1,0)</f>
        <v>1</v>
      </c>
      <c r="AK523" s="64">
        <f>IF(INDEX(Standings!$A$2:$C$33,MATCH(Table1[[#This Row],[AwayTeam]],Standings!$A$2:$A$33,0),3)=INDEX(Standings!$A$2:$C$33,MATCH(Table1[[#This Row],[HomeTeam]],Standings!$A$2:$A$33,0),3),1,0)</f>
        <v>1</v>
      </c>
      <c r="AL523" s="64">
        <f>IF(Table1[[#This Row],[InterConf]]=1,IF(Table1[[#This Row],[InterDiv]]=0, 1, 0), 0)</f>
        <v>0</v>
      </c>
      <c r="AM523" s="64">
        <f>IF(INDEX(Standings!$A$2:$C$33,MATCH(Table1[[#This Row],[AwayTeam]],Standings!$A$2:$A$33,0),2)&lt;&gt;INDEX(Standings!$A$2:$C$33,MATCH(Table1[[#This Row],[HomeTeam]],Standings!$A$2:$A$33,0),2),1,0)</f>
        <v>0</v>
      </c>
      <c r="AN523" s="64" t="str">
        <f>INDEX(Table2[AWAY_RECORD], MATCH(Table1[[#This Row],[AwayTeam]],Table2[Team], 0), 0)</f>
        <v>0-0-0</v>
      </c>
      <c r="AO523" s="64" t="str">
        <f>INDEX(Records!$B$2:$AG$33, MATCH(Table1[[#This Row],[AwayTeam]],Records!$A$2:$A$33, 0), MATCH(Table1[[#This Row],[HomeTeam]],Records!$A$2:$A$33, 0))</f>
        <v>1-0-0</v>
      </c>
      <c r="AP523" s="64" t="str">
        <f>INDEX(Table2[HOME_RECORD], MATCH(Table1[[#This Row],[HomeTeam]],Table2[Team], 0), 0)</f>
        <v>0-0-0</v>
      </c>
      <c r="AQ523" s="64" t="str">
        <f>INDEX(Records!$B$2:$AG$33, MATCH(Table1[[#This Row],[HomeTeam]],Records!$A$2:$A$33, 0), MATCH(Table1[[#This Row],[AwayTeam]],Records!$A$2:$A$33, 0))</f>
        <v>0-0-1</v>
      </c>
    </row>
    <row r="524" spans="1:43" x14ac:dyDescent="0.25">
      <c r="A524" s="1"/>
      <c r="D524" t="s">
        <v>771</v>
      </c>
      <c r="E524" t="s">
        <v>178</v>
      </c>
      <c r="F524" t="s">
        <v>782</v>
      </c>
      <c r="G524" t="s">
        <v>61</v>
      </c>
      <c r="H524" t="s">
        <v>43</v>
      </c>
      <c r="L52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2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24" s="1"/>
      <c r="T524" s="64" t="str">
        <f>IF(Table1[[#This Row],[ActualWinner]]="", "", IF(Table1[[#This Row],[AwayTeam]]=Table1[[#This Row],[ActualWinner]],Table1[[#This Row],[HomeTeam]],Table1[[#This Row],[AwayTeam]]))</f>
        <v/>
      </c>
      <c r="U524" s="64">
        <f>Table1[[#This Row],[ActualAwayScore]]-Table1[[#This Row],[PredictedAwayScore]]</f>
        <v>0</v>
      </c>
      <c r="V524" s="64">
        <f>Table1[[#This Row],[ActualHomeScore]]-Table1[[#This Row],[PredictedHomeScore]]</f>
        <v>0</v>
      </c>
      <c r="W524" s="64">
        <f>(0.8*IF(Table1[[#This Row],[CorrectWinnerPrediction]]=1, 1, 0))+(0.1*IF(Table1[[#This Row],[CorrectAwayScorePrediction]]=1, 1, 0))+(0.1*IF(Table1[[#This Row],[CorrectHomeScorePrediction]]=1, 1, 0))</f>
        <v>0</v>
      </c>
      <c r="X52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24" s="64">
        <f>SUMIF(Table1[GameDate], Table1[[#This Row],[GameDate]], Table1[AwayGameGoalDiff])</f>
        <v>0</v>
      </c>
      <c r="AA524" s="64">
        <f>SUMIF(Table1[GameDate], Table1[[#This Row],[GameDate]], Table1[HomeGameGoalDiff])</f>
        <v>0</v>
      </c>
      <c r="AB524" s="64">
        <f>IF(ISBLANK(Table1[[#This Row],[ActualResult]]), 0, 1)</f>
        <v>0</v>
      </c>
      <c r="AC524" s="64">
        <f>IF(ISBLANK(Table1[[#This Row],[ActualResult]]), 0, IF(Table1[[#This Row],[ActualWinner]]=Table1[[#This Row],[PredictedWinner]], 1, 0))</f>
        <v>0</v>
      </c>
      <c r="AD52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2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24" s="64">
        <f>IF(AND(Table1[[#This Row],[GameIsOver]]=1,Table1[[#This Row],[ActualAwayScore]]=0), 1,0)</f>
        <v>0</v>
      </c>
      <c r="AG524" s="64">
        <f>IF(AND(Table1[[#This Row],[GameIsOver]]=1,Table1[[#This Row],[ActualHomeScore]]=0), 1,0)</f>
        <v>0</v>
      </c>
      <c r="AH524" s="64">
        <f>IF(Table1[[#This Row],[GameIsOver]]=0,0,IF(Table1[[#This Row],[ActualWinner]]=Table1[[#This Row],[AwayTeam]], 1, 0))</f>
        <v>0</v>
      </c>
      <c r="AI524" s="64">
        <f>IF(Table1[[#This Row],[GameIsOver]]=0,0,IF(Table1[[#This Row],[ActualWinner]]=Table1[[#This Row],[HomeTeam]], 1, 0))</f>
        <v>0</v>
      </c>
      <c r="AJ524" s="64">
        <f>IF(INDEX(Standings!$A$2:$C$33,MATCH(Table1[[#This Row],[AwayTeam]],Standings!$A$2:$A$33,0),2)=INDEX(Standings!$A$2:$C$33,MATCH(Table1[[#This Row],[HomeTeam]],Standings!$A$2:$A$33,0),2),1,0)</f>
        <v>1</v>
      </c>
      <c r="AK524" s="64">
        <f>IF(INDEX(Standings!$A$2:$C$33,MATCH(Table1[[#This Row],[AwayTeam]],Standings!$A$2:$A$33,0),3)=INDEX(Standings!$A$2:$C$33,MATCH(Table1[[#This Row],[HomeTeam]],Standings!$A$2:$A$33,0),3),1,0)</f>
        <v>1</v>
      </c>
      <c r="AL524" s="64">
        <f>IF(Table1[[#This Row],[InterConf]]=1,IF(Table1[[#This Row],[InterDiv]]=0, 1, 0), 0)</f>
        <v>0</v>
      </c>
      <c r="AM524" s="64">
        <f>IF(INDEX(Standings!$A$2:$C$33,MATCH(Table1[[#This Row],[AwayTeam]],Standings!$A$2:$A$33,0),2)&lt;&gt;INDEX(Standings!$A$2:$C$33,MATCH(Table1[[#This Row],[HomeTeam]],Standings!$A$2:$A$33,0),2),1,0)</f>
        <v>0</v>
      </c>
      <c r="AN524" s="64" t="str">
        <f>INDEX(Table2[AWAY_RECORD], MATCH(Table1[[#This Row],[AwayTeam]],Table2[Team], 0), 0)</f>
        <v>0-0-0</v>
      </c>
      <c r="AO524" s="64" t="str">
        <f>INDEX(Records!$B$2:$AG$33, MATCH(Table1[[#This Row],[AwayTeam]],Records!$A$2:$A$33, 0), MATCH(Table1[[#This Row],[HomeTeam]],Records!$A$2:$A$33, 0))</f>
        <v>0-0-0</v>
      </c>
      <c r="AP524" s="64" t="str">
        <f>INDEX(Table2[HOME_RECORD], MATCH(Table1[[#This Row],[HomeTeam]],Table2[Team], 0), 0)</f>
        <v>0-0-0</v>
      </c>
      <c r="AQ524" s="64" t="str">
        <f>INDEX(Records!$B$2:$AG$33, MATCH(Table1[[#This Row],[HomeTeam]],Records!$A$2:$A$33, 0), MATCH(Table1[[#This Row],[AwayTeam]],Records!$A$2:$A$33, 0))</f>
        <v>0-0-0</v>
      </c>
    </row>
    <row r="525" spans="1:43" x14ac:dyDescent="0.25">
      <c r="A525" s="1"/>
      <c r="D525" t="s">
        <v>771</v>
      </c>
      <c r="E525" t="s">
        <v>164</v>
      </c>
      <c r="F525" t="s">
        <v>783</v>
      </c>
      <c r="G525" t="s">
        <v>59</v>
      </c>
      <c r="H525" t="s">
        <v>41</v>
      </c>
      <c r="L52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2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25" s="1"/>
      <c r="T525" s="64" t="str">
        <f>IF(Table1[[#This Row],[ActualWinner]]="", "", IF(Table1[[#This Row],[AwayTeam]]=Table1[[#This Row],[ActualWinner]],Table1[[#This Row],[HomeTeam]],Table1[[#This Row],[AwayTeam]]))</f>
        <v/>
      </c>
      <c r="U525" s="64">
        <f>Table1[[#This Row],[ActualAwayScore]]-Table1[[#This Row],[PredictedAwayScore]]</f>
        <v>0</v>
      </c>
      <c r="V525" s="64">
        <f>Table1[[#This Row],[ActualHomeScore]]-Table1[[#This Row],[PredictedHomeScore]]</f>
        <v>0</v>
      </c>
      <c r="W525" s="64">
        <f>(0.8*IF(Table1[[#This Row],[CorrectWinnerPrediction]]=1, 1, 0))+(0.1*IF(Table1[[#This Row],[CorrectAwayScorePrediction]]=1, 1, 0))+(0.1*IF(Table1[[#This Row],[CorrectHomeScorePrediction]]=1, 1, 0))</f>
        <v>0</v>
      </c>
      <c r="X52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25" s="64">
        <f>SUMIF(Table1[GameDate], Table1[[#This Row],[GameDate]], Table1[AwayGameGoalDiff])</f>
        <v>0</v>
      </c>
      <c r="AA525" s="64">
        <f>SUMIF(Table1[GameDate], Table1[[#This Row],[GameDate]], Table1[HomeGameGoalDiff])</f>
        <v>0</v>
      </c>
      <c r="AB525" s="64">
        <f>IF(ISBLANK(Table1[[#This Row],[ActualResult]]), 0, 1)</f>
        <v>0</v>
      </c>
      <c r="AC525" s="64">
        <f>IF(ISBLANK(Table1[[#This Row],[ActualResult]]), 0, IF(Table1[[#This Row],[ActualWinner]]=Table1[[#This Row],[PredictedWinner]], 1, 0))</f>
        <v>0</v>
      </c>
      <c r="AD52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2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25" s="64">
        <f>IF(AND(Table1[[#This Row],[GameIsOver]]=1,Table1[[#This Row],[ActualAwayScore]]=0), 1,0)</f>
        <v>0</v>
      </c>
      <c r="AG525" s="64">
        <f>IF(AND(Table1[[#This Row],[GameIsOver]]=1,Table1[[#This Row],[ActualHomeScore]]=0), 1,0)</f>
        <v>0</v>
      </c>
      <c r="AH525" s="64">
        <f>IF(Table1[[#This Row],[GameIsOver]]=0,0,IF(Table1[[#This Row],[ActualWinner]]=Table1[[#This Row],[AwayTeam]], 1, 0))</f>
        <v>0</v>
      </c>
      <c r="AI525" s="64">
        <f>IF(Table1[[#This Row],[GameIsOver]]=0,0,IF(Table1[[#This Row],[ActualWinner]]=Table1[[#This Row],[HomeTeam]], 1, 0))</f>
        <v>0</v>
      </c>
      <c r="AJ525" s="64">
        <f>IF(INDEX(Standings!$A$2:$C$33,MATCH(Table1[[#This Row],[AwayTeam]],Standings!$A$2:$A$33,0),2)=INDEX(Standings!$A$2:$C$33,MATCH(Table1[[#This Row],[HomeTeam]],Standings!$A$2:$A$33,0),2),1,0)</f>
        <v>0</v>
      </c>
      <c r="AK525" s="64">
        <f>IF(INDEX(Standings!$A$2:$C$33,MATCH(Table1[[#This Row],[AwayTeam]],Standings!$A$2:$A$33,0),3)=INDEX(Standings!$A$2:$C$33,MATCH(Table1[[#This Row],[HomeTeam]],Standings!$A$2:$A$33,0),3),1,0)</f>
        <v>0</v>
      </c>
      <c r="AL525" s="64">
        <f>IF(Table1[[#This Row],[InterConf]]=1,IF(Table1[[#This Row],[InterDiv]]=0, 1, 0), 0)</f>
        <v>0</v>
      </c>
      <c r="AM525" s="64">
        <f>IF(INDEX(Standings!$A$2:$C$33,MATCH(Table1[[#This Row],[AwayTeam]],Standings!$A$2:$A$33,0),2)&lt;&gt;INDEX(Standings!$A$2:$C$33,MATCH(Table1[[#This Row],[HomeTeam]],Standings!$A$2:$A$33,0),2),1,0)</f>
        <v>1</v>
      </c>
      <c r="AN525" s="64" t="str">
        <f>INDEX(Table2[AWAY_RECORD], MATCH(Table1[[#This Row],[AwayTeam]],Table2[Team], 0), 0)</f>
        <v>0-1-0</v>
      </c>
      <c r="AO525" s="64" t="str">
        <f>INDEX(Records!$B$2:$AG$33, MATCH(Table1[[#This Row],[AwayTeam]],Records!$A$2:$A$33, 0), MATCH(Table1[[#This Row],[HomeTeam]],Records!$A$2:$A$33, 0))</f>
        <v>0-0-0</v>
      </c>
      <c r="AP525" s="64" t="str">
        <f>INDEX(Table2[HOME_RECORD], MATCH(Table1[[#This Row],[HomeTeam]],Table2[Team], 0), 0)</f>
        <v>0-0-1</v>
      </c>
      <c r="AQ525" s="64" t="str">
        <f>INDEX(Records!$B$2:$AG$33, MATCH(Table1[[#This Row],[HomeTeam]],Records!$A$2:$A$33, 0), MATCH(Table1[[#This Row],[AwayTeam]],Records!$A$2:$A$33, 0))</f>
        <v>0-0-0</v>
      </c>
    </row>
    <row r="526" spans="1:43" x14ac:dyDescent="0.25">
      <c r="A526" s="1"/>
      <c r="D526" t="s">
        <v>784</v>
      </c>
      <c r="E526" t="s">
        <v>298</v>
      </c>
      <c r="F526" t="s">
        <v>785</v>
      </c>
      <c r="G526" t="s">
        <v>23</v>
      </c>
      <c r="H526" t="s">
        <v>46</v>
      </c>
      <c r="L52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2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26" s="1"/>
      <c r="T526" s="64" t="str">
        <f>IF(Table1[[#This Row],[ActualWinner]]="", "", IF(Table1[[#This Row],[AwayTeam]]=Table1[[#This Row],[ActualWinner]],Table1[[#This Row],[HomeTeam]],Table1[[#This Row],[AwayTeam]]))</f>
        <v/>
      </c>
      <c r="U526" s="64">
        <f>Table1[[#This Row],[ActualAwayScore]]-Table1[[#This Row],[PredictedAwayScore]]</f>
        <v>0</v>
      </c>
      <c r="V526" s="64">
        <f>Table1[[#This Row],[ActualHomeScore]]-Table1[[#This Row],[PredictedHomeScore]]</f>
        <v>0</v>
      </c>
      <c r="W526" s="64">
        <f>(0.8*IF(Table1[[#This Row],[CorrectWinnerPrediction]]=1, 1, 0))+(0.1*IF(Table1[[#This Row],[CorrectAwayScorePrediction]]=1, 1, 0))+(0.1*IF(Table1[[#This Row],[CorrectHomeScorePrediction]]=1, 1, 0))</f>
        <v>0</v>
      </c>
      <c r="X52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26" s="64">
        <f>SUMIF(Table1[GameDate], Table1[[#This Row],[GameDate]], Table1[AwayGameGoalDiff])</f>
        <v>0</v>
      </c>
      <c r="AA526" s="64">
        <f>SUMIF(Table1[GameDate], Table1[[#This Row],[GameDate]], Table1[HomeGameGoalDiff])</f>
        <v>0</v>
      </c>
      <c r="AB526" s="64">
        <f>IF(ISBLANK(Table1[[#This Row],[ActualResult]]), 0, 1)</f>
        <v>0</v>
      </c>
      <c r="AC526" s="64">
        <f>IF(ISBLANK(Table1[[#This Row],[ActualResult]]), 0, IF(Table1[[#This Row],[ActualWinner]]=Table1[[#This Row],[PredictedWinner]], 1, 0))</f>
        <v>0</v>
      </c>
      <c r="AD52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2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26" s="64">
        <f>IF(AND(Table1[[#This Row],[GameIsOver]]=1,Table1[[#This Row],[ActualAwayScore]]=0), 1,0)</f>
        <v>0</v>
      </c>
      <c r="AG526" s="64">
        <f>IF(AND(Table1[[#This Row],[GameIsOver]]=1,Table1[[#This Row],[ActualHomeScore]]=0), 1,0)</f>
        <v>0</v>
      </c>
      <c r="AH526" s="64">
        <f>IF(Table1[[#This Row],[GameIsOver]]=0,0,IF(Table1[[#This Row],[ActualWinner]]=Table1[[#This Row],[AwayTeam]], 1, 0))</f>
        <v>0</v>
      </c>
      <c r="AI526" s="64">
        <f>IF(Table1[[#This Row],[GameIsOver]]=0,0,IF(Table1[[#This Row],[ActualWinner]]=Table1[[#This Row],[HomeTeam]], 1, 0))</f>
        <v>0</v>
      </c>
      <c r="AJ526" s="64">
        <f>IF(INDEX(Standings!$A$2:$C$33,MATCH(Table1[[#This Row],[AwayTeam]],Standings!$A$2:$A$33,0),2)=INDEX(Standings!$A$2:$C$33,MATCH(Table1[[#This Row],[HomeTeam]],Standings!$A$2:$A$33,0),2),1,0)</f>
        <v>1</v>
      </c>
      <c r="AK526" s="64">
        <f>IF(INDEX(Standings!$A$2:$C$33,MATCH(Table1[[#This Row],[AwayTeam]],Standings!$A$2:$A$33,0),3)=INDEX(Standings!$A$2:$C$33,MATCH(Table1[[#This Row],[HomeTeam]],Standings!$A$2:$A$33,0),3),1,0)</f>
        <v>1</v>
      </c>
      <c r="AL526" s="64">
        <f>IF(Table1[[#This Row],[InterConf]]=1,IF(Table1[[#This Row],[InterDiv]]=0, 1, 0), 0)</f>
        <v>0</v>
      </c>
      <c r="AM526" s="64">
        <f>IF(INDEX(Standings!$A$2:$C$33,MATCH(Table1[[#This Row],[AwayTeam]],Standings!$A$2:$A$33,0),2)&lt;&gt;INDEX(Standings!$A$2:$C$33,MATCH(Table1[[#This Row],[HomeTeam]],Standings!$A$2:$A$33,0),2),1,0)</f>
        <v>0</v>
      </c>
      <c r="AN526" s="64" t="str">
        <f>INDEX(Table2[AWAY_RECORD], MATCH(Table1[[#This Row],[AwayTeam]],Table2[Team], 0), 0)</f>
        <v>0-0-1</v>
      </c>
      <c r="AO526" s="64" t="str">
        <f>INDEX(Records!$B$2:$AG$33, MATCH(Table1[[#This Row],[AwayTeam]],Records!$A$2:$A$33, 0), MATCH(Table1[[#This Row],[HomeTeam]],Records!$A$2:$A$33, 0))</f>
        <v>0-0-0</v>
      </c>
      <c r="AP526" s="64" t="str">
        <f>INDEX(Table2[HOME_RECORD], MATCH(Table1[[#This Row],[HomeTeam]],Table2[Team], 0), 0)</f>
        <v>0-0-0</v>
      </c>
      <c r="AQ526" s="64" t="str">
        <f>INDEX(Records!$B$2:$AG$33, MATCH(Table1[[#This Row],[HomeTeam]],Records!$A$2:$A$33, 0), MATCH(Table1[[#This Row],[AwayTeam]],Records!$A$2:$A$33, 0))</f>
        <v>0-0-0</v>
      </c>
    </row>
    <row r="527" spans="1:43" x14ac:dyDescent="0.25">
      <c r="A527" s="1"/>
      <c r="D527" t="s">
        <v>784</v>
      </c>
      <c r="E527" t="s">
        <v>298</v>
      </c>
      <c r="F527" t="s">
        <v>786</v>
      </c>
      <c r="G527" t="s">
        <v>48</v>
      </c>
      <c r="H527" t="s">
        <v>56</v>
      </c>
      <c r="L52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2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27" s="1"/>
      <c r="T527" s="64" t="str">
        <f>IF(Table1[[#This Row],[ActualWinner]]="", "", IF(Table1[[#This Row],[AwayTeam]]=Table1[[#This Row],[ActualWinner]],Table1[[#This Row],[HomeTeam]],Table1[[#This Row],[AwayTeam]]))</f>
        <v/>
      </c>
      <c r="U527" s="64">
        <f>Table1[[#This Row],[ActualAwayScore]]-Table1[[#This Row],[PredictedAwayScore]]</f>
        <v>0</v>
      </c>
      <c r="V527" s="64">
        <f>Table1[[#This Row],[ActualHomeScore]]-Table1[[#This Row],[PredictedHomeScore]]</f>
        <v>0</v>
      </c>
      <c r="W527" s="64">
        <f>(0.8*IF(Table1[[#This Row],[CorrectWinnerPrediction]]=1, 1, 0))+(0.1*IF(Table1[[#This Row],[CorrectAwayScorePrediction]]=1, 1, 0))+(0.1*IF(Table1[[#This Row],[CorrectHomeScorePrediction]]=1, 1, 0))</f>
        <v>0</v>
      </c>
      <c r="X52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27" s="64">
        <f>SUMIF(Table1[GameDate], Table1[[#This Row],[GameDate]], Table1[AwayGameGoalDiff])</f>
        <v>0</v>
      </c>
      <c r="AA527" s="64">
        <f>SUMIF(Table1[GameDate], Table1[[#This Row],[GameDate]], Table1[HomeGameGoalDiff])</f>
        <v>0</v>
      </c>
      <c r="AB527" s="64">
        <f>IF(ISBLANK(Table1[[#This Row],[ActualResult]]), 0, 1)</f>
        <v>0</v>
      </c>
      <c r="AC527" s="64">
        <f>IF(ISBLANK(Table1[[#This Row],[ActualResult]]), 0, IF(Table1[[#This Row],[ActualWinner]]=Table1[[#This Row],[PredictedWinner]], 1, 0))</f>
        <v>0</v>
      </c>
      <c r="AD52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2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27" s="64">
        <f>IF(AND(Table1[[#This Row],[GameIsOver]]=1,Table1[[#This Row],[ActualAwayScore]]=0), 1,0)</f>
        <v>0</v>
      </c>
      <c r="AG527" s="64">
        <f>IF(AND(Table1[[#This Row],[GameIsOver]]=1,Table1[[#This Row],[ActualHomeScore]]=0), 1,0)</f>
        <v>0</v>
      </c>
      <c r="AH527" s="64">
        <f>IF(Table1[[#This Row],[GameIsOver]]=0,0,IF(Table1[[#This Row],[ActualWinner]]=Table1[[#This Row],[AwayTeam]], 1, 0))</f>
        <v>0</v>
      </c>
      <c r="AI527" s="64">
        <f>IF(Table1[[#This Row],[GameIsOver]]=0,0,IF(Table1[[#This Row],[ActualWinner]]=Table1[[#This Row],[HomeTeam]], 1, 0))</f>
        <v>0</v>
      </c>
      <c r="AJ527" s="64">
        <f>IF(INDEX(Standings!$A$2:$C$33,MATCH(Table1[[#This Row],[AwayTeam]],Standings!$A$2:$A$33,0),2)=INDEX(Standings!$A$2:$C$33,MATCH(Table1[[#This Row],[HomeTeam]],Standings!$A$2:$A$33,0),2),1,0)</f>
        <v>1</v>
      </c>
      <c r="AK527" s="64">
        <f>IF(INDEX(Standings!$A$2:$C$33,MATCH(Table1[[#This Row],[AwayTeam]],Standings!$A$2:$A$33,0),3)=INDEX(Standings!$A$2:$C$33,MATCH(Table1[[#This Row],[HomeTeam]],Standings!$A$2:$A$33,0),3),1,0)</f>
        <v>0</v>
      </c>
      <c r="AL527" s="64">
        <f>IF(Table1[[#This Row],[InterConf]]=1,IF(Table1[[#This Row],[InterDiv]]=0, 1, 0), 0)</f>
        <v>1</v>
      </c>
      <c r="AM527" s="64">
        <f>IF(INDEX(Standings!$A$2:$C$33,MATCH(Table1[[#This Row],[AwayTeam]],Standings!$A$2:$A$33,0),2)&lt;&gt;INDEX(Standings!$A$2:$C$33,MATCH(Table1[[#This Row],[HomeTeam]],Standings!$A$2:$A$33,0),2),1,0)</f>
        <v>0</v>
      </c>
      <c r="AN527" s="64" t="str">
        <f>INDEX(Table2[AWAY_RECORD], MATCH(Table1[[#This Row],[AwayTeam]],Table2[Team], 0), 0)</f>
        <v>0-0-0</v>
      </c>
      <c r="AO527" s="64" t="str">
        <f>INDEX(Records!$B$2:$AG$33, MATCH(Table1[[#This Row],[AwayTeam]],Records!$A$2:$A$33, 0), MATCH(Table1[[#This Row],[HomeTeam]],Records!$A$2:$A$33, 0))</f>
        <v>0-0-0</v>
      </c>
      <c r="AP527" s="64" t="str">
        <f>INDEX(Table2[HOME_RECORD], MATCH(Table1[[#This Row],[HomeTeam]],Table2[Team], 0), 0)</f>
        <v>0-0-0</v>
      </c>
      <c r="AQ527" s="64" t="str">
        <f>INDEX(Records!$B$2:$AG$33, MATCH(Table1[[#This Row],[HomeTeam]],Records!$A$2:$A$33, 0), MATCH(Table1[[#This Row],[AwayTeam]],Records!$A$2:$A$33, 0))</f>
        <v>0-0-0</v>
      </c>
    </row>
    <row r="528" spans="1:43" x14ac:dyDescent="0.25">
      <c r="A528" s="1"/>
      <c r="D528" t="s">
        <v>784</v>
      </c>
      <c r="E528" t="s">
        <v>432</v>
      </c>
      <c r="F528" t="s">
        <v>787</v>
      </c>
      <c r="G528" t="s">
        <v>37</v>
      </c>
      <c r="H528" t="s">
        <v>40</v>
      </c>
      <c r="L52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2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28" s="1"/>
      <c r="T528" s="64" t="str">
        <f>IF(Table1[[#This Row],[ActualWinner]]="", "", IF(Table1[[#This Row],[AwayTeam]]=Table1[[#This Row],[ActualWinner]],Table1[[#This Row],[HomeTeam]],Table1[[#This Row],[AwayTeam]]))</f>
        <v/>
      </c>
      <c r="U528" s="64">
        <f>Table1[[#This Row],[ActualAwayScore]]-Table1[[#This Row],[PredictedAwayScore]]</f>
        <v>0</v>
      </c>
      <c r="V528" s="64">
        <f>Table1[[#This Row],[ActualHomeScore]]-Table1[[#This Row],[PredictedHomeScore]]</f>
        <v>0</v>
      </c>
      <c r="W528" s="64">
        <f>(0.8*IF(Table1[[#This Row],[CorrectWinnerPrediction]]=1, 1, 0))+(0.1*IF(Table1[[#This Row],[CorrectAwayScorePrediction]]=1, 1, 0))+(0.1*IF(Table1[[#This Row],[CorrectHomeScorePrediction]]=1, 1, 0))</f>
        <v>0</v>
      </c>
      <c r="X52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28" s="64">
        <f>SUMIF(Table1[GameDate], Table1[[#This Row],[GameDate]], Table1[AwayGameGoalDiff])</f>
        <v>0</v>
      </c>
      <c r="AA528" s="64">
        <f>SUMIF(Table1[GameDate], Table1[[#This Row],[GameDate]], Table1[HomeGameGoalDiff])</f>
        <v>0</v>
      </c>
      <c r="AB528" s="64">
        <f>IF(ISBLANK(Table1[[#This Row],[ActualResult]]), 0, 1)</f>
        <v>0</v>
      </c>
      <c r="AC528" s="64">
        <f>IF(ISBLANK(Table1[[#This Row],[ActualResult]]), 0, IF(Table1[[#This Row],[ActualWinner]]=Table1[[#This Row],[PredictedWinner]], 1, 0))</f>
        <v>0</v>
      </c>
      <c r="AD52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2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28" s="64">
        <f>IF(AND(Table1[[#This Row],[GameIsOver]]=1,Table1[[#This Row],[ActualAwayScore]]=0), 1,0)</f>
        <v>0</v>
      </c>
      <c r="AG528" s="64">
        <f>IF(AND(Table1[[#This Row],[GameIsOver]]=1,Table1[[#This Row],[ActualHomeScore]]=0), 1,0)</f>
        <v>0</v>
      </c>
      <c r="AH528" s="64">
        <f>IF(Table1[[#This Row],[GameIsOver]]=0,0,IF(Table1[[#This Row],[ActualWinner]]=Table1[[#This Row],[AwayTeam]], 1, 0))</f>
        <v>0</v>
      </c>
      <c r="AI528" s="64">
        <f>IF(Table1[[#This Row],[GameIsOver]]=0,0,IF(Table1[[#This Row],[ActualWinner]]=Table1[[#This Row],[HomeTeam]], 1, 0))</f>
        <v>0</v>
      </c>
      <c r="AJ528" s="64">
        <f>IF(INDEX(Standings!$A$2:$C$33,MATCH(Table1[[#This Row],[AwayTeam]],Standings!$A$2:$A$33,0),2)=INDEX(Standings!$A$2:$C$33,MATCH(Table1[[#This Row],[HomeTeam]],Standings!$A$2:$A$33,0),2),1,0)</f>
        <v>1</v>
      </c>
      <c r="AK528" s="64">
        <f>IF(INDEX(Standings!$A$2:$C$33,MATCH(Table1[[#This Row],[AwayTeam]],Standings!$A$2:$A$33,0),3)=INDEX(Standings!$A$2:$C$33,MATCH(Table1[[#This Row],[HomeTeam]],Standings!$A$2:$A$33,0),3),1,0)</f>
        <v>0</v>
      </c>
      <c r="AL528" s="64">
        <f>IF(Table1[[#This Row],[InterConf]]=1,IF(Table1[[#This Row],[InterDiv]]=0, 1, 0), 0)</f>
        <v>1</v>
      </c>
      <c r="AM528" s="64">
        <f>IF(INDEX(Standings!$A$2:$C$33,MATCH(Table1[[#This Row],[AwayTeam]],Standings!$A$2:$A$33,0),2)&lt;&gt;INDEX(Standings!$A$2:$C$33,MATCH(Table1[[#This Row],[HomeTeam]],Standings!$A$2:$A$33,0),2),1,0)</f>
        <v>0</v>
      </c>
      <c r="AN528" s="64" t="str">
        <f>INDEX(Table2[AWAY_RECORD], MATCH(Table1[[#This Row],[AwayTeam]],Table2[Team], 0), 0)</f>
        <v>0-0-1</v>
      </c>
      <c r="AO528" s="64" t="str">
        <f>INDEX(Records!$B$2:$AG$33, MATCH(Table1[[#This Row],[AwayTeam]],Records!$A$2:$A$33, 0), MATCH(Table1[[#This Row],[HomeTeam]],Records!$A$2:$A$33, 0))</f>
        <v>0-0-0</v>
      </c>
      <c r="AP528" s="64" t="str">
        <f>INDEX(Table2[HOME_RECORD], MATCH(Table1[[#This Row],[HomeTeam]],Table2[Team], 0), 0)</f>
        <v>1-1-0</v>
      </c>
      <c r="AQ528" s="64" t="str">
        <f>INDEX(Records!$B$2:$AG$33, MATCH(Table1[[#This Row],[HomeTeam]],Records!$A$2:$A$33, 0), MATCH(Table1[[#This Row],[AwayTeam]],Records!$A$2:$A$33, 0))</f>
        <v>0-0-0</v>
      </c>
    </row>
    <row r="529" spans="1:43" x14ac:dyDescent="0.25">
      <c r="A529" s="1"/>
      <c r="D529" t="s">
        <v>784</v>
      </c>
      <c r="E529" t="s">
        <v>160</v>
      </c>
      <c r="F529" t="s">
        <v>788</v>
      </c>
      <c r="G529" t="s">
        <v>42</v>
      </c>
      <c r="H529" t="s">
        <v>51</v>
      </c>
      <c r="L52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2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29" s="1"/>
      <c r="T529" s="64" t="str">
        <f>IF(Table1[[#This Row],[ActualWinner]]="", "", IF(Table1[[#This Row],[AwayTeam]]=Table1[[#This Row],[ActualWinner]],Table1[[#This Row],[HomeTeam]],Table1[[#This Row],[AwayTeam]]))</f>
        <v/>
      </c>
      <c r="U529" s="64">
        <f>Table1[[#This Row],[ActualAwayScore]]-Table1[[#This Row],[PredictedAwayScore]]</f>
        <v>0</v>
      </c>
      <c r="V529" s="64">
        <f>Table1[[#This Row],[ActualHomeScore]]-Table1[[#This Row],[PredictedHomeScore]]</f>
        <v>0</v>
      </c>
      <c r="W529" s="64">
        <f>(0.8*IF(Table1[[#This Row],[CorrectWinnerPrediction]]=1, 1, 0))+(0.1*IF(Table1[[#This Row],[CorrectAwayScorePrediction]]=1, 1, 0))+(0.1*IF(Table1[[#This Row],[CorrectHomeScorePrediction]]=1, 1, 0))</f>
        <v>0</v>
      </c>
      <c r="X52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29" s="64">
        <f>SUMIF(Table1[GameDate], Table1[[#This Row],[GameDate]], Table1[AwayGameGoalDiff])</f>
        <v>0</v>
      </c>
      <c r="AA529" s="64">
        <f>SUMIF(Table1[GameDate], Table1[[#This Row],[GameDate]], Table1[HomeGameGoalDiff])</f>
        <v>0</v>
      </c>
      <c r="AB529" s="64">
        <f>IF(ISBLANK(Table1[[#This Row],[ActualResult]]), 0, 1)</f>
        <v>0</v>
      </c>
      <c r="AC529" s="64">
        <f>IF(ISBLANK(Table1[[#This Row],[ActualResult]]), 0, IF(Table1[[#This Row],[ActualWinner]]=Table1[[#This Row],[PredictedWinner]], 1, 0))</f>
        <v>0</v>
      </c>
      <c r="AD52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2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29" s="64">
        <f>IF(AND(Table1[[#This Row],[GameIsOver]]=1,Table1[[#This Row],[ActualAwayScore]]=0), 1,0)</f>
        <v>0</v>
      </c>
      <c r="AG529" s="64">
        <f>IF(AND(Table1[[#This Row],[GameIsOver]]=1,Table1[[#This Row],[ActualHomeScore]]=0), 1,0)</f>
        <v>0</v>
      </c>
      <c r="AH529" s="64">
        <f>IF(Table1[[#This Row],[GameIsOver]]=0,0,IF(Table1[[#This Row],[ActualWinner]]=Table1[[#This Row],[AwayTeam]], 1, 0))</f>
        <v>0</v>
      </c>
      <c r="AI529" s="64">
        <f>IF(Table1[[#This Row],[GameIsOver]]=0,0,IF(Table1[[#This Row],[ActualWinner]]=Table1[[#This Row],[HomeTeam]], 1, 0))</f>
        <v>0</v>
      </c>
      <c r="AJ529" s="64">
        <f>IF(INDEX(Standings!$A$2:$C$33,MATCH(Table1[[#This Row],[AwayTeam]],Standings!$A$2:$A$33,0),2)=INDEX(Standings!$A$2:$C$33,MATCH(Table1[[#This Row],[HomeTeam]],Standings!$A$2:$A$33,0),2),1,0)</f>
        <v>1</v>
      </c>
      <c r="AK529" s="64">
        <f>IF(INDEX(Standings!$A$2:$C$33,MATCH(Table1[[#This Row],[AwayTeam]],Standings!$A$2:$A$33,0),3)=INDEX(Standings!$A$2:$C$33,MATCH(Table1[[#This Row],[HomeTeam]],Standings!$A$2:$A$33,0),3),1,0)</f>
        <v>1</v>
      </c>
      <c r="AL529" s="64">
        <f>IF(Table1[[#This Row],[InterConf]]=1,IF(Table1[[#This Row],[InterDiv]]=0, 1, 0), 0)</f>
        <v>0</v>
      </c>
      <c r="AM529" s="64">
        <f>IF(INDEX(Standings!$A$2:$C$33,MATCH(Table1[[#This Row],[AwayTeam]],Standings!$A$2:$A$33,0),2)&lt;&gt;INDEX(Standings!$A$2:$C$33,MATCH(Table1[[#This Row],[HomeTeam]],Standings!$A$2:$A$33,0),2),1,0)</f>
        <v>0</v>
      </c>
      <c r="AN529" s="64" t="str">
        <f>INDEX(Table2[AWAY_RECORD], MATCH(Table1[[#This Row],[AwayTeam]],Table2[Team], 0), 0)</f>
        <v>0-0-0</v>
      </c>
      <c r="AO529" s="64" t="str">
        <f>INDEX(Records!$B$2:$AG$33, MATCH(Table1[[#This Row],[AwayTeam]],Records!$A$2:$A$33, 0), MATCH(Table1[[#This Row],[HomeTeam]],Records!$A$2:$A$33, 0))</f>
        <v>0-0-0</v>
      </c>
      <c r="AP529" s="64" t="str">
        <f>INDEX(Table2[HOME_RECORD], MATCH(Table1[[#This Row],[HomeTeam]],Table2[Team], 0), 0)</f>
        <v>1-0-0</v>
      </c>
      <c r="AQ529" s="64" t="str">
        <f>INDEX(Records!$B$2:$AG$33, MATCH(Table1[[#This Row],[HomeTeam]],Records!$A$2:$A$33, 0), MATCH(Table1[[#This Row],[AwayTeam]],Records!$A$2:$A$33, 0))</f>
        <v>0-0-0</v>
      </c>
    </row>
    <row r="530" spans="1:43" x14ac:dyDescent="0.25">
      <c r="A530" s="1"/>
      <c r="D530" t="s">
        <v>784</v>
      </c>
      <c r="E530" t="s">
        <v>162</v>
      </c>
      <c r="F530" t="s">
        <v>789</v>
      </c>
      <c r="G530" t="s">
        <v>36</v>
      </c>
      <c r="H530" t="s">
        <v>24</v>
      </c>
      <c r="L53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3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30" s="1"/>
      <c r="T530" s="64" t="str">
        <f>IF(Table1[[#This Row],[ActualWinner]]="", "", IF(Table1[[#This Row],[AwayTeam]]=Table1[[#This Row],[ActualWinner]],Table1[[#This Row],[HomeTeam]],Table1[[#This Row],[AwayTeam]]))</f>
        <v/>
      </c>
      <c r="U530" s="64">
        <f>Table1[[#This Row],[ActualAwayScore]]-Table1[[#This Row],[PredictedAwayScore]]</f>
        <v>0</v>
      </c>
      <c r="V530" s="64">
        <f>Table1[[#This Row],[ActualHomeScore]]-Table1[[#This Row],[PredictedHomeScore]]</f>
        <v>0</v>
      </c>
      <c r="W530" s="64">
        <f>(0.8*IF(Table1[[#This Row],[CorrectWinnerPrediction]]=1, 1, 0))+(0.1*IF(Table1[[#This Row],[CorrectAwayScorePrediction]]=1, 1, 0))+(0.1*IF(Table1[[#This Row],[CorrectHomeScorePrediction]]=1, 1, 0))</f>
        <v>0</v>
      </c>
      <c r="X53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30" s="64">
        <f>SUMIF(Table1[GameDate], Table1[[#This Row],[GameDate]], Table1[AwayGameGoalDiff])</f>
        <v>0</v>
      </c>
      <c r="AA530" s="64">
        <f>SUMIF(Table1[GameDate], Table1[[#This Row],[GameDate]], Table1[HomeGameGoalDiff])</f>
        <v>0</v>
      </c>
      <c r="AB530" s="64">
        <f>IF(ISBLANK(Table1[[#This Row],[ActualResult]]), 0, 1)</f>
        <v>0</v>
      </c>
      <c r="AC530" s="64">
        <f>IF(ISBLANK(Table1[[#This Row],[ActualResult]]), 0, IF(Table1[[#This Row],[ActualWinner]]=Table1[[#This Row],[PredictedWinner]], 1, 0))</f>
        <v>0</v>
      </c>
      <c r="AD53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3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30" s="64">
        <f>IF(AND(Table1[[#This Row],[GameIsOver]]=1,Table1[[#This Row],[ActualAwayScore]]=0), 1,0)</f>
        <v>0</v>
      </c>
      <c r="AG530" s="64">
        <f>IF(AND(Table1[[#This Row],[GameIsOver]]=1,Table1[[#This Row],[ActualHomeScore]]=0), 1,0)</f>
        <v>0</v>
      </c>
      <c r="AH530" s="64">
        <f>IF(Table1[[#This Row],[GameIsOver]]=0,0,IF(Table1[[#This Row],[ActualWinner]]=Table1[[#This Row],[AwayTeam]], 1, 0))</f>
        <v>0</v>
      </c>
      <c r="AI530" s="64">
        <f>IF(Table1[[#This Row],[GameIsOver]]=0,0,IF(Table1[[#This Row],[ActualWinner]]=Table1[[#This Row],[HomeTeam]], 1, 0))</f>
        <v>0</v>
      </c>
      <c r="AJ530" s="64">
        <f>IF(INDEX(Standings!$A$2:$C$33,MATCH(Table1[[#This Row],[AwayTeam]],Standings!$A$2:$A$33,0),2)=INDEX(Standings!$A$2:$C$33,MATCH(Table1[[#This Row],[HomeTeam]],Standings!$A$2:$A$33,0),2),1,0)</f>
        <v>0</v>
      </c>
      <c r="AK530" s="64">
        <f>IF(INDEX(Standings!$A$2:$C$33,MATCH(Table1[[#This Row],[AwayTeam]],Standings!$A$2:$A$33,0),3)=INDEX(Standings!$A$2:$C$33,MATCH(Table1[[#This Row],[HomeTeam]],Standings!$A$2:$A$33,0),3),1,0)</f>
        <v>0</v>
      </c>
      <c r="AL530" s="64">
        <f>IF(Table1[[#This Row],[InterConf]]=1,IF(Table1[[#This Row],[InterDiv]]=0, 1, 0), 0)</f>
        <v>0</v>
      </c>
      <c r="AM530" s="64">
        <f>IF(INDEX(Standings!$A$2:$C$33,MATCH(Table1[[#This Row],[AwayTeam]],Standings!$A$2:$A$33,0),2)&lt;&gt;INDEX(Standings!$A$2:$C$33,MATCH(Table1[[#This Row],[HomeTeam]],Standings!$A$2:$A$33,0),2),1,0)</f>
        <v>1</v>
      </c>
      <c r="AN530" s="64" t="str">
        <f>INDEX(Table2[AWAY_RECORD], MATCH(Table1[[#This Row],[AwayTeam]],Table2[Team], 0), 0)</f>
        <v>0-0-0</v>
      </c>
      <c r="AO530" s="64" t="str">
        <f>INDEX(Records!$B$2:$AG$33, MATCH(Table1[[#This Row],[AwayTeam]],Records!$A$2:$A$33, 0), MATCH(Table1[[#This Row],[HomeTeam]],Records!$A$2:$A$33, 0))</f>
        <v>0-0-0</v>
      </c>
      <c r="AP530" s="64" t="str">
        <f>INDEX(Table2[HOME_RECORD], MATCH(Table1[[#This Row],[HomeTeam]],Table2[Team], 0), 0)</f>
        <v>0-2-0</v>
      </c>
      <c r="AQ530" s="64" t="str">
        <f>INDEX(Records!$B$2:$AG$33, MATCH(Table1[[#This Row],[HomeTeam]],Records!$A$2:$A$33, 0), MATCH(Table1[[#This Row],[AwayTeam]],Records!$A$2:$A$33, 0))</f>
        <v>0-0-0</v>
      </c>
    </row>
    <row r="531" spans="1:43" x14ac:dyDescent="0.25">
      <c r="A531" s="1"/>
      <c r="D531" t="s">
        <v>784</v>
      </c>
      <c r="E531" t="s">
        <v>178</v>
      </c>
      <c r="F531" t="s">
        <v>790</v>
      </c>
      <c r="G531" t="s">
        <v>57</v>
      </c>
      <c r="H531" t="s">
        <v>61</v>
      </c>
      <c r="L53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3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31" s="1"/>
      <c r="T531" s="64" t="str">
        <f>IF(Table1[[#This Row],[ActualWinner]]="", "", IF(Table1[[#This Row],[AwayTeam]]=Table1[[#This Row],[ActualWinner]],Table1[[#This Row],[HomeTeam]],Table1[[#This Row],[AwayTeam]]))</f>
        <v/>
      </c>
      <c r="U531" s="64">
        <f>Table1[[#This Row],[ActualAwayScore]]-Table1[[#This Row],[PredictedAwayScore]]</f>
        <v>0</v>
      </c>
      <c r="V531" s="64">
        <f>Table1[[#This Row],[ActualHomeScore]]-Table1[[#This Row],[PredictedHomeScore]]</f>
        <v>0</v>
      </c>
      <c r="W531" s="64">
        <f>(0.8*IF(Table1[[#This Row],[CorrectWinnerPrediction]]=1, 1, 0))+(0.1*IF(Table1[[#This Row],[CorrectAwayScorePrediction]]=1, 1, 0))+(0.1*IF(Table1[[#This Row],[CorrectHomeScorePrediction]]=1, 1, 0))</f>
        <v>0</v>
      </c>
      <c r="X53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31" s="64">
        <f>SUMIF(Table1[GameDate], Table1[[#This Row],[GameDate]], Table1[AwayGameGoalDiff])</f>
        <v>0</v>
      </c>
      <c r="AA531" s="64">
        <f>SUMIF(Table1[GameDate], Table1[[#This Row],[GameDate]], Table1[HomeGameGoalDiff])</f>
        <v>0</v>
      </c>
      <c r="AB531" s="64">
        <f>IF(ISBLANK(Table1[[#This Row],[ActualResult]]), 0, 1)</f>
        <v>0</v>
      </c>
      <c r="AC531" s="64">
        <f>IF(ISBLANK(Table1[[#This Row],[ActualResult]]), 0, IF(Table1[[#This Row],[ActualWinner]]=Table1[[#This Row],[PredictedWinner]], 1, 0))</f>
        <v>0</v>
      </c>
      <c r="AD53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3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31" s="64">
        <f>IF(AND(Table1[[#This Row],[GameIsOver]]=1,Table1[[#This Row],[ActualAwayScore]]=0), 1,0)</f>
        <v>0</v>
      </c>
      <c r="AG531" s="64">
        <f>IF(AND(Table1[[#This Row],[GameIsOver]]=1,Table1[[#This Row],[ActualHomeScore]]=0), 1,0)</f>
        <v>0</v>
      </c>
      <c r="AH531" s="64">
        <f>IF(Table1[[#This Row],[GameIsOver]]=0,0,IF(Table1[[#This Row],[ActualWinner]]=Table1[[#This Row],[AwayTeam]], 1, 0))</f>
        <v>0</v>
      </c>
      <c r="AI531" s="64">
        <f>IF(Table1[[#This Row],[GameIsOver]]=0,0,IF(Table1[[#This Row],[ActualWinner]]=Table1[[#This Row],[HomeTeam]], 1, 0))</f>
        <v>0</v>
      </c>
      <c r="AJ531" s="64">
        <f>IF(INDEX(Standings!$A$2:$C$33,MATCH(Table1[[#This Row],[AwayTeam]],Standings!$A$2:$A$33,0),2)=INDEX(Standings!$A$2:$C$33,MATCH(Table1[[#This Row],[HomeTeam]],Standings!$A$2:$A$33,0),2),1,0)</f>
        <v>0</v>
      </c>
      <c r="AK531" s="64">
        <f>IF(INDEX(Standings!$A$2:$C$33,MATCH(Table1[[#This Row],[AwayTeam]],Standings!$A$2:$A$33,0),3)=INDEX(Standings!$A$2:$C$33,MATCH(Table1[[#This Row],[HomeTeam]],Standings!$A$2:$A$33,0),3),1,0)</f>
        <v>0</v>
      </c>
      <c r="AL531" s="64">
        <f>IF(Table1[[#This Row],[InterConf]]=1,IF(Table1[[#This Row],[InterDiv]]=0, 1, 0), 0)</f>
        <v>0</v>
      </c>
      <c r="AM531" s="64">
        <f>IF(INDEX(Standings!$A$2:$C$33,MATCH(Table1[[#This Row],[AwayTeam]],Standings!$A$2:$A$33,0),2)&lt;&gt;INDEX(Standings!$A$2:$C$33,MATCH(Table1[[#This Row],[HomeTeam]],Standings!$A$2:$A$33,0),2),1,0)</f>
        <v>1</v>
      </c>
      <c r="AN531" s="64" t="str">
        <f>INDEX(Table2[AWAY_RECORD], MATCH(Table1[[#This Row],[AwayTeam]],Table2[Team], 0), 0)</f>
        <v>0-1-0</v>
      </c>
      <c r="AO531" s="64" t="str">
        <f>INDEX(Records!$B$2:$AG$33, MATCH(Table1[[#This Row],[AwayTeam]],Records!$A$2:$A$33, 0), MATCH(Table1[[#This Row],[HomeTeam]],Records!$A$2:$A$33, 0))</f>
        <v>0-0-0</v>
      </c>
      <c r="AP531" s="64" t="str">
        <f>INDEX(Table2[HOME_RECORD], MATCH(Table1[[#This Row],[HomeTeam]],Table2[Team], 0), 0)</f>
        <v>0-0-0</v>
      </c>
      <c r="AQ531" s="64" t="str">
        <f>INDEX(Records!$B$2:$AG$33, MATCH(Table1[[#This Row],[HomeTeam]],Records!$A$2:$A$33, 0), MATCH(Table1[[#This Row],[AwayTeam]],Records!$A$2:$A$33, 0))</f>
        <v>0-0-0</v>
      </c>
    </row>
    <row r="532" spans="1:43" x14ac:dyDescent="0.25">
      <c r="A532" s="1"/>
      <c r="D532" t="s">
        <v>791</v>
      </c>
      <c r="E532" t="s">
        <v>386</v>
      </c>
      <c r="F532" t="s">
        <v>792</v>
      </c>
      <c r="G532" t="s">
        <v>38</v>
      </c>
      <c r="H532" t="s">
        <v>52</v>
      </c>
      <c r="L53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3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32" s="1"/>
      <c r="T532" s="64" t="str">
        <f>IF(Table1[[#This Row],[ActualWinner]]="", "", IF(Table1[[#This Row],[AwayTeam]]=Table1[[#This Row],[ActualWinner]],Table1[[#This Row],[HomeTeam]],Table1[[#This Row],[AwayTeam]]))</f>
        <v/>
      </c>
      <c r="U532" s="64">
        <f>Table1[[#This Row],[ActualAwayScore]]-Table1[[#This Row],[PredictedAwayScore]]</f>
        <v>0</v>
      </c>
      <c r="V532" s="64">
        <f>Table1[[#This Row],[ActualHomeScore]]-Table1[[#This Row],[PredictedHomeScore]]</f>
        <v>0</v>
      </c>
      <c r="W532" s="64">
        <f>(0.8*IF(Table1[[#This Row],[CorrectWinnerPrediction]]=1, 1, 0))+(0.1*IF(Table1[[#This Row],[CorrectAwayScorePrediction]]=1, 1, 0))+(0.1*IF(Table1[[#This Row],[CorrectHomeScorePrediction]]=1, 1, 0))</f>
        <v>0</v>
      </c>
      <c r="X53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32" s="64">
        <f>SUMIF(Table1[GameDate], Table1[[#This Row],[GameDate]], Table1[AwayGameGoalDiff])</f>
        <v>0</v>
      </c>
      <c r="AA532" s="64">
        <f>SUMIF(Table1[GameDate], Table1[[#This Row],[GameDate]], Table1[HomeGameGoalDiff])</f>
        <v>0</v>
      </c>
      <c r="AB532" s="64">
        <f>IF(ISBLANK(Table1[[#This Row],[ActualResult]]), 0, 1)</f>
        <v>0</v>
      </c>
      <c r="AC532" s="64">
        <f>IF(ISBLANK(Table1[[#This Row],[ActualResult]]), 0, IF(Table1[[#This Row],[ActualWinner]]=Table1[[#This Row],[PredictedWinner]], 1, 0))</f>
        <v>0</v>
      </c>
      <c r="AD53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3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32" s="64">
        <f>IF(AND(Table1[[#This Row],[GameIsOver]]=1,Table1[[#This Row],[ActualAwayScore]]=0), 1,0)</f>
        <v>0</v>
      </c>
      <c r="AG532" s="64">
        <f>IF(AND(Table1[[#This Row],[GameIsOver]]=1,Table1[[#This Row],[ActualHomeScore]]=0), 1,0)</f>
        <v>0</v>
      </c>
      <c r="AH532" s="64">
        <f>IF(Table1[[#This Row],[GameIsOver]]=0,0,IF(Table1[[#This Row],[ActualWinner]]=Table1[[#This Row],[AwayTeam]], 1, 0))</f>
        <v>0</v>
      </c>
      <c r="AI532" s="64">
        <f>IF(Table1[[#This Row],[GameIsOver]]=0,0,IF(Table1[[#This Row],[ActualWinner]]=Table1[[#This Row],[HomeTeam]], 1, 0))</f>
        <v>0</v>
      </c>
      <c r="AJ532" s="64">
        <f>IF(INDEX(Standings!$A$2:$C$33,MATCH(Table1[[#This Row],[AwayTeam]],Standings!$A$2:$A$33,0),2)=INDEX(Standings!$A$2:$C$33,MATCH(Table1[[#This Row],[HomeTeam]],Standings!$A$2:$A$33,0),2),1,0)</f>
        <v>1</v>
      </c>
      <c r="AK532" s="64">
        <f>IF(INDEX(Standings!$A$2:$C$33,MATCH(Table1[[#This Row],[AwayTeam]],Standings!$A$2:$A$33,0),3)=INDEX(Standings!$A$2:$C$33,MATCH(Table1[[#This Row],[HomeTeam]],Standings!$A$2:$A$33,0),3),1,0)</f>
        <v>1</v>
      </c>
      <c r="AL532" s="64">
        <f>IF(Table1[[#This Row],[InterConf]]=1,IF(Table1[[#This Row],[InterDiv]]=0, 1, 0), 0)</f>
        <v>0</v>
      </c>
      <c r="AM532" s="64">
        <f>IF(INDEX(Standings!$A$2:$C$33,MATCH(Table1[[#This Row],[AwayTeam]],Standings!$A$2:$A$33,0),2)&lt;&gt;INDEX(Standings!$A$2:$C$33,MATCH(Table1[[#This Row],[HomeTeam]],Standings!$A$2:$A$33,0),2),1,0)</f>
        <v>0</v>
      </c>
      <c r="AN532" s="64" t="str">
        <f>INDEX(Table2[AWAY_RECORD], MATCH(Table1[[#This Row],[AwayTeam]],Table2[Team], 0), 0)</f>
        <v>0-0-1</v>
      </c>
      <c r="AO532" s="64" t="str">
        <f>INDEX(Records!$B$2:$AG$33, MATCH(Table1[[#This Row],[AwayTeam]],Records!$A$2:$A$33, 0), MATCH(Table1[[#This Row],[HomeTeam]],Records!$A$2:$A$33, 0))</f>
        <v>0-0-0</v>
      </c>
      <c r="AP532" s="64" t="str">
        <f>INDEX(Table2[HOME_RECORD], MATCH(Table1[[#This Row],[HomeTeam]],Table2[Team], 0), 0)</f>
        <v>0-0-0</v>
      </c>
      <c r="AQ532" s="64" t="str">
        <f>INDEX(Records!$B$2:$AG$33, MATCH(Table1[[#This Row],[HomeTeam]],Records!$A$2:$A$33, 0), MATCH(Table1[[#This Row],[AwayTeam]],Records!$A$2:$A$33, 0))</f>
        <v>0-0-0</v>
      </c>
    </row>
    <row r="533" spans="1:43" x14ac:dyDescent="0.25">
      <c r="A533" s="1"/>
      <c r="D533" t="s">
        <v>791</v>
      </c>
      <c r="E533" t="s">
        <v>162</v>
      </c>
      <c r="F533" t="s">
        <v>793</v>
      </c>
      <c r="G533" t="s">
        <v>17</v>
      </c>
      <c r="H533" t="s">
        <v>53</v>
      </c>
      <c r="L53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3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33" s="1"/>
      <c r="T533" s="64" t="str">
        <f>IF(Table1[[#This Row],[ActualWinner]]="", "", IF(Table1[[#This Row],[AwayTeam]]=Table1[[#This Row],[ActualWinner]],Table1[[#This Row],[HomeTeam]],Table1[[#This Row],[AwayTeam]]))</f>
        <v/>
      </c>
      <c r="U533" s="64">
        <f>Table1[[#This Row],[ActualAwayScore]]-Table1[[#This Row],[PredictedAwayScore]]</f>
        <v>0</v>
      </c>
      <c r="V533" s="64">
        <f>Table1[[#This Row],[ActualHomeScore]]-Table1[[#This Row],[PredictedHomeScore]]</f>
        <v>0</v>
      </c>
      <c r="W533" s="64">
        <f>(0.8*IF(Table1[[#This Row],[CorrectWinnerPrediction]]=1, 1, 0))+(0.1*IF(Table1[[#This Row],[CorrectAwayScorePrediction]]=1, 1, 0))+(0.1*IF(Table1[[#This Row],[CorrectHomeScorePrediction]]=1, 1, 0))</f>
        <v>0</v>
      </c>
      <c r="X53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33" s="64">
        <f>SUMIF(Table1[GameDate], Table1[[#This Row],[GameDate]], Table1[AwayGameGoalDiff])</f>
        <v>0</v>
      </c>
      <c r="AA533" s="64">
        <f>SUMIF(Table1[GameDate], Table1[[#This Row],[GameDate]], Table1[HomeGameGoalDiff])</f>
        <v>0</v>
      </c>
      <c r="AB533" s="64">
        <f>IF(ISBLANK(Table1[[#This Row],[ActualResult]]), 0, 1)</f>
        <v>0</v>
      </c>
      <c r="AC533" s="64">
        <f>IF(ISBLANK(Table1[[#This Row],[ActualResult]]), 0, IF(Table1[[#This Row],[ActualWinner]]=Table1[[#This Row],[PredictedWinner]], 1, 0))</f>
        <v>0</v>
      </c>
      <c r="AD53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3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33" s="64">
        <f>IF(AND(Table1[[#This Row],[GameIsOver]]=1,Table1[[#This Row],[ActualAwayScore]]=0), 1,0)</f>
        <v>0</v>
      </c>
      <c r="AG533" s="64">
        <f>IF(AND(Table1[[#This Row],[GameIsOver]]=1,Table1[[#This Row],[ActualHomeScore]]=0), 1,0)</f>
        <v>0</v>
      </c>
      <c r="AH533" s="64">
        <f>IF(Table1[[#This Row],[GameIsOver]]=0,0,IF(Table1[[#This Row],[ActualWinner]]=Table1[[#This Row],[AwayTeam]], 1, 0))</f>
        <v>0</v>
      </c>
      <c r="AI533" s="64">
        <f>IF(Table1[[#This Row],[GameIsOver]]=0,0,IF(Table1[[#This Row],[ActualWinner]]=Table1[[#This Row],[HomeTeam]], 1, 0))</f>
        <v>0</v>
      </c>
      <c r="AJ533" s="64">
        <f>IF(INDEX(Standings!$A$2:$C$33,MATCH(Table1[[#This Row],[AwayTeam]],Standings!$A$2:$A$33,0),2)=INDEX(Standings!$A$2:$C$33,MATCH(Table1[[#This Row],[HomeTeam]],Standings!$A$2:$A$33,0),2),1,0)</f>
        <v>1</v>
      </c>
      <c r="AK533" s="64">
        <f>IF(INDEX(Standings!$A$2:$C$33,MATCH(Table1[[#This Row],[AwayTeam]],Standings!$A$2:$A$33,0),3)=INDEX(Standings!$A$2:$C$33,MATCH(Table1[[#This Row],[HomeTeam]],Standings!$A$2:$A$33,0),3),1,0)</f>
        <v>0</v>
      </c>
      <c r="AL533" s="64">
        <f>IF(Table1[[#This Row],[InterConf]]=1,IF(Table1[[#This Row],[InterDiv]]=0, 1, 0), 0)</f>
        <v>1</v>
      </c>
      <c r="AM533" s="64">
        <f>IF(INDEX(Standings!$A$2:$C$33,MATCH(Table1[[#This Row],[AwayTeam]],Standings!$A$2:$A$33,0),2)&lt;&gt;INDEX(Standings!$A$2:$C$33,MATCH(Table1[[#This Row],[HomeTeam]],Standings!$A$2:$A$33,0),2),1,0)</f>
        <v>0</v>
      </c>
      <c r="AN533" s="64" t="str">
        <f>INDEX(Table2[AWAY_RECORD], MATCH(Table1[[#This Row],[AwayTeam]],Table2[Team], 0), 0)</f>
        <v>2-0-0</v>
      </c>
      <c r="AO533" s="64" t="str">
        <f>INDEX(Records!$B$2:$AG$33, MATCH(Table1[[#This Row],[AwayTeam]],Records!$A$2:$A$33, 0), MATCH(Table1[[#This Row],[HomeTeam]],Records!$A$2:$A$33, 0))</f>
        <v>0-0-0</v>
      </c>
      <c r="AP533" s="64" t="str">
        <f>INDEX(Table2[HOME_RECORD], MATCH(Table1[[#This Row],[HomeTeam]],Table2[Team], 0), 0)</f>
        <v>1-0-0</v>
      </c>
      <c r="AQ533" s="64" t="str">
        <f>INDEX(Records!$B$2:$AG$33, MATCH(Table1[[#This Row],[HomeTeam]],Records!$A$2:$A$33, 0), MATCH(Table1[[#This Row],[AwayTeam]],Records!$A$2:$A$33, 0))</f>
        <v>0-0-0</v>
      </c>
    </row>
    <row r="534" spans="1:43" x14ac:dyDescent="0.25">
      <c r="A534" s="1"/>
      <c r="D534" t="s">
        <v>791</v>
      </c>
      <c r="E534" t="s">
        <v>289</v>
      </c>
      <c r="F534" t="s">
        <v>794</v>
      </c>
      <c r="G534" t="s">
        <v>45</v>
      </c>
      <c r="H534" t="s">
        <v>47</v>
      </c>
      <c r="L53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3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34" s="1"/>
      <c r="T534" s="64" t="str">
        <f>IF(Table1[[#This Row],[ActualWinner]]="", "", IF(Table1[[#This Row],[AwayTeam]]=Table1[[#This Row],[ActualWinner]],Table1[[#This Row],[HomeTeam]],Table1[[#This Row],[AwayTeam]]))</f>
        <v/>
      </c>
      <c r="U534" s="64">
        <f>Table1[[#This Row],[ActualAwayScore]]-Table1[[#This Row],[PredictedAwayScore]]</f>
        <v>0</v>
      </c>
      <c r="V534" s="64">
        <f>Table1[[#This Row],[ActualHomeScore]]-Table1[[#This Row],[PredictedHomeScore]]</f>
        <v>0</v>
      </c>
      <c r="W534" s="64">
        <f>(0.8*IF(Table1[[#This Row],[CorrectWinnerPrediction]]=1, 1, 0))+(0.1*IF(Table1[[#This Row],[CorrectAwayScorePrediction]]=1, 1, 0))+(0.1*IF(Table1[[#This Row],[CorrectHomeScorePrediction]]=1, 1, 0))</f>
        <v>0</v>
      </c>
      <c r="X53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34" s="64">
        <f>SUMIF(Table1[GameDate], Table1[[#This Row],[GameDate]], Table1[AwayGameGoalDiff])</f>
        <v>0</v>
      </c>
      <c r="AA534" s="64">
        <f>SUMIF(Table1[GameDate], Table1[[#This Row],[GameDate]], Table1[HomeGameGoalDiff])</f>
        <v>0</v>
      </c>
      <c r="AB534" s="64">
        <f>IF(ISBLANK(Table1[[#This Row],[ActualResult]]), 0, 1)</f>
        <v>0</v>
      </c>
      <c r="AC534" s="64">
        <f>IF(ISBLANK(Table1[[#This Row],[ActualResult]]), 0, IF(Table1[[#This Row],[ActualWinner]]=Table1[[#This Row],[PredictedWinner]], 1, 0))</f>
        <v>0</v>
      </c>
      <c r="AD53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3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34" s="64">
        <f>IF(AND(Table1[[#This Row],[GameIsOver]]=1,Table1[[#This Row],[ActualAwayScore]]=0), 1,0)</f>
        <v>0</v>
      </c>
      <c r="AG534" s="64">
        <f>IF(AND(Table1[[#This Row],[GameIsOver]]=1,Table1[[#This Row],[ActualHomeScore]]=0), 1,0)</f>
        <v>0</v>
      </c>
      <c r="AH534" s="64">
        <f>IF(Table1[[#This Row],[GameIsOver]]=0,0,IF(Table1[[#This Row],[ActualWinner]]=Table1[[#This Row],[AwayTeam]], 1, 0))</f>
        <v>0</v>
      </c>
      <c r="AI534" s="64">
        <f>IF(Table1[[#This Row],[GameIsOver]]=0,0,IF(Table1[[#This Row],[ActualWinner]]=Table1[[#This Row],[HomeTeam]], 1, 0))</f>
        <v>0</v>
      </c>
      <c r="AJ534" s="64">
        <f>IF(INDEX(Standings!$A$2:$C$33,MATCH(Table1[[#This Row],[AwayTeam]],Standings!$A$2:$A$33,0),2)=INDEX(Standings!$A$2:$C$33,MATCH(Table1[[#This Row],[HomeTeam]],Standings!$A$2:$A$33,0),2),1,0)</f>
        <v>0</v>
      </c>
      <c r="AK534" s="64">
        <f>IF(INDEX(Standings!$A$2:$C$33,MATCH(Table1[[#This Row],[AwayTeam]],Standings!$A$2:$A$33,0),3)=INDEX(Standings!$A$2:$C$33,MATCH(Table1[[#This Row],[HomeTeam]],Standings!$A$2:$A$33,0),3),1,0)</f>
        <v>0</v>
      </c>
      <c r="AL534" s="64">
        <f>IF(Table1[[#This Row],[InterConf]]=1,IF(Table1[[#This Row],[InterDiv]]=0, 1, 0), 0)</f>
        <v>0</v>
      </c>
      <c r="AM534" s="64">
        <f>IF(INDEX(Standings!$A$2:$C$33,MATCH(Table1[[#This Row],[AwayTeam]],Standings!$A$2:$A$33,0),2)&lt;&gt;INDEX(Standings!$A$2:$C$33,MATCH(Table1[[#This Row],[HomeTeam]],Standings!$A$2:$A$33,0),2),1,0)</f>
        <v>1</v>
      </c>
      <c r="AN534" s="64" t="str">
        <f>INDEX(Table2[AWAY_RECORD], MATCH(Table1[[#This Row],[AwayTeam]],Table2[Team], 0), 0)</f>
        <v>1-0-0</v>
      </c>
      <c r="AO534" s="64" t="str">
        <f>INDEX(Records!$B$2:$AG$33, MATCH(Table1[[#This Row],[AwayTeam]],Records!$A$2:$A$33, 0), MATCH(Table1[[#This Row],[HomeTeam]],Records!$A$2:$A$33, 0))</f>
        <v>0-0-0</v>
      </c>
      <c r="AP534" s="64" t="str">
        <f>INDEX(Table2[HOME_RECORD], MATCH(Table1[[#This Row],[HomeTeam]],Table2[Team], 0), 0)</f>
        <v>0-0-0</v>
      </c>
      <c r="AQ534" s="64" t="str">
        <f>INDEX(Records!$B$2:$AG$33, MATCH(Table1[[#This Row],[HomeTeam]],Records!$A$2:$A$33, 0), MATCH(Table1[[#This Row],[AwayTeam]],Records!$A$2:$A$33, 0))</f>
        <v>0-0-0</v>
      </c>
    </row>
    <row r="535" spans="1:43" x14ac:dyDescent="0.25">
      <c r="A535" s="1"/>
      <c r="D535" t="s">
        <v>791</v>
      </c>
      <c r="E535" t="s">
        <v>164</v>
      </c>
      <c r="F535" t="s">
        <v>795</v>
      </c>
      <c r="G535" t="s">
        <v>58</v>
      </c>
      <c r="H535" t="s">
        <v>41</v>
      </c>
      <c r="L53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3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35" s="1"/>
      <c r="T535" s="64" t="str">
        <f>IF(Table1[[#This Row],[ActualWinner]]="", "", IF(Table1[[#This Row],[AwayTeam]]=Table1[[#This Row],[ActualWinner]],Table1[[#This Row],[HomeTeam]],Table1[[#This Row],[AwayTeam]]))</f>
        <v/>
      </c>
      <c r="U535" s="64">
        <f>Table1[[#This Row],[ActualAwayScore]]-Table1[[#This Row],[PredictedAwayScore]]</f>
        <v>0</v>
      </c>
      <c r="V535" s="64">
        <f>Table1[[#This Row],[ActualHomeScore]]-Table1[[#This Row],[PredictedHomeScore]]</f>
        <v>0</v>
      </c>
      <c r="W535" s="64">
        <f>(0.8*IF(Table1[[#This Row],[CorrectWinnerPrediction]]=1, 1, 0))+(0.1*IF(Table1[[#This Row],[CorrectAwayScorePrediction]]=1, 1, 0))+(0.1*IF(Table1[[#This Row],[CorrectHomeScorePrediction]]=1, 1, 0))</f>
        <v>0</v>
      </c>
      <c r="X53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35" s="64">
        <f>SUMIF(Table1[GameDate], Table1[[#This Row],[GameDate]], Table1[AwayGameGoalDiff])</f>
        <v>0</v>
      </c>
      <c r="AA535" s="64">
        <f>SUMIF(Table1[GameDate], Table1[[#This Row],[GameDate]], Table1[HomeGameGoalDiff])</f>
        <v>0</v>
      </c>
      <c r="AB535" s="64">
        <f>IF(ISBLANK(Table1[[#This Row],[ActualResult]]), 0, 1)</f>
        <v>0</v>
      </c>
      <c r="AC535" s="64">
        <f>IF(ISBLANK(Table1[[#This Row],[ActualResult]]), 0, IF(Table1[[#This Row],[ActualWinner]]=Table1[[#This Row],[PredictedWinner]], 1, 0))</f>
        <v>0</v>
      </c>
      <c r="AD53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3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35" s="64">
        <f>IF(AND(Table1[[#This Row],[GameIsOver]]=1,Table1[[#This Row],[ActualAwayScore]]=0), 1,0)</f>
        <v>0</v>
      </c>
      <c r="AG535" s="64">
        <f>IF(AND(Table1[[#This Row],[GameIsOver]]=1,Table1[[#This Row],[ActualHomeScore]]=0), 1,0)</f>
        <v>0</v>
      </c>
      <c r="AH535" s="64">
        <f>IF(Table1[[#This Row],[GameIsOver]]=0,0,IF(Table1[[#This Row],[ActualWinner]]=Table1[[#This Row],[AwayTeam]], 1, 0))</f>
        <v>0</v>
      </c>
      <c r="AI535" s="64">
        <f>IF(Table1[[#This Row],[GameIsOver]]=0,0,IF(Table1[[#This Row],[ActualWinner]]=Table1[[#This Row],[HomeTeam]], 1, 0))</f>
        <v>0</v>
      </c>
      <c r="AJ535" s="64">
        <f>IF(INDEX(Standings!$A$2:$C$33,MATCH(Table1[[#This Row],[AwayTeam]],Standings!$A$2:$A$33,0),2)=INDEX(Standings!$A$2:$C$33,MATCH(Table1[[#This Row],[HomeTeam]],Standings!$A$2:$A$33,0),2),1,0)</f>
        <v>1</v>
      </c>
      <c r="AK535" s="64">
        <f>IF(INDEX(Standings!$A$2:$C$33,MATCH(Table1[[#This Row],[AwayTeam]],Standings!$A$2:$A$33,0),3)=INDEX(Standings!$A$2:$C$33,MATCH(Table1[[#This Row],[HomeTeam]],Standings!$A$2:$A$33,0),3),1,0)</f>
        <v>1</v>
      </c>
      <c r="AL535" s="64">
        <f>IF(Table1[[#This Row],[InterConf]]=1,IF(Table1[[#This Row],[InterDiv]]=0, 1, 0), 0)</f>
        <v>0</v>
      </c>
      <c r="AM535" s="64">
        <f>IF(INDEX(Standings!$A$2:$C$33,MATCH(Table1[[#This Row],[AwayTeam]],Standings!$A$2:$A$33,0),2)&lt;&gt;INDEX(Standings!$A$2:$C$33,MATCH(Table1[[#This Row],[HomeTeam]],Standings!$A$2:$A$33,0),2),1,0)</f>
        <v>0</v>
      </c>
      <c r="AN535" s="64" t="str">
        <f>INDEX(Table2[AWAY_RECORD], MATCH(Table1[[#This Row],[AwayTeam]],Table2[Team], 0), 0)</f>
        <v>0-0-0</v>
      </c>
      <c r="AO535" s="64" t="str">
        <f>INDEX(Records!$B$2:$AG$33, MATCH(Table1[[#This Row],[AwayTeam]],Records!$A$2:$A$33, 0), MATCH(Table1[[#This Row],[HomeTeam]],Records!$A$2:$A$33, 0))</f>
        <v>0-0-0</v>
      </c>
      <c r="AP535" s="64" t="str">
        <f>INDEX(Table2[HOME_RECORD], MATCH(Table1[[#This Row],[HomeTeam]],Table2[Team], 0), 0)</f>
        <v>0-0-1</v>
      </c>
      <c r="AQ535" s="64" t="str">
        <f>INDEX(Records!$B$2:$AG$33, MATCH(Table1[[#This Row],[HomeTeam]],Records!$A$2:$A$33, 0), MATCH(Table1[[#This Row],[AwayTeam]],Records!$A$2:$A$33, 0))</f>
        <v>0-0-0</v>
      </c>
    </row>
    <row r="536" spans="1:43" x14ac:dyDescent="0.25">
      <c r="A536" s="1"/>
      <c r="D536" t="s">
        <v>796</v>
      </c>
      <c r="E536" t="s">
        <v>298</v>
      </c>
      <c r="F536" t="s">
        <v>797</v>
      </c>
      <c r="G536" t="s">
        <v>23</v>
      </c>
      <c r="H536" t="s">
        <v>55</v>
      </c>
      <c r="L53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3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36" s="1"/>
      <c r="T536" s="64" t="str">
        <f>IF(Table1[[#This Row],[ActualWinner]]="", "", IF(Table1[[#This Row],[AwayTeam]]=Table1[[#This Row],[ActualWinner]],Table1[[#This Row],[HomeTeam]],Table1[[#This Row],[AwayTeam]]))</f>
        <v/>
      </c>
      <c r="U536" s="64">
        <f>Table1[[#This Row],[ActualAwayScore]]-Table1[[#This Row],[PredictedAwayScore]]</f>
        <v>0</v>
      </c>
      <c r="V536" s="64">
        <f>Table1[[#This Row],[ActualHomeScore]]-Table1[[#This Row],[PredictedHomeScore]]</f>
        <v>0</v>
      </c>
      <c r="W536" s="64">
        <f>(0.8*IF(Table1[[#This Row],[CorrectWinnerPrediction]]=1, 1, 0))+(0.1*IF(Table1[[#This Row],[CorrectAwayScorePrediction]]=1, 1, 0))+(0.1*IF(Table1[[#This Row],[CorrectHomeScorePrediction]]=1, 1, 0))</f>
        <v>0</v>
      </c>
      <c r="X53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36" s="64">
        <f>SUMIF(Table1[GameDate], Table1[[#This Row],[GameDate]], Table1[AwayGameGoalDiff])</f>
        <v>0</v>
      </c>
      <c r="AA536" s="64">
        <f>SUMIF(Table1[GameDate], Table1[[#This Row],[GameDate]], Table1[HomeGameGoalDiff])</f>
        <v>0</v>
      </c>
      <c r="AB536" s="64">
        <f>IF(ISBLANK(Table1[[#This Row],[ActualResult]]), 0, 1)</f>
        <v>0</v>
      </c>
      <c r="AC536" s="64">
        <f>IF(ISBLANK(Table1[[#This Row],[ActualResult]]), 0, IF(Table1[[#This Row],[ActualWinner]]=Table1[[#This Row],[PredictedWinner]], 1, 0))</f>
        <v>0</v>
      </c>
      <c r="AD53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3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36" s="64">
        <f>IF(AND(Table1[[#This Row],[GameIsOver]]=1,Table1[[#This Row],[ActualAwayScore]]=0), 1,0)</f>
        <v>0</v>
      </c>
      <c r="AG536" s="64">
        <f>IF(AND(Table1[[#This Row],[GameIsOver]]=1,Table1[[#This Row],[ActualHomeScore]]=0), 1,0)</f>
        <v>0</v>
      </c>
      <c r="AH536" s="64">
        <f>IF(Table1[[#This Row],[GameIsOver]]=0,0,IF(Table1[[#This Row],[ActualWinner]]=Table1[[#This Row],[AwayTeam]], 1, 0))</f>
        <v>0</v>
      </c>
      <c r="AI536" s="64">
        <f>IF(Table1[[#This Row],[GameIsOver]]=0,0,IF(Table1[[#This Row],[ActualWinner]]=Table1[[#This Row],[HomeTeam]], 1, 0))</f>
        <v>0</v>
      </c>
      <c r="AJ536" s="64">
        <f>IF(INDEX(Standings!$A$2:$C$33,MATCH(Table1[[#This Row],[AwayTeam]],Standings!$A$2:$A$33,0),2)=INDEX(Standings!$A$2:$C$33,MATCH(Table1[[#This Row],[HomeTeam]],Standings!$A$2:$A$33,0),2),1,0)</f>
        <v>1</v>
      </c>
      <c r="AK536" s="64">
        <f>IF(INDEX(Standings!$A$2:$C$33,MATCH(Table1[[#This Row],[AwayTeam]],Standings!$A$2:$A$33,0),3)=INDEX(Standings!$A$2:$C$33,MATCH(Table1[[#This Row],[HomeTeam]],Standings!$A$2:$A$33,0),3),1,0)</f>
        <v>1</v>
      </c>
      <c r="AL536" s="64">
        <f>IF(Table1[[#This Row],[InterConf]]=1,IF(Table1[[#This Row],[InterDiv]]=0, 1, 0), 0)</f>
        <v>0</v>
      </c>
      <c r="AM536" s="64">
        <f>IF(INDEX(Standings!$A$2:$C$33,MATCH(Table1[[#This Row],[AwayTeam]],Standings!$A$2:$A$33,0),2)&lt;&gt;INDEX(Standings!$A$2:$C$33,MATCH(Table1[[#This Row],[HomeTeam]],Standings!$A$2:$A$33,0),2),1,0)</f>
        <v>0</v>
      </c>
      <c r="AN536" s="64" t="str">
        <f>INDEX(Table2[AWAY_RECORD], MATCH(Table1[[#This Row],[AwayTeam]],Table2[Team], 0), 0)</f>
        <v>0-0-1</v>
      </c>
      <c r="AO536" s="64" t="str">
        <f>INDEX(Records!$B$2:$AG$33, MATCH(Table1[[#This Row],[AwayTeam]],Records!$A$2:$A$33, 0), MATCH(Table1[[#This Row],[HomeTeam]],Records!$A$2:$A$33, 0))</f>
        <v>0-0-0</v>
      </c>
      <c r="AP536" s="64" t="str">
        <f>INDEX(Table2[HOME_RECORD], MATCH(Table1[[#This Row],[HomeTeam]],Table2[Team], 0), 0)</f>
        <v>0-1-0</v>
      </c>
      <c r="AQ536" s="64" t="str">
        <f>INDEX(Records!$B$2:$AG$33, MATCH(Table1[[#This Row],[HomeTeam]],Records!$A$2:$A$33, 0), MATCH(Table1[[#This Row],[AwayTeam]],Records!$A$2:$A$33, 0))</f>
        <v>0-0-0</v>
      </c>
    </row>
    <row r="537" spans="1:43" x14ac:dyDescent="0.25">
      <c r="A537" s="1"/>
      <c r="D537" t="s">
        <v>796</v>
      </c>
      <c r="E537" t="s">
        <v>162</v>
      </c>
      <c r="F537" t="s">
        <v>798</v>
      </c>
      <c r="G537" t="s">
        <v>17</v>
      </c>
      <c r="H537" t="s">
        <v>37</v>
      </c>
      <c r="L53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3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37" s="1"/>
      <c r="T537" s="64" t="str">
        <f>IF(Table1[[#This Row],[ActualWinner]]="", "", IF(Table1[[#This Row],[AwayTeam]]=Table1[[#This Row],[ActualWinner]],Table1[[#This Row],[HomeTeam]],Table1[[#This Row],[AwayTeam]]))</f>
        <v/>
      </c>
      <c r="U537" s="64">
        <f>Table1[[#This Row],[ActualAwayScore]]-Table1[[#This Row],[PredictedAwayScore]]</f>
        <v>0</v>
      </c>
      <c r="V537" s="64">
        <f>Table1[[#This Row],[ActualHomeScore]]-Table1[[#This Row],[PredictedHomeScore]]</f>
        <v>0</v>
      </c>
      <c r="W537" s="64">
        <f>(0.8*IF(Table1[[#This Row],[CorrectWinnerPrediction]]=1, 1, 0))+(0.1*IF(Table1[[#This Row],[CorrectAwayScorePrediction]]=1, 1, 0))+(0.1*IF(Table1[[#This Row],[CorrectHomeScorePrediction]]=1, 1, 0))</f>
        <v>0</v>
      </c>
      <c r="X53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37" s="64">
        <f>SUMIF(Table1[GameDate], Table1[[#This Row],[GameDate]], Table1[AwayGameGoalDiff])</f>
        <v>0</v>
      </c>
      <c r="AA537" s="64">
        <f>SUMIF(Table1[GameDate], Table1[[#This Row],[GameDate]], Table1[HomeGameGoalDiff])</f>
        <v>0</v>
      </c>
      <c r="AB537" s="64">
        <f>IF(ISBLANK(Table1[[#This Row],[ActualResult]]), 0, 1)</f>
        <v>0</v>
      </c>
      <c r="AC537" s="64">
        <f>IF(ISBLANK(Table1[[#This Row],[ActualResult]]), 0, IF(Table1[[#This Row],[ActualWinner]]=Table1[[#This Row],[PredictedWinner]], 1, 0))</f>
        <v>0</v>
      </c>
      <c r="AD53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3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37" s="64">
        <f>IF(AND(Table1[[#This Row],[GameIsOver]]=1,Table1[[#This Row],[ActualAwayScore]]=0), 1,0)</f>
        <v>0</v>
      </c>
      <c r="AG537" s="64">
        <f>IF(AND(Table1[[#This Row],[GameIsOver]]=1,Table1[[#This Row],[ActualHomeScore]]=0), 1,0)</f>
        <v>0</v>
      </c>
      <c r="AH537" s="64">
        <f>IF(Table1[[#This Row],[GameIsOver]]=0,0,IF(Table1[[#This Row],[ActualWinner]]=Table1[[#This Row],[AwayTeam]], 1, 0))</f>
        <v>0</v>
      </c>
      <c r="AI537" s="64">
        <f>IF(Table1[[#This Row],[GameIsOver]]=0,0,IF(Table1[[#This Row],[ActualWinner]]=Table1[[#This Row],[HomeTeam]], 1, 0))</f>
        <v>0</v>
      </c>
      <c r="AJ537" s="64">
        <f>IF(INDEX(Standings!$A$2:$C$33,MATCH(Table1[[#This Row],[AwayTeam]],Standings!$A$2:$A$33,0),2)=INDEX(Standings!$A$2:$C$33,MATCH(Table1[[#This Row],[HomeTeam]],Standings!$A$2:$A$33,0),2),1,0)</f>
        <v>1</v>
      </c>
      <c r="AK537" s="64">
        <f>IF(INDEX(Standings!$A$2:$C$33,MATCH(Table1[[#This Row],[AwayTeam]],Standings!$A$2:$A$33,0),3)=INDEX(Standings!$A$2:$C$33,MATCH(Table1[[#This Row],[HomeTeam]],Standings!$A$2:$A$33,0),3),1,0)</f>
        <v>1</v>
      </c>
      <c r="AL537" s="64">
        <f>IF(Table1[[#This Row],[InterConf]]=1,IF(Table1[[#This Row],[InterDiv]]=0, 1, 0), 0)</f>
        <v>0</v>
      </c>
      <c r="AM537" s="64">
        <f>IF(INDEX(Standings!$A$2:$C$33,MATCH(Table1[[#This Row],[AwayTeam]],Standings!$A$2:$A$33,0),2)&lt;&gt;INDEX(Standings!$A$2:$C$33,MATCH(Table1[[#This Row],[HomeTeam]],Standings!$A$2:$A$33,0),2),1,0)</f>
        <v>0</v>
      </c>
      <c r="AN537" s="64" t="str">
        <f>INDEX(Table2[AWAY_RECORD], MATCH(Table1[[#This Row],[AwayTeam]],Table2[Team], 0), 0)</f>
        <v>2-0-0</v>
      </c>
      <c r="AO537" s="64" t="str">
        <f>INDEX(Records!$B$2:$AG$33, MATCH(Table1[[#This Row],[AwayTeam]],Records!$A$2:$A$33, 0), MATCH(Table1[[#This Row],[HomeTeam]],Records!$A$2:$A$33, 0))</f>
        <v>0-0-0</v>
      </c>
      <c r="AP537" s="64" t="str">
        <f>INDEX(Table2[HOME_RECORD], MATCH(Table1[[#This Row],[HomeTeam]],Table2[Team], 0), 0)</f>
        <v>0-1-0</v>
      </c>
      <c r="AQ537" s="64" t="str">
        <f>INDEX(Records!$B$2:$AG$33, MATCH(Table1[[#This Row],[HomeTeam]],Records!$A$2:$A$33, 0), MATCH(Table1[[#This Row],[AwayTeam]],Records!$A$2:$A$33, 0))</f>
        <v>0-0-0</v>
      </c>
    </row>
    <row r="538" spans="1:43" x14ac:dyDescent="0.25">
      <c r="A538" s="1"/>
      <c r="D538" t="s">
        <v>796</v>
      </c>
      <c r="E538" t="s">
        <v>162</v>
      </c>
      <c r="F538" t="s">
        <v>799</v>
      </c>
      <c r="G538" t="s">
        <v>39</v>
      </c>
      <c r="H538" t="s">
        <v>38</v>
      </c>
      <c r="L53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3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38" s="1"/>
      <c r="T538" s="64" t="str">
        <f>IF(Table1[[#This Row],[ActualWinner]]="", "", IF(Table1[[#This Row],[AwayTeam]]=Table1[[#This Row],[ActualWinner]],Table1[[#This Row],[HomeTeam]],Table1[[#This Row],[AwayTeam]]))</f>
        <v/>
      </c>
      <c r="U538" s="64">
        <f>Table1[[#This Row],[ActualAwayScore]]-Table1[[#This Row],[PredictedAwayScore]]</f>
        <v>0</v>
      </c>
      <c r="V538" s="64">
        <f>Table1[[#This Row],[ActualHomeScore]]-Table1[[#This Row],[PredictedHomeScore]]</f>
        <v>0</v>
      </c>
      <c r="W538" s="64">
        <f>(0.8*IF(Table1[[#This Row],[CorrectWinnerPrediction]]=1, 1, 0))+(0.1*IF(Table1[[#This Row],[CorrectAwayScorePrediction]]=1, 1, 0))+(0.1*IF(Table1[[#This Row],[CorrectHomeScorePrediction]]=1, 1, 0))</f>
        <v>0</v>
      </c>
      <c r="X53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38" s="64">
        <f>SUMIF(Table1[GameDate], Table1[[#This Row],[GameDate]], Table1[AwayGameGoalDiff])</f>
        <v>0</v>
      </c>
      <c r="AA538" s="64">
        <f>SUMIF(Table1[GameDate], Table1[[#This Row],[GameDate]], Table1[HomeGameGoalDiff])</f>
        <v>0</v>
      </c>
      <c r="AB538" s="64">
        <f>IF(ISBLANK(Table1[[#This Row],[ActualResult]]), 0, 1)</f>
        <v>0</v>
      </c>
      <c r="AC538" s="64">
        <f>IF(ISBLANK(Table1[[#This Row],[ActualResult]]), 0, IF(Table1[[#This Row],[ActualWinner]]=Table1[[#This Row],[PredictedWinner]], 1, 0))</f>
        <v>0</v>
      </c>
      <c r="AD53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3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38" s="64">
        <f>IF(AND(Table1[[#This Row],[GameIsOver]]=1,Table1[[#This Row],[ActualAwayScore]]=0), 1,0)</f>
        <v>0</v>
      </c>
      <c r="AG538" s="64">
        <f>IF(AND(Table1[[#This Row],[GameIsOver]]=1,Table1[[#This Row],[ActualHomeScore]]=0), 1,0)</f>
        <v>0</v>
      </c>
      <c r="AH538" s="64">
        <f>IF(Table1[[#This Row],[GameIsOver]]=0,0,IF(Table1[[#This Row],[ActualWinner]]=Table1[[#This Row],[AwayTeam]], 1, 0))</f>
        <v>0</v>
      </c>
      <c r="AI538" s="64">
        <f>IF(Table1[[#This Row],[GameIsOver]]=0,0,IF(Table1[[#This Row],[ActualWinner]]=Table1[[#This Row],[HomeTeam]], 1, 0))</f>
        <v>0</v>
      </c>
      <c r="AJ538" s="64">
        <f>IF(INDEX(Standings!$A$2:$C$33,MATCH(Table1[[#This Row],[AwayTeam]],Standings!$A$2:$A$33,0),2)=INDEX(Standings!$A$2:$C$33,MATCH(Table1[[#This Row],[HomeTeam]],Standings!$A$2:$A$33,0),2),1,0)</f>
        <v>0</v>
      </c>
      <c r="AK538" s="64">
        <f>IF(INDEX(Standings!$A$2:$C$33,MATCH(Table1[[#This Row],[AwayTeam]],Standings!$A$2:$A$33,0),3)=INDEX(Standings!$A$2:$C$33,MATCH(Table1[[#This Row],[HomeTeam]],Standings!$A$2:$A$33,0),3),1,0)</f>
        <v>0</v>
      </c>
      <c r="AL538" s="64">
        <f>IF(Table1[[#This Row],[InterConf]]=1,IF(Table1[[#This Row],[InterDiv]]=0, 1, 0), 0)</f>
        <v>0</v>
      </c>
      <c r="AM538" s="64">
        <f>IF(INDEX(Standings!$A$2:$C$33,MATCH(Table1[[#This Row],[AwayTeam]],Standings!$A$2:$A$33,0),2)&lt;&gt;INDEX(Standings!$A$2:$C$33,MATCH(Table1[[#This Row],[HomeTeam]],Standings!$A$2:$A$33,0),2),1,0)</f>
        <v>1</v>
      </c>
      <c r="AN538" s="64" t="str">
        <f>INDEX(Table2[AWAY_RECORD], MATCH(Table1[[#This Row],[AwayTeam]],Table2[Team], 0), 0)</f>
        <v>0-0-0</v>
      </c>
      <c r="AO538" s="64" t="str">
        <f>INDEX(Records!$B$2:$AG$33, MATCH(Table1[[#This Row],[AwayTeam]],Records!$A$2:$A$33, 0), MATCH(Table1[[#This Row],[HomeTeam]],Records!$A$2:$A$33, 0))</f>
        <v>0-0-0</v>
      </c>
      <c r="AP538" s="64" t="str">
        <f>INDEX(Table2[HOME_RECORD], MATCH(Table1[[#This Row],[HomeTeam]],Table2[Team], 0), 0)</f>
        <v>0-0-0</v>
      </c>
      <c r="AQ538" s="64" t="str">
        <f>INDEX(Records!$B$2:$AG$33, MATCH(Table1[[#This Row],[HomeTeam]],Records!$A$2:$A$33, 0), MATCH(Table1[[#This Row],[AwayTeam]],Records!$A$2:$A$33, 0))</f>
        <v>0-0-0</v>
      </c>
    </row>
    <row r="539" spans="1:43" x14ac:dyDescent="0.25">
      <c r="A539" s="1"/>
      <c r="D539" t="s">
        <v>796</v>
      </c>
      <c r="E539" t="s">
        <v>162</v>
      </c>
      <c r="F539" t="s">
        <v>800</v>
      </c>
      <c r="G539" t="s">
        <v>46</v>
      </c>
      <c r="H539" t="s">
        <v>44</v>
      </c>
      <c r="L53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3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39" s="1"/>
      <c r="T539" s="64" t="str">
        <f>IF(Table1[[#This Row],[ActualWinner]]="", "", IF(Table1[[#This Row],[AwayTeam]]=Table1[[#This Row],[ActualWinner]],Table1[[#This Row],[HomeTeam]],Table1[[#This Row],[AwayTeam]]))</f>
        <v/>
      </c>
      <c r="U539" s="64">
        <f>Table1[[#This Row],[ActualAwayScore]]-Table1[[#This Row],[PredictedAwayScore]]</f>
        <v>0</v>
      </c>
      <c r="V539" s="64">
        <f>Table1[[#This Row],[ActualHomeScore]]-Table1[[#This Row],[PredictedHomeScore]]</f>
        <v>0</v>
      </c>
      <c r="W539" s="64">
        <f>(0.8*IF(Table1[[#This Row],[CorrectWinnerPrediction]]=1, 1, 0))+(0.1*IF(Table1[[#This Row],[CorrectAwayScorePrediction]]=1, 1, 0))+(0.1*IF(Table1[[#This Row],[CorrectHomeScorePrediction]]=1, 1, 0))</f>
        <v>0</v>
      </c>
      <c r="X53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39" s="64">
        <f>SUMIF(Table1[GameDate], Table1[[#This Row],[GameDate]], Table1[AwayGameGoalDiff])</f>
        <v>0</v>
      </c>
      <c r="AA539" s="64">
        <f>SUMIF(Table1[GameDate], Table1[[#This Row],[GameDate]], Table1[HomeGameGoalDiff])</f>
        <v>0</v>
      </c>
      <c r="AB539" s="64">
        <f>IF(ISBLANK(Table1[[#This Row],[ActualResult]]), 0, 1)</f>
        <v>0</v>
      </c>
      <c r="AC539" s="64">
        <f>IF(ISBLANK(Table1[[#This Row],[ActualResult]]), 0, IF(Table1[[#This Row],[ActualWinner]]=Table1[[#This Row],[PredictedWinner]], 1, 0))</f>
        <v>0</v>
      </c>
      <c r="AD53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3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39" s="64">
        <f>IF(AND(Table1[[#This Row],[GameIsOver]]=1,Table1[[#This Row],[ActualAwayScore]]=0), 1,0)</f>
        <v>0</v>
      </c>
      <c r="AG539" s="64">
        <f>IF(AND(Table1[[#This Row],[GameIsOver]]=1,Table1[[#This Row],[ActualHomeScore]]=0), 1,0)</f>
        <v>0</v>
      </c>
      <c r="AH539" s="64">
        <f>IF(Table1[[#This Row],[GameIsOver]]=0,0,IF(Table1[[#This Row],[ActualWinner]]=Table1[[#This Row],[AwayTeam]], 1, 0))</f>
        <v>0</v>
      </c>
      <c r="AI539" s="64">
        <f>IF(Table1[[#This Row],[GameIsOver]]=0,0,IF(Table1[[#This Row],[ActualWinner]]=Table1[[#This Row],[HomeTeam]], 1, 0))</f>
        <v>0</v>
      </c>
      <c r="AJ539" s="64">
        <f>IF(INDEX(Standings!$A$2:$C$33,MATCH(Table1[[#This Row],[AwayTeam]],Standings!$A$2:$A$33,0),2)=INDEX(Standings!$A$2:$C$33,MATCH(Table1[[#This Row],[HomeTeam]],Standings!$A$2:$A$33,0),2),1,0)</f>
        <v>0</v>
      </c>
      <c r="AK539" s="64">
        <f>IF(INDEX(Standings!$A$2:$C$33,MATCH(Table1[[#This Row],[AwayTeam]],Standings!$A$2:$A$33,0),3)=INDEX(Standings!$A$2:$C$33,MATCH(Table1[[#This Row],[HomeTeam]],Standings!$A$2:$A$33,0),3),1,0)</f>
        <v>0</v>
      </c>
      <c r="AL539" s="64">
        <f>IF(Table1[[#This Row],[InterConf]]=1,IF(Table1[[#This Row],[InterDiv]]=0, 1, 0), 0)</f>
        <v>0</v>
      </c>
      <c r="AM539" s="64">
        <f>IF(INDEX(Standings!$A$2:$C$33,MATCH(Table1[[#This Row],[AwayTeam]],Standings!$A$2:$A$33,0),2)&lt;&gt;INDEX(Standings!$A$2:$C$33,MATCH(Table1[[#This Row],[HomeTeam]],Standings!$A$2:$A$33,0),2),1,0)</f>
        <v>1</v>
      </c>
      <c r="AN539" s="64" t="str">
        <f>INDEX(Table2[AWAY_RECORD], MATCH(Table1[[#This Row],[AwayTeam]],Table2[Team], 0), 0)</f>
        <v>1-0-0</v>
      </c>
      <c r="AO539" s="64" t="str">
        <f>INDEX(Records!$B$2:$AG$33, MATCH(Table1[[#This Row],[AwayTeam]],Records!$A$2:$A$33, 0), MATCH(Table1[[#This Row],[HomeTeam]],Records!$A$2:$A$33, 0))</f>
        <v>0-0-0</v>
      </c>
      <c r="AP539" s="64" t="str">
        <f>INDEX(Table2[HOME_RECORD], MATCH(Table1[[#This Row],[HomeTeam]],Table2[Team], 0), 0)</f>
        <v>0-0-1</v>
      </c>
      <c r="AQ539" s="64" t="str">
        <f>INDEX(Records!$B$2:$AG$33, MATCH(Table1[[#This Row],[HomeTeam]],Records!$A$2:$A$33, 0), MATCH(Table1[[#This Row],[AwayTeam]],Records!$A$2:$A$33, 0))</f>
        <v>0-0-0</v>
      </c>
    </row>
    <row r="540" spans="1:43" x14ac:dyDescent="0.25">
      <c r="A540" s="1"/>
      <c r="D540" t="s">
        <v>796</v>
      </c>
      <c r="E540" t="s">
        <v>162</v>
      </c>
      <c r="F540" t="s">
        <v>801</v>
      </c>
      <c r="G540" t="s">
        <v>51</v>
      </c>
      <c r="H540" t="s">
        <v>49</v>
      </c>
      <c r="L54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4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40" s="1"/>
      <c r="T540" s="64" t="str">
        <f>IF(Table1[[#This Row],[ActualWinner]]="", "", IF(Table1[[#This Row],[AwayTeam]]=Table1[[#This Row],[ActualWinner]],Table1[[#This Row],[HomeTeam]],Table1[[#This Row],[AwayTeam]]))</f>
        <v/>
      </c>
      <c r="U540" s="64">
        <f>Table1[[#This Row],[ActualAwayScore]]-Table1[[#This Row],[PredictedAwayScore]]</f>
        <v>0</v>
      </c>
      <c r="V540" s="64">
        <f>Table1[[#This Row],[ActualHomeScore]]-Table1[[#This Row],[PredictedHomeScore]]</f>
        <v>0</v>
      </c>
      <c r="W540" s="64">
        <f>(0.8*IF(Table1[[#This Row],[CorrectWinnerPrediction]]=1, 1, 0))+(0.1*IF(Table1[[#This Row],[CorrectAwayScorePrediction]]=1, 1, 0))+(0.1*IF(Table1[[#This Row],[CorrectHomeScorePrediction]]=1, 1, 0))</f>
        <v>0</v>
      </c>
      <c r="X54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40" s="64">
        <f>SUMIF(Table1[GameDate], Table1[[#This Row],[GameDate]], Table1[AwayGameGoalDiff])</f>
        <v>0</v>
      </c>
      <c r="AA540" s="64">
        <f>SUMIF(Table1[GameDate], Table1[[#This Row],[GameDate]], Table1[HomeGameGoalDiff])</f>
        <v>0</v>
      </c>
      <c r="AB540" s="64">
        <f>IF(ISBLANK(Table1[[#This Row],[ActualResult]]), 0, 1)</f>
        <v>0</v>
      </c>
      <c r="AC540" s="64">
        <f>IF(ISBLANK(Table1[[#This Row],[ActualResult]]), 0, IF(Table1[[#This Row],[ActualWinner]]=Table1[[#This Row],[PredictedWinner]], 1, 0))</f>
        <v>0</v>
      </c>
      <c r="AD54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4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40" s="64">
        <f>IF(AND(Table1[[#This Row],[GameIsOver]]=1,Table1[[#This Row],[ActualAwayScore]]=0), 1,0)</f>
        <v>0</v>
      </c>
      <c r="AG540" s="64">
        <f>IF(AND(Table1[[#This Row],[GameIsOver]]=1,Table1[[#This Row],[ActualHomeScore]]=0), 1,0)</f>
        <v>0</v>
      </c>
      <c r="AH540" s="64">
        <f>IF(Table1[[#This Row],[GameIsOver]]=0,0,IF(Table1[[#This Row],[ActualWinner]]=Table1[[#This Row],[AwayTeam]], 1, 0))</f>
        <v>0</v>
      </c>
      <c r="AI540" s="64">
        <f>IF(Table1[[#This Row],[GameIsOver]]=0,0,IF(Table1[[#This Row],[ActualWinner]]=Table1[[#This Row],[HomeTeam]], 1, 0))</f>
        <v>0</v>
      </c>
      <c r="AJ540" s="64">
        <f>IF(INDEX(Standings!$A$2:$C$33,MATCH(Table1[[#This Row],[AwayTeam]],Standings!$A$2:$A$33,0),2)=INDEX(Standings!$A$2:$C$33,MATCH(Table1[[#This Row],[HomeTeam]],Standings!$A$2:$A$33,0),2),1,0)</f>
        <v>1</v>
      </c>
      <c r="AK540" s="64">
        <f>IF(INDEX(Standings!$A$2:$C$33,MATCH(Table1[[#This Row],[AwayTeam]],Standings!$A$2:$A$33,0),3)=INDEX(Standings!$A$2:$C$33,MATCH(Table1[[#This Row],[HomeTeam]],Standings!$A$2:$A$33,0),3),1,0)</f>
        <v>1</v>
      </c>
      <c r="AL540" s="64">
        <f>IF(Table1[[#This Row],[InterConf]]=1,IF(Table1[[#This Row],[InterDiv]]=0, 1, 0), 0)</f>
        <v>0</v>
      </c>
      <c r="AM540" s="64">
        <f>IF(INDEX(Standings!$A$2:$C$33,MATCH(Table1[[#This Row],[AwayTeam]],Standings!$A$2:$A$33,0),2)&lt;&gt;INDEX(Standings!$A$2:$C$33,MATCH(Table1[[#This Row],[HomeTeam]],Standings!$A$2:$A$33,0),2),1,0)</f>
        <v>0</v>
      </c>
      <c r="AN540" s="64" t="str">
        <f>INDEX(Table2[AWAY_RECORD], MATCH(Table1[[#This Row],[AwayTeam]],Table2[Team], 0), 0)</f>
        <v>2-0-0</v>
      </c>
      <c r="AO540" s="64" t="str">
        <f>INDEX(Records!$B$2:$AG$33, MATCH(Table1[[#This Row],[AwayTeam]],Records!$A$2:$A$33, 0), MATCH(Table1[[#This Row],[HomeTeam]],Records!$A$2:$A$33, 0))</f>
        <v>0-0-0</v>
      </c>
      <c r="AP540" s="64" t="str">
        <f>INDEX(Table2[HOME_RECORD], MATCH(Table1[[#This Row],[HomeTeam]],Table2[Team], 0), 0)</f>
        <v>1-0-0</v>
      </c>
      <c r="AQ540" s="64" t="str">
        <f>INDEX(Records!$B$2:$AG$33, MATCH(Table1[[#This Row],[HomeTeam]],Records!$A$2:$A$33, 0), MATCH(Table1[[#This Row],[AwayTeam]],Records!$A$2:$A$33, 0))</f>
        <v>0-0-0</v>
      </c>
    </row>
    <row r="541" spans="1:43" x14ac:dyDescent="0.25">
      <c r="A541" s="1"/>
      <c r="D541" t="s">
        <v>796</v>
      </c>
      <c r="E541" t="s">
        <v>162</v>
      </c>
      <c r="F541" t="s">
        <v>802</v>
      </c>
      <c r="G541" t="s">
        <v>57</v>
      </c>
      <c r="H541" t="s">
        <v>54</v>
      </c>
      <c r="L54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4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41" s="1"/>
      <c r="T541" s="64" t="str">
        <f>IF(Table1[[#This Row],[ActualWinner]]="", "", IF(Table1[[#This Row],[AwayTeam]]=Table1[[#This Row],[ActualWinner]],Table1[[#This Row],[HomeTeam]],Table1[[#This Row],[AwayTeam]]))</f>
        <v/>
      </c>
      <c r="U541" s="64">
        <f>Table1[[#This Row],[ActualAwayScore]]-Table1[[#This Row],[PredictedAwayScore]]</f>
        <v>0</v>
      </c>
      <c r="V541" s="64">
        <f>Table1[[#This Row],[ActualHomeScore]]-Table1[[#This Row],[PredictedHomeScore]]</f>
        <v>0</v>
      </c>
      <c r="W541" s="64">
        <f>(0.8*IF(Table1[[#This Row],[CorrectWinnerPrediction]]=1, 1, 0))+(0.1*IF(Table1[[#This Row],[CorrectAwayScorePrediction]]=1, 1, 0))+(0.1*IF(Table1[[#This Row],[CorrectHomeScorePrediction]]=1, 1, 0))</f>
        <v>0</v>
      </c>
      <c r="X54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41" s="64">
        <f>SUMIF(Table1[GameDate], Table1[[#This Row],[GameDate]], Table1[AwayGameGoalDiff])</f>
        <v>0</v>
      </c>
      <c r="AA541" s="64">
        <f>SUMIF(Table1[GameDate], Table1[[#This Row],[GameDate]], Table1[HomeGameGoalDiff])</f>
        <v>0</v>
      </c>
      <c r="AB541" s="64">
        <f>IF(ISBLANK(Table1[[#This Row],[ActualResult]]), 0, 1)</f>
        <v>0</v>
      </c>
      <c r="AC541" s="64">
        <f>IF(ISBLANK(Table1[[#This Row],[ActualResult]]), 0, IF(Table1[[#This Row],[ActualWinner]]=Table1[[#This Row],[PredictedWinner]], 1, 0))</f>
        <v>0</v>
      </c>
      <c r="AD54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4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41" s="64">
        <f>IF(AND(Table1[[#This Row],[GameIsOver]]=1,Table1[[#This Row],[ActualAwayScore]]=0), 1,0)</f>
        <v>0</v>
      </c>
      <c r="AG541" s="64">
        <f>IF(AND(Table1[[#This Row],[GameIsOver]]=1,Table1[[#This Row],[ActualHomeScore]]=0), 1,0)</f>
        <v>0</v>
      </c>
      <c r="AH541" s="64">
        <f>IF(Table1[[#This Row],[GameIsOver]]=0,0,IF(Table1[[#This Row],[ActualWinner]]=Table1[[#This Row],[AwayTeam]], 1, 0))</f>
        <v>0</v>
      </c>
      <c r="AI541" s="64">
        <f>IF(Table1[[#This Row],[GameIsOver]]=0,0,IF(Table1[[#This Row],[ActualWinner]]=Table1[[#This Row],[HomeTeam]], 1, 0))</f>
        <v>0</v>
      </c>
      <c r="AJ541" s="64">
        <f>IF(INDEX(Standings!$A$2:$C$33,MATCH(Table1[[#This Row],[AwayTeam]],Standings!$A$2:$A$33,0),2)=INDEX(Standings!$A$2:$C$33,MATCH(Table1[[#This Row],[HomeTeam]],Standings!$A$2:$A$33,0),2),1,0)</f>
        <v>1</v>
      </c>
      <c r="AK541" s="64">
        <f>IF(INDEX(Standings!$A$2:$C$33,MATCH(Table1[[#This Row],[AwayTeam]],Standings!$A$2:$A$33,0),3)=INDEX(Standings!$A$2:$C$33,MATCH(Table1[[#This Row],[HomeTeam]],Standings!$A$2:$A$33,0),3),1,0)</f>
        <v>0</v>
      </c>
      <c r="AL541" s="64">
        <f>IF(Table1[[#This Row],[InterConf]]=1,IF(Table1[[#This Row],[InterDiv]]=0, 1, 0), 0)</f>
        <v>1</v>
      </c>
      <c r="AM541" s="64">
        <f>IF(INDEX(Standings!$A$2:$C$33,MATCH(Table1[[#This Row],[AwayTeam]],Standings!$A$2:$A$33,0),2)&lt;&gt;INDEX(Standings!$A$2:$C$33,MATCH(Table1[[#This Row],[HomeTeam]],Standings!$A$2:$A$33,0),2),1,0)</f>
        <v>0</v>
      </c>
      <c r="AN541" s="64" t="str">
        <f>INDEX(Table2[AWAY_RECORD], MATCH(Table1[[#This Row],[AwayTeam]],Table2[Team], 0), 0)</f>
        <v>0-1-0</v>
      </c>
      <c r="AO541" s="64" t="str">
        <f>INDEX(Records!$B$2:$AG$33, MATCH(Table1[[#This Row],[AwayTeam]],Records!$A$2:$A$33, 0), MATCH(Table1[[#This Row],[HomeTeam]],Records!$A$2:$A$33, 0))</f>
        <v>0-0-0</v>
      </c>
      <c r="AP541" s="64" t="str">
        <f>INDEX(Table2[HOME_RECORD], MATCH(Table1[[#This Row],[HomeTeam]],Table2[Team], 0), 0)</f>
        <v>0-0-0</v>
      </c>
      <c r="AQ541" s="64" t="str">
        <f>INDEX(Records!$B$2:$AG$33, MATCH(Table1[[#This Row],[HomeTeam]],Records!$A$2:$A$33, 0), MATCH(Table1[[#This Row],[AwayTeam]],Records!$A$2:$A$33, 0))</f>
        <v>0-0-0</v>
      </c>
    </row>
    <row r="542" spans="1:43" x14ac:dyDescent="0.25">
      <c r="A542" s="1"/>
      <c r="D542" t="s">
        <v>796</v>
      </c>
      <c r="E542" t="s">
        <v>162</v>
      </c>
      <c r="F542" t="s">
        <v>803</v>
      </c>
      <c r="G542" t="s">
        <v>40</v>
      </c>
      <c r="H542" t="s">
        <v>42</v>
      </c>
      <c r="L54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4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42" s="1"/>
      <c r="T542" s="64" t="str">
        <f>IF(Table1[[#This Row],[ActualWinner]]="", "", IF(Table1[[#This Row],[AwayTeam]]=Table1[[#This Row],[ActualWinner]],Table1[[#This Row],[HomeTeam]],Table1[[#This Row],[AwayTeam]]))</f>
        <v/>
      </c>
      <c r="U542" s="64">
        <f>Table1[[#This Row],[ActualAwayScore]]-Table1[[#This Row],[PredictedAwayScore]]</f>
        <v>0</v>
      </c>
      <c r="V542" s="64">
        <f>Table1[[#This Row],[ActualHomeScore]]-Table1[[#This Row],[PredictedHomeScore]]</f>
        <v>0</v>
      </c>
      <c r="W542" s="64">
        <f>(0.8*IF(Table1[[#This Row],[CorrectWinnerPrediction]]=1, 1, 0))+(0.1*IF(Table1[[#This Row],[CorrectAwayScorePrediction]]=1, 1, 0))+(0.1*IF(Table1[[#This Row],[CorrectHomeScorePrediction]]=1, 1, 0))</f>
        <v>0</v>
      </c>
      <c r="X54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42" s="64">
        <f>SUMIF(Table1[GameDate], Table1[[#This Row],[GameDate]], Table1[AwayGameGoalDiff])</f>
        <v>0</v>
      </c>
      <c r="AA542" s="64">
        <f>SUMIF(Table1[GameDate], Table1[[#This Row],[GameDate]], Table1[HomeGameGoalDiff])</f>
        <v>0</v>
      </c>
      <c r="AB542" s="64">
        <f>IF(ISBLANK(Table1[[#This Row],[ActualResult]]), 0, 1)</f>
        <v>0</v>
      </c>
      <c r="AC542" s="64">
        <f>IF(ISBLANK(Table1[[#This Row],[ActualResult]]), 0, IF(Table1[[#This Row],[ActualWinner]]=Table1[[#This Row],[PredictedWinner]], 1, 0))</f>
        <v>0</v>
      </c>
      <c r="AD54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4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42" s="64">
        <f>IF(AND(Table1[[#This Row],[GameIsOver]]=1,Table1[[#This Row],[ActualAwayScore]]=0), 1,0)</f>
        <v>0</v>
      </c>
      <c r="AG542" s="64">
        <f>IF(AND(Table1[[#This Row],[GameIsOver]]=1,Table1[[#This Row],[ActualHomeScore]]=0), 1,0)</f>
        <v>0</v>
      </c>
      <c r="AH542" s="64">
        <f>IF(Table1[[#This Row],[GameIsOver]]=0,0,IF(Table1[[#This Row],[ActualWinner]]=Table1[[#This Row],[AwayTeam]], 1, 0))</f>
        <v>0</v>
      </c>
      <c r="AI542" s="64">
        <f>IF(Table1[[#This Row],[GameIsOver]]=0,0,IF(Table1[[#This Row],[ActualWinner]]=Table1[[#This Row],[HomeTeam]], 1, 0))</f>
        <v>0</v>
      </c>
      <c r="AJ542" s="64">
        <f>IF(INDEX(Standings!$A$2:$C$33,MATCH(Table1[[#This Row],[AwayTeam]],Standings!$A$2:$A$33,0),2)=INDEX(Standings!$A$2:$C$33,MATCH(Table1[[#This Row],[HomeTeam]],Standings!$A$2:$A$33,0),2),1,0)</f>
        <v>1</v>
      </c>
      <c r="AK542" s="64">
        <f>IF(INDEX(Standings!$A$2:$C$33,MATCH(Table1[[#This Row],[AwayTeam]],Standings!$A$2:$A$33,0),3)=INDEX(Standings!$A$2:$C$33,MATCH(Table1[[#This Row],[HomeTeam]],Standings!$A$2:$A$33,0),3),1,0)</f>
        <v>1</v>
      </c>
      <c r="AL542" s="64">
        <f>IF(Table1[[#This Row],[InterConf]]=1,IF(Table1[[#This Row],[InterDiv]]=0, 1, 0), 0)</f>
        <v>0</v>
      </c>
      <c r="AM542" s="64">
        <f>IF(INDEX(Standings!$A$2:$C$33,MATCH(Table1[[#This Row],[AwayTeam]],Standings!$A$2:$A$33,0),2)&lt;&gt;INDEX(Standings!$A$2:$C$33,MATCH(Table1[[#This Row],[HomeTeam]],Standings!$A$2:$A$33,0),2),1,0)</f>
        <v>0</v>
      </c>
      <c r="AN542" s="64" t="str">
        <f>INDEX(Table2[AWAY_RECORD], MATCH(Table1[[#This Row],[AwayTeam]],Table2[Team], 0), 0)</f>
        <v>0-0-0</v>
      </c>
      <c r="AO542" s="64" t="str">
        <f>INDEX(Records!$B$2:$AG$33, MATCH(Table1[[#This Row],[AwayTeam]],Records!$A$2:$A$33, 0), MATCH(Table1[[#This Row],[HomeTeam]],Records!$A$2:$A$33, 0))</f>
        <v>0-0-0</v>
      </c>
      <c r="AP542" s="64" t="str">
        <f>INDEX(Table2[HOME_RECORD], MATCH(Table1[[#This Row],[HomeTeam]],Table2[Team], 0), 0)</f>
        <v>1-0-0</v>
      </c>
      <c r="AQ542" s="64" t="str">
        <f>INDEX(Records!$B$2:$AG$33, MATCH(Table1[[#This Row],[HomeTeam]],Records!$A$2:$A$33, 0), MATCH(Table1[[#This Row],[AwayTeam]],Records!$A$2:$A$33, 0))</f>
        <v>0-0-0</v>
      </c>
    </row>
    <row r="543" spans="1:43" x14ac:dyDescent="0.25">
      <c r="A543" s="1"/>
      <c r="D543" t="s">
        <v>796</v>
      </c>
      <c r="E543" t="s">
        <v>178</v>
      </c>
      <c r="F543" t="s">
        <v>804</v>
      </c>
      <c r="G543" t="s">
        <v>60</v>
      </c>
      <c r="H543" t="s">
        <v>61</v>
      </c>
      <c r="L54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4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43" s="1"/>
      <c r="T543" s="64" t="str">
        <f>IF(Table1[[#This Row],[ActualWinner]]="", "", IF(Table1[[#This Row],[AwayTeam]]=Table1[[#This Row],[ActualWinner]],Table1[[#This Row],[HomeTeam]],Table1[[#This Row],[AwayTeam]]))</f>
        <v/>
      </c>
      <c r="U543" s="64">
        <f>Table1[[#This Row],[ActualAwayScore]]-Table1[[#This Row],[PredictedAwayScore]]</f>
        <v>0</v>
      </c>
      <c r="V543" s="64">
        <f>Table1[[#This Row],[ActualHomeScore]]-Table1[[#This Row],[PredictedHomeScore]]</f>
        <v>0</v>
      </c>
      <c r="W543" s="64">
        <f>(0.8*IF(Table1[[#This Row],[CorrectWinnerPrediction]]=1, 1, 0))+(0.1*IF(Table1[[#This Row],[CorrectAwayScorePrediction]]=1, 1, 0))+(0.1*IF(Table1[[#This Row],[CorrectHomeScorePrediction]]=1, 1, 0))</f>
        <v>0</v>
      </c>
      <c r="X54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43" s="64">
        <f>SUMIF(Table1[GameDate], Table1[[#This Row],[GameDate]], Table1[AwayGameGoalDiff])</f>
        <v>0</v>
      </c>
      <c r="AA543" s="64">
        <f>SUMIF(Table1[GameDate], Table1[[#This Row],[GameDate]], Table1[HomeGameGoalDiff])</f>
        <v>0</v>
      </c>
      <c r="AB543" s="64">
        <f>IF(ISBLANK(Table1[[#This Row],[ActualResult]]), 0, 1)</f>
        <v>0</v>
      </c>
      <c r="AC543" s="64">
        <f>IF(ISBLANK(Table1[[#This Row],[ActualResult]]), 0, IF(Table1[[#This Row],[ActualWinner]]=Table1[[#This Row],[PredictedWinner]], 1, 0))</f>
        <v>0</v>
      </c>
      <c r="AD54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4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43" s="64">
        <f>IF(AND(Table1[[#This Row],[GameIsOver]]=1,Table1[[#This Row],[ActualAwayScore]]=0), 1,0)</f>
        <v>0</v>
      </c>
      <c r="AG543" s="64">
        <f>IF(AND(Table1[[#This Row],[GameIsOver]]=1,Table1[[#This Row],[ActualHomeScore]]=0), 1,0)</f>
        <v>0</v>
      </c>
      <c r="AH543" s="64">
        <f>IF(Table1[[#This Row],[GameIsOver]]=0,0,IF(Table1[[#This Row],[ActualWinner]]=Table1[[#This Row],[AwayTeam]], 1, 0))</f>
        <v>0</v>
      </c>
      <c r="AI543" s="64">
        <f>IF(Table1[[#This Row],[GameIsOver]]=0,0,IF(Table1[[#This Row],[ActualWinner]]=Table1[[#This Row],[HomeTeam]], 1, 0))</f>
        <v>0</v>
      </c>
      <c r="AJ543" s="64">
        <f>IF(INDEX(Standings!$A$2:$C$33,MATCH(Table1[[#This Row],[AwayTeam]],Standings!$A$2:$A$33,0),2)=INDEX(Standings!$A$2:$C$33,MATCH(Table1[[#This Row],[HomeTeam]],Standings!$A$2:$A$33,0),2),1,0)</f>
        <v>1</v>
      </c>
      <c r="AK543" s="64">
        <f>IF(INDEX(Standings!$A$2:$C$33,MATCH(Table1[[#This Row],[AwayTeam]],Standings!$A$2:$A$33,0),3)=INDEX(Standings!$A$2:$C$33,MATCH(Table1[[#This Row],[HomeTeam]],Standings!$A$2:$A$33,0),3),1,0)</f>
        <v>1</v>
      </c>
      <c r="AL543" s="64">
        <f>IF(Table1[[#This Row],[InterConf]]=1,IF(Table1[[#This Row],[InterDiv]]=0, 1, 0), 0)</f>
        <v>0</v>
      </c>
      <c r="AM543" s="64">
        <f>IF(INDEX(Standings!$A$2:$C$33,MATCH(Table1[[#This Row],[AwayTeam]],Standings!$A$2:$A$33,0),2)&lt;&gt;INDEX(Standings!$A$2:$C$33,MATCH(Table1[[#This Row],[HomeTeam]],Standings!$A$2:$A$33,0),2),1,0)</f>
        <v>0</v>
      </c>
      <c r="AN543" s="64" t="str">
        <f>INDEX(Table2[AWAY_RECORD], MATCH(Table1[[#This Row],[AwayTeam]],Table2[Team], 0), 0)</f>
        <v>0-0-0</v>
      </c>
      <c r="AO543" s="64" t="str">
        <f>INDEX(Records!$B$2:$AG$33, MATCH(Table1[[#This Row],[AwayTeam]],Records!$A$2:$A$33, 0), MATCH(Table1[[#This Row],[HomeTeam]],Records!$A$2:$A$33, 0))</f>
        <v>0-0-0</v>
      </c>
      <c r="AP543" s="64" t="str">
        <f>INDEX(Table2[HOME_RECORD], MATCH(Table1[[#This Row],[HomeTeam]],Table2[Team], 0), 0)</f>
        <v>0-0-0</v>
      </c>
      <c r="AQ543" s="64" t="str">
        <f>INDEX(Records!$B$2:$AG$33, MATCH(Table1[[#This Row],[HomeTeam]],Records!$A$2:$A$33, 0), MATCH(Table1[[#This Row],[AwayTeam]],Records!$A$2:$A$33, 0))</f>
        <v>0-0-0</v>
      </c>
    </row>
    <row r="544" spans="1:43" x14ac:dyDescent="0.25">
      <c r="A544" s="1"/>
      <c r="D544" t="s">
        <v>796</v>
      </c>
      <c r="E544" t="s">
        <v>178</v>
      </c>
      <c r="F544" t="s">
        <v>805</v>
      </c>
      <c r="G544" t="s">
        <v>56</v>
      </c>
      <c r="H544" t="s">
        <v>48</v>
      </c>
      <c r="L54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4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44" s="1"/>
      <c r="T544" s="64" t="str">
        <f>IF(Table1[[#This Row],[ActualWinner]]="", "", IF(Table1[[#This Row],[AwayTeam]]=Table1[[#This Row],[ActualWinner]],Table1[[#This Row],[HomeTeam]],Table1[[#This Row],[AwayTeam]]))</f>
        <v/>
      </c>
      <c r="U544" s="64">
        <f>Table1[[#This Row],[ActualAwayScore]]-Table1[[#This Row],[PredictedAwayScore]]</f>
        <v>0</v>
      </c>
      <c r="V544" s="64">
        <f>Table1[[#This Row],[ActualHomeScore]]-Table1[[#This Row],[PredictedHomeScore]]</f>
        <v>0</v>
      </c>
      <c r="W544" s="64">
        <f>(0.8*IF(Table1[[#This Row],[CorrectWinnerPrediction]]=1, 1, 0))+(0.1*IF(Table1[[#This Row],[CorrectAwayScorePrediction]]=1, 1, 0))+(0.1*IF(Table1[[#This Row],[CorrectHomeScorePrediction]]=1, 1, 0))</f>
        <v>0</v>
      </c>
      <c r="X54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44" s="64">
        <f>SUMIF(Table1[GameDate], Table1[[#This Row],[GameDate]], Table1[AwayGameGoalDiff])</f>
        <v>0</v>
      </c>
      <c r="AA544" s="64">
        <f>SUMIF(Table1[GameDate], Table1[[#This Row],[GameDate]], Table1[HomeGameGoalDiff])</f>
        <v>0</v>
      </c>
      <c r="AB544" s="64">
        <f>IF(ISBLANK(Table1[[#This Row],[ActualResult]]), 0, 1)</f>
        <v>0</v>
      </c>
      <c r="AC544" s="64">
        <f>IF(ISBLANK(Table1[[#This Row],[ActualResult]]), 0, IF(Table1[[#This Row],[ActualWinner]]=Table1[[#This Row],[PredictedWinner]], 1, 0))</f>
        <v>0</v>
      </c>
      <c r="AD54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4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44" s="64">
        <f>IF(AND(Table1[[#This Row],[GameIsOver]]=1,Table1[[#This Row],[ActualAwayScore]]=0), 1,0)</f>
        <v>0</v>
      </c>
      <c r="AG544" s="64">
        <f>IF(AND(Table1[[#This Row],[GameIsOver]]=1,Table1[[#This Row],[ActualHomeScore]]=0), 1,0)</f>
        <v>0</v>
      </c>
      <c r="AH544" s="64">
        <f>IF(Table1[[#This Row],[GameIsOver]]=0,0,IF(Table1[[#This Row],[ActualWinner]]=Table1[[#This Row],[AwayTeam]], 1, 0))</f>
        <v>0</v>
      </c>
      <c r="AI544" s="64">
        <f>IF(Table1[[#This Row],[GameIsOver]]=0,0,IF(Table1[[#This Row],[ActualWinner]]=Table1[[#This Row],[HomeTeam]], 1, 0))</f>
        <v>0</v>
      </c>
      <c r="AJ544" s="64">
        <f>IF(INDEX(Standings!$A$2:$C$33,MATCH(Table1[[#This Row],[AwayTeam]],Standings!$A$2:$A$33,0),2)=INDEX(Standings!$A$2:$C$33,MATCH(Table1[[#This Row],[HomeTeam]],Standings!$A$2:$A$33,0),2),1,0)</f>
        <v>1</v>
      </c>
      <c r="AK544" s="64">
        <f>IF(INDEX(Standings!$A$2:$C$33,MATCH(Table1[[#This Row],[AwayTeam]],Standings!$A$2:$A$33,0),3)=INDEX(Standings!$A$2:$C$33,MATCH(Table1[[#This Row],[HomeTeam]],Standings!$A$2:$A$33,0),3),1,0)</f>
        <v>0</v>
      </c>
      <c r="AL544" s="64">
        <f>IF(Table1[[#This Row],[InterConf]]=1,IF(Table1[[#This Row],[InterDiv]]=0, 1, 0), 0)</f>
        <v>1</v>
      </c>
      <c r="AM544" s="64">
        <f>IF(INDEX(Standings!$A$2:$C$33,MATCH(Table1[[#This Row],[AwayTeam]],Standings!$A$2:$A$33,0),2)&lt;&gt;INDEX(Standings!$A$2:$C$33,MATCH(Table1[[#This Row],[HomeTeam]],Standings!$A$2:$A$33,0),2),1,0)</f>
        <v>0</v>
      </c>
      <c r="AN544" s="64" t="str">
        <f>INDEX(Table2[AWAY_RECORD], MATCH(Table1[[#This Row],[AwayTeam]],Table2[Team], 0), 0)</f>
        <v>1-0-0</v>
      </c>
      <c r="AO544" s="64" t="str">
        <f>INDEX(Records!$B$2:$AG$33, MATCH(Table1[[#This Row],[AwayTeam]],Records!$A$2:$A$33, 0), MATCH(Table1[[#This Row],[HomeTeam]],Records!$A$2:$A$33, 0))</f>
        <v>0-0-0</v>
      </c>
      <c r="AP544" s="64" t="str">
        <f>INDEX(Table2[HOME_RECORD], MATCH(Table1[[#This Row],[HomeTeam]],Table2[Team], 0), 0)</f>
        <v>1-0-0</v>
      </c>
      <c r="AQ544" s="64" t="str">
        <f>INDEX(Records!$B$2:$AG$33, MATCH(Table1[[#This Row],[HomeTeam]],Records!$A$2:$A$33, 0), MATCH(Table1[[#This Row],[AwayTeam]],Records!$A$2:$A$33, 0))</f>
        <v>0-0-0</v>
      </c>
    </row>
    <row r="545" spans="1:43" x14ac:dyDescent="0.25">
      <c r="A545" s="1"/>
      <c r="D545" t="s">
        <v>796</v>
      </c>
      <c r="E545" t="s">
        <v>178</v>
      </c>
      <c r="F545" t="s">
        <v>806</v>
      </c>
      <c r="G545" t="s">
        <v>24</v>
      </c>
      <c r="H545" t="s">
        <v>22</v>
      </c>
      <c r="L54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4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45" s="1"/>
      <c r="T545" s="64" t="str">
        <f>IF(Table1[[#This Row],[ActualWinner]]="", "", IF(Table1[[#This Row],[AwayTeam]]=Table1[[#This Row],[ActualWinner]],Table1[[#This Row],[HomeTeam]],Table1[[#This Row],[AwayTeam]]))</f>
        <v/>
      </c>
      <c r="U545" s="64">
        <f>Table1[[#This Row],[ActualAwayScore]]-Table1[[#This Row],[PredictedAwayScore]]</f>
        <v>0</v>
      </c>
      <c r="V545" s="64">
        <f>Table1[[#This Row],[ActualHomeScore]]-Table1[[#This Row],[PredictedHomeScore]]</f>
        <v>0</v>
      </c>
      <c r="W545" s="64">
        <f>(0.8*IF(Table1[[#This Row],[CorrectWinnerPrediction]]=1, 1, 0))+(0.1*IF(Table1[[#This Row],[CorrectAwayScorePrediction]]=1, 1, 0))+(0.1*IF(Table1[[#This Row],[CorrectHomeScorePrediction]]=1, 1, 0))</f>
        <v>0</v>
      </c>
      <c r="X54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45" s="64">
        <f>SUMIF(Table1[GameDate], Table1[[#This Row],[GameDate]], Table1[AwayGameGoalDiff])</f>
        <v>0</v>
      </c>
      <c r="AA545" s="64">
        <f>SUMIF(Table1[GameDate], Table1[[#This Row],[GameDate]], Table1[HomeGameGoalDiff])</f>
        <v>0</v>
      </c>
      <c r="AB545" s="64">
        <f>IF(ISBLANK(Table1[[#This Row],[ActualResult]]), 0, 1)</f>
        <v>0</v>
      </c>
      <c r="AC545" s="64">
        <f>IF(ISBLANK(Table1[[#This Row],[ActualResult]]), 0, IF(Table1[[#This Row],[ActualWinner]]=Table1[[#This Row],[PredictedWinner]], 1, 0))</f>
        <v>0</v>
      </c>
      <c r="AD54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4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45" s="64">
        <f>IF(AND(Table1[[#This Row],[GameIsOver]]=1,Table1[[#This Row],[ActualAwayScore]]=0), 1,0)</f>
        <v>0</v>
      </c>
      <c r="AG545" s="64">
        <f>IF(AND(Table1[[#This Row],[GameIsOver]]=1,Table1[[#This Row],[ActualHomeScore]]=0), 1,0)</f>
        <v>0</v>
      </c>
      <c r="AH545" s="64">
        <f>IF(Table1[[#This Row],[GameIsOver]]=0,0,IF(Table1[[#This Row],[ActualWinner]]=Table1[[#This Row],[AwayTeam]], 1, 0))</f>
        <v>0</v>
      </c>
      <c r="AI545" s="64">
        <f>IF(Table1[[#This Row],[GameIsOver]]=0,0,IF(Table1[[#This Row],[ActualWinner]]=Table1[[#This Row],[HomeTeam]], 1, 0))</f>
        <v>0</v>
      </c>
      <c r="AJ545" s="64">
        <f>IF(INDEX(Standings!$A$2:$C$33,MATCH(Table1[[#This Row],[AwayTeam]],Standings!$A$2:$A$33,0),2)=INDEX(Standings!$A$2:$C$33,MATCH(Table1[[#This Row],[HomeTeam]],Standings!$A$2:$A$33,0),2),1,0)</f>
        <v>0</v>
      </c>
      <c r="AK545" s="64">
        <f>IF(INDEX(Standings!$A$2:$C$33,MATCH(Table1[[#This Row],[AwayTeam]],Standings!$A$2:$A$33,0),3)=INDEX(Standings!$A$2:$C$33,MATCH(Table1[[#This Row],[HomeTeam]],Standings!$A$2:$A$33,0),3),1,0)</f>
        <v>0</v>
      </c>
      <c r="AL545" s="64">
        <f>IF(Table1[[#This Row],[InterConf]]=1,IF(Table1[[#This Row],[InterDiv]]=0, 1, 0), 0)</f>
        <v>0</v>
      </c>
      <c r="AM545" s="64">
        <f>IF(INDEX(Standings!$A$2:$C$33,MATCH(Table1[[#This Row],[AwayTeam]],Standings!$A$2:$A$33,0),2)&lt;&gt;INDEX(Standings!$A$2:$C$33,MATCH(Table1[[#This Row],[HomeTeam]],Standings!$A$2:$A$33,0),2),1,0)</f>
        <v>1</v>
      </c>
      <c r="AN545" s="64" t="str">
        <f>INDEX(Table2[AWAY_RECORD], MATCH(Table1[[#This Row],[AwayTeam]],Table2[Team], 0), 0)</f>
        <v>0-0-0</v>
      </c>
      <c r="AO545" s="64" t="str">
        <f>INDEX(Records!$B$2:$AG$33, MATCH(Table1[[#This Row],[AwayTeam]],Records!$A$2:$A$33, 0), MATCH(Table1[[#This Row],[HomeTeam]],Records!$A$2:$A$33, 0))</f>
        <v>0-0-0</v>
      </c>
      <c r="AP545" s="64" t="str">
        <f>INDEX(Table2[HOME_RECORD], MATCH(Table1[[#This Row],[HomeTeam]],Table2[Team], 0), 0)</f>
        <v>0-0-0</v>
      </c>
      <c r="AQ545" s="64" t="str">
        <f>INDEX(Records!$B$2:$AG$33, MATCH(Table1[[#This Row],[HomeTeam]],Records!$A$2:$A$33, 0), MATCH(Table1[[#This Row],[AwayTeam]],Records!$A$2:$A$33, 0))</f>
        <v>0-0-0</v>
      </c>
    </row>
    <row r="546" spans="1:43" x14ac:dyDescent="0.25">
      <c r="A546" s="1"/>
      <c r="D546" t="s">
        <v>796</v>
      </c>
      <c r="E546" t="s">
        <v>164</v>
      </c>
      <c r="F546" t="s">
        <v>807</v>
      </c>
      <c r="G546" t="s">
        <v>50</v>
      </c>
      <c r="H546" t="s">
        <v>58</v>
      </c>
      <c r="L54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4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46" s="1"/>
      <c r="T546" s="64" t="str">
        <f>IF(Table1[[#This Row],[ActualWinner]]="", "", IF(Table1[[#This Row],[AwayTeam]]=Table1[[#This Row],[ActualWinner]],Table1[[#This Row],[HomeTeam]],Table1[[#This Row],[AwayTeam]]))</f>
        <v/>
      </c>
      <c r="U546" s="64">
        <f>Table1[[#This Row],[ActualAwayScore]]-Table1[[#This Row],[PredictedAwayScore]]</f>
        <v>0</v>
      </c>
      <c r="V546" s="64">
        <f>Table1[[#This Row],[ActualHomeScore]]-Table1[[#This Row],[PredictedHomeScore]]</f>
        <v>0</v>
      </c>
      <c r="W546" s="64">
        <f>(0.8*IF(Table1[[#This Row],[CorrectWinnerPrediction]]=1, 1, 0))+(0.1*IF(Table1[[#This Row],[CorrectAwayScorePrediction]]=1, 1, 0))+(0.1*IF(Table1[[#This Row],[CorrectHomeScorePrediction]]=1, 1, 0))</f>
        <v>0</v>
      </c>
      <c r="X54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46" s="64">
        <f>SUMIF(Table1[GameDate], Table1[[#This Row],[GameDate]], Table1[AwayGameGoalDiff])</f>
        <v>0</v>
      </c>
      <c r="AA546" s="64">
        <f>SUMIF(Table1[GameDate], Table1[[#This Row],[GameDate]], Table1[HomeGameGoalDiff])</f>
        <v>0</v>
      </c>
      <c r="AB546" s="64">
        <f>IF(ISBLANK(Table1[[#This Row],[ActualResult]]), 0, 1)</f>
        <v>0</v>
      </c>
      <c r="AC546" s="64">
        <f>IF(ISBLANK(Table1[[#This Row],[ActualResult]]), 0, IF(Table1[[#This Row],[ActualWinner]]=Table1[[#This Row],[PredictedWinner]], 1, 0))</f>
        <v>0</v>
      </c>
      <c r="AD54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4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46" s="64">
        <f>IF(AND(Table1[[#This Row],[GameIsOver]]=1,Table1[[#This Row],[ActualAwayScore]]=0), 1,0)</f>
        <v>0</v>
      </c>
      <c r="AG546" s="64">
        <f>IF(AND(Table1[[#This Row],[GameIsOver]]=1,Table1[[#This Row],[ActualHomeScore]]=0), 1,0)</f>
        <v>0</v>
      </c>
      <c r="AH546" s="64">
        <f>IF(Table1[[#This Row],[GameIsOver]]=0,0,IF(Table1[[#This Row],[ActualWinner]]=Table1[[#This Row],[AwayTeam]], 1, 0))</f>
        <v>0</v>
      </c>
      <c r="AI546" s="64">
        <f>IF(Table1[[#This Row],[GameIsOver]]=0,0,IF(Table1[[#This Row],[ActualWinner]]=Table1[[#This Row],[HomeTeam]], 1, 0))</f>
        <v>0</v>
      </c>
      <c r="AJ546" s="64">
        <f>IF(INDEX(Standings!$A$2:$C$33,MATCH(Table1[[#This Row],[AwayTeam]],Standings!$A$2:$A$33,0),2)=INDEX(Standings!$A$2:$C$33,MATCH(Table1[[#This Row],[HomeTeam]],Standings!$A$2:$A$33,0),2),1,0)</f>
        <v>0</v>
      </c>
      <c r="AK546" s="64">
        <f>IF(INDEX(Standings!$A$2:$C$33,MATCH(Table1[[#This Row],[AwayTeam]],Standings!$A$2:$A$33,0),3)=INDEX(Standings!$A$2:$C$33,MATCH(Table1[[#This Row],[HomeTeam]],Standings!$A$2:$A$33,0),3),1,0)</f>
        <v>0</v>
      </c>
      <c r="AL546" s="64">
        <f>IF(Table1[[#This Row],[InterConf]]=1,IF(Table1[[#This Row],[InterDiv]]=0, 1, 0), 0)</f>
        <v>0</v>
      </c>
      <c r="AM546" s="64">
        <f>IF(INDEX(Standings!$A$2:$C$33,MATCH(Table1[[#This Row],[AwayTeam]],Standings!$A$2:$A$33,0),2)&lt;&gt;INDEX(Standings!$A$2:$C$33,MATCH(Table1[[#This Row],[HomeTeam]],Standings!$A$2:$A$33,0),2),1,0)</f>
        <v>1</v>
      </c>
      <c r="AN546" s="64" t="str">
        <f>INDEX(Table2[AWAY_RECORD], MATCH(Table1[[#This Row],[AwayTeam]],Table2[Team], 0), 0)</f>
        <v>1-0-0</v>
      </c>
      <c r="AO546" s="64" t="str">
        <f>INDEX(Records!$B$2:$AG$33, MATCH(Table1[[#This Row],[AwayTeam]],Records!$A$2:$A$33, 0), MATCH(Table1[[#This Row],[HomeTeam]],Records!$A$2:$A$33, 0))</f>
        <v>0-0-0</v>
      </c>
      <c r="AP546" s="64" t="str">
        <f>INDEX(Table2[HOME_RECORD], MATCH(Table1[[#This Row],[HomeTeam]],Table2[Team], 0), 0)</f>
        <v>1-0-0</v>
      </c>
      <c r="AQ546" s="64" t="str">
        <f>INDEX(Records!$B$2:$AG$33, MATCH(Table1[[#This Row],[HomeTeam]],Records!$A$2:$A$33, 0), MATCH(Table1[[#This Row],[AwayTeam]],Records!$A$2:$A$33, 0))</f>
        <v>0-0-0</v>
      </c>
    </row>
    <row r="547" spans="1:43" x14ac:dyDescent="0.25">
      <c r="A547" s="1"/>
      <c r="D547" t="s">
        <v>796</v>
      </c>
      <c r="E547" t="s">
        <v>166</v>
      </c>
      <c r="F547" t="s">
        <v>808</v>
      </c>
      <c r="G547" t="s">
        <v>59</v>
      </c>
      <c r="H547" t="s">
        <v>43</v>
      </c>
      <c r="L54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4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47" s="1"/>
      <c r="T547" s="64" t="str">
        <f>IF(Table1[[#This Row],[ActualWinner]]="", "", IF(Table1[[#This Row],[AwayTeam]]=Table1[[#This Row],[ActualWinner]],Table1[[#This Row],[HomeTeam]],Table1[[#This Row],[AwayTeam]]))</f>
        <v/>
      </c>
      <c r="U547" s="64">
        <f>Table1[[#This Row],[ActualAwayScore]]-Table1[[#This Row],[PredictedAwayScore]]</f>
        <v>0</v>
      </c>
      <c r="V547" s="64">
        <f>Table1[[#This Row],[ActualHomeScore]]-Table1[[#This Row],[PredictedHomeScore]]</f>
        <v>0</v>
      </c>
      <c r="W547" s="64">
        <f>(0.8*IF(Table1[[#This Row],[CorrectWinnerPrediction]]=1, 1, 0))+(0.1*IF(Table1[[#This Row],[CorrectAwayScorePrediction]]=1, 1, 0))+(0.1*IF(Table1[[#This Row],[CorrectHomeScorePrediction]]=1, 1, 0))</f>
        <v>0</v>
      </c>
      <c r="X54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47" s="64">
        <f>SUMIF(Table1[GameDate], Table1[[#This Row],[GameDate]], Table1[AwayGameGoalDiff])</f>
        <v>0</v>
      </c>
      <c r="AA547" s="64">
        <f>SUMIF(Table1[GameDate], Table1[[#This Row],[GameDate]], Table1[HomeGameGoalDiff])</f>
        <v>0</v>
      </c>
      <c r="AB547" s="64">
        <f>IF(ISBLANK(Table1[[#This Row],[ActualResult]]), 0, 1)</f>
        <v>0</v>
      </c>
      <c r="AC547" s="64">
        <f>IF(ISBLANK(Table1[[#This Row],[ActualResult]]), 0, IF(Table1[[#This Row],[ActualWinner]]=Table1[[#This Row],[PredictedWinner]], 1, 0))</f>
        <v>0</v>
      </c>
      <c r="AD54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4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47" s="64">
        <f>IF(AND(Table1[[#This Row],[GameIsOver]]=1,Table1[[#This Row],[ActualAwayScore]]=0), 1,0)</f>
        <v>0</v>
      </c>
      <c r="AG547" s="64">
        <f>IF(AND(Table1[[#This Row],[GameIsOver]]=1,Table1[[#This Row],[ActualHomeScore]]=0), 1,0)</f>
        <v>0</v>
      </c>
      <c r="AH547" s="64">
        <f>IF(Table1[[#This Row],[GameIsOver]]=0,0,IF(Table1[[#This Row],[ActualWinner]]=Table1[[#This Row],[AwayTeam]], 1, 0))</f>
        <v>0</v>
      </c>
      <c r="AI547" s="64">
        <f>IF(Table1[[#This Row],[GameIsOver]]=0,0,IF(Table1[[#This Row],[ActualWinner]]=Table1[[#This Row],[HomeTeam]], 1, 0))</f>
        <v>0</v>
      </c>
      <c r="AJ547" s="64">
        <f>IF(INDEX(Standings!$A$2:$C$33,MATCH(Table1[[#This Row],[AwayTeam]],Standings!$A$2:$A$33,0),2)=INDEX(Standings!$A$2:$C$33,MATCH(Table1[[#This Row],[HomeTeam]],Standings!$A$2:$A$33,0),2),1,0)</f>
        <v>0</v>
      </c>
      <c r="AK547" s="64">
        <f>IF(INDEX(Standings!$A$2:$C$33,MATCH(Table1[[#This Row],[AwayTeam]],Standings!$A$2:$A$33,0),3)=INDEX(Standings!$A$2:$C$33,MATCH(Table1[[#This Row],[HomeTeam]],Standings!$A$2:$A$33,0),3),1,0)</f>
        <v>0</v>
      </c>
      <c r="AL547" s="64">
        <f>IF(Table1[[#This Row],[InterConf]]=1,IF(Table1[[#This Row],[InterDiv]]=0, 1, 0), 0)</f>
        <v>0</v>
      </c>
      <c r="AM547" s="64">
        <f>IF(INDEX(Standings!$A$2:$C$33,MATCH(Table1[[#This Row],[AwayTeam]],Standings!$A$2:$A$33,0),2)&lt;&gt;INDEX(Standings!$A$2:$C$33,MATCH(Table1[[#This Row],[HomeTeam]],Standings!$A$2:$A$33,0),2),1,0)</f>
        <v>1</v>
      </c>
      <c r="AN547" s="64" t="str">
        <f>INDEX(Table2[AWAY_RECORD], MATCH(Table1[[#This Row],[AwayTeam]],Table2[Team], 0), 0)</f>
        <v>0-1-0</v>
      </c>
      <c r="AO547" s="64" t="str">
        <f>INDEX(Records!$B$2:$AG$33, MATCH(Table1[[#This Row],[AwayTeam]],Records!$A$2:$A$33, 0), MATCH(Table1[[#This Row],[HomeTeam]],Records!$A$2:$A$33, 0))</f>
        <v>0-0-0</v>
      </c>
      <c r="AP547" s="64" t="str">
        <f>INDEX(Table2[HOME_RECORD], MATCH(Table1[[#This Row],[HomeTeam]],Table2[Team], 0), 0)</f>
        <v>0-0-0</v>
      </c>
      <c r="AQ547" s="64" t="str">
        <f>INDEX(Records!$B$2:$AG$33, MATCH(Table1[[#This Row],[HomeTeam]],Records!$A$2:$A$33, 0), MATCH(Table1[[#This Row],[AwayTeam]],Records!$A$2:$A$33, 0))</f>
        <v>0-0-0</v>
      </c>
    </row>
    <row r="548" spans="1:43" x14ac:dyDescent="0.25">
      <c r="A548" s="1"/>
      <c r="D548" t="s">
        <v>809</v>
      </c>
      <c r="E548" t="s">
        <v>289</v>
      </c>
      <c r="F548" t="s">
        <v>810</v>
      </c>
      <c r="G548" t="s">
        <v>51</v>
      </c>
      <c r="H548" t="s">
        <v>53</v>
      </c>
      <c r="L54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4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48" s="1"/>
      <c r="T548" s="64" t="str">
        <f>IF(Table1[[#This Row],[ActualWinner]]="", "", IF(Table1[[#This Row],[AwayTeam]]=Table1[[#This Row],[ActualWinner]],Table1[[#This Row],[HomeTeam]],Table1[[#This Row],[AwayTeam]]))</f>
        <v/>
      </c>
      <c r="U548" s="64">
        <f>Table1[[#This Row],[ActualAwayScore]]-Table1[[#This Row],[PredictedAwayScore]]</f>
        <v>0</v>
      </c>
      <c r="V548" s="64">
        <f>Table1[[#This Row],[ActualHomeScore]]-Table1[[#This Row],[PredictedHomeScore]]</f>
        <v>0</v>
      </c>
      <c r="W548" s="64">
        <f>(0.8*IF(Table1[[#This Row],[CorrectWinnerPrediction]]=1, 1, 0))+(0.1*IF(Table1[[#This Row],[CorrectAwayScorePrediction]]=1, 1, 0))+(0.1*IF(Table1[[#This Row],[CorrectHomeScorePrediction]]=1, 1, 0))</f>
        <v>0</v>
      </c>
      <c r="X54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48" s="64">
        <f>SUMIF(Table1[GameDate], Table1[[#This Row],[GameDate]], Table1[AwayGameGoalDiff])</f>
        <v>0</v>
      </c>
      <c r="AA548" s="64">
        <f>SUMIF(Table1[GameDate], Table1[[#This Row],[GameDate]], Table1[HomeGameGoalDiff])</f>
        <v>0</v>
      </c>
      <c r="AB548" s="64">
        <f>IF(ISBLANK(Table1[[#This Row],[ActualResult]]), 0, 1)</f>
        <v>0</v>
      </c>
      <c r="AC548" s="64">
        <f>IF(ISBLANK(Table1[[#This Row],[ActualResult]]), 0, IF(Table1[[#This Row],[ActualWinner]]=Table1[[#This Row],[PredictedWinner]], 1, 0))</f>
        <v>0</v>
      </c>
      <c r="AD54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4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48" s="64">
        <f>IF(AND(Table1[[#This Row],[GameIsOver]]=1,Table1[[#This Row],[ActualAwayScore]]=0), 1,0)</f>
        <v>0</v>
      </c>
      <c r="AG548" s="64">
        <f>IF(AND(Table1[[#This Row],[GameIsOver]]=1,Table1[[#This Row],[ActualHomeScore]]=0), 1,0)</f>
        <v>0</v>
      </c>
      <c r="AH548" s="64">
        <f>IF(Table1[[#This Row],[GameIsOver]]=0,0,IF(Table1[[#This Row],[ActualWinner]]=Table1[[#This Row],[AwayTeam]], 1, 0))</f>
        <v>0</v>
      </c>
      <c r="AI548" s="64">
        <f>IF(Table1[[#This Row],[GameIsOver]]=0,0,IF(Table1[[#This Row],[ActualWinner]]=Table1[[#This Row],[HomeTeam]], 1, 0))</f>
        <v>0</v>
      </c>
      <c r="AJ548" s="64">
        <f>IF(INDEX(Standings!$A$2:$C$33,MATCH(Table1[[#This Row],[AwayTeam]],Standings!$A$2:$A$33,0),2)=INDEX(Standings!$A$2:$C$33,MATCH(Table1[[#This Row],[HomeTeam]],Standings!$A$2:$A$33,0),2),1,0)</f>
        <v>1</v>
      </c>
      <c r="AK548" s="64">
        <f>IF(INDEX(Standings!$A$2:$C$33,MATCH(Table1[[#This Row],[AwayTeam]],Standings!$A$2:$A$33,0),3)=INDEX(Standings!$A$2:$C$33,MATCH(Table1[[#This Row],[HomeTeam]],Standings!$A$2:$A$33,0),3),1,0)</f>
        <v>1</v>
      </c>
      <c r="AL548" s="64">
        <f>IF(Table1[[#This Row],[InterConf]]=1,IF(Table1[[#This Row],[InterDiv]]=0, 1, 0), 0)</f>
        <v>0</v>
      </c>
      <c r="AM548" s="64">
        <f>IF(INDEX(Standings!$A$2:$C$33,MATCH(Table1[[#This Row],[AwayTeam]],Standings!$A$2:$A$33,0),2)&lt;&gt;INDEX(Standings!$A$2:$C$33,MATCH(Table1[[#This Row],[HomeTeam]],Standings!$A$2:$A$33,0),2),1,0)</f>
        <v>0</v>
      </c>
      <c r="AN548" s="64" t="str">
        <f>INDEX(Table2[AWAY_RECORD], MATCH(Table1[[#This Row],[AwayTeam]],Table2[Team], 0), 0)</f>
        <v>2-0-0</v>
      </c>
      <c r="AO548" s="64" t="str">
        <f>INDEX(Records!$B$2:$AG$33, MATCH(Table1[[#This Row],[AwayTeam]],Records!$A$2:$A$33, 0), MATCH(Table1[[#This Row],[HomeTeam]],Records!$A$2:$A$33, 0))</f>
        <v>0-0-0</v>
      </c>
      <c r="AP548" s="64" t="str">
        <f>INDEX(Table2[HOME_RECORD], MATCH(Table1[[#This Row],[HomeTeam]],Table2[Team], 0), 0)</f>
        <v>1-0-0</v>
      </c>
      <c r="AQ548" s="64" t="str">
        <f>INDEX(Records!$B$2:$AG$33, MATCH(Table1[[#This Row],[HomeTeam]],Records!$A$2:$A$33, 0), MATCH(Table1[[#This Row],[AwayTeam]],Records!$A$2:$A$33, 0))</f>
        <v>0-0-0</v>
      </c>
    </row>
    <row r="549" spans="1:43" x14ac:dyDescent="0.25">
      <c r="A549" s="1"/>
      <c r="D549" t="s">
        <v>809</v>
      </c>
      <c r="E549" t="s">
        <v>164</v>
      </c>
      <c r="F549" t="s">
        <v>811</v>
      </c>
      <c r="G549" t="s">
        <v>50</v>
      </c>
      <c r="H549" t="s">
        <v>41</v>
      </c>
      <c r="L54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4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49" s="1"/>
      <c r="T549" s="64" t="str">
        <f>IF(Table1[[#This Row],[ActualWinner]]="", "", IF(Table1[[#This Row],[AwayTeam]]=Table1[[#This Row],[ActualWinner]],Table1[[#This Row],[HomeTeam]],Table1[[#This Row],[AwayTeam]]))</f>
        <v/>
      </c>
      <c r="U549" s="64">
        <f>Table1[[#This Row],[ActualAwayScore]]-Table1[[#This Row],[PredictedAwayScore]]</f>
        <v>0</v>
      </c>
      <c r="V549" s="64">
        <f>Table1[[#This Row],[ActualHomeScore]]-Table1[[#This Row],[PredictedHomeScore]]</f>
        <v>0</v>
      </c>
      <c r="W549" s="64">
        <f>(0.8*IF(Table1[[#This Row],[CorrectWinnerPrediction]]=1, 1, 0))+(0.1*IF(Table1[[#This Row],[CorrectAwayScorePrediction]]=1, 1, 0))+(0.1*IF(Table1[[#This Row],[CorrectHomeScorePrediction]]=1, 1, 0))</f>
        <v>0</v>
      </c>
      <c r="X54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49" s="64">
        <f>SUMIF(Table1[GameDate], Table1[[#This Row],[GameDate]], Table1[AwayGameGoalDiff])</f>
        <v>0</v>
      </c>
      <c r="AA549" s="64">
        <f>SUMIF(Table1[GameDate], Table1[[#This Row],[GameDate]], Table1[HomeGameGoalDiff])</f>
        <v>0</v>
      </c>
      <c r="AB549" s="64">
        <f>IF(ISBLANK(Table1[[#This Row],[ActualResult]]), 0, 1)</f>
        <v>0</v>
      </c>
      <c r="AC549" s="64">
        <f>IF(ISBLANK(Table1[[#This Row],[ActualResult]]), 0, IF(Table1[[#This Row],[ActualWinner]]=Table1[[#This Row],[PredictedWinner]], 1, 0))</f>
        <v>0</v>
      </c>
      <c r="AD54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4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49" s="64">
        <f>IF(AND(Table1[[#This Row],[GameIsOver]]=1,Table1[[#This Row],[ActualAwayScore]]=0), 1,0)</f>
        <v>0</v>
      </c>
      <c r="AG549" s="64">
        <f>IF(AND(Table1[[#This Row],[GameIsOver]]=1,Table1[[#This Row],[ActualHomeScore]]=0), 1,0)</f>
        <v>0</v>
      </c>
      <c r="AH549" s="64">
        <f>IF(Table1[[#This Row],[GameIsOver]]=0,0,IF(Table1[[#This Row],[ActualWinner]]=Table1[[#This Row],[AwayTeam]], 1, 0))</f>
        <v>0</v>
      </c>
      <c r="AI549" s="64">
        <f>IF(Table1[[#This Row],[GameIsOver]]=0,0,IF(Table1[[#This Row],[ActualWinner]]=Table1[[#This Row],[HomeTeam]], 1, 0))</f>
        <v>0</v>
      </c>
      <c r="AJ549" s="64">
        <f>IF(INDEX(Standings!$A$2:$C$33,MATCH(Table1[[#This Row],[AwayTeam]],Standings!$A$2:$A$33,0),2)=INDEX(Standings!$A$2:$C$33,MATCH(Table1[[#This Row],[HomeTeam]],Standings!$A$2:$A$33,0),2),1,0)</f>
        <v>0</v>
      </c>
      <c r="AK549" s="64">
        <f>IF(INDEX(Standings!$A$2:$C$33,MATCH(Table1[[#This Row],[AwayTeam]],Standings!$A$2:$A$33,0),3)=INDEX(Standings!$A$2:$C$33,MATCH(Table1[[#This Row],[HomeTeam]],Standings!$A$2:$A$33,0),3),1,0)</f>
        <v>0</v>
      </c>
      <c r="AL549" s="64">
        <f>IF(Table1[[#This Row],[InterConf]]=1,IF(Table1[[#This Row],[InterDiv]]=0, 1, 0), 0)</f>
        <v>0</v>
      </c>
      <c r="AM549" s="64">
        <f>IF(INDEX(Standings!$A$2:$C$33,MATCH(Table1[[#This Row],[AwayTeam]],Standings!$A$2:$A$33,0),2)&lt;&gt;INDEX(Standings!$A$2:$C$33,MATCH(Table1[[#This Row],[HomeTeam]],Standings!$A$2:$A$33,0),2),1,0)</f>
        <v>1</v>
      </c>
      <c r="AN549" s="64" t="str">
        <f>INDEX(Table2[AWAY_RECORD], MATCH(Table1[[#This Row],[AwayTeam]],Table2[Team], 0), 0)</f>
        <v>1-0-0</v>
      </c>
      <c r="AO549" s="64" t="str">
        <f>INDEX(Records!$B$2:$AG$33, MATCH(Table1[[#This Row],[AwayTeam]],Records!$A$2:$A$33, 0), MATCH(Table1[[#This Row],[HomeTeam]],Records!$A$2:$A$33, 0))</f>
        <v>0-0-0</v>
      </c>
      <c r="AP549" s="64" t="str">
        <f>INDEX(Table2[HOME_RECORD], MATCH(Table1[[#This Row],[HomeTeam]],Table2[Team], 0), 0)</f>
        <v>0-0-1</v>
      </c>
      <c r="AQ549" s="64" t="str">
        <f>INDEX(Records!$B$2:$AG$33, MATCH(Table1[[#This Row],[HomeTeam]],Records!$A$2:$A$33, 0), MATCH(Table1[[#This Row],[AwayTeam]],Records!$A$2:$A$33, 0))</f>
        <v>0-0-0</v>
      </c>
    </row>
    <row r="550" spans="1:43" x14ac:dyDescent="0.25">
      <c r="A550" s="1"/>
      <c r="D550" t="s">
        <v>809</v>
      </c>
      <c r="E550" t="s">
        <v>164</v>
      </c>
      <c r="F550" t="s">
        <v>812</v>
      </c>
      <c r="G550" t="s">
        <v>23</v>
      </c>
      <c r="H550" t="s">
        <v>36</v>
      </c>
      <c r="L55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5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50" s="1"/>
      <c r="T550" s="64" t="str">
        <f>IF(Table1[[#This Row],[ActualWinner]]="", "", IF(Table1[[#This Row],[AwayTeam]]=Table1[[#This Row],[ActualWinner]],Table1[[#This Row],[HomeTeam]],Table1[[#This Row],[AwayTeam]]))</f>
        <v/>
      </c>
      <c r="U550" s="64">
        <f>Table1[[#This Row],[ActualAwayScore]]-Table1[[#This Row],[PredictedAwayScore]]</f>
        <v>0</v>
      </c>
      <c r="V550" s="64">
        <f>Table1[[#This Row],[ActualHomeScore]]-Table1[[#This Row],[PredictedHomeScore]]</f>
        <v>0</v>
      </c>
      <c r="W550" s="64">
        <f>(0.8*IF(Table1[[#This Row],[CorrectWinnerPrediction]]=1, 1, 0))+(0.1*IF(Table1[[#This Row],[CorrectAwayScorePrediction]]=1, 1, 0))+(0.1*IF(Table1[[#This Row],[CorrectHomeScorePrediction]]=1, 1, 0))</f>
        <v>0</v>
      </c>
      <c r="X55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50" s="64">
        <f>SUMIF(Table1[GameDate], Table1[[#This Row],[GameDate]], Table1[AwayGameGoalDiff])</f>
        <v>0</v>
      </c>
      <c r="AA550" s="64">
        <f>SUMIF(Table1[GameDate], Table1[[#This Row],[GameDate]], Table1[HomeGameGoalDiff])</f>
        <v>0</v>
      </c>
      <c r="AB550" s="64">
        <f>IF(ISBLANK(Table1[[#This Row],[ActualResult]]), 0, 1)</f>
        <v>0</v>
      </c>
      <c r="AC550" s="64">
        <f>IF(ISBLANK(Table1[[#This Row],[ActualResult]]), 0, IF(Table1[[#This Row],[ActualWinner]]=Table1[[#This Row],[PredictedWinner]], 1, 0))</f>
        <v>0</v>
      </c>
      <c r="AD55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5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50" s="64">
        <f>IF(AND(Table1[[#This Row],[GameIsOver]]=1,Table1[[#This Row],[ActualAwayScore]]=0), 1,0)</f>
        <v>0</v>
      </c>
      <c r="AG550" s="64">
        <f>IF(AND(Table1[[#This Row],[GameIsOver]]=1,Table1[[#This Row],[ActualHomeScore]]=0), 1,0)</f>
        <v>0</v>
      </c>
      <c r="AH550" s="64">
        <f>IF(Table1[[#This Row],[GameIsOver]]=0,0,IF(Table1[[#This Row],[ActualWinner]]=Table1[[#This Row],[AwayTeam]], 1, 0))</f>
        <v>0</v>
      </c>
      <c r="AI550" s="64">
        <f>IF(Table1[[#This Row],[GameIsOver]]=0,0,IF(Table1[[#This Row],[ActualWinner]]=Table1[[#This Row],[HomeTeam]], 1, 0))</f>
        <v>0</v>
      </c>
      <c r="AJ550" s="64">
        <f>IF(INDEX(Standings!$A$2:$C$33,MATCH(Table1[[#This Row],[AwayTeam]],Standings!$A$2:$A$33,0),2)=INDEX(Standings!$A$2:$C$33,MATCH(Table1[[#This Row],[HomeTeam]],Standings!$A$2:$A$33,0),2),1,0)</f>
        <v>1</v>
      </c>
      <c r="AK550" s="64">
        <f>IF(INDEX(Standings!$A$2:$C$33,MATCH(Table1[[#This Row],[AwayTeam]],Standings!$A$2:$A$33,0),3)=INDEX(Standings!$A$2:$C$33,MATCH(Table1[[#This Row],[HomeTeam]],Standings!$A$2:$A$33,0),3),1,0)</f>
        <v>1</v>
      </c>
      <c r="AL550" s="64">
        <f>IF(Table1[[#This Row],[InterConf]]=1,IF(Table1[[#This Row],[InterDiv]]=0, 1, 0), 0)</f>
        <v>0</v>
      </c>
      <c r="AM550" s="64">
        <f>IF(INDEX(Standings!$A$2:$C$33,MATCH(Table1[[#This Row],[AwayTeam]],Standings!$A$2:$A$33,0),2)&lt;&gt;INDEX(Standings!$A$2:$C$33,MATCH(Table1[[#This Row],[HomeTeam]],Standings!$A$2:$A$33,0),2),1,0)</f>
        <v>0</v>
      </c>
      <c r="AN550" s="64" t="str">
        <f>INDEX(Table2[AWAY_RECORD], MATCH(Table1[[#This Row],[AwayTeam]],Table2[Team], 0), 0)</f>
        <v>0-0-1</v>
      </c>
      <c r="AO550" s="64" t="str">
        <f>INDEX(Records!$B$2:$AG$33, MATCH(Table1[[#This Row],[AwayTeam]],Records!$A$2:$A$33, 0), MATCH(Table1[[#This Row],[HomeTeam]],Records!$A$2:$A$33, 0))</f>
        <v>0-0-0</v>
      </c>
      <c r="AP550" s="64" t="str">
        <f>INDEX(Table2[HOME_RECORD], MATCH(Table1[[#This Row],[HomeTeam]],Table2[Team], 0), 0)</f>
        <v>0-0-0</v>
      </c>
      <c r="AQ550" s="64" t="str">
        <f>INDEX(Records!$B$2:$AG$33, MATCH(Table1[[#This Row],[HomeTeam]],Records!$A$2:$A$33, 0), MATCH(Table1[[#This Row],[AwayTeam]],Records!$A$2:$A$33, 0))</f>
        <v>0-0-0</v>
      </c>
    </row>
    <row r="551" spans="1:43" x14ac:dyDescent="0.25">
      <c r="A551" s="1"/>
      <c r="D551" t="s">
        <v>813</v>
      </c>
      <c r="E551" t="s">
        <v>298</v>
      </c>
      <c r="F551" t="s">
        <v>814</v>
      </c>
      <c r="G551" t="s">
        <v>55</v>
      </c>
      <c r="H551" t="s">
        <v>25</v>
      </c>
      <c r="L55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5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51" s="1"/>
      <c r="T551" s="64" t="str">
        <f>IF(Table1[[#This Row],[ActualWinner]]="", "", IF(Table1[[#This Row],[AwayTeam]]=Table1[[#This Row],[ActualWinner]],Table1[[#This Row],[HomeTeam]],Table1[[#This Row],[AwayTeam]]))</f>
        <v/>
      </c>
      <c r="U551" s="64">
        <f>Table1[[#This Row],[ActualAwayScore]]-Table1[[#This Row],[PredictedAwayScore]]</f>
        <v>0</v>
      </c>
      <c r="V551" s="64">
        <f>Table1[[#This Row],[ActualHomeScore]]-Table1[[#This Row],[PredictedHomeScore]]</f>
        <v>0</v>
      </c>
      <c r="W551" s="64">
        <f>(0.8*IF(Table1[[#This Row],[CorrectWinnerPrediction]]=1, 1, 0))+(0.1*IF(Table1[[#This Row],[CorrectAwayScorePrediction]]=1, 1, 0))+(0.1*IF(Table1[[#This Row],[CorrectHomeScorePrediction]]=1, 1, 0))</f>
        <v>0</v>
      </c>
      <c r="X55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51" s="64">
        <f>SUMIF(Table1[GameDate], Table1[[#This Row],[GameDate]], Table1[AwayGameGoalDiff])</f>
        <v>0</v>
      </c>
      <c r="AA551" s="64">
        <f>SUMIF(Table1[GameDate], Table1[[#This Row],[GameDate]], Table1[HomeGameGoalDiff])</f>
        <v>0</v>
      </c>
      <c r="AB551" s="64">
        <f>IF(ISBLANK(Table1[[#This Row],[ActualResult]]), 0, 1)</f>
        <v>0</v>
      </c>
      <c r="AC551" s="64">
        <f>IF(ISBLANK(Table1[[#This Row],[ActualResult]]), 0, IF(Table1[[#This Row],[ActualWinner]]=Table1[[#This Row],[PredictedWinner]], 1, 0))</f>
        <v>0</v>
      </c>
      <c r="AD55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5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51" s="64">
        <f>IF(AND(Table1[[#This Row],[GameIsOver]]=1,Table1[[#This Row],[ActualAwayScore]]=0), 1,0)</f>
        <v>0</v>
      </c>
      <c r="AG551" s="64">
        <f>IF(AND(Table1[[#This Row],[GameIsOver]]=1,Table1[[#This Row],[ActualHomeScore]]=0), 1,0)</f>
        <v>0</v>
      </c>
      <c r="AH551" s="64">
        <f>IF(Table1[[#This Row],[GameIsOver]]=0,0,IF(Table1[[#This Row],[ActualWinner]]=Table1[[#This Row],[AwayTeam]], 1, 0))</f>
        <v>0</v>
      </c>
      <c r="AI551" s="64">
        <f>IF(Table1[[#This Row],[GameIsOver]]=0,0,IF(Table1[[#This Row],[ActualWinner]]=Table1[[#This Row],[HomeTeam]], 1, 0))</f>
        <v>0</v>
      </c>
      <c r="AJ551" s="64">
        <f>IF(INDEX(Standings!$A$2:$C$33,MATCH(Table1[[#This Row],[AwayTeam]],Standings!$A$2:$A$33,0),2)=INDEX(Standings!$A$2:$C$33,MATCH(Table1[[#This Row],[HomeTeam]],Standings!$A$2:$A$33,0),2),1,0)</f>
        <v>1</v>
      </c>
      <c r="AK551" s="64">
        <f>IF(INDEX(Standings!$A$2:$C$33,MATCH(Table1[[#This Row],[AwayTeam]],Standings!$A$2:$A$33,0),3)=INDEX(Standings!$A$2:$C$33,MATCH(Table1[[#This Row],[HomeTeam]],Standings!$A$2:$A$33,0),3),1,0)</f>
        <v>1</v>
      </c>
      <c r="AL551" s="64">
        <f>IF(Table1[[#This Row],[InterConf]]=1,IF(Table1[[#This Row],[InterDiv]]=0, 1, 0), 0)</f>
        <v>0</v>
      </c>
      <c r="AM551" s="64">
        <f>IF(INDEX(Standings!$A$2:$C$33,MATCH(Table1[[#This Row],[AwayTeam]],Standings!$A$2:$A$33,0),2)&lt;&gt;INDEX(Standings!$A$2:$C$33,MATCH(Table1[[#This Row],[HomeTeam]],Standings!$A$2:$A$33,0),2),1,0)</f>
        <v>0</v>
      </c>
      <c r="AN551" s="64" t="str">
        <f>INDEX(Table2[AWAY_RECORD], MATCH(Table1[[#This Row],[AwayTeam]],Table2[Team], 0), 0)</f>
        <v>0-0-0</v>
      </c>
      <c r="AO551" s="64" t="str">
        <f>INDEX(Records!$B$2:$AG$33, MATCH(Table1[[#This Row],[AwayTeam]],Records!$A$2:$A$33, 0), MATCH(Table1[[#This Row],[HomeTeam]],Records!$A$2:$A$33, 0))</f>
        <v>0-0-0</v>
      </c>
      <c r="AP551" s="64" t="str">
        <f>INDEX(Table2[HOME_RECORD], MATCH(Table1[[#This Row],[HomeTeam]],Table2[Team], 0), 0)</f>
        <v>0-0-1</v>
      </c>
      <c r="AQ551" s="64" t="str">
        <f>INDEX(Records!$B$2:$AG$33, MATCH(Table1[[#This Row],[HomeTeam]],Records!$A$2:$A$33, 0), MATCH(Table1[[#This Row],[AwayTeam]],Records!$A$2:$A$33, 0))</f>
        <v>0-0-0</v>
      </c>
    </row>
    <row r="552" spans="1:43" x14ac:dyDescent="0.25">
      <c r="A552" s="1"/>
      <c r="D552" t="s">
        <v>813</v>
      </c>
      <c r="E552" t="s">
        <v>162</v>
      </c>
      <c r="F552" t="s">
        <v>815</v>
      </c>
      <c r="G552" t="s">
        <v>61</v>
      </c>
      <c r="H552" t="s">
        <v>37</v>
      </c>
      <c r="L55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5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52" s="1"/>
      <c r="T552" s="64" t="str">
        <f>IF(Table1[[#This Row],[ActualWinner]]="", "", IF(Table1[[#This Row],[AwayTeam]]=Table1[[#This Row],[ActualWinner]],Table1[[#This Row],[HomeTeam]],Table1[[#This Row],[AwayTeam]]))</f>
        <v/>
      </c>
      <c r="U552" s="64">
        <f>Table1[[#This Row],[ActualAwayScore]]-Table1[[#This Row],[PredictedAwayScore]]</f>
        <v>0</v>
      </c>
      <c r="V552" s="64">
        <f>Table1[[#This Row],[ActualHomeScore]]-Table1[[#This Row],[PredictedHomeScore]]</f>
        <v>0</v>
      </c>
      <c r="W552" s="64">
        <f>(0.8*IF(Table1[[#This Row],[CorrectWinnerPrediction]]=1, 1, 0))+(0.1*IF(Table1[[#This Row],[CorrectAwayScorePrediction]]=1, 1, 0))+(0.1*IF(Table1[[#This Row],[CorrectHomeScorePrediction]]=1, 1, 0))</f>
        <v>0</v>
      </c>
      <c r="X55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52" s="64">
        <f>SUMIF(Table1[GameDate], Table1[[#This Row],[GameDate]], Table1[AwayGameGoalDiff])</f>
        <v>0</v>
      </c>
      <c r="AA552" s="64">
        <f>SUMIF(Table1[GameDate], Table1[[#This Row],[GameDate]], Table1[HomeGameGoalDiff])</f>
        <v>0</v>
      </c>
      <c r="AB552" s="64">
        <f>IF(ISBLANK(Table1[[#This Row],[ActualResult]]), 0, 1)</f>
        <v>0</v>
      </c>
      <c r="AC552" s="64">
        <f>IF(ISBLANK(Table1[[#This Row],[ActualResult]]), 0, IF(Table1[[#This Row],[ActualWinner]]=Table1[[#This Row],[PredictedWinner]], 1, 0))</f>
        <v>0</v>
      </c>
      <c r="AD55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5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52" s="64">
        <f>IF(AND(Table1[[#This Row],[GameIsOver]]=1,Table1[[#This Row],[ActualAwayScore]]=0), 1,0)</f>
        <v>0</v>
      </c>
      <c r="AG552" s="64">
        <f>IF(AND(Table1[[#This Row],[GameIsOver]]=1,Table1[[#This Row],[ActualHomeScore]]=0), 1,0)</f>
        <v>0</v>
      </c>
      <c r="AH552" s="64">
        <f>IF(Table1[[#This Row],[GameIsOver]]=0,0,IF(Table1[[#This Row],[ActualWinner]]=Table1[[#This Row],[AwayTeam]], 1, 0))</f>
        <v>0</v>
      </c>
      <c r="AI552" s="64">
        <f>IF(Table1[[#This Row],[GameIsOver]]=0,0,IF(Table1[[#This Row],[ActualWinner]]=Table1[[#This Row],[HomeTeam]], 1, 0))</f>
        <v>0</v>
      </c>
      <c r="AJ552" s="64">
        <f>IF(INDEX(Standings!$A$2:$C$33,MATCH(Table1[[#This Row],[AwayTeam]],Standings!$A$2:$A$33,0),2)=INDEX(Standings!$A$2:$C$33,MATCH(Table1[[#This Row],[HomeTeam]],Standings!$A$2:$A$33,0),2),1,0)</f>
        <v>0</v>
      </c>
      <c r="AK552" s="64">
        <f>IF(INDEX(Standings!$A$2:$C$33,MATCH(Table1[[#This Row],[AwayTeam]],Standings!$A$2:$A$33,0),3)=INDEX(Standings!$A$2:$C$33,MATCH(Table1[[#This Row],[HomeTeam]],Standings!$A$2:$A$33,0),3),1,0)</f>
        <v>0</v>
      </c>
      <c r="AL552" s="64">
        <f>IF(Table1[[#This Row],[InterConf]]=1,IF(Table1[[#This Row],[InterDiv]]=0, 1, 0), 0)</f>
        <v>0</v>
      </c>
      <c r="AM552" s="64">
        <f>IF(INDEX(Standings!$A$2:$C$33,MATCH(Table1[[#This Row],[AwayTeam]],Standings!$A$2:$A$33,0),2)&lt;&gt;INDEX(Standings!$A$2:$C$33,MATCH(Table1[[#This Row],[HomeTeam]],Standings!$A$2:$A$33,0),2),1,0)</f>
        <v>1</v>
      </c>
      <c r="AN552" s="64" t="str">
        <f>INDEX(Table2[AWAY_RECORD], MATCH(Table1[[#This Row],[AwayTeam]],Table2[Team], 0), 0)</f>
        <v>0-0-0</v>
      </c>
      <c r="AO552" s="64" t="str">
        <f>INDEX(Records!$B$2:$AG$33, MATCH(Table1[[#This Row],[AwayTeam]],Records!$A$2:$A$33, 0), MATCH(Table1[[#This Row],[HomeTeam]],Records!$A$2:$A$33, 0))</f>
        <v>0-0-0</v>
      </c>
      <c r="AP552" s="64" t="str">
        <f>INDEX(Table2[HOME_RECORD], MATCH(Table1[[#This Row],[HomeTeam]],Table2[Team], 0), 0)</f>
        <v>0-1-0</v>
      </c>
      <c r="AQ552" s="64" t="str">
        <f>INDEX(Records!$B$2:$AG$33, MATCH(Table1[[#This Row],[HomeTeam]],Records!$A$2:$A$33, 0), MATCH(Table1[[#This Row],[AwayTeam]],Records!$A$2:$A$33, 0))</f>
        <v>0-0-0</v>
      </c>
    </row>
    <row r="553" spans="1:43" x14ac:dyDescent="0.25">
      <c r="A553" s="1"/>
      <c r="D553" t="s">
        <v>813</v>
      </c>
      <c r="E553" t="s">
        <v>162</v>
      </c>
      <c r="F553" t="s">
        <v>816</v>
      </c>
      <c r="G553" t="s">
        <v>39</v>
      </c>
      <c r="H553" t="s">
        <v>57</v>
      </c>
      <c r="L55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5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53" s="1"/>
      <c r="T553" s="64" t="str">
        <f>IF(Table1[[#This Row],[ActualWinner]]="", "", IF(Table1[[#This Row],[AwayTeam]]=Table1[[#This Row],[ActualWinner]],Table1[[#This Row],[HomeTeam]],Table1[[#This Row],[AwayTeam]]))</f>
        <v/>
      </c>
      <c r="U553" s="64">
        <f>Table1[[#This Row],[ActualAwayScore]]-Table1[[#This Row],[PredictedAwayScore]]</f>
        <v>0</v>
      </c>
      <c r="V553" s="64">
        <f>Table1[[#This Row],[ActualHomeScore]]-Table1[[#This Row],[PredictedHomeScore]]</f>
        <v>0</v>
      </c>
      <c r="W553" s="64">
        <f>(0.8*IF(Table1[[#This Row],[CorrectWinnerPrediction]]=1, 1, 0))+(0.1*IF(Table1[[#This Row],[CorrectAwayScorePrediction]]=1, 1, 0))+(0.1*IF(Table1[[#This Row],[CorrectHomeScorePrediction]]=1, 1, 0))</f>
        <v>0</v>
      </c>
      <c r="X55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53" s="64">
        <f>SUMIF(Table1[GameDate], Table1[[#This Row],[GameDate]], Table1[AwayGameGoalDiff])</f>
        <v>0</v>
      </c>
      <c r="AA553" s="64">
        <f>SUMIF(Table1[GameDate], Table1[[#This Row],[GameDate]], Table1[HomeGameGoalDiff])</f>
        <v>0</v>
      </c>
      <c r="AB553" s="64">
        <f>IF(ISBLANK(Table1[[#This Row],[ActualResult]]), 0, 1)</f>
        <v>0</v>
      </c>
      <c r="AC553" s="64">
        <f>IF(ISBLANK(Table1[[#This Row],[ActualResult]]), 0, IF(Table1[[#This Row],[ActualWinner]]=Table1[[#This Row],[PredictedWinner]], 1, 0))</f>
        <v>0</v>
      </c>
      <c r="AD55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5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53" s="64">
        <f>IF(AND(Table1[[#This Row],[GameIsOver]]=1,Table1[[#This Row],[ActualAwayScore]]=0), 1,0)</f>
        <v>0</v>
      </c>
      <c r="AG553" s="64">
        <f>IF(AND(Table1[[#This Row],[GameIsOver]]=1,Table1[[#This Row],[ActualHomeScore]]=0), 1,0)</f>
        <v>0</v>
      </c>
      <c r="AH553" s="64">
        <f>IF(Table1[[#This Row],[GameIsOver]]=0,0,IF(Table1[[#This Row],[ActualWinner]]=Table1[[#This Row],[AwayTeam]], 1, 0))</f>
        <v>0</v>
      </c>
      <c r="AI553" s="64">
        <f>IF(Table1[[#This Row],[GameIsOver]]=0,0,IF(Table1[[#This Row],[ActualWinner]]=Table1[[#This Row],[HomeTeam]], 1, 0))</f>
        <v>0</v>
      </c>
      <c r="AJ553" s="64">
        <f>IF(INDEX(Standings!$A$2:$C$33,MATCH(Table1[[#This Row],[AwayTeam]],Standings!$A$2:$A$33,0),2)=INDEX(Standings!$A$2:$C$33,MATCH(Table1[[#This Row],[HomeTeam]],Standings!$A$2:$A$33,0),2),1,0)</f>
        <v>0</v>
      </c>
      <c r="AK553" s="64">
        <f>IF(INDEX(Standings!$A$2:$C$33,MATCH(Table1[[#This Row],[AwayTeam]],Standings!$A$2:$A$33,0),3)=INDEX(Standings!$A$2:$C$33,MATCH(Table1[[#This Row],[HomeTeam]],Standings!$A$2:$A$33,0),3),1,0)</f>
        <v>0</v>
      </c>
      <c r="AL553" s="64">
        <f>IF(Table1[[#This Row],[InterConf]]=1,IF(Table1[[#This Row],[InterDiv]]=0, 1, 0), 0)</f>
        <v>0</v>
      </c>
      <c r="AM553" s="64">
        <f>IF(INDEX(Standings!$A$2:$C$33,MATCH(Table1[[#This Row],[AwayTeam]],Standings!$A$2:$A$33,0),2)&lt;&gt;INDEX(Standings!$A$2:$C$33,MATCH(Table1[[#This Row],[HomeTeam]],Standings!$A$2:$A$33,0),2),1,0)</f>
        <v>1</v>
      </c>
      <c r="AN553" s="64" t="str">
        <f>INDEX(Table2[AWAY_RECORD], MATCH(Table1[[#This Row],[AwayTeam]],Table2[Team], 0), 0)</f>
        <v>0-0-0</v>
      </c>
      <c r="AO553" s="64" t="str">
        <f>INDEX(Records!$B$2:$AG$33, MATCH(Table1[[#This Row],[AwayTeam]],Records!$A$2:$A$33, 0), MATCH(Table1[[#This Row],[HomeTeam]],Records!$A$2:$A$33, 0))</f>
        <v>0-0-0</v>
      </c>
      <c r="AP553" s="64" t="str">
        <f>INDEX(Table2[HOME_RECORD], MATCH(Table1[[#This Row],[HomeTeam]],Table2[Team], 0), 0)</f>
        <v>0-0-0</v>
      </c>
      <c r="AQ553" s="64" t="str">
        <f>INDEX(Records!$B$2:$AG$33, MATCH(Table1[[#This Row],[HomeTeam]],Records!$A$2:$A$33, 0), MATCH(Table1[[#This Row],[AwayTeam]],Records!$A$2:$A$33, 0))</f>
        <v>0-0-0</v>
      </c>
    </row>
    <row r="554" spans="1:43" x14ac:dyDescent="0.25">
      <c r="A554" s="1"/>
      <c r="D554" t="s">
        <v>813</v>
      </c>
      <c r="E554" t="s">
        <v>162</v>
      </c>
      <c r="F554" t="s">
        <v>817</v>
      </c>
      <c r="G554" t="s">
        <v>24</v>
      </c>
      <c r="H554" t="s">
        <v>49</v>
      </c>
      <c r="L55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5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54" s="1"/>
      <c r="T554" s="64" t="str">
        <f>IF(Table1[[#This Row],[ActualWinner]]="", "", IF(Table1[[#This Row],[AwayTeam]]=Table1[[#This Row],[ActualWinner]],Table1[[#This Row],[HomeTeam]],Table1[[#This Row],[AwayTeam]]))</f>
        <v/>
      </c>
      <c r="U554" s="64">
        <f>Table1[[#This Row],[ActualAwayScore]]-Table1[[#This Row],[PredictedAwayScore]]</f>
        <v>0</v>
      </c>
      <c r="V554" s="64">
        <f>Table1[[#This Row],[ActualHomeScore]]-Table1[[#This Row],[PredictedHomeScore]]</f>
        <v>0</v>
      </c>
      <c r="W554" s="64">
        <f>(0.8*IF(Table1[[#This Row],[CorrectWinnerPrediction]]=1, 1, 0))+(0.1*IF(Table1[[#This Row],[CorrectAwayScorePrediction]]=1, 1, 0))+(0.1*IF(Table1[[#This Row],[CorrectHomeScorePrediction]]=1, 1, 0))</f>
        <v>0</v>
      </c>
      <c r="X55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54" s="64">
        <f>SUMIF(Table1[GameDate], Table1[[#This Row],[GameDate]], Table1[AwayGameGoalDiff])</f>
        <v>0</v>
      </c>
      <c r="AA554" s="64">
        <f>SUMIF(Table1[GameDate], Table1[[#This Row],[GameDate]], Table1[HomeGameGoalDiff])</f>
        <v>0</v>
      </c>
      <c r="AB554" s="64">
        <f>IF(ISBLANK(Table1[[#This Row],[ActualResult]]), 0, 1)</f>
        <v>0</v>
      </c>
      <c r="AC554" s="64">
        <f>IF(ISBLANK(Table1[[#This Row],[ActualResult]]), 0, IF(Table1[[#This Row],[ActualWinner]]=Table1[[#This Row],[PredictedWinner]], 1, 0))</f>
        <v>0</v>
      </c>
      <c r="AD55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5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54" s="64">
        <f>IF(AND(Table1[[#This Row],[GameIsOver]]=1,Table1[[#This Row],[ActualAwayScore]]=0), 1,0)</f>
        <v>0</v>
      </c>
      <c r="AG554" s="64">
        <f>IF(AND(Table1[[#This Row],[GameIsOver]]=1,Table1[[#This Row],[ActualHomeScore]]=0), 1,0)</f>
        <v>0</v>
      </c>
      <c r="AH554" s="64">
        <f>IF(Table1[[#This Row],[GameIsOver]]=0,0,IF(Table1[[#This Row],[ActualWinner]]=Table1[[#This Row],[AwayTeam]], 1, 0))</f>
        <v>0</v>
      </c>
      <c r="AI554" s="64">
        <f>IF(Table1[[#This Row],[GameIsOver]]=0,0,IF(Table1[[#This Row],[ActualWinner]]=Table1[[#This Row],[HomeTeam]], 1, 0))</f>
        <v>0</v>
      </c>
      <c r="AJ554" s="64">
        <f>IF(INDEX(Standings!$A$2:$C$33,MATCH(Table1[[#This Row],[AwayTeam]],Standings!$A$2:$A$33,0),2)=INDEX(Standings!$A$2:$C$33,MATCH(Table1[[#This Row],[HomeTeam]],Standings!$A$2:$A$33,0),2),1,0)</f>
        <v>1</v>
      </c>
      <c r="AK554" s="64">
        <f>IF(INDEX(Standings!$A$2:$C$33,MATCH(Table1[[#This Row],[AwayTeam]],Standings!$A$2:$A$33,0),3)=INDEX(Standings!$A$2:$C$33,MATCH(Table1[[#This Row],[HomeTeam]],Standings!$A$2:$A$33,0),3),1,0)</f>
        <v>0</v>
      </c>
      <c r="AL554" s="64">
        <f>IF(Table1[[#This Row],[InterConf]]=1,IF(Table1[[#This Row],[InterDiv]]=0, 1, 0), 0)</f>
        <v>1</v>
      </c>
      <c r="AM554" s="64">
        <f>IF(INDEX(Standings!$A$2:$C$33,MATCH(Table1[[#This Row],[AwayTeam]],Standings!$A$2:$A$33,0),2)&lt;&gt;INDEX(Standings!$A$2:$C$33,MATCH(Table1[[#This Row],[HomeTeam]],Standings!$A$2:$A$33,0),2),1,0)</f>
        <v>0</v>
      </c>
      <c r="AN554" s="64" t="str">
        <f>INDEX(Table2[AWAY_RECORD], MATCH(Table1[[#This Row],[AwayTeam]],Table2[Team], 0), 0)</f>
        <v>0-0-0</v>
      </c>
      <c r="AO554" s="64" t="str">
        <f>INDEX(Records!$B$2:$AG$33, MATCH(Table1[[#This Row],[AwayTeam]],Records!$A$2:$A$33, 0), MATCH(Table1[[#This Row],[HomeTeam]],Records!$A$2:$A$33, 0))</f>
        <v>0-0-0</v>
      </c>
      <c r="AP554" s="64" t="str">
        <f>INDEX(Table2[HOME_RECORD], MATCH(Table1[[#This Row],[HomeTeam]],Table2[Team], 0), 0)</f>
        <v>1-0-0</v>
      </c>
      <c r="AQ554" s="64" t="str">
        <f>INDEX(Records!$B$2:$AG$33, MATCH(Table1[[#This Row],[HomeTeam]],Records!$A$2:$A$33, 0), MATCH(Table1[[#This Row],[AwayTeam]],Records!$A$2:$A$33, 0))</f>
        <v>0-0-0</v>
      </c>
    </row>
    <row r="555" spans="1:43" x14ac:dyDescent="0.25">
      <c r="A555" s="1"/>
      <c r="D555" t="s">
        <v>813</v>
      </c>
      <c r="E555" t="s">
        <v>162</v>
      </c>
      <c r="F555" t="s">
        <v>818</v>
      </c>
      <c r="G555" t="s">
        <v>46</v>
      </c>
      <c r="H555" t="s">
        <v>54</v>
      </c>
      <c r="L55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5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55" s="1"/>
      <c r="T555" s="64" t="str">
        <f>IF(Table1[[#This Row],[ActualWinner]]="", "", IF(Table1[[#This Row],[AwayTeam]]=Table1[[#This Row],[ActualWinner]],Table1[[#This Row],[HomeTeam]],Table1[[#This Row],[AwayTeam]]))</f>
        <v/>
      </c>
      <c r="U555" s="64">
        <f>Table1[[#This Row],[ActualAwayScore]]-Table1[[#This Row],[PredictedAwayScore]]</f>
        <v>0</v>
      </c>
      <c r="V555" s="64">
        <f>Table1[[#This Row],[ActualHomeScore]]-Table1[[#This Row],[PredictedHomeScore]]</f>
        <v>0</v>
      </c>
      <c r="W555" s="64">
        <f>(0.8*IF(Table1[[#This Row],[CorrectWinnerPrediction]]=1, 1, 0))+(0.1*IF(Table1[[#This Row],[CorrectAwayScorePrediction]]=1, 1, 0))+(0.1*IF(Table1[[#This Row],[CorrectHomeScorePrediction]]=1, 1, 0))</f>
        <v>0</v>
      </c>
      <c r="X55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55" s="64">
        <f>SUMIF(Table1[GameDate], Table1[[#This Row],[GameDate]], Table1[AwayGameGoalDiff])</f>
        <v>0</v>
      </c>
      <c r="AA555" s="64">
        <f>SUMIF(Table1[GameDate], Table1[[#This Row],[GameDate]], Table1[HomeGameGoalDiff])</f>
        <v>0</v>
      </c>
      <c r="AB555" s="64">
        <f>IF(ISBLANK(Table1[[#This Row],[ActualResult]]), 0, 1)</f>
        <v>0</v>
      </c>
      <c r="AC555" s="64">
        <f>IF(ISBLANK(Table1[[#This Row],[ActualResult]]), 0, IF(Table1[[#This Row],[ActualWinner]]=Table1[[#This Row],[PredictedWinner]], 1, 0))</f>
        <v>0</v>
      </c>
      <c r="AD55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5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55" s="64">
        <f>IF(AND(Table1[[#This Row],[GameIsOver]]=1,Table1[[#This Row],[ActualAwayScore]]=0), 1,0)</f>
        <v>0</v>
      </c>
      <c r="AG555" s="64">
        <f>IF(AND(Table1[[#This Row],[GameIsOver]]=1,Table1[[#This Row],[ActualHomeScore]]=0), 1,0)</f>
        <v>0</v>
      </c>
      <c r="AH555" s="64">
        <f>IF(Table1[[#This Row],[GameIsOver]]=0,0,IF(Table1[[#This Row],[ActualWinner]]=Table1[[#This Row],[AwayTeam]], 1, 0))</f>
        <v>0</v>
      </c>
      <c r="AI555" s="64">
        <f>IF(Table1[[#This Row],[GameIsOver]]=0,0,IF(Table1[[#This Row],[ActualWinner]]=Table1[[#This Row],[HomeTeam]], 1, 0))</f>
        <v>0</v>
      </c>
      <c r="AJ555" s="64">
        <f>IF(INDEX(Standings!$A$2:$C$33,MATCH(Table1[[#This Row],[AwayTeam]],Standings!$A$2:$A$33,0),2)=INDEX(Standings!$A$2:$C$33,MATCH(Table1[[#This Row],[HomeTeam]],Standings!$A$2:$A$33,0),2),1,0)</f>
        <v>0</v>
      </c>
      <c r="AK555" s="64">
        <f>IF(INDEX(Standings!$A$2:$C$33,MATCH(Table1[[#This Row],[AwayTeam]],Standings!$A$2:$A$33,0),3)=INDEX(Standings!$A$2:$C$33,MATCH(Table1[[#This Row],[HomeTeam]],Standings!$A$2:$A$33,0),3),1,0)</f>
        <v>0</v>
      </c>
      <c r="AL555" s="64">
        <f>IF(Table1[[#This Row],[InterConf]]=1,IF(Table1[[#This Row],[InterDiv]]=0, 1, 0), 0)</f>
        <v>0</v>
      </c>
      <c r="AM555" s="64">
        <f>IF(INDEX(Standings!$A$2:$C$33,MATCH(Table1[[#This Row],[AwayTeam]],Standings!$A$2:$A$33,0),2)&lt;&gt;INDEX(Standings!$A$2:$C$33,MATCH(Table1[[#This Row],[HomeTeam]],Standings!$A$2:$A$33,0),2),1,0)</f>
        <v>1</v>
      </c>
      <c r="AN555" s="64" t="str">
        <f>INDEX(Table2[AWAY_RECORD], MATCH(Table1[[#This Row],[AwayTeam]],Table2[Team], 0), 0)</f>
        <v>1-0-0</v>
      </c>
      <c r="AO555" s="64" t="str">
        <f>INDEX(Records!$B$2:$AG$33, MATCH(Table1[[#This Row],[AwayTeam]],Records!$A$2:$A$33, 0), MATCH(Table1[[#This Row],[HomeTeam]],Records!$A$2:$A$33, 0))</f>
        <v>0-0-0</v>
      </c>
      <c r="AP555" s="64" t="str">
        <f>INDEX(Table2[HOME_RECORD], MATCH(Table1[[#This Row],[HomeTeam]],Table2[Team], 0), 0)</f>
        <v>0-0-0</v>
      </c>
      <c r="AQ555" s="64" t="str">
        <f>INDEX(Records!$B$2:$AG$33, MATCH(Table1[[#This Row],[HomeTeam]],Records!$A$2:$A$33, 0), MATCH(Table1[[#This Row],[AwayTeam]],Records!$A$2:$A$33, 0))</f>
        <v>0-0-0</v>
      </c>
    </row>
    <row r="556" spans="1:43" x14ac:dyDescent="0.25">
      <c r="A556" s="1"/>
      <c r="D556" t="s">
        <v>813</v>
      </c>
      <c r="E556" t="s">
        <v>162</v>
      </c>
      <c r="F556" t="s">
        <v>819</v>
      </c>
      <c r="G556" t="s">
        <v>44</v>
      </c>
      <c r="H556" t="s">
        <v>59</v>
      </c>
      <c r="L55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5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56" s="1"/>
      <c r="T556" s="64" t="str">
        <f>IF(Table1[[#This Row],[ActualWinner]]="", "", IF(Table1[[#This Row],[AwayTeam]]=Table1[[#This Row],[ActualWinner]],Table1[[#This Row],[HomeTeam]],Table1[[#This Row],[AwayTeam]]))</f>
        <v/>
      </c>
      <c r="U556" s="64">
        <f>Table1[[#This Row],[ActualAwayScore]]-Table1[[#This Row],[PredictedAwayScore]]</f>
        <v>0</v>
      </c>
      <c r="V556" s="64">
        <f>Table1[[#This Row],[ActualHomeScore]]-Table1[[#This Row],[PredictedHomeScore]]</f>
        <v>0</v>
      </c>
      <c r="W556" s="64">
        <f>(0.8*IF(Table1[[#This Row],[CorrectWinnerPrediction]]=1, 1, 0))+(0.1*IF(Table1[[#This Row],[CorrectAwayScorePrediction]]=1, 1, 0))+(0.1*IF(Table1[[#This Row],[CorrectHomeScorePrediction]]=1, 1, 0))</f>
        <v>0</v>
      </c>
      <c r="X55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56" s="64">
        <f>SUMIF(Table1[GameDate], Table1[[#This Row],[GameDate]], Table1[AwayGameGoalDiff])</f>
        <v>0</v>
      </c>
      <c r="AA556" s="64">
        <f>SUMIF(Table1[GameDate], Table1[[#This Row],[GameDate]], Table1[HomeGameGoalDiff])</f>
        <v>0</v>
      </c>
      <c r="AB556" s="64">
        <f>IF(ISBLANK(Table1[[#This Row],[ActualResult]]), 0, 1)</f>
        <v>0</v>
      </c>
      <c r="AC556" s="64">
        <f>IF(ISBLANK(Table1[[#This Row],[ActualResult]]), 0, IF(Table1[[#This Row],[ActualWinner]]=Table1[[#This Row],[PredictedWinner]], 1, 0))</f>
        <v>0</v>
      </c>
      <c r="AD55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5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56" s="64">
        <f>IF(AND(Table1[[#This Row],[GameIsOver]]=1,Table1[[#This Row],[ActualAwayScore]]=0), 1,0)</f>
        <v>0</v>
      </c>
      <c r="AG556" s="64">
        <f>IF(AND(Table1[[#This Row],[GameIsOver]]=1,Table1[[#This Row],[ActualHomeScore]]=0), 1,0)</f>
        <v>0</v>
      </c>
      <c r="AH556" s="64">
        <f>IF(Table1[[#This Row],[GameIsOver]]=0,0,IF(Table1[[#This Row],[ActualWinner]]=Table1[[#This Row],[AwayTeam]], 1, 0))</f>
        <v>0</v>
      </c>
      <c r="AI556" s="64">
        <f>IF(Table1[[#This Row],[GameIsOver]]=0,0,IF(Table1[[#This Row],[ActualWinner]]=Table1[[#This Row],[HomeTeam]], 1, 0))</f>
        <v>0</v>
      </c>
      <c r="AJ556" s="64">
        <f>IF(INDEX(Standings!$A$2:$C$33,MATCH(Table1[[#This Row],[AwayTeam]],Standings!$A$2:$A$33,0),2)=INDEX(Standings!$A$2:$C$33,MATCH(Table1[[#This Row],[HomeTeam]],Standings!$A$2:$A$33,0),2),1,0)</f>
        <v>1</v>
      </c>
      <c r="AK556" s="64">
        <f>IF(INDEX(Standings!$A$2:$C$33,MATCH(Table1[[#This Row],[AwayTeam]],Standings!$A$2:$A$33,0),3)=INDEX(Standings!$A$2:$C$33,MATCH(Table1[[#This Row],[HomeTeam]],Standings!$A$2:$A$33,0),3),1,0)</f>
        <v>0</v>
      </c>
      <c r="AL556" s="64">
        <f>IF(Table1[[#This Row],[InterConf]]=1,IF(Table1[[#This Row],[InterDiv]]=0, 1, 0), 0)</f>
        <v>1</v>
      </c>
      <c r="AM556" s="64">
        <f>IF(INDEX(Standings!$A$2:$C$33,MATCH(Table1[[#This Row],[AwayTeam]],Standings!$A$2:$A$33,0),2)&lt;&gt;INDEX(Standings!$A$2:$C$33,MATCH(Table1[[#This Row],[HomeTeam]],Standings!$A$2:$A$33,0),2),1,0)</f>
        <v>0</v>
      </c>
      <c r="AN556" s="64" t="str">
        <f>INDEX(Table2[AWAY_RECORD], MATCH(Table1[[#This Row],[AwayTeam]],Table2[Team], 0), 0)</f>
        <v>0-0-0</v>
      </c>
      <c r="AO556" s="64" t="str">
        <f>INDEX(Records!$B$2:$AG$33, MATCH(Table1[[#This Row],[AwayTeam]],Records!$A$2:$A$33, 0), MATCH(Table1[[#This Row],[HomeTeam]],Records!$A$2:$A$33, 0))</f>
        <v>0-0-0</v>
      </c>
      <c r="AP556" s="64" t="str">
        <f>INDEX(Table2[HOME_RECORD], MATCH(Table1[[#This Row],[HomeTeam]],Table2[Team], 0), 0)</f>
        <v>0-0-0</v>
      </c>
      <c r="AQ556" s="64" t="str">
        <f>INDEX(Records!$B$2:$AG$33, MATCH(Table1[[#This Row],[HomeTeam]],Records!$A$2:$A$33, 0), MATCH(Table1[[#This Row],[AwayTeam]],Records!$A$2:$A$33, 0))</f>
        <v>0-0-0</v>
      </c>
    </row>
    <row r="557" spans="1:43" x14ac:dyDescent="0.25">
      <c r="A557" s="1"/>
      <c r="D557" t="s">
        <v>813</v>
      </c>
      <c r="E557" t="s">
        <v>162</v>
      </c>
      <c r="F557" t="s">
        <v>820</v>
      </c>
      <c r="G557" t="s">
        <v>56</v>
      </c>
      <c r="H557" t="s">
        <v>42</v>
      </c>
      <c r="L55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5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57" s="1"/>
      <c r="T557" s="64" t="str">
        <f>IF(Table1[[#This Row],[ActualWinner]]="", "", IF(Table1[[#This Row],[AwayTeam]]=Table1[[#This Row],[ActualWinner]],Table1[[#This Row],[HomeTeam]],Table1[[#This Row],[AwayTeam]]))</f>
        <v/>
      </c>
      <c r="U557" s="64">
        <f>Table1[[#This Row],[ActualAwayScore]]-Table1[[#This Row],[PredictedAwayScore]]</f>
        <v>0</v>
      </c>
      <c r="V557" s="64">
        <f>Table1[[#This Row],[ActualHomeScore]]-Table1[[#This Row],[PredictedHomeScore]]</f>
        <v>0</v>
      </c>
      <c r="W557" s="64">
        <f>(0.8*IF(Table1[[#This Row],[CorrectWinnerPrediction]]=1, 1, 0))+(0.1*IF(Table1[[#This Row],[CorrectAwayScorePrediction]]=1, 1, 0))+(0.1*IF(Table1[[#This Row],[CorrectHomeScorePrediction]]=1, 1, 0))</f>
        <v>0</v>
      </c>
      <c r="X55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57" s="64">
        <f>SUMIF(Table1[GameDate], Table1[[#This Row],[GameDate]], Table1[AwayGameGoalDiff])</f>
        <v>0</v>
      </c>
      <c r="AA557" s="64">
        <f>SUMIF(Table1[GameDate], Table1[[#This Row],[GameDate]], Table1[HomeGameGoalDiff])</f>
        <v>0</v>
      </c>
      <c r="AB557" s="64">
        <f>IF(ISBLANK(Table1[[#This Row],[ActualResult]]), 0, 1)</f>
        <v>0</v>
      </c>
      <c r="AC557" s="64">
        <f>IF(ISBLANK(Table1[[#This Row],[ActualResult]]), 0, IF(Table1[[#This Row],[ActualWinner]]=Table1[[#This Row],[PredictedWinner]], 1, 0))</f>
        <v>0</v>
      </c>
      <c r="AD55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5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57" s="64">
        <f>IF(AND(Table1[[#This Row],[GameIsOver]]=1,Table1[[#This Row],[ActualAwayScore]]=0), 1,0)</f>
        <v>0</v>
      </c>
      <c r="AG557" s="64">
        <f>IF(AND(Table1[[#This Row],[GameIsOver]]=1,Table1[[#This Row],[ActualHomeScore]]=0), 1,0)</f>
        <v>0</v>
      </c>
      <c r="AH557" s="64">
        <f>IF(Table1[[#This Row],[GameIsOver]]=0,0,IF(Table1[[#This Row],[ActualWinner]]=Table1[[#This Row],[AwayTeam]], 1, 0))</f>
        <v>0</v>
      </c>
      <c r="AI557" s="64">
        <f>IF(Table1[[#This Row],[GameIsOver]]=0,0,IF(Table1[[#This Row],[ActualWinner]]=Table1[[#This Row],[HomeTeam]], 1, 0))</f>
        <v>0</v>
      </c>
      <c r="AJ557" s="64">
        <f>IF(INDEX(Standings!$A$2:$C$33,MATCH(Table1[[#This Row],[AwayTeam]],Standings!$A$2:$A$33,0),2)=INDEX(Standings!$A$2:$C$33,MATCH(Table1[[#This Row],[HomeTeam]],Standings!$A$2:$A$33,0),2),1,0)</f>
        <v>0</v>
      </c>
      <c r="AK557" s="64">
        <f>IF(INDEX(Standings!$A$2:$C$33,MATCH(Table1[[#This Row],[AwayTeam]],Standings!$A$2:$A$33,0),3)=INDEX(Standings!$A$2:$C$33,MATCH(Table1[[#This Row],[HomeTeam]],Standings!$A$2:$A$33,0),3),1,0)</f>
        <v>0</v>
      </c>
      <c r="AL557" s="64">
        <f>IF(Table1[[#This Row],[InterConf]]=1,IF(Table1[[#This Row],[InterDiv]]=0, 1, 0), 0)</f>
        <v>0</v>
      </c>
      <c r="AM557" s="64">
        <f>IF(INDEX(Standings!$A$2:$C$33,MATCH(Table1[[#This Row],[AwayTeam]],Standings!$A$2:$A$33,0),2)&lt;&gt;INDEX(Standings!$A$2:$C$33,MATCH(Table1[[#This Row],[HomeTeam]],Standings!$A$2:$A$33,0),2),1,0)</f>
        <v>1</v>
      </c>
      <c r="AN557" s="64" t="str">
        <f>INDEX(Table2[AWAY_RECORD], MATCH(Table1[[#This Row],[AwayTeam]],Table2[Team], 0), 0)</f>
        <v>1-0-0</v>
      </c>
      <c r="AO557" s="64" t="str">
        <f>INDEX(Records!$B$2:$AG$33, MATCH(Table1[[#This Row],[AwayTeam]],Records!$A$2:$A$33, 0), MATCH(Table1[[#This Row],[HomeTeam]],Records!$A$2:$A$33, 0))</f>
        <v>0-0-0</v>
      </c>
      <c r="AP557" s="64" t="str">
        <f>INDEX(Table2[HOME_RECORD], MATCH(Table1[[#This Row],[HomeTeam]],Table2[Team], 0), 0)</f>
        <v>1-0-0</v>
      </c>
      <c r="AQ557" s="64" t="str">
        <f>INDEX(Records!$B$2:$AG$33, MATCH(Table1[[#This Row],[HomeTeam]],Records!$A$2:$A$33, 0), MATCH(Table1[[#This Row],[AwayTeam]],Records!$A$2:$A$33, 0))</f>
        <v>0-0-0</v>
      </c>
    </row>
    <row r="558" spans="1:43" x14ac:dyDescent="0.25">
      <c r="A558" s="1"/>
      <c r="D558" t="s">
        <v>813</v>
      </c>
      <c r="E558" t="s">
        <v>178</v>
      </c>
      <c r="F558" t="s">
        <v>821</v>
      </c>
      <c r="G558" t="s">
        <v>43</v>
      </c>
      <c r="H558" t="s">
        <v>45</v>
      </c>
      <c r="L55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5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58" s="1"/>
      <c r="T558" s="64" t="str">
        <f>IF(Table1[[#This Row],[ActualWinner]]="", "", IF(Table1[[#This Row],[AwayTeam]]=Table1[[#This Row],[ActualWinner]],Table1[[#This Row],[HomeTeam]],Table1[[#This Row],[AwayTeam]]))</f>
        <v/>
      </c>
      <c r="U558" s="64">
        <f>Table1[[#This Row],[ActualAwayScore]]-Table1[[#This Row],[PredictedAwayScore]]</f>
        <v>0</v>
      </c>
      <c r="V558" s="64">
        <f>Table1[[#This Row],[ActualHomeScore]]-Table1[[#This Row],[PredictedHomeScore]]</f>
        <v>0</v>
      </c>
      <c r="W558" s="64">
        <f>(0.8*IF(Table1[[#This Row],[CorrectWinnerPrediction]]=1, 1, 0))+(0.1*IF(Table1[[#This Row],[CorrectAwayScorePrediction]]=1, 1, 0))+(0.1*IF(Table1[[#This Row],[CorrectHomeScorePrediction]]=1, 1, 0))</f>
        <v>0</v>
      </c>
      <c r="X55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58" s="64">
        <f>SUMIF(Table1[GameDate], Table1[[#This Row],[GameDate]], Table1[AwayGameGoalDiff])</f>
        <v>0</v>
      </c>
      <c r="AA558" s="64">
        <f>SUMIF(Table1[GameDate], Table1[[#This Row],[GameDate]], Table1[HomeGameGoalDiff])</f>
        <v>0</v>
      </c>
      <c r="AB558" s="64">
        <f>IF(ISBLANK(Table1[[#This Row],[ActualResult]]), 0, 1)</f>
        <v>0</v>
      </c>
      <c r="AC558" s="64">
        <f>IF(ISBLANK(Table1[[#This Row],[ActualResult]]), 0, IF(Table1[[#This Row],[ActualWinner]]=Table1[[#This Row],[PredictedWinner]], 1, 0))</f>
        <v>0</v>
      </c>
      <c r="AD55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5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58" s="64">
        <f>IF(AND(Table1[[#This Row],[GameIsOver]]=1,Table1[[#This Row],[ActualAwayScore]]=0), 1,0)</f>
        <v>0</v>
      </c>
      <c r="AG558" s="64">
        <f>IF(AND(Table1[[#This Row],[GameIsOver]]=1,Table1[[#This Row],[ActualHomeScore]]=0), 1,0)</f>
        <v>0</v>
      </c>
      <c r="AH558" s="64">
        <f>IF(Table1[[#This Row],[GameIsOver]]=0,0,IF(Table1[[#This Row],[ActualWinner]]=Table1[[#This Row],[AwayTeam]], 1, 0))</f>
        <v>0</v>
      </c>
      <c r="AI558" s="64">
        <f>IF(Table1[[#This Row],[GameIsOver]]=0,0,IF(Table1[[#This Row],[ActualWinner]]=Table1[[#This Row],[HomeTeam]], 1, 0))</f>
        <v>0</v>
      </c>
      <c r="AJ558" s="64">
        <f>IF(INDEX(Standings!$A$2:$C$33,MATCH(Table1[[#This Row],[AwayTeam]],Standings!$A$2:$A$33,0),2)=INDEX(Standings!$A$2:$C$33,MATCH(Table1[[#This Row],[HomeTeam]],Standings!$A$2:$A$33,0),2),1,0)</f>
        <v>1</v>
      </c>
      <c r="AK558" s="64">
        <f>IF(INDEX(Standings!$A$2:$C$33,MATCH(Table1[[#This Row],[AwayTeam]],Standings!$A$2:$A$33,0),3)=INDEX(Standings!$A$2:$C$33,MATCH(Table1[[#This Row],[HomeTeam]],Standings!$A$2:$A$33,0),3),1,0)</f>
        <v>0</v>
      </c>
      <c r="AL558" s="64">
        <f>IF(Table1[[#This Row],[InterConf]]=1,IF(Table1[[#This Row],[InterDiv]]=0, 1, 0), 0)</f>
        <v>1</v>
      </c>
      <c r="AM558" s="64">
        <f>IF(INDEX(Standings!$A$2:$C$33,MATCH(Table1[[#This Row],[AwayTeam]],Standings!$A$2:$A$33,0),2)&lt;&gt;INDEX(Standings!$A$2:$C$33,MATCH(Table1[[#This Row],[HomeTeam]],Standings!$A$2:$A$33,0),2),1,0)</f>
        <v>0</v>
      </c>
      <c r="AN558" s="64" t="str">
        <f>INDEX(Table2[AWAY_RECORD], MATCH(Table1[[#This Row],[AwayTeam]],Table2[Team], 0), 0)</f>
        <v>0-0-0</v>
      </c>
      <c r="AO558" s="64" t="str">
        <f>INDEX(Records!$B$2:$AG$33, MATCH(Table1[[#This Row],[AwayTeam]],Records!$A$2:$A$33, 0), MATCH(Table1[[#This Row],[HomeTeam]],Records!$A$2:$A$33, 0))</f>
        <v>0-0-0</v>
      </c>
      <c r="AP558" s="64" t="str">
        <f>INDEX(Table2[HOME_RECORD], MATCH(Table1[[#This Row],[HomeTeam]],Table2[Team], 0), 0)</f>
        <v>1-0-0</v>
      </c>
      <c r="AQ558" s="64" t="str">
        <f>INDEX(Records!$B$2:$AG$33, MATCH(Table1[[#This Row],[HomeTeam]],Records!$A$2:$A$33, 0), MATCH(Table1[[#This Row],[AwayTeam]],Records!$A$2:$A$33, 0))</f>
        <v>0-0-0</v>
      </c>
    </row>
    <row r="559" spans="1:43" x14ac:dyDescent="0.25">
      <c r="A559" s="1"/>
      <c r="D559" t="s">
        <v>813</v>
      </c>
      <c r="E559" t="s">
        <v>164</v>
      </c>
      <c r="F559" t="s">
        <v>822</v>
      </c>
      <c r="G559" t="s">
        <v>40</v>
      </c>
      <c r="H559" t="s">
        <v>58</v>
      </c>
      <c r="L55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5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59" s="1"/>
      <c r="T559" s="64" t="str">
        <f>IF(Table1[[#This Row],[ActualWinner]]="", "", IF(Table1[[#This Row],[AwayTeam]]=Table1[[#This Row],[ActualWinner]],Table1[[#This Row],[HomeTeam]],Table1[[#This Row],[AwayTeam]]))</f>
        <v/>
      </c>
      <c r="U559" s="64">
        <f>Table1[[#This Row],[ActualAwayScore]]-Table1[[#This Row],[PredictedAwayScore]]</f>
        <v>0</v>
      </c>
      <c r="V559" s="64">
        <f>Table1[[#This Row],[ActualHomeScore]]-Table1[[#This Row],[PredictedHomeScore]]</f>
        <v>0</v>
      </c>
      <c r="W559" s="64">
        <f>(0.8*IF(Table1[[#This Row],[CorrectWinnerPrediction]]=1, 1, 0))+(0.1*IF(Table1[[#This Row],[CorrectAwayScorePrediction]]=1, 1, 0))+(0.1*IF(Table1[[#This Row],[CorrectHomeScorePrediction]]=1, 1, 0))</f>
        <v>0</v>
      </c>
      <c r="X55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59" s="64">
        <f>SUMIF(Table1[GameDate], Table1[[#This Row],[GameDate]], Table1[AwayGameGoalDiff])</f>
        <v>0</v>
      </c>
      <c r="AA559" s="64">
        <f>SUMIF(Table1[GameDate], Table1[[#This Row],[GameDate]], Table1[HomeGameGoalDiff])</f>
        <v>0</v>
      </c>
      <c r="AB559" s="64">
        <f>IF(ISBLANK(Table1[[#This Row],[ActualResult]]), 0, 1)</f>
        <v>0</v>
      </c>
      <c r="AC559" s="64">
        <f>IF(ISBLANK(Table1[[#This Row],[ActualResult]]), 0, IF(Table1[[#This Row],[ActualWinner]]=Table1[[#This Row],[PredictedWinner]], 1, 0))</f>
        <v>0</v>
      </c>
      <c r="AD55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5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59" s="64">
        <f>IF(AND(Table1[[#This Row],[GameIsOver]]=1,Table1[[#This Row],[ActualAwayScore]]=0), 1,0)</f>
        <v>0</v>
      </c>
      <c r="AG559" s="64">
        <f>IF(AND(Table1[[#This Row],[GameIsOver]]=1,Table1[[#This Row],[ActualHomeScore]]=0), 1,0)</f>
        <v>0</v>
      </c>
      <c r="AH559" s="64">
        <f>IF(Table1[[#This Row],[GameIsOver]]=0,0,IF(Table1[[#This Row],[ActualWinner]]=Table1[[#This Row],[AwayTeam]], 1, 0))</f>
        <v>0</v>
      </c>
      <c r="AI559" s="64">
        <f>IF(Table1[[#This Row],[GameIsOver]]=0,0,IF(Table1[[#This Row],[ActualWinner]]=Table1[[#This Row],[HomeTeam]], 1, 0))</f>
        <v>0</v>
      </c>
      <c r="AJ559" s="64">
        <f>IF(INDEX(Standings!$A$2:$C$33,MATCH(Table1[[#This Row],[AwayTeam]],Standings!$A$2:$A$33,0),2)=INDEX(Standings!$A$2:$C$33,MATCH(Table1[[#This Row],[HomeTeam]],Standings!$A$2:$A$33,0),2),1,0)</f>
        <v>0</v>
      </c>
      <c r="AK559" s="64">
        <f>IF(INDEX(Standings!$A$2:$C$33,MATCH(Table1[[#This Row],[AwayTeam]],Standings!$A$2:$A$33,0),3)=INDEX(Standings!$A$2:$C$33,MATCH(Table1[[#This Row],[HomeTeam]],Standings!$A$2:$A$33,0),3),1,0)</f>
        <v>0</v>
      </c>
      <c r="AL559" s="64">
        <f>IF(Table1[[#This Row],[InterConf]]=1,IF(Table1[[#This Row],[InterDiv]]=0, 1, 0), 0)</f>
        <v>0</v>
      </c>
      <c r="AM559" s="64">
        <f>IF(INDEX(Standings!$A$2:$C$33,MATCH(Table1[[#This Row],[AwayTeam]],Standings!$A$2:$A$33,0),2)&lt;&gt;INDEX(Standings!$A$2:$C$33,MATCH(Table1[[#This Row],[HomeTeam]],Standings!$A$2:$A$33,0),2),1,0)</f>
        <v>1</v>
      </c>
      <c r="AN559" s="64" t="str">
        <f>INDEX(Table2[AWAY_RECORD], MATCH(Table1[[#This Row],[AwayTeam]],Table2[Team], 0), 0)</f>
        <v>0-0-0</v>
      </c>
      <c r="AO559" s="64" t="str">
        <f>INDEX(Records!$B$2:$AG$33, MATCH(Table1[[#This Row],[AwayTeam]],Records!$A$2:$A$33, 0), MATCH(Table1[[#This Row],[HomeTeam]],Records!$A$2:$A$33, 0))</f>
        <v>0-0-0</v>
      </c>
      <c r="AP559" s="64" t="str">
        <f>INDEX(Table2[HOME_RECORD], MATCH(Table1[[#This Row],[HomeTeam]],Table2[Team], 0), 0)</f>
        <v>1-0-0</v>
      </c>
      <c r="AQ559" s="64" t="str">
        <f>INDEX(Records!$B$2:$AG$33, MATCH(Table1[[#This Row],[HomeTeam]],Records!$A$2:$A$33, 0), MATCH(Table1[[#This Row],[AwayTeam]],Records!$A$2:$A$33, 0))</f>
        <v>0-0-0</v>
      </c>
    </row>
    <row r="560" spans="1:43" x14ac:dyDescent="0.25">
      <c r="A560" s="1"/>
      <c r="D560" t="s">
        <v>823</v>
      </c>
      <c r="E560" t="s">
        <v>432</v>
      </c>
      <c r="F560" t="s">
        <v>824</v>
      </c>
      <c r="G560" t="s">
        <v>16</v>
      </c>
      <c r="H560" t="s">
        <v>52</v>
      </c>
      <c r="L56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6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60" s="1"/>
      <c r="T560" s="64" t="str">
        <f>IF(Table1[[#This Row],[ActualWinner]]="", "", IF(Table1[[#This Row],[AwayTeam]]=Table1[[#This Row],[ActualWinner]],Table1[[#This Row],[HomeTeam]],Table1[[#This Row],[AwayTeam]]))</f>
        <v/>
      </c>
      <c r="U560" s="64">
        <f>Table1[[#This Row],[ActualAwayScore]]-Table1[[#This Row],[PredictedAwayScore]]</f>
        <v>0</v>
      </c>
      <c r="V560" s="64">
        <f>Table1[[#This Row],[ActualHomeScore]]-Table1[[#This Row],[PredictedHomeScore]]</f>
        <v>0</v>
      </c>
      <c r="W560" s="64">
        <f>(0.8*IF(Table1[[#This Row],[CorrectWinnerPrediction]]=1, 1, 0))+(0.1*IF(Table1[[#This Row],[CorrectAwayScorePrediction]]=1, 1, 0))+(0.1*IF(Table1[[#This Row],[CorrectHomeScorePrediction]]=1, 1, 0))</f>
        <v>0</v>
      </c>
      <c r="X56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60" s="64">
        <f>SUMIF(Table1[GameDate], Table1[[#This Row],[GameDate]], Table1[AwayGameGoalDiff])</f>
        <v>0</v>
      </c>
      <c r="AA560" s="64">
        <f>SUMIF(Table1[GameDate], Table1[[#This Row],[GameDate]], Table1[HomeGameGoalDiff])</f>
        <v>0</v>
      </c>
      <c r="AB560" s="64">
        <f>IF(ISBLANK(Table1[[#This Row],[ActualResult]]), 0, 1)</f>
        <v>0</v>
      </c>
      <c r="AC560" s="64">
        <f>IF(ISBLANK(Table1[[#This Row],[ActualResult]]), 0, IF(Table1[[#This Row],[ActualWinner]]=Table1[[#This Row],[PredictedWinner]], 1, 0))</f>
        <v>0</v>
      </c>
      <c r="AD56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6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60" s="64">
        <f>IF(AND(Table1[[#This Row],[GameIsOver]]=1,Table1[[#This Row],[ActualAwayScore]]=0), 1,0)</f>
        <v>0</v>
      </c>
      <c r="AG560" s="64">
        <f>IF(AND(Table1[[#This Row],[GameIsOver]]=1,Table1[[#This Row],[ActualHomeScore]]=0), 1,0)</f>
        <v>0</v>
      </c>
      <c r="AH560" s="64">
        <f>IF(Table1[[#This Row],[GameIsOver]]=0,0,IF(Table1[[#This Row],[ActualWinner]]=Table1[[#This Row],[AwayTeam]], 1, 0))</f>
        <v>0</v>
      </c>
      <c r="AI560" s="64">
        <f>IF(Table1[[#This Row],[GameIsOver]]=0,0,IF(Table1[[#This Row],[ActualWinner]]=Table1[[#This Row],[HomeTeam]], 1, 0))</f>
        <v>0</v>
      </c>
      <c r="AJ560" s="64">
        <f>IF(INDEX(Standings!$A$2:$C$33,MATCH(Table1[[#This Row],[AwayTeam]],Standings!$A$2:$A$33,0),2)=INDEX(Standings!$A$2:$C$33,MATCH(Table1[[#This Row],[HomeTeam]],Standings!$A$2:$A$33,0),2),1,0)</f>
        <v>0</v>
      </c>
      <c r="AK560" s="64">
        <f>IF(INDEX(Standings!$A$2:$C$33,MATCH(Table1[[#This Row],[AwayTeam]],Standings!$A$2:$A$33,0),3)=INDEX(Standings!$A$2:$C$33,MATCH(Table1[[#This Row],[HomeTeam]],Standings!$A$2:$A$33,0),3),1,0)</f>
        <v>0</v>
      </c>
      <c r="AL560" s="64">
        <f>IF(Table1[[#This Row],[InterConf]]=1,IF(Table1[[#This Row],[InterDiv]]=0, 1, 0), 0)</f>
        <v>0</v>
      </c>
      <c r="AM560" s="64">
        <f>IF(INDEX(Standings!$A$2:$C$33,MATCH(Table1[[#This Row],[AwayTeam]],Standings!$A$2:$A$33,0),2)&lt;&gt;INDEX(Standings!$A$2:$C$33,MATCH(Table1[[#This Row],[HomeTeam]],Standings!$A$2:$A$33,0),2),1,0)</f>
        <v>1</v>
      </c>
      <c r="AN560" s="64" t="str">
        <f>INDEX(Table2[AWAY_RECORD], MATCH(Table1[[#This Row],[AwayTeam]],Table2[Team], 0), 0)</f>
        <v>1-0-1</v>
      </c>
      <c r="AO560" s="64" t="str">
        <f>INDEX(Records!$B$2:$AG$33, MATCH(Table1[[#This Row],[AwayTeam]],Records!$A$2:$A$33, 0), MATCH(Table1[[#This Row],[HomeTeam]],Records!$A$2:$A$33, 0))</f>
        <v>0-0-0</v>
      </c>
      <c r="AP560" s="64" t="str">
        <f>INDEX(Table2[HOME_RECORD], MATCH(Table1[[#This Row],[HomeTeam]],Table2[Team], 0), 0)</f>
        <v>0-0-0</v>
      </c>
      <c r="AQ560" s="64" t="str">
        <f>INDEX(Records!$B$2:$AG$33, MATCH(Table1[[#This Row],[HomeTeam]],Records!$A$2:$A$33, 0), MATCH(Table1[[#This Row],[AwayTeam]],Records!$A$2:$A$33, 0))</f>
        <v>0-0-0</v>
      </c>
    </row>
    <row r="561" spans="1:43" x14ac:dyDescent="0.25">
      <c r="A561" s="1"/>
      <c r="D561" t="s">
        <v>823</v>
      </c>
      <c r="E561" t="s">
        <v>162</v>
      </c>
      <c r="F561" t="s">
        <v>825</v>
      </c>
      <c r="G561" t="s">
        <v>47</v>
      </c>
      <c r="H561" t="s">
        <v>38</v>
      </c>
      <c r="L56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6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61" s="1"/>
      <c r="T561" s="64" t="str">
        <f>IF(Table1[[#This Row],[ActualWinner]]="", "", IF(Table1[[#This Row],[AwayTeam]]=Table1[[#This Row],[ActualWinner]],Table1[[#This Row],[HomeTeam]],Table1[[#This Row],[AwayTeam]]))</f>
        <v/>
      </c>
      <c r="U561" s="64">
        <f>Table1[[#This Row],[ActualAwayScore]]-Table1[[#This Row],[PredictedAwayScore]]</f>
        <v>0</v>
      </c>
      <c r="V561" s="64">
        <f>Table1[[#This Row],[ActualHomeScore]]-Table1[[#This Row],[PredictedHomeScore]]</f>
        <v>0</v>
      </c>
      <c r="W561" s="64">
        <f>(0.8*IF(Table1[[#This Row],[CorrectWinnerPrediction]]=1, 1, 0))+(0.1*IF(Table1[[#This Row],[CorrectAwayScorePrediction]]=1, 1, 0))+(0.1*IF(Table1[[#This Row],[CorrectHomeScorePrediction]]=1, 1, 0))</f>
        <v>0</v>
      </c>
      <c r="X56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61" s="64">
        <f>SUMIF(Table1[GameDate], Table1[[#This Row],[GameDate]], Table1[AwayGameGoalDiff])</f>
        <v>0</v>
      </c>
      <c r="AA561" s="64">
        <f>SUMIF(Table1[GameDate], Table1[[#This Row],[GameDate]], Table1[HomeGameGoalDiff])</f>
        <v>0</v>
      </c>
      <c r="AB561" s="64">
        <f>IF(ISBLANK(Table1[[#This Row],[ActualResult]]), 0, 1)</f>
        <v>0</v>
      </c>
      <c r="AC561" s="64">
        <f>IF(ISBLANK(Table1[[#This Row],[ActualResult]]), 0, IF(Table1[[#This Row],[ActualWinner]]=Table1[[#This Row],[PredictedWinner]], 1, 0))</f>
        <v>0</v>
      </c>
      <c r="AD56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6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61" s="64">
        <f>IF(AND(Table1[[#This Row],[GameIsOver]]=1,Table1[[#This Row],[ActualAwayScore]]=0), 1,0)</f>
        <v>0</v>
      </c>
      <c r="AG561" s="64">
        <f>IF(AND(Table1[[#This Row],[GameIsOver]]=1,Table1[[#This Row],[ActualHomeScore]]=0), 1,0)</f>
        <v>0</v>
      </c>
      <c r="AH561" s="64">
        <f>IF(Table1[[#This Row],[GameIsOver]]=0,0,IF(Table1[[#This Row],[ActualWinner]]=Table1[[#This Row],[AwayTeam]], 1, 0))</f>
        <v>0</v>
      </c>
      <c r="AI561" s="64">
        <f>IF(Table1[[#This Row],[GameIsOver]]=0,0,IF(Table1[[#This Row],[ActualWinner]]=Table1[[#This Row],[HomeTeam]], 1, 0))</f>
        <v>0</v>
      </c>
      <c r="AJ561" s="64">
        <f>IF(INDEX(Standings!$A$2:$C$33,MATCH(Table1[[#This Row],[AwayTeam]],Standings!$A$2:$A$33,0),2)=INDEX(Standings!$A$2:$C$33,MATCH(Table1[[#This Row],[HomeTeam]],Standings!$A$2:$A$33,0),2),1,0)</f>
        <v>1</v>
      </c>
      <c r="AK561" s="64">
        <f>IF(INDEX(Standings!$A$2:$C$33,MATCH(Table1[[#This Row],[AwayTeam]],Standings!$A$2:$A$33,0),3)=INDEX(Standings!$A$2:$C$33,MATCH(Table1[[#This Row],[HomeTeam]],Standings!$A$2:$A$33,0),3),1,0)</f>
        <v>1</v>
      </c>
      <c r="AL561" s="64">
        <f>IF(Table1[[#This Row],[InterConf]]=1,IF(Table1[[#This Row],[InterDiv]]=0, 1, 0), 0)</f>
        <v>0</v>
      </c>
      <c r="AM561" s="64">
        <f>IF(INDEX(Standings!$A$2:$C$33,MATCH(Table1[[#This Row],[AwayTeam]],Standings!$A$2:$A$33,0),2)&lt;&gt;INDEX(Standings!$A$2:$C$33,MATCH(Table1[[#This Row],[HomeTeam]],Standings!$A$2:$A$33,0),2),1,0)</f>
        <v>0</v>
      </c>
      <c r="AN561" s="64" t="str">
        <f>INDEX(Table2[AWAY_RECORD], MATCH(Table1[[#This Row],[AwayTeam]],Table2[Team], 0), 0)</f>
        <v>1-0-0</v>
      </c>
      <c r="AO561" s="64" t="str">
        <f>INDEX(Records!$B$2:$AG$33, MATCH(Table1[[#This Row],[AwayTeam]],Records!$A$2:$A$33, 0), MATCH(Table1[[#This Row],[HomeTeam]],Records!$A$2:$A$33, 0))</f>
        <v>0-0-0</v>
      </c>
      <c r="AP561" s="64" t="str">
        <f>INDEX(Table2[HOME_RECORD], MATCH(Table1[[#This Row],[HomeTeam]],Table2[Team], 0), 0)</f>
        <v>0-0-0</v>
      </c>
      <c r="AQ561" s="64" t="str">
        <f>INDEX(Records!$B$2:$AG$33, MATCH(Table1[[#This Row],[HomeTeam]],Records!$A$2:$A$33, 0), MATCH(Table1[[#This Row],[AwayTeam]],Records!$A$2:$A$33, 0))</f>
        <v>0-0-0</v>
      </c>
    </row>
    <row r="562" spans="1:43" x14ac:dyDescent="0.25">
      <c r="A562" s="1"/>
      <c r="D562" t="s">
        <v>823</v>
      </c>
      <c r="E562" t="s">
        <v>162</v>
      </c>
      <c r="F562" t="s">
        <v>826</v>
      </c>
      <c r="G562" t="s">
        <v>48</v>
      </c>
      <c r="H562" t="s">
        <v>51</v>
      </c>
      <c r="L56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6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62" s="1"/>
      <c r="T562" s="64" t="str">
        <f>IF(Table1[[#This Row],[ActualWinner]]="", "", IF(Table1[[#This Row],[AwayTeam]]=Table1[[#This Row],[ActualWinner]],Table1[[#This Row],[HomeTeam]],Table1[[#This Row],[AwayTeam]]))</f>
        <v/>
      </c>
      <c r="U562" s="64">
        <f>Table1[[#This Row],[ActualAwayScore]]-Table1[[#This Row],[PredictedAwayScore]]</f>
        <v>0</v>
      </c>
      <c r="V562" s="64">
        <f>Table1[[#This Row],[ActualHomeScore]]-Table1[[#This Row],[PredictedHomeScore]]</f>
        <v>0</v>
      </c>
      <c r="W562" s="64">
        <f>(0.8*IF(Table1[[#This Row],[CorrectWinnerPrediction]]=1, 1, 0))+(0.1*IF(Table1[[#This Row],[CorrectAwayScorePrediction]]=1, 1, 0))+(0.1*IF(Table1[[#This Row],[CorrectHomeScorePrediction]]=1, 1, 0))</f>
        <v>0</v>
      </c>
      <c r="X56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62" s="64">
        <f>SUMIF(Table1[GameDate], Table1[[#This Row],[GameDate]], Table1[AwayGameGoalDiff])</f>
        <v>0</v>
      </c>
      <c r="AA562" s="64">
        <f>SUMIF(Table1[GameDate], Table1[[#This Row],[GameDate]], Table1[HomeGameGoalDiff])</f>
        <v>0</v>
      </c>
      <c r="AB562" s="64">
        <f>IF(ISBLANK(Table1[[#This Row],[ActualResult]]), 0, 1)</f>
        <v>0</v>
      </c>
      <c r="AC562" s="64">
        <f>IF(ISBLANK(Table1[[#This Row],[ActualResult]]), 0, IF(Table1[[#This Row],[ActualWinner]]=Table1[[#This Row],[PredictedWinner]], 1, 0))</f>
        <v>0</v>
      </c>
      <c r="AD56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6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62" s="64">
        <f>IF(AND(Table1[[#This Row],[GameIsOver]]=1,Table1[[#This Row],[ActualAwayScore]]=0), 1,0)</f>
        <v>0</v>
      </c>
      <c r="AG562" s="64">
        <f>IF(AND(Table1[[#This Row],[GameIsOver]]=1,Table1[[#This Row],[ActualHomeScore]]=0), 1,0)</f>
        <v>0</v>
      </c>
      <c r="AH562" s="64">
        <f>IF(Table1[[#This Row],[GameIsOver]]=0,0,IF(Table1[[#This Row],[ActualWinner]]=Table1[[#This Row],[AwayTeam]], 1, 0))</f>
        <v>0</v>
      </c>
      <c r="AI562" s="64">
        <f>IF(Table1[[#This Row],[GameIsOver]]=0,0,IF(Table1[[#This Row],[ActualWinner]]=Table1[[#This Row],[HomeTeam]], 1, 0))</f>
        <v>0</v>
      </c>
      <c r="AJ562" s="64">
        <f>IF(INDEX(Standings!$A$2:$C$33,MATCH(Table1[[#This Row],[AwayTeam]],Standings!$A$2:$A$33,0),2)=INDEX(Standings!$A$2:$C$33,MATCH(Table1[[#This Row],[HomeTeam]],Standings!$A$2:$A$33,0),2),1,0)</f>
        <v>0</v>
      </c>
      <c r="AK562" s="64">
        <f>IF(INDEX(Standings!$A$2:$C$33,MATCH(Table1[[#This Row],[AwayTeam]],Standings!$A$2:$A$33,0),3)=INDEX(Standings!$A$2:$C$33,MATCH(Table1[[#This Row],[HomeTeam]],Standings!$A$2:$A$33,0),3),1,0)</f>
        <v>0</v>
      </c>
      <c r="AL562" s="64">
        <f>IF(Table1[[#This Row],[InterConf]]=1,IF(Table1[[#This Row],[InterDiv]]=0, 1, 0), 0)</f>
        <v>0</v>
      </c>
      <c r="AM562" s="64">
        <f>IF(INDEX(Standings!$A$2:$C$33,MATCH(Table1[[#This Row],[AwayTeam]],Standings!$A$2:$A$33,0),2)&lt;&gt;INDEX(Standings!$A$2:$C$33,MATCH(Table1[[#This Row],[HomeTeam]],Standings!$A$2:$A$33,0),2),1,0)</f>
        <v>1</v>
      </c>
      <c r="AN562" s="64" t="str">
        <f>INDEX(Table2[AWAY_RECORD], MATCH(Table1[[#This Row],[AwayTeam]],Table2[Team], 0), 0)</f>
        <v>0-0-0</v>
      </c>
      <c r="AO562" s="64" t="str">
        <f>INDEX(Records!$B$2:$AG$33, MATCH(Table1[[#This Row],[AwayTeam]],Records!$A$2:$A$33, 0), MATCH(Table1[[#This Row],[HomeTeam]],Records!$A$2:$A$33, 0))</f>
        <v>0-0-0</v>
      </c>
      <c r="AP562" s="64" t="str">
        <f>INDEX(Table2[HOME_RECORD], MATCH(Table1[[#This Row],[HomeTeam]],Table2[Team], 0), 0)</f>
        <v>1-0-0</v>
      </c>
      <c r="AQ562" s="64" t="str">
        <f>INDEX(Records!$B$2:$AG$33, MATCH(Table1[[#This Row],[HomeTeam]],Records!$A$2:$A$33, 0), MATCH(Table1[[#This Row],[AwayTeam]],Records!$A$2:$A$33, 0))</f>
        <v>0-0-0</v>
      </c>
    </row>
    <row r="563" spans="1:43" x14ac:dyDescent="0.25">
      <c r="A563" s="1"/>
      <c r="D563" t="s">
        <v>823</v>
      </c>
      <c r="E563" t="s">
        <v>162</v>
      </c>
      <c r="F563" t="s">
        <v>827</v>
      </c>
      <c r="G563" t="s">
        <v>44</v>
      </c>
      <c r="H563" t="s">
        <v>53</v>
      </c>
      <c r="L56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6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63" s="1"/>
      <c r="T563" s="64" t="str">
        <f>IF(Table1[[#This Row],[ActualWinner]]="", "", IF(Table1[[#This Row],[AwayTeam]]=Table1[[#This Row],[ActualWinner]],Table1[[#This Row],[HomeTeam]],Table1[[#This Row],[AwayTeam]]))</f>
        <v/>
      </c>
      <c r="U563" s="64">
        <f>Table1[[#This Row],[ActualAwayScore]]-Table1[[#This Row],[PredictedAwayScore]]</f>
        <v>0</v>
      </c>
      <c r="V563" s="64">
        <f>Table1[[#This Row],[ActualHomeScore]]-Table1[[#This Row],[PredictedHomeScore]]</f>
        <v>0</v>
      </c>
      <c r="W563" s="64">
        <f>(0.8*IF(Table1[[#This Row],[CorrectWinnerPrediction]]=1, 1, 0))+(0.1*IF(Table1[[#This Row],[CorrectAwayScorePrediction]]=1, 1, 0))+(0.1*IF(Table1[[#This Row],[CorrectHomeScorePrediction]]=1, 1, 0))</f>
        <v>0</v>
      </c>
      <c r="X56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63" s="64">
        <f>SUMIF(Table1[GameDate], Table1[[#This Row],[GameDate]], Table1[AwayGameGoalDiff])</f>
        <v>0</v>
      </c>
      <c r="AA563" s="64">
        <f>SUMIF(Table1[GameDate], Table1[[#This Row],[GameDate]], Table1[HomeGameGoalDiff])</f>
        <v>0</v>
      </c>
      <c r="AB563" s="64">
        <f>IF(ISBLANK(Table1[[#This Row],[ActualResult]]), 0, 1)</f>
        <v>0</v>
      </c>
      <c r="AC563" s="64">
        <f>IF(ISBLANK(Table1[[#This Row],[ActualResult]]), 0, IF(Table1[[#This Row],[ActualWinner]]=Table1[[#This Row],[PredictedWinner]], 1, 0))</f>
        <v>0</v>
      </c>
      <c r="AD56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6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63" s="64">
        <f>IF(AND(Table1[[#This Row],[GameIsOver]]=1,Table1[[#This Row],[ActualAwayScore]]=0), 1,0)</f>
        <v>0</v>
      </c>
      <c r="AG563" s="64">
        <f>IF(AND(Table1[[#This Row],[GameIsOver]]=1,Table1[[#This Row],[ActualHomeScore]]=0), 1,0)</f>
        <v>0</v>
      </c>
      <c r="AH563" s="64">
        <f>IF(Table1[[#This Row],[GameIsOver]]=0,0,IF(Table1[[#This Row],[ActualWinner]]=Table1[[#This Row],[AwayTeam]], 1, 0))</f>
        <v>0</v>
      </c>
      <c r="AI563" s="64">
        <f>IF(Table1[[#This Row],[GameIsOver]]=0,0,IF(Table1[[#This Row],[ActualWinner]]=Table1[[#This Row],[HomeTeam]], 1, 0))</f>
        <v>0</v>
      </c>
      <c r="AJ563" s="64">
        <f>IF(INDEX(Standings!$A$2:$C$33,MATCH(Table1[[#This Row],[AwayTeam]],Standings!$A$2:$A$33,0),2)=INDEX(Standings!$A$2:$C$33,MATCH(Table1[[#This Row],[HomeTeam]],Standings!$A$2:$A$33,0),2),1,0)</f>
        <v>1</v>
      </c>
      <c r="AK563" s="64">
        <f>IF(INDEX(Standings!$A$2:$C$33,MATCH(Table1[[#This Row],[AwayTeam]],Standings!$A$2:$A$33,0),3)=INDEX(Standings!$A$2:$C$33,MATCH(Table1[[#This Row],[HomeTeam]],Standings!$A$2:$A$33,0),3),1,0)</f>
        <v>0</v>
      </c>
      <c r="AL563" s="64">
        <f>IF(Table1[[#This Row],[InterConf]]=1,IF(Table1[[#This Row],[InterDiv]]=0, 1, 0), 0)</f>
        <v>1</v>
      </c>
      <c r="AM563" s="64">
        <f>IF(INDEX(Standings!$A$2:$C$33,MATCH(Table1[[#This Row],[AwayTeam]],Standings!$A$2:$A$33,0),2)&lt;&gt;INDEX(Standings!$A$2:$C$33,MATCH(Table1[[#This Row],[HomeTeam]],Standings!$A$2:$A$33,0),2),1,0)</f>
        <v>0</v>
      </c>
      <c r="AN563" s="64" t="str">
        <f>INDEX(Table2[AWAY_RECORD], MATCH(Table1[[#This Row],[AwayTeam]],Table2[Team], 0), 0)</f>
        <v>0-0-0</v>
      </c>
      <c r="AO563" s="64" t="str">
        <f>INDEX(Records!$B$2:$AG$33, MATCH(Table1[[#This Row],[AwayTeam]],Records!$A$2:$A$33, 0), MATCH(Table1[[#This Row],[HomeTeam]],Records!$A$2:$A$33, 0))</f>
        <v>0-0-0</v>
      </c>
      <c r="AP563" s="64" t="str">
        <f>INDEX(Table2[HOME_RECORD], MATCH(Table1[[#This Row],[HomeTeam]],Table2[Team], 0), 0)</f>
        <v>1-0-0</v>
      </c>
      <c r="AQ563" s="64" t="str">
        <f>INDEX(Records!$B$2:$AG$33, MATCH(Table1[[#This Row],[HomeTeam]],Records!$A$2:$A$33, 0), MATCH(Table1[[#This Row],[AwayTeam]],Records!$A$2:$A$33, 0))</f>
        <v>0-0-0</v>
      </c>
    </row>
    <row r="564" spans="1:43" x14ac:dyDescent="0.25">
      <c r="A564" s="1"/>
      <c r="D564" t="s">
        <v>823</v>
      </c>
      <c r="E564" t="s">
        <v>162</v>
      </c>
      <c r="F564" t="s">
        <v>828</v>
      </c>
      <c r="G564" t="s">
        <v>56</v>
      </c>
      <c r="H564" t="s">
        <v>54</v>
      </c>
      <c r="L56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6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64" s="1"/>
      <c r="T564" s="64" t="str">
        <f>IF(Table1[[#This Row],[ActualWinner]]="", "", IF(Table1[[#This Row],[AwayTeam]]=Table1[[#This Row],[ActualWinner]],Table1[[#This Row],[HomeTeam]],Table1[[#This Row],[AwayTeam]]))</f>
        <v/>
      </c>
      <c r="U564" s="64">
        <f>Table1[[#This Row],[ActualAwayScore]]-Table1[[#This Row],[PredictedAwayScore]]</f>
        <v>0</v>
      </c>
      <c r="V564" s="64">
        <f>Table1[[#This Row],[ActualHomeScore]]-Table1[[#This Row],[PredictedHomeScore]]</f>
        <v>0</v>
      </c>
      <c r="W564" s="64">
        <f>(0.8*IF(Table1[[#This Row],[CorrectWinnerPrediction]]=1, 1, 0))+(0.1*IF(Table1[[#This Row],[CorrectAwayScorePrediction]]=1, 1, 0))+(0.1*IF(Table1[[#This Row],[CorrectHomeScorePrediction]]=1, 1, 0))</f>
        <v>0</v>
      </c>
      <c r="X56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64" s="64">
        <f>SUMIF(Table1[GameDate], Table1[[#This Row],[GameDate]], Table1[AwayGameGoalDiff])</f>
        <v>0</v>
      </c>
      <c r="AA564" s="64">
        <f>SUMIF(Table1[GameDate], Table1[[#This Row],[GameDate]], Table1[HomeGameGoalDiff])</f>
        <v>0</v>
      </c>
      <c r="AB564" s="64">
        <f>IF(ISBLANK(Table1[[#This Row],[ActualResult]]), 0, 1)</f>
        <v>0</v>
      </c>
      <c r="AC564" s="64">
        <f>IF(ISBLANK(Table1[[#This Row],[ActualResult]]), 0, IF(Table1[[#This Row],[ActualWinner]]=Table1[[#This Row],[PredictedWinner]], 1, 0))</f>
        <v>0</v>
      </c>
      <c r="AD56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6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64" s="64">
        <f>IF(AND(Table1[[#This Row],[GameIsOver]]=1,Table1[[#This Row],[ActualAwayScore]]=0), 1,0)</f>
        <v>0</v>
      </c>
      <c r="AG564" s="64">
        <f>IF(AND(Table1[[#This Row],[GameIsOver]]=1,Table1[[#This Row],[ActualHomeScore]]=0), 1,0)</f>
        <v>0</v>
      </c>
      <c r="AH564" s="64">
        <f>IF(Table1[[#This Row],[GameIsOver]]=0,0,IF(Table1[[#This Row],[ActualWinner]]=Table1[[#This Row],[AwayTeam]], 1, 0))</f>
        <v>0</v>
      </c>
      <c r="AI564" s="64">
        <f>IF(Table1[[#This Row],[GameIsOver]]=0,0,IF(Table1[[#This Row],[ActualWinner]]=Table1[[#This Row],[HomeTeam]], 1, 0))</f>
        <v>0</v>
      </c>
      <c r="AJ564" s="64">
        <f>IF(INDEX(Standings!$A$2:$C$33,MATCH(Table1[[#This Row],[AwayTeam]],Standings!$A$2:$A$33,0),2)=INDEX(Standings!$A$2:$C$33,MATCH(Table1[[#This Row],[HomeTeam]],Standings!$A$2:$A$33,0),2),1,0)</f>
        <v>0</v>
      </c>
      <c r="AK564" s="64">
        <f>IF(INDEX(Standings!$A$2:$C$33,MATCH(Table1[[#This Row],[AwayTeam]],Standings!$A$2:$A$33,0),3)=INDEX(Standings!$A$2:$C$33,MATCH(Table1[[#This Row],[HomeTeam]],Standings!$A$2:$A$33,0),3),1,0)</f>
        <v>0</v>
      </c>
      <c r="AL564" s="64">
        <f>IF(Table1[[#This Row],[InterConf]]=1,IF(Table1[[#This Row],[InterDiv]]=0, 1, 0), 0)</f>
        <v>0</v>
      </c>
      <c r="AM564" s="64">
        <f>IF(INDEX(Standings!$A$2:$C$33,MATCH(Table1[[#This Row],[AwayTeam]],Standings!$A$2:$A$33,0),2)&lt;&gt;INDEX(Standings!$A$2:$C$33,MATCH(Table1[[#This Row],[HomeTeam]],Standings!$A$2:$A$33,0),2),1,0)</f>
        <v>1</v>
      </c>
      <c r="AN564" s="64" t="str">
        <f>INDEX(Table2[AWAY_RECORD], MATCH(Table1[[#This Row],[AwayTeam]],Table2[Team], 0), 0)</f>
        <v>1-0-0</v>
      </c>
      <c r="AO564" s="64" t="str">
        <f>INDEX(Records!$B$2:$AG$33, MATCH(Table1[[#This Row],[AwayTeam]],Records!$A$2:$A$33, 0), MATCH(Table1[[#This Row],[HomeTeam]],Records!$A$2:$A$33, 0))</f>
        <v>0-0-0</v>
      </c>
      <c r="AP564" s="64" t="str">
        <f>INDEX(Table2[HOME_RECORD], MATCH(Table1[[#This Row],[HomeTeam]],Table2[Team], 0), 0)</f>
        <v>0-0-0</v>
      </c>
      <c r="AQ564" s="64" t="str">
        <f>INDEX(Records!$B$2:$AG$33, MATCH(Table1[[#This Row],[HomeTeam]],Records!$A$2:$A$33, 0), MATCH(Table1[[#This Row],[AwayTeam]],Records!$A$2:$A$33, 0))</f>
        <v>0-0-0</v>
      </c>
    </row>
    <row r="565" spans="1:43" x14ac:dyDescent="0.25">
      <c r="A565" s="1"/>
      <c r="D565" t="s">
        <v>823</v>
      </c>
      <c r="E565" t="s">
        <v>178</v>
      </c>
      <c r="F565" t="s">
        <v>829</v>
      </c>
      <c r="G565" t="s">
        <v>36</v>
      </c>
      <c r="H565" t="s">
        <v>22</v>
      </c>
      <c r="L56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6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65" s="1"/>
      <c r="T565" s="64" t="str">
        <f>IF(Table1[[#This Row],[ActualWinner]]="", "", IF(Table1[[#This Row],[AwayTeam]]=Table1[[#This Row],[ActualWinner]],Table1[[#This Row],[HomeTeam]],Table1[[#This Row],[AwayTeam]]))</f>
        <v/>
      </c>
      <c r="U565" s="64">
        <f>Table1[[#This Row],[ActualAwayScore]]-Table1[[#This Row],[PredictedAwayScore]]</f>
        <v>0</v>
      </c>
      <c r="V565" s="64">
        <f>Table1[[#This Row],[ActualHomeScore]]-Table1[[#This Row],[PredictedHomeScore]]</f>
        <v>0</v>
      </c>
      <c r="W565" s="64">
        <f>(0.8*IF(Table1[[#This Row],[CorrectWinnerPrediction]]=1, 1, 0))+(0.1*IF(Table1[[#This Row],[CorrectAwayScorePrediction]]=1, 1, 0))+(0.1*IF(Table1[[#This Row],[CorrectHomeScorePrediction]]=1, 1, 0))</f>
        <v>0</v>
      </c>
      <c r="X56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65" s="64">
        <f>SUMIF(Table1[GameDate], Table1[[#This Row],[GameDate]], Table1[AwayGameGoalDiff])</f>
        <v>0</v>
      </c>
      <c r="AA565" s="64">
        <f>SUMIF(Table1[GameDate], Table1[[#This Row],[GameDate]], Table1[HomeGameGoalDiff])</f>
        <v>0</v>
      </c>
      <c r="AB565" s="64">
        <f>IF(ISBLANK(Table1[[#This Row],[ActualResult]]), 0, 1)</f>
        <v>0</v>
      </c>
      <c r="AC565" s="64">
        <f>IF(ISBLANK(Table1[[#This Row],[ActualResult]]), 0, IF(Table1[[#This Row],[ActualWinner]]=Table1[[#This Row],[PredictedWinner]], 1, 0))</f>
        <v>0</v>
      </c>
      <c r="AD56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6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65" s="64">
        <f>IF(AND(Table1[[#This Row],[GameIsOver]]=1,Table1[[#This Row],[ActualAwayScore]]=0), 1,0)</f>
        <v>0</v>
      </c>
      <c r="AG565" s="64">
        <f>IF(AND(Table1[[#This Row],[GameIsOver]]=1,Table1[[#This Row],[ActualHomeScore]]=0), 1,0)</f>
        <v>0</v>
      </c>
      <c r="AH565" s="64">
        <f>IF(Table1[[#This Row],[GameIsOver]]=0,0,IF(Table1[[#This Row],[ActualWinner]]=Table1[[#This Row],[AwayTeam]], 1, 0))</f>
        <v>0</v>
      </c>
      <c r="AI565" s="64">
        <f>IF(Table1[[#This Row],[GameIsOver]]=0,0,IF(Table1[[#This Row],[ActualWinner]]=Table1[[#This Row],[HomeTeam]], 1, 0))</f>
        <v>0</v>
      </c>
      <c r="AJ565" s="64">
        <f>IF(INDEX(Standings!$A$2:$C$33,MATCH(Table1[[#This Row],[AwayTeam]],Standings!$A$2:$A$33,0),2)=INDEX(Standings!$A$2:$C$33,MATCH(Table1[[#This Row],[HomeTeam]],Standings!$A$2:$A$33,0),2),1,0)</f>
        <v>1</v>
      </c>
      <c r="AK565" s="64">
        <f>IF(INDEX(Standings!$A$2:$C$33,MATCH(Table1[[#This Row],[AwayTeam]],Standings!$A$2:$A$33,0),3)=INDEX(Standings!$A$2:$C$33,MATCH(Table1[[#This Row],[HomeTeam]],Standings!$A$2:$A$33,0),3),1,0)</f>
        <v>0</v>
      </c>
      <c r="AL565" s="64">
        <f>IF(Table1[[#This Row],[InterConf]]=1,IF(Table1[[#This Row],[InterDiv]]=0, 1, 0), 0)</f>
        <v>1</v>
      </c>
      <c r="AM565" s="64">
        <f>IF(INDEX(Standings!$A$2:$C$33,MATCH(Table1[[#This Row],[AwayTeam]],Standings!$A$2:$A$33,0),2)&lt;&gt;INDEX(Standings!$A$2:$C$33,MATCH(Table1[[#This Row],[HomeTeam]],Standings!$A$2:$A$33,0),2),1,0)</f>
        <v>0</v>
      </c>
      <c r="AN565" s="64" t="str">
        <f>INDEX(Table2[AWAY_RECORD], MATCH(Table1[[#This Row],[AwayTeam]],Table2[Team], 0), 0)</f>
        <v>0-0-0</v>
      </c>
      <c r="AO565" s="64" t="str">
        <f>INDEX(Records!$B$2:$AG$33, MATCH(Table1[[#This Row],[AwayTeam]],Records!$A$2:$A$33, 0), MATCH(Table1[[#This Row],[HomeTeam]],Records!$A$2:$A$33, 0))</f>
        <v>0-0-0</v>
      </c>
      <c r="AP565" s="64" t="str">
        <f>INDEX(Table2[HOME_RECORD], MATCH(Table1[[#This Row],[HomeTeam]],Table2[Team], 0), 0)</f>
        <v>0-0-0</v>
      </c>
      <c r="AQ565" s="64" t="str">
        <f>INDEX(Records!$B$2:$AG$33, MATCH(Table1[[#This Row],[HomeTeam]],Records!$A$2:$A$33, 0), MATCH(Table1[[#This Row],[AwayTeam]],Records!$A$2:$A$33, 0))</f>
        <v>0-0-0</v>
      </c>
    </row>
    <row r="566" spans="1:43" x14ac:dyDescent="0.25">
      <c r="A566" s="1"/>
      <c r="D566" t="s">
        <v>823</v>
      </c>
      <c r="E566" t="s">
        <v>164</v>
      </c>
      <c r="F566" t="s">
        <v>830</v>
      </c>
      <c r="G566" t="s">
        <v>40</v>
      </c>
      <c r="H566" t="s">
        <v>41</v>
      </c>
      <c r="L56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6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66" s="1"/>
      <c r="T566" s="64" t="str">
        <f>IF(Table1[[#This Row],[ActualWinner]]="", "", IF(Table1[[#This Row],[AwayTeam]]=Table1[[#This Row],[ActualWinner]],Table1[[#This Row],[HomeTeam]],Table1[[#This Row],[AwayTeam]]))</f>
        <v/>
      </c>
      <c r="U566" s="64">
        <f>Table1[[#This Row],[ActualAwayScore]]-Table1[[#This Row],[PredictedAwayScore]]</f>
        <v>0</v>
      </c>
      <c r="V566" s="64">
        <f>Table1[[#This Row],[ActualHomeScore]]-Table1[[#This Row],[PredictedHomeScore]]</f>
        <v>0</v>
      </c>
      <c r="W566" s="64">
        <f>(0.8*IF(Table1[[#This Row],[CorrectWinnerPrediction]]=1, 1, 0))+(0.1*IF(Table1[[#This Row],[CorrectAwayScorePrediction]]=1, 1, 0))+(0.1*IF(Table1[[#This Row],[CorrectHomeScorePrediction]]=1, 1, 0))</f>
        <v>0</v>
      </c>
      <c r="X56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66" s="64">
        <f>SUMIF(Table1[GameDate], Table1[[#This Row],[GameDate]], Table1[AwayGameGoalDiff])</f>
        <v>0</v>
      </c>
      <c r="AA566" s="64">
        <f>SUMIF(Table1[GameDate], Table1[[#This Row],[GameDate]], Table1[HomeGameGoalDiff])</f>
        <v>0</v>
      </c>
      <c r="AB566" s="64">
        <f>IF(ISBLANK(Table1[[#This Row],[ActualResult]]), 0, 1)</f>
        <v>0</v>
      </c>
      <c r="AC566" s="64">
        <f>IF(ISBLANK(Table1[[#This Row],[ActualResult]]), 0, IF(Table1[[#This Row],[ActualWinner]]=Table1[[#This Row],[PredictedWinner]], 1, 0))</f>
        <v>0</v>
      </c>
      <c r="AD56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6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66" s="64">
        <f>IF(AND(Table1[[#This Row],[GameIsOver]]=1,Table1[[#This Row],[ActualAwayScore]]=0), 1,0)</f>
        <v>0</v>
      </c>
      <c r="AG566" s="64">
        <f>IF(AND(Table1[[#This Row],[GameIsOver]]=1,Table1[[#This Row],[ActualHomeScore]]=0), 1,0)</f>
        <v>0</v>
      </c>
      <c r="AH566" s="64">
        <f>IF(Table1[[#This Row],[GameIsOver]]=0,0,IF(Table1[[#This Row],[ActualWinner]]=Table1[[#This Row],[AwayTeam]], 1, 0))</f>
        <v>0</v>
      </c>
      <c r="AI566" s="64">
        <f>IF(Table1[[#This Row],[GameIsOver]]=0,0,IF(Table1[[#This Row],[ActualWinner]]=Table1[[#This Row],[HomeTeam]], 1, 0))</f>
        <v>0</v>
      </c>
      <c r="AJ566" s="64">
        <f>IF(INDEX(Standings!$A$2:$C$33,MATCH(Table1[[#This Row],[AwayTeam]],Standings!$A$2:$A$33,0),2)=INDEX(Standings!$A$2:$C$33,MATCH(Table1[[#This Row],[HomeTeam]],Standings!$A$2:$A$33,0),2),1,0)</f>
        <v>0</v>
      </c>
      <c r="AK566" s="64">
        <f>IF(INDEX(Standings!$A$2:$C$33,MATCH(Table1[[#This Row],[AwayTeam]],Standings!$A$2:$A$33,0),3)=INDEX(Standings!$A$2:$C$33,MATCH(Table1[[#This Row],[HomeTeam]],Standings!$A$2:$A$33,0),3),1,0)</f>
        <v>0</v>
      </c>
      <c r="AL566" s="64">
        <f>IF(Table1[[#This Row],[InterConf]]=1,IF(Table1[[#This Row],[InterDiv]]=0, 1, 0), 0)</f>
        <v>0</v>
      </c>
      <c r="AM566" s="64">
        <f>IF(INDEX(Standings!$A$2:$C$33,MATCH(Table1[[#This Row],[AwayTeam]],Standings!$A$2:$A$33,0),2)&lt;&gt;INDEX(Standings!$A$2:$C$33,MATCH(Table1[[#This Row],[HomeTeam]],Standings!$A$2:$A$33,0),2),1,0)</f>
        <v>1</v>
      </c>
      <c r="AN566" s="64" t="str">
        <f>INDEX(Table2[AWAY_RECORD], MATCH(Table1[[#This Row],[AwayTeam]],Table2[Team], 0), 0)</f>
        <v>0-0-0</v>
      </c>
      <c r="AO566" s="64" t="str">
        <f>INDEX(Records!$B$2:$AG$33, MATCH(Table1[[#This Row],[AwayTeam]],Records!$A$2:$A$33, 0), MATCH(Table1[[#This Row],[HomeTeam]],Records!$A$2:$A$33, 0))</f>
        <v>0-0-0</v>
      </c>
      <c r="AP566" s="64" t="str">
        <f>INDEX(Table2[HOME_RECORD], MATCH(Table1[[#This Row],[HomeTeam]],Table2[Team], 0), 0)</f>
        <v>0-0-1</v>
      </c>
      <c r="AQ566" s="64" t="str">
        <f>INDEX(Records!$B$2:$AG$33, MATCH(Table1[[#This Row],[HomeTeam]],Records!$A$2:$A$33, 0), MATCH(Table1[[#This Row],[AwayTeam]],Records!$A$2:$A$33, 0))</f>
        <v>0-0-0</v>
      </c>
    </row>
    <row r="567" spans="1:43" x14ac:dyDescent="0.25">
      <c r="A567" s="1"/>
      <c r="D567" t="s">
        <v>831</v>
      </c>
      <c r="E567" t="s">
        <v>298</v>
      </c>
      <c r="F567" t="s">
        <v>832</v>
      </c>
      <c r="G567" t="s">
        <v>50</v>
      </c>
      <c r="H567" t="s">
        <v>25</v>
      </c>
      <c r="L56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6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67" s="1"/>
      <c r="T567" s="64" t="str">
        <f>IF(Table1[[#This Row],[ActualWinner]]="", "", IF(Table1[[#This Row],[AwayTeam]]=Table1[[#This Row],[ActualWinner]],Table1[[#This Row],[HomeTeam]],Table1[[#This Row],[AwayTeam]]))</f>
        <v/>
      </c>
      <c r="U567" s="64">
        <f>Table1[[#This Row],[ActualAwayScore]]-Table1[[#This Row],[PredictedAwayScore]]</f>
        <v>0</v>
      </c>
      <c r="V567" s="64">
        <f>Table1[[#This Row],[ActualHomeScore]]-Table1[[#This Row],[PredictedHomeScore]]</f>
        <v>0</v>
      </c>
      <c r="W567" s="64">
        <f>(0.8*IF(Table1[[#This Row],[CorrectWinnerPrediction]]=1, 1, 0))+(0.1*IF(Table1[[#This Row],[CorrectAwayScorePrediction]]=1, 1, 0))+(0.1*IF(Table1[[#This Row],[CorrectHomeScorePrediction]]=1, 1, 0))</f>
        <v>0</v>
      </c>
      <c r="X56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67" s="64">
        <f>SUMIF(Table1[GameDate], Table1[[#This Row],[GameDate]], Table1[AwayGameGoalDiff])</f>
        <v>0</v>
      </c>
      <c r="AA567" s="64">
        <f>SUMIF(Table1[GameDate], Table1[[#This Row],[GameDate]], Table1[HomeGameGoalDiff])</f>
        <v>0</v>
      </c>
      <c r="AB567" s="64">
        <f>IF(ISBLANK(Table1[[#This Row],[ActualResult]]), 0, 1)</f>
        <v>0</v>
      </c>
      <c r="AC567" s="64">
        <f>IF(ISBLANK(Table1[[#This Row],[ActualResult]]), 0, IF(Table1[[#This Row],[ActualWinner]]=Table1[[#This Row],[PredictedWinner]], 1, 0))</f>
        <v>0</v>
      </c>
      <c r="AD56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6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67" s="64">
        <f>IF(AND(Table1[[#This Row],[GameIsOver]]=1,Table1[[#This Row],[ActualAwayScore]]=0), 1,0)</f>
        <v>0</v>
      </c>
      <c r="AG567" s="64">
        <f>IF(AND(Table1[[#This Row],[GameIsOver]]=1,Table1[[#This Row],[ActualHomeScore]]=0), 1,0)</f>
        <v>0</v>
      </c>
      <c r="AH567" s="64">
        <f>IF(Table1[[#This Row],[GameIsOver]]=0,0,IF(Table1[[#This Row],[ActualWinner]]=Table1[[#This Row],[AwayTeam]], 1, 0))</f>
        <v>0</v>
      </c>
      <c r="AI567" s="64">
        <f>IF(Table1[[#This Row],[GameIsOver]]=0,0,IF(Table1[[#This Row],[ActualWinner]]=Table1[[#This Row],[HomeTeam]], 1, 0))</f>
        <v>0</v>
      </c>
      <c r="AJ567" s="64">
        <f>IF(INDEX(Standings!$A$2:$C$33,MATCH(Table1[[#This Row],[AwayTeam]],Standings!$A$2:$A$33,0),2)=INDEX(Standings!$A$2:$C$33,MATCH(Table1[[#This Row],[HomeTeam]],Standings!$A$2:$A$33,0),2),1,0)</f>
        <v>0</v>
      </c>
      <c r="AK567" s="64">
        <f>IF(INDEX(Standings!$A$2:$C$33,MATCH(Table1[[#This Row],[AwayTeam]],Standings!$A$2:$A$33,0),3)=INDEX(Standings!$A$2:$C$33,MATCH(Table1[[#This Row],[HomeTeam]],Standings!$A$2:$A$33,0),3),1,0)</f>
        <v>0</v>
      </c>
      <c r="AL567" s="64">
        <f>IF(Table1[[#This Row],[InterConf]]=1,IF(Table1[[#This Row],[InterDiv]]=0, 1, 0), 0)</f>
        <v>0</v>
      </c>
      <c r="AM567" s="64">
        <f>IF(INDEX(Standings!$A$2:$C$33,MATCH(Table1[[#This Row],[AwayTeam]],Standings!$A$2:$A$33,0),2)&lt;&gt;INDEX(Standings!$A$2:$C$33,MATCH(Table1[[#This Row],[HomeTeam]],Standings!$A$2:$A$33,0),2),1,0)</f>
        <v>1</v>
      </c>
      <c r="AN567" s="64" t="str">
        <f>INDEX(Table2[AWAY_RECORD], MATCH(Table1[[#This Row],[AwayTeam]],Table2[Team], 0), 0)</f>
        <v>1-0-0</v>
      </c>
      <c r="AO567" s="64" t="str">
        <f>INDEX(Records!$B$2:$AG$33, MATCH(Table1[[#This Row],[AwayTeam]],Records!$A$2:$A$33, 0), MATCH(Table1[[#This Row],[HomeTeam]],Records!$A$2:$A$33, 0))</f>
        <v>0-0-0</v>
      </c>
      <c r="AP567" s="64" t="str">
        <f>INDEX(Table2[HOME_RECORD], MATCH(Table1[[#This Row],[HomeTeam]],Table2[Team], 0), 0)</f>
        <v>0-0-1</v>
      </c>
      <c r="AQ567" s="64" t="str">
        <f>INDEX(Records!$B$2:$AG$33, MATCH(Table1[[#This Row],[HomeTeam]],Records!$A$2:$A$33, 0), MATCH(Table1[[#This Row],[AwayTeam]],Records!$A$2:$A$33, 0))</f>
        <v>0-0-0</v>
      </c>
    </row>
    <row r="568" spans="1:43" x14ac:dyDescent="0.25">
      <c r="A568" s="1"/>
      <c r="D568" t="s">
        <v>831</v>
      </c>
      <c r="E568" t="s">
        <v>205</v>
      </c>
      <c r="F568" t="s">
        <v>833</v>
      </c>
      <c r="G568" t="s">
        <v>37</v>
      </c>
      <c r="H568" t="s">
        <v>49</v>
      </c>
      <c r="L56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6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68" s="1"/>
      <c r="T568" s="64" t="str">
        <f>IF(Table1[[#This Row],[ActualWinner]]="", "", IF(Table1[[#This Row],[AwayTeam]]=Table1[[#This Row],[ActualWinner]],Table1[[#This Row],[HomeTeam]],Table1[[#This Row],[AwayTeam]]))</f>
        <v/>
      </c>
      <c r="U568" s="64">
        <f>Table1[[#This Row],[ActualAwayScore]]-Table1[[#This Row],[PredictedAwayScore]]</f>
        <v>0</v>
      </c>
      <c r="V568" s="64">
        <f>Table1[[#This Row],[ActualHomeScore]]-Table1[[#This Row],[PredictedHomeScore]]</f>
        <v>0</v>
      </c>
      <c r="W568" s="64">
        <f>(0.8*IF(Table1[[#This Row],[CorrectWinnerPrediction]]=1, 1, 0))+(0.1*IF(Table1[[#This Row],[CorrectAwayScorePrediction]]=1, 1, 0))+(0.1*IF(Table1[[#This Row],[CorrectHomeScorePrediction]]=1, 1, 0))</f>
        <v>0</v>
      </c>
      <c r="X56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68" s="64">
        <f>SUMIF(Table1[GameDate], Table1[[#This Row],[GameDate]], Table1[AwayGameGoalDiff])</f>
        <v>0</v>
      </c>
      <c r="AA568" s="64">
        <f>SUMIF(Table1[GameDate], Table1[[#This Row],[GameDate]], Table1[HomeGameGoalDiff])</f>
        <v>0</v>
      </c>
      <c r="AB568" s="64">
        <f>IF(ISBLANK(Table1[[#This Row],[ActualResult]]), 0, 1)</f>
        <v>0</v>
      </c>
      <c r="AC568" s="64">
        <f>IF(ISBLANK(Table1[[#This Row],[ActualResult]]), 0, IF(Table1[[#This Row],[ActualWinner]]=Table1[[#This Row],[PredictedWinner]], 1, 0))</f>
        <v>0</v>
      </c>
      <c r="AD56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6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68" s="64">
        <f>IF(AND(Table1[[#This Row],[GameIsOver]]=1,Table1[[#This Row],[ActualAwayScore]]=0), 1,0)</f>
        <v>0</v>
      </c>
      <c r="AG568" s="64">
        <f>IF(AND(Table1[[#This Row],[GameIsOver]]=1,Table1[[#This Row],[ActualHomeScore]]=0), 1,0)</f>
        <v>0</v>
      </c>
      <c r="AH568" s="64">
        <f>IF(Table1[[#This Row],[GameIsOver]]=0,0,IF(Table1[[#This Row],[ActualWinner]]=Table1[[#This Row],[AwayTeam]], 1, 0))</f>
        <v>0</v>
      </c>
      <c r="AI568" s="64">
        <f>IF(Table1[[#This Row],[GameIsOver]]=0,0,IF(Table1[[#This Row],[ActualWinner]]=Table1[[#This Row],[HomeTeam]], 1, 0))</f>
        <v>0</v>
      </c>
      <c r="AJ568" s="64">
        <f>IF(INDEX(Standings!$A$2:$C$33,MATCH(Table1[[#This Row],[AwayTeam]],Standings!$A$2:$A$33,0),2)=INDEX(Standings!$A$2:$C$33,MATCH(Table1[[#This Row],[HomeTeam]],Standings!$A$2:$A$33,0),2),1,0)</f>
        <v>1</v>
      </c>
      <c r="AK568" s="64">
        <f>IF(INDEX(Standings!$A$2:$C$33,MATCH(Table1[[#This Row],[AwayTeam]],Standings!$A$2:$A$33,0),3)=INDEX(Standings!$A$2:$C$33,MATCH(Table1[[#This Row],[HomeTeam]],Standings!$A$2:$A$33,0),3),1,0)</f>
        <v>0</v>
      </c>
      <c r="AL568" s="64">
        <f>IF(Table1[[#This Row],[InterConf]]=1,IF(Table1[[#This Row],[InterDiv]]=0, 1, 0), 0)</f>
        <v>1</v>
      </c>
      <c r="AM568" s="64">
        <f>IF(INDEX(Standings!$A$2:$C$33,MATCH(Table1[[#This Row],[AwayTeam]],Standings!$A$2:$A$33,0),2)&lt;&gt;INDEX(Standings!$A$2:$C$33,MATCH(Table1[[#This Row],[HomeTeam]],Standings!$A$2:$A$33,0),2),1,0)</f>
        <v>0</v>
      </c>
      <c r="AN568" s="64" t="str">
        <f>INDEX(Table2[AWAY_RECORD], MATCH(Table1[[#This Row],[AwayTeam]],Table2[Team], 0), 0)</f>
        <v>0-0-1</v>
      </c>
      <c r="AO568" s="64" t="str">
        <f>INDEX(Records!$B$2:$AG$33, MATCH(Table1[[#This Row],[AwayTeam]],Records!$A$2:$A$33, 0), MATCH(Table1[[#This Row],[HomeTeam]],Records!$A$2:$A$33, 0))</f>
        <v>0-0-0</v>
      </c>
      <c r="AP568" s="64" t="str">
        <f>INDEX(Table2[HOME_RECORD], MATCH(Table1[[#This Row],[HomeTeam]],Table2[Team], 0), 0)</f>
        <v>1-0-0</v>
      </c>
      <c r="AQ568" s="64" t="str">
        <f>INDEX(Records!$B$2:$AG$33, MATCH(Table1[[#This Row],[HomeTeam]],Records!$A$2:$A$33, 0), MATCH(Table1[[#This Row],[AwayTeam]],Records!$A$2:$A$33, 0))</f>
        <v>0-0-0</v>
      </c>
    </row>
    <row r="569" spans="1:43" x14ac:dyDescent="0.25">
      <c r="A569" s="1"/>
      <c r="D569" t="s">
        <v>831</v>
      </c>
      <c r="E569" t="s">
        <v>432</v>
      </c>
      <c r="F569" t="s">
        <v>834</v>
      </c>
      <c r="G569" t="s">
        <v>39</v>
      </c>
      <c r="H569" t="s">
        <v>17</v>
      </c>
      <c r="L56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6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69" s="1"/>
      <c r="T569" s="64" t="str">
        <f>IF(Table1[[#This Row],[ActualWinner]]="", "", IF(Table1[[#This Row],[AwayTeam]]=Table1[[#This Row],[ActualWinner]],Table1[[#This Row],[HomeTeam]],Table1[[#This Row],[AwayTeam]]))</f>
        <v/>
      </c>
      <c r="U569" s="64">
        <f>Table1[[#This Row],[ActualAwayScore]]-Table1[[#This Row],[PredictedAwayScore]]</f>
        <v>0</v>
      </c>
      <c r="V569" s="64">
        <f>Table1[[#This Row],[ActualHomeScore]]-Table1[[#This Row],[PredictedHomeScore]]</f>
        <v>0</v>
      </c>
      <c r="W569" s="64">
        <f>(0.8*IF(Table1[[#This Row],[CorrectWinnerPrediction]]=1, 1, 0))+(0.1*IF(Table1[[#This Row],[CorrectAwayScorePrediction]]=1, 1, 0))+(0.1*IF(Table1[[#This Row],[CorrectHomeScorePrediction]]=1, 1, 0))</f>
        <v>0</v>
      </c>
      <c r="X56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69" s="64">
        <f>SUMIF(Table1[GameDate], Table1[[#This Row],[GameDate]], Table1[AwayGameGoalDiff])</f>
        <v>0</v>
      </c>
      <c r="AA569" s="64">
        <f>SUMIF(Table1[GameDate], Table1[[#This Row],[GameDate]], Table1[HomeGameGoalDiff])</f>
        <v>0</v>
      </c>
      <c r="AB569" s="64">
        <f>IF(ISBLANK(Table1[[#This Row],[ActualResult]]), 0, 1)</f>
        <v>0</v>
      </c>
      <c r="AC569" s="64">
        <f>IF(ISBLANK(Table1[[#This Row],[ActualResult]]), 0, IF(Table1[[#This Row],[ActualWinner]]=Table1[[#This Row],[PredictedWinner]], 1, 0))</f>
        <v>0</v>
      </c>
      <c r="AD56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6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69" s="64">
        <f>IF(AND(Table1[[#This Row],[GameIsOver]]=1,Table1[[#This Row],[ActualAwayScore]]=0), 1,0)</f>
        <v>0</v>
      </c>
      <c r="AG569" s="64">
        <f>IF(AND(Table1[[#This Row],[GameIsOver]]=1,Table1[[#This Row],[ActualHomeScore]]=0), 1,0)</f>
        <v>0</v>
      </c>
      <c r="AH569" s="64">
        <f>IF(Table1[[#This Row],[GameIsOver]]=0,0,IF(Table1[[#This Row],[ActualWinner]]=Table1[[#This Row],[AwayTeam]], 1, 0))</f>
        <v>0</v>
      </c>
      <c r="AI569" s="64">
        <f>IF(Table1[[#This Row],[GameIsOver]]=0,0,IF(Table1[[#This Row],[ActualWinner]]=Table1[[#This Row],[HomeTeam]], 1, 0))</f>
        <v>0</v>
      </c>
      <c r="AJ569" s="64">
        <f>IF(INDEX(Standings!$A$2:$C$33,MATCH(Table1[[#This Row],[AwayTeam]],Standings!$A$2:$A$33,0),2)=INDEX(Standings!$A$2:$C$33,MATCH(Table1[[#This Row],[HomeTeam]],Standings!$A$2:$A$33,0),2),1,0)</f>
        <v>0</v>
      </c>
      <c r="AK569" s="64">
        <f>IF(INDEX(Standings!$A$2:$C$33,MATCH(Table1[[#This Row],[AwayTeam]],Standings!$A$2:$A$33,0),3)=INDEX(Standings!$A$2:$C$33,MATCH(Table1[[#This Row],[HomeTeam]],Standings!$A$2:$A$33,0),3),1,0)</f>
        <v>0</v>
      </c>
      <c r="AL569" s="64">
        <f>IF(Table1[[#This Row],[InterConf]]=1,IF(Table1[[#This Row],[InterDiv]]=0, 1, 0), 0)</f>
        <v>0</v>
      </c>
      <c r="AM569" s="64">
        <f>IF(INDEX(Standings!$A$2:$C$33,MATCH(Table1[[#This Row],[AwayTeam]],Standings!$A$2:$A$33,0),2)&lt;&gt;INDEX(Standings!$A$2:$C$33,MATCH(Table1[[#This Row],[HomeTeam]],Standings!$A$2:$A$33,0),2),1,0)</f>
        <v>1</v>
      </c>
      <c r="AN569" s="64" t="str">
        <f>INDEX(Table2[AWAY_RECORD], MATCH(Table1[[#This Row],[AwayTeam]],Table2[Team], 0), 0)</f>
        <v>0-0-0</v>
      </c>
      <c r="AO569" s="64" t="str">
        <f>INDEX(Records!$B$2:$AG$33, MATCH(Table1[[#This Row],[AwayTeam]],Records!$A$2:$A$33, 0), MATCH(Table1[[#This Row],[HomeTeam]],Records!$A$2:$A$33, 0))</f>
        <v>0-0-0</v>
      </c>
      <c r="AP569" s="64" t="str">
        <f>INDEX(Table2[HOME_RECORD], MATCH(Table1[[#This Row],[HomeTeam]],Table2[Team], 0), 0)</f>
        <v>0-0-0</v>
      </c>
      <c r="AQ569" s="64" t="str">
        <f>INDEX(Records!$B$2:$AG$33, MATCH(Table1[[#This Row],[HomeTeam]],Records!$A$2:$A$33, 0), MATCH(Table1[[#This Row],[AwayTeam]],Records!$A$2:$A$33, 0))</f>
        <v>0-0-0</v>
      </c>
    </row>
    <row r="570" spans="1:43" x14ac:dyDescent="0.25">
      <c r="A570" s="1"/>
      <c r="D570" t="s">
        <v>831</v>
      </c>
      <c r="E570" t="s">
        <v>443</v>
      </c>
      <c r="F570" t="s">
        <v>835</v>
      </c>
      <c r="G570" t="s">
        <v>58</v>
      </c>
      <c r="H570" t="s">
        <v>45</v>
      </c>
      <c r="L57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7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70" s="1"/>
      <c r="T570" s="64" t="str">
        <f>IF(Table1[[#This Row],[ActualWinner]]="", "", IF(Table1[[#This Row],[AwayTeam]]=Table1[[#This Row],[ActualWinner]],Table1[[#This Row],[HomeTeam]],Table1[[#This Row],[AwayTeam]]))</f>
        <v/>
      </c>
      <c r="U570" s="64">
        <f>Table1[[#This Row],[ActualAwayScore]]-Table1[[#This Row],[PredictedAwayScore]]</f>
        <v>0</v>
      </c>
      <c r="V570" s="64">
        <f>Table1[[#This Row],[ActualHomeScore]]-Table1[[#This Row],[PredictedHomeScore]]</f>
        <v>0</v>
      </c>
      <c r="W570" s="64">
        <f>(0.8*IF(Table1[[#This Row],[CorrectWinnerPrediction]]=1, 1, 0))+(0.1*IF(Table1[[#This Row],[CorrectAwayScorePrediction]]=1, 1, 0))+(0.1*IF(Table1[[#This Row],[CorrectHomeScorePrediction]]=1, 1, 0))</f>
        <v>0</v>
      </c>
      <c r="X57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70" s="64">
        <f>SUMIF(Table1[GameDate], Table1[[#This Row],[GameDate]], Table1[AwayGameGoalDiff])</f>
        <v>0</v>
      </c>
      <c r="AA570" s="64">
        <f>SUMIF(Table1[GameDate], Table1[[#This Row],[GameDate]], Table1[HomeGameGoalDiff])</f>
        <v>0</v>
      </c>
      <c r="AB570" s="64">
        <f>IF(ISBLANK(Table1[[#This Row],[ActualResult]]), 0, 1)</f>
        <v>0</v>
      </c>
      <c r="AC570" s="64">
        <f>IF(ISBLANK(Table1[[#This Row],[ActualResult]]), 0, IF(Table1[[#This Row],[ActualWinner]]=Table1[[#This Row],[PredictedWinner]], 1, 0))</f>
        <v>0</v>
      </c>
      <c r="AD57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7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70" s="64">
        <f>IF(AND(Table1[[#This Row],[GameIsOver]]=1,Table1[[#This Row],[ActualAwayScore]]=0), 1,0)</f>
        <v>0</v>
      </c>
      <c r="AG570" s="64">
        <f>IF(AND(Table1[[#This Row],[GameIsOver]]=1,Table1[[#This Row],[ActualHomeScore]]=0), 1,0)</f>
        <v>0</v>
      </c>
      <c r="AH570" s="64">
        <f>IF(Table1[[#This Row],[GameIsOver]]=0,0,IF(Table1[[#This Row],[ActualWinner]]=Table1[[#This Row],[AwayTeam]], 1, 0))</f>
        <v>0</v>
      </c>
      <c r="AI570" s="64">
        <f>IF(Table1[[#This Row],[GameIsOver]]=0,0,IF(Table1[[#This Row],[ActualWinner]]=Table1[[#This Row],[HomeTeam]], 1, 0))</f>
        <v>0</v>
      </c>
      <c r="AJ570" s="64">
        <f>IF(INDEX(Standings!$A$2:$C$33,MATCH(Table1[[#This Row],[AwayTeam]],Standings!$A$2:$A$33,0),2)=INDEX(Standings!$A$2:$C$33,MATCH(Table1[[#This Row],[HomeTeam]],Standings!$A$2:$A$33,0),2),1,0)</f>
        <v>1</v>
      </c>
      <c r="AK570" s="64">
        <f>IF(INDEX(Standings!$A$2:$C$33,MATCH(Table1[[#This Row],[AwayTeam]],Standings!$A$2:$A$33,0),3)=INDEX(Standings!$A$2:$C$33,MATCH(Table1[[#This Row],[HomeTeam]],Standings!$A$2:$A$33,0),3),1,0)</f>
        <v>0</v>
      </c>
      <c r="AL570" s="64">
        <f>IF(Table1[[#This Row],[InterConf]]=1,IF(Table1[[#This Row],[InterDiv]]=0, 1, 0), 0)</f>
        <v>1</v>
      </c>
      <c r="AM570" s="64">
        <f>IF(INDEX(Standings!$A$2:$C$33,MATCH(Table1[[#This Row],[AwayTeam]],Standings!$A$2:$A$33,0),2)&lt;&gt;INDEX(Standings!$A$2:$C$33,MATCH(Table1[[#This Row],[HomeTeam]],Standings!$A$2:$A$33,0),2),1,0)</f>
        <v>0</v>
      </c>
      <c r="AN570" s="64" t="str">
        <f>INDEX(Table2[AWAY_RECORD], MATCH(Table1[[#This Row],[AwayTeam]],Table2[Team], 0), 0)</f>
        <v>0-0-0</v>
      </c>
      <c r="AO570" s="64" t="str">
        <f>INDEX(Records!$B$2:$AG$33, MATCH(Table1[[#This Row],[AwayTeam]],Records!$A$2:$A$33, 0), MATCH(Table1[[#This Row],[HomeTeam]],Records!$A$2:$A$33, 0))</f>
        <v>0-0-0</v>
      </c>
      <c r="AP570" s="64" t="str">
        <f>INDEX(Table2[HOME_RECORD], MATCH(Table1[[#This Row],[HomeTeam]],Table2[Team], 0), 0)</f>
        <v>1-0-0</v>
      </c>
      <c r="AQ570" s="64" t="str">
        <f>INDEX(Records!$B$2:$AG$33, MATCH(Table1[[#This Row],[HomeTeam]],Records!$A$2:$A$33, 0), MATCH(Table1[[#This Row],[AwayTeam]],Records!$A$2:$A$33, 0))</f>
        <v>0-0-0</v>
      </c>
    </row>
    <row r="571" spans="1:43" x14ac:dyDescent="0.25">
      <c r="A571" s="1"/>
      <c r="D571" t="s">
        <v>831</v>
      </c>
      <c r="E571" t="s">
        <v>162</v>
      </c>
      <c r="F571" t="s">
        <v>836</v>
      </c>
      <c r="G571" t="s">
        <v>57</v>
      </c>
      <c r="H571" t="s">
        <v>24</v>
      </c>
      <c r="L57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7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71" s="1"/>
      <c r="T571" s="64" t="str">
        <f>IF(Table1[[#This Row],[ActualWinner]]="", "", IF(Table1[[#This Row],[AwayTeam]]=Table1[[#This Row],[ActualWinner]],Table1[[#This Row],[HomeTeam]],Table1[[#This Row],[AwayTeam]]))</f>
        <v/>
      </c>
      <c r="U571" s="64">
        <f>Table1[[#This Row],[ActualAwayScore]]-Table1[[#This Row],[PredictedAwayScore]]</f>
        <v>0</v>
      </c>
      <c r="V571" s="64">
        <f>Table1[[#This Row],[ActualHomeScore]]-Table1[[#This Row],[PredictedHomeScore]]</f>
        <v>0</v>
      </c>
      <c r="W571" s="64">
        <f>(0.8*IF(Table1[[#This Row],[CorrectWinnerPrediction]]=1, 1, 0))+(0.1*IF(Table1[[#This Row],[CorrectAwayScorePrediction]]=1, 1, 0))+(0.1*IF(Table1[[#This Row],[CorrectHomeScorePrediction]]=1, 1, 0))</f>
        <v>0</v>
      </c>
      <c r="X57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71" s="64">
        <f>SUMIF(Table1[GameDate], Table1[[#This Row],[GameDate]], Table1[AwayGameGoalDiff])</f>
        <v>0</v>
      </c>
      <c r="AA571" s="64">
        <f>SUMIF(Table1[GameDate], Table1[[#This Row],[GameDate]], Table1[HomeGameGoalDiff])</f>
        <v>0</v>
      </c>
      <c r="AB571" s="64">
        <f>IF(ISBLANK(Table1[[#This Row],[ActualResult]]), 0, 1)</f>
        <v>0</v>
      </c>
      <c r="AC571" s="64">
        <f>IF(ISBLANK(Table1[[#This Row],[ActualResult]]), 0, IF(Table1[[#This Row],[ActualWinner]]=Table1[[#This Row],[PredictedWinner]], 1, 0))</f>
        <v>0</v>
      </c>
      <c r="AD57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7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71" s="64">
        <f>IF(AND(Table1[[#This Row],[GameIsOver]]=1,Table1[[#This Row],[ActualAwayScore]]=0), 1,0)</f>
        <v>0</v>
      </c>
      <c r="AG571" s="64">
        <f>IF(AND(Table1[[#This Row],[GameIsOver]]=1,Table1[[#This Row],[ActualHomeScore]]=0), 1,0)</f>
        <v>0</v>
      </c>
      <c r="AH571" s="64">
        <f>IF(Table1[[#This Row],[GameIsOver]]=0,0,IF(Table1[[#This Row],[ActualWinner]]=Table1[[#This Row],[AwayTeam]], 1, 0))</f>
        <v>0</v>
      </c>
      <c r="AI571" s="64">
        <f>IF(Table1[[#This Row],[GameIsOver]]=0,0,IF(Table1[[#This Row],[ActualWinner]]=Table1[[#This Row],[HomeTeam]], 1, 0))</f>
        <v>0</v>
      </c>
      <c r="AJ571" s="64">
        <f>IF(INDEX(Standings!$A$2:$C$33,MATCH(Table1[[#This Row],[AwayTeam]],Standings!$A$2:$A$33,0),2)=INDEX(Standings!$A$2:$C$33,MATCH(Table1[[#This Row],[HomeTeam]],Standings!$A$2:$A$33,0),2),1,0)</f>
        <v>1</v>
      </c>
      <c r="AK571" s="64">
        <f>IF(INDEX(Standings!$A$2:$C$33,MATCH(Table1[[#This Row],[AwayTeam]],Standings!$A$2:$A$33,0),3)=INDEX(Standings!$A$2:$C$33,MATCH(Table1[[#This Row],[HomeTeam]],Standings!$A$2:$A$33,0),3),1,0)</f>
        <v>1</v>
      </c>
      <c r="AL571" s="64">
        <f>IF(Table1[[#This Row],[InterConf]]=1,IF(Table1[[#This Row],[InterDiv]]=0, 1, 0), 0)</f>
        <v>0</v>
      </c>
      <c r="AM571" s="64">
        <f>IF(INDEX(Standings!$A$2:$C$33,MATCH(Table1[[#This Row],[AwayTeam]],Standings!$A$2:$A$33,0),2)&lt;&gt;INDEX(Standings!$A$2:$C$33,MATCH(Table1[[#This Row],[HomeTeam]],Standings!$A$2:$A$33,0),2),1,0)</f>
        <v>0</v>
      </c>
      <c r="AN571" s="64" t="str">
        <f>INDEX(Table2[AWAY_RECORD], MATCH(Table1[[#This Row],[AwayTeam]],Table2[Team], 0), 0)</f>
        <v>0-1-0</v>
      </c>
      <c r="AO571" s="64" t="str">
        <f>INDEX(Records!$B$2:$AG$33, MATCH(Table1[[#This Row],[AwayTeam]],Records!$A$2:$A$33, 0), MATCH(Table1[[#This Row],[HomeTeam]],Records!$A$2:$A$33, 0))</f>
        <v>0-0-0</v>
      </c>
      <c r="AP571" s="64" t="str">
        <f>INDEX(Table2[HOME_RECORD], MATCH(Table1[[#This Row],[HomeTeam]],Table2[Team], 0), 0)</f>
        <v>0-2-0</v>
      </c>
      <c r="AQ571" s="64" t="str">
        <f>INDEX(Records!$B$2:$AG$33, MATCH(Table1[[#This Row],[HomeTeam]],Records!$A$2:$A$33, 0), MATCH(Table1[[#This Row],[AwayTeam]],Records!$A$2:$A$33, 0))</f>
        <v>0-0-0</v>
      </c>
    </row>
    <row r="572" spans="1:43" x14ac:dyDescent="0.25">
      <c r="A572" s="1"/>
      <c r="D572" t="s">
        <v>831</v>
      </c>
      <c r="E572" t="s">
        <v>162</v>
      </c>
      <c r="F572" t="s">
        <v>837</v>
      </c>
      <c r="G572" t="s">
        <v>61</v>
      </c>
      <c r="H572" t="s">
        <v>59</v>
      </c>
      <c r="L57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7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72" s="1"/>
      <c r="T572" s="64" t="str">
        <f>IF(Table1[[#This Row],[ActualWinner]]="", "", IF(Table1[[#This Row],[AwayTeam]]=Table1[[#This Row],[ActualWinner]],Table1[[#This Row],[HomeTeam]],Table1[[#This Row],[AwayTeam]]))</f>
        <v/>
      </c>
      <c r="U572" s="64">
        <f>Table1[[#This Row],[ActualAwayScore]]-Table1[[#This Row],[PredictedAwayScore]]</f>
        <v>0</v>
      </c>
      <c r="V572" s="64">
        <f>Table1[[#This Row],[ActualHomeScore]]-Table1[[#This Row],[PredictedHomeScore]]</f>
        <v>0</v>
      </c>
      <c r="W572" s="64">
        <f>(0.8*IF(Table1[[#This Row],[CorrectWinnerPrediction]]=1, 1, 0))+(0.1*IF(Table1[[#This Row],[CorrectAwayScorePrediction]]=1, 1, 0))+(0.1*IF(Table1[[#This Row],[CorrectHomeScorePrediction]]=1, 1, 0))</f>
        <v>0</v>
      </c>
      <c r="X57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72" s="64">
        <f>SUMIF(Table1[GameDate], Table1[[#This Row],[GameDate]], Table1[AwayGameGoalDiff])</f>
        <v>0</v>
      </c>
      <c r="AA572" s="64">
        <f>SUMIF(Table1[GameDate], Table1[[#This Row],[GameDate]], Table1[HomeGameGoalDiff])</f>
        <v>0</v>
      </c>
      <c r="AB572" s="64">
        <f>IF(ISBLANK(Table1[[#This Row],[ActualResult]]), 0, 1)</f>
        <v>0</v>
      </c>
      <c r="AC572" s="64">
        <f>IF(ISBLANK(Table1[[#This Row],[ActualResult]]), 0, IF(Table1[[#This Row],[ActualWinner]]=Table1[[#This Row],[PredictedWinner]], 1, 0))</f>
        <v>0</v>
      </c>
      <c r="AD57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7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72" s="64">
        <f>IF(AND(Table1[[#This Row],[GameIsOver]]=1,Table1[[#This Row],[ActualAwayScore]]=0), 1,0)</f>
        <v>0</v>
      </c>
      <c r="AG572" s="64">
        <f>IF(AND(Table1[[#This Row],[GameIsOver]]=1,Table1[[#This Row],[ActualHomeScore]]=0), 1,0)</f>
        <v>0</v>
      </c>
      <c r="AH572" s="64">
        <f>IF(Table1[[#This Row],[GameIsOver]]=0,0,IF(Table1[[#This Row],[ActualWinner]]=Table1[[#This Row],[AwayTeam]], 1, 0))</f>
        <v>0</v>
      </c>
      <c r="AI572" s="64">
        <f>IF(Table1[[#This Row],[GameIsOver]]=0,0,IF(Table1[[#This Row],[ActualWinner]]=Table1[[#This Row],[HomeTeam]], 1, 0))</f>
        <v>0</v>
      </c>
      <c r="AJ572" s="64">
        <f>IF(INDEX(Standings!$A$2:$C$33,MATCH(Table1[[#This Row],[AwayTeam]],Standings!$A$2:$A$33,0),2)=INDEX(Standings!$A$2:$C$33,MATCH(Table1[[#This Row],[HomeTeam]],Standings!$A$2:$A$33,0),2),1,0)</f>
        <v>0</v>
      </c>
      <c r="AK572" s="64">
        <f>IF(INDEX(Standings!$A$2:$C$33,MATCH(Table1[[#This Row],[AwayTeam]],Standings!$A$2:$A$33,0),3)=INDEX(Standings!$A$2:$C$33,MATCH(Table1[[#This Row],[HomeTeam]],Standings!$A$2:$A$33,0),3),1,0)</f>
        <v>0</v>
      </c>
      <c r="AL572" s="64">
        <f>IF(Table1[[#This Row],[InterConf]]=1,IF(Table1[[#This Row],[InterDiv]]=0, 1, 0), 0)</f>
        <v>0</v>
      </c>
      <c r="AM572" s="64">
        <f>IF(INDEX(Standings!$A$2:$C$33,MATCH(Table1[[#This Row],[AwayTeam]],Standings!$A$2:$A$33,0),2)&lt;&gt;INDEX(Standings!$A$2:$C$33,MATCH(Table1[[#This Row],[HomeTeam]],Standings!$A$2:$A$33,0),2),1,0)</f>
        <v>1</v>
      </c>
      <c r="AN572" s="64" t="str">
        <f>INDEX(Table2[AWAY_RECORD], MATCH(Table1[[#This Row],[AwayTeam]],Table2[Team], 0), 0)</f>
        <v>0-0-0</v>
      </c>
      <c r="AO572" s="64" t="str">
        <f>INDEX(Records!$B$2:$AG$33, MATCH(Table1[[#This Row],[AwayTeam]],Records!$A$2:$A$33, 0), MATCH(Table1[[#This Row],[HomeTeam]],Records!$A$2:$A$33, 0))</f>
        <v>0-0-0</v>
      </c>
      <c r="AP572" s="64" t="str">
        <f>INDEX(Table2[HOME_RECORD], MATCH(Table1[[#This Row],[HomeTeam]],Table2[Team], 0), 0)</f>
        <v>0-0-0</v>
      </c>
      <c r="AQ572" s="64" t="str">
        <f>INDEX(Records!$B$2:$AG$33, MATCH(Table1[[#This Row],[HomeTeam]],Records!$A$2:$A$33, 0), MATCH(Table1[[#This Row],[AwayTeam]],Records!$A$2:$A$33, 0))</f>
        <v>0-0-0</v>
      </c>
    </row>
    <row r="573" spans="1:43" x14ac:dyDescent="0.25">
      <c r="A573" s="1"/>
      <c r="D573" t="s">
        <v>831</v>
      </c>
      <c r="E573" t="s">
        <v>162</v>
      </c>
      <c r="F573" t="s">
        <v>838</v>
      </c>
      <c r="G573" t="s">
        <v>46</v>
      </c>
      <c r="H573" t="s">
        <v>42</v>
      </c>
      <c r="L57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7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73" s="1"/>
      <c r="T573" s="64" t="str">
        <f>IF(Table1[[#This Row],[ActualWinner]]="", "", IF(Table1[[#This Row],[AwayTeam]]=Table1[[#This Row],[ActualWinner]],Table1[[#This Row],[HomeTeam]],Table1[[#This Row],[AwayTeam]]))</f>
        <v/>
      </c>
      <c r="U573" s="64">
        <f>Table1[[#This Row],[ActualAwayScore]]-Table1[[#This Row],[PredictedAwayScore]]</f>
        <v>0</v>
      </c>
      <c r="V573" s="64">
        <f>Table1[[#This Row],[ActualHomeScore]]-Table1[[#This Row],[PredictedHomeScore]]</f>
        <v>0</v>
      </c>
      <c r="W573" s="64">
        <f>(0.8*IF(Table1[[#This Row],[CorrectWinnerPrediction]]=1, 1, 0))+(0.1*IF(Table1[[#This Row],[CorrectAwayScorePrediction]]=1, 1, 0))+(0.1*IF(Table1[[#This Row],[CorrectHomeScorePrediction]]=1, 1, 0))</f>
        <v>0</v>
      </c>
      <c r="X57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73" s="64">
        <f>SUMIF(Table1[GameDate], Table1[[#This Row],[GameDate]], Table1[AwayGameGoalDiff])</f>
        <v>0</v>
      </c>
      <c r="AA573" s="64">
        <f>SUMIF(Table1[GameDate], Table1[[#This Row],[GameDate]], Table1[HomeGameGoalDiff])</f>
        <v>0</v>
      </c>
      <c r="AB573" s="64">
        <f>IF(ISBLANK(Table1[[#This Row],[ActualResult]]), 0, 1)</f>
        <v>0</v>
      </c>
      <c r="AC573" s="64">
        <f>IF(ISBLANK(Table1[[#This Row],[ActualResult]]), 0, IF(Table1[[#This Row],[ActualWinner]]=Table1[[#This Row],[PredictedWinner]], 1, 0))</f>
        <v>0</v>
      </c>
      <c r="AD57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7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73" s="64">
        <f>IF(AND(Table1[[#This Row],[GameIsOver]]=1,Table1[[#This Row],[ActualAwayScore]]=0), 1,0)</f>
        <v>0</v>
      </c>
      <c r="AG573" s="64">
        <f>IF(AND(Table1[[#This Row],[GameIsOver]]=1,Table1[[#This Row],[ActualHomeScore]]=0), 1,0)</f>
        <v>0</v>
      </c>
      <c r="AH573" s="64">
        <f>IF(Table1[[#This Row],[GameIsOver]]=0,0,IF(Table1[[#This Row],[ActualWinner]]=Table1[[#This Row],[AwayTeam]], 1, 0))</f>
        <v>0</v>
      </c>
      <c r="AI573" s="64">
        <f>IF(Table1[[#This Row],[GameIsOver]]=0,0,IF(Table1[[#This Row],[ActualWinner]]=Table1[[#This Row],[HomeTeam]], 1, 0))</f>
        <v>0</v>
      </c>
      <c r="AJ573" s="64">
        <f>IF(INDEX(Standings!$A$2:$C$33,MATCH(Table1[[#This Row],[AwayTeam]],Standings!$A$2:$A$33,0),2)=INDEX(Standings!$A$2:$C$33,MATCH(Table1[[#This Row],[HomeTeam]],Standings!$A$2:$A$33,0),2),1,0)</f>
        <v>0</v>
      </c>
      <c r="AK573" s="64">
        <f>IF(INDEX(Standings!$A$2:$C$33,MATCH(Table1[[#This Row],[AwayTeam]],Standings!$A$2:$A$33,0),3)=INDEX(Standings!$A$2:$C$33,MATCH(Table1[[#This Row],[HomeTeam]],Standings!$A$2:$A$33,0),3),1,0)</f>
        <v>0</v>
      </c>
      <c r="AL573" s="64">
        <f>IF(Table1[[#This Row],[InterConf]]=1,IF(Table1[[#This Row],[InterDiv]]=0, 1, 0), 0)</f>
        <v>0</v>
      </c>
      <c r="AM573" s="64">
        <f>IF(INDEX(Standings!$A$2:$C$33,MATCH(Table1[[#This Row],[AwayTeam]],Standings!$A$2:$A$33,0),2)&lt;&gt;INDEX(Standings!$A$2:$C$33,MATCH(Table1[[#This Row],[HomeTeam]],Standings!$A$2:$A$33,0),2),1,0)</f>
        <v>1</v>
      </c>
      <c r="AN573" s="64" t="str">
        <f>INDEX(Table2[AWAY_RECORD], MATCH(Table1[[#This Row],[AwayTeam]],Table2[Team], 0), 0)</f>
        <v>1-0-0</v>
      </c>
      <c r="AO573" s="64" t="str">
        <f>INDEX(Records!$B$2:$AG$33, MATCH(Table1[[#This Row],[AwayTeam]],Records!$A$2:$A$33, 0), MATCH(Table1[[#This Row],[HomeTeam]],Records!$A$2:$A$33, 0))</f>
        <v>0-0-0</v>
      </c>
      <c r="AP573" s="64" t="str">
        <f>INDEX(Table2[HOME_RECORD], MATCH(Table1[[#This Row],[HomeTeam]],Table2[Team], 0), 0)</f>
        <v>1-0-0</v>
      </c>
      <c r="AQ573" s="64" t="str">
        <f>INDEX(Records!$B$2:$AG$33, MATCH(Table1[[#This Row],[HomeTeam]],Records!$A$2:$A$33, 0), MATCH(Table1[[#This Row],[AwayTeam]],Records!$A$2:$A$33, 0))</f>
        <v>0-0-0</v>
      </c>
    </row>
    <row r="574" spans="1:43" x14ac:dyDescent="0.25">
      <c r="A574" s="1"/>
      <c r="D574" t="s">
        <v>831</v>
      </c>
      <c r="E574" t="s">
        <v>162</v>
      </c>
      <c r="F574" t="s">
        <v>839</v>
      </c>
      <c r="G574" t="s">
        <v>47</v>
      </c>
      <c r="H574" t="s">
        <v>22</v>
      </c>
      <c r="L57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7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74" s="1"/>
      <c r="T574" s="64" t="str">
        <f>IF(Table1[[#This Row],[ActualWinner]]="", "", IF(Table1[[#This Row],[AwayTeam]]=Table1[[#This Row],[ActualWinner]],Table1[[#This Row],[HomeTeam]],Table1[[#This Row],[AwayTeam]]))</f>
        <v/>
      </c>
      <c r="U574" s="64">
        <f>Table1[[#This Row],[ActualAwayScore]]-Table1[[#This Row],[PredictedAwayScore]]</f>
        <v>0</v>
      </c>
      <c r="V574" s="64">
        <f>Table1[[#This Row],[ActualHomeScore]]-Table1[[#This Row],[PredictedHomeScore]]</f>
        <v>0</v>
      </c>
      <c r="W574" s="64">
        <f>(0.8*IF(Table1[[#This Row],[CorrectWinnerPrediction]]=1, 1, 0))+(0.1*IF(Table1[[#This Row],[CorrectAwayScorePrediction]]=1, 1, 0))+(0.1*IF(Table1[[#This Row],[CorrectHomeScorePrediction]]=1, 1, 0))</f>
        <v>0</v>
      </c>
      <c r="X57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74" s="64">
        <f>SUMIF(Table1[GameDate], Table1[[#This Row],[GameDate]], Table1[AwayGameGoalDiff])</f>
        <v>0</v>
      </c>
      <c r="AA574" s="64">
        <f>SUMIF(Table1[GameDate], Table1[[#This Row],[GameDate]], Table1[HomeGameGoalDiff])</f>
        <v>0</v>
      </c>
      <c r="AB574" s="64">
        <f>IF(ISBLANK(Table1[[#This Row],[ActualResult]]), 0, 1)</f>
        <v>0</v>
      </c>
      <c r="AC574" s="64">
        <f>IF(ISBLANK(Table1[[#This Row],[ActualResult]]), 0, IF(Table1[[#This Row],[ActualWinner]]=Table1[[#This Row],[PredictedWinner]], 1, 0))</f>
        <v>0</v>
      </c>
      <c r="AD57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7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74" s="64">
        <f>IF(AND(Table1[[#This Row],[GameIsOver]]=1,Table1[[#This Row],[ActualAwayScore]]=0), 1,0)</f>
        <v>0</v>
      </c>
      <c r="AG574" s="64">
        <f>IF(AND(Table1[[#This Row],[GameIsOver]]=1,Table1[[#This Row],[ActualHomeScore]]=0), 1,0)</f>
        <v>0</v>
      </c>
      <c r="AH574" s="64">
        <f>IF(Table1[[#This Row],[GameIsOver]]=0,0,IF(Table1[[#This Row],[ActualWinner]]=Table1[[#This Row],[AwayTeam]], 1, 0))</f>
        <v>0</v>
      </c>
      <c r="AI574" s="64">
        <f>IF(Table1[[#This Row],[GameIsOver]]=0,0,IF(Table1[[#This Row],[ActualWinner]]=Table1[[#This Row],[HomeTeam]], 1, 0))</f>
        <v>0</v>
      </c>
      <c r="AJ574" s="64">
        <f>IF(INDEX(Standings!$A$2:$C$33,MATCH(Table1[[#This Row],[AwayTeam]],Standings!$A$2:$A$33,0),2)=INDEX(Standings!$A$2:$C$33,MATCH(Table1[[#This Row],[HomeTeam]],Standings!$A$2:$A$33,0),2),1,0)</f>
        <v>0</v>
      </c>
      <c r="AK574" s="64">
        <f>IF(INDEX(Standings!$A$2:$C$33,MATCH(Table1[[#This Row],[AwayTeam]],Standings!$A$2:$A$33,0),3)=INDEX(Standings!$A$2:$C$33,MATCH(Table1[[#This Row],[HomeTeam]],Standings!$A$2:$A$33,0),3),1,0)</f>
        <v>0</v>
      </c>
      <c r="AL574" s="64">
        <f>IF(Table1[[#This Row],[InterConf]]=1,IF(Table1[[#This Row],[InterDiv]]=0, 1, 0), 0)</f>
        <v>0</v>
      </c>
      <c r="AM574" s="64">
        <f>IF(INDEX(Standings!$A$2:$C$33,MATCH(Table1[[#This Row],[AwayTeam]],Standings!$A$2:$A$33,0),2)&lt;&gt;INDEX(Standings!$A$2:$C$33,MATCH(Table1[[#This Row],[HomeTeam]],Standings!$A$2:$A$33,0),2),1,0)</f>
        <v>1</v>
      </c>
      <c r="AN574" s="64" t="str">
        <f>INDEX(Table2[AWAY_RECORD], MATCH(Table1[[#This Row],[AwayTeam]],Table2[Team], 0), 0)</f>
        <v>1-0-0</v>
      </c>
      <c r="AO574" s="64" t="str">
        <f>INDEX(Records!$B$2:$AG$33, MATCH(Table1[[#This Row],[AwayTeam]],Records!$A$2:$A$33, 0), MATCH(Table1[[#This Row],[HomeTeam]],Records!$A$2:$A$33, 0))</f>
        <v>0-0-0</v>
      </c>
      <c r="AP574" s="64" t="str">
        <f>INDEX(Table2[HOME_RECORD], MATCH(Table1[[#This Row],[HomeTeam]],Table2[Team], 0), 0)</f>
        <v>0-0-0</v>
      </c>
      <c r="AQ574" s="64" t="str">
        <f>INDEX(Records!$B$2:$AG$33, MATCH(Table1[[#This Row],[HomeTeam]],Records!$A$2:$A$33, 0), MATCH(Table1[[#This Row],[AwayTeam]],Records!$A$2:$A$33, 0))</f>
        <v>0-0-0</v>
      </c>
    </row>
    <row r="575" spans="1:43" x14ac:dyDescent="0.25">
      <c r="A575" s="1"/>
      <c r="D575" t="s">
        <v>831</v>
      </c>
      <c r="E575" t="s">
        <v>162</v>
      </c>
      <c r="F575" t="s">
        <v>840</v>
      </c>
      <c r="G575" t="s">
        <v>43</v>
      </c>
      <c r="H575" t="s">
        <v>60</v>
      </c>
      <c r="L57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7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75" s="1"/>
      <c r="T575" s="64" t="str">
        <f>IF(Table1[[#This Row],[ActualWinner]]="", "", IF(Table1[[#This Row],[AwayTeam]]=Table1[[#This Row],[ActualWinner]],Table1[[#This Row],[HomeTeam]],Table1[[#This Row],[AwayTeam]]))</f>
        <v/>
      </c>
      <c r="U575" s="64">
        <f>Table1[[#This Row],[ActualAwayScore]]-Table1[[#This Row],[PredictedAwayScore]]</f>
        <v>0</v>
      </c>
      <c r="V575" s="64">
        <f>Table1[[#This Row],[ActualHomeScore]]-Table1[[#This Row],[PredictedHomeScore]]</f>
        <v>0</v>
      </c>
      <c r="W575" s="64">
        <f>(0.8*IF(Table1[[#This Row],[CorrectWinnerPrediction]]=1, 1, 0))+(0.1*IF(Table1[[#This Row],[CorrectAwayScorePrediction]]=1, 1, 0))+(0.1*IF(Table1[[#This Row],[CorrectHomeScorePrediction]]=1, 1, 0))</f>
        <v>0</v>
      </c>
      <c r="X57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75" s="64">
        <f>SUMIF(Table1[GameDate], Table1[[#This Row],[GameDate]], Table1[AwayGameGoalDiff])</f>
        <v>0</v>
      </c>
      <c r="AA575" s="64">
        <f>SUMIF(Table1[GameDate], Table1[[#This Row],[GameDate]], Table1[HomeGameGoalDiff])</f>
        <v>0</v>
      </c>
      <c r="AB575" s="64">
        <f>IF(ISBLANK(Table1[[#This Row],[ActualResult]]), 0, 1)</f>
        <v>0</v>
      </c>
      <c r="AC575" s="64">
        <f>IF(ISBLANK(Table1[[#This Row],[ActualResult]]), 0, IF(Table1[[#This Row],[ActualWinner]]=Table1[[#This Row],[PredictedWinner]], 1, 0))</f>
        <v>0</v>
      </c>
      <c r="AD57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7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75" s="64">
        <f>IF(AND(Table1[[#This Row],[GameIsOver]]=1,Table1[[#This Row],[ActualAwayScore]]=0), 1,0)</f>
        <v>0</v>
      </c>
      <c r="AG575" s="64">
        <f>IF(AND(Table1[[#This Row],[GameIsOver]]=1,Table1[[#This Row],[ActualHomeScore]]=0), 1,0)</f>
        <v>0</v>
      </c>
      <c r="AH575" s="64">
        <f>IF(Table1[[#This Row],[GameIsOver]]=0,0,IF(Table1[[#This Row],[ActualWinner]]=Table1[[#This Row],[AwayTeam]], 1, 0))</f>
        <v>0</v>
      </c>
      <c r="AI575" s="64">
        <f>IF(Table1[[#This Row],[GameIsOver]]=0,0,IF(Table1[[#This Row],[ActualWinner]]=Table1[[#This Row],[HomeTeam]], 1, 0))</f>
        <v>0</v>
      </c>
      <c r="AJ575" s="64">
        <f>IF(INDEX(Standings!$A$2:$C$33,MATCH(Table1[[#This Row],[AwayTeam]],Standings!$A$2:$A$33,0),2)=INDEX(Standings!$A$2:$C$33,MATCH(Table1[[#This Row],[HomeTeam]],Standings!$A$2:$A$33,0),2),1,0)</f>
        <v>1</v>
      </c>
      <c r="AK575" s="64">
        <f>IF(INDEX(Standings!$A$2:$C$33,MATCH(Table1[[#This Row],[AwayTeam]],Standings!$A$2:$A$33,0),3)=INDEX(Standings!$A$2:$C$33,MATCH(Table1[[#This Row],[HomeTeam]],Standings!$A$2:$A$33,0),3),1,0)</f>
        <v>1</v>
      </c>
      <c r="AL575" s="64">
        <f>IF(Table1[[#This Row],[InterConf]]=1,IF(Table1[[#This Row],[InterDiv]]=0, 1, 0), 0)</f>
        <v>0</v>
      </c>
      <c r="AM575" s="64">
        <f>IF(INDEX(Standings!$A$2:$C$33,MATCH(Table1[[#This Row],[AwayTeam]],Standings!$A$2:$A$33,0),2)&lt;&gt;INDEX(Standings!$A$2:$C$33,MATCH(Table1[[#This Row],[HomeTeam]],Standings!$A$2:$A$33,0),2),1,0)</f>
        <v>0</v>
      </c>
      <c r="AN575" s="64" t="str">
        <f>INDEX(Table2[AWAY_RECORD], MATCH(Table1[[#This Row],[AwayTeam]],Table2[Team], 0), 0)</f>
        <v>0-0-0</v>
      </c>
      <c r="AO575" s="64" t="str">
        <f>INDEX(Records!$B$2:$AG$33, MATCH(Table1[[#This Row],[AwayTeam]],Records!$A$2:$A$33, 0), MATCH(Table1[[#This Row],[HomeTeam]],Records!$A$2:$A$33, 0))</f>
        <v>0-0-0</v>
      </c>
      <c r="AP575" s="64" t="str">
        <f>INDEX(Table2[HOME_RECORD], MATCH(Table1[[#This Row],[HomeTeam]],Table2[Team], 0), 0)</f>
        <v>1-0-0</v>
      </c>
      <c r="AQ575" s="64" t="str">
        <f>INDEX(Records!$B$2:$AG$33, MATCH(Table1[[#This Row],[HomeTeam]],Records!$A$2:$A$33, 0), MATCH(Table1[[#This Row],[AwayTeam]],Records!$A$2:$A$33, 0))</f>
        <v>0-0-0</v>
      </c>
    </row>
    <row r="576" spans="1:43" x14ac:dyDescent="0.25">
      <c r="A576" s="1"/>
      <c r="D576" t="s">
        <v>841</v>
      </c>
      <c r="E576" t="s">
        <v>298</v>
      </c>
      <c r="F576" t="s">
        <v>842</v>
      </c>
      <c r="G576" t="s">
        <v>55</v>
      </c>
      <c r="H576" t="s">
        <v>23</v>
      </c>
      <c r="L57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7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76" s="1"/>
      <c r="T576" s="64" t="str">
        <f>IF(Table1[[#This Row],[ActualWinner]]="", "", IF(Table1[[#This Row],[AwayTeam]]=Table1[[#This Row],[ActualWinner]],Table1[[#This Row],[HomeTeam]],Table1[[#This Row],[AwayTeam]]))</f>
        <v/>
      </c>
      <c r="U576" s="64">
        <f>Table1[[#This Row],[ActualAwayScore]]-Table1[[#This Row],[PredictedAwayScore]]</f>
        <v>0</v>
      </c>
      <c r="V576" s="64">
        <f>Table1[[#This Row],[ActualHomeScore]]-Table1[[#This Row],[PredictedHomeScore]]</f>
        <v>0</v>
      </c>
      <c r="W576" s="64">
        <f>(0.8*IF(Table1[[#This Row],[CorrectWinnerPrediction]]=1, 1, 0))+(0.1*IF(Table1[[#This Row],[CorrectAwayScorePrediction]]=1, 1, 0))+(0.1*IF(Table1[[#This Row],[CorrectHomeScorePrediction]]=1, 1, 0))</f>
        <v>0</v>
      </c>
      <c r="X57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76" s="64">
        <f>SUMIF(Table1[GameDate], Table1[[#This Row],[GameDate]], Table1[AwayGameGoalDiff])</f>
        <v>0</v>
      </c>
      <c r="AA576" s="64">
        <f>SUMIF(Table1[GameDate], Table1[[#This Row],[GameDate]], Table1[HomeGameGoalDiff])</f>
        <v>0</v>
      </c>
      <c r="AB576" s="64">
        <f>IF(ISBLANK(Table1[[#This Row],[ActualResult]]), 0, 1)</f>
        <v>0</v>
      </c>
      <c r="AC576" s="64">
        <f>IF(ISBLANK(Table1[[#This Row],[ActualResult]]), 0, IF(Table1[[#This Row],[ActualWinner]]=Table1[[#This Row],[PredictedWinner]], 1, 0))</f>
        <v>0</v>
      </c>
      <c r="AD57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7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76" s="64">
        <f>IF(AND(Table1[[#This Row],[GameIsOver]]=1,Table1[[#This Row],[ActualAwayScore]]=0), 1,0)</f>
        <v>0</v>
      </c>
      <c r="AG576" s="64">
        <f>IF(AND(Table1[[#This Row],[GameIsOver]]=1,Table1[[#This Row],[ActualHomeScore]]=0), 1,0)</f>
        <v>0</v>
      </c>
      <c r="AH576" s="64">
        <f>IF(Table1[[#This Row],[GameIsOver]]=0,0,IF(Table1[[#This Row],[ActualWinner]]=Table1[[#This Row],[AwayTeam]], 1, 0))</f>
        <v>0</v>
      </c>
      <c r="AI576" s="64">
        <f>IF(Table1[[#This Row],[GameIsOver]]=0,0,IF(Table1[[#This Row],[ActualWinner]]=Table1[[#This Row],[HomeTeam]], 1, 0))</f>
        <v>0</v>
      </c>
      <c r="AJ576" s="64">
        <f>IF(INDEX(Standings!$A$2:$C$33,MATCH(Table1[[#This Row],[AwayTeam]],Standings!$A$2:$A$33,0),2)=INDEX(Standings!$A$2:$C$33,MATCH(Table1[[#This Row],[HomeTeam]],Standings!$A$2:$A$33,0),2),1,0)</f>
        <v>1</v>
      </c>
      <c r="AK576" s="64">
        <f>IF(INDEX(Standings!$A$2:$C$33,MATCH(Table1[[#This Row],[AwayTeam]],Standings!$A$2:$A$33,0),3)=INDEX(Standings!$A$2:$C$33,MATCH(Table1[[#This Row],[HomeTeam]],Standings!$A$2:$A$33,0),3),1,0)</f>
        <v>1</v>
      </c>
      <c r="AL576" s="64">
        <f>IF(Table1[[#This Row],[InterConf]]=1,IF(Table1[[#This Row],[InterDiv]]=0, 1, 0), 0)</f>
        <v>0</v>
      </c>
      <c r="AM576" s="64">
        <f>IF(INDEX(Standings!$A$2:$C$33,MATCH(Table1[[#This Row],[AwayTeam]],Standings!$A$2:$A$33,0),2)&lt;&gt;INDEX(Standings!$A$2:$C$33,MATCH(Table1[[#This Row],[HomeTeam]],Standings!$A$2:$A$33,0),2),1,0)</f>
        <v>0</v>
      </c>
      <c r="AN576" s="64" t="str">
        <f>INDEX(Table2[AWAY_RECORD], MATCH(Table1[[#This Row],[AwayTeam]],Table2[Team], 0), 0)</f>
        <v>0-0-0</v>
      </c>
      <c r="AO576" s="64" t="str">
        <f>INDEX(Records!$B$2:$AG$33, MATCH(Table1[[#This Row],[AwayTeam]],Records!$A$2:$A$33, 0), MATCH(Table1[[#This Row],[HomeTeam]],Records!$A$2:$A$33, 0))</f>
        <v>0-0-0</v>
      </c>
      <c r="AP576" s="64" t="str">
        <f>INDEX(Table2[HOME_RECORD], MATCH(Table1[[#This Row],[HomeTeam]],Table2[Team], 0), 0)</f>
        <v>0-0-1</v>
      </c>
      <c r="AQ576" s="64" t="str">
        <f>INDEX(Records!$B$2:$AG$33, MATCH(Table1[[#This Row],[HomeTeam]],Records!$A$2:$A$33, 0), MATCH(Table1[[#This Row],[AwayTeam]],Records!$A$2:$A$33, 0))</f>
        <v>0-0-0</v>
      </c>
    </row>
    <row r="577" spans="1:43" x14ac:dyDescent="0.25">
      <c r="A577" s="1"/>
      <c r="D577" t="s">
        <v>841</v>
      </c>
      <c r="E577" t="s">
        <v>843</v>
      </c>
      <c r="F577" t="s">
        <v>844</v>
      </c>
      <c r="G577" t="s">
        <v>52</v>
      </c>
      <c r="H577" t="s">
        <v>16</v>
      </c>
      <c r="L57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7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77" s="1"/>
      <c r="T577" s="64" t="str">
        <f>IF(Table1[[#This Row],[ActualWinner]]="", "", IF(Table1[[#This Row],[AwayTeam]]=Table1[[#This Row],[ActualWinner]],Table1[[#This Row],[HomeTeam]],Table1[[#This Row],[AwayTeam]]))</f>
        <v/>
      </c>
      <c r="U577" s="64">
        <f>Table1[[#This Row],[ActualAwayScore]]-Table1[[#This Row],[PredictedAwayScore]]</f>
        <v>0</v>
      </c>
      <c r="V577" s="64">
        <f>Table1[[#This Row],[ActualHomeScore]]-Table1[[#This Row],[PredictedHomeScore]]</f>
        <v>0</v>
      </c>
      <c r="W577" s="64">
        <f>(0.8*IF(Table1[[#This Row],[CorrectWinnerPrediction]]=1, 1, 0))+(0.1*IF(Table1[[#This Row],[CorrectAwayScorePrediction]]=1, 1, 0))+(0.1*IF(Table1[[#This Row],[CorrectHomeScorePrediction]]=1, 1, 0))</f>
        <v>0</v>
      </c>
      <c r="X57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77" s="64">
        <f>SUMIF(Table1[GameDate], Table1[[#This Row],[GameDate]], Table1[AwayGameGoalDiff])</f>
        <v>0</v>
      </c>
      <c r="AA577" s="64">
        <f>SUMIF(Table1[GameDate], Table1[[#This Row],[GameDate]], Table1[HomeGameGoalDiff])</f>
        <v>0</v>
      </c>
      <c r="AB577" s="64">
        <f>IF(ISBLANK(Table1[[#This Row],[ActualResult]]), 0, 1)</f>
        <v>0</v>
      </c>
      <c r="AC577" s="64">
        <f>IF(ISBLANK(Table1[[#This Row],[ActualResult]]), 0, IF(Table1[[#This Row],[ActualWinner]]=Table1[[#This Row],[PredictedWinner]], 1, 0))</f>
        <v>0</v>
      </c>
      <c r="AD57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7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77" s="64">
        <f>IF(AND(Table1[[#This Row],[GameIsOver]]=1,Table1[[#This Row],[ActualAwayScore]]=0), 1,0)</f>
        <v>0</v>
      </c>
      <c r="AG577" s="64">
        <f>IF(AND(Table1[[#This Row],[GameIsOver]]=1,Table1[[#This Row],[ActualHomeScore]]=0), 1,0)</f>
        <v>0</v>
      </c>
      <c r="AH577" s="64">
        <f>IF(Table1[[#This Row],[GameIsOver]]=0,0,IF(Table1[[#This Row],[ActualWinner]]=Table1[[#This Row],[AwayTeam]], 1, 0))</f>
        <v>0</v>
      </c>
      <c r="AI577" s="64">
        <f>IF(Table1[[#This Row],[GameIsOver]]=0,0,IF(Table1[[#This Row],[ActualWinner]]=Table1[[#This Row],[HomeTeam]], 1, 0))</f>
        <v>0</v>
      </c>
      <c r="AJ577" s="64">
        <f>IF(INDEX(Standings!$A$2:$C$33,MATCH(Table1[[#This Row],[AwayTeam]],Standings!$A$2:$A$33,0),2)=INDEX(Standings!$A$2:$C$33,MATCH(Table1[[#This Row],[HomeTeam]],Standings!$A$2:$A$33,0),2),1,0)</f>
        <v>0</v>
      </c>
      <c r="AK577" s="64">
        <f>IF(INDEX(Standings!$A$2:$C$33,MATCH(Table1[[#This Row],[AwayTeam]],Standings!$A$2:$A$33,0),3)=INDEX(Standings!$A$2:$C$33,MATCH(Table1[[#This Row],[HomeTeam]],Standings!$A$2:$A$33,0),3),1,0)</f>
        <v>0</v>
      </c>
      <c r="AL577" s="64">
        <f>IF(Table1[[#This Row],[InterConf]]=1,IF(Table1[[#This Row],[InterDiv]]=0, 1, 0), 0)</f>
        <v>0</v>
      </c>
      <c r="AM577" s="64">
        <f>IF(INDEX(Standings!$A$2:$C$33,MATCH(Table1[[#This Row],[AwayTeam]],Standings!$A$2:$A$33,0),2)&lt;&gt;INDEX(Standings!$A$2:$C$33,MATCH(Table1[[#This Row],[HomeTeam]],Standings!$A$2:$A$33,0),2),1,0)</f>
        <v>1</v>
      </c>
      <c r="AN577" s="64" t="str">
        <f>INDEX(Table2[AWAY_RECORD], MATCH(Table1[[#This Row],[AwayTeam]],Table2[Team], 0), 0)</f>
        <v>0-0-0</v>
      </c>
      <c r="AO577" s="64" t="str">
        <f>INDEX(Records!$B$2:$AG$33, MATCH(Table1[[#This Row],[AwayTeam]],Records!$A$2:$A$33, 0), MATCH(Table1[[#This Row],[HomeTeam]],Records!$A$2:$A$33, 0))</f>
        <v>0-0-0</v>
      </c>
      <c r="AP577" s="64" t="str">
        <f>INDEX(Table2[HOME_RECORD], MATCH(Table1[[#This Row],[HomeTeam]],Table2[Team], 0), 0)</f>
        <v>0-0-0</v>
      </c>
      <c r="AQ577" s="64" t="str">
        <f>INDEX(Records!$B$2:$AG$33, MATCH(Table1[[#This Row],[HomeTeam]],Records!$A$2:$A$33, 0), MATCH(Table1[[#This Row],[AwayTeam]],Records!$A$2:$A$33, 0))</f>
        <v>0-0-0</v>
      </c>
    </row>
    <row r="578" spans="1:43" x14ac:dyDescent="0.25">
      <c r="A578" s="1"/>
      <c r="D578" t="s">
        <v>841</v>
      </c>
      <c r="E578" t="s">
        <v>432</v>
      </c>
      <c r="F578" t="s">
        <v>845</v>
      </c>
      <c r="G578" t="s">
        <v>53</v>
      </c>
      <c r="H578" t="s">
        <v>37</v>
      </c>
      <c r="L57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7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78" s="1"/>
      <c r="T578" s="64" t="str">
        <f>IF(Table1[[#This Row],[ActualWinner]]="", "", IF(Table1[[#This Row],[AwayTeam]]=Table1[[#This Row],[ActualWinner]],Table1[[#This Row],[HomeTeam]],Table1[[#This Row],[AwayTeam]]))</f>
        <v/>
      </c>
      <c r="U578" s="64">
        <f>Table1[[#This Row],[ActualAwayScore]]-Table1[[#This Row],[PredictedAwayScore]]</f>
        <v>0</v>
      </c>
      <c r="V578" s="64">
        <f>Table1[[#This Row],[ActualHomeScore]]-Table1[[#This Row],[PredictedHomeScore]]</f>
        <v>0</v>
      </c>
      <c r="W578" s="64">
        <f>(0.8*IF(Table1[[#This Row],[CorrectWinnerPrediction]]=1, 1, 0))+(0.1*IF(Table1[[#This Row],[CorrectAwayScorePrediction]]=1, 1, 0))+(0.1*IF(Table1[[#This Row],[CorrectHomeScorePrediction]]=1, 1, 0))</f>
        <v>0</v>
      </c>
      <c r="X57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78" s="64">
        <f>SUMIF(Table1[GameDate], Table1[[#This Row],[GameDate]], Table1[AwayGameGoalDiff])</f>
        <v>0</v>
      </c>
      <c r="AA578" s="64">
        <f>SUMIF(Table1[GameDate], Table1[[#This Row],[GameDate]], Table1[HomeGameGoalDiff])</f>
        <v>0</v>
      </c>
      <c r="AB578" s="64">
        <f>IF(ISBLANK(Table1[[#This Row],[ActualResult]]), 0, 1)</f>
        <v>0</v>
      </c>
      <c r="AC578" s="64">
        <f>IF(ISBLANK(Table1[[#This Row],[ActualResult]]), 0, IF(Table1[[#This Row],[ActualWinner]]=Table1[[#This Row],[PredictedWinner]], 1, 0))</f>
        <v>0</v>
      </c>
      <c r="AD57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7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78" s="64">
        <f>IF(AND(Table1[[#This Row],[GameIsOver]]=1,Table1[[#This Row],[ActualAwayScore]]=0), 1,0)</f>
        <v>0</v>
      </c>
      <c r="AG578" s="64">
        <f>IF(AND(Table1[[#This Row],[GameIsOver]]=1,Table1[[#This Row],[ActualHomeScore]]=0), 1,0)</f>
        <v>0</v>
      </c>
      <c r="AH578" s="64">
        <f>IF(Table1[[#This Row],[GameIsOver]]=0,0,IF(Table1[[#This Row],[ActualWinner]]=Table1[[#This Row],[AwayTeam]], 1, 0))</f>
        <v>0</v>
      </c>
      <c r="AI578" s="64">
        <f>IF(Table1[[#This Row],[GameIsOver]]=0,0,IF(Table1[[#This Row],[ActualWinner]]=Table1[[#This Row],[HomeTeam]], 1, 0))</f>
        <v>0</v>
      </c>
      <c r="AJ578" s="64">
        <f>IF(INDEX(Standings!$A$2:$C$33,MATCH(Table1[[#This Row],[AwayTeam]],Standings!$A$2:$A$33,0),2)=INDEX(Standings!$A$2:$C$33,MATCH(Table1[[#This Row],[HomeTeam]],Standings!$A$2:$A$33,0),2),1,0)</f>
        <v>1</v>
      </c>
      <c r="AK578" s="64">
        <f>IF(INDEX(Standings!$A$2:$C$33,MATCH(Table1[[#This Row],[AwayTeam]],Standings!$A$2:$A$33,0),3)=INDEX(Standings!$A$2:$C$33,MATCH(Table1[[#This Row],[HomeTeam]],Standings!$A$2:$A$33,0),3),1,0)</f>
        <v>0</v>
      </c>
      <c r="AL578" s="64">
        <f>IF(Table1[[#This Row],[InterConf]]=1,IF(Table1[[#This Row],[InterDiv]]=0, 1, 0), 0)</f>
        <v>1</v>
      </c>
      <c r="AM578" s="64">
        <f>IF(INDEX(Standings!$A$2:$C$33,MATCH(Table1[[#This Row],[AwayTeam]],Standings!$A$2:$A$33,0),2)&lt;&gt;INDEX(Standings!$A$2:$C$33,MATCH(Table1[[#This Row],[HomeTeam]],Standings!$A$2:$A$33,0),2),1,0)</f>
        <v>0</v>
      </c>
      <c r="AN578" s="64" t="str">
        <f>INDEX(Table2[AWAY_RECORD], MATCH(Table1[[#This Row],[AwayTeam]],Table2[Team], 0), 0)</f>
        <v>0-1-0</v>
      </c>
      <c r="AO578" s="64" t="str">
        <f>INDEX(Records!$B$2:$AG$33, MATCH(Table1[[#This Row],[AwayTeam]],Records!$A$2:$A$33, 0), MATCH(Table1[[#This Row],[HomeTeam]],Records!$A$2:$A$33, 0))</f>
        <v>0-0-0</v>
      </c>
      <c r="AP578" s="64" t="str">
        <f>INDEX(Table2[HOME_RECORD], MATCH(Table1[[#This Row],[HomeTeam]],Table2[Team], 0), 0)</f>
        <v>0-1-0</v>
      </c>
      <c r="AQ578" s="64" t="str">
        <f>INDEX(Records!$B$2:$AG$33, MATCH(Table1[[#This Row],[HomeTeam]],Records!$A$2:$A$33, 0), MATCH(Table1[[#This Row],[AwayTeam]],Records!$A$2:$A$33, 0))</f>
        <v>0-0-0</v>
      </c>
    </row>
    <row r="579" spans="1:43" x14ac:dyDescent="0.25">
      <c r="A579" s="1"/>
      <c r="D579" t="s">
        <v>841</v>
      </c>
      <c r="E579" t="s">
        <v>207</v>
      </c>
      <c r="F579" t="s">
        <v>846</v>
      </c>
      <c r="G579" t="s">
        <v>57</v>
      </c>
      <c r="H579" t="s">
        <v>44</v>
      </c>
      <c r="L57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7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79" s="1"/>
      <c r="T579" s="64" t="str">
        <f>IF(Table1[[#This Row],[ActualWinner]]="", "", IF(Table1[[#This Row],[AwayTeam]]=Table1[[#This Row],[ActualWinner]],Table1[[#This Row],[HomeTeam]],Table1[[#This Row],[AwayTeam]]))</f>
        <v/>
      </c>
      <c r="U579" s="64">
        <f>Table1[[#This Row],[ActualAwayScore]]-Table1[[#This Row],[PredictedAwayScore]]</f>
        <v>0</v>
      </c>
      <c r="V579" s="64">
        <f>Table1[[#This Row],[ActualHomeScore]]-Table1[[#This Row],[PredictedHomeScore]]</f>
        <v>0</v>
      </c>
      <c r="W579" s="64">
        <f>(0.8*IF(Table1[[#This Row],[CorrectWinnerPrediction]]=1, 1, 0))+(0.1*IF(Table1[[#This Row],[CorrectAwayScorePrediction]]=1, 1, 0))+(0.1*IF(Table1[[#This Row],[CorrectHomeScorePrediction]]=1, 1, 0))</f>
        <v>0</v>
      </c>
      <c r="X57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79" s="64">
        <f>SUMIF(Table1[GameDate], Table1[[#This Row],[GameDate]], Table1[AwayGameGoalDiff])</f>
        <v>0</v>
      </c>
      <c r="AA579" s="64">
        <f>SUMIF(Table1[GameDate], Table1[[#This Row],[GameDate]], Table1[HomeGameGoalDiff])</f>
        <v>0</v>
      </c>
      <c r="AB579" s="64">
        <f>IF(ISBLANK(Table1[[#This Row],[ActualResult]]), 0, 1)</f>
        <v>0</v>
      </c>
      <c r="AC579" s="64">
        <f>IF(ISBLANK(Table1[[#This Row],[ActualResult]]), 0, IF(Table1[[#This Row],[ActualWinner]]=Table1[[#This Row],[PredictedWinner]], 1, 0))</f>
        <v>0</v>
      </c>
      <c r="AD57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7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79" s="64">
        <f>IF(AND(Table1[[#This Row],[GameIsOver]]=1,Table1[[#This Row],[ActualAwayScore]]=0), 1,0)</f>
        <v>0</v>
      </c>
      <c r="AG579" s="64">
        <f>IF(AND(Table1[[#This Row],[GameIsOver]]=1,Table1[[#This Row],[ActualHomeScore]]=0), 1,0)</f>
        <v>0</v>
      </c>
      <c r="AH579" s="64">
        <f>IF(Table1[[#This Row],[GameIsOver]]=0,0,IF(Table1[[#This Row],[ActualWinner]]=Table1[[#This Row],[AwayTeam]], 1, 0))</f>
        <v>0</v>
      </c>
      <c r="AI579" s="64">
        <f>IF(Table1[[#This Row],[GameIsOver]]=0,0,IF(Table1[[#This Row],[ActualWinner]]=Table1[[#This Row],[HomeTeam]], 1, 0))</f>
        <v>0</v>
      </c>
      <c r="AJ579" s="64">
        <f>IF(INDEX(Standings!$A$2:$C$33,MATCH(Table1[[#This Row],[AwayTeam]],Standings!$A$2:$A$33,0),2)=INDEX(Standings!$A$2:$C$33,MATCH(Table1[[#This Row],[HomeTeam]],Standings!$A$2:$A$33,0),2),1,0)</f>
        <v>1</v>
      </c>
      <c r="AK579" s="64">
        <f>IF(INDEX(Standings!$A$2:$C$33,MATCH(Table1[[#This Row],[AwayTeam]],Standings!$A$2:$A$33,0),3)=INDEX(Standings!$A$2:$C$33,MATCH(Table1[[#This Row],[HomeTeam]],Standings!$A$2:$A$33,0),3),1,0)</f>
        <v>1</v>
      </c>
      <c r="AL579" s="64">
        <f>IF(Table1[[#This Row],[InterConf]]=1,IF(Table1[[#This Row],[InterDiv]]=0, 1, 0), 0)</f>
        <v>0</v>
      </c>
      <c r="AM579" s="64">
        <f>IF(INDEX(Standings!$A$2:$C$33,MATCH(Table1[[#This Row],[AwayTeam]],Standings!$A$2:$A$33,0),2)&lt;&gt;INDEX(Standings!$A$2:$C$33,MATCH(Table1[[#This Row],[HomeTeam]],Standings!$A$2:$A$33,0),2),1,0)</f>
        <v>0</v>
      </c>
      <c r="AN579" s="64" t="str">
        <f>INDEX(Table2[AWAY_RECORD], MATCH(Table1[[#This Row],[AwayTeam]],Table2[Team], 0), 0)</f>
        <v>0-1-0</v>
      </c>
      <c r="AO579" s="64" t="str">
        <f>INDEX(Records!$B$2:$AG$33, MATCH(Table1[[#This Row],[AwayTeam]],Records!$A$2:$A$33, 0), MATCH(Table1[[#This Row],[HomeTeam]],Records!$A$2:$A$33, 0))</f>
        <v>0-0-0</v>
      </c>
      <c r="AP579" s="64" t="str">
        <f>INDEX(Table2[HOME_RECORD], MATCH(Table1[[#This Row],[HomeTeam]],Table2[Team], 0), 0)</f>
        <v>0-0-1</v>
      </c>
      <c r="AQ579" s="64" t="str">
        <f>INDEX(Records!$B$2:$AG$33, MATCH(Table1[[#This Row],[HomeTeam]],Records!$A$2:$A$33, 0), MATCH(Table1[[#This Row],[AwayTeam]],Records!$A$2:$A$33, 0))</f>
        <v>0-0-0</v>
      </c>
    </row>
    <row r="580" spans="1:43" x14ac:dyDescent="0.25">
      <c r="A580" s="1"/>
      <c r="D580" t="s">
        <v>841</v>
      </c>
      <c r="E580" t="s">
        <v>160</v>
      </c>
      <c r="F580" t="s">
        <v>847</v>
      </c>
      <c r="G580" t="s">
        <v>46</v>
      </c>
      <c r="H580" t="s">
        <v>38</v>
      </c>
      <c r="L58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8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80" s="1"/>
      <c r="T580" s="64" t="str">
        <f>IF(Table1[[#This Row],[ActualWinner]]="", "", IF(Table1[[#This Row],[AwayTeam]]=Table1[[#This Row],[ActualWinner]],Table1[[#This Row],[HomeTeam]],Table1[[#This Row],[AwayTeam]]))</f>
        <v/>
      </c>
      <c r="U580" s="64">
        <f>Table1[[#This Row],[ActualAwayScore]]-Table1[[#This Row],[PredictedAwayScore]]</f>
        <v>0</v>
      </c>
      <c r="V580" s="64">
        <f>Table1[[#This Row],[ActualHomeScore]]-Table1[[#This Row],[PredictedHomeScore]]</f>
        <v>0</v>
      </c>
      <c r="W580" s="64">
        <f>(0.8*IF(Table1[[#This Row],[CorrectWinnerPrediction]]=1, 1, 0))+(0.1*IF(Table1[[#This Row],[CorrectAwayScorePrediction]]=1, 1, 0))+(0.1*IF(Table1[[#This Row],[CorrectHomeScorePrediction]]=1, 1, 0))</f>
        <v>0</v>
      </c>
      <c r="X58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80" s="64">
        <f>SUMIF(Table1[GameDate], Table1[[#This Row],[GameDate]], Table1[AwayGameGoalDiff])</f>
        <v>0</v>
      </c>
      <c r="AA580" s="64">
        <f>SUMIF(Table1[GameDate], Table1[[#This Row],[GameDate]], Table1[HomeGameGoalDiff])</f>
        <v>0</v>
      </c>
      <c r="AB580" s="64">
        <f>IF(ISBLANK(Table1[[#This Row],[ActualResult]]), 0, 1)</f>
        <v>0</v>
      </c>
      <c r="AC580" s="64">
        <f>IF(ISBLANK(Table1[[#This Row],[ActualResult]]), 0, IF(Table1[[#This Row],[ActualWinner]]=Table1[[#This Row],[PredictedWinner]], 1, 0))</f>
        <v>0</v>
      </c>
      <c r="AD58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8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80" s="64">
        <f>IF(AND(Table1[[#This Row],[GameIsOver]]=1,Table1[[#This Row],[ActualAwayScore]]=0), 1,0)</f>
        <v>0</v>
      </c>
      <c r="AG580" s="64">
        <f>IF(AND(Table1[[#This Row],[GameIsOver]]=1,Table1[[#This Row],[ActualHomeScore]]=0), 1,0)</f>
        <v>0</v>
      </c>
      <c r="AH580" s="64">
        <f>IF(Table1[[#This Row],[GameIsOver]]=0,0,IF(Table1[[#This Row],[ActualWinner]]=Table1[[#This Row],[AwayTeam]], 1, 0))</f>
        <v>0</v>
      </c>
      <c r="AI580" s="64">
        <f>IF(Table1[[#This Row],[GameIsOver]]=0,0,IF(Table1[[#This Row],[ActualWinner]]=Table1[[#This Row],[HomeTeam]], 1, 0))</f>
        <v>0</v>
      </c>
      <c r="AJ580" s="64">
        <f>IF(INDEX(Standings!$A$2:$C$33,MATCH(Table1[[#This Row],[AwayTeam]],Standings!$A$2:$A$33,0),2)=INDEX(Standings!$A$2:$C$33,MATCH(Table1[[#This Row],[HomeTeam]],Standings!$A$2:$A$33,0),2),1,0)</f>
        <v>0</v>
      </c>
      <c r="AK580" s="64">
        <f>IF(INDEX(Standings!$A$2:$C$33,MATCH(Table1[[#This Row],[AwayTeam]],Standings!$A$2:$A$33,0),3)=INDEX(Standings!$A$2:$C$33,MATCH(Table1[[#This Row],[HomeTeam]],Standings!$A$2:$A$33,0),3),1,0)</f>
        <v>0</v>
      </c>
      <c r="AL580" s="64">
        <f>IF(Table1[[#This Row],[InterConf]]=1,IF(Table1[[#This Row],[InterDiv]]=0, 1, 0), 0)</f>
        <v>0</v>
      </c>
      <c r="AM580" s="64">
        <f>IF(INDEX(Standings!$A$2:$C$33,MATCH(Table1[[#This Row],[AwayTeam]],Standings!$A$2:$A$33,0),2)&lt;&gt;INDEX(Standings!$A$2:$C$33,MATCH(Table1[[#This Row],[HomeTeam]],Standings!$A$2:$A$33,0),2),1,0)</f>
        <v>1</v>
      </c>
      <c r="AN580" s="64" t="str">
        <f>INDEX(Table2[AWAY_RECORD], MATCH(Table1[[#This Row],[AwayTeam]],Table2[Team], 0), 0)</f>
        <v>1-0-0</v>
      </c>
      <c r="AO580" s="64" t="str">
        <f>INDEX(Records!$B$2:$AG$33, MATCH(Table1[[#This Row],[AwayTeam]],Records!$A$2:$A$33, 0), MATCH(Table1[[#This Row],[HomeTeam]],Records!$A$2:$A$33, 0))</f>
        <v>0-0-0</v>
      </c>
      <c r="AP580" s="64" t="str">
        <f>INDEX(Table2[HOME_RECORD], MATCH(Table1[[#This Row],[HomeTeam]],Table2[Team], 0), 0)</f>
        <v>0-0-0</v>
      </c>
      <c r="AQ580" s="64" t="str">
        <f>INDEX(Records!$B$2:$AG$33, MATCH(Table1[[#This Row],[HomeTeam]],Records!$A$2:$A$33, 0), MATCH(Table1[[#This Row],[AwayTeam]],Records!$A$2:$A$33, 0))</f>
        <v>0-0-0</v>
      </c>
    </row>
    <row r="581" spans="1:43" x14ac:dyDescent="0.25">
      <c r="A581" s="1"/>
      <c r="D581" t="s">
        <v>841</v>
      </c>
      <c r="E581" t="s">
        <v>160</v>
      </c>
      <c r="F581" t="s">
        <v>848</v>
      </c>
      <c r="G581" t="s">
        <v>43</v>
      </c>
      <c r="H581" t="s">
        <v>60</v>
      </c>
      <c r="L58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8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81" s="1"/>
      <c r="T581" s="64" t="str">
        <f>IF(Table1[[#This Row],[ActualWinner]]="", "", IF(Table1[[#This Row],[AwayTeam]]=Table1[[#This Row],[ActualWinner]],Table1[[#This Row],[HomeTeam]],Table1[[#This Row],[AwayTeam]]))</f>
        <v/>
      </c>
      <c r="U581" s="64">
        <f>Table1[[#This Row],[ActualAwayScore]]-Table1[[#This Row],[PredictedAwayScore]]</f>
        <v>0</v>
      </c>
      <c r="V581" s="64">
        <f>Table1[[#This Row],[ActualHomeScore]]-Table1[[#This Row],[PredictedHomeScore]]</f>
        <v>0</v>
      </c>
      <c r="W581" s="64">
        <f>(0.8*IF(Table1[[#This Row],[CorrectWinnerPrediction]]=1, 1, 0))+(0.1*IF(Table1[[#This Row],[CorrectAwayScorePrediction]]=1, 1, 0))+(0.1*IF(Table1[[#This Row],[CorrectHomeScorePrediction]]=1, 1, 0))</f>
        <v>0</v>
      </c>
      <c r="X58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81" s="64">
        <f>SUMIF(Table1[GameDate], Table1[[#This Row],[GameDate]], Table1[AwayGameGoalDiff])</f>
        <v>0</v>
      </c>
      <c r="AA581" s="64">
        <f>SUMIF(Table1[GameDate], Table1[[#This Row],[GameDate]], Table1[HomeGameGoalDiff])</f>
        <v>0</v>
      </c>
      <c r="AB581" s="64">
        <f>IF(ISBLANK(Table1[[#This Row],[ActualResult]]), 0, 1)</f>
        <v>0</v>
      </c>
      <c r="AC581" s="64">
        <f>IF(ISBLANK(Table1[[#This Row],[ActualResult]]), 0, IF(Table1[[#This Row],[ActualWinner]]=Table1[[#This Row],[PredictedWinner]], 1, 0))</f>
        <v>0</v>
      </c>
      <c r="AD58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8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81" s="64">
        <f>IF(AND(Table1[[#This Row],[GameIsOver]]=1,Table1[[#This Row],[ActualAwayScore]]=0), 1,0)</f>
        <v>0</v>
      </c>
      <c r="AG581" s="64">
        <f>IF(AND(Table1[[#This Row],[GameIsOver]]=1,Table1[[#This Row],[ActualHomeScore]]=0), 1,0)</f>
        <v>0</v>
      </c>
      <c r="AH581" s="64">
        <f>IF(Table1[[#This Row],[GameIsOver]]=0,0,IF(Table1[[#This Row],[ActualWinner]]=Table1[[#This Row],[AwayTeam]], 1, 0))</f>
        <v>0</v>
      </c>
      <c r="AI581" s="64">
        <f>IF(Table1[[#This Row],[GameIsOver]]=0,0,IF(Table1[[#This Row],[ActualWinner]]=Table1[[#This Row],[HomeTeam]], 1, 0))</f>
        <v>0</v>
      </c>
      <c r="AJ581" s="64">
        <f>IF(INDEX(Standings!$A$2:$C$33,MATCH(Table1[[#This Row],[AwayTeam]],Standings!$A$2:$A$33,0),2)=INDEX(Standings!$A$2:$C$33,MATCH(Table1[[#This Row],[HomeTeam]],Standings!$A$2:$A$33,0),2),1,0)</f>
        <v>1</v>
      </c>
      <c r="AK581" s="64">
        <f>IF(INDEX(Standings!$A$2:$C$33,MATCH(Table1[[#This Row],[AwayTeam]],Standings!$A$2:$A$33,0),3)=INDEX(Standings!$A$2:$C$33,MATCH(Table1[[#This Row],[HomeTeam]],Standings!$A$2:$A$33,0),3),1,0)</f>
        <v>1</v>
      </c>
      <c r="AL581" s="64">
        <f>IF(Table1[[#This Row],[InterConf]]=1,IF(Table1[[#This Row],[InterDiv]]=0, 1, 0), 0)</f>
        <v>0</v>
      </c>
      <c r="AM581" s="64">
        <f>IF(INDEX(Standings!$A$2:$C$33,MATCH(Table1[[#This Row],[AwayTeam]],Standings!$A$2:$A$33,0),2)&lt;&gt;INDEX(Standings!$A$2:$C$33,MATCH(Table1[[#This Row],[HomeTeam]],Standings!$A$2:$A$33,0),2),1,0)</f>
        <v>0</v>
      </c>
      <c r="AN581" s="64" t="str">
        <f>INDEX(Table2[AWAY_RECORD], MATCH(Table1[[#This Row],[AwayTeam]],Table2[Team], 0), 0)</f>
        <v>0-0-0</v>
      </c>
      <c r="AO581" s="64" t="str">
        <f>INDEX(Records!$B$2:$AG$33, MATCH(Table1[[#This Row],[AwayTeam]],Records!$A$2:$A$33, 0), MATCH(Table1[[#This Row],[HomeTeam]],Records!$A$2:$A$33, 0))</f>
        <v>0-0-0</v>
      </c>
      <c r="AP581" s="64" t="str">
        <f>INDEX(Table2[HOME_RECORD], MATCH(Table1[[#This Row],[HomeTeam]],Table2[Team], 0), 0)</f>
        <v>1-0-0</v>
      </c>
      <c r="AQ581" s="64" t="str">
        <f>INDEX(Records!$B$2:$AG$33, MATCH(Table1[[#This Row],[HomeTeam]],Records!$A$2:$A$33, 0), MATCH(Table1[[#This Row],[AwayTeam]],Records!$A$2:$A$33, 0))</f>
        <v>0-0-0</v>
      </c>
    </row>
    <row r="582" spans="1:43" x14ac:dyDescent="0.25">
      <c r="A582" s="1"/>
      <c r="D582" t="s">
        <v>841</v>
      </c>
      <c r="E582" t="s">
        <v>162</v>
      </c>
      <c r="F582" t="s">
        <v>849</v>
      </c>
      <c r="G582" t="s">
        <v>48</v>
      </c>
      <c r="H582" t="s">
        <v>49</v>
      </c>
      <c r="L58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8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82" s="1"/>
      <c r="T582" s="64" t="str">
        <f>IF(Table1[[#This Row],[ActualWinner]]="", "", IF(Table1[[#This Row],[AwayTeam]]=Table1[[#This Row],[ActualWinner]],Table1[[#This Row],[HomeTeam]],Table1[[#This Row],[AwayTeam]]))</f>
        <v/>
      </c>
      <c r="U582" s="64">
        <f>Table1[[#This Row],[ActualAwayScore]]-Table1[[#This Row],[PredictedAwayScore]]</f>
        <v>0</v>
      </c>
      <c r="V582" s="64">
        <f>Table1[[#This Row],[ActualHomeScore]]-Table1[[#This Row],[PredictedHomeScore]]</f>
        <v>0</v>
      </c>
      <c r="W582" s="64">
        <f>(0.8*IF(Table1[[#This Row],[CorrectWinnerPrediction]]=1, 1, 0))+(0.1*IF(Table1[[#This Row],[CorrectAwayScorePrediction]]=1, 1, 0))+(0.1*IF(Table1[[#This Row],[CorrectHomeScorePrediction]]=1, 1, 0))</f>
        <v>0</v>
      </c>
      <c r="X58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82" s="64">
        <f>SUMIF(Table1[GameDate], Table1[[#This Row],[GameDate]], Table1[AwayGameGoalDiff])</f>
        <v>0</v>
      </c>
      <c r="AA582" s="64">
        <f>SUMIF(Table1[GameDate], Table1[[#This Row],[GameDate]], Table1[HomeGameGoalDiff])</f>
        <v>0</v>
      </c>
      <c r="AB582" s="64">
        <f>IF(ISBLANK(Table1[[#This Row],[ActualResult]]), 0, 1)</f>
        <v>0</v>
      </c>
      <c r="AC582" s="64">
        <f>IF(ISBLANK(Table1[[#This Row],[ActualResult]]), 0, IF(Table1[[#This Row],[ActualWinner]]=Table1[[#This Row],[PredictedWinner]], 1, 0))</f>
        <v>0</v>
      </c>
      <c r="AD58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8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82" s="64">
        <f>IF(AND(Table1[[#This Row],[GameIsOver]]=1,Table1[[#This Row],[ActualAwayScore]]=0), 1,0)</f>
        <v>0</v>
      </c>
      <c r="AG582" s="64">
        <f>IF(AND(Table1[[#This Row],[GameIsOver]]=1,Table1[[#This Row],[ActualHomeScore]]=0), 1,0)</f>
        <v>0</v>
      </c>
      <c r="AH582" s="64">
        <f>IF(Table1[[#This Row],[GameIsOver]]=0,0,IF(Table1[[#This Row],[ActualWinner]]=Table1[[#This Row],[AwayTeam]], 1, 0))</f>
        <v>0</v>
      </c>
      <c r="AI582" s="64">
        <f>IF(Table1[[#This Row],[GameIsOver]]=0,0,IF(Table1[[#This Row],[ActualWinner]]=Table1[[#This Row],[HomeTeam]], 1, 0))</f>
        <v>0</v>
      </c>
      <c r="AJ582" s="64">
        <f>IF(INDEX(Standings!$A$2:$C$33,MATCH(Table1[[#This Row],[AwayTeam]],Standings!$A$2:$A$33,0),2)=INDEX(Standings!$A$2:$C$33,MATCH(Table1[[#This Row],[HomeTeam]],Standings!$A$2:$A$33,0),2),1,0)</f>
        <v>0</v>
      </c>
      <c r="AK582" s="64">
        <f>IF(INDEX(Standings!$A$2:$C$33,MATCH(Table1[[#This Row],[AwayTeam]],Standings!$A$2:$A$33,0),3)=INDEX(Standings!$A$2:$C$33,MATCH(Table1[[#This Row],[HomeTeam]],Standings!$A$2:$A$33,0),3),1,0)</f>
        <v>0</v>
      </c>
      <c r="AL582" s="64">
        <f>IF(Table1[[#This Row],[InterConf]]=1,IF(Table1[[#This Row],[InterDiv]]=0, 1, 0), 0)</f>
        <v>0</v>
      </c>
      <c r="AM582" s="64">
        <f>IF(INDEX(Standings!$A$2:$C$33,MATCH(Table1[[#This Row],[AwayTeam]],Standings!$A$2:$A$33,0),2)&lt;&gt;INDEX(Standings!$A$2:$C$33,MATCH(Table1[[#This Row],[HomeTeam]],Standings!$A$2:$A$33,0),2),1,0)</f>
        <v>1</v>
      </c>
      <c r="AN582" s="64" t="str">
        <f>INDEX(Table2[AWAY_RECORD], MATCH(Table1[[#This Row],[AwayTeam]],Table2[Team], 0), 0)</f>
        <v>0-0-0</v>
      </c>
      <c r="AO582" s="64" t="str">
        <f>INDEX(Records!$B$2:$AG$33, MATCH(Table1[[#This Row],[AwayTeam]],Records!$A$2:$A$33, 0), MATCH(Table1[[#This Row],[HomeTeam]],Records!$A$2:$A$33, 0))</f>
        <v>0-0-0</v>
      </c>
      <c r="AP582" s="64" t="str">
        <f>INDEX(Table2[HOME_RECORD], MATCH(Table1[[#This Row],[HomeTeam]],Table2[Team], 0), 0)</f>
        <v>1-0-0</v>
      </c>
      <c r="AQ582" s="64" t="str">
        <f>INDEX(Records!$B$2:$AG$33, MATCH(Table1[[#This Row],[HomeTeam]],Records!$A$2:$A$33, 0), MATCH(Table1[[#This Row],[AwayTeam]],Records!$A$2:$A$33, 0))</f>
        <v>0-0-0</v>
      </c>
    </row>
    <row r="583" spans="1:43" x14ac:dyDescent="0.25">
      <c r="A583" s="1"/>
      <c r="D583" t="s">
        <v>841</v>
      </c>
      <c r="E583" t="s">
        <v>162</v>
      </c>
      <c r="F583" t="s">
        <v>850</v>
      </c>
      <c r="G583" t="s">
        <v>51</v>
      </c>
      <c r="H583" t="s">
        <v>50</v>
      </c>
      <c r="L58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8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83" s="1"/>
      <c r="T583" s="64" t="str">
        <f>IF(Table1[[#This Row],[ActualWinner]]="", "", IF(Table1[[#This Row],[AwayTeam]]=Table1[[#This Row],[ActualWinner]],Table1[[#This Row],[HomeTeam]],Table1[[#This Row],[AwayTeam]]))</f>
        <v/>
      </c>
      <c r="U583" s="64">
        <f>Table1[[#This Row],[ActualAwayScore]]-Table1[[#This Row],[PredictedAwayScore]]</f>
        <v>0</v>
      </c>
      <c r="V583" s="64">
        <f>Table1[[#This Row],[ActualHomeScore]]-Table1[[#This Row],[PredictedHomeScore]]</f>
        <v>0</v>
      </c>
      <c r="W583" s="64">
        <f>(0.8*IF(Table1[[#This Row],[CorrectWinnerPrediction]]=1, 1, 0))+(0.1*IF(Table1[[#This Row],[CorrectAwayScorePrediction]]=1, 1, 0))+(0.1*IF(Table1[[#This Row],[CorrectHomeScorePrediction]]=1, 1, 0))</f>
        <v>0</v>
      </c>
      <c r="X58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83" s="64">
        <f>SUMIF(Table1[GameDate], Table1[[#This Row],[GameDate]], Table1[AwayGameGoalDiff])</f>
        <v>0</v>
      </c>
      <c r="AA583" s="64">
        <f>SUMIF(Table1[GameDate], Table1[[#This Row],[GameDate]], Table1[HomeGameGoalDiff])</f>
        <v>0</v>
      </c>
      <c r="AB583" s="64">
        <f>IF(ISBLANK(Table1[[#This Row],[ActualResult]]), 0, 1)</f>
        <v>0</v>
      </c>
      <c r="AC583" s="64">
        <f>IF(ISBLANK(Table1[[#This Row],[ActualResult]]), 0, IF(Table1[[#This Row],[ActualWinner]]=Table1[[#This Row],[PredictedWinner]], 1, 0))</f>
        <v>0</v>
      </c>
      <c r="AD58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8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83" s="64">
        <f>IF(AND(Table1[[#This Row],[GameIsOver]]=1,Table1[[#This Row],[ActualAwayScore]]=0), 1,0)</f>
        <v>0</v>
      </c>
      <c r="AG583" s="64">
        <f>IF(AND(Table1[[#This Row],[GameIsOver]]=1,Table1[[#This Row],[ActualHomeScore]]=0), 1,0)</f>
        <v>0</v>
      </c>
      <c r="AH583" s="64">
        <f>IF(Table1[[#This Row],[GameIsOver]]=0,0,IF(Table1[[#This Row],[ActualWinner]]=Table1[[#This Row],[AwayTeam]], 1, 0))</f>
        <v>0</v>
      </c>
      <c r="AI583" s="64">
        <f>IF(Table1[[#This Row],[GameIsOver]]=0,0,IF(Table1[[#This Row],[ActualWinner]]=Table1[[#This Row],[HomeTeam]], 1, 0))</f>
        <v>0</v>
      </c>
      <c r="AJ583" s="64">
        <f>IF(INDEX(Standings!$A$2:$C$33,MATCH(Table1[[#This Row],[AwayTeam]],Standings!$A$2:$A$33,0),2)=INDEX(Standings!$A$2:$C$33,MATCH(Table1[[#This Row],[HomeTeam]],Standings!$A$2:$A$33,0),2),1,0)</f>
        <v>1</v>
      </c>
      <c r="AK583" s="64">
        <f>IF(INDEX(Standings!$A$2:$C$33,MATCH(Table1[[#This Row],[AwayTeam]],Standings!$A$2:$A$33,0),3)=INDEX(Standings!$A$2:$C$33,MATCH(Table1[[#This Row],[HomeTeam]],Standings!$A$2:$A$33,0),3),1,0)</f>
        <v>1</v>
      </c>
      <c r="AL583" s="64">
        <f>IF(Table1[[#This Row],[InterConf]]=1,IF(Table1[[#This Row],[InterDiv]]=0, 1, 0), 0)</f>
        <v>0</v>
      </c>
      <c r="AM583" s="64">
        <f>IF(INDEX(Standings!$A$2:$C$33,MATCH(Table1[[#This Row],[AwayTeam]],Standings!$A$2:$A$33,0),2)&lt;&gt;INDEX(Standings!$A$2:$C$33,MATCH(Table1[[#This Row],[HomeTeam]],Standings!$A$2:$A$33,0),2),1,0)</f>
        <v>0</v>
      </c>
      <c r="AN583" s="64" t="str">
        <f>INDEX(Table2[AWAY_RECORD], MATCH(Table1[[#This Row],[AwayTeam]],Table2[Team], 0), 0)</f>
        <v>2-0-0</v>
      </c>
      <c r="AO583" s="64" t="str">
        <f>INDEX(Records!$B$2:$AG$33, MATCH(Table1[[#This Row],[AwayTeam]],Records!$A$2:$A$33, 0), MATCH(Table1[[#This Row],[HomeTeam]],Records!$A$2:$A$33, 0))</f>
        <v>0-0-0</v>
      </c>
      <c r="AP583" s="64" t="str">
        <f>INDEX(Table2[HOME_RECORD], MATCH(Table1[[#This Row],[HomeTeam]],Table2[Team], 0), 0)</f>
        <v>0-0-0</v>
      </c>
      <c r="AQ583" s="64" t="str">
        <f>INDEX(Records!$B$2:$AG$33, MATCH(Table1[[#This Row],[HomeTeam]],Records!$A$2:$A$33, 0), MATCH(Table1[[#This Row],[AwayTeam]],Records!$A$2:$A$33, 0))</f>
        <v>0-0-0</v>
      </c>
    </row>
    <row r="584" spans="1:43" x14ac:dyDescent="0.25">
      <c r="A584" s="1"/>
      <c r="D584" t="s">
        <v>841</v>
      </c>
      <c r="E584" t="s">
        <v>162</v>
      </c>
      <c r="F584" t="s">
        <v>851</v>
      </c>
      <c r="G584" t="s">
        <v>36</v>
      </c>
      <c r="H584" t="s">
        <v>45</v>
      </c>
      <c r="L58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8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84" s="1"/>
      <c r="T584" s="64" t="str">
        <f>IF(Table1[[#This Row],[ActualWinner]]="", "", IF(Table1[[#This Row],[AwayTeam]]=Table1[[#This Row],[ActualWinner]],Table1[[#This Row],[HomeTeam]],Table1[[#This Row],[AwayTeam]]))</f>
        <v/>
      </c>
      <c r="U584" s="64">
        <f>Table1[[#This Row],[ActualAwayScore]]-Table1[[#This Row],[PredictedAwayScore]]</f>
        <v>0</v>
      </c>
      <c r="V584" s="64">
        <f>Table1[[#This Row],[ActualHomeScore]]-Table1[[#This Row],[PredictedHomeScore]]</f>
        <v>0</v>
      </c>
      <c r="W584" s="64">
        <f>(0.8*IF(Table1[[#This Row],[CorrectWinnerPrediction]]=1, 1, 0))+(0.1*IF(Table1[[#This Row],[CorrectAwayScorePrediction]]=1, 1, 0))+(0.1*IF(Table1[[#This Row],[CorrectHomeScorePrediction]]=1, 1, 0))</f>
        <v>0</v>
      </c>
      <c r="X58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84" s="64">
        <f>SUMIF(Table1[GameDate], Table1[[#This Row],[GameDate]], Table1[AwayGameGoalDiff])</f>
        <v>0</v>
      </c>
      <c r="AA584" s="64">
        <f>SUMIF(Table1[GameDate], Table1[[#This Row],[GameDate]], Table1[HomeGameGoalDiff])</f>
        <v>0</v>
      </c>
      <c r="AB584" s="64">
        <f>IF(ISBLANK(Table1[[#This Row],[ActualResult]]), 0, 1)</f>
        <v>0</v>
      </c>
      <c r="AC584" s="64">
        <f>IF(ISBLANK(Table1[[#This Row],[ActualResult]]), 0, IF(Table1[[#This Row],[ActualWinner]]=Table1[[#This Row],[PredictedWinner]], 1, 0))</f>
        <v>0</v>
      </c>
      <c r="AD58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8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84" s="64">
        <f>IF(AND(Table1[[#This Row],[GameIsOver]]=1,Table1[[#This Row],[ActualAwayScore]]=0), 1,0)</f>
        <v>0</v>
      </c>
      <c r="AG584" s="64">
        <f>IF(AND(Table1[[#This Row],[GameIsOver]]=1,Table1[[#This Row],[ActualHomeScore]]=0), 1,0)</f>
        <v>0</v>
      </c>
      <c r="AH584" s="64">
        <f>IF(Table1[[#This Row],[GameIsOver]]=0,0,IF(Table1[[#This Row],[ActualWinner]]=Table1[[#This Row],[AwayTeam]], 1, 0))</f>
        <v>0</v>
      </c>
      <c r="AI584" s="64">
        <f>IF(Table1[[#This Row],[GameIsOver]]=0,0,IF(Table1[[#This Row],[ActualWinner]]=Table1[[#This Row],[HomeTeam]], 1, 0))</f>
        <v>0</v>
      </c>
      <c r="AJ584" s="64">
        <f>IF(INDEX(Standings!$A$2:$C$33,MATCH(Table1[[#This Row],[AwayTeam]],Standings!$A$2:$A$33,0),2)=INDEX(Standings!$A$2:$C$33,MATCH(Table1[[#This Row],[HomeTeam]],Standings!$A$2:$A$33,0),2),1,0)</f>
        <v>1</v>
      </c>
      <c r="AK584" s="64">
        <f>IF(INDEX(Standings!$A$2:$C$33,MATCH(Table1[[#This Row],[AwayTeam]],Standings!$A$2:$A$33,0),3)=INDEX(Standings!$A$2:$C$33,MATCH(Table1[[#This Row],[HomeTeam]],Standings!$A$2:$A$33,0),3),1,0)</f>
        <v>1</v>
      </c>
      <c r="AL584" s="64">
        <f>IF(Table1[[#This Row],[InterConf]]=1,IF(Table1[[#This Row],[InterDiv]]=0, 1, 0), 0)</f>
        <v>0</v>
      </c>
      <c r="AM584" s="64">
        <f>IF(INDEX(Standings!$A$2:$C$33,MATCH(Table1[[#This Row],[AwayTeam]],Standings!$A$2:$A$33,0),2)&lt;&gt;INDEX(Standings!$A$2:$C$33,MATCH(Table1[[#This Row],[HomeTeam]],Standings!$A$2:$A$33,0),2),1,0)</f>
        <v>0</v>
      </c>
      <c r="AN584" s="64" t="str">
        <f>INDEX(Table2[AWAY_RECORD], MATCH(Table1[[#This Row],[AwayTeam]],Table2[Team], 0), 0)</f>
        <v>0-0-0</v>
      </c>
      <c r="AO584" s="64" t="str">
        <f>INDEX(Records!$B$2:$AG$33, MATCH(Table1[[#This Row],[AwayTeam]],Records!$A$2:$A$33, 0), MATCH(Table1[[#This Row],[HomeTeam]],Records!$A$2:$A$33, 0))</f>
        <v>0-0-0</v>
      </c>
      <c r="AP584" s="64" t="str">
        <f>INDEX(Table2[HOME_RECORD], MATCH(Table1[[#This Row],[HomeTeam]],Table2[Team], 0), 0)</f>
        <v>1-0-0</v>
      </c>
      <c r="AQ584" s="64" t="str">
        <f>INDEX(Records!$B$2:$AG$33, MATCH(Table1[[#This Row],[HomeTeam]],Records!$A$2:$A$33, 0), MATCH(Table1[[#This Row],[AwayTeam]],Records!$A$2:$A$33, 0))</f>
        <v>0-0-0</v>
      </c>
    </row>
    <row r="585" spans="1:43" x14ac:dyDescent="0.25">
      <c r="A585" s="1"/>
      <c r="D585" t="s">
        <v>841</v>
      </c>
      <c r="E585" t="s">
        <v>178</v>
      </c>
      <c r="F585" t="s">
        <v>852</v>
      </c>
      <c r="G585" t="s">
        <v>56</v>
      </c>
      <c r="H585" t="s">
        <v>41</v>
      </c>
      <c r="L58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8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85" s="1"/>
      <c r="T585" s="64" t="str">
        <f>IF(Table1[[#This Row],[ActualWinner]]="", "", IF(Table1[[#This Row],[AwayTeam]]=Table1[[#This Row],[ActualWinner]],Table1[[#This Row],[HomeTeam]],Table1[[#This Row],[AwayTeam]]))</f>
        <v/>
      </c>
      <c r="U585" s="64">
        <f>Table1[[#This Row],[ActualAwayScore]]-Table1[[#This Row],[PredictedAwayScore]]</f>
        <v>0</v>
      </c>
      <c r="V585" s="64">
        <f>Table1[[#This Row],[ActualHomeScore]]-Table1[[#This Row],[PredictedHomeScore]]</f>
        <v>0</v>
      </c>
      <c r="W585" s="64">
        <f>(0.8*IF(Table1[[#This Row],[CorrectWinnerPrediction]]=1, 1, 0))+(0.1*IF(Table1[[#This Row],[CorrectAwayScorePrediction]]=1, 1, 0))+(0.1*IF(Table1[[#This Row],[CorrectHomeScorePrediction]]=1, 1, 0))</f>
        <v>0</v>
      </c>
      <c r="X58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85" s="64">
        <f>SUMIF(Table1[GameDate], Table1[[#This Row],[GameDate]], Table1[AwayGameGoalDiff])</f>
        <v>0</v>
      </c>
      <c r="AA585" s="64">
        <f>SUMIF(Table1[GameDate], Table1[[#This Row],[GameDate]], Table1[HomeGameGoalDiff])</f>
        <v>0</v>
      </c>
      <c r="AB585" s="64">
        <f>IF(ISBLANK(Table1[[#This Row],[ActualResult]]), 0, 1)</f>
        <v>0</v>
      </c>
      <c r="AC585" s="64">
        <f>IF(ISBLANK(Table1[[#This Row],[ActualResult]]), 0, IF(Table1[[#This Row],[ActualWinner]]=Table1[[#This Row],[PredictedWinner]], 1, 0))</f>
        <v>0</v>
      </c>
      <c r="AD58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8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85" s="64">
        <f>IF(AND(Table1[[#This Row],[GameIsOver]]=1,Table1[[#This Row],[ActualAwayScore]]=0), 1,0)</f>
        <v>0</v>
      </c>
      <c r="AG585" s="64">
        <f>IF(AND(Table1[[#This Row],[GameIsOver]]=1,Table1[[#This Row],[ActualHomeScore]]=0), 1,0)</f>
        <v>0</v>
      </c>
      <c r="AH585" s="64">
        <f>IF(Table1[[#This Row],[GameIsOver]]=0,0,IF(Table1[[#This Row],[ActualWinner]]=Table1[[#This Row],[AwayTeam]], 1, 0))</f>
        <v>0</v>
      </c>
      <c r="AI585" s="64">
        <f>IF(Table1[[#This Row],[GameIsOver]]=0,0,IF(Table1[[#This Row],[ActualWinner]]=Table1[[#This Row],[HomeTeam]], 1, 0))</f>
        <v>0</v>
      </c>
      <c r="AJ585" s="64">
        <f>IF(INDEX(Standings!$A$2:$C$33,MATCH(Table1[[#This Row],[AwayTeam]],Standings!$A$2:$A$33,0),2)=INDEX(Standings!$A$2:$C$33,MATCH(Table1[[#This Row],[HomeTeam]],Standings!$A$2:$A$33,0),2),1,0)</f>
        <v>1</v>
      </c>
      <c r="AK585" s="64">
        <f>IF(INDEX(Standings!$A$2:$C$33,MATCH(Table1[[#This Row],[AwayTeam]],Standings!$A$2:$A$33,0),3)=INDEX(Standings!$A$2:$C$33,MATCH(Table1[[#This Row],[HomeTeam]],Standings!$A$2:$A$33,0),3),1,0)</f>
        <v>0</v>
      </c>
      <c r="AL585" s="64">
        <f>IF(Table1[[#This Row],[InterConf]]=1,IF(Table1[[#This Row],[InterDiv]]=0, 1, 0), 0)</f>
        <v>1</v>
      </c>
      <c r="AM585" s="64">
        <f>IF(INDEX(Standings!$A$2:$C$33,MATCH(Table1[[#This Row],[AwayTeam]],Standings!$A$2:$A$33,0),2)&lt;&gt;INDEX(Standings!$A$2:$C$33,MATCH(Table1[[#This Row],[HomeTeam]],Standings!$A$2:$A$33,0),2),1,0)</f>
        <v>0</v>
      </c>
      <c r="AN585" s="64" t="str">
        <f>INDEX(Table2[AWAY_RECORD], MATCH(Table1[[#This Row],[AwayTeam]],Table2[Team], 0), 0)</f>
        <v>1-0-0</v>
      </c>
      <c r="AO585" s="64" t="str">
        <f>INDEX(Records!$B$2:$AG$33, MATCH(Table1[[#This Row],[AwayTeam]],Records!$A$2:$A$33, 0), MATCH(Table1[[#This Row],[HomeTeam]],Records!$A$2:$A$33, 0))</f>
        <v>0-0-0</v>
      </c>
      <c r="AP585" s="64" t="str">
        <f>INDEX(Table2[HOME_RECORD], MATCH(Table1[[#This Row],[HomeTeam]],Table2[Team], 0), 0)</f>
        <v>0-0-1</v>
      </c>
      <c r="AQ585" s="64" t="str">
        <f>INDEX(Records!$B$2:$AG$33, MATCH(Table1[[#This Row],[HomeTeam]],Records!$A$2:$A$33, 0), MATCH(Table1[[#This Row],[AwayTeam]],Records!$A$2:$A$33, 0))</f>
        <v>0-0-0</v>
      </c>
    </row>
    <row r="586" spans="1:43" x14ac:dyDescent="0.25">
      <c r="A586" s="1"/>
      <c r="D586" t="s">
        <v>853</v>
      </c>
      <c r="E586" t="s">
        <v>432</v>
      </c>
      <c r="F586" t="s">
        <v>854</v>
      </c>
      <c r="G586" t="s">
        <v>59</v>
      </c>
      <c r="H586" t="s">
        <v>24</v>
      </c>
      <c r="L58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8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86" s="1"/>
      <c r="T586" s="64" t="str">
        <f>IF(Table1[[#This Row],[ActualWinner]]="", "", IF(Table1[[#This Row],[AwayTeam]]=Table1[[#This Row],[ActualWinner]],Table1[[#This Row],[HomeTeam]],Table1[[#This Row],[AwayTeam]]))</f>
        <v/>
      </c>
      <c r="U586" s="64">
        <f>Table1[[#This Row],[ActualAwayScore]]-Table1[[#This Row],[PredictedAwayScore]]</f>
        <v>0</v>
      </c>
      <c r="V586" s="64">
        <f>Table1[[#This Row],[ActualHomeScore]]-Table1[[#This Row],[PredictedHomeScore]]</f>
        <v>0</v>
      </c>
      <c r="W586" s="64">
        <f>(0.8*IF(Table1[[#This Row],[CorrectWinnerPrediction]]=1, 1, 0))+(0.1*IF(Table1[[#This Row],[CorrectAwayScorePrediction]]=1, 1, 0))+(0.1*IF(Table1[[#This Row],[CorrectHomeScorePrediction]]=1, 1, 0))</f>
        <v>0</v>
      </c>
      <c r="X58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86" s="64">
        <f>SUMIF(Table1[GameDate], Table1[[#This Row],[GameDate]], Table1[AwayGameGoalDiff])</f>
        <v>0</v>
      </c>
      <c r="AA586" s="64">
        <f>SUMIF(Table1[GameDate], Table1[[#This Row],[GameDate]], Table1[HomeGameGoalDiff])</f>
        <v>0</v>
      </c>
      <c r="AB586" s="64">
        <f>IF(ISBLANK(Table1[[#This Row],[ActualResult]]), 0, 1)</f>
        <v>0</v>
      </c>
      <c r="AC586" s="64">
        <f>IF(ISBLANK(Table1[[#This Row],[ActualResult]]), 0, IF(Table1[[#This Row],[ActualWinner]]=Table1[[#This Row],[PredictedWinner]], 1, 0))</f>
        <v>0</v>
      </c>
      <c r="AD58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8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86" s="64">
        <f>IF(AND(Table1[[#This Row],[GameIsOver]]=1,Table1[[#This Row],[ActualAwayScore]]=0), 1,0)</f>
        <v>0</v>
      </c>
      <c r="AG586" s="64">
        <f>IF(AND(Table1[[#This Row],[GameIsOver]]=1,Table1[[#This Row],[ActualHomeScore]]=0), 1,0)</f>
        <v>0</v>
      </c>
      <c r="AH586" s="64">
        <f>IF(Table1[[#This Row],[GameIsOver]]=0,0,IF(Table1[[#This Row],[ActualWinner]]=Table1[[#This Row],[AwayTeam]], 1, 0))</f>
        <v>0</v>
      </c>
      <c r="AI586" s="64">
        <f>IF(Table1[[#This Row],[GameIsOver]]=0,0,IF(Table1[[#This Row],[ActualWinner]]=Table1[[#This Row],[HomeTeam]], 1, 0))</f>
        <v>0</v>
      </c>
      <c r="AJ586" s="64">
        <f>IF(INDEX(Standings!$A$2:$C$33,MATCH(Table1[[#This Row],[AwayTeam]],Standings!$A$2:$A$33,0),2)=INDEX(Standings!$A$2:$C$33,MATCH(Table1[[#This Row],[HomeTeam]],Standings!$A$2:$A$33,0),2),1,0)</f>
        <v>1</v>
      </c>
      <c r="AK586" s="64">
        <f>IF(INDEX(Standings!$A$2:$C$33,MATCH(Table1[[#This Row],[AwayTeam]],Standings!$A$2:$A$33,0),3)=INDEX(Standings!$A$2:$C$33,MATCH(Table1[[#This Row],[HomeTeam]],Standings!$A$2:$A$33,0),3),1,0)</f>
        <v>0</v>
      </c>
      <c r="AL586" s="64">
        <f>IF(Table1[[#This Row],[InterConf]]=1,IF(Table1[[#This Row],[InterDiv]]=0, 1, 0), 0)</f>
        <v>1</v>
      </c>
      <c r="AM586" s="64">
        <f>IF(INDEX(Standings!$A$2:$C$33,MATCH(Table1[[#This Row],[AwayTeam]],Standings!$A$2:$A$33,0),2)&lt;&gt;INDEX(Standings!$A$2:$C$33,MATCH(Table1[[#This Row],[HomeTeam]],Standings!$A$2:$A$33,0),2),1,0)</f>
        <v>0</v>
      </c>
      <c r="AN586" s="64" t="str">
        <f>INDEX(Table2[AWAY_RECORD], MATCH(Table1[[#This Row],[AwayTeam]],Table2[Team], 0), 0)</f>
        <v>0-1-0</v>
      </c>
      <c r="AO586" s="64" t="str">
        <f>INDEX(Records!$B$2:$AG$33, MATCH(Table1[[#This Row],[AwayTeam]],Records!$A$2:$A$33, 0), MATCH(Table1[[#This Row],[HomeTeam]],Records!$A$2:$A$33, 0))</f>
        <v>0-0-0</v>
      </c>
      <c r="AP586" s="64" t="str">
        <f>INDEX(Table2[HOME_RECORD], MATCH(Table1[[#This Row],[HomeTeam]],Table2[Team], 0), 0)</f>
        <v>0-2-0</v>
      </c>
      <c r="AQ586" s="64" t="str">
        <f>INDEX(Records!$B$2:$AG$33, MATCH(Table1[[#This Row],[HomeTeam]],Records!$A$2:$A$33, 0), MATCH(Table1[[#This Row],[AwayTeam]],Records!$A$2:$A$33, 0))</f>
        <v>0-0-0</v>
      </c>
    </row>
    <row r="587" spans="1:43" x14ac:dyDescent="0.25">
      <c r="A587" s="1"/>
      <c r="D587" t="s">
        <v>853</v>
      </c>
      <c r="E587" t="s">
        <v>162</v>
      </c>
      <c r="F587" t="s">
        <v>855</v>
      </c>
      <c r="G587" t="s">
        <v>61</v>
      </c>
      <c r="H587" t="s">
        <v>17</v>
      </c>
      <c r="L58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8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87" s="1"/>
      <c r="T587" s="64" t="str">
        <f>IF(Table1[[#This Row],[ActualWinner]]="", "", IF(Table1[[#This Row],[AwayTeam]]=Table1[[#This Row],[ActualWinner]],Table1[[#This Row],[HomeTeam]],Table1[[#This Row],[AwayTeam]]))</f>
        <v/>
      </c>
      <c r="U587" s="64">
        <f>Table1[[#This Row],[ActualAwayScore]]-Table1[[#This Row],[PredictedAwayScore]]</f>
        <v>0</v>
      </c>
      <c r="V587" s="64">
        <f>Table1[[#This Row],[ActualHomeScore]]-Table1[[#This Row],[PredictedHomeScore]]</f>
        <v>0</v>
      </c>
      <c r="W587" s="64">
        <f>(0.8*IF(Table1[[#This Row],[CorrectWinnerPrediction]]=1, 1, 0))+(0.1*IF(Table1[[#This Row],[CorrectAwayScorePrediction]]=1, 1, 0))+(0.1*IF(Table1[[#This Row],[CorrectHomeScorePrediction]]=1, 1, 0))</f>
        <v>0</v>
      </c>
      <c r="X58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87" s="64">
        <f>SUMIF(Table1[GameDate], Table1[[#This Row],[GameDate]], Table1[AwayGameGoalDiff])</f>
        <v>0</v>
      </c>
      <c r="AA587" s="64">
        <f>SUMIF(Table1[GameDate], Table1[[#This Row],[GameDate]], Table1[HomeGameGoalDiff])</f>
        <v>0</v>
      </c>
      <c r="AB587" s="64">
        <f>IF(ISBLANK(Table1[[#This Row],[ActualResult]]), 0, 1)</f>
        <v>0</v>
      </c>
      <c r="AC587" s="64">
        <f>IF(ISBLANK(Table1[[#This Row],[ActualResult]]), 0, IF(Table1[[#This Row],[ActualWinner]]=Table1[[#This Row],[PredictedWinner]], 1, 0))</f>
        <v>0</v>
      </c>
      <c r="AD58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8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87" s="64">
        <f>IF(AND(Table1[[#This Row],[GameIsOver]]=1,Table1[[#This Row],[ActualAwayScore]]=0), 1,0)</f>
        <v>0</v>
      </c>
      <c r="AG587" s="64">
        <f>IF(AND(Table1[[#This Row],[GameIsOver]]=1,Table1[[#This Row],[ActualHomeScore]]=0), 1,0)</f>
        <v>0</v>
      </c>
      <c r="AH587" s="64">
        <f>IF(Table1[[#This Row],[GameIsOver]]=0,0,IF(Table1[[#This Row],[ActualWinner]]=Table1[[#This Row],[AwayTeam]], 1, 0))</f>
        <v>0</v>
      </c>
      <c r="AI587" s="64">
        <f>IF(Table1[[#This Row],[GameIsOver]]=0,0,IF(Table1[[#This Row],[ActualWinner]]=Table1[[#This Row],[HomeTeam]], 1, 0))</f>
        <v>0</v>
      </c>
      <c r="AJ587" s="64">
        <f>IF(INDEX(Standings!$A$2:$C$33,MATCH(Table1[[#This Row],[AwayTeam]],Standings!$A$2:$A$33,0),2)=INDEX(Standings!$A$2:$C$33,MATCH(Table1[[#This Row],[HomeTeam]],Standings!$A$2:$A$33,0),2),1,0)</f>
        <v>0</v>
      </c>
      <c r="AK587" s="64">
        <f>IF(INDEX(Standings!$A$2:$C$33,MATCH(Table1[[#This Row],[AwayTeam]],Standings!$A$2:$A$33,0),3)=INDEX(Standings!$A$2:$C$33,MATCH(Table1[[#This Row],[HomeTeam]],Standings!$A$2:$A$33,0),3),1,0)</f>
        <v>0</v>
      </c>
      <c r="AL587" s="64">
        <f>IF(Table1[[#This Row],[InterConf]]=1,IF(Table1[[#This Row],[InterDiv]]=0, 1, 0), 0)</f>
        <v>0</v>
      </c>
      <c r="AM587" s="64">
        <f>IF(INDEX(Standings!$A$2:$C$33,MATCH(Table1[[#This Row],[AwayTeam]],Standings!$A$2:$A$33,0),2)&lt;&gt;INDEX(Standings!$A$2:$C$33,MATCH(Table1[[#This Row],[HomeTeam]],Standings!$A$2:$A$33,0),2),1,0)</f>
        <v>1</v>
      </c>
      <c r="AN587" s="64" t="str">
        <f>INDEX(Table2[AWAY_RECORD], MATCH(Table1[[#This Row],[AwayTeam]],Table2[Team], 0), 0)</f>
        <v>0-0-0</v>
      </c>
      <c r="AO587" s="64" t="str">
        <f>INDEX(Records!$B$2:$AG$33, MATCH(Table1[[#This Row],[AwayTeam]],Records!$A$2:$A$33, 0), MATCH(Table1[[#This Row],[HomeTeam]],Records!$A$2:$A$33, 0))</f>
        <v>0-0-0</v>
      </c>
      <c r="AP587" s="64" t="str">
        <f>INDEX(Table2[HOME_RECORD], MATCH(Table1[[#This Row],[HomeTeam]],Table2[Team], 0), 0)</f>
        <v>0-0-0</v>
      </c>
      <c r="AQ587" s="64" t="str">
        <f>INDEX(Records!$B$2:$AG$33, MATCH(Table1[[#This Row],[HomeTeam]],Records!$A$2:$A$33, 0), MATCH(Table1[[#This Row],[AwayTeam]],Records!$A$2:$A$33, 0))</f>
        <v>0-0-0</v>
      </c>
    </row>
    <row r="588" spans="1:43" x14ac:dyDescent="0.25">
      <c r="A588" s="1"/>
      <c r="D588" t="s">
        <v>853</v>
      </c>
      <c r="E588" t="s">
        <v>162</v>
      </c>
      <c r="F588" t="s">
        <v>856</v>
      </c>
      <c r="G588" t="s">
        <v>42</v>
      </c>
      <c r="H588" t="s">
        <v>53</v>
      </c>
      <c r="L58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8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88" s="1"/>
      <c r="T588" s="64" t="str">
        <f>IF(Table1[[#This Row],[ActualWinner]]="", "", IF(Table1[[#This Row],[AwayTeam]]=Table1[[#This Row],[ActualWinner]],Table1[[#This Row],[HomeTeam]],Table1[[#This Row],[AwayTeam]]))</f>
        <v/>
      </c>
      <c r="U588" s="64">
        <f>Table1[[#This Row],[ActualAwayScore]]-Table1[[#This Row],[PredictedAwayScore]]</f>
        <v>0</v>
      </c>
      <c r="V588" s="64">
        <f>Table1[[#This Row],[ActualHomeScore]]-Table1[[#This Row],[PredictedHomeScore]]</f>
        <v>0</v>
      </c>
      <c r="W588" s="64">
        <f>(0.8*IF(Table1[[#This Row],[CorrectWinnerPrediction]]=1, 1, 0))+(0.1*IF(Table1[[#This Row],[CorrectAwayScorePrediction]]=1, 1, 0))+(0.1*IF(Table1[[#This Row],[CorrectHomeScorePrediction]]=1, 1, 0))</f>
        <v>0</v>
      </c>
      <c r="X58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88" s="64">
        <f>SUMIF(Table1[GameDate], Table1[[#This Row],[GameDate]], Table1[AwayGameGoalDiff])</f>
        <v>0</v>
      </c>
      <c r="AA588" s="64">
        <f>SUMIF(Table1[GameDate], Table1[[#This Row],[GameDate]], Table1[HomeGameGoalDiff])</f>
        <v>0</v>
      </c>
      <c r="AB588" s="64">
        <f>IF(ISBLANK(Table1[[#This Row],[ActualResult]]), 0, 1)</f>
        <v>0</v>
      </c>
      <c r="AC588" s="64">
        <f>IF(ISBLANK(Table1[[#This Row],[ActualResult]]), 0, IF(Table1[[#This Row],[ActualWinner]]=Table1[[#This Row],[PredictedWinner]], 1, 0))</f>
        <v>0</v>
      </c>
      <c r="AD58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8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88" s="64">
        <f>IF(AND(Table1[[#This Row],[GameIsOver]]=1,Table1[[#This Row],[ActualAwayScore]]=0), 1,0)</f>
        <v>0</v>
      </c>
      <c r="AG588" s="64">
        <f>IF(AND(Table1[[#This Row],[GameIsOver]]=1,Table1[[#This Row],[ActualHomeScore]]=0), 1,0)</f>
        <v>0</v>
      </c>
      <c r="AH588" s="64">
        <f>IF(Table1[[#This Row],[GameIsOver]]=0,0,IF(Table1[[#This Row],[ActualWinner]]=Table1[[#This Row],[AwayTeam]], 1, 0))</f>
        <v>0</v>
      </c>
      <c r="AI588" s="64">
        <f>IF(Table1[[#This Row],[GameIsOver]]=0,0,IF(Table1[[#This Row],[ActualWinner]]=Table1[[#This Row],[HomeTeam]], 1, 0))</f>
        <v>0</v>
      </c>
      <c r="AJ588" s="64">
        <f>IF(INDEX(Standings!$A$2:$C$33,MATCH(Table1[[#This Row],[AwayTeam]],Standings!$A$2:$A$33,0),2)=INDEX(Standings!$A$2:$C$33,MATCH(Table1[[#This Row],[HomeTeam]],Standings!$A$2:$A$33,0),2),1,0)</f>
        <v>1</v>
      </c>
      <c r="AK588" s="64">
        <f>IF(INDEX(Standings!$A$2:$C$33,MATCH(Table1[[#This Row],[AwayTeam]],Standings!$A$2:$A$33,0),3)=INDEX(Standings!$A$2:$C$33,MATCH(Table1[[#This Row],[HomeTeam]],Standings!$A$2:$A$33,0),3),1,0)</f>
        <v>1</v>
      </c>
      <c r="AL588" s="64">
        <f>IF(Table1[[#This Row],[InterConf]]=1,IF(Table1[[#This Row],[InterDiv]]=0, 1, 0), 0)</f>
        <v>0</v>
      </c>
      <c r="AM588" s="64">
        <f>IF(INDEX(Standings!$A$2:$C$33,MATCH(Table1[[#This Row],[AwayTeam]],Standings!$A$2:$A$33,0),2)&lt;&gt;INDEX(Standings!$A$2:$C$33,MATCH(Table1[[#This Row],[HomeTeam]],Standings!$A$2:$A$33,0),2),1,0)</f>
        <v>0</v>
      </c>
      <c r="AN588" s="64" t="str">
        <f>INDEX(Table2[AWAY_RECORD], MATCH(Table1[[#This Row],[AwayTeam]],Table2[Team], 0), 0)</f>
        <v>0-0-0</v>
      </c>
      <c r="AO588" s="64" t="str">
        <f>INDEX(Records!$B$2:$AG$33, MATCH(Table1[[#This Row],[AwayTeam]],Records!$A$2:$A$33, 0), MATCH(Table1[[#This Row],[HomeTeam]],Records!$A$2:$A$33, 0))</f>
        <v>0-0-0</v>
      </c>
      <c r="AP588" s="64" t="str">
        <f>INDEX(Table2[HOME_RECORD], MATCH(Table1[[#This Row],[HomeTeam]],Table2[Team], 0), 0)</f>
        <v>1-0-0</v>
      </c>
      <c r="AQ588" s="64" t="str">
        <f>INDEX(Records!$B$2:$AG$33, MATCH(Table1[[#This Row],[HomeTeam]],Records!$A$2:$A$33, 0), MATCH(Table1[[#This Row],[AwayTeam]],Records!$A$2:$A$33, 0))</f>
        <v>0-0-0</v>
      </c>
    </row>
    <row r="589" spans="1:43" x14ac:dyDescent="0.25">
      <c r="A589" s="1"/>
      <c r="D589" t="s">
        <v>853</v>
      </c>
      <c r="E589" t="s">
        <v>164</v>
      </c>
      <c r="F589" t="s">
        <v>857</v>
      </c>
      <c r="G589" t="s">
        <v>58</v>
      </c>
      <c r="H589" t="s">
        <v>23</v>
      </c>
      <c r="L58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8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89" s="1"/>
      <c r="T589" s="64" t="str">
        <f>IF(Table1[[#This Row],[ActualWinner]]="", "", IF(Table1[[#This Row],[AwayTeam]]=Table1[[#This Row],[ActualWinner]],Table1[[#This Row],[HomeTeam]],Table1[[#This Row],[AwayTeam]]))</f>
        <v/>
      </c>
      <c r="U589" s="64">
        <f>Table1[[#This Row],[ActualAwayScore]]-Table1[[#This Row],[PredictedAwayScore]]</f>
        <v>0</v>
      </c>
      <c r="V589" s="64">
        <f>Table1[[#This Row],[ActualHomeScore]]-Table1[[#This Row],[PredictedHomeScore]]</f>
        <v>0</v>
      </c>
      <c r="W589" s="64">
        <f>(0.8*IF(Table1[[#This Row],[CorrectWinnerPrediction]]=1, 1, 0))+(0.1*IF(Table1[[#This Row],[CorrectAwayScorePrediction]]=1, 1, 0))+(0.1*IF(Table1[[#This Row],[CorrectHomeScorePrediction]]=1, 1, 0))</f>
        <v>0</v>
      </c>
      <c r="X58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89" s="64">
        <f>SUMIF(Table1[GameDate], Table1[[#This Row],[GameDate]], Table1[AwayGameGoalDiff])</f>
        <v>0</v>
      </c>
      <c r="AA589" s="64">
        <f>SUMIF(Table1[GameDate], Table1[[#This Row],[GameDate]], Table1[HomeGameGoalDiff])</f>
        <v>0</v>
      </c>
      <c r="AB589" s="64">
        <f>IF(ISBLANK(Table1[[#This Row],[ActualResult]]), 0, 1)</f>
        <v>0</v>
      </c>
      <c r="AC589" s="64">
        <f>IF(ISBLANK(Table1[[#This Row],[ActualResult]]), 0, IF(Table1[[#This Row],[ActualWinner]]=Table1[[#This Row],[PredictedWinner]], 1, 0))</f>
        <v>0</v>
      </c>
      <c r="AD58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8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89" s="64">
        <f>IF(AND(Table1[[#This Row],[GameIsOver]]=1,Table1[[#This Row],[ActualAwayScore]]=0), 1,0)</f>
        <v>0</v>
      </c>
      <c r="AG589" s="64">
        <f>IF(AND(Table1[[#This Row],[GameIsOver]]=1,Table1[[#This Row],[ActualHomeScore]]=0), 1,0)</f>
        <v>0</v>
      </c>
      <c r="AH589" s="64">
        <f>IF(Table1[[#This Row],[GameIsOver]]=0,0,IF(Table1[[#This Row],[ActualWinner]]=Table1[[#This Row],[AwayTeam]], 1, 0))</f>
        <v>0</v>
      </c>
      <c r="AI589" s="64">
        <f>IF(Table1[[#This Row],[GameIsOver]]=0,0,IF(Table1[[#This Row],[ActualWinner]]=Table1[[#This Row],[HomeTeam]], 1, 0))</f>
        <v>0</v>
      </c>
      <c r="AJ589" s="64">
        <f>IF(INDEX(Standings!$A$2:$C$33,MATCH(Table1[[#This Row],[AwayTeam]],Standings!$A$2:$A$33,0),2)=INDEX(Standings!$A$2:$C$33,MATCH(Table1[[#This Row],[HomeTeam]],Standings!$A$2:$A$33,0),2),1,0)</f>
        <v>1</v>
      </c>
      <c r="AK589" s="64">
        <f>IF(INDEX(Standings!$A$2:$C$33,MATCH(Table1[[#This Row],[AwayTeam]],Standings!$A$2:$A$33,0),3)=INDEX(Standings!$A$2:$C$33,MATCH(Table1[[#This Row],[HomeTeam]],Standings!$A$2:$A$33,0),3),1,0)</f>
        <v>0</v>
      </c>
      <c r="AL589" s="64">
        <f>IF(Table1[[#This Row],[InterConf]]=1,IF(Table1[[#This Row],[InterDiv]]=0, 1, 0), 0)</f>
        <v>1</v>
      </c>
      <c r="AM589" s="64">
        <f>IF(INDEX(Standings!$A$2:$C$33,MATCH(Table1[[#This Row],[AwayTeam]],Standings!$A$2:$A$33,0),2)&lt;&gt;INDEX(Standings!$A$2:$C$33,MATCH(Table1[[#This Row],[HomeTeam]],Standings!$A$2:$A$33,0),2),1,0)</f>
        <v>0</v>
      </c>
      <c r="AN589" s="64" t="str">
        <f>INDEX(Table2[AWAY_RECORD], MATCH(Table1[[#This Row],[AwayTeam]],Table2[Team], 0), 0)</f>
        <v>0-0-0</v>
      </c>
      <c r="AO589" s="64" t="str">
        <f>INDEX(Records!$B$2:$AG$33, MATCH(Table1[[#This Row],[AwayTeam]],Records!$A$2:$A$33, 0), MATCH(Table1[[#This Row],[HomeTeam]],Records!$A$2:$A$33, 0))</f>
        <v>0-0-0</v>
      </c>
      <c r="AP589" s="64" t="str">
        <f>INDEX(Table2[HOME_RECORD], MATCH(Table1[[#This Row],[HomeTeam]],Table2[Team], 0), 0)</f>
        <v>0-0-1</v>
      </c>
      <c r="AQ589" s="64" t="str">
        <f>INDEX(Records!$B$2:$AG$33, MATCH(Table1[[#This Row],[HomeTeam]],Records!$A$2:$A$33, 0), MATCH(Table1[[#This Row],[AwayTeam]],Records!$A$2:$A$33, 0))</f>
        <v>0-0-0</v>
      </c>
    </row>
    <row r="590" spans="1:43" x14ac:dyDescent="0.25">
      <c r="A590" s="1"/>
      <c r="D590" t="s">
        <v>858</v>
      </c>
      <c r="E590" t="s">
        <v>298</v>
      </c>
      <c r="F590" t="s">
        <v>859</v>
      </c>
      <c r="G590" t="s">
        <v>40</v>
      </c>
      <c r="H590" t="s">
        <v>25</v>
      </c>
      <c r="L59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9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90" s="1"/>
      <c r="T590" s="64" t="str">
        <f>IF(Table1[[#This Row],[ActualWinner]]="", "", IF(Table1[[#This Row],[AwayTeam]]=Table1[[#This Row],[ActualWinner]],Table1[[#This Row],[HomeTeam]],Table1[[#This Row],[AwayTeam]]))</f>
        <v/>
      </c>
      <c r="U590" s="64">
        <f>Table1[[#This Row],[ActualAwayScore]]-Table1[[#This Row],[PredictedAwayScore]]</f>
        <v>0</v>
      </c>
      <c r="V590" s="64">
        <f>Table1[[#This Row],[ActualHomeScore]]-Table1[[#This Row],[PredictedHomeScore]]</f>
        <v>0</v>
      </c>
      <c r="W590" s="64">
        <f>(0.8*IF(Table1[[#This Row],[CorrectWinnerPrediction]]=1, 1, 0))+(0.1*IF(Table1[[#This Row],[CorrectAwayScorePrediction]]=1, 1, 0))+(0.1*IF(Table1[[#This Row],[CorrectHomeScorePrediction]]=1, 1, 0))</f>
        <v>0</v>
      </c>
      <c r="X59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90" s="64">
        <f>SUMIF(Table1[GameDate], Table1[[#This Row],[GameDate]], Table1[AwayGameGoalDiff])</f>
        <v>0</v>
      </c>
      <c r="AA590" s="64">
        <f>SUMIF(Table1[GameDate], Table1[[#This Row],[GameDate]], Table1[HomeGameGoalDiff])</f>
        <v>0</v>
      </c>
      <c r="AB590" s="64">
        <f>IF(ISBLANK(Table1[[#This Row],[ActualResult]]), 0, 1)</f>
        <v>0</v>
      </c>
      <c r="AC590" s="64">
        <f>IF(ISBLANK(Table1[[#This Row],[ActualResult]]), 0, IF(Table1[[#This Row],[ActualWinner]]=Table1[[#This Row],[PredictedWinner]], 1, 0))</f>
        <v>0</v>
      </c>
      <c r="AD59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9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90" s="64">
        <f>IF(AND(Table1[[#This Row],[GameIsOver]]=1,Table1[[#This Row],[ActualAwayScore]]=0), 1,0)</f>
        <v>0</v>
      </c>
      <c r="AG590" s="64">
        <f>IF(AND(Table1[[#This Row],[GameIsOver]]=1,Table1[[#This Row],[ActualHomeScore]]=0), 1,0)</f>
        <v>0</v>
      </c>
      <c r="AH590" s="64">
        <f>IF(Table1[[#This Row],[GameIsOver]]=0,0,IF(Table1[[#This Row],[ActualWinner]]=Table1[[#This Row],[AwayTeam]], 1, 0))</f>
        <v>0</v>
      </c>
      <c r="AI590" s="64">
        <f>IF(Table1[[#This Row],[GameIsOver]]=0,0,IF(Table1[[#This Row],[ActualWinner]]=Table1[[#This Row],[HomeTeam]], 1, 0))</f>
        <v>0</v>
      </c>
      <c r="AJ590" s="64">
        <f>IF(INDEX(Standings!$A$2:$C$33,MATCH(Table1[[#This Row],[AwayTeam]],Standings!$A$2:$A$33,0),2)=INDEX(Standings!$A$2:$C$33,MATCH(Table1[[#This Row],[HomeTeam]],Standings!$A$2:$A$33,0),2),1,0)</f>
        <v>0</v>
      </c>
      <c r="AK590" s="64">
        <f>IF(INDEX(Standings!$A$2:$C$33,MATCH(Table1[[#This Row],[AwayTeam]],Standings!$A$2:$A$33,0),3)=INDEX(Standings!$A$2:$C$33,MATCH(Table1[[#This Row],[HomeTeam]],Standings!$A$2:$A$33,0),3),1,0)</f>
        <v>0</v>
      </c>
      <c r="AL590" s="64">
        <f>IF(Table1[[#This Row],[InterConf]]=1,IF(Table1[[#This Row],[InterDiv]]=0, 1, 0), 0)</f>
        <v>0</v>
      </c>
      <c r="AM590" s="64">
        <f>IF(INDEX(Standings!$A$2:$C$33,MATCH(Table1[[#This Row],[AwayTeam]],Standings!$A$2:$A$33,0),2)&lt;&gt;INDEX(Standings!$A$2:$C$33,MATCH(Table1[[#This Row],[HomeTeam]],Standings!$A$2:$A$33,0),2),1,0)</f>
        <v>1</v>
      </c>
      <c r="AN590" s="64" t="str">
        <f>INDEX(Table2[AWAY_RECORD], MATCH(Table1[[#This Row],[AwayTeam]],Table2[Team], 0), 0)</f>
        <v>0-0-0</v>
      </c>
      <c r="AO590" s="64" t="str">
        <f>INDEX(Records!$B$2:$AG$33, MATCH(Table1[[#This Row],[AwayTeam]],Records!$A$2:$A$33, 0), MATCH(Table1[[#This Row],[HomeTeam]],Records!$A$2:$A$33, 0))</f>
        <v>0-0-0</v>
      </c>
      <c r="AP590" s="64" t="str">
        <f>INDEX(Table2[HOME_RECORD], MATCH(Table1[[#This Row],[HomeTeam]],Table2[Team], 0), 0)</f>
        <v>0-0-1</v>
      </c>
      <c r="AQ590" s="64" t="str">
        <f>INDEX(Records!$B$2:$AG$33, MATCH(Table1[[#This Row],[HomeTeam]],Records!$A$2:$A$33, 0), MATCH(Table1[[#This Row],[AwayTeam]],Records!$A$2:$A$33, 0))</f>
        <v>0-0-0</v>
      </c>
    </row>
    <row r="591" spans="1:43" x14ac:dyDescent="0.25">
      <c r="A591" s="1"/>
      <c r="D591" t="s">
        <v>858</v>
      </c>
      <c r="E591" t="s">
        <v>162</v>
      </c>
      <c r="F591" t="s">
        <v>860</v>
      </c>
      <c r="G591" t="s">
        <v>61</v>
      </c>
      <c r="H591" t="s">
        <v>57</v>
      </c>
      <c r="L59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9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91" s="1"/>
      <c r="T591" s="64" t="str">
        <f>IF(Table1[[#This Row],[ActualWinner]]="", "", IF(Table1[[#This Row],[AwayTeam]]=Table1[[#This Row],[ActualWinner]],Table1[[#This Row],[HomeTeam]],Table1[[#This Row],[AwayTeam]]))</f>
        <v/>
      </c>
      <c r="U591" s="64">
        <f>Table1[[#This Row],[ActualAwayScore]]-Table1[[#This Row],[PredictedAwayScore]]</f>
        <v>0</v>
      </c>
      <c r="V591" s="64">
        <f>Table1[[#This Row],[ActualHomeScore]]-Table1[[#This Row],[PredictedHomeScore]]</f>
        <v>0</v>
      </c>
      <c r="W591" s="64">
        <f>(0.8*IF(Table1[[#This Row],[CorrectWinnerPrediction]]=1, 1, 0))+(0.1*IF(Table1[[#This Row],[CorrectAwayScorePrediction]]=1, 1, 0))+(0.1*IF(Table1[[#This Row],[CorrectHomeScorePrediction]]=1, 1, 0))</f>
        <v>0</v>
      </c>
      <c r="X59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91" s="64">
        <f>SUMIF(Table1[GameDate], Table1[[#This Row],[GameDate]], Table1[AwayGameGoalDiff])</f>
        <v>0</v>
      </c>
      <c r="AA591" s="64">
        <f>SUMIF(Table1[GameDate], Table1[[#This Row],[GameDate]], Table1[HomeGameGoalDiff])</f>
        <v>0</v>
      </c>
      <c r="AB591" s="64">
        <f>IF(ISBLANK(Table1[[#This Row],[ActualResult]]), 0, 1)</f>
        <v>0</v>
      </c>
      <c r="AC591" s="64">
        <f>IF(ISBLANK(Table1[[#This Row],[ActualResult]]), 0, IF(Table1[[#This Row],[ActualWinner]]=Table1[[#This Row],[PredictedWinner]], 1, 0))</f>
        <v>0</v>
      </c>
      <c r="AD59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9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91" s="64">
        <f>IF(AND(Table1[[#This Row],[GameIsOver]]=1,Table1[[#This Row],[ActualAwayScore]]=0), 1,0)</f>
        <v>0</v>
      </c>
      <c r="AG591" s="64">
        <f>IF(AND(Table1[[#This Row],[GameIsOver]]=1,Table1[[#This Row],[ActualHomeScore]]=0), 1,0)</f>
        <v>0</v>
      </c>
      <c r="AH591" s="64">
        <f>IF(Table1[[#This Row],[GameIsOver]]=0,0,IF(Table1[[#This Row],[ActualWinner]]=Table1[[#This Row],[AwayTeam]], 1, 0))</f>
        <v>0</v>
      </c>
      <c r="AI591" s="64">
        <f>IF(Table1[[#This Row],[GameIsOver]]=0,0,IF(Table1[[#This Row],[ActualWinner]]=Table1[[#This Row],[HomeTeam]], 1, 0))</f>
        <v>0</v>
      </c>
      <c r="AJ591" s="64">
        <f>IF(INDEX(Standings!$A$2:$C$33,MATCH(Table1[[#This Row],[AwayTeam]],Standings!$A$2:$A$33,0),2)=INDEX(Standings!$A$2:$C$33,MATCH(Table1[[#This Row],[HomeTeam]],Standings!$A$2:$A$33,0),2),1,0)</f>
        <v>0</v>
      </c>
      <c r="AK591" s="64">
        <f>IF(INDEX(Standings!$A$2:$C$33,MATCH(Table1[[#This Row],[AwayTeam]],Standings!$A$2:$A$33,0),3)=INDEX(Standings!$A$2:$C$33,MATCH(Table1[[#This Row],[HomeTeam]],Standings!$A$2:$A$33,0),3),1,0)</f>
        <v>0</v>
      </c>
      <c r="AL591" s="64">
        <f>IF(Table1[[#This Row],[InterConf]]=1,IF(Table1[[#This Row],[InterDiv]]=0, 1, 0), 0)</f>
        <v>0</v>
      </c>
      <c r="AM591" s="64">
        <f>IF(INDEX(Standings!$A$2:$C$33,MATCH(Table1[[#This Row],[AwayTeam]],Standings!$A$2:$A$33,0),2)&lt;&gt;INDEX(Standings!$A$2:$C$33,MATCH(Table1[[#This Row],[HomeTeam]],Standings!$A$2:$A$33,0),2),1,0)</f>
        <v>1</v>
      </c>
      <c r="AN591" s="64" t="str">
        <f>INDEX(Table2[AWAY_RECORD], MATCH(Table1[[#This Row],[AwayTeam]],Table2[Team], 0), 0)</f>
        <v>0-0-0</v>
      </c>
      <c r="AO591" s="64" t="str">
        <f>INDEX(Records!$B$2:$AG$33, MATCH(Table1[[#This Row],[AwayTeam]],Records!$A$2:$A$33, 0), MATCH(Table1[[#This Row],[HomeTeam]],Records!$A$2:$A$33, 0))</f>
        <v>0-0-0</v>
      </c>
      <c r="AP591" s="64" t="str">
        <f>INDEX(Table2[HOME_RECORD], MATCH(Table1[[#This Row],[HomeTeam]],Table2[Team], 0), 0)</f>
        <v>0-0-0</v>
      </c>
      <c r="AQ591" s="64" t="str">
        <f>INDEX(Records!$B$2:$AG$33, MATCH(Table1[[#This Row],[HomeTeam]],Records!$A$2:$A$33, 0), MATCH(Table1[[#This Row],[AwayTeam]],Records!$A$2:$A$33, 0))</f>
        <v>0-0-0</v>
      </c>
    </row>
    <row r="592" spans="1:43" x14ac:dyDescent="0.25">
      <c r="A592" s="1"/>
      <c r="D592" t="s">
        <v>858</v>
      </c>
      <c r="E592" t="s">
        <v>162</v>
      </c>
      <c r="F592" t="s">
        <v>861</v>
      </c>
      <c r="G592" t="s">
        <v>37</v>
      </c>
      <c r="H592" t="s">
        <v>50</v>
      </c>
      <c r="L59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9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92" s="1"/>
      <c r="T592" s="64" t="str">
        <f>IF(Table1[[#This Row],[ActualWinner]]="", "", IF(Table1[[#This Row],[AwayTeam]]=Table1[[#This Row],[ActualWinner]],Table1[[#This Row],[HomeTeam]],Table1[[#This Row],[AwayTeam]]))</f>
        <v/>
      </c>
      <c r="U592" s="64">
        <f>Table1[[#This Row],[ActualAwayScore]]-Table1[[#This Row],[PredictedAwayScore]]</f>
        <v>0</v>
      </c>
      <c r="V592" s="64">
        <f>Table1[[#This Row],[ActualHomeScore]]-Table1[[#This Row],[PredictedHomeScore]]</f>
        <v>0</v>
      </c>
      <c r="W592" s="64">
        <f>(0.8*IF(Table1[[#This Row],[CorrectWinnerPrediction]]=1, 1, 0))+(0.1*IF(Table1[[#This Row],[CorrectAwayScorePrediction]]=1, 1, 0))+(0.1*IF(Table1[[#This Row],[CorrectHomeScorePrediction]]=1, 1, 0))</f>
        <v>0</v>
      </c>
      <c r="X59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92" s="64">
        <f>SUMIF(Table1[GameDate], Table1[[#This Row],[GameDate]], Table1[AwayGameGoalDiff])</f>
        <v>0</v>
      </c>
      <c r="AA592" s="64">
        <f>SUMIF(Table1[GameDate], Table1[[#This Row],[GameDate]], Table1[HomeGameGoalDiff])</f>
        <v>0</v>
      </c>
      <c r="AB592" s="64">
        <f>IF(ISBLANK(Table1[[#This Row],[ActualResult]]), 0, 1)</f>
        <v>0</v>
      </c>
      <c r="AC592" s="64">
        <f>IF(ISBLANK(Table1[[#This Row],[ActualResult]]), 0, IF(Table1[[#This Row],[ActualWinner]]=Table1[[#This Row],[PredictedWinner]], 1, 0))</f>
        <v>0</v>
      </c>
      <c r="AD59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9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92" s="64">
        <f>IF(AND(Table1[[#This Row],[GameIsOver]]=1,Table1[[#This Row],[ActualAwayScore]]=0), 1,0)</f>
        <v>0</v>
      </c>
      <c r="AG592" s="64">
        <f>IF(AND(Table1[[#This Row],[GameIsOver]]=1,Table1[[#This Row],[ActualHomeScore]]=0), 1,0)</f>
        <v>0</v>
      </c>
      <c r="AH592" s="64">
        <f>IF(Table1[[#This Row],[GameIsOver]]=0,0,IF(Table1[[#This Row],[ActualWinner]]=Table1[[#This Row],[AwayTeam]], 1, 0))</f>
        <v>0</v>
      </c>
      <c r="AI592" s="64">
        <f>IF(Table1[[#This Row],[GameIsOver]]=0,0,IF(Table1[[#This Row],[ActualWinner]]=Table1[[#This Row],[HomeTeam]], 1, 0))</f>
        <v>0</v>
      </c>
      <c r="AJ592" s="64">
        <f>IF(INDEX(Standings!$A$2:$C$33,MATCH(Table1[[#This Row],[AwayTeam]],Standings!$A$2:$A$33,0),2)=INDEX(Standings!$A$2:$C$33,MATCH(Table1[[#This Row],[HomeTeam]],Standings!$A$2:$A$33,0),2),1,0)</f>
        <v>1</v>
      </c>
      <c r="AK592" s="64">
        <f>IF(INDEX(Standings!$A$2:$C$33,MATCH(Table1[[#This Row],[AwayTeam]],Standings!$A$2:$A$33,0),3)=INDEX(Standings!$A$2:$C$33,MATCH(Table1[[#This Row],[HomeTeam]],Standings!$A$2:$A$33,0),3),1,0)</f>
        <v>0</v>
      </c>
      <c r="AL592" s="64">
        <f>IF(Table1[[#This Row],[InterConf]]=1,IF(Table1[[#This Row],[InterDiv]]=0, 1, 0), 0)</f>
        <v>1</v>
      </c>
      <c r="AM592" s="64">
        <f>IF(INDEX(Standings!$A$2:$C$33,MATCH(Table1[[#This Row],[AwayTeam]],Standings!$A$2:$A$33,0),2)&lt;&gt;INDEX(Standings!$A$2:$C$33,MATCH(Table1[[#This Row],[HomeTeam]],Standings!$A$2:$A$33,0),2),1,0)</f>
        <v>0</v>
      </c>
      <c r="AN592" s="64" t="str">
        <f>INDEX(Table2[AWAY_RECORD], MATCH(Table1[[#This Row],[AwayTeam]],Table2[Team], 0), 0)</f>
        <v>0-0-1</v>
      </c>
      <c r="AO592" s="64" t="str">
        <f>INDEX(Records!$B$2:$AG$33, MATCH(Table1[[#This Row],[AwayTeam]],Records!$A$2:$A$33, 0), MATCH(Table1[[#This Row],[HomeTeam]],Records!$A$2:$A$33, 0))</f>
        <v>0-0-0</v>
      </c>
      <c r="AP592" s="64" t="str">
        <f>INDEX(Table2[HOME_RECORD], MATCH(Table1[[#This Row],[HomeTeam]],Table2[Team], 0), 0)</f>
        <v>0-0-0</v>
      </c>
      <c r="AQ592" s="64" t="str">
        <f>INDEX(Records!$B$2:$AG$33, MATCH(Table1[[#This Row],[HomeTeam]],Records!$A$2:$A$33, 0), MATCH(Table1[[#This Row],[AwayTeam]],Records!$A$2:$A$33, 0))</f>
        <v>0-0-0</v>
      </c>
    </row>
    <row r="593" spans="1:43" x14ac:dyDescent="0.25">
      <c r="A593" s="1"/>
      <c r="D593" t="s">
        <v>858</v>
      </c>
      <c r="E593" t="s">
        <v>162</v>
      </c>
      <c r="F593" t="s">
        <v>862</v>
      </c>
      <c r="G593" t="s">
        <v>49</v>
      </c>
      <c r="H593" t="s">
        <v>51</v>
      </c>
      <c r="L59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9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93" s="1"/>
      <c r="T593" s="64" t="str">
        <f>IF(Table1[[#This Row],[ActualWinner]]="", "", IF(Table1[[#This Row],[AwayTeam]]=Table1[[#This Row],[ActualWinner]],Table1[[#This Row],[HomeTeam]],Table1[[#This Row],[AwayTeam]]))</f>
        <v/>
      </c>
      <c r="U593" s="64">
        <f>Table1[[#This Row],[ActualAwayScore]]-Table1[[#This Row],[PredictedAwayScore]]</f>
        <v>0</v>
      </c>
      <c r="V593" s="64">
        <f>Table1[[#This Row],[ActualHomeScore]]-Table1[[#This Row],[PredictedHomeScore]]</f>
        <v>0</v>
      </c>
      <c r="W593" s="64">
        <f>(0.8*IF(Table1[[#This Row],[CorrectWinnerPrediction]]=1, 1, 0))+(0.1*IF(Table1[[#This Row],[CorrectAwayScorePrediction]]=1, 1, 0))+(0.1*IF(Table1[[#This Row],[CorrectHomeScorePrediction]]=1, 1, 0))</f>
        <v>0</v>
      </c>
      <c r="X59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93" s="64">
        <f>SUMIF(Table1[GameDate], Table1[[#This Row],[GameDate]], Table1[AwayGameGoalDiff])</f>
        <v>0</v>
      </c>
      <c r="AA593" s="64">
        <f>SUMIF(Table1[GameDate], Table1[[#This Row],[GameDate]], Table1[HomeGameGoalDiff])</f>
        <v>0</v>
      </c>
      <c r="AB593" s="64">
        <f>IF(ISBLANK(Table1[[#This Row],[ActualResult]]), 0, 1)</f>
        <v>0</v>
      </c>
      <c r="AC593" s="64">
        <f>IF(ISBLANK(Table1[[#This Row],[ActualResult]]), 0, IF(Table1[[#This Row],[ActualWinner]]=Table1[[#This Row],[PredictedWinner]], 1, 0))</f>
        <v>0</v>
      </c>
      <c r="AD59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9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93" s="64">
        <f>IF(AND(Table1[[#This Row],[GameIsOver]]=1,Table1[[#This Row],[ActualAwayScore]]=0), 1,0)</f>
        <v>0</v>
      </c>
      <c r="AG593" s="64">
        <f>IF(AND(Table1[[#This Row],[GameIsOver]]=1,Table1[[#This Row],[ActualHomeScore]]=0), 1,0)</f>
        <v>0</v>
      </c>
      <c r="AH593" s="64">
        <f>IF(Table1[[#This Row],[GameIsOver]]=0,0,IF(Table1[[#This Row],[ActualWinner]]=Table1[[#This Row],[AwayTeam]], 1, 0))</f>
        <v>0</v>
      </c>
      <c r="AI593" s="64">
        <f>IF(Table1[[#This Row],[GameIsOver]]=0,0,IF(Table1[[#This Row],[ActualWinner]]=Table1[[#This Row],[HomeTeam]], 1, 0))</f>
        <v>0</v>
      </c>
      <c r="AJ593" s="64">
        <f>IF(INDEX(Standings!$A$2:$C$33,MATCH(Table1[[#This Row],[AwayTeam]],Standings!$A$2:$A$33,0),2)=INDEX(Standings!$A$2:$C$33,MATCH(Table1[[#This Row],[HomeTeam]],Standings!$A$2:$A$33,0),2),1,0)</f>
        <v>1</v>
      </c>
      <c r="AK593" s="64">
        <f>IF(INDEX(Standings!$A$2:$C$33,MATCH(Table1[[#This Row],[AwayTeam]],Standings!$A$2:$A$33,0),3)=INDEX(Standings!$A$2:$C$33,MATCH(Table1[[#This Row],[HomeTeam]],Standings!$A$2:$A$33,0),3),1,0)</f>
        <v>1</v>
      </c>
      <c r="AL593" s="64">
        <f>IF(Table1[[#This Row],[InterConf]]=1,IF(Table1[[#This Row],[InterDiv]]=0, 1, 0), 0)</f>
        <v>0</v>
      </c>
      <c r="AM593" s="64">
        <f>IF(INDEX(Standings!$A$2:$C$33,MATCH(Table1[[#This Row],[AwayTeam]],Standings!$A$2:$A$33,0),2)&lt;&gt;INDEX(Standings!$A$2:$C$33,MATCH(Table1[[#This Row],[HomeTeam]],Standings!$A$2:$A$33,0),2),1,0)</f>
        <v>0</v>
      </c>
      <c r="AN593" s="64" t="str">
        <f>INDEX(Table2[AWAY_RECORD], MATCH(Table1[[#This Row],[AwayTeam]],Table2[Team], 0), 0)</f>
        <v>0-0-0</v>
      </c>
      <c r="AO593" s="64" t="str">
        <f>INDEX(Records!$B$2:$AG$33, MATCH(Table1[[#This Row],[AwayTeam]],Records!$A$2:$A$33, 0), MATCH(Table1[[#This Row],[HomeTeam]],Records!$A$2:$A$33, 0))</f>
        <v>0-0-0</v>
      </c>
      <c r="AP593" s="64" t="str">
        <f>INDEX(Table2[HOME_RECORD], MATCH(Table1[[#This Row],[HomeTeam]],Table2[Team], 0), 0)</f>
        <v>1-0-0</v>
      </c>
      <c r="AQ593" s="64" t="str">
        <f>INDEX(Records!$B$2:$AG$33, MATCH(Table1[[#This Row],[HomeTeam]],Records!$A$2:$A$33, 0), MATCH(Table1[[#This Row],[AwayTeam]],Records!$A$2:$A$33, 0))</f>
        <v>0-0-0</v>
      </c>
    </row>
    <row r="594" spans="1:43" x14ac:dyDescent="0.25">
      <c r="A594" s="1"/>
      <c r="D594" t="s">
        <v>858</v>
      </c>
      <c r="E594" t="s">
        <v>162</v>
      </c>
      <c r="F594" t="s">
        <v>863</v>
      </c>
      <c r="G594" t="s">
        <v>38</v>
      </c>
      <c r="H594" t="s">
        <v>54</v>
      </c>
      <c r="L59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9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94" s="1"/>
      <c r="T594" s="64" t="str">
        <f>IF(Table1[[#This Row],[ActualWinner]]="", "", IF(Table1[[#This Row],[AwayTeam]]=Table1[[#This Row],[ActualWinner]],Table1[[#This Row],[HomeTeam]],Table1[[#This Row],[AwayTeam]]))</f>
        <v/>
      </c>
      <c r="U594" s="64">
        <f>Table1[[#This Row],[ActualAwayScore]]-Table1[[#This Row],[PredictedAwayScore]]</f>
        <v>0</v>
      </c>
      <c r="V594" s="64">
        <f>Table1[[#This Row],[ActualHomeScore]]-Table1[[#This Row],[PredictedHomeScore]]</f>
        <v>0</v>
      </c>
      <c r="W594" s="64">
        <f>(0.8*IF(Table1[[#This Row],[CorrectWinnerPrediction]]=1, 1, 0))+(0.1*IF(Table1[[#This Row],[CorrectAwayScorePrediction]]=1, 1, 0))+(0.1*IF(Table1[[#This Row],[CorrectHomeScorePrediction]]=1, 1, 0))</f>
        <v>0</v>
      </c>
      <c r="X59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94" s="64">
        <f>SUMIF(Table1[GameDate], Table1[[#This Row],[GameDate]], Table1[AwayGameGoalDiff])</f>
        <v>0</v>
      </c>
      <c r="AA594" s="64">
        <f>SUMIF(Table1[GameDate], Table1[[#This Row],[GameDate]], Table1[HomeGameGoalDiff])</f>
        <v>0</v>
      </c>
      <c r="AB594" s="64">
        <f>IF(ISBLANK(Table1[[#This Row],[ActualResult]]), 0, 1)</f>
        <v>0</v>
      </c>
      <c r="AC594" s="64">
        <f>IF(ISBLANK(Table1[[#This Row],[ActualResult]]), 0, IF(Table1[[#This Row],[ActualWinner]]=Table1[[#This Row],[PredictedWinner]], 1, 0))</f>
        <v>0</v>
      </c>
      <c r="AD59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9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94" s="64">
        <f>IF(AND(Table1[[#This Row],[GameIsOver]]=1,Table1[[#This Row],[ActualAwayScore]]=0), 1,0)</f>
        <v>0</v>
      </c>
      <c r="AG594" s="64">
        <f>IF(AND(Table1[[#This Row],[GameIsOver]]=1,Table1[[#This Row],[ActualHomeScore]]=0), 1,0)</f>
        <v>0</v>
      </c>
      <c r="AH594" s="64">
        <f>IF(Table1[[#This Row],[GameIsOver]]=0,0,IF(Table1[[#This Row],[ActualWinner]]=Table1[[#This Row],[AwayTeam]], 1, 0))</f>
        <v>0</v>
      </c>
      <c r="AI594" s="64">
        <f>IF(Table1[[#This Row],[GameIsOver]]=0,0,IF(Table1[[#This Row],[ActualWinner]]=Table1[[#This Row],[HomeTeam]], 1, 0))</f>
        <v>0</v>
      </c>
      <c r="AJ594" s="64">
        <f>IF(INDEX(Standings!$A$2:$C$33,MATCH(Table1[[#This Row],[AwayTeam]],Standings!$A$2:$A$33,0),2)=INDEX(Standings!$A$2:$C$33,MATCH(Table1[[#This Row],[HomeTeam]],Standings!$A$2:$A$33,0),2),1,0)</f>
        <v>1</v>
      </c>
      <c r="AK594" s="64">
        <f>IF(INDEX(Standings!$A$2:$C$33,MATCH(Table1[[#This Row],[AwayTeam]],Standings!$A$2:$A$33,0),3)=INDEX(Standings!$A$2:$C$33,MATCH(Table1[[#This Row],[HomeTeam]],Standings!$A$2:$A$33,0),3),1,0)</f>
        <v>0</v>
      </c>
      <c r="AL594" s="64">
        <f>IF(Table1[[#This Row],[InterConf]]=1,IF(Table1[[#This Row],[InterDiv]]=0, 1, 0), 0)</f>
        <v>1</v>
      </c>
      <c r="AM594" s="64">
        <f>IF(INDEX(Standings!$A$2:$C$33,MATCH(Table1[[#This Row],[AwayTeam]],Standings!$A$2:$A$33,0),2)&lt;&gt;INDEX(Standings!$A$2:$C$33,MATCH(Table1[[#This Row],[HomeTeam]],Standings!$A$2:$A$33,0),2),1,0)</f>
        <v>0</v>
      </c>
      <c r="AN594" s="64" t="str">
        <f>INDEX(Table2[AWAY_RECORD], MATCH(Table1[[#This Row],[AwayTeam]],Table2[Team], 0), 0)</f>
        <v>0-0-1</v>
      </c>
      <c r="AO594" s="64" t="str">
        <f>INDEX(Records!$B$2:$AG$33, MATCH(Table1[[#This Row],[AwayTeam]],Records!$A$2:$A$33, 0), MATCH(Table1[[#This Row],[HomeTeam]],Records!$A$2:$A$33, 0))</f>
        <v>0-0-0</v>
      </c>
      <c r="AP594" s="64" t="str">
        <f>INDEX(Table2[HOME_RECORD], MATCH(Table1[[#This Row],[HomeTeam]],Table2[Team], 0), 0)</f>
        <v>0-0-0</v>
      </c>
      <c r="AQ594" s="64" t="str">
        <f>INDEX(Records!$B$2:$AG$33, MATCH(Table1[[#This Row],[HomeTeam]],Records!$A$2:$A$33, 0), MATCH(Table1[[#This Row],[AwayTeam]],Records!$A$2:$A$33, 0))</f>
        <v>0-0-0</v>
      </c>
    </row>
    <row r="595" spans="1:43" x14ac:dyDescent="0.25">
      <c r="A595" s="1"/>
      <c r="D595" t="s">
        <v>858</v>
      </c>
      <c r="E595" t="s">
        <v>162</v>
      </c>
      <c r="F595" t="s">
        <v>864</v>
      </c>
      <c r="G595" t="s">
        <v>47</v>
      </c>
      <c r="H595" t="s">
        <v>42</v>
      </c>
      <c r="L59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9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95" s="1"/>
      <c r="T595" s="64" t="str">
        <f>IF(Table1[[#This Row],[ActualWinner]]="", "", IF(Table1[[#This Row],[AwayTeam]]=Table1[[#This Row],[ActualWinner]],Table1[[#This Row],[HomeTeam]],Table1[[#This Row],[AwayTeam]]))</f>
        <v/>
      </c>
      <c r="U595" s="64">
        <f>Table1[[#This Row],[ActualAwayScore]]-Table1[[#This Row],[PredictedAwayScore]]</f>
        <v>0</v>
      </c>
      <c r="V595" s="64">
        <f>Table1[[#This Row],[ActualHomeScore]]-Table1[[#This Row],[PredictedHomeScore]]</f>
        <v>0</v>
      </c>
      <c r="W595" s="64">
        <f>(0.8*IF(Table1[[#This Row],[CorrectWinnerPrediction]]=1, 1, 0))+(0.1*IF(Table1[[#This Row],[CorrectAwayScorePrediction]]=1, 1, 0))+(0.1*IF(Table1[[#This Row],[CorrectHomeScorePrediction]]=1, 1, 0))</f>
        <v>0</v>
      </c>
      <c r="X59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95" s="64">
        <f>SUMIF(Table1[GameDate], Table1[[#This Row],[GameDate]], Table1[AwayGameGoalDiff])</f>
        <v>0</v>
      </c>
      <c r="AA595" s="64">
        <f>SUMIF(Table1[GameDate], Table1[[#This Row],[GameDate]], Table1[HomeGameGoalDiff])</f>
        <v>0</v>
      </c>
      <c r="AB595" s="64">
        <f>IF(ISBLANK(Table1[[#This Row],[ActualResult]]), 0, 1)</f>
        <v>0</v>
      </c>
      <c r="AC595" s="64">
        <f>IF(ISBLANK(Table1[[#This Row],[ActualResult]]), 0, IF(Table1[[#This Row],[ActualWinner]]=Table1[[#This Row],[PredictedWinner]], 1, 0))</f>
        <v>0</v>
      </c>
      <c r="AD59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9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95" s="64">
        <f>IF(AND(Table1[[#This Row],[GameIsOver]]=1,Table1[[#This Row],[ActualAwayScore]]=0), 1,0)</f>
        <v>0</v>
      </c>
      <c r="AG595" s="64">
        <f>IF(AND(Table1[[#This Row],[GameIsOver]]=1,Table1[[#This Row],[ActualHomeScore]]=0), 1,0)</f>
        <v>0</v>
      </c>
      <c r="AH595" s="64">
        <f>IF(Table1[[#This Row],[GameIsOver]]=0,0,IF(Table1[[#This Row],[ActualWinner]]=Table1[[#This Row],[AwayTeam]], 1, 0))</f>
        <v>0</v>
      </c>
      <c r="AI595" s="64">
        <f>IF(Table1[[#This Row],[GameIsOver]]=0,0,IF(Table1[[#This Row],[ActualWinner]]=Table1[[#This Row],[HomeTeam]], 1, 0))</f>
        <v>0</v>
      </c>
      <c r="AJ595" s="64">
        <f>IF(INDEX(Standings!$A$2:$C$33,MATCH(Table1[[#This Row],[AwayTeam]],Standings!$A$2:$A$33,0),2)=INDEX(Standings!$A$2:$C$33,MATCH(Table1[[#This Row],[HomeTeam]],Standings!$A$2:$A$33,0),2),1,0)</f>
        <v>1</v>
      </c>
      <c r="AK595" s="64">
        <f>IF(INDEX(Standings!$A$2:$C$33,MATCH(Table1[[#This Row],[AwayTeam]],Standings!$A$2:$A$33,0),3)=INDEX(Standings!$A$2:$C$33,MATCH(Table1[[#This Row],[HomeTeam]],Standings!$A$2:$A$33,0),3),1,0)</f>
        <v>0</v>
      </c>
      <c r="AL595" s="64">
        <f>IF(Table1[[#This Row],[InterConf]]=1,IF(Table1[[#This Row],[InterDiv]]=0, 1, 0), 0)</f>
        <v>1</v>
      </c>
      <c r="AM595" s="64">
        <f>IF(INDEX(Standings!$A$2:$C$33,MATCH(Table1[[#This Row],[AwayTeam]],Standings!$A$2:$A$33,0),2)&lt;&gt;INDEX(Standings!$A$2:$C$33,MATCH(Table1[[#This Row],[HomeTeam]],Standings!$A$2:$A$33,0),2),1,0)</f>
        <v>0</v>
      </c>
      <c r="AN595" s="64" t="str">
        <f>INDEX(Table2[AWAY_RECORD], MATCH(Table1[[#This Row],[AwayTeam]],Table2[Team], 0), 0)</f>
        <v>1-0-0</v>
      </c>
      <c r="AO595" s="64" t="str">
        <f>INDEX(Records!$B$2:$AG$33, MATCH(Table1[[#This Row],[AwayTeam]],Records!$A$2:$A$33, 0), MATCH(Table1[[#This Row],[HomeTeam]],Records!$A$2:$A$33, 0))</f>
        <v>0-0-0</v>
      </c>
      <c r="AP595" s="64" t="str">
        <f>INDEX(Table2[HOME_RECORD], MATCH(Table1[[#This Row],[HomeTeam]],Table2[Team], 0), 0)</f>
        <v>1-0-0</v>
      </c>
      <c r="AQ595" s="64" t="str">
        <f>INDEX(Records!$B$2:$AG$33, MATCH(Table1[[#This Row],[HomeTeam]],Records!$A$2:$A$33, 0), MATCH(Table1[[#This Row],[AwayTeam]],Records!$A$2:$A$33, 0))</f>
        <v>0-0-0</v>
      </c>
    </row>
    <row r="596" spans="1:43" x14ac:dyDescent="0.25">
      <c r="A596" s="1"/>
      <c r="D596" t="s">
        <v>858</v>
      </c>
      <c r="E596" t="s">
        <v>289</v>
      </c>
      <c r="F596" t="s">
        <v>865</v>
      </c>
      <c r="G596" t="s">
        <v>24</v>
      </c>
      <c r="H596" t="s">
        <v>44</v>
      </c>
      <c r="L59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9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96" s="1"/>
      <c r="T596" s="64" t="str">
        <f>IF(Table1[[#This Row],[ActualWinner]]="", "", IF(Table1[[#This Row],[AwayTeam]]=Table1[[#This Row],[ActualWinner]],Table1[[#This Row],[HomeTeam]],Table1[[#This Row],[AwayTeam]]))</f>
        <v/>
      </c>
      <c r="U596" s="64">
        <f>Table1[[#This Row],[ActualAwayScore]]-Table1[[#This Row],[PredictedAwayScore]]</f>
        <v>0</v>
      </c>
      <c r="V596" s="64">
        <f>Table1[[#This Row],[ActualHomeScore]]-Table1[[#This Row],[PredictedHomeScore]]</f>
        <v>0</v>
      </c>
      <c r="W596" s="64">
        <f>(0.8*IF(Table1[[#This Row],[CorrectWinnerPrediction]]=1, 1, 0))+(0.1*IF(Table1[[#This Row],[CorrectAwayScorePrediction]]=1, 1, 0))+(0.1*IF(Table1[[#This Row],[CorrectHomeScorePrediction]]=1, 1, 0))</f>
        <v>0</v>
      </c>
      <c r="X59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96" s="64">
        <f>SUMIF(Table1[GameDate], Table1[[#This Row],[GameDate]], Table1[AwayGameGoalDiff])</f>
        <v>0</v>
      </c>
      <c r="AA596" s="64">
        <f>SUMIF(Table1[GameDate], Table1[[#This Row],[GameDate]], Table1[HomeGameGoalDiff])</f>
        <v>0</v>
      </c>
      <c r="AB596" s="64">
        <f>IF(ISBLANK(Table1[[#This Row],[ActualResult]]), 0, 1)</f>
        <v>0</v>
      </c>
      <c r="AC596" s="64">
        <f>IF(ISBLANK(Table1[[#This Row],[ActualResult]]), 0, IF(Table1[[#This Row],[ActualWinner]]=Table1[[#This Row],[PredictedWinner]], 1, 0))</f>
        <v>0</v>
      </c>
      <c r="AD59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9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96" s="64">
        <f>IF(AND(Table1[[#This Row],[GameIsOver]]=1,Table1[[#This Row],[ActualAwayScore]]=0), 1,0)</f>
        <v>0</v>
      </c>
      <c r="AG596" s="64">
        <f>IF(AND(Table1[[#This Row],[GameIsOver]]=1,Table1[[#This Row],[ActualHomeScore]]=0), 1,0)</f>
        <v>0</v>
      </c>
      <c r="AH596" s="64">
        <f>IF(Table1[[#This Row],[GameIsOver]]=0,0,IF(Table1[[#This Row],[ActualWinner]]=Table1[[#This Row],[AwayTeam]], 1, 0))</f>
        <v>0</v>
      </c>
      <c r="AI596" s="64">
        <f>IF(Table1[[#This Row],[GameIsOver]]=0,0,IF(Table1[[#This Row],[ActualWinner]]=Table1[[#This Row],[HomeTeam]], 1, 0))</f>
        <v>0</v>
      </c>
      <c r="AJ596" s="64">
        <f>IF(INDEX(Standings!$A$2:$C$33,MATCH(Table1[[#This Row],[AwayTeam]],Standings!$A$2:$A$33,0),2)=INDEX(Standings!$A$2:$C$33,MATCH(Table1[[#This Row],[HomeTeam]],Standings!$A$2:$A$33,0),2),1,0)</f>
        <v>1</v>
      </c>
      <c r="AK596" s="64">
        <f>IF(INDEX(Standings!$A$2:$C$33,MATCH(Table1[[#This Row],[AwayTeam]],Standings!$A$2:$A$33,0),3)=INDEX(Standings!$A$2:$C$33,MATCH(Table1[[#This Row],[HomeTeam]],Standings!$A$2:$A$33,0),3),1,0)</f>
        <v>1</v>
      </c>
      <c r="AL596" s="64">
        <f>IF(Table1[[#This Row],[InterConf]]=1,IF(Table1[[#This Row],[InterDiv]]=0, 1, 0), 0)</f>
        <v>0</v>
      </c>
      <c r="AM596" s="64">
        <f>IF(INDEX(Standings!$A$2:$C$33,MATCH(Table1[[#This Row],[AwayTeam]],Standings!$A$2:$A$33,0),2)&lt;&gt;INDEX(Standings!$A$2:$C$33,MATCH(Table1[[#This Row],[HomeTeam]],Standings!$A$2:$A$33,0),2),1,0)</f>
        <v>0</v>
      </c>
      <c r="AN596" s="64" t="str">
        <f>INDEX(Table2[AWAY_RECORD], MATCH(Table1[[#This Row],[AwayTeam]],Table2[Team], 0), 0)</f>
        <v>0-0-0</v>
      </c>
      <c r="AO596" s="64" t="str">
        <f>INDEX(Records!$B$2:$AG$33, MATCH(Table1[[#This Row],[AwayTeam]],Records!$A$2:$A$33, 0), MATCH(Table1[[#This Row],[HomeTeam]],Records!$A$2:$A$33, 0))</f>
        <v>0-0-0</v>
      </c>
      <c r="AP596" s="64" t="str">
        <f>INDEX(Table2[HOME_RECORD], MATCH(Table1[[#This Row],[HomeTeam]],Table2[Team], 0), 0)</f>
        <v>0-0-1</v>
      </c>
      <c r="AQ596" s="64" t="str">
        <f>INDEX(Records!$B$2:$AG$33, MATCH(Table1[[#This Row],[HomeTeam]],Records!$A$2:$A$33, 0), MATCH(Table1[[#This Row],[AwayTeam]],Records!$A$2:$A$33, 0))</f>
        <v>0-0-0</v>
      </c>
    </row>
    <row r="597" spans="1:43" x14ac:dyDescent="0.25">
      <c r="A597" s="1"/>
      <c r="D597" t="s">
        <v>858</v>
      </c>
      <c r="E597" t="s">
        <v>178</v>
      </c>
      <c r="F597" t="s">
        <v>866</v>
      </c>
      <c r="G597" t="s">
        <v>60</v>
      </c>
      <c r="H597" t="s">
        <v>48</v>
      </c>
      <c r="L59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9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97" s="1"/>
      <c r="T597" s="64" t="str">
        <f>IF(Table1[[#This Row],[ActualWinner]]="", "", IF(Table1[[#This Row],[AwayTeam]]=Table1[[#This Row],[ActualWinner]],Table1[[#This Row],[HomeTeam]],Table1[[#This Row],[AwayTeam]]))</f>
        <v/>
      </c>
      <c r="U597" s="64">
        <f>Table1[[#This Row],[ActualAwayScore]]-Table1[[#This Row],[PredictedAwayScore]]</f>
        <v>0</v>
      </c>
      <c r="V597" s="64">
        <f>Table1[[#This Row],[ActualHomeScore]]-Table1[[#This Row],[PredictedHomeScore]]</f>
        <v>0</v>
      </c>
      <c r="W597" s="64">
        <f>(0.8*IF(Table1[[#This Row],[CorrectWinnerPrediction]]=1, 1, 0))+(0.1*IF(Table1[[#This Row],[CorrectAwayScorePrediction]]=1, 1, 0))+(0.1*IF(Table1[[#This Row],[CorrectHomeScorePrediction]]=1, 1, 0))</f>
        <v>0</v>
      </c>
      <c r="X59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97" s="64">
        <f>SUMIF(Table1[GameDate], Table1[[#This Row],[GameDate]], Table1[AwayGameGoalDiff])</f>
        <v>0</v>
      </c>
      <c r="AA597" s="64">
        <f>SUMIF(Table1[GameDate], Table1[[#This Row],[GameDate]], Table1[HomeGameGoalDiff])</f>
        <v>0</v>
      </c>
      <c r="AB597" s="64">
        <f>IF(ISBLANK(Table1[[#This Row],[ActualResult]]), 0, 1)</f>
        <v>0</v>
      </c>
      <c r="AC597" s="64">
        <f>IF(ISBLANK(Table1[[#This Row],[ActualResult]]), 0, IF(Table1[[#This Row],[ActualWinner]]=Table1[[#This Row],[PredictedWinner]], 1, 0))</f>
        <v>0</v>
      </c>
      <c r="AD59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9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97" s="64">
        <f>IF(AND(Table1[[#This Row],[GameIsOver]]=1,Table1[[#This Row],[ActualAwayScore]]=0), 1,0)</f>
        <v>0</v>
      </c>
      <c r="AG597" s="64">
        <f>IF(AND(Table1[[#This Row],[GameIsOver]]=1,Table1[[#This Row],[ActualHomeScore]]=0), 1,0)</f>
        <v>0</v>
      </c>
      <c r="AH597" s="64">
        <f>IF(Table1[[#This Row],[GameIsOver]]=0,0,IF(Table1[[#This Row],[ActualWinner]]=Table1[[#This Row],[AwayTeam]], 1, 0))</f>
        <v>0</v>
      </c>
      <c r="AI597" s="64">
        <f>IF(Table1[[#This Row],[GameIsOver]]=0,0,IF(Table1[[#This Row],[ActualWinner]]=Table1[[#This Row],[HomeTeam]], 1, 0))</f>
        <v>0</v>
      </c>
      <c r="AJ597" s="64">
        <f>IF(INDEX(Standings!$A$2:$C$33,MATCH(Table1[[#This Row],[AwayTeam]],Standings!$A$2:$A$33,0),2)=INDEX(Standings!$A$2:$C$33,MATCH(Table1[[#This Row],[HomeTeam]],Standings!$A$2:$A$33,0),2),1,0)</f>
        <v>1</v>
      </c>
      <c r="AK597" s="64">
        <f>IF(INDEX(Standings!$A$2:$C$33,MATCH(Table1[[#This Row],[AwayTeam]],Standings!$A$2:$A$33,0),3)=INDEX(Standings!$A$2:$C$33,MATCH(Table1[[#This Row],[HomeTeam]],Standings!$A$2:$A$33,0),3),1,0)</f>
        <v>1</v>
      </c>
      <c r="AL597" s="64">
        <f>IF(Table1[[#This Row],[InterConf]]=1,IF(Table1[[#This Row],[InterDiv]]=0, 1, 0), 0)</f>
        <v>0</v>
      </c>
      <c r="AM597" s="64">
        <f>IF(INDEX(Standings!$A$2:$C$33,MATCH(Table1[[#This Row],[AwayTeam]],Standings!$A$2:$A$33,0),2)&lt;&gt;INDEX(Standings!$A$2:$C$33,MATCH(Table1[[#This Row],[HomeTeam]],Standings!$A$2:$A$33,0),2),1,0)</f>
        <v>0</v>
      </c>
      <c r="AN597" s="64" t="str">
        <f>INDEX(Table2[AWAY_RECORD], MATCH(Table1[[#This Row],[AwayTeam]],Table2[Team], 0), 0)</f>
        <v>0-0-0</v>
      </c>
      <c r="AO597" s="64" t="str">
        <f>INDEX(Records!$B$2:$AG$33, MATCH(Table1[[#This Row],[AwayTeam]],Records!$A$2:$A$33, 0), MATCH(Table1[[#This Row],[HomeTeam]],Records!$A$2:$A$33, 0))</f>
        <v>0-0-0</v>
      </c>
      <c r="AP597" s="64" t="str">
        <f>INDEX(Table2[HOME_RECORD], MATCH(Table1[[#This Row],[HomeTeam]],Table2[Team], 0), 0)</f>
        <v>1-0-0</v>
      </c>
      <c r="AQ597" s="64" t="str">
        <f>INDEX(Records!$B$2:$AG$33, MATCH(Table1[[#This Row],[HomeTeam]],Records!$A$2:$A$33, 0), MATCH(Table1[[#This Row],[AwayTeam]],Records!$A$2:$A$33, 0))</f>
        <v>0-0-0</v>
      </c>
    </row>
    <row r="598" spans="1:43" x14ac:dyDescent="0.25">
      <c r="A598" s="1"/>
      <c r="D598" t="s">
        <v>858</v>
      </c>
      <c r="E598" t="s">
        <v>178</v>
      </c>
      <c r="F598" t="s">
        <v>867</v>
      </c>
      <c r="G598" t="s">
        <v>39</v>
      </c>
      <c r="H598" t="s">
        <v>43</v>
      </c>
      <c r="L59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9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98" s="1"/>
      <c r="T598" s="64" t="str">
        <f>IF(Table1[[#This Row],[ActualWinner]]="", "", IF(Table1[[#This Row],[AwayTeam]]=Table1[[#This Row],[ActualWinner]],Table1[[#This Row],[HomeTeam]],Table1[[#This Row],[AwayTeam]]))</f>
        <v/>
      </c>
      <c r="U598" s="64">
        <f>Table1[[#This Row],[ActualAwayScore]]-Table1[[#This Row],[PredictedAwayScore]]</f>
        <v>0</v>
      </c>
      <c r="V598" s="64">
        <f>Table1[[#This Row],[ActualHomeScore]]-Table1[[#This Row],[PredictedHomeScore]]</f>
        <v>0</v>
      </c>
      <c r="W598" s="64">
        <f>(0.8*IF(Table1[[#This Row],[CorrectWinnerPrediction]]=1, 1, 0))+(0.1*IF(Table1[[#This Row],[CorrectAwayScorePrediction]]=1, 1, 0))+(0.1*IF(Table1[[#This Row],[CorrectHomeScorePrediction]]=1, 1, 0))</f>
        <v>0</v>
      </c>
      <c r="X59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98" s="64">
        <f>SUMIF(Table1[GameDate], Table1[[#This Row],[GameDate]], Table1[AwayGameGoalDiff])</f>
        <v>0</v>
      </c>
      <c r="AA598" s="64">
        <f>SUMIF(Table1[GameDate], Table1[[#This Row],[GameDate]], Table1[HomeGameGoalDiff])</f>
        <v>0</v>
      </c>
      <c r="AB598" s="64">
        <f>IF(ISBLANK(Table1[[#This Row],[ActualResult]]), 0, 1)</f>
        <v>0</v>
      </c>
      <c r="AC598" s="64">
        <f>IF(ISBLANK(Table1[[#This Row],[ActualResult]]), 0, IF(Table1[[#This Row],[ActualWinner]]=Table1[[#This Row],[PredictedWinner]], 1, 0))</f>
        <v>0</v>
      </c>
      <c r="AD59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9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98" s="64">
        <f>IF(AND(Table1[[#This Row],[GameIsOver]]=1,Table1[[#This Row],[ActualAwayScore]]=0), 1,0)</f>
        <v>0</v>
      </c>
      <c r="AG598" s="64">
        <f>IF(AND(Table1[[#This Row],[GameIsOver]]=1,Table1[[#This Row],[ActualHomeScore]]=0), 1,0)</f>
        <v>0</v>
      </c>
      <c r="AH598" s="64">
        <f>IF(Table1[[#This Row],[GameIsOver]]=0,0,IF(Table1[[#This Row],[ActualWinner]]=Table1[[#This Row],[AwayTeam]], 1, 0))</f>
        <v>0</v>
      </c>
      <c r="AI598" s="64">
        <f>IF(Table1[[#This Row],[GameIsOver]]=0,0,IF(Table1[[#This Row],[ActualWinner]]=Table1[[#This Row],[HomeTeam]], 1, 0))</f>
        <v>0</v>
      </c>
      <c r="AJ598" s="64">
        <f>IF(INDEX(Standings!$A$2:$C$33,MATCH(Table1[[#This Row],[AwayTeam]],Standings!$A$2:$A$33,0),2)=INDEX(Standings!$A$2:$C$33,MATCH(Table1[[#This Row],[HomeTeam]],Standings!$A$2:$A$33,0),2),1,0)</f>
        <v>1</v>
      </c>
      <c r="AK598" s="64">
        <f>IF(INDEX(Standings!$A$2:$C$33,MATCH(Table1[[#This Row],[AwayTeam]],Standings!$A$2:$A$33,0),3)=INDEX(Standings!$A$2:$C$33,MATCH(Table1[[#This Row],[HomeTeam]],Standings!$A$2:$A$33,0),3),1,0)</f>
        <v>0</v>
      </c>
      <c r="AL598" s="64">
        <f>IF(Table1[[#This Row],[InterConf]]=1,IF(Table1[[#This Row],[InterDiv]]=0, 1, 0), 0)</f>
        <v>1</v>
      </c>
      <c r="AM598" s="64">
        <f>IF(INDEX(Standings!$A$2:$C$33,MATCH(Table1[[#This Row],[AwayTeam]],Standings!$A$2:$A$33,0),2)&lt;&gt;INDEX(Standings!$A$2:$C$33,MATCH(Table1[[#This Row],[HomeTeam]],Standings!$A$2:$A$33,0),2),1,0)</f>
        <v>0</v>
      </c>
      <c r="AN598" s="64" t="str">
        <f>INDEX(Table2[AWAY_RECORD], MATCH(Table1[[#This Row],[AwayTeam]],Table2[Team], 0), 0)</f>
        <v>0-0-0</v>
      </c>
      <c r="AO598" s="64" t="str">
        <f>INDEX(Records!$B$2:$AG$33, MATCH(Table1[[#This Row],[AwayTeam]],Records!$A$2:$A$33, 0), MATCH(Table1[[#This Row],[HomeTeam]],Records!$A$2:$A$33, 0))</f>
        <v>0-0-0</v>
      </c>
      <c r="AP598" s="64" t="str">
        <f>INDEX(Table2[HOME_RECORD], MATCH(Table1[[#This Row],[HomeTeam]],Table2[Team], 0), 0)</f>
        <v>0-0-0</v>
      </c>
      <c r="AQ598" s="64" t="str">
        <f>INDEX(Records!$B$2:$AG$33, MATCH(Table1[[#This Row],[HomeTeam]],Records!$A$2:$A$33, 0), MATCH(Table1[[#This Row],[AwayTeam]],Records!$A$2:$A$33, 0))</f>
        <v>0-0-0</v>
      </c>
    </row>
    <row r="599" spans="1:43" x14ac:dyDescent="0.25">
      <c r="A599" s="1"/>
      <c r="D599" t="s">
        <v>858</v>
      </c>
      <c r="E599" t="s">
        <v>178</v>
      </c>
      <c r="F599" t="s">
        <v>868</v>
      </c>
      <c r="G599" t="s">
        <v>46</v>
      </c>
      <c r="H599" t="s">
        <v>22</v>
      </c>
      <c r="L59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59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599" s="1"/>
      <c r="T599" s="64" t="str">
        <f>IF(Table1[[#This Row],[ActualWinner]]="", "", IF(Table1[[#This Row],[AwayTeam]]=Table1[[#This Row],[ActualWinner]],Table1[[#This Row],[HomeTeam]],Table1[[#This Row],[AwayTeam]]))</f>
        <v/>
      </c>
      <c r="U599" s="64">
        <f>Table1[[#This Row],[ActualAwayScore]]-Table1[[#This Row],[PredictedAwayScore]]</f>
        <v>0</v>
      </c>
      <c r="V599" s="64">
        <f>Table1[[#This Row],[ActualHomeScore]]-Table1[[#This Row],[PredictedHomeScore]]</f>
        <v>0</v>
      </c>
      <c r="W599" s="64">
        <f>(0.8*IF(Table1[[#This Row],[CorrectWinnerPrediction]]=1, 1, 0))+(0.1*IF(Table1[[#This Row],[CorrectAwayScorePrediction]]=1, 1, 0))+(0.1*IF(Table1[[#This Row],[CorrectHomeScorePrediction]]=1, 1, 0))</f>
        <v>0</v>
      </c>
      <c r="X59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599" s="64">
        <f>SUMIF(Table1[GameDate], Table1[[#This Row],[GameDate]], Table1[AwayGameGoalDiff])</f>
        <v>0</v>
      </c>
      <c r="AA599" s="64">
        <f>SUMIF(Table1[GameDate], Table1[[#This Row],[GameDate]], Table1[HomeGameGoalDiff])</f>
        <v>0</v>
      </c>
      <c r="AB599" s="64">
        <f>IF(ISBLANK(Table1[[#This Row],[ActualResult]]), 0, 1)</f>
        <v>0</v>
      </c>
      <c r="AC599" s="64">
        <f>IF(ISBLANK(Table1[[#This Row],[ActualResult]]), 0, IF(Table1[[#This Row],[ActualWinner]]=Table1[[#This Row],[PredictedWinner]], 1, 0))</f>
        <v>0</v>
      </c>
      <c r="AD59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9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599" s="64">
        <f>IF(AND(Table1[[#This Row],[GameIsOver]]=1,Table1[[#This Row],[ActualAwayScore]]=0), 1,0)</f>
        <v>0</v>
      </c>
      <c r="AG599" s="64">
        <f>IF(AND(Table1[[#This Row],[GameIsOver]]=1,Table1[[#This Row],[ActualHomeScore]]=0), 1,0)</f>
        <v>0</v>
      </c>
      <c r="AH599" s="64">
        <f>IF(Table1[[#This Row],[GameIsOver]]=0,0,IF(Table1[[#This Row],[ActualWinner]]=Table1[[#This Row],[AwayTeam]], 1, 0))</f>
        <v>0</v>
      </c>
      <c r="AI599" s="64">
        <f>IF(Table1[[#This Row],[GameIsOver]]=0,0,IF(Table1[[#This Row],[ActualWinner]]=Table1[[#This Row],[HomeTeam]], 1, 0))</f>
        <v>0</v>
      </c>
      <c r="AJ599" s="64">
        <f>IF(INDEX(Standings!$A$2:$C$33,MATCH(Table1[[#This Row],[AwayTeam]],Standings!$A$2:$A$33,0),2)=INDEX(Standings!$A$2:$C$33,MATCH(Table1[[#This Row],[HomeTeam]],Standings!$A$2:$A$33,0),2),1,0)</f>
        <v>1</v>
      </c>
      <c r="AK599" s="64">
        <f>IF(INDEX(Standings!$A$2:$C$33,MATCH(Table1[[#This Row],[AwayTeam]],Standings!$A$2:$A$33,0),3)=INDEX(Standings!$A$2:$C$33,MATCH(Table1[[#This Row],[HomeTeam]],Standings!$A$2:$A$33,0),3),1,0)</f>
        <v>0</v>
      </c>
      <c r="AL599" s="64">
        <f>IF(Table1[[#This Row],[InterConf]]=1,IF(Table1[[#This Row],[InterDiv]]=0, 1, 0), 0)</f>
        <v>1</v>
      </c>
      <c r="AM599" s="64">
        <f>IF(INDEX(Standings!$A$2:$C$33,MATCH(Table1[[#This Row],[AwayTeam]],Standings!$A$2:$A$33,0),2)&lt;&gt;INDEX(Standings!$A$2:$C$33,MATCH(Table1[[#This Row],[HomeTeam]],Standings!$A$2:$A$33,0),2),1,0)</f>
        <v>0</v>
      </c>
      <c r="AN599" s="64" t="str">
        <f>INDEX(Table2[AWAY_RECORD], MATCH(Table1[[#This Row],[AwayTeam]],Table2[Team], 0), 0)</f>
        <v>1-0-0</v>
      </c>
      <c r="AO599" s="64" t="str">
        <f>INDEX(Records!$B$2:$AG$33, MATCH(Table1[[#This Row],[AwayTeam]],Records!$A$2:$A$33, 0), MATCH(Table1[[#This Row],[HomeTeam]],Records!$A$2:$A$33, 0))</f>
        <v>0-0-0</v>
      </c>
      <c r="AP599" s="64" t="str">
        <f>INDEX(Table2[HOME_RECORD], MATCH(Table1[[#This Row],[HomeTeam]],Table2[Team], 0), 0)</f>
        <v>0-0-0</v>
      </c>
      <c r="AQ599" s="64" t="str">
        <f>INDEX(Records!$B$2:$AG$33, MATCH(Table1[[#This Row],[HomeTeam]],Records!$A$2:$A$33, 0), MATCH(Table1[[#This Row],[AwayTeam]],Records!$A$2:$A$33, 0))</f>
        <v>0-0-0</v>
      </c>
    </row>
    <row r="600" spans="1:43" x14ac:dyDescent="0.25">
      <c r="A600" s="1"/>
      <c r="D600" t="s">
        <v>858</v>
      </c>
      <c r="E600" t="s">
        <v>593</v>
      </c>
      <c r="F600" t="s">
        <v>869</v>
      </c>
      <c r="G600" t="s">
        <v>55</v>
      </c>
      <c r="H600" t="s">
        <v>56</v>
      </c>
      <c r="L60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0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00" s="1"/>
      <c r="T600" s="64" t="str">
        <f>IF(Table1[[#This Row],[ActualWinner]]="", "", IF(Table1[[#This Row],[AwayTeam]]=Table1[[#This Row],[ActualWinner]],Table1[[#This Row],[HomeTeam]],Table1[[#This Row],[AwayTeam]]))</f>
        <v/>
      </c>
      <c r="U600" s="64">
        <f>Table1[[#This Row],[ActualAwayScore]]-Table1[[#This Row],[PredictedAwayScore]]</f>
        <v>0</v>
      </c>
      <c r="V600" s="64">
        <f>Table1[[#This Row],[ActualHomeScore]]-Table1[[#This Row],[PredictedHomeScore]]</f>
        <v>0</v>
      </c>
      <c r="W600" s="64">
        <f>(0.8*IF(Table1[[#This Row],[CorrectWinnerPrediction]]=1, 1, 0))+(0.1*IF(Table1[[#This Row],[CorrectAwayScorePrediction]]=1, 1, 0))+(0.1*IF(Table1[[#This Row],[CorrectHomeScorePrediction]]=1, 1, 0))</f>
        <v>0</v>
      </c>
      <c r="X60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00" s="64">
        <f>SUMIF(Table1[GameDate], Table1[[#This Row],[GameDate]], Table1[AwayGameGoalDiff])</f>
        <v>0</v>
      </c>
      <c r="AA600" s="64">
        <f>SUMIF(Table1[GameDate], Table1[[#This Row],[GameDate]], Table1[HomeGameGoalDiff])</f>
        <v>0</v>
      </c>
      <c r="AB600" s="64">
        <f>IF(ISBLANK(Table1[[#This Row],[ActualResult]]), 0, 1)</f>
        <v>0</v>
      </c>
      <c r="AC600" s="64">
        <f>IF(ISBLANK(Table1[[#This Row],[ActualResult]]), 0, IF(Table1[[#This Row],[ActualWinner]]=Table1[[#This Row],[PredictedWinner]], 1, 0))</f>
        <v>0</v>
      </c>
      <c r="AD60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0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00" s="64">
        <f>IF(AND(Table1[[#This Row],[GameIsOver]]=1,Table1[[#This Row],[ActualAwayScore]]=0), 1,0)</f>
        <v>0</v>
      </c>
      <c r="AG600" s="64">
        <f>IF(AND(Table1[[#This Row],[GameIsOver]]=1,Table1[[#This Row],[ActualHomeScore]]=0), 1,0)</f>
        <v>0</v>
      </c>
      <c r="AH600" s="64">
        <f>IF(Table1[[#This Row],[GameIsOver]]=0,0,IF(Table1[[#This Row],[ActualWinner]]=Table1[[#This Row],[AwayTeam]], 1, 0))</f>
        <v>0</v>
      </c>
      <c r="AI600" s="64">
        <f>IF(Table1[[#This Row],[GameIsOver]]=0,0,IF(Table1[[#This Row],[ActualWinner]]=Table1[[#This Row],[HomeTeam]], 1, 0))</f>
        <v>0</v>
      </c>
      <c r="AJ600" s="64">
        <f>IF(INDEX(Standings!$A$2:$C$33,MATCH(Table1[[#This Row],[AwayTeam]],Standings!$A$2:$A$33,0),2)=INDEX(Standings!$A$2:$C$33,MATCH(Table1[[#This Row],[HomeTeam]],Standings!$A$2:$A$33,0),2),1,0)</f>
        <v>1</v>
      </c>
      <c r="AK600" s="64">
        <f>IF(INDEX(Standings!$A$2:$C$33,MATCH(Table1[[#This Row],[AwayTeam]],Standings!$A$2:$A$33,0),3)=INDEX(Standings!$A$2:$C$33,MATCH(Table1[[#This Row],[HomeTeam]],Standings!$A$2:$A$33,0),3),1,0)</f>
        <v>1</v>
      </c>
      <c r="AL600" s="64">
        <f>IF(Table1[[#This Row],[InterConf]]=1,IF(Table1[[#This Row],[InterDiv]]=0, 1, 0), 0)</f>
        <v>0</v>
      </c>
      <c r="AM600" s="64">
        <f>IF(INDEX(Standings!$A$2:$C$33,MATCH(Table1[[#This Row],[AwayTeam]],Standings!$A$2:$A$33,0),2)&lt;&gt;INDEX(Standings!$A$2:$C$33,MATCH(Table1[[#This Row],[HomeTeam]],Standings!$A$2:$A$33,0),2),1,0)</f>
        <v>0</v>
      </c>
      <c r="AN600" s="64" t="str">
        <f>INDEX(Table2[AWAY_RECORD], MATCH(Table1[[#This Row],[AwayTeam]],Table2[Team], 0), 0)</f>
        <v>0-0-0</v>
      </c>
      <c r="AO600" s="64" t="str">
        <f>INDEX(Records!$B$2:$AG$33, MATCH(Table1[[#This Row],[AwayTeam]],Records!$A$2:$A$33, 0), MATCH(Table1[[#This Row],[HomeTeam]],Records!$A$2:$A$33, 0))</f>
        <v>0-0-0</v>
      </c>
      <c r="AP600" s="64" t="str">
        <f>INDEX(Table2[HOME_RECORD], MATCH(Table1[[#This Row],[HomeTeam]],Table2[Team], 0), 0)</f>
        <v>0-0-0</v>
      </c>
      <c r="AQ600" s="64" t="str">
        <f>INDEX(Records!$B$2:$AG$33, MATCH(Table1[[#This Row],[HomeTeam]],Records!$A$2:$A$33, 0), MATCH(Table1[[#This Row],[AwayTeam]],Records!$A$2:$A$33, 0))</f>
        <v>0-0-0</v>
      </c>
    </row>
    <row r="601" spans="1:43" x14ac:dyDescent="0.25">
      <c r="A601" s="1"/>
      <c r="D601" t="s">
        <v>870</v>
      </c>
      <c r="E601" t="s">
        <v>298</v>
      </c>
      <c r="F601" t="s">
        <v>871</v>
      </c>
      <c r="G601" t="s">
        <v>25</v>
      </c>
      <c r="H601" t="s">
        <v>36</v>
      </c>
      <c r="L60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0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01" s="1"/>
      <c r="T601" s="64" t="str">
        <f>IF(Table1[[#This Row],[ActualWinner]]="", "", IF(Table1[[#This Row],[AwayTeam]]=Table1[[#This Row],[ActualWinner]],Table1[[#This Row],[HomeTeam]],Table1[[#This Row],[AwayTeam]]))</f>
        <v/>
      </c>
      <c r="U601" s="64">
        <f>Table1[[#This Row],[ActualAwayScore]]-Table1[[#This Row],[PredictedAwayScore]]</f>
        <v>0</v>
      </c>
      <c r="V601" s="64">
        <f>Table1[[#This Row],[ActualHomeScore]]-Table1[[#This Row],[PredictedHomeScore]]</f>
        <v>0</v>
      </c>
      <c r="W601" s="64">
        <f>(0.8*IF(Table1[[#This Row],[CorrectWinnerPrediction]]=1, 1, 0))+(0.1*IF(Table1[[#This Row],[CorrectAwayScorePrediction]]=1, 1, 0))+(0.1*IF(Table1[[#This Row],[CorrectHomeScorePrediction]]=1, 1, 0))</f>
        <v>0</v>
      </c>
      <c r="X60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01" s="64">
        <f>SUMIF(Table1[GameDate], Table1[[#This Row],[GameDate]], Table1[AwayGameGoalDiff])</f>
        <v>0</v>
      </c>
      <c r="AA601" s="64">
        <f>SUMIF(Table1[GameDate], Table1[[#This Row],[GameDate]], Table1[HomeGameGoalDiff])</f>
        <v>0</v>
      </c>
      <c r="AB601" s="64">
        <f>IF(ISBLANK(Table1[[#This Row],[ActualResult]]), 0, 1)</f>
        <v>0</v>
      </c>
      <c r="AC601" s="64">
        <f>IF(ISBLANK(Table1[[#This Row],[ActualResult]]), 0, IF(Table1[[#This Row],[ActualWinner]]=Table1[[#This Row],[PredictedWinner]], 1, 0))</f>
        <v>0</v>
      </c>
      <c r="AD60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0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01" s="64">
        <f>IF(AND(Table1[[#This Row],[GameIsOver]]=1,Table1[[#This Row],[ActualAwayScore]]=0), 1,0)</f>
        <v>0</v>
      </c>
      <c r="AG601" s="64">
        <f>IF(AND(Table1[[#This Row],[GameIsOver]]=1,Table1[[#This Row],[ActualHomeScore]]=0), 1,0)</f>
        <v>0</v>
      </c>
      <c r="AH601" s="64">
        <f>IF(Table1[[#This Row],[GameIsOver]]=0,0,IF(Table1[[#This Row],[ActualWinner]]=Table1[[#This Row],[AwayTeam]], 1, 0))</f>
        <v>0</v>
      </c>
      <c r="AI601" s="64">
        <f>IF(Table1[[#This Row],[GameIsOver]]=0,0,IF(Table1[[#This Row],[ActualWinner]]=Table1[[#This Row],[HomeTeam]], 1, 0))</f>
        <v>0</v>
      </c>
      <c r="AJ601" s="64">
        <f>IF(INDEX(Standings!$A$2:$C$33,MATCH(Table1[[#This Row],[AwayTeam]],Standings!$A$2:$A$33,0),2)=INDEX(Standings!$A$2:$C$33,MATCH(Table1[[#This Row],[HomeTeam]],Standings!$A$2:$A$33,0),2),1,0)</f>
        <v>1</v>
      </c>
      <c r="AK601" s="64">
        <f>IF(INDEX(Standings!$A$2:$C$33,MATCH(Table1[[#This Row],[AwayTeam]],Standings!$A$2:$A$33,0),3)=INDEX(Standings!$A$2:$C$33,MATCH(Table1[[#This Row],[HomeTeam]],Standings!$A$2:$A$33,0),3),1,0)</f>
        <v>1</v>
      </c>
      <c r="AL601" s="64">
        <f>IF(Table1[[#This Row],[InterConf]]=1,IF(Table1[[#This Row],[InterDiv]]=0, 1, 0), 0)</f>
        <v>0</v>
      </c>
      <c r="AM601" s="64">
        <f>IF(INDEX(Standings!$A$2:$C$33,MATCH(Table1[[#This Row],[AwayTeam]],Standings!$A$2:$A$33,0),2)&lt;&gt;INDEX(Standings!$A$2:$C$33,MATCH(Table1[[#This Row],[HomeTeam]],Standings!$A$2:$A$33,0),2),1,0)</f>
        <v>0</v>
      </c>
      <c r="AN601" s="64" t="str">
        <f>INDEX(Table2[AWAY_RECORD], MATCH(Table1[[#This Row],[AwayTeam]],Table2[Team], 0), 0)</f>
        <v>0-0-0</v>
      </c>
      <c r="AO601" s="64" t="str">
        <f>INDEX(Records!$B$2:$AG$33, MATCH(Table1[[#This Row],[AwayTeam]],Records!$A$2:$A$33, 0), MATCH(Table1[[#This Row],[HomeTeam]],Records!$A$2:$A$33, 0))</f>
        <v>0-0-0</v>
      </c>
      <c r="AP601" s="64" t="str">
        <f>INDEX(Table2[HOME_RECORD], MATCH(Table1[[#This Row],[HomeTeam]],Table2[Team], 0), 0)</f>
        <v>0-0-0</v>
      </c>
      <c r="AQ601" s="64" t="str">
        <f>INDEX(Records!$B$2:$AG$33, MATCH(Table1[[#This Row],[HomeTeam]],Records!$A$2:$A$33, 0), MATCH(Table1[[#This Row],[AwayTeam]],Records!$A$2:$A$33, 0))</f>
        <v>0-0-0</v>
      </c>
    </row>
    <row r="602" spans="1:43" x14ac:dyDescent="0.25">
      <c r="A602" s="1"/>
      <c r="D602" t="s">
        <v>872</v>
      </c>
      <c r="E602" t="s">
        <v>160</v>
      </c>
      <c r="F602" t="s">
        <v>873</v>
      </c>
      <c r="G602" t="s">
        <v>57</v>
      </c>
      <c r="H602" t="s">
        <v>17</v>
      </c>
      <c r="L60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0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02" s="1"/>
      <c r="T602" s="64" t="str">
        <f>IF(Table1[[#This Row],[ActualWinner]]="", "", IF(Table1[[#This Row],[AwayTeam]]=Table1[[#This Row],[ActualWinner]],Table1[[#This Row],[HomeTeam]],Table1[[#This Row],[AwayTeam]]))</f>
        <v/>
      </c>
      <c r="U602" s="64">
        <f>Table1[[#This Row],[ActualAwayScore]]-Table1[[#This Row],[PredictedAwayScore]]</f>
        <v>0</v>
      </c>
      <c r="V602" s="64">
        <f>Table1[[#This Row],[ActualHomeScore]]-Table1[[#This Row],[PredictedHomeScore]]</f>
        <v>0</v>
      </c>
      <c r="W602" s="64">
        <f>(0.8*IF(Table1[[#This Row],[CorrectWinnerPrediction]]=1, 1, 0))+(0.1*IF(Table1[[#This Row],[CorrectAwayScorePrediction]]=1, 1, 0))+(0.1*IF(Table1[[#This Row],[CorrectHomeScorePrediction]]=1, 1, 0))</f>
        <v>0</v>
      </c>
      <c r="X60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02" s="64">
        <f>SUMIF(Table1[GameDate], Table1[[#This Row],[GameDate]], Table1[AwayGameGoalDiff])</f>
        <v>0</v>
      </c>
      <c r="AA602" s="64">
        <f>SUMIF(Table1[GameDate], Table1[[#This Row],[GameDate]], Table1[HomeGameGoalDiff])</f>
        <v>0</v>
      </c>
      <c r="AB602" s="64">
        <f>IF(ISBLANK(Table1[[#This Row],[ActualResult]]), 0, 1)</f>
        <v>0</v>
      </c>
      <c r="AC602" s="64">
        <f>IF(ISBLANK(Table1[[#This Row],[ActualResult]]), 0, IF(Table1[[#This Row],[ActualWinner]]=Table1[[#This Row],[PredictedWinner]], 1, 0))</f>
        <v>0</v>
      </c>
      <c r="AD60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0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02" s="64">
        <f>IF(AND(Table1[[#This Row],[GameIsOver]]=1,Table1[[#This Row],[ActualAwayScore]]=0), 1,0)</f>
        <v>0</v>
      </c>
      <c r="AG602" s="64">
        <f>IF(AND(Table1[[#This Row],[GameIsOver]]=1,Table1[[#This Row],[ActualHomeScore]]=0), 1,0)</f>
        <v>0</v>
      </c>
      <c r="AH602" s="64">
        <f>IF(Table1[[#This Row],[GameIsOver]]=0,0,IF(Table1[[#This Row],[ActualWinner]]=Table1[[#This Row],[AwayTeam]], 1, 0))</f>
        <v>0</v>
      </c>
      <c r="AI602" s="64">
        <f>IF(Table1[[#This Row],[GameIsOver]]=0,0,IF(Table1[[#This Row],[ActualWinner]]=Table1[[#This Row],[HomeTeam]], 1, 0))</f>
        <v>0</v>
      </c>
      <c r="AJ602" s="64">
        <f>IF(INDEX(Standings!$A$2:$C$33,MATCH(Table1[[#This Row],[AwayTeam]],Standings!$A$2:$A$33,0),2)=INDEX(Standings!$A$2:$C$33,MATCH(Table1[[#This Row],[HomeTeam]],Standings!$A$2:$A$33,0),2),1,0)</f>
        <v>1</v>
      </c>
      <c r="AK602" s="64">
        <f>IF(INDEX(Standings!$A$2:$C$33,MATCH(Table1[[#This Row],[AwayTeam]],Standings!$A$2:$A$33,0),3)=INDEX(Standings!$A$2:$C$33,MATCH(Table1[[#This Row],[HomeTeam]],Standings!$A$2:$A$33,0),3),1,0)</f>
        <v>1</v>
      </c>
      <c r="AL602" s="64">
        <f>IF(Table1[[#This Row],[InterConf]]=1,IF(Table1[[#This Row],[InterDiv]]=0, 1, 0), 0)</f>
        <v>0</v>
      </c>
      <c r="AM602" s="64">
        <f>IF(INDEX(Standings!$A$2:$C$33,MATCH(Table1[[#This Row],[AwayTeam]],Standings!$A$2:$A$33,0),2)&lt;&gt;INDEX(Standings!$A$2:$C$33,MATCH(Table1[[#This Row],[HomeTeam]],Standings!$A$2:$A$33,0),2),1,0)</f>
        <v>0</v>
      </c>
      <c r="AN602" s="64" t="str">
        <f>INDEX(Table2[AWAY_RECORD], MATCH(Table1[[#This Row],[AwayTeam]],Table2[Team], 0), 0)</f>
        <v>0-1-0</v>
      </c>
      <c r="AO602" s="64" t="str">
        <f>INDEX(Records!$B$2:$AG$33, MATCH(Table1[[#This Row],[AwayTeam]],Records!$A$2:$A$33, 0), MATCH(Table1[[#This Row],[HomeTeam]],Records!$A$2:$A$33, 0))</f>
        <v>0-0-0</v>
      </c>
      <c r="AP602" s="64" t="str">
        <f>INDEX(Table2[HOME_RECORD], MATCH(Table1[[#This Row],[HomeTeam]],Table2[Team], 0), 0)</f>
        <v>0-0-0</v>
      </c>
      <c r="AQ602" s="64" t="str">
        <f>INDEX(Records!$B$2:$AG$33, MATCH(Table1[[#This Row],[HomeTeam]],Records!$A$2:$A$33, 0), MATCH(Table1[[#This Row],[AwayTeam]],Records!$A$2:$A$33, 0))</f>
        <v>0-0-0</v>
      </c>
    </row>
    <row r="603" spans="1:43" x14ac:dyDescent="0.25">
      <c r="A603" s="1"/>
      <c r="D603" t="s">
        <v>872</v>
      </c>
      <c r="E603" t="s">
        <v>162</v>
      </c>
      <c r="F603" t="s">
        <v>874</v>
      </c>
      <c r="G603" t="s">
        <v>50</v>
      </c>
      <c r="H603" t="s">
        <v>37</v>
      </c>
      <c r="L60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0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03" s="1"/>
      <c r="T603" s="64" t="str">
        <f>IF(Table1[[#This Row],[ActualWinner]]="", "", IF(Table1[[#This Row],[AwayTeam]]=Table1[[#This Row],[ActualWinner]],Table1[[#This Row],[HomeTeam]],Table1[[#This Row],[AwayTeam]]))</f>
        <v/>
      </c>
      <c r="U603" s="64">
        <f>Table1[[#This Row],[ActualAwayScore]]-Table1[[#This Row],[PredictedAwayScore]]</f>
        <v>0</v>
      </c>
      <c r="V603" s="64">
        <f>Table1[[#This Row],[ActualHomeScore]]-Table1[[#This Row],[PredictedHomeScore]]</f>
        <v>0</v>
      </c>
      <c r="W603" s="64">
        <f>(0.8*IF(Table1[[#This Row],[CorrectWinnerPrediction]]=1, 1, 0))+(0.1*IF(Table1[[#This Row],[CorrectAwayScorePrediction]]=1, 1, 0))+(0.1*IF(Table1[[#This Row],[CorrectHomeScorePrediction]]=1, 1, 0))</f>
        <v>0</v>
      </c>
      <c r="X60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03" s="64">
        <f>SUMIF(Table1[GameDate], Table1[[#This Row],[GameDate]], Table1[AwayGameGoalDiff])</f>
        <v>0</v>
      </c>
      <c r="AA603" s="64">
        <f>SUMIF(Table1[GameDate], Table1[[#This Row],[GameDate]], Table1[HomeGameGoalDiff])</f>
        <v>0</v>
      </c>
      <c r="AB603" s="64">
        <f>IF(ISBLANK(Table1[[#This Row],[ActualResult]]), 0, 1)</f>
        <v>0</v>
      </c>
      <c r="AC603" s="64">
        <f>IF(ISBLANK(Table1[[#This Row],[ActualResult]]), 0, IF(Table1[[#This Row],[ActualWinner]]=Table1[[#This Row],[PredictedWinner]], 1, 0))</f>
        <v>0</v>
      </c>
      <c r="AD60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0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03" s="64">
        <f>IF(AND(Table1[[#This Row],[GameIsOver]]=1,Table1[[#This Row],[ActualAwayScore]]=0), 1,0)</f>
        <v>0</v>
      </c>
      <c r="AG603" s="64">
        <f>IF(AND(Table1[[#This Row],[GameIsOver]]=1,Table1[[#This Row],[ActualHomeScore]]=0), 1,0)</f>
        <v>0</v>
      </c>
      <c r="AH603" s="64">
        <f>IF(Table1[[#This Row],[GameIsOver]]=0,0,IF(Table1[[#This Row],[ActualWinner]]=Table1[[#This Row],[AwayTeam]], 1, 0))</f>
        <v>0</v>
      </c>
      <c r="AI603" s="64">
        <f>IF(Table1[[#This Row],[GameIsOver]]=0,0,IF(Table1[[#This Row],[ActualWinner]]=Table1[[#This Row],[HomeTeam]], 1, 0))</f>
        <v>0</v>
      </c>
      <c r="AJ603" s="64">
        <f>IF(INDEX(Standings!$A$2:$C$33,MATCH(Table1[[#This Row],[AwayTeam]],Standings!$A$2:$A$33,0),2)=INDEX(Standings!$A$2:$C$33,MATCH(Table1[[#This Row],[HomeTeam]],Standings!$A$2:$A$33,0),2),1,0)</f>
        <v>1</v>
      </c>
      <c r="AK603" s="64">
        <f>IF(INDEX(Standings!$A$2:$C$33,MATCH(Table1[[#This Row],[AwayTeam]],Standings!$A$2:$A$33,0),3)=INDEX(Standings!$A$2:$C$33,MATCH(Table1[[#This Row],[HomeTeam]],Standings!$A$2:$A$33,0),3),1,0)</f>
        <v>0</v>
      </c>
      <c r="AL603" s="64">
        <f>IF(Table1[[#This Row],[InterConf]]=1,IF(Table1[[#This Row],[InterDiv]]=0, 1, 0), 0)</f>
        <v>1</v>
      </c>
      <c r="AM603" s="64">
        <f>IF(INDEX(Standings!$A$2:$C$33,MATCH(Table1[[#This Row],[AwayTeam]],Standings!$A$2:$A$33,0),2)&lt;&gt;INDEX(Standings!$A$2:$C$33,MATCH(Table1[[#This Row],[HomeTeam]],Standings!$A$2:$A$33,0),2),1,0)</f>
        <v>0</v>
      </c>
      <c r="AN603" s="64" t="str">
        <f>INDEX(Table2[AWAY_RECORD], MATCH(Table1[[#This Row],[AwayTeam]],Table2[Team], 0), 0)</f>
        <v>1-0-0</v>
      </c>
      <c r="AO603" s="64" t="str">
        <f>INDEX(Records!$B$2:$AG$33, MATCH(Table1[[#This Row],[AwayTeam]],Records!$A$2:$A$33, 0), MATCH(Table1[[#This Row],[HomeTeam]],Records!$A$2:$A$33, 0))</f>
        <v>0-0-0</v>
      </c>
      <c r="AP603" s="64" t="str">
        <f>INDEX(Table2[HOME_RECORD], MATCH(Table1[[#This Row],[HomeTeam]],Table2[Team], 0), 0)</f>
        <v>0-1-0</v>
      </c>
      <c r="AQ603" s="64" t="str">
        <f>INDEX(Records!$B$2:$AG$33, MATCH(Table1[[#This Row],[HomeTeam]],Records!$A$2:$A$33, 0), MATCH(Table1[[#This Row],[AwayTeam]],Records!$A$2:$A$33, 0))</f>
        <v>0-0-0</v>
      </c>
    </row>
    <row r="604" spans="1:43" x14ac:dyDescent="0.25">
      <c r="A604" s="1"/>
      <c r="D604" t="s">
        <v>872</v>
      </c>
      <c r="E604" t="s">
        <v>162</v>
      </c>
      <c r="F604" t="s">
        <v>875</v>
      </c>
      <c r="G604" t="s">
        <v>49</v>
      </c>
      <c r="H604" t="s">
        <v>38</v>
      </c>
      <c r="L60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0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04" s="1"/>
      <c r="T604" s="64" t="str">
        <f>IF(Table1[[#This Row],[ActualWinner]]="", "", IF(Table1[[#This Row],[AwayTeam]]=Table1[[#This Row],[ActualWinner]],Table1[[#This Row],[HomeTeam]],Table1[[#This Row],[AwayTeam]]))</f>
        <v/>
      </c>
      <c r="U604" s="64">
        <f>Table1[[#This Row],[ActualAwayScore]]-Table1[[#This Row],[PredictedAwayScore]]</f>
        <v>0</v>
      </c>
      <c r="V604" s="64">
        <f>Table1[[#This Row],[ActualHomeScore]]-Table1[[#This Row],[PredictedHomeScore]]</f>
        <v>0</v>
      </c>
      <c r="W604" s="64">
        <f>(0.8*IF(Table1[[#This Row],[CorrectWinnerPrediction]]=1, 1, 0))+(0.1*IF(Table1[[#This Row],[CorrectAwayScorePrediction]]=1, 1, 0))+(0.1*IF(Table1[[#This Row],[CorrectHomeScorePrediction]]=1, 1, 0))</f>
        <v>0</v>
      </c>
      <c r="X60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04" s="64">
        <f>SUMIF(Table1[GameDate], Table1[[#This Row],[GameDate]], Table1[AwayGameGoalDiff])</f>
        <v>0</v>
      </c>
      <c r="AA604" s="64">
        <f>SUMIF(Table1[GameDate], Table1[[#This Row],[GameDate]], Table1[HomeGameGoalDiff])</f>
        <v>0</v>
      </c>
      <c r="AB604" s="64">
        <f>IF(ISBLANK(Table1[[#This Row],[ActualResult]]), 0, 1)</f>
        <v>0</v>
      </c>
      <c r="AC604" s="64">
        <f>IF(ISBLANK(Table1[[#This Row],[ActualResult]]), 0, IF(Table1[[#This Row],[ActualWinner]]=Table1[[#This Row],[PredictedWinner]], 1, 0))</f>
        <v>0</v>
      </c>
      <c r="AD60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0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04" s="64">
        <f>IF(AND(Table1[[#This Row],[GameIsOver]]=1,Table1[[#This Row],[ActualAwayScore]]=0), 1,0)</f>
        <v>0</v>
      </c>
      <c r="AG604" s="64">
        <f>IF(AND(Table1[[#This Row],[GameIsOver]]=1,Table1[[#This Row],[ActualHomeScore]]=0), 1,0)</f>
        <v>0</v>
      </c>
      <c r="AH604" s="64">
        <f>IF(Table1[[#This Row],[GameIsOver]]=0,0,IF(Table1[[#This Row],[ActualWinner]]=Table1[[#This Row],[AwayTeam]], 1, 0))</f>
        <v>0</v>
      </c>
      <c r="AI604" s="64">
        <f>IF(Table1[[#This Row],[GameIsOver]]=0,0,IF(Table1[[#This Row],[ActualWinner]]=Table1[[#This Row],[HomeTeam]], 1, 0))</f>
        <v>0</v>
      </c>
      <c r="AJ604" s="64">
        <f>IF(INDEX(Standings!$A$2:$C$33,MATCH(Table1[[#This Row],[AwayTeam]],Standings!$A$2:$A$33,0),2)=INDEX(Standings!$A$2:$C$33,MATCH(Table1[[#This Row],[HomeTeam]],Standings!$A$2:$A$33,0),2),1,0)</f>
        <v>1</v>
      </c>
      <c r="AK604" s="64">
        <f>IF(INDEX(Standings!$A$2:$C$33,MATCH(Table1[[#This Row],[AwayTeam]],Standings!$A$2:$A$33,0),3)=INDEX(Standings!$A$2:$C$33,MATCH(Table1[[#This Row],[HomeTeam]],Standings!$A$2:$A$33,0),3),1,0)</f>
        <v>0</v>
      </c>
      <c r="AL604" s="64">
        <f>IF(Table1[[#This Row],[InterConf]]=1,IF(Table1[[#This Row],[InterDiv]]=0, 1, 0), 0)</f>
        <v>1</v>
      </c>
      <c r="AM604" s="64">
        <f>IF(INDEX(Standings!$A$2:$C$33,MATCH(Table1[[#This Row],[AwayTeam]],Standings!$A$2:$A$33,0),2)&lt;&gt;INDEX(Standings!$A$2:$C$33,MATCH(Table1[[#This Row],[HomeTeam]],Standings!$A$2:$A$33,0),2),1,0)</f>
        <v>0</v>
      </c>
      <c r="AN604" s="64" t="str">
        <f>INDEX(Table2[AWAY_RECORD], MATCH(Table1[[#This Row],[AwayTeam]],Table2[Team], 0), 0)</f>
        <v>0-0-0</v>
      </c>
      <c r="AO604" s="64" t="str">
        <f>INDEX(Records!$B$2:$AG$33, MATCH(Table1[[#This Row],[AwayTeam]],Records!$A$2:$A$33, 0), MATCH(Table1[[#This Row],[HomeTeam]],Records!$A$2:$A$33, 0))</f>
        <v>0-0-0</v>
      </c>
      <c r="AP604" s="64" t="str">
        <f>INDEX(Table2[HOME_RECORD], MATCH(Table1[[#This Row],[HomeTeam]],Table2[Team], 0), 0)</f>
        <v>0-0-0</v>
      </c>
      <c r="AQ604" s="64" t="str">
        <f>INDEX(Records!$B$2:$AG$33, MATCH(Table1[[#This Row],[HomeTeam]],Records!$A$2:$A$33, 0), MATCH(Table1[[#This Row],[AwayTeam]],Records!$A$2:$A$33, 0))</f>
        <v>0-0-0</v>
      </c>
    </row>
    <row r="605" spans="1:43" x14ac:dyDescent="0.25">
      <c r="A605" s="1"/>
      <c r="D605" t="s">
        <v>872</v>
      </c>
      <c r="E605" t="s">
        <v>162</v>
      </c>
      <c r="F605" t="s">
        <v>876</v>
      </c>
      <c r="G605" t="s">
        <v>24</v>
      </c>
      <c r="H605" t="s">
        <v>47</v>
      </c>
      <c r="L60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0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05" s="1"/>
      <c r="T605" s="64" t="str">
        <f>IF(Table1[[#This Row],[ActualWinner]]="", "", IF(Table1[[#This Row],[AwayTeam]]=Table1[[#This Row],[ActualWinner]],Table1[[#This Row],[HomeTeam]],Table1[[#This Row],[AwayTeam]]))</f>
        <v/>
      </c>
      <c r="U605" s="64">
        <f>Table1[[#This Row],[ActualAwayScore]]-Table1[[#This Row],[PredictedAwayScore]]</f>
        <v>0</v>
      </c>
      <c r="V605" s="64">
        <f>Table1[[#This Row],[ActualHomeScore]]-Table1[[#This Row],[PredictedHomeScore]]</f>
        <v>0</v>
      </c>
      <c r="W605" s="64">
        <f>(0.8*IF(Table1[[#This Row],[CorrectWinnerPrediction]]=1, 1, 0))+(0.1*IF(Table1[[#This Row],[CorrectAwayScorePrediction]]=1, 1, 0))+(0.1*IF(Table1[[#This Row],[CorrectHomeScorePrediction]]=1, 1, 0))</f>
        <v>0</v>
      </c>
      <c r="X60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05" s="64">
        <f>SUMIF(Table1[GameDate], Table1[[#This Row],[GameDate]], Table1[AwayGameGoalDiff])</f>
        <v>0</v>
      </c>
      <c r="AA605" s="64">
        <f>SUMIF(Table1[GameDate], Table1[[#This Row],[GameDate]], Table1[HomeGameGoalDiff])</f>
        <v>0</v>
      </c>
      <c r="AB605" s="64">
        <f>IF(ISBLANK(Table1[[#This Row],[ActualResult]]), 0, 1)</f>
        <v>0</v>
      </c>
      <c r="AC605" s="64">
        <f>IF(ISBLANK(Table1[[#This Row],[ActualResult]]), 0, IF(Table1[[#This Row],[ActualWinner]]=Table1[[#This Row],[PredictedWinner]], 1, 0))</f>
        <v>0</v>
      </c>
      <c r="AD60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0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05" s="64">
        <f>IF(AND(Table1[[#This Row],[GameIsOver]]=1,Table1[[#This Row],[ActualAwayScore]]=0), 1,0)</f>
        <v>0</v>
      </c>
      <c r="AG605" s="64">
        <f>IF(AND(Table1[[#This Row],[GameIsOver]]=1,Table1[[#This Row],[ActualHomeScore]]=0), 1,0)</f>
        <v>0</v>
      </c>
      <c r="AH605" s="64">
        <f>IF(Table1[[#This Row],[GameIsOver]]=0,0,IF(Table1[[#This Row],[ActualWinner]]=Table1[[#This Row],[AwayTeam]], 1, 0))</f>
        <v>0</v>
      </c>
      <c r="AI605" s="64">
        <f>IF(Table1[[#This Row],[GameIsOver]]=0,0,IF(Table1[[#This Row],[ActualWinner]]=Table1[[#This Row],[HomeTeam]], 1, 0))</f>
        <v>0</v>
      </c>
      <c r="AJ605" s="64">
        <f>IF(INDEX(Standings!$A$2:$C$33,MATCH(Table1[[#This Row],[AwayTeam]],Standings!$A$2:$A$33,0),2)=INDEX(Standings!$A$2:$C$33,MATCH(Table1[[#This Row],[HomeTeam]],Standings!$A$2:$A$33,0),2),1,0)</f>
        <v>1</v>
      </c>
      <c r="AK605" s="64">
        <f>IF(INDEX(Standings!$A$2:$C$33,MATCH(Table1[[#This Row],[AwayTeam]],Standings!$A$2:$A$33,0),3)=INDEX(Standings!$A$2:$C$33,MATCH(Table1[[#This Row],[HomeTeam]],Standings!$A$2:$A$33,0),3),1,0)</f>
        <v>1</v>
      </c>
      <c r="AL605" s="64">
        <f>IF(Table1[[#This Row],[InterConf]]=1,IF(Table1[[#This Row],[InterDiv]]=0, 1, 0), 0)</f>
        <v>0</v>
      </c>
      <c r="AM605" s="64">
        <f>IF(INDEX(Standings!$A$2:$C$33,MATCH(Table1[[#This Row],[AwayTeam]],Standings!$A$2:$A$33,0),2)&lt;&gt;INDEX(Standings!$A$2:$C$33,MATCH(Table1[[#This Row],[HomeTeam]],Standings!$A$2:$A$33,0),2),1,0)</f>
        <v>0</v>
      </c>
      <c r="AN605" s="64" t="str">
        <f>INDEX(Table2[AWAY_RECORD], MATCH(Table1[[#This Row],[AwayTeam]],Table2[Team], 0), 0)</f>
        <v>0-0-0</v>
      </c>
      <c r="AO605" s="64" t="str">
        <f>INDEX(Records!$B$2:$AG$33, MATCH(Table1[[#This Row],[AwayTeam]],Records!$A$2:$A$33, 0), MATCH(Table1[[#This Row],[HomeTeam]],Records!$A$2:$A$33, 0))</f>
        <v>0-1-0</v>
      </c>
      <c r="AP605" s="64" t="str">
        <f>INDEX(Table2[HOME_RECORD], MATCH(Table1[[#This Row],[HomeTeam]],Table2[Team], 0), 0)</f>
        <v>0-0-0</v>
      </c>
      <c r="AQ605" s="64" t="str">
        <f>INDEX(Records!$B$2:$AG$33, MATCH(Table1[[#This Row],[HomeTeam]],Records!$A$2:$A$33, 0), MATCH(Table1[[#This Row],[AwayTeam]],Records!$A$2:$A$33, 0))</f>
        <v>1-0-0</v>
      </c>
    </row>
    <row r="606" spans="1:43" x14ac:dyDescent="0.25">
      <c r="A606" s="1"/>
      <c r="D606" t="s">
        <v>872</v>
      </c>
      <c r="E606" t="s">
        <v>162</v>
      </c>
      <c r="F606" t="s">
        <v>877</v>
      </c>
      <c r="G606" t="s">
        <v>42</v>
      </c>
      <c r="H606" t="s">
        <v>59</v>
      </c>
      <c r="L60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0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06" s="1"/>
      <c r="T606" s="64" t="str">
        <f>IF(Table1[[#This Row],[ActualWinner]]="", "", IF(Table1[[#This Row],[AwayTeam]]=Table1[[#This Row],[ActualWinner]],Table1[[#This Row],[HomeTeam]],Table1[[#This Row],[AwayTeam]]))</f>
        <v/>
      </c>
      <c r="U606" s="64">
        <f>Table1[[#This Row],[ActualAwayScore]]-Table1[[#This Row],[PredictedAwayScore]]</f>
        <v>0</v>
      </c>
      <c r="V606" s="64">
        <f>Table1[[#This Row],[ActualHomeScore]]-Table1[[#This Row],[PredictedHomeScore]]</f>
        <v>0</v>
      </c>
      <c r="W606" s="64">
        <f>(0.8*IF(Table1[[#This Row],[CorrectWinnerPrediction]]=1, 1, 0))+(0.1*IF(Table1[[#This Row],[CorrectAwayScorePrediction]]=1, 1, 0))+(0.1*IF(Table1[[#This Row],[CorrectHomeScorePrediction]]=1, 1, 0))</f>
        <v>0</v>
      </c>
      <c r="X60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06" s="64">
        <f>SUMIF(Table1[GameDate], Table1[[#This Row],[GameDate]], Table1[AwayGameGoalDiff])</f>
        <v>0</v>
      </c>
      <c r="AA606" s="64">
        <f>SUMIF(Table1[GameDate], Table1[[#This Row],[GameDate]], Table1[HomeGameGoalDiff])</f>
        <v>0</v>
      </c>
      <c r="AB606" s="64">
        <f>IF(ISBLANK(Table1[[#This Row],[ActualResult]]), 0, 1)</f>
        <v>0</v>
      </c>
      <c r="AC606" s="64">
        <f>IF(ISBLANK(Table1[[#This Row],[ActualResult]]), 0, IF(Table1[[#This Row],[ActualWinner]]=Table1[[#This Row],[PredictedWinner]], 1, 0))</f>
        <v>0</v>
      </c>
      <c r="AD60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0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06" s="64">
        <f>IF(AND(Table1[[#This Row],[GameIsOver]]=1,Table1[[#This Row],[ActualAwayScore]]=0), 1,0)</f>
        <v>0</v>
      </c>
      <c r="AG606" s="64">
        <f>IF(AND(Table1[[#This Row],[GameIsOver]]=1,Table1[[#This Row],[ActualHomeScore]]=0), 1,0)</f>
        <v>0</v>
      </c>
      <c r="AH606" s="64">
        <f>IF(Table1[[#This Row],[GameIsOver]]=0,0,IF(Table1[[#This Row],[ActualWinner]]=Table1[[#This Row],[AwayTeam]], 1, 0))</f>
        <v>0</v>
      </c>
      <c r="AI606" s="64">
        <f>IF(Table1[[#This Row],[GameIsOver]]=0,0,IF(Table1[[#This Row],[ActualWinner]]=Table1[[#This Row],[HomeTeam]], 1, 0))</f>
        <v>0</v>
      </c>
      <c r="AJ606" s="64">
        <f>IF(INDEX(Standings!$A$2:$C$33,MATCH(Table1[[#This Row],[AwayTeam]],Standings!$A$2:$A$33,0),2)=INDEX(Standings!$A$2:$C$33,MATCH(Table1[[#This Row],[HomeTeam]],Standings!$A$2:$A$33,0),2),1,0)</f>
        <v>1</v>
      </c>
      <c r="AK606" s="64">
        <f>IF(INDEX(Standings!$A$2:$C$33,MATCH(Table1[[#This Row],[AwayTeam]],Standings!$A$2:$A$33,0),3)=INDEX(Standings!$A$2:$C$33,MATCH(Table1[[#This Row],[HomeTeam]],Standings!$A$2:$A$33,0),3),1,0)</f>
        <v>1</v>
      </c>
      <c r="AL606" s="64">
        <f>IF(Table1[[#This Row],[InterConf]]=1,IF(Table1[[#This Row],[InterDiv]]=0, 1, 0), 0)</f>
        <v>0</v>
      </c>
      <c r="AM606" s="64">
        <f>IF(INDEX(Standings!$A$2:$C$33,MATCH(Table1[[#This Row],[AwayTeam]],Standings!$A$2:$A$33,0),2)&lt;&gt;INDEX(Standings!$A$2:$C$33,MATCH(Table1[[#This Row],[HomeTeam]],Standings!$A$2:$A$33,0),2),1,0)</f>
        <v>0</v>
      </c>
      <c r="AN606" s="64" t="str">
        <f>INDEX(Table2[AWAY_RECORD], MATCH(Table1[[#This Row],[AwayTeam]],Table2[Team], 0), 0)</f>
        <v>0-0-0</v>
      </c>
      <c r="AO606" s="64" t="str">
        <f>INDEX(Records!$B$2:$AG$33, MATCH(Table1[[#This Row],[AwayTeam]],Records!$A$2:$A$33, 0), MATCH(Table1[[#This Row],[HomeTeam]],Records!$A$2:$A$33, 0))</f>
        <v>0-0-0</v>
      </c>
      <c r="AP606" s="64" t="str">
        <f>INDEX(Table2[HOME_RECORD], MATCH(Table1[[#This Row],[HomeTeam]],Table2[Team], 0), 0)</f>
        <v>0-0-0</v>
      </c>
      <c r="AQ606" s="64" t="str">
        <f>INDEX(Records!$B$2:$AG$33, MATCH(Table1[[#This Row],[HomeTeam]],Records!$A$2:$A$33, 0), MATCH(Table1[[#This Row],[AwayTeam]],Records!$A$2:$A$33, 0))</f>
        <v>0-0-0</v>
      </c>
    </row>
    <row r="607" spans="1:43" x14ac:dyDescent="0.25">
      <c r="A607" s="1"/>
      <c r="D607" t="s">
        <v>872</v>
      </c>
      <c r="E607" t="s">
        <v>162</v>
      </c>
      <c r="F607" t="s">
        <v>878</v>
      </c>
      <c r="G607" t="s">
        <v>54</v>
      </c>
      <c r="H607" t="s">
        <v>40</v>
      </c>
      <c r="L60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0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07" s="1"/>
      <c r="T607" s="64" t="str">
        <f>IF(Table1[[#This Row],[ActualWinner]]="", "", IF(Table1[[#This Row],[AwayTeam]]=Table1[[#This Row],[ActualWinner]],Table1[[#This Row],[HomeTeam]],Table1[[#This Row],[AwayTeam]]))</f>
        <v/>
      </c>
      <c r="U607" s="64">
        <f>Table1[[#This Row],[ActualAwayScore]]-Table1[[#This Row],[PredictedAwayScore]]</f>
        <v>0</v>
      </c>
      <c r="V607" s="64">
        <f>Table1[[#This Row],[ActualHomeScore]]-Table1[[#This Row],[PredictedHomeScore]]</f>
        <v>0</v>
      </c>
      <c r="W607" s="64">
        <f>(0.8*IF(Table1[[#This Row],[CorrectWinnerPrediction]]=1, 1, 0))+(0.1*IF(Table1[[#This Row],[CorrectAwayScorePrediction]]=1, 1, 0))+(0.1*IF(Table1[[#This Row],[CorrectHomeScorePrediction]]=1, 1, 0))</f>
        <v>0</v>
      </c>
      <c r="X60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07" s="64">
        <f>SUMIF(Table1[GameDate], Table1[[#This Row],[GameDate]], Table1[AwayGameGoalDiff])</f>
        <v>0</v>
      </c>
      <c r="AA607" s="64">
        <f>SUMIF(Table1[GameDate], Table1[[#This Row],[GameDate]], Table1[HomeGameGoalDiff])</f>
        <v>0</v>
      </c>
      <c r="AB607" s="64">
        <f>IF(ISBLANK(Table1[[#This Row],[ActualResult]]), 0, 1)</f>
        <v>0</v>
      </c>
      <c r="AC607" s="64">
        <f>IF(ISBLANK(Table1[[#This Row],[ActualResult]]), 0, IF(Table1[[#This Row],[ActualWinner]]=Table1[[#This Row],[PredictedWinner]], 1, 0))</f>
        <v>0</v>
      </c>
      <c r="AD60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0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07" s="64">
        <f>IF(AND(Table1[[#This Row],[GameIsOver]]=1,Table1[[#This Row],[ActualAwayScore]]=0), 1,0)</f>
        <v>0</v>
      </c>
      <c r="AG607" s="64">
        <f>IF(AND(Table1[[#This Row],[GameIsOver]]=1,Table1[[#This Row],[ActualHomeScore]]=0), 1,0)</f>
        <v>0</v>
      </c>
      <c r="AH607" s="64">
        <f>IF(Table1[[#This Row],[GameIsOver]]=0,0,IF(Table1[[#This Row],[ActualWinner]]=Table1[[#This Row],[AwayTeam]], 1, 0))</f>
        <v>0</v>
      </c>
      <c r="AI607" s="64">
        <f>IF(Table1[[#This Row],[GameIsOver]]=0,0,IF(Table1[[#This Row],[ActualWinner]]=Table1[[#This Row],[HomeTeam]], 1, 0))</f>
        <v>0</v>
      </c>
      <c r="AJ607" s="64">
        <f>IF(INDEX(Standings!$A$2:$C$33,MATCH(Table1[[#This Row],[AwayTeam]],Standings!$A$2:$A$33,0),2)=INDEX(Standings!$A$2:$C$33,MATCH(Table1[[#This Row],[HomeTeam]],Standings!$A$2:$A$33,0),2),1,0)</f>
        <v>1</v>
      </c>
      <c r="AK607" s="64">
        <f>IF(INDEX(Standings!$A$2:$C$33,MATCH(Table1[[#This Row],[AwayTeam]],Standings!$A$2:$A$33,0),3)=INDEX(Standings!$A$2:$C$33,MATCH(Table1[[#This Row],[HomeTeam]],Standings!$A$2:$A$33,0),3),1,0)</f>
        <v>1</v>
      </c>
      <c r="AL607" s="64">
        <f>IF(Table1[[#This Row],[InterConf]]=1,IF(Table1[[#This Row],[InterDiv]]=0, 1, 0), 0)</f>
        <v>0</v>
      </c>
      <c r="AM607" s="64">
        <f>IF(INDEX(Standings!$A$2:$C$33,MATCH(Table1[[#This Row],[AwayTeam]],Standings!$A$2:$A$33,0),2)&lt;&gt;INDEX(Standings!$A$2:$C$33,MATCH(Table1[[#This Row],[HomeTeam]],Standings!$A$2:$A$33,0),2),1,0)</f>
        <v>0</v>
      </c>
      <c r="AN607" s="64" t="str">
        <f>INDEX(Table2[AWAY_RECORD], MATCH(Table1[[#This Row],[AwayTeam]],Table2[Team], 0), 0)</f>
        <v>0-0-1</v>
      </c>
      <c r="AO607" s="64" t="str">
        <f>INDEX(Records!$B$2:$AG$33, MATCH(Table1[[#This Row],[AwayTeam]],Records!$A$2:$A$33, 0), MATCH(Table1[[#This Row],[HomeTeam]],Records!$A$2:$A$33, 0))</f>
        <v>0-0-0</v>
      </c>
      <c r="AP607" s="64" t="str">
        <f>INDEX(Table2[HOME_RECORD], MATCH(Table1[[#This Row],[HomeTeam]],Table2[Team], 0), 0)</f>
        <v>1-1-0</v>
      </c>
      <c r="AQ607" s="64" t="str">
        <f>INDEX(Records!$B$2:$AG$33, MATCH(Table1[[#This Row],[HomeTeam]],Records!$A$2:$A$33, 0), MATCH(Table1[[#This Row],[AwayTeam]],Records!$A$2:$A$33, 0))</f>
        <v>0-0-0</v>
      </c>
    </row>
    <row r="608" spans="1:43" x14ac:dyDescent="0.25">
      <c r="A608" s="1"/>
      <c r="D608" t="s">
        <v>872</v>
      </c>
      <c r="E608" t="s">
        <v>162</v>
      </c>
      <c r="F608" t="s">
        <v>879</v>
      </c>
      <c r="G608" t="s">
        <v>44</v>
      </c>
      <c r="H608" t="s">
        <v>48</v>
      </c>
      <c r="L60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0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08" s="1"/>
      <c r="T608" s="64" t="str">
        <f>IF(Table1[[#This Row],[ActualWinner]]="", "", IF(Table1[[#This Row],[AwayTeam]]=Table1[[#This Row],[ActualWinner]],Table1[[#This Row],[HomeTeam]],Table1[[#This Row],[AwayTeam]]))</f>
        <v/>
      </c>
      <c r="U608" s="64">
        <f>Table1[[#This Row],[ActualAwayScore]]-Table1[[#This Row],[PredictedAwayScore]]</f>
        <v>0</v>
      </c>
      <c r="V608" s="64">
        <f>Table1[[#This Row],[ActualHomeScore]]-Table1[[#This Row],[PredictedHomeScore]]</f>
        <v>0</v>
      </c>
      <c r="W608" s="64">
        <f>(0.8*IF(Table1[[#This Row],[CorrectWinnerPrediction]]=1, 1, 0))+(0.1*IF(Table1[[#This Row],[CorrectAwayScorePrediction]]=1, 1, 0))+(0.1*IF(Table1[[#This Row],[CorrectHomeScorePrediction]]=1, 1, 0))</f>
        <v>0</v>
      </c>
      <c r="X60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08" s="64">
        <f>SUMIF(Table1[GameDate], Table1[[#This Row],[GameDate]], Table1[AwayGameGoalDiff])</f>
        <v>0</v>
      </c>
      <c r="AA608" s="64">
        <f>SUMIF(Table1[GameDate], Table1[[#This Row],[GameDate]], Table1[HomeGameGoalDiff])</f>
        <v>0</v>
      </c>
      <c r="AB608" s="64">
        <f>IF(ISBLANK(Table1[[#This Row],[ActualResult]]), 0, 1)</f>
        <v>0</v>
      </c>
      <c r="AC608" s="64">
        <f>IF(ISBLANK(Table1[[#This Row],[ActualResult]]), 0, IF(Table1[[#This Row],[ActualWinner]]=Table1[[#This Row],[PredictedWinner]], 1, 0))</f>
        <v>0</v>
      </c>
      <c r="AD60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0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08" s="64">
        <f>IF(AND(Table1[[#This Row],[GameIsOver]]=1,Table1[[#This Row],[ActualAwayScore]]=0), 1,0)</f>
        <v>0</v>
      </c>
      <c r="AG608" s="64">
        <f>IF(AND(Table1[[#This Row],[GameIsOver]]=1,Table1[[#This Row],[ActualHomeScore]]=0), 1,0)</f>
        <v>0</v>
      </c>
      <c r="AH608" s="64">
        <f>IF(Table1[[#This Row],[GameIsOver]]=0,0,IF(Table1[[#This Row],[ActualWinner]]=Table1[[#This Row],[AwayTeam]], 1, 0))</f>
        <v>0</v>
      </c>
      <c r="AI608" s="64">
        <f>IF(Table1[[#This Row],[GameIsOver]]=0,0,IF(Table1[[#This Row],[ActualWinner]]=Table1[[#This Row],[HomeTeam]], 1, 0))</f>
        <v>0</v>
      </c>
      <c r="AJ608" s="64">
        <f>IF(INDEX(Standings!$A$2:$C$33,MATCH(Table1[[#This Row],[AwayTeam]],Standings!$A$2:$A$33,0),2)=INDEX(Standings!$A$2:$C$33,MATCH(Table1[[#This Row],[HomeTeam]],Standings!$A$2:$A$33,0),2),1,0)</f>
        <v>0</v>
      </c>
      <c r="AK608" s="64">
        <f>IF(INDEX(Standings!$A$2:$C$33,MATCH(Table1[[#This Row],[AwayTeam]],Standings!$A$2:$A$33,0),3)=INDEX(Standings!$A$2:$C$33,MATCH(Table1[[#This Row],[HomeTeam]],Standings!$A$2:$A$33,0),3),1,0)</f>
        <v>0</v>
      </c>
      <c r="AL608" s="64">
        <f>IF(Table1[[#This Row],[InterConf]]=1,IF(Table1[[#This Row],[InterDiv]]=0, 1, 0), 0)</f>
        <v>0</v>
      </c>
      <c r="AM608" s="64">
        <f>IF(INDEX(Standings!$A$2:$C$33,MATCH(Table1[[#This Row],[AwayTeam]],Standings!$A$2:$A$33,0),2)&lt;&gt;INDEX(Standings!$A$2:$C$33,MATCH(Table1[[#This Row],[HomeTeam]],Standings!$A$2:$A$33,0),2),1,0)</f>
        <v>1</v>
      </c>
      <c r="AN608" s="64" t="str">
        <f>INDEX(Table2[AWAY_RECORD], MATCH(Table1[[#This Row],[AwayTeam]],Table2[Team], 0), 0)</f>
        <v>0-0-0</v>
      </c>
      <c r="AO608" s="64" t="str">
        <f>INDEX(Records!$B$2:$AG$33, MATCH(Table1[[#This Row],[AwayTeam]],Records!$A$2:$A$33, 0), MATCH(Table1[[#This Row],[HomeTeam]],Records!$A$2:$A$33, 0))</f>
        <v>0-0-0</v>
      </c>
      <c r="AP608" s="64" t="str">
        <f>INDEX(Table2[HOME_RECORD], MATCH(Table1[[#This Row],[HomeTeam]],Table2[Team], 0), 0)</f>
        <v>1-0-0</v>
      </c>
      <c r="AQ608" s="64" t="str">
        <f>INDEX(Records!$B$2:$AG$33, MATCH(Table1[[#This Row],[HomeTeam]],Records!$A$2:$A$33, 0), MATCH(Table1[[#This Row],[AwayTeam]],Records!$A$2:$A$33, 0))</f>
        <v>0-0-0</v>
      </c>
    </row>
    <row r="609" spans="1:43" x14ac:dyDescent="0.25">
      <c r="A609" s="1"/>
      <c r="D609" t="s">
        <v>872</v>
      </c>
      <c r="E609" t="s">
        <v>162</v>
      </c>
      <c r="F609" t="s">
        <v>880</v>
      </c>
      <c r="G609" t="s">
        <v>60</v>
      </c>
      <c r="H609" t="s">
        <v>22</v>
      </c>
      <c r="L60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0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09" s="1"/>
      <c r="T609" s="64" t="str">
        <f>IF(Table1[[#This Row],[ActualWinner]]="", "", IF(Table1[[#This Row],[AwayTeam]]=Table1[[#This Row],[ActualWinner]],Table1[[#This Row],[HomeTeam]],Table1[[#This Row],[AwayTeam]]))</f>
        <v/>
      </c>
      <c r="U609" s="64">
        <f>Table1[[#This Row],[ActualAwayScore]]-Table1[[#This Row],[PredictedAwayScore]]</f>
        <v>0</v>
      </c>
      <c r="V609" s="64">
        <f>Table1[[#This Row],[ActualHomeScore]]-Table1[[#This Row],[PredictedHomeScore]]</f>
        <v>0</v>
      </c>
      <c r="W609" s="64">
        <f>(0.8*IF(Table1[[#This Row],[CorrectWinnerPrediction]]=1, 1, 0))+(0.1*IF(Table1[[#This Row],[CorrectAwayScorePrediction]]=1, 1, 0))+(0.1*IF(Table1[[#This Row],[CorrectHomeScorePrediction]]=1, 1, 0))</f>
        <v>0</v>
      </c>
      <c r="X60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09" s="64">
        <f>SUMIF(Table1[GameDate], Table1[[#This Row],[GameDate]], Table1[AwayGameGoalDiff])</f>
        <v>0</v>
      </c>
      <c r="AA609" s="64">
        <f>SUMIF(Table1[GameDate], Table1[[#This Row],[GameDate]], Table1[HomeGameGoalDiff])</f>
        <v>0</v>
      </c>
      <c r="AB609" s="64">
        <f>IF(ISBLANK(Table1[[#This Row],[ActualResult]]), 0, 1)</f>
        <v>0</v>
      </c>
      <c r="AC609" s="64">
        <f>IF(ISBLANK(Table1[[#This Row],[ActualResult]]), 0, IF(Table1[[#This Row],[ActualWinner]]=Table1[[#This Row],[PredictedWinner]], 1, 0))</f>
        <v>0</v>
      </c>
      <c r="AD60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0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09" s="64">
        <f>IF(AND(Table1[[#This Row],[GameIsOver]]=1,Table1[[#This Row],[ActualAwayScore]]=0), 1,0)</f>
        <v>0</v>
      </c>
      <c r="AG609" s="64">
        <f>IF(AND(Table1[[#This Row],[GameIsOver]]=1,Table1[[#This Row],[ActualHomeScore]]=0), 1,0)</f>
        <v>0</v>
      </c>
      <c r="AH609" s="64">
        <f>IF(Table1[[#This Row],[GameIsOver]]=0,0,IF(Table1[[#This Row],[ActualWinner]]=Table1[[#This Row],[AwayTeam]], 1, 0))</f>
        <v>0</v>
      </c>
      <c r="AI609" s="64">
        <f>IF(Table1[[#This Row],[GameIsOver]]=0,0,IF(Table1[[#This Row],[ActualWinner]]=Table1[[#This Row],[HomeTeam]], 1, 0))</f>
        <v>0</v>
      </c>
      <c r="AJ609" s="64">
        <f>IF(INDEX(Standings!$A$2:$C$33,MATCH(Table1[[#This Row],[AwayTeam]],Standings!$A$2:$A$33,0),2)=INDEX(Standings!$A$2:$C$33,MATCH(Table1[[#This Row],[HomeTeam]],Standings!$A$2:$A$33,0),2),1,0)</f>
        <v>1</v>
      </c>
      <c r="AK609" s="64">
        <f>IF(INDEX(Standings!$A$2:$C$33,MATCH(Table1[[#This Row],[AwayTeam]],Standings!$A$2:$A$33,0),3)=INDEX(Standings!$A$2:$C$33,MATCH(Table1[[#This Row],[HomeTeam]],Standings!$A$2:$A$33,0),3),1,0)</f>
        <v>1</v>
      </c>
      <c r="AL609" s="64">
        <f>IF(Table1[[#This Row],[InterConf]]=1,IF(Table1[[#This Row],[InterDiv]]=0, 1, 0), 0)</f>
        <v>0</v>
      </c>
      <c r="AM609" s="64">
        <f>IF(INDEX(Standings!$A$2:$C$33,MATCH(Table1[[#This Row],[AwayTeam]],Standings!$A$2:$A$33,0),2)&lt;&gt;INDEX(Standings!$A$2:$C$33,MATCH(Table1[[#This Row],[HomeTeam]],Standings!$A$2:$A$33,0),2),1,0)</f>
        <v>0</v>
      </c>
      <c r="AN609" s="64" t="str">
        <f>INDEX(Table2[AWAY_RECORD], MATCH(Table1[[#This Row],[AwayTeam]],Table2[Team], 0), 0)</f>
        <v>0-0-0</v>
      </c>
      <c r="AO609" s="64" t="str">
        <f>INDEX(Records!$B$2:$AG$33, MATCH(Table1[[#This Row],[AwayTeam]],Records!$A$2:$A$33, 0), MATCH(Table1[[#This Row],[HomeTeam]],Records!$A$2:$A$33, 0))</f>
        <v>0-0-0</v>
      </c>
      <c r="AP609" s="64" t="str">
        <f>INDEX(Table2[HOME_RECORD], MATCH(Table1[[#This Row],[HomeTeam]],Table2[Team], 0), 0)</f>
        <v>0-0-0</v>
      </c>
      <c r="AQ609" s="64" t="str">
        <f>INDEX(Records!$B$2:$AG$33, MATCH(Table1[[#This Row],[HomeTeam]],Records!$A$2:$A$33, 0), MATCH(Table1[[#This Row],[AwayTeam]],Records!$A$2:$A$33, 0))</f>
        <v>0-0-0</v>
      </c>
    </row>
    <row r="610" spans="1:43" x14ac:dyDescent="0.25">
      <c r="A610" s="1"/>
      <c r="D610" t="s">
        <v>881</v>
      </c>
      <c r="E610" t="s">
        <v>298</v>
      </c>
      <c r="F610" t="s">
        <v>882</v>
      </c>
      <c r="G610" t="s">
        <v>23</v>
      </c>
      <c r="H610" t="s">
        <v>39</v>
      </c>
      <c r="L61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1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10" s="1"/>
      <c r="T610" s="64" t="str">
        <f>IF(Table1[[#This Row],[ActualWinner]]="", "", IF(Table1[[#This Row],[AwayTeam]]=Table1[[#This Row],[ActualWinner]],Table1[[#This Row],[HomeTeam]],Table1[[#This Row],[AwayTeam]]))</f>
        <v/>
      </c>
      <c r="U610" s="64">
        <f>Table1[[#This Row],[ActualAwayScore]]-Table1[[#This Row],[PredictedAwayScore]]</f>
        <v>0</v>
      </c>
      <c r="V610" s="64">
        <f>Table1[[#This Row],[ActualHomeScore]]-Table1[[#This Row],[PredictedHomeScore]]</f>
        <v>0</v>
      </c>
      <c r="W610" s="64">
        <f>(0.8*IF(Table1[[#This Row],[CorrectWinnerPrediction]]=1, 1, 0))+(0.1*IF(Table1[[#This Row],[CorrectAwayScorePrediction]]=1, 1, 0))+(0.1*IF(Table1[[#This Row],[CorrectHomeScorePrediction]]=1, 1, 0))</f>
        <v>0</v>
      </c>
      <c r="X61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10" s="64">
        <f>SUMIF(Table1[GameDate], Table1[[#This Row],[GameDate]], Table1[AwayGameGoalDiff])</f>
        <v>0</v>
      </c>
      <c r="AA610" s="64">
        <f>SUMIF(Table1[GameDate], Table1[[#This Row],[GameDate]], Table1[HomeGameGoalDiff])</f>
        <v>0</v>
      </c>
      <c r="AB610" s="64">
        <f>IF(ISBLANK(Table1[[#This Row],[ActualResult]]), 0, 1)</f>
        <v>0</v>
      </c>
      <c r="AC610" s="64">
        <f>IF(ISBLANK(Table1[[#This Row],[ActualResult]]), 0, IF(Table1[[#This Row],[ActualWinner]]=Table1[[#This Row],[PredictedWinner]], 1, 0))</f>
        <v>0</v>
      </c>
      <c r="AD61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1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10" s="64">
        <f>IF(AND(Table1[[#This Row],[GameIsOver]]=1,Table1[[#This Row],[ActualAwayScore]]=0), 1,0)</f>
        <v>0</v>
      </c>
      <c r="AG610" s="64">
        <f>IF(AND(Table1[[#This Row],[GameIsOver]]=1,Table1[[#This Row],[ActualHomeScore]]=0), 1,0)</f>
        <v>0</v>
      </c>
      <c r="AH610" s="64">
        <f>IF(Table1[[#This Row],[GameIsOver]]=0,0,IF(Table1[[#This Row],[ActualWinner]]=Table1[[#This Row],[AwayTeam]], 1, 0))</f>
        <v>0</v>
      </c>
      <c r="AI610" s="64">
        <f>IF(Table1[[#This Row],[GameIsOver]]=0,0,IF(Table1[[#This Row],[ActualWinner]]=Table1[[#This Row],[HomeTeam]], 1, 0))</f>
        <v>0</v>
      </c>
      <c r="AJ610" s="64">
        <f>IF(INDEX(Standings!$A$2:$C$33,MATCH(Table1[[#This Row],[AwayTeam]],Standings!$A$2:$A$33,0),2)=INDEX(Standings!$A$2:$C$33,MATCH(Table1[[#This Row],[HomeTeam]],Standings!$A$2:$A$33,0),2),1,0)</f>
        <v>1</v>
      </c>
      <c r="AK610" s="64">
        <f>IF(INDEX(Standings!$A$2:$C$33,MATCH(Table1[[#This Row],[AwayTeam]],Standings!$A$2:$A$33,0),3)=INDEX(Standings!$A$2:$C$33,MATCH(Table1[[#This Row],[HomeTeam]],Standings!$A$2:$A$33,0),3),1,0)</f>
        <v>1</v>
      </c>
      <c r="AL610" s="64">
        <f>IF(Table1[[#This Row],[InterConf]]=1,IF(Table1[[#This Row],[InterDiv]]=0, 1, 0), 0)</f>
        <v>0</v>
      </c>
      <c r="AM610" s="64">
        <f>IF(INDEX(Standings!$A$2:$C$33,MATCH(Table1[[#This Row],[AwayTeam]],Standings!$A$2:$A$33,0),2)&lt;&gt;INDEX(Standings!$A$2:$C$33,MATCH(Table1[[#This Row],[HomeTeam]],Standings!$A$2:$A$33,0),2),1,0)</f>
        <v>0</v>
      </c>
      <c r="AN610" s="64" t="str">
        <f>INDEX(Table2[AWAY_RECORD], MATCH(Table1[[#This Row],[AwayTeam]],Table2[Team], 0), 0)</f>
        <v>0-0-1</v>
      </c>
      <c r="AO610" s="64" t="str">
        <f>INDEX(Records!$B$2:$AG$33, MATCH(Table1[[#This Row],[AwayTeam]],Records!$A$2:$A$33, 0), MATCH(Table1[[#This Row],[HomeTeam]],Records!$A$2:$A$33, 0))</f>
        <v>0-0-0</v>
      </c>
      <c r="AP610" s="64" t="str">
        <f>INDEX(Table2[HOME_RECORD], MATCH(Table1[[#This Row],[HomeTeam]],Table2[Team], 0), 0)</f>
        <v>0-1-0</v>
      </c>
      <c r="AQ610" s="64" t="str">
        <f>INDEX(Records!$B$2:$AG$33, MATCH(Table1[[#This Row],[HomeTeam]],Records!$A$2:$A$33, 0), MATCH(Table1[[#This Row],[AwayTeam]],Records!$A$2:$A$33, 0))</f>
        <v>0-0-0</v>
      </c>
    </row>
    <row r="611" spans="1:43" x14ac:dyDescent="0.25">
      <c r="A611" s="1"/>
      <c r="D611" t="s">
        <v>881</v>
      </c>
      <c r="E611" t="s">
        <v>298</v>
      </c>
      <c r="F611" t="s">
        <v>883</v>
      </c>
      <c r="G611" t="s">
        <v>58</v>
      </c>
      <c r="H611" t="s">
        <v>46</v>
      </c>
      <c r="L61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1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11" s="1"/>
      <c r="T611" s="64" t="str">
        <f>IF(Table1[[#This Row],[ActualWinner]]="", "", IF(Table1[[#This Row],[AwayTeam]]=Table1[[#This Row],[ActualWinner]],Table1[[#This Row],[HomeTeam]],Table1[[#This Row],[AwayTeam]]))</f>
        <v/>
      </c>
      <c r="U611" s="64">
        <f>Table1[[#This Row],[ActualAwayScore]]-Table1[[#This Row],[PredictedAwayScore]]</f>
        <v>0</v>
      </c>
      <c r="V611" s="64">
        <f>Table1[[#This Row],[ActualHomeScore]]-Table1[[#This Row],[PredictedHomeScore]]</f>
        <v>0</v>
      </c>
      <c r="W611" s="64">
        <f>(0.8*IF(Table1[[#This Row],[CorrectWinnerPrediction]]=1, 1, 0))+(0.1*IF(Table1[[#This Row],[CorrectAwayScorePrediction]]=1, 1, 0))+(0.1*IF(Table1[[#This Row],[CorrectHomeScorePrediction]]=1, 1, 0))</f>
        <v>0</v>
      </c>
      <c r="X61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11" s="64">
        <f>SUMIF(Table1[GameDate], Table1[[#This Row],[GameDate]], Table1[AwayGameGoalDiff])</f>
        <v>0</v>
      </c>
      <c r="AA611" s="64">
        <f>SUMIF(Table1[GameDate], Table1[[#This Row],[GameDate]], Table1[HomeGameGoalDiff])</f>
        <v>0</v>
      </c>
      <c r="AB611" s="64">
        <f>IF(ISBLANK(Table1[[#This Row],[ActualResult]]), 0, 1)</f>
        <v>0</v>
      </c>
      <c r="AC611" s="64">
        <f>IF(ISBLANK(Table1[[#This Row],[ActualResult]]), 0, IF(Table1[[#This Row],[ActualWinner]]=Table1[[#This Row],[PredictedWinner]], 1, 0))</f>
        <v>0</v>
      </c>
      <c r="AD61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1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11" s="64">
        <f>IF(AND(Table1[[#This Row],[GameIsOver]]=1,Table1[[#This Row],[ActualAwayScore]]=0), 1,0)</f>
        <v>0</v>
      </c>
      <c r="AG611" s="64">
        <f>IF(AND(Table1[[#This Row],[GameIsOver]]=1,Table1[[#This Row],[ActualHomeScore]]=0), 1,0)</f>
        <v>0</v>
      </c>
      <c r="AH611" s="64">
        <f>IF(Table1[[#This Row],[GameIsOver]]=0,0,IF(Table1[[#This Row],[ActualWinner]]=Table1[[#This Row],[AwayTeam]], 1, 0))</f>
        <v>0</v>
      </c>
      <c r="AI611" s="64">
        <f>IF(Table1[[#This Row],[GameIsOver]]=0,0,IF(Table1[[#This Row],[ActualWinner]]=Table1[[#This Row],[HomeTeam]], 1, 0))</f>
        <v>0</v>
      </c>
      <c r="AJ611" s="64">
        <f>IF(INDEX(Standings!$A$2:$C$33,MATCH(Table1[[#This Row],[AwayTeam]],Standings!$A$2:$A$33,0),2)=INDEX(Standings!$A$2:$C$33,MATCH(Table1[[#This Row],[HomeTeam]],Standings!$A$2:$A$33,0),2),1,0)</f>
        <v>1</v>
      </c>
      <c r="AK611" s="64">
        <f>IF(INDEX(Standings!$A$2:$C$33,MATCH(Table1[[#This Row],[AwayTeam]],Standings!$A$2:$A$33,0),3)=INDEX(Standings!$A$2:$C$33,MATCH(Table1[[#This Row],[HomeTeam]],Standings!$A$2:$A$33,0),3),1,0)</f>
        <v>0</v>
      </c>
      <c r="AL611" s="64">
        <f>IF(Table1[[#This Row],[InterConf]]=1,IF(Table1[[#This Row],[InterDiv]]=0, 1, 0), 0)</f>
        <v>1</v>
      </c>
      <c r="AM611" s="64">
        <f>IF(INDEX(Standings!$A$2:$C$33,MATCH(Table1[[#This Row],[AwayTeam]],Standings!$A$2:$A$33,0),2)&lt;&gt;INDEX(Standings!$A$2:$C$33,MATCH(Table1[[#This Row],[HomeTeam]],Standings!$A$2:$A$33,0),2),1,0)</f>
        <v>0</v>
      </c>
      <c r="AN611" s="64" t="str">
        <f>INDEX(Table2[AWAY_RECORD], MATCH(Table1[[#This Row],[AwayTeam]],Table2[Team], 0), 0)</f>
        <v>0-0-0</v>
      </c>
      <c r="AO611" s="64" t="str">
        <f>INDEX(Records!$B$2:$AG$33, MATCH(Table1[[#This Row],[AwayTeam]],Records!$A$2:$A$33, 0), MATCH(Table1[[#This Row],[HomeTeam]],Records!$A$2:$A$33, 0))</f>
        <v>0-0-0</v>
      </c>
      <c r="AP611" s="64" t="str">
        <f>INDEX(Table2[HOME_RECORD], MATCH(Table1[[#This Row],[HomeTeam]],Table2[Team], 0), 0)</f>
        <v>0-0-0</v>
      </c>
      <c r="AQ611" s="64" t="str">
        <f>INDEX(Records!$B$2:$AG$33, MATCH(Table1[[#This Row],[HomeTeam]],Records!$A$2:$A$33, 0), MATCH(Table1[[#This Row],[AwayTeam]],Records!$A$2:$A$33, 0))</f>
        <v>0-0-0</v>
      </c>
    </row>
    <row r="612" spans="1:43" x14ac:dyDescent="0.25">
      <c r="A612" s="1"/>
      <c r="D612" t="s">
        <v>881</v>
      </c>
      <c r="E612" t="s">
        <v>298</v>
      </c>
      <c r="F612" t="s">
        <v>884</v>
      </c>
      <c r="G612" t="s">
        <v>25</v>
      </c>
      <c r="H612" t="s">
        <v>55</v>
      </c>
      <c r="L61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1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12" s="1"/>
      <c r="T612" s="64" t="str">
        <f>IF(Table1[[#This Row],[ActualWinner]]="", "", IF(Table1[[#This Row],[AwayTeam]]=Table1[[#This Row],[ActualWinner]],Table1[[#This Row],[HomeTeam]],Table1[[#This Row],[AwayTeam]]))</f>
        <v/>
      </c>
      <c r="U612" s="64">
        <f>Table1[[#This Row],[ActualAwayScore]]-Table1[[#This Row],[PredictedAwayScore]]</f>
        <v>0</v>
      </c>
      <c r="V612" s="64">
        <f>Table1[[#This Row],[ActualHomeScore]]-Table1[[#This Row],[PredictedHomeScore]]</f>
        <v>0</v>
      </c>
      <c r="W612" s="64">
        <f>(0.8*IF(Table1[[#This Row],[CorrectWinnerPrediction]]=1, 1, 0))+(0.1*IF(Table1[[#This Row],[CorrectAwayScorePrediction]]=1, 1, 0))+(0.1*IF(Table1[[#This Row],[CorrectHomeScorePrediction]]=1, 1, 0))</f>
        <v>0</v>
      </c>
      <c r="X61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12" s="64">
        <f>SUMIF(Table1[GameDate], Table1[[#This Row],[GameDate]], Table1[AwayGameGoalDiff])</f>
        <v>0</v>
      </c>
      <c r="AA612" s="64">
        <f>SUMIF(Table1[GameDate], Table1[[#This Row],[GameDate]], Table1[HomeGameGoalDiff])</f>
        <v>0</v>
      </c>
      <c r="AB612" s="64">
        <f>IF(ISBLANK(Table1[[#This Row],[ActualResult]]), 0, 1)</f>
        <v>0</v>
      </c>
      <c r="AC612" s="64">
        <f>IF(ISBLANK(Table1[[#This Row],[ActualResult]]), 0, IF(Table1[[#This Row],[ActualWinner]]=Table1[[#This Row],[PredictedWinner]], 1, 0))</f>
        <v>0</v>
      </c>
      <c r="AD61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1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12" s="64">
        <f>IF(AND(Table1[[#This Row],[GameIsOver]]=1,Table1[[#This Row],[ActualAwayScore]]=0), 1,0)</f>
        <v>0</v>
      </c>
      <c r="AG612" s="64">
        <f>IF(AND(Table1[[#This Row],[GameIsOver]]=1,Table1[[#This Row],[ActualHomeScore]]=0), 1,0)</f>
        <v>0</v>
      </c>
      <c r="AH612" s="64">
        <f>IF(Table1[[#This Row],[GameIsOver]]=0,0,IF(Table1[[#This Row],[ActualWinner]]=Table1[[#This Row],[AwayTeam]], 1, 0))</f>
        <v>0</v>
      </c>
      <c r="AI612" s="64">
        <f>IF(Table1[[#This Row],[GameIsOver]]=0,0,IF(Table1[[#This Row],[ActualWinner]]=Table1[[#This Row],[HomeTeam]], 1, 0))</f>
        <v>0</v>
      </c>
      <c r="AJ612" s="64">
        <f>IF(INDEX(Standings!$A$2:$C$33,MATCH(Table1[[#This Row],[AwayTeam]],Standings!$A$2:$A$33,0),2)=INDEX(Standings!$A$2:$C$33,MATCH(Table1[[#This Row],[HomeTeam]],Standings!$A$2:$A$33,0),2),1,0)</f>
        <v>1</v>
      </c>
      <c r="AK612" s="64">
        <f>IF(INDEX(Standings!$A$2:$C$33,MATCH(Table1[[#This Row],[AwayTeam]],Standings!$A$2:$A$33,0),3)=INDEX(Standings!$A$2:$C$33,MATCH(Table1[[#This Row],[HomeTeam]],Standings!$A$2:$A$33,0),3),1,0)</f>
        <v>1</v>
      </c>
      <c r="AL612" s="64">
        <f>IF(Table1[[#This Row],[InterConf]]=1,IF(Table1[[#This Row],[InterDiv]]=0, 1, 0), 0)</f>
        <v>0</v>
      </c>
      <c r="AM612" s="64">
        <f>IF(INDEX(Standings!$A$2:$C$33,MATCH(Table1[[#This Row],[AwayTeam]],Standings!$A$2:$A$33,0),2)&lt;&gt;INDEX(Standings!$A$2:$C$33,MATCH(Table1[[#This Row],[HomeTeam]],Standings!$A$2:$A$33,0),2),1,0)</f>
        <v>0</v>
      </c>
      <c r="AN612" s="64" t="str">
        <f>INDEX(Table2[AWAY_RECORD], MATCH(Table1[[#This Row],[AwayTeam]],Table2[Team], 0), 0)</f>
        <v>0-0-0</v>
      </c>
      <c r="AO612" s="64" t="str">
        <f>INDEX(Records!$B$2:$AG$33, MATCH(Table1[[#This Row],[AwayTeam]],Records!$A$2:$A$33, 0), MATCH(Table1[[#This Row],[HomeTeam]],Records!$A$2:$A$33, 0))</f>
        <v>0-0-0</v>
      </c>
      <c r="AP612" s="64" t="str">
        <f>INDEX(Table2[HOME_RECORD], MATCH(Table1[[#This Row],[HomeTeam]],Table2[Team], 0), 0)</f>
        <v>0-1-0</v>
      </c>
      <c r="AQ612" s="64" t="str">
        <f>INDEX(Records!$B$2:$AG$33, MATCH(Table1[[#This Row],[HomeTeam]],Records!$A$2:$A$33, 0), MATCH(Table1[[#This Row],[AwayTeam]],Records!$A$2:$A$33, 0))</f>
        <v>0-0-0</v>
      </c>
    </row>
    <row r="613" spans="1:43" x14ac:dyDescent="0.25">
      <c r="A613" s="1"/>
      <c r="D613" t="s">
        <v>881</v>
      </c>
      <c r="E613" t="s">
        <v>252</v>
      </c>
      <c r="F613" t="s">
        <v>885</v>
      </c>
      <c r="G613" t="s">
        <v>53</v>
      </c>
      <c r="H613" t="s">
        <v>16</v>
      </c>
      <c r="L61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1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13" s="1"/>
      <c r="T613" s="64" t="str">
        <f>IF(Table1[[#This Row],[ActualWinner]]="", "", IF(Table1[[#This Row],[AwayTeam]]=Table1[[#This Row],[ActualWinner]],Table1[[#This Row],[HomeTeam]],Table1[[#This Row],[AwayTeam]]))</f>
        <v/>
      </c>
      <c r="U613" s="64">
        <f>Table1[[#This Row],[ActualAwayScore]]-Table1[[#This Row],[PredictedAwayScore]]</f>
        <v>0</v>
      </c>
      <c r="V613" s="64">
        <f>Table1[[#This Row],[ActualHomeScore]]-Table1[[#This Row],[PredictedHomeScore]]</f>
        <v>0</v>
      </c>
      <c r="W613" s="64">
        <f>(0.8*IF(Table1[[#This Row],[CorrectWinnerPrediction]]=1, 1, 0))+(0.1*IF(Table1[[#This Row],[CorrectAwayScorePrediction]]=1, 1, 0))+(0.1*IF(Table1[[#This Row],[CorrectHomeScorePrediction]]=1, 1, 0))</f>
        <v>0</v>
      </c>
      <c r="X61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13" s="64">
        <f>SUMIF(Table1[GameDate], Table1[[#This Row],[GameDate]], Table1[AwayGameGoalDiff])</f>
        <v>0</v>
      </c>
      <c r="AA613" s="64">
        <f>SUMIF(Table1[GameDate], Table1[[#This Row],[GameDate]], Table1[HomeGameGoalDiff])</f>
        <v>0</v>
      </c>
      <c r="AB613" s="64">
        <f>IF(ISBLANK(Table1[[#This Row],[ActualResult]]), 0, 1)</f>
        <v>0</v>
      </c>
      <c r="AC613" s="64">
        <f>IF(ISBLANK(Table1[[#This Row],[ActualResult]]), 0, IF(Table1[[#This Row],[ActualWinner]]=Table1[[#This Row],[PredictedWinner]], 1, 0))</f>
        <v>0</v>
      </c>
      <c r="AD61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1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13" s="64">
        <f>IF(AND(Table1[[#This Row],[GameIsOver]]=1,Table1[[#This Row],[ActualAwayScore]]=0), 1,0)</f>
        <v>0</v>
      </c>
      <c r="AG613" s="64">
        <f>IF(AND(Table1[[#This Row],[GameIsOver]]=1,Table1[[#This Row],[ActualHomeScore]]=0), 1,0)</f>
        <v>0</v>
      </c>
      <c r="AH613" s="64">
        <f>IF(Table1[[#This Row],[GameIsOver]]=0,0,IF(Table1[[#This Row],[ActualWinner]]=Table1[[#This Row],[AwayTeam]], 1, 0))</f>
        <v>0</v>
      </c>
      <c r="AI613" s="64">
        <f>IF(Table1[[#This Row],[GameIsOver]]=0,0,IF(Table1[[#This Row],[ActualWinner]]=Table1[[#This Row],[HomeTeam]], 1, 0))</f>
        <v>0</v>
      </c>
      <c r="AJ613" s="64">
        <f>IF(INDEX(Standings!$A$2:$C$33,MATCH(Table1[[#This Row],[AwayTeam]],Standings!$A$2:$A$33,0),2)=INDEX(Standings!$A$2:$C$33,MATCH(Table1[[#This Row],[HomeTeam]],Standings!$A$2:$A$33,0),2),1,0)</f>
        <v>0</v>
      </c>
      <c r="AK613" s="64">
        <f>IF(INDEX(Standings!$A$2:$C$33,MATCH(Table1[[#This Row],[AwayTeam]],Standings!$A$2:$A$33,0),3)=INDEX(Standings!$A$2:$C$33,MATCH(Table1[[#This Row],[HomeTeam]],Standings!$A$2:$A$33,0),3),1,0)</f>
        <v>0</v>
      </c>
      <c r="AL613" s="64">
        <f>IF(Table1[[#This Row],[InterConf]]=1,IF(Table1[[#This Row],[InterDiv]]=0, 1, 0), 0)</f>
        <v>0</v>
      </c>
      <c r="AM613" s="64">
        <f>IF(INDEX(Standings!$A$2:$C$33,MATCH(Table1[[#This Row],[AwayTeam]],Standings!$A$2:$A$33,0),2)&lt;&gt;INDEX(Standings!$A$2:$C$33,MATCH(Table1[[#This Row],[HomeTeam]],Standings!$A$2:$A$33,0),2),1,0)</f>
        <v>1</v>
      </c>
      <c r="AN613" s="64" t="str">
        <f>INDEX(Table2[AWAY_RECORD], MATCH(Table1[[#This Row],[AwayTeam]],Table2[Team], 0), 0)</f>
        <v>0-1-0</v>
      </c>
      <c r="AO613" s="64" t="str">
        <f>INDEX(Records!$B$2:$AG$33, MATCH(Table1[[#This Row],[AwayTeam]],Records!$A$2:$A$33, 0), MATCH(Table1[[#This Row],[HomeTeam]],Records!$A$2:$A$33, 0))</f>
        <v>0-0-0</v>
      </c>
      <c r="AP613" s="64" t="str">
        <f>INDEX(Table2[HOME_RECORD], MATCH(Table1[[#This Row],[HomeTeam]],Table2[Team], 0), 0)</f>
        <v>0-0-0</v>
      </c>
      <c r="AQ613" s="64" t="str">
        <f>INDEX(Records!$B$2:$AG$33, MATCH(Table1[[#This Row],[HomeTeam]],Records!$A$2:$A$33, 0), MATCH(Table1[[#This Row],[AwayTeam]],Records!$A$2:$A$33, 0))</f>
        <v>0-0-0</v>
      </c>
    </row>
    <row r="614" spans="1:43" x14ac:dyDescent="0.25">
      <c r="A614" s="1"/>
      <c r="D614" t="s">
        <v>881</v>
      </c>
      <c r="E614" t="s">
        <v>207</v>
      </c>
      <c r="F614" t="s">
        <v>886</v>
      </c>
      <c r="G614" t="s">
        <v>45</v>
      </c>
      <c r="H614" t="s">
        <v>42</v>
      </c>
      <c r="L61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1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14" s="1"/>
      <c r="T614" s="64" t="str">
        <f>IF(Table1[[#This Row],[ActualWinner]]="", "", IF(Table1[[#This Row],[AwayTeam]]=Table1[[#This Row],[ActualWinner]],Table1[[#This Row],[HomeTeam]],Table1[[#This Row],[AwayTeam]]))</f>
        <v/>
      </c>
      <c r="U614" s="64">
        <f>Table1[[#This Row],[ActualAwayScore]]-Table1[[#This Row],[PredictedAwayScore]]</f>
        <v>0</v>
      </c>
      <c r="V614" s="64">
        <f>Table1[[#This Row],[ActualHomeScore]]-Table1[[#This Row],[PredictedHomeScore]]</f>
        <v>0</v>
      </c>
      <c r="W614" s="64">
        <f>(0.8*IF(Table1[[#This Row],[CorrectWinnerPrediction]]=1, 1, 0))+(0.1*IF(Table1[[#This Row],[CorrectAwayScorePrediction]]=1, 1, 0))+(0.1*IF(Table1[[#This Row],[CorrectHomeScorePrediction]]=1, 1, 0))</f>
        <v>0</v>
      </c>
      <c r="X61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14" s="64">
        <f>SUMIF(Table1[GameDate], Table1[[#This Row],[GameDate]], Table1[AwayGameGoalDiff])</f>
        <v>0</v>
      </c>
      <c r="AA614" s="64">
        <f>SUMIF(Table1[GameDate], Table1[[#This Row],[GameDate]], Table1[HomeGameGoalDiff])</f>
        <v>0</v>
      </c>
      <c r="AB614" s="64">
        <f>IF(ISBLANK(Table1[[#This Row],[ActualResult]]), 0, 1)</f>
        <v>0</v>
      </c>
      <c r="AC614" s="64">
        <f>IF(ISBLANK(Table1[[#This Row],[ActualResult]]), 0, IF(Table1[[#This Row],[ActualWinner]]=Table1[[#This Row],[PredictedWinner]], 1, 0))</f>
        <v>0</v>
      </c>
      <c r="AD61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1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14" s="64">
        <f>IF(AND(Table1[[#This Row],[GameIsOver]]=1,Table1[[#This Row],[ActualAwayScore]]=0), 1,0)</f>
        <v>0</v>
      </c>
      <c r="AG614" s="64">
        <f>IF(AND(Table1[[#This Row],[GameIsOver]]=1,Table1[[#This Row],[ActualHomeScore]]=0), 1,0)</f>
        <v>0</v>
      </c>
      <c r="AH614" s="64">
        <f>IF(Table1[[#This Row],[GameIsOver]]=0,0,IF(Table1[[#This Row],[ActualWinner]]=Table1[[#This Row],[AwayTeam]], 1, 0))</f>
        <v>0</v>
      </c>
      <c r="AI614" s="64">
        <f>IF(Table1[[#This Row],[GameIsOver]]=0,0,IF(Table1[[#This Row],[ActualWinner]]=Table1[[#This Row],[HomeTeam]], 1, 0))</f>
        <v>0</v>
      </c>
      <c r="AJ614" s="64">
        <f>IF(INDEX(Standings!$A$2:$C$33,MATCH(Table1[[#This Row],[AwayTeam]],Standings!$A$2:$A$33,0),2)=INDEX(Standings!$A$2:$C$33,MATCH(Table1[[#This Row],[HomeTeam]],Standings!$A$2:$A$33,0),2),1,0)</f>
        <v>0</v>
      </c>
      <c r="AK614" s="64">
        <f>IF(INDEX(Standings!$A$2:$C$33,MATCH(Table1[[#This Row],[AwayTeam]],Standings!$A$2:$A$33,0),3)=INDEX(Standings!$A$2:$C$33,MATCH(Table1[[#This Row],[HomeTeam]],Standings!$A$2:$A$33,0),3),1,0)</f>
        <v>0</v>
      </c>
      <c r="AL614" s="64">
        <f>IF(Table1[[#This Row],[InterConf]]=1,IF(Table1[[#This Row],[InterDiv]]=0, 1, 0), 0)</f>
        <v>0</v>
      </c>
      <c r="AM614" s="64">
        <f>IF(INDEX(Standings!$A$2:$C$33,MATCH(Table1[[#This Row],[AwayTeam]],Standings!$A$2:$A$33,0),2)&lt;&gt;INDEX(Standings!$A$2:$C$33,MATCH(Table1[[#This Row],[HomeTeam]],Standings!$A$2:$A$33,0),2),1,0)</f>
        <v>1</v>
      </c>
      <c r="AN614" s="64" t="str">
        <f>INDEX(Table2[AWAY_RECORD], MATCH(Table1[[#This Row],[AwayTeam]],Table2[Team], 0), 0)</f>
        <v>1-0-0</v>
      </c>
      <c r="AO614" s="64" t="str">
        <f>INDEX(Records!$B$2:$AG$33, MATCH(Table1[[#This Row],[AwayTeam]],Records!$A$2:$A$33, 0), MATCH(Table1[[#This Row],[HomeTeam]],Records!$A$2:$A$33, 0))</f>
        <v>0-0-0</v>
      </c>
      <c r="AP614" s="64" t="str">
        <f>INDEX(Table2[HOME_RECORD], MATCH(Table1[[#This Row],[HomeTeam]],Table2[Team], 0), 0)</f>
        <v>1-0-0</v>
      </c>
      <c r="AQ614" s="64" t="str">
        <f>INDEX(Records!$B$2:$AG$33, MATCH(Table1[[#This Row],[HomeTeam]],Records!$A$2:$A$33, 0), MATCH(Table1[[#This Row],[AwayTeam]],Records!$A$2:$A$33, 0))</f>
        <v>0-0-0</v>
      </c>
    </row>
    <row r="615" spans="1:43" x14ac:dyDescent="0.25">
      <c r="A615" s="1"/>
      <c r="D615" t="s">
        <v>881</v>
      </c>
      <c r="E615" t="s">
        <v>207</v>
      </c>
      <c r="F615" t="s">
        <v>887</v>
      </c>
      <c r="G615" t="s">
        <v>51</v>
      </c>
      <c r="H615" t="s">
        <v>61</v>
      </c>
      <c r="L61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1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15" s="1"/>
      <c r="T615" s="64" t="str">
        <f>IF(Table1[[#This Row],[ActualWinner]]="", "", IF(Table1[[#This Row],[AwayTeam]]=Table1[[#This Row],[ActualWinner]],Table1[[#This Row],[HomeTeam]],Table1[[#This Row],[AwayTeam]]))</f>
        <v/>
      </c>
      <c r="U615" s="64">
        <f>Table1[[#This Row],[ActualAwayScore]]-Table1[[#This Row],[PredictedAwayScore]]</f>
        <v>0</v>
      </c>
      <c r="V615" s="64">
        <f>Table1[[#This Row],[ActualHomeScore]]-Table1[[#This Row],[PredictedHomeScore]]</f>
        <v>0</v>
      </c>
      <c r="W615" s="64">
        <f>(0.8*IF(Table1[[#This Row],[CorrectWinnerPrediction]]=1, 1, 0))+(0.1*IF(Table1[[#This Row],[CorrectAwayScorePrediction]]=1, 1, 0))+(0.1*IF(Table1[[#This Row],[CorrectHomeScorePrediction]]=1, 1, 0))</f>
        <v>0</v>
      </c>
      <c r="X61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15" s="64">
        <f>SUMIF(Table1[GameDate], Table1[[#This Row],[GameDate]], Table1[AwayGameGoalDiff])</f>
        <v>0</v>
      </c>
      <c r="AA615" s="64">
        <f>SUMIF(Table1[GameDate], Table1[[#This Row],[GameDate]], Table1[HomeGameGoalDiff])</f>
        <v>0</v>
      </c>
      <c r="AB615" s="64">
        <f>IF(ISBLANK(Table1[[#This Row],[ActualResult]]), 0, 1)</f>
        <v>0</v>
      </c>
      <c r="AC615" s="64">
        <f>IF(ISBLANK(Table1[[#This Row],[ActualResult]]), 0, IF(Table1[[#This Row],[ActualWinner]]=Table1[[#This Row],[PredictedWinner]], 1, 0))</f>
        <v>0</v>
      </c>
      <c r="AD61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1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15" s="64">
        <f>IF(AND(Table1[[#This Row],[GameIsOver]]=1,Table1[[#This Row],[ActualAwayScore]]=0), 1,0)</f>
        <v>0</v>
      </c>
      <c r="AG615" s="64">
        <f>IF(AND(Table1[[#This Row],[GameIsOver]]=1,Table1[[#This Row],[ActualHomeScore]]=0), 1,0)</f>
        <v>0</v>
      </c>
      <c r="AH615" s="64">
        <f>IF(Table1[[#This Row],[GameIsOver]]=0,0,IF(Table1[[#This Row],[ActualWinner]]=Table1[[#This Row],[AwayTeam]], 1, 0))</f>
        <v>0</v>
      </c>
      <c r="AI615" s="64">
        <f>IF(Table1[[#This Row],[GameIsOver]]=0,0,IF(Table1[[#This Row],[ActualWinner]]=Table1[[#This Row],[HomeTeam]], 1, 0))</f>
        <v>0</v>
      </c>
      <c r="AJ615" s="64">
        <f>IF(INDEX(Standings!$A$2:$C$33,MATCH(Table1[[#This Row],[AwayTeam]],Standings!$A$2:$A$33,0),2)=INDEX(Standings!$A$2:$C$33,MATCH(Table1[[#This Row],[HomeTeam]],Standings!$A$2:$A$33,0),2),1,0)</f>
        <v>0</v>
      </c>
      <c r="AK615" s="64">
        <f>IF(INDEX(Standings!$A$2:$C$33,MATCH(Table1[[#This Row],[AwayTeam]],Standings!$A$2:$A$33,0),3)=INDEX(Standings!$A$2:$C$33,MATCH(Table1[[#This Row],[HomeTeam]],Standings!$A$2:$A$33,0),3),1,0)</f>
        <v>0</v>
      </c>
      <c r="AL615" s="64">
        <f>IF(Table1[[#This Row],[InterConf]]=1,IF(Table1[[#This Row],[InterDiv]]=0, 1, 0), 0)</f>
        <v>0</v>
      </c>
      <c r="AM615" s="64">
        <f>IF(INDEX(Standings!$A$2:$C$33,MATCH(Table1[[#This Row],[AwayTeam]],Standings!$A$2:$A$33,0),2)&lt;&gt;INDEX(Standings!$A$2:$C$33,MATCH(Table1[[#This Row],[HomeTeam]],Standings!$A$2:$A$33,0),2),1,0)</f>
        <v>1</v>
      </c>
      <c r="AN615" s="64" t="str">
        <f>INDEX(Table2[AWAY_RECORD], MATCH(Table1[[#This Row],[AwayTeam]],Table2[Team], 0), 0)</f>
        <v>2-0-0</v>
      </c>
      <c r="AO615" s="64" t="str">
        <f>INDEX(Records!$B$2:$AG$33, MATCH(Table1[[#This Row],[AwayTeam]],Records!$A$2:$A$33, 0), MATCH(Table1[[#This Row],[HomeTeam]],Records!$A$2:$A$33, 0))</f>
        <v>0-0-0</v>
      </c>
      <c r="AP615" s="64" t="str">
        <f>INDEX(Table2[HOME_RECORD], MATCH(Table1[[#This Row],[HomeTeam]],Table2[Team], 0), 0)</f>
        <v>0-0-0</v>
      </c>
      <c r="AQ615" s="64" t="str">
        <f>INDEX(Records!$B$2:$AG$33, MATCH(Table1[[#This Row],[HomeTeam]],Records!$A$2:$A$33, 0), MATCH(Table1[[#This Row],[AwayTeam]],Records!$A$2:$A$33, 0))</f>
        <v>0-0-0</v>
      </c>
    </row>
    <row r="616" spans="1:43" x14ac:dyDescent="0.25">
      <c r="A616" s="1"/>
      <c r="D616" t="s">
        <v>881</v>
      </c>
      <c r="E616" t="s">
        <v>162</v>
      </c>
      <c r="F616" t="s">
        <v>888</v>
      </c>
      <c r="G616" t="s">
        <v>43</v>
      </c>
      <c r="H616" t="s">
        <v>47</v>
      </c>
      <c r="L61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1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16" s="1"/>
      <c r="T616" s="64" t="str">
        <f>IF(Table1[[#This Row],[ActualWinner]]="", "", IF(Table1[[#This Row],[AwayTeam]]=Table1[[#This Row],[ActualWinner]],Table1[[#This Row],[HomeTeam]],Table1[[#This Row],[AwayTeam]]))</f>
        <v/>
      </c>
      <c r="U616" s="64">
        <f>Table1[[#This Row],[ActualAwayScore]]-Table1[[#This Row],[PredictedAwayScore]]</f>
        <v>0</v>
      </c>
      <c r="V616" s="64">
        <f>Table1[[#This Row],[ActualHomeScore]]-Table1[[#This Row],[PredictedHomeScore]]</f>
        <v>0</v>
      </c>
      <c r="W616" s="64">
        <f>(0.8*IF(Table1[[#This Row],[CorrectWinnerPrediction]]=1, 1, 0))+(0.1*IF(Table1[[#This Row],[CorrectAwayScorePrediction]]=1, 1, 0))+(0.1*IF(Table1[[#This Row],[CorrectHomeScorePrediction]]=1, 1, 0))</f>
        <v>0</v>
      </c>
      <c r="X61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16" s="64">
        <f>SUMIF(Table1[GameDate], Table1[[#This Row],[GameDate]], Table1[AwayGameGoalDiff])</f>
        <v>0</v>
      </c>
      <c r="AA616" s="64">
        <f>SUMIF(Table1[GameDate], Table1[[#This Row],[GameDate]], Table1[HomeGameGoalDiff])</f>
        <v>0</v>
      </c>
      <c r="AB616" s="64">
        <f>IF(ISBLANK(Table1[[#This Row],[ActualResult]]), 0, 1)</f>
        <v>0</v>
      </c>
      <c r="AC616" s="64">
        <f>IF(ISBLANK(Table1[[#This Row],[ActualResult]]), 0, IF(Table1[[#This Row],[ActualWinner]]=Table1[[#This Row],[PredictedWinner]], 1, 0))</f>
        <v>0</v>
      </c>
      <c r="AD61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1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16" s="64">
        <f>IF(AND(Table1[[#This Row],[GameIsOver]]=1,Table1[[#This Row],[ActualAwayScore]]=0), 1,0)</f>
        <v>0</v>
      </c>
      <c r="AG616" s="64">
        <f>IF(AND(Table1[[#This Row],[GameIsOver]]=1,Table1[[#This Row],[ActualHomeScore]]=0), 1,0)</f>
        <v>0</v>
      </c>
      <c r="AH616" s="64">
        <f>IF(Table1[[#This Row],[GameIsOver]]=0,0,IF(Table1[[#This Row],[ActualWinner]]=Table1[[#This Row],[AwayTeam]], 1, 0))</f>
        <v>0</v>
      </c>
      <c r="AI616" s="64">
        <f>IF(Table1[[#This Row],[GameIsOver]]=0,0,IF(Table1[[#This Row],[ActualWinner]]=Table1[[#This Row],[HomeTeam]], 1, 0))</f>
        <v>0</v>
      </c>
      <c r="AJ616" s="64">
        <f>IF(INDEX(Standings!$A$2:$C$33,MATCH(Table1[[#This Row],[AwayTeam]],Standings!$A$2:$A$33,0),2)=INDEX(Standings!$A$2:$C$33,MATCH(Table1[[#This Row],[HomeTeam]],Standings!$A$2:$A$33,0),2),1,0)</f>
        <v>0</v>
      </c>
      <c r="AK616" s="64">
        <f>IF(INDEX(Standings!$A$2:$C$33,MATCH(Table1[[#This Row],[AwayTeam]],Standings!$A$2:$A$33,0),3)=INDEX(Standings!$A$2:$C$33,MATCH(Table1[[#This Row],[HomeTeam]],Standings!$A$2:$A$33,0),3),1,0)</f>
        <v>0</v>
      </c>
      <c r="AL616" s="64">
        <f>IF(Table1[[#This Row],[InterConf]]=1,IF(Table1[[#This Row],[InterDiv]]=0, 1, 0), 0)</f>
        <v>0</v>
      </c>
      <c r="AM616" s="64">
        <f>IF(INDEX(Standings!$A$2:$C$33,MATCH(Table1[[#This Row],[AwayTeam]],Standings!$A$2:$A$33,0),2)&lt;&gt;INDEX(Standings!$A$2:$C$33,MATCH(Table1[[#This Row],[HomeTeam]],Standings!$A$2:$A$33,0),2),1,0)</f>
        <v>1</v>
      </c>
      <c r="AN616" s="64" t="str">
        <f>INDEX(Table2[AWAY_RECORD], MATCH(Table1[[#This Row],[AwayTeam]],Table2[Team], 0), 0)</f>
        <v>0-0-0</v>
      </c>
      <c r="AO616" s="64" t="str">
        <f>INDEX(Records!$B$2:$AG$33, MATCH(Table1[[#This Row],[AwayTeam]],Records!$A$2:$A$33, 0), MATCH(Table1[[#This Row],[HomeTeam]],Records!$A$2:$A$33, 0))</f>
        <v>0-0-0</v>
      </c>
      <c r="AP616" s="64" t="str">
        <f>INDEX(Table2[HOME_RECORD], MATCH(Table1[[#This Row],[HomeTeam]],Table2[Team], 0), 0)</f>
        <v>0-0-0</v>
      </c>
      <c r="AQ616" s="64" t="str">
        <f>INDEX(Records!$B$2:$AG$33, MATCH(Table1[[#This Row],[HomeTeam]],Records!$A$2:$A$33, 0), MATCH(Table1[[#This Row],[AwayTeam]],Records!$A$2:$A$33, 0))</f>
        <v>0-0-0</v>
      </c>
    </row>
    <row r="617" spans="1:43" x14ac:dyDescent="0.25">
      <c r="A617" s="1"/>
      <c r="D617" t="s">
        <v>881</v>
      </c>
      <c r="E617" t="s">
        <v>162</v>
      </c>
      <c r="F617" t="s">
        <v>889</v>
      </c>
      <c r="G617" t="s">
        <v>37</v>
      </c>
      <c r="H617" t="s">
        <v>49</v>
      </c>
      <c r="L61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1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17" s="1"/>
      <c r="T617" s="64" t="str">
        <f>IF(Table1[[#This Row],[ActualWinner]]="", "", IF(Table1[[#This Row],[AwayTeam]]=Table1[[#This Row],[ActualWinner]],Table1[[#This Row],[HomeTeam]],Table1[[#This Row],[AwayTeam]]))</f>
        <v/>
      </c>
      <c r="U617" s="64">
        <f>Table1[[#This Row],[ActualAwayScore]]-Table1[[#This Row],[PredictedAwayScore]]</f>
        <v>0</v>
      </c>
      <c r="V617" s="64">
        <f>Table1[[#This Row],[ActualHomeScore]]-Table1[[#This Row],[PredictedHomeScore]]</f>
        <v>0</v>
      </c>
      <c r="W617" s="64">
        <f>(0.8*IF(Table1[[#This Row],[CorrectWinnerPrediction]]=1, 1, 0))+(0.1*IF(Table1[[#This Row],[CorrectAwayScorePrediction]]=1, 1, 0))+(0.1*IF(Table1[[#This Row],[CorrectHomeScorePrediction]]=1, 1, 0))</f>
        <v>0</v>
      </c>
      <c r="X61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17" s="64">
        <f>SUMIF(Table1[GameDate], Table1[[#This Row],[GameDate]], Table1[AwayGameGoalDiff])</f>
        <v>0</v>
      </c>
      <c r="AA617" s="64">
        <f>SUMIF(Table1[GameDate], Table1[[#This Row],[GameDate]], Table1[HomeGameGoalDiff])</f>
        <v>0</v>
      </c>
      <c r="AB617" s="64">
        <f>IF(ISBLANK(Table1[[#This Row],[ActualResult]]), 0, 1)</f>
        <v>0</v>
      </c>
      <c r="AC617" s="64">
        <f>IF(ISBLANK(Table1[[#This Row],[ActualResult]]), 0, IF(Table1[[#This Row],[ActualWinner]]=Table1[[#This Row],[PredictedWinner]], 1, 0))</f>
        <v>0</v>
      </c>
      <c r="AD61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1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17" s="64">
        <f>IF(AND(Table1[[#This Row],[GameIsOver]]=1,Table1[[#This Row],[ActualAwayScore]]=0), 1,0)</f>
        <v>0</v>
      </c>
      <c r="AG617" s="64">
        <f>IF(AND(Table1[[#This Row],[GameIsOver]]=1,Table1[[#This Row],[ActualHomeScore]]=0), 1,0)</f>
        <v>0</v>
      </c>
      <c r="AH617" s="64">
        <f>IF(Table1[[#This Row],[GameIsOver]]=0,0,IF(Table1[[#This Row],[ActualWinner]]=Table1[[#This Row],[AwayTeam]], 1, 0))</f>
        <v>0</v>
      </c>
      <c r="AI617" s="64">
        <f>IF(Table1[[#This Row],[GameIsOver]]=0,0,IF(Table1[[#This Row],[ActualWinner]]=Table1[[#This Row],[HomeTeam]], 1, 0))</f>
        <v>0</v>
      </c>
      <c r="AJ617" s="64">
        <f>IF(INDEX(Standings!$A$2:$C$33,MATCH(Table1[[#This Row],[AwayTeam]],Standings!$A$2:$A$33,0),2)=INDEX(Standings!$A$2:$C$33,MATCH(Table1[[#This Row],[HomeTeam]],Standings!$A$2:$A$33,0),2),1,0)</f>
        <v>1</v>
      </c>
      <c r="AK617" s="64">
        <f>IF(INDEX(Standings!$A$2:$C$33,MATCH(Table1[[#This Row],[AwayTeam]],Standings!$A$2:$A$33,0),3)=INDEX(Standings!$A$2:$C$33,MATCH(Table1[[#This Row],[HomeTeam]],Standings!$A$2:$A$33,0),3),1,0)</f>
        <v>0</v>
      </c>
      <c r="AL617" s="64">
        <f>IF(Table1[[#This Row],[InterConf]]=1,IF(Table1[[#This Row],[InterDiv]]=0, 1, 0), 0)</f>
        <v>1</v>
      </c>
      <c r="AM617" s="64">
        <f>IF(INDEX(Standings!$A$2:$C$33,MATCH(Table1[[#This Row],[AwayTeam]],Standings!$A$2:$A$33,0),2)&lt;&gt;INDEX(Standings!$A$2:$C$33,MATCH(Table1[[#This Row],[HomeTeam]],Standings!$A$2:$A$33,0),2),1,0)</f>
        <v>0</v>
      </c>
      <c r="AN617" s="64" t="str">
        <f>INDEX(Table2[AWAY_RECORD], MATCH(Table1[[#This Row],[AwayTeam]],Table2[Team], 0), 0)</f>
        <v>0-0-1</v>
      </c>
      <c r="AO617" s="64" t="str">
        <f>INDEX(Records!$B$2:$AG$33, MATCH(Table1[[#This Row],[AwayTeam]],Records!$A$2:$A$33, 0), MATCH(Table1[[#This Row],[HomeTeam]],Records!$A$2:$A$33, 0))</f>
        <v>0-0-0</v>
      </c>
      <c r="AP617" s="64" t="str">
        <f>INDEX(Table2[HOME_RECORD], MATCH(Table1[[#This Row],[HomeTeam]],Table2[Team], 0), 0)</f>
        <v>1-0-0</v>
      </c>
      <c r="AQ617" s="64" t="str">
        <f>INDEX(Records!$B$2:$AG$33, MATCH(Table1[[#This Row],[HomeTeam]],Records!$A$2:$A$33, 0), MATCH(Table1[[#This Row],[AwayTeam]],Records!$A$2:$A$33, 0))</f>
        <v>0-0-0</v>
      </c>
    </row>
    <row r="618" spans="1:43" x14ac:dyDescent="0.25">
      <c r="A618" s="1"/>
      <c r="D618" t="s">
        <v>881</v>
      </c>
      <c r="E618" t="s">
        <v>162</v>
      </c>
      <c r="F618" t="s">
        <v>890</v>
      </c>
      <c r="G618" t="s">
        <v>52</v>
      </c>
      <c r="H618" t="s">
        <v>50</v>
      </c>
      <c r="L61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1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18" s="1"/>
      <c r="T618" s="64" t="str">
        <f>IF(Table1[[#This Row],[ActualWinner]]="", "", IF(Table1[[#This Row],[AwayTeam]]=Table1[[#This Row],[ActualWinner]],Table1[[#This Row],[HomeTeam]],Table1[[#This Row],[AwayTeam]]))</f>
        <v/>
      </c>
      <c r="U618" s="64">
        <f>Table1[[#This Row],[ActualAwayScore]]-Table1[[#This Row],[PredictedAwayScore]]</f>
        <v>0</v>
      </c>
      <c r="V618" s="64">
        <f>Table1[[#This Row],[ActualHomeScore]]-Table1[[#This Row],[PredictedHomeScore]]</f>
        <v>0</v>
      </c>
      <c r="W618" s="64">
        <f>(0.8*IF(Table1[[#This Row],[CorrectWinnerPrediction]]=1, 1, 0))+(0.1*IF(Table1[[#This Row],[CorrectAwayScorePrediction]]=1, 1, 0))+(0.1*IF(Table1[[#This Row],[CorrectHomeScorePrediction]]=1, 1, 0))</f>
        <v>0</v>
      </c>
      <c r="X61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18" s="64">
        <f>SUMIF(Table1[GameDate], Table1[[#This Row],[GameDate]], Table1[AwayGameGoalDiff])</f>
        <v>0</v>
      </c>
      <c r="AA618" s="64">
        <f>SUMIF(Table1[GameDate], Table1[[#This Row],[GameDate]], Table1[HomeGameGoalDiff])</f>
        <v>0</v>
      </c>
      <c r="AB618" s="64">
        <f>IF(ISBLANK(Table1[[#This Row],[ActualResult]]), 0, 1)</f>
        <v>0</v>
      </c>
      <c r="AC618" s="64">
        <f>IF(ISBLANK(Table1[[#This Row],[ActualResult]]), 0, IF(Table1[[#This Row],[ActualWinner]]=Table1[[#This Row],[PredictedWinner]], 1, 0))</f>
        <v>0</v>
      </c>
      <c r="AD61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1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18" s="64">
        <f>IF(AND(Table1[[#This Row],[GameIsOver]]=1,Table1[[#This Row],[ActualAwayScore]]=0), 1,0)</f>
        <v>0</v>
      </c>
      <c r="AG618" s="64">
        <f>IF(AND(Table1[[#This Row],[GameIsOver]]=1,Table1[[#This Row],[ActualHomeScore]]=0), 1,0)</f>
        <v>0</v>
      </c>
      <c r="AH618" s="64">
        <f>IF(Table1[[#This Row],[GameIsOver]]=0,0,IF(Table1[[#This Row],[ActualWinner]]=Table1[[#This Row],[AwayTeam]], 1, 0))</f>
        <v>0</v>
      </c>
      <c r="AI618" s="64">
        <f>IF(Table1[[#This Row],[GameIsOver]]=0,0,IF(Table1[[#This Row],[ActualWinner]]=Table1[[#This Row],[HomeTeam]], 1, 0))</f>
        <v>0</v>
      </c>
      <c r="AJ618" s="64">
        <f>IF(INDEX(Standings!$A$2:$C$33,MATCH(Table1[[#This Row],[AwayTeam]],Standings!$A$2:$A$33,0),2)=INDEX(Standings!$A$2:$C$33,MATCH(Table1[[#This Row],[HomeTeam]],Standings!$A$2:$A$33,0),2),1,0)</f>
        <v>1</v>
      </c>
      <c r="AK618" s="64">
        <f>IF(INDEX(Standings!$A$2:$C$33,MATCH(Table1[[#This Row],[AwayTeam]],Standings!$A$2:$A$33,0),3)=INDEX(Standings!$A$2:$C$33,MATCH(Table1[[#This Row],[HomeTeam]],Standings!$A$2:$A$33,0),3),1,0)</f>
        <v>0</v>
      </c>
      <c r="AL618" s="64">
        <f>IF(Table1[[#This Row],[InterConf]]=1,IF(Table1[[#This Row],[InterDiv]]=0, 1, 0), 0)</f>
        <v>1</v>
      </c>
      <c r="AM618" s="64">
        <f>IF(INDEX(Standings!$A$2:$C$33,MATCH(Table1[[#This Row],[AwayTeam]],Standings!$A$2:$A$33,0),2)&lt;&gt;INDEX(Standings!$A$2:$C$33,MATCH(Table1[[#This Row],[HomeTeam]],Standings!$A$2:$A$33,0),2),1,0)</f>
        <v>0</v>
      </c>
      <c r="AN618" s="64" t="str">
        <f>INDEX(Table2[AWAY_RECORD], MATCH(Table1[[#This Row],[AwayTeam]],Table2[Team], 0), 0)</f>
        <v>0-0-0</v>
      </c>
      <c r="AO618" s="64" t="str">
        <f>INDEX(Records!$B$2:$AG$33, MATCH(Table1[[#This Row],[AwayTeam]],Records!$A$2:$A$33, 0), MATCH(Table1[[#This Row],[HomeTeam]],Records!$A$2:$A$33, 0))</f>
        <v>0-0-0</v>
      </c>
      <c r="AP618" s="64" t="str">
        <f>INDEX(Table2[HOME_RECORD], MATCH(Table1[[#This Row],[HomeTeam]],Table2[Team], 0), 0)</f>
        <v>0-0-0</v>
      </c>
      <c r="AQ618" s="64" t="str">
        <f>INDEX(Records!$B$2:$AG$33, MATCH(Table1[[#This Row],[HomeTeam]],Records!$A$2:$A$33, 0), MATCH(Table1[[#This Row],[AwayTeam]],Records!$A$2:$A$33, 0))</f>
        <v>0-0-0</v>
      </c>
    </row>
    <row r="619" spans="1:43" x14ac:dyDescent="0.25">
      <c r="A619" s="1"/>
      <c r="D619" t="s">
        <v>881</v>
      </c>
      <c r="E619" t="s">
        <v>178</v>
      </c>
      <c r="F619" t="s">
        <v>891</v>
      </c>
      <c r="G619" t="s">
        <v>41</v>
      </c>
      <c r="H619" t="s">
        <v>36</v>
      </c>
      <c r="L61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1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19" s="1"/>
      <c r="T619" s="64" t="str">
        <f>IF(Table1[[#This Row],[ActualWinner]]="", "", IF(Table1[[#This Row],[AwayTeam]]=Table1[[#This Row],[ActualWinner]],Table1[[#This Row],[HomeTeam]],Table1[[#This Row],[AwayTeam]]))</f>
        <v/>
      </c>
      <c r="U619" s="64">
        <f>Table1[[#This Row],[ActualAwayScore]]-Table1[[#This Row],[PredictedAwayScore]]</f>
        <v>0</v>
      </c>
      <c r="V619" s="64">
        <f>Table1[[#This Row],[ActualHomeScore]]-Table1[[#This Row],[PredictedHomeScore]]</f>
        <v>0</v>
      </c>
      <c r="W619" s="64">
        <f>(0.8*IF(Table1[[#This Row],[CorrectWinnerPrediction]]=1, 1, 0))+(0.1*IF(Table1[[#This Row],[CorrectAwayScorePrediction]]=1, 1, 0))+(0.1*IF(Table1[[#This Row],[CorrectHomeScorePrediction]]=1, 1, 0))</f>
        <v>0</v>
      </c>
      <c r="X61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19" s="64">
        <f>SUMIF(Table1[GameDate], Table1[[#This Row],[GameDate]], Table1[AwayGameGoalDiff])</f>
        <v>0</v>
      </c>
      <c r="AA619" s="64">
        <f>SUMIF(Table1[GameDate], Table1[[#This Row],[GameDate]], Table1[HomeGameGoalDiff])</f>
        <v>0</v>
      </c>
      <c r="AB619" s="64">
        <f>IF(ISBLANK(Table1[[#This Row],[ActualResult]]), 0, 1)</f>
        <v>0</v>
      </c>
      <c r="AC619" s="64">
        <f>IF(ISBLANK(Table1[[#This Row],[ActualResult]]), 0, IF(Table1[[#This Row],[ActualWinner]]=Table1[[#This Row],[PredictedWinner]], 1, 0))</f>
        <v>0</v>
      </c>
      <c r="AD61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1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19" s="64">
        <f>IF(AND(Table1[[#This Row],[GameIsOver]]=1,Table1[[#This Row],[ActualAwayScore]]=0), 1,0)</f>
        <v>0</v>
      </c>
      <c r="AG619" s="64">
        <f>IF(AND(Table1[[#This Row],[GameIsOver]]=1,Table1[[#This Row],[ActualHomeScore]]=0), 1,0)</f>
        <v>0</v>
      </c>
      <c r="AH619" s="64">
        <f>IF(Table1[[#This Row],[GameIsOver]]=0,0,IF(Table1[[#This Row],[ActualWinner]]=Table1[[#This Row],[AwayTeam]], 1, 0))</f>
        <v>0</v>
      </c>
      <c r="AI619" s="64">
        <f>IF(Table1[[#This Row],[GameIsOver]]=0,0,IF(Table1[[#This Row],[ActualWinner]]=Table1[[#This Row],[HomeTeam]], 1, 0))</f>
        <v>0</v>
      </c>
      <c r="AJ619" s="64">
        <f>IF(INDEX(Standings!$A$2:$C$33,MATCH(Table1[[#This Row],[AwayTeam]],Standings!$A$2:$A$33,0),2)=INDEX(Standings!$A$2:$C$33,MATCH(Table1[[#This Row],[HomeTeam]],Standings!$A$2:$A$33,0),2),1,0)</f>
        <v>1</v>
      </c>
      <c r="AK619" s="64">
        <f>IF(INDEX(Standings!$A$2:$C$33,MATCH(Table1[[#This Row],[AwayTeam]],Standings!$A$2:$A$33,0),3)=INDEX(Standings!$A$2:$C$33,MATCH(Table1[[#This Row],[HomeTeam]],Standings!$A$2:$A$33,0),3),1,0)</f>
        <v>0</v>
      </c>
      <c r="AL619" s="64">
        <f>IF(Table1[[#This Row],[InterConf]]=1,IF(Table1[[#This Row],[InterDiv]]=0, 1, 0), 0)</f>
        <v>1</v>
      </c>
      <c r="AM619" s="64">
        <f>IF(INDEX(Standings!$A$2:$C$33,MATCH(Table1[[#This Row],[AwayTeam]],Standings!$A$2:$A$33,0),2)&lt;&gt;INDEX(Standings!$A$2:$C$33,MATCH(Table1[[#This Row],[HomeTeam]],Standings!$A$2:$A$33,0),2),1,0)</f>
        <v>0</v>
      </c>
      <c r="AN619" s="64" t="str">
        <f>INDEX(Table2[AWAY_RECORD], MATCH(Table1[[#This Row],[AwayTeam]],Table2[Team], 0), 0)</f>
        <v>0-0-0</v>
      </c>
      <c r="AO619" s="64" t="str">
        <f>INDEX(Records!$B$2:$AG$33, MATCH(Table1[[#This Row],[AwayTeam]],Records!$A$2:$A$33, 0), MATCH(Table1[[#This Row],[HomeTeam]],Records!$A$2:$A$33, 0))</f>
        <v>0-0-0</v>
      </c>
      <c r="AP619" s="64" t="str">
        <f>INDEX(Table2[HOME_RECORD], MATCH(Table1[[#This Row],[HomeTeam]],Table2[Team], 0), 0)</f>
        <v>0-0-0</v>
      </c>
      <c r="AQ619" s="64" t="str">
        <f>INDEX(Records!$B$2:$AG$33, MATCH(Table1[[#This Row],[HomeTeam]],Records!$A$2:$A$33, 0), MATCH(Table1[[#This Row],[AwayTeam]],Records!$A$2:$A$33, 0))</f>
        <v>0-0-0</v>
      </c>
    </row>
    <row r="620" spans="1:43" x14ac:dyDescent="0.25">
      <c r="A620" s="1"/>
      <c r="D620" t="s">
        <v>892</v>
      </c>
      <c r="E620" t="s">
        <v>386</v>
      </c>
      <c r="F620" t="s">
        <v>893</v>
      </c>
      <c r="G620" t="s">
        <v>25</v>
      </c>
      <c r="H620" t="s">
        <v>22</v>
      </c>
      <c r="L62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2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20" s="1"/>
      <c r="T620" s="64" t="str">
        <f>IF(Table1[[#This Row],[ActualWinner]]="", "", IF(Table1[[#This Row],[AwayTeam]]=Table1[[#This Row],[ActualWinner]],Table1[[#This Row],[HomeTeam]],Table1[[#This Row],[AwayTeam]]))</f>
        <v/>
      </c>
      <c r="U620" s="64">
        <f>Table1[[#This Row],[ActualAwayScore]]-Table1[[#This Row],[PredictedAwayScore]]</f>
        <v>0</v>
      </c>
      <c r="V620" s="64">
        <f>Table1[[#This Row],[ActualHomeScore]]-Table1[[#This Row],[PredictedHomeScore]]</f>
        <v>0</v>
      </c>
      <c r="W620" s="64">
        <f>(0.8*IF(Table1[[#This Row],[CorrectWinnerPrediction]]=1, 1, 0))+(0.1*IF(Table1[[#This Row],[CorrectAwayScorePrediction]]=1, 1, 0))+(0.1*IF(Table1[[#This Row],[CorrectHomeScorePrediction]]=1, 1, 0))</f>
        <v>0</v>
      </c>
      <c r="X62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20" s="64">
        <f>SUMIF(Table1[GameDate], Table1[[#This Row],[GameDate]], Table1[AwayGameGoalDiff])</f>
        <v>0</v>
      </c>
      <c r="AA620" s="64">
        <f>SUMIF(Table1[GameDate], Table1[[#This Row],[GameDate]], Table1[HomeGameGoalDiff])</f>
        <v>0</v>
      </c>
      <c r="AB620" s="64">
        <f>IF(ISBLANK(Table1[[#This Row],[ActualResult]]), 0, 1)</f>
        <v>0</v>
      </c>
      <c r="AC620" s="64">
        <f>IF(ISBLANK(Table1[[#This Row],[ActualResult]]), 0, IF(Table1[[#This Row],[ActualWinner]]=Table1[[#This Row],[PredictedWinner]], 1, 0))</f>
        <v>0</v>
      </c>
      <c r="AD62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2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20" s="64">
        <f>IF(AND(Table1[[#This Row],[GameIsOver]]=1,Table1[[#This Row],[ActualAwayScore]]=0), 1,0)</f>
        <v>0</v>
      </c>
      <c r="AG620" s="64">
        <f>IF(AND(Table1[[#This Row],[GameIsOver]]=1,Table1[[#This Row],[ActualHomeScore]]=0), 1,0)</f>
        <v>0</v>
      </c>
      <c r="AH620" s="64">
        <f>IF(Table1[[#This Row],[GameIsOver]]=0,0,IF(Table1[[#This Row],[ActualWinner]]=Table1[[#This Row],[AwayTeam]], 1, 0))</f>
        <v>0</v>
      </c>
      <c r="AI620" s="64">
        <f>IF(Table1[[#This Row],[GameIsOver]]=0,0,IF(Table1[[#This Row],[ActualWinner]]=Table1[[#This Row],[HomeTeam]], 1, 0))</f>
        <v>0</v>
      </c>
      <c r="AJ620" s="64">
        <f>IF(INDEX(Standings!$A$2:$C$33,MATCH(Table1[[#This Row],[AwayTeam]],Standings!$A$2:$A$33,0),2)=INDEX(Standings!$A$2:$C$33,MATCH(Table1[[#This Row],[HomeTeam]],Standings!$A$2:$A$33,0),2),1,0)</f>
        <v>1</v>
      </c>
      <c r="AK620" s="64">
        <f>IF(INDEX(Standings!$A$2:$C$33,MATCH(Table1[[#This Row],[AwayTeam]],Standings!$A$2:$A$33,0),3)=INDEX(Standings!$A$2:$C$33,MATCH(Table1[[#This Row],[HomeTeam]],Standings!$A$2:$A$33,0),3),1,0)</f>
        <v>0</v>
      </c>
      <c r="AL620" s="64">
        <f>IF(Table1[[#This Row],[InterConf]]=1,IF(Table1[[#This Row],[InterDiv]]=0, 1, 0), 0)</f>
        <v>1</v>
      </c>
      <c r="AM620" s="64">
        <f>IF(INDEX(Standings!$A$2:$C$33,MATCH(Table1[[#This Row],[AwayTeam]],Standings!$A$2:$A$33,0),2)&lt;&gt;INDEX(Standings!$A$2:$C$33,MATCH(Table1[[#This Row],[HomeTeam]],Standings!$A$2:$A$33,0),2),1,0)</f>
        <v>0</v>
      </c>
      <c r="AN620" s="64" t="str">
        <f>INDEX(Table2[AWAY_RECORD], MATCH(Table1[[#This Row],[AwayTeam]],Table2[Team], 0), 0)</f>
        <v>0-0-0</v>
      </c>
      <c r="AO620" s="64" t="str">
        <f>INDEX(Records!$B$2:$AG$33, MATCH(Table1[[#This Row],[AwayTeam]],Records!$A$2:$A$33, 0), MATCH(Table1[[#This Row],[HomeTeam]],Records!$A$2:$A$33, 0))</f>
        <v>0-0-0</v>
      </c>
      <c r="AP620" s="64" t="str">
        <f>INDEX(Table2[HOME_RECORD], MATCH(Table1[[#This Row],[HomeTeam]],Table2[Team], 0), 0)</f>
        <v>0-0-0</v>
      </c>
      <c r="AQ620" s="64" t="str">
        <f>INDEX(Records!$B$2:$AG$33, MATCH(Table1[[#This Row],[HomeTeam]],Records!$A$2:$A$33, 0), MATCH(Table1[[#This Row],[AwayTeam]],Records!$A$2:$A$33, 0))</f>
        <v>0-0-0</v>
      </c>
    </row>
    <row r="621" spans="1:43" x14ac:dyDescent="0.25">
      <c r="A621" s="1"/>
      <c r="D621" t="s">
        <v>892</v>
      </c>
      <c r="E621" t="s">
        <v>162</v>
      </c>
      <c r="F621" t="s">
        <v>894</v>
      </c>
      <c r="G621" t="s">
        <v>44</v>
      </c>
      <c r="H621" t="s">
        <v>38</v>
      </c>
      <c r="L62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2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21" s="1"/>
      <c r="T621" s="64" t="str">
        <f>IF(Table1[[#This Row],[ActualWinner]]="", "", IF(Table1[[#This Row],[AwayTeam]]=Table1[[#This Row],[ActualWinner]],Table1[[#This Row],[HomeTeam]],Table1[[#This Row],[AwayTeam]]))</f>
        <v/>
      </c>
      <c r="U621" s="64">
        <f>Table1[[#This Row],[ActualAwayScore]]-Table1[[#This Row],[PredictedAwayScore]]</f>
        <v>0</v>
      </c>
      <c r="V621" s="64">
        <f>Table1[[#This Row],[ActualHomeScore]]-Table1[[#This Row],[PredictedHomeScore]]</f>
        <v>0</v>
      </c>
      <c r="W621" s="64">
        <f>(0.8*IF(Table1[[#This Row],[CorrectWinnerPrediction]]=1, 1, 0))+(0.1*IF(Table1[[#This Row],[CorrectAwayScorePrediction]]=1, 1, 0))+(0.1*IF(Table1[[#This Row],[CorrectHomeScorePrediction]]=1, 1, 0))</f>
        <v>0</v>
      </c>
      <c r="X62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21" s="64">
        <f>SUMIF(Table1[GameDate], Table1[[#This Row],[GameDate]], Table1[AwayGameGoalDiff])</f>
        <v>0</v>
      </c>
      <c r="AA621" s="64">
        <f>SUMIF(Table1[GameDate], Table1[[#This Row],[GameDate]], Table1[HomeGameGoalDiff])</f>
        <v>0</v>
      </c>
      <c r="AB621" s="64">
        <f>IF(ISBLANK(Table1[[#This Row],[ActualResult]]), 0, 1)</f>
        <v>0</v>
      </c>
      <c r="AC621" s="64">
        <f>IF(ISBLANK(Table1[[#This Row],[ActualResult]]), 0, IF(Table1[[#This Row],[ActualWinner]]=Table1[[#This Row],[PredictedWinner]], 1, 0))</f>
        <v>0</v>
      </c>
      <c r="AD62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2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21" s="64">
        <f>IF(AND(Table1[[#This Row],[GameIsOver]]=1,Table1[[#This Row],[ActualAwayScore]]=0), 1,0)</f>
        <v>0</v>
      </c>
      <c r="AG621" s="64">
        <f>IF(AND(Table1[[#This Row],[GameIsOver]]=1,Table1[[#This Row],[ActualHomeScore]]=0), 1,0)</f>
        <v>0</v>
      </c>
      <c r="AH621" s="64">
        <f>IF(Table1[[#This Row],[GameIsOver]]=0,0,IF(Table1[[#This Row],[ActualWinner]]=Table1[[#This Row],[AwayTeam]], 1, 0))</f>
        <v>0</v>
      </c>
      <c r="AI621" s="64">
        <f>IF(Table1[[#This Row],[GameIsOver]]=0,0,IF(Table1[[#This Row],[ActualWinner]]=Table1[[#This Row],[HomeTeam]], 1, 0))</f>
        <v>0</v>
      </c>
      <c r="AJ621" s="64">
        <f>IF(INDEX(Standings!$A$2:$C$33,MATCH(Table1[[#This Row],[AwayTeam]],Standings!$A$2:$A$33,0),2)=INDEX(Standings!$A$2:$C$33,MATCH(Table1[[#This Row],[HomeTeam]],Standings!$A$2:$A$33,0),2),1,0)</f>
        <v>1</v>
      </c>
      <c r="AK621" s="64">
        <f>IF(INDEX(Standings!$A$2:$C$33,MATCH(Table1[[#This Row],[AwayTeam]],Standings!$A$2:$A$33,0),3)=INDEX(Standings!$A$2:$C$33,MATCH(Table1[[#This Row],[HomeTeam]],Standings!$A$2:$A$33,0),3),1,0)</f>
        <v>1</v>
      </c>
      <c r="AL621" s="64">
        <f>IF(Table1[[#This Row],[InterConf]]=1,IF(Table1[[#This Row],[InterDiv]]=0, 1, 0), 0)</f>
        <v>0</v>
      </c>
      <c r="AM621" s="64">
        <f>IF(INDEX(Standings!$A$2:$C$33,MATCH(Table1[[#This Row],[AwayTeam]],Standings!$A$2:$A$33,0),2)&lt;&gt;INDEX(Standings!$A$2:$C$33,MATCH(Table1[[#This Row],[HomeTeam]],Standings!$A$2:$A$33,0),2),1,0)</f>
        <v>0</v>
      </c>
      <c r="AN621" s="64" t="str">
        <f>INDEX(Table2[AWAY_RECORD], MATCH(Table1[[#This Row],[AwayTeam]],Table2[Team], 0), 0)</f>
        <v>0-0-0</v>
      </c>
      <c r="AO621" s="64" t="str">
        <f>INDEX(Records!$B$2:$AG$33, MATCH(Table1[[#This Row],[AwayTeam]],Records!$A$2:$A$33, 0), MATCH(Table1[[#This Row],[HomeTeam]],Records!$A$2:$A$33, 0))</f>
        <v>0-0-0</v>
      </c>
      <c r="AP621" s="64" t="str">
        <f>INDEX(Table2[HOME_RECORD], MATCH(Table1[[#This Row],[HomeTeam]],Table2[Team], 0), 0)</f>
        <v>0-0-0</v>
      </c>
      <c r="AQ621" s="64" t="str">
        <f>INDEX(Records!$B$2:$AG$33, MATCH(Table1[[#This Row],[HomeTeam]],Records!$A$2:$A$33, 0), MATCH(Table1[[#This Row],[AwayTeam]],Records!$A$2:$A$33, 0))</f>
        <v>0-0-0</v>
      </c>
    </row>
    <row r="622" spans="1:43" x14ac:dyDescent="0.25">
      <c r="A622" s="1"/>
      <c r="D622" t="s">
        <v>892</v>
      </c>
      <c r="E622" t="s">
        <v>162</v>
      </c>
      <c r="F622" t="s">
        <v>895</v>
      </c>
      <c r="G622" t="s">
        <v>48</v>
      </c>
      <c r="H622" t="s">
        <v>17</v>
      </c>
      <c r="L62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2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22" s="1"/>
      <c r="T622" s="64" t="str">
        <f>IF(Table1[[#This Row],[ActualWinner]]="", "", IF(Table1[[#This Row],[AwayTeam]]=Table1[[#This Row],[ActualWinner]],Table1[[#This Row],[HomeTeam]],Table1[[#This Row],[AwayTeam]]))</f>
        <v/>
      </c>
      <c r="U622" s="64">
        <f>Table1[[#This Row],[ActualAwayScore]]-Table1[[#This Row],[PredictedAwayScore]]</f>
        <v>0</v>
      </c>
      <c r="V622" s="64">
        <f>Table1[[#This Row],[ActualHomeScore]]-Table1[[#This Row],[PredictedHomeScore]]</f>
        <v>0</v>
      </c>
      <c r="W622" s="64">
        <f>(0.8*IF(Table1[[#This Row],[CorrectWinnerPrediction]]=1, 1, 0))+(0.1*IF(Table1[[#This Row],[CorrectAwayScorePrediction]]=1, 1, 0))+(0.1*IF(Table1[[#This Row],[CorrectHomeScorePrediction]]=1, 1, 0))</f>
        <v>0</v>
      </c>
      <c r="X62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22" s="64">
        <f>SUMIF(Table1[GameDate], Table1[[#This Row],[GameDate]], Table1[AwayGameGoalDiff])</f>
        <v>0</v>
      </c>
      <c r="AA622" s="64">
        <f>SUMIF(Table1[GameDate], Table1[[#This Row],[GameDate]], Table1[HomeGameGoalDiff])</f>
        <v>0</v>
      </c>
      <c r="AB622" s="64">
        <f>IF(ISBLANK(Table1[[#This Row],[ActualResult]]), 0, 1)</f>
        <v>0</v>
      </c>
      <c r="AC622" s="64">
        <f>IF(ISBLANK(Table1[[#This Row],[ActualResult]]), 0, IF(Table1[[#This Row],[ActualWinner]]=Table1[[#This Row],[PredictedWinner]], 1, 0))</f>
        <v>0</v>
      </c>
      <c r="AD62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2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22" s="64">
        <f>IF(AND(Table1[[#This Row],[GameIsOver]]=1,Table1[[#This Row],[ActualAwayScore]]=0), 1,0)</f>
        <v>0</v>
      </c>
      <c r="AG622" s="64">
        <f>IF(AND(Table1[[#This Row],[GameIsOver]]=1,Table1[[#This Row],[ActualHomeScore]]=0), 1,0)</f>
        <v>0</v>
      </c>
      <c r="AH622" s="64">
        <f>IF(Table1[[#This Row],[GameIsOver]]=0,0,IF(Table1[[#This Row],[ActualWinner]]=Table1[[#This Row],[AwayTeam]], 1, 0))</f>
        <v>0</v>
      </c>
      <c r="AI622" s="64">
        <f>IF(Table1[[#This Row],[GameIsOver]]=0,0,IF(Table1[[#This Row],[ActualWinner]]=Table1[[#This Row],[HomeTeam]], 1, 0))</f>
        <v>0</v>
      </c>
      <c r="AJ622" s="64">
        <f>IF(INDEX(Standings!$A$2:$C$33,MATCH(Table1[[#This Row],[AwayTeam]],Standings!$A$2:$A$33,0),2)=INDEX(Standings!$A$2:$C$33,MATCH(Table1[[#This Row],[HomeTeam]],Standings!$A$2:$A$33,0),2),1,0)</f>
        <v>0</v>
      </c>
      <c r="AK622" s="64">
        <f>IF(INDEX(Standings!$A$2:$C$33,MATCH(Table1[[#This Row],[AwayTeam]],Standings!$A$2:$A$33,0),3)=INDEX(Standings!$A$2:$C$33,MATCH(Table1[[#This Row],[HomeTeam]],Standings!$A$2:$A$33,0),3),1,0)</f>
        <v>0</v>
      </c>
      <c r="AL622" s="64">
        <f>IF(Table1[[#This Row],[InterConf]]=1,IF(Table1[[#This Row],[InterDiv]]=0, 1, 0), 0)</f>
        <v>0</v>
      </c>
      <c r="AM622" s="64">
        <f>IF(INDEX(Standings!$A$2:$C$33,MATCH(Table1[[#This Row],[AwayTeam]],Standings!$A$2:$A$33,0),2)&lt;&gt;INDEX(Standings!$A$2:$C$33,MATCH(Table1[[#This Row],[HomeTeam]],Standings!$A$2:$A$33,0),2),1,0)</f>
        <v>1</v>
      </c>
      <c r="AN622" s="64" t="str">
        <f>INDEX(Table2[AWAY_RECORD], MATCH(Table1[[#This Row],[AwayTeam]],Table2[Team], 0), 0)</f>
        <v>0-0-0</v>
      </c>
      <c r="AO622" s="64" t="str">
        <f>INDEX(Records!$B$2:$AG$33, MATCH(Table1[[#This Row],[AwayTeam]],Records!$A$2:$A$33, 0), MATCH(Table1[[#This Row],[HomeTeam]],Records!$A$2:$A$33, 0))</f>
        <v>0-0-0</v>
      </c>
      <c r="AP622" s="64" t="str">
        <f>INDEX(Table2[HOME_RECORD], MATCH(Table1[[#This Row],[HomeTeam]],Table2[Team], 0), 0)</f>
        <v>0-0-0</v>
      </c>
      <c r="AQ622" s="64" t="str">
        <f>INDEX(Records!$B$2:$AG$33, MATCH(Table1[[#This Row],[HomeTeam]],Records!$A$2:$A$33, 0), MATCH(Table1[[#This Row],[AwayTeam]],Records!$A$2:$A$33, 0))</f>
        <v>0-0-0</v>
      </c>
    </row>
    <row r="623" spans="1:43" x14ac:dyDescent="0.25">
      <c r="A623" s="1"/>
      <c r="D623" t="s">
        <v>892</v>
      </c>
      <c r="E623" t="s">
        <v>162</v>
      </c>
      <c r="F623" t="s">
        <v>896</v>
      </c>
      <c r="G623" t="s">
        <v>45</v>
      </c>
      <c r="H623" t="s">
        <v>59</v>
      </c>
      <c r="L62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2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23" s="1"/>
      <c r="T623" s="64" t="str">
        <f>IF(Table1[[#This Row],[ActualWinner]]="", "", IF(Table1[[#This Row],[AwayTeam]]=Table1[[#This Row],[ActualWinner]],Table1[[#This Row],[HomeTeam]],Table1[[#This Row],[AwayTeam]]))</f>
        <v/>
      </c>
      <c r="U623" s="64">
        <f>Table1[[#This Row],[ActualAwayScore]]-Table1[[#This Row],[PredictedAwayScore]]</f>
        <v>0</v>
      </c>
      <c r="V623" s="64">
        <f>Table1[[#This Row],[ActualHomeScore]]-Table1[[#This Row],[PredictedHomeScore]]</f>
        <v>0</v>
      </c>
      <c r="W623" s="64">
        <f>(0.8*IF(Table1[[#This Row],[CorrectWinnerPrediction]]=1, 1, 0))+(0.1*IF(Table1[[#This Row],[CorrectAwayScorePrediction]]=1, 1, 0))+(0.1*IF(Table1[[#This Row],[CorrectHomeScorePrediction]]=1, 1, 0))</f>
        <v>0</v>
      </c>
      <c r="X62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23" s="64">
        <f>SUMIF(Table1[GameDate], Table1[[#This Row],[GameDate]], Table1[AwayGameGoalDiff])</f>
        <v>0</v>
      </c>
      <c r="AA623" s="64">
        <f>SUMIF(Table1[GameDate], Table1[[#This Row],[GameDate]], Table1[HomeGameGoalDiff])</f>
        <v>0</v>
      </c>
      <c r="AB623" s="64">
        <f>IF(ISBLANK(Table1[[#This Row],[ActualResult]]), 0, 1)</f>
        <v>0</v>
      </c>
      <c r="AC623" s="64">
        <f>IF(ISBLANK(Table1[[#This Row],[ActualResult]]), 0, IF(Table1[[#This Row],[ActualWinner]]=Table1[[#This Row],[PredictedWinner]], 1, 0))</f>
        <v>0</v>
      </c>
      <c r="AD62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2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23" s="64">
        <f>IF(AND(Table1[[#This Row],[GameIsOver]]=1,Table1[[#This Row],[ActualAwayScore]]=0), 1,0)</f>
        <v>0</v>
      </c>
      <c r="AG623" s="64">
        <f>IF(AND(Table1[[#This Row],[GameIsOver]]=1,Table1[[#This Row],[ActualHomeScore]]=0), 1,0)</f>
        <v>0</v>
      </c>
      <c r="AH623" s="64">
        <f>IF(Table1[[#This Row],[GameIsOver]]=0,0,IF(Table1[[#This Row],[ActualWinner]]=Table1[[#This Row],[AwayTeam]], 1, 0))</f>
        <v>0</v>
      </c>
      <c r="AI623" s="64">
        <f>IF(Table1[[#This Row],[GameIsOver]]=0,0,IF(Table1[[#This Row],[ActualWinner]]=Table1[[#This Row],[HomeTeam]], 1, 0))</f>
        <v>0</v>
      </c>
      <c r="AJ623" s="64">
        <f>IF(INDEX(Standings!$A$2:$C$33,MATCH(Table1[[#This Row],[AwayTeam]],Standings!$A$2:$A$33,0),2)=INDEX(Standings!$A$2:$C$33,MATCH(Table1[[#This Row],[HomeTeam]],Standings!$A$2:$A$33,0),2),1,0)</f>
        <v>0</v>
      </c>
      <c r="AK623" s="64">
        <f>IF(INDEX(Standings!$A$2:$C$33,MATCH(Table1[[#This Row],[AwayTeam]],Standings!$A$2:$A$33,0),3)=INDEX(Standings!$A$2:$C$33,MATCH(Table1[[#This Row],[HomeTeam]],Standings!$A$2:$A$33,0),3),1,0)</f>
        <v>0</v>
      </c>
      <c r="AL623" s="64">
        <f>IF(Table1[[#This Row],[InterConf]]=1,IF(Table1[[#This Row],[InterDiv]]=0, 1, 0), 0)</f>
        <v>0</v>
      </c>
      <c r="AM623" s="64">
        <f>IF(INDEX(Standings!$A$2:$C$33,MATCH(Table1[[#This Row],[AwayTeam]],Standings!$A$2:$A$33,0),2)&lt;&gt;INDEX(Standings!$A$2:$C$33,MATCH(Table1[[#This Row],[HomeTeam]],Standings!$A$2:$A$33,0),2),1,0)</f>
        <v>1</v>
      </c>
      <c r="AN623" s="64" t="str">
        <f>INDEX(Table2[AWAY_RECORD], MATCH(Table1[[#This Row],[AwayTeam]],Table2[Team], 0), 0)</f>
        <v>1-0-0</v>
      </c>
      <c r="AO623" s="64" t="str">
        <f>INDEX(Records!$B$2:$AG$33, MATCH(Table1[[#This Row],[AwayTeam]],Records!$A$2:$A$33, 0), MATCH(Table1[[#This Row],[HomeTeam]],Records!$A$2:$A$33, 0))</f>
        <v>0-0-0</v>
      </c>
      <c r="AP623" s="64" t="str">
        <f>INDEX(Table2[HOME_RECORD], MATCH(Table1[[#This Row],[HomeTeam]],Table2[Team], 0), 0)</f>
        <v>0-0-0</v>
      </c>
      <c r="AQ623" s="64" t="str">
        <f>INDEX(Records!$B$2:$AG$33, MATCH(Table1[[#This Row],[HomeTeam]],Records!$A$2:$A$33, 0), MATCH(Table1[[#This Row],[AwayTeam]],Records!$A$2:$A$33, 0))</f>
        <v>0-0-0</v>
      </c>
    </row>
    <row r="624" spans="1:43" x14ac:dyDescent="0.25">
      <c r="A624" s="1"/>
      <c r="D624" t="s">
        <v>892</v>
      </c>
      <c r="E624" t="s">
        <v>162</v>
      </c>
      <c r="F624" t="s">
        <v>897</v>
      </c>
      <c r="G624" t="s">
        <v>57</v>
      </c>
      <c r="H624" t="s">
        <v>40</v>
      </c>
      <c r="L62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2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24" s="1"/>
      <c r="T624" s="64" t="str">
        <f>IF(Table1[[#This Row],[ActualWinner]]="", "", IF(Table1[[#This Row],[AwayTeam]]=Table1[[#This Row],[ActualWinner]],Table1[[#This Row],[HomeTeam]],Table1[[#This Row],[AwayTeam]]))</f>
        <v/>
      </c>
      <c r="U624" s="64">
        <f>Table1[[#This Row],[ActualAwayScore]]-Table1[[#This Row],[PredictedAwayScore]]</f>
        <v>0</v>
      </c>
      <c r="V624" s="64">
        <f>Table1[[#This Row],[ActualHomeScore]]-Table1[[#This Row],[PredictedHomeScore]]</f>
        <v>0</v>
      </c>
      <c r="W624" s="64">
        <f>(0.8*IF(Table1[[#This Row],[CorrectWinnerPrediction]]=1, 1, 0))+(0.1*IF(Table1[[#This Row],[CorrectAwayScorePrediction]]=1, 1, 0))+(0.1*IF(Table1[[#This Row],[CorrectHomeScorePrediction]]=1, 1, 0))</f>
        <v>0</v>
      </c>
      <c r="X62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24" s="64">
        <f>SUMIF(Table1[GameDate], Table1[[#This Row],[GameDate]], Table1[AwayGameGoalDiff])</f>
        <v>0</v>
      </c>
      <c r="AA624" s="64">
        <f>SUMIF(Table1[GameDate], Table1[[#This Row],[GameDate]], Table1[HomeGameGoalDiff])</f>
        <v>0</v>
      </c>
      <c r="AB624" s="64">
        <f>IF(ISBLANK(Table1[[#This Row],[ActualResult]]), 0, 1)</f>
        <v>0</v>
      </c>
      <c r="AC624" s="64">
        <f>IF(ISBLANK(Table1[[#This Row],[ActualResult]]), 0, IF(Table1[[#This Row],[ActualWinner]]=Table1[[#This Row],[PredictedWinner]], 1, 0))</f>
        <v>0</v>
      </c>
      <c r="AD62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2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24" s="64">
        <f>IF(AND(Table1[[#This Row],[GameIsOver]]=1,Table1[[#This Row],[ActualAwayScore]]=0), 1,0)</f>
        <v>0</v>
      </c>
      <c r="AG624" s="64">
        <f>IF(AND(Table1[[#This Row],[GameIsOver]]=1,Table1[[#This Row],[ActualHomeScore]]=0), 1,0)</f>
        <v>0</v>
      </c>
      <c r="AH624" s="64">
        <f>IF(Table1[[#This Row],[GameIsOver]]=0,0,IF(Table1[[#This Row],[ActualWinner]]=Table1[[#This Row],[AwayTeam]], 1, 0))</f>
        <v>0</v>
      </c>
      <c r="AI624" s="64">
        <f>IF(Table1[[#This Row],[GameIsOver]]=0,0,IF(Table1[[#This Row],[ActualWinner]]=Table1[[#This Row],[HomeTeam]], 1, 0))</f>
        <v>0</v>
      </c>
      <c r="AJ624" s="64">
        <f>IF(INDEX(Standings!$A$2:$C$33,MATCH(Table1[[#This Row],[AwayTeam]],Standings!$A$2:$A$33,0),2)=INDEX(Standings!$A$2:$C$33,MATCH(Table1[[#This Row],[HomeTeam]],Standings!$A$2:$A$33,0),2),1,0)</f>
        <v>1</v>
      </c>
      <c r="AK624" s="64">
        <f>IF(INDEX(Standings!$A$2:$C$33,MATCH(Table1[[#This Row],[AwayTeam]],Standings!$A$2:$A$33,0),3)=INDEX(Standings!$A$2:$C$33,MATCH(Table1[[#This Row],[HomeTeam]],Standings!$A$2:$A$33,0),3),1,0)</f>
        <v>0</v>
      </c>
      <c r="AL624" s="64">
        <f>IF(Table1[[#This Row],[InterConf]]=1,IF(Table1[[#This Row],[InterDiv]]=0, 1, 0), 0)</f>
        <v>1</v>
      </c>
      <c r="AM624" s="64">
        <f>IF(INDEX(Standings!$A$2:$C$33,MATCH(Table1[[#This Row],[AwayTeam]],Standings!$A$2:$A$33,0),2)&lt;&gt;INDEX(Standings!$A$2:$C$33,MATCH(Table1[[#This Row],[HomeTeam]],Standings!$A$2:$A$33,0),2),1,0)</f>
        <v>0</v>
      </c>
      <c r="AN624" s="64" t="str">
        <f>INDEX(Table2[AWAY_RECORD], MATCH(Table1[[#This Row],[AwayTeam]],Table2[Team], 0), 0)</f>
        <v>0-1-0</v>
      </c>
      <c r="AO624" s="64" t="str">
        <f>INDEX(Records!$B$2:$AG$33, MATCH(Table1[[#This Row],[AwayTeam]],Records!$A$2:$A$33, 0), MATCH(Table1[[#This Row],[HomeTeam]],Records!$A$2:$A$33, 0))</f>
        <v>0-0-0</v>
      </c>
      <c r="AP624" s="64" t="str">
        <f>INDEX(Table2[HOME_RECORD], MATCH(Table1[[#This Row],[HomeTeam]],Table2[Team], 0), 0)</f>
        <v>1-1-0</v>
      </c>
      <c r="AQ624" s="64" t="str">
        <f>INDEX(Records!$B$2:$AG$33, MATCH(Table1[[#This Row],[HomeTeam]],Records!$A$2:$A$33, 0), MATCH(Table1[[#This Row],[AwayTeam]],Records!$A$2:$A$33, 0))</f>
        <v>0-0-0</v>
      </c>
    </row>
    <row r="625" spans="1:43" x14ac:dyDescent="0.25">
      <c r="A625" s="1"/>
      <c r="D625" t="s">
        <v>892</v>
      </c>
      <c r="E625" t="s">
        <v>289</v>
      </c>
      <c r="F625" t="s">
        <v>898</v>
      </c>
      <c r="G625" t="s">
        <v>55</v>
      </c>
      <c r="H625" t="s">
        <v>60</v>
      </c>
      <c r="L62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2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25" s="1"/>
      <c r="T625" s="64" t="str">
        <f>IF(Table1[[#This Row],[ActualWinner]]="", "", IF(Table1[[#This Row],[AwayTeam]]=Table1[[#This Row],[ActualWinner]],Table1[[#This Row],[HomeTeam]],Table1[[#This Row],[AwayTeam]]))</f>
        <v/>
      </c>
      <c r="U625" s="64">
        <f>Table1[[#This Row],[ActualAwayScore]]-Table1[[#This Row],[PredictedAwayScore]]</f>
        <v>0</v>
      </c>
      <c r="V625" s="64">
        <f>Table1[[#This Row],[ActualHomeScore]]-Table1[[#This Row],[PredictedHomeScore]]</f>
        <v>0</v>
      </c>
      <c r="W625" s="64">
        <f>(0.8*IF(Table1[[#This Row],[CorrectWinnerPrediction]]=1, 1, 0))+(0.1*IF(Table1[[#This Row],[CorrectAwayScorePrediction]]=1, 1, 0))+(0.1*IF(Table1[[#This Row],[CorrectHomeScorePrediction]]=1, 1, 0))</f>
        <v>0</v>
      </c>
      <c r="X62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25" s="64">
        <f>SUMIF(Table1[GameDate], Table1[[#This Row],[GameDate]], Table1[AwayGameGoalDiff])</f>
        <v>0</v>
      </c>
      <c r="AA625" s="64">
        <f>SUMIF(Table1[GameDate], Table1[[#This Row],[GameDate]], Table1[HomeGameGoalDiff])</f>
        <v>0</v>
      </c>
      <c r="AB625" s="64">
        <f>IF(ISBLANK(Table1[[#This Row],[ActualResult]]), 0, 1)</f>
        <v>0</v>
      </c>
      <c r="AC625" s="64">
        <f>IF(ISBLANK(Table1[[#This Row],[ActualResult]]), 0, IF(Table1[[#This Row],[ActualWinner]]=Table1[[#This Row],[PredictedWinner]], 1, 0))</f>
        <v>0</v>
      </c>
      <c r="AD62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2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25" s="64">
        <f>IF(AND(Table1[[#This Row],[GameIsOver]]=1,Table1[[#This Row],[ActualAwayScore]]=0), 1,0)</f>
        <v>0</v>
      </c>
      <c r="AG625" s="64">
        <f>IF(AND(Table1[[#This Row],[GameIsOver]]=1,Table1[[#This Row],[ActualHomeScore]]=0), 1,0)</f>
        <v>0</v>
      </c>
      <c r="AH625" s="64">
        <f>IF(Table1[[#This Row],[GameIsOver]]=0,0,IF(Table1[[#This Row],[ActualWinner]]=Table1[[#This Row],[AwayTeam]], 1, 0))</f>
        <v>0</v>
      </c>
      <c r="AI625" s="64">
        <f>IF(Table1[[#This Row],[GameIsOver]]=0,0,IF(Table1[[#This Row],[ActualWinner]]=Table1[[#This Row],[HomeTeam]], 1, 0))</f>
        <v>0</v>
      </c>
      <c r="AJ625" s="64">
        <f>IF(INDEX(Standings!$A$2:$C$33,MATCH(Table1[[#This Row],[AwayTeam]],Standings!$A$2:$A$33,0),2)=INDEX(Standings!$A$2:$C$33,MATCH(Table1[[#This Row],[HomeTeam]],Standings!$A$2:$A$33,0),2),1,0)</f>
        <v>1</v>
      </c>
      <c r="AK625" s="64">
        <f>IF(INDEX(Standings!$A$2:$C$33,MATCH(Table1[[#This Row],[AwayTeam]],Standings!$A$2:$A$33,0),3)=INDEX(Standings!$A$2:$C$33,MATCH(Table1[[#This Row],[HomeTeam]],Standings!$A$2:$A$33,0),3),1,0)</f>
        <v>0</v>
      </c>
      <c r="AL625" s="64">
        <f>IF(Table1[[#This Row],[InterConf]]=1,IF(Table1[[#This Row],[InterDiv]]=0, 1, 0), 0)</f>
        <v>1</v>
      </c>
      <c r="AM625" s="64">
        <f>IF(INDEX(Standings!$A$2:$C$33,MATCH(Table1[[#This Row],[AwayTeam]],Standings!$A$2:$A$33,0),2)&lt;&gt;INDEX(Standings!$A$2:$C$33,MATCH(Table1[[#This Row],[HomeTeam]],Standings!$A$2:$A$33,0),2),1,0)</f>
        <v>0</v>
      </c>
      <c r="AN625" s="64" t="str">
        <f>INDEX(Table2[AWAY_RECORD], MATCH(Table1[[#This Row],[AwayTeam]],Table2[Team], 0), 0)</f>
        <v>0-0-0</v>
      </c>
      <c r="AO625" s="64" t="str">
        <f>INDEX(Records!$B$2:$AG$33, MATCH(Table1[[#This Row],[AwayTeam]],Records!$A$2:$A$33, 0), MATCH(Table1[[#This Row],[HomeTeam]],Records!$A$2:$A$33, 0))</f>
        <v>0-0-0</v>
      </c>
      <c r="AP625" s="64" t="str">
        <f>INDEX(Table2[HOME_RECORD], MATCH(Table1[[#This Row],[HomeTeam]],Table2[Team], 0), 0)</f>
        <v>1-0-0</v>
      </c>
      <c r="AQ625" s="64" t="str">
        <f>INDEX(Records!$B$2:$AG$33, MATCH(Table1[[#This Row],[HomeTeam]],Records!$A$2:$A$33, 0), MATCH(Table1[[#This Row],[AwayTeam]],Records!$A$2:$A$33, 0))</f>
        <v>0-0-0</v>
      </c>
    </row>
    <row r="626" spans="1:43" x14ac:dyDescent="0.25">
      <c r="A626" s="1"/>
      <c r="D626" t="s">
        <v>892</v>
      </c>
      <c r="E626" t="s">
        <v>166</v>
      </c>
      <c r="F626" t="s">
        <v>899</v>
      </c>
      <c r="G626" t="s">
        <v>46</v>
      </c>
      <c r="H626" t="s">
        <v>23</v>
      </c>
      <c r="L62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2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26" s="1"/>
      <c r="T626" s="64" t="str">
        <f>IF(Table1[[#This Row],[ActualWinner]]="", "", IF(Table1[[#This Row],[AwayTeam]]=Table1[[#This Row],[ActualWinner]],Table1[[#This Row],[HomeTeam]],Table1[[#This Row],[AwayTeam]]))</f>
        <v/>
      </c>
      <c r="U626" s="64">
        <f>Table1[[#This Row],[ActualAwayScore]]-Table1[[#This Row],[PredictedAwayScore]]</f>
        <v>0</v>
      </c>
      <c r="V626" s="64">
        <f>Table1[[#This Row],[ActualHomeScore]]-Table1[[#This Row],[PredictedHomeScore]]</f>
        <v>0</v>
      </c>
      <c r="W626" s="64">
        <f>(0.8*IF(Table1[[#This Row],[CorrectWinnerPrediction]]=1, 1, 0))+(0.1*IF(Table1[[#This Row],[CorrectAwayScorePrediction]]=1, 1, 0))+(0.1*IF(Table1[[#This Row],[CorrectHomeScorePrediction]]=1, 1, 0))</f>
        <v>0</v>
      </c>
      <c r="X62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26" s="64">
        <f>SUMIF(Table1[GameDate], Table1[[#This Row],[GameDate]], Table1[AwayGameGoalDiff])</f>
        <v>0</v>
      </c>
      <c r="AA626" s="64">
        <f>SUMIF(Table1[GameDate], Table1[[#This Row],[GameDate]], Table1[HomeGameGoalDiff])</f>
        <v>0</v>
      </c>
      <c r="AB626" s="64">
        <f>IF(ISBLANK(Table1[[#This Row],[ActualResult]]), 0, 1)</f>
        <v>0</v>
      </c>
      <c r="AC626" s="64">
        <f>IF(ISBLANK(Table1[[#This Row],[ActualResult]]), 0, IF(Table1[[#This Row],[ActualWinner]]=Table1[[#This Row],[PredictedWinner]], 1, 0))</f>
        <v>0</v>
      </c>
      <c r="AD62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2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26" s="64">
        <f>IF(AND(Table1[[#This Row],[GameIsOver]]=1,Table1[[#This Row],[ActualAwayScore]]=0), 1,0)</f>
        <v>0</v>
      </c>
      <c r="AG626" s="64">
        <f>IF(AND(Table1[[#This Row],[GameIsOver]]=1,Table1[[#This Row],[ActualHomeScore]]=0), 1,0)</f>
        <v>0</v>
      </c>
      <c r="AH626" s="64">
        <f>IF(Table1[[#This Row],[GameIsOver]]=0,0,IF(Table1[[#This Row],[ActualWinner]]=Table1[[#This Row],[AwayTeam]], 1, 0))</f>
        <v>0</v>
      </c>
      <c r="AI626" s="64">
        <f>IF(Table1[[#This Row],[GameIsOver]]=0,0,IF(Table1[[#This Row],[ActualWinner]]=Table1[[#This Row],[HomeTeam]], 1, 0))</f>
        <v>0</v>
      </c>
      <c r="AJ626" s="64">
        <f>IF(INDEX(Standings!$A$2:$C$33,MATCH(Table1[[#This Row],[AwayTeam]],Standings!$A$2:$A$33,0),2)=INDEX(Standings!$A$2:$C$33,MATCH(Table1[[#This Row],[HomeTeam]],Standings!$A$2:$A$33,0),2),1,0)</f>
        <v>1</v>
      </c>
      <c r="AK626" s="64">
        <f>IF(INDEX(Standings!$A$2:$C$33,MATCH(Table1[[#This Row],[AwayTeam]],Standings!$A$2:$A$33,0),3)=INDEX(Standings!$A$2:$C$33,MATCH(Table1[[#This Row],[HomeTeam]],Standings!$A$2:$A$33,0),3),1,0)</f>
        <v>1</v>
      </c>
      <c r="AL626" s="64">
        <f>IF(Table1[[#This Row],[InterConf]]=1,IF(Table1[[#This Row],[InterDiv]]=0, 1, 0), 0)</f>
        <v>0</v>
      </c>
      <c r="AM626" s="64">
        <f>IF(INDEX(Standings!$A$2:$C$33,MATCH(Table1[[#This Row],[AwayTeam]],Standings!$A$2:$A$33,0),2)&lt;&gt;INDEX(Standings!$A$2:$C$33,MATCH(Table1[[#This Row],[HomeTeam]],Standings!$A$2:$A$33,0),2),1,0)</f>
        <v>0</v>
      </c>
      <c r="AN626" s="64" t="str">
        <f>INDEX(Table2[AWAY_RECORD], MATCH(Table1[[#This Row],[AwayTeam]],Table2[Team], 0), 0)</f>
        <v>1-0-0</v>
      </c>
      <c r="AO626" s="64" t="str">
        <f>INDEX(Records!$B$2:$AG$33, MATCH(Table1[[#This Row],[AwayTeam]],Records!$A$2:$A$33, 0), MATCH(Table1[[#This Row],[HomeTeam]],Records!$A$2:$A$33, 0))</f>
        <v>0-0-0</v>
      </c>
      <c r="AP626" s="64" t="str">
        <f>INDEX(Table2[HOME_RECORD], MATCH(Table1[[#This Row],[HomeTeam]],Table2[Team], 0), 0)</f>
        <v>0-0-1</v>
      </c>
      <c r="AQ626" s="64" t="str">
        <f>INDEX(Records!$B$2:$AG$33, MATCH(Table1[[#This Row],[HomeTeam]],Records!$A$2:$A$33, 0), MATCH(Table1[[#This Row],[AwayTeam]],Records!$A$2:$A$33, 0))</f>
        <v>0-0-0</v>
      </c>
    </row>
    <row r="627" spans="1:43" x14ac:dyDescent="0.25">
      <c r="A627" s="1"/>
      <c r="D627" t="s">
        <v>900</v>
      </c>
      <c r="E627" t="s">
        <v>162</v>
      </c>
      <c r="F627" t="s">
        <v>901</v>
      </c>
      <c r="G627" t="s">
        <v>42</v>
      </c>
      <c r="H627" t="s">
        <v>47</v>
      </c>
      <c r="L62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2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27" s="1"/>
      <c r="T627" s="64" t="str">
        <f>IF(Table1[[#This Row],[ActualWinner]]="", "", IF(Table1[[#This Row],[AwayTeam]]=Table1[[#This Row],[ActualWinner]],Table1[[#This Row],[HomeTeam]],Table1[[#This Row],[AwayTeam]]))</f>
        <v/>
      </c>
      <c r="U627" s="64">
        <f>Table1[[#This Row],[ActualAwayScore]]-Table1[[#This Row],[PredictedAwayScore]]</f>
        <v>0</v>
      </c>
      <c r="V627" s="64">
        <f>Table1[[#This Row],[ActualHomeScore]]-Table1[[#This Row],[PredictedHomeScore]]</f>
        <v>0</v>
      </c>
      <c r="W627" s="64">
        <f>(0.8*IF(Table1[[#This Row],[CorrectWinnerPrediction]]=1, 1, 0))+(0.1*IF(Table1[[#This Row],[CorrectAwayScorePrediction]]=1, 1, 0))+(0.1*IF(Table1[[#This Row],[CorrectHomeScorePrediction]]=1, 1, 0))</f>
        <v>0</v>
      </c>
      <c r="X62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27" s="64">
        <f>SUMIF(Table1[GameDate], Table1[[#This Row],[GameDate]], Table1[AwayGameGoalDiff])</f>
        <v>0</v>
      </c>
      <c r="AA627" s="64">
        <f>SUMIF(Table1[GameDate], Table1[[#This Row],[GameDate]], Table1[HomeGameGoalDiff])</f>
        <v>0</v>
      </c>
      <c r="AB627" s="64">
        <f>IF(ISBLANK(Table1[[#This Row],[ActualResult]]), 0, 1)</f>
        <v>0</v>
      </c>
      <c r="AC627" s="64">
        <f>IF(ISBLANK(Table1[[#This Row],[ActualResult]]), 0, IF(Table1[[#This Row],[ActualWinner]]=Table1[[#This Row],[PredictedWinner]], 1, 0))</f>
        <v>0</v>
      </c>
      <c r="AD62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2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27" s="64">
        <f>IF(AND(Table1[[#This Row],[GameIsOver]]=1,Table1[[#This Row],[ActualAwayScore]]=0), 1,0)</f>
        <v>0</v>
      </c>
      <c r="AG627" s="64">
        <f>IF(AND(Table1[[#This Row],[GameIsOver]]=1,Table1[[#This Row],[ActualHomeScore]]=0), 1,0)</f>
        <v>0</v>
      </c>
      <c r="AH627" s="64">
        <f>IF(Table1[[#This Row],[GameIsOver]]=0,0,IF(Table1[[#This Row],[ActualWinner]]=Table1[[#This Row],[AwayTeam]], 1, 0))</f>
        <v>0</v>
      </c>
      <c r="AI627" s="64">
        <f>IF(Table1[[#This Row],[GameIsOver]]=0,0,IF(Table1[[#This Row],[ActualWinner]]=Table1[[#This Row],[HomeTeam]], 1, 0))</f>
        <v>0</v>
      </c>
      <c r="AJ627" s="64">
        <f>IF(INDEX(Standings!$A$2:$C$33,MATCH(Table1[[#This Row],[AwayTeam]],Standings!$A$2:$A$33,0),2)=INDEX(Standings!$A$2:$C$33,MATCH(Table1[[#This Row],[HomeTeam]],Standings!$A$2:$A$33,0),2),1,0)</f>
        <v>1</v>
      </c>
      <c r="AK627" s="64">
        <f>IF(INDEX(Standings!$A$2:$C$33,MATCH(Table1[[#This Row],[AwayTeam]],Standings!$A$2:$A$33,0),3)=INDEX(Standings!$A$2:$C$33,MATCH(Table1[[#This Row],[HomeTeam]],Standings!$A$2:$A$33,0),3),1,0)</f>
        <v>0</v>
      </c>
      <c r="AL627" s="64">
        <f>IF(Table1[[#This Row],[InterConf]]=1,IF(Table1[[#This Row],[InterDiv]]=0, 1, 0), 0)</f>
        <v>1</v>
      </c>
      <c r="AM627" s="64">
        <f>IF(INDEX(Standings!$A$2:$C$33,MATCH(Table1[[#This Row],[AwayTeam]],Standings!$A$2:$A$33,0),2)&lt;&gt;INDEX(Standings!$A$2:$C$33,MATCH(Table1[[#This Row],[HomeTeam]],Standings!$A$2:$A$33,0),2),1,0)</f>
        <v>0</v>
      </c>
      <c r="AN627" s="64" t="str">
        <f>INDEX(Table2[AWAY_RECORD], MATCH(Table1[[#This Row],[AwayTeam]],Table2[Team], 0), 0)</f>
        <v>0-0-0</v>
      </c>
      <c r="AO627" s="64" t="str">
        <f>INDEX(Records!$B$2:$AG$33, MATCH(Table1[[#This Row],[AwayTeam]],Records!$A$2:$A$33, 0), MATCH(Table1[[#This Row],[HomeTeam]],Records!$A$2:$A$33, 0))</f>
        <v>0-0-0</v>
      </c>
      <c r="AP627" s="64" t="str">
        <f>INDEX(Table2[HOME_RECORD], MATCH(Table1[[#This Row],[HomeTeam]],Table2[Team], 0), 0)</f>
        <v>0-0-0</v>
      </c>
      <c r="AQ627" s="64" t="str">
        <f>INDEX(Records!$B$2:$AG$33, MATCH(Table1[[#This Row],[HomeTeam]],Records!$A$2:$A$33, 0), MATCH(Table1[[#This Row],[AwayTeam]],Records!$A$2:$A$33, 0))</f>
        <v>0-0-0</v>
      </c>
    </row>
    <row r="628" spans="1:43" x14ac:dyDescent="0.25">
      <c r="A628" s="1"/>
      <c r="D628" t="s">
        <v>900</v>
      </c>
      <c r="E628" t="s">
        <v>162</v>
      </c>
      <c r="F628" t="s">
        <v>902</v>
      </c>
      <c r="G628" t="s">
        <v>43</v>
      </c>
      <c r="H628" t="s">
        <v>52</v>
      </c>
      <c r="L62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2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28" s="1"/>
      <c r="T628" s="64" t="str">
        <f>IF(Table1[[#This Row],[ActualWinner]]="", "", IF(Table1[[#This Row],[AwayTeam]]=Table1[[#This Row],[ActualWinner]],Table1[[#This Row],[HomeTeam]],Table1[[#This Row],[AwayTeam]]))</f>
        <v/>
      </c>
      <c r="U628" s="64">
        <f>Table1[[#This Row],[ActualAwayScore]]-Table1[[#This Row],[PredictedAwayScore]]</f>
        <v>0</v>
      </c>
      <c r="V628" s="64">
        <f>Table1[[#This Row],[ActualHomeScore]]-Table1[[#This Row],[PredictedHomeScore]]</f>
        <v>0</v>
      </c>
      <c r="W628" s="64">
        <f>(0.8*IF(Table1[[#This Row],[CorrectWinnerPrediction]]=1, 1, 0))+(0.1*IF(Table1[[#This Row],[CorrectAwayScorePrediction]]=1, 1, 0))+(0.1*IF(Table1[[#This Row],[CorrectHomeScorePrediction]]=1, 1, 0))</f>
        <v>0</v>
      </c>
      <c r="X62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28" s="64">
        <f>SUMIF(Table1[GameDate], Table1[[#This Row],[GameDate]], Table1[AwayGameGoalDiff])</f>
        <v>0</v>
      </c>
      <c r="AA628" s="64">
        <f>SUMIF(Table1[GameDate], Table1[[#This Row],[GameDate]], Table1[HomeGameGoalDiff])</f>
        <v>0</v>
      </c>
      <c r="AB628" s="64">
        <f>IF(ISBLANK(Table1[[#This Row],[ActualResult]]), 0, 1)</f>
        <v>0</v>
      </c>
      <c r="AC628" s="64">
        <f>IF(ISBLANK(Table1[[#This Row],[ActualResult]]), 0, IF(Table1[[#This Row],[ActualWinner]]=Table1[[#This Row],[PredictedWinner]], 1, 0))</f>
        <v>0</v>
      </c>
      <c r="AD62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2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28" s="64">
        <f>IF(AND(Table1[[#This Row],[GameIsOver]]=1,Table1[[#This Row],[ActualAwayScore]]=0), 1,0)</f>
        <v>0</v>
      </c>
      <c r="AG628" s="64">
        <f>IF(AND(Table1[[#This Row],[GameIsOver]]=1,Table1[[#This Row],[ActualHomeScore]]=0), 1,0)</f>
        <v>0</v>
      </c>
      <c r="AH628" s="64">
        <f>IF(Table1[[#This Row],[GameIsOver]]=0,0,IF(Table1[[#This Row],[ActualWinner]]=Table1[[#This Row],[AwayTeam]], 1, 0))</f>
        <v>0</v>
      </c>
      <c r="AI628" s="64">
        <f>IF(Table1[[#This Row],[GameIsOver]]=0,0,IF(Table1[[#This Row],[ActualWinner]]=Table1[[#This Row],[HomeTeam]], 1, 0))</f>
        <v>0</v>
      </c>
      <c r="AJ628" s="64">
        <f>IF(INDEX(Standings!$A$2:$C$33,MATCH(Table1[[#This Row],[AwayTeam]],Standings!$A$2:$A$33,0),2)=INDEX(Standings!$A$2:$C$33,MATCH(Table1[[#This Row],[HomeTeam]],Standings!$A$2:$A$33,0),2),1,0)</f>
        <v>0</v>
      </c>
      <c r="AK628" s="64">
        <f>IF(INDEX(Standings!$A$2:$C$33,MATCH(Table1[[#This Row],[AwayTeam]],Standings!$A$2:$A$33,0),3)=INDEX(Standings!$A$2:$C$33,MATCH(Table1[[#This Row],[HomeTeam]],Standings!$A$2:$A$33,0),3),1,0)</f>
        <v>0</v>
      </c>
      <c r="AL628" s="64">
        <f>IF(Table1[[#This Row],[InterConf]]=1,IF(Table1[[#This Row],[InterDiv]]=0, 1, 0), 0)</f>
        <v>0</v>
      </c>
      <c r="AM628" s="64">
        <f>IF(INDEX(Standings!$A$2:$C$33,MATCH(Table1[[#This Row],[AwayTeam]],Standings!$A$2:$A$33,0),2)&lt;&gt;INDEX(Standings!$A$2:$C$33,MATCH(Table1[[#This Row],[HomeTeam]],Standings!$A$2:$A$33,0),2),1,0)</f>
        <v>1</v>
      </c>
      <c r="AN628" s="64" t="str">
        <f>INDEX(Table2[AWAY_RECORD], MATCH(Table1[[#This Row],[AwayTeam]],Table2[Team], 0), 0)</f>
        <v>0-0-0</v>
      </c>
      <c r="AO628" s="64" t="str">
        <f>INDEX(Records!$B$2:$AG$33, MATCH(Table1[[#This Row],[AwayTeam]],Records!$A$2:$A$33, 0), MATCH(Table1[[#This Row],[HomeTeam]],Records!$A$2:$A$33, 0))</f>
        <v>0-0-0</v>
      </c>
      <c r="AP628" s="64" t="str">
        <f>INDEX(Table2[HOME_RECORD], MATCH(Table1[[#This Row],[HomeTeam]],Table2[Team], 0), 0)</f>
        <v>0-0-0</v>
      </c>
      <c r="AQ628" s="64" t="str">
        <f>INDEX(Records!$B$2:$AG$33, MATCH(Table1[[#This Row],[HomeTeam]],Records!$A$2:$A$33, 0), MATCH(Table1[[#This Row],[AwayTeam]],Records!$A$2:$A$33, 0))</f>
        <v>0-0-0</v>
      </c>
    </row>
    <row r="629" spans="1:43" x14ac:dyDescent="0.25">
      <c r="A629" s="1"/>
      <c r="D629" t="s">
        <v>900</v>
      </c>
      <c r="E629" t="s">
        <v>162</v>
      </c>
      <c r="F629" t="s">
        <v>903</v>
      </c>
      <c r="G629" t="s">
        <v>48</v>
      </c>
      <c r="H629" t="s">
        <v>57</v>
      </c>
      <c r="L62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2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29" s="1"/>
      <c r="T629" s="64" t="str">
        <f>IF(Table1[[#This Row],[ActualWinner]]="", "", IF(Table1[[#This Row],[AwayTeam]]=Table1[[#This Row],[ActualWinner]],Table1[[#This Row],[HomeTeam]],Table1[[#This Row],[AwayTeam]]))</f>
        <v/>
      </c>
      <c r="U629" s="64">
        <f>Table1[[#This Row],[ActualAwayScore]]-Table1[[#This Row],[PredictedAwayScore]]</f>
        <v>0</v>
      </c>
      <c r="V629" s="64">
        <f>Table1[[#This Row],[ActualHomeScore]]-Table1[[#This Row],[PredictedHomeScore]]</f>
        <v>0</v>
      </c>
      <c r="W629" s="64">
        <f>(0.8*IF(Table1[[#This Row],[CorrectWinnerPrediction]]=1, 1, 0))+(0.1*IF(Table1[[#This Row],[CorrectAwayScorePrediction]]=1, 1, 0))+(0.1*IF(Table1[[#This Row],[CorrectHomeScorePrediction]]=1, 1, 0))</f>
        <v>0</v>
      </c>
      <c r="X62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29" s="64">
        <f>SUMIF(Table1[GameDate], Table1[[#This Row],[GameDate]], Table1[AwayGameGoalDiff])</f>
        <v>0</v>
      </c>
      <c r="AA629" s="64">
        <f>SUMIF(Table1[GameDate], Table1[[#This Row],[GameDate]], Table1[HomeGameGoalDiff])</f>
        <v>0</v>
      </c>
      <c r="AB629" s="64">
        <f>IF(ISBLANK(Table1[[#This Row],[ActualResult]]), 0, 1)</f>
        <v>0</v>
      </c>
      <c r="AC629" s="64">
        <f>IF(ISBLANK(Table1[[#This Row],[ActualResult]]), 0, IF(Table1[[#This Row],[ActualWinner]]=Table1[[#This Row],[PredictedWinner]], 1, 0))</f>
        <v>0</v>
      </c>
      <c r="AD62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2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29" s="64">
        <f>IF(AND(Table1[[#This Row],[GameIsOver]]=1,Table1[[#This Row],[ActualAwayScore]]=0), 1,0)</f>
        <v>0</v>
      </c>
      <c r="AG629" s="64">
        <f>IF(AND(Table1[[#This Row],[GameIsOver]]=1,Table1[[#This Row],[ActualHomeScore]]=0), 1,0)</f>
        <v>0</v>
      </c>
      <c r="AH629" s="64">
        <f>IF(Table1[[#This Row],[GameIsOver]]=0,0,IF(Table1[[#This Row],[ActualWinner]]=Table1[[#This Row],[AwayTeam]], 1, 0))</f>
        <v>0</v>
      </c>
      <c r="AI629" s="64">
        <f>IF(Table1[[#This Row],[GameIsOver]]=0,0,IF(Table1[[#This Row],[ActualWinner]]=Table1[[#This Row],[HomeTeam]], 1, 0))</f>
        <v>0</v>
      </c>
      <c r="AJ629" s="64">
        <f>IF(INDEX(Standings!$A$2:$C$33,MATCH(Table1[[#This Row],[AwayTeam]],Standings!$A$2:$A$33,0),2)=INDEX(Standings!$A$2:$C$33,MATCH(Table1[[#This Row],[HomeTeam]],Standings!$A$2:$A$33,0),2),1,0)</f>
        <v>0</v>
      </c>
      <c r="AK629" s="64">
        <f>IF(INDEX(Standings!$A$2:$C$33,MATCH(Table1[[#This Row],[AwayTeam]],Standings!$A$2:$A$33,0),3)=INDEX(Standings!$A$2:$C$33,MATCH(Table1[[#This Row],[HomeTeam]],Standings!$A$2:$A$33,0),3),1,0)</f>
        <v>0</v>
      </c>
      <c r="AL629" s="64">
        <f>IF(Table1[[#This Row],[InterConf]]=1,IF(Table1[[#This Row],[InterDiv]]=0, 1, 0), 0)</f>
        <v>0</v>
      </c>
      <c r="AM629" s="64">
        <f>IF(INDEX(Standings!$A$2:$C$33,MATCH(Table1[[#This Row],[AwayTeam]],Standings!$A$2:$A$33,0),2)&lt;&gt;INDEX(Standings!$A$2:$C$33,MATCH(Table1[[#This Row],[HomeTeam]],Standings!$A$2:$A$33,0),2),1,0)</f>
        <v>1</v>
      </c>
      <c r="AN629" s="64" t="str">
        <f>INDEX(Table2[AWAY_RECORD], MATCH(Table1[[#This Row],[AwayTeam]],Table2[Team], 0), 0)</f>
        <v>0-0-0</v>
      </c>
      <c r="AO629" s="64" t="str">
        <f>INDEX(Records!$B$2:$AG$33, MATCH(Table1[[#This Row],[AwayTeam]],Records!$A$2:$A$33, 0), MATCH(Table1[[#This Row],[HomeTeam]],Records!$A$2:$A$33, 0))</f>
        <v>0-0-0</v>
      </c>
      <c r="AP629" s="64" t="str">
        <f>INDEX(Table2[HOME_RECORD], MATCH(Table1[[#This Row],[HomeTeam]],Table2[Team], 0), 0)</f>
        <v>0-0-0</v>
      </c>
      <c r="AQ629" s="64" t="str">
        <f>INDEX(Records!$B$2:$AG$33, MATCH(Table1[[#This Row],[HomeTeam]],Records!$A$2:$A$33, 0), MATCH(Table1[[#This Row],[AwayTeam]],Records!$A$2:$A$33, 0))</f>
        <v>0-0-0</v>
      </c>
    </row>
    <row r="630" spans="1:43" x14ac:dyDescent="0.25">
      <c r="A630" s="1"/>
      <c r="D630" t="s">
        <v>900</v>
      </c>
      <c r="E630" t="s">
        <v>162</v>
      </c>
      <c r="F630" t="s">
        <v>904</v>
      </c>
      <c r="G630" t="s">
        <v>44</v>
      </c>
      <c r="H630" t="s">
        <v>51</v>
      </c>
      <c r="L63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3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30" s="1"/>
      <c r="T630" s="64" t="str">
        <f>IF(Table1[[#This Row],[ActualWinner]]="", "", IF(Table1[[#This Row],[AwayTeam]]=Table1[[#This Row],[ActualWinner]],Table1[[#This Row],[HomeTeam]],Table1[[#This Row],[AwayTeam]]))</f>
        <v/>
      </c>
      <c r="U630" s="64">
        <f>Table1[[#This Row],[ActualAwayScore]]-Table1[[#This Row],[PredictedAwayScore]]</f>
        <v>0</v>
      </c>
      <c r="V630" s="64">
        <f>Table1[[#This Row],[ActualHomeScore]]-Table1[[#This Row],[PredictedHomeScore]]</f>
        <v>0</v>
      </c>
      <c r="W630" s="64">
        <f>(0.8*IF(Table1[[#This Row],[CorrectWinnerPrediction]]=1, 1, 0))+(0.1*IF(Table1[[#This Row],[CorrectAwayScorePrediction]]=1, 1, 0))+(0.1*IF(Table1[[#This Row],[CorrectHomeScorePrediction]]=1, 1, 0))</f>
        <v>0</v>
      </c>
      <c r="X63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30" s="64">
        <f>SUMIF(Table1[GameDate], Table1[[#This Row],[GameDate]], Table1[AwayGameGoalDiff])</f>
        <v>0</v>
      </c>
      <c r="AA630" s="64">
        <f>SUMIF(Table1[GameDate], Table1[[#This Row],[GameDate]], Table1[HomeGameGoalDiff])</f>
        <v>0</v>
      </c>
      <c r="AB630" s="64">
        <f>IF(ISBLANK(Table1[[#This Row],[ActualResult]]), 0, 1)</f>
        <v>0</v>
      </c>
      <c r="AC630" s="64">
        <f>IF(ISBLANK(Table1[[#This Row],[ActualResult]]), 0, IF(Table1[[#This Row],[ActualWinner]]=Table1[[#This Row],[PredictedWinner]], 1, 0))</f>
        <v>0</v>
      </c>
      <c r="AD63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3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30" s="64">
        <f>IF(AND(Table1[[#This Row],[GameIsOver]]=1,Table1[[#This Row],[ActualAwayScore]]=0), 1,0)</f>
        <v>0</v>
      </c>
      <c r="AG630" s="64">
        <f>IF(AND(Table1[[#This Row],[GameIsOver]]=1,Table1[[#This Row],[ActualHomeScore]]=0), 1,0)</f>
        <v>0</v>
      </c>
      <c r="AH630" s="64">
        <f>IF(Table1[[#This Row],[GameIsOver]]=0,0,IF(Table1[[#This Row],[ActualWinner]]=Table1[[#This Row],[AwayTeam]], 1, 0))</f>
        <v>0</v>
      </c>
      <c r="AI630" s="64">
        <f>IF(Table1[[#This Row],[GameIsOver]]=0,0,IF(Table1[[#This Row],[ActualWinner]]=Table1[[#This Row],[HomeTeam]], 1, 0))</f>
        <v>0</v>
      </c>
      <c r="AJ630" s="64">
        <f>IF(INDEX(Standings!$A$2:$C$33,MATCH(Table1[[#This Row],[AwayTeam]],Standings!$A$2:$A$33,0),2)=INDEX(Standings!$A$2:$C$33,MATCH(Table1[[#This Row],[HomeTeam]],Standings!$A$2:$A$33,0),2),1,0)</f>
        <v>1</v>
      </c>
      <c r="AK630" s="64">
        <f>IF(INDEX(Standings!$A$2:$C$33,MATCH(Table1[[#This Row],[AwayTeam]],Standings!$A$2:$A$33,0),3)=INDEX(Standings!$A$2:$C$33,MATCH(Table1[[#This Row],[HomeTeam]],Standings!$A$2:$A$33,0),3),1,0)</f>
        <v>0</v>
      </c>
      <c r="AL630" s="64">
        <f>IF(Table1[[#This Row],[InterConf]]=1,IF(Table1[[#This Row],[InterDiv]]=0, 1, 0), 0)</f>
        <v>1</v>
      </c>
      <c r="AM630" s="64">
        <f>IF(INDEX(Standings!$A$2:$C$33,MATCH(Table1[[#This Row],[AwayTeam]],Standings!$A$2:$A$33,0),2)&lt;&gt;INDEX(Standings!$A$2:$C$33,MATCH(Table1[[#This Row],[HomeTeam]],Standings!$A$2:$A$33,0),2),1,0)</f>
        <v>0</v>
      </c>
      <c r="AN630" s="64" t="str">
        <f>INDEX(Table2[AWAY_RECORD], MATCH(Table1[[#This Row],[AwayTeam]],Table2[Team], 0), 0)</f>
        <v>0-0-0</v>
      </c>
      <c r="AO630" s="64" t="str">
        <f>INDEX(Records!$B$2:$AG$33, MATCH(Table1[[#This Row],[AwayTeam]],Records!$A$2:$A$33, 0), MATCH(Table1[[#This Row],[HomeTeam]],Records!$A$2:$A$33, 0))</f>
        <v>0-0-1</v>
      </c>
      <c r="AP630" s="64" t="str">
        <f>INDEX(Table2[HOME_RECORD], MATCH(Table1[[#This Row],[HomeTeam]],Table2[Team], 0), 0)</f>
        <v>1-0-0</v>
      </c>
      <c r="AQ630" s="64" t="str">
        <f>INDEX(Records!$B$2:$AG$33, MATCH(Table1[[#This Row],[HomeTeam]],Records!$A$2:$A$33, 0), MATCH(Table1[[#This Row],[AwayTeam]],Records!$A$2:$A$33, 0))</f>
        <v>1-0-0</v>
      </c>
    </row>
    <row r="631" spans="1:43" x14ac:dyDescent="0.25">
      <c r="A631" s="1"/>
      <c r="D631" t="s">
        <v>900</v>
      </c>
      <c r="E631" t="s">
        <v>162</v>
      </c>
      <c r="F631" t="s">
        <v>905</v>
      </c>
      <c r="G631" t="s">
        <v>40</v>
      </c>
      <c r="H631" t="s">
        <v>54</v>
      </c>
      <c r="L63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3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31" s="1"/>
      <c r="T631" s="64" t="str">
        <f>IF(Table1[[#This Row],[ActualWinner]]="", "", IF(Table1[[#This Row],[AwayTeam]]=Table1[[#This Row],[ActualWinner]],Table1[[#This Row],[HomeTeam]],Table1[[#This Row],[AwayTeam]]))</f>
        <v/>
      </c>
      <c r="U631" s="64">
        <f>Table1[[#This Row],[ActualAwayScore]]-Table1[[#This Row],[PredictedAwayScore]]</f>
        <v>0</v>
      </c>
      <c r="V631" s="64">
        <f>Table1[[#This Row],[ActualHomeScore]]-Table1[[#This Row],[PredictedHomeScore]]</f>
        <v>0</v>
      </c>
      <c r="W631" s="64">
        <f>(0.8*IF(Table1[[#This Row],[CorrectWinnerPrediction]]=1, 1, 0))+(0.1*IF(Table1[[#This Row],[CorrectAwayScorePrediction]]=1, 1, 0))+(0.1*IF(Table1[[#This Row],[CorrectHomeScorePrediction]]=1, 1, 0))</f>
        <v>0</v>
      </c>
      <c r="X63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31" s="64">
        <f>SUMIF(Table1[GameDate], Table1[[#This Row],[GameDate]], Table1[AwayGameGoalDiff])</f>
        <v>0</v>
      </c>
      <c r="AA631" s="64">
        <f>SUMIF(Table1[GameDate], Table1[[#This Row],[GameDate]], Table1[HomeGameGoalDiff])</f>
        <v>0</v>
      </c>
      <c r="AB631" s="64">
        <f>IF(ISBLANK(Table1[[#This Row],[ActualResult]]), 0, 1)</f>
        <v>0</v>
      </c>
      <c r="AC631" s="64">
        <f>IF(ISBLANK(Table1[[#This Row],[ActualResult]]), 0, IF(Table1[[#This Row],[ActualWinner]]=Table1[[#This Row],[PredictedWinner]], 1, 0))</f>
        <v>0</v>
      </c>
      <c r="AD63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3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31" s="64">
        <f>IF(AND(Table1[[#This Row],[GameIsOver]]=1,Table1[[#This Row],[ActualAwayScore]]=0), 1,0)</f>
        <v>0</v>
      </c>
      <c r="AG631" s="64">
        <f>IF(AND(Table1[[#This Row],[GameIsOver]]=1,Table1[[#This Row],[ActualHomeScore]]=0), 1,0)</f>
        <v>0</v>
      </c>
      <c r="AH631" s="64">
        <f>IF(Table1[[#This Row],[GameIsOver]]=0,0,IF(Table1[[#This Row],[ActualWinner]]=Table1[[#This Row],[AwayTeam]], 1, 0))</f>
        <v>0</v>
      </c>
      <c r="AI631" s="64">
        <f>IF(Table1[[#This Row],[GameIsOver]]=0,0,IF(Table1[[#This Row],[ActualWinner]]=Table1[[#This Row],[HomeTeam]], 1, 0))</f>
        <v>0</v>
      </c>
      <c r="AJ631" s="64">
        <f>IF(INDEX(Standings!$A$2:$C$33,MATCH(Table1[[#This Row],[AwayTeam]],Standings!$A$2:$A$33,0),2)=INDEX(Standings!$A$2:$C$33,MATCH(Table1[[#This Row],[HomeTeam]],Standings!$A$2:$A$33,0),2),1,0)</f>
        <v>1</v>
      </c>
      <c r="AK631" s="64">
        <f>IF(INDEX(Standings!$A$2:$C$33,MATCH(Table1[[#This Row],[AwayTeam]],Standings!$A$2:$A$33,0),3)=INDEX(Standings!$A$2:$C$33,MATCH(Table1[[#This Row],[HomeTeam]],Standings!$A$2:$A$33,0),3),1,0)</f>
        <v>1</v>
      </c>
      <c r="AL631" s="64">
        <f>IF(Table1[[#This Row],[InterConf]]=1,IF(Table1[[#This Row],[InterDiv]]=0, 1, 0), 0)</f>
        <v>0</v>
      </c>
      <c r="AM631" s="64">
        <f>IF(INDEX(Standings!$A$2:$C$33,MATCH(Table1[[#This Row],[AwayTeam]],Standings!$A$2:$A$33,0),2)&lt;&gt;INDEX(Standings!$A$2:$C$33,MATCH(Table1[[#This Row],[HomeTeam]],Standings!$A$2:$A$33,0),2),1,0)</f>
        <v>0</v>
      </c>
      <c r="AN631" s="64" t="str">
        <f>INDEX(Table2[AWAY_RECORD], MATCH(Table1[[#This Row],[AwayTeam]],Table2[Team], 0), 0)</f>
        <v>0-0-0</v>
      </c>
      <c r="AO631" s="64" t="str">
        <f>INDEX(Records!$B$2:$AG$33, MATCH(Table1[[#This Row],[AwayTeam]],Records!$A$2:$A$33, 0), MATCH(Table1[[#This Row],[HomeTeam]],Records!$A$2:$A$33, 0))</f>
        <v>0-0-0</v>
      </c>
      <c r="AP631" s="64" t="str">
        <f>INDEX(Table2[HOME_RECORD], MATCH(Table1[[#This Row],[HomeTeam]],Table2[Team], 0), 0)</f>
        <v>0-0-0</v>
      </c>
      <c r="AQ631" s="64" t="str">
        <f>INDEX(Records!$B$2:$AG$33, MATCH(Table1[[#This Row],[HomeTeam]],Records!$A$2:$A$33, 0), MATCH(Table1[[#This Row],[AwayTeam]],Records!$A$2:$A$33, 0))</f>
        <v>0-0-0</v>
      </c>
    </row>
    <row r="632" spans="1:43" x14ac:dyDescent="0.25">
      <c r="A632" s="1"/>
      <c r="D632" t="s">
        <v>900</v>
      </c>
      <c r="E632" t="s">
        <v>178</v>
      </c>
      <c r="F632" t="s">
        <v>906</v>
      </c>
      <c r="G632" t="s">
        <v>25</v>
      </c>
      <c r="H632" t="s">
        <v>16</v>
      </c>
      <c r="L63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3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32" s="1"/>
      <c r="T632" s="64" t="str">
        <f>IF(Table1[[#This Row],[ActualWinner]]="", "", IF(Table1[[#This Row],[AwayTeam]]=Table1[[#This Row],[ActualWinner]],Table1[[#This Row],[HomeTeam]],Table1[[#This Row],[AwayTeam]]))</f>
        <v/>
      </c>
      <c r="U632" s="64">
        <f>Table1[[#This Row],[ActualAwayScore]]-Table1[[#This Row],[PredictedAwayScore]]</f>
        <v>0</v>
      </c>
      <c r="V632" s="64">
        <f>Table1[[#This Row],[ActualHomeScore]]-Table1[[#This Row],[PredictedHomeScore]]</f>
        <v>0</v>
      </c>
      <c r="W632" s="64">
        <f>(0.8*IF(Table1[[#This Row],[CorrectWinnerPrediction]]=1, 1, 0))+(0.1*IF(Table1[[#This Row],[CorrectAwayScorePrediction]]=1, 1, 0))+(0.1*IF(Table1[[#This Row],[CorrectHomeScorePrediction]]=1, 1, 0))</f>
        <v>0</v>
      </c>
      <c r="X63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32" s="64">
        <f>SUMIF(Table1[GameDate], Table1[[#This Row],[GameDate]], Table1[AwayGameGoalDiff])</f>
        <v>0</v>
      </c>
      <c r="AA632" s="64">
        <f>SUMIF(Table1[GameDate], Table1[[#This Row],[GameDate]], Table1[HomeGameGoalDiff])</f>
        <v>0</v>
      </c>
      <c r="AB632" s="64">
        <f>IF(ISBLANK(Table1[[#This Row],[ActualResult]]), 0, 1)</f>
        <v>0</v>
      </c>
      <c r="AC632" s="64">
        <f>IF(ISBLANK(Table1[[#This Row],[ActualResult]]), 0, IF(Table1[[#This Row],[ActualWinner]]=Table1[[#This Row],[PredictedWinner]], 1, 0))</f>
        <v>0</v>
      </c>
      <c r="AD63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3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32" s="64">
        <f>IF(AND(Table1[[#This Row],[GameIsOver]]=1,Table1[[#This Row],[ActualAwayScore]]=0), 1,0)</f>
        <v>0</v>
      </c>
      <c r="AG632" s="64">
        <f>IF(AND(Table1[[#This Row],[GameIsOver]]=1,Table1[[#This Row],[ActualHomeScore]]=0), 1,0)</f>
        <v>0</v>
      </c>
      <c r="AH632" s="64">
        <f>IF(Table1[[#This Row],[GameIsOver]]=0,0,IF(Table1[[#This Row],[ActualWinner]]=Table1[[#This Row],[AwayTeam]], 1, 0))</f>
        <v>0</v>
      </c>
      <c r="AI632" s="64">
        <f>IF(Table1[[#This Row],[GameIsOver]]=0,0,IF(Table1[[#This Row],[ActualWinner]]=Table1[[#This Row],[HomeTeam]], 1, 0))</f>
        <v>0</v>
      </c>
      <c r="AJ632" s="64">
        <f>IF(INDEX(Standings!$A$2:$C$33,MATCH(Table1[[#This Row],[AwayTeam]],Standings!$A$2:$A$33,0),2)=INDEX(Standings!$A$2:$C$33,MATCH(Table1[[#This Row],[HomeTeam]],Standings!$A$2:$A$33,0),2),1,0)</f>
        <v>1</v>
      </c>
      <c r="AK632" s="64">
        <f>IF(INDEX(Standings!$A$2:$C$33,MATCH(Table1[[#This Row],[AwayTeam]],Standings!$A$2:$A$33,0),3)=INDEX(Standings!$A$2:$C$33,MATCH(Table1[[#This Row],[HomeTeam]],Standings!$A$2:$A$33,0),3),1,0)</f>
        <v>0</v>
      </c>
      <c r="AL632" s="64">
        <f>IF(Table1[[#This Row],[InterConf]]=1,IF(Table1[[#This Row],[InterDiv]]=0, 1, 0), 0)</f>
        <v>1</v>
      </c>
      <c r="AM632" s="64">
        <f>IF(INDEX(Standings!$A$2:$C$33,MATCH(Table1[[#This Row],[AwayTeam]],Standings!$A$2:$A$33,0),2)&lt;&gt;INDEX(Standings!$A$2:$C$33,MATCH(Table1[[#This Row],[HomeTeam]],Standings!$A$2:$A$33,0),2),1,0)</f>
        <v>0</v>
      </c>
      <c r="AN632" s="64" t="str">
        <f>INDEX(Table2[AWAY_RECORD], MATCH(Table1[[#This Row],[AwayTeam]],Table2[Team], 0), 0)</f>
        <v>0-0-0</v>
      </c>
      <c r="AO632" s="64" t="str">
        <f>INDEX(Records!$B$2:$AG$33, MATCH(Table1[[#This Row],[AwayTeam]],Records!$A$2:$A$33, 0), MATCH(Table1[[#This Row],[HomeTeam]],Records!$A$2:$A$33, 0))</f>
        <v>0-0-1</v>
      </c>
      <c r="AP632" s="64" t="str">
        <f>INDEX(Table2[HOME_RECORD], MATCH(Table1[[#This Row],[HomeTeam]],Table2[Team], 0), 0)</f>
        <v>0-0-0</v>
      </c>
      <c r="AQ632" s="64" t="str">
        <f>INDEX(Records!$B$2:$AG$33, MATCH(Table1[[#This Row],[HomeTeam]],Records!$A$2:$A$33, 0), MATCH(Table1[[#This Row],[AwayTeam]],Records!$A$2:$A$33, 0))</f>
        <v>1-0-0</v>
      </c>
    </row>
    <row r="633" spans="1:43" x14ac:dyDescent="0.25">
      <c r="A633" s="1"/>
      <c r="D633" t="s">
        <v>900</v>
      </c>
      <c r="E633" t="s">
        <v>178</v>
      </c>
      <c r="F633" t="s">
        <v>907</v>
      </c>
      <c r="G633" t="s">
        <v>55</v>
      </c>
      <c r="H633" t="s">
        <v>39</v>
      </c>
      <c r="L63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3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33" s="1"/>
      <c r="T633" s="64" t="str">
        <f>IF(Table1[[#This Row],[ActualWinner]]="", "", IF(Table1[[#This Row],[AwayTeam]]=Table1[[#This Row],[ActualWinner]],Table1[[#This Row],[HomeTeam]],Table1[[#This Row],[AwayTeam]]))</f>
        <v/>
      </c>
      <c r="U633" s="64">
        <f>Table1[[#This Row],[ActualAwayScore]]-Table1[[#This Row],[PredictedAwayScore]]</f>
        <v>0</v>
      </c>
      <c r="V633" s="64">
        <f>Table1[[#This Row],[ActualHomeScore]]-Table1[[#This Row],[PredictedHomeScore]]</f>
        <v>0</v>
      </c>
      <c r="W633" s="64">
        <f>(0.8*IF(Table1[[#This Row],[CorrectWinnerPrediction]]=1, 1, 0))+(0.1*IF(Table1[[#This Row],[CorrectAwayScorePrediction]]=1, 1, 0))+(0.1*IF(Table1[[#This Row],[CorrectHomeScorePrediction]]=1, 1, 0))</f>
        <v>0</v>
      </c>
      <c r="X63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33" s="64">
        <f>SUMIF(Table1[GameDate], Table1[[#This Row],[GameDate]], Table1[AwayGameGoalDiff])</f>
        <v>0</v>
      </c>
      <c r="AA633" s="64">
        <f>SUMIF(Table1[GameDate], Table1[[#This Row],[GameDate]], Table1[HomeGameGoalDiff])</f>
        <v>0</v>
      </c>
      <c r="AB633" s="64">
        <f>IF(ISBLANK(Table1[[#This Row],[ActualResult]]), 0, 1)</f>
        <v>0</v>
      </c>
      <c r="AC633" s="64">
        <f>IF(ISBLANK(Table1[[#This Row],[ActualResult]]), 0, IF(Table1[[#This Row],[ActualWinner]]=Table1[[#This Row],[PredictedWinner]], 1, 0))</f>
        <v>0</v>
      </c>
      <c r="AD63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3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33" s="64">
        <f>IF(AND(Table1[[#This Row],[GameIsOver]]=1,Table1[[#This Row],[ActualAwayScore]]=0), 1,0)</f>
        <v>0</v>
      </c>
      <c r="AG633" s="64">
        <f>IF(AND(Table1[[#This Row],[GameIsOver]]=1,Table1[[#This Row],[ActualHomeScore]]=0), 1,0)</f>
        <v>0</v>
      </c>
      <c r="AH633" s="64">
        <f>IF(Table1[[#This Row],[GameIsOver]]=0,0,IF(Table1[[#This Row],[ActualWinner]]=Table1[[#This Row],[AwayTeam]], 1, 0))</f>
        <v>0</v>
      </c>
      <c r="AI633" s="64">
        <f>IF(Table1[[#This Row],[GameIsOver]]=0,0,IF(Table1[[#This Row],[ActualWinner]]=Table1[[#This Row],[HomeTeam]], 1, 0))</f>
        <v>0</v>
      </c>
      <c r="AJ633" s="64">
        <f>IF(INDEX(Standings!$A$2:$C$33,MATCH(Table1[[#This Row],[AwayTeam]],Standings!$A$2:$A$33,0),2)=INDEX(Standings!$A$2:$C$33,MATCH(Table1[[#This Row],[HomeTeam]],Standings!$A$2:$A$33,0),2),1,0)</f>
        <v>1</v>
      </c>
      <c r="AK633" s="64">
        <f>IF(INDEX(Standings!$A$2:$C$33,MATCH(Table1[[#This Row],[AwayTeam]],Standings!$A$2:$A$33,0),3)=INDEX(Standings!$A$2:$C$33,MATCH(Table1[[#This Row],[HomeTeam]],Standings!$A$2:$A$33,0),3),1,0)</f>
        <v>1</v>
      </c>
      <c r="AL633" s="64">
        <f>IF(Table1[[#This Row],[InterConf]]=1,IF(Table1[[#This Row],[InterDiv]]=0, 1, 0), 0)</f>
        <v>0</v>
      </c>
      <c r="AM633" s="64">
        <f>IF(INDEX(Standings!$A$2:$C$33,MATCH(Table1[[#This Row],[AwayTeam]],Standings!$A$2:$A$33,0),2)&lt;&gt;INDEX(Standings!$A$2:$C$33,MATCH(Table1[[#This Row],[HomeTeam]],Standings!$A$2:$A$33,0),2),1,0)</f>
        <v>0</v>
      </c>
      <c r="AN633" s="64" t="str">
        <f>INDEX(Table2[AWAY_RECORD], MATCH(Table1[[#This Row],[AwayTeam]],Table2[Team], 0), 0)</f>
        <v>0-0-0</v>
      </c>
      <c r="AO633" s="64" t="str">
        <f>INDEX(Records!$B$2:$AG$33, MATCH(Table1[[#This Row],[AwayTeam]],Records!$A$2:$A$33, 0), MATCH(Table1[[#This Row],[HomeTeam]],Records!$A$2:$A$33, 0))</f>
        <v>0-0-0</v>
      </c>
      <c r="AP633" s="64" t="str">
        <f>INDEX(Table2[HOME_RECORD], MATCH(Table1[[#This Row],[HomeTeam]],Table2[Team], 0), 0)</f>
        <v>0-1-0</v>
      </c>
      <c r="AQ633" s="64" t="str">
        <f>INDEX(Records!$B$2:$AG$33, MATCH(Table1[[#This Row],[HomeTeam]],Records!$A$2:$A$33, 0), MATCH(Table1[[#This Row],[AwayTeam]],Records!$A$2:$A$33, 0))</f>
        <v>0-0-0</v>
      </c>
    </row>
    <row r="634" spans="1:43" x14ac:dyDescent="0.25">
      <c r="A634" s="1"/>
      <c r="D634" t="s">
        <v>900</v>
      </c>
      <c r="E634" t="s">
        <v>164</v>
      </c>
      <c r="F634" t="s">
        <v>908</v>
      </c>
      <c r="G634" t="s">
        <v>61</v>
      </c>
      <c r="H634" t="s">
        <v>41</v>
      </c>
      <c r="L63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3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34" s="1"/>
      <c r="T634" s="64" t="str">
        <f>IF(Table1[[#This Row],[ActualWinner]]="", "", IF(Table1[[#This Row],[AwayTeam]]=Table1[[#This Row],[ActualWinner]],Table1[[#This Row],[HomeTeam]],Table1[[#This Row],[AwayTeam]]))</f>
        <v/>
      </c>
      <c r="U634" s="64">
        <f>Table1[[#This Row],[ActualAwayScore]]-Table1[[#This Row],[PredictedAwayScore]]</f>
        <v>0</v>
      </c>
      <c r="V634" s="64">
        <f>Table1[[#This Row],[ActualHomeScore]]-Table1[[#This Row],[PredictedHomeScore]]</f>
        <v>0</v>
      </c>
      <c r="W634" s="64">
        <f>(0.8*IF(Table1[[#This Row],[CorrectWinnerPrediction]]=1, 1, 0))+(0.1*IF(Table1[[#This Row],[CorrectAwayScorePrediction]]=1, 1, 0))+(0.1*IF(Table1[[#This Row],[CorrectHomeScorePrediction]]=1, 1, 0))</f>
        <v>0</v>
      </c>
      <c r="X63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34" s="64">
        <f>SUMIF(Table1[GameDate], Table1[[#This Row],[GameDate]], Table1[AwayGameGoalDiff])</f>
        <v>0</v>
      </c>
      <c r="AA634" s="64">
        <f>SUMIF(Table1[GameDate], Table1[[#This Row],[GameDate]], Table1[HomeGameGoalDiff])</f>
        <v>0</v>
      </c>
      <c r="AB634" s="64">
        <f>IF(ISBLANK(Table1[[#This Row],[ActualResult]]), 0, 1)</f>
        <v>0</v>
      </c>
      <c r="AC634" s="64">
        <f>IF(ISBLANK(Table1[[#This Row],[ActualResult]]), 0, IF(Table1[[#This Row],[ActualWinner]]=Table1[[#This Row],[PredictedWinner]], 1, 0))</f>
        <v>0</v>
      </c>
      <c r="AD63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3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34" s="64">
        <f>IF(AND(Table1[[#This Row],[GameIsOver]]=1,Table1[[#This Row],[ActualAwayScore]]=0), 1,0)</f>
        <v>0</v>
      </c>
      <c r="AG634" s="64">
        <f>IF(AND(Table1[[#This Row],[GameIsOver]]=1,Table1[[#This Row],[ActualHomeScore]]=0), 1,0)</f>
        <v>0</v>
      </c>
      <c r="AH634" s="64">
        <f>IF(Table1[[#This Row],[GameIsOver]]=0,0,IF(Table1[[#This Row],[ActualWinner]]=Table1[[#This Row],[AwayTeam]], 1, 0))</f>
        <v>0</v>
      </c>
      <c r="AI634" s="64">
        <f>IF(Table1[[#This Row],[GameIsOver]]=0,0,IF(Table1[[#This Row],[ActualWinner]]=Table1[[#This Row],[HomeTeam]], 1, 0))</f>
        <v>0</v>
      </c>
      <c r="AJ634" s="64">
        <f>IF(INDEX(Standings!$A$2:$C$33,MATCH(Table1[[#This Row],[AwayTeam]],Standings!$A$2:$A$33,0),2)=INDEX(Standings!$A$2:$C$33,MATCH(Table1[[#This Row],[HomeTeam]],Standings!$A$2:$A$33,0),2),1,0)</f>
        <v>1</v>
      </c>
      <c r="AK634" s="64">
        <f>IF(INDEX(Standings!$A$2:$C$33,MATCH(Table1[[#This Row],[AwayTeam]],Standings!$A$2:$A$33,0),3)=INDEX(Standings!$A$2:$C$33,MATCH(Table1[[#This Row],[HomeTeam]],Standings!$A$2:$A$33,0),3),1,0)</f>
        <v>1</v>
      </c>
      <c r="AL634" s="64">
        <f>IF(Table1[[#This Row],[InterConf]]=1,IF(Table1[[#This Row],[InterDiv]]=0, 1, 0), 0)</f>
        <v>0</v>
      </c>
      <c r="AM634" s="64">
        <f>IF(INDEX(Standings!$A$2:$C$33,MATCH(Table1[[#This Row],[AwayTeam]],Standings!$A$2:$A$33,0),2)&lt;&gt;INDEX(Standings!$A$2:$C$33,MATCH(Table1[[#This Row],[HomeTeam]],Standings!$A$2:$A$33,0),2),1,0)</f>
        <v>0</v>
      </c>
      <c r="AN634" s="64" t="str">
        <f>INDEX(Table2[AWAY_RECORD], MATCH(Table1[[#This Row],[AwayTeam]],Table2[Team], 0), 0)</f>
        <v>0-0-0</v>
      </c>
      <c r="AO634" s="64" t="str">
        <f>INDEX(Records!$B$2:$AG$33, MATCH(Table1[[#This Row],[AwayTeam]],Records!$A$2:$A$33, 0), MATCH(Table1[[#This Row],[HomeTeam]],Records!$A$2:$A$33, 0))</f>
        <v>0-0-0</v>
      </c>
      <c r="AP634" s="64" t="str">
        <f>INDEX(Table2[HOME_RECORD], MATCH(Table1[[#This Row],[HomeTeam]],Table2[Team], 0), 0)</f>
        <v>0-0-1</v>
      </c>
      <c r="AQ634" s="64" t="str">
        <f>INDEX(Records!$B$2:$AG$33, MATCH(Table1[[#This Row],[HomeTeam]],Records!$A$2:$A$33, 0), MATCH(Table1[[#This Row],[AwayTeam]],Records!$A$2:$A$33, 0))</f>
        <v>0-0-0</v>
      </c>
    </row>
    <row r="635" spans="1:43" x14ac:dyDescent="0.25">
      <c r="A635" s="1"/>
      <c r="D635" t="s">
        <v>900</v>
      </c>
      <c r="E635" t="s">
        <v>164</v>
      </c>
      <c r="F635" t="s">
        <v>909</v>
      </c>
      <c r="G635" t="s">
        <v>49</v>
      </c>
      <c r="H635" t="s">
        <v>58</v>
      </c>
      <c r="L63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3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35" s="1"/>
      <c r="T635" s="64" t="str">
        <f>IF(Table1[[#This Row],[ActualWinner]]="", "", IF(Table1[[#This Row],[AwayTeam]]=Table1[[#This Row],[ActualWinner]],Table1[[#This Row],[HomeTeam]],Table1[[#This Row],[AwayTeam]]))</f>
        <v/>
      </c>
      <c r="U635" s="64">
        <f>Table1[[#This Row],[ActualAwayScore]]-Table1[[#This Row],[PredictedAwayScore]]</f>
        <v>0</v>
      </c>
      <c r="V635" s="64">
        <f>Table1[[#This Row],[ActualHomeScore]]-Table1[[#This Row],[PredictedHomeScore]]</f>
        <v>0</v>
      </c>
      <c r="W635" s="64">
        <f>(0.8*IF(Table1[[#This Row],[CorrectWinnerPrediction]]=1, 1, 0))+(0.1*IF(Table1[[#This Row],[CorrectAwayScorePrediction]]=1, 1, 0))+(0.1*IF(Table1[[#This Row],[CorrectHomeScorePrediction]]=1, 1, 0))</f>
        <v>0</v>
      </c>
      <c r="X63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35" s="64">
        <f>SUMIF(Table1[GameDate], Table1[[#This Row],[GameDate]], Table1[AwayGameGoalDiff])</f>
        <v>0</v>
      </c>
      <c r="AA635" s="64">
        <f>SUMIF(Table1[GameDate], Table1[[#This Row],[GameDate]], Table1[HomeGameGoalDiff])</f>
        <v>0</v>
      </c>
      <c r="AB635" s="64">
        <f>IF(ISBLANK(Table1[[#This Row],[ActualResult]]), 0, 1)</f>
        <v>0</v>
      </c>
      <c r="AC635" s="64">
        <f>IF(ISBLANK(Table1[[#This Row],[ActualResult]]), 0, IF(Table1[[#This Row],[ActualWinner]]=Table1[[#This Row],[PredictedWinner]], 1, 0))</f>
        <v>0</v>
      </c>
      <c r="AD63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3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35" s="64">
        <f>IF(AND(Table1[[#This Row],[GameIsOver]]=1,Table1[[#This Row],[ActualAwayScore]]=0), 1,0)</f>
        <v>0</v>
      </c>
      <c r="AG635" s="64">
        <f>IF(AND(Table1[[#This Row],[GameIsOver]]=1,Table1[[#This Row],[ActualHomeScore]]=0), 1,0)</f>
        <v>0</v>
      </c>
      <c r="AH635" s="64">
        <f>IF(Table1[[#This Row],[GameIsOver]]=0,0,IF(Table1[[#This Row],[ActualWinner]]=Table1[[#This Row],[AwayTeam]], 1, 0))</f>
        <v>0</v>
      </c>
      <c r="AI635" s="64">
        <f>IF(Table1[[#This Row],[GameIsOver]]=0,0,IF(Table1[[#This Row],[ActualWinner]]=Table1[[#This Row],[HomeTeam]], 1, 0))</f>
        <v>0</v>
      </c>
      <c r="AJ635" s="64">
        <f>IF(INDEX(Standings!$A$2:$C$33,MATCH(Table1[[#This Row],[AwayTeam]],Standings!$A$2:$A$33,0),2)=INDEX(Standings!$A$2:$C$33,MATCH(Table1[[#This Row],[HomeTeam]],Standings!$A$2:$A$33,0),2),1,0)</f>
        <v>0</v>
      </c>
      <c r="AK635" s="64">
        <f>IF(INDEX(Standings!$A$2:$C$33,MATCH(Table1[[#This Row],[AwayTeam]],Standings!$A$2:$A$33,0),3)=INDEX(Standings!$A$2:$C$33,MATCH(Table1[[#This Row],[HomeTeam]],Standings!$A$2:$A$33,0),3),1,0)</f>
        <v>0</v>
      </c>
      <c r="AL635" s="64">
        <f>IF(Table1[[#This Row],[InterConf]]=1,IF(Table1[[#This Row],[InterDiv]]=0, 1, 0), 0)</f>
        <v>0</v>
      </c>
      <c r="AM635" s="64">
        <f>IF(INDEX(Standings!$A$2:$C$33,MATCH(Table1[[#This Row],[AwayTeam]],Standings!$A$2:$A$33,0),2)&lt;&gt;INDEX(Standings!$A$2:$C$33,MATCH(Table1[[#This Row],[HomeTeam]],Standings!$A$2:$A$33,0),2),1,0)</f>
        <v>1</v>
      </c>
      <c r="AN635" s="64" t="str">
        <f>INDEX(Table2[AWAY_RECORD], MATCH(Table1[[#This Row],[AwayTeam]],Table2[Team], 0), 0)</f>
        <v>0-0-0</v>
      </c>
      <c r="AO635" s="64" t="str">
        <f>INDEX(Records!$B$2:$AG$33, MATCH(Table1[[#This Row],[AwayTeam]],Records!$A$2:$A$33, 0), MATCH(Table1[[#This Row],[HomeTeam]],Records!$A$2:$A$33, 0))</f>
        <v>0-0-0</v>
      </c>
      <c r="AP635" s="64" t="str">
        <f>INDEX(Table2[HOME_RECORD], MATCH(Table1[[#This Row],[HomeTeam]],Table2[Team], 0), 0)</f>
        <v>1-0-0</v>
      </c>
      <c r="AQ635" s="64" t="str">
        <f>INDEX(Records!$B$2:$AG$33, MATCH(Table1[[#This Row],[HomeTeam]],Records!$A$2:$A$33, 0), MATCH(Table1[[#This Row],[AwayTeam]],Records!$A$2:$A$33, 0))</f>
        <v>0-0-0</v>
      </c>
    </row>
    <row r="636" spans="1:43" x14ac:dyDescent="0.25">
      <c r="A636" s="1"/>
      <c r="D636" t="s">
        <v>900</v>
      </c>
      <c r="E636" t="s">
        <v>593</v>
      </c>
      <c r="F636" t="s">
        <v>910</v>
      </c>
      <c r="G636" t="s">
        <v>53</v>
      </c>
      <c r="H636" t="s">
        <v>56</v>
      </c>
      <c r="L63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3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36" s="1"/>
      <c r="T636" s="64" t="str">
        <f>IF(Table1[[#This Row],[ActualWinner]]="", "", IF(Table1[[#This Row],[AwayTeam]]=Table1[[#This Row],[ActualWinner]],Table1[[#This Row],[HomeTeam]],Table1[[#This Row],[AwayTeam]]))</f>
        <v/>
      </c>
      <c r="U636" s="64">
        <f>Table1[[#This Row],[ActualAwayScore]]-Table1[[#This Row],[PredictedAwayScore]]</f>
        <v>0</v>
      </c>
      <c r="V636" s="64">
        <f>Table1[[#This Row],[ActualHomeScore]]-Table1[[#This Row],[PredictedHomeScore]]</f>
        <v>0</v>
      </c>
      <c r="W636" s="64">
        <f>(0.8*IF(Table1[[#This Row],[CorrectWinnerPrediction]]=1, 1, 0))+(0.1*IF(Table1[[#This Row],[CorrectAwayScorePrediction]]=1, 1, 0))+(0.1*IF(Table1[[#This Row],[CorrectHomeScorePrediction]]=1, 1, 0))</f>
        <v>0</v>
      </c>
      <c r="X63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36" s="64">
        <f>SUMIF(Table1[GameDate], Table1[[#This Row],[GameDate]], Table1[AwayGameGoalDiff])</f>
        <v>0</v>
      </c>
      <c r="AA636" s="64">
        <f>SUMIF(Table1[GameDate], Table1[[#This Row],[GameDate]], Table1[HomeGameGoalDiff])</f>
        <v>0</v>
      </c>
      <c r="AB636" s="64">
        <f>IF(ISBLANK(Table1[[#This Row],[ActualResult]]), 0, 1)</f>
        <v>0</v>
      </c>
      <c r="AC636" s="64">
        <f>IF(ISBLANK(Table1[[#This Row],[ActualResult]]), 0, IF(Table1[[#This Row],[ActualWinner]]=Table1[[#This Row],[PredictedWinner]], 1, 0))</f>
        <v>0</v>
      </c>
      <c r="AD63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3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36" s="64">
        <f>IF(AND(Table1[[#This Row],[GameIsOver]]=1,Table1[[#This Row],[ActualAwayScore]]=0), 1,0)</f>
        <v>0</v>
      </c>
      <c r="AG636" s="64">
        <f>IF(AND(Table1[[#This Row],[GameIsOver]]=1,Table1[[#This Row],[ActualHomeScore]]=0), 1,0)</f>
        <v>0</v>
      </c>
      <c r="AH636" s="64">
        <f>IF(Table1[[#This Row],[GameIsOver]]=0,0,IF(Table1[[#This Row],[ActualWinner]]=Table1[[#This Row],[AwayTeam]], 1, 0))</f>
        <v>0</v>
      </c>
      <c r="AI636" s="64">
        <f>IF(Table1[[#This Row],[GameIsOver]]=0,0,IF(Table1[[#This Row],[ActualWinner]]=Table1[[#This Row],[HomeTeam]], 1, 0))</f>
        <v>0</v>
      </c>
      <c r="AJ636" s="64">
        <f>IF(INDEX(Standings!$A$2:$C$33,MATCH(Table1[[#This Row],[AwayTeam]],Standings!$A$2:$A$33,0),2)=INDEX(Standings!$A$2:$C$33,MATCH(Table1[[#This Row],[HomeTeam]],Standings!$A$2:$A$33,0),2),1,0)</f>
        <v>0</v>
      </c>
      <c r="AK636" s="64">
        <f>IF(INDEX(Standings!$A$2:$C$33,MATCH(Table1[[#This Row],[AwayTeam]],Standings!$A$2:$A$33,0),3)=INDEX(Standings!$A$2:$C$33,MATCH(Table1[[#This Row],[HomeTeam]],Standings!$A$2:$A$33,0),3),1,0)</f>
        <v>0</v>
      </c>
      <c r="AL636" s="64">
        <f>IF(Table1[[#This Row],[InterConf]]=1,IF(Table1[[#This Row],[InterDiv]]=0, 1, 0), 0)</f>
        <v>0</v>
      </c>
      <c r="AM636" s="64">
        <f>IF(INDEX(Standings!$A$2:$C$33,MATCH(Table1[[#This Row],[AwayTeam]],Standings!$A$2:$A$33,0),2)&lt;&gt;INDEX(Standings!$A$2:$C$33,MATCH(Table1[[#This Row],[HomeTeam]],Standings!$A$2:$A$33,0),2),1,0)</f>
        <v>1</v>
      </c>
      <c r="AN636" s="64" t="str">
        <f>INDEX(Table2[AWAY_RECORD], MATCH(Table1[[#This Row],[AwayTeam]],Table2[Team], 0), 0)</f>
        <v>0-1-0</v>
      </c>
      <c r="AO636" s="64" t="str">
        <f>INDEX(Records!$B$2:$AG$33, MATCH(Table1[[#This Row],[AwayTeam]],Records!$A$2:$A$33, 0), MATCH(Table1[[#This Row],[HomeTeam]],Records!$A$2:$A$33, 0))</f>
        <v>0-0-0</v>
      </c>
      <c r="AP636" s="64" t="str">
        <f>INDEX(Table2[HOME_RECORD], MATCH(Table1[[#This Row],[HomeTeam]],Table2[Team], 0), 0)</f>
        <v>0-0-0</v>
      </c>
      <c r="AQ636" s="64" t="str">
        <f>INDEX(Records!$B$2:$AG$33, MATCH(Table1[[#This Row],[HomeTeam]],Records!$A$2:$A$33, 0), MATCH(Table1[[#This Row],[AwayTeam]],Records!$A$2:$A$33, 0))</f>
        <v>0-0-0</v>
      </c>
    </row>
    <row r="637" spans="1:43" x14ac:dyDescent="0.25">
      <c r="A637" s="1"/>
      <c r="D637" t="s">
        <v>911</v>
      </c>
      <c r="E637" t="s">
        <v>298</v>
      </c>
      <c r="F637" t="s">
        <v>912</v>
      </c>
      <c r="G637" t="s">
        <v>24</v>
      </c>
      <c r="H637" t="s">
        <v>36</v>
      </c>
      <c r="L63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3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37" s="1"/>
      <c r="T637" s="64" t="str">
        <f>IF(Table1[[#This Row],[ActualWinner]]="", "", IF(Table1[[#This Row],[AwayTeam]]=Table1[[#This Row],[ActualWinner]],Table1[[#This Row],[HomeTeam]],Table1[[#This Row],[AwayTeam]]))</f>
        <v/>
      </c>
      <c r="U637" s="64">
        <f>Table1[[#This Row],[ActualAwayScore]]-Table1[[#This Row],[PredictedAwayScore]]</f>
        <v>0</v>
      </c>
      <c r="V637" s="64">
        <f>Table1[[#This Row],[ActualHomeScore]]-Table1[[#This Row],[PredictedHomeScore]]</f>
        <v>0</v>
      </c>
      <c r="W637" s="64">
        <f>(0.8*IF(Table1[[#This Row],[CorrectWinnerPrediction]]=1, 1, 0))+(0.1*IF(Table1[[#This Row],[CorrectAwayScorePrediction]]=1, 1, 0))+(0.1*IF(Table1[[#This Row],[CorrectHomeScorePrediction]]=1, 1, 0))</f>
        <v>0</v>
      </c>
      <c r="X63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37" s="64">
        <f>SUMIF(Table1[GameDate], Table1[[#This Row],[GameDate]], Table1[AwayGameGoalDiff])</f>
        <v>0</v>
      </c>
      <c r="AA637" s="64">
        <f>SUMIF(Table1[GameDate], Table1[[#This Row],[GameDate]], Table1[HomeGameGoalDiff])</f>
        <v>0</v>
      </c>
      <c r="AB637" s="64">
        <f>IF(ISBLANK(Table1[[#This Row],[ActualResult]]), 0, 1)</f>
        <v>0</v>
      </c>
      <c r="AC637" s="64">
        <f>IF(ISBLANK(Table1[[#This Row],[ActualResult]]), 0, IF(Table1[[#This Row],[ActualWinner]]=Table1[[#This Row],[PredictedWinner]], 1, 0))</f>
        <v>0</v>
      </c>
      <c r="AD63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3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37" s="64">
        <f>IF(AND(Table1[[#This Row],[GameIsOver]]=1,Table1[[#This Row],[ActualAwayScore]]=0), 1,0)</f>
        <v>0</v>
      </c>
      <c r="AG637" s="64">
        <f>IF(AND(Table1[[#This Row],[GameIsOver]]=1,Table1[[#This Row],[ActualHomeScore]]=0), 1,0)</f>
        <v>0</v>
      </c>
      <c r="AH637" s="64">
        <f>IF(Table1[[#This Row],[GameIsOver]]=0,0,IF(Table1[[#This Row],[ActualWinner]]=Table1[[#This Row],[AwayTeam]], 1, 0))</f>
        <v>0</v>
      </c>
      <c r="AI637" s="64">
        <f>IF(Table1[[#This Row],[GameIsOver]]=0,0,IF(Table1[[#This Row],[ActualWinner]]=Table1[[#This Row],[HomeTeam]], 1, 0))</f>
        <v>0</v>
      </c>
      <c r="AJ637" s="64">
        <f>IF(INDEX(Standings!$A$2:$C$33,MATCH(Table1[[#This Row],[AwayTeam]],Standings!$A$2:$A$33,0),2)=INDEX(Standings!$A$2:$C$33,MATCH(Table1[[#This Row],[HomeTeam]],Standings!$A$2:$A$33,0),2),1,0)</f>
        <v>0</v>
      </c>
      <c r="AK637" s="64">
        <f>IF(INDEX(Standings!$A$2:$C$33,MATCH(Table1[[#This Row],[AwayTeam]],Standings!$A$2:$A$33,0),3)=INDEX(Standings!$A$2:$C$33,MATCH(Table1[[#This Row],[HomeTeam]],Standings!$A$2:$A$33,0),3),1,0)</f>
        <v>0</v>
      </c>
      <c r="AL637" s="64">
        <f>IF(Table1[[#This Row],[InterConf]]=1,IF(Table1[[#This Row],[InterDiv]]=0, 1, 0), 0)</f>
        <v>0</v>
      </c>
      <c r="AM637" s="64">
        <f>IF(INDEX(Standings!$A$2:$C$33,MATCH(Table1[[#This Row],[AwayTeam]],Standings!$A$2:$A$33,0),2)&lt;&gt;INDEX(Standings!$A$2:$C$33,MATCH(Table1[[#This Row],[HomeTeam]],Standings!$A$2:$A$33,0),2),1,0)</f>
        <v>1</v>
      </c>
      <c r="AN637" s="64" t="str">
        <f>INDEX(Table2[AWAY_RECORD], MATCH(Table1[[#This Row],[AwayTeam]],Table2[Team], 0), 0)</f>
        <v>0-0-0</v>
      </c>
      <c r="AO637" s="64" t="str">
        <f>INDEX(Records!$B$2:$AG$33, MATCH(Table1[[#This Row],[AwayTeam]],Records!$A$2:$A$33, 0), MATCH(Table1[[#This Row],[HomeTeam]],Records!$A$2:$A$33, 0))</f>
        <v>0-0-0</v>
      </c>
      <c r="AP637" s="64" t="str">
        <f>INDEX(Table2[HOME_RECORD], MATCH(Table1[[#This Row],[HomeTeam]],Table2[Team], 0), 0)</f>
        <v>0-0-0</v>
      </c>
      <c r="AQ637" s="64" t="str">
        <f>INDEX(Records!$B$2:$AG$33, MATCH(Table1[[#This Row],[HomeTeam]],Records!$A$2:$A$33, 0), MATCH(Table1[[#This Row],[AwayTeam]],Records!$A$2:$A$33, 0))</f>
        <v>0-0-0</v>
      </c>
    </row>
    <row r="638" spans="1:43" x14ac:dyDescent="0.25">
      <c r="A638" s="1"/>
      <c r="D638" t="s">
        <v>911</v>
      </c>
      <c r="E638" t="s">
        <v>158</v>
      </c>
      <c r="F638" t="s">
        <v>913</v>
      </c>
      <c r="G638" t="s">
        <v>59</v>
      </c>
      <c r="H638" t="s">
        <v>50</v>
      </c>
      <c r="L63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3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38" s="1"/>
      <c r="T638" s="64" t="str">
        <f>IF(Table1[[#This Row],[ActualWinner]]="", "", IF(Table1[[#This Row],[AwayTeam]]=Table1[[#This Row],[ActualWinner]],Table1[[#This Row],[HomeTeam]],Table1[[#This Row],[AwayTeam]]))</f>
        <v/>
      </c>
      <c r="U638" s="64">
        <f>Table1[[#This Row],[ActualAwayScore]]-Table1[[#This Row],[PredictedAwayScore]]</f>
        <v>0</v>
      </c>
      <c r="V638" s="64">
        <f>Table1[[#This Row],[ActualHomeScore]]-Table1[[#This Row],[PredictedHomeScore]]</f>
        <v>0</v>
      </c>
      <c r="W638" s="64">
        <f>(0.8*IF(Table1[[#This Row],[CorrectWinnerPrediction]]=1, 1, 0))+(0.1*IF(Table1[[#This Row],[CorrectAwayScorePrediction]]=1, 1, 0))+(0.1*IF(Table1[[#This Row],[CorrectHomeScorePrediction]]=1, 1, 0))</f>
        <v>0</v>
      </c>
      <c r="X63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38" s="64">
        <f>SUMIF(Table1[GameDate], Table1[[#This Row],[GameDate]], Table1[AwayGameGoalDiff])</f>
        <v>0</v>
      </c>
      <c r="AA638" s="64">
        <f>SUMIF(Table1[GameDate], Table1[[#This Row],[GameDate]], Table1[HomeGameGoalDiff])</f>
        <v>0</v>
      </c>
      <c r="AB638" s="64">
        <f>IF(ISBLANK(Table1[[#This Row],[ActualResult]]), 0, 1)</f>
        <v>0</v>
      </c>
      <c r="AC638" s="64">
        <f>IF(ISBLANK(Table1[[#This Row],[ActualResult]]), 0, IF(Table1[[#This Row],[ActualWinner]]=Table1[[#This Row],[PredictedWinner]], 1, 0))</f>
        <v>0</v>
      </c>
      <c r="AD63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3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38" s="64">
        <f>IF(AND(Table1[[#This Row],[GameIsOver]]=1,Table1[[#This Row],[ActualAwayScore]]=0), 1,0)</f>
        <v>0</v>
      </c>
      <c r="AG638" s="64">
        <f>IF(AND(Table1[[#This Row],[GameIsOver]]=1,Table1[[#This Row],[ActualHomeScore]]=0), 1,0)</f>
        <v>0</v>
      </c>
      <c r="AH638" s="64">
        <f>IF(Table1[[#This Row],[GameIsOver]]=0,0,IF(Table1[[#This Row],[ActualWinner]]=Table1[[#This Row],[AwayTeam]], 1, 0))</f>
        <v>0</v>
      </c>
      <c r="AI638" s="64">
        <f>IF(Table1[[#This Row],[GameIsOver]]=0,0,IF(Table1[[#This Row],[ActualWinner]]=Table1[[#This Row],[HomeTeam]], 1, 0))</f>
        <v>0</v>
      </c>
      <c r="AJ638" s="64">
        <f>IF(INDEX(Standings!$A$2:$C$33,MATCH(Table1[[#This Row],[AwayTeam]],Standings!$A$2:$A$33,0),2)=INDEX(Standings!$A$2:$C$33,MATCH(Table1[[#This Row],[HomeTeam]],Standings!$A$2:$A$33,0),2),1,0)</f>
        <v>1</v>
      </c>
      <c r="AK638" s="64">
        <f>IF(INDEX(Standings!$A$2:$C$33,MATCH(Table1[[#This Row],[AwayTeam]],Standings!$A$2:$A$33,0),3)=INDEX(Standings!$A$2:$C$33,MATCH(Table1[[#This Row],[HomeTeam]],Standings!$A$2:$A$33,0),3),1,0)</f>
        <v>1</v>
      </c>
      <c r="AL638" s="64">
        <f>IF(Table1[[#This Row],[InterConf]]=1,IF(Table1[[#This Row],[InterDiv]]=0, 1, 0), 0)</f>
        <v>0</v>
      </c>
      <c r="AM638" s="64">
        <f>IF(INDEX(Standings!$A$2:$C$33,MATCH(Table1[[#This Row],[AwayTeam]],Standings!$A$2:$A$33,0),2)&lt;&gt;INDEX(Standings!$A$2:$C$33,MATCH(Table1[[#This Row],[HomeTeam]],Standings!$A$2:$A$33,0),2),1,0)</f>
        <v>0</v>
      </c>
      <c r="AN638" s="64" t="str">
        <f>INDEX(Table2[AWAY_RECORD], MATCH(Table1[[#This Row],[AwayTeam]],Table2[Team], 0), 0)</f>
        <v>0-1-0</v>
      </c>
      <c r="AO638" s="64" t="str">
        <f>INDEX(Records!$B$2:$AG$33, MATCH(Table1[[#This Row],[AwayTeam]],Records!$A$2:$A$33, 0), MATCH(Table1[[#This Row],[HomeTeam]],Records!$A$2:$A$33, 0))</f>
        <v>0-0-0</v>
      </c>
      <c r="AP638" s="64" t="str">
        <f>INDEX(Table2[HOME_RECORD], MATCH(Table1[[#This Row],[HomeTeam]],Table2[Team], 0), 0)</f>
        <v>0-0-0</v>
      </c>
      <c r="AQ638" s="64" t="str">
        <f>INDEX(Records!$B$2:$AG$33, MATCH(Table1[[#This Row],[HomeTeam]],Records!$A$2:$A$33, 0), MATCH(Table1[[#This Row],[AwayTeam]],Records!$A$2:$A$33, 0))</f>
        <v>0-0-0</v>
      </c>
    </row>
    <row r="639" spans="1:43" x14ac:dyDescent="0.25">
      <c r="A639" s="1"/>
      <c r="D639" t="s">
        <v>911</v>
      </c>
      <c r="E639" t="s">
        <v>162</v>
      </c>
      <c r="F639" t="s">
        <v>914</v>
      </c>
      <c r="G639" t="s">
        <v>38</v>
      </c>
      <c r="H639" t="s">
        <v>17</v>
      </c>
      <c r="L63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3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39" s="1"/>
      <c r="T639" s="64" t="str">
        <f>IF(Table1[[#This Row],[ActualWinner]]="", "", IF(Table1[[#This Row],[AwayTeam]]=Table1[[#This Row],[ActualWinner]],Table1[[#This Row],[HomeTeam]],Table1[[#This Row],[AwayTeam]]))</f>
        <v/>
      </c>
      <c r="U639" s="64">
        <f>Table1[[#This Row],[ActualAwayScore]]-Table1[[#This Row],[PredictedAwayScore]]</f>
        <v>0</v>
      </c>
      <c r="V639" s="64">
        <f>Table1[[#This Row],[ActualHomeScore]]-Table1[[#This Row],[PredictedHomeScore]]</f>
        <v>0</v>
      </c>
      <c r="W639" s="64">
        <f>(0.8*IF(Table1[[#This Row],[CorrectWinnerPrediction]]=1, 1, 0))+(0.1*IF(Table1[[#This Row],[CorrectAwayScorePrediction]]=1, 1, 0))+(0.1*IF(Table1[[#This Row],[CorrectHomeScorePrediction]]=1, 1, 0))</f>
        <v>0</v>
      </c>
      <c r="X63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39" s="64">
        <f>SUMIF(Table1[GameDate], Table1[[#This Row],[GameDate]], Table1[AwayGameGoalDiff])</f>
        <v>0</v>
      </c>
      <c r="AA639" s="64">
        <f>SUMIF(Table1[GameDate], Table1[[#This Row],[GameDate]], Table1[HomeGameGoalDiff])</f>
        <v>0</v>
      </c>
      <c r="AB639" s="64">
        <f>IF(ISBLANK(Table1[[#This Row],[ActualResult]]), 0, 1)</f>
        <v>0</v>
      </c>
      <c r="AC639" s="64">
        <f>IF(ISBLANK(Table1[[#This Row],[ActualResult]]), 0, IF(Table1[[#This Row],[ActualWinner]]=Table1[[#This Row],[PredictedWinner]], 1, 0))</f>
        <v>0</v>
      </c>
      <c r="AD63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3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39" s="64">
        <f>IF(AND(Table1[[#This Row],[GameIsOver]]=1,Table1[[#This Row],[ActualAwayScore]]=0), 1,0)</f>
        <v>0</v>
      </c>
      <c r="AG639" s="64">
        <f>IF(AND(Table1[[#This Row],[GameIsOver]]=1,Table1[[#This Row],[ActualHomeScore]]=0), 1,0)</f>
        <v>0</v>
      </c>
      <c r="AH639" s="64">
        <f>IF(Table1[[#This Row],[GameIsOver]]=0,0,IF(Table1[[#This Row],[ActualWinner]]=Table1[[#This Row],[AwayTeam]], 1, 0))</f>
        <v>0</v>
      </c>
      <c r="AI639" s="64">
        <f>IF(Table1[[#This Row],[GameIsOver]]=0,0,IF(Table1[[#This Row],[ActualWinner]]=Table1[[#This Row],[HomeTeam]], 1, 0))</f>
        <v>0</v>
      </c>
      <c r="AJ639" s="64">
        <f>IF(INDEX(Standings!$A$2:$C$33,MATCH(Table1[[#This Row],[AwayTeam]],Standings!$A$2:$A$33,0),2)=INDEX(Standings!$A$2:$C$33,MATCH(Table1[[#This Row],[HomeTeam]],Standings!$A$2:$A$33,0),2),1,0)</f>
        <v>1</v>
      </c>
      <c r="AK639" s="64">
        <f>IF(INDEX(Standings!$A$2:$C$33,MATCH(Table1[[#This Row],[AwayTeam]],Standings!$A$2:$A$33,0),3)=INDEX(Standings!$A$2:$C$33,MATCH(Table1[[#This Row],[HomeTeam]],Standings!$A$2:$A$33,0),3),1,0)</f>
        <v>1</v>
      </c>
      <c r="AL639" s="64">
        <f>IF(Table1[[#This Row],[InterConf]]=1,IF(Table1[[#This Row],[InterDiv]]=0, 1, 0), 0)</f>
        <v>0</v>
      </c>
      <c r="AM639" s="64">
        <f>IF(INDEX(Standings!$A$2:$C$33,MATCH(Table1[[#This Row],[AwayTeam]],Standings!$A$2:$A$33,0),2)&lt;&gt;INDEX(Standings!$A$2:$C$33,MATCH(Table1[[#This Row],[HomeTeam]],Standings!$A$2:$A$33,0),2),1,0)</f>
        <v>0</v>
      </c>
      <c r="AN639" s="64" t="str">
        <f>INDEX(Table2[AWAY_RECORD], MATCH(Table1[[#This Row],[AwayTeam]],Table2[Team], 0), 0)</f>
        <v>0-0-1</v>
      </c>
      <c r="AO639" s="64" t="str">
        <f>INDEX(Records!$B$2:$AG$33, MATCH(Table1[[#This Row],[AwayTeam]],Records!$A$2:$A$33, 0), MATCH(Table1[[#This Row],[HomeTeam]],Records!$A$2:$A$33, 0))</f>
        <v>0-0-0</v>
      </c>
      <c r="AP639" s="64" t="str">
        <f>INDEX(Table2[HOME_RECORD], MATCH(Table1[[#This Row],[HomeTeam]],Table2[Team], 0), 0)</f>
        <v>0-0-0</v>
      </c>
      <c r="AQ639" s="64" t="str">
        <f>INDEX(Records!$B$2:$AG$33, MATCH(Table1[[#This Row],[HomeTeam]],Records!$A$2:$A$33, 0), MATCH(Table1[[#This Row],[AwayTeam]],Records!$A$2:$A$33, 0))</f>
        <v>0-0-0</v>
      </c>
    </row>
    <row r="640" spans="1:43" x14ac:dyDescent="0.25">
      <c r="A640" s="1"/>
      <c r="D640" t="s">
        <v>911</v>
      </c>
      <c r="E640" t="s">
        <v>289</v>
      </c>
      <c r="F640" t="s">
        <v>915</v>
      </c>
      <c r="G640" t="s">
        <v>45</v>
      </c>
      <c r="H640" t="s">
        <v>37</v>
      </c>
      <c r="L64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4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40" s="1"/>
      <c r="T640" s="64" t="str">
        <f>IF(Table1[[#This Row],[ActualWinner]]="", "", IF(Table1[[#This Row],[AwayTeam]]=Table1[[#This Row],[ActualWinner]],Table1[[#This Row],[HomeTeam]],Table1[[#This Row],[AwayTeam]]))</f>
        <v/>
      </c>
      <c r="U640" s="64">
        <f>Table1[[#This Row],[ActualAwayScore]]-Table1[[#This Row],[PredictedAwayScore]]</f>
        <v>0</v>
      </c>
      <c r="V640" s="64">
        <f>Table1[[#This Row],[ActualHomeScore]]-Table1[[#This Row],[PredictedHomeScore]]</f>
        <v>0</v>
      </c>
      <c r="W640" s="64">
        <f>(0.8*IF(Table1[[#This Row],[CorrectWinnerPrediction]]=1, 1, 0))+(0.1*IF(Table1[[#This Row],[CorrectAwayScorePrediction]]=1, 1, 0))+(0.1*IF(Table1[[#This Row],[CorrectHomeScorePrediction]]=1, 1, 0))</f>
        <v>0</v>
      </c>
      <c r="X64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40" s="64">
        <f>SUMIF(Table1[GameDate], Table1[[#This Row],[GameDate]], Table1[AwayGameGoalDiff])</f>
        <v>0</v>
      </c>
      <c r="AA640" s="64">
        <f>SUMIF(Table1[GameDate], Table1[[#This Row],[GameDate]], Table1[HomeGameGoalDiff])</f>
        <v>0</v>
      </c>
      <c r="AB640" s="64">
        <f>IF(ISBLANK(Table1[[#This Row],[ActualResult]]), 0, 1)</f>
        <v>0</v>
      </c>
      <c r="AC640" s="64">
        <f>IF(ISBLANK(Table1[[#This Row],[ActualResult]]), 0, IF(Table1[[#This Row],[ActualWinner]]=Table1[[#This Row],[PredictedWinner]], 1, 0))</f>
        <v>0</v>
      </c>
      <c r="AD64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4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40" s="64">
        <f>IF(AND(Table1[[#This Row],[GameIsOver]]=1,Table1[[#This Row],[ActualAwayScore]]=0), 1,0)</f>
        <v>0</v>
      </c>
      <c r="AG640" s="64">
        <f>IF(AND(Table1[[#This Row],[GameIsOver]]=1,Table1[[#This Row],[ActualHomeScore]]=0), 1,0)</f>
        <v>0</v>
      </c>
      <c r="AH640" s="64">
        <f>IF(Table1[[#This Row],[GameIsOver]]=0,0,IF(Table1[[#This Row],[ActualWinner]]=Table1[[#This Row],[AwayTeam]], 1, 0))</f>
        <v>0</v>
      </c>
      <c r="AI640" s="64">
        <f>IF(Table1[[#This Row],[GameIsOver]]=0,0,IF(Table1[[#This Row],[ActualWinner]]=Table1[[#This Row],[HomeTeam]], 1, 0))</f>
        <v>0</v>
      </c>
      <c r="AJ640" s="64">
        <f>IF(INDEX(Standings!$A$2:$C$33,MATCH(Table1[[#This Row],[AwayTeam]],Standings!$A$2:$A$33,0),2)=INDEX(Standings!$A$2:$C$33,MATCH(Table1[[#This Row],[HomeTeam]],Standings!$A$2:$A$33,0),2),1,0)</f>
        <v>0</v>
      </c>
      <c r="AK640" s="64">
        <f>IF(INDEX(Standings!$A$2:$C$33,MATCH(Table1[[#This Row],[AwayTeam]],Standings!$A$2:$A$33,0),3)=INDEX(Standings!$A$2:$C$33,MATCH(Table1[[#This Row],[HomeTeam]],Standings!$A$2:$A$33,0),3),1,0)</f>
        <v>0</v>
      </c>
      <c r="AL640" s="64">
        <f>IF(Table1[[#This Row],[InterConf]]=1,IF(Table1[[#This Row],[InterDiv]]=0, 1, 0), 0)</f>
        <v>0</v>
      </c>
      <c r="AM640" s="64">
        <f>IF(INDEX(Standings!$A$2:$C$33,MATCH(Table1[[#This Row],[AwayTeam]],Standings!$A$2:$A$33,0),2)&lt;&gt;INDEX(Standings!$A$2:$C$33,MATCH(Table1[[#This Row],[HomeTeam]],Standings!$A$2:$A$33,0),2),1,0)</f>
        <v>1</v>
      </c>
      <c r="AN640" s="64" t="str">
        <f>INDEX(Table2[AWAY_RECORD], MATCH(Table1[[#This Row],[AwayTeam]],Table2[Team], 0), 0)</f>
        <v>1-0-0</v>
      </c>
      <c r="AO640" s="64" t="str">
        <f>INDEX(Records!$B$2:$AG$33, MATCH(Table1[[#This Row],[AwayTeam]],Records!$A$2:$A$33, 0), MATCH(Table1[[#This Row],[HomeTeam]],Records!$A$2:$A$33, 0))</f>
        <v>0-0-0</v>
      </c>
      <c r="AP640" s="64" t="str">
        <f>INDEX(Table2[HOME_RECORD], MATCH(Table1[[#This Row],[HomeTeam]],Table2[Team], 0), 0)</f>
        <v>0-1-0</v>
      </c>
      <c r="AQ640" s="64" t="str">
        <f>INDEX(Records!$B$2:$AG$33, MATCH(Table1[[#This Row],[HomeTeam]],Records!$A$2:$A$33, 0), MATCH(Table1[[#This Row],[AwayTeam]],Records!$A$2:$A$33, 0))</f>
        <v>0-0-0</v>
      </c>
    </row>
    <row r="641" spans="1:43" x14ac:dyDescent="0.25">
      <c r="A641" s="1"/>
      <c r="D641" t="s">
        <v>911</v>
      </c>
      <c r="E641" t="s">
        <v>166</v>
      </c>
      <c r="F641" t="s">
        <v>916</v>
      </c>
      <c r="G641" t="s">
        <v>56</v>
      </c>
      <c r="H641" t="s">
        <v>23</v>
      </c>
      <c r="L64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4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41" s="1"/>
      <c r="T641" s="64" t="str">
        <f>IF(Table1[[#This Row],[ActualWinner]]="", "", IF(Table1[[#This Row],[AwayTeam]]=Table1[[#This Row],[ActualWinner]],Table1[[#This Row],[HomeTeam]],Table1[[#This Row],[AwayTeam]]))</f>
        <v/>
      </c>
      <c r="U641" s="64">
        <f>Table1[[#This Row],[ActualAwayScore]]-Table1[[#This Row],[PredictedAwayScore]]</f>
        <v>0</v>
      </c>
      <c r="V641" s="64">
        <f>Table1[[#This Row],[ActualHomeScore]]-Table1[[#This Row],[PredictedHomeScore]]</f>
        <v>0</v>
      </c>
      <c r="W641" s="64">
        <f>(0.8*IF(Table1[[#This Row],[CorrectWinnerPrediction]]=1, 1, 0))+(0.1*IF(Table1[[#This Row],[CorrectAwayScorePrediction]]=1, 1, 0))+(0.1*IF(Table1[[#This Row],[CorrectHomeScorePrediction]]=1, 1, 0))</f>
        <v>0</v>
      </c>
      <c r="X64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41" s="64">
        <f>SUMIF(Table1[GameDate], Table1[[#This Row],[GameDate]], Table1[AwayGameGoalDiff])</f>
        <v>0</v>
      </c>
      <c r="AA641" s="64">
        <f>SUMIF(Table1[GameDate], Table1[[#This Row],[GameDate]], Table1[HomeGameGoalDiff])</f>
        <v>0</v>
      </c>
      <c r="AB641" s="64">
        <f>IF(ISBLANK(Table1[[#This Row],[ActualResult]]), 0, 1)</f>
        <v>0</v>
      </c>
      <c r="AC641" s="64">
        <f>IF(ISBLANK(Table1[[#This Row],[ActualResult]]), 0, IF(Table1[[#This Row],[ActualWinner]]=Table1[[#This Row],[PredictedWinner]], 1, 0))</f>
        <v>0</v>
      </c>
      <c r="AD64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4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41" s="64">
        <f>IF(AND(Table1[[#This Row],[GameIsOver]]=1,Table1[[#This Row],[ActualAwayScore]]=0), 1,0)</f>
        <v>0</v>
      </c>
      <c r="AG641" s="64">
        <f>IF(AND(Table1[[#This Row],[GameIsOver]]=1,Table1[[#This Row],[ActualHomeScore]]=0), 1,0)</f>
        <v>0</v>
      </c>
      <c r="AH641" s="64">
        <f>IF(Table1[[#This Row],[GameIsOver]]=0,0,IF(Table1[[#This Row],[ActualWinner]]=Table1[[#This Row],[AwayTeam]], 1, 0))</f>
        <v>0</v>
      </c>
      <c r="AI641" s="64">
        <f>IF(Table1[[#This Row],[GameIsOver]]=0,0,IF(Table1[[#This Row],[ActualWinner]]=Table1[[#This Row],[HomeTeam]], 1, 0))</f>
        <v>0</v>
      </c>
      <c r="AJ641" s="64">
        <f>IF(INDEX(Standings!$A$2:$C$33,MATCH(Table1[[#This Row],[AwayTeam]],Standings!$A$2:$A$33,0),2)=INDEX(Standings!$A$2:$C$33,MATCH(Table1[[#This Row],[HomeTeam]],Standings!$A$2:$A$33,0),2),1,0)</f>
        <v>1</v>
      </c>
      <c r="AK641" s="64">
        <f>IF(INDEX(Standings!$A$2:$C$33,MATCH(Table1[[#This Row],[AwayTeam]],Standings!$A$2:$A$33,0),3)=INDEX(Standings!$A$2:$C$33,MATCH(Table1[[#This Row],[HomeTeam]],Standings!$A$2:$A$33,0),3),1,0)</f>
        <v>1</v>
      </c>
      <c r="AL641" s="64">
        <f>IF(Table1[[#This Row],[InterConf]]=1,IF(Table1[[#This Row],[InterDiv]]=0, 1, 0), 0)</f>
        <v>0</v>
      </c>
      <c r="AM641" s="64">
        <f>IF(INDEX(Standings!$A$2:$C$33,MATCH(Table1[[#This Row],[AwayTeam]],Standings!$A$2:$A$33,0),2)&lt;&gt;INDEX(Standings!$A$2:$C$33,MATCH(Table1[[#This Row],[HomeTeam]],Standings!$A$2:$A$33,0),2),1,0)</f>
        <v>0</v>
      </c>
      <c r="AN641" s="64" t="str">
        <f>INDEX(Table2[AWAY_RECORD], MATCH(Table1[[#This Row],[AwayTeam]],Table2[Team], 0), 0)</f>
        <v>1-0-0</v>
      </c>
      <c r="AO641" s="64" t="str">
        <f>INDEX(Records!$B$2:$AG$33, MATCH(Table1[[#This Row],[AwayTeam]],Records!$A$2:$A$33, 0), MATCH(Table1[[#This Row],[HomeTeam]],Records!$A$2:$A$33, 0))</f>
        <v>0-0-0</v>
      </c>
      <c r="AP641" s="64" t="str">
        <f>INDEX(Table2[HOME_RECORD], MATCH(Table1[[#This Row],[HomeTeam]],Table2[Team], 0), 0)</f>
        <v>0-0-1</v>
      </c>
      <c r="AQ641" s="64" t="str">
        <f>INDEX(Records!$B$2:$AG$33, MATCH(Table1[[#This Row],[HomeTeam]],Records!$A$2:$A$33, 0), MATCH(Table1[[#This Row],[AwayTeam]],Records!$A$2:$A$33, 0))</f>
        <v>0-0-0</v>
      </c>
    </row>
    <row r="642" spans="1:43" x14ac:dyDescent="0.25">
      <c r="A642" s="1"/>
      <c r="D642" t="s">
        <v>917</v>
      </c>
      <c r="E642" t="s">
        <v>298</v>
      </c>
      <c r="F642" t="s">
        <v>918</v>
      </c>
      <c r="G642" t="s">
        <v>24</v>
      </c>
      <c r="H642" t="s">
        <v>46</v>
      </c>
      <c r="L64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4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42" s="1"/>
      <c r="T642" s="64" t="str">
        <f>IF(Table1[[#This Row],[ActualWinner]]="", "", IF(Table1[[#This Row],[AwayTeam]]=Table1[[#This Row],[ActualWinner]],Table1[[#This Row],[HomeTeam]],Table1[[#This Row],[AwayTeam]]))</f>
        <v/>
      </c>
      <c r="U642" s="64">
        <f>Table1[[#This Row],[ActualAwayScore]]-Table1[[#This Row],[PredictedAwayScore]]</f>
        <v>0</v>
      </c>
      <c r="V642" s="64">
        <f>Table1[[#This Row],[ActualHomeScore]]-Table1[[#This Row],[PredictedHomeScore]]</f>
        <v>0</v>
      </c>
      <c r="W642" s="64">
        <f>(0.8*IF(Table1[[#This Row],[CorrectWinnerPrediction]]=1, 1, 0))+(0.1*IF(Table1[[#This Row],[CorrectAwayScorePrediction]]=1, 1, 0))+(0.1*IF(Table1[[#This Row],[CorrectHomeScorePrediction]]=1, 1, 0))</f>
        <v>0</v>
      </c>
      <c r="X64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42" s="64">
        <f>SUMIF(Table1[GameDate], Table1[[#This Row],[GameDate]], Table1[AwayGameGoalDiff])</f>
        <v>0</v>
      </c>
      <c r="AA642" s="64">
        <f>SUMIF(Table1[GameDate], Table1[[#This Row],[GameDate]], Table1[HomeGameGoalDiff])</f>
        <v>0</v>
      </c>
      <c r="AB642" s="64">
        <f>IF(ISBLANK(Table1[[#This Row],[ActualResult]]), 0, 1)</f>
        <v>0</v>
      </c>
      <c r="AC642" s="64">
        <f>IF(ISBLANK(Table1[[#This Row],[ActualResult]]), 0, IF(Table1[[#This Row],[ActualWinner]]=Table1[[#This Row],[PredictedWinner]], 1, 0))</f>
        <v>0</v>
      </c>
      <c r="AD64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4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42" s="64">
        <f>IF(AND(Table1[[#This Row],[GameIsOver]]=1,Table1[[#This Row],[ActualAwayScore]]=0), 1,0)</f>
        <v>0</v>
      </c>
      <c r="AG642" s="64">
        <f>IF(AND(Table1[[#This Row],[GameIsOver]]=1,Table1[[#This Row],[ActualHomeScore]]=0), 1,0)</f>
        <v>0</v>
      </c>
      <c r="AH642" s="64">
        <f>IF(Table1[[#This Row],[GameIsOver]]=0,0,IF(Table1[[#This Row],[ActualWinner]]=Table1[[#This Row],[AwayTeam]], 1, 0))</f>
        <v>0</v>
      </c>
      <c r="AI642" s="64">
        <f>IF(Table1[[#This Row],[GameIsOver]]=0,0,IF(Table1[[#This Row],[ActualWinner]]=Table1[[#This Row],[HomeTeam]], 1, 0))</f>
        <v>0</v>
      </c>
      <c r="AJ642" s="64">
        <f>IF(INDEX(Standings!$A$2:$C$33,MATCH(Table1[[#This Row],[AwayTeam]],Standings!$A$2:$A$33,0),2)=INDEX(Standings!$A$2:$C$33,MATCH(Table1[[#This Row],[HomeTeam]],Standings!$A$2:$A$33,0),2),1,0)</f>
        <v>0</v>
      </c>
      <c r="AK642" s="64">
        <f>IF(INDEX(Standings!$A$2:$C$33,MATCH(Table1[[#This Row],[AwayTeam]],Standings!$A$2:$A$33,0),3)=INDEX(Standings!$A$2:$C$33,MATCH(Table1[[#This Row],[HomeTeam]],Standings!$A$2:$A$33,0),3),1,0)</f>
        <v>0</v>
      </c>
      <c r="AL642" s="64">
        <f>IF(Table1[[#This Row],[InterConf]]=1,IF(Table1[[#This Row],[InterDiv]]=0, 1, 0), 0)</f>
        <v>0</v>
      </c>
      <c r="AM642" s="64">
        <f>IF(INDEX(Standings!$A$2:$C$33,MATCH(Table1[[#This Row],[AwayTeam]],Standings!$A$2:$A$33,0),2)&lt;&gt;INDEX(Standings!$A$2:$C$33,MATCH(Table1[[#This Row],[HomeTeam]],Standings!$A$2:$A$33,0),2),1,0)</f>
        <v>1</v>
      </c>
      <c r="AN642" s="64" t="str">
        <f>INDEX(Table2[AWAY_RECORD], MATCH(Table1[[#This Row],[AwayTeam]],Table2[Team], 0), 0)</f>
        <v>0-0-0</v>
      </c>
      <c r="AO642" s="64" t="str">
        <f>INDEX(Records!$B$2:$AG$33, MATCH(Table1[[#This Row],[AwayTeam]],Records!$A$2:$A$33, 0), MATCH(Table1[[#This Row],[HomeTeam]],Records!$A$2:$A$33, 0))</f>
        <v>0-0-0</v>
      </c>
      <c r="AP642" s="64" t="str">
        <f>INDEX(Table2[HOME_RECORD], MATCH(Table1[[#This Row],[HomeTeam]],Table2[Team], 0), 0)</f>
        <v>0-0-0</v>
      </c>
      <c r="AQ642" s="64" t="str">
        <f>INDEX(Records!$B$2:$AG$33, MATCH(Table1[[#This Row],[HomeTeam]],Records!$A$2:$A$33, 0), MATCH(Table1[[#This Row],[AwayTeam]],Records!$A$2:$A$33, 0))</f>
        <v>0-0-0</v>
      </c>
    </row>
    <row r="643" spans="1:43" x14ac:dyDescent="0.25">
      <c r="A643" s="1"/>
      <c r="D643" t="s">
        <v>917</v>
      </c>
      <c r="E643" t="s">
        <v>386</v>
      </c>
      <c r="F643" t="s">
        <v>919</v>
      </c>
      <c r="G643" t="s">
        <v>54</v>
      </c>
      <c r="H643" t="s">
        <v>52</v>
      </c>
      <c r="L64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4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43" s="1"/>
      <c r="T643" s="64" t="str">
        <f>IF(Table1[[#This Row],[ActualWinner]]="", "", IF(Table1[[#This Row],[AwayTeam]]=Table1[[#This Row],[ActualWinner]],Table1[[#This Row],[HomeTeam]],Table1[[#This Row],[AwayTeam]]))</f>
        <v/>
      </c>
      <c r="U643" s="64">
        <f>Table1[[#This Row],[ActualAwayScore]]-Table1[[#This Row],[PredictedAwayScore]]</f>
        <v>0</v>
      </c>
      <c r="V643" s="64">
        <f>Table1[[#This Row],[ActualHomeScore]]-Table1[[#This Row],[PredictedHomeScore]]</f>
        <v>0</v>
      </c>
      <c r="W643" s="64">
        <f>(0.8*IF(Table1[[#This Row],[CorrectWinnerPrediction]]=1, 1, 0))+(0.1*IF(Table1[[#This Row],[CorrectAwayScorePrediction]]=1, 1, 0))+(0.1*IF(Table1[[#This Row],[CorrectHomeScorePrediction]]=1, 1, 0))</f>
        <v>0</v>
      </c>
      <c r="X64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43" s="64">
        <f>SUMIF(Table1[GameDate], Table1[[#This Row],[GameDate]], Table1[AwayGameGoalDiff])</f>
        <v>0</v>
      </c>
      <c r="AA643" s="64">
        <f>SUMIF(Table1[GameDate], Table1[[#This Row],[GameDate]], Table1[HomeGameGoalDiff])</f>
        <v>0</v>
      </c>
      <c r="AB643" s="64">
        <f>IF(ISBLANK(Table1[[#This Row],[ActualResult]]), 0, 1)</f>
        <v>0</v>
      </c>
      <c r="AC643" s="64">
        <f>IF(ISBLANK(Table1[[#This Row],[ActualResult]]), 0, IF(Table1[[#This Row],[ActualWinner]]=Table1[[#This Row],[PredictedWinner]], 1, 0))</f>
        <v>0</v>
      </c>
      <c r="AD64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4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43" s="64">
        <f>IF(AND(Table1[[#This Row],[GameIsOver]]=1,Table1[[#This Row],[ActualAwayScore]]=0), 1,0)</f>
        <v>0</v>
      </c>
      <c r="AG643" s="64">
        <f>IF(AND(Table1[[#This Row],[GameIsOver]]=1,Table1[[#This Row],[ActualHomeScore]]=0), 1,0)</f>
        <v>0</v>
      </c>
      <c r="AH643" s="64">
        <f>IF(Table1[[#This Row],[GameIsOver]]=0,0,IF(Table1[[#This Row],[ActualWinner]]=Table1[[#This Row],[AwayTeam]], 1, 0))</f>
        <v>0</v>
      </c>
      <c r="AI643" s="64">
        <f>IF(Table1[[#This Row],[GameIsOver]]=0,0,IF(Table1[[#This Row],[ActualWinner]]=Table1[[#This Row],[HomeTeam]], 1, 0))</f>
        <v>0</v>
      </c>
      <c r="AJ643" s="64">
        <f>IF(INDEX(Standings!$A$2:$C$33,MATCH(Table1[[#This Row],[AwayTeam]],Standings!$A$2:$A$33,0),2)=INDEX(Standings!$A$2:$C$33,MATCH(Table1[[#This Row],[HomeTeam]],Standings!$A$2:$A$33,0),2),1,0)</f>
        <v>1</v>
      </c>
      <c r="AK643" s="64">
        <f>IF(INDEX(Standings!$A$2:$C$33,MATCH(Table1[[#This Row],[AwayTeam]],Standings!$A$2:$A$33,0),3)=INDEX(Standings!$A$2:$C$33,MATCH(Table1[[#This Row],[HomeTeam]],Standings!$A$2:$A$33,0),3),1,0)</f>
        <v>0</v>
      </c>
      <c r="AL643" s="64">
        <f>IF(Table1[[#This Row],[InterConf]]=1,IF(Table1[[#This Row],[InterDiv]]=0, 1, 0), 0)</f>
        <v>1</v>
      </c>
      <c r="AM643" s="64">
        <f>IF(INDEX(Standings!$A$2:$C$33,MATCH(Table1[[#This Row],[AwayTeam]],Standings!$A$2:$A$33,0),2)&lt;&gt;INDEX(Standings!$A$2:$C$33,MATCH(Table1[[#This Row],[HomeTeam]],Standings!$A$2:$A$33,0),2),1,0)</f>
        <v>0</v>
      </c>
      <c r="AN643" s="64" t="str">
        <f>INDEX(Table2[AWAY_RECORD], MATCH(Table1[[#This Row],[AwayTeam]],Table2[Team], 0), 0)</f>
        <v>0-0-1</v>
      </c>
      <c r="AO643" s="64" t="str">
        <f>INDEX(Records!$B$2:$AG$33, MATCH(Table1[[#This Row],[AwayTeam]],Records!$A$2:$A$33, 0), MATCH(Table1[[#This Row],[HomeTeam]],Records!$A$2:$A$33, 0))</f>
        <v>0-0-0</v>
      </c>
      <c r="AP643" s="64" t="str">
        <f>INDEX(Table2[HOME_RECORD], MATCH(Table1[[#This Row],[HomeTeam]],Table2[Team], 0), 0)</f>
        <v>0-0-0</v>
      </c>
      <c r="AQ643" s="64" t="str">
        <f>INDEX(Records!$B$2:$AG$33, MATCH(Table1[[#This Row],[HomeTeam]],Records!$A$2:$A$33, 0), MATCH(Table1[[#This Row],[AwayTeam]],Records!$A$2:$A$33, 0))</f>
        <v>0-0-0</v>
      </c>
    </row>
    <row r="644" spans="1:43" x14ac:dyDescent="0.25">
      <c r="A644" s="1"/>
      <c r="D644" t="s">
        <v>917</v>
      </c>
      <c r="E644" t="s">
        <v>386</v>
      </c>
      <c r="F644" t="s">
        <v>920</v>
      </c>
      <c r="G644" t="s">
        <v>40</v>
      </c>
      <c r="H644" t="s">
        <v>44</v>
      </c>
      <c r="L64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4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44" s="1"/>
      <c r="T644" s="64" t="str">
        <f>IF(Table1[[#This Row],[ActualWinner]]="", "", IF(Table1[[#This Row],[AwayTeam]]=Table1[[#This Row],[ActualWinner]],Table1[[#This Row],[HomeTeam]],Table1[[#This Row],[AwayTeam]]))</f>
        <v/>
      </c>
      <c r="U644" s="64">
        <f>Table1[[#This Row],[ActualAwayScore]]-Table1[[#This Row],[PredictedAwayScore]]</f>
        <v>0</v>
      </c>
      <c r="V644" s="64">
        <f>Table1[[#This Row],[ActualHomeScore]]-Table1[[#This Row],[PredictedHomeScore]]</f>
        <v>0</v>
      </c>
      <c r="W644" s="64">
        <f>(0.8*IF(Table1[[#This Row],[CorrectWinnerPrediction]]=1, 1, 0))+(0.1*IF(Table1[[#This Row],[CorrectAwayScorePrediction]]=1, 1, 0))+(0.1*IF(Table1[[#This Row],[CorrectHomeScorePrediction]]=1, 1, 0))</f>
        <v>0</v>
      </c>
      <c r="X64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44" s="64">
        <f>SUMIF(Table1[GameDate], Table1[[#This Row],[GameDate]], Table1[AwayGameGoalDiff])</f>
        <v>0</v>
      </c>
      <c r="AA644" s="64">
        <f>SUMIF(Table1[GameDate], Table1[[#This Row],[GameDate]], Table1[HomeGameGoalDiff])</f>
        <v>0</v>
      </c>
      <c r="AB644" s="64">
        <f>IF(ISBLANK(Table1[[#This Row],[ActualResult]]), 0, 1)</f>
        <v>0</v>
      </c>
      <c r="AC644" s="64">
        <f>IF(ISBLANK(Table1[[#This Row],[ActualResult]]), 0, IF(Table1[[#This Row],[ActualWinner]]=Table1[[#This Row],[PredictedWinner]], 1, 0))</f>
        <v>0</v>
      </c>
      <c r="AD64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4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44" s="64">
        <f>IF(AND(Table1[[#This Row],[GameIsOver]]=1,Table1[[#This Row],[ActualAwayScore]]=0), 1,0)</f>
        <v>0</v>
      </c>
      <c r="AG644" s="64">
        <f>IF(AND(Table1[[#This Row],[GameIsOver]]=1,Table1[[#This Row],[ActualHomeScore]]=0), 1,0)</f>
        <v>0</v>
      </c>
      <c r="AH644" s="64">
        <f>IF(Table1[[#This Row],[GameIsOver]]=0,0,IF(Table1[[#This Row],[ActualWinner]]=Table1[[#This Row],[AwayTeam]], 1, 0))</f>
        <v>0</v>
      </c>
      <c r="AI644" s="64">
        <f>IF(Table1[[#This Row],[GameIsOver]]=0,0,IF(Table1[[#This Row],[ActualWinner]]=Table1[[#This Row],[HomeTeam]], 1, 0))</f>
        <v>0</v>
      </c>
      <c r="AJ644" s="64">
        <f>IF(INDEX(Standings!$A$2:$C$33,MATCH(Table1[[#This Row],[AwayTeam]],Standings!$A$2:$A$33,0),2)=INDEX(Standings!$A$2:$C$33,MATCH(Table1[[#This Row],[HomeTeam]],Standings!$A$2:$A$33,0),2),1,0)</f>
        <v>1</v>
      </c>
      <c r="AK644" s="64">
        <f>IF(INDEX(Standings!$A$2:$C$33,MATCH(Table1[[#This Row],[AwayTeam]],Standings!$A$2:$A$33,0),3)=INDEX(Standings!$A$2:$C$33,MATCH(Table1[[#This Row],[HomeTeam]],Standings!$A$2:$A$33,0),3),1,0)</f>
        <v>0</v>
      </c>
      <c r="AL644" s="64">
        <f>IF(Table1[[#This Row],[InterConf]]=1,IF(Table1[[#This Row],[InterDiv]]=0, 1, 0), 0)</f>
        <v>1</v>
      </c>
      <c r="AM644" s="64">
        <f>IF(INDEX(Standings!$A$2:$C$33,MATCH(Table1[[#This Row],[AwayTeam]],Standings!$A$2:$A$33,0),2)&lt;&gt;INDEX(Standings!$A$2:$C$33,MATCH(Table1[[#This Row],[HomeTeam]],Standings!$A$2:$A$33,0),2),1,0)</f>
        <v>0</v>
      </c>
      <c r="AN644" s="64" t="str">
        <f>INDEX(Table2[AWAY_RECORD], MATCH(Table1[[#This Row],[AwayTeam]],Table2[Team], 0), 0)</f>
        <v>0-0-0</v>
      </c>
      <c r="AO644" s="64" t="str">
        <f>INDEX(Records!$B$2:$AG$33, MATCH(Table1[[#This Row],[AwayTeam]],Records!$A$2:$A$33, 0), MATCH(Table1[[#This Row],[HomeTeam]],Records!$A$2:$A$33, 0))</f>
        <v>0-0-0</v>
      </c>
      <c r="AP644" s="64" t="str">
        <f>INDEX(Table2[HOME_RECORD], MATCH(Table1[[#This Row],[HomeTeam]],Table2[Team], 0), 0)</f>
        <v>0-0-1</v>
      </c>
      <c r="AQ644" s="64" t="str">
        <f>INDEX(Records!$B$2:$AG$33, MATCH(Table1[[#This Row],[HomeTeam]],Records!$A$2:$A$33, 0), MATCH(Table1[[#This Row],[AwayTeam]],Records!$A$2:$A$33, 0))</f>
        <v>0-0-0</v>
      </c>
    </row>
    <row r="645" spans="1:43" x14ac:dyDescent="0.25">
      <c r="A645" s="1"/>
      <c r="D645" t="s">
        <v>917</v>
      </c>
      <c r="E645" t="s">
        <v>386</v>
      </c>
      <c r="F645" t="s">
        <v>921</v>
      </c>
      <c r="G645" t="s">
        <v>47</v>
      </c>
      <c r="H645" t="s">
        <v>57</v>
      </c>
      <c r="L64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4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45" s="1"/>
      <c r="T645" s="64" t="str">
        <f>IF(Table1[[#This Row],[ActualWinner]]="", "", IF(Table1[[#This Row],[AwayTeam]]=Table1[[#This Row],[ActualWinner]],Table1[[#This Row],[HomeTeam]],Table1[[#This Row],[AwayTeam]]))</f>
        <v/>
      </c>
      <c r="U645" s="64">
        <f>Table1[[#This Row],[ActualAwayScore]]-Table1[[#This Row],[PredictedAwayScore]]</f>
        <v>0</v>
      </c>
      <c r="V645" s="64">
        <f>Table1[[#This Row],[ActualHomeScore]]-Table1[[#This Row],[PredictedHomeScore]]</f>
        <v>0</v>
      </c>
      <c r="W645" s="64">
        <f>(0.8*IF(Table1[[#This Row],[CorrectWinnerPrediction]]=1, 1, 0))+(0.1*IF(Table1[[#This Row],[CorrectAwayScorePrediction]]=1, 1, 0))+(0.1*IF(Table1[[#This Row],[CorrectHomeScorePrediction]]=1, 1, 0))</f>
        <v>0</v>
      </c>
      <c r="X64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45" s="64">
        <f>SUMIF(Table1[GameDate], Table1[[#This Row],[GameDate]], Table1[AwayGameGoalDiff])</f>
        <v>0</v>
      </c>
      <c r="AA645" s="64">
        <f>SUMIF(Table1[GameDate], Table1[[#This Row],[GameDate]], Table1[HomeGameGoalDiff])</f>
        <v>0</v>
      </c>
      <c r="AB645" s="64">
        <f>IF(ISBLANK(Table1[[#This Row],[ActualResult]]), 0, 1)</f>
        <v>0</v>
      </c>
      <c r="AC645" s="64">
        <f>IF(ISBLANK(Table1[[#This Row],[ActualResult]]), 0, IF(Table1[[#This Row],[ActualWinner]]=Table1[[#This Row],[PredictedWinner]], 1, 0))</f>
        <v>0</v>
      </c>
      <c r="AD64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4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45" s="64">
        <f>IF(AND(Table1[[#This Row],[GameIsOver]]=1,Table1[[#This Row],[ActualAwayScore]]=0), 1,0)</f>
        <v>0</v>
      </c>
      <c r="AG645" s="64">
        <f>IF(AND(Table1[[#This Row],[GameIsOver]]=1,Table1[[#This Row],[ActualHomeScore]]=0), 1,0)</f>
        <v>0</v>
      </c>
      <c r="AH645" s="64">
        <f>IF(Table1[[#This Row],[GameIsOver]]=0,0,IF(Table1[[#This Row],[ActualWinner]]=Table1[[#This Row],[AwayTeam]], 1, 0))</f>
        <v>0</v>
      </c>
      <c r="AI645" s="64">
        <f>IF(Table1[[#This Row],[GameIsOver]]=0,0,IF(Table1[[#This Row],[ActualWinner]]=Table1[[#This Row],[HomeTeam]], 1, 0))</f>
        <v>0</v>
      </c>
      <c r="AJ645" s="64">
        <f>IF(INDEX(Standings!$A$2:$C$33,MATCH(Table1[[#This Row],[AwayTeam]],Standings!$A$2:$A$33,0),2)=INDEX(Standings!$A$2:$C$33,MATCH(Table1[[#This Row],[HomeTeam]],Standings!$A$2:$A$33,0),2),1,0)</f>
        <v>1</v>
      </c>
      <c r="AK645" s="64">
        <f>IF(INDEX(Standings!$A$2:$C$33,MATCH(Table1[[#This Row],[AwayTeam]],Standings!$A$2:$A$33,0),3)=INDEX(Standings!$A$2:$C$33,MATCH(Table1[[#This Row],[HomeTeam]],Standings!$A$2:$A$33,0),3),1,0)</f>
        <v>1</v>
      </c>
      <c r="AL645" s="64">
        <f>IF(Table1[[#This Row],[InterConf]]=1,IF(Table1[[#This Row],[InterDiv]]=0, 1, 0), 0)</f>
        <v>0</v>
      </c>
      <c r="AM645" s="64">
        <f>IF(INDEX(Standings!$A$2:$C$33,MATCH(Table1[[#This Row],[AwayTeam]],Standings!$A$2:$A$33,0),2)&lt;&gt;INDEX(Standings!$A$2:$C$33,MATCH(Table1[[#This Row],[HomeTeam]],Standings!$A$2:$A$33,0),2),1,0)</f>
        <v>0</v>
      </c>
      <c r="AN645" s="64" t="str">
        <f>INDEX(Table2[AWAY_RECORD], MATCH(Table1[[#This Row],[AwayTeam]],Table2[Team], 0), 0)</f>
        <v>1-0-0</v>
      </c>
      <c r="AO645" s="64" t="str">
        <f>INDEX(Records!$B$2:$AG$33, MATCH(Table1[[#This Row],[AwayTeam]],Records!$A$2:$A$33, 0), MATCH(Table1[[#This Row],[HomeTeam]],Records!$A$2:$A$33, 0))</f>
        <v>0-0-0</v>
      </c>
      <c r="AP645" s="64" t="str">
        <f>INDEX(Table2[HOME_RECORD], MATCH(Table1[[#This Row],[HomeTeam]],Table2[Team], 0), 0)</f>
        <v>0-0-0</v>
      </c>
      <c r="AQ645" s="64" t="str">
        <f>INDEX(Records!$B$2:$AG$33, MATCH(Table1[[#This Row],[HomeTeam]],Records!$A$2:$A$33, 0), MATCH(Table1[[#This Row],[AwayTeam]],Records!$A$2:$A$33, 0))</f>
        <v>0-0-0</v>
      </c>
    </row>
    <row r="646" spans="1:43" x14ac:dyDescent="0.25">
      <c r="A646" s="1"/>
      <c r="D646" t="s">
        <v>917</v>
      </c>
      <c r="E646" t="s">
        <v>386</v>
      </c>
      <c r="F646" t="s">
        <v>922</v>
      </c>
      <c r="G646" t="s">
        <v>59</v>
      </c>
      <c r="H646" t="s">
        <v>42</v>
      </c>
      <c r="L64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4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46" s="1"/>
      <c r="T646" s="64" t="str">
        <f>IF(Table1[[#This Row],[ActualWinner]]="", "", IF(Table1[[#This Row],[AwayTeam]]=Table1[[#This Row],[ActualWinner]],Table1[[#This Row],[HomeTeam]],Table1[[#This Row],[AwayTeam]]))</f>
        <v/>
      </c>
      <c r="U646" s="64">
        <f>Table1[[#This Row],[ActualAwayScore]]-Table1[[#This Row],[PredictedAwayScore]]</f>
        <v>0</v>
      </c>
      <c r="V646" s="64">
        <f>Table1[[#This Row],[ActualHomeScore]]-Table1[[#This Row],[PredictedHomeScore]]</f>
        <v>0</v>
      </c>
      <c r="W646" s="64">
        <f>(0.8*IF(Table1[[#This Row],[CorrectWinnerPrediction]]=1, 1, 0))+(0.1*IF(Table1[[#This Row],[CorrectAwayScorePrediction]]=1, 1, 0))+(0.1*IF(Table1[[#This Row],[CorrectHomeScorePrediction]]=1, 1, 0))</f>
        <v>0</v>
      </c>
      <c r="X64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46" s="64">
        <f>SUMIF(Table1[GameDate], Table1[[#This Row],[GameDate]], Table1[AwayGameGoalDiff])</f>
        <v>0</v>
      </c>
      <c r="AA646" s="64">
        <f>SUMIF(Table1[GameDate], Table1[[#This Row],[GameDate]], Table1[HomeGameGoalDiff])</f>
        <v>0</v>
      </c>
      <c r="AB646" s="64">
        <f>IF(ISBLANK(Table1[[#This Row],[ActualResult]]), 0, 1)</f>
        <v>0</v>
      </c>
      <c r="AC646" s="64">
        <f>IF(ISBLANK(Table1[[#This Row],[ActualResult]]), 0, IF(Table1[[#This Row],[ActualWinner]]=Table1[[#This Row],[PredictedWinner]], 1, 0))</f>
        <v>0</v>
      </c>
      <c r="AD64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4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46" s="64">
        <f>IF(AND(Table1[[#This Row],[GameIsOver]]=1,Table1[[#This Row],[ActualAwayScore]]=0), 1,0)</f>
        <v>0</v>
      </c>
      <c r="AG646" s="64">
        <f>IF(AND(Table1[[#This Row],[GameIsOver]]=1,Table1[[#This Row],[ActualHomeScore]]=0), 1,0)</f>
        <v>0</v>
      </c>
      <c r="AH646" s="64">
        <f>IF(Table1[[#This Row],[GameIsOver]]=0,0,IF(Table1[[#This Row],[ActualWinner]]=Table1[[#This Row],[AwayTeam]], 1, 0))</f>
        <v>0</v>
      </c>
      <c r="AI646" s="64">
        <f>IF(Table1[[#This Row],[GameIsOver]]=0,0,IF(Table1[[#This Row],[ActualWinner]]=Table1[[#This Row],[HomeTeam]], 1, 0))</f>
        <v>0</v>
      </c>
      <c r="AJ646" s="64">
        <f>IF(INDEX(Standings!$A$2:$C$33,MATCH(Table1[[#This Row],[AwayTeam]],Standings!$A$2:$A$33,0),2)=INDEX(Standings!$A$2:$C$33,MATCH(Table1[[#This Row],[HomeTeam]],Standings!$A$2:$A$33,0),2),1,0)</f>
        <v>1</v>
      </c>
      <c r="AK646" s="64">
        <f>IF(INDEX(Standings!$A$2:$C$33,MATCH(Table1[[#This Row],[AwayTeam]],Standings!$A$2:$A$33,0),3)=INDEX(Standings!$A$2:$C$33,MATCH(Table1[[#This Row],[HomeTeam]],Standings!$A$2:$A$33,0),3),1,0)</f>
        <v>1</v>
      </c>
      <c r="AL646" s="64">
        <f>IF(Table1[[#This Row],[InterConf]]=1,IF(Table1[[#This Row],[InterDiv]]=0, 1, 0), 0)</f>
        <v>0</v>
      </c>
      <c r="AM646" s="64">
        <f>IF(INDEX(Standings!$A$2:$C$33,MATCH(Table1[[#This Row],[AwayTeam]],Standings!$A$2:$A$33,0),2)&lt;&gt;INDEX(Standings!$A$2:$C$33,MATCH(Table1[[#This Row],[HomeTeam]],Standings!$A$2:$A$33,0),2),1,0)</f>
        <v>0</v>
      </c>
      <c r="AN646" s="64" t="str">
        <f>INDEX(Table2[AWAY_RECORD], MATCH(Table1[[#This Row],[AwayTeam]],Table2[Team], 0), 0)</f>
        <v>0-1-0</v>
      </c>
      <c r="AO646" s="64" t="str">
        <f>INDEX(Records!$B$2:$AG$33, MATCH(Table1[[#This Row],[AwayTeam]],Records!$A$2:$A$33, 0), MATCH(Table1[[#This Row],[HomeTeam]],Records!$A$2:$A$33, 0))</f>
        <v>0-0-0</v>
      </c>
      <c r="AP646" s="64" t="str">
        <f>INDEX(Table2[HOME_RECORD], MATCH(Table1[[#This Row],[HomeTeam]],Table2[Team], 0), 0)</f>
        <v>1-0-0</v>
      </c>
      <c r="AQ646" s="64" t="str">
        <f>INDEX(Records!$B$2:$AG$33, MATCH(Table1[[#This Row],[HomeTeam]],Records!$A$2:$A$33, 0), MATCH(Table1[[#This Row],[AwayTeam]],Records!$A$2:$A$33, 0))</f>
        <v>0-0-0</v>
      </c>
    </row>
    <row r="647" spans="1:43" x14ac:dyDescent="0.25">
      <c r="A647" s="1"/>
      <c r="D647" t="s">
        <v>917</v>
      </c>
      <c r="E647" t="s">
        <v>252</v>
      </c>
      <c r="F647" t="s">
        <v>923</v>
      </c>
      <c r="G647" t="s">
        <v>61</v>
      </c>
      <c r="H647" t="s">
        <v>25</v>
      </c>
      <c r="L64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4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47" s="1"/>
      <c r="T647" s="64" t="str">
        <f>IF(Table1[[#This Row],[ActualWinner]]="", "", IF(Table1[[#This Row],[AwayTeam]]=Table1[[#This Row],[ActualWinner]],Table1[[#This Row],[HomeTeam]],Table1[[#This Row],[AwayTeam]]))</f>
        <v/>
      </c>
      <c r="U647" s="64">
        <f>Table1[[#This Row],[ActualAwayScore]]-Table1[[#This Row],[PredictedAwayScore]]</f>
        <v>0</v>
      </c>
      <c r="V647" s="64">
        <f>Table1[[#This Row],[ActualHomeScore]]-Table1[[#This Row],[PredictedHomeScore]]</f>
        <v>0</v>
      </c>
      <c r="W647" s="64">
        <f>(0.8*IF(Table1[[#This Row],[CorrectWinnerPrediction]]=1, 1, 0))+(0.1*IF(Table1[[#This Row],[CorrectAwayScorePrediction]]=1, 1, 0))+(0.1*IF(Table1[[#This Row],[CorrectHomeScorePrediction]]=1, 1, 0))</f>
        <v>0</v>
      </c>
      <c r="X64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47" s="64">
        <f>SUMIF(Table1[GameDate], Table1[[#This Row],[GameDate]], Table1[AwayGameGoalDiff])</f>
        <v>0</v>
      </c>
      <c r="AA647" s="64">
        <f>SUMIF(Table1[GameDate], Table1[[#This Row],[GameDate]], Table1[HomeGameGoalDiff])</f>
        <v>0</v>
      </c>
      <c r="AB647" s="64">
        <f>IF(ISBLANK(Table1[[#This Row],[ActualResult]]), 0, 1)</f>
        <v>0</v>
      </c>
      <c r="AC647" s="64">
        <f>IF(ISBLANK(Table1[[#This Row],[ActualResult]]), 0, IF(Table1[[#This Row],[ActualWinner]]=Table1[[#This Row],[PredictedWinner]], 1, 0))</f>
        <v>0</v>
      </c>
      <c r="AD64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4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47" s="64">
        <f>IF(AND(Table1[[#This Row],[GameIsOver]]=1,Table1[[#This Row],[ActualAwayScore]]=0), 1,0)</f>
        <v>0</v>
      </c>
      <c r="AG647" s="64">
        <f>IF(AND(Table1[[#This Row],[GameIsOver]]=1,Table1[[#This Row],[ActualHomeScore]]=0), 1,0)</f>
        <v>0</v>
      </c>
      <c r="AH647" s="64">
        <f>IF(Table1[[#This Row],[GameIsOver]]=0,0,IF(Table1[[#This Row],[ActualWinner]]=Table1[[#This Row],[AwayTeam]], 1, 0))</f>
        <v>0</v>
      </c>
      <c r="AI647" s="64">
        <f>IF(Table1[[#This Row],[GameIsOver]]=0,0,IF(Table1[[#This Row],[ActualWinner]]=Table1[[#This Row],[HomeTeam]], 1, 0))</f>
        <v>0</v>
      </c>
      <c r="AJ647" s="64">
        <f>IF(INDEX(Standings!$A$2:$C$33,MATCH(Table1[[#This Row],[AwayTeam]],Standings!$A$2:$A$33,0),2)=INDEX(Standings!$A$2:$C$33,MATCH(Table1[[#This Row],[HomeTeam]],Standings!$A$2:$A$33,0),2),1,0)</f>
        <v>1</v>
      </c>
      <c r="AK647" s="64">
        <f>IF(INDEX(Standings!$A$2:$C$33,MATCH(Table1[[#This Row],[AwayTeam]],Standings!$A$2:$A$33,0),3)=INDEX(Standings!$A$2:$C$33,MATCH(Table1[[#This Row],[HomeTeam]],Standings!$A$2:$A$33,0),3),1,0)</f>
        <v>0</v>
      </c>
      <c r="AL647" s="64">
        <f>IF(Table1[[#This Row],[InterConf]]=1,IF(Table1[[#This Row],[InterDiv]]=0, 1, 0), 0)</f>
        <v>1</v>
      </c>
      <c r="AM647" s="64">
        <f>IF(INDEX(Standings!$A$2:$C$33,MATCH(Table1[[#This Row],[AwayTeam]],Standings!$A$2:$A$33,0),2)&lt;&gt;INDEX(Standings!$A$2:$C$33,MATCH(Table1[[#This Row],[HomeTeam]],Standings!$A$2:$A$33,0),2),1,0)</f>
        <v>0</v>
      </c>
      <c r="AN647" s="64" t="str">
        <f>INDEX(Table2[AWAY_RECORD], MATCH(Table1[[#This Row],[AwayTeam]],Table2[Team], 0), 0)</f>
        <v>0-0-0</v>
      </c>
      <c r="AO647" s="64" t="str">
        <f>INDEX(Records!$B$2:$AG$33, MATCH(Table1[[#This Row],[AwayTeam]],Records!$A$2:$A$33, 0), MATCH(Table1[[#This Row],[HomeTeam]],Records!$A$2:$A$33, 0))</f>
        <v>0-0-0</v>
      </c>
      <c r="AP647" s="64" t="str">
        <f>INDEX(Table2[HOME_RECORD], MATCH(Table1[[#This Row],[HomeTeam]],Table2[Team], 0), 0)</f>
        <v>0-0-1</v>
      </c>
      <c r="AQ647" s="64" t="str">
        <f>INDEX(Records!$B$2:$AG$33, MATCH(Table1[[#This Row],[HomeTeam]],Records!$A$2:$A$33, 0), MATCH(Table1[[#This Row],[AwayTeam]],Records!$A$2:$A$33, 0))</f>
        <v>0-0-0</v>
      </c>
    </row>
    <row r="648" spans="1:43" x14ac:dyDescent="0.25">
      <c r="A648" s="1"/>
      <c r="D648" t="s">
        <v>917</v>
      </c>
      <c r="E648" t="s">
        <v>160</v>
      </c>
      <c r="F648" t="s">
        <v>924</v>
      </c>
      <c r="G648" t="s">
        <v>41</v>
      </c>
      <c r="H648" t="s">
        <v>58</v>
      </c>
      <c r="L64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4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48" s="1"/>
      <c r="T648" s="64" t="str">
        <f>IF(Table1[[#This Row],[ActualWinner]]="", "", IF(Table1[[#This Row],[AwayTeam]]=Table1[[#This Row],[ActualWinner]],Table1[[#This Row],[HomeTeam]],Table1[[#This Row],[AwayTeam]]))</f>
        <v/>
      </c>
      <c r="U648" s="64">
        <f>Table1[[#This Row],[ActualAwayScore]]-Table1[[#This Row],[PredictedAwayScore]]</f>
        <v>0</v>
      </c>
      <c r="V648" s="64">
        <f>Table1[[#This Row],[ActualHomeScore]]-Table1[[#This Row],[PredictedHomeScore]]</f>
        <v>0</v>
      </c>
      <c r="W648" s="64">
        <f>(0.8*IF(Table1[[#This Row],[CorrectWinnerPrediction]]=1, 1, 0))+(0.1*IF(Table1[[#This Row],[CorrectAwayScorePrediction]]=1, 1, 0))+(0.1*IF(Table1[[#This Row],[CorrectHomeScorePrediction]]=1, 1, 0))</f>
        <v>0</v>
      </c>
      <c r="X64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48" s="64">
        <f>SUMIF(Table1[GameDate], Table1[[#This Row],[GameDate]], Table1[AwayGameGoalDiff])</f>
        <v>0</v>
      </c>
      <c r="AA648" s="64">
        <f>SUMIF(Table1[GameDate], Table1[[#This Row],[GameDate]], Table1[HomeGameGoalDiff])</f>
        <v>0</v>
      </c>
      <c r="AB648" s="64">
        <f>IF(ISBLANK(Table1[[#This Row],[ActualResult]]), 0, 1)</f>
        <v>0</v>
      </c>
      <c r="AC648" s="64">
        <f>IF(ISBLANK(Table1[[#This Row],[ActualResult]]), 0, IF(Table1[[#This Row],[ActualWinner]]=Table1[[#This Row],[PredictedWinner]], 1, 0))</f>
        <v>0</v>
      </c>
      <c r="AD64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4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48" s="64">
        <f>IF(AND(Table1[[#This Row],[GameIsOver]]=1,Table1[[#This Row],[ActualAwayScore]]=0), 1,0)</f>
        <v>0</v>
      </c>
      <c r="AG648" s="64">
        <f>IF(AND(Table1[[#This Row],[GameIsOver]]=1,Table1[[#This Row],[ActualHomeScore]]=0), 1,0)</f>
        <v>0</v>
      </c>
      <c r="AH648" s="64">
        <f>IF(Table1[[#This Row],[GameIsOver]]=0,0,IF(Table1[[#This Row],[ActualWinner]]=Table1[[#This Row],[AwayTeam]], 1, 0))</f>
        <v>0</v>
      </c>
      <c r="AI648" s="64">
        <f>IF(Table1[[#This Row],[GameIsOver]]=0,0,IF(Table1[[#This Row],[ActualWinner]]=Table1[[#This Row],[HomeTeam]], 1, 0))</f>
        <v>0</v>
      </c>
      <c r="AJ648" s="64">
        <f>IF(INDEX(Standings!$A$2:$C$33,MATCH(Table1[[#This Row],[AwayTeam]],Standings!$A$2:$A$33,0),2)=INDEX(Standings!$A$2:$C$33,MATCH(Table1[[#This Row],[HomeTeam]],Standings!$A$2:$A$33,0),2),1,0)</f>
        <v>1</v>
      </c>
      <c r="AK648" s="64">
        <f>IF(INDEX(Standings!$A$2:$C$33,MATCH(Table1[[#This Row],[AwayTeam]],Standings!$A$2:$A$33,0),3)=INDEX(Standings!$A$2:$C$33,MATCH(Table1[[#This Row],[HomeTeam]],Standings!$A$2:$A$33,0),3),1,0)</f>
        <v>1</v>
      </c>
      <c r="AL648" s="64">
        <f>IF(Table1[[#This Row],[InterConf]]=1,IF(Table1[[#This Row],[InterDiv]]=0, 1, 0), 0)</f>
        <v>0</v>
      </c>
      <c r="AM648" s="64">
        <f>IF(INDEX(Standings!$A$2:$C$33,MATCH(Table1[[#This Row],[AwayTeam]],Standings!$A$2:$A$33,0),2)&lt;&gt;INDEX(Standings!$A$2:$C$33,MATCH(Table1[[#This Row],[HomeTeam]],Standings!$A$2:$A$33,0),2),1,0)</f>
        <v>0</v>
      </c>
      <c r="AN648" s="64" t="str">
        <f>INDEX(Table2[AWAY_RECORD], MATCH(Table1[[#This Row],[AwayTeam]],Table2[Team], 0), 0)</f>
        <v>0-0-0</v>
      </c>
      <c r="AO648" s="64" t="str">
        <f>INDEX(Records!$B$2:$AG$33, MATCH(Table1[[#This Row],[AwayTeam]],Records!$A$2:$A$33, 0), MATCH(Table1[[#This Row],[HomeTeam]],Records!$A$2:$A$33, 0))</f>
        <v>0-0-0</v>
      </c>
      <c r="AP648" s="64" t="str">
        <f>INDEX(Table2[HOME_RECORD], MATCH(Table1[[#This Row],[HomeTeam]],Table2[Team], 0), 0)</f>
        <v>1-0-0</v>
      </c>
      <c r="AQ648" s="64" t="str">
        <f>INDEX(Records!$B$2:$AG$33, MATCH(Table1[[#This Row],[HomeTeam]],Records!$A$2:$A$33, 0), MATCH(Table1[[#This Row],[AwayTeam]],Records!$A$2:$A$33, 0))</f>
        <v>0-0-0</v>
      </c>
    </row>
    <row r="649" spans="1:43" x14ac:dyDescent="0.25">
      <c r="A649" s="1"/>
      <c r="D649" t="s">
        <v>917</v>
      </c>
      <c r="E649" t="s">
        <v>178</v>
      </c>
      <c r="F649" t="s">
        <v>925</v>
      </c>
      <c r="G649" t="s">
        <v>60</v>
      </c>
      <c r="H649" t="s">
        <v>39</v>
      </c>
      <c r="L64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4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49" s="1"/>
      <c r="T649" s="64" t="str">
        <f>IF(Table1[[#This Row],[ActualWinner]]="", "", IF(Table1[[#This Row],[AwayTeam]]=Table1[[#This Row],[ActualWinner]],Table1[[#This Row],[HomeTeam]],Table1[[#This Row],[AwayTeam]]))</f>
        <v/>
      </c>
      <c r="U649" s="64">
        <f>Table1[[#This Row],[ActualAwayScore]]-Table1[[#This Row],[PredictedAwayScore]]</f>
        <v>0</v>
      </c>
      <c r="V649" s="64">
        <f>Table1[[#This Row],[ActualHomeScore]]-Table1[[#This Row],[PredictedHomeScore]]</f>
        <v>0</v>
      </c>
      <c r="W649" s="64">
        <f>(0.8*IF(Table1[[#This Row],[CorrectWinnerPrediction]]=1, 1, 0))+(0.1*IF(Table1[[#This Row],[CorrectAwayScorePrediction]]=1, 1, 0))+(0.1*IF(Table1[[#This Row],[CorrectHomeScorePrediction]]=1, 1, 0))</f>
        <v>0</v>
      </c>
      <c r="X64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49" s="64">
        <f>SUMIF(Table1[GameDate], Table1[[#This Row],[GameDate]], Table1[AwayGameGoalDiff])</f>
        <v>0</v>
      </c>
      <c r="AA649" s="64">
        <f>SUMIF(Table1[GameDate], Table1[[#This Row],[GameDate]], Table1[HomeGameGoalDiff])</f>
        <v>0</v>
      </c>
      <c r="AB649" s="64">
        <f>IF(ISBLANK(Table1[[#This Row],[ActualResult]]), 0, 1)</f>
        <v>0</v>
      </c>
      <c r="AC649" s="64">
        <f>IF(ISBLANK(Table1[[#This Row],[ActualResult]]), 0, IF(Table1[[#This Row],[ActualWinner]]=Table1[[#This Row],[PredictedWinner]], 1, 0))</f>
        <v>0</v>
      </c>
      <c r="AD64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4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49" s="64">
        <f>IF(AND(Table1[[#This Row],[GameIsOver]]=1,Table1[[#This Row],[ActualAwayScore]]=0), 1,0)</f>
        <v>0</v>
      </c>
      <c r="AG649" s="64">
        <f>IF(AND(Table1[[#This Row],[GameIsOver]]=1,Table1[[#This Row],[ActualHomeScore]]=0), 1,0)</f>
        <v>0</v>
      </c>
      <c r="AH649" s="64">
        <f>IF(Table1[[#This Row],[GameIsOver]]=0,0,IF(Table1[[#This Row],[ActualWinner]]=Table1[[#This Row],[AwayTeam]], 1, 0))</f>
        <v>0</v>
      </c>
      <c r="AI649" s="64">
        <f>IF(Table1[[#This Row],[GameIsOver]]=0,0,IF(Table1[[#This Row],[ActualWinner]]=Table1[[#This Row],[HomeTeam]], 1, 0))</f>
        <v>0</v>
      </c>
      <c r="AJ649" s="64">
        <f>IF(INDEX(Standings!$A$2:$C$33,MATCH(Table1[[#This Row],[AwayTeam]],Standings!$A$2:$A$33,0),2)=INDEX(Standings!$A$2:$C$33,MATCH(Table1[[#This Row],[HomeTeam]],Standings!$A$2:$A$33,0),2),1,0)</f>
        <v>1</v>
      </c>
      <c r="AK649" s="64">
        <f>IF(INDEX(Standings!$A$2:$C$33,MATCH(Table1[[#This Row],[AwayTeam]],Standings!$A$2:$A$33,0),3)=INDEX(Standings!$A$2:$C$33,MATCH(Table1[[#This Row],[HomeTeam]],Standings!$A$2:$A$33,0),3),1,0)</f>
        <v>0</v>
      </c>
      <c r="AL649" s="64">
        <f>IF(Table1[[#This Row],[InterConf]]=1,IF(Table1[[#This Row],[InterDiv]]=0, 1, 0), 0)</f>
        <v>1</v>
      </c>
      <c r="AM649" s="64">
        <f>IF(INDEX(Standings!$A$2:$C$33,MATCH(Table1[[#This Row],[AwayTeam]],Standings!$A$2:$A$33,0),2)&lt;&gt;INDEX(Standings!$A$2:$C$33,MATCH(Table1[[#This Row],[HomeTeam]],Standings!$A$2:$A$33,0),2),1,0)</f>
        <v>0</v>
      </c>
      <c r="AN649" s="64" t="str">
        <f>INDEX(Table2[AWAY_RECORD], MATCH(Table1[[#This Row],[AwayTeam]],Table2[Team], 0), 0)</f>
        <v>0-0-0</v>
      </c>
      <c r="AO649" s="64" t="str">
        <f>INDEX(Records!$B$2:$AG$33, MATCH(Table1[[#This Row],[AwayTeam]],Records!$A$2:$A$33, 0), MATCH(Table1[[#This Row],[HomeTeam]],Records!$A$2:$A$33, 0))</f>
        <v>0-0-0</v>
      </c>
      <c r="AP649" s="64" t="str">
        <f>INDEX(Table2[HOME_RECORD], MATCH(Table1[[#This Row],[HomeTeam]],Table2[Team], 0), 0)</f>
        <v>0-1-0</v>
      </c>
      <c r="AQ649" s="64" t="str">
        <f>INDEX(Records!$B$2:$AG$33, MATCH(Table1[[#This Row],[HomeTeam]],Records!$A$2:$A$33, 0), MATCH(Table1[[#This Row],[AwayTeam]],Records!$A$2:$A$33, 0))</f>
        <v>0-0-0</v>
      </c>
    </row>
    <row r="650" spans="1:43" x14ac:dyDescent="0.25">
      <c r="A650" s="1"/>
      <c r="D650" t="s">
        <v>917</v>
      </c>
      <c r="E650" t="s">
        <v>164</v>
      </c>
      <c r="F650" t="s">
        <v>926</v>
      </c>
      <c r="G650" t="s">
        <v>51</v>
      </c>
      <c r="H650" t="s">
        <v>43</v>
      </c>
      <c r="L65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5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50" s="1"/>
      <c r="T650" s="64" t="str">
        <f>IF(Table1[[#This Row],[ActualWinner]]="", "", IF(Table1[[#This Row],[AwayTeam]]=Table1[[#This Row],[ActualWinner]],Table1[[#This Row],[HomeTeam]],Table1[[#This Row],[AwayTeam]]))</f>
        <v/>
      </c>
      <c r="U650" s="64">
        <f>Table1[[#This Row],[ActualAwayScore]]-Table1[[#This Row],[PredictedAwayScore]]</f>
        <v>0</v>
      </c>
      <c r="V650" s="64">
        <f>Table1[[#This Row],[ActualHomeScore]]-Table1[[#This Row],[PredictedHomeScore]]</f>
        <v>0</v>
      </c>
      <c r="W650" s="64">
        <f>(0.8*IF(Table1[[#This Row],[CorrectWinnerPrediction]]=1, 1, 0))+(0.1*IF(Table1[[#This Row],[CorrectAwayScorePrediction]]=1, 1, 0))+(0.1*IF(Table1[[#This Row],[CorrectHomeScorePrediction]]=1, 1, 0))</f>
        <v>0</v>
      </c>
      <c r="X65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50" s="64">
        <f>SUMIF(Table1[GameDate], Table1[[#This Row],[GameDate]], Table1[AwayGameGoalDiff])</f>
        <v>0</v>
      </c>
      <c r="AA650" s="64">
        <f>SUMIF(Table1[GameDate], Table1[[#This Row],[GameDate]], Table1[HomeGameGoalDiff])</f>
        <v>0</v>
      </c>
      <c r="AB650" s="64">
        <f>IF(ISBLANK(Table1[[#This Row],[ActualResult]]), 0, 1)</f>
        <v>0</v>
      </c>
      <c r="AC650" s="64">
        <f>IF(ISBLANK(Table1[[#This Row],[ActualResult]]), 0, IF(Table1[[#This Row],[ActualWinner]]=Table1[[#This Row],[PredictedWinner]], 1, 0))</f>
        <v>0</v>
      </c>
      <c r="AD65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5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50" s="64">
        <f>IF(AND(Table1[[#This Row],[GameIsOver]]=1,Table1[[#This Row],[ActualAwayScore]]=0), 1,0)</f>
        <v>0</v>
      </c>
      <c r="AG650" s="64">
        <f>IF(AND(Table1[[#This Row],[GameIsOver]]=1,Table1[[#This Row],[ActualHomeScore]]=0), 1,0)</f>
        <v>0</v>
      </c>
      <c r="AH650" s="64">
        <f>IF(Table1[[#This Row],[GameIsOver]]=0,0,IF(Table1[[#This Row],[ActualWinner]]=Table1[[#This Row],[AwayTeam]], 1, 0))</f>
        <v>0</v>
      </c>
      <c r="AI650" s="64">
        <f>IF(Table1[[#This Row],[GameIsOver]]=0,0,IF(Table1[[#This Row],[ActualWinner]]=Table1[[#This Row],[HomeTeam]], 1, 0))</f>
        <v>0</v>
      </c>
      <c r="AJ650" s="64">
        <f>IF(INDEX(Standings!$A$2:$C$33,MATCH(Table1[[#This Row],[AwayTeam]],Standings!$A$2:$A$33,0),2)=INDEX(Standings!$A$2:$C$33,MATCH(Table1[[#This Row],[HomeTeam]],Standings!$A$2:$A$33,0),2),1,0)</f>
        <v>0</v>
      </c>
      <c r="AK650" s="64">
        <f>IF(INDEX(Standings!$A$2:$C$33,MATCH(Table1[[#This Row],[AwayTeam]],Standings!$A$2:$A$33,0),3)=INDEX(Standings!$A$2:$C$33,MATCH(Table1[[#This Row],[HomeTeam]],Standings!$A$2:$A$33,0),3),1,0)</f>
        <v>0</v>
      </c>
      <c r="AL650" s="64">
        <f>IF(Table1[[#This Row],[InterConf]]=1,IF(Table1[[#This Row],[InterDiv]]=0, 1, 0), 0)</f>
        <v>0</v>
      </c>
      <c r="AM650" s="64">
        <f>IF(INDEX(Standings!$A$2:$C$33,MATCH(Table1[[#This Row],[AwayTeam]],Standings!$A$2:$A$33,0),2)&lt;&gt;INDEX(Standings!$A$2:$C$33,MATCH(Table1[[#This Row],[HomeTeam]],Standings!$A$2:$A$33,0),2),1,0)</f>
        <v>1</v>
      </c>
      <c r="AN650" s="64" t="str">
        <f>INDEX(Table2[AWAY_RECORD], MATCH(Table1[[#This Row],[AwayTeam]],Table2[Team], 0), 0)</f>
        <v>2-0-0</v>
      </c>
      <c r="AO650" s="64" t="str">
        <f>INDEX(Records!$B$2:$AG$33, MATCH(Table1[[#This Row],[AwayTeam]],Records!$A$2:$A$33, 0), MATCH(Table1[[#This Row],[HomeTeam]],Records!$A$2:$A$33, 0))</f>
        <v>0-0-0</v>
      </c>
      <c r="AP650" s="64" t="str">
        <f>INDEX(Table2[HOME_RECORD], MATCH(Table1[[#This Row],[HomeTeam]],Table2[Team], 0), 0)</f>
        <v>0-0-0</v>
      </c>
      <c r="AQ650" s="64" t="str">
        <f>INDEX(Records!$B$2:$AG$33, MATCH(Table1[[#This Row],[HomeTeam]],Records!$A$2:$A$33, 0), MATCH(Table1[[#This Row],[AwayTeam]],Records!$A$2:$A$33, 0))</f>
        <v>0-0-0</v>
      </c>
    </row>
    <row r="651" spans="1:43" x14ac:dyDescent="0.25">
      <c r="A651" s="1"/>
      <c r="D651" t="s">
        <v>927</v>
      </c>
      <c r="E651" t="s">
        <v>386</v>
      </c>
      <c r="F651" t="s">
        <v>928</v>
      </c>
      <c r="G651" t="s">
        <v>17</v>
      </c>
      <c r="H651" t="s">
        <v>48</v>
      </c>
      <c r="L65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5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51" s="1"/>
      <c r="T651" s="64" t="str">
        <f>IF(Table1[[#This Row],[ActualWinner]]="", "", IF(Table1[[#This Row],[AwayTeam]]=Table1[[#This Row],[ActualWinner]],Table1[[#This Row],[HomeTeam]],Table1[[#This Row],[AwayTeam]]))</f>
        <v/>
      </c>
      <c r="U651" s="64">
        <f>Table1[[#This Row],[ActualAwayScore]]-Table1[[#This Row],[PredictedAwayScore]]</f>
        <v>0</v>
      </c>
      <c r="V651" s="64">
        <f>Table1[[#This Row],[ActualHomeScore]]-Table1[[#This Row],[PredictedHomeScore]]</f>
        <v>0</v>
      </c>
      <c r="W651" s="64">
        <f>(0.8*IF(Table1[[#This Row],[CorrectWinnerPrediction]]=1, 1, 0))+(0.1*IF(Table1[[#This Row],[CorrectAwayScorePrediction]]=1, 1, 0))+(0.1*IF(Table1[[#This Row],[CorrectHomeScorePrediction]]=1, 1, 0))</f>
        <v>0</v>
      </c>
      <c r="X65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51" s="64">
        <f>SUMIF(Table1[GameDate], Table1[[#This Row],[GameDate]], Table1[AwayGameGoalDiff])</f>
        <v>0</v>
      </c>
      <c r="AA651" s="64">
        <f>SUMIF(Table1[GameDate], Table1[[#This Row],[GameDate]], Table1[HomeGameGoalDiff])</f>
        <v>0</v>
      </c>
      <c r="AB651" s="64">
        <f>IF(ISBLANK(Table1[[#This Row],[ActualResult]]), 0, 1)</f>
        <v>0</v>
      </c>
      <c r="AC651" s="64">
        <f>IF(ISBLANK(Table1[[#This Row],[ActualResult]]), 0, IF(Table1[[#This Row],[ActualWinner]]=Table1[[#This Row],[PredictedWinner]], 1, 0))</f>
        <v>0</v>
      </c>
      <c r="AD65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5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51" s="64">
        <f>IF(AND(Table1[[#This Row],[GameIsOver]]=1,Table1[[#This Row],[ActualAwayScore]]=0), 1,0)</f>
        <v>0</v>
      </c>
      <c r="AG651" s="64">
        <f>IF(AND(Table1[[#This Row],[GameIsOver]]=1,Table1[[#This Row],[ActualHomeScore]]=0), 1,0)</f>
        <v>0</v>
      </c>
      <c r="AH651" s="64">
        <f>IF(Table1[[#This Row],[GameIsOver]]=0,0,IF(Table1[[#This Row],[ActualWinner]]=Table1[[#This Row],[AwayTeam]], 1, 0))</f>
        <v>0</v>
      </c>
      <c r="AI651" s="64">
        <f>IF(Table1[[#This Row],[GameIsOver]]=0,0,IF(Table1[[#This Row],[ActualWinner]]=Table1[[#This Row],[HomeTeam]], 1, 0))</f>
        <v>0</v>
      </c>
      <c r="AJ651" s="64">
        <f>IF(INDEX(Standings!$A$2:$C$33,MATCH(Table1[[#This Row],[AwayTeam]],Standings!$A$2:$A$33,0),2)=INDEX(Standings!$A$2:$C$33,MATCH(Table1[[#This Row],[HomeTeam]],Standings!$A$2:$A$33,0),2),1,0)</f>
        <v>0</v>
      </c>
      <c r="AK651" s="64">
        <f>IF(INDEX(Standings!$A$2:$C$33,MATCH(Table1[[#This Row],[AwayTeam]],Standings!$A$2:$A$33,0),3)=INDEX(Standings!$A$2:$C$33,MATCH(Table1[[#This Row],[HomeTeam]],Standings!$A$2:$A$33,0),3),1,0)</f>
        <v>0</v>
      </c>
      <c r="AL651" s="64">
        <f>IF(Table1[[#This Row],[InterConf]]=1,IF(Table1[[#This Row],[InterDiv]]=0, 1, 0), 0)</f>
        <v>0</v>
      </c>
      <c r="AM651" s="64">
        <f>IF(INDEX(Standings!$A$2:$C$33,MATCH(Table1[[#This Row],[AwayTeam]],Standings!$A$2:$A$33,0),2)&lt;&gt;INDEX(Standings!$A$2:$C$33,MATCH(Table1[[#This Row],[HomeTeam]],Standings!$A$2:$A$33,0),2),1,0)</f>
        <v>1</v>
      </c>
      <c r="AN651" s="64" t="str">
        <f>INDEX(Table2[AWAY_RECORD], MATCH(Table1[[#This Row],[AwayTeam]],Table2[Team], 0), 0)</f>
        <v>2-0-0</v>
      </c>
      <c r="AO651" s="64" t="str">
        <f>INDEX(Records!$B$2:$AG$33, MATCH(Table1[[#This Row],[AwayTeam]],Records!$A$2:$A$33, 0), MATCH(Table1[[#This Row],[HomeTeam]],Records!$A$2:$A$33, 0))</f>
        <v>0-0-0</v>
      </c>
      <c r="AP651" s="64" t="str">
        <f>INDEX(Table2[HOME_RECORD], MATCH(Table1[[#This Row],[HomeTeam]],Table2[Team], 0), 0)</f>
        <v>1-0-0</v>
      </c>
      <c r="AQ651" s="64" t="str">
        <f>INDEX(Records!$B$2:$AG$33, MATCH(Table1[[#This Row],[HomeTeam]],Records!$A$2:$A$33, 0), MATCH(Table1[[#This Row],[AwayTeam]],Records!$A$2:$A$33, 0))</f>
        <v>0-0-0</v>
      </c>
    </row>
    <row r="652" spans="1:43" x14ac:dyDescent="0.25">
      <c r="A652" s="1"/>
      <c r="D652" t="s">
        <v>927</v>
      </c>
      <c r="E652" t="s">
        <v>252</v>
      </c>
      <c r="F652" t="s">
        <v>929</v>
      </c>
      <c r="G652" t="s">
        <v>37</v>
      </c>
      <c r="H652" t="s">
        <v>16</v>
      </c>
      <c r="L65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5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52" s="1"/>
      <c r="T652" s="64" t="str">
        <f>IF(Table1[[#This Row],[ActualWinner]]="", "", IF(Table1[[#This Row],[AwayTeam]]=Table1[[#This Row],[ActualWinner]],Table1[[#This Row],[HomeTeam]],Table1[[#This Row],[AwayTeam]]))</f>
        <v/>
      </c>
      <c r="U652" s="64">
        <f>Table1[[#This Row],[ActualAwayScore]]-Table1[[#This Row],[PredictedAwayScore]]</f>
        <v>0</v>
      </c>
      <c r="V652" s="64">
        <f>Table1[[#This Row],[ActualHomeScore]]-Table1[[#This Row],[PredictedHomeScore]]</f>
        <v>0</v>
      </c>
      <c r="W652" s="64">
        <f>(0.8*IF(Table1[[#This Row],[CorrectWinnerPrediction]]=1, 1, 0))+(0.1*IF(Table1[[#This Row],[CorrectAwayScorePrediction]]=1, 1, 0))+(0.1*IF(Table1[[#This Row],[CorrectHomeScorePrediction]]=1, 1, 0))</f>
        <v>0</v>
      </c>
      <c r="X65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52" s="64">
        <f>SUMIF(Table1[GameDate], Table1[[#This Row],[GameDate]], Table1[AwayGameGoalDiff])</f>
        <v>0</v>
      </c>
      <c r="AA652" s="64">
        <f>SUMIF(Table1[GameDate], Table1[[#This Row],[GameDate]], Table1[HomeGameGoalDiff])</f>
        <v>0</v>
      </c>
      <c r="AB652" s="64">
        <f>IF(ISBLANK(Table1[[#This Row],[ActualResult]]), 0, 1)</f>
        <v>0</v>
      </c>
      <c r="AC652" s="64">
        <f>IF(ISBLANK(Table1[[#This Row],[ActualResult]]), 0, IF(Table1[[#This Row],[ActualWinner]]=Table1[[#This Row],[PredictedWinner]], 1, 0))</f>
        <v>0</v>
      </c>
      <c r="AD65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5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52" s="64">
        <f>IF(AND(Table1[[#This Row],[GameIsOver]]=1,Table1[[#This Row],[ActualAwayScore]]=0), 1,0)</f>
        <v>0</v>
      </c>
      <c r="AG652" s="64">
        <f>IF(AND(Table1[[#This Row],[GameIsOver]]=1,Table1[[#This Row],[ActualHomeScore]]=0), 1,0)</f>
        <v>0</v>
      </c>
      <c r="AH652" s="64">
        <f>IF(Table1[[#This Row],[GameIsOver]]=0,0,IF(Table1[[#This Row],[ActualWinner]]=Table1[[#This Row],[AwayTeam]], 1, 0))</f>
        <v>0</v>
      </c>
      <c r="AI652" s="64">
        <f>IF(Table1[[#This Row],[GameIsOver]]=0,0,IF(Table1[[#This Row],[ActualWinner]]=Table1[[#This Row],[HomeTeam]], 1, 0))</f>
        <v>0</v>
      </c>
      <c r="AJ652" s="64">
        <f>IF(INDEX(Standings!$A$2:$C$33,MATCH(Table1[[#This Row],[AwayTeam]],Standings!$A$2:$A$33,0),2)=INDEX(Standings!$A$2:$C$33,MATCH(Table1[[#This Row],[HomeTeam]],Standings!$A$2:$A$33,0),2),1,0)</f>
        <v>0</v>
      </c>
      <c r="AK652" s="64">
        <f>IF(INDEX(Standings!$A$2:$C$33,MATCH(Table1[[#This Row],[AwayTeam]],Standings!$A$2:$A$33,0),3)=INDEX(Standings!$A$2:$C$33,MATCH(Table1[[#This Row],[HomeTeam]],Standings!$A$2:$A$33,0),3),1,0)</f>
        <v>0</v>
      </c>
      <c r="AL652" s="64">
        <f>IF(Table1[[#This Row],[InterConf]]=1,IF(Table1[[#This Row],[InterDiv]]=0, 1, 0), 0)</f>
        <v>0</v>
      </c>
      <c r="AM652" s="64">
        <f>IF(INDEX(Standings!$A$2:$C$33,MATCH(Table1[[#This Row],[AwayTeam]],Standings!$A$2:$A$33,0),2)&lt;&gt;INDEX(Standings!$A$2:$C$33,MATCH(Table1[[#This Row],[HomeTeam]],Standings!$A$2:$A$33,0),2),1,0)</f>
        <v>1</v>
      </c>
      <c r="AN652" s="64" t="str">
        <f>INDEX(Table2[AWAY_RECORD], MATCH(Table1[[#This Row],[AwayTeam]],Table2[Team], 0), 0)</f>
        <v>0-0-1</v>
      </c>
      <c r="AO652" s="64" t="str">
        <f>INDEX(Records!$B$2:$AG$33, MATCH(Table1[[#This Row],[AwayTeam]],Records!$A$2:$A$33, 0), MATCH(Table1[[#This Row],[HomeTeam]],Records!$A$2:$A$33, 0))</f>
        <v>0-0-0</v>
      </c>
      <c r="AP652" s="64" t="str">
        <f>INDEX(Table2[HOME_RECORD], MATCH(Table1[[#This Row],[HomeTeam]],Table2[Team], 0), 0)</f>
        <v>0-0-0</v>
      </c>
      <c r="AQ652" s="64" t="str">
        <f>INDEX(Records!$B$2:$AG$33, MATCH(Table1[[#This Row],[HomeTeam]],Records!$A$2:$A$33, 0), MATCH(Table1[[#This Row],[AwayTeam]],Records!$A$2:$A$33, 0))</f>
        <v>0-0-0</v>
      </c>
    </row>
    <row r="653" spans="1:43" x14ac:dyDescent="0.25">
      <c r="A653" s="1"/>
      <c r="D653" t="s">
        <v>927</v>
      </c>
      <c r="E653" t="s">
        <v>158</v>
      </c>
      <c r="F653" t="s">
        <v>930</v>
      </c>
      <c r="G653" t="s">
        <v>49</v>
      </c>
      <c r="H653" t="s">
        <v>36</v>
      </c>
      <c r="L65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5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53" s="1"/>
      <c r="T653" s="64" t="str">
        <f>IF(Table1[[#This Row],[ActualWinner]]="", "", IF(Table1[[#This Row],[AwayTeam]]=Table1[[#This Row],[ActualWinner]],Table1[[#This Row],[HomeTeam]],Table1[[#This Row],[AwayTeam]]))</f>
        <v/>
      </c>
      <c r="U653" s="64">
        <f>Table1[[#This Row],[ActualAwayScore]]-Table1[[#This Row],[PredictedAwayScore]]</f>
        <v>0</v>
      </c>
      <c r="V653" s="64">
        <f>Table1[[#This Row],[ActualHomeScore]]-Table1[[#This Row],[PredictedHomeScore]]</f>
        <v>0</v>
      </c>
      <c r="W653" s="64">
        <f>(0.8*IF(Table1[[#This Row],[CorrectWinnerPrediction]]=1, 1, 0))+(0.1*IF(Table1[[#This Row],[CorrectAwayScorePrediction]]=1, 1, 0))+(0.1*IF(Table1[[#This Row],[CorrectHomeScorePrediction]]=1, 1, 0))</f>
        <v>0</v>
      </c>
      <c r="X65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53" s="64">
        <f>SUMIF(Table1[GameDate], Table1[[#This Row],[GameDate]], Table1[AwayGameGoalDiff])</f>
        <v>0</v>
      </c>
      <c r="AA653" s="64">
        <f>SUMIF(Table1[GameDate], Table1[[#This Row],[GameDate]], Table1[HomeGameGoalDiff])</f>
        <v>0</v>
      </c>
      <c r="AB653" s="64">
        <f>IF(ISBLANK(Table1[[#This Row],[ActualResult]]), 0, 1)</f>
        <v>0</v>
      </c>
      <c r="AC653" s="64">
        <f>IF(ISBLANK(Table1[[#This Row],[ActualResult]]), 0, IF(Table1[[#This Row],[ActualWinner]]=Table1[[#This Row],[PredictedWinner]], 1, 0))</f>
        <v>0</v>
      </c>
      <c r="AD65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5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53" s="64">
        <f>IF(AND(Table1[[#This Row],[GameIsOver]]=1,Table1[[#This Row],[ActualAwayScore]]=0), 1,0)</f>
        <v>0</v>
      </c>
      <c r="AG653" s="64">
        <f>IF(AND(Table1[[#This Row],[GameIsOver]]=1,Table1[[#This Row],[ActualHomeScore]]=0), 1,0)</f>
        <v>0</v>
      </c>
      <c r="AH653" s="64">
        <f>IF(Table1[[#This Row],[GameIsOver]]=0,0,IF(Table1[[#This Row],[ActualWinner]]=Table1[[#This Row],[AwayTeam]], 1, 0))</f>
        <v>0</v>
      </c>
      <c r="AI653" s="64">
        <f>IF(Table1[[#This Row],[GameIsOver]]=0,0,IF(Table1[[#This Row],[ActualWinner]]=Table1[[#This Row],[HomeTeam]], 1, 0))</f>
        <v>0</v>
      </c>
      <c r="AJ653" s="64">
        <f>IF(INDEX(Standings!$A$2:$C$33,MATCH(Table1[[#This Row],[AwayTeam]],Standings!$A$2:$A$33,0),2)=INDEX(Standings!$A$2:$C$33,MATCH(Table1[[#This Row],[HomeTeam]],Standings!$A$2:$A$33,0),2),1,0)</f>
        <v>0</v>
      </c>
      <c r="AK653" s="64">
        <f>IF(INDEX(Standings!$A$2:$C$33,MATCH(Table1[[#This Row],[AwayTeam]],Standings!$A$2:$A$33,0),3)=INDEX(Standings!$A$2:$C$33,MATCH(Table1[[#This Row],[HomeTeam]],Standings!$A$2:$A$33,0),3),1,0)</f>
        <v>0</v>
      </c>
      <c r="AL653" s="64">
        <f>IF(Table1[[#This Row],[InterConf]]=1,IF(Table1[[#This Row],[InterDiv]]=0, 1, 0), 0)</f>
        <v>0</v>
      </c>
      <c r="AM653" s="64">
        <f>IF(INDEX(Standings!$A$2:$C$33,MATCH(Table1[[#This Row],[AwayTeam]],Standings!$A$2:$A$33,0),2)&lt;&gt;INDEX(Standings!$A$2:$C$33,MATCH(Table1[[#This Row],[HomeTeam]],Standings!$A$2:$A$33,0),2),1,0)</f>
        <v>1</v>
      </c>
      <c r="AN653" s="64" t="str">
        <f>INDEX(Table2[AWAY_RECORD], MATCH(Table1[[#This Row],[AwayTeam]],Table2[Team], 0), 0)</f>
        <v>0-0-0</v>
      </c>
      <c r="AO653" s="64" t="str">
        <f>INDEX(Records!$B$2:$AG$33, MATCH(Table1[[#This Row],[AwayTeam]],Records!$A$2:$A$33, 0), MATCH(Table1[[#This Row],[HomeTeam]],Records!$A$2:$A$33, 0))</f>
        <v>0-0-0</v>
      </c>
      <c r="AP653" s="64" t="str">
        <f>INDEX(Table2[HOME_RECORD], MATCH(Table1[[#This Row],[HomeTeam]],Table2[Team], 0), 0)</f>
        <v>0-0-0</v>
      </c>
      <c r="AQ653" s="64" t="str">
        <f>INDEX(Records!$B$2:$AG$33, MATCH(Table1[[#This Row],[HomeTeam]],Records!$A$2:$A$33, 0), MATCH(Table1[[#This Row],[AwayTeam]],Records!$A$2:$A$33, 0))</f>
        <v>0-0-0</v>
      </c>
    </row>
    <row r="654" spans="1:43" x14ac:dyDescent="0.25">
      <c r="A654" s="1"/>
      <c r="D654" t="s">
        <v>927</v>
      </c>
      <c r="E654" t="s">
        <v>158</v>
      </c>
      <c r="F654" t="s">
        <v>931</v>
      </c>
      <c r="G654" t="s">
        <v>53</v>
      </c>
      <c r="H654" t="s">
        <v>55</v>
      </c>
      <c r="L65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5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54" s="1"/>
      <c r="T654" s="64" t="str">
        <f>IF(Table1[[#This Row],[ActualWinner]]="", "", IF(Table1[[#This Row],[AwayTeam]]=Table1[[#This Row],[ActualWinner]],Table1[[#This Row],[HomeTeam]],Table1[[#This Row],[AwayTeam]]))</f>
        <v/>
      </c>
      <c r="U654" s="64">
        <f>Table1[[#This Row],[ActualAwayScore]]-Table1[[#This Row],[PredictedAwayScore]]</f>
        <v>0</v>
      </c>
      <c r="V654" s="64">
        <f>Table1[[#This Row],[ActualHomeScore]]-Table1[[#This Row],[PredictedHomeScore]]</f>
        <v>0</v>
      </c>
      <c r="W654" s="64">
        <f>(0.8*IF(Table1[[#This Row],[CorrectWinnerPrediction]]=1, 1, 0))+(0.1*IF(Table1[[#This Row],[CorrectAwayScorePrediction]]=1, 1, 0))+(0.1*IF(Table1[[#This Row],[CorrectHomeScorePrediction]]=1, 1, 0))</f>
        <v>0</v>
      </c>
      <c r="X65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54" s="64">
        <f>SUMIF(Table1[GameDate], Table1[[#This Row],[GameDate]], Table1[AwayGameGoalDiff])</f>
        <v>0</v>
      </c>
      <c r="AA654" s="64">
        <f>SUMIF(Table1[GameDate], Table1[[#This Row],[GameDate]], Table1[HomeGameGoalDiff])</f>
        <v>0</v>
      </c>
      <c r="AB654" s="64">
        <f>IF(ISBLANK(Table1[[#This Row],[ActualResult]]), 0, 1)</f>
        <v>0</v>
      </c>
      <c r="AC654" s="64">
        <f>IF(ISBLANK(Table1[[#This Row],[ActualResult]]), 0, IF(Table1[[#This Row],[ActualWinner]]=Table1[[#This Row],[PredictedWinner]], 1, 0))</f>
        <v>0</v>
      </c>
      <c r="AD65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5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54" s="64">
        <f>IF(AND(Table1[[#This Row],[GameIsOver]]=1,Table1[[#This Row],[ActualAwayScore]]=0), 1,0)</f>
        <v>0</v>
      </c>
      <c r="AG654" s="64">
        <f>IF(AND(Table1[[#This Row],[GameIsOver]]=1,Table1[[#This Row],[ActualHomeScore]]=0), 1,0)</f>
        <v>0</v>
      </c>
      <c r="AH654" s="64">
        <f>IF(Table1[[#This Row],[GameIsOver]]=0,0,IF(Table1[[#This Row],[ActualWinner]]=Table1[[#This Row],[AwayTeam]], 1, 0))</f>
        <v>0</v>
      </c>
      <c r="AI654" s="64">
        <f>IF(Table1[[#This Row],[GameIsOver]]=0,0,IF(Table1[[#This Row],[ActualWinner]]=Table1[[#This Row],[HomeTeam]], 1, 0))</f>
        <v>0</v>
      </c>
      <c r="AJ654" s="64">
        <f>IF(INDEX(Standings!$A$2:$C$33,MATCH(Table1[[#This Row],[AwayTeam]],Standings!$A$2:$A$33,0),2)=INDEX(Standings!$A$2:$C$33,MATCH(Table1[[#This Row],[HomeTeam]],Standings!$A$2:$A$33,0),2),1,0)</f>
        <v>0</v>
      </c>
      <c r="AK654" s="64">
        <f>IF(INDEX(Standings!$A$2:$C$33,MATCH(Table1[[#This Row],[AwayTeam]],Standings!$A$2:$A$33,0),3)=INDEX(Standings!$A$2:$C$33,MATCH(Table1[[#This Row],[HomeTeam]],Standings!$A$2:$A$33,0),3),1,0)</f>
        <v>0</v>
      </c>
      <c r="AL654" s="64">
        <f>IF(Table1[[#This Row],[InterConf]]=1,IF(Table1[[#This Row],[InterDiv]]=0, 1, 0), 0)</f>
        <v>0</v>
      </c>
      <c r="AM654" s="64">
        <f>IF(INDEX(Standings!$A$2:$C$33,MATCH(Table1[[#This Row],[AwayTeam]],Standings!$A$2:$A$33,0),2)&lt;&gt;INDEX(Standings!$A$2:$C$33,MATCH(Table1[[#This Row],[HomeTeam]],Standings!$A$2:$A$33,0),2),1,0)</f>
        <v>1</v>
      </c>
      <c r="AN654" s="64" t="str">
        <f>INDEX(Table2[AWAY_RECORD], MATCH(Table1[[#This Row],[AwayTeam]],Table2[Team], 0), 0)</f>
        <v>0-1-0</v>
      </c>
      <c r="AO654" s="64" t="str">
        <f>INDEX(Records!$B$2:$AG$33, MATCH(Table1[[#This Row],[AwayTeam]],Records!$A$2:$A$33, 0), MATCH(Table1[[#This Row],[HomeTeam]],Records!$A$2:$A$33, 0))</f>
        <v>0-0-0</v>
      </c>
      <c r="AP654" s="64" t="str">
        <f>INDEX(Table2[HOME_RECORD], MATCH(Table1[[#This Row],[HomeTeam]],Table2[Team], 0), 0)</f>
        <v>0-1-0</v>
      </c>
      <c r="AQ654" s="64" t="str">
        <f>INDEX(Records!$B$2:$AG$33, MATCH(Table1[[#This Row],[HomeTeam]],Records!$A$2:$A$33, 0), MATCH(Table1[[#This Row],[AwayTeam]],Records!$A$2:$A$33, 0))</f>
        <v>0-0-0</v>
      </c>
    </row>
    <row r="655" spans="1:43" x14ac:dyDescent="0.25">
      <c r="A655" s="1"/>
      <c r="D655" t="s">
        <v>927</v>
      </c>
      <c r="E655" t="s">
        <v>160</v>
      </c>
      <c r="F655" t="s">
        <v>932</v>
      </c>
      <c r="G655" t="s">
        <v>22</v>
      </c>
      <c r="H655" t="s">
        <v>54</v>
      </c>
      <c r="L65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5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55" s="1"/>
      <c r="T655" s="64" t="str">
        <f>IF(Table1[[#This Row],[ActualWinner]]="", "", IF(Table1[[#This Row],[AwayTeam]]=Table1[[#This Row],[ActualWinner]],Table1[[#This Row],[HomeTeam]],Table1[[#This Row],[AwayTeam]]))</f>
        <v/>
      </c>
      <c r="U655" s="64">
        <f>Table1[[#This Row],[ActualAwayScore]]-Table1[[#This Row],[PredictedAwayScore]]</f>
        <v>0</v>
      </c>
      <c r="V655" s="64">
        <f>Table1[[#This Row],[ActualHomeScore]]-Table1[[#This Row],[PredictedHomeScore]]</f>
        <v>0</v>
      </c>
      <c r="W655" s="64">
        <f>(0.8*IF(Table1[[#This Row],[CorrectWinnerPrediction]]=1, 1, 0))+(0.1*IF(Table1[[#This Row],[CorrectAwayScorePrediction]]=1, 1, 0))+(0.1*IF(Table1[[#This Row],[CorrectHomeScorePrediction]]=1, 1, 0))</f>
        <v>0</v>
      </c>
      <c r="X65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55" s="64">
        <f>SUMIF(Table1[GameDate], Table1[[#This Row],[GameDate]], Table1[AwayGameGoalDiff])</f>
        <v>0</v>
      </c>
      <c r="AA655" s="64">
        <f>SUMIF(Table1[GameDate], Table1[[#This Row],[GameDate]], Table1[HomeGameGoalDiff])</f>
        <v>0</v>
      </c>
      <c r="AB655" s="64">
        <f>IF(ISBLANK(Table1[[#This Row],[ActualResult]]), 0, 1)</f>
        <v>0</v>
      </c>
      <c r="AC655" s="64">
        <f>IF(ISBLANK(Table1[[#This Row],[ActualResult]]), 0, IF(Table1[[#This Row],[ActualWinner]]=Table1[[#This Row],[PredictedWinner]], 1, 0))</f>
        <v>0</v>
      </c>
      <c r="AD65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5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55" s="64">
        <f>IF(AND(Table1[[#This Row],[GameIsOver]]=1,Table1[[#This Row],[ActualAwayScore]]=0), 1,0)</f>
        <v>0</v>
      </c>
      <c r="AG655" s="64">
        <f>IF(AND(Table1[[#This Row],[GameIsOver]]=1,Table1[[#This Row],[ActualHomeScore]]=0), 1,0)</f>
        <v>0</v>
      </c>
      <c r="AH655" s="64">
        <f>IF(Table1[[#This Row],[GameIsOver]]=0,0,IF(Table1[[#This Row],[ActualWinner]]=Table1[[#This Row],[AwayTeam]], 1, 0))</f>
        <v>0</v>
      </c>
      <c r="AI655" s="64">
        <f>IF(Table1[[#This Row],[GameIsOver]]=0,0,IF(Table1[[#This Row],[ActualWinner]]=Table1[[#This Row],[HomeTeam]], 1, 0))</f>
        <v>0</v>
      </c>
      <c r="AJ655" s="64">
        <f>IF(INDEX(Standings!$A$2:$C$33,MATCH(Table1[[#This Row],[AwayTeam]],Standings!$A$2:$A$33,0),2)=INDEX(Standings!$A$2:$C$33,MATCH(Table1[[#This Row],[HomeTeam]],Standings!$A$2:$A$33,0),2),1,0)</f>
        <v>0</v>
      </c>
      <c r="AK655" s="64">
        <f>IF(INDEX(Standings!$A$2:$C$33,MATCH(Table1[[#This Row],[AwayTeam]],Standings!$A$2:$A$33,0),3)=INDEX(Standings!$A$2:$C$33,MATCH(Table1[[#This Row],[HomeTeam]],Standings!$A$2:$A$33,0),3),1,0)</f>
        <v>0</v>
      </c>
      <c r="AL655" s="64">
        <f>IF(Table1[[#This Row],[InterConf]]=1,IF(Table1[[#This Row],[InterDiv]]=0, 1, 0), 0)</f>
        <v>0</v>
      </c>
      <c r="AM655" s="64">
        <f>IF(INDEX(Standings!$A$2:$C$33,MATCH(Table1[[#This Row],[AwayTeam]],Standings!$A$2:$A$33,0),2)&lt;&gt;INDEX(Standings!$A$2:$C$33,MATCH(Table1[[#This Row],[HomeTeam]],Standings!$A$2:$A$33,0),2),1,0)</f>
        <v>1</v>
      </c>
      <c r="AN655" s="64" t="str">
        <f>INDEX(Table2[AWAY_RECORD], MATCH(Table1[[#This Row],[AwayTeam]],Table2[Team], 0), 0)</f>
        <v>0-0-1</v>
      </c>
      <c r="AO655" s="64" t="str">
        <f>INDEX(Records!$B$2:$AG$33, MATCH(Table1[[#This Row],[AwayTeam]],Records!$A$2:$A$33, 0), MATCH(Table1[[#This Row],[HomeTeam]],Records!$A$2:$A$33, 0))</f>
        <v>0-0-0</v>
      </c>
      <c r="AP655" s="64" t="str">
        <f>INDEX(Table2[HOME_RECORD], MATCH(Table1[[#This Row],[HomeTeam]],Table2[Team], 0), 0)</f>
        <v>0-0-0</v>
      </c>
      <c r="AQ655" s="64" t="str">
        <f>INDEX(Records!$B$2:$AG$33, MATCH(Table1[[#This Row],[HomeTeam]],Records!$A$2:$A$33, 0), MATCH(Table1[[#This Row],[AwayTeam]],Records!$A$2:$A$33, 0))</f>
        <v>0-0-0</v>
      </c>
    </row>
    <row r="656" spans="1:43" x14ac:dyDescent="0.25">
      <c r="A656" s="1"/>
      <c r="D656" t="s">
        <v>933</v>
      </c>
      <c r="E656" t="s">
        <v>432</v>
      </c>
      <c r="F656" t="s">
        <v>934</v>
      </c>
      <c r="G656" t="s">
        <v>45</v>
      </c>
      <c r="H656" t="s">
        <v>44</v>
      </c>
      <c r="L65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5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56" s="1"/>
      <c r="T656" s="64" t="str">
        <f>IF(Table1[[#This Row],[ActualWinner]]="", "", IF(Table1[[#This Row],[AwayTeam]]=Table1[[#This Row],[ActualWinner]],Table1[[#This Row],[HomeTeam]],Table1[[#This Row],[AwayTeam]]))</f>
        <v/>
      </c>
      <c r="U656" s="64">
        <f>Table1[[#This Row],[ActualAwayScore]]-Table1[[#This Row],[PredictedAwayScore]]</f>
        <v>0</v>
      </c>
      <c r="V656" s="64">
        <f>Table1[[#This Row],[ActualHomeScore]]-Table1[[#This Row],[PredictedHomeScore]]</f>
        <v>0</v>
      </c>
      <c r="W656" s="64">
        <f>(0.8*IF(Table1[[#This Row],[CorrectWinnerPrediction]]=1, 1, 0))+(0.1*IF(Table1[[#This Row],[CorrectAwayScorePrediction]]=1, 1, 0))+(0.1*IF(Table1[[#This Row],[CorrectHomeScorePrediction]]=1, 1, 0))</f>
        <v>0</v>
      </c>
      <c r="X65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56" s="64">
        <f>SUMIF(Table1[GameDate], Table1[[#This Row],[GameDate]], Table1[AwayGameGoalDiff])</f>
        <v>0</v>
      </c>
      <c r="AA656" s="64">
        <f>SUMIF(Table1[GameDate], Table1[[#This Row],[GameDate]], Table1[HomeGameGoalDiff])</f>
        <v>0</v>
      </c>
      <c r="AB656" s="64">
        <f>IF(ISBLANK(Table1[[#This Row],[ActualResult]]), 0, 1)</f>
        <v>0</v>
      </c>
      <c r="AC656" s="64">
        <f>IF(ISBLANK(Table1[[#This Row],[ActualResult]]), 0, IF(Table1[[#This Row],[ActualWinner]]=Table1[[#This Row],[PredictedWinner]], 1, 0))</f>
        <v>0</v>
      </c>
      <c r="AD65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5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56" s="64">
        <f>IF(AND(Table1[[#This Row],[GameIsOver]]=1,Table1[[#This Row],[ActualAwayScore]]=0), 1,0)</f>
        <v>0</v>
      </c>
      <c r="AG656" s="64">
        <f>IF(AND(Table1[[#This Row],[GameIsOver]]=1,Table1[[#This Row],[ActualHomeScore]]=0), 1,0)</f>
        <v>0</v>
      </c>
      <c r="AH656" s="64">
        <f>IF(Table1[[#This Row],[GameIsOver]]=0,0,IF(Table1[[#This Row],[ActualWinner]]=Table1[[#This Row],[AwayTeam]], 1, 0))</f>
        <v>0</v>
      </c>
      <c r="AI656" s="64">
        <f>IF(Table1[[#This Row],[GameIsOver]]=0,0,IF(Table1[[#This Row],[ActualWinner]]=Table1[[#This Row],[HomeTeam]], 1, 0))</f>
        <v>0</v>
      </c>
      <c r="AJ656" s="64">
        <f>IF(INDEX(Standings!$A$2:$C$33,MATCH(Table1[[#This Row],[AwayTeam]],Standings!$A$2:$A$33,0),2)=INDEX(Standings!$A$2:$C$33,MATCH(Table1[[#This Row],[HomeTeam]],Standings!$A$2:$A$33,0),2),1,0)</f>
        <v>0</v>
      </c>
      <c r="AK656" s="64">
        <f>IF(INDEX(Standings!$A$2:$C$33,MATCH(Table1[[#This Row],[AwayTeam]],Standings!$A$2:$A$33,0),3)=INDEX(Standings!$A$2:$C$33,MATCH(Table1[[#This Row],[HomeTeam]],Standings!$A$2:$A$33,0),3),1,0)</f>
        <v>0</v>
      </c>
      <c r="AL656" s="64">
        <f>IF(Table1[[#This Row],[InterConf]]=1,IF(Table1[[#This Row],[InterDiv]]=0, 1, 0), 0)</f>
        <v>0</v>
      </c>
      <c r="AM656" s="64">
        <f>IF(INDEX(Standings!$A$2:$C$33,MATCH(Table1[[#This Row],[AwayTeam]],Standings!$A$2:$A$33,0),2)&lt;&gt;INDEX(Standings!$A$2:$C$33,MATCH(Table1[[#This Row],[HomeTeam]],Standings!$A$2:$A$33,0),2),1,0)</f>
        <v>1</v>
      </c>
      <c r="AN656" s="64" t="str">
        <f>INDEX(Table2[AWAY_RECORD], MATCH(Table1[[#This Row],[AwayTeam]],Table2[Team], 0), 0)</f>
        <v>1-0-0</v>
      </c>
      <c r="AO656" s="64" t="str">
        <f>INDEX(Records!$B$2:$AG$33, MATCH(Table1[[#This Row],[AwayTeam]],Records!$A$2:$A$33, 0), MATCH(Table1[[#This Row],[HomeTeam]],Records!$A$2:$A$33, 0))</f>
        <v>0-0-0</v>
      </c>
      <c r="AP656" s="64" t="str">
        <f>INDEX(Table2[HOME_RECORD], MATCH(Table1[[#This Row],[HomeTeam]],Table2[Team], 0), 0)</f>
        <v>0-0-1</v>
      </c>
      <c r="AQ656" s="64" t="str">
        <f>INDEX(Records!$B$2:$AG$33, MATCH(Table1[[#This Row],[HomeTeam]],Records!$A$2:$A$33, 0), MATCH(Table1[[#This Row],[AwayTeam]],Records!$A$2:$A$33, 0))</f>
        <v>0-0-0</v>
      </c>
    </row>
    <row r="657" spans="1:43" x14ac:dyDescent="0.25">
      <c r="A657" s="1"/>
      <c r="D657" t="s">
        <v>933</v>
      </c>
      <c r="E657" t="s">
        <v>158</v>
      </c>
      <c r="F657" t="s">
        <v>935</v>
      </c>
      <c r="G657" t="s">
        <v>47</v>
      </c>
      <c r="H657" t="s">
        <v>17</v>
      </c>
      <c r="L65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5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57" s="1"/>
      <c r="T657" s="64" t="str">
        <f>IF(Table1[[#This Row],[ActualWinner]]="", "", IF(Table1[[#This Row],[AwayTeam]]=Table1[[#This Row],[ActualWinner]],Table1[[#This Row],[HomeTeam]],Table1[[#This Row],[AwayTeam]]))</f>
        <v/>
      </c>
      <c r="U657" s="64">
        <f>Table1[[#This Row],[ActualAwayScore]]-Table1[[#This Row],[PredictedAwayScore]]</f>
        <v>0</v>
      </c>
      <c r="V657" s="64">
        <f>Table1[[#This Row],[ActualHomeScore]]-Table1[[#This Row],[PredictedHomeScore]]</f>
        <v>0</v>
      </c>
      <c r="W657" s="64">
        <f>(0.8*IF(Table1[[#This Row],[CorrectWinnerPrediction]]=1, 1, 0))+(0.1*IF(Table1[[#This Row],[CorrectAwayScorePrediction]]=1, 1, 0))+(0.1*IF(Table1[[#This Row],[CorrectHomeScorePrediction]]=1, 1, 0))</f>
        <v>0</v>
      </c>
      <c r="X65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57" s="64">
        <f>SUMIF(Table1[GameDate], Table1[[#This Row],[GameDate]], Table1[AwayGameGoalDiff])</f>
        <v>0</v>
      </c>
      <c r="AA657" s="64">
        <f>SUMIF(Table1[GameDate], Table1[[#This Row],[GameDate]], Table1[HomeGameGoalDiff])</f>
        <v>0</v>
      </c>
      <c r="AB657" s="64">
        <f>IF(ISBLANK(Table1[[#This Row],[ActualResult]]), 0, 1)</f>
        <v>0</v>
      </c>
      <c r="AC657" s="64">
        <f>IF(ISBLANK(Table1[[#This Row],[ActualResult]]), 0, IF(Table1[[#This Row],[ActualWinner]]=Table1[[#This Row],[PredictedWinner]], 1, 0))</f>
        <v>0</v>
      </c>
      <c r="AD65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5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57" s="64">
        <f>IF(AND(Table1[[#This Row],[GameIsOver]]=1,Table1[[#This Row],[ActualAwayScore]]=0), 1,0)</f>
        <v>0</v>
      </c>
      <c r="AG657" s="64">
        <f>IF(AND(Table1[[#This Row],[GameIsOver]]=1,Table1[[#This Row],[ActualHomeScore]]=0), 1,0)</f>
        <v>0</v>
      </c>
      <c r="AH657" s="64">
        <f>IF(Table1[[#This Row],[GameIsOver]]=0,0,IF(Table1[[#This Row],[ActualWinner]]=Table1[[#This Row],[AwayTeam]], 1, 0))</f>
        <v>0</v>
      </c>
      <c r="AI657" s="64">
        <f>IF(Table1[[#This Row],[GameIsOver]]=0,0,IF(Table1[[#This Row],[ActualWinner]]=Table1[[#This Row],[HomeTeam]], 1, 0))</f>
        <v>0</v>
      </c>
      <c r="AJ657" s="64">
        <f>IF(INDEX(Standings!$A$2:$C$33,MATCH(Table1[[#This Row],[AwayTeam]],Standings!$A$2:$A$33,0),2)=INDEX(Standings!$A$2:$C$33,MATCH(Table1[[#This Row],[HomeTeam]],Standings!$A$2:$A$33,0),2),1,0)</f>
        <v>1</v>
      </c>
      <c r="AK657" s="64">
        <f>IF(INDEX(Standings!$A$2:$C$33,MATCH(Table1[[#This Row],[AwayTeam]],Standings!$A$2:$A$33,0),3)=INDEX(Standings!$A$2:$C$33,MATCH(Table1[[#This Row],[HomeTeam]],Standings!$A$2:$A$33,0),3),1,0)</f>
        <v>1</v>
      </c>
      <c r="AL657" s="64">
        <f>IF(Table1[[#This Row],[InterConf]]=1,IF(Table1[[#This Row],[InterDiv]]=0, 1, 0), 0)</f>
        <v>0</v>
      </c>
      <c r="AM657" s="64">
        <f>IF(INDEX(Standings!$A$2:$C$33,MATCH(Table1[[#This Row],[AwayTeam]],Standings!$A$2:$A$33,0),2)&lt;&gt;INDEX(Standings!$A$2:$C$33,MATCH(Table1[[#This Row],[HomeTeam]],Standings!$A$2:$A$33,0),2),1,0)</f>
        <v>0</v>
      </c>
      <c r="AN657" s="64" t="str">
        <f>INDEX(Table2[AWAY_RECORD], MATCH(Table1[[#This Row],[AwayTeam]],Table2[Team], 0), 0)</f>
        <v>1-0-0</v>
      </c>
      <c r="AO657" s="64" t="str">
        <f>INDEX(Records!$B$2:$AG$33, MATCH(Table1[[#This Row],[AwayTeam]],Records!$A$2:$A$33, 0), MATCH(Table1[[#This Row],[HomeTeam]],Records!$A$2:$A$33, 0))</f>
        <v>0-0-0</v>
      </c>
      <c r="AP657" s="64" t="str">
        <f>INDEX(Table2[HOME_RECORD], MATCH(Table1[[#This Row],[HomeTeam]],Table2[Team], 0), 0)</f>
        <v>0-0-0</v>
      </c>
      <c r="AQ657" s="64" t="str">
        <f>INDEX(Records!$B$2:$AG$33, MATCH(Table1[[#This Row],[HomeTeam]],Records!$A$2:$A$33, 0), MATCH(Table1[[#This Row],[AwayTeam]],Records!$A$2:$A$33, 0))</f>
        <v>0-0-0</v>
      </c>
    </row>
    <row r="658" spans="1:43" x14ac:dyDescent="0.25">
      <c r="A658" s="1"/>
      <c r="D658" t="s">
        <v>933</v>
      </c>
      <c r="E658" t="s">
        <v>162</v>
      </c>
      <c r="F658" t="s">
        <v>936</v>
      </c>
      <c r="G658" t="s">
        <v>38</v>
      </c>
      <c r="H658" t="s">
        <v>57</v>
      </c>
      <c r="L65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5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58" s="1"/>
      <c r="T658" s="64" t="str">
        <f>IF(Table1[[#This Row],[ActualWinner]]="", "", IF(Table1[[#This Row],[AwayTeam]]=Table1[[#This Row],[ActualWinner]],Table1[[#This Row],[HomeTeam]],Table1[[#This Row],[AwayTeam]]))</f>
        <v/>
      </c>
      <c r="U658" s="64">
        <f>Table1[[#This Row],[ActualAwayScore]]-Table1[[#This Row],[PredictedAwayScore]]</f>
        <v>0</v>
      </c>
      <c r="V658" s="64">
        <f>Table1[[#This Row],[ActualHomeScore]]-Table1[[#This Row],[PredictedHomeScore]]</f>
        <v>0</v>
      </c>
      <c r="W658" s="64">
        <f>(0.8*IF(Table1[[#This Row],[CorrectWinnerPrediction]]=1, 1, 0))+(0.1*IF(Table1[[#This Row],[CorrectAwayScorePrediction]]=1, 1, 0))+(0.1*IF(Table1[[#This Row],[CorrectHomeScorePrediction]]=1, 1, 0))</f>
        <v>0</v>
      </c>
      <c r="X65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58" s="64">
        <f>SUMIF(Table1[GameDate], Table1[[#This Row],[GameDate]], Table1[AwayGameGoalDiff])</f>
        <v>0</v>
      </c>
      <c r="AA658" s="64">
        <f>SUMIF(Table1[GameDate], Table1[[#This Row],[GameDate]], Table1[HomeGameGoalDiff])</f>
        <v>0</v>
      </c>
      <c r="AB658" s="64">
        <f>IF(ISBLANK(Table1[[#This Row],[ActualResult]]), 0, 1)</f>
        <v>0</v>
      </c>
      <c r="AC658" s="64">
        <f>IF(ISBLANK(Table1[[#This Row],[ActualResult]]), 0, IF(Table1[[#This Row],[ActualWinner]]=Table1[[#This Row],[PredictedWinner]], 1, 0))</f>
        <v>0</v>
      </c>
      <c r="AD65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5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58" s="64">
        <f>IF(AND(Table1[[#This Row],[GameIsOver]]=1,Table1[[#This Row],[ActualAwayScore]]=0), 1,0)</f>
        <v>0</v>
      </c>
      <c r="AG658" s="64">
        <f>IF(AND(Table1[[#This Row],[GameIsOver]]=1,Table1[[#This Row],[ActualHomeScore]]=0), 1,0)</f>
        <v>0</v>
      </c>
      <c r="AH658" s="64">
        <f>IF(Table1[[#This Row],[GameIsOver]]=0,0,IF(Table1[[#This Row],[ActualWinner]]=Table1[[#This Row],[AwayTeam]], 1, 0))</f>
        <v>0</v>
      </c>
      <c r="AI658" s="64">
        <f>IF(Table1[[#This Row],[GameIsOver]]=0,0,IF(Table1[[#This Row],[ActualWinner]]=Table1[[#This Row],[HomeTeam]], 1, 0))</f>
        <v>0</v>
      </c>
      <c r="AJ658" s="64">
        <f>IF(INDEX(Standings!$A$2:$C$33,MATCH(Table1[[#This Row],[AwayTeam]],Standings!$A$2:$A$33,0),2)=INDEX(Standings!$A$2:$C$33,MATCH(Table1[[#This Row],[HomeTeam]],Standings!$A$2:$A$33,0),2),1,0)</f>
        <v>1</v>
      </c>
      <c r="AK658" s="64">
        <f>IF(INDEX(Standings!$A$2:$C$33,MATCH(Table1[[#This Row],[AwayTeam]],Standings!$A$2:$A$33,0),3)=INDEX(Standings!$A$2:$C$33,MATCH(Table1[[#This Row],[HomeTeam]],Standings!$A$2:$A$33,0),3),1,0)</f>
        <v>1</v>
      </c>
      <c r="AL658" s="64">
        <f>IF(Table1[[#This Row],[InterConf]]=1,IF(Table1[[#This Row],[InterDiv]]=0, 1, 0), 0)</f>
        <v>0</v>
      </c>
      <c r="AM658" s="64">
        <f>IF(INDEX(Standings!$A$2:$C$33,MATCH(Table1[[#This Row],[AwayTeam]],Standings!$A$2:$A$33,0),2)&lt;&gt;INDEX(Standings!$A$2:$C$33,MATCH(Table1[[#This Row],[HomeTeam]],Standings!$A$2:$A$33,0),2),1,0)</f>
        <v>0</v>
      </c>
      <c r="AN658" s="64" t="str">
        <f>INDEX(Table2[AWAY_RECORD], MATCH(Table1[[#This Row],[AwayTeam]],Table2[Team], 0), 0)</f>
        <v>0-0-1</v>
      </c>
      <c r="AO658" s="64" t="str">
        <f>INDEX(Records!$B$2:$AG$33, MATCH(Table1[[#This Row],[AwayTeam]],Records!$A$2:$A$33, 0), MATCH(Table1[[#This Row],[HomeTeam]],Records!$A$2:$A$33, 0))</f>
        <v>0-0-0</v>
      </c>
      <c r="AP658" s="64" t="str">
        <f>INDEX(Table2[HOME_RECORD], MATCH(Table1[[#This Row],[HomeTeam]],Table2[Team], 0), 0)</f>
        <v>0-0-0</v>
      </c>
      <c r="AQ658" s="64" t="str">
        <f>INDEX(Records!$B$2:$AG$33, MATCH(Table1[[#This Row],[HomeTeam]],Records!$A$2:$A$33, 0), MATCH(Table1[[#This Row],[AwayTeam]],Records!$A$2:$A$33, 0))</f>
        <v>0-0-0</v>
      </c>
    </row>
    <row r="659" spans="1:43" x14ac:dyDescent="0.25">
      <c r="A659" s="1"/>
      <c r="D659" t="s">
        <v>933</v>
      </c>
      <c r="E659" t="s">
        <v>162</v>
      </c>
      <c r="F659" t="s">
        <v>937</v>
      </c>
      <c r="G659" t="s">
        <v>52</v>
      </c>
      <c r="H659" t="s">
        <v>59</v>
      </c>
      <c r="L65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5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59" s="1"/>
      <c r="T659" s="64" t="str">
        <f>IF(Table1[[#This Row],[ActualWinner]]="", "", IF(Table1[[#This Row],[AwayTeam]]=Table1[[#This Row],[ActualWinner]],Table1[[#This Row],[HomeTeam]],Table1[[#This Row],[AwayTeam]]))</f>
        <v/>
      </c>
      <c r="U659" s="64">
        <f>Table1[[#This Row],[ActualAwayScore]]-Table1[[#This Row],[PredictedAwayScore]]</f>
        <v>0</v>
      </c>
      <c r="V659" s="64">
        <f>Table1[[#This Row],[ActualHomeScore]]-Table1[[#This Row],[PredictedHomeScore]]</f>
        <v>0</v>
      </c>
      <c r="W659" s="64">
        <f>(0.8*IF(Table1[[#This Row],[CorrectWinnerPrediction]]=1, 1, 0))+(0.1*IF(Table1[[#This Row],[CorrectAwayScorePrediction]]=1, 1, 0))+(0.1*IF(Table1[[#This Row],[CorrectHomeScorePrediction]]=1, 1, 0))</f>
        <v>0</v>
      </c>
      <c r="X65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59" s="64">
        <f>SUMIF(Table1[GameDate], Table1[[#This Row],[GameDate]], Table1[AwayGameGoalDiff])</f>
        <v>0</v>
      </c>
      <c r="AA659" s="64">
        <f>SUMIF(Table1[GameDate], Table1[[#This Row],[GameDate]], Table1[HomeGameGoalDiff])</f>
        <v>0</v>
      </c>
      <c r="AB659" s="64">
        <f>IF(ISBLANK(Table1[[#This Row],[ActualResult]]), 0, 1)</f>
        <v>0</v>
      </c>
      <c r="AC659" s="64">
        <f>IF(ISBLANK(Table1[[#This Row],[ActualResult]]), 0, IF(Table1[[#This Row],[ActualWinner]]=Table1[[#This Row],[PredictedWinner]], 1, 0))</f>
        <v>0</v>
      </c>
      <c r="AD65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5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59" s="64">
        <f>IF(AND(Table1[[#This Row],[GameIsOver]]=1,Table1[[#This Row],[ActualAwayScore]]=0), 1,0)</f>
        <v>0</v>
      </c>
      <c r="AG659" s="64">
        <f>IF(AND(Table1[[#This Row],[GameIsOver]]=1,Table1[[#This Row],[ActualHomeScore]]=0), 1,0)</f>
        <v>0</v>
      </c>
      <c r="AH659" s="64">
        <f>IF(Table1[[#This Row],[GameIsOver]]=0,0,IF(Table1[[#This Row],[ActualWinner]]=Table1[[#This Row],[AwayTeam]], 1, 0))</f>
        <v>0</v>
      </c>
      <c r="AI659" s="64">
        <f>IF(Table1[[#This Row],[GameIsOver]]=0,0,IF(Table1[[#This Row],[ActualWinner]]=Table1[[#This Row],[HomeTeam]], 1, 0))</f>
        <v>0</v>
      </c>
      <c r="AJ659" s="64">
        <f>IF(INDEX(Standings!$A$2:$C$33,MATCH(Table1[[#This Row],[AwayTeam]],Standings!$A$2:$A$33,0),2)=INDEX(Standings!$A$2:$C$33,MATCH(Table1[[#This Row],[HomeTeam]],Standings!$A$2:$A$33,0),2),1,0)</f>
        <v>1</v>
      </c>
      <c r="AK659" s="64">
        <f>IF(INDEX(Standings!$A$2:$C$33,MATCH(Table1[[#This Row],[AwayTeam]],Standings!$A$2:$A$33,0),3)=INDEX(Standings!$A$2:$C$33,MATCH(Table1[[#This Row],[HomeTeam]],Standings!$A$2:$A$33,0),3),1,0)</f>
        <v>0</v>
      </c>
      <c r="AL659" s="64">
        <f>IF(Table1[[#This Row],[InterConf]]=1,IF(Table1[[#This Row],[InterDiv]]=0, 1, 0), 0)</f>
        <v>1</v>
      </c>
      <c r="AM659" s="64">
        <f>IF(INDEX(Standings!$A$2:$C$33,MATCH(Table1[[#This Row],[AwayTeam]],Standings!$A$2:$A$33,0),2)&lt;&gt;INDEX(Standings!$A$2:$C$33,MATCH(Table1[[#This Row],[HomeTeam]],Standings!$A$2:$A$33,0),2),1,0)</f>
        <v>0</v>
      </c>
      <c r="AN659" s="64" t="str">
        <f>INDEX(Table2[AWAY_RECORD], MATCH(Table1[[#This Row],[AwayTeam]],Table2[Team], 0), 0)</f>
        <v>0-0-0</v>
      </c>
      <c r="AO659" s="64" t="str">
        <f>INDEX(Records!$B$2:$AG$33, MATCH(Table1[[#This Row],[AwayTeam]],Records!$A$2:$A$33, 0), MATCH(Table1[[#This Row],[HomeTeam]],Records!$A$2:$A$33, 0))</f>
        <v>0-0-0</v>
      </c>
      <c r="AP659" s="64" t="str">
        <f>INDEX(Table2[HOME_RECORD], MATCH(Table1[[#This Row],[HomeTeam]],Table2[Team], 0), 0)</f>
        <v>0-0-0</v>
      </c>
      <c r="AQ659" s="64" t="str">
        <f>INDEX(Records!$B$2:$AG$33, MATCH(Table1[[#This Row],[HomeTeam]],Records!$A$2:$A$33, 0), MATCH(Table1[[#This Row],[AwayTeam]],Records!$A$2:$A$33, 0))</f>
        <v>0-0-0</v>
      </c>
    </row>
    <row r="660" spans="1:43" x14ac:dyDescent="0.25">
      <c r="A660" s="1"/>
      <c r="D660" t="s">
        <v>933</v>
      </c>
      <c r="E660" t="s">
        <v>162</v>
      </c>
      <c r="F660" t="s">
        <v>938</v>
      </c>
      <c r="G660" t="s">
        <v>48</v>
      </c>
      <c r="H660" t="s">
        <v>40</v>
      </c>
      <c r="L66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6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60" s="1"/>
      <c r="T660" s="64" t="str">
        <f>IF(Table1[[#This Row],[ActualWinner]]="", "", IF(Table1[[#This Row],[AwayTeam]]=Table1[[#This Row],[ActualWinner]],Table1[[#This Row],[HomeTeam]],Table1[[#This Row],[AwayTeam]]))</f>
        <v/>
      </c>
      <c r="U660" s="64">
        <f>Table1[[#This Row],[ActualAwayScore]]-Table1[[#This Row],[PredictedAwayScore]]</f>
        <v>0</v>
      </c>
      <c r="V660" s="64">
        <f>Table1[[#This Row],[ActualHomeScore]]-Table1[[#This Row],[PredictedHomeScore]]</f>
        <v>0</v>
      </c>
      <c r="W660" s="64">
        <f>(0.8*IF(Table1[[#This Row],[CorrectWinnerPrediction]]=1, 1, 0))+(0.1*IF(Table1[[#This Row],[CorrectAwayScorePrediction]]=1, 1, 0))+(0.1*IF(Table1[[#This Row],[CorrectHomeScorePrediction]]=1, 1, 0))</f>
        <v>0</v>
      </c>
      <c r="X66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60" s="64">
        <f>SUMIF(Table1[GameDate], Table1[[#This Row],[GameDate]], Table1[AwayGameGoalDiff])</f>
        <v>0</v>
      </c>
      <c r="AA660" s="64">
        <f>SUMIF(Table1[GameDate], Table1[[#This Row],[GameDate]], Table1[HomeGameGoalDiff])</f>
        <v>0</v>
      </c>
      <c r="AB660" s="64">
        <f>IF(ISBLANK(Table1[[#This Row],[ActualResult]]), 0, 1)</f>
        <v>0</v>
      </c>
      <c r="AC660" s="64">
        <f>IF(ISBLANK(Table1[[#This Row],[ActualResult]]), 0, IF(Table1[[#This Row],[ActualWinner]]=Table1[[#This Row],[PredictedWinner]], 1, 0))</f>
        <v>0</v>
      </c>
      <c r="AD66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6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60" s="64">
        <f>IF(AND(Table1[[#This Row],[GameIsOver]]=1,Table1[[#This Row],[ActualAwayScore]]=0), 1,0)</f>
        <v>0</v>
      </c>
      <c r="AG660" s="64">
        <f>IF(AND(Table1[[#This Row],[GameIsOver]]=1,Table1[[#This Row],[ActualHomeScore]]=0), 1,0)</f>
        <v>0</v>
      </c>
      <c r="AH660" s="64">
        <f>IF(Table1[[#This Row],[GameIsOver]]=0,0,IF(Table1[[#This Row],[ActualWinner]]=Table1[[#This Row],[AwayTeam]], 1, 0))</f>
        <v>0</v>
      </c>
      <c r="AI660" s="64">
        <f>IF(Table1[[#This Row],[GameIsOver]]=0,0,IF(Table1[[#This Row],[ActualWinner]]=Table1[[#This Row],[HomeTeam]], 1, 0))</f>
        <v>0</v>
      </c>
      <c r="AJ660" s="64">
        <f>IF(INDEX(Standings!$A$2:$C$33,MATCH(Table1[[#This Row],[AwayTeam]],Standings!$A$2:$A$33,0),2)=INDEX(Standings!$A$2:$C$33,MATCH(Table1[[#This Row],[HomeTeam]],Standings!$A$2:$A$33,0),2),1,0)</f>
        <v>0</v>
      </c>
      <c r="AK660" s="64">
        <f>IF(INDEX(Standings!$A$2:$C$33,MATCH(Table1[[#This Row],[AwayTeam]],Standings!$A$2:$A$33,0),3)=INDEX(Standings!$A$2:$C$33,MATCH(Table1[[#This Row],[HomeTeam]],Standings!$A$2:$A$33,0),3),1,0)</f>
        <v>0</v>
      </c>
      <c r="AL660" s="64">
        <f>IF(Table1[[#This Row],[InterConf]]=1,IF(Table1[[#This Row],[InterDiv]]=0, 1, 0), 0)</f>
        <v>0</v>
      </c>
      <c r="AM660" s="64">
        <f>IF(INDEX(Standings!$A$2:$C$33,MATCH(Table1[[#This Row],[AwayTeam]],Standings!$A$2:$A$33,0),2)&lt;&gt;INDEX(Standings!$A$2:$C$33,MATCH(Table1[[#This Row],[HomeTeam]],Standings!$A$2:$A$33,0),2),1,0)</f>
        <v>1</v>
      </c>
      <c r="AN660" s="64" t="str">
        <f>INDEX(Table2[AWAY_RECORD], MATCH(Table1[[#This Row],[AwayTeam]],Table2[Team], 0), 0)</f>
        <v>0-0-0</v>
      </c>
      <c r="AO660" s="64" t="str">
        <f>INDEX(Records!$B$2:$AG$33, MATCH(Table1[[#This Row],[AwayTeam]],Records!$A$2:$A$33, 0), MATCH(Table1[[#This Row],[HomeTeam]],Records!$A$2:$A$33, 0))</f>
        <v>0-0-0</v>
      </c>
      <c r="AP660" s="64" t="str">
        <f>INDEX(Table2[HOME_RECORD], MATCH(Table1[[#This Row],[HomeTeam]],Table2[Team], 0), 0)</f>
        <v>1-1-0</v>
      </c>
      <c r="AQ660" s="64" t="str">
        <f>INDEX(Records!$B$2:$AG$33, MATCH(Table1[[#This Row],[HomeTeam]],Records!$A$2:$A$33, 0), MATCH(Table1[[#This Row],[AwayTeam]],Records!$A$2:$A$33, 0))</f>
        <v>0-0-0</v>
      </c>
    </row>
    <row r="661" spans="1:43" x14ac:dyDescent="0.25">
      <c r="A661" s="1"/>
      <c r="D661" t="s">
        <v>933</v>
      </c>
      <c r="E661" t="s">
        <v>162</v>
      </c>
      <c r="F661" t="s">
        <v>939</v>
      </c>
      <c r="G661" t="s">
        <v>37</v>
      </c>
      <c r="H661" t="s">
        <v>42</v>
      </c>
      <c r="L66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6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61" s="1"/>
      <c r="T661" s="64" t="str">
        <f>IF(Table1[[#This Row],[ActualWinner]]="", "", IF(Table1[[#This Row],[AwayTeam]]=Table1[[#This Row],[ActualWinner]],Table1[[#This Row],[HomeTeam]],Table1[[#This Row],[AwayTeam]]))</f>
        <v/>
      </c>
      <c r="U661" s="64">
        <f>Table1[[#This Row],[ActualAwayScore]]-Table1[[#This Row],[PredictedAwayScore]]</f>
        <v>0</v>
      </c>
      <c r="V661" s="64">
        <f>Table1[[#This Row],[ActualHomeScore]]-Table1[[#This Row],[PredictedHomeScore]]</f>
        <v>0</v>
      </c>
      <c r="W661" s="64">
        <f>(0.8*IF(Table1[[#This Row],[CorrectWinnerPrediction]]=1, 1, 0))+(0.1*IF(Table1[[#This Row],[CorrectAwayScorePrediction]]=1, 1, 0))+(0.1*IF(Table1[[#This Row],[CorrectHomeScorePrediction]]=1, 1, 0))</f>
        <v>0</v>
      </c>
      <c r="X66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61" s="64">
        <f>SUMIF(Table1[GameDate], Table1[[#This Row],[GameDate]], Table1[AwayGameGoalDiff])</f>
        <v>0</v>
      </c>
      <c r="AA661" s="64">
        <f>SUMIF(Table1[GameDate], Table1[[#This Row],[GameDate]], Table1[HomeGameGoalDiff])</f>
        <v>0</v>
      </c>
      <c r="AB661" s="64">
        <f>IF(ISBLANK(Table1[[#This Row],[ActualResult]]), 0, 1)</f>
        <v>0</v>
      </c>
      <c r="AC661" s="64">
        <f>IF(ISBLANK(Table1[[#This Row],[ActualResult]]), 0, IF(Table1[[#This Row],[ActualWinner]]=Table1[[#This Row],[PredictedWinner]], 1, 0))</f>
        <v>0</v>
      </c>
      <c r="AD66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6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61" s="64">
        <f>IF(AND(Table1[[#This Row],[GameIsOver]]=1,Table1[[#This Row],[ActualAwayScore]]=0), 1,0)</f>
        <v>0</v>
      </c>
      <c r="AG661" s="64">
        <f>IF(AND(Table1[[#This Row],[GameIsOver]]=1,Table1[[#This Row],[ActualHomeScore]]=0), 1,0)</f>
        <v>0</v>
      </c>
      <c r="AH661" s="64">
        <f>IF(Table1[[#This Row],[GameIsOver]]=0,0,IF(Table1[[#This Row],[ActualWinner]]=Table1[[#This Row],[AwayTeam]], 1, 0))</f>
        <v>0</v>
      </c>
      <c r="AI661" s="64">
        <f>IF(Table1[[#This Row],[GameIsOver]]=0,0,IF(Table1[[#This Row],[ActualWinner]]=Table1[[#This Row],[HomeTeam]], 1, 0))</f>
        <v>0</v>
      </c>
      <c r="AJ661" s="64">
        <f>IF(INDEX(Standings!$A$2:$C$33,MATCH(Table1[[#This Row],[AwayTeam]],Standings!$A$2:$A$33,0),2)=INDEX(Standings!$A$2:$C$33,MATCH(Table1[[#This Row],[HomeTeam]],Standings!$A$2:$A$33,0),2),1,0)</f>
        <v>1</v>
      </c>
      <c r="AK661" s="64">
        <f>IF(INDEX(Standings!$A$2:$C$33,MATCH(Table1[[#This Row],[AwayTeam]],Standings!$A$2:$A$33,0),3)=INDEX(Standings!$A$2:$C$33,MATCH(Table1[[#This Row],[HomeTeam]],Standings!$A$2:$A$33,0),3),1,0)</f>
        <v>0</v>
      </c>
      <c r="AL661" s="64">
        <f>IF(Table1[[#This Row],[InterConf]]=1,IF(Table1[[#This Row],[InterDiv]]=0, 1, 0), 0)</f>
        <v>1</v>
      </c>
      <c r="AM661" s="64">
        <f>IF(INDEX(Standings!$A$2:$C$33,MATCH(Table1[[#This Row],[AwayTeam]],Standings!$A$2:$A$33,0),2)&lt;&gt;INDEX(Standings!$A$2:$C$33,MATCH(Table1[[#This Row],[HomeTeam]],Standings!$A$2:$A$33,0),2),1,0)</f>
        <v>0</v>
      </c>
      <c r="AN661" s="64" t="str">
        <f>INDEX(Table2[AWAY_RECORD], MATCH(Table1[[#This Row],[AwayTeam]],Table2[Team], 0), 0)</f>
        <v>0-0-1</v>
      </c>
      <c r="AO661" s="64" t="str">
        <f>INDEX(Records!$B$2:$AG$33, MATCH(Table1[[#This Row],[AwayTeam]],Records!$A$2:$A$33, 0), MATCH(Table1[[#This Row],[HomeTeam]],Records!$A$2:$A$33, 0))</f>
        <v>0-0-0</v>
      </c>
      <c r="AP661" s="64" t="str">
        <f>INDEX(Table2[HOME_RECORD], MATCH(Table1[[#This Row],[HomeTeam]],Table2[Team], 0), 0)</f>
        <v>1-0-0</v>
      </c>
      <c r="AQ661" s="64" t="str">
        <f>INDEX(Records!$B$2:$AG$33, MATCH(Table1[[#This Row],[HomeTeam]],Records!$A$2:$A$33, 0), MATCH(Table1[[#This Row],[AwayTeam]],Records!$A$2:$A$33, 0))</f>
        <v>0-0-0</v>
      </c>
    </row>
    <row r="662" spans="1:43" x14ac:dyDescent="0.25">
      <c r="A662" s="1"/>
      <c r="D662" t="s">
        <v>933</v>
      </c>
      <c r="E662" t="s">
        <v>162</v>
      </c>
      <c r="F662" t="s">
        <v>940</v>
      </c>
      <c r="G662" t="s">
        <v>61</v>
      </c>
      <c r="H662" t="s">
        <v>22</v>
      </c>
      <c r="L66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6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62" s="1"/>
      <c r="T662" s="64" t="str">
        <f>IF(Table1[[#This Row],[ActualWinner]]="", "", IF(Table1[[#This Row],[AwayTeam]]=Table1[[#This Row],[ActualWinner]],Table1[[#This Row],[HomeTeam]],Table1[[#This Row],[AwayTeam]]))</f>
        <v/>
      </c>
      <c r="U662" s="64">
        <f>Table1[[#This Row],[ActualAwayScore]]-Table1[[#This Row],[PredictedAwayScore]]</f>
        <v>0</v>
      </c>
      <c r="V662" s="64">
        <f>Table1[[#This Row],[ActualHomeScore]]-Table1[[#This Row],[PredictedHomeScore]]</f>
        <v>0</v>
      </c>
      <c r="W662" s="64">
        <f>(0.8*IF(Table1[[#This Row],[CorrectWinnerPrediction]]=1, 1, 0))+(0.1*IF(Table1[[#This Row],[CorrectAwayScorePrediction]]=1, 1, 0))+(0.1*IF(Table1[[#This Row],[CorrectHomeScorePrediction]]=1, 1, 0))</f>
        <v>0</v>
      </c>
      <c r="X66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62" s="64">
        <f>SUMIF(Table1[GameDate], Table1[[#This Row],[GameDate]], Table1[AwayGameGoalDiff])</f>
        <v>0</v>
      </c>
      <c r="AA662" s="64">
        <f>SUMIF(Table1[GameDate], Table1[[#This Row],[GameDate]], Table1[HomeGameGoalDiff])</f>
        <v>0</v>
      </c>
      <c r="AB662" s="64">
        <f>IF(ISBLANK(Table1[[#This Row],[ActualResult]]), 0, 1)</f>
        <v>0</v>
      </c>
      <c r="AC662" s="64">
        <f>IF(ISBLANK(Table1[[#This Row],[ActualResult]]), 0, IF(Table1[[#This Row],[ActualWinner]]=Table1[[#This Row],[PredictedWinner]], 1, 0))</f>
        <v>0</v>
      </c>
      <c r="AD66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6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62" s="64">
        <f>IF(AND(Table1[[#This Row],[GameIsOver]]=1,Table1[[#This Row],[ActualAwayScore]]=0), 1,0)</f>
        <v>0</v>
      </c>
      <c r="AG662" s="64">
        <f>IF(AND(Table1[[#This Row],[GameIsOver]]=1,Table1[[#This Row],[ActualHomeScore]]=0), 1,0)</f>
        <v>0</v>
      </c>
      <c r="AH662" s="64">
        <f>IF(Table1[[#This Row],[GameIsOver]]=0,0,IF(Table1[[#This Row],[ActualWinner]]=Table1[[#This Row],[AwayTeam]], 1, 0))</f>
        <v>0</v>
      </c>
      <c r="AI662" s="64">
        <f>IF(Table1[[#This Row],[GameIsOver]]=0,0,IF(Table1[[#This Row],[ActualWinner]]=Table1[[#This Row],[HomeTeam]], 1, 0))</f>
        <v>0</v>
      </c>
      <c r="AJ662" s="64">
        <f>IF(INDEX(Standings!$A$2:$C$33,MATCH(Table1[[#This Row],[AwayTeam]],Standings!$A$2:$A$33,0),2)=INDEX(Standings!$A$2:$C$33,MATCH(Table1[[#This Row],[HomeTeam]],Standings!$A$2:$A$33,0),2),1,0)</f>
        <v>1</v>
      </c>
      <c r="AK662" s="64">
        <f>IF(INDEX(Standings!$A$2:$C$33,MATCH(Table1[[#This Row],[AwayTeam]],Standings!$A$2:$A$33,0),3)=INDEX(Standings!$A$2:$C$33,MATCH(Table1[[#This Row],[HomeTeam]],Standings!$A$2:$A$33,0),3),1,0)</f>
        <v>1</v>
      </c>
      <c r="AL662" s="64">
        <f>IF(Table1[[#This Row],[InterConf]]=1,IF(Table1[[#This Row],[InterDiv]]=0, 1, 0), 0)</f>
        <v>0</v>
      </c>
      <c r="AM662" s="64">
        <f>IF(INDEX(Standings!$A$2:$C$33,MATCH(Table1[[#This Row],[AwayTeam]],Standings!$A$2:$A$33,0),2)&lt;&gt;INDEX(Standings!$A$2:$C$33,MATCH(Table1[[#This Row],[HomeTeam]],Standings!$A$2:$A$33,0),2),1,0)</f>
        <v>0</v>
      </c>
      <c r="AN662" s="64" t="str">
        <f>INDEX(Table2[AWAY_RECORD], MATCH(Table1[[#This Row],[AwayTeam]],Table2[Team], 0), 0)</f>
        <v>0-0-0</v>
      </c>
      <c r="AO662" s="64" t="str">
        <f>INDEX(Records!$B$2:$AG$33, MATCH(Table1[[#This Row],[AwayTeam]],Records!$A$2:$A$33, 0), MATCH(Table1[[#This Row],[HomeTeam]],Records!$A$2:$A$33, 0))</f>
        <v>0-0-0</v>
      </c>
      <c r="AP662" s="64" t="str">
        <f>INDEX(Table2[HOME_RECORD], MATCH(Table1[[#This Row],[HomeTeam]],Table2[Team], 0), 0)</f>
        <v>0-0-0</v>
      </c>
      <c r="AQ662" s="64" t="str">
        <f>INDEX(Records!$B$2:$AG$33, MATCH(Table1[[#This Row],[HomeTeam]],Records!$A$2:$A$33, 0), MATCH(Table1[[#This Row],[AwayTeam]],Records!$A$2:$A$33, 0))</f>
        <v>0-0-0</v>
      </c>
    </row>
    <row r="663" spans="1:43" x14ac:dyDescent="0.25">
      <c r="A663" s="1"/>
      <c r="D663" t="s">
        <v>933</v>
      </c>
      <c r="E663" t="s">
        <v>162</v>
      </c>
      <c r="F663" t="s">
        <v>941</v>
      </c>
      <c r="G663" t="s">
        <v>39</v>
      </c>
      <c r="H663" t="s">
        <v>60</v>
      </c>
      <c r="L66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6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63" s="1"/>
      <c r="T663" s="64" t="str">
        <f>IF(Table1[[#This Row],[ActualWinner]]="", "", IF(Table1[[#This Row],[AwayTeam]]=Table1[[#This Row],[ActualWinner]],Table1[[#This Row],[HomeTeam]],Table1[[#This Row],[AwayTeam]]))</f>
        <v/>
      </c>
      <c r="U663" s="64">
        <f>Table1[[#This Row],[ActualAwayScore]]-Table1[[#This Row],[PredictedAwayScore]]</f>
        <v>0</v>
      </c>
      <c r="V663" s="64">
        <f>Table1[[#This Row],[ActualHomeScore]]-Table1[[#This Row],[PredictedHomeScore]]</f>
        <v>0</v>
      </c>
      <c r="W663" s="64">
        <f>(0.8*IF(Table1[[#This Row],[CorrectWinnerPrediction]]=1, 1, 0))+(0.1*IF(Table1[[#This Row],[CorrectAwayScorePrediction]]=1, 1, 0))+(0.1*IF(Table1[[#This Row],[CorrectHomeScorePrediction]]=1, 1, 0))</f>
        <v>0</v>
      </c>
      <c r="X66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63" s="64">
        <f>SUMIF(Table1[GameDate], Table1[[#This Row],[GameDate]], Table1[AwayGameGoalDiff])</f>
        <v>0</v>
      </c>
      <c r="AA663" s="64">
        <f>SUMIF(Table1[GameDate], Table1[[#This Row],[GameDate]], Table1[HomeGameGoalDiff])</f>
        <v>0</v>
      </c>
      <c r="AB663" s="64">
        <f>IF(ISBLANK(Table1[[#This Row],[ActualResult]]), 0, 1)</f>
        <v>0</v>
      </c>
      <c r="AC663" s="64">
        <f>IF(ISBLANK(Table1[[#This Row],[ActualResult]]), 0, IF(Table1[[#This Row],[ActualWinner]]=Table1[[#This Row],[PredictedWinner]], 1, 0))</f>
        <v>0</v>
      </c>
      <c r="AD66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6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63" s="64">
        <f>IF(AND(Table1[[#This Row],[GameIsOver]]=1,Table1[[#This Row],[ActualAwayScore]]=0), 1,0)</f>
        <v>0</v>
      </c>
      <c r="AG663" s="64">
        <f>IF(AND(Table1[[#This Row],[GameIsOver]]=1,Table1[[#This Row],[ActualHomeScore]]=0), 1,0)</f>
        <v>0</v>
      </c>
      <c r="AH663" s="64">
        <f>IF(Table1[[#This Row],[GameIsOver]]=0,0,IF(Table1[[#This Row],[ActualWinner]]=Table1[[#This Row],[AwayTeam]], 1, 0))</f>
        <v>0</v>
      </c>
      <c r="AI663" s="64">
        <f>IF(Table1[[#This Row],[GameIsOver]]=0,0,IF(Table1[[#This Row],[ActualWinner]]=Table1[[#This Row],[HomeTeam]], 1, 0))</f>
        <v>0</v>
      </c>
      <c r="AJ663" s="64">
        <f>IF(INDEX(Standings!$A$2:$C$33,MATCH(Table1[[#This Row],[AwayTeam]],Standings!$A$2:$A$33,0),2)=INDEX(Standings!$A$2:$C$33,MATCH(Table1[[#This Row],[HomeTeam]],Standings!$A$2:$A$33,0),2),1,0)</f>
        <v>1</v>
      </c>
      <c r="AK663" s="64">
        <f>IF(INDEX(Standings!$A$2:$C$33,MATCH(Table1[[#This Row],[AwayTeam]],Standings!$A$2:$A$33,0),3)=INDEX(Standings!$A$2:$C$33,MATCH(Table1[[#This Row],[HomeTeam]],Standings!$A$2:$A$33,0),3),1,0)</f>
        <v>0</v>
      </c>
      <c r="AL663" s="64">
        <f>IF(Table1[[#This Row],[InterConf]]=1,IF(Table1[[#This Row],[InterDiv]]=0, 1, 0), 0)</f>
        <v>1</v>
      </c>
      <c r="AM663" s="64">
        <f>IF(INDEX(Standings!$A$2:$C$33,MATCH(Table1[[#This Row],[AwayTeam]],Standings!$A$2:$A$33,0),2)&lt;&gt;INDEX(Standings!$A$2:$C$33,MATCH(Table1[[#This Row],[HomeTeam]],Standings!$A$2:$A$33,0),2),1,0)</f>
        <v>0</v>
      </c>
      <c r="AN663" s="64" t="str">
        <f>INDEX(Table2[AWAY_RECORD], MATCH(Table1[[#This Row],[AwayTeam]],Table2[Team], 0), 0)</f>
        <v>0-0-0</v>
      </c>
      <c r="AO663" s="64" t="str">
        <f>INDEX(Records!$B$2:$AG$33, MATCH(Table1[[#This Row],[AwayTeam]],Records!$A$2:$A$33, 0), MATCH(Table1[[#This Row],[HomeTeam]],Records!$A$2:$A$33, 0))</f>
        <v>0-0-0</v>
      </c>
      <c r="AP663" s="64" t="str">
        <f>INDEX(Table2[HOME_RECORD], MATCH(Table1[[#This Row],[HomeTeam]],Table2[Team], 0), 0)</f>
        <v>1-0-0</v>
      </c>
      <c r="AQ663" s="64" t="str">
        <f>INDEX(Records!$B$2:$AG$33, MATCH(Table1[[#This Row],[HomeTeam]],Records!$A$2:$A$33, 0), MATCH(Table1[[#This Row],[AwayTeam]],Records!$A$2:$A$33, 0))</f>
        <v>0-0-0</v>
      </c>
    </row>
    <row r="664" spans="1:43" x14ac:dyDescent="0.25">
      <c r="A664" s="1"/>
      <c r="D664" t="s">
        <v>933</v>
      </c>
      <c r="E664" t="s">
        <v>162</v>
      </c>
      <c r="F664" t="s">
        <v>942</v>
      </c>
      <c r="G664" t="s">
        <v>24</v>
      </c>
      <c r="H664" t="s">
        <v>55</v>
      </c>
      <c r="L66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6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64" s="1"/>
      <c r="T664" s="64" t="str">
        <f>IF(Table1[[#This Row],[ActualWinner]]="", "", IF(Table1[[#This Row],[AwayTeam]]=Table1[[#This Row],[ActualWinner]],Table1[[#This Row],[HomeTeam]],Table1[[#This Row],[AwayTeam]]))</f>
        <v/>
      </c>
      <c r="U664" s="64">
        <f>Table1[[#This Row],[ActualAwayScore]]-Table1[[#This Row],[PredictedAwayScore]]</f>
        <v>0</v>
      </c>
      <c r="V664" s="64">
        <f>Table1[[#This Row],[ActualHomeScore]]-Table1[[#This Row],[PredictedHomeScore]]</f>
        <v>0</v>
      </c>
      <c r="W664" s="64">
        <f>(0.8*IF(Table1[[#This Row],[CorrectWinnerPrediction]]=1, 1, 0))+(0.1*IF(Table1[[#This Row],[CorrectAwayScorePrediction]]=1, 1, 0))+(0.1*IF(Table1[[#This Row],[CorrectHomeScorePrediction]]=1, 1, 0))</f>
        <v>0</v>
      </c>
      <c r="X66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64" s="64">
        <f>SUMIF(Table1[GameDate], Table1[[#This Row],[GameDate]], Table1[AwayGameGoalDiff])</f>
        <v>0</v>
      </c>
      <c r="AA664" s="64">
        <f>SUMIF(Table1[GameDate], Table1[[#This Row],[GameDate]], Table1[HomeGameGoalDiff])</f>
        <v>0</v>
      </c>
      <c r="AB664" s="64">
        <f>IF(ISBLANK(Table1[[#This Row],[ActualResult]]), 0, 1)</f>
        <v>0</v>
      </c>
      <c r="AC664" s="64">
        <f>IF(ISBLANK(Table1[[#This Row],[ActualResult]]), 0, IF(Table1[[#This Row],[ActualWinner]]=Table1[[#This Row],[PredictedWinner]], 1, 0))</f>
        <v>0</v>
      </c>
      <c r="AD66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6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64" s="64">
        <f>IF(AND(Table1[[#This Row],[GameIsOver]]=1,Table1[[#This Row],[ActualAwayScore]]=0), 1,0)</f>
        <v>0</v>
      </c>
      <c r="AG664" s="64">
        <f>IF(AND(Table1[[#This Row],[GameIsOver]]=1,Table1[[#This Row],[ActualHomeScore]]=0), 1,0)</f>
        <v>0</v>
      </c>
      <c r="AH664" s="64">
        <f>IF(Table1[[#This Row],[GameIsOver]]=0,0,IF(Table1[[#This Row],[ActualWinner]]=Table1[[#This Row],[AwayTeam]], 1, 0))</f>
        <v>0</v>
      </c>
      <c r="AI664" s="64">
        <f>IF(Table1[[#This Row],[GameIsOver]]=0,0,IF(Table1[[#This Row],[ActualWinner]]=Table1[[#This Row],[HomeTeam]], 1, 0))</f>
        <v>0</v>
      </c>
      <c r="AJ664" s="64">
        <f>IF(INDEX(Standings!$A$2:$C$33,MATCH(Table1[[#This Row],[AwayTeam]],Standings!$A$2:$A$33,0),2)=INDEX(Standings!$A$2:$C$33,MATCH(Table1[[#This Row],[HomeTeam]],Standings!$A$2:$A$33,0),2),1,0)</f>
        <v>0</v>
      </c>
      <c r="AK664" s="64">
        <f>IF(INDEX(Standings!$A$2:$C$33,MATCH(Table1[[#This Row],[AwayTeam]],Standings!$A$2:$A$33,0),3)=INDEX(Standings!$A$2:$C$33,MATCH(Table1[[#This Row],[HomeTeam]],Standings!$A$2:$A$33,0),3),1,0)</f>
        <v>0</v>
      </c>
      <c r="AL664" s="64">
        <f>IF(Table1[[#This Row],[InterConf]]=1,IF(Table1[[#This Row],[InterDiv]]=0, 1, 0), 0)</f>
        <v>0</v>
      </c>
      <c r="AM664" s="64">
        <f>IF(INDEX(Standings!$A$2:$C$33,MATCH(Table1[[#This Row],[AwayTeam]],Standings!$A$2:$A$33,0),2)&lt;&gt;INDEX(Standings!$A$2:$C$33,MATCH(Table1[[#This Row],[HomeTeam]],Standings!$A$2:$A$33,0),2),1,0)</f>
        <v>1</v>
      </c>
      <c r="AN664" s="64" t="str">
        <f>INDEX(Table2[AWAY_RECORD], MATCH(Table1[[#This Row],[AwayTeam]],Table2[Team], 0), 0)</f>
        <v>0-0-0</v>
      </c>
      <c r="AO664" s="64" t="str">
        <f>INDEX(Records!$B$2:$AG$33, MATCH(Table1[[#This Row],[AwayTeam]],Records!$A$2:$A$33, 0), MATCH(Table1[[#This Row],[HomeTeam]],Records!$A$2:$A$33, 0))</f>
        <v>0-0-0</v>
      </c>
      <c r="AP664" s="64" t="str">
        <f>INDEX(Table2[HOME_RECORD], MATCH(Table1[[#This Row],[HomeTeam]],Table2[Team], 0), 0)</f>
        <v>0-1-0</v>
      </c>
      <c r="AQ664" s="64" t="str">
        <f>INDEX(Records!$B$2:$AG$33, MATCH(Table1[[#This Row],[HomeTeam]],Records!$A$2:$A$33, 0), MATCH(Table1[[#This Row],[AwayTeam]],Records!$A$2:$A$33, 0))</f>
        <v>0-0-0</v>
      </c>
    </row>
    <row r="665" spans="1:43" x14ac:dyDescent="0.25">
      <c r="A665" s="1"/>
      <c r="D665" t="s">
        <v>933</v>
      </c>
      <c r="E665" t="s">
        <v>178</v>
      </c>
      <c r="F665" t="s">
        <v>943</v>
      </c>
      <c r="G665" t="s">
        <v>16</v>
      </c>
      <c r="H665" t="s">
        <v>43</v>
      </c>
      <c r="L66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6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65" s="1"/>
      <c r="T665" s="64" t="str">
        <f>IF(Table1[[#This Row],[ActualWinner]]="", "", IF(Table1[[#This Row],[AwayTeam]]=Table1[[#This Row],[ActualWinner]],Table1[[#This Row],[HomeTeam]],Table1[[#This Row],[AwayTeam]]))</f>
        <v/>
      </c>
      <c r="U665" s="64">
        <f>Table1[[#This Row],[ActualAwayScore]]-Table1[[#This Row],[PredictedAwayScore]]</f>
        <v>0</v>
      </c>
      <c r="V665" s="64">
        <f>Table1[[#This Row],[ActualHomeScore]]-Table1[[#This Row],[PredictedHomeScore]]</f>
        <v>0</v>
      </c>
      <c r="W665" s="64">
        <f>(0.8*IF(Table1[[#This Row],[CorrectWinnerPrediction]]=1, 1, 0))+(0.1*IF(Table1[[#This Row],[CorrectAwayScorePrediction]]=1, 1, 0))+(0.1*IF(Table1[[#This Row],[CorrectHomeScorePrediction]]=1, 1, 0))</f>
        <v>0</v>
      </c>
      <c r="X66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65" s="64">
        <f>SUMIF(Table1[GameDate], Table1[[#This Row],[GameDate]], Table1[AwayGameGoalDiff])</f>
        <v>0</v>
      </c>
      <c r="AA665" s="64">
        <f>SUMIF(Table1[GameDate], Table1[[#This Row],[GameDate]], Table1[HomeGameGoalDiff])</f>
        <v>0</v>
      </c>
      <c r="AB665" s="64">
        <f>IF(ISBLANK(Table1[[#This Row],[ActualResult]]), 0, 1)</f>
        <v>0</v>
      </c>
      <c r="AC665" s="64">
        <f>IF(ISBLANK(Table1[[#This Row],[ActualResult]]), 0, IF(Table1[[#This Row],[ActualWinner]]=Table1[[#This Row],[PredictedWinner]], 1, 0))</f>
        <v>0</v>
      </c>
      <c r="AD66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6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65" s="64">
        <f>IF(AND(Table1[[#This Row],[GameIsOver]]=1,Table1[[#This Row],[ActualAwayScore]]=0), 1,0)</f>
        <v>0</v>
      </c>
      <c r="AG665" s="64">
        <f>IF(AND(Table1[[#This Row],[GameIsOver]]=1,Table1[[#This Row],[ActualHomeScore]]=0), 1,0)</f>
        <v>0</v>
      </c>
      <c r="AH665" s="64">
        <f>IF(Table1[[#This Row],[GameIsOver]]=0,0,IF(Table1[[#This Row],[ActualWinner]]=Table1[[#This Row],[AwayTeam]], 1, 0))</f>
        <v>0</v>
      </c>
      <c r="AI665" s="64">
        <f>IF(Table1[[#This Row],[GameIsOver]]=0,0,IF(Table1[[#This Row],[ActualWinner]]=Table1[[#This Row],[HomeTeam]], 1, 0))</f>
        <v>0</v>
      </c>
      <c r="AJ665" s="64">
        <f>IF(INDEX(Standings!$A$2:$C$33,MATCH(Table1[[#This Row],[AwayTeam]],Standings!$A$2:$A$33,0),2)=INDEX(Standings!$A$2:$C$33,MATCH(Table1[[#This Row],[HomeTeam]],Standings!$A$2:$A$33,0),2),1,0)</f>
        <v>1</v>
      </c>
      <c r="AK665" s="64">
        <f>IF(INDEX(Standings!$A$2:$C$33,MATCH(Table1[[#This Row],[AwayTeam]],Standings!$A$2:$A$33,0),3)=INDEX(Standings!$A$2:$C$33,MATCH(Table1[[#This Row],[HomeTeam]],Standings!$A$2:$A$33,0),3),1,0)</f>
        <v>1</v>
      </c>
      <c r="AL665" s="64">
        <f>IF(Table1[[#This Row],[InterConf]]=1,IF(Table1[[#This Row],[InterDiv]]=0, 1, 0), 0)</f>
        <v>0</v>
      </c>
      <c r="AM665" s="64">
        <f>IF(INDEX(Standings!$A$2:$C$33,MATCH(Table1[[#This Row],[AwayTeam]],Standings!$A$2:$A$33,0),2)&lt;&gt;INDEX(Standings!$A$2:$C$33,MATCH(Table1[[#This Row],[HomeTeam]],Standings!$A$2:$A$33,0),2),1,0)</f>
        <v>0</v>
      </c>
      <c r="AN665" s="64" t="str">
        <f>INDEX(Table2[AWAY_RECORD], MATCH(Table1[[#This Row],[AwayTeam]],Table2[Team], 0), 0)</f>
        <v>1-0-1</v>
      </c>
      <c r="AO665" s="64" t="str">
        <f>INDEX(Records!$B$2:$AG$33, MATCH(Table1[[#This Row],[AwayTeam]],Records!$A$2:$A$33, 0), MATCH(Table1[[#This Row],[HomeTeam]],Records!$A$2:$A$33, 0))</f>
        <v>0-0-0</v>
      </c>
      <c r="AP665" s="64" t="str">
        <f>INDEX(Table2[HOME_RECORD], MATCH(Table1[[#This Row],[HomeTeam]],Table2[Team], 0), 0)</f>
        <v>0-0-0</v>
      </c>
      <c r="AQ665" s="64" t="str">
        <f>INDEX(Records!$B$2:$AG$33, MATCH(Table1[[#This Row],[HomeTeam]],Records!$A$2:$A$33, 0), MATCH(Table1[[#This Row],[AwayTeam]],Records!$A$2:$A$33, 0))</f>
        <v>0-0-0</v>
      </c>
    </row>
    <row r="666" spans="1:43" x14ac:dyDescent="0.25">
      <c r="A666" s="1"/>
      <c r="D666" t="s">
        <v>933</v>
      </c>
      <c r="E666" t="s">
        <v>164</v>
      </c>
      <c r="F666" t="s">
        <v>944</v>
      </c>
      <c r="G666" t="s">
        <v>49</v>
      </c>
      <c r="H666" t="s">
        <v>46</v>
      </c>
      <c r="L66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6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66" s="1"/>
      <c r="T666" s="64" t="str">
        <f>IF(Table1[[#This Row],[ActualWinner]]="", "", IF(Table1[[#This Row],[AwayTeam]]=Table1[[#This Row],[ActualWinner]],Table1[[#This Row],[HomeTeam]],Table1[[#This Row],[AwayTeam]]))</f>
        <v/>
      </c>
      <c r="U666" s="64">
        <f>Table1[[#This Row],[ActualAwayScore]]-Table1[[#This Row],[PredictedAwayScore]]</f>
        <v>0</v>
      </c>
      <c r="V666" s="64">
        <f>Table1[[#This Row],[ActualHomeScore]]-Table1[[#This Row],[PredictedHomeScore]]</f>
        <v>0</v>
      </c>
      <c r="W666" s="64">
        <f>(0.8*IF(Table1[[#This Row],[CorrectWinnerPrediction]]=1, 1, 0))+(0.1*IF(Table1[[#This Row],[CorrectAwayScorePrediction]]=1, 1, 0))+(0.1*IF(Table1[[#This Row],[CorrectHomeScorePrediction]]=1, 1, 0))</f>
        <v>0</v>
      </c>
      <c r="X66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66" s="64">
        <f>SUMIF(Table1[GameDate], Table1[[#This Row],[GameDate]], Table1[AwayGameGoalDiff])</f>
        <v>0</v>
      </c>
      <c r="AA666" s="64">
        <f>SUMIF(Table1[GameDate], Table1[[#This Row],[GameDate]], Table1[HomeGameGoalDiff])</f>
        <v>0</v>
      </c>
      <c r="AB666" s="64">
        <f>IF(ISBLANK(Table1[[#This Row],[ActualResult]]), 0, 1)</f>
        <v>0</v>
      </c>
      <c r="AC666" s="64">
        <f>IF(ISBLANK(Table1[[#This Row],[ActualResult]]), 0, IF(Table1[[#This Row],[ActualWinner]]=Table1[[#This Row],[PredictedWinner]], 1, 0))</f>
        <v>0</v>
      </c>
      <c r="AD66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6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66" s="64">
        <f>IF(AND(Table1[[#This Row],[GameIsOver]]=1,Table1[[#This Row],[ActualAwayScore]]=0), 1,0)</f>
        <v>0</v>
      </c>
      <c r="AG666" s="64">
        <f>IF(AND(Table1[[#This Row],[GameIsOver]]=1,Table1[[#This Row],[ActualHomeScore]]=0), 1,0)</f>
        <v>0</v>
      </c>
      <c r="AH666" s="64">
        <f>IF(Table1[[#This Row],[GameIsOver]]=0,0,IF(Table1[[#This Row],[ActualWinner]]=Table1[[#This Row],[AwayTeam]], 1, 0))</f>
        <v>0</v>
      </c>
      <c r="AI666" s="64">
        <f>IF(Table1[[#This Row],[GameIsOver]]=0,0,IF(Table1[[#This Row],[ActualWinner]]=Table1[[#This Row],[HomeTeam]], 1, 0))</f>
        <v>0</v>
      </c>
      <c r="AJ666" s="64">
        <f>IF(INDEX(Standings!$A$2:$C$33,MATCH(Table1[[#This Row],[AwayTeam]],Standings!$A$2:$A$33,0),2)=INDEX(Standings!$A$2:$C$33,MATCH(Table1[[#This Row],[HomeTeam]],Standings!$A$2:$A$33,0),2),1,0)</f>
        <v>0</v>
      </c>
      <c r="AK666" s="64">
        <f>IF(INDEX(Standings!$A$2:$C$33,MATCH(Table1[[#This Row],[AwayTeam]],Standings!$A$2:$A$33,0),3)=INDEX(Standings!$A$2:$C$33,MATCH(Table1[[#This Row],[HomeTeam]],Standings!$A$2:$A$33,0),3),1,0)</f>
        <v>0</v>
      </c>
      <c r="AL666" s="64">
        <f>IF(Table1[[#This Row],[InterConf]]=1,IF(Table1[[#This Row],[InterDiv]]=0, 1, 0), 0)</f>
        <v>0</v>
      </c>
      <c r="AM666" s="64">
        <f>IF(INDEX(Standings!$A$2:$C$33,MATCH(Table1[[#This Row],[AwayTeam]],Standings!$A$2:$A$33,0),2)&lt;&gt;INDEX(Standings!$A$2:$C$33,MATCH(Table1[[#This Row],[HomeTeam]],Standings!$A$2:$A$33,0),2),1,0)</f>
        <v>1</v>
      </c>
      <c r="AN666" s="64" t="str">
        <f>INDEX(Table2[AWAY_RECORD], MATCH(Table1[[#This Row],[AwayTeam]],Table2[Team], 0), 0)</f>
        <v>0-0-0</v>
      </c>
      <c r="AO666" s="64" t="str">
        <f>INDEX(Records!$B$2:$AG$33, MATCH(Table1[[#This Row],[AwayTeam]],Records!$A$2:$A$33, 0), MATCH(Table1[[#This Row],[HomeTeam]],Records!$A$2:$A$33, 0))</f>
        <v>0-0-0</v>
      </c>
      <c r="AP666" s="64" t="str">
        <f>INDEX(Table2[HOME_RECORD], MATCH(Table1[[#This Row],[HomeTeam]],Table2[Team], 0), 0)</f>
        <v>0-0-0</v>
      </c>
      <c r="AQ666" s="64" t="str">
        <f>INDEX(Records!$B$2:$AG$33, MATCH(Table1[[#This Row],[HomeTeam]],Records!$A$2:$A$33, 0), MATCH(Table1[[#This Row],[AwayTeam]],Records!$A$2:$A$33, 0))</f>
        <v>0-0-0</v>
      </c>
    </row>
    <row r="667" spans="1:43" x14ac:dyDescent="0.25">
      <c r="A667" s="1"/>
      <c r="D667" t="s">
        <v>945</v>
      </c>
      <c r="E667" t="s">
        <v>298</v>
      </c>
      <c r="F667" t="s">
        <v>946</v>
      </c>
      <c r="G667" t="s">
        <v>23</v>
      </c>
      <c r="H667" t="s">
        <v>58</v>
      </c>
      <c r="L66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6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67" s="1"/>
      <c r="T667" s="64" t="str">
        <f>IF(Table1[[#This Row],[ActualWinner]]="", "", IF(Table1[[#This Row],[AwayTeam]]=Table1[[#This Row],[ActualWinner]],Table1[[#This Row],[HomeTeam]],Table1[[#This Row],[AwayTeam]]))</f>
        <v/>
      </c>
      <c r="U667" s="64">
        <f>Table1[[#This Row],[ActualAwayScore]]-Table1[[#This Row],[PredictedAwayScore]]</f>
        <v>0</v>
      </c>
      <c r="V667" s="64">
        <f>Table1[[#This Row],[ActualHomeScore]]-Table1[[#This Row],[PredictedHomeScore]]</f>
        <v>0</v>
      </c>
      <c r="W667" s="64">
        <f>(0.8*IF(Table1[[#This Row],[CorrectWinnerPrediction]]=1, 1, 0))+(0.1*IF(Table1[[#This Row],[CorrectAwayScorePrediction]]=1, 1, 0))+(0.1*IF(Table1[[#This Row],[CorrectHomeScorePrediction]]=1, 1, 0))</f>
        <v>0</v>
      </c>
      <c r="X66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67" s="64">
        <f>SUMIF(Table1[GameDate], Table1[[#This Row],[GameDate]], Table1[AwayGameGoalDiff])</f>
        <v>0</v>
      </c>
      <c r="AA667" s="64">
        <f>SUMIF(Table1[GameDate], Table1[[#This Row],[GameDate]], Table1[HomeGameGoalDiff])</f>
        <v>0</v>
      </c>
      <c r="AB667" s="64">
        <f>IF(ISBLANK(Table1[[#This Row],[ActualResult]]), 0, 1)</f>
        <v>0</v>
      </c>
      <c r="AC667" s="64">
        <f>IF(ISBLANK(Table1[[#This Row],[ActualResult]]), 0, IF(Table1[[#This Row],[ActualWinner]]=Table1[[#This Row],[PredictedWinner]], 1, 0))</f>
        <v>0</v>
      </c>
      <c r="AD66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6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67" s="64">
        <f>IF(AND(Table1[[#This Row],[GameIsOver]]=1,Table1[[#This Row],[ActualAwayScore]]=0), 1,0)</f>
        <v>0</v>
      </c>
      <c r="AG667" s="64">
        <f>IF(AND(Table1[[#This Row],[GameIsOver]]=1,Table1[[#This Row],[ActualHomeScore]]=0), 1,0)</f>
        <v>0</v>
      </c>
      <c r="AH667" s="64">
        <f>IF(Table1[[#This Row],[GameIsOver]]=0,0,IF(Table1[[#This Row],[ActualWinner]]=Table1[[#This Row],[AwayTeam]], 1, 0))</f>
        <v>0</v>
      </c>
      <c r="AI667" s="64">
        <f>IF(Table1[[#This Row],[GameIsOver]]=0,0,IF(Table1[[#This Row],[ActualWinner]]=Table1[[#This Row],[HomeTeam]], 1, 0))</f>
        <v>0</v>
      </c>
      <c r="AJ667" s="64">
        <f>IF(INDEX(Standings!$A$2:$C$33,MATCH(Table1[[#This Row],[AwayTeam]],Standings!$A$2:$A$33,0),2)=INDEX(Standings!$A$2:$C$33,MATCH(Table1[[#This Row],[HomeTeam]],Standings!$A$2:$A$33,0),2),1,0)</f>
        <v>1</v>
      </c>
      <c r="AK667" s="64">
        <f>IF(INDEX(Standings!$A$2:$C$33,MATCH(Table1[[#This Row],[AwayTeam]],Standings!$A$2:$A$33,0),3)=INDEX(Standings!$A$2:$C$33,MATCH(Table1[[#This Row],[HomeTeam]],Standings!$A$2:$A$33,0),3),1,0)</f>
        <v>0</v>
      </c>
      <c r="AL667" s="64">
        <f>IF(Table1[[#This Row],[InterConf]]=1,IF(Table1[[#This Row],[InterDiv]]=0, 1, 0), 0)</f>
        <v>1</v>
      </c>
      <c r="AM667" s="64">
        <f>IF(INDEX(Standings!$A$2:$C$33,MATCH(Table1[[#This Row],[AwayTeam]],Standings!$A$2:$A$33,0),2)&lt;&gt;INDEX(Standings!$A$2:$C$33,MATCH(Table1[[#This Row],[HomeTeam]],Standings!$A$2:$A$33,0),2),1,0)</f>
        <v>0</v>
      </c>
      <c r="AN667" s="64" t="str">
        <f>INDEX(Table2[AWAY_RECORD], MATCH(Table1[[#This Row],[AwayTeam]],Table2[Team], 0), 0)</f>
        <v>0-0-1</v>
      </c>
      <c r="AO667" s="64" t="str">
        <f>INDEX(Records!$B$2:$AG$33, MATCH(Table1[[#This Row],[AwayTeam]],Records!$A$2:$A$33, 0), MATCH(Table1[[#This Row],[HomeTeam]],Records!$A$2:$A$33, 0))</f>
        <v>0-0-0</v>
      </c>
      <c r="AP667" s="64" t="str">
        <f>INDEX(Table2[HOME_RECORD], MATCH(Table1[[#This Row],[HomeTeam]],Table2[Team], 0), 0)</f>
        <v>1-0-0</v>
      </c>
      <c r="AQ667" s="64" t="str">
        <f>INDEX(Records!$B$2:$AG$33, MATCH(Table1[[#This Row],[HomeTeam]],Records!$A$2:$A$33, 0), MATCH(Table1[[#This Row],[AwayTeam]],Records!$A$2:$A$33, 0))</f>
        <v>0-0-0</v>
      </c>
    </row>
    <row r="668" spans="1:43" x14ac:dyDescent="0.25">
      <c r="A668" s="1"/>
      <c r="D668" t="s">
        <v>945</v>
      </c>
      <c r="E668" t="s">
        <v>298</v>
      </c>
      <c r="F668" t="s">
        <v>947</v>
      </c>
      <c r="G668" t="s">
        <v>41</v>
      </c>
      <c r="H668" t="s">
        <v>25</v>
      </c>
      <c r="L66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6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68" s="1"/>
      <c r="T668" s="64" t="str">
        <f>IF(Table1[[#This Row],[ActualWinner]]="", "", IF(Table1[[#This Row],[AwayTeam]]=Table1[[#This Row],[ActualWinner]],Table1[[#This Row],[HomeTeam]],Table1[[#This Row],[AwayTeam]]))</f>
        <v/>
      </c>
      <c r="U668" s="64">
        <f>Table1[[#This Row],[ActualAwayScore]]-Table1[[#This Row],[PredictedAwayScore]]</f>
        <v>0</v>
      </c>
      <c r="V668" s="64">
        <f>Table1[[#This Row],[ActualHomeScore]]-Table1[[#This Row],[PredictedHomeScore]]</f>
        <v>0</v>
      </c>
      <c r="W668" s="64">
        <f>(0.8*IF(Table1[[#This Row],[CorrectWinnerPrediction]]=1, 1, 0))+(0.1*IF(Table1[[#This Row],[CorrectAwayScorePrediction]]=1, 1, 0))+(0.1*IF(Table1[[#This Row],[CorrectHomeScorePrediction]]=1, 1, 0))</f>
        <v>0</v>
      </c>
      <c r="X66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68" s="64">
        <f>SUMIF(Table1[GameDate], Table1[[#This Row],[GameDate]], Table1[AwayGameGoalDiff])</f>
        <v>0</v>
      </c>
      <c r="AA668" s="64">
        <f>SUMIF(Table1[GameDate], Table1[[#This Row],[GameDate]], Table1[HomeGameGoalDiff])</f>
        <v>0</v>
      </c>
      <c r="AB668" s="64">
        <f>IF(ISBLANK(Table1[[#This Row],[ActualResult]]), 0, 1)</f>
        <v>0</v>
      </c>
      <c r="AC668" s="64">
        <f>IF(ISBLANK(Table1[[#This Row],[ActualResult]]), 0, IF(Table1[[#This Row],[ActualWinner]]=Table1[[#This Row],[PredictedWinner]], 1, 0))</f>
        <v>0</v>
      </c>
      <c r="AD66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6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68" s="64">
        <f>IF(AND(Table1[[#This Row],[GameIsOver]]=1,Table1[[#This Row],[ActualAwayScore]]=0), 1,0)</f>
        <v>0</v>
      </c>
      <c r="AG668" s="64">
        <f>IF(AND(Table1[[#This Row],[GameIsOver]]=1,Table1[[#This Row],[ActualHomeScore]]=0), 1,0)</f>
        <v>0</v>
      </c>
      <c r="AH668" s="64">
        <f>IF(Table1[[#This Row],[GameIsOver]]=0,0,IF(Table1[[#This Row],[ActualWinner]]=Table1[[#This Row],[AwayTeam]], 1, 0))</f>
        <v>0</v>
      </c>
      <c r="AI668" s="64">
        <f>IF(Table1[[#This Row],[GameIsOver]]=0,0,IF(Table1[[#This Row],[ActualWinner]]=Table1[[#This Row],[HomeTeam]], 1, 0))</f>
        <v>0</v>
      </c>
      <c r="AJ668" s="64">
        <f>IF(INDEX(Standings!$A$2:$C$33,MATCH(Table1[[#This Row],[AwayTeam]],Standings!$A$2:$A$33,0),2)=INDEX(Standings!$A$2:$C$33,MATCH(Table1[[#This Row],[HomeTeam]],Standings!$A$2:$A$33,0),2),1,0)</f>
        <v>1</v>
      </c>
      <c r="AK668" s="64">
        <f>IF(INDEX(Standings!$A$2:$C$33,MATCH(Table1[[#This Row],[AwayTeam]],Standings!$A$2:$A$33,0),3)=INDEX(Standings!$A$2:$C$33,MATCH(Table1[[#This Row],[HomeTeam]],Standings!$A$2:$A$33,0),3),1,0)</f>
        <v>0</v>
      </c>
      <c r="AL668" s="64">
        <f>IF(Table1[[#This Row],[InterConf]]=1,IF(Table1[[#This Row],[InterDiv]]=0, 1, 0), 0)</f>
        <v>1</v>
      </c>
      <c r="AM668" s="64">
        <f>IF(INDEX(Standings!$A$2:$C$33,MATCH(Table1[[#This Row],[AwayTeam]],Standings!$A$2:$A$33,0),2)&lt;&gt;INDEX(Standings!$A$2:$C$33,MATCH(Table1[[#This Row],[HomeTeam]],Standings!$A$2:$A$33,0),2),1,0)</f>
        <v>0</v>
      </c>
      <c r="AN668" s="64" t="str">
        <f>INDEX(Table2[AWAY_RECORD], MATCH(Table1[[#This Row],[AwayTeam]],Table2[Team], 0), 0)</f>
        <v>0-0-0</v>
      </c>
      <c r="AO668" s="64" t="str">
        <f>INDEX(Records!$B$2:$AG$33, MATCH(Table1[[#This Row],[AwayTeam]],Records!$A$2:$A$33, 0), MATCH(Table1[[#This Row],[HomeTeam]],Records!$A$2:$A$33, 0))</f>
        <v>0-0-0</v>
      </c>
      <c r="AP668" s="64" t="str">
        <f>INDEX(Table2[HOME_RECORD], MATCH(Table1[[#This Row],[HomeTeam]],Table2[Team], 0), 0)</f>
        <v>0-0-1</v>
      </c>
      <c r="AQ668" s="64" t="str">
        <f>INDEX(Records!$B$2:$AG$33, MATCH(Table1[[#This Row],[HomeTeam]],Records!$A$2:$A$33, 0), MATCH(Table1[[#This Row],[AwayTeam]],Records!$A$2:$A$33, 0))</f>
        <v>0-0-0</v>
      </c>
    </row>
    <row r="669" spans="1:43" x14ac:dyDescent="0.25">
      <c r="A669" s="1"/>
      <c r="D669" t="s">
        <v>945</v>
      </c>
      <c r="E669" t="s">
        <v>298</v>
      </c>
      <c r="F669" t="s">
        <v>948</v>
      </c>
      <c r="G669" t="s">
        <v>50</v>
      </c>
      <c r="H669" t="s">
        <v>56</v>
      </c>
      <c r="L66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6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69" s="1"/>
      <c r="T669" s="64" t="str">
        <f>IF(Table1[[#This Row],[ActualWinner]]="", "", IF(Table1[[#This Row],[AwayTeam]]=Table1[[#This Row],[ActualWinner]],Table1[[#This Row],[HomeTeam]],Table1[[#This Row],[AwayTeam]]))</f>
        <v/>
      </c>
      <c r="U669" s="64">
        <f>Table1[[#This Row],[ActualAwayScore]]-Table1[[#This Row],[PredictedAwayScore]]</f>
        <v>0</v>
      </c>
      <c r="V669" s="64">
        <f>Table1[[#This Row],[ActualHomeScore]]-Table1[[#This Row],[PredictedHomeScore]]</f>
        <v>0</v>
      </c>
      <c r="W669" s="64">
        <f>(0.8*IF(Table1[[#This Row],[CorrectWinnerPrediction]]=1, 1, 0))+(0.1*IF(Table1[[#This Row],[CorrectAwayScorePrediction]]=1, 1, 0))+(0.1*IF(Table1[[#This Row],[CorrectHomeScorePrediction]]=1, 1, 0))</f>
        <v>0</v>
      </c>
      <c r="X66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69" s="64">
        <f>SUMIF(Table1[GameDate], Table1[[#This Row],[GameDate]], Table1[AwayGameGoalDiff])</f>
        <v>0</v>
      </c>
      <c r="AA669" s="64">
        <f>SUMIF(Table1[GameDate], Table1[[#This Row],[GameDate]], Table1[HomeGameGoalDiff])</f>
        <v>0</v>
      </c>
      <c r="AB669" s="64">
        <f>IF(ISBLANK(Table1[[#This Row],[ActualResult]]), 0, 1)</f>
        <v>0</v>
      </c>
      <c r="AC669" s="64">
        <f>IF(ISBLANK(Table1[[#This Row],[ActualResult]]), 0, IF(Table1[[#This Row],[ActualWinner]]=Table1[[#This Row],[PredictedWinner]], 1, 0))</f>
        <v>0</v>
      </c>
      <c r="AD66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6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69" s="64">
        <f>IF(AND(Table1[[#This Row],[GameIsOver]]=1,Table1[[#This Row],[ActualAwayScore]]=0), 1,0)</f>
        <v>0</v>
      </c>
      <c r="AG669" s="64">
        <f>IF(AND(Table1[[#This Row],[GameIsOver]]=1,Table1[[#This Row],[ActualHomeScore]]=0), 1,0)</f>
        <v>0</v>
      </c>
      <c r="AH669" s="64">
        <f>IF(Table1[[#This Row],[GameIsOver]]=0,0,IF(Table1[[#This Row],[ActualWinner]]=Table1[[#This Row],[AwayTeam]], 1, 0))</f>
        <v>0</v>
      </c>
      <c r="AI669" s="64">
        <f>IF(Table1[[#This Row],[GameIsOver]]=0,0,IF(Table1[[#This Row],[ActualWinner]]=Table1[[#This Row],[HomeTeam]], 1, 0))</f>
        <v>0</v>
      </c>
      <c r="AJ669" s="64">
        <f>IF(INDEX(Standings!$A$2:$C$33,MATCH(Table1[[#This Row],[AwayTeam]],Standings!$A$2:$A$33,0),2)=INDEX(Standings!$A$2:$C$33,MATCH(Table1[[#This Row],[HomeTeam]],Standings!$A$2:$A$33,0),2),1,0)</f>
        <v>0</v>
      </c>
      <c r="AK669" s="64">
        <f>IF(INDEX(Standings!$A$2:$C$33,MATCH(Table1[[#This Row],[AwayTeam]],Standings!$A$2:$A$33,0),3)=INDEX(Standings!$A$2:$C$33,MATCH(Table1[[#This Row],[HomeTeam]],Standings!$A$2:$A$33,0),3),1,0)</f>
        <v>0</v>
      </c>
      <c r="AL669" s="64">
        <f>IF(Table1[[#This Row],[InterConf]]=1,IF(Table1[[#This Row],[InterDiv]]=0, 1, 0), 0)</f>
        <v>0</v>
      </c>
      <c r="AM669" s="64">
        <f>IF(INDEX(Standings!$A$2:$C$33,MATCH(Table1[[#This Row],[AwayTeam]],Standings!$A$2:$A$33,0),2)&lt;&gt;INDEX(Standings!$A$2:$C$33,MATCH(Table1[[#This Row],[HomeTeam]],Standings!$A$2:$A$33,0),2),1,0)</f>
        <v>1</v>
      </c>
      <c r="AN669" s="64" t="str">
        <f>INDEX(Table2[AWAY_RECORD], MATCH(Table1[[#This Row],[AwayTeam]],Table2[Team], 0), 0)</f>
        <v>1-0-0</v>
      </c>
      <c r="AO669" s="64" t="str">
        <f>INDEX(Records!$B$2:$AG$33, MATCH(Table1[[#This Row],[AwayTeam]],Records!$A$2:$A$33, 0), MATCH(Table1[[#This Row],[HomeTeam]],Records!$A$2:$A$33, 0))</f>
        <v>0-0-0</v>
      </c>
      <c r="AP669" s="64" t="str">
        <f>INDEX(Table2[HOME_RECORD], MATCH(Table1[[#This Row],[HomeTeam]],Table2[Team], 0), 0)</f>
        <v>0-0-0</v>
      </c>
      <c r="AQ669" s="64" t="str">
        <f>INDEX(Records!$B$2:$AG$33, MATCH(Table1[[#This Row],[HomeTeam]],Records!$A$2:$A$33, 0), MATCH(Table1[[#This Row],[AwayTeam]],Records!$A$2:$A$33, 0))</f>
        <v>0-0-0</v>
      </c>
    </row>
    <row r="670" spans="1:43" x14ac:dyDescent="0.25">
      <c r="A670" s="1"/>
      <c r="D670" t="s">
        <v>945</v>
      </c>
      <c r="E670" t="s">
        <v>252</v>
      </c>
      <c r="F670" t="s">
        <v>949</v>
      </c>
      <c r="G670" t="s">
        <v>45</v>
      </c>
      <c r="H670" t="s">
        <v>54</v>
      </c>
      <c r="L67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7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70" s="1"/>
      <c r="T670" s="64" t="str">
        <f>IF(Table1[[#This Row],[ActualWinner]]="", "", IF(Table1[[#This Row],[AwayTeam]]=Table1[[#This Row],[ActualWinner]],Table1[[#This Row],[HomeTeam]],Table1[[#This Row],[AwayTeam]]))</f>
        <v/>
      </c>
      <c r="U670" s="64">
        <f>Table1[[#This Row],[ActualAwayScore]]-Table1[[#This Row],[PredictedAwayScore]]</f>
        <v>0</v>
      </c>
      <c r="V670" s="64">
        <f>Table1[[#This Row],[ActualHomeScore]]-Table1[[#This Row],[PredictedHomeScore]]</f>
        <v>0</v>
      </c>
      <c r="W670" s="64">
        <f>(0.8*IF(Table1[[#This Row],[CorrectWinnerPrediction]]=1, 1, 0))+(0.1*IF(Table1[[#This Row],[CorrectAwayScorePrediction]]=1, 1, 0))+(0.1*IF(Table1[[#This Row],[CorrectHomeScorePrediction]]=1, 1, 0))</f>
        <v>0</v>
      </c>
      <c r="X67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70" s="64">
        <f>SUMIF(Table1[GameDate], Table1[[#This Row],[GameDate]], Table1[AwayGameGoalDiff])</f>
        <v>0</v>
      </c>
      <c r="AA670" s="64">
        <f>SUMIF(Table1[GameDate], Table1[[#This Row],[GameDate]], Table1[HomeGameGoalDiff])</f>
        <v>0</v>
      </c>
      <c r="AB670" s="64">
        <f>IF(ISBLANK(Table1[[#This Row],[ActualResult]]), 0, 1)</f>
        <v>0</v>
      </c>
      <c r="AC670" s="64">
        <f>IF(ISBLANK(Table1[[#This Row],[ActualResult]]), 0, IF(Table1[[#This Row],[ActualWinner]]=Table1[[#This Row],[PredictedWinner]], 1, 0))</f>
        <v>0</v>
      </c>
      <c r="AD67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7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70" s="64">
        <f>IF(AND(Table1[[#This Row],[GameIsOver]]=1,Table1[[#This Row],[ActualAwayScore]]=0), 1,0)</f>
        <v>0</v>
      </c>
      <c r="AG670" s="64">
        <f>IF(AND(Table1[[#This Row],[GameIsOver]]=1,Table1[[#This Row],[ActualHomeScore]]=0), 1,0)</f>
        <v>0</v>
      </c>
      <c r="AH670" s="64">
        <f>IF(Table1[[#This Row],[GameIsOver]]=0,0,IF(Table1[[#This Row],[ActualWinner]]=Table1[[#This Row],[AwayTeam]], 1, 0))</f>
        <v>0</v>
      </c>
      <c r="AI670" s="64">
        <f>IF(Table1[[#This Row],[GameIsOver]]=0,0,IF(Table1[[#This Row],[ActualWinner]]=Table1[[#This Row],[HomeTeam]], 1, 0))</f>
        <v>0</v>
      </c>
      <c r="AJ670" s="64">
        <f>IF(INDEX(Standings!$A$2:$C$33,MATCH(Table1[[#This Row],[AwayTeam]],Standings!$A$2:$A$33,0),2)=INDEX(Standings!$A$2:$C$33,MATCH(Table1[[#This Row],[HomeTeam]],Standings!$A$2:$A$33,0),2),1,0)</f>
        <v>0</v>
      </c>
      <c r="AK670" s="64">
        <f>IF(INDEX(Standings!$A$2:$C$33,MATCH(Table1[[#This Row],[AwayTeam]],Standings!$A$2:$A$33,0),3)=INDEX(Standings!$A$2:$C$33,MATCH(Table1[[#This Row],[HomeTeam]],Standings!$A$2:$A$33,0),3),1,0)</f>
        <v>0</v>
      </c>
      <c r="AL670" s="64">
        <f>IF(Table1[[#This Row],[InterConf]]=1,IF(Table1[[#This Row],[InterDiv]]=0, 1, 0), 0)</f>
        <v>0</v>
      </c>
      <c r="AM670" s="64">
        <f>IF(INDEX(Standings!$A$2:$C$33,MATCH(Table1[[#This Row],[AwayTeam]],Standings!$A$2:$A$33,0),2)&lt;&gt;INDEX(Standings!$A$2:$C$33,MATCH(Table1[[#This Row],[HomeTeam]],Standings!$A$2:$A$33,0),2),1,0)</f>
        <v>1</v>
      </c>
      <c r="AN670" s="64" t="str">
        <f>INDEX(Table2[AWAY_RECORD], MATCH(Table1[[#This Row],[AwayTeam]],Table2[Team], 0), 0)</f>
        <v>1-0-0</v>
      </c>
      <c r="AO670" s="64" t="str">
        <f>INDEX(Records!$B$2:$AG$33, MATCH(Table1[[#This Row],[AwayTeam]],Records!$A$2:$A$33, 0), MATCH(Table1[[#This Row],[HomeTeam]],Records!$A$2:$A$33, 0))</f>
        <v>0-0-0</v>
      </c>
      <c r="AP670" s="64" t="str">
        <f>INDEX(Table2[HOME_RECORD], MATCH(Table1[[#This Row],[HomeTeam]],Table2[Team], 0), 0)</f>
        <v>0-0-0</v>
      </c>
      <c r="AQ670" s="64" t="str">
        <f>INDEX(Records!$B$2:$AG$33, MATCH(Table1[[#This Row],[HomeTeam]],Records!$A$2:$A$33, 0), MATCH(Table1[[#This Row],[AwayTeam]],Records!$A$2:$A$33, 0))</f>
        <v>0-0-0</v>
      </c>
    </row>
    <row r="671" spans="1:43" x14ac:dyDescent="0.25">
      <c r="A671" s="1"/>
      <c r="D671" t="s">
        <v>945</v>
      </c>
      <c r="E671" t="s">
        <v>160</v>
      </c>
      <c r="F671" t="s">
        <v>950</v>
      </c>
      <c r="G671" t="s">
        <v>42</v>
      </c>
      <c r="H671" t="s">
        <v>51</v>
      </c>
      <c r="L67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7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71" s="1"/>
      <c r="T671" s="64" t="str">
        <f>IF(Table1[[#This Row],[ActualWinner]]="", "", IF(Table1[[#This Row],[AwayTeam]]=Table1[[#This Row],[ActualWinner]],Table1[[#This Row],[HomeTeam]],Table1[[#This Row],[AwayTeam]]))</f>
        <v/>
      </c>
      <c r="U671" s="64">
        <f>Table1[[#This Row],[ActualAwayScore]]-Table1[[#This Row],[PredictedAwayScore]]</f>
        <v>0</v>
      </c>
      <c r="V671" s="64">
        <f>Table1[[#This Row],[ActualHomeScore]]-Table1[[#This Row],[PredictedHomeScore]]</f>
        <v>0</v>
      </c>
      <c r="W671" s="64">
        <f>(0.8*IF(Table1[[#This Row],[CorrectWinnerPrediction]]=1, 1, 0))+(0.1*IF(Table1[[#This Row],[CorrectAwayScorePrediction]]=1, 1, 0))+(0.1*IF(Table1[[#This Row],[CorrectHomeScorePrediction]]=1, 1, 0))</f>
        <v>0</v>
      </c>
      <c r="X67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71" s="64">
        <f>SUMIF(Table1[GameDate], Table1[[#This Row],[GameDate]], Table1[AwayGameGoalDiff])</f>
        <v>0</v>
      </c>
      <c r="AA671" s="64">
        <f>SUMIF(Table1[GameDate], Table1[[#This Row],[GameDate]], Table1[HomeGameGoalDiff])</f>
        <v>0</v>
      </c>
      <c r="AB671" s="64">
        <f>IF(ISBLANK(Table1[[#This Row],[ActualResult]]), 0, 1)</f>
        <v>0</v>
      </c>
      <c r="AC671" s="64">
        <f>IF(ISBLANK(Table1[[#This Row],[ActualResult]]), 0, IF(Table1[[#This Row],[ActualWinner]]=Table1[[#This Row],[PredictedWinner]], 1, 0))</f>
        <v>0</v>
      </c>
      <c r="AD67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7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71" s="64">
        <f>IF(AND(Table1[[#This Row],[GameIsOver]]=1,Table1[[#This Row],[ActualAwayScore]]=0), 1,0)</f>
        <v>0</v>
      </c>
      <c r="AG671" s="64">
        <f>IF(AND(Table1[[#This Row],[GameIsOver]]=1,Table1[[#This Row],[ActualHomeScore]]=0), 1,0)</f>
        <v>0</v>
      </c>
      <c r="AH671" s="64">
        <f>IF(Table1[[#This Row],[GameIsOver]]=0,0,IF(Table1[[#This Row],[ActualWinner]]=Table1[[#This Row],[AwayTeam]], 1, 0))</f>
        <v>0</v>
      </c>
      <c r="AI671" s="64">
        <f>IF(Table1[[#This Row],[GameIsOver]]=0,0,IF(Table1[[#This Row],[ActualWinner]]=Table1[[#This Row],[HomeTeam]], 1, 0))</f>
        <v>0</v>
      </c>
      <c r="AJ671" s="64">
        <f>IF(INDEX(Standings!$A$2:$C$33,MATCH(Table1[[#This Row],[AwayTeam]],Standings!$A$2:$A$33,0),2)=INDEX(Standings!$A$2:$C$33,MATCH(Table1[[#This Row],[HomeTeam]],Standings!$A$2:$A$33,0),2),1,0)</f>
        <v>1</v>
      </c>
      <c r="AK671" s="64">
        <f>IF(INDEX(Standings!$A$2:$C$33,MATCH(Table1[[#This Row],[AwayTeam]],Standings!$A$2:$A$33,0),3)=INDEX(Standings!$A$2:$C$33,MATCH(Table1[[#This Row],[HomeTeam]],Standings!$A$2:$A$33,0),3),1,0)</f>
        <v>1</v>
      </c>
      <c r="AL671" s="64">
        <f>IF(Table1[[#This Row],[InterConf]]=1,IF(Table1[[#This Row],[InterDiv]]=0, 1, 0), 0)</f>
        <v>0</v>
      </c>
      <c r="AM671" s="64">
        <f>IF(INDEX(Standings!$A$2:$C$33,MATCH(Table1[[#This Row],[AwayTeam]],Standings!$A$2:$A$33,0),2)&lt;&gt;INDEX(Standings!$A$2:$C$33,MATCH(Table1[[#This Row],[HomeTeam]],Standings!$A$2:$A$33,0),2),1,0)</f>
        <v>0</v>
      </c>
      <c r="AN671" s="64" t="str">
        <f>INDEX(Table2[AWAY_RECORD], MATCH(Table1[[#This Row],[AwayTeam]],Table2[Team], 0), 0)</f>
        <v>0-0-0</v>
      </c>
      <c r="AO671" s="64" t="str">
        <f>INDEX(Records!$B$2:$AG$33, MATCH(Table1[[#This Row],[AwayTeam]],Records!$A$2:$A$33, 0), MATCH(Table1[[#This Row],[HomeTeam]],Records!$A$2:$A$33, 0))</f>
        <v>0-0-0</v>
      </c>
      <c r="AP671" s="64" t="str">
        <f>INDEX(Table2[HOME_RECORD], MATCH(Table1[[#This Row],[HomeTeam]],Table2[Team], 0), 0)</f>
        <v>1-0-0</v>
      </c>
      <c r="AQ671" s="64" t="str">
        <f>INDEX(Records!$B$2:$AG$33, MATCH(Table1[[#This Row],[HomeTeam]],Records!$A$2:$A$33, 0), MATCH(Table1[[#This Row],[AwayTeam]],Records!$A$2:$A$33, 0))</f>
        <v>0-0-0</v>
      </c>
    </row>
    <row r="672" spans="1:43" x14ac:dyDescent="0.25">
      <c r="A672" s="1"/>
      <c r="D672" t="s">
        <v>945</v>
      </c>
      <c r="E672" t="s">
        <v>162</v>
      </c>
      <c r="F672" t="s">
        <v>951</v>
      </c>
      <c r="G672" t="s">
        <v>39</v>
      </c>
      <c r="H672" t="s">
        <v>61</v>
      </c>
      <c r="L67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7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72" s="1"/>
      <c r="T672" s="64" t="str">
        <f>IF(Table1[[#This Row],[ActualWinner]]="", "", IF(Table1[[#This Row],[AwayTeam]]=Table1[[#This Row],[ActualWinner]],Table1[[#This Row],[HomeTeam]],Table1[[#This Row],[AwayTeam]]))</f>
        <v/>
      </c>
      <c r="U672" s="64">
        <f>Table1[[#This Row],[ActualAwayScore]]-Table1[[#This Row],[PredictedAwayScore]]</f>
        <v>0</v>
      </c>
      <c r="V672" s="64">
        <f>Table1[[#This Row],[ActualHomeScore]]-Table1[[#This Row],[PredictedHomeScore]]</f>
        <v>0</v>
      </c>
      <c r="W672" s="64">
        <f>(0.8*IF(Table1[[#This Row],[CorrectWinnerPrediction]]=1, 1, 0))+(0.1*IF(Table1[[#This Row],[CorrectAwayScorePrediction]]=1, 1, 0))+(0.1*IF(Table1[[#This Row],[CorrectHomeScorePrediction]]=1, 1, 0))</f>
        <v>0</v>
      </c>
      <c r="X67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72" s="64">
        <f>SUMIF(Table1[GameDate], Table1[[#This Row],[GameDate]], Table1[AwayGameGoalDiff])</f>
        <v>0</v>
      </c>
      <c r="AA672" s="64">
        <f>SUMIF(Table1[GameDate], Table1[[#This Row],[GameDate]], Table1[HomeGameGoalDiff])</f>
        <v>0</v>
      </c>
      <c r="AB672" s="64">
        <f>IF(ISBLANK(Table1[[#This Row],[ActualResult]]), 0, 1)</f>
        <v>0</v>
      </c>
      <c r="AC672" s="64">
        <f>IF(ISBLANK(Table1[[#This Row],[ActualResult]]), 0, IF(Table1[[#This Row],[ActualWinner]]=Table1[[#This Row],[PredictedWinner]], 1, 0))</f>
        <v>0</v>
      </c>
      <c r="AD67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7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72" s="64">
        <f>IF(AND(Table1[[#This Row],[GameIsOver]]=1,Table1[[#This Row],[ActualAwayScore]]=0), 1,0)</f>
        <v>0</v>
      </c>
      <c r="AG672" s="64">
        <f>IF(AND(Table1[[#This Row],[GameIsOver]]=1,Table1[[#This Row],[ActualHomeScore]]=0), 1,0)</f>
        <v>0</v>
      </c>
      <c r="AH672" s="64">
        <f>IF(Table1[[#This Row],[GameIsOver]]=0,0,IF(Table1[[#This Row],[ActualWinner]]=Table1[[#This Row],[AwayTeam]], 1, 0))</f>
        <v>0</v>
      </c>
      <c r="AI672" s="64">
        <f>IF(Table1[[#This Row],[GameIsOver]]=0,0,IF(Table1[[#This Row],[ActualWinner]]=Table1[[#This Row],[HomeTeam]], 1, 0))</f>
        <v>0</v>
      </c>
      <c r="AJ672" s="64">
        <f>IF(INDEX(Standings!$A$2:$C$33,MATCH(Table1[[#This Row],[AwayTeam]],Standings!$A$2:$A$33,0),2)=INDEX(Standings!$A$2:$C$33,MATCH(Table1[[#This Row],[HomeTeam]],Standings!$A$2:$A$33,0),2),1,0)</f>
        <v>1</v>
      </c>
      <c r="AK672" s="64">
        <f>IF(INDEX(Standings!$A$2:$C$33,MATCH(Table1[[#This Row],[AwayTeam]],Standings!$A$2:$A$33,0),3)=INDEX(Standings!$A$2:$C$33,MATCH(Table1[[#This Row],[HomeTeam]],Standings!$A$2:$A$33,0),3),1,0)</f>
        <v>0</v>
      </c>
      <c r="AL672" s="64">
        <f>IF(Table1[[#This Row],[InterConf]]=1,IF(Table1[[#This Row],[InterDiv]]=0, 1, 0), 0)</f>
        <v>1</v>
      </c>
      <c r="AM672" s="64">
        <f>IF(INDEX(Standings!$A$2:$C$33,MATCH(Table1[[#This Row],[AwayTeam]],Standings!$A$2:$A$33,0),2)&lt;&gt;INDEX(Standings!$A$2:$C$33,MATCH(Table1[[#This Row],[HomeTeam]],Standings!$A$2:$A$33,0),2),1,0)</f>
        <v>0</v>
      </c>
      <c r="AN672" s="64" t="str">
        <f>INDEX(Table2[AWAY_RECORD], MATCH(Table1[[#This Row],[AwayTeam]],Table2[Team], 0), 0)</f>
        <v>0-0-0</v>
      </c>
      <c r="AO672" s="64" t="str">
        <f>INDEX(Records!$B$2:$AG$33, MATCH(Table1[[#This Row],[AwayTeam]],Records!$A$2:$A$33, 0), MATCH(Table1[[#This Row],[HomeTeam]],Records!$A$2:$A$33, 0))</f>
        <v>0-0-0</v>
      </c>
      <c r="AP672" s="64" t="str">
        <f>INDEX(Table2[HOME_RECORD], MATCH(Table1[[#This Row],[HomeTeam]],Table2[Team], 0), 0)</f>
        <v>0-0-0</v>
      </c>
      <c r="AQ672" s="64" t="str">
        <f>INDEX(Records!$B$2:$AG$33, MATCH(Table1[[#This Row],[HomeTeam]],Records!$A$2:$A$33, 0), MATCH(Table1[[#This Row],[AwayTeam]],Records!$A$2:$A$33, 0))</f>
        <v>0-0-0</v>
      </c>
    </row>
    <row r="673" spans="1:43" x14ac:dyDescent="0.25">
      <c r="A673" s="1"/>
      <c r="D673" t="s">
        <v>945</v>
      </c>
      <c r="E673" t="s">
        <v>178</v>
      </c>
      <c r="F673" t="s">
        <v>952</v>
      </c>
      <c r="G673" t="s">
        <v>53</v>
      </c>
      <c r="H673" t="s">
        <v>36</v>
      </c>
      <c r="L67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7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73" s="1"/>
      <c r="T673" s="64" t="str">
        <f>IF(Table1[[#This Row],[ActualWinner]]="", "", IF(Table1[[#This Row],[AwayTeam]]=Table1[[#This Row],[ActualWinner]],Table1[[#This Row],[HomeTeam]],Table1[[#This Row],[AwayTeam]]))</f>
        <v/>
      </c>
      <c r="U673" s="64">
        <f>Table1[[#This Row],[ActualAwayScore]]-Table1[[#This Row],[PredictedAwayScore]]</f>
        <v>0</v>
      </c>
      <c r="V673" s="64">
        <f>Table1[[#This Row],[ActualHomeScore]]-Table1[[#This Row],[PredictedHomeScore]]</f>
        <v>0</v>
      </c>
      <c r="W673" s="64">
        <f>(0.8*IF(Table1[[#This Row],[CorrectWinnerPrediction]]=1, 1, 0))+(0.1*IF(Table1[[#This Row],[CorrectAwayScorePrediction]]=1, 1, 0))+(0.1*IF(Table1[[#This Row],[CorrectHomeScorePrediction]]=1, 1, 0))</f>
        <v>0</v>
      </c>
      <c r="X67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73" s="64">
        <f>SUMIF(Table1[GameDate], Table1[[#This Row],[GameDate]], Table1[AwayGameGoalDiff])</f>
        <v>0</v>
      </c>
      <c r="AA673" s="64">
        <f>SUMIF(Table1[GameDate], Table1[[#This Row],[GameDate]], Table1[HomeGameGoalDiff])</f>
        <v>0</v>
      </c>
      <c r="AB673" s="64">
        <f>IF(ISBLANK(Table1[[#This Row],[ActualResult]]), 0, 1)</f>
        <v>0</v>
      </c>
      <c r="AC673" s="64">
        <f>IF(ISBLANK(Table1[[#This Row],[ActualResult]]), 0, IF(Table1[[#This Row],[ActualWinner]]=Table1[[#This Row],[PredictedWinner]], 1, 0))</f>
        <v>0</v>
      </c>
      <c r="AD67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7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73" s="64">
        <f>IF(AND(Table1[[#This Row],[GameIsOver]]=1,Table1[[#This Row],[ActualAwayScore]]=0), 1,0)</f>
        <v>0</v>
      </c>
      <c r="AG673" s="64">
        <f>IF(AND(Table1[[#This Row],[GameIsOver]]=1,Table1[[#This Row],[ActualHomeScore]]=0), 1,0)</f>
        <v>0</v>
      </c>
      <c r="AH673" s="64">
        <f>IF(Table1[[#This Row],[GameIsOver]]=0,0,IF(Table1[[#This Row],[ActualWinner]]=Table1[[#This Row],[AwayTeam]], 1, 0))</f>
        <v>0</v>
      </c>
      <c r="AI673" s="64">
        <f>IF(Table1[[#This Row],[GameIsOver]]=0,0,IF(Table1[[#This Row],[ActualWinner]]=Table1[[#This Row],[HomeTeam]], 1, 0))</f>
        <v>0</v>
      </c>
      <c r="AJ673" s="64">
        <f>IF(INDEX(Standings!$A$2:$C$33,MATCH(Table1[[#This Row],[AwayTeam]],Standings!$A$2:$A$33,0),2)=INDEX(Standings!$A$2:$C$33,MATCH(Table1[[#This Row],[HomeTeam]],Standings!$A$2:$A$33,0),2),1,0)</f>
        <v>0</v>
      </c>
      <c r="AK673" s="64">
        <f>IF(INDEX(Standings!$A$2:$C$33,MATCH(Table1[[#This Row],[AwayTeam]],Standings!$A$2:$A$33,0),3)=INDEX(Standings!$A$2:$C$33,MATCH(Table1[[#This Row],[HomeTeam]],Standings!$A$2:$A$33,0),3),1,0)</f>
        <v>0</v>
      </c>
      <c r="AL673" s="64">
        <f>IF(Table1[[#This Row],[InterConf]]=1,IF(Table1[[#This Row],[InterDiv]]=0, 1, 0), 0)</f>
        <v>0</v>
      </c>
      <c r="AM673" s="64">
        <f>IF(INDEX(Standings!$A$2:$C$33,MATCH(Table1[[#This Row],[AwayTeam]],Standings!$A$2:$A$33,0),2)&lt;&gt;INDEX(Standings!$A$2:$C$33,MATCH(Table1[[#This Row],[HomeTeam]],Standings!$A$2:$A$33,0),2),1,0)</f>
        <v>1</v>
      </c>
      <c r="AN673" s="64" t="str">
        <f>INDEX(Table2[AWAY_RECORD], MATCH(Table1[[#This Row],[AwayTeam]],Table2[Team], 0), 0)</f>
        <v>0-1-0</v>
      </c>
      <c r="AO673" s="64" t="str">
        <f>INDEX(Records!$B$2:$AG$33, MATCH(Table1[[#This Row],[AwayTeam]],Records!$A$2:$A$33, 0), MATCH(Table1[[#This Row],[HomeTeam]],Records!$A$2:$A$33, 0))</f>
        <v>0-0-0</v>
      </c>
      <c r="AP673" s="64" t="str">
        <f>INDEX(Table2[HOME_RECORD], MATCH(Table1[[#This Row],[HomeTeam]],Table2[Team], 0), 0)</f>
        <v>0-0-0</v>
      </c>
      <c r="AQ673" s="64" t="str">
        <f>INDEX(Records!$B$2:$AG$33, MATCH(Table1[[#This Row],[HomeTeam]],Records!$A$2:$A$33, 0), MATCH(Table1[[#This Row],[AwayTeam]],Records!$A$2:$A$33, 0))</f>
        <v>0-0-0</v>
      </c>
    </row>
    <row r="674" spans="1:43" x14ac:dyDescent="0.25">
      <c r="A674" s="1"/>
      <c r="D674" t="s">
        <v>945</v>
      </c>
      <c r="E674" t="s">
        <v>178</v>
      </c>
      <c r="F674" t="s">
        <v>953</v>
      </c>
      <c r="G674" t="s">
        <v>23</v>
      </c>
      <c r="H674" t="s">
        <v>56</v>
      </c>
      <c r="L67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7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74" s="1"/>
      <c r="T674" s="64" t="str">
        <f>IF(Table1[[#This Row],[ActualWinner]]="", "", IF(Table1[[#This Row],[AwayTeam]]=Table1[[#This Row],[ActualWinner]],Table1[[#This Row],[HomeTeam]],Table1[[#This Row],[AwayTeam]]))</f>
        <v/>
      </c>
      <c r="U674" s="64">
        <f>Table1[[#This Row],[ActualAwayScore]]-Table1[[#This Row],[PredictedAwayScore]]</f>
        <v>0</v>
      </c>
      <c r="V674" s="64">
        <f>Table1[[#This Row],[ActualHomeScore]]-Table1[[#This Row],[PredictedHomeScore]]</f>
        <v>0</v>
      </c>
      <c r="W674" s="64">
        <f>(0.8*IF(Table1[[#This Row],[CorrectWinnerPrediction]]=1, 1, 0))+(0.1*IF(Table1[[#This Row],[CorrectAwayScorePrediction]]=1, 1, 0))+(0.1*IF(Table1[[#This Row],[CorrectHomeScorePrediction]]=1, 1, 0))</f>
        <v>0</v>
      </c>
      <c r="X67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74" s="64">
        <f>SUMIF(Table1[GameDate], Table1[[#This Row],[GameDate]], Table1[AwayGameGoalDiff])</f>
        <v>0</v>
      </c>
      <c r="AA674" s="64">
        <f>SUMIF(Table1[GameDate], Table1[[#This Row],[GameDate]], Table1[HomeGameGoalDiff])</f>
        <v>0</v>
      </c>
      <c r="AB674" s="64">
        <f>IF(ISBLANK(Table1[[#This Row],[ActualResult]]), 0, 1)</f>
        <v>0</v>
      </c>
      <c r="AC674" s="64">
        <f>IF(ISBLANK(Table1[[#This Row],[ActualResult]]), 0, IF(Table1[[#This Row],[ActualWinner]]=Table1[[#This Row],[PredictedWinner]], 1, 0))</f>
        <v>0</v>
      </c>
      <c r="AD67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7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74" s="64">
        <f>IF(AND(Table1[[#This Row],[GameIsOver]]=1,Table1[[#This Row],[ActualAwayScore]]=0), 1,0)</f>
        <v>0</v>
      </c>
      <c r="AG674" s="64">
        <f>IF(AND(Table1[[#This Row],[GameIsOver]]=1,Table1[[#This Row],[ActualHomeScore]]=0), 1,0)</f>
        <v>0</v>
      </c>
      <c r="AH674" s="64">
        <f>IF(Table1[[#This Row],[GameIsOver]]=0,0,IF(Table1[[#This Row],[ActualWinner]]=Table1[[#This Row],[AwayTeam]], 1, 0))</f>
        <v>0</v>
      </c>
      <c r="AI674" s="64">
        <f>IF(Table1[[#This Row],[GameIsOver]]=0,0,IF(Table1[[#This Row],[ActualWinner]]=Table1[[#This Row],[HomeTeam]], 1, 0))</f>
        <v>0</v>
      </c>
      <c r="AJ674" s="64">
        <f>IF(INDEX(Standings!$A$2:$C$33,MATCH(Table1[[#This Row],[AwayTeam]],Standings!$A$2:$A$33,0),2)=INDEX(Standings!$A$2:$C$33,MATCH(Table1[[#This Row],[HomeTeam]],Standings!$A$2:$A$33,0),2),1,0)</f>
        <v>1</v>
      </c>
      <c r="AK674" s="64">
        <f>IF(INDEX(Standings!$A$2:$C$33,MATCH(Table1[[#This Row],[AwayTeam]],Standings!$A$2:$A$33,0),3)=INDEX(Standings!$A$2:$C$33,MATCH(Table1[[#This Row],[HomeTeam]],Standings!$A$2:$A$33,0),3),1,0)</f>
        <v>1</v>
      </c>
      <c r="AL674" s="64">
        <f>IF(Table1[[#This Row],[InterConf]]=1,IF(Table1[[#This Row],[InterDiv]]=0, 1, 0), 0)</f>
        <v>0</v>
      </c>
      <c r="AM674" s="64">
        <f>IF(INDEX(Standings!$A$2:$C$33,MATCH(Table1[[#This Row],[AwayTeam]],Standings!$A$2:$A$33,0),2)&lt;&gt;INDEX(Standings!$A$2:$C$33,MATCH(Table1[[#This Row],[HomeTeam]],Standings!$A$2:$A$33,0),2),1,0)</f>
        <v>0</v>
      </c>
      <c r="AN674" s="64" t="str">
        <f>INDEX(Table2[AWAY_RECORD], MATCH(Table1[[#This Row],[AwayTeam]],Table2[Team], 0), 0)</f>
        <v>0-0-1</v>
      </c>
      <c r="AO674" s="64" t="str">
        <f>INDEX(Records!$B$2:$AG$33, MATCH(Table1[[#This Row],[AwayTeam]],Records!$A$2:$A$33, 0), MATCH(Table1[[#This Row],[HomeTeam]],Records!$A$2:$A$33, 0))</f>
        <v>0-0-0</v>
      </c>
      <c r="AP674" s="64" t="str">
        <f>INDEX(Table2[HOME_RECORD], MATCH(Table1[[#This Row],[HomeTeam]],Table2[Team], 0), 0)</f>
        <v>0-0-0</v>
      </c>
      <c r="AQ674" s="64" t="str">
        <f>INDEX(Records!$B$2:$AG$33, MATCH(Table1[[#This Row],[HomeTeam]],Records!$A$2:$A$33, 0), MATCH(Table1[[#This Row],[AwayTeam]],Records!$A$2:$A$33, 0))</f>
        <v>0-0-0</v>
      </c>
    </row>
    <row r="675" spans="1:43" x14ac:dyDescent="0.25">
      <c r="A675" s="1"/>
      <c r="D675" t="s">
        <v>954</v>
      </c>
      <c r="E675" t="s">
        <v>289</v>
      </c>
      <c r="F675" t="s">
        <v>955</v>
      </c>
      <c r="G675" t="s">
        <v>60</v>
      </c>
      <c r="H675" t="s">
        <v>38</v>
      </c>
      <c r="L67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7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75" s="1"/>
      <c r="T675" s="64" t="str">
        <f>IF(Table1[[#This Row],[ActualWinner]]="", "", IF(Table1[[#This Row],[AwayTeam]]=Table1[[#This Row],[ActualWinner]],Table1[[#This Row],[HomeTeam]],Table1[[#This Row],[AwayTeam]]))</f>
        <v/>
      </c>
      <c r="U675" s="64">
        <f>Table1[[#This Row],[ActualAwayScore]]-Table1[[#This Row],[PredictedAwayScore]]</f>
        <v>0</v>
      </c>
      <c r="V675" s="64">
        <f>Table1[[#This Row],[ActualHomeScore]]-Table1[[#This Row],[PredictedHomeScore]]</f>
        <v>0</v>
      </c>
      <c r="W675" s="64">
        <f>(0.8*IF(Table1[[#This Row],[CorrectWinnerPrediction]]=1, 1, 0))+(0.1*IF(Table1[[#This Row],[CorrectAwayScorePrediction]]=1, 1, 0))+(0.1*IF(Table1[[#This Row],[CorrectHomeScorePrediction]]=1, 1, 0))</f>
        <v>0</v>
      </c>
      <c r="X67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75" s="64">
        <f>SUMIF(Table1[GameDate], Table1[[#This Row],[GameDate]], Table1[AwayGameGoalDiff])</f>
        <v>0</v>
      </c>
      <c r="AA675" s="64">
        <f>SUMIF(Table1[GameDate], Table1[[#This Row],[GameDate]], Table1[HomeGameGoalDiff])</f>
        <v>0</v>
      </c>
      <c r="AB675" s="64">
        <f>IF(ISBLANK(Table1[[#This Row],[ActualResult]]), 0, 1)</f>
        <v>0</v>
      </c>
      <c r="AC675" s="64">
        <f>IF(ISBLANK(Table1[[#This Row],[ActualResult]]), 0, IF(Table1[[#This Row],[ActualWinner]]=Table1[[#This Row],[PredictedWinner]], 1, 0))</f>
        <v>0</v>
      </c>
      <c r="AD67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7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75" s="64">
        <f>IF(AND(Table1[[#This Row],[GameIsOver]]=1,Table1[[#This Row],[ActualAwayScore]]=0), 1,0)</f>
        <v>0</v>
      </c>
      <c r="AG675" s="64">
        <f>IF(AND(Table1[[#This Row],[GameIsOver]]=1,Table1[[#This Row],[ActualHomeScore]]=0), 1,0)</f>
        <v>0</v>
      </c>
      <c r="AH675" s="64">
        <f>IF(Table1[[#This Row],[GameIsOver]]=0,0,IF(Table1[[#This Row],[ActualWinner]]=Table1[[#This Row],[AwayTeam]], 1, 0))</f>
        <v>0</v>
      </c>
      <c r="AI675" s="64">
        <f>IF(Table1[[#This Row],[GameIsOver]]=0,0,IF(Table1[[#This Row],[ActualWinner]]=Table1[[#This Row],[HomeTeam]], 1, 0))</f>
        <v>0</v>
      </c>
      <c r="AJ675" s="64">
        <f>IF(INDEX(Standings!$A$2:$C$33,MATCH(Table1[[#This Row],[AwayTeam]],Standings!$A$2:$A$33,0),2)=INDEX(Standings!$A$2:$C$33,MATCH(Table1[[#This Row],[HomeTeam]],Standings!$A$2:$A$33,0),2),1,0)</f>
        <v>0</v>
      </c>
      <c r="AK675" s="64">
        <f>IF(INDEX(Standings!$A$2:$C$33,MATCH(Table1[[#This Row],[AwayTeam]],Standings!$A$2:$A$33,0),3)=INDEX(Standings!$A$2:$C$33,MATCH(Table1[[#This Row],[HomeTeam]],Standings!$A$2:$A$33,0),3),1,0)</f>
        <v>0</v>
      </c>
      <c r="AL675" s="64">
        <f>IF(Table1[[#This Row],[InterConf]]=1,IF(Table1[[#This Row],[InterDiv]]=0, 1, 0), 0)</f>
        <v>0</v>
      </c>
      <c r="AM675" s="64">
        <f>IF(INDEX(Standings!$A$2:$C$33,MATCH(Table1[[#This Row],[AwayTeam]],Standings!$A$2:$A$33,0),2)&lt;&gt;INDEX(Standings!$A$2:$C$33,MATCH(Table1[[#This Row],[HomeTeam]],Standings!$A$2:$A$33,0),2),1,0)</f>
        <v>1</v>
      </c>
      <c r="AN675" s="64" t="str">
        <f>INDEX(Table2[AWAY_RECORD], MATCH(Table1[[#This Row],[AwayTeam]],Table2[Team], 0), 0)</f>
        <v>0-0-0</v>
      </c>
      <c r="AO675" s="64" t="str">
        <f>INDEX(Records!$B$2:$AG$33, MATCH(Table1[[#This Row],[AwayTeam]],Records!$A$2:$A$33, 0), MATCH(Table1[[#This Row],[HomeTeam]],Records!$A$2:$A$33, 0))</f>
        <v>0-0-0</v>
      </c>
      <c r="AP675" s="64" t="str">
        <f>INDEX(Table2[HOME_RECORD], MATCH(Table1[[#This Row],[HomeTeam]],Table2[Team], 0), 0)</f>
        <v>0-0-0</v>
      </c>
      <c r="AQ675" s="64" t="str">
        <f>INDEX(Records!$B$2:$AG$33, MATCH(Table1[[#This Row],[HomeTeam]],Records!$A$2:$A$33, 0), MATCH(Table1[[#This Row],[AwayTeam]],Records!$A$2:$A$33, 0))</f>
        <v>0-0-0</v>
      </c>
    </row>
    <row r="676" spans="1:43" x14ac:dyDescent="0.25">
      <c r="A676" s="1"/>
      <c r="D676" t="s">
        <v>954</v>
      </c>
      <c r="E676" t="s">
        <v>289</v>
      </c>
      <c r="F676" t="s">
        <v>956</v>
      </c>
      <c r="G676" t="s">
        <v>16</v>
      </c>
      <c r="H676" t="s">
        <v>47</v>
      </c>
      <c r="L67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7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76" s="1"/>
      <c r="T676" s="64" t="str">
        <f>IF(Table1[[#This Row],[ActualWinner]]="", "", IF(Table1[[#This Row],[AwayTeam]]=Table1[[#This Row],[ActualWinner]],Table1[[#This Row],[HomeTeam]],Table1[[#This Row],[AwayTeam]]))</f>
        <v/>
      </c>
      <c r="U676" s="64">
        <f>Table1[[#This Row],[ActualAwayScore]]-Table1[[#This Row],[PredictedAwayScore]]</f>
        <v>0</v>
      </c>
      <c r="V676" s="64">
        <f>Table1[[#This Row],[ActualHomeScore]]-Table1[[#This Row],[PredictedHomeScore]]</f>
        <v>0</v>
      </c>
      <c r="W676" s="64">
        <f>(0.8*IF(Table1[[#This Row],[CorrectWinnerPrediction]]=1, 1, 0))+(0.1*IF(Table1[[#This Row],[CorrectAwayScorePrediction]]=1, 1, 0))+(0.1*IF(Table1[[#This Row],[CorrectHomeScorePrediction]]=1, 1, 0))</f>
        <v>0</v>
      </c>
      <c r="X67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76" s="64">
        <f>SUMIF(Table1[GameDate], Table1[[#This Row],[GameDate]], Table1[AwayGameGoalDiff])</f>
        <v>0</v>
      </c>
      <c r="AA676" s="64">
        <f>SUMIF(Table1[GameDate], Table1[[#This Row],[GameDate]], Table1[HomeGameGoalDiff])</f>
        <v>0</v>
      </c>
      <c r="AB676" s="64">
        <f>IF(ISBLANK(Table1[[#This Row],[ActualResult]]), 0, 1)</f>
        <v>0</v>
      </c>
      <c r="AC676" s="64">
        <f>IF(ISBLANK(Table1[[#This Row],[ActualResult]]), 0, IF(Table1[[#This Row],[ActualWinner]]=Table1[[#This Row],[PredictedWinner]], 1, 0))</f>
        <v>0</v>
      </c>
      <c r="AD67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7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76" s="64">
        <f>IF(AND(Table1[[#This Row],[GameIsOver]]=1,Table1[[#This Row],[ActualAwayScore]]=0), 1,0)</f>
        <v>0</v>
      </c>
      <c r="AG676" s="64">
        <f>IF(AND(Table1[[#This Row],[GameIsOver]]=1,Table1[[#This Row],[ActualHomeScore]]=0), 1,0)</f>
        <v>0</v>
      </c>
      <c r="AH676" s="64">
        <f>IF(Table1[[#This Row],[GameIsOver]]=0,0,IF(Table1[[#This Row],[ActualWinner]]=Table1[[#This Row],[AwayTeam]], 1, 0))</f>
        <v>0</v>
      </c>
      <c r="AI676" s="64">
        <f>IF(Table1[[#This Row],[GameIsOver]]=0,0,IF(Table1[[#This Row],[ActualWinner]]=Table1[[#This Row],[HomeTeam]], 1, 0))</f>
        <v>0</v>
      </c>
      <c r="AJ676" s="64">
        <f>IF(INDEX(Standings!$A$2:$C$33,MATCH(Table1[[#This Row],[AwayTeam]],Standings!$A$2:$A$33,0),2)=INDEX(Standings!$A$2:$C$33,MATCH(Table1[[#This Row],[HomeTeam]],Standings!$A$2:$A$33,0),2),1,0)</f>
        <v>0</v>
      </c>
      <c r="AK676" s="64">
        <f>IF(INDEX(Standings!$A$2:$C$33,MATCH(Table1[[#This Row],[AwayTeam]],Standings!$A$2:$A$33,0),3)=INDEX(Standings!$A$2:$C$33,MATCH(Table1[[#This Row],[HomeTeam]],Standings!$A$2:$A$33,0),3),1,0)</f>
        <v>0</v>
      </c>
      <c r="AL676" s="64">
        <f>IF(Table1[[#This Row],[InterConf]]=1,IF(Table1[[#This Row],[InterDiv]]=0, 1, 0), 0)</f>
        <v>0</v>
      </c>
      <c r="AM676" s="64">
        <f>IF(INDEX(Standings!$A$2:$C$33,MATCH(Table1[[#This Row],[AwayTeam]],Standings!$A$2:$A$33,0),2)&lt;&gt;INDEX(Standings!$A$2:$C$33,MATCH(Table1[[#This Row],[HomeTeam]],Standings!$A$2:$A$33,0),2),1,0)</f>
        <v>1</v>
      </c>
      <c r="AN676" s="64" t="str">
        <f>INDEX(Table2[AWAY_RECORD], MATCH(Table1[[#This Row],[AwayTeam]],Table2[Team], 0), 0)</f>
        <v>1-0-1</v>
      </c>
      <c r="AO676" s="64" t="str">
        <f>INDEX(Records!$B$2:$AG$33, MATCH(Table1[[#This Row],[AwayTeam]],Records!$A$2:$A$33, 0), MATCH(Table1[[#This Row],[HomeTeam]],Records!$A$2:$A$33, 0))</f>
        <v>0-0-0</v>
      </c>
      <c r="AP676" s="64" t="str">
        <f>INDEX(Table2[HOME_RECORD], MATCH(Table1[[#This Row],[HomeTeam]],Table2[Team], 0), 0)</f>
        <v>0-0-0</v>
      </c>
      <c r="AQ676" s="64" t="str">
        <f>INDEX(Records!$B$2:$AG$33, MATCH(Table1[[#This Row],[HomeTeam]],Records!$A$2:$A$33, 0), MATCH(Table1[[#This Row],[AwayTeam]],Records!$A$2:$A$33, 0))</f>
        <v>0-0-0</v>
      </c>
    </row>
    <row r="677" spans="1:43" x14ac:dyDescent="0.25">
      <c r="A677" s="1"/>
      <c r="D677" t="s">
        <v>954</v>
      </c>
      <c r="E677" t="s">
        <v>289</v>
      </c>
      <c r="F677" t="s">
        <v>957</v>
      </c>
      <c r="G677" t="s">
        <v>24</v>
      </c>
      <c r="H677" t="s">
        <v>59</v>
      </c>
      <c r="L67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7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77" s="1"/>
      <c r="T677" s="64" t="str">
        <f>IF(Table1[[#This Row],[ActualWinner]]="", "", IF(Table1[[#This Row],[AwayTeam]]=Table1[[#This Row],[ActualWinner]],Table1[[#This Row],[HomeTeam]],Table1[[#This Row],[AwayTeam]]))</f>
        <v/>
      </c>
      <c r="U677" s="64">
        <f>Table1[[#This Row],[ActualAwayScore]]-Table1[[#This Row],[PredictedAwayScore]]</f>
        <v>0</v>
      </c>
      <c r="V677" s="64">
        <f>Table1[[#This Row],[ActualHomeScore]]-Table1[[#This Row],[PredictedHomeScore]]</f>
        <v>0</v>
      </c>
      <c r="W677" s="64">
        <f>(0.8*IF(Table1[[#This Row],[CorrectWinnerPrediction]]=1, 1, 0))+(0.1*IF(Table1[[#This Row],[CorrectAwayScorePrediction]]=1, 1, 0))+(0.1*IF(Table1[[#This Row],[CorrectHomeScorePrediction]]=1, 1, 0))</f>
        <v>0</v>
      </c>
      <c r="X67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77" s="64">
        <f>SUMIF(Table1[GameDate], Table1[[#This Row],[GameDate]], Table1[AwayGameGoalDiff])</f>
        <v>0</v>
      </c>
      <c r="AA677" s="64">
        <f>SUMIF(Table1[GameDate], Table1[[#This Row],[GameDate]], Table1[HomeGameGoalDiff])</f>
        <v>0</v>
      </c>
      <c r="AB677" s="64">
        <f>IF(ISBLANK(Table1[[#This Row],[ActualResult]]), 0, 1)</f>
        <v>0</v>
      </c>
      <c r="AC677" s="64">
        <f>IF(ISBLANK(Table1[[#This Row],[ActualResult]]), 0, IF(Table1[[#This Row],[ActualWinner]]=Table1[[#This Row],[PredictedWinner]], 1, 0))</f>
        <v>0</v>
      </c>
      <c r="AD67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7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77" s="64">
        <f>IF(AND(Table1[[#This Row],[GameIsOver]]=1,Table1[[#This Row],[ActualAwayScore]]=0), 1,0)</f>
        <v>0</v>
      </c>
      <c r="AG677" s="64">
        <f>IF(AND(Table1[[#This Row],[GameIsOver]]=1,Table1[[#This Row],[ActualHomeScore]]=0), 1,0)</f>
        <v>0</v>
      </c>
      <c r="AH677" s="64">
        <f>IF(Table1[[#This Row],[GameIsOver]]=0,0,IF(Table1[[#This Row],[ActualWinner]]=Table1[[#This Row],[AwayTeam]], 1, 0))</f>
        <v>0</v>
      </c>
      <c r="AI677" s="64">
        <f>IF(Table1[[#This Row],[GameIsOver]]=0,0,IF(Table1[[#This Row],[ActualWinner]]=Table1[[#This Row],[HomeTeam]], 1, 0))</f>
        <v>0</v>
      </c>
      <c r="AJ677" s="64">
        <f>IF(INDEX(Standings!$A$2:$C$33,MATCH(Table1[[#This Row],[AwayTeam]],Standings!$A$2:$A$33,0),2)=INDEX(Standings!$A$2:$C$33,MATCH(Table1[[#This Row],[HomeTeam]],Standings!$A$2:$A$33,0),2),1,0)</f>
        <v>1</v>
      </c>
      <c r="AK677" s="64">
        <f>IF(INDEX(Standings!$A$2:$C$33,MATCH(Table1[[#This Row],[AwayTeam]],Standings!$A$2:$A$33,0),3)=INDEX(Standings!$A$2:$C$33,MATCH(Table1[[#This Row],[HomeTeam]],Standings!$A$2:$A$33,0),3),1,0)</f>
        <v>0</v>
      </c>
      <c r="AL677" s="64">
        <f>IF(Table1[[#This Row],[InterConf]]=1,IF(Table1[[#This Row],[InterDiv]]=0, 1, 0), 0)</f>
        <v>1</v>
      </c>
      <c r="AM677" s="64">
        <f>IF(INDEX(Standings!$A$2:$C$33,MATCH(Table1[[#This Row],[AwayTeam]],Standings!$A$2:$A$33,0),2)&lt;&gt;INDEX(Standings!$A$2:$C$33,MATCH(Table1[[#This Row],[HomeTeam]],Standings!$A$2:$A$33,0),2),1,0)</f>
        <v>0</v>
      </c>
      <c r="AN677" s="64" t="str">
        <f>INDEX(Table2[AWAY_RECORD], MATCH(Table1[[#This Row],[AwayTeam]],Table2[Team], 0), 0)</f>
        <v>0-0-0</v>
      </c>
      <c r="AO677" s="64" t="str">
        <f>INDEX(Records!$B$2:$AG$33, MATCH(Table1[[#This Row],[AwayTeam]],Records!$A$2:$A$33, 0), MATCH(Table1[[#This Row],[HomeTeam]],Records!$A$2:$A$33, 0))</f>
        <v>0-0-0</v>
      </c>
      <c r="AP677" s="64" t="str">
        <f>INDEX(Table2[HOME_RECORD], MATCH(Table1[[#This Row],[HomeTeam]],Table2[Team], 0), 0)</f>
        <v>0-0-0</v>
      </c>
      <c r="AQ677" s="64" t="str">
        <f>INDEX(Records!$B$2:$AG$33, MATCH(Table1[[#This Row],[HomeTeam]],Records!$A$2:$A$33, 0), MATCH(Table1[[#This Row],[AwayTeam]],Records!$A$2:$A$33, 0))</f>
        <v>0-0-0</v>
      </c>
    </row>
    <row r="678" spans="1:43" x14ac:dyDescent="0.25">
      <c r="A678" s="1"/>
      <c r="D678" t="s">
        <v>954</v>
      </c>
      <c r="E678" t="s">
        <v>178</v>
      </c>
      <c r="F678" t="s">
        <v>958</v>
      </c>
      <c r="G678" t="s">
        <v>44</v>
      </c>
      <c r="H678" t="s">
        <v>43</v>
      </c>
      <c r="L67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7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78" s="1"/>
      <c r="T678" s="64" t="str">
        <f>IF(Table1[[#This Row],[ActualWinner]]="", "", IF(Table1[[#This Row],[AwayTeam]]=Table1[[#This Row],[ActualWinner]],Table1[[#This Row],[HomeTeam]],Table1[[#This Row],[AwayTeam]]))</f>
        <v/>
      </c>
      <c r="U678" s="64">
        <f>Table1[[#This Row],[ActualAwayScore]]-Table1[[#This Row],[PredictedAwayScore]]</f>
        <v>0</v>
      </c>
      <c r="V678" s="64">
        <f>Table1[[#This Row],[ActualHomeScore]]-Table1[[#This Row],[PredictedHomeScore]]</f>
        <v>0</v>
      </c>
      <c r="W678" s="64">
        <f>(0.8*IF(Table1[[#This Row],[CorrectWinnerPrediction]]=1, 1, 0))+(0.1*IF(Table1[[#This Row],[CorrectAwayScorePrediction]]=1, 1, 0))+(0.1*IF(Table1[[#This Row],[CorrectHomeScorePrediction]]=1, 1, 0))</f>
        <v>0</v>
      </c>
      <c r="X67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78" s="64">
        <f>SUMIF(Table1[GameDate], Table1[[#This Row],[GameDate]], Table1[AwayGameGoalDiff])</f>
        <v>0</v>
      </c>
      <c r="AA678" s="64">
        <f>SUMIF(Table1[GameDate], Table1[[#This Row],[GameDate]], Table1[HomeGameGoalDiff])</f>
        <v>0</v>
      </c>
      <c r="AB678" s="64">
        <f>IF(ISBLANK(Table1[[#This Row],[ActualResult]]), 0, 1)</f>
        <v>0</v>
      </c>
      <c r="AC678" s="64">
        <f>IF(ISBLANK(Table1[[#This Row],[ActualResult]]), 0, IF(Table1[[#This Row],[ActualWinner]]=Table1[[#This Row],[PredictedWinner]], 1, 0))</f>
        <v>0</v>
      </c>
      <c r="AD67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7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78" s="64">
        <f>IF(AND(Table1[[#This Row],[GameIsOver]]=1,Table1[[#This Row],[ActualAwayScore]]=0), 1,0)</f>
        <v>0</v>
      </c>
      <c r="AG678" s="64">
        <f>IF(AND(Table1[[#This Row],[GameIsOver]]=1,Table1[[#This Row],[ActualHomeScore]]=0), 1,0)</f>
        <v>0</v>
      </c>
      <c r="AH678" s="64">
        <f>IF(Table1[[#This Row],[GameIsOver]]=0,0,IF(Table1[[#This Row],[ActualWinner]]=Table1[[#This Row],[AwayTeam]], 1, 0))</f>
        <v>0</v>
      </c>
      <c r="AI678" s="64">
        <f>IF(Table1[[#This Row],[GameIsOver]]=0,0,IF(Table1[[#This Row],[ActualWinner]]=Table1[[#This Row],[HomeTeam]], 1, 0))</f>
        <v>0</v>
      </c>
      <c r="AJ678" s="64">
        <f>IF(INDEX(Standings!$A$2:$C$33,MATCH(Table1[[#This Row],[AwayTeam]],Standings!$A$2:$A$33,0),2)=INDEX(Standings!$A$2:$C$33,MATCH(Table1[[#This Row],[HomeTeam]],Standings!$A$2:$A$33,0),2),1,0)</f>
        <v>0</v>
      </c>
      <c r="AK678" s="64">
        <f>IF(INDEX(Standings!$A$2:$C$33,MATCH(Table1[[#This Row],[AwayTeam]],Standings!$A$2:$A$33,0),3)=INDEX(Standings!$A$2:$C$33,MATCH(Table1[[#This Row],[HomeTeam]],Standings!$A$2:$A$33,0),3),1,0)</f>
        <v>0</v>
      </c>
      <c r="AL678" s="64">
        <f>IF(Table1[[#This Row],[InterConf]]=1,IF(Table1[[#This Row],[InterDiv]]=0, 1, 0), 0)</f>
        <v>0</v>
      </c>
      <c r="AM678" s="64">
        <f>IF(INDEX(Standings!$A$2:$C$33,MATCH(Table1[[#This Row],[AwayTeam]],Standings!$A$2:$A$33,0),2)&lt;&gt;INDEX(Standings!$A$2:$C$33,MATCH(Table1[[#This Row],[HomeTeam]],Standings!$A$2:$A$33,0),2),1,0)</f>
        <v>1</v>
      </c>
      <c r="AN678" s="64" t="str">
        <f>INDEX(Table2[AWAY_RECORD], MATCH(Table1[[#This Row],[AwayTeam]],Table2[Team], 0), 0)</f>
        <v>0-0-0</v>
      </c>
      <c r="AO678" s="64" t="str">
        <f>INDEX(Records!$B$2:$AG$33, MATCH(Table1[[#This Row],[AwayTeam]],Records!$A$2:$A$33, 0), MATCH(Table1[[#This Row],[HomeTeam]],Records!$A$2:$A$33, 0))</f>
        <v>0-0-0</v>
      </c>
      <c r="AP678" s="64" t="str">
        <f>INDEX(Table2[HOME_RECORD], MATCH(Table1[[#This Row],[HomeTeam]],Table2[Team], 0), 0)</f>
        <v>0-0-0</v>
      </c>
      <c r="AQ678" s="64" t="str">
        <f>INDEX(Records!$B$2:$AG$33, MATCH(Table1[[#This Row],[HomeTeam]],Records!$A$2:$A$33, 0), MATCH(Table1[[#This Row],[AwayTeam]],Records!$A$2:$A$33, 0))</f>
        <v>0-0-0</v>
      </c>
    </row>
    <row r="679" spans="1:43" x14ac:dyDescent="0.25">
      <c r="A679" s="1"/>
      <c r="D679" t="s">
        <v>954</v>
      </c>
      <c r="E679" t="s">
        <v>164</v>
      </c>
      <c r="F679" t="s">
        <v>959</v>
      </c>
      <c r="G679" t="s">
        <v>25</v>
      </c>
      <c r="H679" t="s">
        <v>41</v>
      </c>
      <c r="L67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7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79" s="1"/>
      <c r="T679" s="64" t="str">
        <f>IF(Table1[[#This Row],[ActualWinner]]="", "", IF(Table1[[#This Row],[AwayTeam]]=Table1[[#This Row],[ActualWinner]],Table1[[#This Row],[HomeTeam]],Table1[[#This Row],[AwayTeam]]))</f>
        <v/>
      </c>
      <c r="U679" s="64">
        <f>Table1[[#This Row],[ActualAwayScore]]-Table1[[#This Row],[PredictedAwayScore]]</f>
        <v>0</v>
      </c>
      <c r="V679" s="64">
        <f>Table1[[#This Row],[ActualHomeScore]]-Table1[[#This Row],[PredictedHomeScore]]</f>
        <v>0</v>
      </c>
      <c r="W679" s="64">
        <f>(0.8*IF(Table1[[#This Row],[CorrectWinnerPrediction]]=1, 1, 0))+(0.1*IF(Table1[[#This Row],[CorrectAwayScorePrediction]]=1, 1, 0))+(0.1*IF(Table1[[#This Row],[CorrectHomeScorePrediction]]=1, 1, 0))</f>
        <v>0</v>
      </c>
      <c r="X67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79" s="64">
        <f>SUMIF(Table1[GameDate], Table1[[#This Row],[GameDate]], Table1[AwayGameGoalDiff])</f>
        <v>0</v>
      </c>
      <c r="AA679" s="64">
        <f>SUMIF(Table1[GameDate], Table1[[#This Row],[GameDate]], Table1[HomeGameGoalDiff])</f>
        <v>0</v>
      </c>
      <c r="AB679" s="64">
        <f>IF(ISBLANK(Table1[[#This Row],[ActualResult]]), 0, 1)</f>
        <v>0</v>
      </c>
      <c r="AC679" s="64">
        <f>IF(ISBLANK(Table1[[#This Row],[ActualResult]]), 0, IF(Table1[[#This Row],[ActualWinner]]=Table1[[#This Row],[PredictedWinner]], 1, 0))</f>
        <v>0</v>
      </c>
      <c r="AD67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7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79" s="64">
        <f>IF(AND(Table1[[#This Row],[GameIsOver]]=1,Table1[[#This Row],[ActualAwayScore]]=0), 1,0)</f>
        <v>0</v>
      </c>
      <c r="AG679" s="64">
        <f>IF(AND(Table1[[#This Row],[GameIsOver]]=1,Table1[[#This Row],[ActualHomeScore]]=0), 1,0)</f>
        <v>0</v>
      </c>
      <c r="AH679" s="64">
        <f>IF(Table1[[#This Row],[GameIsOver]]=0,0,IF(Table1[[#This Row],[ActualWinner]]=Table1[[#This Row],[AwayTeam]], 1, 0))</f>
        <v>0</v>
      </c>
      <c r="AI679" s="64">
        <f>IF(Table1[[#This Row],[GameIsOver]]=0,0,IF(Table1[[#This Row],[ActualWinner]]=Table1[[#This Row],[HomeTeam]], 1, 0))</f>
        <v>0</v>
      </c>
      <c r="AJ679" s="64">
        <f>IF(INDEX(Standings!$A$2:$C$33,MATCH(Table1[[#This Row],[AwayTeam]],Standings!$A$2:$A$33,0),2)=INDEX(Standings!$A$2:$C$33,MATCH(Table1[[#This Row],[HomeTeam]],Standings!$A$2:$A$33,0),2),1,0)</f>
        <v>1</v>
      </c>
      <c r="AK679" s="64">
        <f>IF(INDEX(Standings!$A$2:$C$33,MATCH(Table1[[#This Row],[AwayTeam]],Standings!$A$2:$A$33,0),3)=INDEX(Standings!$A$2:$C$33,MATCH(Table1[[#This Row],[HomeTeam]],Standings!$A$2:$A$33,0),3),1,0)</f>
        <v>0</v>
      </c>
      <c r="AL679" s="64">
        <f>IF(Table1[[#This Row],[InterConf]]=1,IF(Table1[[#This Row],[InterDiv]]=0, 1, 0), 0)</f>
        <v>1</v>
      </c>
      <c r="AM679" s="64">
        <f>IF(INDEX(Standings!$A$2:$C$33,MATCH(Table1[[#This Row],[AwayTeam]],Standings!$A$2:$A$33,0),2)&lt;&gt;INDEX(Standings!$A$2:$C$33,MATCH(Table1[[#This Row],[HomeTeam]],Standings!$A$2:$A$33,0),2),1,0)</f>
        <v>0</v>
      </c>
      <c r="AN679" s="64" t="str">
        <f>INDEX(Table2[AWAY_RECORD], MATCH(Table1[[#This Row],[AwayTeam]],Table2[Team], 0), 0)</f>
        <v>0-0-0</v>
      </c>
      <c r="AO679" s="64" t="str">
        <f>INDEX(Records!$B$2:$AG$33, MATCH(Table1[[#This Row],[AwayTeam]],Records!$A$2:$A$33, 0), MATCH(Table1[[#This Row],[HomeTeam]],Records!$A$2:$A$33, 0))</f>
        <v>0-0-0</v>
      </c>
      <c r="AP679" s="64" t="str">
        <f>INDEX(Table2[HOME_RECORD], MATCH(Table1[[#This Row],[HomeTeam]],Table2[Team], 0), 0)</f>
        <v>0-0-1</v>
      </c>
      <c r="AQ679" s="64" t="str">
        <f>INDEX(Records!$B$2:$AG$33, MATCH(Table1[[#This Row],[HomeTeam]],Records!$A$2:$A$33, 0), MATCH(Table1[[#This Row],[AwayTeam]],Records!$A$2:$A$33, 0))</f>
        <v>0-0-0</v>
      </c>
    </row>
    <row r="680" spans="1:43" x14ac:dyDescent="0.25">
      <c r="A680" s="1"/>
      <c r="D680" t="s">
        <v>960</v>
      </c>
      <c r="E680" t="s">
        <v>298</v>
      </c>
      <c r="F680" t="s">
        <v>961</v>
      </c>
      <c r="G680" t="s">
        <v>53</v>
      </c>
      <c r="H680" t="s">
        <v>46</v>
      </c>
      <c r="L68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8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80" s="1"/>
      <c r="T680" s="64" t="str">
        <f>IF(Table1[[#This Row],[ActualWinner]]="", "", IF(Table1[[#This Row],[AwayTeam]]=Table1[[#This Row],[ActualWinner]],Table1[[#This Row],[HomeTeam]],Table1[[#This Row],[AwayTeam]]))</f>
        <v/>
      </c>
      <c r="U680" s="64">
        <f>Table1[[#This Row],[ActualAwayScore]]-Table1[[#This Row],[PredictedAwayScore]]</f>
        <v>0</v>
      </c>
      <c r="V680" s="64">
        <f>Table1[[#This Row],[ActualHomeScore]]-Table1[[#This Row],[PredictedHomeScore]]</f>
        <v>0</v>
      </c>
      <c r="W680" s="64">
        <f>(0.8*IF(Table1[[#This Row],[CorrectWinnerPrediction]]=1, 1, 0))+(0.1*IF(Table1[[#This Row],[CorrectAwayScorePrediction]]=1, 1, 0))+(0.1*IF(Table1[[#This Row],[CorrectHomeScorePrediction]]=1, 1, 0))</f>
        <v>0</v>
      </c>
      <c r="X68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80" s="64">
        <f>SUMIF(Table1[GameDate], Table1[[#This Row],[GameDate]], Table1[AwayGameGoalDiff])</f>
        <v>0</v>
      </c>
      <c r="AA680" s="64">
        <f>SUMIF(Table1[GameDate], Table1[[#This Row],[GameDate]], Table1[HomeGameGoalDiff])</f>
        <v>0</v>
      </c>
      <c r="AB680" s="64">
        <f>IF(ISBLANK(Table1[[#This Row],[ActualResult]]), 0, 1)</f>
        <v>0</v>
      </c>
      <c r="AC680" s="64">
        <f>IF(ISBLANK(Table1[[#This Row],[ActualResult]]), 0, IF(Table1[[#This Row],[ActualWinner]]=Table1[[#This Row],[PredictedWinner]], 1, 0))</f>
        <v>0</v>
      </c>
      <c r="AD68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8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80" s="64">
        <f>IF(AND(Table1[[#This Row],[GameIsOver]]=1,Table1[[#This Row],[ActualAwayScore]]=0), 1,0)</f>
        <v>0</v>
      </c>
      <c r="AG680" s="64">
        <f>IF(AND(Table1[[#This Row],[GameIsOver]]=1,Table1[[#This Row],[ActualHomeScore]]=0), 1,0)</f>
        <v>0</v>
      </c>
      <c r="AH680" s="64">
        <f>IF(Table1[[#This Row],[GameIsOver]]=0,0,IF(Table1[[#This Row],[ActualWinner]]=Table1[[#This Row],[AwayTeam]], 1, 0))</f>
        <v>0</v>
      </c>
      <c r="AI680" s="64">
        <f>IF(Table1[[#This Row],[GameIsOver]]=0,0,IF(Table1[[#This Row],[ActualWinner]]=Table1[[#This Row],[HomeTeam]], 1, 0))</f>
        <v>0</v>
      </c>
      <c r="AJ680" s="64">
        <f>IF(INDEX(Standings!$A$2:$C$33,MATCH(Table1[[#This Row],[AwayTeam]],Standings!$A$2:$A$33,0),2)=INDEX(Standings!$A$2:$C$33,MATCH(Table1[[#This Row],[HomeTeam]],Standings!$A$2:$A$33,0),2),1,0)</f>
        <v>0</v>
      </c>
      <c r="AK680" s="64">
        <f>IF(INDEX(Standings!$A$2:$C$33,MATCH(Table1[[#This Row],[AwayTeam]],Standings!$A$2:$A$33,0),3)=INDEX(Standings!$A$2:$C$33,MATCH(Table1[[#This Row],[HomeTeam]],Standings!$A$2:$A$33,0),3),1,0)</f>
        <v>0</v>
      </c>
      <c r="AL680" s="64">
        <f>IF(Table1[[#This Row],[InterConf]]=1,IF(Table1[[#This Row],[InterDiv]]=0, 1, 0), 0)</f>
        <v>0</v>
      </c>
      <c r="AM680" s="64">
        <f>IF(INDEX(Standings!$A$2:$C$33,MATCH(Table1[[#This Row],[AwayTeam]],Standings!$A$2:$A$33,0),2)&lt;&gt;INDEX(Standings!$A$2:$C$33,MATCH(Table1[[#This Row],[HomeTeam]],Standings!$A$2:$A$33,0),2),1,0)</f>
        <v>1</v>
      </c>
      <c r="AN680" s="64" t="str">
        <f>INDEX(Table2[AWAY_RECORD], MATCH(Table1[[#This Row],[AwayTeam]],Table2[Team], 0), 0)</f>
        <v>0-1-0</v>
      </c>
      <c r="AO680" s="64" t="str">
        <f>INDEX(Records!$B$2:$AG$33, MATCH(Table1[[#This Row],[AwayTeam]],Records!$A$2:$A$33, 0), MATCH(Table1[[#This Row],[HomeTeam]],Records!$A$2:$A$33, 0))</f>
        <v>0-0-0</v>
      </c>
      <c r="AP680" s="64" t="str">
        <f>INDEX(Table2[HOME_RECORD], MATCH(Table1[[#This Row],[HomeTeam]],Table2[Team], 0), 0)</f>
        <v>0-0-0</v>
      </c>
      <c r="AQ680" s="64" t="str">
        <f>INDEX(Records!$B$2:$AG$33, MATCH(Table1[[#This Row],[HomeTeam]],Records!$A$2:$A$33, 0), MATCH(Table1[[#This Row],[AwayTeam]],Records!$A$2:$A$33, 0))</f>
        <v>0-0-0</v>
      </c>
    </row>
    <row r="681" spans="1:43" x14ac:dyDescent="0.25">
      <c r="A681" s="1"/>
      <c r="D681" t="s">
        <v>960</v>
      </c>
      <c r="E681" t="s">
        <v>298</v>
      </c>
      <c r="F681" t="s">
        <v>962</v>
      </c>
      <c r="G681" t="s">
        <v>49</v>
      </c>
      <c r="H681" t="s">
        <v>55</v>
      </c>
      <c r="L68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8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81" s="1"/>
      <c r="T681" s="64" t="str">
        <f>IF(Table1[[#This Row],[ActualWinner]]="", "", IF(Table1[[#This Row],[AwayTeam]]=Table1[[#This Row],[ActualWinner]],Table1[[#This Row],[HomeTeam]],Table1[[#This Row],[AwayTeam]]))</f>
        <v/>
      </c>
      <c r="U681" s="64">
        <f>Table1[[#This Row],[ActualAwayScore]]-Table1[[#This Row],[PredictedAwayScore]]</f>
        <v>0</v>
      </c>
      <c r="V681" s="64">
        <f>Table1[[#This Row],[ActualHomeScore]]-Table1[[#This Row],[PredictedHomeScore]]</f>
        <v>0</v>
      </c>
      <c r="W681" s="64">
        <f>(0.8*IF(Table1[[#This Row],[CorrectWinnerPrediction]]=1, 1, 0))+(0.1*IF(Table1[[#This Row],[CorrectAwayScorePrediction]]=1, 1, 0))+(0.1*IF(Table1[[#This Row],[CorrectHomeScorePrediction]]=1, 1, 0))</f>
        <v>0</v>
      </c>
      <c r="X68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81" s="64">
        <f>SUMIF(Table1[GameDate], Table1[[#This Row],[GameDate]], Table1[AwayGameGoalDiff])</f>
        <v>0</v>
      </c>
      <c r="AA681" s="64">
        <f>SUMIF(Table1[GameDate], Table1[[#This Row],[GameDate]], Table1[HomeGameGoalDiff])</f>
        <v>0</v>
      </c>
      <c r="AB681" s="64">
        <f>IF(ISBLANK(Table1[[#This Row],[ActualResult]]), 0, 1)</f>
        <v>0</v>
      </c>
      <c r="AC681" s="64">
        <f>IF(ISBLANK(Table1[[#This Row],[ActualResult]]), 0, IF(Table1[[#This Row],[ActualWinner]]=Table1[[#This Row],[PredictedWinner]], 1, 0))</f>
        <v>0</v>
      </c>
      <c r="AD68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8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81" s="64">
        <f>IF(AND(Table1[[#This Row],[GameIsOver]]=1,Table1[[#This Row],[ActualAwayScore]]=0), 1,0)</f>
        <v>0</v>
      </c>
      <c r="AG681" s="64">
        <f>IF(AND(Table1[[#This Row],[GameIsOver]]=1,Table1[[#This Row],[ActualHomeScore]]=0), 1,0)</f>
        <v>0</v>
      </c>
      <c r="AH681" s="64">
        <f>IF(Table1[[#This Row],[GameIsOver]]=0,0,IF(Table1[[#This Row],[ActualWinner]]=Table1[[#This Row],[AwayTeam]], 1, 0))</f>
        <v>0</v>
      </c>
      <c r="AI681" s="64">
        <f>IF(Table1[[#This Row],[GameIsOver]]=0,0,IF(Table1[[#This Row],[ActualWinner]]=Table1[[#This Row],[HomeTeam]], 1, 0))</f>
        <v>0</v>
      </c>
      <c r="AJ681" s="64">
        <f>IF(INDEX(Standings!$A$2:$C$33,MATCH(Table1[[#This Row],[AwayTeam]],Standings!$A$2:$A$33,0),2)=INDEX(Standings!$A$2:$C$33,MATCH(Table1[[#This Row],[HomeTeam]],Standings!$A$2:$A$33,0),2),1,0)</f>
        <v>0</v>
      </c>
      <c r="AK681" s="64">
        <f>IF(INDEX(Standings!$A$2:$C$33,MATCH(Table1[[#This Row],[AwayTeam]],Standings!$A$2:$A$33,0),3)=INDEX(Standings!$A$2:$C$33,MATCH(Table1[[#This Row],[HomeTeam]],Standings!$A$2:$A$33,0),3),1,0)</f>
        <v>0</v>
      </c>
      <c r="AL681" s="64">
        <f>IF(Table1[[#This Row],[InterConf]]=1,IF(Table1[[#This Row],[InterDiv]]=0, 1, 0), 0)</f>
        <v>0</v>
      </c>
      <c r="AM681" s="64">
        <f>IF(INDEX(Standings!$A$2:$C$33,MATCH(Table1[[#This Row],[AwayTeam]],Standings!$A$2:$A$33,0),2)&lt;&gt;INDEX(Standings!$A$2:$C$33,MATCH(Table1[[#This Row],[HomeTeam]],Standings!$A$2:$A$33,0),2),1,0)</f>
        <v>1</v>
      </c>
      <c r="AN681" s="64" t="str">
        <f>INDEX(Table2[AWAY_RECORD], MATCH(Table1[[#This Row],[AwayTeam]],Table2[Team], 0), 0)</f>
        <v>0-0-0</v>
      </c>
      <c r="AO681" s="64" t="str">
        <f>INDEX(Records!$B$2:$AG$33, MATCH(Table1[[#This Row],[AwayTeam]],Records!$A$2:$A$33, 0), MATCH(Table1[[#This Row],[HomeTeam]],Records!$A$2:$A$33, 0))</f>
        <v>0-0-0</v>
      </c>
      <c r="AP681" s="64" t="str">
        <f>INDEX(Table2[HOME_RECORD], MATCH(Table1[[#This Row],[HomeTeam]],Table2[Team], 0), 0)</f>
        <v>0-1-0</v>
      </c>
      <c r="AQ681" s="64" t="str">
        <f>INDEX(Records!$B$2:$AG$33, MATCH(Table1[[#This Row],[HomeTeam]],Records!$A$2:$A$33, 0), MATCH(Table1[[#This Row],[AwayTeam]],Records!$A$2:$A$33, 0))</f>
        <v>0-0-0</v>
      </c>
    </row>
    <row r="682" spans="1:43" x14ac:dyDescent="0.25">
      <c r="A682" s="1"/>
      <c r="D682" t="s">
        <v>960</v>
      </c>
      <c r="E682" t="s">
        <v>162</v>
      </c>
      <c r="F682" t="s">
        <v>963</v>
      </c>
      <c r="G682" t="s">
        <v>61</v>
      </c>
      <c r="H682" t="s">
        <v>40</v>
      </c>
      <c r="L68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8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82" s="1"/>
      <c r="T682" s="64" t="str">
        <f>IF(Table1[[#This Row],[ActualWinner]]="", "", IF(Table1[[#This Row],[AwayTeam]]=Table1[[#This Row],[ActualWinner]],Table1[[#This Row],[HomeTeam]],Table1[[#This Row],[AwayTeam]]))</f>
        <v/>
      </c>
      <c r="U682" s="64">
        <f>Table1[[#This Row],[ActualAwayScore]]-Table1[[#This Row],[PredictedAwayScore]]</f>
        <v>0</v>
      </c>
      <c r="V682" s="64">
        <f>Table1[[#This Row],[ActualHomeScore]]-Table1[[#This Row],[PredictedHomeScore]]</f>
        <v>0</v>
      </c>
      <c r="W682" s="64">
        <f>(0.8*IF(Table1[[#This Row],[CorrectWinnerPrediction]]=1, 1, 0))+(0.1*IF(Table1[[#This Row],[CorrectAwayScorePrediction]]=1, 1, 0))+(0.1*IF(Table1[[#This Row],[CorrectHomeScorePrediction]]=1, 1, 0))</f>
        <v>0</v>
      </c>
      <c r="X68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82" s="64">
        <f>SUMIF(Table1[GameDate], Table1[[#This Row],[GameDate]], Table1[AwayGameGoalDiff])</f>
        <v>0</v>
      </c>
      <c r="AA682" s="64">
        <f>SUMIF(Table1[GameDate], Table1[[#This Row],[GameDate]], Table1[HomeGameGoalDiff])</f>
        <v>0</v>
      </c>
      <c r="AB682" s="64">
        <f>IF(ISBLANK(Table1[[#This Row],[ActualResult]]), 0, 1)</f>
        <v>0</v>
      </c>
      <c r="AC682" s="64">
        <f>IF(ISBLANK(Table1[[#This Row],[ActualResult]]), 0, IF(Table1[[#This Row],[ActualWinner]]=Table1[[#This Row],[PredictedWinner]], 1, 0))</f>
        <v>0</v>
      </c>
      <c r="AD68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8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82" s="64">
        <f>IF(AND(Table1[[#This Row],[GameIsOver]]=1,Table1[[#This Row],[ActualAwayScore]]=0), 1,0)</f>
        <v>0</v>
      </c>
      <c r="AG682" s="64">
        <f>IF(AND(Table1[[#This Row],[GameIsOver]]=1,Table1[[#This Row],[ActualHomeScore]]=0), 1,0)</f>
        <v>0</v>
      </c>
      <c r="AH682" s="64">
        <f>IF(Table1[[#This Row],[GameIsOver]]=0,0,IF(Table1[[#This Row],[ActualWinner]]=Table1[[#This Row],[AwayTeam]], 1, 0))</f>
        <v>0</v>
      </c>
      <c r="AI682" s="64">
        <f>IF(Table1[[#This Row],[GameIsOver]]=0,0,IF(Table1[[#This Row],[ActualWinner]]=Table1[[#This Row],[HomeTeam]], 1, 0))</f>
        <v>0</v>
      </c>
      <c r="AJ682" s="64">
        <f>IF(INDEX(Standings!$A$2:$C$33,MATCH(Table1[[#This Row],[AwayTeam]],Standings!$A$2:$A$33,0),2)=INDEX(Standings!$A$2:$C$33,MATCH(Table1[[#This Row],[HomeTeam]],Standings!$A$2:$A$33,0),2),1,0)</f>
        <v>0</v>
      </c>
      <c r="AK682" s="64">
        <f>IF(INDEX(Standings!$A$2:$C$33,MATCH(Table1[[#This Row],[AwayTeam]],Standings!$A$2:$A$33,0),3)=INDEX(Standings!$A$2:$C$33,MATCH(Table1[[#This Row],[HomeTeam]],Standings!$A$2:$A$33,0),3),1,0)</f>
        <v>0</v>
      </c>
      <c r="AL682" s="64">
        <f>IF(Table1[[#This Row],[InterConf]]=1,IF(Table1[[#This Row],[InterDiv]]=0, 1, 0), 0)</f>
        <v>0</v>
      </c>
      <c r="AM682" s="64">
        <f>IF(INDEX(Standings!$A$2:$C$33,MATCH(Table1[[#This Row],[AwayTeam]],Standings!$A$2:$A$33,0),2)&lt;&gt;INDEX(Standings!$A$2:$C$33,MATCH(Table1[[#This Row],[HomeTeam]],Standings!$A$2:$A$33,0),2),1,0)</f>
        <v>1</v>
      </c>
      <c r="AN682" s="64" t="str">
        <f>INDEX(Table2[AWAY_RECORD], MATCH(Table1[[#This Row],[AwayTeam]],Table2[Team], 0), 0)</f>
        <v>0-0-0</v>
      </c>
      <c r="AO682" s="64" t="str">
        <f>INDEX(Records!$B$2:$AG$33, MATCH(Table1[[#This Row],[AwayTeam]],Records!$A$2:$A$33, 0), MATCH(Table1[[#This Row],[HomeTeam]],Records!$A$2:$A$33, 0))</f>
        <v>0-0-0</v>
      </c>
      <c r="AP682" s="64" t="str">
        <f>INDEX(Table2[HOME_RECORD], MATCH(Table1[[#This Row],[HomeTeam]],Table2[Team], 0), 0)</f>
        <v>1-1-0</v>
      </c>
      <c r="AQ682" s="64" t="str">
        <f>INDEX(Records!$B$2:$AG$33, MATCH(Table1[[#This Row],[HomeTeam]],Records!$A$2:$A$33, 0), MATCH(Table1[[#This Row],[AwayTeam]],Records!$A$2:$A$33, 0))</f>
        <v>0-0-0</v>
      </c>
    </row>
    <row r="683" spans="1:43" x14ac:dyDescent="0.25">
      <c r="A683" s="1"/>
      <c r="D683" t="s">
        <v>960</v>
      </c>
      <c r="E683" t="s">
        <v>162</v>
      </c>
      <c r="F683" t="s">
        <v>964</v>
      </c>
      <c r="G683" t="s">
        <v>51</v>
      </c>
      <c r="H683" t="s">
        <v>42</v>
      </c>
      <c r="L68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8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83" s="1"/>
      <c r="T683" s="64" t="str">
        <f>IF(Table1[[#This Row],[ActualWinner]]="", "", IF(Table1[[#This Row],[AwayTeam]]=Table1[[#This Row],[ActualWinner]],Table1[[#This Row],[HomeTeam]],Table1[[#This Row],[AwayTeam]]))</f>
        <v/>
      </c>
      <c r="U683" s="64">
        <f>Table1[[#This Row],[ActualAwayScore]]-Table1[[#This Row],[PredictedAwayScore]]</f>
        <v>0</v>
      </c>
      <c r="V683" s="64">
        <f>Table1[[#This Row],[ActualHomeScore]]-Table1[[#This Row],[PredictedHomeScore]]</f>
        <v>0</v>
      </c>
      <c r="W683" s="64">
        <f>(0.8*IF(Table1[[#This Row],[CorrectWinnerPrediction]]=1, 1, 0))+(0.1*IF(Table1[[#This Row],[CorrectAwayScorePrediction]]=1, 1, 0))+(0.1*IF(Table1[[#This Row],[CorrectHomeScorePrediction]]=1, 1, 0))</f>
        <v>0</v>
      </c>
      <c r="X68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83" s="64">
        <f>SUMIF(Table1[GameDate], Table1[[#This Row],[GameDate]], Table1[AwayGameGoalDiff])</f>
        <v>0</v>
      </c>
      <c r="AA683" s="64">
        <f>SUMIF(Table1[GameDate], Table1[[#This Row],[GameDate]], Table1[HomeGameGoalDiff])</f>
        <v>0</v>
      </c>
      <c r="AB683" s="64">
        <f>IF(ISBLANK(Table1[[#This Row],[ActualResult]]), 0, 1)</f>
        <v>0</v>
      </c>
      <c r="AC683" s="64">
        <f>IF(ISBLANK(Table1[[#This Row],[ActualResult]]), 0, IF(Table1[[#This Row],[ActualWinner]]=Table1[[#This Row],[PredictedWinner]], 1, 0))</f>
        <v>0</v>
      </c>
      <c r="AD68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8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83" s="64">
        <f>IF(AND(Table1[[#This Row],[GameIsOver]]=1,Table1[[#This Row],[ActualAwayScore]]=0), 1,0)</f>
        <v>0</v>
      </c>
      <c r="AG683" s="64">
        <f>IF(AND(Table1[[#This Row],[GameIsOver]]=1,Table1[[#This Row],[ActualHomeScore]]=0), 1,0)</f>
        <v>0</v>
      </c>
      <c r="AH683" s="64">
        <f>IF(Table1[[#This Row],[GameIsOver]]=0,0,IF(Table1[[#This Row],[ActualWinner]]=Table1[[#This Row],[AwayTeam]], 1, 0))</f>
        <v>0</v>
      </c>
      <c r="AI683" s="64">
        <f>IF(Table1[[#This Row],[GameIsOver]]=0,0,IF(Table1[[#This Row],[ActualWinner]]=Table1[[#This Row],[HomeTeam]], 1, 0))</f>
        <v>0</v>
      </c>
      <c r="AJ683" s="64">
        <f>IF(INDEX(Standings!$A$2:$C$33,MATCH(Table1[[#This Row],[AwayTeam]],Standings!$A$2:$A$33,0),2)=INDEX(Standings!$A$2:$C$33,MATCH(Table1[[#This Row],[HomeTeam]],Standings!$A$2:$A$33,0),2),1,0)</f>
        <v>1</v>
      </c>
      <c r="AK683" s="64">
        <f>IF(INDEX(Standings!$A$2:$C$33,MATCH(Table1[[#This Row],[AwayTeam]],Standings!$A$2:$A$33,0),3)=INDEX(Standings!$A$2:$C$33,MATCH(Table1[[#This Row],[HomeTeam]],Standings!$A$2:$A$33,0),3),1,0)</f>
        <v>1</v>
      </c>
      <c r="AL683" s="64">
        <f>IF(Table1[[#This Row],[InterConf]]=1,IF(Table1[[#This Row],[InterDiv]]=0, 1, 0), 0)</f>
        <v>0</v>
      </c>
      <c r="AM683" s="64">
        <f>IF(INDEX(Standings!$A$2:$C$33,MATCH(Table1[[#This Row],[AwayTeam]],Standings!$A$2:$A$33,0),2)&lt;&gt;INDEX(Standings!$A$2:$C$33,MATCH(Table1[[#This Row],[HomeTeam]],Standings!$A$2:$A$33,0),2),1,0)</f>
        <v>0</v>
      </c>
      <c r="AN683" s="64" t="str">
        <f>INDEX(Table2[AWAY_RECORD], MATCH(Table1[[#This Row],[AwayTeam]],Table2[Team], 0), 0)</f>
        <v>2-0-0</v>
      </c>
      <c r="AO683" s="64" t="str">
        <f>INDEX(Records!$B$2:$AG$33, MATCH(Table1[[#This Row],[AwayTeam]],Records!$A$2:$A$33, 0), MATCH(Table1[[#This Row],[HomeTeam]],Records!$A$2:$A$33, 0))</f>
        <v>0-0-0</v>
      </c>
      <c r="AP683" s="64" t="str">
        <f>INDEX(Table2[HOME_RECORD], MATCH(Table1[[#This Row],[HomeTeam]],Table2[Team], 0), 0)</f>
        <v>1-0-0</v>
      </c>
      <c r="AQ683" s="64" t="str">
        <f>INDEX(Records!$B$2:$AG$33, MATCH(Table1[[#This Row],[HomeTeam]],Records!$A$2:$A$33, 0), MATCH(Table1[[#This Row],[AwayTeam]],Records!$A$2:$A$33, 0))</f>
        <v>0-0-0</v>
      </c>
    </row>
    <row r="684" spans="1:43" x14ac:dyDescent="0.25">
      <c r="A684" s="1"/>
      <c r="D684" t="s">
        <v>960</v>
      </c>
      <c r="E684" t="s">
        <v>289</v>
      </c>
      <c r="F684" t="s">
        <v>965</v>
      </c>
      <c r="G684" t="s">
        <v>38</v>
      </c>
      <c r="H684" t="s">
        <v>37</v>
      </c>
      <c r="L68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8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84" s="1"/>
      <c r="T684" s="64" t="str">
        <f>IF(Table1[[#This Row],[ActualWinner]]="", "", IF(Table1[[#This Row],[AwayTeam]]=Table1[[#This Row],[ActualWinner]],Table1[[#This Row],[HomeTeam]],Table1[[#This Row],[AwayTeam]]))</f>
        <v/>
      </c>
      <c r="U684" s="64">
        <f>Table1[[#This Row],[ActualAwayScore]]-Table1[[#This Row],[PredictedAwayScore]]</f>
        <v>0</v>
      </c>
      <c r="V684" s="64">
        <f>Table1[[#This Row],[ActualHomeScore]]-Table1[[#This Row],[PredictedHomeScore]]</f>
        <v>0</v>
      </c>
      <c r="W684" s="64">
        <f>(0.8*IF(Table1[[#This Row],[CorrectWinnerPrediction]]=1, 1, 0))+(0.1*IF(Table1[[#This Row],[CorrectAwayScorePrediction]]=1, 1, 0))+(0.1*IF(Table1[[#This Row],[CorrectHomeScorePrediction]]=1, 1, 0))</f>
        <v>0</v>
      </c>
      <c r="X68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84" s="64">
        <f>SUMIF(Table1[GameDate], Table1[[#This Row],[GameDate]], Table1[AwayGameGoalDiff])</f>
        <v>0</v>
      </c>
      <c r="AA684" s="64">
        <f>SUMIF(Table1[GameDate], Table1[[#This Row],[GameDate]], Table1[HomeGameGoalDiff])</f>
        <v>0</v>
      </c>
      <c r="AB684" s="64">
        <f>IF(ISBLANK(Table1[[#This Row],[ActualResult]]), 0, 1)</f>
        <v>0</v>
      </c>
      <c r="AC684" s="64">
        <f>IF(ISBLANK(Table1[[#This Row],[ActualResult]]), 0, IF(Table1[[#This Row],[ActualWinner]]=Table1[[#This Row],[PredictedWinner]], 1, 0))</f>
        <v>0</v>
      </c>
      <c r="AD68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8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84" s="64">
        <f>IF(AND(Table1[[#This Row],[GameIsOver]]=1,Table1[[#This Row],[ActualAwayScore]]=0), 1,0)</f>
        <v>0</v>
      </c>
      <c r="AG684" s="64">
        <f>IF(AND(Table1[[#This Row],[GameIsOver]]=1,Table1[[#This Row],[ActualHomeScore]]=0), 1,0)</f>
        <v>0</v>
      </c>
      <c r="AH684" s="64">
        <f>IF(Table1[[#This Row],[GameIsOver]]=0,0,IF(Table1[[#This Row],[ActualWinner]]=Table1[[#This Row],[AwayTeam]], 1, 0))</f>
        <v>0</v>
      </c>
      <c r="AI684" s="64">
        <f>IF(Table1[[#This Row],[GameIsOver]]=0,0,IF(Table1[[#This Row],[ActualWinner]]=Table1[[#This Row],[HomeTeam]], 1, 0))</f>
        <v>0</v>
      </c>
      <c r="AJ684" s="64">
        <f>IF(INDEX(Standings!$A$2:$C$33,MATCH(Table1[[#This Row],[AwayTeam]],Standings!$A$2:$A$33,0),2)=INDEX(Standings!$A$2:$C$33,MATCH(Table1[[#This Row],[HomeTeam]],Standings!$A$2:$A$33,0),2),1,0)</f>
        <v>1</v>
      </c>
      <c r="AK684" s="64">
        <f>IF(INDEX(Standings!$A$2:$C$33,MATCH(Table1[[#This Row],[AwayTeam]],Standings!$A$2:$A$33,0),3)=INDEX(Standings!$A$2:$C$33,MATCH(Table1[[#This Row],[HomeTeam]],Standings!$A$2:$A$33,0),3),1,0)</f>
        <v>1</v>
      </c>
      <c r="AL684" s="64">
        <f>IF(Table1[[#This Row],[InterConf]]=1,IF(Table1[[#This Row],[InterDiv]]=0, 1, 0), 0)</f>
        <v>0</v>
      </c>
      <c r="AM684" s="64">
        <f>IF(INDEX(Standings!$A$2:$C$33,MATCH(Table1[[#This Row],[AwayTeam]],Standings!$A$2:$A$33,0),2)&lt;&gt;INDEX(Standings!$A$2:$C$33,MATCH(Table1[[#This Row],[HomeTeam]],Standings!$A$2:$A$33,0),2),1,0)</f>
        <v>0</v>
      </c>
      <c r="AN684" s="64" t="str">
        <f>INDEX(Table2[AWAY_RECORD], MATCH(Table1[[#This Row],[AwayTeam]],Table2[Team], 0), 0)</f>
        <v>0-0-1</v>
      </c>
      <c r="AO684" s="64" t="str">
        <f>INDEX(Records!$B$2:$AG$33, MATCH(Table1[[#This Row],[AwayTeam]],Records!$A$2:$A$33, 0), MATCH(Table1[[#This Row],[HomeTeam]],Records!$A$2:$A$33, 0))</f>
        <v>0-0-0</v>
      </c>
      <c r="AP684" s="64" t="str">
        <f>INDEX(Table2[HOME_RECORD], MATCH(Table1[[#This Row],[HomeTeam]],Table2[Team], 0), 0)</f>
        <v>0-1-0</v>
      </c>
      <c r="AQ684" s="64" t="str">
        <f>INDEX(Records!$B$2:$AG$33, MATCH(Table1[[#This Row],[HomeTeam]],Records!$A$2:$A$33, 0), MATCH(Table1[[#This Row],[AwayTeam]],Records!$A$2:$A$33, 0))</f>
        <v>0-0-0</v>
      </c>
    </row>
    <row r="685" spans="1:43" x14ac:dyDescent="0.25">
      <c r="A685" s="1"/>
      <c r="D685" t="s">
        <v>960</v>
      </c>
      <c r="E685" t="s">
        <v>178</v>
      </c>
      <c r="F685" t="s">
        <v>966</v>
      </c>
      <c r="G685" t="s">
        <v>45</v>
      </c>
      <c r="H685" t="s">
        <v>48</v>
      </c>
      <c r="L68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8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85" s="1"/>
      <c r="T685" s="64" t="str">
        <f>IF(Table1[[#This Row],[ActualWinner]]="", "", IF(Table1[[#This Row],[AwayTeam]]=Table1[[#This Row],[ActualWinner]],Table1[[#This Row],[HomeTeam]],Table1[[#This Row],[AwayTeam]]))</f>
        <v/>
      </c>
      <c r="U685" s="64">
        <f>Table1[[#This Row],[ActualAwayScore]]-Table1[[#This Row],[PredictedAwayScore]]</f>
        <v>0</v>
      </c>
      <c r="V685" s="64">
        <f>Table1[[#This Row],[ActualHomeScore]]-Table1[[#This Row],[PredictedHomeScore]]</f>
        <v>0</v>
      </c>
      <c r="W685" s="64">
        <f>(0.8*IF(Table1[[#This Row],[CorrectWinnerPrediction]]=1, 1, 0))+(0.1*IF(Table1[[#This Row],[CorrectAwayScorePrediction]]=1, 1, 0))+(0.1*IF(Table1[[#This Row],[CorrectHomeScorePrediction]]=1, 1, 0))</f>
        <v>0</v>
      </c>
      <c r="X68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85" s="64">
        <f>SUMIF(Table1[GameDate], Table1[[#This Row],[GameDate]], Table1[AwayGameGoalDiff])</f>
        <v>0</v>
      </c>
      <c r="AA685" s="64">
        <f>SUMIF(Table1[GameDate], Table1[[#This Row],[GameDate]], Table1[HomeGameGoalDiff])</f>
        <v>0</v>
      </c>
      <c r="AB685" s="64">
        <f>IF(ISBLANK(Table1[[#This Row],[ActualResult]]), 0, 1)</f>
        <v>0</v>
      </c>
      <c r="AC685" s="64">
        <f>IF(ISBLANK(Table1[[#This Row],[ActualResult]]), 0, IF(Table1[[#This Row],[ActualWinner]]=Table1[[#This Row],[PredictedWinner]], 1, 0))</f>
        <v>0</v>
      </c>
      <c r="AD68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8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85" s="64">
        <f>IF(AND(Table1[[#This Row],[GameIsOver]]=1,Table1[[#This Row],[ActualAwayScore]]=0), 1,0)</f>
        <v>0</v>
      </c>
      <c r="AG685" s="64">
        <f>IF(AND(Table1[[#This Row],[GameIsOver]]=1,Table1[[#This Row],[ActualHomeScore]]=0), 1,0)</f>
        <v>0</v>
      </c>
      <c r="AH685" s="64">
        <f>IF(Table1[[#This Row],[GameIsOver]]=0,0,IF(Table1[[#This Row],[ActualWinner]]=Table1[[#This Row],[AwayTeam]], 1, 0))</f>
        <v>0</v>
      </c>
      <c r="AI685" s="64">
        <f>IF(Table1[[#This Row],[GameIsOver]]=0,0,IF(Table1[[#This Row],[ActualWinner]]=Table1[[#This Row],[HomeTeam]], 1, 0))</f>
        <v>0</v>
      </c>
      <c r="AJ685" s="64">
        <f>IF(INDEX(Standings!$A$2:$C$33,MATCH(Table1[[#This Row],[AwayTeam]],Standings!$A$2:$A$33,0),2)=INDEX(Standings!$A$2:$C$33,MATCH(Table1[[#This Row],[HomeTeam]],Standings!$A$2:$A$33,0),2),1,0)</f>
        <v>1</v>
      </c>
      <c r="AK685" s="64">
        <f>IF(INDEX(Standings!$A$2:$C$33,MATCH(Table1[[#This Row],[AwayTeam]],Standings!$A$2:$A$33,0),3)=INDEX(Standings!$A$2:$C$33,MATCH(Table1[[#This Row],[HomeTeam]],Standings!$A$2:$A$33,0),3),1,0)</f>
        <v>0</v>
      </c>
      <c r="AL685" s="64">
        <f>IF(Table1[[#This Row],[InterConf]]=1,IF(Table1[[#This Row],[InterDiv]]=0, 1, 0), 0)</f>
        <v>1</v>
      </c>
      <c r="AM685" s="64">
        <f>IF(INDEX(Standings!$A$2:$C$33,MATCH(Table1[[#This Row],[AwayTeam]],Standings!$A$2:$A$33,0),2)&lt;&gt;INDEX(Standings!$A$2:$C$33,MATCH(Table1[[#This Row],[HomeTeam]],Standings!$A$2:$A$33,0),2),1,0)</f>
        <v>0</v>
      </c>
      <c r="AN685" s="64" t="str">
        <f>INDEX(Table2[AWAY_RECORD], MATCH(Table1[[#This Row],[AwayTeam]],Table2[Team], 0), 0)</f>
        <v>1-0-0</v>
      </c>
      <c r="AO685" s="64" t="str">
        <f>INDEX(Records!$B$2:$AG$33, MATCH(Table1[[#This Row],[AwayTeam]],Records!$A$2:$A$33, 0), MATCH(Table1[[#This Row],[HomeTeam]],Records!$A$2:$A$33, 0))</f>
        <v>0-0-0</v>
      </c>
      <c r="AP685" s="64" t="str">
        <f>INDEX(Table2[HOME_RECORD], MATCH(Table1[[#This Row],[HomeTeam]],Table2[Team], 0), 0)</f>
        <v>1-0-0</v>
      </c>
      <c r="AQ685" s="64" t="str">
        <f>INDEX(Records!$B$2:$AG$33, MATCH(Table1[[#This Row],[HomeTeam]],Records!$A$2:$A$33, 0), MATCH(Table1[[#This Row],[AwayTeam]],Records!$A$2:$A$33, 0))</f>
        <v>0-0-0</v>
      </c>
    </row>
    <row r="686" spans="1:43" x14ac:dyDescent="0.25">
      <c r="A686" s="1"/>
      <c r="D686" t="s">
        <v>960</v>
      </c>
      <c r="E686" t="s">
        <v>178</v>
      </c>
      <c r="F686" t="s">
        <v>967</v>
      </c>
      <c r="G686" t="s">
        <v>17</v>
      </c>
      <c r="H686" t="s">
        <v>39</v>
      </c>
      <c r="L68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8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86" s="1"/>
      <c r="T686" s="64" t="str">
        <f>IF(Table1[[#This Row],[ActualWinner]]="", "", IF(Table1[[#This Row],[AwayTeam]]=Table1[[#This Row],[ActualWinner]],Table1[[#This Row],[HomeTeam]],Table1[[#This Row],[AwayTeam]]))</f>
        <v/>
      </c>
      <c r="U686" s="64">
        <f>Table1[[#This Row],[ActualAwayScore]]-Table1[[#This Row],[PredictedAwayScore]]</f>
        <v>0</v>
      </c>
      <c r="V686" s="64">
        <f>Table1[[#This Row],[ActualHomeScore]]-Table1[[#This Row],[PredictedHomeScore]]</f>
        <v>0</v>
      </c>
      <c r="W686" s="64">
        <f>(0.8*IF(Table1[[#This Row],[CorrectWinnerPrediction]]=1, 1, 0))+(0.1*IF(Table1[[#This Row],[CorrectAwayScorePrediction]]=1, 1, 0))+(0.1*IF(Table1[[#This Row],[CorrectHomeScorePrediction]]=1, 1, 0))</f>
        <v>0</v>
      </c>
      <c r="X68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86" s="64">
        <f>SUMIF(Table1[GameDate], Table1[[#This Row],[GameDate]], Table1[AwayGameGoalDiff])</f>
        <v>0</v>
      </c>
      <c r="AA686" s="64">
        <f>SUMIF(Table1[GameDate], Table1[[#This Row],[GameDate]], Table1[HomeGameGoalDiff])</f>
        <v>0</v>
      </c>
      <c r="AB686" s="64">
        <f>IF(ISBLANK(Table1[[#This Row],[ActualResult]]), 0, 1)</f>
        <v>0</v>
      </c>
      <c r="AC686" s="64">
        <f>IF(ISBLANK(Table1[[#This Row],[ActualResult]]), 0, IF(Table1[[#This Row],[ActualWinner]]=Table1[[#This Row],[PredictedWinner]], 1, 0))</f>
        <v>0</v>
      </c>
      <c r="AD68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8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86" s="64">
        <f>IF(AND(Table1[[#This Row],[GameIsOver]]=1,Table1[[#This Row],[ActualAwayScore]]=0), 1,0)</f>
        <v>0</v>
      </c>
      <c r="AG686" s="64">
        <f>IF(AND(Table1[[#This Row],[GameIsOver]]=1,Table1[[#This Row],[ActualHomeScore]]=0), 1,0)</f>
        <v>0</v>
      </c>
      <c r="AH686" s="64">
        <f>IF(Table1[[#This Row],[GameIsOver]]=0,0,IF(Table1[[#This Row],[ActualWinner]]=Table1[[#This Row],[AwayTeam]], 1, 0))</f>
        <v>0</v>
      </c>
      <c r="AI686" s="64">
        <f>IF(Table1[[#This Row],[GameIsOver]]=0,0,IF(Table1[[#This Row],[ActualWinner]]=Table1[[#This Row],[HomeTeam]], 1, 0))</f>
        <v>0</v>
      </c>
      <c r="AJ686" s="64">
        <f>IF(INDEX(Standings!$A$2:$C$33,MATCH(Table1[[#This Row],[AwayTeam]],Standings!$A$2:$A$33,0),2)=INDEX(Standings!$A$2:$C$33,MATCH(Table1[[#This Row],[HomeTeam]],Standings!$A$2:$A$33,0),2),1,0)</f>
        <v>0</v>
      </c>
      <c r="AK686" s="64">
        <f>IF(INDEX(Standings!$A$2:$C$33,MATCH(Table1[[#This Row],[AwayTeam]],Standings!$A$2:$A$33,0),3)=INDEX(Standings!$A$2:$C$33,MATCH(Table1[[#This Row],[HomeTeam]],Standings!$A$2:$A$33,0),3),1,0)</f>
        <v>0</v>
      </c>
      <c r="AL686" s="64">
        <f>IF(Table1[[#This Row],[InterConf]]=1,IF(Table1[[#This Row],[InterDiv]]=0, 1, 0), 0)</f>
        <v>0</v>
      </c>
      <c r="AM686" s="64">
        <f>IF(INDEX(Standings!$A$2:$C$33,MATCH(Table1[[#This Row],[AwayTeam]],Standings!$A$2:$A$33,0),2)&lt;&gt;INDEX(Standings!$A$2:$C$33,MATCH(Table1[[#This Row],[HomeTeam]],Standings!$A$2:$A$33,0),2),1,0)</f>
        <v>1</v>
      </c>
      <c r="AN686" s="64" t="str">
        <f>INDEX(Table2[AWAY_RECORD], MATCH(Table1[[#This Row],[AwayTeam]],Table2[Team], 0), 0)</f>
        <v>2-0-0</v>
      </c>
      <c r="AO686" s="64" t="str">
        <f>INDEX(Records!$B$2:$AG$33, MATCH(Table1[[#This Row],[AwayTeam]],Records!$A$2:$A$33, 0), MATCH(Table1[[#This Row],[HomeTeam]],Records!$A$2:$A$33, 0))</f>
        <v>0-0-0</v>
      </c>
      <c r="AP686" s="64" t="str">
        <f>INDEX(Table2[HOME_RECORD], MATCH(Table1[[#This Row],[HomeTeam]],Table2[Team], 0), 0)</f>
        <v>0-1-0</v>
      </c>
      <c r="AQ686" s="64" t="str">
        <f>INDEX(Records!$B$2:$AG$33, MATCH(Table1[[#This Row],[HomeTeam]],Records!$A$2:$A$33, 0), MATCH(Table1[[#This Row],[AwayTeam]],Records!$A$2:$A$33, 0))</f>
        <v>0-0-0</v>
      </c>
    </row>
    <row r="687" spans="1:43" x14ac:dyDescent="0.25">
      <c r="A687" s="1"/>
      <c r="D687" t="s">
        <v>960</v>
      </c>
      <c r="E687" t="s">
        <v>164</v>
      </c>
      <c r="F687" t="s">
        <v>968</v>
      </c>
      <c r="G687" t="s">
        <v>52</v>
      </c>
      <c r="H687" t="s">
        <v>58</v>
      </c>
      <c r="L68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8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87" s="1"/>
      <c r="T687" s="64" t="str">
        <f>IF(Table1[[#This Row],[ActualWinner]]="", "", IF(Table1[[#This Row],[AwayTeam]]=Table1[[#This Row],[ActualWinner]],Table1[[#This Row],[HomeTeam]],Table1[[#This Row],[AwayTeam]]))</f>
        <v/>
      </c>
      <c r="U687" s="64">
        <f>Table1[[#This Row],[ActualAwayScore]]-Table1[[#This Row],[PredictedAwayScore]]</f>
        <v>0</v>
      </c>
      <c r="V687" s="64">
        <f>Table1[[#This Row],[ActualHomeScore]]-Table1[[#This Row],[PredictedHomeScore]]</f>
        <v>0</v>
      </c>
      <c r="W687" s="64">
        <f>(0.8*IF(Table1[[#This Row],[CorrectWinnerPrediction]]=1, 1, 0))+(0.1*IF(Table1[[#This Row],[CorrectAwayScorePrediction]]=1, 1, 0))+(0.1*IF(Table1[[#This Row],[CorrectHomeScorePrediction]]=1, 1, 0))</f>
        <v>0</v>
      </c>
      <c r="X68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87" s="64">
        <f>SUMIF(Table1[GameDate], Table1[[#This Row],[GameDate]], Table1[AwayGameGoalDiff])</f>
        <v>0</v>
      </c>
      <c r="AA687" s="64">
        <f>SUMIF(Table1[GameDate], Table1[[#This Row],[GameDate]], Table1[HomeGameGoalDiff])</f>
        <v>0</v>
      </c>
      <c r="AB687" s="64">
        <f>IF(ISBLANK(Table1[[#This Row],[ActualResult]]), 0, 1)</f>
        <v>0</v>
      </c>
      <c r="AC687" s="64">
        <f>IF(ISBLANK(Table1[[#This Row],[ActualResult]]), 0, IF(Table1[[#This Row],[ActualWinner]]=Table1[[#This Row],[PredictedWinner]], 1, 0))</f>
        <v>0</v>
      </c>
      <c r="AD68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8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87" s="64">
        <f>IF(AND(Table1[[#This Row],[GameIsOver]]=1,Table1[[#This Row],[ActualAwayScore]]=0), 1,0)</f>
        <v>0</v>
      </c>
      <c r="AG687" s="64">
        <f>IF(AND(Table1[[#This Row],[GameIsOver]]=1,Table1[[#This Row],[ActualHomeScore]]=0), 1,0)</f>
        <v>0</v>
      </c>
      <c r="AH687" s="64">
        <f>IF(Table1[[#This Row],[GameIsOver]]=0,0,IF(Table1[[#This Row],[ActualWinner]]=Table1[[#This Row],[AwayTeam]], 1, 0))</f>
        <v>0</v>
      </c>
      <c r="AI687" s="64">
        <f>IF(Table1[[#This Row],[GameIsOver]]=0,0,IF(Table1[[#This Row],[ActualWinner]]=Table1[[#This Row],[HomeTeam]], 1, 0))</f>
        <v>0</v>
      </c>
      <c r="AJ687" s="64">
        <f>IF(INDEX(Standings!$A$2:$C$33,MATCH(Table1[[#This Row],[AwayTeam]],Standings!$A$2:$A$33,0),2)=INDEX(Standings!$A$2:$C$33,MATCH(Table1[[#This Row],[HomeTeam]],Standings!$A$2:$A$33,0),2),1,0)</f>
        <v>0</v>
      </c>
      <c r="AK687" s="64">
        <f>IF(INDEX(Standings!$A$2:$C$33,MATCH(Table1[[#This Row],[AwayTeam]],Standings!$A$2:$A$33,0),3)=INDEX(Standings!$A$2:$C$33,MATCH(Table1[[#This Row],[HomeTeam]],Standings!$A$2:$A$33,0),3),1,0)</f>
        <v>0</v>
      </c>
      <c r="AL687" s="64">
        <f>IF(Table1[[#This Row],[InterConf]]=1,IF(Table1[[#This Row],[InterDiv]]=0, 1, 0), 0)</f>
        <v>0</v>
      </c>
      <c r="AM687" s="64">
        <f>IF(INDEX(Standings!$A$2:$C$33,MATCH(Table1[[#This Row],[AwayTeam]],Standings!$A$2:$A$33,0),2)&lt;&gt;INDEX(Standings!$A$2:$C$33,MATCH(Table1[[#This Row],[HomeTeam]],Standings!$A$2:$A$33,0),2),1,0)</f>
        <v>1</v>
      </c>
      <c r="AN687" s="64" t="str">
        <f>INDEX(Table2[AWAY_RECORD], MATCH(Table1[[#This Row],[AwayTeam]],Table2[Team], 0), 0)</f>
        <v>0-0-0</v>
      </c>
      <c r="AO687" s="64" t="str">
        <f>INDEX(Records!$B$2:$AG$33, MATCH(Table1[[#This Row],[AwayTeam]],Records!$A$2:$A$33, 0), MATCH(Table1[[#This Row],[HomeTeam]],Records!$A$2:$A$33, 0))</f>
        <v>0-0-0</v>
      </c>
      <c r="AP687" s="64" t="str">
        <f>INDEX(Table2[HOME_RECORD], MATCH(Table1[[#This Row],[HomeTeam]],Table2[Team], 0), 0)</f>
        <v>1-0-0</v>
      </c>
      <c r="AQ687" s="64" t="str">
        <f>INDEX(Records!$B$2:$AG$33, MATCH(Table1[[#This Row],[HomeTeam]],Records!$A$2:$A$33, 0), MATCH(Table1[[#This Row],[AwayTeam]],Records!$A$2:$A$33, 0))</f>
        <v>0-0-0</v>
      </c>
    </row>
    <row r="688" spans="1:43" x14ac:dyDescent="0.25">
      <c r="A688" s="1"/>
      <c r="D688" t="s">
        <v>960</v>
      </c>
      <c r="E688" t="s">
        <v>164</v>
      </c>
      <c r="F688" t="s">
        <v>969</v>
      </c>
      <c r="G688" t="s">
        <v>50</v>
      </c>
      <c r="H688" t="s">
        <v>23</v>
      </c>
      <c r="L68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8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88" s="1"/>
      <c r="T688" s="64" t="str">
        <f>IF(Table1[[#This Row],[ActualWinner]]="", "", IF(Table1[[#This Row],[AwayTeam]]=Table1[[#This Row],[ActualWinner]],Table1[[#This Row],[HomeTeam]],Table1[[#This Row],[AwayTeam]]))</f>
        <v/>
      </c>
      <c r="U688" s="64">
        <f>Table1[[#This Row],[ActualAwayScore]]-Table1[[#This Row],[PredictedAwayScore]]</f>
        <v>0</v>
      </c>
      <c r="V688" s="64">
        <f>Table1[[#This Row],[ActualHomeScore]]-Table1[[#This Row],[PredictedHomeScore]]</f>
        <v>0</v>
      </c>
      <c r="W688" s="64">
        <f>(0.8*IF(Table1[[#This Row],[CorrectWinnerPrediction]]=1, 1, 0))+(0.1*IF(Table1[[#This Row],[CorrectAwayScorePrediction]]=1, 1, 0))+(0.1*IF(Table1[[#This Row],[CorrectHomeScorePrediction]]=1, 1, 0))</f>
        <v>0</v>
      </c>
      <c r="X68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88" s="64">
        <f>SUMIF(Table1[GameDate], Table1[[#This Row],[GameDate]], Table1[AwayGameGoalDiff])</f>
        <v>0</v>
      </c>
      <c r="AA688" s="64">
        <f>SUMIF(Table1[GameDate], Table1[[#This Row],[GameDate]], Table1[HomeGameGoalDiff])</f>
        <v>0</v>
      </c>
      <c r="AB688" s="64">
        <f>IF(ISBLANK(Table1[[#This Row],[ActualResult]]), 0, 1)</f>
        <v>0</v>
      </c>
      <c r="AC688" s="64">
        <f>IF(ISBLANK(Table1[[#This Row],[ActualResult]]), 0, IF(Table1[[#This Row],[ActualWinner]]=Table1[[#This Row],[PredictedWinner]], 1, 0))</f>
        <v>0</v>
      </c>
      <c r="AD68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8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88" s="64">
        <f>IF(AND(Table1[[#This Row],[GameIsOver]]=1,Table1[[#This Row],[ActualAwayScore]]=0), 1,0)</f>
        <v>0</v>
      </c>
      <c r="AG688" s="64">
        <f>IF(AND(Table1[[#This Row],[GameIsOver]]=1,Table1[[#This Row],[ActualHomeScore]]=0), 1,0)</f>
        <v>0</v>
      </c>
      <c r="AH688" s="64">
        <f>IF(Table1[[#This Row],[GameIsOver]]=0,0,IF(Table1[[#This Row],[ActualWinner]]=Table1[[#This Row],[AwayTeam]], 1, 0))</f>
        <v>0</v>
      </c>
      <c r="AI688" s="64">
        <f>IF(Table1[[#This Row],[GameIsOver]]=0,0,IF(Table1[[#This Row],[ActualWinner]]=Table1[[#This Row],[HomeTeam]], 1, 0))</f>
        <v>0</v>
      </c>
      <c r="AJ688" s="64">
        <f>IF(INDEX(Standings!$A$2:$C$33,MATCH(Table1[[#This Row],[AwayTeam]],Standings!$A$2:$A$33,0),2)=INDEX(Standings!$A$2:$C$33,MATCH(Table1[[#This Row],[HomeTeam]],Standings!$A$2:$A$33,0),2),1,0)</f>
        <v>0</v>
      </c>
      <c r="AK688" s="64">
        <f>IF(INDEX(Standings!$A$2:$C$33,MATCH(Table1[[#This Row],[AwayTeam]],Standings!$A$2:$A$33,0),3)=INDEX(Standings!$A$2:$C$33,MATCH(Table1[[#This Row],[HomeTeam]],Standings!$A$2:$A$33,0),3),1,0)</f>
        <v>0</v>
      </c>
      <c r="AL688" s="64">
        <f>IF(Table1[[#This Row],[InterConf]]=1,IF(Table1[[#This Row],[InterDiv]]=0, 1, 0), 0)</f>
        <v>0</v>
      </c>
      <c r="AM688" s="64">
        <f>IF(INDEX(Standings!$A$2:$C$33,MATCH(Table1[[#This Row],[AwayTeam]],Standings!$A$2:$A$33,0),2)&lt;&gt;INDEX(Standings!$A$2:$C$33,MATCH(Table1[[#This Row],[HomeTeam]],Standings!$A$2:$A$33,0),2),1,0)</f>
        <v>1</v>
      </c>
      <c r="AN688" s="64" t="str">
        <f>INDEX(Table2[AWAY_RECORD], MATCH(Table1[[#This Row],[AwayTeam]],Table2[Team], 0), 0)</f>
        <v>1-0-0</v>
      </c>
      <c r="AO688" s="64" t="str">
        <f>INDEX(Records!$B$2:$AG$33, MATCH(Table1[[#This Row],[AwayTeam]],Records!$A$2:$A$33, 0), MATCH(Table1[[#This Row],[HomeTeam]],Records!$A$2:$A$33, 0))</f>
        <v>0-0-0</v>
      </c>
      <c r="AP688" s="64" t="str">
        <f>INDEX(Table2[HOME_RECORD], MATCH(Table1[[#This Row],[HomeTeam]],Table2[Team], 0), 0)</f>
        <v>0-0-1</v>
      </c>
      <c r="AQ688" s="64" t="str">
        <f>INDEX(Records!$B$2:$AG$33, MATCH(Table1[[#This Row],[HomeTeam]],Records!$A$2:$A$33, 0), MATCH(Table1[[#This Row],[AwayTeam]],Records!$A$2:$A$33, 0))</f>
        <v>0-0-0</v>
      </c>
    </row>
    <row r="689" spans="1:43" x14ac:dyDescent="0.25">
      <c r="A689" s="1"/>
      <c r="D689" t="s">
        <v>960</v>
      </c>
      <c r="E689" t="s">
        <v>593</v>
      </c>
      <c r="F689" t="s">
        <v>970</v>
      </c>
      <c r="G689" t="s">
        <v>57</v>
      </c>
      <c r="H689" t="s">
        <v>56</v>
      </c>
      <c r="L68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8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89" s="1"/>
      <c r="T689" s="64" t="str">
        <f>IF(Table1[[#This Row],[ActualWinner]]="", "", IF(Table1[[#This Row],[AwayTeam]]=Table1[[#This Row],[ActualWinner]],Table1[[#This Row],[HomeTeam]],Table1[[#This Row],[AwayTeam]]))</f>
        <v/>
      </c>
      <c r="U689" s="64">
        <f>Table1[[#This Row],[ActualAwayScore]]-Table1[[#This Row],[PredictedAwayScore]]</f>
        <v>0</v>
      </c>
      <c r="V689" s="64">
        <f>Table1[[#This Row],[ActualHomeScore]]-Table1[[#This Row],[PredictedHomeScore]]</f>
        <v>0</v>
      </c>
      <c r="W689" s="64">
        <f>(0.8*IF(Table1[[#This Row],[CorrectWinnerPrediction]]=1, 1, 0))+(0.1*IF(Table1[[#This Row],[CorrectAwayScorePrediction]]=1, 1, 0))+(0.1*IF(Table1[[#This Row],[CorrectHomeScorePrediction]]=1, 1, 0))</f>
        <v>0</v>
      </c>
      <c r="X68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89" s="64">
        <f>SUMIF(Table1[GameDate], Table1[[#This Row],[GameDate]], Table1[AwayGameGoalDiff])</f>
        <v>0</v>
      </c>
      <c r="AA689" s="64">
        <f>SUMIF(Table1[GameDate], Table1[[#This Row],[GameDate]], Table1[HomeGameGoalDiff])</f>
        <v>0</v>
      </c>
      <c r="AB689" s="64">
        <f>IF(ISBLANK(Table1[[#This Row],[ActualResult]]), 0, 1)</f>
        <v>0</v>
      </c>
      <c r="AC689" s="64">
        <f>IF(ISBLANK(Table1[[#This Row],[ActualResult]]), 0, IF(Table1[[#This Row],[ActualWinner]]=Table1[[#This Row],[PredictedWinner]], 1, 0))</f>
        <v>0</v>
      </c>
      <c r="AD68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8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89" s="64">
        <f>IF(AND(Table1[[#This Row],[GameIsOver]]=1,Table1[[#This Row],[ActualAwayScore]]=0), 1,0)</f>
        <v>0</v>
      </c>
      <c r="AG689" s="64">
        <f>IF(AND(Table1[[#This Row],[GameIsOver]]=1,Table1[[#This Row],[ActualHomeScore]]=0), 1,0)</f>
        <v>0</v>
      </c>
      <c r="AH689" s="64">
        <f>IF(Table1[[#This Row],[GameIsOver]]=0,0,IF(Table1[[#This Row],[ActualWinner]]=Table1[[#This Row],[AwayTeam]], 1, 0))</f>
        <v>0</v>
      </c>
      <c r="AI689" s="64">
        <f>IF(Table1[[#This Row],[GameIsOver]]=0,0,IF(Table1[[#This Row],[ActualWinner]]=Table1[[#This Row],[HomeTeam]], 1, 0))</f>
        <v>0</v>
      </c>
      <c r="AJ689" s="64">
        <f>IF(INDEX(Standings!$A$2:$C$33,MATCH(Table1[[#This Row],[AwayTeam]],Standings!$A$2:$A$33,0),2)=INDEX(Standings!$A$2:$C$33,MATCH(Table1[[#This Row],[HomeTeam]],Standings!$A$2:$A$33,0),2),1,0)</f>
        <v>0</v>
      </c>
      <c r="AK689" s="64">
        <f>IF(INDEX(Standings!$A$2:$C$33,MATCH(Table1[[#This Row],[AwayTeam]],Standings!$A$2:$A$33,0),3)=INDEX(Standings!$A$2:$C$33,MATCH(Table1[[#This Row],[HomeTeam]],Standings!$A$2:$A$33,0),3),1,0)</f>
        <v>0</v>
      </c>
      <c r="AL689" s="64">
        <f>IF(Table1[[#This Row],[InterConf]]=1,IF(Table1[[#This Row],[InterDiv]]=0, 1, 0), 0)</f>
        <v>0</v>
      </c>
      <c r="AM689" s="64">
        <f>IF(INDEX(Standings!$A$2:$C$33,MATCH(Table1[[#This Row],[AwayTeam]],Standings!$A$2:$A$33,0),2)&lt;&gt;INDEX(Standings!$A$2:$C$33,MATCH(Table1[[#This Row],[HomeTeam]],Standings!$A$2:$A$33,0),2),1,0)</f>
        <v>1</v>
      </c>
      <c r="AN689" s="64" t="str">
        <f>INDEX(Table2[AWAY_RECORD], MATCH(Table1[[#This Row],[AwayTeam]],Table2[Team], 0), 0)</f>
        <v>0-1-0</v>
      </c>
      <c r="AO689" s="64" t="str">
        <f>INDEX(Records!$B$2:$AG$33, MATCH(Table1[[#This Row],[AwayTeam]],Records!$A$2:$A$33, 0), MATCH(Table1[[#This Row],[HomeTeam]],Records!$A$2:$A$33, 0))</f>
        <v>0-0-0</v>
      </c>
      <c r="AP689" s="64" t="str">
        <f>INDEX(Table2[HOME_RECORD], MATCH(Table1[[#This Row],[HomeTeam]],Table2[Team], 0), 0)</f>
        <v>0-0-0</v>
      </c>
      <c r="AQ689" s="64" t="str">
        <f>INDEX(Records!$B$2:$AG$33, MATCH(Table1[[#This Row],[HomeTeam]],Records!$A$2:$A$33, 0), MATCH(Table1[[#This Row],[AwayTeam]],Records!$A$2:$A$33, 0))</f>
        <v>0-0-0</v>
      </c>
    </row>
    <row r="690" spans="1:43" x14ac:dyDescent="0.25">
      <c r="A690" s="1"/>
      <c r="D690" t="s">
        <v>971</v>
      </c>
      <c r="E690" t="s">
        <v>298</v>
      </c>
      <c r="F690" t="s">
        <v>972</v>
      </c>
      <c r="G690" t="s">
        <v>22</v>
      </c>
      <c r="H690" t="s">
        <v>36</v>
      </c>
      <c r="L69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9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90" s="1"/>
      <c r="T690" s="64" t="str">
        <f>IF(Table1[[#This Row],[ActualWinner]]="", "", IF(Table1[[#This Row],[AwayTeam]]=Table1[[#This Row],[ActualWinner]],Table1[[#This Row],[HomeTeam]],Table1[[#This Row],[AwayTeam]]))</f>
        <v/>
      </c>
      <c r="U690" s="64">
        <f>Table1[[#This Row],[ActualAwayScore]]-Table1[[#This Row],[PredictedAwayScore]]</f>
        <v>0</v>
      </c>
      <c r="V690" s="64">
        <f>Table1[[#This Row],[ActualHomeScore]]-Table1[[#This Row],[PredictedHomeScore]]</f>
        <v>0</v>
      </c>
      <c r="W690" s="64">
        <f>(0.8*IF(Table1[[#This Row],[CorrectWinnerPrediction]]=1, 1, 0))+(0.1*IF(Table1[[#This Row],[CorrectAwayScorePrediction]]=1, 1, 0))+(0.1*IF(Table1[[#This Row],[CorrectHomeScorePrediction]]=1, 1, 0))</f>
        <v>0</v>
      </c>
      <c r="X69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90" s="64">
        <f>SUMIF(Table1[GameDate], Table1[[#This Row],[GameDate]], Table1[AwayGameGoalDiff])</f>
        <v>0</v>
      </c>
      <c r="AA690" s="64">
        <f>SUMIF(Table1[GameDate], Table1[[#This Row],[GameDate]], Table1[HomeGameGoalDiff])</f>
        <v>0</v>
      </c>
      <c r="AB690" s="64">
        <f>IF(ISBLANK(Table1[[#This Row],[ActualResult]]), 0, 1)</f>
        <v>0</v>
      </c>
      <c r="AC690" s="64">
        <f>IF(ISBLANK(Table1[[#This Row],[ActualResult]]), 0, IF(Table1[[#This Row],[ActualWinner]]=Table1[[#This Row],[PredictedWinner]], 1, 0))</f>
        <v>0</v>
      </c>
      <c r="AD69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9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90" s="64">
        <f>IF(AND(Table1[[#This Row],[GameIsOver]]=1,Table1[[#This Row],[ActualAwayScore]]=0), 1,0)</f>
        <v>0</v>
      </c>
      <c r="AG690" s="64">
        <f>IF(AND(Table1[[#This Row],[GameIsOver]]=1,Table1[[#This Row],[ActualHomeScore]]=0), 1,0)</f>
        <v>0</v>
      </c>
      <c r="AH690" s="64">
        <f>IF(Table1[[#This Row],[GameIsOver]]=0,0,IF(Table1[[#This Row],[ActualWinner]]=Table1[[#This Row],[AwayTeam]], 1, 0))</f>
        <v>0</v>
      </c>
      <c r="AI690" s="64">
        <f>IF(Table1[[#This Row],[GameIsOver]]=0,0,IF(Table1[[#This Row],[ActualWinner]]=Table1[[#This Row],[HomeTeam]], 1, 0))</f>
        <v>0</v>
      </c>
      <c r="AJ690" s="64">
        <f>IF(INDEX(Standings!$A$2:$C$33,MATCH(Table1[[#This Row],[AwayTeam]],Standings!$A$2:$A$33,0),2)=INDEX(Standings!$A$2:$C$33,MATCH(Table1[[#This Row],[HomeTeam]],Standings!$A$2:$A$33,0),2),1,0)</f>
        <v>1</v>
      </c>
      <c r="AK690" s="64">
        <f>IF(INDEX(Standings!$A$2:$C$33,MATCH(Table1[[#This Row],[AwayTeam]],Standings!$A$2:$A$33,0),3)=INDEX(Standings!$A$2:$C$33,MATCH(Table1[[#This Row],[HomeTeam]],Standings!$A$2:$A$33,0),3),1,0)</f>
        <v>0</v>
      </c>
      <c r="AL690" s="64">
        <f>IF(Table1[[#This Row],[InterConf]]=1,IF(Table1[[#This Row],[InterDiv]]=0, 1, 0), 0)</f>
        <v>1</v>
      </c>
      <c r="AM690" s="64">
        <f>IF(INDEX(Standings!$A$2:$C$33,MATCH(Table1[[#This Row],[AwayTeam]],Standings!$A$2:$A$33,0),2)&lt;&gt;INDEX(Standings!$A$2:$C$33,MATCH(Table1[[#This Row],[HomeTeam]],Standings!$A$2:$A$33,0),2),1,0)</f>
        <v>0</v>
      </c>
      <c r="AN690" s="64" t="str">
        <f>INDEX(Table2[AWAY_RECORD], MATCH(Table1[[#This Row],[AwayTeam]],Table2[Team], 0), 0)</f>
        <v>0-0-1</v>
      </c>
      <c r="AO690" s="64" t="str">
        <f>INDEX(Records!$B$2:$AG$33, MATCH(Table1[[#This Row],[AwayTeam]],Records!$A$2:$A$33, 0), MATCH(Table1[[#This Row],[HomeTeam]],Records!$A$2:$A$33, 0))</f>
        <v>0-0-0</v>
      </c>
      <c r="AP690" s="64" t="str">
        <f>INDEX(Table2[HOME_RECORD], MATCH(Table1[[#This Row],[HomeTeam]],Table2[Team], 0), 0)</f>
        <v>0-0-0</v>
      </c>
      <c r="AQ690" s="64" t="str">
        <f>INDEX(Records!$B$2:$AG$33, MATCH(Table1[[#This Row],[HomeTeam]],Records!$A$2:$A$33, 0), MATCH(Table1[[#This Row],[AwayTeam]],Records!$A$2:$A$33, 0))</f>
        <v>0-0-0</v>
      </c>
    </row>
    <row r="691" spans="1:43" x14ac:dyDescent="0.25">
      <c r="A691" s="1"/>
      <c r="D691" t="s">
        <v>971</v>
      </c>
      <c r="E691" t="s">
        <v>289</v>
      </c>
      <c r="F691" t="s">
        <v>973</v>
      </c>
      <c r="G691" t="s">
        <v>37</v>
      </c>
      <c r="H691" t="s">
        <v>47</v>
      </c>
      <c r="L69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9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91" s="1"/>
      <c r="T691" s="64" t="str">
        <f>IF(Table1[[#This Row],[ActualWinner]]="", "", IF(Table1[[#This Row],[AwayTeam]]=Table1[[#This Row],[ActualWinner]],Table1[[#This Row],[HomeTeam]],Table1[[#This Row],[AwayTeam]]))</f>
        <v/>
      </c>
      <c r="U691" s="64">
        <f>Table1[[#This Row],[ActualAwayScore]]-Table1[[#This Row],[PredictedAwayScore]]</f>
        <v>0</v>
      </c>
      <c r="V691" s="64">
        <f>Table1[[#This Row],[ActualHomeScore]]-Table1[[#This Row],[PredictedHomeScore]]</f>
        <v>0</v>
      </c>
      <c r="W691" s="64">
        <f>(0.8*IF(Table1[[#This Row],[CorrectWinnerPrediction]]=1, 1, 0))+(0.1*IF(Table1[[#This Row],[CorrectAwayScorePrediction]]=1, 1, 0))+(0.1*IF(Table1[[#This Row],[CorrectHomeScorePrediction]]=1, 1, 0))</f>
        <v>0</v>
      </c>
      <c r="X69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91" s="64">
        <f>SUMIF(Table1[GameDate], Table1[[#This Row],[GameDate]], Table1[AwayGameGoalDiff])</f>
        <v>0</v>
      </c>
      <c r="AA691" s="64">
        <f>SUMIF(Table1[GameDate], Table1[[#This Row],[GameDate]], Table1[HomeGameGoalDiff])</f>
        <v>0</v>
      </c>
      <c r="AB691" s="64">
        <f>IF(ISBLANK(Table1[[#This Row],[ActualResult]]), 0, 1)</f>
        <v>0</v>
      </c>
      <c r="AC691" s="64">
        <f>IF(ISBLANK(Table1[[#This Row],[ActualResult]]), 0, IF(Table1[[#This Row],[ActualWinner]]=Table1[[#This Row],[PredictedWinner]], 1, 0))</f>
        <v>0</v>
      </c>
      <c r="AD69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9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91" s="64">
        <f>IF(AND(Table1[[#This Row],[GameIsOver]]=1,Table1[[#This Row],[ActualAwayScore]]=0), 1,0)</f>
        <v>0</v>
      </c>
      <c r="AG691" s="64">
        <f>IF(AND(Table1[[#This Row],[GameIsOver]]=1,Table1[[#This Row],[ActualHomeScore]]=0), 1,0)</f>
        <v>0</v>
      </c>
      <c r="AH691" s="64">
        <f>IF(Table1[[#This Row],[GameIsOver]]=0,0,IF(Table1[[#This Row],[ActualWinner]]=Table1[[#This Row],[AwayTeam]], 1, 0))</f>
        <v>0</v>
      </c>
      <c r="AI691" s="64">
        <f>IF(Table1[[#This Row],[GameIsOver]]=0,0,IF(Table1[[#This Row],[ActualWinner]]=Table1[[#This Row],[HomeTeam]], 1, 0))</f>
        <v>0</v>
      </c>
      <c r="AJ691" s="64">
        <f>IF(INDEX(Standings!$A$2:$C$33,MATCH(Table1[[#This Row],[AwayTeam]],Standings!$A$2:$A$33,0),2)=INDEX(Standings!$A$2:$C$33,MATCH(Table1[[#This Row],[HomeTeam]],Standings!$A$2:$A$33,0),2),1,0)</f>
        <v>1</v>
      </c>
      <c r="AK691" s="64">
        <f>IF(INDEX(Standings!$A$2:$C$33,MATCH(Table1[[#This Row],[AwayTeam]],Standings!$A$2:$A$33,0),3)=INDEX(Standings!$A$2:$C$33,MATCH(Table1[[#This Row],[HomeTeam]],Standings!$A$2:$A$33,0),3),1,0)</f>
        <v>1</v>
      </c>
      <c r="AL691" s="64">
        <f>IF(Table1[[#This Row],[InterConf]]=1,IF(Table1[[#This Row],[InterDiv]]=0, 1, 0), 0)</f>
        <v>0</v>
      </c>
      <c r="AM691" s="64">
        <f>IF(INDEX(Standings!$A$2:$C$33,MATCH(Table1[[#This Row],[AwayTeam]],Standings!$A$2:$A$33,0),2)&lt;&gt;INDEX(Standings!$A$2:$C$33,MATCH(Table1[[#This Row],[HomeTeam]],Standings!$A$2:$A$33,0),2),1,0)</f>
        <v>0</v>
      </c>
      <c r="AN691" s="64" t="str">
        <f>INDEX(Table2[AWAY_RECORD], MATCH(Table1[[#This Row],[AwayTeam]],Table2[Team], 0), 0)</f>
        <v>0-0-1</v>
      </c>
      <c r="AO691" s="64" t="str">
        <f>INDEX(Records!$B$2:$AG$33, MATCH(Table1[[#This Row],[AwayTeam]],Records!$A$2:$A$33, 0), MATCH(Table1[[#This Row],[HomeTeam]],Records!$A$2:$A$33, 0))</f>
        <v>0-0-0</v>
      </c>
      <c r="AP691" s="64" t="str">
        <f>INDEX(Table2[HOME_RECORD], MATCH(Table1[[#This Row],[HomeTeam]],Table2[Team], 0), 0)</f>
        <v>0-0-0</v>
      </c>
      <c r="AQ691" s="64" t="str">
        <f>INDEX(Records!$B$2:$AG$33, MATCH(Table1[[#This Row],[HomeTeam]],Records!$A$2:$A$33, 0), MATCH(Table1[[#This Row],[AwayTeam]],Records!$A$2:$A$33, 0))</f>
        <v>0-0-0</v>
      </c>
    </row>
    <row r="692" spans="1:43" x14ac:dyDescent="0.25">
      <c r="A692" s="1"/>
      <c r="D692" t="s">
        <v>971</v>
      </c>
      <c r="E692" t="s">
        <v>166</v>
      </c>
      <c r="F692" t="s">
        <v>974</v>
      </c>
      <c r="G692" t="s">
        <v>52</v>
      </c>
      <c r="H692" t="s">
        <v>41</v>
      </c>
      <c r="L69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9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92" s="1"/>
      <c r="T692" s="64" t="str">
        <f>IF(Table1[[#This Row],[ActualWinner]]="", "", IF(Table1[[#This Row],[AwayTeam]]=Table1[[#This Row],[ActualWinner]],Table1[[#This Row],[HomeTeam]],Table1[[#This Row],[AwayTeam]]))</f>
        <v/>
      </c>
      <c r="U692" s="64">
        <f>Table1[[#This Row],[ActualAwayScore]]-Table1[[#This Row],[PredictedAwayScore]]</f>
        <v>0</v>
      </c>
      <c r="V692" s="64">
        <f>Table1[[#This Row],[ActualHomeScore]]-Table1[[#This Row],[PredictedHomeScore]]</f>
        <v>0</v>
      </c>
      <c r="W692" s="64">
        <f>(0.8*IF(Table1[[#This Row],[CorrectWinnerPrediction]]=1, 1, 0))+(0.1*IF(Table1[[#This Row],[CorrectAwayScorePrediction]]=1, 1, 0))+(0.1*IF(Table1[[#This Row],[CorrectHomeScorePrediction]]=1, 1, 0))</f>
        <v>0</v>
      </c>
      <c r="X69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92" s="64">
        <f>SUMIF(Table1[GameDate], Table1[[#This Row],[GameDate]], Table1[AwayGameGoalDiff])</f>
        <v>0</v>
      </c>
      <c r="AA692" s="64">
        <f>SUMIF(Table1[GameDate], Table1[[#This Row],[GameDate]], Table1[HomeGameGoalDiff])</f>
        <v>0</v>
      </c>
      <c r="AB692" s="64">
        <f>IF(ISBLANK(Table1[[#This Row],[ActualResult]]), 0, 1)</f>
        <v>0</v>
      </c>
      <c r="AC692" s="64">
        <f>IF(ISBLANK(Table1[[#This Row],[ActualResult]]), 0, IF(Table1[[#This Row],[ActualWinner]]=Table1[[#This Row],[PredictedWinner]], 1, 0))</f>
        <v>0</v>
      </c>
      <c r="AD69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9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92" s="64">
        <f>IF(AND(Table1[[#This Row],[GameIsOver]]=1,Table1[[#This Row],[ActualAwayScore]]=0), 1,0)</f>
        <v>0</v>
      </c>
      <c r="AG692" s="64">
        <f>IF(AND(Table1[[#This Row],[GameIsOver]]=1,Table1[[#This Row],[ActualHomeScore]]=0), 1,0)</f>
        <v>0</v>
      </c>
      <c r="AH692" s="64">
        <f>IF(Table1[[#This Row],[GameIsOver]]=0,0,IF(Table1[[#This Row],[ActualWinner]]=Table1[[#This Row],[AwayTeam]], 1, 0))</f>
        <v>0</v>
      </c>
      <c r="AI692" s="64">
        <f>IF(Table1[[#This Row],[GameIsOver]]=0,0,IF(Table1[[#This Row],[ActualWinner]]=Table1[[#This Row],[HomeTeam]], 1, 0))</f>
        <v>0</v>
      </c>
      <c r="AJ692" s="64">
        <f>IF(INDEX(Standings!$A$2:$C$33,MATCH(Table1[[#This Row],[AwayTeam]],Standings!$A$2:$A$33,0),2)=INDEX(Standings!$A$2:$C$33,MATCH(Table1[[#This Row],[HomeTeam]],Standings!$A$2:$A$33,0),2),1,0)</f>
        <v>0</v>
      </c>
      <c r="AK692" s="64">
        <f>IF(INDEX(Standings!$A$2:$C$33,MATCH(Table1[[#This Row],[AwayTeam]],Standings!$A$2:$A$33,0),3)=INDEX(Standings!$A$2:$C$33,MATCH(Table1[[#This Row],[HomeTeam]],Standings!$A$2:$A$33,0),3),1,0)</f>
        <v>0</v>
      </c>
      <c r="AL692" s="64">
        <f>IF(Table1[[#This Row],[InterConf]]=1,IF(Table1[[#This Row],[InterDiv]]=0, 1, 0), 0)</f>
        <v>0</v>
      </c>
      <c r="AM692" s="64">
        <f>IF(INDEX(Standings!$A$2:$C$33,MATCH(Table1[[#This Row],[AwayTeam]],Standings!$A$2:$A$33,0),2)&lt;&gt;INDEX(Standings!$A$2:$C$33,MATCH(Table1[[#This Row],[HomeTeam]],Standings!$A$2:$A$33,0),2),1,0)</f>
        <v>1</v>
      </c>
      <c r="AN692" s="64" t="str">
        <f>INDEX(Table2[AWAY_RECORD], MATCH(Table1[[#This Row],[AwayTeam]],Table2[Team], 0), 0)</f>
        <v>0-0-0</v>
      </c>
      <c r="AO692" s="64" t="str">
        <f>INDEX(Records!$B$2:$AG$33, MATCH(Table1[[#This Row],[AwayTeam]],Records!$A$2:$A$33, 0), MATCH(Table1[[#This Row],[HomeTeam]],Records!$A$2:$A$33, 0))</f>
        <v>0-0-0</v>
      </c>
      <c r="AP692" s="64" t="str">
        <f>INDEX(Table2[HOME_RECORD], MATCH(Table1[[#This Row],[HomeTeam]],Table2[Team], 0), 0)</f>
        <v>0-0-1</v>
      </c>
      <c r="AQ692" s="64" t="str">
        <f>INDEX(Records!$B$2:$AG$33, MATCH(Table1[[#This Row],[HomeTeam]],Records!$A$2:$A$33, 0), MATCH(Table1[[#This Row],[AwayTeam]],Records!$A$2:$A$33, 0))</f>
        <v>0-0-0</v>
      </c>
    </row>
    <row r="693" spans="1:43" x14ac:dyDescent="0.25">
      <c r="A693" s="1"/>
      <c r="D693" t="s">
        <v>975</v>
      </c>
      <c r="E693" t="s">
        <v>298</v>
      </c>
      <c r="F693" t="s">
        <v>976</v>
      </c>
      <c r="G693" t="s">
        <v>59</v>
      </c>
      <c r="H693" t="s">
        <v>46</v>
      </c>
      <c r="L69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9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93" s="1"/>
      <c r="T693" s="64" t="str">
        <f>IF(Table1[[#This Row],[ActualWinner]]="", "", IF(Table1[[#This Row],[AwayTeam]]=Table1[[#This Row],[ActualWinner]],Table1[[#This Row],[HomeTeam]],Table1[[#This Row],[AwayTeam]]))</f>
        <v/>
      </c>
      <c r="U693" s="64">
        <f>Table1[[#This Row],[ActualAwayScore]]-Table1[[#This Row],[PredictedAwayScore]]</f>
        <v>0</v>
      </c>
      <c r="V693" s="64">
        <f>Table1[[#This Row],[ActualHomeScore]]-Table1[[#This Row],[PredictedHomeScore]]</f>
        <v>0</v>
      </c>
      <c r="W693" s="64">
        <f>(0.8*IF(Table1[[#This Row],[CorrectWinnerPrediction]]=1, 1, 0))+(0.1*IF(Table1[[#This Row],[CorrectAwayScorePrediction]]=1, 1, 0))+(0.1*IF(Table1[[#This Row],[CorrectHomeScorePrediction]]=1, 1, 0))</f>
        <v>0</v>
      </c>
      <c r="X69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93" s="64">
        <f>SUMIF(Table1[GameDate], Table1[[#This Row],[GameDate]], Table1[AwayGameGoalDiff])</f>
        <v>0</v>
      </c>
      <c r="AA693" s="64">
        <f>SUMIF(Table1[GameDate], Table1[[#This Row],[GameDate]], Table1[HomeGameGoalDiff])</f>
        <v>0</v>
      </c>
      <c r="AB693" s="64">
        <f>IF(ISBLANK(Table1[[#This Row],[ActualResult]]), 0, 1)</f>
        <v>0</v>
      </c>
      <c r="AC693" s="64">
        <f>IF(ISBLANK(Table1[[#This Row],[ActualResult]]), 0, IF(Table1[[#This Row],[ActualWinner]]=Table1[[#This Row],[PredictedWinner]], 1, 0))</f>
        <v>0</v>
      </c>
      <c r="AD69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9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93" s="64">
        <f>IF(AND(Table1[[#This Row],[GameIsOver]]=1,Table1[[#This Row],[ActualAwayScore]]=0), 1,0)</f>
        <v>0</v>
      </c>
      <c r="AG693" s="64">
        <f>IF(AND(Table1[[#This Row],[GameIsOver]]=1,Table1[[#This Row],[ActualHomeScore]]=0), 1,0)</f>
        <v>0</v>
      </c>
      <c r="AH693" s="64">
        <f>IF(Table1[[#This Row],[GameIsOver]]=0,0,IF(Table1[[#This Row],[ActualWinner]]=Table1[[#This Row],[AwayTeam]], 1, 0))</f>
        <v>0</v>
      </c>
      <c r="AI693" s="64">
        <f>IF(Table1[[#This Row],[GameIsOver]]=0,0,IF(Table1[[#This Row],[ActualWinner]]=Table1[[#This Row],[HomeTeam]], 1, 0))</f>
        <v>0</v>
      </c>
      <c r="AJ693" s="64">
        <f>IF(INDEX(Standings!$A$2:$C$33,MATCH(Table1[[#This Row],[AwayTeam]],Standings!$A$2:$A$33,0),2)=INDEX(Standings!$A$2:$C$33,MATCH(Table1[[#This Row],[HomeTeam]],Standings!$A$2:$A$33,0),2),1,0)</f>
        <v>0</v>
      </c>
      <c r="AK693" s="64">
        <f>IF(INDEX(Standings!$A$2:$C$33,MATCH(Table1[[#This Row],[AwayTeam]],Standings!$A$2:$A$33,0),3)=INDEX(Standings!$A$2:$C$33,MATCH(Table1[[#This Row],[HomeTeam]],Standings!$A$2:$A$33,0),3),1,0)</f>
        <v>0</v>
      </c>
      <c r="AL693" s="64">
        <f>IF(Table1[[#This Row],[InterConf]]=1,IF(Table1[[#This Row],[InterDiv]]=0, 1, 0), 0)</f>
        <v>0</v>
      </c>
      <c r="AM693" s="64">
        <f>IF(INDEX(Standings!$A$2:$C$33,MATCH(Table1[[#This Row],[AwayTeam]],Standings!$A$2:$A$33,0),2)&lt;&gt;INDEX(Standings!$A$2:$C$33,MATCH(Table1[[#This Row],[HomeTeam]],Standings!$A$2:$A$33,0),2),1,0)</f>
        <v>1</v>
      </c>
      <c r="AN693" s="64" t="str">
        <f>INDEX(Table2[AWAY_RECORD], MATCH(Table1[[#This Row],[AwayTeam]],Table2[Team], 0), 0)</f>
        <v>0-1-0</v>
      </c>
      <c r="AO693" s="64" t="str">
        <f>INDEX(Records!$B$2:$AG$33, MATCH(Table1[[#This Row],[AwayTeam]],Records!$A$2:$A$33, 0), MATCH(Table1[[#This Row],[HomeTeam]],Records!$A$2:$A$33, 0))</f>
        <v>0-0-0</v>
      </c>
      <c r="AP693" s="64" t="str">
        <f>INDEX(Table2[HOME_RECORD], MATCH(Table1[[#This Row],[HomeTeam]],Table2[Team], 0), 0)</f>
        <v>0-0-0</v>
      </c>
      <c r="AQ693" s="64" t="str">
        <f>INDEX(Records!$B$2:$AG$33, MATCH(Table1[[#This Row],[HomeTeam]],Records!$A$2:$A$33, 0), MATCH(Table1[[#This Row],[AwayTeam]],Records!$A$2:$A$33, 0))</f>
        <v>0-0-0</v>
      </c>
    </row>
    <row r="694" spans="1:43" x14ac:dyDescent="0.25">
      <c r="A694" s="1"/>
      <c r="D694" t="s">
        <v>975</v>
      </c>
      <c r="E694" t="s">
        <v>298</v>
      </c>
      <c r="F694" t="s">
        <v>977</v>
      </c>
      <c r="G694" t="s">
        <v>43</v>
      </c>
      <c r="H694" t="s">
        <v>55</v>
      </c>
      <c r="L69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9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94" s="1"/>
      <c r="T694" s="64" t="str">
        <f>IF(Table1[[#This Row],[ActualWinner]]="", "", IF(Table1[[#This Row],[AwayTeam]]=Table1[[#This Row],[ActualWinner]],Table1[[#This Row],[HomeTeam]],Table1[[#This Row],[AwayTeam]]))</f>
        <v/>
      </c>
      <c r="U694" s="64">
        <f>Table1[[#This Row],[ActualAwayScore]]-Table1[[#This Row],[PredictedAwayScore]]</f>
        <v>0</v>
      </c>
      <c r="V694" s="64">
        <f>Table1[[#This Row],[ActualHomeScore]]-Table1[[#This Row],[PredictedHomeScore]]</f>
        <v>0</v>
      </c>
      <c r="W694" s="64">
        <f>(0.8*IF(Table1[[#This Row],[CorrectWinnerPrediction]]=1, 1, 0))+(0.1*IF(Table1[[#This Row],[CorrectAwayScorePrediction]]=1, 1, 0))+(0.1*IF(Table1[[#This Row],[CorrectHomeScorePrediction]]=1, 1, 0))</f>
        <v>0</v>
      </c>
      <c r="X69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94" s="64">
        <f>SUMIF(Table1[GameDate], Table1[[#This Row],[GameDate]], Table1[AwayGameGoalDiff])</f>
        <v>0</v>
      </c>
      <c r="AA694" s="64">
        <f>SUMIF(Table1[GameDate], Table1[[#This Row],[GameDate]], Table1[HomeGameGoalDiff])</f>
        <v>0</v>
      </c>
      <c r="AB694" s="64">
        <f>IF(ISBLANK(Table1[[#This Row],[ActualResult]]), 0, 1)</f>
        <v>0</v>
      </c>
      <c r="AC694" s="64">
        <f>IF(ISBLANK(Table1[[#This Row],[ActualResult]]), 0, IF(Table1[[#This Row],[ActualWinner]]=Table1[[#This Row],[PredictedWinner]], 1, 0))</f>
        <v>0</v>
      </c>
      <c r="AD69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9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94" s="64">
        <f>IF(AND(Table1[[#This Row],[GameIsOver]]=1,Table1[[#This Row],[ActualAwayScore]]=0), 1,0)</f>
        <v>0</v>
      </c>
      <c r="AG694" s="64">
        <f>IF(AND(Table1[[#This Row],[GameIsOver]]=1,Table1[[#This Row],[ActualHomeScore]]=0), 1,0)</f>
        <v>0</v>
      </c>
      <c r="AH694" s="64">
        <f>IF(Table1[[#This Row],[GameIsOver]]=0,0,IF(Table1[[#This Row],[ActualWinner]]=Table1[[#This Row],[AwayTeam]], 1, 0))</f>
        <v>0</v>
      </c>
      <c r="AI694" s="64">
        <f>IF(Table1[[#This Row],[GameIsOver]]=0,0,IF(Table1[[#This Row],[ActualWinner]]=Table1[[#This Row],[HomeTeam]], 1, 0))</f>
        <v>0</v>
      </c>
      <c r="AJ694" s="64">
        <f>IF(INDEX(Standings!$A$2:$C$33,MATCH(Table1[[#This Row],[AwayTeam]],Standings!$A$2:$A$33,0),2)=INDEX(Standings!$A$2:$C$33,MATCH(Table1[[#This Row],[HomeTeam]],Standings!$A$2:$A$33,0),2),1,0)</f>
        <v>1</v>
      </c>
      <c r="AK694" s="64">
        <f>IF(INDEX(Standings!$A$2:$C$33,MATCH(Table1[[#This Row],[AwayTeam]],Standings!$A$2:$A$33,0),3)=INDEX(Standings!$A$2:$C$33,MATCH(Table1[[#This Row],[HomeTeam]],Standings!$A$2:$A$33,0),3),1,0)</f>
        <v>0</v>
      </c>
      <c r="AL694" s="64">
        <f>IF(Table1[[#This Row],[InterConf]]=1,IF(Table1[[#This Row],[InterDiv]]=0, 1, 0), 0)</f>
        <v>1</v>
      </c>
      <c r="AM694" s="64">
        <f>IF(INDEX(Standings!$A$2:$C$33,MATCH(Table1[[#This Row],[AwayTeam]],Standings!$A$2:$A$33,0),2)&lt;&gt;INDEX(Standings!$A$2:$C$33,MATCH(Table1[[#This Row],[HomeTeam]],Standings!$A$2:$A$33,0),2),1,0)</f>
        <v>0</v>
      </c>
      <c r="AN694" s="64" t="str">
        <f>INDEX(Table2[AWAY_RECORD], MATCH(Table1[[#This Row],[AwayTeam]],Table2[Team], 0), 0)</f>
        <v>0-0-0</v>
      </c>
      <c r="AO694" s="64" t="str">
        <f>INDEX(Records!$B$2:$AG$33, MATCH(Table1[[#This Row],[AwayTeam]],Records!$A$2:$A$33, 0), MATCH(Table1[[#This Row],[HomeTeam]],Records!$A$2:$A$33, 0))</f>
        <v>0-0-0</v>
      </c>
      <c r="AP694" s="64" t="str">
        <f>INDEX(Table2[HOME_RECORD], MATCH(Table1[[#This Row],[HomeTeam]],Table2[Team], 0), 0)</f>
        <v>0-1-0</v>
      </c>
      <c r="AQ694" s="64" t="str">
        <f>INDEX(Records!$B$2:$AG$33, MATCH(Table1[[#This Row],[HomeTeam]],Records!$A$2:$A$33, 0), MATCH(Table1[[#This Row],[AwayTeam]],Records!$A$2:$A$33, 0))</f>
        <v>0-0-0</v>
      </c>
    </row>
    <row r="695" spans="1:43" x14ac:dyDescent="0.25">
      <c r="A695" s="1"/>
      <c r="D695" t="s">
        <v>975</v>
      </c>
      <c r="E695" t="s">
        <v>162</v>
      </c>
      <c r="F695" t="s">
        <v>978</v>
      </c>
      <c r="G695" t="s">
        <v>58</v>
      </c>
      <c r="H695" t="s">
        <v>44</v>
      </c>
      <c r="L69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9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95" s="1"/>
      <c r="T695" s="64" t="str">
        <f>IF(Table1[[#This Row],[ActualWinner]]="", "", IF(Table1[[#This Row],[AwayTeam]]=Table1[[#This Row],[ActualWinner]],Table1[[#This Row],[HomeTeam]],Table1[[#This Row],[AwayTeam]]))</f>
        <v/>
      </c>
      <c r="U695" s="64">
        <f>Table1[[#This Row],[ActualAwayScore]]-Table1[[#This Row],[PredictedAwayScore]]</f>
        <v>0</v>
      </c>
      <c r="V695" s="64">
        <f>Table1[[#This Row],[ActualHomeScore]]-Table1[[#This Row],[PredictedHomeScore]]</f>
        <v>0</v>
      </c>
      <c r="W695" s="64">
        <f>(0.8*IF(Table1[[#This Row],[CorrectWinnerPrediction]]=1, 1, 0))+(0.1*IF(Table1[[#This Row],[CorrectAwayScorePrediction]]=1, 1, 0))+(0.1*IF(Table1[[#This Row],[CorrectHomeScorePrediction]]=1, 1, 0))</f>
        <v>0</v>
      </c>
      <c r="X69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95" s="64">
        <f>SUMIF(Table1[GameDate], Table1[[#This Row],[GameDate]], Table1[AwayGameGoalDiff])</f>
        <v>0</v>
      </c>
      <c r="AA695" s="64">
        <f>SUMIF(Table1[GameDate], Table1[[#This Row],[GameDate]], Table1[HomeGameGoalDiff])</f>
        <v>0</v>
      </c>
      <c r="AB695" s="64">
        <f>IF(ISBLANK(Table1[[#This Row],[ActualResult]]), 0, 1)</f>
        <v>0</v>
      </c>
      <c r="AC695" s="64">
        <f>IF(ISBLANK(Table1[[#This Row],[ActualResult]]), 0, IF(Table1[[#This Row],[ActualWinner]]=Table1[[#This Row],[PredictedWinner]], 1, 0))</f>
        <v>0</v>
      </c>
      <c r="AD69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9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95" s="64">
        <f>IF(AND(Table1[[#This Row],[GameIsOver]]=1,Table1[[#This Row],[ActualAwayScore]]=0), 1,0)</f>
        <v>0</v>
      </c>
      <c r="AG695" s="64">
        <f>IF(AND(Table1[[#This Row],[GameIsOver]]=1,Table1[[#This Row],[ActualHomeScore]]=0), 1,0)</f>
        <v>0</v>
      </c>
      <c r="AH695" s="64">
        <f>IF(Table1[[#This Row],[GameIsOver]]=0,0,IF(Table1[[#This Row],[ActualWinner]]=Table1[[#This Row],[AwayTeam]], 1, 0))</f>
        <v>0</v>
      </c>
      <c r="AI695" s="64">
        <f>IF(Table1[[#This Row],[GameIsOver]]=0,0,IF(Table1[[#This Row],[ActualWinner]]=Table1[[#This Row],[HomeTeam]], 1, 0))</f>
        <v>0</v>
      </c>
      <c r="AJ695" s="64">
        <f>IF(INDEX(Standings!$A$2:$C$33,MATCH(Table1[[#This Row],[AwayTeam]],Standings!$A$2:$A$33,0),2)=INDEX(Standings!$A$2:$C$33,MATCH(Table1[[#This Row],[HomeTeam]],Standings!$A$2:$A$33,0),2),1,0)</f>
        <v>0</v>
      </c>
      <c r="AK695" s="64">
        <f>IF(INDEX(Standings!$A$2:$C$33,MATCH(Table1[[#This Row],[AwayTeam]],Standings!$A$2:$A$33,0),3)=INDEX(Standings!$A$2:$C$33,MATCH(Table1[[#This Row],[HomeTeam]],Standings!$A$2:$A$33,0),3),1,0)</f>
        <v>0</v>
      </c>
      <c r="AL695" s="64">
        <f>IF(Table1[[#This Row],[InterConf]]=1,IF(Table1[[#This Row],[InterDiv]]=0, 1, 0), 0)</f>
        <v>0</v>
      </c>
      <c r="AM695" s="64">
        <f>IF(INDEX(Standings!$A$2:$C$33,MATCH(Table1[[#This Row],[AwayTeam]],Standings!$A$2:$A$33,0),2)&lt;&gt;INDEX(Standings!$A$2:$C$33,MATCH(Table1[[#This Row],[HomeTeam]],Standings!$A$2:$A$33,0),2),1,0)</f>
        <v>1</v>
      </c>
      <c r="AN695" s="64" t="str">
        <f>INDEX(Table2[AWAY_RECORD], MATCH(Table1[[#This Row],[AwayTeam]],Table2[Team], 0), 0)</f>
        <v>0-0-0</v>
      </c>
      <c r="AO695" s="64" t="str">
        <f>INDEX(Records!$B$2:$AG$33, MATCH(Table1[[#This Row],[AwayTeam]],Records!$A$2:$A$33, 0), MATCH(Table1[[#This Row],[HomeTeam]],Records!$A$2:$A$33, 0))</f>
        <v>0-0-0</v>
      </c>
      <c r="AP695" s="64" t="str">
        <f>INDEX(Table2[HOME_RECORD], MATCH(Table1[[#This Row],[HomeTeam]],Table2[Team], 0), 0)</f>
        <v>0-0-1</v>
      </c>
      <c r="AQ695" s="64" t="str">
        <f>INDEX(Records!$B$2:$AG$33, MATCH(Table1[[#This Row],[HomeTeam]],Records!$A$2:$A$33, 0), MATCH(Table1[[#This Row],[AwayTeam]],Records!$A$2:$A$33, 0))</f>
        <v>0-0-0</v>
      </c>
    </row>
    <row r="696" spans="1:43" x14ac:dyDescent="0.25">
      <c r="A696" s="1"/>
      <c r="D696" t="s">
        <v>975</v>
      </c>
      <c r="E696" t="s">
        <v>162</v>
      </c>
      <c r="F696" t="s">
        <v>979</v>
      </c>
      <c r="G696" t="s">
        <v>42</v>
      </c>
      <c r="H696" t="s">
        <v>49</v>
      </c>
      <c r="L69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9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96" s="1"/>
      <c r="T696" s="64" t="str">
        <f>IF(Table1[[#This Row],[ActualWinner]]="", "", IF(Table1[[#This Row],[AwayTeam]]=Table1[[#This Row],[ActualWinner]],Table1[[#This Row],[HomeTeam]],Table1[[#This Row],[AwayTeam]]))</f>
        <v/>
      </c>
      <c r="U696" s="64">
        <f>Table1[[#This Row],[ActualAwayScore]]-Table1[[#This Row],[PredictedAwayScore]]</f>
        <v>0</v>
      </c>
      <c r="V696" s="64">
        <f>Table1[[#This Row],[ActualHomeScore]]-Table1[[#This Row],[PredictedHomeScore]]</f>
        <v>0</v>
      </c>
      <c r="W696" s="64">
        <f>(0.8*IF(Table1[[#This Row],[CorrectWinnerPrediction]]=1, 1, 0))+(0.1*IF(Table1[[#This Row],[CorrectAwayScorePrediction]]=1, 1, 0))+(0.1*IF(Table1[[#This Row],[CorrectHomeScorePrediction]]=1, 1, 0))</f>
        <v>0</v>
      </c>
      <c r="X69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96" s="64">
        <f>SUMIF(Table1[GameDate], Table1[[#This Row],[GameDate]], Table1[AwayGameGoalDiff])</f>
        <v>0</v>
      </c>
      <c r="AA696" s="64">
        <f>SUMIF(Table1[GameDate], Table1[[#This Row],[GameDate]], Table1[HomeGameGoalDiff])</f>
        <v>0</v>
      </c>
      <c r="AB696" s="64">
        <f>IF(ISBLANK(Table1[[#This Row],[ActualResult]]), 0, 1)</f>
        <v>0</v>
      </c>
      <c r="AC696" s="64">
        <f>IF(ISBLANK(Table1[[#This Row],[ActualResult]]), 0, IF(Table1[[#This Row],[ActualWinner]]=Table1[[#This Row],[PredictedWinner]], 1, 0))</f>
        <v>0</v>
      </c>
      <c r="AD69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9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96" s="64">
        <f>IF(AND(Table1[[#This Row],[GameIsOver]]=1,Table1[[#This Row],[ActualAwayScore]]=0), 1,0)</f>
        <v>0</v>
      </c>
      <c r="AG696" s="64">
        <f>IF(AND(Table1[[#This Row],[GameIsOver]]=1,Table1[[#This Row],[ActualHomeScore]]=0), 1,0)</f>
        <v>0</v>
      </c>
      <c r="AH696" s="64">
        <f>IF(Table1[[#This Row],[GameIsOver]]=0,0,IF(Table1[[#This Row],[ActualWinner]]=Table1[[#This Row],[AwayTeam]], 1, 0))</f>
        <v>0</v>
      </c>
      <c r="AI696" s="64">
        <f>IF(Table1[[#This Row],[GameIsOver]]=0,0,IF(Table1[[#This Row],[ActualWinner]]=Table1[[#This Row],[HomeTeam]], 1, 0))</f>
        <v>0</v>
      </c>
      <c r="AJ696" s="64">
        <f>IF(INDEX(Standings!$A$2:$C$33,MATCH(Table1[[#This Row],[AwayTeam]],Standings!$A$2:$A$33,0),2)=INDEX(Standings!$A$2:$C$33,MATCH(Table1[[#This Row],[HomeTeam]],Standings!$A$2:$A$33,0),2),1,0)</f>
        <v>1</v>
      </c>
      <c r="AK696" s="64">
        <f>IF(INDEX(Standings!$A$2:$C$33,MATCH(Table1[[#This Row],[AwayTeam]],Standings!$A$2:$A$33,0),3)=INDEX(Standings!$A$2:$C$33,MATCH(Table1[[#This Row],[HomeTeam]],Standings!$A$2:$A$33,0),3),1,0)</f>
        <v>1</v>
      </c>
      <c r="AL696" s="64">
        <f>IF(Table1[[#This Row],[InterConf]]=1,IF(Table1[[#This Row],[InterDiv]]=0, 1, 0), 0)</f>
        <v>0</v>
      </c>
      <c r="AM696" s="64">
        <f>IF(INDEX(Standings!$A$2:$C$33,MATCH(Table1[[#This Row],[AwayTeam]],Standings!$A$2:$A$33,0),2)&lt;&gt;INDEX(Standings!$A$2:$C$33,MATCH(Table1[[#This Row],[HomeTeam]],Standings!$A$2:$A$33,0),2),1,0)</f>
        <v>0</v>
      </c>
      <c r="AN696" s="64" t="str">
        <f>INDEX(Table2[AWAY_RECORD], MATCH(Table1[[#This Row],[AwayTeam]],Table2[Team], 0), 0)</f>
        <v>0-0-0</v>
      </c>
      <c r="AO696" s="64" t="str">
        <f>INDEX(Records!$B$2:$AG$33, MATCH(Table1[[#This Row],[AwayTeam]],Records!$A$2:$A$33, 0), MATCH(Table1[[#This Row],[HomeTeam]],Records!$A$2:$A$33, 0))</f>
        <v>0-0-0</v>
      </c>
      <c r="AP696" s="64" t="str">
        <f>INDEX(Table2[HOME_RECORD], MATCH(Table1[[#This Row],[HomeTeam]],Table2[Team], 0), 0)</f>
        <v>1-0-0</v>
      </c>
      <c r="AQ696" s="64" t="str">
        <f>INDEX(Records!$B$2:$AG$33, MATCH(Table1[[#This Row],[HomeTeam]],Records!$A$2:$A$33, 0), MATCH(Table1[[#This Row],[AwayTeam]],Records!$A$2:$A$33, 0))</f>
        <v>0-0-0</v>
      </c>
    </row>
    <row r="697" spans="1:43" x14ac:dyDescent="0.25">
      <c r="A697" s="1"/>
      <c r="D697" t="s">
        <v>975</v>
      </c>
      <c r="E697" t="s">
        <v>162</v>
      </c>
      <c r="F697" t="s">
        <v>980</v>
      </c>
      <c r="G697" t="s">
        <v>16</v>
      </c>
      <c r="H697" t="s">
        <v>51</v>
      </c>
      <c r="L69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9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97" s="1"/>
      <c r="T697" s="64" t="str">
        <f>IF(Table1[[#This Row],[ActualWinner]]="", "", IF(Table1[[#This Row],[AwayTeam]]=Table1[[#This Row],[ActualWinner]],Table1[[#This Row],[HomeTeam]],Table1[[#This Row],[AwayTeam]]))</f>
        <v/>
      </c>
      <c r="U697" s="64">
        <f>Table1[[#This Row],[ActualAwayScore]]-Table1[[#This Row],[PredictedAwayScore]]</f>
        <v>0</v>
      </c>
      <c r="V697" s="64">
        <f>Table1[[#This Row],[ActualHomeScore]]-Table1[[#This Row],[PredictedHomeScore]]</f>
        <v>0</v>
      </c>
      <c r="W697" s="64">
        <f>(0.8*IF(Table1[[#This Row],[CorrectWinnerPrediction]]=1, 1, 0))+(0.1*IF(Table1[[#This Row],[CorrectAwayScorePrediction]]=1, 1, 0))+(0.1*IF(Table1[[#This Row],[CorrectHomeScorePrediction]]=1, 1, 0))</f>
        <v>0</v>
      </c>
      <c r="X69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97" s="64">
        <f>SUMIF(Table1[GameDate], Table1[[#This Row],[GameDate]], Table1[AwayGameGoalDiff])</f>
        <v>0</v>
      </c>
      <c r="AA697" s="64">
        <f>SUMIF(Table1[GameDate], Table1[[#This Row],[GameDate]], Table1[HomeGameGoalDiff])</f>
        <v>0</v>
      </c>
      <c r="AB697" s="64">
        <f>IF(ISBLANK(Table1[[#This Row],[ActualResult]]), 0, 1)</f>
        <v>0</v>
      </c>
      <c r="AC697" s="64">
        <f>IF(ISBLANK(Table1[[#This Row],[ActualResult]]), 0, IF(Table1[[#This Row],[ActualWinner]]=Table1[[#This Row],[PredictedWinner]], 1, 0))</f>
        <v>0</v>
      </c>
      <c r="AD69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9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97" s="64">
        <f>IF(AND(Table1[[#This Row],[GameIsOver]]=1,Table1[[#This Row],[ActualAwayScore]]=0), 1,0)</f>
        <v>0</v>
      </c>
      <c r="AG697" s="64">
        <f>IF(AND(Table1[[#This Row],[GameIsOver]]=1,Table1[[#This Row],[ActualHomeScore]]=0), 1,0)</f>
        <v>0</v>
      </c>
      <c r="AH697" s="64">
        <f>IF(Table1[[#This Row],[GameIsOver]]=0,0,IF(Table1[[#This Row],[ActualWinner]]=Table1[[#This Row],[AwayTeam]], 1, 0))</f>
        <v>0</v>
      </c>
      <c r="AI697" s="64">
        <f>IF(Table1[[#This Row],[GameIsOver]]=0,0,IF(Table1[[#This Row],[ActualWinner]]=Table1[[#This Row],[HomeTeam]], 1, 0))</f>
        <v>0</v>
      </c>
      <c r="AJ697" s="64">
        <f>IF(INDEX(Standings!$A$2:$C$33,MATCH(Table1[[#This Row],[AwayTeam]],Standings!$A$2:$A$33,0),2)=INDEX(Standings!$A$2:$C$33,MATCH(Table1[[#This Row],[HomeTeam]],Standings!$A$2:$A$33,0),2),1,0)</f>
        <v>0</v>
      </c>
      <c r="AK697" s="64">
        <f>IF(INDEX(Standings!$A$2:$C$33,MATCH(Table1[[#This Row],[AwayTeam]],Standings!$A$2:$A$33,0),3)=INDEX(Standings!$A$2:$C$33,MATCH(Table1[[#This Row],[HomeTeam]],Standings!$A$2:$A$33,0),3),1,0)</f>
        <v>0</v>
      </c>
      <c r="AL697" s="64">
        <f>IF(Table1[[#This Row],[InterConf]]=1,IF(Table1[[#This Row],[InterDiv]]=0, 1, 0), 0)</f>
        <v>0</v>
      </c>
      <c r="AM697" s="64">
        <f>IF(INDEX(Standings!$A$2:$C$33,MATCH(Table1[[#This Row],[AwayTeam]],Standings!$A$2:$A$33,0),2)&lt;&gt;INDEX(Standings!$A$2:$C$33,MATCH(Table1[[#This Row],[HomeTeam]],Standings!$A$2:$A$33,0),2),1,0)</f>
        <v>1</v>
      </c>
      <c r="AN697" s="64" t="str">
        <f>INDEX(Table2[AWAY_RECORD], MATCH(Table1[[#This Row],[AwayTeam]],Table2[Team], 0), 0)</f>
        <v>1-0-1</v>
      </c>
      <c r="AO697" s="64" t="str">
        <f>INDEX(Records!$B$2:$AG$33, MATCH(Table1[[#This Row],[AwayTeam]],Records!$A$2:$A$33, 0), MATCH(Table1[[#This Row],[HomeTeam]],Records!$A$2:$A$33, 0))</f>
        <v>0-0-0</v>
      </c>
      <c r="AP697" s="64" t="str">
        <f>INDEX(Table2[HOME_RECORD], MATCH(Table1[[#This Row],[HomeTeam]],Table2[Team], 0), 0)</f>
        <v>1-0-0</v>
      </c>
      <c r="AQ697" s="64" t="str">
        <f>INDEX(Records!$B$2:$AG$33, MATCH(Table1[[#This Row],[HomeTeam]],Records!$A$2:$A$33, 0), MATCH(Table1[[#This Row],[AwayTeam]],Records!$A$2:$A$33, 0))</f>
        <v>0-0-0</v>
      </c>
    </row>
    <row r="698" spans="1:43" x14ac:dyDescent="0.25">
      <c r="A698" s="1"/>
      <c r="D698" t="s">
        <v>975</v>
      </c>
      <c r="E698" t="s">
        <v>162</v>
      </c>
      <c r="F698" t="s">
        <v>981</v>
      </c>
      <c r="G698" t="s">
        <v>24</v>
      </c>
      <c r="H698" t="s">
        <v>53</v>
      </c>
      <c r="L69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9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98" s="1"/>
      <c r="T698" s="64" t="str">
        <f>IF(Table1[[#This Row],[ActualWinner]]="", "", IF(Table1[[#This Row],[AwayTeam]]=Table1[[#This Row],[ActualWinner]],Table1[[#This Row],[HomeTeam]],Table1[[#This Row],[AwayTeam]]))</f>
        <v/>
      </c>
      <c r="U698" s="64">
        <f>Table1[[#This Row],[ActualAwayScore]]-Table1[[#This Row],[PredictedAwayScore]]</f>
        <v>0</v>
      </c>
      <c r="V698" s="64">
        <f>Table1[[#This Row],[ActualHomeScore]]-Table1[[#This Row],[PredictedHomeScore]]</f>
        <v>0</v>
      </c>
      <c r="W698" s="64">
        <f>(0.8*IF(Table1[[#This Row],[CorrectWinnerPrediction]]=1, 1, 0))+(0.1*IF(Table1[[#This Row],[CorrectAwayScorePrediction]]=1, 1, 0))+(0.1*IF(Table1[[#This Row],[CorrectHomeScorePrediction]]=1, 1, 0))</f>
        <v>0</v>
      </c>
      <c r="X69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98" s="64">
        <f>SUMIF(Table1[GameDate], Table1[[#This Row],[GameDate]], Table1[AwayGameGoalDiff])</f>
        <v>0</v>
      </c>
      <c r="AA698" s="64">
        <f>SUMIF(Table1[GameDate], Table1[[#This Row],[GameDate]], Table1[HomeGameGoalDiff])</f>
        <v>0</v>
      </c>
      <c r="AB698" s="64">
        <f>IF(ISBLANK(Table1[[#This Row],[ActualResult]]), 0, 1)</f>
        <v>0</v>
      </c>
      <c r="AC698" s="64">
        <f>IF(ISBLANK(Table1[[#This Row],[ActualResult]]), 0, IF(Table1[[#This Row],[ActualWinner]]=Table1[[#This Row],[PredictedWinner]], 1, 0))</f>
        <v>0</v>
      </c>
      <c r="AD69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9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98" s="64">
        <f>IF(AND(Table1[[#This Row],[GameIsOver]]=1,Table1[[#This Row],[ActualAwayScore]]=0), 1,0)</f>
        <v>0</v>
      </c>
      <c r="AG698" s="64">
        <f>IF(AND(Table1[[#This Row],[GameIsOver]]=1,Table1[[#This Row],[ActualHomeScore]]=0), 1,0)</f>
        <v>0</v>
      </c>
      <c r="AH698" s="64">
        <f>IF(Table1[[#This Row],[GameIsOver]]=0,0,IF(Table1[[#This Row],[ActualWinner]]=Table1[[#This Row],[AwayTeam]], 1, 0))</f>
        <v>0</v>
      </c>
      <c r="AI698" s="64">
        <f>IF(Table1[[#This Row],[GameIsOver]]=0,0,IF(Table1[[#This Row],[ActualWinner]]=Table1[[#This Row],[HomeTeam]], 1, 0))</f>
        <v>0</v>
      </c>
      <c r="AJ698" s="64">
        <f>IF(INDEX(Standings!$A$2:$C$33,MATCH(Table1[[#This Row],[AwayTeam]],Standings!$A$2:$A$33,0),2)=INDEX(Standings!$A$2:$C$33,MATCH(Table1[[#This Row],[HomeTeam]],Standings!$A$2:$A$33,0),2),1,0)</f>
        <v>1</v>
      </c>
      <c r="AK698" s="64">
        <f>IF(INDEX(Standings!$A$2:$C$33,MATCH(Table1[[#This Row],[AwayTeam]],Standings!$A$2:$A$33,0),3)=INDEX(Standings!$A$2:$C$33,MATCH(Table1[[#This Row],[HomeTeam]],Standings!$A$2:$A$33,0),3),1,0)</f>
        <v>0</v>
      </c>
      <c r="AL698" s="64">
        <f>IF(Table1[[#This Row],[InterConf]]=1,IF(Table1[[#This Row],[InterDiv]]=0, 1, 0), 0)</f>
        <v>1</v>
      </c>
      <c r="AM698" s="64">
        <f>IF(INDEX(Standings!$A$2:$C$33,MATCH(Table1[[#This Row],[AwayTeam]],Standings!$A$2:$A$33,0),2)&lt;&gt;INDEX(Standings!$A$2:$C$33,MATCH(Table1[[#This Row],[HomeTeam]],Standings!$A$2:$A$33,0),2),1,0)</f>
        <v>0</v>
      </c>
      <c r="AN698" s="64" t="str">
        <f>INDEX(Table2[AWAY_RECORD], MATCH(Table1[[#This Row],[AwayTeam]],Table2[Team], 0), 0)</f>
        <v>0-0-0</v>
      </c>
      <c r="AO698" s="64" t="str">
        <f>INDEX(Records!$B$2:$AG$33, MATCH(Table1[[#This Row],[AwayTeam]],Records!$A$2:$A$33, 0), MATCH(Table1[[#This Row],[HomeTeam]],Records!$A$2:$A$33, 0))</f>
        <v>0-0-0</v>
      </c>
      <c r="AP698" s="64" t="str">
        <f>INDEX(Table2[HOME_RECORD], MATCH(Table1[[#This Row],[HomeTeam]],Table2[Team], 0), 0)</f>
        <v>1-0-0</v>
      </c>
      <c r="AQ698" s="64" t="str">
        <f>INDEX(Records!$B$2:$AG$33, MATCH(Table1[[#This Row],[HomeTeam]],Records!$A$2:$A$33, 0), MATCH(Table1[[#This Row],[AwayTeam]],Records!$A$2:$A$33, 0))</f>
        <v>0-0-0</v>
      </c>
    </row>
    <row r="699" spans="1:43" x14ac:dyDescent="0.25">
      <c r="A699" s="1"/>
      <c r="D699" t="s">
        <v>975</v>
      </c>
      <c r="E699" t="s">
        <v>162</v>
      </c>
      <c r="F699" t="s">
        <v>982</v>
      </c>
      <c r="G699" t="s">
        <v>54</v>
      </c>
      <c r="H699" t="s">
        <v>40</v>
      </c>
      <c r="L69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69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699" s="1"/>
      <c r="T699" s="64" t="str">
        <f>IF(Table1[[#This Row],[ActualWinner]]="", "", IF(Table1[[#This Row],[AwayTeam]]=Table1[[#This Row],[ActualWinner]],Table1[[#This Row],[HomeTeam]],Table1[[#This Row],[AwayTeam]]))</f>
        <v/>
      </c>
      <c r="U699" s="64">
        <f>Table1[[#This Row],[ActualAwayScore]]-Table1[[#This Row],[PredictedAwayScore]]</f>
        <v>0</v>
      </c>
      <c r="V699" s="64">
        <f>Table1[[#This Row],[ActualHomeScore]]-Table1[[#This Row],[PredictedHomeScore]]</f>
        <v>0</v>
      </c>
      <c r="W699" s="64">
        <f>(0.8*IF(Table1[[#This Row],[CorrectWinnerPrediction]]=1, 1, 0))+(0.1*IF(Table1[[#This Row],[CorrectAwayScorePrediction]]=1, 1, 0))+(0.1*IF(Table1[[#This Row],[CorrectHomeScorePrediction]]=1, 1, 0))</f>
        <v>0</v>
      </c>
      <c r="X69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99" s="64">
        <f>SUMIF(Table1[GameDate], Table1[[#This Row],[GameDate]], Table1[AwayGameGoalDiff])</f>
        <v>0</v>
      </c>
      <c r="AA699" s="64">
        <f>SUMIF(Table1[GameDate], Table1[[#This Row],[GameDate]], Table1[HomeGameGoalDiff])</f>
        <v>0</v>
      </c>
      <c r="AB699" s="64">
        <f>IF(ISBLANK(Table1[[#This Row],[ActualResult]]), 0, 1)</f>
        <v>0</v>
      </c>
      <c r="AC699" s="64">
        <f>IF(ISBLANK(Table1[[#This Row],[ActualResult]]), 0, IF(Table1[[#This Row],[ActualWinner]]=Table1[[#This Row],[PredictedWinner]], 1, 0))</f>
        <v>0</v>
      </c>
      <c r="AD69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9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99" s="64">
        <f>IF(AND(Table1[[#This Row],[GameIsOver]]=1,Table1[[#This Row],[ActualAwayScore]]=0), 1,0)</f>
        <v>0</v>
      </c>
      <c r="AG699" s="64">
        <f>IF(AND(Table1[[#This Row],[GameIsOver]]=1,Table1[[#This Row],[ActualHomeScore]]=0), 1,0)</f>
        <v>0</v>
      </c>
      <c r="AH699" s="64">
        <f>IF(Table1[[#This Row],[GameIsOver]]=0,0,IF(Table1[[#This Row],[ActualWinner]]=Table1[[#This Row],[AwayTeam]], 1, 0))</f>
        <v>0</v>
      </c>
      <c r="AI699" s="64">
        <f>IF(Table1[[#This Row],[GameIsOver]]=0,0,IF(Table1[[#This Row],[ActualWinner]]=Table1[[#This Row],[HomeTeam]], 1, 0))</f>
        <v>0</v>
      </c>
      <c r="AJ699" s="64">
        <f>IF(INDEX(Standings!$A$2:$C$33,MATCH(Table1[[#This Row],[AwayTeam]],Standings!$A$2:$A$33,0),2)=INDEX(Standings!$A$2:$C$33,MATCH(Table1[[#This Row],[HomeTeam]],Standings!$A$2:$A$33,0),2),1,0)</f>
        <v>1</v>
      </c>
      <c r="AK699" s="64">
        <f>IF(INDEX(Standings!$A$2:$C$33,MATCH(Table1[[#This Row],[AwayTeam]],Standings!$A$2:$A$33,0),3)=INDEX(Standings!$A$2:$C$33,MATCH(Table1[[#This Row],[HomeTeam]],Standings!$A$2:$A$33,0),3),1,0)</f>
        <v>1</v>
      </c>
      <c r="AL699" s="64">
        <f>IF(Table1[[#This Row],[InterConf]]=1,IF(Table1[[#This Row],[InterDiv]]=0, 1, 0), 0)</f>
        <v>0</v>
      </c>
      <c r="AM699" s="64">
        <f>IF(INDEX(Standings!$A$2:$C$33,MATCH(Table1[[#This Row],[AwayTeam]],Standings!$A$2:$A$33,0),2)&lt;&gt;INDEX(Standings!$A$2:$C$33,MATCH(Table1[[#This Row],[HomeTeam]],Standings!$A$2:$A$33,0),2),1,0)</f>
        <v>0</v>
      </c>
      <c r="AN699" s="64" t="str">
        <f>INDEX(Table2[AWAY_RECORD], MATCH(Table1[[#This Row],[AwayTeam]],Table2[Team], 0), 0)</f>
        <v>0-0-1</v>
      </c>
      <c r="AO699" s="64" t="str">
        <f>INDEX(Records!$B$2:$AG$33, MATCH(Table1[[#This Row],[AwayTeam]],Records!$A$2:$A$33, 0), MATCH(Table1[[#This Row],[HomeTeam]],Records!$A$2:$A$33, 0))</f>
        <v>0-0-0</v>
      </c>
      <c r="AP699" s="64" t="str">
        <f>INDEX(Table2[HOME_RECORD], MATCH(Table1[[#This Row],[HomeTeam]],Table2[Team], 0), 0)</f>
        <v>1-1-0</v>
      </c>
      <c r="AQ699" s="64" t="str">
        <f>INDEX(Records!$B$2:$AG$33, MATCH(Table1[[#This Row],[HomeTeam]],Records!$A$2:$A$33, 0), MATCH(Table1[[#This Row],[AwayTeam]],Records!$A$2:$A$33, 0))</f>
        <v>0-0-0</v>
      </c>
    </row>
    <row r="700" spans="1:43" x14ac:dyDescent="0.25">
      <c r="A700" s="1"/>
      <c r="D700" t="s">
        <v>975</v>
      </c>
      <c r="E700" t="s">
        <v>178</v>
      </c>
      <c r="F700" t="s">
        <v>983</v>
      </c>
      <c r="G700" t="s">
        <v>48</v>
      </c>
      <c r="H700" t="s">
        <v>60</v>
      </c>
      <c r="L70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0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00" s="1"/>
      <c r="T700" s="64" t="str">
        <f>IF(Table1[[#This Row],[ActualWinner]]="", "", IF(Table1[[#This Row],[AwayTeam]]=Table1[[#This Row],[ActualWinner]],Table1[[#This Row],[HomeTeam]],Table1[[#This Row],[AwayTeam]]))</f>
        <v/>
      </c>
      <c r="U700" s="64">
        <f>Table1[[#This Row],[ActualAwayScore]]-Table1[[#This Row],[PredictedAwayScore]]</f>
        <v>0</v>
      </c>
      <c r="V700" s="64">
        <f>Table1[[#This Row],[ActualHomeScore]]-Table1[[#This Row],[PredictedHomeScore]]</f>
        <v>0</v>
      </c>
      <c r="W700" s="64">
        <f>(0.8*IF(Table1[[#This Row],[CorrectWinnerPrediction]]=1, 1, 0))+(0.1*IF(Table1[[#This Row],[CorrectAwayScorePrediction]]=1, 1, 0))+(0.1*IF(Table1[[#This Row],[CorrectHomeScorePrediction]]=1, 1, 0))</f>
        <v>0</v>
      </c>
      <c r="X70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00" s="64">
        <f>SUMIF(Table1[GameDate], Table1[[#This Row],[GameDate]], Table1[AwayGameGoalDiff])</f>
        <v>0</v>
      </c>
      <c r="AA700" s="64">
        <f>SUMIF(Table1[GameDate], Table1[[#This Row],[GameDate]], Table1[HomeGameGoalDiff])</f>
        <v>0</v>
      </c>
      <c r="AB700" s="64">
        <f>IF(ISBLANK(Table1[[#This Row],[ActualResult]]), 0, 1)</f>
        <v>0</v>
      </c>
      <c r="AC700" s="64">
        <f>IF(ISBLANK(Table1[[#This Row],[ActualResult]]), 0, IF(Table1[[#This Row],[ActualWinner]]=Table1[[#This Row],[PredictedWinner]], 1, 0))</f>
        <v>0</v>
      </c>
      <c r="AD70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0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00" s="64">
        <f>IF(AND(Table1[[#This Row],[GameIsOver]]=1,Table1[[#This Row],[ActualAwayScore]]=0), 1,0)</f>
        <v>0</v>
      </c>
      <c r="AG700" s="64">
        <f>IF(AND(Table1[[#This Row],[GameIsOver]]=1,Table1[[#This Row],[ActualHomeScore]]=0), 1,0)</f>
        <v>0</v>
      </c>
      <c r="AH700" s="64">
        <f>IF(Table1[[#This Row],[GameIsOver]]=0,0,IF(Table1[[#This Row],[ActualWinner]]=Table1[[#This Row],[AwayTeam]], 1, 0))</f>
        <v>0</v>
      </c>
      <c r="AI700" s="64">
        <f>IF(Table1[[#This Row],[GameIsOver]]=0,0,IF(Table1[[#This Row],[ActualWinner]]=Table1[[#This Row],[HomeTeam]], 1, 0))</f>
        <v>0</v>
      </c>
      <c r="AJ700" s="64">
        <f>IF(INDEX(Standings!$A$2:$C$33,MATCH(Table1[[#This Row],[AwayTeam]],Standings!$A$2:$A$33,0),2)=INDEX(Standings!$A$2:$C$33,MATCH(Table1[[#This Row],[HomeTeam]],Standings!$A$2:$A$33,0),2),1,0)</f>
        <v>1</v>
      </c>
      <c r="AK700" s="64">
        <f>IF(INDEX(Standings!$A$2:$C$33,MATCH(Table1[[#This Row],[AwayTeam]],Standings!$A$2:$A$33,0),3)=INDEX(Standings!$A$2:$C$33,MATCH(Table1[[#This Row],[HomeTeam]],Standings!$A$2:$A$33,0),3),1,0)</f>
        <v>1</v>
      </c>
      <c r="AL700" s="64">
        <f>IF(Table1[[#This Row],[InterConf]]=1,IF(Table1[[#This Row],[InterDiv]]=0, 1, 0), 0)</f>
        <v>0</v>
      </c>
      <c r="AM700" s="64">
        <f>IF(INDEX(Standings!$A$2:$C$33,MATCH(Table1[[#This Row],[AwayTeam]],Standings!$A$2:$A$33,0),2)&lt;&gt;INDEX(Standings!$A$2:$C$33,MATCH(Table1[[#This Row],[HomeTeam]],Standings!$A$2:$A$33,0),2),1,0)</f>
        <v>0</v>
      </c>
      <c r="AN700" s="64" t="str">
        <f>INDEX(Table2[AWAY_RECORD], MATCH(Table1[[#This Row],[AwayTeam]],Table2[Team], 0), 0)</f>
        <v>0-0-0</v>
      </c>
      <c r="AO700" s="64" t="str">
        <f>INDEX(Records!$B$2:$AG$33, MATCH(Table1[[#This Row],[AwayTeam]],Records!$A$2:$A$33, 0), MATCH(Table1[[#This Row],[HomeTeam]],Records!$A$2:$A$33, 0))</f>
        <v>0-0-0</v>
      </c>
      <c r="AP700" s="64" t="str">
        <f>INDEX(Table2[HOME_RECORD], MATCH(Table1[[#This Row],[HomeTeam]],Table2[Team], 0), 0)</f>
        <v>1-0-0</v>
      </c>
      <c r="AQ700" s="64" t="str">
        <f>INDEX(Records!$B$2:$AG$33, MATCH(Table1[[#This Row],[HomeTeam]],Records!$A$2:$A$33, 0), MATCH(Table1[[#This Row],[AwayTeam]],Records!$A$2:$A$33, 0))</f>
        <v>0-0-0</v>
      </c>
    </row>
    <row r="701" spans="1:43" x14ac:dyDescent="0.25">
      <c r="A701" s="1"/>
      <c r="D701" t="s">
        <v>975</v>
      </c>
      <c r="E701" t="s">
        <v>178</v>
      </c>
      <c r="F701" t="s">
        <v>984</v>
      </c>
      <c r="G701" t="s">
        <v>50</v>
      </c>
      <c r="H701" t="s">
        <v>39</v>
      </c>
      <c r="L70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0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01" s="1"/>
      <c r="T701" s="64" t="str">
        <f>IF(Table1[[#This Row],[ActualWinner]]="", "", IF(Table1[[#This Row],[AwayTeam]]=Table1[[#This Row],[ActualWinner]],Table1[[#This Row],[HomeTeam]],Table1[[#This Row],[AwayTeam]]))</f>
        <v/>
      </c>
      <c r="U701" s="64">
        <f>Table1[[#This Row],[ActualAwayScore]]-Table1[[#This Row],[PredictedAwayScore]]</f>
        <v>0</v>
      </c>
      <c r="V701" s="64">
        <f>Table1[[#This Row],[ActualHomeScore]]-Table1[[#This Row],[PredictedHomeScore]]</f>
        <v>0</v>
      </c>
      <c r="W701" s="64">
        <f>(0.8*IF(Table1[[#This Row],[CorrectWinnerPrediction]]=1, 1, 0))+(0.1*IF(Table1[[#This Row],[CorrectAwayScorePrediction]]=1, 1, 0))+(0.1*IF(Table1[[#This Row],[CorrectHomeScorePrediction]]=1, 1, 0))</f>
        <v>0</v>
      </c>
      <c r="X70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01" s="64">
        <f>SUMIF(Table1[GameDate], Table1[[#This Row],[GameDate]], Table1[AwayGameGoalDiff])</f>
        <v>0</v>
      </c>
      <c r="AA701" s="64">
        <f>SUMIF(Table1[GameDate], Table1[[#This Row],[GameDate]], Table1[HomeGameGoalDiff])</f>
        <v>0</v>
      </c>
      <c r="AB701" s="64">
        <f>IF(ISBLANK(Table1[[#This Row],[ActualResult]]), 0, 1)</f>
        <v>0</v>
      </c>
      <c r="AC701" s="64">
        <f>IF(ISBLANK(Table1[[#This Row],[ActualResult]]), 0, IF(Table1[[#This Row],[ActualWinner]]=Table1[[#This Row],[PredictedWinner]], 1, 0))</f>
        <v>0</v>
      </c>
      <c r="AD70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0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01" s="64">
        <f>IF(AND(Table1[[#This Row],[GameIsOver]]=1,Table1[[#This Row],[ActualAwayScore]]=0), 1,0)</f>
        <v>0</v>
      </c>
      <c r="AG701" s="64">
        <f>IF(AND(Table1[[#This Row],[GameIsOver]]=1,Table1[[#This Row],[ActualHomeScore]]=0), 1,0)</f>
        <v>0</v>
      </c>
      <c r="AH701" s="64">
        <f>IF(Table1[[#This Row],[GameIsOver]]=0,0,IF(Table1[[#This Row],[ActualWinner]]=Table1[[#This Row],[AwayTeam]], 1, 0))</f>
        <v>0</v>
      </c>
      <c r="AI701" s="64">
        <f>IF(Table1[[#This Row],[GameIsOver]]=0,0,IF(Table1[[#This Row],[ActualWinner]]=Table1[[#This Row],[HomeTeam]], 1, 0))</f>
        <v>0</v>
      </c>
      <c r="AJ701" s="64">
        <f>IF(INDEX(Standings!$A$2:$C$33,MATCH(Table1[[#This Row],[AwayTeam]],Standings!$A$2:$A$33,0),2)=INDEX(Standings!$A$2:$C$33,MATCH(Table1[[#This Row],[HomeTeam]],Standings!$A$2:$A$33,0),2),1,0)</f>
        <v>0</v>
      </c>
      <c r="AK701" s="64">
        <f>IF(INDEX(Standings!$A$2:$C$33,MATCH(Table1[[#This Row],[AwayTeam]],Standings!$A$2:$A$33,0),3)=INDEX(Standings!$A$2:$C$33,MATCH(Table1[[#This Row],[HomeTeam]],Standings!$A$2:$A$33,0),3),1,0)</f>
        <v>0</v>
      </c>
      <c r="AL701" s="64">
        <f>IF(Table1[[#This Row],[InterConf]]=1,IF(Table1[[#This Row],[InterDiv]]=0, 1, 0), 0)</f>
        <v>0</v>
      </c>
      <c r="AM701" s="64">
        <f>IF(INDEX(Standings!$A$2:$C$33,MATCH(Table1[[#This Row],[AwayTeam]],Standings!$A$2:$A$33,0),2)&lt;&gt;INDEX(Standings!$A$2:$C$33,MATCH(Table1[[#This Row],[HomeTeam]],Standings!$A$2:$A$33,0),2),1,0)</f>
        <v>1</v>
      </c>
      <c r="AN701" s="64" t="str">
        <f>INDEX(Table2[AWAY_RECORD], MATCH(Table1[[#This Row],[AwayTeam]],Table2[Team], 0), 0)</f>
        <v>1-0-0</v>
      </c>
      <c r="AO701" s="64" t="str">
        <f>INDEX(Records!$B$2:$AG$33, MATCH(Table1[[#This Row],[AwayTeam]],Records!$A$2:$A$33, 0), MATCH(Table1[[#This Row],[HomeTeam]],Records!$A$2:$A$33, 0))</f>
        <v>0-0-0</v>
      </c>
      <c r="AP701" s="64" t="str">
        <f>INDEX(Table2[HOME_RECORD], MATCH(Table1[[#This Row],[HomeTeam]],Table2[Team], 0), 0)</f>
        <v>0-1-0</v>
      </c>
      <c r="AQ701" s="64" t="str">
        <f>INDEX(Records!$B$2:$AG$33, MATCH(Table1[[#This Row],[HomeTeam]],Records!$A$2:$A$33, 0), MATCH(Table1[[#This Row],[AwayTeam]],Records!$A$2:$A$33, 0))</f>
        <v>0-0-0</v>
      </c>
    </row>
    <row r="702" spans="1:43" x14ac:dyDescent="0.25">
      <c r="A702" s="1"/>
      <c r="D702" t="s">
        <v>975</v>
      </c>
      <c r="E702" t="s">
        <v>178</v>
      </c>
      <c r="F702" t="s">
        <v>985</v>
      </c>
      <c r="G702" t="s">
        <v>17</v>
      </c>
      <c r="H702" t="s">
        <v>45</v>
      </c>
      <c r="L70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0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02" s="1"/>
      <c r="T702" s="64" t="str">
        <f>IF(Table1[[#This Row],[ActualWinner]]="", "", IF(Table1[[#This Row],[AwayTeam]]=Table1[[#This Row],[ActualWinner]],Table1[[#This Row],[HomeTeam]],Table1[[#This Row],[AwayTeam]]))</f>
        <v/>
      </c>
      <c r="U702" s="64">
        <f>Table1[[#This Row],[ActualAwayScore]]-Table1[[#This Row],[PredictedAwayScore]]</f>
        <v>0</v>
      </c>
      <c r="V702" s="64">
        <f>Table1[[#This Row],[ActualHomeScore]]-Table1[[#This Row],[PredictedHomeScore]]</f>
        <v>0</v>
      </c>
      <c r="W702" s="64">
        <f>(0.8*IF(Table1[[#This Row],[CorrectWinnerPrediction]]=1, 1, 0))+(0.1*IF(Table1[[#This Row],[CorrectAwayScorePrediction]]=1, 1, 0))+(0.1*IF(Table1[[#This Row],[CorrectHomeScorePrediction]]=1, 1, 0))</f>
        <v>0</v>
      </c>
      <c r="X70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02" s="64">
        <f>SUMIF(Table1[GameDate], Table1[[#This Row],[GameDate]], Table1[AwayGameGoalDiff])</f>
        <v>0</v>
      </c>
      <c r="AA702" s="64">
        <f>SUMIF(Table1[GameDate], Table1[[#This Row],[GameDate]], Table1[HomeGameGoalDiff])</f>
        <v>0</v>
      </c>
      <c r="AB702" s="64">
        <f>IF(ISBLANK(Table1[[#This Row],[ActualResult]]), 0, 1)</f>
        <v>0</v>
      </c>
      <c r="AC702" s="64">
        <f>IF(ISBLANK(Table1[[#This Row],[ActualResult]]), 0, IF(Table1[[#This Row],[ActualWinner]]=Table1[[#This Row],[PredictedWinner]], 1, 0))</f>
        <v>0</v>
      </c>
      <c r="AD70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0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02" s="64">
        <f>IF(AND(Table1[[#This Row],[GameIsOver]]=1,Table1[[#This Row],[ActualAwayScore]]=0), 1,0)</f>
        <v>0</v>
      </c>
      <c r="AG702" s="64">
        <f>IF(AND(Table1[[#This Row],[GameIsOver]]=1,Table1[[#This Row],[ActualHomeScore]]=0), 1,0)</f>
        <v>0</v>
      </c>
      <c r="AH702" s="64">
        <f>IF(Table1[[#This Row],[GameIsOver]]=0,0,IF(Table1[[#This Row],[ActualWinner]]=Table1[[#This Row],[AwayTeam]], 1, 0))</f>
        <v>0</v>
      </c>
      <c r="AI702" s="64">
        <f>IF(Table1[[#This Row],[GameIsOver]]=0,0,IF(Table1[[#This Row],[ActualWinner]]=Table1[[#This Row],[HomeTeam]], 1, 0))</f>
        <v>0</v>
      </c>
      <c r="AJ702" s="64">
        <f>IF(INDEX(Standings!$A$2:$C$33,MATCH(Table1[[#This Row],[AwayTeam]],Standings!$A$2:$A$33,0),2)=INDEX(Standings!$A$2:$C$33,MATCH(Table1[[#This Row],[HomeTeam]],Standings!$A$2:$A$33,0),2),1,0)</f>
        <v>0</v>
      </c>
      <c r="AK702" s="64">
        <f>IF(INDEX(Standings!$A$2:$C$33,MATCH(Table1[[#This Row],[AwayTeam]],Standings!$A$2:$A$33,0),3)=INDEX(Standings!$A$2:$C$33,MATCH(Table1[[#This Row],[HomeTeam]],Standings!$A$2:$A$33,0),3),1,0)</f>
        <v>0</v>
      </c>
      <c r="AL702" s="64">
        <f>IF(Table1[[#This Row],[InterConf]]=1,IF(Table1[[#This Row],[InterDiv]]=0, 1, 0), 0)</f>
        <v>0</v>
      </c>
      <c r="AM702" s="64">
        <f>IF(INDEX(Standings!$A$2:$C$33,MATCH(Table1[[#This Row],[AwayTeam]],Standings!$A$2:$A$33,0),2)&lt;&gt;INDEX(Standings!$A$2:$C$33,MATCH(Table1[[#This Row],[HomeTeam]],Standings!$A$2:$A$33,0),2),1,0)</f>
        <v>1</v>
      </c>
      <c r="AN702" s="64" t="str">
        <f>INDEX(Table2[AWAY_RECORD], MATCH(Table1[[#This Row],[AwayTeam]],Table2[Team], 0), 0)</f>
        <v>2-0-0</v>
      </c>
      <c r="AO702" s="64" t="str">
        <f>INDEX(Records!$B$2:$AG$33, MATCH(Table1[[#This Row],[AwayTeam]],Records!$A$2:$A$33, 0), MATCH(Table1[[#This Row],[HomeTeam]],Records!$A$2:$A$33, 0))</f>
        <v>0-0-0</v>
      </c>
      <c r="AP702" s="64" t="str">
        <f>INDEX(Table2[HOME_RECORD], MATCH(Table1[[#This Row],[HomeTeam]],Table2[Team], 0), 0)</f>
        <v>1-0-0</v>
      </c>
      <c r="AQ702" s="64" t="str">
        <f>INDEX(Records!$B$2:$AG$33, MATCH(Table1[[#This Row],[HomeTeam]],Records!$A$2:$A$33, 0), MATCH(Table1[[#This Row],[AwayTeam]],Records!$A$2:$A$33, 0))</f>
        <v>0-0-0</v>
      </c>
    </row>
    <row r="703" spans="1:43" x14ac:dyDescent="0.25">
      <c r="A703" s="1"/>
      <c r="D703" t="s">
        <v>975</v>
      </c>
      <c r="E703" t="s">
        <v>164</v>
      </c>
      <c r="F703" t="s">
        <v>986</v>
      </c>
      <c r="G703" t="s">
        <v>57</v>
      </c>
      <c r="H703" t="s">
        <v>23</v>
      </c>
      <c r="L70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0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03" s="1"/>
      <c r="T703" s="64" t="str">
        <f>IF(Table1[[#This Row],[ActualWinner]]="", "", IF(Table1[[#This Row],[AwayTeam]]=Table1[[#This Row],[ActualWinner]],Table1[[#This Row],[HomeTeam]],Table1[[#This Row],[AwayTeam]]))</f>
        <v/>
      </c>
      <c r="U703" s="64">
        <f>Table1[[#This Row],[ActualAwayScore]]-Table1[[#This Row],[PredictedAwayScore]]</f>
        <v>0</v>
      </c>
      <c r="V703" s="64">
        <f>Table1[[#This Row],[ActualHomeScore]]-Table1[[#This Row],[PredictedHomeScore]]</f>
        <v>0</v>
      </c>
      <c r="W703" s="64">
        <f>(0.8*IF(Table1[[#This Row],[CorrectWinnerPrediction]]=1, 1, 0))+(0.1*IF(Table1[[#This Row],[CorrectAwayScorePrediction]]=1, 1, 0))+(0.1*IF(Table1[[#This Row],[CorrectHomeScorePrediction]]=1, 1, 0))</f>
        <v>0</v>
      </c>
      <c r="X70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03" s="64">
        <f>SUMIF(Table1[GameDate], Table1[[#This Row],[GameDate]], Table1[AwayGameGoalDiff])</f>
        <v>0</v>
      </c>
      <c r="AA703" s="64">
        <f>SUMIF(Table1[GameDate], Table1[[#This Row],[GameDate]], Table1[HomeGameGoalDiff])</f>
        <v>0</v>
      </c>
      <c r="AB703" s="64">
        <f>IF(ISBLANK(Table1[[#This Row],[ActualResult]]), 0, 1)</f>
        <v>0</v>
      </c>
      <c r="AC703" s="64">
        <f>IF(ISBLANK(Table1[[#This Row],[ActualResult]]), 0, IF(Table1[[#This Row],[ActualWinner]]=Table1[[#This Row],[PredictedWinner]], 1, 0))</f>
        <v>0</v>
      </c>
      <c r="AD70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0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03" s="64">
        <f>IF(AND(Table1[[#This Row],[GameIsOver]]=1,Table1[[#This Row],[ActualAwayScore]]=0), 1,0)</f>
        <v>0</v>
      </c>
      <c r="AG703" s="64">
        <f>IF(AND(Table1[[#This Row],[GameIsOver]]=1,Table1[[#This Row],[ActualHomeScore]]=0), 1,0)</f>
        <v>0</v>
      </c>
      <c r="AH703" s="64">
        <f>IF(Table1[[#This Row],[GameIsOver]]=0,0,IF(Table1[[#This Row],[ActualWinner]]=Table1[[#This Row],[AwayTeam]], 1, 0))</f>
        <v>0</v>
      </c>
      <c r="AI703" s="64">
        <f>IF(Table1[[#This Row],[GameIsOver]]=0,0,IF(Table1[[#This Row],[ActualWinner]]=Table1[[#This Row],[HomeTeam]], 1, 0))</f>
        <v>0</v>
      </c>
      <c r="AJ703" s="64">
        <f>IF(INDEX(Standings!$A$2:$C$33,MATCH(Table1[[#This Row],[AwayTeam]],Standings!$A$2:$A$33,0),2)=INDEX(Standings!$A$2:$C$33,MATCH(Table1[[#This Row],[HomeTeam]],Standings!$A$2:$A$33,0),2),1,0)</f>
        <v>0</v>
      </c>
      <c r="AK703" s="64">
        <f>IF(INDEX(Standings!$A$2:$C$33,MATCH(Table1[[#This Row],[AwayTeam]],Standings!$A$2:$A$33,0),3)=INDEX(Standings!$A$2:$C$33,MATCH(Table1[[#This Row],[HomeTeam]],Standings!$A$2:$A$33,0),3),1,0)</f>
        <v>0</v>
      </c>
      <c r="AL703" s="64">
        <f>IF(Table1[[#This Row],[InterConf]]=1,IF(Table1[[#This Row],[InterDiv]]=0, 1, 0), 0)</f>
        <v>0</v>
      </c>
      <c r="AM703" s="64">
        <f>IF(INDEX(Standings!$A$2:$C$33,MATCH(Table1[[#This Row],[AwayTeam]],Standings!$A$2:$A$33,0),2)&lt;&gt;INDEX(Standings!$A$2:$C$33,MATCH(Table1[[#This Row],[HomeTeam]],Standings!$A$2:$A$33,0),2),1,0)</f>
        <v>1</v>
      </c>
      <c r="AN703" s="64" t="str">
        <f>INDEX(Table2[AWAY_RECORD], MATCH(Table1[[#This Row],[AwayTeam]],Table2[Team], 0), 0)</f>
        <v>0-1-0</v>
      </c>
      <c r="AO703" s="64" t="str">
        <f>INDEX(Records!$B$2:$AG$33, MATCH(Table1[[#This Row],[AwayTeam]],Records!$A$2:$A$33, 0), MATCH(Table1[[#This Row],[HomeTeam]],Records!$A$2:$A$33, 0))</f>
        <v>0-0-0</v>
      </c>
      <c r="AP703" s="64" t="str">
        <f>INDEX(Table2[HOME_RECORD], MATCH(Table1[[#This Row],[HomeTeam]],Table2[Team], 0), 0)</f>
        <v>0-0-1</v>
      </c>
      <c r="AQ703" s="64" t="str">
        <f>INDEX(Records!$B$2:$AG$33, MATCH(Table1[[#This Row],[HomeTeam]],Records!$A$2:$A$33, 0), MATCH(Table1[[#This Row],[AwayTeam]],Records!$A$2:$A$33, 0))</f>
        <v>0-0-0</v>
      </c>
    </row>
    <row r="704" spans="1:43" x14ac:dyDescent="0.25">
      <c r="A704" s="1"/>
      <c r="D704" t="s">
        <v>975</v>
      </c>
      <c r="E704" t="s">
        <v>166</v>
      </c>
      <c r="F704" t="s">
        <v>987</v>
      </c>
      <c r="G704" t="s">
        <v>22</v>
      </c>
      <c r="H704" t="s">
        <v>25</v>
      </c>
      <c r="L70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0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04" s="1"/>
      <c r="T704" s="64" t="str">
        <f>IF(Table1[[#This Row],[ActualWinner]]="", "", IF(Table1[[#This Row],[AwayTeam]]=Table1[[#This Row],[ActualWinner]],Table1[[#This Row],[HomeTeam]],Table1[[#This Row],[AwayTeam]]))</f>
        <v/>
      </c>
      <c r="U704" s="64">
        <f>Table1[[#This Row],[ActualAwayScore]]-Table1[[#This Row],[PredictedAwayScore]]</f>
        <v>0</v>
      </c>
      <c r="V704" s="64">
        <f>Table1[[#This Row],[ActualHomeScore]]-Table1[[#This Row],[PredictedHomeScore]]</f>
        <v>0</v>
      </c>
      <c r="W704" s="64">
        <f>(0.8*IF(Table1[[#This Row],[CorrectWinnerPrediction]]=1, 1, 0))+(0.1*IF(Table1[[#This Row],[CorrectAwayScorePrediction]]=1, 1, 0))+(0.1*IF(Table1[[#This Row],[CorrectHomeScorePrediction]]=1, 1, 0))</f>
        <v>0</v>
      </c>
      <c r="X70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04" s="64">
        <f>SUMIF(Table1[GameDate], Table1[[#This Row],[GameDate]], Table1[AwayGameGoalDiff])</f>
        <v>0</v>
      </c>
      <c r="AA704" s="64">
        <f>SUMIF(Table1[GameDate], Table1[[#This Row],[GameDate]], Table1[HomeGameGoalDiff])</f>
        <v>0</v>
      </c>
      <c r="AB704" s="64">
        <f>IF(ISBLANK(Table1[[#This Row],[ActualResult]]), 0, 1)</f>
        <v>0</v>
      </c>
      <c r="AC704" s="64">
        <f>IF(ISBLANK(Table1[[#This Row],[ActualResult]]), 0, IF(Table1[[#This Row],[ActualWinner]]=Table1[[#This Row],[PredictedWinner]], 1, 0))</f>
        <v>0</v>
      </c>
      <c r="AD70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0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04" s="64">
        <f>IF(AND(Table1[[#This Row],[GameIsOver]]=1,Table1[[#This Row],[ActualAwayScore]]=0), 1,0)</f>
        <v>0</v>
      </c>
      <c r="AG704" s="64">
        <f>IF(AND(Table1[[#This Row],[GameIsOver]]=1,Table1[[#This Row],[ActualHomeScore]]=0), 1,0)</f>
        <v>0</v>
      </c>
      <c r="AH704" s="64">
        <f>IF(Table1[[#This Row],[GameIsOver]]=0,0,IF(Table1[[#This Row],[ActualWinner]]=Table1[[#This Row],[AwayTeam]], 1, 0))</f>
        <v>0</v>
      </c>
      <c r="AI704" s="64">
        <f>IF(Table1[[#This Row],[GameIsOver]]=0,0,IF(Table1[[#This Row],[ActualWinner]]=Table1[[#This Row],[HomeTeam]], 1, 0))</f>
        <v>0</v>
      </c>
      <c r="AJ704" s="64">
        <f>IF(INDEX(Standings!$A$2:$C$33,MATCH(Table1[[#This Row],[AwayTeam]],Standings!$A$2:$A$33,0),2)=INDEX(Standings!$A$2:$C$33,MATCH(Table1[[#This Row],[HomeTeam]],Standings!$A$2:$A$33,0),2),1,0)</f>
        <v>1</v>
      </c>
      <c r="AK704" s="64">
        <f>IF(INDEX(Standings!$A$2:$C$33,MATCH(Table1[[#This Row],[AwayTeam]],Standings!$A$2:$A$33,0),3)=INDEX(Standings!$A$2:$C$33,MATCH(Table1[[#This Row],[HomeTeam]],Standings!$A$2:$A$33,0),3),1,0)</f>
        <v>0</v>
      </c>
      <c r="AL704" s="64">
        <f>IF(Table1[[#This Row],[InterConf]]=1,IF(Table1[[#This Row],[InterDiv]]=0, 1, 0), 0)</f>
        <v>1</v>
      </c>
      <c r="AM704" s="64">
        <f>IF(INDEX(Standings!$A$2:$C$33,MATCH(Table1[[#This Row],[AwayTeam]],Standings!$A$2:$A$33,0),2)&lt;&gt;INDEX(Standings!$A$2:$C$33,MATCH(Table1[[#This Row],[HomeTeam]],Standings!$A$2:$A$33,0),2),1,0)</f>
        <v>0</v>
      </c>
      <c r="AN704" s="64" t="str">
        <f>INDEX(Table2[AWAY_RECORD], MATCH(Table1[[#This Row],[AwayTeam]],Table2[Team], 0), 0)</f>
        <v>0-0-1</v>
      </c>
      <c r="AO704" s="64" t="str">
        <f>INDEX(Records!$B$2:$AG$33, MATCH(Table1[[#This Row],[AwayTeam]],Records!$A$2:$A$33, 0), MATCH(Table1[[#This Row],[HomeTeam]],Records!$A$2:$A$33, 0))</f>
        <v>0-0-0</v>
      </c>
      <c r="AP704" s="64" t="str">
        <f>INDEX(Table2[HOME_RECORD], MATCH(Table1[[#This Row],[HomeTeam]],Table2[Team], 0), 0)</f>
        <v>0-0-1</v>
      </c>
      <c r="AQ704" s="64" t="str">
        <f>INDEX(Records!$B$2:$AG$33, MATCH(Table1[[#This Row],[HomeTeam]],Records!$A$2:$A$33, 0), MATCH(Table1[[#This Row],[AwayTeam]],Records!$A$2:$A$33, 0))</f>
        <v>0-0-0</v>
      </c>
    </row>
    <row r="705" spans="1:43" x14ac:dyDescent="0.25">
      <c r="A705" s="1"/>
      <c r="D705" t="s">
        <v>988</v>
      </c>
      <c r="E705" t="s">
        <v>162</v>
      </c>
      <c r="F705" t="s">
        <v>989</v>
      </c>
      <c r="G705" t="s">
        <v>38</v>
      </c>
      <c r="H705" t="s">
        <v>42</v>
      </c>
      <c r="L70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0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05" s="1"/>
      <c r="T705" s="64" t="str">
        <f>IF(Table1[[#This Row],[ActualWinner]]="", "", IF(Table1[[#This Row],[AwayTeam]]=Table1[[#This Row],[ActualWinner]],Table1[[#This Row],[HomeTeam]],Table1[[#This Row],[AwayTeam]]))</f>
        <v/>
      </c>
      <c r="U705" s="64">
        <f>Table1[[#This Row],[ActualAwayScore]]-Table1[[#This Row],[PredictedAwayScore]]</f>
        <v>0</v>
      </c>
      <c r="V705" s="64">
        <f>Table1[[#This Row],[ActualHomeScore]]-Table1[[#This Row],[PredictedHomeScore]]</f>
        <v>0</v>
      </c>
      <c r="W705" s="64">
        <f>(0.8*IF(Table1[[#This Row],[CorrectWinnerPrediction]]=1, 1, 0))+(0.1*IF(Table1[[#This Row],[CorrectAwayScorePrediction]]=1, 1, 0))+(0.1*IF(Table1[[#This Row],[CorrectHomeScorePrediction]]=1, 1, 0))</f>
        <v>0</v>
      </c>
      <c r="X70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05" s="64">
        <f>SUMIF(Table1[GameDate], Table1[[#This Row],[GameDate]], Table1[AwayGameGoalDiff])</f>
        <v>0</v>
      </c>
      <c r="AA705" s="64">
        <f>SUMIF(Table1[GameDate], Table1[[#This Row],[GameDate]], Table1[HomeGameGoalDiff])</f>
        <v>0</v>
      </c>
      <c r="AB705" s="64">
        <f>IF(ISBLANK(Table1[[#This Row],[ActualResult]]), 0, 1)</f>
        <v>0</v>
      </c>
      <c r="AC705" s="64">
        <f>IF(ISBLANK(Table1[[#This Row],[ActualResult]]), 0, IF(Table1[[#This Row],[ActualWinner]]=Table1[[#This Row],[PredictedWinner]], 1, 0))</f>
        <v>0</v>
      </c>
      <c r="AD70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0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05" s="64">
        <f>IF(AND(Table1[[#This Row],[GameIsOver]]=1,Table1[[#This Row],[ActualAwayScore]]=0), 1,0)</f>
        <v>0</v>
      </c>
      <c r="AG705" s="64">
        <f>IF(AND(Table1[[#This Row],[GameIsOver]]=1,Table1[[#This Row],[ActualHomeScore]]=0), 1,0)</f>
        <v>0</v>
      </c>
      <c r="AH705" s="64">
        <f>IF(Table1[[#This Row],[GameIsOver]]=0,0,IF(Table1[[#This Row],[ActualWinner]]=Table1[[#This Row],[AwayTeam]], 1, 0))</f>
        <v>0</v>
      </c>
      <c r="AI705" s="64">
        <f>IF(Table1[[#This Row],[GameIsOver]]=0,0,IF(Table1[[#This Row],[ActualWinner]]=Table1[[#This Row],[HomeTeam]], 1, 0))</f>
        <v>0</v>
      </c>
      <c r="AJ705" s="64">
        <f>IF(INDEX(Standings!$A$2:$C$33,MATCH(Table1[[#This Row],[AwayTeam]],Standings!$A$2:$A$33,0),2)=INDEX(Standings!$A$2:$C$33,MATCH(Table1[[#This Row],[HomeTeam]],Standings!$A$2:$A$33,0),2),1,0)</f>
        <v>1</v>
      </c>
      <c r="AK705" s="64">
        <f>IF(INDEX(Standings!$A$2:$C$33,MATCH(Table1[[#This Row],[AwayTeam]],Standings!$A$2:$A$33,0),3)=INDEX(Standings!$A$2:$C$33,MATCH(Table1[[#This Row],[HomeTeam]],Standings!$A$2:$A$33,0),3),1,0)</f>
        <v>0</v>
      </c>
      <c r="AL705" s="64">
        <f>IF(Table1[[#This Row],[InterConf]]=1,IF(Table1[[#This Row],[InterDiv]]=0, 1, 0), 0)</f>
        <v>1</v>
      </c>
      <c r="AM705" s="64">
        <f>IF(INDEX(Standings!$A$2:$C$33,MATCH(Table1[[#This Row],[AwayTeam]],Standings!$A$2:$A$33,0),2)&lt;&gt;INDEX(Standings!$A$2:$C$33,MATCH(Table1[[#This Row],[HomeTeam]],Standings!$A$2:$A$33,0),2),1,0)</f>
        <v>0</v>
      </c>
      <c r="AN705" s="64" t="str">
        <f>INDEX(Table2[AWAY_RECORD], MATCH(Table1[[#This Row],[AwayTeam]],Table2[Team], 0), 0)</f>
        <v>0-0-1</v>
      </c>
      <c r="AO705" s="64" t="str">
        <f>INDEX(Records!$B$2:$AG$33, MATCH(Table1[[#This Row],[AwayTeam]],Records!$A$2:$A$33, 0), MATCH(Table1[[#This Row],[HomeTeam]],Records!$A$2:$A$33, 0))</f>
        <v>0-0-1</v>
      </c>
      <c r="AP705" s="64" t="str">
        <f>INDEX(Table2[HOME_RECORD], MATCH(Table1[[#This Row],[HomeTeam]],Table2[Team], 0), 0)</f>
        <v>1-0-0</v>
      </c>
      <c r="AQ705" s="64" t="str">
        <f>INDEX(Records!$B$2:$AG$33, MATCH(Table1[[#This Row],[HomeTeam]],Records!$A$2:$A$33, 0), MATCH(Table1[[#This Row],[AwayTeam]],Records!$A$2:$A$33, 0))</f>
        <v>1-0-0</v>
      </c>
    </row>
    <row r="706" spans="1:43" x14ac:dyDescent="0.25">
      <c r="A706" s="1"/>
      <c r="D706" t="s">
        <v>988</v>
      </c>
      <c r="E706" t="s">
        <v>178</v>
      </c>
      <c r="F706" t="s">
        <v>990</v>
      </c>
      <c r="G706" t="s">
        <v>52</v>
      </c>
      <c r="H706" t="s">
        <v>61</v>
      </c>
      <c r="L70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0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06" s="1"/>
      <c r="T706" s="64" t="str">
        <f>IF(Table1[[#This Row],[ActualWinner]]="", "", IF(Table1[[#This Row],[AwayTeam]]=Table1[[#This Row],[ActualWinner]],Table1[[#This Row],[HomeTeam]],Table1[[#This Row],[AwayTeam]]))</f>
        <v/>
      </c>
      <c r="U706" s="64">
        <f>Table1[[#This Row],[ActualAwayScore]]-Table1[[#This Row],[PredictedAwayScore]]</f>
        <v>0</v>
      </c>
      <c r="V706" s="64">
        <f>Table1[[#This Row],[ActualHomeScore]]-Table1[[#This Row],[PredictedHomeScore]]</f>
        <v>0</v>
      </c>
      <c r="W706" s="64">
        <f>(0.8*IF(Table1[[#This Row],[CorrectWinnerPrediction]]=1, 1, 0))+(0.1*IF(Table1[[#This Row],[CorrectAwayScorePrediction]]=1, 1, 0))+(0.1*IF(Table1[[#This Row],[CorrectHomeScorePrediction]]=1, 1, 0))</f>
        <v>0</v>
      </c>
      <c r="X70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06" s="64">
        <f>SUMIF(Table1[GameDate], Table1[[#This Row],[GameDate]], Table1[AwayGameGoalDiff])</f>
        <v>0</v>
      </c>
      <c r="AA706" s="64">
        <f>SUMIF(Table1[GameDate], Table1[[#This Row],[GameDate]], Table1[HomeGameGoalDiff])</f>
        <v>0</v>
      </c>
      <c r="AB706" s="64">
        <f>IF(ISBLANK(Table1[[#This Row],[ActualResult]]), 0, 1)</f>
        <v>0</v>
      </c>
      <c r="AC706" s="64">
        <f>IF(ISBLANK(Table1[[#This Row],[ActualResult]]), 0, IF(Table1[[#This Row],[ActualWinner]]=Table1[[#This Row],[PredictedWinner]], 1, 0))</f>
        <v>0</v>
      </c>
      <c r="AD70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0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06" s="64">
        <f>IF(AND(Table1[[#This Row],[GameIsOver]]=1,Table1[[#This Row],[ActualAwayScore]]=0), 1,0)</f>
        <v>0</v>
      </c>
      <c r="AG706" s="64">
        <f>IF(AND(Table1[[#This Row],[GameIsOver]]=1,Table1[[#This Row],[ActualHomeScore]]=0), 1,0)</f>
        <v>0</v>
      </c>
      <c r="AH706" s="64">
        <f>IF(Table1[[#This Row],[GameIsOver]]=0,0,IF(Table1[[#This Row],[ActualWinner]]=Table1[[#This Row],[AwayTeam]], 1, 0))</f>
        <v>0</v>
      </c>
      <c r="AI706" s="64">
        <f>IF(Table1[[#This Row],[GameIsOver]]=0,0,IF(Table1[[#This Row],[ActualWinner]]=Table1[[#This Row],[HomeTeam]], 1, 0))</f>
        <v>0</v>
      </c>
      <c r="AJ706" s="64">
        <f>IF(INDEX(Standings!$A$2:$C$33,MATCH(Table1[[#This Row],[AwayTeam]],Standings!$A$2:$A$33,0),2)=INDEX(Standings!$A$2:$C$33,MATCH(Table1[[#This Row],[HomeTeam]],Standings!$A$2:$A$33,0),2),1,0)</f>
        <v>0</v>
      </c>
      <c r="AK706" s="64">
        <f>IF(INDEX(Standings!$A$2:$C$33,MATCH(Table1[[#This Row],[AwayTeam]],Standings!$A$2:$A$33,0),3)=INDEX(Standings!$A$2:$C$33,MATCH(Table1[[#This Row],[HomeTeam]],Standings!$A$2:$A$33,0),3),1,0)</f>
        <v>0</v>
      </c>
      <c r="AL706" s="64">
        <f>IF(Table1[[#This Row],[InterConf]]=1,IF(Table1[[#This Row],[InterDiv]]=0, 1, 0), 0)</f>
        <v>0</v>
      </c>
      <c r="AM706" s="64">
        <f>IF(INDEX(Standings!$A$2:$C$33,MATCH(Table1[[#This Row],[AwayTeam]],Standings!$A$2:$A$33,0),2)&lt;&gt;INDEX(Standings!$A$2:$C$33,MATCH(Table1[[#This Row],[HomeTeam]],Standings!$A$2:$A$33,0),2),1,0)</f>
        <v>1</v>
      </c>
      <c r="AN706" s="64" t="str">
        <f>INDEX(Table2[AWAY_RECORD], MATCH(Table1[[#This Row],[AwayTeam]],Table2[Team], 0), 0)</f>
        <v>0-0-0</v>
      </c>
      <c r="AO706" s="64" t="str">
        <f>INDEX(Records!$B$2:$AG$33, MATCH(Table1[[#This Row],[AwayTeam]],Records!$A$2:$A$33, 0), MATCH(Table1[[#This Row],[HomeTeam]],Records!$A$2:$A$33, 0))</f>
        <v>0-0-0</v>
      </c>
      <c r="AP706" s="64" t="str">
        <f>INDEX(Table2[HOME_RECORD], MATCH(Table1[[#This Row],[HomeTeam]],Table2[Team], 0), 0)</f>
        <v>0-0-0</v>
      </c>
      <c r="AQ706" s="64" t="str">
        <f>INDEX(Records!$B$2:$AG$33, MATCH(Table1[[#This Row],[HomeTeam]],Records!$A$2:$A$33, 0), MATCH(Table1[[#This Row],[AwayTeam]],Records!$A$2:$A$33, 0))</f>
        <v>0-0-0</v>
      </c>
    </row>
    <row r="707" spans="1:43" x14ac:dyDescent="0.25">
      <c r="A707" s="1"/>
      <c r="D707" t="s">
        <v>988</v>
      </c>
      <c r="E707" t="s">
        <v>164</v>
      </c>
      <c r="F707" t="s">
        <v>991</v>
      </c>
      <c r="G707" t="s">
        <v>56</v>
      </c>
      <c r="H707" t="s">
        <v>41</v>
      </c>
      <c r="L70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0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07" s="1"/>
      <c r="T707" s="64" t="str">
        <f>IF(Table1[[#This Row],[ActualWinner]]="", "", IF(Table1[[#This Row],[AwayTeam]]=Table1[[#This Row],[ActualWinner]],Table1[[#This Row],[HomeTeam]],Table1[[#This Row],[AwayTeam]]))</f>
        <v/>
      </c>
      <c r="U707" s="64">
        <f>Table1[[#This Row],[ActualAwayScore]]-Table1[[#This Row],[PredictedAwayScore]]</f>
        <v>0</v>
      </c>
      <c r="V707" s="64">
        <f>Table1[[#This Row],[ActualHomeScore]]-Table1[[#This Row],[PredictedHomeScore]]</f>
        <v>0</v>
      </c>
      <c r="W707" s="64">
        <f>(0.8*IF(Table1[[#This Row],[CorrectWinnerPrediction]]=1, 1, 0))+(0.1*IF(Table1[[#This Row],[CorrectAwayScorePrediction]]=1, 1, 0))+(0.1*IF(Table1[[#This Row],[CorrectHomeScorePrediction]]=1, 1, 0))</f>
        <v>0</v>
      </c>
      <c r="X70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07" s="64">
        <f>SUMIF(Table1[GameDate], Table1[[#This Row],[GameDate]], Table1[AwayGameGoalDiff])</f>
        <v>0</v>
      </c>
      <c r="AA707" s="64">
        <f>SUMIF(Table1[GameDate], Table1[[#This Row],[GameDate]], Table1[HomeGameGoalDiff])</f>
        <v>0</v>
      </c>
      <c r="AB707" s="64">
        <f>IF(ISBLANK(Table1[[#This Row],[ActualResult]]), 0, 1)</f>
        <v>0</v>
      </c>
      <c r="AC707" s="64">
        <f>IF(ISBLANK(Table1[[#This Row],[ActualResult]]), 0, IF(Table1[[#This Row],[ActualWinner]]=Table1[[#This Row],[PredictedWinner]], 1, 0))</f>
        <v>0</v>
      </c>
      <c r="AD70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0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07" s="64">
        <f>IF(AND(Table1[[#This Row],[GameIsOver]]=1,Table1[[#This Row],[ActualAwayScore]]=0), 1,0)</f>
        <v>0</v>
      </c>
      <c r="AG707" s="64">
        <f>IF(AND(Table1[[#This Row],[GameIsOver]]=1,Table1[[#This Row],[ActualHomeScore]]=0), 1,0)</f>
        <v>0</v>
      </c>
      <c r="AH707" s="64">
        <f>IF(Table1[[#This Row],[GameIsOver]]=0,0,IF(Table1[[#This Row],[ActualWinner]]=Table1[[#This Row],[AwayTeam]], 1, 0))</f>
        <v>0</v>
      </c>
      <c r="AI707" s="64">
        <f>IF(Table1[[#This Row],[GameIsOver]]=0,0,IF(Table1[[#This Row],[ActualWinner]]=Table1[[#This Row],[HomeTeam]], 1, 0))</f>
        <v>0</v>
      </c>
      <c r="AJ707" s="64">
        <f>IF(INDEX(Standings!$A$2:$C$33,MATCH(Table1[[#This Row],[AwayTeam]],Standings!$A$2:$A$33,0),2)=INDEX(Standings!$A$2:$C$33,MATCH(Table1[[#This Row],[HomeTeam]],Standings!$A$2:$A$33,0),2),1,0)</f>
        <v>1</v>
      </c>
      <c r="AK707" s="64">
        <f>IF(INDEX(Standings!$A$2:$C$33,MATCH(Table1[[#This Row],[AwayTeam]],Standings!$A$2:$A$33,0),3)=INDEX(Standings!$A$2:$C$33,MATCH(Table1[[#This Row],[HomeTeam]],Standings!$A$2:$A$33,0),3),1,0)</f>
        <v>0</v>
      </c>
      <c r="AL707" s="64">
        <f>IF(Table1[[#This Row],[InterConf]]=1,IF(Table1[[#This Row],[InterDiv]]=0, 1, 0), 0)</f>
        <v>1</v>
      </c>
      <c r="AM707" s="64">
        <f>IF(INDEX(Standings!$A$2:$C$33,MATCH(Table1[[#This Row],[AwayTeam]],Standings!$A$2:$A$33,0),2)&lt;&gt;INDEX(Standings!$A$2:$C$33,MATCH(Table1[[#This Row],[HomeTeam]],Standings!$A$2:$A$33,0),2),1,0)</f>
        <v>0</v>
      </c>
      <c r="AN707" s="64" t="str">
        <f>INDEX(Table2[AWAY_RECORD], MATCH(Table1[[#This Row],[AwayTeam]],Table2[Team], 0), 0)</f>
        <v>1-0-0</v>
      </c>
      <c r="AO707" s="64" t="str">
        <f>INDEX(Records!$B$2:$AG$33, MATCH(Table1[[#This Row],[AwayTeam]],Records!$A$2:$A$33, 0), MATCH(Table1[[#This Row],[HomeTeam]],Records!$A$2:$A$33, 0))</f>
        <v>0-0-0</v>
      </c>
      <c r="AP707" s="64" t="str">
        <f>INDEX(Table2[HOME_RECORD], MATCH(Table1[[#This Row],[HomeTeam]],Table2[Team], 0), 0)</f>
        <v>0-0-1</v>
      </c>
      <c r="AQ707" s="64" t="str">
        <f>INDEX(Records!$B$2:$AG$33, MATCH(Table1[[#This Row],[HomeTeam]],Records!$A$2:$A$33, 0), MATCH(Table1[[#This Row],[AwayTeam]],Records!$A$2:$A$33, 0))</f>
        <v>0-0-0</v>
      </c>
    </row>
    <row r="708" spans="1:43" x14ac:dyDescent="0.25">
      <c r="A708" s="1"/>
      <c r="D708" t="s">
        <v>992</v>
      </c>
      <c r="E708" t="s">
        <v>298</v>
      </c>
      <c r="F708" t="s">
        <v>993</v>
      </c>
      <c r="G708" t="s">
        <v>43</v>
      </c>
      <c r="H708" t="s">
        <v>36</v>
      </c>
      <c r="L70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0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08" s="1"/>
      <c r="T708" s="64" t="str">
        <f>IF(Table1[[#This Row],[ActualWinner]]="", "", IF(Table1[[#This Row],[AwayTeam]]=Table1[[#This Row],[ActualWinner]],Table1[[#This Row],[HomeTeam]],Table1[[#This Row],[AwayTeam]]))</f>
        <v/>
      </c>
      <c r="U708" s="64">
        <f>Table1[[#This Row],[ActualAwayScore]]-Table1[[#This Row],[PredictedAwayScore]]</f>
        <v>0</v>
      </c>
      <c r="V708" s="64">
        <f>Table1[[#This Row],[ActualHomeScore]]-Table1[[#This Row],[PredictedHomeScore]]</f>
        <v>0</v>
      </c>
      <c r="W708" s="64">
        <f>(0.8*IF(Table1[[#This Row],[CorrectWinnerPrediction]]=1, 1, 0))+(0.1*IF(Table1[[#This Row],[CorrectAwayScorePrediction]]=1, 1, 0))+(0.1*IF(Table1[[#This Row],[CorrectHomeScorePrediction]]=1, 1, 0))</f>
        <v>0</v>
      </c>
      <c r="X70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08" s="64">
        <f>SUMIF(Table1[GameDate], Table1[[#This Row],[GameDate]], Table1[AwayGameGoalDiff])</f>
        <v>0</v>
      </c>
      <c r="AA708" s="64">
        <f>SUMIF(Table1[GameDate], Table1[[#This Row],[GameDate]], Table1[HomeGameGoalDiff])</f>
        <v>0</v>
      </c>
      <c r="AB708" s="64">
        <f>IF(ISBLANK(Table1[[#This Row],[ActualResult]]), 0, 1)</f>
        <v>0</v>
      </c>
      <c r="AC708" s="64">
        <f>IF(ISBLANK(Table1[[#This Row],[ActualResult]]), 0, IF(Table1[[#This Row],[ActualWinner]]=Table1[[#This Row],[PredictedWinner]], 1, 0))</f>
        <v>0</v>
      </c>
      <c r="AD70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0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08" s="64">
        <f>IF(AND(Table1[[#This Row],[GameIsOver]]=1,Table1[[#This Row],[ActualAwayScore]]=0), 1,0)</f>
        <v>0</v>
      </c>
      <c r="AG708" s="64">
        <f>IF(AND(Table1[[#This Row],[GameIsOver]]=1,Table1[[#This Row],[ActualHomeScore]]=0), 1,0)</f>
        <v>0</v>
      </c>
      <c r="AH708" s="64">
        <f>IF(Table1[[#This Row],[GameIsOver]]=0,0,IF(Table1[[#This Row],[ActualWinner]]=Table1[[#This Row],[AwayTeam]], 1, 0))</f>
        <v>0</v>
      </c>
      <c r="AI708" s="64">
        <f>IF(Table1[[#This Row],[GameIsOver]]=0,0,IF(Table1[[#This Row],[ActualWinner]]=Table1[[#This Row],[HomeTeam]], 1, 0))</f>
        <v>0</v>
      </c>
      <c r="AJ708" s="64">
        <f>IF(INDEX(Standings!$A$2:$C$33,MATCH(Table1[[#This Row],[AwayTeam]],Standings!$A$2:$A$33,0),2)=INDEX(Standings!$A$2:$C$33,MATCH(Table1[[#This Row],[HomeTeam]],Standings!$A$2:$A$33,0),2),1,0)</f>
        <v>1</v>
      </c>
      <c r="AK708" s="64">
        <f>IF(INDEX(Standings!$A$2:$C$33,MATCH(Table1[[#This Row],[AwayTeam]],Standings!$A$2:$A$33,0),3)=INDEX(Standings!$A$2:$C$33,MATCH(Table1[[#This Row],[HomeTeam]],Standings!$A$2:$A$33,0),3),1,0)</f>
        <v>0</v>
      </c>
      <c r="AL708" s="64">
        <f>IF(Table1[[#This Row],[InterConf]]=1,IF(Table1[[#This Row],[InterDiv]]=0, 1, 0), 0)</f>
        <v>1</v>
      </c>
      <c r="AM708" s="64">
        <f>IF(INDEX(Standings!$A$2:$C$33,MATCH(Table1[[#This Row],[AwayTeam]],Standings!$A$2:$A$33,0),2)&lt;&gt;INDEX(Standings!$A$2:$C$33,MATCH(Table1[[#This Row],[HomeTeam]],Standings!$A$2:$A$33,0),2),1,0)</f>
        <v>0</v>
      </c>
      <c r="AN708" s="64" t="str">
        <f>INDEX(Table2[AWAY_RECORD], MATCH(Table1[[#This Row],[AwayTeam]],Table2[Team], 0), 0)</f>
        <v>0-0-0</v>
      </c>
      <c r="AO708" s="64" t="str">
        <f>INDEX(Records!$B$2:$AG$33, MATCH(Table1[[#This Row],[AwayTeam]],Records!$A$2:$A$33, 0), MATCH(Table1[[#This Row],[HomeTeam]],Records!$A$2:$A$33, 0))</f>
        <v>0-0-0</v>
      </c>
      <c r="AP708" s="64" t="str">
        <f>INDEX(Table2[HOME_RECORD], MATCH(Table1[[#This Row],[HomeTeam]],Table2[Team], 0), 0)</f>
        <v>0-0-0</v>
      </c>
      <c r="AQ708" s="64" t="str">
        <f>INDEX(Records!$B$2:$AG$33, MATCH(Table1[[#This Row],[HomeTeam]],Records!$A$2:$A$33, 0), MATCH(Table1[[#This Row],[AwayTeam]],Records!$A$2:$A$33, 0))</f>
        <v>0-0-0</v>
      </c>
    </row>
    <row r="709" spans="1:43" x14ac:dyDescent="0.25">
      <c r="A709" s="1"/>
      <c r="D709" t="s">
        <v>992</v>
      </c>
      <c r="E709" t="s">
        <v>298</v>
      </c>
      <c r="F709" t="s">
        <v>994</v>
      </c>
      <c r="G709" t="s">
        <v>59</v>
      </c>
      <c r="H709" t="s">
        <v>55</v>
      </c>
      <c r="L70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0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09" s="1"/>
      <c r="T709" s="64" t="str">
        <f>IF(Table1[[#This Row],[ActualWinner]]="", "", IF(Table1[[#This Row],[AwayTeam]]=Table1[[#This Row],[ActualWinner]],Table1[[#This Row],[HomeTeam]],Table1[[#This Row],[AwayTeam]]))</f>
        <v/>
      </c>
      <c r="U709" s="64">
        <f>Table1[[#This Row],[ActualAwayScore]]-Table1[[#This Row],[PredictedAwayScore]]</f>
        <v>0</v>
      </c>
      <c r="V709" s="64">
        <f>Table1[[#This Row],[ActualHomeScore]]-Table1[[#This Row],[PredictedHomeScore]]</f>
        <v>0</v>
      </c>
      <c r="W709" s="64">
        <f>(0.8*IF(Table1[[#This Row],[CorrectWinnerPrediction]]=1, 1, 0))+(0.1*IF(Table1[[#This Row],[CorrectAwayScorePrediction]]=1, 1, 0))+(0.1*IF(Table1[[#This Row],[CorrectHomeScorePrediction]]=1, 1, 0))</f>
        <v>0</v>
      </c>
      <c r="X70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09" s="64">
        <f>SUMIF(Table1[GameDate], Table1[[#This Row],[GameDate]], Table1[AwayGameGoalDiff])</f>
        <v>0</v>
      </c>
      <c r="AA709" s="64">
        <f>SUMIF(Table1[GameDate], Table1[[#This Row],[GameDate]], Table1[HomeGameGoalDiff])</f>
        <v>0</v>
      </c>
      <c r="AB709" s="64">
        <f>IF(ISBLANK(Table1[[#This Row],[ActualResult]]), 0, 1)</f>
        <v>0</v>
      </c>
      <c r="AC709" s="64">
        <f>IF(ISBLANK(Table1[[#This Row],[ActualResult]]), 0, IF(Table1[[#This Row],[ActualWinner]]=Table1[[#This Row],[PredictedWinner]], 1, 0))</f>
        <v>0</v>
      </c>
      <c r="AD70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0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09" s="64">
        <f>IF(AND(Table1[[#This Row],[GameIsOver]]=1,Table1[[#This Row],[ActualAwayScore]]=0), 1,0)</f>
        <v>0</v>
      </c>
      <c r="AG709" s="64">
        <f>IF(AND(Table1[[#This Row],[GameIsOver]]=1,Table1[[#This Row],[ActualHomeScore]]=0), 1,0)</f>
        <v>0</v>
      </c>
      <c r="AH709" s="64">
        <f>IF(Table1[[#This Row],[GameIsOver]]=0,0,IF(Table1[[#This Row],[ActualWinner]]=Table1[[#This Row],[AwayTeam]], 1, 0))</f>
        <v>0</v>
      </c>
      <c r="AI709" s="64">
        <f>IF(Table1[[#This Row],[GameIsOver]]=0,0,IF(Table1[[#This Row],[ActualWinner]]=Table1[[#This Row],[HomeTeam]], 1, 0))</f>
        <v>0</v>
      </c>
      <c r="AJ709" s="64">
        <f>IF(INDEX(Standings!$A$2:$C$33,MATCH(Table1[[#This Row],[AwayTeam]],Standings!$A$2:$A$33,0),2)=INDEX(Standings!$A$2:$C$33,MATCH(Table1[[#This Row],[HomeTeam]],Standings!$A$2:$A$33,0),2),1,0)</f>
        <v>0</v>
      </c>
      <c r="AK709" s="64">
        <f>IF(INDEX(Standings!$A$2:$C$33,MATCH(Table1[[#This Row],[AwayTeam]],Standings!$A$2:$A$33,0),3)=INDEX(Standings!$A$2:$C$33,MATCH(Table1[[#This Row],[HomeTeam]],Standings!$A$2:$A$33,0),3),1,0)</f>
        <v>0</v>
      </c>
      <c r="AL709" s="64">
        <f>IF(Table1[[#This Row],[InterConf]]=1,IF(Table1[[#This Row],[InterDiv]]=0, 1, 0), 0)</f>
        <v>0</v>
      </c>
      <c r="AM709" s="64">
        <f>IF(INDEX(Standings!$A$2:$C$33,MATCH(Table1[[#This Row],[AwayTeam]],Standings!$A$2:$A$33,0),2)&lt;&gt;INDEX(Standings!$A$2:$C$33,MATCH(Table1[[#This Row],[HomeTeam]],Standings!$A$2:$A$33,0),2),1,0)</f>
        <v>1</v>
      </c>
      <c r="AN709" s="64" t="str">
        <f>INDEX(Table2[AWAY_RECORD], MATCH(Table1[[#This Row],[AwayTeam]],Table2[Team], 0), 0)</f>
        <v>0-1-0</v>
      </c>
      <c r="AO709" s="64" t="str">
        <f>INDEX(Records!$B$2:$AG$33, MATCH(Table1[[#This Row],[AwayTeam]],Records!$A$2:$A$33, 0), MATCH(Table1[[#This Row],[HomeTeam]],Records!$A$2:$A$33, 0))</f>
        <v>0-0-0</v>
      </c>
      <c r="AP709" s="64" t="str">
        <f>INDEX(Table2[HOME_RECORD], MATCH(Table1[[#This Row],[HomeTeam]],Table2[Team], 0), 0)</f>
        <v>0-1-0</v>
      </c>
      <c r="AQ709" s="64" t="str">
        <f>INDEX(Records!$B$2:$AG$33, MATCH(Table1[[#This Row],[HomeTeam]],Records!$A$2:$A$33, 0), MATCH(Table1[[#This Row],[AwayTeam]],Records!$A$2:$A$33, 0))</f>
        <v>0-0-0</v>
      </c>
    </row>
    <row r="710" spans="1:43" x14ac:dyDescent="0.25">
      <c r="A710" s="1"/>
      <c r="D710" t="s">
        <v>992</v>
      </c>
      <c r="E710" t="s">
        <v>205</v>
      </c>
      <c r="F710" t="s">
        <v>995</v>
      </c>
      <c r="G710" t="s">
        <v>16</v>
      </c>
      <c r="H710" t="s">
        <v>49</v>
      </c>
      <c r="L71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1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10" s="1"/>
      <c r="T710" s="64" t="str">
        <f>IF(Table1[[#This Row],[ActualWinner]]="", "", IF(Table1[[#This Row],[AwayTeam]]=Table1[[#This Row],[ActualWinner]],Table1[[#This Row],[HomeTeam]],Table1[[#This Row],[AwayTeam]]))</f>
        <v/>
      </c>
      <c r="U710" s="64">
        <f>Table1[[#This Row],[ActualAwayScore]]-Table1[[#This Row],[PredictedAwayScore]]</f>
        <v>0</v>
      </c>
      <c r="V710" s="64">
        <f>Table1[[#This Row],[ActualHomeScore]]-Table1[[#This Row],[PredictedHomeScore]]</f>
        <v>0</v>
      </c>
      <c r="W710" s="64">
        <f>(0.8*IF(Table1[[#This Row],[CorrectWinnerPrediction]]=1, 1, 0))+(0.1*IF(Table1[[#This Row],[CorrectAwayScorePrediction]]=1, 1, 0))+(0.1*IF(Table1[[#This Row],[CorrectHomeScorePrediction]]=1, 1, 0))</f>
        <v>0</v>
      </c>
      <c r="X71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10" s="64">
        <f>SUMIF(Table1[GameDate], Table1[[#This Row],[GameDate]], Table1[AwayGameGoalDiff])</f>
        <v>0</v>
      </c>
      <c r="AA710" s="64">
        <f>SUMIF(Table1[GameDate], Table1[[#This Row],[GameDate]], Table1[HomeGameGoalDiff])</f>
        <v>0</v>
      </c>
      <c r="AB710" s="64">
        <f>IF(ISBLANK(Table1[[#This Row],[ActualResult]]), 0, 1)</f>
        <v>0</v>
      </c>
      <c r="AC710" s="64">
        <f>IF(ISBLANK(Table1[[#This Row],[ActualResult]]), 0, IF(Table1[[#This Row],[ActualWinner]]=Table1[[#This Row],[PredictedWinner]], 1, 0))</f>
        <v>0</v>
      </c>
      <c r="AD71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1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10" s="64">
        <f>IF(AND(Table1[[#This Row],[GameIsOver]]=1,Table1[[#This Row],[ActualAwayScore]]=0), 1,0)</f>
        <v>0</v>
      </c>
      <c r="AG710" s="64">
        <f>IF(AND(Table1[[#This Row],[GameIsOver]]=1,Table1[[#This Row],[ActualHomeScore]]=0), 1,0)</f>
        <v>0</v>
      </c>
      <c r="AH710" s="64">
        <f>IF(Table1[[#This Row],[GameIsOver]]=0,0,IF(Table1[[#This Row],[ActualWinner]]=Table1[[#This Row],[AwayTeam]], 1, 0))</f>
        <v>0</v>
      </c>
      <c r="AI710" s="64">
        <f>IF(Table1[[#This Row],[GameIsOver]]=0,0,IF(Table1[[#This Row],[ActualWinner]]=Table1[[#This Row],[HomeTeam]], 1, 0))</f>
        <v>0</v>
      </c>
      <c r="AJ710" s="64">
        <f>IF(INDEX(Standings!$A$2:$C$33,MATCH(Table1[[#This Row],[AwayTeam]],Standings!$A$2:$A$33,0),2)=INDEX(Standings!$A$2:$C$33,MATCH(Table1[[#This Row],[HomeTeam]],Standings!$A$2:$A$33,0),2),1,0)</f>
        <v>0</v>
      </c>
      <c r="AK710" s="64">
        <f>IF(INDEX(Standings!$A$2:$C$33,MATCH(Table1[[#This Row],[AwayTeam]],Standings!$A$2:$A$33,0),3)=INDEX(Standings!$A$2:$C$33,MATCH(Table1[[#This Row],[HomeTeam]],Standings!$A$2:$A$33,0),3),1,0)</f>
        <v>0</v>
      </c>
      <c r="AL710" s="64">
        <f>IF(Table1[[#This Row],[InterConf]]=1,IF(Table1[[#This Row],[InterDiv]]=0, 1, 0), 0)</f>
        <v>0</v>
      </c>
      <c r="AM710" s="64">
        <f>IF(INDEX(Standings!$A$2:$C$33,MATCH(Table1[[#This Row],[AwayTeam]],Standings!$A$2:$A$33,0),2)&lt;&gt;INDEX(Standings!$A$2:$C$33,MATCH(Table1[[#This Row],[HomeTeam]],Standings!$A$2:$A$33,0),2),1,0)</f>
        <v>1</v>
      </c>
      <c r="AN710" s="64" t="str">
        <f>INDEX(Table2[AWAY_RECORD], MATCH(Table1[[#This Row],[AwayTeam]],Table2[Team], 0), 0)</f>
        <v>1-0-1</v>
      </c>
      <c r="AO710" s="64" t="str">
        <f>INDEX(Records!$B$2:$AG$33, MATCH(Table1[[#This Row],[AwayTeam]],Records!$A$2:$A$33, 0), MATCH(Table1[[#This Row],[HomeTeam]],Records!$A$2:$A$33, 0))</f>
        <v>0-0-0</v>
      </c>
      <c r="AP710" s="64" t="str">
        <f>INDEX(Table2[HOME_RECORD], MATCH(Table1[[#This Row],[HomeTeam]],Table2[Team], 0), 0)</f>
        <v>1-0-0</v>
      </c>
      <c r="AQ710" s="64" t="str">
        <f>INDEX(Records!$B$2:$AG$33, MATCH(Table1[[#This Row],[HomeTeam]],Records!$A$2:$A$33, 0), MATCH(Table1[[#This Row],[AwayTeam]],Records!$A$2:$A$33, 0))</f>
        <v>0-0-0</v>
      </c>
    </row>
    <row r="711" spans="1:43" x14ac:dyDescent="0.25">
      <c r="A711" s="1"/>
      <c r="D711" t="s">
        <v>992</v>
      </c>
      <c r="E711" t="s">
        <v>443</v>
      </c>
      <c r="F711" t="s">
        <v>996</v>
      </c>
      <c r="G711" t="s">
        <v>57</v>
      </c>
      <c r="H711" t="s">
        <v>39</v>
      </c>
      <c r="L71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1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11" s="1"/>
      <c r="T711" s="64" t="str">
        <f>IF(Table1[[#This Row],[ActualWinner]]="", "", IF(Table1[[#This Row],[AwayTeam]]=Table1[[#This Row],[ActualWinner]],Table1[[#This Row],[HomeTeam]],Table1[[#This Row],[AwayTeam]]))</f>
        <v/>
      </c>
      <c r="U711" s="64">
        <f>Table1[[#This Row],[ActualAwayScore]]-Table1[[#This Row],[PredictedAwayScore]]</f>
        <v>0</v>
      </c>
      <c r="V711" s="64">
        <f>Table1[[#This Row],[ActualHomeScore]]-Table1[[#This Row],[PredictedHomeScore]]</f>
        <v>0</v>
      </c>
      <c r="W711" s="64">
        <f>(0.8*IF(Table1[[#This Row],[CorrectWinnerPrediction]]=1, 1, 0))+(0.1*IF(Table1[[#This Row],[CorrectAwayScorePrediction]]=1, 1, 0))+(0.1*IF(Table1[[#This Row],[CorrectHomeScorePrediction]]=1, 1, 0))</f>
        <v>0</v>
      </c>
      <c r="X71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11" s="64">
        <f>SUMIF(Table1[GameDate], Table1[[#This Row],[GameDate]], Table1[AwayGameGoalDiff])</f>
        <v>0</v>
      </c>
      <c r="AA711" s="64">
        <f>SUMIF(Table1[GameDate], Table1[[#This Row],[GameDate]], Table1[HomeGameGoalDiff])</f>
        <v>0</v>
      </c>
      <c r="AB711" s="64">
        <f>IF(ISBLANK(Table1[[#This Row],[ActualResult]]), 0, 1)</f>
        <v>0</v>
      </c>
      <c r="AC711" s="64">
        <f>IF(ISBLANK(Table1[[#This Row],[ActualResult]]), 0, IF(Table1[[#This Row],[ActualWinner]]=Table1[[#This Row],[PredictedWinner]], 1, 0))</f>
        <v>0</v>
      </c>
      <c r="AD71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1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11" s="64">
        <f>IF(AND(Table1[[#This Row],[GameIsOver]]=1,Table1[[#This Row],[ActualAwayScore]]=0), 1,0)</f>
        <v>0</v>
      </c>
      <c r="AG711" s="64">
        <f>IF(AND(Table1[[#This Row],[GameIsOver]]=1,Table1[[#This Row],[ActualHomeScore]]=0), 1,0)</f>
        <v>0</v>
      </c>
      <c r="AH711" s="64">
        <f>IF(Table1[[#This Row],[GameIsOver]]=0,0,IF(Table1[[#This Row],[ActualWinner]]=Table1[[#This Row],[AwayTeam]], 1, 0))</f>
        <v>0</v>
      </c>
      <c r="AI711" s="64">
        <f>IF(Table1[[#This Row],[GameIsOver]]=0,0,IF(Table1[[#This Row],[ActualWinner]]=Table1[[#This Row],[HomeTeam]], 1, 0))</f>
        <v>0</v>
      </c>
      <c r="AJ711" s="64">
        <f>IF(INDEX(Standings!$A$2:$C$33,MATCH(Table1[[#This Row],[AwayTeam]],Standings!$A$2:$A$33,0),2)=INDEX(Standings!$A$2:$C$33,MATCH(Table1[[#This Row],[HomeTeam]],Standings!$A$2:$A$33,0),2),1,0)</f>
        <v>0</v>
      </c>
      <c r="AK711" s="64">
        <f>IF(INDEX(Standings!$A$2:$C$33,MATCH(Table1[[#This Row],[AwayTeam]],Standings!$A$2:$A$33,0),3)=INDEX(Standings!$A$2:$C$33,MATCH(Table1[[#This Row],[HomeTeam]],Standings!$A$2:$A$33,0),3),1,0)</f>
        <v>0</v>
      </c>
      <c r="AL711" s="64">
        <f>IF(Table1[[#This Row],[InterConf]]=1,IF(Table1[[#This Row],[InterDiv]]=0, 1, 0), 0)</f>
        <v>0</v>
      </c>
      <c r="AM711" s="64">
        <f>IF(INDEX(Standings!$A$2:$C$33,MATCH(Table1[[#This Row],[AwayTeam]],Standings!$A$2:$A$33,0),2)&lt;&gt;INDEX(Standings!$A$2:$C$33,MATCH(Table1[[#This Row],[HomeTeam]],Standings!$A$2:$A$33,0),2),1,0)</f>
        <v>1</v>
      </c>
      <c r="AN711" s="64" t="str">
        <f>INDEX(Table2[AWAY_RECORD], MATCH(Table1[[#This Row],[AwayTeam]],Table2[Team], 0), 0)</f>
        <v>0-1-0</v>
      </c>
      <c r="AO711" s="64" t="str">
        <f>INDEX(Records!$B$2:$AG$33, MATCH(Table1[[#This Row],[AwayTeam]],Records!$A$2:$A$33, 0), MATCH(Table1[[#This Row],[HomeTeam]],Records!$A$2:$A$33, 0))</f>
        <v>0-0-0</v>
      </c>
      <c r="AP711" s="64" t="str">
        <f>INDEX(Table2[HOME_RECORD], MATCH(Table1[[#This Row],[HomeTeam]],Table2[Team], 0), 0)</f>
        <v>0-1-0</v>
      </c>
      <c r="AQ711" s="64" t="str">
        <f>INDEX(Records!$B$2:$AG$33, MATCH(Table1[[#This Row],[HomeTeam]],Records!$A$2:$A$33, 0), MATCH(Table1[[#This Row],[AwayTeam]],Records!$A$2:$A$33, 0))</f>
        <v>0-0-0</v>
      </c>
    </row>
    <row r="712" spans="1:43" x14ac:dyDescent="0.25">
      <c r="A712" s="1"/>
      <c r="D712" t="s">
        <v>992</v>
      </c>
      <c r="E712" t="s">
        <v>443</v>
      </c>
      <c r="F712" t="s">
        <v>997</v>
      </c>
      <c r="G712" t="s">
        <v>50</v>
      </c>
      <c r="H712" t="s">
        <v>45</v>
      </c>
      <c r="L71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1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12" s="1"/>
      <c r="T712" s="64" t="str">
        <f>IF(Table1[[#This Row],[ActualWinner]]="", "", IF(Table1[[#This Row],[AwayTeam]]=Table1[[#This Row],[ActualWinner]],Table1[[#This Row],[HomeTeam]],Table1[[#This Row],[AwayTeam]]))</f>
        <v/>
      </c>
      <c r="U712" s="64">
        <f>Table1[[#This Row],[ActualAwayScore]]-Table1[[#This Row],[PredictedAwayScore]]</f>
        <v>0</v>
      </c>
      <c r="V712" s="64">
        <f>Table1[[#This Row],[ActualHomeScore]]-Table1[[#This Row],[PredictedHomeScore]]</f>
        <v>0</v>
      </c>
      <c r="W712" s="64">
        <f>(0.8*IF(Table1[[#This Row],[CorrectWinnerPrediction]]=1, 1, 0))+(0.1*IF(Table1[[#This Row],[CorrectAwayScorePrediction]]=1, 1, 0))+(0.1*IF(Table1[[#This Row],[CorrectHomeScorePrediction]]=1, 1, 0))</f>
        <v>0</v>
      </c>
      <c r="X71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12" s="64">
        <f>SUMIF(Table1[GameDate], Table1[[#This Row],[GameDate]], Table1[AwayGameGoalDiff])</f>
        <v>0</v>
      </c>
      <c r="AA712" s="64">
        <f>SUMIF(Table1[GameDate], Table1[[#This Row],[GameDate]], Table1[HomeGameGoalDiff])</f>
        <v>0</v>
      </c>
      <c r="AB712" s="64">
        <f>IF(ISBLANK(Table1[[#This Row],[ActualResult]]), 0, 1)</f>
        <v>0</v>
      </c>
      <c r="AC712" s="64">
        <f>IF(ISBLANK(Table1[[#This Row],[ActualResult]]), 0, IF(Table1[[#This Row],[ActualWinner]]=Table1[[#This Row],[PredictedWinner]], 1, 0))</f>
        <v>0</v>
      </c>
      <c r="AD71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1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12" s="64">
        <f>IF(AND(Table1[[#This Row],[GameIsOver]]=1,Table1[[#This Row],[ActualAwayScore]]=0), 1,0)</f>
        <v>0</v>
      </c>
      <c r="AG712" s="64">
        <f>IF(AND(Table1[[#This Row],[GameIsOver]]=1,Table1[[#This Row],[ActualHomeScore]]=0), 1,0)</f>
        <v>0</v>
      </c>
      <c r="AH712" s="64">
        <f>IF(Table1[[#This Row],[GameIsOver]]=0,0,IF(Table1[[#This Row],[ActualWinner]]=Table1[[#This Row],[AwayTeam]], 1, 0))</f>
        <v>0</v>
      </c>
      <c r="AI712" s="64">
        <f>IF(Table1[[#This Row],[GameIsOver]]=0,0,IF(Table1[[#This Row],[ActualWinner]]=Table1[[#This Row],[HomeTeam]], 1, 0))</f>
        <v>0</v>
      </c>
      <c r="AJ712" s="64">
        <f>IF(INDEX(Standings!$A$2:$C$33,MATCH(Table1[[#This Row],[AwayTeam]],Standings!$A$2:$A$33,0),2)=INDEX(Standings!$A$2:$C$33,MATCH(Table1[[#This Row],[HomeTeam]],Standings!$A$2:$A$33,0),2),1,0)</f>
        <v>0</v>
      </c>
      <c r="AK712" s="64">
        <f>IF(INDEX(Standings!$A$2:$C$33,MATCH(Table1[[#This Row],[AwayTeam]],Standings!$A$2:$A$33,0),3)=INDEX(Standings!$A$2:$C$33,MATCH(Table1[[#This Row],[HomeTeam]],Standings!$A$2:$A$33,0),3),1,0)</f>
        <v>0</v>
      </c>
      <c r="AL712" s="64">
        <f>IF(Table1[[#This Row],[InterConf]]=1,IF(Table1[[#This Row],[InterDiv]]=0, 1, 0), 0)</f>
        <v>0</v>
      </c>
      <c r="AM712" s="64">
        <f>IF(INDEX(Standings!$A$2:$C$33,MATCH(Table1[[#This Row],[AwayTeam]],Standings!$A$2:$A$33,0),2)&lt;&gt;INDEX(Standings!$A$2:$C$33,MATCH(Table1[[#This Row],[HomeTeam]],Standings!$A$2:$A$33,0),2),1,0)</f>
        <v>1</v>
      </c>
      <c r="AN712" s="64" t="str">
        <f>INDEX(Table2[AWAY_RECORD], MATCH(Table1[[#This Row],[AwayTeam]],Table2[Team], 0), 0)</f>
        <v>1-0-0</v>
      </c>
      <c r="AO712" s="64" t="str">
        <f>INDEX(Records!$B$2:$AG$33, MATCH(Table1[[#This Row],[AwayTeam]],Records!$A$2:$A$33, 0), MATCH(Table1[[#This Row],[HomeTeam]],Records!$A$2:$A$33, 0))</f>
        <v>0-0-0</v>
      </c>
      <c r="AP712" s="64" t="str">
        <f>INDEX(Table2[HOME_RECORD], MATCH(Table1[[#This Row],[HomeTeam]],Table2[Team], 0), 0)</f>
        <v>1-0-0</v>
      </c>
      <c r="AQ712" s="64" t="str">
        <f>INDEX(Records!$B$2:$AG$33, MATCH(Table1[[#This Row],[HomeTeam]],Records!$A$2:$A$33, 0), MATCH(Table1[[#This Row],[AwayTeam]],Records!$A$2:$A$33, 0))</f>
        <v>0-0-0</v>
      </c>
    </row>
    <row r="713" spans="1:43" x14ac:dyDescent="0.25">
      <c r="A713" s="1"/>
      <c r="D713" t="s">
        <v>992</v>
      </c>
      <c r="E713" t="s">
        <v>162</v>
      </c>
      <c r="F713" t="s">
        <v>998</v>
      </c>
      <c r="G713" t="s">
        <v>40</v>
      </c>
      <c r="H713" t="s">
        <v>38</v>
      </c>
      <c r="L71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1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13" s="1"/>
      <c r="T713" s="64" t="str">
        <f>IF(Table1[[#This Row],[ActualWinner]]="", "", IF(Table1[[#This Row],[AwayTeam]]=Table1[[#This Row],[ActualWinner]],Table1[[#This Row],[HomeTeam]],Table1[[#This Row],[AwayTeam]]))</f>
        <v/>
      </c>
      <c r="U713" s="64">
        <f>Table1[[#This Row],[ActualAwayScore]]-Table1[[#This Row],[PredictedAwayScore]]</f>
        <v>0</v>
      </c>
      <c r="V713" s="64">
        <f>Table1[[#This Row],[ActualHomeScore]]-Table1[[#This Row],[PredictedHomeScore]]</f>
        <v>0</v>
      </c>
      <c r="W713" s="64">
        <f>(0.8*IF(Table1[[#This Row],[CorrectWinnerPrediction]]=1, 1, 0))+(0.1*IF(Table1[[#This Row],[CorrectAwayScorePrediction]]=1, 1, 0))+(0.1*IF(Table1[[#This Row],[CorrectHomeScorePrediction]]=1, 1, 0))</f>
        <v>0</v>
      </c>
      <c r="X71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13" s="64">
        <f>SUMIF(Table1[GameDate], Table1[[#This Row],[GameDate]], Table1[AwayGameGoalDiff])</f>
        <v>0</v>
      </c>
      <c r="AA713" s="64">
        <f>SUMIF(Table1[GameDate], Table1[[#This Row],[GameDate]], Table1[HomeGameGoalDiff])</f>
        <v>0</v>
      </c>
      <c r="AB713" s="64">
        <f>IF(ISBLANK(Table1[[#This Row],[ActualResult]]), 0, 1)</f>
        <v>0</v>
      </c>
      <c r="AC713" s="64">
        <f>IF(ISBLANK(Table1[[#This Row],[ActualResult]]), 0, IF(Table1[[#This Row],[ActualWinner]]=Table1[[#This Row],[PredictedWinner]], 1, 0))</f>
        <v>0</v>
      </c>
      <c r="AD71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1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13" s="64">
        <f>IF(AND(Table1[[#This Row],[GameIsOver]]=1,Table1[[#This Row],[ActualAwayScore]]=0), 1,0)</f>
        <v>0</v>
      </c>
      <c r="AG713" s="64">
        <f>IF(AND(Table1[[#This Row],[GameIsOver]]=1,Table1[[#This Row],[ActualHomeScore]]=0), 1,0)</f>
        <v>0</v>
      </c>
      <c r="AH713" s="64">
        <f>IF(Table1[[#This Row],[GameIsOver]]=0,0,IF(Table1[[#This Row],[ActualWinner]]=Table1[[#This Row],[AwayTeam]], 1, 0))</f>
        <v>0</v>
      </c>
      <c r="AI713" s="64">
        <f>IF(Table1[[#This Row],[GameIsOver]]=0,0,IF(Table1[[#This Row],[ActualWinner]]=Table1[[#This Row],[HomeTeam]], 1, 0))</f>
        <v>0</v>
      </c>
      <c r="AJ713" s="64">
        <f>IF(INDEX(Standings!$A$2:$C$33,MATCH(Table1[[#This Row],[AwayTeam]],Standings!$A$2:$A$33,0),2)=INDEX(Standings!$A$2:$C$33,MATCH(Table1[[#This Row],[HomeTeam]],Standings!$A$2:$A$33,0),2),1,0)</f>
        <v>1</v>
      </c>
      <c r="AK713" s="64">
        <f>IF(INDEX(Standings!$A$2:$C$33,MATCH(Table1[[#This Row],[AwayTeam]],Standings!$A$2:$A$33,0),3)=INDEX(Standings!$A$2:$C$33,MATCH(Table1[[#This Row],[HomeTeam]],Standings!$A$2:$A$33,0),3),1,0)</f>
        <v>0</v>
      </c>
      <c r="AL713" s="64">
        <f>IF(Table1[[#This Row],[InterConf]]=1,IF(Table1[[#This Row],[InterDiv]]=0, 1, 0), 0)</f>
        <v>1</v>
      </c>
      <c r="AM713" s="64">
        <f>IF(INDEX(Standings!$A$2:$C$33,MATCH(Table1[[#This Row],[AwayTeam]],Standings!$A$2:$A$33,0),2)&lt;&gt;INDEX(Standings!$A$2:$C$33,MATCH(Table1[[#This Row],[HomeTeam]],Standings!$A$2:$A$33,0),2),1,0)</f>
        <v>0</v>
      </c>
      <c r="AN713" s="64" t="str">
        <f>INDEX(Table2[AWAY_RECORD], MATCH(Table1[[#This Row],[AwayTeam]],Table2[Team], 0), 0)</f>
        <v>0-0-0</v>
      </c>
      <c r="AO713" s="64" t="str">
        <f>INDEX(Records!$B$2:$AG$33, MATCH(Table1[[#This Row],[AwayTeam]],Records!$A$2:$A$33, 0), MATCH(Table1[[#This Row],[HomeTeam]],Records!$A$2:$A$33, 0))</f>
        <v>0-0-0</v>
      </c>
      <c r="AP713" s="64" t="str">
        <f>INDEX(Table2[HOME_RECORD], MATCH(Table1[[#This Row],[HomeTeam]],Table2[Team], 0), 0)</f>
        <v>0-0-0</v>
      </c>
      <c r="AQ713" s="64" t="str">
        <f>INDEX(Records!$B$2:$AG$33, MATCH(Table1[[#This Row],[HomeTeam]],Records!$A$2:$A$33, 0), MATCH(Table1[[#This Row],[AwayTeam]],Records!$A$2:$A$33, 0))</f>
        <v>0-0-0</v>
      </c>
    </row>
    <row r="714" spans="1:43" x14ac:dyDescent="0.25">
      <c r="A714" s="1"/>
      <c r="D714" t="s">
        <v>992</v>
      </c>
      <c r="E714" t="s">
        <v>162</v>
      </c>
      <c r="F714" t="s">
        <v>999</v>
      </c>
      <c r="G714" t="s">
        <v>53</v>
      </c>
      <c r="H714" t="s">
        <v>24</v>
      </c>
      <c r="L71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1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14" s="1"/>
      <c r="T714" s="64" t="str">
        <f>IF(Table1[[#This Row],[ActualWinner]]="", "", IF(Table1[[#This Row],[AwayTeam]]=Table1[[#This Row],[ActualWinner]],Table1[[#This Row],[HomeTeam]],Table1[[#This Row],[AwayTeam]]))</f>
        <v/>
      </c>
      <c r="U714" s="64">
        <f>Table1[[#This Row],[ActualAwayScore]]-Table1[[#This Row],[PredictedAwayScore]]</f>
        <v>0</v>
      </c>
      <c r="V714" s="64">
        <f>Table1[[#This Row],[ActualHomeScore]]-Table1[[#This Row],[PredictedHomeScore]]</f>
        <v>0</v>
      </c>
      <c r="W714" s="64">
        <f>(0.8*IF(Table1[[#This Row],[CorrectWinnerPrediction]]=1, 1, 0))+(0.1*IF(Table1[[#This Row],[CorrectAwayScorePrediction]]=1, 1, 0))+(0.1*IF(Table1[[#This Row],[CorrectHomeScorePrediction]]=1, 1, 0))</f>
        <v>0</v>
      </c>
      <c r="X71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14" s="64">
        <f>SUMIF(Table1[GameDate], Table1[[#This Row],[GameDate]], Table1[AwayGameGoalDiff])</f>
        <v>0</v>
      </c>
      <c r="AA714" s="64">
        <f>SUMIF(Table1[GameDate], Table1[[#This Row],[GameDate]], Table1[HomeGameGoalDiff])</f>
        <v>0</v>
      </c>
      <c r="AB714" s="64">
        <f>IF(ISBLANK(Table1[[#This Row],[ActualResult]]), 0, 1)</f>
        <v>0</v>
      </c>
      <c r="AC714" s="64">
        <f>IF(ISBLANK(Table1[[#This Row],[ActualResult]]), 0, IF(Table1[[#This Row],[ActualWinner]]=Table1[[#This Row],[PredictedWinner]], 1, 0))</f>
        <v>0</v>
      </c>
      <c r="AD71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1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14" s="64">
        <f>IF(AND(Table1[[#This Row],[GameIsOver]]=1,Table1[[#This Row],[ActualAwayScore]]=0), 1,0)</f>
        <v>0</v>
      </c>
      <c r="AG714" s="64">
        <f>IF(AND(Table1[[#This Row],[GameIsOver]]=1,Table1[[#This Row],[ActualHomeScore]]=0), 1,0)</f>
        <v>0</v>
      </c>
      <c r="AH714" s="64">
        <f>IF(Table1[[#This Row],[GameIsOver]]=0,0,IF(Table1[[#This Row],[ActualWinner]]=Table1[[#This Row],[AwayTeam]], 1, 0))</f>
        <v>0</v>
      </c>
      <c r="AI714" s="64">
        <f>IF(Table1[[#This Row],[GameIsOver]]=0,0,IF(Table1[[#This Row],[ActualWinner]]=Table1[[#This Row],[HomeTeam]], 1, 0))</f>
        <v>0</v>
      </c>
      <c r="AJ714" s="64">
        <f>IF(INDEX(Standings!$A$2:$C$33,MATCH(Table1[[#This Row],[AwayTeam]],Standings!$A$2:$A$33,0),2)=INDEX(Standings!$A$2:$C$33,MATCH(Table1[[#This Row],[HomeTeam]],Standings!$A$2:$A$33,0),2),1,0)</f>
        <v>1</v>
      </c>
      <c r="AK714" s="64">
        <f>IF(INDEX(Standings!$A$2:$C$33,MATCH(Table1[[#This Row],[AwayTeam]],Standings!$A$2:$A$33,0),3)=INDEX(Standings!$A$2:$C$33,MATCH(Table1[[#This Row],[HomeTeam]],Standings!$A$2:$A$33,0),3),1,0)</f>
        <v>0</v>
      </c>
      <c r="AL714" s="64">
        <f>IF(Table1[[#This Row],[InterConf]]=1,IF(Table1[[#This Row],[InterDiv]]=0, 1, 0), 0)</f>
        <v>1</v>
      </c>
      <c r="AM714" s="64">
        <f>IF(INDEX(Standings!$A$2:$C$33,MATCH(Table1[[#This Row],[AwayTeam]],Standings!$A$2:$A$33,0),2)&lt;&gt;INDEX(Standings!$A$2:$C$33,MATCH(Table1[[#This Row],[HomeTeam]],Standings!$A$2:$A$33,0),2),1,0)</f>
        <v>0</v>
      </c>
      <c r="AN714" s="64" t="str">
        <f>INDEX(Table2[AWAY_RECORD], MATCH(Table1[[#This Row],[AwayTeam]],Table2[Team], 0), 0)</f>
        <v>0-1-0</v>
      </c>
      <c r="AO714" s="64" t="str">
        <f>INDEX(Records!$B$2:$AG$33, MATCH(Table1[[#This Row],[AwayTeam]],Records!$A$2:$A$33, 0), MATCH(Table1[[#This Row],[HomeTeam]],Records!$A$2:$A$33, 0))</f>
        <v>0-0-0</v>
      </c>
      <c r="AP714" s="64" t="str">
        <f>INDEX(Table2[HOME_RECORD], MATCH(Table1[[#This Row],[HomeTeam]],Table2[Team], 0), 0)</f>
        <v>0-2-0</v>
      </c>
      <c r="AQ714" s="64" t="str">
        <f>INDEX(Records!$B$2:$AG$33, MATCH(Table1[[#This Row],[HomeTeam]],Records!$A$2:$A$33, 0), MATCH(Table1[[#This Row],[AwayTeam]],Records!$A$2:$A$33, 0))</f>
        <v>0-0-0</v>
      </c>
    </row>
    <row r="715" spans="1:43" x14ac:dyDescent="0.25">
      <c r="A715" s="1"/>
      <c r="D715" t="s">
        <v>992</v>
      </c>
      <c r="E715" t="s">
        <v>162</v>
      </c>
      <c r="F715" t="s">
        <v>1000</v>
      </c>
      <c r="G715" t="s">
        <v>54</v>
      </c>
      <c r="H715" t="s">
        <v>47</v>
      </c>
      <c r="L71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1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15" s="1"/>
      <c r="T715" s="64" t="str">
        <f>IF(Table1[[#This Row],[ActualWinner]]="", "", IF(Table1[[#This Row],[AwayTeam]]=Table1[[#This Row],[ActualWinner]],Table1[[#This Row],[HomeTeam]],Table1[[#This Row],[AwayTeam]]))</f>
        <v/>
      </c>
      <c r="U715" s="64">
        <f>Table1[[#This Row],[ActualAwayScore]]-Table1[[#This Row],[PredictedAwayScore]]</f>
        <v>0</v>
      </c>
      <c r="V715" s="64">
        <f>Table1[[#This Row],[ActualHomeScore]]-Table1[[#This Row],[PredictedHomeScore]]</f>
        <v>0</v>
      </c>
      <c r="W715" s="64">
        <f>(0.8*IF(Table1[[#This Row],[CorrectWinnerPrediction]]=1, 1, 0))+(0.1*IF(Table1[[#This Row],[CorrectAwayScorePrediction]]=1, 1, 0))+(0.1*IF(Table1[[#This Row],[CorrectHomeScorePrediction]]=1, 1, 0))</f>
        <v>0</v>
      </c>
      <c r="X71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15" s="64">
        <f>SUMIF(Table1[GameDate], Table1[[#This Row],[GameDate]], Table1[AwayGameGoalDiff])</f>
        <v>0</v>
      </c>
      <c r="AA715" s="64">
        <f>SUMIF(Table1[GameDate], Table1[[#This Row],[GameDate]], Table1[HomeGameGoalDiff])</f>
        <v>0</v>
      </c>
      <c r="AB715" s="64">
        <f>IF(ISBLANK(Table1[[#This Row],[ActualResult]]), 0, 1)</f>
        <v>0</v>
      </c>
      <c r="AC715" s="64">
        <f>IF(ISBLANK(Table1[[#This Row],[ActualResult]]), 0, IF(Table1[[#This Row],[ActualWinner]]=Table1[[#This Row],[PredictedWinner]], 1, 0))</f>
        <v>0</v>
      </c>
      <c r="AD71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1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15" s="64">
        <f>IF(AND(Table1[[#This Row],[GameIsOver]]=1,Table1[[#This Row],[ActualAwayScore]]=0), 1,0)</f>
        <v>0</v>
      </c>
      <c r="AG715" s="64">
        <f>IF(AND(Table1[[#This Row],[GameIsOver]]=1,Table1[[#This Row],[ActualHomeScore]]=0), 1,0)</f>
        <v>0</v>
      </c>
      <c r="AH715" s="64">
        <f>IF(Table1[[#This Row],[GameIsOver]]=0,0,IF(Table1[[#This Row],[ActualWinner]]=Table1[[#This Row],[AwayTeam]], 1, 0))</f>
        <v>0</v>
      </c>
      <c r="AI715" s="64">
        <f>IF(Table1[[#This Row],[GameIsOver]]=0,0,IF(Table1[[#This Row],[ActualWinner]]=Table1[[#This Row],[HomeTeam]], 1, 0))</f>
        <v>0</v>
      </c>
      <c r="AJ715" s="64">
        <f>IF(INDEX(Standings!$A$2:$C$33,MATCH(Table1[[#This Row],[AwayTeam]],Standings!$A$2:$A$33,0),2)=INDEX(Standings!$A$2:$C$33,MATCH(Table1[[#This Row],[HomeTeam]],Standings!$A$2:$A$33,0),2),1,0)</f>
        <v>1</v>
      </c>
      <c r="AK715" s="64">
        <f>IF(INDEX(Standings!$A$2:$C$33,MATCH(Table1[[#This Row],[AwayTeam]],Standings!$A$2:$A$33,0),3)=INDEX(Standings!$A$2:$C$33,MATCH(Table1[[#This Row],[HomeTeam]],Standings!$A$2:$A$33,0),3),1,0)</f>
        <v>0</v>
      </c>
      <c r="AL715" s="64">
        <f>IF(Table1[[#This Row],[InterConf]]=1,IF(Table1[[#This Row],[InterDiv]]=0, 1, 0), 0)</f>
        <v>1</v>
      </c>
      <c r="AM715" s="64">
        <f>IF(INDEX(Standings!$A$2:$C$33,MATCH(Table1[[#This Row],[AwayTeam]],Standings!$A$2:$A$33,0),2)&lt;&gt;INDEX(Standings!$A$2:$C$33,MATCH(Table1[[#This Row],[HomeTeam]],Standings!$A$2:$A$33,0),2),1,0)</f>
        <v>0</v>
      </c>
      <c r="AN715" s="64" t="str">
        <f>INDEX(Table2[AWAY_RECORD], MATCH(Table1[[#This Row],[AwayTeam]],Table2[Team], 0), 0)</f>
        <v>0-0-1</v>
      </c>
      <c r="AO715" s="64" t="str">
        <f>INDEX(Records!$B$2:$AG$33, MATCH(Table1[[#This Row],[AwayTeam]],Records!$A$2:$A$33, 0), MATCH(Table1[[#This Row],[HomeTeam]],Records!$A$2:$A$33, 0))</f>
        <v>0-0-0</v>
      </c>
      <c r="AP715" s="64" t="str">
        <f>INDEX(Table2[HOME_RECORD], MATCH(Table1[[#This Row],[HomeTeam]],Table2[Team], 0), 0)</f>
        <v>0-0-0</v>
      </c>
      <c r="AQ715" s="64" t="str">
        <f>INDEX(Records!$B$2:$AG$33, MATCH(Table1[[#This Row],[HomeTeam]],Records!$A$2:$A$33, 0), MATCH(Table1[[#This Row],[AwayTeam]],Records!$A$2:$A$33, 0))</f>
        <v>0-0-0</v>
      </c>
    </row>
    <row r="716" spans="1:43" x14ac:dyDescent="0.25">
      <c r="A716" s="1"/>
      <c r="D716" t="s">
        <v>992</v>
      </c>
      <c r="E716" t="s">
        <v>162</v>
      </c>
      <c r="F716" t="s">
        <v>1001</v>
      </c>
      <c r="G716" t="s">
        <v>37</v>
      </c>
      <c r="H716" t="s">
        <v>44</v>
      </c>
      <c r="L71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1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16" s="1"/>
      <c r="T716" s="64" t="str">
        <f>IF(Table1[[#This Row],[ActualWinner]]="", "", IF(Table1[[#This Row],[AwayTeam]]=Table1[[#This Row],[ActualWinner]],Table1[[#This Row],[HomeTeam]],Table1[[#This Row],[AwayTeam]]))</f>
        <v/>
      </c>
      <c r="U716" s="64">
        <f>Table1[[#This Row],[ActualAwayScore]]-Table1[[#This Row],[PredictedAwayScore]]</f>
        <v>0</v>
      </c>
      <c r="V716" s="64">
        <f>Table1[[#This Row],[ActualHomeScore]]-Table1[[#This Row],[PredictedHomeScore]]</f>
        <v>0</v>
      </c>
      <c r="W716" s="64">
        <f>(0.8*IF(Table1[[#This Row],[CorrectWinnerPrediction]]=1, 1, 0))+(0.1*IF(Table1[[#This Row],[CorrectAwayScorePrediction]]=1, 1, 0))+(0.1*IF(Table1[[#This Row],[CorrectHomeScorePrediction]]=1, 1, 0))</f>
        <v>0</v>
      </c>
      <c r="X71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16" s="64">
        <f>SUMIF(Table1[GameDate], Table1[[#This Row],[GameDate]], Table1[AwayGameGoalDiff])</f>
        <v>0</v>
      </c>
      <c r="AA716" s="64">
        <f>SUMIF(Table1[GameDate], Table1[[#This Row],[GameDate]], Table1[HomeGameGoalDiff])</f>
        <v>0</v>
      </c>
      <c r="AB716" s="64">
        <f>IF(ISBLANK(Table1[[#This Row],[ActualResult]]), 0, 1)</f>
        <v>0</v>
      </c>
      <c r="AC716" s="64">
        <f>IF(ISBLANK(Table1[[#This Row],[ActualResult]]), 0, IF(Table1[[#This Row],[ActualWinner]]=Table1[[#This Row],[PredictedWinner]], 1, 0))</f>
        <v>0</v>
      </c>
      <c r="AD71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1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16" s="64">
        <f>IF(AND(Table1[[#This Row],[GameIsOver]]=1,Table1[[#This Row],[ActualAwayScore]]=0), 1,0)</f>
        <v>0</v>
      </c>
      <c r="AG716" s="64">
        <f>IF(AND(Table1[[#This Row],[GameIsOver]]=1,Table1[[#This Row],[ActualHomeScore]]=0), 1,0)</f>
        <v>0</v>
      </c>
      <c r="AH716" s="64">
        <f>IF(Table1[[#This Row],[GameIsOver]]=0,0,IF(Table1[[#This Row],[ActualWinner]]=Table1[[#This Row],[AwayTeam]], 1, 0))</f>
        <v>0</v>
      </c>
      <c r="AI716" s="64">
        <f>IF(Table1[[#This Row],[GameIsOver]]=0,0,IF(Table1[[#This Row],[ActualWinner]]=Table1[[#This Row],[HomeTeam]], 1, 0))</f>
        <v>0</v>
      </c>
      <c r="AJ716" s="64">
        <f>IF(INDEX(Standings!$A$2:$C$33,MATCH(Table1[[#This Row],[AwayTeam]],Standings!$A$2:$A$33,0),2)=INDEX(Standings!$A$2:$C$33,MATCH(Table1[[#This Row],[HomeTeam]],Standings!$A$2:$A$33,0),2),1,0)</f>
        <v>1</v>
      </c>
      <c r="AK716" s="64">
        <f>IF(INDEX(Standings!$A$2:$C$33,MATCH(Table1[[#This Row],[AwayTeam]],Standings!$A$2:$A$33,0),3)=INDEX(Standings!$A$2:$C$33,MATCH(Table1[[#This Row],[HomeTeam]],Standings!$A$2:$A$33,0),3),1,0)</f>
        <v>1</v>
      </c>
      <c r="AL716" s="64">
        <f>IF(Table1[[#This Row],[InterConf]]=1,IF(Table1[[#This Row],[InterDiv]]=0, 1, 0), 0)</f>
        <v>0</v>
      </c>
      <c r="AM716" s="64">
        <f>IF(INDEX(Standings!$A$2:$C$33,MATCH(Table1[[#This Row],[AwayTeam]],Standings!$A$2:$A$33,0),2)&lt;&gt;INDEX(Standings!$A$2:$C$33,MATCH(Table1[[#This Row],[HomeTeam]],Standings!$A$2:$A$33,0),2),1,0)</f>
        <v>0</v>
      </c>
      <c r="AN716" s="64" t="str">
        <f>INDEX(Table2[AWAY_RECORD], MATCH(Table1[[#This Row],[AwayTeam]],Table2[Team], 0), 0)</f>
        <v>0-0-1</v>
      </c>
      <c r="AO716" s="64" t="str">
        <f>INDEX(Records!$B$2:$AG$33, MATCH(Table1[[#This Row],[AwayTeam]],Records!$A$2:$A$33, 0), MATCH(Table1[[#This Row],[HomeTeam]],Records!$A$2:$A$33, 0))</f>
        <v>0-0-0</v>
      </c>
      <c r="AP716" s="64" t="str">
        <f>INDEX(Table2[HOME_RECORD], MATCH(Table1[[#This Row],[HomeTeam]],Table2[Team], 0), 0)</f>
        <v>0-0-1</v>
      </c>
      <c r="AQ716" s="64" t="str">
        <f>INDEX(Records!$B$2:$AG$33, MATCH(Table1[[#This Row],[HomeTeam]],Records!$A$2:$A$33, 0), MATCH(Table1[[#This Row],[AwayTeam]],Records!$A$2:$A$33, 0))</f>
        <v>0-0-0</v>
      </c>
    </row>
    <row r="717" spans="1:43" x14ac:dyDescent="0.25">
      <c r="A717" s="1"/>
      <c r="D717" t="s">
        <v>992</v>
      </c>
      <c r="E717" t="s">
        <v>162</v>
      </c>
      <c r="F717" t="s">
        <v>1002</v>
      </c>
      <c r="G717" t="s">
        <v>58</v>
      </c>
      <c r="H717" t="s">
        <v>60</v>
      </c>
      <c r="L71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1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17" s="1"/>
      <c r="T717" s="64" t="str">
        <f>IF(Table1[[#This Row],[ActualWinner]]="", "", IF(Table1[[#This Row],[AwayTeam]]=Table1[[#This Row],[ActualWinner]],Table1[[#This Row],[HomeTeam]],Table1[[#This Row],[AwayTeam]]))</f>
        <v/>
      </c>
      <c r="U717" s="64">
        <f>Table1[[#This Row],[ActualAwayScore]]-Table1[[#This Row],[PredictedAwayScore]]</f>
        <v>0</v>
      </c>
      <c r="V717" s="64">
        <f>Table1[[#This Row],[ActualHomeScore]]-Table1[[#This Row],[PredictedHomeScore]]</f>
        <v>0</v>
      </c>
      <c r="W717" s="64">
        <f>(0.8*IF(Table1[[#This Row],[CorrectWinnerPrediction]]=1, 1, 0))+(0.1*IF(Table1[[#This Row],[CorrectAwayScorePrediction]]=1, 1, 0))+(0.1*IF(Table1[[#This Row],[CorrectHomeScorePrediction]]=1, 1, 0))</f>
        <v>0</v>
      </c>
      <c r="X71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17" s="64">
        <f>SUMIF(Table1[GameDate], Table1[[#This Row],[GameDate]], Table1[AwayGameGoalDiff])</f>
        <v>0</v>
      </c>
      <c r="AA717" s="64">
        <f>SUMIF(Table1[GameDate], Table1[[#This Row],[GameDate]], Table1[HomeGameGoalDiff])</f>
        <v>0</v>
      </c>
      <c r="AB717" s="64">
        <f>IF(ISBLANK(Table1[[#This Row],[ActualResult]]), 0, 1)</f>
        <v>0</v>
      </c>
      <c r="AC717" s="64">
        <f>IF(ISBLANK(Table1[[#This Row],[ActualResult]]), 0, IF(Table1[[#This Row],[ActualWinner]]=Table1[[#This Row],[PredictedWinner]], 1, 0))</f>
        <v>0</v>
      </c>
      <c r="AD71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1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17" s="64">
        <f>IF(AND(Table1[[#This Row],[GameIsOver]]=1,Table1[[#This Row],[ActualAwayScore]]=0), 1,0)</f>
        <v>0</v>
      </c>
      <c r="AG717" s="64">
        <f>IF(AND(Table1[[#This Row],[GameIsOver]]=1,Table1[[#This Row],[ActualHomeScore]]=0), 1,0)</f>
        <v>0</v>
      </c>
      <c r="AH717" s="64">
        <f>IF(Table1[[#This Row],[GameIsOver]]=0,0,IF(Table1[[#This Row],[ActualWinner]]=Table1[[#This Row],[AwayTeam]], 1, 0))</f>
        <v>0</v>
      </c>
      <c r="AI717" s="64">
        <f>IF(Table1[[#This Row],[GameIsOver]]=0,0,IF(Table1[[#This Row],[ActualWinner]]=Table1[[#This Row],[HomeTeam]], 1, 0))</f>
        <v>0</v>
      </c>
      <c r="AJ717" s="64">
        <f>IF(INDEX(Standings!$A$2:$C$33,MATCH(Table1[[#This Row],[AwayTeam]],Standings!$A$2:$A$33,0),2)=INDEX(Standings!$A$2:$C$33,MATCH(Table1[[#This Row],[HomeTeam]],Standings!$A$2:$A$33,0),2),1,0)</f>
        <v>1</v>
      </c>
      <c r="AK717" s="64">
        <f>IF(INDEX(Standings!$A$2:$C$33,MATCH(Table1[[#This Row],[AwayTeam]],Standings!$A$2:$A$33,0),3)=INDEX(Standings!$A$2:$C$33,MATCH(Table1[[#This Row],[HomeTeam]],Standings!$A$2:$A$33,0),3),1,0)</f>
        <v>1</v>
      </c>
      <c r="AL717" s="64">
        <f>IF(Table1[[#This Row],[InterConf]]=1,IF(Table1[[#This Row],[InterDiv]]=0, 1, 0), 0)</f>
        <v>0</v>
      </c>
      <c r="AM717" s="64">
        <f>IF(INDEX(Standings!$A$2:$C$33,MATCH(Table1[[#This Row],[AwayTeam]],Standings!$A$2:$A$33,0),2)&lt;&gt;INDEX(Standings!$A$2:$C$33,MATCH(Table1[[#This Row],[HomeTeam]],Standings!$A$2:$A$33,0),2),1,0)</f>
        <v>0</v>
      </c>
      <c r="AN717" s="64" t="str">
        <f>INDEX(Table2[AWAY_RECORD], MATCH(Table1[[#This Row],[AwayTeam]],Table2[Team], 0), 0)</f>
        <v>0-0-0</v>
      </c>
      <c r="AO717" s="64" t="str">
        <f>INDEX(Records!$B$2:$AG$33, MATCH(Table1[[#This Row],[AwayTeam]],Records!$A$2:$A$33, 0), MATCH(Table1[[#This Row],[HomeTeam]],Records!$A$2:$A$33, 0))</f>
        <v>0-0-0</v>
      </c>
      <c r="AP717" s="64" t="str">
        <f>INDEX(Table2[HOME_RECORD], MATCH(Table1[[#This Row],[HomeTeam]],Table2[Team], 0), 0)</f>
        <v>1-0-0</v>
      </c>
      <c r="AQ717" s="64" t="str">
        <f>INDEX(Records!$B$2:$AG$33, MATCH(Table1[[#This Row],[HomeTeam]],Records!$A$2:$A$33, 0), MATCH(Table1[[#This Row],[AwayTeam]],Records!$A$2:$A$33, 0))</f>
        <v>0-0-0</v>
      </c>
    </row>
    <row r="718" spans="1:43" x14ac:dyDescent="0.25">
      <c r="A718" s="1"/>
      <c r="D718" t="s">
        <v>992</v>
      </c>
      <c r="E718" t="s">
        <v>178</v>
      </c>
      <c r="F718" t="s">
        <v>1003</v>
      </c>
      <c r="G718" t="s">
        <v>48</v>
      </c>
      <c r="H718" t="s">
        <v>22</v>
      </c>
      <c r="L71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1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18" s="1"/>
      <c r="T718" s="64" t="str">
        <f>IF(Table1[[#This Row],[ActualWinner]]="", "", IF(Table1[[#This Row],[AwayTeam]]=Table1[[#This Row],[ActualWinner]],Table1[[#This Row],[HomeTeam]],Table1[[#This Row],[AwayTeam]]))</f>
        <v/>
      </c>
      <c r="U718" s="64">
        <f>Table1[[#This Row],[ActualAwayScore]]-Table1[[#This Row],[PredictedAwayScore]]</f>
        <v>0</v>
      </c>
      <c r="V718" s="64">
        <f>Table1[[#This Row],[ActualHomeScore]]-Table1[[#This Row],[PredictedHomeScore]]</f>
        <v>0</v>
      </c>
      <c r="W718" s="64">
        <f>(0.8*IF(Table1[[#This Row],[CorrectWinnerPrediction]]=1, 1, 0))+(0.1*IF(Table1[[#This Row],[CorrectAwayScorePrediction]]=1, 1, 0))+(0.1*IF(Table1[[#This Row],[CorrectHomeScorePrediction]]=1, 1, 0))</f>
        <v>0</v>
      </c>
      <c r="X71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18" s="64">
        <f>SUMIF(Table1[GameDate], Table1[[#This Row],[GameDate]], Table1[AwayGameGoalDiff])</f>
        <v>0</v>
      </c>
      <c r="AA718" s="64">
        <f>SUMIF(Table1[GameDate], Table1[[#This Row],[GameDate]], Table1[HomeGameGoalDiff])</f>
        <v>0</v>
      </c>
      <c r="AB718" s="64">
        <f>IF(ISBLANK(Table1[[#This Row],[ActualResult]]), 0, 1)</f>
        <v>0</v>
      </c>
      <c r="AC718" s="64">
        <f>IF(ISBLANK(Table1[[#This Row],[ActualResult]]), 0, IF(Table1[[#This Row],[ActualWinner]]=Table1[[#This Row],[PredictedWinner]], 1, 0))</f>
        <v>0</v>
      </c>
      <c r="AD71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1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18" s="64">
        <f>IF(AND(Table1[[#This Row],[GameIsOver]]=1,Table1[[#This Row],[ActualAwayScore]]=0), 1,0)</f>
        <v>0</v>
      </c>
      <c r="AG718" s="64">
        <f>IF(AND(Table1[[#This Row],[GameIsOver]]=1,Table1[[#This Row],[ActualHomeScore]]=0), 1,0)</f>
        <v>0</v>
      </c>
      <c r="AH718" s="64">
        <f>IF(Table1[[#This Row],[GameIsOver]]=0,0,IF(Table1[[#This Row],[ActualWinner]]=Table1[[#This Row],[AwayTeam]], 1, 0))</f>
        <v>0</v>
      </c>
      <c r="AI718" s="64">
        <f>IF(Table1[[#This Row],[GameIsOver]]=0,0,IF(Table1[[#This Row],[ActualWinner]]=Table1[[#This Row],[HomeTeam]], 1, 0))</f>
        <v>0</v>
      </c>
      <c r="AJ718" s="64">
        <f>IF(INDEX(Standings!$A$2:$C$33,MATCH(Table1[[#This Row],[AwayTeam]],Standings!$A$2:$A$33,0),2)=INDEX(Standings!$A$2:$C$33,MATCH(Table1[[#This Row],[HomeTeam]],Standings!$A$2:$A$33,0),2),1,0)</f>
        <v>1</v>
      </c>
      <c r="AK718" s="64">
        <f>IF(INDEX(Standings!$A$2:$C$33,MATCH(Table1[[#This Row],[AwayTeam]],Standings!$A$2:$A$33,0),3)=INDEX(Standings!$A$2:$C$33,MATCH(Table1[[#This Row],[HomeTeam]],Standings!$A$2:$A$33,0),3),1,0)</f>
        <v>1</v>
      </c>
      <c r="AL718" s="64">
        <f>IF(Table1[[#This Row],[InterConf]]=1,IF(Table1[[#This Row],[InterDiv]]=0, 1, 0), 0)</f>
        <v>0</v>
      </c>
      <c r="AM718" s="64">
        <f>IF(INDEX(Standings!$A$2:$C$33,MATCH(Table1[[#This Row],[AwayTeam]],Standings!$A$2:$A$33,0),2)&lt;&gt;INDEX(Standings!$A$2:$C$33,MATCH(Table1[[#This Row],[HomeTeam]],Standings!$A$2:$A$33,0),2),1,0)</f>
        <v>0</v>
      </c>
      <c r="AN718" s="64" t="str">
        <f>INDEX(Table2[AWAY_RECORD], MATCH(Table1[[#This Row],[AwayTeam]],Table2[Team], 0), 0)</f>
        <v>0-0-0</v>
      </c>
      <c r="AO718" s="64" t="str">
        <f>INDEX(Records!$B$2:$AG$33, MATCH(Table1[[#This Row],[AwayTeam]],Records!$A$2:$A$33, 0), MATCH(Table1[[#This Row],[HomeTeam]],Records!$A$2:$A$33, 0))</f>
        <v>1-0-0</v>
      </c>
      <c r="AP718" s="64" t="str">
        <f>INDEX(Table2[HOME_RECORD], MATCH(Table1[[#This Row],[HomeTeam]],Table2[Team], 0), 0)</f>
        <v>0-0-0</v>
      </c>
      <c r="AQ718" s="64" t="str">
        <f>INDEX(Records!$B$2:$AG$33, MATCH(Table1[[#This Row],[HomeTeam]],Records!$A$2:$A$33, 0), MATCH(Table1[[#This Row],[AwayTeam]],Records!$A$2:$A$33, 0))</f>
        <v>0-0-1</v>
      </c>
    </row>
    <row r="719" spans="1:43" x14ac:dyDescent="0.25">
      <c r="A719" s="1"/>
      <c r="D719" t="s">
        <v>992</v>
      </c>
      <c r="E719" t="s">
        <v>164</v>
      </c>
      <c r="F719" t="s">
        <v>1004</v>
      </c>
      <c r="G719" t="s">
        <v>43</v>
      </c>
      <c r="H719" t="s">
        <v>46</v>
      </c>
      <c r="L71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1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19" s="1"/>
      <c r="T719" s="64" t="str">
        <f>IF(Table1[[#This Row],[ActualWinner]]="", "", IF(Table1[[#This Row],[AwayTeam]]=Table1[[#This Row],[ActualWinner]],Table1[[#This Row],[HomeTeam]],Table1[[#This Row],[AwayTeam]]))</f>
        <v/>
      </c>
      <c r="U719" s="64">
        <f>Table1[[#This Row],[ActualAwayScore]]-Table1[[#This Row],[PredictedAwayScore]]</f>
        <v>0</v>
      </c>
      <c r="V719" s="64">
        <f>Table1[[#This Row],[ActualHomeScore]]-Table1[[#This Row],[PredictedHomeScore]]</f>
        <v>0</v>
      </c>
      <c r="W719" s="64">
        <f>(0.8*IF(Table1[[#This Row],[CorrectWinnerPrediction]]=1, 1, 0))+(0.1*IF(Table1[[#This Row],[CorrectAwayScorePrediction]]=1, 1, 0))+(0.1*IF(Table1[[#This Row],[CorrectHomeScorePrediction]]=1, 1, 0))</f>
        <v>0</v>
      </c>
      <c r="X71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19" s="64">
        <f>SUMIF(Table1[GameDate], Table1[[#This Row],[GameDate]], Table1[AwayGameGoalDiff])</f>
        <v>0</v>
      </c>
      <c r="AA719" s="64">
        <f>SUMIF(Table1[GameDate], Table1[[#This Row],[GameDate]], Table1[HomeGameGoalDiff])</f>
        <v>0</v>
      </c>
      <c r="AB719" s="64">
        <f>IF(ISBLANK(Table1[[#This Row],[ActualResult]]), 0, 1)</f>
        <v>0</v>
      </c>
      <c r="AC719" s="64">
        <f>IF(ISBLANK(Table1[[#This Row],[ActualResult]]), 0, IF(Table1[[#This Row],[ActualWinner]]=Table1[[#This Row],[PredictedWinner]], 1, 0))</f>
        <v>0</v>
      </c>
      <c r="AD71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1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19" s="64">
        <f>IF(AND(Table1[[#This Row],[GameIsOver]]=1,Table1[[#This Row],[ActualAwayScore]]=0), 1,0)</f>
        <v>0</v>
      </c>
      <c r="AG719" s="64">
        <f>IF(AND(Table1[[#This Row],[GameIsOver]]=1,Table1[[#This Row],[ActualHomeScore]]=0), 1,0)</f>
        <v>0</v>
      </c>
      <c r="AH719" s="64">
        <f>IF(Table1[[#This Row],[GameIsOver]]=0,0,IF(Table1[[#This Row],[ActualWinner]]=Table1[[#This Row],[AwayTeam]], 1, 0))</f>
        <v>0</v>
      </c>
      <c r="AI719" s="64">
        <f>IF(Table1[[#This Row],[GameIsOver]]=0,0,IF(Table1[[#This Row],[ActualWinner]]=Table1[[#This Row],[HomeTeam]], 1, 0))</f>
        <v>0</v>
      </c>
      <c r="AJ719" s="64">
        <f>IF(INDEX(Standings!$A$2:$C$33,MATCH(Table1[[#This Row],[AwayTeam]],Standings!$A$2:$A$33,0),2)=INDEX(Standings!$A$2:$C$33,MATCH(Table1[[#This Row],[HomeTeam]],Standings!$A$2:$A$33,0),2),1,0)</f>
        <v>1</v>
      </c>
      <c r="AK719" s="64">
        <f>IF(INDEX(Standings!$A$2:$C$33,MATCH(Table1[[#This Row],[AwayTeam]],Standings!$A$2:$A$33,0),3)=INDEX(Standings!$A$2:$C$33,MATCH(Table1[[#This Row],[HomeTeam]],Standings!$A$2:$A$33,0),3),1,0)</f>
        <v>0</v>
      </c>
      <c r="AL719" s="64">
        <f>IF(Table1[[#This Row],[InterConf]]=1,IF(Table1[[#This Row],[InterDiv]]=0, 1, 0), 0)</f>
        <v>1</v>
      </c>
      <c r="AM719" s="64">
        <f>IF(INDEX(Standings!$A$2:$C$33,MATCH(Table1[[#This Row],[AwayTeam]],Standings!$A$2:$A$33,0),2)&lt;&gt;INDEX(Standings!$A$2:$C$33,MATCH(Table1[[#This Row],[HomeTeam]],Standings!$A$2:$A$33,0),2),1,0)</f>
        <v>0</v>
      </c>
      <c r="AN719" s="64" t="str">
        <f>INDEX(Table2[AWAY_RECORD], MATCH(Table1[[#This Row],[AwayTeam]],Table2[Team], 0), 0)</f>
        <v>0-0-0</v>
      </c>
      <c r="AO719" s="64" t="str">
        <f>INDEX(Records!$B$2:$AG$33, MATCH(Table1[[#This Row],[AwayTeam]],Records!$A$2:$A$33, 0), MATCH(Table1[[#This Row],[HomeTeam]],Records!$A$2:$A$33, 0))</f>
        <v>0-0-0</v>
      </c>
      <c r="AP719" s="64" t="str">
        <f>INDEX(Table2[HOME_RECORD], MATCH(Table1[[#This Row],[HomeTeam]],Table2[Team], 0), 0)</f>
        <v>0-0-0</v>
      </c>
      <c r="AQ719" s="64" t="str">
        <f>INDEX(Records!$B$2:$AG$33, MATCH(Table1[[#This Row],[HomeTeam]],Records!$A$2:$A$33, 0), MATCH(Table1[[#This Row],[AwayTeam]],Records!$A$2:$A$33, 0))</f>
        <v>0-0-0</v>
      </c>
    </row>
    <row r="720" spans="1:43" x14ac:dyDescent="0.25">
      <c r="A720" s="1"/>
      <c r="D720" t="s">
        <v>1005</v>
      </c>
      <c r="E720" t="s">
        <v>298</v>
      </c>
      <c r="F720" t="s">
        <v>1006</v>
      </c>
      <c r="G720" t="s">
        <v>17</v>
      </c>
      <c r="H720" t="s">
        <v>23</v>
      </c>
      <c r="L72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2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20" s="1"/>
      <c r="T720" s="64" t="str">
        <f>IF(Table1[[#This Row],[ActualWinner]]="", "", IF(Table1[[#This Row],[AwayTeam]]=Table1[[#This Row],[ActualWinner]],Table1[[#This Row],[HomeTeam]],Table1[[#This Row],[AwayTeam]]))</f>
        <v/>
      </c>
      <c r="U720" s="64">
        <f>Table1[[#This Row],[ActualAwayScore]]-Table1[[#This Row],[PredictedAwayScore]]</f>
        <v>0</v>
      </c>
      <c r="V720" s="64">
        <f>Table1[[#This Row],[ActualHomeScore]]-Table1[[#This Row],[PredictedHomeScore]]</f>
        <v>0</v>
      </c>
      <c r="W720" s="64">
        <f>(0.8*IF(Table1[[#This Row],[CorrectWinnerPrediction]]=1, 1, 0))+(0.1*IF(Table1[[#This Row],[CorrectAwayScorePrediction]]=1, 1, 0))+(0.1*IF(Table1[[#This Row],[CorrectHomeScorePrediction]]=1, 1, 0))</f>
        <v>0</v>
      </c>
      <c r="X72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20" s="64">
        <f>SUMIF(Table1[GameDate], Table1[[#This Row],[GameDate]], Table1[AwayGameGoalDiff])</f>
        <v>0</v>
      </c>
      <c r="AA720" s="64">
        <f>SUMIF(Table1[GameDate], Table1[[#This Row],[GameDate]], Table1[HomeGameGoalDiff])</f>
        <v>0</v>
      </c>
      <c r="AB720" s="64">
        <f>IF(ISBLANK(Table1[[#This Row],[ActualResult]]), 0, 1)</f>
        <v>0</v>
      </c>
      <c r="AC720" s="64">
        <f>IF(ISBLANK(Table1[[#This Row],[ActualResult]]), 0, IF(Table1[[#This Row],[ActualWinner]]=Table1[[#This Row],[PredictedWinner]], 1, 0))</f>
        <v>0</v>
      </c>
      <c r="AD72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2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20" s="64">
        <f>IF(AND(Table1[[#This Row],[GameIsOver]]=1,Table1[[#This Row],[ActualAwayScore]]=0), 1,0)</f>
        <v>0</v>
      </c>
      <c r="AG720" s="64">
        <f>IF(AND(Table1[[#This Row],[GameIsOver]]=1,Table1[[#This Row],[ActualHomeScore]]=0), 1,0)</f>
        <v>0</v>
      </c>
      <c r="AH720" s="64">
        <f>IF(Table1[[#This Row],[GameIsOver]]=0,0,IF(Table1[[#This Row],[ActualWinner]]=Table1[[#This Row],[AwayTeam]], 1, 0))</f>
        <v>0</v>
      </c>
      <c r="AI720" s="64">
        <f>IF(Table1[[#This Row],[GameIsOver]]=0,0,IF(Table1[[#This Row],[ActualWinner]]=Table1[[#This Row],[HomeTeam]], 1, 0))</f>
        <v>0</v>
      </c>
      <c r="AJ720" s="64">
        <f>IF(INDEX(Standings!$A$2:$C$33,MATCH(Table1[[#This Row],[AwayTeam]],Standings!$A$2:$A$33,0),2)=INDEX(Standings!$A$2:$C$33,MATCH(Table1[[#This Row],[HomeTeam]],Standings!$A$2:$A$33,0),2),1,0)</f>
        <v>0</v>
      </c>
      <c r="AK720" s="64">
        <f>IF(INDEX(Standings!$A$2:$C$33,MATCH(Table1[[#This Row],[AwayTeam]],Standings!$A$2:$A$33,0),3)=INDEX(Standings!$A$2:$C$33,MATCH(Table1[[#This Row],[HomeTeam]],Standings!$A$2:$A$33,0),3),1,0)</f>
        <v>0</v>
      </c>
      <c r="AL720" s="64">
        <f>IF(Table1[[#This Row],[InterConf]]=1,IF(Table1[[#This Row],[InterDiv]]=0, 1, 0), 0)</f>
        <v>0</v>
      </c>
      <c r="AM720" s="64">
        <f>IF(INDEX(Standings!$A$2:$C$33,MATCH(Table1[[#This Row],[AwayTeam]],Standings!$A$2:$A$33,0),2)&lt;&gt;INDEX(Standings!$A$2:$C$33,MATCH(Table1[[#This Row],[HomeTeam]],Standings!$A$2:$A$33,0),2),1,0)</f>
        <v>1</v>
      </c>
      <c r="AN720" s="64" t="str">
        <f>INDEX(Table2[AWAY_RECORD], MATCH(Table1[[#This Row],[AwayTeam]],Table2[Team], 0), 0)</f>
        <v>2-0-0</v>
      </c>
      <c r="AO720" s="64" t="str">
        <f>INDEX(Records!$B$2:$AG$33, MATCH(Table1[[#This Row],[AwayTeam]],Records!$A$2:$A$33, 0), MATCH(Table1[[#This Row],[HomeTeam]],Records!$A$2:$A$33, 0))</f>
        <v>0-0-0</v>
      </c>
      <c r="AP720" s="64" t="str">
        <f>INDEX(Table2[HOME_RECORD], MATCH(Table1[[#This Row],[HomeTeam]],Table2[Team], 0), 0)</f>
        <v>0-0-1</v>
      </c>
      <c r="AQ720" s="64" t="str">
        <f>INDEX(Records!$B$2:$AG$33, MATCH(Table1[[#This Row],[HomeTeam]],Records!$A$2:$A$33, 0), MATCH(Table1[[#This Row],[AwayTeam]],Records!$A$2:$A$33, 0))</f>
        <v>0-0-0</v>
      </c>
    </row>
    <row r="721" spans="1:43" x14ac:dyDescent="0.25">
      <c r="A721" s="1"/>
      <c r="D721" t="s">
        <v>1005</v>
      </c>
      <c r="E721" t="s">
        <v>298</v>
      </c>
      <c r="F721" t="s">
        <v>1007</v>
      </c>
      <c r="G721" t="s">
        <v>56</v>
      </c>
      <c r="H721" t="s">
        <v>25</v>
      </c>
      <c r="L72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2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21" s="1"/>
      <c r="T721" s="64" t="str">
        <f>IF(Table1[[#This Row],[ActualWinner]]="", "", IF(Table1[[#This Row],[AwayTeam]]=Table1[[#This Row],[ActualWinner]],Table1[[#This Row],[HomeTeam]],Table1[[#This Row],[AwayTeam]]))</f>
        <v/>
      </c>
      <c r="U721" s="64">
        <f>Table1[[#This Row],[ActualAwayScore]]-Table1[[#This Row],[PredictedAwayScore]]</f>
        <v>0</v>
      </c>
      <c r="V721" s="64">
        <f>Table1[[#This Row],[ActualHomeScore]]-Table1[[#This Row],[PredictedHomeScore]]</f>
        <v>0</v>
      </c>
      <c r="W721" s="64">
        <f>(0.8*IF(Table1[[#This Row],[CorrectWinnerPrediction]]=1, 1, 0))+(0.1*IF(Table1[[#This Row],[CorrectAwayScorePrediction]]=1, 1, 0))+(0.1*IF(Table1[[#This Row],[CorrectHomeScorePrediction]]=1, 1, 0))</f>
        <v>0</v>
      </c>
      <c r="X72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21" s="64">
        <f>SUMIF(Table1[GameDate], Table1[[#This Row],[GameDate]], Table1[AwayGameGoalDiff])</f>
        <v>0</v>
      </c>
      <c r="AA721" s="64">
        <f>SUMIF(Table1[GameDate], Table1[[#This Row],[GameDate]], Table1[HomeGameGoalDiff])</f>
        <v>0</v>
      </c>
      <c r="AB721" s="64">
        <f>IF(ISBLANK(Table1[[#This Row],[ActualResult]]), 0, 1)</f>
        <v>0</v>
      </c>
      <c r="AC721" s="64">
        <f>IF(ISBLANK(Table1[[#This Row],[ActualResult]]), 0, IF(Table1[[#This Row],[ActualWinner]]=Table1[[#This Row],[PredictedWinner]], 1, 0))</f>
        <v>0</v>
      </c>
      <c r="AD72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2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21" s="64">
        <f>IF(AND(Table1[[#This Row],[GameIsOver]]=1,Table1[[#This Row],[ActualAwayScore]]=0), 1,0)</f>
        <v>0</v>
      </c>
      <c r="AG721" s="64">
        <f>IF(AND(Table1[[#This Row],[GameIsOver]]=1,Table1[[#This Row],[ActualHomeScore]]=0), 1,0)</f>
        <v>0</v>
      </c>
      <c r="AH721" s="64">
        <f>IF(Table1[[#This Row],[GameIsOver]]=0,0,IF(Table1[[#This Row],[ActualWinner]]=Table1[[#This Row],[AwayTeam]], 1, 0))</f>
        <v>0</v>
      </c>
      <c r="AI721" s="64">
        <f>IF(Table1[[#This Row],[GameIsOver]]=0,0,IF(Table1[[#This Row],[ActualWinner]]=Table1[[#This Row],[HomeTeam]], 1, 0))</f>
        <v>0</v>
      </c>
      <c r="AJ721" s="64">
        <f>IF(INDEX(Standings!$A$2:$C$33,MATCH(Table1[[#This Row],[AwayTeam]],Standings!$A$2:$A$33,0),2)=INDEX(Standings!$A$2:$C$33,MATCH(Table1[[#This Row],[HomeTeam]],Standings!$A$2:$A$33,0),2),1,0)</f>
        <v>1</v>
      </c>
      <c r="AK721" s="64">
        <f>IF(INDEX(Standings!$A$2:$C$33,MATCH(Table1[[#This Row],[AwayTeam]],Standings!$A$2:$A$33,0),3)=INDEX(Standings!$A$2:$C$33,MATCH(Table1[[#This Row],[HomeTeam]],Standings!$A$2:$A$33,0),3),1,0)</f>
        <v>1</v>
      </c>
      <c r="AL721" s="64">
        <f>IF(Table1[[#This Row],[InterConf]]=1,IF(Table1[[#This Row],[InterDiv]]=0, 1, 0), 0)</f>
        <v>0</v>
      </c>
      <c r="AM721" s="64">
        <f>IF(INDEX(Standings!$A$2:$C$33,MATCH(Table1[[#This Row],[AwayTeam]],Standings!$A$2:$A$33,0),2)&lt;&gt;INDEX(Standings!$A$2:$C$33,MATCH(Table1[[#This Row],[HomeTeam]],Standings!$A$2:$A$33,0),2),1,0)</f>
        <v>0</v>
      </c>
      <c r="AN721" s="64" t="str">
        <f>INDEX(Table2[AWAY_RECORD], MATCH(Table1[[#This Row],[AwayTeam]],Table2[Team], 0), 0)</f>
        <v>1-0-0</v>
      </c>
      <c r="AO721" s="64" t="str">
        <f>INDEX(Records!$B$2:$AG$33, MATCH(Table1[[#This Row],[AwayTeam]],Records!$A$2:$A$33, 0), MATCH(Table1[[#This Row],[HomeTeam]],Records!$A$2:$A$33, 0))</f>
        <v>0-0-0</v>
      </c>
      <c r="AP721" s="64" t="str">
        <f>INDEX(Table2[HOME_RECORD], MATCH(Table1[[#This Row],[HomeTeam]],Table2[Team], 0), 0)</f>
        <v>0-0-1</v>
      </c>
      <c r="AQ721" s="64" t="str">
        <f>INDEX(Records!$B$2:$AG$33, MATCH(Table1[[#This Row],[HomeTeam]],Records!$A$2:$A$33, 0), MATCH(Table1[[#This Row],[AwayTeam]],Records!$A$2:$A$33, 0))</f>
        <v>0-0-0</v>
      </c>
    </row>
    <row r="722" spans="1:43" x14ac:dyDescent="0.25">
      <c r="A722" s="1"/>
      <c r="D722" t="s">
        <v>1005</v>
      </c>
      <c r="E722" t="s">
        <v>298</v>
      </c>
      <c r="F722" t="s">
        <v>1008</v>
      </c>
      <c r="G722" t="s">
        <v>51</v>
      </c>
      <c r="H722" t="s">
        <v>55</v>
      </c>
      <c r="L72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2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22" s="1"/>
      <c r="T722" s="64" t="str">
        <f>IF(Table1[[#This Row],[ActualWinner]]="", "", IF(Table1[[#This Row],[AwayTeam]]=Table1[[#This Row],[ActualWinner]],Table1[[#This Row],[HomeTeam]],Table1[[#This Row],[AwayTeam]]))</f>
        <v/>
      </c>
      <c r="U722" s="64">
        <f>Table1[[#This Row],[ActualAwayScore]]-Table1[[#This Row],[PredictedAwayScore]]</f>
        <v>0</v>
      </c>
      <c r="V722" s="64">
        <f>Table1[[#This Row],[ActualHomeScore]]-Table1[[#This Row],[PredictedHomeScore]]</f>
        <v>0</v>
      </c>
      <c r="W722" s="64">
        <f>(0.8*IF(Table1[[#This Row],[CorrectWinnerPrediction]]=1, 1, 0))+(0.1*IF(Table1[[#This Row],[CorrectAwayScorePrediction]]=1, 1, 0))+(0.1*IF(Table1[[#This Row],[CorrectHomeScorePrediction]]=1, 1, 0))</f>
        <v>0</v>
      </c>
      <c r="X72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22" s="64">
        <f>SUMIF(Table1[GameDate], Table1[[#This Row],[GameDate]], Table1[AwayGameGoalDiff])</f>
        <v>0</v>
      </c>
      <c r="AA722" s="64">
        <f>SUMIF(Table1[GameDate], Table1[[#This Row],[GameDate]], Table1[HomeGameGoalDiff])</f>
        <v>0</v>
      </c>
      <c r="AB722" s="64">
        <f>IF(ISBLANK(Table1[[#This Row],[ActualResult]]), 0, 1)</f>
        <v>0</v>
      </c>
      <c r="AC722" s="64">
        <f>IF(ISBLANK(Table1[[#This Row],[ActualResult]]), 0, IF(Table1[[#This Row],[ActualWinner]]=Table1[[#This Row],[PredictedWinner]], 1, 0))</f>
        <v>0</v>
      </c>
      <c r="AD72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2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22" s="64">
        <f>IF(AND(Table1[[#This Row],[GameIsOver]]=1,Table1[[#This Row],[ActualAwayScore]]=0), 1,0)</f>
        <v>0</v>
      </c>
      <c r="AG722" s="64">
        <f>IF(AND(Table1[[#This Row],[GameIsOver]]=1,Table1[[#This Row],[ActualHomeScore]]=0), 1,0)</f>
        <v>0</v>
      </c>
      <c r="AH722" s="64">
        <f>IF(Table1[[#This Row],[GameIsOver]]=0,0,IF(Table1[[#This Row],[ActualWinner]]=Table1[[#This Row],[AwayTeam]], 1, 0))</f>
        <v>0</v>
      </c>
      <c r="AI722" s="64">
        <f>IF(Table1[[#This Row],[GameIsOver]]=0,0,IF(Table1[[#This Row],[ActualWinner]]=Table1[[#This Row],[HomeTeam]], 1, 0))</f>
        <v>0</v>
      </c>
      <c r="AJ722" s="64">
        <f>IF(INDEX(Standings!$A$2:$C$33,MATCH(Table1[[#This Row],[AwayTeam]],Standings!$A$2:$A$33,0),2)=INDEX(Standings!$A$2:$C$33,MATCH(Table1[[#This Row],[HomeTeam]],Standings!$A$2:$A$33,0),2),1,0)</f>
        <v>0</v>
      </c>
      <c r="AK722" s="64">
        <f>IF(INDEX(Standings!$A$2:$C$33,MATCH(Table1[[#This Row],[AwayTeam]],Standings!$A$2:$A$33,0),3)=INDEX(Standings!$A$2:$C$33,MATCH(Table1[[#This Row],[HomeTeam]],Standings!$A$2:$A$33,0),3),1,0)</f>
        <v>0</v>
      </c>
      <c r="AL722" s="64">
        <f>IF(Table1[[#This Row],[InterConf]]=1,IF(Table1[[#This Row],[InterDiv]]=0, 1, 0), 0)</f>
        <v>0</v>
      </c>
      <c r="AM722" s="64">
        <f>IF(INDEX(Standings!$A$2:$C$33,MATCH(Table1[[#This Row],[AwayTeam]],Standings!$A$2:$A$33,0),2)&lt;&gt;INDEX(Standings!$A$2:$C$33,MATCH(Table1[[#This Row],[HomeTeam]],Standings!$A$2:$A$33,0),2),1,0)</f>
        <v>1</v>
      </c>
      <c r="AN722" s="64" t="str">
        <f>INDEX(Table2[AWAY_RECORD], MATCH(Table1[[#This Row],[AwayTeam]],Table2[Team], 0), 0)</f>
        <v>2-0-0</v>
      </c>
      <c r="AO722" s="64" t="str">
        <f>INDEX(Records!$B$2:$AG$33, MATCH(Table1[[#This Row],[AwayTeam]],Records!$A$2:$A$33, 0), MATCH(Table1[[#This Row],[HomeTeam]],Records!$A$2:$A$33, 0))</f>
        <v>0-0-0</v>
      </c>
      <c r="AP722" s="64" t="str">
        <f>INDEX(Table2[HOME_RECORD], MATCH(Table1[[#This Row],[HomeTeam]],Table2[Team], 0), 0)</f>
        <v>0-1-0</v>
      </c>
      <c r="AQ722" s="64" t="str">
        <f>INDEX(Records!$B$2:$AG$33, MATCH(Table1[[#This Row],[HomeTeam]],Records!$A$2:$A$33, 0), MATCH(Table1[[#This Row],[AwayTeam]],Records!$A$2:$A$33, 0))</f>
        <v>0-0-0</v>
      </c>
    </row>
    <row r="723" spans="1:43" x14ac:dyDescent="0.25">
      <c r="A723" s="1"/>
      <c r="D723" t="s">
        <v>1005</v>
      </c>
      <c r="E723" t="s">
        <v>289</v>
      </c>
      <c r="F723" t="s">
        <v>1009</v>
      </c>
      <c r="G723" t="s">
        <v>16</v>
      </c>
      <c r="H723" t="s">
        <v>53</v>
      </c>
      <c r="L72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2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23" s="1"/>
      <c r="T723" s="64" t="str">
        <f>IF(Table1[[#This Row],[ActualWinner]]="", "", IF(Table1[[#This Row],[AwayTeam]]=Table1[[#This Row],[ActualWinner]],Table1[[#This Row],[HomeTeam]],Table1[[#This Row],[AwayTeam]]))</f>
        <v/>
      </c>
      <c r="U723" s="64">
        <f>Table1[[#This Row],[ActualAwayScore]]-Table1[[#This Row],[PredictedAwayScore]]</f>
        <v>0</v>
      </c>
      <c r="V723" s="64">
        <f>Table1[[#This Row],[ActualHomeScore]]-Table1[[#This Row],[PredictedHomeScore]]</f>
        <v>0</v>
      </c>
      <c r="W723" s="64">
        <f>(0.8*IF(Table1[[#This Row],[CorrectWinnerPrediction]]=1, 1, 0))+(0.1*IF(Table1[[#This Row],[CorrectAwayScorePrediction]]=1, 1, 0))+(0.1*IF(Table1[[#This Row],[CorrectHomeScorePrediction]]=1, 1, 0))</f>
        <v>0</v>
      </c>
      <c r="X72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23" s="64">
        <f>SUMIF(Table1[GameDate], Table1[[#This Row],[GameDate]], Table1[AwayGameGoalDiff])</f>
        <v>0</v>
      </c>
      <c r="AA723" s="64">
        <f>SUMIF(Table1[GameDate], Table1[[#This Row],[GameDate]], Table1[HomeGameGoalDiff])</f>
        <v>0</v>
      </c>
      <c r="AB723" s="64">
        <f>IF(ISBLANK(Table1[[#This Row],[ActualResult]]), 0, 1)</f>
        <v>0</v>
      </c>
      <c r="AC723" s="64">
        <f>IF(ISBLANK(Table1[[#This Row],[ActualResult]]), 0, IF(Table1[[#This Row],[ActualWinner]]=Table1[[#This Row],[PredictedWinner]], 1, 0))</f>
        <v>0</v>
      </c>
      <c r="AD72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2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23" s="64">
        <f>IF(AND(Table1[[#This Row],[GameIsOver]]=1,Table1[[#This Row],[ActualAwayScore]]=0), 1,0)</f>
        <v>0</v>
      </c>
      <c r="AG723" s="64">
        <f>IF(AND(Table1[[#This Row],[GameIsOver]]=1,Table1[[#This Row],[ActualHomeScore]]=0), 1,0)</f>
        <v>0</v>
      </c>
      <c r="AH723" s="64">
        <f>IF(Table1[[#This Row],[GameIsOver]]=0,0,IF(Table1[[#This Row],[ActualWinner]]=Table1[[#This Row],[AwayTeam]], 1, 0))</f>
        <v>0</v>
      </c>
      <c r="AI723" s="64">
        <f>IF(Table1[[#This Row],[GameIsOver]]=0,0,IF(Table1[[#This Row],[ActualWinner]]=Table1[[#This Row],[HomeTeam]], 1, 0))</f>
        <v>0</v>
      </c>
      <c r="AJ723" s="64">
        <f>IF(INDEX(Standings!$A$2:$C$33,MATCH(Table1[[#This Row],[AwayTeam]],Standings!$A$2:$A$33,0),2)=INDEX(Standings!$A$2:$C$33,MATCH(Table1[[#This Row],[HomeTeam]],Standings!$A$2:$A$33,0),2),1,0)</f>
        <v>0</v>
      </c>
      <c r="AK723" s="64">
        <f>IF(INDEX(Standings!$A$2:$C$33,MATCH(Table1[[#This Row],[AwayTeam]],Standings!$A$2:$A$33,0),3)=INDEX(Standings!$A$2:$C$33,MATCH(Table1[[#This Row],[HomeTeam]],Standings!$A$2:$A$33,0),3),1,0)</f>
        <v>0</v>
      </c>
      <c r="AL723" s="64">
        <f>IF(Table1[[#This Row],[InterConf]]=1,IF(Table1[[#This Row],[InterDiv]]=0, 1, 0), 0)</f>
        <v>0</v>
      </c>
      <c r="AM723" s="64">
        <f>IF(INDEX(Standings!$A$2:$C$33,MATCH(Table1[[#This Row],[AwayTeam]],Standings!$A$2:$A$33,0),2)&lt;&gt;INDEX(Standings!$A$2:$C$33,MATCH(Table1[[#This Row],[HomeTeam]],Standings!$A$2:$A$33,0),2),1,0)</f>
        <v>1</v>
      </c>
      <c r="AN723" s="64" t="str">
        <f>INDEX(Table2[AWAY_RECORD], MATCH(Table1[[#This Row],[AwayTeam]],Table2[Team], 0), 0)</f>
        <v>1-0-1</v>
      </c>
      <c r="AO723" s="64" t="str">
        <f>INDEX(Records!$B$2:$AG$33, MATCH(Table1[[#This Row],[AwayTeam]],Records!$A$2:$A$33, 0), MATCH(Table1[[#This Row],[HomeTeam]],Records!$A$2:$A$33, 0))</f>
        <v>0-0-0</v>
      </c>
      <c r="AP723" s="64" t="str">
        <f>INDEX(Table2[HOME_RECORD], MATCH(Table1[[#This Row],[HomeTeam]],Table2[Team], 0), 0)</f>
        <v>1-0-0</v>
      </c>
      <c r="AQ723" s="64" t="str">
        <f>INDEX(Records!$B$2:$AG$33, MATCH(Table1[[#This Row],[HomeTeam]],Records!$A$2:$A$33, 0), MATCH(Table1[[#This Row],[AwayTeam]],Records!$A$2:$A$33, 0))</f>
        <v>0-0-0</v>
      </c>
    </row>
    <row r="724" spans="1:43" x14ac:dyDescent="0.25">
      <c r="A724" s="1"/>
      <c r="D724" t="s">
        <v>1005</v>
      </c>
      <c r="E724" t="s">
        <v>178</v>
      </c>
      <c r="F724" t="s">
        <v>1010</v>
      </c>
      <c r="G724" t="s">
        <v>48</v>
      </c>
      <c r="H724" t="s">
        <v>41</v>
      </c>
      <c r="L72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2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24" s="1"/>
      <c r="T724" s="64" t="str">
        <f>IF(Table1[[#This Row],[ActualWinner]]="", "", IF(Table1[[#This Row],[AwayTeam]]=Table1[[#This Row],[ActualWinner]],Table1[[#This Row],[HomeTeam]],Table1[[#This Row],[AwayTeam]]))</f>
        <v/>
      </c>
      <c r="U724" s="64">
        <f>Table1[[#This Row],[ActualAwayScore]]-Table1[[#This Row],[PredictedAwayScore]]</f>
        <v>0</v>
      </c>
      <c r="V724" s="64">
        <f>Table1[[#This Row],[ActualHomeScore]]-Table1[[#This Row],[PredictedHomeScore]]</f>
        <v>0</v>
      </c>
      <c r="W724" s="64">
        <f>(0.8*IF(Table1[[#This Row],[CorrectWinnerPrediction]]=1, 1, 0))+(0.1*IF(Table1[[#This Row],[CorrectAwayScorePrediction]]=1, 1, 0))+(0.1*IF(Table1[[#This Row],[CorrectHomeScorePrediction]]=1, 1, 0))</f>
        <v>0</v>
      </c>
      <c r="X72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24" s="64">
        <f>SUMIF(Table1[GameDate], Table1[[#This Row],[GameDate]], Table1[AwayGameGoalDiff])</f>
        <v>0</v>
      </c>
      <c r="AA724" s="64">
        <f>SUMIF(Table1[GameDate], Table1[[#This Row],[GameDate]], Table1[HomeGameGoalDiff])</f>
        <v>0</v>
      </c>
      <c r="AB724" s="64">
        <f>IF(ISBLANK(Table1[[#This Row],[ActualResult]]), 0, 1)</f>
        <v>0</v>
      </c>
      <c r="AC724" s="64">
        <f>IF(ISBLANK(Table1[[#This Row],[ActualResult]]), 0, IF(Table1[[#This Row],[ActualWinner]]=Table1[[#This Row],[PredictedWinner]], 1, 0))</f>
        <v>0</v>
      </c>
      <c r="AD72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2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24" s="64">
        <f>IF(AND(Table1[[#This Row],[GameIsOver]]=1,Table1[[#This Row],[ActualAwayScore]]=0), 1,0)</f>
        <v>0</v>
      </c>
      <c r="AG724" s="64">
        <f>IF(AND(Table1[[#This Row],[GameIsOver]]=1,Table1[[#This Row],[ActualHomeScore]]=0), 1,0)</f>
        <v>0</v>
      </c>
      <c r="AH724" s="64">
        <f>IF(Table1[[#This Row],[GameIsOver]]=0,0,IF(Table1[[#This Row],[ActualWinner]]=Table1[[#This Row],[AwayTeam]], 1, 0))</f>
        <v>0</v>
      </c>
      <c r="AI724" s="64">
        <f>IF(Table1[[#This Row],[GameIsOver]]=0,0,IF(Table1[[#This Row],[ActualWinner]]=Table1[[#This Row],[HomeTeam]], 1, 0))</f>
        <v>0</v>
      </c>
      <c r="AJ724" s="64">
        <f>IF(INDEX(Standings!$A$2:$C$33,MATCH(Table1[[#This Row],[AwayTeam]],Standings!$A$2:$A$33,0),2)=INDEX(Standings!$A$2:$C$33,MATCH(Table1[[#This Row],[HomeTeam]],Standings!$A$2:$A$33,0),2),1,0)</f>
        <v>1</v>
      </c>
      <c r="AK724" s="64">
        <f>IF(INDEX(Standings!$A$2:$C$33,MATCH(Table1[[#This Row],[AwayTeam]],Standings!$A$2:$A$33,0),3)=INDEX(Standings!$A$2:$C$33,MATCH(Table1[[#This Row],[HomeTeam]],Standings!$A$2:$A$33,0),3),1,0)</f>
        <v>1</v>
      </c>
      <c r="AL724" s="64">
        <f>IF(Table1[[#This Row],[InterConf]]=1,IF(Table1[[#This Row],[InterDiv]]=0, 1, 0), 0)</f>
        <v>0</v>
      </c>
      <c r="AM724" s="64">
        <f>IF(INDEX(Standings!$A$2:$C$33,MATCH(Table1[[#This Row],[AwayTeam]],Standings!$A$2:$A$33,0),2)&lt;&gt;INDEX(Standings!$A$2:$C$33,MATCH(Table1[[#This Row],[HomeTeam]],Standings!$A$2:$A$33,0),2),1,0)</f>
        <v>0</v>
      </c>
      <c r="AN724" s="64" t="str">
        <f>INDEX(Table2[AWAY_RECORD], MATCH(Table1[[#This Row],[AwayTeam]],Table2[Team], 0), 0)</f>
        <v>0-0-0</v>
      </c>
      <c r="AO724" s="64" t="str">
        <f>INDEX(Records!$B$2:$AG$33, MATCH(Table1[[#This Row],[AwayTeam]],Records!$A$2:$A$33, 0), MATCH(Table1[[#This Row],[HomeTeam]],Records!$A$2:$A$33, 0))</f>
        <v>0-0-0</v>
      </c>
      <c r="AP724" s="64" t="str">
        <f>INDEX(Table2[HOME_RECORD], MATCH(Table1[[#This Row],[HomeTeam]],Table2[Team], 0), 0)</f>
        <v>0-0-1</v>
      </c>
      <c r="AQ724" s="64" t="str">
        <f>INDEX(Records!$B$2:$AG$33, MATCH(Table1[[#This Row],[HomeTeam]],Records!$A$2:$A$33, 0), MATCH(Table1[[#This Row],[AwayTeam]],Records!$A$2:$A$33, 0))</f>
        <v>0-0-0</v>
      </c>
    </row>
    <row r="725" spans="1:43" x14ac:dyDescent="0.25">
      <c r="A725" s="1"/>
      <c r="D725" t="s">
        <v>1005</v>
      </c>
      <c r="E725" t="s">
        <v>178</v>
      </c>
      <c r="F725" t="s">
        <v>1011</v>
      </c>
      <c r="G725" t="s">
        <v>59</v>
      </c>
      <c r="H725" t="s">
        <v>36</v>
      </c>
      <c r="L72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2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25" s="1"/>
      <c r="T725" s="64" t="str">
        <f>IF(Table1[[#This Row],[ActualWinner]]="", "", IF(Table1[[#This Row],[AwayTeam]]=Table1[[#This Row],[ActualWinner]],Table1[[#This Row],[HomeTeam]],Table1[[#This Row],[AwayTeam]]))</f>
        <v/>
      </c>
      <c r="U725" s="64">
        <f>Table1[[#This Row],[ActualAwayScore]]-Table1[[#This Row],[PredictedAwayScore]]</f>
        <v>0</v>
      </c>
      <c r="V725" s="64">
        <f>Table1[[#This Row],[ActualHomeScore]]-Table1[[#This Row],[PredictedHomeScore]]</f>
        <v>0</v>
      </c>
      <c r="W725" s="64">
        <f>(0.8*IF(Table1[[#This Row],[CorrectWinnerPrediction]]=1, 1, 0))+(0.1*IF(Table1[[#This Row],[CorrectAwayScorePrediction]]=1, 1, 0))+(0.1*IF(Table1[[#This Row],[CorrectHomeScorePrediction]]=1, 1, 0))</f>
        <v>0</v>
      </c>
      <c r="X72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25" s="64">
        <f>SUMIF(Table1[GameDate], Table1[[#This Row],[GameDate]], Table1[AwayGameGoalDiff])</f>
        <v>0</v>
      </c>
      <c r="AA725" s="64">
        <f>SUMIF(Table1[GameDate], Table1[[#This Row],[GameDate]], Table1[HomeGameGoalDiff])</f>
        <v>0</v>
      </c>
      <c r="AB725" s="64">
        <f>IF(ISBLANK(Table1[[#This Row],[ActualResult]]), 0, 1)</f>
        <v>0</v>
      </c>
      <c r="AC725" s="64">
        <f>IF(ISBLANK(Table1[[#This Row],[ActualResult]]), 0, IF(Table1[[#This Row],[ActualWinner]]=Table1[[#This Row],[PredictedWinner]], 1, 0))</f>
        <v>0</v>
      </c>
      <c r="AD72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2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25" s="64">
        <f>IF(AND(Table1[[#This Row],[GameIsOver]]=1,Table1[[#This Row],[ActualAwayScore]]=0), 1,0)</f>
        <v>0</v>
      </c>
      <c r="AG725" s="64">
        <f>IF(AND(Table1[[#This Row],[GameIsOver]]=1,Table1[[#This Row],[ActualHomeScore]]=0), 1,0)</f>
        <v>0</v>
      </c>
      <c r="AH725" s="64">
        <f>IF(Table1[[#This Row],[GameIsOver]]=0,0,IF(Table1[[#This Row],[ActualWinner]]=Table1[[#This Row],[AwayTeam]], 1, 0))</f>
        <v>0</v>
      </c>
      <c r="AI725" s="64">
        <f>IF(Table1[[#This Row],[GameIsOver]]=0,0,IF(Table1[[#This Row],[ActualWinner]]=Table1[[#This Row],[HomeTeam]], 1, 0))</f>
        <v>0</v>
      </c>
      <c r="AJ725" s="64">
        <f>IF(INDEX(Standings!$A$2:$C$33,MATCH(Table1[[#This Row],[AwayTeam]],Standings!$A$2:$A$33,0),2)=INDEX(Standings!$A$2:$C$33,MATCH(Table1[[#This Row],[HomeTeam]],Standings!$A$2:$A$33,0),2),1,0)</f>
        <v>0</v>
      </c>
      <c r="AK725" s="64">
        <f>IF(INDEX(Standings!$A$2:$C$33,MATCH(Table1[[#This Row],[AwayTeam]],Standings!$A$2:$A$33,0),3)=INDEX(Standings!$A$2:$C$33,MATCH(Table1[[#This Row],[HomeTeam]],Standings!$A$2:$A$33,0),3),1,0)</f>
        <v>0</v>
      </c>
      <c r="AL725" s="64">
        <f>IF(Table1[[#This Row],[InterConf]]=1,IF(Table1[[#This Row],[InterDiv]]=0, 1, 0), 0)</f>
        <v>0</v>
      </c>
      <c r="AM725" s="64">
        <f>IF(INDEX(Standings!$A$2:$C$33,MATCH(Table1[[#This Row],[AwayTeam]],Standings!$A$2:$A$33,0),2)&lt;&gt;INDEX(Standings!$A$2:$C$33,MATCH(Table1[[#This Row],[HomeTeam]],Standings!$A$2:$A$33,0),2),1,0)</f>
        <v>1</v>
      </c>
      <c r="AN725" s="64" t="str">
        <f>INDEX(Table2[AWAY_RECORD], MATCH(Table1[[#This Row],[AwayTeam]],Table2[Team], 0), 0)</f>
        <v>0-1-0</v>
      </c>
      <c r="AO725" s="64" t="str">
        <f>INDEX(Records!$B$2:$AG$33, MATCH(Table1[[#This Row],[AwayTeam]],Records!$A$2:$A$33, 0), MATCH(Table1[[#This Row],[HomeTeam]],Records!$A$2:$A$33, 0))</f>
        <v>0-0-0</v>
      </c>
      <c r="AP725" s="64" t="str">
        <f>INDEX(Table2[HOME_RECORD], MATCH(Table1[[#This Row],[HomeTeam]],Table2[Team], 0), 0)</f>
        <v>0-0-0</v>
      </c>
      <c r="AQ725" s="64" t="str">
        <f>INDEX(Records!$B$2:$AG$33, MATCH(Table1[[#This Row],[HomeTeam]],Records!$A$2:$A$33, 0), MATCH(Table1[[#This Row],[AwayTeam]],Records!$A$2:$A$33, 0))</f>
        <v>0-0-0</v>
      </c>
    </row>
    <row r="726" spans="1:43" x14ac:dyDescent="0.25">
      <c r="A726" s="1"/>
      <c r="D726" t="s">
        <v>1012</v>
      </c>
      <c r="E726" t="s">
        <v>289</v>
      </c>
      <c r="F726" t="s">
        <v>1013</v>
      </c>
      <c r="G726" t="s">
        <v>60</v>
      </c>
      <c r="H726" t="s">
        <v>24</v>
      </c>
      <c r="L72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2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26" s="1"/>
      <c r="T726" s="64" t="str">
        <f>IF(Table1[[#This Row],[ActualWinner]]="", "", IF(Table1[[#This Row],[AwayTeam]]=Table1[[#This Row],[ActualWinner]],Table1[[#This Row],[HomeTeam]],Table1[[#This Row],[AwayTeam]]))</f>
        <v/>
      </c>
      <c r="U726" s="64">
        <f>Table1[[#This Row],[ActualAwayScore]]-Table1[[#This Row],[PredictedAwayScore]]</f>
        <v>0</v>
      </c>
      <c r="V726" s="64">
        <f>Table1[[#This Row],[ActualHomeScore]]-Table1[[#This Row],[PredictedHomeScore]]</f>
        <v>0</v>
      </c>
      <c r="W726" s="64">
        <f>(0.8*IF(Table1[[#This Row],[CorrectWinnerPrediction]]=1, 1, 0))+(0.1*IF(Table1[[#This Row],[CorrectAwayScorePrediction]]=1, 1, 0))+(0.1*IF(Table1[[#This Row],[CorrectHomeScorePrediction]]=1, 1, 0))</f>
        <v>0</v>
      </c>
      <c r="X72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26" s="64">
        <f>SUMIF(Table1[GameDate], Table1[[#This Row],[GameDate]], Table1[AwayGameGoalDiff])</f>
        <v>0</v>
      </c>
      <c r="AA726" s="64">
        <f>SUMIF(Table1[GameDate], Table1[[#This Row],[GameDate]], Table1[HomeGameGoalDiff])</f>
        <v>0</v>
      </c>
      <c r="AB726" s="64">
        <f>IF(ISBLANK(Table1[[#This Row],[ActualResult]]), 0, 1)</f>
        <v>0</v>
      </c>
      <c r="AC726" s="64">
        <f>IF(ISBLANK(Table1[[#This Row],[ActualResult]]), 0, IF(Table1[[#This Row],[ActualWinner]]=Table1[[#This Row],[PredictedWinner]], 1, 0))</f>
        <v>0</v>
      </c>
      <c r="AD72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2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26" s="64">
        <f>IF(AND(Table1[[#This Row],[GameIsOver]]=1,Table1[[#This Row],[ActualAwayScore]]=0), 1,0)</f>
        <v>0</v>
      </c>
      <c r="AG726" s="64">
        <f>IF(AND(Table1[[#This Row],[GameIsOver]]=1,Table1[[#This Row],[ActualHomeScore]]=0), 1,0)</f>
        <v>0</v>
      </c>
      <c r="AH726" s="64">
        <f>IF(Table1[[#This Row],[GameIsOver]]=0,0,IF(Table1[[#This Row],[ActualWinner]]=Table1[[#This Row],[AwayTeam]], 1, 0))</f>
        <v>0</v>
      </c>
      <c r="AI726" s="64">
        <f>IF(Table1[[#This Row],[GameIsOver]]=0,0,IF(Table1[[#This Row],[ActualWinner]]=Table1[[#This Row],[HomeTeam]], 1, 0))</f>
        <v>0</v>
      </c>
      <c r="AJ726" s="64">
        <f>IF(INDEX(Standings!$A$2:$C$33,MATCH(Table1[[#This Row],[AwayTeam]],Standings!$A$2:$A$33,0),2)=INDEX(Standings!$A$2:$C$33,MATCH(Table1[[#This Row],[HomeTeam]],Standings!$A$2:$A$33,0),2),1,0)</f>
        <v>0</v>
      </c>
      <c r="AK726" s="64">
        <f>IF(INDEX(Standings!$A$2:$C$33,MATCH(Table1[[#This Row],[AwayTeam]],Standings!$A$2:$A$33,0),3)=INDEX(Standings!$A$2:$C$33,MATCH(Table1[[#This Row],[HomeTeam]],Standings!$A$2:$A$33,0),3),1,0)</f>
        <v>0</v>
      </c>
      <c r="AL726" s="64">
        <f>IF(Table1[[#This Row],[InterConf]]=1,IF(Table1[[#This Row],[InterDiv]]=0, 1, 0), 0)</f>
        <v>0</v>
      </c>
      <c r="AM726" s="64">
        <f>IF(INDEX(Standings!$A$2:$C$33,MATCH(Table1[[#This Row],[AwayTeam]],Standings!$A$2:$A$33,0),2)&lt;&gt;INDEX(Standings!$A$2:$C$33,MATCH(Table1[[#This Row],[HomeTeam]],Standings!$A$2:$A$33,0),2),1,0)</f>
        <v>1</v>
      </c>
      <c r="AN726" s="64" t="str">
        <f>INDEX(Table2[AWAY_RECORD], MATCH(Table1[[#This Row],[AwayTeam]],Table2[Team], 0), 0)</f>
        <v>0-0-0</v>
      </c>
      <c r="AO726" s="64" t="str">
        <f>INDEX(Records!$B$2:$AG$33, MATCH(Table1[[#This Row],[AwayTeam]],Records!$A$2:$A$33, 0), MATCH(Table1[[#This Row],[HomeTeam]],Records!$A$2:$A$33, 0))</f>
        <v>0-0-0</v>
      </c>
      <c r="AP726" s="64" t="str">
        <f>INDEX(Table2[HOME_RECORD], MATCH(Table1[[#This Row],[HomeTeam]],Table2[Team], 0), 0)</f>
        <v>0-2-0</v>
      </c>
      <c r="AQ726" s="64" t="str">
        <f>INDEX(Records!$B$2:$AG$33, MATCH(Table1[[#This Row],[HomeTeam]],Records!$A$2:$A$33, 0), MATCH(Table1[[#This Row],[AwayTeam]],Records!$A$2:$A$33, 0))</f>
        <v>0-0-0</v>
      </c>
    </row>
    <row r="727" spans="1:43" x14ac:dyDescent="0.25">
      <c r="A727" s="1"/>
      <c r="D727" t="s">
        <v>1012</v>
      </c>
      <c r="E727" t="s">
        <v>301</v>
      </c>
      <c r="F727" t="s">
        <v>1014</v>
      </c>
      <c r="G727" t="s">
        <v>57</v>
      </c>
      <c r="H727" t="s">
        <v>45</v>
      </c>
      <c r="L72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2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27" s="1"/>
      <c r="T727" s="64" t="str">
        <f>IF(Table1[[#This Row],[ActualWinner]]="", "", IF(Table1[[#This Row],[AwayTeam]]=Table1[[#This Row],[ActualWinner]],Table1[[#This Row],[HomeTeam]],Table1[[#This Row],[AwayTeam]]))</f>
        <v/>
      </c>
      <c r="U727" s="64">
        <f>Table1[[#This Row],[ActualAwayScore]]-Table1[[#This Row],[PredictedAwayScore]]</f>
        <v>0</v>
      </c>
      <c r="V727" s="64">
        <f>Table1[[#This Row],[ActualHomeScore]]-Table1[[#This Row],[PredictedHomeScore]]</f>
        <v>0</v>
      </c>
      <c r="W727" s="64">
        <f>(0.8*IF(Table1[[#This Row],[CorrectWinnerPrediction]]=1, 1, 0))+(0.1*IF(Table1[[#This Row],[CorrectAwayScorePrediction]]=1, 1, 0))+(0.1*IF(Table1[[#This Row],[CorrectHomeScorePrediction]]=1, 1, 0))</f>
        <v>0</v>
      </c>
      <c r="X72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27" s="64">
        <f>SUMIF(Table1[GameDate], Table1[[#This Row],[GameDate]], Table1[AwayGameGoalDiff])</f>
        <v>0</v>
      </c>
      <c r="AA727" s="64">
        <f>SUMIF(Table1[GameDate], Table1[[#This Row],[GameDate]], Table1[HomeGameGoalDiff])</f>
        <v>0</v>
      </c>
      <c r="AB727" s="64">
        <f>IF(ISBLANK(Table1[[#This Row],[ActualResult]]), 0, 1)</f>
        <v>0</v>
      </c>
      <c r="AC727" s="64">
        <f>IF(ISBLANK(Table1[[#This Row],[ActualResult]]), 0, IF(Table1[[#This Row],[ActualWinner]]=Table1[[#This Row],[PredictedWinner]], 1, 0))</f>
        <v>0</v>
      </c>
      <c r="AD72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2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27" s="64">
        <f>IF(AND(Table1[[#This Row],[GameIsOver]]=1,Table1[[#This Row],[ActualAwayScore]]=0), 1,0)</f>
        <v>0</v>
      </c>
      <c r="AG727" s="64">
        <f>IF(AND(Table1[[#This Row],[GameIsOver]]=1,Table1[[#This Row],[ActualHomeScore]]=0), 1,0)</f>
        <v>0</v>
      </c>
      <c r="AH727" s="64">
        <f>IF(Table1[[#This Row],[GameIsOver]]=0,0,IF(Table1[[#This Row],[ActualWinner]]=Table1[[#This Row],[AwayTeam]], 1, 0))</f>
        <v>0</v>
      </c>
      <c r="AI727" s="64">
        <f>IF(Table1[[#This Row],[GameIsOver]]=0,0,IF(Table1[[#This Row],[ActualWinner]]=Table1[[#This Row],[HomeTeam]], 1, 0))</f>
        <v>0</v>
      </c>
      <c r="AJ727" s="64">
        <f>IF(INDEX(Standings!$A$2:$C$33,MATCH(Table1[[#This Row],[AwayTeam]],Standings!$A$2:$A$33,0),2)=INDEX(Standings!$A$2:$C$33,MATCH(Table1[[#This Row],[HomeTeam]],Standings!$A$2:$A$33,0),2),1,0)</f>
        <v>0</v>
      </c>
      <c r="AK727" s="64">
        <f>IF(INDEX(Standings!$A$2:$C$33,MATCH(Table1[[#This Row],[AwayTeam]],Standings!$A$2:$A$33,0),3)=INDEX(Standings!$A$2:$C$33,MATCH(Table1[[#This Row],[HomeTeam]],Standings!$A$2:$A$33,0),3),1,0)</f>
        <v>0</v>
      </c>
      <c r="AL727" s="64">
        <f>IF(Table1[[#This Row],[InterConf]]=1,IF(Table1[[#This Row],[InterDiv]]=0, 1, 0), 0)</f>
        <v>0</v>
      </c>
      <c r="AM727" s="64">
        <f>IF(INDEX(Standings!$A$2:$C$33,MATCH(Table1[[#This Row],[AwayTeam]],Standings!$A$2:$A$33,0),2)&lt;&gt;INDEX(Standings!$A$2:$C$33,MATCH(Table1[[#This Row],[HomeTeam]],Standings!$A$2:$A$33,0),2),1,0)</f>
        <v>1</v>
      </c>
      <c r="AN727" s="64" t="str">
        <f>INDEX(Table2[AWAY_RECORD], MATCH(Table1[[#This Row],[AwayTeam]],Table2[Team], 0), 0)</f>
        <v>0-1-0</v>
      </c>
      <c r="AO727" s="64" t="str">
        <f>INDEX(Records!$B$2:$AG$33, MATCH(Table1[[#This Row],[AwayTeam]],Records!$A$2:$A$33, 0), MATCH(Table1[[#This Row],[HomeTeam]],Records!$A$2:$A$33, 0))</f>
        <v>0-0-0</v>
      </c>
      <c r="AP727" s="64" t="str">
        <f>INDEX(Table2[HOME_RECORD], MATCH(Table1[[#This Row],[HomeTeam]],Table2[Team], 0), 0)</f>
        <v>1-0-0</v>
      </c>
      <c r="AQ727" s="64" t="str">
        <f>INDEX(Records!$B$2:$AG$33, MATCH(Table1[[#This Row],[HomeTeam]],Records!$A$2:$A$33, 0), MATCH(Table1[[#This Row],[AwayTeam]],Records!$A$2:$A$33, 0))</f>
        <v>0-0-0</v>
      </c>
    </row>
    <row r="728" spans="1:43" x14ac:dyDescent="0.25">
      <c r="A728" s="1"/>
      <c r="D728" t="s">
        <v>1015</v>
      </c>
      <c r="E728" t="s">
        <v>298</v>
      </c>
      <c r="F728" t="s">
        <v>1016</v>
      </c>
      <c r="G728" t="s">
        <v>51</v>
      </c>
      <c r="H728" t="s">
        <v>46</v>
      </c>
      <c r="L72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2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28" s="1"/>
      <c r="T728" s="64" t="str">
        <f>IF(Table1[[#This Row],[ActualWinner]]="", "", IF(Table1[[#This Row],[AwayTeam]]=Table1[[#This Row],[ActualWinner]],Table1[[#This Row],[HomeTeam]],Table1[[#This Row],[AwayTeam]]))</f>
        <v/>
      </c>
      <c r="U728" s="64">
        <f>Table1[[#This Row],[ActualAwayScore]]-Table1[[#This Row],[PredictedAwayScore]]</f>
        <v>0</v>
      </c>
      <c r="V728" s="64">
        <f>Table1[[#This Row],[ActualHomeScore]]-Table1[[#This Row],[PredictedHomeScore]]</f>
        <v>0</v>
      </c>
      <c r="W728" s="64">
        <f>(0.8*IF(Table1[[#This Row],[CorrectWinnerPrediction]]=1, 1, 0))+(0.1*IF(Table1[[#This Row],[CorrectAwayScorePrediction]]=1, 1, 0))+(0.1*IF(Table1[[#This Row],[CorrectHomeScorePrediction]]=1, 1, 0))</f>
        <v>0</v>
      </c>
      <c r="X72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28" s="64">
        <f>SUMIF(Table1[GameDate], Table1[[#This Row],[GameDate]], Table1[AwayGameGoalDiff])</f>
        <v>0</v>
      </c>
      <c r="AA728" s="64">
        <f>SUMIF(Table1[GameDate], Table1[[#This Row],[GameDate]], Table1[HomeGameGoalDiff])</f>
        <v>0</v>
      </c>
      <c r="AB728" s="64">
        <f>IF(ISBLANK(Table1[[#This Row],[ActualResult]]), 0, 1)</f>
        <v>0</v>
      </c>
      <c r="AC728" s="64">
        <f>IF(ISBLANK(Table1[[#This Row],[ActualResult]]), 0, IF(Table1[[#This Row],[ActualWinner]]=Table1[[#This Row],[PredictedWinner]], 1, 0))</f>
        <v>0</v>
      </c>
      <c r="AD72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2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28" s="64">
        <f>IF(AND(Table1[[#This Row],[GameIsOver]]=1,Table1[[#This Row],[ActualAwayScore]]=0), 1,0)</f>
        <v>0</v>
      </c>
      <c r="AG728" s="64">
        <f>IF(AND(Table1[[#This Row],[GameIsOver]]=1,Table1[[#This Row],[ActualHomeScore]]=0), 1,0)</f>
        <v>0</v>
      </c>
      <c r="AH728" s="64">
        <f>IF(Table1[[#This Row],[GameIsOver]]=0,0,IF(Table1[[#This Row],[ActualWinner]]=Table1[[#This Row],[AwayTeam]], 1, 0))</f>
        <v>0</v>
      </c>
      <c r="AI728" s="64">
        <f>IF(Table1[[#This Row],[GameIsOver]]=0,0,IF(Table1[[#This Row],[ActualWinner]]=Table1[[#This Row],[HomeTeam]], 1, 0))</f>
        <v>0</v>
      </c>
      <c r="AJ728" s="64">
        <f>IF(INDEX(Standings!$A$2:$C$33,MATCH(Table1[[#This Row],[AwayTeam]],Standings!$A$2:$A$33,0),2)=INDEX(Standings!$A$2:$C$33,MATCH(Table1[[#This Row],[HomeTeam]],Standings!$A$2:$A$33,0),2),1,0)</f>
        <v>0</v>
      </c>
      <c r="AK728" s="64">
        <f>IF(INDEX(Standings!$A$2:$C$33,MATCH(Table1[[#This Row],[AwayTeam]],Standings!$A$2:$A$33,0),3)=INDEX(Standings!$A$2:$C$33,MATCH(Table1[[#This Row],[HomeTeam]],Standings!$A$2:$A$33,0),3),1,0)</f>
        <v>0</v>
      </c>
      <c r="AL728" s="64">
        <f>IF(Table1[[#This Row],[InterConf]]=1,IF(Table1[[#This Row],[InterDiv]]=0, 1, 0), 0)</f>
        <v>0</v>
      </c>
      <c r="AM728" s="64">
        <f>IF(INDEX(Standings!$A$2:$C$33,MATCH(Table1[[#This Row],[AwayTeam]],Standings!$A$2:$A$33,0),2)&lt;&gt;INDEX(Standings!$A$2:$C$33,MATCH(Table1[[#This Row],[HomeTeam]],Standings!$A$2:$A$33,0),2),1,0)</f>
        <v>1</v>
      </c>
      <c r="AN728" s="64" t="str">
        <f>INDEX(Table2[AWAY_RECORD], MATCH(Table1[[#This Row],[AwayTeam]],Table2[Team], 0), 0)</f>
        <v>2-0-0</v>
      </c>
      <c r="AO728" s="64" t="str">
        <f>INDEX(Records!$B$2:$AG$33, MATCH(Table1[[#This Row],[AwayTeam]],Records!$A$2:$A$33, 0), MATCH(Table1[[#This Row],[HomeTeam]],Records!$A$2:$A$33, 0))</f>
        <v>0-0-0</v>
      </c>
      <c r="AP728" s="64" t="str">
        <f>INDEX(Table2[HOME_RECORD], MATCH(Table1[[#This Row],[HomeTeam]],Table2[Team], 0), 0)</f>
        <v>0-0-0</v>
      </c>
      <c r="AQ728" s="64" t="str">
        <f>INDEX(Records!$B$2:$AG$33, MATCH(Table1[[#This Row],[HomeTeam]],Records!$A$2:$A$33, 0), MATCH(Table1[[#This Row],[AwayTeam]],Records!$A$2:$A$33, 0))</f>
        <v>0-0-0</v>
      </c>
    </row>
    <row r="729" spans="1:43" x14ac:dyDescent="0.25">
      <c r="A729" s="1"/>
      <c r="D729" t="s">
        <v>1015</v>
      </c>
      <c r="E729" t="s">
        <v>162</v>
      </c>
      <c r="F729" t="s">
        <v>1017</v>
      </c>
      <c r="G729" t="s">
        <v>40</v>
      </c>
      <c r="H729" t="s">
        <v>37</v>
      </c>
      <c r="L72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2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29" s="1"/>
      <c r="T729" s="64" t="str">
        <f>IF(Table1[[#This Row],[ActualWinner]]="", "", IF(Table1[[#This Row],[AwayTeam]]=Table1[[#This Row],[ActualWinner]],Table1[[#This Row],[HomeTeam]],Table1[[#This Row],[AwayTeam]]))</f>
        <v/>
      </c>
      <c r="U729" s="64">
        <f>Table1[[#This Row],[ActualAwayScore]]-Table1[[#This Row],[PredictedAwayScore]]</f>
        <v>0</v>
      </c>
      <c r="V729" s="64">
        <f>Table1[[#This Row],[ActualHomeScore]]-Table1[[#This Row],[PredictedHomeScore]]</f>
        <v>0</v>
      </c>
      <c r="W729" s="64">
        <f>(0.8*IF(Table1[[#This Row],[CorrectWinnerPrediction]]=1, 1, 0))+(0.1*IF(Table1[[#This Row],[CorrectAwayScorePrediction]]=1, 1, 0))+(0.1*IF(Table1[[#This Row],[CorrectHomeScorePrediction]]=1, 1, 0))</f>
        <v>0</v>
      </c>
      <c r="X72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29" s="64">
        <f>SUMIF(Table1[GameDate], Table1[[#This Row],[GameDate]], Table1[AwayGameGoalDiff])</f>
        <v>0</v>
      </c>
      <c r="AA729" s="64">
        <f>SUMIF(Table1[GameDate], Table1[[#This Row],[GameDate]], Table1[HomeGameGoalDiff])</f>
        <v>0</v>
      </c>
      <c r="AB729" s="64">
        <f>IF(ISBLANK(Table1[[#This Row],[ActualResult]]), 0, 1)</f>
        <v>0</v>
      </c>
      <c r="AC729" s="64">
        <f>IF(ISBLANK(Table1[[#This Row],[ActualResult]]), 0, IF(Table1[[#This Row],[ActualWinner]]=Table1[[#This Row],[PredictedWinner]], 1, 0))</f>
        <v>0</v>
      </c>
      <c r="AD72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2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29" s="64">
        <f>IF(AND(Table1[[#This Row],[GameIsOver]]=1,Table1[[#This Row],[ActualAwayScore]]=0), 1,0)</f>
        <v>0</v>
      </c>
      <c r="AG729" s="64">
        <f>IF(AND(Table1[[#This Row],[GameIsOver]]=1,Table1[[#This Row],[ActualHomeScore]]=0), 1,0)</f>
        <v>0</v>
      </c>
      <c r="AH729" s="64">
        <f>IF(Table1[[#This Row],[GameIsOver]]=0,0,IF(Table1[[#This Row],[ActualWinner]]=Table1[[#This Row],[AwayTeam]], 1, 0))</f>
        <v>0</v>
      </c>
      <c r="AI729" s="64">
        <f>IF(Table1[[#This Row],[GameIsOver]]=0,0,IF(Table1[[#This Row],[ActualWinner]]=Table1[[#This Row],[HomeTeam]], 1, 0))</f>
        <v>0</v>
      </c>
      <c r="AJ729" s="64">
        <f>IF(INDEX(Standings!$A$2:$C$33,MATCH(Table1[[#This Row],[AwayTeam]],Standings!$A$2:$A$33,0),2)=INDEX(Standings!$A$2:$C$33,MATCH(Table1[[#This Row],[HomeTeam]],Standings!$A$2:$A$33,0),2),1,0)</f>
        <v>1</v>
      </c>
      <c r="AK729" s="64">
        <f>IF(INDEX(Standings!$A$2:$C$33,MATCH(Table1[[#This Row],[AwayTeam]],Standings!$A$2:$A$33,0),3)=INDEX(Standings!$A$2:$C$33,MATCH(Table1[[#This Row],[HomeTeam]],Standings!$A$2:$A$33,0),3),1,0)</f>
        <v>0</v>
      </c>
      <c r="AL729" s="64">
        <f>IF(Table1[[#This Row],[InterConf]]=1,IF(Table1[[#This Row],[InterDiv]]=0, 1, 0), 0)</f>
        <v>1</v>
      </c>
      <c r="AM729" s="64">
        <f>IF(INDEX(Standings!$A$2:$C$33,MATCH(Table1[[#This Row],[AwayTeam]],Standings!$A$2:$A$33,0),2)&lt;&gt;INDEX(Standings!$A$2:$C$33,MATCH(Table1[[#This Row],[HomeTeam]],Standings!$A$2:$A$33,0),2),1,0)</f>
        <v>0</v>
      </c>
      <c r="AN729" s="64" t="str">
        <f>INDEX(Table2[AWAY_RECORD], MATCH(Table1[[#This Row],[AwayTeam]],Table2[Team], 0), 0)</f>
        <v>0-0-0</v>
      </c>
      <c r="AO729" s="64" t="str">
        <f>INDEX(Records!$B$2:$AG$33, MATCH(Table1[[#This Row],[AwayTeam]],Records!$A$2:$A$33, 0), MATCH(Table1[[#This Row],[HomeTeam]],Records!$A$2:$A$33, 0))</f>
        <v>0-0-0</v>
      </c>
      <c r="AP729" s="64" t="str">
        <f>INDEX(Table2[HOME_RECORD], MATCH(Table1[[#This Row],[HomeTeam]],Table2[Team], 0), 0)</f>
        <v>0-1-0</v>
      </c>
      <c r="AQ729" s="64" t="str">
        <f>INDEX(Records!$B$2:$AG$33, MATCH(Table1[[#This Row],[HomeTeam]],Records!$A$2:$A$33, 0), MATCH(Table1[[#This Row],[AwayTeam]],Records!$A$2:$A$33, 0))</f>
        <v>0-0-0</v>
      </c>
    </row>
    <row r="730" spans="1:43" x14ac:dyDescent="0.25">
      <c r="A730" s="1"/>
      <c r="D730" t="s">
        <v>1015</v>
      </c>
      <c r="E730" t="s">
        <v>162</v>
      </c>
      <c r="F730" t="s">
        <v>1018</v>
      </c>
      <c r="G730" t="s">
        <v>49</v>
      </c>
      <c r="H730" t="s">
        <v>38</v>
      </c>
      <c r="L73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3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30" s="1"/>
      <c r="T730" s="64" t="str">
        <f>IF(Table1[[#This Row],[ActualWinner]]="", "", IF(Table1[[#This Row],[AwayTeam]]=Table1[[#This Row],[ActualWinner]],Table1[[#This Row],[HomeTeam]],Table1[[#This Row],[AwayTeam]]))</f>
        <v/>
      </c>
      <c r="U730" s="64">
        <f>Table1[[#This Row],[ActualAwayScore]]-Table1[[#This Row],[PredictedAwayScore]]</f>
        <v>0</v>
      </c>
      <c r="V730" s="64">
        <f>Table1[[#This Row],[ActualHomeScore]]-Table1[[#This Row],[PredictedHomeScore]]</f>
        <v>0</v>
      </c>
      <c r="W730" s="64">
        <f>(0.8*IF(Table1[[#This Row],[CorrectWinnerPrediction]]=1, 1, 0))+(0.1*IF(Table1[[#This Row],[CorrectAwayScorePrediction]]=1, 1, 0))+(0.1*IF(Table1[[#This Row],[CorrectHomeScorePrediction]]=1, 1, 0))</f>
        <v>0</v>
      </c>
      <c r="X73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30" s="64">
        <f>SUMIF(Table1[GameDate], Table1[[#This Row],[GameDate]], Table1[AwayGameGoalDiff])</f>
        <v>0</v>
      </c>
      <c r="AA730" s="64">
        <f>SUMIF(Table1[GameDate], Table1[[#This Row],[GameDate]], Table1[HomeGameGoalDiff])</f>
        <v>0</v>
      </c>
      <c r="AB730" s="64">
        <f>IF(ISBLANK(Table1[[#This Row],[ActualResult]]), 0, 1)</f>
        <v>0</v>
      </c>
      <c r="AC730" s="64">
        <f>IF(ISBLANK(Table1[[#This Row],[ActualResult]]), 0, IF(Table1[[#This Row],[ActualWinner]]=Table1[[#This Row],[PredictedWinner]], 1, 0))</f>
        <v>0</v>
      </c>
      <c r="AD73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3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30" s="64">
        <f>IF(AND(Table1[[#This Row],[GameIsOver]]=1,Table1[[#This Row],[ActualAwayScore]]=0), 1,0)</f>
        <v>0</v>
      </c>
      <c r="AG730" s="64">
        <f>IF(AND(Table1[[#This Row],[GameIsOver]]=1,Table1[[#This Row],[ActualHomeScore]]=0), 1,0)</f>
        <v>0</v>
      </c>
      <c r="AH730" s="64">
        <f>IF(Table1[[#This Row],[GameIsOver]]=0,0,IF(Table1[[#This Row],[ActualWinner]]=Table1[[#This Row],[AwayTeam]], 1, 0))</f>
        <v>0</v>
      </c>
      <c r="AI730" s="64">
        <f>IF(Table1[[#This Row],[GameIsOver]]=0,0,IF(Table1[[#This Row],[ActualWinner]]=Table1[[#This Row],[HomeTeam]], 1, 0))</f>
        <v>0</v>
      </c>
      <c r="AJ730" s="64">
        <f>IF(INDEX(Standings!$A$2:$C$33,MATCH(Table1[[#This Row],[AwayTeam]],Standings!$A$2:$A$33,0),2)=INDEX(Standings!$A$2:$C$33,MATCH(Table1[[#This Row],[HomeTeam]],Standings!$A$2:$A$33,0),2),1,0)</f>
        <v>1</v>
      </c>
      <c r="AK730" s="64">
        <f>IF(INDEX(Standings!$A$2:$C$33,MATCH(Table1[[#This Row],[AwayTeam]],Standings!$A$2:$A$33,0),3)=INDEX(Standings!$A$2:$C$33,MATCH(Table1[[#This Row],[HomeTeam]],Standings!$A$2:$A$33,0),3),1,0)</f>
        <v>0</v>
      </c>
      <c r="AL730" s="64">
        <f>IF(Table1[[#This Row],[InterConf]]=1,IF(Table1[[#This Row],[InterDiv]]=0, 1, 0), 0)</f>
        <v>1</v>
      </c>
      <c r="AM730" s="64">
        <f>IF(INDEX(Standings!$A$2:$C$33,MATCH(Table1[[#This Row],[AwayTeam]],Standings!$A$2:$A$33,0),2)&lt;&gt;INDEX(Standings!$A$2:$C$33,MATCH(Table1[[#This Row],[HomeTeam]],Standings!$A$2:$A$33,0),2),1,0)</f>
        <v>0</v>
      </c>
      <c r="AN730" s="64" t="str">
        <f>INDEX(Table2[AWAY_RECORD], MATCH(Table1[[#This Row],[AwayTeam]],Table2[Team], 0), 0)</f>
        <v>0-0-0</v>
      </c>
      <c r="AO730" s="64" t="str">
        <f>INDEX(Records!$B$2:$AG$33, MATCH(Table1[[#This Row],[AwayTeam]],Records!$A$2:$A$33, 0), MATCH(Table1[[#This Row],[HomeTeam]],Records!$A$2:$A$33, 0))</f>
        <v>0-0-0</v>
      </c>
      <c r="AP730" s="64" t="str">
        <f>INDEX(Table2[HOME_RECORD], MATCH(Table1[[#This Row],[HomeTeam]],Table2[Team], 0), 0)</f>
        <v>0-0-0</v>
      </c>
      <c r="AQ730" s="64" t="str">
        <f>INDEX(Records!$B$2:$AG$33, MATCH(Table1[[#This Row],[HomeTeam]],Records!$A$2:$A$33, 0), MATCH(Table1[[#This Row],[AwayTeam]],Records!$A$2:$A$33, 0))</f>
        <v>0-0-0</v>
      </c>
    </row>
    <row r="731" spans="1:43" x14ac:dyDescent="0.25">
      <c r="A731" s="1"/>
      <c r="D731" t="s">
        <v>1015</v>
      </c>
      <c r="E731" t="s">
        <v>162</v>
      </c>
      <c r="F731" t="s">
        <v>1019</v>
      </c>
      <c r="G731" t="s">
        <v>41</v>
      </c>
      <c r="H731" t="s">
        <v>54</v>
      </c>
      <c r="L73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3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31" s="1"/>
      <c r="T731" s="64" t="str">
        <f>IF(Table1[[#This Row],[ActualWinner]]="", "", IF(Table1[[#This Row],[AwayTeam]]=Table1[[#This Row],[ActualWinner]],Table1[[#This Row],[HomeTeam]],Table1[[#This Row],[AwayTeam]]))</f>
        <v/>
      </c>
      <c r="U731" s="64">
        <f>Table1[[#This Row],[ActualAwayScore]]-Table1[[#This Row],[PredictedAwayScore]]</f>
        <v>0</v>
      </c>
      <c r="V731" s="64">
        <f>Table1[[#This Row],[ActualHomeScore]]-Table1[[#This Row],[PredictedHomeScore]]</f>
        <v>0</v>
      </c>
      <c r="W731" s="64">
        <f>(0.8*IF(Table1[[#This Row],[CorrectWinnerPrediction]]=1, 1, 0))+(0.1*IF(Table1[[#This Row],[CorrectAwayScorePrediction]]=1, 1, 0))+(0.1*IF(Table1[[#This Row],[CorrectHomeScorePrediction]]=1, 1, 0))</f>
        <v>0</v>
      </c>
      <c r="X73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31" s="64">
        <f>SUMIF(Table1[GameDate], Table1[[#This Row],[GameDate]], Table1[AwayGameGoalDiff])</f>
        <v>0</v>
      </c>
      <c r="AA731" s="64">
        <f>SUMIF(Table1[GameDate], Table1[[#This Row],[GameDate]], Table1[HomeGameGoalDiff])</f>
        <v>0</v>
      </c>
      <c r="AB731" s="64">
        <f>IF(ISBLANK(Table1[[#This Row],[ActualResult]]), 0, 1)</f>
        <v>0</v>
      </c>
      <c r="AC731" s="64">
        <f>IF(ISBLANK(Table1[[#This Row],[ActualResult]]), 0, IF(Table1[[#This Row],[ActualWinner]]=Table1[[#This Row],[PredictedWinner]], 1, 0))</f>
        <v>0</v>
      </c>
      <c r="AD73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3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31" s="64">
        <f>IF(AND(Table1[[#This Row],[GameIsOver]]=1,Table1[[#This Row],[ActualAwayScore]]=0), 1,0)</f>
        <v>0</v>
      </c>
      <c r="AG731" s="64">
        <f>IF(AND(Table1[[#This Row],[GameIsOver]]=1,Table1[[#This Row],[ActualHomeScore]]=0), 1,0)</f>
        <v>0</v>
      </c>
      <c r="AH731" s="64">
        <f>IF(Table1[[#This Row],[GameIsOver]]=0,0,IF(Table1[[#This Row],[ActualWinner]]=Table1[[#This Row],[AwayTeam]], 1, 0))</f>
        <v>0</v>
      </c>
      <c r="AI731" s="64">
        <f>IF(Table1[[#This Row],[GameIsOver]]=0,0,IF(Table1[[#This Row],[ActualWinner]]=Table1[[#This Row],[HomeTeam]], 1, 0))</f>
        <v>0</v>
      </c>
      <c r="AJ731" s="64">
        <f>IF(INDEX(Standings!$A$2:$C$33,MATCH(Table1[[#This Row],[AwayTeam]],Standings!$A$2:$A$33,0),2)=INDEX(Standings!$A$2:$C$33,MATCH(Table1[[#This Row],[HomeTeam]],Standings!$A$2:$A$33,0),2),1,0)</f>
        <v>0</v>
      </c>
      <c r="AK731" s="64">
        <f>IF(INDEX(Standings!$A$2:$C$33,MATCH(Table1[[#This Row],[AwayTeam]],Standings!$A$2:$A$33,0),3)=INDEX(Standings!$A$2:$C$33,MATCH(Table1[[#This Row],[HomeTeam]],Standings!$A$2:$A$33,0),3),1,0)</f>
        <v>0</v>
      </c>
      <c r="AL731" s="64">
        <f>IF(Table1[[#This Row],[InterConf]]=1,IF(Table1[[#This Row],[InterDiv]]=0, 1, 0), 0)</f>
        <v>0</v>
      </c>
      <c r="AM731" s="64">
        <f>IF(INDEX(Standings!$A$2:$C$33,MATCH(Table1[[#This Row],[AwayTeam]],Standings!$A$2:$A$33,0),2)&lt;&gt;INDEX(Standings!$A$2:$C$33,MATCH(Table1[[#This Row],[HomeTeam]],Standings!$A$2:$A$33,0),2),1,0)</f>
        <v>1</v>
      </c>
      <c r="AN731" s="64" t="str">
        <f>INDEX(Table2[AWAY_RECORD], MATCH(Table1[[#This Row],[AwayTeam]],Table2[Team], 0), 0)</f>
        <v>0-0-0</v>
      </c>
      <c r="AO731" s="64" t="str">
        <f>INDEX(Records!$B$2:$AG$33, MATCH(Table1[[#This Row],[AwayTeam]],Records!$A$2:$A$33, 0), MATCH(Table1[[#This Row],[HomeTeam]],Records!$A$2:$A$33, 0))</f>
        <v>0-0-0</v>
      </c>
      <c r="AP731" s="64" t="str">
        <f>INDEX(Table2[HOME_RECORD], MATCH(Table1[[#This Row],[HomeTeam]],Table2[Team], 0), 0)</f>
        <v>0-0-0</v>
      </c>
      <c r="AQ731" s="64" t="str">
        <f>INDEX(Records!$B$2:$AG$33, MATCH(Table1[[#This Row],[HomeTeam]],Records!$A$2:$A$33, 0), MATCH(Table1[[#This Row],[AwayTeam]],Records!$A$2:$A$33, 0))</f>
        <v>0-0-0</v>
      </c>
    </row>
    <row r="732" spans="1:43" x14ac:dyDescent="0.25">
      <c r="A732" s="1"/>
      <c r="D732" t="s">
        <v>1015</v>
      </c>
      <c r="E732" t="s">
        <v>162</v>
      </c>
      <c r="F732" t="s">
        <v>1020</v>
      </c>
      <c r="G732" t="s">
        <v>25</v>
      </c>
      <c r="H732" t="s">
        <v>59</v>
      </c>
      <c r="L73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3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32" s="1"/>
      <c r="T732" s="64" t="str">
        <f>IF(Table1[[#This Row],[ActualWinner]]="", "", IF(Table1[[#This Row],[AwayTeam]]=Table1[[#This Row],[ActualWinner]],Table1[[#This Row],[HomeTeam]],Table1[[#This Row],[AwayTeam]]))</f>
        <v/>
      </c>
      <c r="U732" s="64">
        <f>Table1[[#This Row],[ActualAwayScore]]-Table1[[#This Row],[PredictedAwayScore]]</f>
        <v>0</v>
      </c>
      <c r="V732" s="64">
        <f>Table1[[#This Row],[ActualHomeScore]]-Table1[[#This Row],[PredictedHomeScore]]</f>
        <v>0</v>
      </c>
      <c r="W732" s="64">
        <f>(0.8*IF(Table1[[#This Row],[CorrectWinnerPrediction]]=1, 1, 0))+(0.1*IF(Table1[[#This Row],[CorrectAwayScorePrediction]]=1, 1, 0))+(0.1*IF(Table1[[#This Row],[CorrectHomeScorePrediction]]=1, 1, 0))</f>
        <v>0</v>
      </c>
      <c r="X73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32" s="64">
        <f>SUMIF(Table1[GameDate], Table1[[#This Row],[GameDate]], Table1[AwayGameGoalDiff])</f>
        <v>0</v>
      </c>
      <c r="AA732" s="64">
        <f>SUMIF(Table1[GameDate], Table1[[#This Row],[GameDate]], Table1[HomeGameGoalDiff])</f>
        <v>0</v>
      </c>
      <c r="AB732" s="64">
        <f>IF(ISBLANK(Table1[[#This Row],[ActualResult]]), 0, 1)</f>
        <v>0</v>
      </c>
      <c r="AC732" s="64">
        <f>IF(ISBLANK(Table1[[#This Row],[ActualResult]]), 0, IF(Table1[[#This Row],[ActualWinner]]=Table1[[#This Row],[PredictedWinner]], 1, 0))</f>
        <v>0</v>
      </c>
      <c r="AD73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3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32" s="64">
        <f>IF(AND(Table1[[#This Row],[GameIsOver]]=1,Table1[[#This Row],[ActualAwayScore]]=0), 1,0)</f>
        <v>0</v>
      </c>
      <c r="AG732" s="64">
        <f>IF(AND(Table1[[#This Row],[GameIsOver]]=1,Table1[[#This Row],[ActualHomeScore]]=0), 1,0)</f>
        <v>0</v>
      </c>
      <c r="AH732" s="64">
        <f>IF(Table1[[#This Row],[GameIsOver]]=0,0,IF(Table1[[#This Row],[ActualWinner]]=Table1[[#This Row],[AwayTeam]], 1, 0))</f>
        <v>0</v>
      </c>
      <c r="AI732" s="64">
        <f>IF(Table1[[#This Row],[GameIsOver]]=0,0,IF(Table1[[#This Row],[ActualWinner]]=Table1[[#This Row],[HomeTeam]], 1, 0))</f>
        <v>0</v>
      </c>
      <c r="AJ732" s="64">
        <f>IF(INDEX(Standings!$A$2:$C$33,MATCH(Table1[[#This Row],[AwayTeam]],Standings!$A$2:$A$33,0),2)=INDEX(Standings!$A$2:$C$33,MATCH(Table1[[#This Row],[HomeTeam]],Standings!$A$2:$A$33,0),2),1,0)</f>
        <v>0</v>
      </c>
      <c r="AK732" s="64">
        <f>IF(INDEX(Standings!$A$2:$C$33,MATCH(Table1[[#This Row],[AwayTeam]],Standings!$A$2:$A$33,0),3)=INDEX(Standings!$A$2:$C$33,MATCH(Table1[[#This Row],[HomeTeam]],Standings!$A$2:$A$33,0),3),1,0)</f>
        <v>0</v>
      </c>
      <c r="AL732" s="64">
        <f>IF(Table1[[#This Row],[InterConf]]=1,IF(Table1[[#This Row],[InterDiv]]=0, 1, 0), 0)</f>
        <v>0</v>
      </c>
      <c r="AM732" s="64">
        <f>IF(INDEX(Standings!$A$2:$C$33,MATCH(Table1[[#This Row],[AwayTeam]],Standings!$A$2:$A$33,0),2)&lt;&gt;INDEX(Standings!$A$2:$C$33,MATCH(Table1[[#This Row],[HomeTeam]],Standings!$A$2:$A$33,0),2),1,0)</f>
        <v>1</v>
      </c>
      <c r="AN732" s="64" t="str">
        <f>INDEX(Table2[AWAY_RECORD], MATCH(Table1[[#This Row],[AwayTeam]],Table2[Team], 0), 0)</f>
        <v>0-0-0</v>
      </c>
      <c r="AO732" s="64" t="str">
        <f>INDEX(Records!$B$2:$AG$33, MATCH(Table1[[#This Row],[AwayTeam]],Records!$A$2:$A$33, 0), MATCH(Table1[[#This Row],[HomeTeam]],Records!$A$2:$A$33, 0))</f>
        <v>0-0-0</v>
      </c>
      <c r="AP732" s="64" t="str">
        <f>INDEX(Table2[HOME_RECORD], MATCH(Table1[[#This Row],[HomeTeam]],Table2[Team], 0), 0)</f>
        <v>0-0-0</v>
      </c>
      <c r="AQ732" s="64" t="str">
        <f>INDEX(Records!$B$2:$AG$33, MATCH(Table1[[#This Row],[HomeTeam]],Records!$A$2:$A$33, 0), MATCH(Table1[[#This Row],[AwayTeam]],Records!$A$2:$A$33, 0))</f>
        <v>0-0-0</v>
      </c>
    </row>
    <row r="733" spans="1:43" x14ac:dyDescent="0.25">
      <c r="A733" s="1"/>
      <c r="D733" t="s">
        <v>1015</v>
      </c>
      <c r="E733" t="s">
        <v>178</v>
      </c>
      <c r="F733" t="s">
        <v>1021</v>
      </c>
      <c r="G733" t="s">
        <v>58</v>
      </c>
      <c r="H733" t="s">
        <v>16</v>
      </c>
      <c r="L73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3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33" s="1"/>
      <c r="T733" s="64" t="str">
        <f>IF(Table1[[#This Row],[ActualWinner]]="", "", IF(Table1[[#This Row],[AwayTeam]]=Table1[[#This Row],[ActualWinner]],Table1[[#This Row],[HomeTeam]],Table1[[#This Row],[AwayTeam]]))</f>
        <v/>
      </c>
      <c r="U733" s="64">
        <f>Table1[[#This Row],[ActualAwayScore]]-Table1[[#This Row],[PredictedAwayScore]]</f>
        <v>0</v>
      </c>
      <c r="V733" s="64">
        <f>Table1[[#This Row],[ActualHomeScore]]-Table1[[#This Row],[PredictedHomeScore]]</f>
        <v>0</v>
      </c>
      <c r="W733" s="64">
        <f>(0.8*IF(Table1[[#This Row],[CorrectWinnerPrediction]]=1, 1, 0))+(0.1*IF(Table1[[#This Row],[CorrectAwayScorePrediction]]=1, 1, 0))+(0.1*IF(Table1[[#This Row],[CorrectHomeScorePrediction]]=1, 1, 0))</f>
        <v>0</v>
      </c>
      <c r="X73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33" s="64">
        <f>SUMIF(Table1[GameDate], Table1[[#This Row],[GameDate]], Table1[AwayGameGoalDiff])</f>
        <v>0</v>
      </c>
      <c r="AA733" s="64">
        <f>SUMIF(Table1[GameDate], Table1[[#This Row],[GameDate]], Table1[HomeGameGoalDiff])</f>
        <v>0</v>
      </c>
      <c r="AB733" s="64">
        <f>IF(ISBLANK(Table1[[#This Row],[ActualResult]]), 0, 1)</f>
        <v>0</v>
      </c>
      <c r="AC733" s="64">
        <f>IF(ISBLANK(Table1[[#This Row],[ActualResult]]), 0, IF(Table1[[#This Row],[ActualWinner]]=Table1[[#This Row],[PredictedWinner]], 1, 0))</f>
        <v>0</v>
      </c>
      <c r="AD73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3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33" s="64">
        <f>IF(AND(Table1[[#This Row],[GameIsOver]]=1,Table1[[#This Row],[ActualAwayScore]]=0), 1,0)</f>
        <v>0</v>
      </c>
      <c r="AG733" s="64">
        <f>IF(AND(Table1[[#This Row],[GameIsOver]]=1,Table1[[#This Row],[ActualHomeScore]]=0), 1,0)</f>
        <v>0</v>
      </c>
      <c r="AH733" s="64">
        <f>IF(Table1[[#This Row],[GameIsOver]]=0,0,IF(Table1[[#This Row],[ActualWinner]]=Table1[[#This Row],[AwayTeam]], 1, 0))</f>
        <v>0</v>
      </c>
      <c r="AI733" s="64">
        <f>IF(Table1[[#This Row],[GameIsOver]]=0,0,IF(Table1[[#This Row],[ActualWinner]]=Table1[[#This Row],[HomeTeam]], 1, 0))</f>
        <v>0</v>
      </c>
      <c r="AJ733" s="64">
        <f>IF(INDEX(Standings!$A$2:$C$33,MATCH(Table1[[#This Row],[AwayTeam]],Standings!$A$2:$A$33,0),2)=INDEX(Standings!$A$2:$C$33,MATCH(Table1[[#This Row],[HomeTeam]],Standings!$A$2:$A$33,0),2),1,0)</f>
        <v>1</v>
      </c>
      <c r="AK733" s="64">
        <f>IF(INDEX(Standings!$A$2:$C$33,MATCH(Table1[[#This Row],[AwayTeam]],Standings!$A$2:$A$33,0),3)=INDEX(Standings!$A$2:$C$33,MATCH(Table1[[#This Row],[HomeTeam]],Standings!$A$2:$A$33,0),3),1,0)</f>
        <v>1</v>
      </c>
      <c r="AL733" s="64">
        <f>IF(Table1[[#This Row],[InterConf]]=1,IF(Table1[[#This Row],[InterDiv]]=0, 1, 0), 0)</f>
        <v>0</v>
      </c>
      <c r="AM733" s="64">
        <f>IF(INDEX(Standings!$A$2:$C$33,MATCH(Table1[[#This Row],[AwayTeam]],Standings!$A$2:$A$33,0),2)&lt;&gt;INDEX(Standings!$A$2:$C$33,MATCH(Table1[[#This Row],[HomeTeam]],Standings!$A$2:$A$33,0),2),1,0)</f>
        <v>0</v>
      </c>
      <c r="AN733" s="64" t="str">
        <f>INDEX(Table2[AWAY_RECORD], MATCH(Table1[[#This Row],[AwayTeam]],Table2[Team], 0), 0)</f>
        <v>0-0-0</v>
      </c>
      <c r="AO733" s="64" t="str">
        <f>INDEX(Records!$B$2:$AG$33, MATCH(Table1[[#This Row],[AwayTeam]],Records!$A$2:$A$33, 0), MATCH(Table1[[#This Row],[HomeTeam]],Records!$A$2:$A$33, 0))</f>
        <v>1-0-0</v>
      </c>
      <c r="AP733" s="64" t="str">
        <f>INDEX(Table2[HOME_RECORD], MATCH(Table1[[#This Row],[HomeTeam]],Table2[Team], 0), 0)</f>
        <v>0-0-0</v>
      </c>
      <c r="AQ733" s="64" t="str">
        <f>INDEX(Records!$B$2:$AG$33, MATCH(Table1[[#This Row],[HomeTeam]],Records!$A$2:$A$33, 0), MATCH(Table1[[#This Row],[AwayTeam]],Records!$A$2:$A$33, 0))</f>
        <v>0-0-1</v>
      </c>
    </row>
    <row r="734" spans="1:43" x14ac:dyDescent="0.25">
      <c r="A734" s="1"/>
      <c r="D734" t="s">
        <v>1015</v>
      </c>
      <c r="E734" t="s">
        <v>178</v>
      </c>
      <c r="F734" t="s">
        <v>1022</v>
      </c>
      <c r="G734" t="s">
        <v>53</v>
      </c>
      <c r="H734" t="s">
        <v>48</v>
      </c>
      <c r="L73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3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34" s="1"/>
      <c r="T734" s="64" t="str">
        <f>IF(Table1[[#This Row],[ActualWinner]]="", "", IF(Table1[[#This Row],[AwayTeam]]=Table1[[#This Row],[ActualWinner]],Table1[[#This Row],[HomeTeam]],Table1[[#This Row],[AwayTeam]]))</f>
        <v/>
      </c>
      <c r="U734" s="64">
        <f>Table1[[#This Row],[ActualAwayScore]]-Table1[[#This Row],[PredictedAwayScore]]</f>
        <v>0</v>
      </c>
      <c r="V734" s="64">
        <f>Table1[[#This Row],[ActualHomeScore]]-Table1[[#This Row],[PredictedHomeScore]]</f>
        <v>0</v>
      </c>
      <c r="W734" s="64">
        <f>(0.8*IF(Table1[[#This Row],[CorrectWinnerPrediction]]=1, 1, 0))+(0.1*IF(Table1[[#This Row],[CorrectAwayScorePrediction]]=1, 1, 0))+(0.1*IF(Table1[[#This Row],[CorrectHomeScorePrediction]]=1, 1, 0))</f>
        <v>0</v>
      </c>
      <c r="X73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34" s="64">
        <f>SUMIF(Table1[GameDate], Table1[[#This Row],[GameDate]], Table1[AwayGameGoalDiff])</f>
        <v>0</v>
      </c>
      <c r="AA734" s="64">
        <f>SUMIF(Table1[GameDate], Table1[[#This Row],[GameDate]], Table1[HomeGameGoalDiff])</f>
        <v>0</v>
      </c>
      <c r="AB734" s="64">
        <f>IF(ISBLANK(Table1[[#This Row],[ActualResult]]), 0, 1)</f>
        <v>0</v>
      </c>
      <c r="AC734" s="64">
        <f>IF(ISBLANK(Table1[[#This Row],[ActualResult]]), 0, IF(Table1[[#This Row],[ActualWinner]]=Table1[[#This Row],[PredictedWinner]], 1, 0))</f>
        <v>0</v>
      </c>
      <c r="AD73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3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34" s="64">
        <f>IF(AND(Table1[[#This Row],[GameIsOver]]=1,Table1[[#This Row],[ActualAwayScore]]=0), 1,0)</f>
        <v>0</v>
      </c>
      <c r="AG734" s="64">
        <f>IF(AND(Table1[[#This Row],[GameIsOver]]=1,Table1[[#This Row],[ActualHomeScore]]=0), 1,0)</f>
        <v>0</v>
      </c>
      <c r="AH734" s="64">
        <f>IF(Table1[[#This Row],[GameIsOver]]=0,0,IF(Table1[[#This Row],[ActualWinner]]=Table1[[#This Row],[AwayTeam]], 1, 0))</f>
        <v>0</v>
      </c>
      <c r="AI734" s="64">
        <f>IF(Table1[[#This Row],[GameIsOver]]=0,0,IF(Table1[[#This Row],[ActualWinner]]=Table1[[#This Row],[HomeTeam]], 1, 0))</f>
        <v>0</v>
      </c>
      <c r="AJ734" s="64">
        <f>IF(INDEX(Standings!$A$2:$C$33,MATCH(Table1[[#This Row],[AwayTeam]],Standings!$A$2:$A$33,0),2)=INDEX(Standings!$A$2:$C$33,MATCH(Table1[[#This Row],[HomeTeam]],Standings!$A$2:$A$33,0),2),1,0)</f>
        <v>0</v>
      </c>
      <c r="AK734" s="64">
        <f>IF(INDEX(Standings!$A$2:$C$33,MATCH(Table1[[#This Row],[AwayTeam]],Standings!$A$2:$A$33,0),3)=INDEX(Standings!$A$2:$C$33,MATCH(Table1[[#This Row],[HomeTeam]],Standings!$A$2:$A$33,0),3),1,0)</f>
        <v>0</v>
      </c>
      <c r="AL734" s="64">
        <f>IF(Table1[[#This Row],[InterConf]]=1,IF(Table1[[#This Row],[InterDiv]]=0, 1, 0), 0)</f>
        <v>0</v>
      </c>
      <c r="AM734" s="64">
        <f>IF(INDEX(Standings!$A$2:$C$33,MATCH(Table1[[#This Row],[AwayTeam]],Standings!$A$2:$A$33,0),2)&lt;&gt;INDEX(Standings!$A$2:$C$33,MATCH(Table1[[#This Row],[HomeTeam]],Standings!$A$2:$A$33,0),2),1,0)</f>
        <v>1</v>
      </c>
      <c r="AN734" s="64" t="str">
        <f>INDEX(Table2[AWAY_RECORD], MATCH(Table1[[#This Row],[AwayTeam]],Table2[Team], 0), 0)</f>
        <v>0-1-0</v>
      </c>
      <c r="AO734" s="64" t="str">
        <f>INDEX(Records!$B$2:$AG$33, MATCH(Table1[[#This Row],[AwayTeam]],Records!$A$2:$A$33, 0), MATCH(Table1[[#This Row],[HomeTeam]],Records!$A$2:$A$33, 0))</f>
        <v>0-0-0</v>
      </c>
      <c r="AP734" s="64" t="str">
        <f>INDEX(Table2[HOME_RECORD], MATCH(Table1[[#This Row],[HomeTeam]],Table2[Team], 0), 0)</f>
        <v>1-0-0</v>
      </c>
      <c r="AQ734" s="64" t="str">
        <f>INDEX(Records!$B$2:$AG$33, MATCH(Table1[[#This Row],[HomeTeam]],Records!$A$2:$A$33, 0), MATCH(Table1[[#This Row],[AwayTeam]],Records!$A$2:$A$33, 0))</f>
        <v>0-0-0</v>
      </c>
    </row>
    <row r="735" spans="1:43" x14ac:dyDescent="0.25">
      <c r="A735" s="1"/>
      <c r="D735" t="s">
        <v>1015</v>
      </c>
      <c r="E735" t="s">
        <v>178</v>
      </c>
      <c r="F735" t="s">
        <v>1023</v>
      </c>
      <c r="G735" t="s">
        <v>52</v>
      </c>
      <c r="H735" t="s">
        <v>43</v>
      </c>
      <c r="L73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3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35" s="1"/>
      <c r="T735" s="64" t="str">
        <f>IF(Table1[[#This Row],[ActualWinner]]="", "", IF(Table1[[#This Row],[AwayTeam]]=Table1[[#This Row],[ActualWinner]],Table1[[#This Row],[HomeTeam]],Table1[[#This Row],[AwayTeam]]))</f>
        <v/>
      </c>
      <c r="U735" s="64">
        <f>Table1[[#This Row],[ActualAwayScore]]-Table1[[#This Row],[PredictedAwayScore]]</f>
        <v>0</v>
      </c>
      <c r="V735" s="64">
        <f>Table1[[#This Row],[ActualHomeScore]]-Table1[[#This Row],[PredictedHomeScore]]</f>
        <v>0</v>
      </c>
      <c r="W735" s="64">
        <f>(0.8*IF(Table1[[#This Row],[CorrectWinnerPrediction]]=1, 1, 0))+(0.1*IF(Table1[[#This Row],[CorrectAwayScorePrediction]]=1, 1, 0))+(0.1*IF(Table1[[#This Row],[CorrectHomeScorePrediction]]=1, 1, 0))</f>
        <v>0</v>
      </c>
      <c r="X73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35" s="64">
        <f>SUMIF(Table1[GameDate], Table1[[#This Row],[GameDate]], Table1[AwayGameGoalDiff])</f>
        <v>0</v>
      </c>
      <c r="AA735" s="64">
        <f>SUMIF(Table1[GameDate], Table1[[#This Row],[GameDate]], Table1[HomeGameGoalDiff])</f>
        <v>0</v>
      </c>
      <c r="AB735" s="64">
        <f>IF(ISBLANK(Table1[[#This Row],[ActualResult]]), 0, 1)</f>
        <v>0</v>
      </c>
      <c r="AC735" s="64">
        <f>IF(ISBLANK(Table1[[#This Row],[ActualResult]]), 0, IF(Table1[[#This Row],[ActualWinner]]=Table1[[#This Row],[PredictedWinner]], 1, 0))</f>
        <v>0</v>
      </c>
      <c r="AD73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3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35" s="64">
        <f>IF(AND(Table1[[#This Row],[GameIsOver]]=1,Table1[[#This Row],[ActualAwayScore]]=0), 1,0)</f>
        <v>0</v>
      </c>
      <c r="AG735" s="64">
        <f>IF(AND(Table1[[#This Row],[GameIsOver]]=1,Table1[[#This Row],[ActualHomeScore]]=0), 1,0)</f>
        <v>0</v>
      </c>
      <c r="AH735" s="64">
        <f>IF(Table1[[#This Row],[GameIsOver]]=0,0,IF(Table1[[#This Row],[ActualWinner]]=Table1[[#This Row],[AwayTeam]], 1, 0))</f>
        <v>0</v>
      </c>
      <c r="AI735" s="64">
        <f>IF(Table1[[#This Row],[GameIsOver]]=0,0,IF(Table1[[#This Row],[ActualWinner]]=Table1[[#This Row],[HomeTeam]], 1, 0))</f>
        <v>0</v>
      </c>
      <c r="AJ735" s="64">
        <f>IF(INDEX(Standings!$A$2:$C$33,MATCH(Table1[[#This Row],[AwayTeam]],Standings!$A$2:$A$33,0),2)=INDEX(Standings!$A$2:$C$33,MATCH(Table1[[#This Row],[HomeTeam]],Standings!$A$2:$A$33,0),2),1,0)</f>
        <v>0</v>
      </c>
      <c r="AK735" s="64">
        <f>IF(INDEX(Standings!$A$2:$C$33,MATCH(Table1[[#This Row],[AwayTeam]],Standings!$A$2:$A$33,0),3)=INDEX(Standings!$A$2:$C$33,MATCH(Table1[[#This Row],[HomeTeam]],Standings!$A$2:$A$33,0),3),1,0)</f>
        <v>0</v>
      </c>
      <c r="AL735" s="64">
        <f>IF(Table1[[#This Row],[InterConf]]=1,IF(Table1[[#This Row],[InterDiv]]=0, 1, 0), 0)</f>
        <v>0</v>
      </c>
      <c r="AM735" s="64">
        <f>IF(INDEX(Standings!$A$2:$C$33,MATCH(Table1[[#This Row],[AwayTeam]],Standings!$A$2:$A$33,0),2)&lt;&gt;INDEX(Standings!$A$2:$C$33,MATCH(Table1[[#This Row],[HomeTeam]],Standings!$A$2:$A$33,0),2),1,0)</f>
        <v>1</v>
      </c>
      <c r="AN735" s="64" t="str">
        <f>INDEX(Table2[AWAY_RECORD], MATCH(Table1[[#This Row],[AwayTeam]],Table2[Team], 0), 0)</f>
        <v>0-0-0</v>
      </c>
      <c r="AO735" s="64" t="str">
        <f>INDEX(Records!$B$2:$AG$33, MATCH(Table1[[#This Row],[AwayTeam]],Records!$A$2:$A$33, 0), MATCH(Table1[[#This Row],[HomeTeam]],Records!$A$2:$A$33, 0))</f>
        <v>0-0-0</v>
      </c>
      <c r="AP735" s="64" t="str">
        <f>INDEX(Table2[HOME_RECORD], MATCH(Table1[[#This Row],[HomeTeam]],Table2[Team], 0), 0)</f>
        <v>0-0-0</v>
      </c>
      <c r="AQ735" s="64" t="str">
        <f>INDEX(Records!$B$2:$AG$33, MATCH(Table1[[#This Row],[HomeTeam]],Records!$A$2:$A$33, 0), MATCH(Table1[[#This Row],[AwayTeam]],Records!$A$2:$A$33, 0))</f>
        <v>0-0-0</v>
      </c>
    </row>
    <row r="736" spans="1:43" x14ac:dyDescent="0.25">
      <c r="A736" s="1"/>
      <c r="D736" t="s">
        <v>1015</v>
      </c>
      <c r="E736" t="s">
        <v>178</v>
      </c>
      <c r="F736" t="s">
        <v>1024</v>
      </c>
      <c r="G736" t="s">
        <v>42</v>
      </c>
      <c r="H736" t="s">
        <v>39</v>
      </c>
      <c r="L73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3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36" s="1"/>
      <c r="T736" s="64" t="str">
        <f>IF(Table1[[#This Row],[ActualWinner]]="", "", IF(Table1[[#This Row],[AwayTeam]]=Table1[[#This Row],[ActualWinner]],Table1[[#This Row],[HomeTeam]],Table1[[#This Row],[AwayTeam]]))</f>
        <v/>
      </c>
      <c r="U736" s="64">
        <f>Table1[[#This Row],[ActualAwayScore]]-Table1[[#This Row],[PredictedAwayScore]]</f>
        <v>0</v>
      </c>
      <c r="V736" s="64">
        <f>Table1[[#This Row],[ActualHomeScore]]-Table1[[#This Row],[PredictedHomeScore]]</f>
        <v>0</v>
      </c>
      <c r="W736" s="64">
        <f>(0.8*IF(Table1[[#This Row],[CorrectWinnerPrediction]]=1, 1, 0))+(0.1*IF(Table1[[#This Row],[CorrectAwayScorePrediction]]=1, 1, 0))+(0.1*IF(Table1[[#This Row],[CorrectHomeScorePrediction]]=1, 1, 0))</f>
        <v>0</v>
      </c>
      <c r="X73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36" s="64">
        <f>SUMIF(Table1[GameDate], Table1[[#This Row],[GameDate]], Table1[AwayGameGoalDiff])</f>
        <v>0</v>
      </c>
      <c r="AA736" s="64">
        <f>SUMIF(Table1[GameDate], Table1[[#This Row],[GameDate]], Table1[HomeGameGoalDiff])</f>
        <v>0</v>
      </c>
      <c r="AB736" s="64">
        <f>IF(ISBLANK(Table1[[#This Row],[ActualResult]]), 0, 1)</f>
        <v>0</v>
      </c>
      <c r="AC736" s="64">
        <f>IF(ISBLANK(Table1[[#This Row],[ActualResult]]), 0, IF(Table1[[#This Row],[ActualWinner]]=Table1[[#This Row],[PredictedWinner]], 1, 0))</f>
        <v>0</v>
      </c>
      <c r="AD73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3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36" s="64">
        <f>IF(AND(Table1[[#This Row],[GameIsOver]]=1,Table1[[#This Row],[ActualAwayScore]]=0), 1,0)</f>
        <v>0</v>
      </c>
      <c r="AG736" s="64">
        <f>IF(AND(Table1[[#This Row],[GameIsOver]]=1,Table1[[#This Row],[ActualHomeScore]]=0), 1,0)</f>
        <v>0</v>
      </c>
      <c r="AH736" s="64">
        <f>IF(Table1[[#This Row],[GameIsOver]]=0,0,IF(Table1[[#This Row],[ActualWinner]]=Table1[[#This Row],[AwayTeam]], 1, 0))</f>
        <v>0</v>
      </c>
      <c r="AI736" s="64">
        <f>IF(Table1[[#This Row],[GameIsOver]]=0,0,IF(Table1[[#This Row],[ActualWinner]]=Table1[[#This Row],[HomeTeam]], 1, 0))</f>
        <v>0</v>
      </c>
      <c r="AJ736" s="64">
        <f>IF(INDEX(Standings!$A$2:$C$33,MATCH(Table1[[#This Row],[AwayTeam]],Standings!$A$2:$A$33,0),2)=INDEX(Standings!$A$2:$C$33,MATCH(Table1[[#This Row],[HomeTeam]],Standings!$A$2:$A$33,0),2),1,0)</f>
        <v>0</v>
      </c>
      <c r="AK736" s="64">
        <f>IF(INDEX(Standings!$A$2:$C$33,MATCH(Table1[[#This Row],[AwayTeam]],Standings!$A$2:$A$33,0),3)=INDEX(Standings!$A$2:$C$33,MATCH(Table1[[#This Row],[HomeTeam]],Standings!$A$2:$A$33,0),3),1,0)</f>
        <v>0</v>
      </c>
      <c r="AL736" s="64">
        <f>IF(Table1[[#This Row],[InterConf]]=1,IF(Table1[[#This Row],[InterDiv]]=0, 1, 0), 0)</f>
        <v>0</v>
      </c>
      <c r="AM736" s="64">
        <f>IF(INDEX(Standings!$A$2:$C$33,MATCH(Table1[[#This Row],[AwayTeam]],Standings!$A$2:$A$33,0),2)&lt;&gt;INDEX(Standings!$A$2:$C$33,MATCH(Table1[[#This Row],[HomeTeam]],Standings!$A$2:$A$33,0),2),1,0)</f>
        <v>1</v>
      </c>
      <c r="AN736" s="64" t="str">
        <f>INDEX(Table2[AWAY_RECORD], MATCH(Table1[[#This Row],[AwayTeam]],Table2[Team], 0), 0)</f>
        <v>0-0-0</v>
      </c>
      <c r="AO736" s="64" t="str">
        <f>INDEX(Records!$B$2:$AG$33, MATCH(Table1[[#This Row],[AwayTeam]],Records!$A$2:$A$33, 0), MATCH(Table1[[#This Row],[HomeTeam]],Records!$A$2:$A$33, 0))</f>
        <v>0-0-0</v>
      </c>
      <c r="AP736" s="64" t="str">
        <f>INDEX(Table2[HOME_RECORD], MATCH(Table1[[#This Row],[HomeTeam]],Table2[Team], 0), 0)</f>
        <v>0-1-0</v>
      </c>
      <c r="AQ736" s="64" t="str">
        <f>INDEX(Records!$B$2:$AG$33, MATCH(Table1[[#This Row],[HomeTeam]],Records!$A$2:$A$33, 0), MATCH(Table1[[#This Row],[AwayTeam]],Records!$A$2:$A$33, 0))</f>
        <v>0-0-0</v>
      </c>
    </row>
    <row r="737" spans="1:43" x14ac:dyDescent="0.25">
      <c r="A737" s="1"/>
      <c r="D737" t="s">
        <v>1015</v>
      </c>
      <c r="E737" t="s">
        <v>593</v>
      </c>
      <c r="F737" t="s">
        <v>1025</v>
      </c>
      <c r="G737" t="s">
        <v>17</v>
      </c>
      <c r="H737" t="s">
        <v>56</v>
      </c>
      <c r="L73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3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37" s="1"/>
      <c r="T737" s="64" t="str">
        <f>IF(Table1[[#This Row],[ActualWinner]]="", "", IF(Table1[[#This Row],[AwayTeam]]=Table1[[#This Row],[ActualWinner]],Table1[[#This Row],[HomeTeam]],Table1[[#This Row],[AwayTeam]]))</f>
        <v/>
      </c>
      <c r="U737" s="64">
        <f>Table1[[#This Row],[ActualAwayScore]]-Table1[[#This Row],[PredictedAwayScore]]</f>
        <v>0</v>
      </c>
      <c r="V737" s="64">
        <f>Table1[[#This Row],[ActualHomeScore]]-Table1[[#This Row],[PredictedHomeScore]]</f>
        <v>0</v>
      </c>
      <c r="W737" s="64">
        <f>(0.8*IF(Table1[[#This Row],[CorrectWinnerPrediction]]=1, 1, 0))+(0.1*IF(Table1[[#This Row],[CorrectAwayScorePrediction]]=1, 1, 0))+(0.1*IF(Table1[[#This Row],[CorrectHomeScorePrediction]]=1, 1, 0))</f>
        <v>0</v>
      </c>
      <c r="X73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37" s="64">
        <f>SUMIF(Table1[GameDate], Table1[[#This Row],[GameDate]], Table1[AwayGameGoalDiff])</f>
        <v>0</v>
      </c>
      <c r="AA737" s="64">
        <f>SUMIF(Table1[GameDate], Table1[[#This Row],[GameDate]], Table1[HomeGameGoalDiff])</f>
        <v>0</v>
      </c>
      <c r="AB737" s="64">
        <f>IF(ISBLANK(Table1[[#This Row],[ActualResult]]), 0, 1)</f>
        <v>0</v>
      </c>
      <c r="AC737" s="64">
        <f>IF(ISBLANK(Table1[[#This Row],[ActualResult]]), 0, IF(Table1[[#This Row],[ActualWinner]]=Table1[[#This Row],[PredictedWinner]], 1, 0))</f>
        <v>0</v>
      </c>
      <c r="AD73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3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37" s="64">
        <f>IF(AND(Table1[[#This Row],[GameIsOver]]=1,Table1[[#This Row],[ActualAwayScore]]=0), 1,0)</f>
        <v>0</v>
      </c>
      <c r="AG737" s="64">
        <f>IF(AND(Table1[[#This Row],[GameIsOver]]=1,Table1[[#This Row],[ActualHomeScore]]=0), 1,0)</f>
        <v>0</v>
      </c>
      <c r="AH737" s="64">
        <f>IF(Table1[[#This Row],[GameIsOver]]=0,0,IF(Table1[[#This Row],[ActualWinner]]=Table1[[#This Row],[AwayTeam]], 1, 0))</f>
        <v>0</v>
      </c>
      <c r="AI737" s="64">
        <f>IF(Table1[[#This Row],[GameIsOver]]=0,0,IF(Table1[[#This Row],[ActualWinner]]=Table1[[#This Row],[HomeTeam]], 1, 0))</f>
        <v>0</v>
      </c>
      <c r="AJ737" s="64">
        <f>IF(INDEX(Standings!$A$2:$C$33,MATCH(Table1[[#This Row],[AwayTeam]],Standings!$A$2:$A$33,0),2)=INDEX(Standings!$A$2:$C$33,MATCH(Table1[[#This Row],[HomeTeam]],Standings!$A$2:$A$33,0),2),1,0)</f>
        <v>0</v>
      </c>
      <c r="AK737" s="64">
        <f>IF(INDEX(Standings!$A$2:$C$33,MATCH(Table1[[#This Row],[AwayTeam]],Standings!$A$2:$A$33,0),3)=INDEX(Standings!$A$2:$C$33,MATCH(Table1[[#This Row],[HomeTeam]],Standings!$A$2:$A$33,0),3),1,0)</f>
        <v>0</v>
      </c>
      <c r="AL737" s="64">
        <f>IF(Table1[[#This Row],[InterConf]]=1,IF(Table1[[#This Row],[InterDiv]]=0, 1, 0), 0)</f>
        <v>0</v>
      </c>
      <c r="AM737" s="64">
        <f>IF(INDEX(Standings!$A$2:$C$33,MATCH(Table1[[#This Row],[AwayTeam]],Standings!$A$2:$A$33,0),2)&lt;&gt;INDEX(Standings!$A$2:$C$33,MATCH(Table1[[#This Row],[HomeTeam]],Standings!$A$2:$A$33,0),2),1,0)</f>
        <v>1</v>
      </c>
      <c r="AN737" s="64" t="str">
        <f>INDEX(Table2[AWAY_RECORD], MATCH(Table1[[#This Row],[AwayTeam]],Table2[Team], 0), 0)</f>
        <v>2-0-0</v>
      </c>
      <c r="AO737" s="64" t="str">
        <f>INDEX(Records!$B$2:$AG$33, MATCH(Table1[[#This Row],[AwayTeam]],Records!$A$2:$A$33, 0), MATCH(Table1[[#This Row],[HomeTeam]],Records!$A$2:$A$33, 0))</f>
        <v>0-0-0</v>
      </c>
      <c r="AP737" s="64" t="str">
        <f>INDEX(Table2[HOME_RECORD], MATCH(Table1[[#This Row],[HomeTeam]],Table2[Team], 0), 0)</f>
        <v>0-0-0</v>
      </c>
      <c r="AQ737" s="64" t="str">
        <f>INDEX(Records!$B$2:$AG$33, MATCH(Table1[[#This Row],[HomeTeam]],Records!$A$2:$A$33, 0), MATCH(Table1[[#This Row],[AwayTeam]],Records!$A$2:$A$33, 0))</f>
        <v>0-0-0</v>
      </c>
    </row>
    <row r="738" spans="1:43" x14ac:dyDescent="0.25">
      <c r="A738" s="1"/>
      <c r="D738" t="s">
        <v>1026</v>
      </c>
      <c r="E738" t="s">
        <v>298</v>
      </c>
      <c r="F738" t="s">
        <v>1027</v>
      </c>
      <c r="G738" t="s">
        <v>51</v>
      </c>
      <c r="H738" t="s">
        <v>36</v>
      </c>
      <c r="L73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3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38" s="1"/>
      <c r="T738" s="64" t="str">
        <f>IF(Table1[[#This Row],[ActualWinner]]="", "", IF(Table1[[#This Row],[AwayTeam]]=Table1[[#This Row],[ActualWinner]],Table1[[#This Row],[HomeTeam]],Table1[[#This Row],[AwayTeam]]))</f>
        <v/>
      </c>
      <c r="U738" s="64">
        <f>Table1[[#This Row],[ActualAwayScore]]-Table1[[#This Row],[PredictedAwayScore]]</f>
        <v>0</v>
      </c>
      <c r="V738" s="64">
        <f>Table1[[#This Row],[ActualHomeScore]]-Table1[[#This Row],[PredictedHomeScore]]</f>
        <v>0</v>
      </c>
      <c r="W738" s="64">
        <f>(0.8*IF(Table1[[#This Row],[CorrectWinnerPrediction]]=1, 1, 0))+(0.1*IF(Table1[[#This Row],[CorrectAwayScorePrediction]]=1, 1, 0))+(0.1*IF(Table1[[#This Row],[CorrectHomeScorePrediction]]=1, 1, 0))</f>
        <v>0</v>
      </c>
      <c r="X73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38" s="64">
        <f>SUMIF(Table1[GameDate], Table1[[#This Row],[GameDate]], Table1[AwayGameGoalDiff])</f>
        <v>0</v>
      </c>
      <c r="AA738" s="64">
        <f>SUMIF(Table1[GameDate], Table1[[#This Row],[GameDate]], Table1[HomeGameGoalDiff])</f>
        <v>0</v>
      </c>
      <c r="AB738" s="64">
        <f>IF(ISBLANK(Table1[[#This Row],[ActualResult]]), 0, 1)</f>
        <v>0</v>
      </c>
      <c r="AC738" s="64">
        <f>IF(ISBLANK(Table1[[#This Row],[ActualResult]]), 0, IF(Table1[[#This Row],[ActualWinner]]=Table1[[#This Row],[PredictedWinner]], 1, 0))</f>
        <v>0</v>
      </c>
      <c r="AD73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3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38" s="64">
        <f>IF(AND(Table1[[#This Row],[GameIsOver]]=1,Table1[[#This Row],[ActualAwayScore]]=0), 1,0)</f>
        <v>0</v>
      </c>
      <c r="AG738" s="64">
        <f>IF(AND(Table1[[#This Row],[GameIsOver]]=1,Table1[[#This Row],[ActualHomeScore]]=0), 1,0)</f>
        <v>0</v>
      </c>
      <c r="AH738" s="64">
        <f>IF(Table1[[#This Row],[GameIsOver]]=0,0,IF(Table1[[#This Row],[ActualWinner]]=Table1[[#This Row],[AwayTeam]], 1, 0))</f>
        <v>0</v>
      </c>
      <c r="AI738" s="64">
        <f>IF(Table1[[#This Row],[GameIsOver]]=0,0,IF(Table1[[#This Row],[ActualWinner]]=Table1[[#This Row],[HomeTeam]], 1, 0))</f>
        <v>0</v>
      </c>
      <c r="AJ738" s="64">
        <f>IF(INDEX(Standings!$A$2:$C$33,MATCH(Table1[[#This Row],[AwayTeam]],Standings!$A$2:$A$33,0),2)=INDEX(Standings!$A$2:$C$33,MATCH(Table1[[#This Row],[HomeTeam]],Standings!$A$2:$A$33,0),2),1,0)</f>
        <v>0</v>
      </c>
      <c r="AK738" s="64">
        <f>IF(INDEX(Standings!$A$2:$C$33,MATCH(Table1[[#This Row],[AwayTeam]],Standings!$A$2:$A$33,0),3)=INDEX(Standings!$A$2:$C$33,MATCH(Table1[[#This Row],[HomeTeam]],Standings!$A$2:$A$33,0),3),1,0)</f>
        <v>0</v>
      </c>
      <c r="AL738" s="64">
        <f>IF(Table1[[#This Row],[InterConf]]=1,IF(Table1[[#This Row],[InterDiv]]=0, 1, 0), 0)</f>
        <v>0</v>
      </c>
      <c r="AM738" s="64">
        <f>IF(INDEX(Standings!$A$2:$C$33,MATCH(Table1[[#This Row],[AwayTeam]],Standings!$A$2:$A$33,0),2)&lt;&gt;INDEX(Standings!$A$2:$C$33,MATCH(Table1[[#This Row],[HomeTeam]],Standings!$A$2:$A$33,0),2),1,0)</f>
        <v>1</v>
      </c>
      <c r="AN738" s="64" t="str">
        <f>INDEX(Table2[AWAY_RECORD], MATCH(Table1[[#This Row],[AwayTeam]],Table2[Team], 0), 0)</f>
        <v>2-0-0</v>
      </c>
      <c r="AO738" s="64" t="str">
        <f>INDEX(Records!$B$2:$AG$33, MATCH(Table1[[#This Row],[AwayTeam]],Records!$A$2:$A$33, 0), MATCH(Table1[[#This Row],[HomeTeam]],Records!$A$2:$A$33, 0))</f>
        <v>0-0-0</v>
      </c>
      <c r="AP738" s="64" t="str">
        <f>INDEX(Table2[HOME_RECORD], MATCH(Table1[[#This Row],[HomeTeam]],Table2[Team], 0), 0)</f>
        <v>0-0-0</v>
      </c>
      <c r="AQ738" s="64" t="str">
        <f>INDEX(Records!$B$2:$AG$33, MATCH(Table1[[#This Row],[HomeTeam]],Records!$A$2:$A$33, 0), MATCH(Table1[[#This Row],[AwayTeam]],Records!$A$2:$A$33, 0))</f>
        <v>0-0-0</v>
      </c>
    </row>
    <row r="739" spans="1:43" x14ac:dyDescent="0.25">
      <c r="A739" s="1"/>
      <c r="D739" t="s">
        <v>1026</v>
      </c>
      <c r="E739" t="s">
        <v>162</v>
      </c>
      <c r="F739" t="s">
        <v>1028</v>
      </c>
      <c r="G739" t="s">
        <v>49</v>
      </c>
      <c r="H739" t="s">
        <v>47</v>
      </c>
      <c r="L73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3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39" s="1"/>
      <c r="T739" s="64" t="str">
        <f>IF(Table1[[#This Row],[ActualWinner]]="", "", IF(Table1[[#This Row],[AwayTeam]]=Table1[[#This Row],[ActualWinner]],Table1[[#This Row],[HomeTeam]],Table1[[#This Row],[AwayTeam]]))</f>
        <v/>
      </c>
      <c r="U739" s="64">
        <f>Table1[[#This Row],[ActualAwayScore]]-Table1[[#This Row],[PredictedAwayScore]]</f>
        <v>0</v>
      </c>
      <c r="V739" s="64">
        <f>Table1[[#This Row],[ActualHomeScore]]-Table1[[#This Row],[PredictedHomeScore]]</f>
        <v>0</v>
      </c>
      <c r="W739" s="64">
        <f>(0.8*IF(Table1[[#This Row],[CorrectWinnerPrediction]]=1, 1, 0))+(0.1*IF(Table1[[#This Row],[CorrectAwayScorePrediction]]=1, 1, 0))+(0.1*IF(Table1[[#This Row],[CorrectHomeScorePrediction]]=1, 1, 0))</f>
        <v>0</v>
      </c>
      <c r="X73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39" s="64">
        <f>SUMIF(Table1[GameDate], Table1[[#This Row],[GameDate]], Table1[AwayGameGoalDiff])</f>
        <v>0</v>
      </c>
      <c r="AA739" s="64">
        <f>SUMIF(Table1[GameDate], Table1[[#This Row],[GameDate]], Table1[HomeGameGoalDiff])</f>
        <v>0</v>
      </c>
      <c r="AB739" s="64">
        <f>IF(ISBLANK(Table1[[#This Row],[ActualResult]]), 0, 1)</f>
        <v>0</v>
      </c>
      <c r="AC739" s="64">
        <f>IF(ISBLANK(Table1[[#This Row],[ActualResult]]), 0, IF(Table1[[#This Row],[ActualWinner]]=Table1[[#This Row],[PredictedWinner]], 1, 0))</f>
        <v>0</v>
      </c>
      <c r="AD73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3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39" s="64">
        <f>IF(AND(Table1[[#This Row],[GameIsOver]]=1,Table1[[#This Row],[ActualAwayScore]]=0), 1,0)</f>
        <v>0</v>
      </c>
      <c r="AG739" s="64">
        <f>IF(AND(Table1[[#This Row],[GameIsOver]]=1,Table1[[#This Row],[ActualHomeScore]]=0), 1,0)</f>
        <v>0</v>
      </c>
      <c r="AH739" s="64">
        <f>IF(Table1[[#This Row],[GameIsOver]]=0,0,IF(Table1[[#This Row],[ActualWinner]]=Table1[[#This Row],[AwayTeam]], 1, 0))</f>
        <v>0</v>
      </c>
      <c r="AI739" s="64">
        <f>IF(Table1[[#This Row],[GameIsOver]]=0,0,IF(Table1[[#This Row],[ActualWinner]]=Table1[[#This Row],[HomeTeam]], 1, 0))</f>
        <v>0</v>
      </c>
      <c r="AJ739" s="64">
        <f>IF(INDEX(Standings!$A$2:$C$33,MATCH(Table1[[#This Row],[AwayTeam]],Standings!$A$2:$A$33,0),2)=INDEX(Standings!$A$2:$C$33,MATCH(Table1[[#This Row],[HomeTeam]],Standings!$A$2:$A$33,0),2),1,0)</f>
        <v>1</v>
      </c>
      <c r="AK739" s="64">
        <f>IF(INDEX(Standings!$A$2:$C$33,MATCH(Table1[[#This Row],[AwayTeam]],Standings!$A$2:$A$33,0),3)=INDEX(Standings!$A$2:$C$33,MATCH(Table1[[#This Row],[HomeTeam]],Standings!$A$2:$A$33,0),3),1,0)</f>
        <v>0</v>
      </c>
      <c r="AL739" s="64">
        <f>IF(Table1[[#This Row],[InterConf]]=1,IF(Table1[[#This Row],[InterDiv]]=0, 1, 0), 0)</f>
        <v>1</v>
      </c>
      <c r="AM739" s="64">
        <f>IF(INDEX(Standings!$A$2:$C$33,MATCH(Table1[[#This Row],[AwayTeam]],Standings!$A$2:$A$33,0),2)&lt;&gt;INDEX(Standings!$A$2:$C$33,MATCH(Table1[[#This Row],[HomeTeam]],Standings!$A$2:$A$33,0),2),1,0)</f>
        <v>0</v>
      </c>
      <c r="AN739" s="64" t="str">
        <f>INDEX(Table2[AWAY_RECORD], MATCH(Table1[[#This Row],[AwayTeam]],Table2[Team], 0), 0)</f>
        <v>0-0-0</v>
      </c>
      <c r="AO739" s="64" t="str">
        <f>INDEX(Records!$B$2:$AG$33, MATCH(Table1[[#This Row],[AwayTeam]],Records!$A$2:$A$33, 0), MATCH(Table1[[#This Row],[HomeTeam]],Records!$A$2:$A$33, 0))</f>
        <v>0-0-0</v>
      </c>
      <c r="AP739" s="64" t="str">
        <f>INDEX(Table2[HOME_RECORD], MATCH(Table1[[#This Row],[HomeTeam]],Table2[Team], 0), 0)</f>
        <v>0-0-0</v>
      </c>
      <c r="AQ739" s="64" t="str">
        <f>INDEX(Records!$B$2:$AG$33, MATCH(Table1[[#This Row],[HomeTeam]],Records!$A$2:$A$33, 0), MATCH(Table1[[#This Row],[AwayTeam]],Records!$A$2:$A$33, 0))</f>
        <v>0-0-0</v>
      </c>
    </row>
    <row r="740" spans="1:43" x14ac:dyDescent="0.25">
      <c r="A740" s="1"/>
      <c r="D740" t="s">
        <v>1026</v>
      </c>
      <c r="E740" t="s">
        <v>289</v>
      </c>
      <c r="F740" t="s">
        <v>1029</v>
      </c>
      <c r="G740" t="s">
        <v>54</v>
      </c>
      <c r="H740" t="s">
        <v>50</v>
      </c>
      <c r="L74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4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40" s="1"/>
      <c r="T740" s="64" t="str">
        <f>IF(Table1[[#This Row],[ActualWinner]]="", "", IF(Table1[[#This Row],[AwayTeam]]=Table1[[#This Row],[ActualWinner]],Table1[[#This Row],[HomeTeam]],Table1[[#This Row],[AwayTeam]]))</f>
        <v/>
      </c>
      <c r="U740" s="64">
        <f>Table1[[#This Row],[ActualAwayScore]]-Table1[[#This Row],[PredictedAwayScore]]</f>
        <v>0</v>
      </c>
      <c r="V740" s="64">
        <f>Table1[[#This Row],[ActualHomeScore]]-Table1[[#This Row],[PredictedHomeScore]]</f>
        <v>0</v>
      </c>
      <c r="W740" s="64">
        <f>(0.8*IF(Table1[[#This Row],[CorrectWinnerPrediction]]=1, 1, 0))+(0.1*IF(Table1[[#This Row],[CorrectAwayScorePrediction]]=1, 1, 0))+(0.1*IF(Table1[[#This Row],[CorrectHomeScorePrediction]]=1, 1, 0))</f>
        <v>0</v>
      </c>
      <c r="X74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40" s="64">
        <f>SUMIF(Table1[GameDate], Table1[[#This Row],[GameDate]], Table1[AwayGameGoalDiff])</f>
        <v>0</v>
      </c>
      <c r="AA740" s="64">
        <f>SUMIF(Table1[GameDate], Table1[[#This Row],[GameDate]], Table1[HomeGameGoalDiff])</f>
        <v>0</v>
      </c>
      <c r="AB740" s="64">
        <f>IF(ISBLANK(Table1[[#This Row],[ActualResult]]), 0, 1)</f>
        <v>0</v>
      </c>
      <c r="AC740" s="64">
        <f>IF(ISBLANK(Table1[[#This Row],[ActualResult]]), 0, IF(Table1[[#This Row],[ActualWinner]]=Table1[[#This Row],[PredictedWinner]], 1, 0))</f>
        <v>0</v>
      </c>
      <c r="AD74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4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40" s="64">
        <f>IF(AND(Table1[[#This Row],[GameIsOver]]=1,Table1[[#This Row],[ActualAwayScore]]=0), 1,0)</f>
        <v>0</v>
      </c>
      <c r="AG740" s="64">
        <f>IF(AND(Table1[[#This Row],[GameIsOver]]=1,Table1[[#This Row],[ActualHomeScore]]=0), 1,0)</f>
        <v>0</v>
      </c>
      <c r="AH740" s="64">
        <f>IF(Table1[[#This Row],[GameIsOver]]=0,0,IF(Table1[[#This Row],[ActualWinner]]=Table1[[#This Row],[AwayTeam]], 1, 0))</f>
        <v>0</v>
      </c>
      <c r="AI740" s="64">
        <f>IF(Table1[[#This Row],[GameIsOver]]=0,0,IF(Table1[[#This Row],[ActualWinner]]=Table1[[#This Row],[HomeTeam]], 1, 0))</f>
        <v>0</v>
      </c>
      <c r="AJ740" s="64">
        <f>IF(INDEX(Standings!$A$2:$C$33,MATCH(Table1[[#This Row],[AwayTeam]],Standings!$A$2:$A$33,0),2)=INDEX(Standings!$A$2:$C$33,MATCH(Table1[[#This Row],[HomeTeam]],Standings!$A$2:$A$33,0),2),1,0)</f>
        <v>1</v>
      </c>
      <c r="AK740" s="64">
        <f>IF(INDEX(Standings!$A$2:$C$33,MATCH(Table1[[#This Row],[AwayTeam]],Standings!$A$2:$A$33,0),3)=INDEX(Standings!$A$2:$C$33,MATCH(Table1[[#This Row],[HomeTeam]],Standings!$A$2:$A$33,0),3),1,0)</f>
        <v>1</v>
      </c>
      <c r="AL740" s="64">
        <f>IF(Table1[[#This Row],[InterConf]]=1,IF(Table1[[#This Row],[InterDiv]]=0, 1, 0), 0)</f>
        <v>0</v>
      </c>
      <c r="AM740" s="64">
        <f>IF(INDEX(Standings!$A$2:$C$33,MATCH(Table1[[#This Row],[AwayTeam]],Standings!$A$2:$A$33,0),2)&lt;&gt;INDEX(Standings!$A$2:$C$33,MATCH(Table1[[#This Row],[HomeTeam]],Standings!$A$2:$A$33,0),2),1,0)</f>
        <v>0</v>
      </c>
      <c r="AN740" s="64" t="str">
        <f>INDEX(Table2[AWAY_RECORD], MATCH(Table1[[#This Row],[AwayTeam]],Table2[Team], 0), 0)</f>
        <v>0-0-1</v>
      </c>
      <c r="AO740" s="64" t="str">
        <f>INDEX(Records!$B$2:$AG$33, MATCH(Table1[[#This Row],[AwayTeam]],Records!$A$2:$A$33, 0), MATCH(Table1[[#This Row],[HomeTeam]],Records!$A$2:$A$33, 0))</f>
        <v>0-0-0</v>
      </c>
      <c r="AP740" s="64" t="str">
        <f>INDEX(Table2[HOME_RECORD], MATCH(Table1[[#This Row],[HomeTeam]],Table2[Team], 0), 0)</f>
        <v>0-0-0</v>
      </c>
      <c r="AQ740" s="64" t="str">
        <f>INDEX(Records!$B$2:$AG$33, MATCH(Table1[[#This Row],[HomeTeam]],Records!$A$2:$A$33, 0), MATCH(Table1[[#This Row],[AwayTeam]],Records!$A$2:$A$33, 0))</f>
        <v>0-0-0</v>
      </c>
    </row>
    <row r="741" spans="1:43" x14ac:dyDescent="0.25">
      <c r="A741" s="1"/>
      <c r="D741" t="s">
        <v>1026</v>
      </c>
      <c r="E741" t="s">
        <v>164</v>
      </c>
      <c r="F741" t="s">
        <v>1030</v>
      </c>
      <c r="G741" t="s">
        <v>44</v>
      </c>
      <c r="H741" t="s">
        <v>58</v>
      </c>
      <c r="L74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4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41" s="1"/>
      <c r="T741" s="64" t="str">
        <f>IF(Table1[[#This Row],[ActualWinner]]="", "", IF(Table1[[#This Row],[AwayTeam]]=Table1[[#This Row],[ActualWinner]],Table1[[#This Row],[HomeTeam]],Table1[[#This Row],[AwayTeam]]))</f>
        <v/>
      </c>
      <c r="U741" s="64">
        <f>Table1[[#This Row],[ActualAwayScore]]-Table1[[#This Row],[PredictedAwayScore]]</f>
        <v>0</v>
      </c>
      <c r="V741" s="64">
        <f>Table1[[#This Row],[ActualHomeScore]]-Table1[[#This Row],[PredictedHomeScore]]</f>
        <v>0</v>
      </c>
      <c r="W741" s="64">
        <f>(0.8*IF(Table1[[#This Row],[CorrectWinnerPrediction]]=1, 1, 0))+(0.1*IF(Table1[[#This Row],[CorrectAwayScorePrediction]]=1, 1, 0))+(0.1*IF(Table1[[#This Row],[CorrectHomeScorePrediction]]=1, 1, 0))</f>
        <v>0</v>
      </c>
      <c r="X74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41" s="64">
        <f>SUMIF(Table1[GameDate], Table1[[#This Row],[GameDate]], Table1[AwayGameGoalDiff])</f>
        <v>0</v>
      </c>
      <c r="AA741" s="64">
        <f>SUMIF(Table1[GameDate], Table1[[#This Row],[GameDate]], Table1[HomeGameGoalDiff])</f>
        <v>0</v>
      </c>
      <c r="AB741" s="64">
        <f>IF(ISBLANK(Table1[[#This Row],[ActualResult]]), 0, 1)</f>
        <v>0</v>
      </c>
      <c r="AC741" s="64">
        <f>IF(ISBLANK(Table1[[#This Row],[ActualResult]]), 0, IF(Table1[[#This Row],[ActualWinner]]=Table1[[#This Row],[PredictedWinner]], 1, 0))</f>
        <v>0</v>
      </c>
      <c r="AD74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4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41" s="64">
        <f>IF(AND(Table1[[#This Row],[GameIsOver]]=1,Table1[[#This Row],[ActualAwayScore]]=0), 1,0)</f>
        <v>0</v>
      </c>
      <c r="AG741" s="64">
        <f>IF(AND(Table1[[#This Row],[GameIsOver]]=1,Table1[[#This Row],[ActualHomeScore]]=0), 1,0)</f>
        <v>0</v>
      </c>
      <c r="AH741" s="64">
        <f>IF(Table1[[#This Row],[GameIsOver]]=0,0,IF(Table1[[#This Row],[ActualWinner]]=Table1[[#This Row],[AwayTeam]], 1, 0))</f>
        <v>0</v>
      </c>
      <c r="AI741" s="64">
        <f>IF(Table1[[#This Row],[GameIsOver]]=0,0,IF(Table1[[#This Row],[ActualWinner]]=Table1[[#This Row],[HomeTeam]], 1, 0))</f>
        <v>0</v>
      </c>
      <c r="AJ741" s="64">
        <f>IF(INDEX(Standings!$A$2:$C$33,MATCH(Table1[[#This Row],[AwayTeam]],Standings!$A$2:$A$33,0),2)=INDEX(Standings!$A$2:$C$33,MATCH(Table1[[#This Row],[HomeTeam]],Standings!$A$2:$A$33,0),2),1,0)</f>
        <v>0</v>
      </c>
      <c r="AK741" s="64">
        <f>IF(INDEX(Standings!$A$2:$C$33,MATCH(Table1[[#This Row],[AwayTeam]],Standings!$A$2:$A$33,0),3)=INDEX(Standings!$A$2:$C$33,MATCH(Table1[[#This Row],[HomeTeam]],Standings!$A$2:$A$33,0),3),1,0)</f>
        <v>0</v>
      </c>
      <c r="AL741" s="64">
        <f>IF(Table1[[#This Row],[InterConf]]=1,IF(Table1[[#This Row],[InterDiv]]=0, 1, 0), 0)</f>
        <v>0</v>
      </c>
      <c r="AM741" s="64">
        <f>IF(INDEX(Standings!$A$2:$C$33,MATCH(Table1[[#This Row],[AwayTeam]],Standings!$A$2:$A$33,0),2)&lt;&gt;INDEX(Standings!$A$2:$C$33,MATCH(Table1[[#This Row],[HomeTeam]],Standings!$A$2:$A$33,0),2),1,0)</f>
        <v>1</v>
      </c>
      <c r="AN741" s="64" t="str">
        <f>INDEX(Table2[AWAY_RECORD], MATCH(Table1[[#This Row],[AwayTeam]],Table2[Team], 0), 0)</f>
        <v>0-0-0</v>
      </c>
      <c r="AO741" s="64" t="str">
        <f>INDEX(Records!$B$2:$AG$33, MATCH(Table1[[#This Row],[AwayTeam]],Records!$A$2:$A$33, 0), MATCH(Table1[[#This Row],[HomeTeam]],Records!$A$2:$A$33, 0))</f>
        <v>0-0-0</v>
      </c>
      <c r="AP741" s="64" t="str">
        <f>INDEX(Table2[HOME_RECORD], MATCH(Table1[[#This Row],[HomeTeam]],Table2[Team], 0), 0)</f>
        <v>1-0-0</v>
      </c>
      <c r="AQ741" s="64" t="str">
        <f>INDEX(Records!$B$2:$AG$33, MATCH(Table1[[#This Row],[HomeTeam]],Records!$A$2:$A$33, 0), MATCH(Table1[[#This Row],[AwayTeam]],Records!$A$2:$A$33, 0))</f>
        <v>0-0-0</v>
      </c>
    </row>
    <row r="742" spans="1:43" x14ac:dyDescent="0.25">
      <c r="A742" s="1"/>
      <c r="D742" t="s">
        <v>1026</v>
      </c>
      <c r="E742" t="s">
        <v>164</v>
      </c>
      <c r="F742" t="s">
        <v>1031</v>
      </c>
      <c r="G742" t="s">
        <v>55</v>
      </c>
      <c r="H742" t="s">
        <v>45</v>
      </c>
      <c r="L74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4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42" s="1"/>
      <c r="T742" s="64" t="str">
        <f>IF(Table1[[#This Row],[ActualWinner]]="", "", IF(Table1[[#This Row],[AwayTeam]]=Table1[[#This Row],[ActualWinner]],Table1[[#This Row],[HomeTeam]],Table1[[#This Row],[AwayTeam]]))</f>
        <v/>
      </c>
      <c r="U742" s="64">
        <f>Table1[[#This Row],[ActualAwayScore]]-Table1[[#This Row],[PredictedAwayScore]]</f>
        <v>0</v>
      </c>
      <c r="V742" s="64">
        <f>Table1[[#This Row],[ActualHomeScore]]-Table1[[#This Row],[PredictedHomeScore]]</f>
        <v>0</v>
      </c>
      <c r="W742" s="64">
        <f>(0.8*IF(Table1[[#This Row],[CorrectWinnerPrediction]]=1, 1, 0))+(0.1*IF(Table1[[#This Row],[CorrectAwayScorePrediction]]=1, 1, 0))+(0.1*IF(Table1[[#This Row],[CorrectHomeScorePrediction]]=1, 1, 0))</f>
        <v>0</v>
      </c>
      <c r="X74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42" s="64">
        <f>SUMIF(Table1[GameDate], Table1[[#This Row],[GameDate]], Table1[AwayGameGoalDiff])</f>
        <v>0</v>
      </c>
      <c r="AA742" s="64">
        <f>SUMIF(Table1[GameDate], Table1[[#This Row],[GameDate]], Table1[HomeGameGoalDiff])</f>
        <v>0</v>
      </c>
      <c r="AB742" s="64">
        <f>IF(ISBLANK(Table1[[#This Row],[ActualResult]]), 0, 1)</f>
        <v>0</v>
      </c>
      <c r="AC742" s="64">
        <f>IF(ISBLANK(Table1[[#This Row],[ActualResult]]), 0, IF(Table1[[#This Row],[ActualWinner]]=Table1[[#This Row],[PredictedWinner]], 1, 0))</f>
        <v>0</v>
      </c>
      <c r="AD74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4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42" s="64">
        <f>IF(AND(Table1[[#This Row],[GameIsOver]]=1,Table1[[#This Row],[ActualAwayScore]]=0), 1,0)</f>
        <v>0</v>
      </c>
      <c r="AG742" s="64">
        <f>IF(AND(Table1[[#This Row],[GameIsOver]]=1,Table1[[#This Row],[ActualHomeScore]]=0), 1,0)</f>
        <v>0</v>
      </c>
      <c r="AH742" s="64">
        <f>IF(Table1[[#This Row],[GameIsOver]]=0,0,IF(Table1[[#This Row],[ActualWinner]]=Table1[[#This Row],[AwayTeam]], 1, 0))</f>
        <v>0</v>
      </c>
      <c r="AI742" s="64">
        <f>IF(Table1[[#This Row],[GameIsOver]]=0,0,IF(Table1[[#This Row],[ActualWinner]]=Table1[[#This Row],[HomeTeam]], 1, 0))</f>
        <v>0</v>
      </c>
      <c r="AJ742" s="64">
        <f>IF(INDEX(Standings!$A$2:$C$33,MATCH(Table1[[#This Row],[AwayTeam]],Standings!$A$2:$A$33,0),2)=INDEX(Standings!$A$2:$C$33,MATCH(Table1[[#This Row],[HomeTeam]],Standings!$A$2:$A$33,0),2),1,0)</f>
        <v>1</v>
      </c>
      <c r="AK742" s="64">
        <f>IF(INDEX(Standings!$A$2:$C$33,MATCH(Table1[[#This Row],[AwayTeam]],Standings!$A$2:$A$33,0),3)=INDEX(Standings!$A$2:$C$33,MATCH(Table1[[#This Row],[HomeTeam]],Standings!$A$2:$A$33,0),3),1,0)</f>
        <v>1</v>
      </c>
      <c r="AL742" s="64">
        <f>IF(Table1[[#This Row],[InterConf]]=1,IF(Table1[[#This Row],[InterDiv]]=0, 1, 0), 0)</f>
        <v>0</v>
      </c>
      <c r="AM742" s="64">
        <f>IF(INDEX(Standings!$A$2:$C$33,MATCH(Table1[[#This Row],[AwayTeam]],Standings!$A$2:$A$33,0),2)&lt;&gt;INDEX(Standings!$A$2:$C$33,MATCH(Table1[[#This Row],[HomeTeam]],Standings!$A$2:$A$33,0),2),1,0)</f>
        <v>0</v>
      </c>
      <c r="AN742" s="64" t="str">
        <f>INDEX(Table2[AWAY_RECORD], MATCH(Table1[[#This Row],[AwayTeam]],Table2[Team], 0), 0)</f>
        <v>0-0-0</v>
      </c>
      <c r="AO742" s="64" t="str">
        <f>INDEX(Records!$B$2:$AG$33, MATCH(Table1[[#This Row],[AwayTeam]],Records!$A$2:$A$33, 0), MATCH(Table1[[#This Row],[HomeTeam]],Records!$A$2:$A$33, 0))</f>
        <v>0-0-0</v>
      </c>
      <c r="AP742" s="64" t="str">
        <f>INDEX(Table2[HOME_RECORD], MATCH(Table1[[#This Row],[HomeTeam]],Table2[Team], 0), 0)</f>
        <v>1-0-0</v>
      </c>
      <c r="AQ742" s="64" t="str">
        <f>INDEX(Records!$B$2:$AG$33, MATCH(Table1[[#This Row],[HomeTeam]],Records!$A$2:$A$33, 0), MATCH(Table1[[#This Row],[AwayTeam]],Records!$A$2:$A$33, 0))</f>
        <v>0-0-0</v>
      </c>
    </row>
    <row r="743" spans="1:43" x14ac:dyDescent="0.25">
      <c r="A743" s="1"/>
      <c r="D743" t="s">
        <v>1032</v>
      </c>
      <c r="E743" t="s">
        <v>298</v>
      </c>
      <c r="F743" t="s">
        <v>1033</v>
      </c>
      <c r="G743" t="s">
        <v>61</v>
      </c>
      <c r="H743" t="s">
        <v>46</v>
      </c>
      <c r="L74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4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43" s="1"/>
      <c r="T743" s="64" t="str">
        <f>IF(Table1[[#This Row],[ActualWinner]]="", "", IF(Table1[[#This Row],[AwayTeam]]=Table1[[#This Row],[ActualWinner]],Table1[[#This Row],[HomeTeam]],Table1[[#This Row],[AwayTeam]]))</f>
        <v/>
      </c>
      <c r="U743" s="64">
        <f>Table1[[#This Row],[ActualAwayScore]]-Table1[[#This Row],[PredictedAwayScore]]</f>
        <v>0</v>
      </c>
      <c r="V743" s="64">
        <f>Table1[[#This Row],[ActualHomeScore]]-Table1[[#This Row],[PredictedHomeScore]]</f>
        <v>0</v>
      </c>
      <c r="W743" s="64">
        <f>(0.8*IF(Table1[[#This Row],[CorrectWinnerPrediction]]=1, 1, 0))+(0.1*IF(Table1[[#This Row],[CorrectAwayScorePrediction]]=1, 1, 0))+(0.1*IF(Table1[[#This Row],[CorrectHomeScorePrediction]]=1, 1, 0))</f>
        <v>0</v>
      </c>
      <c r="X74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43" s="64">
        <f>SUMIF(Table1[GameDate], Table1[[#This Row],[GameDate]], Table1[AwayGameGoalDiff])</f>
        <v>0</v>
      </c>
      <c r="AA743" s="64">
        <f>SUMIF(Table1[GameDate], Table1[[#This Row],[GameDate]], Table1[HomeGameGoalDiff])</f>
        <v>0</v>
      </c>
      <c r="AB743" s="64">
        <f>IF(ISBLANK(Table1[[#This Row],[ActualResult]]), 0, 1)</f>
        <v>0</v>
      </c>
      <c r="AC743" s="64">
        <f>IF(ISBLANK(Table1[[#This Row],[ActualResult]]), 0, IF(Table1[[#This Row],[ActualWinner]]=Table1[[#This Row],[PredictedWinner]], 1, 0))</f>
        <v>0</v>
      </c>
      <c r="AD74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4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43" s="64">
        <f>IF(AND(Table1[[#This Row],[GameIsOver]]=1,Table1[[#This Row],[ActualAwayScore]]=0), 1,0)</f>
        <v>0</v>
      </c>
      <c r="AG743" s="64">
        <f>IF(AND(Table1[[#This Row],[GameIsOver]]=1,Table1[[#This Row],[ActualHomeScore]]=0), 1,0)</f>
        <v>0</v>
      </c>
      <c r="AH743" s="64">
        <f>IF(Table1[[#This Row],[GameIsOver]]=0,0,IF(Table1[[#This Row],[ActualWinner]]=Table1[[#This Row],[AwayTeam]], 1, 0))</f>
        <v>0</v>
      </c>
      <c r="AI743" s="64">
        <f>IF(Table1[[#This Row],[GameIsOver]]=0,0,IF(Table1[[#This Row],[ActualWinner]]=Table1[[#This Row],[HomeTeam]], 1, 0))</f>
        <v>0</v>
      </c>
      <c r="AJ743" s="64">
        <f>IF(INDEX(Standings!$A$2:$C$33,MATCH(Table1[[#This Row],[AwayTeam]],Standings!$A$2:$A$33,0),2)=INDEX(Standings!$A$2:$C$33,MATCH(Table1[[#This Row],[HomeTeam]],Standings!$A$2:$A$33,0),2),1,0)</f>
        <v>1</v>
      </c>
      <c r="AK743" s="64">
        <f>IF(INDEX(Standings!$A$2:$C$33,MATCH(Table1[[#This Row],[AwayTeam]],Standings!$A$2:$A$33,0),3)=INDEX(Standings!$A$2:$C$33,MATCH(Table1[[#This Row],[HomeTeam]],Standings!$A$2:$A$33,0),3),1,0)</f>
        <v>0</v>
      </c>
      <c r="AL743" s="64">
        <f>IF(Table1[[#This Row],[InterConf]]=1,IF(Table1[[#This Row],[InterDiv]]=0, 1, 0), 0)</f>
        <v>1</v>
      </c>
      <c r="AM743" s="64">
        <f>IF(INDEX(Standings!$A$2:$C$33,MATCH(Table1[[#This Row],[AwayTeam]],Standings!$A$2:$A$33,0),2)&lt;&gt;INDEX(Standings!$A$2:$C$33,MATCH(Table1[[#This Row],[HomeTeam]],Standings!$A$2:$A$33,0),2),1,0)</f>
        <v>0</v>
      </c>
      <c r="AN743" s="64" t="str">
        <f>INDEX(Table2[AWAY_RECORD], MATCH(Table1[[#This Row],[AwayTeam]],Table2[Team], 0), 0)</f>
        <v>0-0-0</v>
      </c>
      <c r="AO743" s="64" t="str">
        <f>INDEX(Records!$B$2:$AG$33, MATCH(Table1[[#This Row],[AwayTeam]],Records!$A$2:$A$33, 0), MATCH(Table1[[#This Row],[HomeTeam]],Records!$A$2:$A$33, 0))</f>
        <v>0-0-0</v>
      </c>
      <c r="AP743" s="64" t="str">
        <f>INDEX(Table2[HOME_RECORD], MATCH(Table1[[#This Row],[HomeTeam]],Table2[Team], 0), 0)</f>
        <v>0-0-0</v>
      </c>
      <c r="AQ743" s="64" t="str">
        <f>INDEX(Records!$B$2:$AG$33, MATCH(Table1[[#This Row],[HomeTeam]],Records!$A$2:$A$33, 0), MATCH(Table1[[#This Row],[AwayTeam]],Records!$A$2:$A$33, 0))</f>
        <v>0-0-0</v>
      </c>
    </row>
    <row r="744" spans="1:43" x14ac:dyDescent="0.25">
      <c r="A744" s="1"/>
      <c r="D744" t="s">
        <v>1032</v>
      </c>
      <c r="E744" t="s">
        <v>162</v>
      </c>
      <c r="F744" t="s">
        <v>1034</v>
      </c>
      <c r="G744" t="s">
        <v>43</v>
      </c>
      <c r="H744" t="s">
        <v>37</v>
      </c>
      <c r="L74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4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44" s="1"/>
      <c r="T744" s="64" t="str">
        <f>IF(Table1[[#This Row],[ActualWinner]]="", "", IF(Table1[[#This Row],[AwayTeam]]=Table1[[#This Row],[ActualWinner]],Table1[[#This Row],[HomeTeam]],Table1[[#This Row],[AwayTeam]]))</f>
        <v/>
      </c>
      <c r="U744" s="64">
        <f>Table1[[#This Row],[ActualAwayScore]]-Table1[[#This Row],[PredictedAwayScore]]</f>
        <v>0</v>
      </c>
      <c r="V744" s="64">
        <f>Table1[[#This Row],[ActualHomeScore]]-Table1[[#This Row],[PredictedHomeScore]]</f>
        <v>0</v>
      </c>
      <c r="W744" s="64">
        <f>(0.8*IF(Table1[[#This Row],[CorrectWinnerPrediction]]=1, 1, 0))+(0.1*IF(Table1[[#This Row],[CorrectAwayScorePrediction]]=1, 1, 0))+(0.1*IF(Table1[[#This Row],[CorrectHomeScorePrediction]]=1, 1, 0))</f>
        <v>0</v>
      </c>
      <c r="X74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44" s="64">
        <f>SUMIF(Table1[GameDate], Table1[[#This Row],[GameDate]], Table1[AwayGameGoalDiff])</f>
        <v>0</v>
      </c>
      <c r="AA744" s="64">
        <f>SUMIF(Table1[GameDate], Table1[[#This Row],[GameDate]], Table1[HomeGameGoalDiff])</f>
        <v>0</v>
      </c>
      <c r="AB744" s="64">
        <f>IF(ISBLANK(Table1[[#This Row],[ActualResult]]), 0, 1)</f>
        <v>0</v>
      </c>
      <c r="AC744" s="64">
        <f>IF(ISBLANK(Table1[[#This Row],[ActualResult]]), 0, IF(Table1[[#This Row],[ActualWinner]]=Table1[[#This Row],[PredictedWinner]], 1, 0))</f>
        <v>0</v>
      </c>
      <c r="AD74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4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44" s="64">
        <f>IF(AND(Table1[[#This Row],[GameIsOver]]=1,Table1[[#This Row],[ActualAwayScore]]=0), 1,0)</f>
        <v>0</v>
      </c>
      <c r="AG744" s="64">
        <f>IF(AND(Table1[[#This Row],[GameIsOver]]=1,Table1[[#This Row],[ActualHomeScore]]=0), 1,0)</f>
        <v>0</v>
      </c>
      <c r="AH744" s="64">
        <f>IF(Table1[[#This Row],[GameIsOver]]=0,0,IF(Table1[[#This Row],[ActualWinner]]=Table1[[#This Row],[AwayTeam]], 1, 0))</f>
        <v>0</v>
      </c>
      <c r="AI744" s="64">
        <f>IF(Table1[[#This Row],[GameIsOver]]=0,0,IF(Table1[[#This Row],[ActualWinner]]=Table1[[#This Row],[HomeTeam]], 1, 0))</f>
        <v>0</v>
      </c>
      <c r="AJ744" s="64">
        <f>IF(INDEX(Standings!$A$2:$C$33,MATCH(Table1[[#This Row],[AwayTeam]],Standings!$A$2:$A$33,0),2)=INDEX(Standings!$A$2:$C$33,MATCH(Table1[[#This Row],[HomeTeam]],Standings!$A$2:$A$33,0),2),1,0)</f>
        <v>0</v>
      </c>
      <c r="AK744" s="64">
        <f>IF(INDEX(Standings!$A$2:$C$33,MATCH(Table1[[#This Row],[AwayTeam]],Standings!$A$2:$A$33,0),3)=INDEX(Standings!$A$2:$C$33,MATCH(Table1[[#This Row],[HomeTeam]],Standings!$A$2:$A$33,0),3),1,0)</f>
        <v>0</v>
      </c>
      <c r="AL744" s="64">
        <f>IF(Table1[[#This Row],[InterConf]]=1,IF(Table1[[#This Row],[InterDiv]]=0, 1, 0), 0)</f>
        <v>0</v>
      </c>
      <c r="AM744" s="64">
        <f>IF(INDEX(Standings!$A$2:$C$33,MATCH(Table1[[#This Row],[AwayTeam]],Standings!$A$2:$A$33,0),2)&lt;&gt;INDEX(Standings!$A$2:$C$33,MATCH(Table1[[#This Row],[HomeTeam]],Standings!$A$2:$A$33,0),2),1,0)</f>
        <v>1</v>
      </c>
      <c r="AN744" s="64" t="str">
        <f>INDEX(Table2[AWAY_RECORD], MATCH(Table1[[#This Row],[AwayTeam]],Table2[Team], 0), 0)</f>
        <v>0-0-0</v>
      </c>
      <c r="AO744" s="64" t="str">
        <f>INDEX(Records!$B$2:$AG$33, MATCH(Table1[[#This Row],[AwayTeam]],Records!$A$2:$A$33, 0), MATCH(Table1[[#This Row],[HomeTeam]],Records!$A$2:$A$33, 0))</f>
        <v>0-0-0</v>
      </c>
      <c r="AP744" s="64" t="str">
        <f>INDEX(Table2[HOME_RECORD], MATCH(Table1[[#This Row],[HomeTeam]],Table2[Team], 0), 0)</f>
        <v>0-1-0</v>
      </c>
      <c r="AQ744" s="64" t="str">
        <f>INDEX(Records!$B$2:$AG$33, MATCH(Table1[[#This Row],[HomeTeam]],Records!$A$2:$A$33, 0), MATCH(Table1[[#This Row],[AwayTeam]],Records!$A$2:$A$33, 0))</f>
        <v>0-0-0</v>
      </c>
    </row>
    <row r="745" spans="1:43" x14ac:dyDescent="0.25">
      <c r="A745" s="1"/>
      <c r="D745" t="s">
        <v>1032</v>
      </c>
      <c r="E745" t="s">
        <v>162</v>
      </c>
      <c r="F745" t="s">
        <v>1035</v>
      </c>
      <c r="G745" t="s">
        <v>41</v>
      </c>
      <c r="H745" t="s">
        <v>38</v>
      </c>
      <c r="L74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4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45" s="1"/>
      <c r="T745" s="64" t="str">
        <f>IF(Table1[[#This Row],[ActualWinner]]="", "", IF(Table1[[#This Row],[AwayTeam]]=Table1[[#This Row],[ActualWinner]],Table1[[#This Row],[HomeTeam]],Table1[[#This Row],[AwayTeam]]))</f>
        <v/>
      </c>
      <c r="U745" s="64">
        <f>Table1[[#This Row],[ActualAwayScore]]-Table1[[#This Row],[PredictedAwayScore]]</f>
        <v>0</v>
      </c>
      <c r="V745" s="64">
        <f>Table1[[#This Row],[ActualHomeScore]]-Table1[[#This Row],[PredictedHomeScore]]</f>
        <v>0</v>
      </c>
      <c r="W745" s="64">
        <f>(0.8*IF(Table1[[#This Row],[CorrectWinnerPrediction]]=1, 1, 0))+(0.1*IF(Table1[[#This Row],[CorrectAwayScorePrediction]]=1, 1, 0))+(0.1*IF(Table1[[#This Row],[CorrectHomeScorePrediction]]=1, 1, 0))</f>
        <v>0</v>
      </c>
      <c r="X74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45" s="64">
        <f>SUMIF(Table1[GameDate], Table1[[#This Row],[GameDate]], Table1[AwayGameGoalDiff])</f>
        <v>0</v>
      </c>
      <c r="AA745" s="64">
        <f>SUMIF(Table1[GameDate], Table1[[#This Row],[GameDate]], Table1[HomeGameGoalDiff])</f>
        <v>0</v>
      </c>
      <c r="AB745" s="64">
        <f>IF(ISBLANK(Table1[[#This Row],[ActualResult]]), 0, 1)</f>
        <v>0</v>
      </c>
      <c r="AC745" s="64">
        <f>IF(ISBLANK(Table1[[#This Row],[ActualResult]]), 0, IF(Table1[[#This Row],[ActualWinner]]=Table1[[#This Row],[PredictedWinner]], 1, 0))</f>
        <v>0</v>
      </c>
      <c r="AD74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4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45" s="64">
        <f>IF(AND(Table1[[#This Row],[GameIsOver]]=1,Table1[[#This Row],[ActualAwayScore]]=0), 1,0)</f>
        <v>0</v>
      </c>
      <c r="AG745" s="64">
        <f>IF(AND(Table1[[#This Row],[GameIsOver]]=1,Table1[[#This Row],[ActualHomeScore]]=0), 1,0)</f>
        <v>0</v>
      </c>
      <c r="AH745" s="64">
        <f>IF(Table1[[#This Row],[GameIsOver]]=0,0,IF(Table1[[#This Row],[ActualWinner]]=Table1[[#This Row],[AwayTeam]], 1, 0))</f>
        <v>0</v>
      </c>
      <c r="AI745" s="64">
        <f>IF(Table1[[#This Row],[GameIsOver]]=0,0,IF(Table1[[#This Row],[ActualWinner]]=Table1[[#This Row],[HomeTeam]], 1, 0))</f>
        <v>0</v>
      </c>
      <c r="AJ745" s="64">
        <f>IF(INDEX(Standings!$A$2:$C$33,MATCH(Table1[[#This Row],[AwayTeam]],Standings!$A$2:$A$33,0),2)=INDEX(Standings!$A$2:$C$33,MATCH(Table1[[#This Row],[HomeTeam]],Standings!$A$2:$A$33,0),2),1,0)</f>
        <v>0</v>
      </c>
      <c r="AK745" s="64">
        <f>IF(INDEX(Standings!$A$2:$C$33,MATCH(Table1[[#This Row],[AwayTeam]],Standings!$A$2:$A$33,0),3)=INDEX(Standings!$A$2:$C$33,MATCH(Table1[[#This Row],[HomeTeam]],Standings!$A$2:$A$33,0),3),1,0)</f>
        <v>0</v>
      </c>
      <c r="AL745" s="64">
        <f>IF(Table1[[#This Row],[InterConf]]=1,IF(Table1[[#This Row],[InterDiv]]=0, 1, 0), 0)</f>
        <v>0</v>
      </c>
      <c r="AM745" s="64">
        <f>IF(INDEX(Standings!$A$2:$C$33,MATCH(Table1[[#This Row],[AwayTeam]],Standings!$A$2:$A$33,0),2)&lt;&gt;INDEX(Standings!$A$2:$C$33,MATCH(Table1[[#This Row],[HomeTeam]],Standings!$A$2:$A$33,0),2),1,0)</f>
        <v>1</v>
      </c>
      <c r="AN745" s="64" t="str">
        <f>INDEX(Table2[AWAY_RECORD], MATCH(Table1[[#This Row],[AwayTeam]],Table2[Team], 0), 0)</f>
        <v>0-0-0</v>
      </c>
      <c r="AO745" s="64" t="str">
        <f>INDEX(Records!$B$2:$AG$33, MATCH(Table1[[#This Row],[AwayTeam]],Records!$A$2:$A$33, 0), MATCH(Table1[[#This Row],[HomeTeam]],Records!$A$2:$A$33, 0))</f>
        <v>0-0-0</v>
      </c>
      <c r="AP745" s="64" t="str">
        <f>INDEX(Table2[HOME_RECORD], MATCH(Table1[[#This Row],[HomeTeam]],Table2[Team], 0), 0)</f>
        <v>0-0-0</v>
      </c>
      <c r="AQ745" s="64" t="str">
        <f>INDEX(Records!$B$2:$AG$33, MATCH(Table1[[#This Row],[HomeTeam]],Records!$A$2:$A$33, 0), MATCH(Table1[[#This Row],[AwayTeam]],Records!$A$2:$A$33, 0))</f>
        <v>0-0-0</v>
      </c>
    </row>
    <row r="746" spans="1:43" x14ac:dyDescent="0.25">
      <c r="A746" s="1"/>
      <c r="D746" t="s">
        <v>1032</v>
      </c>
      <c r="E746" t="s">
        <v>162</v>
      </c>
      <c r="F746" t="s">
        <v>1036</v>
      </c>
      <c r="G746" t="s">
        <v>16</v>
      </c>
      <c r="H746" t="s">
        <v>24</v>
      </c>
      <c r="L74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4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46" s="1"/>
      <c r="T746" s="64" t="str">
        <f>IF(Table1[[#This Row],[ActualWinner]]="", "", IF(Table1[[#This Row],[AwayTeam]]=Table1[[#This Row],[ActualWinner]],Table1[[#This Row],[HomeTeam]],Table1[[#This Row],[AwayTeam]]))</f>
        <v/>
      </c>
      <c r="U746" s="64">
        <f>Table1[[#This Row],[ActualAwayScore]]-Table1[[#This Row],[PredictedAwayScore]]</f>
        <v>0</v>
      </c>
      <c r="V746" s="64">
        <f>Table1[[#This Row],[ActualHomeScore]]-Table1[[#This Row],[PredictedHomeScore]]</f>
        <v>0</v>
      </c>
      <c r="W746" s="64">
        <f>(0.8*IF(Table1[[#This Row],[CorrectWinnerPrediction]]=1, 1, 0))+(0.1*IF(Table1[[#This Row],[CorrectAwayScorePrediction]]=1, 1, 0))+(0.1*IF(Table1[[#This Row],[CorrectHomeScorePrediction]]=1, 1, 0))</f>
        <v>0</v>
      </c>
      <c r="X74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46" s="64">
        <f>SUMIF(Table1[GameDate], Table1[[#This Row],[GameDate]], Table1[AwayGameGoalDiff])</f>
        <v>0</v>
      </c>
      <c r="AA746" s="64">
        <f>SUMIF(Table1[GameDate], Table1[[#This Row],[GameDate]], Table1[HomeGameGoalDiff])</f>
        <v>0</v>
      </c>
      <c r="AB746" s="64">
        <f>IF(ISBLANK(Table1[[#This Row],[ActualResult]]), 0, 1)</f>
        <v>0</v>
      </c>
      <c r="AC746" s="64">
        <f>IF(ISBLANK(Table1[[#This Row],[ActualResult]]), 0, IF(Table1[[#This Row],[ActualWinner]]=Table1[[#This Row],[PredictedWinner]], 1, 0))</f>
        <v>0</v>
      </c>
      <c r="AD74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4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46" s="64">
        <f>IF(AND(Table1[[#This Row],[GameIsOver]]=1,Table1[[#This Row],[ActualAwayScore]]=0), 1,0)</f>
        <v>0</v>
      </c>
      <c r="AG746" s="64">
        <f>IF(AND(Table1[[#This Row],[GameIsOver]]=1,Table1[[#This Row],[ActualHomeScore]]=0), 1,0)</f>
        <v>0</v>
      </c>
      <c r="AH746" s="64">
        <f>IF(Table1[[#This Row],[GameIsOver]]=0,0,IF(Table1[[#This Row],[ActualWinner]]=Table1[[#This Row],[AwayTeam]], 1, 0))</f>
        <v>0</v>
      </c>
      <c r="AI746" s="64">
        <f>IF(Table1[[#This Row],[GameIsOver]]=0,0,IF(Table1[[#This Row],[ActualWinner]]=Table1[[#This Row],[HomeTeam]], 1, 0))</f>
        <v>0</v>
      </c>
      <c r="AJ746" s="64">
        <f>IF(INDEX(Standings!$A$2:$C$33,MATCH(Table1[[#This Row],[AwayTeam]],Standings!$A$2:$A$33,0),2)=INDEX(Standings!$A$2:$C$33,MATCH(Table1[[#This Row],[HomeTeam]],Standings!$A$2:$A$33,0),2),1,0)</f>
        <v>0</v>
      </c>
      <c r="AK746" s="64">
        <f>IF(INDEX(Standings!$A$2:$C$33,MATCH(Table1[[#This Row],[AwayTeam]],Standings!$A$2:$A$33,0),3)=INDEX(Standings!$A$2:$C$33,MATCH(Table1[[#This Row],[HomeTeam]],Standings!$A$2:$A$33,0),3),1,0)</f>
        <v>0</v>
      </c>
      <c r="AL746" s="64">
        <f>IF(Table1[[#This Row],[InterConf]]=1,IF(Table1[[#This Row],[InterDiv]]=0, 1, 0), 0)</f>
        <v>0</v>
      </c>
      <c r="AM746" s="64">
        <f>IF(INDEX(Standings!$A$2:$C$33,MATCH(Table1[[#This Row],[AwayTeam]],Standings!$A$2:$A$33,0),2)&lt;&gt;INDEX(Standings!$A$2:$C$33,MATCH(Table1[[#This Row],[HomeTeam]],Standings!$A$2:$A$33,0),2),1,0)</f>
        <v>1</v>
      </c>
      <c r="AN746" s="64" t="str">
        <f>INDEX(Table2[AWAY_RECORD], MATCH(Table1[[#This Row],[AwayTeam]],Table2[Team], 0), 0)</f>
        <v>1-0-1</v>
      </c>
      <c r="AO746" s="64" t="str">
        <f>INDEX(Records!$B$2:$AG$33, MATCH(Table1[[#This Row],[AwayTeam]],Records!$A$2:$A$33, 0), MATCH(Table1[[#This Row],[HomeTeam]],Records!$A$2:$A$33, 0))</f>
        <v>0-0-0</v>
      </c>
      <c r="AP746" s="64" t="str">
        <f>INDEX(Table2[HOME_RECORD], MATCH(Table1[[#This Row],[HomeTeam]],Table2[Team], 0), 0)</f>
        <v>0-2-0</v>
      </c>
      <c r="AQ746" s="64" t="str">
        <f>INDEX(Records!$B$2:$AG$33, MATCH(Table1[[#This Row],[HomeTeam]],Records!$A$2:$A$33, 0), MATCH(Table1[[#This Row],[AwayTeam]],Records!$A$2:$A$33, 0))</f>
        <v>0-0-0</v>
      </c>
    </row>
    <row r="747" spans="1:43" x14ac:dyDescent="0.25">
      <c r="A747" s="1"/>
      <c r="D747" t="s">
        <v>1032</v>
      </c>
      <c r="E747" t="s">
        <v>162</v>
      </c>
      <c r="F747" t="s">
        <v>1037</v>
      </c>
      <c r="G747" t="s">
        <v>60</v>
      </c>
      <c r="H747" t="s">
        <v>52</v>
      </c>
      <c r="L74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4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47" s="1"/>
      <c r="T747" s="64" t="str">
        <f>IF(Table1[[#This Row],[ActualWinner]]="", "", IF(Table1[[#This Row],[AwayTeam]]=Table1[[#This Row],[ActualWinner]],Table1[[#This Row],[HomeTeam]],Table1[[#This Row],[AwayTeam]]))</f>
        <v/>
      </c>
      <c r="U747" s="64">
        <f>Table1[[#This Row],[ActualAwayScore]]-Table1[[#This Row],[PredictedAwayScore]]</f>
        <v>0</v>
      </c>
      <c r="V747" s="64">
        <f>Table1[[#This Row],[ActualHomeScore]]-Table1[[#This Row],[PredictedHomeScore]]</f>
        <v>0</v>
      </c>
      <c r="W747" s="64">
        <f>(0.8*IF(Table1[[#This Row],[CorrectWinnerPrediction]]=1, 1, 0))+(0.1*IF(Table1[[#This Row],[CorrectAwayScorePrediction]]=1, 1, 0))+(0.1*IF(Table1[[#This Row],[CorrectHomeScorePrediction]]=1, 1, 0))</f>
        <v>0</v>
      </c>
      <c r="X74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47" s="64">
        <f>SUMIF(Table1[GameDate], Table1[[#This Row],[GameDate]], Table1[AwayGameGoalDiff])</f>
        <v>0</v>
      </c>
      <c r="AA747" s="64">
        <f>SUMIF(Table1[GameDate], Table1[[#This Row],[GameDate]], Table1[HomeGameGoalDiff])</f>
        <v>0</v>
      </c>
      <c r="AB747" s="64">
        <f>IF(ISBLANK(Table1[[#This Row],[ActualResult]]), 0, 1)</f>
        <v>0</v>
      </c>
      <c r="AC747" s="64">
        <f>IF(ISBLANK(Table1[[#This Row],[ActualResult]]), 0, IF(Table1[[#This Row],[ActualWinner]]=Table1[[#This Row],[PredictedWinner]], 1, 0))</f>
        <v>0</v>
      </c>
      <c r="AD74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4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47" s="64">
        <f>IF(AND(Table1[[#This Row],[GameIsOver]]=1,Table1[[#This Row],[ActualAwayScore]]=0), 1,0)</f>
        <v>0</v>
      </c>
      <c r="AG747" s="64">
        <f>IF(AND(Table1[[#This Row],[GameIsOver]]=1,Table1[[#This Row],[ActualHomeScore]]=0), 1,0)</f>
        <v>0</v>
      </c>
      <c r="AH747" s="64">
        <f>IF(Table1[[#This Row],[GameIsOver]]=0,0,IF(Table1[[#This Row],[ActualWinner]]=Table1[[#This Row],[AwayTeam]], 1, 0))</f>
        <v>0</v>
      </c>
      <c r="AI747" s="64">
        <f>IF(Table1[[#This Row],[GameIsOver]]=0,0,IF(Table1[[#This Row],[ActualWinner]]=Table1[[#This Row],[HomeTeam]], 1, 0))</f>
        <v>0</v>
      </c>
      <c r="AJ747" s="64">
        <f>IF(INDEX(Standings!$A$2:$C$33,MATCH(Table1[[#This Row],[AwayTeam]],Standings!$A$2:$A$33,0),2)=INDEX(Standings!$A$2:$C$33,MATCH(Table1[[#This Row],[HomeTeam]],Standings!$A$2:$A$33,0),2),1,0)</f>
        <v>0</v>
      </c>
      <c r="AK747" s="64">
        <f>IF(INDEX(Standings!$A$2:$C$33,MATCH(Table1[[#This Row],[AwayTeam]],Standings!$A$2:$A$33,0),3)=INDEX(Standings!$A$2:$C$33,MATCH(Table1[[#This Row],[HomeTeam]],Standings!$A$2:$A$33,0),3),1,0)</f>
        <v>0</v>
      </c>
      <c r="AL747" s="64">
        <f>IF(Table1[[#This Row],[InterConf]]=1,IF(Table1[[#This Row],[InterDiv]]=0, 1, 0), 0)</f>
        <v>0</v>
      </c>
      <c r="AM747" s="64">
        <f>IF(INDEX(Standings!$A$2:$C$33,MATCH(Table1[[#This Row],[AwayTeam]],Standings!$A$2:$A$33,0),2)&lt;&gt;INDEX(Standings!$A$2:$C$33,MATCH(Table1[[#This Row],[HomeTeam]],Standings!$A$2:$A$33,0),2),1,0)</f>
        <v>1</v>
      </c>
      <c r="AN747" s="64" t="str">
        <f>INDEX(Table2[AWAY_RECORD], MATCH(Table1[[#This Row],[AwayTeam]],Table2[Team], 0), 0)</f>
        <v>0-0-0</v>
      </c>
      <c r="AO747" s="64" t="str">
        <f>INDEX(Records!$B$2:$AG$33, MATCH(Table1[[#This Row],[AwayTeam]],Records!$A$2:$A$33, 0), MATCH(Table1[[#This Row],[HomeTeam]],Records!$A$2:$A$33, 0))</f>
        <v>0-0-0</v>
      </c>
      <c r="AP747" s="64" t="str">
        <f>INDEX(Table2[HOME_RECORD], MATCH(Table1[[#This Row],[HomeTeam]],Table2[Team], 0), 0)</f>
        <v>0-0-0</v>
      </c>
      <c r="AQ747" s="64" t="str">
        <f>INDEX(Records!$B$2:$AG$33, MATCH(Table1[[#This Row],[HomeTeam]],Records!$A$2:$A$33, 0), MATCH(Table1[[#This Row],[AwayTeam]],Records!$A$2:$A$33, 0))</f>
        <v>0-0-0</v>
      </c>
    </row>
    <row r="748" spans="1:43" x14ac:dyDescent="0.25">
      <c r="A748" s="1"/>
      <c r="D748" t="s">
        <v>1032</v>
      </c>
      <c r="E748" t="s">
        <v>162</v>
      </c>
      <c r="F748" t="s">
        <v>1038</v>
      </c>
      <c r="G748" t="s">
        <v>25</v>
      </c>
      <c r="H748" t="s">
        <v>57</v>
      </c>
      <c r="L74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4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48" s="1"/>
      <c r="T748" s="64" t="str">
        <f>IF(Table1[[#This Row],[ActualWinner]]="", "", IF(Table1[[#This Row],[AwayTeam]]=Table1[[#This Row],[ActualWinner]],Table1[[#This Row],[HomeTeam]],Table1[[#This Row],[AwayTeam]]))</f>
        <v/>
      </c>
      <c r="U748" s="64">
        <f>Table1[[#This Row],[ActualAwayScore]]-Table1[[#This Row],[PredictedAwayScore]]</f>
        <v>0</v>
      </c>
      <c r="V748" s="64">
        <f>Table1[[#This Row],[ActualHomeScore]]-Table1[[#This Row],[PredictedHomeScore]]</f>
        <v>0</v>
      </c>
      <c r="W748" s="64">
        <f>(0.8*IF(Table1[[#This Row],[CorrectWinnerPrediction]]=1, 1, 0))+(0.1*IF(Table1[[#This Row],[CorrectAwayScorePrediction]]=1, 1, 0))+(0.1*IF(Table1[[#This Row],[CorrectHomeScorePrediction]]=1, 1, 0))</f>
        <v>0</v>
      </c>
      <c r="X74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48" s="64">
        <f>SUMIF(Table1[GameDate], Table1[[#This Row],[GameDate]], Table1[AwayGameGoalDiff])</f>
        <v>0</v>
      </c>
      <c r="AA748" s="64">
        <f>SUMIF(Table1[GameDate], Table1[[#This Row],[GameDate]], Table1[HomeGameGoalDiff])</f>
        <v>0</v>
      </c>
      <c r="AB748" s="64">
        <f>IF(ISBLANK(Table1[[#This Row],[ActualResult]]), 0, 1)</f>
        <v>0</v>
      </c>
      <c r="AC748" s="64">
        <f>IF(ISBLANK(Table1[[#This Row],[ActualResult]]), 0, IF(Table1[[#This Row],[ActualWinner]]=Table1[[#This Row],[PredictedWinner]], 1, 0))</f>
        <v>0</v>
      </c>
      <c r="AD74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4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48" s="64">
        <f>IF(AND(Table1[[#This Row],[GameIsOver]]=1,Table1[[#This Row],[ActualAwayScore]]=0), 1,0)</f>
        <v>0</v>
      </c>
      <c r="AG748" s="64">
        <f>IF(AND(Table1[[#This Row],[GameIsOver]]=1,Table1[[#This Row],[ActualHomeScore]]=0), 1,0)</f>
        <v>0</v>
      </c>
      <c r="AH748" s="64">
        <f>IF(Table1[[#This Row],[GameIsOver]]=0,0,IF(Table1[[#This Row],[ActualWinner]]=Table1[[#This Row],[AwayTeam]], 1, 0))</f>
        <v>0</v>
      </c>
      <c r="AI748" s="64">
        <f>IF(Table1[[#This Row],[GameIsOver]]=0,0,IF(Table1[[#This Row],[ActualWinner]]=Table1[[#This Row],[HomeTeam]], 1, 0))</f>
        <v>0</v>
      </c>
      <c r="AJ748" s="64">
        <f>IF(INDEX(Standings!$A$2:$C$33,MATCH(Table1[[#This Row],[AwayTeam]],Standings!$A$2:$A$33,0),2)=INDEX(Standings!$A$2:$C$33,MATCH(Table1[[#This Row],[HomeTeam]],Standings!$A$2:$A$33,0),2),1,0)</f>
        <v>0</v>
      </c>
      <c r="AK748" s="64">
        <f>IF(INDEX(Standings!$A$2:$C$33,MATCH(Table1[[#This Row],[AwayTeam]],Standings!$A$2:$A$33,0),3)=INDEX(Standings!$A$2:$C$33,MATCH(Table1[[#This Row],[HomeTeam]],Standings!$A$2:$A$33,0),3),1,0)</f>
        <v>0</v>
      </c>
      <c r="AL748" s="64">
        <f>IF(Table1[[#This Row],[InterConf]]=1,IF(Table1[[#This Row],[InterDiv]]=0, 1, 0), 0)</f>
        <v>0</v>
      </c>
      <c r="AM748" s="64">
        <f>IF(INDEX(Standings!$A$2:$C$33,MATCH(Table1[[#This Row],[AwayTeam]],Standings!$A$2:$A$33,0),2)&lt;&gt;INDEX(Standings!$A$2:$C$33,MATCH(Table1[[#This Row],[HomeTeam]],Standings!$A$2:$A$33,0),2),1,0)</f>
        <v>1</v>
      </c>
      <c r="AN748" s="64" t="str">
        <f>INDEX(Table2[AWAY_RECORD], MATCH(Table1[[#This Row],[AwayTeam]],Table2[Team], 0), 0)</f>
        <v>0-0-0</v>
      </c>
      <c r="AO748" s="64" t="str">
        <f>INDEX(Records!$B$2:$AG$33, MATCH(Table1[[#This Row],[AwayTeam]],Records!$A$2:$A$33, 0), MATCH(Table1[[#This Row],[HomeTeam]],Records!$A$2:$A$33, 0))</f>
        <v>0-0-0</v>
      </c>
      <c r="AP748" s="64" t="str">
        <f>INDEX(Table2[HOME_RECORD], MATCH(Table1[[#This Row],[HomeTeam]],Table2[Team], 0), 0)</f>
        <v>0-0-0</v>
      </c>
      <c r="AQ748" s="64" t="str">
        <f>INDEX(Records!$B$2:$AG$33, MATCH(Table1[[#This Row],[HomeTeam]],Records!$A$2:$A$33, 0), MATCH(Table1[[#This Row],[AwayTeam]],Records!$A$2:$A$33, 0))</f>
        <v>0-0-0</v>
      </c>
    </row>
    <row r="749" spans="1:43" x14ac:dyDescent="0.25">
      <c r="A749" s="1"/>
      <c r="D749" t="s">
        <v>1032</v>
      </c>
      <c r="E749" t="s">
        <v>162</v>
      </c>
      <c r="F749" t="s">
        <v>1039</v>
      </c>
      <c r="G749" t="s">
        <v>40</v>
      </c>
      <c r="H749" t="s">
        <v>59</v>
      </c>
      <c r="L74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4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49" s="1"/>
      <c r="T749" s="64" t="str">
        <f>IF(Table1[[#This Row],[ActualWinner]]="", "", IF(Table1[[#This Row],[AwayTeam]]=Table1[[#This Row],[ActualWinner]],Table1[[#This Row],[HomeTeam]],Table1[[#This Row],[AwayTeam]]))</f>
        <v/>
      </c>
      <c r="U749" s="64">
        <f>Table1[[#This Row],[ActualAwayScore]]-Table1[[#This Row],[PredictedAwayScore]]</f>
        <v>0</v>
      </c>
      <c r="V749" s="64">
        <f>Table1[[#This Row],[ActualHomeScore]]-Table1[[#This Row],[PredictedHomeScore]]</f>
        <v>0</v>
      </c>
      <c r="W749" s="64">
        <f>(0.8*IF(Table1[[#This Row],[CorrectWinnerPrediction]]=1, 1, 0))+(0.1*IF(Table1[[#This Row],[CorrectAwayScorePrediction]]=1, 1, 0))+(0.1*IF(Table1[[#This Row],[CorrectHomeScorePrediction]]=1, 1, 0))</f>
        <v>0</v>
      </c>
      <c r="X74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49" s="64">
        <f>SUMIF(Table1[GameDate], Table1[[#This Row],[GameDate]], Table1[AwayGameGoalDiff])</f>
        <v>0</v>
      </c>
      <c r="AA749" s="64">
        <f>SUMIF(Table1[GameDate], Table1[[#This Row],[GameDate]], Table1[HomeGameGoalDiff])</f>
        <v>0</v>
      </c>
      <c r="AB749" s="64">
        <f>IF(ISBLANK(Table1[[#This Row],[ActualResult]]), 0, 1)</f>
        <v>0</v>
      </c>
      <c r="AC749" s="64">
        <f>IF(ISBLANK(Table1[[#This Row],[ActualResult]]), 0, IF(Table1[[#This Row],[ActualWinner]]=Table1[[#This Row],[PredictedWinner]], 1, 0))</f>
        <v>0</v>
      </c>
      <c r="AD74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4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49" s="64">
        <f>IF(AND(Table1[[#This Row],[GameIsOver]]=1,Table1[[#This Row],[ActualAwayScore]]=0), 1,0)</f>
        <v>0</v>
      </c>
      <c r="AG749" s="64">
        <f>IF(AND(Table1[[#This Row],[GameIsOver]]=1,Table1[[#This Row],[ActualHomeScore]]=0), 1,0)</f>
        <v>0</v>
      </c>
      <c r="AH749" s="64">
        <f>IF(Table1[[#This Row],[GameIsOver]]=0,0,IF(Table1[[#This Row],[ActualWinner]]=Table1[[#This Row],[AwayTeam]], 1, 0))</f>
        <v>0</v>
      </c>
      <c r="AI749" s="64">
        <f>IF(Table1[[#This Row],[GameIsOver]]=0,0,IF(Table1[[#This Row],[ActualWinner]]=Table1[[#This Row],[HomeTeam]], 1, 0))</f>
        <v>0</v>
      </c>
      <c r="AJ749" s="64">
        <f>IF(INDEX(Standings!$A$2:$C$33,MATCH(Table1[[#This Row],[AwayTeam]],Standings!$A$2:$A$33,0),2)=INDEX(Standings!$A$2:$C$33,MATCH(Table1[[#This Row],[HomeTeam]],Standings!$A$2:$A$33,0),2),1,0)</f>
        <v>1</v>
      </c>
      <c r="AK749" s="64">
        <f>IF(INDEX(Standings!$A$2:$C$33,MATCH(Table1[[#This Row],[AwayTeam]],Standings!$A$2:$A$33,0),3)=INDEX(Standings!$A$2:$C$33,MATCH(Table1[[#This Row],[HomeTeam]],Standings!$A$2:$A$33,0),3),1,0)</f>
        <v>1</v>
      </c>
      <c r="AL749" s="64">
        <f>IF(Table1[[#This Row],[InterConf]]=1,IF(Table1[[#This Row],[InterDiv]]=0, 1, 0), 0)</f>
        <v>0</v>
      </c>
      <c r="AM749" s="64">
        <f>IF(INDEX(Standings!$A$2:$C$33,MATCH(Table1[[#This Row],[AwayTeam]],Standings!$A$2:$A$33,0),2)&lt;&gt;INDEX(Standings!$A$2:$C$33,MATCH(Table1[[#This Row],[HomeTeam]],Standings!$A$2:$A$33,0),2),1,0)</f>
        <v>0</v>
      </c>
      <c r="AN749" s="64" t="str">
        <f>INDEX(Table2[AWAY_RECORD], MATCH(Table1[[#This Row],[AwayTeam]],Table2[Team], 0), 0)</f>
        <v>0-0-0</v>
      </c>
      <c r="AO749" s="64" t="str">
        <f>INDEX(Records!$B$2:$AG$33, MATCH(Table1[[#This Row],[AwayTeam]],Records!$A$2:$A$33, 0), MATCH(Table1[[#This Row],[HomeTeam]],Records!$A$2:$A$33, 0))</f>
        <v>1-0-0</v>
      </c>
      <c r="AP749" s="64" t="str">
        <f>INDEX(Table2[HOME_RECORD], MATCH(Table1[[#This Row],[HomeTeam]],Table2[Team], 0), 0)</f>
        <v>0-0-0</v>
      </c>
      <c r="AQ749" s="64" t="str">
        <f>INDEX(Records!$B$2:$AG$33, MATCH(Table1[[#This Row],[HomeTeam]],Records!$A$2:$A$33, 0), MATCH(Table1[[#This Row],[AwayTeam]],Records!$A$2:$A$33, 0))</f>
        <v>0-1-0</v>
      </c>
    </row>
    <row r="750" spans="1:43" x14ac:dyDescent="0.25">
      <c r="A750" s="1"/>
      <c r="D750" t="s">
        <v>1032</v>
      </c>
      <c r="E750" t="s">
        <v>178</v>
      </c>
      <c r="F750" t="s">
        <v>1040</v>
      </c>
      <c r="G750" t="s">
        <v>47</v>
      </c>
      <c r="H750" t="s">
        <v>48</v>
      </c>
      <c r="L75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5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50" s="1"/>
      <c r="T750" s="64" t="str">
        <f>IF(Table1[[#This Row],[ActualWinner]]="", "", IF(Table1[[#This Row],[AwayTeam]]=Table1[[#This Row],[ActualWinner]],Table1[[#This Row],[HomeTeam]],Table1[[#This Row],[AwayTeam]]))</f>
        <v/>
      </c>
      <c r="U750" s="64">
        <f>Table1[[#This Row],[ActualAwayScore]]-Table1[[#This Row],[PredictedAwayScore]]</f>
        <v>0</v>
      </c>
      <c r="V750" s="64">
        <f>Table1[[#This Row],[ActualHomeScore]]-Table1[[#This Row],[PredictedHomeScore]]</f>
        <v>0</v>
      </c>
      <c r="W750" s="64">
        <f>(0.8*IF(Table1[[#This Row],[CorrectWinnerPrediction]]=1, 1, 0))+(0.1*IF(Table1[[#This Row],[CorrectAwayScorePrediction]]=1, 1, 0))+(0.1*IF(Table1[[#This Row],[CorrectHomeScorePrediction]]=1, 1, 0))</f>
        <v>0</v>
      </c>
      <c r="X75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50" s="64">
        <f>SUMIF(Table1[GameDate], Table1[[#This Row],[GameDate]], Table1[AwayGameGoalDiff])</f>
        <v>0</v>
      </c>
      <c r="AA750" s="64">
        <f>SUMIF(Table1[GameDate], Table1[[#This Row],[GameDate]], Table1[HomeGameGoalDiff])</f>
        <v>0</v>
      </c>
      <c r="AB750" s="64">
        <f>IF(ISBLANK(Table1[[#This Row],[ActualResult]]), 0, 1)</f>
        <v>0</v>
      </c>
      <c r="AC750" s="64">
        <f>IF(ISBLANK(Table1[[#This Row],[ActualResult]]), 0, IF(Table1[[#This Row],[ActualWinner]]=Table1[[#This Row],[PredictedWinner]], 1, 0))</f>
        <v>0</v>
      </c>
      <c r="AD75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5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50" s="64">
        <f>IF(AND(Table1[[#This Row],[GameIsOver]]=1,Table1[[#This Row],[ActualAwayScore]]=0), 1,0)</f>
        <v>0</v>
      </c>
      <c r="AG750" s="64">
        <f>IF(AND(Table1[[#This Row],[GameIsOver]]=1,Table1[[#This Row],[ActualHomeScore]]=0), 1,0)</f>
        <v>0</v>
      </c>
      <c r="AH750" s="64">
        <f>IF(Table1[[#This Row],[GameIsOver]]=0,0,IF(Table1[[#This Row],[ActualWinner]]=Table1[[#This Row],[AwayTeam]], 1, 0))</f>
        <v>0</v>
      </c>
      <c r="AI750" s="64">
        <f>IF(Table1[[#This Row],[GameIsOver]]=0,0,IF(Table1[[#This Row],[ActualWinner]]=Table1[[#This Row],[HomeTeam]], 1, 0))</f>
        <v>0</v>
      </c>
      <c r="AJ750" s="64">
        <f>IF(INDEX(Standings!$A$2:$C$33,MATCH(Table1[[#This Row],[AwayTeam]],Standings!$A$2:$A$33,0),2)=INDEX(Standings!$A$2:$C$33,MATCH(Table1[[#This Row],[HomeTeam]],Standings!$A$2:$A$33,0),2),1,0)</f>
        <v>0</v>
      </c>
      <c r="AK750" s="64">
        <f>IF(INDEX(Standings!$A$2:$C$33,MATCH(Table1[[#This Row],[AwayTeam]],Standings!$A$2:$A$33,0),3)=INDEX(Standings!$A$2:$C$33,MATCH(Table1[[#This Row],[HomeTeam]],Standings!$A$2:$A$33,0),3),1,0)</f>
        <v>0</v>
      </c>
      <c r="AL750" s="64">
        <f>IF(Table1[[#This Row],[InterConf]]=1,IF(Table1[[#This Row],[InterDiv]]=0, 1, 0), 0)</f>
        <v>0</v>
      </c>
      <c r="AM750" s="64">
        <f>IF(INDEX(Standings!$A$2:$C$33,MATCH(Table1[[#This Row],[AwayTeam]],Standings!$A$2:$A$33,0),2)&lt;&gt;INDEX(Standings!$A$2:$C$33,MATCH(Table1[[#This Row],[HomeTeam]],Standings!$A$2:$A$33,0),2),1,0)</f>
        <v>1</v>
      </c>
      <c r="AN750" s="64" t="str">
        <f>INDEX(Table2[AWAY_RECORD], MATCH(Table1[[#This Row],[AwayTeam]],Table2[Team], 0), 0)</f>
        <v>1-0-0</v>
      </c>
      <c r="AO750" s="64" t="str">
        <f>INDEX(Records!$B$2:$AG$33, MATCH(Table1[[#This Row],[AwayTeam]],Records!$A$2:$A$33, 0), MATCH(Table1[[#This Row],[HomeTeam]],Records!$A$2:$A$33, 0))</f>
        <v>0-0-0</v>
      </c>
      <c r="AP750" s="64" t="str">
        <f>INDEX(Table2[HOME_RECORD], MATCH(Table1[[#This Row],[HomeTeam]],Table2[Team], 0), 0)</f>
        <v>1-0-0</v>
      </c>
      <c r="AQ750" s="64" t="str">
        <f>INDEX(Records!$B$2:$AG$33, MATCH(Table1[[#This Row],[HomeTeam]],Records!$A$2:$A$33, 0), MATCH(Table1[[#This Row],[AwayTeam]],Records!$A$2:$A$33, 0))</f>
        <v>0-0-0</v>
      </c>
    </row>
    <row r="751" spans="1:43" x14ac:dyDescent="0.25">
      <c r="A751" s="1"/>
      <c r="D751" t="s">
        <v>1032</v>
      </c>
      <c r="E751" t="s">
        <v>178</v>
      </c>
      <c r="F751" t="s">
        <v>1041</v>
      </c>
      <c r="G751" t="s">
        <v>55</v>
      </c>
      <c r="H751" t="s">
        <v>39</v>
      </c>
      <c r="L75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5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51" s="1"/>
      <c r="T751" s="64" t="str">
        <f>IF(Table1[[#This Row],[ActualWinner]]="", "", IF(Table1[[#This Row],[AwayTeam]]=Table1[[#This Row],[ActualWinner]],Table1[[#This Row],[HomeTeam]],Table1[[#This Row],[AwayTeam]]))</f>
        <v/>
      </c>
      <c r="U751" s="64">
        <f>Table1[[#This Row],[ActualAwayScore]]-Table1[[#This Row],[PredictedAwayScore]]</f>
        <v>0</v>
      </c>
      <c r="V751" s="64">
        <f>Table1[[#This Row],[ActualHomeScore]]-Table1[[#This Row],[PredictedHomeScore]]</f>
        <v>0</v>
      </c>
      <c r="W751" s="64">
        <f>(0.8*IF(Table1[[#This Row],[CorrectWinnerPrediction]]=1, 1, 0))+(0.1*IF(Table1[[#This Row],[CorrectAwayScorePrediction]]=1, 1, 0))+(0.1*IF(Table1[[#This Row],[CorrectHomeScorePrediction]]=1, 1, 0))</f>
        <v>0</v>
      </c>
      <c r="X75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51" s="64">
        <f>SUMIF(Table1[GameDate], Table1[[#This Row],[GameDate]], Table1[AwayGameGoalDiff])</f>
        <v>0</v>
      </c>
      <c r="AA751" s="64">
        <f>SUMIF(Table1[GameDate], Table1[[#This Row],[GameDate]], Table1[HomeGameGoalDiff])</f>
        <v>0</v>
      </c>
      <c r="AB751" s="64">
        <f>IF(ISBLANK(Table1[[#This Row],[ActualResult]]), 0, 1)</f>
        <v>0</v>
      </c>
      <c r="AC751" s="64">
        <f>IF(ISBLANK(Table1[[#This Row],[ActualResult]]), 0, IF(Table1[[#This Row],[ActualWinner]]=Table1[[#This Row],[PredictedWinner]], 1, 0))</f>
        <v>0</v>
      </c>
      <c r="AD75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5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51" s="64">
        <f>IF(AND(Table1[[#This Row],[GameIsOver]]=1,Table1[[#This Row],[ActualAwayScore]]=0), 1,0)</f>
        <v>0</v>
      </c>
      <c r="AG751" s="64">
        <f>IF(AND(Table1[[#This Row],[GameIsOver]]=1,Table1[[#This Row],[ActualHomeScore]]=0), 1,0)</f>
        <v>0</v>
      </c>
      <c r="AH751" s="64">
        <f>IF(Table1[[#This Row],[GameIsOver]]=0,0,IF(Table1[[#This Row],[ActualWinner]]=Table1[[#This Row],[AwayTeam]], 1, 0))</f>
        <v>0</v>
      </c>
      <c r="AI751" s="64">
        <f>IF(Table1[[#This Row],[GameIsOver]]=0,0,IF(Table1[[#This Row],[ActualWinner]]=Table1[[#This Row],[HomeTeam]], 1, 0))</f>
        <v>0</v>
      </c>
      <c r="AJ751" s="64">
        <f>IF(INDEX(Standings!$A$2:$C$33,MATCH(Table1[[#This Row],[AwayTeam]],Standings!$A$2:$A$33,0),2)=INDEX(Standings!$A$2:$C$33,MATCH(Table1[[#This Row],[HomeTeam]],Standings!$A$2:$A$33,0),2),1,0)</f>
        <v>1</v>
      </c>
      <c r="AK751" s="64">
        <f>IF(INDEX(Standings!$A$2:$C$33,MATCH(Table1[[#This Row],[AwayTeam]],Standings!$A$2:$A$33,0),3)=INDEX(Standings!$A$2:$C$33,MATCH(Table1[[#This Row],[HomeTeam]],Standings!$A$2:$A$33,0),3),1,0)</f>
        <v>1</v>
      </c>
      <c r="AL751" s="64">
        <f>IF(Table1[[#This Row],[InterConf]]=1,IF(Table1[[#This Row],[InterDiv]]=0, 1, 0), 0)</f>
        <v>0</v>
      </c>
      <c r="AM751" s="64">
        <f>IF(INDEX(Standings!$A$2:$C$33,MATCH(Table1[[#This Row],[AwayTeam]],Standings!$A$2:$A$33,0),2)&lt;&gt;INDEX(Standings!$A$2:$C$33,MATCH(Table1[[#This Row],[HomeTeam]],Standings!$A$2:$A$33,0),2),1,0)</f>
        <v>0</v>
      </c>
      <c r="AN751" s="64" t="str">
        <f>INDEX(Table2[AWAY_RECORD], MATCH(Table1[[#This Row],[AwayTeam]],Table2[Team], 0), 0)</f>
        <v>0-0-0</v>
      </c>
      <c r="AO751" s="64" t="str">
        <f>INDEX(Records!$B$2:$AG$33, MATCH(Table1[[#This Row],[AwayTeam]],Records!$A$2:$A$33, 0), MATCH(Table1[[#This Row],[HomeTeam]],Records!$A$2:$A$33, 0))</f>
        <v>0-0-0</v>
      </c>
      <c r="AP751" s="64" t="str">
        <f>INDEX(Table2[HOME_RECORD], MATCH(Table1[[#This Row],[HomeTeam]],Table2[Team], 0), 0)</f>
        <v>0-1-0</v>
      </c>
      <c r="AQ751" s="64" t="str">
        <f>INDEX(Records!$B$2:$AG$33, MATCH(Table1[[#This Row],[HomeTeam]],Records!$A$2:$A$33, 0), MATCH(Table1[[#This Row],[AwayTeam]],Records!$A$2:$A$33, 0))</f>
        <v>0-0-0</v>
      </c>
    </row>
    <row r="752" spans="1:43" x14ac:dyDescent="0.25">
      <c r="A752" s="1"/>
      <c r="D752" t="s">
        <v>1032</v>
      </c>
      <c r="E752" t="s">
        <v>164</v>
      </c>
      <c r="F752" t="s">
        <v>1042</v>
      </c>
      <c r="G752" t="s">
        <v>17</v>
      </c>
      <c r="H752" t="s">
        <v>22</v>
      </c>
      <c r="L75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5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52" s="1"/>
      <c r="T752" s="64" t="str">
        <f>IF(Table1[[#This Row],[ActualWinner]]="", "", IF(Table1[[#This Row],[AwayTeam]]=Table1[[#This Row],[ActualWinner]],Table1[[#This Row],[HomeTeam]],Table1[[#This Row],[AwayTeam]]))</f>
        <v/>
      </c>
      <c r="U752" s="64">
        <f>Table1[[#This Row],[ActualAwayScore]]-Table1[[#This Row],[PredictedAwayScore]]</f>
        <v>0</v>
      </c>
      <c r="V752" s="64">
        <f>Table1[[#This Row],[ActualHomeScore]]-Table1[[#This Row],[PredictedHomeScore]]</f>
        <v>0</v>
      </c>
      <c r="W752" s="64">
        <f>(0.8*IF(Table1[[#This Row],[CorrectWinnerPrediction]]=1, 1, 0))+(0.1*IF(Table1[[#This Row],[CorrectAwayScorePrediction]]=1, 1, 0))+(0.1*IF(Table1[[#This Row],[CorrectHomeScorePrediction]]=1, 1, 0))</f>
        <v>0</v>
      </c>
      <c r="X75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52" s="64">
        <f>SUMIF(Table1[GameDate], Table1[[#This Row],[GameDate]], Table1[AwayGameGoalDiff])</f>
        <v>0</v>
      </c>
      <c r="AA752" s="64">
        <f>SUMIF(Table1[GameDate], Table1[[#This Row],[GameDate]], Table1[HomeGameGoalDiff])</f>
        <v>0</v>
      </c>
      <c r="AB752" s="64">
        <f>IF(ISBLANK(Table1[[#This Row],[ActualResult]]), 0, 1)</f>
        <v>0</v>
      </c>
      <c r="AC752" s="64">
        <f>IF(ISBLANK(Table1[[#This Row],[ActualResult]]), 0, IF(Table1[[#This Row],[ActualWinner]]=Table1[[#This Row],[PredictedWinner]], 1, 0))</f>
        <v>0</v>
      </c>
      <c r="AD75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5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52" s="64">
        <f>IF(AND(Table1[[#This Row],[GameIsOver]]=1,Table1[[#This Row],[ActualAwayScore]]=0), 1,0)</f>
        <v>0</v>
      </c>
      <c r="AG752" s="64">
        <f>IF(AND(Table1[[#This Row],[GameIsOver]]=1,Table1[[#This Row],[ActualHomeScore]]=0), 1,0)</f>
        <v>0</v>
      </c>
      <c r="AH752" s="64">
        <f>IF(Table1[[#This Row],[GameIsOver]]=0,0,IF(Table1[[#This Row],[ActualWinner]]=Table1[[#This Row],[AwayTeam]], 1, 0))</f>
        <v>0</v>
      </c>
      <c r="AI752" s="64">
        <f>IF(Table1[[#This Row],[GameIsOver]]=0,0,IF(Table1[[#This Row],[ActualWinner]]=Table1[[#This Row],[HomeTeam]], 1, 0))</f>
        <v>0</v>
      </c>
      <c r="AJ752" s="64">
        <f>IF(INDEX(Standings!$A$2:$C$33,MATCH(Table1[[#This Row],[AwayTeam]],Standings!$A$2:$A$33,0),2)=INDEX(Standings!$A$2:$C$33,MATCH(Table1[[#This Row],[HomeTeam]],Standings!$A$2:$A$33,0),2),1,0)</f>
        <v>0</v>
      </c>
      <c r="AK752" s="64">
        <f>IF(INDEX(Standings!$A$2:$C$33,MATCH(Table1[[#This Row],[AwayTeam]],Standings!$A$2:$A$33,0),3)=INDEX(Standings!$A$2:$C$33,MATCH(Table1[[#This Row],[HomeTeam]],Standings!$A$2:$A$33,0),3),1,0)</f>
        <v>0</v>
      </c>
      <c r="AL752" s="64">
        <f>IF(Table1[[#This Row],[InterConf]]=1,IF(Table1[[#This Row],[InterDiv]]=0, 1, 0), 0)</f>
        <v>0</v>
      </c>
      <c r="AM752" s="64">
        <f>IF(INDEX(Standings!$A$2:$C$33,MATCH(Table1[[#This Row],[AwayTeam]],Standings!$A$2:$A$33,0),2)&lt;&gt;INDEX(Standings!$A$2:$C$33,MATCH(Table1[[#This Row],[HomeTeam]],Standings!$A$2:$A$33,0),2),1,0)</f>
        <v>1</v>
      </c>
      <c r="AN752" s="64" t="str">
        <f>INDEX(Table2[AWAY_RECORD], MATCH(Table1[[#This Row],[AwayTeam]],Table2[Team], 0), 0)</f>
        <v>2-0-0</v>
      </c>
      <c r="AO752" s="64" t="str">
        <f>INDEX(Records!$B$2:$AG$33, MATCH(Table1[[#This Row],[AwayTeam]],Records!$A$2:$A$33, 0), MATCH(Table1[[#This Row],[HomeTeam]],Records!$A$2:$A$33, 0))</f>
        <v>0-0-0</v>
      </c>
      <c r="AP752" s="64" t="str">
        <f>INDEX(Table2[HOME_RECORD], MATCH(Table1[[#This Row],[HomeTeam]],Table2[Team], 0), 0)</f>
        <v>0-0-0</v>
      </c>
      <c r="AQ752" s="64" t="str">
        <f>INDEX(Records!$B$2:$AG$33, MATCH(Table1[[#This Row],[HomeTeam]],Records!$A$2:$A$33, 0), MATCH(Table1[[#This Row],[AwayTeam]],Records!$A$2:$A$33, 0))</f>
        <v>0-0-0</v>
      </c>
    </row>
    <row r="753" spans="1:43" x14ac:dyDescent="0.25">
      <c r="A753" s="1"/>
      <c r="D753" t="s">
        <v>1032</v>
      </c>
      <c r="E753" t="s">
        <v>164</v>
      </c>
      <c r="F753" t="s">
        <v>1043</v>
      </c>
      <c r="G753" t="s">
        <v>56</v>
      </c>
      <c r="H753" t="s">
        <v>23</v>
      </c>
      <c r="L75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5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53" s="1"/>
      <c r="T753" s="64" t="str">
        <f>IF(Table1[[#This Row],[ActualWinner]]="", "", IF(Table1[[#This Row],[AwayTeam]]=Table1[[#This Row],[ActualWinner]],Table1[[#This Row],[HomeTeam]],Table1[[#This Row],[AwayTeam]]))</f>
        <v/>
      </c>
      <c r="U753" s="64">
        <f>Table1[[#This Row],[ActualAwayScore]]-Table1[[#This Row],[PredictedAwayScore]]</f>
        <v>0</v>
      </c>
      <c r="V753" s="64">
        <f>Table1[[#This Row],[ActualHomeScore]]-Table1[[#This Row],[PredictedHomeScore]]</f>
        <v>0</v>
      </c>
      <c r="W753" s="64">
        <f>(0.8*IF(Table1[[#This Row],[CorrectWinnerPrediction]]=1, 1, 0))+(0.1*IF(Table1[[#This Row],[CorrectAwayScorePrediction]]=1, 1, 0))+(0.1*IF(Table1[[#This Row],[CorrectHomeScorePrediction]]=1, 1, 0))</f>
        <v>0</v>
      </c>
      <c r="X75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53" s="64">
        <f>SUMIF(Table1[GameDate], Table1[[#This Row],[GameDate]], Table1[AwayGameGoalDiff])</f>
        <v>0</v>
      </c>
      <c r="AA753" s="64">
        <f>SUMIF(Table1[GameDate], Table1[[#This Row],[GameDate]], Table1[HomeGameGoalDiff])</f>
        <v>0</v>
      </c>
      <c r="AB753" s="64">
        <f>IF(ISBLANK(Table1[[#This Row],[ActualResult]]), 0, 1)</f>
        <v>0</v>
      </c>
      <c r="AC753" s="64">
        <f>IF(ISBLANK(Table1[[#This Row],[ActualResult]]), 0, IF(Table1[[#This Row],[ActualWinner]]=Table1[[#This Row],[PredictedWinner]], 1, 0))</f>
        <v>0</v>
      </c>
      <c r="AD75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5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53" s="64">
        <f>IF(AND(Table1[[#This Row],[GameIsOver]]=1,Table1[[#This Row],[ActualAwayScore]]=0), 1,0)</f>
        <v>0</v>
      </c>
      <c r="AG753" s="64">
        <f>IF(AND(Table1[[#This Row],[GameIsOver]]=1,Table1[[#This Row],[ActualHomeScore]]=0), 1,0)</f>
        <v>0</v>
      </c>
      <c r="AH753" s="64">
        <f>IF(Table1[[#This Row],[GameIsOver]]=0,0,IF(Table1[[#This Row],[ActualWinner]]=Table1[[#This Row],[AwayTeam]], 1, 0))</f>
        <v>0</v>
      </c>
      <c r="AI753" s="64">
        <f>IF(Table1[[#This Row],[GameIsOver]]=0,0,IF(Table1[[#This Row],[ActualWinner]]=Table1[[#This Row],[HomeTeam]], 1, 0))</f>
        <v>0</v>
      </c>
      <c r="AJ753" s="64">
        <f>IF(INDEX(Standings!$A$2:$C$33,MATCH(Table1[[#This Row],[AwayTeam]],Standings!$A$2:$A$33,0),2)=INDEX(Standings!$A$2:$C$33,MATCH(Table1[[#This Row],[HomeTeam]],Standings!$A$2:$A$33,0),2),1,0)</f>
        <v>1</v>
      </c>
      <c r="AK753" s="64">
        <f>IF(INDEX(Standings!$A$2:$C$33,MATCH(Table1[[#This Row],[AwayTeam]],Standings!$A$2:$A$33,0),3)=INDEX(Standings!$A$2:$C$33,MATCH(Table1[[#This Row],[HomeTeam]],Standings!$A$2:$A$33,0),3),1,0)</f>
        <v>1</v>
      </c>
      <c r="AL753" s="64">
        <f>IF(Table1[[#This Row],[InterConf]]=1,IF(Table1[[#This Row],[InterDiv]]=0, 1, 0), 0)</f>
        <v>0</v>
      </c>
      <c r="AM753" s="64">
        <f>IF(INDEX(Standings!$A$2:$C$33,MATCH(Table1[[#This Row],[AwayTeam]],Standings!$A$2:$A$33,0),2)&lt;&gt;INDEX(Standings!$A$2:$C$33,MATCH(Table1[[#This Row],[HomeTeam]],Standings!$A$2:$A$33,0),2),1,0)</f>
        <v>0</v>
      </c>
      <c r="AN753" s="64" t="str">
        <f>INDEX(Table2[AWAY_RECORD], MATCH(Table1[[#This Row],[AwayTeam]],Table2[Team], 0), 0)</f>
        <v>1-0-0</v>
      </c>
      <c r="AO753" s="64" t="str">
        <f>INDEX(Records!$B$2:$AG$33, MATCH(Table1[[#This Row],[AwayTeam]],Records!$A$2:$A$33, 0), MATCH(Table1[[#This Row],[HomeTeam]],Records!$A$2:$A$33, 0))</f>
        <v>0-0-0</v>
      </c>
      <c r="AP753" s="64" t="str">
        <f>INDEX(Table2[HOME_RECORD], MATCH(Table1[[#This Row],[HomeTeam]],Table2[Team], 0), 0)</f>
        <v>0-0-1</v>
      </c>
      <c r="AQ753" s="64" t="str">
        <f>INDEX(Records!$B$2:$AG$33, MATCH(Table1[[#This Row],[HomeTeam]],Records!$A$2:$A$33, 0), MATCH(Table1[[#This Row],[AwayTeam]],Records!$A$2:$A$33, 0))</f>
        <v>0-0-0</v>
      </c>
    </row>
    <row r="754" spans="1:43" x14ac:dyDescent="0.25">
      <c r="A754" s="1"/>
      <c r="D754" t="s">
        <v>1044</v>
      </c>
      <c r="E754" t="s">
        <v>298</v>
      </c>
      <c r="F754" t="s">
        <v>1045</v>
      </c>
      <c r="G754" t="s">
        <v>61</v>
      </c>
      <c r="H754" t="s">
        <v>36</v>
      </c>
      <c r="L75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5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54" s="1"/>
      <c r="T754" s="64" t="str">
        <f>IF(Table1[[#This Row],[ActualWinner]]="", "", IF(Table1[[#This Row],[AwayTeam]]=Table1[[#This Row],[ActualWinner]],Table1[[#This Row],[HomeTeam]],Table1[[#This Row],[AwayTeam]]))</f>
        <v/>
      </c>
      <c r="U754" s="64">
        <f>Table1[[#This Row],[ActualAwayScore]]-Table1[[#This Row],[PredictedAwayScore]]</f>
        <v>0</v>
      </c>
      <c r="V754" s="64">
        <f>Table1[[#This Row],[ActualHomeScore]]-Table1[[#This Row],[PredictedHomeScore]]</f>
        <v>0</v>
      </c>
      <c r="W754" s="64">
        <f>(0.8*IF(Table1[[#This Row],[CorrectWinnerPrediction]]=1, 1, 0))+(0.1*IF(Table1[[#This Row],[CorrectAwayScorePrediction]]=1, 1, 0))+(0.1*IF(Table1[[#This Row],[CorrectHomeScorePrediction]]=1, 1, 0))</f>
        <v>0</v>
      </c>
      <c r="X75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54" s="64">
        <f>SUMIF(Table1[GameDate], Table1[[#This Row],[GameDate]], Table1[AwayGameGoalDiff])</f>
        <v>0</v>
      </c>
      <c r="AA754" s="64">
        <f>SUMIF(Table1[GameDate], Table1[[#This Row],[GameDate]], Table1[HomeGameGoalDiff])</f>
        <v>0</v>
      </c>
      <c r="AB754" s="64">
        <f>IF(ISBLANK(Table1[[#This Row],[ActualResult]]), 0, 1)</f>
        <v>0</v>
      </c>
      <c r="AC754" s="64">
        <f>IF(ISBLANK(Table1[[#This Row],[ActualResult]]), 0, IF(Table1[[#This Row],[ActualWinner]]=Table1[[#This Row],[PredictedWinner]], 1, 0))</f>
        <v>0</v>
      </c>
      <c r="AD75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5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54" s="64">
        <f>IF(AND(Table1[[#This Row],[GameIsOver]]=1,Table1[[#This Row],[ActualAwayScore]]=0), 1,0)</f>
        <v>0</v>
      </c>
      <c r="AG754" s="64">
        <f>IF(AND(Table1[[#This Row],[GameIsOver]]=1,Table1[[#This Row],[ActualHomeScore]]=0), 1,0)</f>
        <v>0</v>
      </c>
      <c r="AH754" s="64">
        <f>IF(Table1[[#This Row],[GameIsOver]]=0,0,IF(Table1[[#This Row],[ActualWinner]]=Table1[[#This Row],[AwayTeam]], 1, 0))</f>
        <v>0</v>
      </c>
      <c r="AI754" s="64">
        <f>IF(Table1[[#This Row],[GameIsOver]]=0,0,IF(Table1[[#This Row],[ActualWinner]]=Table1[[#This Row],[HomeTeam]], 1, 0))</f>
        <v>0</v>
      </c>
      <c r="AJ754" s="64">
        <f>IF(INDEX(Standings!$A$2:$C$33,MATCH(Table1[[#This Row],[AwayTeam]],Standings!$A$2:$A$33,0),2)=INDEX(Standings!$A$2:$C$33,MATCH(Table1[[#This Row],[HomeTeam]],Standings!$A$2:$A$33,0),2),1,0)</f>
        <v>1</v>
      </c>
      <c r="AK754" s="64">
        <f>IF(INDEX(Standings!$A$2:$C$33,MATCH(Table1[[#This Row],[AwayTeam]],Standings!$A$2:$A$33,0),3)=INDEX(Standings!$A$2:$C$33,MATCH(Table1[[#This Row],[HomeTeam]],Standings!$A$2:$A$33,0),3),1,0)</f>
        <v>0</v>
      </c>
      <c r="AL754" s="64">
        <f>IF(Table1[[#This Row],[InterConf]]=1,IF(Table1[[#This Row],[InterDiv]]=0, 1, 0), 0)</f>
        <v>1</v>
      </c>
      <c r="AM754" s="64">
        <f>IF(INDEX(Standings!$A$2:$C$33,MATCH(Table1[[#This Row],[AwayTeam]],Standings!$A$2:$A$33,0),2)&lt;&gt;INDEX(Standings!$A$2:$C$33,MATCH(Table1[[#This Row],[HomeTeam]],Standings!$A$2:$A$33,0),2),1,0)</f>
        <v>0</v>
      </c>
      <c r="AN754" s="64" t="str">
        <f>INDEX(Table2[AWAY_RECORD], MATCH(Table1[[#This Row],[AwayTeam]],Table2[Team], 0), 0)</f>
        <v>0-0-0</v>
      </c>
      <c r="AO754" s="64" t="str">
        <f>INDEX(Records!$B$2:$AG$33, MATCH(Table1[[#This Row],[AwayTeam]],Records!$A$2:$A$33, 0), MATCH(Table1[[#This Row],[HomeTeam]],Records!$A$2:$A$33, 0))</f>
        <v>0-0-0</v>
      </c>
      <c r="AP754" s="64" t="str">
        <f>INDEX(Table2[HOME_RECORD], MATCH(Table1[[#This Row],[HomeTeam]],Table2[Team], 0), 0)</f>
        <v>0-0-0</v>
      </c>
      <c r="AQ754" s="64" t="str">
        <f>INDEX(Records!$B$2:$AG$33, MATCH(Table1[[#This Row],[HomeTeam]],Records!$A$2:$A$33, 0), MATCH(Table1[[#This Row],[AwayTeam]],Records!$A$2:$A$33, 0))</f>
        <v>0-0-0</v>
      </c>
    </row>
    <row r="755" spans="1:43" x14ac:dyDescent="0.25">
      <c r="A755" s="1"/>
      <c r="D755" t="s">
        <v>1044</v>
      </c>
      <c r="E755" t="s">
        <v>162</v>
      </c>
      <c r="F755" t="s">
        <v>1046</v>
      </c>
      <c r="G755" t="s">
        <v>43</v>
      </c>
      <c r="H755" t="s">
        <v>50</v>
      </c>
      <c r="L75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5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55" s="1"/>
      <c r="T755" s="64" t="str">
        <f>IF(Table1[[#This Row],[ActualWinner]]="", "", IF(Table1[[#This Row],[AwayTeam]]=Table1[[#This Row],[ActualWinner]],Table1[[#This Row],[HomeTeam]],Table1[[#This Row],[AwayTeam]]))</f>
        <v/>
      </c>
      <c r="U755" s="64">
        <f>Table1[[#This Row],[ActualAwayScore]]-Table1[[#This Row],[PredictedAwayScore]]</f>
        <v>0</v>
      </c>
      <c r="V755" s="64">
        <f>Table1[[#This Row],[ActualHomeScore]]-Table1[[#This Row],[PredictedHomeScore]]</f>
        <v>0</v>
      </c>
      <c r="W755" s="64">
        <f>(0.8*IF(Table1[[#This Row],[CorrectWinnerPrediction]]=1, 1, 0))+(0.1*IF(Table1[[#This Row],[CorrectAwayScorePrediction]]=1, 1, 0))+(0.1*IF(Table1[[#This Row],[CorrectHomeScorePrediction]]=1, 1, 0))</f>
        <v>0</v>
      </c>
      <c r="X75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55" s="64">
        <f>SUMIF(Table1[GameDate], Table1[[#This Row],[GameDate]], Table1[AwayGameGoalDiff])</f>
        <v>0</v>
      </c>
      <c r="AA755" s="64">
        <f>SUMIF(Table1[GameDate], Table1[[#This Row],[GameDate]], Table1[HomeGameGoalDiff])</f>
        <v>0</v>
      </c>
      <c r="AB755" s="64">
        <f>IF(ISBLANK(Table1[[#This Row],[ActualResult]]), 0, 1)</f>
        <v>0</v>
      </c>
      <c r="AC755" s="64">
        <f>IF(ISBLANK(Table1[[#This Row],[ActualResult]]), 0, IF(Table1[[#This Row],[ActualWinner]]=Table1[[#This Row],[PredictedWinner]], 1, 0))</f>
        <v>0</v>
      </c>
      <c r="AD75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5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55" s="64">
        <f>IF(AND(Table1[[#This Row],[GameIsOver]]=1,Table1[[#This Row],[ActualAwayScore]]=0), 1,0)</f>
        <v>0</v>
      </c>
      <c r="AG755" s="64">
        <f>IF(AND(Table1[[#This Row],[GameIsOver]]=1,Table1[[#This Row],[ActualHomeScore]]=0), 1,0)</f>
        <v>0</v>
      </c>
      <c r="AH755" s="64">
        <f>IF(Table1[[#This Row],[GameIsOver]]=0,0,IF(Table1[[#This Row],[ActualWinner]]=Table1[[#This Row],[AwayTeam]], 1, 0))</f>
        <v>0</v>
      </c>
      <c r="AI755" s="64">
        <f>IF(Table1[[#This Row],[GameIsOver]]=0,0,IF(Table1[[#This Row],[ActualWinner]]=Table1[[#This Row],[HomeTeam]], 1, 0))</f>
        <v>0</v>
      </c>
      <c r="AJ755" s="64">
        <f>IF(INDEX(Standings!$A$2:$C$33,MATCH(Table1[[#This Row],[AwayTeam]],Standings!$A$2:$A$33,0),2)=INDEX(Standings!$A$2:$C$33,MATCH(Table1[[#This Row],[HomeTeam]],Standings!$A$2:$A$33,0),2),1,0)</f>
        <v>0</v>
      </c>
      <c r="AK755" s="64">
        <f>IF(INDEX(Standings!$A$2:$C$33,MATCH(Table1[[#This Row],[AwayTeam]],Standings!$A$2:$A$33,0),3)=INDEX(Standings!$A$2:$C$33,MATCH(Table1[[#This Row],[HomeTeam]],Standings!$A$2:$A$33,0),3),1,0)</f>
        <v>0</v>
      </c>
      <c r="AL755" s="64">
        <f>IF(Table1[[#This Row],[InterConf]]=1,IF(Table1[[#This Row],[InterDiv]]=0, 1, 0), 0)</f>
        <v>0</v>
      </c>
      <c r="AM755" s="64">
        <f>IF(INDEX(Standings!$A$2:$C$33,MATCH(Table1[[#This Row],[AwayTeam]],Standings!$A$2:$A$33,0),2)&lt;&gt;INDEX(Standings!$A$2:$C$33,MATCH(Table1[[#This Row],[HomeTeam]],Standings!$A$2:$A$33,0),2),1,0)</f>
        <v>1</v>
      </c>
      <c r="AN755" s="64" t="str">
        <f>INDEX(Table2[AWAY_RECORD], MATCH(Table1[[#This Row],[AwayTeam]],Table2[Team], 0), 0)</f>
        <v>0-0-0</v>
      </c>
      <c r="AO755" s="64" t="str">
        <f>INDEX(Records!$B$2:$AG$33, MATCH(Table1[[#This Row],[AwayTeam]],Records!$A$2:$A$33, 0), MATCH(Table1[[#This Row],[HomeTeam]],Records!$A$2:$A$33, 0))</f>
        <v>0-0-0</v>
      </c>
      <c r="AP755" s="64" t="str">
        <f>INDEX(Table2[HOME_RECORD], MATCH(Table1[[#This Row],[HomeTeam]],Table2[Team], 0), 0)</f>
        <v>0-0-0</v>
      </c>
      <c r="AQ755" s="64" t="str">
        <f>INDEX(Records!$B$2:$AG$33, MATCH(Table1[[#This Row],[HomeTeam]],Records!$A$2:$A$33, 0), MATCH(Table1[[#This Row],[AwayTeam]],Records!$A$2:$A$33, 0))</f>
        <v>0-0-0</v>
      </c>
    </row>
    <row r="756" spans="1:43" x14ac:dyDescent="0.25">
      <c r="A756" s="1"/>
      <c r="D756" t="s">
        <v>1044</v>
      </c>
      <c r="E756" t="s">
        <v>162</v>
      </c>
      <c r="F756" t="s">
        <v>1047</v>
      </c>
      <c r="G756" t="s">
        <v>53</v>
      </c>
      <c r="H756" t="s">
        <v>40</v>
      </c>
      <c r="L75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5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56" s="1"/>
      <c r="T756" s="64" t="str">
        <f>IF(Table1[[#This Row],[ActualWinner]]="", "", IF(Table1[[#This Row],[AwayTeam]]=Table1[[#This Row],[ActualWinner]],Table1[[#This Row],[HomeTeam]],Table1[[#This Row],[AwayTeam]]))</f>
        <v/>
      </c>
      <c r="U756" s="64">
        <f>Table1[[#This Row],[ActualAwayScore]]-Table1[[#This Row],[PredictedAwayScore]]</f>
        <v>0</v>
      </c>
      <c r="V756" s="64">
        <f>Table1[[#This Row],[ActualHomeScore]]-Table1[[#This Row],[PredictedHomeScore]]</f>
        <v>0</v>
      </c>
      <c r="W756" s="64">
        <f>(0.8*IF(Table1[[#This Row],[CorrectWinnerPrediction]]=1, 1, 0))+(0.1*IF(Table1[[#This Row],[CorrectAwayScorePrediction]]=1, 1, 0))+(0.1*IF(Table1[[#This Row],[CorrectHomeScorePrediction]]=1, 1, 0))</f>
        <v>0</v>
      </c>
      <c r="X75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56" s="64">
        <f>SUMIF(Table1[GameDate], Table1[[#This Row],[GameDate]], Table1[AwayGameGoalDiff])</f>
        <v>0</v>
      </c>
      <c r="AA756" s="64">
        <f>SUMIF(Table1[GameDate], Table1[[#This Row],[GameDate]], Table1[HomeGameGoalDiff])</f>
        <v>0</v>
      </c>
      <c r="AB756" s="64">
        <f>IF(ISBLANK(Table1[[#This Row],[ActualResult]]), 0, 1)</f>
        <v>0</v>
      </c>
      <c r="AC756" s="64">
        <f>IF(ISBLANK(Table1[[#This Row],[ActualResult]]), 0, IF(Table1[[#This Row],[ActualWinner]]=Table1[[#This Row],[PredictedWinner]], 1, 0))</f>
        <v>0</v>
      </c>
      <c r="AD75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5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56" s="64">
        <f>IF(AND(Table1[[#This Row],[GameIsOver]]=1,Table1[[#This Row],[ActualAwayScore]]=0), 1,0)</f>
        <v>0</v>
      </c>
      <c r="AG756" s="64">
        <f>IF(AND(Table1[[#This Row],[GameIsOver]]=1,Table1[[#This Row],[ActualHomeScore]]=0), 1,0)</f>
        <v>0</v>
      </c>
      <c r="AH756" s="64">
        <f>IF(Table1[[#This Row],[GameIsOver]]=0,0,IF(Table1[[#This Row],[ActualWinner]]=Table1[[#This Row],[AwayTeam]], 1, 0))</f>
        <v>0</v>
      </c>
      <c r="AI756" s="64">
        <f>IF(Table1[[#This Row],[GameIsOver]]=0,0,IF(Table1[[#This Row],[ActualWinner]]=Table1[[#This Row],[HomeTeam]], 1, 0))</f>
        <v>0</v>
      </c>
      <c r="AJ756" s="64">
        <f>IF(INDEX(Standings!$A$2:$C$33,MATCH(Table1[[#This Row],[AwayTeam]],Standings!$A$2:$A$33,0),2)=INDEX(Standings!$A$2:$C$33,MATCH(Table1[[#This Row],[HomeTeam]],Standings!$A$2:$A$33,0),2),1,0)</f>
        <v>1</v>
      </c>
      <c r="AK756" s="64">
        <f>IF(INDEX(Standings!$A$2:$C$33,MATCH(Table1[[#This Row],[AwayTeam]],Standings!$A$2:$A$33,0),3)=INDEX(Standings!$A$2:$C$33,MATCH(Table1[[#This Row],[HomeTeam]],Standings!$A$2:$A$33,0),3),1,0)</f>
        <v>1</v>
      </c>
      <c r="AL756" s="64">
        <f>IF(Table1[[#This Row],[InterConf]]=1,IF(Table1[[#This Row],[InterDiv]]=0, 1, 0), 0)</f>
        <v>0</v>
      </c>
      <c r="AM756" s="64">
        <f>IF(INDEX(Standings!$A$2:$C$33,MATCH(Table1[[#This Row],[AwayTeam]],Standings!$A$2:$A$33,0),2)&lt;&gt;INDEX(Standings!$A$2:$C$33,MATCH(Table1[[#This Row],[HomeTeam]],Standings!$A$2:$A$33,0),2),1,0)</f>
        <v>0</v>
      </c>
      <c r="AN756" s="64" t="str">
        <f>INDEX(Table2[AWAY_RECORD], MATCH(Table1[[#This Row],[AwayTeam]],Table2[Team], 0), 0)</f>
        <v>0-1-0</v>
      </c>
      <c r="AO756" s="64" t="str">
        <f>INDEX(Records!$B$2:$AG$33, MATCH(Table1[[#This Row],[AwayTeam]],Records!$A$2:$A$33, 0), MATCH(Table1[[#This Row],[HomeTeam]],Records!$A$2:$A$33, 0))</f>
        <v>0-0-0</v>
      </c>
      <c r="AP756" s="64" t="str">
        <f>INDEX(Table2[HOME_RECORD], MATCH(Table1[[#This Row],[HomeTeam]],Table2[Team], 0), 0)</f>
        <v>1-1-0</v>
      </c>
      <c r="AQ756" s="64" t="str">
        <f>INDEX(Records!$B$2:$AG$33, MATCH(Table1[[#This Row],[HomeTeam]],Records!$A$2:$A$33, 0), MATCH(Table1[[#This Row],[AwayTeam]],Records!$A$2:$A$33, 0))</f>
        <v>0-0-0</v>
      </c>
    </row>
    <row r="757" spans="1:43" x14ac:dyDescent="0.25">
      <c r="A757" s="1"/>
      <c r="D757" t="s">
        <v>1044</v>
      </c>
      <c r="E757" t="s">
        <v>178</v>
      </c>
      <c r="F757" t="s">
        <v>1048</v>
      </c>
      <c r="G757" t="s">
        <v>42</v>
      </c>
      <c r="H757" t="s">
        <v>45</v>
      </c>
      <c r="L75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5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57" s="1"/>
      <c r="T757" s="64" t="str">
        <f>IF(Table1[[#This Row],[ActualWinner]]="", "", IF(Table1[[#This Row],[AwayTeam]]=Table1[[#This Row],[ActualWinner]],Table1[[#This Row],[HomeTeam]],Table1[[#This Row],[AwayTeam]]))</f>
        <v/>
      </c>
      <c r="U757" s="64">
        <f>Table1[[#This Row],[ActualAwayScore]]-Table1[[#This Row],[PredictedAwayScore]]</f>
        <v>0</v>
      </c>
      <c r="V757" s="64">
        <f>Table1[[#This Row],[ActualHomeScore]]-Table1[[#This Row],[PredictedHomeScore]]</f>
        <v>0</v>
      </c>
      <c r="W757" s="64">
        <f>(0.8*IF(Table1[[#This Row],[CorrectWinnerPrediction]]=1, 1, 0))+(0.1*IF(Table1[[#This Row],[CorrectAwayScorePrediction]]=1, 1, 0))+(0.1*IF(Table1[[#This Row],[CorrectHomeScorePrediction]]=1, 1, 0))</f>
        <v>0</v>
      </c>
      <c r="X75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57" s="64">
        <f>SUMIF(Table1[GameDate], Table1[[#This Row],[GameDate]], Table1[AwayGameGoalDiff])</f>
        <v>0</v>
      </c>
      <c r="AA757" s="64">
        <f>SUMIF(Table1[GameDate], Table1[[#This Row],[GameDate]], Table1[HomeGameGoalDiff])</f>
        <v>0</v>
      </c>
      <c r="AB757" s="64">
        <f>IF(ISBLANK(Table1[[#This Row],[ActualResult]]), 0, 1)</f>
        <v>0</v>
      </c>
      <c r="AC757" s="64">
        <f>IF(ISBLANK(Table1[[#This Row],[ActualResult]]), 0, IF(Table1[[#This Row],[ActualWinner]]=Table1[[#This Row],[PredictedWinner]], 1, 0))</f>
        <v>0</v>
      </c>
      <c r="AD75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5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57" s="64">
        <f>IF(AND(Table1[[#This Row],[GameIsOver]]=1,Table1[[#This Row],[ActualAwayScore]]=0), 1,0)</f>
        <v>0</v>
      </c>
      <c r="AG757" s="64">
        <f>IF(AND(Table1[[#This Row],[GameIsOver]]=1,Table1[[#This Row],[ActualHomeScore]]=0), 1,0)</f>
        <v>0</v>
      </c>
      <c r="AH757" s="64">
        <f>IF(Table1[[#This Row],[GameIsOver]]=0,0,IF(Table1[[#This Row],[ActualWinner]]=Table1[[#This Row],[AwayTeam]], 1, 0))</f>
        <v>0</v>
      </c>
      <c r="AI757" s="64">
        <f>IF(Table1[[#This Row],[GameIsOver]]=0,0,IF(Table1[[#This Row],[ActualWinner]]=Table1[[#This Row],[HomeTeam]], 1, 0))</f>
        <v>0</v>
      </c>
      <c r="AJ757" s="64">
        <f>IF(INDEX(Standings!$A$2:$C$33,MATCH(Table1[[#This Row],[AwayTeam]],Standings!$A$2:$A$33,0),2)=INDEX(Standings!$A$2:$C$33,MATCH(Table1[[#This Row],[HomeTeam]],Standings!$A$2:$A$33,0),2),1,0)</f>
        <v>0</v>
      </c>
      <c r="AK757" s="64">
        <f>IF(INDEX(Standings!$A$2:$C$33,MATCH(Table1[[#This Row],[AwayTeam]],Standings!$A$2:$A$33,0),3)=INDEX(Standings!$A$2:$C$33,MATCH(Table1[[#This Row],[HomeTeam]],Standings!$A$2:$A$33,0),3),1,0)</f>
        <v>0</v>
      </c>
      <c r="AL757" s="64">
        <f>IF(Table1[[#This Row],[InterConf]]=1,IF(Table1[[#This Row],[InterDiv]]=0, 1, 0), 0)</f>
        <v>0</v>
      </c>
      <c r="AM757" s="64">
        <f>IF(INDEX(Standings!$A$2:$C$33,MATCH(Table1[[#This Row],[AwayTeam]],Standings!$A$2:$A$33,0),2)&lt;&gt;INDEX(Standings!$A$2:$C$33,MATCH(Table1[[#This Row],[HomeTeam]],Standings!$A$2:$A$33,0),2),1,0)</f>
        <v>1</v>
      </c>
      <c r="AN757" s="64" t="str">
        <f>INDEX(Table2[AWAY_RECORD], MATCH(Table1[[#This Row],[AwayTeam]],Table2[Team], 0), 0)</f>
        <v>0-0-0</v>
      </c>
      <c r="AO757" s="64" t="str">
        <f>INDEX(Records!$B$2:$AG$33, MATCH(Table1[[#This Row],[AwayTeam]],Records!$A$2:$A$33, 0), MATCH(Table1[[#This Row],[HomeTeam]],Records!$A$2:$A$33, 0))</f>
        <v>0-0-0</v>
      </c>
      <c r="AP757" s="64" t="str">
        <f>INDEX(Table2[HOME_RECORD], MATCH(Table1[[#This Row],[HomeTeam]],Table2[Team], 0), 0)</f>
        <v>1-0-0</v>
      </c>
      <c r="AQ757" s="64" t="str">
        <f>INDEX(Records!$B$2:$AG$33, MATCH(Table1[[#This Row],[HomeTeam]],Records!$A$2:$A$33, 0), MATCH(Table1[[#This Row],[AwayTeam]],Records!$A$2:$A$33, 0))</f>
        <v>0-0-0</v>
      </c>
    </row>
    <row r="758" spans="1:43" x14ac:dyDescent="0.25">
      <c r="A758" s="1"/>
      <c r="D758" t="s">
        <v>1044</v>
      </c>
      <c r="E758" t="s">
        <v>164</v>
      </c>
      <c r="F758" t="s">
        <v>1049</v>
      </c>
      <c r="G758" t="s">
        <v>46</v>
      </c>
      <c r="H758" t="s">
        <v>58</v>
      </c>
      <c r="L75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5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58" s="1"/>
      <c r="T758" s="64" t="str">
        <f>IF(Table1[[#This Row],[ActualWinner]]="", "", IF(Table1[[#This Row],[AwayTeam]]=Table1[[#This Row],[ActualWinner]],Table1[[#This Row],[HomeTeam]],Table1[[#This Row],[AwayTeam]]))</f>
        <v/>
      </c>
      <c r="U758" s="64">
        <f>Table1[[#This Row],[ActualAwayScore]]-Table1[[#This Row],[PredictedAwayScore]]</f>
        <v>0</v>
      </c>
      <c r="V758" s="64">
        <f>Table1[[#This Row],[ActualHomeScore]]-Table1[[#This Row],[PredictedHomeScore]]</f>
        <v>0</v>
      </c>
      <c r="W758" s="64">
        <f>(0.8*IF(Table1[[#This Row],[CorrectWinnerPrediction]]=1, 1, 0))+(0.1*IF(Table1[[#This Row],[CorrectAwayScorePrediction]]=1, 1, 0))+(0.1*IF(Table1[[#This Row],[CorrectHomeScorePrediction]]=1, 1, 0))</f>
        <v>0</v>
      </c>
      <c r="X75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58" s="64">
        <f>SUMIF(Table1[GameDate], Table1[[#This Row],[GameDate]], Table1[AwayGameGoalDiff])</f>
        <v>0</v>
      </c>
      <c r="AA758" s="64">
        <f>SUMIF(Table1[GameDate], Table1[[#This Row],[GameDate]], Table1[HomeGameGoalDiff])</f>
        <v>0</v>
      </c>
      <c r="AB758" s="64">
        <f>IF(ISBLANK(Table1[[#This Row],[ActualResult]]), 0, 1)</f>
        <v>0</v>
      </c>
      <c r="AC758" s="64">
        <f>IF(ISBLANK(Table1[[#This Row],[ActualResult]]), 0, IF(Table1[[#This Row],[ActualWinner]]=Table1[[#This Row],[PredictedWinner]], 1, 0))</f>
        <v>0</v>
      </c>
      <c r="AD75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5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58" s="64">
        <f>IF(AND(Table1[[#This Row],[GameIsOver]]=1,Table1[[#This Row],[ActualAwayScore]]=0), 1,0)</f>
        <v>0</v>
      </c>
      <c r="AG758" s="64">
        <f>IF(AND(Table1[[#This Row],[GameIsOver]]=1,Table1[[#This Row],[ActualHomeScore]]=0), 1,0)</f>
        <v>0</v>
      </c>
      <c r="AH758" s="64">
        <f>IF(Table1[[#This Row],[GameIsOver]]=0,0,IF(Table1[[#This Row],[ActualWinner]]=Table1[[#This Row],[AwayTeam]], 1, 0))</f>
        <v>0</v>
      </c>
      <c r="AI758" s="64">
        <f>IF(Table1[[#This Row],[GameIsOver]]=0,0,IF(Table1[[#This Row],[ActualWinner]]=Table1[[#This Row],[HomeTeam]], 1, 0))</f>
        <v>0</v>
      </c>
      <c r="AJ758" s="64">
        <f>IF(INDEX(Standings!$A$2:$C$33,MATCH(Table1[[#This Row],[AwayTeam]],Standings!$A$2:$A$33,0),2)=INDEX(Standings!$A$2:$C$33,MATCH(Table1[[#This Row],[HomeTeam]],Standings!$A$2:$A$33,0),2),1,0)</f>
        <v>1</v>
      </c>
      <c r="AK758" s="64">
        <f>IF(INDEX(Standings!$A$2:$C$33,MATCH(Table1[[#This Row],[AwayTeam]],Standings!$A$2:$A$33,0),3)=INDEX(Standings!$A$2:$C$33,MATCH(Table1[[#This Row],[HomeTeam]],Standings!$A$2:$A$33,0),3),1,0)</f>
        <v>0</v>
      </c>
      <c r="AL758" s="64">
        <f>IF(Table1[[#This Row],[InterConf]]=1,IF(Table1[[#This Row],[InterDiv]]=0, 1, 0), 0)</f>
        <v>1</v>
      </c>
      <c r="AM758" s="64">
        <f>IF(INDEX(Standings!$A$2:$C$33,MATCH(Table1[[#This Row],[AwayTeam]],Standings!$A$2:$A$33,0),2)&lt;&gt;INDEX(Standings!$A$2:$C$33,MATCH(Table1[[#This Row],[HomeTeam]],Standings!$A$2:$A$33,0),2),1,0)</f>
        <v>0</v>
      </c>
      <c r="AN758" s="64" t="str">
        <f>INDEX(Table2[AWAY_RECORD], MATCH(Table1[[#This Row],[AwayTeam]],Table2[Team], 0), 0)</f>
        <v>1-0-0</v>
      </c>
      <c r="AO758" s="64" t="str">
        <f>INDEX(Records!$B$2:$AG$33, MATCH(Table1[[#This Row],[AwayTeam]],Records!$A$2:$A$33, 0), MATCH(Table1[[#This Row],[HomeTeam]],Records!$A$2:$A$33, 0))</f>
        <v>0-0-0</v>
      </c>
      <c r="AP758" s="64" t="str">
        <f>INDEX(Table2[HOME_RECORD], MATCH(Table1[[#This Row],[HomeTeam]],Table2[Team], 0), 0)</f>
        <v>1-0-0</v>
      </c>
      <c r="AQ758" s="64" t="str">
        <f>INDEX(Records!$B$2:$AG$33, MATCH(Table1[[#This Row],[HomeTeam]],Records!$A$2:$A$33, 0), MATCH(Table1[[#This Row],[AwayTeam]],Records!$A$2:$A$33, 0))</f>
        <v>0-0-0</v>
      </c>
    </row>
    <row r="759" spans="1:43" x14ac:dyDescent="0.25">
      <c r="A759" s="1"/>
      <c r="D759" t="s">
        <v>1050</v>
      </c>
      <c r="E759" t="s">
        <v>205</v>
      </c>
      <c r="F759" t="s">
        <v>1051</v>
      </c>
      <c r="G759" t="s">
        <v>37</v>
      </c>
      <c r="H759" t="s">
        <v>51</v>
      </c>
      <c r="L75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5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59" s="1"/>
      <c r="T759" s="64" t="str">
        <f>IF(Table1[[#This Row],[ActualWinner]]="", "", IF(Table1[[#This Row],[AwayTeam]]=Table1[[#This Row],[ActualWinner]],Table1[[#This Row],[HomeTeam]],Table1[[#This Row],[AwayTeam]]))</f>
        <v/>
      </c>
      <c r="U759" s="64">
        <f>Table1[[#This Row],[ActualAwayScore]]-Table1[[#This Row],[PredictedAwayScore]]</f>
        <v>0</v>
      </c>
      <c r="V759" s="64">
        <f>Table1[[#This Row],[ActualHomeScore]]-Table1[[#This Row],[PredictedHomeScore]]</f>
        <v>0</v>
      </c>
      <c r="W759" s="64">
        <f>(0.8*IF(Table1[[#This Row],[CorrectWinnerPrediction]]=1, 1, 0))+(0.1*IF(Table1[[#This Row],[CorrectAwayScorePrediction]]=1, 1, 0))+(0.1*IF(Table1[[#This Row],[CorrectHomeScorePrediction]]=1, 1, 0))</f>
        <v>0</v>
      </c>
      <c r="X75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59" s="64">
        <f>SUMIF(Table1[GameDate], Table1[[#This Row],[GameDate]], Table1[AwayGameGoalDiff])</f>
        <v>0</v>
      </c>
      <c r="AA759" s="64">
        <f>SUMIF(Table1[GameDate], Table1[[#This Row],[GameDate]], Table1[HomeGameGoalDiff])</f>
        <v>0</v>
      </c>
      <c r="AB759" s="64">
        <f>IF(ISBLANK(Table1[[#This Row],[ActualResult]]), 0, 1)</f>
        <v>0</v>
      </c>
      <c r="AC759" s="64">
        <f>IF(ISBLANK(Table1[[#This Row],[ActualResult]]), 0, IF(Table1[[#This Row],[ActualWinner]]=Table1[[#This Row],[PredictedWinner]], 1, 0))</f>
        <v>0</v>
      </c>
      <c r="AD75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5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59" s="64">
        <f>IF(AND(Table1[[#This Row],[GameIsOver]]=1,Table1[[#This Row],[ActualAwayScore]]=0), 1,0)</f>
        <v>0</v>
      </c>
      <c r="AG759" s="64">
        <f>IF(AND(Table1[[#This Row],[GameIsOver]]=1,Table1[[#This Row],[ActualHomeScore]]=0), 1,0)</f>
        <v>0</v>
      </c>
      <c r="AH759" s="64">
        <f>IF(Table1[[#This Row],[GameIsOver]]=0,0,IF(Table1[[#This Row],[ActualWinner]]=Table1[[#This Row],[AwayTeam]], 1, 0))</f>
        <v>0</v>
      </c>
      <c r="AI759" s="64">
        <f>IF(Table1[[#This Row],[GameIsOver]]=0,0,IF(Table1[[#This Row],[ActualWinner]]=Table1[[#This Row],[HomeTeam]], 1, 0))</f>
        <v>0</v>
      </c>
      <c r="AJ759" s="64">
        <f>IF(INDEX(Standings!$A$2:$C$33,MATCH(Table1[[#This Row],[AwayTeam]],Standings!$A$2:$A$33,0),2)=INDEX(Standings!$A$2:$C$33,MATCH(Table1[[#This Row],[HomeTeam]],Standings!$A$2:$A$33,0),2),1,0)</f>
        <v>1</v>
      </c>
      <c r="AK759" s="64">
        <f>IF(INDEX(Standings!$A$2:$C$33,MATCH(Table1[[#This Row],[AwayTeam]],Standings!$A$2:$A$33,0),3)=INDEX(Standings!$A$2:$C$33,MATCH(Table1[[#This Row],[HomeTeam]],Standings!$A$2:$A$33,0),3),1,0)</f>
        <v>0</v>
      </c>
      <c r="AL759" s="64">
        <f>IF(Table1[[#This Row],[InterConf]]=1,IF(Table1[[#This Row],[InterDiv]]=0, 1, 0), 0)</f>
        <v>1</v>
      </c>
      <c r="AM759" s="64">
        <f>IF(INDEX(Standings!$A$2:$C$33,MATCH(Table1[[#This Row],[AwayTeam]],Standings!$A$2:$A$33,0),2)&lt;&gt;INDEX(Standings!$A$2:$C$33,MATCH(Table1[[#This Row],[HomeTeam]],Standings!$A$2:$A$33,0),2),1,0)</f>
        <v>0</v>
      </c>
      <c r="AN759" s="64" t="str">
        <f>INDEX(Table2[AWAY_RECORD], MATCH(Table1[[#This Row],[AwayTeam]],Table2[Team], 0), 0)</f>
        <v>0-0-1</v>
      </c>
      <c r="AO759" s="64" t="str">
        <f>INDEX(Records!$B$2:$AG$33, MATCH(Table1[[#This Row],[AwayTeam]],Records!$A$2:$A$33, 0), MATCH(Table1[[#This Row],[HomeTeam]],Records!$A$2:$A$33, 0))</f>
        <v>0-1-0</v>
      </c>
      <c r="AP759" s="64" t="str">
        <f>INDEX(Table2[HOME_RECORD], MATCH(Table1[[#This Row],[HomeTeam]],Table2[Team], 0), 0)</f>
        <v>1-0-0</v>
      </c>
      <c r="AQ759" s="64" t="str">
        <f>INDEX(Records!$B$2:$AG$33, MATCH(Table1[[#This Row],[HomeTeam]],Records!$A$2:$A$33, 0), MATCH(Table1[[#This Row],[AwayTeam]],Records!$A$2:$A$33, 0))</f>
        <v>1-0-0</v>
      </c>
    </row>
    <row r="760" spans="1:43" x14ac:dyDescent="0.25">
      <c r="A760" s="1"/>
      <c r="D760" t="s">
        <v>1050</v>
      </c>
      <c r="E760" t="s">
        <v>443</v>
      </c>
      <c r="F760" t="s">
        <v>1052</v>
      </c>
      <c r="G760" t="s">
        <v>52</v>
      </c>
      <c r="H760" t="s">
        <v>57</v>
      </c>
      <c r="L76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6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60" s="1"/>
      <c r="T760" s="64" t="str">
        <f>IF(Table1[[#This Row],[ActualWinner]]="", "", IF(Table1[[#This Row],[AwayTeam]]=Table1[[#This Row],[ActualWinner]],Table1[[#This Row],[HomeTeam]],Table1[[#This Row],[AwayTeam]]))</f>
        <v/>
      </c>
      <c r="U760" s="64">
        <f>Table1[[#This Row],[ActualAwayScore]]-Table1[[#This Row],[PredictedAwayScore]]</f>
        <v>0</v>
      </c>
      <c r="V760" s="64">
        <f>Table1[[#This Row],[ActualHomeScore]]-Table1[[#This Row],[PredictedHomeScore]]</f>
        <v>0</v>
      </c>
      <c r="W760" s="64">
        <f>(0.8*IF(Table1[[#This Row],[CorrectWinnerPrediction]]=1, 1, 0))+(0.1*IF(Table1[[#This Row],[CorrectAwayScorePrediction]]=1, 1, 0))+(0.1*IF(Table1[[#This Row],[CorrectHomeScorePrediction]]=1, 1, 0))</f>
        <v>0</v>
      </c>
      <c r="X76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60" s="64">
        <f>SUMIF(Table1[GameDate], Table1[[#This Row],[GameDate]], Table1[AwayGameGoalDiff])</f>
        <v>0</v>
      </c>
      <c r="AA760" s="64">
        <f>SUMIF(Table1[GameDate], Table1[[#This Row],[GameDate]], Table1[HomeGameGoalDiff])</f>
        <v>0</v>
      </c>
      <c r="AB760" s="64">
        <f>IF(ISBLANK(Table1[[#This Row],[ActualResult]]), 0, 1)</f>
        <v>0</v>
      </c>
      <c r="AC760" s="64">
        <f>IF(ISBLANK(Table1[[#This Row],[ActualResult]]), 0, IF(Table1[[#This Row],[ActualWinner]]=Table1[[#This Row],[PredictedWinner]], 1, 0))</f>
        <v>0</v>
      </c>
      <c r="AD76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6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60" s="64">
        <f>IF(AND(Table1[[#This Row],[GameIsOver]]=1,Table1[[#This Row],[ActualAwayScore]]=0), 1,0)</f>
        <v>0</v>
      </c>
      <c r="AG760" s="64">
        <f>IF(AND(Table1[[#This Row],[GameIsOver]]=1,Table1[[#This Row],[ActualHomeScore]]=0), 1,0)</f>
        <v>0</v>
      </c>
      <c r="AH760" s="64">
        <f>IF(Table1[[#This Row],[GameIsOver]]=0,0,IF(Table1[[#This Row],[ActualWinner]]=Table1[[#This Row],[AwayTeam]], 1, 0))</f>
        <v>0</v>
      </c>
      <c r="AI760" s="64">
        <f>IF(Table1[[#This Row],[GameIsOver]]=0,0,IF(Table1[[#This Row],[ActualWinner]]=Table1[[#This Row],[HomeTeam]], 1, 0))</f>
        <v>0</v>
      </c>
      <c r="AJ760" s="64">
        <f>IF(INDEX(Standings!$A$2:$C$33,MATCH(Table1[[#This Row],[AwayTeam]],Standings!$A$2:$A$33,0),2)=INDEX(Standings!$A$2:$C$33,MATCH(Table1[[#This Row],[HomeTeam]],Standings!$A$2:$A$33,0),2),1,0)</f>
        <v>1</v>
      </c>
      <c r="AK760" s="64">
        <f>IF(INDEX(Standings!$A$2:$C$33,MATCH(Table1[[#This Row],[AwayTeam]],Standings!$A$2:$A$33,0),3)=INDEX(Standings!$A$2:$C$33,MATCH(Table1[[#This Row],[HomeTeam]],Standings!$A$2:$A$33,0),3),1,0)</f>
        <v>1</v>
      </c>
      <c r="AL760" s="64">
        <f>IF(Table1[[#This Row],[InterConf]]=1,IF(Table1[[#This Row],[InterDiv]]=0, 1, 0), 0)</f>
        <v>0</v>
      </c>
      <c r="AM760" s="64">
        <f>IF(INDEX(Standings!$A$2:$C$33,MATCH(Table1[[#This Row],[AwayTeam]],Standings!$A$2:$A$33,0),2)&lt;&gt;INDEX(Standings!$A$2:$C$33,MATCH(Table1[[#This Row],[HomeTeam]],Standings!$A$2:$A$33,0),2),1,0)</f>
        <v>0</v>
      </c>
      <c r="AN760" s="64" t="str">
        <f>INDEX(Table2[AWAY_RECORD], MATCH(Table1[[#This Row],[AwayTeam]],Table2[Team], 0), 0)</f>
        <v>0-0-0</v>
      </c>
      <c r="AO760" s="64" t="str">
        <f>INDEX(Records!$B$2:$AG$33, MATCH(Table1[[#This Row],[AwayTeam]],Records!$A$2:$A$33, 0), MATCH(Table1[[#This Row],[HomeTeam]],Records!$A$2:$A$33, 0))</f>
        <v>0-0-0</v>
      </c>
      <c r="AP760" s="64" t="str">
        <f>INDEX(Table2[HOME_RECORD], MATCH(Table1[[#This Row],[HomeTeam]],Table2[Team], 0), 0)</f>
        <v>0-0-0</v>
      </c>
      <c r="AQ760" s="64" t="str">
        <f>INDEX(Records!$B$2:$AG$33, MATCH(Table1[[#This Row],[HomeTeam]],Records!$A$2:$A$33, 0), MATCH(Table1[[#This Row],[AwayTeam]],Records!$A$2:$A$33, 0))</f>
        <v>0-0-0</v>
      </c>
    </row>
    <row r="761" spans="1:43" x14ac:dyDescent="0.25">
      <c r="A761" s="1"/>
      <c r="D761" t="s">
        <v>1050</v>
      </c>
      <c r="E761" t="s">
        <v>160</v>
      </c>
      <c r="F761" t="s">
        <v>1053</v>
      </c>
      <c r="G761" t="s">
        <v>25</v>
      </c>
      <c r="H761" t="s">
        <v>17</v>
      </c>
      <c r="L76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6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61" s="1"/>
      <c r="T761" s="64" t="str">
        <f>IF(Table1[[#This Row],[ActualWinner]]="", "", IF(Table1[[#This Row],[AwayTeam]]=Table1[[#This Row],[ActualWinner]],Table1[[#This Row],[HomeTeam]],Table1[[#This Row],[AwayTeam]]))</f>
        <v/>
      </c>
      <c r="U761" s="64">
        <f>Table1[[#This Row],[ActualAwayScore]]-Table1[[#This Row],[PredictedAwayScore]]</f>
        <v>0</v>
      </c>
      <c r="V761" s="64">
        <f>Table1[[#This Row],[ActualHomeScore]]-Table1[[#This Row],[PredictedHomeScore]]</f>
        <v>0</v>
      </c>
      <c r="W761" s="64">
        <f>(0.8*IF(Table1[[#This Row],[CorrectWinnerPrediction]]=1, 1, 0))+(0.1*IF(Table1[[#This Row],[CorrectAwayScorePrediction]]=1, 1, 0))+(0.1*IF(Table1[[#This Row],[CorrectHomeScorePrediction]]=1, 1, 0))</f>
        <v>0</v>
      </c>
      <c r="X76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61" s="64">
        <f>SUMIF(Table1[GameDate], Table1[[#This Row],[GameDate]], Table1[AwayGameGoalDiff])</f>
        <v>0</v>
      </c>
      <c r="AA761" s="64">
        <f>SUMIF(Table1[GameDate], Table1[[#This Row],[GameDate]], Table1[HomeGameGoalDiff])</f>
        <v>0</v>
      </c>
      <c r="AB761" s="64">
        <f>IF(ISBLANK(Table1[[#This Row],[ActualResult]]), 0, 1)</f>
        <v>0</v>
      </c>
      <c r="AC761" s="64">
        <f>IF(ISBLANK(Table1[[#This Row],[ActualResult]]), 0, IF(Table1[[#This Row],[ActualWinner]]=Table1[[#This Row],[PredictedWinner]], 1, 0))</f>
        <v>0</v>
      </c>
      <c r="AD76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6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61" s="64">
        <f>IF(AND(Table1[[#This Row],[GameIsOver]]=1,Table1[[#This Row],[ActualAwayScore]]=0), 1,0)</f>
        <v>0</v>
      </c>
      <c r="AG761" s="64">
        <f>IF(AND(Table1[[#This Row],[GameIsOver]]=1,Table1[[#This Row],[ActualHomeScore]]=0), 1,0)</f>
        <v>0</v>
      </c>
      <c r="AH761" s="64">
        <f>IF(Table1[[#This Row],[GameIsOver]]=0,0,IF(Table1[[#This Row],[ActualWinner]]=Table1[[#This Row],[AwayTeam]], 1, 0))</f>
        <v>0</v>
      </c>
      <c r="AI761" s="64">
        <f>IF(Table1[[#This Row],[GameIsOver]]=0,0,IF(Table1[[#This Row],[ActualWinner]]=Table1[[#This Row],[HomeTeam]], 1, 0))</f>
        <v>0</v>
      </c>
      <c r="AJ761" s="64">
        <f>IF(INDEX(Standings!$A$2:$C$33,MATCH(Table1[[#This Row],[AwayTeam]],Standings!$A$2:$A$33,0),2)=INDEX(Standings!$A$2:$C$33,MATCH(Table1[[#This Row],[HomeTeam]],Standings!$A$2:$A$33,0),2),1,0)</f>
        <v>0</v>
      </c>
      <c r="AK761" s="64">
        <f>IF(INDEX(Standings!$A$2:$C$33,MATCH(Table1[[#This Row],[AwayTeam]],Standings!$A$2:$A$33,0),3)=INDEX(Standings!$A$2:$C$33,MATCH(Table1[[#This Row],[HomeTeam]],Standings!$A$2:$A$33,0),3),1,0)</f>
        <v>0</v>
      </c>
      <c r="AL761" s="64">
        <f>IF(Table1[[#This Row],[InterConf]]=1,IF(Table1[[#This Row],[InterDiv]]=0, 1, 0), 0)</f>
        <v>0</v>
      </c>
      <c r="AM761" s="64">
        <f>IF(INDEX(Standings!$A$2:$C$33,MATCH(Table1[[#This Row],[AwayTeam]],Standings!$A$2:$A$33,0),2)&lt;&gt;INDEX(Standings!$A$2:$C$33,MATCH(Table1[[#This Row],[HomeTeam]],Standings!$A$2:$A$33,0),2),1,0)</f>
        <v>1</v>
      </c>
      <c r="AN761" s="64" t="str">
        <f>INDEX(Table2[AWAY_RECORD], MATCH(Table1[[#This Row],[AwayTeam]],Table2[Team], 0), 0)</f>
        <v>0-0-0</v>
      </c>
      <c r="AO761" s="64" t="str">
        <f>INDEX(Records!$B$2:$AG$33, MATCH(Table1[[#This Row],[AwayTeam]],Records!$A$2:$A$33, 0), MATCH(Table1[[#This Row],[HomeTeam]],Records!$A$2:$A$33, 0))</f>
        <v>0-0-0</v>
      </c>
      <c r="AP761" s="64" t="str">
        <f>INDEX(Table2[HOME_RECORD], MATCH(Table1[[#This Row],[HomeTeam]],Table2[Team], 0), 0)</f>
        <v>0-0-0</v>
      </c>
      <c r="AQ761" s="64" t="str">
        <f>INDEX(Records!$B$2:$AG$33, MATCH(Table1[[#This Row],[HomeTeam]],Records!$A$2:$A$33, 0), MATCH(Table1[[#This Row],[AwayTeam]],Records!$A$2:$A$33, 0))</f>
        <v>0-0-0</v>
      </c>
    </row>
    <row r="762" spans="1:43" x14ac:dyDescent="0.25">
      <c r="A762" s="1"/>
      <c r="D762" t="s">
        <v>1050</v>
      </c>
      <c r="E762" t="s">
        <v>162</v>
      </c>
      <c r="F762" t="s">
        <v>1054</v>
      </c>
      <c r="G762" t="s">
        <v>48</v>
      </c>
      <c r="H762" t="s">
        <v>38</v>
      </c>
      <c r="L76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6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62" s="1"/>
      <c r="T762" s="64" t="str">
        <f>IF(Table1[[#This Row],[ActualWinner]]="", "", IF(Table1[[#This Row],[AwayTeam]]=Table1[[#This Row],[ActualWinner]],Table1[[#This Row],[HomeTeam]],Table1[[#This Row],[AwayTeam]]))</f>
        <v/>
      </c>
      <c r="U762" s="64">
        <f>Table1[[#This Row],[ActualAwayScore]]-Table1[[#This Row],[PredictedAwayScore]]</f>
        <v>0</v>
      </c>
      <c r="V762" s="64">
        <f>Table1[[#This Row],[ActualHomeScore]]-Table1[[#This Row],[PredictedHomeScore]]</f>
        <v>0</v>
      </c>
      <c r="W762" s="64">
        <f>(0.8*IF(Table1[[#This Row],[CorrectWinnerPrediction]]=1, 1, 0))+(0.1*IF(Table1[[#This Row],[CorrectAwayScorePrediction]]=1, 1, 0))+(0.1*IF(Table1[[#This Row],[CorrectHomeScorePrediction]]=1, 1, 0))</f>
        <v>0</v>
      </c>
      <c r="X76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62" s="64">
        <f>SUMIF(Table1[GameDate], Table1[[#This Row],[GameDate]], Table1[AwayGameGoalDiff])</f>
        <v>0</v>
      </c>
      <c r="AA762" s="64">
        <f>SUMIF(Table1[GameDate], Table1[[#This Row],[GameDate]], Table1[HomeGameGoalDiff])</f>
        <v>0</v>
      </c>
      <c r="AB762" s="64">
        <f>IF(ISBLANK(Table1[[#This Row],[ActualResult]]), 0, 1)</f>
        <v>0</v>
      </c>
      <c r="AC762" s="64">
        <f>IF(ISBLANK(Table1[[#This Row],[ActualResult]]), 0, IF(Table1[[#This Row],[ActualWinner]]=Table1[[#This Row],[PredictedWinner]], 1, 0))</f>
        <v>0</v>
      </c>
      <c r="AD76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6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62" s="64">
        <f>IF(AND(Table1[[#This Row],[GameIsOver]]=1,Table1[[#This Row],[ActualAwayScore]]=0), 1,0)</f>
        <v>0</v>
      </c>
      <c r="AG762" s="64">
        <f>IF(AND(Table1[[#This Row],[GameIsOver]]=1,Table1[[#This Row],[ActualHomeScore]]=0), 1,0)</f>
        <v>0</v>
      </c>
      <c r="AH762" s="64">
        <f>IF(Table1[[#This Row],[GameIsOver]]=0,0,IF(Table1[[#This Row],[ActualWinner]]=Table1[[#This Row],[AwayTeam]], 1, 0))</f>
        <v>0</v>
      </c>
      <c r="AI762" s="64">
        <f>IF(Table1[[#This Row],[GameIsOver]]=0,0,IF(Table1[[#This Row],[ActualWinner]]=Table1[[#This Row],[HomeTeam]], 1, 0))</f>
        <v>0</v>
      </c>
      <c r="AJ762" s="64">
        <f>IF(INDEX(Standings!$A$2:$C$33,MATCH(Table1[[#This Row],[AwayTeam]],Standings!$A$2:$A$33,0),2)=INDEX(Standings!$A$2:$C$33,MATCH(Table1[[#This Row],[HomeTeam]],Standings!$A$2:$A$33,0),2),1,0)</f>
        <v>0</v>
      </c>
      <c r="AK762" s="64">
        <f>IF(INDEX(Standings!$A$2:$C$33,MATCH(Table1[[#This Row],[AwayTeam]],Standings!$A$2:$A$33,0),3)=INDEX(Standings!$A$2:$C$33,MATCH(Table1[[#This Row],[HomeTeam]],Standings!$A$2:$A$33,0),3),1,0)</f>
        <v>0</v>
      </c>
      <c r="AL762" s="64">
        <f>IF(Table1[[#This Row],[InterConf]]=1,IF(Table1[[#This Row],[InterDiv]]=0, 1, 0), 0)</f>
        <v>0</v>
      </c>
      <c r="AM762" s="64">
        <f>IF(INDEX(Standings!$A$2:$C$33,MATCH(Table1[[#This Row],[AwayTeam]],Standings!$A$2:$A$33,0),2)&lt;&gt;INDEX(Standings!$A$2:$C$33,MATCH(Table1[[#This Row],[HomeTeam]],Standings!$A$2:$A$33,0),2),1,0)</f>
        <v>1</v>
      </c>
      <c r="AN762" s="64" t="str">
        <f>INDEX(Table2[AWAY_RECORD], MATCH(Table1[[#This Row],[AwayTeam]],Table2[Team], 0), 0)</f>
        <v>0-0-0</v>
      </c>
      <c r="AO762" s="64" t="str">
        <f>INDEX(Records!$B$2:$AG$33, MATCH(Table1[[#This Row],[AwayTeam]],Records!$A$2:$A$33, 0), MATCH(Table1[[#This Row],[HomeTeam]],Records!$A$2:$A$33, 0))</f>
        <v>0-0-0</v>
      </c>
      <c r="AP762" s="64" t="str">
        <f>INDEX(Table2[HOME_RECORD], MATCH(Table1[[#This Row],[HomeTeam]],Table2[Team], 0), 0)</f>
        <v>0-0-0</v>
      </c>
      <c r="AQ762" s="64" t="str">
        <f>INDEX(Records!$B$2:$AG$33, MATCH(Table1[[#This Row],[HomeTeam]],Records!$A$2:$A$33, 0), MATCH(Table1[[#This Row],[AwayTeam]],Records!$A$2:$A$33, 0))</f>
        <v>0-0-0</v>
      </c>
    </row>
    <row r="763" spans="1:43" x14ac:dyDescent="0.25">
      <c r="A763" s="1"/>
      <c r="D763" t="s">
        <v>1050</v>
      </c>
      <c r="E763" t="s">
        <v>162</v>
      </c>
      <c r="F763" t="s">
        <v>1055</v>
      </c>
      <c r="G763" t="s">
        <v>54</v>
      </c>
      <c r="H763" t="s">
        <v>24</v>
      </c>
      <c r="L76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6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63" s="1"/>
      <c r="T763" s="64" t="str">
        <f>IF(Table1[[#This Row],[ActualWinner]]="", "", IF(Table1[[#This Row],[AwayTeam]]=Table1[[#This Row],[ActualWinner]],Table1[[#This Row],[HomeTeam]],Table1[[#This Row],[AwayTeam]]))</f>
        <v/>
      </c>
      <c r="U763" s="64">
        <f>Table1[[#This Row],[ActualAwayScore]]-Table1[[#This Row],[PredictedAwayScore]]</f>
        <v>0</v>
      </c>
      <c r="V763" s="64">
        <f>Table1[[#This Row],[ActualHomeScore]]-Table1[[#This Row],[PredictedHomeScore]]</f>
        <v>0</v>
      </c>
      <c r="W763" s="64">
        <f>(0.8*IF(Table1[[#This Row],[CorrectWinnerPrediction]]=1, 1, 0))+(0.1*IF(Table1[[#This Row],[CorrectAwayScorePrediction]]=1, 1, 0))+(0.1*IF(Table1[[#This Row],[CorrectHomeScorePrediction]]=1, 1, 0))</f>
        <v>0</v>
      </c>
      <c r="X76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63" s="64">
        <f>SUMIF(Table1[GameDate], Table1[[#This Row],[GameDate]], Table1[AwayGameGoalDiff])</f>
        <v>0</v>
      </c>
      <c r="AA763" s="64">
        <f>SUMIF(Table1[GameDate], Table1[[#This Row],[GameDate]], Table1[HomeGameGoalDiff])</f>
        <v>0</v>
      </c>
      <c r="AB763" s="64">
        <f>IF(ISBLANK(Table1[[#This Row],[ActualResult]]), 0, 1)</f>
        <v>0</v>
      </c>
      <c r="AC763" s="64">
        <f>IF(ISBLANK(Table1[[#This Row],[ActualResult]]), 0, IF(Table1[[#This Row],[ActualWinner]]=Table1[[#This Row],[PredictedWinner]], 1, 0))</f>
        <v>0</v>
      </c>
      <c r="AD76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6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63" s="64">
        <f>IF(AND(Table1[[#This Row],[GameIsOver]]=1,Table1[[#This Row],[ActualAwayScore]]=0), 1,0)</f>
        <v>0</v>
      </c>
      <c r="AG763" s="64">
        <f>IF(AND(Table1[[#This Row],[GameIsOver]]=1,Table1[[#This Row],[ActualHomeScore]]=0), 1,0)</f>
        <v>0</v>
      </c>
      <c r="AH763" s="64">
        <f>IF(Table1[[#This Row],[GameIsOver]]=0,0,IF(Table1[[#This Row],[ActualWinner]]=Table1[[#This Row],[AwayTeam]], 1, 0))</f>
        <v>0</v>
      </c>
      <c r="AI763" s="64">
        <f>IF(Table1[[#This Row],[GameIsOver]]=0,0,IF(Table1[[#This Row],[ActualWinner]]=Table1[[#This Row],[HomeTeam]], 1, 0))</f>
        <v>0</v>
      </c>
      <c r="AJ763" s="64">
        <f>IF(INDEX(Standings!$A$2:$C$33,MATCH(Table1[[#This Row],[AwayTeam]],Standings!$A$2:$A$33,0),2)=INDEX(Standings!$A$2:$C$33,MATCH(Table1[[#This Row],[HomeTeam]],Standings!$A$2:$A$33,0),2),1,0)</f>
        <v>1</v>
      </c>
      <c r="AK763" s="64">
        <f>IF(INDEX(Standings!$A$2:$C$33,MATCH(Table1[[#This Row],[AwayTeam]],Standings!$A$2:$A$33,0),3)=INDEX(Standings!$A$2:$C$33,MATCH(Table1[[#This Row],[HomeTeam]],Standings!$A$2:$A$33,0),3),1,0)</f>
        <v>0</v>
      </c>
      <c r="AL763" s="64">
        <f>IF(Table1[[#This Row],[InterConf]]=1,IF(Table1[[#This Row],[InterDiv]]=0, 1, 0), 0)</f>
        <v>1</v>
      </c>
      <c r="AM763" s="64">
        <f>IF(INDEX(Standings!$A$2:$C$33,MATCH(Table1[[#This Row],[AwayTeam]],Standings!$A$2:$A$33,0),2)&lt;&gt;INDEX(Standings!$A$2:$C$33,MATCH(Table1[[#This Row],[HomeTeam]],Standings!$A$2:$A$33,0),2),1,0)</f>
        <v>0</v>
      </c>
      <c r="AN763" s="64" t="str">
        <f>INDEX(Table2[AWAY_RECORD], MATCH(Table1[[#This Row],[AwayTeam]],Table2[Team], 0), 0)</f>
        <v>0-0-1</v>
      </c>
      <c r="AO763" s="64" t="str">
        <f>INDEX(Records!$B$2:$AG$33, MATCH(Table1[[#This Row],[AwayTeam]],Records!$A$2:$A$33, 0), MATCH(Table1[[#This Row],[HomeTeam]],Records!$A$2:$A$33, 0))</f>
        <v>0-0-0</v>
      </c>
      <c r="AP763" s="64" t="str">
        <f>INDEX(Table2[HOME_RECORD], MATCH(Table1[[#This Row],[HomeTeam]],Table2[Team], 0), 0)</f>
        <v>0-2-0</v>
      </c>
      <c r="AQ763" s="64" t="str">
        <f>INDEX(Records!$B$2:$AG$33, MATCH(Table1[[#This Row],[HomeTeam]],Records!$A$2:$A$33, 0), MATCH(Table1[[#This Row],[AwayTeam]],Records!$A$2:$A$33, 0))</f>
        <v>0-0-0</v>
      </c>
    </row>
    <row r="764" spans="1:43" x14ac:dyDescent="0.25">
      <c r="A764" s="1"/>
      <c r="D764" t="s">
        <v>1050</v>
      </c>
      <c r="E764" t="s">
        <v>162</v>
      </c>
      <c r="F764" t="s">
        <v>1056</v>
      </c>
      <c r="G764" t="s">
        <v>50</v>
      </c>
      <c r="H764" t="s">
        <v>49</v>
      </c>
      <c r="L76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6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64" s="1"/>
      <c r="T764" s="64" t="str">
        <f>IF(Table1[[#This Row],[ActualWinner]]="", "", IF(Table1[[#This Row],[AwayTeam]]=Table1[[#This Row],[ActualWinner]],Table1[[#This Row],[HomeTeam]],Table1[[#This Row],[AwayTeam]]))</f>
        <v/>
      </c>
      <c r="U764" s="64">
        <f>Table1[[#This Row],[ActualAwayScore]]-Table1[[#This Row],[PredictedAwayScore]]</f>
        <v>0</v>
      </c>
      <c r="V764" s="64">
        <f>Table1[[#This Row],[ActualHomeScore]]-Table1[[#This Row],[PredictedHomeScore]]</f>
        <v>0</v>
      </c>
      <c r="W764" s="64">
        <f>(0.8*IF(Table1[[#This Row],[CorrectWinnerPrediction]]=1, 1, 0))+(0.1*IF(Table1[[#This Row],[CorrectAwayScorePrediction]]=1, 1, 0))+(0.1*IF(Table1[[#This Row],[CorrectHomeScorePrediction]]=1, 1, 0))</f>
        <v>0</v>
      </c>
      <c r="X76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64" s="64">
        <f>SUMIF(Table1[GameDate], Table1[[#This Row],[GameDate]], Table1[AwayGameGoalDiff])</f>
        <v>0</v>
      </c>
      <c r="AA764" s="64">
        <f>SUMIF(Table1[GameDate], Table1[[#This Row],[GameDate]], Table1[HomeGameGoalDiff])</f>
        <v>0</v>
      </c>
      <c r="AB764" s="64">
        <f>IF(ISBLANK(Table1[[#This Row],[ActualResult]]), 0, 1)</f>
        <v>0</v>
      </c>
      <c r="AC764" s="64">
        <f>IF(ISBLANK(Table1[[#This Row],[ActualResult]]), 0, IF(Table1[[#This Row],[ActualWinner]]=Table1[[#This Row],[PredictedWinner]], 1, 0))</f>
        <v>0</v>
      </c>
      <c r="AD76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6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64" s="64">
        <f>IF(AND(Table1[[#This Row],[GameIsOver]]=1,Table1[[#This Row],[ActualAwayScore]]=0), 1,0)</f>
        <v>0</v>
      </c>
      <c r="AG764" s="64">
        <f>IF(AND(Table1[[#This Row],[GameIsOver]]=1,Table1[[#This Row],[ActualHomeScore]]=0), 1,0)</f>
        <v>0</v>
      </c>
      <c r="AH764" s="64">
        <f>IF(Table1[[#This Row],[GameIsOver]]=0,0,IF(Table1[[#This Row],[ActualWinner]]=Table1[[#This Row],[AwayTeam]], 1, 0))</f>
        <v>0</v>
      </c>
      <c r="AI764" s="64">
        <f>IF(Table1[[#This Row],[GameIsOver]]=0,0,IF(Table1[[#This Row],[ActualWinner]]=Table1[[#This Row],[HomeTeam]], 1, 0))</f>
        <v>0</v>
      </c>
      <c r="AJ764" s="64">
        <f>IF(INDEX(Standings!$A$2:$C$33,MATCH(Table1[[#This Row],[AwayTeam]],Standings!$A$2:$A$33,0),2)=INDEX(Standings!$A$2:$C$33,MATCH(Table1[[#This Row],[HomeTeam]],Standings!$A$2:$A$33,0),2),1,0)</f>
        <v>1</v>
      </c>
      <c r="AK764" s="64">
        <f>IF(INDEX(Standings!$A$2:$C$33,MATCH(Table1[[#This Row],[AwayTeam]],Standings!$A$2:$A$33,0),3)=INDEX(Standings!$A$2:$C$33,MATCH(Table1[[#This Row],[HomeTeam]],Standings!$A$2:$A$33,0),3),1,0)</f>
        <v>1</v>
      </c>
      <c r="AL764" s="64">
        <f>IF(Table1[[#This Row],[InterConf]]=1,IF(Table1[[#This Row],[InterDiv]]=0, 1, 0), 0)</f>
        <v>0</v>
      </c>
      <c r="AM764" s="64">
        <f>IF(INDEX(Standings!$A$2:$C$33,MATCH(Table1[[#This Row],[AwayTeam]],Standings!$A$2:$A$33,0),2)&lt;&gt;INDEX(Standings!$A$2:$C$33,MATCH(Table1[[#This Row],[HomeTeam]],Standings!$A$2:$A$33,0),2),1,0)</f>
        <v>0</v>
      </c>
      <c r="AN764" s="64" t="str">
        <f>INDEX(Table2[AWAY_RECORD], MATCH(Table1[[#This Row],[AwayTeam]],Table2[Team], 0), 0)</f>
        <v>1-0-0</v>
      </c>
      <c r="AO764" s="64" t="str">
        <f>INDEX(Records!$B$2:$AG$33, MATCH(Table1[[#This Row],[AwayTeam]],Records!$A$2:$A$33, 0), MATCH(Table1[[#This Row],[HomeTeam]],Records!$A$2:$A$33, 0))</f>
        <v>0-0-0</v>
      </c>
      <c r="AP764" s="64" t="str">
        <f>INDEX(Table2[HOME_RECORD], MATCH(Table1[[#This Row],[HomeTeam]],Table2[Team], 0), 0)</f>
        <v>1-0-0</v>
      </c>
      <c r="AQ764" s="64" t="str">
        <f>INDEX(Records!$B$2:$AG$33, MATCH(Table1[[#This Row],[HomeTeam]],Records!$A$2:$A$33, 0), MATCH(Table1[[#This Row],[AwayTeam]],Records!$A$2:$A$33, 0))</f>
        <v>0-0-0</v>
      </c>
    </row>
    <row r="765" spans="1:43" x14ac:dyDescent="0.25">
      <c r="A765" s="1"/>
      <c r="D765" t="s">
        <v>1050</v>
      </c>
      <c r="E765" t="s">
        <v>162</v>
      </c>
      <c r="F765" t="s">
        <v>1057</v>
      </c>
      <c r="G765" t="s">
        <v>47</v>
      </c>
      <c r="H765" t="s">
        <v>53</v>
      </c>
      <c r="L76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6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65" s="1"/>
      <c r="T765" s="64" t="str">
        <f>IF(Table1[[#This Row],[ActualWinner]]="", "", IF(Table1[[#This Row],[AwayTeam]]=Table1[[#This Row],[ActualWinner]],Table1[[#This Row],[HomeTeam]],Table1[[#This Row],[AwayTeam]]))</f>
        <v/>
      </c>
      <c r="U765" s="64">
        <f>Table1[[#This Row],[ActualAwayScore]]-Table1[[#This Row],[PredictedAwayScore]]</f>
        <v>0</v>
      </c>
      <c r="V765" s="64">
        <f>Table1[[#This Row],[ActualHomeScore]]-Table1[[#This Row],[PredictedHomeScore]]</f>
        <v>0</v>
      </c>
      <c r="W765" s="64">
        <f>(0.8*IF(Table1[[#This Row],[CorrectWinnerPrediction]]=1, 1, 0))+(0.1*IF(Table1[[#This Row],[CorrectAwayScorePrediction]]=1, 1, 0))+(0.1*IF(Table1[[#This Row],[CorrectHomeScorePrediction]]=1, 1, 0))</f>
        <v>0</v>
      </c>
      <c r="X76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65" s="64">
        <f>SUMIF(Table1[GameDate], Table1[[#This Row],[GameDate]], Table1[AwayGameGoalDiff])</f>
        <v>0</v>
      </c>
      <c r="AA765" s="64">
        <f>SUMIF(Table1[GameDate], Table1[[#This Row],[GameDate]], Table1[HomeGameGoalDiff])</f>
        <v>0</v>
      </c>
      <c r="AB765" s="64">
        <f>IF(ISBLANK(Table1[[#This Row],[ActualResult]]), 0, 1)</f>
        <v>0</v>
      </c>
      <c r="AC765" s="64">
        <f>IF(ISBLANK(Table1[[#This Row],[ActualResult]]), 0, IF(Table1[[#This Row],[ActualWinner]]=Table1[[#This Row],[PredictedWinner]], 1, 0))</f>
        <v>0</v>
      </c>
      <c r="AD76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6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65" s="64">
        <f>IF(AND(Table1[[#This Row],[GameIsOver]]=1,Table1[[#This Row],[ActualAwayScore]]=0), 1,0)</f>
        <v>0</v>
      </c>
      <c r="AG765" s="64">
        <f>IF(AND(Table1[[#This Row],[GameIsOver]]=1,Table1[[#This Row],[ActualHomeScore]]=0), 1,0)</f>
        <v>0</v>
      </c>
      <c r="AH765" s="64">
        <f>IF(Table1[[#This Row],[GameIsOver]]=0,0,IF(Table1[[#This Row],[ActualWinner]]=Table1[[#This Row],[AwayTeam]], 1, 0))</f>
        <v>0</v>
      </c>
      <c r="AI765" s="64">
        <f>IF(Table1[[#This Row],[GameIsOver]]=0,0,IF(Table1[[#This Row],[ActualWinner]]=Table1[[#This Row],[HomeTeam]], 1, 0))</f>
        <v>0</v>
      </c>
      <c r="AJ765" s="64">
        <f>IF(INDEX(Standings!$A$2:$C$33,MATCH(Table1[[#This Row],[AwayTeam]],Standings!$A$2:$A$33,0),2)=INDEX(Standings!$A$2:$C$33,MATCH(Table1[[#This Row],[HomeTeam]],Standings!$A$2:$A$33,0),2),1,0)</f>
        <v>1</v>
      </c>
      <c r="AK765" s="64">
        <f>IF(INDEX(Standings!$A$2:$C$33,MATCH(Table1[[#This Row],[AwayTeam]],Standings!$A$2:$A$33,0),3)=INDEX(Standings!$A$2:$C$33,MATCH(Table1[[#This Row],[HomeTeam]],Standings!$A$2:$A$33,0),3),1,0)</f>
        <v>0</v>
      </c>
      <c r="AL765" s="64">
        <f>IF(Table1[[#This Row],[InterConf]]=1,IF(Table1[[#This Row],[InterDiv]]=0, 1, 0), 0)</f>
        <v>1</v>
      </c>
      <c r="AM765" s="64">
        <f>IF(INDEX(Standings!$A$2:$C$33,MATCH(Table1[[#This Row],[AwayTeam]],Standings!$A$2:$A$33,0),2)&lt;&gt;INDEX(Standings!$A$2:$C$33,MATCH(Table1[[#This Row],[HomeTeam]],Standings!$A$2:$A$33,0),2),1,0)</f>
        <v>0</v>
      </c>
      <c r="AN765" s="64" t="str">
        <f>INDEX(Table2[AWAY_RECORD], MATCH(Table1[[#This Row],[AwayTeam]],Table2[Team], 0), 0)</f>
        <v>1-0-0</v>
      </c>
      <c r="AO765" s="64" t="str">
        <f>INDEX(Records!$B$2:$AG$33, MATCH(Table1[[#This Row],[AwayTeam]],Records!$A$2:$A$33, 0), MATCH(Table1[[#This Row],[HomeTeam]],Records!$A$2:$A$33, 0))</f>
        <v>0-0-0</v>
      </c>
      <c r="AP765" s="64" t="str">
        <f>INDEX(Table2[HOME_RECORD], MATCH(Table1[[#This Row],[HomeTeam]],Table2[Team], 0), 0)</f>
        <v>1-0-0</v>
      </c>
      <c r="AQ765" s="64" t="str">
        <f>INDEX(Records!$B$2:$AG$33, MATCH(Table1[[#This Row],[HomeTeam]],Records!$A$2:$A$33, 0), MATCH(Table1[[#This Row],[AwayTeam]],Records!$A$2:$A$33, 0))</f>
        <v>0-0-0</v>
      </c>
    </row>
    <row r="766" spans="1:43" x14ac:dyDescent="0.25">
      <c r="A766" s="1"/>
      <c r="D766" t="s">
        <v>1050</v>
      </c>
      <c r="E766" t="s">
        <v>162</v>
      </c>
      <c r="F766" t="s">
        <v>1058</v>
      </c>
      <c r="G766" t="s">
        <v>41</v>
      </c>
      <c r="H766" t="s">
        <v>59</v>
      </c>
      <c r="L76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6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66" s="1"/>
      <c r="T766" s="64" t="str">
        <f>IF(Table1[[#This Row],[ActualWinner]]="", "", IF(Table1[[#This Row],[AwayTeam]]=Table1[[#This Row],[ActualWinner]],Table1[[#This Row],[HomeTeam]],Table1[[#This Row],[AwayTeam]]))</f>
        <v/>
      </c>
      <c r="U766" s="64">
        <f>Table1[[#This Row],[ActualAwayScore]]-Table1[[#This Row],[PredictedAwayScore]]</f>
        <v>0</v>
      </c>
      <c r="V766" s="64">
        <f>Table1[[#This Row],[ActualHomeScore]]-Table1[[#This Row],[PredictedHomeScore]]</f>
        <v>0</v>
      </c>
      <c r="W766" s="64">
        <f>(0.8*IF(Table1[[#This Row],[CorrectWinnerPrediction]]=1, 1, 0))+(0.1*IF(Table1[[#This Row],[CorrectAwayScorePrediction]]=1, 1, 0))+(0.1*IF(Table1[[#This Row],[CorrectHomeScorePrediction]]=1, 1, 0))</f>
        <v>0</v>
      </c>
      <c r="X76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66" s="64">
        <f>SUMIF(Table1[GameDate], Table1[[#This Row],[GameDate]], Table1[AwayGameGoalDiff])</f>
        <v>0</v>
      </c>
      <c r="AA766" s="64">
        <f>SUMIF(Table1[GameDate], Table1[[#This Row],[GameDate]], Table1[HomeGameGoalDiff])</f>
        <v>0</v>
      </c>
      <c r="AB766" s="64">
        <f>IF(ISBLANK(Table1[[#This Row],[ActualResult]]), 0, 1)</f>
        <v>0</v>
      </c>
      <c r="AC766" s="64">
        <f>IF(ISBLANK(Table1[[#This Row],[ActualResult]]), 0, IF(Table1[[#This Row],[ActualWinner]]=Table1[[#This Row],[PredictedWinner]], 1, 0))</f>
        <v>0</v>
      </c>
      <c r="AD76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6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66" s="64">
        <f>IF(AND(Table1[[#This Row],[GameIsOver]]=1,Table1[[#This Row],[ActualAwayScore]]=0), 1,0)</f>
        <v>0</v>
      </c>
      <c r="AG766" s="64">
        <f>IF(AND(Table1[[#This Row],[GameIsOver]]=1,Table1[[#This Row],[ActualHomeScore]]=0), 1,0)</f>
        <v>0</v>
      </c>
      <c r="AH766" s="64">
        <f>IF(Table1[[#This Row],[GameIsOver]]=0,0,IF(Table1[[#This Row],[ActualWinner]]=Table1[[#This Row],[AwayTeam]], 1, 0))</f>
        <v>0</v>
      </c>
      <c r="AI766" s="64">
        <f>IF(Table1[[#This Row],[GameIsOver]]=0,0,IF(Table1[[#This Row],[ActualWinner]]=Table1[[#This Row],[HomeTeam]], 1, 0))</f>
        <v>0</v>
      </c>
      <c r="AJ766" s="64">
        <f>IF(INDEX(Standings!$A$2:$C$33,MATCH(Table1[[#This Row],[AwayTeam]],Standings!$A$2:$A$33,0),2)=INDEX(Standings!$A$2:$C$33,MATCH(Table1[[#This Row],[HomeTeam]],Standings!$A$2:$A$33,0),2),1,0)</f>
        <v>0</v>
      </c>
      <c r="AK766" s="64">
        <f>IF(INDEX(Standings!$A$2:$C$33,MATCH(Table1[[#This Row],[AwayTeam]],Standings!$A$2:$A$33,0),3)=INDEX(Standings!$A$2:$C$33,MATCH(Table1[[#This Row],[HomeTeam]],Standings!$A$2:$A$33,0),3),1,0)</f>
        <v>0</v>
      </c>
      <c r="AL766" s="64">
        <f>IF(Table1[[#This Row],[InterConf]]=1,IF(Table1[[#This Row],[InterDiv]]=0, 1, 0), 0)</f>
        <v>0</v>
      </c>
      <c r="AM766" s="64">
        <f>IF(INDEX(Standings!$A$2:$C$33,MATCH(Table1[[#This Row],[AwayTeam]],Standings!$A$2:$A$33,0),2)&lt;&gt;INDEX(Standings!$A$2:$C$33,MATCH(Table1[[#This Row],[HomeTeam]],Standings!$A$2:$A$33,0),2),1,0)</f>
        <v>1</v>
      </c>
      <c r="AN766" s="64" t="str">
        <f>INDEX(Table2[AWAY_RECORD], MATCH(Table1[[#This Row],[AwayTeam]],Table2[Team], 0), 0)</f>
        <v>0-0-0</v>
      </c>
      <c r="AO766" s="64" t="str">
        <f>INDEX(Records!$B$2:$AG$33, MATCH(Table1[[#This Row],[AwayTeam]],Records!$A$2:$A$33, 0), MATCH(Table1[[#This Row],[HomeTeam]],Records!$A$2:$A$33, 0))</f>
        <v>0-0-0</v>
      </c>
      <c r="AP766" s="64" t="str">
        <f>INDEX(Table2[HOME_RECORD], MATCH(Table1[[#This Row],[HomeTeam]],Table2[Team], 0), 0)</f>
        <v>0-0-0</v>
      </c>
      <c r="AQ766" s="64" t="str">
        <f>INDEX(Records!$B$2:$AG$33, MATCH(Table1[[#This Row],[HomeTeam]],Records!$A$2:$A$33, 0), MATCH(Table1[[#This Row],[AwayTeam]],Records!$A$2:$A$33, 0))</f>
        <v>0-0-0</v>
      </c>
    </row>
    <row r="767" spans="1:43" x14ac:dyDescent="0.25">
      <c r="A767" s="1"/>
      <c r="D767" t="s">
        <v>1050</v>
      </c>
      <c r="E767" t="s">
        <v>162</v>
      </c>
      <c r="F767" t="s">
        <v>1059</v>
      </c>
      <c r="G767" t="s">
        <v>44</v>
      </c>
      <c r="H767" t="s">
        <v>16</v>
      </c>
      <c r="L76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6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67" s="1"/>
      <c r="T767" s="64" t="str">
        <f>IF(Table1[[#This Row],[ActualWinner]]="", "", IF(Table1[[#This Row],[AwayTeam]]=Table1[[#This Row],[ActualWinner]],Table1[[#This Row],[HomeTeam]],Table1[[#This Row],[AwayTeam]]))</f>
        <v/>
      </c>
      <c r="U767" s="64">
        <f>Table1[[#This Row],[ActualAwayScore]]-Table1[[#This Row],[PredictedAwayScore]]</f>
        <v>0</v>
      </c>
      <c r="V767" s="64">
        <f>Table1[[#This Row],[ActualHomeScore]]-Table1[[#This Row],[PredictedHomeScore]]</f>
        <v>0</v>
      </c>
      <c r="W767" s="64">
        <f>(0.8*IF(Table1[[#This Row],[CorrectWinnerPrediction]]=1, 1, 0))+(0.1*IF(Table1[[#This Row],[CorrectAwayScorePrediction]]=1, 1, 0))+(0.1*IF(Table1[[#This Row],[CorrectHomeScorePrediction]]=1, 1, 0))</f>
        <v>0</v>
      </c>
      <c r="X76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67" s="64">
        <f>SUMIF(Table1[GameDate], Table1[[#This Row],[GameDate]], Table1[AwayGameGoalDiff])</f>
        <v>0</v>
      </c>
      <c r="AA767" s="64">
        <f>SUMIF(Table1[GameDate], Table1[[#This Row],[GameDate]], Table1[HomeGameGoalDiff])</f>
        <v>0</v>
      </c>
      <c r="AB767" s="64">
        <f>IF(ISBLANK(Table1[[#This Row],[ActualResult]]), 0, 1)</f>
        <v>0</v>
      </c>
      <c r="AC767" s="64">
        <f>IF(ISBLANK(Table1[[#This Row],[ActualResult]]), 0, IF(Table1[[#This Row],[ActualWinner]]=Table1[[#This Row],[PredictedWinner]], 1, 0))</f>
        <v>0</v>
      </c>
      <c r="AD76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6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67" s="64">
        <f>IF(AND(Table1[[#This Row],[GameIsOver]]=1,Table1[[#This Row],[ActualAwayScore]]=0), 1,0)</f>
        <v>0</v>
      </c>
      <c r="AG767" s="64">
        <f>IF(AND(Table1[[#This Row],[GameIsOver]]=1,Table1[[#This Row],[ActualHomeScore]]=0), 1,0)</f>
        <v>0</v>
      </c>
      <c r="AH767" s="64">
        <f>IF(Table1[[#This Row],[GameIsOver]]=0,0,IF(Table1[[#This Row],[ActualWinner]]=Table1[[#This Row],[AwayTeam]], 1, 0))</f>
        <v>0</v>
      </c>
      <c r="AI767" s="64">
        <f>IF(Table1[[#This Row],[GameIsOver]]=0,0,IF(Table1[[#This Row],[ActualWinner]]=Table1[[#This Row],[HomeTeam]], 1, 0))</f>
        <v>0</v>
      </c>
      <c r="AJ767" s="64">
        <f>IF(INDEX(Standings!$A$2:$C$33,MATCH(Table1[[#This Row],[AwayTeam]],Standings!$A$2:$A$33,0),2)=INDEX(Standings!$A$2:$C$33,MATCH(Table1[[#This Row],[HomeTeam]],Standings!$A$2:$A$33,0),2),1,0)</f>
        <v>0</v>
      </c>
      <c r="AK767" s="64">
        <f>IF(INDEX(Standings!$A$2:$C$33,MATCH(Table1[[#This Row],[AwayTeam]],Standings!$A$2:$A$33,0),3)=INDEX(Standings!$A$2:$C$33,MATCH(Table1[[#This Row],[HomeTeam]],Standings!$A$2:$A$33,0),3),1,0)</f>
        <v>0</v>
      </c>
      <c r="AL767" s="64">
        <f>IF(Table1[[#This Row],[InterConf]]=1,IF(Table1[[#This Row],[InterDiv]]=0, 1, 0), 0)</f>
        <v>0</v>
      </c>
      <c r="AM767" s="64">
        <f>IF(INDEX(Standings!$A$2:$C$33,MATCH(Table1[[#This Row],[AwayTeam]],Standings!$A$2:$A$33,0),2)&lt;&gt;INDEX(Standings!$A$2:$C$33,MATCH(Table1[[#This Row],[HomeTeam]],Standings!$A$2:$A$33,0),2),1,0)</f>
        <v>1</v>
      </c>
      <c r="AN767" s="64" t="str">
        <f>INDEX(Table2[AWAY_RECORD], MATCH(Table1[[#This Row],[AwayTeam]],Table2[Team], 0), 0)</f>
        <v>0-0-0</v>
      </c>
      <c r="AO767" s="64" t="str">
        <f>INDEX(Records!$B$2:$AG$33, MATCH(Table1[[#This Row],[AwayTeam]],Records!$A$2:$A$33, 0), MATCH(Table1[[#This Row],[HomeTeam]],Records!$A$2:$A$33, 0))</f>
        <v>0-0-0</v>
      </c>
      <c r="AP767" s="64" t="str">
        <f>INDEX(Table2[HOME_RECORD], MATCH(Table1[[#This Row],[HomeTeam]],Table2[Team], 0), 0)</f>
        <v>0-0-0</v>
      </c>
      <c r="AQ767" s="64" t="str">
        <f>INDEX(Records!$B$2:$AG$33, MATCH(Table1[[#This Row],[HomeTeam]],Records!$A$2:$A$33, 0), MATCH(Table1[[#This Row],[AwayTeam]],Records!$A$2:$A$33, 0))</f>
        <v>0-0-0</v>
      </c>
    </row>
    <row r="768" spans="1:43" x14ac:dyDescent="0.25">
      <c r="A768" s="1"/>
      <c r="D768" t="s">
        <v>1050</v>
      </c>
      <c r="E768" t="s">
        <v>162</v>
      </c>
      <c r="F768" t="s">
        <v>1060</v>
      </c>
      <c r="G768" t="s">
        <v>22</v>
      </c>
      <c r="H768" t="s">
        <v>61</v>
      </c>
      <c r="L76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6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68" s="1"/>
      <c r="T768" s="64" t="str">
        <f>IF(Table1[[#This Row],[ActualWinner]]="", "", IF(Table1[[#This Row],[AwayTeam]]=Table1[[#This Row],[ActualWinner]],Table1[[#This Row],[HomeTeam]],Table1[[#This Row],[AwayTeam]]))</f>
        <v/>
      </c>
      <c r="U768" s="64">
        <f>Table1[[#This Row],[ActualAwayScore]]-Table1[[#This Row],[PredictedAwayScore]]</f>
        <v>0</v>
      </c>
      <c r="V768" s="64">
        <f>Table1[[#This Row],[ActualHomeScore]]-Table1[[#This Row],[PredictedHomeScore]]</f>
        <v>0</v>
      </c>
      <c r="W768" s="64">
        <f>(0.8*IF(Table1[[#This Row],[CorrectWinnerPrediction]]=1, 1, 0))+(0.1*IF(Table1[[#This Row],[CorrectAwayScorePrediction]]=1, 1, 0))+(0.1*IF(Table1[[#This Row],[CorrectHomeScorePrediction]]=1, 1, 0))</f>
        <v>0</v>
      </c>
      <c r="X76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68" s="64">
        <f>SUMIF(Table1[GameDate], Table1[[#This Row],[GameDate]], Table1[AwayGameGoalDiff])</f>
        <v>0</v>
      </c>
      <c r="AA768" s="64">
        <f>SUMIF(Table1[GameDate], Table1[[#This Row],[GameDate]], Table1[HomeGameGoalDiff])</f>
        <v>0</v>
      </c>
      <c r="AB768" s="64">
        <f>IF(ISBLANK(Table1[[#This Row],[ActualResult]]), 0, 1)</f>
        <v>0</v>
      </c>
      <c r="AC768" s="64">
        <f>IF(ISBLANK(Table1[[#This Row],[ActualResult]]), 0, IF(Table1[[#This Row],[ActualWinner]]=Table1[[#This Row],[PredictedWinner]], 1, 0))</f>
        <v>0</v>
      </c>
      <c r="AD76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6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68" s="64">
        <f>IF(AND(Table1[[#This Row],[GameIsOver]]=1,Table1[[#This Row],[ActualAwayScore]]=0), 1,0)</f>
        <v>0</v>
      </c>
      <c r="AG768" s="64">
        <f>IF(AND(Table1[[#This Row],[GameIsOver]]=1,Table1[[#This Row],[ActualHomeScore]]=0), 1,0)</f>
        <v>0</v>
      </c>
      <c r="AH768" s="64">
        <f>IF(Table1[[#This Row],[GameIsOver]]=0,0,IF(Table1[[#This Row],[ActualWinner]]=Table1[[#This Row],[AwayTeam]], 1, 0))</f>
        <v>0</v>
      </c>
      <c r="AI768" s="64">
        <f>IF(Table1[[#This Row],[GameIsOver]]=0,0,IF(Table1[[#This Row],[ActualWinner]]=Table1[[#This Row],[HomeTeam]], 1, 0))</f>
        <v>0</v>
      </c>
      <c r="AJ768" s="64">
        <f>IF(INDEX(Standings!$A$2:$C$33,MATCH(Table1[[#This Row],[AwayTeam]],Standings!$A$2:$A$33,0),2)=INDEX(Standings!$A$2:$C$33,MATCH(Table1[[#This Row],[HomeTeam]],Standings!$A$2:$A$33,0),2),1,0)</f>
        <v>1</v>
      </c>
      <c r="AK768" s="64">
        <f>IF(INDEX(Standings!$A$2:$C$33,MATCH(Table1[[#This Row],[AwayTeam]],Standings!$A$2:$A$33,0),3)=INDEX(Standings!$A$2:$C$33,MATCH(Table1[[#This Row],[HomeTeam]],Standings!$A$2:$A$33,0),3),1,0)</f>
        <v>1</v>
      </c>
      <c r="AL768" s="64">
        <f>IF(Table1[[#This Row],[InterConf]]=1,IF(Table1[[#This Row],[InterDiv]]=0, 1, 0), 0)</f>
        <v>0</v>
      </c>
      <c r="AM768" s="64">
        <f>IF(INDEX(Standings!$A$2:$C$33,MATCH(Table1[[#This Row],[AwayTeam]],Standings!$A$2:$A$33,0),2)&lt;&gt;INDEX(Standings!$A$2:$C$33,MATCH(Table1[[#This Row],[HomeTeam]],Standings!$A$2:$A$33,0),2),1,0)</f>
        <v>0</v>
      </c>
      <c r="AN768" s="64" t="str">
        <f>INDEX(Table2[AWAY_RECORD], MATCH(Table1[[#This Row],[AwayTeam]],Table2[Team], 0), 0)</f>
        <v>0-0-1</v>
      </c>
      <c r="AO768" s="64" t="str">
        <f>INDEX(Records!$B$2:$AG$33, MATCH(Table1[[#This Row],[AwayTeam]],Records!$A$2:$A$33, 0), MATCH(Table1[[#This Row],[HomeTeam]],Records!$A$2:$A$33, 0))</f>
        <v>0-0-0</v>
      </c>
      <c r="AP768" s="64" t="str">
        <f>INDEX(Table2[HOME_RECORD], MATCH(Table1[[#This Row],[HomeTeam]],Table2[Team], 0), 0)</f>
        <v>0-0-0</v>
      </c>
      <c r="AQ768" s="64" t="str">
        <f>INDEX(Records!$B$2:$AG$33, MATCH(Table1[[#This Row],[HomeTeam]],Records!$A$2:$A$33, 0), MATCH(Table1[[#This Row],[AwayTeam]],Records!$A$2:$A$33, 0))</f>
        <v>0-0-0</v>
      </c>
    </row>
    <row r="769" spans="1:43" x14ac:dyDescent="0.25">
      <c r="A769" s="1"/>
      <c r="D769" t="s">
        <v>1050</v>
      </c>
      <c r="E769" t="s">
        <v>162</v>
      </c>
      <c r="F769" t="s">
        <v>1061</v>
      </c>
      <c r="G769" t="s">
        <v>36</v>
      </c>
      <c r="H769" t="s">
        <v>60</v>
      </c>
      <c r="L76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6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69" s="1"/>
      <c r="T769" s="64" t="str">
        <f>IF(Table1[[#This Row],[ActualWinner]]="", "", IF(Table1[[#This Row],[AwayTeam]]=Table1[[#This Row],[ActualWinner]],Table1[[#This Row],[HomeTeam]],Table1[[#This Row],[AwayTeam]]))</f>
        <v/>
      </c>
      <c r="U769" s="64">
        <f>Table1[[#This Row],[ActualAwayScore]]-Table1[[#This Row],[PredictedAwayScore]]</f>
        <v>0</v>
      </c>
      <c r="V769" s="64">
        <f>Table1[[#This Row],[ActualHomeScore]]-Table1[[#This Row],[PredictedHomeScore]]</f>
        <v>0</v>
      </c>
      <c r="W769" s="64">
        <f>(0.8*IF(Table1[[#This Row],[CorrectWinnerPrediction]]=1, 1, 0))+(0.1*IF(Table1[[#This Row],[CorrectAwayScorePrediction]]=1, 1, 0))+(0.1*IF(Table1[[#This Row],[CorrectHomeScorePrediction]]=1, 1, 0))</f>
        <v>0</v>
      </c>
      <c r="X76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69" s="64">
        <f>SUMIF(Table1[GameDate], Table1[[#This Row],[GameDate]], Table1[AwayGameGoalDiff])</f>
        <v>0</v>
      </c>
      <c r="AA769" s="64">
        <f>SUMIF(Table1[GameDate], Table1[[#This Row],[GameDate]], Table1[HomeGameGoalDiff])</f>
        <v>0</v>
      </c>
      <c r="AB769" s="64">
        <f>IF(ISBLANK(Table1[[#This Row],[ActualResult]]), 0, 1)</f>
        <v>0</v>
      </c>
      <c r="AC769" s="64">
        <f>IF(ISBLANK(Table1[[#This Row],[ActualResult]]), 0, IF(Table1[[#This Row],[ActualWinner]]=Table1[[#This Row],[PredictedWinner]], 1, 0))</f>
        <v>0</v>
      </c>
      <c r="AD76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6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69" s="64">
        <f>IF(AND(Table1[[#This Row],[GameIsOver]]=1,Table1[[#This Row],[ActualAwayScore]]=0), 1,0)</f>
        <v>0</v>
      </c>
      <c r="AG769" s="64">
        <f>IF(AND(Table1[[#This Row],[GameIsOver]]=1,Table1[[#This Row],[ActualHomeScore]]=0), 1,0)</f>
        <v>0</v>
      </c>
      <c r="AH769" s="64">
        <f>IF(Table1[[#This Row],[GameIsOver]]=0,0,IF(Table1[[#This Row],[ActualWinner]]=Table1[[#This Row],[AwayTeam]], 1, 0))</f>
        <v>0</v>
      </c>
      <c r="AI769" s="64">
        <f>IF(Table1[[#This Row],[GameIsOver]]=0,0,IF(Table1[[#This Row],[ActualWinner]]=Table1[[#This Row],[HomeTeam]], 1, 0))</f>
        <v>0</v>
      </c>
      <c r="AJ769" s="64">
        <f>IF(INDEX(Standings!$A$2:$C$33,MATCH(Table1[[#This Row],[AwayTeam]],Standings!$A$2:$A$33,0),2)=INDEX(Standings!$A$2:$C$33,MATCH(Table1[[#This Row],[HomeTeam]],Standings!$A$2:$A$33,0),2),1,0)</f>
        <v>1</v>
      </c>
      <c r="AK769" s="64">
        <f>IF(INDEX(Standings!$A$2:$C$33,MATCH(Table1[[#This Row],[AwayTeam]],Standings!$A$2:$A$33,0),3)=INDEX(Standings!$A$2:$C$33,MATCH(Table1[[#This Row],[HomeTeam]],Standings!$A$2:$A$33,0),3),1,0)</f>
        <v>0</v>
      </c>
      <c r="AL769" s="64">
        <f>IF(Table1[[#This Row],[InterConf]]=1,IF(Table1[[#This Row],[InterDiv]]=0, 1, 0), 0)</f>
        <v>1</v>
      </c>
      <c r="AM769" s="64">
        <f>IF(INDEX(Standings!$A$2:$C$33,MATCH(Table1[[#This Row],[AwayTeam]],Standings!$A$2:$A$33,0),2)&lt;&gt;INDEX(Standings!$A$2:$C$33,MATCH(Table1[[#This Row],[HomeTeam]],Standings!$A$2:$A$33,0),2),1,0)</f>
        <v>0</v>
      </c>
      <c r="AN769" s="64" t="str">
        <f>INDEX(Table2[AWAY_RECORD], MATCH(Table1[[#This Row],[AwayTeam]],Table2[Team], 0), 0)</f>
        <v>0-0-0</v>
      </c>
      <c r="AO769" s="64" t="str">
        <f>INDEX(Records!$B$2:$AG$33, MATCH(Table1[[#This Row],[AwayTeam]],Records!$A$2:$A$33, 0), MATCH(Table1[[#This Row],[HomeTeam]],Records!$A$2:$A$33, 0))</f>
        <v>0-0-0</v>
      </c>
      <c r="AP769" s="64" t="str">
        <f>INDEX(Table2[HOME_RECORD], MATCH(Table1[[#This Row],[HomeTeam]],Table2[Team], 0), 0)</f>
        <v>1-0-0</v>
      </c>
      <c r="AQ769" s="64" t="str">
        <f>INDEX(Records!$B$2:$AG$33, MATCH(Table1[[#This Row],[HomeTeam]],Records!$A$2:$A$33, 0), MATCH(Table1[[#This Row],[AwayTeam]],Records!$A$2:$A$33, 0))</f>
        <v>0-0-0</v>
      </c>
    </row>
    <row r="770" spans="1:43" x14ac:dyDescent="0.25">
      <c r="A770" s="1"/>
      <c r="D770" t="s">
        <v>1062</v>
      </c>
      <c r="E770" t="s">
        <v>298</v>
      </c>
      <c r="F770" t="s">
        <v>1063</v>
      </c>
      <c r="G770" t="s">
        <v>46</v>
      </c>
      <c r="H770" t="s">
        <v>39</v>
      </c>
      <c r="L77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7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70" s="1"/>
      <c r="T770" s="64" t="str">
        <f>IF(Table1[[#This Row],[ActualWinner]]="", "", IF(Table1[[#This Row],[AwayTeam]]=Table1[[#This Row],[ActualWinner]],Table1[[#This Row],[HomeTeam]],Table1[[#This Row],[AwayTeam]]))</f>
        <v/>
      </c>
      <c r="U770" s="64">
        <f>Table1[[#This Row],[ActualAwayScore]]-Table1[[#This Row],[PredictedAwayScore]]</f>
        <v>0</v>
      </c>
      <c r="V770" s="64">
        <f>Table1[[#This Row],[ActualHomeScore]]-Table1[[#This Row],[PredictedHomeScore]]</f>
        <v>0</v>
      </c>
      <c r="W770" s="64">
        <f>(0.8*IF(Table1[[#This Row],[CorrectWinnerPrediction]]=1, 1, 0))+(0.1*IF(Table1[[#This Row],[CorrectAwayScorePrediction]]=1, 1, 0))+(0.1*IF(Table1[[#This Row],[CorrectHomeScorePrediction]]=1, 1, 0))</f>
        <v>0</v>
      </c>
      <c r="X77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70" s="64">
        <f>SUMIF(Table1[GameDate], Table1[[#This Row],[GameDate]], Table1[AwayGameGoalDiff])</f>
        <v>0</v>
      </c>
      <c r="AA770" s="64">
        <f>SUMIF(Table1[GameDate], Table1[[#This Row],[GameDate]], Table1[HomeGameGoalDiff])</f>
        <v>0</v>
      </c>
      <c r="AB770" s="64">
        <f>IF(ISBLANK(Table1[[#This Row],[ActualResult]]), 0, 1)</f>
        <v>0</v>
      </c>
      <c r="AC770" s="64">
        <f>IF(ISBLANK(Table1[[#This Row],[ActualResult]]), 0, IF(Table1[[#This Row],[ActualWinner]]=Table1[[#This Row],[PredictedWinner]], 1, 0))</f>
        <v>0</v>
      </c>
      <c r="AD77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7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70" s="64">
        <f>IF(AND(Table1[[#This Row],[GameIsOver]]=1,Table1[[#This Row],[ActualAwayScore]]=0), 1,0)</f>
        <v>0</v>
      </c>
      <c r="AG770" s="64">
        <f>IF(AND(Table1[[#This Row],[GameIsOver]]=1,Table1[[#This Row],[ActualHomeScore]]=0), 1,0)</f>
        <v>0</v>
      </c>
      <c r="AH770" s="64">
        <f>IF(Table1[[#This Row],[GameIsOver]]=0,0,IF(Table1[[#This Row],[ActualWinner]]=Table1[[#This Row],[AwayTeam]], 1, 0))</f>
        <v>0</v>
      </c>
      <c r="AI770" s="64">
        <f>IF(Table1[[#This Row],[GameIsOver]]=0,0,IF(Table1[[#This Row],[ActualWinner]]=Table1[[#This Row],[HomeTeam]], 1, 0))</f>
        <v>0</v>
      </c>
      <c r="AJ770" s="64">
        <f>IF(INDEX(Standings!$A$2:$C$33,MATCH(Table1[[#This Row],[AwayTeam]],Standings!$A$2:$A$33,0),2)=INDEX(Standings!$A$2:$C$33,MATCH(Table1[[#This Row],[HomeTeam]],Standings!$A$2:$A$33,0),2),1,0)</f>
        <v>1</v>
      </c>
      <c r="AK770" s="64">
        <f>IF(INDEX(Standings!$A$2:$C$33,MATCH(Table1[[#This Row],[AwayTeam]],Standings!$A$2:$A$33,0),3)=INDEX(Standings!$A$2:$C$33,MATCH(Table1[[#This Row],[HomeTeam]],Standings!$A$2:$A$33,0),3),1,0)</f>
        <v>1</v>
      </c>
      <c r="AL770" s="64">
        <f>IF(Table1[[#This Row],[InterConf]]=1,IF(Table1[[#This Row],[InterDiv]]=0, 1, 0), 0)</f>
        <v>0</v>
      </c>
      <c r="AM770" s="64">
        <f>IF(INDEX(Standings!$A$2:$C$33,MATCH(Table1[[#This Row],[AwayTeam]],Standings!$A$2:$A$33,0),2)&lt;&gt;INDEX(Standings!$A$2:$C$33,MATCH(Table1[[#This Row],[HomeTeam]],Standings!$A$2:$A$33,0),2),1,0)</f>
        <v>0</v>
      </c>
      <c r="AN770" s="64" t="str">
        <f>INDEX(Table2[AWAY_RECORD], MATCH(Table1[[#This Row],[AwayTeam]],Table2[Team], 0), 0)</f>
        <v>1-0-0</v>
      </c>
      <c r="AO770" s="64" t="str">
        <f>INDEX(Records!$B$2:$AG$33, MATCH(Table1[[#This Row],[AwayTeam]],Records!$A$2:$A$33, 0), MATCH(Table1[[#This Row],[HomeTeam]],Records!$A$2:$A$33, 0))</f>
        <v>0-0-0</v>
      </c>
      <c r="AP770" s="64" t="str">
        <f>INDEX(Table2[HOME_RECORD], MATCH(Table1[[#This Row],[HomeTeam]],Table2[Team], 0), 0)</f>
        <v>0-1-0</v>
      </c>
      <c r="AQ770" s="64" t="str">
        <f>INDEX(Records!$B$2:$AG$33, MATCH(Table1[[#This Row],[HomeTeam]],Records!$A$2:$A$33, 0), MATCH(Table1[[#This Row],[AwayTeam]],Records!$A$2:$A$33, 0))</f>
        <v>0-0-0</v>
      </c>
    </row>
    <row r="771" spans="1:43" x14ac:dyDescent="0.25">
      <c r="A771" s="1"/>
      <c r="D771" t="s">
        <v>1062</v>
      </c>
      <c r="E771" t="s">
        <v>298</v>
      </c>
      <c r="F771" t="s">
        <v>1064</v>
      </c>
      <c r="G771" t="s">
        <v>42</v>
      </c>
      <c r="H771" t="s">
        <v>23</v>
      </c>
      <c r="L77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7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71" s="1"/>
      <c r="T771" s="64" t="str">
        <f>IF(Table1[[#This Row],[ActualWinner]]="", "", IF(Table1[[#This Row],[AwayTeam]]=Table1[[#This Row],[ActualWinner]],Table1[[#This Row],[HomeTeam]],Table1[[#This Row],[AwayTeam]]))</f>
        <v/>
      </c>
      <c r="U771" s="64">
        <f>Table1[[#This Row],[ActualAwayScore]]-Table1[[#This Row],[PredictedAwayScore]]</f>
        <v>0</v>
      </c>
      <c r="V771" s="64">
        <f>Table1[[#This Row],[ActualHomeScore]]-Table1[[#This Row],[PredictedHomeScore]]</f>
        <v>0</v>
      </c>
      <c r="W771" s="64">
        <f>(0.8*IF(Table1[[#This Row],[CorrectWinnerPrediction]]=1, 1, 0))+(0.1*IF(Table1[[#This Row],[CorrectAwayScorePrediction]]=1, 1, 0))+(0.1*IF(Table1[[#This Row],[CorrectHomeScorePrediction]]=1, 1, 0))</f>
        <v>0</v>
      </c>
      <c r="X77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71" s="64">
        <f>SUMIF(Table1[GameDate], Table1[[#This Row],[GameDate]], Table1[AwayGameGoalDiff])</f>
        <v>0</v>
      </c>
      <c r="AA771" s="64">
        <f>SUMIF(Table1[GameDate], Table1[[#This Row],[GameDate]], Table1[HomeGameGoalDiff])</f>
        <v>0</v>
      </c>
      <c r="AB771" s="64">
        <f>IF(ISBLANK(Table1[[#This Row],[ActualResult]]), 0, 1)</f>
        <v>0</v>
      </c>
      <c r="AC771" s="64">
        <f>IF(ISBLANK(Table1[[#This Row],[ActualResult]]), 0, IF(Table1[[#This Row],[ActualWinner]]=Table1[[#This Row],[PredictedWinner]], 1, 0))</f>
        <v>0</v>
      </c>
      <c r="AD77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7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71" s="64">
        <f>IF(AND(Table1[[#This Row],[GameIsOver]]=1,Table1[[#This Row],[ActualAwayScore]]=0), 1,0)</f>
        <v>0</v>
      </c>
      <c r="AG771" s="64">
        <f>IF(AND(Table1[[#This Row],[GameIsOver]]=1,Table1[[#This Row],[ActualHomeScore]]=0), 1,0)</f>
        <v>0</v>
      </c>
      <c r="AH771" s="64">
        <f>IF(Table1[[#This Row],[GameIsOver]]=0,0,IF(Table1[[#This Row],[ActualWinner]]=Table1[[#This Row],[AwayTeam]], 1, 0))</f>
        <v>0</v>
      </c>
      <c r="AI771" s="64">
        <f>IF(Table1[[#This Row],[GameIsOver]]=0,0,IF(Table1[[#This Row],[ActualWinner]]=Table1[[#This Row],[HomeTeam]], 1, 0))</f>
        <v>0</v>
      </c>
      <c r="AJ771" s="64">
        <f>IF(INDEX(Standings!$A$2:$C$33,MATCH(Table1[[#This Row],[AwayTeam]],Standings!$A$2:$A$33,0),2)=INDEX(Standings!$A$2:$C$33,MATCH(Table1[[#This Row],[HomeTeam]],Standings!$A$2:$A$33,0),2),1,0)</f>
        <v>0</v>
      </c>
      <c r="AK771" s="64">
        <f>IF(INDEX(Standings!$A$2:$C$33,MATCH(Table1[[#This Row],[AwayTeam]],Standings!$A$2:$A$33,0),3)=INDEX(Standings!$A$2:$C$33,MATCH(Table1[[#This Row],[HomeTeam]],Standings!$A$2:$A$33,0),3),1,0)</f>
        <v>0</v>
      </c>
      <c r="AL771" s="64">
        <f>IF(Table1[[#This Row],[InterConf]]=1,IF(Table1[[#This Row],[InterDiv]]=0, 1, 0), 0)</f>
        <v>0</v>
      </c>
      <c r="AM771" s="64">
        <f>IF(INDEX(Standings!$A$2:$C$33,MATCH(Table1[[#This Row],[AwayTeam]],Standings!$A$2:$A$33,0),2)&lt;&gt;INDEX(Standings!$A$2:$C$33,MATCH(Table1[[#This Row],[HomeTeam]],Standings!$A$2:$A$33,0),2),1,0)</f>
        <v>1</v>
      </c>
      <c r="AN771" s="64" t="str">
        <f>INDEX(Table2[AWAY_RECORD], MATCH(Table1[[#This Row],[AwayTeam]],Table2[Team], 0), 0)</f>
        <v>0-0-0</v>
      </c>
      <c r="AO771" s="64" t="str">
        <f>INDEX(Records!$B$2:$AG$33, MATCH(Table1[[#This Row],[AwayTeam]],Records!$A$2:$A$33, 0), MATCH(Table1[[#This Row],[HomeTeam]],Records!$A$2:$A$33, 0))</f>
        <v>0-0-0</v>
      </c>
      <c r="AP771" s="64" t="str">
        <f>INDEX(Table2[HOME_RECORD], MATCH(Table1[[#This Row],[HomeTeam]],Table2[Team], 0), 0)</f>
        <v>0-0-1</v>
      </c>
      <c r="AQ771" s="64" t="str">
        <f>INDEX(Records!$B$2:$AG$33, MATCH(Table1[[#This Row],[HomeTeam]],Records!$A$2:$A$33, 0), MATCH(Table1[[#This Row],[AwayTeam]],Records!$A$2:$A$33, 0))</f>
        <v>0-0-0</v>
      </c>
    </row>
    <row r="772" spans="1:43" x14ac:dyDescent="0.25">
      <c r="A772" s="1"/>
      <c r="D772" t="s">
        <v>1062</v>
      </c>
      <c r="E772" t="s">
        <v>298</v>
      </c>
      <c r="F772" t="s">
        <v>1065</v>
      </c>
      <c r="G772" t="s">
        <v>55</v>
      </c>
      <c r="H772" t="s">
        <v>56</v>
      </c>
      <c r="L77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7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72" s="1"/>
      <c r="T772" s="64" t="str">
        <f>IF(Table1[[#This Row],[ActualWinner]]="", "", IF(Table1[[#This Row],[AwayTeam]]=Table1[[#This Row],[ActualWinner]],Table1[[#This Row],[HomeTeam]],Table1[[#This Row],[AwayTeam]]))</f>
        <v/>
      </c>
      <c r="U772" s="64">
        <f>Table1[[#This Row],[ActualAwayScore]]-Table1[[#This Row],[PredictedAwayScore]]</f>
        <v>0</v>
      </c>
      <c r="V772" s="64">
        <f>Table1[[#This Row],[ActualHomeScore]]-Table1[[#This Row],[PredictedHomeScore]]</f>
        <v>0</v>
      </c>
      <c r="W772" s="64">
        <f>(0.8*IF(Table1[[#This Row],[CorrectWinnerPrediction]]=1, 1, 0))+(0.1*IF(Table1[[#This Row],[CorrectAwayScorePrediction]]=1, 1, 0))+(0.1*IF(Table1[[#This Row],[CorrectHomeScorePrediction]]=1, 1, 0))</f>
        <v>0</v>
      </c>
      <c r="X77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72" s="64">
        <f>SUMIF(Table1[GameDate], Table1[[#This Row],[GameDate]], Table1[AwayGameGoalDiff])</f>
        <v>0</v>
      </c>
      <c r="AA772" s="64">
        <f>SUMIF(Table1[GameDate], Table1[[#This Row],[GameDate]], Table1[HomeGameGoalDiff])</f>
        <v>0</v>
      </c>
      <c r="AB772" s="64">
        <f>IF(ISBLANK(Table1[[#This Row],[ActualResult]]), 0, 1)</f>
        <v>0</v>
      </c>
      <c r="AC772" s="64">
        <f>IF(ISBLANK(Table1[[#This Row],[ActualResult]]), 0, IF(Table1[[#This Row],[ActualWinner]]=Table1[[#This Row],[PredictedWinner]], 1, 0))</f>
        <v>0</v>
      </c>
      <c r="AD77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7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72" s="64">
        <f>IF(AND(Table1[[#This Row],[GameIsOver]]=1,Table1[[#This Row],[ActualAwayScore]]=0), 1,0)</f>
        <v>0</v>
      </c>
      <c r="AG772" s="64">
        <f>IF(AND(Table1[[#This Row],[GameIsOver]]=1,Table1[[#This Row],[ActualHomeScore]]=0), 1,0)</f>
        <v>0</v>
      </c>
      <c r="AH772" s="64">
        <f>IF(Table1[[#This Row],[GameIsOver]]=0,0,IF(Table1[[#This Row],[ActualWinner]]=Table1[[#This Row],[AwayTeam]], 1, 0))</f>
        <v>0</v>
      </c>
      <c r="AI772" s="64">
        <f>IF(Table1[[#This Row],[GameIsOver]]=0,0,IF(Table1[[#This Row],[ActualWinner]]=Table1[[#This Row],[HomeTeam]], 1, 0))</f>
        <v>0</v>
      </c>
      <c r="AJ772" s="64">
        <f>IF(INDEX(Standings!$A$2:$C$33,MATCH(Table1[[#This Row],[AwayTeam]],Standings!$A$2:$A$33,0),2)=INDEX(Standings!$A$2:$C$33,MATCH(Table1[[#This Row],[HomeTeam]],Standings!$A$2:$A$33,0),2),1,0)</f>
        <v>1</v>
      </c>
      <c r="AK772" s="64">
        <f>IF(INDEX(Standings!$A$2:$C$33,MATCH(Table1[[#This Row],[AwayTeam]],Standings!$A$2:$A$33,0),3)=INDEX(Standings!$A$2:$C$33,MATCH(Table1[[#This Row],[HomeTeam]],Standings!$A$2:$A$33,0),3),1,0)</f>
        <v>1</v>
      </c>
      <c r="AL772" s="64">
        <f>IF(Table1[[#This Row],[InterConf]]=1,IF(Table1[[#This Row],[InterDiv]]=0, 1, 0), 0)</f>
        <v>0</v>
      </c>
      <c r="AM772" s="64">
        <f>IF(INDEX(Standings!$A$2:$C$33,MATCH(Table1[[#This Row],[AwayTeam]],Standings!$A$2:$A$33,0),2)&lt;&gt;INDEX(Standings!$A$2:$C$33,MATCH(Table1[[#This Row],[HomeTeam]],Standings!$A$2:$A$33,0),2),1,0)</f>
        <v>0</v>
      </c>
      <c r="AN772" s="64" t="str">
        <f>INDEX(Table2[AWAY_RECORD], MATCH(Table1[[#This Row],[AwayTeam]],Table2[Team], 0), 0)</f>
        <v>0-0-0</v>
      </c>
      <c r="AO772" s="64" t="str">
        <f>INDEX(Records!$B$2:$AG$33, MATCH(Table1[[#This Row],[AwayTeam]],Records!$A$2:$A$33, 0), MATCH(Table1[[#This Row],[HomeTeam]],Records!$A$2:$A$33, 0))</f>
        <v>0-0-0</v>
      </c>
      <c r="AP772" s="64" t="str">
        <f>INDEX(Table2[HOME_RECORD], MATCH(Table1[[#This Row],[HomeTeam]],Table2[Team], 0), 0)</f>
        <v>0-0-0</v>
      </c>
      <c r="AQ772" s="64" t="str">
        <f>INDEX(Records!$B$2:$AG$33, MATCH(Table1[[#This Row],[HomeTeam]],Records!$A$2:$A$33, 0), MATCH(Table1[[#This Row],[AwayTeam]],Records!$A$2:$A$33, 0))</f>
        <v>0-0-0</v>
      </c>
    </row>
    <row r="773" spans="1:43" x14ac:dyDescent="0.25">
      <c r="A773" s="1"/>
      <c r="D773" t="s">
        <v>1062</v>
      </c>
      <c r="E773" t="s">
        <v>207</v>
      </c>
      <c r="F773" t="s">
        <v>1066</v>
      </c>
      <c r="G773" t="s">
        <v>22</v>
      </c>
      <c r="H773" t="s">
        <v>44</v>
      </c>
      <c r="L77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7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73" s="1"/>
      <c r="T773" s="64" t="str">
        <f>IF(Table1[[#This Row],[ActualWinner]]="", "", IF(Table1[[#This Row],[AwayTeam]]=Table1[[#This Row],[ActualWinner]],Table1[[#This Row],[HomeTeam]],Table1[[#This Row],[AwayTeam]]))</f>
        <v/>
      </c>
      <c r="U773" s="64">
        <f>Table1[[#This Row],[ActualAwayScore]]-Table1[[#This Row],[PredictedAwayScore]]</f>
        <v>0</v>
      </c>
      <c r="V773" s="64">
        <f>Table1[[#This Row],[ActualHomeScore]]-Table1[[#This Row],[PredictedHomeScore]]</f>
        <v>0</v>
      </c>
      <c r="W773" s="64">
        <f>(0.8*IF(Table1[[#This Row],[CorrectWinnerPrediction]]=1, 1, 0))+(0.1*IF(Table1[[#This Row],[CorrectAwayScorePrediction]]=1, 1, 0))+(0.1*IF(Table1[[#This Row],[CorrectHomeScorePrediction]]=1, 1, 0))</f>
        <v>0</v>
      </c>
      <c r="X77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73" s="64">
        <f>SUMIF(Table1[GameDate], Table1[[#This Row],[GameDate]], Table1[AwayGameGoalDiff])</f>
        <v>0</v>
      </c>
      <c r="AA773" s="64">
        <f>SUMIF(Table1[GameDate], Table1[[#This Row],[GameDate]], Table1[HomeGameGoalDiff])</f>
        <v>0</v>
      </c>
      <c r="AB773" s="64">
        <f>IF(ISBLANK(Table1[[#This Row],[ActualResult]]), 0, 1)</f>
        <v>0</v>
      </c>
      <c r="AC773" s="64">
        <f>IF(ISBLANK(Table1[[#This Row],[ActualResult]]), 0, IF(Table1[[#This Row],[ActualWinner]]=Table1[[#This Row],[PredictedWinner]], 1, 0))</f>
        <v>0</v>
      </c>
      <c r="AD77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7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73" s="64">
        <f>IF(AND(Table1[[#This Row],[GameIsOver]]=1,Table1[[#This Row],[ActualAwayScore]]=0), 1,0)</f>
        <v>0</v>
      </c>
      <c r="AG773" s="64">
        <f>IF(AND(Table1[[#This Row],[GameIsOver]]=1,Table1[[#This Row],[ActualHomeScore]]=0), 1,0)</f>
        <v>0</v>
      </c>
      <c r="AH773" s="64">
        <f>IF(Table1[[#This Row],[GameIsOver]]=0,0,IF(Table1[[#This Row],[ActualWinner]]=Table1[[#This Row],[AwayTeam]], 1, 0))</f>
        <v>0</v>
      </c>
      <c r="AI773" s="64">
        <f>IF(Table1[[#This Row],[GameIsOver]]=0,0,IF(Table1[[#This Row],[ActualWinner]]=Table1[[#This Row],[HomeTeam]], 1, 0))</f>
        <v>0</v>
      </c>
      <c r="AJ773" s="64">
        <f>IF(INDEX(Standings!$A$2:$C$33,MATCH(Table1[[#This Row],[AwayTeam]],Standings!$A$2:$A$33,0),2)=INDEX(Standings!$A$2:$C$33,MATCH(Table1[[#This Row],[HomeTeam]],Standings!$A$2:$A$33,0),2),1,0)</f>
        <v>0</v>
      </c>
      <c r="AK773" s="64">
        <f>IF(INDEX(Standings!$A$2:$C$33,MATCH(Table1[[#This Row],[AwayTeam]],Standings!$A$2:$A$33,0),3)=INDEX(Standings!$A$2:$C$33,MATCH(Table1[[#This Row],[HomeTeam]],Standings!$A$2:$A$33,0),3),1,0)</f>
        <v>0</v>
      </c>
      <c r="AL773" s="64">
        <f>IF(Table1[[#This Row],[InterConf]]=1,IF(Table1[[#This Row],[InterDiv]]=0, 1, 0), 0)</f>
        <v>0</v>
      </c>
      <c r="AM773" s="64">
        <f>IF(INDEX(Standings!$A$2:$C$33,MATCH(Table1[[#This Row],[AwayTeam]],Standings!$A$2:$A$33,0),2)&lt;&gt;INDEX(Standings!$A$2:$C$33,MATCH(Table1[[#This Row],[HomeTeam]],Standings!$A$2:$A$33,0),2),1,0)</f>
        <v>1</v>
      </c>
      <c r="AN773" s="64" t="str">
        <f>INDEX(Table2[AWAY_RECORD], MATCH(Table1[[#This Row],[AwayTeam]],Table2[Team], 0), 0)</f>
        <v>0-0-1</v>
      </c>
      <c r="AO773" s="64" t="str">
        <f>INDEX(Records!$B$2:$AG$33, MATCH(Table1[[#This Row],[AwayTeam]],Records!$A$2:$A$33, 0), MATCH(Table1[[#This Row],[HomeTeam]],Records!$A$2:$A$33, 0))</f>
        <v>0-0-0</v>
      </c>
      <c r="AP773" s="64" t="str">
        <f>INDEX(Table2[HOME_RECORD], MATCH(Table1[[#This Row],[HomeTeam]],Table2[Team], 0), 0)</f>
        <v>0-0-1</v>
      </c>
      <c r="AQ773" s="64" t="str">
        <f>INDEX(Records!$B$2:$AG$33, MATCH(Table1[[#This Row],[HomeTeam]],Records!$A$2:$A$33, 0), MATCH(Table1[[#This Row],[AwayTeam]],Records!$A$2:$A$33, 0))</f>
        <v>0-0-0</v>
      </c>
    </row>
    <row r="774" spans="1:43" x14ac:dyDescent="0.25">
      <c r="A774" s="1"/>
      <c r="D774" t="s">
        <v>1062</v>
      </c>
      <c r="E774" t="s">
        <v>160</v>
      </c>
      <c r="F774" t="s">
        <v>1067</v>
      </c>
      <c r="G774" t="s">
        <v>43</v>
      </c>
      <c r="H774" t="s">
        <v>51</v>
      </c>
      <c r="L77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7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74" s="1"/>
      <c r="T774" s="64" t="str">
        <f>IF(Table1[[#This Row],[ActualWinner]]="", "", IF(Table1[[#This Row],[AwayTeam]]=Table1[[#This Row],[ActualWinner]],Table1[[#This Row],[HomeTeam]],Table1[[#This Row],[AwayTeam]]))</f>
        <v/>
      </c>
      <c r="U774" s="64">
        <f>Table1[[#This Row],[ActualAwayScore]]-Table1[[#This Row],[PredictedAwayScore]]</f>
        <v>0</v>
      </c>
      <c r="V774" s="64">
        <f>Table1[[#This Row],[ActualHomeScore]]-Table1[[#This Row],[PredictedHomeScore]]</f>
        <v>0</v>
      </c>
      <c r="W774" s="64">
        <f>(0.8*IF(Table1[[#This Row],[CorrectWinnerPrediction]]=1, 1, 0))+(0.1*IF(Table1[[#This Row],[CorrectAwayScorePrediction]]=1, 1, 0))+(0.1*IF(Table1[[#This Row],[CorrectHomeScorePrediction]]=1, 1, 0))</f>
        <v>0</v>
      </c>
      <c r="X77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74" s="64">
        <f>SUMIF(Table1[GameDate], Table1[[#This Row],[GameDate]], Table1[AwayGameGoalDiff])</f>
        <v>0</v>
      </c>
      <c r="AA774" s="64">
        <f>SUMIF(Table1[GameDate], Table1[[#This Row],[GameDate]], Table1[HomeGameGoalDiff])</f>
        <v>0</v>
      </c>
      <c r="AB774" s="64">
        <f>IF(ISBLANK(Table1[[#This Row],[ActualResult]]), 0, 1)</f>
        <v>0</v>
      </c>
      <c r="AC774" s="64">
        <f>IF(ISBLANK(Table1[[#This Row],[ActualResult]]), 0, IF(Table1[[#This Row],[ActualWinner]]=Table1[[#This Row],[PredictedWinner]], 1, 0))</f>
        <v>0</v>
      </c>
      <c r="AD77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7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74" s="64">
        <f>IF(AND(Table1[[#This Row],[GameIsOver]]=1,Table1[[#This Row],[ActualAwayScore]]=0), 1,0)</f>
        <v>0</v>
      </c>
      <c r="AG774" s="64">
        <f>IF(AND(Table1[[#This Row],[GameIsOver]]=1,Table1[[#This Row],[ActualHomeScore]]=0), 1,0)</f>
        <v>0</v>
      </c>
      <c r="AH774" s="64">
        <f>IF(Table1[[#This Row],[GameIsOver]]=0,0,IF(Table1[[#This Row],[ActualWinner]]=Table1[[#This Row],[AwayTeam]], 1, 0))</f>
        <v>0</v>
      </c>
      <c r="AI774" s="64">
        <f>IF(Table1[[#This Row],[GameIsOver]]=0,0,IF(Table1[[#This Row],[ActualWinner]]=Table1[[#This Row],[HomeTeam]], 1, 0))</f>
        <v>0</v>
      </c>
      <c r="AJ774" s="64">
        <f>IF(INDEX(Standings!$A$2:$C$33,MATCH(Table1[[#This Row],[AwayTeam]],Standings!$A$2:$A$33,0),2)=INDEX(Standings!$A$2:$C$33,MATCH(Table1[[#This Row],[HomeTeam]],Standings!$A$2:$A$33,0),2),1,0)</f>
        <v>0</v>
      </c>
      <c r="AK774" s="64">
        <f>IF(INDEX(Standings!$A$2:$C$33,MATCH(Table1[[#This Row],[AwayTeam]],Standings!$A$2:$A$33,0),3)=INDEX(Standings!$A$2:$C$33,MATCH(Table1[[#This Row],[HomeTeam]],Standings!$A$2:$A$33,0),3),1,0)</f>
        <v>0</v>
      </c>
      <c r="AL774" s="64">
        <f>IF(Table1[[#This Row],[InterConf]]=1,IF(Table1[[#This Row],[InterDiv]]=0, 1, 0), 0)</f>
        <v>0</v>
      </c>
      <c r="AM774" s="64">
        <f>IF(INDEX(Standings!$A$2:$C$33,MATCH(Table1[[#This Row],[AwayTeam]],Standings!$A$2:$A$33,0),2)&lt;&gt;INDEX(Standings!$A$2:$C$33,MATCH(Table1[[#This Row],[HomeTeam]],Standings!$A$2:$A$33,0),2),1,0)</f>
        <v>1</v>
      </c>
      <c r="AN774" s="64" t="str">
        <f>INDEX(Table2[AWAY_RECORD], MATCH(Table1[[#This Row],[AwayTeam]],Table2[Team], 0), 0)</f>
        <v>0-0-0</v>
      </c>
      <c r="AO774" s="64" t="str">
        <f>INDEX(Records!$B$2:$AG$33, MATCH(Table1[[#This Row],[AwayTeam]],Records!$A$2:$A$33, 0), MATCH(Table1[[#This Row],[HomeTeam]],Records!$A$2:$A$33, 0))</f>
        <v>0-0-0</v>
      </c>
      <c r="AP774" s="64" t="str">
        <f>INDEX(Table2[HOME_RECORD], MATCH(Table1[[#This Row],[HomeTeam]],Table2[Team], 0), 0)</f>
        <v>1-0-0</v>
      </c>
      <c r="AQ774" s="64" t="str">
        <f>INDEX(Records!$B$2:$AG$33, MATCH(Table1[[#This Row],[HomeTeam]],Records!$A$2:$A$33, 0), MATCH(Table1[[#This Row],[AwayTeam]],Records!$A$2:$A$33, 0))</f>
        <v>0-0-0</v>
      </c>
    </row>
    <row r="775" spans="1:43" x14ac:dyDescent="0.25">
      <c r="A775" s="1"/>
      <c r="D775" t="s">
        <v>1062</v>
      </c>
      <c r="E775" t="s">
        <v>160</v>
      </c>
      <c r="F775" t="s">
        <v>1068</v>
      </c>
      <c r="G775" t="s">
        <v>25</v>
      </c>
      <c r="H775" t="s">
        <v>40</v>
      </c>
      <c r="L77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7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75" s="1"/>
      <c r="T775" s="64" t="str">
        <f>IF(Table1[[#This Row],[ActualWinner]]="", "", IF(Table1[[#This Row],[AwayTeam]]=Table1[[#This Row],[ActualWinner]],Table1[[#This Row],[HomeTeam]],Table1[[#This Row],[AwayTeam]]))</f>
        <v/>
      </c>
      <c r="U775" s="64">
        <f>Table1[[#This Row],[ActualAwayScore]]-Table1[[#This Row],[PredictedAwayScore]]</f>
        <v>0</v>
      </c>
      <c r="V775" s="64">
        <f>Table1[[#This Row],[ActualHomeScore]]-Table1[[#This Row],[PredictedHomeScore]]</f>
        <v>0</v>
      </c>
      <c r="W775" s="64">
        <f>(0.8*IF(Table1[[#This Row],[CorrectWinnerPrediction]]=1, 1, 0))+(0.1*IF(Table1[[#This Row],[CorrectAwayScorePrediction]]=1, 1, 0))+(0.1*IF(Table1[[#This Row],[CorrectHomeScorePrediction]]=1, 1, 0))</f>
        <v>0</v>
      </c>
      <c r="X77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75" s="64">
        <f>SUMIF(Table1[GameDate], Table1[[#This Row],[GameDate]], Table1[AwayGameGoalDiff])</f>
        <v>0</v>
      </c>
      <c r="AA775" s="64">
        <f>SUMIF(Table1[GameDate], Table1[[#This Row],[GameDate]], Table1[HomeGameGoalDiff])</f>
        <v>0</v>
      </c>
      <c r="AB775" s="64">
        <f>IF(ISBLANK(Table1[[#This Row],[ActualResult]]), 0, 1)</f>
        <v>0</v>
      </c>
      <c r="AC775" s="64">
        <f>IF(ISBLANK(Table1[[#This Row],[ActualResult]]), 0, IF(Table1[[#This Row],[ActualWinner]]=Table1[[#This Row],[PredictedWinner]], 1, 0))</f>
        <v>0</v>
      </c>
      <c r="AD77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7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75" s="64">
        <f>IF(AND(Table1[[#This Row],[GameIsOver]]=1,Table1[[#This Row],[ActualAwayScore]]=0), 1,0)</f>
        <v>0</v>
      </c>
      <c r="AG775" s="64">
        <f>IF(AND(Table1[[#This Row],[GameIsOver]]=1,Table1[[#This Row],[ActualHomeScore]]=0), 1,0)</f>
        <v>0</v>
      </c>
      <c r="AH775" s="64">
        <f>IF(Table1[[#This Row],[GameIsOver]]=0,0,IF(Table1[[#This Row],[ActualWinner]]=Table1[[#This Row],[AwayTeam]], 1, 0))</f>
        <v>0</v>
      </c>
      <c r="AI775" s="64">
        <f>IF(Table1[[#This Row],[GameIsOver]]=0,0,IF(Table1[[#This Row],[ActualWinner]]=Table1[[#This Row],[HomeTeam]], 1, 0))</f>
        <v>0</v>
      </c>
      <c r="AJ775" s="64">
        <f>IF(INDEX(Standings!$A$2:$C$33,MATCH(Table1[[#This Row],[AwayTeam]],Standings!$A$2:$A$33,0),2)=INDEX(Standings!$A$2:$C$33,MATCH(Table1[[#This Row],[HomeTeam]],Standings!$A$2:$A$33,0),2),1,0)</f>
        <v>0</v>
      </c>
      <c r="AK775" s="64">
        <f>IF(INDEX(Standings!$A$2:$C$33,MATCH(Table1[[#This Row],[AwayTeam]],Standings!$A$2:$A$33,0),3)=INDEX(Standings!$A$2:$C$33,MATCH(Table1[[#This Row],[HomeTeam]],Standings!$A$2:$A$33,0),3),1,0)</f>
        <v>0</v>
      </c>
      <c r="AL775" s="64">
        <f>IF(Table1[[#This Row],[InterConf]]=1,IF(Table1[[#This Row],[InterDiv]]=0, 1, 0), 0)</f>
        <v>0</v>
      </c>
      <c r="AM775" s="64">
        <f>IF(INDEX(Standings!$A$2:$C$33,MATCH(Table1[[#This Row],[AwayTeam]],Standings!$A$2:$A$33,0),2)&lt;&gt;INDEX(Standings!$A$2:$C$33,MATCH(Table1[[#This Row],[HomeTeam]],Standings!$A$2:$A$33,0),2),1,0)</f>
        <v>1</v>
      </c>
      <c r="AN775" s="64" t="str">
        <f>INDEX(Table2[AWAY_RECORD], MATCH(Table1[[#This Row],[AwayTeam]],Table2[Team], 0), 0)</f>
        <v>0-0-0</v>
      </c>
      <c r="AO775" s="64" t="str">
        <f>INDEX(Records!$B$2:$AG$33, MATCH(Table1[[#This Row],[AwayTeam]],Records!$A$2:$A$33, 0), MATCH(Table1[[#This Row],[HomeTeam]],Records!$A$2:$A$33, 0))</f>
        <v>0-0-0</v>
      </c>
      <c r="AP775" s="64" t="str">
        <f>INDEX(Table2[HOME_RECORD], MATCH(Table1[[#This Row],[HomeTeam]],Table2[Team], 0), 0)</f>
        <v>1-1-0</v>
      </c>
      <c r="AQ775" s="64" t="str">
        <f>INDEX(Records!$B$2:$AG$33, MATCH(Table1[[#This Row],[HomeTeam]],Records!$A$2:$A$33, 0), MATCH(Table1[[#This Row],[AwayTeam]],Records!$A$2:$A$33, 0))</f>
        <v>0-0-0</v>
      </c>
    </row>
    <row r="776" spans="1:43" x14ac:dyDescent="0.25">
      <c r="A776" s="1"/>
      <c r="D776" t="s">
        <v>1062</v>
      </c>
      <c r="E776" t="s">
        <v>162</v>
      </c>
      <c r="F776" t="s">
        <v>1069</v>
      </c>
      <c r="G776" t="s">
        <v>60</v>
      </c>
      <c r="H776" t="s">
        <v>45</v>
      </c>
      <c r="L77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7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76" s="1"/>
      <c r="T776" s="64" t="str">
        <f>IF(Table1[[#This Row],[ActualWinner]]="", "", IF(Table1[[#This Row],[AwayTeam]]=Table1[[#This Row],[ActualWinner]],Table1[[#This Row],[HomeTeam]],Table1[[#This Row],[AwayTeam]]))</f>
        <v/>
      </c>
      <c r="U776" s="64">
        <f>Table1[[#This Row],[ActualAwayScore]]-Table1[[#This Row],[PredictedAwayScore]]</f>
        <v>0</v>
      </c>
      <c r="V776" s="64">
        <f>Table1[[#This Row],[ActualHomeScore]]-Table1[[#This Row],[PredictedHomeScore]]</f>
        <v>0</v>
      </c>
      <c r="W776" s="64">
        <f>(0.8*IF(Table1[[#This Row],[CorrectWinnerPrediction]]=1, 1, 0))+(0.1*IF(Table1[[#This Row],[CorrectAwayScorePrediction]]=1, 1, 0))+(0.1*IF(Table1[[#This Row],[CorrectHomeScorePrediction]]=1, 1, 0))</f>
        <v>0</v>
      </c>
      <c r="X77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76" s="64">
        <f>SUMIF(Table1[GameDate], Table1[[#This Row],[GameDate]], Table1[AwayGameGoalDiff])</f>
        <v>0</v>
      </c>
      <c r="AA776" s="64">
        <f>SUMIF(Table1[GameDate], Table1[[#This Row],[GameDate]], Table1[HomeGameGoalDiff])</f>
        <v>0</v>
      </c>
      <c r="AB776" s="64">
        <f>IF(ISBLANK(Table1[[#This Row],[ActualResult]]), 0, 1)</f>
        <v>0</v>
      </c>
      <c r="AC776" s="64">
        <f>IF(ISBLANK(Table1[[#This Row],[ActualResult]]), 0, IF(Table1[[#This Row],[ActualWinner]]=Table1[[#This Row],[PredictedWinner]], 1, 0))</f>
        <v>0</v>
      </c>
      <c r="AD77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7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76" s="64">
        <f>IF(AND(Table1[[#This Row],[GameIsOver]]=1,Table1[[#This Row],[ActualAwayScore]]=0), 1,0)</f>
        <v>0</v>
      </c>
      <c r="AG776" s="64">
        <f>IF(AND(Table1[[#This Row],[GameIsOver]]=1,Table1[[#This Row],[ActualHomeScore]]=0), 1,0)</f>
        <v>0</v>
      </c>
      <c r="AH776" s="64">
        <f>IF(Table1[[#This Row],[GameIsOver]]=0,0,IF(Table1[[#This Row],[ActualWinner]]=Table1[[#This Row],[AwayTeam]], 1, 0))</f>
        <v>0</v>
      </c>
      <c r="AI776" s="64">
        <f>IF(Table1[[#This Row],[GameIsOver]]=0,0,IF(Table1[[#This Row],[ActualWinner]]=Table1[[#This Row],[HomeTeam]], 1, 0))</f>
        <v>0</v>
      </c>
      <c r="AJ776" s="64">
        <f>IF(INDEX(Standings!$A$2:$C$33,MATCH(Table1[[#This Row],[AwayTeam]],Standings!$A$2:$A$33,0),2)=INDEX(Standings!$A$2:$C$33,MATCH(Table1[[#This Row],[HomeTeam]],Standings!$A$2:$A$33,0),2),1,0)</f>
        <v>1</v>
      </c>
      <c r="AK776" s="64">
        <f>IF(INDEX(Standings!$A$2:$C$33,MATCH(Table1[[#This Row],[AwayTeam]],Standings!$A$2:$A$33,0),3)=INDEX(Standings!$A$2:$C$33,MATCH(Table1[[#This Row],[HomeTeam]],Standings!$A$2:$A$33,0),3),1,0)</f>
        <v>0</v>
      </c>
      <c r="AL776" s="64">
        <f>IF(Table1[[#This Row],[InterConf]]=1,IF(Table1[[#This Row],[InterDiv]]=0, 1, 0), 0)</f>
        <v>1</v>
      </c>
      <c r="AM776" s="64">
        <f>IF(INDEX(Standings!$A$2:$C$33,MATCH(Table1[[#This Row],[AwayTeam]],Standings!$A$2:$A$33,0),2)&lt;&gt;INDEX(Standings!$A$2:$C$33,MATCH(Table1[[#This Row],[HomeTeam]],Standings!$A$2:$A$33,0),2),1,0)</f>
        <v>0</v>
      </c>
      <c r="AN776" s="64" t="str">
        <f>INDEX(Table2[AWAY_RECORD], MATCH(Table1[[#This Row],[AwayTeam]],Table2[Team], 0), 0)</f>
        <v>0-0-0</v>
      </c>
      <c r="AO776" s="64" t="str">
        <f>INDEX(Records!$B$2:$AG$33, MATCH(Table1[[#This Row],[AwayTeam]],Records!$A$2:$A$33, 0), MATCH(Table1[[#This Row],[HomeTeam]],Records!$A$2:$A$33, 0))</f>
        <v>0-0-0</v>
      </c>
      <c r="AP776" s="64" t="str">
        <f>INDEX(Table2[HOME_RECORD], MATCH(Table1[[#This Row],[HomeTeam]],Table2[Team], 0), 0)</f>
        <v>1-0-0</v>
      </c>
      <c r="AQ776" s="64" t="str">
        <f>INDEX(Records!$B$2:$AG$33, MATCH(Table1[[#This Row],[HomeTeam]],Records!$A$2:$A$33, 0), MATCH(Table1[[#This Row],[AwayTeam]],Records!$A$2:$A$33, 0))</f>
        <v>0-0-0</v>
      </c>
    </row>
    <row r="777" spans="1:43" x14ac:dyDescent="0.25">
      <c r="A777" s="1"/>
      <c r="D777" t="s">
        <v>1070</v>
      </c>
      <c r="E777" t="s">
        <v>432</v>
      </c>
      <c r="F777" t="s">
        <v>1071</v>
      </c>
      <c r="G777" t="s">
        <v>47</v>
      </c>
      <c r="H777" t="s">
        <v>38</v>
      </c>
      <c r="L77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7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77" s="1"/>
      <c r="T777" s="64" t="str">
        <f>IF(Table1[[#This Row],[ActualWinner]]="", "", IF(Table1[[#This Row],[AwayTeam]]=Table1[[#This Row],[ActualWinner]],Table1[[#This Row],[HomeTeam]],Table1[[#This Row],[AwayTeam]]))</f>
        <v/>
      </c>
      <c r="U777" s="64">
        <f>Table1[[#This Row],[ActualAwayScore]]-Table1[[#This Row],[PredictedAwayScore]]</f>
        <v>0</v>
      </c>
      <c r="V777" s="64">
        <f>Table1[[#This Row],[ActualHomeScore]]-Table1[[#This Row],[PredictedHomeScore]]</f>
        <v>0</v>
      </c>
      <c r="W777" s="64">
        <f>(0.8*IF(Table1[[#This Row],[CorrectWinnerPrediction]]=1, 1, 0))+(0.1*IF(Table1[[#This Row],[CorrectAwayScorePrediction]]=1, 1, 0))+(0.1*IF(Table1[[#This Row],[CorrectHomeScorePrediction]]=1, 1, 0))</f>
        <v>0</v>
      </c>
      <c r="X77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77" s="64">
        <f>SUMIF(Table1[GameDate], Table1[[#This Row],[GameDate]], Table1[AwayGameGoalDiff])</f>
        <v>0</v>
      </c>
      <c r="AA777" s="64">
        <f>SUMIF(Table1[GameDate], Table1[[#This Row],[GameDate]], Table1[HomeGameGoalDiff])</f>
        <v>0</v>
      </c>
      <c r="AB777" s="64">
        <f>IF(ISBLANK(Table1[[#This Row],[ActualResult]]), 0, 1)</f>
        <v>0</v>
      </c>
      <c r="AC777" s="64">
        <f>IF(ISBLANK(Table1[[#This Row],[ActualResult]]), 0, IF(Table1[[#This Row],[ActualWinner]]=Table1[[#This Row],[PredictedWinner]], 1, 0))</f>
        <v>0</v>
      </c>
      <c r="AD77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7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77" s="64">
        <f>IF(AND(Table1[[#This Row],[GameIsOver]]=1,Table1[[#This Row],[ActualAwayScore]]=0), 1,0)</f>
        <v>0</v>
      </c>
      <c r="AG777" s="64">
        <f>IF(AND(Table1[[#This Row],[GameIsOver]]=1,Table1[[#This Row],[ActualHomeScore]]=0), 1,0)</f>
        <v>0</v>
      </c>
      <c r="AH777" s="64">
        <f>IF(Table1[[#This Row],[GameIsOver]]=0,0,IF(Table1[[#This Row],[ActualWinner]]=Table1[[#This Row],[AwayTeam]], 1, 0))</f>
        <v>0</v>
      </c>
      <c r="AI777" s="64">
        <f>IF(Table1[[#This Row],[GameIsOver]]=0,0,IF(Table1[[#This Row],[ActualWinner]]=Table1[[#This Row],[HomeTeam]], 1, 0))</f>
        <v>0</v>
      </c>
      <c r="AJ777" s="64">
        <f>IF(INDEX(Standings!$A$2:$C$33,MATCH(Table1[[#This Row],[AwayTeam]],Standings!$A$2:$A$33,0),2)=INDEX(Standings!$A$2:$C$33,MATCH(Table1[[#This Row],[HomeTeam]],Standings!$A$2:$A$33,0),2),1,0)</f>
        <v>1</v>
      </c>
      <c r="AK777" s="64">
        <f>IF(INDEX(Standings!$A$2:$C$33,MATCH(Table1[[#This Row],[AwayTeam]],Standings!$A$2:$A$33,0),3)=INDEX(Standings!$A$2:$C$33,MATCH(Table1[[#This Row],[HomeTeam]],Standings!$A$2:$A$33,0),3),1,0)</f>
        <v>1</v>
      </c>
      <c r="AL777" s="64">
        <f>IF(Table1[[#This Row],[InterConf]]=1,IF(Table1[[#This Row],[InterDiv]]=0, 1, 0), 0)</f>
        <v>0</v>
      </c>
      <c r="AM777" s="64">
        <f>IF(INDEX(Standings!$A$2:$C$33,MATCH(Table1[[#This Row],[AwayTeam]],Standings!$A$2:$A$33,0),2)&lt;&gt;INDEX(Standings!$A$2:$C$33,MATCH(Table1[[#This Row],[HomeTeam]],Standings!$A$2:$A$33,0),2),1,0)</f>
        <v>0</v>
      </c>
      <c r="AN777" s="64" t="str">
        <f>INDEX(Table2[AWAY_RECORD], MATCH(Table1[[#This Row],[AwayTeam]],Table2[Team], 0), 0)</f>
        <v>1-0-0</v>
      </c>
      <c r="AO777" s="64" t="str">
        <f>INDEX(Records!$B$2:$AG$33, MATCH(Table1[[#This Row],[AwayTeam]],Records!$A$2:$A$33, 0), MATCH(Table1[[#This Row],[HomeTeam]],Records!$A$2:$A$33, 0))</f>
        <v>0-0-0</v>
      </c>
      <c r="AP777" s="64" t="str">
        <f>INDEX(Table2[HOME_RECORD], MATCH(Table1[[#This Row],[HomeTeam]],Table2[Team], 0), 0)</f>
        <v>0-0-0</v>
      </c>
      <c r="AQ777" s="64" t="str">
        <f>INDEX(Records!$B$2:$AG$33, MATCH(Table1[[#This Row],[HomeTeam]],Records!$A$2:$A$33, 0), MATCH(Table1[[#This Row],[AwayTeam]],Records!$A$2:$A$33, 0))</f>
        <v>0-0-0</v>
      </c>
    </row>
    <row r="778" spans="1:43" x14ac:dyDescent="0.25">
      <c r="A778" s="1"/>
      <c r="D778" t="s">
        <v>1070</v>
      </c>
      <c r="E778" t="s">
        <v>489</v>
      </c>
      <c r="F778" t="s">
        <v>1072</v>
      </c>
      <c r="G778" t="s">
        <v>57</v>
      </c>
      <c r="H778" t="s">
        <v>37</v>
      </c>
      <c r="L77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7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78" s="1"/>
      <c r="T778" s="64" t="str">
        <f>IF(Table1[[#This Row],[ActualWinner]]="", "", IF(Table1[[#This Row],[AwayTeam]]=Table1[[#This Row],[ActualWinner]],Table1[[#This Row],[HomeTeam]],Table1[[#This Row],[AwayTeam]]))</f>
        <v/>
      </c>
      <c r="U778" s="64">
        <f>Table1[[#This Row],[ActualAwayScore]]-Table1[[#This Row],[PredictedAwayScore]]</f>
        <v>0</v>
      </c>
      <c r="V778" s="64">
        <f>Table1[[#This Row],[ActualHomeScore]]-Table1[[#This Row],[PredictedHomeScore]]</f>
        <v>0</v>
      </c>
      <c r="W778" s="64">
        <f>(0.8*IF(Table1[[#This Row],[CorrectWinnerPrediction]]=1, 1, 0))+(0.1*IF(Table1[[#This Row],[CorrectAwayScorePrediction]]=1, 1, 0))+(0.1*IF(Table1[[#This Row],[CorrectHomeScorePrediction]]=1, 1, 0))</f>
        <v>0</v>
      </c>
      <c r="X77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78" s="64">
        <f>SUMIF(Table1[GameDate], Table1[[#This Row],[GameDate]], Table1[AwayGameGoalDiff])</f>
        <v>0</v>
      </c>
      <c r="AA778" s="64">
        <f>SUMIF(Table1[GameDate], Table1[[#This Row],[GameDate]], Table1[HomeGameGoalDiff])</f>
        <v>0</v>
      </c>
      <c r="AB778" s="64">
        <f>IF(ISBLANK(Table1[[#This Row],[ActualResult]]), 0, 1)</f>
        <v>0</v>
      </c>
      <c r="AC778" s="64">
        <f>IF(ISBLANK(Table1[[#This Row],[ActualResult]]), 0, IF(Table1[[#This Row],[ActualWinner]]=Table1[[#This Row],[PredictedWinner]], 1, 0))</f>
        <v>0</v>
      </c>
      <c r="AD77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7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78" s="64">
        <f>IF(AND(Table1[[#This Row],[GameIsOver]]=1,Table1[[#This Row],[ActualAwayScore]]=0), 1,0)</f>
        <v>0</v>
      </c>
      <c r="AG778" s="64">
        <f>IF(AND(Table1[[#This Row],[GameIsOver]]=1,Table1[[#This Row],[ActualHomeScore]]=0), 1,0)</f>
        <v>0</v>
      </c>
      <c r="AH778" s="64">
        <f>IF(Table1[[#This Row],[GameIsOver]]=0,0,IF(Table1[[#This Row],[ActualWinner]]=Table1[[#This Row],[AwayTeam]], 1, 0))</f>
        <v>0</v>
      </c>
      <c r="AI778" s="64">
        <f>IF(Table1[[#This Row],[GameIsOver]]=0,0,IF(Table1[[#This Row],[ActualWinner]]=Table1[[#This Row],[HomeTeam]], 1, 0))</f>
        <v>0</v>
      </c>
      <c r="AJ778" s="64">
        <f>IF(INDEX(Standings!$A$2:$C$33,MATCH(Table1[[#This Row],[AwayTeam]],Standings!$A$2:$A$33,0),2)=INDEX(Standings!$A$2:$C$33,MATCH(Table1[[#This Row],[HomeTeam]],Standings!$A$2:$A$33,0),2),1,0)</f>
        <v>1</v>
      </c>
      <c r="AK778" s="64">
        <f>IF(INDEX(Standings!$A$2:$C$33,MATCH(Table1[[#This Row],[AwayTeam]],Standings!$A$2:$A$33,0),3)=INDEX(Standings!$A$2:$C$33,MATCH(Table1[[#This Row],[HomeTeam]],Standings!$A$2:$A$33,0),3),1,0)</f>
        <v>1</v>
      </c>
      <c r="AL778" s="64">
        <f>IF(Table1[[#This Row],[InterConf]]=1,IF(Table1[[#This Row],[InterDiv]]=0, 1, 0), 0)</f>
        <v>0</v>
      </c>
      <c r="AM778" s="64">
        <f>IF(INDEX(Standings!$A$2:$C$33,MATCH(Table1[[#This Row],[AwayTeam]],Standings!$A$2:$A$33,0),2)&lt;&gt;INDEX(Standings!$A$2:$C$33,MATCH(Table1[[#This Row],[HomeTeam]],Standings!$A$2:$A$33,0),2),1,0)</f>
        <v>0</v>
      </c>
      <c r="AN778" s="64" t="str">
        <f>INDEX(Table2[AWAY_RECORD], MATCH(Table1[[#This Row],[AwayTeam]],Table2[Team], 0), 0)</f>
        <v>0-1-0</v>
      </c>
      <c r="AO778" s="64" t="str">
        <f>INDEX(Records!$B$2:$AG$33, MATCH(Table1[[#This Row],[AwayTeam]],Records!$A$2:$A$33, 0), MATCH(Table1[[#This Row],[HomeTeam]],Records!$A$2:$A$33, 0))</f>
        <v>0-0-0</v>
      </c>
      <c r="AP778" s="64" t="str">
        <f>INDEX(Table2[HOME_RECORD], MATCH(Table1[[#This Row],[HomeTeam]],Table2[Team], 0), 0)</f>
        <v>0-1-0</v>
      </c>
      <c r="AQ778" s="64" t="str">
        <f>INDEX(Records!$B$2:$AG$33, MATCH(Table1[[#This Row],[HomeTeam]],Records!$A$2:$A$33, 0), MATCH(Table1[[#This Row],[AwayTeam]],Records!$A$2:$A$33, 0))</f>
        <v>0-0-0</v>
      </c>
    </row>
    <row r="779" spans="1:43" x14ac:dyDescent="0.25">
      <c r="A779" s="1"/>
      <c r="D779" t="s">
        <v>1070</v>
      </c>
      <c r="E779" t="s">
        <v>252</v>
      </c>
      <c r="F779" t="s">
        <v>1073</v>
      </c>
      <c r="G779" t="s">
        <v>48</v>
      </c>
      <c r="H779" t="s">
        <v>50</v>
      </c>
      <c r="L77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7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79" s="1"/>
      <c r="T779" s="64" t="str">
        <f>IF(Table1[[#This Row],[ActualWinner]]="", "", IF(Table1[[#This Row],[AwayTeam]]=Table1[[#This Row],[ActualWinner]],Table1[[#This Row],[HomeTeam]],Table1[[#This Row],[AwayTeam]]))</f>
        <v/>
      </c>
      <c r="U779" s="64">
        <f>Table1[[#This Row],[ActualAwayScore]]-Table1[[#This Row],[PredictedAwayScore]]</f>
        <v>0</v>
      </c>
      <c r="V779" s="64">
        <f>Table1[[#This Row],[ActualHomeScore]]-Table1[[#This Row],[PredictedHomeScore]]</f>
        <v>0</v>
      </c>
      <c r="W779" s="64">
        <f>(0.8*IF(Table1[[#This Row],[CorrectWinnerPrediction]]=1, 1, 0))+(0.1*IF(Table1[[#This Row],[CorrectAwayScorePrediction]]=1, 1, 0))+(0.1*IF(Table1[[#This Row],[CorrectHomeScorePrediction]]=1, 1, 0))</f>
        <v>0</v>
      </c>
      <c r="X77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79" s="64">
        <f>SUMIF(Table1[GameDate], Table1[[#This Row],[GameDate]], Table1[AwayGameGoalDiff])</f>
        <v>0</v>
      </c>
      <c r="AA779" s="64">
        <f>SUMIF(Table1[GameDate], Table1[[#This Row],[GameDate]], Table1[HomeGameGoalDiff])</f>
        <v>0</v>
      </c>
      <c r="AB779" s="64">
        <f>IF(ISBLANK(Table1[[#This Row],[ActualResult]]), 0, 1)</f>
        <v>0</v>
      </c>
      <c r="AC779" s="64">
        <f>IF(ISBLANK(Table1[[#This Row],[ActualResult]]), 0, IF(Table1[[#This Row],[ActualWinner]]=Table1[[#This Row],[PredictedWinner]], 1, 0))</f>
        <v>0</v>
      </c>
      <c r="AD77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7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79" s="64">
        <f>IF(AND(Table1[[#This Row],[GameIsOver]]=1,Table1[[#This Row],[ActualAwayScore]]=0), 1,0)</f>
        <v>0</v>
      </c>
      <c r="AG779" s="64">
        <f>IF(AND(Table1[[#This Row],[GameIsOver]]=1,Table1[[#This Row],[ActualHomeScore]]=0), 1,0)</f>
        <v>0</v>
      </c>
      <c r="AH779" s="64">
        <f>IF(Table1[[#This Row],[GameIsOver]]=0,0,IF(Table1[[#This Row],[ActualWinner]]=Table1[[#This Row],[AwayTeam]], 1, 0))</f>
        <v>0</v>
      </c>
      <c r="AI779" s="64">
        <f>IF(Table1[[#This Row],[GameIsOver]]=0,0,IF(Table1[[#This Row],[ActualWinner]]=Table1[[#This Row],[HomeTeam]], 1, 0))</f>
        <v>0</v>
      </c>
      <c r="AJ779" s="64">
        <f>IF(INDEX(Standings!$A$2:$C$33,MATCH(Table1[[#This Row],[AwayTeam]],Standings!$A$2:$A$33,0),2)=INDEX(Standings!$A$2:$C$33,MATCH(Table1[[#This Row],[HomeTeam]],Standings!$A$2:$A$33,0),2),1,0)</f>
        <v>0</v>
      </c>
      <c r="AK779" s="64">
        <f>IF(INDEX(Standings!$A$2:$C$33,MATCH(Table1[[#This Row],[AwayTeam]],Standings!$A$2:$A$33,0),3)=INDEX(Standings!$A$2:$C$33,MATCH(Table1[[#This Row],[HomeTeam]],Standings!$A$2:$A$33,0),3),1,0)</f>
        <v>0</v>
      </c>
      <c r="AL779" s="64">
        <f>IF(Table1[[#This Row],[InterConf]]=1,IF(Table1[[#This Row],[InterDiv]]=0, 1, 0), 0)</f>
        <v>0</v>
      </c>
      <c r="AM779" s="64">
        <f>IF(INDEX(Standings!$A$2:$C$33,MATCH(Table1[[#This Row],[AwayTeam]],Standings!$A$2:$A$33,0),2)&lt;&gt;INDEX(Standings!$A$2:$C$33,MATCH(Table1[[#This Row],[HomeTeam]],Standings!$A$2:$A$33,0),2),1,0)</f>
        <v>1</v>
      </c>
      <c r="AN779" s="64" t="str">
        <f>INDEX(Table2[AWAY_RECORD], MATCH(Table1[[#This Row],[AwayTeam]],Table2[Team], 0), 0)</f>
        <v>0-0-0</v>
      </c>
      <c r="AO779" s="64" t="str">
        <f>INDEX(Records!$B$2:$AG$33, MATCH(Table1[[#This Row],[AwayTeam]],Records!$A$2:$A$33, 0), MATCH(Table1[[#This Row],[HomeTeam]],Records!$A$2:$A$33, 0))</f>
        <v>0-0-0</v>
      </c>
      <c r="AP779" s="64" t="str">
        <f>INDEX(Table2[HOME_RECORD], MATCH(Table1[[#This Row],[HomeTeam]],Table2[Team], 0), 0)</f>
        <v>0-0-0</v>
      </c>
      <c r="AQ779" s="64" t="str">
        <f>INDEX(Records!$B$2:$AG$33, MATCH(Table1[[#This Row],[HomeTeam]],Records!$A$2:$A$33, 0), MATCH(Table1[[#This Row],[AwayTeam]],Records!$A$2:$A$33, 0))</f>
        <v>0-0-0</v>
      </c>
    </row>
    <row r="780" spans="1:43" x14ac:dyDescent="0.25">
      <c r="A780" s="1"/>
      <c r="D780" t="s">
        <v>1070</v>
      </c>
      <c r="E780" t="s">
        <v>252</v>
      </c>
      <c r="F780" t="s">
        <v>1074</v>
      </c>
      <c r="G780" t="s">
        <v>23</v>
      </c>
      <c r="H780" t="s">
        <v>41</v>
      </c>
      <c r="L78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8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80" s="1"/>
      <c r="T780" s="64" t="str">
        <f>IF(Table1[[#This Row],[ActualWinner]]="", "", IF(Table1[[#This Row],[AwayTeam]]=Table1[[#This Row],[ActualWinner]],Table1[[#This Row],[HomeTeam]],Table1[[#This Row],[AwayTeam]]))</f>
        <v/>
      </c>
      <c r="U780" s="64">
        <f>Table1[[#This Row],[ActualAwayScore]]-Table1[[#This Row],[PredictedAwayScore]]</f>
        <v>0</v>
      </c>
      <c r="V780" s="64">
        <f>Table1[[#This Row],[ActualHomeScore]]-Table1[[#This Row],[PredictedHomeScore]]</f>
        <v>0</v>
      </c>
      <c r="W780" s="64">
        <f>(0.8*IF(Table1[[#This Row],[CorrectWinnerPrediction]]=1, 1, 0))+(0.1*IF(Table1[[#This Row],[CorrectAwayScorePrediction]]=1, 1, 0))+(0.1*IF(Table1[[#This Row],[CorrectHomeScorePrediction]]=1, 1, 0))</f>
        <v>0</v>
      </c>
      <c r="X78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80" s="64">
        <f>SUMIF(Table1[GameDate], Table1[[#This Row],[GameDate]], Table1[AwayGameGoalDiff])</f>
        <v>0</v>
      </c>
      <c r="AA780" s="64">
        <f>SUMIF(Table1[GameDate], Table1[[#This Row],[GameDate]], Table1[HomeGameGoalDiff])</f>
        <v>0</v>
      </c>
      <c r="AB780" s="64">
        <f>IF(ISBLANK(Table1[[#This Row],[ActualResult]]), 0, 1)</f>
        <v>0</v>
      </c>
      <c r="AC780" s="64">
        <f>IF(ISBLANK(Table1[[#This Row],[ActualResult]]), 0, IF(Table1[[#This Row],[ActualWinner]]=Table1[[#This Row],[PredictedWinner]], 1, 0))</f>
        <v>0</v>
      </c>
      <c r="AD78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8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80" s="64">
        <f>IF(AND(Table1[[#This Row],[GameIsOver]]=1,Table1[[#This Row],[ActualAwayScore]]=0), 1,0)</f>
        <v>0</v>
      </c>
      <c r="AG780" s="64">
        <f>IF(AND(Table1[[#This Row],[GameIsOver]]=1,Table1[[#This Row],[ActualHomeScore]]=0), 1,0)</f>
        <v>0</v>
      </c>
      <c r="AH780" s="64">
        <f>IF(Table1[[#This Row],[GameIsOver]]=0,0,IF(Table1[[#This Row],[ActualWinner]]=Table1[[#This Row],[AwayTeam]], 1, 0))</f>
        <v>0</v>
      </c>
      <c r="AI780" s="64">
        <f>IF(Table1[[#This Row],[GameIsOver]]=0,0,IF(Table1[[#This Row],[ActualWinner]]=Table1[[#This Row],[HomeTeam]], 1, 0))</f>
        <v>0</v>
      </c>
      <c r="AJ780" s="64">
        <f>IF(INDEX(Standings!$A$2:$C$33,MATCH(Table1[[#This Row],[AwayTeam]],Standings!$A$2:$A$33,0),2)=INDEX(Standings!$A$2:$C$33,MATCH(Table1[[#This Row],[HomeTeam]],Standings!$A$2:$A$33,0),2),1,0)</f>
        <v>1</v>
      </c>
      <c r="AK780" s="64">
        <f>IF(INDEX(Standings!$A$2:$C$33,MATCH(Table1[[#This Row],[AwayTeam]],Standings!$A$2:$A$33,0),3)=INDEX(Standings!$A$2:$C$33,MATCH(Table1[[#This Row],[HomeTeam]],Standings!$A$2:$A$33,0),3),1,0)</f>
        <v>0</v>
      </c>
      <c r="AL780" s="64">
        <f>IF(Table1[[#This Row],[InterConf]]=1,IF(Table1[[#This Row],[InterDiv]]=0, 1, 0), 0)</f>
        <v>1</v>
      </c>
      <c r="AM780" s="64">
        <f>IF(INDEX(Standings!$A$2:$C$33,MATCH(Table1[[#This Row],[AwayTeam]],Standings!$A$2:$A$33,0),2)&lt;&gt;INDEX(Standings!$A$2:$C$33,MATCH(Table1[[#This Row],[HomeTeam]],Standings!$A$2:$A$33,0),2),1,0)</f>
        <v>0</v>
      </c>
      <c r="AN780" s="64" t="str">
        <f>INDEX(Table2[AWAY_RECORD], MATCH(Table1[[#This Row],[AwayTeam]],Table2[Team], 0), 0)</f>
        <v>0-0-1</v>
      </c>
      <c r="AO780" s="64" t="str">
        <f>INDEX(Records!$B$2:$AG$33, MATCH(Table1[[#This Row],[AwayTeam]],Records!$A$2:$A$33, 0), MATCH(Table1[[#This Row],[HomeTeam]],Records!$A$2:$A$33, 0))</f>
        <v>0-0-0</v>
      </c>
      <c r="AP780" s="64" t="str">
        <f>INDEX(Table2[HOME_RECORD], MATCH(Table1[[#This Row],[HomeTeam]],Table2[Team], 0), 0)</f>
        <v>0-0-1</v>
      </c>
      <c r="AQ780" s="64" t="str">
        <f>INDEX(Records!$B$2:$AG$33, MATCH(Table1[[#This Row],[HomeTeam]],Records!$A$2:$A$33, 0), MATCH(Table1[[#This Row],[AwayTeam]],Records!$A$2:$A$33, 0))</f>
        <v>0-0-0</v>
      </c>
    </row>
    <row r="781" spans="1:43" x14ac:dyDescent="0.25">
      <c r="A781" s="1"/>
      <c r="D781" t="s">
        <v>1070</v>
      </c>
      <c r="E781" t="s">
        <v>158</v>
      </c>
      <c r="F781" t="s">
        <v>1075</v>
      </c>
      <c r="G781" t="s">
        <v>59</v>
      </c>
      <c r="H781" t="s">
        <v>54</v>
      </c>
      <c r="L78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8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81" s="1"/>
      <c r="T781" s="64" t="str">
        <f>IF(Table1[[#This Row],[ActualWinner]]="", "", IF(Table1[[#This Row],[AwayTeam]]=Table1[[#This Row],[ActualWinner]],Table1[[#This Row],[HomeTeam]],Table1[[#This Row],[AwayTeam]]))</f>
        <v/>
      </c>
      <c r="U781" s="64">
        <f>Table1[[#This Row],[ActualAwayScore]]-Table1[[#This Row],[PredictedAwayScore]]</f>
        <v>0</v>
      </c>
      <c r="V781" s="64">
        <f>Table1[[#This Row],[ActualHomeScore]]-Table1[[#This Row],[PredictedHomeScore]]</f>
        <v>0</v>
      </c>
      <c r="W781" s="64">
        <f>(0.8*IF(Table1[[#This Row],[CorrectWinnerPrediction]]=1, 1, 0))+(0.1*IF(Table1[[#This Row],[CorrectAwayScorePrediction]]=1, 1, 0))+(0.1*IF(Table1[[#This Row],[CorrectHomeScorePrediction]]=1, 1, 0))</f>
        <v>0</v>
      </c>
      <c r="X78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81" s="64">
        <f>SUMIF(Table1[GameDate], Table1[[#This Row],[GameDate]], Table1[AwayGameGoalDiff])</f>
        <v>0</v>
      </c>
      <c r="AA781" s="64">
        <f>SUMIF(Table1[GameDate], Table1[[#This Row],[GameDate]], Table1[HomeGameGoalDiff])</f>
        <v>0</v>
      </c>
      <c r="AB781" s="64">
        <f>IF(ISBLANK(Table1[[#This Row],[ActualResult]]), 0, 1)</f>
        <v>0</v>
      </c>
      <c r="AC781" s="64">
        <f>IF(ISBLANK(Table1[[#This Row],[ActualResult]]), 0, IF(Table1[[#This Row],[ActualWinner]]=Table1[[#This Row],[PredictedWinner]], 1, 0))</f>
        <v>0</v>
      </c>
      <c r="AD78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8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81" s="64">
        <f>IF(AND(Table1[[#This Row],[GameIsOver]]=1,Table1[[#This Row],[ActualAwayScore]]=0), 1,0)</f>
        <v>0</v>
      </c>
      <c r="AG781" s="64">
        <f>IF(AND(Table1[[#This Row],[GameIsOver]]=1,Table1[[#This Row],[ActualHomeScore]]=0), 1,0)</f>
        <v>0</v>
      </c>
      <c r="AH781" s="64">
        <f>IF(Table1[[#This Row],[GameIsOver]]=0,0,IF(Table1[[#This Row],[ActualWinner]]=Table1[[#This Row],[AwayTeam]], 1, 0))</f>
        <v>0</v>
      </c>
      <c r="AI781" s="64">
        <f>IF(Table1[[#This Row],[GameIsOver]]=0,0,IF(Table1[[#This Row],[ActualWinner]]=Table1[[#This Row],[HomeTeam]], 1, 0))</f>
        <v>0</v>
      </c>
      <c r="AJ781" s="64">
        <f>IF(INDEX(Standings!$A$2:$C$33,MATCH(Table1[[#This Row],[AwayTeam]],Standings!$A$2:$A$33,0),2)=INDEX(Standings!$A$2:$C$33,MATCH(Table1[[#This Row],[HomeTeam]],Standings!$A$2:$A$33,0),2),1,0)</f>
        <v>1</v>
      </c>
      <c r="AK781" s="64">
        <f>IF(INDEX(Standings!$A$2:$C$33,MATCH(Table1[[#This Row],[AwayTeam]],Standings!$A$2:$A$33,0),3)=INDEX(Standings!$A$2:$C$33,MATCH(Table1[[#This Row],[HomeTeam]],Standings!$A$2:$A$33,0),3),1,0)</f>
        <v>1</v>
      </c>
      <c r="AL781" s="64">
        <f>IF(Table1[[#This Row],[InterConf]]=1,IF(Table1[[#This Row],[InterDiv]]=0, 1, 0), 0)</f>
        <v>0</v>
      </c>
      <c r="AM781" s="64">
        <f>IF(INDEX(Standings!$A$2:$C$33,MATCH(Table1[[#This Row],[AwayTeam]],Standings!$A$2:$A$33,0),2)&lt;&gt;INDEX(Standings!$A$2:$C$33,MATCH(Table1[[#This Row],[HomeTeam]],Standings!$A$2:$A$33,0),2),1,0)</f>
        <v>0</v>
      </c>
      <c r="AN781" s="64" t="str">
        <f>INDEX(Table2[AWAY_RECORD], MATCH(Table1[[#This Row],[AwayTeam]],Table2[Team], 0), 0)</f>
        <v>0-1-0</v>
      </c>
      <c r="AO781" s="64" t="str">
        <f>INDEX(Records!$B$2:$AG$33, MATCH(Table1[[#This Row],[AwayTeam]],Records!$A$2:$A$33, 0), MATCH(Table1[[#This Row],[HomeTeam]],Records!$A$2:$A$33, 0))</f>
        <v>0-0-0</v>
      </c>
      <c r="AP781" s="64" t="str">
        <f>INDEX(Table2[HOME_RECORD], MATCH(Table1[[#This Row],[HomeTeam]],Table2[Team], 0), 0)</f>
        <v>0-0-0</v>
      </c>
      <c r="AQ781" s="64" t="str">
        <f>INDEX(Records!$B$2:$AG$33, MATCH(Table1[[#This Row],[HomeTeam]],Records!$A$2:$A$33, 0), MATCH(Table1[[#This Row],[AwayTeam]],Records!$A$2:$A$33, 0))</f>
        <v>0-0-0</v>
      </c>
    </row>
    <row r="782" spans="1:43" x14ac:dyDescent="0.25">
      <c r="A782" s="1"/>
      <c r="D782" t="s">
        <v>1070</v>
      </c>
      <c r="E782" t="s">
        <v>158</v>
      </c>
      <c r="F782" t="s">
        <v>1076</v>
      </c>
      <c r="G782" t="s">
        <v>58</v>
      </c>
      <c r="H782" t="s">
        <v>55</v>
      </c>
      <c r="L78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8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82" s="1"/>
      <c r="T782" s="64" t="str">
        <f>IF(Table1[[#This Row],[ActualWinner]]="", "", IF(Table1[[#This Row],[AwayTeam]]=Table1[[#This Row],[ActualWinner]],Table1[[#This Row],[HomeTeam]],Table1[[#This Row],[AwayTeam]]))</f>
        <v/>
      </c>
      <c r="U782" s="64">
        <f>Table1[[#This Row],[ActualAwayScore]]-Table1[[#This Row],[PredictedAwayScore]]</f>
        <v>0</v>
      </c>
      <c r="V782" s="64">
        <f>Table1[[#This Row],[ActualHomeScore]]-Table1[[#This Row],[PredictedHomeScore]]</f>
        <v>0</v>
      </c>
      <c r="W782" s="64">
        <f>(0.8*IF(Table1[[#This Row],[CorrectWinnerPrediction]]=1, 1, 0))+(0.1*IF(Table1[[#This Row],[CorrectAwayScorePrediction]]=1, 1, 0))+(0.1*IF(Table1[[#This Row],[CorrectHomeScorePrediction]]=1, 1, 0))</f>
        <v>0</v>
      </c>
      <c r="X78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82" s="64">
        <f>SUMIF(Table1[GameDate], Table1[[#This Row],[GameDate]], Table1[AwayGameGoalDiff])</f>
        <v>0</v>
      </c>
      <c r="AA782" s="64">
        <f>SUMIF(Table1[GameDate], Table1[[#This Row],[GameDate]], Table1[HomeGameGoalDiff])</f>
        <v>0</v>
      </c>
      <c r="AB782" s="64">
        <f>IF(ISBLANK(Table1[[#This Row],[ActualResult]]), 0, 1)</f>
        <v>0</v>
      </c>
      <c r="AC782" s="64">
        <f>IF(ISBLANK(Table1[[#This Row],[ActualResult]]), 0, IF(Table1[[#This Row],[ActualWinner]]=Table1[[#This Row],[PredictedWinner]], 1, 0))</f>
        <v>0</v>
      </c>
      <c r="AD78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8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82" s="64">
        <f>IF(AND(Table1[[#This Row],[GameIsOver]]=1,Table1[[#This Row],[ActualAwayScore]]=0), 1,0)</f>
        <v>0</v>
      </c>
      <c r="AG782" s="64">
        <f>IF(AND(Table1[[#This Row],[GameIsOver]]=1,Table1[[#This Row],[ActualHomeScore]]=0), 1,0)</f>
        <v>0</v>
      </c>
      <c r="AH782" s="64">
        <f>IF(Table1[[#This Row],[GameIsOver]]=0,0,IF(Table1[[#This Row],[ActualWinner]]=Table1[[#This Row],[AwayTeam]], 1, 0))</f>
        <v>0</v>
      </c>
      <c r="AI782" s="64">
        <f>IF(Table1[[#This Row],[GameIsOver]]=0,0,IF(Table1[[#This Row],[ActualWinner]]=Table1[[#This Row],[HomeTeam]], 1, 0))</f>
        <v>0</v>
      </c>
      <c r="AJ782" s="64">
        <f>IF(INDEX(Standings!$A$2:$C$33,MATCH(Table1[[#This Row],[AwayTeam]],Standings!$A$2:$A$33,0),2)=INDEX(Standings!$A$2:$C$33,MATCH(Table1[[#This Row],[HomeTeam]],Standings!$A$2:$A$33,0),2),1,0)</f>
        <v>1</v>
      </c>
      <c r="AK782" s="64">
        <f>IF(INDEX(Standings!$A$2:$C$33,MATCH(Table1[[#This Row],[AwayTeam]],Standings!$A$2:$A$33,0),3)=INDEX(Standings!$A$2:$C$33,MATCH(Table1[[#This Row],[HomeTeam]],Standings!$A$2:$A$33,0),3),1,0)</f>
        <v>0</v>
      </c>
      <c r="AL782" s="64">
        <f>IF(Table1[[#This Row],[InterConf]]=1,IF(Table1[[#This Row],[InterDiv]]=0, 1, 0), 0)</f>
        <v>1</v>
      </c>
      <c r="AM782" s="64">
        <f>IF(INDEX(Standings!$A$2:$C$33,MATCH(Table1[[#This Row],[AwayTeam]],Standings!$A$2:$A$33,0),2)&lt;&gt;INDEX(Standings!$A$2:$C$33,MATCH(Table1[[#This Row],[HomeTeam]],Standings!$A$2:$A$33,0),2),1,0)</f>
        <v>0</v>
      </c>
      <c r="AN782" s="64" t="str">
        <f>INDEX(Table2[AWAY_RECORD], MATCH(Table1[[#This Row],[AwayTeam]],Table2[Team], 0), 0)</f>
        <v>0-0-0</v>
      </c>
      <c r="AO782" s="64" t="str">
        <f>INDEX(Records!$B$2:$AG$33, MATCH(Table1[[#This Row],[AwayTeam]],Records!$A$2:$A$33, 0), MATCH(Table1[[#This Row],[HomeTeam]],Records!$A$2:$A$33, 0))</f>
        <v>0-0-0</v>
      </c>
      <c r="AP782" s="64" t="str">
        <f>INDEX(Table2[HOME_RECORD], MATCH(Table1[[#This Row],[HomeTeam]],Table2[Team], 0), 0)</f>
        <v>0-1-0</v>
      </c>
      <c r="AQ782" s="64" t="str">
        <f>INDEX(Records!$B$2:$AG$33, MATCH(Table1[[#This Row],[HomeTeam]],Records!$A$2:$A$33, 0), MATCH(Table1[[#This Row],[AwayTeam]],Records!$A$2:$A$33, 0))</f>
        <v>0-0-0</v>
      </c>
    </row>
    <row r="783" spans="1:43" x14ac:dyDescent="0.25">
      <c r="A783" s="1"/>
      <c r="D783" t="s">
        <v>1070</v>
      </c>
      <c r="E783" t="s">
        <v>158</v>
      </c>
      <c r="F783" t="s">
        <v>1077</v>
      </c>
      <c r="G783" t="s">
        <v>42</v>
      </c>
      <c r="H783" t="s">
        <v>56</v>
      </c>
      <c r="L78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8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83" s="1"/>
      <c r="T783" s="64" t="str">
        <f>IF(Table1[[#This Row],[ActualWinner]]="", "", IF(Table1[[#This Row],[AwayTeam]]=Table1[[#This Row],[ActualWinner]],Table1[[#This Row],[HomeTeam]],Table1[[#This Row],[AwayTeam]]))</f>
        <v/>
      </c>
      <c r="U783" s="64">
        <f>Table1[[#This Row],[ActualAwayScore]]-Table1[[#This Row],[PredictedAwayScore]]</f>
        <v>0</v>
      </c>
      <c r="V783" s="64">
        <f>Table1[[#This Row],[ActualHomeScore]]-Table1[[#This Row],[PredictedHomeScore]]</f>
        <v>0</v>
      </c>
      <c r="W783" s="64">
        <f>(0.8*IF(Table1[[#This Row],[CorrectWinnerPrediction]]=1, 1, 0))+(0.1*IF(Table1[[#This Row],[CorrectAwayScorePrediction]]=1, 1, 0))+(0.1*IF(Table1[[#This Row],[CorrectHomeScorePrediction]]=1, 1, 0))</f>
        <v>0</v>
      </c>
      <c r="X78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83" s="64">
        <f>SUMIF(Table1[GameDate], Table1[[#This Row],[GameDate]], Table1[AwayGameGoalDiff])</f>
        <v>0</v>
      </c>
      <c r="AA783" s="64">
        <f>SUMIF(Table1[GameDate], Table1[[#This Row],[GameDate]], Table1[HomeGameGoalDiff])</f>
        <v>0</v>
      </c>
      <c r="AB783" s="64">
        <f>IF(ISBLANK(Table1[[#This Row],[ActualResult]]), 0, 1)</f>
        <v>0</v>
      </c>
      <c r="AC783" s="64">
        <f>IF(ISBLANK(Table1[[#This Row],[ActualResult]]), 0, IF(Table1[[#This Row],[ActualWinner]]=Table1[[#This Row],[PredictedWinner]], 1, 0))</f>
        <v>0</v>
      </c>
      <c r="AD78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8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83" s="64">
        <f>IF(AND(Table1[[#This Row],[GameIsOver]]=1,Table1[[#This Row],[ActualAwayScore]]=0), 1,0)</f>
        <v>0</v>
      </c>
      <c r="AG783" s="64">
        <f>IF(AND(Table1[[#This Row],[GameIsOver]]=1,Table1[[#This Row],[ActualHomeScore]]=0), 1,0)</f>
        <v>0</v>
      </c>
      <c r="AH783" s="64">
        <f>IF(Table1[[#This Row],[GameIsOver]]=0,0,IF(Table1[[#This Row],[ActualWinner]]=Table1[[#This Row],[AwayTeam]], 1, 0))</f>
        <v>0</v>
      </c>
      <c r="AI783" s="64">
        <f>IF(Table1[[#This Row],[GameIsOver]]=0,0,IF(Table1[[#This Row],[ActualWinner]]=Table1[[#This Row],[HomeTeam]], 1, 0))</f>
        <v>0</v>
      </c>
      <c r="AJ783" s="64">
        <f>IF(INDEX(Standings!$A$2:$C$33,MATCH(Table1[[#This Row],[AwayTeam]],Standings!$A$2:$A$33,0),2)=INDEX(Standings!$A$2:$C$33,MATCH(Table1[[#This Row],[HomeTeam]],Standings!$A$2:$A$33,0),2),1,0)</f>
        <v>0</v>
      </c>
      <c r="AK783" s="64">
        <f>IF(INDEX(Standings!$A$2:$C$33,MATCH(Table1[[#This Row],[AwayTeam]],Standings!$A$2:$A$33,0),3)=INDEX(Standings!$A$2:$C$33,MATCH(Table1[[#This Row],[HomeTeam]],Standings!$A$2:$A$33,0),3),1,0)</f>
        <v>0</v>
      </c>
      <c r="AL783" s="64">
        <f>IF(Table1[[#This Row],[InterConf]]=1,IF(Table1[[#This Row],[InterDiv]]=0, 1, 0), 0)</f>
        <v>0</v>
      </c>
      <c r="AM783" s="64">
        <f>IF(INDEX(Standings!$A$2:$C$33,MATCH(Table1[[#This Row],[AwayTeam]],Standings!$A$2:$A$33,0),2)&lt;&gt;INDEX(Standings!$A$2:$C$33,MATCH(Table1[[#This Row],[HomeTeam]],Standings!$A$2:$A$33,0),2),1,0)</f>
        <v>1</v>
      </c>
      <c r="AN783" s="64" t="str">
        <f>INDEX(Table2[AWAY_RECORD], MATCH(Table1[[#This Row],[AwayTeam]],Table2[Team], 0), 0)</f>
        <v>0-0-0</v>
      </c>
      <c r="AO783" s="64" t="str">
        <f>INDEX(Records!$B$2:$AG$33, MATCH(Table1[[#This Row],[AwayTeam]],Records!$A$2:$A$33, 0), MATCH(Table1[[#This Row],[HomeTeam]],Records!$A$2:$A$33, 0))</f>
        <v>0-0-0</v>
      </c>
      <c r="AP783" s="64" t="str">
        <f>INDEX(Table2[HOME_RECORD], MATCH(Table1[[#This Row],[HomeTeam]],Table2[Team], 0), 0)</f>
        <v>0-0-0</v>
      </c>
      <c r="AQ783" s="64" t="str">
        <f>INDEX(Records!$B$2:$AG$33, MATCH(Table1[[#This Row],[HomeTeam]],Records!$A$2:$A$33, 0), MATCH(Table1[[#This Row],[AwayTeam]],Records!$A$2:$A$33, 0))</f>
        <v>0-0-0</v>
      </c>
    </row>
    <row r="784" spans="1:43" x14ac:dyDescent="0.25">
      <c r="A784" s="1"/>
      <c r="D784" t="s">
        <v>1070</v>
      </c>
      <c r="E784" t="s">
        <v>289</v>
      </c>
      <c r="F784" t="s">
        <v>1078</v>
      </c>
      <c r="G784" t="s">
        <v>61</v>
      </c>
      <c r="H784" t="s">
        <v>24</v>
      </c>
      <c r="L78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8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84" s="1"/>
      <c r="T784" s="64" t="str">
        <f>IF(Table1[[#This Row],[ActualWinner]]="", "", IF(Table1[[#This Row],[AwayTeam]]=Table1[[#This Row],[ActualWinner]],Table1[[#This Row],[HomeTeam]],Table1[[#This Row],[AwayTeam]]))</f>
        <v/>
      </c>
      <c r="U784" s="64">
        <f>Table1[[#This Row],[ActualAwayScore]]-Table1[[#This Row],[PredictedAwayScore]]</f>
        <v>0</v>
      </c>
      <c r="V784" s="64">
        <f>Table1[[#This Row],[ActualHomeScore]]-Table1[[#This Row],[PredictedHomeScore]]</f>
        <v>0</v>
      </c>
      <c r="W784" s="64">
        <f>(0.8*IF(Table1[[#This Row],[CorrectWinnerPrediction]]=1, 1, 0))+(0.1*IF(Table1[[#This Row],[CorrectAwayScorePrediction]]=1, 1, 0))+(0.1*IF(Table1[[#This Row],[CorrectHomeScorePrediction]]=1, 1, 0))</f>
        <v>0</v>
      </c>
      <c r="X78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84" s="64">
        <f>SUMIF(Table1[GameDate], Table1[[#This Row],[GameDate]], Table1[AwayGameGoalDiff])</f>
        <v>0</v>
      </c>
      <c r="AA784" s="64">
        <f>SUMIF(Table1[GameDate], Table1[[#This Row],[GameDate]], Table1[HomeGameGoalDiff])</f>
        <v>0</v>
      </c>
      <c r="AB784" s="64">
        <f>IF(ISBLANK(Table1[[#This Row],[ActualResult]]), 0, 1)</f>
        <v>0</v>
      </c>
      <c r="AC784" s="64">
        <f>IF(ISBLANK(Table1[[#This Row],[ActualResult]]), 0, IF(Table1[[#This Row],[ActualWinner]]=Table1[[#This Row],[PredictedWinner]], 1, 0))</f>
        <v>0</v>
      </c>
      <c r="AD78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8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84" s="64">
        <f>IF(AND(Table1[[#This Row],[GameIsOver]]=1,Table1[[#This Row],[ActualAwayScore]]=0), 1,0)</f>
        <v>0</v>
      </c>
      <c r="AG784" s="64">
        <f>IF(AND(Table1[[#This Row],[GameIsOver]]=1,Table1[[#This Row],[ActualHomeScore]]=0), 1,0)</f>
        <v>0</v>
      </c>
      <c r="AH784" s="64">
        <f>IF(Table1[[#This Row],[GameIsOver]]=0,0,IF(Table1[[#This Row],[ActualWinner]]=Table1[[#This Row],[AwayTeam]], 1, 0))</f>
        <v>0</v>
      </c>
      <c r="AI784" s="64">
        <f>IF(Table1[[#This Row],[GameIsOver]]=0,0,IF(Table1[[#This Row],[ActualWinner]]=Table1[[#This Row],[HomeTeam]], 1, 0))</f>
        <v>0</v>
      </c>
      <c r="AJ784" s="64">
        <f>IF(INDEX(Standings!$A$2:$C$33,MATCH(Table1[[#This Row],[AwayTeam]],Standings!$A$2:$A$33,0),2)=INDEX(Standings!$A$2:$C$33,MATCH(Table1[[#This Row],[HomeTeam]],Standings!$A$2:$A$33,0),2),1,0)</f>
        <v>0</v>
      </c>
      <c r="AK784" s="64">
        <f>IF(INDEX(Standings!$A$2:$C$33,MATCH(Table1[[#This Row],[AwayTeam]],Standings!$A$2:$A$33,0),3)=INDEX(Standings!$A$2:$C$33,MATCH(Table1[[#This Row],[HomeTeam]],Standings!$A$2:$A$33,0),3),1,0)</f>
        <v>0</v>
      </c>
      <c r="AL784" s="64">
        <f>IF(Table1[[#This Row],[InterConf]]=1,IF(Table1[[#This Row],[InterDiv]]=0, 1, 0), 0)</f>
        <v>0</v>
      </c>
      <c r="AM784" s="64">
        <f>IF(INDEX(Standings!$A$2:$C$33,MATCH(Table1[[#This Row],[AwayTeam]],Standings!$A$2:$A$33,0),2)&lt;&gt;INDEX(Standings!$A$2:$C$33,MATCH(Table1[[#This Row],[HomeTeam]],Standings!$A$2:$A$33,0),2),1,0)</f>
        <v>1</v>
      </c>
      <c r="AN784" s="64" t="str">
        <f>INDEX(Table2[AWAY_RECORD], MATCH(Table1[[#This Row],[AwayTeam]],Table2[Team], 0), 0)</f>
        <v>0-0-0</v>
      </c>
      <c r="AO784" s="64" t="str">
        <f>INDEX(Records!$B$2:$AG$33, MATCH(Table1[[#This Row],[AwayTeam]],Records!$A$2:$A$33, 0), MATCH(Table1[[#This Row],[HomeTeam]],Records!$A$2:$A$33, 0))</f>
        <v>0-0-0</v>
      </c>
      <c r="AP784" s="64" t="str">
        <f>INDEX(Table2[HOME_RECORD], MATCH(Table1[[#This Row],[HomeTeam]],Table2[Team], 0), 0)</f>
        <v>0-2-0</v>
      </c>
      <c r="AQ784" s="64" t="str">
        <f>INDEX(Records!$B$2:$AG$33, MATCH(Table1[[#This Row],[HomeTeam]],Records!$A$2:$A$33, 0), MATCH(Table1[[#This Row],[AwayTeam]],Records!$A$2:$A$33, 0))</f>
        <v>0-0-0</v>
      </c>
    </row>
    <row r="785" spans="1:43" x14ac:dyDescent="0.25">
      <c r="A785" s="1"/>
      <c r="D785" t="s">
        <v>1070</v>
      </c>
      <c r="E785" t="s">
        <v>289</v>
      </c>
      <c r="F785" t="s">
        <v>1079</v>
      </c>
      <c r="G785" t="s">
        <v>52</v>
      </c>
      <c r="H785" t="s">
        <v>17</v>
      </c>
      <c r="L78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8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85" s="1"/>
      <c r="T785" s="64" t="str">
        <f>IF(Table1[[#This Row],[ActualWinner]]="", "", IF(Table1[[#This Row],[AwayTeam]]=Table1[[#This Row],[ActualWinner]],Table1[[#This Row],[HomeTeam]],Table1[[#This Row],[AwayTeam]]))</f>
        <v/>
      </c>
      <c r="U785" s="64">
        <f>Table1[[#This Row],[ActualAwayScore]]-Table1[[#This Row],[PredictedAwayScore]]</f>
        <v>0</v>
      </c>
      <c r="V785" s="64">
        <f>Table1[[#This Row],[ActualHomeScore]]-Table1[[#This Row],[PredictedHomeScore]]</f>
        <v>0</v>
      </c>
      <c r="W785" s="64">
        <f>(0.8*IF(Table1[[#This Row],[CorrectWinnerPrediction]]=1, 1, 0))+(0.1*IF(Table1[[#This Row],[CorrectAwayScorePrediction]]=1, 1, 0))+(0.1*IF(Table1[[#This Row],[CorrectHomeScorePrediction]]=1, 1, 0))</f>
        <v>0</v>
      </c>
      <c r="X78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85" s="64">
        <f>SUMIF(Table1[GameDate], Table1[[#This Row],[GameDate]], Table1[AwayGameGoalDiff])</f>
        <v>0</v>
      </c>
      <c r="AA785" s="64">
        <f>SUMIF(Table1[GameDate], Table1[[#This Row],[GameDate]], Table1[HomeGameGoalDiff])</f>
        <v>0</v>
      </c>
      <c r="AB785" s="64">
        <f>IF(ISBLANK(Table1[[#This Row],[ActualResult]]), 0, 1)</f>
        <v>0</v>
      </c>
      <c r="AC785" s="64">
        <f>IF(ISBLANK(Table1[[#This Row],[ActualResult]]), 0, IF(Table1[[#This Row],[ActualWinner]]=Table1[[#This Row],[PredictedWinner]], 1, 0))</f>
        <v>0</v>
      </c>
      <c r="AD78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8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85" s="64">
        <f>IF(AND(Table1[[#This Row],[GameIsOver]]=1,Table1[[#This Row],[ActualAwayScore]]=0), 1,0)</f>
        <v>0</v>
      </c>
      <c r="AG785" s="64">
        <f>IF(AND(Table1[[#This Row],[GameIsOver]]=1,Table1[[#This Row],[ActualHomeScore]]=0), 1,0)</f>
        <v>0</v>
      </c>
      <c r="AH785" s="64">
        <f>IF(Table1[[#This Row],[GameIsOver]]=0,0,IF(Table1[[#This Row],[ActualWinner]]=Table1[[#This Row],[AwayTeam]], 1, 0))</f>
        <v>0</v>
      </c>
      <c r="AI785" s="64">
        <f>IF(Table1[[#This Row],[GameIsOver]]=0,0,IF(Table1[[#This Row],[ActualWinner]]=Table1[[#This Row],[HomeTeam]], 1, 0))</f>
        <v>0</v>
      </c>
      <c r="AJ785" s="64">
        <f>IF(INDEX(Standings!$A$2:$C$33,MATCH(Table1[[#This Row],[AwayTeam]],Standings!$A$2:$A$33,0),2)=INDEX(Standings!$A$2:$C$33,MATCH(Table1[[#This Row],[HomeTeam]],Standings!$A$2:$A$33,0),2),1,0)</f>
        <v>1</v>
      </c>
      <c r="AK785" s="64">
        <f>IF(INDEX(Standings!$A$2:$C$33,MATCH(Table1[[#This Row],[AwayTeam]],Standings!$A$2:$A$33,0),3)=INDEX(Standings!$A$2:$C$33,MATCH(Table1[[#This Row],[HomeTeam]],Standings!$A$2:$A$33,0),3),1,0)</f>
        <v>1</v>
      </c>
      <c r="AL785" s="64">
        <f>IF(Table1[[#This Row],[InterConf]]=1,IF(Table1[[#This Row],[InterDiv]]=0, 1, 0), 0)</f>
        <v>0</v>
      </c>
      <c r="AM785" s="64">
        <f>IF(INDEX(Standings!$A$2:$C$33,MATCH(Table1[[#This Row],[AwayTeam]],Standings!$A$2:$A$33,0),2)&lt;&gt;INDEX(Standings!$A$2:$C$33,MATCH(Table1[[#This Row],[HomeTeam]],Standings!$A$2:$A$33,0),2),1,0)</f>
        <v>0</v>
      </c>
      <c r="AN785" s="64" t="str">
        <f>INDEX(Table2[AWAY_RECORD], MATCH(Table1[[#This Row],[AwayTeam]],Table2[Team], 0), 0)</f>
        <v>0-0-0</v>
      </c>
      <c r="AO785" s="64" t="str">
        <f>INDEX(Records!$B$2:$AG$33, MATCH(Table1[[#This Row],[AwayTeam]],Records!$A$2:$A$33, 0), MATCH(Table1[[#This Row],[HomeTeam]],Records!$A$2:$A$33, 0))</f>
        <v>0-0-0</v>
      </c>
      <c r="AP785" s="64" t="str">
        <f>INDEX(Table2[HOME_RECORD], MATCH(Table1[[#This Row],[HomeTeam]],Table2[Team], 0), 0)</f>
        <v>0-0-0</v>
      </c>
      <c r="AQ785" s="64" t="str">
        <f>INDEX(Records!$B$2:$AG$33, MATCH(Table1[[#This Row],[HomeTeam]],Records!$A$2:$A$33, 0), MATCH(Table1[[#This Row],[AwayTeam]],Records!$A$2:$A$33, 0))</f>
        <v>0-0-0</v>
      </c>
    </row>
    <row r="786" spans="1:43" x14ac:dyDescent="0.25">
      <c r="A786" s="1"/>
      <c r="D786" t="s">
        <v>1070</v>
      </c>
      <c r="E786" t="s">
        <v>301</v>
      </c>
      <c r="F786" t="s">
        <v>1080</v>
      </c>
      <c r="G786" t="s">
        <v>39</v>
      </c>
      <c r="H786" t="s">
        <v>16</v>
      </c>
      <c r="L78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8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86" s="1"/>
      <c r="T786" s="64" t="str">
        <f>IF(Table1[[#This Row],[ActualWinner]]="", "", IF(Table1[[#This Row],[AwayTeam]]=Table1[[#This Row],[ActualWinner]],Table1[[#This Row],[HomeTeam]],Table1[[#This Row],[AwayTeam]]))</f>
        <v/>
      </c>
      <c r="U786" s="64">
        <f>Table1[[#This Row],[ActualAwayScore]]-Table1[[#This Row],[PredictedAwayScore]]</f>
        <v>0</v>
      </c>
      <c r="V786" s="64">
        <f>Table1[[#This Row],[ActualHomeScore]]-Table1[[#This Row],[PredictedHomeScore]]</f>
        <v>0</v>
      </c>
      <c r="W786" s="64">
        <f>(0.8*IF(Table1[[#This Row],[CorrectWinnerPrediction]]=1, 1, 0))+(0.1*IF(Table1[[#This Row],[CorrectAwayScorePrediction]]=1, 1, 0))+(0.1*IF(Table1[[#This Row],[CorrectHomeScorePrediction]]=1, 1, 0))</f>
        <v>0</v>
      </c>
      <c r="X78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86" s="64">
        <f>SUMIF(Table1[GameDate], Table1[[#This Row],[GameDate]], Table1[AwayGameGoalDiff])</f>
        <v>0</v>
      </c>
      <c r="AA786" s="64">
        <f>SUMIF(Table1[GameDate], Table1[[#This Row],[GameDate]], Table1[HomeGameGoalDiff])</f>
        <v>0</v>
      </c>
      <c r="AB786" s="64">
        <f>IF(ISBLANK(Table1[[#This Row],[ActualResult]]), 0, 1)</f>
        <v>0</v>
      </c>
      <c r="AC786" s="64">
        <f>IF(ISBLANK(Table1[[#This Row],[ActualResult]]), 0, IF(Table1[[#This Row],[ActualWinner]]=Table1[[#This Row],[PredictedWinner]], 1, 0))</f>
        <v>0</v>
      </c>
      <c r="AD78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8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86" s="64">
        <f>IF(AND(Table1[[#This Row],[GameIsOver]]=1,Table1[[#This Row],[ActualAwayScore]]=0), 1,0)</f>
        <v>0</v>
      </c>
      <c r="AG786" s="64">
        <f>IF(AND(Table1[[#This Row],[GameIsOver]]=1,Table1[[#This Row],[ActualHomeScore]]=0), 1,0)</f>
        <v>0</v>
      </c>
      <c r="AH786" s="64">
        <f>IF(Table1[[#This Row],[GameIsOver]]=0,0,IF(Table1[[#This Row],[ActualWinner]]=Table1[[#This Row],[AwayTeam]], 1, 0))</f>
        <v>0</v>
      </c>
      <c r="AI786" s="64">
        <f>IF(Table1[[#This Row],[GameIsOver]]=0,0,IF(Table1[[#This Row],[ActualWinner]]=Table1[[#This Row],[HomeTeam]], 1, 0))</f>
        <v>0</v>
      </c>
      <c r="AJ786" s="64">
        <f>IF(INDEX(Standings!$A$2:$C$33,MATCH(Table1[[#This Row],[AwayTeam]],Standings!$A$2:$A$33,0),2)=INDEX(Standings!$A$2:$C$33,MATCH(Table1[[#This Row],[HomeTeam]],Standings!$A$2:$A$33,0),2),1,0)</f>
        <v>1</v>
      </c>
      <c r="AK786" s="64">
        <f>IF(INDEX(Standings!$A$2:$C$33,MATCH(Table1[[#This Row],[AwayTeam]],Standings!$A$2:$A$33,0),3)=INDEX(Standings!$A$2:$C$33,MATCH(Table1[[#This Row],[HomeTeam]],Standings!$A$2:$A$33,0),3),1,0)</f>
        <v>0</v>
      </c>
      <c r="AL786" s="64">
        <f>IF(Table1[[#This Row],[InterConf]]=1,IF(Table1[[#This Row],[InterDiv]]=0, 1, 0), 0)</f>
        <v>1</v>
      </c>
      <c r="AM786" s="64">
        <f>IF(INDEX(Standings!$A$2:$C$33,MATCH(Table1[[#This Row],[AwayTeam]],Standings!$A$2:$A$33,0),2)&lt;&gt;INDEX(Standings!$A$2:$C$33,MATCH(Table1[[#This Row],[HomeTeam]],Standings!$A$2:$A$33,0),2),1,0)</f>
        <v>0</v>
      </c>
      <c r="AN786" s="64" t="str">
        <f>INDEX(Table2[AWAY_RECORD], MATCH(Table1[[#This Row],[AwayTeam]],Table2[Team], 0), 0)</f>
        <v>0-0-0</v>
      </c>
      <c r="AO786" s="64" t="str">
        <f>INDEX(Records!$B$2:$AG$33, MATCH(Table1[[#This Row],[AwayTeam]],Records!$A$2:$A$33, 0), MATCH(Table1[[#This Row],[HomeTeam]],Records!$A$2:$A$33, 0))</f>
        <v>0-0-0</v>
      </c>
      <c r="AP786" s="64" t="str">
        <f>INDEX(Table2[HOME_RECORD], MATCH(Table1[[#This Row],[HomeTeam]],Table2[Team], 0), 0)</f>
        <v>0-0-0</v>
      </c>
      <c r="AQ786" s="64" t="str">
        <f>INDEX(Records!$B$2:$AG$33, MATCH(Table1[[#This Row],[HomeTeam]],Records!$A$2:$A$33, 0), MATCH(Table1[[#This Row],[AwayTeam]],Records!$A$2:$A$33, 0))</f>
        <v>0-0-0</v>
      </c>
    </row>
    <row r="787" spans="1:43" x14ac:dyDescent="0.25">
      <c r="A787" s="1"/>
      <c r="D787" t="s">
        <v>1081</v>
      </c>
      <c r="E787" t="s">
        <v>162</v>
      </c>
      <c r="F787" t="s">
        <v>1082</v>
      </c>
      <c r="G787" t="s">
        <v>36</v>
      </c>
      <c r="H787" t="s">
        <v>44</v>
      </c>
      <c r="L78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8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87" s="1"/>
      <c r="T787" s="64" t="str">
        <f>IF(Table1[[#This Row],[ActualWinner]]="", "", IF(Table1[[#This Row],[AwayTeam]]=Table1[[#This Row],[ActualWinner]],Table1[[#This Row],[HomeTeam]],Table1[[#This Row],[AwayTeam]]))</f>
        <v/>
      </c>
      <c r="U787" s="64">
        <f>Table1[[#This Row],[ActualAwayScore]]-Table1[[#This Row],[PredictedAwayScore]]</f>
        <v>0</v>
      </c>
      <c r="V787" s="64">
        <f>Table1[[#This Row],[ActualHomeScore]]-Table1[[#This Row],[PredictedHomeScore]]</f>
        <v>0</v>
      </c>
      <c r="W787" s="64">
        <f>(0.8*IF(Table1[[#This Row],[CorrectWinnerPrediction]]=1, 1, 0))+(0.1*IF(Table1[[#This Row],[CorrectAwayScorePrediction]]=1, 1, 0))+(0.1*IF(Table1[[#This Row],[CorrectHomeScorePrediction]]=1, 1, 0))</f>
        <v>0</v>
      </c>
      <c r="X78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87" s="64">
        <f>SUMIF(Table1[GameDate], Table1[[#This Row],[GameDate]], Table1[AwayGameGoalDiff])</f>
        <v>0</v>
      </c>
      <c r="AA787" s="64">
        <f>SUMIF(Table1[GameDate], Table1[[#This Row],[GameDate]], Table1[HomeGameGoalDiff])</f>
        <v>0</v>
      </c>
      <c r="AB787" s="64">
        <f>IF(ISBLANK(Table1[[#This Row],[ActualResult]]), 0, 1)</f>
        <v>0</v>
      </c>
      <c r="AC787" s="64">
        <f>IF(ISBLANK(Table1[[#This Row],[ActualResult]]), 0, IF(Table1[[#This Row],[ActualWinner]]=Table1[[#This Row],[PredictedWinner]], 1, 0))</f>
        <v>0</v>
      </c>
      <c r="AD78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8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87" s="64">
        <f>IF(AND(Table1[[#This Row],[GameIsOver]]=1,Table1[[#This Row],[ActualAwayScore]]=0), 1,0)</f>
        <v>0</v>
      </c>
      <c r="AG787" s="64">
        <f>IF(AND(Table1[[#This Row],[GameIsOver]]=1,Table1[[#This Row],[ActualHomeScore]]=0), 1,0)</f>
        <v>0</v>
      </c>
      <c r="AH787" s="64">
        <f>IF(Table1[[#This Row],[GameIsOver]]=0,0,IF(Table1[[#This Row],[ActualWinner]]=Table1[[#This Row],[AwayTeam]], 1, 0))</f>
        <v>0</v>
      </c>
      <c r="AI787" s="64">
        <f>IF(Table1[[#This Row],[GameIsOver]]=0,0,IF(Table1[[#This Row],[ActualWinner]]=Table1[[#This Row],[HomeTeam]], 1, 0))</f>
        <v>0</v>
      </c>
      <c r="AJ787" s="64">
        <f>IF(INDEX(Standings!$A$2:$C$33,MATCH(Table1[[#This Row],[AwayTeam]],Standings!$A$2:$A$33,0),2)=INDEX(Standings!$A$2:$C$33,MATCH(Table1[[#This Row],[HomeTeam]],Standings!$A$2:$A$33,0),2),1,0)</f>
        <v>0</v>
      </c>
      <c r="AK787" s="64">
        <f>IF(INDEX(Standings!$A$2:$C$33,MATCH(Table1[[#This Row],[AwayTeam]],Standings!$A$2:$A$33,0),3)=INDEX(Standings!$A$2:$C$33,MATCH(Table1[[#This Row],[HomeTeam]],Standings!$A$2:$A$33,0),3),1,0)</f>
        <v>0</v>
      </c>
      <c r="AL787" s="64">
        <f>IF(Table1[[#This Row],[InterConf]]=1,IF(Table1[[#This Row],[InterDiv]]=0, 1, 0), 0)</f>
        <v>0</v>
      </c>
      <c r="AM787" s="64">
        <f>IF(INDEX(Standings!$A$2:$C$33,MATCH(Table1[[#This Row],[AwayTeam]],Standings!$A$2:$A$33,0),2)&lt;&gt;INDEX(Standings!$A$2:$C$33,MATCH(Table1[[#This Row],[HomeTeam]],Standings!$A$2:$A$33,0),2),1,0)</f>
        <v>1</v>
      </c>
      <c r="AN787" s="64" t="str">
        <f>INDEX(Table2[AWAY_RECORD], MATCH(Table1[[#This Row],[AwayTeam]],Table2[Team], 0), 0)</f>
        <v>0-0-0</v>
      </c>
      <c r="AO787" s="64" t="str">
        <f>INDEX(Records!$B$2:$AG$33, MATCH(Table1[[#This Row],[AwayTeam]],Records!$A$2:$A$33, 0), MATCH(Table1[[#This Row],[HomeTeam]],Records!$A$2:$A$33, 0))</f>
        <v>0-0-0</v>
      </c>
      <c r="AP787" s="64" t="str">
        <f>INDEX(Table2[HOME_RECORD], MATCH(Table1[[#This Row],[HomeTeam]],Table2[Team], 0), 0)</f>
        <v>0-0-1</v>
      </c>
      <c r="AQ787" s="64" t="str">
        <f>INDEX(Records!$B$2:$AG$33, MATCH(Table1[[#This Row],[HomeTeam]],Records!$A$2:$A$33, 0), MATCH(Table1[[#This Row],[AwayTeam]],Records!$A$2:$A$33, 0))</f>
        <v>0-0-0</v>
      </c>
    </row>
    <row r="788" spans="1:43" x14ac:dyDescent="0.25">
      <c r="A788" s="1"/>
      <c r="D788" t="s">
        <v>1081</v>
      </c>
      <c r="E788" t="s">
        <v>162</v>
      </c>
      <c r="F788" t="s">
        <v>1083</v>
      </c>
      <c r="G788" t="s">
        <v>43</v>
      </c>
      <c r="H788" t="s">
        <v>49</v>
      </c>
      <c r="L78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8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88" s="1"/>
      <c r="T788" s="64" t="str">
        <f>IF(Table1[[#This Row],[ActualWinner]]="", "", IF(Table1[[#This Row],[AwayTeam]]=Table1[[#This Row],[ActualWinner]],Table1[[#This Row],[HomeTeam]],Table1[[#This Row],[AwayTeam]]))</f>
        <v/>
      </c>
      <c r="U788" s="64">
        <f>Table1[[#This Row],[ActualAwayScore]]-Table1[[#This Row],[PredictedAwayScore]]</f>
        <v>0</v>
      </c>
      <c r="V788" s="64">
        <f>Table1[[#This Row],[ActualHomeScore]]-Table1[[#This Row],[PredictedHomeScore]]</f>
        <v>0</v>
      </c>
      <c r="W788" s="64">
        <f>(0.8*IF(Table1[[#This Row],[CorrectWinnerPrediction]]=1, 1, 0))+(0.1*IF(Table1[[#This Row],[CorrectAwayScorePrediction]]=1, 1, 0))+(0.1*IF(Table1[[#This Row],[CorrectHomeScorePrediction]]=1, 1, 0))</f>
        <v>0</v>
      </c>
      <c r="X78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88" s="64">
        <f>SUMIF(Table1[GameDate], Table1[[#This Row],[GameDate]], Table1[AwayGameGoalDiff])</f>
        <v>0</v>
      </c>
      <c r="AA788" s="64">
        <f>SUMIF(Table1[GameDate], Table1[[#This Row],[GameDate]], Table1[HomeGameGoalDiff])</f>
        <v>0</v>
      </c>
      <c r="AB788" s="64">
        <f>IF(ISBLANK(Table1[[#This Row],[ActualResult]]), 0, 1)</f>
        <v>0</v>
      </c>
      <c r="AC788" s="64">
        <f>IF(ISBLANK(Table1[[#This Row],[ActualResult]]), 0, IF(Table1[[#This Row],[ActualWinner]]=Table1[[#This Row],[PredictedWinner]], 1, 0))</f>
        <v>0</v>
      </c>
      <c r="AD78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8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88" s="64">
        <f>IF(AND(Table1[[#This Row],[GameIsOver]]=1,Table1[[#This Row],[ActualAwayScore]]=0), 1,0)</f>
        <v>0</v>
      </c>
      <c r="AG788" s="64">
        <f>IF(AND(Table1[[#This Row],[GameIsOver]]=1,Table1[[#This Row],[ActualHomeScore]]=0), 1,0)</f>
        <v>0</v>
      </c>
      <c r="AH788" s="64">
        <f>IF(Table1[[#This Row],[GameIsOver]]=0,0,IF(Table1[[#This Row],[ActualWinner]]=Table1[[#This Row],[AwayTeam]], 1, 0))</f>
        <v>0</v>
      </c>
      <c r="AI788" s="64">
        <f>IF(Table1[[#This Row],[GameIsOver]]=0,0,IF(Table1[[#This Row],[ActualWinner]]=Table1[[#This Row],[HomeTeam]], 1, 0))</f>
        <v>0</v>
      </c>
      <c r="AJ788" s="64">
        <f>IF(INDEX(Standings!$A$2:$C$33,MATCH(Table1[[#This Row],[AwayTeam]],Standings!$A$2:$A$33,0),2)=INDEX(Standings!$A$2:$C$33,MATCH(Table1[[#This Row],[HomeTeam]],Standings!$A$2:$A$33,0),2),1,0)</f>
        <v>0</v>
      </c>
      <c r="AK788" s="64">
        <f>IF(INDEX(Standings!$A$2:$C$33,MATCH(Table1[[#This Row],[AwayTeam]],Standings!$A$2:$A$33,0),3)=INDEX(Standings!$A$2:$C$33,MATCH(Table1[[#This Row],[HomeTeam]],Standings!$A$2:$A$33,0),3),1,0)</f>
        <v>0</v>
      </c>
      <c r="AL788" s="64">
        <f>IF(Table1[[#This Row],[InterConf]]=1,IF(Table1[[#This Row],[InterDiv]]=0, 1, 0), 0)</f>
        <v>0</v>
      </c>
      <c r="AM788" s="64">
        <f>IF(INDEX(Standings!$A$2:$C$33,MATCH(Table1[[#This Row],[AwayTeam]],Standings!$A$2:$A$33,0),2)&lt;&gt;INDEX(Standings!$A$2:$C$33,MATCH(Table1[[#This Row],[HomeTeam]],Standings!$A$2:$A$33,0),2),1,0)</f>
        <v>1</v>
      </c>
      <c r="AN788" s="64" t="str">
        <f>INDEX(Table2[AWAY_RECORD], MATCH(Table1[[#This Row],[AwayTeam]],Table2[Team], 0), 0)</f>
        <v>0-0-0</v>
      </c>
      <c r="AO788" s="64" t="str">
        <f>INDEX(Records!$B$2:$AG$33, MATCH(Table1[[#This Row],[AwayTeam]],Records!$A$2:$A$33, 0), MATCH(Table1[[#This Row],[HomeTeam]],Records!$A$2:$A$33, 0))</f>
        <v>0-0-0</v>
      </c>
      <c r="AP788" s="64" t="str">
        <f>INDEX(Table2[HOME_RECORD], MATCH(Table1[[#This Row],[HomeTeam]],Table2[Team], 0), 0)</f>
        <v>1-0-0</v>
      </c>
      <c r="AQ788" s="64" t="str">
        <f>INDEX(Records!$B$2:$AG$33, MATCH(Table1[[#This Row],[HomeTeam]],Records!$A$2:$A$33, 0), MATCH(Table1[[#This Row],[AwayTeam]],Records!$A$2:$A$33, 0))</f>
        <v>0-0-0</v>
      </c>
    </row>
    <row r="789" spans="1:43" x14ac:dyDescent="0.25">
      <c r="A789" s="1"/>
      <c r="D789" t="s">
        <v>1081</v>
      </c>
      <c r="E789" t="s">
        <v>162</v>
      </c>
      <c r="F789" t="s">
        <v>1084</v>
      </c>
      <c r="G789" t="s">
        <v>53</v>
      </c>
      <c r="H789" t="s">
        <v>51</v>
      </c>
      <c r="L78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8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89" s="1"/>
      <c r="T789" s="64" t="str">
        <f>IF(Table1[[#This Row],[ActualWinner]]="", "", IF(Table1[[#This Row],[AwayTeam]]=Table1[[#This Row],[ActualWinner]],Table1[[#This Row],[HomeTeam]],Table1[[#This Row],[AwayTeam]]))</f>
        <v/>
      </c>
      <c r="U789" s="64">
        <f>Table1[[#This Row],[ActualAwayScore]]-Table1[[#This Row],[PredictedAwayScore]]</f>
        <v>0</v>
      </c>
      <c r="V789" s="64">
        <f>Table1[[#This Row],[ActualHomeScore]]-Table1[[#This Row],[PredictedHomeScore]]</f>
        <v>0</v>
      </c>
      <c r="W789" s="64">
        <f>(0.8*IF(Table1[[#This Row],[CorrectWinnerPrediction]]=1, 1, 0))+(0.1*IF(Table1[[#This Row],[CorrectAwayScorePrediction]]=1, 1, 0))+(0.1*IF(Table1[[#This Row],[CorrectHomeScorePrediction]]=1, 1, 0))</f>
        <v>0</v>
      </c>
      <c r="X78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89" s="64">
        <f>SUMIF(Table1[GameDate], Table1[[#This Row],[GameDate]], Table1[AwayGameGoalDiff])</f>
        <v>0</v>
      </c>
      <c r="AA789" s="64">
        <f>SUMIF(Table1[GameDate], Table1[[#This Row],[GameDate]], Table1[HomeGameGoalDiff])</f>
        <v>0</v>
      </c>
      <c r="AB789" s="64">
        <f>IF(ISBLANK(Table1[[#This Row],[ActualResult]]), 0, 1)</f>
        <v>0</v>
      </c>
      <c r="AC789" s="64">
        <f>IF(ISBLANK(Table1[[#This Row],[ActualResult]]), 0, IF(Table1[[#This Row],[ActualWinner]]=Table1[[#This Row],[PredictedWinner]], 1, 0))</f>
        <v>0</v>
      </c>
      <c r="AD78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8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89" s="64">
        <f>IF(AND(Table1[[#This Row],[GameIsOver]]=1,Table1[[#This Row],[ActualAwayScore]]=0), 1,0)</f>
        <v>0</v>
      </c>
      <c r="AG789" s="64">
        <f>IF(AND(Table1[[#This Row],[GameIsOver]]=1,Table1[[#This Row],[ActualHomeScore]]=0), 1,0)</f>
        <v>0</v>
      </c>
      <c r="AH789" s="64">
        <f>IF(Table1[[#This Row],[GameIsOver]]=0,0,IF(Table1[[#This Row],[ActualWinner]]=Table1[[#This Row],[AwayTeam]], 1, 0))</f>
        <v>0</v>
      </c>
      <c r="AI789" s="64">
        <f>IF(Table1[[#This Row],[GameIsOver]]=0,0,IF(Table1[[#This Row],[ActualWinner]]=Table1[[#This Row],[HomeTeam]], 1, 0))</f>
        <v>0</v>
      </c>
      <c r="AJ789" s="64">
        <f>IF(INDEX(Standings!$A$2:$C$33,MATCH(Table1[[#This Row],[AwayTeam]],Standings!$A$2:$A$33,0),2)=INDEX(Standings!$A$2:$C$33,MATCH(Table1[[#This Row],[HomeTeam]],Standings!$A$2:$A$33,0),2),1,0)</f>
        <v>1</v>
      </c>
      <c r="AK789" s="64">
        <f>IF(INDEX(Standings!$A$2:$C$33,MATCH(Table1[[#This Row],[AwayTeam]],Standings!$A$2:$A$33,0),3)=INDEX(Standings!$A$2:$C$33,MATCH(Table1[[#This Row],[HomeTeam]],Standings!$A$2:$A$33,0),3),1,0)</f>
        <v>1</v>
      </c>
      <c r="AL789" s="64">
        <f>IF(Table1[[#This Row],[InterConf]]=1,IF(Table1[[#This Row],[InterDiv]]=0, 1, 0), 0)</f>
        <v>0</v>
      </c>
      <c r="AM789" s="64">
        <f>IF(INDEX(Standings!$A$2:$C$33,MATCH(Table1[[#This Row],[AwayTeam]],Standings!$A$2:$A$33,0),2)&lt;&gt;INDEX(Standings!$A$2:$C$33,MATCH(Table1[[#This Row],[HomeTeam]],Standings!$A$2:$A$33,0),2),1,0)</f>
        <v>0</v>
      </c>
      <c r="AN789" s="64" t="str">
        <f>INDEX(Table2[AWAY_RECORD], MATCH(Table1[[#This Row],[AwayTeam]],Table2[Team], 0), 0)</f>
        <v>0-1-0</v>
      </c>
      <c r="AO789" s="64" t="str">
        <f>INDEX(Records!$B$2:$AG$33, MATCH(Table1[[#This Row],[AwayTeam]],Records!$A$2:$A$33, 0), MATCH(Table1[[#This Row],[HomeTeam]],Records!$A$2:$A$33, 0))</f>
        <v>0-0-0</v>
      </c>
      <c r="AP789" s="64" t="str">
        <f>INDEX(Table2[HOME_RECORD], MATCH(Table1[[#This Row],[HomeTeam]],Table2[Team], 0), 0)</f>
        <v>1-0-0</v>
      </c>
      <c r="AQ789" s="64" t="str">
        <f>INDEX(Records!$B$2:$AG$33, MATCH(Table1[[#This Row],[HomeTeam]],Records!$A$2:$A$33, 0), MATCH(Table1[[#This Row],[AwayTeam]],Records!$A$2:$A$33, 0))</f>
        <v>0-0-0</v>
      </c>
    </row>
    <row r="790" spans="1:43" x14ac:dyDescent="0.25">
      <c r="A790" s="1"/>
      <c r="D790" t="s">
        <v>1081</v>
      </c>
      <c r="E790" t="s">
        <v>162</v>
      </c>
      <c r="F790" t="s">
        <v>1085</v>
      </c>
      <c r="G790" t="s">
        <v>47</v>
      </c>
      <c r="H790" t="s">
        <v>59</v>
      </c>
      <c r="L79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9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90" s="1"/>
      <c r="T790" s="64" t="str">
        <f>IF(Table1[[#This Row],[ActualWinner]]="", "", IF(Table1[[#This Row],[AwayTeam]]=Table1[[#This Row],[ActualWinner]],Table1[[#This Row],[HomeTeam]],Table1[[#This Row],[AwayTeam]]))</f>
        <v/>
      </c>
      <c r="U790" s="64">
        <f>Table1[[#This Row],[ActualAwayScore]]-Table1[[#This Row],[PredictedAwayScore]]</f>
        <v>0</v>
      </c>
      <c r="V790" s="64">
        <f>Table1[[#This Row],[ActualHomeScore]]-Table1[[#This Row],[PredictedHomeScore]]</f>
        <v>0</v>
      </c>
      <c r="W790" s="64">
        <f>(0.8*IF(Table1[[#This Row],[CorrectWinnerPrediction]]=1, 1, 0))+(0.1*IF(Table1[[#This Row],[CorrectAwayScorePrediction]]=1, 1, 0))+(0.1*IF(Table1[[#This Row],[CorrectHomeScorePrediction]]=1, 1, 0))</f>
        <v>0</v>
      </c>
      <c r="X79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90" s="64">
        <f>SUMIF(Table1[GameDate], Table1[[#This Row],[GameDate]], Table1[AwayGameGoalDiff])</f>
        <v>0</v>
      </c>
      <c r="AA790" s="64">
        <f>SUMIF(Table1[GameDate], Table1[[#This Row],[GameDate]], Table1[HomeGameGoalDiff])</f>
        <v>0</v>
      </c>
      <c r="AB790" s="64">
        <f>IF(ISBLANK(Table1[[#This Row],[ActualResult]]), 0, 1)</f>
        <v>0</v>
      </c>
      <c r="AC790" s="64">
        <f>IF(ISBLANK(Table1[[#This Row],[ActualResult]]), 0, IF(Table1[[#This Row],[ActualWinner]]=Table1[[#This Row],[PredictedWinner]], 1, 0))</f>
        <v>0</v>
      </c>
      <c r="AD79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9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90" s="64">
        <f>IF(AND(Table1[[#This Row],[GameIsOver]]=1,Table1[[#This Row],[ActualAwayScore]]=0), 1,0)</f>
        <v>0</v>
      </c>
      <c r="AG790" s="64">
        <f>IF(AND(Table1[[#This Row],[GameIsOver]]=1,Table1[[#This Row],[ActualHomeScore]]=0), 1,0)</f>
        <v>0</v>
      </c>
      <c r="AH790" s="64">
        <f>IF(Table1[[#This Row],[GameIsOver]]=0,0,IF(Table1[[#This Row],[ActualWinner]]=Table1[[#This Row],[AwayTeam]], 1, 0))</f>
        <v>0</v>
      </c>
      <c r="AI790" s="64">
        <f>IF(Table1[[#This Row],[GameIsOver]]=0,0,IF(Table1[[#This Row],[ActualWinner]]=Table1[[#This Row],[HomeTeam]], 1, 0))</f>
        <v>0</v>
      </c>
      <c r="AJ790" s="64">
        <f>IF(INDEX(Standings!$A$2:$C$33,MATCH(Table1[[#This Row],[AwayTeam]],Standings!$A$2:$A$33,0),2)=INDEX(Standings!$A$2:$C$33,MATCH(Table1[[#This Row],[HomeTeam]],Standings!$A$2:$A$33,0),2),1,0)</f>
        <v>1</v>
      </c>
      <c r="AK790" s="64">
        <f>IF(INDEX(Standings!$A$2:$C$33,MATCH(Table1[[#This Row],[AwayTeam]],Standings!$A$2:$A$33,0),3)=INDEX(Standings!$A$2:$C$33,MATCH(Table1[[#This Row],[HomeTeam]],Standings!$A$2:$A$33,0),3),1,0)</f>
        <v>0</v>
      </c>
      <c r="AL790" s="64">
        <f>IF(Table1[[#This Row],[InterConf]]=1,IF(Table1[[#This Row],[InterDiv]]=0, 1, 0), 0)</f>
        <v>1</v>
      </c>
      <c r="AM790" s="64">
        <f>IF(INDEX(Standings!$A$2:$C$33,MATCH(Table1[[#This Row],[AwayTeam]],Standings!$A$2:$A$33,0),2)&lt;&gt;INDEX(Standings!$A$2:$C$33,MATCH(Table1[[#This Row],[HomeTeam]],Standings!$A$2:$A$33,0),2),1,0)</f>
        <v>0</v>
      </c>
      <c r="AN790" s="64" t="str">
        <f>INDEX(Table2[AWAY_RECORD], MATCH(Table1[[#This Row],[AwayTeam]],Table2[Team], 0), 0)</f>
        <v>1-0-0</v>
      </c>
      <c r="AO790" s="64" t="str">
        <f>INDEX(Records!$B$2:$AG$33, MATCH(Table1[[#This Row],[AwayTeam]],Records!$A$2:$A$33, 0), MATCH(Table1[[#This Row],[HomeTeam]],Records!$A$2:$A$33, 0))</f>
        <v>0-0-0</v>
      </c>
      <c r="AP790" s="64" t="str">
        <f>INDEX(Table2[HOME_RECORD], MATCH(Table1[[#This Row],[HomeTeam]],Table2[Team], 0), 0)</f>
        <v>0-0-0</v>
      </c>
      <c r="AQ790" s="64" t="str">
        <f>INDEX(Records!$B$2:$AG$33, MATCH(Table1[[#This Row],[HomeTeam]],Records!$A$2:$A$33, 0), MATCH(Table1[[#This Row],[AwayTeam]],Records!$A$2:$A$33, 0))</f>
        <v>0-0-0</v>
      </c>
    </row>
    <row r="791" spans="1:43" x14ac:dyDescent="0.25">
      <c r="A791" s="1"/>
      <c r="D791" t="s">
        <v>1081</v>
      </c>
      <c r="E791" t="s">
        <v>178</v>
      </c>
      <c r="F791" t="s">
        <v>1086</v>
      </c>
      <c r="G791" t="s">
        <v>22</v>
      </c>
      <c r="H791" t="s">
        <v>60</v>
      </c>
      <c r="L79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9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91" s="1"/>
      <c r="T791" s="64" t="str">
        <f>IF(Table1[[#This Row],[ActualWinner]]="", "", IF(Table1[[#This Row],[AwayTeam]]=Table1[[#This Row],[ActualWinner]],Table1[[#This Row],[HomeTeam]],Table1[[#This Row],[AwayTeam]]))</f>
        <v/>
      </c>
      <c r="U791" s="64">
        <f>Table1[[#This Row],[ActualAwayScore]]-Table1[[#This Row],[PredictedAwayScore]]</f>
        <v>0</v>
      </c>
      <c r="V791" s="64">
        <f>Table1[[#This Row],[ActualHomeScore]]-Table1[[#This Row],[PredictedHomeScore]]</f>
        <v>0</v>
      </c>
      <c r="W791" s="64">
        <f>(0.8*IF(Table1[[#This Row],[CorrectWinnerPrediction]]=1, 1, 0))+(0.1*IF(Table1[[#This Row],[CorrectAwayScorePrediction]]=1, 1, 0))+(0.1*IF(Table1[[#This Row],[CorrectHomeScorePrediction]]=1, 1, 0))</f>
        <v>0</v>
      </c>
      <c r="X79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91" s="64">
        <f>SUMIF(Table1[GameDate], Table1[[#This Row],[GameDate]], Table1[AwayGameGoalDiff])</f>
        <v>0</v>
      </c>
      <c r="AA791" s="64">
        <f>SUMIF(Table1[GameDate], Table1[[#This Row],[GameDate]], Table1[HomeGameGoalDiff])</f>
        <v>0</v>
      </c>
      <c r="AB791" s="64">
        <f>IF(ISBLANK(Table1[[#This Row],[ActualResult]]), 0, 1)</f>
        <v>0</v>
      </c>
      <c r="AC791" s="64">
        <f>IF(ISBLANK(Table1[[#This Row],[ActualResult]]), 0, IF(Table1[[#This Row],[ActualWinner]]=Table1[[#This Row],[PredictedWinner]], 1, 0))</f>
        <v>0</v>
      </c>
      <c r="AD79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9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91" s="64">
        <f>IF(AND(Table1[[#This Row],[GameIsOver]]=1,Table1[[#This Row],[ActualAwayScore]]=0), 1,0)</f>
        <v>0</v>
      </c>
      <c r="AG791" s="64">
        <f>IF(AND(Table1[[#This Row],[GameIsOver]]=1,Table1[[#This Row],[ActualHomeScore]]=0), 1,0)</f>
        <v>0</v>
      </c>
      <c r="AH791" s="64">
        <f>IF(Table1[[#This Row],[GameIsOver]]=0,0,IF(Table1[[#This Row],[ActualWinner]]=Table1[[#This Row],[AwayTeam]], 1, 0))</f>
        <v>0</v>
      </c>
      <c r="AI791" s="64">
        <f>IF(Table1[[#This Row],[GameIsOver]]=0,0,IF(Table1[[#This Row],[ActualWinner]]=Table1[[#This Row],[HomeTeam]], 1, 0))</f>
        <v>0</v>
      </c>
      <c r="AJ791" s="64">
        <f>IF(INDEX(Standings!$A$2:$C$33,MATCH(Table1[[#This Row],[AwayTeam]],Standings!$A$2:$A$33,0),2)=INDEX(Standings!$A$2:$C$33,MATCH(Table1[[#This Row],[HomeTeam]],Standings!$A$2:$A$33,0),2),1,0)</f>
        <v>1</v>
      </c>
      <c r="AK791" s="64">
        <f>IF(INDEX(Standings!$A$2:$C$33,MATCH(Table1[[#This Row],[AwayTeam]],Standings!$A$2:$A$33,0),3)=INDEX(Standings!$A$2:$C$33,MATCH(Table1[[#This Row],[HomeTeam]],Standings!$A$2:$A$33,0),3),1,0)</f>
        <v>1</v>
      </c>
      <c r="AL791" s="64">
        <f>IF(Table1[[#This Row],[InterConf]]=1,IF(Table1[[#This Row],[InterDiv]]=0, 1, 0), 0)</f>
        <v>0</v>
      </c>
      <c r="AM791" s="64">
        <f>IF(INDEX(Standings!$A$2:$C$33,MATCH(Table1[[#This Row],[AwayTeam]],Standings!$A$2:$A$33,0),2)&lt;&gt;INDEX(Standings!$A$2:$C$33,MATCH(Table1[[#This Row],[HomeTeam]],Standings!$A$2:$A$33,0),2),1,0)</f>
        <v>0</v>
      </c>
      <c r="AN791" s="64" t="str">
        <f>INDEX(Table2[AWAY_RECORD], MATCH(Table1[[#This Row],[AwayTeam]],Table2[Team], 0), 0)</f>
        <v>0-0-1</v>
      </c>
      <c r="AO791" s="64" t="str">
        <f>INDEX(Records!$B$2:$AG$33, MATCH(Table1[[#This Row],[AwayTeam]],Records!$A$2:$A$33, 0), MATCH(Table1[[#This Row],[HomeTeam]],Records!$A$2:$A$33, 0))</f>
        <v>0-0-0</v>
      </c>
      <c r="AP791" s="64" t="str">
        <f>INDEX(Table2[HOME_RECORD], MATCH(Table1[[#This Row],[HomeTeam]],Table2[Team], 0), 0)</f>
        <v>1-0-0</v>
      </c>
      <c r="AQ791" s="64" t="str">
        <f>INDEX(Records!$B$2:$AG$33, MATCH(Table1[[#This Row],[HomeTeam]],Records!$A$2:$A$33, 0), MATCH(Table1[[#This Row],[AwayTeam]],Records!$A$2:$A$33, 0))</f>
        <v>0-0-0</v>
      </c>
    </row>
    <row r="792" spans="1:43" x14ac:dyDescent="0.25">
      <c r="A792" s="1"/>
      <c r="D792" t="s">
        <v>1087</v>
      </c>
      <c r="E792" t="s">
        <v>298</v>
      </c>
      <c r="F792" t="s">
        <v>1088</v>
      </c>
      <c r="G792" t="s">
        <v>56</v>
      </c>
      <c r="H792" t="s">
        <v>46</v>
      </c>
      <c r="L79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9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92" s="1"/>
      <c r="T792" s="64" t="str">
        <f>IF(Table1[[#This Row],[ActualWinner]]="", "", IF(Table1[[#This Row],[AwayTeam]]=Table1[[#This Row],[ActualWinner]],Table1[[#This Row],[HomeTeam]],Table1[[#This Row],[AwayTeam]]))</f>
        <v/>
      </c>
      <c r="U792" s="64">
        <f>Table1[[#This Row],[ActualAwayScore]]-Table1[[#This Row],[PredictedAwayScore]]</f>
        <v>0</v>
      </c>
      <c r="V792" s="64">
        <f>Table1[[#This Row],[ActualHomeScore]]-Table1[[#This Row],[PredictedHomeScore]]</f>
        <v>0</v>
      </c>
      <c r="W792" s="64">
        <f>(0.8*IF(Table1[[#This Row],[CorrectWinnerPrediction]]=1, 1, 0))+(0.1*IF(Table1[[#This Row],[CorrectAwayScorePrediction]]=1, 1, 0))+(0.1*IF(Table1[[#This Row],[CorrectHomeScorePrediction]]=1, 1, 0))</f>
        <v>0</v>
      </c>
      <c r="X79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92" s="64">
        <f>SUMIF(Table1[GameDate], Table1[[#This Row],[GameDate]], Table1[AwayGameGoalDiff])</f>
        <v>0</v>
      </c>
      <c r="AA792" s="64">
        <f>SUMIF(Table1[GameDate], Table1[[#This Row],[GameDate]], Table1[HomeGameGoalDiff])</f>
        <v>0</v>
      </c>
      <c r="AB792" s="64">
        <f>IF(ISBLANK(Table1[[#This Row],[ActualResult]]), 0, 1)</f>
        <v>0</v>
      </c>
      <c r="AC792" s="64">
        <f>IF(ISBLANK(Table1[[#This Row],[ActualResult]]), 0, IF(Table1[[#This Row],[ActualWinner]]=Table1[[#This Row],[PredictedWinner]], 1, 0))</f>
        <v>0</v>
      </c>
      <c r="AD79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9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92" s="64">
        <f>IF(AND(Table1[[#This Row],[GameIsOver]]=1,Table1[[#This Row],[ActualAwayScore]]=0), 1,0)</f>
        <v>0</v>
      </c>
      <c r="AG792" s="64">
        <f>IF(AND(Table1[[#This Row],[GameIsOver]]=1,Table1[[#This Row],[ActualHomeScore]]=0), 1,0)</f>
        <v>0</v>
      </c>
      <c r="AH792" s="64">
        <f>IF(Table1[[#This Row],[GameIsOver]]=0,0,IF(Table1[[#This Row],[ActualWinner]]=Table1[[#This Row],[AwayTeam]], 1, 0))</f>
        <v>0</v>
      </c>
      <c r="AI792" s="64">
        <f>IF(Table1[[#This Row],[GameIsOver]]=0,0,IF(Table1[[#This Row],[ActualWinner]]=Table1[[#This Row],[HomeTeam]], 1, 0))</f>
        <v>0</v>
      </c>
      <c r="AJ792" s="64">
        <f>IF(INDEX(Standings!$A$2:$C$33,MATCH(Table1[[#This Row],[AwayTeam]],Standings!$A$2:$A$33,0),2)=INDEX(Standings!$A$2:$C$33,MATCH(Table1[[#This Row],[HomeTeam]],Standings!$A$2:$A$33,0),2),1,0)</f>
        <v>1</v>
      </c>
      <c r="AK792" s="64">
        <f>IF(INDEX(Standings!$A$2:$C$33,MATCH(Table1[[#This Row],[AwayTeam]],Standings!$A$2:$A$33,0),3)=INDEX(Standings!$A$2:$C$33,MATCH(Table1[[#This Row],[HomeTeam]],Standings!$A$2:$A$33,0),3),1,0)</f>
        <v>1</v>
      </c>
      <c r="AL792" s="64">
        <f>IF(Table1[[#This Row],[InterConf]]=1,IF(Table1[[#This Row],[InterDiv]]=0, 1, 0), 0)</f>
        <v>0</v>
      </c>
      <c r="AM792" s="64">
        <f>IF(INDEX(Standings!$A$2:$C$33,MATCH(Table1[[#This Row],[AwayTeam]],Standings!$A$2:$A$33,0),2)&lt;&gt;INDEX(Standings!$A$2:$C$33,MATCH(Table1[[#This Row],[HomeTeam]],Standings!$A$2:$A$33,0),2),1,0)</f>
        <v>0</v>
      </c>
      <c r="AN792" s="64" t="str">
        <f>INDEX(Table2[AWAY_RECORD], MATCH(Table1[[#This Row],[AwayTeam]],Table2[Team], 0), 0)</f>
        <v>1-0-0</v>
      </c>
      <c r="AO792" s="64" t="str">
        <f>INDEX(Records!$B$2:$AG$33, MATCH(Table1[[#This Row],[AwayTeam]],Records!$A$2:$A$33, 0), MATCH(Table1[[#This Row],[HomeTeam]],Records!$A$2:$A$33, 0))</f>
        <v>0-0-0</v>
      </c>
      <c r="AP792" s="64" t="str">
        <f>INDEX(Table2[HOME_RECORD], MATCH(Table1[[#This Row],[HomeTeam]],Table2[Team], 0), 0)</f>
        <v>0-0-0</v>
      </c>
      <c r="AQ792" s="64" t="str">
        <f>INDEX(Records!$B$2:$AG$33, MATCH(Table1[[#This Row],[HomeTeam]],Records!$A$2:$A$33, 0), MATCH(Table1[[#This Row],[AwayTeam]],Records!$A$2:$A$33, 0))</f>
        <v>0-0-0</v>
      </c>
    </row>
    <row r="793" spans="1:43" x14ac:dyDescent="0.25">
      <c r="A793" s="1"/>
      <c r="D793" t="s">
        <v>1087</v>
      </c>
      <c r="E793" t="s">
        <v>386</v>
      </c>
      <c r="F793" t="s">
        <v>1089</v>
      </c>
      <c r="G793" t="s">
        <v>23</v>
      </c>
      <c r="H793" t="s">
        <v>48</v>
      </c>
      <c r="L79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9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93" s="1"/>
      <c r="T793" s="64" t="str">
        <f>IF(Table1[[#This Row],[ActualWinner]]="", "", IF(Table1[[#This Row],[AwayTeam]]=Table1[[#This Row],[ActualWinner]],Table1[[#This Row],[HomeTeam]],Table1[[#This Row],[AwayTeam]]))</f>
        <v/>
      </c>
      <c r="U793" s="64">
        <f>Table1[[#This Row],[ActualAwayScore]]-Table1[[#This Row],[PredictedAwayScore]]</f>
        <v>0</v>
      </c>
      <c r="V793" s="64">
        <f>Table1[[#This Row],[ActualHomeScore]]-Table1[[#This Row],[PredictedHomeScore]]</f>
        <v>0</v>
      </c>
      <c r="W793" s="64">
        <f>(0.8*IF(Table1[[#This Row],[CorrectWinnerPrediction]]=1, 1, 0))+(0.1*IF(Table1[[#This Row],[CorrectAwayScorePrediction]]=1, 1, 0))+(0.1*IF(Table1[[#This Row],[CorrectHomeScorePrediction]]=1, 1, 0))</f>
        <v>0</v>
      </c>
      <c r="X79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93" s="64">
        <f>SUMIF(Table1[GameDate], Table1[[#This Row],[GameDate]], Table1[AwayGameGoalDiff])</f>
        <v>0</v>
      </c>
      <c r="AA793" s="64">
        <f>SUMIF(Table1[GameDate], Table1[[#This Row],[GameDate]], Table1[HomeGameGoalDiff])</f>
        <v>0</v>
      </c>
      <c r="AB793" s="64">
        <f>IF(ISBLANK(Table1[[#This Row],[ActualResult]]), 0, 1)</f>
        <v>0</v>
      </c>
      <c r="AC793" s="64">
        <f>IF(ISBLANK(Table1[[#This Row],[ActualResult]]), 0, IF(Table1[[#This Row],[ActualWinner]]=Table1[[#This Row],[PredictedWinner]], 1, 0))</f>
        <v>0</v>
      </c>
      <c r="AD79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9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93" s="64">
        <f>IF(AND(Table1[[#This Row],[GameIsOver]]=1,Table1[[#This Row],[ActualAwayScore]]=0), 1,0)</f>
        <v>0</v>
      </c>
      <c r="AG793" s="64">
        <f>IF(AND(Table1[[#This Row],[GameIsOver]]=1,Table1[[#This Row],[ActualHomeScore]]=0), 1,0)</f>
        <v>0</v>
      </c>
      <c r="AH793" s="64">
        <f>IF(Table1[[#This Row],[GameIsOver]]=0,0,IF(Table1[[#This Row],[ActualWinner]]=Table1[[#This Row],[AwayTeam]], 1, 0))</f>
        <v>0</v>
      </c>
      <c r="AI793" s="64">
        <f>IF(Table1[[#This Row],[GameIsOver]]=0,0,IF(Table1[[#This Row],[ActualWinner]]=Table1[[#This Row],[HomeTeam]], 1, 0))</f>
        <v>0</v>
      </c>
      <c r="AJ793" s="64">
        <f>IF(INDEX(Standings!$A$2:$C$33,MATCH(Table1[[#This Row],[AwayTeam]],Standings!$A$2:$A$33,0),2)=INDEX(Standings!$A$2:$C$33,MATCH(Table1[[#This Row],[HomeTeam]],Standings!$A$2:$A$33,0),2),1,0)</f>
        <v>1</v>
      </c>
      <c r="AK793" s="64">
        <f>IF(INDEX(Standings!$A$2:$C$33,MATCH(Table1[[#This Row],[AwayTeam]],Standings!$A$2:$A$33,0),3)=INDEX(Standings!$A$2:$C$33,MATCH(Table1[[#This Row],[HomeTeam]],Standings!$A$2:$A$33,0),3),1,0)</f>
        <v>0</v>
      </c>
      <c r="AL793" s="64">
        <f>IF(Table1[[#This Row],[InterConf]]=1,IF(Table1[[#This Row],[InterDiv]]=0, 1, 0), 0)</f>
        <v>1</v>
      </c>
      <c r="AM793" s="64">
        <f>IF(INDEX(Standings!$A$2:$C$33,MATCH(Table1[[#This Row],[AwayTeam]],Standings!$A$2:$A$33,0),2)&lt;&gt;INDEX(Standings!$A$2:$C$33,MATCH(Table1[[#This Row],[HomeTeam]],Standings!$A$2:$A$33,0),2),1,0)</f>
        <v>0</v>
      </c>
      <c r="AN793" s="64" t="str">
        <f>INDEX(Table2[AWAY_RECORD], MATCH(Table1[[#This Row],[AwayTeam]],Table2[Team], 0), 0)</f>
        <v>0-0-1</v>
      </c>
      <c r="AO793" s="64" t="str">
        <f>INDEX(Records!$B$2:$AG$33, MATCH(Table1[[#This Row],[AwayTeam]],Records!$A$2:$A$33, 0), MATCH(Table1[[#This Row],[HomeTeam]],Records!$A$2:$A$33, 0))</f>
        <v>0-0-0</v>
      </c>
      <c r="AP793" s="64" t="str">
        <f>INDEX(Table2[HOME_RECORD], MATCH(Table1[[#This Row],[HomeTeam]],Table2[Team], 0), 0)</f>
        <v>1-0-0</v>
      </c>
      <c r="AQ793" s="64" t="str">
        <f>INDEX(Records!$B$2:$AG$33, MATCH(Table1[[#This Row],[HomeTeam]],Records!$A$2:$A$33, 0), MATCH(Table1[[#This Row],[AwayTeam]],Records!$A$2:$A$33, 0))</f>
        <v>0-0-0</v>
      </c>
    </row>
    <row r="794" spans="1:43" x14ac:dyDescent="0.25">
      <c r="A794" s="1"/>
      <c r="D794" t="s">
        <v>1087</v>
      </c>
      <c r="E794" t="s">
        <v>162</v>
      </c>
      <c r="F794" t="s">
        <v>1090</v>
      </c>
      <c r="G794" t="s">
        <v>38</v>
      </c>
      <c r="H794" t="s">
        <v>50</v>
      </c>
      <c r="L79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9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94" s="1"/>
      <c r="T794" s="64" t="str">
        <f>IF(Table1[[#This Row],[ActualWinner]]="", "", IF(Table1[[#This Row],[AwayTeam]]=Table1[[#This Row],[ActualWinner]],Table1[[#This Row],[HomeTeam]],Table1[[#This Row],[AwayTeam]]))</f>
        <v/>
      </c>
      <c r="U794" s="64">
        <f>Table1[[#This Row],[ActualAwayScore]]-Table1[[#This Row],[PredictedAwayScore]]</f>
        <v>0</v>
      </c>
      <c r="V794" s="64">
        <f>Table1[[#This Row],[ActualHomeScore]]-Table1[[#This Row],[PredictedHomeScore]]</f>
        <v>0</v>
      </c>
      <c r="W794" s="64">
        <f>(0.8*IF(Table1[[#This Row],[CorrectWinnerPrediction]]=1, 1, 0))+(0.1*IF(Table1[[#This Row],[CorrectAwayScorePrediction]]=1, 1, 0))+(0.1*IF(Table1[[#This Row],[CorrectHomeScorePrediction]]=1, 1, 0))</f>
        <v>0</v>
      </c>
      <c r="X79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94" s="64">
        <f>SUMIF(Table1[GameDate], Table1[[#This Row],[GameDate]], Table1[AwayGameGoalDiff])</f>
        <v>0</v>
      </c>
      <c r="AA794" s="64">
        <f>SUMIF(Table1[GameDate], Table1[[#This Row],[GameDate]], Table1[HomeGameGoalDiff])</f>
        <v>0</v>
      </c>
      <c r="AB794" s="64">
        <f>IF(ISBLANK(Table1[[#This Row],[ActualResult]]), 0, 1)</f>
        <v>0</v>
      </c>
      <c r="AC794" s="64">
        <f>IF(ISBLANK(Table1[[#This Row],[ActualResult]]), 0, IF(Table1[[#This Row],[ActualWinner]]=Table1[[#This Row],[PredictedWinner]], 1, 0))</f>
        <v>0</v>
      </c>
      <c r="AD79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9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94" s="64">
        <f>IF(AND(Table1[[#This Row],[GameIsOver]]=1,Table1[[#This Row],[ActualAwayScore]]=0), 1,0)</f>
        <v>0</v>
      </c>
      <c r="AG794" s="64">
        <f>IF(AND(Table1[[#This Row],[GameIsOver]]=1,Table1[[#This Row],[ActualHomeScore]]=0), 1,0)</f>
        <v>0</v>
      </c>
      <c r="AH794" s="64">
        <f>IF(Table1[[#This Row],[GameIsOver]]=0,0,IF(Table1[[#This Row],[ActualWinner]]=Table1[[#This Row],[AwayTeam]], 1, 0))</f>
        <v>0</v>
      </c>
      <c r="AI794" s="64">
        <f>IF(Table1[[#This Row],[GameIsOver]]=0,0,IF(Table1[[#This Row],[ActualWinner]]=Table1[[#This Row],[HomeTeam]], 1, 0))</f>
        <v>0</v>
      </c>
      <c r="AJ794" s="64">
        <f>IF(INDEX(Standings!$A$2:$C$33,MATCH(Table1[[#This Row],[AwayTeam]],Standings!$A$2:$A$33,0),2)=INDEX(Standings!$A$2:$C$33,MATCH(Table1[[#This Row],[HomeTeam]],Standings!$A$2:$A$33,0),2),1,0)</f>
        <v>1</v>
      </c>
      <c r="AK794" s="64">
        <f>IF(INDEX(Standings!$A$2:$C$33,MATCH(Table1[[#This Row],[AwayTeam]],Standings!$A$2:$A$33,0),3)=INDEX(Standings!$A$2:$C$33,MATCH(Table1[[#This Row],[HomeTeam]],Standings!$A$2:$A$33,0),3),1,0)</f>
        <v>0</v>
      </c>
      <c r="AL794" s="64">
        <f>IF(Table1[[#This Row],[InterConf]]=1,IF(Table1[[#This Row],[InterDiv]]=0, 1, 0), 0)</f>
        <v>1</v>
      </c>
      <c r="AM794" s="64">
        <f>IF(INDEX(Standings!$A$2:$C$33,MATCH(Table1[[#This Row],[AwayTeam]],Standings!$A$2:$A$33,0),2)&lt;&gt;INDEX(Standings!$A$2:$C$33,MATCH(Table1[[#This Row],[HomeTeam]],Standings!$A$2:$A$33,0),2),1,0)</f>
        <v>0</v>
      </c>
      <c r="AN794" s="64" t="str">
        <f>INDEX(Table2[AWAY_RECORD], MATCH(Table1[[#This Row],[AwayTeam]],Table2[Team], 0), 0)</f>
        <v>0-0-1</v>
      </c>
      <c r="AO794" s="64" t="str">
        <f>INDEX(Records!$B$2:$AG$33, MATCH(Table1[[#This Row],[AwayTeam]],Records!$A$2:$A$33, 0), MATCH(Table1[[#This Row],[HomeTeam]],Records!$A$2:$A$33, 0))</f>
        <v>0-0-0</v>
      </c>
      <c r="AP794" s="64" t="str">
        <f>INDEX(Table2[HOME_RECORD], MATCH(Table1[[#This Row],[HomeTeam]],Table2[Team], 0), 0)</f>
        <v>0-0-0</v>
      </c>
      <c r="AQ794" s="64" t="str">
        <f>INDEX(Records!$B$2:$AG$33, MATCH(Table1[[#This Row],[HomeTeam]],Records!$A$2:$A$33, 0), MATCH(Table1[[#This Row],[AwayTeam]],Records!$A$2:$A$33, 0))</f>
        <v>0-0-0</v>
      </c>
    </row>
    <row r="795" spans="1:43" x14ac:dyDescent="0.25">
      <c r="A795" s="1"/>
      <c r="D795" t="s">
        <v>1087</v>
      </c>
      <c r="E795" t="s">
        <v>289</v>
      </c>
      <c r="F795" t="s">
        <v>1091</v>
      </c>
      <c r="G795" t="s">
        <v>24</v>
      </c>
      <c r="H795" t="s">
        <v>52</v>
      </c>
      <c r="L79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9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95" s="1"/>
      <c r="T795" s="64" t="str">
        <f>IF(Table1[[#This Row],[ActualWinner]]="", "", IF(Table1[[#This Row],[AwayTeam]]=Table1[[#This Row],[ActualWinner]],Table1[[#This Row],[HomeTeam]],Table1[[#This Row],[AwayTeam]]))</f>
        <v/>
      </c>
      <c r="U795" s="64">
        <f>Table1[[#This Row],[ActualAwayScore]]-Table1[[#This Row],[PredictedAwayScore]]</f>
        <v>0</v>
      </c>
      <c r="V795" s="64">
        <f>Table1[[#This Row],[ActualHomeScore]]-Table1[[#This Row],[PredictedHomeScore]]</f>
        <v>0</v>
      </c>
      <c r="W795" s="64">
        <f>(0.8*IF(Table1[[#This Row],[CorrectWinnerPrediction]]=1, 1, 0))+(0.1*IF(Table1[[#This Row],[CorrectAwayScorePrediction]]=1, 1, 0))+(0.1*IF(Table1[[#This Row],[CorrectHomeScorePrediction]]=1, 1, 0))</f>
        <v>0</v>
      </c>
      <c r="X79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95" s="64">
        <f>SUMIF(Table1[GameDate], Table1[[#This Row],[GameDate]], Table1[AwayGameGoalDiff])</f>
        <v>0</v>
      </c>
      <c r="AA795" s="64">
        <f>SUMIF(Table1[GameDate], Table1[[#This Row],[GameDate]], Table1[HomeGameGoalDiff])</f>
        <v>0</v>
      </c>
      <c r="AB795" s="64">
        <f>IF(ISBLANK(Table1[[#This Row],[ActualResult]]), 0, 1)</f>
        <v>0</v>
      </c>
      <c r="AC795" s="64">
        <f>IF(ISBLANK(Table1[[#This Row],[ActualResult]]), 0, IF(Table1[[#This Row],[ActualWinner]]=Table1[[#This Row],[PredictedWinner]], 1, 0))</f>
        <v>0</v>
      </c>
      <c r="AD79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9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95" s="64">
        <f>IF(AND(Table1[[#This Row],[GameIsOver]]=1,Table1[[#This Row],[ActualAwayScore]]=0), 1,0)</f>
        <v>0</v>
      </c>
      <c r="AG795" s="64">
        <f>IF(AND(Table1[[#This Row],[GameIsOver]]=1,Table1[[#This Row],[ActualHomeScore]]=0), 1,0)</f>
        <v>0</v>
      </c>
      <c r="AH795" s="64">
        <f>IF(Table1[[#This Row],[GameIsOver]]=0,0,IF(Table1[[#This Row],[ActualWinner]]=Table1[[#This Row],[AwayTeam]], 1, 0))</f>
        <v>0</v>
      </c>
      <c r="AI795" s="64">
        <f>IF(Table1[[#This Row],[GameIsOver]]=0,0,IF(Table1[[#This Row],[ActualWinner]]=Table1[[#This Row],[HomeTeam]], 1, 0))</f>
        <v>0</v>
      </c>
      <c r="AJ795" s="64">
        <f>IF(INDEX(Standings!$A$2:$C$33,MATCH(Table1[[#This Row],[AwayTeam]],Standings!$A$2:$A$33,0),2)=INDEX(Standings!$A$2:$C$33,MATCH(Table1[[#This Row],[HomeTeam]],Standings!$A$2:$A$33,0),2),1,0)</f>
        <v>1</v>
      </c>
      <c r="AK795" s="64">
        <f>IF(INDEX(Standings!$A$2:$C$33,MATCH(Table1[[#This Row],[AwayTeam]],Standings!$A$2:$A$33,0),3)=INDEX(Standings!$A$2:$C$33,MATCH(Table1[[#This Row],[HomeTeam]],Standings!$A$2:$A$33,0),3),1,0)</f>
        <v>1</v>
      </c>
      <c r="AL795" s="64">
        <f>IF(Table1[[#This Row],[InterConf]]=1,IF(Table1[[#This Row],[InterDiv]]=0, 1, 0), 0)</f>
        <v>0</v>
      </c>
      <c r="AM795" s="64">
        <f>IF(INDEX(Standings!$A$2:$C$33,MATCH(Table1[[#This Row],[AwayTeam]],Standings!$A$2:$A$33,0),2)&lt;&gt;INDEX(Standings!$A$2:$C$33,MATCH(Table1[[#This Row],[HomeTeam]],Standings!$A$2:$A$33,0),2),1,0)</f>
        <v>0</v>
      </c>
      <c r="AN795" s="64" t="str">
        <f>INDEX(Table2[AWAY_RECORD], MATCH(Table1[[#This Row],[AwayTeam]],Table2[Team], 0), 0)</f>
        <v>0-0-0</v>
      </c>
      <c r="AO795" s="64" t="str">
        <f>INDEX(Records!$B$2:$AG$33, MATCH(Table1[[#This Row],[AwayTeam]],Records!$A$2:$A$33, 0), MATCH(Table1[[#This Row],[HomeTeam]],Records!$A$2:$A$33, 0))</f>
        <v>0-0-0</v>
      </c>
      <c r="AP795" s="64" t="str">
        <f>INDEX(Table2[HOME_RECORD], MATCH(Table1[[#This Row],[HomeTeam]],Table2[Team], 0), 0)</f>
        <v>0-0-0</v>
      </c>
      <c r="AQ795" s="64" t="str">
        <f>INDEX(Records!$B$2:$AG$33, MATCH(Table1[[#This Row],[HomeTeam]],Records!$A$2:$A$33, 0), MATCH(Table1[[#This Row],[AwayTeam]],Records!$A$2:$A$33, 0))</f>
        <v>0-0-0</v>
      </c>
    </row>
    <row r="796" spans="1:43" x14ac:dyDescent="0.25">
      <c r="A796" s="1"/>
      <c r="D796" t="s">
        <v>1087</v>
      </c>
      <c r="E796" t="s">
        <v>164</v>
      </c>
      <c r="F796" t="s">
        <v>1092</v>
      </c>
      <c r="G796" t="s">
        <v>37</v>
      </c>
      <c r="H796" t="s">
        <v>41</v>
      </c>
      <c r="L79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9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96" s="1"/>
      <c r="T796" s="64" t="str">
        <f>IF(Table1[[#This Row],[ActualWinner]]="", "", IF(Table1[[#This Row],[AwayTeam]]=Table1[[#This Row],[ActualWinner]],Table1[[#This Row],[HomeTeam]],Table1[[#This Row],[AwayTeam]]))</f>
        <v/>
      </c>
      <c r="U796" s="64">
        <f>Table1[[#This Row],[ActualAwayScore]]-Table1[[#This Row],[PredictedAwayScore]]</f>
        <v>0</v>
      </c>
      <c r="V796" s="64">
        <f>Table1[[#This Row],[ActualHomeScore]]-Table1[[#This Row],[PredictedHomeScore]]</f>
        <v>0</v>
      </c>
      <c r="W796" s="64">
        <f>(0.8*IF(Table1[[#This Row],[CorrectWinnerPrediction]]=1, 1, 0))+(0.1*IF(Table1[[#This Row],[CorrectAwayScorePrediction]]=1, 1, 0))+(0.1*IF(Table1[[#This Row],[CorrectHomeScorePrediction]]=1, 1, 0))</f>
        <v>0</v>
      </c>
      <c r="X79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96" s="64">
        <f>SUMIF(Table1[GameDate], Table1[[#This Row],[GameDate]], Table1[AwayGameGoalDiff])</f>
        <v>0</v>
      </c>
      <c r="AA796" s="64">
        <f>SUMIF(Table1[GameDate], Table1[[#This Row],[GameDate]], Table1[HomeGameGoalDiff])</f>
        <v>0</v>
      </c>
      <c r="AB796" s="64">
        <f>IF(ISBLANK(Table1[[#This Row],[ActualResult]]), 0, 1)</f>
        <v>0</v>
      </c>
      <c r="AC796" s="64">
        <f>IF(ISBLANK(Table1[[#This Row],[ActualResult]]), 0, IF(Table1[[#This Row],[ActualWinner]]=Table1[[#This Row],[PredictedWinner]], 1, 0))</f>
        <v>0</v>
      </c>
      <c r="AD79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9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96" s="64">
        <f>IF(AND(Table1[[#This Row],[GameIsOver]]=1,Table1[[#This Row],[ActualAwayScore]]=0), 1,0)</f>
        <v>0</v>
      </c>
      <c r="AG796" s="64">
        <f>IF(AND(Table1[[#This Row],[GameIsOver]]=1,Table1[[#This Row],[ActualHomeScore]]=0), 1,0)</f>
        <v>0</v>
      </c>
      <c r="AH796" s="64">
        <f>IF(Table1[[#This Row],[GameIsOver]]=0,0,IF(Table1[[#This Row],[ActualWinner]]=Table1[[#This Row],[AwayTeam]], 1, 0))</f>
        <v>0</v>
      </c>
      <c r="AI796" s="64">
        <f>IF(Table1[[#This Row],[GameIsOver]]=0,0,IF(Table1[[#This Row],[ActualWinner]]=Table1[[#This Row],[HomeTeam]], 1, 0))</f>
        <v>0</v>
      </c>
      <c r="AJ796" s="64">
        <f>IF(INDEX(Standings!$A$2:$C$33,MATCH(Table1[[#This Row],[AwayTeam]],Standings!$A$2:$A$33,0),2)=INDEX(Standings!$A$2:$C$33,MATCH(Table1[[#This Row],[HomeTeam]],Standings!$A$2:$A$33,0),2),1,0)</f>
        <v>0</v>
      </c>
      <c r="AK796" s="64">
        <f>IF(INDEX(Standings!$A$2:$C$33,MATCH(Table1[[#This Row],[AwayTeam]],Standings!$A$2:$A$33,0),3)=INDEX(Standings!$A$2:$C$33,MATCH(Table1[[#This Row],[HomeTeam]],Standings!$A$2:$A$33,0),3),1,0)</f>
        <v>0</v>
      </c>
      <c r="AL796" s="64">
        <f>IF(Table1[[#This Row],[InterConf]]=1,IF(Table1[[#This Row],[InterDiv]]=0, 1, 0), 0)</f>
        <v>0</v>
      </c>
      <c r="AM796" s="64">
        <f>IF(INDEX(Standings!$A$2:$C$33,MATCH(Table1[[#This Row],[AwayTeam]],Standings!$A$2:$A$33,0),2)&lt;&gt;INDEX(Standings!$A$2:$C$33,MATCH(Table1[[#This Row],[HomeTeam]],Standings!$A$2:$A$33,0),2),1,0)</f>
        <v>1</v>
      </c>
      <c r="AN796" s="64" t="str">
        <f>INDEX(Table2[AWAY_RECORD], MATCH(Table1[[#This Row],[AwayTeam]],Table2[Team], 0), 0)</f>
        <v>0-0-1</v>
      </c>
      <c r="AO796" s="64" t="str">
        <f>INDEX(Records!$B$2:$AG$33, MATCH(Table1[[#This Row],[AwayTeam]],Records!$A$2:$A$33, 0), MATCH(Table1[[#This Row],[HomeTeam]],Records!$A$2:$A$33, 0))</f>
        <v>0-0-0</v>
      </c>
      <c r="AP796" s="64" t="str">
        <f>INDEX(Table2[HOME_RECORD], MATCH(Table1[[#This Row],[HomeTeam]],Table2[Team], 0), 0)</f>
        <v>0-0-1</v>
      </c>
      <c r="AQ796" s="64" t="str">
        <f>INDEX(Records!$B$2:$AG$33, MATCH(Table1[[#This Row],[HomeTeam]],Records!$A$2:$A$33, 0), MATCH(Table1[[#This Row],[AwayTeam]],Records!$A$2:$A$33, 0))</f>
        <v>0-0-0</v>
      </c>
    </row>
    <row r="797" spans="1:43" x14ac:dyDescent="0.25">
      <c r="A797" s="1"/>
      <c r="D797" t="s">
        <v>1087</v>
      </c>
      <c r="E797" t="s">
        <v>166</v>
      </c>
      <c r="F797" t="s">
        <v>1093</v>
      </c>
      <c r="G797" t="s">
        <v>43</v>
      </c>
      <c r="H797" t="s">
        <v>16</v>
      </c>
      <c r="L79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9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97" s="1"/>
      <c r="T797" s="64" t="str">
        <f>IF(Table1[[#This Row],[ActualWinner]]="", "", IF(Table1[[#This Row],[AwayTeam]]=Table1[[#This Row],[ActualWinner]],Table1[[#This Row],[HomeTeam]],Table1[[#This Row],[AwayTeam]]))</f>
        <v/>
      </c>
      <c r="U797" s="64">
        <f>Table1[[#This Row],[ActualAwayScore]]-Table1[[#This Row],[PredictedAwayScore]]</f>
        <v>0</v>
      </c>
      <c r="V797" s="64">
        <f>Table1[[#This Row],[ActualHomeScore]]-Table1[[#This Row],[PredictedHomeScore]]</f>
        <v>0</v>
      </c>
      <c r="W797" s="64">
        <f>(0.8*IF(Table1[[#This Row],[CorrectWinnerPrediction]]=1, 1, 0))+(0.1*IF(Table1[[#This Row],[CorrectAwayScorePrediction]]=1, 1, 0))+(0.1*IF(Table1[[#This Row],[CorrectHomeScorePrediction]]=1, 1, 0))</f>
        <v>0</v>
      </c>
      <c r="X79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97" s="64">
        <f>SUMIF(Table1[GameDate], Table1[[#This Row],[GameDate]], Table1[AwayGameGoalDiff])</f>
        <v>0</v>
      </c>
      <c r="AA797" s="64">
        <f>SUMIF(Table1[GameDate], Table1[[#This Row],[GameDate]], Table1[HomeGameGoalDiff])</f>
        <v>0</v>
      </c>
      <c r="AB797" s="64">
        <f>IF(ISBLANK(Table1[[#This Row],[ActualResult]]), 0, 1)</f>
        <v>0</v>
      </c>
      <c r="AC797" s="64">
        <f>IF(ISBLANK(Table1[[#This Row],[ActualResult]]), 0, IF(Table1[[#This Row],[ActualWinner]]=Table1[[#This Row],[PredictedWinner]], 1, 0))</f>
        <v>0</v>
      </c>
      <c r="AD79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9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97" s="64">
        <f>IF(AND(Table1[[#This Row],[GameIsOver]]=1,Table1[[#This Row],[ActualAwayScore]]=0), 1,0)</f>
        <v>0</v>
      </c>
      <c r="AG797" s="64">
        <f>IF(AND(Table1[[#This Row],[GameIsOver]]=1,Table1[[#This Row],[ActualHomeScore]]=0), 1,0)</f>
        <v>0</v>
      </c>
      <c r="AH797" s="64">
        <f>IF(Table1[[#This Row],[GameIsOver]]=0,0,IF(Table1[[#This Row],[ActualWinner]]=Table1[[#This Row],[AwayTeam]], 1, 0))</f>
        <v>0</v>
      </c>
      <c r="AI797" s="64">
        <f>IF(Table1[[#This Row],[GameIsOver]]=0,0,IF(Table1[[#This Row],[ActualWinner]]=Table1[[#This Row],[HomeTeam]], 1, 0))</f>
        <v>0</v>
      </c>
      <c r="AJ797" s="64">
        <f>IF(INDEX(Standings!$A$2:$C$33,MATCH(Table1[[#This Row],[AwayTeam]],Standings!$A$2:$A$33,0),2)=INDEX(Standings!$A$2:$C$33,MATCH(Table1[[#This Row],[HomeTeam]],Standings!$A$2:$A$33,0),2),1,0)</f>
        <v>1</v>
      </c>
      <c r="AK797" s="64">
        <f>IF(INDEX(Standings!$A$2:$C$33,MATCH(Table1[[#This Row],[AwayTeam]],Standings!$A$2:$A$33,0),3)=INDEX(Standings!$A$2:$C$33,MATCH(Table1[[#This Row],[HomeTeam]],Standings!$A$2:$A$33,0),3),1,0)</f>
        <v>1</v>
      </c>
      <c r="AL797" s="64">
        <f>IF(Table1[[#This Row],[InterConf]]=1,IF(Table1[[#This Row],[InterDiv]]=0, 1, 0), 0)</f>
        <v>0</v>
      </c>
      <c r="AM797" s="64">
        <f>IF(INDEX(Standings!$A$2:$C$33,MATCH(Table1[[#This Row],[AwayTeam]],Standings!$A$2:$A$33,0),2)&lt;&gt;INDEX(Standings!$A$2:$C$33,MATCH(Table1[[#This Row],[HomeTeam]],Standings!$A$2:$A$33,0),2),1,0)</f>
        <v>0</v>
      </c>
      <c r="AN797" s="64" t="str">
        <f>INDEX(Table2[AWAY_RECORD], MATCH(Table1[[#This Row],[AwayTeam]],Table2[Team], 0), 0)</f>
        <v>0-0-0</v>
      </c>
      <c r="AO797" s="64" t="str">
        <f>INDEX(Records!$B$2:$AG$33, MATCH(Table1[[#This Row],[AwayTeam]],Records!$A$2:$A$33, 0), MATCH(Table1[[#This Row],[HomeTeam]],Records!$A$2:$A$33, 0))</f>
        <v>0-0-0</v>
      </c>
      <c r="AP797" s="64" t="str">
        <f>INDEX(Table2[HOME_RECORD], MATCH(Table1[[#This Row],[HomeTeam]],Table2[Team], 0), 0)</f>
        <v>0-0-0</v>
      </c>
      <c r="AQ797" s="64" t="str">
        <f>INDEX(Records!$B$2:$AG$33, MATCH(Table1[[#This Row],[HomeTeam]],Records!$A$2:$A$33, 0), MATCH(Table1[[#This Row],[AwayTeam]],Records!$A$2:$A$33, 0))</f>
        <v>0-0-0</v>
      </c>
    </row>
    <row r="798" spans="1:43" x14ac:dyDescent="0.25">
      <c r="A798" s="1"/>
      <c r="D798" t="s">
        <v>1094</v>
      </c>
      <c r="E798" t="s">
        <v>298</v>
      </c>
      <c r="F798" t="s">
        <v>1095</v>
      </c>
      <c r="G798" t="s">
        <v>45</v>
      </c>
      <c r="H798" t="s">
        <v>25</v>
      </c>
      <c r="L79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9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98" s="1"/>
      <c r="T798" s="64" t="str">
        <f>IF(Table1[[#This Row],[ActualWinner]]="", "", IF(Table1[[#This Row],[AwayTeam]]=Table1[[#This Row],[ActualWinner]],Table1[[#This Row],[HomeTeam]],Table1[[#This Row],[AwayTeam]]))</f>
        <v/>
      </c>
      <c r="U798" s="64">
        <f>Table1[[#This Row],[ActualAwayScore]]-Table1[[#This Row],[PredictedAwayScore]]</f>
        <v>0</v>
      </c>
      <c r="V798" s="64">
        <f>Table1[[#This Row],[ActualHomeScore]]-Table1[[#This Row],[PredictedHomeScore]]</f>
        <v>0</v>
      </c>
      <c r="W798" s="64">
        <f>(0.8*IF(Table1[[#This Row],[CorrectWinnerPrediction]]=1, 1, 0))+(0.1*IF(Table1[[#This Row],[CorrectAwayScorePrediction]]=1, 1, 0))+(0.1*IF(Table1[[#This Row],[CorrectHomeScorePrediction]]=1, 1, 0))</f>
        <v>0</v>
      </c>
      <c r="X79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98" s="64">
        <f>SUMIF(Table1[GameDate], Table1[[#This Row],[GameDate]], Table1[AwayGameGoalDiff])</f>
        <v>0</v>
      </c>
      <c r="AA798" s="64">
        <f>SUMIF(Table1[GameDate], Table1[[#This Row],[GameDate]], Table1[HomeGameGoalDiff])</f>
        <v>0</v>
      </c>
      <c r="AB798" s="64">
        <f>IF(ISBLANK(Table1[[#This Row],[ActualResult]]), 0, 1)</f>
        <v>0</v>
      </c>
      <c r="AC798" s="64">
        <f>IF(ISBLANK(Table1[[#This Row],[ActualResult]]), 0, IF(Table1[[#This Row],[ActualWinner]]=Table1[[#This Row],[PredictedWinner]], 1, 0))</f>
        <v>0</v>
      </c>
      <c r="AD79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9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98" s="64">
        <f>IF(AND(Table1[[#This Row],[GameIsOver]]=1,Table1[[#This Row],[ActualAwayScore]]=0), 1,0)</f>
        <v>0</v>
      </c>
      <c r="AG798" s="64">
        <f>IF(AND(Table1[[#This Row],[GameIsOver]]=1,Table1[[#This Row],[ActualHomeScore]]=0), 1,0)</f>
        <v>0</v>
      </c>
      <c r="AH798" s="64">
        <f>IF(Table1[[#This Row],[GameIsOver]]=0,0,IF(Table1[[#This Row],[ActualWinner]]=Table1[[#This Row],[AwayTeam]], 1, 0))</f>
        <v>0</v>
      </c>
      <c r="AI798" s="64">
        <f>IF(Table1[[#This Row],[GameIsOver]]=0,0,IF(Table1[[#This Row],[ActualWinner]]=Table1[[#This Row],[HomeTeam]], 1, 0))</f>
        <v>0</v>
      </c>
      <c r="AJ798" s="64">
        <f>IF(INDEX(Standings!$A$2:$C$33,MATCH(Table1[[#This Row],[AwayTeam]],Standings!$A$2:$A$33,0),2)=INDEX(Standings!$A$2:$C$33,MATCH(Table1[[#This Row],[HomeTeam]],Standings!$A$2:$A$33,0),2),1,0)</f>
        <v>1</v>
      </c>
      <c r="AK798" s="64">
        <f>IF(INDEX(Standings!$A$2:$C$33,MATCH(Table1[[#This Row],[AwayTeam]],Standings!$A$2:$A$33,0),3)=INDEX(Standings!$A$2:$C$33,MATCH(Table1[[#This Row],[HomeTeam]],Standings!$A$2:$A$33,0),3),1,0)</f>
        <v>1</v>
      </c>
      <c r="AL798" s="64">
        <f>IF(Table1[[#This Row],[InterConf]]=1,IF(Table1[[#This Row],[InterDiv]]=0, 1, 0), 0)</f>
        <v>0</v>
      </c>
      <c r="AM798" s="64">
        <f>IF(INDEX(Standings!$A$2:$C$33,MATCH(Table1[[#This Row],[AwayTeam]],Standings!$A$2:$A$33,0),2)&lt;&gt;INDEX(Standings!$A$2:$C$33,MATCH(Table1[[#This Row],[HomeTeam]],Standings!$A$2:$A$33,0),2),1,0)</f>
        <v>0</v>
      </c>
      <c r="AN798" s="64" t="str">
        <f>INDEX(Table2[AWAY_RECORD], MATCH(Table1[[#This Row],[AwayTeam]],Table2[Team], 0), 0)</f>
        <v>1-0-0</v>
      </c>
      <c r="AO798" s="64" t="str">
        <f>INDEX(Records!$B$2:$AG$33, MATCH(Table1[[#This Row],[AwayTeam]],Records!$A$2:$A$33, 0), MATCH(Table1[[#This Row],[HomeTeam]],Records!$A$2:$A$33, 0))</f>
        <v>0-0-0</v>
      </c>
      <c r="AP798" s="64" t="str">
        <f>INDEX(Table2[HOME_RECORD], MATCH(Table1[[#This Row],[HomeTeam]],Table2[Team], 0), 0)</f>
        <v>0-0-1</v>
      </c>
      <c r="AQ798" s="64" t="str">
        <f>INDEX(Records!$B$2:$AG$33, MATCH(Table1[[#This Row],[HomeTeam]],Records!$A$2:$A$33, 0), MATCH(Table1[[#This Row],[AwayTeam]],Records!$A$2:$A$33, 0))</f>
        <v>0-0-0</v>
      </c>
    </row>
    <row r="799" spans="1:43" x14ac:dyDescent="0.25">
      <c r="A799" s="1"/>
      <c r="D799" t="s">
        <v>1094</v>
      </c>
      <c r="E799" t="s">
        <v>162</v>
      </c>
      <c r="F799" t="s">
        <v>1096</v>
      </c>
      <c r="G799" t="s">
        <v>56</v>
      </c>
      <c r="H799" t="s">
        <v>38</v>
      </c>
      <c r="L79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79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799" s="1"/>
      <c r="T799" s="64" t="str">
        <f>IF(Table1[[#This Row],[ActualWinner]]="", "", IF(Table1[[#This Row],[AwayTeam]]=Table1[[#This Row],[ActualWinner]],Table1[[#This Row],[HomeTeam]],Table1[[#This Row],[AwayTeam]]))</f>
        <v/>
      </c>
      <c r="U799" s="64">
        <f>Table1[[#This Row],[ActualAwayScore]]-Table1[[#This Row],[PredictedAwayScore]]</f>
        <v>0</v>
      </c>
      <c r="V799" s="64">
        <f>Table1[[#This Row],[ActualHomeScore]]-Table1[[#This Row],[PredictedHomeScore]]</f>
        <v>0</v>
      </c>
      <c r="W799" s="64">
        <f>(0.8*IF(Table1[[#This Row],[CorrectWinnerPrediction]]=1, 1, 0))+(0.1*IF(Table1[[#This Row],[CorrectAwayScorePrediction]]=1, 1, 0))+(0.1*IF(Table1[[#This Row],[CorrectHomeScorePrediction]]=1, 1, 0))</f>
        <v>0</v>
      </c>
      <c r="X79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799" s="64">
        <f>SUMIF(Table1[GameDate], Table1[[#This Row],[GameDate]], Table1[AwayGameGoalDiff])</f>
        <v>0</v>
      </c>
      <c r="AA799" s="64">
        <f>SUMIF(Table1[GameDate], Table1[[#This Row],[GameDate]], Table1[HomeGameGoalDiff])</f>
        <v>0</v>
      </c>
      <c r="AB799" s="64">
        <f>IF(ISBLANK(Table1[[#This Row],[ActualResult]]), 0, 1)</f>
        <v>0</v>
      </c>
      <c r="AC799" s="64">
        <f>IF(ISBLANK(Table1[[#This Row],[ActualResult]]), 0, IF(Table1[[#This Row],[ActualWinner]]=Table1[[#This Row],[PredictedWinner]], 1, 0))</f>
        <v>0</v>
      </c>
      <c r="AD79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9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99" s="64">
        <f>IF(AND(Table1[[#This Row],[GameIsOver]]=1,Table1[[#This Row],[ActualAwayScore]]=0), 1,0)</f>
        <v>0</v>
      </c>
      <c r="AG799" s="64">
        <f>IF(AND(Table1[[#This Row],[GameIsOver]]=1,Table1[[#This Row],[ActualHomeScore]]=0), 1,0)</f>
        <v>0</v>
      </c>
      <c r="AH799" s="64">
        <f>IF(Table1[[#This Row],[GameIsOver]]=0,0,IF(Table1[[#This Row],[ActualWinner]]=Table1[[#This Row],[AwayTeam]], 1, 0))</f>
        <v>0</v>
      </c>
      <c r="AI799" s="64">
        <f>IF(Table1[[#This Row],[GameIsOver]]=0,0,IF(Table1[[#This Row],[ActualWinner]]=Table1[[#This Row],[HomeTeam]], 1, 0))</f>
        <v>0</v>
      </c>
      <c r="AJ799" s="64">
        <f>IF(INDEX(Standings!$A$2:$C$33,MATCH(Table1[[#This Row],[AwayTeam]],Standings!$A$2:$A$33,0),2)=INDEX(Standings!$A$2:$C$33,MATCH(Table1[[#This Row],[HomeTeam]],Standings!$A$2:$A$33,0),2),1,0)</f>
        <v>0</v>
      </c>
      <c r="AK799" s="64">
        <f>IF(INDEX(Standings!$A$2:$C$33,MATCH(Table1[[#This Row],[AwayTeam]],Standings!$A$2:$A$33,0),3)=INDEX(Standings!$A$2:$C$33,MATCH(Table1[[#This Row],[HomeTeam]],Standings!$A$2:$A$33,0),3),1,0)</f>
        <v>0</v>
      </c>
      <c r="AL799" s="64">
        <f>IF(Table1[[#This Row],[InterConf]]=1,IF(Table1[[#This Row],[InterDiv]]=0, 1, 0), 0)</f>
        <v>0</v>
      </c>
      <c r="AM799" s="64">
        <f>IF(INDEX(Standings!$A$2:$C$33,MATCH(Table1[[#This Row],[AwayTeam]],Standings!$A$2:$A$33,0),2)&lt;&gt;INDEX(Standings!$A$2:$C$33,MATCH(Table1[[#This Row],[HomeTeam]],Standings!$A$2:$A$33,0),2),1,0)</f>
        <v>1</v>
      </c>
      <c r="AN799" s="64" t="str">
        <f>INDEX(Table2[AWAY_RECORD], MATCH(Table1[[#This Row],[AwayTeam]],Table2[Team], 0), 0)</f>
        <v>1-0-0</v>
      </c>
      <c r="AO799" s="64" t="str">
        <f>INDEX(Records!$B$2:$AG$33, MATCH(Table1[[#This Row],[AwayTeam]],Records!$A$2:$A$33, 0), MATCH(Table1[[#This Row],[HomeTeam]],Records!$A$2:$A$33, 0))</f>
        <v>0-0-0</v>
      </c>
      <c r="AP799" s="64" t="str">
        <f>INDEX(Table2[HOME_RECORD], MATCH(Table1[[#This Row],[HomeTeam]],Table2[Team], 0), 0)</f>
        <v>0-0-0</v>
      </c>
      <c r="AQ799" s="64" t="str">
        <f>INDEX(Records!$B$2:$AG$33, MATCH(Table1[[#This Row],[HomeTeam]],Records!$A$2:$A$33, 0), MATCH(Table1[[#This Row],[AwayTeam]],Records!$A$2:$A$33, 0))</f>
        <v>0-0-0</v>
      </c>
    </row>
    <row r="800" spans="1:43" x14ac:dyDescent="0.25">
      <c r="A800" s="1"/>
      <c r="D800" t="s">
        <v>1094</v>
      </c>
      <c r="E800" t="s">
        <v>162</v>
      </c>
      <c r="F800" t="s">
        <v>1097</v>
      </c>
      <c r="G800" t="s">
        <v>61</v>
      </c>
      <c r="H800" t="s">
        <v>47</v>
      </c>
      <c r="L80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0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00" s="1"/>
      <c r="T800" s="64" t="str">
        <f>IF(Table1[[#This Row],[ActualWinner]]="", "", IF(Table1[[#This Row],[AwayTeam]]=Table1[[#This Row],[ActualWinner]],Table1[[#This Row],[HomeTeam]],Table1[[#This Row],[AwayTeam]]))</f>
        <v/>
      </c>
      <c r="U800" s="64">
        <f>Table1[[#This Row],[ActualAwayScore]]-Table1[[#This Row],[PredictedAwayScore]]</f>
        <v>0</v>
      </c>
      <c r="V800" s="64">
        <f>Table1[[#This Row],[ActualHomeScore]]-Table1[[#This Row],[PredictedHomeScore]]</f>
        <v>0</v>
      </c>
      <c r="W800" s="64">
        <f>(0.8*IF(Table1[[#This Row],[CorrectWinnerPrediction]]=1, 1, 0))+(0.1*IF(Table1[[#This Row],[CorrectAwayScorePrediction]]=1, 1, 0))+(0.1*IF(Table1[[#This Row],[CorrectHomeScorePrediction]]=1, 1, 0))</f>
        <v>0</v>
      </c>
      <c r="X80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00" s="64">
        <f>SUMIF(Table1[GameDate], Table1[[#This Row],[GameDate]], Table1[AwayGameGoalDiff])</f>
        <v>0</v>
      </c>
      <c r="AA800" s="64">
        <f>SUMIF(Table1[GameDate], Table1[[#This Row],[GameDate]], Table1[HomeGameGoalDiff])</f>
        <v>0</v>
      </c>
      <c r="AB800" s="64">
        <f>IF(ISBLANK(Table1[[#This Row],[ActualResult]]), 0, 1)</f>
        <v>0</v>
      </c>
      <c r="AC800" s="64">
        <f>IF(ISBLANK(Table1[[#This Row],[ActualResult]]), 0, IF(Table1[[#This Row],[ActualWinner]]=Table1[[#This Row],[PredictedWinner]], 1, 0))</f>
        <v>0</v>
      </c>
      <c r="AD80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0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00" s="64">
        <f>IF(AND(Table1[[#This Row],[GameIsOver]]=1,Table1[[#This Row],[ActualAwayScore]]=0), 1,0)</f>
        <v>0</v>
      </c>
      <c r="AG800" s="64">
        <f>IF(AND(Table1[[#This Row],[GameIsOver]]=1,Table1[[#This Row],[ActualHomeScore]]=0), 1,0)</f>
        <v>0</v>
      </c>
      <c r="AH800" s="64">
        <f>IF(Table1[[#This Row],[GameIsOver]]=0,0,IF(Table1[[#This Row],[ActualWinner]]=Table1[[#This Row],[AwayTeam]], 1, 0))</f>
        <v>0</v>
      </c>
      <c r="AI800" s="64">
        <f>IF(Table1[[#This Row],[GameIsOver]]=0,0,IF(Table1[[#This Row],[ActualWinner]]=Table1[[#This Row],[HomeTeam]], 1, 0))</f>
        <v>0</v>
      </c>
      <c r="AJ800" s="64">
        <f>IF(INDEX(Standings!$A$2:$C$33,MATCH(Table1[[#This Row],[AwayTeam]],Standings!$A$2:$A$33,0),2)=INDEX(Standings!$A$2:$C$33,MATCH(Table1[[#This Row],[HomeTeam]],Standings!$A$2:$A$33,0),2),1,0)</f>
        <v>0</v>
      </c>
      <c r="AK800" s="64">
        <f>IF(INDEX(Standings!$A$2:$C$33,MATCH(Table1[[#This Row],[AwayTeam]],Standings!$A$2:$A$33,0),3)=INDEX(Standings!$A$2:$C$33,MATCH(Table1[[#This Row],[HomeTeam]],Standings!$A$2:$A$33,0),3),1,0)</f>
        <v>0</v>
      </c>
      <c r="AL800" s="64">
        <f>IF(Table1[[#This Row],[InterConf]]=1,IF(Table1[[#This Row],[InterDiv]]=0, 1, 0), 0)</f>
        <v>0</v>
      </c>
      <c r="AM800" s="64">
        <f>IF(INDEX(Standings!$A$2:$C$33,MATCH(Table1[[#This Row],[AwayTeam]],Standings!$A$2:$A$33,0),2)&lt;&gt;INDEX(Standings!$A$2:$C$33,MATCH(Table1[[#This Row],[HomeTeam]],Standings!$A$2:$A$33,0),2),1,0)</f>
        <v>1</v>
      </c>
      <c r="AN800" s="64" t="str">
        <f>INDEX(Table2[AWAY_RECORD], MATCH(Table1[[#This Row],[AwayTeam]],Table2[Team], 0), 0)</f>
        <v>0-0-0</v>
      </c>
      <c r="AO800" s="64" t="str">
        <f>INDEX(Records!$B$2:$AG$33, MATCH(Table1[[#This Row],[AwayTeam]],Records!$A$2:$A$33, 0), MATCH(Table1[[#This Row],[HomeTeam]],Records!$A$2:$A$33, 0))</f>
        <v>0-0-0</v>
      </c>
      <c r="AP800" s="64" t="str">
        <f>INDEX(Table2[HOME_RECORD], MATCH(Table1[[#This Row],[HomeTeam]],Table2[Team], 0), 0)</f>
        <v>0-0-0</v>
      </c>
      <c r="AQ800" s="64" t="str">
        <f>INDEX(Records!$B$2:$AG$33, MATCH(Table1[[#This Row],[HomeTeam]],Records!$A$2:$A$33, 0), MATCH(Table1[[#This Row],[AwayTeam]],Records!$A$2:$A$33, 0))</f>
        <v>0-0-0</v>
      </c>
    </row>
    <row r="801" spans="1:43" x14ac:dyDescent="0.25">
      <c r="A801" s="1"/>
      <c r="D801" t="s">
        <v>1094</v>
      </c>
      <c r="E801" t="s">
        <v>162</v>
      </c>
      <c r="F801" t="s">
        <v>1098</v>
      </c>
      <c r="G801" t="s">
        <v>40</v>
      </c>
      <c r="H801" t="s">
        <v>17</v>
      </c>
      <c r="L80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0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01" s="1"/>
      <c r="T801" s="64" t="str">
        <f>IF(Table1[[#This Row],[ActualWinner]]="", "", IF(Table1[[#This Row],[AwayTeam]]=Table1[[#This Row],[ActualWinner]],Table1[[#This Row],[HomeTeam]],Table1[[#This Row],[AwayTeam]]))</f>
        <v/>
      </c>
      <c r="U801" s="64">
        <f>Table1[[#This Row],[ActualAwayScore]]-Table1[[#This Row],[PredictedAwayScore]]</f>
        <v>0</v>
      </c>
      <c r="V801" s="64">
        <f>Table1[[#This Row],[ActualHomeScore]]-Table1[[#This Row],[PredictedHomeScore]]</f>
        <v>0</v>
      </c>
      <c r="W801" s="64">
        <f>(0.8*IF(Table1[[#This Row],[CorrectWinnerPrediction]]=1, 1, 0))+(0.1*IF(Table1[[#This Row],[CorrectAwayScorePrediction]]=1, 1, 0))+(0.1*IF(Table1[[#This Row],[CorrectHomeScorePrediction]]=1, 1, 0))</f>
        <v>0</v>
      </c>
      <c r="X80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01" s="64">
        <f>SUMIF(Table1[GameDate], Table1[[#This Row],[GameDate]], Table1[AwayGameGoalDiff])</f>
        <v>0</v>
      </c>
      <c r="AA801" s="64">
        <f>SUMIF(Table1[GameDate], Table1[[#This Row],[GameDate]], Table1[HomeGameGoalDiff])</f>
        <v>0</v>
      </c>
      <c r="AB801" s="64">
        <f>IF(ISBLANK(Table1[[#This Row],[ActualResult]]), 0, 1)</f>
        <v>0</v>
      </c>
      <c r="AC801" s="64">
        <f>IF(ISBLANK(Table1[[#This Row],[ActualResult]]), 0, IF(Table1[[#This Row],[ActualWinner]]=Table1[[#This Row],[PredictedWinner]], 1, 0))</f>
        <v>0</v>
      </c>
      <c r="AD80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0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01" s="64">
        <f>IF(AND(Table1[[#This Row],[GameIsOver]]=1,Table1[[#This Row],[ActualAwayScore]]=0), 1,0)</f>
        <v>0</v>
      </c>
      <c r="AG801" s="64">
        <f>IF(AND(Table1[[#This Row],[GameIsOver]]=1,Table1[[#This Row],[ActualHomeScore]]=0), 1,0)</f>
        <v>0</v>
      </c>
      <c r="AH801" s="64">
        <f>IF(Table1[[#This Row],[GameIsOver]]=0,0,IF(Table1[[#This Row],[ActualWinner]]=Table1[[#This Row],[AwayTeam]], 1, 0))</f>
        <v>0</v>
      </c>
      <c r="AI801" s="64">
        <f>IF(Table1[[#This Row],[GameIsOver]]=0,0,IF(Table1[[#This Row],[ActualWinner]]=Table1[[#This Row],[HomeTeam]], 1, 0))</f>
        <v>0</v>
      </c>
      <c r="AJ801" s="64">
        <f>IF(INDEX(Standings!$A$2:$C$33,MATCH(Table1[[#This Row],[AwayTeam]],Standings!$A$2:$A$33,0),2)=INDEX(Standings!$A$2:$C$33,MATCH(Table1[[#This Row],[HomeTeam]],Standings!$A$2:$A$33,0),2),1,0)</f>
        <v>1</v>
      </c>
      <c r="AK801" s="64">
        <f>IF(INDEX(Standings!$A$2:$C$33,MATCH(Table1[[#This Row],[AwayTeam]],Standings!$A$2:$A$33,0),3)=INDEX(Standings!$A$2:$C$33,MATCH(Table1[[#This Row],[HomeTeam]],Standings!$A$2:$A$33,0),3),1,0)</f>
        <v>0</v>
      </c>
      <c r="AL801" s="64">
        <f>IF(Table1[[#This Row],[InterConf]]=1,IF(Table1[[#This Row],[InterDiv]]=0, 1, 0), 0)</f>
        <v>1</v>
      </c>
      <c r="AM801" s="64">
        <f>IF(INDEX(Standings!$A$2:$C$33,MATCH(Table1[[#This Row],[AwayTeam]],Standings!$A$2:$A$33,0),2)&lt;&gt;INDEX(Standings!$A$2:$C$33,MATCH(Table1[[#This Row],[HomeTeam]],Standings!$A$2:$A$33,0),2),1,0)</f>
        <v>0</v>
      </c>
      <c r="AN801" s="64" t="str">
        <f>INDEX(Table2[AWAY_RECORD], MATCH(Table1[[#This Row],[AwayTeam]],Table2[Team], 0), 0)</f>
        <v>0-0-0</v>
      </c>
      <c r="AO801" s="64" t="str">
        <f>INDEX(Records!$B$2:$AG$33, MATCH(Table1[[#This Row],[AwayTeam]],Records!$A$2:$A$33, 0), MATCH(Table1[[#This Row],[HomeTeam]],Records!$A$2:$A$33, 0))</f>
        <v>0-1-0</v>
      </c>
      <c r="AP801" s="64" t="str">
        <f>INDEX(Table2[HOME_RECORD], MATCH(Table1[[#This Row],[HomeTeam]],Table2[Team], 0), 0)</f>
        <v>0-0-0</v>
      </c>
      <c r="AQ801" s="64" t="str">
        <f>INDEX(Records!$B$2:$AG$33, MATCH(Table1[[#This Row],[HomeTeam]],Records!$A$2:$A$33, 0), MATCH(Table1[[#This Row],[AwayTeam]],Records!$A$2:$A$33, 0))</f>
        <v>1-0-0</v>
      </c>
    </row>
    <row r="802" spans="1:43" x14ac:dyDescent="0.25">
      <c r="A802" s="1"/>
      <c r="D802" t="s">
        <v>1094</v>
      </c>
      <c r="E802" t="s">
        <v>162</v>
      </c>
      <c r="F802" t="s">
        <v>1099</v>
      </c>
      <c r="G802" t="s">
        <v>57</v>
      </c>
      <c r="H802" t="s">
        <v>49</v>
      </c>
      <c r="L80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0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02" s="1"/>
      <c r="T802" s="64" t="str">
        <f>IF(Table1[[#This Row],[ActualWinner]]="", "", IF(Table1[[#This Row],[AwayTeam]]=Table1[[#This Row],[ActualWinner]],Table1[[#This Row],[HomeTeam]],Table1[[#This Row],[AwayTeam]]))</f>
        <v/>
      </c>
      <c r="U802" s="64">
        <f>Table1[[#This Row],[ActualAwayScore]]-Table1[[#This Row],[PredictedAwayScore]]</f>
        <v>0</v>
      </c>
      <c r="V802" s="64">
        <f>Table1[[#This Row],[ActualHomeScore]]-Table1[[#This Row],[PredictedHomeScore]]</f>
        <v>0</v>
      </c>
      <c r="W802" s="64">
        <f>(0.8*IF(Table1[[#This Row],[CorrectWinnerPrediction]]=1, 1, 0))+(0.1*IF(Table1[[#This Row],[CorrectAwayScorePrediction]]=1, 1, 0))+(0.1*IF(Table1[[#This Row],[CorrectHomeScorePrediction]]=1, 1, 0))</f>
        <v>0</v>
      </c>
      <c r="X80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02" s="64">
        <f>SUMIF(Table1[GameDate], Table1[[#This Row],[GameDate]], Table1[AwayGameGoalDiff])</f>
        <v>0</v>
      </c>
      <c r="AA802" s="64">
        <f>SUMIF(Table1[GameDate], Table1[[#This Row],[GameDate]], Table1[HomeGameGoalDiff])</f>
        <v>0</v>
      </c>
      <c r="AB802" s="64">
        <f>IF(ISBLANK(Table1[[#This Row],[ActualResult]]), 0, 1)</f>
        <v>0</v>
      </c>
      <c r="AC802" s="64">
        <f>IF(ISBLANK(Table1[[#This Row],[ActualResult]]), 0, IF(Table1[[#This Row],[ActualWinner]]=Table1[[#This Row],[PredictedWinner]], 1, 0))</f>
        <v>0</v>
      </c>
      <c r="AD80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0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02" s="64">
        <f>IF(AND(Table1[[#This Row],[GameIsOver]]=1,Table1[[#This Row],[ActualAwayScore]]=0), 1,0)</f>
        <v>0</v>
      </c>
      <c r="AG802" s="64">
        <f>IF(AND(Table1[[#This Row],[GameIsOver]]=1,Table1[[#This Row],[ActualHomeScore]]=0), 1,0)</f>
        <v>0</v>
      </c>
      <c r="AH802" s="64">
        <f>IF(Table1[[#This Row],[GameIsOver]]=0,0,IF(Table1[[#This Row],[ActualWinner]]=Table1[[#This Row],[AwayTeam]], 1, 0))</f>
        <v>0</v>
      </c>
      <c r="AI802" s="64">
        <f>IF(Table1[[#This Row],[GameIsOver]]=0,0,IF(Table1[[#This Row],[ActualWinner]]=Table1[[#This Row],[HomeTeam]], 1, 0))</f>
        <v>0</v>
      </c>
      <c r="AJ802" s="64">
        <f>IF(INDEX(Standings!$A$2:$C$33,MATCH(Table1[[#This Row],[AwayTeam]],Standings!$A$2:$A$33,0),2)=INDEX(Standings!$A$2:$C$33,MATCH(Table1[[#This Row],[HomeTeam]],Standings!$A$2:$A$33,0),2),1,0)</f>
        <v>1</v>
      </c>
      <c r="AK802" s="64">
        <f>IF(INDEX(Standings!$A$2:$C$33,MATCH(Table1[[#This Row],[AwayTeam]],Standings!$A$2:$A$33,0),3)=INDEX(Standings!$A$2:$C$33,MATCH(Table1[[#This Row],[HomeTeam]],Standings!$A$2:$A$33,0),3),1,0)</f>
        <v>0</v>
      </c>
      <c r="AL802" s="64">
        <f>IF(Table1[[#This Row],[InterConf]]=1,IF(Table1[[#This Row],[InterDiv]]=0, 1, 0), 0)</f>
        <v>1</v>
      </c>
      <c r="AM802" s="64">
        <f>IF(INDEX(Standings!$A$2:$C$33,MATCH(Table1[[#This Row],[AwayTeam]],Standings!$A$2:$A$33,0),2)&lt;&gt;INDEX(Standings!$A$2:$C$33,MATCH(Table1[[#This Row],[HomeTeam]],Standings!$A$2:$A$33,0),2),1,0)</f>
        <v>0</v>
      </c>
      <c r="AN802" s="64" t="str">
        <f>INDEX(Table2[AWAY_RECORD], MATCH(Table1[[#This Row],[AwayTeam]],Table2[Team], 0), 0)</f>
        <v>0-1-0</v>
      </c>
      <c r="AO802" s="64" t="str">
        <f>INDEX(Records!$B$2:$AG$33, MATCH(Table1[[#This Row],[AwayTeam]],Records!$A$2:$A$33, 0), MATCH(Table1[[#This Row],[HomeTeam]],Records!$A$2:$A$33, 0))</f>
        <v>0-0-0</v>
      </c>
      <c r="AP802" s="64" t="str">
        <f>INDEX(Table2[HOME_RECORD], MATCH(Table1[[#This Row],[HomeTeam]],Table2[Team], 0), 0)</f>
        <v>1-0-0</v>
      </c>
      <c r="AQ802" s="64" t="str">
        <f>INDEX(Records!$B$2:$AG$33, MATCH(Table1[[#This Row],[HomeTeam]],Records!$A$2:$A$33, 0), MATCH(Table1[[#This Row],[AwayTeam]],Records!$A$2:$A$33, 0))</f>
        <v>0-0-0</v>
      </c>
    </row>
    <row r="803" spans="1:43" x14ac:dyDescent="0.25">
      <c r="A803" s="1"/>
      <c r="D803" t="s">
        <v>1094</v>
      </c>
      <c r="E803" t="s">
        <v>162</v>
      </c>
      <c r="F803" t="s">
        <v>1100</v>
      </c>
      <c r="G803" t="s">
        <v>48</v>
      </c>
      <c r="H803" t="s">
        <v>53</v>
      </c>
      <c r="L80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0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03" s="1"/>
      <c r="T803" s="64" t="str">
        <f>IF(Table1[[#This Row],[ActualWinner]]="", "", IF(Table1[[#This Row],[AwayTeam]]=Table1[[#This Row],[ActualWinner]],Table1[[#This Row],[HomeTeam]],Table1[[#This Row],[AwayTeam]]))</f>
        <v/>
      </c>
      <c r="U803" s="64">
        <f>Table1[[#This Row],[ActualAwayScore]]-Table1[[#This Row],[PredictedAwayScore]]</f>
        <v>0</v>
      </c>
      <c r="V803" s="64">
        <f>Table1[[#This Row],[ActualHomeScore]]-Table1[[#This Row],[PredictedHomeScore]]</f>
        <v>0</v>
      </c>
      <c r="W803" s="64">
        <f>(0.8*IF(Table1[[#This Row],[CorrectWinnerPrediction]]=1, 1, 0))+(0.1*IF(Table1[[#This Row],[CorrectAwayScorePrediction]]=1, 1, 0))+(0.1*IF(Table1[[#This Row],[CorrectHomeScorePrediction]]=1, 1, 0))</f>
        <v>0</v>
      </c>
      <c r="X80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03" s="64">
        <f>SUMIF(Table1[GameDate], Table1[[#This Row],[GameDate]], Table1[AwayGameGoalDiff])</f>
        <v>0</v>
      </c>
      <c r="AA803" s="64">
        <f>SUMIF(Table1[GameDate], Table1[[#This Row],[GameDate]], Table1[HomeGameGoalDiff])</f>
        <v>0</v>
      </c>
      <c r="AB803" s="64">
        <f>IF(ISBLANK(Table1[[#This Row],[ActualResult]]), 0, 1)</f>
        <v>0</v>
      </c>
      <c r="AC803" s="64">
        <f>IF(ISBLANK(Table1[[#This Row],[ActualResult]]), 0, IF(Table1[[#This Row],[ActualWinner]]=Table1[[#This Row],[PredictedWinner]], 1, 0))</f>
        <v>0</v>
      </c>
      <c r="AD80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0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03" s="64">
        <f>IF(AND(Table1[[#This Row],[GameIsOver]]=1,Table1[[#This Row],[ActualAwayScore]]=0), 1,0)</f>
        <v>0</v>
      </c>
      <c r="AG803" s="64">
        <f>IF(AND(Table1[[#This Row],[GameIsOver]]=1,Table1[[#This Row],[ActualHomeScore]]=0), 1,0)</f>
        <v>0</v>
      </c>
      <c r="AH803" s="64">
        <f>IF(Table1[[#This Row],[GameIsOver]]=0,0,IF(Table1[[#This Row],[ActualWinner]]=Table1[[#This Row],[AwayTeam]], 1, 0))</f>
        <v>0</v>
      </c>
      <c r="AI803" s="64">
        <f>IF(Table1[[#This Row],[GameIsOver]]=0,0,IF(Table1[[#This Row],[ActualWinner]]=Table1[[#This Row],[HomeTeam]], 1, 0))</f>
        <v>0</v>
      </c>
      <c r="AJ803" s="64">
        <f>IF(INDEX(Standings!$A$2:$C$33,MATCH(Table1[[#This Row],[AwayTeam]],Standings!$A$2:$A$33,0),2)=INDEX(Standings!$A$2:$C$33,MATCH(Table1[[#This Row],[HomeTeam]],Standings!$A$2:$A$33,0),2),1,0)</f>
        <v>0</v>
      </c>
      <c r="AK803" s="64">
        <f>IF(INDEX(Standings!$A$2:$C$33,MATCH(Table1[[#This Row],[AwayTeam]],Standings!$A$2:$A$33,0),3)=INDEX(Standings!$A$2:$C$33,MATCH(Table1[[#This Row],[HomeTeam]],Standings!$A$2:$A$33,0),3),1,0)</f>
        <v>0</v>
      </c>
      <c r="AL803" s="64">
        <f>IF(Table1[[#This Row],[InterConf]]=1,IF(Table1[[#This Row],[InterDiv]]=0, 1, 0), 0)</f>
        <v>0</v>
      </c>
      <c r="AM803" s="64">
        <f>IF(INDEX(Standings!$A$2:$C$33,MATCH(Table1[[#This Row],[AwayTeam]],Standings!$A$2:$A$33,0),2)&lt;&gt;INDEX(Standings!$A$2:$C$33,MATCH(Table1[[#This Row],[HomeTeam]],Standings!$A$2:$A$33,0),2),1,0)</f>
        <v>1</v>
      </c>
      <c r="AN803" s="64" t="str">
        <f>INDEX(Table2[AWAY_RECORD], MATCH(Table1[[#This Row],[AwayTeam]],Table2[Team], 0), 0)</f>
        <v>0-0-0</v>
      </c>
      <c r="AO803" s="64" t="str">
        <f>INDEX(Records!$B$2:$AG$33, MATCH(Table1[[#This Row],[AwayTeam]],Records!$A$2:$A$33, 0), MATCH(Table1[[#This Row],[HomeTeam]],Records!$A$2:$A$33, 0))</f>
        <v>0-0-0</v>
      </c>
      <c r="AP803" s="64" t="str">
        <f>INDEX(Table2[HOME_RECORD], MATCH(Table1[[#This Row],[HomeTeam]],Table2[Team], 0), 0)</f>
        <v>1-0-0</v>
      </c>
      <c r="AQ803" s="64" t="str">
        <f>INDEX(Records!$B$2:$AG$33, MATCH(Table1[[#This Row],[HomeTeam]],Records!$A$2:$A$33, 0), MATCH(Table1[[#This Row],[AwayTeam]],Records!$A$2:$A$33, 0))</f>
        <v>0-0-0</v>
      </c>
    </row>
    <row r="804" spans="1:43" x14ac:dyDescent="0.25">
      <c r="A804" s="1"/>
      <c r="D804" t="s">
        <v>1094</v>
      </c>
      <c r="E804" t="s">
        <v>162</v>
      </c>
      <c r="F804" t="s">
        <v>1101</v>
      </c>
      <c r="G804" t="s">
        <v>36</v>
      </c>
      <c r="H804" t="s">
        <v>54</v>
      </c>
      <c r="L80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0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04" s="1"/>
      <c r="T804" s="64" t="str">
        <f>IF(Table1[[#This Row],[ActualWinner]]="", "", IF(Table1[[#This Row],[AwayTeam]]=Table1[[#This Row],[ActualWinner]],Table1[[#This Row],[HomeTeam]],Table1[[#This Row],[AwayTeam]]))</f>
        <v/>
      </c>
      <c r="U804" s="64">
        <f>Table1[[#This Row],[ActualAwayScore]]-Table1[[#This Row],[PredictedAwayScore]]</f>
        <v>0</v>
      </c>
      <c r="V804" s="64">
        <f>Table1[[#This Row],[ActualHomeScore]]-Table1[[#This Row],[PredictedHomeScore]]</f>
        <v>0</v>
      </c>
      <c r="W804" s="64">
        <f>(0.8*IF(Table1[[#This Row],[CorrectWinnerPrediction]]=1, 1, 0))+(0.1*IF(Table1[[#This Row],[CorrectAwayScorePrediction]]=1, 1, 0))+(0.1*IF(Table1[[#This Row],[CorrectHomeScorePrediction]]=1, 1, 0))</f>
        <v>0</v>
      </c>
      <c r="X80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04" s="64">
        <f>SUMIF(Table1[GameDate], Table1[[#This Row],[GameDate]], Table1[AwayGameGoalDiff])</f>
        <v>0</v>
      </c>
      <c r="AA804" s="64">
        <f>SUMIF(Table1[GameDate], Table1[[#This Row],[GameDate]], Table1[HomeGameGoalDiff])</f>
        <v>0</v>
      </c>
      <c r="AB804" s="64">
        <f>IF(ISBLANK(Table1[[#This Row],[ActualResult]]), 0, 1)</f>
        <v>0</v>
      </c>
      <c r="AC804" s="64">
        <f>IF(ISBLANK(Table1[[#This Row],[ActualResult]]), 0, IF(Table1[[#This Row],[ActualWinner]]=Table1[[#This Row],[PredictedWinner]], 1, 0))</f>
        <v>0</v>
      </c>
      <c r="AD80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0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04" s="64">
        <f>IF(AND(Table1[[#This Row],[GameIsOver]]=1,Table1[[#This Row],[ActualAwayScore]]=0), 1,0)</f>
        <v>0</v>
      </c>
      <c r="AG804" s="64">
        <f>IF(AND(Table1[[#This Row],[GameIsOver]]=1,Table1[[#This Row],[ActualHomeScore]]=0), 1,0)</f>
        <v>0</v>
      </c>
      <c r="AH804" s="64">
        <f>IF(Table1[[#This Row],[GameIsOver]]=0,0,IF(Table1[[#This Row],[ActualWinner]]=Table1[[#This Row],[AwayTeam]], 1, 0))</f>
        <v>0</v>
      </c>
      <c r="AI804" s="64">
        <f>IF(Table1[[#This Row],[GameIsOver]]=0,0,IF(Table1[[#This Row],[ActualWinner]]=Table1[[#This Row],[HomeTeam]], 1, 0))</f>
        <v>0</v>
      </c>
      <c r="AJ804" s="64">
        <f>IF(INDEX(Standings!$A$2:$C$33,MATCH(Table1[[#This Row],[AwayTeam]],Standings!$A$2:$A$33,0),2)=INDEX(Standings!$A$2:$C$33,MATCH(Table1[[#This Row],[HomeTeam]],Standings!$A$2:$A$33,0),2),1,0)</f>
        <v>0</v>
      </c>
      <c r="AK804" s="64">
        <f>IF(INDEX(Standings!$A$2:$C$33,MATCH(Table1[[#This Row],[AwayTeam]],Standings!$A$2:$A$33,0),3)=INDEX(Standings!$A$2:$C$33,MATCH(Table1[[#This Row],[HomeTeam]],Standings!$A$2:$A$33,0),3),1,0)</f>
        <v>0</v>
      </c>
      <c r="AL804" s="64">
        <f>IF(Table1[[#This Row],[InterConf]]=1,IF(Table1[[#This Row],[InterDiv]]=0, 1, 0), 0)</f>
        <v>0</v>
      </c>
      <c r="AM804" s="64">
        <f>IF(INDEX(Standings!$A$2:$C$33,MATCH(Table1[[#This Row],[AwayTeam]],Standings!$A$2:$A$33,0),2)&lt;&gt;INDEX(Standings!$A$2:$C$33,MATCH(Table1[[#This Row],[HomeTeam]],Standings!$A$2:$A$33,0),2),1,0)</f>
        <v>1</v>
      </c>
      <c r="AN804" s="64" t="str">
        <f>INDEX(Table2[AWAY_RECORD], MATCH(Table1[[#This Row],[AwayTeam]],Table2[Team], 0), 0)</f>
        <v>0-0-0</v>
      </c>
      <c r="AO804" s="64" t="str">
        <f>INDEX(Records!$B$2:$AG$33, MATCH(Table1[[#This Row],[AwayTeam]],Records!$A$2:$A$33, 0), MATCH(Table1[[#This Row],[HomeTeam]],Records!$A$2:$A$33, 0))</f>
        <v>0-0-0</v>
      </c>
      <c r="AP804" s="64" t="str">
        <f>INDEX(Table2[HOME_RECORD], MATCH(Table1[[#This Row],[HomeTeam]],Table2[Team], 0), 0)</f>
        <v>0-0-0</v>
      </c>
      <c r="AQ804" s="64" t="str">
        <f>INDEX(Records!$B$2:$AG$33, MATCH(Table1[[#This Row],[HomeTeam]],Records!$A$2:$A$33, 0), MATCH(Table1[[#This Row],[AwayTeam]],Records!$A$2:$A$33, 0))</f>
        <v>0-0-0</v>
      </c>
    </row>
    <row r="805" spans="1:43" x14ac:dyDescent="0.25">
      <c r="A805" s="1"/>
      <c r="D805" t="s">
        <v>1094</v>
      </c>
      <c r="E805" t="s">
        <v>162</v>
      </c>
      <c r="F805" t="s">
        <v>1102</v>
      </c>
      <c r="G805" t="s">
        <v>39</v>
      </c>
      <c r="H805" t="s">
        <v>42</v>
      </c>
      <c r="L80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0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05" s="1"/>
      <c r="T805" s="64" t="str">
        <f>IF(Table1[[#This Row],[ActualWinner]]="", "", IF(Table1[[#This Row],[AwayTeam]]=Table1[[#This Row],[ActualWinner]],Table1[[#This Row],[HomeTeam]],Table1[[#This Row],[AwayTeam]]))</f>
        <v/>
      </c>
      <c r="U805" s="64">
        <f>Table1[[#This Row],[ActualAwayScore]]-Table1[[#This Row],[PredictedAwayScore]]</f>
        <v>0</v>
      </c>
      <c r="V805" s="64">
        <f>Table1[[#This Row],[ActualHomeScore]]-Table1[[#This Row],[PredictedHomeScore]]</f>
        <v>0</v>
      </c>
      <c r="W805" s="64">
        <f>(0.8*IF(Table1[[#This Row],[CorrectWinnerPrediction]]=1, 1, 0))+(0.1*IF(Table1[[#This Row],[CorrectAwayScorePrediction]]=1, 1, 0))+(0.1*IF(Table1[[#This Row],[CorrectHomeScorePrediction]]=1, 1, 0))</f>
        <v>0</v>
      </c>
      <c r="X80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05" s="64">
        <f>SUMIF(Table1[GameDate], Table1[[#This Row],[GameDate]], Table1[AwayGameGoalDiff])</f>
        <v>0</v>
      </c>
      <c r="AA805" s="64">
        <f>SUMIF(Table1[GameDate], Table1[[#This Row],[GameDate]], Table1[HomeGameGoalDiff])</f>
        <v>0</v>
      </c>
      <c r="AB805" s="64">
        <f>IF(ISBLANK(Table1[[#This Row],[ActualResult]]), 0, 1)</f>
        <v>0</v>
      </c>
      <c r="AC805" s="64">
        <f>IF(ISBLANK(Table1[[#This Row],[ActualResult]]), 0, IF(Table1[[#This Row],[ActualWinner]]=Table1[[#This Row],[PredictedWinner]], 1, 0))</f>
        <v>0</v>
      </c>
      <c r="AD80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0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05" s="64">
        <f>IF(AND(Table1[[#This Row],[GameIsOver]]=1,Table1[[#This Row],[ActualAwayScore]]=0), 1,0)</f>
        <v>0</v>
      </c>
      <c r="AG805" s="64">
        <f>IF(AND(Table1[[#This Row],[GameIsOver]]=1,Table1[[#This Row],[ActualHomeScore]]=0), 1,0)</f>
        <v>0</v>
      </c>
      <c r="AH805" s="64">
        <f>IF(Table1[[#This Row],[GameIsOver]]=0,0,IF(Table1[[#This Row],[ActualWinner]]=Table1[[#This Row],[AwayTeam]], 1, 0))</f>
        <v>0</v>
      </c>
      <c r="AI805" s="64">
        <f>IF(Table1[[#This Row],[GameIsOver]]=0,0,IF(Table1[[#This Row],[ActualWinner]]=Table1[[#This Row],[HomeTeam]], 1, 0))</f>
        <v>0</v>
      </c>
      <c r="AJ805" s="64">
        <f>IF(INDEX(Standings!$A$2:$C$33,MATCH(Table1[[#This Row],[AwayTeam]],Standings!$A$2:$A$33,0),2)=INDEX(Standings!$A$2:$C$33,MATCH(Table1[[#This Row],[HomeTeam]],Standings!$A$2:$A$33,0),2),1,0)</f>
        <v>0</v>
      </c>
      <c r="AK805" s="64">
        <f>IF(INDEX(Standings!$A$2:$C$33,MATCH(Table1[[#This Row],[AwayTeam]],Standings!$A$2:$A$33,0),3)=INDEX(Standings!$A$2:$C$33,MATCH(Table1[[#This Row],[HomeTeam]],Standings!$A$2:$A$33,0),3),1,0)</f>
        <v>0</v>
      </c>
      <c r="AL805" s="64">
        <f>IF(Table1[[#This Row],[InterConf]]=1,IF(Table1[[#This Row],[InterDiv]]=0, 1, 0), 0)</f>
        <v>0</v>
      </c>
      <c r="AM805" s="64">
        <f>IF(INDEX(Standings!$A$2:$C$33,MATCH(Table1[[#This Row],[AwayTeam]],Standings!$A$2:$A$33,0),2)&lt;&gt;INDEX(Standings!$A$2:$C$33,MATCH(Table1[[#This Row],[HomeTeam]],Standings!$A$2:$A$33,0),2),1,0)</f>
        <v>1</v>
      </c>
      <c r="AN805" s="64" t="str">
        <f>INDEX(Table2[AWAY_RECORD], MATCH(Table1[[#This Row],[AwayTeam]],Table2[Team], 0), 0)</f>
        <v>0-0-0</v>
      </c>
      <c r="AO805" s="64" t="str">
        <f>INDEX(Records!$B$2:$AG$33, MATCH(Table1[[#This Row],[AwayTeam]],Records!$A$2:$A$33, 0), MATCH(Table1[[#This Row],[HomeTeam]],Records!$A$2:$A$33, 0))</f>
        <v>0-0-0</v>
      </c>
      <c r="AP805" s="64" t="str">
        <f>INDEX(Table2[HOME_RECORD], MATCH(Table1[[#This Row],[HomeTeam]],Table2[Team], 0), 0)</f>
        <v>1-0-0</v>
      </c>
      <c r="AQ805" s="64" t="str">
        <f>INDEX(Records!$B$2:$AG$33, MATCH(Table1[[#This Row],[HomeTeam]],Records!$A$2:$A$33, 0), MATCH(Table1[[#This Row],[AwayTeam]],Records!$A$2:$A$33, 0))</f>
        <v>0-0-0</v>
      </c>
    </row>
    <row r="806" spans="1:43" x14ac:dyDescent="0.25">
      <c r="A806" s="1"/>
      <c r="D806" t="s">
        <v>1094</v>
      </c>
      <c r="E806" t="s">
        <v>178</v>
      </c>
      <c r="F806" t="s">
        <v>1103</v>
      </c>
      <c r="G806" t="s">
        <v>51</v>
      </c>
      <c r="H806" t="s">
        <v>60</v>
      </c>
      <c r="L80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0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06" s="1"/>
      <c r="T806" s="64" t="str">
        <f>IF(Table1[[#This Row],[ActualWinner]]="", "", IF(Table1[[#This Row],[AwayTeam]]=Table1[[#This Row],[ActualWinner]],Table1[[#This Row],[HomeTeam]],Table1[[#This Row],[AwayTeam]]))</f>
        <v/>
      </c>
      <c r="U806" s="64">
        <f>Table1[[#This Row],[ActualAwayScore]]-Table1[[#This Row],[PredictedAwayScore]]</f>
        <v>0</v>
      </c>
      <c r="V806" s="64">
        <f>Table1[[#This Row],[ActualHomeScore]]-Table1[[#This Row],[PredictedHomeScore]]</f>
        <v>0</v>
      </c>
      <c r="W806" s="64">
        <f>(0.8*IF(Table1[[#This Row],[CorrectWinnerPrediction]]=1, 1, 0))+(0.1*IF(Table1[[#This Row],[CorrectAwayScorePrediction]]=1, 1, 0))+(0.1*IF(Table1[[#This Row],[CorrectHomeScorePrediction]]=1, 1, 0))</f>
        <v>0</v>
      </c>
      <c r="X80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06" s="64">
        <f>SUMIF(Table1[GameDate], Table1[[#This Row],[GameDate]], Table1[AwayGameGoalDiff])</f>
        <v>0</v>
      </c>
      <c r="AA806" s="64">
        <f>SUMIF(Table1[GameDate], Table1[[#This Row],[GameDate]], Table1[HomeGameGoalDiff])</f>
        <v>0</v>
      </c>
      <c r="AB806" s="64">
        <f>IF(ISBLANK(Table1[[#This Row],[ActualResult]]), 0, 1)</f>
        <v>0</v>
      </c>
      <c r="AC806" s="64">
        <f>IF(ISBLANK(Table1[[#This Row],[ActualResult]]), 0, IF(Table1[[#This Row],[ActualWinner]]=Table1[[#This Row],[PredictedWinner]], 1, 0))</f>
        <v>0</v>
      </c>
      <c r="AD80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0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06" s="64">
        <f>IF(AND(Table1[[#This Row],[GameIsOver]]=1,Table1[[#This Row],[ActualAwayScore]]=0), 1,0)</f>
        <v>0</v>
      </c>
      <c r="AG806" s="64">
        <f>IF(AND(Table1[[#This Row],[GameIsOver]]=1,Table1[[#This Row],[ActualHomeScore]]=0), 1,0)</f>
        <v>0</v>
      </c>
      <c r="AH806" s="64">
        <f>IF(Table1[[#This Row],[GameIsOver]]=0,0,IF(Table1[[#This Row],[ActualWinner]]=Table1[[#This Row],[AwayTeam]], 1, 0))</f>
        <v>0</v>
      </c>
      <c r="AI806" s="64">
        <f>IF(Table1[[#This Row],[GameIsOver]]=0,0,IF(Table1[[#This Row],[ActualWinner]]=Table1[[#This Row],[HomeTeam]], 1, 0))</f>
        <v>0</v>
      </c>
      <c r="AJ806" s="64">
        <f>IF(INDEX(Standings!$A$2:$C$33,MATCH(Table1[[#This Row],[AwayTeam]],Standings!$A$2:$A$33,0),2)=INDEX(Standings!$A$2:$C$33,MATCH(Table1[[#This Row],[HomeTeam]],Standings!$A$2:$A$33,0),2),1,0)</f>
        <v>0</v>
      </c>
      <c r="AK806" s="64">
        <f>IF(INDEX(Standings!$A$2:$C$33,MATCH(Table1[[#This Row],[AwayTeam]],Standings!$A$2:$A$33,0),3)=INDEX(Standings!$A$2:$C$33,MATCH(Table1[[#This Row],[HomeTeam]],Standings!$A$2:$A$33,0),3),1,0)</f>
        <v>0</v>
      </c>
      <c r="AL806" s="64">
        <f>IF(Table1[[#This Row],[InterConf]]=1,IF(Table1[[#This Row],[InterDiv]]=0, 1, 0), 0)</f>
        <v>0</v>
      </c>
      <c r="AM806" s="64">
        <f>IF(INDEX(Standings!$A$2:$C$33,MATCH(Table1[[#This Row],[AwayTeam]],Standings!$A$2:$A$33,0),2)&lt;&gt;INDEX(Standings!$A$2:$C$33,MATCH(Table1[[#This Row],[HomeTeam]],Standings!$A$2:$A$33,0),2),1,0)</f>
        <v>1</v>
      </c>
      <c r="AN806" s="64" t="str">
        <f>INDEX(Table2[AWAY_RECORD], MATCH(Table1[[#This Row],[AwayTeam]],Table2[Team], 0), 0)</f>
        <v>2-0-0</v>
      </c>
      <c r="AO806" s="64" t="str">
        <f>INDEX(Records!$B$2:$AG$33, MATCH(Table1[[#This Row],[AwayTeam]],Records!$A$2:$A$33, 0), MATCH(Table1[[#This Row],[HomeTeam]],Records!$A$2:$A$33, 0))</f>
        <v>0-0-0</v>
      </c>
      <c r="AP806" s="64" t="str">
        <f>INDEX(Table2[HOME_RECORD], MATCH(Table1[[#This Row],[HomeTeam]],Table2[Team], 0), 0)</f>
        <v>1-0-0</v>
      </c>
      <c r="AQ806" s="64" t="str">
        <f>INDEX(Records!$B$2:$AG$33, MATCH(Table1[[#This Row],[HomeTeam]],Records!$A$2:$A$33, 0), MATCH(Table1[[#This Row],[AwayTeam]],Records!$A$2:$A$33, 0))</f>
        <v>0-0-0</v>
      </c>
    </row>
    <row r="807" spans="1:43" x14ac:dyDescent="0.25">
      <c r="A807" s="1"/>
      <c r="D807" t="s">
        <v>1094</v>
      </c>
      <c r="E807" t="s">
        <v>164</v>
      </c>
      <c r="F807" t="s">
        <v>1104</v>
      </c>
      <c r="G807" t="s">
        <v>44</v>
      </c>
      <c r="H807" t="s">
        <v>22</v>
      </c>
      <c r="L80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0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07" s="1"/>
      <c r="T807" s="64" t="str">
        <f>IF(Table1[[#This Row],[ActualWinner]]="", "", IF(Table1[[#This Row],[AwayTeam]]=Table1[[#This Row],[ActualWinner]],Table1[[#This Row],[HomeTeam]],Table1[[#This Row],[AwayTeam]]))</f>
        <v/>
      </c>
      <c r="U807" s="64">
        <f>Table1[[#This Row],[ActualAwayScore]]-Table1[[#This Row],[PredictedAwayScore]]</f>
        <v>0</v>
      </c>
      <c r="V807" s="64">
        <f>Table1[[#This Row],[ActualHomeScore]]-Table1[[#This Row],[PredictedHomeScore]]</f>
        <v>0</v>
      </c>
      <c r="W807" s="64">
        <f>(0.8*IF(Table1[[#This Row],[CorrectWinnerPrediction]]=1, 1, 0))+(0.1*IF(Table1[[#This Row],[CorrectAwayScorePrediction]]=1, 1, 0))+(0.1*IF(Table1[[#This Row],[CorrectHomeScorePrediction]]=1, 1, 0))</f>
        <v>0</v>
      </c>
      <c r="X80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07" s="64">
        <f>SUMIF(Table1[GameDate], Table1[[#This Row],[GameDate]], Table1[AwayGameGoalDiff])</f>
        <v>0</v>
      </c>
      <c r="AA807" s="64">
        <f>SUMIF(Table1[GameDate], Table1[[#This Row],[GameDate]], Table1[HomeGameGoalDiff])</f>
        <v>0</v>
      </c>
      <c r="AB807" s="64">
        <f>IF(ISBLANK(Table1[[#This Row],[ActualResult]]), 0, 1)</f>
        <v>0</v>
      </c>
      <c r="AC807" s="64">
        <f>IF(ISBLANK(Table1[[#This Row],[ActualResult]]), 0, IF(Table1[[#This Row],[ActualWinner]]=Table1[[#This Row],[PredictedWinner]], 1, 0))</f>
        <v>0</v>
      </c>
      <c r="AD80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0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07" s="64">
        <f>IF(AND(Table1[[#This Row],[GameIsOver]]=1,Table1[[#This Row],[ActualAwayScore]]=0), 1,0)</f>
        <v>0</v>
      </c>
      <c r="AG807" s="64">
        <f>IF(AND(Table1[[#This Row],[GameIsOver]]=1,Table1[[#This Row],[ActualHomeScore]]=0), 1,0)</f>
        <v>0</v>
      </c>
      <c r="AH807" s="64">
        <f>IF(Table1[[#This Row],[GameIsOver]]=0,0,IF(Table1[[#This Row],[ActualWinner]]=Table1[[#This Row],[AwayTeam]], 1, 0))</f>
        <v>0</v>
      </c>
      <c r="AI807" s="64">
        <f>IF(Table1[[#This Row],[GameIsOver]]=0,0,IF(Table1[[#This Row],[ActualWinner]]=Table1[[#This Row],[HomeTeam]], 1, 0))</f>
        <v>0</v>
      </c>
      <c r="AJ807" s="64">
        <f>IF(INDEX(Standings!$A$2:$C$33,MATCH(Table1[[#This Row],[AwayTeam]],Standings!$A$2:$A$33,0),2)=INDEX(Standings!$A$2:$C$33,MATCH(Table1[[#This Row],[HomeTeam]],Standings!$A$2:$A$33,0),2),1,0)</f>
        <v>0</v>
      </c>
      <c r="AK807" s="64">
        <f>IF(INDEX(Standings!$A$2:$C$33,MATCH(Table1[[#This Row],[AwayTeam]],Standings!$A$2:$A$33,0),3)=INDEX(Standings!$A$2:$C$33,MATCH(Table1[[#This Row],[HomeTeam]],Standings!$A$2:$A$33,0),3),1,0)</f>
        <v>0</v>
      </c>
      <c r="AL807" s="64">
        <f>IF(Table1[[#This Row],[InterConf]]=1,IF(Table1[[#This Row],[InterDiv]]=0, 1, 0), 0)</f>
        <v>0</v>
      </c>
      <c r="AM807" s="64">
        <f>IF(INDEX(Standings!$A$2:$C$33,MATCH(Table1[[#This Row],[AwayTeam]],Standings!$A$2:$A$33,0),2)&lt;&gt;INDEX(Standings!$A$2:$C$33,MATCH(Table1[[#This Row],[HomeTeam]],Standings!$A$2:$A$33,0),2),1,0)</f>
        <v>1</v>
      </c>
      <c r="AN807" s="64" t="str">
        <f>INDEX(Table2[AWAY_RECORD], MATCH(Table1[[#This Row],[AwayTeam]],Table2[Team], 0), 0)</f>
        <v>0-0-0</v>
      </c>
      <c r="AO807" s="64" t="str">
        <f>INDEX(Records!$B$2:$AG$33, MATCH(Table1[[#This Row],[AwayTeam]],Records!$A$2:$A$33, 0), MATCH(Table1[[#This Row],[HomeTeam]],Records!$A$2:$A$33, 0))</f>
        <v>0-0-0</v>
      </c>
      <c r="AP807" s="64" t="str">
        <f>INDEX(Table2[HOME_RECORD], MATCH(Table1[[#This Row],[HomeTeam]],Table2[Team], 0), 0)</f>
        <v>0-0-0</v>
      </c>
      <c r="AQ807" s="64" t="str">
        <f>INDEX(Records!$B$2:$AG$33, MATCH(Table1[[#This Row],[HomeTeam]],Records!$A$2:$A$33, 0), MATCH(Table1[[#This Row],[AwayTeam]],Records!$A$2:$A$33, 0))</f>
        <v>0-0-0</v>
      </c>
    </row>
    <row r="808" spans="1:43" x14ac:dyDescent="0.25">
      <c r="A808" s="1"/>
      <c r="D808" t="s">
        <v>1105</v>
      </c>
      <c r="E808" t="s">
        <v>298</v>
      </c>
      <c r="F808" t="s">
        <v>1106</v>
      </c>
      <c r="G808" t="s">
        <v>45</v>
      </c>
      <c r="H808" t="s">
        <v>46</v>
      </c>
      <c r="L80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0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08" s="1"/>
      <c r="T808" s="64" t="str">
        <f>IF(Table1[[#This Row],[ActualWinner]]="", "", IF(Table1[[#This Row],[AwayTeam]]=Table1[[#This Row],[ActualWinner]],Table1[[#This Row],[HomeTeam]],Table1[[#This Row],[AwayTeam]]))</f>
        <v/>
      </c>
      <c r="U808" s="64">
        <f>Table1[[#This Row],[ActualAwayScore]]-Table1[[#This Row],[PredictedAwayScore]]</f>
        <v>0</v>
      </c>
      <c r="V808" s="64">
        <f>Table1[[#This Row],[ActualHomeScore]]-Table1[[#This Row],[PredictedHomeScore]]</f>
        <v>0</v>
      </c>
      <c r="W808" s="64">
        <f>(0.8*IF(Table1[[#This Row],[CorrectWinnerPrediction]]=1, 1, 0))+(0.1*IF(Table1[[#This Row],[CorrectAwayScorePrediction]]=1, 1, 0))+(0.1*IF(Table1[[#This Row],[CorrectHomeScorePrediction]]=1, 1, 0))</f>
        <v>0</v>
      </c>
      <c r="X80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08" s="64">
        <f>SUMIF(Table1[GameDate], Table1[[#This Row],[GameDate]], Table1[AwayGameGoalDiff])</f>
        <v>0</v>
      </c>
      <c r="AA808" s="64">
        <f>SUMIF(Table1[GameDate], Table1[[#This Row],[GameDate]], Table1[HomeGameGoalDiff])</f>
        <v>0</v>
      </c>
      <c r="AB808" s="64">
        <f>IF(ISBLANK(Table1[[#This Row],[ActualResult]]), 0, 1)</f>
        <v>0</v>
      </c>
      <c r="AC808" s="64">
        <f>IF(ISBLANK(Table1[[#This Row],[ActualResult]]), 0, IF(Table1[[#This Row],[ActualWinner]]=Table1[[#This Row],[PredictedWinner]], 1, 0))</f>
        <v>0</v>
      </c>
      <c r="AD80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0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08" s="64">
        <f>IF(AND(Table1[[#This Row],[GameIsOver]]=1,Table1[[#This Row],[ActualAwayScore]]=0), 1,0)</f>
        <v>0</v>
      </c>
      <c r="AG808" s="64">
        <f>IF(AND(Table1[[#This Row],[GameIsOver]]=1,Table1[[#This Row],[ActualHomeScore]]=0), 1,0)</f>
        <v>0</v>
      </c>
      <c r="AH808" s="64">
        <f>IF(Table1[[#This Row],[GameIsOver]]=0,0,IF(Table1[[#This Row],[ActualWinner]]=Table1[[#This Row],[AwayTeam]], 1, 0))</f>
        <v>0</v>
      </c>
      <c r="AI808" s="64">
        <f>IF(Table1[[#This Row],[GameIsOver]]=0,0,IF(Table1[[#This Row],[ActualWinner]]=Table1[[#This Row],[HomeTeam]], 1, 0))</f>
        <v>0</v>
      </c>
      <c r="AJ808" s="64">
        <f>IF(INDEX(Standings!$A$2:$C$33,MATCH(Table1[[#This Row],[AwayTeam]],Standings!$A$2:$A$33,0),2)=INDEX(Standings!$A$2:$C$33,MATCH(Table1[[#This Row],[HomeTeam]],Standings!$A$2:$A$33,0),2),1,0)</f>
        <v>1</v>
      </c>
      <c r="AK808" s="64">
        <f>IF(INDEX(Standings!$A$2:$C$33,MATCH(Table1[[#This Row],[AwayTeam]],Standings!$A$2:$A$33,0),3)=INDEX(Standings!$A$2:$C$33,MATCH(Table1[[#This Row],[HomeTeam]],Standings!$A$2:$A$33,0),3),1,0)</f>
        <v>1</v>
      </c>
      <c r="AL808" s="64">
        <f>IF(Table1[[#This Row],[InterConf]]=1,IF(Table1[[#This Row],[InterDiv]]=0, 1, 0), 0)</f>
        <v>0</v>
      </c>
      <c r="AM808" s="64">
        <f>IF(INDEX(Standings!$A$2:$C$33,MATCH(Table1[[#This Row],[AwayTeam]],Standings!$A$2:$A$33,0),2)&lt;&gt;INDEX(Standings!$A$2:$C$33,MATCH(Table1[[#This Row],[HomeTeam]],Standings!$A$2:$A$33,0),2),1,0)</f>
        <v>0</v>
      </c>
      <c r="AN808" s="64" t="str">
        <f>INDEX(Table2[AWAY_RECORD], MATCH(Table1[[#This Row],[AwayTeam]],Table2[Team], 0), 0)</f>
        <v>1-0-0</v>
      </c>
      <c r="AO808" s="64" t="str">
        <f>INDEX(Records!$B$2:$AG$33, MATCH(Table1[[#This Row],[AwayTeam]],Records!$A$2:$A$33, 0), MATCH(Table1[[#This Row],[HomeTeam]],Records!$A$2:$A$33, 0))</f>
        <v>0-0-0</v>
      </c>
      <c r="AP808" s="64" t="str">
        <f>INDEX(Table2[HOME_RECORD], MATCH(Table1[[#This Row],[HomeTeam]],Table2[Team], 0), 0)</f>
        <v>0-0-0</v>
      </c>
      <c r="AQ808" s="64" t="str">
        <f>INDEX(Records!$B$2:$AG$33, MATCH(Table1[[#This Row],[HomeTeam]],Records!$A$2:$A$33, 0), MATCH(Table1[[#This Row],[AwayTeam]],Records!$A$2:$A$33, 0))</f>
        <v>0-0-0</v>
      </c>
    </row>
    <row r="809" spans="1:43" x14ac:dyDescent="0.25">
      <c r="A809" s="1"/>
      <c r="D809" t="s">
        <v>1105</v>
      </c>
      <c r="E809" t="s">
        <v>162</v>
      </c>
      <c r="F809" t="s">
        <v>1107</v>
      </c>
      <c r="G809" t="s">
        <v>50</v>
      </c>
      <c r="H809" t="s">
        <v>59</v>
      </c>
      <c r="L80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0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09" s="1"/>
      <c r="T809" s="64" t="str">
        <f>IF(Table1[[#This Row],[ActualWinner]]="", "", IF(Table1[[#This Row],[AwayTeam]]=Table1[[#This Row],[ActualWinner]],Table1[[#This Row],[HomeTeam]],Table1[[#This Row],[AwayTeam]]))</f>
        <v/>
      </c>
      <c r="U809" s="64">
        <f>Table1[[#This Row],[ActualAwayScore]]-Table1[[#This Row],[PredictedAwayScore]]</f>
        <v>0</v>
      </c>
      <c r="V809" s="64">
        <f>Table1[[#This Row],[ActualHomeScore]]-Table1[[#This Row],[PredictedHomeScore]]</f>
        <v>0</v>
      </c>
      <c r="W809" s="64">
        <f>(0.8*IF(Table1[[#This Row],[CorrectWinnerPrediction]]=1, 1, 0))+(0.1*IF(Table1[[#This Row],[CorrectAwayScorePrediction]]=1, 1, 0))+(0.1*IF(Table1[[#This Row],[CorrectHomeScorePrediction]]=1, 1, 0))</f>
        <v>0</v>
      </c>
      <c r="X80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09" s="64">
        <f>SUMIF(Table1[GameDate], Table1[[#This Row],[GameDate]], Table1[AwayGameGoalDiff])</f>
        <v>0</v>
      </c>
      <c r="AA809" s="64">
        <f>SUMIF(Table1[GameDate], Table1[[#This Row],[GameDate]], Table1[HomeGameGoalDiff])</f>
        <v>0</v>
      </c>
      <c r="AB809" s="64">
        <f>IF(ISBLANK(Table1[[#This Row],[ActualResult]]), 0, 1)</f>
        <v>0</v>
      </c>
      <c r="AC809" s="64">
        <f>IF(ISBLANK(Table1[[#This Row],[ActualResult]]), 0, IF(Table1[[#This Row],[ActualWinner]]=Table1[[#This Row],[PredictedWinner]], 1, 0))</f>
        <v>0</v>
      </c>
      <c r="AD80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0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09" s="64">
        <f>IF(AND(Table1[[#This Row],[GameIsOver]]=1,Table1[[#This Row],[ActualAwayScore]]=0), 1,0)</f>
        <v>0</v>
      </c>
      <c r="AG809" s="64">
        <f>IF(AND(Table1[[#This Row],[GameIsOver]]=1,Table1[[#This Row],[ActualHomeScore]]=0), 1,0)</f>
        <v>0</v>
      </c>
      <c r="AH809" s="64">
        <f>IF(Table1[[#This Row],[GameIsOver]]=0,0,IF(Table1[[#This Row],[ActualWinner]]=Table1[[#This Row],[AwayTeam]], 1, 0))</f>
        <v>0</v>
      </c>
      <c r="AI809" s="64">
        <f>IF(Table1[[#This Row],[GameIsOver]]=0,0,IF(Table1[[#This Row],[ActualWinner]]=Table1[[#This Row],[HomeTeam]], 1, 0))</f>
        <v>0</v>
      </c>
      <c r="AJ809" s="64">
        <f>IF(INDEX(Standings!$A$2:$C$33,MATCH(Table1[[#This Row],[AwayTeam]],Standings!$A$2:$A$33,0),2)=INDEX(Standings!$A$2:$C$33,MATCH(Table1[[#This Row],[HomeTeam]],Standings!$A$2:$A$33,0),2),1,0)</f>
        <v>1</v>
      </c>
      <c r="AK809" s="64">
        <f>IF(INDEX(Standings!$A$2:$C$33,MATCH(Table1[[#This Row],[AwayTeam]],Standings!$A$2:$A$33,0),3)=INDEX(Standings!$A$2:$C$33,MATCH(Table1[[#This Row],[HomeTeam]],Standings!$A$2:$A$33,0),3),1,0)</f>
        <v>1</v>
      </c>
      <c r="AL809" s="64">
        <f>IF(Table1[[#This Row],[InterConf]]=1,IF(Table1[[#This Row],[InterDiv]]=0, 1, 0), 0)</f>
        <v>0</v>
      </c>
      <c r="AM809" s="64">
        <f>IF(INDEX(Standings!$A$2:$C$33,MATCH(Table1[[#This Row],[AwayTeam]],Standings!$A$2:$A$33,0),2)&lt;&gt;INDEX(Standings!$A$2:$C$33,MATCH(Table1[[#This Row],[HomeTeam]],Standings!$A$2:$A$33,0),2),1,0)</f>
        <v>0</v>
      </c>
      <c r="AN809" s="64" t="str">
        <f>INDEX(Table2[AWAY_RECORD], MATCH(Table1[[#This Row],[AwayTeam]],Table2[Team], 0), 0)</f>
        <v>1-0-0</v>
      </c>
      <c r="AO809" s="64" t="str">
        <f>INDEX(Records!$B$2:$AG$33, MATCH(Table1[[#This Row],[AwayTeam]],Records!$A$2:$A$33, 0), MATCH(Table1[[#This Row],[HomeTeam]],Records!$A$2:$A$33, 0))</f>
        <v>0-0-0</v>
      </c>
      <c r="AP809" s="64" t="str">
        <f>INDEX(Table2[HOME_RECORD], MATCH(Table1[[#This Row],[HomeTeam]],Table2[Team], 0), 0)</f>
        <v>0-0-0</v>
      </c>
      <c r="AQ809" s="64" t="str">
        <f>INDEX(Records!$B$2:$AG$33, MATCH(Table1[[#This Row],[HomeTeam]],Records!$A$2:$A$33, 0), MATCH(Table1[[#This Row],[AwayTeam]],Records!$A$2:$A$33, 0))</f>
        <v>0-0-0</v>
      </c>
    </row>
    <row r="810" spans="1:43" x14ac:dyDescent="0.25">
      <c r="A810" s="1"/>
      <c r="D810" t="s">
        <v>1105</v>
      </c>
      <c r="E810" t="s">
        <v>178</v>
      </c>
      <c r="F810" t="s">
        <v>1108</v>
      </c>
      <c r="G810" t="s">
        <v>23</v>
      </c>
      <c r="H810" t="s">
        <v>16</v>
      </c>
      <c r="L81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1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10" s="1"/>
      <c r="T810" s="64" t="str">
        <f>IF(Table1[[#This Row],[ActualWinner]]="", "", IF(Table1[[#This Row],[AwayTeam]]=Table1[[#This Row],[ActualWinner]],Table1[[#This Row],[HomeTeam]],Table1[[#This Row],[AwayTeam]]))</f>
        <v/>
      </c>
      <c r="U810" s="64">
        <f>Table1[[#This Row],[ActualAwayScore]]-Table1[[#This Row],[PredictedAwayScore]]</f>
        <v>0</v>
      </c>
      <c r="V810" s="64">
        <f>Table1[[#This Row],[ActualHomeScore]]-Table1[[#This Row],[PredictedHomeScore]]</f>
        <v>0</v>
      </c>
      <c r="W810" s="64">
        <f>(0.8*IF(Table1[[#This Row],[CorrectWinnerPrediction]]=1, 1, 0))+(0.1*IF(Table1[[#This Row],[CorrectAwayScorePrediction]]=1, 1, 0))+(0.1*IF(Table1[[#This Row],[CorrectHomeScorePrediction]]=1, 1, 0))</f>
        <v>0</v>
      </c>
      <c r="X81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10" s="64">
        <f>SUMIF(Table1[GameDate], Table1[[#This Row],[GameDate]], Table1[AwayGameGoalDiff])</f>
        <v>0</v>
      </c>
      <c r="AA810" s="64">
        <f>SUMIF(Table1[GameDate], Table1[[#This Row],[GameDate]], Table1[HomeGameGoalDiff])</f>
        <v>0</v>
      </c>
      <c r="AB810" s="64">
        <f>IF(ISBLANK(Table1[[#This Row],[ActualResult]]), 0, 1)</f>
        <v>0</v>
      </c>
      <c r="AC810" s="64">
        <f>IF(ISBLANK(Table1[[#This Row],[ActualResult]]), 0, IF(Table1[[#This Row],[ActualWinner]]=Table1[[#This Row],[PredictedWinner]], 1, 0))</f>
        <v>0</v>
      </c>
      <c r="AD81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1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10" s="64">
        <f>IF(AND(Table1[[#This Row],[GameIsOver]]=1,Table1[[#This Row],[ActualAwayScore]]=0), 1,0)</f>
        <v>0</v>
      </c>
      <c r="AG810" s="64">
        <f>IF(AND(Table1[[#This Row],[GameIsOver]]=1,Table1[[#This Row],[ActualHomeScore]]=0), 1,0)</f>
        <v>0</v>
      </c>
      <c r="AH810" s="64">
        <f>IF(Table1[[#This Row],[GameIsOver]]=0,0,IF(Table1[[#This Row],[ActualWinner]]=Table1[[#This Row],[AwayTeam]], 1, 0))</f>
        <v>0</v>
      </c>
      <c r="AI810" s="64">
        <f>IF(Table1[[#This Row],[GameIsOver]]=0,0,IF(Table1[[#This Row],[ActualWinner]]=Table1[[#This Row],[HomeTeam]], 1, 0))</f>
        <v>0</v>
      </c>
      <c r="AJ810" s="64">
        <f>IF(INDEX(Standings!$A$2:$C$33,MATCH(Table1[[#This Row],[AwayTeam]],Standings!$A$2:$A$33,0),2)=INDEX(Standings!$A$2:$C$33,MATCH(Table1[[#This Row],[HomeTeam]],Standings!$A$2:$A$33,0),2),1,0)</f>
        <v>1</v>
      </c>
      <c r="AK810" s="64">
        <f>IF(INDEX(Standings!$A$2:$C$33,MATCH(Table1[[#This Row],[AwayTeam]],Standings!$A$2:$A$33,0),3)=INDEX(Standings!$A$2:$C$33,MATCH(Table1[[#This Row],[HomeTeam]],Standings!$A$2:$A$33,0),3),1,0)</f>
        <v>0</v>
      </c>
      <c r="AL810" s="64">
        <f>IF(Table1[[#This Row],[InterConf]]=1,IF(Table1[[#This Row],[InterDiv]]=0, 1, 0), 0)</f>
        <v>1</v>
      </c>
      <c r="AM810" s="64">
        <f>IF(INDEX(Standings!$A$2:$C$33,MATCH(Table1[[#This Row],[AwayTeam]],Standings!$A$2:$A$33,0),2)&lt;&gt;INDEX(Standings!$A$2:$C$33,MATCH(Table1[[#This Row],[HomeTeam]],Standings!$A$2:$A$33,0),2),1,0)</f>
        <v>0</v>
      </c>
      <c r="AN810" s="64" t="str">
        <f>INDEX(Table2[AWAY_RECORD], MATCH(Table1[[#This Row],[AwayTeam]],Table2[Team], 0), 0)</f>
        <v>0-0-1</v>
      </c>
      <c r="AO810" s="64" t="str">
        <f>INDEX(Records!$B$2:$AG$33, MATCH(Table1[[#This Row],[AwayTeam]],Records!$A$2:$A$33, 0), MATCH(Table1[[#This Row],[HomeTeam]],Records!$A$2:$A$33, 0))</f>
        <v>0-0-0</v>
      </c>
      <c r="AP810" s="64" t="str">
        <f>INDEX(Table2[HOME_RECORD], MATCH(Table1[[#This Row],[HomeTeam]],Table2[Team], 0), 0)</f>
        <v>0-0-0</v>
      </c>
      <c r="AQ810" s="64" t="str">
        <f>INDEX(Records!$B$2:$AG$33, MATCH(Table1[[#This Row],[HomeTeam]],Records!$A$2:$A$33, 0), MATCH(Table1[[#This Row],[AwayTeam]],Records!$A$2:$A$33, 0))</f>
        <v>0-0-0</v>
      </c>
    </row>
    <row r="811" spans="1:43" x14ac:dyDescent="0.25">
      <c r="A811" s="1"/>
      <c r="D811" t="s">
        <v>1105</v>
      </c>
      <c r="E811" t="s">
        <v>178</v>
      </c>
      <c r="F811" t="s">
        <v>1109</v>
      </c>
      <c r="G811" t="s">
        <v>41</v>
      </c>
      <c r="H811" t="s">
        <v>43</v>
      </c>
      <c r="L81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1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11" s="1"/>
      <c r="T811" s="64" t="str">
        <f>IF(Table1[[#This Row],[ActualWinner]]="", "", IF(Table1[[#This Row],[AwayTeam]]=Table1[[#This Row],[ActualWinner]],Table1[[#This Row],[HomeTeam]],Table1[[#This Row],[AwayTeam]]))</f>
        <v/>
      </c>
      <c r="U811" s="64">
        <f>Table1[[#This Row],[ActualAwayScore]]-Table1[[#This Row],[PredictedAwayScore]]</f>
        <v>0</v>
      </c>
      <c r="V811" s="64">
        <f>Table1[[#This Row],[ActualHomeScore]]-Table1[[#This Row],[PredictedHomeScore]]</f>
        <v>0</v>
      </c>
      <c r="W811" s="64">
        <f>(0.8*IF(Table1[[#This Row],[CorrectWinnerPrediction]]=1, 1, 0))+(0.1*IF(Table1[[#This Row],[CorrectAwayScorePrediction]]=1, 1, 0))+(0.1*IF(Table1[[#This Row],[CorrectHomeScorePrediction]]=1, 1, 0))</f>
        <v>0</v>
      </c>
      <c r="X81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11" s="64">
        <f>SUMIF(Table1[GameDate], Table1[[#This Row],[GameDate]], Table1[AwayGameGoalDiff])</f>
        <v>0</v>
      </c>
      <c r="AA811" s="64">
        <f>SUMIF(Table1[GameDate], Table1[[#This Row],[GameDate]], Table1[HomeGameGoalDiff])</f>
        <v>0</v>
      </c>
      <c r="AB811" s="64">
        <f>IF(ISBLANK(Table1[[#This Row],[ActualResult]]), 0, 1)</f>
        <v>0</v>
      </c>
      <c r="AC811" s="64">
        <f>IF(ISBLANK(Table1[[#This Row],[ActualResult]]), 0, IF(Table1[[#This Row],[ActualWinner]]=Table1[[#This Row],[PredictedWinner]], 1, 0))</f>
        <v>0</v>
      </c>
      <c r="AD81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1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11" s="64">
        <f>IF(AND(Table1[[#This Row],[GameIsOver]]=1,Table1[[#This Row],[ActualAwayScore]]=0), 1,0)</f>
        <v>0</v>
      </c>
      <c r="AG811" s="64">
        <f>IF(AND(Table1[[#This Row],[GameIsOver]]=1,Table1[[#This Row],[ActualHomeScore]]=0), 1,0)</f>
        <v>0</v>
      </c>
      <c r="AH811" s="64">
        <f>IF(Table1[[#This Row],[GameIsOver]]=0,0,IF(Table1[[#This Row],[ActualWinner]]=Table1[[#This Row],[AwayTeam]], 1, 0))</f>
        <v>0</v>
      </c>
      <c r="AI811" s="64">
        <f>IF(Table1[[#This Row],[GameIsOver]]=0,0,IF(Table1[[#This Row],[ActualWinner]]=Table1[[#This Row],[HomeTeam]], 1, 0))</f>
        <v>0</v>
      </c>
      <c r="AJ811" s="64">
        <f>IF(INDEX(Standings!$A$2:$C$33,MATCH(Table1[[#This Row],[AwayTeam]],Standings!$A$2:$A$33,0),2)=INDEX(Standings!$A$2:$C$33,MATCH(Table1[[#This Row],[HomeTeam]],Standings!$A$2:$A$33,0),2),1,0)</f>
        <v>1</v>
      </c>
      <c r="AK811" s="64">
        <f>IF(INDEX(Standings!$A$2:$C$33,MATCH(Table1[[#This Row],[AwayTeam]],Standings!$A$2:$A$33,0),3)=INDEX(Standings!$A$2:$C$33,MATCH(Table1[[#This Row],[HomeTeam]],Standings!$A$2:$A$33,0),3),1,0)</f>
        <v>1</v>
      </c>
      <c r="AL811" s="64">
        <f>IF(Table1[[#This Row],[InterConf]]=1,IF(Table1[[#This Row],[InterDiv]]=0, 1, 0), 0)</f>
        <v>0</v>
      </c>
      <c r="AM811" s="64">
        <f>IF(INDEX(Standings!$A$2:$C$33,MATCH(Table1[[#This Row],[AwayTeam]],Standings!$A$2:$A$33,0),2)&lt;&gt;INDEX(Standings!$A$2:$C$33,MATCH(Table1[[#This Row],[HomeTeam]],Standings!$A$2:$A$33,0),2),1,0)</f>
        <v>0</v>
      </c>
      <c r="AN811" s="64" t="str">
        <f>INDEX(Table2[AWAY_RECORD], MATCH(Table1[[#This Row],[AwayTeam]],Table2[Team], 0), 0)</f>
        <v>0-0-0</v>
      </c>
      <c r="AO811" s="64" t="str">
        <f>INDEX(Records!$B$2:$AG$33, MATCH(Table1[[#This Row],[AwayTeam]],Records!$A$2:$A$33, 0), MATCH(Table1[[#This Row],[HomeTeam]],Records!$A$2:$A$33, 0))</f>
        <v>0-0-0</v>
      </c>
      <c r="AP811" s="64" t="str">
        <f>INDEX(Table2[HOME_RECORD], MATCH(Table1[[#This Row],[HomeTeam]],Table2[Team], 0), 0)</f>
        <v>0-0-0</v>
      </c>
      <c r="AQ811" s="64" t="str">
        <f>INDEX(Records!$B$2:$AG$33, MATCH(Table1[[#This Row],[HomeTeam]],Records!$A$2:$A$33, 0), MATCH(Table1[[#This Row],[AwayTeam]],Records!$A$2:$A$33, 0))</f>
        <v>0-0-0</v>
      </c>
    </row>
    <row r="812" spans="1:43" x14ac:dyDescent="0.25">
      <c r="A812" s="1"/>
      <c r="D812" t="s">
        <v>1110</v>
      </c>
      <c r="E812" t="s">
        <v>298</v>
      </c>
      <c r="F812" t="s">
        <v>1111</v>
      </c>
      <c r="G812" t="s">
        <v>37</v>
      </c>
      <c r="H812" t="s">
        <v>25</v>
      </c>
      <c r="L81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1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12" s="1"/>
      <c r="T812" s="64" t="str">
        <f>IF(Table1[[#This Row],[ActualWinner]]="", "", IF(Table1[[#This Row],[AwayTeam]]=Table1[[#This Row],[ActualWinner]],Table1[[#This Row],[HomeTeam]],Table1[[#This Row],[AwayTeam]]))</f>
        <v/>
      </c>
      <c r="U812" s="64">
        <f>Table1[[#This Row],[ActualAwayScore]]-Table1[[#This Row],[PredictedAwayScore]]</f>
        <v>0</v>
      </c>
      <c r="V812" s="64">
        <f>Table1[[#This Row],[ActualHomeScore]]-Table1[[#This Row],[PredictedHomeScore]]</f>
        <v>0</v>
      </c>
      <c r="W812" s="64">
        <f>(0.8*IF(Table1[[#This Row],[CorrectWinnerPrediction]]=1, 1, 0))+(0.1*IF(Table1[[#This Row],[CorrectAwayScorePrediction]]=1, 1, 0))+(0.1*IF(Table1[[#This Row],[CorrectHomeScorePrediction]]=1, 1, 0))</f>
        <v>0</v>
      </c>
      <c r="X81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12" s="64">
        <f>SUMIF(Table1[GameDate], Table1[[#This Row],[GameDate]], Table1[AwayGameGoalDiff])</f>
        <v>0</v>
      </c>
      <c r="AA812" s="64">
        <f>SUMIF(Table1[GameDate], Table1[[#This Row],[GameDate]], Table1[HomeGameGoalDiff])</f>
        <v>0</v>
      </c>
      <c r="AB812" s="64">
        <f>IF(ISBLANK(Table1[[#This Row],[ActualResult]]), 0, 1)</f>
        <v>0</v>
      </c>
      <c r="AC812" s="64">
        <f>IF(ISBLANK(Table1[[#This Row],[ActualResult]]), 0, IF(Table1[[#This Row],[ActualWinner]]=Table1[[#This Row],[PredictedWinner]], 1, 0))</f>
        <v>0</v>
      </c>
      <c r="AD81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1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12" s="64">
        <f>IF(AND(Table1[[#This Row],[GameIsOver]]=1,Table1[[#This Row],[ActualAwayScore]]=0), 1,0)</f>
        <v>0</v>
      </c>
      <c r="AG812" s="64">
        <f>IF(AND(Table1[[#This Row],[GameIsOver]]=1,Table1[[#This Row],[ActualHomeScore]]=0), 1,0)</f>
        <v>0</v>
      </c>
      <c r="AH812" s="64">
        <f>IF(Table1[[#This Row],[GameIsOver]]=0,0,IF(Table1[[#This Row],[ActualWinner]]=Table1[[#This Row],[AwayTeam]], 1, 0))</f>
        <v>0</v>
      </c>
      <c r="AI812" s="64">
        <f>IF(Table1[[#This Row],[GameIsOver]]=0,0,IF(Table1[[#This Row],[ActualWinner]]=Table1[[#This Row],[HomeTeam]], 1, 0))</f>
        <v>0</v>
      </c>
      <c r="AJ812" s="64">
        <f>IF(INDEX(Standings!$A$2:$C$33,MATCH(Table1[[#This Row],[AwayTeam]],Standings!$A$2:$A$33,0),2)=INDEX(Standings!$A$2:$C$33,MATCH(Table1[[#This Row],[HomeTeam]],Standings!$A$2:$A$33,0),2),1,0)</f>
        <v>0</v>
      </c>
      <c r="AK812" s="64">
        <f>IF(INDEX(Standings!$A$2:$C$33,MATCH(Table1[[#This Row],[AwayTeam]],Standings!$A$2:$A$33,0),3)=INDEX(Standings!$A$2:$C$33,MATCH(Table1[[#This Row],[HomeTeam]],Standings!$A$2:$A$33,0),3),1,0)</f>
        <v>0</v>
      </c>
      <c r="AL812" s="64">
        <f>IF(Table1[[#This Row],[InterConf]]=1,IF(Table1[[#This Row],[InterDiv]]=0, 1, 0), 0)</f>
        <v>0</v>
      </c>
      <c r="AM812" s="64">
        <f>IF(INDEX(Standings!$A$2:$C$33,MATCH(Table1[[#This Row],[AwayTeam]],Standings!$A$2:$A$33,0),2)&lt;&gt;INDEX(Standings!$A$2:$C$33,MATCH(Table1[[#This Row],[HomeTeam]],Standings!$A$2:$A$33,0),2),1,0)</f>
        <v>1</v>
      </c>
      <c r="AN812" s="64" t="str">
        <f>INDEX(Table2[AWAY_RECORD], MATCH(Table1[[#This Row],[AwayTeam]],Table2[Team], 0), 0)</f>
        <v>0-0-1</v>
      </c>
      <c r="AO812" s="64" t="str">
        <f>INDEX(Records!$B$2:$AG$33, MATCH(Table1[[#This Row],[AwayTeam]],Records!$A$2:$A$33, 0), MATCH(Table1[[#This Row],[HomeTeam]],Records!$A$2:$A$33, 0))</f>
        <v>0-0-0</v>
      </c>
      <c r="AP812" s="64" t="str">
        <f>INDEX(Table2[HOME_RECORD], MATCH(Table1[[#This Row],[HomeTeam]],Table2[Team], 0), 0)</f>
        <v>0-0-1</v>
      </c>
      <c r="AQ812" s="64" t="str">
        <f>INDEX(Records!$B$2:$AG$33, MATCH(Table1[[#This Row],[HomeTeam]],Records!$A$2:$A$33, 0), MATCH(Table1[[#This Row],[AwayTeam]],Records!$A$2:$A$33, 0))</f>
        <v>0-0-0</v>
      </c>
    </row>
    <row r="813" spans="1:43" x14ac:dyDescent="0.25">
      <c r="A813" s="1"/>
      <c r="D813" t="s">
        <v>1110</v>
      </c>
      <c r="E813" t="s">
        <v>432</v>
      </c>
      <c r="F813" t="s">
        <v>1112</v>
      </c>
      <c r="G813" t="s">
        <v>57</v>
      </c>
      <c r="H813" t="s">
        <v>44</v>
      </c>
      <c r="L81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1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13" s="1"/>
      <c r="T813" s="64" t="str">
        <f>IF(Table1[[#This Row],[ActualWinner]]="", "", IF(Table1[[#This Row],[AwayTeam]]=Table1[[#This Row],[ActualWinner]],Table1[[#This Row],[HomeTeam]],Table1[[#This Row],[AwayTeam]]))</f>
        <v/>
      </c>
      <c r="U813" s="64">
        <f>Table1[[#This Row],[ActualAwayScore]]-Table1[[#This Row],[PredictedAwayScore]]</f>
        <v>0</v>
      </c>
      <c r="V813" s="64">
        <f>Table1[[#This Row],[ActualHomeScore]]-Table1[[#This Row],[PredictedHomeScore]]</f>
        <v>0</v>
      </c>
      <c r="W813" s="64">
        <f>(0.8*IF(Table1[[#This Row],[CorrectWinnerPrediction]]=1, 1, 0))+(0.1*IF(Table1[[#This Row],[CorrectAwayScorePrediction]]=1, 1, 0))+(0.1*IF(Table1[[#This Row],[CorrectHomeScorePrediction]]=1, 1, 0))</f>
        <v>0</v>
      </c>
      <c r="X81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13" s="64">
        <f>SUMIF(Table1[GameDate], Table1[[#This Row],[GameDate]], Table1[AwayGameGoalDiff])</f>
        <v>0</v>
      </c>
      <c r="AA813" s="64">
        <f>SUMIF(Table1[GameDate], Table1[[#This Row],[GameDate]], Table1[HomeGameGoalDiff])</f>
        <v>0</v>
      </c>
      <c r="AB813" s="64">
        <f>IF(ISBLANK(Table1[[#This Row],[ActualResult]]), 0, 1)</f>
        <v>0</v>
      </c>
      <c r="AC813" s="64">
        <f>IF(ISBLANK(Table1[[#This Row],[ActualResult]]), 0, IF(Table1[[#This Row],[ActualWinner]]=Table1[[#This Row],[PredictedWinner]], 1, 0))</f>
        <v>0</v>
      </c>
      <c r="AD81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1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13" s="64">
        <f>IF(AND(Table1[[#This Row],[GameIsOver]]=1,Table1[[#This Row],[ActualAwayScore]]=0), 1,0)</f>
        <v>0</v>
      </c>
      <c r="AG813" s="64">
        <f>IF(AND(Table1[[#This Row],[GameIsOver]]=1,Table1[[#This Row],[ActualHomeScore]]=0), 1,0)</f>
        <v>0</v>
      </c>
      <c r="AH813" s="64">
        <f>IF(Table1[[#This Row],[GameIsOver]]=0,0,IF(Table1[[#This Row],[ActualWinner]]=Table1[[#This Row],[AwayTeam]], 1, 0))</f>
        <v>0</v>
      </c>
      <c r="AI813" s="64">
        <f>IF(Table1[[#This Row],[GameIsOver]]=0,0,IF(Table1[[#This Row],[ActualWinner]]=Table1[[#This Row],[HomeTeam]], 1, 0))</f>
        <v>0</v>
      </c>
      <c r="AJ813" s="64">
        <f>IF(INDEX(Standings!$A$2:$C$33,MATCH(Table1[[#This Row],[AwayTeam]],Standings!$A$2:$A$33,0),2)=INDEX(Standings!$A$2:$C$33,MATCH(Table1[[#This Row],[HomeTeam]],Standings!$A$2:$A$33,0),2),1,0)</f>
        <v>1</v>
      </c>
      <c r="AK813" s="64">
        <f>IF(INDEX(Standings!$A$2:$C$33,MATCH(Table1[[#This Row],[AwayTeam]],Standings!$A$2:$A$33,0),3)=INDEX(Standings!$A$2:$C$33,MATCH(Table1[[#This Row],[HomeTeam]],Standings!$A$2:$A$33,0),3),1,0)</f>
        <v>1</v>
      </c>
      <c r="AL813" s="64">
        <f>IF(Table1[[#This Row],[InterConf]]=1,IF(Table1[[#This Row],[InterDiv]]=0, 1, 0), 0)</f>
        <v>0</v>
      </c>
      <c r="AM813" s="64">
        <f>IF(INDEX(Standings!$A$2:$C$33,MATCH(Table1[[#This Row],[AwayTeam]],Standings!$A$2:$A$33,0),2)&lt;&gt;INDEX(Standings!$A$2:$C$33,MATCH(Table1[[#This Row],[HomeTeam]],Standings!$A$2:$A$33,0),2),1,0)</f>
        <v>0</v>
      </c>
      <c r="AN813" s="64" t="str">
        <f>INDEX(Table2[AWAY_RECORD], MATCH(Table1[[#This Row],[AwayTeam]],Table2[Team], 0), 0)</f>
        <v>0-1-0</v>
      </c>
      <c r="AO813" s="64" t="str">
        <f>INDEX(Records!$B$2:$AG$33, MATCH(Table1[[#This Row],[AwayTeam]],Records!$A$2:$A$33, 0), MATCH(Table1[[#This Row],[HomeTeam]],Records!$A$2:$A$33, 0))</f>
        <v>0-0-0</v>
      </c>
      <c r="AP813" s="64" t="str">
        <f>INDEX(Table2[HOME_RECORD], MATCH(Table1[[#This Row],[HomeTeam]],Table2[Team], 0), 0)</f>
        <v>0-0-1</v>
      </c>
      <c r="AQ813" s="64" t="str">
        <f>INDEX(Records!$B$2:$AG$33, MATCH(Table1[[#This Row],[HomeTeam]],Records!$A$2:$A$33, 0), MATCH(Table1[[#This Row],[AwayTeam]],Records!$A$2:$A$33, 0))</f>
        <v>0-0-0</v>
      </c>
    </row>
    <row r="814" spans="1:43" x14ac:dyDescent="0.25">
      <c r="A814" s="1"/>
      <c r="D814" t="s">
        <v>1110</v>
      </c>
      <c r="E814" t="s">
        <v>443</v>
      </c>
      <c r="F814" t="s">
        <v>1113</v>
      </c>
      <c r="G814" t="s">
        <v>42</v>
      </c>
      <c r="H814" t="s">
        <v>52</v>
      </c>
      <c r="L81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1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14" s="1"/>
      <c r="T814" s="64" t="str">
        <f>IF(Table1[[#This Row],[ActualWinner]]="", "", IF(Table1[[#This Row],[AwayTeam]]=Table1[[#This Row],[ActualWinner]],Table1[[#This Row],[HomeTeam]],Table1[[#This Row],[AwayTeam]]))</f>
        <v/>
      </c>
      <c r="U814" s="64">
        <f>Table1[[#This Row],[ActualAwayScore]]-Table1[[#This Row],[PredictedAwayScore]]</f>
        <v>0</v>
      </c>
      <c r="V814" s="64">
        <f>Table1[[#This Row],[ActualHomeScore]]-Table1[[#This Row],[PredictedHomeScore]]</f>
        <v>0</v>
      </c>
      <c r="W814" s="64">
        <f>(0.8*IF(Table1[[#This Row],[CorrectWinnerPrediction]]=1, 1, 0))+(0.1*IF(Table1[[#This Row],[CorrectAwayScorePrediction]]=1, 1, 0))+(0.1*IF(Table1[[#This Row],[CorrectHomeScorePrediction]]=1, 1, 0))</f>
        <v>0</v>
      </c>
      <c r="X81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14" s="64">
        <f>SUMIF(Table1[GameDate], Table1[[#This Row],[GameDate]], Table1[AwayGameGoalDiff])</f>
        <v>0</v>
      </c>
      <c r="AA814" s="64">
        <f>SUMIF(Table1[GameDate], Table1[[#This Row],[GameDate]], Table1[HomeGameGoalDiff])</f>
        <v>0</v>
      </c>
      <c r="AB814" s="64">
        <f>IF(ISBLANK(Table1[[#This Row],[ActualResult]]), 0, 1)</f>
        <v>0</v>
      </c>
      <c r="AC814" s="64">
        <f>IF(ISBLANK(Table1[[#This Row],[ActualResult]]), 0, IF(Table1[[#This Row],[ActualWinner]]=Table1[[#This Row],[PredictedWinner]], 1, 0))</f>
        <v>0</v>
      </c>
      <c r="AD81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1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14" s="64">
        <f>IF(AND(Table1[[#This Row],[GameIsOver]]=1,Table1[[#This Row],[ActualAwayScore]]=0), 1,0)</f>
        <v>0</v>
      </c>
      <c r="AG814" s="64">
        <f>IF(AND(Table1[[#This Row],[GameIsOver]]=1,Table1[[#This Row],[ActualHomeScore]]=0), 1,0)</f>
        <v>0</v>
      </c>
      <c r="AH814" s="64">
        <f>IF(Table1[[#This Row],[GameIsOver]]=0,0,IF(Table1[[#This Row],[ActualWinner]]=Table1[[#This Row],[AwayTeam]], 1, 0))</f>
        <v>0</v>
      </c>
      <c r="AI814" s="64">
        <f>IF(Table1[[#This Row],[GameIsOver]]=0,0,IF(Table1[[#This Row],[ActualWinner]]=Table1[[#This Row],[HomeTeam]], 1, 0))</f>
        <v>0</v>
      </c>
      <c r="AJ814" s="64">
        <f>IF(INDEX(Standings!$A$2:$C$33,MATCH(Table1[[#This Row],[AwayTeam]],Standings!$A$2:$A$33,0),2)=INDEX(Standings!$A$2:$C$33,MATCH(Table1[[#This Row],[HomeTeam]],Standings!$A$2:$A$33,0),2),1,0)</f>
        <v>1</v>
      </c>
      <c r="AK814" s="64">
        <f>IF(INDEX(Standings!$A$2:$C$33,MATCH(Table1[[#This Row],[AwayTeam]],Standings!$A$2:$A$33,0),3)=INDEX(Standings!$A$2:$C$33,MATCH(Table1[[#This Row],[HomeTeam]],Standings!$A$2:$A$33,0),3),1,0)</f>
        <v>0</v>
      </c>
      <c r="AL814" s="64">
        <f>IF(Table1[[#This Row],[InterConf]]=1,IF(Table1[[#This Row],[InterDiv]]=0, 1, 0), 0)</f>
        <v>1</v>
      </c>
      <c r="AM814" s="64">
        <f>IF(INDEX(Standings!$A$2:$C$33,MATCH(Table1[[#This Row],[AwayTeam]],Standings!$A$2:$A$33,0),2)&lt;&gt;INDEX(Standings!$A$2:$C$33,MATCH(Table1[[#This Row],[HomeTeam]],Standings!$A$2:$A$33,0),2),1,0)</f>
        <v>0</v>
      </c>
      <c r="AN814" s="64" t="str">
        <f>INDEX(Table2[AWAY_RECORD], MATCH(Table1[[#This Row],[AwayTeam]],Table2[Team], 0), 0)</f>
        <v>0-0-0</v>
      </c>
      <c r="AO814" s="64" t="str">
        <f>INDEX(Records!$B$2:$AG$33, MATCH(Table1[[#This Row],[AwayTeam]],Records!$A$2:$A$33, 0), MATCH(Table1[[#This Row],[HomeTeam]],Records!$A$2:$A$33, 0))</f>
        <v>0-0-0</v>
      </c>
      <c r="AP814" s="64" t="str">
        <f>INDEX(Table2[HOME_RECORD], MATCH(Table1[[#This Row],[HomeTeam]],Table2[Team], 0), 0)</f>
        <v>0-0-0</v>
      </c>
      <c r="AQ814" s="64" t="str">
        <f>INDEX(Records!$B$2:$AG$33, MATCH(Table1[[#This Row],[HomeTeam]],Records!$A$2:$A$33, 0), MATCH(Table1[[#This Row],[AwayTeam]],Records!$A$2:$A$33, 0))</f>
        <v>0-0-0</v>
      </c>
    </row>
    <row r="815" spans="1:43" x14ac:dyDescent="0.25">
      <c r="A815" s="1"/>
      <c r="D815" t="s">
        <v>1110</v>
      </c>
      <c r="E815" t="s">
        <v>207</v>
      </c>
      <c r="F815" t="s">
        <v>1114</v>
      </c>
      <c r="G815" t="s">
        <v>46</v>
      </c>
      <c r="H815" t="s">
        <v>48</v>
      </c>
      <c r="L81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1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15" s="1"/>
      <c r="T815" s="64" t="str">
        <f>IF(Table1[[#This Row],[ActualWinner]]="", "", IF(Table1[[#This Row],[AwayTeam]]=Table1[[#This Row],[ActualWinner]],Table1[[#This Row],[HomeTeam]],Table1[[#This Row],[AwayTeam]]))</f>
        <v/>
      </c>
      <c r="U815" s="64">
        <f>Table1[[#This Row],[ActualAwayScore]]-Table1[[#This Row],[PredictedAwayScore]]</f>
        <v>0</v>
      </c>
      <c r="V815" s="64">
        <f>Table1[[#This Row],[ActualHomeScore]]-Table1[[#This Row],[PredictedHomeScore]]</f>
        <v>0</v>
      </c>
      <c r="W815" s="64">
        <f>(0.8*IF(Table1[[#This Row],[CorrectWinnerPrediction]]=1, 1, 0))+(0.1*IF(Table1[[#This Row],[CorrectAwayScorePrediction]]=1, 1, 0))+(0.1*IF(Table1[[#This Row],[CorrectHomeScorePrediction]]=1, 1, 0))</f>
        <v>0</v>
      </c>
      <c r="X81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15" s="64">
        <f>SUMIF(Table1[GameDate], Table1[[#This Row],[GameDate]], Table1[AwayGameGoalDiff])</f>
        <v>0</v>
      </c>
      <c r="AA815" s="64">
        <f>SUMIF(Table1[GameDate], Table1[[#This Row],[GameDate]], Table1[HomeGameGoalDiff])</f>
        <v>0</v>
      </c>
      <c r="AB815" s="64">
        <f>IF(ISBLANK(Table1[[#This Row],[ActualResult]]), 0, 1)</f>
        <v>0</v>
      </c>
      <c r="AC815" s="64">
        <f>IF(ISBLANK(Table1[[#This Row],[ActualResult]]), 0, IF(Table1[[#This Row],[ActualWinner]]=Table1[[#This Row],[PredictedWinner]], 1, 0))</f>
        <v>0</v>
      </c>
      <c r="AD81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1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15" s="64">
        <f>IF(AND(Table1[[#This Row],[GameIsOver]]=1,Table1[[#This Row],[ActualAwayScore]]=0), 1,0)</f>
        <v>0</v>
      </c>
      <c r="AG815" s="64">
        <f>IF(AND(Table1[[#This Row],[GameIsOver]]=1,Table1[[#This Row],[ActualHomeScore]]=0), 1,0)</f>
        <v>0</v>
      </c>
      <c r="AH815" s="64">
        <f>IF(Table1[[#This Row],[GameIsOver]]=0,0,IF(Table1[[#This Row],[ActualWinner]]=Table1[[#This Row],[AwayTeam]], 1, 0))</f>
        <v>0</v>
      </c>
      <c r="AI815" s="64">
        <f>IF(Table1[[#This Row],[GameIsOver]]=0,0,IF(Table1[[#This Row],[ActualWinner]]=Table1[[#This Row],[HomeTeam]], 1, 0))</f>
        <v>0</v>
      </c>
      <c r="AJ815" s="64">
        <f>IF(INDEX(Standings!$A$2:$C$33,MATCH(Table1[[#This Row],[AwayTeam]],Standings!$A$2:$A$33,0),2)=INDEX(Standings!$A$2:$C$33,MATCH(Table1[[#This Row],[HomeTeam]],Standings!$A$2:$A$33,0),2),1,0)</f>
        <v>1</v>
      </c>
      <c r="AK815" s="64">
        <f>IF(INDEX(Standings!$A$2:$C$33,MATCH(Table1[[#This Row],[AwayTeam]],Standings!$A$2:$A$33,0),3)=INDEX(Standings!$A$2:$C$33,MATCH(Table1[[#This Row],[HomeTeam]],Standings!$A$2:$A$33,0),3),1,0)</f>
        <v>0</v>
      </c>
      <c r="AL815" s="64">
        <f>IF(Table1[[#This Row],[InterConf]]=1,IF(Table1[[#This Row],[InterDiv]]=0, 1, 0), 0)</f>
        <v>1</v>
      </c>
      <c r="AM815" s="64">
        <f>IF(INDEX(Standings!$A$2:$C$33,MATCH(Table1[[#This Row],[AwayTeam]],Standings!$A$2:$A$33,0),2)&lt;&gt;INDEX(Standings!$A$2:$C$33,MATCH(Table1[[#This Row],[HomeTeam]],Standings!$A$2:$A$33,0),2),1,0)</f>
        <v>0</v>
      </c>
      <c r="AN815" s="64" t="str">
        <f>INDEX(Table2[AWAY_RECORD], MATCH(Table1[[#This Row],[AwayTeam]],Table2[Team], 0), 0)</f>
        <v>1-0-0</v>
      </c>
      <c r="AO815" s="64" t="str">
        <f>INDEX(Records!$B$2:$AG$33, MATCH(Table1[[#This Row],[AwayTeam]],Records!$A$2:$A$33, 0), MATCH(Table1[[#This Row],[HomeTeam]],Records!$A$2:$A$33, 0))</f>
        <v>0-0-0</v>
      </c>
      <c r="AP815" s="64" t="str">
        <f>INDEX(Table2[HOME_RECORD], MATCH(Table1[[#This Row],[HomeTeam]],Table2[Team], 0), 0)</f>
        <v>1-0-0</v>
      </c>
      <c r="AQ815" s="64" t="str">
        <f>INDEX(Records!$B$2:$AG$33, MATCH(Table1[[#This Row],[HomeTeam]],Records!$A$2:$A$33, 0), MATCH(Table1[[#This Row],[AwayTeam]],Records!$A$2:$A$33, 0))</f>
        <v>0-0-0</v>
      </c>
    </row>
    <row r="816" spans="1:43" x14ac:dyDescent="0.25">
      <c r="A816" s="1"/>
      <c r="D816" t="s">
        <v>1110</v>
      </c>
      <c r="E816" t="s">
        <v>162</v>
      </c>
      <c r="F816" t="s">
        <v>1115</v>
      </c>
      <c r="G816" t="s">
        <v>39</v>
      </c>
      <c r="H816" t="s">
        <v>47</v>
      </c>
      <c r="L81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1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16" s="1"/>
      <c r="T816" s="64" t="str">
        <f>IF(Table1[[#This Row],[ActualWinner]]="", "", IF(Table1[[#This Row],[AwayTeam]]=Table1[[#This Row],[ActualWinner]],Table1[[#This Row],[HomeTeam]],Table1[[#This Row],[AwayTeam]]))</f>
        <v/>
      </c>
      <c r="U816" s="64">
        <f>Table1[[#This Row],[ActualAwayScore]]-Table1[[#This Row],[PredictedAwayScore]]</f>
        <v>0</v>
      </c>
      <c r="V816" s="64">
        <f>Table1[[#This Row],[ActualHomeScore]]-Table1[[#This Row],[PredictedHomeScore]]</f>
        <v>0</v>
      </c>
      <c r="W816" s="64">
        <f>(0.8*IF(Table1[[#This Row],[CorrectWinnerPrediction]]=1, 1, 0))+(0.1*IF(Table1[[#This Row],[CorrectAwayScorePrediction]]=1, 1, 0))+(0.1*IF(Table1[[#This Row],[CorrectHomeScorePrediction]]=1, 1, 0))</f>
        <v>0</v>
      </c>
      <c r="X81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16" s="64">
        <f>SUMIF(Table1[GameDate], Table1[[#This Row],[GameDate]], Table1[AwayGameGoalDiff])</f>
        <v>0</v>
      </c>
      <c r="AA816" s="64">
        <f>SUMIF(Table1[GameDate], Table1[[#This Row],[GameDate]], Table1[HomeGameGoalDiff])</f>
        <v>0</v>
      </c>
      <c r="AB816" s="64">
        <f>IF(ISBLANK(Table1[[#This Row],[ActualResult]]), 0, 1)</f>
        <v>0</v>
      </c>
      <c r="AC816" s="64">
        <f>IF(ISBLANK(Table1[[#This Row],[ActualResult]]), 0, IF(Table1[[#This Row],[ActualWinner]]=Table1[[#This Row],[PredictedWinner]], 1, 0))</f>
        <v>0</v>
      </c>
      <c r="AD81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1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16" s="64">
        <f>IF(AND(Table1[[#This Row],[GameIsOver]]=1,Table1[[#This Row],[ActualAwayScore]]=0), 1,0)</f>
        <v>0</v>
      </c>
      <c r="AG816" s="64">
        <f>IF(AND(Table1[[#This Row],[GameIsOver]]=1,Table1[[#This Row],[ActualHomeScore]]=0), 1,0)</f>
        <v>0</v>
      </c>
      <c r="AH816" s="64">
        <f>IF(Table1[[#This Row],[GameIsOver]]=0,0,IF(Table1[[#This Row],[ActualWinner]]=Table1[[#This Row],[AwayTeam]], 1, 0))</f>
        <v>0</v>
      </c>
      <c r="AI816" s="64">
        <f>IF(Table1[[#This Row],[GameIsOver]]=0,0,IF(Table1[[#This Row],[ActualWinner]]=Table1[[#This Row],[HomeTeam]], 1, 0))</f>
        <v>0</v>
      </c>
      <c r="AJ816" s="64">
        <f>IF(INDEX(Standings!$A$2:$C$33,MATCH(Table1[[#This Row],[AwayTeam]],Standings!$A$2:$A$33,0),2)=INDEX(Standings!$A$2:$C$33,MATCH(Table1[[#This Row],[HomeTeam]],Standings!$A$2:$A$33,0),2),1,0)</f>
        <v>0</v>
      </c>
      <c r="AK816" s="64">
        <f>IF(INDEX(Standings!$A$2:$C$33,MATCH(Table1[[#This Row],[AwayTeam]],Standings!$A$2:$A$33,0),3)=INDEX(Standings!$A$2:$C$33,MATCH(Table1[[#This Row],[HomeTeam]],Standings!$A$2:$A$33,0),3),1,0)</f>
        <v>0</v>
      </c>
      <c r="AL816" s="64">
        <f>IF(Table1[[#This Row],[InterConf]]=1,IF(Table1[[#This Row],[InterDiv]]=0, 1, 0), 0)</f>
        <v>0</v>
      </c>
      <c r="AM816" s="64">
        <f>IF(INDEX(Standings!$A$2:$C$33,MATCH(Table1[[#This Row],[AwayTeam]],Standings!$A$2:$A$33,0),2)&lt;&gt;INDEX(Standings!$A$2:$C$33,MATCH(Table1[[#This Row],[HomeTeam]],Standings!$A$2:$A$33,0),2),1,0)</f>
        <v>1</v>
      </c>
      <c r="AN816" s="64" t="str">
        <f>INDEX(Table2[AWAY_RECORD], MATCH(Table1[[#This Row],[AwayTeam]],Table2[Team], 0), 0)</f>
        <v>0-0-0</v>
      </c>
      <c r="AO816" s="64" t="str">
        <f>INDEX(Records!$B$2:$AG$33, MATCH(Table1[[#This Row],[AwayTeam]],Records!$A$2:$A$33, 0), MATCH(Table1[[#This Row],[HomeTeam]],Records!$A$2:$A$33, 0))</f>
        <v>0-0-0</v>
      </c>
      <c r="AP816" s="64" t="str">
        <f>INDEX(Table2[HOME_RECORD], MATCH(Table1[[#This Row],[HomeTeam]],Table2[Team], 0), 0)</f>
        <v>0-0-0</v>
      </c>
      <c r="AQ816" s="64" t="str">
        <f>INDEX(Records!$B$2:$AG$33, MATCH(Table1[[#This Row],[HomeTeam]],Records!$A$2:$A$33, 0), MATCH(Table1[[#This Row],[AwayTeam]],Records!$A$2:$A$33, 0))</f>
        <v>0-0-0</v>
      </c>
    </row>
    <row r="817" spans="1:43" x14ac:dyDescent="0.25">
      <c r="A817" s="1"/>
      <c r="D817" t="s">
        <v>1110</v>
      </c>
      <c r="E817" t="s">
        <v>162</v>
      </c>
      <c r="F817" t="s">
        <v>1116</v>
      </c>
      <c r="G817" t="s">
        <v>23</v>
      </c>
      <c r="H817" t="s">
        <v>54</v>
      </c>
      <c r="L81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1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17" s="1"/>
      <c r="T817" s="64" t="str">
        <f>IF(Table1[[#This Row],[ActualWinner]]="", "", IF(Table1[[#This Row],[AwayTeam]]=Table1[[#This Row],[ActualWinner]],Table1[[#This Row],[HomeTeam]],Table1[[#This Row],[AwayTeam]]))</f>
        <v/>
      </c>
      <c r="U817" s="64">
        <f>Table1[[#This Row],[ActualAwayScore]]-Table1[[#This Row],[PredictedAwayScore]]</f>
        <v>0</v>
      </c>
      <c r="V817" s="64">
        <f>Table1[[#This Row],[ActualHomeScore]]-Table1[[#This Row],[PredictedHomeScore]]</f>
        <v>0</v>
      </c>
      <c r="W817" s="64">
        <f>(0.8*IF(Table1[[#This Row],[CorrectWinnerPrediction]]=1, 1, 0))+(0.1*IF(Table1[[#This Row],[CorrectAwayScorePrediction]]=1, 1, 0))+(0.1*IF(Table1[[#This Row],[CorrectHomeScorePrediction]]=1, 1, 0))</f>
        <v>0</v>
      </c>
      <c r="X81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17" s="64">
        <f>SUMIF(Table1[GameDate], Table1[[#This Row],[GameDate]], Table1[AwayGameGoalDiff])</f>
        <v>0</v>
      </c>
      <c r="AA817" s="64">
        <f>SUMIF(Table1[GameDate], Table1[[#This Row],[GameDate]], Table1[HomeGameGoalDiff])</f>
        <v>0</v>
      </c>
      <c r="AB817" s="64">
        <f>IF(ISBLANK(Table1[[#This Row],[ActualResult]]), 0, 1)</f>
        <v>0</v>
      </c>
      <c r="AC817" s="64">
        <f>IF(ISBLANK(Table1[[#This Row],[ActualResult]]), 0, IF(Table1[[#This Row],[ActualWinner]]=Table1[[#This Row],[PredictedWinner]], 1, 0))</f>
        <v>0</v>
      </c>
      <c r="AD81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1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17" s="64">
        <f>IF(AND(Table1[[#This Row],[GameIsOver]]=1,Table1[[#This Row],[ActualAwayScore]]=0), 1,0)</f>
        <v>0</v>
      </c>
      <c r="AG817" s="64">
        <f>IF(AND(Table1[[#This Row],[GameIsOver]]=1,Table1[[#This Row],[ActualHomeScore]]=0), 1,0)</f>
        <v>0</v>
      </c>
      <c r="AH817" s="64">
        <f>IF(Table1[[#This Row],[GameIsOver]]=0,0,IF(Table1[[#This Row],[ActualWinner]]=Table1[[#This Row],[AwayTeam]], 1, 0))</f>
        <v>0</v>
      </c>
      <c r="AI817" s="64">
        <f>IF(Table1[[#This Row],[GameIsOver]]=0,0,IF(Table1[[#This Row],[ActualWinner]]=Table1[[#This Row],[HomeTeam]], 1, 0))</f>
        <v>0</v>
      </c>
      <c r="AJ817" s="64">
        <f>IF(INDEX(Standings!$A$2:$C$33,MATCH(Table1[[#This Row],[AwayTeam]],Standings!$A$2:$A$33,0),2)=INDEX(Standings!$A$2:$C$33,MATCH(Table1[[#This Row],[HomeTeam]],Standings!$A$2:$A$33,0),2),1,0)</f>
        <v>0</v>
      </c>
      <c r="AK817" s="64">
        <f>IF(INDEX(Standings!$A$2:$C$33,MATCH(Table1[[#This Row],[AwayTeam]],Standings!$A$2:$A$33,0),3)=INDEX(Standings!$A$2:$C$33,MATCH(Table1[[#This Row],[HomeTeam]],Standings!$A$2:$A$33,0),3),1,0)</f>
        <v>0</v>
      </c>
      <c r="AL817" s="64">
        <f>IF(Table1[[#This Row],[InterConf]]=1,IF(Table1[[#This Row],[InterDiv]]=0, 1, 0), 0)</f>
        <v>0</v>
      </c>
      <c r="AM817" s="64">
        <f>IF(INDEX(Standings!$A$2:$C$33,MATCH(Table1[[#This Row],[AwayTeam]],Standings!$A$2:$A$33,0),2)&lt;&gt;INDEX(Standings!$A$2:$C$33,MATCH(Table1[[#This Row],[HomeTeam]],Standings!$A$2:$A$33,0),2),1,0)</f>
        <v>1</v>
      </c>
      <c r="AN817" s="64" t="str">
        <f>INDEX(Table2[AWAY_RECORD], MATCH(Table1[[#This Row],[AwayTeam]],Table2[Team], 0), 0)</f>
        <v>0-0-1</v>
      </c>
      <c r="AO817" s="64" t="str">
        <f>INDEX(Records!$B$2:$AG$33, MATCH(Table1[[#This Row],[AwayTeam]],Records!$A$2:$A$33, 0), MATCH(Table1[[#This Row],[HomeTeam]],Records!$A$2:$A$33, 0))</f>
        <v>0-0-0</v>
      </c>
      <c r="AP817" s="64" t="str">
        <f>INDEX(Table2[HOME_RECORD], MATCH(Table1[[#This Row],[HomeTeam]],Table2[Team], 0), 0)</f>
        <v>0-0-0</v>
      </c>
      <c r="AQ817" s="64" t="str">
        <f>INDEX(Records!$B$2:$AG$33, MATCH(Table1[[#This Row],[HomeTeam]],Records!$A$2:$A$33, 0), MATCH(Table1[[#This Row],[AwayTeam]],Records!$A$2:$A$33, 0))</f>
        <v>0-0-0</v>
      </c>
    </row>
    <row r="818" spans="1:43" x14ac:dyDescent="0.25">
      <c r="A818" s="1"/>
      <c r="D818" t="s">
        <v>1110</v>
      </c>
      <c r="E818" t="s">
        <v>162</v>
      </c>
      <c r="F818" t="s">
        <v>1117</v>
      </c>
      <c r="G818" t="s">
        <v>36</v>
      </c>
      <c r="H818" t="s">
        <v>40</v>
      </c>
      <c r="L81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1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18" s="1"/>
      <c r="T818" s="64" t="str">
        <f>IF(Table1[[#This Row],[ActualWinner]]="", "", IF(Table1[[#This Row],[AwayTeam]]=Table1[[#This Row],[ActualWinner]],Table1[[#This Row],[HomeTeam]],Table1[[#This Row],[AwayTeam]]))</f>
        <v/>
      </c>
      <c r="U818" s="64">
        <f>Table1[[#This Row],[ActualAwayScore]]-Table1[[#This Row],[PredictedAwayScore]]</f>
        <v>0</v>
      </c>
      <c r="V818" s="64">
        <f>Table1[[#This Row],[ActualHomeScore]]-Table1[[#This Row],[PredictedHomeScore]]</f>
        <v>0</v>
      </c>
      <c r="W818" s="64">
        <f>(0.8*IF(Table1[[#This Row],[CorrectWinnerPrediction]]=1, 1, 0))+(0.1*IF(Table1[[#This Row],[CorrectAwayScorePrediction]]=1, 1, 0))+(0.1*IF(Table1[[#This Row],[CorrectHomeScorePrediction]]=1, 1, 0))</f>
        <v>0</v>
      </c>
      <c r="X81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18" s="64">
        <f>SUMIF(Table1[GameDate], Table1[[#This Row],[GameDate]], Table1[AwayGameGoalDiff])</f>
        <v>0</v>
      </c>
      <c r="AA818" s="64">
        <f>SUMIF(Table1[GameDate], Table1[[#This Row],[GameDate]], Table1[HomeGameGoalDiff])</f>
        <v>0</v>
      </c>
      <c r="AB818" s="64">
        <f>IF(ISBLANK(Table1[[#This Row],[ActualResult]]), 0, 1)</f>
        <v>0</v>
      </c>
      <c r="AC818" s="64">
        <f>IF(ISBLANK(Table1[[#This Row],[ActualResult]]), 0, IF(Table1[[#This Row],[ActualWinner]]=Table1[[#This Row],[PredictedWinner]], 1, 0))</f>
        <v>0</v>
      </c>
      <c r="AD81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1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18" s="64">
        <f>IF(AND(Table1[[#This Row],[GameIsOver]]=1,Table1[[#This Row],[ActualAwayScore]]=0), 1,0)</f>
        <v>0</v>
      </c>
      <c r="AG818" s="64">
        <f>IF(AND(Table1[[#This Row],[GameIsOver]]=1,Table1[[#This Row],[ActualHomeScore]]=0), 1,0)</f>
        <v>0</v>
      </c>
      <c r="AH818" s="64">
        <f>IF(Table1[[#This Row],[GameIsOver]]=0,0,IF(Table1[[#This Row],[ActualWinner]]=Table1[[#This Row],[AwayTeam]], 1, 0))</f>
        <v>0</v>
      </c>
      <c r="AI818" s="64">
        <f>IF(Table1[[#This Row],[GameIsOver]]=0,0,IF(Table1[[#This Row],[ActualWinner]]=Table1[[#This Row],[HomeTeam]], 1, 0))</f>
        <v>0</v>
      </c>
      <c r="AJ818" s="64">
        <f>IF(INDEX(Standings!$A$2:$C$33,MATCH(Table1[[#This Row],[AwayTeam]],Standings!$A$2:$A$33,0),2)=INDEX(Standings!$A$2:$C$33,MATCH(Table1[[#This Row],[HomeTeam]],Standings!$A$2:$A$33,0),2),1,0)</f>
        <v>0</v>
      </c>
      <c r="AK818" s="64">
        <f>IF(INDEX(Standings!$A$2:$C$33,MATCH(Table1[[#This Row],[AwayTeam]],Standings!$A$2:$A$33,0),3)=INDEX(Standings!$A$2:$C$33,MATCH(Table1[[#This Row],[HomeTeam]],Standings!$A$2:$A$33,0),3),1,0)</f>
        <v>0</v>
      </c>
      <c r="AL818" s="64">
        <f>IF(Table1[[#This Row],[InterConf]]=1,IF(Table1[[#This Row],[InterDiv]]=0, 1, 0), 0)</f>
        <v>0</v>
      </c>
      <c r="AM818" s="64">
        <f>IF(INDEX(Standings!$A$2:$C$33,MATCH(Table1[[#This Row],[AwayTeam]],Standings!$A$2:$A$33,0),2)&lt;&gt;INDEX(Standings!$A$2:$C$33,MATCH(Table1[[#This Row],[HomeTeam]],Standings!$A$2:$A$33,0),2),1,0)</f>
        <v>1</v>
      </c>
      <c r="AN818" s="64" t="str">
        <f>INDEX(Table2[AWAY_RECORD], MATCH(Table1[[#This Row],[AwayTeam]],Table2[Team], 0), 0)</f>
        <v>0-0-0</v>
      </c>
      <c r="AO818" s="64" t="str">
        <f>INDEX(Records!$B$2:$AG$33, MATCH(Table1[[#This Row],[AwayTeam]],Records!$A$2:$A$33, 0), MATCH(Table1[[#This Row],[HomeTeam]],Records!$A$2:$A$33, 0))</f>
        <v>0-0-0</v>
      </c>
      <c r="AP818" s="64" t="str">
        <f>INDEX(Table2[HOME_RECORD], MATCH(Table1[[#This Row],[HomeTeam]],Table2[Team], 0), 0)</f>
        <v>1-1-0</v>
      </c>
      <c r="AQ818" s="64" t="str">
        <f>INDEX(Records!$B$2:$AG$33, MATCH(Table1[[#This Row],[HomeTeam]],Records!$A$2:$A$33, 0), MATCH(Table1[[#This Row],[AwayTeam]],Records!$A$2:$A$33, 0))</f>
        <v>0-0-0</v>
      </c>
    </row>
    <row r="819" spans="1:43" x14ac:dyDescent="0.25">
      <c r="A819" s="1"/>
      <c r="D819" t="s">
        <v>1110</v>
      </c>
      <c r="E819" t="s">
        <v>162</v>
      </c>
      <c r="F819" t="s">
        <v>1118</v>
      </c>
      <c r="G819" t="s">
        <v>24</v>
      </c>
      <c r="H819" t="s">
        <v>61</v>
      </c>
      <c r="L81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1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19" s="1"/>
      <c r="T819" s="64" t="str">
        <f>IF(Table1[[#This Row],[ActualWinner]]="", "", IF(Table1[[#This Row],[AwayTeam]]=Table1[[#This Row],[ActualWinner]],Table1[[#This Row],[HomeTeam]],Table1[[#This Row],[AwayTeam]]))</f>
        <v/>
      </c>
      <c r="U819" s="64">
        <f>Table1[[#This Row],[ActualAwayScore]]-Table1[[#This Row],[PredictedAwayScore]]</f>
        <v>0</v>
      </c>
      <c r="V819" s="64">
        <f>Table1[[#This Row],[ActualHomeScore]]-Table1[[#This Row],[PredictedHomeScore]]</f>
        <v>0</v>
      </c>
      <c r="W819" s="64">
        <f>(0.8*IF(Table1[[#This Row],[CorrectWinnerPrediction]]=1, 1, 0))+(0.1*IF(Table1[[#This Row],[CorrectAwayScorePrediction]]=1, 1, 0))+(0.1*IF(Table1[[#This Row],[CorrectHomeScorePrediction]]=1, 1, 0))</f>
        <v>0</v>
      </c>
      <c r="X81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19" s="64">
        <f>SUMIF(Table1[GameDate], Table1[[#This Row],[GameDate]], Table1[AwayGameGoalDiff])</f>
        <v>0</v>
      </c>
      <c r="AA819" s="64">
        <f>SUMIF(Table1[GameDate], Table1[[#This Row],[GameDate]], Table1[HomeGameGoalDiff])</f>
        <v>0</v>
      </c>
      <c r="AB819" s="64">
        <f>IF(ISBLANK(Table1[[#This Row],[ActualResult]]), 0, 1)</f>
        <v>0</v>
      </c>
      <c r="AC819" s="64">
        <f>IF(ISBLANK(Table1[[#This Row],[ActualResult]]), 0, IF(Table1[[#This Row],[ActualWinner]]=Table1[[#This Row],[PredictedWinner]], 1, 0))</f>
        <v>0</v>
      </c>
      <c r="AD81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1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19" s="64">
        <f>IF(AND(Table1[[#This Row],[GameIsOver]]=1,Table1[[#This Row],[ActualAwayScore]]=0), 1,0)</f>
        <v>0</v>
      </c>
      <c r="AG819" s="64">
        <f>IF(AND(Table1[[#This Row],[GameIsOver]]=1,Table1[[#This Row],[ActualHomeScore]]=0), 1,0)</f>
        <v>0</v>
      </c>
      <c r="AH819" s="64">
        <f>IF(Table1[[#This Row],[GameIsOver]]=0,0,IF(Table1[[#This Row],[ActualWinner]]=Table1[[#This Row],[AwayTeam]], 1, 0))</f>
        <v>0</v>
      </c>
      <c r="AI819" s="64">
        <f>IF(Table1[[#This Row],[GameIsOver]]=0,0,IF(Table1[[#This Row],[ActualWinner]]=Table1[[#This Row],[HomeTeam]], 1, 0))</f>
        <v>0</v>
      </c>
      <c r="AJ819" s="64">
        <f>IF(INDEX(Standings!$A$2:$C$33,MATCH(Table1[[#This Row],[AwayTeam]],Standings!$A$2:$A$33,0),2)=INDEX(Standings!$A$2:$C$33,MATCH(Table1[[#This Row],[HomeTeam]],Standings!$A$2:$A$33,0),2),1,0)</f>
        <v>0</v>
      </c>
      <c r="AK819" s="64">
        <f>IF(INDEX(Standings!$A$2:$C$33,MATCH(Table1[[#This Row],[AwayTeam]],Standings!$A$2:$A$33,0),3)=INDEX(Standings!$A$2:$C$33,MATCH(Table1[[#This Row],[HomeTeam]],Standings!$A$2:$A$33,0),3),1,0)</f>
        <v>0</v>
      </c>
      <c r="AL819" s="64">
        <f>IF(Table1[[#This Row],[InterConf]]=1,IF(Table1[[#This Row],[InterDiv]]=0, 1, 0), 0)</f>
        <v>0</v>
      </c>
      <c r="AM819" s="64">
        <f>IF(INDEX(Standings!$A$2:$C$33,MATCH(Table1[[#This Row],[AwayTeam]],Standings!$A$2:$A$33,0),2)&lt;&gt;INDEX(Standings!$A$2:$C$33,MATCH(Table1[[#This Row],[HomeTeam]],Standings!$A$2:$A$33,0),2),1,0)</f>
        <v>1</v>
      </c>
      <c r="AN819" s="64" t="str">
        <f>INDEX(Table2[AWAY_RECORD], MATCH(Table1[[#This Row],[AwayTeam]],Table2[Team], 0), 0)</f>
        <v>0-0-0</v>
      </c>
      <c r="AO819" s="64" t="str">
        <f>INDEX(Records!$B$2:$AG$33, MATCH(Table1[[#This Row],[AwayTeam]],Records!$A$2:$A$33, 0), MATCH(Table1[[#This Row],[HomeTeam]],Records!$A$2:$A$33, 0))</f>
        <v>0-0-0</v>
      </c>
      <c r="AP819" s="64" t="str">
        <f>INDEX(Table2[HOME_RECORD], MATCH(Table1[[#This Row],[HomeTeam]],Table2[Team], 0), 0)</f>
        <v>0-0-0</v>
      </c>
      <c r="AQ819" s="64" t="str">
        <f>INDEX(Records!$B$2:$AG$33, MATCH(Table1[[#This Row],[HomeTeam]],Records!$A$2:$A$33, 0), MATCH(Table1[[#This Row],[AwayTeam]],Records!$A$2:$A$33, 0))</f>
        <v>0-0-0</v>
      </c>
    </row>
    <row r="820" spans="1:43" x14ac:dyDescent="0.25">
      <c r="A820" s="1"/>
      <c r="D820" t="s">
        <v>1110</v>
      </c>
      <c r="E820" t="s">
        <v>289</v>
      </c>
      <c r="F820" t="s">
        <v>1119</v>
      </c>
      <c r="G820" t="s">
        <v>56</v>
      </c>
      <c r="H820" t="s">
        <v>50</v>
      </c>
      <c r="L82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2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20" s="1"/>
      <c r="T820" s="64" t="str">
        <f>IF(Table1[[#This Row],[ActualWinner]]="", "", IF(Table1[[#This Row],[AwayTeam]]=Table1[[#This Row],[ActualWinner]],Table1[[#This Row],[HomeTeam]],Table1[[#This Row],[AwayTeam]]))</f>
        <v/>
      </c>
      <c r="U820" s="64">
        <f>Table1[[#This Row],[ActualAwayScore]]-Table1[[#This Row],[PredictedAwayScore]]</f>
        <v>0</v>
      </c>
      <c r="V820" s="64">
        <f>Table1[[#This Row],[ActualHomeScore]]-Table1[[#This Row],[PredictedHomeScore]]</f>
        <v>0</v>
      </c>
      <c r="W820" s="64">
        <f>(0.8*IF(Table1[[#This Row],[CorrectWinnerPrediction]]=1, 1, 0))+(0.1*IF(Table1[[#This Row],[CorrectAwayScorePrediction]]=1, 1, 0))+(0.1*IF(Table1[[#This Row],[CorrectHomeScorePrediction]]=1, 1, 0))</f>
        <v>0</v>
      </c>
      <c r="X82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20" s="64">
        <f>SUMIF(Table1[GameDate], Table1[[#This Row],[GameDate]], Table1[AwayGameGoalDiff])</f>
        <v>0</v>
      </c>
      <c r="AA820" s="64">
        <f>SUMIF(Table1[GameDate], Table1[[#This Row],[GameDate]], Table1[HomeGameGoalDiff])</f>
        <v>0</v>
      </c>
      <c r="AB820" s="64">
        <f>IF(ISBLANK(Table1[[#This Row],[ActualResult]]), 0, 1)</f>
        <v>0</v>
      </c>
      <c r="AC820" s="64">
        <f>IF(ISBLANK(Table1[[#This Row],[ActualResult]]), 0, IF(Table1[[#This Row],[ActualWinner]]=Table1[[#This Row],[PredictedWinner]], 1, 0))</f>
        <v>0</v>
      </c>
      <c r="AD82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2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20" s="64">
        <f>IF(AND(Table1[[#This Row],[GameIsOver]]=1,Table1[[#This Row],[ActualAwayScore]]=0), 1,0)</f>
        <v>0</v>
      </c>
      <c r="AG820" s="64">
        <f>IF(AND(Table1[[#This Row],[GameIsOver]]=1,Table1[[#This Row],[ActualHomeScore]]=0), 1,0)</f>
        <v>0</v>
      </c>
      <c r="AH820" s="64">
        <f>IF(Table1[[#This Row],[GameIsOver]]=0,0,IF(Table1[[#This Row],[ActualWinner]]=Table1[[#This Row],[AwayTeam]], 1, 0))</f>
        <v>0</v>
      </c>
      <c r="AI820" s="64">
        <f>IF(Table1[[#This Row],[GameIsOver]]=0,0,IF(Table1[[#This Row],[ActualWinner]]=Table1[[#This Row],[HomeTeam]], 1, 0))</f>
        <v>0</v>
      </c>
      <c r="AJ820" s="64">
        <f>IF(INDEX(Standings!$A$2:$C$33,MATCH(Table1[[#This Row],[AwayTeam]],Standings!$A$2:$A$33,0),2)=INDEX(Standings!$A$2:$C$33,MATCH(Table1[[#This Row],[HomeTeam]],Standings!$A$2:$A$33,0),2),1,0)</f>
        <v>0</v>
      </c>
      <c r="AK820" s="64">
        <f>IF(INDEX(Standings!$A$2:$C$33,MATCH(Table1[[#This Row],[AwayTeam]],Standings!$A$2:$A$33,0),3)=INDEX(Standings!$A$2:$C$33,MATCH(Table1[[#This Row],[HomeTeam]],Standings!$A$2:$A$33,0),3),1,0)</f>
        <v>0</v>
      </c>
      <c r="AL820" s="64">
        <f>IF(Table1[[#This Row],[InterConf]]=1,IF(Table1[[#This Row],[InterDiv]]=0, 1, 0), 0)</f>
        <v>0</v>
      </c>
      <c r="AM820" s="64">
        <f>IF(INDEX(Standings!$A$2:$C$33,MATCH(Table1[[#This Row],[AwayTeam]],Standings!$A$2:$A$33,0),2)&lt;&gt;INDEX(Standings!$A$2:$C$33,MATCH(Table1[[#This Row],[HomeTeam]],Standings!$A$2:$A$33,0),2),1,0)</f>
        <v>1</v>
      </c>
      <c r="AN820" s="64" t="str">
        <f>INDEX(Table2[AWAY_RECORD], MATCH(Table1[[#This Row],[AwayTeam]],Table2[Team], 0), 0)</f>
        <v>1-0-0</v>
      </c>
      <c r="AO820" s="64" t="str">
        <f>INDEX(Records!$B$2:$AG$33, MATCH(Table1[[#This Row],[AwayTeam]],Records!$A$2:$A$33, 0), MATCH(Table1[[#This Row],[HomeTeam]],Records!$A$2:$A$33, 0))</f>
        <v>0-0-0</v>
      </c>
      <c r="AP820" s="64" t="str">
        <f>INDEX(Table2[HOME_RECORD], MATCH(Table1[[#This Row],[HomeTeam]],Table2[Team], 0), 0)</f>
        <v>0-0-0</v>
      </c>
      <c r="AQ820" s="64" t="str">
        <f>INDEX(Records!$B$2:$AG$33, MATCH(Table1[[#This Row],[HomeTeam]],Records!$A$2:$A$33, 0), MATCH(Table1[[#This Row],[AwayTeam]],Records!$A$2:$A$33, 0))</f>
        <v>0-0-0</v>
      </c>
    </row>
    <row r="821" spans="1:43" x14ac:dyDescent="0.25">
      <c r="A821" s="1"/>
      <c r="D821" t="s">
        <v>1110</v>
      </c>
      <c r="E821" t="s">
        <v>289</v>
      </c>
      <c r="F821" t="s">
        <v>1120</v>
      </c>
      <c r="G821" t="s">
        <v>49</v>
      </c>
      <c r="H821" t="s">
        <v>53</v>
      </c>
      <c r="L82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2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21" s="1"/>
      <c r="T821" s="64" t="str">
        <f>IF(Table1[[#This Row],[ActualWinner]]="", "", IF(Table1[[#This Row],[AwayTeam]]=Table1[[#This Row],[ActualWinner]],Table1[[#This Row],[HomeTeam]],Table1[[#This Row],[AwayTeam]]))</f>
        <v/>
      </c>
      <c r="U821" s="64">
        <f>Table1[[#This Row],[ActualAwayScore]]-Table1[[#This Row],[PredictedAwayScore]]</f>
        <v>0</v>
      </c>
      <c r="V821" s="64">
        <f>Table1[[#This Row],[ActualHomeScore]]-Table1[[#This Row],[PredictedHomeScore]]</f>
        <v>0</v>
      </c>
      <c r="W821" s="64">
        <f>(0.8*IF(Table1[[#This Row],[CorrectWinnerPrediction]]=1, 1, 0))+(0.1*IF(Table1[[#This Row],[CorrectAwayScorePrediction]]=1, 1, 0))+(0.1*IF(Table1[[#This Row],[CorrectHomeScorePrediction]]=1, 1, 0))</f>
        <v>0</v>
      </c>
      <c r="X82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21" s="64">
        <f>SUMIF(Table1[GameDate], Table1[[#This Row],[GameDate]], Table1[AwayGameGoalDiff])</f>
        <v>0</v>
      </c>
      <c r="AA821" s="64">
        <f>SUMIF(Table1[GameDate], Table1[[#This Row],[GameDate]], Table1[HomeGameGoalDiff])</f>
        <v>0</v>
      </c>
      <c r="AB821" s="64">
        <f>IF(ISBLANK(Table1[[#This Row],[ActualResult]]), 0, 1)</f>
        <v>0</v>
      </c>
      <c r="AC821" s="64">
        <f>IF(ISBLANK(Table1[[#This Row],[ActualResult]]), 0, IF(Table1[[#This Row],[ActualWinner]]=Table1[[#This Row],[PredictedWinner]], 1, 0))</f>
        <v>0</v>
      </c>
      <c r="AD82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2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21" s="64">
        <f>IF(AND(Table1[[#This Row],[GameIsOver]]=1,Table1[[#This Row],[ActualAwayScore]]=0), 1,0)</f>
        <v>0</v>
      </c>
      <c r="AG821" s="64">
        <f>IF(AND(Table1[[#This Row],[GameIsOver]]=1,Table1[[#This Row],[ActualHomeScore]]=0), 1,0)</f>
        <v>0</v>
      </c>
      <c r="AH821" s="64">
        <f>IF(Table1[[#This Row],[GameIsOver]]=0,0,IF(Table1[[#This Row],[ActualWinner]]=Table1[[#This Row],[AwayTeam]], 1, 0))</f>
        <v>0</v>
      </c>
      <c r="AI821" s="64">
        <f>IF(Table1[[#This Row],[GameIsOver]]=0,0,IF(Table1[[#This Row],[ActualWinner]]=Table1[[#This Row],[HomeTeam]], 1, 0))</f>
        <v>0</v>
      </c>
      <c r="AJ821" s="64">
        <f>IF(INDEX(Standings!$A$2:$C$33,MATCH(Table1[[#This Row],[AwayTeam]],Standings!$A$2:$A$33,0),2)=INDEX(Standings!$A$2:$C$33,MATCH(Table1[[#This Row],[HomeTeam]],Standings!$A$2:$A$33,0),2),1,0)</f>
        <v>1</v>
      </c>
      <c r="AK821" s="64">
        <f>IF(INDEX(Standings!$A$2:$C$33,MATCH(Table1[[#This Row],[AwayTeam]],Standings!$A$2:$A$33,0),3)=INDEX(Standings!$A$2:$C$33,MATCH(Table1[[#This Row],[HomeTeam]],Standings!$A$2:$A$33,0),3),1,0)</f>
        <v>1</v>
      </c>
      <c r="AL821" s="64">
        <f>IF(Table1[[#This Row],[InterConf]]=1,IF(Table1[[#This Row],[InterDiv]]=0, 1, 0), 0)</f>
        <v>0</v>
      </c>
      <c r="AM821" s="64">
        <f>IF(INDEX(Standings!$A$2:$C$33,MATCH(Table1[[#This Row],[AwayTeam]],Standings!$A$2:$A$33,0),2)&lt;&gt;INDEX(Standings!$A$2:$C$33,MATCH(Table1[[#This Row],[HomeTeam]],Standings!$A$2:$A$33,0),2),1,0)</f>
        <v>0</v>
      </c>
      <c r="AN821" s="64" t="str">
        <f>INDEX(Table2[AWAY_RECORD], MATCH(Table1[[#This Row],[AwayTeam]],Table2[Team], 0), 0)</f>
        <v>0-0-0</v>
      </c>
      <c r="AO821" s="64" t="str">
        <f>INDEX(Records!$B$2:$AG$33, MATCH(Table1[[#This Row],[AwayTeam]],Records!$A$2:$A$33, 0), MATCH(Table1[[#This Row],[HomeTeam]],Records!$A$2:$A$33, 0))</f>
        <v>1-0-0</v>
      </c>
      <c r="AP821" s="64" t="str">
        <f>INDEX(Table2[HOME_RECORD], MATCH(Table1[[#This Row],[HomeTeam]],Table2[Team], 0), 0)</f>
        <v>1-0-0</v>
      </c>
      <c r="AQ821" s="64" t="str">
        <f>INDEX(Records!$B$2:$AG$33, MATCH(Table1[[#This Row],[HomeTeam]],Records!$A$2:$A$33, 0), MATCH(Table1[[#This Row],[AwayTeam]],Records!$A$2:$A$33, 0))</f>
        <v>0-1-0</v>
      </c>
    </row>
    <row r="822" spans="1:43" x14ac:dyDescent="0.25">
      <c r="A822" s="1"/>
      <c r="D822" t="s">
        <v>1110</v>
      </c>
      <c r="E822" t="s">
        <v>178</v>
      </c>
      <c r="F822" t="s">
        <v>1121</v>
      </c>
      <c r="G822" t="s">
        <v>51</v>
      </c>
      <c r="H822" t="s">
        <v>22</v>
      </c>
      <c r="L82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2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22" s="1"/>
      <c r="T822" s="64" t="str">
        <f>IF(Table1[[#This Row],[ActualWinner]]="", "", IF(Table1[[#This Row],[AwayTeam]]=Table1[[#This Row],[ActualWinner]],Table1[[#This Row],[HomeTeam]],Table1[[#This Row],[AwayTeam]]))</f>
        <v/>
      </c>
      <c r="U822" s="64">
        <f>Table1[[#This Row],[ActualAwayScore]]-Table1[[#This Row],[PredictedAwayScore]]</f>
        <v>0</v>
      </c>
      <c r="V822" s="64">
        <f>Table1[[#This Row],[ActualHomeScore]]-Table1[[#This Row],[PredictedHomeScore]]</f>
        <v>0</v>
      </c>
      <c r="W822" s="64">
        <f>(0.8*IF(Table1[[#This Row],[CorrectWinnerPrediction]]=1, 1, 0))+(0.1*IF(Table1[[#This Row],[CorrectAwayScorePrediction]]=1, 1, 0))+(0.1*IF(Table1[[#This Row],[CorrectHomeScorePrediction]]=1, 1, 0))</f>
        <v>0</v>
      </c>
      <c r="X82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22" s="64">
        <f>SUMIF(Table1[GameDate], Table1[[#This Row],[GameDate]], Table1[AwayGameGoalDiff])</f>
        <v>0</v>
      </c>
      <c r="AA822" s="64">
        <f>SUMIF(Table1[GameDate], Table1[[#This Row],[GameDate]], Table1[HomeGameGoalDiff])</f>
        <v>0</v>
      </c>
      <c r="AB822" s="64">
        <f>IF(ISBLANK(Table1[[#This Row],[ActualResult]]), 0, 1)</f>
        <v>0</v>
      </c>
      <c r="AC822" s="64">
        <f>IF(ISBLANK(Table1[[#This Row],[ActualResult]]), 0, IF(Table1[[#This Row],[ActualWinner]]=Table1[[#This Row],[PredictedWinner]], 1, 0))</f>
        <v>0</v>
      </c>
      <c r="AD82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2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22" s="64">
        <f>IF(AND(Table1[[#This Row],[GameIsOver]]=1,Table1[[#This Row],[ActualAwayScore]]=0), 1,0)</f>
        <v>0</v>
      </c>
      <c r="AG822" s="64">
        <f>IF(AND(Table1[[#This Row],[GameIsOver]]=1,Table1[[#This Row],[ActualHomeScore]]=0), 1,0)</f>
        <v>0</v>
      </c>
      <c r="AH822" s="64">
        <f>IF(Table1[[#This Row],[GameIsOver]]=0,0,IF(Table1[[#This Row],[ActualWinner]]=Table1[[#This Row],[AwayTeam]], 1, 0))</f>
        <v>0</v>
      </c>
      <c r="AI822" s="64">
        <f>IF(Table1[[#This Row],[GameIsOver]]=0,0,IF(Table1[[#This Row],[ActualWinner]]=Table1[[#This Row],[HomeTeam]], 1, 0))</f>
        <v>0</v>
      </c>
      <c r="AJ822" s="64">
        <f>IF(INDEX(Standings!$A$2:$C$33,MATCH(Table1[[#This Row],[AwayTeam]],Standings!$A$2:$A$33,0),2)=INDEX(Standings!$A$2:$C$33,MATCH(Table1[[#This Row],[HomeTeam]],Standings!$A$2:$A$33,0),2),1,0)</f>
        <v>0</v>
      </c>
      <c r="AK822" s="64">
        <f>IF(INDEX(Standings!$A$2:$C$33,MATCH(Table1[[#This Row],[AwayTeam]],Standings!$A$2:$A$33,0),3)=INDEX(Standings!$A$2:$C$33,MATCH(Table1[[#This Row],[HomeTeam]],Standings!$A$2:$A$33,0),3),1,0)</f>
        <v>0</v>
      </c>
      <c r="AL822" s="64">
        <f>IF(Table1[[#This Row],[InterConf]]=1,IF(Table1[[#This Row],[InterDiv]]=0, 1, 0), 0)</f>
        <v>0</v>
      </c>
      <c r="AM822" s="64">
        <f>IF(INDEX(Standings!$A$2:$C$33,MATCH(Table1[[#This Row],[AwayTeam]],Standings!$A$2:$A$33,0),2)&lt;&gt;INDEX(Standings!$A$2:$C$33,MATCH(Table1[[#This Row],[HomeTeam]],Standings!$A$2:$A$33,0),2),1,0)</f>
        <v>1</v>
      </c>
      <c r="AN822" s="64" t="str">
        <f>INDEX(Table2[AWAY_RECORD], MATCH(Table1[[#This Row],[AwayTeam]],Table2[Team], 0), 0)</f>
        <v>2-0-0</v>
      </c>
      <c r="AO822" s="64" t="str">
        <f>INDEX(Records!$B$2:$AG$33, MATCH(Table1[[#This Row],[AwayTeam]],Records!$A$2:$A$33, 0), MATCH(Table1[[#This Row],[HomeTeam]],Records!$A$2:$A$33, 0))</f>
        <v>0-0-0</v>
      </c>
      <c r="AP822" s="64" t="str">
        <f>INDEX(Table2[HOME_RECORD], MATCH(Table1[[#This Row],[HomeTeam]],Table2[Team], 0), 0)</f>
        <v>0-0-0</v>
      </c>
      <c r="AQ822" s="64" t="str">
        <f>INDEX(Records!$B$2:$AG$33, MATCH(Table1[[#This Row],[HomeTeam]],Records!$A$2:$A$33, 0), MATCH(Table1[[#This Row],[AwayTeam]],Records!$A$2:$A$33, 0))</f>
        <v>0-0-0</v>
      </c>
    </row>
    <row r="823" spans="1:43" x14ac:dyDescent="0.25">
      <c r="A823" s="1"/>
      <c r="D823" t="s">
        <v>1110</v>
      </c>
      <c r="E823" t="s">
        <v>164</v>
      </c>
      <c r="F823" t="s">
        <v>1122</v>
      </c>
      <c r="G823" t="s">
        <v>37</v>
      </c>
      <c r="H823" t="s">
        <v>58</v>
      </c>
      <c r="L82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2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23" s="1"/>
      <c r="T823" s="64" t="str">
        <f>IF(Table1[[#This Row],[ActualWinner]]="", "", IF(Table1[[#This Row],[AwayTeam]]=Table1[[#This Row],[ActualWinner]],Table1[[#This Row],[HomeTeam]],Table1[[#This Row],[AwayTeam]]))</f>
        <v/>
      </c>
      <c r="U823" s="64">
        <f>Table1[[#This Row],[ActualAwayScore]]-Table1[[#This Row],[PredictedAwayScore]]</f>
        <v>0</v>
      </c>
      <c r="V823" s="64">
        <f>Table1[[#This Row],[ActualHomeScore]]-Table1[[#This Row],[PredictedHomeScore]]</f>
        <v>0</v>
      </c>
      <c r="W823" s="64">
        <f>(0.8*IF(Table1[[#This Row],[CorrectWinnerPrediction]]=1, 1, 0))+(0.1*IF(Table1[[#This Row],[CorrectAwayScorePrediction]]=1, 1, 0))+(0.1*IF(Table1[[#This Row],[CorrectHomeScorePrediction]]=1, 1, 0))</f>
        <v>0</v>
      </c>
      <c r="X82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23" s="64">
        <f>SUMIF(Table1[GameDate], Table1[[#This Row],[GameDate]], Table1[AwayGameGoalDiff])</f>
        <v>0</v>
      </c>
      <c r="AA823" s="64">
        <f>SUMIF(Table1[GameDate], Table1[[#This Row],[GameDate]], Table1[HomeGameGoalDiff])</f>
        <v>0</v>
      </c>
      <c r="AB823" s="64">
        <f>IF(ISBLANK(Table1[[#This Row],[ActualResult]]), 0, 1)</f>
        <v>0</v>
      </c>
      <c r="AC823" s="64">
        <f>IF(ISBLANK(Table1[[#This Row],[ActualResult]]), 0, IF(Table1[[#This Row],[ActualWinner]]=Table1[[#This Row],[PredictedWinner]], 1, 0))</f>
        <v>0</v>
      </c>
      <c r="AD82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2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23" s="64">
        <f>IF(AND(Table1[[#This Row],[GameIsOver]]=1,Table1[[#This Row],[ActualAwayScore]]=0), 1,0)</f>
        <v>0</v>
      </c>
      <c r="AG823" s="64">
        <f>IF(AND(Table1[[#This Row],[GameIsOver]]=1,Table1[[#This Row],[ActualHomeScore]]=0), 1,0)</f>
        <v>0</v>
      </c>
      <c r="AH823" s="64">
        <f>IF(Table1[[#This Row],[GameIsOver]]=0,0,IF(Table1[[#This Row],[ActualWinner]]=Table1[[#This Row],[AwayTeam]], 1, 0))</f>
        <v>0</v>
      </c>
      <c r="AI823" s="64">
        <f>IF(Table1[[#This Row],[GameIsOver]]=0,0,IF(Table1[[#This Row],[ActualWinner]]=Table1[[#This Row],[HomeTeam]], 1, 0))</f>
        <v>0</v>
      </c>
      <c r="AJ823" s="64">
        <f>IF(INDEX(Standings!$A$2:$C$33,MATCH(Table1[[#This Row],[AwayTeam]],Standings!$A$2:$A$33,0),2)=INDEX(Standings!$A$2:$C$33,MATCH(Table1[[#This Row],[HomeTeam]],Standings!$A$2:$A$33,0),2),1,0)</f>
        <v>0</v>
      </c>
      <c r="AK823" s="64">
        <f>IF(INDEX(Standings!$A$2:$C$33,MATCH(Table1[[#This Row],[AwayTeam]],Standings!$A$2:$A$33,0),3)=INDEX(Standings!$A$2:$C$33,MATCH(Table1[[#This Row],[HomeTeam]],Standings!$A$2:$A$33,0),3),1,0)</f>
        <v>0</v>
      </c>
      <c r="AL823" s="64">
        <f>IF(Table1[[#This Row],[InterConf]]=1,IF(Table1[[#This Row],[InterDiv]]=0, 1, 0), 0)</f>
        <v>0</v>
      </c>
      <c r="AM823" s="64">
        <f>IF(INDEX(Standings!$A$2:$C$33,MATCH(Table1[[#This Row],[AwayTeam]],Standings!$A$2:$A$33,0),2)&lt;&gt;INDEX(Standings!$A$2:$C$33,MATCH(Table1[[#This Row],[HomeTeam]],Standings!$A$2:$A$33,0),2),1,0)</f>
        <v>1</v>
      </c>
      <c r="AN823" s="64" t="str">
        <f>INDEX(Table2[AWAY_RECORD], MATCH(Table1[[#This Row],[AwayTeam]],Table2[Team], 0), 0)</f>
        <v>0-0-1</v>
      </c>
      <c r="AO823" s="64" t="str">
        <f>INDEX(Records!$B$2:$AG$33, MATCH(Table1[[#This Row],[AwayTeam]],Records!$A$2:$A$33, 0), MATCH(Table1[[#This Row],[HomeTeam]],Records!$A$2:$A$33, 0))</f>
        <v>0-0-0</v>
      </c>
      <c r="AP823" s="64" t="str">
        <f>INDEX(Table2[HOME_RECORD], MATCH(Table1[[#This Row],[HomeTeam]],Table2[Team], 0), 0)</f>
        <v>1-0-0</v>
      </c>
      <c r="AQ823" s="64" t="str">
        <f>INDEX(Records!$B$2:$AG$33, MATCH(Table1[[#This Row],[HomeTeam]],Records!$A$2:$A$33, 0), MATCH(Table1[[#This Row],[AwayTeam]],Records!$A$2:$A$33, 0))</f>
        <v>0-0-0</v>
      </c>
    </row>
    <row r="824" spans="1:43" x14ac:dyDescent="0.25">
      <c r="A824" s="1"/>
      <c r="D824" t="s">
        <v>1123</v>
      </c>
      <c r="E824" t="s">
        <v>298</v>
      </c>
      <c r="F824" t="s">
        <v>1124</v>
      </c>
      <c r="G824" t="s">
        <v>45</v>
      </c>
      <c r="H824" t="s">
        <v>55</v>
      </c>
      <c r="L82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2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24" s="1"/>
      <c r="T824" s="64" t="str">
        <f>IF(Table1[[#This Row],[ActualWinner]]="", "", IF(Table1[[#This Row],[AwayTeam]]=Table1[[#This Row],[ActualWinner]],Table1[[#This Row],[HomeTeam]],Table1[[#This Row],[AwayTeam]]))</f>
        <v/>
      </c>
      <c r="U824" s="64">
        <f>Table1[[#This Row],[ActualAwayScore]]-Table1[[#This Row],[PredictedAwayScore]]</f>
        <v>0</v>
      </c>
      <c r="V824" s="64">
        <f>Table1[[#This Row],[ActualHomeScore]]-Table1[[#This Row],[PredictedHomeScore]]</f>
        <v>0</v>
      </c>
      <c r="W824" s="64">
        <f>(0.8*IF(Table1[[#This Row],[CorrectWinnerPrediction]]=1, 1, 0))+(0.1*IF(Table1[[#This Row],[CorrectAwayScorePrediction]]=1, 1, 0))+(0.1*IF(Table1[[#This Row],[CorrectHomeScorePrediction]]=1, 1, 0))</f>
        <v>0</v>
      </c>
      <c r="X82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24" s="64">
        <f>SUMIF(Table1[GameDate], Table1[[#This Row],[GameDate]], Table1[AwayGameGoalDiff])</f>
        <v>0</v>
      </c>
      <c r="AA824" s="64">
        <f>SUMIF(Table1[GameDate], Table1[[#This Row],[GameDate]], Table1[HomeGameGoalDiff])</f>
        <v>0</v>
      </c>
      <c r="AB824" s="64">
        <f>IF(ISBLANK(Table1[[#This Row],[ActualResult]]), 0, 1)</f>
        <v>0</v>
      </c>
      <c r="AC824" s="64">
        <f>IF(ISBLANK(Table1[[#This Row],[ActualResult]]), 0, IF(Table1[[#This Row],[ActualWinner]]=Table1[[#This Row],[PredictedWinner]], 1, 0))</f>
        <v>0</v>
      </c>
      <c r="AD82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2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24" s="64">
        <f>IF(AND(Table1[[#This Row],[GameIsOver]]=1,Table1[[#This Row],[ActualAwayScore]]=0), 1,0)</f>
        <v>0</v>
      </c>
      <c r="AG824" s="64">
        <f>IF(AND(Table1[[#This Row],[GameIsOver]]=1,Table1[[#This Row],[ActualHomeScore]]=0), 1,0)</f>
        <v>0</v>
      </c>
      <c r="AH824" s="64">
        <f>IF(Table1[[#This Row],[GameIsOver]]=0,0,IF(Table1[[#This Row],[ActualWinner]]=Table1[[#This Row],[AwayTeam]], 1, 0))</f>
        <v>0</v>
      </c>
      <c r="AI824" s="64">
        <f>IF(Table1[[#This Row],[GameIsOver]]=0,0,IF(Table1[[#This Row],[ActualWinner]]=Table1[[#This Row],[HomeTeam]], 1, 0))</f>
        <v>0</v>
      </c>
      <c r="AJ824" s="64">
        <f>IF(INDEX(Standings!$A$2:$C$33,MATCH(Table1[[#This Row],[AwayTeam]],Standings!$A$2:$A$33,0),2)=INDEX(Standings!$A$2:$C$33,MATCH(Table1[[#This Row],[HomeTeam]],Standings!$A$2:$A$33,0),2),1,0)</f>
        <v>1</v>
      </c>
      <c r="AK824" s="64">
        <f>IF(INDEX(Standings!$A$2:$C$33,MATCH(Table1[[#This Row],[AwayTeam]],Standings!$A$2:$A$33,0),3)=INDEX(Standings!$A$2:$C$33,MATCH(Table1[[#This Row],[HomeTeam]],Standings!$A$2:$A$33,0),3),1,0)</f>
        <v>1</v>
      </c>
      <c r="AL824" s="64">
        <f>IF(Table1[[#This Row],[InterConf]]=1,IF(Table1[[#This Row],[InterDiv]]=0, 1, 0), 0)</f>
        <v>0</v>
      </c>
      <c r="AM824" s="64">
        <f>IF(INDEX(Standings!$A$2:$C$33,MATCH(Table1[[#This Row],[AwayTeam]],Standings!$A$2:$A$33,0),2)&lt;&gt;INDEX(Standings!$A$2:$C$33,MATCH(Table1[[#This Row],[HomeTeam]],Standings!$A$2:$A$33,0),2),1,0)</f>
        <v>0</v>
      </c>
      <c r="AN824" s="64" t="str">
        <f>INDEX(Table2[AWAY_RECORD], MATCH(Table1[[#This Row],[AwayTeam]],Table2[Team], 0), 0)</f>
        <v>1-0-0</v>
      </c>
      <c r="AO824" s="64" t="str">
        <f>INDEX(Records!$B$2:$AG$33, MATCH(Table1[[#This Row],[AwayTeam]],Records!$A$2:$A$33, 0), MATCH(Table1[[#This Row],[HomeTeam]],Records!$A$2:$A$33, 0))</f>
        <v>0-0-0</v>
      </c>
      <c r="AP824" s="64" t="str">
        <f>INDEX(Table2[HOME_RECORD], MATCH(Table1[[#This Row],[HomeTeam]],Table2[Team], 0), 0)</f>
        <v>0-1-0</v>
      </c>
      <c r="AQ824" s="64" t="str">
        <f>INDEX(Records!$B$2:$AG$33, MATCH(Table1[[#This Row],[HomeTeam]],Records!$A$2:$A$33, 0), MATCH(Table1[[#This Row],[AwayTeam]],Records!$A$2:$A$33, 0))</f>
        <v>0-0-0</v>
      </c>
    </row>
    <row r="825" spans="1:43" x14ac:dyDescent="0.25">
      <c r="A825" s="1"/>
      <c r="D825" t="s">
        <v>1123</v>
      </c>
      <c r="E825" t="s">
        <v>252</v>
      </c>
      <c r="F825" t="s">
        <v>1125</v>
      </c>
      <c r="G825" t="s">
        <v>38</v>
      </c>
      <c r="H825" t="s">
        <v>60</v>
      </c>
      <c r="L82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2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25" s="1"/>
      <c r="T825" s="64" t="str">
        <f>IF(Table1[[#This Row],[ActualWinner]]="", "", IF(Table1[[#This Row],[AwayTeam]]=Table1[[#This Row],[ActualWinner]],Table1[[#This Row],[HomeTeam]],Table1[[#This Row],[AwayTeam]]))</f>
        <v/>
      </c>
      <c r="U825" s="64">
        <f>Table1[[#This Row],[ActualAwayScore]]-Table1[[#This Row],[PredictedAwayScore]]</f>
        <v>0</v>
      </c>
      <c r="V825" s="64">
        <f>Table1[[#This Row],[ActualHomeScore]]-Table1[[#This Row],[PredictedHomeScore]]</f>
        <v>0</v>
      </c>
      <c r="W825" s="64">
        <f>(0.8*IF(Table1[[#This Row],[CorrectWinnerPrediction]]=1, 1, 0))+(0.1*IF(Table1[[#This Row],[CorrectAwayScorePrediction]]=1, 1, 0))+(0.1*IF(Table1[[#This Row],[CorrectHomeScorePrediction]]=1, 1, 0))</f>
        <v>0</v>
      </c>
      <c r="X82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25" s="64">
        <f>SUMIF(Table1[GameDate], Table1[[#This Row],[GameDate]], Table1[AwayGameGoalDiff])</f>
        <v>0</v>
      </c>
      <c r="AA825" s="64">
        <f>SUMIF(Table1[GameDate], Table1[[#This Row],[GameDate]], Table1[HomeGameGoalDiff])</f>
        <v>0</v>
      </c>
      <c r="AB825" s="64">
        <f>IF(ISBLANK(Table1[[#This Row],[ActualResult]]), 0, 1)</f>
        <v>0</v>
      </c>
      <c r="AC825" s="64">
        <f>IF(ISBLANK(Table1[[#This Row],[ActualResult]]), 0, IF(Table1[[#This Row],[ActualWinner]]=Table1[[#This Row],[PredictedWinner]], 1, 0))</f>
        <v>0</v>
      </c>
      <c r="AD82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2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25" s="64">
        <f>IF(AND(Table1[[#This Row],[GameIsOver]]=1,Table1[[#This Row],[ActualAwayScore]]=0), 1,0)</f>
        <v>0</v>
      </c>
      <c r="AG825" s="64">
        <f>IF(AND(Table1[[#This Row],[GameIsOver]]=1,Table1[[#This Row],[ActualHomeScore]]=0), 1,0)</f>
        <v>0</v>
      </c>
      <c r="AH825" s="64">
        <f>IF(Table1[[#This Row],[GameIsOver]]=0,0,IF(Table1[[#This Row],[ActualWinner]]=Table1[[#This Row],[AwayTeam]], 1, 0))</f>
        <v>0</v>
      </c>
      <c r="AI825" s="64">
        <f>IF(Table1[[#This Row],[GameIsOver]]=0,0,IF(Table1[[#This Row],[ActualWinner]]=Table1[[#This Row],[HomeTeam]], 1, 0))</f>
        <v>0</v>
      </c>
      <c r="AJ825" s="64">
        <f>IF(INDEX(Standings!$A$2:$C$33,MATCH(Table1[[#This Row],[AwayTeam]],Standings!$A$2:$A$33,0),2)=INDEX(Standings!$A$2:$C$33,MATCH(Table1[[#This Row],[HomeTeam]],Standings!$A$2:$A$33,0),2),1,0)</f>
        <v>0</v>
      </c>
      <c r="AK825" s="64">
        <f>IF(INDEX(Standings!$A$2:$C$33,MATCH(Table1[[#This Row],[AwayTeam]],Standings!$A$2:$A$33,0),3)=INDEX(Standings!$A$2:$C$33,MATCH(Table1[[#This Row],[HomeTeam]],Standings!$A$2:$A$33,0),3),1,0)</f>
        <v>0</v>
      </c>
      <c r="AL825" s="64">
        <f>IF(Table1[[#This Row],[InterConf]]=1,IF(Table1[[#This Row],[InterDiv]]=0, 1, 0), 0)</f>
        <v>0</v>
      </c>
      <c r="AM825" s="64">
        <f>IF(INDEX(Standings!$A$2:$C$33,MATCH(Table1[[#This Row],[AwayTeam]],Standings!$A$2:$A$33,0),2)&lt;&gt;INDEX(Standings!$A$2:$C$33,MATCH(Table1[[#This Row],[HomeTeam]],Standings!$A$2:$A$33,0),2),1,0)</f>
        <v>1</v>
      </c>
      <c r="AN825" s="64" t="str">
        <f>INDEX(Table2[AWAY_RECORD], MATCH(Table1[[#This Row],[AwayTeam]],Table2[Team], 0), 0)</f>
        <v>0-0-1</v>
      </c>
      <c r="AO825" s="64" t="str">
        <f>INDEX(Records!$B$2:$AG$33, MATCH(Table1[[#This Row],[AwayTeam]],Records!$A$2:$A$33, 0), MATCH(Table1[[#This Row],[HomeTeam]],Records!$A$2:$A$33, 0))</f>
        <v>0-0-0</v>
      </c>
      <c r="AP825" s="64" t="str">
        <f>INDEX(Table2[HOME_RECORD], MATCH(Table1[[#This Row],[HomeTeam]],Table2[Team], 0), 0)</f>
        <v>1-0-0</v>
      </c>
      <c r="AQ825" s="64" t="str">
        <f>INDEX(Records!$B$2:$AG$33, MATCH(Table1[[#This Row],[HomeTeam]],Records!$A$2:$A$33, 0), MATCH(Table1[[#This Row],[AwayTeam]],Records!$A$2:$A$33, 0))</f>
        <v>0-0-0</v>
      </c>
    </row>
    <row r="826" spans="1:43" x14ac:dyDescent="0.25">
      <c r="A826" s="1"/>
      <c r="D826" t="s">
        <v>1123</v>
      </c>
      <c r="E826" t="s">
        <v>207</v>
      </c>
      <c r="F826" t="s">
        <v>1126</v>
      </c>
      <c r="G826" t="s">
        <v>36</v>
      </c>
      <c r="H826" t="s">
        <v>42</v>
      </c>
      <c r="L82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2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26" s="1"/>
      <c r="T826" s="64" t="str">
        <f>IF(Table1[[#This Row],[ActualWinner]]="", "", IF(Table1[[#This Row],[AwayTeam]]=Table1[[#This Row],[ActualWinner]],Table1[[#This Row],[HomeTeam]],Table1[[#This Row],[AwayTeam]]))</f>
        <v/>
      </c>
      <c r="U826" s="64">
        <f>Table1[[#This Row],[ActualAwayScore]]-Table1[[#This Row],[PredictedAwayScore]]</f>
        <v>0</v>
      </c>
      <c r="V826" s="64">
        <f>Table1[[#This Row],[ActualHomeScore]]-Table1[[#This Row],[PredictedHomeScore]]</f>
        <v>0</v>
      </c>
      <c r="W826" s="64">
        <f>(0.8*IF(Table1[[#This Row],[CorrectWinnerPrediction]]=1, 1, 0))+(0.1*IF(Table1[[#This Row],[CorrectAwayScorePrediction]]=1, 1, 0))+(0.1*IF(Table1[[#This Row],[CorrectHomeScorePrediction]]=1, 1, 0))</f>
        <v>0</v>
      </c>
      <c r="X82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26" s="64">
        <f>SUMIF(Table1[GameDate], Table1[[#This Row],[GameDate]], Table1[AwayGameGoalDiff])</f>
        <v>0</v>
      </c>
      <c r="AA826" s="64">
        <f>SUMIF(Table1[GameDate], Table1[[#This Row],[GameDate]], Table1[HomeGameGoalDiff])</f>
        <v>0</v>
      </c>
      <c r="AB826" s="64">
        <f>IF(ISBLANK(Table1[[#This Row],[ActualResult]]), 0, 1)</f>
        <v>0</v>
      </c>
      <c r="AC826" s="64">
        <f>IF(ISBLANK(Table1[[#This Row],[ActualResult]]), 0, IF(Table1[[#This Row],[ActualWinner]]=Table1[[#This Row],[PredictedWinner]], 1, 0))</f>
        <v>0</v>
      </c>
      <c r="AD82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2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26" s="64">
        <f>IF(AND(Table1[[#This Row],[GameIsOver]]=1,Table1[[#This Row],[ActualAwayScore]]=0), 1,0)</f>
        <v>0</v>
      </c>
      <c r="AG826" s="64">
        <f>IF(AND(Table1[[#This Row],[GameIsOver]]=1,Table1[[#This Row],[ActualHomeScore]]=0), 1,0)</f>
        <v>0</v>
      </c>
      <c r="AH826" s="64">
        <f>IF(Table1[[#This Row],[GameIsOver]]=0,0,IF(Table1[[#This Row],[ActualWinner]]=Table1[[#This Row],[AwayTeam]], 1, 0))</f>
        <v>0</v>
      </c>
      <c r="AI826" s="64">
        <f>IF(Table1[[#This Row],[GameIsOver]]=0,0,IF(Table1[[#This Row],[ActualWinner]]=Table1[[#This Row],[HomeTeam]], 1, 0))</f>
        <v>0</v>
      </c>
      <c r="AJ826" s="64">
        <f>IF(INDEX(Standings!$A$2:$C$33,MATCH(Table1[[#This Row],[AwayTeam]],Standings!$A$2:$A$33,0),2)=INDEX(Standings!$A$2:$C$33,MATCH(Table1[[#This Row],[HomeTeam]],Standings!$A$2:$A$33,0),2),1,0)</f>
        <v>0</v>
      </c>
      <c r="AK826" s="64">
        <f>IF(INDEX(Standings!$A$2:$C$33,MATCH(Table1[[#This Row],[AwayTeam]],Standings!$A$2:$A$33,0),3)=INDEX(Standings!$A$2:$C$33,MATCH(Table1[[#This Row],[HomeTeam]],Standings!$A$2:$A$33,0),3),1,0)</f>
        <v>0</v>
      </c>
      <c r="AL826" s="64">
        <f>IF(Table1[[#This Row],[InterConf]]=1,IF(Table1[[#This Row],[InterDiv]]=0, 1, 0), 0)</f>
        <v>0</v>
      </c>
      <c r="AM826" s="64">
        <f>IF(INDEX(Standings!$A$2:$C$33,MATCH(Table1[[#This Row],[AwayTeam]],Standings!$A$2:$A$33,0),2)&lt;&gt;INDEX(Standings!$A$2:$C$33,MATCH(Table1[[#This Row],[HomeTeam]],Standings!$A$2:$A$33,0),2),1,0)</f>
        <v>1</v>
      </c>
      <c r="AN826" s="64" t="str">
        <f>INDEX(Table2[AWAY_RECORD], MATCH(Table1[[#This Row],[AwayTeam]],Table2[Team], 0), 0)</f>
        <v>0-0-0</v>
      </c>
      <c r="AO826" s="64" t="str">
        <f>INDEX(Records!$B$2:$AG$33, MATCH(Table1[[#This Row],[AwayTeam]],Records!$A$2:$A$33, 0), MATCH(Table1[[#This Row],[HomeTeam]],Records!$A$2:$A$33, 0))</f>
        <v>0-0-0</v>
      </c>
      <c r="AP826" s="64" t="str">
        <f>INDEX(Table2[HOME_RECORD], MATCH(Table1[[#This Row],[HomeTeam]],Table2[Team], 0), 0)</f>
        <v>1-0-0</v>
      </c>
      <c r="AQ826" s="64" t="str">
        <f>INDEX(Records!$B$2:$AG$33, MATCH(Table1[[#This Row],[HomeTeam]],Records!$A$2:$A$33, 0), MATCH(Table1[[#This Row],[AwayTeam]],Records!$A$2:$A$33, 0))</f>
        <v>0-0-0</v>
      </c>
    </row>
    <row r="827" spans="1:43" x14ac:dyDescent="0.25">
      <c r="A827" s="1"/>
      <c r="D827" t="s">
        <v>1123</v>
      </c>
      <c r="E827" t="s">
        <v>207</v>
      </c>
      <c r="F827" t="s">
        <v>1127</v>
      </c>
      <c r="G827" t="s">
        <v>43</v>
      </c>
      <c r="H827" t="s">
        <v>41</v>
      </c>
      <c r="L82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2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27" s="1"/>
      <c r="T827" s="64" t="str">
        <f>IF(Table1[[#This Row],[ActualWinner]]="", "", IF(Table1[[#This Row],[AwayTeam]]=Table1[[#This Row],[ActualWinner]],Table1[[#This Row],[HomeTeam]],Table1[[#This Row],[AwayTeam]]))</f>
        <v/>
      </c>
      <c r="U827" s="64">
        <f>Table1[[#This Row],[ActualAwayScore]]-Table1[[#This Row],[PredictedAwayScore]]</f>
        <v>0</v>
      </c>
      <c r="V827" s="64">
        <f>Table1[[#This Row],[ActualHomeScore]]-Table1[[#This Row],[PredictedHomeScore]]</f>
        <v>0</v>
      </c>
      <c r="W827" s="64">
        <f>(0.8*IF(Table1[[#This Row],[CorrectWinnerPrediction]]=1, 1, 0))+(0.1*IF(Table1[[#This Row],[CorrectAwayScorePrediction]]=1, 1, 0))+(0.1*IF(Table1[[#This Row],[CorrectHomeScorePrediction]]=1, 1, 0))</f>
        <v>0</v>
      </c>
      <c r="X82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27" s="64">
        <f>SUMIF(Table1[GameDate], Table1[[#This Row],[GameDate]], Table1[AwayGameGoalDiff])</f>
        <v>0</v>
      </c>
      <c r="AA827" s="64">
        <f>SUMIF(Table1[GameDate], Table1[[#This Row],[GameDate]], Table1[HomeGameGoalDiff])</f>
        <v>0</v>
      </c>
      <c r="AB827" s="64">
        <f>IF(ISBLANK(Table1[[#This Row],[ActualResult]]), 0, 1)</f>
        <v>0</v>
      </c>
      <c r="AC827" s="64">
        <f>IF(ISBLANK(Table1[[#This Row],[ActualResult]]), 0, IF(Table1[[#This Row],[ActualWinner]]=Table1[[#This Row],[PredictedWinner]], 1, 0))</f>
        <v>0</v>
      </c>
      <c r="AD82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2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27" s="64">
        <f>IF(AND(Table1[[#This Row],[GameIsOver]]=1,Table1[[#This Row],[ActualAwayScore]]=0), 1,0)</f>
        <v>0</v>
      </c>
      <c r="AG827" s="64">
        <f>IF(AND(Table1[[#This Row],[GameIsOver]]=1,Table1[[#This Row],[ActualHomeScore]]=0), 1,0)</f>
        <v>0</v>
      </c>
      <c r="AH827" s="64">
        <f>IF(Table1[[#This Row],[GameIsOver]]=0,0,IF(Table1[[#This Row],[ActualWinner]]=Table1[[#This Row],[AwayTeam]], 1, 0))</f>
        <v>0</v>
      </c>
      <c r="AI827" s="64">
        <f>IF(Table1[[#This Row],[GameIsOver]]=0,0,IF(Table1[[#This Row],[ActualWinner]]=Table1[[#This Row],[HomeTeam]], 1, 0))</f>
        <v>0</v>
      </c>
      <c r="AJ827" s="64">
        <f>IF(INDEX(Standings!$A$2:$C$33,MATCH(Table1[[#This Row],[AwayTeam]],Standings!$A$2:$A$33,0),2)=INDEX(Standings!$A$2:$C$33,MATCH(Table1[[#This Row],[HomeTeam]],Standings!$A$2:$A$33,0),2),1,0)</f>
        <v>1</v>
      </c>
      <c r="AK827" s="64">
        <f>IF(INDEX(Standings!$A$2:$C$33,MATCH(Table1[[#This Row],[AwayTeam]],Standings!$A$2:$A$33,0),3)=INDEX(Standings!$A$2:$C$33,MATCH(Table1[[#This Row],[HomeTeam]],Standings!$A$2:$A$33,0),3),1,0)</f>
        <v>1</v>
      </c>
      <c r="AL827" s="64">
        <f>IF(Table1[[#This Row],[InterConf]]=1,IF(Table1[[#This Row],[InterDiv]]=0, 1, 0), 0)</f>
        <v>0</v>
      </c>
      <c r="AM827" s="64">
        <f>IF(INDEX(Standings!$A$2:$C$33,MATCH(Table1[[#This Row],[AwayTeam]],Standings!$A$2:$A$33,0),2)&lt;&gt;INDEX(Standings!$A$2:$C$33,MATCH(Table1[[#This Row],[HomeTeam]],Standings!$A$2:$A$33,0),2),1,0)</f>
        <v>0</v>
      </c>
      <c r="AN827" s="64" t="str">
        <f>INDEX(Table2[AWAY_RECORD], MATCH(Table1[[#This Row],[AwayTeam]],Table2[Team], 0), 0)</f>
        <v>0-0-0</v>
      </c>
      <c r="AO827" s="64" t="str">
        <f>INDEX(Records!$B$2:$AG$33, MATCH(Table1[[#This Row],[AwayTeam]],Records!$A$2:$A$33, 0), MATCH(Table1[[#This Row],[HomeTeam]],Records!$A$2:$A$33, 0))</f>
        <v>0-0-0</v>
      </c>
      <c r="AP827" s="64" t="str">
        <f>INDEX(Table2[HOME_RECORD], MATCH(Table1[[#This Row],[HomeTeam]],Table2[Team], 0), 0)</f>
        <v>0-0-1</v>
      </c>
      <c r="AQ827" s="64" t="str">
        <f>INDEX(Records!$B$2:$AG$33, MATCH(Table1[[#This Row],[HomeTeam]],Records!$A$2:$A$33, 0), MATCH(Table1[[#This Row],[AwayTeam]],Records!$A$2:$A$33, 0))</f>
        <v>0-0-0</v>
      </c>
    </row>
    <row r="828" spans="1:43" x14ac:dyDescent="0.25">
      <c r="A828" s="1"/>
      <c r="D828" t="s">
        <v>1123</v>
      </c>
      <c r="E828" t="s">
        <v>160</v>
      </c>
      <c r="F828" t="s">
        <v>1128</v>
      </c>
      <c r="G828" t="s">
        <v>46</v>
      </c>
      <c r="H828" t="s">
        <v>17</v>
      </c>
      <c r="L82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2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28" s="1"/>
      <c r="T828" s="64" t="str">
        <f>IF(Table1[[#This Row],[ActualWinner]]="", "", IF(Table1[[#This Row],[AwayTeam]]=Table1[[#This Row],[ActualWinner]],Table1[[#This Row],[HomeTeam]],Table1[[#This Row],[AwayTeam]]))</f>
        <v/>
      </c>
      <c r="U828" s="64">
        <f>Table1[[#This Row],[ActualAwayScore]]-Table1[[#This Row],[PredictedAwayScore]]</f>
        <v>0</v>
      </c>
      <c r="V828" s="64">
        <f>Table1[[#This Row],[ActualHomeScore]]-Table1[[#This Row],[PredictedHomeScore]]</f>
        <v>0</v>
      </c>
      <c r="W828" s="64">
        <f>(0.8*IF(Table1[[#This Row],[CorrectWinnerPrediction]]=1, 1, 0))+(0.1*IF(Table1[[#This Row],[CorrectAwayScorePrediction]]=1, 1, 0))+(0.1*IF(Table1[[#This Row],[CorrectHomeScorePrediction]]=1, 1, 0))</f>
        <v>0</v>
      </c>
      <c r="X82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28" s="64">
        <f>SUMIF(Table1[GameDate], Table1[[#This Row],[GameDate]], Table1[AwayGameGoalDiff])</f>
        <v>0</v>
      </c>
      <c r="AA828" s="64">
        <f>SUMIF(Table1[GameDate], Table1[[#This Row],[GameDate]], Table1[HomeGameGoalDiff])</f>
        <v>0</v>
      </c>
      <c r="AB828" s="64">
        <f>IF(ISBLANK(Table1[[#This Row],[ActualResult]]), 0, 1)</f>
        <v>0</v>
      </c>
      <c r="AC828" s="64">
        <f>IF(ISBLANK(Table1[[#This Row],[ActualResult]]), 0, IF(Table1[[#This Row],[ActualWinner]]=Table1[[#This Row],[PredictedWinner]], 1, 0))</f>
        <v>0</v>
      </c>
      <c r="AD82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2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28" s="64">
        <f>IF(AND(Table1[[#This Row],[GameIsOver]]=1,Table1[[#This Row],[ActualAwayScore]]=0), 1,0)</f>
        <v>0</v>
      </c>
      <c r="AG828" s="64">
        <f>IF(AND(Table1[[#This Row],[GameIsOver]]=1,Table1[[#This Row],[ActualHomeScore]]=0), 1,0)</f>
        <v>0</v>
      </c>
      <c r="AH828" s="64">
        <f>IF(Table1[[#This Row],[GameIsOver]]=0,0,IF(Table1[[#This Row],[ActualWinner]]=Table1[[#This Row],[AwayTeam]], 1, 0))</f>
        <v>0</v>
      </c>
      <c r="AI828" s="64">
        <f>IF(Table1[[#This Row],[GameIsOver]]=0,0,IF(Table1[[#This Row],[ActualWinner]]=Table1[[#This Row],[HomeTeam]], 1, 0))</f>
        <v>0</v>
      </c>
      <c r="AJ828" s="64">
        <f>IF(INDEX(Standings!$A$2:$C$33,MATCH(Table1[[#This Row],[AwayTeam]],Standings!$A$2:$A$33,0),2)=INDEX(Standings!$A$2:$C$33,MATCH(Table1[[#This Row],[HomeTeam]],Standings!$A$2:$A$33,0),2),1,0)</f>
        <v>0</v>
      </c>
      <c r="AK828" s="64">
        <f>IF(INDEX(Standings!$A$2:$C$33,MATCH(Table1[[#This Row],[AwayTeam]],Standings!$A$2:$A$33,0),3)=INDEX(Standings!$A$2:$C$33,MATCH(Table1[[#This Row],[HomeTeam]],Standings!$A$2:$A$33,0),3),1,0)</f>
        <v>0</v>
      </c>
      <c r="AL828" s="64">
        <f>IF(Table1[[#This Row],[InterConf]]=1,IF(Table1[[#This Row],[InterDiv]]=0, 1, 0), 0)</f>
        <v>0</v>
      </c>
      <c r="AM828" s="64">
        <f>IF(INDEX(Standings!$A$2:$C$33,MATCH(Table1[[#This Row],[AwayTeam]],Standings!$A$2:$A$33,0),2)&lt;&gt;INDEX(Standings!$A$2:$C$33,MATCH(Table1[[#This Row],[HomeTeam]],Standings!$A$2:$A$33,0),2),1,0)</f>
        <v>1</v>
      </c>
      <c r="AN828" s="64" t="str">
        <f>INDEX(Table2[AWAY_RECORD], MATCH(Table1[[#This Row],[AwayTeam]],Table2[Team], 0), 0)</f>
        <v>1-0-0</v>
      </c>
      <c r="AO828" s="64" t="str">
        <f>INDEX(Records!$B$2:$AG$33, MATCH(Table1[[#This Row],[AwayTeam]],Records!$A$2:$A$33, 0), MATCH(Table1[[#This Row],[HomeTeam]],Records!$A$2:$A$33, 0))</f>
        <v>0-0-0</v>
      </c>
      <c r="AP828" s="64" t="str">
        <f>INDEX(Table2[HOME_RECORD], MATCH(Table1[[#This Row],[HomeTeam]],Table2[Team], 0), 0)</f>
        <v>0-0-0</v>
      </c>
      <c r="AQ828" s="64" t="str">
        <f>INDEX(Records!$B$2:$AG$33, MATCH(Table1[[#This Row],[HomeTeam]],Records!$A$2:$A$33, 0), MATCH(Table1[[#This Row],[AwayTeam]],Records!$A$2:$A$33, 0))</f>
        <v>0-0-0</v>
      </c>
    </row>
    <row r="829" spans="1:43" x14ac:dyDescent="0.25">
      <c r="A829" s="1"/>
      <c r="D829" t="s">
        <v>1123</v>
      </c>
      <c r="E829" t="s">
        <v>162</v>
      </c>
      <c r="F829" t="s">
        <v>1129</v>
      </c>
      <c r="G829" t="s">
        <v>59</v>
      </c>
      <c r="H829" t="s">
        <v>49</v>
      </c>
      <c r="L82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2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29" s="1"/>
      <c r="T829" s="64" t="str">
        <f>IF(Table1[[#This Row],[ActualWinner]]="", "", IF(Table1[[#This Row],[AwayTeam]]=Table1[[#This Row],[ActualWinner]],Table1[[#This Row],[HomeTeam]],Table1[[#This Row],[AwayTeam]]))</f>
        <v/>
      </c>
      <c r="U829" s="64">
        <f>Table1[[#This Row],[ActualAwayScore]]-Table1[[#This Row],[PredictedAwayScore]]</f>
        <v>0</v>
      </c>
      <c r="V829" s="64">
        <f>Table1[[#This Row],[ActualHomeScore]]-Table1[[#This Row],[PredictedHomeScore]]</f>
        <v>0</v>
      </c>
      <c r="W829" s="64">
        <f>(0.8*IF(Table1[[#This Row],[CorrectWinnerPrediction]]=1, 1, 0))+(0.1*IF(Table1[[#This Row],[CorrectAwayScorePrediction]]=1, 1, 0))+(0.1*IF(Table1[[#This Row],[CorrectHomeScorePrediction]]=1, 1, 0))</f>
        <v>0</v>
      </c>
      <c r="X82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29" s="64">
        <f>SUMIF(Table1[GameDate], Table1[[#This Row],[GameDate]], Table1[AwayGameGoalDiff])</f>
        <v>0</v>
      </c>
      <c r="AA829" s="64">
        <f>SUMIF(Table1[GameDate], Table1[[#This Row],[GameDate]], Table1[HomeGameGoalDiff])</f>
        <v>0</v>
      </c>
      <c r="AB829" s="64">
        <f>IF(ISBLANK(Table1[[#This Row],[ActualResult]]), 0, 1)</f>
        <v>0</v>
      </c>
      <c r="AC829" s="64">
        <f>IF(ISBLANK(Table1[[#This Row],[ActualResult]]), 0, IF(Table1[[#This Row],[ActualWinner]]=Table1[[#This Row],[PredictedWinner]], 1, 0))</f>
        <v>0</v>
      </c>
      <c r="AD82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2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29" s="64">
        <f>IF(AND(Table1[[#This Row],[GameIsOver]]=1,Table1[[#This Row],[ActualAwayScore]]=0), 1,0)</f>
        <v>0</v>
      </c>
      <c r="AG829" s="64">
        <f>IF(AND(Table1[[#This Row],[GameIsOver]]=1,Table1[[#This Row],[ActualHomeScore]]=0), 1,0)</f>
        <v>0</v>
      </c>
      <c r="AH829" s="64">
        <f>IF(Table1[[#This Row],[GameIsOver]]=0,0,IF(Table1[[#This Row],[ActualWinner]]=Table1[[#This Row],[AwayTeam]], 1, 0))</f>
        <v>0</v>
      </c>
      <c r="AI829" s="64">
        <f>IF(Table1[[#This Row],[GameIsOver]]=0,0,IF(Table1[[#This Row],[ActualWinner]]=Table1[[#This Row],[HomeTeam]], 1, 0))</f>
        <v>0</v>
      </c>
      <c r="AJ829" s="64">
        <f>IF(INDEX(Standings!$A$2:$C$33,MATCH(Table1[[#This Row],[AwayTeam]],Standings!$A$2:$A$33,0),2)=INDEX(Standings!$A$2:$C$33,MATCH(Table1[[#This Row],[HomeTeam]],Standings!$A$2:$A$33,0),2),1,0)</f>
        <v>1</v>
      </c>
      <c r="AK829" s="64">
        <f>IF(INDEX(Standings!$A$2:$C$33,MATCH(Table1[[#This Row],[AwayTeam]],Standings!$A$2:$A$33,0),3)=INDEX(Standings!$A$2:$C$33,MATCH(Table1[[#This Row],[HomeTeam]],Standings!$A$2:$A$33,0),3),1,0)</f>
        <v>1</v>
      </c>
      <c r="AL829" s="64">
        <f>IF(Table1[[#This Row],[InterConf]]=1,IF(Table1[[#This Row],[InterDiv]]=0, 1, 0), 0)</f>
        <v>0</v>
      </c>
      <c r="AM829" s="64">
        <f>IF(INDEX(Standings!$A$2:$C$33,MATCH(Table1[[#This Row],[AwayTeam]],Standings!$A$2:$A$33,0),2)&lt;&gt;INDEX(Standings!$A$2:$C$33,MATCH(Table1[[#This Row],[HomeTeam]],Standings!$A$2:$A$33,0),2),1,0)</f>
        <v>0</v>
      </c>
      <c r="AN829" s="64" t="str">
        <f>INDEX(Table2[AWAY_RECORD], MATCH(Table1[[#This Row],[AwayTeam]],Table2[Team], 0), 0)</f>
        <v>0-1-0</v>
      </c>
      <c r="AO829" s="64" t="str">
        <f>INDEX(Records!$B$2:$AG$33, MATCH(Table1[[#This Row],[AwayTeam]],Records!$A$2:$A$33, 0), MATCH(Table1[[#This Row],[HomeTeam]],Records!$A$2:$A$33, 0))</f>
        <v>0-0-0</v>
      </c>
      <c r="AP829" s="64" t="str">
        <f>INDEX(Table2[HOME_RECORD], MATCH(Table1[[#This Row],[HomeTeam]],Table2[Team], 0), 0)</f>
        <v>1-0-0</v>
      </c>
      <c r="AQ829" s="64" t="str">
        <f>INDEX(Records!$B$2:$AG$33, MATCH(Table1[[#This Row],[HomeTeam]],Records!$A$2:$A$33, 0), MATCH(Table1[[#This Row],[AwayTeam]],Records!$A$2:$A$33, 0))</f>
        <v>0-0-0</v>
      </c>
    </row>
    <row r="830" spans="1:43" x14ac:dyDescent="0.25">
      <c r="A830" s="1"/>
      <c r="D830" t="s">
        <v>1123</v>
      </c>
      <c r="E830" t="s">
        <v>162</v>
      </c>
      <c r="F830" t="s">
        <v>1130</v>
      </c>
      <c r="G830" t="s">
        <v>25</v>
      </c>
      <c r="H830" t="s">
        <v>16</v>
      </c>
      <c r="L83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3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30" s="1"/>
      <c r="T830" s="64" t="str">
        <f>IF(Table1[[#This Row],[ActualWinner]]="", "", IF(Table1[[#This Row],[AwayTeam]]=Table1[[#This Row],[ActualWinner]],Table1[[#This Row],[HomeTeam]],Table1[[#This Row],[AwayTeam]]))</f>
        <v/>
      </c>
      <c r="U830" s="64">
        <f>Table1[[#This Row],[ActualAwayScore]]-Table1[[#This Row],[PredictedAwayScore]]</f>
        <v>0</v>
      </c>
      <c r="V830" s="64">
        <f>Table1[[#This Row],[ActualHomeScore]]-Table1[[#This Row],[PredictedHomeScore]]</f>
        <v>0</v>
      </c>
      <c r="W830" s="64">
        <f>(0.8*IF(Table1[[#This Row],[CorrectWinnerPrediction]]=1, 1, 0))+(0.1*IF(Table1[[#This Row],[CorrectAwayScorePrediction]]=1, 1, 0))+(0.1*IF(Table1[[#This Row],[CorrectHomeScorePrediction]]=1, 1, 0))</f>
        <v>0</v>
      </c>
      <c r="X83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30" s="64">
        <f>SUMIF(Table1[GameDate], Table1[[#This Row],[GameDate]], Table1[AwayGameGoalDiff])</f>
        <v>0</v>
      </c>
      <c r="AA830" s="64">
        <f>SUMIF(Table1[GameDate], Table1[[#This Row],[GameDate]], Table1[HomeGameGoalDiff])</f>
        <v>0</v>
      </c>
      <c r="AB830" s="64">
        <f>IF(ISBLANK(Table1[[#This Row],[ActualResult]]), 0, 1)</f>
        <v>0</v>
      </c>
      <c r="AC830" s="64">
        <f>IF(ISBLANK(Table1[[#This Row],[ActualResult]]), 0, IF(Table1[[#This Row],[ActualWinner]]=Table1[[#This Row],[PredictedWinner]], 1, 0))</f>
        <v>0</v>
      </c>
      <c r="AD83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3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30" s="64">
        <f>IF(AND(Table1[[#This Row],[GameIsOver]]=1,Table1[[#This Row],[ActualAwayScore]]=0), 1,0)</f>
        <v>0</v>
      </c>
      <c r="AG830" s="64">
        <f>IF(AND(Table1[[#This Row],[GameIsOver]]=1,Table1[[#This Row],[ActualHomeScore]]=0), 1,0)</f>
        <v>0</v>
      </c>
      <c r="AH830" s="64">
        <f>IF(Table1[[#This Row],[GameIsOver]]=0,0,IF(Table1[[#This Row],[ActualWinner]]=Table1[[#This Row],[AwayTeam]], 1, 0))</f>
        <v>0</v>
      </c>
      <c r="AI830" s="64">
        <f>IF(Table1[[#This Row],[GameIsOver]]=0,0,IF(Table1[[#This Row],[ActualWinner]]=Table1[[#This Row],[HomeTeam]], 1, 0))</f>
        <v>0</v>
      </c>
      <c r="AJ830" s="64">
        <f>IF(INDEX(Standings!$A$2:$C$33,MATCH(Table1[[#This Row],[AwayTeam]],Standings!$A$2:$A$33,0),2)=INDEX(Standings!$A$2:$C$33,MATCH(Table1[[#This Row],[HomeTeam]],Standings!$A$2:$A$33,0),2),1,0)</f>
        <v>1</v>
      </c>
      <c r="AK830" s="64">
        <f>IF(INDEX(Standings!$A$2:$C$33,MATCH(Table1[[#This Row],[AwayTeam]],Standings!$A$2:$A$33,0),3)=INDEX(Standings!$A$2:$C$33,MATCH(Table1[[#This Row],[HomeTeam]],Standings!$A$2:$A$33,0),3),1,0)</f>
        <v>0</v>
      </c>
      <c r="AL830" s="64">
        <f>IF(Table1[[#This Row],[InterConf]]=1,IF(Table1[[#This Row],[InterDiv]]=0, 1, 0), 0)</f>
        <v>1</v>
      </c>
      <c r="AM830" s="64">
        <f>IF(INDEX(Standings!$A$2:$C$33,MATCH(Table1[[#This Row],[AwayTeam]],Standings!$A$2:$A$33,0),2)&lt;&gt;INDEX(Standings!$A$2:$C$33,MATCH(Table1[[#This Row],[HomeTeam]],Standings!$A$2:$A$33,0),2),1,0)</f>
        <v>0</v>
      </c>
      <c r="AN830" s="64" t="str">
        <f>INDEX(Table2[AWAY_RECORD], MATCH(Table1[[#This Row],[AwayTeam]],Table2[Team], 0), 0)</f>
        <v>0-0-0</v>
      </c>
      <c r="AO830" s="64" t="str">
        <f>INDEX(Records!$B$2:$AG$33, MATCH(Table1[[#This Row],[AwayTeam]],Records!$A$2:$A$33, 0), MATCH(Table1[[#This Row],[HomeTeam]],Records!$A$2:$A$33, 0))</f>
        <v>0-0-1</v>
      </c>
      <c r="AP830" s="64" t="str">
        <f>INDEX(Table2[HOME_RECORD], MATCH(Table1[[#This Row],[HomeTeam]],Table2[Team], 0), 0)</f>
        <v>0-0-0</v>
      </c>
      <c r="AQ830" s="64" t="str">
        <f>INDEX(Records!$B$2:$AG$33, MATCH(Table1[[#This Row],[HomeTeam]],Records!$A$2:$A$33, 0), MATCH(Table1[[#This Row],[AwayTeam]],Records!$A$2:$A$33, 0))</f>
        <v>1-0-0</v>
      </c>
    </row>
    <row r="831" spans="1:43" x14ac:dyDescent="0.25">
      <c r="A831" s="1"/>
      <c r="D831" t="s">
        <v>1131</v>
      </c>
      <c r="E831" t="s">
        <v>162</v>
      </c>
      <c r="F831" t="s">
        <v>1132</v>
      </c>
      <c r="G831" t="s">
        <v>54</v>
      </c>
      <c r="H831" t="s">
        <v>44</v>
      </c>
      <c r="L83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3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31" s="1"/>
      <c r="T831" s="64" t="str">
        <f>IF(Table1[[#This Row],[ActualWinner]]="", "", IF(Table1[[#This Row],[AwayTeam]]=Table1[[#This Row],[ActualWinner]],Table1[[#This Row],[HomeTeam]],Table1[[#This Row],[AwayTeam]]))</f>
        <v/>
      </c>
      <c r="U831" s="64">
        <f>Table1[[#This Row],[ActualAwayScore]]-Table1[[#This Row],[PredictedAwayScore]]</f>
        <v>0</v>
      </c>
      <c r="V831" s="64">
        <f>Table1[[#This Row],[ActualHomeScore]]-Table1[[#This Row],[PredictedHomeScore]]</f>
        <v>0</v>
      </c>
      <c r="W831" s="64">
        <f>(0.8*IF(Table1[[#This Row],[CorrectWinnerPrediction]]=1, 1, 0))+(0.1*IF(Table1[[#This Row],[CorrectAwayScorePrediction]]=1, 1, 0))+(0.1*IF(Table1[[#This Row],[CorrectHomeScorePrediction]]=1, 1, 0))</f>
        <v>0</v>
      </c>
      <c r="X83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31" s="64">
        <f>SUMIF(Table1[GameDate], Table1[[#This Row],[GameDate]], Table1[AwayGameGoalDiff])</f>
        <v>0</v>
      </c>
      <c r="AA831" s="64">
        <f>SUMIF(Table1[GameDate], Table1[[#This Row],[GameDate]], Table1[HomeGameGoalDiff])</f>
        <v>0</v>
      </c>
      <c r="AB831" s="64">
        <f>IF(ISBLANK(Table1[[#This Row],[ActualResult]]), 0, 1)</f>
        <v>0</v>
      </c>
      <c r="AC831" s="64">
        <f>IF(ISBLANK(Table1[[#This Row],[ActualResult]]), 0, IF(Table1[[#This Row],[ActualWinner]]=Table1[[#This Row],[PredictedWinner]], 1, 0))</f>
        <v>0</v>
      </c>
      <c r="AD83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3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31" s="64">
        <f>IF(AND(Table1[[#This Row],[GameIsOver]]=1,Table1[[#This Row],[ActualAwayScore]]=0), 1,0)</f>
        <v>0</v>
      </c>
      <c r="AG831" s="64">
        <f>IF(AND(Table1[[#This Row],[GameIsOver]]=1,Table1[[#This Row],[ActualHomeScore]]=0), 1,0)</f>
        <v>0</v>
      </c>
      <c r="AH831" s="64">
        <f>IF(Table1[[#This Row],[GameIsOver]]=0,0,IF(Table1[[#This Row],[ActualWinner]]=Table1[[#This Row],[AwayTeam]], 1, 0))</f>
        <v>0</v>
      </c>
      <c r="AI831" s="64">
        <f>IF(Table1[[#This Row],[GameIsOver]]=0,0,IF(Table1[[#This Row],[ActualWinner]]=Table1[[#This Row],[HomeTeam]], 1, 0))</f>
        <v>0</v>
      </c>
      <c r="AJ831" s="64">
        <f>IF(INDEX(Standings!$A$2:$C$33,MATCH(Table1[[#This Row],[AwayTeam]],Standings!$A$2:$A$33,0),2)=INDEX(Standings!$A$2:$C$33,MATCH(Table1[[#This Row],[HomeTeam]],Standings!$A$2:$A$33,0),2),1,0)</f>
        <v>1</v>
      </c>
      <c r="AK831" s="64">
        <f>IF(INDEX(Standings!$A$2:$C$33,MATCH(Table1[[#This Row],[AwayTeam]],Standings!$A$2:$A$33,0),3)=INDEX(Standings!$A$2:$C$33,MATCH(Table1[[#This Row],[HomeTeam]],Standings!$A$2:$A$33,0),3),1,0)</f>
        <v>0</v>
      </c>
      <c r="AL831" s="64">
        <f>IF(Table1[[#This Row],[InterConf]]=1,IF(Table1[[#This Row],[InterDiv]]=0, 1, 0), 0)</f>
        <v>1</v>
      </c>
      <c r="AM831" s="64">
        <f>IF(INDEX(Standings!$A$2:$C$33,MATCH(Table1[[#This Row],[AwayTeam]],Standings!$A$2:$A$33,0),2)&lt;&gt;INDEX(Standings!$A$2:$C$33,MATCH(Table1[[#This Row],[HomeTeam]],Standings!$A$2:$A$33,0),2),1,0)</f>
        <v>0</v>
      </c>
      <c r="AN831" s="64" t="str">
        <f>INDEX(Table2[AWAY_RECORD], MATCH(Table1[[#This Row],[AwayTeam]],Table2[Team], 0), 0)</f>
        <v>0-0-1</v>
      </c>
      <c r="AO831" s="64" t="str">
        <f>INDEX(Records!$B$2:$AG$33, MATCH(Table1[[#This Row],[AwayTeam]],Records!$A$2:$A$33, 0), MATCH(Table1[[#This Row],[HomeTeam]],Records!$A$2:$A$33, 0))</f>
        <v>0-0-0</v>
      </c>
      <c r="AP831" s="64" t="str">
        <f>INDEX(Table2[HOME_RECORD], MATCH(Table1[[#This Row],[HomeTeam]],Table2[Team], 0), 0)</f>
        <v>0-0-1</v>
      </c>
      <c r="AQ831" s="64" t="str">
        <f>INDEX(Records!$B$2:$AG$33, MATCH(Table1[[#This Row],[HomeTeam]],Records!$A$2:$A$33, 0), MATCH(Table1[[#This Row],[AwayTeam]],Records!$A$2:$A$33, 0))</f>
        <v>0-0-0</v>
      </c>
    </row>
    <row r="832" spans="1:43" x14ac:dyDescent="0.25">
      <c r="A832" s="1"/>
      <c r="D832" t="s">
        <v>1131</v>
      </c>
      <c r="E832" t="s">
        <v>162</v>
      </c>
      <c r="F832" t="s">
        <v>1133</v>
      </c>
      <c r="G832" t="s">
        <v>56</v>
      </c>
      <c r="H832" t="s">
        <v>51</v>
      </c>
      <c r="L83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3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32" s="1"/>
      <c r="T832" s="64" t="str">
        <f>IF(Table1[[#This Row],[ActualWinner]]="", "", IF(Table1[[#This Row],[AwayTeam]]=Table1[[#This Row],[ActualWinner]],Table1[[#This Row],[HomeTeam]],Table1[[#This Row],[AwayTeam]]))</f>
        <v/>
      </c>
      <c r="U832" s="64">
        <f>Table1[[#This Row],[ActualAwayScore]]-Table1[[#This Row],[PredictedAwayScore]]</f>
        <v>0</v>
      </c>
      <c r="V832" s="64">
        <f>Table1[[#This Row],[ActualHomeScore]]-Table1[[#This Row],[PredictedHomeScore]]</f>
        <v>0</v>
      </c>
      <c r="W832" s="64">
        <f>(0.8*IF(Table1[[#This Row],[CorrectWinnerPrediction]]=1, 1, 0))+(0.1*IF(Table1[[#This Row],[CorrectAwayScorePrediction]]=1, 1, 0))+(0.1*IF(Table1[[#This Row],[CorrectHomeScorePrediction]]=1, 1, 0))</f>
        <v>0</v>
      </c>
      <c r="X83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32" s="64">
        <f>SUMIF(Table1[GameDate], Table1[[#This Row],[GameDate]], Table1[AwayGameGoalDiff])</f>
        <v>0</v>
      </c>
      <c r="AA832" s="64">
        <f>SUMIF(Table1[GameDate], Table1[[#This Row],[GameDate]], Table1[HomeGameGoalDiff])</f>
        <v>0</v>
      </c>
      <c r="AB832" s="64">
        <f>IF(ISBLANK(Table1[[#This Row],[ActualResult]]), 0, 1)</f>
        <v>0</v>
      </c>
      <c r="AC832" s="64">
        <f>IF(ISBLANK(Table1[[#This Row],[ActualResult]]), 0, IF(Table1[[#This Row],[ActualWinner]]=Table1[[#This Row],[PredictedWinner]], 1, 0))</f>
        <v>0</v>
      </c>
      <c r="AD83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3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32" s="64">
        <f>IF(AND(Table1[[#This Row],[GameIsOver]]=1,Table1[[#This Row],[ActualAwayScore]]=0), 1,0)</f>
        <v>0</v>
      </c>
      <c r="AG832" s="64">
        <f>IF(AND(Table1[[#This Row],[GameIsOver]]=1,Table1[[#This Row],[ActualHomeScore]]=0), 1,0)</f>
        <v>0</v>
      </c>
      <c r="AH832" s="64">
        <f>IF(Table1[[#This Row],[GameIsOver]]=0,0,IF(Table1[[#This Row],[ActualWinner]]=Table1[[#This Row],[AwayTeam]], 1, 0))</f>
        <v>0</v>
      </c>
      <c r="AI832" s="64">
        <f>IF(Table1[[#This Row],[GameIsOver]]=0,0,IF(Table1[[#This Row],[ActualWinner]]=Table1[[#This Row],[HomeTeam]], 1, 0))</f>
        <v>0</v>
      </c>
      <c r="AJ832" s="64">
        <f>IF(INDEX(Standings!$A$2:$C$33,MATCH(Table1[[#This Row],[AwayTeam]],Standings!$A$2:$A$33,0),2)=INDEX(Standings!$A$2:$C$33,MATCH(Table1[[#This Row],[HomeTeam]],Standings!$A$2:$A$33,0),2),1,0)</f>
        <v>0</v>
      </c>
      <c r="AK832" s="64">
        <f>IF(INDEX(Standings!$A$2:$C$33,MATCH(Table1[[#This Row],[AwayTeam]],Standings!$A$2:$A$33,0),3)=INDEX(Standings!$A$2:$C$33,MATCH(Table1[[#This Row],[HomeTeam]],Standings!$A$2:$A$33,0),3),1,0)</f>
        <v>0</v>
      </c>
      <c r="AL832" s="64">
        <f>IF(Table1[[#This Row],[InterConf]]=1,IF(Table1[[#This Row],[InterDiv]]=0, 1, 0), 0)</f>
        <v>0</v>
      </c>
      <c r="AM832" s="64">
        <f>IF(INDEX(Standings!$A$2:$C$33,MATCH(Table1[[#This Row],[AwayTeam]],Standings!$A$2:$A$33,0),2)&lt;&gt;INDEX(Standings!$A$2:$C$33,MATCH(Table1[[#This Row],[HomeTeam]],Standings!$A$2:$A$33,0),2),1,0)</f>
        <v>1</v>
      </c>
      <c r="AN832" s="64" t="str">
        <f>INDEX(Table2[AWAY_RECORD], MATCH(Table1[[#This Row],[AwayTeam]],Table2[Team], 0), 0)</f>
        <v>1-0-0</v>
      </c>
      <c r="AO832" s="64" t="str">
        <f>INDEX(Records!$B$2:$AG$33, MATCH(Table1[[#This Row],[AwayTeam]],Records!$A$2:$A$33, 0), MATCH(Table1[[#This Row],[HomeTeam]],Records!$A$2:$A$33, 0))</f>
        <v>0-0-0</v>
      </c>
      <c r="AP832" s="64" t="str">
        <f>INDEX(Table2[HOME_RECORD], MATCH(Table1[[#This Row],[HomeTeam]],Table2[Team], 0), 0)</f>
        <v>1-0-0</v>
      </c>
      <c r="AQ832" s="64" t="str">
        <f>INDEX(Records!$B$2:$AG$33, MATCH(Table1[[#This Row],[HomeTeam]],Records!$A$2:$A$33, 0), MATCH(Table1[[#This Row],[AwayTeam]],Records!$A$2:$A$33, 0))</f>
        <v>0-0-0</v>
      </c>
    </row>
    <row r="833" spans="1:43" x14ac:dyDescent="0.25">
      <c r="A833" s="1"/>
      <c r="D833" t="s">
        <v>1131</v>
      </c>
      <c r="E833" t="s">
        <v>289</v>
      </c>
      <c r="F833" t="s">
        <v>1134</v>
      </c>
      <c r="G833" t="s">
        <v>40</v>
      </c>
      <c r="H833" t="s">
        <v>52</v>
      </c>
      <c r="L83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3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33" s="1"/>
      <c r="T833" s="64" t="str">
        <f>IF(Table1[[#This Row],[ActualWinner]]="", "", IF(Table1[[#This Row],[AwayTeam]]=Table1[[#This Row],[ActualWinner]],Table1[[#This Row],[HomeTeam]],Table1[[#This Row],[AwayTeam]]))</f>
        <v/>
      </c>
      <c r="U833" s="64">
        <f>Table1[[#This Row],[ActualAwayScore]]-Table1[[#This Row],[PredictedAwayScore]]</f>
        <v>0</v>
      </c>
      <c r="V833" s="64">
        <f>Table1[[#This Row],[ActualHomeScore]]-Table1[[#This Row],[PredictedHomeScore]]</f>
        <v>0</v>
      </c>
      <c r="W833" s="64">
        <f>(0.8*IF(Table1[[#This Row],[CorrectWinnerPrediction]]=1, 1, 0))+(0.1*IF(Table1[[#This Row],[CorrectAwayScorePrediction]]=1, 1, 0))+(0.1*IF(Table1[[#This Row],[CorrectHomeScorePrediction]]=1, 1, 0))</f>
        <v>0</v>
      </c>
      <c r="X83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33" s="64">
        <f>SUMIF(Table1[GameDate], Table1[[#This Row],[GameDate]], Table1[AwayGameGoalDiff])</f>
        <v>0</v>
      </c>
      <c r="AA833" s="64">
        <f>SUMIF(Table1[GameDate], Table1[[#This Row],[GameDate]], Table1[HomeGameGoalDiff])</f>
        <v>0</v>
      </c>
      <c r="AB833" s="64">
        <f>IF(ISBLANK(Table1[[#This Row],[ActualResult]]), 0, 1)</f>
        <v>0</v>
      </c>
      <c r="AC833" s="64">
        <f>IF(ISBLANK(Table1[[#This Row],[ActualResult]]), 0, IF(Table1[[#This Row],[ActualWinner]]=Table1[[#This Row],[PredictedWinner]], 1, 0))</f>
        <v>0</v>
      </c>
      <c r="AD83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3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33" s="64">
        <f>IF(AND(Table1[[#This Row],[GameIsOver]]=1,Table1[[#This Row],[ActualAwayScore]]=0), 1,0)</f>
        <v>0</v>
      </c>
      <c r="AG833" s="64">
        <f>IF(AND(Table1[[#This Row],[GameIsOver]]=1,Table1[[#This Row],[ActualHomeScore]]=0), 1,0)</f>
        <v>0</v>
      </c>
      <c r="AH833" s="64">
        <f>IF(Table1[[#This Row],[GameIsOver]]=0,0,IF(Table1[[#This Row],[ActualWinner]]=Table1[[#This Row],[AwayTeam]], 1, 0))</f>
        <v>0</v>
      </c>
      <c r="AI833" s="64">
        <f>IF(Table1[[#This Row],[GameIsOver]]=0,0,IF(Table1[[#This Row],[ActualWinner]]=Table1[[#This Row],[HomeTeam]], 1, 0))</f>
        <v>0</v>
      </c>
      <c r="AJ833" s="64">
        <f>IF(INDEX(Standings!$A$2:$C$33,MATCH(Table1[[#This Row],[AwayTeam]],Standings!$A$2:$A$33,0),2)=INDEX(Standings!$A$2:$C$33,MATCH(Table1[[#This Row],[HomeTeam]],Standings!$A$2:$A$33,0),2),1,0)</f>
        <v>1</v>
      </c>
      <c r="AK833" s="64">
        <f>IF(INDEX(Standings!$A$2:$C$33,MATCH(Table1[[#This Row],[AwayTeam]],Standings!$A$2:$A$33,0),3)=INDEX(Standings!$A$2:$C$33,MATCH(Table1[[#This Row],[HomeTeam]],Standings!$A$2:$A$33,0),3),1,0)</f>
        <v>0</v>
      </c>
      <c r="AL833" s="64">
        <f>IF(Table1[[#This Row],[InterConf]]=1,IF(Table1[[#This Row],[InterDiv]]=0, 1, 0), 0)</f>
        <v>1</v>
      </c>
      <c r="AM833" s="64">
        <f>IF(INDEX(Standings!$A$2:$C$33,MATCH(Table1[[#This Row],[AwayTeam]],Standings!$A$2:$A$33,0),2)&lt;&gt;INDEX(Standings!$A$2:$C$33,MATCH(Table1[[#This Row],[HomeTeam]],Standings!$A$2:$A$33,0),2),1,0)</f>
        <v>0</v>
      </c>
      <c r="AN833" s="64" t="str">
        <f>INDEX(Table2[AWAY_RECORD], MATCH(Table1[[#This Row],[AwayTeam]],Table2[Team], 0), 0)</f>
        <v>0-0-0</v>
      </c>
      <c r="AO833" s="64" t="str">
        <f>INDEX(Records!$B$2:$AG$33, MATCH(Table1[[#This Row],[AwayTeam]],Records!$A$2:$A$33, 0), MATCH(Table1[[#This Row],[HomeTeam]],Records!$A$2:$A$33, 0))</f>
        <v>0-0-0</v>
      </c>
      <c r="AP833" s="64" t="str">
        <f>INDEX(Table2[HOME_RECORD], MATCH(Table1[[#This Row],[HomeTeam]],Table2[Team], 0), 0)</f>
        <v>0-0-0</v>
      </c>
      <c r="AQ833" s="64" t="str">
        <f>INDEX(Records!$B$2:$AG$33, MATCH(Table1[[#This Row],[HomeTeam]],Records!$A$2:$A$33, 0), MATCH(Table1[[#This Row],[AwayTeam]],Records!$A$2:$A$33, 0))</f>
        <v>0-0-0</v>
      </c>
    </row>
    <row r="834" spans="1:43" x14ac:dyDescent="0.25">
      <c r="A834" s="1"/>
      <c r="D834" t="s">
        <v>1131</v>
      </c>
      <c r="E834" t="s">
        <v>164</v>
      </c>
      <c r="F834" t="s">
        <v>1135</v>
      </c>
      <c r="G834" t="s">
        <v>22</v>
      </c>
      <c r="H834" t="s">
        <v>58</v>
      </c>
      <c r="L83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3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34" s="1"/>
      <c r="T834" s="64" t="str">
        <f>IF(Table1[[#This Row],[ActualWinner]]="", "", IF(Table1[[#This Row],[AwayTeam]]=Table1[[#This Row],[ActualWinner]],Table1[[#This Row],[HomeTeam]],Table1[[#This Row],[AwayTeam]]))</f>
        <v/>
      </c>
      <c r="U834" s="64">
        <f>Table1[[#This Row],[ActualAwayScore]]-Table1[[#This Row],[PredictedAwayScore]]</f>
        <v>0</v>
      </c>
      <c r="V834" s="64">
        <f>Table1[[#This Row],[ActualHomeScore]]-Table1[[#This Row],[PredictedHomeScore]]</f>
        <v>0</v>
      </c>
      <c r="W834" s="64">
        <f>(0.8*IF(Table1[[#This Row],[CorrectWinnerPrediction]]=1, 1, 0))+(0.1*IF(Table1[[#This Row],[CorrectAwayScorePrediction]]=1, 1, 0))+(0.1*IF(Table1[[#This Row],[CorrectHomeScorePrediction]]=1, 1, 0))</f>
        <v>0</v>
      </c>
      <c r="X83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34" s="64">
        <f>SUMIF(Table1[GameDate], Table1[[#This Row],[GameDate]], Table1[AwayGameGoalDiff])</f>
        <v>0</v>
      </c>
      <c r="AA834" s="64">
        <f>SUMIF(Table1[GameDate], Table1[[#This Row],[GameDate]], Table1[HomeGameGoalDiff])</f>
        <v>0</v>
      </c>
      <c r="AB834" s="64">
        <f>IF(ISBLANK(Table1[[#This Row],[ActualResult]]), 0, 1)</f>
        <v>0</v>
      </c>
      <c r="AC834" s="64">
        <f>IF(ISBLANK(Table1[[#This Row],[ActualResult]]), 0, IF(Table1[[#This Row],[ActualWinner]]=Table1[[#This Row],[PredictedWinner]], 1, 0))</f>
        <v>0</v>
      </c>
      <c r="AD83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3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34" s="64">
        <f>IF(AND(Table1[[#This Row],[GameIsOver]]=1,Table1[[#This Row],[ActualAwayScore]]=0), 1,0)</f>
        <v>0</v>
      </c>
      <c r="AG834" s="64">
        <f>IF(AND(Table1[[#This Row],[GameIsOver]]=1,Table1[[#This Row],[ActualHomeScore]]=0), 1,0)</f>
        <v>0</v>
      </c>
      <c r="AH834" s="64">
        <f>IF(Table1[[#This Row],[GameIsOver]]=0,0,IF(Table1[[#This Row],[ActualWinner]]=Table1[[#This Row],[AwayTeam]], 1, 0))</f>
        <v>0</v>
      </c>
      <c r="AI834" s="64">
        <f>IF(Table1[[#This Row],[GameIsOver]]=0,0,IF(Table1[[#This Row],[ActualWinner]]=Table1[[#This Row],[HomeTeam]], 1, 0))</f>
        <v>0</v>
      </c>
      <c r="AJ834" s="64">
        <f>IF(INDEX(Standings!$A$2:$C$33,MATCH(Table1[[#This Row],[AwayTeam]],Standings!$A$2:$A$33,0),2)=INDEX(Standings!$A$2:$C$33,MATCH(Table1[[#This Row],[HomeTeam]],Standings!$A$2:$A$33,0),2),1,0)</f>
        <v>1</v>
      </c>
      <c r="AK834" s="64">
        <f>IF(INDEX(Standings!$A$2:$C$33,MATCH(Table1[[#This Row],[AwayTeam]],Standings!$A$2:$A$33,0),3)=INDEX(Standings!$A$2:$C$33,MATCH(Table1[[#This Row],[HomeTeam]],Standings!$A$2:$A$33,0),3),1,0)</f>
        <v>1</v>
      </c>
      <c r="AL834" s="64">
        <f>IF(Table1[[#This Row],[InterConf]]=1,IF(Table1[[#This Row],[InterDiv]]=0, 1, 0), 0)</f>
        <v>0</v>
      </c>
      <c r="AM834" s="64">
        <f>IF(INDEX(Standings!$A$2:$C$33,MATCH(Table1[[#This Row],[AwayTeam]],Standings!$A$2:$A$33,0),2)&lt;&gt;INDEX(Standings!$A$2:$C$33,MATCH(Table1[[#This Row],[HomeTeam]],Standings!$A$2:$A$33,0),2),1,0)</f>
        <v>0</v>
      </c>
      <c r="AN834" s="64" t="str">
        <f>INDEX(Table2[AWAY_RECORD], MATCH(Table1[[#This Row],[AwayTeam]],Table2[Team], 0), 0)</f>
        <v>0-0-1</v>
      </c>
      <c r="AO834" s="64" t="str">
        <f>INDEX(Records!$B$2:$AG$33, MATCH(Table1[[#This Row],[AwayTeam]],Records!$A$2:$A$33, 0), MATCH(Table1[[#This Row],[HomeTeam]],Records!$A$2:$A$33, 0))</f>
        <v>0-0-0</v>
      </c>
      <c r="AP834" s="64" t="str">
        <f>INDEX(Table2[HOME_RECORD], MATCH(Table1[[#This Row],[HomeTeam]],Table2[Team], 0), 0)</f>
        <v>1-0-0</v>
      </c>
      <c r="AQ834" s="64" t="str">
        <f>INDEX(Records!$B$2:$AG$33, MATCH(Table1[[#This Row],[HomeTeam]],Records!$A$2:$A$33, 0), MATCH(Table1[[#This Row],[AwayTeam]],Records!$A$2:$A$33, 0))</f>
        <v>0-0-0</v>
      </c>
    </row>
    <row r="835" spans="1:43" x14ac:dyDescent="0.25">
      <c r="A835" s="1"/>
      <c r="D835" t="s">
        <v>1136</v>
      </c>
      <c r="E835" t="s">
        <v>162</v>
      </c>
      <c r="F835" t="s">
        <v>1137</v>
      </c>
      <c r="G835" t="s">
        <v>42</v>
      </c>
      <c r="H835" t="s">
        <v>37</v>
      </c>
      <c r="L83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3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35" s="1"/>
      <c r="T835" s="64" t="str">
        <f>IF(Table1[[#This Row],[ActualWinner]]="", "", IF(Table1[[#This Row],[AwayTeam]]=Table1[[#This Row],[ActualWinner]],Table1[[#This Row],[HomeTeam]],Table1[[#This Row],[AwayTeam]]))</f>
        <v/>
      </c>
      <c r="U835" s="64">
        <f>Table1[[#This Row],[ActualAwayScore]]-Table1[[#This Row],[PredictedAwayScore]]</f>
        <v>0</v>
      </c>
      <c r="V835" s="64">
        <f>Table1[[#This Row],[ActualHomeScore]]-Table1[[#This Row],[PredictedHomeScore]]</f>
        <v>0</v>
      </c>
      <c r="W835" s="64">
        <f>(0.8*IF(Table1[[#This Row],[CorrectWinnerPrediction]]=1, 1, 0))+(0.1*IF(Table1[[#This Row],[CorrectAwayScorePrediction]]=1, 1, 0))+(0.1*IF(Table1[[#This Row],[CorrectHomeScorePrediction]]=1, 1, 0))</f>
        <v>0</v>
      </c>
      <c r="X83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35" s="64">
        <f>SUMIF(Table1[GameDate], Table1[[#This Row],[GameDate]], Table1[AwayGameGoalDiff])</f>
        <v>0</v>
      </c>
      <c r="AA835" s="64">
        <f>SUMIF(Table1[GameDate], Table1[[#This Row],[GameDate]], Table1[HomeGameGoalDiff])</f>
        <v>0</v>
      </c>
      <c r="AB835" s="64">
        <f>IF(ISBLANK(Table1[[#This Row],[ActualResult]]), 0, 1)</f>
        <v>0</v>
      </c>
      <c r="AC835" s="64">
        <f>IF(ISBLANK(Table1[[#This Row],[ActualResult]]), 0, IF(Table1[[#This Row],[ActualWinner]]=Table1[[#This Row],[PredictedWinner]], 1, 0))</f>
        <v>0</v>
      </c>
      <c r="AD83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3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35" s="64">
        <f>IF(AND(Table1[[#This Row],[GameIsOver]]=1,Table1[[#This Row],[ActualAwayScore]]=0), 1,0)</f>
        <v>0</v>
      </c>
      <c r="AG835" s="64">
        <f>IF(AND(Table1[[#This Row],[GameIsOver]]=1,Table1[[#This Row],[ActualHomeScore]]=0), 1,0)</f>
        <v>0</v>
      </c>
      <c r="AH835" s="64">
        <f>IF(Table1[[#This Row],[GameIsOver]]=0,0,IF(Table1[[#This Row],[ActualWinner]]=Table1[[#This Row],[AwayTeam]], 1, 0))</f>
        <v>0</v>
      </c>
      <c r="AI835" s="64">
        <f>IF(Table1[[#This Row],[GameIsOver]]=0,0,IF(Table1[[#This Row],[ActualWinner]]=Table1[[#This Row],[HomeTeam]], 1, 0))</f>
        <v>0</v>
      </c>
      <c r="AJ835" s="64">
        <f>IF(INDEX(Standings!$A$2:$C$33,MATCH(Table1[[#This Row],[AwayTeam]],Standings!$A$2:$A$33,0),2)=INDEX(Standings!$A$2:$C$33,MATCH(Table1[[#This Row],[HomeTeam]],Standings!$A$2:$A$33,0),2),1,0)</f>
        <v>1</v>
      </c>
      <c r="AK835" s="64">
        <f>IF(INDEX(Standings!$A$2:$C$33,MATCH(Table1[[#This Row],[AwayTeam]],Standings!$A$2:$A$33,0),3)=INDEX(Standings!$A$2:$C$33,MATCH(Table1[[#This Row],[HomeTeam]],Standings!$A$2:$A$33,0),3),1,0)</f>
        <v>0</v>
      </c>
      <c r="AL835" s="64">
        <f>IF(Table1[[#This Row],[InterConf]]=1,IF(Table1[[#This Row],[InterDiv]]=0, 1, 0), 0)</f>
        <v>1</v>
      </c>
      <c r="AM835" s="64">
        <f>IF(INDEX(Standings!$A$2:$C$33,MATCH(Table1[[#This Row],[AwayTeam]],Standings!$A$2:$A$33,0),2)&lt;&gt;INDEX(Standings!$A$2:$C$33,MATCH(Table1[[#This Row],[HomeTeam]],Standings!$A$2:$A$33,0),2),1,0)</f>
        <v>0</v>
      </c>
      <c r="AN835" s="64" t="str">
        <f>INDEX(Table2[AWAY_RECORD], MATCH(Table1[[#This Row],[AwayTeam]],Table2[Team], 0), 0)</f>
        <v>0-0-0</v>
      </c>
      <c r="AO835" s="64" t="str">
        <f>INDEX(Records!$B$2:$AG$33, MATCH(Table1[[#This Row],[AwayTeam]],Records!$A$2:$A$33, 0), MATCH(Table1[[#This Row],[HomeTeam]],Records!$A$2:$A$33, 0))</f>
        <v>0-0-0</v>
      </c>
      <c r="AP835" s="64" t="str">
        <f>INDEX(Table2[HOME_RECORD], MATCH(Table1[[#This Row],[HomeTeam]],Table2[Team], 0), 0)</f>
        <v>0-1-0</v>
      </c>
      <c r="AQ835" s="64" t="str">
        <f>INDEX(Records!$B$2:$AG$33, MATCH(Table1[[#This Row],[HomeTeam]],Records!$A$2:$A$33, 0), MATCH(Table1[[#This Row],[AwayTeam]],Records!$A$2:$A$33, 0))</f>
        <v>0-0-0</v>
      </c>
    </row>
    <row r="836" spans="1:43" x14ac:dyDescent="0.25">
      <c r="A836" s="1"/>
      <c r="D836" t="s">
        <v>1136</v>
      </c>
      <c r="E836" t="s">
        <v>162</v>
      </c>
      <c r="F836" t="s">
        <v>1138</v>
      </c>
      <c r="G836" t="s">
        <v>39</v>
      </c>
      <c r="H836" t="s">
        <v>24</v>
      </c>
      <c r="L83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3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36" s="1"/>
      <c r="T836" s="64" t="str">
        <f>IF(Table1[[#This Row],[ActualWinner]]="", "", IF(Table1[[#This Row],[AwayTeam]]=Table1[[#This Row],[ActualWinner]],Table1[[#This Row],[HomeTeam]],Table1[[#This Row],[AwayTeam]]))</f>
        <v/>
      </c>
      <c r="U836" s="64">
        <f>Table1[[#This Row],[ActualAwayScore]]-Table1[[#This Row],[PredictedAwayScore]]</f>
        <v>0</v>
      </c>
      <c r="V836" s="64">
        <f>Table1[[#This Row],[ActualHomeScore]]-Table1[[#This Row],[PredictedHomeScore]]</f>
        <v>0</v>
      </c>
      <c r="W836" s="64">
        <f>(0.8*IF(Table1[[#This Row],[CorrectWinnerPrediction]]=1, 1, 0))+(0.1*IF(Table1[[#This Row],[CorrectAwayScorePrediction]]=1, 1, 0))+(0.1*IF(Table1[[#This Row],[CorrectHomeScorePrediction]]=1, 1, 0))</f>
        <v>0</v>
      </c>
      <c r="X83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36" s="64">
        <f>SUMIF(Table1[GameDate], Table1[[#This Row],[GameDate]], Table1[AwayGameGoalDiff])</f>
        <v>0</v>
      </c>
      <c r="AA836" s="64">
        <f>SUMIF(Table1[GameDate], Table1[[#This Row],[GameDate]], Table1[HomeGameGoalDiff])</f>
        <v>0</v>
      </c>
      <c r="AB836" s="64">
        <f>IF(ISBLANK(Table1[[#This Row],[ActualResult]]), 0, 1)</f>
        <v>0</v>
      </c>
      <c r="AC836" s="64">
        <f>IF(ISBLANK(Table1[[#This Row],[ActualResult]]), 0, IF(Table1[[#This Row],[ActualWinner]]=Table1[[#This Row],[PredictedWinner]], 1, 0))</f>
        <v>0</v>
      </c>
      <c r="AD83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3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36" s="64">
        <f>IF(AND(Table1[[#This Row],[GameIsOver]]=1,Table1[[#This Row],[ActualAwayScore]]=0), 1,0)</f>
        <v>0</v>
      </c>
      <c r="AG836" s="64">
        <f>IF(AND(Table1[[#This Row],[GameIsOver]]=1,Table1[[#This Row],[ActualHomeScore]]=0), 1,0)</f>
        <v>0</v>
      </c>
      <c r="AH836" s="64">
        <f>IF(Table1[[#This Row],[GameIsOver]]=0,0,IF(Table1[[#This Row],[ActualWinner]]=Table1[[#This Row],[AwayTeam]], 1, 0))</f>
        <v>0</v>
      </c>
      <c r="AI836" s="64">
        <f>IF(Table1[[#This Row],[GameIsOver]]=0,0,IF(Table1[[#This Row],[ActualWinner]]=Table1[[#This Row],[HomeTeam]], 1, 0))</f>
        <v>0</v>
      </c>
      <c r="AJ836" s="64">
        <f>IF(INDEX(Standings!$A$2:$C$33,MATCH(Table1[[#This Row],[AwayTeam]],Standings!$A$2:$A$33,0),2)=INDEX(Standings!$A$2:$C$33,MATCH(Table1[[#This Row],[HomeTeam]],Standings!$A$2:$A$33,0),2),1,0)</f>
        <v>0</v>
      </c>
      <c r="AK836" s="64">
        <f>IF(INDEX(Standings!$A$2:$C$33,MATCH(Table1[[#This Row],[AwayTeam]],Standings!$A$2:$A$33,0),3)=INDEX(Standings!$A$2:$C$33,MATCH(Table1[[#This Row],[HomeTeam]],Standings!$A$2:$A$33,0),3),1,0)</f>
        <v>0</v>
      </c>
      <c r="AL836" s="64">
        <f>IF(Table1[[#This Row],[InterConf]]=1,IF(Table1[[#This Row],[InterDiv]]=0, 1, 0), 0)</f>
        <v>0</v>
      </c>
      <c r="AM836" s="64">
        <f>IF(INDEX(Standings!$A$2:$C$33,MATCH(Table1[[#This Row],[AwayTeam]],Standings!$A$2:$A$33,0),2)&lt;&gt;INDEX(Standings!$A$2:$C$33,MATCH(Table1[[#This Row],[HomeTeam]],Standings!$A$2:$A$33,0),2),1,0)</f>
        <v>1</v>
      </c>
      <c r="AN836" s="64" t="str">
        <f>INDEX(Table2[AWAY_RECORD], MATCH(Table1[[#This Row],[AwayTeam]],Table2[Team], 0), 0)</f>
        <v>0-0-0</v>
      </c>
      <c r="AO836" s="64" t="str">
        <f>INDEX(Records!$B$2:$AG$33, MATCH(Table1[[#This Row],[AwayTeam]],Records!$A$2:$A$33, 0), MATCH(Table1[[#This Row],[HomeTeam]],Records!$A$2:$A$33, 0))</f>
        <v>0-0-0</v>
      </c>
      <c r="AP836" s="64" t="str">
        <f>INDEX(Table2[HOME_RECORD], MATCH(Table1[[#This Row],[HomeTeam]],Table2[Team], 0), 0)</f>
        <v>0-2-0</v>
      </c>
      <c r="AQ836" s="64" t="str">
        <f>INDEX(Records!$B$2:$AG$33, MATCH(Table1[[#This Row],[HomeTeam]],Records!$A$2:$A$33, 0), MATCH(Table1[[#This Row],[AwayTeam]],Records!$A$2:$A$33, 0))</f>
        <v>0-0-0</v>
      </c>
    </row>
    <row r="837" spans="1:43" x14ac:dyDescent="0.25">
      <c r="A837" s="1"/>
      <c r="D837" t="s">
        <v>1136</v>
      </c>
      <c r="E837" t="s">
        <v>162</v>
      </c>
      <c r="F837" t="s">
        <v>1139</v>
      </c>
      <c r="G837" t="s">
        <v>40</v>
      </c>
      <c r="H837" t="s">
        <v>47</v>
      </c>
      <c r="L83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3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37" s="1"/>
      <c r="T837" s="64" t="str">
        <f>IF(Table1[[#This Row],[ActualWinner]]="", "", IF(Table1[[#This Row],[AwayTeam]]=Table1[[#This Row],[ActualWinner]],Table1[[#This Row],[HomeTeam]],Table1[[#This Row],[AwayTeam]]))</f>
        <v/>
      </c>
      <c r="U837" s="64">
        <f>Table1[[#This Row],[ActualAwayScore]]-Table1[[#This Row],[PredictedAwayScore]]</f>
        <v>0</v>
      </c>
      <c r="V837" s="64">
        <f>Table1[[#This Row],[ActualHomeScore]]-Table1[[#This Row],[PredictedHomeScore]]</f>
        <v>0</v>
      </c>
      <c r="W837" s="64">
        <f>(0.8*IF(Table1[[#This Row],[CorrectWinnerPrediction]]=1, 1, 0))+(0.1*IF(Table1[[#This Row],[CorrectAwayScorePrediction]]=1, 1, 0))+(0.1*IF(Table1[[#This Row],[CorrectHomeScorePrediction]]=1, 1, 0))</f>
        <v>0</v>
      </c>
      <c r="X83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37" s="64">
        <f>SUMIF(Table1[GameDate], Table1[[#This Row],[GameDate]], Table1[AwayGameGoalDiff])</f>
        <v>0</v>
      </c>
      <c r="AA837" s="64">
        <f>SUMIF(Table1[GameDate], Table1[[#This Row],[GameDate]], Table1[HomeGameGoalDiff])</f>
        <v>0</v>
      </c>
      <c r="AB837" s="64">
        <f>IF(ISBLANK(Table1[[#This Row],[ActualResult]]), 0, 1)</f>
        <v>0</v>
      </c>
      <c r="AC837" s="64">
        <f>IF(ISBLANK(Table1[[#This Row],[ActualResult]]), 0, IF(Table1[[#This Row],[ActualWinner]]=Table1[[#This Row],[PredictedWinner]], 1, 0))</f>
        <v>0</v>
      </c>
      <c r="AD83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3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37" s="64">
        <f>IF(AND(Table1[[#This Row],[GameIsOver]]=1,Table1[[#This Row],[ActualAwayScore]]=0), 1,0)</f>
        <v>0</v>
      </c>
      <c r="AG837" s="64">
        <f>IF(AND(Table1[[#This Row],[GameIsOver]]=1,Table1[[#This Row],[ActualHomeScore]]=0), 1,0)</f>
        <v>0</v>
      </c>
      <c r="AH837" s="64">
        <f>IF(Table1[[#This Row],[GameIsOver]]=0,0,IF(Table1[[#This Row],[ActualWinner]]=Table1[[#This Row],[AwayTeam]], 1, 0))</f>
        <v>0</v>
      </c>
      <c r="AI837" s="64">
        <f>IF(Table1[[#This Row],[GameIsOver]]=0,0,IF(Table1[[#This Row],[ActualWinner]]=Table1[[#This Row],[HomeTeam]], 1, 0))</f>
        <v>0</v>
      </c>
      <c r="AJ837" s="64">
        <f>IF(INDEX(Standings!$A$2:$C$33,MATCH(Table1[[#This Row],[AwayTeam]],Standings!$A$2:$A$33,0),2)=INDEX(Standings!$A$2:$C$33,MATCH(Table1[[#This Row],[HomeTeam]],Standings!$A$2:$A$33,0),2),1,0)</f>
        <v>1</v>
      </c>
      <c r="AK837" s="64">
        <f>IF(INDEX(Standings!$A$2:$C$33,MATCH(Table1[[#This Row],[AwayTeam]],Standings!$A$2:$A$33,0),3)=INDEX(Standings!$A$2:$C$33,MATCH(Table1[[#This Row],[HomeTeam]],Standings!$A$2:$A$33,0),3),1,0)</f>
        <v>0</v>
      </c>
      <c r="AL837" s="64">
        <f>IF(Table1[[#This Row],[InterConf]]=1,IF(Table1[[#This Row],[InterDiv]]=0, 1, 0), 0)</f>
        <v>1</v>
      </c>
      <c r="AM837" s="64">
        <f>IF(INDEX(Standings!$A$2:$C$33,MATCH(Table1[[#This Row],[AwayTeam]],Standings!$A$2:$A$33,0),2)&lt;&gt;INDEX(Standings!$A$2:$C$33,MATCH(Table1[[#This Row],[HomeTeam]],Standings!$A$2:$A$33,0),2),1,0)</f>
        <v>0</v>
      </c>
      <c r="AN837" s="64" t="str">
        <f>INDEX(Table2[AWAY_RECORD], MATCH(Table1[[#This Row],[AwayTeam]],Table2[Team], 0), 0)</f>
        <v>0-0-0</v>
      </c>
      <c r="AO837" s="64" t="str">
        <f>INDEX(Records!$B$2:$AG$33, MATCH(Table1[[#This Row],[AwayTeam]],Records!$A$2:$A$33, 0), MATCH(Table1[[#This Row],[HomeTeam]],Records!$A$2:$A$33, 0))</f>
        <v>0-0-0</v>
      </c>
      <c r="AP837" s="64" t="str">
        <f>INDEX(Table2[HOME_RECORD], MATCH(Table1[[#This Row],[HomeTeam]],Table2[Team], 0), 0)</f>
        <v>0-0-0</v>
      </c>
      <c r="AQ837" s="64" t="str">
        <f>INDEX(Records!$B$2:$AG$33, MATCH(Table1[[#This Row],[HomeTeam]],Records!$A$2:$A$33, 0), MATCH(Table1[[#This Row],[AwayTeam]],Records!$A$2:$A$33, 0))</f>
        <v>0-0-0</v>
      </c>
    </row>
    <row r="838" spans="1:43" x14ac:dyDescent="0.25">
      <c r="A838" s="1"/>
      <c r="D838" t="s">
        <v>1136</v>
      </c>
      <c r="E838" t="s">
        <v>162</v>
      </c>
      <c r="F838" t="s">
        <v>1140</v>
      </c>
      <c r="G838" t="s">
        <v>46</v>
      </c>
      <c r="H838" t="s">
        <v>57</v>
      </c>
      <c r="L83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3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38" s="1"/>
      <c r="T838" s="64" t="str">
        <f>IF(Table1[[#This Row],[ActualWinner]]="", "", IF(Table1[[#This Row],[AwayTeam]]=Table1[[#This Row],[ActualWinner]],Table1[[#This Row],[HomeTeam]],Table1[[#This Row],[AwayTeam]]))</f>
        <v/>
      </c>
      <c r="U838" s="64">
        <f>Table1[[#This Row],[ActualAwayScore]]-Table1[[#This Row],[PredictedAwayScore]]</f>
        <v>0</v>
      </c>
      <c r="V838" s="64">
        <f>Table1[[#This Row],[ActualHomeScore]]-Table1[[#This Row],[PredictedHomeScore]]</f>
        <v>0</v>
      </c>
      <c r="W838" s="64">
        <f>(0.8*IF(Table1[[#This Row],[CorrectWinnerPrediction]]=1, 1, 0))+(0.1*IF(Table1[[#This Row],[CorrectAwayScorePrediction]]=1, 1, 0))+(0.1*IF(Table1[[#This Row],[CorrectHomeScorePrediction]]=1, 1, 0))</f>
        <v>0</v>
      </c>
      <c r="X83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38" s="64">
        <f>SUMIF(Table1[GameDate], Table1[[#This Row],[GameDate]], Table1[AwayGameGoalDiff])</f>
        <v>0</v>
      </c>
      <c r="AA838" s="64">
        <f>SUMIF(Table1[GameDate], Table1[[#This Row],[GameDate]], Table1[HomeGameGoalDiff])</f>
        <v>0</v>
      </c>
      <c r="AB838" s="64">
        <f>IF(ISBLANK(Table1[[#This Row],[ActualResult]]), 0, 1)</f>
        <v>0</v>
      </c>
      <c r="AC838" s="64">
        <f>IF(ISBLANK(Table1[[#This Row],[ActualResult]]), 0, IF(Table1[[#This Row],[ActualWinner]]=Table1[[#This Row],[PredictedWinner]], 1, 0))</f>
        <v>0</v>
      </c>
      <c r="AD83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3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38" s="64">
        <f>IF(AND(Table1[[#This Row],[GameIsOver]]=1,Table1[[#This Row],[ActualAwayScore]]=0), 1,0)</f>
        <v>0</v>
      </c>
      <c r="AG838" s="64">
        <f>IF(AND(Table1[[#This Row],[GameIsOver]]=1,Table1[[#This Row],[ActualHomeScore]]=0), 1,0)</f>
        <v>0</v>
      </c>
      <c r="AH838" s="64">
        <f>IF(Table1[[#This Row],[GameIsOver]]=0,0,IF(Table1[[#This Row],[ActualWinner]]=Table1[[#This Row],[AwayTeam]], 1, 0))</f>
        <v>0</v>
      </c>
      <c r="AI838" s="64">
        <f>IF(Table1[[#This Row],[GameIsOver]]=0,0,IF(Table1[[#This Row],[ActualWinner]]=Table1[[#This Row],[HomeTeam]], 1, 0))</f>
        <v>0</v>
      </c>
      <c r="AJ838" s="64">
        <f>IF(INDEX(Standings!$A$2:$C$33,MATCH(Table1[[#This Row],[AwayTeam]],Standings!$A$2:$A$33,0),2)=INDEX(Standings!$A$2:$C$33,MATCH(Table1[[#This Row],[HomeTeam]],Standings!$A$2:$A$33,0),2),1,0)</f>
        <v>0</v>
      </c>
      <c r="AK838" s="64">
        <f>IF(INDEX(Standings!$A$2:$C$33,MATCH(Table1[[#This Row],[AwayTeam]],Standings!$A$2:$A$33,0),3)=INDEX(Standings!$A$2:$C$33,MATCH(Table1[[#This Row],[HomeTeam]],Standings!$A$2:$A$33,0),3),1,0)</f>
        <v>0</v>
      </c>
      <c r="AL838" s="64">
        <f>IF(Table1[[#This Row],[InterConf]]=1,IF(Table1[[#This Row],[InterDiv]]=0, 1, 0), 0)</f>
        <v>0</v>
      </c>
      <c r="AM838" s="64">
        <f>IF(INDEX(Standings!$A$2:$C$33,MATCH(Table1[[#This Row],[AwayTeam]],Standings!$A$2:$A$33,0),2)&lt;&gt;INDEX(Standings!$A$2:$C$33,MATCH(Table1[[#This Row],[HomeTeam]],Standings!$A$2:$A$33,0),2),1,0)</f>
        <v>1</v>
      </c>
      <c r="AN838" s="64" t="str">
        <f>INDEX(Table2[AWAY_RECORD], MATCH(Table1[[#This Row],[AwayTeam]],Table2[Team], 0), 0)</f>
        <v>1-0-0</v>
      </c>
      <c r="AO838" s="64" t="str">
        <f>INDEX(Records!$B$2:$AG$33, MATCH(Table1[[#This Row],[AwayTeam]],Records!$A$2:$A$33, 0), MATCH(Table1[[#This Row],[HomeTeam]],Records!$A$2:$A$33, 0))</f>
        <v>0-0-0</v>
      </c>
      <c r="AP838" s="64" t="str">
        <f>INDEX(Table2[HOME_RECORD], MATCH(Table1[[#This Row],[HomeTeam]],Table2[Team], 0), 0)</f>
        <v>0-0-0</v>
      </c>
      <c r="AQ838" s="64" t="str">
        <f>INDEX(Records!$B$2:$AG$33, MATCH(Table1[[#This Row],[HomeTeam]],Records!$A$2:$A$33, 0), MATCH(Table1[[#This Row],[AwayTeam]],Records!$A$2:$A$33, 0))</f>
        <v>0-0-0</v>
      </c>
    </row>
    <row r="839" spans="1:43" x14ac:dyDescent="0.25">
      <c r="A839" s="1"/>
      <c r="D839" t="s">
        <v>1136</v>
      </c>
      <c r="E839" t="s">
        <v>162</v>
      </c>
      <c r="F839" t="s">
        <v>1141</v>
      </c>
      <c r="G839" t="s">
        <v>56</v>
      </c>
      <c r="H839" t="s">
        <v>49</v>
      </c>
      <c r="L83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3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39" s="1"/>
      <c r="T839" s="64" t="str">
        <f>IF(Table1[[#This Row],[ActualWinner]]="", "", IF(Table1[[#This Row],[AwayTeam]]=Table1[[#This Row],[ActualWinner]],Table1[[#This Row],[HomeTeam]],Table1[[#This Row],[AwayTeam]]))</f>
        <v/>
      </c>
      <c r="U839" s="64">
        <f>Table1[[#This Row],[ActualAwayScore]]-Table1[[#This Row],[PredictedAwayScore]]</f>
        <v>0</v>
      </c>
      <c r="V839" s="64">
        <f>Table1[[#This Row],[ActualHomeScore]]-Table1[[#This Row],[PredictedHomeScore]]</f>
        <v>0</v>
      </c>
      <c r="W839" s="64">
        <f>(0.8*IF(Table1[[#This Row],[CorrectWinnerPrediction]]=1, 1, 0))+(0.1*IF(Table1[[#This Row],[CorrectAwayScorePrediction]]=1, 1, 0))+(0.1*IF(Table1[[#This Row],[CorrectHomeScorePrediction]]=1, 1, 0))</f>
        <v>0</v>
      </c>
      <c r="X83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39" s="64">
        <f>SUMIF(Table1[GameDate], Table1[[#This Row],[GameDate]], Table1[AwayGameGoalDiff])</f>
        <v>0</v>
      </c>
      <c r="AA839" s="64">
        <f>SUMIF(Table1[GameDate], Table1[[#This Row],[GameDate]], Table1[HomeGameGoalDiff])</f>
        <v>0</v>
      </c>
      <c r="AB839" s="64">
        <f>IF(ISBLANK(Table1[[#This Row],[ActualResult]]), 0, 1)</f>
        <v>0</v>
      </c>
      <c r="AC839" s="64">
        <f>IF(ISBLANK(Table1[[#This Row],[ActualResult]]), 0, IF(Table1[[#This Row],[ActualWinner]]=Table1[[#This Row],[PredictedWinner]], 1, 0))</f>
        <v>0</v>
      </c>
      <c r="AD83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3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39" s="64">
        <f>IF(AND(Table1[[#This Row],[GameIsOver]]=1,Table1[[#This Row],[ActualAwayScore]]=0), 1,0)</f>
        <v>0</v>
      </c>
      <c r="AG839" s="64">
        <f>IF(AND(Table1[[#This Row],[GameIsOver]]=1,Table1[[#This Row],[ActualHomeScore]]=0), 1,0)</f>
        <v>0</v>
      </c>
      <c r="AH839" s="64">
        <f>IF(Table1[[#This Row],[GameIsOver]]=0,0,IF(Table1[[#This Row],[ActualWinner]]=Table1[[#This Row],[AwayTeam]], 1, 0))</f>
        <v>0</v>
      </c>
      <c r="AI839" s="64">
        <f>IF(Table1[[#This Row],[GameIsOver]]=0,0,IF(Table1[[#This Row],[ActualWinner]]=Table1[[#This Row],[HomeTeam]], 1, 0))</f>
        <v>0</v>
      </c>
      <c r="AJ839" s="64">
        <f>IF(INDEX(Standings!$A$2:$C$33,MATCH(Table1[[#This Row],[AwayTeam]],Standings!$A$2:$A$33,0),2)=INDEX(Standings!$A$2:$C$33,MATCH(Table1[[#This Row],[HomeTeam]],Standings!$A$2:$A$33,0),2),1,0)</f>
        <v>0</v>
      </c>
      <c r="AK839" s="64">
        <f>IF(INDEX(Standings!$A$2:$C$33,MATCH(Table1[[#This Row],[AwayTeam]],Standings!$A$2:$A$33,0),3)=INDEX(Standings!$A$2:$C$33,MATCH(Table1[[#This Row],[HomeTeam]],Standings!$A$2:$A$33,0),3),1,0)</f>
        <v>0</v>
      </c>
      <c r="AL839" s="64">
        <f>IF(Table1[[#This Row],[InterConf]]=1,IF(Table1[[#This Row],[InterDiv]]=0, 1, 0), 0)</f>
        <v>0</v>
      </c>
      <c r="AM839" s="64">
        <f>IF(INDEX(Standings!$A$2:$C$33,MATCH(Table1[[#This Row],[AwayTeam]],Standings!$A$2:$A$33,0),2)&lt;&gt;INDEX(Standings!$A$2:$C$33,MATCH(Table1[[#This Row],[HomeTeam]],Standings!$A$2:$A$33,0),2),1,0)</f>
        <v>1</v>
      </c>
      <c r="AN839" s="64" t="str">
        <f>INDEX(Table2[AWAY_RECORD], MATCH(Table1[[#This Row],[AwayTeam]],Table2[Team], 0), 0)</f>
        <v>1-0-0</v>
      </c>
      <c r="AO839" s="64" t="str">
        <f>INDEX(Records!$B$2:$AG$33, MATCH(Table1[[#This Row],[AwayTeam]],Records!$A$2:$A$33, 0), MATCH(Table1[[#This Row],[HomeTeam]],Records!$A$2:$A$33, 0))</f>
        <v>0-0-0</v>
      </c>
      <c r="AP839" s="64" t="str">
        <f>INDEX(Table2[HOME_RECORD], MATCH(Table1[[#This Row],[HomeTeam]],Table2[Team], 0), 0)</f>
        <v>1-0-0</v>
      </c>
      <c r="AQ839" s="64" t="str">
        <f>INDEX(Records!$B$2:$AG$33, MATCH(Table1[[#This Row],[HomeTeam]],Records!$A$2:$A$33, 0), MATCH(Table1[[#This Row],[AwayTeam]],Records!$A$2:$A$33, 0))</f>
        <v>0-0-0</v>
      </c>
    </row>
    <row r="840" spans="1:43" x14ac:dyDescent="0.25">
      <c r="A840" s="1"/>
      <c r="D840" t="s">
        <v>1136</v>
      </c>
      <c r="E840" t="s">
        <v>162</v>
      </c>
      <c r="F840" t="s">
        <v>1142</v>
      </c>
      <c r="G840" t="s">
        <v>17</v>
      </c>
      <c r="H840" t="s">
        <v>53</v>
      </c>
      <c r="L84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4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40" s="1"/>
      <c r="T840" s="64" t="str">
        <f>IF(Table1[[#This Row],[ActualWinner]]="", "", IF(Table1[[#This Row],[AwayTeam]]=Table1[[#This Row],[ActualWinner]],Table1[[#This Row],[HomeTeam]],Table1[[#This Row],[AwayTeam]]))</f>
        <v/>
      </c>
      <c r="U840" s="64">
        <f>Table1[[#This Row],[ActualAwayScore]]-Table1[[#This Row],[PredictedAwayScore]]</f>
        <v>0</v>
      </c>
      <c r="V840" s="64">
        <f>Table1[[#This Row],[ActualHomeScore]]-Table1[[#This Row],[PredictedHomeScore]]</f>
        <v>0</v>
      </c>
      <c r="W840" s="64">
        <f>(0.8*IF(Table1[[#This Row],[CorrectWinnerPrediction]]=1, 1, 0))+(0.1*IF(Table1[[#This Row],[CorrectAwayScorePrediction]]=1, 1, 0))+(0.1*IF(Table1[[#This Row],[CorrectHomeScorePrediction]]=1, 1, 0))</f>
        <v>0</v>
      </c>
      <c r="X84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40" s="64">
        <f>SUMIF(Table1[GameDate], Table1[[#This Row],[GameDate]], Table1[AwayGameGoalDiff])</f>
        <v>0</v>
      </c>
      <c r="AA840" s="64">
        <f>SUMIF(Table1[GameDate], Table1[[#This Row],[GameDate]], Table1[HomeGameGoalDiff])</f>
        <v>0</v>
      </c>
      <c r="AB840" s="64">
        <f>IF(ISBLANK(Table1[[#This Row],[ActualResult]]), 0, 1)</f>
        <v>0</v>
      </c>
      <c r="AC840" s="64">
        <f>IF(ISBLANK(Table1[[#This Row],[ActualResult]]), 0, IF(Table1[[#This Row],[ActualWinner]]=Table1[[#This Row],[PredictedWinner]], 1, 0))</f>
        <v>0</v>
      </c>
      <c r="AD84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4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40" s="64">
        <f>IF(AND(Table1[[#This Row],[GameIsOver]]=1,Table1[[#This Row],[ActualAwayScore]]=0), 1,0)</f>
        <v>0</v>
      </c>
      <c r="AG840" s="64">
        <f>IF(AND(Table1[[#This Row],[GameIsOver]]=1,Table1[[#This Row],[ActualHomeScore]]=0), 1,0)</f>
        <v>0</v>
      </c>
      <c r="AH840" s="64">
        <f>IF(Table1[[#This Row],[GameIsOver]]=0,0,IF(Table1[[#This Row],[ActualWinner]]=Table1[[#This Row],[AwayTeam]], 1, 0))</f>
        <v>0</v>
      </c>
      <c r="AI840" s="64">
        <f>IF(Table1[[#This Row],[GameIsOver]]=0,0,IF(Table1[[#This Row],[ActualWinner]]=Table1[[#This Row],[HomeTeam]], 1, 0))</f>
        <v>0</v>
      </c>
      <c r="AJ840" s="64">
        <f>IF(INDEX(Standings!$A$2:$C$33,MATCH(Table1[[#This Row],[AwayTeam]],Standings!$A$2:$A$33,0),2)=INDEX(Standings!$A$2:$C$33,MATCH(Table1[[#This Row],[HomeTeam]],Standings!$A$2:$A$33,0),2),1,0)</f>
        <v>1</v>
      </c>
      <c r="AK840" s="64">
        <f>IF(INDEX(Standings!$A$2:$C$33,MATCH(Table1[[#This Row],[AwayTeam]],Standings!$A$2:$A$33,0),3)=INDEX(Standings!$A$2:$C$33,MATCH(Table1[[#This Row],[HomeTeam]],Standings!$A$2:$A$33,0),3),1,0)</f>
        <v>0</v>
      </c>
      <c r="AL840" s="64">
        <f>IF(Table1[[#This Row],[InterConf]]=1,IF(Table1[[#This Row],[InterDiv]]=0, 1, 0), 0)</f>
        <v>1</v>
      </c>
      <c r="AM840" s="64">
        <f>IF(INDEX(Standings!$A$2:$C$33,MATCH(Table1[[#This Row],[AwayTeam]],Standings!$A$2:$A$33,0),2)&lt;&gt;INDEX(Standings!$A$2:$C$33,MATCH(Table1[[#This Row],[HomeTeam]],Standings!$A$2:$A$33,0),2),1,0)</f>
        <v>0</v>
      </c>
      <c r="AN840" s="64" t="str">
        <f>INDEX(Table2[AWAY_RECORD], MATCH(Table1[[#This Row],[AwayTeam]],Table2[Team], 0), 0)</f>
        <v>2-0-0</v>
      </c>
      <c r="AO840" s="64" t="str">
        <f>INDEX(Records!$B$2:$AG$33, MATCH(Table1[[#This Row],[AwayTeam]],Records!$A$2:$A$33, 0), MATCH(Table1[[#This Row],[HomeTeam]],Records!$A$2:$A$33, 0))</f>
        <v>0-0-0</v>
      </c>
      <c r="AP840" s="64" t="str">
        <f>INDEX(Table2[HOME_RECORD], MATCH(Table1[[#This Row],[HomeTeam]],Table2[Team], 0), 0)</f>
        <v>1-0-0</v>
      </c>
      <c r="AQ840" s="64" t="str">
        <f>INDEX(Records!$B$2:$AG$33, MATCH(Table1[[#This Row],[HomeTeam]],Records!$A$2:$A$33, 0), MATCH(Table1[[#This Row],[AwayTeam]],Records!$A$2:$A$33, 0))</f>
        <v>0-0-0</v>
      </c>
    </row>
    <row r="841" spans="1:43" x14ac:dyDescent="0.25">
      <c r="A841" s="1"/>
      <c r="D841" t="s">
        <v>1136</v>
      </c>
      <c r="E841" t="s">
        <v>162</v>
      </c>
      <c r="F841" t="s">
        <v>1143</v>
      </c>
      <c r="G841" t="s">
        <v>50</v>
      </c>
      <c r="H841" t="s">
        <v>54</v>
      </c>
      <c r="L84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4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41" s="1"/>
      <c r="T841" s="64" t="str">
        <f>IF(Table1[[#This Row],[ActualWinner]]="", "", IF(Table1[[#This Row],[AwayTeam]]=Table1[[#This Row],[ActualWinner]],Table1[[#This Row],[HomeTeam]],Table1[[#This Row],[AwayTeam]]))</f>
        <v/>
      </c>
      <c r="U841" s="64">
        <f>Table1[[#This Row],[ActualAwayScore]]-Table1[[#This Row],[PredictedAwayScore]]</f>
        <v>0</v>
      </c>
      <c r="V841" s="64">
        <f>Table1[[#This Row],[ActualHomeScore]]-Table1[[#This Row],[PredictedHomeScore]]</f>
        <v>0</v>
      </c>
      <c r="W841" s="64">
        <f>(0.8*IF(Table1[[#This Row],[CorrectWinnerPrediction]]=1, 1, 0))+(0.1*IF(Table1[[#This Row],[CorrectAwayScorePrediction]]=1, 1, 0))+(0.1*IF(Table1[[#This Row],[CorrectHomeScorePrediction]]=1, 1, 0))</f>
        <v>0</v>
      </c>
      <c r="X84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41" s="64">
        <f>SUMIF(Table1[GameDate], Table1[[#This Row],[GameDate]], Table1[AwayGameGoalDiff])</f>
        <v>0</v>
      </c>
      <c r="AA841" s="64">
        <f>SUMIF(Table1[GameDate], Table1[[#This Row],[GameDate]], Table1[HomeGameGoalDiff])</f>
        <v>0</v>
      </c>
      <c r="AB841" s="64">
        <f>IF(ISBLANK(Table1[[#This Row],[ActualResult]]), 0, 1)</f>
        <v>0</v>
      </c>
      <c r="AC841" s="64">
        <f>IF(ISBLANK(Table1[[#This Row],[ActualResult]]), 0, IF(Table1[[#This Row],[ActualWinner]]=Table1[[#This Row],[PredictedWinner]], 1, 0))</f>
        <v>0</v>
      </c>
      <c r="AD84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4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41" s="64">
        <f>IF(AND(Table1[[#This Row],[GameIsOver]]=1,Table1[[#This Row],[ActualAwayScore]]=0), 1,0)</f>
        <v>0</v>
      </c>
      <c r="AG841" s="64">
        <f>IF(AND(Table1[[#This Row],[GameIsOver]]=1,Table1[[#This Row],[ActualHomeScore]]=0), 1,0)</f>
        <v>0</v>
      </c>
      <c r="AH841" s="64">
        <f>IF(Table1[[#This Row],[GameIsOver]]=0,0,IF(Table1[[#This Row],[ActualWinner]]=Table1[[#This Row],[AwayTeam]], 1, 0))</f>
        <v>0</v>
      </c>
      <c r="AI841" s="64">
        <f>IF(Table1[[#This Row],[GameIsOver]]=0,0,IF(Table1[[#This Row],[ActualWinner]]=Table1[[#This Row],[HomeTeam]], 1, 0))</f>
        <v>0</v>
      </c>
      <c r="AJ841" s="64">
        <f>IF(INDEX(Standings!$A$2:$C$33,MATCH(Table1[[#This Row],[AwayTeam]],Standings!$A$2:$A$33,0),2)=INDEX(Standings!$A$2:$C$33,MATCH(Table1[[#This Row],[HomeTeam]],Standings!$A$2:$A$33,0),2),1,0)</f>
        <v>1</v>
      </c>
      <c r="AK841" s="64">
        <f>IF(INDEX(Standings!$A$2:$C$33,MATCH(Table1[[#This Row],[AwayTeam]],Standings!$A$2:$A$33,0),3)=INDEX(Standings!$A$2:$C$33,MATCH(Table1[[#This Row],[HomeTeam]],Standings!$A$2:$A$33,0),3),1,0)</f>
        <v>1</v>
      </c>
      <c r="AL841" s="64">
        <f>IF(Table1[[#This Row],[InterConf]]=1,IF(Table1[[#This Row],[InterDiv]]=0, 1, 0), 0)</f>
        <v>0</v>
      </c>
      <c r="AM841" s="64">
        <f>IF(INDEX(Standings!$A$2:$C$33,MATCH(Table1[[#This Row],[AwayTeam]],Standings!$A$2:$A$33,0),2)&lt;&gt;INDEX(Standings!$A$2:$C$33,MATCH(Table1[[#This Row],[HomeTeam]],Standings!$A$2:$A$33,0),2),1,0)</f>
        <v>0</v>
      </c>
      <c r="AN841" s="64" t="str">
        <f>INDEX(Table2[AWAY_RECORD], MATCH(Table1[[#This Row],[AwayTeam]],Table2[Team], 0), 0)</f>
        <v>1-0-0</v>
      </c>
      <c r="AO841" s="64" t="str">
        <f>INDEX(Records!$B$2:$AG$33, MATCH(Table1[[#This Row],[AwayTeam]],Records!$A$2:$A$33, 0), MATCH(Table1[[#This Row],[HomeTeam]],Records!$A$2:$A$33, 0))</f>
        <v>0-0-0</v>
      </c>
      <c r="AP841" s="64" t="str">
        <f>INDEX(Table2[HOME_RECORD], MATCH(Table1[[#This Row],[HomeTeam]],Table2[Team], 0), 0)</f>
        <v>0-0-0</v>
      </c>
      <c r="AQ841" s="64" t="str">
        <f>INDEX(Records!$B$2:$AG$33, MATCH(Table1[[#This Row],[HomeTeam]],Records!$A$2:$A$33, 0), MATCH(Table1[[#This Row],[AwayTeam]],Records!$A$2:$A$33, 0))</f>
        <v>0-0-0</v>
      </c>
    </row>
    <row r="842" spans="1:43" x14ac:dyDescent="0.25">
      <c r="A842" s="1"/>
      <c r="D842" t="s">
        <v>1136</v>
      </c>
      <c r="E842" t="s">
        <v>178</v>
      </c>
      <c r="F842" t="s">
        <v>1144</v>
      </c>
      <c r="G842" t="s">
        <v>16</v>
      </c>
      <c r="H842" t="s">
        <v>61</v>
      </c>
      <c r="L84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4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42" s="1"/>
      <c r="T842" s="64" t="str">
        <f>IF(Table1[[#This Row],[ActualWinner]]="", "", IF(Table1[[#This Row],[AwayTeam]]=Table1[[#This Row],[ActualWinner]],Table1[[#This Row],[HomeTeam]],Table1[[#This Row],[AwayTeam]]))</f>
        <v/>
      </c>
      <c r="U842" s="64">
        <f>Table1[[#This Row],[ActualAwayScore]]-Table1[[#This Row],[PredictedAwayScore]]</f>
        <v>0</v>
      </c>
      <c r="V842" s="64">
        <f>Table1[[#This Row],[ActualHomeScore]]-Table1[[#This Row],[PredictedHomeScore]]</f>
        <v>0</v>
      </c>
      <c r="W842" s="64">
        <f>(0.8*IF(Table1[[#This Row],[CorrectWinnerPrediction]]=1, 1, 0))+(0.1*IF(Table1[[#This Row],[CorrectAwayScorePrediction]]=1, 1, 0))+(0.1*IF(Table1[[#This Row],[CorrectHomeScorePrediction]]=1, 1, 0))</f>
        <v>0</v>
      </c>
      <c r="X84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42" s="64">
        <f>SUMIF(Table1[GameDate], Table1[[#This Row],[GameDate]], Table1[AwayGameGoalDiff])</f>
        <v>0</v>
      </c>
      <c r="AA842" s="64">
        <f>SUMIF(Table1[GameDate], Table1[[#This Row],[GameDate]], Table1[HomeGameGoalDiff])</f>
        <v>0</v>
      </c>
      <c r="AB842" s="64">
        <f>IF(ISBLANK(Table1[[#This Row],[ActualResult]]), 0, 1)</f>
        <v>0</v>
      </c>
      <c r="AC842" s="64">
        <f>IF(ISBLANK(Table1[[#This Row],[ActualResult]]), 0, IF(Table1[[#This Row],[ActualWinner]]=Table1[[#This Row],[PredictedWinner]], 1, 0))</f>
        <v>0</v>
      </c>
      <c r="AD84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4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42" s="64">
        <f>IF(AND(Table1[[#This Row],[GameIsOver]]=1,Table1[[#This Row],[ActualAwayScore]]=0), 1,0)</f>
        <v>0</v>
      </c>
      <c r="AG842" s="64">
        <f>IF(AND(Table1[[#This Row],[GameIsOver]]=1,Table1[[#This Row],[ActualHomeScore]]=0), 1,0)</f>
        <v>0</v>
      </c>
      <c r="AH842" s="64">
        <f>IF(Table1[[#This Row],[GameIsOver]]=0,0,IF(Table1[[#This Row],[ActualWinner]]=Table1[[#This Row],[AwayTeam]], 1, 0))</f>
        <v>0</v>
      </c>
      <c r="AI842" s="64">
        <f>IF(Table1[[#This Row],[GameIsOver]]=0,0,IF(Table1[[#This Row],[ActualWinner]]=Table1[[#This Row],[HomeTeam]], 1, 0))</f>
        <v>0</v>
      </c>
      <c r="AJ842" s="64">
        <f>IF(INDEX(Standings!$A$2:$C$33,MATCH(Table1[[#This Row],[AwayTeam]],Standings!$A$2:$A$33,0),2)=INDEX(Standings!$A$2:$C$33,MATCH(Table1[[#This Row],[HomeTeam]],Standings!$A$2:$A$33,0),2),1,0)</f>
        <v>1</v>
      </c>
      <c r="AK842" s="64">
        <f>IF(INDEX(Standings!$A$2:$C$33,MATCH(Table1[[#This Row],[AwayTeam]],Standings!$A$2:$A$33,0),3)=INDEX(Standings!$A$2:$C$33,MATCH(Table1[[#This Row],[HomeTeam]],Standings!$A$2:$A$33,0),3),1,0)</f>
        <v>1</v>
      </c>
      <c r="AL842" s="64">
        <f>IF(Table1[[#This Row],[InterConf]]=1,IF(Table1[[#This Row],[InterDiv]]=0, 1, 0), 0)</f>
        <v>0</v>
      </c>
      <c r="AM842" s="64">
        <f>IF(INDEX(Standings!$A$2:$C$33,MATCH(Table1[[#This Row],[AwayTeam]],Standings!$A$2:$A$33,0),2)&lt;&gt;INDEX(Standings!$A$2:$C$33,MATCH(Table1[[#This Row],[HomeTeam]],Standings!$A$2:$A$33,0),2),1,0)</f>
        <v>0</v>
      </c>
      <c r="AN842" s="64" t="str">
        <f>INDEX(Table2[AWAY_RECORD], MATCH(Table1[[#This Row],[AwayTeam]],Table2[Team], 0), 0)</f>
        <v>1-0-1</v>
      </c>
      <c r="AO842" s="64" t="str">
        <f>INDEX(Records!$B$2:$AG$33, MATCH(Table1[[#This Row],[AwayTeam]],Records!$A$2:$A$33, 0), MATCH(Table1[[#This Row],[HomeTeam]],Records!$A$2:$A$33, 0))</f>
        <v>0-0-0</v>
      </c>
      <c r="AP842" s="64" t="str">
        <f>INDEX(Table2[HOME_RECORD], MATCH(Table1[[#This Row],[HomeTeam]],Table2[Team], 0), 0)</f>
        <v>0-0-0</v>
      </c>
      <c r="AQ842" s="64" t="str">
        <f>INDEX(Records!$B$2:$AG$33, MATCH(Table1[[#This Row],[HomeTeam]],Records!$A$2:$A$33, 0), MATCH(Table1[[#This Row],[AwayTeam]],Records!$A$2:$A$33, 0))</f>
        <v>0-0-0</v>
      </c>
    </row>
    <row r="843" spans="1:43" x14ac:dyDescent="0.25">
      <c r="A843" s="1"/>
      <c r="D843" t="s">
        <v>1136</v>
      </c>
      <c r="E843" t="s">
        <v>178</v>
      </c>
      <c r="F843" t="s">
        <v>1145</v>
      </c>
      <c r="G843" t="s">
        <v>25</v>
      </c>
      <c r="H843" t="s">
        <v>48</v>
      </c>
      <c r="L84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4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43" s="1"/>
      <c r="T843" s="64" t="str">
        <f>IF(Table1[[#This Row],[ActualWinner]]="", "", IF(Table1[[#This Row],[AwayTeam]]=Table1[[#This Row],[ActualWinner]],Table1[[#This Row],[HomeTeam]],Table1[[#This Row],[AwayTeam]]))</f>
        <v/>
      </c>
      <c r="U843" s="64">
        <f>Table1[[#This Row],[ActualAwayScore]]-Table1[[#This Row],[PredictedAwayScore]]</f>
        <v>0</v>
      </c>
      <c r="V843" s="64">
        <f>Table1[[#This Row],[ActualHomeScore]]-Table1[[#This Row],[PredictedHomeScore]]</f>
        <v>0</v>
      </c>
      <c r="W843" s="64">
        <f>(0.8*IF(Table1[[#This Row],[CorrectWinnerPrediction]]=1, 1, 0))+(0.1*IF(Table1[[#This Row],[CorrectAwayScorePrediction]]=1, 1, 0))+(0.1*IF(Table1[[#This Row],[CorrectHomeScorePrediction]]=1, 1, 0))</f>
        <v>0</v>
      </c>
      <c r="X84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43" s="64">
        <f>SUMIF(Table1[GameDate], Table1[[#This Row],[GameDate]], Table1[AwayGameGoalDiff])</f>
        <v>0</v>
      </c>
      <c r="AA843" s="64">
        <f>SUMIF(Table1[GameDate], Table1[[#This Row],[GameDate]], Table1[HomeGameGoalDiff])</f>
        <v>0</v>
      </c>
      <c r="AB843" s="64">
        <f>IF(ISBLANK(Table1[[#This Row],[ActualResult]]), 0, 1)</f>
        <v>0</v>
      </c>
      <c r="AC843" s="64">
        <f>IF(ISBLANK(Table1[[#This Row],[ActualResult]]), 0, IF(Table1[[#This Row],[ActualWinner]]=Table1[[#This Row],[PredictedWinner]], 1, 0))</f>
        <v>0</v>
      </c>
      <c r="AD84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4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43" s="64">
        <f>IF(AND(Table1[[#This Row],[GameIsOver]]=1,Table1[[#This Row],[ActualAwayScore]]=0), 1,0)</f>
        <v>0</v>
      </c>
      <c r="AG843" s="64">
        <f>IF(AND(Table1[[#This Row],[GameIsOver]]=1,Table1[[#This Row],[ActualHomeScore]]=0), 1,0)</f>
        <v>0</v>
      </c>
      <c r="AH843" s="64">
        <f>IF(Table1[[#This Row],[GameIsOver]]=0,0,IF(Table1[[#This Row],[ActualWinner]]=Table1[[#This Row],[AwayTeam]], 1, 0))</f>
        <v>0</v>
      </c>
      <c r="AI843" s="64">
        <f>IF(Table1[[#This Row],[GameIsOver]]=0,0,IF(Table1[[#This Row],[ActualWinner]]=Table1[[#This Row],[HomeTeam]], 1, 0))</f>
        <v>0</v>
      </c>
      <c r="AJ843" s="64">
        <f>IF(INDEX(Standings!$A$2:$C$33,MATCH(Table1[[#This Row],[AwayTeam]],Standings!$A$2:$A$33,0),2)=INDEX(Standings!$A$2:$C$33,MATCH(Table1[[#This Row],[HomeTeam]],Standings!$A$2:$A$33,0),2),1,0)</f>
        <v>1</v>
      </c>
      <c r="AK843" s="64">
        <f>IF(INDEX(Standings!$A$2:$C$33,MATCH(Table1[[#This Row],[AwayTeam]],Standings!$A$2:$A$33,0),3)=INDEX(Standings!$A$2:$C$33,MATCH(Table1[[#This Row],[HomeTeam]],Standings!$A$2:$A$33,0),3),1,0)</f>
        <v>0</v>
      </c>
      <c r="AL843" s="64">
        <f>IF(Table1[[#This Row],[InterConf]]=1,IF(Table1[[#This Row],[InterDiv]]=0, 1, 0), 0)</f>
        <v>1</v>
      </c>
      <c r="AM843" s="64">
        <f>IF(INDEX(Standings!$A$2:$C$33,MATCH(Table1[[#This Row],[AwayTeam]],Standings!$A$2:$A$33,0),2)&lt;&gt;INDEX(Standings!$A$2:$C$33,MATCH(Table1[[#This Row],[HomeTeam]],Standings!$A$2:$A$33,0),2),1,0)</f>
        <v>0</v>
      </c>
      <c r="AN843" s="64" t="str">
        <f>INDEX(Table2[AWAY_RECORD], MATCH(Table1[[#This Row],[AwayTeam]],Table2[Team], 0), 0)</f>
        <v>0-0-0</v>
      </c>
      <c r="AO843" s="64" t="str">
        <f>INDEX(Records!$B$2:$AG$33, MATCH(Table1[[#This Row],[AwayTeam]],Records!$A$2:$A$33, 0), MATCH(Table1[[#This Row],[HomeTeam]],Records!$A$2:$A$33, 0))</f>
        <v>0-0-0</v>
      </c>
      <c r="AP843" s="64" t="str">
        <f>INDEX(Table2[HOME_RECORD], MATCH(Table1[[#This Row],[HomeTeam]],Table2[Team], 0), 0)</f>
        <v>1-0-0</v>
      </c>
      <c r="AQ843" s="64" t="str">
        <f>INDEX(Records!$B$2:$AG$33, MATCH(Table1[[#This Row],[HomeTeam]],Records!$A$2:$A$33, 0), MATCH(Table1[[#This Row],[AwayTeam]],Records!$A$2:$A$33, 0))</f>
        <v>0-0-0</v>
      </c>
    </row>
    <row r="844" spans="1:43" x14ac:dyDescent="0.25">
      <c r="A844" s="1"/>
      <c r="D844" t="s">
        <v>1136</v>
      </c>
      <c r="E844" t="s">
        <v>178</v>
      </c>
      <c r="F844" t="s">
        <v>1146</v>
      </c>
      <c r="G844" t="s">
        <v>36</v>
      </c>
      <c r="H844" t="s">
        <v>43</v>
      </c>
      <c r="L84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4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44" s="1"/>
      <c r="T844" s="64" t="str">
        <f>IF(Table1[[#This Row],[ActualWinner]]="", "", IF(Table1[[#This Row],[AwayTeam]]=Table1[[#This Row],[ActualWinner]],Table1[[#This Row],[HomeTeam]],Table1[[#This Row],[AwayTeam]]))</f>
        <v/>
      </c>
      <c r="U844" s="64">
        <f>Table1[[#This Row],[ActualAwayScore]]-Table1[[#This Row],[PredictedAwayScore]]</f>
        <v>0</v>
      </c>
      <c r="V844" s="64">
        <f>Table1[[#This Row],[ActualHomeScore]]-Table1[[#This Row],[PredictedHomeScore]]</f>
        <v>0</v>
      </c>
      <c r="W844" s="64">
        <f>(0.8*IF(Table1[[#This Row],[CorrectWinnerPrediction]]=1, 1, 0))+(0.1*IF(Table1[[#This Row],[CorrectAwayScorePrediction]]=1, 1, 0))+(0.1*IF(Table1[[#This Row],[CorrectHomeScorePrediction]]=1, 1, 0))</f>
        <v>0</v>
      </c>
      <c r="X84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44" s="64">
        <f>SUMIF(Table1[GameDate], Table1[[#This Row],[GameDate]], Table1[AwayGameGoalDiff])</f>
        <v>0</v>
      </c>
      <c r="AA844" s="64">
        <f>SUMIF(Table1[GameDate], Table1[[#This Row],[GameDate]], Table1[HomeGameGoalDiff])</f>
        <v>0</v>
      </c>
      <c r="AB844" s="64">
        <f>IF(ISBLANK(Table1[[#This Row],[ActualResult]]), 0, 1)</f>
        <v>0</v>
      </c>
      <c r="AC844" s="64">
        <f>IF(ISBLANK(Table1[[#This Row],[ActualResult]]), 0, IF(Table1[[#This Row],[ActualWinner]]=Table1[[#This Row],[PredictedWinner]], 1, 0))</f>
        <v>0</v>
      </c>
      <c r="AD84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4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44" s="64">
        <f>IF(AND(Table1[[#This Row],[GameIsOver]]=1,Table1[[#This Row],[ActualAwayScore]]=0), 1,0)</f>
        <v>0</v>
      </c>
      <c r="AG844" s="64">
        <f>IF(AND(Table1[[#This Row],[GameIsOver]]=1,Table1[[#This Row],[ActualHomeScore]]=0), 1,0)</f>
        <v>0</v>
      </c>
      <c r="AH844" s="64">
        <f>IF(Table1[[#This Row],[GameIsOver]]=0,0,IF(Table1[[#This Row],[ActualWinner]]=Table1[[#This Row],[AwayTeam]], 1, 0))</f>
        <v>0</v>
      </c>
      <c r="AI844" s="64">
        <f>IF(Table1[[#This Row],[GameIsOver]]=0,0,IF(Table1[[#This Row],[ActualWinner]]=Table1[[#This Row],[HomeTeam]], 1, 0))</f>
        <v>0</v>
      </c>
      <c r="AJ844" s="64">
        <f>IF(INDEX(Standings!$A$2:$C$33,MATCH(Table1[[#This Row],[AwayTeam]],Standings!$A$2:$A$33,0),2)=INDEX(Standings!$A$2:$C$33,MATCH(Table1[[#This Row],[HomeTeam]],Standings!$A$2:$A$33,0),2),1,0)</f>
        <v>1</v>
      </c>
      <c r="AK844" s="64">
        <f>IF(INDEX(Standings!$A$2:$C$33,MATCH(Table1[[#This Row],[AwayTeam]],Standings!$A$2:$A$33,0),3)=INDEX(Standings!$A$2:$C$33,MATCH(Table1[[#This Row],[HomeTeam]],Standings!$A$2:$A$33,0),3),1,0)</f>
        <v>0</v>
      </c>
      <c r="AL844" s="64">
        <f>IF(Table1[[#This Row],[InterConf]]=1,IF(Table1[[#This Row],[InterDiv]]=0, 1, 0), 0)</f>
        <v>1</v>
      </c>
      <c r="AM844" s="64">
        <f>IF(INDEX(Standings!$A$2:$C$33,MATCH(Table1[[#This Row],[AwayTeam]],Standings!$A$2:$A$33,0),2)&lt;&gt;INDEX(Standings!$A$2:$C$33,MATCH(Table1[[#This Row],[HomeTeam]],Standings!$A$2:$A$33,0),2),1,0)</f>
        <v>0</v>
      </c>
      <c r="AN844" s="64" t="str">
        <f>INDEX(Table2[AWAY_RECORD], MATCH(Table1[[#This Row],[AwayTeam]],Table2[Team], 0), 0)</f>
        <v>0-0-0</v>
      </c>
      <c r="AO844" s="64" t="str">
        <f>INDEX(Records!$B$2:$AG$33, MATCH(Table1[[#This Row],[AwayTeam]],Records!$A$2:$A$33, 0), MATCH(Table1[[#This Row],[HomeTeam]],Records!$A$2:$A$33, 0))</f>
        <v>0-0-0</v>
      </c>
      <c r="AP844" s="64" t="str">
        <f>INDEX(Table2[HOME_RECORD], MATCH(Table1[[#This Row],[HomeTeam]],Table2[Team], 0), 0)</f>
        <v>0-0-0</v>
      </c>
      <c r="AQ844" s="64" t="str">
        <f>INDEX(Records!$B$2:$AG$33, MATCH(Table1[[#This Row],[HomeTeam]],Records!$A$2:$A$33, 0), MATCH(Table1[[#This Row],[AwayTeam]],Records!$A$2:$A$33, 0))</f>
        <v>0-0-0</v>
      </c>
    </row>
    <row r="845" spans="1:43" x14ac:dyDescent="0.25">
      <c r="A845" s="1"/>
      <c r="D845" t="s">
        <v>1136</v>
      </c>
      <c r="E845" t="s">
        <v>178</v>
      </c>
      <c r="F845" t="s">
        <v>1147</v>
      </c>
      <c r="G845" t="s">
        <v>23</v>
      </c>
      <c r="H845" t="s">
        <v>22</v>
      </c>
      <c r="L84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4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45" s="1"/>
      <c r="T845" s="64" t="str">
        <f>IF(Table1[[#This Row],[ActualWinner]]="", "", IF(Table1[[#This Row],[AwayTeam]]=Table1[[#This Row],[ActualWinner]],Table1[[#This Row],[HomeTeam]],Table1[[#This Row],[AwayTeam]]))</f>
        <v/>
      </c>
      <c r="U845" s="64">
        <f>Table1[[#This Row],[ActualAwayScore]]-Table1[[#This Row],[PredictedAwayScore]]</f>
        <v>0</v>
      </c>
      <c r="V845" s="64">
        <f>Table1[[#This Row],[ActualHomeScore]]-Table1[[#This Row],[PredictedHomeScore]]</f>
        <v>0</v>
      </c>
      <c r="W845" s="64">
        <f>(0.8*IF(Table1[[#This Row],[CorrectWinnerPrediction]]=1, 1, 0))+(0.1*IF(Table1[[#This Row],[CorrectAwayScorePrediction]]=1, 1, 0))+(0.1*IF(Table1[[#This Row],[CorrectHomeScorePrediction]]=1, 1, 0))</f>
        <v>0</v>
      </c>
      <c r="X84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45" s="64">
        <f>SUMIF(Table1[GameDate], Table1[[#This Row],[GameDate]], Table1[AwayGameGoalDiff])</f>
        <v>0</v>
      </c>
      <c r="AA845" s="64">
        <f>SUMIF(Table1[GameDate], Table1[[#This Row],[GameDate]], Table1[HomeGameGoalDiff])</f>
        <v>0</v>
      </c>
      <c r="AB845" s="64">
        <f>IF(ISBLANK(Table1[[#This Row],[ActualResult]]), 0, 1)</f>
        <v>0</v>
      </c>
      <c r="AC845" s="64">
        <f>IF(ISBLANK(Table1[[#This Row],[ActualResult]]), 0, IF(Table1[[#This Row],[ActualWinner]]=Table1[[#This Row],[PredictedWinner]], 1, 0))</f>
        <v>0</v>
      </c>
      <c r="AD84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4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45" s="64">
        <f>IF(AND(Table1[[#This Row],[GameIsOver]]=1,Table1[[#This Row],[ActualAwayScore]]=0), 1,0)</f>
        <v>0</v>
      </c>
      <c r="AG845" s="64">
        <f>IF(AND(Table1[[#This Row],[GameIsOver]]=1,Table1[[#This Row],[ActualHomeScore]]=0), 1,0)</f>
        <v>0</v>
      </c>
      <c r="AH845" s="64">
        <f>IF(Table1[[#This Row],[GameIsOver]]=0,0,IF(Table1[[#This Row],[ActualWinner]]=Table1[[#This Row],[AwayTeam]], 1, 0))</f>
        <v>0</v>
      </c>
      <c r="AI845" s="64">
        <f>IF(Table1[[#This Row],[GameIsOver]]=0,0,IF(Table1[[#This Row],[ActualWinner]]=Table1[[#This Row],[HomeTeam]], 1, 0))</f>
        <v>0</v>
      </c>
      <c r="AJ845" s="64">
        <f>IF(INDEX(Standings!$A$2:$C$33,MATCH(Table1[[#This Row],[AwayTeam]],Standings!$A$2:$A$33,0),2)=INDEX(Standings!$A$2:$C$33,MATCH(Table1[[#This Row],[HomeTeam]],Standings!$A$2:$A$33,0),2),1,0)</f>
        <v>1</v>
      </c>
      <c r="AK845" s="64">
        <f>IF(INDEX(Standings!$A$2:$C$33,MATCH(Table1[[#This Row],[AwayTeam]],Standings!$A$2:$A$33,0),3)=INDEX(Standings!$A$2:$C$33,MATCH(Table1[[#This Row],[HomeTeam]],Standings!$A$2:$A$33,0),3),1,0)</f>
        <v>0</v>
      </c>
      <c r="AL845" s="64">
        <f>IF(Table1[[#This Row],[InterConf]]=1,IF(Table1[[#This Row],[InterDiv]]=0, 1, 0), 0)</f>
        <v>1</v>
      </c>
      <c r="AM845" s="64">
        <f>IF(INDEX(Standings!$A$2:$C$33,MATCH(Table1[[#This Row],[AwayTeam]],Standings!$A$2:$A$33,0),2)&lt;&gt;INDEX(Standings!$A$2:$C$33,MATCH(Table1[[#This Row],[HomeTeam]],Standings!$A$2:$A$33,0),2),1,0)</f>
        <v>0</v>
      </c>
      <c r="AN845" s="64" t="str">
        <f>INDEX(Table2[AWAY_RECORD], MATCH(Table1[[#This Row],[AwayTeam]],Table2[Team], 0), 0)</f>
        <v>0-0-1</v>
      </c>
      <c r="AO845" s="64" t="str">
        <f>INDEX(Records!$B$2:$AG$33, MATCH(Table1[[#This Row],[AwayTeam]],Records!$A$2:$A$33, 0), MATCH(Table1[[#This Row],[HomeTeam]],Records!$A$2:$A$33, 0))</f>
        <v>0-0-0</v>
      </c>
      <c r="AP845" s="64" t="str">
        <f>INDEX(Table2[HOME_RECORD], MATCH(Table1[[#This Row],[HomeTeam]],Table2[Team], 0), 0)</f>
        <v>0-0-0</v>
      </c>
      <c r="AQ845" s="64" t="str">
        <f>INDEX(Records!$B$2:$AG$33, MATCH(Table1[[#This Row],[HomeTeam]],Records!$A$2:$A$33, 0), MATCH(Table1[[#This Row],[AwayTeam]],Records!$A$2:$A$33, 0))</f>
        <v>0-0-0</v>
      </c>
    </row>
    <row r="846" spans="1:43" x14ac:dyDescent="0.25">
      <c r="A846" s="1"/>
      <c r="D846" t="s">
        <v>1136</v>
      </c>
      <c r="E846" t="s">
        <v>164</v>
      </c>
      <c r="F846" t="s">
        <v>1148</v>
      </c>
      <c r="G846" t="s">
        <v>45</v>
      </c>
      <c r="H846" t="s">
        <v>41</v>
      </c>
      <c r="L84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4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46" s="1"/>
      <c r="T846" s="64" t="str">
        <f>IF(Table1[[#This Row],[ActualWinner]]="", "", IF(Table1[[#This Row],[AwayTeam]]=Table1[[#This Row],[ActualWinner]],Table1[[#This Row],[HomeTeam]],Table1[[#This Row],[AwayTeam]]))</f>
        <v/>
      </c>
      <c r="U846" s="64">
        <f>Table1[[#This Row],[ActualAwayScore]]-Table1[[#This Row],[PredictedAwayScore]]</f>
        <v>0</v>
      </c>
      <c r="V846" s="64">
        <f>Table1[[#This Row],[ActualHomeScore]]-Table1[[#This Row],[PredictedHomeScore]]</f>
        <v>0</v>
      </c>
      <c r="W846" s="64">
        <f>(0.8*IF(Table1[[#This Row],[CorrectWinnerPrediction]]=1, 1, 0))+(0.1*IF(Table1[[#This Row],[CorrectAwayScorePrediction]]=1, 1, 0))+(0.1*IF(Table1[[#This Row],[CorrectHomeScorePrediction]]=1, 1, 0))</f>
        <v>0</v>
      </c>
      <c r="X84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46" s="64">
        <f>SUMIF(Table1[GameDate], Table1[[#This Row],[GameDate]], Table1[AwayGameGoalDiff])</f>
        <v>0</v>
      </c>
      <c r="AA846" s="64">
        <f>SUMIF(Table1[GameDate], Table1[[#This Row],[GameDate]], Table1[HomeGameGoalDiff])</f>
        <v>0</v>
      </c>
      <c r="AB846" s="64">
        <f>IF(ISBLANK(Table1[[#This Row],[ActualResult]]), 0, 1)</f>
        <v>0</v>
      </c>
      <c r="AC846" s="64">
        <f>IF(ISBLANK(Table1[[#This Row],[ActualResult]]), 0, IF(Table1[[#This Row],[ActualWinner]]=Table1[[#This Row],[PredictedWinner]], 1, 0))</f>
        <v>0</v>
      </c>
      <c r="AD84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4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46" s="64">
        <f>IF(AND(Table1[[#This Row],[GameIsOver]]=1,Table1[[#This Row],[ActualAwayScore]]=0), 1,0)</f>
        <v>0</v>
      </c>
      <c r="AG846" s="64">
        <f>IF(AND(Table1[[#This Row],[GameIsOver]]=1,Table1[[#This Row],[ActualHomeScore]]=0), 1,0)</f>
        <v>0</v>
      </c>
      <c r="AH846" s="64">
        <f>IF(Table1[[#This Row],[GameIsOver]]=0,0,IF(Table1[[#This Row],[ActualWinner]]=Table1[[#This Row],[AwayTeam]], 1, 0))</f>
        <v>0</v>
      </c>
      <c r="AI846" s="64">
        <f>IF(Table1[[#This Row],[GameIsOver]]=0,0,IF(Table1[[#This Row],[ActualWinner]]=Table1[[#This Row],[HomeTeam]], 1, 0))</f>
        <v>0</v>
      </c>
      <c r="AJ846" s="64">
        <f>IF(INDEX(Standings!$A$2:$C$33,MATCH(Table1[[#This Row],[AwayTeam]],Standings!$A$2:$A$33,0),2)=INDEX(Standings!$A$2:$C$33,MATCH(Table1[[#This Row],[HomeTeam]],Standings!$A$2:$A$33,0),2),1,0)</f>
        <v>1</v>
      </c>
      <c r="AK846" s="64">
        <f>IF(INDEX(Standings!$A$2:$C$33,MATCH(Table1[[#This Row],[AwayTeam]],Standings!$A$2:$A$33,0),3)=INDEX(Standings!$A$2:$C$33,MATCH(Table1[[#This Row],[HomeTeam]],Standings!$A$2:$A$33,0),3),1,0)</f>
        <v>0</v>
      </c>
      <c r="AL846" s="64">
        <f>IF(Table1[[#This Row],[InterConf]]=1,IF(Table1[[#This Row],[InterDiv]]=0, 1, 0), 0)</f>
        <v>1</v>
      </c>
      <c r="AM846" s="64">
        <f>IF(INDEX(Standings!$A$2:$C$33,MATCH(Table1[[#This Row],[AwayTeam]],Standings!$A$2:$A$33,0),2)&lt;&gt;INDEX(Standings!$A$2:$C$33,MATCH(Table1[[#This Row],[HomeTeam]],Standings!$A$2:$A$33,0),2),1,0)</f>
        <v>0</v>
      </c>
      <c r="AN846" s="64" t="str">
        <f>INDEX(Table2[AWAY_RECORD], MATCH(Table1[[#This Row],[AwayTeam]],Table2[Team], 0), 0)</f>
        <v>1-0-0</v>
      </c>
      <c r="AO846" s="64" t="str">
        <f>INDEX(Records!$B$2:$AG$33, MATCH(Table1[[#This Row],[AwayTeam]],Records!$A$2:$A$33, 0), MATCH(Table1[[#This Row],[HomeTeam]],Records!$A$2:$A$33, 0))</f>
        <v>0-0-0</v>
      </c>
      <c r="AP846" s="64" t="str">
        <f>INDEX(Table2[HOME_RECORD], MATCH(Table1[[#This Row],[HomeTeam]],Table2[Team], 0), 0)</f>
        <v>0-0-1</v>
      </c>
      <c r="AQ846" s="64" t="str">
        <f>INDEX(Records!$B$2:$AG$33, MATCH(Table1[[#This Row],[HomeTeam]],Records!$A$2:$A$33, 0), MATCH(Table1[[#This Row],[AwayTeam]],Records!$A$2:$A$33, 0))</f>
        <v>0-0-0</v>
      </c>
    </row>
    <row r="847" spans="1:43" x14ac:dyDescent="0.25">
      <c r="A847" s="1"/>
      <c r="D847" t="s">
        <v>1149</v>
      </c>
      <c r="E847" t="s">
        <v>289</v>
      </c>
      <c r="F847" t="s">
        <v>1150</v>
      </c>
      <c r="G847" t="s">
        <v>24</v>
      </c>
      <c r="H847" t="s">
        <v>44</v>
      </c>
      <c r="L84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4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47" s="1"/>
      <c r="T847" s="64" t="str">
        <f>IF(Table1[[#This Row],[ActualWinner]]="", "", IF(Table1[[#This Row],[AwayTeam]]=Table1[[#This Row],[ActualWinner]],Table1[[#This Row],[HomeTeam]],Table1[[#This Row],[AwayTeam]]))</f>
        <v/>
      </c>
      <c r="U847" s="64">
        <f>Table1[[#This Row],[ActualAwayScore]]-Table1[[#This Row],[PredictedAwayScore]]</f>
        <v>0</v>
      </c>
      <c r="V847" s="64">
        <f>Table1[[#This Row],[ActualHomeScore]]-Table1[[#This Row],[PredictedHomeScore]]</f>
        <v>0</v>
      </c>
      <c r="W847" s="64">
        <f>(0.8*IF(Table1[[#This Row],[CorrectWinnerPrediction]]=1, 1, 0))+(0.1*IF(Table1[[#This Row],[CorrectAwayScorePrediction]]=1, 1, 0))+(0.1*IF(Table1[[#This Row],[CorrectHomeScorePrediction]]=1, 1, 0))</f>
        <v>0</v>
      </c>
      <c r="X84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47" s="64">
        <f>SUMIF(Table1[GameDate], Table1[[#This Row],[GameDate]], Table1[AwayGameGoalDiff])</f>
        <v>0</v>
      </c>
      <c r="AA847" s="64">
        <f>SUMIF(Table1[GameDate], Table1[[#This Row],[GameDate]], Table1[HomeGameGoalDiff])</f>
        <v>0</v>
      </c>
      <c r="AB847" s="64">
        <f>IF(ISBLANK(Table1[[#This Row],[ActualResult]]), 0, 1)</f>
        <v>0</v>
      </c>
      <c r="AC847" s="64">
        <f>IF(ISBLANK(Table1[[#This Row],[ActualResult]]), 0, IF(Table1[[#This Row],[ActualWinner]]=Table1[[#This Row],[PredictedWinner]], 1, 0))</f>
        <v>0</v>
      </c>
      <c r="AD84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4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47" s="64">
        <f>IF(AND(Table1[[#This Row],[GameIsOver]]=1,Table1[[#This Row],[ActualAwayScore]]=0), 1,0)</f>
        <v>0</v>
      </c>
      <c r="AG847" s="64">
        <f>IF(AND(Table1[[#This Row],[GameIsOver]]=1,Table1[[#This Row],[ActualHomeScore]]=0), 1,0)</f>
        <v>0</v>
      </c>
      <c r="AH847" s="64">
        <f>IF(Table1[[#This Row],[GameIsOver]]=0,0,IF(Table1[[#This Row],[ActualWinner]]=Table1[[#This Row],[AwayTeam]], 1, 0))</f>
        <v>0</v>
      </c>
      <c r="AI847" s="64">
        <f>IF(Table1[[#This Row],[GameIsOver]]=0,0,IF(Table1[[#This Row],[ActualWinner]]=Table1[[#This Row],[HomeTeam]], 1, 0))</f>
        <v>0</v>
      </c>
      <c r="AJ847" s="64">
        <f>IF(INDEX(Standings!$A$2:$C$33,MATCH(Table1[[#This Row],[AwayTeam]],Standings!$A$2:$A$33,0),2)=INDEX(Standings!$A$2:$C$33,MATCH(Table1[[#This Row],[HomeTeam]],Standings!$A$2:$A$33,0),2),1,0)</f>
        <v>1</v>
      </c>
      <c r="AK847" s="64">
        <f>IF(INDEX(Standings!$A$2:$C$33,MATCH(Table1[[#This Row],[AwayTeam]],Standings!$A$2:$A$33,0),3)=INDEX(Standings!$A$2:$C$33,MATCH(Table1[[#This Row],[HomeTeam]],Standings!$A$2:$A$33,0),3),1,0)</f>
        <v>1</v>
      </c>
      <c r="AL847" s="64">
        <f>IF(Table1[[#This Row],[InterConf]]=1,IF(Table1[[#This Row],[InterDiv]]=0, 1, 0), 0)</f>
        <v>0</v>
      </c>
      <c r="AM847" s="64">
        <f>IF(INDEX(Standings!$A$2:$C$33,MATCH(Table1[[#This Row],[AwayTeam]],Standings!$A$2:$A$33,0),2)&lt;&gt;INDEX(Standings!$A$2:$C$33,MATCH(Table1[[#This Row],[HomeTeam]],Standings!$A$2:$A$33,0),2),1,0)</f>
        <v>0</v>
      </c>
      <c r="AN847" s="64" t="str">
        <f>INDEX(Table2[AWAY_RECORD], MATCH(Table1[[#This Row],[AwayTeam]],Table2[Team], 0), 0)</f>
        <v>0-0-0</v>
      </c>
      <c r="AO847" s="64" t="str">
        <f>INDEX(Records!$B$2:$AG$33, MATCH(Table1[[#This Row],[AwayTeam]],Records!$A$2:$A$33, 0), MATCH(Table1[[#This Row],[HomeTeam]],Records!$A$2:$A$33, 0))</f>
        <v>0-0-0</v>
      </c>
      <c r="AP847" s="64" t="str">
        <f>INDEX(Table2[HOME_RECORD], MATCH(Table1[[#This Row],[HomeTeam]],Table2[Team], 0), 0)</f>
        <v>0-0-1</v>
      </c>
      <c r="AQ847" s="64" t="str">
        <f>INDEX(Records!$B$2:$AG$33, MATCH(Table1[[#This Row],[HomeTeam]],Records!$A$2:$A$33, 0), MATCH(Table1[[#This Row],[AwayTeam]],Records!$A$2:$A$33, 0))</f>
        <v>0-0-0</v>
      </c>
    </row>
    <row r="848" spans="1:43" x14ac:dyDescent="0.25">
      <c r="A848" s="1"/>
      <c r="D848" t="s">
        <v>1149</v>
      </c>
      <c r="E848" t="s">
        <v>289</v>
      </c>
      <c r="F848" t="s">
        <v>1151</v>
      </c>
      <c r="G848" t="s">
        <v>17</v>
      </c>
      <c r="H848" t="s">
        <v>51</v>
      </c>
      <c r="L84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4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48" s="1"/>
      <c r="T848" s="64" t="str">
        <f>IF(Table1[[#This Row],[ActualWinner]]="", "", IF(Table1[[#This Row],[AwayTeam]]=Table1[[#This Row],[ActualWinner]],Table1[[#This Row],[HomeTeam]],Table1[[#This Row],[AwayTeam]]))</f>
        <v/>
      </c>
      <c r="U848" s="64">
        <f>Table1[[#This Row],[ActualAwayScore]]-Table1[[#This Row],[PredictedAwayScore]]</f>
        <v>0</v>
      </c>
      <c r="V848" s="64">
        <f>Table1[[#This Row],[ActualHomeScore]]-Table1[[#This Row],[PredictedHomeScore]]</f>
        <v>0</v>
      </c>
      <c r="W848" s="64">
        <f>(0.8*IF(Table1[[#This Row],[CorrectWinnerPrediction]]=1, 1, 0))+(0.1*IF(Table1[[#This Row],[CorrectAwayScorePrediction]]=1, 1, 0))+(0.1*IF(Table1[[#This Row],[CorrectHomeScorePrediction]]=1, 1, 0))</f>
        <v>0</v>
      </c>
      <c r="X84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48" s="64">
        <f>SUMIF(Table1[GameDate], Table1[[#This Row],[GameDate]], Table1[AwayGameGoalDiff])</f>
        <v>0</v>
      </c>
      <c r="AA848" s="64">
        <f>SUMIF(Table1[GameDate], Table1[[#This Row],[GameDate]], Table1[HomeGameGoalDiff])</f>
        <v>0</v>
      </c>
      <c r="AB848" s="64">
        <f>IF(ISBLANK(Table1[[#This Row],[ActualResult]]), 0, 1)</f>
        <v>0</v>
      </c>
      <c r="AC848" s="64">
        <f>IF(ISBLANK(Table1[[#This Row],[ActualResult]]), 0, IF(Table1[[#This Row],[ActualWinner]]=Table1[[#This Row],[PredictedWinner]], 1, 0))</f>
        <v>0</v>
      </c>
      <c r="AD84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4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48" s="64">
        <f>IF(AND(Table1[[#This Row],[GameIsOver]]=1,Table1[[#This Row],[ActualAwayScore]]=0), 1,0)</f>
        <v>0</v>
      </c>
      <c r="AG848" s="64">
        <f>IF(AND(Table1[[#This Row],[GameIsOver]]=1,Table1[[#This Row],[ActualHomeScore]]=0), 1,0)</f>
        <v>0</v>
      </c>
      <c r="AH848" s="64">
        <f>IF(Table1[[#This Row],[GameIsOver]]=0,0,IF(Table1[[#This Row],[ActualWinner]]=Table1[[#This Row],[AwayTeam]], 1, 0))</f>
        <v>0</v>
      </c>
      <c r="AI848" s="64">
        <f>IF(Table1[[#This Row],[GameIsOver]]=0,0,IF(Table1[[#This Row],[ActualWinner]]=Table1[[#This Row],[HomeTeam]], 1, 0))</f>
        <v>0</v>
      </c>
      <c r="AJ848" s="64">
        <f>IF(INDEX(Standings!$A$2:$C$33,MATCH(Table1[[#This Row],[AwayTeam]],Standings!$A$2:$A$33,0),2)=INDEX(Standings!$A$2:$C$33,MATCH(Table1[[#This Row],[HomeTeam]],Standings!$A$2:$A$33,0),2),1,0)</f>
        <v>1</v>
      </c>
      <c r="AK848" s="64">
        <f>IF(INDEX(Standings!$A$2:$C$33,MATCH(Table1[[#This Row],[AwayTeam]],Standings!$A$2:$A$33,0),3)=INDEX(Standings!$A$2:$C$33,MATCH(Table1[[#This Row],[HomeTeam]],Standings!$A$2:$A$33,0),3),1,0)</f>
        <v>0</v>
      </c>
      <c r="AL848" s="64">
        <f>IF(Table1[[#This Row],[InterConf]]=1,IF(Table1[[#This Row],[InterDiv]]=0, 1, 0), 0)</f>
        <v>1</v>
      </c>
      <c r="AM848" s="64">
        <f>IF(INDEX(Standings!$A$2:$C$33,MATCH(Table1[[#This Row],[AwayTeam]],Standings!$A$2:$A$33,0),2)&lt;&gt;INDEX(Standings!$A$2:$C$33,MATCH(Table1[[#This Row],[HomeTeam]],Standings!$A$2:$A$33,0),2),1,0)</f>
        <v>0</v>
      </c>
      <c r="AN848" s="64" t="str">
        <f>INDEX(Table2[AWAY_RECORD], MATCH(Table1[[#This Row],[AwayTeam]],Table2[Team], 0), 0)</f>
        <v>2-0-0</v>
      </c>
      <c r="AO848" s="64" t="str">
        <f>INDEX(Records!$B$2:$AG$33, MATCH(Table1[[#This Row],[AwayTeam]],Records!$A$2:$A$33, 0), MATCH(Table1[[#This Row],[HomeTeam]],Records!$A$2:$A$33, 0))</f>
        <v>0-0-0</v>
      </c>
      <c r="AP848" s="64" t="str">
        <f>INDEX(Table2[HOME_RECORD], MATCH(Table1[[#This Row],[HomeTeam]],Table2[Team], 0), 0)</f>
        <v>1-0-0</v>
      </c>
      <c r="AQ848" s="64" t="str">
        <f>INDEX(Records!$B$2:$AG$33, MATCH(Table1[[#This Row],[HomeTeam]],Records!$A$2:$A$33, 0), MATCH(Table1[[#This Row],[AwayTeam]],Records!$A$2:$A$33, 0))</f>
        <v>0-0-0</v>
      </c>
    </row>
    <row r="849" spans="1:43" x14ac:dyDescent="0.25">
      <c r="A849" s="1"/>
      <c r="D849" t="s">
        <v>1149</v>
      </c>
      <c r="E849" t="s">
        <v>164</v>
      </c>
      <c r="F849" t="s">
        <v>1152</v>
      </c>
      <c r="G849" t="s">
        <v>38</v>
      </c>
      <c r="H849" t="s">
        <v>58</v>
      </c>
      <c r="L84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4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49" s="1"/>
      <c r="T849" s="64" t="str">
        <f>IF(Table1[[#This Row],[ActualWinner]]="", "", IF(Table1[[#This Row],[AwayTeam]]=Table1[[#This Row],[ActualWinner]],Table1[[#This Row],[HomeTeam]],Table1[[#This Row],[AwayTeam]]))</f>
        <v/>
      </c>
      <c r="U849" s="64">
        <f>Table1[[#This Row],[ActualAwayScore]]-Table1[[#This Row],[PredictedAwayScore]]</f>
        <v>0</v>
      </c>
      <c r="V849" s="64">
        <f>Table1[[#This Row],[ActualHomeScore]]-Table1[[#This Row],[PredictedHomeScore]]</f>
        <v>0</v>
      </c>
      <c r="W849" s="64">
        <f>(0.8*IF(Table1[[#This Row],[CorrectWinnerPrediction]]=1, 1, 0))+(0.1*IF(Table1[[#This Row],[CorrectAwayScorePrediction]]=1, 1, 0))+(0.1*IF(Table1[[#This Row],[CorrectHomeScorePrediction]]=1, 1, 0))</f>
        <v>0</v>
      </c>
      <c r="X84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49" s="64">
        <f>SUMIF(Table1[GameDate], Table1[[#This Row],[GameDate]], Table1[AwayGameGoalDiff])</f>
        <v>0</v>
      </c>
      <c r="AA849" s="64">
        <f>SUMIF(Table1[GameDate], Table1[[#This Row],[GameDate]], Table1[HomeGameGoalDiff])</f>
        <v>0</v>
      </c>
      <c r="AB849" s="64">
        <f>IF(ISBLANK(Table1[[#This Row],[ActualResult]]), 0, 1)</f>
        <v>0</v>
      </c>
      <c r="AC849" s="64">
        <f>IF(ISBLANK(Table1[[#This Row],[ActualResult]]), 0, IF(Table1[[#This Row],[ActualWinner]]=Table1[[#This Row],[PredictedWinner]], 1, 0))</f>
        <v>0</v>
      </c>
      <c r="AD84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4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49" s="64">
        <f>IF(AND(Table1[[#This Row],[GameIsOver]]=1,Table1[[#This Row],[ActualAwayScore]]=0), 1,0)</f>
        <v>0</v>
      </c>
      <c r="AG849" s="64">
        <f>IF(AND(Table1[[#This Row],[GameIsOver]]=1,Table1[[#This Row],[ActualHomeScore]]=0), 1,0)</f>
        <v>0</v>
      </c>
      <c r="AH849" s="64">
        <f>IF(Table1[[#This Row],[GameIsOver]]=0,0,IF(Table1[[#This Row],[ActualWinner]]=Table1[[#This Row],[AwayTeam]], 1, 0))</f>
        <v>0</v>
      </c>
      <c r="AI849" s="64">
        <f>IF(Table1[[#This Row],[GameIsOver]]=0,0,IF(Table1[[#This Row],[ActualWinner]]=Table1[[#This Row],[HomeTeam]], 1, 0))</f>
        <v>0</v>
      </c>
      <c r="AJ849" s="64">
        <f>IF(INDEX(Standings!$A$2:$C$33,MATCH(Table1[[#This Row],[AwayTeam]],Standings!$A$2:$A$33,0),2)=INDEX(Standings!$A$2:$C$33,MATCH(Table1[[#This Row],[HomeTeam]],Standings!$A$2:$A$33,0),2),1,0)</f>
        <v>0</v>
      </c>
      <c r="AK849" s="64">
        <f>IF(INDEX(Standings!$A$2:$C$33,MATCH(Table1[[#This Row],[AwayTeam]],Standings!$A$2:$A$33,0),3)=INDEX(Standings!$A$2:$C$33,MATCH(Table1[[#This Row],[HomeTeam]],Standings!$A$2:$A$33,0),3),1,0)</f>
        <v>0</v>
      </c>
      <c r="AL849" s="64">
        <f>IF(Table1[[#This Row],[InterConf]]=1,IF(Table1[[#This Row],[InterDiv]]=0, 1, 0), 0)</f>
        <v>0</v>
      </c>
      <c r="AM849" s="64">
        <f>IF(INDEX(Standings!$A$2:$C$33,MATCH(Table1[[#This Row],[AwayTeam]],Standings!$A$2:$A$33,0),2)&lt;&gt;INDEX(Standings!$A$2:$C$33,MATCH(Table1[[#This Row],[HomeTeam]],Standings!$A$2:$A$33,0),2),1,0)</f>
        <v>1</v>
      </c>
      <c r="AN849" s="64" t="str">
        <f>INDEX(Table2[AWAY_RECORD], MATCH(Table1[[#This Row],[AwayTeam]],Table2[Team], 0), 0)</f>
        <v>0-0-1</v>
      </c>
      <c r="AO849" s="64" t="str">
        <f>INDEX(Records!$B$2:$AG$33, MATCH(Table1[[#This Row],[AwayTeam]],Records!$A$2:$A$33, 0), MATCH(Table1[[#This Row],[HomeTeam]],Records!$A$2:$A$33, 0))</f>
        <v>0-0-0</v>
      </c>
      <c r="AP849" s="64" t="str">
        <f>INDEX(Table2[HOME_RECORD], MATCH(Table1[[#This Row],[HomeTeam]],Table2[Team], 0), 0)</f>
        <v>1-0-0</v>
      </c>
      <c r="AQ849" s="64" t="str">
        <f>INDEX(Records!$B$2:$AG$33, MATCH(Table1[[#This Row],[HomeTeam]],Records!$A$2:$A$33, 0), MATCH(Table1[[#This Row],[AwayTeam]],Records!$A$2:$A$33, 0))</f>
        <v>0-0-0</v>
      </c>
    </row>
    <row r="850" spans="1:43" x14ac:dyDescent="0.25">
      <c r="A850" s="1"/>
      <c r="D850" t="s">
        <v>1153</v>
      </c>
      <c r="E850" t="s">
        <v>162</v>
      </c>
      <c r="F850" t="s">
        <v>1154</v>
      </c>
      <c r="G850" t="s">
        <v>37</v>
      </c>
      <c r="H850" t="s">
        <v>52</v>
      </c>
      <c r="L85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5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50" s="1"/>
      <c r="T850" s="64" t="str">
        <f>IF(Table1[[#This Row],[ActualWinner]]="", "", IF(Table1[[#This Row],[AwayTeam]]=Table1[[#This Row],[ActualWinner]],Table1[[#This Row],[HomeTeam]],Table1[[#This Row],[AwayTeam]]))</f>
        <v/>
      </c>
      <c r="U850" s="64">
        <f>Table1[[#This Row],[ActualAwayScore]]-Table1[[#This Row],[PredictedAwayScore]]</f>
        <v>0</v>
      </c>
      <c r="V850" s="64">
        <f>Table1[[#This Row],[ActualHomeScore]]-Table1[[#This Row],[PredictedHomeScore]]</f>
        <v>0</v>
      </c>
      <c r="W850" s="64">
        <f>(0.8*IF(Table1[[#This Row],[CorrectWinnerPrediction]]=1, 1, 0))+(0.1*IF(Table1[[#This Row],[CorrectAwayScorePrediction]]=1, 1, 0))+(0.1*IF(Table1[[#This Row],[CorrectHomeScorePrediction]]=1, 1, 0))</f>
        <v>0</v>
      </c>
      <c r="X85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50" s="64">
        <f>SUMIF(Table1[GameDate], Table1[[#This Row],[GameDate]], Table1[AwayGameGoalDiff])</f>
        <v>0</v>
      </c>
      <c r="AA850" s="64">
        <f>SUMIF(Table1[GameDate], Table1[[#This Row],[GameDate]], Table1[HomeGameGoalDiff])</f>
        <v>0</v>
      </c>
      <c r="AB850" s="64">
        <f>IF(ISBLANK(Table1[[#This Row],[ActualResult]]), 0, 1)</f>
        <v>0</v>
      </c>
      <c r="AC850" s="64">
        <f>IF(ISBLANK(Table1[[#This Row],[ActualResult]]), 0, IF(Table1[[#This Row],[ActualWinner]]=Table1[[#This Row],[PredictedWinner]], 1, 0))</f>
        <v>0</v>
      </c>
      <c r="AD85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5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50" s="64">
        <f>IF(AND(Table1[[#This Row],[GameIsOver]]=1,Table1[[#This Row],[ActualAwayScore]]=0), 1,0)</f>
        <v>0</v>
      </c>
      <c r="AG850" s="64">
        <f>IF(AND(Table1[[#This Row],[GameIsOver]]=1,Table1[[#This Row],[ActualHomeScore]]=0), 1,0)</f>
        <v>0</v>
      </c>
      <c r="AH850" s="64">
        <f>IF(Table1[[#This Row],[GameIsOver]]=0,0,IF(Table1[[#This Row],[ActualWinner]]=Table1[[#This Row],[AwayTeam]], 1, 0))</f>
        <v>0</v>
      </c>
      <c r="AI850" s="64">
        <f>IF(Table1[[#This Row],[GameIsOver]]=0,0,IF(Table1[[#This Row],[ActualWinner]]=Table1[[#This Row],[HomeTeam]], 1, 0))</f>
        <v>0</v>
      </c>
      <c r="AJ850" s="64">
        <f>IF(INDEX(Standings!$A$2:$C$33,MATCH(Table1[[#This Row],[AwayTeam]],Standings!$A$2:$A$33,0),2)=INDEX(Standings!$A$2:$C$33,MATCH(Table1[[#This Row],[HomeTeam]],Standings!$A$2:$A$33,0),2),1,0)</f>
        <v>1</v>
      </c>
      <c r="AK850" s="64">
        <f>IF(INDEX(Standings!$A$2:$C$33,MATCH(Table1[[#This Row],[AwayTeam]],Standings!$A$2:$A$33,0),3)=INDEX(Standings!$A$2:$C$33,MATCH(Table1[[#This Row],[HomeTeam]],Standings!$A$2:$A$33,0),3),1,0)</f>
        <v>1</v>
      </c>
      <c r="AL850" s="64">
        <f>IF(Table1[[#This Row],[InterConf]]=1,IF(Table1[[#This Row],[InterDiv]]=0, 1, 0), 0)</f>
        <v>0</v>
      </c>
      <c r="AM850" s="64">
        <f>IF(INDEX(Standings!$A$2:$C$33,MATCH(Table1[[#This Row],[AwayTeam]],Standings!$A$2:$A$33,0),2)&lt;&gt;INDEX(Standings!$A$2:$C$33,MATCH(Table1[[#This Row],[HomeTeam]],Standings!$A$2:$A$33,0),2),1,0)</f>
        <v>0</v>
      </c>
      <c r="AN850" s="64" t="str">
        <f>INDEX(Table2[AWAY_RECORD], MATCH(Table1[[#This Row],[AwayTeam]],Table2[Team], 0), 0)</f>
        <v>0-0-1</v>
      </c>
      <c r="AO850" s="64" t="str">
        <f>INDEX(Records!$B$2:$AG$33, MATCH(Table1[[#This Row],[AwayTeam]],Records!$A$2:$A$33, 0), MATCH(Table1[[#This Row],[HomeTeam]],Records!$A$2:$A$33, 0))</f>
        <v>0-0-0</v>
      </c>
      <c r="AP850" s="64" t="str">
        <f>INDEX(Table2[HOME_RECORD], MATCH(Table1[[#This Row],[HomeTeam]],Table2[Team], 0), 0)</f>
        <v>0-0-0</v>
      </c>
      <c r="AQ850" s="64" t="str">
        <f>INDEX(Records!$B$2:$AG$33, MATCH(Table1[[#This Row],[HomeTeam]],Records!$A$2:$A$33, 0), MATCH(Table1[[#This Row],[AwayTeam]],Records!$A$2:$A$33, 0))</f>
        <v>0-0-0</v>
      </c>
    </row>
    <row r="851" spans="1:43" x14ac:dyDescent="0.25">
      <c r="A851" s="1"/>
      <c r="D851" t="s">
        <v>1153</v>
      </c>
      <c r="E851" t="s">
        <v>162</v>
      </c>
      <c r="F851" t="s">
        <v>1155</v>
      </c>
      <c r="G851" t="s">
        <v>46</v>
      </c>
      <c r="H851" t="s">
        <v>53</v>
      </c>
      <c r="L85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5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51" s="1"/>
      <c r="T851" s="64" t="str">
        <f>IF(Table1[[#This Row],[ActualWinner]]="", "", IF(Table1[[#This Row],[AwayTeam]]=Table1[[#This Row],[ActualWinner]],Table1[[#This Row],[HomeTeam]],Table1[[#This Row],[AwayTeam]]))</f>
        <v/>
      </c>
      <c r="U851" s="64">
        <f>Table1[[#This Row],[ActualAwayScore]]-Table1[[#This Row],[PredictedAwayScore]]</f>
        <v>0</v>
      </c>
      <c r="V851" s="64">
        <f>Table1[[#This Row],[ActualHomeScore]]-Table1[[#This Row],[PredictedHomeScore]]</f>
        <v>0</v>
      </c>
      <c r="W851" s="64">
        <f>(0.8*IF(Table1[[#This Row],[CorrectWinnerPrediction]]=1, 1, 0))+(0.1*IF(Table1[[#This Row],[CorrectAwayScorePrediction]]=1, 1, 0))+(0.1*IF(Table1[[#This Row],[CorrectHomeScorePrediction]]=1, 1, 0))</f>
        <v>0</v>
      </c>
      <c r="X85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51" s="64">
        <f>SUMIF(Table1[GameDate], Table1[[#This Row],[GameDate]], Table1[AwayGameGoalDiff])</f>
        <v>0</v>
      </c>
      <c r="AA851" s="64">
        <f>SUMIF(Table1[GameDate], Table1[[#This Row],[GameDate]], Table1[HomeGameGoalDiff])</f>
        <v>0</v>
      </c>
      <c r="AB851" s="64">
        <f>IF(ISBLANK(Table1[[#This Row],[ActualResult]]), 0, 1)</f>
        <v>0</v>
      </c>
      <c r="AC851" s="64">
        <f>IF(ISBLANK(Table1[[#This Row],[ActualResult]]), 0, IF(Table1[[#This Row],[ActualWinner]]=Table1[[#This Row],[PredictedWinner]], 1, 0))</f>
        <v>0</v>
      </c>
      <c r="AD85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5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51" s="64">
        <f>IF(AND(Table1[[#This Row],[GameIsOver]]=1,Table1[[#This Row],[ActualAwayScore]]=0), 1,0)</f>
        <v>0</v>
      </c>
      <c r="AG851" s="64">
        <f>IF(AND(Table1[[#This Row],[GameIsOver]]=1,Table1[[#This Row],[ActualHomeScore]]=0), 1,0)</f>
        <v>0</v>
      </c>
      <c r="AH851" s="64">
        <f>IF(Table1[[#This Row],[GameIsOver]]=0,0,IF(Table1[[#This Row],[ActualWinner]]=Table1[[#This Row],[AwayTeam]], 1, 0))</f>
        <v>0</v>
      </c>
      <c r="AI851" s="64">
        <f>IF(Table1[[#This Row],[GameIsOver]]=0,0,IF(Table1[[#This Row],[ActualWinner]]=Table1[[#This Row],[HomeTeam]], 1, 0))</f>
        <v>0</v>
      </c>
      <c r="AJ851" s="64">
        <f>IF(INDEX(Standings!$A$2:$C$33,MATCH(Table1[[#This Row],[AwayTeam]],Standings!$A$2:$A$33,0),2)=INDEX(Standings!$A$2:$C$33,MATCH(Table1[[#This Row],[HomeTeam]],Standings!$A$2:$A$33,0),2),1,0)</f>
        <v>0</v>
      </c>
      <c r="AK851" s="64">
        <f>IF(INDEX(Standings!$A$2:$C$33,MATCH(Table1[[#This Row],[AwayTeam]],Standings!$A$2:$A$33,0),3)=INDEX(Standings!$A$2:$C$33,MATCH(Table1[[#This Row],[HomeTeam]],Standings!$A$2:$A$33,0),3),1,0)</f>
        <v>0</v>
      </c>
      <c r="AL851" s="64">
        <f>IF(Table1[[#This Row],[InterConf]]=1,IF(Table1[[#This Row],[InterDiv]]=0, 1, 0), 0)</f>
        <v>0</v>
      </c>
      <c r="AM851" s="64">
        <f>IF(INDEX(Standings!$A$2:$C$33,MATCH(Table1[[#This Row],[AwayTeam]],Standings!$A$2:$A$33,0),2)&lt;&gt;INDEX(Standings!$A$2:$C$33,MATCH(Table1[[#This Row],[HomeTeam]],Standings!$A$2:$A$33,0),2),1,0)</f>
        <v>1</v>
      </c>
      <c r="AN851" s="64" t="str">
        <f>INDEX(Table2[AWAY_RECORD], MATCH(Table1[[#This Row],[AwayTeam]],Table2[Team], 0), 0)</f>
        <v>1-0-0</v>
      </c>
      <c r="AO851" s="64" t="str">
        <f>INDEX(Records!$B$2:$AG$33, MATCH(Table1[[#This Row],[AwayTeam]],Records!$A$2:$A$33, 0), MATCH(Table1[[#This Row],[HomeTeam]],Records!$A$2:$A$33, 0))</f>
        <v>0-0-0</v>
      </c>
      <c r="AP851" s="64" t="str">
        <f>INDEX(Table2[HOME_RECORD], MATCH(Table1[[#This Row],[HomeTeam]],Table2[Team], 0), 0)</f>
        <v>1-0-0</v>
      </c>
      <c r="AQ851" s="64" t="str">
        <f>INDEX(Records!$B$2:$AG$33, MATCH(Table1[[#This Row],[HomeTeam]],Records!$A$2:$A$33, 0), MATCH(Table1[[#This Row],[AwayTeam]],Records!$A$2:$A$33, 0))</f>
        <v>0-0-0</v>
      </c>
    </row>
    <row r="852" spans="1:43" x14ac:dyDescent="0.25">
      <c r="A852" s="1"/>
      <c r="D852" t="s">
        <v>1153</v>
      </c>
      <c r="E852" t="s">
        <v>162</v>
      </c>
      <c r="F852" t="s">
        <v>1156</v>
      </c>
      <c r="G852" t="s">
        <v>50</v>
      </c>
      <c r="H852" t="s">
        <v>40</v>
      </c>
      <c r="L85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5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52" s="1"/>
      <c r="T852" s="64" t="str">
        <f>IF(Table1[[#This Row],[ActualWinner]]="", "", IF(Table1[[#This Row],[AwayTeam]]=Table1[[#This Row],[ActualWinner]],Table1[[#This Row],[HomeTeam]],Table1[[#This Row],[AwayTeam]]))</f>
        <v/>
      </c>
      <c r="U852" s="64">
        <f>Table1[[#This Row],[ActualAwayScore]]-Table1[[#This Row],[PredictedAwayScore]]</f>
        <v>0</v>
      </c>
      <c r="V852" s="64">
        <f>Table1[[#This Row],[ActualHomeScore]]-Table1[[#This Row],[PredictedHomeScore]]</f>
        <v>0</v>
      </c>
      <c r="W852" s="64">
        <f>(0.8*IF(Table1[[#This Row],[CorrectWinnerPrediction]]=1, 1, 0))+(0.1*IF(Table1[[#This Row],[CorrectAwayScorePrediction]]=1, 1, 0))+(0.1*IF(Table1[[#This Row],[CorrectHomeScorePrediction]]=1, 1, 0))</f>
        <v>0</v>
      </c>
      <c r="X85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52" s="64">
        <f>SUMIF(Table1[GameDate], Table1[[#This Row],[GameDate]], Table1[AwayGameGoalDiff])</f>
        <v>0</v>
      </c>
      <c r="AA852" s="64">
        <f>SUMIF(Table1[GameDate], Table1[[#This Row],[GameDate]], Table1[HomeGameGoalDiff])</f>
        <v>0</v>
      </c>
      <c r="AB852" s="64">
        <f>IF(ISBLANK(Table1[[#This Row],[ActualResult]]), 0, 1)</f>
        <v>0</v>
      </c>
      <c r="AC852" s="64">
        <f>IF(ISBLANK(Table1[[#This Row],[ActualResult]]), 0, IF(Table1[[#This Row],[ActualWinner]]=Table1[[#This Row],[PredictedWinner]], 1, 0))</f>
        <v>0</v>
      </c>
      <c r="AD85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5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52" s="64">
        <f>IF(AND(Table1[[#This Row],[GameIsOver]]=1,Table1[[#This Row],[ActualAwayScore]]=0), 1,0)</f>
        <v>0</v>
      </c>
      <c r="AG852" s="64">
        <f>IF(AND(Table1[[#This Row],[GameIsOver]]=1,Table1[[#This Row],[ActualHomeScore]]=0), 1,0)</f>
        <v>0</v>
      </c>
      <c r="AH852" s="64">
        <f>IF(Table1[[#This Row],[GameIsOver]]=0,0,IF(Table1[[#This Row],[ActualWinner]]=Table1[[#This Row],[AwayTeam]], 1, 0))</f>
        <v>0</v>
      </c>
      <c r="AI852" s="64">
        <f>IF(Table1[[#This Row],[GameIsOver]]=0,0,IF(Table1[[#This Row],[ActualWinner]]=Table1[[#This Row],[HomeTeam]], 1, 0))</f>
        <v>0</v>
      </c>
      <c r="AJ852" s="64">
        <f>IF(INDEX(Standings!$A$2:$C$33,MATCH(Table1[[#This Row],[AwayTeam]],Standings!$A$2:$A$33,0),2)=INDEX(Standings!$A$2:$C$33,MATCH(Table1[[#This Row],[HomeTeam]],Standings!$A$2:$A$33,0),2),1,0)</f>
        <v>1</v>
      </c>
      <c r="AK852" s="64">
        <f>IF(INDEX(Standings!$A$2:$C$33,MATCH(Table1[[#This Row],[AwayTeam]],Standings!$A$2:$A$33,0),3)=INDEX(Standings!$A$2:$C$33,MATCH(Table1[[#This Row],[HomeTeam]],Standings!$A$2:$A$33,0),3),1,0)</f>
        <v>1</v>
      </c>
      <c r="AL852" s="64">
        <f>IF(Table1[[#This Row],[InterConf]]=1,IF(Table1[[#This Row],[InterDiv]]=0, 1, 0), 0)</f>
        <v>0</v>
      </c>
      <c r="AM852" s="64">
        <f>IF(INDEX(Standings!$A$2:$C$33,MATCH(Table1[[#This Row],[AwayTeam]],Standings!$A$2:$A$33,0),2)&lt;&gt;INDEX(Standings!$A$2:$C$33,MATCH(Table1[[#This Row],[HomeTeam]],Standings!$A$2:$A$33,0),2),1,0)</f>
        <v>0</v>
      </c>
      <c r="AN852" s="64" t="str">
        <f>INDEX(Table2[AWAY_RECORD], MATCH(Table1[[#This Row],[AwayTeam]],Table2[Team], 0), 0)</f>
        <v>1-0-0</v>
      </c>
      <c r="AO852" s="64" t="str">
        <f>INDEX(Records!$B$2:$AG$33, MATCH(Table1[[#This Row],[AwayTeam]],Records!$A$2:$A$33, 0), MATCH(Table1[[#This Row],[HomeTeam]],Records!$A$2:$A$33, 0))</f>
        <v>0-0-0</v>
      </c>
      <c r="AP852" s="64" t="str">
        <f>INDEX(Table2[HOME_RECORD], MATCH(Table1[[#This Row],[HomeTeam]],Table2[Team], 0), 0)</f>
        <v>1-1-0</v>
      </c>
      <c r="AQ852" s="64" t="str">
        <f>INDEX(Records!$B$2:$AG$33, MATCH(Table1[[#This Row],[HomeTeam]],Records!$A$2:$A$33, 0), MATCH(Table1[[#This Row],[AwayTeam]],Records!$A$2:$A$33, 0))</f>
        <v>0-0-0</v>
      </c>
    </row>
    <row r="853" spans="1:43" x14ac:dyDescent="0.25">
      <c r="A853" s="1"/>
      <c r="D853" t="s">
        <v>1153</v>
      </c>
      <c r="E853" t="s">
        <v>162</v>
      </c>
      <c r="F853" t="s">
        <v>1157</v>
      </c>
      <c r="G853" t="s">
        <v>60</v>
      </c>
      <c r="H853" t="s">
        <v>42</v>
      </c>
      <c r="L85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5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53" s="1"/>
      <c r="T853" s="64" t="str">
        <f>IF(Table1[[#This Row],[ActualWinner]]="", "", IF(Table1[[#This Row],[AwayTeam]]=Table1[[#This Row],[ActualWinner]],Table1[[#This Row],[HomeTeam]],Table1[[#This Row],[AwayTeam]]))</f>
        <v/>
      </c>
      <c r="U853" s="64">
        <f>Table1[[#This Row],[ActualAwayScore]]-Table1[[#This Row],[PredictedAwayScore]]</f>
        <v>0</v>
      </c>
      <c r="V853" s="64">
        <f>Table1[[#This Row],[ActualHomeScore]]-Table1[[#This Row],[PredictedHomeScore]]</f>
        <v>0</v>
      </c>
      <c r="W853" s="64">
        <f>(0.8*IF(Table1[[#This Row],[CorrectWinnerPrediction]]=1, 1, 0))+(0.1*IF(Table1[[#This Row],[CorrectAwayScorePrediction]]=1, 1, 0))+(0.1*IF(Table1[[#This Row],[CorrectHomeScorePrediction]]=1, 1, 0))</f>
        <v>0</v>
      </c>
      <c r="X85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53" s="64">
        <f>SUMIF(Table1[GameDate], Table1[[#This Row],[GameDate]], Table1[AwayGameGoalDiff])</f>
        <v>0</v>
      </c>
      <c r="AA853" s="64">
        <f>SUMIF(Table1[GameDate], Table1[[#This Row],[GameDate]], Table1[HomeGameGoalDiff])</f>
        <v>0</v>
      </c>
      <c r="AB853" s="64">
        <f>IF(ISBLANK(Table1[[#This Row],[ActualResult]]), 0, 1)</f>
        <v>0</v>
      </c>
      <c r="AC853" s="64">
        <f>IF(ISBLANK(Table1[[#This Row],[ActualResult]]), 0, IF(Table1[[#This Row],[ActualWinner]]=Table1[[#This Row],[PredictedWinner]], 1, 0))</f>
        <v>0</v>
      </c>
      <c r="AD85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5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53" s="64">
        <f>IF(AND(Table1[[#This Row],[GameIsOver]]=1,Table1[[#This Row],[ActualAwayScore]]=0), 1,0)</f>
        <v>0</v>
      </c>
      <c r="AG853" s="64">
        <f>IF(AND(Table1[[#This Row],[GameIsOver]]=1,Table1[[#This Row],[ActualHomeScore]]=0), 1,0)</f>
        <v>0</v>
      </c>
      <c r="AH853" s="64">
        <f>IF(Table1[[#This Row],[GameIsOver]]=0,0,IF(Table1[[#This Row],[ActualWinner]]=Table1[[#This Row],[AwayTeam]], 1, 0))</f>
        <v>0</v>
      </c>
      <c r="AI853" s="64">
        <f>IF(Table1[[#This Row],[GameIsOver]]=0,0,IF(Table1[[#This Row],[ActualWinner]]=Table1[[#This Row],[HomeTeam]], 1, 0))</f>
        <v>0</v>
      </c>
      <c r="AJ853" s="64">
        <f>IF(INDEX(Standings!$A$2:$C$33,MATCH(Table1[[#This Row],[AwayTeam]],Standings!$A$2:$A$33,0),2)=INDEX(Standings!$A$2:$C$33,MATCH(Table1[[#This Row],[HomeTeam]],Standings!$A$2:$A$33,0),2),1,0)</f>
        <v>0</v>
      </c>
      <c r="AK853" s="64">
        <f>IF(INDEX(Standings!$A$2:$C$33,MATCH(Table1[[#This Row],[AwayTeam]],Standings!$A$2:$A$33,0),3)=INDEX(Standings!$A$2:$C$33,MATCH(Table1[[#This Row],[HomeTeam]],Standings!$A$2:$A$33,0),3),1,0)</f>
        <v>0</v>
      </c>
      <c r="AL853" s="64">
        <f>IF(Table1[[#This Row],[InterConf]]=1,IF(Table1[[#This Row],[InterDiv]]=0, 1, 0), 0)</f>
        <v>0</v>
      </c>
      <c r="AM853" s="64">
        <f>IF(INDEX(Standings!$A$2:$C$33,MATCH(Table1[[#This Row],[AwayTeam]],Standings!$A$2:$A$33,0),2)&lt;&gt;INDEX(Standings!$A$2:$C$33,MATCH(Table1[[#This Row],[HomeTeam]],Standings!$A$2:$A$33,0),2),1,0)</f>
        <v>1</v>
      </c>
      <c r="AN853" s="64" t="str">
        <f>INDEX(Table2[AWAY_RECORD], MATCH(Table1[[#This Row],[AwayTeam]],Table2[Team], 0), 0)</f>
        <v>0-0-0</v>
      </c>
      <c r="AO853" s="64" t="str">
        <f>INDEX(Records!$B$2:$AG$33, MATCH(Table1[[#This Row],[AwayTeam]],Records!$A$2:$A$33, 0), MATCH(Table1[[#This Row],[HomeTeam]],Records!$A$2:$A$33, 0))</f>
        <v>0-0-0</v>
      </c>
      <c r="AP853" s="64" t="str">
        <f>INDEX(Table2[HOME_RECORD], MATCH(Table1[[#This Row],[HomeTeam]],Table2[Team], 0), 0)</f>
        <v>1-0-0</v>
      </c>
      <c r="AQ853" s="64" t="str">
        <f>INDEX(Records!$B$2:$AG$33, MATCH(Table1[[#This Row],[HomeTeam]],Records!$A$2:$A$33, 0), MATCH(Table1[[#This Row],[AwayTeam]],Records!$A$2:$A$33, 0))</f>
        <v>0-0-0</v>
      </c>
    </row>
    <row r="854" spans="1:43" x14ac:dyDescent="0.25">
      <c r="A854" s="1"/>
      <c r="D854" t="s">
        <v>1153</v>
      </c>
      <c r="E854" t="s">
        <v>178</v>
      </c>
      <c r="F854" t="s">
        <v>1158</v>
      </c>
      <c r="G854" t="s">
        <v>41</v>
      </c>
      <c r="H854" t="s">
        <v>61</v>
      </c>
      <c r="L85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5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54" s="1"/>
      <c r="T854" s="64" t="str">
        <f>IF(Table1[[#This Row],[ActualWinner]]="", "", IF(Table1[[#This Row],[AwayTeam]]=Table1[[#This Row],[ActualWinner]],Table1[[#This Row],[HomeTeam]],Table1[[#This Row],[AwayTeam]]))</f>
        <v/>
      </c>
      <c r="U854" s="64">
        <f>Table1[[#This Row],[ActualAwayScore]]-Table1[[#This Row],[PredictedAwayScore]]</f>
        <v>0</v>
      </c>
      <c r="V854" s="64">
        <f>Table1[[#This Row],[ActualHomeScore]]-Table1[[#This Row],[PredictedHomeScore]]</f>
        <v>0</v>
      </c>
      <c r="W854" s="64">
        <f>(0.8*IF(Table1[[#This Row],[CorrectWinnerPrediction]]=1, 1, 0))+(0.1*IF(Table1[[#This Row],[CorrectAwayScorePrediction]]=1, 1, 0))+(0.1*IF(Table1[[#This Row],[CorrectHomeScorePrediction]]=1, 1, 0))</f>
        <v>0</v>
      </c>
      <c r="X85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54" s="64">
        <f>SUMIF(Table1[GameDate], Table1[[#This Row],[GameDate]], Table1[AwayGameGoalDiff])</f>
        <v>0</v>
      </c>
      <c r="AA854" s="64">
        <f>SUMIF(Table1[GameDate], Table1[[#This Row],[GameDate]], Table1[HomeGameGoalDiff])</f>
        <v>0</v>
      </c>
      <c r="AB854" s="64">
        <f>IF(ISBLANK(Table1[[#This Row],[ActualResult]]), 0, 1)</f>
        <v>0</v>
      </c>
      <c r="AC854" s="64">
        <f>IF(ISBLANK(Table1[[#This Row],[ActualResult]]), 0, IF(Table1[[#This Row],[ActualWinner]]=Table1[[#This Row],[PredictedWinner]], 1, 0))</f>
        <v>0</v>
      </c>
      <c r="AD85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5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54" s="64">
        <f>IF(AND(Table1[[#This Row],[GameIsOver]]=1,Table1[[#This Row],[ActualAwayScore]]=0), 1,0)</f>
        <v>0</v>
      </c>
      <c r="AG854" s="64">
        <f>IF(AND(Table1[[#This Row],[GameIsOver]]=1,Table1[[#This Row],[ActualHomeScore]]=0), 1,0)</f>
        <v>0</v>
      </c>
      <c r="AH854" s="64">
        <f>IF(Table1[[#This Row],[GameIsOver]]=0,0,IF(Table1[[#This Row],[ActualWinner]]=Table1[[#This Row],[AwayTeam]], 1, 0))</f>
        <v>0</v>
      </c>
      <c r="AI854" s="64">
        <f>IF(Table1[[#This Row],[GameIsOver]]=0,0,IF(Table1[[#This Row],[ActualWinner]]=Table1[[#This Row],[HomeTeam]], 1, 0))</f>
        <v>0</v>
      </c>
      <c r="AJ854" s="64">
        <f>IF(INDEX(Standings!$A$2:$C$33,MATCH(Table1[[#This Row],[AwayTeam]],Standings!$A$2:$A$33,0),2)=INDEX(Standings!$A$2:$C$33,MATCH(Table1[[#This Row],[HomeTeam]],Standings!$A$2:$A$33,0),2),1,0)</f>
        <v>1</v>
      </c>
      <c r="AK854" s="64">
        <f>IF(INDEX(Standings!$A$2:$C$33,MATCH(Table1[[#This Row],[AwayTeam]],Standings!$A$2:$A$33,0),3)=INDEX(Standings!$A$2:$C$33,MATCH(Table1[[#This Row],[HomeTeam]],Standings!$A$2:$A$33,0),3),1,0)</f>
        <v>1</v>
      </c>
      <c r="AL854" s="64">
        <f>IF(Table1[[#This Row],[InterConf]]=1,IF(Table1[[#This Row],[InterDiv]]=0, 1, 0), 0)</f>
        <v>0</v>
      </c>
      <c r="AM854" s="64">
        <f>IF(INDEX(Standings!$A$2:$C$33,MATCH(Table1[[#This Row],[AwayTeam]],Standings!$A$2:$A$33,0),2)&lt;&gt;INDEX(Standings!$A$2:$C$33,MATCH(Table1[[#This Row],[HomeTeam]],Standings!$A$2:$A$33,0),2),1,0)</f>
        <v>0</v>
      </c>
      <c r="AN854" s="64" t="str">
        <f>INDEX(Table2[AWAY_RECORD], MATCH(Table1[[#This Row],[AwayTeam]],Table2[Team], 0), 0)</f>
        <v>0-0-0</v>
      </c>
      <c r="AO854" s="64" t="str">
        <f>INDEX(Records!$B$2:$AG$33, MATCH(Table1[[#This Row],[AwayTeam]],Records!$A$2:$A$33, 0), MATCH(Table1[[#This Row],[HomeTeam]],Records!$A$2:$A$33, 0))</f>
        <v>0-0-0</v>
      </c>
      <c r="AP854" s="64" t="str">
        <f>INDEX(Table2[HOME_RECORD], MATCH(Table1[[#This Row],[HomeTeam]],Table2[Team], 0), 0)</f>
        <v>0-0-0</v>
      </c>
      <c r="AQ854" s="64" t="str">
        <f>INDEX(Records!$B$2:$AG$33, MATCH(Table1[[#This Row],[HomeTeam]],Records!$A$2:$A$33, 0), MATCH(Table1[[#This Row],[AwayTeam]],Records!$A$2:$A$33, 0))</f>
        <v>0-0-0</v>
      </c>
    </row>
    <row r="855" spans="1:43" x14ac:dyDescent="0.25">
      <c r="A855" s="1"/>
      <c r="D855" t="s">
        <v>1153</v>
      </c>
      <c r="E855" t="s">
        <v>178</v>
      </c>
      <c r="F855" t="s">
        <v>1159</v>
      </c>
      <c r="G855" t="s">
        <v>23</v>
      </c>
      <c r="H855" t="s">
        <v>43</v>
      </c>
      <c r="L85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5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55" s="1"/>
      <c r="T855" s="64" t="str">
        <f>IF(Table1[[#This Row],[ActualWinner]]="", "", IF(Table1[[#This Row],[AwayTeam]]=Table1[[#This Row],[ActualWinner]],Table1[[#This Row],[HomeTeam]],Table1[[#This Row],[AwayTeam]]))</f>
        <v/>
      </c>
      <c r="U855" s="64">
        <f>Table1[[#This Row],[ActualAwayScore]]-Table1[[#This Row],[PredictedAwayScore]]</f>
        <v>0</v>
      </c>
      <c r="V855" s="64">
        <f>Table1[[#This Row],[ActualHomeScore]]-Table1[[#This Row],[PredictedHomeScore]]</f>
        <v>0</v>
      </c>
      <c r="W855" s="64">
        <f>(0.8*IF(Table1[[#This Row],[CorrectWinnerPrediction]]=1, 1, 0))+(0.1*IF(Table1[[#This Row],[CorrectAwayScorePrediction]]=1, 1, 0))+(0.1*IF(Table1[[#This Row],[CorrectHomeScorePrediction]]=1, 1, 0))</f>
        <v>0</v>
      </c>
      <c r="X85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55" s="64">
        <f>SUMIF(Table1[GameDate], Table1[[#This Row],[GameDate]], Table1[AwayGameGoalDiff])</f>
        <v>0</v>
      </c>
      <c r="AA855" s="64">
        <f>SUMIF(Table1[GameDate], Table1[[#This Row],[GameDate]], Table1[HomeGameGoalDiff])</f>
        <v>0</v>
      </c>
      <c r="AB855" s="64">
        <f>IF(ISBLANK(Table1[[#This Row],[ActualResult]]), 0, 1)</f>
        <v>0</v>
      </c>
      <c r="AC855" s="64">
        <f>IF(ISBLANK(Table1[[#This Row],[ActualResult]]), 0, IF(Table1[[#This Row],[ActualWinner]]=Table1[[#This Row],[PredictedWinner]], 1, 0))</f>
        <v>0</v>
      </c>
      <c r="AD85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5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55" s="64">
        <f>IF(AND(Table1[[#This Row],[GameIsOver]]=1,Table1[[#This Row],[ActualAwayScore]]=0), 1,0)</f>
        <v>0</v>
      </c>
      <c r="AG855" s="64">
        <f>IF(AND(Table1[[#This Row],[GameIsOver]]=1,Table1[[#This Row],[ActualHomeScore]]=0), 1,0)</f>
        <v>0</v>
      </c>
      <c r="AH855" s="64">
        <f>IF(Table1[[#This Row],[GameIsOver]]=0,0,IF(Table1[[#This Row],[ActualWinner]]=Table1[[#This Row],[AwayTeam]], 1, 0))</f>
        <v>0</v>
      </c>
      <c r="AI855" s="64">
        <f>IF(Table1[[#This Row],[GameIsOver]]=0,0,IF(Table1[[#This Row],[ActualWinner]]=Table1[[#This Row],[HomeTeam]], 1, 0))</f>
        <v>0</v>
      </c>
      <c r="AJ855" s="64">
        <f>IF(INDEX(Standings!$A$2:$C$33,MATCH(Table1[[#This Row],[AwayTeam]],Standings!$A$2:$A$33,0),2)=INDEX(Standings!$A$2:$C$33,MATCH(Table1[[#This Row],[HomeTeam]],Standings!$A$2:$A$33,0),2),1,0)</f>
        <v>1</v>
      </c>
      <c r="AK855" s="64">
        <f>IF(INDEX(Standings!$A$2:$C$33,MATCH(Table1[[#This Row],[AwayTeam]],Standings!$A$2:$A$33,0),3)=INDEX(Standings!$A$2:$C$33,MATCH(Table1[[#This Row],[HomeTeam]],Standings!$A$2:$A$33,0),3),1,0)</f>
        <v>0</v>
      </c>
      <c r="AL855" s="64">
        <f>IF(Table1[[#This Row],[InterConf]]=1,IF(Table1[[#This Row],[InterDiv]]=0, 1, 0), 0)</f>
        <v>1</v>
      </c>
      <c r="AM855" s="64">
        <f>IF(INDEX(Standings!$A$2:$C$33,MATCH(Table1[[#This Row],[AwayTeam]],Standings!$A$2:$A$33,0),2)&lt;&gt;INDEX(Standings!$A$2:$C$33,MATCH(Table1[[#This Row],[HomeTeam]],Standings!$A$2:$A$33,0),2),1,0)</f>
        <v>0</v>
      </c>
      <c r="AN855" s="64" t="str">
        <f>INDEX(Table2[AWAY_RECORD], MATCH(Table1[[#This Row],[AwayTeam]],Table2[Team], 0), 0)</f>
        <v>0-0-1</v>
      </c>
      <c r="AO855" s="64" t="str">
        <f>INDEX(Records!$B$2:$AG$33, MATCH(Table1[[#This Row],[AwayTeam]],Records!$A$2:$A$33, 0), MATCH(Table1[[#This Row],[HomeTeam]],Records!$A$2:$A$33, 0))</f>
        <v>0-0-0</v>
      </c>
      <c r="AP855" s="64" t="str">
        <f>INDEX(Table2[HOME_RECORD], MATCH(Table1[[#This Row],[HomeTeam]],Table2[Team], 0), 0)</f>
        <v>0-0-0</v>
      </c>
      <c r="AQ855" s="64" t="str">
        <f>INDEX(Records!$B$2:$AG$33, MATCH(Table1[[#This Row],[HomeTeam]],Records!$A$2:$A$33, 0), MATCH(Table1[[#This Row],[AwayTeam]],Records!$A$2:$A$33, 0))</f>
        <v>0-0-0</v>
      </c>
    </row>
    <row r="856" spans="1:43" x14ac:dyDescent="0.25">
      <c r="A856" s="1"/>
      <c r="D856" t="s">
        <v>1153</v>
      </c>
      <c r="E856" t="s">
        <v>178</v>
      </c>
      <c r="F856" t="s">
        <v>1160</v>
      </c>
      <c r="G856" t="s">
        <v>47</v>
      </c>
      <c r="H856" t="s">
        <v>39</v>
      </c>
      <c r="L85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5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56" s="1"/>
      <c r="T856" s="64" t="str">
        <f>IF(Table1[[#This Row],[ActualWinner]]="", "", IF(Table1[[#This Row],[AwayTeam]]=Table1[[#This Row],[ActualWinner]],Table1[[#This Row],[HomeTeam]],Table1[[#This Row],[AwayTeam]]))</f>
        <v/>
      </c>
      <c r="U856" s="64">
        <f>Table1[[#This Row],[ActualAwayScore]]-Table1[[#This Row],[PredictedAwayScore]]</f>
        <v>0</v>
      </c>
      <c r="V856" s="64">
        <f>Table1[[#This Row],[ActualHomeScore]]-Table1[[#This Row],[PredictedHomeScore]]</f>
        <v>0</v>
      </c>
      <c r="W856" s="64">
        <f>(0.8*IF(Table1[[#This Row],[CorrectWinnerPrediction]]=1, 1, 0))+(0.1*IF(Table1[[#This Row],[CorrectAwayScorePrediction]]=1, 1, 0))+(0.1*IF(Table1[[#This Row],[CorrectHomeScorePrediction]]=1, 1, 0))</f>
        <v>0</v>
      </c>
      <c r="X85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56" s="64">
        <f>SUMIF(Table1[GameDate], Table1[[#This Row],[GameDate]], Table1[AwayGameGoalDiff])</f>
        <v>0</v>
      </c>
      <c r="AA856" s="64">
        <f>SUMIF(Table1[GameDate], Table1[[#This Row],[GameDate]], Table1[HomeGameGoalDiff])</f>
        <v>0</v>
      </c>
      <c r="AB856" s="64">
        <f>IF(ISBLANK(Table1[[#This Row],[ActualResult]]), 0, 1)</f>
        <v>0</v>
      </c>
      <c r="AC856" s="64">
        <f>IF(ISBLANK(Table1[[#This Row],[ActualResult]]), 0, IF(Table1[[#This Row],[ActualWinner]]=Table1[[#This Row],[PredictedWinner]], 1, 0))</f>
        <v>0</v>
      </c>
      <c r="AD85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5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56" s="64">
        <f>IF(AND(Table1[[#This Row],[GameIsOver]]=1,Table1[[#This Row],[ActualAwayScore]]=0), 1,0)</f>
        <v>0</v>
      </c>
      <c r="AG856" s="64">
        <f>IF(AND(Table1[[#This Row],[GameIsOver]]=1,Table1[[#This Row],[ActualHomeScore]]=0), 1,0)</f>
        <v>0</v>
      </c>
      <c r="AH856" s="64">
        <f>IF(Table1[[#This Row],[GameIsOver]]=0,0,IF(Table1[[#This Row],[ActualWinner]]=Table1[[#This Row],[AwayTeam]], 1, 0))</f>
        <v>0</v>
      </c>
      <c r="AI856" s="64">
        <f>IF(Table1[[#This Row],[GameIsOver]]=0,0,IF(Table1[[#This Row],[ActualWinner]]=Table1[[#This Row],[HomeTeam]], 1, 0))</f>
        <v>0</v>
      </c>
      <c r="AJ856" s="64">
        <f>IF(INDEX(Standings!$A$2:$C$33,MATCH(Table1[[#This Row],[AwayTeam]],Standings!$A$2:$A$33,0),2)=INDEX(Standings!$A$2:$C$33,MATCH(Table1[[#This Row],[HomeTeam]],Standings!$A$2:$A$33,0),2),1,0)</f>
        <v>0</v>
      </c>
      <c r="AK856" s="64">
        <f>IF(INDEX(Standings!$A$2:$C$33,MATCH(Table1[[#This Row],[AwayTeam]],Standings!$A$2:$A$33,0),3)=INDEX(Standings!$A$2:$C$33,MATCH(Table1[[#This Row],[HomeTeam]],Standings!$A$2:$A$33,0),3),1,0)</f>
        <v>0</v>
      </c>
      <c r="AL856" s="64">
        <f>IF(Table1[[#This Row],[InterConf]]=1,IF(Table1[[#This Row],[InterDiv]]=0, 1, 0), 0)</f>
        <v>0</v>
      </c>
      <c r="AM856" s="64">
        <f>IF(INDEX(Standings!$A$2:$C$33,MATCH(Table1[[#This Row],[AwayTeam]],Standings!$A$2:$A$33,0),2)&lt;&gt;INDEX(Standings!$A$2:$C$33,MATCH(Table1[[#This Row],[HomeTeam]],Standings!$A$2:$A$33,0),2),1,0)</f>
        <v>1</v>
      </c>
      <c r="AN856" s="64" t="str">
        <f>INDEX(Table2[AWAY_RECORD], MATCH(Table1[[#This Row],[AwayTeam]],Table2[Team], 0), 0)</f>
        <v>1-0-0</v>
      </c>
      <c r="AO856" s="64" t="str">
        <f>INDEX(Records!$B$2:$AG$33, MATCH(Table1[[#This Row],[AwayTeam]],Records!$A$2:$A$33, 0), MATCH(Table1[[#This Row],[HomeTeam]],Records!$A$2:$A$33, 0))</f>
        <v>0-0-0</v>
      </c>
      <c r="AP856" s="64" t="str">
        <f>INDEX(Table2[HOME_RECORD], MATCH(Table1[[#This Row],[HomeTeam]],Table2[Team], 0), 0)</f>
        <v>0-1-0</v>
      </c>
      <c r="AQ856" s="64" t="str">
        <f>INDEX(Records!$B$2:$AG$33, MATCH(Table1[[#This Row],[HomeTeam]],Records!$A$2:$A$33, 0), MATCH(Table1[[#This Row],[AwayTeam]],Records!$A$2:$A$33, 0))</f>
        <v>0-0-0</v>
      </c>
    </row>
    <row r="857" spans="1:43" x14ac:dyDescent="0.25">
      <c r="A857" s="1"/>
      <c r="D857" t="s">
        <v>1153</v>
      </c>
      <c r="E857" t="s">
        <v>178</v>
      </c>
      <c r="F857" t="s">
        <v>1161</v>
      </c>
      <c r="G857" t="s">
        <v>49</v>
      </c>
      <c r="H857" t="s">
        <v>45</v>
      </c>
      <c r="L85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5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57" s="1"/>
      <c r="T857" s="64" t="str">
        <f>IF(Table1[[#This Row],[ActualWinner]]="", "", IF(Table1[[#This Row],[AwayTeam]]=Table1[[#This Row],[ActualWinner]],Table1[[#This Row],[HomeTeam]],Table1[[#This Row],[AwayTeam]]))</f>
        <v/>
      </c>
      <c r="U857" s="64">
        <f>Table1[[#This Row],[ActualAwayScore]]-Table1[[#This Row],[PredictedAwayScore]]</f>
        <v>0</v>
      </c>
      <c r="V857" s="64">
        <f>Table1[[#This Row],[ActualHomeScore]]-Table1[[#This Row],[PredictedHomeScore]]</f>
        <v>0</v>
      </c>
      <c r="W857" s="64">
        <f>(0.8*IF(Table1[[#This Row],[CorrectWinnerPrediction]]=1, 1, 0))+(0.1*IF(Table1[[#This Row],[CorrectAwayScorePrediction]]=1, 1, 0))+(0.1*IF(Table1[[#This Row],[CorrectHomeScorePrediction]]=1, 1, 0))</f>
        <v>0</v>
      </c>
      <c r="X85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57" s="64">
        <f>SUMIF(Table1[GameDate], Table1[[#This Row],[GameDate]], Table1[AwayGameGoalDiff])</f>
        <v>0</v>
      </c>
      <c r="AA857" s="64">
        <f>SUMIF(Table1[GameDate], Table1[[#This Row],[GameDate]], Table1[HomeGameGoalDiff])</f>
        <v>0</v>
      </c>
      <c r="AB857" s="64">
        <f>IF(ISBLANK(Table1[[#This Row],[ActualResult]]), 0, 1)</f>
        <v>0</v>
      </c>
      <c r="AC857" s="64">
        <f>IF(ISBLANK(Table1[[#This Row],[ActualResult]]), 0, IF(Table1[[#This Row],[ActualWinner]]=Table1[[#This Row],[PredictedWinner]], 1, 0))</f>
        <v>0</v>
      </c>
      <c r="AD85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5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57" s="64">
        <f>IF(AND(Table1[[#This Row],[GameIsOver]]=1,Table1[[#This Row],[ActualAwayScore]]=0), 1,0)</f>
        <v>0</v>
      </c>
      <c r="AG857" s="64">
        <f>IF(AND(Table1[[#This Row],[GameIsOver]]=1,Table1[[#This Row],[ActualHomeScore]]=0), 1,0)</f>
        <v>0</v>
      </c>
      <c r="AH857" s="64">
        <f>IF(Table1[[#This Row],[GameIsOver]]=0,0,IF(Table1[[#This Row],[ActualWinner]]=Table1[[#This Row],[AwayTeam]], 1, 0))</f>
        <v>0</v>
      </c>
      <c r="AI857" s="64">
        <f>IF(Table1[[#This Row],[GameIsOver]]=0,0,IF(Table1[[#This Row],[ActualWinner]]=Table1[[#This Row],[HomeTeam]], 1, 0))</f>
        <v>0</v>
      </c>
      <c r="AJ857" s="64">
        <f>IF(INDEX(Standings!$A$2:$C$33,MATCH(Table1[[#This Row],[AwayTeam]],Standings!$A$2:$A$33,0),2)=INDEX(Standings!$A$2:$C$33,MATCH(Table1[[#This Row],[HomeTeam]],Standings!$A$2:$A$33,0),2),1,0)</f>
        <v>0</v>
      </c>
      <c r="AK857" s="64">
        <f>IF(INDEX(Standings!$A$2:$C$33,MATCH(Table1[[#This Row],[AwayTeam]],Standings!$A$2:$A$33,0),3)=INDEX(Standings!$A$2:$C$33,MATCH(Table1[[#This Row],[HomeTeam]],Standings!$A$2:$A$33,0),3),1,0)</f>
        <v>0</v>
      </c>
      <c r="AL857" s="64">
        <f>IF(Table1[[#This Row],[InterConf]]=1,IF(Table1[[#This Row],[InterDiv]]=0, 1, 0), 0)</f>
        <v>0</v>
      </c>
      <c r="AM857" s="64">
        <f>IF(INDEX(Standings!$A$2:$C$33,MATCH(Table1[[#This Row],[AwayTeam]],Standings!$A$2:$A$33,0),2)&lt;&gt;INDEX(Standings!$A$2:$C$33,MATCH(Table1[[#This Row],[HomeTeam]],Standings!$A$2:$A$33,0),2),1,0)</f>
        <v>1</v>
      </c>
      <c r="AN857" s="64" t="str">
        <f>INDEX(Table2[AWAY_RECORD], MATCH(Table1[[#This Row],[AwayTeam]],Table2[Team], 0), 0)</f>
        <v>0-0-0</v>
      </c>
      <c r="AO857" s="64" t="str">
        <f>INDEX(Records!$B$2:$AG$33, MATCH(Table1[[#This Row],[AwayTeam]],Records!$A$2:$A$33, 0), MATCH(Table1[[#This Row],[HomeTeam]],Records!$A$2:$A$33, 0))</f>
        <v>0-0-0</v>
      </c>
      <c r="AP857" s="64" t="str">
        <f>INDEX(Table2[HOME_RECORD], MATCH(Table1[[#This Row],[HomeTeam]],Table2[Team], 0), 0)</f>
        <v>1-0-0</v>
      </c>
      <c r="AQ857" s="64" t="str">
        <f>INDEX(Records!$B$2:$AG$33, MATCH(Table1[[#This Row],[HomeTeam]],Records!$A$2:$A$33, 0), MATCH(Table1[[#This Row],[AwayTeam]],Records!$A$2:$A$33, 0))</f>
        <v>0-0-0</v>
      </c>
    </row>
    <row r="858" spans="1:43" x14ac:dyDescent="0.25">
      <c r="A858" s="1"/>
      <c r="D858" t="s">
        <v>1153</v>
      </c>
      <c r="E858" t="s">
        <v>164</v>
      </c>
      <c r="F858" t="s">
        <v>1162</v>
      </c>
      <c r="G858" t="s">
        <v>56</v>
      </c>
      <c r="H858" t="s">
        <v>22</v>
      </c>
      <c r="L85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5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58" s="1"/>
      <c r="T858" s="64" t="str">
        <f>IF(Table1[[#This Row],[ActualWinner]]="", "", IF(Table1[[#This Row],[AwayTeam]]=Table1[[#This Row],[ActualWinner]],Table1[[#This Row],[HomeTeam]],Table1[[#This Row],[AwayTeam]]))</f>
        <v/>
      </c>
      <c r="U858" s="64">
        <f>Table1[[#This Row],[ActualAwayScore]]-Table1[[#This Row],[PredictedAwayScore]]</f>
        <v>0</v>
      </c>
      <c r="V858" s="64">
        <f>Table1[[#This Row],[ActualHomeScore]]-Table1[[#This Row],[PredictedHomeScore]]</f>
        <v>0</v>
      </c>
      <c r="W858" s="64">
        <f>(0.8*IF(Table1[[#This Row],[CorrectWinnerPrediction]]=1, 1, 0))+(0.1*IF(Table1[[#This Row],[CorrectAwayScorePrediction]]=1, 1, 0))+(0.1*IF(Table1[[#This Row],[CorrectHomeScorePrediction]]=1, 1, 0))</f>
        <v>0</v>
      </c>
      <c r="X85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58" s="64">
        <f>SUMIF(Table1[GameDate], Table1[[#This Row],[GameDate]], Table1[AwayGameGoalDiff])</f>
        <v>0</v>
      </c>
      <c r="AA858" s="64">
        <f>SUMIF(Table1[GameDate], Table1[[#This Row],[GameDate]], Table1[HomeGameGoalDiff])</f>
        <v>0</v>
      </c>
      <c r="AB858" s="64">
        <f>IF(ISBLANK(Table1[[#This Row],[ActualResult]]), 0, 1)</f>
        <v>0</v>
      </c>
      <c r="AC858" s="64">
        <f>IF(ISBLANK(Table1[[#This Row],[ActualResult]]), 0, IF(Table1[[#This Row],[ActualWinner]]=Table1[[#This Row],[PredictedWinner]], 1, 0))</f>
        <v>0</v>
      </c>
      <c r="AD85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5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58" s="64">
        <f>IF(AND(Table1[[#This Row],[GameIsOver]]=1,Table1[[#This Row],[ActualAwayScore]]=0), 1,0)</f>
        <v>0</v>
      </c>
      <c r="AG858" s="64">
        <f>IF(AND(Table1[[#This Row],[GameIsOver]]=1,Table1[[#This Row],[ActualHomeScore]]=0), 1,0)</f>
        <v>0</v>
      </c>
      <c r="AH858" s="64">
        <f>IF(Table1[[#This Row],[GameIsOver]]=0,0,IF(Table1[[#This Row],[ActualWinner]]=Table1[[#This Row],[AwayTeam]], 1, 0))</f>
        <v>0</v>
      </c>
      <c r="AI858" s="64">
        <f>IF(Table1[[#This Row],[GameIsOver]]=0,0,IF(Table1[[#This Row],[ActualWinner]]=Table1[[#This Row],[HomeTeam]], 1, 0))</f>
        <v>0</v>
      </c>
      <c r="AJ858" s="64">
        <f>IF(INDEX(Standings!$A$2:$C$33,MATCH(Table1[[#This Row],[AwayTeam]],Standings!$A$2:$A$33,0),2)=INDEX(Standings!$A$2:$C$33,MATCH(Table1[[#This Row],[HomeTeam]],Standings!$A$2:$A$33,0),2),1,0)</f>
        <v>1</v>
      </c>
      <c r="AK858" s="64">
        <f>IF(INDEX(Standings!$A$2:$C$33,MATCH(Table1[[#This Row],[AwayTeam]],Standings!$A$2:$A$33,0),3)=INDEX(Standings!$A$2:$C$33,MATCH(Table1[[#This Row],[HomeTeam]],Standings!$A$2:$A$33,0),3),1,0)</f>
        <v>0</v>
      </c>
      <c r="AL858" s="64">
        <f>IF(Table1[[#This Row],[InterConf]]=1,IF(Table1[[#This Row],[InterDiv]]=0, 1, 0), 0)</f>
        <v>1</v>
      </c>
      <c r="AM858" s="64">
        <f>IF(INDEX(Standings!$A$2:$C$33,MATCH(Table1[[#This Row],[AwayTeam]],Standings!$A$2:$A$33,0),2)&lt;&gt;INDEX(Standings!$A$2:$C$33,MATCH(Table1[[#This Row],[HomeTeam]],Standings!$A$2:$A$33,0),2),1,0)</f>
        <v>0</v>
      </c>
      <c r="AN858" s="64" t="str">
        <f>INDEX(Table2[AWAY_RECORD], MATCH(Table1[[#This Row],[AwayTeam]],Table2[Team], 0), 0)</f>
        <v>1-0-0</v>
      </c>
      <c r="AO858" s="64" t="str">
        <f>INDEX(Records!$B$2:$AG$33, MATCH(Table1[[#This Row],[AwayTeam]],Records!$A$2:$A$33, 0), MATCH(Table1[[#This Row],[HomeTeam]],Records!$A$2:$A$33, 0))</f>
        <v>0-0-0</v>
      </c>
      <c r="AP858" s="64" t="str">
        <f>INDEX(Table2[HOME_RECORD], MATCH(Table1[[#This Row],[HomeTeam]],Table2[Team], 0), 0)</f>
        <v>0-0-0</v>
      </c>
      <c r="AQ858" s="64" t="str">
        <f>INDEX(Records!$B$2:$AG$33, MATCH(Table1[[#This Row],[HomeTeam]],Records!$A$2:$A$33, 0), MATCH(Table1[[#This Row],[AwayTeam]],Records!$A$2:$A$33, 0))</f>
        <v>0-0-0</v>
      </c>
    </row>
    <row r="859" spans="1:43" x14ac:dyDescent="0.25">
      <c r="A859" s="1"/>
      <c r="D859" t="s">
        <v>1163</v>
      </c>
      <c r="E859" t="s">
        <v>298</v>
      </c>
      <c r="F859" t="s">
        <v>1164</v>
      </c>
      <c r="G859" t="s">
        <v>38</v>
      </c>
      <c r="H859" t="s">
        <v>25</v>
      </c>
      <c r="L85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5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59" s="1"/>
      <c r="T859" s="64" t="str">
        <f>IF(Table1[[#This Row],[ActualWinner]]="", "", IF(Table1[[#This Row],[AwayTeam]]=Table1[[#This Row],[ActualWinner]],Table1[[#This Row],[HomeTeam]],Table1[[#This Row],[AwayTeam]]))</f>
        <v/>
      </c>
      <c r="U859" s="64">
        <f>Table1[[#This Row],[ActualAwayScore]]-Table1[[#This Row],[PredictedAwayScore]]</f>
        <v>0</v>
      </c>
      <c r="V859" s="64">
        <f>Table1[[#This Row],[ActualHomeScore]]-Table1[[#This Row],[PredictedHomeScore]]</f>
        <v>0</v>
      </c>
      <c r="W859" s="64">
        <f>(0.8*IF(Table1[[#This Row],[CorrectWinnerPrediction]]=1, 1, 0))+(0.1*IF(Table1[[#This Row],[CorrectAwayScorePrediction]]=1, 1, 0))+(0.1*IF(Table1[[#This Row],[CorrectHomeScorePrediction]]=1, 1, 0))</f>
        <v>0</v>
      </c>
      <c r="X85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59" s="64">
        <f>SUMIF(Table1[GameDate], Table1[[#This Row],[GameDate]], Table1[AwayGameGoalDiff])</f>
        <v>0</v>
      </c>
      <c r="AA859" s="64">
        <f>SUMIF(Table1[GameDate], Table1[[#This Row],[GameDate]], Table1[HomeGameGoalDiff])</f>
        <v>0</v>
      </c>
      <c r="AB859" s="64">
        <f>IF(ISBLANK(Table1[[#This Row],[ActualResult]]), 0, 1)</f>
        <v>0</v>
      </c>
      <c r="AC859" s="64">
        <f>IF(ISBLANK(Table1[[#This Row],[ActualResult]]), 0, IF(Table1[[#This Row],[ActualWinner]]=Table1[[#This Row],[PredictedWinner]], 1, 0))</f>
        <v>0</v>
      </c>
      <c r="AD85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5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59" s="64">
        <f>IF(AND(Table1[[#This Row],[GameIsOver]]=1,Table1[[#This Row],[ActualAwayScore]]=0), 1,0)</f>
        <v>0</v>
      </c>
      <c r="AG859" s="64">
        <f>IF(AND(Table1[[#This Row],[GameIsOver]]=1,Table1[[#This Row],[ActualHomeScore]]=0), 1,0)</f>
        <v>0</v>
      </c>
      <c r="AH859" s="64">
        <f>IF(Table1[[#This Row],[GameIsOver]]=0,0,IF(Table1[[#This Row],[ActualWinner]]=Table1[[#This Row],[AwayTeam]], 1, 0))</f>
        <v>0</v>
      </c>
      <c r="AI859" s="64">
        <f>IF(Table1[[#This Row],[GameIsOver]]=0,0,IF(Table1[[#This Row],[ActualWinner]]=Table1[[#This Row],[HomeTeam]], 1, 0))</f>
        <v>0</v>
      </c>
      <c r="AJ859" s="64">
        <f>IF(INDEX(Standings!$A$2:$C$33,MATCH(Table1[[#This Row],[AwayTeam]],Standings!$A$2:$A$33,0),2)=INDEX(Standings!$A$2:$C$33,MATCH(Table1[[#This Row],[HomeTeam]],Standings!$A$2:$A$33,0),2),1,0)</f>
        <v>0</v>
      </c>
      <c r="AK859" s="64">
        <f>IF(INDEX(Standings!$A$2:$C$33,MATCH(Table1[[#This Row],[AwayTeam]],Standings!$A$2:$A$33,0),3)=INDEX(Standings!$A$2:$C$33,MATCH(Table1[[#This Row],[HomeTeam]],Standings!$A$2:$A$33,0),3),1,0)</f>
        <v>0</v>
      </c>
      <c r="AL859" s="64">
        <f>IF(Table1[[#This Row],[InterConf]]=1,IF(Table1[[#This Row],[InterDiv]]=0, 1, 0), 0)</f>
        <v>0</v>
      </c>
      <c r="AM859" s="64">
        <f>IF(INDEX(Standings!$A$2:$C$33,MATCH(Table1[[#This Row],[AwayTeam]],Standings!$A$2:$A$33,0),2)&lt;&gt;INDEX(Standings!$A$2:$C$33,MATCH(Table1[[#This Row],[HomeTeam]],Standings!$A$2:$A$33,0),2),1,0)</f>
        <v>1</v>
      </c>
      <c r="AN859" s="64" t="str">
        <f>INDEX(Table2[AWAY_RECORD], MATCH(Table1[[#This Row],[AwayTeam]],Table2[Team], 0), 0)</f>
        <v>0-0-1</v>
      </c>
      <c r="AO859" s="64" t="str">
        <f>INDEX(Records!$B$2:$AG$33, MATCH(Table1[[#This Row],[AwayTeam]],Records!$A$2:$A$33, 0), MATCH(Table1[[#This Row],[HomeTeam]],Records!$A$2:$A$33, 0))</f>
        <v>0-0-0</v>
      </c>
      <c r="AP859" s="64" t="str">
        <f>INDEX(Table2[HOME_RECORD], MATCH(Table1[[#This Row],[HomeTeam]],Table2[Team], 0), 0)</f>
        <v>0-0-1</v>
      </c>
      <c r="AQ859" s="64" t="str">
        <f>INDEX(Records!$B$2:$AG$33, MATCH(Table1[[#This Row],[HomeTeam]],Records!$A$2:$A$33, 0), MATCH(Table1[[#This Row],[AwayTeam]],Records!$A$2:$A$33, 0))</f>
        <v>0-0-0</v>
      </c>
    </row>
    <row r="860" spans="1:43" x14ac:dyDescent="0.25">
      <c r="A860" s="1"/>
      <c r="D860" t="s">
        <v>1163</v>
      </c>
      <c r="E860" t="s">
        <v>298</v>
      </c>
      <c r="F860" t="s">
        <v>1165</v>
      </c>
      <c r="G860" t="s">
        <v>16</v>
      </c>
      <c r="H860" t="s">
        <v>36</v>
      </c>
      <c r="L86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6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60" s="1"/>
      <c r="T860" s="64" t="str">
        <f>IF(Table1[[#This Row],[ActualWinner]]="", "", IF(Table1[[#This Row],[AwayTeam]]=Table1[[#This Row],[ActualWinner]],Table1[[#This Row],[HomeTeam]],Table1[[#This Row],[AwayTeam]]))</f>
        <v/>
      </c>
      <c r="U860" s="64">
        <f>Table1[[#This Row],[ActualAwayScore]]-Table1[[#This Row],[PredictedAwayScore]]</f>
        <v>0</v>
      </c>
      <c r="V860" s="64">
        <f>Table1[[#This Row],[ActualHomeScore]]-Table1[[#This Row],[PredictedHomeScore]]</f>
        <v>0</v>
      </c>
      <c r="W860" s="64">
        <f>(0.8*IF(Table1[[#This Row],[CorrectWinnerPrediction]]=1, 1, 0))+(0.1*IF(Table1[[#This Row],[CorrectAwayScorePrediction]]=1, 1, 0))+(0.1*IF(Table1[[#This Row],[CorrectHomeScorePrediction]]=1, 1, 0))</f>
        <v>0</v>
      </c>
      <c r="X86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60" s="64">
        <f>SUMIF(Table1[GameDate], Table1[[#This Row],[GameDate]], Table1[AwayGameGoalDiff])</f>
        <v>0</v>
      </c>
      <c r="AA860" s="64">
        <f>SUMIF(Table1[GameDate], Table1[[#This Row],[GameDate]], Table1[HomeGameGoalDiff])</f>
        <v>0</v>
      </c>
      <c r="AB860" s="64">
        <f>IF(ISBLANK(Table1[[#This Row],[ActualResult]]), 0, 1)</f>
        <v>0</v>
      </c>
      <c r="AC860" s="64">
        <f>IF(ISBLANK(Table1[[#This Row],[ActualResult]]), 0, IF(Table1[[#This Row],[ActualWinner]]=Table1[[#This Row],[PredictedWinner]], 1, 0))</f>
        <v>0</v>
      </c>
      <c r="AD86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6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60" s="64">
        <f>IF(AND(Table1[[#This Row],[GameIsOver]]=1,Table1[[#This Row],[ActualAwayScore]]=0), 1,0)</f>
        <v>0</v>
      </c>
      <c r="AG860" s="64">
        <f>IF(AND(Table1[[#This Row],[GameIsOver]]=1,Table1[[#This Row],[ActualHomeScore]]=0), 1,0)</f>
        <v>0</v>
      </c>
      <c r="AH860" s="64">
        <f>IF(Table1[[#This Row],[GameIsOver]]=0,0,IF(Table1[[#This Row],[ActualWinner]]=Table1[[#This Row],[AwayTeam]], 1, 0))</f>
        <v>0</v>
      </c>
      <c r="AI860" s="64">
        <f>IF(Table1[[#This Row],[GameIsOver]]=0,0,IF(Table1[[#This Row],[ActualWinner]]=Table1[[#This Row],[HomeTeam]], 1, 0))</f>
        <v>0</v>
      </c>
      <c r="AJ860" s="64">
        <f>IF(INDEX(Standings!$A$2:$C$33,MATCH(Table1[[#This Row],[AwayTeam]],Standings!$A$2:$A$33,0),2)=INDEX(Standings!$A$2:$C$33,MATCH(Table1[[#This Row],[HomeTeam]],Standings!$A$2:$A$33,0),2),1,0)</f>
        <v>1</v>
      </c>
      <c r="AK860" s="64">
        <f>IF(INDEX(Standings!$A$2:$C$33,MATCH(Table1[[#This Row],[AwayTeam]],Standings!$A$2:$A$33,0),3)=INDEX(Standings!$A$2:$C$33,MATCH(Table1[[#This Row],[HomeTeam]],Standings!$A$2:$A$33,0),3),1,0)</f>
        <v>0</v>
      </c>
      <c r="AL860" s="64">
        <f>IF(Table1[[#This Row],[InterConf]]=1,IF(Table1[[#This Row],[InterDiv]]=0, 1, 0), 0)</f>
        <v>1</v>
      </c>
      <c r="AM860" s="64">
        <f>IF(INDEX(Standings!$A$2:$C$33,MATCH(Table1[[#This Row],[AwayTeam]],Standings!$A$2:$A$33,0),2)&lt;&gt;INDEX(Standings!$A$2:$C$33,MATCH(Table1[[#This Row],[HomeTeam]],Standings!$A$2:$A$33,0),2),1,0)</f>
        <v>0</v>
      </c>
      <c r="AN860" s="64" t="str">
        <f>INDEX(Table2[AWAY_RECORD], MATCH(Table1[[#This Row],[AwayTeam]],Table2[Team], 0), 0)</f>
        <v>1-0-1</v>
      </c>
      <c r="AO860" s="64" t="str">
        <f>INDEX(Records!$B$2:$AG$33, MATCH(Table1[[#This Row],[AwayTeam]],Records!$A$2:$A$33, 0), MATCH(Table1[[#This Row],[HomeTeam]],Records!$A$2:$A$33, 0))</f>
        <v>0-0-0</v>
      </c>
      <c r="AP860" s="64" t="str">
        <f>INDEX(Table2[HOME_RECORD], MATCH(Table1[[#This Row],[HomeTeam]],Table2[Team], 0), 0)</f>
        <v>0-0-0</v>
      </c>
      <c r="AQ860" s="64" t="str">
        <f>INDEX(Records!$B$2:$AG$33, MATCH(Table1[[#This Row],[HomeTeam]],Records!$A$2:$A$33, 0), MATCH(Table1[[#This Row],[AwayTeam]],Records!$A$2:$A$33, 0))</f>
        <v>0-0-0</v>
      </c>
    </row>
    <row r="861" spans="1:43" x14ac:dyDescent="0.25">
      <c r="A861" s="1"/>
      <c r="D861" t="s">
        <v>1163</v>
      </c>
      <c r="E861" t="s">
        <v>298</v>
      </c>
      <c r="F861" t="s">
        <v>1166</v>
      </c>
      <c r="G861" t="s">
        <v>48</v>
      </c>
      <c r="H861" t="s">
        <v>55</v>
      </c>
      <c r="L86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6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61" s="1"/>
      <c r="T861" s="64" t="str">
        <f>IF(Table1[[#This Row],[ActualWinner]]="", "", IF(Table1[[#This Row],[AwayTeam]]=Table1[[#This Row],[ActualWinner]],Table1[[#This Row],[HomeTeam]],Table1[[#This Row],[AwayTeam]]))</f>
        <v/>
      </c>
      <c r="U861" s="64">
        <f>Table1[[#This Row],[ActualAwayScore]]-Table1[[#This Row],[PredictedAwayScore]]</f>
        <v>0</v>
      </c>
      <c r="V861" s="64">
        <f>Table1[[#This Row],[ActualHomeScore]]-Table1[[#This Row],[PredictedHomeScore]]</f>
        <v>0</v>
      </c>
      <c r="W861" s="64">
        <f>(0.8*IF(Table1[[#This Row],[CorrectWinnerPrediction]]=1, 1, 0))+(0.1*IF(Table1[[#This Row],[CorrectAwayScorePrediction]]=1, 1, 0))+(0.1*IF(Table1[[#This Row],[CorrectHomeScorePrediction]]=1, 1, 0))</f>
        <v>0</v>
      </c>
      <c r="X86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61" s="64">
        <f>SUMIF(Table1[GameDate], Table1[[#This Row],[GameDate]], Table1[AwayGameGoalDiff])</f>
        <v>0</v>
      </c>
      <c r="AA861" s="64">
        <f>SUMIF(Table1[GameDate], Table1[[#This Row],[GameDate]], Table1[HomeGameGoalDiff])</f>
        <v>0</v>
      </c>
      <c r="AB861" s="64">
        <f>IF(ISBLANK(Table1[[#This Row],[ActualResult]]), 0, 1)</f>
        <v>0</v>
      </c>
      <c r="AC861" s="64">
        <f>IF(ISBLANK(Table1[[#This Row],[ActualResult]]), 0, IF(Table1[[#This Row],[ActualWinner]]=Table1[[#This Row],[PredictedWinner]], 1, 0))</f>
        <v>0</v>
      </c>
      <c r="AD86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6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61" s="64">
        <f>IF(AND(Table1[[#This Row],[GameIsOver]]=1,Table1[[#This Row],[ActualAwayScore]]=0), 1,0)</f>
        <v>0</v>
      </c>
      <c r="AG861" s="64">
        <f>IF(AND(Table1[[#This Row],[GameIsOver]]=1,Table1[[#This Row],[ActualHomeScore]]=0), 1,0)</f>
        <v>0</v>
      </c>
      <c r="AH861" s="64">
        <f>IF(Table1[[#This Row],[GameIsOver]]=0,0,IF(Table1[[#This Row],[ActualWinner]]=Table1[[#This Row],[AwayTeam]], 1, 0))</f>
        <v>0</v>
      </c>
      <c r="AI861" s="64">
        <f>IF(Table1[[#This Row],[GameIsOver]]=0,0,IF(Table1[[#This Row],[ActualWinner]]=Table1[[#This Row],[HomeTeam]], 1, 0))</f>
        <v>0</v>
      </c>
      <c r="AJ861" s="64">
        <f>IF(INDEX(Standings!$A$2:$C$33,MATCH(Table1[[#This Row],[AwayTeam]],Standings!$A$2:$A$33,0),2)=INDEX(Standings!$A$2:$C$33,MATCH(Table1[[#This Row],[HomeTeam]],Standings!$A$2:$A$33,0),2),1,0)</f>
        <v>1</v>
      </c>
      <c r="AK861" s="64">
        <f>IF(INDEX(Standings!$A$2:$C$33,MATCH(Table1[[#This Row],[AwayTeam]],Standings!$A$2:$A$33,0),3)=INDEX(Standings!$A$2:$C$33,MATCH(Table1[[#This Row],[HomeTeam]],Standings!$A$2:$A$33,0),3),1,0)</f>
        <v>0</v>
      </c>
      <c r="AL861" s="64">
        <f>IF(Table1[[#This Row],[InterConf]]=1,IF(Table1[[#This Row],[InterDiv]]=0, 1, 0), 0)</f>
        <v>1</v>
      </c>
      <c r="AM861" s="64">
        <f>IF(INDEX(Standings!$A$2:$C$33,MATCH(Table1[[#This Row],[AwayTeam]],Standings!$A$2:$A$33,0),2)&lt;&gt;INDEX(Standings!$A$2:$C$33,MATCH(Table1[[#This Row],[HomeTeam]],Standings!$A$2:$A$33,0),2),1,0)</f>
        <v>0</v>
      </c>
      <c r="AN861" s="64" t="str">
        <f>INDEX(Table2[AWAY_RECORD], MATCH(Table1[[#This Row],[AwayTeam]],Table2[Team], 0), 0)</f>
        <v>0-0-0</v>
      </c>
      <c r="AO861" s="64" t="str">
        <f>INDEX(Records!$B$2:$AG$33, MATCH(Table1[[#This Row],[AwayTeam]],Records!$A$2:$A$33, 0), MATCH(Table1[[#This Row],[HomeTeam]],Records!$A$2:$A$33, 0))</f>
        <v>0-0-0</v>
      </c>
      <c r="AP861" s="64" t="str">
        <f>INDEX(Table2[HOME_RECORD], MATCH(Table1[[#This Row],[HomeTeam]],Table2[Team], 0), 0)</f>
        <v>0-1-0</v>
      </c>
      <c r="AQ861" s="64" t="str">
        <f>INDEX(Records!$B$2:$AG$33, MATCH(Table1[[#This Row],[HomeTeam]],Records!$A$2:$A$33, 0), MATCH(Table1[[#This Row],[AwayTeam]],Records!$A$2:$A$33, 0))</f>
        <v>0-0-0</v>
      </c>
    </row>
    <row r="862" spans="1:43" x14ac:dyDescent="0.25">
      <c r="A862" s="1"/>
      <c r="D862" t="s">
        <v>1163</v>
      </c>
      <c r="E862" t="s">
        <v>162</v>
      </c>
      <c r="F862" t="s">
        <v>1167</v>
      </c>
      <c r="G862" t="s">
        <v>17</v>
      </c>
      <c r="H862" t="s">
        <v>44</v>
      </c>
      <c r="L86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6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62" s="1"/>
      <c r="T862" s="64" t="str">
        <f>IF(Table1[[#This Row],[ActualWinner]]="", "", IF(Table1[[#This Row],[AwayTeam]]=Table1[[#This Row],[ActualWinner]],Table1[[#This Row],[HomeTeam]],Table1[[#This Row],[AwayTeam]]))</f>
        <v/>
      </c>
      <c r="U862" s="64">
        <f>Table1[[#This Row],[ActualAwayScore]]-Table1[[#This Row],[PredictedAwayScore]]</f>
        <v>0</v>
      </c>
      <c r="V862" s="64">
        <f>Table1[[#This Row],[ActualHomeScore]]-Table1[[#This Row],[PredictedHomeScore]]</f>
        <v>0</v>
      </c>
      <c r="W862" s="64">
        <f>(0.8*IF(Table1[[#This Row],[CorrectWinnerPrediction]]=1, 1, 0))+(0.1*IF(Table1[[#This Row],[CorrectAwayScorePrediction]]=1, 1, 0))+(0.1*IF(Table1[[#This Row],[CorrectHomeScorePrediction]]=1, 1, 0))</f>
        <v>0</v>
      </c>
      <c r="X86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62" s="64">
        <f>SUMIF(Table1[GameDate], Table1[[#This Row],[GameDate]], Table1[AwayGameGoalDiff])</f>
        <v>0</v>
      </c>
      <c r="AA862" s="64">
        <f>SUMIF(Table1[GameDate], Table1[[#This Row],[GameDate]], Table1[HomeGameGoalDiff])</f>
        <v>0</v>
      </c>
      <c r="AB862" s="64">
        <f>IF(ISBLANK(Table1[[#This Row],[ActualResult]]), 0, 1)</f>
        <v>0</v>
      </c>
      <c r="AC862" s="64">
        <f>IF(ISBLANK(Table1[[#This Row],[ActualResult]]), 0, IF(Table1[[#This Row],[ActualWinner]]=Table1[[#This Row],[PredictedWinner]], 1, 0))</f>
        <v>0</v>
      </c>
      <c r="AD86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6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62" s="64">
        <f>IF(AND(Table1[[#This Row],[GameIsOver]]=1,Table1[[#This Row],[ActualAwayScore]]=0), 1,0)</f>
        <v>0</v>
      </c>
      <c r="AG862" s="64">
        <f>IF(AND(Table1[[#This Row],[GameIsOver]]=1,Table1[[#This Row],[ActualHomeScore]]=0), 1,0)</f>
        <v>0</v>
      </c>
      <c r="AH862" s="64">
        <f>IF(Table1[[#This Row],[GameIsOver]]=0,0,IF(Table1[[#This Row],[ActualWinner]]=Table1[[#This Row],[AwayTeam]], 1, 0))</f>
        <v>0</v>
      </c>
      <c r="AI862" s="64">
        <f>IF(Table1[[#This Row],[GameIsOver]]=0,0,IF(Table1[[#This Row],[ActualWinner]]=Table1[[#This Row],[HomeTeam]], 1, 0))</f>
        <v>0</v>
      </c>
      <c r="AJ862" s="64">
        <f>IF(INDEX(Standings!$A$2:$C$33,MATCH(Table1[[#This Row],[AwayTeam]],Standings!$A$2:$A$33,0),2)=INDEX(Standings!$A$2:$C$33,MATCH(Table1[[#This Row],[HomeTeam]],Standings!$A$2:$A$33,0),2),1,0)</f>
        <v>1</v>
      </c>
      <c r="AK862" s="64">
        <f>IF(INDEX(Standings!$A$2:$C$33,MATCH(Table1[[#This Row],[AwayTeam]],Standings!$A$2:$A$33,0),3)=INDEX(Standings!$A$2:$C$33,MATCH(Table1[[#This Row],[HomeTeam]],Standings!$A$2:$A$33,0),3),1,0)</f>
        <v>1</v>
      </c>
      <c r="AL862" s="64">
        <f>IF(Table1[[#This Row],[InterConf]]=1,IF(Table1[[#This Row],[InterDiv]]=0, 1, 0), 0)</f>
        <v>0</v>
      </c>
      <c r="AM862" s="64">
        <f>IF(INDEX(Standings!$A$2:$C$33,MATCH(Table1[[#This Row],[AwayTeam]],Standings!$A$2:$A$33,0),2)&lt;&gt;INDEX(Standings!$A$2:$C$33,MATCH(Table1[[#This Row],[HomeTeam]],Standings!$A$2:$A$33,0),2),1,0)</f>
        <v>0</v>
      </c>
      <c r="AN862" s="64" t="str">
        <f>INDEX(Table2[AWAY_RECORD], MATCH(Table1[[#This Row],[AwayTeam]],Table2[Team], 0), 0)</f>
        <v>2-0-0</v>
      </c>
      <c r="AO862" s="64" t="str">
        <f>INDEX(Records!$B$2:$AG$33, MATCH(Table1[[#This Row],[AwayTeam]],Records!$A$2:$A$33, 0), MATCH(Table1[[#This Row],[HomeTeam]],Records!$A$2:$A$33, 0))</f>
        <v>0-0-0</v>
      </c>
      <c r="AP862" s="64" t="str">
        <f>INDEX(Table2[HOME_RECORD], MATCH(Table1[[#This Row],[HomeTeam]],Table2[Team], 0), 0)</f>
        <v>0-0-1</v>
      </c>
      <c r="AQ862" s="64" t="str">
        <f>INDEX(Records!$B$2:$AG$33, MATCH(Table1[[#This Row],[HomeTeam]],Records!$A$2:$A$33, 0), MATCH(Table1[[#This Row],[AwayTeam]],Records!$A$2:$A$33, 0))</f>
        <v>0-0-0</v>
      </c>
    </row>
    <row r="863" spans="1:43" x14ac:dyDescent="0.25">
      <c r="A863" s="1"/>
      <c r="D863" t="s">
        <v>1163</v>
      </c>
      <c r="E863" t="s">
        <v>162</v>
      </c>
      <c r="F863" t="s">
        <v>1168</v>
      </c>
      <c r="G863" t="s">
        <v>51</v>
      </c>
      <c r="H863" t="s">
        <v>54</v>
      </c>
      <c r="L86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6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63" s="1"/>
      <c r="T863" s="64" t="str">
        <f>IF(Table1[[#This Row],[ActualWinner]]="", "", IF(Table1[[#This Row],[AwayTeam]]=Table1[[#This Row],[ActualWinner]],Table1[[#This Row],[HomeTeam]],Table1[[#This Row],[AwayTeam]]))</f>
        <v/>
      </c>
      <c r="U863" s="64">
        <f>Table1[[#This Row],[ActualAwayScore]]-Table1[[#This Row],[PredictedAwayScore]]</f>
        <v>0</v>
      </c>
      <c r="V863" s="64">
        <f>Table1[[#This Row],[ActualHomeScore]]-Table1[[#This Row],[PredictedHomeScore]]</f>
        <v>0</v>
      </c>
      <c r="W863" s="64">
        <f>(0.8*IF(Table1[[#This Row],[CorrectWinnerPrediction]]=1, 1, 0))+(0.1*IF(Table1[[#This Row],[CorrectAwayScorePrediction]]=1, 1, 0))+(0.1*IF(Table1[[#This Row],[CorrectHomeScorePrediction]]=1, 1, 0))</f>
        <v>0</v>
      </c>
      <c r="X86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63" s="64">
        <f>SUMIF(Table1[GameDate], Table1[[#This Row],[GameDate]], Table1[AwayGameGoalDiff])</f>
        <v>0</v>
      </c>
      <c r="AA863" s="64">
        <f>SUMIF(Table1[GameDate], Table1[[#This Row],[GameDate]], Table1[HomeGameGoalDiff])</f>
        <v>0</v>
      </c>
      <c r="AB863" s="64">
        <f>IF(ISBLANK(Table1[[#This Row],[ActualResult]]), 0, 1)</f>
        <v>0</v>
      </c>
      <c r="AC863" s="64">
        <f>IF(ISBLANK(Table1[[#This Row],[ActualResult]]), 0, IF(Table1[[#This Row],[ActualWinner]]=Table1[[#This Row],[PredictedWinner]], 1, 0))</f>
        <v>0</v>
      </c>
      <c r="AD86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6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63" s="64">
        <f>IF(AND(Table1[[#This Row],[GameIsOver]]=1,Table1[[#This Row],[ActualAwayScore]]=0), 1,0)</f>
        <v>0</v>
      </c>
      <c r="AG863" s="64">
        <f>IF(AND(Table1[[#This Row],[GameIsOver]]=1,Table1[[#This Row],[ActualHomeScore]]=0), 1,0)</f>
        <v>0</v>
      </c>
      <c r="AH863" s="64">
        <f>IF(Table1[[#This Row],[GameIsOver]]=0,0,IF(Table1[[#This Row],[ActualWinner]]=Table1[[#This Row],[AwayTeam]], 1, 0))</f>
        <v>0</v>
      </c>
      <c r="AI863" s="64">
        <f>IF(Table1[[#This Row],[GameIsOver]]=0,0,IF(Table1[[#This Row],[ActualWinner]]=Table1[[#This Row],[HomeTeam]], 1, 0))</f>
        <v>0</v>
      </c>
      <c r="AJ863" s="64">
        <f>IF(INDEX(Standings!$A$2:$C$33,MATCH(Table1[[#This Row],[AwayTeam]],Standings!$A$2:$A$33,0),2)=INDEX(Standings!$A$2:$C$33,MATCH(Table1[[#This Row],[HomeTeam]],Standings!$A$2:$A$33,0),2),1,0)</f>
        <v>1</v>
      </c>
      <c r="AK863" s="64">
        <f>IF(INDEX(Standings!$A$2:$C$33,MATCH(Table1[[#This Row],[AwayTeam]],Standings!$A$2:$A$33,0),3)=INDEX(Standings!$A$2:$C$33,MATCH(Table1[[#This Row],[HomeTeam]],Standings!$A$2:$A$33,0),3),1,0)</f>
        <v>1</v>
      </c>
      <c r="AL863" s="64">
        <f>IF(Table1[[#This Row],[InterConf]]=1,IF(Table1[[#This Row],[InterDiv]]=0, 1, 0), 0)</f>
        <v>0</v>
      </c>
      <c r="AM863" s="64">
        <f>IF(INDEX(Standings!$A$2:$C$33,MATCH(Table1[[#This Row],[AwayTeam]],Standings!$A$2:$A$33,0),2)&lt;&gt;INDEX(Standings!$A$2:$C$33,MATCH(Table1[[#This Row],[HomeTeam]],Standings!$A$2:$A$33,0),2),1,0)</f>
        <v>0</v>
      </c>
      <c r="AN863" s="64" t="str">
        <f>INDEX(Table2[AWAY_RECORD], MATCH(Table1[[#This Row],[AwayTeam]],Table2[Team], 0), 0)</f>
        <v>2-0-0</v>
      </c>
      <c r="AO863" s="64" t="str">
        <f>INDEX(Records!$B$2:$AG$33, MATCH(Table1[[#This Row],[AwayTeam]],Records!$A$2:$A$33, 0), MATCH(Table1[[#This Row],[HomeTeam]],Records!$A$2:$A$33, 0))</f>
        <v>0-0-0</v>
      </c>
      <c r="AP863" s="64" t="str">
        <f>INDEX(Table2[HOME_RECORD], MATCH(Table1[[#This Row],[HomeTeam]],Table2[Team], 0), 0)</f>
        <v>0-0-0</v>
      </c>
      <c r="AQ863" s="64" t="str">
        <f>INDEX(Records!$B$2:$AG$33, MATCH(Table1[[#This Row],[HomeTeam]],Records!$A$2:$A$33, 0), MATCH(Table1[[#This Row],[AwayTeam]],Records!$A$2:$A$33, 0))</f>
        <v>0-0-0</v>
      </c>
    </row>
    <row r="864" spans="1:43" x14ac:dyDescent="0.25">
      <c r="A864" s="1"/>
      <c r="D864" t="s">
        <v>1163</v>
      </c>
      <c r="E864" t="s">
        <v>164</v>
      </c>
      <c r="F864" t="s">
        <v>1169</v>
      </c>
      <c r="G864" t="s">
        <v>59</v>
      </c>
      <c r="H864" t="s">
        <v>58</v>
      </c>
      <c r="L86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6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64" s="1"/>
      <c r="T864" s="64" t="str">
        <f>IF(Table1[[#This Row],[ActualWinner]]="", "", IF(Table1[[#This Row],[AwayTeam]]=Table1[[#This Row],[ActualWinner]],Table1[[#This Row],[HomeTeam]],Table1[[#This Row],[AwayTeam]]))</f>
        <v/>
      </c>
      <c r="U864" s="64">
        <f>Table1[[#This Row],[ActualAwayScore]]-Table1[[#This Row],[PredictedAwayScore]]</f>
        <v>0</v>
      </c>
      <c r="V864" s="64">
        <f>Table1[[#This Row],[ActualHomeScore]]-Table1[[#This Row],[PredictedHomeScore]]</f>
        <v>0</v>
      </c>
      <c r="W864" s="64">
        <f>(0.8*IF(Table1[[#This Row],[CorrectWinnerPrediction]]=1, 1, 0))+(0.1*IF(Table1[[#This Row],[CorrectAwayScorePrediction]]=1, 1, 0))+(0.1*IF(Table1[[#This Row],[CorrectHomeScorePrediction]]=1, 1, 0))</f>
        <v>0</v>
      </c>
      <c r="X86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64" s="64">
        <f>SUMIF(Table1[GameDate], Table1[[#This Row],[GameDate]], Table1[AwayGameGoalDiff])</f>
        <v>0</v>
      </c>
      <c r="AA864" s="64">
        <f>SUMIF(Table1[GameDate], Table1[[#This Row],[GameDate]], Table1[HomeGameGoalDiff])</f>
        <v>0</v>
      </c>
      <c r="AB864" s="64">
        <f>IF(ISBLANK(Table1[[#This Row],[ActualResult]]), 0, 1)</f>
        <v>0</v>
      </c>
      <c r="AC864" s="64">
        <f>IF(ISBLANK(Table1[[#This Row],[ActualResult]]), 0, IF(Table1[[#This Row],[ActualWinner]]=Table1[[#This Row],[PredictedWinner]], 1, 0))</f>
        <v>0</v>
      </c>
      <c r="AD86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6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64" s="64">
        <f>IF(AND(Table1[[#This Row],[GameIsOver]]=1,Table1[[#This Row],[ActualAwayScore]]=0), 1,0)</f>
        <v>0</v>
      </c>
      <c r="AG864" s="64">
        <f>IF(AND(Table1[[#This Row],[GameIsOver]]=1,Table1[[#This Row],[ActualHomeScore]]=0), 1,0)</f>
        <v>0</v>
      </c>
      <c r="AH864" s="64">
        <f>IF(Table1[[#This Row],[GameIsOver]]=0,0,IF(Table1[[#This Row],[ActualWinner]]=Table1[[#This Row],[AwayTeam]], 1, 0))</f>
        <v>0</v>
      </c>
      <c r="AI864" s="64">
        <f>IF(Table1[[#This Row],[GameIsOver]]=0,0,IF(Table1[[#This Row],[ActualWinner]]=Table1[[#This Row],[HomeTeam]], 1, 0))</f>
        <v>0</v>
      </c>
      <c r="AJ864" s="64">
        <f>IF(INDEX(Standings!$A$2:$C$33,MATCH(Table1[[#This Row],[AwayTeam]],Standings!$A$2:$A$33,0),2)=INDEX(Standings!$A$2:$C$33,MATCH(Table1[[#This Row],[HomeTeam]],Standings!$A$2:$A$33,0),2),1,0)</f>
        <v>0</v>
      </c>
      <c r="AK864" s="64">
        <f>IF(INDEX(Standings!$A$2:$C$33,MATCH(Table1[[#This Row],[AwayTeam]],Standings!$A$2:$A$33,0),3)=INDEX(Standings!$A$2:$C$33,MATCH(Table1[[#This Row],[HomeTeam]],Standings!$A$2:$A$33,0),3),1,0)</f>
        <v>0</v>
      </c>
      <c r="AL864" s="64">
        <f>IF(Table1[[#This Row],[InterConf]]=1,IF(Table1[[#This Row],[InterDiv]]=0, 1, 0), 0)</f>
        <v>0</v>
      </c>
      <c r="AM864" s="64">
        <f>IF(INDEX(Standings!$A$2:$C$33,MATCH(Table1[[#This Row],[AwayTeam]],Standings!$A$2:$A$33,0),2)&lt;&gt;INDEX(Standings!$A$2:$C$33,MATCH(Table1[[#This Row],[HomeTeam]],Standings!$A$2:$A$33,0),2),1,0)</f>
        <v>1</v>
      </c>
      <c r="AN864" s="64" t="str">
        <f>INDEX(Table2[AWAY_RECORD], MATCH(Table1[[#This Row],[AwayTeam]],Table2[Team], 0), 0)</f>
        <v>0-1-0</v>
      </c>
      <c r="AO864" s="64" t="str">
        <f>INDEX(Records!$B$2:$AG$33, MATCH(Table1[[#This Row],[AwayTeam]],Records!$A$2:$A$33, 0), MATCH(Table1[[#This Row],[HomeTeam]],Records!$A$2:$A$33, 0))</f>
        <v>0-0-0</v>
      </c>
      <c r="AP864" s="64" t="str">
        <f>INDEX(Table2[HOME_RECORD], MATCH(Table1[[#This Row],[HomeTeam]],Table2[Team], 0), 0)</f>
        <v>1-0-0</v>
      </c>
      <c r="AQ864" s="64" t="str">
        <f>INDEX(Records!$B$2:$AG$33, MATCH(Table1[[#This Row],[HomeTeam]],Records!$A$2:$A$33, 0), MATCH(Table1[[#This Row],[AwayTeam]],Records!$A$2:$A$33, 0))</f>
        <v>0-0-0</v>
      </c>
    </row>
    <row r="865" spans="1:43" x14ac:dyDescent="0.25">
      <c r="A865" s="1"/>
      <c r="D865" t="s">
        <v>1170</v>
      </c>
      <c r="E865" t="s">
        <v>432</v>
      </c>
      <c r="F865" t="s">
        <v>1171</v>
      </c>
      <c r="G865" t="s">
        <v>60</v>
      </c>
      <c r="H865" t="s">
        <v>53</v>
      </c>
      <c r="L86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6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65" s="1"/>
      <c r="T865" s="64" t="str">
        <f>IF(Table1[[#This Row],[ActualWinner]]="", "", IF(Table1[[#This Row],[AwayTeam]]=Table1[[#This Row],[ActualWinner]],Table1[[#This Row],[HomeTeam]],Table1[[#This Row],[AwayTeam]]))</f>
        <v/>
      </c>
      <c r="U865" s="64">
        <f>Table1[[#This Row],[ActualAwayScore]]-Table1[[#This Row],[PredictedAwayScore]]</f>
        <v>0</v>
      </c>
      <c r="V865" s="64">
        <f>Table1[[#This Row],[ActualHomeScore]]-Table1[[#This Row],[PredictedHomeScore]]</f>
        <v>0</v>
      </c>
      <c r="W865" s="64">
        <f>(0.8*IF(Table1[[#This Row],[CorrectWinnerPrediction]]=1, 1, 0))+(0.1*IF(Table1[[#This Row],[CorrectAwayScorePrediction]]=1, 1, 0))+(0.1*IF(Table1[[#This Row],[CorrectHomeScorePrediction]]=1, 1, 0))</f>
        <v>0</v>
      </c>
      <c r="X86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65" s="64">
        <f>SUMIF(Table1[GameDate], Table1[[#This Row],[GameDate]], Table1[AwayGameGoalDiff])</f>
        <v>0</v>
      </c>
      <c r="AA865" s="64">
        <f>SUMIF(Table1[GameDate], Table1[[#This Row],[GameDate]], Table1[HomeGameGoalDiff])</f>
        <v>0</v>
      </c>
      <c r="AB865" s="64">
        <f>IF(ISBLANK(Table1[[#This Row],[ActualResult]]), 0, 1)</f>
        <v>0</v>
      </c>
      <c r="AC865" s="64">
        <f>IF(ISBLANK(Table1[[#This Row],[ActualResult]]), 0, IF(Table1[[#This Row],[ActualWinner]]=Table1[[#This Row],[PredictedWinner]], 1, 0))</f>
        <v>0</v>
      </c>
      <c r="AD86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6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65" s="64">
        <f>IF(AND(Table1[[#This Row],[GameIsOver]]=1,Table1[[#This Row],[ActualAwayScore]]=0), 1,0)</f>
        <v>0</v>
      </c>
      <c r="AG865" s="64">
        <f>IF(AND(Table1[[#This Row],[GameIsOver]]=1,Table1[[#This Row],[ActualHomeScore]]=0), 1,0)</f>
        <v>0</v>
      </c>
      <c r="AH865" s="64">
        <f>IF(Table1[[#This Row],[GameIsOver]]=0,0,IF(Table1[[#This Row],[ActualWinner]]=Table1[[#This Row],[AwayTeam]], 1, 0))</f>
        <v>0</v>
      </c>
      <c r="AI865" s="64">
        <f>IF(Table1[[#This Row],[GameIsOver]]=0,0,IF(Table1[[#This Row],[ActualWinner]]=Table1[[#This Row],[HomeTeam]], 1, 0))</f>
        <v>0</v>
      </c>
      <c r="AJ865" s="64">
        <f>IF(INDEX(Standings!$A$2:$C$33,MATCH(Table1[[#This Row],[AwayTeam]],Standings!$A$2:$A$33,0),2)=INDEX(Standings!$A$2:$C$33,MATCH(Table1[[#This Row],[HomeTeam]],Standings!$A$2:$A$33,0),2),1,0)</f>
        <v>0</v>
      </c>
      <c r="AK865" s="64">
        <f>IF(INDEX(Standings!$A$2:$C$33,MATCH(Table1[[#This Row],[AwayTeam]],Standings!$A$2:$A$33,0),3)=INDEX(Standings!$A$2:$C$33,MATCH(Table1[[#This Row],[HomeTeam]],Standings!$A$2:$A$33,0),3),1,0)</f>
        <v>0</v>
      </c>
      <c r="AL865" s="64">
        <f>IF(Table1[[#This Row],[InterConf]]=1,IF(Table1[[#This Row],[InterDiv]]=0, 1, 0), 0)</f>
        <v>0</v>
      </c>
      <c r="AM865" s="64">
        <f>IF(INDEX(Standings!$A$2:$C$33,MATCH(Table1[[#This Row],[AwayTeam]],Standings!$A$2:$A$33,0),2)&lt;&gt;INDEX(Standings!$A$2:$C$33,MATCH(Table1[[#This Row],[HomeTeam]],Standings!$A$2:$A$33,0),2),1,0)</f>
        <v>1</v>
      </c>
      <c r="AN865" s="64" t="str">
        <f>INDEX(Table2[AWAY_RECORD], MATCH(Table1[[#This Row],[AwayTeam]],Table2[Team], 0), 0)</f>
        <v>0-0-0</v>
      </c>
      <c r="AO865" s="64" t="str">
        <f>INDEX(Records!$B$2:$AG$33, MATCH(Table1[[#This Row],[AwayTeam]],Records!$A$2:$A$33, 0), MATCH(Table1[[#This Row],[HomeTeam]],Records!$A$2:$A$33, 0))</f>
        <v>0-0-0</v>
      </c>
      <c r="AP865" s="64" t="str">
        <f>INDEX(Table2[HOME_RECORD], MATCH(Table1[[#This Row],[HomeTeam]],Table2[Team], 0), 0)</f>
        <v>1-0-0</v>
      </c>
      <c r="AQ865" s="64" t="str">
        <f>INDEX(Records!$B$2:$AG$33, MATCH(Table1[[#This Row],[HomeTeam]],Records!$A$2:$A$33, 0), MATCH(Table1[[#This Row],[AwayTeam]],Records!$A$2:$A$33, 0))</f>
        <v>0-0-0</v>
      </c>
    </row>
    <row r="866" spans="1:43" x14ac:dyDescent="0.25">
      <c r="A866" s="1"/>
      <c r="D866" t="s">
        <v>1170</v>
      </c>
      <c r="E866" t="s">
        <v>443</v>
      </c>
      <c r="F866" t="s">
        <v>1172</v>
      </c>
      <c r="G866" t="s">
        <v>23</v>
      </c>
      <c r="H866" t="s">
        <v>61</v>
      </c>
      <c r="L86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6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66" s="1"/>
      <c r="T866" s="64" t="str">
        <f>IF(Table1[[#This Row],[ActualWinner]]="", "", IF(Table1[[#This Row],[AwayTeam]]=Table1[[#This Row],[ActualWinner]],Table1[[#This Row],[HomeTeam]],Table1[[#This Row],[AwayTeam]]))</f>
        <v/>
      </c>
      <c r="U866" s="64">
        <f>Table1[[#This Row],[ActualAwayScore]]-Table1[[#This Row],[PredictedAwayScore]]</f>
        <v>0</v>
      </c>
      <c r="V866" s="64">
        <f>Table1[[#This Row],[ActualHomeScore]]-Table1[[#This Row],[PredictedHomeScore]]</f>
        <v>0</v>
      </c>
      <c r="W866" s="64">
        <f>(0.8*IF(Table1[[#This Row],[CorrectWinnerPrediction]]=1, 1, 0))+(0.1*IF(Table1[[#This Row],[CorrectAwayScorePrediction]]=1, 1, 0))+(0.1*IF(Table1[[#This Row],[CorrectHomeScorePrediction]]=1, 1, 0))</f>
        <v>0</v>
      </c>
      <c r="X86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66" s="64">
        <f>SUMIF(Table1[GameDate], Table1[[#This Row],[GameDate]], Table1[AwayGameGoalDiff])</f>
        <v>0</v>
      </c>
      <c r="AA866" s="64">
        <f>SUMIF(Table1[GameDate], Table1[[#This Row],[GameDate]], Table1[HomeGameGoalDiff])</f>
        <v>0</v>
      </c>
      <c r="AB866" s="64">
        <f>IF(ISBLANK(Table1[[#This Row],[ActualResult]]), 0, 1)</f>
        <v>0</v>
      </c>
      <c r="AC866" s="64">
        <f>IF(ISBLANK(Table1[[#This Row],[ActualResult]]), 0, IF(Table1[[#This Row],[ActualWinner]]=Table1[[#This Row],[PredictedWinner]], 1, 0))</f>
        <v>0</v>
      </c>
      <c r="AD86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6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66" s="64">
        <f>IF(AND(Table1[[#This Row],[GameIsOver]]=1,Table1[[#This Row],[ActualAwayScore]]=0), 1,0)</f>
        <v>0</v>
      </c>
      <c r="AG866" s="64">
        <f>IF(AND(Table1[[#This Row],[GameIsOver]]=1,Table1[[#This Row],[ActualHomeScore]]=0), 1,0)</f>
        <v>0</v>
      </c>
      <c r="AH866" s="64">
        <f>IF(Table1[[#This Row],[GameIsOver]]=0,0,IF(Table1[[#This Row],[ActualWinner]]=Table1[[#This Row],[AwayTeam]], 1, 0))</f>
        <v>0</v>
      </c>
      <c r="AI866" s="64">
        <f>IF(Table1[[#This Row],[GameIsOver]]=0,0,IF(Table1[[#This Row],[ActualWinner]]=Table1[[#This Row],[HomeTeam]], 1, 0))</f>
        <v>0</v>
      </c>
      <c r="AJ866" s="64">
        <f>IF(INDEX(Standings!$A$2:$C$33,MATCH(Table1[[#This Row],[AwayTeam]],Standings!$A$2:$A$33,0),2)=INDEX(Standings!$A$2:$C$33,MATCH(Table1[[#This Row],[HomeTeam]],Standings!$A$2:$A$33,0),2),1,0)</f>
        <v>1</v>
      </c>
      <c r="AK866" s="64">
        <f>IF(INDEX(Standings!$A$2:$C$33,MATCH(Table1[[#This Row],[AwayTeam]],Standings!$A$2:$A$33,0),3)=INDEX(Standings!$A$2:$C$33,MATCH(Table1[[#This Row],[HomeTeam]],Standings!$A$2:$A$33,0),3),1,0)</f>
        <v>0</v>
      </c>
      <c r="AL866" s="64">
        <f>IF(Table1[[#This Row],[InterConf]]=1,IF(Table1[[#This Row],[InterDiv]]=0, 1, 0), 0)</f>
        <v>1</v>
      </c>
      <c r="AM866" s="64">
        <f>IF(INDEX(Standings!$A$2:$C$33,MATCH(Table1[[#This Row],[AwayTeam]],Standings!$A$2:$A$33,0),2)&lt;&gt;INDEX(Standings!$A$2:$C$33,MATCH(Table1[[#This Row],[HomeTeam]],Standings!$A$2:$A$33,0),2),1,0)</f>
        <v>0</v>
      </c>
      <c r="AN866" s="64" t="str">
        <f>INDEX(Table2[AWAY_RECORD], MATCH(Table1[[#This Row],[AwayTeam]],Table2[Team], 0), 0)</f>
        <v>0-0-1</v>
      </c>
      <c r="AO866" s="64" t="str">
        <f>INDEX(Records!$B$2:$AG$33, MATCH(Table1[[#This Row],[AwayTeam]],Records!$A$2:$A$33, 0), MATCH(Table1[[#This Row],[HomeTeam]],Records!$A$2:$A$33, 0))</f>
        <v>0-0-0</v>
      </c>
      <c r="AP866" s="64" t="str">
        <f>INDEX(Table2[HOME_RECORD], MATCH(Table1[[#This Row],[HomeTeam]],Table2[Team], 0), 0)</f>
        <v>0-0-0</v>
      </c>
      <c r="AQ866" s="64" t="str">
        <f>INDEX(Records!$B$2:$AG$33, MATCH(Table1[[#This Row],[HomeTeam]],Records!$A$2:$A$33, 0), MATCH(Table1[[#This Row],[AwayTeam]],Records!$A$2:$A$33, 0))</f>
        <v>0-0-0</v>
      </c>
    </row>
    <row r="867" spans="1:43" x14ac:dyDescent="0.25">
      <c r="A867" s="1"/>
      <c r="D867" t="s">
        <v>1170</v>
      </c>
      <c r="E867" t="s">
        <v>443</v>
      </c>
      <c r="F867" t="s">
        <v>1173</v>
      </c>
      <c r="G867" t="s">
        <v>49</v>
      </c>
      <c r="H867" t="s">
        <v>39</v>
      </c>
      <c r="L86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6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67" s="1"/>
      <c r="T867" s="64" t="str">
        <f>IF(Table1[[#This Row],[ActualWinner]]="", "", IF(Table1[[#This Row],[AwayTeam]]=Table1[[#This Row],[ActualWinner]],Table1[[#This Row],[HomeTeam]],Table1[[#This Row],[AwayTeam]]))</f>
        <v/>
      </c>
      <c r="U867" s="64">
        <f>Table1[[#This Row],[ActualAwayScore]]-Table1[[#This Row],[PredictedAwayScore]]</f>
        <v>0</v>
      </c>
      <c r="V867" s="64">
        <f>Table1[[#This Row],[ActualHomeScore]]-Table1[[#This Row],[PredictedHomeScore]]</f>
        <v>0</v>
      </c>
      <c r="W867" s="64">
        <f>(0.8*IF(Table1[[#This Row],[CorrectWinnerPrediction]]=1, 1, 0))+(0.1*IF(Table1[[#This Row],[CorrectAwayScorePrediction]]=1, 1, 0))+(0.1*IF(Table1[[#This Row],[CorrectHomeScorePrediction]]=1, 1, 0))</f>
        <v>0</v>
      </c>
      <c r="X86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67" s="64">
        <f>SUMIF(Table1[GameDate], Table1[[#This Row],[GameDate]], Table1[AwayGameGoalDiff])</f>
        <v>0</v>
      </c>
      <c r="AA867" s="64">
        <f>SUMIF(Table1[GameDate], Table1[[#This Row],[GameDate]], Table1[HomeGameGoalDiff])</f>
        <v>0</v>
      </c>
      <c r="AB867" s="64">
        <f>IF(ISBLANK(Table1[[#This Row],[ActualResult]]), 0, 1)</f>
        <v>0</v>
      </c>
      <c r="AC867" s="64">
        <f>IF(ISBLANK(Table1[[#This Row],[ActualResult]]), 0, IF(Table1[[#This Row],[ActualWinner]]=Table1[[#This Row],[PredictedWinner]], 1, 0))</f>
        <v>0</v>
      </c>
      <c r="AD86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6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67" s="64">
        <f>IF(AND(Table1[[#This Row],[GameIsOver]]=1,Table1[[#This Row],[ActualAwayScore]]=0), 1,0)</f>
        <v>0</v>
      </c>
      <c r="AG867" s="64">
        <f>IF(AND(Table1[[#This Row],[GameIsOver]]=1,Table1[[#This Row],[ActualHomeScore]]=0), 1,0)</f>
        <v>0</v>
      </c>
      <c r="AH867" s="64">
        <f>IF(Table1[[#This Row],[GameIsOver]]=0,0,IF(Table1[[#This Row],[ActualWinner]]=Table1[[#This Row],[AwayTeam]], 1, 0))</f>
        <v>0</v>
      </c>
      <c r="AI867" s="64">
        <f>IF(Table1[[#This Row],[GameIsOver]]=0,0,IF(Table1[[#This Row],[ActualWinner]]=Table1[[#This Row],[HomeTeam]], 1, 0))</f>
        <v>0</v>
      </c>
      <c r="AJ867" s="64">
        <f>IF(INDEX(Standings!$A$2:$C$33,MATCH(Table1[[#This Row],[AwayTeam]],Standings!$A$2:$A$33,0),2)=INDEX(Standings!$A$2:$C$33,MATCH(Table1[[#This Row],[HomeTeam]],Standings!$A$2:$A$33,0),2),1,0)</f>
        <v>0</v>
      </c>
      <c r="AK867" s="64">
        <f>IF(INDEX(Standings!$A$2:$C$33,MATCH(Table1[[#This Row],[AwayTeam]],Standings!$A$2:$A$33,0),3)=INDEX(Standings!$A$2:$C$33,MATCH(Table1[[#This Row],[HomeTeam]],Standings!$A$2:$A$33,0),3),1,0)</f>
        <v>0</v>
      </c>
      <c r="AL867" s="64">
        <f>IF(Table1[[#This Row],[InterConf]]=1,IF(Table1[[#This Row],[InterDiv]]=0, 1, 0), 0)</f>
        <v>0</v>
      </c>
      <c r="AM867" s="64">
        <f>IF(INDEX(Standings!$A$2:$C$33,MATCH(Table1[[#This Row],[AwayTeam]],Standings!$A$2:$A$33,0),2)&lt;&gt;INDEX(Standings!$A$2:$C$33,MATCH(Table1[[#This Row],[HomeTeam]],Standings!$A$2:$A$33,0),2),1,0)</f>
        <v>1</v>
      </c>
      <c r="AN867" s="64" t="str">
        <f>INDEX(Table2[AWAY_RECORD], MATCH(Table1[[#This Row],[AwayTeam]],Table2[Team], 0), 0)</f>
        <v>0-0-0</v>
      </c>
      <c r="AO867" s="64" t="str">
        <f>INDEX(Records!$B$2:$AG$33, MATCH(Table1[[#This Row],[AwayTeam]],Records!$A$2:$A$33, 0), MATCH(Table1[[#This Row],[HomeTeam]],Records!$A$2:$A$33, 0))</f>
        <v>0-0-0</v>
      </c>
      <c r="AP867" s="64" t="str">
        <f>INDEX(Table2[HOME_RECORD], MATCH(Table1[[#This Row],[HomeTeam]],Table2[Team], 0), 0)</f>
        <v>0-1-0</v>
      </c>
      <c r="AQ867" s="64" t="str">
        <f>INDEX(Records!$B$2:$AG$33, MATCH(Table1[[#This Row],[HomeTeam]],Records!$A$2:$A$33, 0), MATCH(Table1[[#This Row],[AwayTeam]],Records!$A$2:$A$33, 0))</f>
        <v>0-0-0</v>
      </c>
    </row>
    <row r="868" spans="1:43" x14ac:dyDescent="0.25">
      <c r="A868" s="1"/>
      <c r="D868" t="s">
        <v>1170</v>
      </c>
      <c r="E868" t="s">
        <v>158</v>
      </c>
      <c r="F868" t="s">
        <v>1174</v>
      </c>
      <c r="G868" t="s">
        <v>16</v>
      </c>
      <c r="H868" t="s">
        <v>55</v>
      </c>
      <c r="L86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6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68" s="1"/>
      <c r="T868" s="64" t="str">
        <f>IF(Table1[[#This Row],[ActualWinner]]="", "", IF(Table1[[#This Row],[AwayTeam]]=Table1[[#This Row],[ActualWinner]],Table1[[#This Row],[HomeTeam]],Table1[[#This Row],[AwayTeam]]))</f>
        <v/>
      </c>
      <c r="U868" s="64">
        <f>Table1[[#This Row],[ActualAwayScore]]-Table1[[#This Row],[PredictedAwayScore]]</f>
        <v>0</v>
      </c>
      <c r="V868" s="64">
        <f>Table1[[#This Row],[ActualHomeScore]]-Table1[[#This Row],[PredictedHomeScore]]</f>
        <v>0</v>
      </c>
      <c r="W868" s="64">
        <f>(0.8*IF(Table1[[#This Row],[CorrectWinnerPrediction]]=1, 1, 0))+(0.1*IF(Table1[[#This Row],[CorrectAwayScorePrediction]]=1, 1, 0))+(0.1*IF(Table1[[#This Row],[CorrectHomeScorePrediction]]=1, 1, 0))</f>
        <v>0</v>
      </c>
      <c r="X86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68" s="64">
        <f>SUMIF(Table1[GameDate], Table1[[#This Row],[GameDate]], Table1[AwayGameGoalDiff])</f>
        <v>0</v>
      </c>
      <c r="AA868" s="64">
        <f>SUMIF(Table1[GameDate], Table1[[#This Row],[GameDate]], Table1[HomeGameGoalDiff])</f>
        <v>0</v>
      </c>
      <c r="AB868" s="64">
        <f>IF(ISBLANK(Table1[[#This Row],[ActualResult]]), 0, 1)</f>
        <v>0</v>
      </c>
      <c r="AC868" s="64">
        <f>IF(ISBLANK(Table1[[#This Row],[ActualResult]]), 0, IF(Table1[[#This Row],[ActualWinner]]=Table1[[#This Row],[PredictedWinner]], 1, 0))</f>
        <v>0</v>
      </c>
      <c r="AD86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6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68" s="64">
        <f>IF(AND(Table1[[#This Row],[GameIsOver]]=1,Table1[[#This Row],[ActualAwayScore]]=0), 1,0)</f>
        <v>0</v>
      </c>
      <c r="AG868" s="64">
        <f>IF(AND(Table1[[#This Row],[GameIsOver]]=1,Table1[[#This Row],[ActualHomeScore]]=0), 1,0)</f>
        <v>0</v>
      </c>
      <c r="AH868" s="64">
        <f>IF(Table1[[#This Row],[GameIsOver]]=0,0,IF(Table1[[#This Row],[ActualWinner]]=Table1[[#This Row],[AwayTeam]], 1, 0))</f>
        <v>0</v>
      </c>
      <c r="AI868" s="64">
        <f>IF(Table1[[#This Row],[GameIsOver]]=0,0,IF(Table1[[#This Row],[ActualWinner]]=Table1[[#This Row],[HomeTeam]], 1, 0))</f>
        <v>0</v>
      </c>
      <c r="AJ868" s="64">
        <f>IF(INDEX(Standings!$A$2:$C$33,MATCH(Table1[[#This Row],[AwayTeam]],Standings!$A$2:$A$33,0),2)=INDEX(Standings!$A$2:$C$33,MATCH(Table1[[#This Row],[HomeTeam]],Standings!$A$2:$A$33,0),2),1,0)</f>
        <v>1</v>
      </c>
      <c r="AK868" s="64">
        <f>IF(INDEX(Standings!$A$2:$C$33,MATCH(Table1[[#This Row],[AwayTeam]],Standings!$A$2:$A$33,0),3)=INDEX(Standings!$A$2:$C$33,MATCH(Table1[[#This Row],[HomeTeam]],Standings!$A$2:$A$33,0),3),1,0)</f>
        <v>0</v>
      </c>
      <c r="AL868" s="64">
        <f>IF(Table1[[#This Row],[InterConf]]=1,IF(Table1[[#This Row],[InterDiv]]=0, 1, 0), 0)</f>
        <v>1</v>
      </c>
      <c r="AM868" s="64">
        <f>IF(INDEX(Standings!$A$2:$C$33,MATCH(Table1[[#This Row],[AwayTeam]],Standings!$A$2:$A$33,0),2)&lt;&gt;INDEX(Standings!$A$2:$C$33,MATCH(Table1[[#This Row],[HomeTeam]],Standings!$A$2:$A$33,0),2),1,0)</f>
        <v>0</v>
      </c>
      <c r="AN868" s="64" t="str">
        <f>INDEX(Table2[AWAY_RECORD], MATCH(Table1[[#This Row],[AwayTeam]],Table2[Team], 0), 0)</f>
        <v>1-0-1</v>
      </c>
      <c r="AO868" s="64" t="str">
        <f>INDEX(Records!$B$2:$AG$33, MATCH(Table1[[#This Row],[AwayTeam]],Records!$A$2:$A$33, 0), MATCH(Table1[[#This Row],[HomeTeam]],Records!$A$2:$A$33, 0))</f>
        <v>0-0-0</v>
      </c>
      <c r="AP868" s="64" t="str">
        <f>INDEX(Table2[HOME_RECORD], MATCH(Table1[[#This Row],[HomeTeam]],Table2[Team], 0), 0)</f>
        <v>0-1-0</v>
      </c>
      <c r="AQ868" s="64" t="str">
        <f>INDEX(Records!$B$2:$AG$33, MATCH(Table1[[#This Row],[HomeTeam]],Records!$A$2:$A$33, 0), MATCH(Table1[[#This Row],[AwayTeam]],Records!$A$2:$A$33, 0))</f>
        <v>0-0-0</v>
      </c>
    </row>
    <row r="869" spans="1:43" x14ac:dyDescent="0.25">
      <c r="A869" s="1"/>
      <c r="D869" t="s">
        <v>1170</v>
      </c>
      <c r="E869" t="s">
        <v>207</v>
      </c>
      <c r="F869" t="s">
        <v>1175</v>
      </c>
      <c r="G869" t="s">
        <v>38</v>
      </c>
      <c r="H869" t="s">
        <v>41</v>
      </c>
      <c r="L86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6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69" s="1"/>
      <c r="T869" s="64" t="str">
        <f>IF(Table1[[#This Row],[ActualWinner]]="", "", IF(Table1[[#This Row],[AwayTeam]]=Table1[[#This Row],[ActualWinner]],Table1[[#This Row],[HomeTeam]],Table1[[#This Row],[AwayTeam]]))</f>
        <v/>
      </c>
      <c r="U869" s="64">
        <f>Table1[[#This Row],[ActualAwayScore]]-Table1[[#This Row],[PredictedAwayScore]]</f>
        <v>0</v>
      </c>
      <c r="V869" s="64">
        <f>Table1[[#This Row],[ActualHomeScore]]-Table1[[#This Row],[PredictedHomeScore]]</f>
        <v>0</v>
      </c>
      <c r="W869" s="64">
        <f>(0.8*IF(Table1[[#This Row],[CorrectWinnerPrediction]]=1, 1, 0))+(0.1*IF(Table1[[#This Row],[CorrectAwayScorePrediction]]=1, 1, 0))+(0.1*IF(Table1[[#This Row],[CorrectHomeScorePrediction]]=1, 1, 0))</f>
        <v>0</v>
      </c>
      <c r="X86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69" s="64">
        <f>SUMIF(Table1[GameDate], Table1[[#This Row],[GameDate]], Table1[AwayGameGoalDiff])</f>
        <v>0</v>
      </c>
      <c r="AA869" s="64">
        <f>SUMIF(Table1[GameDate], Table1[[#This Row],[GameDate]], Table1[HomeGameGoalDiff])</f>
        <v>0</v>
      </c>
      <c r="AB869" s="64">
        <f>IF(ISBLANK(Table1[[#This Row],[ActualResult]]), 0, 1)</f>
        <v>0</v>
      </c>
      <c r="AC869" s="64">
        <f>IF(ISBLANK(Table1[[#This Row],[ActualResult]]), 0, IF(Table1[[#This Row],[ActualWinner]]=Table1[[#This Row],[PredictedWinner]], 1, 0))</f>
        <v>0</v>
      </c>
      <c r="AD86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6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69" s="64">
        <f>IF(AND(Table1[[#This Row],[GameIsOver]]=1,Table1[[#This Row],[ActualAwayScore]]=0), 1,0)</f>
        <v>0</v>
      </c>
      <c r="AG869" s="64">
        <f>IF(AND(Table1[[#This Row],[GameIsOver]]=1,Table1[[#This Row],[ActualHomeScore]]=0), 1,0)</f>
        <v>0</v>
      </c>
      <c r="AH869" s="64">
        <f>IF(Table1[[#This Row],[GameIsOver]]=0,0,IF(Table1[[#This Row],[ActualWinner]]=Table1[[#This Row],[AwayTeam]], 1, 0))</f>
        <v>0</v>
      </c>
      <c r="AI869" s="64">
        <f>IF(Table1[[#This Row],[GameIsOver]]=0,0,IF(Table1[[#This Row],[ActualWinner]]=Table1[[#This Row],[HomeTeam]], 1, 0))</f>
        <v>0</v>
      </c>
      <c r="AJ869" s="64">
        <f>IF(INDEX(Standings!$A$2:$C$33,MATCH(Table1[[#This Row],[AwayTeam]],Standings!$A$2:$A$33,0),2)=INDEX(Standings!$A$2:$C$33,MATCH(Table1[[#This Row],[HomeTeam]],Standings!$A$2:$A$33,0),2),1,0)</f>
        <v>0</v>
      </c>
      <c r="AK869" s="64">
        <f>IF(INDEX(Standings!$A$2:$C$33,MATCH(Table1[[#This Row],[AwayTeam]],Standings!$A$2:$A$33,0),3)=INDEX(Standings!$A$2:$C$33,MATCH(Table1[[#This Row],[HomeTeam]],Standings!$A$2:$A$33,0),3),1,0)</f>
        <v>0</v>
      </c>
      <c r="AL869" s="64">
        <f>IF(Table1[[#This Row],[InterConf]]=1,IF(Table1[[#This Row],[InterDiv]]=0, 1, 0), 0)</f>
        <v>0</v>
      </c>
      <c r="AM869" s="64">
        <f>IF(INDEX(Standings!$A$2:$C$33,MATCH(Table1[[#This Row],[AwayTeam]],Standings!$A$2:$A$33,0),2)&lt;&gt;INDEX(Standings!$A$2:$C$33,MATCH(Table1[[#This Row],[HomeTeam]],Standings!$A$2:$A$33,0),2),1,0)</f>
        <v>1</v>
      </c>
      <c r="AN869" s="64" t="str">
        <f>INDEX(Table2[AWAY_RECORD], MATCH(Table1[[#This Row],[AwayTeam]],Table2[Team], 0), 0)</f>
        <v>0-0-1</v>
      </c>
      <c r="AO869" s="64" t="str">
        <f>INDEX(Records!$B$2:$AG$33, MATCH(Table1[[#This Row],[AwayTeam]],Records!$A$2:$A$33, 0), MATCH(Table1[[#This Row],[HomeTeam]],Records!$A$2:$A$33, 0))</f>
        <v>0-0-0</v>
      </c>
      <c r="AP869" s="64" t="str">
        <f>INDEX(Table2[HOME_RECORD], MATCH(Table1[[#This Row],[HomeTeam]],Table2[Team], 0), 0)</f>
        <v>0-0-1</v>
      </c>
      <c r="AQ869" s="64" t="str">
        <f>INDEX(Records!$B$2:$AG$33, MATCH(Table1[[#This Row],[HomeTeam]],Records!$A$2:$A$33, 0), MATCH(Table1[[#This Row],[AwayTeam]],Records!$A$2:$A$33, 0))</f>
        <v>0-0-0</v>
      </c>
    </row>
    <row r="870" spans="1:43" x14ac:dyDescent="0.25">
      <c r="A870" s="1"/>
      <c r="D870" t="s">
        <v>1170</v>
      </c>
      <c r="E870" t="s">
        <v>162</v>
      </c>
      <c r="F870" t="s">
        <v>1176</v>
      </c>
      <c r="G870" t="s">
        <v>24</v>
      </c>
      <c r="H870" t="s">
        <v>37</v>
      </c>
      <c r="L87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7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70" s="1"/>
      <c r="T870" s="64" t="str">
        <f>IF(Table1[[#This Row],[ActualWinner]]="", "", IF(Table1[[#This Row],[AwayTeam]]=Table1[[#This Row],[ActualWinner]],Table1[[#This Row],[HomeTeam]],Table1[[#This Row],[AwayTeam]]))</f>
        <v/>
      </c>
      <c r="U870" s="64">
        <f>Table1[[#This Row],[ActualAwayScore]]-Table1[[#This Row],[PredictedAwayScore]]</f>
        <v>0</v>
      </c>
      <c r="V870" s="64">
        <f>Table1[[#This Row],[ActualHomeScore]]-Table1[[#This Row],[PredictedHomeScore]]</f>
        <v>0</v>
      </c>
      <c r="W870" s="64">
        <f>(0.8*IF(Table1[[#This Row],[CorrectWinnerPrediction]]=1, 1, 0))+(0.1*IF(Table1[[#This Row],[CorrectAwayScorePrediction]]=1, 1, 0))+(0.1*IF(Table1[[#This Row],[CorrectHomeScorePrediction]]=1, 1, 0))</f>
        <v>0</v>
      </c>
      <c r="X87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70" s="64">
        <f>SUMIF(Table1[GameDate], Table1[[#This Row],[GameDate]], Table1[AwayGameGoalDiff])</f>
        <v>0</v>
      </c>
      <c r="AA870" s="64">
        <f>SUMIF(Table1[GameDate], Table1[[#This Row],[GameDate]], Table1[HomeGameGoalDiff])</f>
        <v>0</v>
      </c>
      <c r="AB870" s="64">
        <f>IF(ISBLANK(Table1[[#This Row],[ActualResult]]), 0, 1)</f>
        <v>0</v>
      </c>
      <c r="AC870" s="64">
        <f>IF(ISBLANK(Table1[[#This Row],[ActualResult]]), 0, IF(Table1[[#This Row],[ActualWinner]]=Table1[[#This Row],[PredictedWinner]], 1, 0))</f>
        <v>0</v>
      </c>
      <c r="AD87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7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70" s="64">
        <f>IF(AND(Table1[[#This Row],[GameIsOver]]=1,Table1[[#This Row],[ActualAwayScore]]=0), 1,0)</f>
        <v>0</v>
      </c>
      <c r="AG870" s="64">
        <f>IF(AND(Table1[[#This Row],[GameIsOver]]=1,Table1[[#This Row],[ActualHomeScore]]=0), 1,0)</f>
        <v>0</v>
      </c>
      <c r="AH870" s="64">
        <f>IF(Table1[[#This Row],[GameIsOver]]=0,0,IF(Table1[[#This Row],[ActualWinner]]=Table1[[#This Row],[AwayTeam]], 1, 0))</f>
        <v>0</v>
      </c>
      <c r="AI870" s="64">
        <f>IF(Table1[[#This Row],[GameIsOver]]=0,0,IF(Table1[[#This Row],[ActualWinner]]=Table1[[#This Row],[HomeTeam]], 1, 0))</f>
        <v>0</v>
      </c>
      <c r="AJ870" s="64">
        <f>IF(INDEX(Standings!$A$2:$C$33,MATCH(Table1[[#This Row],[AwayTeam]],Standings!$A$2:$A$33,0),2)=INDEX(Standings!$A$2:$C$33,MATCH(Table1[[#This Row],[HomeTeam]],Standings!$A$2:$A$33,0),2),1,0)</f>
        <v>1</v>
      </c>
      <c r="AK870" s="64">
        <f>IF(INDEX(Standings!$A$2:$C$33,MATCH(Table1[[#This Row],[AwayTeam]],Standings!$A$2:$A$33,0),3)=INDEX(Standings!$A$2:$C$33,MATCH(Table1[[#This Row],[HomeTeam]],Standings!$A$2:$A$33,0),3),1,0)</f>
        <v>1</v>
      </c>
      <c r="AL870" s="64">
        <f>IF(Table1[[#This Row],[InterConf]]=1,IF(Table1[[#This Row],[InterDiv]]=0, 1, 0), 0)</f>
        <v>0</v>
      </c>
      <c r="AM870" s="64">
        <f>IF(INDEX(Standings!$A$2:$C$33,MATCH(Table1[[#This Row],[AwayTeam]],Standings!$A$2:$A$33,0),2)&lt;&gt;INDEX(Standings!$A$2:$C$33,MATCH(Table1[[#This Row],[HomeTeam]],Standings!$A$2:$A$33,0),2),1,0)</f>
        <v>0</v>
      </c>
      <c r="AN870" s="64" t="str">
        <f>INDEX(Table2[AWAY_RECORD], MATCH(Table1[[#This Row],[AwayTeam]],Table2[Team], 0), 0)</f>
        <v>0-0-0</v>
      </c>
      <c r="AO870" s="64" t="str">
        <f>INDEX(Records!$B$2:$AG$33, MATCH(Table1[[#This Row],[AwayTeam]],Records!$A$2:$A$33, 0), MATCH(Table1[[#This Row],[HomeTeam]],Records!$A$2:$A$33, 0))</f>
        <v>0-0-0</v>
      </c>
      <c r="AP870" s="64" t="str">
        <f>INDEX(Table2[HOME_RECORD], MATCH(Table1[[#This Row],[HomeTeam]],Table2[Team], 0), 0)</f>
        <v>0-1-0</v>
      </c>
      <c r="AQ870" s="64" t="str">
        <f>INDEX(Records!$B$2:$AG$33, MATCH(Table1[[#This Row],[HomeTeam]],Records!$A$2:$A$33, 0), MATCH(Table1[[#This Row],[AwayTeam]],Records!$A$2:$A$33, 0))</f>
        <v>0-0-0</v>
      </c>
    </row>
    <row r="871" spans="1:43" x14ac:dyDescent="0.25">
      <c r="A871" s="1"/>
      <c r="D871" t="s">
        <v>1170</v>
      </c>
      <c r="E871" t="s">
        <v>162</v>
      </c>
      <c r="F871" t="s">
        <v>1177</v>
      </c>
      <c r="G871" t="s">
        <v>51</v>
      </c>
      <c r="H871" t="s">
        <v>52</v>
      </c>
      <c r="L87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7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71" s="1"/>
      <c r="T871" s="64" t="str">
        <f>IF(Table1[[#This Row],[ActualWinner]]="", "", IF(Table1[[#This Row],[AwayTeam]]=Table1[[#This Row],[ActualWinner]],Table1[[#This Row],[HomeTeam]],Table1[[#This Row],[AwayTeam]]))</f>
        <v/>
      </c>
      <c r="U871" s="64">
        <f>Table1[[#This Row],[ActualAwayScore]]-Table1[[#This Row],[PredictedAwayScore]]</f>
        <v>0</v>
      </c>
      <c r="V871" s="64">
        <f>Table1[[#This Row],[ActualHomeScore]]-Table1[[#This Row],[PredictedHomeScore]]</f>
        <v>0</v>
      </c>
      <c r="W871" s="64">
        <f>(0.8*IF(Table1[[#This Row],[CorrectWinnerPrediction]]=1, 1, 0))+(0.1*IF(Table1[[#This Row],[CorrectAwayScorePrediction]]=1, 1, 0))+(0.1*IF(Table1[[#This Row],[CorrectHomeScorePrediction]]=1, 1, 0))</f>
        <v>0</v>
      </c>
      <c r="X87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71" s="64">
        <f>SUMIF(Table1[GameDate], Table1[[#This Row],[GameDate]], Table1[AwayGameGoalDiff])</f>
        <v>0</v>
      </c>
      <c r="AA871" s="64">
        <f>SUMIF(Table1[GameDate], Table1[[#This Row],[GameDate]], Table1[HomeGameGoalDiff])</f>
        <v>0</v>
      </c>
      <c r="AB871" s="64">
        <f>IF(ISBLANK(Table1[[#This Row],[ActualResult]]), 0, 1)</f>
        <v>0</v>
      </c>
      <c r="AC871" s="64">
        <f>IF(ISBLANK(Table1[[#This Row],[ActualResult]]), 0, IF(Table1[[#This Row],[ActualWinner]]=Table1[[#This Row],[PredictedWinner]], 1, 0))</f>
        <v>0</v>
      </c>
      <c r="AD87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7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71" s="64">
        <f>IF(AND(Table1[[#This Row],[GameIsOver]]=1,Table1[[#This Row],[ActualAwayScore]]=0), 1,0)</f>
        <v>0</v>
      </c>
      <c r="AG871" s="64">
        <f>IF(AND(Table1[[#This Row],[GameIsOver]]=1,Table1[[#This Row],[ActualHomeScore]]=0), 1,0)</f>
        <v>0</v>
      </c>
      <c r="AH871" s="64">
        <f>IF(Table1[[#This Row],[GameIsOver]]=0,0,IF(Table1[[#This Row],[ActualWinner]]=Table1[[#This Row],[AwayTeam]], 1, 0))</f>
        <v>0</v>
      </c>
      <c r="AI871" s="64">
        <f>IF(Table1[[#This Row],[GameIsOver]]=0,0,IF(Table1[[#This Row],[ActualWinner]]=Table1[[#This Row],[HomeTeam]], 1, 0))</f>
        <v>0</v>
      </c>
      <c r="AJ871" s="64">
        <f>IF(INDEX(Standings!$A$2:$C$33,MATCH(Table1[[#This Row],[AwayTeam]],Standings!$A$2:$A$33,0),2)=INDEX(Standings!$A$2:$C$33,MATCH(Table1[[#This Row],[HomeTeam]],Standings!$A$2:$A$33,0),2),1,0)</f>
        <v>1</v>
      </c>
      <c r="AK871" s="64">
        <f>IF(INDEX(Standings!$A$2:$C$33,MATCH(Table1[[#This Row],[AwayTeam]],Standings!$A$2:$A$33,0),3)=INDEX(Standings!$A$2:$C$33,MATCH(Table1[[#This Row],[HomeTeam]],Standings!$A$2:$A$33,0),3),1,0)</f>
        <v>0</v>
      </c>
      <c r="AL871" s="64">
        <f>IF(Table1[[#This Row],[InterConf]]=1,IF(Table1[[#This Row],[InterDiv]]=0, 1, 0), 0)</f>
        <v>1</v>
      </c>
      <c r="AM871" s="64">
        <f>IF(INDEX(Standings!$A$2:$C$33,MATCH(Table1[[#This Row],[AwayTeam]],Standings!$A$2:$A$33,0),2)&lt;&gt;INDEX(Standings!$A$2:$C$33,MATCH(Table1[[#This Row],[HomeTeam]],Standings!$A$2:$A$33,0),2),1,0)</f>
        <v>0</v>
      </c>
      <c r="AN871" s="64" t="str">
        <f>INDEX(Table2[AWAY_RECORD], MATCH(Table1[[#This Row],[AwayTeam]],Table2[Team], 0), 0)</f>
        <v>2-0-0</v>
      </c>
      <c r="AO871" s="64" t="str">
        <f>INDEX(Records!$B$2:$AG$33, MATCH(Table1[[#This Row],[AwayTeam]],Records!$A$2:$A$33, 0), MATCH(Table1[[#This Row],[HomeTeam]],Records!$A$2:$A$33, 0))</f>
        <v>0-0-0</v>
      </c>
      <c r="AP871" s="64" t="str">
        <f>INDEX(Table2[HOME_RECORD], MATCH(Table1[[#This Row],[HomeTeam]],Table2[Team], 0), 0)</f>
        <v>0-0-0</v>
      </c>
      <c r="AQ871" s="64" t="str">
        <f>INDEX(Records!$B$2:$AG$33, MATCH(Table1[[#This Row],[HomeTeam]],Records!$A$2:$A$33, 0), MATCH(Table1[[#This Row],[AwayTeam]],Records!$A$2:$A$33, 0))</f>
        <v>0-0-0</v>
      </c>
    </row>
    <row r="872" spans="1:43" x14ac:dyDescent="0.25">
      <c r="A872" s="1"/>
      <c r="D872" t="s">
        <v>1170</v>
      </c>
      <c r="E872" t="s">
        <v>162</v>
      </c>
      <c r="F872" t="s">
        <v>1178</v>
      </c>
      <c r="G872" t="s">
        <v>50</v>
      </c>
      <c r="H872" t="s">
        <v>57</v>
      </c>
      <c r="L87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7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72" s="1"/>
      <c r="T872" s="64" t="str">
        <f>IF(Table1[[#This Row],[ActualWinner]]="", "", IF(Table1[[#This Row],[AwayTeam]]=Table1[[#This Row],[ActualWinner]],Table1[[#This Row],[HomeTeam]],Table1[[#This Row],[AwayTeam]]))</f>
        <v/>
      </c>
      <c r="U872" s="64">
        <f>Table1[[#This Row],[ActualAwayScore]]-Table1[[#This Row],[PredictedAwayScore]]</f>
        <v>0</v>
      </c>
      <c r="V872" s="64">
        <f>Table1[[#This Row],[ActualHomeScore]]-Table1[[#This Row],[PredictedHomeScore]]</f>
        <v>0</v>
      </c>
      <c r="W872" s="64">
        <f>(0.8*IF(Table1[[#This Row],[CorrectWinnerPrediction]]=1, 1, 0))+(0.1*IF(Table1[[#This Row],[CorrectAwayScorePrediction]]=1, 1, 0))+(0.1*IF(Table1[[#This Row],[CorrectHomeScorePrediction]]=1, 1, 0))</f>
        <v>0</v>
      </c>
      <c r="X87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72" s="64">
        <f>SUMIF(Table1[GameDate], Table1[[#This Row],[GameDate]], Table1[AwayGameGoalDiff])</f>
        <v>0</v>
      </c>
      <c r="AA872" s="64">
        <f>SUMIF(Table1[GameDate], Table1[[#This Row],[GameDate]], Table1[HomeGameGoalDiff])</f>
        <v>0</v>
      </c>
      <c r="AB872" s="64">
        <f>IF(ISBLANK(Table1[[#This Row],[ActualResult]]), 0, 1)</f>
        <v>0</v>
      </c>
      <c r="AC872" s="64">
        <f>IF(ISBLANK(Table1[[#This Row],[ActualResult]]), 0, IF(Table1[[#This Row],[ActualWinner]]=Table1[[#This Row],[PredictedWinner]], 1, 0))</f>
        <v>0</v>
      </c>
      <c r="AD87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7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72" s="64">
        <f>IF(AND(Table1[[#This Row],[GameIsOver]]=1,Table1[[#This Row],[ActualAwayScore]]=0), 1,0)</f>
        <v>0</v>
      </c>
      <c r="AG872" s="64">
        <f>IF(AND(Table1[[#This Row],[GameIsOver]]=1,Table1[[#This Row],[ActualHomeScore]]=0), 1,0)</f>
        <v>0</v>
      </c>
      <c r="AH872" s="64">
        <f>IF(Table1[[#This Row],[GameIsOver]]=0,0,IF(Table1[[#This Row],[ActualWinner]]=Table1[[#This Row],[AwayTeam]], 1, 0))</f>
        <v>0</v>
      </c>
      <c r="AI872" s="64">
        <f>IF(Table1[[#This Row],[GameIsOver]]=0,0,IF(Table1[[#This Row],[ActualWinner]]=Table1[[#This Row],[HomeTeam]], 1, 0))</f>
        <v>0</v>
      </c>
      <c r="AJ872" s="64">
        <f>IF(INDEX(Standings!$A$2:$C$33,MATCH(Table1[[#This Row],[AwayTeam]],Standings!$A$2:$A$33,0),2)=INDEX(Standings!$A$2:$C$33,MATCH(Table1[[#This Row],[HomeTeam]],Standings!$A$2:$A$33,0),2),1,0)</f>
        <v>1</v>
      </c>
      <c r="AK872" s="64">
        <f>IF(INDEX(Standings!$A$2:$C$33,MATCH(Table1[[#This Row],[AwayTeam]],Standings!$A$2:$A$33,0),3)=INDEX(Standings!$A$2:$C$33,MATCH(Table1[[#This Row],[HomeTeam]],Standings!$A$2:$A$33,0),3),1,0)</f>
        <v>0</v>
      </c>
      <c r="AL872" s="64">
        <f>IF(Table1[[#This Row],[InterConf]]=1,IF(Table1[[#This Row],[InterDiv]]=0, 1, 0), 0)</f>
        <v>1</v>
      </c>
      <c r="AM872" s="64">
        <f>IF(INDEX(Standings!$A$2:$C$33,MATCH(Table1[[#This Row],[AwayTeam]],Standings!$A$2:$A$33,0),2)&lt;&gt;INDEX(Standings!$A$2:$C$33,MATCH(Table1[[#This Row],[HomeTeam]],Standings!$A$2:$A$33,0),2),1,0)</f>
        <v>0</v>
      </c>
      <c r="AN872" s="64" t="str">
        <f>INDEX(Table2[AWAY_RECORD], MATCH(Table1[[#This Row],[AwayTeam]],Table2[Team], 0), 0)</f>
        <v>1-0-0</v>
      </c>
      <c r="AO872" s="64" t="str">
        <f>INDEX(Records!$B$2:$AG$33, MATCH(Table1[[#This Row],[AwayTeam]],Records!$A$2:$A$33, 0), MATCH(Table1[[#This Row],[HomeTeam]],Records!$A$2:$A$33, 0))</f>
        <v>0-0-0</v>
      </c>
      <c r="AP872" s="64" t="str">
        <f>INDEX(Table2[HOME_RECORD], MATCH(Table1[[#This Row],[HomeTeam]],Table2[Team], 0), 0)</f>
        <v>0-0-0</v>
      </c>
      <c r="AQ872" s="64" t="str">
        <f>INDEX(Records!$B$2:$AG$33, MATCH(Table1[[#This Row],[HomeTeam]],Records!$A$2:$A$33, 0), MATCH(Table1[[#This Row],[AwayTeam]],Records!$A$2:$A$33, 0))</f>
        <v>0-0-0</v>
      </c>
    </row>
    <row r="873" spans="1:43" x14ac:dyDescent="0.25">
      <c r="A873" s="1"/>
      <c r="D873" t="s">
        <v>1170</v>
      </c>
      <c r="E873" t="s">
        <v>162</v>
      </c>
      <c r="F873" t="s">
        <v>1179</v>
      </c>
      <c r="G873" t="s">
        <v>46</v>
      </c>
      <c r="H873" t="s">
        <v>40</v>
      </c>
      <c r="L87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7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73" s="1"/>
      <c r="T873" s="64" t="str">
        <f>IF(Table1[[#This Row],[ActualWinner]]="", "", IF(Table1[[#This Row],[AwayTeam]]=Table1[[#This Row],[ActualWinner]],Table1[[#This Row],[HomeTeam]],Table1[[#This Row],[AwayTeam]]))</f>
        <v/>
      </c>
      <c r="U873" s="64">
        <f>Table1[[#This Row],[ActualAwayScore]]-Table1[[#This Row],[PredictedAwayScore]]</f>
        <v>0</v>
      </c>
      <c r="V873" s="64">
        <f>Table1[[#This Row],[ActualHomeScore]]-Table1[[#This Row],[PredictedHomeScore]]</f>
        <v>0</v>
      </c>
      <c r="W873" s="64">
        <f>(0.8*IF(Table1[[#This Row],[CorrectWinnerPrediction]]=1, 1, 0))+(0.1*IF(Table1[[#This Row],[CorrectAwayScorePrediction]]=1, 1, 0))+(0.1*IF(Table1[[#This Row],[CorrectHomeScorePrediction]]=1, 1, 0))</f>
        <v>0</v>
      </c>
      <c r="X87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73" s="64">
        <f>SUMIF(Table1[GameDate], Table1[[#This Row],[GameDate]], Table1[AwayGameGoalDiff])</f>
        <v>0</v>
      </c>
      <c r="AA873" s="64">
        <f>SUMIF(Table1[GameDate], Table1[[#This Row],[GameDate]], Table1[HomeGameGoalDiff])</f>
        <v>0</v>
      </c>
      <c r="AB873" s="64">
        <f>IF(ISBLANK(Table1[[#This Row],[ActualResult]]), 0, 1)</f>
        <v>0</v>
      </c>
      <c r="AC873" s="64">
        <f>IF(ISBLANK(Table1[[#This Row],[ActualResult]]), 0, IF(Table1[[#This Row],[ActualWinner]]=Table1[[#This Row],[PredictedWinner]], 1, 0))</f>
        <v>0</v>
      </c>
      <c r="AD87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7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73" s="64">
        <f>IF(AND(Table1[[#This Row],[GameIsOver]]=1,Table1[[#This Row],[ActualAwayScore]]=0), 1,0)</f>
        <v>0</v>
      </c>
      <c r="AG873" s="64">
        <f>IF(AND(Table1[[#This Row],[GameIsOver]]=1,Table1[[#This Row],[ActualHomeScore]]=0), 1,0)</f>
        <v>0</v>
      </c>
      <c r="AH873" s="64">
        <f>IF(Table1[[#This Row],[GameIsOver]]=0,0,IF(Table1[[#This Row],[ActualWinner]]=Table1[[#This Row],[AwayTeam]], 1, 0))</f>
        <v>0</v>
      </c>
      <c r="AI873" s="64">
        <f>IF(Table1[[#This Row],[GameIsOver]]=0,0,IF(Table1[[#This Row],[ActualWinner]]=Table1[[#This Row],[HomeTeam]], 1, 0))</f>
        <v>0</v>
      </c>
      <c r="AJ873" s="64">
        <f>IF(INDEX(Standings!$A$2:$C$33,MATCH(Table1[[#This Row],[AwayTeam]],Standings!$A$2:$A$33,0),2)=INDEX(Standings!$A$2:$C$33,MATCH(Table1[[#This Row],[HomeTeam]],Standings!$A$2:$A$33,0),2),1,0)</f>
        <v>0</v>
      </c>
      <c r="AK873" s="64">
        <f>IF(INDEX(Standings!$A$2:$C$33,MATCH(Table1[[#This Row],[AwayTeam]],Standings!$A$2:$A$33,0),3)=INDEX(Standings!$A$2:$C$33,MATCH(Table1[[#This Row],[HomeTeam]],Standings!$A$2:$A$33,0),3),1,0)</f>
        <v>0</v>
      </c>
      <c r="AL873" s="64">
        <f>IF(Table1[[#This Row],[InterConf]]=1,IF(Table1[[#This Row],[InterDiv]]=0, 1, 0), 0)</f>
        <v>0</v>
      </c>
      <c r="AM873" s="64">
        <f>IF(INDEX(Standings!$A$2:$C$33,MATCH(Table1[[#This Row],[AwayTeam]],Standings!$A$2:$A$33,0),2)&lt;&gt;INDEX(Standings!$A$2:$C$33,MATCH(Table1[[#This Row],[HomeTeam]],Standings!$A$2:$A$33,0),2),1,0)</f>
        <v>1</v>
      </c>
      <c r="AN873" s="64" t="str">
        <f>INDEX(Table2[AWAY_RECORD], MATCH(Table1[[#This Row],[AwayTeam]],Table2[Team], 0), 0)</f>
        <v>1-0-0</v>
      </c>
      <c r="AO873" s="64" t="str">
        <f>INDEX(Records!$B$2:$AG$33, MATCH(Table1[[#This Row],[AwayTeam]],Records!$A$2:$A$33, 0), MATCH(Table1[[#This Row],[HomeTeam]],Records!$A$2:$A$33, 0))</f>
        <v>0-0-0</v>
      </c>
      <c r="AP873" s="64" t="str">
        <f>INDEX(Table2[HOME_RECORD], MATCH(Table1[[#This Row],[HomeTeam]],Table2[Team], 0), 0)</f>
        <v>1-1-0</v>
      </c>
      <c r="AQ873" s="64" t="str">
        <f>INDEX(Records!$B$2:$AG$33, MATCH(Table1[[#This Row],[HomeTeam]],Records!$A$2:$A$33, 0), MATCH(Table1[[#This Row],[AwayTeam]],Records!$A$2:$A$33, 0))</f>
        <v>0-0-0</v>
      </c>
    </row>
    <row r="874" spans="1:43" x14ac:dyDescent="0.25">
      <c r="A874" s="1"/>
      <c r="D874" t="s">
        <v>1170</v>
      </c>
      <c r="E874" t="s">
        <v>162</v>
      </c>
      <c r="F874" t="s">
        <v>1180</v>
      </c>
      <c r="G874" t="s">
        <v>44</v>
      </c>
      <c r="H874" t="s">
        <v>42</v>
      </c>
      <c r="L87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7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74" s="1"/>
      <c r="T874" s="64" t="str">
        <f>IF(Table1[[#This Row],[ActualWinner]]="", "", IF(Table1[[#This Row],[AwayTeam]]=Table1[[#This Row],[ActualWinner]],Table1[[#This Row],[HomeTeam]],Table1[[#This Row],[AwayTeam]]))</f>
        <v/>
      </c>
      <c r="U874" s="64">
        <f>Table1[[#This Row],[ActualAwayScore]]-Table1[[#This Row],[PredictedAwayScore]]</f>
        <v>0</v>
      </c>
      <c r="V874" s="64">
        <f>Table1[[#This Row],[ActualHomeScore]]-Table1[[#This Row],[PredictedHomeScore]]</f>
        <v>0</v>
      </c>
      <c r="W874" s="64">
        <f>(0.8*IF(Table1[[#This Row],[CorrectWinnerPrediction]]=1, 1, 0))+(0.1*IF(Table1[[#This Row],[CorrectAwayScorePrediction]]=1, 1, 0))+(0.1*IF(Table1[[#This Row],[CorrectHomeScorePrediction]]=1, 1, 0))</f>
        <v>0</v>
      </c>
      <c r="X87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74" s="64">
        <f>SUMIF(Table1[GameDate], Table1[[#This Row],[GameDate]], Table1[AwayGameGoalDiff])</f>
        <v>0</v>
      </c>
      <c r="AA874" s="64">
        <f>SUMIF(Table1[GameDate], Table1[[#This Row],[GameDate]], Table1[HomeGameGoalDiff])</f>
        <v>0</v>
      </c>
      <c r="AB874" s="64">
        <f>IF(ISBLANK(Table1[[#This Row],[ActualResult]]), 0, 1)</f>
        <v>0</v>
      </c>
      <c r="AC874" s="64">
        <f>IF(ISBLANK(Table1[[#This Row],[ActualResult]]), 0, IF(Table1[[#This Row],[ActualWinner]]=Table1[[#This Row],[PredictedWinner]], 1, 0))</f>
        <v>0</v>
      </c>
      <c r="AD87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7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74" s="64">
        <f>IF(AND(Table1[[#This Row],[GameIsOver]]=1,Table1[[#This Row],[ActualAwayScore]]=0), 1,0)</f>
        <v>0</v>
      </c>
      <c r="AG874" s="64">
        <f>IF(AND(Table1[[#This Row],[GameIsOver]]=1,Table1[[#This Row],[ActualHomeScore]]=0), 1,0)</f>
        <v>0</v>
      </c>
      <c r="AH874" s="64">
        <f>IF(Table1[[#This Row],[GameIsOver]]=0,0,IF(Table1[[#This Row],[ActualWinner]]=Table1[[#This Row],[AwayTeam]], 1, 0))</f>
        <v>0</v>
      </c>
      <c r="AI874" s="64">
        <f>IF(Table1[[#This Row],[GameIsOver]]=0,0,IF(Table1[[#This Row],[ActualWinner]]=Table1[[#This Row],[HomeTeam]], 1, 0))</f>
        <v>0</v>
      </c>
      <c r="AJ874" s="64">
        <f>IF(INDEX(Standings!$A$2:$C$33,MATCH(Table1[[#This Row],[AwayTeam]],Standings!$A$2:$A$33,0),2)=INDEX(Standings!$A$2:$C$33,MATCH(Table1[[#This Row],[HomeTeam]],Standings!$A$2:$A$33,0),2),1,0)</f>
        <v>1</v>
      </c>
      <c r="AK874" s="64">
        <f>IF(INDEX(Standings!$A$2:$C$33,MATCH(Table1[[#This Row],[AwayTeam]],Standings!$A$2:$A$33,0),3)=INDEX(Standings!$A$2:$C$33,MATCH(Table1[[#This Row],[HomeTeam]],Standings!$A$2:$A$33,0),3),1,0)</f>
        <v>0</v>
      </c>
      <c r="AL874" s="64">
        <f>IF(Table1[[#This Row],[InterConf]]=1,IF(Table1[[#This Row],[InterDiv]]=0, 1, 0), 0)</f>
        <v>1</v>
      </c>
      <c r="AM874" s="64">
        <f>IF(INDEX(Standings!$A$2:$C$33,MATCH(Table1[[#This Row],[AwayTeam]],Standings!$A$2:$A$33,0),2)&lt;&gt;INDEX(Standings!$A$2:$C$33,MATCH(Table1[[#This Row],[HomeTeam]],Standings!$A$2:$A$33,0),2),1,0)</f>
        <v>0</v>
      </c>
      <c r="AN874" s="64" t="str">
        <f>INDEX(Table2[AWAY_RECORD], MATCH(Table1[[#This Row],[AwayTeam]],Table2[Team], 0), 0)</f>
        <v>0-0-0</v>
      </c>
      <c r="AO874" s="64" t="str">
        <f>INDEX(Records!$B$2:$AG$33, MATCH(Table1[[#This Row],[AwayTeam]],Records!$A$2:$A$33, 0), MATCH(Table1[[#This Row],[HomeTeam]],Records!$A$2:$A$33, 0))</f>
        <v>0-0-0</v>
      </c>
      <c r="AP874" s="64" t="str">
        <f>INDEX(Table2[HOME_RECORD], MATCH(Table1[[#This Row],[HomeTeam]],Table2[Team], 0), 0)</f>
        <v>1-0-0</v>
      </c>
      <c r="AQ874" s="64" t="str">
        <f>INDEX(Records!$B$2:$AG$33, MATCH(Table1[[#This Row],[HomeTeam]],Records!$A$2:$A$33, 0), MATCH(Table1[[#This Row],[AwayTeam]],Records!$A$2:$A$33, 0))</f>
        <v>0-0-0</v>
      </c>
    </row>
    <row r="875" spans="1:43" x14ac:dyDescent="0.25">
      <c r="A875" s="1"/>
      <c r="D875" t="s">
        <v>1170</v>
      </c>
      <c r="E875" t="s">
        <v>162</v>
      </c>
      <c r="F875" t="s">
        <v>1181</v>
      </c>
      <c r="G875" t="s">
        <v>47</v>
      </c>
      <c r="H875" t="s">
        <v>45</v>
      </c>
      <c r="L87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7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75" s="1"/>
      <c r="T875" s="64" t="str">
        <f>IF(Table1[[#This Row],[ActualWinner]]="", "", IF(Table1[[#This Row],[AwayTeam]]=Table1[[#This Row],[ActualWinner]],Table1[[#This Row],[HomeTeam]],Table1[[#This Row],[AwayTeam]]))</f>
        <v/>
      </c>
      <c r="U875" s="64">
        <f>Table1[[#This Row],[ActualAwayScore]]-Table1[[#This Row],[PredictedAwayScore]]</f>
        <v>0</v>
      </c>
      <c r="V875" s="64">
        <f>Table1[[#This Row],[ActualHomeScore]]-Table1[[#This Row],[PredictedHomeScore]]</f>
        <v>0</v>
      </c>
      <c r="W875" s="64">
        <f>(0.8*IF(Table1[[#This Row],[CorrectWinnerPrediction]]=1, 1, 0))+(0.1*IF(Table1[[#This Row],[CorrectAwayScorePrediction]]=1, 1, 0))+(0.1*IF(Table1[[#This Row],[CorrectHomeScorePrediction]]=1, 1, 0))</f>
        <v>0</v>
      </c>
      <c r="X87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75" s="64">
        <f>SUMIF(Table1[GameDate], Table1[[#This Row],[GameDate]], Table1[AwayGameGoalDiff])</f>
        <v>0</v>
      </c>
      <c r="AA875" s="64">
        <f>SUMIF(Table1[GameDate], Table1[[#This Row],[GameDate]], Table1[HomeGameGoalDiff])</f>
        <v>0</v>
      </c>
      <c r="AB875" s="64">
        <f>IF(ISBLANK(Table1[[#This Row],[ActualResult]]), 0, 1)</f>
        <v>0</v>
      </c>
      <c r="AC875" s="64">
        <f>IF(ISBLANK(Table1[[#This Row],[ActualResult]]), 0, IF(Table1[[#This Row],[ActualWinner]]=Table1[[#This Row],[PredictedWinner]], 1, 0))</f>
        <v>0</v>
      </c>
      <c r="AD87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7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75" s="64">
        <f>IF(AND(Table1[[#This Row],[GameIsOver]]=1,Table1[[#This Row],[ActualAwayScore]]=0), 1,0)</f>
        <v>0</v>
      </c>
      <c r="AG875" s="64">
        <f>IF(AND(Table1[[#This Row],[GameIsOver]]=1,Table1[[#This Row],[ActualHomeScore]]=0), 1,0)</f>
        <v>0</v>
      </c>
      <c r="AH875" s="64">
        <f>IF(Table1[[#This Row],[GameIsOver]]=0,0,IF(Table1[[#This Row],[ActualWinner]]=Table1[[#This Row],[AwayTeam]], 1, 0))</f>
        <v>0</v>
      </c>
      <c r="AI875" s="64">
        <f>IF(Table1[[#This Row],[GameIsOver]]=0,0,IF(Table1[[#This Row],[ActualWinner]]=Table1[[#This Row],[HomeTeam]], 1, 0))</f>
        <v>0</v>
      </c>
      <c r="AJ875" s="64">
        <f>IF(INDEX(Standings!$A$2:$C$33,MATCH(Table1[[#This Row],[AwayTeam]],Standings!$A$2:$A$33,0),2)=INDEX(Standings!$A$2:$C$33,MATCH(Table1[[#This Row],[HomeTeam]],Standings!$A$2:$A$33,0),2),1,0)</f>
        <v>0</v>
      </c>
      <c r="AK875" s="64">
        <f>IF(INDEX(Standings!$A$2:$C$33,MATCH(Table1[[#This Row],[AwayTeam]],Standings!$A$2:$A$33,0),3)=INDEX(Standings!$A$2:$C$33,MATCH(Table1[[#This Row],[HomeTeam]],Standings!$A$2:$A$33,0),3),1,0)</f>
        <v>0</v>
      </c>
      <c r="AL875" s="64">
        <f>IF(Table1[[#This Row],[InterConf]]=1,IF(Table1[[#This Row],[InterDiv]]=0, 1, 0), 0)</f>
        <v>0</v>
      </c>
      <c r="AM875" s="64">
        <f>IF(INDEX(Standings!$A$2:$C$33,MATCH(Table1[[#This Row],[AwayTeam]],Standings!$A$2:$A$33,0),2)&lt;&gt;INDEX(Standings!$A$2:$C$33,MATCH(Table1[[#This Row],[HomeTeam]],Standings!$A$2:$A$33,0),2),1,0)</f>
        <v>1</v>
      </c>
      <c r="AN875" s="64" t="str">
        <f>INDEX(Table2[AWAY_RECORD], MATCH(Table1[[#This Row],[AwayTeam]],Table2[Team], 0), 0)</f>
        <v>1-0-0</v>
      </c>
      <c r="AO875" s="64" t="str">
        <f>INDEX(Records!$B$2:$AG$33, MATCH(Table1[[#This Row],[AwayTeam]],Records!$A$2:$A$33, 0), MATCH(Table1[[#This Row],[HomeTeam]],Records!$A$2:$A$33, 0))</f>
        <v>0-0-0</v>
      </c>
      <c r="AP875" s="64" t="str">
        <f>INDEX(Table2[HOME_RECORD], MATCH(Table1[[#This Row],[HomeTeam]],Table2[Team], 0), 0)</f>
        <v>1-0-0</v>
      </c>
      <c r="AQ875" s="64" t="str">
        <f>INDEX(Records!$B$2:$AG$33, MATCH(Table1[[#This Row],[HomeTeam]],Records!$A$2:$A$33, 0), MATCH(Table1[[#This Row],[AwayTeam]],Records!$A$2:$A$33, 0))</f>
        <v>0-0-0</v>
      </c>
    </row>
    <row r="876" spans="1:43" x14ac:dyDescent="0.25">
      <c r="A876" s="1"/>
      <c r="D876" t="s">
        <v>1170</v>
      </c>
      <c r="E876" t="s">
        <v>164</v>
      </c>
      <c r="F876" t="s">
        <v>1182</v>
      </c>
      <c r="G876" t="s">
        <v>43</v>
      </c>
      <c r="H876" t="s">
        <v>22</v>
      </c>
      <c r="L87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7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76" s="1"/>
      <c r="T876" s="64" t="str">
        <f>IF(Table1[[#This Row],[ActualWinner]]="", "", IF(Table1[[#This Row],[AwayTeam]]=Table1[[#This Row],[ActualWinner]],Table1[[#This Row],[HomeTeam]],Table1[[#This Row],[AwayTeam]]))</f>
        <v/>
      </c>
      <c r="U876" s="64">
        <f>Table1[[#This Row],[ActualAwayScore]]-Table1[[#This Row],[PredictedAwayScore]]</f>
        <v>0</v>
      </c>
      <c r="V876" s="64">
        <f>Table1[[#This Row],[ActualHomeScore]]-Table1[[#This Row],[PredictedHomeScore]]</f>
        <v>0</v>
      </c>
      <c r="W876" s="64">
        <f>(0.8*IF(Table1[[#This Row],[CorrectWinnerPrediction]]=1, 1, 0))+(0.1*IF(Table1[[#This Row],[CorrectAwayScorePrediction]]=1, 1, 0))+(0.1*IF(Table1[[#This Row],[CorrectHomeScorePrediction]]=1, 1, 0))</f>
        <v>0</v>
      </c>
      <c r="X87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76" s="64">
        <f>SUMIF(Table1[GameDate], Table1[[#This Row],[GameDate]], Table1[AwayGameGoalDiff])</f>
        <v>0</v>
      </c>
      <c r="AA876" s="64">
        <f>SUMIF(Table1[GameDate], Table1[[#This Row],[GameDate]], Table1[HomeGameGoalDiff])</f>
        <v>0</v>
      </c>
      <c r="AB876" s="64">
        <f>IF(ISBLANK(Table1[[#This Row],[ActualResult]]), 0, 1)</f>
        <v>0</v>
      </c>
      <c r="AC876" s="64">
        <f>IF(ISBLANK(Table1[[#This Row],[ActualResult]]), 0, IF(Table1[[#This Row],[ActualWinner]]=Table1[[#This Row],[PredictedWinner]], 1, 0))</f>
        <v>0</v>
      </c>
      <c r="AD87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7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76" s="64">
        <f>IF(AND(Table1[[#This Row],[GameIsOver]]=1,Table1[[#This Row],[ActualAwayScore]]=0), 1,0)</f>
        <v>0</v>
      </c>
      <c r="AG876" s="64">
        <f>IF(AND(Table1[[#This Row],[GameIsOver]]=1,Table1[[#This Row],[ActualHomeScore]]=0), 1,0)</f>
        <v>0</v>
      </c>
      <c r="AH876" s="64">
        <f>IF(Table1[[#This Row],[GameIsOver]]=0,0,IF(Table1[[#This Row],[ActualWinner]]=Table1[[#This Row],[AwayTeam]], 1, 0))</f>
        <v>0</v>
      </c>
      <c r="AI876" s="64">
        <f>IF(Table1[[#This Row],[GameIsOver]]=0,0,IF(Table1[[#This Row],[ActualWinner]]=Table1[[#This Row],[HomeTeam]], 1, 0))</f>
        <v>0</v>
      </c>
      <c r="AJ876" s="64">
        <f>IF(INDEX(Standings!$A$2:$C$33,MATCH(Table1[[#This Row],[AwayTeam]],Standings!$A$2:$A$33,0),2)=INDEX(Standings!$A$2:$C$33,MATCH(Table1[[#This Row],[HomeTeam]],Standings!$A$2:$A$33,0),2),1,0)</f>
        <v>1</v>
      </c>
      <c r="AK876" s="64">
        <f>IF(INDEX(Standings!$A$2:$C$33,MATCH(Table1[[#This Row],[AwayTeam]],Standings!$A$2:$A$33,0),3)=INDEX(Standings!$A$2:$C$33,MATCH(Table1[[#This Row],[HomeTeam]],Standings!$A$2:$A$33,0),3),1,0)</f>
        <v>1</v>
      </c>
      <c r="AL876" s="64">
        <f>IF(Table1[[#This Row],[InterConf]]=1,IF(Table1[[#This Row],[InterDiv]]=0, 1, 0), 0)</f>
        <v>0</v>
      </c>
      <c r="AM876" s="64">
        <f>IF(INDEX(Standings!$A$2:$C$33,MATCH(Table1[[#This Row],[AwayTeam]],Standings!$A$2:$A$33,0),2)&lt;&gt;INDEX(Standings!$A$2:$C$33,MATCH(Table1[[#This Row],[HomeTeam]],Standings!$A$2:$A$33,0),2),1,0)</f>
        <v>0</v>
      </c>
      <c r="AN876" s="64" t="str">
        <f>INDEX(Table2[AWAY_RECORD], MATCH(Table1[[#This Row],[AwayTeam]],Table2[Team], 0), 0)</f>
        <v>0-0-0</v>
      </c>
      <c r="AO876" s="64" t="str">
        <f>INDEX(Records!$B$2:$AG$33, MATCH(Table1[[#This Row],[AwayTeam]],Records!$A$2:$A$33, 0), MATCH(Table1[[#This Row],[HomeTeam]],Records!$A$2:$A$33, 0))</f>
        <v>0-0-0</v>
      </c>
      <c r="AP876" s="64" t="str">
        <f>INDEX(Table2[HOME_RECORD], MATCH(Table1[[#This Row],[HomeTeam]],Table2[Team], 0), 0)</f>
        <v>0-0-0</v>
      </c>
      <c r="AQ876" s="64" t="str">
        <f>INDEX(Records!$B$2:$AG$33, MATCH(Table1[[#This Row],[HomeTeam]],Records!$A$2:$A$33, 0), MATCH(Table1[[#This Row],[AwayTeam]],Records!$A$2:$A$33, 0))</f>
        <v>0-0-0</v>
      </c>
    </row>
    <row r="877" spans="1:43" x14ac:dyDescent="0.25">
      <c r="A877" s="1"/>
      <c r="D877" t="s">
        <v>1183</v>
      </c>
      <c r="E877" t="s">
        <v>298</v>
      </c>
      <c r="F877" t="s">
        <v>1184</v>
      </c>
      <c r="G877" t="s">
        <v>59</v>
      </c>
      <c r="H877" t="s">
        <v>25</v>
      </c>
      <c r="L87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7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77" s="1"/>
      <c r="T877" s="64" t="str">
        <f>IF(Table1[[#This Row],[ActualWinner]]="", "", IF(Table1[[#This Row],[AwayTeam]]=Table1[[#This Row],[ActualWinner]],Table1[[#This Row],[HomeTeam]],Table1[[#This Row],[AwayTeam]]))</f>
        <v/>
      </c>
      <c r="U877" s="64">
        <f>Table1[[#This Row],[ActualAwayScore]]-Table1[[#This Row],[PredictedAwayScore]]</f>
        <v>0</v>
      </c>
      <c r="V877" s="64">
        <f>Table1[[#This Row],[ActualHomeScore]]-Table1[[#This Row],[PredictedHomeScore]]</f>
        <v>0</v>
      </c>
      <c r="W877" s="64">
        <f>(0.8*IF(Table1[[#This Row],[CorrectWinnerPrediction]]=1, 1, 0))+(0.1*IF(Table1[[#This Row],[CorrectAwayScorePrediction]]=1, 1, 0))+(0.1*IF(Table1[[#This Row],[CorrectHomeScorePrediction]]=1, 1, 0))</f>
        <v>0</v>
      </c>
      <c r="X87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77" s="64">
        <f>SUMIF(Table1[GameDate], Table1[[#This Row],[GameDate]], Table1[AwayGameGoalDiff])</f>
        <v>0</v>
      </c>
      <c r="AA877" s="64">
        <f>SUMIF(Table1[GameDate], Table1[[#This Row],[GameDate]], Table1[HomeGameGoalDiff])</f>
        <v>0</v>
      </c>
      <c r="AB877" s="64">
        <f>IF(ISBLANK(Table1[[#This Row],[ActualResult]]), 0, 1)</f>
        <v>0</v>
      </c>
      <c r="AC877" s="64">
        <f>IF(ISBLANK(Table1[[#This Row],[ActualResult]]), 0, IF(Table1[[#This Row],[ActualWinner]]=Table1[[#This Row],[PredictedWinner]], 1, 0))</f>
        <v>0</v>
      </c>
      <c r="AD87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7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77" s="64">
        <f>IF(AND(Table1[[#This Row],[GameIsOver]]=1,Table1[[#This Row],[ActualAwayScore]]=0), 1,0)</f>
        <v>0</v>
      </c>
      <c r="AG877" s="64">
        <f>IF(AND(Table1[[#This Row],[GameIsOver]]=1,Table1[[#This Row],[ActualHomeScore]]=0), 1,0)</f>
        <v>0</v>
      </c>
      <c r="AH877" s="64">
        <f>IF(Table1[[#This Row],[GameIsOver]]=0,0,IF(Table1[[#This Row],[ActualWinner]]=Table1[[#This Row],[AwayTeam]], 1, 0))</f>
        <v>0</v>
      </c>
      <c r="AI877" s="64">
        <f>IF(Table1[[#This Row],[GameIsOver]]=0,0,IF(Table1[[#This Row],[ActualWinner]]=Table1[[#This Row],[HomeTeam]], 1, 0))</f>
        <v>0</v>
      </c>
      <c r="AJ877" s="64">
        <f>IF(INDEX(Standings!$A$2:$C$33,MATCH(Table1[[#This Row],[AwayTeam]],Standings!$A$2:$A$33,0),2)=INDEX(Standings!$A$2:$C$33,MATCH(Table1[[#This Row],[HomeTeam]],Standings!$A$2:$A$33,0),2),1,0)</f>
        <v>0</v>
      </c>
      <c r="AK877" s="64">
        <f>IF(INDEX(Standings!$A$2:$C$33,MATCH(Table1[[#This Row],[AwayTeam]],Standings!$A$2:$A$33,0),3)=INDEX(Standings!$A$2:$C$33,MATCH(Table1[[#This Row],[HomeTeam]],Standings!$A$2:$A$33,0),3),1,0)</f>
        <v>0</v>
      </c>
      <c r="AL877" s="64">
        <f>IF(Table1[[#This Row],[InterConf]]=1,IF(Table1[[#This Row],[InterDiv]]=0, 1, 0), 0)</f>
        <v>0</v>
      </c>
      <c r="AM877" s="64">
        <f>IF(INDEX(Standings!$A$2:$C$33,MATCH(Table1[[#This Row],[AwayTeam]],Standings!$A$2:$A$33,0),2)&lt;&gt;INDEX(Standings!$A$2:$C$33,MATCH(Table1[[#This Row],[HomeTeam]],Standings!$A$2:$A$33,0),2),1,0)</f>
        <v>1</v>
      </c>
      <c r="AN877" s="64" t="str">
        <f>INDEX(Table2[AWAY_RECORD], MATCH(Table1[[#This Row],[AwayTeam]],Table2[Team], 0), 0)</f>
        <v>0-1-0</v>
      </c>
      <c r="AO877" s="64" t="str">
        <f>INDEX(Records!$B$2:$AG$33, MATCH(Table1[[#This Row],[AwayTeam]],Records!$A$2:$A$33, 0), MATCH(Table1[[#This Row],[HomeTeam]],Records!$A$2:$A$33, 0))</f>
        <v>0-0-0</v>
      </c>
      <c r="AP877" s="64" t="str">
        <f>INDEX(Table2[HOME_RECORD], MATCH(Table1[[#This Row],[HomeTeam]],Table2[Team], 0), 0)</f>
        <v>0-0-1</v>
      </c>
      <c r="AQ877" s="64" t="str">
        <f>INDEX(Records!$B$2:$AG$33, MATCH(Table1[[#This Row],[HomeTeam]],Records!$A$2:$A$33, 0), MATCH(Table1[[#This Row],[AwayTeam]],Records!$A$2:$A$33, 0))</f>
        <v>0-0-0</v>
      </c>
    </row>
    <row r="878" spans="1:43" x14ac:dyDescent="0.25">
      <c r="A878" s="1"/>
      <c r="D878" t="s">
        <v>1183</v>
      </c>
      <c r="E878" t="s">
        <v>298</v>
      </c>
      <c r="F878" t="s">
        <v>1185</v>
      </c>
      <c r="G878" t="s">
        <v>48</v>
      </c>
      <c r="H878" t="s">
        <v>36</v>
      </c>
      <c r="L87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7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78" s="1"/>
      <c r="T878" s="64" t="str">
        <f>IF(Table1[[#This Row],[ActualWinner]]="", "", IF(Table1[[#This Row],[AwayTeam]]=Table1[[#This Row],[ActualWinner]],Table1[[#This Row],[HomeTeam]],Table1[[#This Row],[AwayTeam]]))</f>
        <v/>
      </c>
      <c r="U878" s="64">
        <f>Table1[[#This Row],[ActualAwayScore]]-Table1[[#This Row],[PredictedAwayScore]]</f>
        <v>0</v>
      </c>
      <c r="V878" s="64">
        <f>Table1[[#This Row],[ActualHomeScore]]-Table1[[#This Row],[PredictedHomeScore]]</f>
        <v>0</v>
      </c>
      <c r="W878" s="64">
        <f>(0.8*IF(Table1[[#This Row],[CorrectWinnerPrediction]]=1, 1, 0))+(0.1*IF(Table1[[#This Row],[CorrectAwayScorePrediction]]=1, 1, 0))+(0.1*IF(Table1[[#This Row],[CorrectHomeScorePrediction]]=1, 1, 0))</f>
        <v>0</v>
      </c>
      <c r="X87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78" s="64">
        <f>SUMIF(Table1[GameDate], Table1[[#This Row],[GameDate]], Table1[AwayGameGoalDiff])</f>
        <v>0</v>
      </c>
      <c r="AA878" s="64">
        <f>SUMIF(Table1[GameDate], Table1[[#This Row],[GameDate]], Table1[HomeGameGoalDiff])</f>
        <v>0</v>
      </c>
      <c r="AB878" s="64">
        <f>IF(ISBLANK(Table1[[#This Row],[ActualResult]]), 0, 1)</f>
        <v>0</v>
      </c>
      <c r="AC878" s="64">
        <f>IF(ISBLANK(Table1[[#This Row],[ActualResult]]), 0, IF(Table1[[#This Row],[ActualWinner]]=Table1[[#This Row],[PredictedWinner]], 1, 0))</f>
        <v>0</v>
      </c>
      <c r="AD87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7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78" s="64">
        <f>IF(AND(Table1[[#This Row],[GameIsOver]]=1,Table1[[#This Row],[ActualAwayScore]]=0), 1,0)</f>
        <v>0</v>
      </c>
      <c r="AG878" s="64">
        <f>IF(AND(Table1[[#This Row],[GameIsOver]]=1,Table1[[#This Row],[ActualHomeScore]]=0), 1,0)</f>
        <v>0</v>
      </c>
      <c r="AH878" s="64">
        <f>IF(Table1[[#This Row],[GameIsOver]]=0,0,IF(Table1[[#This Row],[ActualWinner]]=Table1[[#This Row],[AwayTeam]], 1, 0))</f>
        <v>0</v>
      </c>
      <c r="AI878" s="64">
        <f>IF(Table1[[#This Row],[GameIsOver]]=0,0,IF(Table1[[#This Row],[ActualWinner]]=Table1[[#This Row],[HomeTeam]], 1, 0))</f>
        <v>0</v>
      </c>
      <c r="AJ878" s="64">
        <f>IF(INDEX(Standings!$A$2:$C$33,MATCH(Table1[[#This Row],[AwayTeam]],Standings!$A$2:$A$33,0),2)=INDEX(Standings!$A$2:$C$33,MATCH(Table1[[#This Row],[HomeTeam]],Standings!$A$2:$A$33,0),2),1,0)</f>
        <v>1</v>
      </c>
      <c r="AK878" s="64">
        <f>IF(INDEX(Standings!$A$2:$C$33,MATCH(Table1[[#This Row],[AwayTeam]],Standings!$A$2:$A$33,0),3)=INDEX(Standings!$A$2:$C$33,MATCH(Table1[[#This Row],[HomeTeam]],Standings!$A$2:$A$33,0),3),1,0)</f>
        <v>0</v>
      </c>
      <c r="AL878" s="64">
        <f>IF(Table1[[#This Row],[InterConf]]=1,IF(Table1[[#This Row],[InterDiv]]=0, 1, 0), 0)</f>
        <v>1</v>
      </c>
      <c r="AM878" s="64">
        <f>IF(INDEX(Standings!$A$2:$C$33,MATCH(Table1[[#This Row],[AwayTeam]],Standings!$A$2:$A$33,0),2)&lt;&gt;INDEX(Standings!$A$2:$C$33,MATCH(Table1[[#This Row],[HomeTeam]],Standings!$A$2:$A$33,0),2),1,0)</f>
        <v>0</v>
      </c>
      <c r="AN878" s="64" t="str">
        <f>INDEX(Table2[AWAY_RECORD], MATCH(Table1[[#This Row],[AwayTeam]],Table2[Team], 0), 0)</f>
        <v>0-0-0</v>
      </c>
      <c r="AO878" s="64" t="str">
        <f>INDEX(Records!$B$2:$AG$33, MATCH(Table1[[#This Row],[AwayTeam]],Records!$A$2:$A$33, 0), MATCH(Table1[[#This Row],[HomeTeam]],Records!$A$2:$A$33, 0))</f>
        <v>0-0-0</v>
      </c>
      <c r="AP878" s="64" t="str">
        <f>INDEX(Table2[HOME_RECORD], MATCH(Table1[[#This Row],[HomeTeam]],Table2[Team], 0), 0)</f>
        <v>0-0-0</v>
      </c>
      <c r="AQ878" s="64" t="str">
        <f>INDEX(Records!$B$2:$AG$33, MATCH(Table1[[#This Row],[HomeTeam]],Records!$A$2:$A$33, 0), MATCH(Table1[[#This Row],[AwayTeam]],Records!$A$2:$A$33, 0))</f>
        <v>0-0-0</v>
      </c>
    </row>
    <row r="879" spans="1:43" x14ac:dyDescent="0.25">
      <c r="A879" s="1"/>
      <c r="D879" t="s">
        <v>1183</v>
      </c>
      <c r="E879" t="s">
        <v>205</v>
      </c>
      <c r="F879" t="s">
        <v>1186</v>
      </c>
      <c r="G879" t="s">
        <v>53</v>
      </c>
      <c r="H879" t="s">
        <v>54</v>
      </c>
      <c r="L87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7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79" s="1"/>
      <c r="T879" s="64" t="str">
        <f>IF(Table1[[#This Row],[ActualWinner]]="", "", IF(Table1[[#This Row],[AwayTeam]]=Table1[[#This Row],[ActualWinner]],Table1[[#This Row],[HomeTeam]],Table1[[#This Row],[AwayTeam]]))</f>
        <v/>
      </c>
      <c r="U879" s="64">
        <f>Table1[[#This Row],[ActualAwayScore]]-Table1[[#This Row],[PredictedAwayScore]]</f>
        <v>0</v>
      </c>
      <c r="V879" s="64">
        <f>Table1[[#This Row],[ActualHomeScore]]-Table1[[#This Row],[PredictedHomeScore]]</f>
        <v>0</v>
      </c>
      <c r="W879" s="64">
        <f>(0.8*IF(Table1[[#This Row],[CorrectWinnerPrediction]]=1, 1, 0))+(0.1*IF(Table1[[#This Row],[CorrectAwayScorePrediction]]=1, 1, 0))+(0.1*IF(Table1[[#This Row],[CorrectHomeScorePrediction]]=1, 1, 0))</f>
        <v>0</v>
      </c>
      <c r="X87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79" s="64">
        <f>SUMIF(Table1[GameDate], Table1[[#This Row],[GameDate]], Table1[AwayGameGoalDiff])</f>
        <v>0</v>
      </c>
      <c r="AA879" s="64">
        <f>SUMIF(Table1[GameDate], Table1[[#This Row],[GameDate]], Table1[HomeGameGoalDiff])</f>
        <v>0</v>
      </c>
      <c r="AB879" s="64">
        <f>IF(ISBLANK(Table1[[#This Row],[ActualResult]]), 0, 1)</f>
        <v>0</v>
      </c>
      <c r="AC879" s="64">
        <f>IF(ISBLANK(Table1[[#This Row],[ActualResult]]), 0, IF(Table1[[#This Row],[ActualWinner]]=Table1[[#This Row],[PredictedWinner]], 1, 0))</f>
        <v>0</v>
      </c>
      <c r="AD87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7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79" s="64">
        <f>IF(AND(Table1[[#This Row],[GameIsOver]]=1,Table1[[#This Row],[ActualAwayScore]]=0), 1,0)</f>
        <v>0</v>
      </c>
      <c r="AG879" s="64">
        <f>IF(AND(Table1[[#This Row],[GameIsOver]]=1,Table1[[#This Row],[ActualHomeScore]]=0), 1,0)</f>
        <v>0</v>
      </c>
      <c r="AH879" s="64">
        <f>IF(Table1[[#This Row],[GameIsOver]]=0,0,IF(Table1[[#This Row],[ActualWinner]]=Table1[[#This Row],[AwayTeam]], 1, 0))</f>
        <v>0</v>
      </c>
      <c r="AI879" s="64">
        <f>IF(Table1[[#This Row],[GameIsOver]]=0,0,IF(Table1[[#This Row],[ActualWinner]]=Table1[[#This Row],[HomeTeam]], 1, 0))</f>
        <v>0</v>
      </c>
      <c r="AJ879" s="64">
        <f>IF(INDEX(Standings!$A$2:$C$33,MATCH(Table1[[#This Row],[AwayTeam]],Standings!$A$2:$A$33,0),2)=INDEX(Standings!$A$2:$C$33,MATCH(Table1[[#This Row],[HomeTeam]],Standings!$A$2:$A$33,0),2),1,0)</f>
        <v>1</v>
      </c>
      <c r="AK879" s="64">
        <f>IF(INDEX(Standings!$A$2:$C$33,MATCH(Table1[[#This Row],[AwayTeam]],Standings!$A$2:$A$33,0),3)=INDEX(Standings!$A$2:$C$33,MATCH(Table1[[#This Row],[HomeTeam]],Standings!$A$2:$A$33,0),3),1,0)</f>
        <v>1</v>
      </c>
      <c r="AL879" s="64">
        <f>IF(Table1[[#This Row],[InterConf]]=1,IF(Table1[[#This Row],[InterDiv]]=0, 1, 0), 0)</f>
        <v>0</v>
      </c>
      <c r="AM879" s="64">
        <f>IF(INDEX(Standings!$A$2:$C$33,MATCH(Table1[[#This Row],[AwayTeam]],Standings!$A$2:$A$33,0),2)&lt;&gt;INDEX(Standings!$A$2:$C$33,MATCH(Table1[[#This Row],[HomeTeam]],Standings!$A$2:$A$33,0),2),1,0)</f>
        <v>0</v>
      </c>
      <c r="AN879" s="64" t="str">
        <f>INDEX(Table2[AWAY_RECORD], MATCH(Table1[[#This Row],[AwayTeam]],Table2[Team], 0), 0)</f>
        <v>0-1-0</v>
      </c>
      <c r="AO879" s="64" t="str">
        <f>INDEX(Records!$B$2:$AG$33, MATCH(Table1[[#This Row],[AwayTeam]],Records!$A$2:$A$33, 0), MATCH(Table1[[#This Row],[HomeTeam]],Records!$A$2:$A$33, 0))</f>
        <v>1-0-0</v>
      </c>
      <c r="AP879" s="64" t="str">
        <f>INDEX(Table2[HOME_RECORD], MATCH(Table1[[#This Row],[HomeTeam]],Table2[Team], 0), 0)</f>
        <v>0-0-0</v>
      </c>
      <c r="AQ879" s="64" t="str">
        <f>INDEX(Records!$B$2:$AG$33, MATCH(Table1[[#This Row],[HomeTeam]],Records!$A$2:$A$33, 0), MATCH(Table1[[#This Row],[AwayTeam]],Records!$A$2:$A$33, 0))</f>
        <v>0-0-1</v>
      </c>
    </row>
    <row r="880" spans="1:43" x14ac:dyDescent="0.25">
      <c r="A880" s="1"/>
      <c r="D880" t="s">
        <v>1183</v>
      </c>
      <c r="E880" t="s">
        <v>158</v>
      </c>
      <c r="F880" t="s">
        <v>1187</v>
      </c>
      <c r="G880" t="s">
        <v>49</v>
      </c>
      <c r="H880" t="s">
        <v>56</v>
      </c>
      <c r="L88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8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80" s="1"/>
      <c r="T880" s="64" t="str">
        <f>IF(Table1[[#This Row],[ActualWinner]]="", "", IF(Table1[[#This Row],[AwayTeam]]=Table1[[#This Row],[ActualWinner]],Table1[[#This Row],[HomeTeam]],Table1[[#This Row],[AwayTeam]]))</f>
        <v/>
      </c>
      <c r="U880" s="64">
        <f>Table1[[#This Row],[ActualAwayScore]]-Table1[[#This Row],[PredictedAwayScore]]</f>
        <v>0</v>
      </c>
      <c r="V880" s="64">
        <f>Table1[[#This Row],[ActualHomeScore]]-Table1[[#This Row],[PredictedHomeScore]]</f>
        <v>0</v>
      </c>
      <c r="W880" s="64">
        <f>(0.8*IF(Table1[[#This Row],[CorrectWinnerPrediction]]=1, 1, 0))+(0.1*IF(Table1[[#This Row],[CorrectAwayScorePrediction]]=1, 1, 0))+(0.1*IF(Table1[[#This Row],[CorrectHomeScorePrediction]]=1, 1, 0))</f>
        <v>0</v>
      </c>
      <c r="X88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80" s="64">
        <f>SUMIF(Table1[GameDate], Table1[[#This Row],[GameDate]], Table1[AwayGameGoalDiff])</f>
        <v>0</v>
      </c>
      <c r="AA880" s="64">
        <f>SUMIF(Table1[GameDate], Table1[[#This Row],[GameDate]], Table1[HomeGameGoalDiff])</f>
        <v>0</v>
      </c>
      <c r="AB880" s="64">
        <f>IF(ISBLANK(Table1[[#This Row],[ActualResult]]), 0, 1)</f>
        <v>0</v>
      </c>
      <c r="AC880" s="64">
        <f>IF(ISBLANK(Table1[[#This Row],[ActualResult]]), 0, IF(Table1[[#This Row],[ActualWinner]]=Table1[[#This Row],[PredictedWinner]], 1, 0))</f>
        <v>0</v>
      </c>
      <c r="AD88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8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80" s="64">
        <f>IF(AND(Table1[[#This Row],[GameIsOver]]=1,Table1[[#This Row],[ActualAwayScore]]=0), 1,0)</f>
        <v>0</v>
      </c>
      <c r="AG880" s="64">
        <f>IF(AND(Table1[[#This Row],[GameIsOver]]=1,Table1[[#This Row],[ActualHomeScore]]=0), 1,0)</f>
        <v>0</v>
      </c>
      <c r="AH880" s="64">
        <f>IF(Table1[[#This Row],[GameIsOver]]=0,0,IF(Table1[[#This Row],[ActualWinner]]=Table1[[#This Row],[AwayTeam]], 1, 0))</f>
        <v>0</v>
      </c>
      <c r="AI880" s="64">
        <f>IF(Table1[[#This Row],[GameIsOver]]=0,0,IF(Table1[[#This Row],[ActualWinner]]=Table1[[#This Row],[HomeTeam]], 1, 0))</f>
        <v>0</v>
      </c>
      <c r="AJ880" s="64">
        <f>IF(INDEX(Standings!$A$2:$C$33,MATCH(Table1[[#This Row],[AwayTeam]],Standings!$A$2:$A$33,0),2)=INDEX(Standings!$A$2:$C$33,MATCH(Table1[[#This Row],[HomeTeam]],Standings!$A$2:$A$33,0),2),1,0)</f>
        <v>0</v>
      </c>
      <c r="AK880" s="64">
        <f>IF(INDEX(Standings!$A$2:$C$33,MATCH(Table1[[#This Row],[AwayTeam]],Standings!$A$2:$A$33,0),3)=INDEX(Standings!$A$2:$C$33,MATCH(Table1[[#This Row],[HomeTeam]],Standings!$A$2:$A$33,0),3),1,0)</f>
        <v>0</v>
      </c>
      <c r="AL880" s="64">
        <f>IF(Table1[[#This Row],[InterConf]]=1,IF(Table1[[#This Row],[InterDiv]]=0, 1, 0), 0)</f>
        <v>0</v>
      </c>
      <c r="AM880" s="64">
        <f>IF(INDEX(Standings!$A$2:$C$33,MATCH(Table1[[#This Row],[AwayTeam]],Standings!$A$2:$A$33,0),2)&lt;&gt;INDEX(Standings!$A$2:$C$33,MATCH(Table1[[#This Row],[HomeTeam]],Standings!$A$2:$A$33,0),2),1,0)</f>
        <v>1</v>
      </c>
      <c r="AN880" s="64" t="str">
        <f>INDEX(Table2[AWAY_RECORD], MATCH(Table1[[#This Row],[AwayTeam]],Table2[Team], 0), 0)</f>
        <v>0-0-0</v>
      </c>
      <c r="AO880" s="64" t="str">
        <f>INDEX(Records!$B$2:$AG$33, MATCH(Table1[[#This Row],[AwayTeam]],Records!$A$2:$A$33, 0), MATCH(Table1[[#This Row],[HomeTeam]],Records!$A$2:$A$33, 0))</f>
        <v>0-0-0</v>
      </c>
      <c r="AP880" s="64" t="str">
        <f>INDEX(Table2[HOME_RECORD], MATCH(Table1[[#This Row],[HomeTeam]],Table2[Team], 0), 0)</f>
        <v>0-0-0</v>
      </c>
      <c r="AQ880" s="64" t="str">
        <f>INDEX(Records!$B$2:$AG$33, MATCH(Table1[[#This Row],[HomeTeam]],Records!$A$2:$A$33, 0), MATCH(Table1[[#This Row],[AwayTeam]],Records!$A$2:$A$33, 0))</f>
        <v>0-0-0</v>
      </c>
    </row>
    <row r="881" spans="1:43" x14ac:dyDescent="0.25">
      <c r="A881" s="1"/>
      <c r="D881" t="s">
        <v>1183</v>
      </c>
      <c r="E881" t="s">
        <v>178</v>
      </c>
      <c r="F881" t="s">
        <v>1188</v>
      </c>
      <c r="G881" t="s">
        <v>48</v>
      </c>
      <c r="H881" t="s">
        <v>58</v>
      </c>
      <c r="L88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8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81" s="1"/>
      <c r="T881" s="64" t="str">
        <f>IF(Table1[[#This Row],[ActualWinner]]="", "", IF(Table1[[#This Row],[AwayTeam]]=Table1[[#This Row],[ActualWinner]],Table1[[#This Row],[HomeTeam]],Table1[[#This Row],[AwayTeam]]))</f>
        <v/>
      </c>
      <c r="U881" s="64">
        <f>Table1[[#This Row],[ActualAwayScore]]-Table1[[#This Row],[PredictedAwayScore]]</f>
        <v>0</v>
      </c>
      <c r="V881" s="64">
        <f>Table1[[#This Row],[ActualHomeScore]]-Table1[[#This Row],[PredictedHomeScore]]</f>
        <v>0</v>
      </c>
      <c r="W881" s="64">
        <f>(0.8*IF(Table1[[#This Row],[CorrectWinnerPrediction]]=1, 1, 0))+(0.1*IF(Table1[[#This Row],[CorrectAwayScorePrediction]]=1, 1, 0))+(0.1*IF(Table1[[#This Row],[CorrectHomeScorePrediction]]=1, 1, 0))</f>
        <v>0</v>
      </c>
      <c r="X88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81" s="64">
        <f>SUMIF(Table1[GameDate], Table1[[#This Row],[GameDate]], Table1[AwayGameGoalDiff])</f>
        <v>0</v>
      </c>
      <c r="AA881" s="64">
        <f>SUMIF(Table1[GameDate], Table1[[#This Row],[GameDate]], Table1[HomeGameGoalDiff])</f>
        <v>0</v>
      </c>
      <c r="AB881" s="64">
        <f>IF(ISBLANK(Table1[[#This Row],[ActualResult]]), 0, 1)</f>
        <v>0</v>
      </c>
      <c r="AC881" s="64">
        <f>IF(ISBLANK(Table1[[#This Row],[ActualResult]]), 0, IF(Table1[[#This Row],[ActualWinner]]=Table1[[#This Row],[PredictedWinner]], 1, 0))</f>
        <v>0</v>
      </c>
      <c r="AD88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8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81" s="64">
        <f>IF(AND(Table1[[#This Row],[GameIsOver]]=1,Table1[[#This Row],[ActualAwayScore]]=0), 1,0)</f>
        <v>0</v>
      </c>
      <c r="AG881" s="64">
        <f>IF(AND(Table1[[#This Row],[GameIsOver]]=1,Table1[[#This Row],[ActualHomeScore]]=0), 1,0)</f>
        <v>0</v>
      </c>
      <c r="AH881" s="64">
        <f>IF(Table1[[#This Row],[GameIsOver]]=0,0,IF(Table1[[#This Row],[ActualWinner]]=Table1[[#This Row],[AwayTeam]], 1, 0))</f>
        <v>0</v>
      </c>
      <c r="AI881" s="64">
        <f>IF(Table1[[#This Row],[GameIsOver]]=0,0,IF(Table1[[#This Row],[ActualWinner]]=Table1[[#This Row],[HomeTeam]], 1, 0))</f>
        <v>0</v>
      </c>
      <c r="AJ881" s="64">
        <f>IF(INDEX(Standings!$A$2:$C$33,MATCH(Table1[[#This Row],[AwayTeam]],Standings!$A$2:$A$33,0),2)=INDEX(Standings!$A$2:$C$33,MATCH(Table1[[#This Row],[HomeTeam]],Standings!$A$2:$A$33,0),2),1,0)</f>
        <v>1</v>
      </c>
      <c r="AK881" s="64">
        <f>IF(INDEX(Standings!$A$2:$C$33,MATCH(Table1[[#This Row],[AwayTeam]],Standings!$A$2:$A$33,0),3)=INDEX(Standings!$A$2:$C$33,MATCH(Table1[[#This Row],[HomeTeam]],Standings!$A$2:$A$33,0),3),1,0)</f>
        <v>1</v>
      </c>
      <c r="AL881" s="64">
        <f>IF(Table1[[#This Row],[InterConf]]=1,IF(Table1[[#This Row],[InterDiv]]=0, 1, 0), 0)</f>
        <v>0</v>
      </c>
      <c r="AM881" s="64">
        <f>IF(INDEX(Standings!$A$2:$C$33,MATCH(Table1[[#This Row],[AwayTeam]],Standings!$A$2:$A$33,0),2)&lt;&gt;INDEX(Standings!$A$2:$C$33,MATCH(Table1[[#This Row],[HomeTeam]],Standings!$A$2:$A$33,0),2),1,0)</f>
        <v>0</v>
      </c>
      <c r="AN881" s="64" t="str">
        <f>INDEX(Table2[AWAY_RECORD], MATCH(Table1[[#This Row],[AwayTeam]],Table2[Team], 0), 0)</f>
        <v>0-0-0</v>
      </c>
      <c r="AO881" s="64" t="str">
        <f>INDEX(Records!$B$2:$AG$33, MATCH(Table1[[#This Row],[AwayTeam]],Records!$A$2:$A$33, 0), MATCH(Table1[[#This Row],[HomeTeam]],Records!$A$2:$A$33, 0))</f>
        <v>0-0-0</v>
      </c>
      <c r="AP881" s="64" t="str">
        <f>INDEX(Table2[HOME_RECORD], MATCH(Table1[[#This Row],[HomeTeam]],Table2[Team], 0), 0)</f>
        <v>1-0-0</v>
      </c>
      <c r="AQ881" s="64" t="str">
        <f>INDEX(Records!$B$2:$AG$33, MATCH(Table1[[#This Row],[HomeTeam]],Records!$A$2:$A$33, 0), MATCH(Table1[[#This Row],[AwayTeam]],Records!$A$2:$A$33, 0))</f>
        <v>0-0-0</v>
      </c>
    </row>
    <row r="882" spans="1:43" x14ac:dyDescent="0.25">
      <c r="A882" s="1"/>
      <c r="D882" t="s">
        <v>1189</v>
      </c>
      <c r="E882" t="s">
        <v>432</v>
      </c>
      <c r="F882" t="s">
        <v>1190</v>
      </c>
      <c r="G882" t="s">
        <v>50</v>
      </c>
      <c r="H882" t="s">
        <v>17</v>
      </c>
      <c r="L88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8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82" s="1"/>
      <c r="T882" s="64" t="str">
        <f>IF(Table1[[#This Row],[ActualWinner]]="", "", IF(Table1[[#This Row],[AwayTeam]]=Table1[[#This Row],[ActualWinner]],Table1[[#This Row],[HomeTeam]],Table1[[#This Row],[AwayTeam]]))</f>
        <v/>
      </c>
      <c r="U882" s="64">
        <f>Table1[[#This Row],[ActualAwayScore]]-Table1[[#This Row],[PredictedAwayScore]]</f>
        <v>0</v>
      </c>
      <c r="V882" s="64">
        <f>Table1[[#This Row],[ActualHomeScore]]-Table1[[#This Row],[PredictedHomeScore]]</f>
        <v>0</v>
      </c>
      <c r="W882" s="64">
        <f>(0.8*IF(Table1[[#This Row],[CorrectWinnerPrediction]]=1, 1, 0))+(0.1*IF(Table1[[#This Row],[CorrectAwayScorePrediction]]=1, 1, 0))+(0.1*IF(Table1[[#This Row],[CorrectHomeScorePrediction]]=1, 1, 0))</f>
        <v>0</v>
      </c>
      <c r="X88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82" s="64">
        <f>SUMIF(Table1[GameDate], Table1[[#This Row],[GameDate]], Table1[AwayGameGoalDiff])</f>
        <v>0</v>
      </c>
      <c r="AA882" s="64">
        <f>SUMIF(Table1[GameDate], Table1[[#This Row],[GameDate]], Table1[HomeGameGoalDiff])</f>
        <v>0</v>
      </c>
      <c r="AB882" s="64">
        <f>IF(ISBLANK(Table1[[#This Row],[ActualResult]]), 0, 1)</f>
        <v>0</v>
      </c>
      <c r="AC882" s="64">
        <f>IF(ISBLANK(Table1[[#This Row],[ActualResult]]), 0, IF(Table1[[#This Row],[ActualWinner]]=Table1[[#This Row],[PredictedWinner]], 1, 0))</f>
        <v>0</v>
      </c>
      <c r="AD88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8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82" s="64">
        <f>IF(AND(Table1[[#This Row],[GameIsOver]]=1,Table1[[#This Row],[ActualAwayScore]]=0), 1,0)</f>
        <v>0</v>
      </c>
      <c r="AG882" s="64">
        <f>IF(AND(Table1[[#This Row],[GameIsOver]]=1,Table1[[#This Row],[ActualHomeScore]]=0), 1,0)</f>
        <v>0</v>
      </c>
      <c r="AH882" s="64">
        <f>IF(Table1[[#This Row],[GameIsOver]]=0,0,IF(Table1[[#This Row],[ActualWinner]]=Table1[[#This Row],[AwayTeam]], 1, 0))</f>
        <v>0</v>
      </c>
      <c r="AI882" s="64">
        <f>IF(Table1[[#This Row],[GameIsOver]]=0,0,IF(Table1[[#This Row],[ActualWinner]]=Table1[[#This Row],[HomeTeam]], 1, 0))</f>
        <v>0</v>
      </c>
      <c r="AJ882" s="64">
        <f>IF(INDEX(Standings!$A$2:$C$33,MATCH(Table1[[#This Row],[AwayTeam]],Standings!$A$2:$A$33,0),2)=INDEX(Standings!$A$2:$C$33,MATCH(Table1[[#This Row],[HomeTeam]],Standings!$A$2:$A$33,0),2),1,0)</f>
        <v>1</v>
      </c>
      <c r="AK882" s="64">
        <f>IF(INDEX(Standings!$A$2:$C$33,MATCH(Table1[[#This Row],[AwayTeam]],Standings!$A$2:$A$33,0),3)=INDEX(Standings!$A$2:$C$33,MATCH(Table1[[#This Row],[HomeTeam]],Standings!$A$2:$A$33,0),3),1,0)</f>
        <v>0</v>
      </c>
      <c r="AL882" s="64">
        <f>IF(Table1[[#This Row],[InterConf]]=1,IF(Table1[[#This Row],[InterDiv]]=0, 1, 0), 0)</f>
        <v>1</v>
      </c>
      <c r="AM882" s="64">
        <f>IF(INDEX(Standings!$A$2:$C$33,MATCH(Table1[[#This Row],[AwayTeam]],Standings!$A$2:$A$33,0),2)&lt;&gt;INDEX(Standings!$A$2:$C$33,MATCH(Table1[[#This Row],[HomeTeam]],Standings!$A$2:$A$33,0),2),1,0)</f>
        <v>0</v>
      </c>
      <c r="AN882" s="64" t="str">
        <f>INDEX(Table2[AWAY_RECORD], MATCH(Table1[[#This Row],[AwayTeam]],Table2[Team], 0), 0)</f>
        <v>1-0-0</v>
      </c>
      <c r="AO882" s="64" t="str">
        <f>INDEX(Records!$B$2:$AG$33, MATCH(Table1[[#This Row],[AwayTeam]],Records!$A$2:$A$33, 0), MATCH(Table1[[#This Row],[HomeTeam]],Records!$A$2:$A$33, 0))</f>
        <v>0-0-0</v>
      </c>
      <c r="AP882" s="64" t="str">
        <f>INDEX(Table2[HOME_RECORD], MATCH(Table1[[#This Row],[HomeTeam]],Table2[Team], 0), 0)</f>
        <v>0-0-0</v>
      </c>
      <c r="AQ882" s="64" t="str">
        <f>INDEX(Records!$B$2:$AG$33, MATCH(Table1[[#This Row],[HomeTeam]],Records!$A$2:$A$33, 0), MATCH(Table1[[#This Row],[AwayTeam]],Records!$A$2:$A$33, 0))</f>
        <v>0-0-0</v>
      </c>
    </row>
    <row r="883" spans="1:43" x14ac:dyDescent="0.25">
      <c r="A883" s="1"/>
      <c r="D883" t="s">
        <v>1189</v>
      </c>
      <c r="E883" t="s">
        <v>289</v>
      </c>
      <c r="F883" t="s">
        <v>1191</v>
      </c>
      <c r="G883" t="s">
        <v>25</v>
      </c>
      <c r="H883" t="s">
        <v>39</v>
      </c>
      <c r="L88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8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83" s="1"/>
      <c r="T883" s="64" t="str">
        <f>IF(Table1[[#This Row],[ActualWinner]]="", "", IF(Table1[[#This Row],[AwayTeam]]=Table1[[#This Row],[ActualWinner]],Table1[[#This Row],[HomeTeam]],Table1[[#This Row],[AwayTeam]]))</f>
        <v/>
      </c>
      <c r="U883" s="64">
        <f>Table1[[#This Row],[ActualAwayScore]]-Table1[[#This Row],[PredictedAwayScore]]</f>
        <v>0</v>
      </c>
      <c r="V883" s="64">
        <f>Table1[[#This Row],[ActualHomeScore]]-Table1[[#This Row],[PredictedHomeScore]]</f>
        <v>0</v>
      </c>
      <c r="W883" s="64">
        <f>(0.8*IF(Table1[[#This Row],[CorrectWinnerPrediction]]=1, 1, 0))+(0.1*IF(Table1[[#This Row],[CorrectAwayScorePrediction]]=1, 1, 0))+(0.1*IF(Table1[[#This Row],[CorrectHomeScorePrediction]]=1, 1, 0))</f>
        <v>0</v>
      </c>
      <c r="X88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83" s="64">
        <f>SUMIF(Table1[GameDate], Table1[[#This Row],[GameDate]], Table1[AwayGameGoalDiff])</f>
        <v>0</v>
      </c>
      <c r="AA883" s="64">
        <f>SUMIF(Table1[GameDate], Table1[[#This Row],[GameDate]], Table1[HomeGameGoalDiff])</f>
        <v>0</v>
      </c>
      <c r="AB883" s="64">
        <f>IF(ISBLANK(Table1[[#This Row],[ActualResult]]), 0, 1)</f>
        <v>0</v>
      </c>
      <c r="AC883" s="64">
        <f>IF(ISBLANK(Table1[[#This Row],[ActualResult]]), 0, IF(Table1[[#This Row],[ActualWinner]]=Table1[[#This Row],[PredictedWinner]], 1, 0))</f>
        <v>0</v>
      </c>
      <c r="AD88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8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83" s="64">
        <f>IF(AND(Table1[[#This Row],[GameIsOver]]=1,Table1[[#This Row],[ActualAwayScore]]=0), 1,0)</f>
        <v>0</v>
      </c>
      <c r="AG883" s="64">
        <f>IF(AND(Table1[[#This Row],[GameIsOver]]=1,Table1[[#This Row],[ActualHomeScore]]=0), 1,0)</f>
        <v>0</v>
      </c>
      <c r="AH883" s="64">
        <f>IF(Table1[[#This Row],[GameIsOver]]=0,0,IF(Table1[[#This Row],[ActualWinner]]=Table1[[#This Row],[AwayTeam]], 1, 0))</f>
        <v>0</v>
      </c>
      <c r="AI883" s="64">
        <f>IF(Table1[[#This Row],[GameIsOver]]=0,0,IF(Table1[[#This Row],[ActualWinner]]=Table1[[#This Row],[HomeTeam]], 1, 0))</f>
        <v>0</v>
      </c>
      <c r="AJ883" s="64">
        <f>IF(INDEX(Standings!$A$2:$C$33,MATCH(Table1[[#This Row],[AwayTeam]],Standings!$A$2:$A$33,0),2)=INDEX(Standings!$A$2:$C$33,MATCH(Table1[[#This Row],[HomeTeam]],Standings!$A$2:$A$33,0),2),1,0)</f>
        <v>1</v>
      </c>
      <c r="AK883" s="64">
        <f>IF(INDEX(Standings!$A$2:$C$33,MATCH(Table1[[#This Row],[AwayTeam]],Standings!$A$2:$A$33,0),3)=INDEX(Standings!$A$2:$C$33,MATCH(Table1[[#This Row],[HomeTeam]],Standings!$A$2:$A$33,0),3),1,0)</f>
        <v>1</v>
      </c>
      <c r="AL883" s="64">
        <f>IF(Table1[[#This Row],[InterConf]]=1,IF(Table1[[#This Row],[InterDiv]]=0, 1, 0), 0)</f>
        <v>0</v>
      </c>
      <c r="AM883" s="64">
        <f>IF(INDEX(Standings!$A$2:$C$33,MATCH(Table1[[#This Row],[AwayTeam]],Standings!$A$2:$A$33,0),2)&lt;&gt;INDEX(Standings!$A$2:$C$33,MATCH(Table1[[#This Row],[HomeTeam]],Standings!$A$2:$A$33,0),2),1,0)</f>
        <v>0</v>
      </c>
      <c r="AN883" s="64" t="str">
        <f>INDEX(Table2[AWAY_RECORD], MATCH(Table1[[#This Row],[AwayTeam]],Table2[Team], 0), 0)</f>
        <v>0-0-0</v>
      </c>
      <c r="AO883" s="64" t="str">
        <f>INDEX(Records!$B$2:$AG$33, MATCH(Table1[[#This Row],[AwayTeam]],Records!$A$2:$A$33, 0), MATCH(Table1[[#This Row],[HomeTeam]],Records!$A$2:$A$33, 0))</f>
        <v>0-0-0</v>
      </c>
      <c r="AP883" s="64" t="str">
        <f>INDEX(Table2[HOME_RECORD], MATCH(Table1[[#This Row],[HomeTeam]],Table2[Team], 0), 0)</f>
        <v>0-1-0</v>
      </c>
      <c r="AQ883" s="64" t="str">
        <f>INDEX(Records!$B$2:$AG$33, MATCH(Table1[[#This Row],[HomeTeam]],Records!$A$2:$A$33, 0), MATCH(Table1[[#This Row],[AwayTeam]],Records!$A$2:$A$33, 0))</f>
        <v>0-0-0</v>
      </c>
    </row>
    <row r="884" spans="1:43" x14ac:dyDescent="0.25">
      <c r="A884" s="1"/>
      <c r="D884" t="s">
        <v>1189</v>
      </c>
      <c r="E884" t="s">
        <v>301</v>
      </c>
      <c r="F884" t="s">
        <v>1192</v>
      </c>
      <c r="G884" t="s">
        <v>47</v>
      </c>
      <c r="H884" t="s">
        <v>23</v>
      </c>
      <c r="L88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8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84" s="1"/>
      <c r="T884" s="64" t="str">
        <f>IF(Table1[[#This Row],[ActualWinner]]="", "", IF(Table1[[#This Row],[AwayTeam]]=Table1[[#This Row],[ActualWinner]],Table1[[#This Row],[HomeTeam]],Table1[[#This Row],[AwayTeam]]))</f>
        <v/>
      </c>
      <c r="U884" s="64">
        <f>Table1[[#This Row],[ActualAwayScore]]-Table1[[#This Row],[PredictedAwayScore]]</f>
        <v>0</v>
      </c>
      <c r="V884" s="64">
        <f>Table1[[#This Row],[ActualHomeScore]]-Table1[[#This Row],[PredictedHomeScore]]</f>
        <v>0</v>
      </c>
      <c r="W884" s="64">
        <f>(0.8*IF(Table1[[#This Row],[CorrectWinnerPrediction]]=1, 1, 0))+(0.1*IF(Table1[[#This Row],[CorrectAwayScorePrediction]]=1, 1, 0))+(0.1*IF(Table1[[#This Row],[CorrectHomeScorePrediction]]=1, 1, 0))</f>
        <v>0</v>
      </c>
      <c r="X88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84" s="64">
        <f>SUMIF(Table1[GameDate], Table1[[#This Row],[GameDate]], Table1[AwayGameGoalDiff])</f>
        <v>0</v>
      </c>
      <c r="AA884" s="64">
        <f>SUMIF(Table1[GameDate], Table1[[#This Row],[GameDate]], Table1[HomeGameGoalDiff])</f>
        <v>0</v>
      </c>
      <c r="AB884" s="64">
        <f>IF(ISBLANK(Table1[[#This Row],[ActualResult]]), 0, 1)</f>
        <v>0</v>
      </c>
      <c r="AC884" s="64">
        <f>IF(ISBLANK(Table1[[#This Row],[ActualResult]]), 0, IF(Table1[[#This Row],[ActualWinner]]=Table1[[#This Row],[PredictedWinner]], 1, 0))</f>
        <v>0</v>
      </c>
      <c r="AD88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8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84" s="64">
        <f>IF(AND(Table1[[#This Row],[GameIsOver]]=1,Table1[[#This Row],[ActualAwayScore]]=0), 1,0)</f>
        <v>0</v>
      </c>
      <c r="AG884" s="64">
        <f>IF(AND(Table1[[#This Row],[GameIsOver]]=1,Table1[[#This Row],[ActualHomeScore]]=0), 1,0)</f>
        <v>0</v>
      </c>
      <c r="AH884" s="64">
        <f>IF(Table1[[#This Row],[GameIsOver]]=0,0,IF(Table1[[#This Row],[ActualWinner]]=Table1[[#This Row],[AwayTeam]], 1, 0))</f>
        <v>0</v>
      </c>
      <c r="AI884" s="64">
        <f>IF(Table1[[#This Row],[GameIsOver]]=0,0,IF(Table1[[#This Row],[ActualWinner]]=Table1[[#This Row],[HomeTeam]], 1, 0))</f>
        <v>0</v>
      </c>
      <c r="AJ884" s="64">
        <f>IF(INDEX(Standings!$A$2:$C$33,MATCH(Table1[[#This Row],[AwayTeam]],Standings!$A$2:$A$33,0),2)=INDEX(Standings!$A$2:$C$33,MATCH(Table1[[#This Row],[HomeTeam]],Standings!$A$2:$A$33,0),2),1,0)</f>
        <v>0</v>
      </c>
      <c r="AK884" s="64">
        <f>IF(INDEX(Standings!$A$2:$C$33,MATCH(Table1[[#This Row],[AwayTeam]],Standings!$A$2:$A$33,0),3)=INDEX(Standings!$A$2:$C$33,MATCH(Table1[[#This Row],[HomeTeam]],Standings!$A$2:$A$33,0),3),1,0)</f>
        <v>0</v>
      </c>
      <c r="AL884" s="64">
        <f>IF(Table1[[#This Row],[InterConf]]=1,IF(Table1[[#This Row],[InterDiv]]=0, 1, 0), 0)</f>
        <v>0</v>
      </c>
      <c r="AM884" s="64">
        <f>IF(INDEX(Standings!$A$2:$C$33,MATCH(Table1[[#This Row],[AwayTeam]],Standings!$A$2:$A$33,0),2)&lt;&gt;INDEX(Standings!$A$2:$C$33,MATCH(Table1[[#This Row],[HomeTeam]],Standings!$A$2:$A$33,0),2),1,0)</f>
        <v>1</v>
      </c>
      <c r="AN884" s="64" t="str">
        <f>INDEX(Table2[AWAY_RECORD], MATCH(Table1[[#This Row],[AwayTeam]],Table2[Team], 0), 0)</f>
        <v>1-0-0</v>
      </c>
      <c r="AO884" s="64" t="str">
        <f>INDEX(Records!$B$2:$AG$33, MATCH(Table1[[#This Row],[AwayTeam]],Records!$A$2:$A$33, 0), MATCH(Table1[[#This Row],[HomeTeam]],Records!$A$2:$A$33, 0))</f>
        <v>0-0-0</v>
      </c>
      <c r="AP884" s="64" t="str">
        <f>INDEX(Table2[HOME_RECORD], MATCH(Table1[[#This Row],[HomeTeam]],Table2[Team], 0), 0)</f>
        <v>0-0-1</v>
      </c>
      <c r="AQ884" s="64" t="str">
        <f>INDEX(Records!$B$2:$AG$33, MATCH(Table1[[#This Row],[HomeTeam]],Records!$A$2:$A$33, 0), MATCH(Table1[[#This Row],[AwayTeam]],Records!$A$2:$A$33, 0))</f>
        <v>0-0-0</v>
      </c>
    </row>
    <row r="885" spans="1:43" x14ac:dyDescent="0.25">
      <c r="A885" s="1"/>
      <c r="D885" t="s">
        <v>1193</v>
      </c>
      <c r="E885" t="s">
        <v>160</v>
      </c>
      <c r="F885" t="s">
        <v>1194</v>
      </c>
      <c r="G885" t="s">
        <v>60</v>
      </c>
      <c r="H885" t="s">
        <v>59</v>
      </c>
      <c r="L88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8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85" s="1"/>
      <c r="T885" s="64" t="str">
        <f>IF(Table1[[#This Row],[ActualWinner]]="", "", IF(Table1[[#This Row],[AwayTeam]]=Table1[[#This Row],[ActualWinner]],Table1[[#This Row],[HomeTeam]],Table1[[#This Row],[AwayTeam]]))</f>
        <v/>
      </c>
      <c r="U885" s="64">
        <f>Table1[[#This Row],[ActualAwayScore]]-Table1[[#This Row],[PredictedAwayScore]]</f>
        <v>0</v>
      </c>
      <c r="V885" s="64">
        <f>Table1[[#This Row],[ActualHomeScore]]-Table1[[#This Row],[PredictedHomeScore]]</f>
        <v>0</v>
      </c>
      <c r="W885" s="64">
        <f>(0.8*IF(Table1[[#This Row],[CorrectWinnerPrediction]]=1, 1, 0))+(0.1*IF(Table1[[#This Row],[CorrectAwayScorePrediction]]=1, 1, 0))+(0.1*IF(Table1[[#This Row],[CorrectHomeScorePrediction]]=1, 1, 0))</f>
        <v>0</v>
      </c>
      <c r="X88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85" s="64">
        <f>SUMIF(Table1[GameDate], Table1[[#This Row],[GameDate]], Table1[AwayGameGoalDiff])</f>
        <v>0</v>
      </c>
      <c r="AA885" s="64">
        <f>SUMIF(Table1[GameDate], Table1[[#This Row],[GameDate]], Table1[HomeGameGoalDiff])</f>
        <v>0</v>
      </c>
      <c r="AB885" s="64">
        <f>IF(ISBLANK(Table1[[#This Row],[ActualResult]]), 0, 1)</f>
        <v>0</v>
      </c>
      <c r="AC885" s="64">
        <f>IF(ISBLANK(Table1[[#This Row],[ActualResult]]), 0, IF(Table1[[#This Row],[ActualWinner]]=Table1[[#This Row],[PredictedWinner]], 1, 0))</f>
        <v>0</v>
      </c>
      <c r="AD88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8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85" s="64">
        <f>IF(AND(Table1[[#This Row],[GameIsOver]]=1,Table1[[#This Row],[ActualAwayScore]]=0), 1,0)</f>
        <v>0</v>
      </c>
      <c r="AG885" s="64">
        <f>IF(AND(Table1[[#This Row],[GameIsOver]]=1,Table1[[#This Row],[ActualHomeScore]]=0), 1,0)</f>
        <v>0</v>
      </c>
      <c r="AH885" s="64">
        <f>IF(Table1[[#This Row],[GameIsOver]]=0,0,IF(Table1[[#This Row],[ActualWinner]]=Table1[[#This Row],[AwayTeam]], 1, 0))</f>
        <v>0</v>
      </c>
      <c r="AI885" s="64">
        <f>IF(Table1[[#This Row],[GameIsOver]]=0,0,IF(Table1[[#This Row],[ActualWinner]]=Table1[[#This Row],[HomeTeam]], 1, 0))</f>
        <v>0</v>
      </c>
      <c r="AJ885" s="64">
        <f>IF(INDEX(Standings!$A$2:$C$33,MATCH(Table1[[#This Row],[AwayTeam]],Standings!$A$2:$A$33,0),2)=INDEX(Standings!$A$2:$C$33,MATCH(Table1[[#This Row],[HomeTeam]],Standings!$A$2:$A$33,0),2),1,0)</f>
        <v>0</v>
      </c>
      <c r="AK885" s="64">
        <f>IF(INDEX(Standings!$A$2:$C$33,MATCH(Table1[[#This Row],[AwayTeam]],Standings!$A$2:$A$33,0),3)=INDEX(Standings!$A$2:$C$33,MATCH(Table1[[#This Row],[HomeTeam]],Standings!$A$2:$A$33,0),3),1,0)</f>
        <v>0</v>
      </c>
      <c r="AL885" s="64">
        <f>IF(Table1[[#This Row],[InterConf]]=1,IF(Table1[[#This Row],[InterDiv]]=0, 1, 0), 0)</f>
        <v>0</v>
      </c>
      <c r="AM885" s="64">
        <f>IF(INDEX(Standings!$A$2:$C$33,MATCH(Table1[[#This Row],[AwayTeam]],Standings!$A$2:$A$33,0),2)&lt;&gt;INDEX(Standings!$A$2:$C$33,MATCH(Table1[[#This Row],[HomeTeam]],Standings!$A$2:$A$33,0),2),1,0)</f>
        <v>1</v>
      </c>
      <c r="AN885" s="64" t="str">
        <f>INDEX(Table2[AWAY_RECORD], MATCH(Table1[[#This Row],[AwayTeam]],Table2[Team], 0), 0)</f>
        <v>0-0-0</v>
      </c>
      <c r="AO885" s="64" t="str">
        <f>INDEX(Records!$B$2:$AG$33, MATCH(Table1[[#This Row],[AwayTeam]],Records!$A$2:$A$33, 0), MATCH(Table1[[#This Row],[HomeTeam]],Records!$A$2:$A$33, 0))</f>
        <v>0-0-0</v>
      </c>
      <c r="AP885" s="64" t="str">
        <f>INDEX(Table2[HOME_RECORD], MATCH(Table1[[#This Row],[HomeTeam]],Table2[Team], 0), 0)</f>
        <v>0-0-0</v>
      </c>
      <c r="AQ885" s="64" t="str">
        <f>INDEX(Records!$B$2:$AG$33, MATCH(Table1[[#This Row],[HomeTeam]],Records!$A$2:$A$33, 0), MATCH(Table1[[#This Row],[AwayTeam]],Records!$A$2:$A$33, 0))</f>
        <v>0-0-0</v>
      </c>
    </row>
    <row r="886" spans="1:43" x14ac:dyDescent="0.25">
      <c r="A886" s="1"/>
      <c r="D886" t="s">
        <v>1193</v>
      </c>
      <c r="E886" t="s">
        <v>162</v>
      </c>
      <c r="F886" t="s">
        <v>1195</v>
      </c>
      <c r="G886" t="s">
        <v>57</v>
      </c>
      <c r="H886" t="s">
        <v>54</v>
      </c>
      <c r="L88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8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86" s="1"/>
      <c r="T886" s="64" t="str">
        <f>IF(Table1[[#This Row],[ActualWinner]]="", "", IF(Table1[[#This Row],[AwayTeam]]=Table1[[#This Row],[ActualWinner]],Table1[[#This Row],[HomeTeam]],Table1[[#This Row],[AwayTeam]]))</f>
        <v/>
      </c>
      <c r="U886" s="64">
        <f>Table1[[#This Row],[ActualAwayScore]]-Table1[[#This Row],[PredictedAwayScore]]</f>
        <v>0</v>
      </c>
      <c r="V886" s="64">
        <f>Table1[[#This Row],[ActualHomeScore]]-Table1[[#This Row],[PredictedHomeScore]]</f>
        <v>0</v>
      </c>
      <c r="W886" s="64">
        <f>(0.8*IF(Table1[[#This Row],[CorrectWinnerPrediction]]=1, 1, 0))+(0.1*IF(Table1[[#This Row],[CorrectAwayScorePrediction]]=1, 1, 0))+(0.1*IF(Table1[[#This Row],[CorrectHomeScorePrediction]]=1, 1, 0))</f>
        <v>0</v>
      </c>
      <c r="X88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86" s="64">
        <f>SUMIF(Table1[GameDate], Table1[[#This Row],[GameDate]], Table1[AwayGameGoalDiff])</f>
        <v>0</v>
      </c>
      <c r="AA886" s="64">
        <f>SUMIF(Table1[GameDate], Table1[[#This Row],[GameDate]], Table1[HomeGameGoalDiff])</f>
        <v>0</v>
      </c>
      <c r="AB886" s="64">
        <f>IF(ISBLANK(Table1[[#This Row],[ActualResult]]), 0, 1)</f>
        <v>0</v>
      </c>
      <c r="AC886" s="64">
        <f>IF(ISBLANK(Table1[[#This Row],[ActualResult]]), 0, IF(Table1[[#This Row],[ActualWinner]]=Table1[[#This Row],[PredictedWinner]], 1, 0))</f>
        <v>0</v>
      </c>
      <c r="AD88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8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86" s="64">
        <f>IF(AND(Table1[[#This Row],[GameIsOver]]=1,Table1[[#This Row],[ActualAwayScore]]=0), 1,0)</f>
        <v>0</v>
      </c>
      <c r="AG886" s="64">
        <f>IF(AND(Table1[[#This Row],[GameIsOver]]=1,Table1[[#This Row],[ActualHomeScore]]=0), 1,0)</f>
        <v>0</v>
      </c>
      <c r="AH886" s="64">
        <f>IF(Table1[[#This Row],[GameIsOver]]=0,0,IF(Table1[[#This Row],[ActualWinner]]=Table1[[#This Row],[AwayTeam]], 1, 0))</f>
        <v>0</v>
      </c>
      <c r="AI886" s="64">
        <f>IF(Table1[[#This Row],[GameIsOver]]=0,0,IF(Table1[[#This Row],[ActualWinner]]=Table1[[#This Row],[HomeTeam]], 1, 0))</f>
        <v>0</v>
      </c>
      <c r="AJ886" s="64">
        <f>IF(INDEX(Standings!$A$2:$C$33,MATCH(Table1[[#This Row],[AwayTeam]],Standings!$A$2:$A$33,0),2)=INDEX(Standings!$A$2:$C$33,MATCH(Table1[[#This Row],[HomeTeam]],Standings!$A$2:$A$33,0),2),1,0)</f>
        <v>1</v>
      </c>
      <c r="AK886" s="64">
        <f>IF(INDEX(Standings!$A$2:$C$33,MATCH(Table1[[#This Row],[AwayTeam]],Standings!$A$2:$A$33,0),3)=INDEX(Standings!$A$2:$C$33,MATCH(Table1[[#This Row],[HomeTeam]],Standings!$A$2:$A$33,0),3),1,0)</f>
        <v>0</v>
      </c>
      <c r="AL886" s="64">
        <f>IF(Table1[[#This Row],[InterConf]]=1,IF(Table1[[#This Row],[InterDiv]]=0, 1, 0), 0)</f>
        <v>1</v>
      </c>
      <c r="AM886" s="64">
        <f>IF(INDEX(Standings!$A$2:$C$33,MATCH(Table1[[#This Row],[AwayTeam]],Standings!$A$2:$A$33,0),2)&lt;&gt;INDEX(Standings!$A$2:$C$33,MATCH(Table1[[#This Row],[HomeTeam]],Standings!$A$2:$A$33,0),2),1,0)</f>
        <v>0</v>
      </c>
      <c r="AN886" s="64" t="str">
        <f>INDEX(Table2[AWAY_RECORD], MATCH(Table1[[#This Row],[AwayTeam]],Table2[Team], 0), 0)</f>
        <v>0-1-0</v>
      </c>
      <c r="AO886" s="64" t="str">
        <f>INDEX(Records!$B$2:$AG$33, MATCH(Table1[[#This Row],[AwayTeam]],Records!$A$2:$A$33, 0), MATCH(Table1[[#This Row],[HomeTeam]],Records!$A$2:$A$33, 0))</f>
        <v>0-0-0</v>
      </c>
      <c r="AP886" s="64" t="str">
        <f>INDEX(Table2[HOME_RECORD], MATCH(Table1[[#This Row],[HomeTeam]],Table2[Team], 0), 0)</f>
        <v>0-0-0</v>
      </c>
      <c r="AQ886" s="64" t="str">
        <f>INDEX(Records!$B$2:$AG$33, MATCH(Table1[[#This Row],[HomeTeam]],Records!$A$2:$A$33, 0), MATCH(Table1[[#This Row],[AwayTeam]],Records!$A$2:$A$33, 0))</f>
        <v>0-0-0</v>
      </c>
    </row>
    <row r="887" spans="1:43" x14ac:dyDescent="0.25">
      <c r="A887" s="1"/>
      <c r="D887" t="s">
        <v>1193</v>
      </c>
      <c r="E887" t="s">
        <v>164</v>
      </c>
      <c r="F887" t="s">
        <v>1196</v>
      </c>
      <c r="G887" t="s">
        <v>48</v>
      </c>
      <c r="H887" t="s">
        <v>58</v>
      </c>
      <c r="L88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8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87" s="1"/>
      <c r="T887" s="64" t="str">
        <f>IF(Table1[[#This Row],[ActualWinner]]="", "", IF(Table1[[#This Row],[AwayTeam]]=Table1[[#This Row],[ActualWinner]],Table1[[#This Row],[HomeTeam]],Table1[[#This Row],[AwayTeam]]))</f>
        <v/>
      </c>
      <c r="U887" s="64">
        <f>Table1[[#This Row],[ActualAwayScore]]-Table1[[#This Row],[PredictedAwayScore]]</f>
        <v>0</v>
      </c>
      <c r="V887" s="64">
        <f>Table1[[#This Row],[ActualHomeScore]]-Table1[[#This Row],[PredictedHomeScore]]</f>
        <v>0</v>
      </c>
      <c r="W887" s="64">
        <f>(0.8*IF(Table1[[#This Row],[CorrectWinnerPrediction]]=1, 1, 0))+(0.1*IF(Table1[[#This Row],[CorrectAwayScorePrediction]]=1, 1, 0))+(0.1*IF(Table1[[#This Row],[CorrectHomeScorePrediction]]=1, 1, 0))</f>
        <v>0</v>
      </c>
      <c r="X88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87" s="64">
        <f>SUMIF(Table1[GameDate], Table1[[#This Row],[GameDate]], Table1[AwayGameGoalDiff])</f>
        <v>0</v>
      </c>
      <c r="AA887" s="64">
        <f>SUMIF(Table1[GameDate], Table1[[#This Row],[GameDate]], Table1[HomeGameGoalDiff])</f>
        <v>0</v>
      </c>
      <c r="AB887" s="64">
        <f>IF(ISBLANK(Table1[[#This Row],[ActualResult]]), 0, 1)</f>
        <v>0</v>
      </c>
      <c r="AC887" s="64">
        <f>IF(ISBLANK(Table1[[#This Row],[ActualResult]]), 0, IF(Table1[[#This Row],[ActualWinner]]=Table1[[#This Row],[PredictedWinner]], 1, 0))</f>
        <v>0</v>
      </c>
      <c r="AD88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8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87" s="64">
        <f>IF(AND(Table1[[#This Row],[GameIsOver]]=1,Table1[[#This Row],[ActualAwayScore]]=0), 1,0)</f>
        <v>0</v>
      </c>
      <c r="AG887" s="64">
        <f>IF(AND(Table1[[#This Row],[GameIsOver]]=1,Table1[[#This Row],[ActualHomeScore]]=0), 1,0)</f>
        <v>0</v>
      </c>
      <c r="AH887" s="64">
        <f>IF(Table1[[#This Row],[GameIsOver]]=0,0,IF(Table1[[#This Row],[ActualWinner]]=Table1[[#This Row],[AwayTeam]], 1, 0))</f>
        <v>0</v>
      </c>
      <c r="AI887" s="64">
        <f>IF(Table1[[#This Row],[GameIsOver]]=0,0,IF(Table1[[#This Row],[ActualWinner]]=Table1[[#This Row],[HomeTeam]], 1, 0))</f>
        <v>0</v>
      </c>
      <c r="AJ887" s="64">
        <f>IF(INDEX(Standings!$A$2:$C$33,MATCH(Table1[[#This Row],[AwayTeam]],Standings!$A$2:$A$33,0),2)=INDEX(Standings!$A$2:$C$33,MATCH(Table1[[#This Row],[HomeTeam]],Standings!$A$2:$A$33,0),2),1,0)</f>
        <v>1</v>
      </c>
      <c r="AK887" s="64">
        <f>IF(INDEX(Standings!$A$2:$C$33,MATCH(Table1[[#This Row],[AwayTeam]],Standings!$A$2:$A$33,0),3)=INDEX(Standings!$A$2:$C$33,MATCH(Table1[[#This Row],[HomeTeam]],Standings!$A$2:$A$33,0),3),1,0)</f>
        <v>1</v>
      </c>
      <c r="AL887" s="64">
        <f>IF(Table1[[#This Row],[InterConf]]=1,IF(Table1[[#This Row],[InterDiv]]=0, 1, 0), 0)</f>
        <v>0</v>
      </c>
      <c r="AM887" s="64">
        <f>IF(INDEX(Standings!$A$2:$C$33,MATCH(Table1[[#This Row],[AwayTeam]],Standings!$A$2:$A$33,0),2)&lt;&gt;INDEX(Standings!$A$2:$C$33,MATCH(Table1[[#This Row],[HomeTeam]],Standings!$A$2:$A$33,0),2),1,0)</f>
        <v>0</v>
      </c>
      <c r="AN887" s="64" t="str">
        <f>INDEX(Table2[AWAY_RECORD], MATCH(Table1[[#This Row],[AwayTeam]],Table2[Team], 0), 0)</f>
        <v>0-0-0</v>
      </c>
      <c r="AO887" s="64" t="str">
        <f>INDEX(Records!$B$2:$AG$33, MATCH(Table1[[#This Row],[AwayTeam]],Records!$A$2:$A$33, 0), MATCH(Table1[[#This Row],[HomeTeam]],Records!$A$2:$A$33, 0))</f>
        <v>0-0-0</v>
      </c>
      <c r="AP887" s="64" t="str">
        <f>INDEX(Table2[HOME_RECORD], MATCH(Table1[[#This Row],[HomeTeam]],Table2[Team], 0), 0)</f>
        <v>1-0-0</v>
      </c>
      <c r="AQ887" s="64" t="str">
        <f>INDEX(Records!$B$2:$AG$33, MATCH(Table1[[#This Row],[HomeTeam]],Records!$A$2:$A$33, 0), MATCH(Table1[[#This Row],[AwayTeam]],Records!$A$2:$A$33, 0))</f>
        <v>0-0-0</v>
      </c>
    </row>
    <row r="888" spans="1:43" x14ac:dyDescent="0.25">
      <c r="A888" s="1"/>
      <c r="D888" t="s">
        <v>1197</v>
      </c>
      <c r="E888" t="s">
        <v>162</v>
      </c>
      <c r="F888" t="s">
        <v>1198</v>
      </c>
      <c r="G888" t="s">
        <v>50</v>
      </c>
      <c r="H888" t="s">
        <v>38</v>
      </c>
      <c r="L88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8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88" s="1"/>
      <c r="T888" s="64" t="str">
        <f>IF(Table1[[#This Row],[ActualWinner]]="", "", IF(Table1[[#This Row],[AwayTeam]]=Table1[[#This Row],[ActualWinner]],Table1[[#This Row],[HomeTeam]],Table1[[#This Row],[AwayTeam]]))</f>
        <v/>
      </c>
      <c r="U888" s="64">
        <f>Table1[[#This Row],[ActualAwayScore]]-Table1[[#This Row],[PredictedAwayScore]]</f>
        <v>0</v>
      </c>
      <c r="V888" s="64">
        <f>Table1[[#This Row],[ActualHomeScore]]-Table1[[#This Row],[PredictedHomeScore]]</f>
        <v>0</v>
      </c>
      <c r="W888" s="64">
        <f>(0.8*IF(Table1[[#This Row],[CorrectWinnerPrediction]]=1, 1, 0))+(0.1*IF(Table1[[#This Row],[CorrectAwayScorePrediction]]=1, 1, 0))+(0.1*IF(Table1[[#This Row],[CorrectHomeScorePrediction]]=1, 1, 0))</f>
        <v>0</v>
      </c>
      <c r="X88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88" s="64">
        <f>SUMIF(Table1[GameDate], Table1[[#This Row],[GameDate]], Table1[AwayGameGoalDiff])</f>
        <v>0</v>
      </c>
      <c r="AA888" s="64">
        <f>SUMIF(Table1[GameDate], Table1[[#This Row],[GameDate]], Table1[HomeGameGoalDiff])</f>
        <v>0</v>
      </c>
      <c r="AB888" s="64">
        <f>IF(ISBLANK(Table1[[#This Row],[ActualResult]]), 0, 1)</f>
        <v>0</v>
      </c>
      <c r="AC888" s="64">
        <f>IF(ISBLANK(Table1[[#This Row],[ActualResult]]), 0, IF(Table1[[#This Row],[ActualWinner]]=Table1[[#This Row],[PredictedWinner]], 1, 0))</f>
        <v>0</v>
      </c>
      <c r="AD88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8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88" s="64">
        <f>IF(AND(Table1[[#This Row],[GameIsOver]]=1,Table1[[#This Row],[ActualAwayScore]]=0), 1,0)</f>
        <v>0</v>
      </c>
      <c r="AG888" s="64">
        <f>IF(AND(Table1[[#This Row],[GameIsOver]]=1,Table1[[#This Row],[ActualHomeScore]]=0), 1,0)</f>
        <v>0</v>
      </c>
      <c r="AH888" s="64">
        <f>IF(Table1[[#This Row],[GameIsOver]]=0,0,IF(Table1[[#This Row],[ActualWinner]]=Table1[[#This Row],[AwayTeam]], 1, 0))</f>
        <v>0</v>
      </c>
      <c r="AI888" s="64">
        <f>IF(Table1[[#This Row],[GameIsOver]]=0,0,IF(Table1[[#This Row],[ActualWinner]]=Table1[[#This Row],[HomeTeam]], 1, 0))</f>
        <v>0</v>
      </c>
      <c r="AJ888" s="64">
        <f>IF(INDEX(Standings!$A$2:$C$33,MATCH(Table1[[#This Row],[AwayTeam]],Standings!$A$2:$A$33,0),2)=INDEX(Standings!$A$2:$C$33,MATCH(Table1[[#This Row],[HomeTeam]],Standings!$A$2:$A$33,0),2),1,0)</f>
        <v>1</v>
      </c>
      <c r="AK888" s="64">
        <f>IF(INDEX(Standings!$A$2:$C$33,MATCH(Table1[[#This Row],[AwayTeam]],Standings!$A$2:$A$33,0),3)=INDEX(Standings!$A$2:$C$33,MATCH(Table1[[#This Row],[HomeTeam]],Standings!$A$2:$A$33,0),3),1,0)</f>
        <v>0</v>
      </c>
      <c r="AL888" s="64">
        <f>IF(Table1[[#This Row],[InterConf]]=1,IF(Table1[[#This Row],[InterDiv]]=0, 1, 0), 0)</f>
        <v>1</v>
      </c>
      <c r="AM888" s="64">
        <f>IF(INDEX(Standings!$A$2:$C$33,MATCH(Table1[[#This Row],[AwayTeam]],Standings!$A$2:$A$33,0),2)&lt;&gt;INDEX(Standings!$A$2:$C$33,MATCH(Table1[[#This Row],[HomeTeam]],Standings!$A$2:$A$33,0),2),1,0)</f>
        <v>0</v>
      </c>
      <c r="AN888" s="64" t="str">
        <f>INDEX(Table2[AWAY_RECORD], MATCH(Table1[[#This Row],[AwayTeam]],Table2[Team], 0), 0)</f>
        <v>1-0-0</v>
      </c>
      <c r="AO888" s="64" t="str">
        <f>INDEX(Records!$B$2:$AG$33, MATCH(Table1[[#This Row],[AwayTeam]],Records!$A$2:$A$33, 0), MATCH(Table1[[#This Row],[HomeTeam]],Records!$A$2:$A$33, 0))</f>
        <v>0-0-0</v>
      </c>
      <c r="AP888" s="64" t="str">
        <f>INDEX(Table2[HOME_RECORD], MATCH(Table1[[#This Row],[HomeTeam]],Table2[Team], 0), 0)</f>
        <v>0-0-0</v>
      </c>
      <c r="AQ888" s="64" t="str">
        <f>INDEX(Records!$B$2:$AG$33, MATCH(Table1[[#This Row],[HomeTeam]],Records!$A$2:$A$33, 0), MATCH(Table1[[#This Row],[AwayTeam]],Records!$A$2:$A$33, 0))</f>
        <v>0-0-0</v>
      </c>
    </row>
    <row r="889" spans="1:43" x14ac:dyDescent="0.25">
      <c r="A889" s="1"/>
      <c r="D889" t="s">
        <v>1197</v>
      </c>
      <c r="E889" t="s">
        <v>162</v>
      </c>
      <c r="F889" t="s">
        <v>1199</v>
      </c>
      <c r="G889" t="s">
        <v>59</v>
      </c>
      <c r="H889" t="s">
        <v>17</v>
      </c>
      <c r="L88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8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89" s="1"/>
      <c r="T889" s="64" t="str">
        <f>IF(Table1[[#This Row],[ActualWinner]]="", "", IF(Table1[[#This Row],[AwayTeam]]=Table1[[#This Row],[ActualWinner]],Table1[[#This Row],[HomeTeam]],Table1[[#This Row],[AwayTeam]]))</f>
        <v/>
      </c>
      <c r="U889" s="64">
        <f>Table1[[#This Row],[ActualAwayScore]]-Table1[[#This Row],[PredictedAwayScore]]</f>
        <v>0</v>
      </c>
      <c r="V889" s="64">
        <f>Table1[[#This Row],[ActualHomeScore]]-Table1[[#This Row],[PredictedHomeScore]]</f>
        <v>0</v>
      </c>
      <c r="W889" s="64">
        <f>(0.8*IF(Table1[[#This Row],[CorrectWinnerPrediction]]=1, 1, 0))+(0.1*IF(Table1[[#This Row],[CorrectAwayScorePrediction]]=1, 1, 0))+(0.1*IF(Table1[[#This Row],[CorrectHomeScorePrediction]]=1, 1, 0))</f>
        <v>0</v>
      </c>
      <c r="X88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89" s="64">
        <f>SUMIF(Table1[GameDate], Table1[[#This Row],[GameDate]], Table1[AwayGameGoalDiff])</f>
        <v>0</v>
      </c>
      <c r="AA889" s="64">
        <f>SUMIF(Table1[GameDate], Table1[[#This Row],[GameDate]], Table1[HomeGameGoalDiff])</f>
        <v>0</v>
      </c>
      <c r="AB889" s="64">
        <f>IF(ISBLANK(Table1[[#This Row],[ActualResult]]), 0, 1)</f>
        <v>0</v>
      </c>
      <c r="AC889" s="64">
        <f>IF(ISBLANK(Table1[[#This Row],[ActualResult]]), 0, IF(Table1[[#This Row],[ActualWinner]]=Table1[[#This Row],[PredictedWinner]], 1, 0))</f>
        <v>0</v>
      </c>
      <c r="AD88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8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89" s="64">
        <f>IF(AND(Table1[[#This Row],[GameIsOver]]=1,Table1[[#This Row],[ActualAwayScore]]=0), 1,0)</f>
        <v>0</v>
      </c>
      <c r="AG889" s="64">
        <f>IF(AND(Table1[[#This Row],[GameIsOver]]=1,Table1[[#This Row],[ActualHomeScore]]=0), 1,0)</f>
        <v>0</v>
      </c>
      <c r="AH889" s="64">
        <f>IF(Table1[[#This Row],[GameIsOver]]=0,0,IF(Table1[[#This Row],[ActualWinner]]=Table1[[#This Row],[AwayTeam]], 1, 0))</f>
        <v>0</v>
      </c>
      <c r="AI889" s="64">
        <f>IF(Table1[[#This Row],[GameIsOver]]=0,0,IF(Table1[[#This Row],[ActualWinner]]=Table1[[#This Row],[HomeTeam]], 1, 0))</f>
        <v>0</v>
      </c>
      <c r="AJ889" s="64">
        <f>IF(INDEX(Standings!$A$2:$C$33,MATCH(Table1[[#This Row],[AwayTeam]],Standings!$A$2:$A$33,0),2)=INDEX(Standings!$A$2:$C$33,MATCH(Table1[[#This Row],[HomeTeam]],Standings!$A$2:$A$33,0),2),1,0)</f>
        <v>1</v>
      </c>
      <c r="AK889" s="64">
        <f>IF(INDEX(Standings!$A$2:$C$33,MATCH(Table1[[#This Row],[AwayTeam]],Standings!$A$2:$A$33,0),3)=INDEX(Standings!$A$2:$C$33,MATCH(Table1[[#This Row],[HomeTeam]],Standings!$A$2:$A$33,0),3),1,0)</f>
        <v>0</v>
      </c>
      <c r="AL889" s="64">
        <f>IF(Table1[[#This Row],[InterConf]]=1,IF(Table1[[#This Row],[InterDiv]]=0, 1, 0), 0)</f>
        <v>1</v>
      </c>
      <c r="AM889" s="64">
        <f>IF(INDEX(Standings!$A$2:$C$33,MATCH(Table1[[#This Row],[AwayTeam]],Standings!$A$2:$A$33,0),2)&lt;&gt;INDEX(Standings!$A$2:$C$33,MATCH(Table1[[#This Row],[HomeTeam]],Standings!$A$2:$A$33,0),2),1,0)</f>
        <v>0</v>
      </c>
      <c r="AN889" s="64" t="str">
        <f>INDEX(Table2[AWAY_RECORD], MATCH(Table1[[#This Row],[AwayTeam]],Table2[Team], 0), 0)</f>
        <v>0-1-0</v>
      </c>
      <c r="AO889" s="64" t="str">
        <f>INDEX(Records!$B$2:$AG$33, MATCH(Table1[[#This Row],[AwayTeam]],Records!$A$2:$A$33, 0), MATCH(Table1[[#This Row],[HomeTeam]],Records!$A$2:$A$33, 0))</f>
        <v>0-0-0</v>
      </c>
      <c r="AP889" s="64" t="str">
        <f>INDEX(Table2[HOME_RECORD], MATCH(Table1[[#This Row],[HomeTeam]],Table2[Team], 0), 0)</f>
        <v>0-0-0</v>
      </c>
      <c r="AQ889" s="64" t="str">
        <f>INDEX(Records!$B$2:$AG$33, MATCH(Table1[[#This Row],[HomeTeam]],Records!$A$2:$A$33, 0), MATCH(Table1[[#This Row],[AwayTeam]],Records!$A$2:$A$33, 0))</f>
        <v>0-0-0</v>
      </c>
    </row>
    <row r="890" spans="1:43" x14ac:dyDescent="0.25">
      <c r="A890" s="1"/>
      <c r="D890" t="s">
        <v>1197</v>
      </c>
      <c r="E890" t="s">
        <v>289</v>
      </c>
      <c r="F890" t="s">
        <v>1200</v>
      </c>
      <c r="G890" t="s">
        <v>60</v>
      </c>
      <c r="H890" t="s">
        <v>51</v>
      </c>
      <c r="L89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9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90" s="1"/>
      <c r="T890" s="64" t="str">
        <f>IF(Table1[[#This Row],[ActualWinner]]="", "", IF(Table1[[#This Row],[AwayTeam]]=Table1[[#This Row],[ActualWinner]],Table1[[#This Row],[HomeTeam]],Table1[[#This Row],[AwayTeam]]))</f>
        <v/>
      </c>
      <c r="U890" s="64">
        <f>Table1[[#This Row],[ActualAwayScore]]-Table1[[#This Row],[PredictedAwayScore]]</f>
        <v>0</v>
      </c>
      <c r="V890" s="64">
        <f>Table1[[#This Row],[ActualHomeScore]]-Table1[[#This Row],[PredictedHomeScore]]</f>
        <v>0</v>
      </c>
      <c r="W890" s="64">
        <f>(0.8*IF(Table1[[#This Row],[CorrectWinnerPrediction]]=1, 1, 0))+(0.1*IF(Table1[[#This Row],[CorrectAwayScorePrediction]]=1, 1, 0))+(0.1*IF(Table1[[#This Row],[CorrectHomeScorePrediction]]=1, 1, 0))</f>
        <v>0</v>
      </c>
      <c r="X89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90" s="64">
        <f>SUMIF(Table1[GameDate], Table1[[#This Row],[GameDate]], Table1[AwayGameGoalDiff])</f>
        <v>0</v>
      </c>
      <c r="AA890" s="64">
        <f>SUMIF(Table1[GameDate], Table1[[#This Row],[GameDate]], Table1[HomeGameGoalDiff])</f>
        <v>0</v>
      </c>
      <c r="AB890" s="64">
        <f>IF(ISBLANK(Table1[[#This Row],[ActualResult]]), 0, 1)</f>
        <v>0</v>
      </c>
      <c r="AC890" s="64">
        <f>IF(ISBLANK(Table1[[#This Row],[ActualResult]]), 0, IF(Table1[[#This Row],[ActualWinner]]=Table1[[#This Row],[PredictedWinner]], 1, 0))</f>
        <v>0</v>
      </c>
      <c r="AD89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9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90" s="64">
        <f>IF(AND(Table1[[#This Row],[GameIsOver]]=1,Table1[[#This Row],[ActualAwayScore]]=0), 1,0)</f>
        <v>0</v>
      </c>
      <c r="AG890" s="64">
        <f>IF(AND(Table1[[#This Row],[GameIsOver]]=1,Table1[[#This Row],[ActualHomeScore]]=0), 1,0)</f>
        <v>0</v>
      </c>
      <c r="AH890" s="64">
        <f>IF(Table1[[#This Row],[GameIsOver]]=0,0,IF(Table1[[#This Row],[ActualWinner]]=Table1[[#This Row],[AwayTeam]], 1, 0))</f>
        <v>0</v>
      </c>
      <c r="AI890" s="64">
        <f>IF(Table1[[#This Row],[GameIsOver]]=0,0,IF(Table1[[#This Row],[ActualWinner]]=Table1[[#This Row],[HomeTeam]], 1, 0))</f>
        <v>0</v>
      </c>
      <c r="AJ890" s="64">
        <f>IF(INDEX(Standings!$A$2:$C$33,MATCH(Table1[[#This Row],[AwayTeam]],Standings!$A$2:$A$33,0),2)=INDEX(Standings!$A$2:$C$33,MATCH(Table1[[#This Row],[HomeTeam]],Standings!$A$2:$A$33,0),2),1,0)</f>
        <v>0</v>
      </c>
      <c r="AK890" s="64">
        <f>IF(INDEX(Standings!$A$2:$C$33,MATCH(Table1[[#This Row],[AwayTeam]],Standings!$A$2:$A$33,0),3)=INDEX(Standings!$A$2:$C$33,MATCH(Table1[[#This Row],[HomeTeam]],Standings!$A$2:$A$33,0),3),1,0)</f>
        <v>0</v>
      </c>
      <c r="AL890" s="64">
        <f>IF(Table1[[#This Row],[InterConf]]=1,IF(Table1[[#This Row],[InterDiv]]=0, 1, 0), 0)</f>
        <v>0</v>
      </c>
      <c r="AM890" s="64">
        <f>IF(INDEX(Standings!$A$2:$C$33,MATCH(Table1[[#This Row],[AwayTeam]],Standings!$A$2:$A$33,0),2)&lt;&gt;INDEX(Standings!$A$2:$C$33,MATCH(Table1[[#This Row],[HomeTeam]],Standings!$A$2:$A$33,0),2),1,0)</f>
        <v>1</v>
      </c>
      <c r="AN890" s="64" t="str">
        <f>INDEX(Table2[AWAY_RECORD], MATCH(Table1[[#This Row],[AwayTeam]],Table2[Team], 0), 0)</f>
        <v>0-0-0</v>
      </c>
      <c r="AO890" s="64" t="str">
        <f>INDEX(Records!$B$2:$AG$33, MATCH(Table1[[#This Row],[AwayTeam]],Records!$A$2:$A$33, 0), MATCH(Table1[[#This Row],[HomeTeam]],Records!$A$2:$A$33, 0))</f>
        <v>0-0-0</v>
      </c>
      <c r="AP890" s="64" t="str">
        <f>INDEX(Table2[HOME_RECORD], MATCH(Table1[[#This Row],[HomeTeam]],Table2[Team], 0), 0)</f>
        <v>1-0-0</v>
      </c>
      <c r="AQ890" s="64" t="str">
        <f>INDEX(Records!$B$2:$AG$33, MATCH(Table1[[#This Row],[HomeTeam]],Records!$A$2:$A$33, 0), MATCH(Table1[[#This Row],[AwayTeam]],Records!$A$2:$A$33, 0))</f>
        <v>0-0-0</v>
      </c>
    </row>
    <row r="891" spans="1:43" x14ac:dyDescent="0.25">
      <c r="A891" s="1"/>
      <c r="D891" t="s">
        <v>1197</v>
      </c>
      <c r="E891" t="s">
        <v>289</v>
      </c>
      <c r="F891" t="s">
        <v>1201</v>
      </c>
      <c r="G891" t="s">
        <v>57</v>
      </c>
      <c r="H891" t="s">
        <v>53</v>
      </c>
      <c r="L89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9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91" s="1"/>
      <c r="T891" s="64" t="str">
        <f>IF(Table1[[#This Row],[ActualWinner]]="", "", IF(Table1[[#This Row],[AwayTeam]]=Table1[[#This Row],[ActualWinner]],Table1[[#This Row],[HomeTeam]],Table1[[#This Row],[AwayTeam]]))</f>
        <v/>
      </c>
      <c r="U891" s="64">
        <f>Table1[[#This Row],[ActualAwayScore]]-Table1[[#This Row],[PredictedAwayScore]]</f>
        <v>0</v>
      </c>
      <c r="V891" s="64">
        <f>Table1[[#This Row],[ActualHomeScore]]-Table1[[#This Row],[PredictedHomeScore]]</f>
        <v>0</v>
      </c>
      <c r="W891" s="64">
        <f>(0.8*IF(Table1[[#This Row],[CorrectWinnerPrediction]]=1, 1, 0))+(0.1*IF(Table1[[#This Row],[CorrectAwayScorePrediction]]=1, 1, 0))+(0.1*IF(Table1[[#This Row],[CorrectHomeScorePrediction]]=1, 1, 0))</f>
        <v>0</v>
      </c>
      <c r="X89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91" s="64">
        <f>SUMIF(Table1[GameDate], Table1[[#This Row],[GameDate]], Table1[AwayGameGoalDiff])</f>
        <v>0</v>
      </c>
      <c r="AA891" s="64">
        <f>SUMIF(Table1[GameDate], Table1[[#This Row],[GameDate]], Table1[HomeGameGoalDiff])</f>
        <v>0</v>
      </c>
      <c r="AB891" s="64">
        <f>IF(ISBLANK(Table1[[#This Row],[ActualResult]]), 0, 1)</f>
        <v>0</v>
      </c>
      <c r="AC891" s="64">
        <f>IF(ISBLANK(Table1[[#This Row],[ActualResult]]), 0, IF(Table1[[#This Row],[ActualWinner]]=Table1[[#This Row],[PredictedWinner]], 1, 0))</f>
        <v>0</v>
      </c>
      <c r="AD89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9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91" s="64">
        <f>IF(AND(Table1[[#This Row],[GameIsOver]]=1,Table1[[#This Row],[ActualAwayScore]]=0), 1,0)</f>
        <v>0</v>
      </c>
      <c r="AG891" s="64">
        <f>IF(AND(Table1[[#This Row],[GameIsOver]]=1,Table1[[#This Row],[ActualHomeScore]]=0), 1,0)</f>
        <v>0</v>
      </c>
      <c r="AH891" s="64">
        <f>IF(Table1[[#This Row],[GameIsOver]]=0,0,IF(Table1[[#This Row],[ActualWinner]]=Table1[[#This Row],[AwayTeam]], 1, 0))</f>
        <v>0</v>
      </c>
      <c r="AI891" s="64">
        <f>IF(Table1[[#This Row],[GameIsOver]]=0,0,IF(Table1[[#This Row],[ActualWinner]]=Table1[[#This Row],[HomeTeam]], 1, 0))</f>
        <v>0</v>
      </c>
      <c r="AJ891" s="64">
        <f>IF(INDEX(Standings!$A$2:$C$33,MATCH(Table1[[#This Row],[AwayTeam]],Standings!$A$2:$A$33,0),2)=INDEX(Standings!$A$2:$C$33,MATCH(Table1[[#This Row],[HomeTeam]],Standings!$A$2:$A$33,0),2),1,0)</f>
        <v>1</v>
      </c>
      <c r="AK891" s="64">
        <f>IF(INDEX(Standings!$A$2:$C$33,MATCH(Table1[[#This Row],[AwayTeam]],Standings!$A$2:$A$33,0),3)=INDEX(Standings!$A$2:$C$33,MATCH(Table1[[#This Row],[HomeTeam]],Standings!$A$2:$A$33,0),3),1,0)</f>
        <v>0</v>
      </c>
      <c r="AL891" s="64">
        <f>IF(Table1[[#This Row],[InterConf]]=1,IF(Table1[[#This Row],[InterDiv]]=0, 1, 0), 0)</f>
        <v>1</v>
      </c>
      <c r="AM891" s="64">
        <f>IF(INDEX(Standings!$A$2:$C$33,MATCH(Table1[[#This Row],[AwayTeam]],Standings!$A$2:$A$33,0),2)&lt;&gt;INDEX(Standings!$A$2:$C$33,MATCH(Table1[[#This Row],[HomeTeam]],Standings!$A$2:$A$33,0),2),1,0)</f>
        <v>0</v>
      </c>
      <c r="AN891" s="64" t="str">
        <f>INDEX(Table2[AWAY_RECORD], MATCH(Table1[[#This Row],[AwayTeam]],Table2[Team], 0), 0)</f>
        <v>0-1-0</v>
      </c>
      <c r="AO891" s="64" t="str">
        <f>INDEX(Records!$B$2:$AG$33, MATCH(Table1[[#This Row],[AwayTeam]],Records!$A$2:$A$33, 0), MATCH(Table1[[#This Row],[HomeTeam]],Records!$A$2:$A$33, 0))</f>
        <v>0-0-0</v>
      </c>
      <c r="AP891" s="64" t="str">
        <f>INDEX(Table2[HOME_RECORD], MATCH(Table1[[#This Row],[HomeTeam]],Table2[Team], 0), 0)</f>
        <v>1-0-0</v>
      </c>
      <c r="AQ891" s="64" t="str">
        <f>INDEX(Records!$B$2:$AG$33, MATCH(Table1[[#This Row],[HomeTeam]],Records!$A$2:$A$33, 0), MATCH(Table1[[#This Row],[AwayTeam]],Records!$A$2:$A$33, 0))</f>
        <v>0-0-0</v>
      </c>
    </row>
    <row r="892" spans="1:43" x14ac:dyDescent="0.25">
      <c r="A892" s="1"/>
      <c r="D892" t="s">
        <v>1197</v>
      </c>
      <c r="E892" t="s">
        <v>164</v>
      </c>
      <c r="F892" t="s">
        <v>1202</v>
      </c>
      <c r="G892" t="s">
        <v>58</v>
      </c>
      <c r="H892" t="s">
        <v>39</v>
      </c>
      <c r="L89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9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92" s="1"/>
      <c r="T892" s="64" t="str">
        <f>IF(Table1[[#This Row],[ActualWinner]]="", "", IF(Table1[[#This Row],[AwayTeam]]=Table1[[#This Row],[ActualWinner]],Table1[[#This Row],[HomeTeam]],Table1[[#This Row],[AwayTeam]]))</f>
        <v/>
      </c>
      <c r="U892" s="64">
        <f>Table1[[#This Row],[ActualAwayScore]]-Table1[[#This Row],[PredictedAwayScore]]</f>
        <v>0</v>
      </c>
      <c r="V892" s="64">
        <f>Table1[[#This Row],[ActualHomeScore]]-Table1[[#This Row],[PredictedHomeScore]]</f>
        <v>0</v>
      </c>
      <c r="W892" s="64">
        <f>(0.8*IF(Table1[[#This Row],[CorrectWinnerPrediction]]=1, 1, 0))+(0.1*IF(Table1[[#This Row],[CorrectAwayScorePrediction]]=1, 1, 0))+(0.1*IF(Table1[[#This Row],[CorrectHomeScorePrediction]]=1, 1, 0))</f>
        <v>0</v>
      </c>
      <c r="X89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92" s="64">
        <f>SUMIF(Table1[GameDate], Table1[[#This Row],[GameDate]], Table1[AwayGameGoalDiff])</f>
        <v>0</v>
      </c>
      <c r="AA892" s="64">
        <f>SUMIF(Table1[GameDate], Table1[[#This Row],[GameDate]], Table1[HomeGameGoalDiff])</f>
        <v>0</v>
      </c>
      <c r="AB892" s="64">
        <f>IF(ISBLANK(Table1[[#This Row],[ActualResult]]), 0, 1)</f>
        <v>0</v>
      </c>
      <c r="AC892" s="64">
        <f>IF(ISBLANK(Table1[[#This Row],[ActualResult]]), 0, IF(Table1[[#This Row],[ActualWinner]]=Table1[[#This Row],[PredictedWinner]], 1, 0))</f>
        <v>0</v>
      </c>
      <c r="AD89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9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92" s="64">
        <f>IF(AND(Table1[[#This Row],[GameIsOver]]=1,Table1[[#This Row],[ActualAwayScore]]=0), 1,0)</f>
        <v>0</v>
      </c>
      <c r="AG892" s="64">
        <f>IF(AND(Table1[[#This Row],[GameIsOver]]=1,Table1[[#This Row],[ActualHomeScore]]=0), 1,0)</f>
        <v>0</v>
      </c>
      <c r="AH892" s="64">
        <f>IF(Table1[[#This Row],[GameIsOver]]=0,0,IF(Table1[[#This Row],[ActualWinner]]=Table1[[#This Row],[AwayTeam]], 1, 0))</f>
        <v>0</v>
      </c>
      <c r="AI892" s="64">
        <f>IF(Table1[[#This Row],[GameIsOver]]=0,0,IF(Table1[[#This Row],[ActualWinner]]=Table1[[#This Row],[HomeTeam]], 1, 0))</f>
        <v>0</v>
      </c>
      <c r="AJ892" s="64">
        <f>IF(INDEX(Standings!$A$2:$C$33,MATCH(Table1[[#This Row],[AwayTeam]],Standings!$A$2:$A$33,0),2)=INDEX(Standings!$A$2:$C$33,MATCH(Table1[[#This Row],[HomeTeam]],Standings!$A$2:$A$33,0),2),1,0)</f>
        <v>1</v>
      </c>
      <c r="AK892" s="64">
        <f>IF(INDEX(Standings!$A$2:$C$33,MATCH(Table1[[#This Row],[AwayTeam]],Standings!$A$2:$A$33,0),3)=INDEX(Standings!$A$2:$C$33,MATCH(Table1[[#This Row],[HomeTeam]],Standings!$A$2:$A$33,0),3),1,0)</f>
        <v>0</v>
      </c>
      <c r="AL892" s="64">
        <f>IF(Table1[[#This Row],[InterConf]]=1,IF(Table1[[#This Row],[InterDiv]]=0, 1, 0), 0)</f>
        <v>1</v>
      </c>
      <c r="AM892" s="64">
        <f>IF(INDEX(Standings!$A$2:$C$33,MATCH(Table1[[#This Row],[AwayTeam]],Standings!$A$2:$A$33,0),2)&lt;&gt;INDEX(Standings!$A$2:$C$33,MATCH(Table1[[#This Row],[HomeTeam]],Standings!$A$2:$A$33,0),2),1,0)</f>
        <v>0</v>
      </c>
      <c r="AN892" s="64" t="str">
        <f>INDEX(Table2[AWAY_RECORD], MATCH(Table1[[#This Row],[AwayTeam]],Table2[Team], 0), 0)</f>
        <v>0-0-0</v>
      </c>
      <c r="AO892" s="64" t="str">
        <f>INDEX(Records!$B$2:$AG$33, MATCH(Table1[[#This Row],[AwayTeam]],Records!$A$2:$A$33, 0), MATCH(Table1[[#This Row],[HomeTeam]],Records!$A$2:$A$33, 0))</f>
        <v>0-0-0</v>
      </c>
      <c r="AP892" s="64" t="str">
        <f>INDEX(Table2[HOME_RECORD], MATCH(Table1[[#This Row],[HomeTeam]],Table2[Team], 0), 0)</f>
        <v>0-1-0</v>
      </c>
      <c r="AQ892" s="64" t="str">
        <f>INDEX(Records!$B$2:$AG$33, MATCH(Table1[[#This Row],[HomeTeam]],Records!$A$2:$A$33, 0), MATCH(Table1[[#This Row],[AwayTeam]],Records!$A$2:$A$33, 0))</f>
        <v>0-0-0</v>
      </c>
    </row>
    <row r="893" spans="1:43" x14ac:dyDescent="0.25">
      <c r="A893" s="1"/>
      <c r="D893" t="s">
        <v>1197</v>
      </c>
      <c r="E893" t="s">
        <v>164</v>
      </c>
      <c r="F893" t="s">
        <v>1203</v>
      </c>
      <c r="G893" t="s">
        <v>25</v>
      </c>
      <c r="H893" t="s">
        <v>45</v>
      </c>
      <c r="L89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9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93" s="1"/>
      <c r="T893" s="64" t="str">
        <f>IF(Table1[[#This Row],[ActualWinner]]="", "", IF(Table1[[#This Row],[AwayTeam]]=Table1[[#This Row],[ActualWinner]],Table1[[#This Row],[HomeTeam]],Table1[[#This Row],[AwayTeam]]))</f>
        <v/>
      </c>
      <c r="U893" s="64">
        <f>Table1[[#This Row],[ActualAwayScore]]-Table1[[#This Row],[PredictedAwayScore]]</f>
        <v>0</v>
      </c>
      <c r="V893" s="64">
        <f>Table1[[#This Row],[ActualHomeScore]]-Table1[[#This Row],[PredictedHomeScore]]</f>
        <v>0</v>
      </c>
      <c r="W893" s="64">
        <f>(0.8*IF(Table1[[#This Row],[CorrectWinnerPrediction]]=1, 1, 0))+(0.1*IF(Table1[[#This Row],[CorrectAwayScorePrediction]]=1, 1, 0))+(0.1*IF(Table1[[#This Row],[CorrectHomeScorePrediction]]=1, 1, 0))</f>
        <v>0</v>
      </c>
      <c r="X89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93" s="64">
        <f>SUMIF(Table1[GameDate], Table1[[#This Row],[GameDate]], Table1[AwayGameGoalDiff])</f>
        <v>0</v>
      </c>
      <c r="AA893" s="64">
        <f>SUMIF(Table1[GameDate], Table1[[#This Row],[GameDate]], Table1[HomeGameGoalDiff])</f>
        <v>0</v>
      </c>
      <c r="AB893" s="64">
        <f>IF(ISBLANK(Table1[[#This Row],[ActualResult]]), 0, 1)</f>
        <v>0</v>
      </c>
      <c r="AC893" s="64">
        <f>IF(ISBLANK(Table1[[#This Row],[ActualResult]]), 0, IF(Table1[[#This Row],[ActualWinner]]=Table1[[#This Row],[PredictedWinner]], 1, 0))</f>
        <v>0</v>
      </c>
      <c r="AD89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9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93" s="64">
        <f>IF(AND(Table1[[#This Row],[GameIsOver]]=1,Table1[[#This Row],[ActualAwayScore]]=0), 1,0)</f>
        <v>0</v>
      </c>
      <c r="AG893" s="64">
        <f>IF(AND(Table1[[#This Row],[GameIsOver]]=1,Table1[[#This Row],[ActualHomeScore]]=0), 1,0)</f>
        <v>0</v>
      </c>
      <c r="AH893" s="64">
        <f>IF(Table1[[#This Row],[GameIsOver]]=0,0,IF(Table1[[#This Row],[ActualWinner]]=Table1[[#This Row],[AwayTeam]], 1, 0))</f>
        <v>0</v>
      </c>
      <c r="AI893" s="64">
        <f>IF(Table1[[#This Row],[GameIsOver]]=0,0,IF(Table1[[#This Row],[ActualWinner]]=Table1[[#This Row],[HomeTeam]], 1, 0))</f>
        <v>0</v>
      </c>
      <c r="AJ893" s="64">
        <f>IF(INDEX(Standings!$A$2:$C$33,MATCH(Table1[[#This Row],[AwayTeam]],Standings!$A$2:$A$33,0),2)=INDEX(Standings!$A$2:$C$33,MATCH(Table1[[#This Row],[HomeTeam]],Standings!$A$2:$A$33,0),2),1,0)</f>
        <v>1</v>
      </c>
      <c r="AK893" s="64">
        <f>IF(INDEX(Standings!$A$2:$C$33,MATCH(Table1[[#This Row],[AwayTeam]],Standings!$A$2:$A$33,0),3)=INDEX(Standings!$A$2:$C$33,MATCH(Table1[[#This Row],[HomeTeam]],Standings!$A$2:$A$33,0),3),1,0)</f>
        <v>1</v>
      </c>
      <c r="AL893" s="64">
        <f>IF(Table1[[#This Row],[InterConf]]=1,IF(Table1[[#This Row],[InterDiv]]=0, 1, 0), 0)</f>
        <v>0</v>
      </c>
      <c r="AM893" s="64">
        <f>IF(INDEX(Standings!$A$2:$C$33,MATCH(Table1[[#This Row],[AwayTeam]],Standings!$A$2:$A$33,0),2)&lt;&gt;INDEX(Standings!$A$2:$C$33,MATCH(Table1[[#This Row],[HomeTeam]],Standings!$A$2:$A$33,0),2),1,0)</f>
        <v>0</v>
      </c>
      <c r="AN893" s="64" t="str">
        <f>INDEX(Table2[AWAY_RECORD], MATCH(Table1[[#This Row],[AwayTeam]],Table2[Team], 0), 0)</f>
        <v>0-0-0</v>
      </c>
      <c r="AO893" s="64" t="str">
        <f>INDEX(Records!$B$2:$AG$33, MATCH(Table1[[#This Row],[AwayTeam]],Records!$A$2:$A$33, 0), MATCH(Table1[[#This Row],[HomeTeam]],Records!$A$2:$A$33, 0))</f>
        <v>0-0-0</v>
      </c>
      <c r="AP893" s="64" t="str">
        <f>INDEX(Table2[HOME_RECORD], MATCH(Table1[[#This Row],[HomeTeam]],Table2[Team], 0), 0)</f>
        <v>1-0-0</v>
      </c>
      <c r="AQ893" s="64" t="str">
        <f>INDEX(Records!$B$2:$AG$33, MATCH(Table1[[#This Row],[HomeTeam]],Records!$A$2:$A$33, 0), MATCH(Table1[[#This Row],[AwayTeam]],Records!$A$2:$A$33, 0))</f>
        <v>0-0-0</v>
      </c>
    </row>
    <row r="894" spans="1:43" x14ac:dyDescent="0.25">
      <c r="A894" s="1"/>
      <c r="D894" t="s">
        <v>1197</v>
      </c>
      <c r="E894" t="s">
        <v>164</v>
      </c>
      <c r="F894" t="s">
        <v>1204</v>
      </c>
      <c r="G894" t="s">
        <v>49</v>
      </c>
      <c r="H894" t="s">
        <v>23</v>
      </c>
      <c r="L89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9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94" s="1"/>
      <c r="T894" s="64" t="str">
        <f>IF(Table1[[#This Row],[ActualWinner]]="", "", IF(Table1[[#This Row],[AwayTeam]]=Table1[[#This Row],[ActualWinner]],Table1[[#This Row],[HomeTeam]],Table1[[#This Row],[AwayTeam]]))</f>
        <v/>
      </c>
      <c r="U894" s="64">
        <f>Table1[[#This Row],[ActualAwayScore]]-Table1[[#This Row],[PredictedAwayScore]]</f>
        <v>0</v>
      </c>
      <c r="V894" s="64">
        <f>Table1[[#This Row],[ActualHomeScore]]-Table1[[#This Row],[PredictedHomeScore]]</f>
        <v>0</v>
      </c>
      <c r="W894" s="64">
        <f>(0.8*IF(Table1[[#This Row],[CorrectWinnerPrediction]]=1, 1, 0))+(0.1*IF(Table1[[#This Row],[CorrectAwayScorePrediction]]=1, 1, 0))+(0.1*IF(Table1[[#This Row],[CorrectHomeScorePrediction]]=1, 1, 0))</f>
        <v>0</v>
      </c>
      <c r="X89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94" s="64">
        <f>SUMIF(Table1[GameDate], Table1[[#This Row],[GameDate]], Table1[AwayGameGoalDiff])</f>
        <v>0</v>
      </c>
      <c r="AA894" s="64">
        <f>SUMIF(Table1[GameDate], Table1[[#This Row],[GameDate]], Table1[HomeGameGoalDiff])</f>
        <v>0</v>
      </c>
      <c r="AB894" s="64">
        <f>IF(ISBLANK(Table1[[#This Row],[ActualResult]]), 0, 1)</f>
        <v>0</v>
      </c>
      <c r="AC894" s="64">
        <f>IF(ISBLANK(Table1[[#This Row],[ActualResult]]), 0, IF(Table1[[#This Row],[ActualWinner]]=Table1[[#This Row],[PredictedWinner]], 1, 0))</f>
        <v>0</v>
      </c>
      <c r="AD89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9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94" s="64">
        <f>IF(AND(Table1[[#This Row],[GameIsOver]]=1,Table1[[#This Row],[ActualAwayScore]]=0), 1,0)</f>
        <v>0</v>
      </c>
      <c r="AG894" s="64">
        <f>IF(AND(Table1[[#This Row],[GameIsOver]]=1,Table1[[#This Row],[ActualHomeScore]]=0), 1,0)</f>
        <v>0</v>
      </c>
      <c r="AH894" s="64">
        <f>IF(Table1[[#This Row],[GameIsOver]]=0,0,IF(Table1[[#This Row],[ActualWinner]]=Table1[[#This Row],[AwayTeam]], 1, 0))</f>
        <v>0</v>
      </c>
      <c r="AI894" s="64">
        <f>IF(Table1[[#This Row],[GameIsOver]]=0,0,IF(Table1[[#This Row],[ActualWinner]]=Table1[[#This Row],[HomeTeam]], 1, 0))</f>
        <v>0</v>
      </c>
      <c r="AJ894" s="64">
        <f>IF(INDEX(Standings!$A$2:$C$33,MATCH(Table1[[#This Row],[AwayTeam]],Standings!$A$2:$A$33,0),2)=INDEX(Standings!$A$2:$C$33,MATCH(Table1[[#This Row],[HomeTeam]],Standings!$A$2:$A$33,0),2),1,0)</f>
        <v>0</v>
      </c>
      <c r="AK894" s="64">
        <f>IF(INDEX(Standings!$A$2:$C$33,MATCH(Table1[[#This Row],[AwayTeam]],Standings!$A$2:$A$33,0),3)=INDEX(Standings!$A$2:$C$33,MATCH(Table1[[#This Row],[HomeTeam]],Standings!$A$2:$A$33,0),3),1,0)</f>
        <v>0</v>
      </c>
      <c r="AL894" s="64">
        <f>IF(Table1[[#This Row],[InterConf]]=1,IF(Table1[[#This Row],[InterDiv]]=0, 1, 0), 0)</f>
        <v>0</v>
      </c>
      <c r="AM894" s="64">
        <f>IF(INDEX(Standings!$A$2:$C$33,MATCH(Table1[[#This Row],[AwayTeam]],Standings!$A$2:$A$33,0),2)&lt;&gt;INDEX(Standings!$A$2:$C$33,MATCH(Table1[[#This Row],[HomeTeam]],Standings!$A$2:$A$33,0),2),1,0)</f>
        <v>1</v>
      </c>
      <c r="AN894" s="64" t="str">
        <f>INDEX(Table2[AWAY_RECORD], MATCH(Table1[[#This Row],[AwayTeam]],Table2[Team], 0), 0)</f>
        <v>0-0-0</v>
      </c>
      <c r="AO894" s="64" t="str">
        <f>INDEX(Records!$B$2:$AG$33, MATCH(Table1[[#This Row],[AwayTeam]],Records!$A$2:$A$33, 0), MATCH(Table1[[#This Row],[HomeTeam]],Records!$A$2:$A$33, 0))</f>
        <v>0-0-0</v>
      </c>
      <c r="AP894" s="64" t="str">
        <f>INDEX(Table2[HOME_RECORD], MATCH(Table1[[#This Row],[HomeTeam]],Table2[Team], 0), 0)</f>
        <v>0-0-1</v>
      </c>
      <c r="AQ894" s="64" t="str">
        <f>INDEX(Records!$B$2:$AG$33, MATCH(Table1[[#This Row],[HomeTeam]],Records!$A$2:$A$33, 0), MATCH(Table1[[#This Row],[AwayTeam]],Records!$A$2:$A$33, 0))</f>
        <v>0-0-0</v>
      </c>
    </row>
    <row r="895" spans="1:43" x14ac:dyDescent="0.25">
      <c r="A895" s="1"/>
      <c r="D895" t="s">
        <v>1197</v>
      </c>
      <c r="E895" t="s">
        <v>593</v>
      </c>
      <c r="F895" t="s">
        <v>1205</v>
      </c>
      <c r="G895" t="s">
        <v>47</v>
      </c>
      <c r="H895" t="s">
        <v>56</v>
      </c>
      <c r="L89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9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95" s="1"/>
      <c r="T895" s="64" t="str">
        <f>IF(Table1[[#This Row],[ActualWinner]]="", "", IF(Table1[[#This Row],[AwayTeam]]=Table1[[#This Row],[ActualWinner]],Table1[[#This Row],[HomeTeam]],Table1[[#This Row],[AwayTeam]]))</f>
        <v/>
      </c>
      <c r="U895" s="64">
        <f>Table1[[#This Row],[ActualAwayScore]]-Table1[[#This Row],[PredictedAwayScore]]</f>
        <v>0</v>
      </c>
      <c r="V895" s="64">
        <f>Table1[[#This Row],[ActualHomeScore]]-Table1[[#This Row],[PredictedHomeScore]]</f>
        <v>0</v>
      </c>
      <c r="W895" s="64">
        <f>(0.8*IF(Table1[[#This Row],[CorrectWinnerPrediction]]=1, 1, 0))+(0.1*IF(Table1[[#This Row],[CorrectAwayScorePrediction]]=1, 1, 0))+(0.1*IF(Table1[[#This Row],[CorrectHomeScorePrediction]]=1, 1, 0))</f>
        <v>0</v>
      </c>
      <c r="X89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95" s="64">
        <f>SUMIF(Table1[GameDate], Table1[[#This Row],[GameDate]], Table1[AwayGameGoalDiff])</f>
        <v>0</v>
      </c>
      <c r="AA895" s="64">
        <f>SUMIF(Table1[GameDate], Table1[[#This Row],[GameDate]], Table1[HomeGameGoalDiff])</f>
        <v>0</v>
      </c>
      <c r="AB895" s="64">
        <f>IF(ISBLANK(Table1[[#This Row],[ActualResult]]), 0, 1)</f>
        <v>0</v>
      </c>
      <c r="AC895" s="64">
        <f>IF(ISBLANK(Table1[[#This Row],[ActualResult]]), 0, IF(Table1[[#This Row],[ActualWinner]]=Table1[[#This Row],[PredictedWinner]], 1, 0))</f>
        <v>0</v>
      </c>
      <c r="AD89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9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95" s="64">
        <f>IF(AND(Table1[[#This Row],[GameIsOver]]=1,Table1[[#This Row],[ActualAwayScore]]=0), 1,0)</f>
        <v>0</v>
      </c>
      <c r="AG895" s="64">
        <f>IF(AND(Table1[[#This Row],[GameIsOver]]=1,Table1[[#This Row],[ActualHomeScore]]=0), 1,0)</f>
        <v>0</v>
      </c>
      <c r="AH895" s="64">
        <f>IF(Table1[[#This Row],[GameIsOver]]=0,0,IF(Table1[[#This Row],[ActualWinner]]=Table1[[#This Row],[AwayTeam]], 1, 0))</f>
        <v>0</v>
      </c>
      <c r="AI895" s="64">
        <f>IF(Table1[[#This Row],[GameIsOver]]=0,0,IF(Table1[[#This Row],[ActualWinner]]=Table1[[#This Row],[HomeTeam]], 1, 0))</f>
        <v>0</v>
      </c>
      <c r="AJ895" s="64">
        <f>IF(INDEX(Standings!$A$2:$C$33,MATCH(Table1[[#This Row],[AwayTeam]],Standings!$A$2:$A$33,0),2)=INDEX(Standings!$A$2:$C$33,MATCH(Table1[[#This Row],[HomeTeam]],Standings!$A$2:$A$33,0),2),1,0)</f>
        <v>0</v>
      </c>
      <c r="AK895" s="64">
        <f>IF(INDEX(Standings!$A$2:$C$33,MATCH(Table1[[#This Row],[AwayTeam]],Standings!$A$2:$A$33,0),3)=INDEX(Standings!$A$2:$C$33,MATCH(Table1[[#This Row],[HomeTeam]],Standings!$A$2:$A$33,0),3),1,0)</f>
        <v>0</v>
      </c>
      <c r="AL895" s="64">
        <f>IF(Table1[[#This Row],[InterConf]]=1,IF(Table1[[#This Row],[InterDiv]]=0, 1, 0), 0)</f>
        <v>0</v>
      </c>
      <c r="AM895" s="64">
        <f>IF(INDEX(Standings!$A$2:$C$33,MATCH(Table1[[#This Row],[AwayTeam]],Standings!$A$2:$A$33,0),2)&lt;&gt;INDEX(Standings!$A$2:$C$33,MATCH(Table1[[#This Row],[HomeTeam]],Standings!$A$2:$A$33,0),2),1,0)</f>
        <v>1</v>
      </c>
      <c r="AN895" s="64" t="str">
        <f>INDEX(Table2[AWAY_RECORD], MATCH(Table1[[#This Row],[AwayTeam]],Table2[Team], 0), 0)</f>
        <v>1-0-0</v>
      </c>
      <c r="AO895" s="64" t="str">
        <f>INDEX(Records!$B$2:$AG$33, MATCH(Table1[[#This Row],[AwayTeam]],Records!$A$2:$A$33, 0), MATCH(Table1[[#This Row],[HomeTeam]],Records!$A$2:$A$33, 0))</f>
        <v>0-0-0</v>
      </c>
      <c r="AP895" s="64" t="str">
        <f>INDEX(Table2[HOME_RECORD], MATCH(Table1[[#This Row],[HomeTeam]],Table2[Team], 0), 0)</f>
        <v>0-0-0</v>
      </c>
      <c r="AQ895" s="64" t="str">
        <f>INDEX(Records!$B$2:$AG$33, MATCH(Table1[[#This Row],[HomeTeam]],Records!$A$2:$A$33, 0), MATCH(Table1[[#This Row],[AwayTeam]],Records!$A$2:$A$33, 0))</f>
        <v>0-0-0</v>
      </c>
    </row>
    <row r="896" spans="1:43" x14ac:dyDescent="0.25">
      <c r="A896" s="1"/>
      <c r="D896" t="s">
        <v>1206</v>
      </c>
      <c r="E896" t="s">
        <v>289</v>
      </c>
      <c r="F896" t="s">
        <v>1207</v>
      </c>
      <c r="G896" t="s">
        <v>42</v>
      </c>
      <c r="H896" t="s">
        <v>24</v>
      </c>
      <c r="L89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9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96" s="1"/>
      <c r="T896" s="64" t="str">
        <f>IF(Table1[[#This Row],[ActualWinner]]="", "", IF(Table1[[#This Row],[AwayTeam]]=Table1[[#This Row],[ActualWinner]],Table1[[#This Row],[HomeTeam]],Table1[[#This Row],[AwayTeam]]))</f>
        <v/>
      </c>
      <c r="U896" s="64">
        <f>Table1[[#This Row],[ActualAwayScore]]-Table1[[#This Row],[PredictedAwayScore]]</f>
        <v>0</v>
      </c>
      <c r="V896" s="64">
        <f>Table1[[#This Row],[ActualHomeScore]]-Table1[[#This Row],[PredictedHomeScore]]</f>
        <v>0</v>
      </c>
      <c r="W896" s="64">
        <f>(0.8*IF(Table1[[#This Row],[CorrectWinnerPrediction]]=1, 1, 0))+(0.1*IF(Table1[[#This Row],[CorrectAwayScorePrediction]]=1, 1, 0))+(0.1*IF(Table1[[#This Row],[CorrectHomeScorePrediction]]=1, 1, 0))</f>
        <v>0</v>
      </c>
      <c r="X89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96" s="64">
        <f>SUMIF(Table1[GameDate], Table1[[#This Row],[GameDate]], Table1[AwayGameGoalDiff])</f>
        <v>0</v>
      </c>
      <c r="AA896" s="64">
        <f>SUMIF(Table1[GameDate], Table1[[#This Row],[GameDate]], Table1[HomeGameGoalDiff])</f>
        <v>0</v>
      </c>
      <c r="AB896" s="64">
        <f>IF(ISBLANK(Table1[[#This Row],[ActualResult]]), 0, 1)</f>
        <v>0</v>
      </c>
      <c r="AC896" s="64">
        <f>IF(ISBLANK(Table1[[#This Row],[ActualResult]]), 0, IF(Table1[[#This Row],[ActualWinner]]=Table1[[#This Row],[PredictedWinner]], 1, 0))</f>
        <v>0</v>
      </c>
      <c r="AD89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9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96" s="64">
        <f>IF(AND(Table1[[#This Row],[GameIsOver]]=1,Table1[[#This Row],[ActualAwayScore]]=0), 1,0)</f>
        <v>0</v>
      </c>
      <c r="AG896" s="64">
        <f>IF(AND(Table1[[#This Row],[GameIsOver]]=1,Table1[[#This Row],[ActualHomeScore]]=0), 1,0)</f>
        <v>0</v>
      </c>
      <c r="AH896" s="64">
        <f>IF(Table1[[#This Row],[GameIsOver]]=0,0,IF(Table1[[#This Row],[ActualWinner]]=Table1[[#This Row],[AwayTeam]], 1, 0))</f>
        <v>0</v>
      </c>
      <c r="AI896" s="64">
        <f>IF(Table1[[#This Row],[GameIsOver]]=0,0,IF(Table1[[#This Row],[ActualWinner]]=Table1[[#This Row],[HomeTeam]], 1, 0))</f>
        <v>0</v>
      </c>
      <c r="AJ896" s="64">
        <f>IF(INDEX(Standings!$A$2:$C$33,MATCH(Table1[[#This Row],[AwayTeam]],Standings!$A$2:$A$33,0),2)=INDEX(Standings!$A$2:$C$33,MATCH(Table1[[#This Row],[HomeTeam]],Standings!$A$2:$A$33,0),2),1,0)</f>
        <v>1</v>
      </c>
      <c r="AK896" s="64">
        <f>IF(INDEX(Standings!$A$2:$C$33,MATCH(Table1[[#This Row],[AwayTeam]],Standings!$A$2:$A$33,0),3)=INDEX(Standings!$A$2:$C$33,MATCH(Table1[[#This Row],[HomeTeam]],Standings!$A$2:$A$33,0),3),1,0)</f>
        <v>0</v>
      </c>
      <c r="AL896" s="64">
        <f>IF(Table1[[#This Row],[InterConf]]=1,IF(Table1[[#This Row],[InterDiv]]=0, 1, 0), 0)</f>
        <v>1</v>
      </c>
      <c r="AM896" s="64">
        <f>IF(INDEX(Standings!$A$2:$C$33,MATCH(Table1[[#This Row],[AwayTeam]],Standings!$A$2:$A$33,0),2)&lt;&gt;INDEX(Standings!$A$2:$C$33,MATCH(Table1[[#This Row],[HomeTeam]],Standings!$A$2:$A$33,0),2),1,0)</f>
        <v>0</v>
      </c>
      <c r="AN896" s="64" t="str">
        <f>INDEX(Table2[AWAY_RECORD], MATCH(Table1[[#This Row],[AwayTeam]],Table2[Team], 0), 0)</f>
        <v>0-0-0</v>
      </c>
      <c r="AO896" s="64" t="str">
        <f>INDEX(Records!$B$2:$AG$33, MATCH(Table1[[#This Row],[AwayTeam]],Records!$A$2:$A$33, 0), MATCH(Table1[[#This Row],[HomeTeam]],Records!$A$2:$A$33, 0))</f>
        <v>0-0-0</v>
      </c>
      <c r="AP896" s="64" t="str">
        <f>INDEX(Table2[HOME_RECORD], MATCH(Table1[[#This Row],[HomeTeam]],Table2[Team], 0), 0)</f>
        <v>0-2-0</v>
      </c>
      <c r="AQ896" s="64" t="str">
        <f>INDEX(Records!$B$2:$AG$33, MATCH(Table1[[#This Row],[HomeTeam]],Records!$A$2:$A$33, 0), MATCH(Table1[[#This Row],[AwayTeam]],Records!$A$2:$A$33, 0))</f>
        <v>0-0-0</v>
      </c>
    </row>
    <row r="897" spans="1:43" x14ac:dyDescent="0.25">
      <c r="A897" s="1"/>
      <c r="D897" t="s">
        <v>1206</v>
      </c>
      <c r="E897" t="s">
        <v>178</v>
      </c>
      <c r="F897" t="s">
        <v>1208</v>
      </c>
      <c r="G897" t="s">
        <v>46</v>
      </c>
      <c r="H897" t="s">
        <v>43</v>
      </c>
      <c r="L89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9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97" s="1"/>
      <c r="T897" s="64" t="str">
        <f>IF(Table1[[#This Row],[ActualWinner]]="", "", IF(Table1[[#This Row],[AwayTeam]]=Table1[[#This Row],[ActualWinner]],Table1[[#This Row],[HomeTeam]],Table1[[#This Row],[AwayTeam]]))</f>
        <v/>
      </c>
      <c r="U897" s="64">
        <f>Table1[[#This Row],[ActualAwayScore]]-Table1[[#This Row],[PredictedAwayScore]]</f>
        <v>0</v>
      </c>
      <c r="V897" s="64">
        <f>Table1[[#This Row],[ActualHomeScore]]-Table1[[#This Row],[PredictedHomeScore]]</f>
        <v>0</v>
      </c>
      <c r="W897" s="64">
        <f>(0.8*IF(Table1[[#This Row],[CorrectWinnerPrediction]]=1, 1, 0))+(0.1*IF(Table1[[#This Row],[CorrectAwayScorePrediction]]=1, 1, 0))+(0.1*IF(Table1[[#This Row],[CorrectHomeScorePrediction]]=1, 1, 0))</f>
        <v>0</v>
      </c>
      <c r="X89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97" s="64">
        <f>SUMIF(Table1[GameDate], Table1[[#This Row],[GameDate]], Table1[AwayGameGoalDiff])</f>
        <v>0</v>
      </c>
      <c r="AA897" s="64">
        <f>SUMIF(Table1[GameDate], Table1[[#This Row],[GameDate]], Table1[HomeGameGoalDiff])</f>
        <v>0</v>
      </c>
      <c r="AB897" s="64">
        <f>IF(ISBLANK(Table1[[#This Row],[ActualResult]]), 0, 1)</f>
        <v>0</v>
      </c>
      <c r="AC897" s="64">
        <f>IF(ISBLANK(Table1[[#This Row],[ActualResult]]), 0, IF(Table1[[#This Row],[ActualWinner]]=Table1[[#This Row],[PredictedWinner]], 1, 0))</f>
        <v>0</v>
      </c>
      <c r="AD89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9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97" s="64">
        <f>IF(AND(Table1[[#This Row],[GameIsOver]]=1,Table1[[#This Row],[ActualAwayScore]]=0), 1,0)</f>
        <v>0</v>
      </c>
      <c r="AG897" s="64">
        <f>IF(AND(Table1[[#This Row],[GameIsOver]]=1,Table1[[#This Row],[ActualHomeScore]]=0), 1,0)</f>
        <v>0</v>
      </c>
      <c r="AH897" s="64">
        <f>IF(Table1[[#This Row],[GameIsOver]]=0,0,IF(Table1[[#This Row],[ActualWinner]]=Table1[[#This Row],[AwayTeam]], 1, 0))</f>
        <v>0</v>
      </c>
      <c r="AI897" s="64">
        <f>IF(Table1[[#This Row],[GameIsOver]]=0,0,IF(Table1[[#This Row],[ActualWinner]]=Table1[[#This Row],[HomeTeam]], 1, 0))</f>
        <v>0</v>
      </c>
      <c r="AJ897" s="64">
        <f>IF(INDEX(Standings!$A$2:$C$33,MATCH(Table1[[#This Row],[AwayTeam]],Standings!$A$2:$A$33,0),2)=INDEX(Standings!$A$2:$C$33,MATCH(Table1[[#This Row],[HomeTeam]],Standings!$A$2:$A$33,0),2),1,0)</f>
        <v>1</v>
      </c>
      <c r="AK897" s="64">
        <f>IF(INDEX(Standings!$A$2:$C$33,MATCH(Table1[[#This Row],[AwayTeam]],Standings!$A$2:$A$33,0),3)=INDEX(Standings!$A$2:$C$33,MATCH(Table1[[#This Row],[HomeTeam]],Standings!$A$2:$A$33,0),3),1,0)</f>
        <v>0</v>
      </c>
      <c r="AL897" s="64">
        <f>IF(Table1[[#This Row],[InterConf]]=1,IF(Table1[[#This Row],[InterDiv]]=0, 1, 0), 0)</f>
        <v>1</v>
      </c>
      <c r="AM897" s="64">
        <f>IF(INDEX(Standings!$A$2:$C$33,MATCH(Table1[[#This Row],[AwayTeam]],Standings!$A$2:$A$33,0),2)&lt;&gt;INDEX(Standings!$A$2:$C$33,MATCH(Table1[[#This Row],[HomeTeam]],Standings!$A$2:$A$33,0),2),1,0)</f>
        <v>0</v>
      </c>
      <c r="AN897" s="64" t="str">
        <f>INDEX(Table2[AWAY_RECORD], MATCH(Table1[[#This Row],[AwayTeam]],Table2[Team], 0), 0)</f>
        <v>1-0-0</v>
      </c>
      <c r="AO897" s="64" t="str">
        <f>INDEX(Records!$B$2:$AG$33, MATCH(Table1[[#This Row],[AwayTeam]],Records!$A$2:$A$33, 0), MATCH(Table1[[#This Row],[HomeTeam]],Records!$A$2:$A$33, 0))</f>
        <v>0-0-0</v>
      </c>
      <c r="AP897" s="64" t="str">
        <f>INDEX(Table2[HOME_RECORD], MATCH(Table1[[#This Row],[HomeTeam]],Table2[Team], 0), 0)</f>
        <v>0-0-0</v>
      </c>
      <c r="AQ897" s="64" t="str">
        <f>INDEX(Records!$B$2:$AG$33, MATCH(Table1[[#This Row],[HomeTeam]],Records!$A$2:$A$33, 0), MATCH(Table1[[#This Row],[AwayTeam]],Records!$A$2:$A$33, 0))</f>
        <v>0-0-0</v>
      </c>
    </row>
    <row r="898" spans="1:43" x14ac:dyDescent="0.25">
      <c r="A898" s="1"/>
      <c r="D898" t="s">
        <v>1209</v>
      </c>
      <c r="E898" t="s">
        <v>162</v>
      </c>
      <c r="F898" t="s">
        <v>1210</v>
      </c>
      <c r="G898" t="s">
        <v>42</v>
      </c>
      <c r="H898" t="s">
        <v>52</v>
      </c>
      <c r="L89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9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98" s="1"/>
      <c r="T898" s="64" t="str">
        <f>IF(Table1[[#This Row],[ActualWinner]]="", "", IF(Table1[[#This Row],[AwayTeam]]=Table1[[#This Row],[ActualWinner]],Table1[[#This Row],[HomeTeam]],Table1[[#This Row],[AwayTeam]]))</f>
        <v/>
      </c>
      <c r="U898" s="64">
        <f>Table1[[#This Row],[ActualAwayScore]]-Table1[[#This Row],[PredictedAwayScore]]</f>
        <v>0</v>
      </c>
      <c r="V898" s="64">
        <f>Table1[[#This Row],[ActualHomeScore]]-Table1[[#This Row],[PredictedHomeScore]]</f>
        <v>0</v>
      </c>
      <c r="W898" s="64">
        <f>(0.8*IF(Table1[[#This Row],[CorrectWinnerPrediction]]=1, 1, 0))+(0.1*IF(Table1[[#This Row],[CorrectAwayScorePrediction]]=1, 1, 0))+(0.1*IF(Table1[[#This Row],[CorrectHomeScorePrediction]]=1, 1, 0))</f>
        <v>0</v>
      </c>
      <c r="X89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98" s="64">
        <f>SUMIF(Table1[GameDate], Table1[[#This Row],[GameDate]], Table1[AwayGameGoalDiff])</f>
        <v>0</v>
      </c>
      <c r="AA898" s="64">
        <f>SUMIF(Table1[GameDate], Table1[[#This Row],[GameDate]], Table1[HomeGameGoalDiff])</f>
        <v>0</v>
      </c>
      <c r="AB898" s="64">
        <f>IF(ISBLANK(Table1[[#This Row],[ActualResult]]), 0, 1)</f>
        <v>0</v>
      </c>
      <c r="AC898" s="64">
        <f>IF(ISBLANK(Table1[[#This Row],[ActualResult]]), 0, IF(Table1[[#This Row],[ActualWinner]]=Table1[[#This Row],[PredictedWinner]], 1, 0))</f>
        <v>0</v>
      </c>
      <c r="AD89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9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98" s="64">
        <f>IF(AND(Table1[[#This Row],[GameIsOver]]=1,Table1[[#This Row],[ActualAwayScore]]=0), 1,0)</f>
        <v>0</v>
      </c>
      <c r="AG898" s="64">
        <f>IF(AND(Table1[[#This Row],[GameIsOver]]=1,Table1[[#This Row],[ActualHomeScore]]=0), 1,0)</f>
        <v>0</v>
      </c>
      <c r="AH898" s="64">
        <f>IF(Table1[[#This Row],[GameIsOver]]=0,0,IF(Table1[[#This Row],[ActualWinner]]=Table1[[#This Row],[AwayTeam]], 1, 0))</f>
        <v>0</v>
      </c>
      <c r="AI898" s="64">
        <f>IF(Table1[[#This Row],[GameIsOver]]=0,0,IF(Table1[[#This Row],[ActualWinner]]=Table1[[#This Row],[HomeTeam]], 1, 0))</f>
        <v>0</v>
      </c>
      <c r="AJ898" s="64">
        <f>IF(INDEX(Standings!$A$2:$C$33,MATCH(Table1[[#This Row],[AwayTeam]],Standings!$A$2:$A$33,0),2)=INDEX(Standings!$A$2:$C$33,MATCH(Table1[[#This Row],[HomeTeam]],Standings!$A$2:$A$33,0),2),1,0)</f>
        <v>1</v>
      </c>
      <c r="AK898" s="64">
        <f>IF(INDEX(Standings!$A$2:$C$33,MATCH(Table1[[#This Row],[AwayTeam]],Standings!$A$2:$A$33,0),3)=INDEX(Standings!$A$2:$C$33,MATCH(Table1[[#This Row],[HomeTeam]],Standings!$A$2:$A$33,0),3),1,0)</f>
        <v>0</v>
      </c>
      <c r="AL898" s="64">
        <f>IF(Table1[[#This Row],[InterConf]]=1,IF(Table1[[#This Row],[InterDiv]]=0, 1, 0), 0)</f>
        <v>1</v>
      </c>
      <c r="AM898" s="64">
        <f>IF(INDEX(Standings!$A$2:$C$33,MATCH(Table1[[#This Row],[AwayTeam]],Standings!$A$2:$A$33,0),2)&lt;&gt;INDEX(Standings!$A$2:$C$33,MATCH(Table1[[#This Row],[HomeTeam]],Standings!$A$2:$A$33,0),2),1,0)</f>
        <v>0</v>
      </c>
      <c r="AN898" s="64" t="str">
        <f>INDEX(Table2[AWAY_RECORD], MATCH(Table1[[#This Row],[AwayTeam]],Table2[Team], 0), 0)</f>
        <v>0-0-0</v>
      </c>
      <c r="AO898" s="64" t="str">
        <f>INDEX(Records!$B$2:$AG$33, MATCH(Table1[[#This Row],[AwayTeam]],Records!$A$2:$A$33, 0), MATCH(Table1[[#This Row],[HomeTeam]],Records!$A$2:$A$33, 0))</f>
        <v>0-0-0</v>
      </c>
      <c r="AP898" s="64" t="str">
        <f>INDEX(Table2[HOME_RECORD], MATCH(Table1[[#This Row],[HomeTeam]],Table2[Team], 0), 0)</f>
        <v>0-0-0</v>
      </c>
      <c r="AQ898" s="64" t="str">
        <f>INDEX(Records!$B$2:$AG$33, MATCH(Table1[[#This Row],[HomeTeam]],Records!$A$2:$A$33, 0), MATCH(Table1[[#This Row],[AwayTeam]],Records!$A$2:$A$33, 0))</f>
        <v>0-0-0</v>
      </c>
    </row>
    <row r="899" spans="1:43" x14ac:dyDescent="0.25">
      <c r="A899" s="1"/>
      <c r="D899" t="s">
        <v>1209</v>
      </c>
      <c r="E899" t="s">
        <v>162</v>
      </c>
      <c r="F899" t="s">
        <v>1211</v>
      </c>
      <c r="G899" t="s">
        <v>41</v>
      </c>
      <c r="H899" t="s">
        <v>40</v>
      </c>
      <c r="L89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89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899" s="1"/>
      <c r="T899" s="64" t="str">
        <f>IF(Table1[[#This Row],[ActualWinner]]="", "", IF(Table1[[#This Row],[AwayTeam]]=Table1[[#This Row],[ActualWinner]],Table1[[#This Row],[HomeTeam]],Table1[[#This Row],[AwayTeam]]))</f>
        <v/>
      </c>
      <c r="U899" s="64">
        <f>Table1[[#This Row],[ActualAwayScore]]-Table1[[#This Row],[PredictedAwayScore]]</f>
        <v>0</v>
      </c>
      <c r="V899" s="64">
        <f>Table1[[#This Row],[ActualHomeScore]]-Table1[[#This Row],[PredictedHomeScore]]</f>
        <v>0</v>
      </c>
      <c r="W899" s="64">
        <f>(0.8*IF(Table1[[#This Row],[CorrectWinnerPrediction]]=1, 1, 0))+(0.1*IF(Table1[[#This Row],[CorrectAwayScorePrediction]]=1, 1, 0))+(0.1*IF(Table1[[#This Row],[CorrectHomeScorePrediction]]=1, 1, 0))</f>
        <v>0</v>
      </c>
      <c r="X89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899" s="64">
        <f>SUMIF(Table1[GameDate], Table1[[#This Row],[GameDate]], Table1[AwayGameGoalDiff])</f>
        <v>0</v>
      </c>
      <c r="AA899" s="64">
        <f>SUMIF(Table1[GameDate], Table1[[#This Row],[GameDate]], Table1[HomeGameGoalDiff])</f>
        <v>0</v>
      </c>
      <c r="AB899" s="64">
        <f>IF(ISBLANK(Table1[[#This Row],[ActualResult]]), 0, 1)</f>
        <v>0</v>
      </c>
      <c r="AC899" s="64">
        <f>IF(ISBLANK(Table1[[#This Row],[ActualResult]]), 0, IF(Table1[[#This Row],[ActualWinner]]=Table1[[#This Row],[PredictedWinner]], 1, 0))</f>
        <v>0</v>
      </c>
      <c r="AD89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9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99" s="64">
        <f>IF(AND(Table1[[#This Row],[GameIsOver]]=1,Table1[[#This Row],[ActualAwayScore]]=0), 1,0)</f>
        <v>0</v>
      </c>
      <c r="AG899" s="64">
        <f>IF(AND(Table1[[#This Row],[GameIsOver]]=1,Table1[[#This Row],[ActualHomeScore]]=0), 1,0)</f>
        <v>0</v>
      </c>
      <c r="AH899" s="64">
        <f>IF(Table1[[#This Row],[GameIsOver]]=0,0,IF(Table1[[#This Row],[ActualWinner]]=Table1[[#This Row],[AwayTeam]], 1, 0))</f>
        <v>0</v>
      </c>
      <c r="AI899" s="64">
        <f>IF(Table1[[#This Row],[GameIsOver]]=0,0,IF(Table1[[#This Row],[ActualWinner]]=Table1[[#This Row],[HomeTeam]], 1, 0))</f>
        <v>0</v>
      </c>
      <c r="AJ899" s="64">
        <f>IF(INDEX(Standings!$A$2:$C$33,MATCH(Table1[[#This Row],[AwayTeam]],Standings!$A$2:$A$33,0),2)=INDEX(Standings!$A$2:$C$33,MATCH(Table1[[#This Row],[HomeTeam]],Standings!$A$2:$A$33,0),2),1,0)</f>
        <v>0</v>
      </c>
      <c r="AK899" s="64">
        <f>IF(INDEX(Standings!$A$2:$C$33,MATCH(Table1[[#This Row],[AwayTeam]],Standings!$A$2:$A$33,0),3)=INDEX(Standings!$A$2:$C$33,MATCH(Table1[[#This Row],[HomeTeam]],Standings!$A$2:$A$33,0),3),1,0)</f>
        <v>0</v>
      </c>
      <c r="AL899" s="64">
        <f>IF(Table1[[#This Row],[InterConf]]=1,IF(Table1[[#This Row],[InterDiv]]=0, 1, 0), 0)</f>
        <v>0</v>
      </c>
      <c r="AM899" s="64">
        <f>IF(INDEX(Standings!$A$2:$C$33,MATCH(Table1[[#This Row],[AwayTeam]],Standings!$A$2:$A$33,0),2)&lt;&gt;INDEX(Standings!$A$2:$C$33,MATCH(Table1[[#This Row],[HomeTeam]],Standings!$A$2:$A$33,0),2),1,0)</f>
        <v>1</v>
      </c>
      <c r="AN899" s="64" t="str">
        <f>INDEX(Table2[AWAY_RECORD], MATCH(Table1[[#This Row],[AwayTeam]],Table2[Team], 0), 0)</f>
        <v>0-0-0</v>
      </c>
      <c r="AO899" s="64" t="str">
        <f>INDEX(Records!$B$2:$AG$33, MATCH(Table1[[#This Row],[AwayTeam]],Records!$A$2:$A$33, 0), MATCH(Table1[[#This Row],[HomeTeam]],Records!$A$2:$A$33, 0))</f>
        <v>0-0-0</v>
      </c>
      <c r="AP899" s="64" t="str">
        <f>INDEX(Table2[HOME_RECORD], MATCH(Table1[[#This Row],[HomeTeam]],Table2[Team], 0), 0)</f>
        <v>1-1-0</v>
      </c>
      <c r="AQ899" s="64" t="str">
        <f>INDEX(Records!$B$2:$AG$33, MATCH(Table1[[#This Row],[HomeTeam]],Records!$A$2:$A$33, 0), MATCH(Table1[[#This Row],[AwayTeam]],Records!$A$2:$A$33, 0))</f>
        <v>0-0-0</v>
      </c>
    </row>
    <row r="900" spans="1:43" x14ac:dyDescent="0.25">
      <c r="A900" s="1"/>
      <c r="D900" t="s">
        <v>1209</v>
      </c>
      <c r="E900" t="s">
        <v>178</v>
      </c>
      <c r="F900" t="s">
        <v>1212</v>
      </c>
      <c r="G900" t="s">
        <v>46</v>
      </c>
      <c r="H900" t="s">
        <v>61</v>
      </c>
      <c r="L90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0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00" s="1"/>
      <c r="T900" s="64" t="str">
        <f>IF(Table1[[#This Row],[ActualWinner]]="", "", IF(Table1[[#This Row],[AwayTeam]]=Table1[[#This Row],[ActualWinner]],Table1[[#This Row],[HomeTeam]],Table1[[#This Row],[AwayTeam]]))</f>
        <v/>
      </c>
      <c r="U900" s="64">
        <f>Table1[[#This Row],[ActualAwayScore]]-Table1[[#This Row],[PredictedAwayScore]]</f>
        <v>0</v>
      </c>
      <c r="V900" s="64">
        <f>Table1[[#This Row],[ActualHomeScore]]-Table1[[#This Row],[PredictedHomeScore]]</f>
        <v>0</v>
      </c>
      <c r="W900" s="64">
        <f>(0.8*IF(Table1[[#This Row],[CorrectWinnerPrediction]]=1, 1, 0))+(0.1*IF(Table1[[#This Row],[CorrectAwayScorePrediction]]=1, 1, 0))+(0.1*IF(Table1[[#This Row],[CorrectHomeScorePrediction]]=1, 1, 0))</f>
        <v>0</v>
      </c>
      <c r="X90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00" s="64">
        <f>SUMIF(Table1[GameDate], Table1[[#This Row],[GameDate]], Table1[AwayGameGoalDiff])</f>
        <v>0</v>
      </c>
      <c r="AA900" s="64">
        <f>SUMIF(Table1[GameDate], Table1[[#This Row],[GameDate]], Table1[HomeGameGoalDiff])</f>
        <v>0</v>
      </c>
      <c r="AB900" s="64">
        <f>IF(ISBLANK(Table1[[#This Row],[ActualResult]]), 0, 1)</f>
        <v>0</v>
      </c>
      <c r="AC900" s="64">
        <f>IF(ISBLANK(Table1[[#This Row],[ActualResult]]), 0, IF(Table1[[#This Row],[ActualWinner]]=Table1[[#This Row],[PredictedWinner]], 1, 0))</f>
        <v>0</v>
      </c>
      <c r="AD90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0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00" s="64">
        <f>IF(AND(Table1[[#This Row],[GameIsOver]]=1,Table1[[#This Row],[ActualAwayScore]]=0), 1,0)</f>
        <v>0</v>
      </c>
      <c r="AG900" s="64">
        <f>IF(AND(Table1[[#This Row],[GameIsOver]]=1,Table1[[#This Row],[ActualHomeScore]]=0), 1,0)</f>
        <v>0</v>
      </c>
      <c r="AH900" s="64">
        <f>IF(Table1[[#This Row],[GameIsOver]]=0,0,IF(Table1[[#This Row],[ActualWinner]]=Table1[[#This Row],[AwayTeam]], 1, 0))</f>
        <v>0</v>
      </c>
      <c r="AI900" s="64">
        <f>IF(Table1[[#This Row],[GameIsOver]]=0,0,IF(Table1[[#This Row],[ActualWinner]]=Table1[[#This Row],[HomeTeam]], 1, 0))</f>
        <v>0</v>
      </c>
      <c r="AJ900" s="64">
        <f>IF(INDEX(Standings!$A$2:$C$33,MATCH(Table1[[#This Row],[AwayTeam]],Standings!$A$2:$A$33,0),2)=INDEX(Standings!$A$2:$C$33,MATCH(Table1[[#This Row],[HomeTeam]],Standings!$A$2:$A$33,0),2),1,0)</f>
        <v>1</v>
      </c>
      <c r="AK900" s="64">
        <f>IF(INDEX(Standings!$A$2:$C$33,MATCH(Table1[[#This Row],[AwayTeam]],Standings!$A$2:$A$33,0),3)=INDEX(Standings!$A$2:$C$33,MATCH(Table1[[#This Row],[HomeTeam]],Standings!$A$2:$A$33,0),3),1,0)</f>
        <v>0</v>
      </c>
      <c r="AL900" s="64">
        <f>IF(Table1[[#This Row],[InterConf]]=1,IF(Table1[[#This Row],[InterDiv]]=0, 1, 0), 0)</f>
        <v>1</v>
      </c>
      <c r="AM900" s="64">
        <f>IF(INDEX(Standings!$A$2:$C$33,MATCH(Table1[[#This Row],[AwayTeam]],Standings!$A$2:$A$33,0),2)&lt;&gt;INDEX(Standings!$A$2:$C$33,MATCH(Table1[[#This Row],[HomeTeam]],Standings!$A$2:$A$33,0),2),1,0)</f>
        <v>0</v>
      </c>
      <c r="AN900" s="64" t="str">
        <f>INDEX(Table2[AWAY_RECORD], MATCH(Table1[[#This Row],[AwayTeam]],Table2[Team], 0), 0)</f>
        <v>1-0-0</v>
      </c>
      <c r="AO900" s="64" t="str">
        <f>INDEX(Records!$B$2:$AG$33, MATCH(Table1[[#This Row],[AwayTeam]],Records!$A$2:$A$33, 0), MATCH(Table1[[#This Row],[HomeTeam]],Records!$A$2:$A$33, 0))</f>
        <v>0-0-0</v>
      </c>
      <c r="AP900" s="64" t="str">
        <f>INDEX(Table2[HOME_RECORD], MATCH(Table1[[#This Row],[HomeTeam]],Table2[Team], 0), 0)</f>
        <v>0-0-0</v>
      </c>
      <c r="AQ900" s="64" t="str">
        <f>INDEX(Records!$B$2:$AG$33, MATCH(Table1[[#This Row],[HomeTeam]],Records!$A$2:$A$33, 0), MATCH(Table1[[#This Row],[AwayTeam]],Records!$A$2:$A$33, 0))</f>
        <v>0-0-0</v>
      </c>
    </row>
    <row r="901" spans="1:43" x14ac:dyDescent="0.25">
      <c r="A901" s="1"/>
      <c r="D901" t="s">
        <v>1213</v>
      </c>
      <c r="E901" t="s">
        <v>298</v>
      </c>
      <c r="F901" t="s">
        <v>1214</v>
      </c>
      <c r="G901" t="s">
        <v>44</v>
      </c>
      <c r="H901" t="s">
        <v>36</v>
      </c>
      <c r="L90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0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01" s="1"/>
      <c r="T901" s="64" t="str">
        <f>IF(Table1[[#This Row],[ActualWinner]]="", "", IF(Table1[[#This Row],[AwayTeam]]=Table1[[#This Row],[ActualWinner]],Table1[[#This Row],[HomeTeam]],Table1[[#This Row],[AwayTeam]]))</f>
        <v/>
      </c>
      <c r="U901" s="64">
        <f>Table1[[#This Row],[ActualAwayScore]]-Table1[[#This Row],[PredictedAwayScore]]</f>
        <v>0</v>
      </c>
      <c r="V901" s="64">
        <f>Table1[[#This Row],[ActualHomeScore]]-Table1[[#This Row],[PredictedHomeScore]]</f>
        <v>0</v>
      </c>
      <c r="W901" s="64">
        <f>(0.8*IF(Table1[[#This Row],[CorrectWinnerPrediction]]=1, 1, 0))+(0.1*IF(Table1[[#This Row],[CorrectAwayScorePrediction]]=1, 1, 0))+(0.1*IF(Table1[[#This Row],[CorrectHomeScorePrediction]]=1, 1, 0))</f>
        <v>0</v>
      </c>
      <c r="X90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01" s="64">
        <f>SUMIF(Table1[GameDate], Table1[[#This Row],[GameDate]], Table1[AwayGameGoalDiff])</f>
        <v>0</v>
      </c>
      <c r="AA901" s="64">
        <f>SUMIF(Table1[GameDate], Table1[[#This Row],[GameDate]], Table1[HomeGameGoalDiff])</f>
        <v>0</v>
      </c>
      <c r="AB901" s="64">
        <f>IF(ISBLANK(Table1[[#This Row],[ActualResult]]), 0, 1)</f>
        <v>0</v>
      </c>
      <c r="AC901" s="64">
        <f>IF(ISBLANK(Table1[[#This Row],[ActualResult]]), 0, IF(Table1[[#This Row],[ActualWinner]]=Table1[[#This Row],[PredictedWinner]], 1, 0))</f>
        <v>0</v>
      </c>
      <c r="AD90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0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01" s="64">
        <f>IF(AND(Table1[[#This Row],[GameIsOver]]=1,Table1[[#This Row],[ActualAwayScore]]=0), 1,0)</f>
        <v>0</v>
      </c>
      <c r="AG901" s="64">
        <f>IF(AND(Table1[[#This Row],[GameIsOver]]=1,Table1[[#This Row],[ActualHomeScore]]=0), 1,0)</f>
        <v>0</v>
      </c>
      <c r="AH901" s="64">
        <f>IF(Table1[[#This Row],[GameIsOver]]=0,0,IF(Table1[[#This Row],[ActualWinner]]=Table1[[#This Row],[AwayTeam]], 1, 0))</f>
        <v>0</v>
      </c>
      <c r="AI901" s="64">
        <f>IF(Table1[[#This Row],[GameIsOver]]=0,0,IF(Table1[[#This Row],[ActualWinner]]=Table1[[#This Row],[HomeTeam]], 1, 0))</f>
        <v>0</v>
      </c>
      <c r="AJ901" s="64">
        <f>IF(INDEX(Standings!$A$2:$C$33,MATCH(Table1[[#This Row],[AwayTeam]],Standings!$A$2:$A$33,0),2)=INDEX(Standings!$A$2:$C$33,MATCH(Table1[[#This Row],[HomeTeam]],Standings!$A$2:$A$33,0),2),1,0)</f>
        <v>0</v>
      </c>
      <c r="AK901" s="64">
        <f>IF(INDEX(Standings!$A$2:$C$33,MATCH(Table1[[#This Row],[AwayTeam]],Standings!$A$2:$A$33,0),3)=INDEX(Standings!$A$2:$C$33,MATCH(Table1[[#This Row],[HomeTeam]],Standings!$A$2:$A$33,0),3),1,0)</f>
        <v>0</v>
      </c>
      <c r="AL901" s="64">
        <f>IF(Table1[[#This Row],[InterConf]]=1,IF(Table1[[#This Row],[InterDiv]]=0, 1, 0), 0)</f>
        <v>0</v>
      </c>
      <c r="AM901" s="64">
        <f>IF(INDEX(Standings!$A$2:$C$33,MATCH(Table1[[#This Row],[AwayTeam]],Standings!$A$2:$A$33,0),2)&lt;&gt;INDEX(Standings!$A$2:$C$33,MATCH(Table1[[#This Row],[HomeTeam]],Standings!$A$2:$A$33,0),2),1,0)</f>
        <v>1</v>
      </c>
      <c r="AN901" s="64" t="str">
        <f>INDEX(Table2[AWAY_RECORD], MATCH(Table1[[#This Row],[AwayTeam]],Table2[Team], 0), 0)</f>
        <v>0-0-0</v>
      </c>
      <c r="AO901" s="64" t="str">
        <f>INDEX(Records!$B$2:$AG$33, MATCH(Table1[[#This Row],[AwayTeam]],Records!$A$2:$A$33, 0), MATCH(Table1[[#This Row],[HomeTeam]],Records!$A$2:$A$33, 0))</f>
        <v>0-0-0</v>
      </c>
      <c r="AP901" s="64" t="str">
        <f>INDEX(Table2[HOME_RECORD], MATCH(Table1[[#This Row],[HomeTeam]],Table2[Team], 0), 0)</f>
        <v>0-0-0</v>
      </c>
      <c r="AQ901" s="64" t="str">
        <f>INDEX(Records!$B$2:$AG$33, MATCH(Table1[[#This Row],[HomeTeam]],Records!$A$2:$A$33, 0), MATCH(Table1[[#This Row],[AwayTeam]],Records!$A$2:$A$33, 0))</f>
        <v>0-0-0</v>
      </c>
    </row>
    <row r="902" spans="1:43" x14ac:dyDescent="0.25">
      <c r="A902" s="1"/>
      <c r="D902" t="s">
        <v>1213</v>
      </c>
      <c r="E902" t="s">
        <v>289</v>
      </c>
      <c r="F902" t="s">
        <v>1215</v>
      </c>
      <c r="G902" t="s">
        <v>37</v>
      </c>
      <c r="H902" t="s">
        <v>24</v>
      </c>
      <c r="L90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0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02" s="1"/>
      <c r="T902" s="64" t="str">
        <f>IF(Table1[[#This Row],[ActualWinner]]="", "", IF(Table1[[#This Row],[AwayTeam]]=Table1[[#This Row],[ActualWinner]],Table1[[#This Row],[HomeTeam]],Table1[[#This Row],[AwayTeam]]))</f>
        <v/>
      </c>
      <c r="U902" s="64">
        <f>Table1[[#This Row],[ActualAwayScore]]-Table1[[#This Row],[PredictedAwayScore]]</f>
        <v>0</v>
      </c>
      <c r="V902" s="64">
        <f>Table1[[#This Row],[ActualHomeScore]]-Table1[[#This Row],[PredictedHomeScore]]</f>
        <v>0</v>
      </c>
      <c r="W902" s="64">
        <f>(0.8*IF(Table1[[#This Row],[CorrectWinnerPrediction]]=1, 1, 0))+(0.1*IF(Table1[[#This Row],[CorrectAwayScorePrediction]]=1, 1, 0))+(0.1*IF(Table1[[#This Row],[CorrectHomeScorePrediction]]=1, 1, 0))</f>
        <v>0</v>
      </c>
      <c r="X90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02" s="64">
        <f>SUMIF(Table1[GameDate], Table1[[#This Row],[GameDate]], Table1[AwayGameGoalDiff])</f>
        <v>0</v>
      </c>
      <c r="AA902" s="64">
        <f>SUMIF(Table1[GameDate], Table1[[#This Row],[GameDate]], Table1[HomeGameGoalDiff])</f>
        <v>0</v>
      </c>
      <c r="AB902" s="64">
        <f>IF(ISBLANK(Table1[[#This Row],[ActualResult]]), 0, 1)</f>
        <v>0</v>
      </c>
      <c r="AC902" s="64">
        <f>IF(ISBLANK(Table1[[#This Row],[ActualResult]]), 0, IF(Table1[[#This Row],[ActualWinner]]=Table1[[#This Row],[PredictedWinner]], 1, 0))</f>
        <v>0</v>
      </c>
      <c r="AD90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0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02" s="64">
        <f>IF(AND(Table1[[#This Row],[GameIsOver]]=1,Table1[[#This Row],[ActualAwayScore]]=0), 1,0)</f>
        <v>0</v>
      </c>
      <c r="AG902" s="64">
        <f>IF(AND(Table1[[#This Row],[GameIsOver]]=1,Table1[[#This Row],[ActualHomeScore]]=0), 1,0)</f>
        <v>0</v>
      </c>
      <c r="AH902" s="64">
        <f>IF(Table1[[#This Row],[GameIsOver]]=0,0,IF(Table1[[#This Row],[ActualWinner]]=Table1[[#This Row],[AwayTeam]], 1, 0))</f>
        <v>0</v>
      </c>
      <c r="AI902" s="64">
        <f>IF(Table1[[#This Row],[GameIsOver]]=0,0,IF(Table1[[#This Row],[ActualWinner]]=Table1[[#This Row],[HomeTeam]], 1, 0))</f>
        <v>0</v>
      </c>
      <c r="AJ902" s="64">
        <f>IF(INDEX(Standings!$A$2:$C$33,MATCH(Table1[[#This Row],[AwayTeam]],Standings!$A$2:$A$33,0),2)=INDEX(Standings!$A$2:$C$33,MATCH(Table1[[#This Row],[HomeTeam]],Standings!$A$2:$A$33,0),2),1,0)</f>
        <v>1</v>
      </c>
      <c r="AK902" s="64">
        <f>IF(INDEX(Standings!$A$2:$C$33,MATCH(Table1[[#This Row],[AwayTeam]],Standings!$A$2:$A$33,0),3)=INDEX(Standings!$A$2:$C$33,MATCH(Table1[[#This Row],[HomeTeam]],Standings!$A$2:$A$33,0),3),1,0)</f>
        <v>1</v>
      </c>
      <c r="AL902" s="64">
        <f>IF(Table1[[#This Row],[InterConf]]=1,IF(Table1[[#This Row],[InterDiv]]=0, 1, 0), 0)</f>
        <v>0</v>
      </c>
      <c r="AM902" s="64">
        <f>IF(INDEX(Standings!$A$2:$C$33,MATCH(Table1[[#This Row],[AwayTeam]],Standings!$A$2:$A$33,0),2)&lt;&gt;INDEX(Standings!$A$2:$C$33,MATCH(Table1[[#This Row],[HomeTeam]],Standings!$A$2:$A$33,0),2),1,0)</f>
        <v>0</v>
      </c>
      <c r="AN902" s="64" t="str">
        <f>INDEX(Table2[AWAY_RECORD], MATCH(Table1[[#This Row],[AwayTeam]],Table2[Team], 0), 0)</f>
        <v>0-0-1</v>
      </c>
      <c r="AO902" s="64" t="str">
        <f>INDEX(Records!$B$2:$AG$33, MATCH(Table1[[#This Row],[AwayTeam]],Records!$A$2:$A$33, 0), MATCH(Table1[[#This Row],[HomeTeam]],Records!$A$2:$A$33, 0))</f>
        <v>0-0-0</v>
      </c>
      <c r="AP902" s="64" t="str">
        <f>INDEX(Table2[HOME_RECORD], MATCH(Table1[[#This Row],[HomeTeam]],Table2[Team], 0), 0)</f>
        <v>0-2-0</v>
      </c>
      <c r="AQ902" s="64" t="str">
        <f>INDEX(Records!$B$2:$AG$33, MATCH(Table1[[#This Row],[HomeTeam]],Records!$A$2:$A$33, 0), MATCH(Table1[[#This Row],[AwayTeam]],Records!$A$2:$A$33, 0))</f>
        <v>0-0-0</v>
      </c>
    </row>
    <row r="903" spans="1:43" x14ac:dyDescent="0.25">
      <c r="A903" s="1"/>
      <c r="D903" t="s">
        <v>1216</v>
      </c>
      <c r="E903" t="s">
        <v>298</v>
      </c>
      <c r="F903" t="s">
        <v>1217</v>
      </c>
      <c r="G903" t="s">
        <v>16</v>
      </c>
      <c r="H903" t="s">
        <v>55</v>
      </c>
      <c r="L90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0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03" s="1"/>
      <c r="T903" s="64" t="str">
        <f>IF(Table1[[#This Row],[ActualWinner]]="", "", IF(Table1[[#This Row],[AwayTeam]]=Table1[[#This Row],[ActualWinner]],Table1[[#This Row],[HomeTeam]],Table1[[#This Row],[AwayTeam]]))</f>
        <v/>
      </c>
      <c r="U903" s="64">
        <f>Table1[[#This Row],[ActualAwayScore]]-Table1[[#This Row],[PredictedAwayScore]]</f>
        <v>0</v>
      </c>
      <c r="V903" s="64">
        <f>Table1[[#This Row],[ActualHomeScore]]-Table1[[#This Row],[PredictedHomeScore]]</f>
        <v>0</v>
      </c>
      <c r="W903" s="64">
        <f>(0.8*IF(Table1[[#This Row],[CorrectWinnerPrediction]]=1, 1, 0))+(0.1*IF(Table1[[#This Row],[CorrectAwayScorePrediction]]=1, 1, 0))+(0.1*IF(Table1[[#This Row],[CorrectHomeScorePrediction]]=1, 1, 0))</f>
        <v>0</v>
      </c>
      <c r="X90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03" s="64">
        <f>SUMIF(Table1[GameDate], Table1[[#This Row],[GameDate]], Table1[AwayGameGoalDiff])</f>
        <v>0</v>
      </c>
      <c r="AA903" s="64">
        <f>SUMIF(Table1[GameDate], Table1[[#This Row],[GameDate]], Table1[HomeGameGoalDiff])</f>
        <v>0</v>
      </c>
      <c r="AB903" s="64">
        <f>IF(ISBLANK(Table1[[#This Row],[ActualResult]]), 0, 1)</f>
        <v>0</v>
      </c>
      <c r="AC903" s="64">
        <f>IF(ISBLANK(Table1[[#This Row],[ActualResult]]), 0, IF(Table1[[#This Row],[ActualWinner]]=Table1[[#This Row],[PredictedWinner]], 1, 0))</f>
        <v>0</v>
      </c>
      <c r="AD90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0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03" s="64">
        <f>IF(AND(Table1[[#This Row],[GameIsOver]]=1,Table1[[#This Row],[ActualAwayScore]]=0), 1,0)</f>
        <v>0</v>
      </c>
      <c r="AG903" s="64">
        <f>IF(AND(Table1[[#This Row],[GameIsOver]]=1,Table1[[#This Row],[ActualHomeScore]]=0), 1,0)</f>
        <v>0</v>
      </c>
      <c r="AH903" s="64">
        <f>IF(Table1[[#This Row],[GameIsOver]]=0,0,IF(Table1[[#This Row],[ActualWinner]]=Table1[[#This Row],[AwayTeam]], 1, 0))</f>
        <v>0</v>
      </c>
      <c r="AI903" s="64">
        <f>IF(Table1[[#This Row],[GameIsOver]]=0,0,IF(Table1[[#This Row],[ActualWinner]]=Table1[[#This Row],[HomeTeam]], 1, 0))</f>
        <v>0</v>
      </c>
      <c r="AJ903" s="64">
        <f>IF(INDEX(Standings!$A$2:$C$33,MATCH(Table1[[#This Row],[AwayTeam]],Standings!$A$2:$A$33,0),2)=INDEX(Standings!$A$2:$C$33,MATCH(Table1[[#This Row],[HomeTeam]],Standings!$A$2:$A$33,0),2),1,0)</f>
        <v>1</v>
      </c>
      <c r="AK903" s="64">
        <f>IF(INDEX(Standings!$A$2:$C$33,MATCH(Table1[[#This Row],[AwayTeam]],Standings!$A$2:$A$33,0),3)=INDEX(Standings!$A$2:$C$33,MATCH(Table1[[#This Row],[HomeTeam]],Standings!$A$2:$A$33,0),3),1,0)</f>
        <v>0</v>
      </c>
      <c r="AL903" s="64">
        <f>IF(Table1[[#This Row],[InterConf]]=1,IF(Table1[[#This Row],[InterDiv]]=0, 1, 0), 0)</f>
        <v>1</v>
      </c>
      <c r="AM903" s="64">
        <f>IF(INDEX(Standings!$A$2:$C$33,MATCH(Table1[[#This Row],[AwayTeam]],Standings!$A$2:$A$33,0),2)&lt;&gt;INDEX(Standings!$A$2:$C$33,MATCH(Table1[[#This Row],[HomeTeam]],Standings!$A$2:$A$33,0),2),1,0)</f>
        <v>0</v>
      </c>
      <c r="AN903" s="64" t="str">
        <f>INDEX(Table2[AWAY_RECORD], MATCH(Table1[[#This Row],[AwayTeam]],Table2[Team], 0), 0)</f>
        <v>1-0-1</v>
      </c>
      <c r="AO903" s="64" t="str">
        <f>INDEX(Records!$B$2:$AG$33, MATCH(Table1[[#This Row],[AwayTeam]],Records!$A$2:$A$33, 0), MATCH(Table1[[#This Row],[HomeTeam]],Records!$A$2:$A$33, 0))</f>
        <v>0-0-0</v>
      </c>
      <c r="AP903" s="64" t="str">
        <f>INDEX(Table2[HOME_RECORD], MATCH(Table1[[#This Row],[HomeTeam]],Table2[Team], 0), 0)</f>
        <v>0-1-0</v>
      </c>
      <c r="AQ903" s="64" t="str">
        <f>INDEX(Records!$B$2:$AG$33, MATCH(Table1[[#This Row],[HomeTeam]],Records!$A$2:$A$33, 0), MATCH(Table1[[#This Row],[AwayTeam]],Records!$A$2:$A$33, 0))</f>
        <v>0-0-0</v>
      </c>
    </row>
    <row r="904" spans="1:43" x14ac:dyDescent="0.25">
      <c r="A904" s="1"/>
      <c r="D904" t="s">
        <v>1216</v>
      </c>
      <c r="E904" t="s">
        <v>162</v>
      </c>
      <c r="F904" t="s">
        <v>1218</v>
      </c>
      <c r="G904" t="s">
        <v>52</v>
      </c>
      <c r="H904" t="s">
        <v>42</v>
      </c>
      <c r="L90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0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04" s="1"/>
      <c r="T904" s="64" t="str">
        <f>IF(Table1[[#This Row],[ActualWinner]]="", "", IF(Table1[[#This Row],[AwayTeam]]=Table1[[#This Row],[ActualWinner]],Table1[[#This Row],[HomeTeam]],Table1[[#This Row],[AwayTeam]]))</f>
        <v/>
      </c>
      <c r="U904" s="64">
        <f>Table1[[#This Row],[ActualAwayScore]]-Table1[[#This Row],[PredictedAwayScore]]</f>
        <v>0</v>
      </c>
      <c r="V904" s="64">
        <f>Table1[[#This Row],[ActualHomeScore]]-Table1[[#This Row],[PredictedHomeScore]]</f>
        <v>0</v>
      </c>
      <c r="W904" s="64">
        <f>(0.8*IF(Table1[[#This Row],[CorrectWinnerPrediction]]=1, 1, 0))+(0.1*IF(Table1[[#This Row],[CorrectAwayScorePrediction]]=1, 1, 0))+(0.1*IF(Table1[[#This Row],[CorrectHomeScorePrediction]]=1, 1, 0))</f>
        <v>0</v>
      </c>
      <c r="X90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04" s="64">
        <f>SUMIF(Table1[GameDate], Table1[[#This Row],[GameDate]], Table1[AwayGameGoalDiff])</f>
        <v>0</v>
      </c>
      <c r="AA904" s="64">
        <f>SUMIF(Table1[GameDate], Table1[[#This Row],[GameDate]], Table1[HomeGameGoalDiff])</f>
        <v>0</v>
      </c>
      <c r="AB904" s="64">
        <f>IF(ISBLANK(Table1[[#This Row],[ActualResult]]), 0, 1)</f>
        <v>0</v>
      </c>
      <c r="AC904" s="64">
        <f>IF(ISBLANK(Table1[[#This Row],[ActualResult]]), 0, IF(Table1[[#This Row],[ActualWinner]]=Table1[[#This Row],[PredictedWinner]], 1, 0))</f>
        <v>0</v>
      </c>
      <c r="AD90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0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04" s="64">
        <f>IF(AND(Table1[[#This Row],[GameIsOver]]=1,Table1[[#This Row],[ActualAwayScore]]=0), 1,0)</f>
        <v>0</v>
      </c>
      <c r="AG904" s="64">
        <f>IF(AND(Table1[[#This Row],[GameIsOver]]=1,Table1[[#This Row],[ActualHomeScore]]=0), 1,0)</f>
        <v>0</v>
      </c>
      <c r="AH904" s="64">
        <f>IF(Table1[[#This Row],[GameIsOver]]=0,0,IF(Table1[[#This Row],[ActualWinner]]=Table1[[#This Row],[AwayTeam]], 1, 0))</f>
        <v>0</v>
      </c>
      <c r="AI904" s="64">
        <f>IF(Table1[[#This Row],[GameIsOver]]=0,0,IF(Table1[[#This Row],[ActualWinner]]=Table1[[#This Row],[HomeTeam]], 1, 0))</f>
        <v>0</v>
      </c>
      <c r="AJ904" s="64">
        <f>IF(INDEX(Standings!$A$2:$C$33,MATCH(Table1[[#This Row],[AwayTeam]],Standings!$A$2:$A$33,0),2)=INDEX(Standings!$A$2:$C$33,MATCH(Table1[[#This Row],[HomeTeam]],Standings!$A$2:$A$33,0),2),1,0)</f>
        <v>1</v>
      </c>
      <c r="AK904" s="64">
        <f>IF(INDEX(Standings!$A$2:$C$33,MATCH(Table1[[#This Row],[AwayTeam]],Standings!$A$2:$A$33,0),3)=INDEX(Standings!$A$2:$C$33,MATCH(Table1[[#This Row],[HomeTeam]],Standings!$A$2:$A$33,0),3),1,0)</f>
        <v>0</v>
      </c>
      <c r="AL904" s="64">
        <f>IF(Table1[[#This Row],[InterConf]]=1,IF(Table1[[#This Row],[InterDiv]]=0, 1, 0), 0)</f>
        <v>1</v>
      </c>
      <c r="AM904" s="64">
        <f>IF(INDEX(Standings!$A$2:$C$33,MATCH(Table1[[#This Row],[AwayTeam]],Standings!$A$2:$A$33,0),2)&lt;&gt;INDEX(Standings!$A$2:$C$33,MATCH(Table1[[#This Row],[HomeTeam]],Standings!$A$2:$A$33,0),2),1,0)</f>
        <v>0</v>
      </c>
      <c r="AN904" s="64" t="str">
        <f>INDEX(Table2[AWAY_RECORD], MATCH(Table1[[#This Row],[AwayTeam]],Table2[Team], 0), 0)</f>
        <v>0-0-0</v>
      </c>
      <c r="AO904" s="64" t="str">
        <f>INDEX(Records!$B$2:$AG$33, MATCH(Table1[[#This Row],[AwayTeam]],Records!$A$2:$A$33, 0), MATCH(Table1[[#This Row],[HomeTeam]],Records!$A$2:$A$33, 0))</f>
        <v>0-0-0</v>
      </c>
      <c r="AP904" s="64" t="str">
        <f>INDEX(Table2[HOME_RECORD], MATCH(Table1[[#This Row],[HomeTeam]],Table2[Team], 0), 0)</f>
        <v>1-0-0</v>
      </c>
      <c r="AQ904" s="64" t="str">
        <f>INDEX(Records!$B$2:$AG$33, MATCH(Table1[[#This Row],[HomeTeam]],Records!$A$2:$A$33, 0), MATCH(Table1[[#This Row],[AwayTeam]],Records!$A$2:$A$33, 0))</f>
        <v>0-0-0</v>
      </c>
    </row>
    <row r="905" spans="1:43" x14ac:dyDescent="0.25">
      <c r="A905" s="1"/>
      <c r="D905" t="s">
        <v>1216</v>
      </c>
      <c r="E905" t="s">
        <v>289</v>
      </c>
      <c r="F905" t="s">
        <v>1219</v>
      </c>
      <c r="G905" t="s">
        <v>22</v>
      </c>
      <c r="H905" t="s">
        <v>40</v>
      </c>
      <c r="L90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0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05" s="1"/>
      <c r="T905" s="64" t="str">
        <f>IF(Table1[[#This Row],[ActualWinner]]="", "", IF(Table1[[#This Row],[AwayTeam]]=Table1[[#This Row],[ActualWinner]],Table1[[#This Row],[HomeTeam]],Table1[[#This Row],[AwayTeam]]))</f>
        <v/>
      </c>
      <c r="U905" s="64">
        <f>Table1[[#This Row],[ActualAwayScore]]-Table1[[#This Row],[PredictedAwayScore]]</f>
        <v>0</v>
      </c>
      <c r="V905" s="64">
        <f>Table1[[#This Row],[ActualHomeScore]]-Table1[[#This Row],[PredictedHomeScore]]</f>
        <v>0</v>
      </c>
      <c r="W905" s="64">
        <f>(0.8*IF(Table1[[#This Row],[CorrectWinnerPrediction]]=1, 1, 0))+(0.1*IF(Table1[[#This Row],[CorrectAwayScorePrediction]]=1, 1, 0))+(0.1*IF(Table1[[#This Row],[CorrectHomeScorePrediction]]=1, 1, 0))</f>
        <v>0</v>
      </c>
      <c r="X90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05" s="64">
        <f>SUMIF(Table1[GameDate], Table1[[#This Row],[GameDate]], Table1[AwayGameGoalDiff])</f>
        <v>0</v>
      </c>
      <c r="AA905" s="64">
        <f>SUMIF(Table1[GameDate], Table1[[#This Row],[GameDate]], Table1[HomeGameGoalDiff])</f>
        <v>0</v>
      </c>
      <c r="AB905" s="64">
        <f>IF(ISBLANK(Table1[[#This Row],[ActualResult]]), 0, 1)</f>
        <v>0</v>
      </c>
      <c r="AC905" s="64">
        <f>IF(ISBLANK(Table1[[#This Row],[ActualResult]]), 0, IF(Table1[[#This Row],[ActualWinner]]=Table1[[#This Row],[PredictedWinner]], 1, 0))</f>
        <v>0</v>
      </c>
      <c r="AD90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0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05" s="64">
        <f>IF(AND(Table1[[#This Row],[GameIsOver]]=1,Table1[[#This Row],[ActualAwayScore]]=0), 1,0)</f>
        <v>0</v>
      </c>
      <c r="AG905" s="64">
        <f>IF(AND(Table1[[#This Row],[GameIsOver]]=1,Table1[[#This Row],[ActualHomeScore]]=0), 1,0)</f>
        <v>0</v>
      </c>
      <c r="AH905" s="64">
        <f>IF(Table1[[#This Row],[GameIsOver]]=0,0,IF(Table1[[#This Row],[ActualWinner]]=Table1[[#This Row],[AwayTeam]], 1, 0))</f>
        <v>0</v>
      </c>
      <c r="AI905" s="64">
        <f>IF(Table1[[#This Row],[GameIsOver]]=0,0,IF(Table1[[#This Row],[ActualWinner]]=Table1[[#This Row],[HomeTeam]], 1, 0))</f>
        <v>0</v>
      </c>
      <c r="AJ905" s="64">
        <f>IF(INDEX(Standings!$A$2:$C$33,MATCH(Table1[[#This Row],[AwayTeam]],Standings!$A$2:$A$33,0),2)=INDEX(Standings!$A$2:$C$33,MATCH(Table1[[#This Row],[HomeTeam]],Standings!$A$2:$A$33,0),2),1,0)</f>
        <v>0</v>
      </c>
      <c r="AK905" s="64">
        <f>IF(INDEX(Standings!$A$2:$C$33,MATCH(Table1[[#This Row],[AwayTeam]],Standings!$A$2:$A$33,0),3)=INDEX(Standings!$A$2:$C$33,MATCH(Table1[[#This Row],[HomeTeam]],Standings!$A$2:$A$33,0),3),1,0)</f>
        <v>0</v>
      </c>
      <c r="AL905" s="64">
        <f>IF(Table1[[#This Row],[InterConf]]=1,IF(Table1[[#This Row],[InterDiv]]=0, 1, 0), 0)</f>
        <v>0</v>
      </c>
      <c r="AM905" s="64">
        <f>IF(INDEX(Standings!$A$2:$C$33,MATCH(Table1[[#This Row],[AwayTeam]],Standings!$A$2:$A$33,0),2)&lt;&gt;INDEX(Standings!$A$2:$C$33,MATCH(Table1[[#This Row],[HomeTeam]],Standings!$A$2:$A$33,0),2),1,0)</f>
        <v>1</v>
      </c>
      <c r="AN905" s="64" t="str">
        <f>INDEX(Table2[AWAY_RECORD], MATCH(Table1[[#This Row],[AwayTeam]],Table2[Team], 0), 0)</f>
        <v>0-0-1</v>
      </c>
      <c r="AO905" s="64" t="str">
        <f>INDEX(Records!$B$2:$AG$33, MATCH(Table1[[#This Row],[AwayTeam]],Records!$A$2:$A$33, 0), MATCH(Table1[[#This Row],[HomeTeam]],Records!$A$2:$A$33, 0))</f>
        <v>0-0-0</v>
      </c>
      <c r="AP905" s="64" t="str">
        <f>INDEX(Table2[HOME_RECORD], MATCH(Table1[[#This Row],[HomeTeam]],Table2[Team], 0), 0)</f>
        <v>1-1-0</v>
      </c>
      <c r="AQ905" s="64" t="str">
        <f>INDEX(Records!$B$2:$AG$33, MATCH(Table1[[#This Row],[HomeTeam]],Records!$A$2:$A$33, 0), MATCH(Table1[[#This Row],[AwayTeam]],Records!$A$2:$A$33, 0))</f>
        <v>0-0-0</v>
      </c>
    </row>
    <row r="906" spans="1:43" x14ac:dyDescent="0.25">
      <c r="A906" s="1"/>
      <c r="D906" t="s">
        <v>1220</v>
      </c>
      <c r="E906" t="s">
        <v>298</v>
      </c>
      <c r="F906" t="s">
        <v>1221</v>
      </c>
      <c r="G906" t="s">
        <v>16</v>
      </c>
      <c r="H906" t="s">
        <v>36</v>
      </c>
      <c r="L90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0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06" s="1"/>
      <c r="T906" s="64" t="str">
        <f>IF(Table1[[#This Row],[ActualWinner]]="", "", IF(Table1[[#This Row],[AwayTeam]]=Table1[[#This Row],[ActualWinner]],Table1[[#This Row],[HomeTeam]],Table1[[#This Row],[AwayTeam]]))</f>
        <v/>
      </c>
      <c r="U906" s="64">
        <f>Table1[[#This Row],[ActualAwayScore]]-Table1[[#This Row],[PredictedAwayScore]]</f>
        <v>0</v>
      </c>
      <c r="V906" s="64">
        <f>Table1[[#This Row],[ActualHomeScore]]-Table1[[#This Row],[PredictedHomeScore]]</f>
        <v>0</v>
      </c>
      <c r="W906" s="64">
        <f>(0.8*IF(Table1[[#This Row],[CorrectWinnerPrediction]]=1, 1, 0))+(0.1*IF(Table1[[#This Row],[CorrectAwayScorePrediction]]=1, 1, 0))+(0.1*IF(Table1[[#This Row],[CorrectHomeScorePrediction]]=1, 1, 0))</f>
        <v>0</v>
      </c>
      <c r="X90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06" s="64">
        <f>SUMIF(Table1[GameDate], Table1[[#This Row],[GameDate]], Table1[AwayGameGoalDiff])</f>
        <v>0</v>
      </c>
      <c r="AA906" s="64">
        <f>SUMIF(Table1[GameDate], Table1[[#This Row],[GameDate]], Table1[HomeGameGoalDiff])</f>
        <v>0</v>
      </c>
      <c r="AB906" s="64">
        <f>IF(ISBLANK(Table1[[#This Row],[ActualResult]]), 0, 1)</f>
        <v>0</v>
      </c>
      <c r="AC906" s="64">
        <f>IF(ISBLANK(Table1[[#This Row],[ActualResult]]), 0, IF(Table1[[#This Row],[ActualWinner]]=Table1[[#This Row],[PredictedWinner]], 1, 0))</f>
        <v>0</v>
      </c>
      <c r="AD90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0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06" s="64">
        <f>IF(AND(Table1[[#This Row],[GameIsOver]]=1,Table1[[#This Row],[ActualAwayScore]]=0), 1,0)</f>
        <v>0</v>
      </c>
      <c r="AG906" s="64">
        <f>IF(AND(Table1[[#This Row],[GameIsOver]]=1,Table1[[#This Row],[ActualHomeScore]]=0), 1,0)</f>
        <v>0</v>
      </c>
      <c r="AH906" s="64">
        <f>IF(Table1[[#This Row],[GameIsOver]]=0,0,IF(Table1[[#This Row],[ActualWinner]]=Table1[[#This Row],[AwayTeam]], 1, 0))</f>
        <v>0</v>
      </c>
      <c r="AI906" s="64">
        <f>IF(Table1[[#This Row],[GameIsOver]]=0,0,IF(Table1[[#This Row],[ActualWinner]]=Table1[[#This Row],[HomeTeam]], 1, 0))</f>
        <v>0</v>
      </c>
      <c r="AJ906" s="64">
        <f>IF(INDEX(Standings!$A$2:$C$33,MATCH(Table1[[#This Row],[AwayTeam]],Standings!$A$2:$A$33,0),2)=INDEX(Standings!$A$2:$C$33,MATCH(Table1[[#This Row],[HomeTeam]],Standings!$A$2:$A$33,0),2),1,0)</f>
        <v>1</v>
      </c>
      <c r="AK906" s="64">
        <f>IF(INDEX(Standings!$A$2:$C$33,MATCH(Table1[[#This Row],[AwayTeam]],Standings!$A$2:$A$33,0),3)=INDEX(Standings!$A$2:$C$33,MATCH(Table1[[#This Row],[HomeTeam]],Standings!$A$2:$A$33,0),3),1,0)</f>
        <v>0</v>
      </c>
      <c r="AL906" s="64">
        <f>IF(Table1[[#This Row],[InterConf]]=1,IF(Table1[[#This Row],[InterDiv]]=0, 1, 0), 0)</f>
        <v>1</v>
      </c>
      <c r="AM906" s="64">
        <f>IF(INDEX(Standings!$A$2:$C$33,MATCH(Table1[[#This Row],[AwayTeam]],Standings!$A$2:$A$33,0),2)&lt;&gt;INDEX(Standings!$A$2:$C$33,MATCH(Table1[[#This Row],[HomeTeam]],Standings!$A$2:$A$33,0),2),1,0)</f>
        <v>0</v>
      </c>
      <c r="AN906" s="64" t="str">
        <f>INDEX(Table2[AWAY_RECORD], MATCH(Table1[[#This Row],[AwayTeam]],Table2[Team], 0), 0)</f>
        <v>1-0-1</v>
      </c>
      <c r="AO906" s="64" t="str">
        <f>INDEX(Records!$B$2:$AG$33, MATCH(Table1[[#This Row],[AwayTeam]],Records!$A$2:$A$33, 0), MATCH(Table1[[#This Row],[HomeTeam]],Records!$A$2:$A$33, 0))</f>
        <v>0-0-0</v>
      </c>
      <c r="AP906" s="64" t="str">
        <f>INDEX(Table2[HOME_RECORD], MATCH(Table1[[#This Row],[HomeTeam]],Table2[Team], 0), 0)</f>
        <v>0-0-0</v>
      </c>
      <c r="AQ906" s="64" t="str">
        <f>INDEX(Records!$B$2:$AG$33, MATCH(Table1[[#This Row],[HomeTeam]],Records!$A$2:$A$33, 0), MATCH(Table1[[#This Row],[AwayTeam]],Records!$A$2:$A$33, 0))</f>
        <v>0-0-0</v>
      </c>
    </row>
    <row r="907" spans="1:43" x14ac:dyDescent="0.25">
      <c r="A907" s="1"/>
      <c r="D907" t="s">
        <v>1220</v>
      </c>
      <c r="E907" t="s">
        <v>298</v>
      </c>
      <c r="F907" t="s">
        <v>1222</v>
      </c>
      <c r="G907" t="s">
        <v>44</v>
      </c>
      <c r="H907" t="s">
        <v>46</v>
      </c>
      <c r="L90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0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07" s="1"/>
      <c r="T907" s="64" t="str">
        <f>IF(Table1[[#This Row],[ActualWinner]]="", "", IF(Table1[[#This Row],[AwayTeam]]=Table1[[#This Row],[ActualWinner]],Table1[[#This Row],[HomeTeam]],Table1[[#This Row],[AwayTeam]]))</f>
        <v/>
      </c>
      <c r="U907" s="64">
        <f>Table1[[#This Row],[ActualAwayScore]]-Table1[[#This Row],[PredictedAwayScore]]</f>
        <v>0</v>
      </c>
      <c r="V907" s="64">
        <f>Table1[[#This Row],[ActualHomeScore]]-Table1[[#This Row],[PredictedHomeScore]]</f>
        <v>0</v>
      </c>
      <c r="W907" s="64">
        <f>(0.8*IF(Table1[[#This Row],[CorrectWinnerPrediction]]=1, 1, 0))+(0.1*IF(Table1[[#This Row],[CorrectAwayScorePrediction]]=1, 1, 0))+(0.1*IF(Table1[[#This Row],[CorrectHomeScorePrediction]]=1, 1, 0))</f>
        <v>0</v>
      </c>
      <c r="X90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07" s="64">
        <f>SUMIF(Table1[GameDate], Table1[[#This Row],[GameDate]], Table1[AwayGameGoalDiff])</f>
        <v>0</v>
      </c>
      <c r="AA907" s="64">
        <f>SUMIF(Table1[GameDate], Table1[[#This Row],[GameDate]], Table1[HomeGameGoalDiff])</f>
        <v>0</v>
      </c>
      <c r="AB907" s="64">
        <f>IF(ISBLANK(Table1[[#This Row],[ActualResult]]), 0, 1)</f>
        <v>0</v>
      </c>
      <c r="AC907" s="64">
        <f>IF(ISBLANK(Table1[[#This Row],[ActualResult]]), 0, IF(Table1[[#This Row],[ActualWinner]]=Table1[[#This Row],[PredictedWinner]], 1, 0))</f>
        <v>0</v>
      </c>
      <c r="AD90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0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07" s="64">
        <f>IF(AND(Table1[[#This Row],[GameIsOver]]=1,Table1[[#This Row],[ActualAwayScore]]=0), 1,0)</f>
        <v>0</v>
      </c>
      <c r="AG907" s="64">
        <f>IF(AND(Table1[[#This Row],[GameIsOver]]=1,Table1[[#This Row],[ActualHomeScore]]=0), 1,0)</f>
        <v>0</v>
      </c>
      <c r="AH907" s="64">
        <f>IF(Table1[[#This Row],[GameIsOver]]=0,0,IF(Table1[[#This Row],[ActualWinner]]=Table1[[#This Row],[AwayTeam]], 1, 0))</f>
        <v>0</v>
      </c>
      <c r="AI907" s="64">
        <f>IF(Table1[[#This Row],[GameIsOver]]=0,0,IF(Table1[[#This Row],[ActualWinner]]=Table1[[#This Row],[HomeTeam]], 1, 0))</f>
        <v>0</v>
      </c>
      <c r="AJ907" s="64">
        <f>IF(INDEX(Standings!$A$2:$C$33,MATCH(Table1[[#This Row],[AwayTeam]],Standings!$A$2:$A$33,0),2)=INDEX(Standings!$A$2:$C$33,MATCH(Table1[[#This Row],[HomeTeam]],Standings!$A$2:$A$33,0),2),1,0)</f>
        <v>0</v>
      </c>
      <c r="AK907" s="64">
        <f>IF(INDEX(Standings!$A$2:$C$33,MATCH(Table1[[#This Row],[AwayTeam]],Standings!$A$2:$A$33,0),3)=INDEX(Standings!$A$2:$C$33,MATCH(Table1[[#This Row],[HomeTeam]],Standings!$A$2:$A$33,0),3),1,0)</f>
        <v>0</v>
      </c>
      <c r="AL907" s="64">
        <f>IF(Table1[[#This Row],[InterConf]]=1,IF(Table1[[#This Row],[InterDiv]]=0, 1, 0), 0)</f>
        <v>0</v>
      </c>
      <c r="AM907" s="64">
        <f>IF(INDEX(Standings!$A$2:$C$33,MATCH(Table1[[#This Row],[AwayTeam]],Standings!$A$2:$A$33,0),2)&lt;&gt;INDEX(Standings!$A$2:$C$33,MATCH(Table1[[#This Row],[HomeTeam]],Standings!$A$2:$A$33,0),2),1,0)</f>
        <v>1</v>
      </c>
      <c r="AN907" s="64" t="str">
        <f>INDEX(Table2[AWAY_RECORD], MATCH(Table1[[#This Row],[AwayTeam]],Table2[Team], 0), 0)</f>
        <v>0-0-0</v>
      </c>
      <c r="AO907" s="64" t="str">
        <f>INDEX(Records!$B$2:$AG$33, MATCH(Table1[[#This Row],[AwayTeam]],Records!$A$2:$A$33, 0), MATCH(Table1[[#This Row],[HomeTeam]],Records!$A$2:$A$33, 0))</f>
        <v>0-0-0</v>
      </c>
      <c r="AP907" s="64" t="str">
        <f>INDEX(Table2[HOME_RECORD], MATCH(Table1[[#This Row],[HomeTeam]],Table2[Team], 0), 0)</f>
        <v>0-0-0</v>
      </c>
      <c r="AQ907" s="64" t="str">
        <f>INDEX(Records!$B$2:$AG$33, MATCH(Table1[[#This Row],[HomeTeam]],Records!$A$2:$A$33, 0), MATCH(Table1[[#This Row],[AwayTeam]],Records!$A$2:$A$33, 0))</f>
        <v>0-0-0</v>
      </c>
    </row>
    <row r="908" spans="1:43" x14ac:dyDescent="0.25">
      <c r="A908" s="1"/>
      <c r="D908" t="s">
        <v>1220</v>
      </c>
      <c r="E908" t="s">
        <v>162</v>
      </c>
      <c r="F908" t="s">
        <v>1223</v>
      </c>
      <c r="G908" t="s">
        <v>43</v>
      </c>
      <c r="H908" t="s">
        <v>57</v>
      </c>
      <c r="L90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0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08" s="1"/>
      <c r="T908" s="64" t="str">
        <f>IF(Table1[[#This Row],[ActualWinner]]="", "", IF(Table1[[#This Row],[AwayTeam]]=Table1[[#This Row],[ActualWinner]],Table1[[#This Row],[HomeTeam]],Table1[[#This Row],[AwayTeam]]))</f>
        <v/>
      </c>
      <c r="U908" s="64">
        <f>Table1[[#This Row],[ActualAwayScore]]-Table1[[#This Row],[PredictedAwayScore]]</f>
        <v>0</v>
      </c>
      <c r="V908" s="64">
        <f>Table1[[#This Row],[ActualHomeScore]]-Table1[[#This Row],[PredictedHomeScore]]</f>
        <v>0</v>
      </c>
      <c r="W908" s="64">
        <f>(0.8*IF(Table1[[#This Row],[CorrectWinnerPrediction]]=1, 1, 0))+(0.1*IF(Table1[[#This Row],[CorrectAwayScorePrediction]]=1, 1, 0))+(0.1*IF(Table1[[#This Row],[CorrectHomeScorePrediction]]=1, 1, 0))</f>
        <v>0</v>
      </c>
      <c r="X90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08" s="64">
        <f>SUMIF(Table1[GameDate], Table1[[#This Row],[GameDate]], Table1[AwayGameGoalDiff])</f>
        <v>0</v>
      </c>
      <c r="AA908" s="64">
        <f>SUMIF(Table1[GameDate], Table1[[#This Row],[GameDate]], Table1[HomeGameGoalDiff])</f>
        <v>0</v>
      </c>
      <c r="AB908" s="64">
        <f>IF(ISBLANK(Table1[[#This Row],[ActualResult]]), 0, 1)</f>
        <v>0</v>
      </c>
      <c r="AC908" s="64">
        <f>IF(ISBLANK(Table1[[#This Row],[ActualResult]]), 0, IF(Table1[[#This Row],[ActualWinner]]=Table1[[#This Row],[PredictedWinner]], 1, 0))</f>
        <v>0</v>
      </c>
      <c r="AD90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0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08" s="64">
        <f>IF(AND(Table1[[#This Row],[GameIsOver]]=1,Table1[[#This Row],[ActualAwayScore]]=0), 1,0)</f>
        <v>0</v>
      </c>
      <c r="AG908" s="64">
        <f>IF(AND(Table1[[#This Row],[GameIsOver]]=1,Table1[[#This Row],[ActualHomeScore]]=0), 1,0)</f>
        <v>0</v>
      </c>
      <c r="AH908" s="64">
        <f>IF(Table1[[#This Row],[GameIsOver]]=0,0,IF(Table1[[#This Row],[ActualWinner]]=Table1[[#This Row],[AwayTeam]], 1, 0))</f>
        <v>0</v>
      </c>
      <c r="AI908" s="64">
        <f>IF(Table1[[#This Row],[GameIsOver]]=0,0,IF(Table1[[#This Row],[ActualWinner]]=Table1[[#This Row],[HomeTeam]], 1, 0))</f>
        <v>0</v>
      </c>
      <c r="AJ908" s="64">
        <f>IF(INDEX(Standings!$A$2:$C$33,MATCH(Table1[[#This Row],[AwayTeam]],Standings!$A$2:$A$33,0),2)=INDEX(Standings!$A$2:$C$33,MATCH(Table1[[#This Row],[HomeTeam]],Standings!$A$2:$A$33,0),2),1,0)</f>
        <v>0</v>
      </c>
      <c r="AK908" s="64">
        <f>IF(INDEX(Standings!$A$2:$C$33,MATCH(Table1[[#This Row],[AwayTeam]],Standings!$A$2:$A$33,0),3)=INDEX(Standings!$A$2:$C$33,MATCH(Table1[[#This Row],[HomeTeam]],Standings!$A$2:$A$33,0),3),1,0)</f>
        <v>0</v>
      </c>
      <c r="AL908" s="64">
        <f>IF(Table1[[#This Row],[InterConf]]=1,IF(Table1[[#This Row],[InterDiv]]=0, 1, 0), 0)</f>
        <v>0</v>
      </c>
      <c r="AM908" s="64">
        <f>IF(INDEX(Standings!$A$2:$C$33,MATCH(Table1[[#This Row],[AwayTeam]],Standings!$A$2:$A$33,0),2)&lt;&gt;INDEX(Standings!$A$2:$C$33,MATCH(Table1[[#This Row],[HomeTeam]],Standings!$A$2:$A$33,0),2),1,0)</f>
        <v>1</v>
      </c>
      <c r="AN908" s="64" t="str">
        <f>INDEX(Table2[AWAY_RECORD], MATCH(Table1[[#This Row],[AwayTeam]],Table2[Team], 0), 0)</f>
        <v>0-0-0</v>
      </c>
      <c r="AO908" s="64" t="str">
        <f>INDEX(Records!$B$2:$AG$33, MATCH(Table1[[#This Row],[AwayTeam]],Records!$A$2:$A$33, 0), MATCH(Table1[[#This Row],[HomeTeam]],Records!$A$2:$A$33, 0))</f>
        <v>0-0-0</v>
      </c>
      <c r="AP908" s="64" t="str">
        <f>INDEX(Table2[HOME_RECORD], MATCH(Table1[[#This Row],[HomeTeam]],Table2[Team], 0), 0)</f>
        <v>0-0-0</v>
      </c>
      <c r="AQ908" s="64" t="str">
        <f>INDEX(Records!$B$2:$AG$33, MATCH(Table1[[#This Row],[HomeTeam]],Records!$A$2:$A$33, 0), MATCH(Table1[[#This Row],[AwayTeam]],Records!$A$2:$A$33, 0))</f>
        <v>0-0-0</v>
      </c>
    </row>
    <row r="909" spans="1:43" x14ac:dyDescent="0.25">
      <c r="A909" s="1"/>
      <c r="D909" t="s">
        <v>1220</v>
      </c>
      <c r="E909" t="s">
        <v>162</v>
      </c>
      <c r="F909" t="s">
        <v>1224</v>
      </c>
      <c r="G909" t="s">
        <v>41</v>
      </c>
      <c r="H909" t="s">
        <v>17</v>
      </c>
      <c r="L90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0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09" s="1"/>
      <c r="T909" s="64" t="str">
        <f>IF(Table1[[#This Row],[ActualWinner]]="", "", IF(Table1[[#This Row],[AwayTeam]]=Table1[[#This Row],[ActualWinner]],Table1[[#This Row],[HomeTeam]],Table1[[#This Row],[AwayTeam]]))</f>
        <v/>
      </c>
      <c r="U909" s="64">
        <f>Table1[[#This Row],[ActualAwayScore]]-Table1[[#This Row],[PredictedAwayScore]]</f>
        <v>0</v>
      </c>
      <c r="V909" s="64">
        <f>Table1[[#This Row],[ActualHomeScore]]-Table1[[#This Row],[PredictedHomeScore]]</f>
        <v>0</v>
      </c>
      <c r="W909" s="64">
        <f>(0.8*IF(Table1[[#This Row],[CorrectWinnerPrediction]]=1, 1, 0))+(0.1*IF(Table1[[#This Row],[CorrectAwayScorePrediction]]=1, 1, 0))+(0.1*IF(Table1[[#This Row],[CorrectHomeScorePrediction]]=1, 1, 0))</f>
        <v>0</v>
      </c>
      <c r="X90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09" s="64">
        <f>SUMIF(Table1[GameDate], Table1[[#This Row],[GameDate]], Table1[AwayGameGoalDiff])</f>
        <v>0</v>
      </c>
      <c r="AA909" s="64">
        <f>SUMIF(Table1[GameDate], Table1[[#This Row],[GameDate]], Table1[HomeGameGoalDiff])</f>
        <v>0</v>
      </c>
      <c r="AB909" s="64">
        <f>IF(ISBLANK(Table1[[#This Row],[ActualResult]]), 0, 1)</f>
        <v>0</v>
      </c>
      <c r="AC909" s="64">
        <f>IF(ISBLANK(Table1[[#This Row],[ActualResult]]), 0, IF(Table1[[#This Row],[ActualWinner]]=Table1[[#This Row],[PredictedWinner]], 1, 0))</f>
        <v>0</v>
      </c>
      <c r="AD90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0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09" s="64">
        <f>IF(AND(Table1[[#This Row],[GameIsOver]]=1,Table1[[#This Row],[ActualAwayScore]]=0), 1,0)</f>
        <v>0</v>
      </c>
      <c r="AG909" s="64">
        <f>IF(AND(Table1[[#This Row],[GameIsOver]]=1,Table1[[#This Row],[ActualHomeScore]]=0), 1,0)</f>
        <v>0</v>
      </c>
      <c r="AH909" s="64">
        <f>IF(Table1[[#This Row],[GameIsOver]]=0,0,IF(Table1[[#This Row],[ActualWinner]]=Table1[[#This Row],[AwayTeam]], 1, 0))</f>
        <v>0</v>
      </c>
      <c r="AI909" s="64">
        <f>IF(Table1[[#This Row],[GameIsOver]]=0,0,IF(Table1[[#This Row],[ActualWinner]]=Table1[[#This Row],[HomeTeam]], 1, 0))</f>
        <v>0</v>
      </c>
      <c r="AJ909" s="64">
        <f>IF(INDEX(Standings!$A$2:$C$33,MATCH(Table1[[#This Row],[AwayTeam]],Standings!$A$2:$A$33,0),2)=INDEX(Standings!$A$2:$C$33,MATCH(Table1[[#This Row],[HomeTeam]],Standings!$A$2:$A$33,0),2),1,0)</f>
        <v>0</v>
      </c>
      <c r="AK909" s="64">
        <f>IF(INDEX(Standings!$A$2:$C$33,MATCH(Table1[[#This Row],[AwayTeam]],Standings!$A$2:$A$33,0),3)=INDEX(Standings!$A$2:$C$33,MATCH(Table1[[#This Row],[HomeTeam]],Standings!$A$2:$A$33,0),3),1,0)</f>
        <v>0</v>
      </c>
      <c r="AL909" s="64">
        <f>IF(Table1[[#This Row],[InterConf]]=1,IF(Table1[[#This Row],[InterDiv]]=0, 1, 0), 0)</f>
        <v>0</v>
      </c>
      <c r="AM909" s="64">
        <f>IF(INDEX(Standings!$A$2:$C$33,MATCH(Table1[[#This Row],[AwayTeam]],Standings!$A$2:$A$33,0),2)&lt;&gt;INDEX(Standings!$A$2:$C$33,MATCH(Table1[[#This Row],[HomeTeam]],Standings!$A$2:$A$33,0),2),1,0)</f>
        <v>1</v>
      </c>
      <c r="AN909" s="64" t="str">
        <f>INDEX(Table2[AWAY_RECORD], MATCH(Table1[[#This Row],[AwayTeam]],Table2[Team], 0), 0)</f>
        <v>0-0-0</v>
      </c>
      <c r="AO909" s="64" t="str">
        <f>INDEX(Records!$B$2:$AG$33, MATCH(Table1[[#This Row],[AwayTeam]],Records!$A$2:$A$33, 0), MATCH(Table1[[#This Row],[HomeTeam]],Records!$A$2:$A$33, 0))</f>
        <v>0-0-0</v>
      </c>
      <c r="AP909" s="64" t="str">
        <f>INDEX(Table2[HOME_RECORD], MATCH(Table1[[#This Row],[HomeTeam]],Table2[Team], 0), 0)</f>
        <v>0-0-0</v>
      </c>
      <c r="AQ909" s="64" t="str">
        <f>INDEX(Records!$B$2:$AG$33, MATCH(Table1[[#This Row],[HomeTeam]],Records!$A$2:$A$33, 0), MATCH(Table1[[#This Row],[AwayTeam]],Records!$A$2:$A$33, 0))</f>
        <v>0-0-0</v>
      </c>
    </row>
    <row r="910" spans="1:43" x14ac:dyDescent="0.25">
      <c r="A910" s="1"/>
      <c r="D910" t="s">
        <v>1220</v>
      </c>
      <c r="E910" t="s">
        <v>162</v>
      </c>
      <c r="F910" t="s">
        <v>1225</v>
      </c>
      <c r="G910" t="s">
        <v>50</v>
      </c>
      <c r="H910" t="s">
        <v>51</v>
      </c>
      <c r="L91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1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10" s="1"/>
      <c r="T910" s="64" t="str">
        <f>IF(Table1[[#This Row],[ActualWinner]]="", "", IF(Table1[[#This Row],[AwayTeam]]=Table1[[#This Row],[ActualWinner]],Table1[[#This Row],[HomeTeam]],Table1[[#This Row],[AwayTeam]]))</f>
        <v/>
      </c>
      <c r="U910" s="64">
        <f>Table1[[#This Row],[ActualAwayScore]]-Table1[[#This Row],[PredictedAwayScore]]</f>
        <v>0</v>
      </c>
      <c r="V910" s="64">
        <f>Table1[[#This Row],[ActualHomeScore]]-Table1[[#This Row],[PredictedHomeScore]]</f>
        <v>0</v>
      </c>
      <c r="W910" s="64">
        <f>(0.8*IF(Table1[[#This Row],[CorrectWinnerPrediction]]=1, 1, 0))+(0.1*IF(Table1[[#This Row],[CorrectAwayScorePrediction]]=1, 1, 0))+(0.1*IF(Table1[[#This Row],[CorrectHomeScorePrediction]]=1, 1, 0))</f>
        <v>0</v>
      </c>
      <c r="X91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10" s="64">
        <f>SUMIF(Table1[GameDate], Table1[[#This Row],[GameDate]], Table1[AwayGameGoalDiff])</f>
        <v>0</v>
      </c>
      <c r="AA910" s="64">
        <f>SUMIF(Table1[GameDate], Table1[[#This Row],[GameDate]], Table1[HomeGameGoalDiff])</f>
        <v>0</v>
      </c>
      <c r="AB910" s="64">
        <f>IF(ISBLANK(Table1[[#This Row],[ActualResult]]), 0, 1)</f>
        <v>0</v>
      </c>
      <c r="AC910" s="64">
        <f>IF(ISBLANK(Table1[[#This Row],[ActualResult]]), 0, IF(Table1[[#This Row],[ActualWinner]]=Table1[[#This Row],[PredictedWinner]], 1, 0))</f>
        <v>0</v>
      </c>
      <c r="AD91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1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10" s="64">
        <f>IF(AND(Table1[[#This Row],[GameIsOver]]=1,Table1[[#This Row],[ActualAwayScore]]=0), 1,0)</f>
        <v>0</v>
      </c>
      <c r="AG910" s="64">
        <f>IF(AND(Table1[[#This Row],[GameIsOver]]=1,Table1[[#This Row],[ActualHomeScore]]=0), 1,0)</f>
        <v>0</v>
      </c>
      <c r="AH910" s="64">
        <f>IF(Table1[[#This Row],[GameIsOver]]=0,0,IF(Table1[[#This Row],[ActualWinner]]=Table1[[#This Row],[AwayTeam]], 1, 0))</f>
        <v>0</v>
      </c>
      <c r="AI910" s="64">
        <f>IF(Table1[[#This Row],[GameIsOver]]=0,0,IF(Table1[[#This Row],[ActualWinner]]=Table1[[#This Row],[HomeTeam]], 1, 0))</f>
        <v>0</v>
      </c>
      <c r="AJ910" s="64">
        <f>IF(INDEX(Standings!$A$2:$C$33,MATCH(Table1[[#This Row],[AwayTeam]],Standings!$A$2:$A$33,0),2)=INDEX(Standings!$A$2:$C$33,MATCH(Table1[[#This Row],[HomeTeam]],Standings!$A$2:$A$33,0),2),1,0)</f>
        <v>1</v>
      </c>
      <c r="AK910" s="64">
        <f>IF(INDEX(Standings!$A$2:$C$33,MATCH(Table1[[#This Row],[AwayTeam]],Standings!$A$2:$A$33,0),3)=INDEX(Standings!$A$2:$C$33,MATCH(Table1[[#This Row],[HomeTeam]],Standings!$A$2:$A$33,0),3),1,0)</f>
        <v>1</v>
      </c>
      <c r="AL910" s="64">
        <f>IF(Table1[[#This Row],[InterConf]]=1,IF(Table1[[#This Row],[InterDiv]]=0, 1, 0), 0)</f>
        <v>0</v>
      </c>
      <c r="AM910" s="64">
        <f>IF(INDEX(Standings!$A$2:$C$33,MATCH(Table1[[#This Row],[AwayTeam]],Standings!$A$2:$A$33,0),2)&lt;&gt;INDEX(Standings!$A$2:$C$33,MATCH(Table1[[#This Row],[HomeTeam]],Standings!$A$2:$A$33,0),2),1,0)</f>
        <v>0</v>
      </c>
      <c r="AN910" s="64" t="str">
        <f>INDEX(Table2[AWAY_RECORD], MATCH(Table1[[#This Row],[AwayTeam]],Table2[Team], 0), 0)</f>
        <v>1-0-0</v>
      </c>
      <c r="AO910" s="64" t="str">
        <f>INDEX(Records!$B$2:$AG$33, MATCH(Table1[[#This Row],[AwayTeam]],Records!$A$2:$A$33, 0), MATCH(Table1[[#This Row],[HomeTeam]],Records!$A$2:$A$33, 0))</f>
        <v>0-0-0</v>
      </c>
      <c r="AP910" s="64" t="str">
        <f>INDEX(Table2[HOME_RECORD], MATCH(Table1[[#This Row],[HomeTeam]],Table2[Team], 0), 0)</f>
        <v>1-0-0</v>
      </c>
      <c r="AQ910" s="64" t="str">
        <f>INDEX(Records!$B$2:$AG$33, MATCH(Table1[[#This Row],[HomeTeam]],Records!$A$2:$A$33, 0), MATCH(Table1[[#This Row],[AwayTeam]],Records!$A$2:$A$33, 0))</f>
        <v>0-0-0</v>
      </c>
    </row>
    <row r="911" spans="1:43" x14ac:dyDescent="0.25">
      <c r="A911" s="1"/>
      <c r="D911" t="s">
        <v>1220</v>
      </c>
      <c r="E911" t="s">
        <v>178</v>
      </c>
      <c r="F911" t="s">
        <v>1226</v>
      </c>
      <c r="G911" t="s">
        <v>61</v>
      </c>
      <c r="H911" t="s">
        <v>45</v>
      </c>
      <c r="L91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1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11" s="1"/>
      <c r="T911" s="64" t="str">
        <f>IF(Table1[[#This Row],[ActualWinner]]="", "", IF(Table1[[#This Row],[AwayTeam]]=Table1[[#This Row],[ActualWinner]],Table1[[#This Row],[HomeTeam]],Table1[[#This Row],[AwayTeam]]))</f>
        <v/>
      </c>
      <c r="U911" s="64">
        <f>Table1[[#This Row],[ActualAwayScore]]-Table1[[#This Row],[PredictedAwayScore]]</f>
        <v>0</v>
      </c>
      <c r="V911" s="64">
        <f>Table1[[#This Row],[ActualHomeScore]]-Table1[[#This Row],[PredictedHomeScore]]</f>
        <v>0</v>
      </c>
      <c r="W911" s="64">
        <f>(0.8*IF(Table1[[#This Row],[CorrectWinnerPrediction]]=1, 1, 0))+(0.1*IF(Table1[[#This Row],[CorrectAwayScorePrediction]]=1, 1, 0))+(0.1*IF(Table1[[#This Row],[CorrectHomeScorePrediction]]=1, 1, 0))</f>
        <v>0</v>
      </c>
      <c r="X91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11" s="64">
        <f>SUMIF(Table1[GameDate], Table1[[#This Row],[GameDate]], Table1[AwayGameGoalDiff])</f>
        <v>0</v>
      </c>
      <c r="AA911" s="64">
        <f>SUMIF(Table1[GameDate], Table1[[#This Row],[GameDate]], Table1[HomeGameGoalDiff])</f>
        <v>0</v>
      </c>
      <c r="AB911" s="64">
        <f>IF(ISBLANK(Table1[[#This Row],[ActualResult]]), 0, 1)</f>
        <v>0</v>
      </c>
      <c r="AC911" s="64">
        <f>IF(ISBLANK(Table1[[#This Row],[ActualResult]]), 0, IF(Table1[[#This Row],[ActualWinner]]=Table1[[#This Row],[PredictedWinner]], 1, 0))</f>
        <v>0</v>
      </c>
      <c r="AD91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1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11" s="64">
        <f>IF(AND(Table1[[#This Row],[GameIsOver]]=1,Table1[[#This Row],[ActualAwayScore]]=0), 1,0)</f>
        <v>0</v>
      </c>
      <c r="AG911" s="64">
        <f>IF(AND(Table1[[#This Row],[GameIsOver]]=1,Table1[[#This Row],[ActualHomeScore]]=0), 1,0)</f>
        <v>0</v>
      </c>
      <c r="AH911" s="64">
        <f>IF(Table1[[#This Row],[GameIsOver]]=0,0,IF(Table1[[#This Row],[ActualWinner]]=Table1[[#This Row],[AwayTeam]], 1, 0))</f>
        <v>0</v>
      </c>
      <c r="AI911" s="64">
        <f>IF(Table1[[#This Row],[GameIsOver]]=0,0,IF(Table1[[#This Row],[ActualWinner]]=Table1[[#This Row],[HomeTeam]], 1, 0))</f>
        <v>0</v>
      </c>
      <c r="AJ911" s="64">
        <f>IF(INDEX(Standings!$A$2:$C$33,MATCH(Table1[[#This Row],[AwayTeam]],Standings!$A$2:$A$33,0),2)=INDEX(Standings!$A$2:$C$33,MATCH(Table1[[#This Row],[HomeTeam]],Standings!$A$2:$A$33,0),2),1,0)</f>
        <v>1</v>
      </c>
      <c r="AK911" s="64">
        <f>IF(INDEX(Standings!$A$2:$C$33,MATCH(Table1[[#This Row],[AwayTeam]],Standings!$A$2:$A$33,0),3)=INDEX(Standings!$A$2:$C$33,MATCH(Table1[[#This Row],[HomeTeam]],Standings!$A$2:$A$33,0),3),1,0)</f>
        <v>0</v>
      </c>
      <c r="AL911" s="64">
        <f>IF(Table1[[#This Row],[InterConf]]=1,IF(Table1[[#This Row],[InterDiv]]=0, 1, 0), 0)</f>
        <v>1</v>
      </c>
      <c r="AM911" s="64">
        <f>IF(INDEX(Standings!$A$2:$C$33,MATCH(Table1[[#This Row],[AwayTeam]],Standings!$A$2:$A$33,0),2)&lt;&gt;INDEX(Standings!$A$2:$C$33,MATCH(Table1[[#This Row],[HomeTeam]],Standings!$A$2:$A$33,0),2),1,0)</f>
        <v>0</v>
      </c>
      <c r="AN911" s="64" t="str">
        <f>INDEX(Table2[AWAY_RECORD], MATCH(Table1[[#This Row],[AwayTeam]],Table2[Team], 0), 0)</f>
        <v>0-0-0</v>
      </c>
      <c r="AO911" s="64" t="str">
        <f>INDEX(Records!$B$2:$AG$33, MATCH(Table1[[#This Row],[AwayTeam]],Records!$A$2:$A$33, 0), MATCH(Table1[[#This Row],[HomeTeam]],Records!$A$2:$A$33, 0))</f>
        <v>0-0-0</v>
      </c>
      <c r="AP911" s="64" t="str">
        <f>INDEX(Table2[HOME_RECORD], MATCH(Table1[[#This Row],[HomeTeam]],Table2[Team], 0), 0)</f>
        <v>1-0-0</v>
      </c>
      <c r="AQ911" s="64" t="str">
        <f>INDEX(Records!$B$2:$AG$33, MATCH(Table1[[#This Row],[HomeTeam]],Records!$A$2:$A$33, 0), MATCH(Table1[[#This Row],[AwayTeam]],Records!$A$2:$A$33, 0))</f>
        <v>0-0-0</v>
      </c>
    </row>
    <row r="912" spans="1:43" x14ac:dyDescent="0.25">
      <c r="A912" s="1"/>
      <c r="D912" t="s">
        <v>1220</v>
      </c>
      <c r="E912" t="s">
        <v>164</v>
      </c>
      <c r="F912" t="s">
        <v>1227</v>
      </c>
      <c r="G912" t="s">
        <v>39</v>
      </c>
      <c r="H912" t="s">
        <v>58</v>
      </c>
      <c r="L91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1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12" s="1"/>
      <c r="T912" s="64" t="str">
        <f>IF(Table1[[#This Row],[ActualWinner]]="", "", IF(Table1[[#This Row],[AwayTeam]]=Table1[[#This Row],[ActualWinner]],Table1[[#This Row],[HomeTeam]],Table1[[#This Row],[AwayTeam]]))</f>
        <v/>
      </c>
      <c r="U912" s="64">
        <f>Table1[[#This Row],[ActualAwayScore]]-Table1[[#This Row],[PredictedAwayScore]]</f>
        <v>0</v>
      </c>
      <c r="V912" s="64">
        <f>Table1[[#This Row],[ActualHomeScore]]-Table1[[#This Row],[PredictedHomeScore]]</f>
        <v>0</v>
      </c>
      <c r="W912" s="64">
        <f>(0.8*IF(Table1[[#This Row],[CorrectWinnerPrediction]]=1, 1, 0))+(0.1*IF(Table1[[#This Row],[CorrectAwayScorePrediction]]=1, 1, 0))+(0.1*IF(Table1[[#This Row],[CorrectHomeScorePrediction]]=1, 1, 0))</f>
        <v>0</v>
      </c>
      <c r="X91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12" s="64">
        <f>SUMIF(Table1[GameDate], Table1[[#This Row],[GameDate]], Table1[AwayGameGoalDiff])</f>
        <v>0</v>
      </c>
      <c r="AA912" s="64">
        <f>SUMIF(Table1[GameDate], Table1[[#This Row],[GameDate]], Table1[HomeGameGoalDiff])</f>
        <v>0</v>
      </c>
      <c r="AB912" s="64">
        <f>IF(ISBLANK(Table1[[#This Row],[ActualResult]]), 0, 1)</f>
        <v>0</v>
      </c>
      <c r="AC912" s="64">
        <f>IF(ISBLANK(Table1[[#This Row],[ActualResult]]), 0, IF(Table1[[#This Row],[ActualWinner]]=Table1[[#This Row],[PredictedWinner]], 1, 0))</f>
        <v>0</v>
      </c>
      <c r="AD91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1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12" s="64">
        <f>IF(AND(Table1[[#This Row],[GameIsOver]]=1,Table1[[#This Row],[ActualAwayScore]]=0), 1,0)</f>
        <v>0</v>
      </c>
      <c r="AG912" s="64">
        <f>IF(AND(Table1[[#This Row],[GameIsOver]]=1,Table1[[#This Row],[ActualHomeScore]]=0), 1,0)</f>
        <v>0</v>
      </c>
      <c r="AH912" s="64">
        <f>IF(Table1[[#This Row],[GameIsOver]]=0,0,IF(Table1[[#This Row],[ActualWinner]]=Table1[[#This Row],[AwayTeam]], 1, 0))</f>
        <v>0</v>
      </c>
      <c r="AI912" s="64">
        <f>IF(Table1[[#This Row],[GameIsOver]]=0,0,IF(Table1[[#This Row],[ActualWinner]]=Table1[[#This Row],[HomeTeam]], 1, 0))</f>
        <v>0</v>
      </c>
      <c r="AJ912" s="64">
        <f>IF(INDEX(Standings!$A$2:$C$33,MATCH(Table1[[#This Row],[AwayTeam]],Standings!$A$2:$A$33,0),2)=INDEX(Standings!$A$2:$C$33,MATCH(Table1[[#This Row],[HomeTeam]],Standings!$A$2:$A$33,0),2),1,0)</f>
        <v>1</v>
      </c>
      <c r="AK912" s="64">
        <f>IF(INDEX(Standings!$A$2:$C$33,MATCH(Table1[[#This Row],[AwayTeam]],Standings!$A$2:$A$33,0),3)=INDEX(Standings!$A$2:$C$33,MATCH(Table1[[#This Row],[HomeTeam]],Standings!$A$2:$A$33,0),3),1,0)</f>
        <v>0</v>
      </c>
      <c r="AL912" s="64">
        <f>IF(Table1[[#This Row],[InterConf]]=1,IF(Table1[[#This Row],[InterDiv]]=0, 1, 0), 0)</f>
        <v>1</v>
      </c>
      <c r="AM912" s="64">
        <f>IF(INDEX(Standings!$A$2:$C$33,MATCH(Table1[[#This Row],[AwayTeam]],Standings!$A$2:$A$33,0),2)&lt;&gt;INDEX(Standings!$A$2:$C$33,MATCH(Table1[[#This Row],[HomeTeam]],Standings!$A$2:$A$33,0),2),1,0)</f>
        <v>0</v>
      </c>
      <c r="AN912" s="64" t="str">
        <f>INDEX(Table2[AWAY_RECORD], MATCH(Table1[[#This Row],[AwayTeam]],Table2[Team], 0), 0)</f>
        <v>0-0-0</v>
      </c>
      <c r="AO912" s="64" t="str">
        <f>INDEX(Records!$B$2:$AG$33, MATCH(Table1[[#This Row],[AwayTeam]],Records!$A$2:$A$33, 0), MATCH(Table1[[#This Row],[HomeTeam]],Records!$A$2:$A$33, 0))</f>
        <v>0-0-0</v>
      </c>
      <c r="AP912" s="64" t="str">
        <f>INDEX(Table2[HOME_RECORD], MATCH(Table1[[#This Row],[HomeTeam]],Table2[Team], 0), 0)</f>
        <v>1-0-0</v>
      </c>
      <c r="AQ912" s="64" t="str">
        <f>INDEX(Records!$B$2:$AG$33, MATCH(Table1[[#This Row],[HomeTeam]],Records!$A$2:$A$33, 0), MATCH(Table1[[#This Row],[AwayTeam]],Records!$A$2:$A$33, 0))</f>
        <v>0-0-0</v>
      </c>
    </row>
    <row r="913" spans="1:43" x14ac:dyDescent="0.25">
      <c r="A913" s="1"/>
      <c r="D913" t="s">
        <v>1228</v>
      </c>
      <c r="E913" t="s">
        <v>432</v>
      </c>
      <c r="F913" t="s">
        <v>1229</v>
      </c>
      <c r="G913" t="s">
        <v>59</v>
      </c>
      <c r="H913" t="s">
        <v>47</v>
      </c>
      <c r="L91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1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13" s="1"/>
      <c r="T913" s="64" t="str">
        <f>IF(Table1[[#This Row],[ActualWinner]]="", "", IF(Table1[[#This Row],[AwayTeam]]=Table1[[#This Row],[ActualWinner]],Table1[[#This Row],[HomeTeam]],Table1[[#This Row],[AwayTeam]]))</f>
        <v/>
      </c>
      <c r="U913" s="64">
        <f>Table1[[#This Row],[ActualAwayScore]]-Table1[[#This Row],[PredictedAwayScore]]</f>
        <v>0</v>
      </c>
      <c r="V913" s="64">
        <f>Table1[[#This Row],[ActualHomeScore]]-Table1[[#This Row],[PredictedHomeScore]]</f>
        <v>0</v>
      </c>
      <c r="W913" s="64">
        <f>(0.8*IF(Table1[[#This Row],[CorrectWinnerPrediction]]=1, 1, 0))+(0.1*IF(Table1[[#This Row],[CorrectAwayScorePrediction]]=1, 1, 0))+(0.1*IF(Table1[[#This Row],[CorrectHomeScorePrediction]]=1, 1, 0))</f>
        <v>0</v>
      </c>
      <c r="X91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13" s="64">
        <f>SUMIF(Table1[GameDate], Table1[[#This Row],[GameDate]], Table1[AwayGameGoalDiff])</f>
        <v>0</v>
      </c>
      <c r="AA913" s="64">
        <f>SUMIF(Table1[GameDate], Table1[[#This Row],[GameDate]], Table1[HomeGameGoalDiff])</f>
        <v>0</v>
      </c>
      <c r="AB913" s="64">
        <f>IF(ISBLANK(Table1[[#This Row],[ActualResult]]), 0, 1)</f>
        <v>0</v>
      </c>
      <c r="AC913" s="64">
        <f>IF(ISBLANK(Table1[[#This Row],[ActualResult]]), 0, IF(Table1[[#This Row],[ActualWinner]]=Table1[[#This Row],[PredictedWinner]], 1, 0))</f>
        <v>0</v>
      </c>
      <c r="AD91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1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13" s="64">
        <f>IF(AND(Table1[[#This Row],[GameIsOver]]=1,Table1[[#This Row],[ActualAwayScore]]=0), 1,0)</f>
        <v>0</v>
      </c>
      <c r="AG913" s="64">
        <f>IF(AND(Table1[[#This Row],[GameIsOver]]=1,Table1[[#This Row],[ActualHomeScore]]=0), 1,0)</f>
        <v>0</v>
      </c>
      <c r="AH913" s="64">
        <f>IF(Table1[[#This Row],[GameIsOver]]=0,0,IF(Table1[[#This Row],[ActualWinner]]=Table1[[#This Row],[AwayTeam]], 1, 0))</f>
        <v>0</v>
      </c>
      <c r="AI913" s="64">
        <f>IF(Table1[[#This Row],[GameIsOver]]=0,0,IF(Table1[[#This Row],[ActualWinner]]=Table1[[#This Row],[HomeTeam]], 1, 0))</f>
        <v>0</v>
      </c>
      <c r="AJ913" s="64">
        <f>IF(INDEX(Standings!$A$2:$C$33,MATCH(Table1[[#This Row],[AwayTeam]],Standings!$A$2:$A$33,0),2)=INDEX(Standings!$A$2:$C$33,MATCH(Table1[[#This Row],[HomeTeam]],Standings!$A$2:$A$33,0),2),1,0)</f>
        <v>1</v>
      </c>
      <c r="AK913" s="64">
        <f>IF(INDEX(Standings!$A$2:$C$33,MATCH(Table1[[#This Row],[AwayTeam]],Standings!$A$2:$A$33,0),3)=INDEX(Standings!$A$2:$C$33,MATCH(Table1[[#This Row],[HomeTeam]],Standings!$A$2:$A$33,0),3),1,0)</f>
        <v>0</v>
      </c>
      <c r="AL913" s="64">
        <f>IF(Table1[[#This Row],[InterConf]]=1,IF(Table1[[#This Row],[InterDiv]]=0, 1, 0), 0)</f>
        <v>1</v>
      </c>
      <c r="AM913" s="64">
        <f>IF(INDEX(Standings!$A$2:$C$33,MATCH(Table1[[#This Row],[AwayTeam]],Standings!$A$2:$A$33,0),2)&lt;&gt;INDEX(Standings!$A$2:$C$33,MATCH(Table1[[#This Row],[HomeTeam]],Standings!$A$2:$A$33,0),2),1,0)</f>
        <v>0</v>
      </c>
      <c r="AN913" s="64" t="str">
        <f>INDEX(Table2[AWAY_RECORD], MATCH(Table1[[#This Row],[AwayTeam]],Table2[Team], 0), 0)</f>
        <v>0-1-0</v>
      </c>
      <c r="AO913" s="64" t="str">
        <f>INDEX(Records!$B$2:$AG$33, MATCH(Table1[[#This Row],[AwayTeam]],Records!$A$2:$A$33, 0), MATCH(Table1[[#This Row],[HomeTeam]],Records!$A$2:$A$33, 0))</f>
        <v>0-0-0</v>
      </c>
      <c r="AP913" s="64" t="str">
        <f>INDEX(Table2[HOME_RECORD], MATCH(Table1[[#This Row],[HomeTeam]],Table2[Team], 0), 0)</f>
        <v>0-0-0</v>
      </c>
      <c r="AQ913" s="64" t="str">
        <f>INDEX(Records!$B$2:$AG$33, MATCH(Table1[[#This Row],[HomeTeam]],Records!$A$2:$A$33, 0), MATCH(Table1[[#This Row],[AwayTeam]],Records!$A$2:$A$33, 0))</f>
        <v>0-0-0</v>
      </c>
    </row>
    <row r="914" spans="1:43" x14ac:dyDescent="0.25">
      <c r="A914" s="1"/>
      <c r="D914" t="s">
        <v>1228</v>
      </c>
      <c r="E914" t="s">
        <v>489</v>
      </c>
      <c r="F914" t="s">
        <v>1230</v>
      </c>
      <c r="G914" t="s">
        <v>36</v>
      </c>
      <c r="H914" t="s">
        <v>48</v>
      </c>
      <c r="L91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1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14" s="1"/>
      <c r="T914" s="64" t="str">
        <f>IF(Table1[[#This Row],[ActualWinner]]="", "", IF(Table1[[#This Row],[AwayTeam]]=Table1[[#This Row],[ActualWinner]],Table1[[#This Row],[HomeTeam]],Table1[[#This Row],[AwayTeam]]))</f>
        <v/>
      </c>
      <c r="U914" s="64">
        <f>Table1[[#This Row],[ActualAwayScore]]-Table1[[#This Row],[PredictedAwayScore]]</f>
        <v>0</v>
      </c>
      <c r="V914" s="64">
        <f>Table1[[#This Row],[ActualHomeScore]]-Table1[[#This Row],[PredictedHomeScore]]</f>
        <v>0</v>
      </c>
      <c r="W914" s="64">
        <f>(0.8*IF(Table1[[#This Row],[CorrectWinnerPrediction]]=1, 1, 0))+(0.1*IF(Table1[[#This Row],[CorrectAwayScorePrediction]]=1, 1, 0))+(0.1*IF(Table1[[#This Row],[CorrectHomeScorePrediction]]=1, 1, 0))</f>
        <v>0</v>
      </c>
      <c r="X91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14" s="64">
        <f>SUMIF(Table1[GameDate], Table1[[#This Row],[GameDate]], Table1[AwayGameGoalDiff])</f>
        <v>0</v>
      </c>
      <c r="AA914" s="64">
        <f>SUMIF(Table1[GameDate], Table1[[#This Row],[GameDate]], Table1[HomeGameGoalDiff])</f>
        <v>0</v>
      </c>
      <c r="AB914" s="64">
        <f>IF(ISBLANK(Table1[[#This Row],[ActualResult]]), 0, 1)</f>
        <v>0</v>
      </c>
      <c r="AC914" s="64">
        <f>IF(ISBLANK(Table1[[#This Row],[ActualResult]]), 0, IF(Table1[[#This Row],[ActualWinner]]=Table1[[#This Row],[PredictedWinner]], 1, 0))</f>
        <v>0</v>
      </c>
      <c r="AD91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1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14" s="64">
        <f>IF(AND(Table1[[#This Row],[GameIsOver]]=1,Table1[[#This Row],[ActualAwayScore]]=0), 1,0)</f>
        <v>0</v>
      </c>
      <c r="AG914" s="64">
        <f>IF(AND(Table1[[#This Row],[GameIsOver]]=1,Table1[[#This Row],[ActualHomeScore]]=0), 1,0)</f>
        <v>0</v>
      </c>
      <c r="AH914" s="64">
        <f>IF(Table1[[#This Row],[GameIsOver]]=0,0,IF(Table1[[#This Row],[ActualWinner]]=Table1[[#This Row],[AwayTeam]], 1, 0))</f>
        <v>0</v>
      </c>
      <c r="AI914" s="64">
        <f>IF(Table1[[#This Row],[GameIsOver]]=0,0,IF(Table1[[#This Row],[ActualWinner]]=Table1[[#This Row],[HomeTeam]], 1, 0))</f>
        <v>0</v>
      </c>
      <c r="AJ914" s="64">
        <f>IF(INDEX(Standings!$A$2:$C$33,MATCH(Table1[[#This Row],[AwayTeam]],Standings!$A$2:$A$33,0),2)=INDEX(Standings!$A$2:$C$33,MATCH(Table1[[#This Row],[HomeTeam]],Standings!$A$2:$A$33,0),2),1,0)</f>
        <v>1</v>
      </c>
      <c r="AK914" s="64">
        <f>IF(INDEX(Standings!$A$2:$C$33,MATCH(Table1[[#This Row],[AwayTeam]],Standings!$A$2:$A$33,0),3)=INDEX(Standings!$A$2:$C$33,MATCH(Table1[[#This Row],[HomeTeam]],Standings!$A$2:$A$33,0),3),1,0)</f>
        <v>0</v>
      </c>
      <c r="AL914" s="64">
        <f>IF(Table1[[#This Row],[InterConf]]=1,IF(Table1[[#This Row],[InterDiv]]=0, 1, 0), 0)</f>
        <v>1</v>
      </c>
      <c r="AM914" s="64">
        <f>IF(INDEX(Standings!$A$2:$C$33,MATCH(Table1[[#This Row],[AwayTeam]],Standings!$A$2:$A$33,0),2)&lt;&gt;INDEX(Standings!$A$2:$C$33,MATCH(Table1[[#This Row],[HomeTeam]],Standings!$A$2:$A$33,0),2),1,0)</f>
        <v>0</v>
      </c>
      <c r="AN914" s="64" t="str">
        <f>INDEX(Table2[AWAY_RECORD], MATCH(Table1[[#This Row],[AwayTeam]],Table2[Team], 0), 0)</f>
        <v>0-0-0</v>
      </c>
      <c r="AO914" s="64" t="str">
        <f>INDEX(Records!$B$2:$AG$33, MATCH(Table1[[#This Row],[AwayTeam]],Records!$A$2:$A$33, 0), MATCH(Table1[[#This Row],[HomeTeam]],Records!$A$2:$A$33, 0))</f>
        <v>0-0-0</v>
      </c>
      <c r="AP914" s="64" t="str">
        <f>INDEX(Table2[HOME_RECORD], MATCH(Table1[[#This Row],[HomeTeam]],Table2[Team], 0), 0)</f>
        <v>1-0-0</v>
      </c>
      <c r="AQ914" s="64" t="str">
        <f>INDEX(Records!$B$2:$AG$33, MATCH(Table1[[#This Row],[HomeTeam]],Records!$A$2:$A$33, 0), MATCH(Table1[[#This Row],[AwayTeam]],Records!$A$2:$A$33, 0))</f>
        <v>0-0-0</v>
      </c>
    </row>
    <row r="915" spans="1:43" x14ac:dyDescent="0.25">
      <c r="A915" s="1"/>
      <c r="D915" t="s">
        <v>1228</v>
      </c>
      <c r="E915" t="s">
        <v>158</v>
      </c>
      <c r="F915" t="s">
        <v>1231</v>
      </c>
      <c r="G915" t="s">
        <v>44</v>
      </c>
      <c r="H915" t="s">
        <v>55</v>
      </c>
      <c r="L91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1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15" s="1"/>
      <c r="T915" s="64" t="str">
        <f>IF(Table1[[#This Row],[ActualWinner]]="", "", IF(Table1[[#This Row],[AwayTeam]]=Table1[[#This Row],[ActualWinner]],Table1[[#This Row],[HomeTeam]],Table1[[#This Row],[AwayTeam]]))</f>
        <v/>
      </c>
      <c r="U915" s="64">
        <f>Table1[[#This Row],[ActualAwayScore]]-Table1[[#This Row],[PredictedAwayScore]]</f>
        <v>0</v>
      </c>
      <c r="V915" s="64">
        <f>Table1[[#This Row],[ActualHomeScore]]-Table1[[#This Row],[PredictedHomeScore]]</f>
        <v>0</v>
      </c>
      <c r="W915" s="64">
        <f>(0.8*IF(Table1[[#This Row],[CorrectWinnerPrediction]]=1, 1, 0))+(0.1*IF(Table1[[#This Row],[CorrectAwayScorePrediction]]=1, 1, 0))+(0.1*IF(Table1[[#This Row],[CorrectHomeScorePrediction]]=1, 1, 0))</f>
        <v>0</v>
      </c>
      <c r="X91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15" s="64">
        <f>SUMIF(Table1[GameDate], Table1[[#This Row],[GameDate]], Table1[AwayGameGoalDiff])</f>
        <v>0</v>
      </c>
      <c r="AA915" s="64">
        <f>SUMIF(Table1[GameDate], Table1[[#This Row],[GameDate]], Table1[HomeGameGoalDiff])</f>
        <v>0</v>
      </c>
      <c r="AB915" s="64">
        <f>IF(ISBLANK(Table1[[#This Row],[ActualResult]]), 0, 1)</f>
        <v>0</v>
      </c>
      <c r="AC915" s="64">
        <f>IF(ISBLANK(Table1[[#This Row],[ActualResult]]), 0, IF(Table1[[#This Row],[ActualWinner]]=Table1[[#This Row],[PredictedWinner]], 1, 0))</f>
        <v>0</v>
      </c>
      <c r="AD91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1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15" s="64">
        <f>IF(AND(Table1[[#This Row],[GameIsOver]]=1,Table1[[#This Row],[ActualAwayScore]]=0), 1,0)</f>
        <v>0</v>
      </c>
      <c r="AG915" s="64">
        <f>IF(AND(Table1[[#This Row],[GameIsOver]]=1,Table1[[#This Row],[ActualHomeScore]]=0), 1,0)</f>
        <v>0</v>
      </c>
      <c r="AH915" s="64">
        <f>IF(Table1[[#This Row],[GameIsOver]]=0,0,IF(Table1[[#This Row],[ActualWinner]]=Table1[[#This Row],[AwayTeam]], 1, 0))</f>
        <v>0</v>
      </c>
      <c r="AI915" s="64">
        <f>IF(Table1[[#This Row],[GameIsOver]]=0,0,IF(Table1[[#This Row],[ActualWinner]]=Table1[[#This Row],[HomeTeam]], 1, 0))</f>
        <v>0</v>
      </c>
      <c r="AJ915" s="64">
        <f>IF(INDEX(Standings!$A$2:$C$33,MATCH(Table1[[#This Row],[AwayTeam]],Standings!$A$2:$A$33,0),2)=INDEX(Standings!$A$2:$C$33,MATCH(Table1[[#This Row],[HomeTeam]],Standings!$A$2:$A$33,0),2),1,0)</f>
        <v>0</v>
      </c>
      <c r="AK915" s="64">
        <f>IF(INDEX(Standings!$A$2:$C$33,MATCH(Table1[[#This Row],[AwayTeam]],Standings!$A$2:$A$33,0),3)=INDEX(Standings!$A$2:$C$33,MATCH(Table1[[#This Row],[HomeTeam]],Standings!$A$2:$A$33,0),3),1,0)</f>
        <v>0</v>
      </c>
      <c r="AL915" s="64">
        <f>IF(Table1[[#This Row],[InterConf]]=1,IF(Table1[[#This Row],[InterDiv]]=0, 1, 0), 0)</f>
        <v>0</v>
      </c>
      <c r="AM915" s="64">
        <f>IF(INDEX(Standings!$A$2:$C$33,MATCH(Table1[[#This Row],[AwayTeam]],Standings!$A$2:$A$33,0),2)&lt;&gt;INDEX(Standings!$A$2:$C$33,MATCH(Table1[[#This Row],[HomeTeam]],Standings!$A$2:$A$33,0),2),1,0)</f>
        <v>1</v>
      </c>
      <c r="AN915" s="64" t="str">
        <f>INDEX(Table2[AWAY_RECORD], MATCH(Table1[[#This Row],[AwayTeam]],Table2[Team], 0), 0)</f>
        <v>0-0-0</v>
      </c>
      <c r="AO915" s="64" t="str">
        <f>INDEX(Records!$B$2:$AG$33, MATCH(Table1[[#This Row],[AwayTeam]],Records!$A$2:$A$33, 0), MATCH(Table1[[#This Row],[HomeTeam]],Records!$A$2:$A$33, 0))</f>
        <v>0-0-0</v>
      </c>
      <c r="AP915" s="64" t="str">
        <f>INDEX(Table2[HOME_RECORD], MATCH(Table1[[#This Row],[HomeTeam]],Table2[Team], 0), 0)</f>
        <v>0-1-0</v>
      </c>
      <c r="AQ915" s="64" t="str">
        <f>INDEX(Records!$B$2:$AG$33, MATCH(Table1[[#This Row],[HomeTeam]],Records!$A$2:$A$33, 0), MATCH(Table1[[#This Row],[AwayTeam]],Records!$A$2:$A$33, 0))</f>
        <v>0-0-0</v>
      </c>
    </row>
    <row r="916" spans="1:43" x14ac:dyDescent="0.25">
      <c r="A916" s="1"/>
      <c r="D916" t="s">
        <v>1228</v>
      </c>
      <c r="E916" t="s">
        <v>160</v>
      </c>
      <c r="F916" t="s">
        <v>1232</v>
      </c>
      <c r="G916" t="s">
        <v>43</v>
      </c>
      <c r="H916" t="s">
        <v>17</v>
      </c>
      <c r="L91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1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16" s="1"/>
      <c r="T916" s="64" t="str">
        <f>IF(Table1[[#This Row],[ActualWinner]]="", "", IF(Table1[[#This Row],[AwayTeam]]=Table1[[#This Row],[ActualWinner]],Table1[[#This Row],[HomeTeam]],Table1[[#This Row],[AwayTeam]]))</f>
        <v/>
      </c>
      <c r="U916" s="64">
        <f>Table1[[#This Row],[ActualAwayScore]]-Table1[[#This Row],[PredictedAwayScore]]</f>
        <v>0</v>
      </c>
      <c r="V916" s="64">
        <f>Table1[[#This Row],[ActualHomeScore]]-Table1[[#This Row],[PredictedHomeScore]]</f>
        <v>0</v>
      </c>
      <c r="W916" s="64">
        <f>(0.8*IF(Table1[[#This Row],[CorrectWinnerPrediction]]=1, 1, 0))+(0.1*IF(Table1[[#This Row],[CorrectAwayScorePrediction]]=1, 1, 0))+(0.1*IF(Table1[[#This Row],[CorrectHomeScorePrediction]]=1, 1, 0))</f>
        <v>0</v>
      </c>
      <c r="X91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16" s="64">
        <f>SUMIF(Table1[GameDate], Table1[[#This Row],[GameDate]], Table1[AwayGameGoalDiff])</f>
        <v>0</v>
      </c>
      <c r="AA916" s="64">
        <f>SUMIF(Table1[GameDate], Table1[[#This Row],[GameDate]], Table1[HomeGameGoalDiff])</f>
        <v>0</v>
      </c>
      <c r="AB916" s="64">
        <f>IF(ISBLANK(Table1[[#This Row],[ActualResult]]), 0, 1)</f>
        <v>0</v>
      </c>
      <c r="AC916" s="64">
        <f>IF(ISBLANK(Table1[[#This Row],[ActualResult]]), 0, IF(Table1[[#This Row],[ActualWinner]]=Table1[[#This Row],[PredictedWinner]], 1, 0))</f>
        <v>0</v>
      </c>
      <c r="AD91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1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16" s="64">
        <f>IF(AND(Table1[[#This Row],[GameIsOver]]=1,Table1[[#This Row],[ActualAwayScore]]=0), 1,0)</f>
        <v>0</v>
      </c>
      <c r="AG916" s="64">
        <f>IF(AND(Table1[[#This Row],[GameIsOver]]=1,Table1[[#This Row],[ActualHomeScore]]=0), 1,0)</f>
        <v>0</v>
      </c>
      <c r="AH916" s="64">
        <f>IF(Table1[[#This Row],[GameIsOver]]=0,0,IF(Table1[[#This Row],[ActualWinner]]=Table1[[#This Row],[AwayTeam]], 1, 0))</f>
        <v>0</v>
      </c>
      <c r="AI916" s="64">
        <f>IF(Table1[[#This Row],[GameIsOver]]=0,0,IF(Table1[[#This Row],[ActualWinner]]=Table1[[#This Row],[HomeTeam]], 1, 0))</f>
        <v>0</v>
      </c>
      <c r="AJ916" s="64">
        <f>IF(INDEX(Standings!$A$2:$C$33,MATCH(Table1[[#This Row],[AwayTeam]],Standings!$A$2:$A$33,0),2)=INDEX(Standings!$A$2:$C$33,MATCH(Table1[[#This Row],[HomeTeam]],Standings!$A$2:$A$33,0),2),1,0)</f>
        <v>0</v>
      </c>
      <c r="AK916" s="64">
        <f>IF(INDEX(Standings!$A$2:$C$33,MATCH(Table1[[#This Row],[AwayTeam]],Standings!$A$2:$A$33,0),3)=INDEX(Standings!$A$2:$C$33,MATCH(Table1[[#This Row],[HomeTeam]],Standings!$A$2:$A$33,0),3),1,0)</f>
        <v>0</v>
      </c>
      <c r="AL916" s="64">
        <f>IF(Table1[[#This Row],[InterConf]]=1,IF(Table1[[#This Row],[InterDiv]]=0, 1, 0), 0)</f>
        <v>0</v>
      </c>
      <c r="AM916" s="64">
        <f>IF(INDEX(Standings!$A$2:$C$33,MATCH(Table1[[#This Row],[AwayTeam]],Standings!$A$2:$A$33,0),2)&lt;&gt;INDEX(Standings!$A$2:$C$33,MATCH(Table1[[#This Row],[HomeTeam]],Standings!$A$2:$A$33,0),2),1,0)</f>
        <v>1</v>
      </c>
      <c r="AN916" s="64" t="str">
        <f>INDEX(Table2[AWAY_RECORD], MATCH(Table1[[#This Row],[AwayTeam]],Table2[Team], 0), 0)</f>
        <v>0-0-0</v>
      </c>
      <c r="AO916" s="64" t="str">
        <f>INDEX(Records!$B$2:$AG$33, MATCH(Table1[[#This Row],[AwayTeam]],Records!$A$2:$A$33, 0), MATCH(Table1[[#This Row],[HomeTeam]],Records!$A$2:$A$33, 0))</f>
        <v>0-0-0</v>
      </c>
      <c r="AP916" s="64" t="str">
        <f>INDEX(Table2[HOME_RECORD], MATCH(Table1[[#This Row],[HomeTeam]],Table2[Team], 0), 0)</f>
        <v>0-0-0</v>
      </c>
      <c r="AQ916" s="64" t="str">
        <f>INDEX(Records!$B$2:$AG$33, MATCH(Table1[[#This Row],[HomeTeam]],Records!$A$2:$A$33, 0), MATCH(Table1[[#This Row],[AwayTeam]],Records!$A$2:$A$33, 0))</f>
        <v>0-0-0</v>
      </c>
    </row>
    <row r="917" spans="1:43" x14ac:dyDescent="0.25">
      <c r="A917" s="1"/>
      <c r="D917" t="s">
        <v>1228</v>
      </c>
      <c r="E917" t="s">
        <v>160</v>
      </c>
      <c r="F917" t="s">
        <v>1233</v>
      </c>
      <c r="G917" t="s">
        <v>16</v>
      </c>
      <c r="H917" t="s">
        <v>46</v>
      </c>
      <c r="L91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1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17" s="1"/>
      <c r="T917" s="64" t="str">
        <f>IF(Table1[[#This Row],[ActualWinner]]="", "", IF(Table1[[#This Row],[AwayTeam]]=Table1[[#This Row],[ActualWinner]],Table1[[#This Row],[HomeTeam]],Table1[[#This Row],[AwayTeam]]))</f>
        <v/>
      </c>
      <c r="U917" s="64">
        <f>Table1[[#This Row],[ActualAwayScore]]-Table1[[#This Row],[PredictedAwayScore]]</f>
        <v>0</v>
      </c>
      <c r="V917" s="64">
        <f>Table1[[#This Row],[ActualHomeScore]]-Table1[[#This Row],[PredictedHomeScore]]</f>
        <v>0</v>
      </c>
      <c r="W917" s="64">
        <f>(0.8*IF(Table1[[#This Row],[CorrectWinnerPrediction]]=1, 1, 0))+(0.1*IF(Table1[[#This Row],[CorrectAwayScorePrediction]]=1, 1, 0))+(0.1*IF(Table1[[#This Row],[CorrectHomeScorePrediction]]=1, 1, 0))</f>
        <v>0</v>
      </c>
      <c r="X91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17" s="64">
        <f>SUMIF(Table1[GameDate], Table1[[#This Row],[GameDate]], Table1[AwayGameGoalDiff])</f>
        <v>0</v>
      </c>
      <c r="AA917" s="64">
        <f>SUMIF(Table1[GameDate], Table1[[#This Row],[GameDate]], Table1[HomeGameGoalDiff])</f>
        <v>0</v>
      </c>
      <c r="AB917" s="64">
        <f>IF(ISBLANK(Table1[[#This Row],[ActualResult]]), 0, 1)</f>
        <v>0</v>
      </c>
      <c r="AC917" s="64">
        <f>IF(ISBLANK(Table1[[#This Row],[ActualResult]]), 0, IF(Table1[[#This Row],[ActualWinner]]=Table1[[#This Row],[PredictedWinner]], 1, 0))</f>
        <v>0</v>
      </c>
      <c r="AD91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1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17" s="64">
        <f>IF(AND(Table1[[#This Row],[GameIsOver]]=1,Table1[[#This Row],[ActualAwayScore]]=0), 1,0)</f>
        <v>0</v>
      </c>
      <c r="AG917" s="64">
        <f>IF(AND(Table1[[#This Row],[GameIsOver]]=1,Table1[[#This Row],[ActualHomeScore]]=0), 1,0)</f>
        <v>0</v>
      </c>
      <c r="AH917" s="64">
        <f>IF(Table1[[#This Row],[GameIsOver]]=0,0,IF(Table1[[#This Row],[ActualWinner]]=Table1[[#This Row],[AwayTeam]], 1, 0))</f>
        <v>0</v>
      </c>
      <c r="AI917" s="64">
        <f>IF(Table1[[#This Row],[GameIsOver]]=0,0,IF(Table1[[#This Row],[ActualWinner]]=Table1[[#This Row],[HomeTeam]], 1, 0))</f>
        <v>0</v>
      </c>
      <c r="AJ917" s="64">
        <f>IF(INDEX(Standings!$A$2:$C$33,MATCH(Table1[[#This Row],[AwayTeam]],Standings!$A$2:$A$33,0),2)=INDEX(Standings!$A$2:$C$33,MATCH(Table1[[#This Row],[HomeTeam]],Standings!$A$2:$A$33,0),2),1,0)</f>
        <v>1</v>
      </c>
      <c r="AK917" s="64">
        <f>IF(INDEX(Standings!$A$2:$C$33,MATCH(Table1[[#This Row],[AwayTeam]],Standings!$A$2:$A$33,0),3)=INDEX(Standings!$A$2:$C$33,MATCH(Table1[[#This Row],[HomeTeam]],Standings!$A$2:$A$33,0),3),1,0)</f>
        <v>0</v>
      </c>
      <c r="AL917" s="64">
        <f>IF(Table1[[#This Row],[InterConf]]=1,IF(Table1[[#This Row],[InterDiv]]=0, 1, 0), 0)</f>
        <v>1</v>
      </c>
      <c r="AM917" s="64">
        <f>IF(INDEX(Standings!$A$2:$C$33,MATCH(Table1[[#This Row],[AwayTeam]],Standings!$A$2:$A$33,0),2)&lt;&gt;INDEX(Standings!$A$2:$C$33,MATCH(Table1[[#This Row],[HomeTeam]],Standings!$A$2:$A$33,0),2),1,0)</f>
        <v>0</v>
      </c>
      <c r="AN917" s="64" t="str">
        <f>INDEX(Table2[AWAY_RECORD], MATCH(Table1[[#This Row],[AwayTeam]],Table2[Team], 0), 0)</f>
        <v>1-0-1</v>
      </c>
      <c r="AO917" s="64" t="str">
        <f>INDEX(Records!$B$2:$AG$33, MATCH(Table1[[#This Row],[AwayTeam]],Records!$A$2:$A$33, 0), MATCH(Table1[[#This Row],[HomeTeam]],Records!$A$2:$A$33, 0))</f>
        <v>0-0-0</v>
      </c>
      <c r="AP917" s="64" t="str">
        <f>INDEX(Table2[HOME_RECORD], MATCH(Table1[[#This Row],[HomeTeam]],Table2[Team], 0), 0)</f>
        <v>0-0-0</v>
      </c>
      <c r="AQ917" s="64" t="str">
        <f>INDEX(Records!$B$2:$AG$33, MATCH(Table1[[#This Row],[HomeTeam]],Records!$A$2:$A$33, 0), MATCH(Table1[[#This Row],[AwayTeam]],Records!$A$2:$A$33, 0))</f>
        <v>0-0-0</v>
      </c>
    </row>
    <row r="918" spans="1:43" x14ac:dyDescent="0.25">
      <c r="A918" s="1"/>
      <c r="D918" t="s">
        <v>1228</v>
      </c>
      <c r="E918" t="s">
        <v>162</v>
      </c>
      <c r="F918" t="s">
        <v>1234</v>
      </c>
      <c r="G918" t="s">
        <v>42</v>
      </c>
      <c r="H918" t="s">
        <v>37</v>
      </c>
      <c r="L91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1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18" s="1"/>
      <c r="T918" s="64" t="str">
        <f>IF(Table1[[#This Row],[ActualWinner]]="", "", IF(Table1[[#This Row],[AwayTeam]]=Table1[[#This Row],[ActualWinner]],Table1[[#This Row],[HomeTeam]],Table1[[#This Row],[AwayTeam]]))</f>
        <v/>
      </c>
      <c r="U918" s="64">
        <f>Table1[[#This Row],[ActualAwayScore]]-Table1[[#This Row],[PredictedAwayScore]]</f>
        <v>0</v>
      </c>
      <c r="V918" s="64">
        <f>Table1[[#This Row],[ActualHomeScore]]-Table1[[#This Row],[PredictedHomeScore]]</f>
        <v>0</v>
      </c>
      <c r="W918" s="64">
        <f>(0.8*IF(Table1[[#This Row],[CorrectWinnerPrediction]]=1, 1, 0))+(0.1*IF(Table1[[#This Row],[CorrectAwayScorePrediction]]=1, 1, 0))+(0.1*IF(Table1[[#This Row],[CorrectHomeScorePrediction]]=1, 1, 0))</f>
        <v>0</v>
      </c>
      <c r="X91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18" s="64">
        <f>SUMIF(Table1[GameDate], Table1[[#This Row],[GameDate]], Table1[AwayGameGoalDiff])</f>
        <v>0</v>
      </c>
      <c r="AA918" s="64">
        <f>SUMIF(Table1[GameDate], Table1[[#This Row],[GameDate]], Table1[HomeGameGoalDiff])</f>
        <v>0</v>
      </c>
      <c r="AB918" s="64">
        <f>IF(ISBLANK(Table1[[#This Row],[ActualResult]]), 0, 1)</f>
        <v>0</v>
      </c>
      <c r="AC918" s="64">
        <f>IF(ISBLANK(Table1[[#This Row],[ActualResult]]), 0, IF(Table1[[#This Row],[ActualWinner]]=Table1[[#This Row],[PredictedWinner]], 1, 0))</f>
        <v>0</v>
      </c>
      <c r="AD91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1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18" s="64">
        <f>IF(AND(Table1[[#This Row],[GameIsOver]]=1,Table1[[#This Row],[ActualAwayScore]]=0), 1,0)</f>
        <v>0</v>
      </c>
      <c r="AG918" s="64">
        <f>IF(AND(Table1[[#This Row],[GameIsOver]]=1,Table1[[#This Row],[ActualHomeScore]]=0), 1,0)</f>
        <v>0</v>
      </c>
      <c r="AH918" s="64">
        <f>IF(Table1[[#This Row],[GameIsOver]]=0,0,IF(Table1[[#This Row],[ActualWinner]]=Table1[[#This Row],[AwayTeam]], 1, 0))</f>
        <v>0</v>
      </c>
      <c r="AI918" s="64">
        <f>IF(Table1[[#This Row],[GameIsOver]]=0,0,IF(Table1[[#This Row],[ActualWinner]]=Table1[[#This Row],[HomeTeam]], 1, 0))</f>
        <v>0</v>
      </c>
      <c r="AJ918" s="64">
        <f>IF(INDEX(Standings!$A$2:$C$33,MATCH(Table1[[#This Row],[AwayTeam]],Standings!$A$2:$A$33,0),2)=INDEX(Standings!$A$2:$C$33,MATCH(Table1[[#This Row],[HomeTeam]],Standings!$A$2:$A$33,0),2),1,0)</f>
        <v>1</v>
      </c>
      <c r="AK918" s="64">
        <f>IF(INDEX(Standings!$A$2:$C$33,MATCH(Table1[[#This Row],[AwayTeam]],Standings!$A$2:$A$33,0),3)=INDEX(Standings!$A$2:$C$33,MATCH(Table1[[#This Row],[HomeTeam]],Standings!$A$2:$A$33,0),3),1,0)</f>
        <v>0</v>
      </c>
      <c r="AL918" s="64">
        <f>IF(Table1[[#This Row],[InterConf]]=1,IF(Table1[[#This Row],[InterDiv]]=0, 1, 0), 0)</f>
        <v>1</v>
      </c>
      <c r="AM918" s="64">
        <f>IF(INDEX(Standings!$A$2:$C$33,MATCH(Table1[[#This Row],[AwayTeam]],Standings!$A$2:$A$33,0),2)&lt;&gt;INDEX(Standings!$A$2:$C$33,MATCH(Table1[[#This Row],[HomeTeam]],Standings!$A$2:$A$33,0),2),1,0)</f>
        <v>0</v>
      </c>
      <c r="AN918" s="64" t="str">
        <f>INDEX(Table2[AWAY_RECORD], MATCH(Table1[[#This Row],[AwayTeam]],Table2[Team], 0), 0)</f>
        <v>0-0-0</v>
      </c>
      <c r="AO918" s="64" t="str">
        <f>INDEX(Records!$B$2:$AG$33, MATCH(Table1[[#This Row],[AwayTeam]],Records!$A$2:$A$33, 0), MATCH(Table1[[#This Row],[HomeTeam]],Records!$A$2:$A$33, 0))</f>
        <v>0-0-0</v>
      </c>
      <c r="AP918" s="64" t="str">
        <f>INDEX(Table2[HOME_RECORD], MATCH(Table1[[#This Row],[HomeTeam]],Table2[Team], 0), 0)</f>
        <v>0-1-0</v>
      </c>
      <c r="AQ918" s="64" t="str">
        <f>INDEX(Records!$B$2:$AG$33, MATCH(Table1[[#This Row],[HomeTeam]],Records!$A$2:$A$33, 0), MATCH(Table1[[#This Row],[AwayTeam]],Records!$A$2:$A$33, 0))</f>
        <v>0-0-0</v>
      </c>
    </row>
    <row r="919" spans="1:43" x14ac:dyDescent="0.25">
      <c r="A919" s="1"/>
      <c r="D919" t="s">
        <v>1228</v>
      </c>
      <c r="E919" t="s">
        <v>162</v>
      </c>
      <c r="F919" t="s">
        <v>1235</v>
      </c>
      <c r="G919" t="s">
        <v>24</v>
      </c>
      <c r="H919" t="s">
        <v>52</v>
      </c>
      <c r="L91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1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19" s="1"/>
      <c r="T919" s="64" t="str">
        <f>IF(Table1[[#This Row],[ActualWinner]]="", "", IF(Table1[[#This Row],[AwayTeam]]=Table1[[#This Row],[ActualWinner]],Table1[[#This Row],[HomeTeam]],Table1[[#This Row],[AwayTeam]]))</f>
        <v/>
      </c>
      <c r="U919" s="64">
        <f>Table1[[#This Row],[ActualAwayScore]]-Table1[[#This Row],[PredictedAwayScore]]</f>
        <v>0</v>
      </c>
      <c r="V919" s="64">
        <f>Table1[[#This Row],[ActualHomeScore]]-Table1[[#This Row],[PredictedHomeScore]]</f>
        <v>0</v>
      </c>
      <c r="W919" s="64">
        <f>(0.8*IF(Table1[[#This Row],[CorrectWinnerPrediction]]=1, 1, 0))+(0.1*IF(Table1[[#This Row],[CorrectAwayScorePrediction]]=1, 1, 0))+(0.1*IF(Table1[[#This Row],[CorrectHomeScorePrediction]]=1, 1, 0))</f>
        <v>0</v>
      </c>
      <c r="X91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19" s="64">
        <f>SUMIF(Table1[GameDate], Table1[[#This Row],[GameDate]], Table1[AwayGameGoalDiff])</f>
        <v>0</v>
      </c>
      <c r="AA919" s="64">
        <f>SUMIF(Table1[GameDate], Table1[[#This Row],[GameDate]], Table1[HomeGameGoalDiff])</f>
        <v>0</v>
      </c>
      <c r="AB919" s="64">
        <f>IF(ISBLANK(Table1[[#This Row],[ActualResult]]), 0, 1)</f>
        <v>0</v>
      </c>
      <c r="AC919" s="64">
        <f>IF(ISBLANK(Table1[[#This Row],[ActualResult]]), 0, IF(Table1[[#This Row],[ActualWinner]]=Table1[[#This Row],[PredictedWinner]], 1, 0))</f>
        <v>0</v>
      </c>
      <c r="AD91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1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19" s="64">
        <f>IF(AND(Table1[[#This Row],[GameIsOver]]=1,Table1[[#This Row],[ActualAwayScore]]=0), 1,0)</f>
        <v>0</v>
      </c>
      <c r="AG919" s="64">
        <f>IF(AND(Table1[[#This Row],[GameIsOver]]=1,Table1[[#This Row],[ActualHomeScore]]=0), 1,0)</f>
        <v>0</v>
      </c>
      <c r="AH919" s="64">
        <f>IF(Table1[[#This Row],[GameIsOver]]=0,0,IF(Table1[[#This Row],[ActualWinner]]=Table1[[#This Row],[AwayTeam]], 1, 0))</f>
        <v>0</v>
      </c>
      <c r="AI919" s="64">
        <f>IF(Table1[[#This Row],[GameIsOver]]=0,0,IF(Table1[[#This Row],[ActualWinner]]=Table1[[#This Row],[HomeTeam]], 1, 0))</f>
        <v>0</v>
      </c>
      <c r="AJ919" s="64">
        <f>IF(INDEX(Standings!$A$2:$C$33,MATCH(Table1[[#This Row],[AwayTeam]],Standings!$A$2:$A$33,0),2)=INDEX(Standings!$A$2:$C$33,MATCH(Table1[[#This Row],[HomeTeam]],Standings!$A$2:$A$33,0),2),1,0)</f>
        <v>1</v>
      </c>
      <c r="AK919" s="64">
        <f>IF(INDEX(Standings!$A$2:$C$33,MATCH(Table1[[#This Row],[AwayTeam]],Standings!$A$2:$A$33,0),3)=INDEX(Standings!$A$2:$C$33,MATCH(Table1[[#This Row],[HomeTeam]],Standings!$A$2:$A$33,0),3),1,0)</f>
        <v>1</v>
      </c>
      <c r="AL919" s="64">
        <f>IF(Table1[[#This Row],[InterConf]]=1,IF(Table1[[#This Row],[InterDiv]]=0, 1, 0), 0)</f>
        <v>0</v>
      </c>
      <c r="AM919" s="64">
        <f>IF(INDEX(Standings!$A$2:$C$33,MATCH(Table1[[#This Row],[AwayTeam]],Standings!$A$2:$A$33,0),2)&lt;&gt;INDEX(Standings!$A$2:$C$33,MATCH(Table1[[#This Row],[HomeTeam]],Standings!$A$2:$A$33,0),2),1,0)</f>
        <v>0</v>
      </c>
      <c r="AN919" s="64" t="str">
        <f>INDEX(Table2[AWAY_RECORD], MATCH(Table1[[#This Row],[AwayTeam]],Table2[Team], 0), 0)</f>
        <v>0-0-0</v>
      </c>
      <c r="AO919" s="64" t="str">
        <f>INDEX(Records!$B$2:$AG$33, MATCH(Table1[[#This Row],[AwayTeam]],Records!$A$2:$A$33, 0), MATCH(Table1[[#This Row],[HomeTeam]],Records!$A$2:$A$33, 0))</f>
        <v>0-0-0</v>
      </c>
      <c r="AP919" s="64" t="str">
        <f>INDEX(Table2[HOME_RECORD], MATCH(Table1[[#This Row],[HomeTeam]],Table2[Team], 0), 0)</f>
        <v>0-0-0</v>
      </c>
      <c r="AQ919" s="64" t="str">
        <f>INDEX(Records!$B$2:$AG$33, MATCH(Table1[[#This Row],[HomeTeam]],Records!$A$2:$A$33, 0), MATCH(Table1[[#This Row],[AwayTeam]],Records!$A$2:$A$33, 0))</f>
        <v>0-0-0</v>
      </c>
    </row>
    <row r="920" spans="1:43" x14ac:dyDescent="0.25">
      <c r="A920" s="1"/>
      <c r="D920" t="s">
        <v>1228</v>
      </c>
      <c r="E920" t="s">
        <v>162</v>
      </c>
      <c r="F920" t="s">
        <v>1236</v>
      </c>
      <c r="G920" t="s">
        <v>41</v>
      </c>
      <c r="H920" t="s">
        <v>57</v>
      </c>
      <c r="L92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2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20" s="1"/>
      <c r="T920" s="64" t="str">
        <f>IF(Table1[[#This Row],[ActualWinner]]="", "", IF(Table1[[#This Row],[AwayTeam]]=Table1[[#This Row],[ActualWinner]],Table1[[#This Row],[HomeTeam]],Table1[[#This Row],[AwayTeam]]))</f>
        <v/>
      </c>
      <c r="U920" s="64">
        <f>Table1[[#This Row],[ActualAwayScore]]-Table1[[#This Row],[PredictedAwayScore]]</f>
        <v>0</v>
      </c>
      <c r="V920" s="64">
        <f>Table1[[#This Row],[ActualHomeScore]]-Table1[[#This Row],[PredictedHomeScore]]</f>
        <v>0</v>
      </c>
      <c r="W920" s="64">
        <f>(0.8*IF(Table1[[#This Row],[CorrectWinnerPrediction]]=1, 1, 0))+(0.1*IF(Table1[[#This Row],[CorrectAwayScorePrediction]]=1, 1, 0))+(0.1*IF(Table1[[#This Row],[CorrectHomeScorePrediction]]=1, 1, 0))</f>
        <v>0</v>
      </c>
      <c r="X92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20" s="64">
        <f>SUMIF(Table1[GameDate], Table1[[#This Row],[GameDate]], Table1[AwayGameGoalDiff])</f>
        <v>0</v>
      </c>
      <c r="AA920" s="64">
        <f>SUMIF(Table1[GameDate], Table1[[#This Row],[GameDate]], Table1[HomeGameGoalDiff])</f>
        <v>0</v>
      </c>
      <c r="AB920" s="64">
        <f>IF(ISBLANK(Table1[[#This Row],[ActualResult]]), 0, 1)</f>
        <v>0</v>
      </c>
      <c r="AC920" s="64">
        <f>IF(ISBLANK(Table1[[#This Row],[ActualResult]]), 0, IF(Table1[[#This Row],[ActualWinner]]=Table1[[#This Row],[PredictedWinner]], 1, 0))</f>
        <v>0</v>
      </c>
      <c r="AD92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2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20" s="64">
        <f>IF(AND(Table1[[#This Row],[GameIsOver]]=1,Table1[[#This Row],[ActualAwayScore]]=0), 1,0)</f>
        <v>0</v>
      </c>
      <c r="AG920" s="64">
        <f>IF(AND(Table1[[#This Row],[GameIsOver]]=1,Table1[[#This Row],[ActualHomeScore]]=0), 1,0)</f>
        <v>0</v>
      </c>
      <c r="AH920" s="64">
        <f>IF(Table1[[#This Row],[GameIsOver]]=0,0,IF(Table1[[#This Row],[ActualWinner]]=Table1[[#This Row],[AwayTeam]], 1, 0))</f>
        <v>0</v>
      </c>
      <c r="AI920" s="64">
        <f>IF(Table1[[#This Row],[GameIsOver]]=0,0,IF(Table1[[#This Row],[ActualWinner]]=Table1[[#This Row],[HomeTeam]], 1, 0))</f>
        <v>0</v>
      </c>
      <c r="AJ920" s="64">
        <f>IF(INDEX(Standings!$A$2:$C$33,MATCH(Table1[[#This Row],[AwayTeam]],Standings!$A$2:$A$33,0),2)=INDEX(Standings!$A$2:$C$33,MATCH(Table1[[#This Row],[HomeTeam]],Standings!$A$2:$A$33,0),2),1,0)</f>
        <v>0</v>
      </c>
      <c r="AK920" s="64">
        <f>IF(INDEX(Standings!$A$2:$C$33,MATCH(Table1[[#This Row],[AwayTeam]],Standings!$A$2:$A$33,0),3)=INDEX(Standings!$A$2:$C$33,MATCH(Table1[[#This Row],[HomeTeam]],Standings!$A$2:$A$33,0),3),1,0)</f>
        <v>0</v>
      </c>
      <c r="AL920" s="64">
        <f>IF(Table1[[#This Row],[InterConf]]=1,IF(Table1[[#This Row],[InterDiv]]=0, 1, 0), 0)</f>
        <v>0</v>
      </c>
      <c r="AM920" s="64">
        <f>IF(INDEX(Standings!$A$2:$C$33,MATCH(Table1[[#This Row],[AwayTeam]],Standings!$A$2:$A$33,0),2)&lt;&gt;INDEX(Standings!$A$2:$C$33,MATCH(Table1[[#This Row],[HomeTeam]],Standings!$A$2:$A$33,0),2),1,0)</f>
        <v>1</v>
      </c>
      <c r="AN920" s="64" t="str">
        <f>INDEX(Table2[AWAY_RECORD], MATCH(Table1[[#This Row],[AwayTeam]],Table2[Team], 0), 0)</f>
        <v>0-0-0</v>
      </c>
      <c r="AO920" s="64" t="str">
        <f>INDEX(Records!$B$2:$AG$33, MATCH(Table1[[#This Row],[AwayTeam]],Records!$A$2:$A$33, 0), MATCH(Table1[[#This Row],[HomeTeam]],Records!$A$2:$A$33, 0))</f>
        <v>0-0-0</v>
      </c>
      <c r="AP920" s="64" t="str">
        <f>INDEX(Table2[HOME_RECORD], MATCH(Table1[[#This Row],[HomeTeam]],Table2[Team], 0), 0)</f>
        <v>0-0-0</v>
      </c>
      <c r="AQ920" s="64" t="str">
        <f>INDEX(Records!$B$2:$AG$33, MATCH(Table1[[#This Row],[HomeTeam]],Records!$A$2:$A$33, 0), MATCH(Table1[[#This Row],[AwayTeam]],Records!$A$2:$A$33, 0))</f>
        <v>0-0-0</v>
      </c>
    </row>
    <row r="921" spans="1:43" x14ac:dyDescent="0.25">
      <c r="A921" s="1"/>
      <c r="D921" t="s">
        <v>1228</v>
      </c>
      <c r="E921" t="s">
        <v>162</v>
      </c>
      <c r="F921" t="s">
        <v>1237</v>
      </c>
      <c r="G921" t="s">
        <v>22</v>
      </c>
      <c r="H921" t="s">
        <v>50</v>
      </c>
      <c r="L92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2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21" s="1"/>
      <c r="T921" s="64" t="str">
        <f>IF(Table1[[#This Row],[ActualWinner]]="", "", IF(Table1[[#This Row],[AwayTeam]]=Table1[[#This Row],[ActualWinner]],Table1[[#This Row],[HomeTeam]],Table1[[#This Row],[AwayTeam]]))</f>
        <v/>
      </c>
      <c r="U921" s="64">
        <f>Table1[[#This Row],[ActualAwayScore]]-Table1[[#This Row],[PredictedAwayScore]]</f>
        <v>0</v>
      </c>
      <c r="V921" s="64">
        <f>Table1[[#This Row],[ActualHomeScore]]-Table1[[#This Row],[PredictedHomeScore]]</f>
        <v>0</v>
      </c>
      <c r="W921" s="64">
        <f>(0.8*IF(Table1[[#This Row],[CorrectWinnerPrediction]]=1, 1, 0))+(0.1*IF(Table1[[#This Row],[CorrectAwayScorePrediction]]=1, 1, 0))+(0.1*IF(Table1[[#This Row],[CorrectHomeScorePrediction]]=1, 1, 0))</f>
        <v>0</v>
      </c>
      <c r="X92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21" s="64">
        <f>SUMIF(Table1[GameDate], Table1[[#This Row],[GameDate]], Table1[AwayGameGoalDiff])</f>
        <v>0</v>
      </c>
      <c r="AA921" s="64">
        <f>SUMIF(Table1[GameDate], Table1[[#This Row],[GameDate]], Table1[HomeGameGoalDiff])</f>
        <v>0</v>
      </c>
      <c r="AB921" s="64">
        <f>IF(ISBLANK(Table1[[#This Row],[ActualResult]]), 0, 1)</f>
        <v>0</v>
      </c>
      <c r="AC921" s="64">
        <f>IF(ISBLANK(Table1[[#This Row],[ActualResult]]), 0, IF(Table1[[#This Row],[ActualWinner]]=Table1[[#This Row],[PredictedWinner]], 1, 0))</f>
        <v>0</v>
      </c>
      <c r="AD92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2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21" s="64">
        <f>IF(AND(Table1[[#This Row],[GameIsOver]]=1,Table1[[#This Row],[ActualAwayScore]]=0), 1,0)</f>
        <v>0</v>
      </c>
      <c r="AG921" s="64">
        <f>IF(AND(Table1[[#This Row],[GameIsOver]]=1,Table1[[#This Row],[ActualHomeScore]]=0), 1,0)</f>
        <v>0</v>
      </c>
      <c r="AH921" s="64">
        <f>IF(Table1[[#This Row],[GameIsOver]]=0,0,IF(Table1[[#This Row],[ActualWinner]]=Table1[[#This Row],[AwayTeam]], 1, 0))</f>
        <v>0</v>
      </c>
      <c r="AI921" s="64">
        <f>IF(Table1[[#This Row],[GameIsOver]]=0,0,IF(Table1[[#This Row],[ActualWinner]]=Table1[[#This Row],[HomeTeam]], 1, 0))</f>
        <v>0</v>
      </c>
      <c r="AJ921" s="64">
        <f>IF(INDEX(Standings!$A$2:$C$33,MATCH(Table1[[#This Row],[AwayTeam]],Standings!$A$2:$A$33,0),2)=INDEX(Standings!$A$2:$C$33,MATCH(Table1[[#This Row],[HomeTeam]],Standings!$A$2:$A$33,0),2),1,0)</f>
        <v>0</v>
      </c>
      <c r="AK921" s="64">
        <f>IF(INDEX(Standings!$A$2:$C$33,MATCH(Table1[[#This Row],[AwayTeam]],Standings!$A$2:$A$33,0),3)=INDEX(Standings!$A$2:$C$33,MATCH(Table1[[#This Row],[HomeTeam]],Standings!$A$2:$A$33,0),3),1,0)</f>
        <v>0</v>
      </c>
      <c r="AL921" s="64">
        <f>IF(Table1[[#This Row],[InterConf]]=1,IF(Table1[[#This Row],[InterDiv]]=0, 1, 0), 0)</f>
        <v>0</v>
      </c>
      <c r="AM921" s="64">
        <f>IF(INDEX(Standings!$A$2:$C$33,MATCH(Table1[[#This Row],[AwayTeam]],Standings!$A$2:$A$33,0),2)&lt;&gt;INDEX(Standings!$A$2:$C$33,MATCH(Table1[[#This Row],[HomeTeam]],Standings!$A$2:$A$33,0),2),1,0)</f>
        <v>1</v>
      </c>
      <c r="AN921" s="64" t="str">
        <f>INDEX(Table2[AWAY_RECORD], MATCH(Table1[[#This Row],[AwayTeam]],Table2[Team], 0), 0)</f>
        <v>0-0-1</v>
      </c>
      <c r="AO921" s="64" t="str">
        <f>INDEX(Records!$B$2:$AG$33, MATCH(Table1[[#This Row],[AwayTeam]],Records!$A$2:$A$33, 0), MATCH(Table1[[#This Row],[HomeTeam]],Records!$A$2:$A$33, 0))</f>
        <v>0-0-0</v>
      </c>
      <c r="AP921" s="64" t="str">
        <f>INDEX(Table2[HOME_RECORD], MATCH(Table1[[#This Row],[HomeTeam]],Table2[Team], 0), 0)</f>
        <v>0-0-0</v>
      </c>
      <c r="AQ921" s="64" t="str">
        <f>INDEX(Records!$B$2:$AG$33, MATCH(Table1[[#This Row],[HomeTeam]],Records!$A$2:$A$33, 0), MATCH(Table1[[#This Row],[AwayTeam]],Records!$A$2:$A$33, 0))</f>
        <v>0-0-0</v>
      </c>
    </row>
    <row r="922" spans="1:43" x14ac:dyDescent="0.25">
      <c r="A922" s="1"/>
      <c r="D922" t="s">
        <v>1228</v>
      </c>
      <c r="E922" t="s">
        <v>162</v>
      </c>
      <c r="F922" t="s">
        <v>1238</v>
      </c>
      <c r="G922" t="s">
        <v>38</v>
      </c>
      <c r="H922" t="s">
        <v>40</v>
      </c>
      <c r="L92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2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22" s="1"/>
      <c r="T922" s="64" t="str">
        <f>IF(Table1[[#This Row],[ActualWinner]]="", "", IF(Table1[[#This Row],[AwayTeam]]=Table1[[#This Row],[ActualWinner]],Table1[[#This Row],[HomeTeam]],Table1[[#This Row],[AwayTeam]]))</f>
        <v/>
      </c>
      <c r="U922" s="64">
        <f>Table1[[#This Row],[ActualAwayScore]]-Table1[[#This Row],[PredictedAwayScore]]</f>
        <v>0</v>
      </c>
      <c r="V922" s="64">
        <f>Table1[[#This Row],[ActualHomeScore]]-Table1[[#This Row],[PredictedHomeScore]]</f>
        <v>0</v>
      </c>
      <c r="W922" s="64">
        <f>(0.8*IF(Table1[[#This Row],[CorrectWinnerPrediction]]=1, 1, 0))+(0.1*IF(Table1[[#This Row],[CorrectAwayScorePrediction]]=1, 1, 0))+(0.1*IF(Table1[[#This Row],[CorrectHomeScorePrediction]]=1, 1, 0))</f>
        <v>0</v>
      </c>
      <c r="X92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22" s="64">
        <f>SUMIF(Table1[GameDate], Table1[[#This Row],[GameDate]], Table1[AwayGameGoalDiff])</f>
        <v>0</v>
      </c>
      <c r="AA922" s="64">
        <f>SUMIF(Table1[GameDate], Table1[[#This Row],[GameDate]], Table1[HomeGameGoalDiff])</f>
        <v>0</v>
      </c>
      <c r="AB922" s="64">
        <f>IF(ISBLANK(Table1[[#This Row],[ActualResult]]), 0, 1)</f>
        <v>0</v>
      </c>
      <c r="AC922" s="64">
        <f>IF(ISBLANK(Table1[[#This Row],[ActualResult]]), 0, IF(Table1[[#This Row],[ActualWinner]]=Table1[[#This Row],[PredictedWinner]], 1, 0))</f>
        <v>0</v>
      </c>
      <c r="AD92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2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22" s="64">
        <f>IF(AND(Table1[[#This Row],[GameIsOver]]=1,Table1[[#This Row],[ActualAwayScore]]=0), 1,0)</f>
        <v>0</v>
      </c>
      <c r="AG922" s="64">
        <f>IF(AND(Table1[[#This Row],[GameIsOver]]=1,Table1[[#This Row],[ActualHomeScore]]=0), 1,0)</f>
        <v>0</v>
      </c>
      <c r="AH922" s="64">
        <f>IF(Table1[[#This Row],[GameIsOver]]=0,0,IF(Table1[[#This Row],[ActualWinner]]=Table1[[#This Row],[AwayTeam]], 1, 0))</f>
        <v>0</v>
      </c>
      <c r="AI922" s="64">
        <f>IF(Table1[[#This Row],[GameIsOver]]=0,0,IF(Table1[[#This Row],[ActualWinner]]=Table1[[#This Row],[HomeTeam]], 1, 0))</f>
        <v>0</v>
      </c>
      <c r="AJ922" s="64">
        <f>IF(INDEX(Standings!$A$2:$C$33,MATCH(Table1[[#This Row],[AwayTeam]],Standings!$A$2:$A$33,0),2)=INDEX(Standings!$A$2:$C$33,MATCH(Table1[[#This Row],[HomeTeam]],Standings!$A$2:$A$33,0),2),1,0)</f>
        <v>1</v>
      </c>
      <c r="AK922" s="64">
        <f>IF(INDEX(Standings!$A$2:$C$33,MATCH(Table1[[#This Row],[AwayTeam]],Standings!$A$2:$A$33,0),3)=INDEX(Standings!$A$2:$C$33,MATCH(Table1[[#This Row],[HomeTeam]],Standings!$A$2:$A$33,0),3),1,0)</f>
        <v>0</v>
      </c>
      <c r="AL922" s="64">
        <f>IF(Table1[[#This Row],[InterConf]]=1,IF(Table1[[#This Row],[InterDiv]]=0, 1, 0), 0)</f>
        <v>1</v>
      </c>
      <c r="AM922" s="64">
        <f>IF(INDEX(Standings!$A$2:$C$33,MATCH(Table1[[#This Row],[AwayTeam]],Standings!$A$2:$A$33,0),2)&lt;&gt;INDEX(Standings!$A$2:$C$33,MATCH(Table1[[#This Row],[HomeTeam]],Standings!$A$2:$A$33,0),2),1,0)</f>
        <v>0</v>
      </c>
      <c r="AN922" s="64" t="str">
        <f>INDEX(Table2[AWAY_RECORD], MATCH(Table1[[#This Row],[AwayTeam]],Table2[Team], 0), 0)</f>
        <v>0-0-1</v>
      </c>
      <c r="AO922" s="64" t="str">
        <f>INDEX(Records!$B$2:$AG$33, MATCH(Table1[[#This Row],[AwayTeam]],Records!$A$2:$A$33, 0), MATCH(Table1[[#This Row],[HomeTeam]],Records!$A$2:$A$33, 0))</f>
        <v>0-0-0</v>
      </c>
      <c r="AP922" s="64" t="str">
        <f>INDEX(Table2[HOME_RECORD], MATCH(Table1[[#This Row],[HomeTeam]],Table2[Team], 0), 0)</f>
        <v>1-1-0</v>
      </c>
      <c r="AQ922" s="64" t="str">
        <f>INDEX(Records!$B$2:$AG$33, MATCH(Table1[[#This Row],[HomeTeam]],Records!$A$2:$A$33, 0), MATCH(Table1[[#This Row],[AwayTeam]],Records!$A$2:$A$33, 0))</f>
        <v>0-0-0</v>
      </c>
    </row>
    <row r="923" spans="1:43" x14ac:dyDescent="0.25">
      <c r="A923" s="1"/>
      <c r="D923" t="s">
        <v>1228</v>
      </c>
      <c r="E923" t="s">
        <v>162</v>
      </c>
      <c r="F923" t="s">
        <v>1239</v>
      </c>
      <c r="G923" t="s">
        <v>54</v>
      </c>
      <c r="H923" t="s">
        <v>45</v>
      </c>
      <c r="L92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2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23" s="1"/>
      <c r="T923" s="64" t="str">
        <f>IF(Table1[[#This Row],[ActualWinner]]="", "", IF(Table1[[#This Row],[AwayTeam]]=Table1[[#This Row],[ActualWinner]],Table1[[#This Row],[HomeTeam]],Table1[[#This Row],[AwayTeam]]))</f>
        <v/>
      </c>
      <c r="U923" s="64">
        <f>Table1[[#This Row],[ActualAwayScore]]-Table1[[#This Row],[PredictedAwayScore]]</f>
        <v>0</v>
      </c>
      <c r="V923" s="64">
        <f>Table1[[#This Row],[ActualHomeScore]]-Table1[[#This Row],[PredictedHomeScore]]</f>
        <v>0</v>
      </c>
      <c r="W923" s="64">
        <f>(0.8*IF(Table1[[#This Row],[CorrectWinnerPrediction]]=1, 1, 0))+(0.1*IF(Table1[[#This Row],[CorrectAwayScorePrediction]]=1, 1, 0))+(0.1*IF(Table1[[#This Row],[CorrectHomeScorePrediction]]=1, 1, 0))</f>
        <v>0</v>
      </c>
      <c r="X92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23" s="64">
        <f>SUMIF(Table1[GameDate], Table1[[#This Row],[GameDate]], Table1[AwayGameGoalDiff])</f>
        <v>0</v>
      </c>
      <c r="AA923" s="64">
        <f>SUMIF(Table1[GameDate], Table1[[#This Row],[GameDate]], Table1[HomeGameGoalDiff])</f>
        <v>0</v>
      </c>
      <c r="AB923" s="64">
        <f>IF(ISBLANK(Table1[[#This Row],[ActualResult]]), 0, 1)</f>
        <v>0</v>
      </c>
      <c r="AC923" s="64">
        <f>IF(ISBLANK(Table1[[#This Row],[ActualResult]]), 0, IF(Table1[[#This Row],[ActualWinner]]=Table1[[#This Row],[PredictedWinner]], 1, 0))</f>
        <v>0</v>
      </c>
      <c r="AD92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2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23" s="64">
        <f>IF(AND(Table1[[#This Row],[GameIsOver]]=1,Table1[[#This Row],[ActualAwayScore]]=0), 1,0)</f>
        <v>0</v>
      </c>
      <c r="AG923" s="64">
        <f>IF(AND(Table1[[#This Row],[GameIsOver]]=1,Table1[[#This Row],[ActualHomeScore]]=0), 1,0)</f>
        <v>0</v>
      </c>
      <c r="AH923" s="64">
        <f>IF(Table1[[#This Row],[GameIsOver]]=0,0,IF(Table1[[#This Row],[ActualWinner]]=Table1[[#This Row],[AwayTeam]], 1, 0))</f>
        <v>0</v>
      </c>
      <c r="AI923" s="64">
        <f>IF(Table1[[#This Row],[GameIsOver]]=0,0,IF(Table1[[#This Row],[ActualWinner]]=Table1[[#This Row],[HomeTeam]], 1, 0))</f>
        <v>0</v>
      </c>
      <c r="AJ923" s="64">
        <f>IF(INDEX(Standings!$A$2:$C$33,MATCH(Table1[[#This Row],[AwayTeam]],Standings!$A$2:$A$33,0),2)=INDEX(Standings!$A$2:$C$33,MATCH(Table1[[#This Row],[HomeTeam]],Standings!$A$2:$A$33,0),2),1,0)</f>
        <v>0</v>
      </c>
      <c r="AK923" s="64">
        <f>IF(INDEX(Standings!$A$2:$C$33,MATCH(Table1[[#This Row],[AwayTeam]],Standings!$A$2:$A$33,0),3)=INDEX(Standings!$A$2:$C$33,MATCH(Table1[[#This Row],[HomeTeam]],Standings!$A$2:$A$33,0),3),1,0)</f>
        <v>0</v>
      </c>
      <c r="AL923" s="64">
        <f>IF(Table1[[#This Row],[InterConf]]=1,IF(Table1[[#This Row],[InterDiv]]=0, 1, 0), 0)</f>
        <v>0</v>
      </c>
      <c r="AM923" s="64">
        <f>IF(INDEX(Standings!$A$2:$C$33,MATCH(Table1[[#This Row],[AwayTeam]],Standings!$A$2:$A$33,0),2)&lt;&gt;INDEX(Standings!$A$2:$C$33,MATCH(Table1[[#This Row],[HomeTeam]],Standings!$A$2:$A$33,0),2),1,0)</f>
        <v>1</v>
      </c>
      <c r="AN923" s="64" t="str">
        <f>INDEX(Table2[AWAY_RECORD], MATCH(Table1[[#This Row],[AwayTeam]],Table2[Team], 0), 0)</f>
        <v>0-0-1</v>
      </c>
      <c r="AO923" s="64" t="str">
        <f>INDEX(Records!$B$2:$AG$33, MATCH(Table1[[#This Row],[AwayTeam]],Records!$A$2:$A$33, 0), MATCH(Table1[[#This Row],[HomeTeam]],Records!$A$2:$A$33, 0))</f>
        <v>0-0-0</v>
      </c>
      <c r="AP923" s="64" t="str">
        <f>INDEX(Table2[HOME_RECORD], MATCH(Table1[[#This Row],[HomeTeam]],Table2[Team], 0), 0)</f>
        <v>1-0-0</v>
      </c>
      <c r="AQ923" s="64" t="str">
        <f>INDEX(Records!$B$2:$AG$33, MATCH(Table1[[#This Row],[HomeTeam]],Records!$A$2:$A$33, 0), MATCH(Table1[[#This Row],[AwayTeam]],Records!$A$2:$A$33, 0))</f>
        <v>0-0-0</v>
      </c>
    </row>
    <row r="924" spans="1:43" x14ac:dyDescent="0.25">
      <c r="A924" s="1"/>
      <c r="D924" t="s">
        <v>1228</v>
      </c>
      <c r="E924" t="s">
        <v>289</v>
      </c>
      <c r="F924" t="s">
        <v>1240</v>
      </c>
      <c r="G924" t="s">
        <v>49</v>
      </c>
      <c r="H924" t="s">
        <v>53</v>
      </c>
      <c r="L92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2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24" s="1"/>
      <c r="T924" s="64" t="str">
        <f>IF(Table1[[#This Row],[ActualWinner]]="", "", IF(Table1[[#This Row],[AwayTeam]]=Table1[[#This Row],[ActualWinner]],Table1[[#This Row],[HomeTeam]],Table1[[#This Row],[AwayTeam]]))</f>
        <v/>
      </c>
      <c r="U924" s="64">
        <f>Table1[[#This Row],[ActualAwayScore]]-Table1[[#This Row],[PredictedAwayScore]]</f>
        <v>0</v>
      </c>
      <c r="V924" s="64">
        <f>Table1[[#This Row],[ActualHomeScore]]-Table1[[#This Row],[PredictedHomeScore]]</f>
        <v>0</v>
      </c>
      <c r="W924" s="64">
        <f>(0.8*IF(Table1[[#This Row],[CorrectWinnerPrediction]]=1, 1, 0))+(0.1*IF(Table1[[#This Row],[CorrectAwayScorePrediction]]=1, 1, 0))+(0.1*IF(Table1[[#This Row],[CorrectHomeScorePrediction]]=1, 1, 0))</f>
        <v>0</v>
      </c>
      <c r="X92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24" s="64">
        <f>SUMIF(Table1[GameDate], Table1[[#This Row],[GameDate]], Table1[AwayGameGoalDiff])</f>
        <v>0</v>
      </c>
      <c r="AA924" s="64">
        <f>SUMIF(Table1[GameDate], Table1[[#This Row],[GameDate]], Table1[HomeGameGoalDiff])</f>
        <v>0</v>
      </c>
      <c r="AB924" s="64">
        <f>IF(ISBLANK(Table1[[#This Row],[ActualResult]]), 0, 1)</f>
        <v>0</v>
      </c>
      <c r="AC924" s="64">
        <f>IF(ISBLANK(Table1[[#This Row],[ActualResult]]), 0, IF(Table1[[#This Row],[ActualWinner]]=Table1[[#This Row],[PredictedWinner]], 1, 0))</f>
        <v>0</v>
      </c>
      <c r="AD92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2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24" s="64">
        <f>IF(AND(Table1[[#This Row],[GameIsOver]]=1,Table1[[#This Row],[ActualAwayScore]]=0), 1,0)</f>
        <v>0</v>
      </c>
      <c r="AG924" s="64">
        <f>IF(AND(Table1[[#This Row],[GameIsOver]]=1,Table1[[#This Row],[ActualHomeScore]]=0), 1,0)</f>
        <v>0</v>
      </c>
      <c r="AH924" s="64">
        <f>IF(Table1[[#This Row],[GameIsOver]]=0,0,IF(Table1[[#This Row],[ActualWinner]]=Table1[[#This Row],[AwayTeam]], 1, 0))</f>
        <v>0</v>
      </c>
      <c r="AI924" s="64">
        <f>IF(Table1[[#This Row],[GameIsOver]]=0,0,IF(Table1[[#This Row],[ActualWinner]]=Table1[[#This Row],[HomeTeam]], 1, 0))</f>
        <v>0</v>
      </c>
      <c r="AJ924" s="64">
        <f>IF(INDEX(Standings!$A$2:$C$33,MATCH(Table1[[#This Row],[AwayTeam]],Standings!$A$2:$A$33,0),2)=INDEX(Standings!$A$2:$C$33,MATCH(Table1[[#This Row],[HomeTeam]],Standings!$A$2:$A$33,0),2),1,0)</f>
        <v>1</v>
      </c>
      <c r="AK924" s="64">
        <f>IF(INDEX(Standings!$A$2:$C$33,MATCH(Table1[[#This Row],[AwayTeam]],Standings!$A$2:$A$33,0),3)=INDEX(Standings!$A$2:$C$33,MATCH(Table1[[#This Row],[HomeTeam]],Standings!$A$2:$A$33,0),3),1,0)</f>
        <v>1</v>
      </c>
      <c r="AL924" s="64">
        <f>IF(Table1[[#This Row],[InterConf]]=1,IF(Table1[[#This Row],[InterDiv]]=0, 1, 0), 0)</f>
        <v>0</v>
      </c>
      <c r="AM924" s="64">
        <f>IF(INDEX(Standings!$A$2:$C$33,MATCH(Table1[[#This Row],[AwayTeam]],Standings!$A$2:$A$33,0),2)&lt;&gt;INDEX(Standings!$A$2:$C$33,MATCH(Table1[[#This Row],[HomeTeam]],Standings!$A$2:$A$33,0),2),1,0)</f>
        <v>0</v>
      </c>
      <c r="AN924" s="64" t="str">
        <f>INDEX(Table2[AWAY_RECORD], MATCH(Table1[[#This Row],[AwayTeam]],Table2[Team], 0), 0)</f>
        <v>0-0-0</v>
      </c>
      <c r="AO924" s="64" t="str">
        <f>INDEX(Records!$B$2:$AG$33, MATCH(Table1[[#This Row],[AwayTeam]],Records!$A$2:$A$33, 0), MATCH(Table1[[#This Row],[HomeTeam]],Records!$A$2:$A$33, 0))</f>
        <v>1-0-0</v>
      </c>
      <c r="AP924" s="64" t="str">
        <f>INDEX(Table2[HOME_RECORD], MATCH(Table1[[#This Row],[HomeTeam]],Table2[Team], 0), 0)</f>
        <v>1-0-0</v>
      </c>
      <c r="AQ924" s="64" t="str">
        <f>INDEX(Records!$B$2:$AG$33, MATCH(Table1[[#This Row],[HomeTeam]],Records!$A$2:$A$33, 0), MATCH(Table1[[#This Row],[AwayTeam]],Records!$A$2:$A$33, 0))</f>
        <v>0-1-0</v>
      </c>
    </row>
    <row r="925" spans="1:43" x14ac:dyDescent="0.25">
      <c r="A925" s="1"/>
      <c r="D925" t="s">
        <v>1241</v>
      </c>
      <c r="E925" t="s">
        <v>298</v>
      </c>
      <c r="F925" t="s">
        <v>1242</v>
      </c>
      <c r="G925" t="s">
        <v>60</v>
      </c>
      <c r="H925" t="s">
        <v>23</v>
      </c>
      <c r="L92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2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25" s="1"/>
      <c r="T925" s="64" t="str">
        <f>IF(Table1[[#This Row],[ActualWinner]]="", "", IF(Table1[[#This Row],[AwayTeam]]=Table1[[#This Row],[ActualWinner]],Table1[[#This Row],[HomeTeam]],Table1[[#This Row],[AwayTeam]]))</f>
        <v/>
      </c>
      <c r="U925" s="64">
        <f>Table1[[#This Row],[ActualAwayScore]]-Table1[[#This Row],[PredictedAwayScore]]</f>
        <v>0</v>
      </c>
      <c r="V925" s="64">
        <f>Table1[[#This Row],[ActualHomeScore]]-Table1[[#This Row],[PredictedHomeScore]]</f>
        <v>0</v>
      </c>
      <c r="W925" s="64">
        <f>(0.8*IF(Table1[[#This Row],[CorrectWinnerPrediction]]=1, 1, 0))+(0.1*IF(Table1[[#This Row],[CorrectAwayScorePrediction]]=1, 1, 0))+(0.1*IF(Table1[[#This Row],[CorrectHomeScorePrediction]]=1, 1, 0))</f>
        <v>0</v>
      </c>
      <c r="X92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25" s="64">
        <f>SUMIF(Table1[GameDate], Table1[[#This Row],[GameDate]], Table1[AwayGameGoalDiff])</f>
        <v>0</v>
      </c>
      <c r="AA925" s="64">
        <f>SUMIF(Table1[GameDate], Table1[[#This Row],[GameDate]], Table1[HomeGameGoalDiff])</f>
        <v>0</v>
      </c>
      <c r="AB925" s="64">
        <f>IF(ISBLANK(Table1[[#This Row],[ActualResult]]), 0, 1)</f>
        <v>0</v>
      </c>
      <c r="AC925" s="64">
        <f>IF(ISBLANK(Table1[[#This Row],[ActualResult]]), 0, IF(Table1[[#This Row],[ActualWinner]]=Table1[[#This Row],[PredictedWinner]], 1, 0))</f>
        <v>0</v>
      </c>
      <c r="AD92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2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25" s="64">
        <f>IF(AND(Table1[[#This Row],[GameIsOver]]=1,Table1[[#This Row],[ActualAwayScore]]=0), 1,0)</f>
        <v>0</v>
      </c>
      <c r="AG925" s="64">
        <f>IF(AND(Table1[[#This Row],[GameIsOver]]=1,Table1[[#This Row],[ActualHomeScore]]=0), 1,0)</f>
        <v>0</v>
      </c>
      <c r="AH925" s="64">
        <f>IF(Table1[[#This Row],[GameIsOver]]=0,0,IF(Table1[[#This Row],[ActualWinner]]=Table1[[#This Row],[AwayTeam]], 1, 0))</f>
        <v>0</v>
      </c>
      <c r="AI925" s="64">
        <f>IF(Table1[[#This Row],[GameIsOver]]=0,0,IF(Table1[[#This Row],[ActualWinner]]=Table1[[#This Row],[HomeTeam]], 1, 0))</f>
        <v>0</v>
      </c>
      <c r="AJ925" s="64">
        <f>IF(INDEX(Standings!$A$2:$C$33,MATCH(Table1[[#This Row],[AwayTeam]],Standings!$A$2:$A$33,0),2)=INDEX(Standings!$A$2:$C$33,MATCH(Table1[[#This Row],[HomeTeam]],Standings!$A$2:$A$33,0),2),1,0)</f>
        <v>1</v>
      </c>
      <c r="AK925" s="64">
        <f>IF(INDEX(Standings!$A$2:$C$33,MATCH(Table1[[#This Row],[AwayTeam]],Standings!$A$2:$A$33,0),3)=INDEX(Standings!$A$2:$C$33,MATCH(Table1[[#This Row],[HomeTeam]],Standings!$A$2:$A$33,0),3),1,0)</f>
        <v>0</v>
      </c>
      <c r="AL925" s="64">
        <f>IF(Table1[[#This Row],[InterConf]]=1,IF(Table1[[#This Row],[InterDiv]]=0, 1, 0), 0)</f>
        <v>1</v>
      </c>
      <c r="AM925" s="64">
        <f>IF(INDEX(Standings!$A$2:$C$33,MATCH(Table1[[#This Row],[AwayTeam]],Standings!$A$2:$A$33,0),2)&lt;&gt;INDEX(Standings!$A$2:$C$33,MATCH(Table1[[#This Row],[HomeTeam]],Standings!$A$2:$A$33,0),2),1,0)</f>
        <v>0</v>
      </c>
      <c r="AN925" s="64" t="str">
        <f>INDEX(Table2[AWAY_RECORD], MATCH(Table1[[#This Row],[AwayTeam]],Table2[Team], 0), 0)</f>
        <v>0-0-0</v>
      </c>
      <c r="AO925" s="64" t="str">
        <f>INDEX(Records!$B$2:$AG$33, MATCH(Table1[[#This Row],[AwayTeam]],Records!$A$2:$A$33, 0), MATCH(Table1[[#This Row],[HomeTeam]],Records!$A$2:$A$33, 0))</f>
        <v>0-0-0</v>
      </c>
      <c r="AP925" s="64" t="str">
        <f>INDEX(Table2[HOME_RECORD], MATCH(Table1[[#This Row],[HomeTeam]],Table2[Team], 0), 0)</f>
        <v>0-0-1</v>
      </c>
      <c r="AQ925" s="64" t="str">
        <f>INDEX(Records!$B$2:$AG$33, MATCH(Table1[[#This Row],[HomeTeam]],Records!$A$2:$A$33, 0), MATCH(Table1[[#This Row],[AwayTeam]],Records!$A$2:$A$33, 0))</f>
        <v>0-0-0</v>
      </c>
    </row>
    <row r="926" spans="1:43" x14ac:dyDescent="0.25">
      <c r="A926" s="1"/>
      <c r="D926" t="s">
        <v>1241</v>
      </c>
      <c r="E926" t="s">
        <v>298</v>
      </c>
      <c r="F926" t="s">
        <v>1243</v>
      </c>
      <c r="G926" t="s">
        <v>39</v>
      </c>
      <c r="H926" t="s">
        <v>25</v>
      </c>
      <c r="L92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2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26" s="1"/>
      <c r="T926" s="64" t="str">
        <f>IF(Table1[[#This Row],[ActualWinner]]="", "", IF(Table1[[#This Row],[AwayTeam]]=Table1[[#This Row],[ActualWinner]],Table1[[#This Row],[HomeTeam]],Table1[[#This Row],[AwayTeam]]))</f>
        <v/>
      </c>
      <c r="U926" s="64">
        <f>Table1[[#This Row],[ActualAwayScore]]-Table1[[#This Row],[PredictedAwayScore]]</f>
        <v>0</v>
      </c>
      <c r="V926" s="64">
        <f>Table1[[#This Row],[ActualHomeScore]]-Table1[[#This Row],[PredictedHomeScore]]</f>
        <v>0</v>
      </c>
      <c r="W926" s="64">
        <f>(0.8*IF(Table1[[#This Row],[CorrectWinnerPrediction]]=1, 1, 0))+(0.1*IF(Table1[[#This Row],[CorrectAwayScorePrediction]]=1, 1, 0))+(0.1*IF(Table1[[#This Row],[CorrectHomeScorePrediction]]=1, 1, 0))</f>
        <v>0</v>
      </c>
      <c r="X92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26" s="64">
        <f>SUMIF(Table1[GameDate], Table1[[#This Row],[GameDate]], Table1[AwayGameGoalDiff])</f>
        <v>0</v>
      </c>
      <c r="AA926" s="64">
        <f>SUMIF(Table1[GameDate], Table1[[#This Row],[GameDate]], Table1[HomeGameGoalDiff])</f>
        <v>0</v>
      </c>
      <c r="AB926" s="64">
        <f>IF(ISBLANK(Table1[[#This Row],[ActualResult]]), 0, 1)</f>
        <v>0</v>
      </c>
      <c r="AC926" s="64">
        <f>IF(ISBLANK(Table1[[#This Row],[ActualResult]]), 0, IF(Table1[[#This Row],[ActualWinner]]=Table1[[#This Row],[PredictedWinner]], 1, 0))</f>
        <v>0</v>
      </c>
      <c r="AD92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2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26" s="64">
        <f>IF(AND(Table1[[#This Row],[GameIsOver]]=1,Table1[[#This Row],[ActualAwayScore]]=0), 1,0)</f>
        <v>0</v>
      </c>
      <c r="AG926" s="64">
        <f>IF(AND(Table1[[#This Row],[GameIsOver]]=1,Table1[[#This Row],[ActualHomeScore]]=0), 1,0)</f>
        <v>0</v>
      </c>
      <c r="AH926" s="64">
        <f>IF(Table1[[#This Row],[GameIsOver]]=0,0,IF(Table1[[#This Row],[ActualWinner]]=Table1[[#This Row],[AwayTeam]], 1, 0))</f>
        <v>0</v>
      </c>
      <c r="AI926" s="64">
        <f>IF(Table1[[#This Row],[GameIsOver]]=0,0,IF(Table1[[#This Row],[ActualWinner]]=Table1[[#This Row],[HomeTeam]], 1, 0))</f>
        <v>0</v>
      </c>
      <c r="AJ926" s="64">
        <f>IF(INDEX(Standings!$A$2:$C$33,MATCH(Table1[[#This Row],[AwayTeam]],Standings!$A$2:$A$33,0),2)=INDEX(Standings!$A$2:$C$33,MATCH(Table1[[#This Row],[HomeTeam]],Standings!$A$2:$A$33,0),2),1,0)</f>
        <v>1</v>
      </c>
      <c r="AK926" s="64">
        <f>IF(INDEX(Standings!$A$2:$C$33,MATCH(Table1[[#This Row],[AwayTeam]],Standings!$A$2:$A$33,0),3)=INDEX(Standings!$A$2:$C$33,MATCH(Table1[[#This Row],[HomeTeam]],Standings!$A$2:$A$33,0),3),1,0)</f>
        <v>1</v>
      </c>
      <c r="AL926" s="64">
        <f>IF(Table1[[#This Row],[InterConf]]=1,IF(Table1[[#This Row],[InterDiv]]=0, 1, 0), 0)</f>
        <v>0</v>
      </c>
      <c r="AM926" s="64">
        <f>IF(INDEX(Standings!$A$2:$C$33,MATCH(Table1[[#This Row],[AwayTeam]],Standings!$A$2:$A$33,0),2)&lt;&gt;INDEX(Standings!$A$2:$C$33,MATCH(Table1[[#This Row],[HomeTeam]],Standings!$A$2:$A$33,0),2),1,0)</f>
        <v>0</v>
      </c>
      <c r="AN926" s="64" t="str">
        <f>INDEX(Table2[AWAY_RECORD], MATCH(Table1[[#This Row],[AwayTeam]],Table2[Team], 0), 0)</f>
        <v>0-0-0</v>
      </c>
      <c r="AO926" s="64" t="str">
        <f>INDEX(Records!$B$2:$AG$33, MATCH(Table1[[#This Row],[AwayTeam]],Records!$A$2:$A$33, 0), MATCH(Table1[[#This Row],[HomeTeam]],Records!$A$2:$A$33, 0))</f>
        <v>0-0-0</v>
      </c>
      <c r="AP926" s="64" t="str">
        <f>INDEX(Table2[HOME_RECORD], MATCH(Table1[[#This Row],[HomeTeam]],Table2[Team], 0), 0)</f>
        <v>0-0-1</v>
      </c>
      <c r="AQ926" s="64" t="str">
        <f>INDEX(Records!$B$2:$AG$33, MATCH(Table1[[#This Row],[HomeTeam]],Records!$A$2:$A$33, 0), MATCH(Table1[[#This Row],[AwayTeam]],Records!$A$2:$A$33, 0))</f>
        <v>0-0-0</v>
      </c>
    </row>
    <row r="927" spans="1:43" x14ac:dyDescent="0.25">
      <c r="A927" s="1"/>
      <c r="D927" t="s">
        <v>1241</v>
      </c>
      <c r="E927" t="s">
        <v>298</v>
      </c>
      <c r="F927" t="s">
        <v>1244</v>
      </c>
      <c r="G927" t="s">
        <v>61</v>
      </c>
      <c r="H927" t="s">
        <v>56</v>
      </c>
      <c r="L92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2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27" s="1"/>
      <c r="T927" s="64" t="str">
        <f>IF(Table1[[#This Row],[ActualWinner]]="", "", IF(Table1[[#This Row],[AwayTeam]]=Table1[[#This Row],[ActualWinner]],Table1[[#This Row],[HomeTeam]],Table1[[#This Row],[AwayTeam]]))</f>
        <v/>
      </c>
      <c r="U927" s="64">
        <f>Table1[[#This Row],[ActualAwayScore]]-Table1[[#This Row],[PredictedAwayScore]]</f>
        <v>0</v>
      </c>
      <c r="V927" s="64">
        <f>Table1[[#This Row],[ActualHomeScore]]-Table1[[#This Row],[PredictedHomeScore]]</f>
        <v>0</v>
      </c>
      <c r="W927" s="64">
        <f>(0.8*IF(Table1[[#This Row],[CorrectWinnerPrediction]]=1, 1, 0))+(0.1*IF(Table1[[#This Row],[CorrectAwayScorePrediction]]=1, 1, 0))+(0.1*IF(Table1[[#This Row],[CorrectHomeScorePrediction]]=1, 1, 0))</f>
        <v>0</v>
      </c>
      <c r="X92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27" s="64">
        <f>SUMIF(Table1[GameDate], Table1[[#This Row],[GameDate]], Table1[AwayGameGoalDiff])</f>
        <v>0</v>
      </c>
      <c r="AA927" s="64">
        <f>SUMIF(Table1[GameDate], Table1[[#This Row],[GameDate]], Table1[HomeGameGoalDiff])</f>
        <v>0</v>
      </c>
      <c r="AB927" s="64">
        <f>IF(ISBLANK(Table1[[#This Row],[ActualResult]]), 0, 1)</f>
        <v>0</v>
      </c>
      <c r="AC927" s="64">
        <f>IF(ISBLANK(Table1[[#This Row],[ActualResult]]), 0, IF(Table1[[#This Row],[ActualWinner]]=Table1[[#This Row],[PredictedWinner]], 1, 0))</f>
        <v>0</v>
      </c>
      <c r="AD92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2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27" s="64">
        <f>IF(AND(Table1[[#This Row],[GameIsOver]]=1,Table1[[#This Row],[ActualAwayScore]]=0), 1,0)</f>
        <v>0</v>
      </c>
      <c r="AG927" s="64">
        <f>IF(AND(Table1[[#This Row],[GameIsOver]]=1,Table1[[#This Row],[ActualHomeScore]]=0), 1,0)</f>
        <v>0</v>
      </c>
      <c r="AH927" s="64">
        <f>IF(Table1[[#This Row],[GameIsOver]]=0,0,IF(Table1[[#This Row],[ActualWinner]]=Table1[[#This Row],[AwayTeam]], 1, 0))</f>
        <v>0</v>
      </c>
      <c r="AI927" s="64">
        <f>IF(Table1[[#This Row],[GameIsOver]]=0,0,IF(Table1[[#This Row],[ActualWinner]]=Table1[[#This Row],[HomeTeam]], 1, 0))</f>
        <v>0</v>
      </c>
      <c r="AJ927" s="64">
        <f>IF(INDEX(Standings!$A$2:$C$33,MATCH(Table1[[#This Row],[AwayTeam]],Standings!$A$2:$A$33,0),2)=INDEX(Standings!$A$2:$C$33,MATCH(Table1[[#This Row],[HomeTeam]],Standings!$A$2:$A$33,0),2),1,0)</f>
        <v>1</v>
      </c>
      <c r="AK927" s="64">
        <f>IF(INDEX(Standings!$A$2:$C$33,MATCH(Table1[[#This Row],[AwayTeam]],Standings!$A$2:$A$33,0),3)=INDEX(Standings!$A$2:$C$33,MATCH(Table1[[#This Row],[HomeTeam]],Standings!$A$2:$A$33,0),3),1,0)</f>
        <v>0</v>
      </c>
      <c r="AL927" s="64">
        <f>IF(Table1[[#This Row],[InterConf]]=1,IF(Table1[[#This Row],[InterDiv]]=0, 1, 0), 0)</f>
        <v>1</v>
      </c>
      <c r="AM927" s="64">
        <f>IF(INDEX(Standings!$A$2:$C$33,MATCH(Table1[[#This Row],[AwayTeam]],Standings!$A$2:$A$33,0),2)&lt;&gt;INDEX(Standings!$A$2:$C$33,MATCH(Table1[[#This Row],[HomeTeam]],Standings!$A$2:$A$33,0),2),1,0)</f>
        <v>0</v>
      </c>
      <c r="AN927" s="64" t="str">
        <f>INDEX(Table2[AWAY_RECORD], MATCH(Table1[[#This Row],[AwayTeam]],Table2[Team], 0), 0)</f>
        <v>0-0-0</v>
      </c>
      <c r="AO927" s="64" t="str">
        <f>INDEX(Records!$B$2:$AG$33, MATCH(Table1[[#This Row],[AwayTeam]],Records!$A$2:$A$33, 0), MATCH(Table1[[#This Row],[HomeTeam]],Records!$A$2:$A$33, 0))</f>
        <v>0-0-0</v>
      </c>
      <c r="AP927" s="64" t="str">
        <f>INDEX(Table2[HOME_RECORD], MATCH(Table1[[#This Row],[HomeTeam]],Table2[Team], 0), 0)</f>
        <v>0-0-0</v>
      </c>
      <c r="AQ927" s="64" t="str">
        <f>INDEX(Records!$B$2:$AG$33, MATCH(Table1[[#This Row],[HomeTeam]],Records!$A$2:$A$33, 0), MATCH(Table1[[#This Row],[AwayTeam]],Records!$A$2:$A$33, 0))</f>
        <v>0-0-0</v>
      </c>
    </row>
    <row r="928" spans="1:43" x14ac:dyDescent="0.25">
      <c r="A928" s="1"/>
      <c r="D928" t="s">
        <v>1241</v>
      </c>
      <c r="E928" t="s">
        <v>432</v>
      </c>
      <c r="F928" t="s">
        <v>1245</v>
      </c>
      <c r="G928" t="s">
        <v>51</v>
      </c>
      <c r="H928" t="s">
        <v>47</v>
      </c>
      <c r="L92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2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28" s="1"/>
      <c r="T928" s="64" t="str">
        <f>IF(Table1[[#This Row],[ActualWinner]]="", "", IF(Table1[[#This Row],[AwayTeam]]=Table1[[#This Row],[ActualWinner]],Table1[[#This Row],[HomeTeam]],Table1[[#This Row],[AwayTeam]]))</f>
        <v/>
      </c>
      <c r="U928" s="64">
        <f>Table1[[#This Row],[ActualAwayScore]]-Table1[[#This Row],[PredictedAwayScore]]</f>
        <v>0</v>
      </c>
      <c r="V928" s="64">
        <f>Table1[[#This Row],[ActualHomeScore]]-Table1[[#This Row],[PredictedHomeScore]]</f>
        <v>0</v>
      </c>
      <c r="W928" s="64">
        <f>(0.8*IF(Table1[[#This Row],[CorrectWinnerPrediction]]=1, 1, 0))+(0.1*IF(Table1[[#This Row],[CorrectAwayScorePrediction]]=1, 1, 0))+(0.1*IF(Table1[[#This Row],[CorrectHomeScorePrediction]]=1, 1, 0))</f>
        <v>0</v>
      </c>
      <c r="X92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28" s="64">
        <f>SUMIF(Table1[GameDate], Table1[[#This Row],[GameDate]], Table1[AwayGameGoalDiff])</f>
        <v>0</v>
      </c>
      <c r="AA928" s="64">
        <f>SUMIF(Table1[GameDate], Table1[[#This Row],[GameDate]], Table1[HomeGameGoalDiff])</f>
        <v>0</v>
      </c>
      <c r="AB928" s="64">
        <f>IF(ISBLANK(Table1[[#This Row],[ActualResult]]), 0, 1)</f>
        <v>0</v>
      </c>
      <c r="AC928" s="64">
        <f>IF(ISBLANK(Table1[[#This Row],[ActualResult]]), 0, IF(Table1[[#This Row],[ActualWinner]]=Table1[[#This Row],[PredictedWinner]], 1, 0))</f>
        <v>0</v>
      </c>
      <c r="AD92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2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28" s="64">
        <f>IF(AND(Table1[[#This Row],[GameIsOver]]=1,Table1[[#This Row],[ActualAwayScore]]=0), 1,0)</f>
        <v>0</v>
      </c>
      <c r="AG928" s="64">
        <f>IF(AND(Table1[[#This Row],[GameIsOver]]=1,Table1[[#This Row],[ActualHomeScore]]=0), 1,0)</f>
        <v>0</v>
      </c>
      <c r="AH928" s="64">
        <f>IF(Table1[[#This Row],[GameIsOver]]=0,0,IF(Table1[[#This Row],[ActualWinner]]=Table1[[#This Row],[AwayTeam]], 1, 0))</f>
        <v>0</v>
      </c>
      <c r="AI928" s="64">
        <f>IF(Table1[[#This Row],[GameIsOver]]=0,0,IF(Table1[[#This Row],[ActualWinner]]=Table1[[#This Row],[HomeTeam]], 1, 0))</f>
        <v>0</v>
      </c>
      <c r="AJ928" s="64">
        <f>IF(INDEX(Standings!$A$2:$C$33,MATCH(Table1[[#This Row],[AwayTeam]],Standings!$A$2:$A$33,0),2)=INDEX(Standings!$A$2:$C$33,MATCH(Table1[[#This Row],[HomeTeam]],Standings!$A$2:$A$33,0),2),1,0)</f>
        <v>1</v>
      </c>
      <c r="AK928" s="64">
        <f>IF(INDEX(Standings!$A$2:$C$33,MATCH(Table1[[#This Row],[AwayTeam]],Standings!$A$2:$A$33,0),3)=INDEX(Standings!$A$2:$C$33,MATCH(Table1[[#This Row],[HomeTeam]],Standings!$A$2:$A$33,0),3),1,0)</f>
        <v>0</v>
      </c>
      <c r="AL928" s="64">
        <f>IF(Table1[[#This Row],[InterConf]]=1,IF(Table1[[#This Row],[InterDiv]]=0, 1, 0), 0)</f>
        <v>1</v>
      </c>
      <c r="AM928" s="64">
        <f>IF(INDEX(Standings!$A$2:$C$33,MATCH(Table1[[#This Row],[AwayTeam]],Standings!$A$2:$A$33,0),2)&lt;&gt;INDEX(Standings!$A$2:$C$33,MATCH(Table1[[#This Row],[HomeTeam]],Standings!$A$2:$A$33,0),2),1,0)</f>
        <v>0</v>
      </c>
      <c r="AN928" s="64" t="str">
        <f>INDEX(Table2[AWAY_RECORD], MATCH(Table1[[#This Row],[AwayTeam]],Table2[Team], 0), 0)</f>
        <v>2-0-0</v>
      </c>
      <c r="AO928" s="64" t="str">
        <f>INDEX(Records!$B$2:$AG$33, MATCH(Table1[[#This Row],[AwayTeam]],Records!$A$2:$A$33, 0), MATCH(Table1[[#This Row],[HomeTeam]],Records!$A$2:$A$33, 0))</f>
        <v>0-0-0</v>
      </c>
      <c r="AP928" s="64" t="str">
        <f>INDEX(Table2[HOME_RECORD], MATCH(Table1[[#This Row],[HomeTeam]],Table2[Team], 0), 0)</f>
        <v>0-0-0</v>
      </c>
      <c r="AQ928" s="64" t="str">
        <f>INDEX(Records!$B$2:$AG$33, MATCH(Table1[[#This Row],[HomeTeam]],Records!$A$2:$A$33, 0), MATCH(Table1[[#This Row],[AwayTeam]],Records!$A$2:$A$33, 0))</f>
        <v>0-0-0</v>
      </c>
    </row>
    <row r="929" spans="1:43" x14ac:dyDescent="0.25">
      <c r="A929" s="1"/>
      <c r="D929" t="s">
        <v>1241</v>
      </c>
      <c r="E929" t="s">
        <v>432</v>
      </c>
      <c r="F929" t="s">
        <v>1246</v>
      </c>
      <c r="G929" t="s">
        <v>58</v>
      </c>
      <c r="H929" t="s">
        <v>59</v>
      </c>
      <c r="L92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2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29" s="1"/>
      <c r="T929" s="64" t="str">
        <f>IF(Table1[[#This Row],[ActualWinner]]="", "", IF(Table1[[#This Row],[AwayTeam]]=Table1[[#This Row],[ActualWinner]],Table1[[#This Row],[HomeTeam]],Table1[[#This Row],[AwayTeam]]))</f>
        <v/>
      </c>
      <c r="U929" s="64">
        <f>Table1[[#This Row],[ActualAwayScore]]-Table1[[#This Row],[PredictedAwayScore]]</f>
        <v>0</v>
      </c>
      <c r="V929" s="64">
        <f>Table1[[#This Row],[ActualHomeScore]]-Table1[[#This Row],[PredictedHomeScore]]</f>
        <v>0</v>
      </c>
      <c r="W929" s="64">
        <f>(0.8*IF(Table1[[#This Row],[CorrectWinnerPrediction]]=1, 1, 0))+(0.1*IF(Table1[[#This Row],[CorrectAwayScorePrediction]]=1, 1, 0))+(0.1*IF(Table1[[#This Row],[CorrectHomeScorePrediction]]=1, 1, 0))</f>
        <v>0</v>
      </c>
      <c r="X92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29" s="64">
        <f>SUMIF(Table1[GameDate], Table1[[#This Row],[GameDate]], Table1[AwayGameGoalDiff])</f>
        <v>0</v>
      </c>
      <c r="AA929" s="64">
        <f>SUMIF(Table1[GameDate], Table1[[#This Row],[GameDate]], Table1[HomeGameGoalDiff])</f>
        <v>0</v>
      </c>
      <c r="AB929" s="64">
        <f>IF(ISBLANK(Table1[[#This Row],[ActualResult]]), 0, 1)</f>
        <v>0</v>
      </c>
      <c r="AC929" s="64">
        <f>IF(ISBLANK(Table1[[#This Row],[ActualResult]]), 0, IF(Table1[[#This Row],[ActualWinner]]=Table1[[#This Row],[PredictedWinner]], 1, 0))</f>
        <v>0</v>
      </c>
      <c r="AD92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2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29" s="64">
        <f>IF(AND(Table1[[#This Row],[GameIsOver]]=1,Table1[[#This Row],[ActualAwayScore]]=0), 1,0)</f>
        <v>0</v>
      </c>
      <c r="AG929" s="64">
        <f>IF(AND(Table1[[#This Row],[GameIsOver]]=1,Table1[[#This Row],[ActualHomeScore]]=0), 1,0)</f>
        <v>0</v>
      </c>
      <c r="AH929" s="64">
        <f>IF(Table1[[#This Row],[GameIsOver]]=0,0,IF(Table1[[#This Row],[ActualWinner]]=Table1[[#This Row],[AwayTeam]], 1, 0))</f>
        <v>0</v>
      </c>
      <c r="AI929" s="64">
        <f>IF(Table1[[#This Row],[GameIsOver]]=0,0,IF(Table1[[#This Row],[ActualWinner]]=Table1[[#This Row],[HomeTeam]], 1, 0))</f>
        <v>0</v>
      </c>
      <c r="AJ929" s="64">
        <f>IF(INDEX(Standings!$A$2:$C$33,MATCH(Table1[[#This Row],[AwayTeam]],Standings!$A$2:$A$33,0),2)=INDEX(Standings!$A$2:$C$33,MATCH(Table1[[#This Row],[HomeTeam]],Standings!$A$2:$A$33,0),2),1,0)</f>
        <v>0</v>
      </c>
      <c r="AK929" s="64">
        <f>IF(INDEX(Standings!$A$2:$C$33,MATCH(Table1[[#This Row],[AwayTeam]],Standings!$A$2:$A$33,0),3)=INDEX(Standings!$A$2:$C$33,MATCH(Table1[[#This Row],[HomeTeam]],Standings!$A$2:$A$33,0),3),1,0)</f>
        <v>0</v>
      </c>
      <c r="AL929" s="64">
        <f>IF(Table1[[#This Row],[InterConf]]=1,IF(Table1[[#This Row],[InterDiv]]=0, 1, 0), 0)</f>
        <v>0</v>
      </c>
      <c r="AM929" s="64">
        <f>IF(INDEX(Standings!$A$2:$C$33,MATCH(Table1[[#This Row],[AwayTeam]],Standings!$A$2:$A$33,0),2)&lt;&gt;INDEX(Standings!$A$2:$C$33,MATCH(Table1[[#This Row],[HomeTeam]],Standings!$A$2:$A$33,0),2),1,0)</f>
        <v>1</v>
      </c>
      <c r="AN929" s="64" t="str">
        <f>INDEX(Table2[AWAY_RECORD], MATCH(Table1[[#This Row],[AwayTeam]],Table2[Team], 0), 0)</f>
        <v>0-0-0</v>
      </c>
      <c r="AO929" s="64" t="str">
        <f>INDEX(Records!$B$2:$AG$33, MATCH(Table1[[#This Row],[AwayTeam]],Records!$A$2:$A$33, 0), MATCH(Table1[[#This Row],[HomeTeam]],Records!$A$2:$A$33, 0))</f>
        <v>0-0-0</v>
      </c>
      <c r="AP929" s="64" t="str">
        <f>INDEX(Table2[HOME_RECORD], MATCH(Table1[[#This Row],[HomeTeam]],Table2[Team], 0), 0)</f>
        <v>0-0-0</v>
      </c>
      <c r="AQ929" s="64" t="str">
        <f>INDEX(Records!$B$2:$AG$33, MATCH(Table1[[#This Row],[HomeTeam]],Records!$A$2:$A$33, 0), MATCH(Table1[[#This Row],[AwayTeam]],Records!$A$2:$A$33, 0))</f>
        <v>0-0-0</v>
      </c>
    </row>
    <row r="930" spans="1:43" x14ac:dyDescent="0.25">
      <c r="A930" s="1"/>
      <c r="D930" t="s">
        <v>1247</v>
      </c>
      <c r="E930" t="s">
        <v>487</v>
      </c>
      <c r="F930" t="s">
        <v>1248</v>
      </c>
      <c r="G930" t="s">
        <v>36</v>
      </c>
      <c r="H930" t="s">
        <v>37</v>
      </c>
      <c r="L93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3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30" s="1"/>
      <c r="T930" s="64" t="str">
        <f>IF(Table1[[#This Row],[ActualWinner]]="", "", IF(Table1[[#This Row],[AwayTeam]]=Table1[[#This Row],[ActualWinner]],Table1[[#This Row],[HomeTeam]],Table1[[#This Row],[AwayTeam]]))</f>
        <v/>
      </c>
      <c r="U930" s="64">
        <f>Table1[[#This Row],[ActualAwayScore]]-Table1[[#This Row],[PredictedAwayScore]]</f>
        <v>0</v>
      </c>
      <c r="V930" s="64">
        <f>Table1[[#This Row],[ActualHomeScore]]-Table1[[#This Row],[PredictedHomeScore]]</f>
        <v>0</v>
      </c>
      <c r="W930" s="64">
        <f>(0.8*IF(Table1[[#This Row],[CorrectWinnerPrediction]]=1, 1, 0))+(0.1*IF(Table1[[#This Row],[CorrectAwayScorePrediction]]=1, 1, 0))+(0.1*IF(Table1[[#This Row],[CorrectHomeScorePrediction]]=1, 1, 0))</f>
        <v>0</v>
      </c>
      <c r="X93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30" s="64">
        <f>SUMIF(Table1[GameDate], Table1[[#This Row],[GameDate]], Table1[AwayGameGoalDiff])</f>
        <v>0</v>
      </c>
      <c r="AA930" s="64">
        <f>SUMIF(Table1[GameDate], Table1[[#This Row],[GameDate]], Table1[HomeGameGoalDiff])</f>
        <v>0</v>
      </c>
      <c r="AB930" s="64">
        <f>IF(ISBLANK(Table1[[#This Row],[ActualResult]]), 0, 1)</f>
        <v>0</v>
      </c>
      <c r="AC930" s="64">
        <f>IF(ISBLANK(Table1[[#This Row],[ActualResult]]), 0, IF(Table1[[#This Row],[ActualWinner]]=Table1[[#This Row],[PredictedWinner]], 1, 0))</f>
        <v>0</v>
      </c>
      <c r="AD93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3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30" s="64">
        <f>IF(AND(Table1[[#This Row],[GameIsOver]]=1,Table1[[#This Row],[ActualAwayScore]]=0), 1,0)</f>
        <v>0</v>
      </c>
      <c r="AG930" s="64">
        <f>IF(AND(Table1[[#This Row],[GameIsOver]]=1,Table1[[#This Row],[ActualHomeScore]]=0), 1,0)</f>
        <v>0</v>
      </c>
      <c r="AH930" s="64">
        <f>IF(Table1[[#This Row],[GameIsOver]]=0,0,IF(Table1[[#This Row],[ActualWinner]]=Table1[[#This Row],[AwayTeam]], 1, 0))</f>
        <v>0</v>
      </c>
      <c r="AI930" s="64">
        <f>IF(Table1[[#This Row],[GameIsOver]]=0,0,IF(Table1[[#This Row],[ActualWinner]]=Table1[[#This Row],[HomeTeam]], 1, 0))</f>
        <v>0</v>
      </c>
      <c r="AJ930" s="64">
        <f>IF(INDEX(Standings!$A$2:$C$33,MATCH(Table1[[#This Row],[AwayTeam]],Standings!$A$2:$A$33,0),2)=INDEX(Standings!$A$2:$C$33,MATCH(Table1[[#This Row],[HomeTeam]],Standings!$A$2:$A$33,0),2),1,0)</f>
        <v>0</v>
      </c>
      <c r="AK930" s="64">
        <f>IF(INDEX(Standings!$A$2:$C$33,MATCH(Table1[[#This Row],[AwayTeam]],Standings!$A$2:$A$33,0),3)=INDEX(Standings!$A$2:$C$33,MATCH(Table1[[#This Row],[HomeTeam]],Standings!$A$2:$A$33,0),3),1,0)</f>
        <v>0</v>
      </c>
      <c r="AL930" s="64">
        <f>IF(Table1[[#This Row],[InterConf]]=1,IF(Table1[[#This Row],[InterDiv]]=0, 1, 0), 0)</f>
        <v>0</v>
      </c>
      <c r="AM930" s="64">
        <f>IF(INDEX(Standings!$A$2:$C$33,MATCH(Table1[[#This Row],[AwayTeam]],Standings!$A$2:$A$33,0),2)&lt;&gt;INDEX(Standings!$A$2:$C$33,MATCH(Table1[[#This Row],[HomeTeam]],Standings!$A$2:$A$33,0),2),1,0)</f>
        <v>1</v>
      </c>
      <c r="AN930" s="64" t="str">
        <f>INDEX(Table2[AWAY_RECORD], MATCH(Table1[[#This Row],[AwayTeam]],Table2[Team], 0), 0)</f>
        <v>0-0-0</v>
      </c>
      <c r="AO930" s="64" t="str">
        <f>INDEX(Records!$B$2:$AG$33, MATCH(Table1[[#This Row],[AwayTeam]],Records!$A$2:$A$33, 0), MATCH(Table1[[#This Row],[HomeTeam]],Records!$A$2:$A$33, 0))</f>
        <v>0-0-0</v>
      </c>
      <c r="AP930" s="64" t="str">
        <f>INDEX(Table2[HOME_RECORD], MATCH(Table1[[#This Row],[HomeTeam]],Table2[Team], 0), 0)</f>
        <v>0-1-0</v>
      </c>
      <c r="AQ930" s="64" t="str">
        <f>INDEX(Records!$B$2:$AG$33, MATCH(Table1[[#This Row],[HomeTeam]],Records!$A$2:$A$33, 0), MATCH(Table1[[#This Row],[AwayTeam]],Records!$A$2:$A$33, 0))</f>
        <v>0-0-0</v>
      </c>
    </row>
    <row r="931" spans="1:43" x14ac:dyDescent="0.25">
      <c r="A931" s="1"/>
      <c r="D931" t="s">
        <v>1247</v>
      </c>
      <c r="E931" t="s">
        <v>252</v>
      </c>
      <c r="F931" t="s">
        <v>1249</v>
      </c>
      <c r="G931" t="s">
        <v>58</v>
      </c>
      <c r="H931" t="s">
        <v>50</v>
      </c>
      <c r="L93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3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31" s="1"/>
      <c r="T931" s="64" t="str">
        <f>IF(Table1[[#This Row],[ActualWinner]]="", "", IF(Table1[[#This Row],[AwayTeam]]=Table1[[#This Row],[ActualWinner]],Table1[[#This Row],[HomeTeam]],Table1[[#This Row],[AwayTeam]]))</f>
        <v/>
      </c>
      <c r="U931" s="64">
        <f>Table1[[#This Row],[ActualAwayScore]]-Table1[[#This Row],[PredictedAwayScore]]</f>
        <v>0</v>
      </c>
      <c r="V931" s="64">
        <f>Table1[[#This Row],[ActualHomeScore]]-Table1[[#This Row],[PredictedHomeScore]]</f>
        <v>0</v>
      </c>
      <c r="W931" s="64">
        <f>(0.8*IF(Table1[[#This Row],[CorrectWinnerPrediction]]=1, 1, 0))+(0.1*IF(Table1[[#This Row],[CorrectAwayScorePrediction]]=1, 1, 0))+(0.1*IF(Table1[[#This Row],[CorrectHomeScorePrediction]]=1, 1, 0))</f>
        <v>0</v>
      </c>
      <c r="X93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31" s="64">
        <f>SUMIF(Table1[GameDate], Table1[[#This Row],[GameDate]], Table1[AwayGameGoalDiff])</f>
        <v>0</v>
      </c>
      <c r="AA931" s="64">
        <f>SUMIF(Table1[GameDate], Table1[[#This Row],[GameDate]], Table1[HomeGameGoalDiff])</f>
        <v>0</v>
      </c>
      <c r="AB931" s="64">
        <f>IF(ISBLANK(Table1[[#This Row],[ActualResult]]), 0, 1)</f>
        <v>0</v>
      </c>
      <c r="AC931" s="64">
        <f>IF(ISBLANK(Table1[[#This Row],[ActualResult]]), 0, IF(Table1[[#This Row],[ActualWinner]]=Table1[[#This Row],[PredictedWinner]], 1, 0))</f>
        <v>0</v>
      </c>
      <c r="AD93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3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31" s="64">
        <f>IF(AND(Table1[[#This Row],[GameIsOver]]=1,Table1[[#This Row],[ActualAwayScore]]=0), 1,0)</f>
        <v>0</v>
      </c>
      <c r="AG931" s="64">
        <f>IF(AND(Table1[[#This Row],[GameIsOver]]=1,Table1[[#This Row],[ActualHomeScore]]=0), 1,0)</f>
        <v>0</v>
      </c>
      <c r="AH931" s="64">
        <f>IF(Table1[[#This Row],[GameIsOver]]=0,0,IF(Table1[[#This Row],[ActualWinner]]=Table1[[#This Row],[AwayTeam]], 1, 0))</f>
        <v>0</v>
      </c>
      <c r="AI931" s="64">
        <f>IF(Table1[[#This Row],[GameIsOver]]=0,0,IF(Table1[[#This Row],[ActualWinner]]=Table1[[#This Row],[HomeTeam]], 1, 0))</f>
        <v>0</v>
      </c>
      <c r="AJ931" s="64">
        <f>IF(INDEX(Standings!$A$2:$C$33,MATCH(Table1[[#This Row],[AwayTeam]],Standings!$A$2:$A$33,0),2)=INDEX(Standings!$A$2:$C$33,MATCH(Table1[[#This Row],[HomeTeam]],Standings!$A$2:$A$33,0),2),1,0)</f>
        <v>0</v>
      </c>
      <c r="AK931" s="64">
        <f>IF(INDEX(Standings!$A$2:$C$33,MATCH(Table1[[#This Row],[AwayTeam]],Standings!$A$2:$A$33,0),3)=INDEX(Standings!$A$2:$C$33,MATCH(Table1[[#This Row],[HomeTeam]],Standings!$A$2:$A$33,0),3),1,0)</f>
        <v>0</v>
      </c>
      <c r="AL931" s="64">
        <f>IF(Table1[[#This Row],[InterConf]]=1,IF(Table1[[#This Row],[InterDiv]]=0, 1, 0), 0)</f>
        <v>0</v>
      </c>
      <c r="AM931" s="64">
        <f>IF(INDEX(Standings!$A$2:$C$33,MATCH(Table1[[#This Row],[AwayTeam]],Standings!$A$2:$A$33,0),2)&lt;&gt;INDEX(Standings!$A$2:$C$33,MATCH(Table1[[#This Row],[HomeTeam]],Standings!$A$2:$A$33,0),2),1,0)</f>
        <v>1</v>
      </c>
      <c r="AN931" s="64" t="str">
        <f>INDEX(Table2[AWAY_RECORD], MATCH(Table1[[#This Row],[AwayTeam]],Table2[Team], 0), 0)</f>
        <v>0-0-0</v>
      </c>
      <c r="AO931" s="64" t="str">
        <f>INDEX(Records!$B$2:$AG$33, MATCH(Table1[[#This Row],[AwayTeam]],Records!$A$2:$A$33, 0), MATCH(Table1[[#This Row],[HomeTeam]],Records!$A$2:$A$33, 0))</f>
        <v>0-0-0</v>
      </c>
      <c r="AP931" s="64" t="str">
        <f>INDEX(Table2[HOME_RECORD], MATCH(Table1[[#This Row],[HomeTeam]],Table2[Team], 0), 0)</f>
        <v>0-0-0</v>
      </c>
      <c r="AQ931" s="64" t="str">
        <f>INDEX(Records!$B$2:$AG$33, MATCH(Table1[[#This Row],[HomeTeam]],Records!$A$2:$A$33, 0), MATCH(Table1[[#This Row],[AwayTeam]],Records!$A$2:$A$33, 0))</f>
        <v>0-0-0</v>
      </c>
    </row>
    <row r="932" spans="1:43" x14ac:dyDescent="0.25">
      <c r="A932" s="1"/>
      <c r="D932" t="s">
        <v>1247</v>
      </c>
      <c r="E932" t="s">
        <v>252</v>
      </c>
      <c r="F932" t="s">
        <v>1250</v>
      </c>
      <c r="G932" t="s">
        <v>38</v>
      </c>
      <c r="H932" t="s">
        <v>51</v>
      </c>
      <c r="L93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3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32" s="1"/>
      <c r="T932" s="64" t="str">
        <f>IF(Table1[[#This Row],[ActualWinner]]="", "", IF(Table1[[#This Row],[AwayTeam]]=Table1[[#This Row],[ActualWinner]],Table1[[#This Row],[HomeTeam]],Table1[[#This Row],[AwayTeam]]))</f>
        <v/>
      </c>
      <c r="U932" s="64">
        <f>Table1[[#This Row],[ActualAwayScore]]-Table1[[#This Row],[PredictedAwayScore]]</f>
        <v>0</v>
      </c>
      <c r="V932" s="64">
        <f>Table1[[#This Row],[ActualHomeScore]]-Table1[[#This Row],[PredictedHomeScore]]</f>
        <v>0</v>
      </c>
      <c r="W932" s="64">
        <f>(0.8*IF(Table1[[#This Row],[CorrectWinnerPrediction]]=1, 1, 0))+(0.1*IF(Table1[[#This Row],[CorrectAwayScorePrediction]]=1, 1, 0))+(0.1*IF(Table1[[#This Row],[CorrectHomeScorePrediction]]=1, 1, 0))</f>
        <v>0</v>
      </c>
      <c r="X93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32" s="64">
        <f>SUMIF(Table1[GameDate], Table1[[#This Row],[GameDate]], Table1[AwayGameGoalDiff])</f>
        <v>0</v>
      </c>
      <c r="AA932" s="64">
        <f>SUMIF(Table1[GameDate], Table1[[#This Row],[GameDate]], Table1[HomeGameGoalDiff])</f>
        <v>0</v>
      </c>
      <c r="AB932" s="64">
        <f>IF(ISBLANK(Table1[[#This Row],[ActualResult]]), 0, 1)</f>
        <v>0</v>
      </c>
      <c r="AC932" s="64">
        <f>IF(ISBLANK(Table1[[#This Row],[ActualResult]]), 0, IF(Table1[[#This Row],[ActualWinner]]=Table1[[#This Row],[PredictedWinner]], 1, 0))</f>
        <v>0</v>
      </c>
      <c r="AD93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3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32" s="64">
        <f>IF(AND(Table1[[#This Row],[GameIsOver]]=1,Table1[[#This Row],[ActualAwayScore]]=0), 1,0)</f>
        <v>0</v>
      </c>
      <c r="AG932" s="64">
        <f>IF(AND(Table1[[#This Row],[GameIsOver]]=1,Table1[[#This Row],[ActualHomeScore]]=0), 1,0)</f>
        <v>0</v>
      </c>
      <c r="AH932" s="64">
        <f>IF(Table1[[#This Row],[GameIsOver]]=0,0,IF(Table1[[#This Row],[ActualWinner]]=Table1[[#This Row],[AwayTeam]], 1, 0))</f>
        <v>0</v>
      </c>
      <c r="AI932" s="64">
        <f>IF(Table1[[#This Row],[GameIsOver]]=0,0,IF(Table1[[#This Row],[ActualWinner]]=Table1[[#This Row],[HomeTeam]], 1, 0))</f>
        <v>0</v>
      </c>
      <c r="AJ932" s="64">
        <f>IF(INDEX(Standings!$A$2:$C$33,MATCH(Table1[[#This Row],[AwayTeam]],Standings!$A$2:$A$33,0),2)=INDEX(Standings!$A$2:$C$33,MATCH(Table1[[#This Row],[HomeTeam]],Standings!$A$2:$A$33,0),2),1,0)</f>
        <v>1</v>
      </c>
      <c r="AK932" s="64">
        <f>IF(INDEX(Standings!$A$2:$C$33,MATCH(Table1[[#This Row],[AwayTeam]],Standings!$A$2:$A$33,0),3)=INDEX(Standings!$A$2:$C$33,MATCH(Table1[[#This Row],[HomeTeam]],Standings!$A$2:$A$33,0),3),1,0)</f>
        <v>0</v>
      </c>
      <c r="AL932" s="64">
        <f>IF(Table1[[#This Row],[InterConf]]=1,IF(Table1[[#This Row],[InterDiv]]=0, 1, 0), 0)</f>
        <v>1</v>
      </c>
      <c r="AM932" s="64">
        <f>IF(INDEX(Standings!$A$2:$C$33,MATCH(Table1[[#This Row],[AwayTeam]],Standings!$A$2:$A$33,0),2)&lt;&gt;INDEX(Standings!$A$2:$C$33,MATCH(Table1[[#This Row],[HomeTeam]],Standings!$A$2:$A$33,0),2),1,0)</f>
        <v>0</v>
      </c>
      <c r="AN932" s="64" t="str">
        <f>INDEX(Table2[AWAY_RECORD], MATCH(Table1[[#This Row],[AwayTeam]],Table2[Team], 0), 0)</f>
        <v>0-0-1</v>
      </c>
      <c r="AO932" s="64" t="str">
        <f>INDEX(Records!$B$2:$AG$33, MATCH(Table1[[#This Row],[AwayTeam]],Records!$A$2:$A$33, 0), MATCH(Table1[[#This Row],[HomeTeam]],Records!$A$2:$A$33, 0))</f>
        <v>0-0-0</v>
      </c>
      <c r="AP932" s="64" t="str">
        <f>INDEX(Table2[HOME_RECORD], MATCH(Table1[[#This Row],[HomeTeam]],Table2[Team], 0), 0)</f>
        <v>1-0-0</v>
      </c>
      <c r="AQ932" s="64" t="str">
        <f>INDEX(Records!$B$2:$AG$33, MATCH(Table1[[#This Row],[HomeTeam]],Records!$A$2:$A$33, 0), MATCH(Table1[[#This Row],[AwayTeam]],Records!$A$2:$A$33, 0))</f>
        <v>0-0-0</v>
      </c>
    </row>
    <row r="933" spans="1:43" x14ac:dyDescent="0.25">
      <c r="A933" s="1"/>
      <c r="D933" t="s">
        <v>1247</v>
      </c>
      <c r="E933" t="s">
        <v>252</v>
      </c>
      <c r="F933" t="s">
        <v>1251</v>
      </c>
      <c r="G933" t="s">
        <v>42</v>
      </c>
      <c r="H933" t="s">
        <v>41</v>
      </c>
      <c r="L93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3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33" s="1"/>
      <c r="T933" s="64" t="str">
        <f>IF(Table1[[#This Row],[ActualWinner]]="", "", IF(Table1[[#This Row],[AwayTeam]]=Table1[[#This Row],[ActualWinner]],Table1[[#This Row],[HomeTeam]],Table1[[#This Row],[AwayTeam]]))</f>
        <v/>
      </c>
      <c r="U933" s="64">
        <f>Table1[[#This Row],[ActualAwayScore]]-Table1[[#This Row],[PredictedAwayScore]]</f>
        <v>0</v>
      </c>
      <c r="V933" s="64">
        <f>Table1[[#This Row],[ActualHomeScore]]-Table1[[#This Row],[PredictedHomeScore]]</f>
        <v>0</v>
      </c>
      <c r="W933" s="64">
        <f>(0.8*IF(Table1[[#This Row],[CorrectWinnerPrediction]]=1, 1, 0))+(0.1*IF(Table1[[#This Row],[CorrectAwayScorePrediction]]=1, 1, 0))+(0.1*IF(Table1[[#This Row],[CorrectHomeScorePrediction]]=1, 1, 0))</f>
        <v>0</v>
      </c>
      <c r="X93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33" s="64">
        <f>SUMIF(Table1[GameDate], Table1[[#This Row],[GameDate]], Table1[AwayGameGoalDiff])</f>
        <v>0</v>
      </c>
      <c r="AA933" s="64">
        <f>SUMIF(Table1[GameDate], Table1[[#This Row],[GameDate]], Table1[HomeGameGoalDiff])</f>
        <v>0</v>
      </c>
      <c r="AB933" s="64">
        <f>IF(ISBLANK(Table1[[#This Row],[ActualResult]]), 0, 1)</f>
        <v>0</v>
      </c>
      <c r="AC933" s="64">
        <f>IF(ISBLANK(Table1[[#This Row],[ActualResult]]), 0, IF(Table1[[#This Row],[ActualWinner]]=Table1[[#This Row],[PredictedWinner]], 1, 0))</f>
        <v>0</v>
      </c>
      <c r="AD93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3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33" s="64">
        <f>IF(AND(Table1[[#This Row],[GameIsOver]]=1,Table1[[#This Row],[ActualAwayScore]]=0), 1,0)</f>
        <v>0</v>
      </c>
      <c r="AG933" s="64">
        <f>IF(AND(Table1[[#This Row],[GameIsOver]]=1,Table1[[#This Row],[ActualHomeScore]]=0), 1,0)</f>
        <v>0</v>
      </c>
      <c r="AH933" s="64">
        <f>IF(Table1[[#This Row],[GameIsOver]]=0,0,IF(Table1[[#This Row],[ActualWinner]]=Table1[[#This Row],[AwayTeam]], 1, 0))</f>
        <v>0</v>
      </c>
      <c r="AI933" s="64">
        <f>IF(Table1[[#This Row],[GameIsOver]]=0,0,IF(Table1[[#This Row],[ActualWinner]]=Table1[[#This Row],[HomeTeam]], 1, 0))</f>
        <v>0</v>
      </c>
      <c r="AJ933" s="64">
        <f>IF(INDEX(Standings!$A$2:$C$33,MATCH(Table1[[#This Row],[AwayTeam]],Standings!$A$2:$A$33,0),2)=INDEX(Standings!$A$2:$C$33,MATCH(Table1[[#This Row],[HomeTeam]],Standings!$A$2:$A$33,0),2),1,0)</f>
        <v>0</v>
      </c>
      <c r="AK933" s="64">
        <f>IF(INDEX(Standings!$A$2:$C$33,MATCH(Table1[[#This Row],[AwayTeam]],Standings!$A$2:$A$33,0),3)=INDEX(Standings!$A$2:$C$33,MATCH(Table1[[#This Row],[HomeTeam]],Standings!$A$2:$A$33,0),3),1,0)</f>
        <v>0</v>
      </c>
      <c r="AL933" s="64">
        <f>IF(Table1[[#This Row],[InterConf]]=1,IF(Table1[[#This Row],[InterDiv]]=0, 1, 0), 0)</f>
        <v>0</v>
      </c>
      <c r="AM933" s="64">
        <f>IF(INDEX(Standings!$A$2:$C$33,MATCH(Table1[[#This Row],[AwayTeam]],Standings!$A$2:$A$33,0),2)&lt;&gt;INDEX(Standings!$A$2:$C$33,MATCH(Table1[[#This Row],[HomeTeam]],Standings!$A$2:$A$33,0),2),1,0)</f>
        <v>1</v>
      </c>
      <c r="AN933" s="64" t="str">
        <f>INDEX(Table2[AWAY_RECORD], MATCH(Table1[[#This Row],[AwayTeam]],Table2[Team], 0), 0)</f>
        <v>0-0-0</v>
      </c>
      <c r="AO933" s="64" t="str">
        <f>INDEX(Records!$B$2:$AG$33, MATCH(Table1[[#This Row],[AwayTeam]],Records!$A$2:$A$33, 0), MATCH(Table1[[#This Row],[HomeTeam]],Records!$A$2:$A$33, 0))</f>
        <v>0-0-0</v>
      </c>
      <c r="AP933" s="64" t="str">
        <f>INDEX(Table2[HOME_RECORD], MATCH(Table1[[#This Row],[HomeTeam]],Table2[Team], 0), 0)</f>
        <v>0-0-1</v>
      </c>
      <c r="AQ933" s="64" t="str">
        <f>INDEX(Records!$B$2:$AG$33, MATCH(Table1[[#This Row],[HomeTeam]],Records!$A$2:$A$33, 0), MATCH(Table1[[#This Row],[AwayTeam]],Records!$A$2:$A$33, 0))</f>
        <v>0-0-0</v>
      </c>
    </row>
    <row r="934" spans="1:43" x14ac:dyDescent="0.25">
      <c r="A934" s="1"/>
      <c r="D934" t="s">
        <v>1247</v>
      </c>
      <c r="E934" t="s">
        <v>158</v>
      </c>
      <c r="F934" t="s">
        <v>1252</v>
      </c>
      <c r="G934" t="s">
        <v>54</v>
      </c>
      <c r="H934" t="s">
        <v>56</v>
      </c>
      <c r="L93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3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34" s="1"/>
      <c r="T934" s="64" t="str">
        <f>IF(Table1[[#This Row],[ActualWinner]]="", "", IF(Table1[[#This Row],[AwayTeam]]=Table1[[#This Row],[ActualWinner]],Table1[[#This Row],[HomeTeam]],Table1[[#This Row],[AwayTeam]]))</f>
        <v/>
      </c>
      <c r="U934" s="64">
        <f>Table1[[#This Row],[ActualAwayScore]]-Table1[[#This Row],[PredictedAwayScore]]</f>
        <v>0</v>
      </c>
      <c r="V934" s="64">
        <f>Table1[[#This Row],[ActualHomeScore]]-Table1[[#This Row],[PredictedHomeScore]]</f>
        <v>0</v>
      </c>
      <c r="W934" s="64">
        <f>(0.8*IF(Table1[[#This Row],[CorrectWinnerPrediction]]=1, 1, 0))+(0.1*IF(Table1[[#This Row],[CorrectAwayScorePrediction]]=1, 1, 0))+(0.1*IF(Table1[[#This Row],[CorrectHomeScorePrediction]]=1, 1, 0))</f>
        <v>0</v>
      </c>
      <c r="X93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34" s="64">
        <f>SUMIF(Table1[GameDate], Table1[[#This Row],[GameDate]], Table1[AwayGameGoalDiff])</f>
        <v>0</v>
      </c>
      <c r="AA934" s="64">
        <f>SUMIF(Table1[GameDate], Table1[[#This Row],[GameDate]], Table1[HomeGameGoalDiff])</f>
        <v>0</v>
      </c>
      <c r="AB934" s="64">
        <f>IF(ISBLANK(Table1[[#This Row],[ActualResult]]), 0, 1)</f>
        <v>0</v>
      </c>
      <c r="AC934" s="64">
        <f>IF(ISBLANK(Table1[[#This Row],[ActualResult]]), 0, IF(Table1[[#This Row],[ActualWinner]]=Table1[[#This Row],[PredictedWinner]], 1, 0))</f>
        <v>0</v>
      </c>
      <c r="AD93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3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34" s="64">
        <f>IF(AND(Table1[[#This Row],[GameIsOver]]=1,Table1[[#This Row],[ActualAwayScore]]=0), 1,0)</f>
        <v>0</v>
      </c>
      <c r="AG934" s="64">
        <f>IF(AND(Table1[[#This Row],[GameIsOver]]=1,Table1[[#This Row],[ActualHomeScore]]=0), 1,0)</f>
        <v>0</v>
      </c>
      <c r="AH934" s="64">
        <f>IF(Table1[[#This Row],[GameIsOver]]=0,0,IF(Table1[[#This Row],[ActualWinner]]=Table1[[#This Row],[AwayTeam]], 1, 0))</f>
        <v>0</v>
      </c>
      <c r="AI934" s="64">
        <f>IF(Table1[[#This Row],[GameIsOver]]=0,0,IF(Table1[[#This Row],[ActualWinner]]=Table1[[#This Row],[HomeTeam]], 1, 0))</f>
        <v>0</v>
      </c>
      <c r="AJ934" s="64">
        <f>IF(INDEX(Standings!$A$2:$C$33,MATCH(Table1[[#This Row],[AwayTeam]],Standings!$A$2:$A$33,0),2)=INDEX(Standings!$A$2:$C$33,MATCH(Table1[[#This Row],[HomeTeam]],Standings!$A$2:$A$33,0),2),1,0)</f>
        <v>0</v>
      </c>
      <c r="AK934" s="64">
        <f>IF(INDEX(Standings!$A$2:$C$33,MATCH(Table1[[#This Row],[AwayTeam]],Standings!$A$2:$A$33,0),3)=INDEX(Standings!$A$2:$C$33,MATCH(Table1[[#This Row],[HomeTeam]],Standings!$A$2:$A$33,0),3),1,0)</f>
        <v>0</v>
      </c>
      <c r="AL934" s="64">
        <f>IF(Table1[[#This Row],[InterConf]]=1,IF(Table1[[#This Row],[InterDiv]]=0, 1, 0), 0)</f>
        <v>0</v>
      </c>
      <c r="AM934" s="64">
        <f>IF(INDEX(Standings!$A$2:$C$33,MATCH(Table1[[#This Row],[AwayTeam]],Standings!$A$2:$A$33,0),2)&lt;&gt;INDEX(Standings!$A$2:$C$33,MATCH(Table1[[#This Row],[HomeTeam]],Standings!$A$2:$A$33,0),2),1,0)</f>
        <v>1</v>
      </c>
      <c r="AN934" s="64" t="str">
        <f>INDEX(Table2[AWAY_RECORD], MATCH(Table1[[#This Row],[AwayTeam]],Table2[Team], 0), 0)</f>
        <v>0-0-1</v>
      </c>
      <c r="AO934" s="64" t="str">
        <f>INDEX(Records!$B$2:$AG$33, MATCH(Table1[[#This Row],[AwayTeam]],Records!$A$2:$A$33, 0), MATCH(Table1[[#This Row],[HomeTeam]],Records!$A$2:$A$33, 0))</f>
        <v>0-0-0</v>
      </c>
      <c r="AP934" s="64" t="str">
        <f>INDEX(Table2[HOME_RECORD], MATCH(Table1[[#This Row],[HomeTeam]],Table2[Team], 0), 0)</f>
        <v>0-0-0</v>
      </c>
      <c r="AQ934" s="64" t="str">
        <f>INDEX(Records!$B$2:$AG$33, MATCH(Table1[[#This Row],[HomeTeam]],Records!$A$2:$A$33, 0), MATCH(Table1[[#This Row],[AwayTeam]],Records!$A$2:$A$33, 0))</f>
        <v>0-0-0</v>
      </c>
    </row>
    <row r="935" spans="1:43" x14ac:dyDescent="0.25">
      <c r="A935" s="1"/>
      <c r="D935" t="s">
        <v>1247</v>
      </c>
      <c r="E935" t="s">
        <v>289</v>
      </c>
      <c r="F935" t="s">
        <v>1253</v>
      </c>
      <c r="G935" t="s">
        <v>52</v>
      </c>
      <c r="H935" t="s">
        <v>22</v>
      </c>
      <c r="L93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3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35" s="1"/>
      <c r="T935" s="64" t="str">
        <f>IF(Table1[[#This Row],[ActualWinner]]="", "", IF(Table1[[#This Row],[AwayTeam]]=Table1[[#This Row],[ActualWinner]],Table1[[#This Row],[HomeTeam]],Table1[[#This Row],[AwayTeam]]))</f>
        <v/>
      </c>
      <c r="U935" s="64">
        <f>Table1[[#This Row],[ActualAwayScore]]-Table1[[#This Row],[PredictedAwayScore]]</f>
        <v>0</v>
      </c>
      <c r="V935" s="64">
        <f>Table1[[#This Row],[ActualHomeScore]]-Table1[[#This Row],[PredictedHomeScore]]</f>
        <v>0</v>
      </c>
      <c r="W935" s="64">
        <f>(0.8*IF(Table1[[#This Row],[CorrectWinnerPrediction]]=1, 1, 0))+(0.1*IF(Table1[[#This Row],[CorrectAwayScorePrediction]]=1, 1, 0))+(0.1*IF(Table1[[#This Row],[CorrectHomeScorePrediction]]=1, 1, 0))</f>
        <v>0</v>
      </c>
      <c r="X93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35" s="64">
        <f>SUMIF(Table1[GameDate], Table1[[#This Row],[GameDate]], Table1[AwayGameGoalDiff])</f>
        <v>0</v>
      </c>
      <c r="AA935" s="64">
        <f>SUMIF(Table1[GameDate], Table1[[#This Row],[GameDate]], Table1[HomeGameGoalDiff])</f>
        <v>0</v>
      </c>
      <c r="AB935" s="64">
        <f>IF(ISBLANK(Table1[[#This Row],[ActualResult]]), 0, 1)</f>
        <v>0</v>
      </c>
      <c r="AC935" s="64">
        <f>IF(ISBLANK(Table1[[#This Row],[ActualResult]]), 0, IF(Table1[[#This Row],[ActualWinner]]=Table1[[#This Row],[PredictedWinner]], 1, 0))</f>
        <v>0</v>
      </c>
      <c r="AD93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3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35" s="64">
        <f>IF(AND(Table1[[#This Row],[GameIsOver]]=1,Table1[[#This Row],[ActualAwayScore]]=0), 1,0)</f>
        <v>0</v>
      </c>
      <c r="AG935" s="64">
        <f>IF(AND(Table1[[#This Row],[GameIsOver]]=1,Table1[[#This Row],[ActualHomeScore]]=0), 1,0)</f>
        <v>0</v>
      </c>
      <c r="AH935" s="64">
        <f>IF(Table1[[#This Row],[GameIsOver]]=0,0,IF(Table1[[#This Row],[ActualWinner]]=Table1[[#This Row],[AwayTeam]], 1, 0))</f>
        <v>0</v>
      </c>
      <c r="AI935" s="64">
        <f>IF(Table1[[#This Row],[GameIsOver]]=0,0,IF(Table1[[#This Row],[ActualWinner]]=Table1[[#This Row],[HomeTeam]], 1, 0))</f>
        <v>0</v>
      </c>
      <c r="AJ935" s="64">
        <f>IF(INDEX(Standings!$A$2:$C$33,MATCH(Table1[[#This Row],[AwayTeam]],Standings!$A$2:$A$33,0),2)=INDEX(Standings!$A$2:$C$33,MATCH(Table1[[#This Row],[HomeTeam]],Standings!$A$2:$A$33,0),2),1,0)</f>
        <v>0</v>
      </c>
      <c r="AK935" s="64">
        <f>IF(INDEX(Standings!$A$2:$C$33,MATCH(Table1[[#This Row],[AwayTeam]],Standings!$A$2:$A$33,0),3)=INDEX(Standings!$A$2:$C$33,MATCH(Table1[[#This Row],[HomeTeam]],Standings!$A$2:$A$33,0),3),1,0)</f>
        <v>0</v>
      </c>
      <c r="AL935" s="64">
        <f>IF(Table1[[#This Row],[InterConf]]=1,IF(Table1[[#This Row],[InterDiv]]=0, 1, 0), 0)</f>
        <v>0</v>
      </c>
      <c r="AM935" s="64">
        <f>IF(INDEX(Standings!$A$2:$C$33,MATCH(Table1[[#This Row],[AwayTeam]],Standings!$A$2:$A$33,0),2)&lt;&gt;INDEX(Standings!$A$2:$C$33,MATCH(Table1[[#This Row],[HomeTeam]],Standings!$A$2:$A$33,0),2),1,0)</f>
        <v>1</v>
      </c>
      <c r="AN935" s="64" t="str">
        <f>INDEX(Table2[AWAY_RECORD], MATCH(Table1[[#This Row],[AwayTeam]],Table2[Team], 0), 0)</f>
        <v>0-0-0</v>
      </c>
      <c r="AO935" s="64" t="str">
        <f>INDEX(Records!$B$2:$AG$33, MATCH(Table1[[#This Row],[AwayTeam]],Records!$A$2:$A$33, 0), MATCH(Table1[[#This Row],[HomeTeam]],Records!$A$2:$A$33, 0))</f>
        <v>0-0-0</v>
      </c>
      <c r="AP935" s="64" t="str">
        <f>INDEX(Table2[HOME_RECORD], MATCH(Table1[[#This Row],[HomeTeam]],Table2[Team], 0), 0)</f>
        <v>0-0-0</v>
      </c>
      <c r="AQ935" s="64" t="str">
        <f>INDEX(Records!$B$2:$AG$33, MATCH(Table1[[#This Row],[HomeTeam]],Records!$A$2:$A$33, 0), MATCH(Table1[[#This Row],[AwayTeam]],Records!$A$2:$A$33, 0))</f>
        <v>0-0-0</v>
      </c>
    </row>
    <row r="936" spans="1:43" x14ac:dyDescent="0.25">
      <c r="A936" s="1"/>
      <c r="D936" t="s">
        <v>1247</v>
      </c>
      <c r="E936" t="s">
        <v>289</v>
      </c>
      <c r="F936" t="s">
        <v>1254</v>
      </c>
      <c r="G936" t="s">
        <v>60</v>
      </c>
      <c r="H936" t="s">
        <v>55</v>
      </c>
      <c r="L93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3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36" s="1"/>
      <c r="T936" s="64" t="str">
        <f>IF(Table1[[#This Row],[ActualWinner]]="", "", IF(Table1[[#This Row],[AwayTeam]]=Table1[[#This Row],[ActualWinner]],Table1[[#This Row],[HomeTeam]],Table1[[#This Row],[AwayTeam]]))</f>
        <v/>
      </c>
      <c r="U936" s="64">
        <f>Table1[[#This Row],[ActualAwayScore]]-Table1[[#This Row],[PredictedAwayScore]]</f>
        <v>0</v>
      </c>
      <c r="V936" s="64">
        <f>Table1[[#This Row],[ActualHomeScore]]-Table1[[#This Row],[PredictedHomeScore]]</f>
        <v>0</v>
      </c>
      <c r="W936" s="64">
        <f>(0.8*IF(Table1[[#This Row],[CorrectWinnerPrediction]]=1, 1, 0))+(0.1*IF(Table1[[#This Row],[CorrectAwayScorePrediction]]=1, 1, 0))+(0.1*IF(Table1[[#This Row],[CorrectHomeScorePrediction]]=1, 1, 0))</f>
        <v>0</v>
      </c>
      <c r="X93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36" s="64">
        <f>SUMIF(Table1[GameDate], Table1[[#This Row],[GameDate]], Table1[AwayGameGoalDiff])</f>
        <v>0</v>
      </c>
      <c r="AA936" s="64">
        <f>SUMIF(Table1[GameDate], Table1[[#This Row],[GameDate]], Table1[HomeGameGoalDiff])</f>
        <v>0</v>
      </c>
      <c r="AB936" s="64">
        <f>IF(ISBLANK(Table1[[#This Row],[ActualResult]]), 0, 1)</f>
        <v>0</v>
      </c>
      <c r="AC936" s="64">
        <f>IF(ISBLANK(Table1[[#This Row],[ActualResult]]), 0, IF(Table1[[#This Row],[ActualWinner]]=Table1[[#This Row],[PredictedWinner]], 1, 0))</f>
        <v>0</v>
      </c>
      <c r="AD93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3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36" s="64">
        <f>IF(AND(Table1[[#This Row],[GameIsOver]]=1,Table1[[#This Row],[ActualAwayScore]]=0), 1,0)</f>
        <v>0</v>
      </c>
      <c r="AG936" s="64">
        <f>IF(AND(Table1[[#This Row],[GameIsOver]]=1,Table1[[#This Row],[ActualHomeScore]]=0), 1,0)</f>
        <v>0</v>
      </c>
      <c r="AH936" s="64">
        <f>IF(Table1[[#This Row],[GameIsOver]]=0,0,IF(Table1[[#This Row],[ActualWinner]]=Table1[[#This Row],[AwayTeam]], 1, 0))</f>
        <v>0</v>
      </c>
      <c r="AI936" s="64">
        <f>IF(Table1[[#This Row],[GameIsOver]]=0,0,IF(Table1[[#This Row],[ActualWinner]]=Table1[[#This Row],[HomeTeam]], 1, 0))</f>
        <v>0</v>
      </c>
      <c r="AJ936" s="64">
        <f>IF(INDEX(Standings!$A$2:$C$33,MATCH(Table1[[#This Row],[AwayTeam]],Standings!$A$2:$A$33,0),2)=INDEX(Standings!$A$2:$C$33,MATCH(Table1[[#This Row],[HomeTeam]],Standings!$A$2:$A$33,0),2),1,0)</f>
        <v>1</v>
      </c>
      <c r="AK936" s="64">
        <f>IF(INDEX(Standings!$A$2:$C$33,MATCH(Table1[[#This Row],[AwayTeam]],Standings!$A$2:$A$33,0),3)=INDEX(Standings!$A$2:$C$33,MATCH(Table1[[#This Row],[HomeTeam]],Standings!$A$2:$A$33,0),3),1,0)</f>
        <v>0</v>
      </c>
      <c r="AL936" s="64">
        <f>IF(Table1[[#This Row],[InterConf]]=1,IF(Table1[[#This Row],[InterDiv]]=0, 1, 0), 0)</f>
        <v>1</v>
      </c>
      <c r="AM936" s="64">
        <f>IF(INDEX(Standings!$A$2:$C$33,MATCH(Table1[[#This Row],[AwayTeam]],Standings!$A$2:$A$33,0),2)&lt;&gt;INDEX(Standings!$A$2:$C$33,MATCH(Table1[[#This Row],[HomeTeam]],Standings!$A$2:$A$33,0),2),1,0)</f>
        <v>0</v>
      </c>
      <c r="AN936" s="64" t="str">
        <f>INDEX(Table2[AWAY_RECORD], MATCH(Table1[[#This Row],[AwayTeam]],Table2[Team], 0), 0)</f>
        <v>0-0-0</v>
      </c>
      <c r="AO936" s="64" t="str">
        <f>INDEX(Records!$B$2:$AG$33, MATCH(Table1[[#This Row],[AwayTeam]],Records!$A$2:$A$33, 0), MATCH(Table1[[#This Row],[HomeTeam]],Records!$A$2:$A$33, 0))</f>
        <v>0-0-0</v>
      </c>
      <c r="AP936" s="64" t="str">
        <f>INDEX(Table2[HOME_RECORD], MATCH(Table1[[#This Row],[HomeTeam]],Table2[Team], 0), 0)</f>
        <v>0-1-0</v>
      </c>
      <c r="AQ936" s="64" t="str">
        <f>INDEX(Records!$B$2:$AG$33, MATCH(Table1[[#This Row],[HomeTeam]],Records!$A$2:$A$33, 0), MATCH(Table1[[#This Row],[AwayTeam]],Records!$A$2:$A$33, 0))</f>
        <v>0-0-0</v>
      </c>
    </row>
    <row r="937" spans="1:43" x14ac:dyDescent="0.25">
      <c r="A937" s="1"/>
      <c r="D937" t="s">
        <v>1247</v>
      </c>
      <c r="E937" t="s">
        <v>178</v>
      </c>
      <c r="F937" t="s">
        <v>1255</v>
      </c>
      <c r="G937" t="s">
        <v>53</v>
      </c>
      <c r="H937" t="s">
        <v>61</v>
      </c>
      <c r="L93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3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37" s="1"/>
      <c r="T937" s="64" t="str">
        <f>IF(Table1[[#This Row],[ActualWinner]]="", "", IF(Table1[[#This Row],[AwayTeam]]=Table1[[#This Row],[ActualWinner]],Table1[[#This Row],[HomeTeam]],Table1[[#This Row],[AwayTeam]]))</f>
        <v/>
      </c>
      <c r="U937" s="64">
        <f>Table1[[#This Row],[ActualAwayScore]]-Table1[[#This Row],[PredictedAwayScore]]</f>
        <v>0</v>
      </c>
      <c r="V937" s="64">
        <f>Table1[[#This Row],[ActualHomeScore]]-Table1[[#This Row],[PredictedHomeScore]]</f>
        <v>0</v>
      </c>
      <c r="W937" s="64">
        <f>(0.8*IF(Table1[[#This Row],[CorrectWinnerPrediction]]=1, 1, 0))+(0.1*IF(Table1[[#This Row],[CorrectAwayScorePrediction]]=1, 1, 0))+(0.1*IF(Table1[[#This Row],[CorrectHomeScorePrediction]]=1, 1, 0))</f>
        <v>0</v>
      </c>
      <c r="X93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37" s="64">
        <f>SUMIF(Table1[GameDate], Table1[[#This Row],[GameDate]], Table1[AwayGameGoalDiff])</f>
        <v>0</v>
      </c>
      <c r="AA937" s="64">
        <f>SUMIF(Table1[GameDate], Table1[[#This Row],[GameDate]], Table1[HomeGameGoalDiff])</f>
        <v>0</v>
      </c>
      <c r="AB937" s="64">
        <f>IF(ISBLANK(Table1[[#This Row],[ActualResult]]), 0, 1)</f>
        <v>0</v>
      </c>
      <c r="AC937" s="64">
        <f>IF(ISBLANK(Table1[[#This Row],[ActualResult]]), 0, IF(Table1[[#This Row],[ActualWinner]]=Table1[[#This Row],[PredictedWinner]], 1, 0))</f>
        <v>0</v>
      </c>
      <c r="AD93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3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37" s="64">
        <f>IF(AND(Table1[[#This Row],[GameIsOver]]=1,Table1[[#This Row],[ActualAwayScore]]=0), 1,0)</f>
        <v>0</v>
      </c>
      <c r="AG937" s="64">
        <f>IF(AND(Table1[[#This Row],[GameIsOver]]=1,Table1[[#This Row],[ActualHomeScore]]=0), 1,0)</f>
        <v>0</v>
      </c>
      <c r="AH937" s="64">
        <f>IF(Table1[[#This Row],[GameIsOver]]=0,0,IF(Table1[[#This Row],[ActualWinner]]=Table1[[#This Row],[AwayTeam]], 1, 0))</f>
        <v>0</v>
      </c>
      <c r="AI937" s="64">
        <f>IF(Table1[[#This Row],[GameIsOver]]=0,0,IF(Table1[[#This Row],[ActualWinner]]=Table1[[#This Row],[HomeTeam]], 1, 0))</f>
        <v>0</v>
      </c>
      <c r="AJ937" s="64">
        <f>IF(INDEX(Standings!$A$2:$C$33,MATCH(Table1[[#This Row],[AwayTeam]],Standings!$A$2:$A$33,0),2)=INDEX(Standings!$A$2:$C$33,MATCH(Table1[[#This Row],[HomeTeam]],Standings!$A$2:$A$33,0),2),1,0)</f>
        <v>0</v>
      </c>
      <c r="AK937" s="64">
        <f>IF(INDEX(Standings!$A$2:$C$33,MATCH(Table1[[#This Row],[AwayTeam]],Standings!$A$2:$A$33,0),3)=INDEX(Standings!$A$2:$C$33,MATCH(Table1[[#This Row],[HomeTeam]],Standings!$A$2:$A$33,0),3),1,0)</f>
        <v>0</v>
      </c>
      <c r="AL937" s="64">
        <f>IF(Table1[[#This Row],[InterConf]]=1,IF(Table1[[#This Row],[InterDiv]]=0, 1, 0), 0)</f>
        <v>0</v>
      </c>
      <c r="AM937" s="64">
        <f>IF(INDEX(Standings!$A$2:$C$33,MATCH(Table1[[#This Row],[AwayTeam]],Standings!$A$2:$A$33,0),2)&lt;&gt;INDEX(Standings!$A$2:$C$33,MATCH(Table1[[#This Row],[HomeTeam]],Standings!$A$2:$A$33,0),2),1,0)</f>
        <v>1</v>
      </c>
      <c r="AN937" s="64" t="str">
        <f>INDEX(Table2[AWAY_RECORD], MATCH(Table1[[#This Row],[AwayTeam]],Table2[Team], 0), 0)</f>
        <v>0-1-0</v>
      </c>
      <c r="AO937" s="64" t="str">
        <f>INDEX(Records!$B$2:$AG$33, MATCH(Table1[[#This Row],[AwayTeam]],Records!$A$2:$A$33, 0), MATCH(Table1[[#This Row],[HomeTeam]],Records!$A$2:$A$33, 0))</f>
        <v>0-0-0</v>
      </c>
      <c r="AP937" s="64" t="str">
        <f>INDEX(Table2[HOME_RECORD], MATCH(Table1[[#This Row],[HomeTeam]],Table2[Team], 0), 0)</f>
        <v>0-0-0</v>
      </c>
      <c r="AQ937" s="64" t="str">
        <f>INDEX(Records!$B$2:$AG$33, MATCH(Table1[[#This Row],[HomeTeam]],Records!$A$2:$A$33, 0), MATCH(Table1[[#This Row],[AwayTeam]],Records!$A$2:$A$33, 0))</f>
        <v>0-0-0</v>
      </c>
    </row>
    <row r="938" spans="1:43" x14ac:dyDescent="0.25">
      <c r="A938" s="1"/>
      <c r="D938" t="s">
        <v>1256</v>
      </c>
      <c r="E938" t="s">
        <v>298</v>
      </c>
      <c r="F938" t="s">
        <v>1257</v>
      </c>
      <c r="G938" t="s">
        <v>44</v>
      </c>
      <c r="H938" t="s">
        <v>25</v>
      </c>
      <c r="L93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3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38" s="1"/>
      <c r="T938" s="64" t="str">
        <f>IF(Table1[[#This Row],[ActualWinner]]="", "", IF(Table1[[#This Row],[AwayTeam]]=Table1[[#This Row],[ActualWinner]],Table1[[#This Row],[HomeTeam]],Table1[[#This Row],[AwayTeam]]))</f>
        <v/>
      </c>
      <c r="U938" s="64">
        <f>Table1[[#This Row],[ActualAwayScore]]-Table1[[#This Row],[PredictedAwayScore]]</f>
        <v>0</v>
      </c>
      <c r="V938" s="64">
        <f>Table1[[#This Row],[ActualHomeScore]]-Table1[[#This Row],[PredictedHomeScore]]</f>
        <v>0</v>
      </c>
      <c r="W938" s="64">
        <f>(0.8*IF(Table1[[#This Row],[CorrectWinnerPrediction]]=1, 1, 0))+(0.1*IF(Table1[[#This Row],[CorrectAwayScorePrediction]]=1, 1, 0))+(0.1*IF(Table1[[#This Row],[CorrectHomeScorePrediction]]=1, 1, 0))</f>
        <v>0</v>
      </c>
      <c r="X93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38" s="64">
        <f>SUMIF(Table1[GameDate], Table1[[#This Row],[GameDate]], Table1[AwayGameGoalDiff])</f>
        <v>0</v>
      </c>
      <c r="AA938" s="64">
        <f>SUMIF(Table1[GameDate], Table1[[#This Row],[GameDate]], Table1[HomeGameGoalDiff])</f>
        <v>0</v>
      </c>
      <c r="AB938" s="64">
        <f>IF(ISBLANK(Table1[[#This Row],[ActualResult]]), 0, 1)</f>
        <v>0</v>
      </c>
      <c r="AC938" s="64">
        <f>IF(ISBLANK(Table1[[#This Row],[ActualResult]]), 0, IF(Table1[[#This Row],[ActualWinner]]=Table1[[#This Row],[PredictedWinner]], 1, 0))</f>
        <v>0</v>
      </c>
      <c r="AD93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3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38" s="64">
        <f>IF(AND(Table1[[#This Row],[GameIsOver]]=1,Table1[[#This Row],[ActualAwayScore]]=0), 1,0)</f>
        <v>0</v>
      </c>
      <c r="AG938" s="64">
        <f>IF(AND(Table1[[#This Row],[GameIsOver]]=1,Table1[[#This Row],[ActualHomeScore]]=0), 1,0)</f>
        <v>0</v>
      </c>
      <c r="AH938" s="64">
        <f>IF(Table1[[#This Row],[GameIsOver]]=0,0,IF(Table1[[#This Row],[ActualWinner]]=Table1[[#This Row],[AwayTeam]], 1, 0))</f>
        <v>0</v>
      </c>
      <c r="AI938" s="64">
        <f>IF(Table1[[#This Row],[GameIsOver]]=0,0,IF(Table1[[#This Row],[ActualWinner]]=Table1[[#This Row],[HomeTeam]], 1, 0))</f>
        <v>0</v>
      </c>
      <c r="AJ938" s="64">
        <f>IF(INDEX(Standings!$A$2:$C$33,MATCH(Table1[[#This Row],[AwayTeam]],Standings!$A$2:$A$33,0),2)=INDEX(Standings!$A$2:$C$33,MATCH(Table1[[#This Row],[HomeTeam]],Standings!$A$2:$A$33,0),2),1,0)</f>
        <v>0</v>
      </c>
      <c r="AK938" s="64">
        <f>IF(INDEX(Standings!$A$2:$C$33,MATCH(Table1[[#This Row],[AwayTeam]],Standings!$A$2:$A$33,0),3)=INDEX(Standings!$A$2:$C$33,MATCH(Table1[[#This Row],[HomeTeam]],Standings!$A$2:$A$33,0),3),1,0)</f>
        <v>0</v>
      </c>
      <c r="AL938" s="64">
        <f>IF(Table1[[#This Row],[InterConf]]=1,IF(Table1[[#This Row],[InterDiv]]=0, 1, 0), 0)</f>
        <v>0</v>
      </c>
      <c r="AM938" s="64">
        <f>IF(INDEX(Standings!$A$2:$C$33,MATCH(Table1[[#This Row],[AwayTeam]],Standings!$A$2:$A$33,0),2)&lt;&gt;INDEX(Standings!$A$2:$C$33,MATCH(Table1[[#This Row],[HomeTeam]],Standings!$A$2:$A$33,0),2),1,0)</f>
        <v>1</v>
      </c>
      <c r="AN938" s="64" t="str">
        <f>INDEX(Table2[AWAY_RECORD], MATCH(Table1[[#This Row],[AwayTeam]],Table2[Team], 0), 0)</f>
        <v>0-0-0</v>
      </c>
      <c r="AO938" s="64" t="str">
        <f>INDEX(Records!$B$2:$AG$33, MATCH(Table1[[#This Row],[AwayTeam]],Records!$A$2:$A$33, 0), MATCH(Table1[[#This Row],[HomeTeam]],Records!$A$2:$A$33, 0))</f>
        <v>0-0-0</v>
      </c>
      <c r="AP938" s="64" t="str">
        <f>INDEX(Table2[HOME_RECORD], MATCH(Table1[[#This Row],[HomeTeam]],Table2[Team], 0), 0)</f>
        <v>0-0-1</v>
      </c>
      <c r="AQ938" s="64" t="str">
        <f>INDEX(Records!$B$2:$AG$33, MATCH(Table1[[#This Row],[HomeTeam]],Records!$A$2:$A$33, 0), MATCH(Table1[[#This Row],[AwayTeam]],Records!$A$2:$A$33, 0))</f>
        <v>0-0-0</v>
      </c>
    </row>
    <row r="939" spans="1:43" x14ac:dyDescent="0.25">
      <c r="A939" s="1"/>
      <c r="D939" t="s">
        <v>1256</v>
      </c>
      <c r="E939" t="s">
        <v>298</v>
      </c>
      <c r="F939" t="s">
        <v>1258</v>
      </c>
      <c r="G939" t="s">
        <v>39</v>
      </c>
      <c r="H939" t="s">
        <v>46</v>
      </c>
      <c r="L93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3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39" s="1"/>
      <c r="T939" s="64" t="str">
        <f>IF(Table1[[#This Row],[ActualWinner]]="", "", IF(Table1[[#This Row],[AwayTeam]]=Table1[[#This Row],[ActualWinner]],Table1[[#This Row],[HomeTeam]],Table1[[#This Row],[AwayTeam]]))</f>
        <v/>
      </c>
      <c r="U939" s="64">
        <f>Table1[[#This Row],[ActualAwayScore]]-Table1[[#This Row],[PredictedAwayScore]]</f>
        <v>0</v>
      </c>
      <c r="V939" s="64">
        <f>Table1[[#This Row],[ActualHomeScore]]-Table1[[#This Row],[PredictedHomeScore]]</f>
        <v>0</v>
      </c>
      <c r="W939" s="64">
        <f>(0.8*IF(Table1[[#This Row],[CorrectWinnerPrediction]]=1, 1, 0))+(0.1*IF(Table1[[#This Row],[CorrectAwayScorePrediction]]=1, 1, 0))+(0.1*IF(Table1[[#This Row],[CorrectHomeScorePrediction]]=1, 1, 0))</f>
        <v>0</v>
      </c>
      <c r="X93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39" s="64">
        <f>SUMIF(Table1[GameDate], Table1[[#This Row],[GameDate]], Table1[AwayGameGoalDiff])</f>
        <v>0</v>
      </c>
      <c r="AA939" s="64">
        <f>SUMIF(Table1[GameDate], Table1[[#This Row],[GameDate]], Table1[HomeGameGoalDiff])</f>
        <v>0</v>
      </c>
      <c r="AB939" s="64">
        <f>IF(ISBLANK(Table1[[#This Row],[ActualResult]]), 0, 1)</f>
        <v>0</v>
      </c>
      <c r="AC939" s="64">
        <f>IF(ISBLANK(Table1[[#This Row],[ActualResult]]), 0, IF(Table1[[#This Row],[ActualWinner]]=Table1[[#This Row],[PredictedWinner]], 1, 0))</f>
        <v>0</v>
      </c>
      <c r="AD93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3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39" s="64">
        <f>IF(AND(Table1[[#This Row],[GameIsOver]]=1,Table1[[#This Row],[ActualAwayScore]]=0), 1,0)</f>
        <v>0</v>
      </c>
      <c r="AG939" s="64">
        <f>IF(AND(Table1[[#This Row],[GameIsOver]]=1,Table1[[#This Row],[ActualHomeScore]]=0), 1,0)</f>
        <v>0</v>
      </c>
      <c r="AH939" s="64">
        <f>IF(Table1[[#This Row],[GameIsOver]]=0,0,IF(Table1[[#This Row],[ActualWinner]]=Table1[[#This Row],[AwayTeam]], 1, 0))</f>
        <v>0</v>
      </c>
      <c r="AI939" s="64">
        <f>IF(Table1[[#This Row],[GameIsOver]]=0,0,IF(Table1[[#This Row],[ActualWinner]]=Table1[[#This Row],[HomeTeam]], 1, 0))</f>
        <v>0</v>
      </c>
      <c r="AJ939" s="64">
        <f>IF(INDEX(Standings!$A$2:$C$33,MATCH(Table1[[#This Row],[AwayTeam]],Standings!$A$2:$A$33,0),2)=INDEX(Standings!$A$2:$C$33,MATCH(Table1[[#This Row],[HomeTeam]],Standings!$A$2:$A$33,0),2),1,0)</f>
        <v>1</v>
      </c>
      <c r="AK939" s="64">
        <f>IF(INDEX(Standings!$A$2:$C$33,MATCH(Table1[[#This Row],[AwayTeam]],Standings!$A$2:$A$33,0),3)=INDEX(Standings!$A$2:$C$33,MATCH(Table1[[#This Row],[HomeTeam]],Standings!$A$2:$A$33,0),3),1,0)</f>
        <v>1</v>
      </c>
      <c r="AL939" s="64">
        <f>IF(Table1[[#This Row],[InterConf]]=1,IF(Table1[[#This Row],[InterDiv]]=0, 1, 0), 0)</f>
        <v>0</v>
      </c>
      <c r="AM939" s="64">
        <f>IF(INDEX(Standings!$A$2:$C$33,MATCH(Table1[[#This Row],[AwayTeam]],Standings!$A$2:$A$33,0),2)&lt;&gt;INDEX(Standings!$A$2:$C$33,MATCH(Table1[[#This Row],[HomeTeam]],Standings!$A$2:$A$33,0),2),1,0)</f>
        <v>0</v>
      </c>
      <c r="AN939" s="64" t="str">
        <f>INDEX(Table2[AWAY_RECORD], MATCH(Table1[[#This Row],[AwayTeam]],Table2[Team], 0), 0)</f>
        <v>0-0-0</v>
      </c>
      <c r="AO939" s="64" t="str">
        <f>INDEX(Records!$B$2:$AG$33, MATCH(Table1[[#This Row],[AwayTeam]],Records!$A$2:$A$33, 0), MATCH(Table1[[#This Row],[HomeTeam]],Records!$A$2:$A$33, 0))</f>
        <v>0-0-0</v>
      </c>
      <c r="AP939" s="64" t="str">
        <f>INDEX(Table2[HOME_RECORD], MATCH(Table1[[#This Row],[HomeTeam]],Table2[Team], 0), 0)</f>
        <v>0-0-0</v>
      </c>
      <c r="AQ939" s="64" t="str">
        <f>INDEX(Records!$B$2:$AG$33, MATCH(Table1[[#This Row],[HomeTeam]],Records!$A$2:$A$33, 0), MATCH(Table1[[#This Row],[AwayTeam]],Records!$A$2:$A$33, 0))</f>
        <v>0-0-0</v>
      </c>
    </row>
    <row r="940" spans="1:43" x14ac:dyDescent="0.25">
      <c r="A940" s="1"/>
      <c r="D940" t="s">
        <v>1256</v>
      </c>
      <c r="E940" t="s">
        <v>162</v>
      </c>
      <c r="F940" t="s">
        <v>1259</v>
      </c>
      <c r="G940" t="s">
        <v>40</v>
      </c>
      <c r="H940" t="s">
        <v>24</v>
      </c>
      <c r="L94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4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40" s="1"/>
      <c r="T940" s="64" t="str">
        <f>IF(Table1[[#This Row],[ActualWinner]]="", "", IF(Table1[[#This Row],[AwayTeam]]=Table1[[#This Row],[ActualWinner]],Table1[[#This Row],[HomeTeam]],Table1[[#This Row],[AwayTeam]]))</f>
        <v/>
      </c>
      <c r="U940" s="64">
        <f>Table1[[#This Row],[ActualAwayScore]]-Table1[[#This Row],[PredictedAwayScore]]</f>
        <v>0</v>
      </c>
      <c r="V940" s="64">
        <f>Table1[[#This Row],[ActualHomeScore]]-Table1[[#This Row],[PredictedHomeScore]]</f>
        <v>0</v>
      </c>
      <c r="W940" s="64">
        <f>(0.8*IF(Table1[[#This Row],[CorrectWinnerPrediction]]=1, 1, 0))+(0.1*IF(Table1[[#This Row],[CorrectAwayScorePrediction]]=1, 1, 0))+(0.1*IF(Table1[[#This Row],[CorrectHomeScorePrediction]]=1, 1, 0))</f>
        <v>0</v>
      </c>
      <c r="X94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40" s="64">
        <f>SUMIF(Table1[GameDate], Table1[[#This Row],[GameDate]], Table1[AwayGameGoalDiff])</f>
        <v>0</v>
      </c>
      <c r="AA940" s="64">
        <f>SUMIF(Table1[GameDate], Table1[[#This Row],[GameDate]], Table1[HomeGameGoalDiff])</f>
        <v>0</v>
      </c>
      <c r="AB940" s="64">
        <f>IF(ISBLANK(Table1[[#This Row],[ActualResult]]), 0, 1)</f>
        <v>0</v>
      </c>
      <c r="AC940" s="64">
        <f>IF(ISBLANK(Table1[[#This Row],[ActualResult]]), 0, IF(Table1[[#This Row],[ActualWinner]]=Table1[[#This Row],[PredictedWinner]], 1, 0))</f>
        <v>0</v>
      </c>
      <c r="AD94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4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40" s="64">
        <f>IF(AND(Table1[[#This Row],[GameIsOver]]=1,Table1[[#This Row],[ActualAwayScore]]=0), 1,0)</f>
        <v>0</v>
      </c>
      <c r="AG940" s="64">
        <f>IF(AND(Table1[[#This Row],[GameIsOver]]=1,Table1[[#This Row],[ActualHomeScore]]=0), 1,0)</f>
        <v>0</v>
      </c>
      <c r="AH940" s="64">
        <f>IF(Table1[[#This Row],[GameIsOver]]=0,0,IF(Table1[[#This Row],[ActualWinner]]=Table1[[#This Row],[AwayTeam]], 1, 0))</f>
        <v>0</v>
      </c>
      <c r="AI940" s="64">
        <f>IF(Table1[[#This Row],[GameIsOver]]=0,0,IF(Table1[[#This Row],[ActualWinner]]=Table1[[#This Row],[HomeTeam]], 1, 0))</f>
        <v>0</v>
      </c>
      <c r="AJ940" s="64">
        <f>IF(INDEX(Standings!$A$2:$C$33,MATCH(Table1[[#This Row],[AwayTeam]],Standings!$A$2:$A$33,0),2)=INDEX(Standings!$A$2:$C$33,MATCH(Table1[[#This Row],[HomeTeam]],Standings!$A$2:$A$33,0),2),1,0)</f>
        <v>1</v>
      </c>
      <c r="AK940" s="64">
        <f>IF(INDEX(Standings!$A$2:$C$33,MATCH(Table1[[#This Row],[AwayTeam]],Standings!$A$2:$A$33,0),3)=INDEX(Standings!$A$2:$C$33,MATCH(Table1[[#This Row],[HomeTeam]],Standings!$A$2:$A$33,0),3),1,0)</f>
        <v>0</v>
      </c>
      <c r="AL940" s="64">
        <f>IF(Table1[[#This Row],[InterConf]]=1,IF(Table1[[#This Row],[InterDiv]]=0, 1, 0), 0)</f>
        <v>1</v>
      </c>
      <c r="AM940" s="64">
        <f>IF(INDEX(Standings!$A$2:$C$33,MATCH(Table1[[#This Row],[AwayTeam]],Standings!$A$2:$A$33,0),2)&lt;&gt;INDEX(Standings!$A$2:$C$33,MATCH(Table1[[#This Row],[HomeTeam]],Standings!$A$2:$A$33,0),2),1,0)</f>
        <v>0</v>
      </c>
      <c r="AN940" s="64" t="str">
        <f>INDEX(Table2[AWAY_RECORD], MATCH(Table1[[#This Row],[AwayTeam]],Table2[Team], 0), 0)</f>
        <v>0-0-0</v>
      </c>
      <c r="AO940" s="64" t="str">
        <f>INDEX(Records!$B$2:$AG$33, MATCH(Table1[[#This Row],[AwayTeam]],Records!$A$2:$A$33, 0), MATCH(Table1[[#This Row],[HomeTeam]],Records!$A$2:$A$33, 0))</f>
        <v>0-0-0</v>
      </c>
      <c r="AP940" s="64" t="str">
        <f>INDEX(Table2[HOME_RECORD], MATCH(Table1[[#This Row],[HomeTeam]],Table2[Team], 0), 0)</f>
        <v>0-2-0</v>
      </c>
      <c r="AQ940" s="64" t="str">
        <f>INDEX(Records!$B$2:$AG$33, MATCH(Table1[[#This Row],[HomeTeam]],Records!$A$2:$A$33, 0), MATCH(Table1[[#This Row],[AwayTeam]],Records!$A$2:$A$33, 0))</f>
        <v>0-0-0</v>
      </c>
    </row>
    <row r="941" spans="1:43" x14ac:dyDescent="0.25">
      <c r="A941" s="1"/>
      <c r="D941" t="s">
        <v>1256</v>
      </c>
      <c r="E941" t="s">
        <v>162</v>
      </c>
      <c r="F941" t="s">
        <v>1260</v>
      </c>
      <c r="G941" t="s">
        <v>17</v>
      </c>
      <c r="H941" t="s">
        <v>57</v>
      </c>
      <c r="L94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4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41" s="1"/>
      <c r="T941" s="64" t="str">
        <f>IF(Table1[[#This Row],[ActualWinner]]="", "", IF(Table1[[#This Row],[AwayTeam]]=Table1[[#This Row],[ActualWinner]],Table1[[#This Row],[HomeTeam]],Table1[[#This Row],[AwayTeam]]))</f>
        <v/>
      </c>
      <c r="U941" s="64">
        <f>Table1[[#This Row],[ActualAwayScore]]-Table1[[#This Row],[PredictedAwayScore]]</f>
        <v>0</v>
      </c>
      <c r="V941" s="64">
        <f>Table1[[#This Row],[ActualHomeScore]]-Table1[[#This Row],[PredictedHomeScore]]</f>
        <v>0</v>
      </c>
      <c r="W941" s="64">
        <f>(0.8*IF(Table1[[#This Row],[CorrectWinnerPrediction]]=1, 1, 0))+(0.1*IF(Table1[[#This Row],[CorrectAwayScorePrediction]]=1, 1, 0))+(0.1*IF(Table1[[#This Row],[CorrectHomeScorePrediction]]=1, 1, 0))</f>
        <v>0</v>
      </c>
      <c r="X94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41" s="64">
        <f>SUMIF(Table1[GameDate], Table1[[#This Row],[GameDate]], Table1[AwayGameGoalDiff])</f>
        <v>0</v>
      </c>
      <c r="AA941" s="64">
        <f>SUMIF(Table1[GameDate], Table1[[#This Row],[GameDate]], Table1[HomeGameGoalDiff])</f>
        <v>0</v>
      </c>
      <c r="AB941" s="64">
        <f>IF(ISBLANK(Table1[[#This Row],[ActualResult]]), 0, 1)</f>
        <v>0</v>
      </c>
      <c r="AC941" s="64">
        <f>IF(ISBLANK(Table1[[#This Row],[ActualResult]]), 0, IF(Table1[[#This Row],[ActualWinner]]=Table1[[#This Row],[PredictedWinner]], 1, 0))</f>
        <v>0</v>
      </c>
      <c r="AD94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4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41" s="64">
        <f>IF(AND(Table1[[#This Row],[GameIsOver]]=1,Table1[[#This Row],[ActualAwayScore]]=0), 1,0)</f>
        <v>0</v>
      </c>
      <c r="AG941" s="64">
        <f>IF(AND(Table1[[#This Row],[GameIsOver]]=1,Table1[[#This Row],[ActualHomeScore]]=0), 1,0)</f>
        <v>0</v>
      </c>
      <c r="AH941" s="64">
        <f>IF(Table1[[#This Row],[GameIsOver]]=0,0,IF(Table1[[#This Row],[ActualWinner]]=Table1[[#This Row],[AwayTeam]], 1, 0))</f>
        <v>0</v>
      </c>
      <c r="AI941" s="64">
        <f>IF(Table1[[#This Row],[GameIsOver]]=0,0,IF(Table1[[#This Row],[ActualWinner]]=Table1[[#This Row],[HomeTeam]], 1, 0))</f>
        <v>0</v>
      </c>
      <c r="AJ941" s="64">
        <f>IF(INDEX(Standings!$A$2:$C$33,MATCH(Table1[[#This Row],[AwayTeam]],Standings!$A$2:$A$33,0),2)=INDEX(Standings!$A$2:$C$33,MATCH(Table1[[#This Row],[HomeTeam]],Standings!$A$2:$A$33,0),2),1,0)</f>
        <v>1</v>
      </c>
      <c r="AK941" s="64">
        <f>IF(INDEX(Standings!$A$2:$C$33,MATCH(Table1[[#This Row],[AwayTeam]],Standings!$A$2:$A$33,0),3)=INDEX(Standings!$A$2:$C$33,MATCH(Table1[[#This Row],[HomeTeam]],Standings!$A$2:$A$33,0),3),1,0)</f>
        <v>1</v>
      </c>
      <c r="AL941" s="64">
        <f>IF(Table1[[#This Row],[InterConf]]=1,IF(Table1[[#This Row],[InterDiv]]=0, 1, 0), 0)</f>
        <v>0</v>
      </c>
      <c r="AM941" s="64">
        <f>IF(INDEX(Standings!$A$2:$C$33,MATCH(Table1[[#This Row],[AwayTeam]],Standings!$A$2:$A$33,0),2)&lt;&gt;INDEX(Standings!$A$2:$C$33,MATCH(Table1[[#This Row],[HomeTeam]],Standings!$A$2:$A$33,0),2),1,0)</f>
        <v>0</v>
      </c>
      <c r="AN941" s="64" t="str">
        <f>INDEX(Table2[AWAY_RECORD], MATCH(Table1[[#This Row],[AwayTeam]],Table2[Team], 0), 0)</f>
        <v>2-0-0</v>
      </c>
      <c r="AO941" s="64" t="str">
        <f>INDEX(Records!$B$2:$AG$33, MATCH(Table1[[#This Row],[AwayTeam]],Records!$A$2:$A$33, 0), MATCH(Table1[[#This Row],[HomeTeam]],Records!$A$2:$A$33, 0))</f>
        <v>0-0-0</v>
      </c>
      <c r="AP941" s="64" t="str">
        <f>INDEX(Table2[HOME_RECORD], MATCH(Table1[[#This Row],[HomeTeam]],Table2[Team], 0), 0)</f>
        <v>0-0-0</v>
      </c>
      <c r="AQ941" s="64" t="str">
        <f>INDEX(Records!$B$2:$AG$33, MATCH(Table1[[#This Row],[HomeTeam]],Records!$A$2:$A$33, 0), MATCH(Table1[[#This Row],[AwayTeam]],Records!$A$2:$A$33, 0))</f>
        <v>0-0-0</v>
      </c>
    </row>
    <row r="942" spans="1:43" x14ac:dyDescent="0.25">
      <c r="A942" s="1"/>
      <c r="D942" t="s">
        <v>1256</v>
      </c>
      <c r="E942" t="s">
        <v>162</v>
      </c>
      <c r="F942" t="s">
        <v>1261</v>
      </c>
      <c r="G942" t="s">
        <v>36</v>
      </c>
      <c r="H942" t="s">
        <v>59</v>
      </c>
      <c r="L94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4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42" s="1"/>
      <c r="T942" s="64" t="str">
        <f>IF(Table1[[#This Row],[ActualWinner]]="", "", IF(Table1[[#This Row],[AwayTeam]]=Table1[[#This Row],[ActualWinner]],Table1[[#This Row],[HomeTeam]],Table1[[#This Row],[AwayTeam]]))</f>
        <v/>
      </c>
      <c r="U942" s="64">
        <f>Table1[[#This Row],[ActualAwayScore]]-Table1[[#This Row],[PredictedAwayScore]]</f>
        <v>0</v>
      </c>
      <c r="V942" s="64">
        <f>Table1[[#This Row],[ActualHomeScore]]-Table1[[#This Row],[PredictedHomeScore]]</f>
        <v>0</v>
      </c>
      <c r="W942" s="64">
        <f>(0.8*IF(Table1[[#This Row],[CorrectWinnerPrediction]]=1, 1, 0))+(0.1*IF(Table1[[#This Row],[CorrectAwayScorePrediction]]=1, 1, 0))+(0.1*IF(Table1[[#This Row],[CorrectHomeScorePrediction]]=1, 1, 0))</f>
        <v>0</v>
      </c>
      <c r="X94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42" s="64">
        <f>SUMIF(Table1[GameDate], Table1[[#This Row],[GameDate]], Table1[AwayGameGoalDiff])</f>
        <v>0</v>
      </c>
      <c r="AA942" s="64">
        <f>SUMIF(Table1[GameDate], Table1[[#This Row],[GameDate]], Table1[HomeGameGoalDiff])</f>
        <v>0</v>
      </c>
      <c r="AB942" s="64">
        <f>IF(ISBLANK(Table1[[#This Row],[ActualResult]]), 0, 1)</f>
        <v>0</v>
      </c>
      <c r="AC942" s="64">
        <f>IF(ISBLANK(Table1[[#This Row],[ActualResult]]), 0, IF(Table1[[#This Row],[ActualWinner]]=Table1[[#This Row],[PredictedWinner]], 1, 0))</f>
        <v>0</v>
      </c>
      <c r="AD94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4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42" s="64">
        <f>IF(AND(Table1[[#This Row],[GameIsOver]]=1,Table1[[#This Row],[ActualAwayScore]]=0), 1,0)</f>
        <v>0</v>
      </c>
      <c r="AG942" s="64">
        <f>IF(AND(Table1[[#This Row],[GameIsOver]]=1,Table1[[#This Row],[ActualHomeScore]]=0), 1,0)</f>
        <v>0</v>
      </c>
      <c r="AH942" s="64">
        <f>IF(Table1[[#This Row],[GameIsOver]]=0,0,IF(Table1[[#This Row],[ActualWinner]]=Table1[[#This Row],[AwayTeam]], 1, 0))</f>
        <v>0</v>
      </c>
      <c r="AI942" s="64">
        <f>IF(Table1[[#This Row],[GameIsOver]]=0,0,IF(Table1[[#This Row],[ActualWinner]]=Table1[[#This Row],[HomeTeam]], 1, 0))</f>
        <v>0</v>
      </c>
      <c r="AJ942" s="64">
        <f>IF(INDEX(Standings!$A$2:$C$33,MATCH(Table1[[#This Row],[AwayTeam]],Standings!$A$2:$A$33,0),2)=INDEX(Standings!$A$2:$C$33,MATCH(Table1[[#This Row],[HomeTeam]],Standings!$A$2:$A$33,0),2),1,0)</f>
        <v>0</v>
      </c>
      <c r="AK942" s="64">
        <f>IF(INDEX(Standings!$A$2:$C$33,MATCH(Table1[[#This Row],[AwayTeam]],Standings!$A$2:$A$33,0),3)=INDEX(Standings!$A$2:$C$33,MATCH(Table1[[#This Row],[HomeTeam]],Standings!$A$2:$A$33,0),3),1,0)</f>
        <v>0</v>
      </c>
      <c r="AL942" s="64">
        <f>IF(Table1[[#This Row],[InterConf]]=1,IF(Table1[[#This Row],[InterDiv]]=0, 1, 0), 0)</f>
        <v>0</v>
      </c>
      <c r="AM942" s="64">
        <f>IF(INDEX(Standings!$A$2:$C$33,MATCH(Table1[[#This Row],[AwayTeam]],Standings!$A$2:$A$33,0),2)&lt;&gt;INDEX(Standings!$A$2:$C$33,MATCH(Table1[[#This Row],[HomeTeam]],Standings!$A$2:$A$33,0),2),1,0)</f>
        <v>1</v>
      </c>
      <c r="AN942" s="64" t="str">
        <f>INDEX(Table2[AWAY_RECORD], MATCH(Table1[[#This Row],[AwayTeam]],Table2[Team], 0), 0)</f>
        <v>0-0-0</v>
      </c>
      <c r="AO942" s="64" t="str">
        <f>INDEX(Records!$B$2:$AG$33, MATCH(Table1[[#This Row],[AwayTeam]],Records!$A$2:$A$33, 0), MATCH(Table1[[#This Row],[HomeTeam]],Records!$A$2:$A$33, 0))</f>
        <v>0-0-0</v>
      </c>
      <c r="AP942" s="64" t="str">
        <f>INDEX(Table2[HOME_RECORD], MATCH(Table1[[#This Row],[HomeTeam]],Table2[Team], 0), 0)</f>
        <v>0-0-0</v>
      </c>
      <c r="AQ942" s="64" t="str">
        <f>INDEX(Records!$B$2:$AG$33, MATCH(Table1[[#This Row],[HomeTeam]],Records!$A$2:$A$33, 0), MATCH(Table1[[#This Row],[AwayTeam]],Records!$A$2:$A$33, 0))</f>
        <v>0-0-0</v>
      </c>
    </row>
    <row r="943" spans="1:43" x14ac:dyDescent="0.25">
      <c r="A943" s="1"/>
      <c r="D943" t="s">
        <v>1256</v>
      </c>
      <c r="E943" t="s">
        <v>178</v>
      </c>
      <c r="F943" t="s">
        <v>1262</v>
      </c>
      <c r="G943" t="s">
        <v>49</v>
      </c>
      <c r="H943" t="s">
        <v>48</v>
      </c>
      <c r="L94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4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43" s="1"/>
      <c r="T943" s="64" t="str">
        <f>IF(Table1[[#This Row],[ActualWinner]]="", "", IF(Table1[[#This Row],[AwayTeam]]=Table1[[#This Row],[ActualWinner]],Table1[[#This Row],[HomeTeam]],Table1[[#This Row],[AwayTeam]]))</f>
        <v/>
      </c>
      <c r="U943" s="64">
        <f>Table1[[#This Row],[ActualAwayScore]]-Table1[[#This Row],[PredictedAwayScore]]</f>
        <v>0</v>
      </c>
      <c r="V943" s="64">
        <f>Table1[[#This Row],[ActualHomeScore]]-Table1[[#This Row],[PredictedHomeScore]]</f>
        <v>0</v>
      </c>
      <c r="W943" s="64">
        <f>(0.8*IF(Table1[[#This Row],[CorrectWinnerPrediction]]=1, 1, 0))+(0.1*IF(Table1[[#This Row],[CorrectAwayScorePrediction]]=1, 1, 0))+(0.1*IF(Table1[[#This Row],[CorrectHomeScorePrediction]]=1, 1, 0))</f>
        <v>0</v>
      </c>
      <c r="X94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43" s="64">
        <f>SUMIF(Table1[GameDate], Table1[[#This Row],[GameDate]], Table1[AwayGameGoalDiff])</f>
        <v>0</v>
      </c>
      <c r="AA943" s="64">
        <f>SUMIF(Table1[GameDate], Table1[[#This Row],[GameDate]], Table1[HomeGameGoalDiff])</f>
        <v>0</v>
      </c>
      <c r="AB943" s="64">
        <f>IF(ISBLANK(Table1[[#This Row],[ActualResult]]), 0, 1)</f>
        <v>0</v>
      </c>
      <c r="AC943" s="64">
        <f>IF(ISBLANK(Table1[[#This Row],[ActualResult]]), 0, IF(Table1[[#This Row],[ActualWinner]]=Table1[[#This Row],[PredictedWinner]], 1, 0))</f>
        <v>0</v>
      </c>
      <c r="AD94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4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43" s="64">
        <f>IF(AND(Table1[[#This Row],[GameIsOver]]=1,Table1[[#This Row],[ActualAwayScore]]=0), 1,0)</f>
        <v>0</v>
      </c>
      <c r="AG943" s="64">
        <f>IF(AND(Table1[[#This Row],[GameIsOver]]=1,Table1[[#This Row],[ActualHomeScore]]=0), 1,0)</f>
        <v>0</v>
      </c>
      <c r="AH943" s="64">
        <f>IF(Table1[[#This Row],[GameIsOver]]=0,0,IF(Table1[[#This Row],[ActualWinner]]=Table1[[#This Row],[AwayTeam]], 1, 0))</f>
        <v>0</v>
      </c>
      <c r="AI943" s="64">
        <f>IF(Table1[[#This Row],[GameIsOver]]=0,0,IF(Table1[[#This Row],[ActualWinner]]=Table1[[#This Row],[HomeTeam]], 1, 0))</f>
        <v>0</v>
      </c>
      <c r="AJ943" s="64">
        <f>IF(INDEX(Standings!$A$2:$C$33,MATCH(Table1[[#This Row],[AwayTeam]],Standings!$A$2:$A$33,0),2)=INDEX(Standings!$A$2:$C$33,MATCH(Table1[[#This Row],[HomeTeam]],Standings!$A$2:$A$33,0),2),1,0)</f>
        <v>0</v>
      </c>
      <c r="AK943" s="64">
        <f>IF(INDEX(Standings!$A$2:$C$33,MATCH(Table1[[#This Row],[AwayTeam]],Standings!$A$2:$A$33,0),3)=INDEX(Standings!$A$2:$C$33,MATCH(Table1[[#This Row],[HomeTeam]],Standings!$A$2:$A$33,0),3),1,0)</f>
        <v>0</v>
      </c>
      <c r="AL943" s="64">
        <f>IF(Table1[[#This Row],[InterConf]]=1,IF(Table1[[#This Row],[InterDiv]]=0, 1, 0), 0)</f>
        <v>0</v>
      </c>
      <c r="AM943" s="64">
        <f>IF(INDEX(Standings!$A$2:$C$33,MATCH(Table1[[#This Row],[AwayTeam]],Standings!$A$2:$A$33,0),2)&lt;&gt;INDEX(Standings!$A$2:$C$33,MATCH(Table1[[#This Row],[HomeTeam]],Standings!$A$2:$A$33,0),2),1,0)</f>
        <v>1</v>
      </c>
      <c r="AN943" s="64" t="str">
        <f>INDEX(Table2[AWAY_RECORD], MATCH(Table1[[#This Row],[AwayTeam]],Table2[Team], 0), 0)</f>
        <v>0-0-0</v>
      </c>
      <c r="AO943" s="64" t="str">
        <f>INDEX(Records!$B$2:$AG$33, MATCH(Table1[[#This Row],[AwayTeam]],Records!$A$2:$A$33, 0), MATCH(Table1[[#This Row],[HomeTeam]],Records!$A$2:$A$33, 0))</f>
        <v>0-0-0</v>
      </c>
      <c r="AP943" s="64" t="str">
        <f>INDEX(Table2[HOME_RECORD], MATCH(Table1[[#This Row],[HomeTeam]],Table2[Team], 0), 0)</f>
        <v>1-0-0</v>
      </c>
      <c r="AQ943" s="64" t="str">
        <f>INDEX(Records!$B$2:$AG$33, MATCH(Table1[[#This Row],[HomeTeam]],Records!$A$2:$A$33, 0), MATCH(Table1[[#This Row],[AwayTeam]],Records!$A$2:$A$33, 0))</f>
        <v>0-0-0</v>
      </c>
    </row>
    <row r="944" spans="1:43" x14ac:dyDescent="0.25">
      <c r="A944" s="1"/>
      <c r="D944" t="s">
        <v>1256</v>
      </c>
      <c r="E944" t="s">
        <v>178</v>
      </c>
      <c r="F944" t="s">
        <v>1263</v>
      </c>
      <c r="G944" t="s">
        <v>22</v>
      </c>
      <c r="H944" t="s">
        <v>43</v>
      </c>
      <c r="L94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4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44" s="1"/>
      <c r="T944" s="64" t="str">
        <f>IF(Table1[[#This Row],[ActualWinner]]="", "", IF(Table1[[#This Row],[AwayTeam]]=Table1[[#This Row],[ActualWinner]],Table1[[#This Row],[HomeTeam]],Table1[[#This Row],[AwayTeam]]))</f>
        <v/>
      </c>
      <c r="U944" s="64">
        <f>Table1[[#This Row],[ActualAwayScore]]-Table1[[#This Row],[PredictedAwayScore]]</f>
        <v>0</v>
      </c>
      <c r="V944" s="64">
        <f>Table1[[#This Row],[ActualHomeScore]]-Table1[[#This Row],[PredictedHomeScore]]</f>
        <v>0</v>
      </c>
      <c r="W944" s="64">
        <f>(0.8*IF(Table1[[#This Row],[CorrectWinnerPrediction]]=1, 1, 0))+(0.1*IF(Table1[[#This Row],[CorrectAwayScorePrediction]]=1, 1, 0))+(0.1*IF(Table1[[#This Row],[CorrectHomeScorePrediction]]=1, 1, 0))</f>
        <v>0</v>
      </c>
      <c r="X94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44" s="64">
        <f>SUMIF(Table1[GameDate], Table1[[#This Row],[GameDate]], Table1[AwayGameGoalDiff])</f>
        <v>0</v>
      </c>
      <c r="AA944" s="64">
        <f>SUMIF(Table1[GameDate], Table1[[#This Row],[GameDate]], Table1[HomeGameGoalDiff])</f>
        <v>0</v>
      </c>
      <c r="AB944" s="64">
        <f>IF(ISBLANK(Table1[[#This Row],[ActualResult]]), 0, 1)</f>
        <v>0</v>
      </c>
      <c r="AC944" s="64">
        <f>IF(ISBLANK(Table1[[#This Row],[ActualResult]]), 0, IF(Table1[[#This Row],[ActualWinner]]=Table1[[#This Row],[PredictedWinner]], 1, 0))</f>
        <v>0</v>
      </c>
      <c r="AD94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4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44" s="64">
        <f>IF(AND(Table1[[#This Row],[GameIsOver]]=1,Table1[[#This Row],[ActualAwayScore]]=0), 1,0)</f>
        <v>0</v>
      </c>
      <c r="AG944" s="64">
        <f>IF(AND(Table1[[#This Row],[GameIsOver]]=1,Table1[[#This Row],[ActualHomeScore]]=0), 1,0)</f>
        <v>0</v>
      </c>
      <c r="AH944" s="64">
        <f>IF(Table1[[#This Row],[GameIsOver]]=0,0,IF(Table1[[#This Row],[ActualWinner]]=Table1[[#This Row],[AwayTeam]], 1, 0))</f>
        <v>0</v>
      </c>
      <c r="AI944" s="64">
        <f>IF(Table1[[#This Row],[GameIsOver]]=0,0,IF(Table1[[#This Row],[ActualWinner]]=Table1[[#This Row],[HomeTeam]], 1, 0))</f>
        <v>0</v>
      </c>
      <c r="AJ944" s="64">
        <f>IF(INDEX(Standings!$A$2:$C$33,MATCH(Table1[[#This Row],[AwayTeam]],Standings!$A$2:$A$33,0),2)=INDEX(Standings!$A$2:$C$33,MATCH(Table1[[#This Row],[HomeTeam]],Standings!$A$2:$A$33,0),2),1,0)</f>
        <v>1</v>
      </c>
      <c r="AK944" s="64">
        <f>IF(INDEX(Standings!$A$2:$C$33,MATCH(Table1[[#This Row],[AwayTeam]],Standings!$A$2:$A$33,0),3)=INDEX(Standings!$A$2:$C$33,MATCH(Table1[[#This Row],[HomeTeam]],Standings!$A$2:$A$33,0),3),1,0)</f>
        <v>1</v>
      </c>
      <c r="AL944" s="64">
        <f>IF(Table1[[#This Row],[InterConf]]=1,IF(Table1[[#This Row],[InterDiv]]=0, 1, 0), 0)</f>
        <v>0</v>
      </c>
      <c r="AM944" s="64">
        <f>IF(INDEX(Standings!$A$2:$C$33,MATCH(Table1[[#This Row],[AwayTeam]],Standings!$A$2:$A$33,0),2)&lt;&gt;INDEX(Standings!$A$2:$C$33,MATCH(Table1[[#This Row],[HomeTeam]],Standings!$A$2:$A$33,0),2),1,0)</f>
        <v>0</v>
      </c>
      <c r="AN944" s="64" t="str">
        <f>INDEX(Table2[AWAY_RECORD], MATCH(Table1[[#This Row],[AwayTeam]],Table2[Team], 0), 0)</f>
        <v>0-0-1</v>
      </c>
      <c r="AO944" s="64" t="str">
        <f>INDEX(Records!$B$2:$AG$33, MATCH(Table1[[#This Row],[AwayTeam]],Records!$A$2:$A$33, 0), MATCH(Table1[[#This Row],[HomeTeam]],Records!$A$2:$A$33, 0))</f>
        <v>0-0-0</v>
      </c>
      <c r="AP944" s="64" t="str">
        <f>INDEX(Table2[HOME_RECORD], MATCH(Table1[[#This Row],[HomeTeam]],Table2[Team], 0), 0)</f>
        <v>0-0-0</v>
      </c>
      <c r="AQ944" s="64" t="str">
        <f>INDEX(Records!$B$2:$AG$33, MATCH(Table1[[#This Row],[HomeTeam]],Records!$A$2:$A$33, 0), MATCH(Table1[[#This Row],[AwayTeam]],Records!$A$2:$A$33, 0))</f>
        <v>0-0-0</v>
      </c>
    </row>
    <row r="945" spans="1:43" x14ac:dyDescent="0.25">
      <c r="A945" s="1"/>
      <c r="D945" t="s">
        <v>1256</v>
      </c>
      <c r="E945" t="s">
        <v>164</v>
      </c>
      <c r="F945" t="s">
        <v>1264</v>
      </c>
      <c r="G945" t="s">
        <v>54</v>
      </c>
      <c r="H945" t="s">
        <v>23</v>
      </c>
      <c r="L94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4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45" s="1"/>
      <c r="T945" s="64" t="str">
        <f>IF(Table1[[#This Row],[ActualWinner]]="", "", IF(Table1[[#This Row],[AwayTeam]]=Table1[[#This Row],[ActualWinner]],Table1[[#This Row],[HomeTeam]],Table1[[#This Row],[AwayTeam]]))</f>
        <v/>
      </c>
      <c r="U945" s="64">
        <f>Table1[[#This Row],[ActualAwayScore]]-Table1[[#This Row],[PredictedAwayScore]]</f>
        <v>0</v>
      </c>
      <c r="V945" s="64">
        <f>Table1[[#This Row],[ActualHomeScore]]-Table1[[#This Row],[PredictedHomeScore]]</f>
        <v>0</v>
      </c>
      <c r="W945" s="64">
        <f>(0.8*IF(Table1[[#This Row],[CorrectWinnerPrediction]]=1, 1, 0))+(0.1*IF(Table1[[#This Row],[CorrectAwayScorePrediction]]=1, 1, 0))+(0.1*IF(Table1[[#This Row],[CorrectHomeScorePrediction]]=1, 1, 0))</f>
        <v>0</v>
      </c>
      <c r="X94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45" s="64">
        <f>SUMIF(Table1[GameDate], Table1[[#This Row],[GameDate]], Table1[AwayGameGoalDiff])</f>
        <v>0</v>
      </c>
      <c r="AA945" s="64">
        <f>SUMIF(Table1[GameDate], Table1[[#This Row],[GameDate]], Table1[HomeGameGoalDiff])</f>
        <v>0</v>
      </c>
      <c r="AB945" s="64">
        <f>IF(ISBLANK(Table1[[#This Row],[ActualResult]]), 0, 1)</f>
        <v>0</v>
      </c>
      <c r="AC945" s="64">
        <f>IF(ISBLANK(Table1[[#This Row],[ActualResult]]), 0, IF(Table1[[#This Row],[ActualWinner]]=Table1[[#This Row],[PredictedWinner]], 1, 0))</f>
        <v>0</v>
      </c>
      <c r="AD94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4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45" s="64">
        <f>IF(AND(Table1[[#This Row],[GameIsOver]]=1,Table1[[#This Row],[ActualAwayScore]]=0), 1,0)</f>
        <v>0</v>
      </c>
      <c r="AG945" s="64">
        <f>IF(AND(Table1[[#This Row],[GameIsOver]]=1,Table1[[#This Row],[ActualHomeScore]]=0), 1,0)</f>
        <v>0</v>
      </c>
      <c r="AH945" s="64">
        <f>IF(Table1[[#This Row],[GameIsOver]]=0,0,IF(Table1[[#This Row],[ActualWinner]]=Table1[[#This Row],[AwayTeam]], 1, 0))</f>
        <v>0</v>
      </c>
      <c r="AI945" s="64">
        <f>IF(Table1[[#This Row],[GameIsOver]]=0,0,IF(Table1[[#This Row],[ActualWinner]]=Table1[[#This Row],[HomeTeam]], 1, 0))</f>
        <v>0</v>
      </c>
      <c r="AJ945" s="64">
        <f>IF(INDEX(Standings!$A$2:$C$33,MATCH(Table1[[#This Row],[AwayTeam]],Standings!$A$2:$A$33,0),2)=INDEX(Standings!$A$2:$C$33,MATCH(Table1[[#This Row],[HomeTeam]],Standings!$A$2:$A$33,0),2),1,0)</f>
        <v>0</v>
      </c>
      <c r="AK945" s="64">
        <f>IF(INDEX(Standings!$A$2:$C$33,MATCH(Table1[[#This Row],[AwayTeam]],Standings!$A$2:$A$33,0),3)=INDEX(Standings!$A$2:$C$33,MATCH(Table1[[#This Row],[HomeTeam]],Standings!$A$2:$A$33,0),3),1,0)</f>
        <v>0</v>
      </c>
      <c r="AL945" s="64">
        <f>IF(Table1[[#This Row],[InterConf]]=1,IF(Table1[[#This Row],[InterDiv]]=0, 1, 0), 0)</f>
        <v>0</v>
      </c>
      <c r="AM945" s="64">
        <f>IF(INDEX(Standings!$A$2:$C$33,MATCH(Table1[[#This Row],[AwayTeam]],Standings!$A$2:$A$33,0),2)&lt;&gt;INDEX(Standings!$A$2:$C$33,MATCH(Table1[[#This Row],[HomeTeam]],Standings!$A$2:$A$33,0),2),1,0)</f>
        <v>1</v>
      </c>
      <c r="AN945" s="64" t="str">
        <f>INDEX(Table2[AWAY_RECORD], MATCH(Table1[[#This Row],[AwayTeam]],Table2[Team], 0), 0)</f>
        <v>0-0-1</v>
      </c>
      <c r="AO945" s="64" t="str">
        <f>INDEX(Records!$B$2:$AG$33, MATCH(Table1[[#This Row],[AwayTeam]],Records!$A$2:$A$33, 0), MATCH(Table1[[#This Row],[HomeTeam]],Records!$A$2:$A$33, 0))</f>
        <v>0-0-0</v>
      </c>
      <c r="AP945" s="64" t="str">
        <f>INDEX(Table2[HOME_RECORD], MATCH(Table1[[#This Row],[HomeTeam]],Table2[Team], 0), 0)</f>
        <v>0-0-1</v>
      </c>
      <c r="AQ945" s="64" t="str">
        <f>INDEX(Records!$B$2:$AG$33, MATCH(Table1[[#This Row],[HomeTeam]],Records!$A$2:$A$33, 0), MATCH(Table1[[#This Row],[AwayTeam]],Records!$A$2:$A$33, 0))</f>
        <v>0-0-0</v>
      </c>
    </row>
    <row r="946" spans="1:43" x14ac:dyDescent="0.25">
      <c r="A946" s="1"/>
      <c r="D946" t="s">
        <v>1265</v>
      </c>
      <c r="E946" t="s">
        <v>289</v>
      </c>
      <c r="F946" t="s">
        <v>1266</v>
      </c>
      <c r="G946" t="s">
        <v>61</v>
      </c>
      <c r="H946" t="s">
        <v>16</v>
      </c>
      <c r="L94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4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46" s="1"/>
      <c r="T946" s="64" t="str">
        <f>IF(Table1[[#This Row],[ActualWinner]]="", "", IF(Table1[[#This Row],[AwayTeam]]=Table1[[#This Row],[ActualWinner]],Table1[[#This Row],[HomeTeam]],Table1[[#This Row],[AwayTeam]]))</f>
        <v/>
      </c>
      <c r="U946" s="64">
        <f>Table1[[#This Row],[ActualAwayScore]]-Table1[[#This Row],[PredictedAwayScore]]</f>
        <v>0</v>
      </c>
      <c r="V946" s="64">
        <f>Table1[[#This Row],[ActualHomeScore]]-Table1[[#This Row],[PredictedHomeScore]]</f>
        <v>0</v>
      </c>
      <c r="W946" s="64">
        <f>(0.8*IF(Table1[[#This Row],[CorrectWinnerPrediction]]=1, 1, 0))+(0.1*IF(Table1[[#This Row],[CorrectAwayScorePrediction]]=1, 1, 0))+(0.1*IF(Table1[[#This Row],[CorrectHomeScorePrediction]]=1, 1, 0))</f>
        <v>0</v>
      </c>
      <c r="X94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46" s="64">
        <f>SUMIF(Table1[GameDate], Table1[[#This Row],[GameDate]], Table1[AwayGameGoalDiff])</f>
        <v>0</v>
      </c>
      <c r="AA946" s="64">
        <f>SUMIF(Table1[GameDate], Table1[[#This Row],[GameDate]], Table1[HomeGameGoalDiff])</f>
        <v>0</v>
      </c>
      <c r="AB946" s="64">
        <f>IF(ISBLANK(Table1[[#This Row],[ActualResult]]), 0, 1)</f>
        <v>0</v>
      </c>
      <c r="AC946" s="64">
        <f>IF(ISBLANK(Table1[[#This Row],[ActualResult]]), 0, IF(Table1[[#This Row],[ActualWinner]]=Table1[[#This Row],[PredictedWinner]], 1, 0))</f>
        <v>0</v>
      </c>
      <c r="AD94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4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46" s="64">
        <f>IF(AND(Table1[[#This Row],[GameIsOver]]=1,Table1[[#This Row],[ActualAwayScore]]=0), 1,0)</f>
        <v>0</v>
      </c>
      <c r="AG946" s="64">
        <f>IF(AND(Table1[[#This Row],[GameIsOver]]=1,Table1[[#This Row],[ActualHomeScore]]=0), 1,0)</f>
        <v>0</v>
      </c>
      <c r="AH946" s="64">
        <f>IF(Table1[[#This Row],[GameIsOver]]=0,0,IF(Table1[[#This Row],[ActualWinner]]=Table1[[#This Row],[AwayTeam]], 1, 0))</f>
        <v>0</v>
      </c>
      <c r="AI946" s="64">
        <f>IF(Table1[[#This Row],[GameIsOver]]=0,0,IF(Table1[[#This Row],[ActualWinner]]=Table1[[#This Row],[HomeTeam]], 1, 0))</f>
        <v>0</v>
      </c>
      <c r="AJ946" s="64">
        <f>IF(INDEX(Standings!$A$2:$C$33,MATCH(Table1[[#This Row],[AwayTeam]],Standings!$A$2:$A$33,0),2)=INDEX(Standings!$A$2:$C$33,MATCH(Table1[[#This Row],[HomeTeam]],Standings!$A$2:$A$33,0),2),1,0)</f>
        <v>1</v>
      </c>
      <c r="AK946" s="64">
        <f>IF(INDEX(Standings!$A$2:$C$33,MATCH(Table1[[#This Row],[AwayTeam]],Standings!$A$2:$A$33,0),3)=INDEX(Standings!$A$2:$C$33,MATCH(Table1[[#This Row],[HomeTeam]],Standings!$A$2:$A$33,0),3),1,0)</f>
        <v>1</v>
      </c>
      <c r="AL946" s="64">
        <f>IF(Table1[[#This Row],[InterConf]]=1,IF(Table1[[#This Row],[InterDiv]]=0, 1, 0), 0)</f>
        <v>0</v>
      </c>
      <c r="AM946" s="64">
        <f>IF(INDEX(Standings!$A$2:$C$33,MATCH(Table1[[#This Row],[AwayTeam]],Standings!$A$2:$A$33,0),2)&lt;&gt;INDEX(Standings!$A$2:$C$33,MATCH(Table1[[#This Row],[HomeTeam]],Standings!$A$2:$A$33,0),2),1,0)</f>
        <v>0</v>
      </c>
      <c r="AN946" s="64" t="str">
        <f>INDEX(Table2[AWAY_RECORD], MATCH(Table1[[#This Row],[AwayTeam]],Table2[Team], 0), 0)</f>
        <v>0-0-0</v>
      </c>
      <c r="AO946" s="64" t="str">
        <f>INDEX(Records!$B$2:$AG$33, MATCH(Table1[[#This Row],[AwayTeam]],Records!$A$2:$A$33, 0), MATCH(Table1[[#This Row],[HomeTeam]],Records!$A$2:$A$33, 0))</f>
        <v>0-0-0</v>
      </c>
      <c r="AP946" s="64" t="str">
        <f>INDEX(Table2[HOME_RECORD], MATCH(Table1[[#This Row],[HomeTeam]],Table2[Team], 0), 0)</f>
        <v>0-0-0</v>
      </c>
      <c r="AQ946" s="64" t="str">
        <f>INDEX(Records!$B$2:$AG$33, MATCH(Table1[[#This Row],[HomeTeam]],Records!$A$2:$A$33, 0), MATCH(Table1[[#This Row],[AwayTeam]],Records!$A$2:$A$33, 0))</f>
        <v>0-0-0</v>
      </c>
    </row>
    <row r="947" spans="1:43" x14ac:dyDescent="0.25">
      <c r="A947" s="1"/>
      <c r="D947" t="s">
        <v>1265</v>
      </c>
      <c r="E947" t="s">
        <v>289</v>
      </c>
      <c r="F947" t="s">
        <v>1267</v>
      </c>
      <c r="G947" t="s">
        <v>46</v>
      </c>
      <c r="H947" t="s">
        <v>60</v>
      </c>
      <c r="L94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4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47" s="1"/>
      <c r="T947" s="64" t="str">
        <f>IF(Table1[[#This Row],[ActualWinner]]="", "", IF(Table1[[#This Row],[AwayTeam]]=Table1[[#This Row],[ActualWinner]],Table1[[#This Row],[HomeTeam]],Table1[[#This Row],[AwayTeam]]))</f>
        <v/>
      </c>
      <c r="U947" s="64">
        <f>Table1[[#This Row],[ActualAwayScore]]-Table1[[#This Row],[PredictedAwayScore]]</f>
        <v>0</v>
      </c>
      <c r="V947" s="64">
        <f>Table1[[#This Row],[ActualHomeScore]]-Table1[[#This Row],[PredictedHomeScore]]</f>
        <v>0</v>
      </c>
      <c r="W947" s="64">
        <f>(0.8*IF(Table1[[#This Row],[CorrectWinnerPrediction]]=1, 1, 0))+(0.1*IF(Table1[[#This Row],[CorrectAwayScorePrediction]]=1, 1, 0))+(0.1*IF(Table1[[#This Row],[CorrectHomeScorePrediction]]=1, 1, 0))</f>
        <v>0</v>
      </c>
      <c r="X94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47" s="64">
        <f>SUMIF(Table1[GameDate], Table1[[#This Row],[GameDate]], Table1[AwayGameGoalDiff])</f>
        <v>0</v>
      </c>
      <c r="AA947" s="64">
        <f>SUMIF(Table1[GameDate], Table1[[#This Row],[GameDate]], Table1[HomeGameGoalDiff])</f>
        <v>0</v>
      </c>
      <c r="AB947" s="64">
        <f>IF(ISBLANK(Table1[[#This Row],[ActualResult]]), 0, 1)</f>
        <v>0</v>
      </c>
      <c r="AC947" s="64">
        <f>IF(ISBLANK(Table1[[#This Row],[ActualResult]]), 0, IF(Table1[[#This Row],[ActualWinner]]=Table1[[#This Row],[PredictedWinner]], 1, 0))</f>
        <v>0</v>
      </c>
      <c r="AD94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4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47" s="64">
        <f>IF(AND(Table1[[#This Row],[GameIsOver]]=1,Table1[[#This Row],[ActualAwayScore]]=0), 1,0)</f>
        <v>0</v>
      </c>
      <c r="AG947" s="64">
        <f>IF(AND(Table1[[#This Row],[GameIsOver]]=1,Table1[[#This Row],[ActualHomeScore]]=0), 1,0)</f>
        <v>0</v>
      </c>
      <c r="AH947" s="64">
        <f>IF(Table1[[#This Row],[GameIsOver]]=0,0,IF(Table1[[#This Row],[ActualWinner]]=Table1[[#This Row],[AwayTeam]], 1, 0))</f>
        <v>0</v>
      </c>
      <c r="AI947" s="64">
        <f>IF(Table1[[#This Row],[GameIsOver]]=0,0,IF(Table1[[#This Row],[ActualWinner]]=Table1[[#This Row],[HomeTeam]], 1, 0))</f>
        <v>0</v>
      </c>
      <c r="AJ947" s="64">
        <f>IF(INDEX(Standings!$A$2:$C$33,MATCH(Table1[[#This Row],[AwayTeam]],Standings!$A$2:$A$33,0),2)=INDEX(Standings!$A$2:$C$33,MATCH(Table1[[#This Row],[HomeTeam]],Standings!$A$2:$A$33,0),2),1,0)</f>
        <v>1</v>
      </c>
      <c r="AK947" s="64">
        <f>IF(INDEX(Standings!$A$2:$C$33,MATCH(Table1[[#This Row],[AwayTeam]],Standings!$A$2:$A$33,0),3)=INDEX(Standings!$A$2:$C$33,MATCH(Table1[[#This Row],[HomeTeam]],Standings!$A$2:$A$33,0),3),1,0)</f>
        <v>0</v>
      </c>
      <c r="AL947" s="64">
        <f>IF(Table1[[#This Row],[InterConf]]=1,IF(Table1[[#This Row],[InterDiv]]=0, 1, 0), 0)</f>
        <v>1</v>
      </c>
      <c r="AM947" s="64">
        <f>IF(INDEX(Standings!$A$2:$C$33,MATCH(Table1[[#This Row],[AwayTeam]],Standings!$A$2:$A$33,0),2)&lt;&gt;INDEX(Standings!$A$2:$C$33,MATCH(Table1[[#This Row],[HomeTeam]],Standings!$A$2:$A$33,0),2),1,0)</f>
        <v>0</v>
      </c>
      <c r="AN947" s="64" t="str">
        <f>INDEX(Table2[AWAY_RECORD], MATCH(Table1[[#This Row],[AwayTeam]],Table2[Team], 0), 0)</f>
        <v>1-0-0</v>
      </c>
      <c r="AO947" s="64" t="str">
        <f>INDEX(Records!$B$2:$AG$33, MATCH(Table1[[#This Row],[AwayTeam]],Records!$A$2:$A$33, 0), MATCH(Table1[[#This Row],[HomeTeam]],Records!$A$2:$A$33, 0))</f>
        <v>0-0-0</v>
      </c>
      <c r="AP947" s="64" t="str">
        <f>INDEX(Table2[HOME_RECORD], MATCH(Table1[[#This Row],[HomeTeam]],Table2[Team], 0), 0)</f>
        <v>1-0-0</v>
      </c>
      <c r="AQ947" s="64" t="str">
        <f>INDEX(Records!$B$2:$AG$33, MATCH(Table1[[#This Row],[HomeTeam]],Records!$A$2:$A$33, 0), MATCH(Table1[[#This Row],[AwayTeam]],Records!$A$2:$A$33, 0))</f>
        <v>0-0-0</v>
      </c>
    </row>
    <row r="948" spans="1:43" x14ac:dyDescent="0.25">
      <c r="A948" s="1"/>
      <c r="D948" t="s">
        <v>1265</v>
      </c>
      <c r="E948" t="s">
        <v>164</v>
      </c>
      <c r="F948" t="s">
        <v>1268</v>
      </c>
      <c r="G948" t="s">
        <v>42</v>
      </c>
      <c r="H948" t="s">
        <v>58</v>
      </c>
      <c r="L94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4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48" s="1"/>
      <c r="T948" s="64" t="str">
        <f>IF(Table1[[#This Row],[ActualWinner]]="", "", IF(Table1[[#This Row],[AwayTeam]]=Table1[[#This Row],[ActualWinner]],Table1[[#This Row],[HomeTeam]],Table1[[#This Row],[AwayTeam]]))</f>
        <v/>
      </c>
      <c r="U948" s="64">
        <f>Table1[[#This Row],[ActualAwayScore]]-Table1[[#This Row],[PredictedAwayScore]]</f>
        <v>0</v>
      </c>
      <c r="V948" s="64">
        <f>Table1[[#This Row],[ActualHomeScore]]-Table1[[#This Row],[PredictedHomeScore]]</f>
        <v>0</v>
      </c>
      <c r="W948" s="64">
        <f>(0.8*IF(Table1[[#This Row],[CorrectWinnerPrediction]]=1, 1, 0))+(0.1*IF(Table1[[#This Row],[CorrectAwayScorePrediction]]=1, 1, 0))+(0.1*IF(Table1[[#This Row],[CorrectHomeScorePrediction]]=1, 1, 0))</f>
        <v>0</v>
      </c>
      <c r="X94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48" s="64">
        <f>SUMIF(Table1[GameDate], Table1[[#This Row],[GameDate]], Table1[AwayGameGoalDiff])</f>
        <v>0</v>
      </c>
      <c r="AA948" s="64">
        <f>SUMIF(Table1[GameDate], Table1[[#This Row],[GameDate]], Table1[HomeGameGoalDiff])</f>
        <v>0</v>
      </c>
      <c r="AB948" s="64">
        <f>IF(ISBLANK(Table1[[#This Row],[ActualResult]]), 0, 1)</f>
        <v>0</v>
      </c>
      <c r="AC948" s="64">
        <f>IF(ISBLANK(Table1[[#This Row],[ActualResult]]), 0, IF(Table1[[#This Row],[ActualWinner]]=Table1[[#This Row],[PredictedWinner]], 1, 0))</f>
        <v>0</v>
      </c>
      <c r="AD94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4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48" s="64">
        <f>IF(AND(Table1[[#This Row],[GameIsOver]]=1,Table1[[#This Row],[ActualAwayScore]]=0), 1,0)</f>
        <v>0</v>
      </c>
      <c r="AG948" s="64">
        <f>IF(AND(Table1[[#This Row],[GameIsOver]]=1,Table1[[#This Row],[ActualHomeScore]]=0), 1,0)</f>
        <v>0</v>
      </c>
      <c r="AH948" s="64">
        <f>IF(Table1[[#This Row],[GameIsOver]]=0,0,IF(Table1[[#This Row],[ActualWinner]]=Table1[[#This Row],[AwayTeam]], 1, 0))</f>
        <v>0</v>
      </c>
      <c r="AI948" s="64">
        <f>IF(Table1[[#This Row],[GameIsOver]]=0,0,IF(Table1[[#This Row],[ActualWinner]]=Table1[[#This Row],[HomeTeam]], 1, 0))</f>
        <v>0</v>
      </c>
      <c r="AJ948" s="64">
        <f>IF(INDEX(Standings!$A$2:$C$33,MATCH(Table1[[#This Row],[AwayTeam]],Standings!$A$2:$A$33,0),2)=INDEX(Standings!$A$2:$C$33,MATCH(Table1[[#This Row],[HomeTeam]],Standings!$A$2:$A$33,0),2),1,0)</f>
        <v>0</v>
      </c>
      <c r="AK948" s="64">
        <f>IF(INDEX(Standings!$A$2:$C$33,MATCH(Table1[[#This Row],[AwayTeam]],Standings!$A$2:$A$33,0),3)=INDEX(Standings!$A$2:$C$33,MATCH(Table1[[#This Row],[HomeTeam]],Standings!$A$2:$A$33,0),3),1,0)</f>
        <v>0</v>
      </c>
      <c r="AL948" s="64">
        <f>IF(Table1[[#This Row],[InterConf]]=1,IF(Table1[[#This Row],[InterDiv]]=0, 1, 0), 0)</f>
        <v>0</v>
      </c>
      <c r="AM948" s="64">
        <f>IF(INDEX(Standings!$A$2:$C$33,MATCH(Table1[[#This Row],[AwayTeam]],Standings!$A$2:$A$33,0),2)&lt;&gt;INDEX(Standings!$A$2:$C$33,MATCH(Table1[[#This Row],[HomeTeam]],Standings!$A$2:$A$33,0),2),1,0)</f>
        <v>1</v>
      </c>
      <c r="AN948" s="64" t="str">
        <f>INDEX(Table2[AWAY_RECORD], MATCH(Table1[[#This Row],[AwayTeam]],Table2[Team], 0), 0)</f>
        <v>0-0-0</v>
      </c>
      <c r="AO948" s="64" t="str">
        <f>INDEX(Records!$B$2:$AG$33, MATCH(Table1[[#This Row],[AwayTeam]],Records!$A$2:$A$33, 0), MATCH(Table1[[#This Row],[HomeTeam]],Records!$A$2:$A$33, 0))</f>
        <v>0-0-0</v>
      </c>
      <c r="AP948" s="64" t="str">
        <f>INDEX(Table2[HOME_RECORD], MATCH(Table1[[#This Row],[HomeTeam]],Table2[Team], 0), 0)</f>
        <v>1-0-0</v>
      </c>
      <c r="AQ948" s="64" t="str">
        <f>INDEX(Records!$B$2:$AG$33, MATCH(Table1[[#This Row],[HomeTeam]],Records!$A$2:$A$33, 0), MATCH(Table1[[#This Row],[AwayTeam]],Records!$A$2:$A$33, 0))</f>
        <v>0-0-0</v>
      </c>
    </row>
    <row r="949" spans="1:43" x14ac:dyDescent="0.25">
      <c r="A949" s="1"/>
      <c r="D949" t="s">
        <v>1265</v>
      </c>
      <c r="E949" t="s">
        <v>164</v>
      </c>
      <c r="F949" t="s">
        <v>1269</v>
      </c>
      <c r="G949" t="s">
        <v>37</v>
      </c>
      <c r="H949" t="s">
        <v>39</v>
      </c>
      <c r="L94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4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49" s="1"/>
      <c r="T949" s="64" t="str">
        <f>IF(Table1[[#This Row],[ActualWinner]]="", "", IF(Table1[[#This Row],[AwayTeam]]=Table1[[#This Row],[ActualWinner]],Table1[[#This Row],[HomeTeam]],Table1[[#This Row],[AwayTeam]]))</f>
        <v/>
      </c>
      <c r="U949" s="64">
        <f>Table1[[#This Row],[ActualAwayScore]]-Table1[[#This Row],[PredictedAwayScore]]</f>
        <v>0</v>
      </c>
      <c r="V949" s="64">
        <f>Table1[[#This Row],[ActualHomeScore]]-Table1[[#This Row],[PredictedHomeScore]]</f>
        <v>0</v>
      </c>
      <c r="W949" s="64">
        <f>(0.8*IF(Table1[[#This Row],[CorrectWinnerPrediction]]=1, 1, 0))+(0.1*IF(Table1[[#This Row],[CorrectAwayScorePrediction]]=1, 1, 0))+(0.1*IF(Table1[[#This Row],[CorrectHomeScorePrediction]]=1, 1, 0))</f>
        <v>0</v>
      </c>
      <c r="X94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49" s="64">
        <f>SUMIF(Table1[GameDate], Table1[[#This Row],[GameDate]], Table1[AwayGameGoalDiff])</f>
        <v>0</v>
      </c>
      <c r="AA949" s="64">
        <f>SUMIF(Table1[GameDate], Table1[[#This Row],[GameDate]], Table1[HomeGameGoalDiff])</f>
        <v>0</v>
      </c>
      <c r="AB949" s="64">
        <f>IF(ISBLANK(Table1[[#This Row],[ActualResult]]), 0, 1)</f>
        <v>0</v>
      </c>
      <c r="AC949" s="64">
        <f>IF(ISBLANK(Table1[[#This Row],[ActualResult]]), 0, IF(Table1[[#This Row],[ActualWinner]]=Table1[[#This Row],[PredictedWinner]], 1, 0))</f>
        <v>0</v>
      </c>
      <c r="AD94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4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49" s="64">
        <f>IF(AND(Table1[[#This Row],[GameIsOver]]=1,Table1[[#This Row],[ActualAwayScore]]=0), 1,0)</f>
        <v>0</v>
      </c>
      <c r="AG949" s="64">
        <f>IF(AND(Table1[[#This Row],[GameIsOver]]=1,Table1[[#This Row],[ActualHomeScore]]=0), 1,0)</f>
        <v>0</v>
      </c>
      <c r="AH949" s="64">
        <f>IF(Table1[[#This Row],[GameIsOver]]=0,0,IF(Table1[[#This Row],[ActualWinner]]=Table1[[#This Row],[AwayTeam]], 1, 0))</f>
        <v>0</v>
      </c>
      <c r="AI949" s="64">
        <f>IF(Table1[[#This Row],[GameIsOver]]=0,0,IF(Table1[[#This Row],[ActualWinner]]=Table1[[#This Row],[HomeTeam]], 1, 0))</f>
        <v>0</v>
      </c>
      <c r="AJ949" s="64">
        <f>IF(INDEX(Standings!$A$2:$C$33,MATCH(Table1[[#This Row],[AwayTeam]],Standings!$A$2:$A$33,0),2)=INDEX(Standings!$A$2:$C$33,MATCH(Table1[[#This Row],[HomeTeam]],Standings!$A$2:$A$33,0),2),1,0)</f>
        <v>0</v>
      </c>
      <c r="AK949" s="64">
        <f>IF(INDEX(Standings!$A$2:$C$33,MATCH(Table1[[#This Row],[AwayTeam]],Standings!$A$2:$A$33,0),3)=INDEX(Standings!$A$2:$C$33,MATCH(Table1[[#This Row],[HomeTeam]],Standings!$A$2:$A$33,0),3),1,0)</f>
        <v>0</v>
      </c>
      <c r="AL949" s="64">
        <f>IF(Table1[[#This Row],[InterConf]]=1,IF(Table1[[#This Row],[InterDiv]]=0, 1, 0), 0)</f>
        <v>0</v>
      </c>
      <c r="AM949" s="64">
        <f>IF(INDEX(Standings!$A$2:$C$33,MATCH(Table1[[#This Row],[AwayTeam]],Standings!$A$2:$A$33,0),2)&lt;&gt;INDEX(Standings!$A$2:$C$33,MATCH(Table1[[#This Row],[HomeTeam]],Standings!$A$2:$A$33,0),2),1,0)</f>
        <v>1</v>
      </c>
      <c r="AN949" s="64" t="str">
        <f>INDEX(Table2[AWAY_RECORD], MATCH(Table1[[#This Row],[AwayTeam]],Table2[Team], 0), 0)</f>
        <v>0-0-1</v>
      </c>
      <c r="AO949" s="64" t="str">
        <f>INDEX(Records!$B$2:$AG$33, MATCH(Table1[[#This Row],[AwayTeam]],Records!$A$2:$A$33, 0), MATCH(Table1[[#This Row],[HomeTeam]],Records!$A$2:$A$33, 0))</f>
        <v>0-0-0</v>
      </c>
      <c r="AP949" s="64" t="str">
        <f>INDEX(Table2[HOME_RECORD], MATCH(Table1[[#This Row],[HomeTeam]],Table2[Team], 0), 0)</f>
        <v>0-1-0</v>
      </c>
      <c r="AQ949" s="64" t="str">
        <f>INDEX(Records!$B$2:$AG$33, MATCH(Table1[[#This Row],[HomeTeam]],Records!$A$2:$A$33, 0), MATCH(Table1[[#This Row],[AwayTeam]],Records!$A$2:$A$33, 0))</f>
        <v>0-0-0</v>
      </c>
    </row>
    <row r="950" spans="1:43" x14ac:dyDescent="0.25">
      <c r="A950" s="1"/>
      <c r="D950" t="s">
        <v>1265</v>
      </c>
      <c r="E950" t="s">
        <v>164</v>
      </c>
      <c r="F950" t="s">
        <v>1270</v>
      </c>
      <c r="G950" t="s">
        <v>41</v>
      </c>
      <c r="H950" t="s">
        <v>45</v>
      </c>
      <c r="L95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5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50" s="1"/>
      <c r="T950" s="64" t="str">
        <f>IF(Table1[[#This Row],[ActualWinner]]="", "", IF(Table1[[#This Row],[AwayTeam]]=Table1[[#This Row],[ActualWinner]],Table1[[#This Row],[HomeTeam]],Table1[[#This Row],[AwayTeam]]))</f>
        <v/>
      </c>
      <c r="U950" s="64">
        <f>Table1[[#This Row],[ActualAwayScore]]-Table1[[#This Row],[PredictedAwayScore]]</f>
        <v>0</v>
      </c>
      <c r="V950" s="64">
        <f>Table1[[#This Row],[ActualHomeScore]]-Table1[[#This Row],[PredictedHomeScore]]</f>
        <v>0</v>
      </c>
      <c r="W950" s="64">
        <f>(0.8*IF(Table1[[#This Row],[CorrectWinnerPrediction]]=1, 1, 0))+(0.1*IF(Table1[[#This Row],[CorrectAwayScorePrediction]]=1, 1, 0))+(0.1*IF(Table1[[#This Row],[CorrectHomeScorePrediction]]=1, 1, 0))</f>
        <v>0</v>
      </c>
      <c r="X95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50" s="64">
        <f>SUMIF(Table1[GameDate], Table1[[#This Row],[GameDate]], Table1[AwayGameGoalDiff])</f>
        <v>0</v>
      </c>
      <c r="AA950" s="64">
        <f>SUMIF(Table1[GameDate], Table1[[#This Row],[GameDate]], Table1[HomeGameGoalDiff])</f>
        <v>0</v>
      </c>
      <c r="AB950" s="64">
        <f>IF(ISBLANK(Table1[[#This Row],[ActualResult]]), 0, 1)</f>
        <v>0</v>
      </c>
      <c r="AC950" s="64">
        <f>IF(ISBLANK(Table1[[#This Row],[ActualResult]]), 0, IF(Table1[[#This Row],[ActualWinner]]=Table1[[#This Row],[PredictedWinner]], 1, 0))</f>
        <v>0</v>
      </c>
      <c r="AD95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5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50" s="64">
        <f>IF(AND(Table1[[#This Row],[GameIsOver]]=1,Table1[[#This Row],[ActualAwayScore]]=0), 1,0)</f>
        <v>0</v>
      </c>
      <c r="AG950" s="64">
        <f>IF(AND(Table1[[#This Row],[GameIsOver]]=1,Table1[[#This Row],[ActualHomeScore]]=0), 1,0)</f>
        <v>0</v>
      </c>
      <c r="AH950" s="64">
        <f>IF(Table1[[#This Row],[GameIsOver]]=0,0,IF(Table1[[#This Row],[ActualWinner]]=Table1[[#This Row],[AwayTeam]], 1, 0))</f>
        <v>0</v>
      </c>
      <c r="AI950" s="64">
        <f>IF(Table1[[#This Row],[GameIsOver]]=0,0,IF(Table1[[#This Row],[ActualWinner]]=Table1[[#This Row],[HomeTeam]], 1, 0))</f>
        <v>0</v>
      </c>
      <c r="AJ950" s="64">
        <f>IF(INDEX(Standings!$A$2:$C$33,MATCH(Table1[[#This Row],[AwayTeam]],Standings!$A$2:$A$33,0),2)=INDEX(Standings!$A$2:$C$33,MATCH(Table1[[#This Row],[HomeTeam]],Standings!$A$2:$A$33,0),2),1,0)</f>
        <v>1</v>
      </c>
      <c r="AK950" s="64">
        <f>IF(INDEX(Standings!$A$2:$C$33,MATCH(Table1[[#This Row],[AwayTeam]],Standings!$A$2:$A$33,0),3)=INDEX(Standings!$A$2:$C$33,MATCH(Table1[[#This Row],[HomeTeam]],Standings!$A$2:$A$33,0),3),1,0)</f>
        <v>0</v>
      </c>
      <c r="AL950" s="64">
        <f>IF(Table1[[#This Row],[InterConf]]=1,IF(Table1[[#This Row],[InterDiv]]=0, 1, 0), 0)</f>
        <v>1</v>
      </c>
      <c r="AM950" s="64">
        <f>IF(INDEX(Standings!$A$2:$C$33,MATCH(Table1[[#This Row],[AwayTeam]],Standings!$A$2:$A$33,0),2)&lt;&gt;INDEX(Standings!$A$2:$C$33,MATCH(Table1[[#This Row],[HomeTeam]],Standings!$A$2:$A$33,0),2),1,0)</f>
        <v>0</v>
      </c>
      <c r="AN950" s="64" t="str">
        <f>INDEX(Table2[AWAY_RECORD], MATCH(Table1[[#This Row],[AwayTeam]],Table2[Team], 0), 0)</f>
        <v>0-0-0</v>
      </c>
      <c r="AO950" s="64" t="str">
        <f>INDEX(Records!$B$2:$AG$33, MATCH(Table1[[#This Row],[AwayTeam]],Records!$A$2:$A$33, 0), MATCH(Table1[[#This Row],[HomeTeam]],Records!$A$2:$A$33, 0))</f>
        <v>0-0-0</v>
      </c>
      <c r="AP950" s="64" t="str">
        <f>INDEX(Table2[HOME_RECORD], MATCH(Table1[[#This Row],[HomeTeam]],Table2[Team], 0), 0)</f>
        <v>1-0-0</v>
      </c>
      <c r="AQ950" s="64" t="str">
        <f>INDEX(Records!$B$2:$AG$33, MATCH(Table1[[#This Row],[HomeTeam]],Records!$A$2:$A$33, 0), MATCH(Table1[[#This Row],[AwayTeam]],Records!$A$2:$A$33, 0))</f>
        <v>0-0-0</v>
      </c>
    </row>
    <row r="951" spans="1:43" x14ac:dyDescent="0.25">
      <c r="A951" s="1"/>
      <c r="D951" t="s">
        <v>1265</v>
      </c>
      <c r="E951" t="s">
        <v>593</v>
      </c>
      <c r="F951" t="s">
        <v>1271</v>
      </c>
      <c r="G951" t="s">
        <v>52</v>
      </c>
      <c r="H951" t="s">
        <v>56</v>
      </c>
      <c r="L95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5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51" s="1"/>
      <c r="T951" s="64" t="str">
        <f>IF(Table1[[#This Row],[ActualWinner]]="", "", IF(Table1[[#This Row],[AwayTeam]]=Table1[[#This Row],[ActualWinner]],Table1[[#This Row],[HomeTeam]],Table1[[#This Row],[AwayTeam]]))</f>
        <v/>
      </c>
      <c r="U951" s="64">
        <f>Table1[[#This Row],[ActualAwayScore]]-Table1[[#This Row],[PredictedAwayScore]]</f>
        <v>0</v>
      </c>
      <c r="V951" s="64">
        <f>Table1[[#This Row],[ActualHomeScore]]-Table1[[#This Row],[PredictedHomeScore]]</f>
        <v>0</v>
      </c>
      <c r="W951" s="64">
        <f>(0.8*IF(Table1[[#This Row],[CorrectWinnerPrediction]]=1, 1, 0))+(0.1*IF(Table1[[#This Row],[CorrectAwayScorePrediction]]=1, 1, 0))+(0.1*IF(Table1[[#This Row],[CorrectHomeScorePrediction]]=1, 1, 0))</f>
        <v>0</v>
      </c>
      <c r="X95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51" s="64">
        <f>SUMIF(Table1[GameDate], Table1[[#This Row],[GameDate]], Table1[AwayGameGoalDiff])</f>
        <v>0</v>
      </c>
      <c r="AA951" s="64">
        <f>SUMIF(Table1[GameDate], Table1[[#This Row],[GameDate]], Table1[HomeGameGoalDiff])</f>
        <v>0</v>
      </c>
      <c r="AB951" s="64">
        <f>IF(ISBLANK(Table1[[#This Row],[ActualResult]]), 0, 1)</f>
        <v>0</v>
      </c>
      <c r="AC951" s="64">
        <f>IF(ISBLANK(Table1[[#This Row],[ActualResult]]), 0, IF(Table1[[#This Row],[ActualWinner]]=Table1[[#This Row],[PredictedWinner]], 1, 0))</f>
        <v>0</v>
      </c>
      <c r="AD95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5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51" s="64">
        <f>IF(AND(Table1[[#This Row],[GameIsOver]]=1,Table1[[#This Row],[ActualAwayScore]]=0), 1,0)</f>
        <v>0</v>
      </c>
      <c r="AG951" s="64">
        <f>IF(AND(Table1[[#This Row],[GameIsOver]]=1,Table1[[#This Row],[ActualHomeScore]]=0), 1,0)</f>
        <v>0</v>
      </c>
      <c r="AH951" s="64">
        <f>IF(Table1[[#This Row],[GameIsOver]]=0,0,IF(Table1[[#This Row],[ActualWinner]]=Table1[[#This Row],[AwayTeam]], 1, 0))</f>
        <v>0</v>
      </c>
      <c r="AI951" s="64">
        <f>IF(Table1[[#This Row],[GameIsOver]]=0,0,IF(Table1[[#This Row],[ActualWinner]]=Table1[[#This Row],[HomeTeam]], 1, 0))</f>
        <v>0</v>
      </c>
      <c r="AJ951" s="64">
        <f>IF(INDEX(Standings!$A$2:$C$33,MATCH(Table1[[#This Row],[AwayTeam]],Standings!$A$2:$A$33,0),2)=INDEX(Standings!$A$2:$C$33,MATCH(Table1[[#This Row],[HomeTeam]],Standings!$A$2:$A$33,0),2),1,0)</f>
        <v>0</v>
      </c>
      <c r="AK951" s="64">
        <f>IF(INDEX(Standings!$A$2:$C$33,MATCH(Table1[[#This Row],[AwayTeam]],Standings!$A$2:$A$33,0),3)=INDEX(Standings!$A$2:$C$33,MATCH(Table1[[#This Row],[HomeTeam]],Standings!$A$2:$A$33,0),3),1,0)</f>
        <v>0</v>
      </c>
      <c r="AL951" s="64">
        <f>IF(Table1[[#This Row],[InterConf]]=1,IF(Table1[[#This Row],[InterDiv]]=0, 1, 0), 0)</f>
        <v>0</v>
      </c>
      <c r="AM951" s="64">
        <f>IF(INDEX(Standings!$A$2:$C$33,MATCH(Table1[[#This Row],[AwayTeam]],Standings!$A$2:$A$33,0),2)&lt;&gt;INDEX(Standings!$A$2:$C$33,MATCH(Table1[[#This Row],[HomeTeam]],Standings!$A$2:$A$33,0),2),1,0)</f>
        <v>1</v>
      </c>
      <c r="AN951" s="64" t="str">
        <f>INDEX(Table2[AWAY_RECORD], MATCH(Table1[[#This Row],[AwayTeam]],Table2[Team], 0), 0)</f>
        <v>0-0-0</v>
      </c>
      <c r="AO951" s="64" t="str">
        <f>INDEX(Records!$B$2:$AG$33, MATCH(Table1[[#This Row],[AwayTeam]],Records!$A$2:$A$33, 0), MATCH(Table1[[#This Row],[HomeTeam]],Records!$A$2:$A$33, 0))</f>
        <v>0-0-0</v>
      </c>
      <c r="AP951" s="64" t="str">
        <f>INDEX(Table2[HOME_RECORD], MATCH(Table1[[#This Row],[HomeTeam]],Table2[Team], 0), 0)</f>
        <v>0-0-0</v>
      </c>
      <c r="AQ951" s="64" t="str">
        <f>INDEX(Records!$B$2:$AG$33, MATCH(Table1[[#This Row],[HomeTeam]],Records!$A$2:$A$33, 0), MATCH(Table1[[#This Row],[AwayTeam]],Records!$A$2:$A$33, 0))</f>
        <v>0-0-0</v>
      </c>
    </row>
    <row r="952" spans="1:43" x14ac:dyDescent="0.25">
      <c r="A952" s="1"/>
      <c r="D952" t="s">
        <v>1272</v>
      </c>
      <c r="E952" t="s">
        <v>162</v>
      </c>
      <c r="F952" t="s">
        <v>1273</v>
      </c>
      <c r="G952" t="s">
        <v>40</v>
      </c>
      <c r="H952" t="s">
        <v>38</v>
      </c>
      <c r="L95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5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52" s="1"/>
      <c r="T952" s="64" t="str">
        <f>IF(Table1[[#This Row],[ActualWinner]]="", "", IF(Table1[[#This Row],[AwayTeam]]=Table1[[#This Row],[ActualWinner]],Table1[[#This Row],[HomeTeam]],Table1[[#This Row],[AwayTeam]]))</f>
        <v/>
      </c>
      <c r="U952" s="64">
        <f>Table1[[#This Row],[ActualAwayScore]]-Table1[[#This Row],[PredictedAwayScore]]</f>
        <v>0</v>
      </c>
      <c r="V952" s="64">
        <f>Table1[[#This Row],[ActualHomeScore]]-Table1[[#This Row],[PredictedHomeScore]]</f>
        <v>0</v>
      </c>
      <c r="W952" s="64">
        <f>(0.8*IF(Table1[[#This Row],[CorrectWinnerPrediction]]=1, 1, 0))+(0.1*IF(Table1[[#This Row],[CorrectAwayScorePrediction]]=1, 1, 0))+(0.1*IF(Table1[[#This Row],[CorrectHomeScorePrediction]]=1, 1, 0))</f>
        <v>0</v>
      </c>
      <c r="X95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52" s="64">
        <f>SUMIF(Table1[GameDate], Table1[[#This Row],[GameDate]], Table1[AwayGameGoalDiff])</f>
        <v>0</v>
      </c>
      <c r="AA952" s="64">
        <f>SUMIF(Table1[GameDate], Table1[[#This Row],[GameDate]], Table1[HomeGameGoalDiff])</f>
        <v>0</v>
      </c>
      <c r="AB952" s="64">
        <f>IF(ISBLANK(Table1[[#This Row],[ActualResult]]), 0, 1)</f>
        <v>0</v>
      </c>
      <c r="AC952" s="64">
        <f>IF(ISBLANK(Table1[[#This Row],[ActualResult]]), 0, IF(Table1[[#This Row],[ActualWinner]]=Table1[[#This Row],[PredictedWinner]], 1, 0))</f>
        <v>0</v>
      </c>
      <c r="AD95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5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52" s="64">
        <f>IF(AND(Table1[[#This Row],[GameIsOver]]=1,Table1[[#This Row],[ActualAwayScore]]=0), 1,0)</f>
        <v>0</v>
      </c>
      <c r="AG952" s="64">
        <f>IF(AND(Table1[[#This Row],[GameIsOver]]=1,Table1[[#This Row],[ActualHomeScore]]=0), 1,0)</f>
        <v>0</v>
      </c>
      <c r="AH952" s="64">
        <f>IF(Table1[[#This Row],[GameIsOver]]=0,0,IF(Table1[[#This Row],[ActualWinner]]=Table1[[#This Row],[AwayTeam]], 1, 0))</f>
        <v>0</v>
      </c>
      <c r="AI952" s="64">
        <f>IF(Table1[[#This Row],[GameIsOver]]=0,0,IF(Table1[[#This Row],[ActualWinner]]=Table1[[#This Row],[HomeTeam]], 1, 0))</f>
        <v>0</v>
      </c>
      <c r="AJ952" s="64">
        <f>IF(INDEX(Standings!$A$2:$C$33,MATCH(Table1[[#This Row],[AwayTeam]],Standings!$A$2:$A$33,0),2)=INDEX(Standings!$A$2:$C$33,MATCH(Table1[[#This Row],[HomeTeam]],Standings!$A$2:$A$33,0),2),1,0)</f>
        <v>1</v>
      </c>
      <c r="AK952" s="64">
        <f>IF(INDEX(Standings!$A$2:$C$33,MATCH(Table1[[#This Row],[AwayTeam]],Standings!$A$2:$A$33,0),3)=INDEX(Standings!$A$2:$C$33,MATCH(Table1[[#This Row],[HomeTeam]],Standings!$A$2:$A$33,0),3),1,0)</f>
        <v>0</v>
      </c>
      <c r="AL952" s="64">
        <f>IF(Table1[[#This Row],[InterConf]]=1,IF(Table1[[#This Row],[InterDiv]]=0, 1, 0), 0)</f>
        <v>1</v>
      </c>
      <c r="AM952" s="64">
        <f>IF(INDEX(Standings!$A$2:$C$33,MATCH(Table1[[#This Row],[AwayTeam]],Standings!$A$2:$A$33,0),2)&lt;&gt;INDEX(Standings!$A$2:$C$33,MATCH(Table1[[#This Row],[HomeTeam]],Standings!$A$2:$A$33,0),2),1,0)</f>
        <v>0</v>
      </c>
      <c r="AN952" s="64" t="str">
        <f>INDEX(Table2[AWAY_RECORD], MATCH(Table1[[#This Row],[AwayTeam]],Table2[Team], 0), 0)</f>
        <v>0-0-0</v>
      </c>
      <c r="AO952" s="64" t="str">
        <f>INDEX(Records!$B$2:$AG$33, MATCH(Table1[[#This Row],[AwayTeam]],Records!$A$2:$A$33, 0), MATCH(Table1[[#This Row],[HomeTeam]],Records!$A$2:$A$33, 0))</f>
        <v>0-0-0</v>
      </c>
      <c r="AP952" s="64" t="str">
        <f>INDEX(Table2[HOME_RECORD], MATCH(Table1[[#This Row],[HomeTeam]],Table2[Team], 0), 0)</f>
        <v>0-0-0</v>
      </c>
      <c r="AQ952" s="64" t="str">
        <f>INDEX(Records!$B$2:$AG$33, MATCH(Table1[[#This Row],[HomeTeam]],Records!$A$2:$A$33, 0), MATCH(Table1[[#This Row],[AwayTeam]],Records!$A$2:$A$33, 0))</f>
        <v>0-0-0</v>
      </c>
    </row>
    <row r="953" spans="1:43" x14ac:dyDescent="0.25">
      <c r="A953" s="1"/>
      <c r="D953" t="s">
        <v>1272</v>
      </c>
      <c r="E953" t="s">
        <v>162</v>
      </c>
      <c r="F953" t="s">
        <v>1274</v>
      </c>
      <c r="G953" t="s">
        <v>47</v>
      </c>
      <c r="H953" t="s">
        <v>44</v>
      </c>
      <c r="L95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5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53" s="1"/>
      <c r="T953" s="64" t="str">
        <f>IF(Table1[[#This Row],[ActualWinner]]="", "", IF(Table1[[#This Row],[AwayTeam]]=Table1[[#This Row],[ActualWinner]],Table1[[#This Row],[HomeTeam]],Table1[[#This Row],[AwayTeam]]))</f>
        <v/>
      </c>
      <c r="U953" s="64">
        <f>Table1[[#This Row],[ActualAwayScore]]-Table1[[#This Row],[PredictedAwayScore]]</f>
        <v>0</v>
      </c>
      <c r="V953" s="64">
        <f>Table1[[#This Row],[ActualHomeScore]]-Table1[[#This Row],[PredictedHomeScore]]</f>
        <v>0</v>
      </c>
      <c r="W953" s="64">
        <f>(0.8*IF(Table1[[#This Row],[CorrectWinnerPrediction]]=1, 1, 0))+(0.1*IF(Table1[[#This Row],[CorrectAwayScorePrediction]]=1, 1, 0))+(0.1*IF(Table1[[#This Row],[CorrectHomeScorePrediction]]=1, 1, 0))</f>
        <v>0</v>
      </c>
      <c r="X95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53" s="64">
        <f>SUMIF(Table1[GameDate], Table1[[#This Row],[GameDate]], Table1[AwayGameGoalDiff])</f>
        <v>0</v>
      </c>
      <c r="AA953" s="64">
        <f>SUMIF(Table1[GameDate], Table1[[#This Row],[GameDate]], Table1[HomeGameGoalDiff])</f>
        <v>0</v>
      </c>
      <c r="AB953" s="64">
        <f>IF(ISBLANK(Table1[[#This Row],[ActualResult]]), 0, 1)</f>
        <v>0</v>
      </c>
      <c r="AC953" s="64">
        <f>IF(ISBLANK(Table1[[#This Row],[ActualResult]]), 0, IF(Table1[[#This Row],[ActualWinner]]=Table1[[#This Row],[PredictedWinner]], 1, 0))</f>
        <v>0</v>
      </c>
      <c r="AD95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5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53" s="64">
        <f>IF(AND(Table1[[#This Row],[GameIsOver]]=1,Table1[[#This Row],[ActualAwayScore]]=0), 1,0)</f>
        <v>0</v>
      </c>
      <c r="AG953" s="64">
        <f>IF(AND(Table1[[#This Row],[GameIsOver]]=1,Table1[[#This Row],[ActualHomeScore]]=0), 1,0)</f>
        <v>0</v>
      </c>
      <c r="AH953" s="64">
        <f>IF(Table1[[#This Row],[GameIsOver]]=0,0,IF(Table1[[#This Row],[ActualWinner]]=Table1[[#This Row],[AwayTeam]], 1, 0))</f>
        <v>0</v>
      </c>
      <c r="AI953" s="64">
        <f>IF(Table1[[#This Row],[GameIsOver]]=0,0,IF(Table1[[#This Row],[ActualWinner]]=Table1[[#This Row],[HomeTeam]], 1, 0))</f>
        <v>0</v>
      </c>
      <c r="AJ953" s="64">
        <f>IF(INDEX(Standings!$A$2:$C$33,MATCH(Table1[[#This Row],[AwayTeam]],Standings!$A$2:$A$33,0),2)=INDEX(Standings!$A$2:$C$33,MATCH(Table1[[#This Row],[HomeTeam]],Standings!$A$2:$A$33,0),2),1,0)</f>
        <v>1</v>
      </c>
      <c r="AK953" s="64">
        <f>IF(INDEX(Standings!$A$2:$C$33,MATCH(Table1[[#This Row],[AwayTeam]],Standings!$A$2:$A$33,0),3)=INDEX(Standings!$A$2:$C$33,MATCH(Table1[[#This Row],[HomeTeam]],Standings!$A$2:$A$33,0),3),1,0)</f>
        <v>1</v>
      </c>
      <c r="AL953" s="64">
        <f>IF(Table1[[#This Row],[InterConf]]=1,IF(Table1[[#This Row],[InterDiv]]=0, 1, 0), 0)</f>
        <v>0</v>
      </c>
      <c r="AM953" s="64">
        <f>IF(INDEX(Standings!$A$2:$C$33,MATCH(Table1[[#This Row],[AwayTeam]],Standings!$A$2:$A$33,0),2)&lt;&gt;INDEX(Standings!$A$2:$C$33,MATCH(Table1[[#This Row],[HomeTeam]],Standings!$A$2:$A$33,0),2),1,0)</f>
        <v>0</v>
      </c>
      <c r="AN953" s="64" t="str">
        <f>INDEX(Table2[AWAY_RECORD], MATCH(Table1[[#This Row],[AwayTeam]],Table2[Team], 0), 0)</f>
        <v>1-0-0</v>
      </c>
      <c r="AO953" s="64" t="str">
        <f>INDEX(Records!$B$2:$AG$33, MATCH(Table1[[#This Row],[AwayTeam]],Records!$A$2:$A$33, 0), MATCH(Table1[[#This Row],[HomeTeam]],Records!$A$2:$A$33, 0))</f>
        <v>0-0-0</v>
      </c>
      <c r="AP953" s="64" t="str">
        <f>INDEX(Table2[HOME_RECORD], MATCH(Table1[[#This Row],[HomeTeam]],Table2[Team], 0), 0)</f>
        <v>0-0-1</v>
      </c>
      <c r="AQ953" s="64" t="str">
        <f>INDEX(Records!$B$2:$AG$33, MATCH(Table1[[#This Row],[HomeTeam]],Records!$A$2:$A$33, 0), MATCH(Table1[[#This Row],[AwayTeam]],Records!$A$2:$A$33, 0))</f>
        <v>0-0-0</v>
      </c>
    </row>
    <row r="954" spans="1:43" x14ac:dyDescent="0.25">
      <c r="A954" s="1"/>
      <c r="D954" t="s">
        <v>1272</v>
      </c>
      <c r="E954" t="s">
        <v>162</v>
      </c>
      <c r="F954" t="s">
        <v>1275</v>
      </c>
      <c r="G954" t="s">
        <v>36</v>
      </c>
      <c r="H954" t="s">
        <v>57</v>
      </c>
      <c r="L95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5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54" s="1"/>
      <c r="T954" s="64" t="str">
        <f>IF(Table1[[#This Row],[ActualWinner]]="", "", IF(Table1[[#This Row],[AwayTeam]]=Table1[[#This Row],[ActualWinner]],Table1[[#This Row],[HomeTeam]],Table1[[#This Row],[AwayTeam]]))</f>
        <v/>
      </c>
      <c r="U954" s="64">
        <f>Table1[[#This Row],[ActualAwayScore]]-Table1[[#This Row],[PredictedAwayScore]]</f>
        <v>0</v>
      </c>
      <c r="V954" s="64">
        <f>Table1[[#This Row],[ActualHomeScore]]-Table1[[#This Row],[PredictedHomeScore]]</f>
        <v>0</v>
      </c>
      <c r="W954" s="64">
        <f>(0.8*IF(Table1[[#This Row],[CorrectWinnerPrediction]]=1, 1, 0))+(0.1*IF(Table1[[#This Row],[CorrectAwayScorePrediction]]=1, 1, 0))+(0.1*IF(Table1[[#This Row],[CorrectHomeScorePrediction]]=1, 1, 0))</f>
        <v>0</v>
      </c>
      <c r="X95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54" s="64">
        <f>SUMIF(Table1[GameDate], Table1[[#This Row],[GameDate]], Table1[AwayGameGoalDiff])</f>
        <v>0</v>
      </c>
      <c r="AA954" s="64">
        <f>SUMIF(Table1[GameDate], Table1[[#This Row],[GameDate]], Table1[HomeGameGoalDiff])</f>
        <v>0</v>
      </c>
      <c r="AB954" s="64">
        <f>IF(ISBLANK(Table1[[#This Row],[ActualResult]]), 0, 1)</f>
        <v>0</v>
      </c>
      <c r="AC954" s="64">
        <f>IF(ISBLANK(Table1[[#This Row],[ActualResult]]), 0, IF(Table1[[#This Row],[ActualWinner]]=Table1[[#This Row],[PredictedWinner]], 1, 0))</f>
        <v>0</v>
      </c>
      <c r="AD95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5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54" s="64">
        <f>IF(AND(Table1[[#This Row],[GameIsOver]]=1,Table1[[#This Row],[ActualAwayScore]]=0), 1,0)</f>
        <v>0</v>
      </c>
      <c r="AG954" s="64">
        <f>IF(AND(Table1[[#This Row],[GameIsOver]]=1,Table1[[#This Row],[ActualHomeScore]]=0), 1,0)</f>
        <v>0</v>
      </c>
      <c r="AH954" s="64">
        <f>IF(Table1[[#This Row],[GameIsOver]]=0,0,IF(Table1[[#This Row],[ActualWinner]]=Table1[[#This Row],[AwayTeam]], 1, 0))</f>
        <v>0</v>
      </c>
      <c r="AI954" s="64">
        <f>IF(Table1[[#This Row],[GameIsOver]]=0,0,IF(Table1[[#This Row],[ActualWinner]]=Table1[[#This Row],[HomeTeam]], 1, 0))</f>
        <v>0</v>
      </c>
      <c r="AJ954" s="64">
        <f>IF(INDEX(Standings!$A$2:$C$33,MATCH(Table1[[#This Row],[AwayTeam]],Standings!$A$2:$A$33,0),2)=INDEX(Standings!$A$2:$C$33,MATCH(Table1[[#This Row],[HomeTeam]],Standings!$A$2:$A$33,0),2),1,0)</f>
        <v>0</v>
      </c>
      <c r="AK954" s="64">
        <f>IF(INDEX(Standings!$A$2:$C$33,MATCH(Table1[[#This Row],[AwayTeam]],Standings!$A$2:$A$33,0),3)=INDEX(Standings!$A$2:$C$33,MATCH(Table1[[#This Row],[HomeTeam]],Standings!$A$2:$A$33,0),3),1,0)</f>
        <v>0</v>
      </c>
      <c r="AL954" s="64">
        <f>IF(Table1[[#This Row],[InterConf]]=1,IF(Table1[[#This Row],[InterDiv]]=0, 1, 0), 0)</f>
        <v>0</v>
      </c>
      <c r="AM954" s="64">
        <f>IF(INDEX(Standings!$A$2:$C$33,MATCH(Table1[[#This Row],[AwayTeam]],Standings!$A$2:$A$33,0),2)&lt;&gt;INDEX(Standings!$A$2:$C$33,MATCH(Table1[[#This Row],[HomeTeam]],Standings!$A$2:$A$33,0),2),1,0)</f>
        <v>1</v>
      </c>
      <c r="AN954" s="64" t="str">
        <f>INDEX(Table2[AWAY_RECORD], MATCH(Table1[[#This Row],[AwayTeam]],Table2[Team], 0), 0)</f>
        <v>0-0-0</v>
      </c>
      <c r="AO954" s="64" t="str">
        <f>INDEX(Records!$B$2:$AG$33, MATCH(Table1[[#This Row],[AwayTeam]],Records!$A$2:$A$33, 0), MATCH(Table1[[#This Row],[HomeTeam]],Records!$A$2:$A$33, 0))</f>
        <v>0-0-0</v>
      </c>
      <c r="AP954" s="64" t="str">
        <f>INDEX(Table2[HOME_RECORD], MATCH(Table1[[#This Row],[HomeTeam]],Table2[Team], 0), 0)</f>
        <v>0-0-0</v>
      </c>
      <c r="AQ954" s="64" t="str">
        <f>INDEX(Records!$B$2:$AG$33, MATCH(Table1[[#This Row],[HomeTeam]],Records!$A$2:$A$33, 0), MATCH(Table1[[#This Row],[AwayTeam]],Records!$A$2:$A$33, 0))</f>
        <v>0-0-0</v>
      </c>
    </row>
    <row r="955" spans="1:43" x14ac:dyDescent="0.25">
      <c r="A955" s="1"/>
      <c r="D955" t="s">
        <v>1272</v>
      </c>
      <c r="E955" t="s">
        <v>162</v>
      </c>
      <c r="F955" t="s">
        <v>1276</v>
      </c>
      <c r="G955" t="s">
        <v>49</v>
      </c>
      <c r="H955" t="s">
        <v>17</v>
      </c>
      <c r="L95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5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55" s="1"/>
      <c r="T955" s="64" t="str">
        <f>IF(Table1[[#This Row],[ActualWinner]]="", "", IF(Table1[[#This Row],[AwayTeam]]=Table1[[#This Row],[ActualWinner]],Table1[[#This Row],[HomeTeam]],Table1[[#This Row],[AwayTeam]]))</f>
        <v/>
      </c>
      <c r="U955" s="64">
        <f>Table1[[#This Row],[ActualAwayScore]]-Table1[[#This Row],[PredictedAwayScore]]</f>
        <v>0</v>
      </c>
      <c r="V955" s="64">
        <f>Table1[[#This Row],[ActualHomeScore]]-Table1[[#This Row],[PredictedHomeScore]]</f>
        <v>0</v>
      </c>
      <c r="W955" s="64">
        <f>(0.8*IF(Table1[[#This Row],[CorrectWinnerPrediction]]=1, 1, 0))+(0.1*IF(Table1[[#This Row],[CorrectAwayScorePrediction]]=1, 1, 0))+(0.1*IF(Table1[[#This Row],[CorrectHomeScorePrediction]]=1, 1, 0))</f>
        <v>0</v>
      </c>
      <c r="X95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55" s="64">
        <f>SUMIF(Table1[GameDate], Table1[[#This Row],[GameDate]], Table1[AwayGameGoalDiff])</f>
        <v>0</v>
      </c>
      <c r="AA955" s="64">
        <f>SUMIF(Table1[GameDate], Table1[[#This Row],[GameDate]], Table1[HomeGameGoalDiff])</f>
        <v>0</v>
      </c>
      <c r="AB955" s="64">
        <f>IF(ISBLANK(Table1[[#This Row],[ActualResult]]), 0, 1)</f>
        <v>0</v>
      </c>
      <c r="AC955" s="64">
        <f>IF(ISBLANK(Table1[[#This Row],[ActualResult]]), 0, IF(Table1[[#This Row],[ActualWinner]]=Table1[[#This Row],[PredictedWinner]], 1, 0))</f>
        <v>0</v>
      </c>
      <c r="AD95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5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55" s="64">
        <f>IF(AND(Table1[[#This Row],[GameIsOver]]=1,Table1[[#This Row],[ActualAwayScore]]=0), 1,0)</f>
        <v>0</v>
      </c>
      <c r="AG955" s="64">
        <f>IF(AND(Table1[[#This Row],[GameIsOver]]=1,Table1[[#This Row],[ActualHomeScore]]=0), 1,0)</f>
        <v>0</v>
      </c>
      <c r="AH955" s="64">
        <f>IF(Table1[[#This Row],[GameIsOver]]=0,0,IF(Table1[[#This Row],[ActualWinner]]=Table1[[#This Row],[AwayTeam]], 1, 0))</f>
        <v>0</v>
      </c>
      <c r="AI955" s="64">
        <f>IF(Table1[[#This Row],[GameIsOver]]=0,0,IF(Table1[[#This Row],[ActualWinner]]=Table1[[#This Row],[HomeTeam]], 1, 0))</f>
        <v>0</v>
      </c>
      <c r="AJ955" s="64">
        <f>IF(INDEX(Standings!$A$2:$C$33,MATCH(Table1[[#This Row],[AwayTeam]],Standings!$A$2:$A$33,0),2)=INDEX(Standings!$A$2:$C$33,MATCH(Table1[[#This Row],[HomeTeam]],Standings!$A$2:$A$33,0),2),1,0)</f>
        <v>1</v>
      </c>
      <c r="AK955" s="64">
        <f>IF(INDEX(Standings!$A$2:$C$33,MATCH(Table1[[#This Row],[AwayTeam]],Standings!$A$2:$A$33,0),3)=INDEX(Standings!$A$2:$C$33,MATCH(Table1[[#This Row],[HomeTeam]],Standings!$A$2:$A$33,0),3),1,0)</f>
        <v>0</v>
      </c>
      <c r="AL955" s="64">
        <f>IF(Table1[[#This Row],[InterConf]]=1,IF(Table1[[#This Row],[InterDiv]]=0, 1, 0), 0)</f>
        <v>1</v>
      </c>
      <c r="AM955" s="64">
        <f>IF(INDEX(Standings!$A$2:$C$33,MATCH(Table1[[#This Row],[AwayTeam]],Standings!$A$2:$A$33,0),2)&lt;&gt;INDEX(Standings!$A$2:$C$33,MATCH(Table1[[#This Row],[HomeTeam]],Standings!$A$2:$A$33,0),2),1,0)</f>
        <v>0</v>
      </c>
      <c r="AN955" s="64" t="str">
        <f>INDEX(Table2[AWAY_RECORD], MATCH(Table1[[#This Row],[AwayTeam]],Table2[Team], 0), 0)</f>
        <v>0-0-0</v>
      </c>
      <c r="AO955" s="64" t="str">
        <f>INDEX(Records!$B$2:$AG$33, MATCH(Table1[[#This Row],[AwayTeam]],Records!$A$2:$A$33, 0), MATCH(Table1[[#This Row],[HomeTeam]],Records!$A$2:$A$33, 0))</f>
        <v>0-0-0</v>
      </c>
      <c r="AP955" s="64" t="str">
        <f>INDEX(Table2[HOME_RECORD], MATCH(Table1[[#This Row],[HomeTeam]],Table2[Team], 0), 0)</f>
        <v>0-0-0</v>
      </c>
      <c r="AQ955" s="64" t="str">
        <f>INDEX(Records!$B$2:$AG$33, MATCH(Table1[[#This Row],[HomeTeam]],Records!$A$2:$A$33, 0), MATCH(Table1[[#This Row],[AwayTeam]],Records!$A$2:$A$33, 0))</f>
        <v>0-0-0</v>
      </c>
    </row>
    <row r="956" spans="1:43" x14ac:dyDescent="0.25">
      <c r="A956" s="1"/>
      <c r="D956" t="s">
        <v>1272</v>
      </c>
      <c r="E956" t="s">
        <v>162</v>
      </c>
      <c r="F956" t="s">
        <v>1277</v>
      </c>
      <c r="G956" t="s">
        <v>51</v>
      </c>
      <c r="H956" t="s">
        <v>50</v>
      </c>
      <c r="L95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5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56" s="1"/>
      <c r="T956" s="64" t="str">
        <f>IF(Table1[[#This Row],[ActualWinner]]="", "", IF(Table1[[#This Row],[AwayTeam]]=Table1[[#This Row],[ActualWinner]],Table1[[#This Row],[HomeTeam]],Table1[[#This Row],[AwayTeam]]))</f>
        <v/>
      </c>
      <c r="U956" s="64">
        <f>Table1[[#This Row],[ActualAwayScore]]-Table1[[#This Row],[PredictedAwayScore]]</f>
        <v>0</v>
      </c>
      <c r="V956" s="64">
        <f>Table1[[#This Row],[ActualHomeScore]]-Table1[[#This Row],[PredictedHomeScore]]</f>
        <v>0</v>
      </c>
      <c r="W956" s="64">
        <f>(0.8*IF(Table1[[#This Row],[CorrectWinnerPrediction]]=1, 1, 0))+(0.1*IF(Table1[[#This Row],[CorrectAwayScorePrediction]]=1, 1, 0))+(0.1*IF(Table1[[#This Row],[CorrectHomeScorePrediction]]=1, 1, 0))</f>
        <v>0</v>
      </c>
      <c r="X95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56" s="64">
        <f>SUMIF(Table1[GameDate], Table1[[#This Row],[GameDate]], Table1[AwayGameGoalDiff])</f>
        <v>0</v>
      </c>
      <c r="AA956" s="64">
        <f>SUMIF(Table1[GameDate], Table1[[#This Row],[GameDate]], Table1[HomeGameGoalDiff])</f>
        <v>0</v>
      </c>
      <c r="AB956" s="64">
        <f>IF(ISBLANK(Table1[[#This Row],[ActualResult]]), 0, 1)</f>
        <v>0</v>
      </c>
      <c r="AC956" s="64">
        <f>IF(ISBLANK(Table1[[#This Row],[ActualResult]]), 0, IF(Table1[[#This Row],[ActualWinner]]=Table1[[#This Row],[PredictedWinner]], 1, 0))</f>
        <v>0</v>
      </c>
      <c r="AD95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5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56" s="64">
        <f>IF(AND(Table1[[#This Row],[GameIsOver]]=1,Table1[[#This Row],[ActualAwayScore]]=0), 1,0)</f>
        <v>0</v>
      </c>
      <c r="AG956" s="64">
        <f>IF(AND(Table1[[#This Row],[GameIsOver]]=1,Table1[[#This Row],[ActualHomeScore]]=0), 1,0)</f>
        <v>0</v>
      </c>
      <c r="AH956" s="64">
        <f>IF(Table1[[#This Row],[GameIsOver]]=0,0,IF(Table1[[#This Row],[ActualWinner]]=Table1[[#This Row],[AwayTeam]], 1, 0))</f>
        <v>0</v>
      </c>
      <c r="AI956" s="64">
        <f>IF(Table1[[#This Row],[GameIsOver]]=0,0,IF(Table1[[#This Row],[ActualWinner]]=Table1[[#This Row],[HomeTeam]], 1, 0))</f>
        <v>0</v>
      </c>
      <c r="AJ956" s="64">
        <f>IF(INDEX(Standings!$A$2:$C$33,MATCH(Table1[[#This Row],[AwayTeam]],Standings!$A$2:$A$33,0),2)=INDEX(Standings!$A$2:$C$33,MATCH(Table1[[#This Row],[HomeTeam]],Standings!$A$2:$A$33,0),2),1,0)</f>
        <v>1</v>
      </c>
      <c r="AK956" s="64">
        <f>IF(INDEX(Standings!$A$2:$C$33,MATCH(Table1[[#This Row],[AwayTeam]],Standings!$A$2:$A$33,0),3)=INDEX(Standings!$A$2:$C$33,MATCH(Table1[[#This Row],[HomeTeam]],Standings!$A$2:$A$33,0),3),1,0)</f>
        <v>1</v>
      </c>
      <c r="AL956" s="64">
        <f>IF(Table1[[#This Row],[InterConf]]=1,IF(Table1[[#This Row],[InterDiv]]=0, 1, 0), 0)</f>
        <v>0</v>
      </c>
      <c r="AM956" s="64">
        <f>IF(INDEX(Standings!$A$2:$C$33,MATCH(Table1[[#This Row],[AwayTeam]],Standings!$A$2:$A$33,0),2)&lt;&gt;INDEX(Standings!$A$2:$C$33,MATCH(Table1[[#This Row],[HomeTeam]],Standings!$A$2:$A$33,0),2),1,0)</f>
        <v>0</v>
      </c>
      <c r="AN956" s="64" t="str">
        <f>INDEX(Table2[AWAY_RECORD], MATCH(Table1[[#This Row],[AwayTeam]],Table2[Team], 0), 0)</f>
        <v>2-0-0</v>
      </c>
      <c r="AO956" s="64" t="str">
        <f>INDEX(Records!$B$2:$AG$33, MATCH(Table1[[#This Row],[AwayTeam]],Records!$A$2:$A$33, 0), MATCH(Table1[[#This Row],[HomeTeam]],Records!$A$2:$A$33, 0))</f>
        <v>0-0-0</v>
      </c>
      <c r="AP956" s="64" t="str">
        <f>INDEX(Table2[HOME_RECORD], MATCH(Table1[[#This Row],[HomeTeam]],Table2[Team], 0), 0)</f>
        <v>0-0-0</v>
      </c>
      <c r="AQ956" s="64" t="str">
        <f>INDEX(Records!$B$2:$AG$33, MATCH(Table1[[#This Row],[HomeTeam]],Records!$A$2:$A$33, 0), MATCH(Table1[[#This Row],[AwayTeam]],Records!$A$2:$A$33, 0))</f>
        <v>0-0-0</v>
      </c>
    </row>
    <row r="957" spans="1:43" x14ac:dyDescent="0.25">
      <c r="A957" s="1"/>
      <c r="D957" t="s">
        <v>1272</v>
      </c>
      <c r="E957" t="s">
        <v>178</v>
      </c>
      <c r="F957" t="s">
        <v>1278</v>
      </c>
      <c r="G957" t="s">
        <v>24</v>
      </c>
      <c r="H957" t="s">
        <v>48</v>
      </c>
      <c r="L95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5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57" s="1"/>
      <c r="T957" s="64" t="str">
        <f>IF(Table1[[#This Row],[ActualWinner]]="", "", IF(Table1[[#This Row],[AwayTeam]]=Table1[[#This Row],[ActualWinner]],Table1[[#This Row],[HomeTeam]],Table1[[#This Row],[AwayTeam]]))</f>
        <v/>
      </c>
      <c r="U957" s="64">
        <f>Table1[[#This Row],[ActualAwayScore]]-Table1[[#This Row],[PredictedAwayScore]]</f>
        <v>0</v>
      </c>
      <c r="V957" s="64">
        <f>Table1[[#This Row],[ActualHomeScore]]-Table1[[#This Row],[PredictedHomeScore]]</f>
        <v>0</v>
      </c>
      <c r="W957" s="64">
        <f>(0.8*IF(Table1[[#This Row],[CorrectWinnerPrediction]]=1, 1, 0))+(0.1*IF(Table1[[#This Row],[CorrectAwayScorePrediction]]=1, 1, 0))+(0.1*IF(Table1[[#This Row],[CorrectHomeScorePrediction]]=1, 1, 0))</f>
        <v>0</v>
      </c>
      <c r="X95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57" s="64">
        <f>SUMIF(Table1[GameDate], Table1[[#This Row],[GameDate]], Table1[AwayGameGoalDiff])</f>
        <v>0</v>
      </c>
      <c r="AA957" s="64">
        <f>SUMIF(Table1[GameDate], Table1[[#This Row],[GameDate]], Table1[HomeGameGoalDiff])</f>
        <v>0</v>
      </c>
      <c r="AB957" s="64">
        <f>IF(ISBLANK(Table1[[#This Row],[ActualResult]]), 0, 1)</f>
        <v>0</v>
      </c>
      <c r="AC957" s="64">
        <f>IF(ISBLANK(Table1[[#This Row],[ActualResult]]), 0, IF(Table1[[#This Row],[ActualWinner]]=Table1[[#This Row],[PredictedWinner]], 1, 0))</f>
        <v>0</v>
      </c>
      <c r="AD95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5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57" s="64">
        <f>IF(AND(Table1[[#This Row],[GameIsOver]]=1,Table1[[#This Row],[ActualAwayScore]]=0), 1,0)</f>
        <v>0</v>
      </c>
      <c r="AG957" s="64">
        <f>IF(AND(Table1[[#This Row],[GameIsOver]]=1,Table1[[#This Row],[ActualHomeScore]]=0), 1,0)</f>
        <v>0</v>
      </c>
      <c r="AH957" s="64">
        <f>IF(Table1[[#This Row],[GameIsOver]]=0,0,IF(Table1[[#This Row],[ActualWinner]]=Table1[[#This Row],[AwayTeam]], 1, 0))</f>
        <v>0</v>
      </c>
      <c r="AI957" s="64">
        <f>IF(Table1[[#This Row],[GameIsOver]]=0,0,IF(Table1[[#This Row],[ActualWinner]]=Table1[[#This Row],[HomeTeam]], 1, 0))</f>
        <v>0</v>
      </c>
      <c r="AJ957" s="64">
        <f>IF(INDEX(Standings!$A$2:$C$33,MATCH(Table1[[#This Row],[AwayTeam]],Standings!$A$2:$A$33,0),2)=INDEX(Standings!$A$2:$C$33,MATCH(Table1[[#This Row],[HomeTeam]],Standings!$A$2:$A$33,0),2),1,0)</f>
        <v>0</v>
      </c>
      <c r="AK957" s="64">
        <f>IF(INDEX(Standings!$A$2:$C$33,MATCH(Table1[[#This Row],[AwayTeam]],Standings!$A$2:$A$33,0),3)=INDEX(Standings!$A$2:$C$33,MATCH(Table1[[#This Row],[HomeTeam]],Standings!$A$2:$A$33,0),3),1,0)</f>
        <v>0</v>
      </c>
      <c r="AL957" s="64">
        <f>IF(Table1[[#This Row],[InterConf]]=1,IF(Table1[[#This Row],[InterDiv]]=0, 1, 0), 0)</f>
        <v>0</v>
      </c>
      <c r="AM957" s="64">
        <f>IF(INDEX(Standings!$A$2:$C$33,MATCH(Table1[[#This Row],[AwayTeam]],Standings!$A$2:$A$33,0),2)&lt;&gt;INDEX(Standings!$A$2:$C$33,MATCH(Table1[[#This Row],[HomeTeam]],Standings!$A$2:$A$33,0),2),1,0)</f>
        <v>1</v>
      </c>
      <c r="AN957" s="64" t="str">
        <f>INDEX(Table2[AWAY_RECORD], MATCH(Table1[[#This Row],[AwayTeam]],Table2[Team], 0), 0)</f>
        <v>0-0-0</v>
      </c>
      <c r="AO957" s="64" t="str">
        <f>INDEX(Records!$B$2:$AG$33, MATCH(Table1[[#This Row],[AwayTeam]],Records!$A$2:$A$33, 0), MATCH(Table1[[#This Row],[HomeTeam]],Records!$A$2:$A$33, 0))</f>
        <v>0-0-0</v>
      </c>
      <c r="AP957" s="64" t="str">
        <f>INDEX(Table2[HOME_RECORD], MATCH(Table1[[#This Row],[HomeTeam]],Table2[Team], 0), 0)</f>
        <v>1-0-0</v>
      </c>
      <c r="AQ957" s="64" t="str">
        <f>INDEX(Records!$B$2:$AG$33, MATCH(Table1[[#This Row],[HomeTeam]],Records!$A$2:$A$33, 0), MATCH(Table1[[#This Row],[AwayTeam]],Records!$A$2:$A$33, 0))</f>
        <v>0-0-0</v>
      </c>
    </row>
    <row r="958" spans="1:43" x14ac:dyDescent="0.25">
      <c r="A958" s="1"/>
      <c r="D958" t="s">
        <v>1272</v>
      </c>
      <c r="E958" t="s">
        <v>178</v>
      </c>
      <c r="F958" t="s">
        <v>1279</v>
      </c>
      <c r="G958" t="s">
        <v>53</v>
      </c>
      <c r="H958" t="s">
        <v>43</v>
      </c>
      <c r="L95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5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58" s="1"/>
      <c r="T958" s="64" t="str">
        <f>IF(Table1[[#This Row],[ActualWinner]]="", "", IF(Table1[[#This Row],[AwayTeam]]=Table1[[#This Row],[ActualWinner]],Table1[[#This Row],[HomeTeam]],Table1[[#This Row],[AwayTeam]]))</f>
        <v/>
      </c>
      <c r="U958" s="64">
        <f>Table1[[#This Row],[ActualAwayScore]]-Table1[[#This Row],[PredictedAwayScore]]</f>
        <v>0</v>
      </c>
      <c r="V958" s="64">
        <f>Table1[[#This Row],[ActualHomeScore]]-Table1[[#This Row],[PredictedHomeScore]]</f>
        <v>0</v>
      </c>
      <c r="W958" s="64">
        <f>(0.8*IF(Table1[[#This Row],[CorrectWinnerPrediction]]=1, 1, 0))+(0.1*IF(Table1[[#This Row],[CorrectAwayScorePrediction]]=1, 1, 0))+(0.1*IF(Table1[[#This Row],[CorrectHomeScorePrediction]]=1, 1, 0))</f>
        <v>0</v>
      </c>
      <c r="X95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58" s="64">
        <f>SUMIF(Table1[GameDate], Table1[[#This Row],[GameDate]], Table1[AwayGameGoalDiff])</f>
        <v>0</v>
      </c>
      <c r="AA958" s="64">
        <f>SUMIF(Table1[GameDate], Table1[[#This Row],[GameDate]], Table1[HomeGameGoalDiff])</f>
        <v>0</v>
      </c>
      <c r="AB958" s="64">
        <f>IF(ISBLANK(Table1[[#This Row],[ActualResult]]), 0, 1)</f>
        <v>0</v>
      </c>
      <c r="AC958" s="64">
        <f>IF(ISBLANK(Table1[[#This Row],[ActualResult]]), 0, IF(Table1[[#This Row],[ActualWinner]]=Table1[[#This Row],[PredictedWinner]], 1, 0))</f>
        <v>0</v>
      </c>
      <c r="AD95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5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58" s="64">
        <f>IF(AND(Table1[[#This Row],[GameIsOver]]=1,Table1[[#This Row],[ActualAwayScore]]=0), 1,0)</f>
        <v>0</v>
      </c>
      <c r="AG958" s="64">
        <f>IF(AND(Table1[[#This Row],[GameIsOver]]=1,Table1[[#This Row],[ActualHomeScore]]=0), 1,0)</f>
        <v>0</v>
      </c>
      <c r="AH958" s="64">
        <f>IF(Table1[[#This Row],[GameIsOver]]=0,0,IF(Table1[[#This Row],[ActualWinner]]=Table1[[#This Row],[AwayTeam]], 1, 0))</f>
        <v>0</v>
      </c>
      <c r="AI958" s="64">
        <f>IF(Table1[[#This Row],[GameIsOver]]=0,0,IF(Table1[[#This Row],[ActualWinner]]=Table1[[#This Row],[HomeTeam]], 1, 0))</f>
        <v>0</v>
      </c>
      <c r="AJ958" s="64">
        <f>IF(INDEX(Standings!$A$2:$C$33,MATCH(Table1[[#This Row],[AwayTeam]],Standings!$A$2:$A$33,0),2)=INDEX(Standings!$A$2:$C$33,MATCH(Table1[[#This Row],[HomeTeam]],Standings!$A$2:$A$33,0),2),1,0)</f>
        <v>0</v>
      </c>
      <c r="AK958" s="64">
        <f>IF(INDEX(Standings!$A$2:$C$33,MATCH(Table1[[#This Row],[AwayTeam]],Standings!$A$2:$A$33,0),3)=INDEX(Standings!$A$2:$C$33,MATCH(Table1[[#This Row],[HomeTeam]],Standings!$A$2:$A$33,0),3),1,0)</f>
        <v>0</v>
      </c>
      <c r="AL958" s="64">
        <f>IF(Table1[[#This Row],[InterConf]]=1,IF(Table1[[#This Row],[InterDiv]]=0, 1, 0), 0)</f>
        <v>0</v>
      </c>
      <c r="AM958" s="64">
        <f>IF(INDEX(Standings!$A$2:$C$33,MATCH(Table1[[#This Row],[AwayTeam]],Standings!$A$2:$A$33,0),2)&lt;&gt;INDEX(Standings!$A$2:$C$33,MATCH(Table1[[#This Row],[HomeTeam]],Standings!$A$2:$A$33,0),2),1,0)</f>
        <v>1</v>
      </c>
      <c r="AN958" s="64" t="str">
        <f>INDEX(Table2[AWAY_RECORD], MATCH(Table1[[#This Row],[AwayTeam]],Table2[Team], 0), 0)</f>
        <v>0-1-0</v>
      </c>
      <c r="AO958" s="64" t="str">
        <f>INDEX(Records!$B$2:$AG$33, MATCH(Table1[[#This Row],[AwayTeam]],Records!$A$2:$A$33, 0), MATCH(Table1[[#This Row],[HomeTeam]],Records!$A$2:$A$33, 0))</f>
        <v>0-0-0</v>
      </c>
      <c r="AP958" s="64" t="str">
        <f>INDEX(Table2[HOME_RECORD], MATCH(Table1[[#This Row],[HomeTeam]],Table2[Team], 0), 0)</f>
        <v>0-0-0</v>
      </c>
      <c r="AQ958" s="64" t="str">
        <f>INDEX(Records!$B$2:$AG$33, MATCH(Table1[[#This Row],[HomeTeam]],Records!$A$2:$A$33, 0), MATCH(Table1[[#This Row],[AwayTeam]],Records!$A$2:$A$33, 0))</f>
        <v>0-0-0</v>
      </c>
    </row>
    <row r="959" spans="1:43" x14ac:dyDescent="0.25">
      <c r="A959" s="1"/>
      <c r="D959" t="s">
        <v>1272</v>
      </c>
      <c r="E959" t="s">
        <v>178</v>
      </c>
      <c r="F959" t="s">
        <v>1280</v>
      </c>
      <c r="G959" t="s">
        <v>46</v>
      </c>
      <c r="H959" t="s">
        <v>22</v>
      </c>
      <c r="L95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5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59" s="1"/>
      <c r="T959" s="64" t="str">
        <f>IF(Table1[[#This Row],[ActualWinner]]="", "", IF(Table1[[#This Row],[AwayTeam]]=Table1[[#This Row],[ActualWinner]],Table1[[#This Row],[HomeTeam]],Table1[[#This Row],[AwayTeam]]))</f>
        <v/>
      </c>
      <c r="U959" s="64">
        <f>Table1[[#This Row],[ActualAwayScore]]-Table1[[#This Row],[PredictedAwayScore]]</f>
        <v>0</v>
      </c>
      <c r="V959" s="64">
        <f>Table1[[#This Row],[ActualHomeScore]]-Table1[[#This Row],[PredictedHomeScore]]</f>
        <v>0</v>
      </c>
      <c r="W959" s="64">
        <f>(0.8*IF(Table1[[#This Row],[CorrectWinnerPrediction]]=1, 1, 0))+(0.1*IF(Table1[[#This Row],[CorrectAwayScorePrediction]]=1, 1, 0))+(0.1*IF(Table1[[#This Row],[CorrectHomeScorePrediction]]=1, 1, 0))</f>
        <v>0</v>
      </c>
      <c r="X95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59" s="64">
        <f>SUMIF(Table1[GameDate], Table1[[#This Row],[GameDate]], Table1[AwayGameGoalDiff])</f>
        <v>0</v>
      </c>
      <c r="AA959" s="64">
        <f>SUMIF(Table1[GameDate], Table1[[#This Row],[GameDate]], Table1[HomeGameGoalDiff])</f>
        <v>0</v>
      </c>
      <c r="AB959" s="64">
        <f>IF(ISBLANK(Table1[[#This Row],[ActualResult]]), 0, 1)</f>
        <v>0</v>
      </c>
      <c r="AC959" s="64">
        <f>IF(ISBLANK(Table1[[#This Row],[ActualResult]]), 0, IF(Table1[[#This Row],[ActualWinner]]=Table1[[#This Row],[PredictedWinner]], 1, 0))</f>
        <v>0</v>
      </c>
      <c r="AD95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5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59" s="64">
        <f>IF(AND(Table1[[#This Row],[GameIsOver]]=1,Table1[[#This Row],[ActualAwayScore]]=0), 1,0)</f>
        <v>0</v>
      </c>
      <c r="AG959" s="64">
        <f>IF(AND(Table1[[#This Row],[GameIsOver]]=1,Table1[[#This Row],[ActualHomeScore]]=0), 1,0)</f>
        <v>0</v>
      </c>
      <c r="AH959" s="64">
        <f>IF(Table1[[#This Row],[GameIsOver]]=0,0,IF(Table1[[#This Row],[ActualWinner]]=Table1[[#This Row],[AwayTeam]], 1, 0))</f>
        <v>0</v>
      </c>
      <c r="AI959" s="64">
        <f>IF(Table1[[#This Row],[GameIsOver]]=0,0,IF(Table1[[#This Row],[ActualWinner]]=Table1[[#This Row],[HomeTeam]], 1, 0))</f>
        <v>0</v>
      </c>
      <c r="AJ959" s="64">
        <f>IF(INDEX(Standings!$A$2:$C$33,MATCH(Table1[[#This Row],[AwayTeam]],Standings!$A$2:$A$33,0),2)=INDEX(Standings!$A$2:$C$33,MATCH(Table1[[#This Row],[HomeTeam]],Standings!$A$2:$A$33,0),2),1,0)</f>
        <v>1</v>
      </c>
      <c r="AK959" s="64">
        <f>IF(INDEX(Standings!$A$2:$C$33,MATCH(Table1[[#This Row],[AwayTeam]],Standings!$A$2:$A$33,0),3)=INDEX(Standings!$A$2:$C$33,MATCH(Table1[[#This Row],[HomeTeam]],Standings!$A$2:$A$33,0),3),1,0)</f>
        <v>0</v>
      </c>
      <c r="AL959" s="64">
        <f>IF(Table1[[#This Row],[InterConf]]=1,IF(Table1[[#This Row],[InterDiv]]=0, 1, 0), 0)</f>
        <v>1</v>
      </c>
      <c r="AM959" s="64">
        <f>IF(INDEX(Standings!$A$2:$C$33,MATCH(Table1[[#This Row],[AwayTeam]],Standings!$A$2:$A$33,0),2)&lt;&gt;INDEX(Standings!$A$2:$C$33,MATCH(Table1[[#This Row],[HomeTeam]],Standings!$A$2:$A$33,0),2),1,0)</f>
        <v>0</v>
      </c>
      <c r="AN959" s="64" t="str">
        <f>INDEX(Table2[AWAY_RECORD], MATCH(Table1[[#This Row],[AwayTeam]],Table2[Team], 0), 0)</f>
        <v>1-0-0</v>
      </c>
      <c r="AO959" s="64" t="str">
        <f>INDEX(Records!$B$2:$AG$33, MATCH(Table1[[#This Row],[AwayTeam]],Records!$A$2:$A$33, 0), MATCH(Table1[[#This Row],[HomeTeam]],Records!$A$2:$A$33, 0))</f>
        <v>0-0-0</v>
      </c>
      <c r="AP959" s="64" t="str">
        <f>INDEX(Table2[HOME_RECORD], MATCH(Table1[[#This Row],[HomeTeam]],Table2[Team], 0), 0)</f>
        <v>0-0-0</v>
      </c>
      <c r="AQ959" s="64" t="str">
        <f>INDEX(Records!$B$2:$AG$33, MATCH(Table1[[#This Row],[HomeTeam]],Records!$A$2:$A$33, 0), MATCH(Table1[[#This Row],[AwayTeam]],Records!$A$2:$A$33, 0))</f>
        <v>0-0-0</v>
      </c>
    </row>
    <row r="960" spans="1:43" x14ac:dyDescent="0.25">
      <c r="A960" s="1"/>
      <c r="D960" t="s">
        <v>1272</v>
      </c>
      <c r="E960" t="s">
        <v>164</v>
      </c>
      <c r="F960" t="s">
        <v>1281</v>
      </c>
      <c r="G960" t="s">
        <v>52</v>
      </c>
      <c r="H960" t="s">
        <v>23</v>
      </c>
      <c r="L96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6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60" s="1"/>
      <c r="T960" s="64" t="str">
        <f>IF(Table1[[#This Row],[ActualWinner]]="", "", IF(Table1[[#This Row],[AwayTeam]]=Table1[[#This Row],[ActualWinner]],Table1[[#This Row],[HomeTeam]],Table1[[#This Row],[AwayTeam]]))</f>
        <v/>
      </c>
      <c r="U960" s="64">
        <f>Table1[[#This Row],[ActualAwayScore]]-Table1[[#This Row],[PredictedAwayScore]]</f>
        <v>0</v>
      </c>
      <c r="V960" s="64">
        <f>Table1[[#This Row],[ActualHomeScore]]-Table1[[#This Row],[PredictedHomeScore]]</f>
        <v>0</v>
      </c>
      <c r="W960" s="64">
        <f>(0.8*IF(Table1[[#This Row],[CorrectWinnerPrediction]]=1, 1, 0))+(0.1*IF(Table1[[#This Row],[CorrectAwayScorePrediction]]=1, 1, 0))+(0.1*IF(Table1[[#This Row],[CorrectHomeScorePrediction]]=1, 1, 0))</f>
        <v>0</v>
      </c>
      <c r="X96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60" s="64">
        <f>SUMIF(Table1[GameDate], Table1[[#This Row],[GameDate]], Table1[AwayGameGoalDiff])</f>
        <v>0</v>
      </c>
      <c r="AA960" s="64">
        <f>SUMIF(Table1[GameDate], Table1[[#This Row],[GameDate]], Table1[HomeGameGoalDiff])</f>
        <v>0</v>
      </c>
      <c r="AB960" s="64">
        <f>IF(ISBLANK(Table1[[#This Row],[ActualResult]]), 0, 1)</f>
        <v>0</v>
      </c>
      <c r="AC960" s="64">
        <f>IF(ISBLANK(Table1[[#This Row],[ActualResult]]), 0, IF(Table1[[#This Row],[ActualWinner]]=Table1[[#This Row],[PredictedWinner]], 1, 0))</f>
        <v>0</v>
      </c>
      <c r="AD96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6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60" s="64">
        <f>IF(AND(Table1[[#This Row],[GameIsOver]]=1,Table1[[#This Row],[ActualAwayScore]]=0), 1,0)</f>
        <v>0</v>
      </c>
      <c r="AG960" s="64">
        <f>IF(AND(Table1[[#This Row],[GameIsOver]]=1,Table1[[#This Row],[ActualHomeScore]]=0), 1,0)</f>
        <v>0</v>
      </c>
      <c r="AH960" s="64">
        <f>IF(Table1[[#This Row],[GameIsOver]]=0,0,IF(Table1[[#This Row],[ActualWinner]]=Table1[[#This Row],[AwayTeam]], 1, 0))</f>
        <v>0</v>
      </c>
      <c r="AI960" s="64">
        <f>IF(Table1[[#This Row],[GameIsOver]]=0,0,IF(Table1[[#This Row],[ActualWinner]]=Table1[[#This Row],[HomeTeam]], 1, 0))</f>
        <v>0</v>
      </c>
      <c r="AJ960" s="64">
        <f>IF(INDEX(Standings!$A$2:$C$33,MATCH(Table1[[#This Row],[AwayTeam]],Standings!$A$2:$A$33,0),2)=INDEX(Standings!$A$2:$C$33,MATCH(Table1[[#This Row],[HomeTeam]],Standings!$A$2:$A$33,0),2),1,0)</f>
        <v>0</v>
      </c>
      <c r="AK960" s="64">
        <f>IF(INDEX(Standings!$A$2:$C$33,MATCH(Table1[[#This Row],[AwayTeam]],Standings!$A$2:$A$33,0),3)=INDEX(Standings!$A$2:$C$33,MATCH(Table1[[#This Row],[HomeTeam]],Standings!$A$2:$A$33,0),3),1,0)</f>
        <v>0</v>
      </c>
      <c r="AL960" s="64">
        <f>IF(Table1[[#This Row],[InterConf]]=1,IF(Table1[[#This Row],[InterDiv]]=0, 1, 0), 0)</f>
        <v>0</v>
      </c>
      <c r="AM960" s="64">
        <f>IF(INDEX(Standings!$A$2:$C$33,MATCH(Table1[[#This Row],[AwayTeam]],Standings!$A$2:$A$33,0),2)&lt;&gt;INDEX(Standings!$A$2:$C$33,MATCH(Table1[[#This Row],[HomeTeam]],Standings!$A$2:$A$33,0),2),1,0)</f>
        <v>1</v>
      </c>
      <c r="AN960" s="64" t="str">
        <f>INDEX(Table2[AWAY_RECORD], MATCH(Table1[[#This Row],[AwayTeam]],Table2[Team], 0), 0)</f>
        <v>0-0-0</v>
      </c>
      <c r="AO960" s="64" t="str">
        <f>INDEX(Records!$B$2:$AG$33, MATCH(Table1[[#This Row],[AwayTeam]],Records!$A$2:$A$33, 0), MATCH(Table1[[#This Row],[HomeTeam]],Records!$A$2:$A$33, 0))</f>
        <v>0-0-0</v>
      </c>
      <c r="AP960" s="64" t="str">
        <f>INDEX(Table2[HOME_RECORD], MATCH(Table1[[#This Row],[HomeTeam]],Table2[Team], 0), 0)</f>
        <v>0-0-1</v>
      </c>
      <c r="AQ960" s="64" t="str">
        <f>INDEX(Records!$B$2:$AG$33, MATCH(Table1[[#This Row],[HomeTeam]],Records!$A$2:$A$33, 0), MATCH(Table1[[#This Row],[AwayTeam]],Records!$A$2:$A$33, 0))</f>
        <v>0-0-0</v>
      </c>
    </row>
    <row r="961" spans="1:43" x14ac:dyDescent="0.25">
      <c r="A961" s="1"/>
      <c r="D961" t="s">
        <v>1282</v>
      </c>
      <c r="E961" t="s">
        <v>1283</v>
      </c>
      <c r="F961" t="s">
        <v>1284</v>
      </c>
      <c r="G961" t="s">
        <v>42</v>
      </c>
      <c r="H961" t="s">
        <v>25</v>
      </c>
      <c r="L96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6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61" s="1"/>
      <c r="T961" s="64" t="str">
        <f>IF(Table1[[#This Row],[ActualWinner]]="", "", IF(Table1[[#This Row],[AwayTeam]]=Table1[[#This Row],[ActualWinner]],Table1[[#This Row],[HomeTeam]],Table1[[#This Row],[AwayTeam]]))</f>
        <v/>
      </c>
      <c r="U961" s="64">
        <f>Table1[[#This Row],[ActualAwayScore]]-Table1[[#This Row],[PredictedAwayScore]]</f>
        <v>0</v>
      </c>
      <c r="V961" s="64">
        <f>Table1[[#This Row],[ActualHomeScore]]-Table1[[#This Row],[PredictedHomeScore]]</f>
        <v>0</v>
      </c>
      <c r="W961" s="64">
        <f>(0.8*IF(Table1[[#This Row],[CorrectWinnerPrediction]]=1, 1, 0))+(0.1*IF(Table1[[#This Row],[CorrectAwayScorePrediction]]=1, 1, 0))+(0.1*IF(Table1[[#This Row],[CorrectHomeScorePrediction]]=1, 1, 0))</f>
        <v>0</v>
      </c>
      <c r="X96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61" s="64">
        <f>SUMIF(Table1[GameDate], Table1[[#This Row],[GameDate]], Table1[AwayGameGoalDiff])</f>
        <v>0</v>
      </c>
      <c r="AA961" s="64">
        <f>SUMIF(Table1[GameDate], Table1[[#This Row],[GameDate]], Table1[HomeGameGoalDiff])</f>
        <v>0</v>
      </c>
      <c r="AB961" s="64">
        <f>IF(ISBLANK(Table1[[#This Row],[ActualResult]]), 0, 1)</f>
        <v>0</v>
      </c>
      <c r="AC961" s="64">
        <f>IF(ISBLANK(Table1[[#This Row],[ActualResult]]), 0, IF(Table1[[#This Row],[ActualWinner]]=Table1[[#This Row],[PredictedWinner]], 1, 0))</f>
        <v>0</v>
      </c>
      <c r="AD96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6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61" s="64">
        <f>IF(AND(Table1[[#This Row],[GameIsOver]]=1,Table1[[#This Row],[ActualAwayScore]]=0), 1,0)</f>
        <v>0</v>
      </c>
      <c r="AG961" s="64">
        <f>IF(AND(Table1[[#This Row],[GameIsOver]]=1,Table1[[#This Row],[ActualHomeScore]]=0), 1,0)</f>
        <v>0</v>
      </c>
      <c r="AH961" s="64">
        <f>IF(Table1[[#This Row],[GameIsOver]]=0,0,IF(Table1[[#This Row],[ActualWinner]]=Table1[[#This Row],[AwayTeam]], 1, 0))</f>
        <v>0</v>
      </c>
      <c r="AI961" s="64">
        <f>IF(Table1[[#This Row],[GameIsOver]]=0,0,IF(Table1[[#This Row],[ActualWinner]]=Table1[[#This Row],[HomeTeam]], 1, 0))</f>
        <v>0</v>
      </c>
      <c r="AJ961" s="64">
        <f>IF(INDEX(Standings!$A$2:$C$33,MATCH(Table1[[#This Row],[AwayTeam]],Standings!$A$2:$A$33,0),2)=INDEX(Standings!$A$2:$C$33,MATCH(Table1[[#This Row],[HomeTeam]],Standings!$A$2:$A$33,0),2),1,0)</f>
        <v>0</v>
      </c>
      <c r="AK961" s="64">
        <f>IF(INDEX(Standings!$A$2:$C$33,MATCH(Table1[[#This Row],[AwayTeam]],Standings!$A$2:$A$33,0),3)=INDEX(Standings!$A$2:$C$33,MATCH(Table1[[#This Row],[HomeTeam]],Standings!$A$2:$A$33,0),3),1,0)</f>
        <v>0</v>
      </c>
      <c r="AL961" s="64">
        <f>IF(Table1[[#This Row],[InterConf]]=1,IF(Table1[[#This Row],[InterDiv]]=0, 1, 0), 0)</f>
        <v>0</v>
      </c>
      <c r="AM961" s="64">
        <f>IF(INDEX(Standings!$A$2:$C$33,MATCH(Table1[[#This Row],[AwayTeam]],Standings!$A$2:$A$33,0),2)&lt;&gt;INDEX(Standings!$A$2:$C$33,MATCH(Table1[[#This Row],[HomeTeam]],Standings!$A$2:$A$33,0),2),1,0)</f>
        <v>1</v>
      </c>
      <c r="AN961" s="64" t="str">
        <f>INDEX(Table2[AWAY_RECORD], MATCH(Table1[[#This Row],[AwayTeam]],Table2[Team], 0), 0)</f>
        <v>0-0-0</v>
      </c>
      <c r="AO961" s="64" t="str">
        <f>INDEX(Records!$B$2:$AG$33, MATCH(Table1[[#This Row],[AwayTeam]],Records!$A$2:$A$33, 0), MATCH(Table1[[#This Row],[HomeTeam]],Records!$A$2:$A$33, 0))</f>
        <v>0-0-0</v>
      </c>
      <c r="AP961" s="64" t="str">
        <f>INDEX(Table2[HOME_RECORD], MATCH(Table1[[#This Row],[HomeTeam]],Table2[Team], 0), 0)</f>
        <v>0-0-1</v>
      </c>
      <c r="AQ961" s="64" t="str">
        <f>INDEX(Records!$B$2:$AG$33, MATCH(Table1[[#This Row],[HomeTeam]],Records!$A$2:$A$33, 0), MATCH(Table1[[#This Row],[AwayTeam]],Records!$A$2:$A$33, 0))</f>
        <v>0-0-0</v>
      </c>
    </row>
    <row r="962" spans="1:43" x14ac:dyDescent="0.25">
      <c r="A962" s="1"/>
      <c r="D962" t="s">
        <v>1282</v>
      </c>
      <c r="E962" t="s">
        <v>162</v>
      </c>
      <c r="F962" t="s">
        <v>1285</v>
      </c>
      <c r="G962" t="s">
        <v>55</v>
      </c>
      <c r="H962" t="s">
        <v>59</v>
      </c>
      <c r="L96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6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62" s="1"/>
      <c r="T962" s="64" t="str">
        <f>IF(Table1[[#This Row],[ActualWinner]]="", "", IF(Table1[[#This Row],[AwayTeam]]=Table1[[#This Row],[ActualWinner]],Table1[[#This Row],[HomeTeam]],Table1[[#This Row],[AwayTeam]]))</f>
        <v/>
      </c>
      <c r="U962" s="64">
        <f>Table1[[#This Row],[ActualAwayScore]]-Table1[[#This Row],[PredictedAwayScore]]</f>
        <v>0</v>
      </c>
      <c r="V962" s="64">
        <f>Table1[[#This Row],[ActualHomeScore]]-Table1[[#This Row],[PredictedHomeScore]]</f>
        <v>0</v>
      </c>
      <c r="W962" s="64">
        <f>(0.8*IF(Table1[[#This Row],[CorrectWinnerPrediction]]=1, 1, 0))+(0.1*IF(Table1[[#This Row],[CorrectAwayScorePrediction]]=1, 1, 0))+(0.1*IF(Table1[[#This Row],[CorrectHomeScorePrediction]]=1, 1, 0))</f>
        <v>0</v>
      </c>
      <c r="X96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62" s="64">
        <f>SUMIF(Table1[GameDate], Table1[[#This Row],[GameDate]], Table1[AwayGameGoalDiff])</f>
        <v>0</v>
      </c>
      <c r="AA962" s="64">
        <f>SUMIF(Table1[GameDate], Table1[[#This Row],[GameDate]], Table1[HomeGameGoalDiff])</f>
        <v>0</v>
      </c>
      <c r="AB962" s="64">
        <f>IF(ISBLANK(Table1[[#This Row],[ActualResult]]), 0, 1)</f>
        <v>0</v>
      </c>
      <c r="AC962" s="64">
        <f>IF(ISBLANK(Table1[[#This Row],[ActualResult]]), 0, IF(Table1[[#This Row],[ActualWinner]]=Table1[[#This Row],[PredictedWinner]], 1, 0))</f>
        <v>0</v>
      </c>
      <c r="AD96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6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62" s="64">
        <f>IF(AND(Table1[[#This Row],[GameIsOver]]=1,Table1[[#This Row],[ActualAwayScore]]=0), 1,0)</f>
        <v>0</v>
      </c>
      <c r="AG962" s="64">
        <f>IF(AND(Table1[[#This Row],[GameIsOver]]=1,Table1[[#This Row],[ActualHomeScore]]=0), 1,0)</f>
        <v>0</v>
      </c>
      <c r="AH962" s="64">
        <f>IF(Table1[[#This Row],[GameIsOver]]=0,0,IF(Table1[[#This Row],[ActualWinner]]=Table1[[#This Row],[AwayTeam]], 1, 0))</f>
        <v>0</v>
      </c>
      <c r="AI962" s="64">
        <f>IF(Table1[[#This Row],[GameIsOver]]=0,0,IF(Table1[[#This Row],[ActualWinner]]=Table1[[#This Row],[HomeTeam]], 1, 0))</f>
        <v>0</v>
      </c>
      <c r="AJ962" s="64">
        <f>IF(INDEX(Standings!$A$2:$C$33,MATCH(Table1[[#This Row],[AwayTeam]],Standings!$A$2:$A$33,0),2)=INDEX(Standings!$A$2:$C$33,MATCH(Table1[[#This Row],[HomeTeam]],Standings!$A$2:$A$33,0),2),1,0)</f>
        <v>0</v>
      </c>
      <c r="AK962" s="64">
        <f>IF(INDEX(Standings!$A$2:$C$33,MATCH(Table1[[#This Row],[AwayTeam]],Standings!$A$2:$A$33,0),3)=INDEX(Standings!$A$2:$C$33,MATCH(Table1[[#This Row],[HomeTeam]],Standings!$A$2:$A$33,0),3),1,0)</f>
        <v>0</v>
      </c>
      <c r="AL962" s="64">
        <f>IF(Table1[[#This Row],[InterConf]]=1,IF(Table1[[#This Row],[InterDiv]]=0, 1, 0), 0)</f>
        <v>0</v>
      </c>
      <c r="AM962" s="64">
        <f>IF(INDEX(Standings!$A$2:$C$33,MATCH(Table1[[#This Row],[AwayTeam]],Standings!$A$2:$A$33,0),2)&lt;&gt;INDEX(Standings!$A$2:$C$33,MATCH(Table1[[#This Row],[HomeTeam]],Standings!$A$2:$A$33,0),2),1,0)</f>
        <v>1</v>
      </c>
      <c r="AN962" s="64" t="str">
        <f>INDEX(Table2[AWAY_RECORD], MATCH(Table1[[#This Row],[AwayTeam]],Table2[Team], 0), 0)</f>
        <v>0-0-0</v>
      </c>
      <c r="AO962" s="64" t="str">
        <f>INDEX(Records!$B$2:$AG$33, MATCH(Table1[[#This Row],[AwayTeam]],Records!$A$2:$A$33, 0), MATCH(Table1[[#This Row],[HomeTeam]],Records!$A$2:$A$33, 0))</f>
        <v>0-0-0</v>
      </c>
      <c r="AP962" s="64" t="str">
        <f>INDEX(Table2[HOME_RECORD], MATCH(Table1[[#This Row],[HomeTeam]],Table2[Team], 0), 0)</f>
        <v>0-0-0</v>
      </c>
      <c r="AQ962" s="64" t="str">
        <f>INDEX(Records!$B$2:$AG$33, MATCH(Table1[[#This Row],[HomeTeam]],Records!$A$2:$A$33, 0), MATCH(Table1[[#This Row],[AwayTeam]],Records!$A$2:$A$33, 0))</f>
        <v>0-0-0</v>
      </c>
    </row>
    <row r="963" spans="1:43" x14ac:dyDescent="0.25">
      <c r="A963" s="1"/>
      <c r="D963" t="s">
        <v>1282</v>
      </c>
      <c r="E963" t="s">
        <v>162</v>
      </c>
      <c r="F963" t="s">
        <v>1286</v>
      </c>
      <c r="G963" t="s">
        <v>44</v>
      </c>
      <c r="H963" t="s">
        <v>40</v>
      </c>
      <c r="L96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6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63" s="1"/>
      <c r="T963" s="64" t="str">
        <f>IF(Table1[[#This Row],[ActualWinner]]="", "", IF(Table1[[#This Row],[AwayTeam]]=Table1[[#This Row],[ActualWinner]],Table1[[#This Row],[HomeTeam]],Table1[[#This Row],[AwayTeam]]))</f>
        <v/>
      </c>
      <c r="U963" s="64">
        <f>Table1[[#This Row],[ActualAwayScore]]-Table1[[#This Row],[PredictedAwayScore]]</f>
        <v>0</v>
      </c>
      <c r="V963" s="64">
        <f>Table1[[#This Row],[ActualHomeScore]]-Table1[[#This Row],[PredictedHomeScore]]</f>
        <v>0</v>
      </c>
      <c r="W963" s="64">
        <f>(0.8*IF(Table1[[#This Row],[CorrectWinnerPrediction]]=1, 1, 0))+(0.1*IF(Table1[[#This Row],[CorrectAwayScorePrediction]]=1, 1, 0))+(0.1*IF(Table1[[#This Row],[CorrectHomeScorePrediction]]=1, 1, 0))</f>
        <v>0</v>
      </c>
      <c r="X96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63" s="64">
        <f>SUMIF(Table1[GameDate], Table1[[#This Row],[GameDate]], Table1[AwayGameGoalDiff])</f>
        <v>0</v>
      </c>
      <c r="AA963" s="64">
        <f>SUMIF(Table1[GameDate], Table1[[#This Row],[GameDate]], Table1[HomeGameGoalDiff])</f>
        <v>0</v>
      </c>
      <c r="AB963" s="64">
        <f>IF(ISBLANK(Table1[[#This Row],[ActualResult]]), 0, 1)</f>
        <v>0</v>
      </c>
      <c r="AC963" s="64">
        <f>IF(ISBLANK(Table1[[#This Row],[ActualResult]]), 0, IF(Table1[[#This Row],[ActualWinner]]=Table1[[#This Row],[PredictedWinner]], 1, 0))</f>
        <v>0</v>
      </c>
      <c r="AD96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6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63" s="64">
        <f>IF(AND(Table1[[#This Row],[GameIsOver]]=1,Table1[[#This Row],[ActualAwayScore]]=0), 1,0)</f>
        <v>0</v>
      </c>
      <c r="AG963" s="64">
        <f>IF(AND(Table1[[#This Row],[GameIsOver]]=1,Table1[[#This Row],[ActualHomeScore]]=0), 1,0)</f>
        <v>0</v>
      </c>
      <c r="AH963" s="64">
        <f>IF(Table1[[#This Row],[GameIsOver]]=0,0,IF(Table1[[#This Row],[ActualWinner]]=Table1[[#This Row],[AwayTeam]], 1, 0))</f>
        <v>0</v>
      </c>
      <c r="AI963" s="64">
        <f>IF(Table1[[#This Row],[GameIsOver]]=0,0,IF(Table1[[#This Row],[ActualWinner]]=Table1[[#This Row],[HomeTeam]], 1, 0))</f>
        <v>0</v>
      </c>
      <c r="AJ963" s="64">
        <f>IF(INDEX(Standings!$A$2:$C$33,MATCH(Table1[[#This Row],[AwayTeam]],Standings!$A$2:$A$33,0),2)=INDEX(Standings!$A$2:$C$33,MATCH(Table1[[#This Row],[HomeTeam]],Standings!$A$2:$A$33,0),2),1,0)</f>
        <v>1</v>
      </c>
      <c r="AK963" s="64">
        <f>IF(INDEX(Standings!$A$2:$C$33,MATCH(Table1[[#This Row],[AwayTeam]],Standings!$A$2:$A$33,0),3)=INDEX(Standings!$A$2:$C$33,MATCH(Table1[[#This Row],[HomeTeam]],Standings!$A$2:$A$33,0),3),1,0)</f>
        <v>0</v>
      </c>
      <c r="AL963" s="64">
        <f>IF(Table1[[#This Row],[InterConf]]=1,IF(Table1[[#This Row],[InterDiv]]=0, 1, 0), 0)</f>
        <v>1</v>
      </c>
      <c r="AM963" s="64">
        <f>IF(INDEX(Standings!$A$2:$C$33,MATCH(Table1[[#This Row],[AwayTeam]],Standings!$A$2:$A$33,0),2)&lt;&gt;INDEX(Standings!$A$2:$C$33,MATCH(Table1[[#This Row],[HomeTeam]],Standings!$A$2:$A$33,0),2),1,0)</f>
        <v>0</v>
      </c>
      <c r="AN963" s="64" t="str">
        <f>INDEX(Table2[AWAY_RECORD], MATCH(Table1[[#This Row],[AwayTeam]],Table2[Team], 0), 0)</f>
        <v>0-0-0</v>
      </c>
      <c r="AO963" s="64" t="str">
        <f>INDEX(Records!$B$2:$AG$33, MATCH(Table1[[#This Row],[AwayTeam]],Records!$A$2:$A$33, 0), MATCH(Table1[[#This Row],[HomeTeam]],Records!$A$2:$A$33, 0))</f>
        <v>0-0-0</v>
      </c>
      <c r="AP963" s="64" t="str">
        <f>INDEX(Table2[HOME_RECORD], MATCH(Table1[[#This Row],[HomeTeam]],Table2[Team], 0), 0)</f>
        <v>1-1-0</v>
      </c>
      <c r="AQ963" s="64" t="str">
        <f>INDEX(Records!$B$2:$AG$33, MATCH(Table1[[#This Row],[HomeTeam]],Records!$A$2:$A$33, 0), MATCH(Table1[[#This Row],[AwayTeam]],Records!$A$2:$A$33, 0))</f>
        <v>0-0-0</v>
      </c>
    </row>
    <row r="964" spans="1:43" x14ac:dyDescent="0.25">
      <c r="A964" s="1"/>
      <c r="D964" t="s">
        <v>1282</v>
      </c>
      <c r="E964" t="s">
        <v>178</v>
      </c>
      <c r="F964" t="s">
        <v>1287</v>
      </c>
      <c r="G964" t="s">
        <v>61</v>
      </c>
      <c r="H964" t="s">
        <v>60</v>
      </c>
      <c r="L96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6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64" s="1"/>
      <c r="T964" s="64" t="str">
        <f>IF(Table1[[#This Row],[ActualWinner]]="", "", IF(Table1[[#This Row],[AwayTeam]]=Table1[[#This Row],[ActualWinner]],Table1[[#This Row],[HomeTeam]],Table1[[#This Row],[AwayTeam]]))</f>
        <v/>
      </c>
      <c r="U964" s="64">
        <f>Table1[[#This Row],[ActualAwayScore]]-Table1[[#This Row],[PredictedAwayScore]]</f>
        <v>0</v>
      </c>
      <c r="V964" s="64">
        <f>Table1[[#This Row],[ActualHomeScore]]-Table1[[#This Row],[PredictedHomeScore]]</f>
        <v>0</v>
      </c>
      <c r="W964" s="64">
        <f>(0.8*IF(Table1[[#This Row],[CorrectWinnerPrediction]]=1, 1, 0))+(0.1*IF(Table1[[#This Row],[CorrectAwayScorePrediction]]=1, 1, 0))+(0.1*IF(Table1[[#This Row],[CorrectHomeScorePrediction]]=1, 1, 0))</f>
        <v>0</v>
      </c>
      <c r="X96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64" s="64">
        <f>SUMIF(Table1[GameDate], Table1[[#This Row],[GameDate]], Table1[AwayGameGoalDiff])</f>
        <v>0</v>
      </c>
      <c r="AA964" s="64">
        <f>SUMIF(Table1[GameDate], Table1[[#This Row],[GameDate]], Table1[HomeGameGoalDiff])</f>
        <v>0</v>
      </c>
      <c r="AB964" s="64">
        <f>IF(ISBLANK(Table1[[#This Row],[ActualResult]]), 0, 1)</f>
        <v>0</v>
      </c>
      <c r="AC964" s="64">
        <f>IF(ISBLANK(Table1[[#This Row],[ActualResult]]), 0, IF(Table1[[#This Row],[ActualWinner]]=Table1[[#This Row],[PredictedWinner]], 1, 0))</f>
        <v>0</v>
      </c>
      <c r="AD96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6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64" s="64">
        <f>IF(AND(Table1[[#This Row],[GameIsOver]]=1,Table1[[#This Row],[ActualAwayScore]]=0), 1,0)</f>
        <v>0</v>
      </c>
      <c r="AG964" s="64">
        <f>IF(AND(Table1[[#This Row],[GameIsOver]]=1,Table1[[#This Row],[ActualHomeScore]]=0), 1,0)</f>
        <v>0</v>
      </c>
      <c r="AH964" s="64">
        <f>IF(Table1[[#This Row],[GameIsOver]]=0,0,IF(Table1[[#This Row],[ActualWinner]]=Table1[[#This Row],[AwayTeam]], 1, 0))</f>
        <v>0</v>
      </c>
      <c r="AI964" s="64">
        <f>IF(Table1[[#This Row],[GameIsOver]]=0,0,IF(Table1[[#This Row],[ActualWinner]]=Table1[[#This Row],[HomeTeam]], 1, 0))</f>
        <v>0</v>
      </c>
      <c r="AJ964" s="64">
        <f>IF(INDEX(Standings!$A$2:$C$33,MATCH(Table1[[#This Row],[AwayTeam]],Standings!$A$2:$A$33,0),2)=INDEX(Standings!$A$2:$C$33,MATCH(Table1[[#This Row],[HomeTeam]],Standings!$A$2:$A$33,0),2),1,0)</f>
        <v>1</v>
      </c>
      <c r="AK964" s="64">
        <f>IF(INDEX(Standings!$A$2:$C$33,MATCH(Table1[[#This Row],[AwayTeam]],Standings!$A$2:$A$33,0),3)=INDEX(Standings!$A$2:$C$33,MATCH(Table1[[#This Row],[HomeTeam]],Standings!$A$2:$A$33,0),3),1,0)</f>
        <v>1</v>
      </c>
      <c r="AL964" s="64">
        <f>IF(Table1[[#This Row],[InterConf]]=1,IF(Table1[[#This Row],[InterDiv]]=0, 1, 0), 0)</f>
        <v>0</v>
      </c>
      <c r="AM964" s="64">
        <f>IF(INDEX(Standings!$A$2:$C$33,MATCH(Table1[[#This Row],[AwayTeam]],Standings!$A$2:$A$33,0),2)&lt;&gt;INDEX(Standings!$A$2:$C$33,MATCH(Table1[[#This Row],[HomeTeam]],Standings!$A$2:$A$33,0),2),1,0)</f>
        <v>0</v>
      </c>
      <c r="AN964" s="64" t="str">
        <f>INDEX(Table2[AWAY_RECORD], MATCH(Table1[[#This Row],[AwayTeam]],Table2[Team], 0), 0)</f>
        <v>0-0-0</v>
      </c>
      <c r="AO964" s="64" t="str">
        <f>INDEX(Records!$B$2:$AG$33, MATCH(Table1[[#This Row],[AwayTeam]],Records!$A$2:$A$33, 0), MATCH(Table1[[#This Row],[HomeTeam]],Records!$A$2:$A$33, 0))</f>
        <v>0-0-0</v>
      </c>
      <c r="AP964" s="64" t="str">
        <f>INDEX(Table2[HOME_RECORD], MATCH(Table1[[#This Row],[HomeTeam]],Table2[Team], 0), 0)</f>
        <v>1-0-0</v>
      </c>
      <c r="AQ964" s="64" t="str">
        <f>INDEX(Records!$B$2:$AG$33, MATCH(Table1[[#This Row],[HomeTeam]],Records!$A$2:$A$33, 0), MATCH(Table1[[#This Row],[AwayTeam]],Records!$A$2:$A$33, 0))</f>
        <v>0-0-0</v>
      </c>
    </row>
    <row r="965" spans="1:43" x14ac:dyDescent="0.25">
      <c r="A965" s="1"/>
      <c r="D965" t="s">
        <v>1282</v>
      </c>
      <c r="E965" t="s">
        <v>178</v>
      </c>
      <c r="F965" t="s">
        <v>1288</v>
      </c>
      <c r="G965" t="s">
        <v>54</v>
      </c>
      <c r="H965" t="s">
        <v>39</v>
      </c>
      <c r="L96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6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65" s="1"/>
      <c r="T965" s="64" t="str">
        <f>IF(Table1[[#This Row],[ActualWinner]]="", "", IF(Table1[[#This Row],[AwayTeam]]=Table1[[#This Row],[ActualWinner]],Table1[[#This Row],[HomeTeam]],Table1[[#This Row],[AwayTeam]]))</f>
        <v/>
      </c>
      <c r="U965" s="64">
        <f>Table1[[#This Row],[ActualAwayScore]]-Table1[[#This Row],[PredictedAwayScore]]</f>
        <v>0</v>
      </c>
      <c r="V965" s="64">
        <f>Table1[[#This Row],[ActualHomeScore]]-Table1[[#This Row],[PredictedHomeScore]]</f>
        <v>0</v>
      </c>
      <c r="W965" s="64">
        <f>(0.8*IF(Table1[[#This Row],[CorrectWinnerPrediction]]=1, 1, 0))+(0.1*IF(Table1[[#This Row],[CorrectAwayScorePrediction]]=1, 1, 0))+(0.1*IF(Table1[[#This Row],[CorrectHomeScorePrediction]]=1, 1, 0))</f>
        <v>0</v>
      </c>
      <c r="X96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65" s="64">
        <f>SUMIF(Table1[GameDate], Table1[[#This Row],[GameDate]], Table1[AwayGameGoalDiff])</f>
        <v>0</v>
      </c>
      <c r="AA965" s="64">
        <f>SUMIF(Table1[GameDate], Table1[[#This Row],[GameDate]], Table1[HomeGameGoalDiff])</f>
        <v>0</v>
      </c>
      <c r="AB965" s="64">
        <f>IF(ISBLANK(Table1[[#This Row],[ActualResult]]), 0, 1)</f>
        <v>0</v>
      </c>
      <c r="AC965" s="64">
        <f>IF(ISBLANK(Table1[[#This Row],[ActualResult]]), 0, IF(Table1[[#This Row],[ActualWinner]]=Table1[[#This Row],[PredictedWinner]], 1, 0))</f>
        <v>0</v>
      </c>
      <c r="AD96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6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65" s="64">
        <f>IF(AND(Table1[[#This Row],[GameIsOver]]=1,Table1[[#This Row],[ActualAwayScore]]=0), 1,0)</f>
        <v>0</v>
      </c>
      <c r="AG965" s="64">
        <f>IF(AND(Table1[[#This Row],[GameIsOver]]=1,Table1[[#This Row],[ActualHomeScore]]=0), 1,0)</f>
        <v>0</v>
      </c>
      <c r="AH965" s="64">
        <f>IF(Table1[[#This Row],[GameIsOver]]=0,0,IF(Table1[[#This Row],[ActualWinner]]=Table1[[#This Row],[AwayTeam]], 1, 0))</f>
        <v>0</v>
      </c>
      <c r="AI965" s="64">
        <f>IF(Table1[[#This Row],[GameIsOver]]=0,0,IF(Table1[[#This Row],[ActualWinner]]=Table1[[#This Row],[HomeTeam]], 1, 0))</f>
        <v>0</v>
      </c>
      <c r="AJ965" s="64">
        <f>IF(INDEX(Standings!$A$2:$C$33,MATCH(Table1[[#This Row],[AwayTeam]],Standings!$A$2:$A$33,0),2)=INDEX(Standings!$A$2:$C$33,MATCH(Table1[[#This Row],[HomeTeam]],Standings!$A$2:$A$33,0),2),1,0)</f>
        <v>0</v>
      </c>
      <c r="AK965" s="64">
        <f>IF(INDEX(Standings!$A$2:$C$33,MATCH(Table1[[#This Row],[AwayTeam]],Standings!$A$2:$A$33,0),3)=INDEX(Standings!$A$2:$C$33,MATCH(Table1[[#This Row],[HomeTeam]],Standings!$A$2:$A$33,0),3),1,0)</f>
        <v>0</v>
      </c>
      <c r="AL965" s="64">
        <f>IF(Table1[[#This Row],[InterConf]]=1,IF(Table1[[#This Row],[InterDiv]]=0, 1, 0), 0)</f>
        <v>0</v>
      </c>
      <c r="AM965" s="64">
        <f>IF(INDEX(Standings!$A$2:$C$33,MATCH(Table1[[#This Row],[AwayTeam]],Standings!$A$2:$A$33,0),2)&lt;&gt;INDEX(Standings!$A$2:$C$33,MATCH(Table1[[#This Row],[HomeTeam]],Standings!$A$2:$A$33,0),2),1,0)</f>
        <v>1</v>
      </c>
      <c r="AN965" s="64" t="str">
        <f>INDEX(Table2[AWAY_RECORD], MATCH(Table1[[#This Row],[AwayTeam]],Table2[Team], 0), 0)</f>
        <v>0-0-1</v>
      </c>
      <c r="AO965" s="64" t="str">
        <f>INDEX(Records!$B$2:$AG$33, MATCH(Table1[[#This Row],[AwayTeam]],Records!$A$2:$A$33, 0), MATCH(Table1[[#This Row],[HomeTeam]],Records!$A$2:$A$33, 0))</f>
        <v>0-0-0</v>
      </c>
      <c r="AP965" s="64" t="str">
        <f>INDEX(Table2[HOME_RECORD], MATCH(Table1[[#This Row],[HomeTeam]],Table2[Team], 0), 0)</f>
        <v>0-1-0</v>
      </c>
      <c r="AQ965" s="64" t="str">
        <f>INDEX(Records!$B$2:$AG$33, MATCH(Table1[[#This Row],[HomeTeam]],Records!$A$2:$A$33, 0), MATCH(Table1[[#This Row],[AwayTeam]],Records!$A$2:$A$33, 0))</f>
        <v>0-0-0</v>
      </c>
    </row>
    <row r="966" spans="1:43" x14ac:dyDescent="0.25">
      <c r="A966" s="1"/>
      <c r="D966" t="s">
        <v>1282</v>
      </c>
      <c r="E966" t="s">
        <v>178</v>
      </c>
      <c r="F966" t="s">
        <v>1289</v>
      </c>
      <c r="G966" t="s">
        <v>37</v>
      </c>
      <c r="H966" t="s">
        <v>45</v>
      </c>
      <c r="L96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6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66" s="1"/>
      <c r="T966" s="64" t="str">
        <f>IF(Table1[[#This Row],[ActualWinner]]="", "", IF(Table1[[#This Row],[AwayTeam]]=Table1[[#This Row],[ActualWinner]],Table1[[#This Row],[HomeTeam]],Table1[[#This Row],[AwayTeam]]))</f>
        <v/>
      </c>
      <c r="U966" s="64">
        <f>Table1[[#This Row],[ActualAwayScore]]-Table1[[#This Row],[PredictedAwayScore]]</f>
        <v>0</v>
      </c>
      <c r="V966" s="64">
        <f>Table1[[#This Row],[ActualHomeScore]]-Table1[[#This Row],[PredictedHomeScore]]</f>
        <v>0</v>
      </c>
      <c r="W966" s="64">
        <f>(0.8*IF(Table1[[#This Row],[CorrectWinnerPrediction]]=1, 1, 0))+(0.1*IF(Table1[[#This Row],[CorrectAwayScorePrediction]]=1, 1, 0))+(0.1*IF(Table1[[#This Row],[CorrectHomeScorePrediction]]=1, 1, 0))</f>
        <v>0</v>
      </c>
      <c r="X96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66" s="64">
        <f>SUMIF(Table1[GameDate], Table1[[#This Row],[GameDate]], Table1[AwayGameGoalDiff])</f>
        <v>0</v>
      </c>
      <c r="AA966" s="64">
        <f>SUMIF(Table1[GameDate], Table1[[#This Row],[GameDate]], Table1[HomeGameGoalDiff])</f>
        <v>0</v>
      </c>
      <c r="AB966" s="64">
        <f>IF(ISBLANK(Table1[[#This Row],[ActualResult]]), 0, 1)</f>
        <v>0</v>
      </c>
      <c r="AC966" s="64">
        <f>IF(ISBLANK(Table1[[#This Row],[ActualResult]]), 0, IF(Table1[[#This Row],[ActualWinner]]=Table1[[#This Row],[PredictedWinner]], 1, 0))</f>
        <v>0</v>
      </c>
      <c r="AD96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6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66" s="64">
        <f>IF(AND(Table1[[#This Row],[GameIsOver]]=1,Table1[[#This Row],[ActualAwayScore]]=0), 1,0)</f>
        <v>0</v>
      </c>
      <c r="AG966" s="64">
        <f>IF(AND(Table1[[#This Row],[GameIsOver]]=1,Table1[[#This Row],[ActualHomeScore]]=0), 1,0)</f>
        <v>0</v>
      </c>
      <c r="AH966" s="64">
        <f>IF(Table1[[#This Row],[GameIsOver]]=0,0,IF(Table1[[#This Row],[ActualWinner]]=Table1[[#This Row],[AwayTeam]], 1, 0))</f>
        <v>0</v>
      </c>
      <c r="AI966" s="64">
        <f>IF(Table1[[#This Row],[GameIsOver]]=0,0,IF(Table1[[#This Row],[ActualWinner]]=Table1[[#This Row],[HomeTeam]], 1, 0))</f>
        <v>0</v>
      </c>
      <c r="AJ966" s="64">
        <f>IF(INDEX(Standings!$A$2:$C$33,MATCH(Table1[[#This Row],[AwayTeam]],Standings!$A$2:$A$33,0),2)=INDEX(Standings!$A$2:$C$33,MATCH(Table1[[#This Row],[HomeTeam]],Standings!$A$2:$A$33,0),2),1,0)</f>
        <v>0</v>
      </c>
      <c r="AK966" s="64">
        <f>IF(INDEX(Standings!$A$2:$C$33,MATCH(Table1[[#This Row],[AwayTeam]],Standings!$A$2:$A$33,0),3)=INDEX(Standings!$A$2:$C$33,MATCH(Table1[[#This Row],[HomeTeam]],Standings!$A$2:$A$33,0),3),1,0)</f>
        <v>0</v>
      </c>
      <c r="AL966" s="64">
        <f>IF(Table1[[#This Row],[InterConf]]=1,IF(Table1[[#This Row],[InterDiv]]=0, 1, 0), 0)</f>
        <v>0</v>
      </c>
      <c r="AM966" s="64">
        <f>IF(INDEX(Standings!$A$2:$C$33,MATCH(Table1[[#This Row],[AwayTeam]],Standings!$A$2:$A$33,0),2)&lt;&gt;INDEX(Standings!$A$2:$C$33,MATCH(Table1[[#This Row],[HomeTeam]],Standings!$A$2:$A$33,0),2),1,0)</f>
        <v>1</v>
      </c>
      <c r="AN966" s="64" t="str">
        <f>INDEX(Table2[AWAY_RECORD], MATCH(Table1[[#This Row],[AwayTeam]],Table2[Team], 0), 0)</f>
        <v>0-0-1</v>
      </c>
      <c r="AO966" s="64" t="str">
        <f>INDEX(Records!$B$2:$AG$33, MATCH(Table1[[#This Row],[AwayTeam]],Records!$A$2:$A$33, 0), MATCH(Table1[[#This Row],[HomeTeam]],Records!$A$2:$A$33, 0))</f>
        <v>0-0-0</v>
      </c>
      <c r="AP966" s="64" t="str">
        <f>INDEX(Table2[HOME_RECORD], MATCH(Table1[[#This Row],[HomeTeam]],Table2[Team], 0), 0)</f>
        <v>1-0-0</v>
      </c>
      <c r="AQ966" s="64" t="str">
        <f>INDEX(Records!$B$2:$AG$33, MATCH(Table1[[#This Row],[HomeTeam]],Records!$A$2:$A$33, 0), MATCH(Table1[[#This Row],[AwayTeam]],Records!$A$2:$A$33, 0))</f>
        <v>0-0-0</v>
      </c>
    </row>
    <row r="967" spans="1:43" x14ac:dyDescent="0.25">
      <c r="A967" s="1"/>
      <c r="D967" t="s">
        <v>1282</v>
      </c>
      <c r="E967" t="s">
        <v>164</v>
      </c>
      <c r="F967" t="s">
        <v>1290</v>
      </c>
      <c r="G967" t="s">
        <v>56</v>
      </c>
      <c r="H967" t="s">
        <v>58</v>
      </c>
      <c r="L96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6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67" s="1"/>
      <c r="T967" s="64" t="str">
        <f>IF(Table1[[#This Row],[ActualWinner]]="", "", IF(Table1[[#This Row],[AwayTeam]]=Table1[[#This Row],[ActualWinner]],Table1[[#This Row],[HomeTeam]],Table1[[#This Row],[AwayTeam]]))</f>
        <v/>
      </c>
      <c r="U967" s="64">
        <f>Table1[[#This Row],[ActualAwayScore]]-Table1[[#This Row],[PredictedAwayScore]]</f>
        <v>0</v>
      </c>
      <c r="V967" s="64">
        <f>Table1[[#This Row],[ActualHomeScore]]-Table1[[#This Row],[PredictedHomeScore]]</f>
        <v>0</v>
      </c>
      <c r="W967" s="64">
        <f>(0.8*IF(Table1[[#This Row],[CorrectWinnerPrediction]]=1, 1, 0))+(0.1*IF(Table1[[#This Row],[CorrectAwayScorePrediction]]=1, 1, 0))+(0.1*IF(Table1[[#This Row],[CorrectHomeScorePrediction]]=1, 1, 0))</f>
        <v>0</v>
      </c>
      <c r="X96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67" s="64">
        <f>SUMIF(Table1[GameDate], Table1[[#This Row],[GameDate]], Table1[AwayGameGoalDiff])</f>
        <v>0</v>
      </c>
      <c r="AA967" s="64">
        <f>SUMIF(Table1[GameDate], Table1[[#This Row],[GameDate]], Table1[HomeGameGoalDiff])</f>
        <v>0</v>
      </c>
      <c r="AB967" s="64">
        <f>IF(ISBLANK(Table1[[#This Row],[ActualResult]]), 0, 1)</f>
        <v>0</v>
      </c>
      <c r="AC967" s="64">
        <f>IF(ISBLANK(Table1[[#This Row],[ActualResult]]), 0, IF(Table1[[#This Row],[ActualWinner]]=Table1[[#This Row],[PredictedWinner]], 1, 0))</f>
        <v>0</v>
      </c>
      <c r="AD96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6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67" s="64">
        <f>IF(AND(Table1[[#This Row],[GameIsOver]]=1,Table1[[#This Row],[ActualAwayScore]]=0), 1,0)</f>
        <v>0</v>
      </c>
      <c r="AG967" s="64">
        <f>IF(AND(Table1[[#This Row],[GameIsOver]]=1,Table1[[#This Row],[ActualHomeScore]]=0), 1,0)</f>
        <v>0</v>
      </c>
      <c r="AH967" s="64">
        <f>IF(Table1[[#This Row],[GameIsOver]]=0,0,IF(Table1[[#This Row],[ActualWinner]]=Table1[[#This Row],[AwayTeam]], 1, 0))</f>
        <v>0</v>
      </c>
      <c r="AI967" s="64">
        <f>IF(Table1[[#This Row],[GameIsOver]]=0,0,IF(Table1[[#This Row],[ActualWinner]]=Table1[[#This Row],[HomeTeam]], 1, 0))</f>
        <v>0</v>
      </c>
      <c r="AJ967" s="64">
        <f>IF(INDEX(Standings!$A$2:$C$33,MATCH(Table1[[#This Row],[AwayTeam]],Standings!$A$2:$A$33,0),2)=INDEX(Standings!$A$2:$C$33,MATCH(Table1[[#This Row],[HomeTeam]],Standings!$A$2:$A$33,0),2),1,0)</f>
        <v>1</v>
      </c>
      <c r="AK967" s="64">
        <f>IF(INDEX(Standings!$A$2:$C$33,MATCH(Table1[[#This Row],[AwayTeam]],Standings!$A$2:$A$33,0),3)=INDEX(Standings!$A$2:$C$33,MATCH(Table1[[#This Row],[HomeTeam]],Standings!$A$2:$A$33,0),3),1,0)</f>
        <v>0</v>
      </c>
      <c r="AL967" s="64">
        <f>IF(Table1[[#This Row],[InterConf]]=1,IF(Table1[[#This Row],[InterDiv]]=0, 1, 0), 0)</f>
        <v>1</v>
      </c>
      <c r="AM967" s="64">
        <f>IF(INDEX(Standings!$A$2:$C$33,MATCH(Table1[[#This Row],[AwayTeam]],Standings!$A$2:$A$33,0),2)&lt;&gt;INDEX(Standings!$A$2:$C$33,MATCH(Table1[[#This Row],[HomeTeam]],Standings!$A$2:$A$33,0),2),1,0)</f>
        <v>0</v>
      </c>
      <c r="AN967" s="64" t="str">
        <f>INDEX(Table2[AWAY_RECORD], MATCH(Table1[[#This Row],[AwayTeam]],Table2[Team], 0), 0)</f>
        <v>1-0-0</v>
      </c>
      <c r="AO967" s="64" t="str">
        <f>INDEX(Records!$B$2:$AG$33, MATCH(Table1[[#This Row],[AwayTeam]],Records!$A$2:$A$33, 0), MATCH(Table1[[#This Row],[HomeTeam]],Records!$A$2:$A$33, 0))</f>
        <v>0-0-0</v>
      </c>
      <c r="AP967" s="64" t="str">
        <f>INDEX(Table2[HOME_RECORD], MATCH(Table1[[#This Row],[HomeTeam]],Table2[Team], 0), 0)</f>
        <v>1-0-0</v>
      </c>
      <c r="AQ967" s="64" t="str">
        <f>INDEX(Records!$B$2:$AG$33, MATCH(Table1[[#This Row],[HomeTeam]],Records!$A$2:$A$33, 0), MATCH(Table1[[#This Row],[AwayTeam]],Records!$A$2:$A$33, 0))</f>
        <v>0-0-0</v>
      </c>
    </row>
    <row r="968" spans="1:43" x14ac:dyDescent="0.25">
      <c r="A968" s="1"/>
      <c r="D968" t="s">
        <v>1291</v>
      </c>
      <c r="E968" t="s">
        <v>205</v>
      </c>
      <c r="F968" t="s">
        <v>1292</v>
      </c>
      <c r="G968" t="s">
        <v>51</v>
      </c>
      <c r="H968" t="s">
        <v>53</v>
      </c>
      <c r="L96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6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68" s="1"/>
      <c r="T968" s="64" t="str">
        <f>IF(Table1[[#This Row],[ActualWinner]]="", "", IF(Table1[[#This Row],[AwayTeam]]=Table1[[#This Row],[ActualWinner]],Table1[[#This Row],[HomeTeam]],Table1[[#This Row],[AwayTeam]]))</f>
        <v/>
      </c>
      <c r="U968" s="64">
        <f>Table1[[#This Row],[ActualAwayScore]]-Table1[[#This Row],[PredictedAwayScore]]</f>
        <v>0</v>
      </c>
      <c r="V968" s="64">
        <f>Table1[[#This Row],[ActualHomeScore]]-Table1[[#This Row],[PredictedHomeScore]]</f>
        <v>0</v>
      </c>
      <c r="W968" s="64">
        <f>(0.8*IF(Table1[[#This Row],[CorrectWinnerPrediction]]=1, 1, 0))+(0.1*IF(Table1[[#This Row],[CorrectAwayScorePrediction]]=1, 1, 0))+(0.1*IF(Table1[[#This Row],[CorrectHomeScorePrediction]]=1, 1, 0))</f>
        <v>0</v>
      </c>
      <c r="X96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68" s="64">
        <f>SUMIF(Table1[GameDate], Table1[[#This Row],[GameDate]], Table1[AwayGameGoalDiff])</f>
        <v>0</v>
      </c>
      <c r="AA968" s="64">
        <f>SUMIF(Table1[GameDate], Table1[[#This Row],[GameDate]], Table1[HomeGameGoalDiff])</f>
        <v>0</v>
      </c>
      <c r="AB968" s="64">
        <f>IF(ISBLANK(Table1[[#This Row],[ActualResult]]), 0, 1)</f>
        <v>0</v>
      </c>
      <c r="AC968" s="64">
        <f>IF(ISBLANK(Table1[[#This Row],[ActualResult]]), 0, IF(Table1[[#This Row],[ActualWinner]]=Table1[[#This Row],[PredictedWinner]], 1, 0))</f>
        <v>0</v>
      </c>
      <c r="AD96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6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68" s="64">
        <f>IF(AND(Table1[[#This Row],[GameIsOver]]=1,Table1[[#This Row],[ActualAwayScore]]=0), 1,0)</f>
        <v>0</v>
      </c>
      <c r="AG968" s="64">
        <f>IF(AND(Table1[[#This Row],[GameIsOver]]=1,Table1[[#This Row],[ActualHomeScore]]=0), 1,0)</f>
        <v>0</v>
      </c>
      <c r="AH968" s="64">
        <f>IF(Table1[[#This Row],[GameIsOver]]=0,0,IF(Table1[[#This Row],[ActualWinner]]=Table1[[#This Row],[AwayTeam]], 1, 0))</f>
        <v>0</v>
      </c>
      <c r="AI968" s="64">
        <f>IF(Table1[[#This Row],[GameIsOver]]=0,0,IF(Table1[[#This Row],[ActualWinner]]=Table1[[#This Row],[HomeTeam]], 1, 0))</f>
        <v>0</v>
      </c>
      <c r="AJ968" s="64">
        <f>IF(INDEX(Standings!$A$2:$C$33,MATCH(Table1[[#This Row],[AwayTeam]],Standings!$A$2:$A$33,0),2)=INDEX(Standings!$A$2:$C$33,MATCH(Table1[[#This Row],[HomeTeam]],Standings!$A$2:$A$33,0),2),1,0)</f>
        <v>1</v>
      </c>
      <c r="AK968" s="64">
        <f>IF(INDEX(Standings!$A$2:$C$33,MATCH(Table1[[#This Row],[AwayTeam]],Standings!$A$2:$A$33,0),3)=INDEX(Standings!$A$2:$C$33,MATCH(Table1[[#This Row],[HomeTeam]],Standings!$A$2:$A$33,0),3),1,0)</f>
        <v>1</v>
      </c>
      <c r="AL968" s="64">
        <f>IF(Table1[[#This Row],[InterConf]]=1,IF(Table1[[#This Row],[InterDiv]]=0, 1, 0), 0)</f>
        <v>0</v>
      </c>
      <c r="AM968" s="64">
        <f>IF(INDEX(Standings!$A$2:$C$33,MATCH(Table1[[#This Row],[AwayTeam]],Standings!$A$2:$A$33,0),2)&lt;&gt;INDEX(Standings!$A$2:$C$33,MATCH(Table1[[#This Row],[HomeTeam]],Standings!$A$2:$A$33,0),2),1,0)</f>
        <v>0</v>
      </c>
      <c r="AN968" s="64" t="str">
        <f>INDEX(Table2[AWAY_RECORD], MATCH(Table1[[#This Row],[AwayTeam]],Table2[Team], 0), 0)</f>
        <v>2-0-0</v>
      </c>
      <c r="AO968" s="64" t="str">
        <f>INDEX(Records!$B$2:$AG$33, MATCH(Table1[[#This Row],[AwayTeam]],Records!$A$2:$A$33, 0), MATCH(Table1[[#This Row],[HomeTeam]],Records!$A$2:$A$33, 0))</f>
        <v>0-0-0</v>
      </c>
      <c r="AP968" s="64" t="str">
        <f>INDEX(Table2[HOME_RECORD], MATCH(Table1[[#This Row],[HomeTeam]],Table2[Team], 0), 0)</f>
        <v>1-0-0</v>
      </c>
      <c r="AQ968" s="64" t="str">
        <f>INDEX(Records!$B$2:$AG$33, MATCH(Table1[[#This Row],[HomeTeam]],Records!$A$2:$A$33, 0), MATCH(Table1[[#This Row],[AwayTeam]],Records!$A$2:$A$33, 0))</f>
        <v>0-0-0</v>
      </c>
    </row>
    <row r="969" spans="1:43" x14ac:dyDescent="0.25">
      <c r="A969" s="1"/>
      <c r="D969" t="s">
        <v>1291</v>
      </c>
      <c r="E969" t="s">
        <v>252</v>
      </c>
      <c r="F969" t="s">
        <v>1293</v>
      </c>
      <c r="G969" t="s">
        <v>38</v>
      </c>
      <c r="H969" t="s">
        <v>49</v>
      </c>
      <c r="L96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6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69" s="1"/>
      <c r="T969" s="64" t="str">
        <f>IF(Table1[[#This Row],[ActualWinner]]="", "", IF(Table1[[#This Row],[AwayTeam]]=Table1[[#This Row],[ActualWinner]],Table1[[#This Row],[HomeTeam]],Table1[[#This Row],[AwayTeam]]))</f>
        <v/>
      </c>
      <c r="U969" s="64">
        <f>Table1[[#This Row],[ActualAwayScore]]-Table1[[#This Row],[PredictedAwayScore]]</f>
        <v>0</v>
      </c>
      <c r="V969" s="64">
        <f>Table1[[#This Row],[ActualHomeScore]]-Table1[[#This Row],[PredictedHomeScore]]</f>
        <v>0</v>
      </c>
      <c r="W969" s="64">
        <f>(0.8*IF(Table1[[#This Row],[CorrectWinnerPrediction]]=1, 1, 0))+(0.1*IF(Table1[[#This Row],[CorrectAwayScorePrediction]]=1, 1, 0))+(0.1*IF(Table1[[#This Row],[CorrectHomeScorePrediction]]=1, 1, 0))</f>
        <v>0</v>
      </c>
      <c r="X96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69" s="64">
        <f>SUMIF(Table1[GameDate], Table1[[#This Row],[GameDate]], Table1[AwayGameGoalDiff])</f>
        <v>0</v>
      </c>
      <c r="AA969" s="64">
        <f>SUMIF(Table1[GameDate], Table1[[#This Row],[GameDate]], Table1[HomeGameGoalDiff])</f>
        <v>0</v>
      </c>
      <c r="AB969" s="64">
        <f>IF(ISBLANK(Table1[[#This Row],[ActualResult]]), 0, 1)</f>
        <v>0</v>
      </c>
      <c r="AC969" s="64">
        <f>IF(ISBLANK(Table1[[#This Row],[ActualResult]]), 0, IF(Table1[[#This Row],[ActualWinner]]=Table1[[#This Row],[PredictedWinner]], 1, 0))</f>
        <v>0</v>
      </c>
      <c r="AD96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6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69" s="64">
        <f>IF(AND(Table1[[#This Row],[GameIsOver]]=1,Table1[[#This Row],[ActualAwayScore]]=0), 1,0)</f>
        <v>0</v>
      </c>
      <c r="AG969" s="64">
        <f>IF(AND(Table1[[#This Row],[GameIsOver]]=1,Table1[[#This Row],[ActualHomeScore]]=0), 1,0)</f>
        <v>0</v>
      </c>
      <c r="AH969" s="64">
        <f>IF(Table1[[#This Row],[GameIsOver]]=0,0,IF(Table1[[#This Row],[ActualWinner]]=Table1[[#This Row],[AwayTeam]], 1, 0))</f>
        <v>0</v>
      </c>
      <c r="AI969" s="64">
        <f>IF(Table1[[#This Row],[GameIsOver]]=0,0,IF(Table1[[#This Row],[ActualWinner]]=Table1[[#This Row],[HomeTeam]], 1, 0))</f>
        <v>0</v>
      </c>
      <c r="AJ969" s="64">
        <f>IF(INDEX(Standings!$A$2:$C$33,MATCH(Table1[[#This Row],[AwayTeam]],Standings!$A$2:$A$33,0),2)=INDEX(Standings!$A$2:$C$33,MATCH(Table1[[#This Row],[HomeTeam]],Standings!$A$2:$A$33,0),2),1,0)</f>
        <v>1</v>
      </c>
      <c r="AK969" s="64">
        <f>IF(INDEX(Standings!$A$2:$C$33,MATCH(Table1[[#This Row],[AwayTeam]],Standings!$A$2:$A$33,0),3)=INDEX(Standings!$A$2:$C$33,MATCH(Table1[[#This Row],[HomeTeam]],Standings!$A$2:$A$33,0),3),1,0)</f>
        <v>0</v>
      </c>
      <c r="AL969" s="64">
        <f>IF(Table1[[#This Row],[InterConf]]=1,IF(Table1[[#This Row],[InterDiv]]=0, 1, 0), 0)</f>
        <v>1</v>
      </c>
      <c r="AM969" s="64">
        <f>IF(INDEX(Standings!$A$2:$C$33,MATCH(Table1[[#This Row],[AwayTeam]],Standings!$A$2:$A$33,0),2)&lt;&gt;INDEX(Standings!$A$2:$C$33,MATCH(Table1[[#This Row],[HomeTeam]],Standings!$A$2:$A$33,0),2),1,0)</f>
        <v>0</v>
      </c>
      <c r="AN969" s="64" t="str">
        <f>INDEX(Table2[AWAY_RECORD], MATCH(Table1[[#This Row],[AwayTeam]],Table2[Team], 0), 0)</f>
        <v>0-0-1</v>
      </c>
      <c r="AO969" s="64" t="str">
        <f>INDEX(Records!$B$2:$AG$33, MATCH(Table1[[#This Row],[AwayTeam]],Records!$A$2:$A$33, 0), MATCH(Table1[[#This Row],[HomeTeam]],Records!$A$2:$A$33, 0))</f>
        <v>0-0-0</v>
      </c>
      <c r="AP969" s="64" t="str">
        <f>INDEX(Table2[HOME_RECORD], MATCH(Table1[[#This Row],[HomeTeam]],Table2[Team], 0), 0)</f>
        <v>1-0-0</v>
      </c>
      <c r="AQ969" s="64" t="str">
        <f>INDEX(Records!$B$2:$AG$33, MATCH(Table1[[#This Row],[HomeTeam]],Records!$A$2:$A$33, 0), MATCH(Table1[[#This Row],[AwayTeam]],Records!$A$2:$A$33, 0))</f>
        <v>0-0-0</v>
      </c>
    </row>
    <row r="970" spans="1:43" x14ac:dyDescent="0.25">
      <c r="A970" s="1"/>
      <c r="D970" t="s">
        <v>1291</v>
      </c>
      <c r="E970" t="s">
        <v>252</v>
      </c>
      <c r="F970" t="s">
        <v>1294</v>
      </c>
      <c r="G970" t="s">
        <v>22</v>
      </c>
      <c r="H970" t="s">
        <v>16</v>
      </c>
      <c r="L97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7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70" s="1"/>
      <c r="T970" s="64" t="str">
        <f>IF(Table1[[#This Row],[ActualWinner]]="", "", IF(Table1[[#This Row],[AwayTeam]]=Table1[[#This Row],[ActualWinner]],Table1[[#This Row],[HomeTeam]],Table1[[#This Row],[AwayTeam]]))</f>
        <v/>
      </c>
      <c r="U970" s="64">
        <f>Table1[[#This Row],[ActualAwayScore]]-Table1[[#This Row],[PredictedAwayScore]]</f>
        <v>0</v>
      </c>
      <c r="V970" s="64">
        <f>Table1[[#This Row],[ActualHomeScore]]-Table1[[#This Row],[PredictedHomeScore]]</f>
        <v>0</v>
      </c>
      <c r="W970" s="64">
        <f>(0.8*IF(Table1[[#This Row],[CorrectWinnerPrediction]]=1, 1, 0))+(0.1*IF(Table1[[#This Row],[CorrectAwayScorePrediction]]=1, 1, 0))+(0.1*IF(Table1[[#This Row],[CorrectHomeScorePrediction]]=1, 1, 0))</f>
        <v>0</v>
      </c>
      <c r="X97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70" s="64">
        <f>SUMIF(Table1[GameDate], Table1[[#This Row],[GameDate]], Table1[AwayGameGoalDiff])</f>
        <v>0</v>
      </c>
      <c r="AA970" s="64">
        <f>SUMIF(Table1[GameDate], Table1[[#This Row],[GameDate]], Table1[HomeGameGoalDiff])</f>
        <v>0</v>
      </c>
      <c r="AB970" s="64">
        <f>IF(ISBLANK(Table1[[#This Row],[ActualResult]]), 0, 1)</f>
        <v>0</v>
      </c>
      <c r="AC970" s="64">
        <f>IF(ISBLANK(Table1[[#This Row],[ActualResult]]), 0, IF(Table1[[#This Row],[ActualWinner]]=Table1[[#This Row],[PredictedWinner]], 1, 0))</f>
        <v>0</v>
      </c>
      <c r="AD97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7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70" s="64">
        <f>IF(AND(Table1[[#This Row],[GameIsOver]]=1,Table1[[#This Row],[ActualAwayScore]]=0), 1,0)</f>
        <v>0</v>
      </c>
      <c r="AG970" s="64">
        <f>IF(AND(Table1[[#This Row],[GameIsOver]]=1,Table1[[#This Row],[ActualHomeScore]]=0), 1,0)</f>
        <v>0</v>
      </c>
      <c r="AH970" s="64">
        <f>IF(Table1[[#This Row],[GameIsOver]]=0,0,IF(Table1[[#This Row],[ActualWinner]]=Table1[[#This Row],[AwayTeam]], 1, 0))</f>
        <v>0</v>
      </c>
      <c r="AI970" s="64">
        <f>IF(Table1[[#This Row],[GameIsOver]]=0,0,IF(Table1[[#This Row],[ActualWinner]]=Table1[[#This Row],[HomeTeam]], 1, 0))</f>
        <v>0</v>
      </c>
      <c r="AJ970" s="64">
        <f>IF(INDEX(Standings!$A$2:$C$33,MATCH(Table1[[#This Row],[AwayTeam]],Standings!$A$2:$A$33,0),2)=INDEX(Standings!$A$2:$C$33,MATCH(Table1[[#This Row],[HomeTeam]],Standings!$A$2:$A$33,0),2),1,0)</f>
        <v>1</v>
      </c>
      <c r="AK970" s="64">
        <f>IF(INDEX(Standings!$A$2:$C$33,MATCH(Table1[[#This Row],[AwayTeam]],Standings!$A$2:$A$33,0),3)=INDEX(Standings!$A$2:$C$33,MATCH(Table1[[#This Row],[HomeTeam]],Standings!$A$2:$A$33,0),3),1,0)</f>
        <v>1</v>
      </c>
      <c r="AL970" s="64">
        <f>IF(Table1[[#This Row],[InterConf]]=1,IF(Table1[[#This Row],[InterDiv]]=0, 1, 0), 0)</f>
        <v>0</v>
      </c>
      <c r="AM970" s="64">
        <f>IF(INDEX(Standings!$A$2:$C$33,MATCH(Table1[[#This Row],[AwayTeam]],Standings!$A$2:$A$33,0),2)&lt;&gt;INDEX(Standings!$A$2:$C$33,MATCH(Table1[[#This Row],[HomeTeam]],Standings!$A$2:$A$33,0),2),1,0)</f>
        <v>0</v>
      </c>
      <c r="AN970" s="64" t="str">
        <f>INDEX(Table2[AWAY_RECORD], MATCH(Table1[[#This Row],[AwayTeam]],Table2[Team], 0), 0)</f>
        <v>0-0-1</v>
      </c>
      <c r="AO970" s="64" t="str">
        <f>INDEX(Records!$B$2:$AG$33, MATCH(Table1[[#This Row],[AwayTeam]],Records!$A$2:$A$33, 0), MATCH(Table1[[#This Row],[HomeTeam]],Records!$A$2:$A$33, 0))</f>
        <v>0-0-0</v>
      </c>
      <c r="AP970" s="64" t="str">
        <f>INDEX(Table2[HOME_RECORD], MATCH(Table1[[#This Row],[HomeTeam]],Table2[Team], 0), 0)</f>
        <v>0-0-0</v>
      </c>
      <c r="AQ970" s="64" t="str">
        <f>INDEX(Records!$B$2:$AG$33, MATCH(Table1[[#This Row],[HomeTeam]],Records!$A$2:$A$33, 0), MATCH(Table1[[#This Row],[AwayTeam]],Records!$A$2:$A$33, 0))</f>
        <v>0-0-0</v>
      </c>
    </row>
    <row r="971" spans="1:43" x14ac:dyDescent="0.25">
      <c r="A971" s="1"/>
      <c r="D971" t="s">
        <v>1291</v>
      </c>
      <c r="E971" t="s">
        <v>207</v>
      </c>
      <c r="F971" t="s">
        <v>1295</v>
      </c>
      <c r="G971" t="s">
        <v>36</v>
      </c>
      <c r="H971" t="s">
        <v>17</v>
      </c>
      <c r="L97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7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71" s="1"/>
      <c r="T971" s="64" t="str">
        <f>IF(Table1[[#This Row],[ActualWinner]]="", "", IF(Table1[[#This Row],[AwayTeam]]=Table1[[#This Row],[ActualWinner]],Table1[[#This Row],[HomeTeam]],Table1[[#This Row],[AwayTeam]]))</f>
        <v/>
      </c>
      <c r="U971" s="64">
        <f>Table1[[#This Row],[ActualAwayScore]]-Table1[[#This Row],[PredictedAwayScore]]</f>
        <v>0</v>
      </c>
      <c r="V971" s="64">
        <f>Table1[[#This Row],[ActualHomeScore]]-Table1[[#This Row],[PredictedHomeScore]]</f>
        <v>0</v>
      </c>
      <c r="W971" s="64">
        <f>(0.8*IF(Table1[[#This Row],[CorrectWinnerPrediction]]=1, 1, 0))+(0.1*IF(Table1[[#This Row],[CorrectAwayScorePrediction]]=1, 1, 0))+(0.1*IF(Table1[[#This Row],[CorrectHomeScorePrediction]]=1, 1, 0))</f>
        <v>0</v>
      </c>
      <c r="X97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71" s="64">
        <f>SUMIF(Table1[GameDate], Table1[[#This Row],[GameDate]], Table1[AwayGameGoalDiff])</f>
        <v>0</v>
      </c>
      <c r="AA971" s="64">
        <f>SUMIF(Table1[GameDate], Table1[[#This Row],[GameDate]], Table1[HomeGameGoalDiff])</f>
        <v>0</v>
      </c>
      <c r="AB971" s="64">
        <f>IF(ISBLANK(Table1[[#This Row],[ActualResult]]), 0, 1)</f>
        <v>0</v>
      </c>
      <c r="AC971" s="64">
        <f>IF(ISBLANK(Table1[[#This Row],[ActualResult]]), 0, IF(Table1[[#This Row],[ActualWinner]]=Table1[[#This Row],[PredictedWinner]], 1, 0))</f>
        <v>0</v>
      </c>
      <c r="AD97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7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71" s="64">
        <f>IF(AND(Table1[[#This Row],[GameIsOver]]=1,Table1[[#This Row],[ActualAwayScore]]=0), 1,0)</f>
        <v>0</v>
      </c>
      <c r="AG971" s="64">
        <f>IF(AND(Table1[[#This Row],[GameIsOver]]=1,Table1[[#This Row],[ActualHomeScore]]=0), 1,0)</f>
        <v>0</v>
      </c>
      <c r="AH971" s="64">
        <f>IF(Table1[[#This Row],[GameIsOver]]=0,0,IF(Table1[[#This Row],[ActualWinner]]=Table1[[#This Row],[AwayTeam]], 1, 0))</f>
        <v>0</v>
      </c>
      <c r="AI971" s="64">
        <f>IF(Table1[[#This Row],[GameIsOver]]=0,0,IF(Table1[[#This Row],[ActualWinner]]=Table1[[#This Row],[HomeTeam]], 1, 0))</f>
        <v>0</v>
      </c>
      <c r="AJ971" s="64">
        <f>IF(INDEX(Standings!$A$2:$C$33,MATCH(Table1[[#This Row],[AwayTeam]],Standings!$A$2:$A$33,0),2)=INDEX(Standings!$A$2:$C$33,MATCH(Table1[[#This Row],[HomeTeam]],Standings!$A$2:$A$33,0),2),1,0)</f>
        <v>0</v>
      </c>
      <c r="AK971" s="64">
        <f>IF(INDEX(Standings!$A$2:$C$33,MATCH(Table1[[#This Row],[AwayTeam]],Standings!$A$2:$A$33,0),3)=INDEX(Standings!$A$2:$C$33,MATCH(Table1[[#This Row],[HomeTeam]],Standings!$A$2:$A$33,0),3),1,0)</f>
        <v>0</v>
      </c>
      <c r="AL971" s="64">
        <f>IF(Table1[[#This Row],[InterConf]]=1,IF(Table1[[#This Row],[InterDiv]]=0, 1, 0), 0)</f>
        <v>0</v>
      </c>
      <c r="AM971" s="64">
        <f>IF(INDEX(Standings!$A$2:$C$33,MATCH(Table1[[#This Row],[AwayTeam]],Standings!$A$2:$A$33,0),2)&lt;&gt;INDEX(Standings!$A$2:$C$33,MATCH(Table1[[#This Row],[HomeTeam]],Standings!$A$2:$A$33,0),2),1,0)</f>
        <v>1</v>
      </c>
      <c r="AN971" s="64" t="str">
        <f>INDEX(Table2[AWAY_RECORD], MATCH(Table1[[#This Row],[AwayTeam]],Table2[Team], 0), 0)</f>
        <v>0-0-0</v>
      </c>
      <c r="AO971" s="64" t="str">
        <f>INDEX(Records!$B$2:$AG$33, MATCH(Table1[[#This Row],[AwayTeam]],Records!$A$2:$A$33, 0), MATCH(Table1[[#This Row],[HomeTeam]],Records!$A$2:$A$33, 0))</f>
        <v>0-0-0</v>
      </c>
      <c r="AP971" s="64" t="str">
        <f>INDEX(Table2[HOME_RECORD], MATCH(Table1[[#This Row],[HomeTeam]],Table2[Team], 0), 0)</f>
        <v>0-0-0</v>
      </c>
      <c r="AQ971" s="64" t="str">
        <f>INDEX(Records!$B$2:$AG$33, MATCH(Table1[[#This Row],[HomeTeam]],Records!$A$2:$A$33, 0), MATCH(Table1[[#This Row],[AwayTeam]],Records!$A$2:$A$33, 0))</f>
        <v>0-0-0</v>
      </c>
    </row>
    <row r="972" spans="1:43" x14ac:dyDescent="0.25">
      <c r="A972" s="1"/>
      <c r="D972" t="s">
        <v>1291</v>
      </c>
      <c r="E972" t="s">
        <v>207</v>
      </c>
      <c r="F972" t="s">
        <v>1296</v>
      </c>
      <c r="G972" t="s">
        <v>48</v>
      </c>
      <c r="H972" t="s">
        <v>42</v>
      </c>
      <c r="L97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7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72" s="1"/>
      <c r="T972" s="64" t="str">
        <f>IF(Table1[[#This Row],[ActualWinner]]="", "", IF(Table1[[#This Row],[AwayTeam]]=Table1[[#This Row],[ActualWinner]],Table1[[#This Row],[HomeTeam]],Table1[[#This Row],[AwayTeam]]))</f>
        <v/>
      </c>
      <c r="U972" s="64">
        <f>Table1[[#This Row],[ActualAwayScore]]-Table1[[#This Row],[PredictedAwayScore]]</f>
        <v>0</v>
      </c>
      <c r="V972" s="64">
        <f>Table1[[#This Row],[ActualHomeScore]]-Table1[[#This Row],[PredictedHomeScore]]</f>
        <v>0</v>
      </c>
      <c r="W972" s="64">
        <f>(0.8*IF(Table1[[#This Row],[CorrectWinnerPrediction]]=1, 1, 0))+(0.1*IF(Table1[[#This Row],[CorrectAwayScorePrediction]]=1, 1, 0))+(0.1*IF(Table1[[#This Row],[CorrectHomeScorePrediction]]=1, 1, 0))</f>
        <v>0</v>
      </c>
      <c r="X97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72" s="64">
        <f>SUMIF(Table1[GameDate], Table1[[#This Row],[GameDate]], Table1[AwayGameGoalDiff])</f>
        <v>0</v>
      </c>
      <c r="AA972" s="64">
        <f>SUMIF(Table1[GameDate], Table1[[#This Row],[GameDate]], Table1[HomeGameGoalDiff])</f>
        <v>0</v>
      </c>
      <c r="AB972" s="64">
        <f>IF(ISBLANK(Table1[[#This Row],[ActualResult]]), 0, 1)</f>
        <v>0</v>
      </c>
      <c r="AC972" s="64">
        <f>IF(ISBLANK(Table1[[#This Row],[ActualResult]]), 0, IF(Table1[[#This Row],[ActualWinner]]=Table1[[#This Row],[PredictedWinner]], 1, 0))</f>
        <v>0</v>
      </c>
      <c r="AD97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7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72" s="64">
        <f>IF(AND(Table1[[#This Row],[GameIsOver]]=1,Table1[[#This Row],[ActualAwayScore]]=0), 1,0)</f>
        <v>0</v>
      </c>
      <c r="AG972" s="64">
        <f>IF(AND(Table1[[#This Row],[GameIsOver]]=1,Table1[[#This Row],[ActualHomeScore]]=0), 1,0)</f>
        <v>0</v>
      </c>
      <c r="AH972" s="64">
        <f>IF(Table1[[#This Row],[GameIsOver]]=0,0,IF(Table1[[#This Row],[ActualWinner]]=Table1[[#This Row],[AwayTeam]], 1, 0))</f>
        <v>0</v>
      </c>
      <c r="AI972" s="64">
        <f>IF(Table1[[#This Row],[GameIsOver]]=0,0,IF(Table1[[#This Row],[ActualWinner]]=Table1[[#This Row],[HomeTeam]], 1, 0))</f>
        <v>0</v>
      </c>
      <c r="AJ972" s="64">
        <f>IF(INDEX(Standings!$A$2:$C$33,MATCH(Table1[[#This Row],[AwayTeam]],Standings!$A$2:$A$33,0),2)=INDEX(Standings!$A$2:$C$33,MATCH(Table1[[#This Row],[HomeTeam]],Standings!$A$2:$A$33,0),2),1,0)</f>
        <v>0</v>
      </c>
      <c r="AK972" s="64">
        <f>IF(INDEX(Standings!$A$2:$C$33,MATCH(Table1[[#This Row],[AwayTeam]],Standings!$A$2:$A$33,0),3)=INDEX(Standings!$A$2:$C$33,MATCH(Table1[[#This Row],[HomeTeam]],Standings!$A$2:$A$33,0),3),1,0)</f>
        <v>0</v>
      </c>
      <c r="AL972" s="64">
        <f>IF(Table1[[#This Row],[InterConf]]=1,IF(Table1[[#This Row],[InterDiv]]=0, 1, 0), 0)</f>
        <v>0</v>
      </c>
      <c r="AM972" s="64">
        <f>IF(INDEX(Standings!$A$2:$C$33,MATCH(Table1[[#This Row],[AwayTeam]],Standings!$A$2:$A$33,0),2)&lt;&gt;INDEX(Standings!$A$2:$C$33,MATCH(Table1[[#This Row],[HomeTeam]],Standings!$A$2:$A$33,0),2),1,0)</f>
        <v>1</v>
      </c>
      <c r="AN972" s="64" t="str">
        <f>INDEX(Table2[AWAY_RECORD], MATCH(Table1[[#This Row],[AwayTeam]],Table2[Team], 0), 0)</f>
        <v>0-0-0</v>
      </c>
      <c r="AO972" s="64" t="str">
        <f>INDEX(Records!$B$2:$AG$33, MATCH(Table1[[#This Row],[AwayTeam]],Records!$A$2:$A$33, 0), MATCH(Table1[[#This Row],[HomeTeam]],Records!$A$2:$A$33, 0))</f>
        <v>0-0-0</v>
      </c>
      <c r="AP972" s="64" t="str">
        <f>INDEX(Table2[HOME_RECORD], MATCH(Table1[[#This Row],[HomeTeam]],Table2[Team], 0), 0)</f>
        <v>1-0-0</v>
      </c>
      <c r="AQ972" s="64" t="str">
        <f>INDEX(Records!$B$2:$AG$33, MATCH(Table1[[#This Row],[HomeTeam]],Records!$A$2:$A$33, 0), MATCH(Table1[[#This Row],[AwayTeam]],Records!$A$2:$A$33, 0))</f>
        <v>0-0-0</v>
      </c>
    </row>
    <row r="973" spans="1:43" x14ac:dyDescent="0.25">
      <c r="A973" s="1"/>
      <c r="D973" t="s">
        <v>1291</v>
      </c>
      <c r="E973" t="s">
        <v>162</v>
      </c>
      <c r="F973" t="s">
        <v>1297</v>
      </c>
      <c r="G973" t="s">
        <v>50</v>
      </c>
      <c r="H973" t="s">
        <v>47</v>
      </c>
      <c r="L97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7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73" s="1"/>
      <c r="T973" s="64" t="str">
        <f>IF(Table1[[#This Row],[ActualWinner]]="", "", IF(Table1[[#This Row],[AwayTeam]]=Table1[[#This Row],[ActualWinner]],Table1[[#This Row],[HomeTeam]],Table1[[#This Row],[AwayTeam]]))</f>
        <v/>
      </c>
      <c r="U973" s="64">
        <f>Table1[[#This Row],[ActualAwayScore]]-Table1[[#This Row],[PredictedAwayScore]]</f>
        <v>0</v>
      </c>
      <c r="V973" s="64">
        <f>Table1[[#This Row],[ActualHomeScore]]-Table1[[#This Row],[PredictedHomeScore]]</f>
        <v>0</v>
      </c>
      <c r="W973" s="64">
        <f>(0.8*IF(Table1[[#This Row],[CorrectWinnerPrediction]]=1, 1, 0))+(0.1*IF(Table1[[#This Row],[CorrectAwayScorePrediction]]=1, 1, 0))+(0.1*IF(Table1[[#This Row],[CorrectHomeScorePrediction]]=1, 1, 0))</f>
        <v>0</v>
      </c>
      <c r="X97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73" s="64">
        <f>SUMIF(Table1[GameDate], Table1[[#This Row],[GameDate]], Table1[AwayGameGoalDiff])</f>
        <v>0</v>
      </c>
      <c r="AA973" s="64">
        <f>SUMIF(Table1[GameDate], Table1[[#This Row],[GameDate]], Table1[HomeGameGoalDiff])</f>
        <v>0</v>
      </c>
      <c r="AB973" s="64">
        <f>IF(ISBLANK(Table1[[#This Row],[ActualResult]]), 0, 1)</f>
        <v>0</v>
      </c>
      <c r="AC973" s="64">
        <f>IF(ISBLANK(Table1[[#This Row],[ActualResult]]), 0, IF(Table1[[#This Row],[ActualWinner]]=Table1[[#This Row],[PredictedWinner]], 1, 0))</f>
        <v>0</v>
      </c>
      <c r="AD97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7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73" s="64">
        <f>IF(AND(Table1[[#This Row],[GameIsOver]]=1,Table1[[#This Row],[ActualAwayScore]]=0), 1,0)</f>
        <v>0</v>
      </c>
      <c r="AG973" s="64">
        <f>IF(AND(Table1[[#This Row],[GameIsOver]]=1,Table1[[#This Row],[ActualHomeScore]]=0), 1,0)</f>
        <v>0</v>
      </c>
      <c r="AH973" s="64">
        <f>IF(Table1[[#This Row],[GameIsOver]]=0,0,IF(Table1[[#This Row],[ActualWinner]]=Table1[[#This Row],[AwayTeam]], 1, 0))</f>
        <v>0</v>
      </c>
      <c r="AI973" s="64">
        <f>IF(Table1[[#This Row],[GameIsOver]]=0,0,IF(Table1[[#This Row],[ActualWinner]]=Table1[[#This Row],[HomeTeam]], 1, 0))</f>
        <v>0</v>
      </c>
      <c r="AJ973" s="64">
        <f>IF(INDEX(Standings!$A$2:$C$33,MATCH(Table1[[#This Row],[AwayTeam]],Standings!$A$2:$A$33,0),2)=INDEX(Standings!$A$2:$C$33,MATCH(Table1[[#This Row],[HomeTeam]],Standings!$A$2:$A$33,0),2),1,0)</f>
        <v>1</v>
      </c>
      <c r="AK973" s="64">
        <f>IF(INDEX(Standings!$A$2:$C$33,MATCH(Table1[[#This Row],[AwayTeam]],Standings!$A$2:$A$33,0),3)=INDEX(Standings!$A$2:$C$33,MATCH(Table1[[#This Row],[HomeTeam]],Standings!$A$2:$A$33,0),3),1,0)</f>
        <v>0</v>
      </c>
      <c r="AL973" s="64">
        <f>IF(Table1[[#This Row],[InterConf]]=1,IF(Table1[[#This Row],[InterDiv]]=0, 1, 0), 0)</f>
        <v>1</v>
      </c>
      <c r="AM973" s="64">
        <f>IF(INDEX(Standings!$A$2:$C$33,MATCH(Table1[[#This Row],[AwayTeam]],Standings!$A$2:$A$33,0),2)&lt;&gt;INDEX(Standings!$A$2:$C$33,MATCH(Table1[[#This Row],[HomeTeam]],Standings!$A$2:$A$33,0),2),1,0)</f>
        <v>0</v>
      </c>
      <c r="AN973" s="64" t="str">
        <f>INDEX(Table2[AWAY_RECORD], MATCH(Table1[[#This Row],[AwayTeam]],Table2[Team], 0), 0)</f>
        <v>1-0-0</v>
      </c>
      <c r="AO973" s="64" t="str">
        <f>INDEX(Records!$B$2:$AG$33, MATCH(Table1[[#This Row],[AwayTeam]],Records!$A$2:$A$33, 0), MATCH(Table1[[#This Row],[HomeTeam]],Records!$A$2:$A$33, 0))</f>
        <v>0-0-0</v>
      </c>
      <c r="AP973" s="64" t="str">
        <f>INDEX(Table2[HOME_RECORD], MATCH(Table1[[#This Row],[HomeTeam]],Table2[Team], 0), 0)</f>
        <v>0-0-0</v>
      </c>
      <c r="AQ973" s="64" t="str">
        <f>INDEX(Records!$B$2:$AG$33, MATCH(Table1[[#This Row],[HomeTeam]],Records!$A$2:$A$33, 0), MATCH(Table1[[#This Row],[AwayTeam]],Records!$A$2:$A$33, 0))</f>
        <v>0-0-0</v>
      </c>
    </row>
    <row r="974" spans="1:43" x14ac:dyDescent="0.25">
      <c r="A974" s="1"/>
      <c r="D974" t="s">
        <v>1291</v>
      </c>
      <c r="E974" t="s">
        <v>162</v>
      </c>
      <c r="F974" t="s">
        <v>1298</v>
      </c>
      <c r="G974" t="s">
        <v>24</v>
      </c>
      <c r="H974" t="s">
        <v>57</v>
      </c>
      <c r="L97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7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74" s="1"/>
      <c r="T974" s="64" t="str">
        <f>IF(Table1[[#This Row],[ActualWinner]]="", "", IF(Table1[[#This Row],[AwayTeam]]=Table1[[#This Row],[ActualWinner]],Table1[[#This Row],[HomeTeam]],Table1[[#This Row],[AwayTeam]]))</f>
        <v/>
      </c>
      <c r="U974" s="64">
        <f>Table1[[#This Row],[ActualAwayScore]]-Table1[[#This Row],[PredictedAwayScore]]</f>
        <v>0</v>
      </c>
      <c r="V974" s="64">
        <f>Table1[[#This Row],[ActualHomeScore]]-Table1[[#This Row],[PredictedHomeScore]]</f>
        <v>0</v>
      </c>
      <c r="W974" s="64">
        <f>(0.8*IF(Table1[[#This Row],[CorrectWinnerPrediction]]=1, 1, 0))+(0.1*IF(Table1[[#This Row],[CorrectAwayScorePrediction]]=1, 1, 0))+(0.1*IF(Table1[[#This Row],[CorrectHomeScorePrediction]]=1, 1, 0))</f>
        <v>0</v>
      </c>
      <c r="X97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74" s="64">
        <f>SUMIF(Table1[GameDate], Table1[[#This Row],[GameDate]], Table1[AwayGameGoalDiff])</f>
        <v>0</v>
      </c>
      <c r="AA974" s="64">
        <f>SUMIF(Table1[GameDate], Table1[[#This Row],[GameDate]], Table1[HomeGameGoalDiff])</f>
        <v>0</v>
      </c>
      <c r="AB974" s="64">
        <f>IF(ISBLANK(Table1[[#This Row],[ActualResult]]), 0, 1)</f>
        <v>0</v>
      </c>
      <c r="AC974" s="64">
        <f>IF(ISBLANK(Table1[[#This Row],[ActualResult]]), 0, IF(Table1[[#This Row],[ActualWinner]]=Table1[[#This Row],[PredictedWinner]], 1, 0))</f>
        <v>0</v>
      </c>
      <c r="AD97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7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74" s="64">
        <f>IF(AND(Table1[[#This Row],[GameIsOver]]=1,Table1[[#This Row],[ActualAwayScore]]=0), 1,0)</f>
        <v>0</v>
      </c>
      <c r="AG974" s="64">
        <f>IF(AND(Table1[[#This Row],[GameIsOver]]=1,Table1[[#This Row],[ActualHomeScore]]=0), 1,0)</f>
        <v>0</v>
      </c>
      <c r="AH974" s="64">
        <f>IF(Table1[[#This Row],[GameIsOver]]=0,0,IF(Table1[[#This Row],[ActualWinner]]=Table1[[#This Row],[AwayTeam]], 1, 0))</f>
        <v>0</v>
      </c>
      <c r="AI974" s="64">
        <f>IF(Table1[[#This Row],[GameIsOver]]=0,0,IF(Table1[[#This Row],[ActualWinner]]=Table1[[#This Row],[HomeTeam]], 1, 0))</f>
        <v>0</v>
      </c>
      <c r="AJ974" s="64">
        <f>IF(INDEX(Standings!$A$2:$C$33,MATCH(Table1[[#This Row],[AwayTeam]],Standings!$A$2:$A$33,0),2)=INDEX(Standings!$A$2:$C$33,MATCH(Table1[[#This Row],[HomeTeam]],Standings!$A$2:$A$33,0),2),1,0)</f>
        <v>1</v>
      </c>
      <c r="AK974" s="64">
        <f>IF(INDEX(Standings!$A$2:$C$33,MATCH(Table1[[#This Row],[AwayTeam]],Standings!$A$2:$A$33,0),3)=INDEX(Standings!$A$2:$C$33,MATCH(Table1[[#This Row],[HomeTeam]],Standings!$A$2:$A$33,0),3),1,0)</f>
        <v>1</v>
      </c>
      <c r="AL974" s="64">
        <f>IF(Table1[[#This Row],[InterConf]]=1,IF(Table1[[#This Row],[InterDiv]]=0, 1, 0), 0)</f>
        <v>0</v>
      </c>
      <c r="AM974" s="64">
        <f>IF(INDEX(Standings!$A$2:$C$33,MATCH(Table1[[#This Row],[AwayTeam]],Standings!$A$2:$A$33,0),2)&lt;&gt;INDEX(Standings!$A$2:$C$33,MATCH(Table1[[#This Row],[HomeTeam]],Standings!$A$2:$A$33,0),2),1,0)</f>
        <v>0</v>
      </c>
      <c r="AN974" s="64" t="str">
        <f>INDEX(Table2[AWAY_RECORD], MATCH(Table1[[#This Row],[AwayTeam]],Table2[Team], 0), 0)</f>
        <v>0-0-0</v>
      </c>
      <c r="AO974" s="64" t="str">
        <f>INDEX(Records!$B$2:$AG$33, MATCH(Table1[[#This Row],[AwayTeam]],Records!$A$2:$A$33, 0), MATCH(Table1[[#This Row],[HomeTeam]],Records!$A$2:$A$33, 0))</f>
        <v>0-0-0</v>
      </c>
      <c r="AP974" s="64" t="str">
        <f>INDEX(Table2[HOME_RECORD], MATCH(Table1[[#This Row],[HomeTeam]],Table2[Team], 0), 0)</f>
        <v>0-0-0</v>
      </c>
      <c r="AQ974" s="64" t="str">
        <f>INDEX(Records!$B$2:$AG$33, MATCH(Table1[[#This Row],[HomeTeam]],Records!$A$2:$A$33, 0), MATCH(Table1[[#This Row],[AwayTeam]],Records!$A$2:$A$33, 0))</f>
        <v>0-0-0</v>
      </c>
    </row>
    <row r="975" spans="1:43" x14ac:dyDescent="0.25">
      <c r="A975" s="1"/>
      <c r="D975" t="s">
        <v>1291</v>
      </c>
      <c r="E975" t="s">
        <v>178</v>
      </c>
      <c r="F975" t="s">
        <v>1299</v>
      </c>
      <c r="G975" t="s">
        <v>25</v>
      </c>
      <c r="H975" t="s">
        <v>43</v>
      </c>
      <c r="L97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7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75" s="1"/>
      <c r="T975" s="64" t="str">
        <f>IF(Table1[[#This Row],[ActualWinner]]="", "", IF(Table1[[#This Row],[AwayTeam]]=Table1[[#This Row],[ActualWinner]],Table1[[#This Row],[HomeTeam]],Table1[[#This Row],[AwayTeam]]))</f>
        <v/>
      </c>
      <c r="U975" s="64">
        <f>Table1[[#This Row],[ActualAwayScore]]-Table1[[#This Row],[PredictedAwayScore]]</f>
        <v>0</v>
      </c>
      <c r="V975" s="64">
        <f>Table1[[#This Row],[ActualHomeScore]]-Table1[[#This Row],[PredictedHomeScore]]</f>
        <v>0</v>
      </c>
      <c r="W975" s="64">
        <f>(0.8*IF(Table1[[#This Row],[CorrectWinnerPrediction]]=1, 1, 0))+(0.1*IF(Table1[[#This Row],[CorrectAwayScorePrediction]]=1, 1, 0))+(0.1*IF(Table1[[#This Row],[CorrectHomeScorePrediction]]=1, 1, 0))</f>
        <v>0</v>
      </c>
      <c r="X97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75" s="64">
        <f>SUMIF(Table1[GameDate], Table1[[#This Row],[GameDate]], Table1[AwayGameGoalDiff])</f>
        <v>0</v>
      </c>
      <c r="AA975" s="64">
        <f>SUMIF(Table1[GameDate], Table1[[#This Row],[GameDate]], Table1[HomeGameGoalDiff])</f>
        <v>0</v>
      </c>
      <c r="AB975" s="64">
        <f>IF(ISBLANK(Table1[[#This Row],[ActualResult]]), 0, 1)</f>
        <v>0</v>
      </c>
      <c r="AC975" s="64">
        <f>IF(ISBLANK(Table1[[#This Row],[ActualResult]]), 0, IF(Table1[[#This Row],[ActualWinner]]=Table1[[#This Row],[PredictedWinner]], 1, 0))</f>
        <v>0</v>
      </c>
      <c r="AD97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7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75" s="64">
        <f>IF(AND(Table1[[#This Row],[GameIsOver]]=1,Table1[[#This Row],[ActualAwayScore]]=0), 1,0)</f>
        <v>0</v>
      </c>
      <c r="AG975" s="64">
        <f>IF(AND(Table1[[#This Row],[GameIsOver]]=1,Table1[[#This Row],[ActualHomeScore]]=0), 1,0)</f>
        <v>0</v>
      </c>
      <c r="AH975" s="64">
        <f>IF(Table1[[#This Row],[GameIsOver]]=0,0,IF(Table1[[#This Row],[ActualWinner]]=Table1[[#This Row],[AwayTeam]], 1, 0))</f>
        <v>0</v>
      </c>
      <c r="AI975" s="64">
        <f>IF(Table1[[#This Row],[GameIsOver]]=0,0,IF(Table1[[#This Row],[ActualWinner]]=Table1[[#This Row],[HomeTeam]], 1, 0))</f>
        <v>0</v>
      </c>
      <c r="AJ975" s="64">
        <f>IF(INDEX(Standings!$A$2:$C$33,MATCH(Table1[[#This Row],[AwayTeam]],Standings!$A$2:$A$33,0),2)=INDEX(Standings!$A$2:$C$33,MATCH(Table1[[#This Row],[HomeTeam]],Standings!$A$2:$A$33,0),2),1,0)</f>
        <v>1</v>
      </c>
      <c r="AK975" s="64">
        <f>IF(INDEX(Standings!$A$2:$C$33,MATCH(Table1[[#This Row],[AwayTeam]],Standings!$A$2:$A$33,0),3)=INDEX(Standings!$A$2:$C$33,MATCH(Table1[[#This Row],[HomeTeam]],Standings!$A$2:$A$33,0),3),1,0)</f>
        <v>0</v>
      </c>
      <c r="AL975" s="64">
        <f>IF(Table1[[#This Row],[InterConf]]=1,IF(Table1[[#This Row],[InterDiv]]=0, 1, 0), 0)</f>
        <v>1</v>
      </c>
      <c r="AM975" s="64">
        <f>IF(INDEX(Standings!$A$2:$C$33,MATCH(Table1[[#This Row],[AwayTeam]],Standings!$A$2:$A$33,0),2)&lt;&gt;INDEX(Standings!$A$2:$C$33,MATCH(Table1[[#This Row],[HomeTeam]],Standings!$A$2:$A$33,0),2),1,0)</f>
        <v>0</v>
      </c>
      <c r="AN975" s="64" t="str">
        <f>INDEX(Table2[AWAY_RECORD], MATCH(Table1[[#This Row],[AwayTeam]],Table2[Team], 0), 0)</f>
        <v>0-0-0</v>
      </c>
      <c r="AO975" s="64" t="str">
        <f>INDEX(Records!$B$2:$AG$33, MATCH(Table1[[#This Row],[AwayTeam]],Records!$A$2:$A$33, 0), MATCH(Table1[[#This Row],[HomeTeam]],Records!$A$2:$A$33, 0))</f>
        <v>0-0-0</v>
      </c>
      <c r="AP975" s="64" t="str">
        <f>INDEX(Table2[HOME_RECORD], MATCH(Table1[[#This Row],[HomeTeam]],Table2[Team], 0), 0)</f>
        <v>0-0-0</v>
      </c>
      <c r="AQ975" s="64" t="str">
        <f>INDEX(Records!$B$2:$AG$33, MATCH(Table1[[#This Row],[HomeTeam]],Records!$A$2:$A$33, 0), MATCH(Table1[[#This Row],[AwayTeam]],Records!$A$2:$A$33, 0))</f>
        <v>0-0-0</v>
      </c>
    </row>
    <row r="976" spans="1:43" x14ac:dyDescent="0.25">
      <c r="A976" s="1"/>
      <c r="D976" t="s">
        <v>1300</v>
      </c>
      <c r="E976" t="s">
        <v>298</v>
      </c>
      <c r="F976" t="s">
        <v>1301</v>
      </c>
      <c r="G976" t="s">
        <v>41</v>
      </c>
      <c r="H976" t="s">
        <v>23</v>
      </c>
      <c r="L97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7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76" s="1"/>
      <c r="T976" s="64" t="str">
        <f>IF(Table1[[#This Row],[ActualWinner]]="", "", IF(Table1[[#This Row],[AwayTeam]]=Table1[[#This Row],[ActualWinner]],Table1[[#This Row],[HomeTeam]],Table1[[#This Row],[AwayTeam]]))</f>
        <v/>
      </c>
      <c r="U976" s="64">
        <f>Table1[[#This Row],[ActualAwayScore]]-Table1[[#This Row],[PredictedAwayScore]]</f>
        <v>0</v>
      </c>
      <c r="V976" s="64">
        <f>Table1[[#This Row],[ActualHomeScore]]-Table1[[#This Row],[PredictedHomeScore]]</f>
        <v>0</v>
      </c>
      <c r="W976" s="64">
        <f>(0.8*IF(Table1[[#This Row],[CorrectWinnerPrediction]]=1, 1, 0))+(0.1*IF(Table1[[#This Row],[CorrectAwayScorePrediction]]=1, 1, 0))+(0.1*IF(Table1[[#This Row],[CorrectHomeScorePrediction]]=1, 1, 0))</f>
        <v>0</v>
      </c>
      <c r="X97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76" s="64">
        <f>SUMIF(Table1[GameDate], Table1[[#This Row],[GameDate]], Table1[AwayGameGoalDiff])</f>
        <v>0</v>
      </c>
      <c r="AA976" s="64">
        <f>SUMIF(Table1[GameDate], Table1[[#This Row],[GameDate]], Table1[HomeGameGoalDiff])</f>
        <v>0</v>
      </c>
      <c r="AB976" s="64">
        <f>IF(ISBLANK(Table1[[#This Row],[ActualResult]]), 0, 1)</f>
        <v>0</v>
      </c>
      <c r="AC976" s="64">
        <f>IF(ISBLANK(Table1[[#This Row],[ActualResult]]), 0, IF(Table1[[#This Row],[ActualWinner]]=Table1[[#This Row],[PredictedWinner]], 1, 0))</f>
        <v>0</v>
      </c>
      <c r="AD97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7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76" s="64">
        <f>IF(AND(Table1[[#This Row],[GameIsOver]]=1,Table1[[#This Row],[ActualAwayScore]]=0), 1,0)</f>
        <v>0</v>
      </c>
      <c r="AG976" s="64">
        <f>IF(AND(Table1[[#This Row],[GameIsOver]]=1,Table1[[#This Row],[ActualHomeScore]]=0), 1,0)</f>
        <v>0</v>
      </c>
      <c r="AH976" s="64">
        <f>IF(Table1[[#This Row],[GameIsOver]]=0,0,IF(Table1[[#This Row],[ActualWinner]]=Table1[[#This Row],[AwayTeam]], 1, 0))</f>
        <v>0</v>
      </c>
      <c r="AI976" s="64">
        <f>IF(Table1[[#This Row],[GameIsOver]]=0,0,IF(Table1[[#This Row],[ActualWinner]]=Table1[[#This Row],[HomeTeam]], 1, 0))</f>
        <v>0</v>
      </c>
      <c r="AJ976" s="64">
        <f>IF(INDEX(Standings!$A$2:$C$33,MATCH(Table1[[#This Row],[AwayTeam]],Standings!$A$2:$A$33,0),2)=INDEX(Standings!$A$2:$C$33,MATCH(Table1[[#This Row],[HomeTeam]],Standings!$A$2:$A$33,0),2),1,0)</f>
        <v>1</v>
      </c>
      <c r="AK976" s="64">
        <f>IF(INDEX(Standings!$A$2:$C$33,MATCH(Table1[[#This Row],[AwayTeam]],Standings!$A$2:$A$33,0),3)=INDEX(Standings!$A$2:$C$33,MATCH(Table1[[#This Row],[HomeTeam]],Standings!$A$2:$A$33,0),3),1,0)</f>
        <v>0</v>
      </c>
      <c r="AL976" s="64">
        <f>IF(Table1[[#This Row],[InterConf]]=1,IF(Table1[[#This Row],[InterDiv]]=0, 1, 0), 0)</f>
        <v>1</v>
      </c>
      <c r="AM976" s="64">
        <f>IF(INDEX(Standings!$A$2:$C$33,MATCH(Table1[[#This Row],[AwayTeam]],Standings!$A$2:$A$33,0),2)&lt;&gt;INDEX(Standings!$A$2:$C$33,MATCH(Table1[[#This Row],[HomeTeam]],Standings!$A$2:$A$33,0),2),1,0)</f>
        <v>0</v>
      </c>
      <c r="AN976" s="64" t="str">
        <f>INDEX(Table2[AWAY_RECORD], MATCH(Table1[[#This Row],[AwayTeam]],Table2[Team], 0), 0)</f>
        <v>0-0-0</v>
      </c>
      <c r="AO976" s="64" t="str">
        <f>INDEX(Records!$B$2:$AG$33, MATCH(Table1[[#This Row],[AwayTeam]],Records!$A$2:$A$33, 0), MATCH(Table1[[#This Row],[HomeTeam]],Records!$A$2:$A$33, 0))</f>
        <v>0-0-0</v>
      </c>
      <c r="AP976" s="64" t="str">
        <f>INDEX(Table2[HOME_RECORD], MATCH(Table1[[#This Row],[HomeTeam]],Table2[Team], 0), 0)</f>
        <v>0-0-1</v>
      </c>
      <c r="AQ976" s="64" t="str">
        <f>INDEX(Records!$B$2:$AG$33, MATCH(Table1[[#This Row],[HomeTeam]],Records!$A$2:$A$33, 0), MATCH(Table1[[#This Row],[AwayTeam]],Records!$A$2:$A$33, 0))</f>
        <v>0-0-0</v>
      </c>
    </row>
    <row r="977" spans="1:43" x14ac:dyDescent="0.25">
      <c r="A977" s="1"/>
      <c r="D977" t="s">
        <v>1300</v>
      </c>
      <c r="E977" t="s">
        <v>1283</v>
      </c>
      <c r="F977" t="s">
        <v>1302</v>
      </c>
      <c r="G977" t="s">
        <v>56</v>
      </c>
      <c r="H977" t="s">
        <v>46</v>
      </c>
      <c r="L97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7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77" s="1"/>
      <c r="T977" s="64" t="str">
        <f>IF(Table1[[#This Row],[ActualWinner]]="", "", IF(Table1[[#This Row],[AwayTeam]]=Table1[[#This Row],[ActualWinner]],Table1[[#This Row],[HomeTeam]],Table1[[#This Row],[AwayTeam]]))</f>
        <v/>
      </c>
      <c r="U977" s="64">
        <f>Table1[[#This Row],[ActualAwayScore]]-Table1[[#This Row],[PredictedAwayScore]]</f>
        <v>0</v>
      </c>
      <c r="V977" s="64">
        <f>Table1[[#This Row],[ActualHomeScore]]-Table1[[#This Row],[PredictedHomeScore]]</f>
        <v>0</v>
      </c>
      <c r="W977" s="64">
        <f>(0.8*IF(Table1[[#This Row],[CorrectWinnerPrediction]]=1, 1, 0))+(0.1*IF(Table1[[#This Row],[CorrectAwayScorePrediction]]=1, 1, 0))+(0.1*IF(Table1[[#This Row],[CorrectHomeScorePrediction]]=1, 1, 0))</f>
        <v>0</v>
      </c>
      <c r="X97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77" s="64">
        <f>SUMIF(Table1[GameDate], Table1[[#This Row],[GameDate]], Table1[AwayGameGoalDiff])</f>
        <v>0</v>
      </c>
      <c r="AA977" s="64">
        <f>SUMIF(Table1[GameDate], Table1[[#This Row],[GameDate]], Table1[HomeGameGoalDiff])</f>
        <v>0</v>
      </c>
      <c r="AB977" s="64">
        <f>IF(ISBLANK(Table1[[#This Row],[ActualResult]]), 0, 1)</f>
        <v>0</v>
      </c>
      <c r="AC977" s="64">
        <f>IF(ISBLANK(Table1[[#This Row],[ActualResult]]), 0, IF(Table1[[#This Row],[ActualWinner]]=Table1[[#This Row],[PredictedWinner]], 1, 0))</f>
        <v>0</v>
      </c>
      <c r="AD97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7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77" s="64">
        <f>IF(AND(Table1[[#This Row],[GameIsOver]]=1,Table1[[#This Row],[ActualAwayScore]]=0), 1,0)</f>
        <v>0</v>
      </c>
      <c r="AG977" s="64">
        <f>IF(AND(Table1[[#This Row],[GameIsOver]]=1,Table1[[#This Row],[ActualHomeScore]]=0), 1,0)</f>
        <v>0</v>
      </c>
      <c r="AH977" s="64">
        <f>IF(Table1[[#This Row],[GameIsOver]]=0,0,IF(Table1[[#This Row],[ActualWinner]]=Table1[[#This Row],[AwayTeam]], 1, 0))</f>
        <v>0</v>
      </c>
      <c r="AI977" s="64">
        <f>IF(Table1[[#This Row],[GameIsOver]]=0,0,IF(Table1[[#This Row],[ActualWinner]]=Table1[[#This Row],[HomeTeam]], 1, 0))</f>
        <v>0</v>
      </c>
      <c r="AJ977" s="64">
        <f>IF(INDEX(Standings!$A$2:$C$33,MATCH(Table1[[#This Row],[AwayTeam]],Standings!$A$2:$A$33,0),2)=INDEX(Standings!$A$2:$C$33,MATCH(Table1[[#This Row],[HomeTeam]],Standings!$A$2:$A$33,0),2),1,0)</f>
        <v>1</v>
      </c>
      <c r="AK977" s="64">
        <f>IF(INDEX(Standings!$A$2:$C$33,MATCH(Table1[[#This Row],[AwayTeam]],Standings!$A$2:$A$33,0),3)=INDEX(Standings!$A$2:$C$33,MATCH(Table1[[#This Row],[HomeTeam]],Standings!$A$2:$A$33,0),3),1,0)</f>
        <v>1</v>
      </c>
      <c r="AL977" s="64">
        <f>IF(Table1[[#This Row],[InterConf]]=1,IF(Table1[[#This Row],[InterDiv]]=0, 1, 0), 0)</f>
        <v>0</v>
      </c>
      <c r="AM977" s="64">
        <f>IF(INDEX(Standings!$A$2:$C$33,MATCH(Table1[[#This Row],[AwayTeam]],Standings!$A$2:$A$33,0),2)&lt;&gt;INDEX(Standings!$A$2:$C$33,MATCH(Table1[[#This Row],[HomeTeam]],Standings!$A$2:$A$33,0),2),1,0)</f>
        <v>0</v>
      </c>
      <c r="AN977" s="64" t="str">
        <f>INDEX(Table2[AWAY_RECORD], MATCH(Table1[[#This Row],[AwayTeam]],Table2[Team], 0), 0)</f>
        <v>1-0-0</v>
      </c>
      <c r="AO977" s="64" t="str">
        <f>INDEX(Records!$B$2:$AG$33, MATCH(Table1[[#This Row],[AwayTeam]],Records!$A$2:$A$33, 0), MATCH(Table1[[#This Row],[HomeTeam]],Records!$A$2:$A$33, 0))</f>
        <v>0-0-0</v>
      </c>
      <c r="AP977" s="64" t="str">
        <f>INDEX(Table2[HOME_RECORD], MATCH(Table1[[#This Row],[HomeTeam]],Table2[Team], 0), 0)</f>
        <v>0-0-0</v>
      </c>
      <c r="AQ977" s="64" t="str">
        <f>INDEX(Records!$B$2:$AG$33, MATCH(Table1[[#This Row],[HomeTeam]],Records!$A$2:$A$33, 0), MATCH(Table1[[#This Row],[AwayTeam]],Records!$A$2:$A$33, 0))</f>
        <v>0-0-0</v>
      </c>
    </row>
    <row r="978" spans="1:43" x14ac:dyDescent="0.25">
      <c r="A978" s="1"/>
      <c r="D978" t="s">
        <v>1300</v>
      </c>
      <c r="E978" t="s">
        <v>432</v>
      </c>
      <c r="F978" t="s">
        <v>1303</v>
      </c>
      <c r="G978" t="s">
        <v>51</v>
      </c>
      <c r="H978" t="s">
        <v>40</v>
      </c>
      <c r="L97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7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78" s="1"/>
      <c r="T978" s="64" t="str">
        <f>IF(Table1[[#This Row],[ActualWinner]]="", "", IF(Table1[[#This Row],[AwayTeam]]=Table1[[#This Row],[ActualWinner]],Table1[[#This Row],[HomeTeam]],Table1[[#This Row],[AwayTeam]]))</f>
        <v/>
      </c>
      <c r="U978" s="64">
        <f>Table1[[#This Row],[ActualAwayScore]]-Table1[[#This Row],[PredictedAwayScore]]</f>
        <v>0</v>
      </c>
      <c r="V978" s="64">
        <f>Table1[[#This Row],[ActualHomeScore]]-Table1[[#This Row],[PredictedHomeScore]]</f>
        <v>0</v>
      </c>
      <c r="W978" s="64">
        <f>(0.8*IF(Table1[[#This Row],[CorrectWinnerPrediction]]=1, 1, 0))+(0.1*IF(Table1[[#This Row],[CorrectAwayScorePrediction]]=1, 1, 0))+(0.1*IF(Table1[[#This Row],[CorrectHomeScorePrediction]]=1, 1, 0))</f>
        <v>0</v>
      </c>
      <c r="X97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78" s="64">
        <f>SUMIF(Table1[GameDate], Table1[[#This Row],[GameDate]], Table1[AwayGameGoalDiff])</f>
        <v>0</v>
      </c>
      <c r="AA978" s="64">
        <f>SUMIF(Table1[GameDate], Table1[[#This Row],[GameDate]], Table1[HomeGameGoalDiff])</f>
        <v>0</v>
      </c>
      <c r="AB978" s="64">
        <f>IF(ISBLANK(Table1[[#This Row],[ActualResult]]), 0, 1)</f>
        <v>0</v>
      </c>
      <c r="AC978" s="64">
        <f>IF(ISBLANK(Table1[[#This Row],[ActualResult]]), 0, IF(Table1[[#This Row],[ActualWinner]]=Table1[[#This Row],[PredictedWinner]], 1, 0))</f>
        <v>0</v>
      </c>
      <c r="AD97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7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78" s="64">
        <f>IF(AND(Table1[[#This Row],[GameIsOver]]=1,Table1[[#This Row],[ActualAwayScore]]=0), 1,0)</f>
        <v>0</v>
      </c>
      <c r="AG978" s="64">
        <f>IF(AND(Table1[[#This Row],[GameIsOver]]=1,Table1[[#This Row],[ActualHomeScore]]=0), 1,0)</f>
        <v>0</v>
      </c>
      <c r="AH978" s="64">
        <f>IF(Table1[[#This Row],[GameIsOver]]=0,0,IF(Table1[[#This Row],[ActualWinner]]=Table1[[#This Row],[AwayTeam]], 1, 0))</f>
        <v>0</v>
      </c>
      <c r="AI978" s="64">
        <f>IF(Table1[[#This Row],[GameIsOver]]=0,0,IF(Table1[[#This Row],[ActualWinner]]=Table1[[#This Row],[HomeTeam]], 1, 0))</f>
        <v>0</v>
      </c>
      <c r="AJ978" s="64">
        <f>IF(INDEX(Standings!$A$2:$C$33,MATCH(Table1[[#This Row],[AwayTeam]],Standings!$A$2:$A$33,0),2)=INDEX(Standings!$A$2:$C$33,MATCH(Table1[[#This Row],[HomeTeam]],Standings!$A$2:$A$33,0),2),1,0)</f>
        <v>1</v>
      </c>
      <c r="AK978" s="64">
        <f>IF(INDEX(Standings!$A$2:$C$33,MATCH(Table1[[#This Row],[AwayTeam]],Standings!$A$2:$A$33,0),3)=INDEX(Standings!$A$2:$C$33,MATCH(Table1[[#This Row],[HomeTeam]],Standings!$A$2:$A$33,0),3),1,0)</f>
        <v>1</v>
      </c>
      <c r="AL978" s="64">
        <f>IF(Table1[[#This Row],[InterConf]]=1,IF(Table1[[#This Row],[InterDiv]]=0, 1, 0), 0)</f>
        <v>0</v>
      </c>
      <c r="AM978" s="64">
        <f>IF(INDEX(Standings!$A$2:$C$33,MATCH(Table1[[#This Row],[AwayTeam]],Standings!$A$2:$A$33,0),2)&lt;&gt;INDEX(Standings!$A$2:$C$33,MATCH(Table1[[#This Row],[HomeTeam]],Standings!$A$2:$A$33,0),2),1,0)</f>
        <v>0</v>
      </c>
      <c r="AN978" s="64" t="str">
        <f>INDEX(Table2[AWAY_RECORD], MATCH(Table1[[#This Row],[AwayTeam]],Table2[Team], 0), 0)</f>
        <v>2-0-0</v>
      </c>
      <c r="AO978" s="64" t="str">
        <f>INDEX(Records!$B$2:$AG$33, MATCH(Table1[[#This Row],[AwayTeam]],Records!$A$2:$A$33, 0), MATCH(Table1[[#This Row],[HomeTeam]],Records!$A$2:$A$33, 0))</f>
        <v>0-0-0</v>
      </c>
      <c r="AP978" s="64" t="str">
        <f>INDEX(Table2[HOME_RECORD], MATCH(Table1[[#This Row],[HomeTeam]],Table2[Team], 0), 0)</f>
        <v>1-1-0</v>
      </c>
      <c r="AQ978" s="64" t="str">
        <f>INDEX(Records!$B$2:$AG$33, MATCH(Table1[[#This Row],[HomeTeam]],Records!$A$2:$A$33, 0), MATCH(Table1[[#This Row],[AwayTeam]],Records!$A$2:$A$33, 0))</f>
        <v>0-0-0</v>
      </c>
    </row>
    <row r="979" spans="1:43" x14ac:dyDescent="0.25">
      <c r="A979" s="1"/>
      <c r="D979" t="s">
        <v>1300</v>
      </c>
      <c r="E979" t="s">
        <v>443</v>
      </c>
      <c r="F979" t="s">
        <v>1304</v>
      </c>
      <c r="G979" t="s">
        <v>38</v>
      </c>
      <c r="H979" t="s">
        <v>44</v>
      </c>
      <c r="L97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7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79" s="1"/>
      <c r="T979" s="64" t="str">
        <f>IF(Table1[[#This Row],[ActualWinner]]="", "", IF(Table1[[#This Row],[AwayTeam]]=Table1[[#This Row],[ActualWinner]],Table1[[#This Row],[HomeTeam]],Table1[[#This Row],[AwayTeam]]))</f>
        <v/>
      </c>
      <c r="U979" s="64">
        <f>Table1[[#This Row],[ActualAwayScore]]-Table1[[#This Row],[PredictedAwayScore]]</f>
        <v>0</v>
      </c>
      <c r="V979" s="64">
        <f>Table1[[#This Row],[ActualHomeScore]]-Table1[[#This Row],[PredictedHomeScore]]</f>
        <v>0</v>
      </c>
      <c r="W979" s="64">
        <f>(0.8*IF(Table1[[#This Row],[CorrectWinnerPrediction]]=1, 1, 0))+(0.1*IF(Table1[[#This Row],[CorrectAwayScorePrediction]]=1, 1, 0))+(0.1*IF(Table1[[#This Row],[CorrectHomeScorePrediction]]=1, 1, 0))</f>
        <v>0</v>
      </c>
      <c r="X97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79" s="64">
        <f>SUMIF(Table1[GameDate], Table1[[#This Row],[GameDate]], Table1[AwayGameGoalDiff])</f>
        <v>0</v>
      </c>
      <c r="AA979" s="64">
        <f>SUMIF(Table1[GameDate], Table1[[#This Row],[GameDate]], Table1[HomeGameGoalDiff])</f>
        <v>0</v>
      </c>
      <c r="AB979" s="64">
        <f>IF(ISBLANK(Table1[[#This Row],[ActualResult]]), 0, 1)</f>
        <v>0</v>
      </c>
      <c r="AC979" s="64">
        <f>IF(ISBLANK(Table1[[#This Row],[ActualResult]]), 0, IF(Table1[[#This Row],[ActualWinner]]=Table1[[#This Row],[PredictedWinner]], 1, 0))</f>
        <v>0</v>
      </c>
      <c r="AD97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7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79" s="64">
        <f>IF(AND(Table1[[#This Row],[GameIsOver]]=1,Table1[[#This Row],[ActualAwayScore]]=0), 1,0)</f>
        <v>0</v>
      </c>
      <c r="AG979" s="64">
        <f>IF(AND(Table1[[#This Row],[GameIsOver]]=1,Table1[[#This Row],[ActualHomeScore]]=0), 1,0)</f>
        <v>0</v>
      </c>
      <c r="AH979" s="64">
        <f>IF(Table1[[#This Row],[GameIsOver]]=0,0,IF(Table1[[#This Row],[ActualWinner]]=Table1[[#This Row],[AwayTeam]], 1, 0))</f>
        <v>0</v>
      </c>
      <c r="AI979" s="64">
        <f>IF(Table1[[#This Row],[GameIsOver]]=0,0,IF(Table1[[#This Row],[ActualWinner]]=Table1[[#This Row],[HomeTeam]], 1, 0))</f>
        <v>0</v>
      </c>
      <c r="AJ979" s="64">
        <f>IF(INDEX(Standings!$A$2:$C$33,MATCH(Table1[[#This Row],[AwayTeam]],Standings!$A$2:$A$33,0),2)=INDEX(Standings!$A$2:$C$33,MATCH(Table1[[#This Row],[HomeTeam]],Standings!$A$2:$A$33,0),2),1,0)</f>
        <v>1</v>
      </c>
      <c r="AK979" s="64">
        <f>IF(INDEX(Standings!$A$2:$C$33,MATCH(Table1[[#This Row],[AwayTeam]],Standings!$A$2:$A$33,0),3)=INDEX(Standings!$A$2:$C$33,MATCH(Table1[[#This Row],[HomeTeam]],Standings!$A$2:$A$33,0),3),1,0)</f>
        <v>1</v>
      </c>
      <c r="AL979" s="64">
        <f>IF(Table1[[#This Row],[InterConf]]=1,IF(Table1[[#This Row],[InterDiv]]=0, 1, 0), 0)</f>
        <v>0</v>
      </c>
      <c r="AM979" s="64">
        <f>IF(INDEX(Standings!$A$2:$C$33,MATCH(Table1[[#This Row],[AwayTeam]],Standings!$A$2:$A$33,0),2)&lt;&gt;INDEX(Standings!$A$2:$C$33,MATCH(Table1[[#This Row],[HomeTeam]],Standings!$A$2:$A$33,0),2),1,0)</f>
        <v>0</v>
      </c>
      <c r="AN979" s="64" t="str">
        <f>INDEX(Table2[AWAY_RECORD], MATCH(Table1[[#This Row],[AwayTeam]],Table2[Team], 0), 0)</f>
        <v>0-0-1</v>
      </c>
      <c r="AO979" s="64" t="str">
        <f>INDEX(Records!$B$2:$AG$33, MATCH(Table1[[#This Row],[AwayTeam]],Records!$A$2:$A$33, 0), MATCH(Table1[[#This Row],[HomeTeam]],Records!$A$2:$A$33, 0))</f>
        <v>0-0-0</v>
      </c>
      <c r="AP979" s="64" t="str">
        <f>INDEX(Table2[HOME_RECORD], MATCH(Table1[[#This Row],[HomeTeam]],Table2[Team], 0), 0)</f>
        <v>0-0-1</v>
      </c>
      <c r="AQ979" s="64" t="str">
        <f>INDEX(Records!$B$2:$AG$33, MATCH(Table1[[#This Row],[HomeTeam]],Records!$A$2:$A$33, 0), MATCH(Table1[[#This Row],[AwayTeam]],Records!$A$2:$A$33, 0))</f>
        <v>0-0-0</v>
      </c>
    </row>
    <row r="980" spans="1:43" x14ac:dyDescent="0.25">
      <c r="A980" s="1"/>
      <c r="D980" t="s">
        <v>1300</v>
      </c>
      <c r="E980" t="s">
        <v>443</v>
      </c>
      <c r="F980" t="s">
        <v>1305</v>
      </c>
      <c r="G980" t="s">
        <v>49</v>
      </c>
      <c r="H980" t="s">
        <v>16</v>
      </c>
      <c r="L98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8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80" s="1"/>
      <c r="T980" s="64" t="str">
        <f>IF(Table1[[#This Row],[ActualWinner]]="", "", IF(Table1[[#This Row],[AwayTeam]]=Table1[[#This Row],[ActualWinner]],Table1[[#This Row],[HomeTeam]],Table1[[#This Row],[AwayTeam]]))</f>
        <v/>
      </c>
      <c r="U980" s="64">
        <f>Table1[[#This Row],[ActualAwayScore]]-Table1[[#This Row],[PredictedAwayScore]]</f>
        <v>0</v>
      </c>
      <c r="V980" s="64">
        <f>Table1[[#This Row],[ActualHomeScore]]-Table1[[#This Row],[PredictedHomeScore]]</f>
        <v>0</v>
      </c>
      <c r="W980" s="64">
        <f>(0.8*IF(Table1[[#This Row],[CorrectWinnerPrediction]]=1, 1, 0))+(0.1*IF(Table1[[#This Row],[CorrectAwayScorePrediction]]=1, 1, 0))+(0.1*IF(Table1[[#This Row],[CorrectHomeScorePrediction]]=1, 1, 0))</f>
        <v>0</v>
      </c>
      <c r="X98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80" s="64">
        <f>SUMIF(Table1[GameDate], Table1[[#This Row],[GameDate]], Table1[AwayGameGoalDiff])</f>
        <v>0</v>
      </c>
      <c r="AA980" s="64">
        <f>SUMIF(Table1[GameDate], Table1[[#This Row],[GameDate]], Table1[HomeGameGoalDiff])</f>
        <v>0</v>
      </c>
      <c r="AB980" s="64">
        <f>IF(ISBLANK(Table1[[#This Row],[ActualResult]]), 0, 1)</f>
        <v>0</v>
      </c>
      <c r="AC980" s="64">
        <f>IF(ISBLANK(Table1[[#This Row],[ActualResult]]), 0, IF(Table1[[#This Row],[ActualWinner]]=Table1[[#This Row],[PredictedWinner]], 1, 0))</f>
        <v>0</v>
      </c>
      <c r="AD98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8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80" s="64">
        <f>IF(AND(Table1[[#This Row],[GameIsOver]]=1,Table1[[#This Row],[ActualAwayScore]]=0), 1,0)</f>
        <v>0</v>
      </c>
      <c r="AG980" s="64">
        <f>IF(AND(Table1[[#This Row],[GameIsOver]]=1,Table1[[#This Row],[ActualHomeScore]]=0), 1,0)</f>
        <v>0</v>
      </c>
      <c r="AH980" s="64">
        <f>IF(Table1[[#This Row],[GameIsOver]]=0,0,IF(Table1[[#This Row],[ActualWinner]]=Table1[[#This Row],[AwayTeam]], 1, 0))</f>
        <v>0</v>
      </c>
      <c r="AI980" s="64">
        <f>IF(Table1[[#This Row],[GameIsOver]]=0,0,IF(Table1[[#This Row],[ActualWinner]]=Table1[[#This Row],[HomeTeam]], 1, 0))</f>
        <v>0</v>
      </c>
      <c r="AJ980" s="64">
        <f>IF(INDEX(Standings!$A$2:$C$33,MATCH(Table1[[#This Row],[AwayTeam]],Standings!$A$2:$A$33,0),2)=INDEX(Standings!$A$2:$C$33,MATCH(Table1[[#This Row],[HomeTeam]],Standings!$A$2:$A$33,0),2),1,0)</f>
        <v>0</v>
      </c>
      <c r="AK980" s="64">
        <f>IF(INDEX(Standings!$A$2:$C$33,MATCH(Table1[[#This Row],[AwayTeam]],Standings!$A$2:$A$33,0),3)=INDEX(Standings!$A$2:$C$33,MATCH(Table1[[#This Row],[HomeTeam]],Standings!$A$2:$A$33,0),3),1,0)</f>
        <v>0</v>
      </c>
      <c r="AL980" s="64">
        <f>IF(Table1[[#This Row],[InterConf]]=1,IF(Table1[[#This Row],[InterDiv]]=0, 1, 0), 0)</f>
        <v>0</v>
      </c>
      <c r="AM980" s="64">
        <f>IF(INDEX(Standings!$A$2:$C$33,MATCH(Table1[[#This Row],[AwayTeam]],Standings!$A$2:$A$33,0),2)&lt;&gt;INDEX(Standings!$A$2:$C$33,MATCH(Table1[[#This Row],[HomeTeam]],Standings!$A$2:$A$33,0),2),1,0)</f>
        <v>1</v>
      </c>
      <c r="AN980" s="64" t="str">
        <f>INDEX(Table2[AWAY_RECORD], MATCH(Table1[[#This Row],[AwayTeam]],Table2[Team], 0), 0)</f>
        <v>0-0-0</v>
      </c>
      <c r="AO980" s="64" t="str">
        <f>INDEX(Records!$B$2:$AG$33, MATCH(Table1[[#This Row],[AwayTeam]],Records!$A$2:$A$33, 0), MATCH(Table1[[#This Row],[HomeTeam]],Records!$A$2:$A$33, 0))</f>
        <v>0-0-0</v>
      </c>
      <c r="AP980" s="64" t="str">
        <f>INDEX(Table2[HOME_RECORD], MATCH(Table1[[#This Row],[HomeTeam]],Table2[Team], 0), 0)</f>
        <v>0-0-0</v>
      </c>
      <c r="AQ980" s="64" t="str">
        <f>INDEX(Records!$B$2:$AG$33, MATCH(Table1[[#This Row],[HomeTeam]],Records!$A$2:$A$33, 0), MATCH(Table1[[#This Row],[AwayTeam]],Records!$A$2:$A$33, 0))</f>
        <v>0-0-0</v>
      </c>
    </row>
    <row r="981" spans="1:43" x14ac:dyDescent="0.25">
      <c r="A981" s="1"/>
      <c r="D981" t="s">
        <v>1300</v>
      </c>
      <c r="E981" t="s">
        <v>160</v>
      </c>
      <c r="F981" t="s">
        <v>1306</v>
      </c>
      <c r="G981" t="s">
        <v>55</v>
      </c>
      <c r="H981" t="s">
        <v>17</v>
      </c>
      <c r="L98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8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81" s="1"/>
      <c r="T981" s="64" t="str">
        <f>IF(Table1[[#This Row],[ActualWinner]]="", "", IF(Table1[[#This Row],[AwayTeam]]=Table1[[#This Row],[ActualWinner]],Table1[[#This Row],[HomeTeam]],Table1[[#This Row],[AwayTeam]]))</f>
        <v/>
      </c>
      <c r="U981" s="64">
        <f>Table1[[#This Row],[ActualAwayScore]]-Table1[[#This Row],[PredictedAwayScore]]</f>
        <v>0</v>
      </c>
      <c r="V981" s="64">
        <f>Table1[[#This Row],[ActualHomeScore]]-Table1[[#This Row],[PredictedHomeScore]]</f>
        <v>0</v>
      </c>
      <c r="W981" s="64">
        <f>(0.8*IF(Table1[[#This Row],[CorrectWinnerPrediction]]=1, 1, 0))+(0.1*IF(Table1[[#This Row],[CorrectAwayScorePrediction]]=1, 1, 0))+(0.1*IF(Table1[[#This Row],[CorrectHomeScorePrediction]]=1, 1, 0))</f>
        <v>0</v>
      </c>
      <c r="X98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81" s="64">
        <f>SUMIF(Table1[GameDate], Table1[[#This Row],[GameDate]], Table1[AwayGameGoalDiff])</f>
        <v>0</v>
      </c>
      <c r="AA981" s="64">
        <f>SUMIF(Table1[GameDate], Table1[[#This Row],[GameDate]], Table1[HomeGameGoalDiff])</f>
        <v>0</v>
      </c>
      <c r="AB981" s="64">
        <f>IF(ISBLANK(Table1[[#This Row],[ActualResult]]), 0, 1)</f>
        <v>0</v>
      </c>
      <c r="AC981" s="64">
        <f>IF(ISBLANK(Table1[[#This Row],[ActualResult]]), 0, IF(Table1[[#This Row],[ActualWinner]]=Table1[[#This Row],[PredictedWinner]], 1, 0))</f>
        <v>0</v>
      </c>
      <c r="AD98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8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81" s="64">
        <f>IF(AND(Table1[[#This Row],[GameIsOver]]=1,Table1[[#This Row],[ActualAwayScore]]=0), 1,0)</f>
        <v>0</v>
      </c>
      <c r="AG981" s="64">
        <f>IF(AND(Table1[[#This Row],[GameIsOver]]=1,Table1[[#This Row],[ActualHomeScore]]=0), 1,0)</f>
        <v>0</v>
      </c>
      <c r="AH981" s="64">
        <f>IF(Table1[[#This Row],[GameIsOver]]=0,0,IF(Table1[[#This Row],[ActualWinner]]=Table1[[#This Row],[AwayTeam]], 1, 0))</f>
        <v>0</v>
      </c>
      <c r="AI981" s="64">
        <f>IF(Table1[[#This Row],[GameIsOver]]=0,0,IF(Table1[[#This Row],[ActualWinner]]=Table1[[#This Row],[HomeTeam]], 1, 0))</f>
        <v>0</v>
      </c>
      <c r="AJ981" s="64">
        <f>IF(INDEX(Standings!$A$2:$C$33,MATCH(Table1[[#This Row],[AwayTeam]],Standings!$A$2:$A$33,0),2)=INDEX(Standings!$A$2:$C$33,MATCH(Table1[[#This Row],[HomeTeam]],Standings!$A$2:$A$33,0),2),1,0)</f>
        <v>0</v>
      </c>
      <c r="AK981" s="64">
        <f>IF(INDEX(Standings!$A$2:$C$33,MATCH(Table1[[#This Row],[AwayTeam]],Standings!$A$2:$A$33,0),3)=INDEX(Standings!$A$2:$C$33,MATCH(Table1[[#This Row],[HomeTeam]],Standings!$A$2:$A$33,0),3),1,0)</f>
        <v>0</v>
      </c>
      <c r="AL981" s="64">
        <f>IF(Table1[[#This Row],[InterConf]]=1,IF(Table1[[#This Row],[InterDiv]]=0, 1, 0), 0)</f>
        <v>0</v>
      </c>
      <c r="AM981" s="64">
        <f>IF(INDEX(Standings!$A$2:$C$33,MATCH(Table1[[#This Row],[AwayTeam]],Standings!$A$2:$A$33,0),2)&lt;&gt;INDEX(Standings!$A$2:$C$33,MATCH(Table1[[#This Row],[HomeTeam]],Standings!$A$2:$A$33,0),2),1,0)</f>
        <v>1</v>
      </c>
      <c r="AN981" s="64" t="str">
        <f>INDEX(Table2[AWAY_RECORD], MATCH(Table1[[#This Row],[AwayTeam]],Table2[Team], 0), 0)</f>
        <v>0-0-0</v>
      </c>
      <c r="AO981" s="64" t="str">
        <f>INDEX(Records!$B$2:$AG$33, MATCH(Table1[[#This Row],[AwayTeam]],Records!$A$2:$A$33, 0), MATCH(Table1[[#This Row],[HomeTeam]],Records!$A$2:$A$33, 0))</f>
        <v>0-1-0</v>
      </c>
      <c r="AP981" s="64" t="str">
        <f>INDEX(Table2[HOME_RECORD], MATCH(Table1[[#This Row],[HomeTeam]],Table2[Team], 0), 0)</f>
        <v>0-0-0</v>
      </c>
      <c r="AQ981" s="64" t="str">
        <f>INDEX(Records!$B$2:$AG$33, MATCH(Table1[[#This Row],[HomeTeam]],Records!$A$2:$A$33, 0), MATCH(Table1[[#This Row],[AwayTeam]],Records!$A$2:$A$33, 0))</f>
        <v>1-0-0</v>
      </c>
    </row>
    <row r="982" spans="1:43" x14ac:dyDescent="0.25">
      <c r="A982" s="1"/>
      <c r="D982" t="s">
        <v>1300</v>
      </c>
      <c r="E982" t="s">
        <v>160</v>
      </c>
      <c r="F982" t="s">
        <v>1307</v>
      </c>
      <c r="G982" t="s">
        <v>48</v>
      </c>
      <c r="H982" t="s">
        <v>59</v>
      </c>
      <c r="L98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8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82" s="1"/>
      <c r="T982" s="64" t="str">
        <f>IF(Table1[[#This Row],[ActualWinner]]="", "", IF(Table1[[#This Row],[AwayTeam]]=Table1[[#This Row],[ActualWinner]],Table1[[#This Row],[HomeTeam]],Table1[[#This Row],[AwayTeam]]))</f>
        <v/>
      </c>
      <c r="U982" s="64">
        <f>Table1[[#This Row],[ActualAwayScore]]-Table1[[#This Row],[PredictedAwayScore]]</f>
        <v>0</v>
      </c>
      <c r="V982" s="64">
        <f>Table1[[#This Row],[ActualHomeScore]]-Table1[[#This Row],[PredictedHomeScore]]</f>
        <v>0</v>
      </c>
      <c r="W982" s="64">
        <f>(0.8*IF(Table1[[#This Row],[CorrectWinnerPrediction]]=1, 1, 0))+(0.1*IF(Table1[[#This Row],[CorrectAwayScorePrediction]]=1, 1, 0))+(0.1*IF(Table1[[#This Row],[CorrectHomeScorePrediction]]=1, 1, 0))</f>
        <v>0</v>
      </c>
      <c r="X98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82" s="64">
        <f>SUMIF(Table1[GameDate], Table1[[#This Row],[GameDate]], Table1[AwayGameGoalDiff])</f>
        <v>0</v>
      </c>
      <c r="AA982" s="64">
        <f>SUMIF(Table1[GameDate], Table1[[#This Row],[GameDate]], Table1[HomeGameGoalDiff])</f>
        <v>0</v>
      </c>
      <c r="AB982" s="64">
        <f>IF(ISBLANK(Table1[[#This Row],[ActualResult]]), 0, 1)</f>
        <v>0</v>
      </c>
      <c r="AC982" s="64">
        <f>IF(ISBLANK(Table1[[#This Row],[ActualResult]]), 0, IF(Table1[[#This Row],[ActualWinner]]=Table1[[#This Row],[PredictedWinner]], 1, 0))</f>
        <v>0</v>
      </c>
      <c r="AD98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8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82" s="64">
        <f>IF(AND(Table1[[#This Row],[GameIsOver]]=1,Table1[[#This Row],[ActualAwayScore]]=0), 1,0)</f>
        <v>0</v>
      </c>
      <c r="AG982" s="64">
        <f>IF(AND(Table1[[#This Row],[GameIsOver]]=1,Table1[[#This Row],[ActualHomeScore]]=0), 1,0)</f>
        <v>0</v>
      </c>
      <c r="AH982" s="64">
        <f>IF(Table1[[#This Row],[GameIsOver]]=0,0,IF(Table1[[#This Row],[ActualWinner]]=Table1[[#This Row],[AwayTeam]], 1, 0))</f>
        <v>0</v>
      </c>
      <c r="AI982" s="64">
        <f>IF(Table1[[#This Row],[GameIsOver]]=0,0,IF(Table1[[#This Row],[ActualWinner]]=Table1[[#This Row],[HomeTeam]], 1, 0))</f>
        <v>0</v>
      </c>
      <c r="AJ982" s="64">
        <f>IF(INDEX(Standings!$A$2:$C$33,MATCH(Table1[[#This Row],[AwayTeam]],Standings!$A$2:$A$33,0),2)=INDEX(Standings!$A$2:$C$33,MATCH(Table1[[#This Row],[HomeTeam]],Standings!$A$2:$A$33,0),2),1,0)</f>
        <v>0</v>
      </c>
      <c r="AK982" s="64">
        <f>IF(INDEX(Standings!$A$2:$C$33,MATCH(Table1[[#This Row],[AwayTeam]],Standings!$A$2:$A$33,0),3)=INDEX(Standings!$A$2:$C$33,MATCH(Table1[[#This Row],[HomeTeam]],Standings!$A$2:$A$33,0),3),1,0)</f>
        <v>0</v>
      </c>
      <c r="AL982" s="64">
        <f>IF(Table1[[#This Row],[InterConf]]=1,IF(Table1[[#This Row],[InterDiv]]=0, 1, 0), 0)</f>
        <v>0</v>
      </c>
      <c r="AM982" s="64">
        <f>IF(INDEX(Standings!$A$2:$C$33,MATCH(Table1[[#This Row],[AwayTeam]],Standings!$A$2:$A$33,0),2)&lt;&gt;INDEX(Standings!$A$2:$C$33,MATCH(Table1[[#This Row],[HomeTeam]],Standings!$A$2:$A$33,0),2),1,0)</f>
        <v>1</v>
      </c>
      <c r="AN982" s="64" t="str">
        <f>INDEX(Table2[AWAY_RECORD], MATCH(Table1[[#This Row],[AwayTeam]],Table2[Team], 0), 0)</f>
        <v>0-0-0</v>
      </c>
      <c r="AO982" s="64" t="str">
        <f>INDEX(Records!$B$2:$AG$33, MATCH(Table1[[#This Row],[AwayTeam]],Records!$A$2:$A$33, 0), MATCH(Table1[[#This Row],[HomeTeam]],Records!$A$2:$A$33, 0))</f>
        <v>0-0-0</v>
      </c>
      <c r="AP982" s="64" t="str">
        <f>INDEX(Table2[HOME_RECORD], MATCH(Table1[[#This Row],[HomeTeam]],Table2[Team], 0), 0)</f>
        <v>0-0-0</v>
      </c>
      <c r="AQ982" s="64" t="str">
        <f>INDEX(Records!$B$2:$AG$33, MATCH(Table1[[#This Row],[HomeTeam]],Records!$A$2:$A$33, 0), MATCH(Table1[[#This Row],[AwayTeam]],Records!$A$2:$A$33, 0))</f>
        <v>0-0-0</v>
      </c>
    </row>
    <row r="983" spans="1:43" x14ac:dyDescent="0.25">
      <c r="A983" s="1"/>
      <c r="D983" t="s">
        <v>1300</v>
      </c>
      <c r="E983" t="s">
        <v>160</v>
      </c>
      <c r="F983" t="s">
        <v>1308</v>
      </c>
      <c r="G983" t="s">
        <v>58</v>
      </c>
      <c r="H983" t="s">
        <v>61</v>
      </c>
      <c r="L98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8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83" s="1"/>
      <c r="T983" s="64" t="str">
        <f>IF(Table1[[#This Row],[ActualWinner]]="", "", IF(Table1[[#This Row],[AwayTeam]]=Table1[[#This Row],[ActualWinner]],Table1[[#This Row],[HomeTeam]],Table1[[#This Row],[AwayTeam]]))</f>
        <v/>
      </c>
      <c r="U983" s="64">
        <f>Table1[[#This Row],[ActualAwayScore]]-Table1[[#This Row],[PredictedAwayScore]]</f>
        <v>0</v>
      </c>
      <c r="V983" s="64">
        <f>Table1[[#This Row],[ActualHomeScore]]-Table1[[#This Row],[PredictedHomeScore]]</f>
        <v>0</v>
      </c>
      <c r="W983" s="64">
        <f>(0.8*IF(Table1[[#This Row],[CorrectWinnerPrediction]]=1, 1, 0))+(0.1*IF(Table1[[#This Row],[CorrectAwayScorePrediction]]=1, 1, 0))+(0.1*IF(Table1[[#This Row],[CorrectHomeScorePrediction]]=1, 1, 0))</f>
        <v>0</v>
      </c>
      <c r="X98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83" s="64">
        <f>SUMIF(Table1[GameDate], Table1[[#This Row],[GameDate]], Table1[AwayGameGoalDiff])</f>
        <v>0</v>
      </c>
      <c r="AA983" s="64">
        <f>SUMIF(Table1[GameDate], Table1[[#This Row],[GameDate]], Table1[HomeGameGoalDiff])</f>
        <v>0</v>
      </c>
      <c r="AB983" s="64">
        <f>IF(ISBLANK(Table1[[#This Row],[ActualResult]]), 0, 1)</f>
        <v>0</v>
      </c>
      <c r="AC983" s="64">
        <f>IF(ISBLANK(Table1[[#This Row],[ActualResult]]), 0, IF(Table1[[#This Row],[ActualWinner]]=Table1[[#This Row],[PredictedWinner]], 1, 0))</f>
        <v>0</v>
      </c>
      <c r="AD98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8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83" s="64">
        <f>IF(AND(Table1[[#This Row],[GameIsOver]]=1,Table1[[#This Row],[ActualAwayScore]]=0), 1,0)</f>
        <v>0</v>
      </c>
      <c r="AG983" s="64">
        <f>IF(AND(Table1[[#This Row],[GameIsOver]]=1,Table1[[#This Row],[ActualHomeScore]]=0), 1,0)</f>
        <v>0</v>
      </c>
      <c r="AH983" s="64">
        <f>IF(Table1[[#This Row],[GameIsOver]]=0,0,IF(Table1[[#This Row],[ActualWinner]]=Table1[[#This Row],[AwayTeam]], 1, 0))</f>
        <v>0</v>
      </c>
      <c r="AI983" s="64">
        <f>IF(Table1[[#This Row],[GameIsOver]]=0,0,IF(Table1[[#This Row],[ActualWinner]]=Table1[[#This Row],[HomeTeam]], 1, 0))</f>
        <v>0</v>
      </c>
      <c r="AJ983" s="64">
        <f>IF(INDEX(Standings!$A$2:$C$33,MATCH(Table1[[#This Row],[AwayTeam]],Standings!$A$2:$A$33,0),2)=INDEX(Standings!$A$2:$C$33,MATCH(Table1[[#This Row],[HomeTeam]],Standings!$A$2:$A$33,0),2),1,0)</f>
        <v>1</v>
      </c>
      <c r="AK983" s="64">
        <f>IF(INDEX(Standings!$A$2:$C$33,MATCH(Table1[[#This Row],[AwayTeam]],Standings!$A$2:$A$33,0),3)=INDEX(Standings!$A$2:$C$33,MATCH(Table1[[#This Row],[HomeTeam]],Standings!$A$2:$A$33,0),3),1,0)</f>
        <v>1</v>
      </c>
      <c r="AL983" s="64">
        <f>IF(Table1[[#This Row],[InterConf]]=1,IF(Table1[[#This Row],[InterDiv]]=0, 1, 0), 0)</f>
        <v>0</v>
      </c>
      <c r="AM983" s="64">
        <f>IF(INDEX(Standings!$A$2:$C$33,MATCH(Table1[[#This Row],[AwayTeam]],Standings!$A$2:$A$33,0),2)&lt;&gt;INDEX(Standings!$A$2:$C$33,MATCH(Table1[[#This Row],[HomeTeam]],Standings!$A$2:$A$33,0),2),1,0)</f>
        <v>0</v>
      </c>
      <c r="AN983" s="64" t="str">
        <f>INDEX(Table2[AWAY_RECORD], MATCH(Table1[[#This Row],[AwayTeam]],Table2[Team], 0), 0)</f>
        <v>0-0-0</v>
      </c>
      <c r="AO983" s="64" t="str">
        <f>INDEX(Records!$B$2:$AG$33, MATCH(Table1[[#This Row],[AwayTeam]],Records!$A$2:$A$33, 0), MATCH(Table1[[#This Row],[HomeTeam]],Records!$A$2:$A$33, 0))</f>
        <v>0-0-0</v>
      </c>
      <c r="AP983" s="64" t="str">
        <f>INDEX(Table2[HOME_RECORD], MATCH(Table1[[#This Row],[HomeTeam]],Table2[Team], 0), 0)</f>
        <v>0-0-0</v>
      </c>
      <c r="AQ983" s="64" t="str">
        <f>INDEX(Records!$B$2:$AG$33, MATCH(Table1[[#This Row],[HomeTeam]],Records!$A$2:$A$33, 0), MATCH(Table1[[#This Row],[AwayTeam]],Records!$A$2:$A$33, 0))</f>
        <v>0-0-0</v>
      </c>
    </row>
    <row r="984" spans="1:43" x14ac:dyDescent="0.25">
      <c r="A984" s="1"/>
      <c r="D984" t="s">
        <v>1300</v>
      </c>
      <c r="E984" t="s">
        <v>160</v>
      </c>
      <c r="F984" t="s">
        <v>1309</v>
      </c>
      <c r="G984" t="s">
        <v>54</v>
      </c>
      <c r="H984" t="s">
        <v>60</v>
      </c>
      <c r="L98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8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84" s="1"/>
      <c r="T984" s="64" t="str">
        <f>IF(Table1[[#This Row],[ActualWinner]]="", "", IF(Table1[[#This Row],[AwayTeam]]=Table1[[#This Row],[ActualWinner]],Table1[[#This Row],[HomeTeam]],Table1[[#This Row],[AwayTeam]]))</f>
        <v/>
      </c>
      <c r="U984" s="64">
        <f>Table1[[#This Row],[ActualAwayScore]]-Table1[[#This Row],[PredictedAwayScore]]</f>
        <v>0</v>
      </c>
      <c r="V984" s="64">
        <f>Table1[[#This Row],[ActualHomeScore]]-Table1[[#This Row],[PredictedHomeScore]]</f>
        <v>0</v>
      </c>
      <c r="W984" s="64">
        <f>(0.8*IF(Table1[[#This Row],[CorrectWinnerPrediction]]=1, 1, 0))+(0.1*IF(Table1[[#This Row],[CorrectAwayScorePrediction]]=1, 1, 0))+(0.1*IF(Table1[[#This Row],[CorrectHomeScorePrediction]]=1, 1, 0))</f>
        <v>0</v>
      </c>
      <c r="X98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84" s="64">
        <f>SUMIF(Table1[GameDate], Table1[[#This Row],[GameDate]], Table1[AwayGameGoalDiff])</f>
        <v>0</v>
      </c>
      <c r="AA984" s="64">
        <f>SUMIF(Table1[GameDate], Table1[[#This Row],[GameDate]], Table1[HomeGameGoalDiff])</f>
        <v>0</v>
      </c>
      <c r="AB984" s="64">
        <f>IF(ISBLANK(Table1[[#This Row],[ActualResult]]), 0, 1)</f>
        <v>0</v>
      </c>
      <c r="AC984" s="64">
        <f>IF(ISBLANK(Table1[[#This Row],[ActualResult]]), 0, IF(Table1[[#This Row],[ActualWinner]]=Table1[[#This Row],[PredictedWinner]], 1, 0))</f>
        <v>0</v>
      </c>
      <c r="AD98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8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84" s="64">
        <f>IF(AND(Table1[[#This Row],[GameIsOver]]=1,Table1[[#This Row],[ActualAwayScore]]=0), 1,0)</f>
        <v>0</v>
      </c>
      <c r="AG984" s="64">
        <f>IF(AND(Table1[[#This Row],[GameIsOver]]=1,Table1[[#This Row],[ActualHomeScore]]=0), 1,0)</f>
        <v>0</v>
      </c>
      <c r="AH984" s="64">
        <f>IF(Table1[[#This Row],[GameIsOver]]=0,0,IF(Table1[[#This Row],[ActualWinner]]=Table1[[#This Row],[AwayTeam]], 1, 0))</f>
        <v>0</v>
      </c>
      <c r="AI984" s="64">
        <f>IF(Table1[[#This Row],[GameIsOver]]=0,0,IF(Table1[[#This Row],[ActualWinner]]=Table1[[#This Row],[HomeTeam]], 1, 0))</f>
        <v>0</v>
      </c>
      <c r="AJ984" s="64">
        <f>IF(INDEX(Standings!$A$2:$C$33,MATCH(Table1[[#This Row],[AwayTeam]],Standings!$A$2:$A$33,0),2)=INDEX(Standings!$A$2:$C$33,MATCH(Table1[[#This Row],[HomeTeam]],Standings!$A$2:$A$33,0),2),1,0)</f>
        <v>0</v>
      </c>
      <c r="AK984" s="64">
        <f>IF(INDEX(Standings!$A$2:$C$33,MATCH(Table1[[#This Row],[AwayTeam]],Standings!$A$2:$A$33,0),3)=INDEX(Standings!$A$2:$C$33,MATCH(Table1[[#This Row],[HomeTeam]],Standings!$A$2:$A$33,0),3),1,0)</f>
        <v>0</v>
      </c>
      <c r="AL984" s="64">
        <f>IF(Table1[[#This Row],[InterConf]]=1,IF(Table1[[#This Row],[InterDiv]]=0, 1, 0), 0)</f>
        <v>0</v>
      </c>
      <c r="AM984" s="64">
        <f>IF(INDEX(Standings!$A$2:$C$33,MATCH(Table1[[#This Row],[AwayTeam]],Standings!$A$2:$A$33,0),2)&lt;&gt;INDEX(Standings!$A$2:$C$33,MATCH(Table1[[#This Row],[HomeTeam]],Standings!$A$2:$A$33,0),2),1,0)</f>
        <v>1</v>
      </c>
      <c r="AN984" s="64" t="str">
        <f>INDEX(Table2[AWAY_RECORD], MATCH(Table1[[#This Row],[AwayTeam]],Table2[Team], 0), 0)</f>
        <v>0-0-1</v>
      </c>
      <c r="AO984" s="64" t="str">
        <f>INDEX(Records!$B$2:$AG$33, MATCH(Table1[[#This Row],[AwayTeam]],Records!$A$2:$A$33, 0), MATCH(Table1[[#This Row],[HomeTeam]],Records!$A$2:$A$33, 0))</f>
        <v>0-0-0</v>
      </c>
      <c r="AP984" s="64" t="str">
        <f>INDEX(Table2[HOME_RECORD], MATCH(Table1[[#This Row],[HomeTeam]],Table2[Team], 0), 0)</f>
        <v>1-0-0</v>
      </c>
      <c r="AQ984" s="64" t="str">
        <f>INDEX(Records!$B$2:$AG$33, MATCH(Table1[[#This Row],[HomeTeam]],Records!$A$2:$A$33, 0), MATCH(Table1[[#This Row],[AwayTeam]],Records!$A$2:$A$33, 0))</f>
        <v>0-0-0</v>
      </c>
    </row>
    <row r="985" spans="1:43" x14ac:dyDescent="0.25">
      <c r="A985" s="1"/>
      <c r="D985" t="s">
        <v>1300</v>
      </c>
      <c r="E985" t="s">
        <v>162</v>
      </c>
      <c r="F985" t="s">
        <v>1310</v>
      </c>
      <c r="G985" t="s">
        <v>52</v>
      </c>
      <c r="H985" t="s">
        <v>39</v>
      </c>
      <c r="L98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8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85" s="1"/>
      <c r="T985" s="64" t="str">
        <f>IF(Table1[[#This Row],[ActualWinner]]="", "", IF(Table1[[#This Row],[AwayTeam]]=Table1[[#This Row],[ActualWinner]],Table1[[#This Row],[HomeTeam]],Table1[[#This Row],[AwayTeam]]))</f>
        <v/>
      </c>
      <c r="U985" s="64">
        <f>Table1[[#This Row],[ActualAwayScore]]-Table1[[#This Row],[PredictedAwayScore]]</f>
        <v>0</v>
      </c>
      <c r="V985" s="64">
        <f>Table1[[#This Row],[ActualHomeScore]]-Table1[[#This Row],[PredictedHomeScore]]</f>
        <v>0</v>
      </c>
      <c r="W985" s="64">
        <f>(0.8*IF(Table1[[#This Row],[CorrectWinnerPrediction]]=1, 1, 0))+(0.1*IF(Table1[[#This Row],[CorrectAwayScorePrediction]]=1, 1, 0))+(0.1*IF(Table1[[#This Row],[CorrectHomeScorePrediction]]=1, 1, 0))</f>
        <v>0</v>
      </c>
      <c r="X98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85" s="64">
        <f>SUMIF(Table1[GameDate], Table1[[#This Row],[GameDate]], Table1[AwayGameGoalDiff])</f>
        <v>0</v>
      </c>
      <c r="AA985" s="64">
        <f>SUMIF(Table1[GameDate], Table1[[#This Row],[GameDate]], Table1[HomeGameGoalDiff])</f>
        <v>0</v>
      </c>
      <c r="AB985" s="64">
        <f>IF(ISBLANK(Table1[[#This Row],[ActualResult]]), 0, 1)</f>
        <v>0</v>
      </c>
      <c r="AC985" s="64">
        <f>IF(ISBLANK(Table1[[#This Row],[ActualResult]]), 0, IF(Table1[[#This Row],[ActualWinner]]=Table1[[#This Row],[PredictedWinner]], 1, 0))</f>
        <v>0</v>
      </c>
      <c r="AD98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8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85" s="64">
        <f>IF(AND(Table1[[#This Row],[GameIsOver]]=1,Table1[[#This Row],[ActualAwayScore]]=0), 1,0)</f>
        <v>0</v>
      </c>
      <c r="AG985" s="64">
        <f>IF(AND(Table1[[#This Row],[GameIsOver]]=1,Table1[[#This Row],[ActualHomeScore]]=0), 1,0)</f>
        <v>0</v>
      </c>
      <c r="AH985" s="64">
        <f>IF(Table1[[#This Row],[GameIsOver]]=0,0,IF(Table1[[#This Row],[ActualWinner]]=Table1[[#This Row],[AwayTeam]], 1, 0))</f>
        <v>0</v>
      </c>
      <c r="AI985" s="64">
        <f>IF(Table1[[#This Row],[GameIsOver]]=0,0,IF(Table1[[#This Row],[ActualWinner]]=Table1[[#This Row],[HomeTeam]], 1, 0))</f>
        <v>0</v>
      </c>
      <c r="AJ985" s="64">
        <f>IF(INDEX(Standings!$A$2:$C$33,MATCH(Table1[[#This Row],[AwayTeam]],Standings!$A$2:$A$33,0),2)=INDEX(Standings!$A$2:$C$33,MATCH(Table1[[#This Row],[HomeTeam]],Standings!$A$2:$A$33,0),2),1,0)</f>
        <v>0</v>
      </c>
      <c r="AK985" s="64">
        <f>IF(INDEX(Standings!$A$2:$C$33,MATCH(Table1[[#This Row],[AwayTeam]],Standings!$A$2:$A$33,0),3)=INDEX(Standings!$A$2:$C$33,MATCH(Table1[[#This Row],[HomeTeam]],Standings!$A$2:$A$33,0),3),1,0)</f>
        <v>0</v>
      </c>
      <c r="AL985" s="64">
        <f>IF(Table1[[#This Row],[InterConf]]=1,IF(Table1[[#This Row],[InterDiv]]=0, 1, 0), 0)</f>
        <v>0</v>
      </c>
      <c r="AM985" s="64">
        <f>IF(INDEX(Standings!$A$2:$C$33,MATCH(Table1[[#This Row],[AwayTeam]],Standings!$A$2:$A$33,0),2)&lt;&gt;INDEX(Standings!$A$2:$C$33,MATCH(Table1[[#This Row],[HomeTeam]],Standings!$A$2:$A$33,0),2),1,0)</f>
        <v>1</v>
      </c>
      <c r="AN985" s="64" t="str">
        <f>INDEX(Table2[AWAY_RECORD], MATCH(Table1[[#This Row],[AwayTeam]],Table2[Team], 0), 0)</f>
        <v>0-0-0</v>
      </c>
      <c r="AO985" s="64" t="str">
        <f>INDEX(Records!$B$2:$AG$33, MATCH(Table1[[#This Row],[AwayTeam]],Records!$A$2:$A$33, 0), MATCH(Table1[[#This Row],[HomeTeam]],Records!$A$2:$A$33, 0))</f>
        <v>0-0-0</v>
      </c>
      <c r="AP985" s="64" t="str">
        <f>INDEX(Table2[HOME_RECORD], MATCH(Table1[[#This Row],[HomeTeam]],Table2[Team], 0), 0)</f>
        <v>0-1-0</v>
      </c>
      <c r="AQ985" s="64" t="str">
        <f>INDEX(Records!$B$2:$AG$33, MATCH(Table1[[#This Row],[HomeTeam]],Records!$A$2:$A$33, 0), MATCH(Table1[[#This Row],[AwayTeam]],Records!$A$2:$A$33, 0))</f>
        <v>0-0-0</v>
      </c>
    </row>
    <row r="986" spans="1:43" x14ac:dyDescent="0.25">
      <c r="A986" s="1"/>
      <c r="D986" t="s">
        <v>1300</v>
      </c>
      <c r="E986" t="s">
        <v>178</v>
      </c>
      <c r="F986" t="s">
        <v>1311</v>
      </c>
      <c r="G986" t="s">
        <v>37</v>
      </c>
      <c r="H986" t="s">
        <v>23</v>
      </c>
      <c r="L98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8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86" s="1"/>
      <c r="T986" s="64" t="str">
        <f>IF(Table1[[#This Row],[ActualWinner]]="", "", IF(Table1[[#This Row],[AwayTeam]]=Table1[[#This Row],[ActualWinner]],Table1[[#This Row],[HomeTeam]],Table1[[#This Row],[AwayTeam]]))</f>
        <v/>
      </c>
      <c r="U986" s="64">
        <f>Table1[[#This Row],[ActualAwayScore]]-Table1[[#This Row],[PredictedAwayScore]]</f>
        <v>0</v>
      </c>
      <c r="V986" s="64">
        <f>Table1[[#This Row],[ActualHomeScore]]-Table1[[#This Row],[PredictedHomeScore]]</f>
        <v>0</v>
      </c>
      <c r="W986" s="64">
        <f>(0.8*IF(Table1[[#This Row],[CorrectWinnerPrediction]]=1, 1, 0))+(0.1*IF(Table1[[#This Row],[CorrectAwayScorePrediction]]=1, 1, 0))+(0.1*IF(Table1[[#This Row],[CorrectHomeScorePrediction]]=1, 1, 0))</f>
        <v>0</v>
      </c>
      <c r="X98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86" s="64">
        <f>SUMIF(Table1[GameDate], Table1[[#This Row],[GameDate]], Table1[AwayGameGoalDiff])</f>
        <v>0</v>
      </c>
      <c r="AA986" s="64">
        <f>SUMIF(Table1[GameDate], Table1[[#This Row],[GameDate]], Table1[HomeGameGoalDiff])</f>
        <v>0</v>
      </c>
      <c r="AB986" s="64">
        <f>IF(ISBLANK(Table1[[#This Row],[ActualResult]]), 0, 1)</f>
        <v>0</v>
      </c>
      <c r="AC986" s="64">
        <f>IF(ISBLANK(Table1[[#This Row],[ActualResult]]), 0, IF(Table1[[#This Row],[ActualWinner]]=Table1[[#This Row],[PredictedWinner]], 1, 0))</f>
        <v>0</v>
      </c>
      <c r="AD98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8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86" s="64">
        <f>IF(AND(Table1[[#This Row],[GameIsOver]]=1,Table1[[#This Row],[ActualAwayScore]]=0), 1,0)</f>
        <v>0</v>
      </c>
      <c r="AG986" s="64">
        <f>IF(AND(Table1[[#This Row],[GameIsOver]]=1,Table1[[#This Row],[ActualHomeScore]]=0), 1,0)</f>
        <v>0</v>
      </c>
      <c r="AH986" s="64">
        <f>IF(Table1[[#This Row],[GameIsOver]]=0,0,IF(Table1[[#This Row],[ActualWinner]]=Table1[[#This Row],[AwayTeam]], 1, 0))</f>
        <v>0</v>
      </c>
      <c r="AI986" s="64">
        <f>IF(Table1[[#This Row],[GameIsOver]]=0,0,IF(Table1[[#This Row],[ActualWinner]]=Table1[[#This Row],[HomeTeam]], 1, 0))</f>
        <v>0</v>
      </c>
      <c r="AJ986" s="64">
        <f>IF(INDEX(Standings!$A$2:$C$33,MATCH(Table1[[#This Row],[AwayTeam]],Standings!$A$2:$A$33,0),2)=INDEX(Standings!$A$2:$C$33,MATCH(Table1[[#This Row],[HomeTeam]],Standings!$A$2:$A$33,0),2),1,0)</f>
        <v>0</v>
      </c>
      <c r="AK986" s="64">
        <f>IF(INDEX(Standings!$A$2:$C$33,MATCH(Table1[[#This Row],[AwayTeam]],Standings!$A$2:$A$33,0),3)=INDEX(Standings!$A$2:$C$33,MATCH(Table1[[#This Row],[HomeTeam]],Standings!$A$2:$A$33,0),3),1,0)</f>
        <v>0</v>
      </c>
      <c r="AL986" s="64">
        <f>IF(Table1[[#This Row],[InterConf]]=1,IF(Table1[[#This Row],[InterDiv]]=0, 1, 0), 0)</f>
        <v>0</v>
      </c>
      <c r="AM986" s="64">
        <f>IF(INDEX(Standings!$A$2:$C$33,MATCH(Table1[[#This Row],[AwayTeam]],Standings!$A$2:$A$33,0),2)&lt;&gt;INDEX(Standings!$A$2:$C$33,MATCH(Table1[[#This Row],[HomeTeam]],Standings!$A$2:$A$33,0),2),1,0)</f>
        <v>1</v>
      </c>
      <c r="AN986" s="64" t="str">
        <f>INDEX(Table2[AWAY_RECORD], MATCH(Table1[[#This Row],[AwayTeam]],Table2[Team], 0), 0)</f>
        <v>0-0-1</v>
      </c>
      <c r="AO986" s="64" t="str">
        <f>INDEX(Records!$B$2:$AG$33, MATCH(Table1[[#This Row],[AwayTeam]],Records!$A$2:$A$33, 0), MATCH(Table1[[#This Row],[HomeTeam]],Records!$A$2:$A$33, 0))</f>
        <v>0-0-0</v>
      </c>
      <c r="AP986" s="64" t="str">
        <f>INDEX(Table2[HOME_RECORD], MATCH(Table1[[#This Row],[HomeTeam]],Table2[Team], 0), 0)</f>
        <v>0-0-1</v>
      </c>
      <c r="AQ986" s="64" t="str">
        <f>INDEX(Records!$B$2:$AG$33, MATCH(Table1[[#This Row],[HomeTeam]],Records!$A$2:$A$33, 0), MATCH(Table1[[#This Row],[AwayTeam]],Records!$A$2:$A$33, 0))</f>
        <v>0-0-0</v>
      </c>
    </row>
    <row r="987" spans="1:43" x14ac:dyDescent="0.25">
      <c r="A987" s="1"/>
      <c r="D987" t="s">
        <v>1312</v>
      </c>
      <c r="E987" t="s">
        <v>432</v>
      </c>
      <c r="F987" t="s">
        <v>1313</v>
      </c>
      <c r="G987" t="s">
        <v>47</v>
      </c>
      <c r="H987" t="s">
        <v>53</v>
      </c>
      <c r="L98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8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87" s="1"/>
      <c r="T987" s="64" t="str">
        <f>IF(Table1[[#This Row],[ActualWinner]]="", "", IF(Table1[[#This Row],[AwayTeam]]=Table1[[#This Row],[ActualWinner]],Table1[[#This Row],[HomeTeam]],Table1[[#This Row],[AwayTeam]]))</f>
        <v/>
      </c>
      <c r="U987" s="64">
        <f>Table1[[#This Row],[ActualAwayScore]]-Table1[[#This Row],[PredictedAwayScore]]</f>
        <v>0</v>
      </c>
      <c r="V987" s="64">
        <f>Table1[[#This Row],[ActualHomeScore]]-Table1[[#This Row],[PredictedHomeScore]]</f>
        <v>0</v>
      </c>
      <c r="W987" s="64">
        <f>(0.8*IF(Table1[[#This Row],[CorrectWinnerPrediction]]=1, 1, 0))+(0.1*IF(Table1[[#This Row],[CorrectAwayScorePrediction]]=1, 1, 0))+(0.1*IF(Table1[[#This Row],[CorrectHomeScorePrediction]]=1, 1, 0))</f>
        <v>0</v>
      </c>
      <c r="X98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87" s="64">
        <f>SUMIF(Table1[GameDate], Table1[[#This Row],[GameDate]], Table1[AwayGameGoalDiff])</f>
        <v>0</v>
      </c>
      <c r="AA987" s="64">
        <f>SUMIF(Table1[GameDate], Table1[[#This Row],[GameDate]], Table1[HomeGameGoalDiff])</f>
        <v>0</v>
      </c>
      <c r="AB987" s="64">
        <f>IF(ISBLANK(Table1[[#This Row],[ActualResult]]), 0, 1)</f>
        <v>0</v>
      </c>
      <c r="AC987" s="64">
        <f>IF(ISBLANK(Table1[[#This Row],[ActualResult]]), 0, IF(Table1[[#This Row],[ActualWinner]]=Table1[[#This Row],[PredictedWinner]], 1, 0))</f>
        <v>0</v>
      </c>
      <c r="AD98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8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87" s="64">
        <f>IF(AND(Table1[[#This Row],[GameIsOver]]=1,Table1[[#This Row],[ActualAwayScore]]=0), 1,0)</f>
        <v>0</v>
      </c>
      <c r="AG987" s="64">
        <f>IF(AND(Table1[[#This Row],[GameIsOver]]=1,Table1[[#This Row],[ActualHomeScore]]=0), 1,0)</f>
        <v>0</v>
      </c>
      <c r="AH987" s="64">
        <f>IF(Table1[[#This Row],[GameIsOver]]=0,0,IF(Table1[[#This Row],[ActualWinner]]=Table1[[#This Row],[AwayTeam]], 1, 0))</f>
        <v>0</v>
      </c>
      <c r="AI987" s="64">
        <f>IF(Table1[[#This Row],[GameIsOver]]=0,0,IF(Table1[[#This Row],[ActualWinner]]=Table1[[#This Row],[HomeTeam]], 1, 0))</f>
        <v>0</v>
      </c>
      <c r="AJ987" s="64">
        <f>IF(INDEX(Standings!$A$2:$C$33,MATCH(Table1[[#This Row],[AwayTeam]],Standings!$A$2:$A$33,0),2)=INDEX(Standings!$A$2:$C$33,MATCH(Table1[[#This Row],[HomeTeam]],Standings!$A$2:$A$33,0),2),1,0)</f>
        <v>1</v>
      </c>
      <c r="AK987" s="64">
        <f>IF(INDEX(Standings!$A$2:$C$33,MATCH(Table1[[#This Row],[AwayTeam]],Standings!$A$2:$A$33,0),3)=INDEX(Standings!$A$2:$C$33,MATCH(Table1[[#This Row],[HomeTeam]],Standings!$A$2:$A$33,0),3),1,0)</f>
        <v>0</v>
      </c>
      <c r="AL987" s="64">
        <f>IF(Table1[[#This Row],[InterConf]]=1,IF(Table1[[#This Row],[InterDiv]]=0, 1, 0), 0)</f>
        <v>1</v>
      </c>
      <c r="AM987" s="64">
        <f>IF(INDEX(Standings!$A$2:$C$33,MATCH(Table1[[#This Row],[AwayTeam]],Standings!$A$2:$A$33,0),2)&lt;&gt;INDEX(Standings!$A$2:$C$33,MATCH(Table1[[#This Row],[HomeTeam]],Standings!$A$2:$A$33,0),2),1,0)</f>
        <v>0</v>
      </c>
      <c r="AN987" s="64" t="str">
        <f>INDEX(Table2[AWAY_RECORD], MATCH(Table1[[#This Row],[AwayTeam]],Table2[Team], 0), 0)</f>
        <v>1-0-0</v>
      </c>
      <c r="AO987" s="64" t="str">
        <f>INDEX(Records!$B$2:$AG$33, MATCH(Table1[[#This Row],[AwayTeam]],Records!$A$2:$A$33, 0), MATCH(Table1[[#This Row],[HomeTeam]],Records!$A$2:$A$33, 0))</f>
        <v>0-0-0</v>
      </c>
      <c r="AP987" s="64" t="str">
        <f>INDEX(Table2[HOME_RECORD], MATCH(Table1[[#This Row],[HomeTeam]],Table2[Team], 0), 0)</f>
        <v>1-0-0</v>
      </c>
      <c r="AQ987" s="64" t="str">
        <f>INDEX(Records!$B$2:$AG$33, MATCH(Table1[[#This Row],[HomeTeam]],Records!$A$2:$A$33, 0), MATCH(Table1[[#This Row],[AwayTeam]],Records!$A$2:$A$33, 0))</f>
        <v>0-0-0</v>
      </c>
    </row>
    <row r="988" spans="1:43" x14ac:dyDescent="0.25">
      <c r="A988" s="1"/>
      <c r="D988" t="s">
        <v>1312</v>
      </c>
      <c r="E988" t="s">
        <v>162</v>
      </c>
      <c r="F988" t="s">
        <v>1314</v>
      </c>
      <c r="G988" t="s">
        <v>50</v>
      </c>
      <c r="H988" t="s">
        <v>42</v>
      </c>
      <c r="L98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8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88" s="1"/>
      <c r="T988" s="64" t="str">
        <f>IF(Table1[[#This Row],[ActualWinner]]="", "", IF(Table1[[#This Row],[AwayTeam]]=Table1[[#This Row],[ActualWinner]],Table1[[#This Row],[HomeTeam]],Table1[[#This Row],[AwayTeam]]))</f>
        <v/>
      </c>
      <c r="U988" s="64">
        <f>Table1[[#This Row],[ActualAwayScore]]-Table1[[#This Row],[PredictedAwayScore]]</f>
        <v>0</v>
      </c>
      <c r="V988" s="64">
        <f>Table1[[#This Row],[ActualHomeScore]]-Table1[[#This Row],[PredictedHomeScore]]</f>
        <v>0</v>
      </c>
      <c r="W988" s="64">
        <f>(0.8*IF(Table1[[#This Row],[CorrectWinnerPrediction]]=1, 1, 0))+(0.1*IF(Table1[[#This Row],[CorrectAwayScorePrediction]]=1, 1, 0))+(0.1*IF(Table1[[#This Row],[CorrectHomeScorePrediction]]=1, 1, 0))</f>
        <v>0</v>
      </c>
      <c r="X98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88" s="64">
        <f>SUMIF(Table1[GameDate], Table1[[#This Row],[GameDate]], Table1[AwayGameGoalDiff])</f>
        <v>0</v>
      </c>
      <c r="AA988" s="64">
        <f>SUMIF(Table1[GameDate], Table1[[#This Row],[GameDate]], Table1[HomeGameGoalDiff])</f>
        <v>0</v>
      </c>
      <c r="AB988" s="64">
        <f>IF(ISBLANK(Table1[[#This Row],[ActualResult]]), 0, 1)</f>
        <v>0</v>
      </c>
      <c r="AC988" s="64">
        <f>IF(ISBLANK(Table1[[#This Row],[ActualResult]]), 0, IF(Table1[[#This Row],[ActualWinner]]=Table1[[#This Row],[PredictedWinner]], 1, 0))</f>
        <v>0</v>
      </c>
      <c r="AD98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8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88" s="64">
        <f>IF(AND(Table1[[#This Row],[GameIsOver]]=1,Table1[[#This Row],[ActualAwayScore]]=0), 1,0)</f>
        <v>0</v>
      </c>
      <c r="AG988" s="64">
        <f>IF(AND(Table1[[#This Row],[GameIsOver]]=1,Table1[[#This Row],[ActualHomeScore]]=0), 1,0)</f>
        <v>0</v>
      </c>
      <c r="AH988" s="64">
        <f>IF(Table1[[#This Row],[GameIsOver]]=0,0,IF(Table1[[#This Row],[ActualWinner]]=Table1[[#This Row],[AwayTeam]], 1, 0))</f>
        <v>0</v>
      </c>
      <c r="AI988" s="64">
        <f>IF(Table1[[#This Row],[GameIsOver]]=0,0,IF(Table1[[#This Row],[ActualWinner]]=Table1[[#This Row],[HomeTeam]], 1, 0))</f>
        <v>0</v>
      </c>
      <c r="AJ988" s="64">
        <f>IF(INDEX(Standings!$A$2:$C$33,MATCH(Table1[[#This Row],[AwayTeam]],Standings!$A$2:$A$33,0),2)=INDEX(Standings!$A$2:$C$33,MATCH(Table1[[#This Row],[HomeTeam]],Standings!$A$2:$A$33,0),2),1,0)</f>
        <v>1</v>
      </c>
      <c r="AK988" s="64">
        <f>IF(INDEX(Standings!$A$2:$C$33,MATCH(Table1[[#This Row],[AwayTeam]],Standings!$A$2:$A$33,0),3)=INDEX(Standings!$A$2:$C$33,MATCH(Table1[[#This Row],[HomeTeam]],Standings!$A$2:$A$33,0),3),1,0)</f>
        <v>1</v>
      </c>
      <c r="AL988" s="64">
        <f>IF(Table1[[#This Row],[InterConf]]=1,IF(Table1[[#This Row],[InterDiv]]=0, 1, 0), 0)</f>
        <v>0</v>
      </c>
      <c r="AM988" s="64">
        <f>IF(INDEX(Standings!$A$2:$C$33,MATCH(Table1[[#This Row],[AwayTeam]],Standings!$A$2:$A$33,0),2)&lt;&gt;INDEX(Standings!$A$2:$C$33,MATCH(Table1[[#This Row],[HomeTeam]],Standings!$A$2:$A$33,0),2),1,0)</f>
        <v>0</v>
      </c>
      <c r="AN988" s="64" t="str">
        <f>INDEX(Table2[AWAY_RECORD], MATCH(Table1[[#This Row],[AwayTeam]],Table2[Team], 0), 0)</f>
        <v>1-0-0</v>
      </c>
      <c r="AO988" s="64" t="str">
        <f>INDEX(Records!$B$2:$AG$33, MATCH(Table1[[#This Row],[AwayTeam]],Records!$A$2:$A$33, 0), MATCH(Table1[[#This Row],[HomeTeam]],Records!$A$2:$A$33, 0))</f>
        <v>0-0-0</v>
      </c>
      <c r="AP988" s="64" t="str">
        <f>INDEX(Table2[HOME_RECORD], MATCH(Table1[[#This Row],[HomeTeam]],Table2[Team], 0), 0)</f>
        <v>1-0-0</v>
      </c>
      <c r="AQ988" s="64" t="str">
        <f>INDEX(Records!$B$2:$AG$33, MATCH(Table1[[#This Row],[HomeTeam]],Records!$A$2:$A$33, 0), MATCH(Table1[[#This Row],[AwayTeam]],Records!$A$2:$A$33, 0))</f>
        <v>0-0-0</v>
      </c>
    </row>
    <row r="989" spans="1:43" x14ac:dyDescent="0.25">
      <c r="A989" s="1"/>
      <c r="D989" t="s">
        <v>1312</v>
      </c>
      <c r="E989" t="s">
        <v>289</v>
      </c>
      <c r="F989" t="s">
        <v>1315</v>
      </c>
      <c r="G989" t="s">
        <v>52</v>
      </c>
      <c r="H989" t="s">
        <v>45</v>
      </c>
      <c r="L98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8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89" s="1"/>
      <c r="T989" s="64" t="str">
        <f>IF(Table1[[#This Row],[ActualWinner]]="", "", IF(Table1[[#This Row],[AwayTeam]]=Table1[[#This Row],[ActualWinner]],Table1[[#This Row],[HomeTeam]],Table1[[#This Row],[AwayTeam]]))</f>
        <v/>
      </c>
      <c r="U989" s="64">
        <f>Table1[[#This Row],[ActualAwayScore]]-Table1[[#This Row],[PredictedAwayScore]]</f>
        <v>0</v>
      </c>
      <c r="V989" s="64">
        <f>Table1[[#This Row],[ActualHomeScore]]-Table1[[#This Row],[PredictedHomeScore]]</f>
        <v>0</v>
      </c>
      <c r="W989" s="64">
        <f>(0.8*IF(Table1[[#This Row],[CorrectWinnerPrediction]]=1, 1, 0))+(0.1*IF(Table1[[#This Row],[CorrectAwayScorePrediction]]=1, 1, 0))+(0.1*IF(Table1[[#This Row],[CorrectHomeScorePrediction]]=1, 1, 0))</f>
        <v>0</v>
      </c>
      <c r="X98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89" s="64">
        <f>SUMIF(Table1[GameDate], Table1[[#This Row],[GameDate]], Table1[AwayGameGoalDiff])</f>
        <v>0</v>
      </c>
      <c r="AA989" s="64">
        <f>SUMIF(Table1[GameDate], Table1[[#This Row],[GameDate]], Table1[HomeGameGoalDiff])</f>
        <v>0</v>
      </c>
      <c r="AB989" s="64">
        <f>IF(ISBLANK(Table1[[#This Row],[ActualResult]]), 0, 1)</f>
        <v>0</v>
      </c>
      <c r="AC989" s="64">
        <f>IF(ISBLANK(Table1[[#This Row],[ActualResult]]), 0, IF(Table1[[#This Row],[ActualWinner]]=Table1[[#This Row],[PredictedWinner]], 1, 0))</f>
        <v>0</v>
      </c>
      <c r="AD98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8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89" s="64">
        <f>IF(AND(Table1[[#This Row],[GameIsOver]]=1,Table1[[#This Row],[ActualAwayScore]]=0), 1,0)</f>
        <v>0</v>
      </c>
      <c r="AG989" s="64">
        <f>IF(AND(Table1[[#This Row],[GameIsOver]]=1,Table1[[#This Row],[ActualHomeScore]]=0), 1,0)</f>
        <v>0</v>
      </c>
      <c r="AH989" s="64">
        <f>IF(Table1[[#This Row],[GameIsOver]]=0,0,IF(Table1[[#This Row],[ActualWinner]]=Table1[[#This Row],[AwayTeam]], 1, 0))</f>
        <v>0</v>
      </c>
      <c r="AI989" s="64">
        <f>IF(Table1[[#This Row],[GameIsOver]]=0,0,IF(Table1[[#This Row],[ActualWinner]]=Table1[[#This Row],[HomeTeam]], 1, 0))</f>
        <v>0</v>
      </c>
      <c r="AJ989" s="64">
        <f>IF(INDEX(Standings!$A$2:$C$33,MATCH(Table1[[#This Row],[AwayTeam]],Standings!$A$2:$A$33,0),2)=INDEX(Standings!$A$2:$C$33,MATCH(Table1[[#This Row],[HomeTeam]],Standings!$A$2:$A$33,0),2),1,0)</f>
        <v>0</v>
      </c>
      <c r="AK989" s="64">
        <f>IF(INDEX(Standings!$A$2:$C$33,MATCH(Table1[[#This Row],[AwayTeam]],Standings!$A$2:$A$33,0),3)=INDEX(Standings!$A$2:$C$33,MATCH(Table1[[#This Row],[HomeTeam]],Standings!$A$2:$A$33,0),3),1,0)</f>
        <v>0</v>
      </c>
      <c r="AL989" s="64">
        <f>IF(Table1[[#This Row],[InterConf]]=1,IF(Table1[[#This Row],[InterDiv]]=0, 1, 0), 0)</f>
        <v>0</v>
      </c>
      <c r="AM989" s="64">
        <f>IF(INDEX(Standings!$A$2:$C$33,MATCH(Table1[[#This Row],[AwayTeam]],Standings!$A$2:$A$33,0),2)&lt;&gt;INDEX(Standings!$A$2:$C$33,MATCH(Table1[[#This Row],[HomeTeam]],Standings!$A$2:$A$33,0),2),1,0)</f>
        <v>1</v>
      </c>
      <c r="AN989" s="64" t="str">
        <f>INDEX(Table2[AWAY_RECORD], MATCH(Table1[[#This Row],[AwayTeam]],Table2[Team], 0), 0)</f>
        <v>0-0-0</v>
      </c>
      <c r="AO989" s="64" t="str">
        <f>INDEX(Records!$B$2:$AG$33, MATCH(Table1[[#This Row],[AwayTeam]],Records!$A$2:$A$33, 0), MATCH(Table1[[#This Row],[HomeTeam]],Records!$A$2:$A$33, 0))</f>
        <v>0-0-0</v>
      </c>
      <c r="AP989" s="64" t="str">
        <f>INDEX(Table2[HOME_RECORD], MATCH(Table1[[#This Row],[HomeTeam]],Table2[Team], 0), 0)</f>
        <v>1-0-0</v>
      </c>
      <c r="AQ989" s="64" t="str">
        <f>INDEX(Records!$B$2:$AG$33, MATCH(Table1[[#This Row],[HomeTeam]],Records!$A$2:$A$33, 0), MATCH(Table1[[#This Row],[AwayTeam]],Records!$A$2:$A$33, 0))</f>
        <v>0-0-0</v>
      </c>
    </row>
    <row r="990" spans="1:43" x14ac:dyDescent="0.25">
      <c r="A990" s="1"/>
      <c r="D990" t="s">
        <v>1312</v>
      </c>
      <c r="E990" t="s">
        <v>164</v>
      </c>
      <c r="F990" t="s">
        <v>1316</v>
      </c>
      <c r="G990" t="s">
        <v>25</v>
      </c>
      <c r="H990" t="s">
        <v>41</v>
      </c>
      <c r="L99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9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90" s="1"/>
      <c r="T990" s="64" t="str">
        <f>IF(Table1[[#This Row],[ActualWinner]]="", "", IF(Table1[[#This Row],[AwayTeam]]=Table1[[#This Row],[ActualWinner]],Table1[[#This Row],[HomeTeam]],Table1[[#This Row],[AwayTeam]]))</f>
        <v/>
      </c>
      <c r="U990" s="64">
        <f>Table1[[#This Row],[ActualAwayScore]]-Table1[[#This Row],[PredictedAwayScore]]</f>
        <v>0</v>
      </c>
      <c r="V990" s="64">
        <f>Table1[[#This Row],[ActualHomeScore]]-Table1[[#This Row],[PredictedHomeScore]]</f>
        <v>0</v>
      </c>
      <c r="W990" s="64">
        <f>(0.8*IF(Table1[[#This Row],[CorrectWinnerPrediction]]=1, 1, 0))+(0.1*IF(Table1[[#This Row],[CorrectAwayScorePrediction]]=1, 1, 0))+(0.1*IF(Table1[[#This Row],[CorrectHomeScorePrediction]]=1, 1, 0))</f>
        <v>0</v>
      </c>
      <c r="X99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90" s="64">
        <f>SUMIF(Table1[GameDate], Table1[[#This Row],[GameDate]], Table1[AwayGameGoalDiff])</f>
        <v>0</v>
      </c>
      <c r="AA990" s="64">
        <f>SUMIF(Table1[GameDate], Table1[[#This Row],[GameDate]], Table1[HomeGameGoalDiff])</f>
        <v>0</v>
      </c>
      <c r="AB990" s="64">
        <f>IF(ISBLANK(Table1[[#This Row],[ActualResult]]), 0, 1)</f>
        <v>0</v>
      </c>
      <c r="AC990" s="64">
        <f>IF(ISBLANK(Table1[[#This Row],[ActualResult]]), 0, IF(Table1[[#This Row],[ActualWinner]]=Table1[[#This Row],[PredictedWinner]], 1, 0))</f>
        <v>0</v>
      </c>
      <c r="AD99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9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90" s="64">
        <f>IF(AND(Table1[[#This Row],[GameIsOver]]=1,Table1[[#This Row],[ActualAwayScore]]=0), 1,0)</f>
        <v>0</v>
      </c>
      <c r="AG990" s="64">
        <f>IF(AND(Table1[[#This Row],[GameIsOver]]=1,Table1[[#This Row],[ActualHomeScore]]=0), 1,0)</f>
        <v>0</v>
      </c>
      <c r="AH990" s="64">
        <f>IF(Table1[[#This Row],[GameIsOver]]=0,0,IF(Table1[[#This Row],[ActualWinner]]=Table1[[#This Row],[AwayTeam]], 1, 0))</f>
        <v>0</v>
      </c>
      <c r="AI990" s="64">
        <f>IF(Table1[[#This Row],[GameIsOver]]=0,0,IF(Table1[[#This Row],[ActualWinner]]=Table1[[#This Row],[HomeTeam]], 1, 0))</f>
        <v>0</v>
      </c>
      <c r="AJ990" s="64">
        <f>IF(INDEX(Standings!$A$2:$C$33,MATCH(Table1[[#This Row],[AwayTeam]],Standings!$A$2:$A$33,0),2)=INDEX(Standings!$A$2:$C$33,MATCH(Table1[[#This Row],[HomeTeam]],Standings!$A$2:$A$33,0),2),1,0)</f>
        <v>1</v>
      </c>
      <c r="AK990" s="64">
        <f>IF(INDEX(Standings!$A$2:$C$33,MATCH(Table1[[#This Row],[AwayTeam]],Standings!$A$2:$A$33,0),3)=INDEX(Standings!$A$2:$C$33,MATCH(Table1[[#This Row],[HomeTeam]],Standings!$A$2:$A$33,0),3),1,0)</f>
        <v>0</v>
      </c>
      <c r="AL990" s="64">
        <f>IF(Table1[[#This Row],[InterConf]]=1,IF(Table1[[#This Row],[InterDiv]]=0, 1, 0), 0)</f>
        <v>1</v>
      </c>
      <c r="AM990" s="64">
        <f>IF(INDEX(Standings!$A$2:$C$33,MATCH(Table1[[#This Row],[AwayTeam]],Standings!$A$2:$A$33,0),2)&lt;&gt;INDEX(Standings!$A$2:$C$33,MATCH(Table1[[#This Row],[HomeTeam]],Standings!$A$2:$A$33,0),2),1,0)</f>
        <v>0</v>
      </c>
      <c r="AN990" s="64" t="str">
        <f>INDEX(Table2[AWAY_RECORD], MATCH(Table1[[#This Row],[AwayTeam]],Table2[Team], 0), 0)</f>
        <v>0-0-0</v>
      </c>
      <c r="AO990" s="64" t="str">
        <f>INDEX(Records!$B$2:$AG$33, MATCH(Table1[[#This Row],[AwayTeam]],Records!$A$2:$A$33, 0), MATCH(Table1[[#This Row],[HomeTeam]],Records!$A$2:$A$33, 0))</f>
        <v>0-0-0</v>
      </c>
      <c r="AP990" s="64" t="str">
        <f>INDEX(Table2[HOME_RECORD], MATCH(Table1[[#This Row],[HomeTeam]],Table2[Team], 0), 0)</f>
        <v>0-0-1</v>
      </c>
      <c r="AQ990" s="64" t="str">
        <f>INDEX(Records!$B$2:$AG$33, MATCH(Table1[[#This Row],[HomeTeam]],Records!$A$2:$A$33, 0), MATCH(Table1[[#This Row],[AwayTeam]],Records!$A$2:$A$33, 0))</f>
        <v>0-0-0</v>
      </c>
    </row>
    <row r="991" spans="1:43" x14ac:dyDescent="0.25">
      <c r="A991" s="1"/>
      <c r="D991" t="s">
        <v>1312</v>
      </c>
      <c r="E991" t="s">
        <v>593</v>
      </c>
      <c r="F991" t="s">
        <v>1317</v>
      </c>
      <c r="G991" t="s">
        <v>37</v>
      </c>
      <c r="H991" t="s">
        <v>56</v>
      </c>
      <c r="L99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9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91" s="1"/>
      <c r="T991" s="64" t="str">
        <f>IF(Table1[[#This Row],[ActualWinner]]="", "", IF(Table1[[#This Row],[AwayTeam]]=Table1[[#This Row],[ActualWinner]],Table1[[#This Row],[HomeTeam]],Table1[[#This Row],[AwayTeam]]))</f>
        <v/>
      </c>
      <c r="U991" s="64">
        <f>Table1[[#This Row],[ActualAwayScore]]-Table1[[#This Row],[PredictedAwayScore]]</f>
        <v>0</v>
      </c>
      <c r="V991" s="64">
        <f>Table1[[#This Row],[ActualHomeScore]]-Table1[[#This Row],[PredictedHomeScore]]</f>
        <v>0</v>
      </c>
      <c r="W991" s="64">
        <f>(0.8*IF(Table1[[#This Row],[CorrectWinnerPrediction]]=1, 1, 0))+(0.1*IF(Table1[[#This Row],[CorrectAwayScorePrediction]]=1, 1, 0))+(0.1*IF(Table1[[#This Row],[CorrectHomeScorePrediction]]=1, 1, 0))</f>
        <v>0</v>
      </c>
      <c r="X99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91" s="64">
        <f>SUMIF(Table1[GameDate], Table1[[#This Row],[GameDate]], Table1[AwayGameGoalDiff])</f>
        <v>0</v>
      </c>
      <c r="AA991" s="64">
        <f>SUMIF(Table1[GameDate], Table1[[#This Row],[GameDate]], Table1[HomeGameGoalDiff])</f>
        <v>0</v>
      </c>
      <c r="AB991" s="64">
        <f>IF(ISBLANK(Table1[[#This Row],[ActualResult]]), 0, 1)</f>
        <v>0</v>
      </c>
      <c r="AC991" s="64">
        <f>IF(ISBLANK(Table1[[#This Row],[ActualResult]]), 0, IF(Table1[[#This Row],[ActualWinner]]=Table1[[#This Row],[PredictedWinner]], 1, 0))</f>
        <v>0</v>
      </c>
      <c r="AD99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9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91" s="64">
        <f>IF(AND(Table1[[#This Row],[GameIsOver]]=1,Table1[[#This Row],[ActualAwayScore]]=0), 1,0)</f>
        <v>0</v>
      </c>
      <c r="AG991" s="64">
        <f>IF(AND(Table1[[#This Row],[GameIsOver]]=1,Table1[[#This Row],[ActualHomeScore]]=0), 1,0)</f>
        <v>0</v>
      </c>
      <c r="AH991" s="64">
        <f>IF(Table1[[#This Row],[GameIsOver]]=0,0,IF(Table1[[#This Row],[ActualWinner]]=Table1[[#This Row],[AwayTeam]], 1, 0))</f>
        <v>0</v>
      </c>
      <c r="AI991" s="64">
        <f>IF(Table1[[#This Row],[GameIsOver]]=0,0,IF(Table1[[#This Row],[ActualWinner]]=Table1[[#This Row],[HomeTeam]], 1, 0))</f>
        <v>0</v>
      </c>
      <c r="AJ991" s="64">
        <f>IF(INDEX(Standings!$A$2:$C$33,MATCH(Table1[[#This Row],[AwayTeam]],Standings!$A$2:$A$33,0),2)=INDEX(Standings!$A$2:$C$33,MATCH(Table1[[#This Row],[HomeTeam]],Standings!$A$2:$A$33,0),2),1,0)</f>
        <v>0</v>
      </c>
      <c r="AK991" s="64">
        <f>IF(INDEX(Standings!$A$2:$C$33,MATCH(Table1[[#This Row],[AwayTeam]],Standings!$A$2:$A$33,0),3)=INDEX(Standings!$A$2:$C$33,MATCH(Table1[[#This Row],[HomeTeam]],Standings!$A$2:$A$33,0),3),1,0)</f>
        <v>0</v>
      </c>
      <c r="AL991" s="64">
        <f>IF(Table1[[#This Row],[InterConf]]=1,IF(Table1[[#This Row],[InterDiv]]=0, 1, 0), 0)</f>
        <v>0</v>
      </c>
      <c r="AM991" s="64">
        <f>IF(INDEX(Standings!$A$2:$C$33,MATCH(Table1[[#This Row],[AwayTeam]],Standings!$A$2:$A$33,0),2)&lt;&gt;INDEX(Standings!$A$2:$C$33,MATCH(Table1[[#This Row],[HomeTeam]],Standings!$A$2:$A$33,0),2),1,0)</f>
        <v>1</v>
      </c>
      <c r="AN991" s="64" t="str">
        <f>INDEX(Table2[AWAY_RECORD], MATCH(Table1[[#This Row],[AwayTeam]],Table2[Team], 0), 0)</f>
        <v>0-0-1</v>
      </c>
      <c r="AO991" s="64" t="str">
        <f>INDEX(Records!$B$2:$AG$33, MATCH(Table1[[#This Row],[AwayTeam]],Records!$A$2:$A$33, 0), MATCH(Table1[[#This Row],[HomeTeam]],Records!$A$2:$A$33, 0))</f>
        <v>0-0-0</v>
      </c>
      <c r="AP991" s="64" t="str">
        <f>INDEX(Table2[HOME_RECORD], MATCH(Table1[[#This Row],[HomeTeam]],Table2[Team], 0), 0)</f>
        <v>0-0-0</v>
      </c>
      <c r="AQ991" s="64" t="str">
        <f>INDEX(Records!$B$2:$AG$33, MATCH(Table1[[#This Row],[HomeTeam]],Records!$A$2:$A$33, 0), MATCH(Table1[[#This Row],[AwayTeam]],Records!$A$2:$A$33, 0))</f>
        <v>0-0-0</v>
      </c>
    </row>
    <row r="992" spans="1:43" x14ac:dyDescent="0.25">
      <c r="A992" s="1"/>
      <c r="D992" t="s">
        <v>1318</v>
      </c>
      <c r="E992" t="s">
        <v>162</v>
      </c>
      <c r="F992" t="s">
        <v>1319</v>
      </c>
      <c r="G992" t="s">
        <v>44</v>
      </c>
      <c r="H992" t="s">
        <v>24</v>
      </c>
      <c r="L99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9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92" s="1"/>
      <c r="T992" s="64" t="str">
        <f>IF(Table1[[#This Row],[ActualWinner]]="", "", IF(Table1[[#This Row],[AwayTeam]]=Table1[[#This Row],[ActualWinner]],Table1[[#This Row],[HomeTeam]],Table1[[#This Row],[AwayTeam]]))</f>
        <v/>
      </c>
      <c r="U992" s="64">
        <f>Table1[[#This Row],[ActualAwayScore]]-Table1[[#This Row],[PredictedAwayScore]]</f>
        <v>0</v>
      </c>
      <c r="V992" s="64">
        <f>Table1[[#This Row],[ActualHomeScore]]-Table1[[#This Row],[PredictedHomeScore]]</f>
        <v>0</v>
      </c>
      <c r="W992" s="64">
        <f>(0.8*IF(Table1[[#This Row],[CorrectWinnerPrediction]]=1, 1, 0))+(0.1*IF(Table1[[#This Row],[CorrectAwayScorePrediction]]=1, 1, 0))+(0.1*IF(Table1[[#This Row],[CorrectHomeScorePrediction]]=1, 1, 0))</f>
        <v>0</v>
      </c>
      <c r="X99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92" s="64">
        <f>SUMIF(Table1[GameDate], Table1[[#This Row],[GameDate]], Table1[AwayGameGoalDiff])</f>
        <v>0</v>
      </c>
      <c r="AA992" s="64">
        <f>SUMIF(Table1[GameDate], Table1[[#This Row],[GameDate]], Table1[HomeGameGoalDiff])</f>
        <v>0</v>
      </c>
      <c r="AB992" s="64">
        <f>IF(ISBLANK(Table1[[#This Row],[ActualResult]]), 0, 1)</f>
        <v>0</v>
      </c>
      <c r="AC992" s="64">
        <f>IF(ISBLANK(Table1[[#This Row],[ActualResult]]), 0, IF(Table1[[#This Row],[ActualWinner]]=Table1[[#This Row],[PredictedWinner]], 1, 0))</f>
        <v>0</v>
      </c>
      <c r="AD99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9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92" s="64">
        <f>IF(AND(Table1[[#This Row],[GameIsOver]]=1,Table1[[#This Row],[ActualAwayScore]]=0), 1,0)</f>
        <v>0</v>
      </c>
      <c r="AG992" s="64">
        <f>IF(AND(Table1[[#This Row],[GameIsOver]]=1,Table1[[#This Row],[ActualHomeScore]]=0), 1,0)</f>
        <v>0</v>
      </c>
      <c r="AH992" s="64">
        <f>IF(Table1[[#This Row],[GameIsOver]]=0,0,IF(Table1[[#This Row],[ActualWinner]]=Table1[[#This Row],[AwayTeam]], 1, 0))</f>
        <v>0</v>
      </c>
      <c r="AI992" s="64">
        <f>IF(Table1[[#This Row],[GameIsOver]]=0,0,IF(Table1[[#This Row],[ActualWinner]]=Table1[[#This Row],[HomeTeam]], 1, 0))</f>
        <v>0</v>
      </c>
      <c r="AJ992" s="64">
        <f>IF(INDEX(Standings!$A$2:$C$33,MATCH(Table1[[#This Row],[AwayTeam]],Standings!$A$2:$A$33,0),2)=INDEX(Standings!$A$2:$C$33,MATCH(Table1[[#This Row],[HomeTeam]],Standings!$A$2:$A$33,0),2),1,0)</f>
        <v>1</v>
      </c>
      <c r="AK992" s="64">
        <f>IF(INDEX(Standings!$A$2:$C$33,MATCH(Table1[[#This Row],[AwayTeam]],Standings!$A$2:$A$33,0),3)=INDEX(Standings!$A$2:$C$33,MATCH(Table1[[#This Row],[HomeTeam]],Standings!$A$2:$A$33,0),3),1,0)</f>
        <v>1</v>
      </c>
      <c r="AL992" s="64">
        <f>IF(Table1[[#This Row],[InterConf]]=1,IF(Table1[[#This Row],[InterDiv]]=0, 1, 0), 0)</f>
        <v>0</v>
      </c>
      <c r="AM992" s="64">
        <f>IF(INDEX(Standings!$A$2:$C$33,MATCH(Table1[[#This Row],[AwayTeam]],Standings!$A$2:$A$33,0),2)&lt;&gt;INDEX(Standings!$A$2:$C$33,MATCH(Table1[[#This Row],[HomeTeam]],Standings!$A$2:$A$33,0),2),1,0)</f>
        <v>0</v>
      </c>
      <c r="AN992" s="64" t="str">
        <f>INDEX(Table2[AWAY_RECORD], MATCH(Table1[[#This Row],[AwayTeam]],Table2[Team], 0), 0)</f>
        <v>0-0-0</v>
      </c>
      <c r="AO992" s="64" t="str">
        <f>INDEX(Records!$B$2:$AG$33, MATCH(Table1[[#This Row],[AwayTeam]],Records!$A$2:$A$33, 0), MATCH(Table1[[#This Row],[HomeTeam]],Records!$A$2:$A$33, 0))</f>
        <v>0-0-0</v>
      </c>
      <c r="AP992" s="64" t="str">
        <f>INDEX(Table2[HOME_RECORD], MATCH(Table1[[#This Row],[HomeTeam]],Table2[Team], 0), 0)</f>
        <v>0-2-0</v>
      </c>
      <c r="AQ992" s="64" t="str">
        <f>INDEX(Records!$B$2:$AG$33, MATCH(Table1[[#This Row],[HomeTeam]],Records!$A$2:$A$33, 0), MATCH(Table1[[#This Row],[AwayTeam]],Records!$A$2:$A$33, 0))</f>
        <v>0-0-0</v>
      </c>
    </row>
    <row r="993" spans="1:43" x14ac:dyDescent="0.25">
      <c r="A993" s="1"/>
      <c r="D993" t="s">
        <v>1318</v>
      </c>
      <c r="E993" t="s">
        <v>162</v>
      </c>
      <c r="F993" t="s">
        <v>1320</v>
      </c>
      <c r="G993" t="s">
        <v>55</v>
      </c>
      <c r="H993" t="s">
        <v>57</v>
      </c>
      <c r="L99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9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93" s="1"/>
      <c r="T993" s="64" t="str">
        <f>IF(Table1[[#This Row],[ActualWinner]]="", "", IF(Table1[[#This Row],[AwayTeam]]=Table1[[#This Row],[ActualWinner]],Table1[[#This Row],[HomeTeam]],Table1[[#This Row],[AwayTeam]]))</f>
        <v/>
      </c>
      <c r="U993" s="64">
        <f>Table1[[#This Row],[ActualAwayScore]]-Table1[[#This Row],[PredictedAwayScore]]</f>
        <v>0</v>
      </c>
      <c r="V993" s="64">
        <f>Table1[[#This Row],[ActualHomeScore]]-Table1[[#This Row],[PredictedHomeScore]]</f>
        <v>0</v>
      </c>
      <c r="W993" s="64">
        <f>(0.8*IF(Table1[[#This Row],[CorrectWinnerPrediction]]=1, 1, 0))+(0.1*IF(Table1[[#This Row],[CorrectAwayScorePrediction]]=1, 1, 0))+(0.1*IF(Table1[[#This Row],[CorrectHomeScorePrediction]]=1, 1, 0))</f>
        <v>0</v>
      </c>
      <c r="X99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93" s="64">
        <f>SUMIF(Table1[GameDate], Table1[[#This Row],[GameDate]], Table1[AwayGameGoalDiff])</f>
        <v>0</v>
      </c>
      <c r="AA993" s="64">
        <f>SUMIF(Table1[GameDate], Table1[[#This Row],[GameDate]], Table1[HomeGameGoalDiff])</f>
        <v>0</v>
      </c>
      <c r="AB993" s="64">
        <f>IF(ISBLANK(Table1[[#This Row],[ActualResult]]), 0, 1)</f>
        <v>0</v>
      </c>
      <c r="AC993" s="64">
        <f>IF(ISBLANK(Table1[[#This Row],[ActualResult]]), 0, IF(Table1[[#This Row],[ActualWinner]]=Table1[[#This Row],[PredictedWinner]], 1, 0))</f>
        <v>0</v>
      </c>
      <c r="AD99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9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93" s="64">
        <f>IF(AND(Table1[[#This Row],[GameIsOver]]=1,Table1[[#This Row],[ActualAwayScore]]=0), 1,0)</f>
        <v>0</v>
      </c>
      <c r="AG993" s="64">
        <f>IF(AND(Table1[[#This Row],[GameIsOver]]=1,Table1[[#This Row],[ActualHomeScore]]=0), 1,0)</f>
        <v>0</v>
      </c>
      <c r="AH993" s="64">
        <f>IF(Table1[[#This Row],[GameIsOver]]=0,0,IF(Table1[[#This Row],[ActualWinner]]=Table1[[#This Row],[AwayTeam]], 1, 0))</f>
        <v>0</v>
      </c>
      <c r="AI993" s="64">
        <f>IF(Table1[[#This Row],[GameIsOver]]=0,0,IF(Table1[[#This Row],[ActualWinner]]=Table1[[#This Row],[HomeTeam]], 1, 0))</f>
        <v>0</v>
      </c>
      <c r="AJ993" s="64">
        <f>IF(INDEX(Standings!$A$2:$C$33,MATCH(Table1[[#This Row],[AwayTeam]],Standings!$A$2:$A$33,0),2)=INDEX(Standings!$A$2:$C$33,MATCH(Table1[[#This Row],[HomeTeam]],Standings!$A$2:$A$33,0),2),1,0)</f>
        <v>0</v>
      </c>
      <c r="AK993" s="64">
        <f>IF(INDEX(Standings!$A$2:$C$33,MATCH(Table1[[#This Row],[AwayTeam]],Standings!$A$2:$A$33,0),3)=INDEX(Standings!$A$2:$C$33,MATCH(Table1[[#This Row],[HomeTeam]],Standings!$A$2:$A$33,0),3),1,0)</f>
        <v>0</v>
      </c>
      <c r="AL993" s="64">
        <f>IF(Table1[[#This Row],[InterConf]]=1,IF(Table1[[#This Row],[InterDiv]]=0, 1, 0), 0)</f>
        <v>0</v>
      </c>
      <c r="AM993" s="64">
        <f>IF(INDEX(Standings!$A$2:$C$33,MATCH(Table1[[#This Row],[AwayTeam]],Standings!$A$2:$A$33,0),2)&lt;&gt;INDEX(Standings!$A$2:$C$33,MATCH(Table1[[#This Row],[HomeTeam]],Standings!$A$2:$A$33,0),2),1,0)</f>
        <v>1</v>
      </c>
      <c r="AN993" s="64" t="str">
        <f>INDEX(Table2[AWAY_RECORD], MATCH(Table1[[#This Row],[AwayTeam]],Table2[Team], 0), 0)</f>
        <v>0-0-0</v>
      </c>
      <c r="AO993" s="64" t="str">
        <f>INDEX(Records!$B$2:$AG$33, MATCH(Table1[[#This Row],[AwayTeam]],Records!$A$2:$A$33, 0), MATCH(Table1[[#This Row],[HomeTeam]],Records!$A$2:$A$33, 0))</f>
        <v>0-0-0</v>
      </c>
      <c r="AP993" s="64" t="str">
        <f>INDEX(Table2[HOME_RECORD], MATCH(Table1[[#This Row],[HomeTeam]],Table2[Team], 0), 0)</f>
        <v>0-0-0</v>
      </c>
      <c r="AQ993" s="64" t="str">
        <f>INDEX(Records!$B$2:$AG$33, MATCH(Table1[[#This Row],[HomeTeam]],Records!$A$2:$A$33, 0), MATCH(Table1[[#This Row],[AwayTeam]],Records!$A$2:$A$33, 0))</f>
        <v>0-0-0</v>
      </c>
    </row>
    <row r="994" spans="1:43" x14ac:dyDescent="0.25">
      <c r="A994" s="1"/>
      <c r="D994" t="s">
        <v>1318</v>
      </c>
      <c r="E994" t="s">
        <v>162</v>
      </c>
      <c r="F994" t="s">
        <v>1321</v>
      </c>
      <c r="G994" t="s">
        <v>40</v>
      </c>
      <c r="H994" t="s">
        <v>49</v>
      </c>
      <c r="L99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9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94" s="1"/>
      <c r="T994" s="64" t="str">
        <f>IF(Table1[[#This Row],[ActualWinner]]="", "", IF(Table1[[#This Row],[AwayTeam]]=Table1[[#This Row],[ActualWinner]],Table1[[#This Row],[HomeTeam]],Table1[[#This Row],[AwayTeam]]))</f>
        <v/>
      </c>
      <c r="U994" s="64">
        <f>Table1[[#This Row],[ActualAwayScore]]-Table1[[#This Row],[PredictedAwayScore]]</f>
        <v>0</v>
      </c>
      <c r="V994" s="64">
        <f>Table1[[#This Row],[ActualHomeScore]]-Table1[[#This Row],[PredictedHomeScore]]</f>
        <v>0</v>
      </c>
      <c r="W994" s="64">
        <f>(0.8*IF(Table1[[#This Row],[CorrectWinnerPrediction]]=1, 1, 0))+(0.1*IF(Table1[[#This Row],[CorrectAwayScorePrediction]]=1, 1, 0))+(0.1*IF(Table1[[#This Row],[CorrectHomeScorePrediction]]=1, 1, 0))</f>
        <v>0</v>
      </c>
      <c r="X99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94" s="64">
        <f>SUMIF(Table1[GameDate], Table1[[#This Row],[GameDate]], Table1[AwayGameGoalDiff])</f>
        <v>0</v>
      </c>
      <c r="AA994" s="64">
        <f>SUMIF(Table1[GameDate], Table1[[#This Row],[GameDate]], Table1[HomeGameGoalDiff])</f>
        <v>0</v>
      </c>
      <c r="AB994" s="64">
        <f>IF(ISBLANK(Table1[[#This Row],[ActualResult]]), 0, 1)</f>
        <v>0</v>
      </c>
      <c r="AC994" s="64">
        <f>IF(ISBLANK(Table1[[#This Row],[ActualResult]]), 0, IF(Table1[[#This Row],[ActualWinner]]=Table1[[#This Row],[PredictedWinner]], 1, 0))</f>
        <v>0</v>
      </c>
      <c r="AD99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9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94" s="64">
        <f>IF(AND(Table1[[#This Row],[GameIsOver]]=1,Table1[[#This Row],[ActualAwayScore]]=0), 1,0)</f>
        <v>0</v>
      </c>
      <c r="AG994" s="64">
        <f>IF(AND(Table1[[#This Row],[GameIsOver]]=1,Table1[[#This Row],[ActualHomeScore]]=0), 1,0)</f>
        <v>0</v>
      </c>
      <c r="AH994" s="64">
        <f>IF(Table1[[#This Row],[GameIsOver]]=0,0,IF(Table1[[#This Row],[ActualWinner]]=Table1[[#This Row],[AwayTeam]], 1, 0))</f>
        <v>0</v>
      </c>
      <c r="AI994" s="64">
        <f>IF(Table1[[#This Row],[GameIsOver]]=0,0,IF(Table1[[#This Row],[ActualWinner]]=Table1[[#This Row],[HomeTeam]], 1, 0))</f>
        <v>0</v>
      </c>
      <c r="AJ994" s="64">
        <f>IF(INDEX(Standings!$A$2:$C$33,MATCH(Table1[[#This Row],[AwayTeam]],Standings!$A$2:$A$33,0),2)=INDEX(Standings!$A$2:$C$33,MATCH(Table1[[#This Row],[HomeTeam]],Standings!$A$2:$A$33,0),2),1,0)</f>
        <v>1</v>
      </c>
      <c r="AK994" s="64">
        <f>IF(INDEX(Standings!$A$2:$C$33,MATCH(Table1[[#This Row],[AwayTeam]],Standings!$A$2:$A$33,0),3)=INDEX(Standings!$A$2:$C$33,MATCH(Table1[[#This Row],[HomeTeam]],Standings!$A$2:$A$33,0),3),1,0)</f>
        <v>1</v>
      </c>
      <c r="AL994" s="64">
        <f>IF(Table1[[#This Row],[InterConf]]=1,IF(Table1[[#This Row],[InterDiv]]=0, 1, 0), 0)</f>
        <v>0</v>
      </c>
      <c r="AM994" s="64">
        <f>IF(INDEX(Standings!$A$2:$C$33,MATCH(Table1[[#This Row],[AwayTeam]],Standings!$A$2:$A$33,0),2)&lt;&gt;INDEX(Standings!$A$2:$C$33,MATCH(Table1[[#This Row],[HomeTeam]],Standings!$A$2:$A$33,0),2),1,0)</f>
        <v>0</v>
      </c>
      <c r="AN994" s="64" t="str">
        <f>INDEX(Table2[AWAY_RECORD], MATCH(Table1[[#This Row],[AwayTeam]],Table2[Team], 0), 0)</f>
        <v>0-0-0</v>
      </c>
      <c r="AO994" s="64" t="str">
        <f>INDEX(Records!$B$2:$AG$33, MATCH(Table1[[#This Row],[AwayTeam]],Records!$A$2:$A$33, 0), MATCH(Table1[[#This Row],[HomeTeam]],Records!$A$2:$A$33, 0))</f>
        <v>0-0-0</v>
      </c>
      <c r="AP994" s="64" t="str">
        <f>INDEX(Table2[HOME_RECORD], MATCH(Table1[[#This Row],[HomeTeam]],Table2[Team], 0), 0)</f>
        <v>1-0-0</v>
      </c>
      <c r="AQ994" s="64" t="str">
        <f>INDEX(Records!$B$2:$AG$33, MATCH(Table1[[#This Row],[HomeTeam]],Records!$A$2:$A$33, 0), MATCH(Table1[[#This Row],[AwayTeam]],Records!$A$2:$A$33, 0))</f>
        <v>0-0-0</v>
      </c>
    </row>
    <row r="995" spans="1:43" x14ac:dyDescent="0.25">
      <c r="A995" s="1"/>
      <c r="D995" t="s">
        <v>1318</v>
      </c>
      <c r="E995" t="s">
        <v>162</v>
      </c>
      <c r="F995" t="s">
        <v>1322</v>
      </c>
      <c r="G995" t="s">
        <v>51</v>
      </c>
      <c r="H995" t="s">
        <v>59</v>
      </c>
      <c r="L99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9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95" s="1"/>
      <c r="T995" s="64" t="str">
        <f>IF(Table1[[#This Row],[ActualWinner]]="", "", IF(Table1[[#This Row],[AwayTeam]]=Table1[[#This Row],[ActualWinner]],Table1[[#This Row],[HomeTeam]],Table1[[#This Row],[AwayTeam]]))</f>
        <v/>
      </c>
      <c r="U995" s="64">
        <f>Table1[[#This Row],[ActualAwayScore]]-Table1[[#This Row],[PredictedAwayScore]]</f>
        <v>0</v>
      </c>
      <c r="V995" s="64">
        <f>Table1[[#This Row],[ActualHomeScore]]-Table1[[#This Row],[PredictedHomeScore]]</f>
        <v>0</v>
      </c>
      <c r="W995" s="64">
        <f>(0.8*IF(Table1[[#This Row],[CorrectWinnerPrediction]]=1, 1, 0))+(0.1*IF(Table1[[#This Row],[CorrectAwayScorePrediction]]=1, 1, 0))+(0.1*IF(Table1[[#This Row],[CorrectHomeScorePrediction]]=1, 1, 0))</f>
        <v>0</v>
      </c>
      <c r="X99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95" s="64">
        <f>SUMIF(Table1[GameDate], Table1[[#This Row],[GameDate]], Table1[AwayGameGoalDiff])</f>
        <v>0</v>
      </c>
      <c r="AA995" s="64">
        <f>SUMIF(Table1[GameDate], Table1[[#This Row],[GameDate]], Table1[HomeGameGoalDiff])</f>
        <v>0</v>
      </c>
      <c r="AB995" s="64">
        <f>IF(ISBLANK(Table1[[#This Row],[ActualResult]]), 0, 1)</f>
        <v>0</v>
      </c>
      <c r="AC995" s="64">
        <f>IF(ISBLANK(Table1[[#This Row],[ActualResult]]), 0, IF(Table1[[#This Row],[ActualWinner]]=Table1[[#This Row],[PredictedWinner]], 1, 0))</f>
        <v>0</v>
      </c>
      <c r="AD99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9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95" s="64">
        <f>IF(AND(Table1[[#This Row],[GameIsOver]]=1,Table1[[#This Row],[ActualAwayScore]]=0), 1,0)</f>
        <v>0</v>
      </c>
      <c r="AG995" s="64">
        <f>IF(AND(Table1[[#This Row],[GameIsOver]]=1,Table1[[#This Row],[ActualHomeScore]]=0), 1,0)</f>
        <v>0</v>
      </c>
      <c r="AH995" s="64">
        <f>IF(Table1[[#This Row],[GameIsOver]]=0,0,IF(Table1[[#This Row],[ActualWinner]]=Table1[[#This Row],[AwayTeam]], 1, 0))</f>
        <v>0</v>
      </c>
      <c r="AI995" s="64">
        <f>IF(Table1[[#This Row],[GameIsOver]]=0,0,IF(Table1[[#This Row],[ActualWinner]]=Table1[[#This Row],[HomeTeam]], 1, 0))</f>
        <v>0</v>
      </c>
      <c r="AJ995" s="64">
        <f>IF(INDEX(Standings!$A$2:$C$33,MATCH(Table1[[#This Row],[AwayTeam]],Standings!$A$2:$A$33,0),2)=INDEX(Standings!$A$2:$C$33,MATCH(Table1[[#This Row],[HomeTeam]],Standings!$A$2:$A$33,0),2),1,0)</f>
        <v>1</v>
      </c>
      <c r="AK995" s="64">
        <f>IF(INDEX(Standings!$A$2:$C$33,MATCH(Table1[[#This Row],[AwayTeam]],Standings!$A$2:$A$33,0),3)=INDEX(Standings!$A$2:$C$33,MATCH(Table1[[#This Row],[HomeTeam]],Standings!$A$2:$A$33,0),3),1,0)</f>
        <v>1</v>
      </c>
      <c r="AL995" s="64">
        <f>IF(Table1[[#This Row],[InterConf]]=1,IF(Table1[[#This Row],[InterDiv]]=0, 1, 0), 0)</f>
        <v>0</v>
      </c>
      <c r="AM995" s="64">
        <f>IF(INDEX(Standings!$A$2:$C$33,MATCH(Table1[[#This Row],[AwayTeam]],Standings!$A$2:$A$33,0),2)&lt;&gt;INDEX(Standings!$A$2:$C$33,MATCH(Table1[[#This Row],[HomeTeam]],Standings!$A$2:$A$33,0),2),1,0)</f>
        <v>0</v>
      </c>
      <c r="AN995" s="64" t="str">
        <f>INDEX(Table2[AWAY_RECORD], MATCH(Table1[[#This Row],[AwayTeam]],Table2[Team], 0), 0)</f>
        <v>2-0-0</v>
      </c>
      <c r="AO995" s="64" t="str">
        <f>INDEX(Records!$B$2:$AG$33, MATCH(Table1[[#This Row],[AwayTeam]],Records!$A$2:$A$33, 0), MATCH(Table1[[#This Row],[HomeTeam]],Records!$A$2:$A$33, 0))</f>
        <v>0-0-0</v>
      </c>
      <c r="AP995" s="64" t="str">
        <f>INDEX(Table2[HOME_RECORD], MATCH(Table1[[#This Row],[HomeTeam]],Table2[Team], 0), 0)</f>
        <v>0-0-0</v>
      </c>
      <c r="AQ995" s="64" t="str">
        <f>INDEX(Records!$B$2:$AG$33, MATCH(Table1[[#This Row],[HomeTeam]],Records!$A$2:$A$33, 0), MATCH(Table1[[#This Row],[AwayTeam]],Records!$A$2:$A$33, 0))</f>
        <v>0-0-0</v>
      </c>
    </row>
    <row r="996" spans="1:43" x14ac:dyDescent="0.25">
      <c r="A996" s="1"/>
      <c r="D996" t="s">
        <v>1318</v>
      </c>
      <c r="E996" t="s">
        <v>178</v>
      </c>
      <c r="F996" t="s">
        <v>1323</v>
      </c>
      <c r="G996" t="s">
        <v>50</v>
      </c>
      <c r="H996" t="s">
        <v>16</v>
      </c>
      <c r="L99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9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96" s="1"/>
      <c r="T996" s="64" t="str">
        <f>IF(Table1[[#This Row],[ActualWinner]]="", "", IF(Table1[[#This Row],[AwayTeam]]=Table1[[#This Row],[ActualWinner]],Table1[[#This Row],[HomeTeam]],Table1[[#This Row],[AwayTeam]]))</f>
        <v/>
      </c>
      <c r="U996" s="64">
        <f>Table1[[#This Row],[ActualAwayScore]]-Table1[[#This Row],[PredictedAwayScore]]</f>
        <v>0</v>
      </c>
      <c r="V996" s="64">
        <f>Table1[[#This Row],[ActualHomeScore]]-Table1[[#This Row],[PredictedHomeScore]]</f>
        <v>0</v>
      </c>
      <c r="W996" s="64">
        <f>(0.8*IF(Table1[[#This Row],[CorrectWinnerPrediction]]=1, 1, 0))+(0.1*IF(Table1[[#This Row],[CorrectAwayScorePrediction]]=1, 1, 0))+(0.1*IF(Table1[[#This Row],[CorrectHomeScorePrediction]]=1, 1, 0))</f>
        <v>0</v>
      </c>
      <c r="X99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96" s="64">
        <f>SUMIF(Table1[GameDate], Table1[[#This Row],[GameDate]], Table1[AwayGameGoalDiff])</f>
        <v>0</v>
      </c>
      <c r="AA996" s="64">
        <f>SUMIF(Table1[GameDate], Table1[[#This Row],[GameDate]], Table1[HomeGameGoalDiff])</f>
        <v>0</v>
      </c>
      <c r="AB996" s="64">
        <f>IF(ISBLANK(Table1[[#This Row],[ActualResult]]), 0, 1)</f>
        <v>0</v>
      </c>
      <c r="AC996" s="64">
        <f>IF(ISBLANK(Table1[[#This Row],[ActualResult]]), 0, IF(Table1[[#This Row],[ActualWinner]]=Table1[[#This Row],[PredictedWinner]], 1, 0))</f>
        <v>0</v>
      </c>
      <c r="AD99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9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96" s="64">
        <f>IF(AND(Table1[[#This Row],[GameIsOver]]=1,Table1[[#This Row],[ActualAwayScore]]=0), 1,0)</f>
        <v>0</v>
      </c>
      <c r="AG996" s="64">
        <f>IF(AND(Table1[[#This Row],[GameIsOver]]=1,Table1[[#This Row],[ActualHomeScore]]=0), 1,0)</f>
        <v>0</v>
      </c>
      <c r="AH996" s="64">
        <f>IF(Table1[[#This Row],[GameIsOver]]=0,0,IF(Table1[[#This Row],[ActualWinner]]=Table1[[#This Row],[AwayTeam]], 1, 0))</f>
        <v>0</v>
      </c>
      <c r="AI996" s="64">
        <f>IF(Table1[[#This Row],[GameIsOver]]=0,0,IF(Table1[[#This Row],[ActualWinner]]=Table1[[#This Row],[HomeTeam]], 1, 0))</f>
        <v>0</v>
      </c>
      <c r="AJ996" s="64">
        <f>IF(INDEX(Standings!$A$2:$C$33,MATCH(Table1[[#This Row],[AwayTeam]],Standings!$A$2:$A$33,0),2)=INDEX(Standings!$A$2:$C$33,MATCH(Table1[[#This Row],[HomeTeam]],Standings!$A$2:$A$33,0),2),1,0)</f>
        <v>0</v>
      </c>
      <c r="AK996" s="64">
        <f>IF(INDEX(Standings!$A$2:$C$33,MATCH(Table1[[#This Row],[AwayTeam]],Standings!$A$2:$A$33,0),3)=INDEX(Standings!$A$2:$C$33,MATCH(Table1[[#This Row],[HomeTeam]],Standings!$A$2:$A$33,0),3),1,0)</f>
        <v>0</v>
      </c>
      <c r="AL996" s="64">
        <f>IF(Table1[[#This Row],[InterConf]]=1,IF(Table1[[#This Row],[InterDiv]]=0, 1, 0), 0)</f>
        <v>0</v>
      </c>
      <c r="AM996" s="64">
        <f>IF(INDEX(Standings!$A$2:$C$33,MATCH(Table1[[#This Row],[AwayTeam]],Standings!$A$2:$A$33,0),2)&lt;&gt;INDEX(Standings!$A$2:$C$33,MATCH(Table1[[#This Row],[HomeTeam]],Standings!$A$2:$A$33,0),2),1,0)</f>
        <v>1</v>
      </c>
      <c r="AN996" s="64" t="str">
        <f>INDEX(Table2[AWAY_RECORD], MATCH(Table1[[#This Row],[AwayTeam]],Table2[Team], 0), 0)</f>
        <v>1-0-0</v>
      </c>
      <c r="AO996" s="64" t="str">
        <f>INDEX(Records!$B$2:$AG$33, MATCH(Table1[[#This Row],[AwayTeam]],Records!$A$2:$A$33, 0), MATCH(Table1[[#This Row],[HomeTeam]],Records!$A$2:$A$33, 0))</f>
        <v>0-0-0</v>
      </c>
      <c r="AP996" s="64" t="str">
        <f>INDEX(Table2[HOME_RECORD], MATCH(Table1[[#This Row],[HomeTeam]],Table2[Team], 0), 0)</f>
        <v>0-0-0</v>
      </c>
      <c r="AQ996" s="64" t="str">
        <f>INDEX(Records!$B$2:$AG$33, MATCH(Table1[[#This Row],[HomeTeam]],Records!$A$2:$A$33, 0), MATCH(Table1[[#This Row],[AwayTeam]],Records!$A$2:$A$33, 0))</f>
        <v>0-0-0</v>
      </c>
    </row>
    <row r="997" spans="1:43" x14ac:dyDescent="0.25">
      <c r="A997" s="1"/>
      <c r="D997" t="s">
        <v>1318</v>
      </c>
      <c r="E997" t="s">
        <v>178</v>
      </c>
      <c r="F997" t="s">
        <v>1324</v>
      </c>
      <c r="G997" t="s">
        <v>60</v>
      </c>
      <c r="H997" t="s">
        <v>48</v>
      </c>
      <c r="L99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9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97" s="1"/>
      <c r="T997" s="64" t="str">
        <f>IF(Table1[[#This Row],[ActualWinner]]="", "", IF(Table1[[#This Row],[AwayTeam]]=Table1[[#This Row],[ActualWinner]],Table1[[#This Row],[HomeTeam]],Table1[[#This Row],[AwayTeam]]))</f>
        <v/>
      </c>
      <c r="U997" s="64">
        <f>Table1[[#This Row],[ActualAwayScore]]-Table1[[#This Row],[PredictedAwayScore]]</f>
        <v>0</v>
      </c>
      <c r="V997" s="64">
        <f>Table1[[#This Row],[ActualHomeScore]]-Table1[[#This Row],[PredictedHomeScore]]</f>
        <v>0</v>
      </c>
      <c r="W997" s="64">
        <f>(0.8*IF(Table1[[#This Row],[CorrectWinnerPrediction]]=1, 1, 0))+(0.1*IF(Table1[[#This Row],[CorrectAwayScorePrediction]]=1, 1, 0))+(0.1*IF(Table1[[#This Row],[CorrectHomeScorePrediction]]=1, 1, 0))</f>
        <v>0</v>
      </c>
      <c r="X99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97" s="64">
        <f>SUMIF(Table1[GameDate], Table1[[#This Row],[GameDate]], Table1[AwayGameGoalDiff])</f>
        <v>0</v>
      </c>
      <c r="AA997" s="64">
        <f>SUMIF(Table1[GameDate], Table1[[#This Row],[GameDate]], Table1[HomeGameGoalDiff])</f>
        <v>0</v>
      </c>
      <c r="AB997" s="64">
        <f>IF(ISBLANK(Table1[[#This Row],[ActualResult]]), 0, 1)</f>
        <v>0</v>
      </c>
      <c r="AC997" s="64">
        <f>IF(ISBLANK(Table1[[#This Row],[ActualResult]]), 0, IF(Table1[[#This Row],[ActualWinner]]=Table1[[#This Row],[PredictedWinner]], 1, 0))</f>
        <v>0</v>
      </c>
      <c r="AD99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9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97" s="64">
        <f>IF(AND(Table1[[#This Row],[GameIsOver]]=1,Table1[[#This Row],[ActualAwayScore]]=0), 1,0)</f>
        <v>0</v>
      </c>
      <c r="AG997" s="64">
        <f>IF(AND(Table1[[#This Row],[GameIsOver]]=1,Table1[[#This Row],[ActualHomeScore]]=0), 1,0)</f>
        <v>0</v>
      </c>
      <c r="AH997" s="64">
        <f>IF(Table1[[#This Row],[GameIsOver]]=0,0,IF(Table1[[#This Row],[ActualWinner]]=Table1[[#This Row],[AwayTeam]], 1, 0))</f>
        <v>0</v>
      </c>
      <c r="AI997" s="64">
        <f>IF(Table1[[#This Row],[GameIsOver]]=0,0,IF(Table1[[#This Row],[ActualWinner]]=Table1[[#This Row],[HomeTeam]], 1, 0))</f>
        <v>0</v>
      </c>
      <c r="AJ997" s="64">
        <f>IF(INDEX(Standings!$A$2:$C$33,MATCH(Table1[[#This Row],[AwayTeam]],Standings!$A$2:$A$33,0),2)=INDEX(Standings!$A$2:$C$33,MATCH(Table1[[#This Row],[HomeTeam]],Standings!$A$2:$A$33,0),2),1,0)</f>
        <v>1</v>
      </c>
      <c r="AK997" s="64">
        <f>IF(INDEX(Standings!$A$2:$C$33,MATCH(Table1[[#This Row],[AwayTeam]],Standings!$A$2:$A$33,0),3)=INDEX(Standings!$A$2:$C$33,MATCH(Table1[[#This Row],[HomeTeam]],Standings!$A$2:$A$33,0),3),1,0)</f>
        <v>1</v>
      </c>
      <c r="AL997" s="64">
        <f>IF(Table1[[#This Row],[InterConf]]=1,IF(Table1[[#This Row],[InterDiv]]=0, 1, 0), 0)</f>
        <v>0</v>
      </c>
      <c r="AM997" s="64">
        <f>IF(INDEX(Standings!$A$2:$C$33,MATCH(Table1[[#This Row],[AwayTeam]],Standings!$A$2:$A$33,0),2)&lt;&gt;INDEX(Standings!$A$2:$C$33,MATCH(Table1[[#This Row],[HomeTeam]],Standings!$A$2:$A$33,0),2),1,0)</f>
        <v>0</v>
      </c>
      <c r="AN997" s="64" t="str">
        <f>INDEX(Table2[AWAY_RECORD], MATCH(Table1[[#This Row],[AwayTeam]],Table2[Team], 0), 0)</f>
        <v>0-0-0</v>
      </c>
      <c r="AO997" s="64" t="str">
        <f>INDEX(Records!$B$2:$AG$33, MATCH(Table1[[#This Row],[AwayTeam]],Records!$A$2:$A$33, 0), MATCH(Table1[[#This Row],[HomeTeam]],Records!$A$2:$A$33, 0))</f>
        <v>0-0-0</v>
      </c>
      <c r="AP997" s="64" t="str">
        <f>INDEX(Table2[HOME_RECORD], MATCH(Table1[[#This Row],[HomeTeam]],Table2[Team], 0), 0)</f>
        <v>1-0-0</v>
      </c>
      <c r="AQ997" s="64" t="str">
        <f>INDEX(Records!$B$2:$AG$33, MATCH(Table1[[#This Row],[HomeTeam]],Records!$A$2:$A$33, 0), MATCH(Table1[[#This Row],[AwayTeam]],Records!$A$2:$A$33, 0))</f>
        <v>0-0-0</v>
      </c>
    </row>
    <row r="998" spans="1:43" x14ac:dyDescent="0.25">
      <c r="A998" s="1"/>
      <c r="D998" t="s">
        <v>1318</v>
      </c>
      <c r="E998" t="s">
        <v>178</v>
      </c>
      <c r="F998" t="s">
        <v>1325</v>
      </c>
      <c r="G998" t="s">
        <v>23</v>
      </c>
      <c r="H998" t="s">
        <v>43</v>
      </c>
      <c r="L99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9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98" s="1"/>
      <c r="T998" s="64" t="str">
        <f>IF(Table1[[#This Row],[ActualWinner]]="", "", IF(Table1[[#This Row],[AwayTeam]]=Table1[[#This Row],[ActualWinner]],Table1[[#This Row],[HomeTeam]],Table1[[#This Row],[AwayTeam]]))</f>
        <v/>
      </c>
      <c r="U998" s="64">
        <f>Table1[[#This Row],[ActualAwayScore]]-Table1[[#This Row],[PredictedAwayScore]]</f>
        <v>0</v>
      </c>
      <c r="V998" s="64">
        <f>Table1[[#This Row],[ActualHomeScore]]-Table1[[#This Row],[PredictedHomeScore]]</f>
        <v>0</v>
      </c>
      <c r="W998" s="64">
        <f>(0.8*IF(Table1[[#This Row],[CorrectWinnerPrediction]]=1, 1, 0))+(0.1*IF(Table1[[#This Row],[CorrectAwayScorePrediction]]=1, 1, 0))+(0.1*IF(Table1[[#This Row],[CorrectHomeScorePrediction]]=1, 1, 0))</f>
        <v>0</v>
      </c>
      <c r="X99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98" s="64">
        <f>SUMIF(Table1[GameDate], Table1[[#This Row],[GameDate]], Table1[AwayGameGoalDiff])</f>
        <v>0</v>
      </c>
      <c r="AA998" s="64">
        <f>SUMIF(Table1[GameDate], Table1[[#This Row],[GameDate]], Table1[HomeGameGoalDiff])</f>
        <v>0</v>
      </c>
      <c r="AB998" s="64">
        <f>IF(ISBLANK(Table1[[#This Row],[ActualResult]]), 0, 1)</f>
        <v>0</v>
      </c>
      <c r="AC998" s="64">
        <f>IF(ISBLANK(Table1[[#This Row],[ActualResult]]), 0, IF(Table1[[#This Row],[ActualWinner]]=Table1[[#This Row],[PredictedWinner]], 1, 0))</f>
        <v>0</v>
      </c>
      <c r="AD99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9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98" s="64">
        <f>IF(AND(Table1[[#This Row],[GameIsOver]]=1,Table1[[#This Row],[ActualAwayScore]]=0), 1,0)</f>
        <v>0</v>
      </c>
      <c r="AG998" s="64">
        <f>IF(AND(Table1[[#This Row],[GameIsOver]]=1,Table1[[#This Row],[ActualHomeScore]]=0), 1,0)</f>
        <v>0</v>
      </c>
      <c r="AH998" s="64">
        <f>IF(Table1[[#This Row],[GameIsOver]]=0,0,IF(Table1[[#This Row],[ActualWinner]]=Table1[[#This Row],[AwayTeam]], 1, 0))</f>
        <v>0</v>
      </c>
      <c r="AI998" s="64">
        <f>IF(Table1[[#This Row],[GameIsOver]]=0,0,IF(Table1[[#This Row],[ActualWinner]]=Table1[[#This Row],[HomeTeam]], 1, 0))</f>
        <v>0</v>
      </c>
      <c r="AJ998" s="64">
        <f>IF(INDEX(Standings!$A$2:$C$33,MATCH(Table1[[#This Row],[AwayTeam]],Standings!$A$2:$A$33,0),2)=INDEX(Standings!$A$2:$C$33,MATCH(Table1[[#This Row],[HomeTeam]],Standings!$A$2:$A$33,0),2),1,0)</f>
        <v>1</v>
      </c>
      <c r="AK998" s="64">
        <f>IF(INDEX(Standings!$A$2:$C$33,MATCH(Table1[[#This Row],[AwayTeam]],Standings!$A$2:$A$33,0),3)=INDEX(Standings!$A$2:$C$33,MATCH(Table1[[#This Row],[HomeTeam]],Standings!$A$2:$A$33,0),3),1,0)</f>
        <v>0</v>
      </c>
      <c r="AL998" s="64">
        <f>IF(Table1[[#This Row],[InterConf]]=1,IF(Table1[[#This Row],[InterDiv]]=0, 1, 0), 0)</f>
        <v>1</v>
      </c>
      <c r="AM998" s="64">
        <f>IF(INDEX(Standings!$A$2:$C$33,MATCH(Table1[[#This Row],[AwayTeam]],Standings!$A$2:$A$33,0),2)&lt;&gt;INDEX(Standings!$A$2:$C$33,MATCH(Table1[[#This Row],[HomeTeam]],Standings!$A$2:$A$33,0),2),1,0)</f>
        <v>0</v>
      </c>
      <c r="AN998" s="64" t="str">
        <f>INDEX(Table2[AWAY_RECORD], MATCH(Table1[[#This Row],[AwayTeam]],Table2[Team], 0), 0)</f>
        <v>0-0-1</v>
      </c>
      <c r="AO998" s="64" t="str">
        <f>INDEX(Records!$B$2:$AG$33, MATCH(Table1[[#This Row],[AwayTeam]],Records!$A$2:$A$33, 0), MATCH(Table1[[#This Row],[HomeTeam]],Records!$A$2:$A$33, 0))</f>
        <v>0-0-0</v>
      </c>
      <c r="AP998" s="64" t="str">
        <f>INDEX(Table2[HOME_RECORD], MATCH(Table1[[#This Row],[HomeTeam]],Table2[Team], 0), 0)</f>
        <v>0-0-0</v>
      </c>
      <c r="AQ998" s="64" t="str">
        <f>INDEX(Records!$B$2:$AG$33, MATCH(Table1[[#This Row],[HomeTeam]],Records!$A$2:$A$33, 0), MATCH(Table1[[#This Row],[AwayTeam]],Records!$A$2:$A$33, 0))</f>
        <v>0-0-0</v>
      </c>
    </row>
    <row r="999" spans="1:43" x14ac:dyDescent="0.25">
      <c r="A999" s="1"/>
      <c r="D999" t="s">
        <v>1318</v>
      </c>
      <c r="E999" t="s">
        <v>178</v>
      </c>
      <c r="F999" t="s">
        <v>1326</v>
      </c>
      <c r="G999" t="s">
        <v>54</v>
      </c>
      <c r="H999" t="s">
        <v>22</v>
      </c>
      <c r="L99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99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999" s="1"/>
      <c r="T999" s="64" t="str">
        <f>IF(Table1[[#This Row],[ActualWinner]]="", "", IF(Table1[[#This Row],[AwayTeam]]=Table1[[#This Row],[ActualWinner]],Table1[[#This Row],[HomeTeam]],Table1[[#This Row],[AwayTeam]]))</f>
        <v/>
      </c>
      <c r="U999" s="64">
        <f>Table1[[#This Row],[ActualAwayScore]]-Table1[[#This Row],[PredictedAwayScore]]</f>
        <v>0</v>
      </c>
      <c r="V999" s="64">
        <f>Table1[[#This Row],[ActualHomeScore]]-Table1[[#This Row],[PredictedHomeScore]]</f>
        <v>0</v>
      </c>
      <c r="W999" s="64">
        <f>(0.8*IF(Table1[[#This Row],[CorrectWinnerPrediction]]=1, 1, 0))+(0.1*IF(Table1[[#This Row],[CorrectAwayScorePrediction]]=1, 1, 0))+(0.1*IF(Table1[[#This Row],[CorrectHomeScorePrediction]]=1, 1, 0))</f>
        <v>0</v>
      </c>
      <c r="X99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999" s="64">
        <f>SUMIF(Table1[GameDate], Table1[[#This Row],[GameDate]], Table1[AwayGameGoalDiff])</f>
        <v>0</v>
      </c>
      <c r="AA999" s="64">
        <f>SUMIF(Table1[GameDate], Table1[[#This Row],[GameDate]], Table1[HomeGameGoalDiff])</f>
        <v>0</v>
      </c>
      <c r="AB999" s="64">
        <f>IF(ISBLANK(Table1[[#This Row],[ActualResult]]), 0, 1)</f>
        <v>0</v>
      </c>
      <c r="AC999" s="64">
        <f>IF(ISBLANK(Table1[[#This Row],[ActualResult]]), 0, IF(Table1[[#This Row],[ActualWinner]]=Table1[[#This Row],[PredictedWinner]], 1, 0))</f>
        <v>0</v>
      </c>
      <c r="AD99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9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99" s="64">
        <f>IF(AND(Table1[[#This Row],[GameIsOver]]=1,Table1[[#This Row],[ActualAwayScore]]=0), 1,0)</f>
        <v>0</v>
      </c>
      <c r="AG999" s="64">
        <f>IF(AND(Table1[[#This Row],[GameIsOver]]=1,Table1[[#This Row],[ActualHomeScore]]=0), 1,0)</f>
        <v>0</v>
      </c>
      <c r="AH999" s="64">
        <f>IF(Table1[[#This Row],[GameIsOver]]=0,0,IF(Table1[[#This Row],[ActualWinner]]=Table1[[#This Row],[AwayTeam]], 1, 0))</f>
        <v>0</v>
      </c>
      <c r="AI999" s="64">
        <f>IF(Table1[[#This Row],[GameIsOver]]=0,0,IF(Table1[[#This Row],[ActualWinner]]=Table1[[#This Row],[HomeTeam]], 1, 0))</f>
        <v>0</v>
      </c>
      <c r="AJ999" s="64">
        <f>IF(INDEX(Standings!$A$2:$C$33,MATCH(Table1[[#This Row],[AwayTeam]],Standings!$A$2:$A$33,0),2)=INDEX(Standings!$A$2:$C$33,MATCH(Table1[[#This Row],[HomeTeam]],Standings!$A$2:$A$33,0),2),1,0)</f>
        <v>0</v>
      </c>
      <c r="AK999" s="64">
        <f>IF(INDEX(Standings!$A$2:$C$33,MATCH(Table1[[#This Row],[AwayTeam]],Standings!$A$2:$A$33,0),3)=INDEX(Standings!$A$2:$C$33,MATCH(Table1[[#This Row],[HomeTeam]],Standings!$A$2:$A$33,0),3),1,0)</f>
        <v>0</v>
      </c>
      <c r="AL999" s="64">
        <f>IF(Table1[[#This Row],[InterConf]]=1,IF(Table1[[#This Row],[InterDiv]]=0, 1, 0), 0)</f>
        <v>0</v>
      </c>
      <c r="AM999" s="64">
        <f>IF(INDEX(Standings!$A$2:$C$33,MATCH(Table1[[#This Row],[AwayTeam]],Standings!$A$2:$A$33,0),2)&lt;&gt;INDEX(Standings!$A$2:$C$33,MATCH(Table1[[#This Row],[HomeTeam]],Standings!$A$2:$A$33,0),2),1,0)</f>
        <v>1</v>
      </c>
      <c r="AN999" s="64" t="str">
        <f>INDEX(Table2[AWAY_RECORD], MATCH(Table1[[#This Row],[AwayTeam]],Table2[Team], 0), 0)</f>
        <v>0-0-1</v>
      </c>
      <c r="AO999" s="64" t="str">
        <f>INDEX(Records!$B$2:$AG$33, MATCH(Table1[[#This Row],[AwayTeam]],Records!$A$2:$A$33, 0), MATCH(Table1[[#This Row],[HomeTeam]],Records!$A$2:$A$33, 0))</f>
        <v>0-0-0</v>
      </c>
      <c r="AP999" s="64" t="str">
        <f>INDEX(Table2[HOME_RECORD], MATCH(Table1[[#This Row],[HomeTeam]],Table2[Team], 0), 0)</f>
        <v>0-0-0</v>
      </c>
      <c r="AQ999" s="64" t="str">
        <f>INDEX(Records!$B$2:$AG$33, MATCH(Table1[[#This Row],[HomeTeam]],Records!$A$2:$A$33, 0), MATCH(Table1[[#This Row],[AwayTeam]],Records!$A$2:$A$33, 0))</f>
        <v>0-0-0</v>
      </c>
    </row>
    <row r="1000" spans="1:43" x14ac:dyDescent="0.25">
      <c r="A1000" s="1"/>
      <c r="D1000" t="s">
        <v>1327</v>
      </c>
      <c r="E1000" t="s">
        <v>162</v>
      </c>
      <c r="F1000" t="s">
        <v>1328</v>
      </c>
      <c r="G1000" t="s">
        <v>38</v>
      </c>
      <c r="H1000" t="s">
        <v>53</v>
      </c>
      <c r="L100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0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00" s="1"/>
      <c r="T1000" s="64" t="str">
        <f>IF(Table1[[#This Row],[ActualWinner]]="", "", IF(Table1[[#This Row],[AwayTeam]]=Table1[[#This Row],[ActualWinner]],Table1[[#This Row],[HomeTeam]],Table1[[#This Row],[AwayTeam]]))</f>
        <v/>
      </c>
      <c r="U1000" s="64">
        <f>Table1[[#This Row],[ActualAwayScore]]-Table1[[#This Row],[PredictedAwayScore]]</f>
        <v>0</v>
      </c>
      <c r="V1000" s="64">
        <f>Table1[[#This Row],[ActualHomeScore]]-Table1[[#This Row],[PredictedHomeScore]]</f>
        <v>0</v>
      </c>
      <c r="W1000" s="64">
        <f>(0.8*IF(Table1[[#This Row],[CorrectWinnerPrediction]]=1, 1, 0))+(0.1*IF(Table1[[#This Row],[CorrectAwayScorePrediction]]=1, 1, 0))+(0.1*IF(Table1[[#This Row],[CorrectHomeScorePrediction]]=1, 1, 0))</f>
        <v>0</v>
      </c>
      <c r="X100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00" s="64">
        <f>SUMIF(Table1[GameDate], Table1[[#This Row],[GameDate]], Table1[AwayGameGoalDiff])</f>
        <v>0</v>
      </c>
      <c r="AA1000" s="64">
        <f>SUMIF(Table1[GameDate], Table1[[#This Row],[GameDate]], Table1[HomeGameGoalDiff])</f>
        <v>0</v>
      </c>
      <c r="AB1000" s="64">
        <f>IF(ISBLANK(Table1[[#This Row],[ActualResult]]), 0, 1)</f>
        <v>0</v>
      </c>
      <c r="AC1000" s="64">
        <f>IF(ISBLANK(Table1[[#This Row],[ActualResult]]), 0, IF(Table1[[#This Row],[ActualWinner]]=Table1[[#This Row],[PredictedWinner]], 1, 0))</f>
        <v>0</v>
      </c>
      <c r="AD100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0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00" s="64">
        <f>IF(AND(Table1[[#This Row],[GameIsOver]]=1,Table1[[#This Row],[ActualAwayScore]]=0), 1,0)</f>
        <v>0</v>
      </c>
      <c r="AG1000" s="64">
        <f>IF(AND(Table1[[#This Row],[GameIsOver]]=1,Table1[[#This Row],[ActualHomeScore]]=0), 1,0)</f>
        <v>0</v>
      </c>
      <c r="AH1000" s="64">
        <f>IF(Table1[[#This Row],[GameIsOver]]=0,0,IF(Table1[[#This Row],[ActualWinner]]=Table1[[#This Row],[AwayTeam]], 1, 0))</f>
        <v>0</v>
      </c>
      <c r="AI1000" s="64">
        <f>IF(Table1[[#This Row],[GameIsOver]]=0,0,IF(Table1[[#This Row],[ActualWinner]]=Table1[[#This Row],[HomeTeam]], 1, 0))</f>
        <v>0</v>
      </c>
      <c r="AJ1000" s="64">
        <f>IF(INDEX(Standings!$A$2:$C$33,MATCH(Table1[[#This Row],[AwayTeam]],Standings!$A$2:$A$33,0),2)=INDEX(Standings!$A$2:$C$33,MATCH(Table1[[#This Row],[HomeTeam]],Standings!$A$2:$A$33,0),2),1,0)</f>
        <v>1</v>
      </c>
      <c r="AK1000" s="64">
        <f>IF(INDEX(Standings!$A$2:$C$33,MATCH(Table1[[#This Row],[AwayTeam]],Standings!$A$2:$A$33,0),3)=INDEX(Standings!$A$2:$C$33,MATCH(Table1[[#This Row],[HomeTeam]],Standings!$A$2:$A$33,0),3),1,0)</f>
        <v>0</v>
      </c>
      <c r="AL1000" s="64">
        <f>IF(Table1[[#This Row],[InterConf]]=1,IF(Table1[[#This Row],[InterDiv]]=0, 1, 0), 0)</f>
        <v>1</v>
      </c>
      <c r="AM1000" s="64">
        <f>IF(INDEX(Standings!$A$2:$C$33,MATCH(Table1[[#This Row],[AwayTeam]],Standings!$A$2:$A$33,0),2)&lt;&gt;INDEX(Standings!$A$2:$C$33,MATCH(Table1[[#This Row],[HomeTeam]],Standings!$A$2:$A$33,0),2),1,0)</f>
        <v>0</v>
      </c>
      <c r="AN1000" s="64" t="str">
        <f>INDEX(Table2[AWAY_RECORD], MATCH(Table1[[#This Row],[AwayTeam]],Table2[Team], 0), 0)</f>
        <v>0-0-1</v>
      </c>
      <c r="AO1000" s="64" t="str">
        <f>INDEX(Records!$B$2:$AG$33, MATCH(Table1[[#This Row],[AwayTeam]],Records!$A$2:$A$33, 0), MATCH(Table1[[#This Row],[HomeTeam]],Records!$A$2:$A$33, 0))</f>
        <v>0-0-0</v>
      </c>
      <c r="AP1000" s="64" t="str">
        <f>INDEX(Table2[HOME_RECORD], MATCH(Table1[[#This Row],[HomeTeam]],Table2[Team], 0), 0)</f>
        <v>1-0-0</v>
      </c>
      <c r="AQ1000" s="64" t="str">
        <f>INDEX(Records!$B$2:$AG$33, MATCH(Table1[[#This Row],[HomeTeam]],Records!$A$2:$A$33, 0), MATCH(Table1[[#This Row],[AwayTeam]],Records!$A$2:$A$33, 0))</f>
        <v>0-0-0</v>
      </c>
    </row>
    <row r="1001" spans="1:43" x14ac:dyDescent="0.25">
      <c r="A1001" s="1"/>
      <c r="D1001" t="s">
        <v>1327</v>
      </c>
      <c r="E1001" t="s">
        <v>178</v>
      </c>
      <c r="F1001" t="s">
        <v>1329</v>
      </c>
      <c r="G1001" t="s">
        <v>39</v>
      </c>
      <c r="H1001" t="s">
        <v>58</v>
      </c>
      <c r="L100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0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01" s="1"/>
      <c r="T1001" s="64" t="str">
        <f>IF(Table1[[#This Row],[ActualWinner]]="", "", IF(Table1[[#This Row],[AwayTeam]]=Table1[[#This Row],[ActualWinner]],Table1[[#This Row],[HomeTeam]],Table1[[#This Row],[AwayTeam]]))</f>
        <v/>
      </c>
      <c r="U1001" s="64">
        <f>Table1[[#This Row],[ActualAwayScore]]-Table1[[#This Row],[PredictedAwayScore]]</f>
        <v>0</v>
      </c>
      <c r="V1001" s="64">
        <f>Table1[[#This Row],[ActualHomeScore]]-Table1[[#This Row],[PredictedHomeScore]]</f>
        <v>0</v>
      </c>
      <c r="W1001" s="64">
        <f>(0.8*IF(Table1[[#This Row],[CorrectWinnerPrediction]]=1, 1, 0))+(0.1*IF(Table1[[#This Row],[CorrectAwayScorePrediction]]=1, 1, 0))+(0.1*IF(Table1[[#This Row],[CorrectHomeScorePrediction]]=1, 1, 0))</f>
        <v>0</v>
      </c>
      <c r="X100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01" s="64">
        <f>SUMIF(Table1[GameDate], Table1[[#This Row],[GameDate]], Table1[AwayGameGoalDiff])</f>
        <v>0</v>
      </c>
      <c r="AA1001" s="64">
        <f>SUMIF(Table1[GameDate], Table1[[#This Row],[GameDate]], Table1[HomeGameGoalDiff])</f>
        <v>0</v>
      </c>
      <c r="AB1001" s="64">
        <f>IF(ISBLANK(Table1[[#This Row],[ActualResult]]), 0, 1)</f>
        <v>0</v>
      </c>
      <c r="AC1001" s="64">
        <f>IF(ISBLANK(Table1[[#This Row],[ActualResult]]), 0, IF(Table1[[#This Row],[ActualWinner]]=Table1[[#This Row],[PredictedWinner]], 1, 0))</f>
        <v>0</v>
      </c>
      <c r="AD100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0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01" s="64">
        <f>IF(AND(Table1[[#This Row],[GameIsOver]]=1,Table1[[#This Row],[ActualAwayScore]]=0), 1,0)</f>
        <v>0</v>
      </c>
      <c r="AG1001" s="64">
        <f>IF(AND(Table1[[#This Row],[GameIsOver]]=1,Table1[[#This Row],[ActualHomeScore]]=0), 1,0)</f>
        <v>0</v>
      </c>
      <c r="AH1001" s="64">
        <f>IF(Table1[[#This Row],[GameIsOver]]=0,0,IF(Table1[[#This Row],[ActualWinner]]=Table1[[#This Row],[AwayTeam]], 1, 0))</f>
        <v>0</v>
      </c>
      <c r="AI1001" s="64">
        <f>IF(Table1[[#This Row],[GameIsOver]]=0,0,IF(Table1[[#This Row],[ActualWinner]]=Table1[[#This Row],[HomeTeam]], 1, 0))</f>
        <v>0</v>
      </c>
      <c r="AJ1001" s="64">
        <f>IF(INDEX(Standings!$A$2:$C$33,MATCH(Table1[[#This Row],[AwayTeam]],Standings!$A$2:$A$33,0),2)=INDEX(Standings!$A$2:$C$33,MATCH(Table1[[#This Row],[HomeTeam]],Standings!$A$2:$A$33,0),2),1,0)</f>
        <v>1</v>
      </c>
      <c r="AK1001" s="64">
        <f>IF(INDEX(Standings!$A$2:$C$33,MATCH(Table1[[#This Row],[AwayTeam]],Standings!$A$2:$A$33,0),3)=INDEX(Standings!$A$2:$C$33,MATCH(Table1[[#This Row],[HomeTeam]],Standings!$A$2:$A$33,0),3),1,0)</f>
        <v>0</v>
      </c>
      <c r="AL1001" s="64">
        <f>IF(Table1[[#This Row],[InterConf]]=1,IF(Table1[[#This Row],[InterDiv]]=0, 1, 0), 0)</f>
        <v>1</v>
      </c>
      <c r="AM1001" s="64">
        <f>IF(INDEX(Standings!$A$2:$C$33,MATCH(Table1[[#This Row],[AwayTeam]],Standings!$A$2:$A$33,0),2)&lt;&gt;INDEX(Standings!$A$2:$C$33,MATCH(Table1[[#This Row],[HomeTeam]],Standings!$A$2:$A$33,0),2),1,0)</f>
        <v>0</v>
      </c>
      <c r="AN1001" s="64" t="str">
        <f>INDEX(Table2[AWAY_RECORD], MATCH(Table1[[#This Row],[AwayTeam]],Table2[Team], 0), 0)</f>
        <v>0-0-0</v>
      </c>
      <c r="AO1001" s="64" t="str">
        <f>INDEX(Records!$B$2:$AG$33, MATCH(Table1[[#This Row],[AwayTeam]],Records!$A$2:$A$33, 0), MATCH(Table1[[#This Row],[HomeTeam]],Records!$A$2:$A$33, 0))</f>
        <v>0-0-0</v>
      </c>
      <c r="AP1001" s="64" t="str">
        <f>INDEX(Table2[HOME_RECORD], MATCH(Table1[[#This Row],[HomeTeam]],Table2[Team], 0), 0)</f>
        <v>1-0-0</v>
      </c>
      <c r="AQ1001" s="64" t="str">
        <f>INDEX(Records!$B$2:$AG$33, MATCH(Table1[[#This Row],[HomeTeam]],Records!$A$2:$A$33, 0), MATCH(Table1[[#This Row],[AwayTeam]],Records!$A$2:$A$33, 0))</f>
        <v>0-0-0</v>
      </c>
    </row>
    <row r="1002" spans="1:43" x14ac:dyDescent="0.25">
      <c r="A1002" s="1"/>
      <c r="D1002" t="s">
        <v>1327</v>
      </c>
      <c r="E1002" t="s">
        <v>166</v>
      </c>
      <c r="F1002" t="s">
        <v>1330</v>
      </c>
      <c r="G1002" t="s">
        <v>17</v>
      </c>
      <c r="H1002" t="s">
        <v>25</v>
      </c>
      <c r="L100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0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02" s="1"/>
      <c r="T1002" s="64" t="str">
        <f>IF(Table1[[#This Row],[ActualWinner]]="", "", IF(Table1[[#This Row],[AwayTeam]]=Table1[[#This Row],[ActualWinner]],Table1[[#This Row],[HomeTeam]],Table1[[#This Row],[AwayTeam]]))</f>
        <v/>
      </c>
      <c r="U1002" s="64">
        <f>Table1[[#This Row],[ActualAwayScore]]-Table1[[#This Row],[PredictedAwayScore]]</f>
        <v>0</v>
      </c>
      <c r="V1002" s="64">
        <f>Table1[[#This Row],[ActualHomeScore]]-Table1[[#This Row],[PredictedHomeScore]]</f>
        <v>0</v>
      </c>
      <c r="W1002" s="64">
        <f>(0.8*IF(Table1[[#This Row],[CorrectWinnerPrediction]]=1, 1, 0))+(0.1*IF(Table1[[#This Row],[CorrectAwayScorePrediction]]=1, 1, 0))+(0.1*IF(Table1[[#This Row],[CorrectHomeScorePrediction]]=1, 1, 0))</f>
        <v>0</v>
      </c>
      <c r="X100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02" s="64">
        <f>SUMIF(Table1[GameDate], Table1[[#This Row],[GameDate]], Table1[AwayGameGoalDiff])</f>
        <v>0</v>
      </c>
      <c r="AA1002" s="64">
        <f>SUMIF(Table1[GameDate], Table1[[#This Row],[GameDate]], Table1[HomeGameGoalDiff])</f>
        <v>0</v>
      </c>
      <c r="AB1002" s="64">
        <f>IF(ISBLANK(Table1[[#This Row],[ActualResult]]), 0, 1)</f>
        <v>0</v>
      </c>
      <c r="AC1002" s="64">
        <f>IF(ISBLANK(Table1[[#This Row],[ActualResult]]), 0, IF(Table1[[#This Row],[ActualWinner]]=Table1[[#This Row],[PredictedWinner]], 1, 0))</f>
        <v>0</v>
      </c>
      <c r="AD100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0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02" s="64">
        <f>IF(AND(Table1[[#This Row],[GameIsOver]]=1,Table1[[#This Row],[ActualAwayScore]]=0), 1,0)</f>
        <v>0</v>
      </c>
      <c r="AG1002" s="64">
        <f>IF(AND(Table1[[#This Row],[GameIsOver]]=1,Table1[[#This Row],[ActualHomeScore]]=0), 1,0)</f>
        <v>0</v>
      </c>
      <c r="AH1002" s="64">
        <f>IF(Table1[[#This Row],[GameIsOver]]=0,0,IF(Table1[[#This Row],[ActualWinner]]=Table1[[#This Row],[AwayTeam]], 1, 0))</f>
        <v>0</v>
      </c>
      <c r="AI1002" s="64">
        <f>IF(Table1[[#This Row],[GameIsOver]]=0,0,IF(Table1[[#This Row],[ActualWinner]]=Table1[[#This Row],[HomeTeam]], 1, 0))</f>
        <v>0</v>
      </c>
      <c r="AJ1002" s="64">
        <f>IF(INDEX(Standings!$A$2:$C$33,MATCH(Table1[[#This Row],[AwayTeam]],Standings!$A$2:$A$33,0),2)=INDEX(Standings!$A$2:$C$33,MATCH(Table1[[#This Row],[HomeTeam]],Standings!$A$2:$A$33,0),2),1,0)</f>
        <v>0</v>
      </c>
      <c r="AK1002" s="64">
        <f>IF(INDEX(Standings!$A$2:$C$33,MATCH(Table1[[#This Row],[AwayTeam]],Standings!$A$2:$A$33,0),3)=INDEX(Standings!$A$2:$C$33,MATCH(Table1[[#This Row],[HomeTeam]],Standings!$A$2:$A$33,0),3),1,0)</f>
        <v>0</v>
      </c>
      <c r="AL1002" s="64">
        <f>IF(Table1[[#This Row],[InterConf]]=1,IF(Table1[[#This Row],[InterDiv]]=0, 1, 0), 0)</f>
        <v>0</v>
      </c>
      <c r="AM1002" s="64">
        <f>IF(INDEX(Standings!$A$2:$C$33,MATCH(Table1[[#This Row],[AwayTeam]],Standings!$A$2:$A$33,0),2)&lt;&gt;INDEX(Standings!$A$2:$C$33,MATCH(Table1[[#This Row],[HomeTeam]],Standings!$A$2:$A$33,0),2),1,0)</f>
        <v>1</v>
      </c>
      <c r="AN1002" s="64" t="str">
        <f>INDEX(Table2[AWAY_RECORD], MATCH(Table1[[#This Row],[AwayTeam]],Table2[Team], 0), 0)</f>
        <v>2-0-0</v>
      </c>
      <c r="AO1002" s="64" t="str">
        <f>INDEX(Records!$B$2:$AG$33, MATCH(Table1[[#This Row],[AwayTeam]],Records!$A$2:$A$33, 0), MATCH(Table1[[#This Row],[HomeTeam]],Records!$A$2:$A$33, 0))</f>
        <v>0-0-0</v>
      </c>
      <c r="AP1002" s="64" t="str">
        <f>INDEX(Table2[HOME_RECORD], MATCH(Table1[[#This Row],[HomeTeam]],Table2[Team], 0), 0)</f>
        <v>0-0-1</v>
      </c>
      <c r="AQ1002" s="64" t="str">
        <f>INDEX(Records!$B$2:$AG$33, MATCH(Table1[[#This Row],[HomeTeam]],Records!$A$2:$A$33, 0), MATCH(Table1[[#This Row],[AwayTeam]],Records!$A$2:$A$33, 0))</f>
        <v>0-0-0</v>
      </c>
    </row>
    <row r="1003" spans="1:43" x14ac:dyDescent="0.25">
      <c r="A1003" s="1"/>
      <c r="D1003" t="s">
        <v>1331</v>
      </c>
      <c r="E1003" t="s">
        <v>298</v>
      </c>
      <c r="F1003" t="s">
        <v>1332</v>
      </c>
      <c r="G1003" t="s">
        <v>56</v>
      </c>
      <c r="H1003" t="s">
        <v>36</v>
      </c>
      <c r="L100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0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03" s="1"/>
      <c r="T1003" s="64" t="str">
        <f>IF(Table1[[#This Row],[ActualWinner]]="", "", IF(Table1[[#This Row],[AwayTeam]]=Table1[[#This Row],[ActualWinner]],Table1[[#This Row],[HomeTeam]],Table1[[#This Row],[AwayTeam]]))</f>
        <v/>
      </c>
      <c r="U1003" s="64">
        <f>Table1[[#This Row],[ActualAwayScore]]-Table1[[#This Row],[PredictedAwayScore]]</f>
        <v>0</v>
      </c>
      <c r="V1003" s="64">
        <f>Table1[[#This Row],[ActualHomeScore]]-Table1[[#This Row],[PredictedHomeScore]]</f>
        <v>0</v>
      </c>
      <c r="W1003" s="64">
        <f>(0.8*IF(Table1[[#This Row],[CorrectWinnerPrediction]]=1, 1, 0))+(0.1*IF(Table1[[#This Row],[CorrectAwayScorePrediction]]=1, 1, 0))+(0.1*IF(Table1[[#This Row],[CorrectHomeScorePrediction]]=1, 1, 0))</f>
        <v>0</v>
      </c>
      <c r="X100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03" s="64">
        <f>SUMIF(Table1[GameDate], Table1[[#This Row],[GameDate]], Table1[AwayGameGoalDiff])</f>
        <v>0</v>
      </c>
      <c r="AA1003" s="64">
        <f>SUMIF(Table1[GameDate], Table1[[#This Row],[GameDate]], Table1[HomeGameGoalDiff])</f>
        <v>0</v>
      </c>
      <c r="AB1003" s="64">
        <f>IF(ISBLANK(Table1[[#This Row],[ActualResult]]), 0, 1)</f>
        <v>0</v>
      </c>
      <c r="AC1003" s="64">
        <f>IF(ISBLANK(Table1[[#This Row],[ActualResult]]), 0, IF(Table1[[#This Row],[ActualWinner]]=Table1[[#This Row],[PredictedWinner]], 1, 0))</f>
        <v>0</v>
      </c>
      <c r="AD100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0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03" s="64">
        <f>IF(AND(Table1[[#This Row],[GameIsOver]]=1,Table1[[#This Row],[ActualAwayScore]]=0), 1,0)</f>
        <v>0</v>
      </c>
      <c r="AG1003" s="64">
        <f>IF(AND(Table1[[#This Row],[GameIsOver]]=1,Table1[[#This Row],[ActualHomeScore]]=0), 1,0)</f>
        <v>0</v>
      </c>
      <c r="AH1003" s="64">
        <f>IF(Table1[[#This Row],[GameIsOver]]=0,0,IF(Table1[[#This Row],[ActualWinner]]=Table1[[#This Row],[AwayTeam]], 1, 0))</f>
        <v>0</v>
      </c>
      <c r="AI1003" s="64">
        <f>IF(Table1[[#This Row],[GameIsOver]]=0,0,IF(Table1[[#This Row],[ActualWinner]]=Table1[[#This Row],[HomeTeam]], 1, 0))</f>
        <v>0</v>
      </c>
      <c r="AJ1003" s="64">
        <f>IF(INDEX(Standings!$A$2:$C$33,MATCH(Table1[[#This Row],[AwayTeam]],Standings!$A$2:$A$33,0),2)=INDEX(Standings!$A$2:$C$33,MATCH(Table1[[#This Row],[HomeTeam]],Standings!$A$2:$A$33,0),2),1,0)</f>
        <v>1</v>
      </c>
      <c r="AK1003" s="64">
        <f>IF(INDEX(Standings!$A$2:$C$33,MATCH(Table1[[#This Row],[AwayTeam]],Standings!$A$2:$A$33,0),3)=INDEX(Standings!$A$2:$C$33,MATCH(Table1[[#This Row],[HomeTeam]],Standings!$A$2:$A$33,0),3),1,0)</f>
        <v>1</v>
      </c>
      <c r="AL1003" s="64">
        <f>IF(Table1[[#This Row],[InterConf]]=1,IF(Table1[[#This Row],[InterDiv]]=0, 1, 0), 0)</f>
        <v>0</v>
      </c>
      <c r="AM1003" s="64">
        <f>IF(INDEX(Standings!$A$2:$C$33,MATCH(Table1[[#This Row],[AwayTeam]],Standings!$A$2:$A$33,0),2)&lt;&gt;INDEX(Standings!$A$2:$C$33,MATCH(Table1[[#This Row],[HomeTeam]],Standings!$A$2:$A$33,0),2),1,0)</f>
        <v>0</v>
      </c>
      <c r="AN1003" s="64" t="str">
        <f>INDEX(Table2[AWAY_RECORD], MATCH(Table1[[#This Row],[AwayTeam]],Table2[Team], 0), 0)</f>
        <v>1-0-0</v>
      </c>
      <c r="AO1003" s="64" t="str">
        <f>INDEX(Records!$B$2:$AG$33, MATCH(Table1[[#This Row],[AwayTeam]],Records!$A$2:$A$33, 0), MATCH(Table1[[#This Row],[HomeTeam]],Records!$A$2:$A$33, 0))</f>
        <v>0-0-0</v>
      </c>
      <c r="AP1003" s="64" t="str">
        <f>INDEX(Table2[HOME_RECORD], MATCH(Table1[[#This Row],[HomeTeam]],Table2[Team], 0), 0)</f>
        <v>0-0-0</v>
      </c>
      <c r="AQ1003" s="64" t="str">
        <f>INDEX(Records!$B$2:$AG$33, MATCH(Table1[[#This Row],[HomeTeam]],Records!$A$2:$A$33, 0), MATCH(Table1[[#This Row],[AwayTeam]],Records!$A$2:$A$33, 0))</f>
        <v>0-0-0</v>
      </c>
    </row>
    <row r="1004" spans="1:43" x14ac:dyDescent="0.25">
      <c r="A1004" s="1"/>
      <c r="D1004" t="s">
        <v>1331</v>
      </c>
      <c r="E1004" t="s">
        <v>298</v>
      </c>
      <c r="F1004" t="s">
        <v>1333</v>
      </c>
      <c r="G1004" t="s">
        <v>47</v>
      </c>
      <c r="H1004" t="s">
        <v>46</v>
      </c>
      <c r="L100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0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04" s="1"/>
      <c r="T1004" s="64" t="str">
        <f>IF(Table1[[#This Row],[ActualWinner]]="", "", IF(Table1[[#This Row],[AwayTeam]]=Table1[[#This Row],[ActualWinner]],Table1[[#This Row],[HomeTeam]],Table1[[#This Row],[AwayTeam]]))</f>
        <v/>
      </c>
      <c r="U1004" s="64">
        <f>Table1[[#This Row],[ActualAwayScore]]-Table1[[#This Row],[PredictedAwayScore]]</f>
        <v>0</v>
      </c>
      <c r="V1004" s="64">
        <f>Table1[[#This Row],[ActualHomeScore]]-Table1[[#This Row],[PredictedHomeScore]]</f>
        <v>0</v>
      </c>
      <c r="W1004" s="64">
        <f>(0.8*IF(Table1[[#This Row],[CorrectWinnerPrediction]]=1, 1, 0))+(0.1*IF(Table1[[#This Row],[CorrectAwayScorePrediction]]=1, 1, 0))+(0.1*IF(Table1[[#This Row],[CorrectHomeScorePrediction]]=1, 1, 0))</f>
        <v>0</v>
      </c>
      <c r="X100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04" s="64">
        <f>SUMIF(Table1[GameDate], Table1[[#This Row],[GameDate]], Table1[AwayGameGoalDiff])</f>
        <v>0</v>
      </c>
      <c r="AA1004" s="64">
        <f>SUMIF(Table1[GameDate], Table1[[#This Row],[GameDate]], Table1[HomeGameGoalDiff])</f>
        <v>0</v>
      </c>
      <c r="AB1004" s="64">
        <f>IF(ISBLANK(Table1[[#This Row],[ActualResult]]), 0, 1)</f>
        <v>0</v>
      </c>
      <c r="AC1004" s="64">
        <f>IF(ISBLANK(Table1[[#This Row],[ActualResult]]), 0, IF(Table1[[#This Row],[ActualWinner]]=Table1[[#This Row],[PredictedWinner]], 1, 0))</f>
        <v>0</v>
      </c>
      <c r="AD100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0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04" s="64">
        <f>IF(AND(Table1[[#This Row],[GameIsOver]]=1,Table1[[#This Row],[ActualAwayScore]]=0), 1,0)</f>
        <v>0</v>
      </c>
      <c r="AG1004" s="64">
        <f>IF(AND(Table1[[#This Row],[GameIsOver]]=1,Table1[[#This Row],[ActualHomeScore]]=0), 1,0)</f>
        <v>0</v>
      </c>
      <c r="AH1004" s="64">
        <f>IF(Table1[[#This Row],[GameIsOver]]=0,0,IF(Table1[[#This Row],[ActualWinner]]=Table1[[#This Row],[AwayTeam]], 1, 0))</f>
        <v>0</v>
      </c>
      <c r="AI1004" s="64">
        <f>IF(Table1[[#This Row],[GameIsOver]]=0,0,IF(Table1[[#This Row],[ActualWinner]]=Table1[[#This Row],[HomeTeam]], 1, 0))</f>
        <v>0</v>
      </c>
      <c r="AJ1004" s="64">
        <f>IF(INDEX(Standings!$A$2:$C$33,MATCH(Table1[[#This Row],[AwayTeam]],Standings!$A$2:$A$33,0),2)=INDEX(Standings!$A$2:$C$33,MATCH(Table1[[#This Row],[HomeTeam]],Standings!$A$2:$A$33,0),2),1,0)</f>
        <v>0</v>
      </c>
      <c r="AK1004" s="64">
        <f>IF(INDEX(Standings!$A$2:$C$33,MATCH(Table1[[#This Row],[AwayTeam]],Standings!$A$2:$A$33,0),3)=INDEX(Standings!$A$2:$C$33,MATCH(Table1[[#This Row],[HomeTeam]],Standings!$A$2:$A$33,0),3),1,0)</f>
        <v>0</v>
      </c>
      <c r="AL1004" s="64">
        <f>IF(Table1[[#This Row],[InterConf]]=1,IF(Table1[[#This Row],[InterDiv]]=0, 1, 0), 0)</f>
        <v>0</v>
      </c>
      <c r="AM1004" s="64">
        <f>IF(INDEX(Standings!$A$2:$C$33,MATCH(Table1[[#This Row],[AwayTeam]],Standings!$A$2:$A$33,0),2)&lt;&gt;INDEX(Standings!$A$2:$C$33,MATCH(Table1[[#This Row],[HomeTeam]],Standings!$A$2:$A$33,0),2),1,0)</f>
        <v>1</v>
      </c>
      <c r="AN1004" s="64" t="str">
        <f>INDEX(Table2[AWAY_RECORD], MATCH(Table1[[#This Row],[AwayTeam]],Table2[Team], 0), 0)</f>
        <v>1-0-0</v>
      </c>
      <c r="AO1004" s="64" t="str">
        <f>INDEX(Records!$B$2:$AG$33, MATCH(Table1[[#This Row],[AwayTeam]],Records!$A$2:$A$33, 0), MATCH(Table1[[#This Row],[HomeTeam]],Records!$A$2:$A$33, 0))</f>
        <v>0-0-0</v>
      </c>
      <c r="AP1004" s="64" t="str">
        <f>INDEX(Table2[HOME_RECORD], MATCH(Table1[[#This Row],[HomeTeam]],Table2[Team], 0), 0)</f>
        <v>0-0-0</v>
      </c>
      <c r="AQ1004" s="64" t="str">
        <f>INDEX(Records!$B$2:$AG$33, MATCH(Table1[[#This Row],[HomeTeam]],Records!$A$2:$A$33, 0), MATCH(Table1[[#This Row],[AwayTeam]],Records!$A$2:$A$33, 0))</f>
        <v>0-0-0</v>
      </c>
    </row>
    <row r="1005" spans="1:43" x14ac:dyDescent="0.25">
      <c r="A1005" s="1"/>
      <c r="D1005" t="s">
        <v>1331</v>
      </c>
      <c r="E1005" t="s">
        <v>162</v>
      </c>
      <c r="F1005" t="s">
        <v>1334</v>
      </c>
      <c r="G1005" t="s">
        <v>44</v>
      </c>
      <c r="H1005" t="s">
        <v>52</v>
      </c>
      <c r="L100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0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05" s="1"/>
      <c r="T1005" s="64" t="str">
        <f>IF(Table1[[#This Row],[ActualWinner]]="", "", IF(Table1[[#This Row],[AwayTeam]]=Table1[[#This Row],[ActualWinner]],Table1[[#This Row],[HomeTeam]],Table1[[#This Row],[AwayTeam]]))</f>
        <v/>
      </c>
      <c r="U1005" s="64">
        <f>Table1[[#This Row],[ActualAwayScore]]-Table1[[#This Row],[PredictedAwayScore]]</f>
        <v>0</v>
      </c>
      <c r="V1005" s="64">
        <f>Table1[[#This Row],[ActualHomeScore]]-Table1[[#This Row],[PredictedHomeScore]]</f>
        <v>0</v>
      </c>
      <c r="W1005" s="64">
        <f>(0.8*IF(Table1[[#This Row],[CorrectWinnerPrediction]]=1, 1, 0))+(0.1*IF(Table1[[#This Row],[CorrectAwayScorePrediction]]=1, 1, 0))+(0.1*IF(Table1[[#This Row],[CorrectHomeScorePrediction]]=1, 1, 0))</f>
        <v>0</v>
      </c>
      <c r="X100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05" s="64">
        <f>SUMIF(Table1[GameDate], Table1[[#This Row],[GameDate]], Table1[AwayGameGoalDiff])</f>
        <v>0</v>
      </c>
      <c r="AA1005" s="64">
        <f>SUMIF(Table1[GameDate], Table1[[#This Row],[GameDate]], Table1[HomeGameGoalDiff])</f>
        <v>0</v>
      </c>
      <c r="AB1005" s="64">
        <f>IF(ISBLANK(Table1[[#This Row],[ActualResult]]), 0, 1)</f>
        <v>0</v>
      </c>
      <c r="AC1005" s="64">
        <f>IF(ISBLANK(Table1[[#This Row],[ActualResult]]), 0, IF(Table1[[#This Row],[ActualWinner]]=Table1[[#This Row],[PredictedWinner]], 1, 0))</f>
        <v>0</v>
      </c>
      <c r="AD100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0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05" s="64">
        <f>IF(AND(Table1[[#This Row],[GameIsOver]]=1,Table1[[#This Row],[ActualAwayScore]]=0), 1,0)</f>
        <v>0</v>
      </c>
      <c r="AG1005" s="64">
        <f>IF(AND(Table1[[#This Row],[GameIsOver]]=1,Table1[[#This Row],[ActualHomeScore]]=0), 1,0)</f>
        <v>0</v>
      </c>
      <c r="AH1005" s="64">
        <f>IF(Table1[[#This Row],[GameIsOver]]=0,0,IF(Table1[[#This Row],[ActualWinner]]=Table1[[#This Row],[AwayTeam]], 1, 0))</f>
        <v>0</v>
      </c>
      <c r="AI1005" s="64">
        <f>IF(Table1[[#This Row],[GameIsOver]]=0,0,IF(Table1[[#This Row],[ActualWinner]]=Table1[[#This Row],[HomeTeam]], 1, 0))</f>
        <v>0</v>
      </c>
      <c r="AJ1005" s="64">
        <f>IF(INDEX(Standings!$A$2:$C$33,MATCH(Table1[[#This Row],[AwayTeam]],Standings!$A$2:$A$33,0),2)=INDEX(Standings!$A$2:$C$33,MATCH(Table1[[#This Row],[HomeTeam]],Standings!$A$2:$A$33,0),2),1,0)</f>
        <v>1</v>
      </c>
      <c r="AK1005" s="64">
        <f>IF(INDEX(Standings!$A$2:$C$33,MATCH(Table1[[#This Row],[AwayTeam]],Standings!$A$2:$A$33,0),3)=INDEX(Standings!$A$2:$C$33,MATCH(Table1[[#This Row],[HomeTeam]],Standings!$A$2:$A$33,0),3),1,0)</f>
        <v>1</v>
      </c>
      <c r="AL1005" s="64">
        <f>IF(Table1[[#This Row],[InterConf]]=1,IF(Table1[[#This Row],[InterDiv]]=0, 1, 0), 0)</f>
        <v>0</v>
      </c>
      <c r="AM1005" s="64">
        <f>IF(INDEX(Standings!$A$2:$C$33,MATCH(Table1[[#This Row],[AwayTeam]],Standings!$A$2:$A$33,0),2)&lt;&gt;INDEX(Standings!$A$2:$C$33,MATCH(Table1[[#This Row],[HomeTeam]],Standings!$A$2:$A$33,0),2),1,0)</f>
        <v>0</v>
      </c>
      <c r="AN1005" s="64" t="str">
        <f>INDEX(Table2[AWAY_RECORD], MATCH(Table1[[#This Row],[AwayTeam]],Table2[Team], 0), 0)</f>
        <v>0-0-0</v>
      </c>
      <c r="AO1005" s="64" t="str">
        <f>INDEX(Records!$B$2:$AG$33, MATCH(Table1[[#This Row],[AwayTeam]],Records!$A$2:$A$33, 0), MATCH(Table1[[#This Row],[HomeTeam]],Records!$A$2:$A$33, 0))</f>
        <v>0-0-0</v>
      </c>
      <c r="AP1005" s="64" t="str">
        <f>INDEX(Table2[HOME_RECORD], MATCH(Table1[[#This Row],[HomeTeam]],Table2[Team], 0), 0)</f>
        <v>0-0-0</v>
      </c>
      <c r="AQ1005" s="64" t="str">
        <f>INDEX(Records!$B$2:$AG$33, MATCH(Table1[[#This Row],[HomeTeam]],Records!$A$2:$A$33, 0), MATCH(Table1[[#This Row],[AwayTeam]],Records!$A$2:$A$33, 0))</f>
        <v>0-0-0</v>
      </c>
    </row>
    <row r="1006" spans="1:43" x14ac:dyDescent="0.25">
      <c r="A1006" s="1"/>
      <c r="D1006" t="s">
        <v>1331</v>
      </c>
      <c r="E1006" t="s">
        <v>162</v>
      </c>
      <c r="F1006" t="s">
        <v>1335</v>
      </c>
      <c r="G1006" t="s">
        <v>24</v>
      </c>
      <c r="H1006" t="s">
        <v>54</v>
      </c>
      <c r="L100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0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06" s="1"/>
      <c r="T1006" s="64" t="str">
        <f>IF(Table1[[#This Row],[ActualWinner]]="", "", IF(Table1[[#This Row],[AwayTeam]]=Table1[[#This Row],[ActualWinner]],Table1[[#This Row],[HomeTeam]],Table1[[#This Row],[AwayTeam]]))</f>
        <v/>
      </c>
      <c r="U1006" s="64">
        <f>Table1[[#This Row],[ActualAwayScore]]-Table1[[#This Row],[PredictedAwayScore]]</f>
        <v>0</v>
      </c>
      <c r="V1006" s="64">
        <f>Table1[[#This Row],[ActualHomeScore]]-Table1[[#This Row],[PredictedHomeScore]]</f>
        <v>0</v>
      </c>
      <c r="W1006" s="64">
        <f>(0.8*IF(Table1[[#This Row],[CorrectWinnerPrediction]]=1, 1, 0))+(0.1*IF(Table1[[#This Row],[CorrectAwayScorePrediction]]=1, 1, 0))+(0.1*IF(Table1[[#This Row],[CorrectHomeScorePrediction]]=1, 1, 0))</f>
        <v>0</v>
      </c>
      <c r="X100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06" s="64">
        <f>SUMIF(Table1[GameDate], Table1[[#This Row],[GameDate]], Table1[AwayGameGoalDiff])</f>
        <v>0</v>
      </c>
      <c r="AA1006" s="64">
        <f>SUMIF(Table1[GameDate], Table1[[#This Row],[GameDate]], Table1[HomeGameGoalDiff])</f>
        <v>0</v>
      </c>
      <c r="AB1006" s="64">
        <f>IF(ISBLANK(Table1[[#This Row],[ActualResult]]), 0, 1)</f>
        <v>0</v>
      </c>
      <c r="AC1006" s="64">
        <f>IF(ISBLANK(Table1[[#This Row],[ActualResult]]), 0, IF(Table1[[#This Row],[ActualWinner]]=Table1[[#This Row],[PredictedWinner]], 1, 0))</f>
        <v>0</v>
      </c>
      <c r="AD100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0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06" s="64">
        <f>IF(AND(Table1[[#This Row],[GameIsOver]]=1,Table1[[#This Row],[ActualAwayScore]]=0), 1,0)</f>
        <v>0</v>
      </c>
      <c r="AG1006" s="64">
        <f>IF(AND(Table1[[#This Row],[GameIsOver]]=1,Table1[[#This Row],[ActualHomeScore]]=0), 1,0)</f>
        <v>0</v>
      </c>
      <c r="AH1006" s="64">
        <f>IF(Table1[[#This Row],[GameIsOver]]=0,0,IF(Table1[[#This Row],[ActualWinner]]=Table1[[#This Row],[AwayTeam]], 1, 0))</f>
        <v>0</v>
      </c>
      <c r="AI1006" s="64">
        <f>IF(Table1[[#This Row],[GameIsOver]]=0,0,IF(Table1[[#This Row],[ActualWinner]]=Table1[[#This Row],[HomeTeam]], 1, 0))</f>
        <v>0</v>
      </c>
      <c r="AJ1006" s="64">
        <f>IF(INDEX(Standings!$A$2:$C$33,MATCH(Table1[[#This Row],[AwayTeam]],Standings!$A$2:$A$33,0),2)=INDEX(Standings!$A$2:$C$33,MATCH(Table1[[#This Row],[HomeTeam]],Standings!$A$2:$A$33,0),2),1,0)</f>
        <v>1</v>
      </c>
      <c r="AK1006" s="64">
        <f>IF(INDEX(Standings!$A$2:$C$33,MATCH(Table1[[#This Row],[AwayTeam]],Standings!$A$2:$A$33,0),3)=INDEX(Standings!$A$2:$C$33,MATCH(Table1[[#This Row],[HomeTeam]],Standings!$A$2:$A$33,0),3),1,0)</f>
        <v>0</v>
      </c>
      <c r="AL1006" s="64">
        <f>IF(Table1[[#This Row],[InterConf]]=1,IF(Table1[[#This Row],[InterDiv]]=0, 1, 0), 0)</f>
        <v>1</v>
      </c>
      <c r="AM1006" s="64">
        <f>IF(INDEX(Standings!$A$2:$C$33,MATCH(Table1[[#This Row],[AwayTeam]],Standings!$A$2:$A$33,0),2)&lt;&gt;INDEX(Standings!$A$2:$C$33,MATCH(Table1[[#This Row],[HomeTeam]],Standings!$A$2:$A$33,0),2),1,0)</f>
        <v>0</v>
      </c>
      <c r="AN1006" s="64" t="str">
        <f>INDEX(Table2[AWAY_RECORD], MATCH(Table1[[#This Row],[AwayTeam]],Table2[Team], 0), 0)</f>
        <v>0-0-0</v>
      </c>
      <c r="AO1006" s="64" t="str">
        <f>INDEX(Records!$B$2:$AG$33, MATCH(Table1[[#This Row],[AwayTeam]],Records!$A$2:$A$33, 0), MATCH(Table1[[#This Row],[HomeTeam]],Records!$A$2:$A$33, 0))</f>
        <v>0-0-0</v>
      </c>
      <c r="AP1006" s="64" t="str">
        <f>INDEX(Table2[HOME_RECORD], MATCH(Table1[[#This Row],[HomeTeam]],Table2[Team], 0), 0)</f>
        <v>0-0-0</v>
      </c>
      <c r="AQ1006" s="64" t="str">
        <f>INDEX(Records!$B$2:$AG$33, MATCH(Table1[[#This Row],[HomeTeam]],Records!$A$2:$A$33, 0), MATCH(Table1[[#This Row],[AwayTeam]],Records!$A$2:$A$33, 0))</f>
        <v>0-0-0</v>
      </c>
    </row>
    <row r="1007" spans="1:43" x14ac:dyDescent="0.25">
      <c r="A1007" s="1"/>
      <c r="D1007" t="s">
        <v>1331</v>
      </c>
      <c r="E1007" t="s">
        <v>162</v>
      </c>
      <c r="F1007" t="s">
        <v>1336</v>
      </c>
      <c r="G1007" t="s">
        <v>55</v>
      </c>
      <c r="H1007" t="s">
        <v>40</v>
      </c>
      <c r="L100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0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07" s="1"/>
      <c r="T1007" s="64" t="str">
        <f>IF(Table1[[#This Row],[ActualWinner]]="", "", IF(Table1[[#This Row],[AwayTeam]]=Table1[[#This Row],[ActualWinner]],Table1[[#This Row],[HomeTeam]],Table1[[#This Row],[AwayTeam]]))</f>
        <v/>
      </c>
      <c r="U1007" s="64">
        <f>Table1[[#This Row],[ActualAwayScore]]-Table1[[#This Row],[PredictedAwayScore]]</f>
        <v>0</v>
      </c>
      <c r="V1007" s="64">
        <f>Table1[[#This Row],[ActualHomeScore]]-Table1[[#This Row],[PredictedHomeScore]]</f>
        <v>0</v>
      </c>
      <c r="W1007" s="64">
        <f>(0.8*IF(Table1[[#This Row],[CorrectWinnerPrediction]]=1, 1, 0))+(0.1*IF(Table1[[#This Row],[CorrectAwayScorePrediction]]=1, 1, 0))+(0.1*IF(Table1[[#This Row],[CorrectHomeScorePrediction]]=1, 1, 0))</f>
        <v>0</v>
      </c>
      <c r="X100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07" s="64">
        <f>SUMIF(Table1[GameDate], Table1[[#This Row],[GameDate]], Table1[AwayGameGoalDiff])</f>
        <v>0</v>
      </c>
      <c r="AA1007" s="64">
        <f>SUMIF(Table1[GameDate], Table1[[#This Row],[GameDate]], Table1[HomeGameGoalDiff])</f>
        <v>0</v>
      </c>
      <c r="AB1007" s="64">
        <f>IF(ISBLANK(Table1[[#This Row],[ActualResult]]), 0, 1)</f>
        <v>0</v>
      </c>
      <c r="AC1007" s="64">
        <f>IF(ISBLANK(Table1[[#This Row],[ActualResult]]), 0, IF(Table1[[#This Row],[ActualWinner]]=Table1[[#This Row],[PredictedWinner]], 1, 0))</f>
        <v>0</v>
      </c>
      <c r="AD100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0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07" s="64">
        <f>IF(AND(Table1[[#This Row],[GameIsOver]]=1,Table1[[#This Row],[ActualAwayScore]]=0), 1,0)</f>
        <v>0</v>
      </c>
      <c r="AG1007" s="64">
        <f>IF(AND(Table1[[#This Row],[GameIsOver]]=1,Table1[[#This Row],[ActualHomeScore]]=0), 1,0)</f>
        <v>0</v>
      </c>
      <c r="AH1007" s="64">
        <f>IF(Table1[[#This Row],[GameIsOver]]=0,0,IF(Table1[[#This Row],[ActualWinner]]=Table1[[#This Row],[AwayTeam]], 1, 0))</f>
        <v>0</v>
      </c>
      <c r="AI1007" s="64">
        <f>IF(Table1[[#This Row],[GameIsOver]]=0,0,IF(Table1[[#This Row],[ActualWinner]]=Table1[[#This Row],[HomeTeam]], 1, 0))</f>
        <v>0</v>
      </c>
      <c r="AJ1007" s="64">
        <f>IF(INDEX(Standings!$A$2:$C$33,MATCH(Table1[[#This Row],[AwayTeam]],Standings!$A$2:$A$33,0),2)=INDEX(Standings!$A$2:$C$33,MATCH(Table1[[#This Row],[HomeTeam]],Standings!$A$2:$A$33,0),2),1,0)</f>
        <v>0</v>
      </c>
      <c r="AK1007" s="64">
        <f>IF(INDEX(Standings!$A$2:$C$33,MATCH(Table1[[#This Row],[AwayTeam]],Standings!$A$2:$A$33,0),3)=INDEX(Standings!$A$2:$C$33,MATCH(Table1[[#This Row],[HomeTeam]],Standings!$A$2:$A$33,0),3),1,0)</f>
        <v>0</v>
      </c>
      <c r="AL1007" s="64">
        <f>IF(Table1[[#This Row],[InterConf]]=1,IF(Table1[[#This Row],[InterDiv]]=0, 1, 0), 0)</f>
        <v>0</v>
      </c>
      <c r="AM1007" s="64">
        <f>IF(INDEX(Standings!$A$2:$C$33,MATCH(Table1[[#This Row],[AwayTeam]],Standings!$A$2:$A$33,0),2)&lt;&gt;INDEX(Standings!$A$2:$C$33,MATCH(Table1[[#This Row],[HomeTeam]],Standings!$A$2:$A$33,0),2),1,0)</f>
        <v>1</v>
      </c>
      <c r="AN1007" s="64" t="str">
        <f>INDEX(Table2[AWAY_RECORD], MATCH(Table1[[#This Row],[AwayTeam]],Table2[Team], 0), 0)</f>
        <v>0-0-0</v>
      </c>
      <c r="AO1007" s="64" t="str">
        <f>INDEX(Records!$B$2:$AG$33, MATCH(Table1[[#This Row],[AwayTeam]],Records!$A$2:$A$33, 0), MATCH(Table1[[#This Row],[HomeTeam]],Records!$A$2:$A$33, 0))</f>
        <v>0-0-0</v>
      </c>
      <c r="AP1007" s="64" t="str">
        <f>INDEX(Table2[HOME_RECORD], MATCH(Table1[[#This Row],[HomeTeam]],Table2[Team], 0), 0)</f>
        <v>1-1-0</v>
      </c>
      <c r="AQ1007" s="64" t="str">
        <f>INDEX(Records!$B$2:$AG$33, MATCH(Table1[[#This Row],[HomeTeam]],Records!$A$2:$A$33, 0), MATCH(Table1[[#This Row],[AwayTeam]],Records!$A$2:$A$33, 0))</f>
        <v>0-0-0</v>
      </c>
    </row>
    <row r="1008" spans="1:43" x14ac:dyDescent="0.25">
      <c r="A1008" s="1"/>
      <c r="D1008" t="s">
        <v>1331</v>
      </c>
      <c r="E1008" t="s">
        <v>178</v>
      </c>
      <c r="F1008" t="s">
        <v>1337</v>
      </c>
      <c r="G1008" t="s">
        <v>59</v>
      </c>
      <c r="H1008" t="s">
        <v>37</v>
      </c>
      <c r="L100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0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08" s="1"/>
      <c r="T1008" s="64" t="str">
        <f>IF(Table1[[#This Row],[ActualWinner]]="", "", IF(Table1[[#This Row],[AwayTeam]]=Table1[[#This Row],[ActualWinner]],Table1[[#This Row],[HomeTeam]],Table1[[#This Row],[AwayTeam]]))</f>
        <v/>
      </c>
      <c r="U1008" s="64">
        <f>Table1[[#This Row],[ActualAwayScore]]-Table1[[#This Row],[PredictedAwayScore]]</f>
        <v>0</v>
      </c>
      <c r="V1008" s="64">
        <f>Table1[[#This Row],[ActualHomeScore]]-Table1[[#This Row],[PredictedHomeScore]]</f>
        <v>0</v>
      </c>
      <c r="W1008" s="64">
        <f>(0.8*IF(Table1[[#This Row],[CorrectWinnerPrediction]]=1, 1, 0))+(0.1*IF(Table1[[#This Row],[CorrectAwayScorePrediction]]=1, 1, 0))+(0.1*IF(Table1[[#This Row],[CorrectHomeScorePrediction]]=1, 1, 0))</f>
        <v>0</v>
      </c>
      <c r="X100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08" s="64">
        <f>SUMIF(Table1[GameDate], Table1[[#This Row],[GameDate]], Table1[AwayGameGoalDiff])</f>
        <v>0</v>
      </c>
      <c r="AA1008" s="64">
        <f>SUMIF(Table1[GameDate], Table1[[#This Row],[GameDate]], Table1[HomeGameGoalDiff])</f>
        <v>0</v>
      </c>
      <c r="AB1008" s="64">
        <f>IF(ISBLANK(Table1[[#This Row],[ActualResult]]), 0, 1)</f>
        <v>0</v>
      </c>
      <c r="AC1008" s="64">
        <f>IF(ISBLANK(Table1[[#This Row],[ActualResult]]), 0, IF(Table1[[#This Row],[ActualWinner]]=Table1[[#This Row],[PredictedWinner]], 1, 0))</f>
        <v>0</v>
      </c>
      <c r="AD100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0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08" s="64">
        <f>IF(AND(Table1[[#This Row],[GameIsOver]]=1,Table1[[#This Row],[ActualAwayScore]]=0), 1,0)</f>
        <v>0</v>
      </c>
      <c r="AG1008" s="64">
        <f>IF(AND(Table1[[#This Row],[GameIsOver]]=1,Table1[[#This Row],[ActualHomeScore]]=0), 1,0)</f>
        <v>0</v>
      </c>
      <c r="AH1008" s="64">
        <f>IF(Table1[[#This Row],[GameIsOver]]=0,0,IF(Table1[[#This Row],[ActualWinner]]=Table1[[#This Row],[AwayTeam]], 1, 0))</f>
        <v>0</v>
      </c>
      <c r="AI1008" s="64">
        <f>IF(Table1[[#This Row],[GameIsOver]]=0,0,IF(Table1[[#This Row],[ActualWinner]]=Table1[[#This Row],[HomeTeam]], 1, 0))</f>
        <v>0</v>
      </c>
      <c r="AJ1008" s="64">
        <f>IF(INDEX(Standings!$A$2:$C$33,MATCH(Table1[[#This Row],[AwayTeam]],Standings!$A$2:$A$33,0),2)=INDEX(Standings!$A$2:$C$33,MATCH(Table1[[#This Row],[HomeTeam]],Standings!$A$2:$A$33,0),2),1,0)</f>
        <v>1</v>
      </c>
      <c r="AK1008" s="64">
        <f>IF(INDEX(Standings!$A$2:$C$33,MATCH(Table1[[#This Row],[AwayTeam]],Standings!$A$2:$A$33,0),3)=INDEX(Standings!$A$2:$C$33,MATCH(Table1[[#This Row],[HomeTeam]],Standings!$A$2:$A$33,0),3),1,0)</f>
        <v>0</v>
      </c>
      <c r="AL1008" s="64">
        <f>IF(Table1[[#This Row],[InterConf]]=1,IF(Table1[[#This Row],[InterDiv]]=0, 1, 0), 0)</f>
        <v>1</v>
      </c>
      <c r="AM1008" s="64">
        <f>IF(INDEX(Standings!$A$2:$C$33,MATCH(Table1[[#This Row],[AwayTeam]],Standings!$A$2:$A$33,0),2)&lt;&gt;INDEX(Standings!$A$2:$C$33,MATCH(Table1[[#This Row],[HomeTeam]],Standings!$A$2:$A$33,0),2),1,0)</f>
        <v>0</v>
      </c>
      <c r="AN1008" s="64" t="str">
        <f>INDEX(Table2[AWAY_RECORD], MATCH(Table1[[#This Row],[AwayTeam]],Table2[Team], 0), 0)</f>
        <v>0-1-0</v>
      </c>
      <c r="AO1008" s="64" t="str">
        <f>INDEX(Records!$B$2:$AG$33, MATCH(Table1[[#This Row],[AwayTeam]],Records!$A$2:$A$33, 0), MATCH(Table1[[#This Row],[HomeTeam]],Records!$A$2:$A$33, 0))</f>
        <v>0-0-0</v>
      </c>
      <c r="AP1008" s="64" t="str">
        <f>INDEX(Table2[HOME_RECORD], MATCH(Table1[[#This Row],[HomeTeam]],Table2[Team], 0), 0)</f>
        <v>0-1-0</v>
      </c>
      <c r="AQ1008" s="64" t="str">
        <f>INDEX(Records!$B$2:$AG$33, MATCH(Table1[[#This Row],[HomeTeam]],Records!$A$2:$A$33, 0), MATCH(Table1[[#This Row],[AwayTeam]],Records!$A$2:$A$33, 0))</f>
        <v>0-0-0</v>
      </c>
    </row>
    <row r="1009" spans="1:43" x14ac:dyDescent="0.25">
      <c r="A1009" s="1"/>
      <c r="D1009" t="s">
        <v>1331</v>
      </c>
      <c r="E1009" t="s">
        <v>178</v>
      </c>
      <c r="F1009" t="s">
        <v>1338</v>
      </c>
      <c r="G1009" t="s">
        <v>23</v>
      </c>
      <c r="H1009" t="s">
        <v>61</v>
      </c>
      <c r="L100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0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09" s="1"/>
      <c r="T1009" s="64" t="str">
        <f>IF(Table1[[#This Row],[ActualWinner]]="", "", IF(Table1[[#This Row],[AwayTeam]]=Table1[[#This Row],[ActualWinner]],Table1[[#This Row],[HomeTeam]],Table1[[#This Row],[AwayTeam]]))</f>
        <v/>
      </c>
      <c r="U1009" s="64">
        <f>Table1[[#This Row],[ActualAwayScore]]-Table1[[#This Row],[PredictedAwayScore]]</f>
        <v>0</v>
      </c>
      <c r="V1009" s="64">
        <f>Table1[[#This Row],[ActualHomeScore]]-Table1[[#This Row],[PredictedHomeScore]]</f>
        <v>0</v>
      </c>
      <c r="W1009" s="64">
        <f>(0.8*IF(Table1[[#This Row],[CorrectWinnerPrediction]]=1, 1, 0))+(0.1*IF(Table1[[#This Row],[CorrectAwayScorePrediction]]=1, 1, 0))+(0.1*IF(Table1[[#This Row],[CorrectHomeScorePrediction]]=1, 1, 0))</f>
        <v>0</v>
      </c>
      <c r="X100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09" s="64">
        <f>SUMIF(Table1[GameDate], Table1[[#This Row],[GameDate]], Table1[AwayGameGoalDiff])</f>
        <v>0</v>
      </c>
      <c r="AA1009" s="64">
        <f>SUMIF(Table1[GameDate], Table1[[#This Row],[GameDate]], Table1[HomeGameGoalDiff])</f>
        <v>0</v>
      </c>
      <c r="AB1009" s="64">
        <f>IF(ISBLANK(Table1[[#This Row],[ActualResult]]), 0, 1)</f>
        <v>0</v>
      </c>
      <c r="AC1009" s="64">
        <f>IF(ISBLANK(Table1[[#This Row],[ActualResult]]), 0, IF(Table1[[#This Row],[ActualWinner]]=Table1[[#This Row],[PredictedWinner]], 1, 0))</f>
        <v>0</v>
      </c>
      <c r="AD100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0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09" s="64">
        <f>IF(AND(Table1[[#This Row],[GameIsOver]]=1,Table1[[#This Row],[ActualAwayScore]]=0), 1,0)</f>
        <v>0</v>
      </c>
      <c r="AG1009" s="64">
        <f>IF(AND(Table1[[#This Row],[GameIsOver]]=1,Table1[[#This Row],[ActualHomeScore]]=0), 1,0)</f>
        <v>0</v>
      </c>
      <c r="AH1009" s="64">
        <f>IF(Table1[[#This Row],[GameIsOver]]=0,0,IF(Table1[[#This Row],[ActualWinner]]=Table1[[#This Row],[AwayTeam]], 1, 0))</f>
        <v>0</v>
      </c>
      <c r="AI1009" s="64">
        <f>IF(Table1[[#This Row],[GameIsOver]]=0,0,IF(Table1[[#This Row],[ActualWinner]]=Table1[[#This Row],[HomeTeam]], 1, 0))</f>
        <v>0</v>
      </c>
      <c r="AJ1009" s="64">
        <f>IF(INDEX(Standings!$A$2:$C$33,MATCH(Table1[[#This Row],[AwayTeam]],Standings!$A$2:$A$33,0),2)=INDEX(Standings!$A$2:$C$33,MATCH(Table1[[#This Row],[HomeTeam]],Standings!$A$2:$A$33,0),2),1,0)</f>
        <v>1</v>
      </c>
      <c r="AK1009" s="64">
        <f>IF(INDEX(Standings!$A$2:$C$33,MATCH(Table1[[#This Row],[AwayTeam]],Standings!$A$2:$A$33,0),3)=INDEX(Standings!$A$2:$C$33,MATCH(Table1[[#This Row],[HomeTeam]],Standings!$A$2:$A$33,0),3),1,0)</f>
        <v>0</v>
      </c>
      <c r="AL1009" s="64">
        <f>IF(Table1[[#This Row],[InterConf]]=1,IF(Table1[[#This Row],[InterDiv]]=0, 1, 0), 0)</f>
        <v>1</v>
      </c>
      <c r="AM1009" s="64">
        <f>IF(INDEX(Standings!$A$2:$C$33,MATCH(Table1[[#This Row],[AwayTeam]],Standings!$A$2:$A$33,0),2)&lt;&gt;INDEX(Standings!$A$2:$C$33,MATCH(Table1[[#This Row],[HomeTeam]],Standings!$A$2:$A$33,0),2),1,0)</f>
        <v>0</v>
      </c>
      <c r="AN1009" s="64" t="str">
        <f>INDEX(Table2[AWAY_RECORD], MATCH(Table1[[#This Row],[AwayTeam]],Table2[Team], 0), 0)</f>
        <v>0-0-1</v>
      </c>
      <c r="AO1009" s="64" t="str">
        <f>INDEX(Records!$B$2:$AG$33, MATCH(Table1[[#This Row],[AwayTeam]],Records!$A$2:$A$33, 0), MATCH(Table1[[#This Row],[HomeTeam]],Records!$A$2:$A$33, 0))</f>
        <v>0-0-0</v>
      </c>
      <c r="AP1009" s="64" t="str">
        <f>INDEX(Table2[HOME_RECORD], MATCH(Table1[[#This Row],[HomeTeam]],Table2[Team], 0), 0)</f>
        <v>0-0-0</v>
      </c>
      <c r="AQ1009" s="64" t="str">
        <f>INDEX(Records!$B$2:$AG$33, MATCH(Table1[[#This Row],[HomeTeam]],Records!$A$2:$A$33, 0), MATCH(Table1[[#This Row],[AwayTeam]],Records!$A$2:$A$33, 0))</f>
        <v>0-0-0</v>
      </c>
    </row>
    <row r="1010" spans="1:43" x14ac:dyDescent="0.25">
      <c r="A1010" s="1"/>
      <c r="D1010" t="s">
        <v>1331</v>
      </c>
      <c r="E1010" t="s">
        <v>178</v>
      </c>
      <c r="F1010" t="s">
        <v>1339</v>
      </c>
      <c r="G1010" t="s">
        <v>45</v>
      </c>
      <c r="H1010" t="s">
        <v>48</v>
      </c>
      <c r="L101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1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10" s="1"/>
      <c r="T1010" s="64" t="str">
        <f>IF(Table1[[#This Row],[ActualWinner]]="", "", IF(Table1[[#This Row],[AwayTeam]]=Table1[[#This Row],[ActualWinner]],Table1[[#This Row],[HomeTeam]],Table1[[#This Row],[AwayTeam]]))</f>
        <v/>
      </c>
      <c r="U1010" s="64">
        <f>Table1[[#This Row],[ActualAwayScore]]-Table1[[#This Row],[PredictedAwayScore]]</f>
        <v>0</v>
      </c>
      <c r="V1010" s="64">
        <f>Table1[[#This Row],[ActualHomeScore]]-Table1[[#This Row],[PredictedHomeScore]]</f>
        <v>0</v>
      </c>
      <c r="W1010" s="64">
        <f>(0.8*IF(Table1[[#This Row],[CorrectWinnerPrediction]]=1, 1, 0))+(0.1*IF(Table1[[#This Row],[CorrectAwayScorePrediction]]=1, 1, 0))+(0.1*IF(Table1[[#This Row],[CorrectHomeScorePrediction]]=1, 1, 0))</f>
        <v>0</v>
      </c>
      <c r="X101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10" s="64">
        <f>SUMIF(Table1[GameDate], Table1[[#This Row],[GameDate]], Table1[AwayGameGoalDiff])</f>
        <v>0</v>
      </c>
      <c r="AA1010" s="64">
        <f>SUMIF(Table1[GameDate], Table1[[#This Row],[GameDate]], Table1[HomeGameGoalDiff])</f>
        <v>0</v>
      </c>
      <c r="AB1010" s="64">
        <f>IF(ISBLANK(Table1[[#This Row],[ActualResult]]), 0, 1)</f>
        <v>0</v>
      </c>
      <c r="AC1010" s="64">
        <f>IF(ISBLANK(Table1[[#This Row],[ActualResult]]), 0, IF(Table1[[#This Row],[ActualWinner]]=Table1[[#This Row],[PredictedWinner]], 1, 0))</f>
        <v>0</v>
      </c>
      <c r="AD101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1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10" s="64">
        <f>IF(AND(Table1[[#This Row],[GameIsOver]]=1,Table1[[#This Row],[ActualAwayScore]]=0), 1,0)</f>
        <v>0</v>
      </c>
      <c r="AG1010" s="64">
        <f>IF(AND(Table1[[#This Row],[GameIsOver]]=1,Table1[[#This Row],[ActualHomeScore]]=0), 1,0)</f>
        <v>0</v>
      </c>
      <c r="AH1010" s="64">
        <f>IF(Table1[[#This Row],[GameIsOver]]=0,0,IF(Table1[[#This Row],[ActualWinner]]=Table1[[#This Row],[AwayTeam]], 1, 0))</f>
        <v>0</v>
      </c>
      <c r="AI1010" s="64">
        <f>IF(Table1[[#This Row],[GameIsOver]]=0,0,IF(Table1[[#This Row],[ActualWinner]]=Table1[[#This Row],[HomeTeam]], 1, 0))</f>
        <v>0</v>
      </c>
      <c r="AJ1010" s="64">
        <f>IF(INDEX(Standings!$A$2:$C$33,MATCH(Table1[[#This Row],[AwayTeam]],Standings!$A$2:$A$33,0),2)=INDEX(Standings!$A$2:$C$33,MATCH(Table1[[#This Row],[HomeTeam]],Standings!$A$2:$A$33,0),2),1,0)</f>
        <v>1</v>
      </c>
      <c r="AK1010" s="64">
        <f>IF(INDEX(Standings!$A$2:$C$33,MATCH(Table1[[#This Row],[AwayTeam]],Standings!$A$2:$A$33,0),3)=INDEX(Standings!$A$2:$C$33,MATCH(Table1[[#This Row],[HomeTeam]],Standings!$A$2:$A$33,0),3),1,0)</f>
        <v>0</v>
      </c>
      <c r="AL1010" s="64">
        <f>IF(Table1[[#This Row],[InterConf]]=1,IF(Table1[[#This Row],[InterDiv]]=0, 1, 0), 0)</f>
        <v>1</v>
      </c>
      <c r="AM1010" s="64">
        <f>IF(INDEX(Standings!$A$2:$C$33,MATCH(Table1[[#This Row],[AwayTeam]],Standings!$A$2:$A$33,0),2)&lt;&gt;INDEX(Standings!$A$2:$C$33,MATCH(Table1[[#This Row],[HomeTeam]],Standings!$A$2:$A$33,0),2),1,0)</f>
        <v>0</v>
      </c>
      <c r="AN1010" s="64" t="str">
        <f>INDEX(Table2[AWAY_RECORD], MATCH(Table1[[#This Row],[AwayTeam]],Table2[Team], 0), 0)</f>
        <v>1-0-0</v>
      </c>
      <c r="AO1010" s="64" t="str">
        <f>INDEX(Records!$B$2:$AG$33, MATCH(Table1[[#This Row],[AwayTeam]],Records!$A$2:$A$33, 0), MATCH(Table1[[#This Row],[HomeTeam]],Records!$A$2:$A$33, 0))</f>
        <v>0-0-0</v>
      </c>
      <c r="AP1010" s="64" t="str">
        <f>INDEX(Table2[HOME_RECORD], MATCH(Table1[[#This Row],[HomeTeam]],Table2[Team], 0), 0)</f>
        <v>1-0-0</v>
      </c>
      <c r="AQ1010" s="64" t="str">
        <f>INDEX(Records!$B$2:$AG$33, MATCH(Table1[[#This Row],[HomeTeam]],Records!$A$2:$A$33, 0), MATCH(Table1[[#This Row],[AwayTeam]],Records!$A$2:$A$33, 0))</f>
        <v>0-0-0</v>
      </c>
    </row>
    <row r="1011" spans="1:43" x14ac:dyDescent="0.25">
      <c r="A1011" s="1"/>
      <c r="D1011" t="s">
        <v>1331</v>
      </c>
      <c r="E1011" t="s">
        <v>178</v>
      </c>
      <c r="F1011" t="s">
        <v>1340</v>
      </c>
      <c r="G1011" t="s">
        <v>57</v>
      </c>
      <c r="H1011" t="s">
        <v>43</v>
      </c>
      <c r="L101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1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11" s="1"/>
      <c r="T1011" s="64" t="str">
        <f>IF(Table1[[#This Row],[ActualWinner]]="", "", IF(Table1[[#This Row],[AwayTeam]]=Table1[[#This Row],[ActualWinner]],Table1[[#This Row],[HomeTeam]],Table1[[#This Row],[AwayTeam]]))</f>
        <v/>
      </c>
      <c r="U1011" s="64">
        <f>Table1[[#This Row],[ActualAwayScore]]-Table1[[#This Row],[PredictedAwayScore]]</f>
        <v>0</v>
      </c>
      <c r="V1011" s="64">
        <f>Table1[[#This Row],[ActualHomeScore]]-Table1[[#This Row],[PredictedHomeScore]]</f>
        <v>0</v>
      </c>
      <c r="W1011" s="64">
        <f>(0.8*IF(Table1[[#This Row],[CorrectWinnerPrediction]]=1, 1, 0))+(0.1*IF(Table1[[#This Row],[CorrectAwayScorePrediction]]=1, 1, 0))+(0.1*IF(Table1[[#This Row],[CorrectHomeScorePrediction]]=1, 1, 0))</f>
        <v>0</v>
      </c>
      <c r="X101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11" s="64">
        <f>SUMIF(Table1[GameDate], Table1[[#This Row],[GameDate]], Table1[AwayGameGoalDiff])</f>
        <v>0</v>
      </c>
      <c r="AA1011" s="64">
        <f>SUMIF(Table1[GameDate], Table1[[#This Row],[GameDate]], Table1[HomeGameGoalDiff])</f>
        <v>0</v>
      </c>
      <c r="AB1011" s="64">
        <f>IF(ISBLANK(Table1[[#This Row],[ActualResult]]), 0, 1)</f>
        <v>0</v>
      </c>
      <c r="AC1011" s="64">
        <f>IF(ISBLANK(Table1[[#This Row],[ActualResult]]), 0, IF(Table1[[#This Row],[ActualWinner]]=Table1[[#This Row],[PredictedWinner]], 1, 0))</f>
        <v>0</v>
      </c>
      <c r="AD101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1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11" s="64">
        <f>IF(AND(Table1[[#This Row],[GameIsOver]]=1,Table1[[#This Row],[ActualAwayScore]]=0), 1,0)</f>
        <v>0</v>
      </c>
      <c r="AG1011" s="64">
        <f>IF(AND(Table1[[#This Row],[GameIsOver]]=1,Table1[[#This Row],[ActualHomeScore]]=0), 1,0)</f>
        <v>0</v>
      </c>
      <c r="AH1011" s="64">
        <f>IF(Table1[[#This Row],[GameIsOver]]=0,0,IF(Table1[[#This Row],[ActualWinner]]=Table1[[#This Row],[AwayTeam]], 1, 0))</f>
        <v>0</v>
      </c>
      <c r="AI1011" s="64">
        <f>IF(Table1[[#This Row],[GameIsOver]]=0,0,IF(Table1[[#This Row],[ActualWinner]]=Table1[[#This Row],[HomeTeam]], 1, 0))</f>
        <v>0</v>
      </c>
      <c r="AJ1011" s="64">
        <f>IF(INDEX(Standings!$A$2:$C$33,MATCH(Table1[[#This Row],[AwayTeam]],Standings!$A$2:$A$33,0),2)=INDEX(Standings!$A$2:$C$33,MATCH(Table1[[#This Row],[HomeTeam]],Standings!$A$2:$A$33,0),2),1,0)</f>
        <v>0</v>
      </c>
      <c r="AK1011" s="64">
        <f>IF(INDEX(Standings!$A$2:$C$33,MATCH(Table1[[#This Row],[AwayTeam]],Standings!$A$2:$A$33,0),3)=INDEX(Standings!$A$2:$C$33,MATCH(Table1[[#This Row],[HomeTeam]],Standings!$A$2:$A$33,0),3),1,0)</f>
        <v>0</v>
      </c>
      <c r="AL1011" s="64">
        <f>IF(Table1[[#This Row],[InterConf]]=1,IF(Table1[[#This Row],[InterDiv]]=0, 1, 0), 0)</f>
        <v>0</v>
      </c>
      <c r="AM1011" s="64">
        <f>IF(INDEX(Standings!$A$2:$C$33,MATCH(Table1[[#This Row],[AwayTeam]],Standings!$A$2:$A$33,0),2)&lt;&gt;INDEX(Standings!$A$2:$C$33,MATCH(Table1[[#This Row],[HomeTeam]],Standings!$A$2:$A$33,0),2),1,0)</f>
        <v>1</v>
      </c>
      <c r="AN1011" s="64" t="str">
        <f>INDEX(Table2[AWAY_RECORD], MATCH(Table1[[#This Row],[AwayTeam]],Table2[Team], 0), 0)</f>
        <v>0-1-0</v>
      </c>
      <c r="AO1011" s="64" t="str">
        <f>INDEX(Records!$B$2:$AG$33, MATCH(Table1[[#This Row],[AwayTeam]],Records!$A$2:$A$33, 0), MATCH(Table1[[#This Row],[HomeTeam]],Records!$A$2:$A$33, 0))</f>
        <v>0-0-0</v>
      </c>
      <c r="AP1011" s="64" t="str">
        <f>INDEX(Table2[HOME_RECORD], MATCH(Table1[[#This Row],[HomeTeam]],Table2[Team], 0), 0)</f>
        <v>0-0-0</v>
      </c>
      <c r="AQ1011" s="64" t="str">
        <f>INDEX(Records!$B$2:$AG$33, MATCH(Table1[[#This Row],[HomeTeam]],Records!$A$2:$A$33, 0), MATCH(Table1[[#This Row],[AwayTeam]],Records!$A$2:$A$33, 0))</f>
        <v>0-0-0</v>
      </c>
    </row>
    <row r="1012" spans="1:43" x14ac:dyDescent="0.25">
      <c r="A1012" s="1"/>
      <c r="D1012" t="s">
        <v>1341</v>
      </c>
      <c r="E1012" t="s">
        <v>1283</v>
      </c>
      <c r="F1012" t="s">
        <v>1342</v>
      </c>
      <c r="G1012" t="s">
        <v>60</v>
      </c>
      <c r="H1012" t="s">
        <v>41</v>
      </c>
      <c r="L101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1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12" s="1"/>
      <c r="T1012" s="64" t="str">
        <f>IF(Table1[[#This Row],[ActualWinner]]="", "", IF(Table1[[#This Row],[AwayTeam]]=Table1[[#This Row],[ActualWinner]],Table1[[#This Row],[HomeTeam]],Table1[[#This Row],[AwayTeam]]))</f>
        <v/>
      </c>
      <c r="U1012" s="64">
        <f>Table1[[#This Row],[ActualAwayScore]]-Table1[[#This Row],[PredictedAwayScore]]</f>
        <v>0</v>
      </c>
      <c r="V1012" s="64">
        <f>Table1[[#This Row],[ActualHomeScore]]-Table1[[#This Row],[PredictedHomeScore]]</f>
        <v>0</v>
      </c>
      <c r="W1012" s="64">
        <f>(0.8*IF(Table1[[#This Row],[CorrectWinnerPrediction]]=1, 1, 0))+(0.1*IF(Table1[[#This Row],[CorrectAwayScorePrediction]]=1, 1, 0))+(0.1*IF(Table1[[#This Row],[CorrectHomeScorePrediction]]=1, 1, 0))</f>
        <v>0</v>
      </c>
      <c r="X101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12" s="64">
        <f>SUMIF(Table1[GameDate], Table1[[#This Row],[GameDate]], Table1[AwayGameGoalDiff])</f>
        <v>0</v>
      </c>
      <c r="AA1012" s="64">
        <f>SUMIF(Table1[GameDate], Table1[[#This Row],[GameDate]], Table1[HomeGameGoalDiff])</f>
        <v>0</v>
      </c>
      <c r="AB1012" s="64">
        <f>IF(ISBLANK(Table1[[#This Row],[ActualResult]]), 0, 1)</f>
        <v>0</v>
      </c>
      <c r="AC1012" s="64">
        <f>IF(ISBLANK(Table1[[#This Row],[ActualResult]]), 0, IF(Table1[[#This Row],[ActualWinner]]=Table1[[#This Row],[PredictedWinner]], 1, 0))</f>
        <v>0</v>
      </c>
      <c r="AD101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1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12" s="64">
        <f>IF(AND(Table1[[#This Row],[GameIsOver]]=1,Table1[[#This Row],[ActualAwayScore]]=0), 1,0)</f>
        <v>0</v>
      </c>
      <c r="AG1012" s="64">
        <f>IF(AND(Table1[[#This Row],[GameIsOver]]=1,Table1[[#This Row],[ActualHomeScore]]=0), 1,0)</f>
        <v>0</v>
      </c>
      <c r="AH1012" s="64">
        <f>IF(Table1[[#This Row],[GameIsOver]]=0,0,IF(Table1[[#This Row],[ActualWinner]]=Table1[[#This Row],[AwayTeam]], 1, 0))</f>
        <v>0</v>
      </c>
      <c r="AI1012" s="64">
        <f>IF(Table1[[#This Row],[GameIsOver]]=0,0,IF(Table1[[#This Row],[ActualWinner]]=Table1[[#This Row],[HomeTeam]], 1, 0))</f>
        <v>0</v>
      </c>
      <c r="AJ1012" s="64">
        <f>IF(INDEX(Standings!$A$2:$C$33,MATCH(Table1[[#This Row],[AwayTeam]],Standings!$A$2:$A$33,0),2)=INDEX(Standings!$A$2:$C$33,MATCH(Table1[[#This Row],[HomeTeam]],Standings!$A$2:$A$33,0),2),1,0)</f>
        <v>1</v>
      </c>
      <c r="AK1012" s="64">
        <f>IF(INDEX(Standings!$A$2:$C$33,MATCH(Table1[[#This Row],[AwayTeam]],Standings!$A$2:$A$33,0),3)=INDEX(Standings!$A$2:$C$33,MATCH(Table1[[#This Row],[HomeTeam]],Standings!$A$2:$A$33,0),3),1,0)</f>
        <v>1</v>
      </c>
      <c r="AL1012" s="64">
        <f>IF(Table1[[#This Row],[InterConf]]=1,IF(Table1[[#This Row],[InterDiv]]=0, 1, 0), 0)</f>
        <v>0</v>
      </c>
      <c r="AM1012" s="64">
        <f>IF(INDEX(Standings!$A$2:$C$33,MATCH(Table1[[#This Row],[AwayTeam]],Standings!$A$2:$A$33,0),2)&lt;&gt;INDEX(Standings!$A$2:$C$33,MATCH(Table1[[#This Row],[HomeTeam]],Standings!$A$2:$A$33,0),2),1,0)</f>
        <v>0</v>
      </c>
      <c r="AN1012" s="64" t="str">
        <f>INDEX(Table2[AWAY_RECORD], MATCH(Table1[[#This Row],[AwayTeam]],Table2[Team], 0), 0)</f>
        <v>0-0-0</v>
      </c>
      <c r="AO1012" s="64" t="str">
        <f>INDEX(Records!$B$2:$AG$33, MATCH(Table1[[#This Row],[AwayTeam]],Records!$A$2:$A$33, 0), MATCH(Table1[[#This Row],[HomeTeam]],Records!$A$2:$A$33, 0))</f>
        <v>0-0-0</v>
      </c>
      <c r="AP1012" s="64" t="str">
        <f>INDEX(Table2[HOME_RECORD], MATCH(Table1[[#This Row],[HomeTeam]],Table2[Team], 0), 0)</f>
        <v>0-0-1</v>
      </c>
      <c r="AQ1012" s="64" t="str">
        <f>INDEX(Records!$B$2:$AG$33, MATCH(Table1[[#This Row],[HomeTeam]],Records!$A$2:$A$33, 0), MATCH(Table1[[#This Row],[AwayTeam]],Records!$A$2:$A$33, 0))</f>
        <v>0-0-0</v>
      </c>
    </row>
    <row r="1013" spans="1:43" x14ac:dyDescent="0.25">
      <c r="A1013" s="1"/>
      <c r="D1013" t="s">
        <v>1341</v>
      </c>
      <c r="E1013" t="s">
        <v>162</v>
      </c>
      <c r="F1013" t="s">
        <v>1343</v>
      </c>
      <c r="G1013" t="s">
        <v>53</v>
      </c>
      <c r="H1013" t="s">
        <v>50</v>
      </c>
      <c r="L101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1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13" s="1"/>
      <c r="T1013" s="64" t="str">
        <f>IF(Table1[[#This Row],[ActualWinner]]="", "", IF(Table1[[#This Row],[AwayTeam]]=Table1[[#This Row],[ActualWinner]],Table1[[#This Row],[HomeTeam]],Table1[[#This Row],[AwayTeam]]))</f>
        <v/>
      </c>
      <c r="U1013" s="64">
        <f>Table1[[#This Row],[ActualAwayScore]]-Table1[[#This Row],[PredictedAwayScore]]</f>
        <v>0</v>
      </c>
      <c r="V1013" s="64">
        <f>Table1[[#This Row],[ActualHomeScore]]-Table1[[#This Row],[PredictedHomeScore]]</f>
        <v>0</v>
      </c>
      <c r="W1013" s="64">
        <f>(0.8*IF(Table1[[#This Row],[CorrectWinnerPrediction]]=1, 1, 0))+(0.1*IF(Table1[[#This Row],[CorrectAwayScorePrediction]]=1, 1, 0))+(0.1*IF(Table1[[#This Row],[CorrectHomeScorePrediction]]=1, 1, 0))</f>
        <v>0</v>
      </c>
      <c r="X101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13" s="64">
        <f>SUMIF(Table1[GameDate], Table1[[#This Row],[GameDate]], Table1[AwayGameGoalDiff])</f>
        <v>0</v>
      </c>
      <c r="AA1013" s="64">
        <f>SUMIF(Table1[GameDate], Table1[[#This Row],[GameDate]], Table1[HomeGameGoalDiff])</f>
        <v>0</v>
      </c>
      <c r="AB1013" s="64">
        <f>IF(ISBLANK(Table1[[#This Row],[ActualResult]]), 0, 1)</f>
        <v>0</v>
      </c>
      <c r="AC1013" s="64">
        <f>IF(ISBLANK(Table1[[#This Row],[ActualResult]]), 0, IF(Table1[[#This Row],[ActualWinner]]=Table1[[#This Row],[PredictedWinner]], 1, 0))</f>
        <v>0</v>
      </c>
      <c r="AD101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1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13" s="64">
        <f>IF(AND(Table1[[#This Row],[GameIsOver]]=1,Table1[[#This Row],[ActualAwayScore]]=0), 1,0)</f>
        <v>0</v>
      </c>
      <c r="AG1013" s="64">
        <f>IF(AND(Table1[[#This Row],[GameIsOver]]=1,Table1[[#This Row],[ActualHomeScore]]=0), 1,0)</f>
        <v>0</v>
      </c>
      <c r="AH1013" s="64">
        <f>IF(Table1[[#This Row],[GameIsOver]]=0,0,IF(Table1[[#This Row],[ActualWinner]]=Table1[[#This Row],[AwayTeam]], 1, 0))</f>
        <v>0</v>
      </c>
      <c r="AI1013" s="64">
        <f>IF(Table1[[#This Row],[GameIsOver]]=0,0,IF(Table1[[#This Row],[ActualWinner]]=Table1[[#This Row],[HomeTeam]], 1, 0))</f>
        <v>0</v>
      </c>
      <c r="AJ1013" s="64">
        <f>IF(INDEX(Standings!$A$2:$C$33,MATCH(Table1[[#This Row],[AwayTeam]],Standings!$A$2:$A$33,0),2)=INDEX(Standings!$A$2:$C$33,MATCH(Table1[[#This Row],[HomeTeam]],Standings!$A$2:$A$33,0),2),1,0)</f>
        <v>1</v>
      </c>
      <c r="AK1013" s="64">
        <f>IF(INDEX(Standings!$A$2:$C$33,MATCH(Table1[[#This Row],[AwayTeam]],Standings!$A$2:$A$33,0),3)=INDEX(Standings!$A$2:$C$33,MATCH(Table1[[#This Row],[HomeTeam]],Standings!$A$2:$A$33,0),3),1,0)</f>
        <v>1</v>
      </c>
      <c r="AL1013" s="64">
        <f>IF(Table1[[#This Row],[InterConf]]=1,IF(Table1[[#This Row],[InterDiv]]=0, 1, 0), 0)</f>
        <v>0</v>
      </c>
      <c r="AM1013" s="64">
        <f>IF(INDEX(Standings!$A$2:$C$33,MATCH(Table1[[#This Row],[AwayTeam]],Standings!$A$2:$A$33,0),2)&lt;&gt;INDEX(Standings!$A$2:$C$33,MATCH(Table1[[#This Row],[HomeTeam]],Standings!$A$2:$A$33,0),2),1,0)</f>
        <v>0</v>
      </c>
      <c r="AN1013" s="64" t="str">
        <f>INDEX(Table2[AWAY_RECORD], MATCH(Table1[[#This Row],[AwayTeam]],Table2[Team], 0), 0)</f>
        <v>0-1-0</v>
      </c>
      <c r="AO1013" s="64" t="str">
        <f>INDEX(Records!$B$2:$AG$33, MATCH(Table1[[#This Row],[AwayTeam]],Records!$A$2:$A$33, 0), MATCH(Table1[[#This Row],[HomeTeam]],Records!$A$2:$A$33, 0))</f>
        <v>0-0-0</v>
      </c>
      <c r="AP1013" s="64" t="str">
        <f>INDEX(Table2[HOME_RECORD], MATCH(Table1[[#This Row],[HomeTeam]],Table2[Team], 0), 0)</f>
        <v>0-0-0</v>
      </c>
      <c r="AQ1013" s="64" t="str">
        <f>INDEX(Records!$B$2:$AG$33, MATCH(Table1[[#This Row],[HomeTeam]],Records!$A$2:$A$33, 0), MATCH(Table1[[#This Row],[AwayTeam]],Records!$A$2:$A$33, 0))</f>
        <v>0-0-0</v>
      </c>
    </row>
    <row r="1014" spans="1:43" x14ac:dyDescent="0.25">
      <c r="A1014" s="1"/>
      <c r="D1014" t="s">
        <v>1341</v>
      </c>
      <c r="E1014" t="s">
        <v>162</v>
      </c>
      <c r="F1014" t="s">
        <v>1344</v>
      </c>
      <c r="G1014" t="s">
        <v>59</v>
      </c>
      <c r="H1014" t="s">
        <v>51</v>
      </c>
      <c r="L101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1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14" s="1"/>
      <c r="T1014" s="64" t="str">
        <f>IF(Table1[[#This Row],[ActualWinner]]="", "", IF(Table1[[#This Row],[AwayTeam]]=Table1[[#This Row],[ActualWinner]],Table1[[#This Row],[HomeTeam]],Table1[[#This Row],[AwayTeam]]))</f>
        <v/>
      </c>
      <c r="U1014" s="64">
        <f>Table1[[#This Row],[ActualAwayScore]]-Table1[[#This Row],[PredictedAwayScore]]</f>
        <v>0</v>
      </c>
      <c r="V1014" s="64">
        <f>Table1[[#This Row],[ActualHomeScore]]-Table1[[#This Row],[PredictedHomeScore]]</f>
        <v>0</v>
      </c>
      <c r="W1014" s="64">
        <f>(0.8*IF(Table1[[#This Row],[CorrectWinnerPrediction]]=1, 1, 0))+(0.1*IF(Table1[[#This Row],[CorrectAwayScorePrediction]]=1, 1, 0))+(0.1*IF(Table1[[#This Row],[CorrectHomeScorePrediction]]=1, 1, 0))</f>
        <v>0</v>
      </c>
      <c r="X101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14" s="64">
        <f>SUMIF(Table1[GameDate], Table1[[#This Row],[GameDate]], Table1[AwayGameGoalDiff])</f>
        <v>0</v>
      </c>
      <c r="AA1014" s="64">
        <f>SUMIF(Table1[GameDate], Table1[[#This Row],[GameDate]], Table1[HomeGameGoalDiff])</f>
        <v>0</v>
      </c>
      <c r="AB1014" s="64">
        <f>IF(ISBLANK(Table1[[#This Row],[ActualResult]]), 0, 1)</f>
        <v>0</v>
      </c>
      <c r="AC1014" s="64">
        <f>IF(ISBLANK(Table1[[#This Row],[ActualResult]]), 0, IF(Table1[[#This Row],[ActualWinner]]=Table1[[#This Row],[PredictedWinner]], 1, 0))</f>
        <v>0</v>
      </c>
      <c r="AD101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1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14" s="64">
        <f>IF(AND(Table1[[#This Row],[GameIsOver]]=1,Table1[[#This Row],[ActualAwayScore]]=0), 1,0)</f>
        <v>0</v>
      </c>
      <c r="AG1014" s="64">
        <f>IF(AND(Table1[[#This Row],[GameIsOver]]=1,Table1[[#This Row],[ActualHomeScore]]=0), 1,0)</f>
        <v>0</v>
      </c>
      <c r="AH1014" s="64">
        <f>IF(Table1[[#This Row],[GameIsOver]]=0,0,IF(Table1[[#This Row],[ActualWinner]]=Table1[[#This Row],[AwayTeam]], 1, 0))</f>
        <v>0</v>
      </c>
      <c r="AI1014" s="64">
        <f>IF(Table1[[#This Row],[GameIsOver]]=0,0,IF(Table1[[#This Row],[ActualWinner]]=Table1[[#This Row],[HomeTeam]], 1, 0))</f>
        <v>0</v>
      </c>
      <c r="AJ1014" s="64">
        <f>IF(INDEX(Standings!$A$2:$C$33,MATCH(Table1[[#This Row],[AwayTeam]],Standings!$A$2:$A$33,0),2)=INDEX(Standings!$A$2:$C$33,MATCH(Table1[[#This Row],[HomeTeam]],Standings!$A$2:$A$33,0),2),1,0)</f>
        <v>1</v>
      </c>
      <c r="AK1014" s="64">
        <f>IF(INDEX(Standings!$A$2:$C$33,MATCH(Table1[[#This Row],[AwayTeam]],Standings!$A$2:$A$33,0),3)=INDEX(Standings!$A$2:$C$33,MATCH(Table1[[#This Row],[HomeTeam]],Standings!$A$2:$A$33,0),3),1,0)</f>
        <v>1</v>
      </c>
      <c r="AL1014" s="64">
        <f>IF(Table1[[#This Row],[InterConf]]=1,IF(Table1[[#This Row],[InterDiv]]=0, 1, 0), 0)</f>
        <v>0</v>
      </c>
      <c r="AM1014" s="64">
        <f>IF(INDEX(Standings!$A$2:$C$33,MATCH(Table1[[#This Row],[AwayTeam]],Standings!$A$2:$A$33,0),2)&lt;&gt;INDEX(Standings!$A$2:$C$33,MATCH(Table1[[#This Row],[HomeTeam]],Standings!$A$2:$A$33,0),2),1,0)</f>
        <v>0</v>
      </c>
      <c r="AN1014" s="64" t="str">
        <f>INDEX(Table2[AWAY_RECORD], MATCH(Table1[[#This Row],[AwayTeam]],Table2[Team], 0), 0)</f>
        <v>0-1-0</v>
      </c>
      <c r="AO1014" s="64" t="str">
        <f>INDEX(Records!$B$2:$AG$33, MATCH(Table1[[#This Row],[AwayTeam]],Records!$A$2:$A$33, 0), MATCH(Table1[[#This Row],[HomeTeam]],Records!$A$2:$A$33, 0))</f>
        <v>0-0-0</v>
      </c>
      <c r="AP1014" s="64" t="str">
        <f>INDEX(Table2[HOME_RECORD], MATCH(Table1[[#This Row],[HomeTeam]],Table2[Team], 0), 0)</f>
        <v>1-0-0</v>
      </c>
      <c r="AQ1014" s="64" t="str">
        <f>INDEX(Records!$B$2:$AG$33, MATCH(Table1[[#This Row],[HomeTeam]],Records!$A$2:$A$33, 0), MATCH(Table1[[#This Row],[AwayTeam]],Records!$A$2:$A$33, 0))</f>
        <v>0-0-0</v>
      </c>
    </row>
    <row r="1015" spans="1:43" x14ac:dyDescent="0.25">
      <c r="A1015" s="1"/>
      <c r="D1015" t="s">
        <v>1341</v>
      </c>
      <c r="E1015" t="s">
        <v>162</v>
      </c>
      <c r="F1015" t="s">
        <v>1345</v>
      </c>
      <c r="G1015" t="s">
        <v>49</v>
      </c>
      <c r="H1015" t="s">
        <v>42</v>
      </c>
      <c r="L101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1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15" s="1"/>
      <c r="T1015" s="64" t="str">
        <f>IF(Table1[[#This Row],[ActualWinner]]="", "", IF(Table1[[#This Row],[AwayTeam]]=Table1[[#This Row],[ActualWinner]],Table1[[#This Row],[HomeTeam]],Table1[[#This Row],[AwayTeam]]))</f>
        <v/>
      </c>
      <c r="U1015" s="64">
        <f>Table1[[#This Row],[ActualAwayScore]]-Table1[[#This Row],[PredictedAwayScore]]</f>
        <v>0</v>
      </c>
      <c r="V1015" s="64">
        <f>Table1[[#This Row],[ActualHomeScore]]-Table1[[#This Row],[PredictedHomeScore]]</f>
        <v>0</v>
      </c>
      <c r="W1015" s="64">
        <f>(0.8*IF(Table1[[#This Row],[CorrectWinnerPrediction]]=1, 1, 0))+(0.1*IF(Table1[[#This Row],[CorrectAwayScorePrediction]]=1, 1, 0))+(0.1*IF(Table1[[#This Row],[CorrectHomeScorePrediction]]=1, 1, 0))</f>
        <v>0</v>
      </c>
      <c r="X101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15" s="64">
        <f>SUMIF(Table1[GameDate], Table1[[#This Row],[GameDate]], Table1[AwayGameGoalDiff])</f>
        <v>0</v>
      </c>
      <c r="AA1015" s="64">
        <f>SUMIF(Table1[GameDate], Table1[[#This Row],[GameDate]], Table1[HomeGameGoalDiff])</f>
        <v>0</v>
      </c>
      <c r="AB1015" s="64">
        <f>IF(ISBLANK(Table1[[#This Row],[ActualResult]]), 0, 1)</f>
        <v>0</v>
      </c>
      <c r="AC1015" s="64">
        <f>IF(ISBLANK(Table1[[#This Row],[ActualResult]]), 0, IF(Table1[[#This Row],[ActualWinner]]=Table1[[#This Row],[PredictedWinner]], 1, 0))</f>
        <v>0</v>
      </c>
      <c r="AD101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1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15" s="64">
        <f>IF(AND(Table1[[#This Row],[GameIsOver]]=1,Table1[[#This Row],[ActualAwayScore]]=0), 1,0)</f>
        <v>0</v>
      </c>
      <c r="AG1015" s="64">
        <f>IF(AND(Table1[[#This Row],[GameIsOver]]=1,Table1[[#This Row],[ActualHomeScore]]=0), 1,0)</f>
        <v>0</v>
      </c>
      <c r="AH1015" s="64">
        <f>IF(Table1[[#This Row],[GameIsOver]]=0,0,IF(Table1[[#This Row],[ActualWinner]]=Table1[[#This Row],[AwayTeam]], 1, 0))</f>
        <v>0</v>
      </c>
      <c r="AI1015" s="64">
        <f>IF(Table1[[#This Row],[GameIsOver]]=0,0,IF(Table1[[#This Row],[ActualWinner]]=Table1[[#This Row],[HomeTeam]], 1, 0))</f>
        <v>0</v>
      </c>
      <c r="AJ1015" s="64">
        <f>IF(INDEX(Standings!$A$2:$C$33,MATCH(Table1[[#This Row],[AwayTeam]],Standings!$A$2:$A$33,0),2)=INDEX(Standings!$A$2:$C$33,MATCH(Table1[[#This Row],[HomeTeam]],Standings!$A$2:$A$33,0),2),1,0)</f>
        <v>1</v>
      </c>
      <c r="AK1015" s="64">
        <f>IF(INDEX(Standings!$A$2:$C$33,MATCH(Table1[[#This Row],[AwayTeam]],Standings!$A$2:$A$33,0),3)=INDEX(Standings!$A$2:$C$33,MATCH(Table1[[#This Row],[HomeTeam]],Standings!$A$2:$A$33,0),3),1,0)</f>
        <v>1</v>
      </c>
      <c r="AL1015" s="64">
        <f>IF(Table1[[#This Row],[InterConf]]=1,IF(Table1[[#This Row],[InterDiv]]=0, 1, 0), 0)</f>
        <v>0</v>
      </c>
      <c r="AM1015" s="64">
        <f>IF(INDEX(Standings!$A$2:$C$33,MATCH(Table1[[#This Row],[AwayTeam]],Standings!$A$2:$A$33,0),2)&lt;&gt;INDEX(Standings!$A$2:$C$33,MATCH(Table1[[#This Row],[HomeTeam]],Standings!$A$2:$A$33,0),2),1,0)</f>
        <v>0</v>
      </c>
      <c r="AN1015" s="64" t="str">
        <f>INDEX(Table2[AWAY_RECORD], MATCH(Table1[[#This Row],[AwayTeam]],Table2[Team], 0), 0)</f>
        <v>0-0-0</v>
      </c>
      <c r="AO1015" s="64" t="str">
        <f>INDEX(Records!$B$2:$AG$33, MATCH(Table1[[#This Row],[AwayTeam]],Records!$A$2:$A$33, 0), MATCH(Table1[[#This Row],[HomeTeam]],Records!$A$2:$A$33, 0))</f>
        <v>0-0-0</v>
      </c>
      <c r="AP1015" s="64" t="str">
        <f>INDEX(Table2[HOME_RECORD], MATCH(Table1[[#This Row],[HomeTeam]],Table2[Team], 0), 0)</f>
        <v>1-0-0</v>
      </c>
      <c r="AQ1015" s="64" t="str">
        <f>INDEX(Records!$B$2:$AG$33, MATCH(Table1[[#This Row],[HomeTeam]],Records!$A$2:$A$33, 0), MATCH(Table1[[#This Row],[AwayTeam]],Records!$A$2:$A$33, 0))</f>
        <v>0-0-0</v>
      </c>
    </row>
    <row r="1016" spans="1:43" x14ac:dyDescent="0.25">
      <c r="A1016" s="1"/>
      <c r="D1016" t="s">
        <v>1341</v>
      </c>
      <c r="E1016" t="s">
        <v>289</v>
      </c>
      <c r="F1016" t="s">
        <v>1346</v>
      </c>
      <c r="G1016" t="s">
        <v>52</v>
      </c>
      <c r="H1016" t="s">
        <v>38</v>
      </c>
      <c r="L101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1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16" s="1"/>
      <c r="T1016" s="64" t="str">
        <f>IF(Table1[[#This Row],[ActualWinner]]="", "", IF(Table1[[#This Row],[AwayTeam]]=Table1[[#This Row],[ActualWinner]],Table1[[#This Row],[HomeTeam]],Table1[[#This Row],[AwayTeam]]))</f>
        <v/>
      </c>
      <c r="U1016" s="64">
        <f>Table1[[#This Row],[ActualAwayScore]]-Table1[[#This Row],[PredictedAwayScore]]</f>
        <v>0</v>
      </c>
      <c r="V1016" s="64">
        <f>Table1[[#This Row],[ActualHomeScore]]-Table1[[#This Row],[PredictedHomeScore]]</f>
        <v>0</v>
      </c>
      <c r="W1016" s="64">
        <f>(0.8*IF(Table1[[#This Row],[CorrectWinnerPrediction]]=1, 1, 0))+(0.1*IF(Table1[[#This Row],[CorrectAwayScorePrediction]]=1, 1, 0))+(0.1*IF(Table1[[#This Row],[CorrectHomeScorePrediction]]=1, 1, 0))</f>
        <v>0</v>
      </c>
      <c r="X101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16" s="64">
        <f>SUMIF(Table1[GameDate], Table1[[#This Row],[GameDate]], Table1[AwayGameGoalDiff])</f>
        <v>0</v>
      </c>
      <c r="AA1016" s="64">
        <f>SUMIF(Table1[GameDate], Table1[[#This Row],[GameDate]], Table1[HomeGameGoalDiff])</f>
        <v>0</v>
      </c>
      <c r="AB1016" s="64">
        <f>IF(ISBLANK(Table1[[#This Row],[ActualResult]]), 0, 1)</f>
        <v>0</v>
      </c>
      <c r="AC1016" s="64">
        <f>IF(ISBLANK(Table1[[#This Row],[ActualResult]]), 0, IF(Table1[[#This Row],[ActualWinner]]=Table1[[#This Row],[PredictedWinner]], 1, 0))</f>
        <v>0</v>
      </c>
      <c r="AD101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1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16" s="64">
        <f>IF(AND(Table1[[#This Row],[GameIsOver]]=1,Table1[[#This Row],[ActualAwayScore]]=0), 1,0)</f>
        <v>0</v>
      </c>
      <c r="AG1016" s="64">
        <f>IF(AND(Table1[[#This Row],[GameIsOver]]=1,Table1[[#This Row],[ActualHomeScore]]=0), 1,0)</f>
        <v>0</v>
      </c>
      <c r="AH1016" s="64">
        <f>IF(Table1[[#This Row],[GameIsOver]]=0,0,IF(Table1[[#This Row],[ActualWinner]]=Table1[[#This Row],[AwayTeam]], 1, 0))</f>
        <v>0</v>
      </c>
      <c r="AI1016" s="64">
        <f>IF(Table1[[#This Row],[GameIsOver]]=0,0,IF(Table1[[#This Row],[ActualWinner]]=Table1[[#This Row],[HomeTeam]], 1, 0))</f>
        <v>0</v>
      </c>
      <c r="AJ1016" s="64">
        <f>IF(INDEX(Standings!$A$2:$C$33,MATCH(Table1[[#This Row],[AwayTeam]],Standings!$A$2:$A$33,0),2)=INDEX(Standings!$A$2:$C$33,MATCH(Table1[[#This Row],[HomeTeam]],Standings!$A$2:$A$33,0),2),1,0)</f>
        <v>1</v>
      </c>
      <c r="AK1016" s="64">
        <f>IF(INDEX(Standings!$A$2:$C$33,MATCH(Table1[[#This Row],[AwayTeam]],Standings!$A$2:$A$33,0),3)=INDEX(Standings!$A$2:$C$33,MATCH(Table1[[#This Row],[HomeTeam]],Standings!$A$2:$A$33,0),3),1,0)</f>
        <v>1</v>
      </c>
      <c r="AL1016" s="64">
        <f>IF(Table1[[#This Row],[InterConf]]=1,IF(Table1[[#This Row],[InterDiv]]=0, 1, 0), 0)</f>
        <v>0</v>
      </c>
      <c r="AM1016" s="64">
        <f>IF(INDEX(Standings!$A$2:$C$33,MATCH(Table1[[#This Row],[AwayTeam]],Standings!$A$2:$A$33,0),2)&lt;&gt;INDEX(Standings!$A$2:$C$33,MATCH(Table1[[#This Row],[HomeTeam]],Standings!$A$2:$A$33,0),2),1,0)</f>
        <v>0</v>
      </c>
      <c r="AN1016" s="64" t="str">
        <f>INDEX(Table2[AWAY_RECORD], MATCH(Table1[[#This Row],[AwayTeam]],Table2[Team], 0), 0)</f>
        <v>0-0-0</v>
      </c>
      <c r="AO1016" s="64" t="str">
        <f>INDEX(Records!$B$2:$AG$33, MATCH(Table1[[#This Row],[AwayTeam]],Records!$A$2:$A$33, 0), MATCH(Table1[[#This Row],[HomeTeam]],Records!$A$2:$A$33, 0))</f>
        <v>0-0-0</v>
      </c>
      <c r="AP1016" s="64" t="str">
        <f>INDEX(Table2[HOME_RECORD], MATCH(Table1[[#This Row],[HomeTeam]],Table2[Team], 0), 0)</f>
        <v>0-0-0</v>
      </c>
      <c r="AQ1016" s="64" t="str">
        <f>INDEX(Records!$B$2:$AG$33, MATCH(Table1[[#This Row],[HomeTeam]],Records!$A$2:$A$33, 0), MATCH(Table1[[#This Row],[AwayTeam]],Records!$A$2:$A$33, 0))</f>
        <v>0-0-0</v>
      </c>
    </row>
    <row r="1017" spans="1:43" x14ac:dyDescent="0.25">
      <c r="A1017" s="1"/>
      <c r="D1017" t="s">
        <v>1341</v>
      </c>
      <c r="E1017" t="s">
        <v>178</v>
      </c>
      <c r="F1017" t="s">
        <v>1347</v>
      </c>
      <c r="G1017" t="s">
        <v>46</v>
      </c>
      <c r="H1017" t="s">
        <v>16</v>
      </c>
      <c r="L101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1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17" s="1"/>
      <c r="T1017" s="64" t="str">
        <f>IF(Table1[[#This Row],[ActualWinner]]="", "", IF(Table1[[#This Row],[AwayTeam]]=Table1[[#This Row],[ActualWinner]],Table1[[#This Row],[HomeTeam]],Table1[[#This Row],[AwayTeam]]))</f>
        <v/>
      </c>
      <c r="U1017" s="64">
        <f>Table1[[#This Row],[ActualAwayScore]]-Table1[[#This Row],[PredictedAwayScore]]</f>
        <v>0</v>
      </c>
      <c r="V1017" s="64">
        <f>Table1[[#This Row],[ActualHomeScore]]-Table1[[#This Row],[PredictedHomeScore]]</f>
        <v>0</v>
      </c>
      <c r="W1017" s="64">
        <f>(0.8*IF(Table1[[#This Row],[CorrectWinnerPrediction]]=1, 1, 0))+(0.1*IF(Table1[[#This Row],[CorrectAwayScorePrediction]]=1, 1, 0))+(0.1*IF(Table1[[#This Row],[CorrectHomeScorePrediction]]=1, 1, 0))</f>
        <v>0</v>
      </c>
      <c r="X101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17" s="64">
        <f>SUMIF(Table1[GameDate], Table1[[#This Row],[GameDate]], Table1[AwayGameGoalDiff])</f>
        <v>0</v>
      </c>
      <c r="AA1017" s="64">
        <f>SUMIF(Table1[GameDate], Table1[[#This Row],[GameDate]], Table1[HomeGameGoalDiff])</f>
        <v>0</v>
      </c>
      <c r="AB1017" s="64">
        <f>IF(ISBLANK(Table1[[#This Row],[ActualResult]]), 0, 1)</f>
        <v>0</v>
      </c>
      <c r="AC1017" s="64">
        <f>IF(ISBLANK(Table1[[#This Row],[ActualResult]]), 0, IF(Table1[[#This Row],[ActualWinner]]=Table1[[#This Row],[PredictedWinner]], 1, 0))</f>
        <v>0</v>
      </c>
      <c r="AD101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1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17" s="64">
        <f>IF(AND(Table1[[#This Row],[GameIsOver]]=1,Table1[[#This Row],[ActualAwayScore]]=0), 1,0)</f>
        <v>0</v>
      </c>
      <c r="AG1017" s="64">
        <f>IF(AND(Table1[[#This Row],[GameIsOver]]=1,Table1[[#This Row],[ActualHomeScore]]=0), 1,0)</f>
        <v>0</v>
      </c>
      <c r="AH1017" s="64">
        <f>IF(Table1[[#This Row],[GameIsOver]]=0,0,IF(Table1[[#This Row],[ActualWinner]]=Table1[[#This Row],[AwayTeam]], 1, 0))</f>
        <v>0</v>
      </c>
      <c r="AI1017" s="64">
        <f>IF(Table1[[#This Row],[GameIsOver]]=0,0,IF(Table1[[#This Row],[ActualWinner]]=Table1[[#This Row],[HomeTeam]], 1, 0))</f>
        <v>0</v>
      </c>
      <c r="AJ1017" s="64">
        <f>IF(INDEX(Standings!$A$2:$C$33,MATCH(Table1[[#This Row],[AwayTeam]],Standings!$A$2:$A$33,0),2)=INDEX(Standings!$A$2:$C$33,MATCH(Table1[[#This Row],[HomeTeam]],Standings!$A$2:$A$33,0),2),1,0)</f>
        <v>1</v>
      </c>
      <c r="AK1017" s="64">
        <f>IF(INDEX(Standings!$A$2:$C$33,MATCH(Table1[[#This Row],[AwayTeam]],Standings!$A$2:$A$33,0),3)=INDEX(Standings!$A$2:$C$33,MATCH(Table1[[#This Row],[HomeTeam]],Standings!$A$2:$A$33,0),3),1,0)</f>
        <v>0</v>
      </c>
      <c r="AL1017" s="64">
        <f>IF(Table1[[#This Row],[InterConf]]=1,IF(Table1[[#This Row],[InterDiv]]=0, 1, 0), 0)</f>
        <v>1</v>
      </c>
      <c r="AM1017" s="64">
        <f>IF(INDEX(Standings!$A$2:$C$33,MATCH(Table1[[#This Row],[AwayTeam]],Standings!$A$2:$A$33,0),2)&lt;&gt;INDEX(Standings!$A$2:$C$33,MATCH(Table1[[#This Row],[HomeTeam]],Standings!$A$2:$A$33,0),2),1,0)</f>
        <v>0</v>
      </c>
      <c r="AN1017" s="64" t="str">
        <f>INDEX(Table2[AWAY_RECORD], MATCH(Table1[[#This Row],[AwayTeam]],Table2[Team], 0), 0)</f>
        <v>1-0-0</v>
      </c>
      <c r="AO1017" s="64" t="str">
        <f>INDEX(Records!$B$2:$AG$33, MATCH(Table1[[#This Row],[AwayTeam]],Records!$A$2:$A$33, 0), MATCH(Table1[[#This Row],[HomeTeam]],Records!$A$2:$A$33, 0))</f>
        <v>0-0-0</v>
      </c>
      <c r="AP1017" s="64" t="str">
        <f>INDEX(Table2[HOME_RECORD], MATCH(Table1[[#This Row],[HomeTeam]],Table2[Team], 0), 0)</f>
        <v>0-0-0</v>
      </c>
      <c r="AQ1017" s="64" t="str">
        <f>INDEX(Records!$B$2:$AG$33, MATCH(Table1[[#This Row],[HomeTeam]],Records!$A$2:$A$33, 0), MATCH(Table1[[#This Row],[AwayTeam]],Records!$A$2:$A$33, 0))</f>
        <v>0-0-0</v>
      </c>
    </row>
    <row r="1018" spans="1:43" x14ac:dyDescent="0.25">
      <c r="A1018" s="1"/>
      <c r="D1018" t="s">
        <v>1341</v>
      </c>
      <c r="E1018" t="s">
        <v>164</v>
      </c>
      <c r="F1018" t="s">
        <v>1348</v>
      </c>
      <c r="G1018" t="s">
        <v>17</v>
      </c>
      <c r="H1018" t="s">
        <v>58</v>
      </c>
      <c r="L101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1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18" s="1"/>
      <c r="T1018" s="64" t="str">
        <f>IF(Table1[[#This Row],[ActualWinner]]="", "", IF(Table1[[#This Row],[AwayTeam]]=Table1[[#This Row],[ActualWinner]],Table1[[#This Row],[HomeTeam]],Table1[[#This Row],[AwayTeam]]))</f>
        <v/>
      </c>
      <c r="U1018" s="64">
        <f>Table1[[#This Row],[ActualAwayScore]]-Table1[[#This Row],[PredictedAwayScore]]</f>
        <v>0</v>
      </c>
      <c r="V1018" s="64">
        <f>Table1[[#This Row],[ActualHomeScore]]-Table1[[#This Row],[PredictedHomeScore]]</f>
        <v>0</v>
      </c>
      <c r="W1018" s="64">
        <f>(0.8*IF(Table1[[#This Row],[CorrectWinnerPrediction]]=1, 1, 0))+(0.1*IF(Table1[[#This Row],[CorrectAwayScorePrediction]]=1, 1, 0))+(0.1*IF(Table1[[#This Row],[CorrectHomeScorePrediction]]=1, 1, 0))</f>
        <v>0</v>
      </c>
      <c r="X101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18" s="64">
        <f>SUMIF(Table1[GameDate], Table1[[#This Row],[GameDate]], Table1[AwayGameGoalDiff])</f>
        <v>0</v>
      </c>
      <c r="AA1018" s="64">
        <f>SUMIF(Table1[GameDate], Table1[[#This Row],[GameDate]], Table1[HomeGameGoalDiff])</f>
        <v>0</v>
      </c>
      <c r="AB1018" s="64">
        <f>IF(ISBLANK(Table1[[#This Row],[ActualResult]]), 0, 1)</f>
        <v>0</v>
      </c>
      <c r="AC1018" s="64">
        <f>IF(ISBLANK(Table1[[#This Row],[ActualResult]]), 0, IF(Table1[[#This Row],[ActualWinner]]=Table1[[#This Row],[PredictedWinner]], 1, 0))</f>
        <v>0</v>
      </c>
      <c r="AD101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1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18" s="64">
        <f>IF(AND(Table1[[#This Row],[GameIsOver]]=1,Table1[[#This Row],[ActualAwayScore]]=0), 1,0)</f>
        <v>0</v>
      </c>
      <c r="AG1018" s="64">
        <f>IF(AND(Table1[[#This Row],[GameIsOver]]=1,Table1[[#This Row],[ActualHomeScore]]=0), 1,0)</f>
        <v>0</v>
      </c>
      <c r="AH1018" s="64">
        <f>IF(Table1[[#This Row],[GameIsOver]]=0,0,IF(Table1[[#This Row],[ActualWinner]]=Table1[[#This Row],[AwayTeam]], 1, 0))</f>
        <v>0</v>
      </c>
      <c r="AI1018" s="64">
        <f>IF(Table1[[#This Row],[GameIsOver]]=0,0,IF(Table1[[#This Row],[ActualWinner]]=Table1[[#This Row],[HomeTeam]], 1, 0))</f>
        <v>0</v>
      </c>
      <c r="AJ1018" s="64">
        <f>IF(INDEX(Standings!$A$2:$C$33,MATCH(Table1[[#This Row],[AwayTeam]],Standings!$A$2:$A$33,0),2)=INDEX(Standings!$A$2:$C$33,MATCH(Table1[[#This Row],[HomeTeam]],Standings!$A$2:$A$33,0),2),1,0)</f>
        <v>0</v>
      </c>
      <c r="AK1018" s="64">
        <f>IF(INDEX(Standings!$A$2:$C$33,MATCH(Table1[[#This Row],[AwayTeam]],Standings!$A$2:$A$33,0),3)=INDEX(Standings!$A$2:$C$33,MATCH(Table1[[#This Row],[HomeTeam]],Standings!$A$2:$A$33,0),3),1,0)</f>
        <v>0</v>
      </c>
      <c r="AL1018" s="64">
        <f>IF(Table1[[#This Row],[InterConf]]=1,IF(Table1[[#This Row],[InterDiv]]=0, 1, 0), 0)</f>
        <v>0</v>
      </c>
      <c r="AM1018" s="64">
        <f>IF(INDEX(Standings!$A$2:$C$33,MATCH(Table1[[#This Row],[AwayTeam]],Standings!$A$2:$A$33,0),2)&lt;&gt;INDEX(Standings!$A$2:$C$33,MATCH(Table1[[#This Row],[HomeTeam]],Standings!$A$2:$A$33,0),2),1,0)</f>
        <v>1</v>
      </c>
      <c r="AN1018" s="64" t="str">
        <f>INDEX(Table2[AWAY_RECORD], MATCH(Table1[[#This Row],[AwayTeam]],Table2[Team], 0), 0)</f>
        <v>2-0-0</v>
      </c>
      <c r="AO1018" s="64" t="str">
        <f>INDEX(Records!$B$2:$AG$33, MATCH(Table1[[#This Row],[AwayTeam]],Records!$A$2:$A$33, 0), MATCH(Table1[[#This Row],[HomeTeam]],Records!$A$2:$A$33, 0))</f>
        <v>0-0-0</v>
      </c>
      <c r="AP1018" s="64" t="str">
        <f>INDEX(Table2[HOME_RECORD], MATCH(Table1[[#This Row],[HomeTeam]],Table2[Team], 0), 0)</f>
        <v>1-0-0</v>
      </c>
      <c r="AQ1018" s="64" t="str">
        <f>INDEX(Records!$B$2:$AG$33, MATCH(Table1[[#This Row],[HomeTeam]],Records!$A$2:$A$33, 0), MATCH(Table1[[#This Row],[AwayTeam]],Records!$A$2:$A$33, 0))</f>
        <v>0-0-0</v>
      </c>
    </row>
    <row r="1019" spans="1:43" x14ac:dyDescent="0.25">
      <c r="A1019" s="1"/>
      <c r="D1019" t="s">
        <v>1341</v>
      </c>
      <c r="E1019" t="s">
        <v>164</v>
      </c>
      <c r="F1019" t="s">
        <v>1349</v>
      </c>
      <c r="G1019" t="s">
        <v>36</v>
      </c>
      <c r="H1019" t="s">
        <v>25</v>
      </c>
      <c r="L101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1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19" s="1"/>
      <c r="T1019" s="64" t="str">
        <f>IF(Table1[[#This Row],[ActualWinner]]="", "", IF(Table1[[#This Row],[AwayTeam]]=Table1[[#This Row],[ActualWinner]],Table1[[#This Row],[HomeTeam]],Table1[[#This Row],[AwayTeam]]))</f>
        <v/>
      </c>
      <c r="U1019" s="64">
        <f>Table1[[#This Row],[ActualAwayScore]]-Table1[[#This Row],[PredictedAwayScore]]</f>
        <v>0</v>
      </c>
      <c r="V1019" s="64">
        <f>Table1[[#This Row],[ActualHomeScore]]-Table1[[#This Row],[PredictedHomeScore]]</f>
        <v>0</v>
      </c>
      <c r="W1019" s="64">
        <f>(0.8*IF(Table1[[#This Row],[CorrectWinnerPrediction]]=1, 1, 0))+(0.1*IF(Table1[[#This Row],[CorrectAwayScorePrediction]]=1, 1, 0))+(0.1*IF(Table1[[#This Row],[CorrectHomeScorePrediction]]=1, 1, 0))</f>
        <v>0</v>
      </c>
      <c r="X101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19" s="64">
        <f>SUMIF(Table1[GameDate], Table1[[#This Row],[GameDate]], Table1[AwayGameGoalDiff])</f>
        <v>0</v>
      </c>
      <c r="AA1019" s="64">
        <f>SUMIF(Table1[GameDate], Table1[[#This Row],[GameDate]], Table1[HomeGameGoalDiff])</f>
        <v>0</v>
      </c>
      <c r="AB1019" s="64">
        <f>IF(ISBLANK(Table1[[#This Row],[ActualResult]]), 0, 1)</f>
        <v>0</v>
      </c>
      <c r="AC1019" s="64">
        <f>IF(ISBLANK(Table1[[#This Row],[ActualResult]]), 0, IF(Table1[[#This Row],[ActualWinner]]=Table1[[#This Row],[PredictedWinner]], 1, 0))</f>
        <v>0</v>
      </c>
      <c r="AD101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1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19" s="64">
        <f>IF(AND(Table1[[#This Row],[GameIsOver]]=1,Table1[[#This Row],[ActualAwayScore]]=0), 1,0)</f>
        <v>0</v>
      </c>
      <c r="AG1019" s="64">
        <f>IF(AND(Table1[[#This Row],[GameIsOver]]=1,Table1[[#This Row],[ActualHomeScore]]=0), 1,0)</f>
        <v>0</v>
      </c>
      <c r="AH1019" s="64">
        <f>IF(Table1[[#This Row],[GameIsOver]]=0,0,IF(Table1[[#This Row],[ActualWinner]]=Table1[[#This Row],[AwayTeam]], 1, 0))</f>
        <v>0</v>
      </c>
      <c r="AI1019" s="64">
        <f>IF(Table1[[#This Row],[GameIsOver]]=0,0,IF(Table1[[#This Row],[ActualWinner]]=Table1[[#This Row],[HomeTeam]], 1, 0))</f>
        <v>0</v>
      </c>
      <c r="AJ1019" s="64">
        <f>IF(INDEX(Standings!$A$2:$C$33,MATCH(Table1[[#This Row],[AwayTeam]],Standings!$A$2:$A$33,0),2)=INDEX(Standings!$A$2:$C$33,MATCH(Table1[[#This Row],[HomeTeam]],Standings!$A$2:$A$33,0),2),1,0)</f>
        <v>1</v>
      </c>
      <c r="AK1019" s="64">
        <f>IF(INDEX(Standings!$A$2:$C$33,MATCH(Table1[[#This Row],[AwayTeam]],Standings!$A$2:$A$33,0),3)=INDEX(Standings!$A$2:$C$33,MATCH(Table1[[#This Row],[HomeTeam]],Standings!$A$2:$A$33,0),3),1,0)</f>
        <v>1</v>
      </c>
      <c r="AL1019" s="64">
        <f>IF(Table1[[#This Row],[InterConf]]=1,IF(Table1[[#This Row],[InterDiv]]=0, 1, 0), 0)</f>
        <v>0</v>
      </c>
      <c r="AM1019" s="64">
        <f>IF(INDEX(Standings!$A$2:$C$33,MATCH(Table1[[#This Row],[AwayTeam]],Standings!$A$2:$A$33,0),2)&lt;&gt;INDEX(Standings!$A$2:$C$33,MATCH(Table1[[#This Row],[HomeTeam]],Standings!$A$2:$A$33,0),2),1,0)</f>
        <v>0</v>
      </c>
      <c r="AN1019" s="64" t="str">
        <f>INDEX(Table2[AWAY_RECORD], MATCH(Table1[[#This Row],[AwayTeam]],Table2[Team], 0), 0)</f>
        <v>0-0-0</v>
      </c>
      <c r="AO1019" s="64" t="str">
        <f>INDEX(Records!$B$2:$AG$33, MATCH(Table1[[#This Row],[AwayTeam]],Records!$A$2:$A$33, 0), MATCH(Table1[[#This Row],[HomeTeam]],Records!$A$2:$A$33, 0))</f>
        <v>0-0-0</v>
      </c>
      <c r="AP1019" s="64" t="str">
        <f>INDEX(Table2[HOME_RECORD], MATCH(Table1[[#This Row],[HomeTeam]],Table2[Team], 0), 0)</f>
        <v>0-0-1</v>
      </c>
      <c r="AQ1019" s="64" t="str">
        <f>INDEX(Records!$B$2:$AG$33, MATCH(Table1[[#This Row],[HomeTeam]],Records!$A$2:$A$33, 0), MATCH(Table1[[#This Row],[AwayTeam]],Records!$A$2:$A$33, 0))</f>
        <v>0-0-0</v>
      </c>
    </row>
    <row r="1020" spans="1:43" x14ac:dyDescent="0.25">
      <c r="A1020" s="1"/>
      <c r="D1020" t="s">
        <v>1350</v>
      </c>
      <c r="E1020" t="s">
        <v>205</v>
      </c>
      <c r="F1020" t="s">
        <v>1351</v>
      </c>
      <c r="G1020" t="s">
        <v>44</v>
      </c>
      <c r="H1020" t="s">
        <v>37</v>
      </c>
      <c r="L102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2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20" s="1"/>
      <c r="T1020" s="64" t="str">
        <f>IF(Table1[[#This Row],[ActualWinner]]="", "", IF(Table1[[#This Row],[AwayTeam]]=Table1[[#This Row],[ActualWinner]],Table1[[#This Row],[HomeTeam]],Table1[[#This Row],[AwayTeam]]))</f>
        <v/>
      </c>
      <c r="U1020" s="64">
        <f>Table1[[#This Row],[ActualAwayScore]]-Table1[[#This Row],[PredictedAwayScore]]</f>
        <v>0</v>
      </c>
      <c r="V1020" s="64">
        <f>Table1[[#This Row],[ActualHomeScore]]-Table1[[#This Row],[PredictedHomeScore]]</f>
        <v>0</v>
      </c>
      <c r="W1020" s="64">
        <f>(0.8*IF(Table1[[#This Row],[CorrectWinnerPrediction]]=1, 1, 0))+(0.1*IF(Table1[[#This Row],[CorrectAwayScorePrediction]]=1, 1, 0))+(0.1*IF(Table1[[#This Row],[CorrectHomeScorePrediction]]=1, 1, 0))</f>
        <v>0</v>
      </c>
      <c r="X102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20" s="64">
        <f>SUMIF(Table1[GameDate], Table1[[#This Row],[GameDate]], Table1[AwayGameGoalDiff])</f>
        <v>0</v>
      </c>
      <c r="AA1020" s="64">
        <f>SUMIF(Table1[GameDate], Table1[[#This Row],[GameDate]], Table1[HomeGameGoalDiff])</f>
        <v>0</v>
      </c>
      <c r="AB1020" s="64">
        <f>IF(ISBLANK(Table1[[#This Row],[ActualResult]]), 0, 1)</f>
        <v>0</v>
      </c>
      <c r="AC1020" s="64">
        <f>IF(ISBLANK(Table1[[#This Row],[ActualResult]]), 0, IF(Table1[[#This Row],[ActualWinner]]=Table1[[#This Row],[PredictedWinner]], 1, 0))</f>
        <v>0</v>
      </c>
      <c r="AD102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2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20" s="64">
        <f>IF(AND(Table1[[#This Row],[GameIsOver]]=1,Table1[[#This Row],[ActualAwayScore]]=0), 1,0)</f>
        <v>0</v>
      </c>
      <c r="AG1020" s="64">
        <f>IF(AND(Table1[[#This Row],[GameIsOver]]=1,Table1[[#This Row],[ActualHomeScore]]=0), 1,0)</f>
        <v>0</v>
      </c>
      <c r="AH1020" s="64">
        <f>IF(Table1[[#This Row],[GameIsOver]]=0,0,IF(Table1[[#This Row],[ActualWinner]]=Table1[[#This Row],[AwayTeam]], 1, 0))</f>
        <v>0</v>
      </c>
      <c r="AI1020" s="64">
        <f>IF(Table1[[#This Row],[GameIsOver]]=0,0,IF(Table1[[#This Row],[ActualWinner]]=Table1[[#This Row],[HomeTeam]], 1, 0))</f>
        <v>0</v>
      </c>
      <c r="AJ1020" s="64">
        <f>IF(INDEX(Standings!$A$2:$C$33,MATCH(Table1[[#This Row],[AwayTeam]],Standings!$A$2:$A$33,0),2)=INDEX(Standings!$A$2:$C$33,MATCH(Table1[[#This Row],[HomeTeam]],Standings!$A$2:$A$33,0),2),1,0)</f>
        <v>1</v>
      </c>
      <c r="AK1020" s="64">
        <f>IF(INDEX(Standings!$A$2:$C$33,MATCH(Table1[[#This Row],[AwayTeam]],Standings!$A$2:$A$33,0),3)=INDEX(Standings!$A$2:$C$33,MATCH(Table1[[#This Row],[HomeTeam]],Standings!$A$2:$A$33,0),3),1,0)</f>
        <v>1</v>
      </c>
      <c r="AL1020" s="64">
        <f>IF(Table1[[#This Row],[InterConf]]=1,IF(Table1[[#This Row],[InterDiv]]=0, 1, 0), 0)</f>
        <v>0</v>
      </c>
      <c r="AM1020" s="64">
        <f>IF(INDEX(Standings!$A$2:$C$33,MATCH(Table1[[#This Row],[AwayTeam]],Standings!$A$2:$A$33,0),2)&lt;&gt;INDEX(Standings!$A$2:$C$33,MATCH(Table1[[#This Row],[HomeTeam]],Standings!$A$2:$A$33,0),2),1,0)</f>
        <v>0</v>
      </c>
      <c r="AN1020" s="64" t="str">
        <f>INDEX(Table2[AWAY_RECORD], MATCH(Table1[[#This Row],[AwayTeam]],Table2[Team], 0), 0)</f>
        <v>0-0-0</v>
      </c>
      <c r="AO1020" s="64" t="str">
        <f>INDEX(Records!$B$2:$AG$33, MATCH(Table1[[#This Row],[AwayTeam]],Records!$A$2:$A$33, 0), MATCH(Table1[[#This Row],[HomeTeam]],Records!$A$2:$A$33, 0))</f>
        <v>0-0-0</v>
      </c>
      <c r="AP1020" s="64" t="str">
        <f>INDEX(Table2[HOME_RECORD], MATCH(Table1[[#This Row],[HomeTeam]],Table2[Team], 0), 0)</f>
        <v>0-1-0</v>
      </c>
      <c r="AQ1020" s="64" t="str">
        <f>INDEX(Records!$B$2:$AG$33, MATCH(Table1[[#This Row],[HomeTeam]],Records!$A$2:$A$33, 0), MATCH(Table1[[#This Row],[AwayTeam]],Records!$A$2:$A$33, 0))</f>
        <v>0-0-0</v>
      </c>
    </row>
    <row r="1021" spans="1:43" x14ac:dyDescent="0.25">
      <c r="A1021" s="1"/>
      <c r="D1021" t="s">
        <v>1350</v>
      </c>
      <c r="E1021" t="s">
        <v>252</v>
      </c>
      <c r="F1021" t="s">
        <v>1352</v>
      </c>
      <c r="G1021" t="s">
        <v>45</v>
      </c>
      <c r="H1021" t="s">
        <v>43</v>
      </c>
      <c r="L102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2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21" s="1"/>
      <c r="T1021" s="64" t="str">
        <f>IF(Table1[[#This Row],[ActualWinner]]="", "", IF(Table1[[#This Row],[AwayTeam]]=Table1[[#This Row],[ActualWinner]],Table1[[#This Row],[HomeTeam]],Table1[[#This Row],[AwayTeam]]))</f>
        <v/>
      </c>
      <c r="U1021" s="64">
        <f>Table1[[#This Row],[ActualAwayScore]]-Table1[[#This Row],[PredictedAwayScore]]</f>
        <v>0</v>
      </c>
      <c r="V1021" s="64">
        <f>Table1[[#This Row],[ActualHomeScore]]-Table1[[#This Row],[PredictedHomeScore]]</f>
        <v>0</v>
      </c>
      <c r="W1021" s="64">
        <f>(0.8*IF(Table1[[#This Row],[CorrectWinnerPrediction]]=1, 1, 0))+(0.1*IF(Table1[[#This Row],[CorrectAwayScorePrediction]]=1, 1, 0))+(0.1*IF(Table1[[#This Row],[CorrectHomeScorePrediction]]=1, 1, 0))</f>
        <v>0</v>
      </c>
      <c r="X102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21" s="64">
        <f>SUMIF(Table1[GameDate], Table1[[#This Row],[GameDate]], Table1[AwayGameGoalDiff])</f>
        <v>0</v>
      </c>
      <c r="AA1021" s="64">
        <f>SUMIF(Table1[GameDate], Table1[[#This Row],[GameDate]], Table1[HomeGameGoalDiff])</f>
        <v>0</v>
      </c>
      <c r="AB1021" s="64">
        <f>IF(ISBLANK(Table1[[#This Row],[ActualResult]]), 0, 1)</f>
        <v>0</v>
      </c>
      <c r="AC1021" s="64">
        <f>IF(ISBLANK(Table1[[#This Row],[ActualResult]]), 0, IF(Table1[[#This Row],[ActualWinner]]=Table1[[#This Row],[PredictedWinner]], 1, 0))</f>
        <v>0</v>
      </c>
      <c r="AD102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2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21" s="64">
        <f>IF(AND(Table1[[#This Row],[GameIsOver]]=1,Table1[[#This Row],[ActualAwayScore]]=0), 1,0)</f>
        <v>0</v>
      </c>
      <c r="AG1021" s="64">
        <f>IF(AND(Table1[[#This Row],[GameIsOver]]=1,Table1[[#This Row],[ActualHomeScore]]=0), 1,0)</f>
        <v>0</v>
      </c>
      <c r="AH1021" s="64">
        <f>IF(Table1[[#This Row],[GameIsOver]]=0,0,IF(Table1[[#This Row],[ActualWinner]]=Table1[[#This Row],[AwayTeam]], 1, 0))</f>
        <v>0</v>
      </c>
      <c r="AI1021" s="64">
        <f>IF(Table1[[#This Row],[GameIsOver]]=0,0,IF(Table1[[#This Row],[ActualWinner]]=Table1[[#This Row],[HomeTeam]], 1, 0))</f>
        <v>0</v>
      </c>
      <c r="AJ1021" s="64">
        <f>IF(INDEX(Standings!$A$2:$C$33,MATCH(Table1[[#This Row],[AwayTeam]],Standings!$A$2:$A$33,0),2)=INDEX(Standings!$A$2:$C$33,MATCH(Table1[[#This Row],[HomeTeam]],Standings!$A$2:$A$33,0),2),1,0)</f>
        <v>1</v>
      </c>
      <c r="AK1021" s="64">
        <f>IF(INDEX(Standings!$A$2:$C$33,MATCH(Table1[[#This Row],[AwayTeam]],Standings!$A$2:$A$33,0),3)=INDEX(Standings!$A$2:$C$33,MATCH(Table1[[#This Row],[HomeTeam]],Standings!$A$2:$A$33,0),3),1,0)</f>
        <v>0</v>
      </c>
      <c r="AL1021" s="64">
        <f>IF(Table1[[#This Row],[InterConf]]=1,IF(Table1[[#This Row],[InterDiv]]=0, 1, 0), 0)</f>
        <v>1</v>
      </c>
      <c r="AM1021" s="64">
        <f>IF(INDEX(Standings!$A$2:$C$33,MATCH(Table1[[#This Row],[AwayTeam]],Standings!$A$2:$A$33,0),2)&lt;&gt;INDEX(Standings!$A$2:$C$33,MATCH(Table1[[#This Row],[HomeTeam]],Standings!$A$2:$A$33,0),2),1,0)</f>
        <v>0</v>
      </c>
      <c r="AN1021" s="64" t="str">
        <f>INDEX(Table2[AWAY_RECORD], MATCH(Table1[[#This Row],[AwayTeam]],Table2[Team], 0), 0)</f>
        <v>1-0-0</v>
      </c>
      <c r="AO1021" s="64" t="str">
        <f>INDEX(Records!$B$2:$AG$33, MATCH(Table1[[#This Row],[AwayTeam]],Records!$A$2:$A$33, 0), MATCH(Table1[[#This Row],[HomeTeam]],Records!$A$2:$A$33, 0))</f>
        <v>0-0-0</v>
      </c>
      <c r="AP1021" s="64" t="str">
        <f>INDEX(Table2[HOME_RECORD], MATCH(Table1[[#This Row],[HomeTeam]],Table2[Team], 0), 0)</f>
        <v>0-0-0</v>
      </c>
      <c r="AQ1021" s="64" t="str">
        <f>INDEX(Records!$B$2:$AG$33, MATCH(Table1[[#This Row],[HomeTeam]],Records!$A$2:$A$33, 0), MATCH(Table1[[#This Row],[AwayTeam]],Records!$A$2:$A$33, 0))</f>
        <v>0-0-0</v>
      </c>
    </row>
    <row r="1022" spans="1:43" x14ac:dyDescent="0.25">
      <c r="A1022" s="1"/>
      <c r="D1022" t="s">
        <v>1350</v>
      </c>
      <c r="E1022" t="s">
        <v>158</v>
      </c>
      <c r="F1022" t="s">
        <v>1353</v>
      </c>
      <c r="G1022" t="s">
        <v>22</v>
      </c>
      <c r="H1022" t="s">
        <v>61</v>
      </c>
      <c r="L102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2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22" s="1"/>
      <c r="T1022" s="64" t="str">
        <f>IF(Table1[[#This Row],[ActualWinner]]="", "", IF(Table1[[#This Row],[AwayTeam]]=Table1[[#This Row],[ActualWinner]],Table1[[#This Row],[HomeTeam]],Table1[[#This Row],[AwayTeam]]))</f>
        <v/>
      </c>
      <c r="U1022" s="64">
        <f>Table1[[#This Row],[ActualAwayScore]]-Table1[[#This Row],[PredictedAwayScore]]</f>
        <v>0</v>
      </c>
      <c r="V1022" s="64">
        <f>Table1[[#This Row],[ActualHomeScore]]-Table1[[#This Row],[PredictedHomeScore]]</f>
        <v>0</v>
      </c>
      <c r="W1022" s="64">
        <f>(0.8*IF(Table1[[#This Row],[CorrectWinnerPrediction]]=1, 1, 0))+(0.1*IF(Table1[[#This Row],[CorrectAwayScorePrediction]]=1, 1, 0))+(0.1*IF(Table1[[#This Row],[CorrectHomeScorePrediction]]=1, 1, 0))</f>
        <v>0</v>
      </c>
      <c r="X102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22" s="64">
        <f>SUMIF(Table1[GameDate], Table1[[#This Row],[GameDate]], Table1[AwayGameGoalDiff])</f>
        <v>0</v>
      </c>
      <c r="AA1022" s="64">
        <f>SUMIF(Table1[GameDate], Table1[[#This Row],[GameDate]], Table1[HomeGameGoalDiff])</f>
        <v>0</v>
      </c>
      <c r="AB1022" s="64">
        <f>IF(ISBLANK(Table1[[#This Row],[ActualResult]]), 0, 1)</f>
        <v>0</v>
      </c>
      <c r="AC1022" s="64">
        <f>IF(ISBLANK(Table1[[#This Row],[ActualResult]]), 0, IF(Table1[[#This Row],[ActualWinner]]=Table1[[#This Row],[PredictedWinner]], 1, 0))</f>
        <v>0</v>
      </c>
      <c r="AD102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2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22" s="64">
        <f>IF(AND(Table1[[#This Row],[GameIsOver]]=1,Table1[[#This Row],[ActualAwayScore]]=0), 1,0)</f>
        <v>0</v>
      </c>
      <c r="AG1022" s="64">
        <f>IF(AND(Table1[[#This Row],[GameIsOver]]=1,Table1[[#This Row],[ActualHomeScore]]=0), 1,0)</f>
        <v>0</v>
      </c>
      <c r="AH1022" s="64">
        <f>IF(Table1[[#This Row],[GameIsOver]]=0,0,IF(Table1[[#This Row],[ActualWinner]]=Table1[[#This Row],[AwayTeam]], 1, 0))</f>
        <v>0</v>
      </c>
      <c r="AI1022" s="64">
        <f>IF(Table1[[#This Row],[GameIsOver]]=0,0,IF(Table1[[#This Row],[ActualWinner]]=Table1[[#This Row],[HomeTeam]], 1, 0))</f>
        <v>0</v>
      </c>
      <c r="AJ1022" s="64">
        <f>IF(INDEX(Standings!$A$2:$C$33,MATCH(Table1[[#This Row],[AwayTeam]],Standings!$A$2:$A$33,0),2)=INDEX(Standings!$A$2:$C$33,MATCH(Table1[[#This Row],[HomeTeam]],Standings!$A$2:$A$33,0),2),1,0)</f>
        <v>1</v>
      </c>
      <c r="AK1022" s="64">
        <f>IF(INDEX(Standings!$A$2:$C$33,MATCH(Table1[[#This Row],[AwayTeam]],Standings!$A$2:$A$33,0),3)=INDEX(Standings!$A$2:$C$33,MATCH(Table1[[#This Row],[HomeTeam]],Standings!$A$2:$A$33,0),3),1,0)</f>
        <v>1</v>
      </c>
      <c r="AL1022" s="64">
        <f>IF(Table1[[#This Row],[InterConf]]=1,IF(Table1[[#This Row],[InterDiv]]=0, 1, 0), 0)</f>
        <v>0</v>
      </c>
      <c r="AM1022" s="64">
        <f>IF(INDEX(Standings!$A$2:$C$33,MATCH(Table1[[#This Row],[AwayTeam]],Standings!$A$2:$A$33,0),2)&lt;&gt;INDEX(Standings!$A$2:$C$33,MATCH(Table1[[#This Row],[HomeTeam]],Standings!$A$2:$A$33,0),2),1,0)</f>
        <v>0</v>
      </c>
      <c r="AN1022" s="64" t="str">
        <f>INDEX(Table2[AWAY_RECORD], MATCH(Table1[[#This Row],[AwayTeam]],Table2[Team], 0), 0)</f>
        <v>0-0-1</v>
      </c>
      <c r="AO1022" s="64" t="str">
        <f>INDEX(Records!$B$2:$AG$33, MATCH(Table1[[#This Row],[AwayTeam]],Records!$A$2:$A$33, 0), MATCH(Table1[[#This Row],[HomeTeam]],Records!$A$2:$A$33, 0))</f>
        <v>0-0-0</v>
      </c>
      <c r="AP1022" s="64" t="str">
        <f>INDEX(Table2[HOME_RECORD], MATCH(Table1[[#This Row],[HomeTeam]],Table2[Team], 0), 0)</f>
        <v>0-0-0</v>
      </c>
      <c r="AQ1022" s="64" t="str">
        <f>INDEX(Records!$B$2:$AG$33, MATCH(Table1[[#This Row],[HomeTeam]],Records!$A$2:$A$33, 0), MATCH(Table1[[#This Row],[AwayTeam]],Records!$A$2:$A$33, 0))</f>
        <v>0-0-0</v>
      </c>
    </row>
    <row r="1023" spans="1:43" x14ac:dyDescent="0.25">
      <c r="A1023" s="1"/>
      <c r="D1023" t="s">
        <v>1350</v>
      </c>
      <c r="E1023" t="s">
        <v>162</v>
      </c>
      <c r="F1023" t="s">
        <v>1354</v>
      </c>
      <c r="G1023" t="s">
        <v>24</v>
      </c>
      <c r="H1023" t="s">
        <v>38</v>
      </c>
      <c r="L102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2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23" s="1"/>
      <c r="T1023" s="64" t="str">
        <f>IF(Table1[[#This Row],[ActualWinner]]="", "", IF(Table1[[#This Row],[AwayTeam]]=Table1[[#This Row],[ActualWinner]],Table1[[#This Row],[HomeTeam]],Table1[[#This Row],[AwayTeam]]))</f>
        <v/>
      </c>
      <c r="U1023" s="64">
        <f>Table1[[#This Row],[ActualAwayScore]]-Table1[[#This Row],[PredictedAwayScore]]</f>
        <v>0</v>
      </c>
      <c r="V1023" s="64">
        <f>Table1[[#This Row],[ActualHomeScore]]-Table1[[#This Row],[PredictedHomeScore]]</f>
        <v>0</v>
      </c>
      <c r="W1023" s="64">
        <f>(0.8*IF(Table1[[#This Row],[CorrectWinnerPrediction]]=1, 1, 0))+(0.1*IF(Table1[[#This Row],[CorrectAwayScorePrediction]]=1, 1, 0))+(0.1*IF(Table1[[#This Row],[CorrectHomeScorePrediction]]=1, 1, 0))</f>
        <v>0</v>
      </c>
      <c r="X102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23" s="64">
        <f>SUMIF(Table1[GameDate], Table1[[#This Row],[GameDate]], Table1[AwayGameGoalDiff])</f>
        <v>0</v>
      </c>
      <c r="AA1023" s="64">
        <f>SUMIF(Table1[GameDate], Table1[[#This Row],[GameDate]], Table1[HomeGameGoalDiff])</f>
        <v>0</v>
      </c>
      <c r="AB1023" s="64">
        <f>IF(ISBLANK(Table1[[#This Row],[ActualResult]]), 0, 1)</f>
        <v>0</v>
      </c>
      <c r="AC1023" s="64">
        <f>IF(ISBLANK(Table1[[#This Row],[ActualResult]]), 0, IF(Table1[[#This Row],[ActualWinner]]=Table1[[#This Row],[PredictedWinner]], 1, 0))</f>
        <v>0</v>
      </c>
      <c r="AD102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2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23" s="64">
        <f>IF(AND(Table1[[#This Row],[GameIsOver]]=1,Table1[[#This Row],[ActualAwayScore]]=0), 1,0)</f>
        <v>0</v>
      </c>
      <c r="AG1023" s="64">
        <f>IF(AND(Table1[[#This Row],[GameIsOver]]=1,Table1[[#This Row],[ActualHomeScore]]=0), 1,0)</f>
        <v>0</v>
      </c>
      <c r="AH1023" s="64">
        <f>IF(Table1[[#This Row],[GameIsOver]]=0,0,IF(Table1[[#This Row],[ActualWinner]]=Table1[[#This Row],[AwayTeam]], 1, 0))</f>
        <v>0</v>
      </c>
      <c r="AI1023" s="64">
        <f>IF(Table1[[#This Row],[GameIsOver]]=0,0,IF(Table1[[#This Row],[ActualWinner]]=Table1[[#This Row],[HomeTeam]], 1, 0))</f>
        <v>0</v>
      </c>
      <c r="AJ1023" s="64">
        <f>IF(INDEX(Standings!$A$2:$C$33,MATCH(Table1[[#This Row],[AwayTeam]],Standings!$A$2:$A$33,0),2)=INDEX(Standings!$A$2:$C$33,MATCH(Table1[[#This Row],[HomeTeam]],Standings!$A$2:$A$33,0),2),1,0)</f>
        <v>1</v>
      </c>
      <c r="AK1023" s="64">
        <f>IF(INDEX(Standings!$A$2:$C$33,MATCH(Table1[[#This Row],[AwayTeam]],Standings!$A$2:$A$33,0),3)=INDEX(Standings!$A$2:$C$33,MATCH(Table1[[#This Row],[HomeTeam]],Standings!$A$2:$A$33,0),3),1,0)</f>
        <v>1</v>
      </c>
      <c r="AL1023" s="64">
        <f>IF(Table1[[#This Row],[InterConf]]=1,IF(Table1[[#This Row],[InterDiv]]=0, 1, 0), 0)</f>
        <v>0</v>
      </c>
      <c r="AM1023" s="64">
        <f>IF(INDEX(Standings!$A$2:$C$33,MATCH(Table1[[#This Row],[AwayTeam]],Standings!$A$2:$A$33,0),2)&lt;&gt;INDEX(Standings!$A$2:$C$33,MATCH(Table1[[#This Row],[HomeTeam]],Standings!$A$2:$A$33,0),2),1,0)</f>
        <v>0</v>
      </c>
      <c r="AN1023" s="64" t="str">
        <f>INDEX(Table2[AWAY_RECORD], MATCH(Table1[[#This Row],[AwayTeam]],Table2[Team], 0), 0)</f>
        <v>0-0-0</v>
      </c>
      <c r="AO1023" s="64" t="str">
        <f>INDEX(Records!$B$2:$AG$33, MATCH(Table1[[#This Row],[AwayTeam]],Records!$A$2:$A$33, 0), MATCH(Table1[[#This Row],[HomeTeam]],Records!$A$2:$A$33, 0))</f>
        <v>0-0-0</v>
      </c>
      <c r="AP1023" s="64" t="str">
        <f>INDEX(Table2[HOME_RECORD], MATCH(Table1[[#This Row],[HomeTeam]],Table2[Team], 0), 0)</f>
        <v>0-0-0</v>
      </c>
      <c r="AQ1023" s="64" t="str">
        <f>INDEX(Records!$B$2:$AG$33, MATCH(Table1[[#This Row],[HomeTeam]],Records!$A$2:$A$33, 0), MATCH(Table1[[#This Row],[AwayTeam]],Records!$A$2:$A$33, 0))</f>
        <v>0-0-0</v>
      </c>
    </row>
    <row r="1024" spans="1:43" x14ac:dyDescent="0.25">
      <c r="A1024" s="1"/>
      <c r="D1024" t="s">
        <v>1350</v>
      </c>
      <c r="E1024" t="s">
        <v>162</v>
      </c>
      <c r="F1024" t="s">
        <v>1355</v>
      </c>
      <c r="G1024" t="s">
        <v>55</v>
      </c>
      <c r="H1024" t="s">
        <v>53</v>
      </c>
      <c r="L102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2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24" s="1"/>
      <c r="T1024" s="64" t="str">
        <f>IF(Table1[[#This Row],[ActualWinner]]="", "", IF(Table1[[#This Row],[AwayTeam]]=Table1[[#This Row],[ActualWinner]],Table1[[#This Row],[HomeTeam]],Table1[[#This Row],[AwayTeam]]))</f>
        <v/>
      </c>
      <c r="U1024" s="64">
        <f>Table1[[#This Row],[ActualAwayScore]]-Table1[[#This Row],[PredictedAwayScore]]</f>
        <v>0</v>
      </c>
      <c r="V1024" s="64">
        <f>Table1[[#This Row],[ActualHomeScore]]-Table1[[#This Row],[PredictedHomeScore]]</f>
        <v>0</v>
      </c>
      <c r="W1024" s="64">
        <f>(0.8*IF(Table1[[#This Row],[CorrectWinnerPrediction]]=1, 1, 0))+(0.1*IF(Table1[[#This Row],[CorrectAwayScorePrediction]]=1, 1, 0))+(0.1*IF(Table1[[#This Row],[CorrectHomeScorePrediction]]=1, 1, 0))</f>
        <v>0</v>
      </c>
      <c r="X102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24" s="64">
        <f>SUMIF(Table1[GameDate], Table1[[#This Row],[GameDate]], Table1[AwayGameGoalDiff])</f>
        <v>0</v>
      </c>
      <c r="AA1024" s="64">
        <f>SUMIF(Table1[GameDate], Table1[[#This Row],[GameDate]], Table1[HomeGameGoalDiff])</f>
        <v>0</v>
      </c>
      <c r="AB1024" s="64">
        <f>IF(ISBLANK(Table1[[#This Row],[ActualResult]]), 0, 1)</f>
        <v>0</v>
      </c>
      <c r="AC1024" s="64">
        <f>IF(ISBLANK(Table1[[#This Row],[ActualResult]]), 0, IF(Table1[[#This Row],[ActualWinner]]=Table1[[#This Row],[PredictedWinner]], 1, 0))</f>
        <v>0</v>
      </c>
      <c r="AD102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2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24" s="64">
        <f>IF(AND(Table1[[#This Row],[GameIsOver]]=1,Table1[[#This Row],[ActualAwayScore]]=0), 1,0)</f>
        <v>0</v>
      </c>
      <c r="AG1024" s="64">
        <f>IF(AND(Table1[[#This Row],[GameIsOver]]=1,Table1[[#This Row],[ActualHomeScore]]=0), 1,0)</f>
        <v>0</v>
      </c>
      <c r="AH1024" s="64">
        <f>IF(Table1[[#This Row],[GameIsOver]]=0,0,IF(Table1[[#This Row],[ActualWinner]]=Table1[[#This Row],[AwayTeam]], 1, 0))</f>
        <v>0</v>
      </c>
      <c r="AI1024" s="64">
        <f>IF(Table1[[#This Row],[GameIsOver]]=0,0,IF(Table1[[#This Row],[ActualWinner]]=Table1[[#This Row],[HomeTeam]], 1, 0))</f>
        <v>0</v>
      </c>
      <c r="AJ1024" s="64">
        <f>IF(INDEX(Standings!$A$2:$C$33,MATCH(Table1[[#This Row],[AwayTeam]],Standings!$A$2:$A$33,0),2)=INDEX(Standings!$A$2:$C$33,MATCH(Table1[[#This Row],[HomeTeam]],Standings!$A$2:$A$33,0),2),1,0)</f>
        <v>0</v>
      </c>
      <c r="AK1024" s="64">
        <f>IF(INDEX(Standings!$A$2:$C$33,MATCH(Table1[[#This Row],[AwayTeam]],Standings!$A$2:$A$33,0),3)=INDEX(Standings!$A$2:$C$33,MATCH(Table1[[#This Row],[HomeTeam]],Standings!$A$2:$A$33,0),3),1,0)</f>
        <v>0</v>
      </c>
      <c r="AL1024" s="64">
        <f>IF(Table1[[#This Row],[InterConf]]=1,IF(Table1[[#This Row],[InterDiv]]=0, 1, 0), 0)</f>
        <v>0</v>
      </c>
      <c r="AM1024" s="64">
        <f>IF(INDEX(Standings!$A$2:$C$33,MATCH(Table1[[#This Row],[AwayTeam]],Standings!$A$2:$A$33,0),2)&lt;&gt;INDEX(Standings!$A$2:$C$33,MATCH(Table1[[#This Row],[HomeTeam]],Standings!$A$2:$A$33,0),2),1,0)</f>
        <v>1</v>
      </c>
      <c r="AN1024" s="64" t="str">
        <f>INDEX(Table2[AWAY_RECORD], MATCH(Table1[[#This Row],[AwayTeam]],Table2[Team], 0), 0)</f>
        <v>0-0-0</v>
      </c>
      <c r="AO1024" s="64" t="str">
        <f>INDEX(Records!$B$2:$AG$33, MATCH(Table1[[#This Row],[AwayTeam]],Records!$A$2:$A$33, 0), MATCH(Table1[[#This Row],[HomeTeam]],Records!$A$2:$A$33, 0))</f>
        <v>0-0-0</v>
      </c>
      <c r="AP1024" s="64" t="str">
        <f>INDEX(Table2[HOME_RECORD], MATCH(Table1[[#This Row],[HomeTeam]],Table2[Team], 0), 0)</f>
        <v>1-0-0</v>
      </c>
      <c r="AQ1024" s="64" t="str">
        <f>INDEX(Records!$B$2:$AG$33, MATCH(Table1[[#This Row],[HomeTeam]],Records!$A$2:$A$33, 0), MATCH(Table1[[#This Row],[AwayTeam]],Records!$A$2:$A$33, 0))</f>
        <v>0-0-0</v>
      </c>
    </row>
    <row r="1025" spans="1:43" x14ac:dyDescent="0.25">
      <c r="A1025" s="1"/>
      <c r="D1025" t="s">
        <v>1350</v>
      </c>
      <c r="E1025" t="s">
        <v>162</v>
      </c>
      <c r="F1025" t="s">
        <v>1356</v>
      </c>
      <c r="G1025" t="s">
        <v>57</v>
      </c>
      <c r="H1025" t="s">
        <v>40</v>
      </c>
      <c r="L102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2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25" s="1"/>
      <c r="T1025" s="64" t="str">
        <f>IF(Table1[[#This Row],[ActualWinner]]="", "", IF(Table1[[#This Row],[AwayTeam]]=Table1[[#This Row],[ActualWinner]],Table1[[#This Row],[HomeTeam]],Table1[[#This Row],[AwayTeam]]))</f>
        <v/>
      </c>
      <c r="U1025" s="64">
        <f>Table1[[#This Row],[ActualAwayScore]]-Table1[[#This Row],[PredictedAwayScore]]</f>
        <v>0</v>
      </c>
      <c r="V1025" s="64">
        <f>Table1[[#This Row],[ActualHomeScore]]-Table1[[#This Row],[PredictedHomeScore]]</f>
        <v>0</v>
      </c>
      <c r="W1025" s="64">
        <f>(0.8*IF(Table1[[#This Row],[CorrectWinnerPrediction]]=1, 1, 0))+(0.1*IF(Table1[[#This Row],[CorrectAwayScorePrediction]]=1, 1, 0))+(0.1*IF(Table1[[#This Row],[CorrectHomeScorePrediction]]=1, 1, 0))</f>
        <v>0</v>
      </c>
      <c r="X102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25" s="64">
        <f>SUMIF(Table1[GameDate], Table1[[#This Row],[GameDate]], Table1[AwayGameGoalDiff])</f>
        <v>0</v>
      </c>
      <c r="AA1025" s="64">
        <f>SUMIF(Table1[GameDate], Table1[[#This Row],[GameDate]], Table1[HomeGameGoalDiff])</f>
        <v>0</v>
      </c>
      <c r="AB1025" s="64">
        <f>IF(ISBLANK(Table1[[#This Row],[ActualResult]]), 0, 1)</f>
        <v>0</v>
      </c>
      <c r="AC1025" s="64">
        <f>IF(ISBLANK(Table1[[#This Row],[ActualResult]]), 0, IF(Table1[[#This Row],[ActualWinner]]=Table1[[#This Row],[PredictedWinner]], 1, 0))</f>
        <v>0</v>
      </c>
      <c r="AD102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2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25" s="64">
        <f>IF(AND(Table1[[#This Row],[GameIsOver]]=1,Table1[[#This Row],[ActualAwayScore]]=0), 1,0)</f>
        <v>0</v>
      </c>
      <c r="AG1025" s="64">
        <f>IF(AND(Table1[[#This Row],[GameIsOver]]=1,Table1[[#This Row],[ActualHomeScore]]=0), 1,0)</f>
        <v>0</v>
      </c>
      <c r="AH1025" s="64">
        <f>IF(Table1[[#This Row],[GameIsOver]]=0,0,IF(Table1[[#This Row],[ActualWinner]]=Table1[[#This Row],[AwayTeam]], 1, 0))</f>
        <v>0</v>
      </c>
      <c r="AI1025" s="64">
        <f>IF(Table1[[#This Row],[GameIsOver]]=0,0,IF(Table1[[#This Row],[ActualWinner]]=Table1[[#This Row],[HomeTeam]], 1, 0))</f>
        <v>0</v>
      </c>
      <c r="AJ1025" s="64">
        <f>IF(INDEX(Standings!$A$2:$C$33,MATCH(Table1[[#This Row],[AwayTeam]],Standings!$A$2:$A$33,0),2)=INDEX(Standings!$A$2:$C$33,MATCH(Table1[[#This Row],[HomeTeam]],Standings!$A$2:$A$33,0),2),1,0)</f>
        <v>1</v>
      </c>
      <c r="AK1025" s="64">
        <f>IF(INDEX(Standings!$A$2:$C$33,MATCH(Table1[[#This Row],[AwayTeam]],Standings!$A$2:$A$33,0),3)=INDEX(Standings!$A$2:$C$33,MATCH(Table1[[#This Row],[HomeTeam]],Standings!$A$2:$A$33,0),3),1,0)</f>
        <v>0</v>
      </c>
      <c r="AL1025" s="64">
        <f>IF(Table1[[#This Row],[InterConf]]=1,IF(Table1[[#This Row],[InterDiv]]=0, 1, 0), 0)</f>
        <v>1</v>
      </c>
      <c r="AM1025" s="64">
        <f>IF(INDEX(Standings!$A$2:$C$33,MATCH(Table1[[#This Row],[AwayTeam]],Standings!$A$2:$A$33,0),2)&lt;&gt;INDEX(Standings!$A$2:$C$33,MATCH(Table1[[#This Row],[HomeTeam]],Standings!$A$2:$A$33,0),2),1,0)</f>
        <v>0</v>
      </c>
      <c r="AN1025" s="64" t="str">
        <f>INDEX(Table2[AWAY_RECORD], MATCH(Table1[[#This Row],[AwayTeam]],Table2[Team], 0), 0)</f>
        <v>0-1-0</v>
      </c>
      <c r="AO1025" s="64" t="str">
        <f>INDEX(Records!$B$2:$AG$33, MATCH(Table1[[#This Row],[AwayTeam]],Records!$A$2:$A$33, 0), MATCH(Table1[[#This Row],[HomeTeam]],Records!$A$2:$A$33, 0))</f>
        <v>0-0-0</v>
      </c>
      <c r="AP1025" s="64" t="str">
        <f>INDEX(Table2[HOME_RECORD], MATCH(Table1[[#This Row],[HomeTeam]],Table2[Team], 0), 0)</f>
        <v>1-1-0</v>
      </c>
      <c r="AQ1025" s="64" t="str">
        <f>INDEX(Records!$B$2:$AG$33, MATCH(Table1[[#This Row],[HomeTeam]],Records!$A$2:$A$33, 0), MATCH(Table1[[#This Row],[AwayTeam]],Records!$A$2:$A$33, 0))</f>
        <v>0-0-0</v>
      </c>
    </row>
    <row r="1026" spans="1:43" x14ac:dyDescent="0.25">
      <c r="A1026" s="1"/>
      <c r="D1026" t="s">
        <v>1350</v>
      </c>
      <c r="E1026" t="s">
        <v>162</v>
      </c>
      <c r="F1026" t="s">
        <v>1357</v>
      </c>
      <c r="G1026" t="s">
        <v>50</v>
      </c>
      <c r="H1026" t="s">
        <v>42</v>
      </c>
      <c r="L102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2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26" s="1"/>
      <c r="T1026" s="64" t="str">
        <f>IF(Table1[[#This Row],[ActualWinner]]="", "", IF(Table1[[#This Row],[AwayTeam]]=Table1[[#This Row],[ActualWinner]],Table1[[#This Row],[HomeTeam]],Table1[[#This Row],[AwayTeam]]))</f>
        <v/>
      </c>
      <c r="U1026" s="64">
        <f>Table1[[#This Row],[ActualAwayScore]]-Table1[[#This Row],[PredictedAwayScore]]</f>
        <v>0</v>
      </c>
      <c r="V1026" s="64">
        <f>Table1[[#This Row],[ActualHomeScore]]-Table1[[#This Row],[PredictedHomeScore]]</f>
        <v>0</v>
      </c>
      <c r="W1026" s="64">
        <f>(0.8*IF(Table1[[#This Row],[CorrectWinnerPrediction]]=1, 1, 0))+(0.1*IF(Table1[[#This Row],[CorrectAwayScorePrediction]]=1, 1, 0))+(0.1*IF(Table1[[#This Row],[CorrectHomeScorePrediction]]=1, 1, 0))</f>
        <v>0</v>
      </c>
      <c r="X102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26" s="64">
        <f>SUMIF(Table1[GameDate], Table1[[#This Row],[GameDate]], Table1[AwayGameGoalDiff])</f>
        <v>0</v>
      </c>
      <c r="AA1026" s="64">
        <f>SUMIF(Table1[GameDate], Table1[[#This Row],[GameDate]], Table1[HomeGameGoalDiff])</f>
        <v>0</v>
      </c>
      <c r="AB1026" s="64">
        <f>IF(ISBLANK(Table1[[#This Row],[ActualResult]]), 0, 1)</f>
        <v>0</v>
      </c>
      <c r="AC1026" s="64">
        <f>IF(ISBLANK(Table1[[#This Row],[ActualResult]]), 0, IF(Table1[[#This Row],[ActualWinner]]=Table1[[#This Row],[PredictedWinner]], 1, 0))</f>
        <v>0</v>
      </c>
      <c r="AD102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2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26" s="64">
        <f>IF(AND(Table1[[#This Row],[GameIsOver]]=1,Table1[[#This Row],[ActualAwayScore]]=0), 1,0)</f>
        <v>0</v>
      </c>
      <c r="AG1026" s="64">
        <f>IF(AND(Table1[[#This Row],[GameIsOver]]=1,Table1[[#This Row],[ActualHomeScore]]=0), 1,0)</f>
        <v>0</v>
      </c>
      <c r="AH1026" s="64">
        <f>IF(Table1[[#This Row],[GameIsOver]]=0,0,IF(Table1[[#This Row],[ActualWinner]]=Table1[[#This Row],[AwayTeam]], 1, 0))</f>
        <v>0</v>
      </c>
      <c r="AI1026" s="64">
        <f>IF(Table1[[#This Row],[GameIsOver]]=0,0,IF(Table1[[#This Row],[ActualWinner]]=Table1[[#This Row],[HomeTeam]], 1, 0))</f>
        <v>0</v>
      </c>
      <c r="AJ1026" s="64">
        <f>IF(INDEX(Standings!$A$2:$C$33,MATCH(Table1[[#This Row],[AwayTeam]],Standings!$A$2:$A$33,0),2)=INDEX(Standings!$A$2:$C$33,MATCH(Table1[[#This Row],[HomeTeam]],Standings!$A$2:$A$33,0),2),1,0)</f>
        <v>1</v>
      </c>
      <c r="AK1026" s="64">
        <f>IF(INDEX(Standings!$A$2:$C$33,MATCH(Table1[[#This Row],[AwayTeam]],Standings!$A$2:$A$33,0),3)=INDEX(Standings!$A$2:$C$33,MATCH(Table1[[#This Row],[HomeTeam]],Standings!$A$2:$A$33,0),3),1,0)</f>
        <v>1</v>
      </c>
      <c r="AL1026" s="64">
        <f>IF(Table1[[#This Row],[InterConf]]=1,IF(Table1[[#This Row],[InterDiv]]=0, 1, 0), 0)</f>
        <v>0</v>
      </c>
      <c r="AM1026" s="64">
        <f>IF(INDEX(Standings!$A$2:$C$33,MATCH(Table1[[#This Row],[AwayTeam]],Standings!$A$2:$A$33,0),2)&lt;&gt;INDEX(Standings!$A$2:$C$33,MATCH(Table1[[#This Row],[HomeTeam]],Standings!$A$2:$A$33,0),2),1,0)</f>
        <v>0</v>
      </c>
      <c r="AN1026" s="64" t="str">
        <f>INDEX(Table2[AWAY_RECORD], MATCH(Table1[[#This Row],[AwayTeam]],Table2[Team], 0), 0)</f>
        <v>1-0-0</v>
      </c>
      <c r="AO1026" s="64" t="str">
        <f>INDEX(Records!$B$2:$AG$33, MATCH(Table1[[#This Row],[AwayTeam]],Records!$A$2:$A$33, 0), MATCH(Table1[[#This Row],[HomeTeam]],Records!$A$2:$A$33, 0))</f>
        <v>0-0-0</v>
      </c>
      <c r="AP1026" s="64" t="str">
        <f>INDEX(Table2[HOME_RECORD], MATCH(Table1[[#This Row],[HomeTeam]],Table2[Team], 0), 0)</f>
        <v>1-0-0</v>
      </c>
      <c r="AQ1026" s="64" t="str">
        <f>INDEX(Records!$B$2:$AG$33, MATCH(Table1[[#This Row],[HomeTeam]],Records!$A$2:$A$33, 0), MATCH(Table1[[#This Row],[AwayTeam]],Records!$A$2:$A$33, 0))</f>
        <v>0-0-0</v>
      </c>
    </row>
    <row r="1027" spans="1:43" x14ac:dyDescent="0.25">
      <c r="A1027" s="1"/>
      <c r="D1027" t="s">
        <v>1350</v>
      </c>
      <c r="E1027" t="s">
        <v>162</v>
      </c>
      <c r="F1027" t="s">
        <v>1358</v>
      </c>
      <c r="G1027" t="s">
        <v>17</v>
      </c>
      <c r="H1027" t="s">
        <v>41</v>
      </c>
      <c r="L102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2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27" s="1"/>
      <c r="T1027" s="64" t="str">
        <f>IF(Table1[[#This Row],[ActualWinner]]="", "", IF(Table1[[#This Row],[AwayTeam]]=Table1[[#This Row],[ActualWinner]],Table1[[#This Row],[HomeTeam]],Table1[[#This Row],[AwayTeam]]))</f>
        <v/>
      </c>
      <c r="U1027" s="64">
        <f>Table1[[#This Row],[ActualAwayScore]]-Table1[[#This Row],[PredictedAwayScore]]</f>
        <v>0</v>
      </c>
      <c r="V1027" s="64">
        <f>Table1[[#This Row],[ActualHomeScore]]-Table1[[#This Row],[PredictedHomeScore]]</f>
        <v>0</v>
      </c>
      <c r="W1027" s="64">
        <f>(0.8*IF(Table1[[#This Row],[CorrectWinnerPrediction]]=1, 1, 0))+(0.1*IF(Table1[[#This Row],[CorrectAwayScorePrediction]]=1, 1, 0))+(0.1*IF(Table1[[#This Row],[CorrectHomeScorePrediction]]=1, 1, 0))</f>
        <v>0</v>
      </c>
      <c r="X102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27" s="64">
        <f>SUMIF(Table1[GameDate], Table1[[#This Row],[GameDate]], Table1[AwayGameGoalDiff])</f>
        <v>0</v>
      </c>
      <c r="AA1027" s="64">
        <f>SUMIF(Table1[GameDate], Table1[[#This Row],[GameDate]], Table1[HomeGameGoalDiff])</f>
        <v>0</v>
      </c>
      <c r="AB1027" s="64">
        <f>IF(ISBLANK(Table1[[#This Row],[ActualResult]]), 0, 1)</f>
        <v>0</v>
      </c>
      <c r="AC1027" s="64">
        <f>IF(ISBLANK(Table1[[#This Row],[ActualResult]]), 0, IF(Table1[[#This Row],[ActualWinner]]=Table1[[#This Row],[PredictedWinner]], 1, 0))</f>
        <v>0</v>
      </c>
      <c r="AD102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2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27" s="64">
        <f>IF(AND(Table1[[#This Row],[GameIsOver]]=1,Table1[[#This Row],[ActualAwayScore]]=0), 1,0)</f>
        <v>0</v>
      </c>
      <c r="AG1027" s="64">
        <f>IF(AND(Table1[[#This Row],[GameIsOver]]=1,Table1[[#This Row],[ActualHomeScore]]=0), 1,0)</f>
        <v>0</v>
      </c>
      <c r="AH1027" s="64">
        <f>IF(Table1[[#This Row],[GameIsOver]]=0,0,IF(Table1[[#This Row],[ActualWinner]]=Table1[[#This Row],[AwayTeam]], 1, 0))</f>
        <v>0</v>
      </c>
      <c r="AI1027" s="64">
        <f>IF(Table1[[#This Row],[GameIsOver]]=0,0,IF(Table1[[#This Row],[ActualWinner]]=Table1[[#This Row],[HomeTeam]], 1, 0))</f>
        <v>0</v>
      </c>
      <c r="AJ1027" s="64">
        <f>IF(INDEX(Standings!$A$2:$C$33,MATCH(Table1[[#This Row],[AwayTeam]],Standings!$A$2:$A$33,0),2)=INDEX(Standings!$A$2:$C$33,MATCH(Table1[[#This Row],[HomeTeam]],Standings!$A$2:$A$33,0),2),1,0)</f>
        <v>0</v>
      </c>
      <c r="AK1027" s="64">
        <f>IF(INDEX(Standings!$A$2:$C$33,MATCH(Table1[[#This Row],[AwayTeam]],Standings!$A$2:$A$33,0),3)=INDEX(Standings!$A$2:$C$33,MATCH(Table1[[#This Row],[HomeTeam]],Standings!$A$2:$A$33,0),3),1,0)</f>
        <v>0</v>
      </c>
      <c r="AL1027" s="64">
        <f>IF(Table1[[#This Row],[InterConf]]=1,IF(Table1[[#This Row],[InterDiv]]=0, 1, 0), 0)</f>
        <v>0</v>
      </c>
      <c r="AM1027" s="64">
        <f>IF(INDEX(Standings!$A$2:$C$33,MATCH(Table1[[#This Row],[AwayTeam]],Standings!$A$2:$A$33,0),2)&lt;&gt;INDEX(Standings!$A$2:$C$33,MATCH(Table1[[#This Row],[HomeTeam]],Standings!$A$2:$A$33,0),2),1,0)</f>
        <v>1</v>
      </c>
      <c r="AN1027" s="64" t="str">
        <f>INDEX(Table2[AWAY_RECORD], MATCH(Table1[[#This Row],[AwayTeam]],Table2[Team], 0), 0)</f>
        <v>2-0-0</v>
      </c>
      <c r="AO1027" s="64" t="str">
        <f>INDEX(Records!$B$2:$AG$33, MATCH(Table1[[#This Row],[AwayTeam]],Records!$A$2:$A$33, 0), MATCH(Table1[[#This Row],[HomeTeam]],Records!$A$2:$A$33, 0))</f>
        <v>0-0-0</v>
      </c>
      <c r="AP1027" s="64" t="str">
        <f>INDEX(Table2[HOME_RECORD], MATCH(Table1[[#This Row],[HomeTeam]],Table2[Team], 0), 0)</f>
        <v>0-0-1</v>
      </c>
      <c r="AQ1027" s="64" t="str">
        <f>INDEX(Records!$B$2:$AG$33, MATCH(Table1[[#This Row],[HomeTeam]],Records!$A$2:$A$33, 0), MATCH(Table1[[#This Row],[AwayTeam]],Records!$A$2:$A$33, 0))</f>
        <v>0-0-0</v>
      </c>
    </row>
    <row r="1028" spans="1:43" x14ac:dyDescent="0.25">
      <c r="A1028" s="1"/>
      <c r="D1028" t="s">
        <v>1350</v>
      </c>
      <c r="E1028" t="s">
        <v>162</v>
      </c>
      <c r="F1028" t="s">
        <v>1359</v>
      </c>
      <c r="G1028" t="s">
        <v>47</v>
      </c>
      <c r="H1028" t="s">
        <v>36</v>
      </c>
      <c r="L102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2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28" s="1"/>
      <c r="T1028" s="64" t="str">
        <f>IF(Table1[[#This Row],[ActualWinner]]="", "", IF(Table1[[#This Row],[AwayTeam]]=Table1[[#This Row],[ActualWinner]],Table1[[#This Row],[HomeTeam]],Table1[[#This Row],[AwayTeam]]))</f>
        <v/>
      </c>
      <c r="U1028" s="64">
        <f>Table1[[#This Row],[ActualAwayScore]]-Table1[[#This Row],[PredictedAwayScore]]</f>
        <v>0</v>
      </c>
      <c r="V1028" s="64">
        <f>Table1[[#This Row],[ActualHomeScore]]-Table1[[#This Row],[PredictedHomeScore]]</f>
        <v>0</v>
      </c>
      <c r="W1028" s="64">
        <f>(0.8*IF(Table1[[#This Row],[CorrectWinnerPrediction]]=1, 1, 0))+(0.1*IF(Table1[[#This Row],[CorrectAwayScorePrediction]]=1, 1, 0))+(0.1*IF(Table1[[#This Row],[CorrectHomeScorePrediction]]=1, 1, 0))</f>
        <v>0</v>
      </c>
      <c r="X102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28" s="64">
        <f>SUMIF(Table1[GameDate], Table1[[#This Row],[GameDate]], Table1[AwayGameGoalDiff])</f>
        <v>0</v>
      </c>
      <c r="AA1028" s="64">
        <f>SUMIF(Table1[GameDate], Table1[[#This Row],[GameDate]], Table1[HomeGameGoalDiff])</f>
        <v>0</v>
      </c>
      <c r="AB1028" s="64">
        <f>IF(ISBLANK(Table1[[#This Row],[ActualResult]]), 0, 1)</f>
        <v>0</v>
      </c>
      <c r="AC1028" s="64">
        <f>IF(ISBLANK(Table1[[#This Row],[ActualResult]]), 0, IF(Table1[[#This Row],[ActualWinner]]=Table1[[#This Row],[PredictedWinner]], 1, 0))</f>
        <v>0</v>
      </c>
      <c r="AD102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2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28" s="64">
        <f>IF(AND(Table1[[#This Row],[GameIsOver]]=1,Table1[[#This Row],[ActualAwayScore]]=0), 1,0)</f>
        <v>0</v>
      </c>
      <c r="AG1028" s="64">
        <f>IF(AND(Table1[[#This Row],[GameIsOver]]=1,Table1[[#This Row],[ActualHomeScore]]=0), 1,0)</f>
        <v>0</v>
      </c>
      <c r="AH1028" s="64">
        <f>IF(Table1[[#This Row],[GameIsOver]]=0,0,IF(Table1[[#This Row],[ActualWinner]]=Table1[[#This Row],[AwayTeam]], 1, 0))</f>
        <v>0</v>
      </c>
      <c r="AI1028" s="64">
        <f>IF(Table1[[#This Row],[GameIsOver]]=0,0,IF(Table1[[#This Row],[ActualWinner]]=Table1[[#This Row],[HomeTeam]], 1, 0))</f>
        <v>0</v>
      </c>
      <c r="AJ1028" s="64">
        <f>IF(INDEX(Standings!$A$2:$C$33,MATCH(Table1[[#This Row],[AwayTeam]],Standings!$A$2:$A$33,0),2)=INDEX(Standings!$A$2:$C$33,MATCH(Table1[[#This Row],[HomeTeam]],Standings!$A$2:$A$33,0),2),1,0)</f>
        <v>0</v>
      </c>
      <c r="AK1028" s="64">
        <f>IF(INDEX(Standings!$A$2:$C$33,MATCH(Table1[[#This Row],[AwayTeam]],Standings!$A$2:$A$33,0),3)=INDEX(Standings!$A$2:$C$33,MATCH(Table1[[#This Row],[HomeTeam]],Standings!$A$2:$A$33,0),3),1,0)</f>
        <v>0</v>
      </c>
      <c r="AL1028" s="64">
        <f>IF(Table1[[#This Row],[InterConf]]=1,IF(Table1[[#This Row],[InterDiv]]=0, 1, 0), 0)</f>
        <v>0</v>
      </c>
      <c r="AM1028" s="64">
        <f>IF(INDEX(Standings!$A$2:$C$33,MATCH(Table1[[#This Row],[AwayTeam]],Standings!$A$2:$A$33,0),2)&lt;&gt;INDEX(Standings!$A$2:$C$33,MATCH(Table1[[#This Row],[HomeTeam]],Standings!$A$2:$A$33,0),2),1,0)</f>
        <v>1</v>
      </c>
      <c r="AN1028" s="64" t="str">
        <f>INDEX(Table2[AWAY_RECORD], MATCH(Table1[[#This Row],[AwayTeam]],Table2[Team], 0), 0)</f>
        <v>1-0-0</v>
      </c>
      <c r="AO1028" s="64" t="str">
        <f>INDEX(Records!$B$2:$AG$33, MATCH(Table1[[#This Row],[AwayTeam]],Records!$A$2:$A$33, 0), MATCH(Table1[[#This Row],[HomeTeam]],Records!$A$2:$A$33, 0))</f>
        <v>0-0-0</v>
      </c>
      <c r="AP1028" s="64" t="str">
        <f>INDEX(Table2[HOME_RECORD], MATCH(Table1[[#This Row],[HomeTeam]],Table2[Team], 0), 0)</f>
        <v>0-0-0</v>
      </c>
      <c r="AQ1028" s="64" t="str">
        <f>INDEX(Records!$B$2:$AG$33, MATCH(Table1[[#This Row],[HomeTeam]],Records!$A$2:$A$33, 0), MATCH(Table1[[#This Row],[AwayTeam]],Records!$A$2:$A$33, 0))</f>
        <v>0-0-0</v>
      </c>
    </row>
    <row r="1029" spans="1:43" x14ac:dyDescent="0.25">
      <c r="A1029" s="1"/>
      <c r="D1029" t="s">
        <v>1350</v>
      </c>
      <c r="E1029" t="s">
        <v>162</v>
      </c>
      <c r="F1029" t="s">
        <v>1360</v>
      </c>
      <c r="G1029" t="s">
        <v>60</v>
      </c>
      <c r="H1029" t="s">
        <v>56</v>
      </c>
      <c r="L102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2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29" s="1"/>
      <c r="T1029" s="64" t="str">
        <f>IF(Table1[[#This Row],[ActualWinner]]="", "", IF(Table1[[#This Row],[AwayTeam]]=Table1[[#This Row],[ActualWinner]],Table1[[#This Row],[HomeTeam]],Table1[[#This Row],[AwayTeam]]))</f>
        <v/>
      </c>
      <c r="U1029" s="64">
        <f>Table1[[#This Row],[ActualAwayScore]]-Table1[[#This Row],[PredictedAwayScore]]</f>
        <v>0</v>
      </c>
      <c r="V1029" s="64">
        <f>Table1[[#This Row],[ActualHomeScore]]-Table1[[#This Row],[PredictedHomeScore]]</f>
        <v>0</v>
      </c>
      <c r="W1029" s="64">
        <f>(0.8*IF(Table1[[#This Row],[CorrectWinnerPrediction]]=1, 1, 0))+(0.1*IF(Table1[[#This Row],[CorrectAwayScorePrediction]]=1, 1, 0))+(0.1*IF(Table1[[#This Row],[CorrectHomeScorePrediction]]=1, 1, 0))</f>
        <v>0</v>
      </c>
      <c r="X102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29" s="64">
        <f>SUMIF(Table1[GameDate], Table1[[#This Row],[GameDate]], Table1[AwayGameGoalDiff])</f>
        <v>0</v>
      </c>
      <c r="AA1029" s="64">
        <f>SUMIF(Table1[GameDate], Table1[[#This Row],[GameDate]], Table1[HomeGameGoalDiff])</f>
        <v>0</v>
      </c>
      <c r="AB1029" s="64">
        <f>IF(ISBLANK(Table1[[#This Row],[ActualResult]]), 0, 1)</f>
        <v>0</v>
      </c>
      <c r="AC1029" s="64">
        <f>IF(ISBLANK(Table1[[#This Row],[ActualResult]]), 0, IF(Table1[[#This Row],[ActualWinner]]=Table1[[#This Row],[PredictedWinner]], 1, 0))</f>
        <v>0</v>
      </c>
      <c r="AD102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2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29" s="64">
        <f>IF(AND(Table1[[#This Row],[GameIsOver]]=1,Table1[[#This Row],[ActualAwayScore]]=0), 1,0)</f>
        <v>0</v>
      </c>
      <c r="AG1029" s="64">
        <f>IF(AND(Table1[[#This Row],[GameIsOver]]=1,Table1[[#This Row],[ActualHomeScore]]=0), 1,0)</f>
        <v>0</v>
      </c>
      <c r="AH1029" s="64">
        <f>IF(Table1[[#This Row],[GameIsOver]]=0,0,IF(Table1[[#This Row],[ActualWinner]]=Table1[[#This Row],[AwayTeam]], 1, 0))</f>
        <v>0</v>
      </c>
      <c r="AI1029" s="64">
        <f>IF(Table1[[#This Row],[GameIsOver]]=0,0,IF(Table1[[#This Row],[ActualWinner]]=Table1[[#This Row],[HomeTeam]], 1, 0))</f>
        <v>0</v>
      </c>
      <c r="AJ1029" s="64">
        <f>IF(INDEX(Standings!$A$2:$C$33,MATCH(Table1[[#This Row],[AwayTeam]],Standings!$A$2:$A$33,0),2)=INDEX(Standings!$A$2:$C$33,MATCH(Table1[[#This Row],[HomeTeam]],Standings!$A$2:$A$33,0),2),1,0)</f>
        <v>1</v>
      </c>
      <c r="AK1029" s="64">
        <f>IF(INDEX(Standings!$A$2:$C$33,MATCH(Table1[[#This Row],[AwayTeam]],Standings!$A$2:$A$33,0),3)=INDEX(Standings!$A$2:$C$33,MATCH(Table1[[#This Row],[HomeTeam]],Standings!$A$2:$A$33,0),3),1,0)</f>
        <v>0</v>
      </c>
      <c r="AL1029" s="64">
        <f>IF(Table1[[#This Row],[InterConf]]=1,IF(Table1[[#This Row],[InterDiv]]=0, 1, 0), 0)</f>
        <v>1</v>
      </c>
      <c r="AM1029" s="64">
        <f>IF(INDEX(Standings!$A$2:$C$33,MATCH(Table1[[#This Row],[AwayTeam]],Standings!$A$2:$A$33,0),2)&lt;&gt;INDEX(Standings!$A$2:$C$33,MATCH(Table1[[#This Row],[HomeTeam]],Standings!$A$2:$A$33,0),2),1,0)</f>
        <v>0</v>
      </c>
      <c r="AN1029" s="64" t="str">
        <f>INDEX(Table2[AWAY_RECORD], MATCH(Table1[[#This Row],[AwayTeam]],Table2[Team], 0), 0)</f>
        <v>0-0-0</v>
      </c>
      <c r="AO1029" s="64" t="str">
        <f>INDEX(Records!$B$2:$AG$33, MATCH(Table1[[#This Row],[AwayTeam]],Records!$A$2:$A$33, 0), MATCH(Table1[[#This Row],[HomeTeam]],Records!$A$2:$A$33, 0))</f>
        <v>0-0-0</v>
      </c>
      <c r="AP1029" s="64" t="str">
        <f>INDEX(Table2[HOME_RECORD], MATCH(Table1[[#This Row],[HomeTeam]],Table2[Team], 0), 0)</f>
        <v>0-0-0</v>
      </c>
      <c r="AQ1029" s="64" t="str">
        <f>INDEX(Records!$B$2:$AG$33, MATCH(Table1[[#This Row],[HomeTeam]],Records!$A$2:$A$33, 0), MATCH(Table1[[#This Row],[AwayTeam]],Records!$A$2:$A$33, 0))</f>
        <v>0-0-0</v>
      </c>
    </row>
    <row r="1030" spans="1:43" x14ac:dyDescent="0.25">
      <c r="A1030" s="1"/>
      <c r="D1030" t="s">
        <v>1350</v>
      </c>
      <c r="E1030" t="s">
        <v>178</v>
      </c>
      <c r="F1030" t="s">
        <v>1361</v>
      </c>
      <c r="G1030" t="s">
        <v>46</v>
      </c>
      <c r="H1030" t="s">
        <v>48</v>
      </c>
      <c r="L103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3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30" s="1"/>
      <c r="T1030" s="64" t="str">
        <f>IF(Table1[[#This Row],[ActualWinner]]="", "", IF(Table1[[#This Row],[AwayTeam]]=Table1[[#This Row],[ActualWinner]],Table1[[#This Row],[HomeTeam]],Table1[[#This Row],[AwayTeam]]))</f>
        <v/>
      </c>
      <c r="U1030" s="64">
        <f>Table1[[#This Row],[ActualAwayScore]]-Table1[[#This Row],[PredictedAwayScore]]</f>
        <v>0</v>
      </c>
      <c r="V1030" s="64">
        <f>Table1[[#This Row],[ActualHomeScore]]-Table1[[#This Row],[PredictedHomeScore]]</f>
        <v>0</v>
      </c>
      <c r="W1030" s="64">
        <f>(0.8*IF(Table1[[#This Row],[CorrectWinnerPrediction]]=1, 1, 0))+(0.1*IF(Table1[[#This Row],[CorrectAwayScorePrediction]]=1, 1, 0))+(0.1*IF(Table1[[#This Row],[CorrectHomeScorePrediction]]=1, 1, 0))</f>
        <v>0</v>
      </c>
      <c r="X103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30" s="64">
        <f>SUMIF(Table1[GameDate], Table1[[#This Row],[GameDate]], Table1[AwayGameGoalDiff])</f>
        <v>0</v>
      </c>
      <c r="AA1030" s="64">
        <f>SUMIF(Table1[GameDate], Table1[[#This Row],[GameDate]], Table1[HomeGameGoalDiff])</f>
        <v>0</v>
      </c>
      <c r="AB1030" s="64">
        <f>IF(ISBLANK(Table1[[#This Row],[ActualResult]]), 0, 1)</f>
        <v>0</v>
      </c>
      <c r="AC1030" s="64">
        <f>IF(ISBLANK(Table1[[#This Row],[ActualResult]]), 0, IF(Table1[[#This Row],[ActualWinner]]=Table1[[#This Row],[PredictedWinner]], 1, 0))</f>
        <v>0</v>
      </c>
      <c r="AD103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3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30" s="64">
        <f>IF(AND(Table1[[#This Row],[GameIsOver]]=1,Table1[[#This Row],[ActualAwayScore]]=0), 1,0)</f>
        <v>0</v>
      </c>
      <c r="AG1030" s="64">
        <f>IF(AND(Table1[[#This Row],[GameIsOver]]=1,Table1[[#This Row],[ActualHomeScore]]=0), 1,0)</f>
        <v>0</v>
      </c>
      <c r="AH1030" s="64">
        <f>IF(Table1[[#This Row],[GameIsOver]]=0,0,IF(Table1[[#This Row],[ActualWinner]]=Table1[[#This Row],[AwayTeam]], 1, 0))</f>
        <v>0</v>
      </c>
      <c r="AI1030" s="64">
        <f>IF(Table1[[#This Row],[GameIsOver]]=0,0,IF(Table1[[#This Row],[ActualWinner]]=Table1[[#This Row],[HomeTeam]], 1, 0))</f>
        <v>0</v>
      </c>
      <c r="AJ1030" s="64">
        <f>IF(INDEX(Standings!$A$2:$C$33,MATCH(Table1[[#This Row],[AwayTeam]],Standings!$A$2:$A$33,0),2)=INDEX(Standings!$A$2:$C$33,MATCH(Table1[[#This Row],[HomeTeam]],Standings!$A$2:$A$33,0),2),1,0)</f>
        <v>1</v>
      </c>
      <c r="AK1030" s="64">
        <f>IF(INDEX(Standings!$A$2:$C$33,MATCH(Table1[[#This Row],[AwayTeam]],Standings!$A$2:$A$33,0),3)=INDEX(Standings!$A$2:$C$33,MATCH(Table1[[#This Row],[HomeTeam]],Standings!$A$2:$A$33,0),3),1,0)</f>
        <v>0</v>
      </c>
      <c r="AL1030" s="64">
        <f>IF(Table1[[#This Row],[InterConf]]=1,IF(Table1[[#This Row],[InterDiv]]=0, 1, 0), 0)</f>
        <v>1</v>
      </c>
      <c r="AM1030" s="64">
        <f>IF(INDEX(Standings!$A$2:$C$33,MATCH(Table1[[#This Row],[AwayTeam]],Standings!$A$2:$A$33,0),2)&lt;&gt;INDEX(Standings!$A$2:$C$33,MATCH(Table1[[#This Row],[HomeTeam]],Standings!$A$2:$A$33,0),2),1,0)</f>
        <v>0</v>
      </c>
      <c r="AN1030" s="64" t="str">
        <f>INDEX(Table2[AWAY_RECORD], MATCH(Table1[[#This Row],[AwayTeam]],Table2[Team], 0), 0)</f>
        <v>1-0-0</v>
      </c>
      <c r="AO1030" s="64" t="str">
        <f>INDEX(Records!$B$2:$AG$33, MATCH(Table1[[#This Row],[AwayTeam]],Records!$A$2:$A$33, 0), MATCH(Table1[[#This Row],[HomeTeam]],Records!$A$2:$A$33, 0))</f>
        <v>0-0-0</v>
      </c>
      <c r="AP1030" s="64" t="str">
        <f>INDEX(Table2[HOME_RECORD], MATCH(Table1[[#This Row],[HomeTeam]],Table2[Team], 0), 0)</f>
        <v>1-0-0</v>
      </c>
      <c r="AQ1030" s="64" t="str">
        <f>INDEX(Records!$B$2:$AG$33, MATCH(Table1[[#This Row],[HomeTeam]],Records!$A$2:$A$33, 0), MATCH(Table1[[#This Row],[AwayTeam]],Records!$A$2:$A$33, 0))</f>
        <v>0-0-0</v>
      </c>
    </row>
    <row r="1031" spans="1:43" x14ac:dyDescent="0.25">
      <c r="A1031" s="1"/>
      <c r="D1031" t="s">
        <v>1362</v>
      </c>
      <c r="E1031" t="s">
        <v>298</v>
      </c>
      <c r="F1031" t="s">
        <v>1363</v>
      </c>
      <c r="G1031" t="s">
        <v>39</v>
      </c>
      <c r="H1031" t="s">
        <v>23</v>
      </c>
      <c r="L103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3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31" s="1"/>
      <c r="T1031" s="64" t="str">
        <f>IF(Table1[[#This Row],[ActualWinner]]="", "", IF(Table1[[#This Row],[AwayTeam]]=Table1[[#This Row],[ActualWinner]],Table1[[#This Row],[HomeTeam]],Table1[[#This Row],[AwayTeam]]))</f>
        <v/>
      </c>
      <c r="U1031" s="64">
        <f>Table1[[#This Row],[ActualAwayScore]]-Table1[[#This Row],[PredictedAwayScore]]</f>
        <v>0</v>
      </c>
      <c r="V1031" s="64">
        <f>Table1[[#This Row],[ActualHomeScore]]-Table1[[#This Row],[PredictedHomeScore]]</f>
        <v>0</v>
      </c>
      <c r="W1031" s="64">
        <f>(0.8*IF(Table1[[#This Row],[CorrectWinnerPrediction]]=1, 1, 0))+(0.1*IF(Table1[[#This Row],[CorrectAwayScorePrediction]]=1, 1, 0))+(0.1*IF(Table1[[#This Row],[CorrectHomeScorePrediction]]=1, 1, 0))</f>
        <v>0</v>
      </c>
      <c r="X103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31" s="64">
        <f>SUMIF(Table1[GameDate], Table1[[#This Row],[GameDate]], Table1[AwayGameGoalDiff])</f>
        <v>0</v>
      </c>
      <c r="AA1031" s="64">
        <f>SUMIF(Table1[GameDate], Table1[[#This Row],[GameDate]], Table1[HomeGameGoalDiff])</f>
        <v>0</v>
      </c>
      <c r="AB1031" s="64">
        <f>IF(ISBLANK(Table1[[#This Row],[ActualResult]]), 0, 1)</f>
        <v>0</v>
      </c>
      <c r="AC1031" s="64">
        <f>IF(ISBLANK(Table1[[#This Row],[ActualResult]]), 0, IF(Table1[[#This Row],[ActualWinner]]=Table1[[#This Row],[PredictedWinner]], 1, 0))</f>
        <v>0</v>
      </c>
      <c r="AD103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3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31" s="64">
        <f>IF(AND(Table1[[#This Row],[GameIsOver]]=1,Table1[[#This Row],[ActualAwayScore]]=0), 1,0)</f>
        <v>0</v>
      </c>
      <c r="AG1031" s="64">
        <f>IF(AND(Table1[[#This Row],[GameIsOver]]=1,Table1[[#This Row],[ActualHomeScore]]=0), 1,0)</f>
        <v>0</v>
      </c>
      <c r="AH1031" s="64">
        <f>IF(Table1[[#This Row],[GameIsOver]]=0,0,IF(Table1[[#This Row],[ActualWinner]]=Table1[[#This Row],[AwayTeam]], 1, 0))</f>
        <v>0</v>
      </c>
      <c r="AI1031" s="64">
        <f>IF(Table1[[#This Row],[GameIsOver]]=0,0,IF(Table1[[#This Row],[ActualWinner]]=Table1[[#This Row],[HomeTeam]], 1, 0))</f>
        <v>0</v>
      </c>
      <c r="AJ1031" s="64">
        <f>IF(INDEX(Standings!$A$2:$C$33,MATCH(Table1[[#This Row],[AwayTeam]],Standings!$A$2:$A$33,0),2)=INDEX(Standings!$A$2:$C$33,MATCH(Table1[[#This Row],[HomeTeam]],Standings!$A$2:$A$33,0),2),1,0)</f>
        <v>1</v>
      </c>
      <c r="AK1031" s="64">
        <f>IF(INDEX(Standings!$A$2:$C$33,MATCH(Table1[[#This Row],[AwayTeam]],Standings!$A$2:$A$33,0),3)=INDEX(Standings!$A$2:$C$33,MATCH(Table1[[#This Row],[HomeTeam]],Standings!$A$2:$A$33,0),3),1,0)</f>
        <v>1</v>
      </c>
      <c r="AL1031" s="64">
        <f>IF(Table1[[#This Row],[InterConf]]=1,IF(Table1[[#This Row],[InterDiv]]=0, 1, 0), 0)</f>
        <v>0</v>
      </c>
      <c r="AM1031" s="64">
        <f>IF(INDEX(Standings!$A$2:$C$33,MATCH(Table1[[#This Row],[AwayTeam]],Standings!$A$2:$A$33,0),2)&lt;&gt;INDEX(Standings!$A$2:$C$33,MATCH(Table1[[#This Row],[HomeTeam]],Standings!$A$2:$A$33,0),2),1,0)</f>
        <v>0</v>
      </c>
      <c r="AN1031" s="64" t="str">
        <f>INDEX(Table2[AWAY_RECORD], MATCH(Table1[[#This Row],[AwayTeam]],Table2[Team], 0), 0)</f>
        <v>0-0-0</v>
      </c>
      <c r="AO1031" s="64" t="str">
        <f>INDEX(Records!$B$2:$AG$33, MATCH(Table1[[#This Row],[AwayTeam]],Records!$A$2:$A$33, 0), MATCH(Table1[[#This Row],[HomeTeam]],Records!$A$2:$A$33, 0))</f>
        <v>0-0-0</v>
      </c>
      <c r="AP1031" s="64" t="str">
        <f>INDEX(Table2[HOME_RECORD], MATCH(Table1[[#This Row],[HomeTeam]],Table2[Team], 0), 0)</f>
        <v>0-0-1</v>
      </c>
      <c r="AQ1031" s="64" t="str">
        <f>INDEX(Records!$B$2:$AG$33, MATCH(Table1[[#This Row],[HomeTeam]],Records!$A$2:$A$33, 0), MATCH(Table1[[#This Row],[AwayTeam]],Records!$A$2:$A$33, 0))</f>
        <v>0-0-0</v>
      </c>
    </row>
    <row r="1032" spans="1:43" x14ac:dyDescent="0.25">
      <c r="A1032" s="1"/>
      <c r="D1032" t="s">
        <v>1362</v>
      </c>
      <c r="E1032" t="s">
        <v>432</v>
      </c>
      <c r="F1032" t="s">
        <v>1364</v>
      </c>
      <c r="G1032" t="s">
        <v>51</v>
      </c>
      <c r="H1032" t="s">
        <v>54</v>
      </c>
      <c r="L103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3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32" s="1"/>
      <c r="T1032" s="64" t="str">
        <f>IF(Table1[[#This Row],[ActualWinner]]="", "", IF(Table1[[#This Row],[AwayTeam]]=Table1[[#This Row],[ActualWinner]],Table1[[#This Row],[HomeTeam]],Table1[[#This Row],[AwayTeam]]))</f>
        <v/>
      </c>
      <c r="U1032" s="64">
        <f>Table1[[#This Row],[ActualAwayScore]]-Table1[[#This Row],[PredictedAwayScore]]</f>
        <v>0</v>
      </c>
      <c r="V1032" s="64">
        <f>Table1[[#This Row],[ActualHomeScore]]-Table1[[#This Row],[PredictedHomeScore]]</f>
        <v>0</v>
      </c>
      <c r="W1032" s="64">
        <f>(0.8*IF(Table1[[#This Row],[CorrectWinnerPrediction]]=1, 1, 0))+(0.1*IF(Table1[[#This Row],[CorrectAwayScorePrediction]]=1, 1, 0))+(0.1*IF(Table1[[#This Row],[CorrectHomeScorePrediction]]=1, 1, 0))</f>
        <v>0</v>
      </c>
      <c r="X103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32" s="64">
        <f>SUMIF(Table1[GameDate], Table1[[#This Row],[GameDate]], Table1[AwayGameGoalDiff])</f>
        <v>0</v>
      </c>
      <c r="AA1032" s="64">
        <f>SUMIF(Table1[GameDate], Table1[[#This Row],[GameDate]], Table1[HomeGameGoalDiff])</f>
        <v>0</v>
      </c>
      <c r="AB1032" s="64">
        <f>IF(ISBLANK(Table1[[#This Row],[ActualResult]]), 0, 1)</f>
        <v>0</v>
      </c>
      <c r="AC1032" s="64">
        <f>IF(ISBLANK(Table1[[#This Row],[ActualResult]]), 0, IF(Table1[[#This Row],[ActualWinner]]=Table1[[#This Row],[PredictedWinner]], 1, 0))</f>
        <v>0</v>
      </c>
      <c r="AD103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3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32" s="64">
        <f>IF(AND(Table1[[#This Row],[GameIsOver]]=1,Table1[[#This Row],[ActualAwayScore]]=0), 1,0)</f>
        <v>0</v>
      </c>
      <c r="AG1032" s="64">
        <f>IF(AND(Table1[[#This Row],[GameIsOver]]=1,Table1[[#This Row],[ActualHomeScore]]=0), 1,0)</f>
        <v>0</v>
      </c>
      <c r="AH1032" s="64">
        <f>IF(Table1[[#This Row],[GameIsOver]]=0,0,IF(Table1[[#This Row],[ActualWinner]]=Table1[[#This Row],[AwayTeam]], 1, 0))</f>
        <v>0</v>
      </c>
      <c r="AI1032" s="64">
        <f>IF(Table1[[#This Row],[GameIsOver]]=0,0,IF(Table1[[#This Row],[ActualWinner]]=Table1[[#This Row],[HomeTeam]], 1, 0))</f>
        <v>0</v>
      </c>
      <c r="AJ1032" s="64">
        <f>IF(INDEX(Standings!$A$2:$C$33,MATCH(Table1[[#This Row],[AwayTeam]],Standings!$A$2:$A$33,0),2)=INDEX(Standings!$A$2:$C$33,MATCH(Table1[[#This Row],[HomeTeam]],Standings!$A$2:$A$33,0),2),1,0)</f>
        <v>1</v>
      </c>
      <c r="AK1032" s="64">
        <f>IF(INDEX(Standings!$A$2:$C$33,MATCH(Table1[[#This Row],[AwayTeam]],Standings!$A$2:$A$33,0),3)=INDEX(Standings!$A$2:$C$33,MATCH(Table1[[#This Row],[HomeTeam]],Standings!$A$2:$A$33,0),3),1,0)</f>
        <v>1</v>
      </c>
      <c r="AL1032" s="64">
        <f>IF(Table1[[#This Row],[InterConf]]=1,IF(Table1[[#This Row],[InterDiv]]=0, 1, 0), 0)</f>
        <v>0</v>
      </c>
      <c r="AM1032" s="64">
        <f>IF(INDEX(Standings!$A$2:$C$33,MATCH(Table1[[#This Row],[AwayTeam]],Standings!$A$2:$A$33,0),2)&lt;&gt;INDEX(Standings!$A$2:$C$33,MATCH(Table1[[#This Row],[HomeTeam]],Standings!$A$2:$A$33,0),2),1,0)</f>
        <v>0</v>
      </c>
      <c r="AN1032" s="64" t="str">
        <f>INDEX(Table2[AWAY_RECORD], MATCH(Table1[[#This Row],[AwayTeam]],Table2[Team], 0), 0)</f>
        <v>2-0-0</v>
      </c>
      <c r="AO1032" s="64" t="str">
        <f>INDEX(Records!$B$2:$AG$33, MATCH(Table1[[#This Row],[AwayTeam]],Records!$A$2:$A$33, 0), MATCH(Table1[[#This Row],[HomeTeam]],Records!$A$2:$A$33, 0))</f>
        <v>0-0-0</v>
      </c>
      <c r="AP1032" s="64" t="str">
        <f>INDEX(Table2[HOME_RECORD], MATCH(Table1[[#This Row],[HomeTeam]],Table2[Team], 0), 0)</f>
        <v>0-0-0</v>
      </c>
      <c r="AQ1032" s="64" t="str">
        <f>INDEX(Records!$B$2:$AG$33, MATCH(Table1[[#This Row],[HomeTeam]],Records!$A$2:$A$33, 0), MATCH(Table1[[#This Row],[AwayTeam]],Records!$A$2:$A$33, 0))</f>
        <v>0-0-0</v>
      </c>
    </row>
    <row r="1033" spans="1:43" x14ac:dyDescent="0.25">
      <c r="A1033" s="1"/>
      <c r="D1033" t="s">
        <v>1362</v>
      </c>
      <c r="E1033" t="s">
        <v>443</v>
      </c>
      <c r="F1033" t="s">
        <v>1365</v>
      </c>
      <c r="G1033" t="s">
        <v>49</v>
      </c>
      <c r="H1033" t="s">
        <v>22</v>
      </c>
      <c r="L103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3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33" s="1"/>
      <c r="T1033" s="64" t="str">
        <f>IF(Table1[[#This Row],[ActualWinner]]="", "", IF(Table1[[#This Row],[AwayTeam]]=Table1[[#This Row],[ActualWinner]],Table1[[#This Row],[HomeTeam]],Table1[[#This Row],[AwayTeam]]))</f>
        <v/>
      </c>
      <c r="U1033" s="64">
        <f>Table1[[#This Row],[ActualAwayScore]]-Table1[[#This Row],[PredictedAwayScore]]</f>
        <v>0</v>
      </c>
      <c r="V1033" s="64">
        <f>Table1[[#This Row],[ActualHomeScore]]-Table1[[#This Row],[PredictedHomeScore]]</f>
        <v>0</v>
      </c>
      <c r="W1033" s="64">
        <f>(0.8*IF(Table1[[#This Row],[CorrectWinnerPrediction]]=1, 1, 0))+(0.1*IF(Table1[[#This Row],[CorrectAwayScorePrediction]]=1, 1, 0))+(0.1*IF(Table1[[#This Row],[CorrectHomeScorePrediction]]=1, 1, 0))</f>
        <v>0</v>
      </c>
      <c r="X103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33" s="64">
        <f>SUMIF(Table1[GameDate], Table1[[#This Row],[GameDate]], Table1[AwayGameGoalDiff])</f>
        <v>0</v>
      </c>
      <c r="AA1033" s="64">
        <f>SUMIF(Table1[GameDate], Table1[[#This Row],[GameDate]], Table1[HomeGameGoalDiff])</f>
        <v>0</v>
      </c>
      <c r="AB1033" s="64">
        <f>IF(ISBLANK(Table1[[#This Row],[ActualResult]]), 0, 1)</f>
        <v>0</v>
      </c>
      <c r="AC1033" s="64">
        <f>IF(ISBLANK(Table1[[#This Row],[ActualResult]]), 0, IF(Table1[[#This Row],[ActualWinner]]=Table1[[#This Row],[PredictedWinner]], 1, 0))</f>
        <v>0</v>
      </c>
      <c r="AD103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3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33" s="64">
        <f>IF(AND(Table1[[#This Row],[GameIsOver]]=1,Table1[[#This Row],[ActualAwayScore]]=0), 1,0)</f>
        <v>0</v>
      </c>
      <c r="AG1033" s="64">
        <f>IF(AND(Table1[[#This Row],[GameIsOver]]=1,Table1[[#This Row],[ActualHomeScore]]=0), 1,0)</f>
        <v>0</v>
      </c>
      <c r="AH1033" s="64">
        <f>IF(Table1[[#This Row],[GameIsOver]]=0,0,IF(Table1[[#This Row],[ActualWinner]]=Table1[[#This Row],[AwayTeam]], 1, 0))</f>
        <v>0</v>
      </c>
      <c r="AI1033" s="64">
        <f>IF(Table1[[#This Row],[GameIsOver]]=0,0,IF(Table1[[#This Row],[ActualWinner]]=Table1[[#This Row],[HomeTeam]], 1, 0))</f>
        <v>0</v>
      </c>
      <c r="AJ1033" s="64">
        <f>IF(INDEX(Standings!$A$2:$C$33,MATCH(Table1[[#This Row],[AwayTeam]],Standings!$A$2:$A$33,0),2)=INDEX(Standings!$A$2:$C$33,MATCH(Table1[[#This Row],[HomeTeam]],Standings!$A$2:$A$33,0),2),1,0)</f>
        <v>0</v>
      </c>
      <c r="AK1033" s="64">
        <f>IF(INDEX(Standings!$A$2:$C$33,MATCH(Table1[[#This Row],[AwayTeam]],Standings!$A$2:$A$33,0),3)=INDEX(Standings!$A$2:$C$33,MATCH(Table1[[#This Row],[HomeTeam]],Standings!$A$2:$A$33,0),3),1,0)</f>
        <v>0</v>
      </c>
      <c r="AL1033" s="64">
        <f>IF(Table1[[#This Row],[InterConf]]=1,IF(Table1[[#This Row],[InterDiv]]=0, 1, 0), 0)</f>
        <v>0</v>
      </c>
      <c r="AM1033" s="64">
        <f>IF(INDEX(Standings!$A$2:$C$33,MATCH(Table1[[#This Row],[AwayTeam]],Standings!$A$2:$A$33,0),2)&lt;&gt;INDEX(Standings!$A$2:$C$33,MATCH(Table1[[#This Row],[HomeTeam]],Standings!$A$2:$A$33,0),2),1,0)</f>
        <v>1</v>
      </c>
      <c r="AN1033" s="64" t="str">
        <f>INDEX(Table2[AWAY_RECORD], MATCH(Table1[[#This Row],[AwayTeam]],Table2[Team], 0), 0)</f>
        <v>0-0-0</v>
      </c>
      <c r="AO1033" s="64" t="str">
        <f>INDEX(Records!$B$2:$AG$33, MATCH(Table1[[#This Row],[AwayTeam]],Records!$A$2:$A$33, 0), MATCH(Table1[[#This Row],[HomeTeam]],Records!$A$2:$A$33, 0))</f>
        <v>0-0-0</v>
      </c>
      <c r="AP1033" s="64" t="str">
        <f>INDEX(Table2[HOME_RECORD], MATCH(Table1[[#This Row],[HomeTeam]],Table2[Team], 0), 0)</f>
        <v>0-0-0</v>
      </c>
      <c r="AQ1033" s="64" t="str">
        <f>INDEX(Records!$B$2:$AG$33, MATCH(Table1[[#This Row],[HomeTeam]],Records!$A$2:$A$33, 0), MATCH(Table1[[#This Row],[AwayTeam]],Records!$A$2:$A$33, 0))</f>
        <v>0-0-0</v>
      </c>
    </row>
    <row r="1034" spans="1:43" x14ac:dyDescent="0.25">
      <c r="A1034" s="1"/>
      <c r="D1034" t="s">
        <v>1362</v>
      </c>
      <c r="E1034" t="s">
        <v>169</v>
      </c>
      <c r="F1034" t="s">
        <v>1366</v>
      </c>
      <c r="G1034" t="s">
        <v>41</v>
      </c>
      <c r="H1034" t="s">
        <v>16</v>
      </c>
      <c r="L103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3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34" s="1"/>
      <c r="T1034" s="64" t="str">
        <f>IF(Table1[[#This Row],[ActualWinner]]="", "", IF(Table1[[#This Row],[AwayTeam]]=Table1[[#This Row],[ActualWinner]],Table1[[#This Row],[HomeTeam]],Table1[[#This Row],[AwayTeam]]))</f>
        <v/>
      </c>
      <c r="U1034" s="64">
        <f>Table1[[#This Row],[ActualAwayScore]]-Table1[[#This Row],[PredictedAwayScore]]</f>
        <v>0</v>
      </c>
      <c r="V1034" s="64">
        <f>Table1[[#This Row],[ActualHomeScore]]-Table1[[#This Row],[PredictedHomeScore]]</f>
        <v>0</v>
      </c>
      <c r="W1034" s="64">
        <f>(0.8*IF(Table1[[#This Row],[CorrectWinnerPrediction]]=1, 1, 0))+(0.1*IF(Table1[[#This Row],[CorrectAwayScorePrediction]]=1, 1, 0))+(0.1*IF(Table1[[#This Row],[CorrectHomeScorePrediction]]=1, 1, 0))</f>
        <v>0</v>
      </c>
      <c r="X103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34" s="64">
        <f>SUMIF(Table1[GameDate], Table1[[#This Row],[GameDate]], Table1[AwayGameGoalDiff])</f>
        <v>0</v>
      </c>
      <c r="AA1034" s="64">
        <f>SUMIF(Table1[GameDate], Table1[[#This Row],[GameDate]], Table1[HomeGameGoalDiff])</f>
        <v>0</v>
      </c>
      <c r="AB1034" s="64">
        <f>IF(ISBLANK(Table1[[#This Row],[ActualResult]]), 0, 1)</f>
        <v>0</v>
      </c>
      <c r="AC1034" s="64">
        <f>IF(ISBLANK(Table1[[#This Row],[ActualResult]]), 0, IF(Table1[[#This Row],[ActualWinner]]=Table1[[#This Row],[PredictedWinner]], 1, 0))</f>
        <v>0</v>
      </c>
      <c r="AD103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3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34" s="64">
        <f>IF(AND(Table1[[#This Row],[GameIsOver]]=1,Table1[[#This Row],[ActualAwayScore]]=0), 1,0)</f>
        <v>0</v>
      </c>
      <c r="AG1034" s="64">
        <f>IF(AND(Table1[[#This Row],[GameIsOver]]=1,Table1[[#This Row],[ActualHomeScore]]=0), 1,0)</f>
        <v>0</v>
      </c>
      <c r="AH1034" s="64">
        <f>IF(Table1[[#This Row],[GameIsOver]]=0,0,IF(Table1[[#This Row],[ActualWinner]]=Table1[[#This Row],[AwayTeam]], 1, 0))</f>
        <v>0</v>
      </c>
      <c r="AI1034" s="64">
        <f>IF(Table1[[#This Row],[GameIsOver]]=0,0,IF(Table1[[#This Row],[ActualWinner]]=Table1[[#This Row],[HomeTeam]], 1, 0))</f>
        <v>0</v>
      </c>
      <c r="AJ1034" s="64">
        <f>IF(INDEX(Standings!$A$2:$C$33,MATCH(Table1[[#This Row],[AwayTeam]],Standings!$A$2:$A$33,0),2)=INDEX(Standings!$A$2:$C$33,MATCH(Table1[[#This Row],[HomeTeam]],Standings!$A$2:$A$33,0),2),1,0)</f>
        <v>1</v>
      </c>
      <c r="AK1034" s="64">
        <f>IF(INDEX(Standings!$A$2:$C$33,MATCH(Table1[[#This Row],[AwayTeam]],Standings!$A$2:$A$33,0),3)=INDEX(Standings!$A$2:$C$33,MATCH(Table1[[#This Row],[HomeTeam]],Standings!$A$2:$A$33,0),3),1,0)</f>
        <v>1</v>
      </c>
      <c r="AL1034" s="64">
        <f>IF(Table1[[#This Row],[InterConf]]=1,IF(Table1[[#This Row],[InterDiv]]=0, 1, 0), 0)</f>
        <v>0</v>
      </c>
      <c r="AM1034" s="64">
        <f>IF(INDEX(Standings!$A$2:$C$33,MATCH(Table1[[#This Row],[AwayTeam]],Standings!$A$2:$A$33,0),2)&lt;&gt;INDEX(Standings!$A$2:$C$33,MATCH(Table1[[#This Row],[HomeTeam]],Standings!$A$2:$A$33,0),2),1,0)</f>
        <v>0</v>
      </c>
      <c r="AN1034" s="64" t="str">
        <f>INDEX(Table2[AWAY_RECORD], MATCH(Table1[[#This Row],[AwayTeam]],Table2[Team], 0), 0)</f>
        <v>0-0-0</v>
      </c>
      <c r="AO1034" s="64" t="str">
        <f>INDEX(Records!$B$2:$AG$33, MATCH(Table1[[#This Row],[AwayTeam]],Records!$A$2:$A$33, 0), MATCH(Table1[[#This Row],[HomeTeam]],Records!$A$2:$A$33, 0))</f>
        <v>0-0-0</v>
      </c>
      <c r="AP1034" s="64" t="str">
        <f>INDEX(Table2[HOME_RECORD], MATCH(Table1[[#This Row],[HomeTeam]],Table2[Team], 0), 0)</f>
        <v>0-0-0</v>
      </c>
      <c r="AQ1034" s="64" t="str">
        <f>INDEX(Records!$B$2:$AG$33, MATCH(Table1[[#This Row],[HomeTeam]],Records!$A$2:$A$33, 0), MATCH(Table1[[#This Row],[AwayTeam]],Records!$A$2:$A$33, 0))</f>
        <v>0-0-0</v>
      </c>
    </row>
    <row r="1035" spans="1:43" x14ac:dyDescent="0.25">
      <c r="A1035" s="1"/>
      <c r="D1035" t="s">
        <v>1362</v>
      </c>
      <c r="E1035" t="s">
        <v>162</v>
      </c>
      <c r="F1035" t="s">
        <v>1367</v>
      </c>
      <c r="G1035" t="s">
        <v>58</v>
      </c>
      <c r="H1035" t="s">
        <v>57</v>
      </c>
      <c r="L103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3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35" s="1"/>
      <c r="T1035" s="64" t="str">
        <f>IF(Table1[[#This Row],[ActualWinner]]="", "", IF(Table1[[#This Row],[AwayTeam]]=Table1[[#This Row],[ActualWinner]],Table1[[#This Row],[HomeTeam]],Table1[[#This Row],[AwayTeam]]))</f>
        <v/>
      </c>
      <c r="U1035" s="64">
        <f>Table1[[#This Row],[ActualAwayScore]]-Table1[[#This Row],[PredictedAwayScore]]</f>
        <v>0</v>
      </c>
      <c r="V1035" s="64">
        <f>Table1[[#This Row],[ActualHomeScore]]-Table1[[#This Row],[PredictedHomeScore]]</f>
        <v>0</v>
      </c>
      <c r="W1035" s="64">
        <f>(0.8*IF(Table1[[#This Row],[CorrectWinnerPrediction]]=1, 1, 0))+(0.1*IF(Table1[[#This Row],[CorrectAwayScorePrediction]]=1, 1, 0))+(0.1*IF(Table1[[#This Row],[CorrectHomeScorePrediction]]=1, 1, 0))</f>
        <v>0</v>
      </c>
      <c r="X103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35" s="64">
        <f>SUMIF(Table1[GameDate], Table1[[#This Row],[GameDate]], Table1[AwayGameGoalDiff])</f>
        <v>0</v>
      </c>
      <c r="AA1035" s="64">
        <f>SUMIF(Table1[GameDate], Table1[[#This Row],[GameDate]], Table1[HomeGameGoalDiff])</f>
        <v>0</v>
      </c>
      <c r="AB1035" s="64">
        <f>IF(ISBLANK(Table1[[#This Row],[ActualResult]]), 0, 1)</f>
        <v>0</v>
      </c>
      <c r="AC1035" s="64">
        <f>IF(ISBLANK(Table1[[#This Row],[ActualResult]]), 0, IF(Table1[[#This Row],[ActualWinner]]=Table1[[#This Row],[PredictedWinner]], 1, 0))</f>
        <v>0</v>
      </c>
      <c r="AD103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3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35" s="64">
        <f>IF(AND(Table1[[#This Row],[GameIsOver]]=1,Table1[[#This Row],[ActualAwayScore]]=0), 1,0)</f>
        <v>0</v>
      </c>
      <c r="AG1035" s="64">
        <f>IF(AND(Table1[[#This Row],[GameIsOver]]=1,Table1[[#This Row],[ActualHomeScore]]=0), 1,0)</f>
        <v>0</v>
      </c>
      <c r="AH1035" s="64">
        <f>IF(Table1[[#This Row],[GameIsOver]]=0,0,IF(Table1[[#This Row],[ActualWinner]]=Table1[[#This Row],[AwayTeam]], 1, 0))</f>
        <v>0</v>
      </c>
      <c r="AI1035" s="64">
        <f>IF(Table1[[#This Row],[GameIsOver]]=0,0,IF(Table1[[#This Row],[ActualWinner]]=Table1[[#This Row],[HomeTeam]], 1, 0))</f>
        <v>0</v>
      </c>
      <c r="AJ1035" s="64">
        <f>IF(INDEX(Standings!$A$2:$C$33,MATCH(Table1[[#This Row],[AwayTeam]],Standings!$A$2:$A$33,0),2)=INDEX(Standings!$A$2:$C$33,MATCH(Table1[[#This Row],[HomeTeam]],Standings!$A$2:$A$33,0),2),1,0)</f>
        <v>0</v>
      </c>
      <c r="AK1035" s="64">
        <f>IF(INDEX(Standings!$A$2:$C$33,MATCH(Table1[[#This Row],[AwayTeam]],Standings!$A$2:$A$33,0),3)=INDEX(Standings!$A$2:$C$33,MATCH(Table1[[#This Row],[HomeTeam]],Standings!$A$2:$A$33,0),3),1,0)</f>
        <v>0</v>
      </c>
      <c r="AL1035" s="64">
        <f>IF(Table1[[#This Row],[InterConf]]=1,IF(Table1[[#This Row],[InterDiv]]=0, 1, 0), 0)</f>
        <v>0</v>
      </c>
      <c r="AM1035" s="64">
        <f>IF(INDEX(Standings!$A$2:$C$33,MATCH(Table1[[#This Row],[AwayTeam]],Standings!$A$2:$A$33,0),2)&lt;&gt;INDEX(Standings!$A$2:$C$33,MATCH(Table1[[#This Row],[HomeTeam]],Standings!$A$2:$A$33,0),2),1,0)</f>
        <v>1</v>
      </c>
      <c r="AN1035" s="64" t="str">
        <f>INDEX(Table2[AWAY_RECORD], MATCH(Table1[[#This Row],[AwayTeam]],Table2[Team], 0), 0)</f>
        <v>0-0-0</v>
      </c>
      <c r="AO1035" s="64" t="str">
        <f>INDEX(Records!$B$2:$AG$33, MATCH(Table1[[#This Row],[AwayTeam]],Records!$A$2:$A$33, 0), MATCH(Table1[[#This Row],[HomeTeam]],Records!$A$2:$A$33, 0))</f>
        <v>0-0-0</v>
      </c>
      <c r="AP1035" s="64" t="str">
        <f>INDEX(Table2[HOME_RECORD], MATCH(Table1[[#This Row],[HomeTeam]],Table2[Team], 0), 0)</f>
        <v>0-0-0</v>
      </c>
      <c r="AQ1035" s="64" t="str">
        <f>INDEX(Records!$B$2:$AG$33, MATCH(Table1[[#This Row],[HomeTeam]],Records!$A$2:$A$33, 0), MATCH(Table1[[#This Row],[AwayTeam]],Records!$A$2:$A$33, 0))</f>
        <v>0-0-0</v>
      </c>
    </row>
    <row r="1036" spans="1:43" x14ac:dyDescent="0.25">
      <c r="A1036" s="1"/>
      <c r="D1036" t="s">
        <v>1362</v>
      </c>
      <c r="E1036" t="s">
        <v>164</v>
      </c>
      <c r="F1036" t="s">
        <v>1368</v>
      </c>
      <c r="G1036" t="s">
        <v>43</v>
      </c>
      <c r="H1036" t="s">
        <v>61</v>
      </c>
      <c r="L103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3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36" s="1"/>
      <c r="T1036" s="64" t="str">
        <f>IF(Table1[[#This Row],[ActualWinner]]="", "", IF(Table1[[#This Row],[AwayTeam]]=Table1[[#This Row],[ActualWinner]],Table1[[#This Row],[HomeTeam]],Table1[[#This Row],[AwayTeam]]))</f>
        <v/>
      </c>
      <c r="U1036" s="64">
        <f>Table1[[#This Row],[ActualAwayScore]]-Table1[[#This Row],[PredictedAwayScore]]</f>
        <v>0</v>
      </c>
      <c r="V1036" s="64">
        <f>Table1[[#This Row],[ActualHomeScore]]-Table1[[#This Row],[PredictedHomeScore]]</f>
        <v>0</v>
      </c>
      <c r="W1036" s="64">
        <f>(0.8*IF(Table1[[#This Row],[CorrectWinnerPrediction]]=1, 1, 0))+(0.1*IF(Table1[[#This Row],[CorrectAwayScorePrediction]]=1, 1, 0))+(0.1*IF(Table1[[#This Row],[CorrectHomeScorePrediction]]=1, 1, 0))</f>
        <v>0</v>
      </c>
      <c r="X103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36" s="64">
        <f>SUMIF(Table1[GameDate], Table1[[#This Row],[GameDate]], Table1[AwayGameGoalDiff])</f>
        <v>0</v>
      </c>
      <c r="AA1036" s="64">
        <f>SUMIF(Table1[GameDate], Table1[[#This Row],[GameDate]], Table1[HomeGameGoalDiff])</f>
        <v>0</v>
      </c>
      <c r="AB1036" s="64">
        <f>IF(ISBLANK(Table1[[#This Row],[ActualResult]]), 0, 1)</f>
        <v>0</v>
      </c>
      <c r="AC1036" s="64">
        <f>IF(ISBLANK(Table1[[#This Row],[ActualResult]]), 0, IF(Table1[[#This Row],[ActualWinner]]=Table1[[#This Row],[PredictedWinner]], 1, 0))</f>
        <v>0</v>
      </c>
      <c r="AD103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3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36" s="64">
        <f>IF(AND(Table1[[#This Row],[GameIsOver]]=1,Table1[[#This Row],[ActualAwayScore]]=0), 1,0)</f>
        <v>0</v>
      </c>
      <c r="AG1036" s="64">
        <f>IF(AND(Table1[[#This Row],[GameIsOver]]=1,Table1[[#This Row],[ActualHomeScore]]=0), 1,0)</f>
        <v>0</v>
      </c>
      <c r="AH1036" s="64">
        <f>IF(Table1[[#This Row],[GameIsOver]]=0,0,IF(Table1[[#This Row],[ActualWinner]]=Table1[[#This Row],[AwayTeam]], 1, 0))</f>
        <v>0</v>
      </c>
      <c r="AI1036" s="64">
        <f>IF(Table1[[#This Row],[GameIsOver]]=0,0,IF(Table1[[#This Row],[ActualWinner]]=Table1[[#This Row],[HomeTeam]], 1, 0))</f>
        <v>0</v>
      </c>
      <c r="AJ1036" s="64">
        <f>IF(INDEX(Standings!$A$2:$C$33,MATCH(Table1[[#This Row],[AwayTeam]],Standings!$A$2:$A$33,0),2)=INDEX(Standings!$A$2:$C$33,MATCH(Table1[[#This Row],[HomeTeam]],Standings!$A$2:$A$33,0),2),1,0)</f>
        <v>1</v>
      </c>
      <c r="AK1036" s="64">
        <f>IF(INDEX(Standings!$A$2:$C$33,MATCH(Table1[[#This Row],[AwayTeam]],Standings!$A$2:$A$33,0),3)=INDEX(Standings!$A$2:$C$33,MATCH(Table1[[#This Row],[HomeTeam]],Standings!$A$2:$A$33,0),3),1,0)</f>
        <v>1</v>
      </c>
      <c r="AL1036" s="64">
        <f>IF(Table1[[#This Row],[InterConf]]=1,IF(Table1[[#This Row],[InterDiv]]=0, 1, 0), 0)</f>
        <v>0</v>
      </c>
      <c r="AM1036" s="64">
        <f>IF(INDEX(Standings!$A$2:$C$33,MATCH(Table1[[#This Row],[AwayTeam]],Standings!$A$2:$A$33,0),2)&lt;&gt;INDEX(Standings!$A$2:$C$33,MATCH(Table1[[#This Row],[HomeTeam]],Standings!$A$2:$A$33,0),2),1,0)</f>
        <v>0</v>
      </c>
      <c r="AN1036" s="64" t="str">
        <f>INDEX(Table2[AWAY_RECORD], MATCH(Table1[[#This Row],[AwayTeam]],Table2[Team], 0), 0)</f>
        <v>0-0-0</v>
      </c>
      <c r="AO1036" s="64" t="str">
        <f>INDEX(Records!$B$2:$AG$33, MATCH(Table1[[#This Row],[AwayTeam]],Records!$A$2:$A$33, 0), MATCH(Table1[[#This Row],[HomeTeam]],Records!$A$2:$A$33, 0))</f>
        <v>0-0-0</v>
      </c>
      <c r="AP1036" s="64" t="str">
        <f>INDEX(Table2[HOME_RECORD], MATCH(Table1[[#This Row],[HomeTeam]],Table2[Team], 0), 0)</f>
        <v>0-0-0</v>
      </c>
      <c r="AQ1036" s="64" t="str">
        <f>INDEX(Records!$B$2:$AG$33, MATCH(Table1[[#This Row],[HomeTeam]],Records!$A$2:$A$33, 0), MATCH(Table1[[#This Row],[AwayTeam]],Records!$A$2:$A$33, 0))</f>
        <v>0-0-0</v>
      </c>
    </row>
    <row r="1037" spans="1:43" x14ac:dyDescent="0.25">
      <c r="A1037" s="1"/>
      <c r="D1037" t="s">
        <v>1369</v>
      </c>
      <c r="E1037" t="s">
        <v>162</v>
      </c>
      <c r="F1037" t="s">
        <v>1370</v>
      </c>
      <c r="G1037" t="s">
        <v>44</v>
      </c>
      <c r="H1037" t="s">
        <v>24</v>
      </c>
      <c r="L103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3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37" s="1"/>
      <c r="T1037" s="64" t="str">
        <f>IF(Table1[[#This Row],[ActualWinner]]="", "", IF(Table1[[#This Row],[AwayTeam]]=Table1[[#This Row],[ActualWinner]],Table1[[#This Row],[HomeTeam]],Table1[[#This Row],[AwayTeam]]))</f>
        <v/>
      </c>
      <c r="U1037" s="64">
        <f>Table1[[#This Row],[ActualAwayScore]]-Table1[[#This Row],[PredictedAwayScore]]</f>
        <v>0</v>
      </c>
      <c r="V1037" s="64">
        <f>Table1[[#This Row],[ActualHomeScore]]-Table1[[#This Row],[PredictedHomeScore]]</f>
        <v>0</v>
      </c>
      <c r="W1037" s="64">
        <f>(0.8*IF(Table1[[#This Row],[CorrectWinnerPrediction]]=1, 1, 0))+(0.1*IF(Table1[[#This Row],[CorrectAwayScorePrediction]]=1, 1, 0))+(0.1*IF(Table1[[#This Row],[CorrectHomeScorePrediction]]=1, 1, 0))</f>
        <v>0</v>
      </c>
      <c r="X103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37" s="64">
        <f>SUMIF(Table1[GameDate], Table1[[#This Row],[GameDate]], Table1[AwayGameGoalDiff])</f>
        <v>0</v>
      </c>
      <c r="AA1037" s="64">
        <f>SUMIF(Table1[GameDate], Table1[[#This Row],[GameDate]], Table1[HomeGameGoalDiff])</f>
        <v>0</v>
      </c>
      <c r="AB1037" s="64">
        <f>IF(ISBLANK(Table1[[#This Row],[ActualResult]]), 0, 1)</f>
        <v>0</v>
      </c>
      <c r="AC1037" s="64">
        <f>IF(ISBLANK(Table1[[#This Row],[ActualResult]]), 0, IF(Table1[[#This Row],[ActualWinner]]=Table1[[#This Row],[PredictedWinner]], 1, 0))</f>
        <v>0</v>
      </c>
      <c r="AD103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3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37" s="64">
        <f>IF(AND(Table1[[#This Row],[GameIsOver]]=1,Table1[[#This Row],[ActualAwayScore]]=0), 1,0)</f>
        <v>0</v>
      </c>
      <c r="AG1037" s="64">
        <f>IF(AND(Table1[[#This Row],[GameIsOver]]=1,Table1[[#This Row],[ActualHomeScore]]=0), 1,0)</f>
        <v>0</v>
      </c>
      <c r="AH1037" s="64">
        <f>IF(Table1[[#This Row],[GameIsOver]]=0,0,IF(Table1[[#This Row],[ActualWinner]]=Table1[[#This Row],[AwayTeam]], 1, 0))</f>
        <v>0</v>
      </c>
      <c r="AI1037" s="64">
        <f>IF(Table1[[#This Row],[GameIsOver]]=0,0,IF(Table1[[#This Row],[ActualWinner]]=Table1[[#This Row],[HomeTeam]], 1, 0))</f>
        <v>0</v>
      </c>
      <c r="AJ1037" s="64">
        <f>IF(INDEX(Standings!$A$2:$C$33,MATCH(Table1[[#This Row],[AwayTeam]],Standings!$A$2:$A$33,0),2)=INDEX(Standings!$A$2:$C$33,MATCH(Table1[[#This Row],[HomeTeam]],Standings!$A$2:$A$33,0),2),1,0)</f>
        <v>1</v>
      </c>
      <c r="AK1037" s="64">
        <f>IF(INDEX(Standings!$A$2:$C$33,MATCH(Table1[[#This Row],[AwayTeam]],Standings!$A$2:$A$33,0),3)=INDEX(Standings!$A$2:$C$33,MATCH(Table1[[#This Row],[HomeTeam]],Standings!$A$2:$A$33,0),3),1,0)</f>
        <v>1</v>
      </c>
      <c r="AL1037" s="64">
        <f>IF(Table1[[#This Row],[InterConf]]=1,IF(Table1[[#This Row],[InterDiv]]=0, 1, 0), 0)</f>
        <v>0</v>
      </c>
      <c r="AM1037" s="64">
        <f>IF(INDEX(Standings!$A$2:$C$33,MATCH(Table1[[#This Row],[AwayTeam]],Standings!$A$2:$A$33,0),2)&lt;&gt;INDEX(Standings!$A$2:$C$33,MATCH(Table1[[#This Row],[HomeTeam]],Standings!$A$2:$A$33,0),2),1,0)</f>
        <v>0</v>
      </c>
      <c r="AN1037" s="64" t="str">
        <f>INDEX(Table2[AWAY_RECORD], MATCH(Table1[[#This Row],[AwayTeam]],Table2[Team], 0), 0)</f>
        <v>0-0-0</v>
      </c>
      <c r="AO1037" s="64" t="str">
        <f>INDEX(Records!$B$2:$AG$33, MATCH(Table1[[#This Row],[AwayTeam]],Records!$A$2:$A$33, 0), MATCH(Table1[[#This Row],[HomeTeam]],Records!$A$2:$A$33, 0))</f>
        <v>0-0-0</v>
      </c>
      <c r="AP1037" s="64" t="str">
        <f>INDEX(Table2[HOME_RECORD], MATCH(Table1[[#This Row],[HomeTeam]],Table2[Team], 0), 0)</f>
        <v>0-2-0</v>
      </c>
      <c r="AQ1037" s="64" t="str">
        <f>INDEX(Records!$B$2:$AG$33, MATCH(Table1[[#This Row],[HomeTeam]],Records!$A$2:$A$33, 0), MATCH(Table1[[#This Row],[AwayTeam]],Records!$A$2:$A$33, 0))</f>
        <v>0-0-0</v>
      </c>
    </row>
    <row r="1038" spans="1:43" x14ac:dyDescent="0.25">
      <c r="A1038" s="1"/>
      <c r="D1038" t="s">
        <v>1369</v>
      </c>
      <c r="E1038" t="s">
        <v>162</v>
      </c>
      <c r="F1038" t="s">
        <v>1371</v>
      </c>
      <c r="G1038" t="s">
        <v>59</v>
      </c>
      <c r="H1038" t="s">
        <v>50</v>
      </c>
      <c r="L103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3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38" s="1"/>
      <c r="T1038" s="64" t="str">
        <f>IF(Table1[[#This Row],[ActualWinner]]="", "", IF(Table1[[#This Row],[AwayTeam]]=Table1[[#This Row],[ActualWinner]],Table1[[#This Row],[HomeTeam]],Table1[[#This Row],[AwayTeam]]))</f>
        <v/>
      </c>
      <c r="U1038" s="64">
        <f>Table1[[#This Row],[ActualAwayScore]]-Table1[[#This Row],[PredictedAwayScore]]</f>
        <v>0</v>
      </c>
      <c r="V1038" s="64">
        <f>Table1[[#This Row],[ActualHomeScore]]-Table1[[#This Row],[PredictedHomeScore]]</f>
        <v>0</v>
      </c>
      <c r="W1038" s="64">
        <f>(0.8*IF(Table1[[#This Row],[CorrectWinnerPrediction]]=1, 1, 0))+(0.1*IF(Table1[[#This Row],[CorrectAwayScorePrediction]]=1, 1, 0))+(0.1*IF(Table1[[#This Row],[CorrectHomeScorePrediction]]=1, 1, 0))</f>
        <v>0</v>
      </c>
      <c r="X103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38" s="64">
        <f>SUMIF(Table1[GameDate], Table1[[#This Row],[GameDate]], Table1[AwayGameGoalDiff])</f>
        <v>0</v>
      </c>
      <c r="AA1038" s="64">
        <f>SUMIF(Table1[GameDate], Table1[[#This Row],[GameDate]], Table1[HomeGameGoalDiff])</f>
        <v>0</v>
      </c>
      <c r="AB1038" s="64">
        <f>IF(ISBLANK(Table1[[#This Row],[ActualResult]]), 0, 1)</f>
        <v>0</v>
      </c>
      <c r="AC1038" s="64">
        <f>IF(ISBLANK(Table1[[#This Row],[ActualResult]]), 0, IF(Table1[[#This Row],[ActualWinner]]=Table1[[#This Row],[PredictedWinner]], 1, 0))</f>
        <v>0</v>
      </c>
      <c r="AD103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3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38" s="64">
        <f>IF(AND(Table1[[#This Row],[GameIsOver]]=1,Table1[[#This Row],[ActualAwayScore]]=0), 1,0)</f>
        <v>0</v>
      </c>
      <c r="AG1038" s="64">
        <f>IF(AND(Table1[[#This Row],[GameIsOver]]=1,Table1[[#This Row],[ActualHomeScore]]=0), 1,0)</f>
        <v>0</v>
      </c>
      <c r="AH1038" s="64">
        <f>IF(Table1[[#This Row],[GameIsOver]]=0,0,IF(Table1[[#This Row],[ActualWinner]]=Table1[[#This Row],[AwayTeam]], 1, 0))</f>
        <v>0</v>
      </c>
      <c r="AI1038" s="64">
        <f>IF(Table1[[#This Row],[GameIsOver]]=0,0,IF(Table1[[#This Row],[ActualWinner]]=Table1[[#This Row],[HomeTeam]], 1, 0))</f>
        <v>0</v>
      </c>
      <c r="AJ1038" s="64">
        <f>IF(INDEX(Standings!$A$2:$C$33,MATCH(Table1[[#This Row],[AwayTeam]],Standings!$A$2:$A$33,0),2)=INDEX(Standings!$A$2:$C$33,MATCH(Table1[[#This Row],[HomeTeam]],Standings!$A$2:$A$33,0),2),1,0)</f>
        <v>1</v>
      </c>
      <c r="AK1038" s="64">
        <f>IF(INDEX(Standings!$A$2:$C$33,MATCH(Table1[[#This Row],[AwayTeam]],Standings!$A$2:$A$33,0),3)=INDEX(Standings!$A$2:$C$33,MATCH(Table1[[#This Row],[HomeTeam]],Standings!$A$2:$A$33,0),3),1,0)</f>
        <v>1</v>
      </c>
      <c r="AL1038" s="64">
        <f>IF(Table1[[#This Row],[InterConf]]=1,IF(Table1[[#This Row],[InterDiv]]=0, 1, 0), 0)</f>
        <v>0</v>
      </c>
      <c r="AM1038" s="64">
        <f>IF(INDEX(Standings!$A$2:$C$33,MATCH(Table1[[#This Row],[AwayTeam]],Standings!$A$2:$A$33,0),2)&lt;&gt;INDEX(Standings!$A$2:$C$33,MATCH(Table1[[#This Row],[HomeTeam]],Standings!$A$2:$A$33,0),2),1,0)</f>
        <v>0</v>
      </c>
      <c r="AN1038" s="64" t="str">
        <f>INDEX(Table2[AWAY_RECORD], MATCH(Table1[[#This Row],[AwayTeam]],Table2[Team], 0), 0)</f>
        <v>0-1-0</v>
      </c>
      <c r="AO1038" s="64" t="str">
        <f>INDEX(Records!$B$2:$AG$33, MATCH(Table1[[#This Row],[AwayTeam]],Records!$A$2:$A$33, 0), MATCH(Table1[[#This Row],[HomeTeam]],Records!$A$2:$A$33, 0))</f>
        <v>0-0-0</v>
      </c>
      <c r="AP1038" s="64" t="str">
        <f>INDEX(Table2[HOME_RECORD], MATCH(Table1[[#This Row],[HomeTeam]],Table2[Team], 0), 0)</f>
        <v>0-0-0</v>
      </c>
      <c r="AQ1038" s="64" t="str">
        <f>INDEX(Records!$B$2:$AG$33, MATCH(Table1[[#This Row],[HomeTeam]],Records!$A$2:$A$33, 0), MATCH(Table1[[#This Row],[AwayTeam]],Records!$A$2:$A$33, 0))</f>
        <v>0-0-0</v>
      </c>
    </row>
    <row r="1039" spans="1:43" x14ac:dyDescent="0.25">
      <c r="A1039" s="1"/>
      <c r="D1039" t="s">
        <v>1369</v>
      </c>
      <c r="E1039" t="s">
        <v>162</v>
      </c>
      <c r="F1039" t="s">
        <v>1372</v>
      </c>
      <c r="G1039" t="s">
        <v>40</v>
      </c>
      <c r="H1039" t="s">
        <v>42</v>
      </c>
      <c r="L103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3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39" s="1"/>
      <c r="T1039" s="64" t="str">
        <f>IF(Table1[[#This Row],[ActualWinner]]="", "", IF(Table1[[#This Row],[AwayTeam]]=Table1[[#This Row],[ActualWinner]],Table1[[#This Row],[HomeTeam]],Table1[[#This Row],[AwayTeam]]))</f>
        <v/>
      </c>
      <c r="U1039" s="64">
        <f>Table1[[#This Row],[ActualAwayScore]]-Table1[[#This Row],[PredictedAwayScore]]</f>
        <v>0</v>
      </c>
      <c r="V1039" s="64">
        <f>Table1[[#This Row],[ActualHomeScore]]-Table1[[#This Row],[PredictedHomeScore]]</f>
        <v>0</v>
      </c>
      <c r="W1039" s="64">
        <f>(0.8*IF(Table1[[#This Row],[CorrectWinnerPrediction]]=1, 1, 0))+(0.1*IF(Table1[[#This Row],[CorrectAwayScorePrediction]]=1, 1, 0))+(0.1*IF(Table1[[#This Row],[CorrectHomeScorePrediction]]=1, 1, 0))</f>
        <v>0</v>
      </c>
      <c r="X103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39" s="64">
        <f>SUMIF(Table1[GameDate], Table1[[#This Row],[GameDate]], Table1[AwayGameGoalDiff])</f>
        <v>0</v>
      </c>
      <c r="AA1039" s="64">
        <f>SUMIF(Table1[GameDate], Table1[[#This Row],[GameDate]], Table1[HomeGameGoalDiff])</f>
        <v>0</v>
      </c>
      <c r="AB1039" s="64">
        <f>IF(ISBLANK(Table1[[#This Row],[ActualResult]]), 0, 1)</f>
        <v>0</v>
      </c>
      <c r="AC1039" s="64">
        <f>IF(ISBLANK(Table1[[#This Row],[ActualResult]]), 0, IF(Table1[[#This Row],[ActualWinner]]=Table1[[#This Row],[PredictedWinner]], 1, 0))</f>
        <v>0</v>
      </c>
      <c r="AD103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3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39" s="64">
        <f>IF(AND(Table1[[#This Row],[GameIsOver]]=1,Table1[[#This Row],[ActualAwayScore]]=0), 1,0)</f>
        <v>0</v>
      </c>
      <c r="AG1039" s="64">
        <f>IF(AND(Table1[[#This Row],[GameIsOver]]=1,Table1[[#This Row],[ActualHomeScore]]=0), 1,0)</f>
        <v>0</v>
      </c>
      <c r="AH1039" s="64">
        <f>IF(Table1[[#This Row],[GameIsOver]]=0,0,IF(Table1[[#This Row],[ActualWinner]]=Table1[[#This Row],[AwayTeam]], 1, 0))</f>
        <v>0</v>
      </c>
      <c r="AI1039" s="64">
        <f>IF(Table1[[#This Row],[GameIsOver]]=0,0,IF(Table1[[#This Row],[ActualWinner]]=Table1[[#This Row],[HomeTeam]], 1, 0))</f>
        <v>0</v>
      </c>
      <c r="AJ1039" s="64">
        <f>IF(INDEX(Standings!$A$2:$C$33,MATCH(Table1[[#This Row],[AwayTeam]],Standings!$A$2:$A$33,0),2)=INDEX(Standings!$A$2:$C$33,MATCH(Table1[[#This Row],[HomeTeam]],Standings!$A$2:$A$33,0),2),1,0)</f>
        <v>1</v>
      </c>
      <c r="AK1039" s="64">
        <f>IF(INDEX(Standings!$A$2:$C$33,MATCH(Table1[[#This Row],[AwayTeam]],Standings!$A$2:$A$33,0),3)=INDEX(Standings!$A$2:$C$33,MATCH(Table1[[#This Row],[HomeTeam]],Standings!$A$2:$A$33,0),3),1,0)</f>
        <v>1</v>
      </c>
      <c r="AL1039" s="64">
        <f>IF(Table1[[#This Row],[InterConf]]=1,IF(Table1[[#This Row],[InterDiv]]=0, 1, 0), 0)</f>
        <v>0</v>
      </c>
      <c r="AM1039" s="64">
        <f>IF(INDEX(Standings!$A$2:$C$33,MATCH(Table1[[#This Row],[AwayTeam]],Standings!$A$2:$A$33,0),2)&lt;&gt;INDEX(Standings!$A$2:$C$33,MATCH(Table1[[#This Row],[HomeTeam]],Standings!$A$2:$A$33,0),2),1,0)</f>
        <v>0</v>
      </c>
      <c r="AN1039" s="64" t="str">
        <f>INDEX(Table2[AWAY_RECORD], MATCH(Table1[[#This Row],[AwayTeam]],Table2[Team], 0), 0)</f>
        <v>0-0-0</v>
      </c>
      <c r="AO1039" s="64" t="str">
        <f>INDEX(Records!$B$2:$AG$33, MATCH(Table1[[#This Row],[AwayTeam]],Records!$A$2:$A$33, 0), MATCH(Table1[[#This Row],[HomeTeam]],Records!$A$2:$A$33, 0))</f>
        <v>0-0-0</v>
      </c>
      <c r="AP1039" s="64" t="str">
        <f>INDEX(Table2[HOME_RECORD], MATCH(Table1[[#This Row],[HomeTeam]],Table2[Team], 0), 0)</f>
        <v>1-0-0</v>
      </c>
      <c r="AQ1039" s="64" t="str">
        <f>INDEX(Records!$B$2:$AG$33, MATCH(Table1[[#This Row],[HomeTeam]],Records!$A$2:$A$33, 0), MATCH(Table1[[#This Row],[AwayTeam]],Records!$A$2:$A$33, 0))</f>
        <v>0-0-0</v>
      </c>
    </row>
    <row r="1040" spans="1:43" x14ac:dyDescent="0.25">
      <c r="A1040" s="1"/>
      <c r="D1040" t="s">
        <v>1369</v>
      </c>
      <c r="E1040" t="s">
        <v>162</v>
      </c>
      <c r="F1040" t="s">
        <v>1373</v>
      </c>
      <c r="G1040" t="s">
        <v>56</v>
      </c>
      <c r="H1040" t="s">
        <v>60</v>
      </c>
      <c r="L104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4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40" s="1"/>
      <c r="T1040" s="64" t="str">
        <f>IF(Table1[[#This Row],[ActualWinner]]="", "", IF(Table1[[#This Row],[AwayTeam]]=Table1[[#This Row],[ActualWinner]],Table1[[#This Row],[HomeTeam]],Table1[[#This Row],[AwayTeam]]))</f>
        <v/>
      </c>
      <c r="U1040" s="64">
        <f>Table1[[#This Row],[ActualAwayScore]]-Table1[[#This Row],[PredictedAwayScore]]</f>
        <v>0</v>
      </c>
      <c r="V1040" s="64">
        <f>Table1[[#This Row],[ActualHomeScore]]-Table1[[#This Row],[PredictedHomeScore]]</f>
        <v>0</v>
      </c>
      <c r="W1040" s="64">
        <f>(0.8*IF(Table1[[#This Row],[CorrectWinnerPrediction]]=1, 1, 0))+(0.1*IF(Table1[[#This Row],[CorrectAwayScorePrediction]]=1, 1, 0))+(0.1*IF(Table1[[#This Row],[CorrectHomeScorePrediction]]=1, 1, 0))</f>
        <v>0</v>
      </c>
      <c r="X104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40" s="64">
        <f>SUMIF(Table1[GameDate], Table1[[#This Row],[GameDate]], Table1[AwayGameGoalDiff])</f>
        <v>0</v>
      </c>
      <c r="AA1040" s="64">
        <f>SUMIF(Table1[GameDate], Table1[[#This Row],[GameDate]], Table1[HomeGameGoalDiff])</f>
        <v>0</v>
      </c>
      <c r="AB1040" s="64">
        <f>IF(ISBLANK(Table1[[#This Row],[ActualResult]]), 0, 1)</f>
        <v>0</v>
      </c>
      <c r="AC1040" s="64">
        <f>IF(ISBLANK(Table1[[#This Row],[ActualResult]]), 0, IF(Table1[[#This Row],[ActualWinner]]=Table1[[#This Row],[PredictedWinner]], 1, 0))</f>
        <v>0</v>
      </c>
      <c r="AD104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4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40" s="64">
        <f>IF(AND(Table1[[#This Row],[GameIsOver]]=1,Table1[[#This Row],[ActualAwayScore]]=0), 1,0)</f>
        <v>0</v>
      </c>
      <c r="AG1040" s="64">
        <f>IF(AND(Table1[[#This Row],[GameIsOver]]=1,Table1[[#This Row],[ActualHomeScore]]=0), 1,0)</f>
        <v>0</v>
      </c>
      <c r="AH1040" s="64">
        <f>IF(Table1[[#This Row],[GameIsOver]]=0,0,IF(Table1[[#This Row],[ActualWinner]]=Table1[[#This Row],[AwayTeam]], 1, 0))</f>
        <v>0</v>
      </c>
      <c r="AI1040" s="64">
        <f>IF(Table1[[#This Row],[GameIsOver]]=0,0,IF(Table1[[#This Row],[ActualWinner]]=Table1[[#This Row],[HomeTeam]], 1, 0))</f>
        <v>0</v>
      </c>
      <c r="AJ1040" s="64">
        <f>IF(INDEX(Standings!$A$2:$C$33,MATCH(Table1[[#This Row],[AwayTeam]],Standings!$A$2:$A$33,0),2)=INDEX(Standings!$A$2:$C$33,MATCH(Table1[[#This Row],[HomeTeam]],Standings!$A$2:$A$33,0),2),1,0)</f>
        <v>1</v>
      </c>
      <c r="AK1040" s="64">
        <f>IF(INDEX(Standings!$A$2:$C$33,MATCH(Table1[[#This Row],[AwayTeam]],Standings!$A$2:$A$33,0),3)=INDEX(Standings!$A$2:$C$33,MATCH(Table1[[#This Row],[HomeTeam]],Standings!$A$2:$A$33,0),3),1,0)</f>
        <v>0</v>
      </c>
      <c r="AL1040" s="64">
        <f>IF(Table1[[#This Row],[InterConf]]=1,IF(Table1[[#This Row],[InterDiv]]=0, 1, 0), 0)</f>
        <v>1</v>
      </c>
      <c r="AM1040" s="64">
        <f>IF(INDEX(Standings!$A$2:$C$33,MATCH(Table1[[#This Row],[AwayTeam]],Standings!$A$2:$A$33,0),2)&lt;&gt;INDEX(Standings!$A$2:$C$33,MATCH(Table1[[#This Row],[HomeTeam]],Standings!$A$2:$A$33,0),2),1,0)</f>
        <v>0</v>
      </c>
      <c r="AN1040" s="64" t="str">
        <f>INDEX(Table2[AWAY_RECORD], MATCH(Table1[[#This Row],[AwayTeam]],Table2[Team], 0), 0)</f>
        <v>1-0-0</v>
      </c>
      <c r="AO1040" s="64" t="str">
        <f>INDEX(Records!$B$2:$AG$33, MATCH(Table1[[#This Row],[AwayTeam]],Records!$A$2:$A$33, 0), MATCH(Table1[[#This Row],[HomeTeam]],Records!$A$2:$A$33, 0))</f>
        <v>0-0-0</v>
      </c>
      <c r="AP1040" s="64" t="str">
        <f>INDEX(Table2[HOME_RECORD], MATCH(Table1[[#This Row],[HomeTeam]],Table2[Team], 0), 0)</f>
        <v>1-0-0</v>
      </c>
      <c r="AQ1040" s="64" t="str">
        <f>INDEX(Records!$B$2:$AG$33, MATCH(Table1[[#This Row],[HomeTeam]],Records!$A$2:$A$33, 0), MATCH(Table1[[#This Row],[AwayTeam]],Records!$A$2:$A$33, 0))</f>
        <v>0-0-0</v>
      </c>
    </row>
    <row r="1041" spans="1:43" x14ac:dyDescent="0.25">
      <c r="A1041" s="1"/>
      <c r="D1041" t="s">
        <v>1369</v>
      </c>
      <c r="E1041" t="s">
        <v>301</v>
      </c>
      <c r="F1041" t="s">
        <v>1374</v>
      </c>
      <c r="G1041" t="s">
        <v>45</v>
      </c>
      <c r="H1041" t="s">
        <v>16</v>
      </c>
      <c r="L104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4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41" s="1"/>
      <c r="T1041" s="64" t="str">
        <f>IF(Table1[[#This Row],[ActualWinner]]="", "", IF(Table1[[#This Row],[AwayTeam]]=Table1[[#This Row],[ActualWinner]],Table1[[#This Row],[HomeTeam]],Table1[[#This Row],[AwayTeam]]))</f>
        <v/>
      </c>
      <c r="U1041" s="64">
        <f>Table1[[#This Row],[ActualAwayScore]]-Table1[[#This Row],[PredictedAwayScore]]</f>
        <v>0</v>
      </c>
      <c r="V1041" s="64">
        <f>Table1[[#This Row],[ActualHomeScore]]-Table1[[#This Row],[PredictedHomeScore]]</f>
        <v>0</v>
      </c>
      <c r="W1041" s="64">
        <f>(0.8*IF(Table1[[#This Row],[CorrectWinnerPrediction]]=1, 1, 0))+(0.1*IF(Table1[[#This Row],[CorrectAwayScorePrediction]]=1, 1, 0))+(0.1*IF(Table1[[#This Row],[CorrectHomeScorePrediction]]=1, 1, 0))</f>
        <v>0</v>
      </c>
      <c r="X104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41" s="64">
        <f>SUMIF(Table1[GameDate], Table1[[#This Row],[GameDate]], Table1[AwayGameGoalDiff])</f>
        <v>0</v>
      </c>
      <c r="AA1041" s="64">
        <f>SUMIF(Table1[GameDate], Table1[[#This Row],[GameDate]], Table1[HomeGameGoalDiff])</f>
        <v>0</v>
      </c>
      <c r="AB1041" s="64">
        <f>IF(ISBLANK(Table1[[#This Row],[ActualResult]]), 0, 1)</f>
        <v>0</v>
      </c>
      <c r="AC1041" s="64">
        <f>IF(ISBLANK(Table1[[#This Row],[ActualResult]]), 0, IF(Table1[[#This Row],[ActualWinner]]=Table1[[#This Row],[PredictedWinner]], 1, 0))</f>
        <v>0</v>
      </c>
      <c r="AD104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4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41" s="64">
        <f>IF(AND(Table1[[#This Row],[GameIsOver]]=1,Table1[[#This Row],[ActualAwayScore]]=0), 1,0)</f>
        <v>0</v>
      </c>
      <c r="AG1041" s="64">
        <f>IF(AND(Table1[[#This Row],[GameIsOver]]=1,Table1[[#This Row],[ActualHomeScore]]=0), 1,0)</f>
        <v>0</v>
      </c>
      <c r="AH1041" s="64">
        <f>IF(Table1[[#This Row],[GameIsOver]]=0,0,IF(Table1[[#This Row],[ActualWinner]]=Table1[[#This Row],[AwayTeam]], 1, 0))</f>
        <v>0</v>
      </c>
      <c r="AI1041" s="64">
        <f>IF(Table1[[#This Row],[GameIsOver]]=0,0,IF(Table1[[#This Row],[ActualWinner]]=Table1[[#This Row],[HomeTeam]], 1, 0))</f>
        <v>0</v>
      </c>
      <c r="AJ1041" s="64">
        <f>IF(INDEX(Standings!$A$2:$C$33,MATCH(Table1[[#This Row],[AwayTeam]],Standings!$A$2:$A$33,0),2)=INDEX(Standings!$A$2:$C$33,MATCH(Table1[[#This Row],[HomeTeam]],Standings!$A$2:$A$33,0),2),1,0)</f>
        <v>1</v>
      </c>
      <c r="AK1041" s="64">
        <f>IF(INDEX(Standings!$A$2:$C$33,MATCH(Table1[[#This Row],[AwayTeam]],Standings!$A$2:$A$33,0),3)=INDEX(Standings!$A$2:$C$33,MATCH(Table1[[#This Row],[HomeTeam]],Standings!$A$2:$A$33,0),3),1,0)</f>
        <v>0</v>
      </c>
      <c r="AL1041" s="64">
        <f>IF(Table1[[#This Row],[InterConf]]=1,IF(Table1[[#This Row],[InterDiv]]=0, 1, 0), 0)</f>
        <v>1</v>
      </c>
      <c r="AM1041" s="64">
        <f>IF(INDEX(Standings!$A$2:$C$33,MATCH(Table1[[#This Row],[AwayTeam]],Standings!$A$2:$A$33,0),2)&lt;&gt;INDEX(Standings!$A$2:$C$33,MATCH(Table1[[#This Row],[HomeTeam]],Standings!$A$2:$A$33,0),2),1,0)</f>
        <v>0</v>
      </c>
      <c r="AN1041" s="64" t="str">
        <f>INDEX(Table2[AWAY_RECORD], MATCH(Table1[[#This Row],[AwayTeam]],Table2[Team], 0), 0)</f>
        <v>1-0-0</v>
      </c>
      <c r="AO1041" s="64" t="str">
        <f>INDEX(Records!$B$2:$AG$33, MATCH(Table1[[#This Row],[AwayTeam]],Records!$A$2:$A$33, 0), MATCH(Table1[[#This Row],[HomeTeam]],Records!$A$2:$A$33, 0))</f>
        <v>0-0-0</v>
      </c>
      <c r="AP1041" s="64" t="str">
        <f>INDEX(Table2[HOME_RECORD], MATCH(Table1[[#This Row],[HomeTeam]],Table2[Team], 0), 0)</f>
        <v>0-0-0</v>
      </c>
      <c r="AQ1041" s="64" t="str">
        <f>INDEX(Records!$B$2:$AG$33, MATCH(Table1[[#This Row],[HomeTeam]],Records!$A$2:$A$33, 0), MATCH(Table1[[#This Row],[AwayTeam]],Records!$A$2:$A$33, 0))</f>
        <v>0-0-0</v>
      </c>
    </row>
    <row r="1042" spans="1:43" x14ac:dyDescent="0.25">
      <c r="A1042" s="1"/>
      <c r="D1042" t="s">
        <v>1375</v>
      </c>
      <c r="E1042" t="s">
        <v>298</v>
      </c>
      <c r="F1042" t="s">
        <v>1376</v>
      </c>
      <c r="G1042" t="s">
        <v>36</v>
      </c>
      <c r="H1042" t="s">
        <v>46</v>
      </c>
      <c r="L104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4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42" s="1"/>
      <c r="T1042" s="64" t="str">
        <f>IF(Table1[[#This Row],[ActualWinner]]="", "", IF(Table1[[#This Row],[AwayTeam]]=Table1[[#This Row],[ActualWinner]],Table1[[#This Row],[HomeTeam]],Table1[[#This Row],[AwayTeam]]))</f>
        <v/>
      </c>
      <c r="U1042" s="64">
        <f>Table1[[#This Row],[ActualAwayScore]]-Table1[[#This Row],[PredictedAwayScore]]</f>
        <v>0</v>
      </c>
      <c r="V1042" s="64">
        <f>Table1[[#This Row],[ActualHomeScore]]-Table1[[#This Row],[PredictedHomeScore]]</f>
        <v>0</v>
      </c>
      <c r="W1042" s="64">
        <f>(0.8*IF(Table1[[#This Row],[CorrectWinnerPrediction]]=1, 1, 0))+(0.1*IF(Table1[[#This Row],[CorrectAwayScorePrediction]]=1, 1, 0))+(0.1*IF(Table1[[#This Row],[CorrectHomeScorePrediction]]=1, 1, 0))</f>
        <v>0</v>
      </c>
      <c r="X104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42" s="64">
        <f>SUMIF(Table1[GameDate], Table1[[#This Row],[GameDate]], Table1[AwayGameGoalDiff])</f>
        <v>0</v>
      </c>
      <c r="AA1042" s="64">
        <f>SUMIF(Table1[GameDate], Table1[[#This Row],[GameDate]], Table1[HomeGameGoalDiff])</f>
        <v>0</v>
      </c>
      <c r="AB1042" s="64">
        <f>IF(ISBLANK(Table1[[#This Row],[ActualResult]]), 0, 1)</f>
        <v>0</v>
      </c>
      <c r="AC1042" s="64">
        <f>IF(ISBLANK(Table1[[#This Row],[ActualResult]]), 0, IF(Table1[[#This Row],[ActualWinner]]=Table1[[#This Row],[PredictedWinner]], 1, 0))</f>
        <v>0</v>
      </c>
      <c r="AD104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4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42" s="64">
        <f>IF(AND(Table1[[#This Row],[GameIsOver]]=1,Table1[[#This Row],[ActualAwayScore]]=0), 1,0)</f>
        <v>0</v>
      </c>
      <c r="AG1042" s="64">
        <f>IF(AND(Table1[[#This Row],[GameIsOver]]=1,Table1[[#This Row],[ActualHomeScore]]=0), 1,0)</f>
        <v>0</v>
      </c>
      <c r="AH1042" s="64">
        <f>IF(Table1[[#This Row],[GameIsOver]]=0,0,IF(Table1[[#This Row],[ActualWinner]]=Table1[[#This Row],[AwayTeam]], 1, 0))</f>
        <v>0</v>
      </c>
      <c r="AI1042" s="64">
        <f>IF(Table1[[#This Row],[GameIsOver]]=0,0,IF(Table1[[#This Row],[ActualWinner]]=Table1[[#This Row],[HomeTeam]], 1, 0))</f>
        <v>0</v>
      </c>
      <c r="AJ1042" s="64">
        <f>IF(INDEX(Standings!$A$2:$C$33,MATCH(Table1[[#This Row],[AwayTeam]],Standings!$A$2:$A$33,0),2)=INDEX(Standings!$A$2:$C$33,MATCH(Table1[[#This Row],[HomeTeam]],Standings!$A$2:$A$33,0),2),1,0)</f>
        <v>1</v>
      </c>
      <c r="AK1042" s="64">
        <f>IF(INDEX(Standings!$A$2:$C$33,MATCH(Table1[[#This Row],[AwayTeam]],Standings!$A$2:$A$33,0),3)=INDEX(Standings!$A$2:$C$33,MATCH(Table1[[#This Row],[HomeTeam]],Standings!$A$2:$A$33,0),3),1,0)</f>
        <v>1</v>
      </c>
      <c r="AL1042" s="64">
        <f>IF(Table1[[#This Row],[InterConf]]=1,IF(Table1[[#This Row],[InterDiv]]=0, 1, 0), 0)</f>
        <v>0</v>
      </c>
      <c r="AM1042" s="64">
        <f>IF(INDEX(Standings!$A$2:$C$33,MATCH(Table1[[#This Row],[AwayTeam]],Standings!$A$2:$A$33,0),2)&lt;&gt;INDEX(Standings!$A$2:$C$33,MATCH(Table1[[#This Row],[HomeTeam]],Standings!$A$2:$A$33,0),2),1,0)</f>
        <v>0</v>
      </c>
      <c r="AN1042" s="64" t="str">
        <f>INDEX(Table2[AWAY_RECORD], MATCH(Table1[[#This Row],[AwayTeam]],Table2[Team], 0), 0)</f>
        <v>0-0-0</v>
      </c>
      <c r="AO1042" s="64" t="str">
        <f>INDEX(Records!$B$2:$AG$33, MATCH(Table1[[#This Row],[AwayTeam]],Records!$A$2:$A$33, 0), MATCH(Table1[[#This Row],[HomeTeam]],Records!$A$2:$A$33, 0))</f>
        <v>0-0-0</v>
      </c>
      <c r="AP1042" s="64" t="str">
        <f>INDEX(Table2[HOME_RECORD], MATCH(Table1[[#This Row],[HomeTeam]],Table2[Team], 0), 0)</f>
        <v>0-0-0</v>
      </c>
      <c r="AQ1042" s="64" t="str">
        <f>INDEX(Records!$B$2:$AG$33, MATCH(Table1[[#This Row],[HomeTeam]],Records!$A$2:$A$33, 0), MATCH(Table1[[#This Row],[AwayTeam]],Records!$A$2:$A$33, 0))</f>
        <v>0-0-0</v>
      </c>
    </row>
    <row r="1043" spans="1:43" x14ac:dyDescent="0.25">
      <c r="A1043" s="1"/>
      <c r="D1043" t="s">
        <v>1375</v>
      </c>
      <c r="E1043" t="s">
        <v>298</v>
      </c>
      <c r="F1043" t="s">
        <v>1377</v>
      </c>
      <c r="G1043" t="s">
        <v>47</v>
      </c>
      <c r="H1043" t="s">
        <v>55</v>
      </c>
      <c r="L104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4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43" s="1"/>
      <c r="T1043" s="64" t="str">
        <f>IF(Table1[[#This Row],[ActualWinner]]="", "", IF(Table1[[#This Row],[AwayTeam]]=Table1[[#This Row],[ActualWinner]],Table1[[#This Row],[HomeTeam]],Table1[[#This Row],[AwayTeam]]))</f>
        <v/>
      </c>
      <c r="U1043" s="64">
        <f>Table1[[#This Row],[ActualAwayScore]]-Table1[[#This Row],[PredictedAwayScore]]</f>
        <v>0</v>
      </c>
      <c r="V1043" s="64">
        <f>Table1[[#This Row],[ActualHomeScore]]-Table1[[#This Row],[PredictedHomeScore]]</f>
        <v>0</v>
      </c>
      <c r="W1043" s="64">
        <f>(0.8*IF(Table1[[#This Row],[CorrectWinnerPrediction]]=1, 1, 0))+(0.1*IF(Table1[[#This Row],[CorrectAwayScorePrediction]]=1, 1, 0))+(0.1*IF(Table1[[#This Row],[CorrectHomeScorePrediction]]=1, 1, 0))</f>
        <v>0</v>
      </c>
      <c r="X104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43" s="64">
        <f>SUMIF(Table1[GameDate], Table1[[#This Row],[GameDate]], Table1[AwayGameGoalDiff])</f>
        <v>0</v>
      </c>
      <c r="AA1043" s="64">
        <f>SUMIF(Table1[GameDate], Table1[[#This Row],[GameDate]], Table1[HomeGameGoalDiff])</f>
        <v>0</v>
      </c>
      <c r="AB1043" s="64">
        <f>IF(ISBLANK(Table1[[#This Row],[ActualResult]]), 0, 1)</f>
        <v>0</v>
      </c>
      <c r="AC1043" s="64">
        <f>IF(ISBLANK(Table1[[#This Row],[ActualResult]]), 0, IF(Table1[[#This Row],[ActualWinner]]=Table1[[#This Row],[PredictedWinner]], 1, 0))</f>
        <v>0</v>
      </c>
      <c r="AD104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4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43" s="64">
        <f>IF(AND(Table1[[#This Row],[GameIsOver]]=1,Table1[[#This Row],[ActualAwayScore]]=0), 1,0)</f>
        <v>0</v>
      </c>
      <c r="AG1043" s="64">
        <f>IF(AND(Table1[[#This Row],[GameIsOver]]=1,Table1[[#This Row],[ActualHomeScore]]=0), 1,0)</f>
        <v>0</v>
      </c>
      <c r="AH1043" s="64">
        <f>IF(Table1[[#This Row],[GameIsOver]]=0,0,IF(Table1[[#This Row],[ActualWinner]]=Table1[[#This Row],[AwayTeam]], 1, 0))</f>
        <v>0</v>
      </c>
      <c r="AI1043" s="64">
        <f>IF(Table1[[#This Row],[GameIsOver]]=0,0,IF(Table1[[#This Row],[ActualWinner]]=Table1[[#This Row],[HomeTeam]], 1, 0))</f>
        <v>0</v>
      </c>
      <c r="AJ1043" s="64">
        <f>IF(INDEX(Standings!$A$2:$C$33,MATCH(Table1[[#This Row],[AwayTeam]],Standings!$A$2:$A$33,0),2)=INDEX(Standings!$A$2:$C$33,MATCH(Table1[[#This Row],[HomeTeam]],Standings!$A$2:$A$33,0),2),1,0)</f>
        <v>0</v>
      </c>
      <c r="AK1043" s="64">
        <f>IF(INDEX(Standings!$A$2:$C$33,MATCH(Table1[[#This Row],[AwayTeam]],Standings!$A$2:$A$33,0),3)=INDEX(Standings!$A$2:$C$33,MATCH(Table1[[#This Row],[HomeTeam]],Standings!$A$2:$A$33,0),3),1,0)</f>
        <v>0</v>
      </c>
      <c r="AL1043" s="64">
        <f>IF(Table1[[#This Row],[InterConf]]=1,IF(Table1[[#This Row],[InterDiv]]=0, 1, 0), 0)</f>
        <v>0</v>
      </c>
      <c r="AM1043" s="64">
        <f>IF(INDEX(Standings!$A$2:$C$33,MATCH(Table1[[#This Row],[AwayTeam]],Standings!$A$2:$A$33,0),2)&lt;&gt;INDEX(Standings!$A$2:$C$33,MATCH(Table1[[#This Row],[HomeTeam]],Standings!$A$2:$A$33,0),2),1,0)</f>
        <v>1</v>
      </c>
      <c r="AN1043" s="64" t="str">
        <f>INDEX(Table2[AWAY_RECORD], MATCH(Table1[[#This Row],[AwayTeam]],Table2[Team], 0), 0)</f>
        <v>1-0-0</v>
      </c>
      <c r="AO1043" s="64" t="str">
        <f>INDEX(Records!$B$2:$AG$33, MATCH(Table1[[#This Row],[AwayTeam]],Records!$A$2:$A$33, 0), MATCH(Table1[[#This Row],[HomeTeam]],Records!$A$2:$A$33, 0))</f>
        <v>0-0-0</v>
      </c>
      <c r="AP1043" s="64" t="str">
        <f>INDEX(Table2[HOME_RECORD], MATCH(Table1[[#This Row],[HomeTeam]],Table2[Team], 0), 0)</f>
        <v>0-1-0</v>
      </c>
      <c r="AQ1043" s="64" t="str">
        <f>INDEX(Records!$B$2:$AG$33, MATCH(Table1[[#This Row],[HomeTeam]],Records!$A$2:$A$33, 0), MATCH(Table1[[#This Row],[AwayTeam]],Records!$A$2:$A$33, 0))</f>
        <v>0-0-0</v>
      </c>
    </row>
    <row r="1044" spans="1:43" x14ac:dyDescent="0.25">
      <c r="A1044" s="1"/>
      <c r="D1044" t="s">
        <v>1375</v>
      </c>
      <c r="E1044" t="s">
        <v>162</v>
      </c>
      <c r="F1044" t="s">
        <v>1378</v>
      </c>
      <c r="G1044" t="s">
        <v>54</v>
      </c>
      <c r="H1044" t="s">
        <v>38</v>
      </c>
      <c r="L104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4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44" s="1"/>
      <c r="T1044" s="64" t="str">
        <f>IF(Table1[[#This Row],[ActualWinner]]="", "", IF(Table1[[#This Row],[AwayTeam]]=Table1[[#This Row],[ActualWinner]],Table1[[#This Row],[HomeTeam]],Table1[[#This Row],[AwayTeam]]))</f>
        <v/>
      </c>
      <c r="U1044" s="64">
        <f>Table1[[#This Row],[ActualAwayScore]]-Table1[[#This Row],[PredictedAwayScore]]</f>
        <v>0</v>
      </c>
      <c r="V1044" s="64">
        <f>Table1[[#This Row],[ActualHomeScore]]-Table1[[#This Row],[PredictedHomeScore]]</f>
        <v>0</v>
      </c>
      <c r="W1044" s="64">
        <f>(0.8*IF(Table1[[#This Row],[CorrectWinnerPrediction]]=1, 1, 0))+(0.1*IF(Table1[[#This Row],[CorrectAwayScorePrediction]]=1, 1, 0))+(0.1*IF(Table1[[#This Row],[CorrectHomeScorePrediction]]=1, 1, 0))</f>
        <v>0</v>
      </c>
      <c r="X104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44" s="64">
        <f>SUMIF(Table1[GameDate], Table1[[#This Row],[GameDate]], Table1[AwayGameGoalDiff])</f>
        <v>0</v>
      </c>
      <c r="AA1044" s="64">
        <f>SUMIF(Table1[GameDate], Table1[[#This Row],[GameDate]], Table1[HomeGameGoalDiff])</f>
        <v>0</v>
      </c>
      <c r="AB1044" s="64">
        <f>IF(ISBLANK(Table1[[#This Row],[ActualResult]]), 0, 1)</f>
        <v>0</v>
      </c>
      <c r="AC1044" s="64">
        <f>IF(ISBLANK(Table1[[#This Row],[ActualResult]]), 0, IF(Table1[[#This Row],[ActualWinner]]=Table1[[#This Row],[PredictedWinner]], 1, 0))</f>
        <v>0</v>
      </c>
      <c r="AD104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4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44" s="64">
        <f>IF(AND(Table1[[#This Row],[GameIsOver]]=1,Table1[[#This Row],[ActualAwayScore]]=0), 1,0)</f>
        <v>0</v>
      </c>
      <c r="AG1044" s="64">
        <f>IF(AND(Table1[[#This Row],[GameIsOver]]=1,Table1[[#This Row],[ActualHomeScore]]=0), 1,0)</f>
        <v>0</v>
      </c>
      <c r="AH1044" s="64">
        <f>IF(Table1[[#This Row],[GameIsOver]]=0,0,IF(Table1[[#This Row],[ActualWinner]]=Table1[[#This Row],[AwayTeam]], 1, 0))</f>
        <v>0</v>
      </c>
      <c r="AI1044" s="64">
        <f>IF(Table1[[#This Row],[GameIsOver]]=0,0,IF(Table1[[#This Row],[ActualWinner]]=Table1[[#This Row],[HomeTeam]], 1, 0))</f>
        <v>0</v>
      </c>
      <c r="AJ1044" s="64">
        <f>IF(INDEX(Standings!$A$2:$C$33,MATCH(Table1[[#This Row],[AwayTeam]],Standings!$A$2:$A$33,0),2)=INDEX(Standings!$A$2:$C$33,MATCH(Table1[[#This Row],[HomeTeam]],Standings!$A$2:$A$33,0),2),1,0)</f>
        <v>1</v>
      </c>
      <c r="AK1044" s="64">
        <f>IF(INDEX(Standings!$A$2:$C$33,MATCH(Table1[[#This Row],[AwayTeam]],Standings!$A$2:$A$33,0),3)=INDEX(Standings!$A$2:$C$33,MATCH(Table1[[#This Row],[HomeTeam]],Standings!$A$2:$A$33,0),3),1,0)</f>
        <v>0</v>
      </c>
      <c r="AL1044" s="64">
        <f>IF(Table1[[#This Row],[InterConf]]=1,IF(Table1[[#This Row],[InterDiv]]=0, 1, 0), 0)</f>
        <v>1</v>
      </c>
      <c r="AM1044" s="64">
        <f>IF(INDEX(Standings!$A$2:$C$33,MATCH(Table1[[#This Row],[AwayTeam]],Standings!$A$2:$A$33,0),2)&lt;&gt;INDEX(Standings!$A$2:$C$33,MATCH(Table1[[#This Row],[HomeTeam]],Standings!$A$2:$A$33,0),2),1,0)</f>
        <v>0</v>
      </c>
      <c r="AN1044" s="64" t="str">
        <f>INDEX(Table2[AWAY_RECORD], MATCH(Table1[[#This Row],[AwayTeam]],Table2[Team], 0), 0)</f>
        <v>0-0-1</v>
      </c>
      <c r="AO1044" s="64" t="str">
        <f>INDEX(Records!$B$2:$AG$33, MATCH(Table1[[#This Row],[AwayTeam]],Records!$A$2:$A$33, 0), MATCH(Table1[[#This Row],[HomeTeam]],Records!$A$2:$A$33, 0))</f>
        <v>0-0-0</v>
      </c>
      <c r="AP1044" s="64" t="str">
        <f>INDEX(Table2[HOME_RECORD], MATCH(Table1[[#This Row],[HomeTeam]],Table2[Team], 0), 0)</f>
        <v>0-0-0</v>
      </c>
      <c r="AQ1044" s="64" t="str">
        <f>INDEX(Records!$B$2:$AG$33, MATCH(Table1[[#This Row],[HomeTeam]],Records!$A$2:$A$33, 0), MATCH(Table1[[#This Row],[AwayTeam]],Records!$A$2:$A$33, 0))</f>
        <v>0-0-0</v>
      </c>
    </row>
    <row r="1045" spans="1:43" x14ac:dyDescent="0.25">
      <c r="A1045" s="1"/>
      <c r="D1045" t="s">
        <v>1375</v>
      </c>
      <c r="E1045" t="s">
        <v>162</v>
      </c>
      <c r="F1045" t="s">
        <v>1379</v>
      </c>
      <c r="G1045" t="s">
        <v>58</v>
      </c>
      <c r="H1045" t="s">
        <v>17</v>
      </c>
      <c r="L104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4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45" s="1"/>
      <c r="T1045" s="64" t="str">
        <f>IF(Table1[[#This Row],[ActualWinner]]="", "", IF(Table1[[#This Row],[AwayTeam]]=Table1[[#This Row],[ActualWinner]],Table1[[#This Row],[HomeTeam]],Table1[[#This Row],[AwayTeam]]))</f>
        <v/>
      </c>
      <c r="U1045" s="64">
        <f>Table1[[#This Row],[ActualAwayScore]]-Table1[[#This Row],[PredictedAwayScore]]</f>
        <v>0</v>
      </c>
      <c r="V1045" s="64">
        <f>Table1[[#This Row],[ActualHomeScore]]-Table1[[#This Row],[PredictedHomeScore]]</f>
        <v>0</v>
      </c>
      <c r="W1045" s="64">
        <f>(0.8*IF(Table1[[#This Row],[CorrectWinnerPrediction]]=1, 1, 0))+(0.1*IF(Table1[[#This Row],[CorrectAwayScorePrediction]]=1, 1, 0))+(0.1*IF(Table1[[#This Row],[CorrectHomeScorePrediction]]=1, 1, 0))</f>
        <v>0</v>
      </c>
      <c r="X104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45" s="64">
        <f>SUMIF(Table1[GameDate], Table1[[#This Row],[GameDate]], Table1[AwayGameGoalDiff])</f>
        <v>0</v>
      </c>
      <c r="AA1045" s="64">
        <f>SUMIF(Table1[GameDate], Table1[[#This Row],[GameDate]], Table1[HomeGameGoalDiff])</f>
        <v>0</v>
      </c>
      <c r="AB1045" s="64">
        <f>IF(ISBLANK(Table1[[#This Row],[ActualResult]]), 0, 1)</f>
        <v>0</v>
      </c>
      <c r="AC1045" s="64">
        <f>IF(ISBLANK(Table1[[#This Row],[ActualResult]]), 0, IF(Table1[[#This Row],[ActualWinner]]=Table1[[#This Row],[PredictedWinner]], 1, 0))</f>
        <v>0</v>
      </c>
      <c r="AD104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4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45" s="64">
        <f>IF(AND(Table1[[#This Row],[GameIsOver]]=1,Table1[[#This Row],[ActualAwayScore]]=0), 1,0)</f>
        <v>0</v>
      </c>
      <c r="AG1045" s="64">
        <f>IF(AND(Table1[[#This Row],[GameIsOver]]=1,Table1[[#This Row],[ActualHomeScore]]=0), 1,0)</f>
        <v>0</v>
      </c>
      <c r="AH1045" s="64">
        <f>IF(Table1[[#This Row],[GameIsOver]]=0,0,IF(Table1[[#This Row],[ActualWinner]]=Table1[[#This Row],[AwayTeam]], 1, 0))</f>
        <v>0</v>
      </c>
      <c r="AI1045" s="64">
        <f>IF(Table1[[#This Row],[GameIsOver]]=0,0,IF(Table1[[#This Row],[ActualWinner]]=Table1[[#This Row],[HomeTeam]], 1, 0))</f>
        <v>0</v>
      </c>
      <c r="AJ1045" s="64">
        <f>IF(INDEX(Standings!$A$2:$C$33,MATCH(Table1[[#This Row],[AwayTeam]],Standings!$A$2:$A$33,0),2)=INDEX(Standings!$A$2:$C$33,MATCH(Table1[[#This Row],[HomeTeam]],Standings!$A$2:$A$33,0),2),1,0)</f>
        <v>0</v>
      </c>
      <c r="AK1045" s="64">
        <f>IF(INDEX(Standings!$A$2:$C$33,MATCH(Table1[[#This Row],[AwayTeam]],Standings!$A$2:$A$33,0),3)=INDEX(Standings!$A$2:$C$33,MATCH(Table1[[#This Row],[HomeTeam]],Standings!$A$2:$A$33,0),3),1,0)</f>
        <v>0</v>
      </c>
      <c r="AL1045" s="64">
        <f>IF(Table1[[#This Row],[InterConf]]=1,IF(Table1[[#This Row],[InterDiv]]=0, 1, 0), 0)</f>
        <v>0</v>
      </c>
      <c r="AM1045" s="64">
        <f>IF(INDEX(Standings!$A$2:$C$33,MATCH(Table1[[#This Row],[AwayTeam]],Standings!$A$2:$A$33,0),2)&lt;&gt;INDEX(Standings!$A$2:$C$33,MATCH(Table1[[#This Row],[HomeTeam]],Standings!$A$2:$A$33,0),2),1,0)</f>
        <v>1</v>
      </c>
      <c r="AN1045" s="64" t="str">
        <f>INDEX(Table2[AWAY_RECORD], MATCH(Table1[[#This Row],[AwayTeam]],Table2[Team], 0), 0)</f>
        <v>0-0-0</v>
      </c>
      <c r="AO1045" s="64" t="str">
        <f>INDEX(Records!$B$2:$AG$33, MATCH(Table1[[#This Row],[AwayTeam]],Records!$A$2:$A$33, 0), MATCH(Table1[[#This Row],[HomeTeam]],Records!$A$2:$A$33, 0))</f>
        <v>0-0-0</v>
      </c>
      <c r="AP1045" s="64" t="str">
        <f>INDEX(Table2[HOME_RECORD], MATCH(Table1[[#This Row],[HomeTeam]],Table2[Team], 0), 0)</f>
        <v>0-0-0</v>
      </c>
      <c r="AQ1045" s="64" t="str">
        <f>INDEX(Records!$B$2:$AG$33, MATCH(Table1[[#This Row],[HomeTeam]],Records!$A$2:$A$33, 0), MATCH(Table1[[#This Row],[AwayTeam]],Records!$A$2:$A$33, 0))</f>
        <v>0-0-0</v>
      </c>
    </row>
    <row r="1046" spans="1:43" x14ac:dyDescent="0.25">
      <c r="A1046" s="1"/>
      <c r="D1046" t="s">
        <v>1375</v>
      </c>
      <c r="E1046" t="s">
        <v>162</v>
      </c>
      <c r="F1046" t="s">
        <v>1380</v>
      </c>
      <c r="G1046" t="s">
        <v>52</v>
      </c>
      <c r="H1046" t="s">
        <v>49</v>
      </c>
      <c r="L104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4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46" s="1"/>
      <c r="T1046" s="64" t="str">
        <f>IF(Table1[[#This Row],[ActualWinner]]="", "", IF(Table1[[#This Row],[AwayTeam]]=Table1[[#This Row],[ActualWinner]],Table1[[#This Row],[HomeTeam]],Table1[[#This Row],[AwayTeam]]))</f>
        <v/>
      </c>
      <c r="U1046" s="64">
        <f>Table1[[#This Row],[ActualAwayScore]]-Table1[[#This Row],[PredictedAwayScore]]</f>
        <v>0</v>
      </c>
      <c r="V1046" s="64">
        <f>Table1[[#This Row],[ActualHomeScore]]-Table1[[#This Row],[PredictedHomeScore]]</f>
        <v>0</v>
      </c>
      <c r="W1046" s="64">
        <f>(0.8*IF(Table1[[#This Row],[CorrectWinnerPrediction]]=1, 1, 0))+(0.1*IF(Table1[[#This Row],[CorrectAwayScorePrediction]]=1, 1, 0))+(0.1*IF(Table1[[#This Row],[CorrectHomeScorePrediction]]=1, 1, 0))</f>
        <v>0</v>
      </c>
      <c r="X104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46" s="64">
        <f>SUMIF(Table1[GameDate], Table1[[#This Row],[GameDate]], Table1[AwayGameGoalDiff])</f>
        <v>0</v>
      </c>
      <c r="AA1046" s="64">
        <f>SUMIF(Table1[GameDate], Table1[[#This Row],[GameDate]], Table1[HomeGameGoalDiff])</f>
        <v>0</v>
      </c>
      <c r="AB1046" s="64">
        <f>IF(ISBLANK(Table1[[#This Row],[ActualResult]]), 0, 1)</f>
        <v>0</v>
      </c>
      <c r="AC1046" s="64">
        <f>IF(ISBLANK(Table1[[#This Row],[ActualResult]]), 0, IF(Table1[[#This Row],[ActualWinner]]=Table1[[#This Row],[PredictedWinner]], 1, 0))</f>
        <v>0</v>
      </c>
      <c r="AD104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4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46" s="64">
        <f>IF(AND(Table1[[#This Row],[GameIsOver]]=1,Table1[[#This Row],[ActualAwayScore]]=0), 1,0)</f>
        <v>0</v>
      </c>
      <c r="AG1046" s="64">
        <f>IF(AND(Table1[[#This Row],[GameIsOver]]=1,Table1[[#This Row],[ActualHomeScore]]=0), 1,0)</f>
        <v>0</v>
      </c>
      <c r="AH1046" s="64">
        <f>IF(Table1[[#This Row],[GameIsOver]]=0,0,IF(Table1[[#This Row],[ActualWinner]]=Table1[[#This Row],[AwayTeam]], 1, 0))</f>
        <v>0</v>
      </c>
      <c r="AI1046" s="64">
        <f>IF(Table1[[#This Row],[GameIsOver]]=0,0,IF(Table1[[#This Row],[ActualWinner]]=Table1[[#This Row],[HomeTeam]], 1, 0))</f>
        <v>0</v>
      </c>
      <c r="AJ1046" s="64">
        <f>IF(INDEX(Standings!$A$2:$C$33,MATCH(Table1[[#This Row],[AwayTeam]],Standings!$A$2:$A$33,0),2)=INDEX(Standings!$A$2:$C$33,MATCH(Table1[[#This Row],[HomeTeam]],Standings!$A$2:$A$33,0),2),1,0)</f>
        <v>1</v>
      </c>
      <c r="AK1046" s="64">
        <f>IF(INDEX(Standings!$A$2:$C$33,MATCH(Table1[[#This Row],[AwayTeam]],Standings!$A$2:$A$33,0),3)=INDEX(Standings!$A$2:$C$33,MATCH(Table1[[#This Row],[HomeTeam]],Standings!$A$2:$A$33,0),3),1,0)</f>
        <v>0</v>
      </c>
      <c r="AL1046" s="64">
        <f>IF(Table1[[#This Row],[InterConf]]=1,IF(Table1[[#This Row],[InterDiv]]=0, 1, 0), 0)</f>
        <v>1</v>
      </c>
      <c r="AM1046" s="64">
        <f>IF(INDEX(Standings!$A$2:$C$33,MATCH(Table1[[#This Row],[AwayTeam]],Standings!$A$2:$A$33,0),2)&lt;&gt;INDEX(Standings!$A$2:$C$33,MATCH(Table1[[#This Row],[HomeTeam]],Standings!$A$2:$A$33,0),2),1,0)</f>
        <v>0</v>
      </c>
      <c r="AN1046" s="64" t="str">
        <f>INDEX(Table2[AWAY_RECORD], MATCH(Table1[[#This Row],[AwayTeam]],Table2[Team], 0), 0)</f>
        <v>0-0-0</v>
      </c>
      <c r="AO1046" s="64" t="str">
        <f>INDEX(Records!$B$2:$AG$33, MATCH(Table1[[#This Row],[AwayTeam]],Records!$A$2:$A$33, 0), MATCH(Table1[[#This Row],[HomeTeam]],Records!$A$2:$A$33, 0))</f>
        <v>0-0-0</v>
      </c>
      <c r="AP1046" s="64" t="str">
        <f>INDEX(Table2[HOME_RECORD], MATCH(Table1[[#This Row],[HomeTeam]],Table2[Team], 0), 0)</f>
        <v>1-0-0</v>
      </c>
      <c r="AQ1046" s="64" t="str">
        <f>INDEX(Records!$B$2:$AG$33, MATCH(Table1[[#This Row],[HomeTeam]],Records!$A$2:$A$33, 0), MATCH(Table1[[#This Row],[AwayTeam]],Records!$A$2:$A$33, 0))</f>
        <v>0-0-0</v>
      </c>
    </row>
    <row r="1047" spans="1:43" x14ac:dyDescent="0.25">
      <c r="A1047" s="1"/>
      <c r="D1047" t="s">
        <v>1375</v>
      </c>
      <c r="E1047" t="s">
        <v>162</v>
      </c>
      <c r="F1047" t="s">
        <v>1381</v>
      </c>
      <c r="G1047" t="s">
        <v>25</v>
      </c>
      <c r="H1047" t="s">
        <v>53</v>
      </c>
      <c r="L104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4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47" s="1"/>
      <c r="T1047" s="64" t="str">
        <f>IF(Table1[[#This Row],[ActualWinner]]="", "", IF(Table1[[#This Row],[AwayTeam]]=Table1[[#This Row],[ActualWinner]],Table1[[#This Row],[HomeTeam]],Table1[[#This Row],[AwayTeam]]))</f>
        <v/>
      </c>
      <c r="U1047" s="64">
        <f>Table1[[#This Row],[ActualAwayScore]]-Table1[[#This Row],[PredictedAwayScore]]</f>
        <v>0</v>
      </c>
      <c r="V1047" s="64">
        <f>Table1[[#This Row],[ActualHomeScore]]-Table1[[#This Row],[PredictedHomeScore]]</f>
        <v>0</v>
      </c>
      <c r="W1047" s="64">
        <f>(0.8*IF(Table1[[#This Row],[CorrectWinnerPrediction]]=1, 1, 0))+(0.1*IF(Table1[[#This Row],[CorrectAwayScorePrediction]]=1, 1, 0))+(0.1*IF(Table1[[#This Row],[CorrectHomeScorePrediction]]=1, 1, 0))</f>
        <v>0</v>
      </c>
      <c r="X104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47" s="64">
        <f>SUMIF(Table1[GameDate], Table1[[#This Row],[GameDate]], Table1[AwayGameGoalDiff])</f>
        <v>0</v>
      </c>
      <c r="AA1047" s="64">
        <f>SUMIF(Table1[GameDate], Table1[[#This Row],[GameDate]], Table1[HomeGameGoalDiff])</f>
        <v>0</v>
      </c>
      <c r="AB1047" s="64">
        <f>IF(ISBLANK(Table1[[#This Row],[ActualResult]]), 0, 1)</f>
        <v>0</v>
      </c>
      <c r="AC1047" s="64">
        <f>IF(ISBLANK(Table1[[#This Row],[ActualResult]]), 0, IF(Table1[[#This Row],[ActualWinner]]=Table1[[#This Row],[PredictedWinner]], 1, 0))</f>
        <v>0</v>
      </c>
      <c r="AD104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4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47" s="64">
        <f>IF(AND(Table1[[#This Row],[GameIsOver]]=1,Table1[[#This Row],[ActualAwayScore]]=0), 1,0)</f>
        <v>0</v>
      </c>
      <c r="AG1047" s="64">
        <f>IF(AND(Table1[[#This Row],[GameIsOver]]=1,Table1[[#This Row],[ActualHomeScore]]=0), 1,0)</f>
        <v>0</v>
      </c>
      <c r="AH1047" s="64">
        <f>IF(Table1[[#This Row],[GameIsOver]]=0,0,IF(Table1[[#This Row],[ActualWinner]]=Table1[[#This Row],[AwayTeam]], 1, 0))</f>
        <v>0</v>
      </c>
      <c r="AI1047" s="64">
        <f>IF(Table1[[#This Row],[GameIsOver]]=0,0,IF(Table1[[#This Row],[ActualWinner]]=Table1[[#This Row],[HomeTeam]], 1, 0))</f>
        <v>0</v>
      </c>
      <c r="AJ1047" s="64">
        <f>IF(INDEX(Standings!$A$2:$C$33,MATCH(Table1[[#This Row],[AwayTeam]],Standings!$A$2:$A$33,0),2)=INDEX(Standings!$A$2:$C$33,MATCH(Table1[[#This Row],[HomeTeam]],Standings!$A$2:$A$33,0),2),1,0)</f>
        <v>0</v>
      </c>
      <c r="AK1047" s="64">
        <f>IF(INDEX(Standings!$A$2:$C$33,MATCH(Table1[[#This Row],[AwayTeam]],Standings!$A$2:$A$33,0),3)=INDEX(Standings!$A$2:$C$33,MATCH(Table1[[#This Row],[HomeTeam]],Standings!$A$2:$A$33,0),3),1,0)</f>
        <v>0</v>
      </c>
      <c r="AL1047" s="64">
        <f>IF(Table1[[#This Row],[InterConf]]=1,IF(Table1[[#This Row],[InterDiv]]=0, 1, 0), 0)</f>
        <v>0</v>
      </c>
      <c r="AM1047" s="64">
        <f>IF(INDEX(Standings!$A$2:$C$33,MATCH(Table1[[#This Row],[AwayTeam]],Standings!$A$2:$A$33,0),2)&lt;&gt;INDEX(Standings!$A$2:$C$33,MATCH(Table1[[#This Row],[HomeTeam]],Standings!$A$2:$A$33,0),2),1,0)</f>
        <v>1</v>
      </c>
      <c r="AN1047" s="64" t="str">
        <f>INDEX(Table2[AWAY_RECORD], MATCH(Table1[[#This Row],[AwayTeam]],Table2[Team], 0), 0)</f>
        <v>0-0-0</v>
      </c>
      <c r="AO1047" s="64" t="str">
        <f>INDEX(Records!$B$2:$AG$33, MATCH(Table1[[#This Row],[AwayTeam]],Records!$A$2:$A$33, 0), MATCH(Table1[[#This Row],[HomeTeam]],Records!$A$2:$A$33, 0))</f>
        <v>0-0-0</v>
      </c>
      <c r="AP1047" s="64" t="str">
        <f>INDEX(Table2[HOME_RECORD], MATCH(Table1[[#This Row],[HomeTeam]],Table2[Team], 0), 0)</f>
        <v>1-0-0</v>
      </c>
      <c r="AQ1047" s="64" t="str">
        <f>INDEX(Records!$B$2:$AG$33, MATCH(Table1[[#This Row],[HomeTeam]],Records!$A$2:$A$33, 0), MATCH(Table1[[#This Row],[AwayTeam]],Records!$A$2:$A$33, 0))</f>
        <v>0-0-0</v>
      </c>
    </row>
    <row r="1048" spans="1:43" x14ac:dyDescent="0.25">
      <c r="A1048" s="1"/>
      <c r="D1048" t="s">
        <v>1375</v>
      </c>
      <c r="E1048" t="s">
        <v>178</v>
      </c>
      <c r="F1048" t="s">
        <v>1382</v>
      </c>
      <c r="G1048" t="s">
        <v>41</v>
      </c>
      <c r="H1048" t="s">
        <v>48</v>
      </c>
      <c r="L104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4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48" s="1"/>
      <c r="T1048" s="64" t="str">
        <f>IF(Table1[[#This Row],[ActualWinner]]="", "", IF(Table1[[#This Row],[AwayTeam]]=Table1[[#This Row],[ActualWinner]],Table1[[#This Row],[HomeTeam]],Table1[[#This Row],[AwayTeam]]))</f>
        <v/>
      </c>
      <c r="U1048" s="64">
        <f>Table1[[#This Row],[ActualAwayScore]]-Table1[[#This Row],[PredictedAwayScore]]</f>
        <v>0</v>
      </c>
      <c r="V1048" s="64">
        <f>Table1[[#This Row],[ActualHomeScore]]-Table1[[#This Row],[PredictedHomeScore]]</f>
        <v>0</v>
      </c>
      <c r="W1048" s="64">
        <f>(0.8*IF(Table1[[#This Row],[CorrectWinnerPrediction]]=1, 1, 0))+(0.1*IF(Table1[[#This Row],[CorrectAwayScorePrediction]]=1, 1, 0))+(0.1*IF(Table1[[#This Row],[CorrectHomeScorePrediction]]=1, 1, 0))</f>
        <v>0</v>
      </c>
      <c r="X104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48" s="64">
        <f>SUMIF(Table1[GameDate], Table1[[#This Row],[GameDate]], Table1[AwayGameGoalDiff])</f>
        <v>0</v>
      </c>
      <c r="AA1048" s="64">
        <f>SUMIF(Table1[GameDate], Table1[[#This Row],[GameDate]], Table1[HomeGameGoalDiff])</f>
        <v>0</v>
      </c>
      <c r="AB1048" s="64">
        <f>IF(ISBLANK(Table1[[#This Row],[ActualResult]]), 0, 1)</f>
        <v>0</v>
      </c>
      <c r="AC1048" s="64">
        <f>IF(ISBLANK(Table1[[#This Row],[ActualResult]]), 0, IF(Table1[[#This Row],[ActualWinner]]=Table1[[#This Row],[PredictedWinner]], 1, 0))</f>
        <v>0</v>
      </c>
      <c r="AD104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4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48" s="64">
        <f>IF(AND(Table1[[#This Row],[GameIsOver]]=1,Table1[[#This Row],[ActualAwayScore]]=0), 1,0)</f>
        <v>0</v>
      </c>
      <c r="AG1048" s="64">
        <f>IF(AND(Table1[[#This Row],[GameIsOver]]=1,Table1[[#This Row],[ActualHomeScore]]=0), 1,0)</f>
        <v>0</v>
      </c>
      <c r="AH1048" s="64">
        <f>IF(Table1[[#This Row],[GameIsOver]]=0,0,IF(Table1[[#This Row],[ActualWinner]]=Table1[[#This Row],[AwayTeam]], 1, 0))</f>
        <v>0</v>
      </c>
      <c r="AI1048" s="64">
        <f>IF(Table1[[#This Row],[GameIsOver]]=0,0,IF(Table1[[#This Row],[ActualWinner]]=Table1[[#This Row],[HomeTeam]], 1, 0))</f>
        <v>0</v>
      </c>
      <c r="AJ1048" s="64">
        <f>IF(INDEX(Standings!$A$2:$C$33,MATCH(Table1[[#This Row],[AwayTeam]],Standings!$A$2:$A$33,0),2)=INDEX(Standings!$A$2:$C$33,MATCH(Table1[[#This Row],[HomeTeam]],Standings!$A$2:$A$33,0),2),1,0)</f>
        <v>1</v>
      </c>
      <c r="AK1048" s="64">
        <f>IF(INDEX(Standings!$A$2:$C$33,MATCH(Table1[[#This Row],[AwayTeam]],Standings!$A$2:$A$33,0),3)=INDEX(Standings!$A$2:$C$33,MATCH(Table1[[#This Row],[HomeTeam]],Standings!$A$2:$A$33,0),3),1,0)</f>
        <v>1</v>
      </c>
      <c r="AL1048" s="64">
        <f>IF(Table1[[#This Row],[InterConf]]=1,IF(Table1[[#This Row],[InterDiv]]=0, 1, 0), 0)</f>
        <v>0</v>
      </c>
      <c r="AM1048" s="64">
        <f>IF(INDEX(Standings!$A$2:$C$33,MATCH(Table1[[#This Row],[AwayTeam]],Standings!$A$2:$A$33,0),2)&lt;&gt;INDEX(Standings!$A$2:$C$33,MATCH(Table1[[#This Row],[HomeTeam]],Standings!$A$2:$A$33,0),2),1,0)</f>
        <v>0</v>
      </c>
      <c r="AN1048" s="64" t="str">
        <f>INDEX(Table2[AWAY_RECORD], MATCH(Table1[[#This Row],[AwayTeam]],Table2[Team], 0), 0)</f>
        <v>0-0-0</v>
      </c>
      <c r="AO1048" s="64" t="str">
        <f>INDEX(Records!$B$2:$AG$33, MATCH(Table1[[#This Row],[AwayTeam]],Records!$A$2:$A$33, 0), MATCH(Table1[[#This Row],[HomeTeam]],Records!$A$2:$A$33, 0))</f>
        <v>0-0-0</v>
      </c>
      <c r="AP1048" s="64" t="str">
        <f>INDEX(Table2[HOME_RECORD], MATCH(Table1[[#This Row],[HomeTeam]],Table2[Team], 0), 0)</f>
        <v>1-0-0</v>
      </c>
      <c r="AQ1048" s="64" t="str">
        <f>INDEX(Records!$B$2:$AG$33, MATCH(Table1[[#This Row],[HomeTeam]],Records!$A$2:$A$33, 0), MATCH(Table1[[#This Row],[AwayTeam]],Records!$A$2:$A$33, 0))</f>
        <v>0-0-0</v>
      </c>
    </row>
    <row r="1049" spans="1:43" x14ac:dyDescent="0.25">
      <c r="A1049" s="1"/>
      <c r="D1049" t="s">
        <v>1383</v>
      </c>
      <c r="E1049" t="s">
        <v>169</v>
      </c>
      <c r="F1049" t="s">
        <v>1384</v>
      </c>
      <c r="G1049" t="s">
        <v>56</v>
      </c>
      <c r="H1049" t="s">
        <v>24</v>
      </c>
      <c r="L104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4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49" s="1"/>
      <c r="T1049" s="64" t="str">
        <f>IF(Table1[[#This Row],[ActualWinner]]="", "", IF(Table1[[#This Row],[AwayTeam]]=Table1[[#This Row],[ActualWinner]],Table1[[#This Row],[HomeTeam]],Table1[[#This Row],[AwayTeam]]))</f>
        <v/>
      </c>
      <c r="U1049" s="64">
        <f>Table1[[#This Row],[ActualAwayScore]]-Table1[[#This Row],[PredictedAwayScore]]</f>
        <v>0</v>
      </c>
      <c r="V1049" s="64">
        <f>Table1[[#This Row],[ActualHomeScore]]-Table1[[#This Row],[PredictedHomeScore]]</f>
        <v>0</v>
      </c>
      <c r="W1049" s="64">
        <f>(0.8*IF(Table1[[#This Row],[CorrectWinnerPrediction]]=1, 1, 0))+(0.1*IF(Table1[[#This Row],[CorrectAwayScorePrediction]]=1, 1, 0))+(0.1*IF(Table1[[#This Row],[CorrectHomeScorePrediction]]=1, 1, 0))</f>
        <v>0</v>
      </c>
      <c r="X104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49" s="64">
        <f>SUMIF(Table1[GameDate], Table1[[#This Row],[GameDate]], Table1[AwayGameGoalDiff])</f>
        <v>0</v>
      </c>
      <c r="AA1049" s="64">
        <f>SUMIF(Table1[GameDate], Table1[[#This Row],[GameDate]], Table1[HomeGameGoalDiff])</f>
        <v>0</v>
      </c>
      <c r="AB1049" s="64">
        <f>IF(ISBLANK(Table1[[#This Row],[ActualResult]]), 0, 1)</f>
        <v>0</v>
      </c>
      <c r="AC1049" s="64">
        <f>IF(ISBLANK(Table1[[#This Row],[ActualResult]]), 0, IF(Table1[[#This Row],[ActualWinner]]=Table1[[#This Row],[PredictedWinner]], 1, 0))</f>
        <v>0</v>
      </c>
      <c r="AD104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4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49" s="64">
        <f>IF(AND(Table1[[#This Row],[GameIsOver]]=1,Table1[[#This Row],[ActualAwayScore]]=0), 1,0)</f>
        <v>0</v>
      </c>
      <c r="AG1049" s="64">
        <f>IF(AND(Table1[[#This Row],[GameIsOver]]=1,Table1[[#This Row],[ActualHomeScore]]=0), 1,0)</f>
        <v>0</v>
      </c>
      <c r="AH1049" s="64">
        <f>IF(Table1[[#This Row],[GameIsOver]]=0,0,IF(Table1[[#This Row],[ActualWinner]]=Table1[[#This Row],[AwayTeam]], 1, 0))</f>
        <v>0</v>
      </c>
      <c r="AI1049" s="64">
        <f>IF(Table1[[#This Row],[GameIsOver]]=0,0,IF(Table1[[#This Row],[ActualWinner]]=Table1[[#This Row],[HomeTeam]], 1, 0))</f>
        <v>0</v>
      </c>
      <c r="AJ1049" s="64">
        <f>IF(INDEX(Standings!$A$2:$C$33,MATCH(Table1[[#This Row],[AwayTeam]],Standings!$A$2:$A$33,0),2)=INDEX(Standings!$A$2:$C$33,MATCH(Table1[[#This Row],[HomeTeam]],Standings!$A$2:$A$33,0),2),1,0)</f>
        <v>0</v>
      </c>
      <c r="AK1049" s="64">
        <f>IF(INDEX(Standings!$A$2:$C$33,MATCH(Table1[[#This Row],[AwayTeam]],Standings!$A$2:$A$33,0),3)=INDEX(Standings!$A$2:$C$33,MATCH(Table1[[#This Row],[HomeTeam]],Standings!$A$2:$A$33,0),3),1,0)</f>
        <v>0</v>
      </c>
      <c r="AL1049" s="64">
        <f>IF(Table1[[#This Row],[InterConf]]=1,IF(Table1[[#This Row],[InterDiv]]=0, 1, 0), 0)</f>
        <v>0</v>
      </c>
      <c r="AM1049" s="64">
        <f>IF(INDEX(Standings!$A$2:$C$33,MATCH(Table1[[#This Row],[AwayTeam]],Standings!$A$2:$A$33,0),2)&lt;&gt;INDEX(Standings!$A$2:$C$33,MATCH(Table1[[#This Row],[HomeTeam]],Standings!$A$2:$A$33,0),2),1,0)</f>
        <v>1</v>
      </c>
      <c r="AN1049" s="64" t="str">
        <f>INDEX(Table2[AWAY_RECORD], MATCH(Table1[[#This Row],[AwayTeam]],Table2[Team], 0), 0)</f>
        <v>1-0-0</v>
      </c>
      <c r="AO1049" s="64" t="str">
        <f>INDEX(Records!$B$2:$AG$33, MATCH(Table1[[#This Row],[AwayTeam]],Records!$A$2:$A$33, 0), MATCH(Table1[[#This Row],[HomeTeam]],Records!$A$2:$A$33, 0))</f>
        <v>0-0-0</v>
      </c>
      <c r="AP1049" s="64" t="str">
        <f>INDEX(Table2[HOME_RECORD], MATCH(Table1[[#This Row],[HomeTeam]],Table2[Team], 0), 0)</f>
        <v>0-2-0</v>
      </c>
      <c r="AQ1049" s="64" t="str">
        <f>INDEX(Records!$B$2:$AG$33, MATCH(Table1[[#This Row],[HomeTeam]],Records!$A$2:$A$33, 0), MATCH(Table1[[#This Row],[AwayTeam]],Records!$A$2:$A$33, 0))</f>
        <v>0-0-0</v>
      </c>
    </row>
    <row r="1050" spans="1:43" x14ac:dyDescent="0.25">
      <c r="A1050" s="1"/>
      <c r="D1050" t="s">
        <v>1383</v>
      </c>
      <c r="E1050" t="s">
        <v>162</v>
      </c>
      <c r="F1050" t="s">
        <v>1385</v>
      </c>
      <c r="G1050" t="s">
        <v>37</v>
      </c>
      <c r="H1050" t="s">
        <v>51</v>
      </c>
      <c r="L105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5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50" s="1"/>
      <c r="T1050" s="64" t="str">
        <f>IF(Table1[[#This Row],[ActualWinner]]="", "", IF(Table1[[#This Row],[AwayTeam]]=Table1[[#This Row],[ActualWinner]],Table1[[#This Row],[HomeTeam]],Table1[[#This Row],[AwayTeam]]))</f>
        <v/>
      </c>
      <c r="U1050" s="64">
        <f>Table1[[#This Row],[ActualAwayScore]]-Table1[[#This Row],[PredictedAwayScore]]</f>
        <v>0</v>
      </c>
      <c r="V1050" s="64">
        <f>Table1[[#This Row],[ActualHomeScore]]-Table1[[#This Row],[PredictedHomeScore]]</f>
        <v>0</v>
      </c>
      <c r="W1050" s="64">
        <f>(0.8*IF(Table1[[#This Row],[CorrectWinnerPrediction]]=1, 1, 0))+(0.1*IF(Table1[[#This Row],[CorrectAwayScorePrediction]]=1, 1, 0))+(0.1*IF(Table1[[#This Row],[CorrectHomeScorePrediction]]=1, 1, 0))</f>
        <v>0</v>
      </c>
      <c r="X105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50" s="64">
        <f>SUMIF(Table1[GameDate], Table1[[#This Row],[GameDate]], Table1[AwayGameGoalDiff])</f>
        <v>0</v>
      </c>
      <c r="AA1050" s="64">
        <f>SUMIF(Table1[GameDate], Table1[[#This Row],[GameDate]], Table1[HomeGameGoalDiff])</f>
        <v>0</v>
      </c>
      <c r="AB1050" s="64">
        <f>IF(ISBLANK(Table1[[#This Row],[ActualResult]]), 0, 1)</f>
        <v>0</v>
      </c>
      <c r="AC1050" s="64">
        <f>IF(ISBLANK(Table1[[#This Row],[ActualResult]]), 0, IF(Table1[[#This Row],[ActualWinner]]=Table1[[#This Row],[PredictedWinner]], 1, 0))</f>
        <v>0</v>
      </c>
      <c r="AD105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5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50" s="64">
        <f>IF(AND(Table1[[#This Row],[GameIsOver]]=1,Table1[[#This Row],[ActualAwayScore]]=0), 1,0)</f>
        <v>0</v>
      </c>
      <c r="AG1050" s="64">
        <f>IF(AND(Table1[[#This Row],[GameIsOver]]=1,Table1[[#This Row],[ActualHomeScore]]=0), 1,0)</f>
        <v>0</v>
      </c>
      <c r="AH1050" s="64">
        <f>IF(Table1[[#This Row],[GameIsOver]]=0,0,IF(Table1[[#This Row],[ActualWinner]]=Table1[[#This Row],[AwayTeam]], 1, 0))</f>
        <v>0</v>
      </c>
      <c r="AI1050" s="64">
        <f>IF(Table1[[#This Row],[GameIsOver]]=0,0,IF(Table1[[#This Row],[ActualWinner]]=Table1[[#This Row],[HomeTeam]], 1, 0))</f>
        <v>0</v>
      </c>
      <c r="AJ1050" s="64">
        <f>IF(INDEX(Standings!$A$2:$C$33,MATCH(Table1[[#This Row],[AwayTeam]],Standings!$A$2:$A$33,0),2)=INDEX(Standings!$A$2:$C$33,MATCH(Table1[[#This Row],[HomeTeam]],Standings!$A$2:$A$33,0),2),1,0)</f>
        <v>1</v>
      </c>
      <c r="AK1050" s="64">
        <f>IF(INDEX(Standings!$A$2:$C$33,MATCH(Table1[[#This Row],[AwayTeam]],Standings!$A$2:$A$33,0),3)=INDEX(Standings!$A$2:$C$33,MATCH(Table1[[#This Row],[HomeTeam]],Standings!$A$2:$A$33,0),3),1,0)</f>
        <v>0</v>
      </c>
      <c r="AL1050" s="64">
        <f>IF(Table1[[#This Row],[InterConf]]=1,IF(Table1[[#This Row],[InterDiv]]=0, 1, 0), 0)</f>
        <v>1</v>
      </c>
      <c r="AM1050" s="64">
        <f>IF(INDEX(Standings!$A$2:$C$33,MATCH(Table1[[#This Row],[AwayTeam]],Standings!$A$2:$A$33,0),2)&lt;&gt;INDEX(Standings!$A$2:$C$33,MATCH(Table1[[#This Row],[HomeTeam]],Standings!$A$2:$A$33,0),2),1,0)</f>
        <v>0</v>
      </c>
      <c r="AN1050" s="64" t="str">
        <f>INDEX(Table2[AWAY_RECORD], MATCH(Table1[[#This Row],[AwayTeam]],Table2[Team], 0), 0)</f>
        <v>0-0-1</v>
      </c>
      <c r="AO1050" s="64" t="str">
        <f>INDEX(Records!$B$2:$AG$33, MATCH(Table1[[#This Row],[AwayTeam]],Records!$A$2:$A$33, 0), MATCH(Table1[[#This Row],[HomeTeam]],Records!$A$2:$A$33, 0))</f>
        <v>0-1-0</v>
      </c>
      <c r="AP1050" s="64" t="str">
        <f>INDEX(Table2[HOME_RECORD], MATCH(Table1[[#This Row],[HomeTeam]],Table2[Team], 0), 0)</f>
        <v>1-0-0</v>
      </c>
      <c r="AQ1050" s="64" t="str">
        <f>INDEX(Records!$B$2:$AG$33, MATCH(Table1[[#This Row],[HomeTeam]],Records!$A$2:$A$33, 0), MATCH(Table1[[#This Row],[AwayTeam]],Records!$A$2:$A$33, 0))</f>
        <v>1-0-0</v>
      </c>
    </row>
    <row r="1051" spans="1:43" x14ac:dyDescent="0.25">
      <c r="A1051" s="1"/>
      <c r="D1051" t="s">
        <v>1383</v>
      </c>
      <c r="E1051" t="s">
        <v>162</v>
      </c>
      <c r="F1051" t="s">
        <v>1386</v>
      </c>
      <c r="G1051" t="s">
        <v>40</v>
      </c>
      <c r="H1051" t="s">
        <v>59</v>
      </c>
      <c r="L105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5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51" s="1"/>
      <c r="T1051" s="64" t="str">
        <f>IF(Table1[[#This Row],[ActualWinner]]="", "", IF(Table1[[#This Row],[AwayTeam]]=Table1[[#This Row],[ActualWinner]],Table1[[#This Row],[HomeTeam]],Table1[[#This Row],[AwayTeam]]))</f>
        <v/>
      </c>
      <c r="U1051" s="64">
        <f>Table1[[#This Row],[ActualAwayScore]]-Table1[[#This Row],[PredictedAwayScore]]</f>
        <v>0</v>
      </c>
      <c r="V1051" s="64">
        <f>Table1[[#This Row],[ActualHomeScore]]-Table1[[#This Row],[PredictedHomeScore]]</f>
        <v>0</v>
      </c>
      <c r="W1051" s="64">
        <f>(0.8*IF(Table1[[#This Row],[CorrectWinnerPrediction]]=1, 1, 0))+(0.1*IF(Table1[[#This Row],[CorrectAwayScorePrediction]]=1, 1, 0))+(0.1*IF(Table1[[#This Row],[CorrectHomeScorePrediction]]=1, 1, 0))</f>
        <v>0</v>
      </c>
      <c r="X105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51" s="64">
        <f>SUMIF(Table1[GameDate], Table1[[#This Row],[GameDate]], Table1[AwayGameGoalDiff])</f>
        <v>0</v>
      </c>
      <c r="AA1051" s="64">
        <f>SUMIF(Table1[GameDate], Table1[[#This Row],[GameDate]], Table1[HomeGameGoalDiff])</f>
        <v>0</v>
      </c>
      <c r="AB1051" s="64">
        <f>IF(ISBLANK(Table1[[#This Row],[ActualResult]]), 0, 1)</f>
        <v>0</v>
      </c>
      <c r="AC1051" s="64">
        <f>IF(ISBLANK(Table1[[#This Row],[ActualResult]]), 0, IF(Table1[[#This Row],[ActualWinner]]=Table1[[#This Row],[PredictedWinner]], 1, 0))</f>
        <v>0</v>
      </c>
      <c r="AD105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5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51" s="64">
        <f>IF(AND(Table1[[#This Row],[GameIsOver]]=1,Table1[[#This Row],[ActualAwayScore]]=0), 1,0)</f>
        <v>0</v>
      </c>
      <c r="AG1051" s="64">
        <f>IF(AND(Table1[[#This Row],[GameIsOver]]=1,Table1[[#This Row],[ActualHomeScore]]=0), 1,0)</f>
        <v>0</v>
      </c>
      <c r="AH1051" s="64">
        <f>IF(Table1[[#This Row],[GameIsOver]]=0,0,IF(Table1[[#This Row],[ActualWinner]]=Table1[[#This Row],[AwayTeam]], 1, 0))</f>
        <v>0</v>
      </c>
      <c r="AI1051" s="64">
        <f>IF(Table1[[#This Row],[GameIsOver]]=0,0,IF(Table1[[#This Row],[ActualWinner]]=Table1[[#This Row],[HomeTeam]], 1, 0))</f>
        <v>0</v>
      </c>
      <c r="AJ1051" s="64">
        <f>IF(INDEX(Standings!$A$2:$C$33,MATCH(Table1[[#This Row],[AwayTeam]],Standings!$A$2:$A$33,0),2)=INDEX(Standings!$A$2:$C$33,MATCH(Table1[[#This Row],[HomeTeam]],Standings!$A$2:$A$33,0),2),1,0)</f>
        <v>1</v>
      </c>
      <c r="AK1051" s="64">
        <f>IF(INDEX(Standings!$A$2:$C$33,MATCH(Table1[[#This Row],[AwayTeam]],Standings!$A$2:$A$33,0),3)=INDEX(Standings!$A$2:$C$33,MATCH(Table1[[#This Row],[HomeTeam]],Standings!$A$2:$A$33,0),3),1,0)</f>
        <v>1</v>
      </c>
      <c r="AL1051" s="64">
        <f>IF(Table1[[#This Row],[InterConf]]=1,IF(Table1[[#This Row],[InterDiv]]=0, 1, 0), 0)</f>
        <v>0</v>
      </c>
      <c r="AM1051" s="64">
        <f>IF(INDEX(Standings!$A$2:$C$33,MATCH(Table1[[#This Row],[AwayTeam]],Standings!$A$2:$A$33,0),2)&lt;&gt;INDEX(Standings!$A$2:$C$33,MATCH(Table1[[#This Row],[HomeTeam]],Standings!$A$2:$A$33,0),2),1,0)</f>
        <v>0</v>
      </c>
      <c r="AN1051" s="64" t="str">
        <f>INDEX(Table2[AWAY_RECORD], MATCH(Table1[[#This Row],[AwayTeam]],Table2[Team], 0), 0)</f>
        <v>0-0-0</v>
      </c>
      <c r="AO1051" s="64" t="str">
        <f>INDEX(Records!$B$2:$AG$33, MATCH(Table1[[#This Row],[AwayTeam]],Records!$A$2:$A$33, 0), MATCH(Table1[[#This Row],[HomeTeam]],Records!$A$2:$A$33, 0))</f>
        <v>1-0-0</v>
      </c>
      <c r="AP1051" s="64" t="str">
        <f>INDEX(Table2[HOME_RECORD], MATCH(Table1[[#This Row],[HomeTeam]],Table2[Team], 0), 0)</f>
        <v>0-0-0</v>
      </c>
      <c r="AQ1051" s="64" t="str">
        <f>INDEX(Records!$B$2:$AG$33, MATCH(Table1[[#This Row],[HomeTeam]],Records!$A$2:$A$33, 0), MATCH(Table1[[#This Row],[AwayTeam]],Records!$A$2:$A$33, 0))</f>
        <v>0-1-0</v>
      </c>
    </row>
    <row r="1052" spans="1:43" x14ac:dyDescent="0.25">
      <c r="A1052" s="1"/>
      <c r="D1052" t="s">
        <v>1383</v>
      </c>
      <c r="E1052" t="s">
        <v>178</v>
      </c>
      <c r="F1052" t="s">
        <v>1387</v>
      </c>
      <c r="G1052" t="s">
        <v>22</v>
      </c>
      <c r="H1052" t="s">
        <v>43</v>
      </c>
      <c r="L105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5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52" s="1"/>
      <c r="T1052" s="64" t="str">
        <f>IF(Table1[[#This Row],[ActualWinner]]="", "", IF(Table1[[#This Row],[AwayTeam]]=Table1[[#This Row],[ActualWinner]],Table1[[#This Row],[HomeTeam]],Table1[[#This Row],[AwayTeam]]))</f>
        <v/>
      </c>
      <c r="U1052" s="64">
        <f>Table1[[#This Row],[ActualAwayScore]]-Table1[[#This Row],[PredictedAwayScore]]</f>
        <v>0</v>
      </c>
      <c r="V1052" s="64">
        <f>Table1[[#This Row],[ActualHomeScore]]-Table1[[#This Row],[PredictedHomeScore]]</f>
        <v>0</v>
      </c>
      <c r="W1052" s="64">
        <f>(0.8*IF(Table1[[#This Row],[CorrectWinnerPrediction]]=1, 1, 0))+(0.1*IF(Table1[[#This Row],[CorrectAwayScorePrediction]]=1, 1, 0))+(0.1*IF(Table1[[#This Row],[CorrectHomeScorePrediction]]=1, 1, 0))</f>
        <v>0</v>
      </c>
      <c r="X105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52" s="64">
        <f>SUMIF(Table1[GameDate], Table1[[#This Row],[GameDate]], Table1[AwayGameGoalDiff])</f>
        <v>0</v>
      </c>
      <c r="AA1052" s="64">
        <f>SUMIF(Table1[GameDate], Table1[[#This Row],[GameDate]], Table1[HomeGameGoalDiff])</f>
        <v>0</v>
      </c>
      <c r="AB1052" s="64">
        <f>IF(ISBLANK(Table1[[#This Row],[ActualResult]]), 0, 1)</f>
        <v>0</v>
      </c>
      <c r="AC1052" s="64">
        <f>IF(ISBLANK(Table1[[#This Row],[ActualResult]]), 0, IF(Table1[[#This Row],[ActualWinner]]=Table1[[#This Row],[PredictedWinner]], 1, 0))</f>
        <v>0</v>
      </c>
      <c r="AD105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5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52" s="64">
        <f>IF(AND(Table1[[#This Row],[GameIsOver]]=1,Table1[[#This Row],[ActualAwayScore]]=0), 1,0)</f>
        <v>0</v>
      </c>
      <c r="AG1052" s="64">
        <f>IF(AND(Table1[[#This Row],[GameIsOver]]=1,Table1[[#This Row],[ActualHomeScore]]=0), 1,0)</f>
        <v>0</v>
      </c>
      <c r="AH1052" s="64">
        <f>IF(Table1[[#This Row],[GameIsOver]]=0,0,IF(Table1[[#This Row],[ActualWinner]]=Table1[[#This Row],[AwayTeam]], 1, 0))</f>
        <v>0</v>
      </c>
      <c r="AI1052" s="64">
        <f>IF(Table1[[#This Row],[GameIsOver]]=0,0,IF(Table1[[#This Row],[ActualWinner]]=Table1[[#This Row],[HomeTeam]], 1, 0))</f>
        <v>0</v>
      </c>
      <c r="AJ1052" s="64">
        <f>IF(INDEX(Standings!$A$2:$C$33,MATCH(Table1[[#This Row],[AwayTeam]],Standings!$A$2:$A$33,0),2)=INDEX(Standings!$A$2:$C$33,MATCH(Table1[[#This Row],[HomeTeam]],Standings!$A$2:$A$33,0),2),1,0)</f>
        <v>1</v>
      </c>
      <c r="AK1052" s="64">
        <f>IF(INDEX(Standings!$A$2:$C$33,MATCH(Table1[[#This Row],[AwayTeam]],Standings!$A$2:$A$33,0),3)=INDEX(Standings!$A$2:$C$33,MATCH(Table1[[#This Row],[HomeTeam]],Standings!$A$2:$A$33,0),3),1,0)</f>
        <v>1</v>
      </c>
      <c r="AL1052" s="64">
        <f>IF(Table1[[#This Row],[InterConf]]=1,IF(Table1[[#This Row],[InterDiv]]=0, 1, 0), 0)</f>
        <v>0</v>
      </c>
      <c r="AM1052" s="64">
        <f>IF(INDEX(Standings!$A$2:$C$33,MATCH(Table1[[#This Row],[AwayTeam]],Standings!$A$2:$A$33,0),2)&lt;&gt;INDEX(Standings!$A$2:$C$33,MATCH(Table1[[#This Row],[HomeTeam]],Standings!$A$2:$A$33,0),2),1,0)</f>
        <v>0</v>
      </c>
      <c r="AN1052" s="64" t="str">
        <f>INDEX(Table2[AWAY_RECORD], MATCH(Table1[[#This Row],[AwayTeam]],Table2[Team], 0), 0)</f>
        <v>0-0-1</v>
      </c>
      <c r="AO1052" s="64" t="str">
        <f>INDEX(Records!$B$2:$AG$33, MATCH(Table1[[#This Row],[AwayTeam]],Records!$A$2:$A$33, 0), MATCH(Table1[[#This Row],[HomeTeam]],Records!$A$2:$A$33, 0))</f>
        <v>0-0-0</v>
      </c>
      <c r="AP1052" s="64" t="str">
        <f>INDEX(Table2[HOME_RECORD], MATCH(Table1[[#This Row],[HomeTeam]],Table2[Team], 0), 0)</f>
        <v>0-0-0</v>
      </c>
      <c r="AQ1052" s="64" t="str">
        <f>INDEX(Records!$B$2:$AG$33, MATCH(Table1[[#This Row],[HomeTeam]],Records!$A$2:$A$33, 0), MATCH(Table1[[#This Row],[AwayTeam]],Records!$A$2:$A$33, 0))</f>
        <v>0-0-0</v>
      </c>
    </row>
    <row r="1053" spans="1:43" x14ac:dyDescent="0.25">
      <c r="A1053" s="1"/>
      <c r="D1053" t="s">
        <v>1383</v>
      </c>
      <c r="E1053" t="s">
        <v>301</v>
      </c>
      <c r="F1053" t="s">
        <v>1388</v>
      </c>
      <c r="G1053" t="s">
        <v>45</v>
      </c>
      <c r="H1053" t="s">
        <v>39</v>
      </c>
      <c r="L105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5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53" s="1"/>
      <c r="T1053" s="64" t="str">
        <f>IF(Table1[[#This Row],[ActualWinner]]="", "", IF(Table1[[#This Row],[AwayTeam]]=Table1[[#This Row],[ActualWinner]],Table1[[#This Row],[HomeTeam]],Table1[[#This Row],[AwayTeam]]))</f>
        <v/>
      </c>
      <c r="U1053" s="64">
        <f>Table1[[#This Row],[ActualAwayScore]]-Table1[[#This Row],[PredictedAwayScore]]</f>
        <v>0</v>
      </c>
      <c r="V1053" s="64">
        <f>Table1[[#This Row],[ActualHomeScore]]-Table1[[#This Row],[PredictedHomeScore]]</f>
        <v>0</v>
      </c>
      <c r="W1053" s="64">
        <f>(0.8*IF(Table1[[#This Row],[CorrectWinnerPrediction]]=1, 1, 0))+(0.1*IF(Table1[[#This Row],[CorrectAwayScorePrediction]]=1, 1, 0))+(0.1*IF(Table1[[#This Row],[CorrectHomeScorePrediction]]=1, 1, 0))</f>
        <v>0</v>
      </c>
      <c r="X105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53" s="64">
        <f>SUMIF(Table1[GameDate], Table1[[#This Row],[GameDate]], Table1[AwayGameGoalDiff])</f>
        <v>0</v>
      </c>
      <c r="AA1053" s="64">
        <f>SUMIF(Table1[GameDate], Table1[[#This Row],[GameDate]], Table1[HomeGameGoalDiff])</f>
        <v>0</v>
      </c>
      <c r="AB1053" s="64">
        <f>IF(ISBLANK(Table1[[#This Row],[ActualResult]]), 0, 1)</f>
        <v>0</v>
      </c>
      <c r="AC1053" s="64">
        <f>IF(ISBLANK(Table1[[#This Row],[ActualResult]]), 0, IF(Table1[[#This Row],[ActualWinner]]=Table1[[#This Row],[PredictedWinner]], 1, 0))</f>
        <v>0</v>
      </c>
      <c r="AD105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5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53" s="64">
        <f>IF(AND(Table1[[#This Row],[GameIsOver]]=1,Table1[[#This Row],[ActualAwayScore]]=0), 1,0)</f>
        <v>0</v>
      </c>
      <c r="AG1053" s="64">
        <f>IF(AND(Table1[[#This Row],[GameIsOver]]=1,Table1[[#This Row],[ActualHomeScore]]=0), 1,0)</f>
        <v>0</v>
      </c>
      <c r="AH1053" s="64">
        <f>IF(Table1[[#This Row],[GameIsOver]]=0,0,IF(Table1[[#This Row],[ActualWinner]]=Table1[[#This Row],[AwayTeam]], 1, 0))</f>
        <v>0</v>
      </c>
      <c r="AI1053" s="64">
        <f>IF(Table1[[#This Row],[GameIsOver]]=0,0,IF(Table1[[#This Row],[ActualWinner]]=Table1[[#This Row],[HomeTeam]], 1, 0))</f>
        <v>0</v>
      </c>
      <c r="AJ1053" s="64">
        <f>IF(INDEX(Standings!$A$2:$C$33,MATCH(Table1[[#This Row],[AwayTeam]],Standings!$A$2:$A$33,0),2)=INDEX(Standings!$A$2:$C$33,MATCH(Table1[[#This Row],[HomeTeam]],Standings!$A$2:$A$33,0),2),1,0)</f>
        <v>1</v>
      </c>
      <c r="AK1053" s="64">
        <f>IF(INDEX(Standings!$A$2:$C$33,MATCH(Table1[[#This Row],[AwayTeam]],Standings!$A$2:$A$33,0),3)=INDEX(Standings!$A$2:$C$33,MATCH(Table1[[#This Row],[HomeTeam]],Standings!$A$2:$A$33,0),3),1,0)</f>
        <v>1</v>
      </c>
      <c r="AL1053" s="64">
        <f>IF(Table1[[#This Row],[InterConf]]=1,IF(Table1[[#This Row],[InterDiv]]=0, 1, 0), 0)</f>
        <v>0</v>
      </c>
      <c r="AM1053" s="64">
        <f>IF(INDEX(Standings!$A$2:$C$33,MATCH(Table1[[#This Row],[AwayTeam]],Standings!$A$2:$A$33,0),2)&lt;&gt;INDEX(Standings!$A$2:$C$33,MATCH(Table1[[#This Row],[HomeTeam]],Standings!$A$2:$A$33,0),2),1,0)</f>
        <v>0</v>
      </c>
      <c r="AN1053" s="64" t="str">
        <f>INDEX(Table2[AWAY_RECORD], MATCH(Table1[[#This Row],[AwayTeam]],Table2[Team], 0), 0)</f>
        <v>1-0-0</v>
      </c>
      <c r="AO1053" s="64" t="str">
        <f>INDEX(Records!$B$2:$AG$33, MATCH(Table1[[#This Row],[AwayTeam]],Records!$A$2:$A$33, 0), MATCH(Table1[[#This Row],[HomeTeam]],Records!$A$2:$A$33, 0))</f>
        <v>0-0-0</v>
      </c>
      <c r="AP1053" s="64" t="str">
        <f>INDEX(Table2[HOME_RECORD], MATCH(Table1[[#This Row],[HomeTeam]],Table2[Team], 0), 0)</f>
        <v>0-1-0</v>
      </c>
      <c r="AQ1053" s="64" t="str">
        <f>INDEX(Records!$B$2:$AG$33, MATCH(Table1[[#This Row],[HomeTeam]],Records!$A$2:$A$33, 0), MATCH(Table1[[#This Row],[AwayTeam]],Records!$A$2:$A$33, 0))</f>
        <v>0-0-0</v>
      </c>
    </row>
    <row r="1054" spans="1:43" x14ac:dyDescent="0.25">
      <c r="A1054" s="1"/>
      <c r="D1054" t="s">
        <v>1389</v>
      </c>
      <c r="E1054" t="s">
        <v>298</v>
      </c>
      <c r="F1054" t="s">
        <v>1390</v>
      </c>
      <c r="G1054" t="s">
        <v>16</v>
      </c>
      <c r="H1054" t="s">
        <v>23</v>
      </c>
      <c r="L105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5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54" s="1"/>
      <c r="T1054" s="64" t="str">
        <f>IF(Table1[[#This Row],[ActualWinner]]="", "", IF(Table1[[#This Row],[AwayTeam]]=Table1[[#This Row],[ActualWinner]],Table1[[#This Row],[HomeTeam]],Table1[[#This Row],[AwayTeam]]))</f>
        <v/>
      </c>
      <c r="U1054" s="64">
        <f>Table1[[#This Row],[ActualAwayScore]]-Table1[[#This Row],[PredictedAwayScore]]</f>
        <v>0</v>
      </c>
      <c r="V1054" s="64">
        <f>Table1[[#This Row],[ActualHomeScore]]-Table1[[#This Row],[PredictedHomeScore]]</f>
        <v>0</v>
      </c>
      <c r="W1054" s="64">
        <f>(0.8*IF(Table1[[#This Row],[CorrectWinnerPrediction]]=1, 1, 0))+(0.1*IF(Table1[[#This Row],[CorrectAwayScorePrediction]]=1, 1, 0))+(0.1*IF(Table1[[#This Row],[CorrectHomeScorePrediction]]=1, 1, 0))</f>
        <v>0</v>
      </c>
      <c r="X105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54" s="64">
        <f>SUMIF(Table1[GameDate], Table1[[#This Row],[GameDate]], Table1[AwayGameGoalDiff])</f>
        <v>0</v>
      </c>
      <c r="AA1054" s="64">
        <f>SUMIF(Table1[GameDate], Table1[[#This Row],[GameDate]], Table1[HomeGameGoalDiff])</f>
        <v>0</v>
      </c>
      <c r="AB1054" s="64">
        <f>IF(ISBLANK(Table1[[#This Row],[ActualResult]]), 0, 1)</f>
        <v>0</v>
      </c>
      <c r="AC1054" s="64">
        <f>IF(ISBLANK(Table1[[#This Row],[ActualResult]]), 0, IF(Table1[[#This Row],[ActualWinner]]=Table1[[#This Row],[PredictedWinner]], 1, 0))</f>
        <v>0</v>
      </c>
      <c r="AD105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5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54" s="64">
        <f>IF(AND(Table1[[#This Row],[GameIsOver]]=1,Table1[[#This Row],[ActualAwayScore]]=0), 1,0)</f>
        <v>0</v>
      </c>
      <c r="AG1054" s="64">
        <f>IF(AND(Table1[[#This Row],[GameIsOver]]=1,Table1[[#This Row],[ActualHomeScore]]=0), 1,0)</f>
        <v>0</v>
      </c>
      <c r="AH1054" s="64">
        <f>IF(Table1[[#This Row],[GameIsOver]]=0,0,IF(Table1[[#This Row],[ActualWinner]]=Table1[[#This Row],[AwayTeam]], 1, 0))</f>
        <v>0</v>
      </c>
      <c r="AI1054" s="64">
        <f>IF(Table1[[#This Row],[GameIsOver]]=0,0,IF(Table1[[#This Row],[ActualWinner]]=Table1[[#This Row],[HomeTeam]], 1, 0))</f>
        <v>0</v>
      </c>
      <c r="AJ1054" s="64">
        <f>IF(INDEX(Standings!$A$2:$C$33,MATCH(Table1[[#This Row],[AwayTeam]],Standings!$A$2:$A$33,0),2)=INDEX(Standings!$A$2:$C$33,MATCH(Table1[[#This Row],[HomeTeam]],Standings!$A$2:$A$33,0),2),1,0)</f>
        <v>1</v>
      </c>
      <c r="AK1054" s="64">
        <f>IF(INDEX(Standings!$A$2:$C$33,MATCH(Table1[[#This Row],[AwayTeam]],Standings!$A$2:$A$33,0),3)=INDEX(Standings!$A$2:$C$33,MATCH(Table1[[#This Row],[HomeTeam]],Standings!$A$2:$A$33,0),3),1,0)</f>
        <v>0</v>
      </c>
      <c r="AL1054" s="64">
        <f>IF(Table1[[#This Row],[InterConf]]=1,IF(Table1[[#This Row],[InterDiv]]=0, 1, 0), 0)</f>
        <v>1</v>
      </c>
      <c r="AM1054" s="64">
        <f>IF(INDEX(Standings!$A$2:$C$33,MATCH(Table1[[#This Row],[AwayTeam]],Standings!$A$2:$A$33,0),2)&lt;&gt;INDEX(Standings!$A$2:$C$33,MATCH(Table1[[#This Row],[HomeTeam]],Standings!$A$2:$A$33,0),2),1,0)</f>
        <v>0</v>
      </c>
      <c r="AN1054" s="64" t="str">
        <f>INDEX(Table2[AWAY_RECORD], MATCH(Table1[[#This Row],[AwayTeam]],Table2[Team], 0), 0)</f>
        <v>1-0-1</v>
      </c>
      <c r="AO1054" s="64" t="str">
        <f>INDEX(Records!$B$2:$AG$33, MATCH(Table1[[#This Row],[AwayTeam]],Records!$A$2:$A$33, 0), MATCH(Table1[[#This Row],[HomeTeam]],Records!$A$2:$A$33, 0))</f>
        <v>0-0-0</v>
      </c>
      <c r="AP1054" s="64" t="str">
        <f>INDEX(Table2[HOME_RECORD], MATCH(Table1[[#This Row],[HomeTeam]],Table2[Team], 0), 0)</f>
        <v>0-0-1</v>
      </c>
      <c r="AQ1054" s="64" t="str">
        <f>INDEX(Records!$B$2:$AG$33, MATCH(Table1[[#This Row],[HomeTeam]],Records!$A$2:$A$33, 0), MATCH(Table1[[#This Row],[AwayTeam]],Records!$A$2:$A$33, 0))</f>
        <v>0-0-0</v>
      </c>
    </row>
    <row r="1055" spans="1:43" x14ac:dyDescent="0.25">
      <c r="A1055" s="1"/>
      <c r="D1055" t="s">
        <v>1389</v>
      </c>
      <c r="E1055" t="s">
        <v>298</v>
      </c>
      <c r="F1055" t="s">
        <v>1391</v>
      </c>
      <c r="G1055" t="s">
        <v>57</v>
      </c>
      <c r="H1055" t="s">
        <v>46</v>
      </c>
      <c r="L105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5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55" s="1"/>
      <c r="T1055" s="64" t="str">
        <f>IF(Table1[[#This Row],[ActualWinner]]="", "", IF(Table1[[#This Row],[AwayTeam]]=Table1[[#This Row],[ActualWinner]],Table1[[#This Row],[HomeTeam]],Table1[[#This Row],[AwayTeam]]))</f>
        <v/>
      </c>
      <c r="U1055" s="64">
        <f>Table1[[#This Row],[ActualAwayScore]]-Table1[[#This Row],[PredictedAwayScore]]</f>
        <v>0</v>
      </c>
      <c r="V1055" s="64">
        <f>Table1[[#This Row],[ActualHomeScore]]-Table1[[#This Row],[PredictedHomeScore]]</f>
        <v>0</v>
      </c>
      <c r="W1055" s="64">
        <f>(0.8*IF(Table1[[#This Row],[CorrectWinnerPrediction]]=1, 1, 0))+(0.1*IF(Table1[[#This Row],[CorrectAwayScorePrediction]]=1, 1, 0))+(0.1*IF(Table1[[#This Row],[CorrectHomeScorePrediction]]=1, 1, 0))</f>
        <v>0</v>
      </c>
      <c r="X105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55" s="64">
        <f>SUMIF(Table1[GameDate], Table1[[#This Row],[GameDate]], Table1[AwayGameGoalDiff])</f>
        <v>0</v>
      </c>
      <c r="AA1055" s="64">
        <f>SUMIF(Table1[GameDate], Table1[[#This Row],[GameDate]], Table1[HomeGameGoalDiff])</f>
        <v>0</v>
      </c>
      <c r="AB1055" s="64">
        <f>IF(ISBLANK(Table1[[#This Row],[ActualResult]]), 0, 1)</f>
        <v>0</v>
      </c>
      <c r="AC1055" s="64">
        <f>IF(ISBLANK(Table1[[#This Row],[ActualResult]]), 0, IF(Table1[[#This Row],[ActualWinner]]=Table1[[#This Row],[PredictedWinner]], 1, 0))</f>
        <v>0</v>
      </c>
      <c r="AD105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5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55" s="64">
        <f>IF(AND(Table1[[#This Row],[GameIsOver]]=1,Table1[[#This Row],[ActualAwayScore]]=0), 1,0)</f>
        <v>0</v>
      </c>
      <c r="AG1055" s="64">
        <f>IF(AND(Table1[[#This Row],[GameIsOver]]=1,Table1[[#This Row],[ActualHomeScore]]=0), 1,0)</f>
        <v>0</v>
      </c>
      <c r="AH1055" s="64">
        <f>IF(Table1[[#This Row],[GameIsOver]]=0,0,IF(Table1[[#This Row],[ActualWinner]]=Table1[[#This Row],[AwayTeam]], 1, 0))</f>
        <v>0</v>
      </c>
      <c r="AI1055" s="64">
        <f>IF(Table1[[#This Row],[GameIsOver]]=0,0,IF(Table1[[#This Row],[ActualWinner]]=Table1[[#This Row],[HomeTeam]], 1, 0))</f>
        <v>0</v>
      </c>
      <c r="AJ1055" s="64">
        <f>IF(INDEX(Standings!$A$2:$C$33,MATCH(Table1[[#This Row],[AwayTeam]],Standings!$A$2:$A$33,0),2)=INDEX(Standings!$A$2:$C$33,MATCH(Table1[[#This Row],[HomeTeam]],Standings!$A$2:$A$33,0),2),1,0)</f>
        <v>0</v>
      </c>
      <c r="AK1055" s="64">
        <f>IF(INDEX(Standings!$A$2:$C$33,MATCH(Table1[[#This Row],[AwayTeam]],Standings!$A$2:$A$33,0),3)=INDEX(Standings!$A$2:$C$33,MATCH(Table1[[#This Row],[HomeTeam]],Standings!$A$2:$A$33,0),3),1,0)</f>
        <v>0</v>
      </c>
      <c r="AL1055" s="64">
        <f>IF(Table1[[#This Row],[InterConf]]=1,IF(Table1[[#This Row],[InterDiv]]=0, 1, 0), 0)</f>
        <v>0</v>
      </c>
      <c r="AM1055" s="64">
        <f>IF(INDEX(Standings!$A$2:$C$33,MATCH(Table1[[#This Row],[AwayTeam]],Standings!$A$2:$A$33,0),2)&lt;&gt;INDEX(Standings!$A$2:$C$33,MATCH(Table1[[#This Row],[HomeTeam]],Standings!$A$2:$A$33,0),2),1,0)</f>
        <v>1</v>
      </c>
      <c r="AN1055" s="64" t="str">
        <f>INDEX(Table2[AWAY_RECORD], MATCH(Table1[[#This Row],[AwayTeam]],Table2[Team], 0), 0)</f>
        <v>0-1-0</v>
      </c>
      <c r="AO1055" s="64" t="str">
        <f>INDEX(Records!$B$2:$AG$33, MATCH(Table1[[#This Row],[AwayTeam]],Records!$A$2:$A$33, 0), MATCH(Table1[[#This Row],[HomeTeam]],Records!$A$2:$A$33, 0))</f>
        <v>0-0-0</v>
      </c>
      <c r="AP1055" s="64" t="str">
        <f>INDEX(Table2[HOME_RECORD], MATCH(Table1[[#This Row],[HomeTeam]],Table2[Team], 0), 0)</f>
        <v>0-0-0</v>
      </c>
      <c r="AQ1055" s="64" t="str">
        <f>INDEX(Records!$B$2:$AG$33, MATCH(Table1[[#This Row],[HomeTeam]],Records!$A$2:$A$33, 0), MATCH(Table1[[#This Row],[AwayTeam]],Records!$A$2:$A$33, 0))</f>
        <v>0-0-0</v>
      </c>
    </row>
    <row r="1056" spans="1:43" x14ac:dyDescent="0.25">
      <c r="A1056" s="1"/>
      <c r="D1056" t="s">
        <v>1389</v>
      </c>
      <c r="E1056" t="s">
        <v>298</v>
      </c>
      <c r="F1056" t="s">
        <v>1392</v>
      </c>
      <c r="G1056" t="s">
        <v>42</v>
      </c>
      <c r="H1056" t="s">
        <v>55</v>
      </c>
      <c r="L105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5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56" s="1"/>
      <c r="T1056" s="64" t="str">
        <f>IF(Table1[[#This Row],[ActualWinner]]="", "", IF(Table1[[#This Row],[AwayTeam]]=Table1[[#This Row],[ActualWinner]],Table1[[#This Row],[HomeTeam]],Table1[[#This Row],[AwayTeam]]))</f>
        <v/>
      </c>
      <c r="U1056" s="64">
        <f>Table1[[#This Row],[ActualAwayScore]]-Table1[[#This Row],[PredictedAwayScore]]</f>
        <v>0</v>
      </c>
      <c r="V1056" s="64">
        <f>Table1[[#This Row],[ActualHomeScore]]-Table1[[#This Row],[PredictedHomeScore]]</f>
        <v>0</v>
      </c>
      <c r="W1056" s="64">
        <f>(0.8*IF(Table1[[#This Row],[CorrectWinnerPrediction]]=1, 1, 0))+(0.1*IF(Table1[[#This Row],[CorrectAwayScorePrediction]]=1, 1, 0))+(0.1*IF(Table1[[#This Row],[CorrectHomeScorePrediction]]=1, 1, 0))</f>
        <v>0</v>
      </c>
      <c r="X105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56" s="64">
        <f>SUMIF(Table1[GameDate], Table1[[#This Row],[GameDate]], Table1[AwayGameGoalDiff])</f>
        <v>0</v>
      </c>
      <c r="AA1056" s="64">
        <f>SUMIF(Table1[GameDate], Table1[[#This Row],[GameDate]], Table1[HomeGameGoalDiff])</f>
        <v>0</v>
      </c>
      <c r="AB1056" s="64">
        <f>IF(ISBLANK(Table1[[#This Row],[ActualResult]]), 0, 1)</f>
        <v>0</v>
      </c>
      <c r="AC1056" s="64">
        <f>IF(ISBLANK(Table1[[#This Row],[ActualResult]]), 0, IF(Table1[[#This Row],[ActualWinner]]=Table1[[#This Row],[PredictedWinner]], 1, 0))</f>
        <v>0</v>
      </c>
      <c r="AD105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5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56" s="64">
        <f>IF(AND(Table1[[#This Row],[GameIsOver]]=1,Table1[[#This Row],[ActualAwayScore]]=0), 1,0)</f>
        <v>0</v>
      </c>
      <c r="AG1056" s="64">
        <f>IF(AND(Table1[[#This Row],[GameIsOver]]=1,Table1[[#This Row],[ActualHomeScore]]=0), 1,0)</f>
        <v>0</v>
      </c>
      <c r="AH1056" s="64">
        <f>IF(Table1[[#This Row],[GameIsOver]]=0,0,IF(Table1[[#This Row],[ActualWinner]]=Table1[[#This Row],[AwayTeam]], 1, 0))</f>
        <v>0</v>
      </c>
      <c r="AI1056" s="64">
        <f>IF(Table1[[#This Row],[GameIsOver]]=0,0,IF(Table1[[#This Row],[ActualWinner]]=Table1[[#This Row],[HomeTeam]], 1, 0))</f>
        <v>0</v>
      </c>
      <c r="AJ1056" s="64">
        <f>IF(INDEX(Standings!$A$2:$C$33,MATCH(Table1[[#This Row],[AwayTeam]],Standings!$A$2:$A$33,0),2)=INDEX(Standings!$A$2:$C$33,MATCH(Table1[[#This Row],[HomeTeam]],Standings!$A$2:$A$33,0),2),1,0)</f>
        <v>0</v>
      </c>
      <c r="AK1056" s="64">
        <f>IF(INDEX(Standings!$A$2:$C$33,MATCH(Table1[[#This Row],[AwayTeam]],Standings!$A$2:$A$33,0),3)=INDEX(Standings!$A$2:$C$33,MATCH(Table1[[#This Row],[HomeTeam]],Standings!$A$2:$A$33,0),3),1,0)</f>
        <v>0</v>
      </c>
      <c r="AL1056" s="64">
        <f>IF(Table1[[#This Row],[InterConf]]=1,IF(Table1[[#This Row],[InterDiv]]=0, 1, 0), 0)</f>
        <v>0</v>
      </c>
      <c r="AM1056" s="64">
        <f>IF(INDEX(Standings!$A$2:$C$33,MATCH(Table1[[#This Row],[AwayTeam]],Standings!$A$2:$A$33,0),2)&lt;&gt;INDEX(Standings!$A$2:$C$33,MATCH(Table1[[#This Row],[HomeTeam]],Standings!$A$2:$A$33,0),2),1,0)</f>
        <v>1</v>
      </c>
      <c r="AN1056" s="64" t="str">
        <f>INDEX(Table2[AWAY_RECORD], MATCH(Table1[[#This Row],[AwayTeam]],Table2[Team], 0), 0)</f>
        <v>0-0-0</v>
      </c>
      <c r="AO1056" s="64" t="str">
        <f>INDEX(Records!$B$2:$AG$33, MATCH(Table1[[#This Row],[AwayTeam]],Records!$A$2:$A$33, 0), MATCH(Table1[[#This Row],[HomeTeam]],Records!$A$2:$A$33, 0))</f>
        <v>0-0-0</v>
      </c>
      <c r="AP1056" s="64" t="str">
        <f>INDEX(Table2[HOME_RECORD], MATCH(Table1[[#This Row],[HomeTeam]],Table2[Team], 0), 0)</f>
        <v>0-1-0</v>
      </c>
      <c r="AQ1056" s="64" t="str">
        <f>INDEX(Records!$B$2:$AG$33, MATCH(Table1[[#This Row],[HomeTeam]],Records!$A$2:$A$33, 0), MATCH(Table1[[#This Row],[AwayTeam]],Records!$A$2:$A$33, 0))</f>
        <v>0-0-0</v>
      </c>
    </row>
    <row r="1057" spans="1:43" x14ac:dyDescent="0.25">
      <c r="A1057" s="1"/>
      <c r="D1057" t="s">
        <v>1389</v>
      </c>
      <c r="E1057" t="s">
        <v>162</v>
      </c>
      <c r="F1057" t="s">
        <v>1393</v>
      </c>
      <c r="G1057" t="s">
        <v>61</v>
      </c>
      <c r="H1057" t="s">
        <v>38</v>
      </c>
      <c r="L105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5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57" s="1"/>
      <c r="T1057" s="64" t="str">
        <f>IF(Table1[[#This Row],[ActualWinner]]="", "", IF(Table1[[#This Row],[AwayTeam]]=Table1[[#This Row],[ActualWinner]],Table1[[#This Row],[HomeTeam]],Table1[[#This Row],[AwayTeam]]))</f>
        <v/>
      </c>
      <c r="U1057" s="64">
        <f>Table1[[#This Row],[ActualAwayScore]]-Table1[[#This Row],[PredictedAwayScore]]</f>
        <v>0</v>
      </c>
      <c r="V1057" s="64">
        <f>Table1[[#This Row],[ActualHomeScore]]-Table1[[#This Row],[PredictedHomeScore]]</f>
        <v>0</v>
      </c>
      <c r="W1057" s="64">
        <f>(0.8*IF(Table1[[#This Row],[CorrectWinnerPrediction]]=1, 1, 0))+(0.1*IF(Table1[[#This Row],[CorrectAwayScorePrediction]]=1, 1, 0))+(0.1*IF(Table1[[#This Row],[CorrectHomeScorePrediction]]=1, 1, 0))</f>
        <v>0</v>
      </c>
      <c r="X105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57" s="64">
        <f>SUMIF(Table1[GameDate], Table1[[#This Row],[GameDate]], Table1[AwayGameGoalDiff])</f>
        <v>0</v>
      </c>
      <c r="AA1057" s="64">
        <f>SUMIF(Table1[GameDate], Table1[[#This Row],[GameDate]], Table1[HomeGameGoalDiff])</f>
        <v>0</v>
      </c>
      <c r="AB1057" s="64">
        <f>IF(ISBLANK(Table1[[#This Row],[ActualResult]]), 0, 1)</f>
        <v>0</v>
      </c>
      <c r="AC1057" s="64">
        <f>IF(ISBLANK(Table1[[#This Row],[ActualResult]]), 0, IF(Table1[[#This Row],[ActualWinner]]=Table1[[#This Row],[PredictedWinner]], 1, 0))</f>
        <v>0</v>
      </c>
      <c r="AD105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5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57" s="64">
        <f>IF(AND(Table1[[#This Row],[GameIsOver]]=1,Table1[[#This Row],[ActualAwayScore]]=0), 1,0)</f>
        <v>0</v>
      </c>
      <c r="AG1057" s="64">
        <f>IF(AND(Table1[[#This Row],[GameIsOver]]=1,Table1[[#This Row],[ActualHomeScore]]=0), 1,0)</f>
        <v>0</v>
      </c>
      <c r="AH1057" s="64">
        <f>IF(Table1[[#This Row],[GameIsOver]]=0,0,IF(Table1[[#This Row],[ActualWinner]]=Table1[[#This Row],[AwayTeam]], 1, 0))</f>
        <v>0</v>
      </c>
      <c r="AI1057" s="64">
        <f>IF(Table1[[#This Row],[GameIsOver]]=0,0,IF(Table1[[#This Row],[ActualWinner]]=Table1[[#This Row],[HomeTeam]], 1, 0))</f>
        <v>0</v>
      </c>
      <c r="AJ1057" s="64">
        <f>IF(INDEX(Standings!$A$2:$C$33,MATCH(Table1[[#This Row],[AwayTeam]],Standings!$A$2:$A$33,0),2)=INDEX(Standings!$A$2:$C$33,MATCH(Table1[[#This Row],[HomeTeam]],Standings!$A$2:$A$33,0),2),1,0)</f>
        <v>0</v>
      </c>
      <c r="AK1057" s="64">
        <f>IF(INDEX(Standings!$A$2:$C$33,MATCH(Table1[[#This Row],[AwayTeam]],Standings!$A$2:$A$33,0),3)=INDEX(Standings!$A$2:$C$33,MATCH(Table1[[#This Row],[HomeTeam]],Standings!$A$2:$A$33,0),3),1,0)</f>
        <v>0</v>
      </c>
      <c r="AL1057" s="64">
        <f>IF(Table1[[#This Row],[InterConf]]=1,IF(Table1[[#This Row],[InterDiv]]=0, 1, 0), 0)</f>
        <v>0</v>
      </c>
      <c r="AM1057" s="64">
        <f>IF(INDEX(Standings!$A$2:$C$33,MATCH(Table1[[#This Row],[AwayTeam]],Standings!$A$2:$A$33,0),2)&lt;&gt;INDEX(Standings!$A$2:$C$33,MATCH(Table1[[#This Row],[HomeTeam]],Standings!$A$2:$A$33,0),2),1,0)</f>
        <v>1</v>
      </c>
      <c r="AN1057" s="64" t="str">
        <f>INDEX(Table2[AWAY_RECORD], MATCH(Table1[[#This Row],[AwayTeam]],Table2[Team], 0), 0)</f>
        <v>0-0-0</v>
      </c>
      <c r="AO1057" s="64" t="str">
        <f>INDEX(Records!$B$2:$AG$33, MATCH(Table1[[#This Row],[AwayTeam]],Records!$A$2:$A$33, 0), MATCH(Table1[[#This Row],[HomeTeam]],Records!$A$2:$A$33, 0))</f>
        <v>0-0-0</v>
      </c>
      <c r="AP1057" s="64" t="str">
        <f>INDEX(Table2[HOME_RECORD], MATCH(Table1[[#This Row],[HomeTeam]],Table2[Team], 0), 0)</f>
        <v>0-0-0</v>
      </c>
      <c r="AQ1057" s="64" t="str">
        <f>INDEX(Records!$B$2:$AG$33, MATCH(Table1[[#This Row],[HomeTeam]],Records!$A$2:$A$33, 0), MATCH(Table1[[#This Row],[AwayTeam]],Records!$A$2:$A$33, 0))</f>
        <v>0-0-0</v>
      </c>
    </row>
    <row r="1058" spans="1:43" x14ac:dyDescent="0.25">
      <c r="A1058" s="1"/>
      <c r="D1058" t="s">
        <v>1389</v>
      </c>
      <c r="E1058" t="s">
        <v>162</v>
      </c>
      <c r="F1058" t="s">
        <v>1394</v>
      </c>
      <c r="G1058" t="s">
        <v>56</v>
      </c>
      <c r="H1058" t="s">
        <v>47</v>
      </c>
      <c r="L105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5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58" s="1"/>
      <c r="T1058" s="64" t="str">
        <f>IF(Table1[[#This Row],[ActualWinner]]="", "", IF(Table1[[#This Row],[AwayTeam]]=Table1[[#This Row],[ActualWinner]],Table1[[#This Row],[HomeTeam]],Table1[[#This Row],[AwayTeam]]))</f>
        <v/>
      </c>
      <c r="U1058" s="64">
        <f>Table1[[#This Row],[ActualAwayScore]]-Table1[[#This Row],[PredictedAwayScore]]</f>
        <v>0</v>
      </c>
      <c r="V1058" s="64">
        <f>Table1[[#This Row],[ActualHomeScore]]-Table1[[#This Row],[PredictedHomeScore]]</f>
        <v>0</v>
      </c>
      <c r="W1058" s="64">
        <f>(0.8*IF(Table1[[#This Row],[CorrectWinnerPrediction]]=1, 1, 0))+(0.1*IF(Table1[[#This Row],[CorrectAwayScorePrediction]]=1, 1, 0))+(0.1*IF(Table1[[#This Row],[CorrectHomeScorePrediction]]=1, 1, 0))</f>
        <v>0</v>
      </c>
      <c r="X105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58" s="64">
        <f>SUMIF(Table1[GameDate], Table1[[#This Row],[GameDate]], Table1[AwayGameGoalDiff])</f>
        <v>0</v>
      </c>
      <c r="AA1058" s="64">
        <f>SUMIF(Table1[GameDate], Table1[[#This Row],[GameDate]], Table1[HomeGameGoalDiff])</f>
        <v>0</v>
      </c>
      <c r="AB1058" s="64">
        <f>IF(ISBLANK(Table1[[#This Row],[ActualResult]]), 0, 1)</f>
        <v>0</v>
      </c>
      <c r="AC1058" s="64">
        <f>IF(ISBLANK(Table1[[#This Row],[ActualResult]]), 0, IF(Table1[[#This Row],[ActualWinner]]=Table1[[#This Row],[PredictedWinner]], 1, 0))</f>
        <v>0</v>
      </c>
      <c r="AD105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5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58" s="64">
        <f>IF(AND(Table1[[#This Row],[GameIsOver]]=1,Table1[[#This Row],[ActualAwayScore]]=0), 1,0)</f>
        <v>0</v>
      </c>
      <c r="AG1058" s="64">
        <f>IF(AND(Table1[[#This Row],[GameIsOver]]=1,Table1[[#This Row],[ActualHomeScore]]=0), 1,0)</f>
        <v>0</v>
      </c>
      <c r="AH1058" s="64">
        <f>IF(Table1[[#This Row],[GameIsOver]]=0,0,IF(Table1[[#This Row],[ActualWinner]]=Table1[[#This Row],[AwayTeam]], 1, 0))</f>
        <v>0</v>
      </c>
      <c r="AI1058" s="64">
        <f>IF(Table1[[#This Row],[GameIsOver]]=0,0,IF(Table1[[#This Row],[ActualWinner]]=Table1[[#This Row],[HomeTeam]], 1, 0))</f>
        <v>0</v>
      </c>
      <c r="AJ1058" s="64">
        <f>IF(INDEX(Standings!$A$2:$C$33,MATCH(Table1[[#This Row],[AwayTeam]],Standings!$A$2:$A$33,0),2)=INDEX(Standings!$A$2:$C$33,MATCH(Table1[[#This Row],[HomeTeam]],Standings!$A$2:$A$33,0),2),1,0)</f>
        <v>0</v>
      </c>
      <c r="AK1058" s="64">
        <f>IF(INDEX(Standings!$A$2:$C$33,MATCH(Table1[[#This Row],[AwayTeam]],Standings!$A$2:$A$33,0),3)=INDEX(Standings!$A$2:$C$33,MATCH(Table1[[#This Row],[HomeTeam]],Standings!$A$2:$A$33,0),3),1,0)</f>
        <v>0</v>
      </c>
      <c r="AL1058" s="64">
        <f>IF(Table1[[#This Row],[InterConf]]=1,IF(Table1[[#This Row],[InterDiv]]=0, 1, 0), 0)</f>
        <v>0</v>
      </c>
      <c r="AM1058" s="64">
        <f>IF(INDEX(Standings!$A$2:$C$33,MATCH(Table1[[#This Row],[AwayTeam]],Standings!$A$2:$A$33,0),2)&lt;&gt;INDEX(Standings!$A$2:$C$33,MATCH(Table1[[#This Row],[HomeTeam]],Standings!$A$2:$A$33,0),2),1,0)</f>
        <v>1</v>
      </c>
      <c r="AN1058" s="64" t="str">
        <f>INDEX(Table2[AWAY_RECORD], MATCH(Table1[[#This Row],[AwayTeam]],Table2[Team], 0), 0)</f>
        <v>1-0-0</v>
      </c>
      <c r="AO1058" s="64" t="str">
        <f>INDEX(Records!$B$2:$AG$33, MATCH(Table1[[#This Row],[AwayTeam]],Records!$A$2:$A$33, 0), MATCH(Table1[[#This Row],[HomeTeam]],Records!$A$2:$A$33, 0))</f>
        <v>0-0-0</v>
      </c>
      <c r="AP1058" s="64" t="str">
        <f>INDEX(Table2[HOME_RECORD], MATCH(Table1[[#This Row],[HomeTeam]],Table2[Team], 0), 0)</f>
        <v>0-0-0</v>
      </c>
      <c r="AQ1058" s="64" t="str">
        <f>INDEX(Records!$B$2:$AG$33, MATCH(Table1[[#This Row],[HomeTeam]],Records!$A$2:$A$33, 0), MATCH(Table1[[#This Row],[AwayTeam]],Records!$A$2:$A$33, 0))</f>
        <v>0-0-0</v>
      </c>
    </row>
    <row r="1059" spans="1:43" x14ac:dyDescent="0.25">
      <c r="A1059" s="1"/>
      <c r="D1059" t="s">
        <v>1389</v>
      </c>
      <c r="E1059" t="s">
        <v>162</v>
      </c>
      <c r="F1059" t="s">
        <v>1395</v>
      </c>
      <c r="G1059" t="s">
        <v>37</v>
      </c>
      <c r="H1059" t="s">
        <v>52</v>
      </c>
      <c r="L105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5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59" s="1"/>
      <c r="T1059" s="64" t="str">
        <f>IF(Table1[[#This Row],[ActualWinner]]="", "", IF(Table1[[#This Row],[AwayTeam]]=Table1[[#This Row],[ActualWinner]],Table1[[#This Row],[HomeTeam]],Table1[[#This Row],[AwayTeam]]))</f>
        <v/>
      </c>
      <c r="U1059" s="64">
        <f>Table1[[#This Row],[ActualAwayScore]]-Table1[[#This Row],[PredictedAwayScore]]</f>
        <v>0</v>
      </c>
      <c r="V1059" s="64">
        <f>Table1[[#This Row],[ActualHomeScore]]-Table1[[#This Row],[PredictedHomeScore]]</f>
        <v>0</v>
      </c>
      <c r="W1059" s="64">
        <f>(0.8*IF(Table1[[#This Row],[CorrectWinnerPrediction]]=1, 1, 0))+(0.1*IF(Table1[[#This Row],[CorrectAwayScorePrediction]]=1, 1, 0))+(0.1*IF(Table1[[#This Row],[CorrectHomeScorePrediction]]=1, 1, 0))</f>
        <v>0</v>
      </c>
      <c r="X105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59" s="64">
        <f>SUMIF(Table1[GameDate], Table1[[#This Row],[GameDate]], Table1[AwayGameGoalDiff])</f>
        <v>0</v>
      </c>
      <c r="AA1059" s="64">
        <f>SUMIF(Table1[GameDate], Table1[[#This Row],[GameDate]], Table1[HomeGameGoalDiff])</f>
        <v>0</v>
      </c>
      <c r="AB1059" s="64">
        <f>IF(ISBLANK(Table1[[#This Row],[ActualResult]]), 0, 1)</f>
        <v>0</v>
      </c>
      <c r="AC1059" s="64">
        <f>IF(ISBLANK(Table1[[#This Row],[ActualResult]]), 0, IF(Table1[[#This Row],[ActualWinner]]=Table1[[#This Row],[PredictedWinner]], 1, 0))</f>
        <v>0</v>
      </c>
      <c r="AD105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5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59" s="64">
        <f>IF(AND(Table1[[#This Row],[GameIsOver]]=1,Table1[[#This Row],[ActualAwayScore]]=0), 1,0)</f>
        <v>0</v>
      </c>
      <c r="AG1059" s="64">
        <f>IF(AND(Table1[[#This Row],[GameIsOver]]=1,Table1[[#This Row],[ActualHomeScore]]=0), 1,0)</f>
        <v>0</v>
      </c>
      <c r="AH1059" s="64">
        <f>IF(Table1[[#This Row],[GameIsOver]]=0,0,IF(Table1[[#This Row],[ActualWinner]]=Table1[[#This Row],[AwayTeam]], 1, 0))</f>
        <v>0</v>
      </c>
      <c r="AI1059" s="64">
        <f>IF(Table1[[#This Row],[GameIsOver]]=0,0,IF(Table1[[#This Row],[ActualWinner]]=Table1[[#This Row],[HomeTeam]], 1, 0))</f>
        <v>0</v>
      </c>
      <c r="AJ1059" s="64">
        <f>IF(INDEX(Standings!$A$2:$C$33,MATCH(Table1[[#This Row],[AwayTeam]],Standings!$A$2:$A$33,0),2)=INDEX(Standings!$A$2:$C$33,MATCH(Table1[[#This Row],[HomeTeam]],Standings!$A$2:$A$33,0),2),1,0)</f>
        <v>1</v>
      </c>
      <c r="AK1059" s="64">
        <f>IF(INDEX(Standings!$A$2:$C$33,MATCH(Table1[[#This Row],[AwayTeam]],Standings!$A$2:$A$33,0),3)=INDEX(Standings!$A$2:$C$33,MATCH(Table1[[#This Row],[HomeTeam]],Standings!$A$2:$A$33,0),3),1,0)</f>
        <v>1</v>
      </c>
      <c r="AL1059" s="64">
        <f>IF(Table1[[#This Row],[InterConf]]=1,IF(Table1[[#This Row],[InterDiv]]=0, 1, 0), 0)</f>
        <v>0</v>
      </c>
      <c r="AM1059" s="64">
        <f>IF(INDEX(Standings!$A$2:$C$33,MATCH(Table1[[#This Row],[AwayTeam]],Standings!$A$2:$A$33,0),2)&lt;&gt;INDEX(Standings!$A$2:$C$33,MATCH(Table1[[#This Row],[HomeTeam]],Standings!$A$2:$A$33,0),2),1,0)</f>
        <v>0</v>
      </c>
      <c r="AN1059" s="64" t="str">
        <f>INDEX(Table2[AWAY_RECORD], MATCH(Table1[[#This Row],[AwayTeam]],Table2[Team], 0), 0)</f>
        <v>0-0-1</v>
      </c>
      <c r="AO1059" s="64" t="str">
        <f>INDEX(Records!$B$2:$AG$33, MATCH(Table1[[#This Row],[AwayTeam]],Records!$A$2:$A$33, 0), MATCH(Table1[[#This Row],[HomeTeam]],Records!$A$2:$A$33, 0))</f>
        <v>0-0-0</v>
      </c>
      <c r="AP1059" s="64" t="str">
        <f>INDEX(Table2[HOME_RECORD], MATCH(Table1[[#This Row],[HomeTeam]],Table2[Team], 0), 0)</f>
        <v>0-0-0</v>
      </c>
      <c r="AQ1059" s="64" t="str">
        <f>INDEX(Records!$B$2:$AG$33, MATCH(Table1[[#This Row],[HomeTeam]],Records!$A$2:$A$33, 0), MATCH(Table1[[#This Row],[AwayTeam]],Records!$A$2:$A$33, 0))</f>
        <v>0-0-0</v>
      </c>
    </row>
    <row r="1060" spans="1:43" x14ac:dyDescent="0.25">
      <c r="A1060" s="1"/>
      <c r="D1060" t="s">
        <v>1389</v>
      </c>
      <c r="E1060" t="s">
        <v>162</v>
      </c>
      <c r="F1060" t="s">
        <v>1396</v>
      </c>
      <c r="G1060" t="s">
        <v>49</v>
      </c>
      <c r="H1060" t="s">
        <v>44</v>
      </c>
      <c r="L106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6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60" s="1"/>
      <c r="T1060" s="64" t="str">
        <f>IF(Table1[[#This Row],[ActualWinner]]="", "", IF(Table1[[#This Row],[AwayTeam]]=Table1[[#This Row],[ActualWinner]],Table1[[#This Row],[HomeTeam]],Table1[[#This Row],[AwayTeam]]))</f>
        <v/>
      </c>
      <c r="U1060" s="64">
        <f>Table1[[#This Row],[ActualAwayScore]]-Table1[[#This Row],[PredictedAwayScore]]</f>
        <v>0</v>
      </c>
      <c r="V1060" s="64">
        <f>Table1[[#This Row],[ActualHomeScore]]-Table1[[#This Row],[PredictedHomeScore]]</f>
        <v>0</v>
      </c>
      <c r="W1060" s="64">
        <f>(0.8*IF(Table1[[#This Row],[CorrectWinnerPrediction]]=1, 1, 0))+(0.1*IF(Table1[[#This Row],[CorrectAwayScorePrediction]]=1, 1, 0))+(0.1*IF(Table1[[#This Row],[CorrectHomeScorePrediction]]=1, 1, 0))</f>
        <v>0</v>
      </c>
      <c r="X106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60" s="64">
        <f>SUMIF(Table1[GameDate], Table1[[#This Row],[GameDate]], Table1[AwayGameGoalDiff])</f>
        <v>0</v>
      </c>
      <c r="AA1060" s="64">
        <f>SUMIF(Table1[GameDate], Table1[[#This Row],[GameDate]], Table1[HomeGameGoalDiff])</f>
        <v>0</v>
      </c>
      <c r="AB1060" s="64">
        <f>IF(ISBLANK(Table1[[#This Row],[ActualResult]]), 0, 1)</f>
        <v>0</v>
      </c>
      <c r="AC1060" s="64">
        <f>IF(ISBLANK(Table1[[#This Row],[ActualResult]]), 0, IF(Table1[[#This Row],[ActualWinner]]=Table1[[#This Row],[PredictedWinner]], 1, 0))</f>
        <v>0</v>
      </c>
      <c r="AD106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6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60" s="64">
        <f>IF(AND(Table1[[#This Row],[GameIsOver]]=1,Table1[[#This Row],[ActualAwayScore]]=0), 1,0)</f>
        <v>0</v>
      </c>
      <c r="AG1060" s="64">
        <f>IF(AND(Table1[[#This Row],[GameIsOver]]=1,Table1[[#This Row],[ActualHomeScore]]=0), 1,0)</f>
        <v>0</v>
      </c>
      <c r="AH1060" s="64">
        <f>IF(Table1[[#This Row],[GameIsOver]]=0,0,IF(Table1[[#This Row],[ActualWinner]]=Table1[[#This Row],[AwayTeam]], 1, 0))</f>
        <v>0</v>
      </c>
      <c r="AI1060" s="64">
        <f>IF(Table1[[#This Row],[GameIsOver]]=0,0,IF(Table1[[#This Row],[ActualWinner]]=Table1[[#This Row],[HomeTeam]], 1, 0))</f>
        <v>0</v>
      </c>
      <c r="AJ1060" s="64">
        <f>IF(INDEX(Standings!$A$2:$C$33,MATCH(Table1[[#This Row],[AwayTeam]],Standings!$A$2:$A$33,0),2)=INDEX(Standings!$A$2:$C$33,MATCH(Table1[[#This Row],[HomeTeam]],Standings!$A$2:$A$33,0),2),1,0)</f>
        <v>1</v>
      </c>
      <c r="AK1060" s="64">
        <f>IF(INDEX(Standings!$A$2:$C$33,MATCH(Table1[[#This Row],[AwayTeam]],Standings!$A$2:$A$33,0),3)=INDEX(Standings!$A$2:$C$33,MATCH(Table1[[#This Row],[HomeTeam]],Standings!$A$2:$A$33,0),3),1,0)</f>
        <v>0</v>
      </c>
      <c r="AL1060" s="64">
        <f>IF(Table1[[#This Row],[InterConf]]=1,IF(Table1[[#This Row],[InterDiv]]=0, 1, 0), 0)</f>
        <v>1</v>
      </c>
      <c r="AM1060" s="64">
        <f>IF(INDEX(Standings!$A$2:$C$33,MATCH(Table1[[#This Row],[AwayTeam]],Standings!$A$2:$A$33,0),2)&lt;&gt;INDEX(Standings!$A$2:$C$33,MATCH(Table1[[#This Row],[HomeTeam]],Standings!$A$2:$A$33,0),2),1,0)</f>
        <v>0</v>
      </c>
      <c r="AN1060" s="64" t="str">
        <f>INDEX(Table2[AWAY_RECORD], MATCH(Table1[[#This Row],[AwayTeam]],Table2[Team], 0), 0)</f>
        <v>0-0-0</v>
      </c>
      <c r="AO1060" s="64" t="str">
        <f>INDEX(Records!$B$2:$AG$33, MATCH(Table1[[#This Row],[AwayTeam]],Records!$A$2:$A$33, 0), MATCH(Table1[[#This Row],[HomeTeam]],Records!$A$2:$A$33, 0))</f>
        <v>0-0-0</v>
      </c>
      <c r="AP1060" s="64" t="str">
        <f>INDEX(Table2[HOME_RECORD], MATCH(Table1[[#This Row],[HomeTeam]],Table2[Team], 0), 0)</f>
        <v>0-0-1</v>
      </c>
      <c r="AQ1060" s="64" t="str">
        <f>INDEX(Records!$B$2:$AG$33, MATCH(Table1[[#This Row],[HomeTeam]],Records!$A$2:$A$33, 0), MATCH(Table1[[#This Row],[AwayTeam]],Records!$A$2:$A$33, 0))</f>
        <v>0-0-0</v>
      </c>
    </row>
    <row r="1061" spans="1:43" x14ac:dyDescent="0.25">
      <c r="A1061" s="1"/>
      <c r="D1061" t="s">
        <v>1389</v>
      </c>
      <c r="E1061" t="s">
        <v>162</v>
      </c>
      <c r="F1061" t="s">
        <v>1397</v>
      </c>
      <c r="G1061" t="s">
        <v>54</v>
      </c>
      <c r="H1061" t="s">
        <v>17</v>
      </c>
      <c r="L106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6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61" s="1"/>
      <c r="T1061" s="64" t="str">
        <f>IF(Table1[[#This Row],[ActualWinner]]="", "", IF(Table1[[#This Row],[AwayTeam]]=Table1[[#This Row],[ActualWinner]],Table1[[#This Row],[HomeTeam]],Table1[[#This Row],[AwayTeam]]))</f>
        <v/>
      </c>
      <c r="U1061" s="64">
        <f>Table1[[#This Row],[ActualAwayScore]]-Table1[[#This Row],[PredictedAwayScore]]</f>
        <v>0</v>
      </c>
      <c r="V1061" s="64">
        <f>Table1[[#This Row],[ActualHomeScore]]-Table1[[#This Row],[PredictedHomeScore]]</f>
        <v>0</v>
      </c>
      <c r="W1061" s="64">
        <f>(0.8*IF(Table1[[#This Row],[CorrectWinnerPrediction]]=1, 1, 0))+(0.1*IF(Table1[[#This Row],[CorrectAwayScorePrediction]]=1, 1, 0))+(0.1*IF(Table1[[#This Row],[CorrectHomeScorePrediction]]=1, 1, 0))</f>
        <v>0</v>
      </c>
      <c r="X106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61" s="64">
        <f>SUMIF(Table1[GameDate], Table1[[#This Row],[GameDate]], Table1[AwayGameGoalDiff])</f>
        <v>0</v>
      </c>
      <c r="AA1061" s="64">
        <f>SUMIF(Table1[GameDate], Table1[[#This Row],[GameDate]], Table1[HomeGameGoalDiff])</f>
        <v>0</v>
      </c>
      <c r="AB1061" s="64">
        <f>IF(ISBLANK(Table1[[#This Row],[ActualResult]]), 0, 1)</f>
        <v>0</v>
      </c>
      <c r="AC1061" s="64">
        <f>IF(ISBLANK(Table1[[#This Row],[ActualResult]]), 0, IF(Table1[[#This Row],[ActualWinner]]=Table1[[#This Row],[PredictedWinner]], 1, 0))</f>
        <v>0</v>
      </c>
      <c r="AD106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6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61" s="64">
        <f>IF(AND(Table1[[#This Row],[GameIsOver]]=1,Table1[[#This Row],[ActualAwayScore]]=0), 1,0)</f>
        <v>0</v>
      </c>
      <c r="AG1061" s="64">
        <f>IF(AND(Table1[[#This Row],[GameIsOver]]=1,Table1[[#This Row],[ActualHomeScore]]=0), 1,0)</f>
        <v>0</v>
      </c>
      <c r="AH1061" s="64">
        <f>IF(Table1[[#This Row],[GameIsOver]]=0,0,IF(Table1[[#This Row],[ActualWinner]]=Table1[[#This Row],[AwayTeam]], 1, 0))</f>
        <v>0</v>
      </c>
      <c r="AI1061" s="64">
        <f>IF(Table1[[#This Row],[GameIsOver]]=0,0,IF(Table1[[#This Row],[ActualWinner]]=Table1[[#This Row],[HomeTeam]], 1, 0))</f>
        <v>0</v>
      </c>
      <c r="AJ1061" s="64">
        <f>IF(INDEX(Standings!$A$2:$C$33,MATCH(Table1[[#This Row],[AwayTeam]],Standings!$A$2:$A$33,0),2)=INDEX(Standings!$A$2:$C$33,MATCH(Table1[[#This Row],[HomeTeam]],Standings!$A$2:$A$33,0),2),1,0)</f>
        <v>1</v>
      </c>
      <c r="AK1061" s="64">
        <f>IF(INDEX(Standings!$A$2:$C$33,MATCH(Table1[[#This Row],[AwayTeam]],Standings!$A$2:$A$33,0),3)=INDEX(Standings!$A$2:$C$33,MATCH(Table1[[#This Row],[HomeTeam]],Standings!$A$2:$A$33,0),3),1,0)</f>
        <v>0</v>
      </c>
      <c r="AL1061" s="64">
        <f>IF(Table1[[#This Row],[InterConf]]=1,IF(Table1[[#This Row],[InterDiv]]=0, 1, 0), 0)</f>
        <v>1</v>
      </c>
      <c r="AM1061" s="64">
        <f>IF(INDEX(Standings!$A$2:$C$33,MATCH(Table1[[#This Row],[AwayTeam]],Standings!$A$2:$A$33,0),2)&lt;&gt;INDEX(Standings!$A$2:$C$33,MATCH(Table1[[#This Row],[HomeTeam]],Standings!$A$2:$A$33,0),2),1,0)</f>
        <v>0</v>
      </c>
      <c r="AN1061" s="64" t="str">
        <f>INDEX(Table2[AWAY_RECORD], MATCH(Table1[[#This Row],[AwayTeam]],Table2[Team], 0), 0)</f>
        <v>0-0-1</v>
      </c>
      <c r="AO1061" s="64" t="str">
        <f>INDEX(Records!$B$2:$AG$33, MATCH(Table1[[#This Row],[AwayTeam]],Records!$A$2:$A$33, 0), MATCH(Table1[[#This Row],[HomeTeam]],Records!$A$2:$A$33, 0))</f>
        <v>0-0-0</v>
      </c>
      <c r="AP1061" s="64" t="str">
        <f>INDEX(Table2[HOME_RECORD], MATCH(Table1[[#This Row],[HomeTeam]],Table2[Team], 0), 0)</f>
        <v>0-0-0</v>
      </c>
      <c r="AQ1061" s="64" t="str">
        <f>INDEX(Records!$B$2:$AG$33, MATCH(Table1[[#This Row],[HomeTeam]],Records!$A$2:$A$33, 0), MATCH(Table1[[#This Row],[AwayTeam]],Records!$A$2:$A$33, 0))</f>
        <v>0-0-0</v>
      </c>
    </row>
    <row r="1062" spans="1:43" x14ac:dyDescent="0.25">
      <c r="A1062" s="1"/>
      <c r="D1062" t="s">
        <v>1389</v>
      </c>
      <c r="E1062" t="s">
        <v>162</v>
      </c>
      <c r="F1062" t="s">
        <v>1398</v>
      </c>
      <c r="G1062" t="s">
        <v>25</v>
      </c>
      <c r="H1062" t="s">
        <v>50</v>
      </c>
      <c r="L106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6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62" s="1"/>
      <c r="T1062" s="64" t="str">
        <f>IF(Table1[[#This Row],[ActualWinner]]="", "", IF(Table1[[#This Row],[AwayTeam]]=Table1[[#This Row],[ActualWinner]],Table1[[#This Row],[HomeTeam]],Table1[[#This Row],[AwayTeam]]))</f>
        <v/>
      </c>
      <c r="U1062" s="64">
        <f>Table1[[#This Row],[ActualAwayScore]]-Table1[[#This Row],[PredictedAwayScore]]</f>
        <v>0</v>
      </c>
      <c r="V1062" s="64">
        <f>Table1[[#This Row],[ActualHomeScore]]-Table1[[#This Row],[PredictedHomeScore]]</f>
        <v>0</v>
      </c>
      <c r="W1062" s="64">
        <f>(0.8*IF(Table1[[#This Row],[CorrectWinnerPrediction]]=1, 1, 0))+(0.1*IF(Table1[[#This Row],[CorrectAwayScorePrediction]]=1, 1, 0))+(0.1*IF(Table1[[#This Row],[CorrectHomeScorePrediction]]=1, 1, 0))</f>
        <v>0</v>
      </c>
      <c r="X106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62" s="64">
        <f>SUMIF(Table1[GameDate], Table1[[#This Row],[GameDate]], Table1[AwayGameGoalDiff])</f>
        <v>0</v>
      </c>
      <c r="AA1062" s="64">
        <f>SUMIF(Table1[GameDate], Table1[[#This Row],[GameDate]], Table1[HomeGameGoalDiff])</f>
        <v>0</v>
      </c>
      <c r="AB1062" s="64">
        <f>IF(ISBLANK(Table1[[#This Row],[ActualResult]]), 0, 1)</f>
        <v>0</v>
      </c>
      <c r="AC1062" s="64">
        <f>IF(ISBLANK(Table1[[#This Row],[ActualResult]]), 0, IF(Table1[[#This Row],[ActualWinner]]=Table1[[#This Row],[PredictedWinner]], 1, 0))</f>
        <v>0</v>
      </c>
      <c r="AD106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6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62" s="64">
        <f>IF(AND(Table1[[#This Row],[GameIsOver]]=1,Table1[[#This Row],[ActualAwayScore]]=0), 1,0)</f>
        <v>0</v>
      </c>
      <c r="AG1062" s="64">
        <f>IF(AND(Table1[[#This Row],[GameIsOver]]=1,Table1[[#This Row],[ActualHomeScore]]=0), 1,0)</f>
        <v>0</v>
      </c>
      <c r="AH1062" s="64">
        <f>IF(Table1[[#This Row],[GameIsOver]]=0,0,IF(Table1[[#This Row],[ActualWinner]]=Table1[[#This Row],[AwayTeam]], 1, 0))</f>
        <v>0</v>
      </c>
      <c r="AI1062" s="64">
        <f>IF(Table1[[#This Row],[GameIsOver]]=0,0,IF(Table1[[#This Row],[ActualWinner]]=Table1[[#This Row],[HomeTeam]], 1, 0))</f>
        <v>0</v>
      </c>
      <c r="AJ1062" s="64">
        <f>IF(INDEX(Standings!$A$2:$C$33,MATCH(Table1[[#This Row],[AwayTeam]],Standings!$A$2:$A$33,0),2)=INDEX(Standings!$A$2:$C$33,MATCH(Table1[[#This Row],[HomeTeam]],Standings!$A$2:$A$33,0),2),1,0)</f>
        <v>0</v>
      </c>
      <c r="AK1062" s="64">
        <f>IF(INDEX(Standings!$A$2:$C$33,MATCH(Table1[[#This Row],[AwayTeam]],Standings!$A$2:$A$33,0),3)=INDEX(Standings!$A$2:$C$33,MATCH(Table1[[#This Row],[HomeTeam]],Standings!$A$2:$A$33,0),3),1,0)</f>
        <v>0</v>
      </c>
      <c r="AL1062" s="64">
        <f>IF(Table1[[#This Row],[InterConf]]=1,IF(Table1[[#This Row],[InterDiv]]=0, 1, 0), 0)</f>
        <v>0</v>
      </c>
      <c r="AM1062" s="64">
        <f>IF(INDEX(Standings!$A$2:$C$33,MATCH(Table1[[#This Row],[AwayTeam]],Standings!$A$2:$A$33,0),2)&lt;&gt;INDEX(Standings!$A$2:$C$33,MATCH(Table1[[#This Row],[HomeTeam]],Standings!$A$2:$A$33,0),2),1,0)</f>
        <v>1</v>
      </c>
      <c r="AN1062" s="64" t="str">
        <f>INDEX(Table2[AWAY_RECORD], MATCH(Table1[[#This Row],[AwayTeam]],Table2[Team], 0), 0)</f>
        <v>0-0-0</v>
      </c>
      <c r="AO1062" s="64" t="str">
        <f>INDEX(Records!$B$2:$AG$33, MATCH(Table1[[#This Row],[AwayTeam]],Records!$A$2:$A$33, 0), MATCH(Table1[[#This Row],[HomeTeam]],Records!$A$2:$A$33, 0))</f>
        <v>0-0-0</v>
      </c>
      <c r="AP1062" s="64" t="str">
        <f>INDEX(Table2[HOME_RECORD], MATCH(Table1[[#This Row],[HomeTeam]],Table2[Team], 0), 0)</f>
        <v>0-0-0</v>
      </c>
      <c r="AQ1062" s="64" t="str">
        <f>INDEX(Records!$B$2:$AG$33, MATCH(Table1[[#This Row],[HomeTeam]],Records!$A$2:$A$33, 0), MATCH(Table1[[#This Row],[AwayTeam]],Records!$A$2:$A$33, 0))</f>
        <v>0-0-0</v>
      </c>
    </row>
    <row r="1063" spans="1:43" x14ac:dyDescent="0.25">
      <c r="A1063" s="1"/>
      <c r="D1063" t="s">
        <v>1389</v>
      </c>
      <c r="E1063" t="s">
        <v>166</v>
      </c>
      <c r="F1063" t="s">
        <v>1399</v>
      </c>
      <c r="G1063" t="s">
        <v>58</v>
      </c>
      <c r="H1063" t="s">
        <v>48</v>
      </c>
      <c r="L106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6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63" s="1"/>
      <c r="T1063" s="64" t="str">
        <f>IF(Table1[[#This Row],[ActualWinner]]="", "", IF(Table1[[#This Row],[AwayTeam]]=Table1[[#This Row],[ActualWinner]],Table1[[#This Row],[HomeTeam]],Table1[[#This Row],[AwayTeam]]))</f>
        <v/>
      </c>
      <c r="U1063" s="64">
        <f>Table1[[#This Row],[ActualAwayScore]]-Table1[[#This Row],[PredictedAwayScore]]</f>
        <v>0</v>
      </c>
      <c r="V1063" s="64">
        <f>Table1[[#This Row],[ActualHomeScore]]-Table1[[#This Row],[PredictedHomeScore]]</f>
        <v>0</v>
      </c>
      <c r="W1063" s="64">
        <f>(0.8*IF(Table1[[#This Row],[CorrectWinnerPrediction]]=1, 1, 0))+(0.1*IF(Table1[[#This Row],[CorrectAwayScorePrediction]]=1, 1, 0))+(0.1*IF(Table1[[#This Row],[CorrectHomeScorePrediction]]=1, 1, 0))</f>
        <v>0</v>
      </c>
      <c r="X106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63" s="64">
        <f>SUMIF(Table1[GameDate], Table1[[#This Row],[GameDate]], Table1[AwayGameGoalDiff])</f>
        <v>0</v>
      </c>
      <c r="AA1063" s="64">
        <f>SUMIF(Table1[GameDate], Table1[[#This Row],[GameDate]], Table1[HomeGameGoalDiff])</f>
        <v>0</v>
      </c>
      <c r="AB1063" s="64">
        <f>IF(ISBLANK(Table1[[#This Row],[ActualResult]]), 0, 1)</f>
        <v>0</v>
      </c>
      <c r="AC1063" s="64">
        <f>IF(ISBLANK(Table1[[#This Row],[ActualResult]]), 0, IF(Table1[[#This Row],[ActualWinner]]=Table1[[#This Row],[PredictedWinner]], 1, 0))</f>
        <v>0</v>
      </c>
      <c r="AD106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6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63" s="64">
        <f>IF(AND(Table1[[#This Row],[GameIsOver]]=1,Table1[[#This Row],[ActualAwayScore]]=0), 1,0)</f>
        <v>0</v>
      </c>
      <c r="AG1063" s="64">
        <f>IF(AND(Table1[[#This Row],[GameIsOver]]=1,Table1[[#This Row],[ActualHomeScore]]=0), 1,0)</f>
        <v>0</v>
      </c>
      <c r="AH1063" s="64">
        <f>IF(Table1[[#This Row],[GameIsOver]]=0,0,IF(Table1[[#This Row],[ActualWinner]]=Table1[[#This Row],[AwayTeam]], 1, 0))</f>
        <v>0</v>
      </c>
      <c r="AI1063" s="64">
        <f>IF(Table1[[#This Row],[GameIsOver]]=0,0,IF(Table1[[#This Row],[ActualWinner]]=Table1[[#This Row],[HomeTeam]], 1, 0))</f>
        <v>0</v>
      </c>
      <c r="AJ1063" s="64">
        <f>IF(INDEX(Standings!$A$2:$C$33,MATCH(Table1[[#This Row],[AwayTeam]],Standings!$A$2:$A$33,0),2)=INDEX(Standings!$A$2:$C$33,MATCH(Table1[[#This Row],[HomeTeam]],Standings!$A$2:$A$33,0),2),1,0)</f>
        <v>1</v>
      </c>
      <c r="AK1063" s="64">
        <f>IF(INDEX(Standings!$A$2:$C$33,MATCH(Table1[[#This Row],[AwayTeam]],Standings!$A$2:$A$33,0),3)=INDEX(Standings!$A$2:$C$33,MATCH(Table1[[#This Row],[HomeTeam]],Standings!$A$2:$A$33,0),3),1,0)</f>
        <v>1</v>
      </c>
      <c r="AL1063" s="64">
        <f>IF(Table1[[#This Row],[InterConf]]=1,IF(Table1[[#This Row],[InterDiv]]=0, 1, 0), 0)</f>
        <v>0</v>
      </c>
      <c r="AM1063" s="64">
        <f>IF(INDEX(Standings!$A$2:$C$33,MATCH(Table1[[#This Row],[AwayTeam]],Standings!$A$2:$A$33,0),2)&lt;&gt;INDEX(Standings!$A$2:$C$33,MATCH(Table1[[#This Row],[HomeTeam]],Standings!$A$2:$A$33,0),2),1,0)</f>
        <v>0</v>
      </c>
      <c r="AN1063" s="64" t="str">
        <f>INDEX(Table2[AWAY_RECORD], MATCH(Table1[[#This Row],[AwayTeam]],Table2[Team], 0), 0)</f>
        <v>0-0-0</v>
      </c>
      <c r="AO1063" s="64" t="str">
        <f>INDEX(Records!$B$2:$AG$33, MATCH(Table1[[#This Row],[AwayTeam]],Records!$A$2:$A$33, 0), MATCH(Table1[[#This Row],[HomeTeam]],Records!$A$2:$A$33, 0))</f>
        <v>0-0-0</v>
      </c>
      <c r="AP1063" s="64" t="str">
        <f>INDEX(Table2[HOME_RECORD], MATCH(Table1[[#This Row],[HomeTeam]],Table2[Team], 0), 0)</f>
        <v>1-0-0</v>
      </c>
      <c r="AQ1063" s="64" t="str">
        <f>INDEX(Records!$B$2:$AG$33, MATCH(Table1[[#This Row],[HomeTeam]],Records!$A$2:$A$33, 0), MATCH(Table1[[#This Row],[AwayTeam]],Records!$A$2:$A$33, 0))</f>
        <v>0-0-0</v>
      </c>
    </row>
    <row r="1064" spans="1:43" x14ac:dyDescent="0.25">
      <c r="A1064" s="1"/>
      <c r="D1064" t="s">
        <v>1400</v>
      </c>
      <c r="E1064" t="s">
        <v>162</v>
      </c>
      <c r="F1064" t="s">
        <v>1401</v>
      </c>
      <c r="G1064" t="s">
        <v>25</v>
      </c>
      <c r="H1064" t="s">
        <v>49</v>
      </c>
      <c r="L106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6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64" s="1"/>
      <c r="T1064" s="64" t="str">
        <f>IF(Table1[[#This Row],[ActualWinner]]="", "", IF(Table1[[#This Row],[AwayTeam]]=Table1[[#This Row],[ActualWinner]],Table1[[#This Row],[HomeTeam]],Table1[[#This Row],[AwayTeam]]))</f>
        <v/>
      </c>
      <c r="U1064" s="64">
        <f>Table1[[#This Row],[ActualAwayScore]]-Table1[[#This Row],[PredictedAwayScore]]</f>
        <v>0</v>
      </c>
      <c r="V1064" s="64">
        <f>Table1[[#This Row],[ActualHomeScore]]-Table1[[#This Row],[PredictedHomeScore]]</f>
        <v>0</v>
      </c>
      <c r="W1064" s="64">
        <f>(0.8*IF(Table1[[#This Row],[CorrectWinnerPrediction]]=1, 1, 0))+(0.1*IF(Table1[[#This Row],[CorrectAwayScorePrediction]]=1, 1, 0))+(0.1*IF(Table1[[#This Row],[CorrectHomeScorePrediction]]=1, 1, 0))</f>
        <v>0</v>
      </c>
      <c r="X106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64" s="64">
        <f>SUMIF(Table1[GameDate], Table1[[#This Row],[GameDate]], Table1[AwayGameGoalDiff])</f>
        <v>0</v>
      </c>
      <c r="AA1064" s="64">
        <f>SUMIF(Table1[GameDate], Table1[[#This Row],[GameDate]], Table1[HomeGameGoalDiff])</f>
        <v>0</v>
      </c>
      <c r="AB1064" s="64">
        <f>IF(ISBLANK(Table1[[#This Row],[ActualResult]]), 0, 1)</f>
        <v>0</v>
      </c>
      <c r="AC1064" s="64">
        <f>IF(ISBLANK(Table1[[#This Row],[ActualResult]]), 0, IF(Table1[[#This Row],[ActualWinner]]=Table1[[#This Row],[PredictedWinner]], 1, 0))</f>
        <v>0</v>
      </c>
      <c r="AD106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6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64" s="64">
        <f>IF(AND(Table1[[#This Row],[GameIsOver]]=1,Table1[[#This Row],[ActualAwayScore]]=0), 1,0)</f>
        <v>0</v>
      </c>
      <c r="AG1064" s="64">
        <f>IF(AND(Table1[[#This Row],[GameIsOver]]=1,Table1[[#This Row],[ActualHomeScore]]=0), 1,0)</f>
        <v>0</v>
      </c>
      <c r="AH1064" s="64">
        <f>IF(Table1[[#This Row],[GameIsOver]]=0,0,IF(Table1[[#This Row],[ActualWinner]]=Table1[[#This Row],[AwayTeam]], 1, 0))</f>
        <v>0</v>
      </c>
      <c r="AI1064" s="64">
        <f>IF(Table1[[#This Row],[GameIsOver]]=0,0,IF(Table1[[#This Row],[ActualWinner]]=Table1[[#This Row],[HomeTeam]], 1, 0))</f>
        <v>0</v>
      </c>
      <c r="AJ1064" s="64">
        <f>IF(INDEX(Standings!$A$2:$C$33,MATCH(Table1[[#This Row],[AwayTeam]],Standings!$A$2:$A$33,0),2)=INDEX(Standings!$A$2:$C$33,MATCH(Table1[[#This Row],[HomeTeam]],Standings!$A$2:$A$33,0),2),1,0)</f>
        <v>0</v>
      </c>
      <c r="AK1064" s="64">
        <f>IF(INDEX(Standings!$A$2:$C$33,MATCH(Table1[[#This Row],[AwayTeam]],Standings!$A$2:$A$33,0),3)=INDEX(Standings!$A$2:$C$33,MATCH(Table1[[#This Row],[HomeTeam]],Standings!$A$2:$A$33,0),3),1,0)</f>
        <v>0</v>
      </c>
      <c r="AL1064" s="64">
        <f>IF(Table1[[#This Row],[InterConf]]=1,IF(Table1[[#This Row],[InterDiv]]=0, 1, 0), 0)</f>
        <v>0</v>
      </c>
      <c r="AM1064" s="64">
        <f>IF(INDEX(Standings!$A$2:$C$33,MATCH(Table1[[#This Row],[AwayTeam]],Standings!$A$2:$A$33,0),2)&lt;&gt;INDEX(Standings!$A$2:$C$33,MATCH(Table1[[#This Row],[HomeTeam]],Standings!$A$2:$A$33,0),2),1,0)</f>
        <v>1</v>
      </c>
      <c r="AN1064" s="64" t="str">
        <f>INDEX(Table2[AWAY_RECORD], MATCH(Table1[[#This Row],[AwayTeam]],Table2[Team], 0), 0)</f>
        <v>0-0-0</v>
      </c>
      <c r="AO1064" s="64" t="str">
        <f>INDEX(Records!$B$2:$AG$33, MATCH(Table1[[#This Row],[AwayTeam]],Records!$A$2:$A$33, 0), MATCH(Table1[[#This Row],[HomeTeam]],Records!$A$2:$A$33, 0))</f>
        <v>0-0-0</v>
      </c>
      <c r="AP1064" s="64" t="str">
        <f>INDEX(Table2[HOME_RECORD], MATCH(Table1[[#This Row],[HomeTeam]],Table2[Team], 0), 0)</f>
        <v>1-0-0</v>
      </c>
      <c r="AQ1064" s="64" t="str">
        <f>INDEX(Records!$B$2:$AG$33, MATCH(Table1[[#This Row],[HomeTeam]],Records!$A$2:$A$33, 0), MATCH(Table1[[#This Row],[AwayTeam]],Records!$A$2:$A$33, 0))</f>
        <v>0-0-0</v>
      </c>
    </row>
    <row r="1065" spans="1:43" x14ac:dyDescent="0.25">
      <c r="A1065" s="1"/>
      <c r="D1065" t="s">
        <v>1400</v>
      </c>
      <c r="E1065" t="s">
        <v>162</v>
      </c>
      <c r="F1065" t="s">
        <v>1402</v>
      </c>
      <c r="G1065" t="s">
        <v>43</v>
      </c>
      <c r="H1065" t="s">
        <v>53</v>
      </c>
      <c r="L106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6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65" s="1"/>
      <c r="T1065" s="64" t="str">
        <f>IF(Table1[[#This Row],[ActualWinner]]="", "", IF(Table1[[#This Row],[AwayTeam]]=Table1[[#This Row],[ActualWinner]],Table1[[#This Row],[HomeTeam]],Table1[[#This Row],[AwayTeam]]))</f>
        <v/>
      </c>
      <c r="U1065" s="64">
        <f>Table1[[#This Row],[ActualAwayScore]]-Table1[[#This Row],[PredictedAwayScore]]</f>
        <v>0</v>
      </c>
      <c r="V1065" s="64">
        <f>Table1[[#This Row],[ActualHomeScore]]-Table1[[#This Row],[PredictedHomeScore]]</f>
        <v>0</v>
      </c>
      <c r="W1065" s="64">
        <f>(0.8*IF(Table1[[#This Row],[CorrectWinnerPrediction]]=1, 1, 0))+(0.1*IF(Table1[[#This Row],[CorrectAwayScorePrediction]]=1, 1, 0))+(0.1*IF(Table1[[#This Row],[CorrectHomeScorePrediction]]=1, 1, 0))</f>
        <v>0</v>
      </c>
      <c r="X106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65" s="64">
        <f>SUMIF(Table1[GameDate], Table1[[#This Row],[GameDate]], Table1[AwayGameGoalDiff])</f>
        <v>0</v>
      </c>
      <c r="AA1065" s="64">
        <f>SUMIF(Table1[GameDate], Table1[[#This Row],[GameDate]], Table1[HomeGameGoalDiff])</f>
        <v>0</v>
      </c>
      <c r="AB1065" s="64">
        <f>IF(ISBLANK(Table1[[#This Row],[ActualResult]]), 0, 1)</f>
        <v>0</v>
      </c>
      <c r="AC1065" s="64">
        <f>IF(ISBLANK(Table1[[#This Row],[ActualResult]]), 0, IF(Table1[[#This Row],[ActualWinner]]=Table1[[#This Row],[PredictedWinner]], 1, 0))</f>
        <v>0</v>
      </c>
      <c r="AD106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6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65" s="64">
        <f>IF(AND(Table1[[#This Row],[GameIsOver]]=1,Table1[[#This Row],[ActualAwayScore]]=0), 1,0)</f>
        <v>0</v>
      </c>
      <c r="AG1065" s="64">
        <f>IF(AND(Table1[[#This Row],[GameIsOver]]=1,Table1[[#This Row],[ActualHomeScore]]=0), 1,0)</f>
        <v>0</v>
      </c>
      <c r="AH1065" s="64">
        <f>IF(Table1[[#This Row],[GameIsOver]]=0,0,IF(Table1[[#This Row],[ActualWinner]]=Table1[[#This Row],[AwayTeam]], 1, 0))</f>
        <v>0</v>
      </c>
      <c r="AI1065" s="64">
        <f>IF(Table1[[#This Row],[GameIsOver]]=0,0,IF(Table1[[#This Row],[ActualWinner]]=Table1[[#This Row],[HomeTeam]], 1, 0))</f>
        <v>0</v>
      </c>
      <c r="AJ1065" s="64">
        <f>IF(INDEX(Standings!$A$2:$C$33,MATCH(Table1[[#This Row],[AwayTeam]],Standings!$A$2:$A$33,0),2)=INDEX(Standings!$A$2:$C$33,MATCH(Table1[[#This Row],[HomeTeam]],Standings!$A$2:$A$33,0),2),1,0)</f>
        <v>0</v>
      </c>
      <c r="AK1065" s="64">
        <f>IF(INDEX(Standings!$A$2:$C$33,MATCH(Table1[[#This Row],[AwayTeam]],Standings!$A$2:$A$33,0),3)=INDEX(Standings!$A$2:$C$33,MATCH(Table1[[#This Row],[HomeTeam]],Standings!$A$2:$A$33,0),3),1,0)</f>
        <v>0</v>
      </c>
      <c r="AL1065" s="64">
        <f>IF(Table1[[#This Row],[InterConf]]=1,IF(Table1[[#This Row],[InterDiv]]=0, 1, 0), 0)</f>
        <v>0</v>
      </c>
      <c r="AM1065" s="64">
        <f>IF(INDEX(Standings!$A$2:$C$33,MATCH(Table1[[#This Row],[AwayTeam]],Standings!$A$2:$A$33,0),2)&lt;&gt;INDEX(Standings!$A$2:$C$33,MATCH(Table1[[#This Row],[HomeTeam]],Standings!$A$2:$A$33,0),2),1,0)</f>
        <v>1</v>
      </c>
      <c r="AN1065" s="64" t="str">
        <f>INDEX(Table2[AWAY_RECORD], MATCH(Table1[[#This Row],[AwayTeam]],Table2[Team], 0), 0)</f>
        <v>0-0-0</v>
      </c>
      <c r="AO1065" s="64" t="str">
        <f>INDEX(Records!$B$2:$AG$33, MATCH(Table1[[#This Row],[AwayTeam]],Records!$A$2:$A$33, 0), MATCH(Table1[[#This Row],[HomeTeam]],Records!$A$2:$A$33, 0))</f>
        <v>0-0-0</v>
      </c>
      <c r="AP1065" s="64" t="str">
        <f>INDEX(Table2[HOME_RECORD], MATCH(Table1[[#This Row],[HomeTeam]],Table2[Team], 0), 0)</f>
        <v>1-0-0</v>
      </c>
      <c r="AQ1065" s="64" t="str">
        <f>INDEX(Records!$B$2:$AG$33, MATCH(Table1[[#This Row],[HomeTeam]],Records!$A$2:$A$33, 0), MATCH(Table1[[#This Row],[AwayTeam]],Records!$A$2:$A$33, 0))</f>
        <v>0-0-0</v>
      </c>
    </row>
    <row r="1066" spans="1:43" x14ac:dyDescent="0.25">
      <c r="A1066" s="1"/>
      <c r="D1066" t="s">
        <v>1400</v>
      </c>
      <c r="E1066" t="s">
        <v>162</v>
      </c>
      <c r="F1066" t="s">
        <v>1403</v>
      </c>
      <c r="G1066" t="s">
        <v>24</v>
      </c>
      <c r="H1066" t="s">
        <v>40</v>
      </c>
      <c r="L106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6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66" s="1"/>
      <c r="T1066" s="64" t="str">
        <f>IF(Table1[[#This Row],[ActualWinner]]="", "", IF(Table1[[#This Row],[AwayTeam]]=Table1[[#This Row],[ActualWinner]],Table1[[#This Row],[HomeTeam]],Table1[[#This Row],[AwayTeam]]))</f>
        <v/>
      </c>
      <c r="U1066" s="64">
        <f>Table1[[#This Row],[ActualAwayScore]]-Table1[[#This Row],[PredictedAwayScore]]</f>
        <v>0</v>
      </c>
      <c r="V1066" s="64">
        <f>Table1[[#This Row],[ActualHomeScore]]-Table1[[#This Row],[PredictedHomeScore]]</f>
        <v>0</v>
      </c>
      <c r="W1066" s="64">
        <f>(0.8*IF(Table1[[#This Row],[CorrectWinnerPrediction]]=1, 1, 0))+(0.1*IF(Table1[[#This Row],[CorrectAwayScorePrediction]]=1, 1, 0))+(0.1*IF(Table1[[#This Row],[CorrectHomeScorePrediction]]=1, 1, 0))</f>
        <v>0</v>
      </c>
      <c r="X106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66" s="64">
        <f>SUMIF(Table1[GameDate], Table1[[#This Row],[GameDate]], Table1[AwayGameGoalDiff])</f>
        <v>0</v>
      </c>
      <c r="AA1066" s="64">
        <f>SUMIF(Table1[GameDate], Table1[[#This Row],[GameDate]], Table1[HomeGameGoalDiff])</f>
        <v>0</v>
      </c>
      <c r="AB1066" s="64">
        <f>IF(ISBLANK(Table1[[#This Row],[ActualResult]]), 0, 1)</f>
        <v>0</v>
      </c>
      <c r="AC1066" s="64">
        <f>IF(ISBLANK(Table1[[#This Row],[ActualResult]]), 0, IF(Table1[[#This Row],[ActualWinner]]=Table1[[#This Row],[PredictedWinner]], 1, 0))</f>
        <v>0</v>
      </c>
      <c r="AD106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6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66" s="64">
        <f>IF(AND(Table1[[#This Row],[GameIsOver]]=1,Table1[[#This Row],[ActualAwayScore]]=0), 1,0)</f>
        <v>0</v>
      </c>
      <c r="AG1066" s="64">
        <f>IF(AND(Table1[[#This Row],[GameIsOver]]=1,Table1[[#This Row],[ActualHomeScore]]=0), 1,0)</f>
        <v>0</v>
      </c>
      <c r="AH1066" s="64">
        <f>IF(Table1[[#This Row],[GameIsOver]]=0,0,IF(Table1[[#This Row],[ActualWinner]]=Table1[[#This Row],[AwayTeam]], 1, 0))</f>
        <v>0</v>
      </c>
      <c r="AI1066" s="64">
        <f>IF(Table1[[#This Row],[GameIsOver]]=0,0,IF(Table1[[#This Row],[ActualWinner]]=Table1[[#This Row],[HomeTeam]], 1, 0))</f>
        <v>0</v>
      </c>
      <c r="AJ1066" s="64">
        <f>IF(INDEX(Standings!$A$2:$C$33,MATCH(Table1[[#This Row],[AwayTeam]],Standings!$A$2:$A$33,0),2)=INDEX(Standings!$A$2:$C$33,MATCH(Table1[[#This Row],[HomeTeam]],Standings!$A$2:$A$33,0),2),1,0)</f>
        <v>1</v>
      </c>
      <c r="AK1066" s="64">
        <f>IF(INDEX(Standings!$A$2:$C$33,MATCH(Table1[[#This Row],[AwayTeam]],Standings!$A$2:$A$33,0),3)=INDEX(Standings!$A$2:$C$33,MATCH(Table1[[#This Row],[HomeTeam]],Standings!$A$2:$A$33,0),3),1,0)</f>
        <v>0</v>
      </c>
      <c r="AL1066" s="64">
        <f>IF(Table1[[#This Row],[InterConf]]=1,IF(Table1[[#This Row],[InterDiv]]=0, 1, 0), 0)</f>
        <v>1</v>
      </c>
      <c r="AM1066" s="64">
        <f>IF(INDEX(Standings!$A$2:$C$33,MATCH(Table1[[#This Row],[AwayTeam]],Standings!$A$2:$A$33,0),2)&lt;&gt;INDEX(Standings!$A$2:$C$33,MATCH(Table1[[#This Row],[HomeTeam]],Standings!$A$2:$A$33,0),2),1,0)</f>
        <v>0</v>
      </c>
      <c r="AN1066" s="64" t="str">
        <f>INDEX(Table2[AWAY_RECORD], MATCH(Table1[[#This Row],[AwayTeam]],Table2[Team], 0), 0)</f>
        <v>0-0-0</v>
      </c>
      <c r="AO1066" s="64" t="str">
        <f>INDEX(Records!$B$2:$AG$33, MATCH(Table1[[#This Row],[AwayTeam]],Records!$A$2:$A$33, 0), MATCH(Table1[[#This Row],[HomeTeam]],Records!$A$2:$A$33, 0))</f>
        <v>0-0-0</v>
      </c>
      <c r="AP1066" s="64" t="str">
        <f>INDEX(Table2[HOME_RECORD], MATCH(Table1[[#This Row],[HomeTeam]],Table2[Team], 0), 0)</f>
        <v>1-1-0</v>
      </c>
      <c r="AQ1066" s="64" t="str">
        <f>INDEX(Records!$B$2:$AG$33, MATCH(Table1[[#This Row],[HomeTeam]],Records!$A$2:$A$33, 0), MATCH(Table1[[#This Row],[AwayTeam]],Records!$A$2:$A$33, 0))</f>
        <v>0-0-0</v>
      </c>
    </row>
    <row r="1067" spans="1:43" x14ac:dyDescent="0.25">
      <c r="A1067" s="1"/>
      <c r="D1067" t="s">
        <v>1400</v>
      </c>
      <c r="E1067" t="s">
        <v>178</v>
      </c>
      <c r="F1067" t="s">
        <v>1404</v>
      </c>
      <c r="G1067" t="s">
        <v>59</v>
      </c>
      <c r="H1067" t="s">
        <v>60</v>
      </c>
      <c r="L106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6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67" s="1"/>
      <c r="T1067" s="64" t="str">
        <f>IF(Table1[[#This Row],[ActualWinner]]="", "", IF(Table1[[#This Row],[AwayTeam]]=Table1[[#This Row],[ActualWinner]],Table1[[#This Row],[HomeTeam]],Table1[[#This Row],[AwayTeam]]))</f>
        <v/>
      </c>
      <c r="U1067" s="64">
        <f>Table1[[#This Row],[ActualAwayScore]]-Table1[[#This Row],[PredictedAwayScore]]</f>
        <v>0</v>
      </c>
      <c r="V1067" s="64">
        <f>Table1[[#This Row],[ActualHomeScore]]-Table1[[#This Row],[PredictedHomeScore]]</f>
        <v>0</v>
      </c>
      <c r="W1067" s="64">
        <f>(0.8*IF(Table1[[#This Row],[CorrectWinnerPrediction]]=1, 1, 0))+(0.1*IF(Table1[[#This Row],[CorrectAwayScorePrediction]]=1, 1, 0))+(0.1*IF(Table1[[#This Row],[CorrectHomeScorePrediction]]=1, 1, 0))</f>
        <v>0</v>
      </c>
      <c r="X106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67" s="64">
        <f>SUMIF(Table1[GameDate], Table1[[#This Row],[GameDate]], Table1[AwayGameGoalDiff])</f>
        <v>0</v>
      </c>
      <c r="AA1067" s="64">
        <f>SUMIF(Table1[GameDate], Table1[[#This Row],[GameDate]], Table1[HomeGameGoalDiff])</f>
        <v>0</v>
      </c>
      <c r="AB1067" s="64">
        <f>IF(ISBLANK(Table1[[#This Row],[ActualResult]]), 0, 1)</f>
        <v>0</v>
      </c>
      <c r="AC1067" s="64">
        <f>IF(ISBLANK(Table1[[#This Row],[ActualResult]]), 0, IF(Table1[[#This Row],[ActualWinner]]=Table1[[#This Row],[PredictedWinner]], 1, 0))</f>
        <v>0</v>
      </c>
      <c r="AD106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6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67" s="64">
        <f>IF(AND(Table1[[#This Row],[GameIsOver]]=1,Table1[[#This Row],[ActualAwayScore]]=0), 1,0)</f>
        <v>0</v>
      </c>
      <c r="AG1067" s="64">
        <f>IF(AND(Table1[[#This Row],[GameIsOver]]=1,Table1[[#This Row],[ActualHomeScore]]=0), 1,0)</f>
        <v>0</v>
      </c>
      <c r="AH1067" s="64">
        <f>IF(Table1[[#This Row],[GameIsOver]]=0,0,IF(Table1[[#This Row],[ActualWinner]]=Table1[[#This Row],[AwayTeam]], 1, 0))</f>
        <v>0</v>
      </c>
      <c r="AI1067" s="64">
        <f>IF(Table1[[#This Row],[GameIsOver]]=0,0,IF(Table1[[#This Row],[ActualWinner]]=Table1[[#This Row],[HomeTeam]], 1, 0))</f>
        <v>0</v>
      </c>
      <c r="AJ1067" s="64">
        <f>IF(INDEX(Standings!$A$2:$C$33,MATCH(Table1[[#This Row],[AwayTeam]],Standings!$A$2:$A$33,0),2)=INDEX(Standings!$A$2:$C$33,MATCH(Table1[[#This Row],[HomeTeam]],Standings!$A$2:$A$33,0),2),1,0)</f>
        <v>0</v>
      </c>
      <c r="AK1067" s="64">
        <f>IF(INDEX(Standings!$A$2:$C$33,MATCH(Table1[[#This Row],[AwayTeam]],Standings!$A$2:$A$33,0),3)=INDEX(Standings!$A$2:$C$33,MATCH(Table1[[#This Row],[HomeTeam]],Standings!$A$2:$A$33,0),3),1,0)</f>
        <v>0</v>
      </c>
      <c r="AL1067" s="64">
        <f>IF(Table1[[#This Row],[InterConf]]=1,IF(Table1[[#This Row],[InterDiv]]=0, 1, 0), 0)</f>
        <v>0</v>
      </c>
      <c r="AM1067" s="64">
        <f>IF(INDEX(Standings!$A$2:$C$33,MATCH(Table1[[#This Row],[AwayTeam]],Standings!$A$2:$A$33,0),2)&lt;&gt;INDEX(Standings!$A$2:$C$33,MATCH(Table1[[#This Row],[HomeTeam]],Standings!$A$2:$A$33,0),2),1,0)</f>
        <v>1</v>
      </c>
      <c r="AN1067" s="64" t="str">
        <f>INDEX(Table2[AWAY_RECORD], MATCH(Table1[[#This Row],[AwayTeam]],Table2[Team], 0), 0)</f>
        <v>0-1-0</v>
      </c>
      <c r="AO1067" s="64" t="str">
        <f>INDEX(Records!$B$2:$AG$33, MATCH(Table1[[#This Row],[AwayTeam]],Records!$A$2:$A$33, 0), MATCH(Table1[[#This Row],[HomeTeam]],Records!$A$2:$A$33, 0))</f>
        <v>0-0-0</v>
      </c>
      <c r="AP1067" s="64" t="str">
        <f>INDEX(Table2[HOME_RECORD], MATCH(Table1[[#This Row],[HomeTeam]],Table2[Team], 0), 0)</f>
        <v>1-0-0</v>
      </c>
      <c r="AQ1067" s="64" t="str">
        <f>INDEX(Records!$B$2:$AG$33, MATCH(Table1[[#This Row],[HomeTeam]],Records!$A$2:$A$33, 0), MATCH(Table1[[#This Row],[AwayTeam]],Records!$A$2:$A$33, 0))</f>
        <v>0-0-0</v>
      </c>
    </row>
    <row r="1068" spans="1:43" x14ac:dyDescent="0.25">
      <c r="A1068" s="1"/>
      <c r="D1068" t="s">
        <v>1400</v>
      </c>
      <c r="E1068" t="s">
        <v>178</v>
      </c>
      <c r="F1068" t="s">
        <v>1405</v>
      </c>
      <c r="G1068" t="s">
        <v>16</v>
      </c>
      <c r="H1068" t="s">
        <v>39</v>
      </c>
      <c r="L106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6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68" s="1"/>
      <c r="T1068" s="64" t="str">
        <f>IF(Table1[[#This Row],[ActualWinner]]="", "", IF(Table1[[#This Row],[AwayTeam]]=Table1[[#This Row],[ActualWinner]],Table1[[#This Row],[HomeTeam]],Table1[[#This Row],[AwayTeam]]))</f>
        <v/>
      </c>
      <c r="U1068" s="64">
        <f>Table1[[#This Row],[ActualAwayScore]]-Table1[[#This Row],[PredictedAwayScore]]</f>
        <v>0</v>
      </c>
      <c r="V1068" s="64">
        <f>Table1[[#This Row],[ActualHomeScore]]-Table1[[#This Row],[PredictedHomeScore]]</f>
        <v>0</v>
      </c>
      <c r="W1068" s="64">
        <f>(0.8*IF(Table1[[#This Row],[CorrectWinnerPrediction]]=1, 1, 0))+(0.1*IF(Table1[[#This Row],[CorrectAwayScorePrediction]]=1, 1, 0))+(0.1*IF(Table1[[#This Row],[CorrectHomeScorePrediction]]=1, 1, 0))</f>
        <v>0</v>
      </c>
      <c r="X106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68" s="64">
        <f>SUMIF(Table1[GameDate], Table1[[#This Row],[GameDate]], Table1[AwayGameGoalDiff])</f>
        <v>0</v>
      </c>
      <c r="AA1068" s="64">
        <f>SUMIF(Table1[GameDate], Table1[[#This Row],[GameDate]], Table1[HomeGameGoalDiff])</f>
        <v>0</v>
      </c>
      <c r="AB1068" s="64">
        <f>IF(ISBLANK(Table1[[#This Row],[ActualResult]]), 0, 1)</f>
        <v>0</v>
      </c>
      <c r="AC1068" s="64">
        <f>IF(ISBLANK(Table1[[#This Row],[ActualResult]]), 0, IF(Table1[[#This Row],[ActualWinner]]=Table1[[#This Row],[PredictedWinner]], 1, 0))</f>
        <v>0</v>
      </c>
      <c r="AD106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6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68" s="64">
        <f>IF(AND(Table1[[#This Row],[GameIsOver]]=1,Table1[[#This Row],[ActualAwayScore]]=0), 1,0)</f>
        <v>0</v>
      </c>
      <c r="AG1068" s="64">
        <f>IF(AND(Table1[[#This Row],[GameIsOver]]=1,Table1[[#This Row],[ActualHomeScore]]=0), 1,0)</f>
        <v>0</v>
      </c>
      <c r="AH1068" s="64">
        <f>IF(Table1[[#This Row],[GameIsOver]]=0,0,IF(Table1[[#This Row],[ActualWinner]]=Table1[[#This Row],[AwayTeam]], 1, 0))</f>
        <v>0</v>
      </c>
      <c r="AI1068" s="64">
        <f>IF(Table1[[#This Row],[GameIsOver]]=0,0,IF(Table1[[#This Row],[ActualWinner]]=Table1[[#This Row],[HomeTeam]], 1, 0))</f>
        <v>0</v>
      </c>
      <c r="AJ1068" s="64">
        <f>IF(INDEX(Standings!$A$2:$C$33,MATCH(Table1[[#This Row],[AwayTeam]],Standings!$A$2:$A$33,0),2)=INDEX(Standings!$A$2:$C$33,MATCH(Table1[[#This Row],[HomeTeam]],Standings!$A$2:$A$33,0),2),1,0)</f>
        <v>1</v>
      </c>
      <c r="AK1068" s="64">
        <f>IF(INDEX(Standings!$A$2:$C$33,MATCH(Table1[[#This Row],[AwayTeam]],Standings!$A$2:$A$33,0),3)=INDEX(Standings!$A$2:$C$33,MATCH(Table1[[#This Row],[HomeTeam]],Standings!$A$2:$A$33,0),3),1,0)</f>
        <v>0</v>
      </c>
      <c r="AL1068" s="64">
        <f>IF(Table1[[#This Row],[InterConf]]=1,IF(Table1[[#This Row],[InterDiv]]=0, 1, 0), 0)</f>
        <v>1</v>
      </c>
      <c r="AM1068" s="64">
        <f>IF(INDEX(Standings!$A$2:$C$33,MATCH(Table1[[#This Row],[AwayTeam]],Standings!$A$2:$A$33,0),2)&lt;&gt;INDEX(Standings!$A$2:$C$33,MATCH(Table1[[#This Row],[HomeTeam]],Standings!$A$2:$A$33,0),2),1,0)</f>
        <v>0</v>
      </c>
      <c r="AN1068" s="64" t="str">
        <f>INDEX(Table2[AWAY_RECORD], MATCH(Table1[[#This Row],[AwayTeam]],Table2[Team], 0), 0)</f>
        <v>1-0-1</v>
      </c>
      <c r="AO1068" s="64" t="str">
        <f>INDEX(Records!$B$2:$AG$33, MATCH(Table1[[#This Row],[AwayTeam]],Records!$A$2:$A$33, 0), MATCH(Table1[[#This Row],[HomeTeam]],Records!$A$2:$A$33, 0))</f>
        <v>0-0-0</v>
      </c>
      <c r="AP1068" s="64" t="str">
        <f>INDEX(Table2[HOME_RECORD], MATCH(Table1[[#This Row],[HomeTeam]],Table2[Team], 0), 0)</f>
        <v>0-1-0</v>
      </c>
      <c r="AQ1068" s="64" t="str">
        <f>INDEX(Records!$B$2:$AG$33, MATCH(Table1[[#This Row],[HomeTeam]],Records!$A$2:$A$33, 0), MATCH(Table1[[#This Row],[AwayTeam]],Records!$A$2:$A$33, 0))</f>
        <v>0-0-0</v>
      </c>
    </row>
    <row r="1069" spans="1:43" x14ac:dyDescent="0.25">
      <c r="A1069" s="1"/>
      <c r="D1069" t="s">
        <v>1406</v>
      </c>
      <c r="E1069" t="s">
        <v>298</v>
      </c>
      <c r="F1069" t="s">
        <v>1407</v>
      </c>
      <c r="G1069" t="s">
        <v>57</v>
      </c>
      <c r="H1069" t="s">
        <v>36</v>
      </c>
      <c r="L106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6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69" s="1"/>
      <c r="T1069" s="64" t="str">
        <f>IF(Table1[[#This Row],[ActualWinner]]="", "", IF(Table1[[#This Row],[AwayTeam]]=Table1[[#This Row],[ActualWinner]],Table1[[#This Row],[HomeTeam]],Table1[[#This Row],[AwayTeam]]))</f>
        <v/>
      </c>
      <c r="U1069" s="64">
        <f>Table1[[#This Row],[ActualAwayScore]]-Table1[[#This Row],[PredictedAwayScore]]</f>
        <v>0</v>
      </c>
      <c r="V1069" s="64">
        <f>Table1[[#This Row],[ActualHomeScore]]-Table1[[#This Row],[PredictedHomeScore]]</f>
        <v>0</v>
      </c>
      <c r="W1069" s="64">
        <f>(0.8*IF(Table1[[#This Row],[CorrectWinnerPrediction]]=1, 1, 0))+(0.1*IF(Table1[[#This Row],[CorrectAwayScorePrediction]]=1, 1, 0))+(0.1*IF(Table1[[#This Row],[CorrectHomeScorePrediction]]=1, 1, 0))</f>
        <v>0</v>
      </c>
      <c r="X106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69" s="64">
        <f>SUMIF(Table1[GameDate], Table1[[#This Row],[GameDate]], Table1[AwayGameGoalDiff])</f>
        <v>0</v>
      </c>
      <c r="AA1069" s="64">
        <f>SUMIF(Table1[GameDate], Table1[[#This Row],[GameDate]], Table1[HomeGameGoalDiff])</f>
        <v>0</v>
      </c>
      <c r="AB1069" s="64">
        <f>IF(ISBLANK(Table1[[#This Row],[ActualResult]]), 0, 1)</f>
        <v>0</v>
      </c>
      <c r="AC1069" s="64">
        <f>IF(ISBLANK(Table1[[#This Row],[ActualResult]]), 0, IF(Table1[[#This Row],[ActualWinner]]=Table1[[#This Row],[PredictedWinner]], 1, 0))</f>
        <v>0</v>
      </c>
      <c r="AD106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6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69" s="64">
        <f>IF(AND(Table1[[#This Row],[GameIsOver]]=1,Table1[[#This Row],[ActualAwayScore]]=0), 1,0)</f>
        <v>0</v>
      </c>
      <c r="AG1069" s="64">
        <f>IF(AND(Table1[[#This Row],[GameIsOver]]=1,Table1[[#This Row],[ActualHomeScore]]=0), 1,0)</f>
        <v>0</v>
      </c>
      <c r="AH1069" s="64">
        <f>IF(Table1[[#This Row],[GameIsOver]]=0,0,IF(Table1[[#This Row],[ActualWinner]]=Table1[[#This Row],[AwayTeam]], 1, 0))</f>
        <v>0</v>
      </c>
      <c r="AI1069" s="64">
        <f>IF(Table1[[#This Row],[GameIsOver]]=0,0,IF(Table1[[#This Row],[ActualWinner]]=Table1[[#This Row],[HomeTeam]], 1, 0))</f>
        <v>0</v>
      </c>
      <c r="AJ1069" s="64">
        <f>IF(INDEX(Standings!$A$2:$C$33,MATCH(Table1[[#This Row],[AwayTeam]],Standings!$A$2:$A$33,0),2)=INDEX(Standings!$A$2:$C$33,MATCH(Table1[[#This Row],[HomeTeam]],Standings!$A$2:$A$33,0),2),1,0)</f>
        <v>0</v>
      </c>
      <c r="AK1069" s="64">
        <f>IF(INDEX(Standings!$A$2:$C$33,MATCH(Table1[[#This Row],[AwayTeam]],Standings!$A$2:$A$33,0),3)=INDEX(Standings!$A$2:$C$33,MATCH(Table1[[#This Row],[HomeTeam]],Standings!$A$2:$A$33,0),3),1,0)</f>
        <v>0</v>
      </c>
      <c r="AL1069" s="64">
        <f>IF(Table1[[#This Row],[InterConf]]=1,IF(Table1[[#This Row],[InterDiv]]=0, 1, 0), 0)</f>
        <v>0</v>
      </c>
      <c r="AM1069" s="64">
        <f>IF(INDEX(Standings!$A$2:$C$33,MATCH(Table1[[#This Row],[AwayTeam]],Standings!$A$2:$A$33,0),2)&lt;&gt;INDEX(Standings!$A$2:$C$33,MATCH(Table1[[#This Row],[HomeTeam]],Standings!$A$2:$A$33,0),2),1,0)</f>
        <v>1</v>
      </c>
      <c r="AN1069" s="64" t="str">
        <f>INDEX(Table2[AWAY_RECORD], MATCH(Table1[[#This Row],[AwayTeam]],Table2[Team], 0), 0)</f>
        <v>0-1-0</v>
      </c>
      <c r="AO1069" s="64" t="str">
        <f>INDEX(Records!$B$2:$AG$33, MATCH(Table1[[#This Row],[AwayTeam]],Records!$A$2:$A$33, 0), MATCH(Table1[[#This Row],[HomeTeam]],Records!$A$2:$A$33, 0))</f>
        <v>0-0-0</v>
      </c>
      <c r="AP1069" s="64" t="str">
        <f>INDEX(Table2[HOME_RECORD], MATCH(Table1[[#This Row],[HomeTeam]],Table2[Team], 0), 0)</f>
        <v>0-0-0</v>
      </c>
      <c r="AQ1069" s="64" t="str">
        <f>INDEX(Records!$B$2:$AG$33, MATCH(Table1[[#This Row],[HomeTeam]],Records!$A$2:$A$33, 0), MATCH(Table1[[#This Row],[AwayTeam]],Records!$A$2:$A$33, 0))</f>
        <v>0-0-0</v>
      </c>
    </row>
    <row r="1070" spans="1:43" x14ac:dyDescent="0.25">
      <c r="A1070" s="1"/>
      <c r="D1070" t="s">
        <v>1406</v>
      </c>
      <c r="E1070" t="s">
        <v>298</v>
      </c>
      <c r="F1070" t="s">
        <v>1408</v>
      </c>
      <c r="G1070" t="s">
        <v>42</v>
      </c>
      <c r="H1070" t="s">
        <v>46</v>
      </c>
      <c r="L107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7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70" s="1"/>
      <c r="T1070" s="64" t="str">
        <f>IF(Table1[[#This Row],[ActualWinner]]="", "", IF(Table1[[#This Row],[AwayTeam]]=Table1[[#This Row],[ActualWinner]],Table1[[#This Row],[HomeTeam]],Table1[[#This Row],[AwayTeam]]))</f>
        <v/>
      </c>
      <c r="U1070" s="64">
        <f>Table1[[#This Row],[ActualAwayScore]]-Table1[[#This Row],[PredictedAwayScore]]</f>
        <v>0</v>
      </c>
      <c r="V1070" s="64">
        <f>Table1[[#This Row],[ActualHomeScore]]-Table1[[#This Row],[PredictedHomeScore]]</f>
        <v>0</v>
      </c>
      <c r="W1070" s="64">
        <f>(0.8*IF(Table1[[#This Row],[CorrectWinnerPrediction]]=1, 1, 0))+(0.1*IF(Table1[[#This Row],[CorrectAwayScorePrediction]]=1, 1, 0))+(0.1*IF(Table1[[#This Row],[CorrectHomeScorePrediction]]=1, 1, 0))</f>
        <v>0</v>
      </c>
      <c r="X107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70" s="64">
        <f>SUMIF(Table1[GameDate], Table1[[#This Row],[GameDate]], Table1[AwayGameGoalDiff])</f>
        <v>0</v>
      </c>
      <c r="AA1070" s="64">
        <f>SUMIF(Table1[GameDate], Table1[[#This Row],[GameDate]], Table1[HomeGameGoalDiff])</f>
        <v>0</v>
      </c>
      <c r="AB1070" s="64">
        <f>IF(ISBLANK(Table1[[#This Row],[ActualResult]]), 0, 1)</f>
        <v>0</v>
      </c>
      <c r="AC1070" s="64">
        <f>IF(ISBLANK(Table1[[#This Row],[ActualResult]]), 0, IF(Table1[[#This Row],[ActualWinner]]=Table1[[#This Row],[PredictedWinner]], 1, 0))</f>
        <v>0</v>
      </c>
      <c r="AD107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7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70" s="64">
        <f>IF(AND(Table1[[#This Row],[GameIsOver]]=1,Table1[[#This Row],[ActualAwayScore]]=0), 1,0)</f>
        <v>0</v>
      </c>
      <c r="AG1070" s="64">
        <f>IF(AND(Table1[[#This Row],[GameIsOver]]=1,Table1[[#This Row],[ActualHomeScore]]=0), 1,0)</f>
        <v>0</v>
      </c>
      <c r="AH1070" s="64">
        <f>IF(Table1[[#This Row],[GameIsOver]]=0,0,IF(Table1[[#This Row],[ActualWinner]]=Table1[[#This Row],[AwayTeam]], 1, 0))</f>
        <v>0</v>
      </c>
      <c r="AI1070" s="64">
        <f>IF(Table1[[#This Row],[GameIsOver]]=0,0,IF(Table1[[#This Row],[ActualWinner]]=Table1[[#This Row],[HomeTeam]], 1, 0))</f>
        <v>0</v>
      </c>
      <c r="AJ1070" s="64">
        <f>IF(INDEX(Standings!$A$2:$C$33,MATCH(Table1[[#This Row],[AwayTeam]],Standings!$A$2:$A$33,0),2)=INDEX(Standings!$A$2:$C$33,MATCH(Table1[[#This Row],[HomeTeam]],Standings!$A$2:$A$33,0),2),1,0)</f>
        <v>0</v>
      </c>
      <c r="AK1070" s="64">
        <f>IF(INDEX(Standings!$A$2:$C$33,MATCH(Table1[[#This Row],[AwayTeam]],Standings!$A$2:$A$33,0),3)=INDEX(Standings!$A$2:$C$33,MATCH(Table1[[#This Row],[HomeTeam]],Standings!$A$2:$A$33,0),3),1,0)</f>
        <v>0</v>
      </c>
      <c r="AL1070" s="64">
        <f>IF(Table1[[#This Row],[InterConf]]=1,IF(Table1[[#This Row],[InterDiv]]=0, 1, 0), 0)</f>
        <v>0</v>
      </c>
      <c r="AM1070" s="64">
        <f>IF(INDEX(Standings!$A$2:$C$33,MATCH(Table1[[#This Row],[AwayTeam]],Standings!$A$2:$A$33,0),2)&lt;&gt;INDEX(Standings!$A$2:$C$33,MATCH(Table1[[#This Row],[HomeTeam]],Standings!$A$2:$A$33,0),2),1,0)</f>
        <v>1</v>
      </c>
      <c r="AN1070" s="64" t="str">
        <f>INDEX(Table2[AWAY_RECORD], MATCH(Table1[[#This Row],[AwayTeam]],Table2[Team], 0), 0)</f>
        <v>0-0-0</v>
      </c>
      <c r="AO1070" s="64" t="str">
        <f>INDEX(Records!$B$2:$AG$33, MATCH(Table1[[#This Row],[AwayTeam]],Records!$A$2:$A$33, 0), MATCH(Table1[[#This Row],[HomeTeam]],Records!$A$2:$A$33, 0))</f>
        <v>0-0-0</v>
      </c>
      <c r="AP1070" s="64" t="str">
        <f>INDEX(Table2[HOME_RECORD], MATCH(Table1[[#This Row],[HomeTeam]],Table2[Team], 0), 0)</f>
        <v>0-0-0</v>
      </c>
      <c r="AQ1070" s="64" t="str">
        <f>INDEX(Records!$B$2:$AG$33, MATCH(Table1[[#This Row],[HomeTeam]],Records!$A$2:$A$33, 0), MATCH(Table1[[#This Row],[AwayTeam]],Records!$A$2:$A$33, 0))</f>
        <v>0-0-0</v>
      </c>
    </row>
    <row r="1071" spans="1:43" x14ac:dyDescent="0.25">
      <c r="A1071" s="1"/>
      <c r="D1071" t="s">
        <v>1406</v>
      </c>
      <c r="E1071" t="s">
        <v>298</v>
      </c>
      <c r="F1071" t="s">
        <v>1409</v>
      </c>
      <c r="G1071" t="s">
        <v>41</v>
      </c>
      <c r="H1071" t="s">
        <v>55</v>
      </c>
      <c r="L107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7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71" s="1"/>
      <c r="T1071" s="64" t="str">
        <f>IF(Table1[[#This Row],[ActualWinner]]="", "", IF(Table1[[#This Row],[AwayTeam]]=Table1[[#This Row],[ActualWinner]],Table1[[#This Row],[HomeTeam]],Table1[[#This Row],[AwayTeam]]))</f>
        <v/>
      </c>
      <c r="U1071" s="64">
        <f>Table1[[#This Row],[ActualAwayScore]]-Table1[[#This Row],[PredictedAwayScore]]</f>
        <v>0</v>
      </c>
      <c r="V1071" s="64">
        <f>Table1[[#This Row],[ActualHomeScore]]-Table1[[#This Row],[PredictedHomeScore]]</f>
        <v>0</v>
      </c>
      <c r="W1071" s="64">
        <f>(0.8*IF(Table1[[#This Row],[CorrectWinnerPrediction]]=1, 1, 0))+(0.1*IF(Table1[[#This Row],[CorrectAwayScorePrediction]]=1, 1, 0))+(0.1*IF(Table1[[#This Row],[CorrectHomeScorePrediction]]=1, 1, 0))</f>
        <v>0</v>
      </c>
      <c r="X107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71" s="64">
        <f>SUMIF(Table1[GameDate], Table1[[#This Row],[GameDate]], Table1[AwayGameGoalDiff])</f>
        <v>0</v>
      </c>
      <c r="AA1071" s="64">
        <f>SUMIF(Table1[GameDate], Table1[[#This Row],[GameDate]], Table1[HomeGameGoalDiff])</f>
        <v>0</v>
      </c>
      <c r="AB1071" s="64">
        <f>IF(ISBLANK(Table1[[#This Row],[ActualResult]]), 0, 1)</f>
        <v>0</v>
      </c>
      <c r="AC1071" s="64">
        <f>IF(ISBLANK(Table1[[#This Row],[ActualResult]]), 0, IF(Table1[[#This Row],[ActualWinner]]=Table1[[#This Row],[PredictedWinner]], 1, 0))</f>
        <v>0</v>
      </c>
      <c r="AD107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7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71" s="64">
        <f>IF(AND(Table1[[#This Row],[GameIsOver]]=1,Table1[[#This Row],[ActualAwayScore]]=0), 1,0)</f>
        <v>0</v>
      </c>
      <c r="AG1071" s="64">
        <f>IF(AND(Table1[[#This Row],[GameIsOver]]=1,Table1[[#This Row],[ActualHomeScore]]=0), 1,0)</f>
        <v>0</v>
      </c>
      <c r="AH1071" s="64">
        <f>IF(Table1[[#This Row],[GameIsOver]]=0,0,IF(Table1[[#This Row],[ActualWinner]]=Table1[[#This Row],[AwayTeam]], 1, 0))</f>
        <v>0</v>
      </c>
      <c r="AI1071" s="64">
        <f>IF(Table1[[#This Row],[GameIsOver]]=0,0,IF(Table1[[#This Row],[ActualWinner]]=Table1[[#This Row],[HomeTeam]], 1, 0))</f>
        <v>0</v>
      </c>
      <c r="AJ1071" s="64">
        <f>IF(INDEX(Standings!$A$2:$C$33,MATCH(Table1[[#This Row],[AwayTeam]],Standings!$A$2:$A$33,0),2)=INDEX(Standings!$A$2:$C$33,MATCH(Table1[[#This Row],[HomeTeam]],Standings!$A$2:$A$33,0),2),1,0)</f>
        <v>1</v>
      </c>
      <c r="AK1071" s="64">
        <f>IF(INDEX(Standings!$A$2:$C$33,MATCH(Table1[[#This Row],[AwayTeam]],Standings!$A$2:$A$33,0),3)=INDEX(Standings!$A$2:$C$33,MATCH(Table1[[#This Row],[HomeTeam]],Standings!$A$2:$A$33,0),3),1,0)</f>
        <v>0</v>
      </c>
      <c r="AL1071" s="64">
        <f>IF(Table1[[#This Row],[InterConf]]=1,IF(Table1[[#This Row],[InterDiv]]=0, 1, 0), 0)</f>
        <v>1</v>
      </c>
      <c r="AM1071" s="64">
        <f>IF(INDEX(Standings!$A$2:$C$33,MATCH(Table1[[#This Row],[AwayTeam]],Standings!$A$2:$A$33,0),2)&lt;&gt;INDEX(Standings!$A$2:$C$33,MATCH(Table1[[#This Row],[HomeTeam]],Standings!$A$2:$A$33,0),2),1,0)</f>
        <v>0</v>
      </c>
      <c r="AN1071" s="64" t="str">
        <f>INDEX(Table2[AWAY_RECORD], MATCH(Table1[[#This Row],[AwayTeam]],Table2[Team], 0), 0)</f>
        <v>0-0-0</v>
      </c>
      <c r="AO1071" s="64" t="str">
        <f>INDEX(Records!$B$2:$AG$33, MATCH(Table1[[#This Row],[AwayTeam]],Records!$A$2:$A$33, 0), MATCH(Table1[[#This Row],[HomeTeam]],Records!$A$2:$A$33, 0))</f>
        <v>0-0-0</v>
      </c>
      <c r="AP1071" s="64" t="str">
        <f>INDEX(Table2[HOME_RECORD], MATCH(Table1[[#This Row],[HomeTeam]],Table2[Team], 0), 0)</f>
        <v>0-1-0</v>
      </c>
      <c r="AQ1071" s="64" t="str">
        <f>INDEX(Records!$B$2:$AG$33, MATCH(Table1[[#This Row],[HomeTeam]],Records!$A$2:$A$33, 0), MATCH(Table1[[#This Row],[AwayTeam]],Records!$A$2:$A$33, 0))</f>
        <v>0-0-0</v>
      </c>
    </row>
    <row r="1072" spans="1:43" x14ac:dyDescent="0.25">
      <c r="A1072" s="1"/>
      <c r="D1072" t="s">
        <v>1406</v>
      </c>
      <c r="E1072" t="s">
        <v>205</v>
      </c>
      <c r="F1072" t="s">
        <v>1410</v>
      </c>
      <c r="G1072" t="s">
        <v>54</v>
      </c>
      <c r="H1072" t="s">
        <v>37</v>
      </c>
      <c r="L107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7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72" s="1"/>
      <c r="T1072" s="64" t="str">
        <f>IF(Table1[[#This Row],[ActualWinner]]="", "", IF(Table1[[#This Row],[AwayTeam]]=Table1[[#This Row],[ActualWinner]],Table1[[#This Row],[HomeTeam]],Table1[[#This Row],[AwayTeam]]))</f>
        <v/>
      </c>
      <c r="U1072" s="64">
        <f>Table1[[#This Row],[ActualAwayScore]]-Table1[[#This Row],[PredictedAwayScore]]</f>
        <v>0</v>
      </c>
      <c r="V1072" s="64">
        <f>Table1[[#This Row],[ActualHomeScore]]-Table1[[#This Row],[PredictedHomeScore]]</f>
        <v>0</v>
      </c>
      <c r="W1072" s="64">
        <f>(0.8*IF(Table1[[#This Row],[CorrectWinnerPrediction]]=1, 1, 0))+(0.1*IF(Table1[[#This Row],[CorrectAwayScorePrediction]]=1, 1, 0))+(0.1*IF(Table1[[#This Row],[CorrectHomeScorePrediction]]=1, 1, 0))</f>
        <v>0</v>
      </c>
      <c r="X107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72" s="64">
        <f>SUMIF(Table1[GameDate], Table1[[#This Row],[GameDate]], Table1[AwayGameGoalDiff])</f>
        <v>0</v>
      </c>
      <c r="AA1072" s="64">
        <f>SUMIF(Table1[GameDate], Table1[[#This Row],[GameDate]], Table1[HomeGameGoalDiff])</f>
        <v>0</v>
      </c>
      <c r="AB1072" s="64">
        <f>IF(ISBLANK(Table1[[#This Row],[ActualResult]]), 0, 1)</f>
        <v>0</v>
      </c>
      <c r="AC1072" s="64">
        <f>IF(ISBLANK(Table1[[#This Row],[ActualResult]]), 0, IF(Table1[[#This Row],[ActualWinner]]=Table1[[#This Row],[PredictedWinner]], 1, 0))</f>
        <v>0</v>
      </c>
      <c r="AD107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7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72" s="64">
        <f>IF(AND(Table1[[#This Row],[GameIsOver]]=1,Table1[[#This Row],[ActualAwayScore]]=0), 1,0)</f>
        <v>0</v>
      </c>
      <c r="AG1072" s="64">
        <f>IF(AND(Table1[[#This Row],[GameIsOver]]=1,Table1[[#This Row],[ActualHomeScore]]=0), 1,0)</f>
        <v>0</v>
      </c>
      <c r="AH1072" s="64">
        <f>IF(Table1[[#This Row],[GameIsOver]]=0,0,IF(Table1[[#This Row],[ActualWinner]]=Table1[[#This Row],[AwayTeam]], 1, 0))</f>
        <v>0</v>
      </c>
      <c r="AI1072" s="64">
        <f>IF(Table1[[#This Row],[GameIsOver]]=0,0,IF(Table1[[#This Row],[ActualWinner]]=Table1[[#This Row],[HomeTeam]], 1, 0))</f>
        <v>0</v>
      </c>
      <c r="AJ1072" s="64">
        <f>IF(INDEX(Standings!$A$2:$C$33,MATCH(Table1[[#This Row],[AwayTeam]],Standings!$A$2:$A$33,0),2)=INDEX(Standings!$A$2:$C$33,MATCH(Table1[[#This Row],[HomeTeam]],Standings!$A$2:$A$33,0),2),1,0)</f>
        <v>1</v>
      </c>
      <c r="AK1072" s="64">
        <f>IF(INDEX(Standings!$A$2:$C$33,MATCH(Table1[[#This Row],[AwayTeam]],Standings!$A$2:$A$33,0),3)=INDEX(Standings!$A$2:$C$33,MATCH(Table1[[#This Row],[HomeTeam]],Standings!$A$2:$A$33,0),3),1,0)</f>
        <v>0</v>
      </c>
      <c r="AL1072" s="64">
        <f>IF(Table1[[#This Row],[InterConf]]=1,IF(Table1[[#This Row],[InterDiv]]=0, 1, 0), 0)</f>
        <v>1</v>
      </c>
      <c r="AM1072" s="64">
        <f>IF(INDEX(Standings!$A$2:$C$33,MATCH(Table1[[#This Row],[AwayTeam]],Standings!$A$2:$A$33,0),2)&lt;&gt;INDEX(Standings!$A$2:$C$33,MATCH(Table1[[#This Row],[HomeTeam]],Standings!$A$2:$A$33,0),2),1,0)</f>
        <v>0</v>
      </c>
      <c r="AN1072" s="64" t="str">
        <f>INDEX(Table2[AWAY_RECORD], MATCH(Table1[[#This Row],[AwayTeam]],Table2[Team], 0), 0)</f>
        <v>0-0-1</v>
      </c>
      <c r="AO1072" s="64" t="str">
        <f>INDEX(Records!$B$2:$AG$33, MATCH(Table1[[#This Row],[AwayTeam]],Records!$A$2:$A$33, 0), MATCH(Table1[[#This Row],[HomeTeam]],Records!$A$2:$A$33, 0))</f>
        <v>0-0-0</v>
      </c>
      <c r="AP1072" s="64" t="str">
        <f>INDEX(Table2[HOME_RECORD], MATCH(Table1[[#This Row],[HomeTeam]],Table2[Team], 0), 0)</f>
        <v>0-1-0</v>
      </c>
      <c r="AQ1072" s="64" t="str">
        <f>INDEX(Records!$B$2:$AG$33, MATCH(Table1[[#This Row],[HomeTeam]],Records!$A$2:$A$33, 0), MATCH(Table1[[#This Row],[AwayTeam]],Records!$A$2:$A$33, 0))</f>
        <v>0-0-0</v>
      </c>
    </row>
    <row r="1073" spans="1:43" x14ac:dyDescent="0.25">
      <c r="A1073" s="1"/>
      <c r="D1073" t="s">
        <v>1406</v>
      </c>
      <c r="E1073" t="s">
        <v>252</v>
      </c>
      <c r="F1073" t="s">
        <v>1411</v>
      </c>
      <c r="G1073" t="s">
        <v>51</v>
      </c>
      <c r="H1073" t="s">
        <v>38</v>
      </c>
      <c r="L107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7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73" s="1"/>
      <c r="T1073" s="64" t="str">
        <f>IF(Table1[[#This Row],[ActualWinner]]="", "", IF(Table1[[#This Row],[AwayTeam]]=Table1[[#This Row],[ActualWinner]],Table1[[#This Row],[HomeTeam]],Table1[[#This Row],[AwayTeam]]))</f>
        <v/>
      </c>
      <c r="U1073" s="64">
        <f>Table1[[#This Row],[ActualAwayScore]]-Table1[[#This Row],[PredictedAwayScore]]</f>
        <v>0</v>
      </c>
      <c r="V1073" s="64">
        <f>Table1[[#This Row],[ActualHomeScore]]-Table1[[#This Row],[PredictedHomeScore]]</f>
        <v>0</v>
      </c>
      <c r="W1073" s="64">
        <f>(0.8*IF(Table1[[#This Row],[CorrectWinnerPrediction]]=1, 1, 0))+(0.1*IF(Table1[[#This Row],[CorrectAwayScorePrediction]]=1, 1, 0))+(0.1*IF(Table1[[#This Row],[CorrectHomeScorePrediction]]=1, 1, 0))</f>
        <v>0</v>
      </c>
      <c r="X107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73" s="64">
        <f>SUMIF(Table1[GameDate], Table1[[#This Row],[GameDate]], Table1[AwayGameGoalDiff])</f>
        <v>0</v>
      </c>
      <c r="AA1073" s="64">
        <f>SUMIF(Table1[GameDate], Table1[[#This Row],[GameDate]], Table1[HomeGameGoalDiff])</f>
        <v>0</v>
      </c>
      <c r="AB1073" s="64">
        <f>IF(ISBLANK(Table1[[#This Row],[ActualResult]]), 0, 1)</f>
        <v>0</v>
      </c>
      <c r="AC1073" s="64">
        <f>IF(ISBLANK(Table1[[#This Row],[ActualResult]]), 0, IF(Table1[[#This Row],[ActualWinner]]=Table1[[#This Row],[PredictedWinner]], 1, 0))</f>
        <v>0</v>
      </c>
      <c r="AD107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7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73" s="64">
        <f>IF(AND(Table1[[#This Row],[GameIsOver]]=1,Table1[[#This Row],[ActualAwayScore]]=0), 1,0)</f>
        <v>0</v>
      </c>
      <c r="AG1073" s="64">
        <f>IF(AND(Table1[[#This Row],[GameIsOver]]=1,Table1[[#This Row],[ActualHomeScore]]=0), 1,0)</f>
        <v>0</v>
      </c>
      <c r="AH1073" s="64">
        <f>IF(Table1[[#This Row],[GameIsOver]]=0,0,IF(Table1[[#This Row],[ActualWinner]]=Table1[[#This Row],[AwayTeam]], 1, 0))</f>
        <v>0</v>
      </c>
      <c r="AI1073" s="64">
        <f>IF(Table1[[#This Row],[GameIsOver]]=0,0,IF(Table1[[#This Row],[ActualWinner]]=Table1[[#This Row],[HomeTeam]], 1, 0))</f>
        <v>0</v>
      </c>
      <c r="AJ1073" s="64">
        <f>IF(INDEX(Standings!$A$2:$C$33,MATCH(Table1[[#This Row],[AwayTeam]],Standings!$A$2:$A$33,0),2)=INDEX(Standings!$A$2:$C$33,MATCH(Table1[[#This Row],[HomeTeam]],Standings!$A$2:$A$33,0),2),1,0)</f>
        <v>1</v>
      </c>
      <c r="AK1073" s="64">
        <f>IF(INDEX(Standings!$A$2:$C$33,MATCH(Table1[[#This Row],[AwayTeam]],Standings!$A$2:$A$33,0),3)=INDEX(Standings!$A$2:$C$33,MATCH(Table1[[#This Row],[HomeTeam]],Standings!$A$2:$A$33,0),3),1,0)</f>
        <v>0</v>
      </c>
      <c r="AL1073" s="64">
        <f>IF(Table1[[#This Row],[InterConf]]=1,IF(Table1[[#This Row],[InterDiv]]=0, 1, 0), 0)</f>
        <v>1</v>
      </c>
      <c r="AM1073" s="64">
        <f>IF(INDEX(Standings!$A$2:$C$33,MATCH(Table1[[#This Row],[AwayTeam]],Standings!$A$2:$A$33,0),2)&lt;&gt;INDEX(Standings!$A$2:$C$33,MATCH(Table1[[#This Row],[HomeTeam]],Standings!$A$2:$A$33,0),2),1,0)</f>
        <v>0</v>
      </c>
      <c r="AN1073" s="64" t="str">
        <f>INDEX(Table2[AWAY_RECORD], MATCH(Table1[[#This Row],[AwayTeam]],Table2[Team], 0), 0)</f>
        <v>2-0-0</v>
      </c>
      <c r="AO1073" s="64" t="str">
        <f>INDEX(Records!$B$2:$AG$33, MATCH(Table1[[#This Row],[AwayTeam]],Records!$A$2:$A$33, 0), MATCH(Table1[[#This Row],[HomeTeam]],Records!$A$2:$A$33, 0))</f>
        <v>0-0-0</v>
      </c>
      <c r="AP1073" s="64" t="str">
        <f>INDEX(Table2[HOME_RECORD], MATCH(Table1[[#This Row],[HomeTeam]],Table2[Team], 0), 0)</f>
        <v>0-0-0</v>
      </c>
      <c r="AQ1073" s="64" t="str">
        <f>INDEX(Records!$B$2:$AG$33, MATCH(Table1[[#This Row],[HomeTeam]],Records!$A$2:$A$33, 0), MATCH(Table1[[#This Row],[AwayTeam]],Records!$A$2:$A$33, 0))</f>
        <v>0-0-0</v>
      </c>
    </row>
    <row r="1074" spans="1:43" x14ac:dyDescent="0.25">
      <c r="A1074" s="1"/>
      <c r="D1074" t="s">
        <v>1406</v>
      </c>
      <c r="E1074" t="s">
        <v>443</v>
      </c>
      <c r="F1074" t="s">
        <v>1412</v>
      </c>
      <c r="G1074" t="s">
        <v>56</v>
      </c>
      <c r="H1074" t="s">
        <v>52</v>
      </c>
      <c r="L107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7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74" s="1"/>
      <c r="T1074" s="64" t="str">
        <f>IF(Table1[[#This Row],[ActualWinner]]="", "", IF(Table1[[#This Row],[AwayTeam]]=Table1[[#This Row],[ActualWinner]],Table1[[#This Row],[HomeTeam]],Table1[[#This Row],[AwayTeam]]))</f>
        <v/>
      </c>
      <c r="U1074" s="64">
        <f>Table1[[#This Row],[ActualAwayScore]]-Table1[[#This Row],[PredictedAwayScore]]</f>
        <v>0</v>
      </c>
      <c r="V1074" s="64">
        <f>Table1[[#This Row],[ActualHomeScore]]-Table1[[#This Row],[PredictedHomeScore]]</f>
        <v>0</v>
      </c>
      <c r="W1074" s="64">
        <f>(0.8*IF(Table1[[#This Row],[CorrectWinnerPrediction]]=1, 1, 0))+(0.1*IF(Table1[[#This Row],[CorrectAwayScorePrediction]]=1, 1, 0))+(0.1*IF(Table1[[#This Row],[CorrectHomeScorePrediction]]=1, 1, 0))</f>
        <v>0</v>
      </c>
      <c r="X107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74" s="64">
        <f>SUMIF(Table1[GameDate], Table1[[#This Row],[GameDate]], Table1[AwayGameGoalDiff])</f>
        <v>0</v>
      </c>
      <c r="AA1074" s="64">
        <f>SUMIF(Table1[GameDate], Table1[[#This Row],[GameDate]], Table1[HomeGameGoalDiff])</f>
        <v>0</v>
      </c>
      <c r="AB1074" s="64">
        <f>IF(ISBLANK(Table1[[#This Row],[ActualResult]]), 0, 1)</f>
        <v>0</v>
      </c>
      <c r="AC1074" s="64">
        <f>IF(ISBLANK(Table1[[#This Row],[ActualResult]]), 0, IF(Table1[[#This Row],[ActualWinner]]=Table1[[#This Row],[PredictedWinner]], 1, 0))</f>
        <v>0</v>
      </c>
      <c r="AD107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7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74" s="64">
        <f>IF(AND(Table1[[#This Row],[GameIsOver]]=1,Table1[[#This Row],[ActualAwayScore]]=0), 1,0)</f>
        <v>0</v>
      </c>
      <c r="AG1074" s="64">
        <f>IF(AND(Table1[[#This Row],[GameIsOver]]=1,Table1[[#This Row],[ActualHomeScore]]=0), 1,0)</f>
        <v>0</v>
      </c>
      <c r="AH1074" s="64">
        <f>IF(Table1[[#This Row],[GameIsOver]]=0,0,IF(Table1[[#This Row],[ActualWinner]]=Table1[[#This Row],[AwayTeam]], 1, 0))</f>
        <v>0</v>
      </c>
      <c r="AI1074" s="64">
        <f>IF(Table1[[#This Row],[GameIsOver]]=0,0,IF(Table1[[#This Row],[ActualWinner]]=Table1[[#This Row],[HomeTeam]], 1, 0))</f>
        <v>0</v>
      </c>
      <c r="AJ1074" s="64">
        <f>IF(INDEX(Standings!$A$2:$C$33,MATCH(Table1[[#This Row],[AwayTeam]],Standings!$A$2:$A$33,0),2)=INDEX(Standings!$A$2:$C$33,MATCH(Table1[[#This Row],[HomeTeam]],Standings!$A$2:$A$33,0),2),1,0)</f>
        <v>0</v>
      </c>
      <c r="AK1074" s="64">
        <f>IF(INDEX(Standings!$A$2:$C$33,MATCH(Table1[[#This Row],[AwayTeam]],Standings!$A$2:$A$33,0),3)=INDEX(Standings!$A$2:$C$33,MATCH(Table1[[#This Row],[HomeTeam]],Standings!$A$2:$A$33,0),3),1,0)</f>
        <v>0</v>
      </c>
      <c r="AL1074" s="64">
        <f>IF(Table1[[#This Row],[InterConf]]=1,IF(Table1[[#This Row],[InterDiv]]=0, 1, 0), 0)</f>
        <v>0</v>
      </c>
      <c r="AM1074" s="64">
        <f>IF(INDEX(Standings!$A$2:$C$33,MATCH(Table1[[#This Row],[AwayTeam]],Standings!$A$2:$A$33,0),2)&lt;&gt;INDEX(Standings!$A$2:$C$33,MATCH(Table1[[#This Row],[HomeTeam]],Standings!$A$2:$A$33,0),2),1,0)</f>
        <v>1</v>
      </c>
      <c r="AN1074" s="64" t="str">
        <f>INDEX(Table2[AWAY_RECORD], MATCH(Table1[[#This Row],[AwayTeam]],Table2[Team], 0), 0)</f>
        <v>1-0-0</v>
      </c>
      <c r="AO1074" s="64" t="str">
        <f>INDEX(Records!$B$2:$AG$33, MATCH(Table1[[#This Row],[AwayTeam]],Records!$A$2:$A$33, 0), MATCH(Table1[[#This Row],[HomeTeam]],Records!$A$2:$A$33, 0))</f>
        <v>0-0-0</v>
      </c>
      <c r="AP1074" s="64" t="str">
        <f>INDEX(Table2[HOME_RECORD], MATCH(Table1[[#This Row],[HomeTeam]],Table2[Team], 0), 0)</f>
        <v>0-0-0</v>
      </c>
      <c r="AQ1074" s="64" t="str">
        <f>INDEX(Records!$B$2:$AG$33, MATCH(Table1[[#This Row],[HomeTeam]],Records!$A$2:$A$33, 0), MATCH(Table1[[#This Row],[AwayTeam]],Records!$A$2:$A$33, 0))</f>
        <v>0-0-0</v>
      </c>
    </row>
    <row r="1075" spans="1:43" x14ac:dyDescent="0.25">
      <c r="A1075" s="1"/>
      <c r="D1075" t="s">
        <v>1406</v>
      </c>
      <c r="E1075" t="s">
        <v>162</v>
      </c>
      <c r="F1075" t="s">
        <v>1413</v>
      </c>
      <c r="G1075" t="s">
        <v>23</v>
      </c>
      <c r="H1075" t="s">
        <v>47</v>
      </c>
      <c r="L107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7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75" s="1"/>
      <c r="T1075" s="64" t="str">
        <f>IF(Table1[[#This Row],[ActualWinner]]="", "", IF(Table1[[#This Row],[AwayTeam]]=Table1[[#This Row],[ActualWinner]],Table1[[#This Row],[HomeTeam]],Table1[[#This Row],[AwayTeam]]))</f>
        <v/>
      </c>
      <c r="U1075" s="64">
        <f>Table1[[#This Row],[ActualAwayScore]]-Table1[[#This Row],[PredictedAwayScore]]</f>
        <v>0</v>
      </c>
      <c r="V1075" s="64">
        <f>Table1[[#This Row],[ActualHomeScore]]-Table1[[#This Row],[PredictedHomeScore]]</f>
        <v>0</v>
      </c>
      <c r="W1075" s="64">
        <f>(0.8*IF(Table1[[#This Row],[CorrectWinnerPrediction]]=1, 1, 0))+(0.1*IF(Table1[[#This Row],[CorrectAwayScorePrediction]]=1, 1, 0))+(0.1*IF(Table1[[#This Row],[CorrectHomeScorePrediction]]=1, 1, 0))</f>
        <v>0</v>
      </c>
      <c r="X107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75" s="64">
        <f>SUMIF(Table1[GameDate], Table1[[#This Row],[GameDate]], Table1[AwayGameGoalDiff])</f>
        <v>0</v>
      </c>
      <c r="AA1075" s="64">
        <f>SUMIF(Table1[GameDate], Table1[[#This Row],[GameDate]], Table1[HomeGameGoalDiff])</f>
        <v>0</v>
      </c>
      <c r="AB1075" s="64">
        <f>IF(ISBLANK(Table1[[#This Row],[ActualResult]]), 0, 1)</f>
        <v>0</v>
      </c>
      <c r="AC1075" s="64">
        <f>IF(ISBLANK(Table1[[#This Row],[ActualResult]]), 0, IF(Table1[[#This Row],[ActualWinner]]=Table1[[#This Row],[PredictedWinner]], 1, 0))</f>
        <v>0</v>
      </c>
      <c r="AD107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7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75" s="64">
        <f>IF(AND(Table1[[#This Row],[GameIsOver]]=1,Table1[[#This Row],[ActualAwayScore]]=0), 1,0)</f>
        <v>0</v>
      </c>
      <c r="AG1075" s="64">
        <f>IF(AND(Table1[[#This Row],[GameIsOver]]=1,Table1[[#This Row],[ActualHomeScore]]=0), 1,0)</f>
        <v>0</v>
      </c>
      <c r="AH1075" s="64">
        <f>IF(Table1[[#This Row],[GameIsOver]]=0,0,IF(Table1[[#This Row],[ActualWinner]]=Table1[[#This Row],[AwayTeam]], 1, 0))</f>
        <v>0</v>
      </c>
      <c r="AI1075" s="64">
        <f>IF(Table1[[#This Row],[GameIsOver]]=0,0,IF(Table1[[#This Row],[ActualWinner]]=Table1[[#This Row],[HomeTeam]], 1, 0))</f>
        <v>0</v>
      </c>
      <c r="AJ1075" s="64">
        <f>IF(INDEX(Standings!$A$2:$C$33,MATCH(Table1[[#This Row],[AwayTeam]],Standings!$A$2:$A$33,0),2)=INDEX(Standings!$A$2:$C$33,MATCH(Table1[[#This Row],[HomeTeam]],Standings!$A$2:$A$33,0),2),1,0)</f>
        <v>0</v>
      </c>
      <c r="AK1075" s="64">
        <f>IF(INDEX(Standings!$A$2:$C$33,MATCH(Table1[[#This Row],[AwayTeam]],Standings!$A$2:$A$33,0),3)=INDEX(Standings!$A$2:$C$33,MATCH(Table1[[#This Row],[HomeTeam]],Standings!$A$2:$A$33,0),3),1,0)</f>
        <v>0</v>
      </c>
      <c r="AL1075" s="64">
        <f>IF(Table1[[#This Row],[InterConf]]=1,IF(Table1[[#This Row],[InterDiv]]=0, 1, 0), 0)</f>
        <v>0</v>
      </c>
      <c r="AM1075" s="64">
        <f>IF(INDEX(Standings!$A$2:$C$33,MATCH(Table1[[#This Row],[AwayTeam]],Standings!$A$2:$A$33,0),2)&lt;&gt;INDEX(Standings!$A$2:$C$33,MATCH(Table1[[#This Row],[HomeTeam]],Standings!$A$2:$A$33,0),2),1,0)</f>
        <v>1</v>
      </c>
      <c r="AN1075" s="64" t="str">
        <f>INDEX(Table2[AWAY_RECORD], MATCH(Table1[[#This Row],[AwayTeam]],Table2[Team], 0), 0)</f>
        <v>0-0-1</v>
      </c>
      <c r="AO1075" s="64" t="str">
        <f>INDEX(Records!$B$2:$AG$33, MATCH(Table1[[#This Row],[AwayTeam]],Records!$A$2:$A$33, 0), MATCH(Table1[[#This Row],[HomeTeam]],Records!$A$2:$A$33, 0))</f>
        <v>0-0-0</v>
      </c>
      <c r="AP1075" s="64" t="str">
        <f>INDEX(Table2[HOME_RECORD], MATCH(Table1[[#This Row],[HomeTeam]],Table2[Team], 0), 0)</f>
        <v>0-0-0</v>
      </c>
      <c r="AQ1075" s="64" t="str">
        <f>INDEX(Records!$B$2:$AG$33, MATCH(Table1[[#This Row],[HomeTeam]],Records!$A$2:$A$33, 0), MATCH(Table1[[#This Row],[AwayTeam]],Records!$A$2:$A$33, 0))</f>
        <v>0-0-0</v>
      </c>
    </row>
    <row r="1076" spans="1:43" x14ac:dyDescent="0.25">
      <c r="A1076" s="1"/>
      <c r="D1076" t="s">
        <v>1406</v>
      </c>
      <c r="E1076" t="s">
        <v>162</v>
      </c>
      <c r="F1076" t="s">
        <v>1414</v>
      </c>
      <c r="G1076" t="s">
        <v>43</v>
      </c>
      <c r="H1076" t="s">
        <v>44</v>
      </c>
      <c r="L107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7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76" s="1"/>
      <c r="T1076" s="64" t="str">
        <f>IF(Table1[[#This Row],[ActualWinner]]="", "", IF(Table1[[#This Row],[AwayTeam]]=Table1[[#This Row],[ActualWinner]],Table1[[#This Row],[HomeTeam]],Table1[[#This Row],[AwayTeam]]))</f>
        <v/>
      </c>
      <c r="U1076" s="64">
        <f>Table1[[#This Row],[ActualAwayScore]]-Table1[[#This Row],[PredictedAwayScore]]</f>
        <v>0</v>
      </c>
      <c r="V1076" s="64">
        <f>Table1[[#This Row],[ActualHomeScore]]-Table1[[#This Row],[PredictedHomeScore]]</f>
        <v>0</v>
      </c>
      <c r="W1076" s="64">
        <f>(0.8*IF(Table1[[#This Row],[CorrectWinnerPrediction]]=1, 1, 0))+(0.1*IF(Table1[[#This Row],[CorrectAwayScorePrediction]]=1, 1, 0))+(0.1*IF(Table1[[#This Row],[CorrectHomeScorePrediction]]=1, 1, 0))</f>
        <v>0</v>
      </c>
      <c r="X107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76" s="64">
        <f>SUMIF(Table1[GameDate], Table1[[#This Row],[GameDate]], Table1[AwayGameGoalDiff])</f>
        <v>0</v>
      </c>
      <c r="AA1076" s="64">
        <f>SUMIF(Table1[GameDate], Table1[[#This Row],[GameDate]], Table1[HomeGameGoalDiff])</f>
        <v>0</v>
      </c>
      <c r="AB1076" s="64">
        <f>IF(ISBLANK(Table1[[#This Row],[ActualResult]]), 0, 1)</f>
        <v>0</v>
      </c>
      <c r="AC1076" s="64">
        <f>IF(ISBLANK(Table1[[#This Row],[ActualResult]]), 0, IF(Table1[[#This Row],[ActualWinner]]=Table1[[#This Row],[PredictedWinner]], 1, 0))</f>
        <v>0</v>
      </c>
      <c r="AD107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7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76" s="64">
        <f>IF(AND(Table1[[#This Row],[GameIsOver]]=1,Table1[[#This Row],[ActualAwayScore]]=0), 1,0)</f>
        <v>0</v>
      </c>
      <c r="AG1076" s="64">
        <f>IF(AND(Table1[[#This Row],[GameIsOver]]=1,Table1[[#This Row],[ActualHomeScore]]=0), 1,0)</f>
        <v>0</v>
      </c>
      <c r="AH1076" s="64">
        <f>IF(Table1[[#This Row],[GameIsOver]]=0,0,IF(Table1[[#This Row],[ActualWinner]]=Table1[[#This Row],[AwayTeam]], 1, 0))</f>
        <v>0</v>
      </c>
      <c r="AI1076" s="64">
        <f>IF(Table1[[#This Row],[GameIsOver]]=0,0,IF(Table1[[#This Row],[ActualWinner]]=Table1[[#This Row],[HomeTeam]], 1, 0))</f>
        <v>0</v>
      </c>
      <c r="AJ1076" s="64">
        <f>IF(INDEX(Standings!$A$2:$C$33,MATCH(Table1[[#This Row],[AwayTeam]],Standings!$A$2:$A$33,0),2)=INDEX(Standings!$A$2:$C$33,MATCH(Table1[[#This Row],[HomeTeam]],Standings!$A$2:$A$33,0),2),1,0)</f>
        <v>0</v>
      </c>
      <c r="AK1076" s="64">
        <f>IF(INDEX(Standings!$A$2:$C$33,MATCH(Table1[[#This Row],[AwayTeam]],Standings!$A$2:$A$33,0),3)=INDEX(Standings!$A$2:$C$33,MATCH(Table1[[#This Row],[HomeTeam]],Standings!$A$2:$A$33,0),3),1,0)</f>
        <v>0</v>
      </c>
      <c r="AL1076" s="64">
        <f>IF(Table1[[#This Row],[InterConf]]=1,IF(Table1[[#This Row],[InterDiv]]=0, 1, 0), 0)</f>
        <v>0</v>
      </c>
      <c r="AM1076" s="64">
        <f>IF(INDEX(Standings!$A$2:$C$33,MATCH(Table1[[#This Row],[AwayTeam]],Standings!$A$2:$A$33,0),2)&lt;&gt;INDEX(Standings!$A$2:$C$33,MATCH(Table1[[#This Row],[HomeTeam]],Standings!$A$2:$A$33,0),2),1,0)</f>
        <v>1</v>
      </c>
      <c r="AN1076" s="64" t="str">
        <f>INDEX(Table2[AWAY_RECORD], MATCH(Table1[[#This Row],[AwayTeam]],Table2[Team], 0), 0)</f>
        <v>0-0-0</v>
      </c>
      <c r="AO1076" s="64" t="str">
        <f>INDEX(Records!$B$2:$AG$33, MATCH(Table1[[#This Row],[AwayTeam]],Records!$A$2:$A$33, 0), MATCH(Table1[[#This Row],[HomeTeam]],Records!$A$2:$A$33, 0))</f>
        <v>0-0-0</v>
      </c>
      <c r="AP1076" s="64" t="str">
        <f>INDEX(Table2[HOME_RECORD], MATCH(Table1[[#This Row],[HomeTeam]],Table2[Team], 0), 0)</f>
        <v>0-0-1</v>
      </c>
      <c r="AQ1076" s="64" t="str">
        <f>INDEX(Records!$B$2:$AG$33, MATCH(Table1[[#This Row],[HomeTeam]],Records!$A$2:$A$33, 0), MATCH(Table1[[#This Row],[AwayTeam]],Records!$A$2:$A$33, 0))</f>
        <v>0-0-0</v>
      </c>
    </row>
    <row r="1077" spans="1:43" x14ac:dyDescent="0.25">
      <c r="A1077" s="1"/>
      <c r="D1077" t="s">
        <v>1406</v>
      </c>
      <c r="E1077" t="s">
        <v>162</v>
      </c>
      <c r="F1077" t="s">
        <v>1415</v>
      </c>
      <c r="G1077" t="s">
        <v>24</v>
      </c>
      <c r="H1077" t="s">
        <v>17</v>
      </c>
      <c r="L107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7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77" s="1"/>
      <c r="T1077" s="64" t="str">
        <f>IF(Table1[[#This Row],[ActualWinner]]="", "", IF(Table1[[#This Row],[AwayTeam]]=Table1[[#This Row],[ActualWinner]],Table1[[#This Row],[HomeTeam]],Table1[[#This Row],[AwayTeam]]))</f>
        <v/>
      </c>
      <c r="U1077" s="64">
        <f>Table1[[#This Row],[ActualAwayScore]]-Table1[[#This Row],[PredictedAwayScore]]</f>
        <v>0</v>
      </c>
      <c r="V1077" s="64">
        <f>Table1[[#This Row],[ActualHomeScore]]-Table1[[#This Row],[PredictedHomeScore]]</f>
        <v>0</v>
      </c>
      <c r="W1077" s="64">
        <f>(0.8*IF(Table1[[#This Row],[CorrectWinnerPrediction]]=1, 1, 0))+(0.1*IF(Table1[[#This Row],[CorrectAwayScorePrediction]]=1, 1, 0))+(0.1*IF(Table1[[#This Row],[CorrectHomeScorePrediction]]=1, 1, 0))</f>
        <v>0</v>
      </c>
      <c r="X107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77" s="64">
        <f>SUMIF(Table1[GameDate], Table1[[#This Row],[GameDate]], Table1[AwayGameGoalDiff])</f>
        <v>0</v>
      </c>
      <c r="AA1077" s="64">
        <f>SUMIF(Table1[GameDate], Table1[[#This Row],[GameDate]], Table1[HomeGameGoalDiff])</f>
        <v>0</v>
      </c>
      <c r="AB1077" s="64">
        <f>IF(ISBLANK(Table1[[#This Row],[ActualResult]]), 0, 1)</f>
        <v>0</v>
      </c>
      <c r="AC1077" s="64">
        <f>IF(ISBLANK(Table1[[#This Row],[ActualResult]]), 0, IF(Table1[[#This Row],[ActualWinner]]=Table1[[#This Row],[PredictedWinner]], 1, 0))</f>
        <v>0</v>
      </c>
      <c r="AD107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7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77" s="64">
        <f>IF(AND(Table1[[#This Row],[GameIsOver]]=1,Table1[[#This Row],[ActualAwayScore]]=0), 1,0)</f>
        <v>0</v>
      </c>
      <c r="AG1077" s="64">
        <f>IF(AND(Table1[[#This Row],[GameIsOver]]=1,Table1[[#This Row],[ActualHomeScore]]=0), 1,0)</f>
        <v>0</v>
      </c>
      <c r="AH1077" s="64">
        <f>IF(Table1[[#This Row],[GameIsOver]]=0,0,IF(Table1[[#This Row],[ActualWinner]]=Table1[[#This Row],[AwayTeam]], 1, 0))</f>
        <v>0</v>
      </c>
      <c r="AI1077" s="64">
        <f>IF(Table1[[#This Row],[GameIsOver]]=0,0,IF(Table1[[#This Row],[ActualWinner]]=Table1[[#This Row],[HomeTeam]], 1, 0))</f>
        <v>0</v>
      </c>
      <c r="AJ1077" s="64">
        <f>IF(INDEX(Standings!$A$2:$C$33,MATCH(Table1[[#This Row],[AwayTeam]],Standings!$A$2:$A$33,0),2)=INDEX(Standings!$A$2:$C$33,MATCH(Table1[[#This Row],[HomeTeam]],Standings!$A$2:$A$33,0),2),1,0)</f>
        <v>1</v>
      </c>
      <c r="AK1077" s="64">
        <f>IF(INDEX(Standings!$A$2:$C$33,MATCH(Table1[[#This Row],[AwayTeam]],Standings!$A$2:$A$33,0),3)=INDEX(Standings!$A$2:$C$33,MATCH(Table1[[#This Row],[HomeTeam]],Standings!$A$2:$A$33,0),3),1,0)</f>
        <v>1</v>
      </c>
      <c r="AL1077" s="64">
        <f>IF(Table1[[#This Row],[InterConf]]=1,IF(Table1[[#This Row],[InterDiv]]=0, 1, 0), 0)</f>
        <v>0</v>
      </c>
      <c r="AM1077" s="64">
        <f>IF(INDEX(Standings!$A$2:$C$33,MATCH(Table1[[#This Row],[AwayTeam]],Standings!$A$2:$A$33,0),2)&lt;&gt;INDEX(Standings!$A$2:$C$33,MATCH(Table1[[#This Row],[HomeTeam]],Standings!$A$2:$A$33,0),2),1,0)</f>
        <v>0</v>
      </c>
      <c r="AN1077" s="64" t="str">
        <f>INDEX(Table2[AWAY_RECORD], MATCH(Table1[[#This Row],[AwayTeam]],Table2[Team], 0), 0)</f>
        <v>0-0-0</v>
      </c>
      <c r="AO1077" s="64" t="str">
        <f>INDEX(Records!$B$2:$AG$33, MATCH(Table1[[#This Row],[AwayTeam]],Records!$A$2:$A$33, 0), MATCH(Table1[[#This Row],[HomeTeam]],Records!$A$2:$A$33, 0))</f>
        <v>0-0-0</v>
      </c>
      <c r="AP1077" s="64" t="str">
        <f>INDEX(Table2[HOME_RECORD], MATCH(Table1[[#This Row],[HomeTeam]],Table2[Team], 0), 0)</f>
        <v>0-0-0</v>
      </c>
      <c r="AQ1077" s="64" t="str">
        <f>INDEX(Records!$B$2:$AG$33, MATCH(Table1[[#This Row],[HomeTeam]],Records!$A$2:$A$33, 0), MATCH(Table1[[#This Row],[AwayTeam]],Records!$A$2:$A$33, 0))</f>
        <v>0-0-0</v>
      </c>
    </row>
    <row r="1078" spans="1:43" x14ac:dyDescent="0.25">
      <c r="A1078" s="1"/>
      <c r="D1078" t="s">
        <v>1406</v>
      </c>
      <c r="E1078" t="s">
        <v>178</v>
      </c>
      <c r="F1078" t="s">
        <v>1416</v>
      </c>
      <c r="G1078" t="s">
        <v>22</v>
      </c>
      <c r="H1078" t="s">
        <v>48</v>
      </c>
      <c r="L107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7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78" s="1"/>
      <c r="T1078" s="64" t="str">
        <f>IF(Table1[[#This Row],[ActualWinner]]="", "", IF(Table1[[#This Row],[AwayTeam]]=Table1[[#This Row],[ActualWinner]],Table1[[#This Row],[HomeTeam]],Table1[[#This Row],[AwayTeam]]))</f>
        <v/>
      </c>
      <c r="U1078" s="64">
        <f>Table1[[#This Row],[ActualAwayScore]]-Table1[[#This Row],[PredictedAwayScore]]</f>
        <v>0</v>
      </c>
      <c r="V1078" s="64">
        <f>Table1[[#This Row],[ActualHomeScore]]-Table1[[#This Row],[PredictedHomeScore]]</f>
        <v>0</v>
      </c>
      <c r="W1078" s="64">
        <f>(0.8*IF(Table1[[#This Row],[CorrectWinnerPrediction]]=1, 1, 0))+(0.1*IF(Table1[[#This Row],[CorrectAwayScorePrediction]]=1, 1, 0))+(0.1*IF(Table1[[#This Row],[CorrectHomeScorePrediction]]=1, 1, 0))</f>
        <v>0</v>
      </c>
      <c r="X107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78" s="64">
        <f>SUMIF(Table1[GameDate], Table1[[#This Row],[GameDate]], Table1[AwayGameGoalDiff])</f>
        <v>0</v>
      </c>
      <c r="AA1078" s="64">
        <f>SUMIF(Table1[GameDate], Table1[[#This Row],[GameDate]], Table1[HomeGameGoalDiff])</f>
        <v>0</v>
      </c>
      <c r="AB1078" s="64">
        <f>IF(ISBLANK(Table1[[#This Row],[ActualResult]]), 0, 1)</f>
        <v>0</v>
      </c>
      <c r="AC1078" s="64">
        <f>IF(ISBLANK(Table1[[#This Row],[ActualResult]]), 0, IF(Table1[[#This Row],[ActualWinner]]=Table1[[#This Row],[PredictedWinner]], 1, 0))</f>
        <v>0</v>
      </c>
      <c r="AD107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7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78" s="64">
        <f>IF(AND(Table1[[#This Row],[GameIsOver]]=1,Table1[[#This Row],[ActualAwayScore]]=0), 1,0)</f>
        <v>0</v>
      </c>
      <c r="AG1078" s="64">
        <f>IF(AND(Table1[[#This Row],[GameIsOver]]=1,Table1[[#This Row],[ActualHomeScore]]=0), 1,0)</f>
        <v>0</v>
      </c>
      <c r="AH1078" s="64">
        <f>IF(Table1[[#This Row],[GameIsOver]]=0,0,IF(Table1[[#This Row],[ActualWinner]]=Table1[[#This Row],[AwayTeam]], 1, 0))</f>
        <v>0</v>
      </c>
      <c r="AI1078" s="64">
        <f>IF(Table1[[#This Row],[GameIsOver]]=0,0,IF(Table1[[#This Row],[ActualWinner]]=Table1[[#This Row],[HomeTeam]], 1, 0))</f>
        <v>0</v>
      </c>
      <c r="AJ1078" s="64">
        <f>IF(INDEX(Standings!$A$2:$C$33,MATCH(Table1[[#This Row],[AwayTeam]],Standings!$A$2:$A$33,0),2)=INDEX(Standings!$A$2:$C$33,MATCH(Table1[[#This Row],[HomeTeam]],Standings!$A$2:$A$33,0),2),1,0)</f>
        <v>1</v>
      </c>
      <c r="AK1078" s="64">
        <f>IF(INDEX(Standings!$A$2:$C$33,MATCH(Table1[[#This Row],[AwayTeam]],Standings!$A$2:$A$33,0),3)=INDEX(Standings!$A$2:$C$33,MATCH(Table1[[#This Row],[HomeTeam]],Standings!$A$2:$A$33,0),3),1,0)</f>
        <v>1</v>
      </c>
      <c r="AL1078" s="64">
        <f>IF(Table1[[#This Row],[InterConf]]=1,IF(Table1[[#This Row],[InterDiv]]=0, 1, 0), 0)</f>
        <v>0</v>
      </c>
      <c r="AM1078" s="64">
        <f>IF(INDEX(Standings!$A$2:$C$33,MATCH(Table1[[#This Row],[AwayTeam]],Standings!$A$2:$A$33,0),2)&lt;&gt;INDEX(Standings!$A$2:$C$33,MATCH(Table1[[#This Row],[HomeTeam]],Standings!$A$2:$A$33,0),2),1,0)</f>
        <v>0</v>
      </c>
      <c r="AN1078" s="64" t="str">
        <f>INDEX(Table2[AWAY_RECORD], MATCH(Table1[[#This Row],[AwayTeam]],Table2[Team], 0), 0)</f>
        <v>0-0-1</v>
      </c>
      <c r="AO1078" s="64" t="str">
        <f>INDEX(Records!$B$2:$AG$33, MATCH(Table1[[#This Row],[AwayTeam]],Records!$A$2:$A$33, 0), MATCH(Table1[[#This Row],[HomeTeam]],Records!$A$2:$A$33, 0))</f>
        <v>0-0-1</v>
      </c>
      <c r="AP1078" s="64" t="str">
        <f>INDEX(Table2[HOME_RECORD], MATCH(Table1[[#This Row],[HomeTeam]],Table2[Team], 0), 0)</f>
        <v>1-0-0</v>
      </c>
      <c r="AQ1078" s="64" t="str">
        <f>INDEX(Records!$B$2:$AG$33, MATCH(Table1[[#This Row],[HomeTeam]],Records!$A$2:$A$33, 0), MATCH(Table1[[#This Row],[AwayTeam]],Records!$A$2:$A$33, 0))</f>
        <v>1-0-0</v>
      </c>
    </row>
    <row r="1079" spans="1:43" x14ac:dyDescent="0.25">
      <c r="A1079" s="1"/>
      <c r="D1079" t="s">
        <v>1417</v>
      </c>
      <c r="E1079" t="s">
        <v>298</v>
      </c>
      <c r="F1079" t="s">
        <v>1418</v>
      </c>
      <c r="G1079" t="s">
        <v>16</v>
      </c>
      <c r="H1079" t="s">
        <v>45</v>
      </c>
      <c r="L107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7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79" s="1"/>
      <c r="T1079" s="64" t="str">
        <f>IF(Table1[[#This Row],[ActualWinner]]="", "", IF(Table1[[#This Row],[AwayTeam]]=Table1[[#This Row],[ActualWinner]],Table1[[#This Row],[HomeTeam]],Table1[[#This Row],[AwayTeam]]))</f>
        <v/>
      </c>
      <c r="U1079" s="64">
        <f>Table1[[#This Row],[ActualAwayScore]]-Table1[[#This Row],[PredictedAwayScore]]</f>
        <v>0</v>
      </c>
      <c r="V1079" s="64">
        <f>Table1[[#This Row],[ActualHomeScore]]-Table1[[#This Row],[PredictedHomeScore]]</f>
        <v>0</v>
      </c>
      <c r="W1079" s="64">
        <f>(0.8*IF(Table1[[#This Row],[CorrectWinnerPrediction]]=1, 1, 0))+(0.1*IF(Table1[[#This Row],[CorrectAwayScorePrediction]]=1, 1, 0))+(0.1*IF(Table1[[#This Row],[CorrectHomeScorePrediction]]=1, 1, 0))</f>
        <v>0</v>
      </c>
      <c r="X107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79" s="64">
        <f>SUMIF(Table1[GameDate], Table1[[#This Row],[GameDate]], Table1[AwayGameGoalDiff])</f>
        <v>0</v>
      </c>
      <c r="AA1079" s="64">
        <f>SUMIF(Table1[GameDate], Table1[[#This Row],[GameDate]], Table1[HomeGameGoalDiff])</f>
        <v>0</v>
      </c>
      <c r="AB1079" s="64">
        <f>IF(ISBLANK(Table1[[#This Row],[ActualResult]]), 0, 1)</f>
        <v>0</v>
      </c>
      <c r="AC1079" s="64">
        <f>IF(ISBLANK(Table1[[#This Row],[ActualResult]]), 0, IF(Table1[[#This Row],[ActualWinner]]=Table1[[#This Row],[PredictedWinner]], 1, 0))</f>
        <v>0</v>
      </c>
      <c r="AD107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7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79" s="64">
        <f>IF(AND(Table1[[#This Row],[GameIsOver]]=1,Table1[[#This Row],[ActualAwayScore]]=0), 1,0)</f>
        <v>0</v>
      </c>
      <c r="AG1079" s="64">
        <f>IF(AND(Table1[[#This Row],[GameIsOver]]=1,Table1[[#This Row],[ActualHomeScore]]=0), 1,0)</f>
        <v>0</v>
      </c>
      <c r="AH1079" s="64">
        <f>IF(Table1[[#This Row],[GameIsOver]]=0,0,IF(Table1[[#This Row],[ActualWinner]]=Table1[[#This Row],[AwayTeam]], 1, 0))</f>
        <v>0</v>
      </c>
      <c r="AI1079" s="64">
        <f>IF(Table1[[#This Row],[GameIsOver]]=0,0,IF(Table1[[#This Row],[ActualWinner]]=Table1[[#This Row],[HomeTeam]], 1, 0))</f>
        <v>0</v>
      </c>
      <c r="AJ1079" s="64">
        <f>IF(INDEX(Standings!$A$2:$C$33,MATCH(Table1[[#This Row],[AwayTeam]],Standings!$A$2:$A$33,0),2)=INDEX(Standings!$A$2:$C$33,MATCH(Table1[[#This Row],[HomeTeam]],Standings!$A$2:$A$33,0),2),1,0)</f>
        <v>1</v>
      </c>
      <c r="AK1079" s="64">
        <f>IF(INDEX(Standings!$A$2:$C$33,MATCH(Table1[[#This Row],[AwayTeam]],Standings!$A$2:$A$33,0),3)=INDEX(Standings!$A$2:$C$33,MATCH(Table1[[#This Row],[HomeTeam]],Standings!$A$2:$A$33,0),3),1,0)</f>
        <v>0</v>
      </c>
      <c r="AL1079" s="64">
        <f>IF(Table1[[#This Row],[InterConf]]=1,IF(Table1[[#This Row],[InterDiv]]=0, 1, 0), 0)</f>
        <v>1</v>
      </c>
      <c r="AM1079" s="64">
        <f>IF(INDEX(Standings!$A$2:$C$33,MATCH(Table1[[#This Row],[AwayTeam]],Standings!$A$2:$A$33,0),2)&lt;&gt;INDEX(Standings!$A$2:$C$33,MATCH(Table1[[#This Row],[HomeTeam]],Standings!$A$2:$A$33,0),2),1,0)</f>
        <v>0</v>
      </c>
      <c r="AN1079" s="64" t="str">
        <f>INDEX(Table2[AWAY_RECORD], MATCH(Table1[[#This Row],[AwayTeam]],Table2[Team], 0), 0)</f>
        <v>1-0-1</v>
      </c>
      <c r="AO1079" s="64" t="str">
        <f>INDEX(Records!$B$2:$AG$33, MATCH(Table1[[#This Row],[AwayTeam]],Records!$A$2:$A$33, 0), MATCH(Table1[[#This Row],[HomeTeam]],Records!$A$2:$A$33, 0))</f>
        <v>0-0-0</v>
      </c>
      <c r="AP1079" s="64" t="str">
        <f>INDEX(Table2[HOME_RECORD], MATCH(Table1[[#This Row],[HomeTeam]],Table2[Team], 0), 0)</f>
        <v>1-0-0</v>
      </c>
      <c r="AQ1079" s="64" t="str">
        <f>INDEX(Records!$B$2:$AG$33, MATCH(Table1[[#This Row],[HomeTeam]],Records!$A$2:$A$33, 0), MATCH(Table1[[#This Row],[AwayTeam]],Records!$A$2:$A$33, 0))</f>
        <v>0-0-0</v>
      </c>
    </row>
    <row r="1080" spans="1:43" x14ac:dyDescent="0.25">
      <c r="A1080" s="1"/>
      <c r="D1080" t="s">
        <v>1417</v>
      </c>
      <c r="E1080" t="s">
        <v>298</v>
      </c>
      <c r="F1080" t="s">
        <v>1419</v>
      </c>
      <c r="G1080" t="s">
        <v>57</v>
      </c>
      <c r="H1080" t="s">
        <v>55</v>
      </c>
      <c r="L108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8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80" s="1"/>
      <c r="T1080" s="64" t="str">
        <f>IF(Table1[[#This Row],[ActualWinner]]="", "", IF(Table1[[#This Row],[AwayTeam]]=Table1[[#This Row],[ActualWinner]],Table1[[#This Row],[HomeTeam]],Table1[[#This Row],[AwayTeam]]))</f>
        <v/>
      </c>
      <c r="U1080" s="64">
        <f>Table1[[#This Row],[ActualAwayScore]]-Table1[[#This Row],[PredictedAwayScore]]</f>
        <v>0</v>
      </c>
      <c r="V1080" s="64">
        <f>Table1[[#This Row],[ActualHomeScore]]-Table1[[#This Row],[PredictedHomeScore]]</f>
        <v>0</v>
      </c>
      <c r="W1080" s="64">
        <f>(0.8*IF(Table1[[#This Row],[CorrectWinnerPrediction]]=1, 1, 0))+(0.1*IF(Table1[[#This Row],[CorrectAwayScorePrediction]]=1, 1, 0))+(0.1*IF(Table1[[#This Row],[CorrectHomeScorePrediction]]=1, 1, 0))</f>
        <v>0</v>
      </c>
      <c r="X108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80" s="64">
        <f>SUMIF(Table1[GameDate], Table1[[#This Row],[GameDate]], Table1[AwayGameGoalDiff])</f>
        <v>0</v>
      </c>
      <c r="AA1080" s="64">
        <f>SUMIF(Table1[GameDate], Table1[[#This Row],[GameDate]], Table1[HomeGameGoalDiff])</f>
        <v>0</v>
      </c>
      <c r="AB1080" s="64">
        <f>IF(ISBLANK(Table1[[#This Row],[ActualResult]]), 0, 1)</f>
        <v>0</v>
      </c>
      <c r="AC1080" s="64">
        <f>IF(ISBLANK(Table1[[#This Row],[ActualResult]]), 0, IF(Table1[[#This Row],[ActualWinner]]=Table1[[#This Row],[PredictedWinner]], 1, 0))</f>
        <v>0</v>
      </c>
      <c r="AD108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8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80" s="64">
        <f>IF(AND(Table1[[#This Row],[GameIsOver]]=1,Table1[[#This Row],[ActualAwayScore]]=0), 1,0)</f>
        <v>0</v>
      </c>
      <c r="AG1080" s="64">
        <f>IF(AND(Table1[[#This Row],[GameIsOver]]=1,Table1[[#This Row],[ActualHomeScore]]=0), 1,0)</f>
        <v>0</v>
      </c>
      <c r="AH1080" s="64">
        <f>IF(Table1[[#This Row],[GameIsOver]]=0,0,IF(Table1[[#This Row],[ActualWinner]]=Table1[[#This Row],[AwayTeam]], 1, 0))</f>
        <v>0</v>
      </c>
      <c r="AI1080" s="64">
        <f>IF(Table1[[#This Row],[GameIsOver]]=0,0,IF(Table1[[#This Row],[ActualWinner]]=Table1[[#This Row],[HomeTeam]], 1, 0))</f>
        <v>0</v>
      </c>
      <c r="AJ1080" s="64">
        <f>IF(INDEX(Standings!$A$2:$C$33,MATCH(Table1[[#This Row],[AwayTeam]],Standings!$A$2:$A$33,0),2)=INDEX(Standings!$A$2:$C$33,MATCH(Table1[[#This Row],[HomeTeam]],Standings!$A$2:$A$33,0),2),1,0)</f>
        <v>0</v>
      </c>
      <c r="AK1080" s="64">
        <f>IF(INDEX(Standings!$A$2:$C$33,MATCH(Table1[[#This Row],[AwayTeam]],Standings!$A$2:$A$33,0),3)=INDEX(Standings!$A$2:$C$33,MATCH(Table1[[#This Row],[HomeTeam]],Standings!$A$2:$A$33,0),3),1,0)</f>
        <v>0</v>
      </c>
      <c r="AL1080" s="64">
        <f>IF(Table1[[#This Row],[InterConf]]=1,IF(Table1[[#This Row],[InterDiv]]=0, 1, 0), 0)</f>
        <v>0</v>
      </c>
      <c r="AM1080" s="64">
        <f>IF(INDEX(Standings!$A$2:$C$33,MATCH(Table1[[#This Row],[AwayTeam]],Standings!$A$2:$A$33,0),2)&lt;&gt;INDEX(Standings!$A$2:$C$33,MATCH(Table1[[#This Row],[HomeTeam]],Standings!$A$2:$A$33,0),2),1,0)</f>
        <v>1</v>
      </c>
      <c r="AN1080" s="64" t="str">
        <f>INDEX(Table2[AWAY_RECORD], MATCH(Table1[[#This Row],[AwayTeam]],Table2[Team], 0), 0)</f>
        <v>0-1-0</v>
      </c>
      <c r="AO1080" s="64" t="str">
        <f>INDEX(Records!$B$2:$AG$33, MATCH(Table1[[#This Row],[AwayTeam]],Records!$A$2:$A$33, 0), MATCH(Table1[[#This Row],[HomeTeam]],Records!$A$2:$A$33, 0))</f>
        <v>0-0-0</v>
      </c>
      <c r="AP1080" s="64" t="str">
        <f>INDEX(Table2[HOME_RECORD], MATCH(Table1[[#This Row],[HomeTeam]],Table2[Team], 0), 0)</f>
        <v>0-1-0</v>
      </c>
      <c r="AQ1080" s="64" t="str">
        <f>INDEX(Records!$B$2:$AG$33, MATCH(Table1[[#This Row],[HomeTeam]],Records!$A$2:$A$33, 0), MATCH(Table1[[#This Row],[AwayTeam]],Records!$A$2:$A$33, 0))</f>
        <v>0-0-0</v>
      </c>
    </row>
    <row r="1081" spans="1:43" x14ac:dyDescent="0.25">
      <c r="A1081" s="1"/>
      <c r="D1081" t="s">
        <v>1417</v>
      </c>
      <c r="E1081" t="s">
        <v>432</v>
      </c>
      <c r="F1081" t="s">
        <v>1420</v>
      </c>
      <c r="G1081" t="s">
        <v>54</v>
      </c>
      <c r="H1081" t="s">
        <v>50</v>
      </c>
      <c r="L108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8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81" s="1"/>
      <c r="T1081" s="64" t="str">
        <f>IF(Table1[[#This Row],[ActualWinner]]="", "", IF(Table1[[#This Row],[AwayTeam]]=Table1[[#This Row],[ActualWinner]],Table1[[#This Row],[HomeTeam]],Table1[[#This Row],[AwayTeam]]))</f>
        <v/>
      </c>
      <c r="U1081" s="64">
        <f>Table1[[#This Row],[ActualAwayScore]]-Table1[[#This Row],[PredictedAwayScore]]</f>
        <v>0</v>
      </c>
      <c r="V1081" s="64">
        <f>Table1[[#This Row],[ActualHomeScore]]-Table1[[#This Row],[PredictedHomeScore]]</f>
        <v>0</v>
      </c>
      <c r="W1081" s="64">
        <f>(0.8*IF(Table1[[#This Row],[CorrectWinnerPrediction]]=1, 1, 0))+(0.1*IF(Table1[[#This Row],[CorrectAwayScorePrediction]]=1, 1, 0))+(0.1*IF(Table1[[#This Row],[CorrectHomeScorePrediction]]=1, 1, 0))</f>
        <v>0</v>
      </c>
      <c r="X108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81" s="64">
        <f>SUMIF(Table1[GameDate], Table1[[#This Row],[GameDate]], Table1[AwayGameGoalDiff])</f>
        <v>0</v>
      </c>
      <c r="AA1081" s="64">
        <f>SUMIF(Table1[GameDate], Table1[[#This Row],[GameDate]], Table1[HomeGameGoalDiff])</f>
        <v>0</v>
      </c>
      <c r="AB1081" s="64">
        <f>IF(ISBLANK(Table1[[#This Row],[ActualResult]]), 0, 1)</f>
        <v>0</v>
      </c>
      <c r="AC1081" s="64">
        <f>IF(ISBLANK(Table1[[#This Row],[ActualResult]]), 0, IF(Table1[[#This Row],[ActualWinner]]=Table1[[#This Row],[PredictedWinner]], 1, 0))</f>
        <v>0</v>
      </c>
      <c r="AD108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8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81" s="64">
        <f>IF(AND(Table1[[#This Row],[GameIsOver]]=1,Table1[[#This Row],[ActualAwayScore]]=0), 1,0)</f>
        <v>0</v>
      </c>
      <c r="AG1081" s="64">
        <f>IF(AND(Table1[[#This Row],[GameIsOver]]=1,Table1[[#This Row],[ActualHomeScore]]=0), 1,0)</f>
        <v>0</v>
      </c>
      <c r="AH1081" s="64">
        <f>IF(Table1[[#This Row],[GameIsOver]]=0,0,IF(Table1[[#This Row],[ActualWinner]]=Table1[[#This Row],[AwayTeam]], 1, 0))</f>
        <v>0</v>
      </c>
      <c r="AI1081" s="64">
        <f>IF(Table1[[#This Row],[GameIsOver]]=0,0,IF(Table1[[#This Row],[ActualWinner]]=Table1[[#This Row],[HomeTeam]], 1, 0))</f>
        <v>0</v>
      </c>
      <c r="AJ1081" s="64">
        <f>IF(INDEX(Standings!$A$2:$C$33,MATCH(Table1[[#This Row],[AwayTeam]],Standings!$A$2:$A$33,0),2)=INDEX(Standings!$A$2:$C$33,MATCH(Table1[[#This Row],[HomeTeam]],Standings!$A$2:$A$33,0),2),1,0)</f>
        <v>1</v>
      </c>
      <c r="AK1081" s="64">
        <f>IF(INDEX(Standings!$A$2:$C$33,MATCH(Table1[[#This Row],[AwayTeam]],Standings!$A$2:$A$33,0),3)=INDEX(Standings!$A$2:$C$33,MATCH(Table1[[#This Row],[HomeTeam]],Standings!$A$2:$A$33,0),3),1,0)</f>
        <v>1</v>
      </c>
      <c r="AL1081" s="64">
        <f>IF(Table1[[#This Row],[InterConf]]=1,IF(Table1[[#This Row],[InterDiv]]=0, 1, 0), 0)</f>
        <v>0</v>
      </c>
      <c r="AM1081" s="64">
        <f>IF(INDEX(Standings!$A$2:$C$33,MATCH(Table1[[#This Row],[AwayTeam]],Standings!$A$2:$A$33,0),2)&lt;&gt;INDEX(Standings!$A$2:$C$33,MATCH(Table1[[#This Row],[HomeTeam]],Standings!$A$2:$A$33,0),2),1,0)</f>
        <v>0</v>
      </c>
      <c r="AN1081" s="64" t="str">
        <f>INDEX(Table2[AWAY_RECORD], MATCH(Table1[[#This Row],[AwayTeam]],Table2[Team], 0), 0)</f>
        <v>0-0-1</v>
      </c>
      <c r="AO1081" s="64" t="str">
        <f>INDEX(Records!$B$2:$AG$33, MATCH(Table1[[#This Row],[AwayTeam]],Records!$A$2:$A$33, 0), MATCH(Table1[[#This Row],[HomeTeam]],Records!$A$2:$A$33, 0))</f>
        <v>0-0-0</v>
      </c>
      <c r="AP1081" s="64" t="str">
        <f>INDEX(Table2[HOME_RECORD], MATCH(Table1[[#This Row],[HomeTeam]],Table2[Team], 0), 0)</f>
        <v>0-0-0</v>
      </c>
      <c r="AQ1081" s="64" t="str">
        <f>INDEX(Records!$B$2:$AG$33, MATCH(Table1[[#This Row],[HomeTeam]],Records!$A$2:$A$33, 0), MATCH(Table1[[#This Row],[AwayTeam]],Records!$A$2:$A$33, 0))</f>
        <v>0-0-0</v>
      </c>
    </row>
    <row r="1082" spans="1:43" x14ac:dyDescent="0.25">
      <c r="A1082" s="1"/>
      <c r="D1082" t="s">
        <v>1417</v>
      </c>
      <c r="E1082" t="s">
        <v>432</v>
      </c>
      <c r="F1082" t="s">
        <v>1421</v>
      </c>
      <c r="G1082" t="s">
        <v>61</v>
      </c>
      <c r="H1082" t="s">
        <v>53</v>
      </c>
      <c r="L108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8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82" s="1"/>
      <c r="T1082" s="64" t="str">
        <f>IF(Table1[[#This Row],[ActualWinner]]="", "", IF(Table1[[#This Row],[AwayTeam]]=Table1[[#This Row],[ActualWinner]],Table1[[#This Row],[HomeTeam]],Table1[[#This Row],[AwayTeam]]))</f>
        <v/>
      </c>
      <c r="U1082" s="64">
        <f>Table1[[#This Row],[ActualAwayScore]]-Table1[[#This Row],[PredictedAwayScore]]</f>
        <v>0</v>
      </c>
      <c r="V1082" s="64">
        <f>Table1[[#This Row],[ActualHomeScore]]-Table1[[#This Row],[PredictedHomeScore]]</f>
        <v>0</v>
      </c>
      <c r="W1082" s="64">
        <f>(0.8*IF(Table1[[#This Row],[CorrectWinnerPrediction]]=1, 1, 0))+(0.1*IF(Table1[[#This Row],[CorrectAwayScorePrediction]]=1, 1, 0))+(0.1*IF(Table1[[#This Row],[CorrectHomeScorePrediction]]=1, 1, 0))</f>
        <v>0</v>
      </c>
      <c r="X108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82" s="64">
        <f>SUMIF(Table1[GameDate], Table1[[#This Row],[GameDate]], Table1[AwayGameGoalDiff])</f>
        <v>0</v>
      </c>
      <c r="AA1082" s="64">
        <f>SUMIF(Table1[GameDate], Table1[[#This Row],[GameDate]], Table1[HomeGameGoalDiff])</f>
        <v>0</v>
      </c>
      <c r="AB1082" s="64">
        <f>IF(ISBLANK(Table1[[#This Row],[ActualResult]]), 0, 1)</f>
        <v>0</v>
      </c>
      <c r="AC1082" s="64">
        <f>IF(ISBLANK(Table1[[#This Row],[ActualResult]]), 0, IF(Table1[[#This Row],[ActualWinner]]=Table1[[#This Row],[PredictedWinner]], 1, 0))</f>
        <v>0</v>
      </c>
      <c r="AD108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8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82" s="64">
        <f>IF(AND(Table1[[#This Row],[GameIsOver]]=1,Table1[[#This Row],[ActualAwayScore]]=0), 1,0)</f>
        <v>0</v>
      </c>
      <c r="AG1082" s="64">
        <f>IF(AND(Table1[[#This Row],[GameIsOver]]=1,Table1[[#This Row],[ActualHomeScore]]=0), 1,0)</f>
        <v>0</v>
      </c>
      <c r="AH1082" s="64">
        <f>IF(Table1[[#This Row],[GameIsOver]]=0,0,IF(Table1[[#This Row],[ActualWinner]]=Table1[[#This Row],[AwayTeam]], 1, 0))</f>
        <v>0</v>
      </c>
      <c r="AI1082" s="64">
        <f>IF(Table1[[#This Row],[GameIsOver]]=0,0,IF(Table1[[#This Row],[ActualWinner]]=Table1[[#This Row],[HomeTeam]], 1, 0))</f>
        <v>0</v>
      </c>
      <c r="AJ1082" s="64">
        <f>IF(INDEX(Standings!$A$2:$C$33,MATCH(Table1[[#This Row],[AwayTeam]],Standings!$A$2:$A$33,0),2)=INDEX(Standings!$A$2:$C$33,MATCH(Table1[[#This Row],[HomeTeam]],Standings!$A$2:$A$33,0),2),1,0)</f>
        <v>0</v>
      </c>
      <c r="AK1082" s="64">
        <f>IF(INDEX(Standings!$A$2:$C$33,MATCH(Table1[[#This Row],[AwayTeam]],Standings!$A$2:$A$33,0),3)=INDEX(Standings!$A$2:$C$33,MATCH(Table1[[#This Row],[HomeTeam]],Standings!$A$2:$A$33,0),3),1,0)</f>
        <v>0</v>
      </c>
      <c r="AL1082" s="64">
        <f>IF(Table1[[#This Row],[InterConf]]=1,IF(Table1[[#This Row],[InterDiv]]=0, 1, 0), 0)</f>
        <v>0</v>
      </c>
      <c r="AM1082" s="64">
        <f>IF(INDEX(Standings!$A$2:$C$33,MATCH(Table1[[#This Row],[AwayTeam]],Standings!$A$2:$A$33,0),2)&lt;&gt;INDEX(Standings!$A$2:$C$33,MATCH(Table1[[#This Row],[HomeTeam]],Standings!$A$2:$A$33,0),2),1,0)</f>
        <v>1</v>
      </c>
      <c r="AN1082" s="64" t="str">
        <f>INDEX(Table2[AWAY_RECORD], MATCH(Table1[[#This Row],[AwayTeam]],Table2[Team], 0), 0)</f>
        <v>0-0-0</v>
      </c>
      <c r="AO1082" s="64" t="str">
        <f>INDEX(Records!$B$2:$AG$33, MATCH(Table1[[#This Row],[AwayTeam]],Records!$A$2:$A$33, 0), MATCH(Table1[[#This Row],[HomeTeam]],Records!$A$2:$A$33, 0))</f>
        <v>0-0-0</v>
      </c>
      <c r="AP1082" s="64" t="str">
        <f>INDEX(Table2[HOME_RECORD], MATCH(Table1[[#This Row],[HomeTeam]],Table2[Team], 0), 0)</f>
        <v>1-0-0</v>
      </c>
      <c r="AQ1082" s="64" t="str">
        <f>INDEX(Records!$B$2:$AG$33, MATCH(Table1[[#This Row],[HomeTeam]],Records!$A$2:$A$33, 0), MATCH(Table1[[#This Row],[AwayTeam]],Records!$A$2:$A$33, 0))</f>
        <v>0-0-0</v>
      </c>
    </row>
    <row r="1083" spans="1:43" x14ac:dyDescent="0.25">
      <c r="A1083" s="1"/>
      <c r="D1083" t="s">
        <v>1417</v>
      </c>
      <c r="E1083" t="s">
        <v>432</v>
      </c>
      <c r="F1083" t="s">
        <v>1422</v>
      </c>
      <c r="G1083" t="s">
        <v>58</v>
      </c>
      <c r="H1083" t="s">
        <v>40</v>
      </c>
      <c r="L108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8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83" s="1"/>
      <c r="T1083" s="64" t="str">
        <f>IF(Table1[[#This Row],[ActualWinner]]="", "", IF(Table1[[#This Row],[AwayTeam]]=Table1[[#This Row],[ActualWinner]],Table1[[#This Row],[HomeTeam]],Table1[[#This Row],[AwayTeam]]))</f>
        <v/>
      </c>
      <c r="U1083" s="64">
        <f>Table1[[#This Row],[ActualAwayScore]]-Table1[[#This Row],[PredictedAwayScore]]</f>
        <v>0</v>
      </c>
      <c r="V1083" s="64">
        <f>Table1[[#This Row],[ActualHomeScore]]-Table1[[#This Row],[PredictedHomeScore]]</f>
        <v>0</v>
      </c>
      <c r="W1083" s="64">
        <f>(0.8*IF(Table1[[#This Row],[CorrectWinnerPrediction]]=1, 1, 0))+(0.1*IF(Table1[[#This Row],[CorrectAwayScorePrediction]]=1, 1, 0))+(0.1*IF(Table1[[#This Row],[CorrectHomeScorePrediction]]=1, 1, 0))</f>
        <v>0</v>
      </c>
      <c r="X108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83" s="64">
        <f>SUMIF(Table1[GameDate], Table1[[#This Row],[GameDate]], Table1[AwayGameGoalDiff])</f>
        <v>0</v>
      </c>
      <c r="AA1083" s="64">
        <f>SUMIF(Table1[GameDate], Table1[[#This Row],[GameDate]], Table1[HomeGameGoalDiff])</f>
        <v>0</v>
      </c>
      <c r="AB1083" s="64">
        <f>IF(ISBLANK(Table1[[#This Row],[ActualResult]]), 0, 1)</f>
        <v>0</v>
      </c>
      <c r="AC1083" s="64">
        <f>IF(ISBLANK(Table1[[#This Row],[ActualResult]]), 0, IF(Table1[[#This Row],[ActualWinner]]=Table1[[#This Row],[PredictedWinner]], 1, 0))</f>
        <v>0</v>
      </c>
      <c r="AD108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8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83" s="64">
        <f>IF(AND(Table1[[#This Row],[GameIsOver]]=1,Table1[[#This Row],[ActualAwayScore]]=0), 1,0)</f>
        <v>0</v>
      </c>
      <c r="AG1083" s="64">
        <f>IF(AND(Table1[[#This Row],[GameIsOver]]=1,Table1[[#This Row],[ActualHomeScore]]=0), 1,0)</f>
        <v>0</v>
      </c>
      <c r="AH1083" s="64">
        <f>IF(Table1[[#This Row],[GameIsOver]]=0,0,IF(Table1[[#This Row],[ActualWinner]]=Table1[[#This Row],[AwayTeam]], 1, 0))</f>
        <v>0</v>
      </c>
      <c r="AI1083" s="64">
        <f>IF(Table1[[#This Row],[GameIsOver]]=0,0,IF(Table1[[#This Row],[ActualWinner]]=Table1[[#This Row],[HomeTeam]], 1, 0))</f>
        <v>0</v>
      </c>
      <c r="AJ1083" s="64">
        <f>IF(INDEX(Standings!$A$2:$C$33,MATCH(Table1[[#This Row],[AwayTeam]],Standings!$A$2:$A$33,0),2)=INDEX(Standings!$A$2:$C$33,MATCH(Table1[[#This Row],[HomeTeam]],Standings!$A$2:$A$33,0),2),1,0)</f>
        <v>0</v>
      </c>
      <c r="AK1083" s="64">
        <f>IF(INDEX(Standings!$A$2:$C$33,MATCH(Table1[[#This Row],[AwayTeam]],Standings!$A$2:$A$33,0),3)=INDEX(Standings!$A$2:$C$33,MATCH(Table1[[#This Row],[HomeTeam]],Standings!$A$2:$A$33,0),3),1,0)</f>
        <v>0</v>
      </c>
      <c r="AL1083" s="64">
        <f>IF(Table1[[#This Row],[InterConf]]=1,IF(Table1[[#This Row],[InterDiv]]=0, 1, 0), 0)</f>
        <v>0</v>
      </c>
      <c r="AM1083" s="64">
        <f>IF(INDEX(Standings!$A$2:$C$33,MATCH(Table1[[#This Row],[AwayTeam]],Standings!$A$2:$A$33,0),2)&lt;&gt;INDEX(Standings!$A$2:$C$33,MATCH(Table1[[#This Row],[HomeTeam]],Standings!$A$2:$A$33,0),2),1,0)</f>
        <v>1</v>
      </c>
      <c r="AN1083" s="64" t="str">
        <f>INDEX(Table2[AWAY_RECORD], MATCH(Table1[[#This Row],[AwayTeam]],Table2[Team], 0), 0)</f>
        <v>0-0-0</v>
      </c>
      <c r="AO1083" s="64" t="str">
        <f>INDEX(Records!$B$2:$AG$33, MATCH(Table1[[#This Row],[AwayTeam]],Records!$A$2:$A$33, 0), MATCH(Table1[[#This Row],[HomeTeam]],Records!$A$2:$A$33, 0))</f>
        <v>0-0-0</v>
      </c>
      <c r="AP1083" s="64" t="str">
        <f>INDEX(Table2[HOME_RECORD], MATCH(Table1[[#This Row],[HomeTeam]],Table2[Team], 0), 0)</f>
        <v>1-1-0</v>
      </c>
      <c r="AQ1083" s="64" t="str">
        <f>INDEX(Records!$B$2:$AG$33, MATCH(Table1[[#This Row],[HomeTeam]],Records!$A$2:$A$33, 0), MATCH(Table1[[#This Row],[AwayTeam]],Records!$A$2:$A$33, 0))</f>
        <v>0-0-0</v>
      </c>
    </row>
    <row r="1084" spans="1:43" x14ac:dyDescent="0.25">
      <c r="A1084" s="1"/>
      <c r="D1084" t="s">
        <v>1417</v>
      </c>
      <c r="E1084" t="s">
        <v>252</v>
      </c>
      <c r="F1084" t="s">
        <v>1423</v>
      </c>
      <c r="G1084" t="s">
        <v>39</v>
      </c>
      <c r="H1084" t="s">
        <v>60</v>
      </c>
      <c r="L108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8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84" s="1"/>
      <c r="T1084" s="64" t="str">
        <f>IF(Table1[[#This Row],[ActualWinner]]="", "", IF(Table1[[#This Row],[AwayTeam]]=Table1[[#This Row],[ActualWinner]],Table1[[#This Row],[HomeTeam]],Table1[[#This Row],[AwayTeam]]))</f>
        <v/>
      </c>
      <c r="U1084" s="64">
        <f>Table1[[#This Row],[ActualAwayScore]]-Table1[[#This Row],[PredictedAwayScore]]</f>
        <v>0</v>
      </c>
      <c r="V1084" s="64">
        <f>Table1[[#This Row],[ActualHomeScore]]-Table1[[#This Row],[PredictedHomeScore]]</f>
        <v>0</v>
      </c>
      <c r="W1084" s="64">
        <f>(0.8*IF(Table1[[#This Row],[CorrectWinnerPrediction]]=1, 1, 0))+(0.1*IF(Table1[[#This Row],[CorrectAwayScorePrediction]]=1, 1, 0))+(0.1*IF(Table1[[#This Row],[CorrectHomeScorePrediction]]=1, 1, 0))</f>
        <v>0</v>
      </c>
      <c r="X108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84" s="64">
        <f>SUMIF(Table1[GameDate], Table1[[#This Row],[GameDate]], Table1[AwayGameGoalDiff])</f>
        <v>0</v>
      </c>
      <c r="AA1084" s="64">
        <f>SUMIF(Table1[GameDate], Table1[[#This Row],[GameDate]], Table1[HomeGameGoalDiff])</f>
        <v>0</v>
      </c>
      <c r="AB1084" s="64">
        <f>IF(ISBLANK(Table1[[#This Row],[ActualResult]]), 0, 1)</f>
        <v>0</v>
      </c>
      <c r="AC1084" s="64">
        <f>IF(ISBLANK(Table1[[#This Row],[ActualResult]]), 0, IF(Table1[[#This Row],[ActualWinner]]=Table1[[#This Row],[PredictedWinner]], 1, 0))</f>
        <v>0</v>
      </c>
      <c r="AD108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8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84" s="64">
        <f>IF(AND(Table1[[#This Row],[GameIsOver]]=1,Table1[[#This Row],[ActualAwayScore]]=0), 1,0)</f>
        <v>0</v>
      </c>
      <c r="AG1084" s="64">
        <f>IF(AND(Table1[[#This Row],[GameIsOver]]=1,Table1[[#This Row],[ActualHomeScore]]=0), 1,0)</f>
        <v>0</v>
      </c>
      <c r="AH1084" s="64">
        <f>IF(Table1[[#This Row],[GameIsOver]]=0,0,IF(Table1[[#This Row],[ActualWinner]]=Table1[[#This Row],[AwayTeam]], 1, 0))</f>
        <v>0</v>
      </c>
      <c r="AI1084" s="64">
        <f>IF(Table1[[#This Row],[GameIsOver]]=0,0,IF(Table1[[#This Row],[ActualWinner]]=Table1[[#This Row],[HomeTeam]], 1, 0))</f>
        <v>0</v>
      </c>
      <c r="AJ1084" s="64">
        <f>IF(INDEX(Standings!$A$2:$C$33,MATCH(Table1[[#This Row],[AwayTeam]],Standings!$A$2:$A$33,0),2)=INDEX(Standings!$A$2:$C$33,MATCH(Table1[[#This Row],[HomeTeam]],Standings!$A$2:$A$33,0),2),1,0)</f>
        <v>1</v>
      </c>
      <c r="AK1084" s="64">
        <f>IF(INDEX(Standings!$A$2:$C$33,MATCH(Table1[[#This Row],[AwayTeam]],Standings!$A$2:$A$33,0),3)=INDEX(Standings!$A$2:$C$33,MATCH(Table1[[#This Row],[HomeTeam]],Standings!$A$2:$A$33,0),3),1,0)</f>
        <v>0</v>
      </c>
      <c r="AL1084" s="64">
        <f>IF(Table1[[#This Row],[InterConf]]=1,IF(Table1[[#This Row],[InterDiv]]=0, 1, 0), 0)</f>
        <v>1</v>
      </c>
      <c r="AM1084" s="64">
        <f>IF(INDEX(Standings!$A$2:$C$33,MATCH(Table1[[#This Row],[AwayTeam]],Standings!$A$2:$A$33,0),2)&lt;&gt;INDEX(Standings!$A$2:$C$33,MATCH(Table1[[#This Row],[HomeTeam]],Standings!$A$2:$A$33,0),2),1,0)</f>
        <v>0</v>
      </c>
      <c r="AN1084" s="64" t="str">
        <f>INDEX(Table2[AWAY_RECORD], MATCH(Table1[[#This Row],[AwayTeam]],Table2[Team], 0), 0)</f>
        <v>0-0-0</v>
      </c>
      <c r="AO1084" s="64" t="str">
        <f>INDEX(Records!$B$2:$AG$33, MATCH(Table1[[#This Row],[AwayTeam]],Records!$A$2:$A$33, 0), MATCH(Table1[[#This Row],[HomeTeam]],Records!$A$2:$A$33, 0))</f>
        <v>0-0-0</v>
      </c>
      <c r="AP1084" s="64" t="str">
        <f>INDEX(Table2[HOME_RECORD], MATCH(Table1[[#This Row],[HomeTeam]],Table2[Team], 0), 0)</f>
        <v>1-0-0</v>
      </c>
      <c r="AQ1084" s="64" t="str">
        <f>INDEX(Records!$B$2:$AG$33, MATCH(Table1[[#This Row],[HomeTeam]],Records!$A$2:$A$33, 0), MATCH(Table1[[#This Row],[AwayTeam]],Records!$A$2:$A$33, 0))</f>
        <v>0-0-0</v>
      </c>
    </row>
    <row r="1085" spans="1:43" x14ac:dyDescent="0.25">
      <c r="A1085" s="1"/>
      <c r="D1085" t="s">
        <v>1417</v>
      </c>
      <c r="E1085" t="s">
        <v>443</v>
      </c>
      <c r="F1085" t="s">
        <v>1424</v>
      </c>
      <c r="G1085" t="s">
        <v>41</v>
      </c>
      <c r="H1085" t="s">
        <v>46</v>
      </c>
      <c r="L108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8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85" s="1"/>
      <c r="T1085" s="64" t="str">
        <f>IF(Table1[[#This Row],[ActualWinner]]="", "", IF(Table1[[#This Row],[AwayTeam]]=Table1[[#This Row],[ActualWinner]],Table1[[#This Row],[HomeTeam]],Table1[[#This Row],[AwayTeam]]))</f>
        <v/>
      </c>
      <c r="U1085" s="64">
        <f>Table1[[#This Row],[ActualAwayScore]]-Table1[[#This Row],[PredictedAwayScore]]</f>
        <v>0</v>
      </c>
      <c r="V1085" s="64">
        <f>Table1[[#This Row],[ActualHomeScore]]-Table1[[#This Row],[PredictedHomeScore]]</f>
        <v>0</v>
      </c>
      <c r="W1085" s="64">
        <f>(0.8*IF(Table1[[#This Row],[CorrectWinnerPrediction]]=1, 1, 0))+(0.1*IF(Table1[[#This Row],[CorrectAwayScorePrediction]]=1, 1, 0))+(0.1*IF(Table1[[#This Row],[CorrectHomeScorePrediction]]=1, 1, 0))</f>
        <v>0</v>
      </c>
      <c r="X108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85" s="64">
        <f>SUMIF(Table1[GameDate], Table1[[#This Row],[GameDate]], Table1[AwayGameGoalDiff])</f>
        <v>0</v>
      </c>
      <c r="AA1085" s="64">
        <f>SUMIF(Table1[GameDate], Table1[[#This Row],[GameDate]], Table1[HomeGameGoalDiff])</f>
        <v>0</v>
      </c>
      <c r="AB1085" s="64">
        <f>IF(ISBLANK(Table1[[#This Row],[ActualResult]]), 0, 1)</f>
        <v>0</v>
      </c>
      <c r="AC1085" s="64">
        <f>IF(ISBLANK(Table1[[#This Row],[ActualResult]]), 0, IF(Table1[[#This Row],[ActualWinner]]=Table1[[#This Row],[PredictedWinner]], 1, 0))</f>
        <v>0</v>
      </c>
      <c r="AD108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8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85" s="64">
        <f>IF(AND(Table1[[#This Row],[GameIsOver]]=1,Table1[[#This Row],[ActualAwayScore]]=0), 1,0)</f>
        <v>0</v>
      </c>
      <c r="AG1085" s="64">
        <f>IF(AND(Table1[[#This Row],[GameIsOver]]=1,Table1[[#This Row],[ActualHomeScore]]=0), 1,0)</f>
        <v>0</v>
      </c>
      <c r="AH1085" s="64">
        <f>IF(Table1[[#This Row],[GameIsOver]]=0,0,IF(Table1[[#This Row],[ActualWinner]]=Table1[[#This Row],[AwayTeam]], 1, 0))</f>
        <v>0</v>
      </c>
      <c r="AI1085" s="64">
        <f>IF(Table1[[#This Row],[GameIsOver]]=0,0,IF(Table1[[#This Row],[ActualWinner]]=Table1[[#This Row],[HomeTeam]], 1, 0))</f>
        <v>0</v>
      </c>
      <c r="AJ1085" s="64">
        <f>IF(INDEX(Standings!$A$2:$C$33,MATCH(Table1[[#This Row],[AwayTeam]],Standings!$A$2:$A$33,0),2)=INDEX(Standings!$A$2:$C$33,MATCH(Table1[[#This Row],[HomeTeam]],Standings!$A$2:$A$33,0),2),1,0)</f>
        <v>1</v>
      </c>
      <c r="AK1085" s="64">
        <f>IF(INDEX(Standings!$A$2:$C$33,MATCH(Table1[[#This Row],[AwayTeam]],Standings!$A$2:$A$33,0),3)=INDEX(Standings!$A$2:$C$33,MATCH(Table1[[#This Row],[HomeTeam]],Standings!$A$2:$A$33,0),3),1,0)</f>
        <v>0</v>
      </c>
      <c r="AL1085" s="64">
        <f>IF(Table1[[#This Row],[InterConf]]=1,IF(Table1[[#This Row],[InterDiv]]=0, 1, 0), 0)</f>
        <v>1</v>
      </c>
      <c r="AM1085" s="64">
        <f>IF(INDEX(Standings!$A$2:$C$33,MATCH(Table1[[#This Row],[AwayTeam]],Standings!$A$2:$A$33,0),2)&lt;&gt;INDEX(Standings!$A$2:$C$33,MATCH(Table1[[#This Row],[HomeTeam]],Standings!$A$2:$A$33,0),2),1,0)</f>
        <v>0</v>
      </c>
      <c r="AN1085" s="64" t="str">
        <f>INDEX(Table2[AWAY_RECORD], MATCH(Table1[[#This Row],[AwayTeam]],Table2[Team], 0), 0)</f>
        <v>0-0-0</v>
      </c>
      <c r="AO1085" s="64" t="str">
        <f>INDEX(Records!$B$2:$AG$33, MATCH(Table1[[#This Row],[AwayTeam]],Records!$A$2:$A$33, 0), MATCH(Table1[[#This Row],[HomeTeam]],Records!$A$2:$A$33, 0))</f>
        <v>0-0-1</v>
      </c>
      <c r="AP1085" s="64" t="str">
        <f>INDEX(Table2[HOME_RECORD], MATCH(Table1[[#This Row],[HomeTeam]],Table2[Team], 0), 0)</f>
        <v>0-0-0</v>
      </c>
      <c r="AQ1085" s="64" t="str">
        <f>INDEX(Records!$B$2:$AG$33, MATCH(Table1[[#This Row],[HomeTeam]],Records!$A$2:$A$33, 0), MATCH(Table1[[#This Row],[AwayTeam]],Records!$A$2:$A$33, 0))</f>
        <v>1-0-0</v>
      </c>
    </row>
    <row r="1086" spans="1:43" x14ac:dyDescent="0.25">
      <c r="A1086" s="1"/>
      <c r="D1086" t="s">
        <v>1417</v>
      </c>
      <c r="E1086" t="s">
        <v>207</v>
      </c>
      <c r="F1086" t="s">
        <v>1425</v>
      </c>
      <c r="G1086" t="s">
        <v>38</v>
      </c>
      <c r="H1086" t="s">
        <v>52</v>
      </c>
      <c r="L108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8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86" s="1"/>
      <c r="T1086" s="64" t="str">
        <f>IF(Table1[[#This Row],[ActualWinner]]="", "", IF(Table1[[#This Row],[AwayTeam]]=Table1[[#This Row],[ActualWinner]],Table1[[#This Row],[HomeTeam]],Table1[[#This Row],[AwayTeam]]))</f>
        <v/>
      </c>
      <c r="U1086" s="64">
        <f>Table1[[#This Row],[ActualAwayScore]]-Table1[[#This Row],[PredictedAwayScore]]</f>
        <v>0</v>
      </c>
      <c r="V1086" s="64">
        <f>Table1[[#This Row],[ActualHomeScore]]-Table1[[#This Row],[PredictedHomeScore]]</f>
        <v>0</v>
      </c>
      <c r="W1086" s="64">
        <f>(0.8*IF(Table1[[#This Row],[CorrectWinnerPrediction]]=1, 1, 0))+(0.1*IF(Table1[[#This Row],[CorrectAwayScorePrediction]]=1, 1, 0))+(0.1*IF(Table1[[#This Row],[CorrectHomeScorePrediction]]=1, 1, 0))</f>
        <v>0</v>
      </c>
      <c r="X108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86" s="64">
        <f>SUMIF(Table1[GameDate], Table1[[#This Row],[GameDate]], Table1[AwayGameGoalDiff])</f>
        <v>0</v>
      </c>
      <c r="AA1086" s="64">
        <f>SUMIF(Table1[GameDate], Table1[[#This Row],[GameDate]], Table1[HomeGameGoalDiff])</f>
        <v>0</v>
      </c>
      <c r="AB1086" s="64">
        <f>IF(ISBLANK(Table1[[#This Row],[ActualResult]]), 0, 1)</f>
        <v>0</v>
      </c>
      <c r="AC1086" s="64">
        <f>IF(ISBLANK(Table1[[#This Row],[ActualResult]]), 0, IF(Table1[[#This Row],[ActualWinner]]=Table1[[#This Row],[PredictedWinner]], 1, 0))</f>
        <v>0</v>
      </c>
      <c r="AD108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8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86" s="64">
        <f>IF(AND(Table1[[#This Row],[GameIsOver]]=1,Table1[[#This Row],[ActualAwayScore]]=0), 1,0)</f>
        <v>0</v>
      </c>
      <c r="AG1086" s="64">
        <f>IF(AND(Table1[[#This Row],[GameIsOver]]=1,Table1[[#This Row],[ActualHomeScore]]=0), 1,0)</f>
        <v>0</v>
      </c>
      <c r="AH1086" s="64">
        <f>IF(Table1[[#This Row],[GameIsOver]]=0,0,IF(Table1[[#This Row],[ActualWinner]]=Table1[[#This Row],[AwayTeam]], 1, 0))</f>
        <v>0</v>
      </c>
      <c r="AI1086" s="64">
        <f>IF(Table1[[#This Row],[GameIsOver]]=0,0,IF(Table1[[#This Row],[ActualWinner]]=Table1[[#This Row],[HomeTeam]], 1, 0))</f>
        <v>0</v>
      </c>
      <c r="AJ1086" s="64">
        <f>IF(INDEX(Standings!$A$2:$C$33,MATCH(Table1[[#This Row],[AwayTeam]],Standings!$A$2:$A$33,0),2)=INDEX(Standings!$A$2:$C$33,MATCH(Table1[[#This Row],[HomeTeam]],Standings!$A$2:$A$33,0),2),1,0)</f>
        <v>1</v>
      </c>
      <c r="AK1086" s="64">
        <f>IF(INDEX(Standings!$A$2:$C$33,MATCH(Table1[[#This Row],[AwayTeam]],Standings!$A$2:$A$33,0),3)=INDEX(Standings!$A$2:$C$33,MATCH(Table1[[#This Row],[HomeTeam]],Standings!$A$2:$A$33,0),3),1,0)</f>
        <v>1</v>
      </c>
      <c r="AL1086" s="64">
        <f>IF(Table1[[#This Row],[InterConf]]=1,IF(Table1[[#This Row],[InterDiv]]=0, 1, 0), 0)</f>
        <v>0</v>
      </c>
      <c r="AM1086" s="64">
        <f>IF(INDEX(Standings!$A$2:$C$33,MATCH(Table1[[#This Row],[AwayTeam]],Standings!$A$2:$A$33,0),2)&lt;&gt;INDEX(Standings!$A$2:$C$33,MATCH(Table1[[#This Row],[HomeTeam]],Standings!$A$2:$A$33,0),2),1,0)</f>
        <v>0</v>
      </c>
      <c r="AN1086" s="64" t="str">
        <f>INDEX(Table2[AWAY_RECORD], MATCH(Table1[[#This Row],[AwayTeam]],Table2[Team], 0), 0)</f>
        <v>0-0-1</v>
      </c>
      <c r="AO1086" s="64" t="str">
        <f>INDEX(Records!$B$2:$AG$33, MATCH(Table1[[#This Row],[AwayTeam]],Records!$A$2:$A$33, 0), MATCH(Table1[[#This Row],[HomeTeam]],Records!$A$2:$A$33, 0))</f>
        <v>0-0-0</v>
      </c>
      <c r="AP1086" s="64" t="str">
        <f>INDEX(Table2[HOME_RECORD], MATCH(Table1[[#This Row],[HomeTeam]],Table2[Team], 0), 0)</f>
        <v>0-0-0</v>
      </c>
      <c r="AQ1086" s="64" t="str">
        <f>INDEX(Records!$B$2:$AG$33, MATCH(Table1[[#This Row],[HomeTeam]],Records!$A$2:$A$33, 0), MATCH(Table1[[#This Row],[AwayTeam]],Records!$A$2:$A$33, 0))</f>
        <v>0-0-0</v>
      </c>
    </row>
    <row r="1087" spans="1:43" x14ac:dyDescent="0.25">
      <c r="A1087" s="1"/>
      <c r="D1087" t="s">
        <v>1417</v>
      </c>
      <c r="E1087" t="s">
        <v>160</v>
      </c>
      <c r="F1087" t="s">
        <v>1426</v>
      </c>
      <c r="G1087" t="s">
        <v>25</v>
      </c>
      <c r="H1087" t="s">
        <v>51</v>
      </c>
      <c r="L108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8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87" s="1"/>
      <c r="T1087" s="64" t="str">
        <f>IF(Table1[[#This Row],[ActualWinner]]="", "", IF(Table1[[#This Row],[AwayTeam]]=Table1[[#This Row],[ActualWinner]],Table1[[#This Row],[HomeTeam]],Table1[[#This Row],[AwayTeam]]))</f>
        <v/>
      </c>
      <c r="U1087" s="64">
        <f>Table1[[#This Row],[ActualAwayScore]]-Table1[[#This Row],[PredictedAwayScore]]</f>
        <v>0</v>
      </c>
      <c r="V1087" s="64">
        <f>Table1[[#This Row],[ActualHomeScore]]-Table1[[#This Row],[PredictedHomeScore]]</f>
        <v>0</v>
      </c>
      <c r="W1087" s="64">
        <f>(0.8*IF(Table1[[#This Row],[CorrectWinnerPrediction]]=1, 1, 0))+(0.1*IF(Table1[[#This Row],[CorrectAwayScorePrediction]]=1, 1, 0))+(0.1*IF(Table1[[#This Row],[CorrectHomeScorePrediction]]=1, 1, 0))</f>
        <v>0</v>
      </c>
      <c r="X108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87" s="64">
        <f>SUMIF(Table1[GameDate], Table1[[#This Row],[GameDate]], Table1[AwayGameGoalDiff])</f>
        <v>0</v>
      </c>
      <c r="AA1087" s="64">
        <f>SUMIF(Table1[GameDate], Table1[[#This Row],[GameDate]], Table1[HomeGameGoalDiff])</f>
        <v>0</v>
      </c>
      <c r="AB1087" s="64">
        <f>IF(ISBLANK(Table1[[#This Row],[ActualResult]]), 0, 1)</f>
        <v>0</v>
      </c>
      <c r="AC1087" s="64">
        <f>IF(ISBLANK(Table1[[#This Row],[ActualResult]]), 0, IF(Table1[[#This Row],[ActualWinner]]=Table1[[#This Row],[PredictedWinner]], 1, 0))</f>
        <v>0</v>
      </c>
      <c r="AD108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8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87" s="64">
        <f>IF(AND(Table1[[#This Row],[GameIsOver]]=1,Table1[[#This Row],[ActualAwayScore]]=0), 1,0)</f>
        <v>0</v>
      </c>
      <c r="AG1087" s="64">
        <f>IF(AND(Table1[[#This Row],[GameIsOver]]=1,Table1[[#This Row],[ActualHomeScore]]=0), 1,0)</f>
        <v>0</v>
      </c>
      <c r="AH1087" s="64">
        <f>IF(Table1[[#This Row],[GameIsOver]]=0,0,IF(Table1[[#This Row],[ActualWinner]]=Table1[[#This Row],[AwayTeam]], 1, 0))</f>
        <v>0</v>
      </c>
      <c r="AI1087" s="64">
        <f>IF(Table1[[#This Row],[GameIsOver]]=0,0,IF(Table1[[#This Row],[ActualWinner]]=Table1[[#This Row],[HomeTeam]], 1, 0))</f>
        <v>0</v>
      </c>
      <c r="AJ1087" s="64">
        <f>IF(INDEX(Standings!$A$2:$C$33,MATCH(Table1[[#This Row],[AwayTeam]],Standings!$A$2:$A$33,0),2)=INDEX(Standings!$A$2:$C$33,MATCH(Table1[[#This Row],[HomeTeam]],Standings!$A$2:$A$33,0),2),1,0)</f>
        <v>0</v>
      </c>
      <c r="AK1087" s="64">
        <f>IF(INDEX(Standings!$A$2:$C$33,MATCH(Table1[[#This Row],[AwayTeam]],Standings!$A$2:$A$33,0),3)=INDEX(Standings!$A$2:$C$33,MATCH(Table1[[#This Row],[HomeTeam]],Standings!$A$2:$A$33,0),3),1,0)</f>
        <v>0</v>
      </c>
      <c r="AL1087" s="64">
        <f>IF(Table1[[#This Row],[InterConf]]=1,IF(Table1[[#This Row],[InterDiv]]=0, 1, 0), 0)</f>
        <v>0</v>
      </c>
      <c r="AM1087" s="64">
        <f>IF(INDEX(Standings!$A$2:$C$33,MATCH(Table1[[#This Row],[AwayTeam]],Standings!$A$2:$A$33,0),2)&lt;&gt;INDEX(Standings!$A$2:$C$33,MATCH(Table1[[#This Row],[HomeTeam]],Standings!$A$2:$A$33,0),2),1,0)</f>
        <v>1</v>
      </c>
      <c r="AN1087" s="64" t="str">
        <f>INDEX(Table2[AWAY_RECORD], MATCH(Table1[[#This Row],[AwayTeam]],Table2[Team], 0), 0)</f>
        <v>0-0-0</v>
      </c>
      <c r="AO1087" s="64" t="str">
        <f>INDEX(Records!$B$2:$AG$33, MATCH(Table1[[#This Row],[AwayTeam]],Records!$A$2:$A$33, 0), MATCH(Table1[[#This Row],[HomeTeam]],Records!$A$2:$A$33, 0))</f>
        <v>0-0-0</v>
      </c>
      <c r="AP1087" s="64" t="str">
        <f>INDEX(Table2[HOME_RECORD], MATCH(Table1[[#This Row],[HomeTeam]],Table2[Team], 0), 0)</f>
        <v>1-0-0</v>
      </c>
      <c r="AQ1087" s="64" t="str">
        <f>INDEX(Records!$B$2:$AG$33, MATCH(Table1[[#This Row],[HomeTeam]],Records!$A$2:$A$33, 0), MATCH(Table1[[#This Row],[AwayTeam]],Records!$A$2:$A$33, 0))</f>
        <v>0-0-0</v>
      </c>
    </row>
    <row r="1088" spans="1:43" x14ac:dyDescent="0.25">
      <c r="A1088" s="1"/>
      <c r="D1088" t="s">
        <v>1417</v>
      </c>
      <c r="E1088" t="s">
        <v>178</v>
      </c>
      <c r="F1088" t="s">
        <v>1427</v>
      </c>
      <c r="G1088" t="s">
        <v>42</v>
      </c>
      <c r="H1088" t="s">
        <v>36</v>
      </c>
      <c r="L108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8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88" s="1"/>
      <c r="T1088" s="64" t="str">
        <f>IF(Table1[[#This Row],[ActualWinner]]="", "", IF(Table1[[#This Row],[AwayTeam]]=Table1[[#This Row],[ActualWinner]],Table1[[#This Row],[HomeTeam]],Table1[[#This Row],[AwayTeam]]))</f>
        <v/>
      </c>
      <c r="U1088" s="64">
        <f>Table1[[#This Row],[ActualAwayScore]]-Table1[[#This Row],[PredictedAwayScore]]</f>
        <v>0</v>
      </c>
      <c r="V1088" s="64">
        <f>Table1[[#This Row],[ActualHomeScore]]-Table1[[#This Row],[PredictedHomeScore]]</f>
        <v>0</v>
      </c>
      <c r="W1088" s="64">
        <f>(0.8*IF(Table1[[#This Row],[CorrectWinnerPrediction]]=1, 1, 0))+(0.1*IF(Table1[[#This Row],[CorrectAwayScorePrediction]]=1, 1, 0))+(0.1*IF(Table1[[#This Row],[CorrectHomeScorePrediction]]=1, 1, 0))</f>
        <v>0</v>
      </c>
      <c r="X108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88" s="64">
        <f>SUMIF(Table1[GameDate], Table1[[#This Row],[GameDate]], Table1[AwayGameGoalDiff])</f>
        <v>0</v>
      </c>
      <c r="AA1088" s="64">
        <f>SUMIF(Table1[GameDate], Table1[[#This Row],[GameDate]], Table1[HomeGameGoalDiff])</f>
        <v>0</v>
      </c>
      <c r="AB1088" s="64">
        <f>IF(ISBLANK(Table1[[#This Row],[ActualResult]]), 0, 1)</f>
        <v>0</v>
      </c>
      <c r="AC1088" s="64">
        <f>IF(ISBLANK(Table1[[#This Row],[ActualResult]]), 0, IF(Table1[[#This Row],[ActualWinner]]=Table1[[#This Row],[PredictedWinner]], 1, 0))</f>
        <v>0</v>
      </c>
      <c r="AD108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8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88" s="64">
        <f>IF(AND(Table1[[#This Row],[GameIsOver]]=1,Table1[[#This Row],[ActualAwayScore]]=0), 1,0)</f>
        <v>0</v>
      </c>
      <c r="AG1088" s="64">
        <f>IF(AND(Table1[[#This Row],[GameIsOver]]=1,Table1[[#This Row],[ActualHomeScore]]=0), 1,0)</f>
        <v>0</v>
      </c>
      <c r="AH1088" s="64">
        <f>IF(Table1[[#This Row],[GameIsOver]]=0,0,IF(Table1[[#This Row],[ActualWinner]]=Table1[[#This Row],[AwayTeam]], 1, 0))</f>
        <v>0</v>
      </c>
      <c r="AI1088" s="64">
        <f>IF(Table1[[#This Row],[GameIsOver]]=0,0,IF(Table1[[#This Row],[ActualWinner]]=Table1[[#This Row],[HomeTeam]], 1, 0))</f>
        <v>0</v>
      </c>
      <c r="AJ1088" s="64">
        <f>IF(INDEX(Standings!$A$2:$C$33,MATCH(Table1[[#This Row],[AwayTeam]],Standings!$A$2:$A$33,0),2)=INDEX(Standings!$A$2:$C$33,MATCH(Table1[[#This Row],[HomeTeam]],Standings!$A$2:$A$33,0),2),1,0)</f>
        <v>0</v>
      </c>
      <c r="AK1088" s="64">
        <f>IF(INDEX(Standings!$A$2:$C$33,MATCH(Table1[[#This Row],[AwayTeam]],Standings!$A$2:$A$33,0),3)=INDEX(Standings!$A$2:$C$33,MATCH(Table1[[#This Row],[HomeTeam]],Standings!$A$2:$A$33,0),3),1,0)</f>
        <v>0</v>
      </c>
      <c r="AL1088" s="64">
        <f>IF(Table1[[#This Row],[InterConf]]=1,IF(Table1[[#This Row],[InterDiv]]=0, 1, 0), 0)</f>
        <v>0</v>
      </c>
      <c r="AM1088" s="64">
        <f>IF(INDEX(Standings!$A$2:$C$33,MATCH(Table1[[#This Row],[AwayTeam]],Standings!$A$2:$A$33,0),2)&lt;&gt;INDEX(Standings!$A$2:$C$33,MATCH(Table1[[#This Row],[HomeTeam]],Standings!$A$2:$A$33,0),2),1,0)</f>
        <v>1</v>
      </c>
      <c r="AN1088" s="64" t="str">
        <f>INDEX(Table2[AWAY_RECORD], MATCH(Table1[[#This Row],[AwayTeam]],Table2[Team], 0), 0)</f>
        <v>0-0-0</v>
      </c>
      <c r="AO1088" s="64" t="str">
        <f>INDEX(Records!$B$2:$AG$33, MATCH(Table1[[#This Row],[AwayTeam]],Records!$A$2:$A$33, 0), MATCH(Table1[[#This Row],[HomeTeam]],Records!$A$2:$A$33, 0))</f>
        <v>0-0-0</v>
      </c>
      <c r="AP1088" s="64" t="str">
        <f>INDEX(Table2[HOME_RECORD], MATCH(Table1[[#This Row],[HomeTeam]],Table2[Team], 0), 0)</f>
        <v>0-0-0</v>
      </c>
      <c r="AQ1088" s="64" t="str">
        <f>INDEX(Records!$B$2:$AG$33, MATCH(Table1[[#This Row],[HomeTeam]],Records!$A$2:$A$33, 0), MATCH(Table1[[#This Row],[AwayTeam]],Records!$A$2:$A$33, 0))</f>
        <v>0-0-0</v>
      </c>
    </row>
    <row r="1089" spans="1:43" x14ac:dyDescent="0.25">
      <c r="A1089" s="1"/>
      <c r="D1089" t="s">
        <v>1417</v>
      </c>
      <c r="E1089" t="s">
        <v>301</v>
      </c>
      <c r="F1089" t="s">
        <v>1428</v>
      </c>
      <c r="G1089" t="s">
        <v>59</v>
      </c>
      <c r="H1089" t="s">
        <v>22</v>
      </c>
      <c r="L108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8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89" s="1"/>
      <c r="T1089" s="64" t="str">
        <f>IF(Table1[[#This Row],[ActualWinner]]="", "", IF(Table1[[#This Row],[AwayTeam]]=Table1[[#This Row],[ActualWinner]],Table1[[#This Row],[HomeTeam]],Table1[[#This Row],[AwayTeam]]))</f>
        <v/>
      </c>
      <c r="U1089" s="64">
        <f>Table1[[#This Row],[ActualAwayScore]]-Table1[[#This Row],[PredictedAwayScore]]</f>
        <v>0</v>
      </c>
      <c r="V1089" s="64">
        <f>Table1[[#This Row],[ActualHomeScore]]-Table1[[#This Row],[PredictedHomeScore]]</f>
        <v>0</v>
      </c>
      <c r="W1089" s="64">
        <f>(0.8*IF(Table1[[#This Row],[CorrectWinnerPrediction]]=1, 1, 0))+(0.1*IF(Table1[[#This Row],[CorrectAwayScorePrediction]]=1, 1, 0))+(0.1*IF(Table1[[#This Row],[CorrectHomeScorePrediction]]=1, 1, 0))</f>
        <v>0</v>
      </c>
      <c r="X108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89" s="64">
        <f>SUMIF(Table1[GameDate], Table1[[#This Row],[GameDate]], Table1[AwayGameGoalDiff])</f>
        <v>0</v>
      </c>
      <c r="AA1089" s="64">
        <f>SUMIF(Table1[GameDate], Table1[[#This Row],[GameDate]], Table1[HomeGameGoalDiff])</f>
        <v>0</v>
      </c>
      <c r="AB1089" s="64">
        <f>IF(ISBLANK(Table1[[#This Row],[ActualResult]]), 0, 1)</f>
        <v>0</v>
      </c>
      <c r="AC1089" s="64">
        <f>IF(ISBLANK(Table1[[#This Row],[ActualResult]]), 0, IF(Table1[[#This Row],[ActualWinner]]=Table1[[#This Row],[PredictedWinner]], 1, 0))</f>
        <v>0</v>
      </c>
      <c r="AD108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8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89" s="64">
        <f>IF(AND(Table1[[#This Row],[GameIsOver]]=1,Table1[[#This Row],[ActualAwayScore]]=0), 1,0)</f>
        <v>0</v>
      </c>
      <c r="AG1089" s="64">
        <f>IF(AND(Table1[[#This Row],[GameIsOver]]=1,Table1[[#This Row],[ActualHomeScore]]=0), 1,0)</f>
        <v>0</v>
      </c>
      <c r="AH1089" s="64">
        <f>IF(Table1[[#This Row],[GameIsOver]]=0,0,IF(Table1[[#This Row],[ActualWinner]]=Table1[[#This Row],[AwayTeam]], 1, 0))</f>
        <v>0</v>
      </c>
      <c r="AI1089" s="64">
        <f>IF(Table1[[#This Row],[GameIsOver]]=0,0,IF(Table1[[#This Row],[ActualWinner]]=Table1[[#This Row],[HomeTeam]], 1, 0))</f>
        <v>0</v>
      </c>
      <c r="AJ1089" s="64">
        <f>IF(INDEX(Standings!$A$2:$C$33,MATCH(Table1[[#This Row],[AwayTeam]],Standings!$A$2:$A$33,0),2)=INDEX(Standings!$A$2:$C$33,MATCH(Table1[[#This Row],[HomeTeam]],Standings!$A$2:$A$33,0),2),1,0)</f>
        <v>0</v>
      </c>
      <c r="AK1089" s="64">
        <f>IF(INDEX(Standings!$A$2:$C$33,MATCH(Table1[[#This Row],[AwayTeam]],Standings!$A$2:$A$33,0),3)=INDEX(Standings!$A$2:$C$33,MATCH(Table1[[#This Row],[HomeTeam]],Standings!$A$2:$A$33,0),3),1,0)</f>
        <v>0</v>
      </c>
      <c r="AL1089" s="64">
        <f>IF(Table1[[#This Row],[InterConf]]=1,IF(Table1[[#This Row],[InterDiv]]=0, 1, 0), 0)</f>
        <v>0</v>
      </c>
      <c r="AM1089" s="64">
        <f>IF(INDEX(Standings!$A$2:$C$33,MATCH(Table1[[#This Row],[AwayTeam]],Standings!$A$2:$A$33,0),2)&lt;&gt;INDEX(Standings!$A$2:$C$33,MATCH(Table1[[#This Row],[HomeTeam]],Standings!$A$2:$A$33,0),2),1,0)</f>
        <v>1</v>
      </c>
      <c r="AN1089" s="64" t="str">
        <f>INDEX(Table2[AWAY_RECORD], MATCH(Table1[[#This Row],[AwayTeam]],Table2[Team], 0), 0)</f>
        <v>0-1-0</v>
      </c>
      <c r="AO1089" s="64" t="str">
        <f>INDEX(Records!$B$2:$AG$33, MATCH(Table1[[#This Row],[AwayTeam]],Records!$A$2:$A$33, 0), MATCH(Table1[[#This Row],[HomeTeam]],Records!$A$2:$A$33, 0))</f>
        <v>0-0-0</v>
      </c>
      <c r="AP1089" s="64" t="str">
        <f>INDEX(Table2[HOME_RECORD], MATCH(Table1[[#This Row],[HomeTeam]],Table2[Team], 0), 0)</f>
        <v>0-0-0</v>
      </c>
      <c r="AQ1089" s="64" t="str">
        <f>INDEX(Records!$B$2:$AG$33, MATCH(Table1[[#This Row],[HomeTeam]],Records!$A$2:$A$33, 0), MATCH(Table1[[#This Row],[AwayTeam]],Records!$A$2:$A$33, 0))</f>
        <v>0-0-0</v>
      </c>
    </row>
    <row r="1090" spans="1:43" x14ac:dyDescent="0.25">
      <c r="A1090" s="1"/>
      <c r="D1090" t="s">
        <v>1429</v>
      </c>
      <c r="E1090" t="s">
        <v>162</v>
      </c>
      <c r="F1090" t="s">
        <v>1430</v>
      </c>
      <c r="G1090" t="s">
        <v>56</v>
      </c>
      <c r="H1090" t="s">
        <v>37</v>
      </c>
      <c r="L109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9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90" s="1"/>
      <c r="T1090" s="64" t="str">
        <f>IF(Table1[[#This Row],[ActualWinner]]="", "", IF(Table1[[#This Row],[AwayTeam]]=Table1[[#This Row],[ActualWinner]],Table1[[#This Row],[HomeTeam]],Table1[[#This Row],[AwayTeam]]))</f>
        <v/>
      </c>
      <c r="U1090" s="64">
        <f>Table1[[#This Row],[ActualAwayScore]]-Table1[[#This Row],[PredictedAwayScore]]</f>
        <v>0</v>
      </c>
      <c r="V1090" s="64">
        <f>Table1[[#This Row],[ActualHomeScore]]-Table1[[#This Row],[PredictedHomeScore]]</f>
        <v>0</v>
      </c>
      <c r="W1090" s="64">
        <f>(0.8*IF(Table1[[#This Row],[CorrectWinnerPrediction]]=1, 1, 0))+(0.1*IF(Table1[[#This Row],[CorrectAwayScorePrediction]]=1, 1, 0))+(0.1*IF(Table1[[#This Row],[CorrectHomeScorePrediction]]=1, 1, 0))</f>
        <v>0</v>
      </c>
      <c r="X109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90" s="64">
        <f>SUMIF(Table1[GameDate], Table1[[#This Row],[GameDate]], Table1[AwayGameGoalDiff])</f>
        <v>0</v>
      </c>
      <c r="AA1090" s="64">
        <f>SUMIF(Table1[GameDate], Table1[[#This Row],[GameDate]], Table1[HomeGameGoalDiff])</f>
        <v>0</v>
      </c>
      <c r="AB1090" s="64">
        <f>IF(ISBLANK(Table1[[#This Row],[ActualResult]]), 0, 1)</f>
        <v>0</v>
      </c>
      <c r="AC1090" s="64">
        <f>IF(ISBLANK(Table1[[#This Row],[ActualResult]]), 0, IF(Table1[[#This Row],[ActualWinner]]=Table1[[#This Row],[PredictedWinner]], 1, 0))</f>
        <v>0</v>
      </c>
      <c r="AD109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9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90" s="64">
        <f>IF(AND(Table1[[#This Row],[GameIsOver]]=1,Table1[[#This Row],[ActualAwayScore]]=0), 1,0)</f>
        <v>0</v>
      </c>
      <c r="AG1090" s="64">
        <f>IF(AND(Table1[[#This Row],[GameIsOver]]=1,Table1[[#This Row],[ActualHomeScore]]=0), 1,0)</f>
        <v>0</v>
      </c>
      <c r="AH1090" s="64">
        <f>IF(Table1[[#This Row],[GameIsOver]]=0,0,IF(Table1[[#This Row],[ActualWinner]]=Table1[[#This Row],[AwayTeam]], 1, 0))</f>
        <v>0</v>
      </c>
      <c r="AI1090" s="64">
        <f>IF(Table1[[#This Row],[GameIsOver]]=0,0,IF(Table1[[#This Row],[ActualWinner]]=Table1[[#This Row],[HomeTeam]], 1, 0))</f>
        <v>0</v>
      </c>
      <c r="AJ1090" s="64">
        <f>IF(INDEX(Standings!$A$2:$C$33,MATCH(Table1[[#This Row],[AwayTeam]],Standings!$A$2:$A$33,0),2)=INDEX(Standings!$A$2:$C$33,MATCH(Table1[[#This Row],[HomeTeam]],Standings!$A$2:$A$33,0),2),1,0)</f>
        <v>0</v>
      </c>
      <c r="AK1090" s="64">
        <f>IF(INDEX(Standings!$A$2:$C$33,MATCH(Table1[[#This Row],[AwayTeam]],Standings!$A$2:$A$33,0),3)=INDEX(Standings!$A$2:$C$33,MATCH(Table1[[#This Row],[HomeTeam]],Standings!$A$2:$A$33,0),3),1,0)</f>
        <v>0</v>
      </c>
      <c r="AL1090" s="64">
        <f>IF(Table1[[#This Row],[InterConf]]=1,IF(Table1[[#This Row],[InterDiv]]=0, 1, 0), 0)</f>
        <v>0</v>
      </c>
      <c r="AM1090" s="64">
        <f>IF(INDEX(Standings!$A$2:$C$33,MATCH(Table1[[#This Row],[AwayTeam]],Standings!$A$2:$A$33,0),2)&lt;&gt;INDEX(Standings!$A$2:$C$33,MATCH(Table1[[#This Row],[HomeTeam]],Standings!$A$2:$A$33,0),2),1,0)</f>
        <v>1</v>
      </c>
      <c r="AN1090" s="64" t="str">
        <f>INDEX(Table2[AWAY_RECORD], MATCH(Table1[[#This Row],[AwayTeam]],Table2[Team], 0), 0)</f>
        <v>1-0-0</v>
      </c>
      <c r="AO1090" s="64" t="str">
        <f>INDEX(Records!$B$2:$AG$33, MATCH(Table1[[#This Row],[AwayTeam]],Records!$A$2:$A$33, 0), MATCH(Table1[[#This Row],[HomeTeam]],Records!$A$2:$A$33, 0))</f>
        <v>0-0-0</v>
      </c>
      <c r="AP1090" s="64" t="str">
        <f>INDEX(Table2[HOME_RECORD], MATCH(Table1[[#This Row],[HomeTeam]],Table2[Team], 0), 0)</f>
        <v>0-1-0</v>
      </c>
      <c r="AQ1090" s="64" t="str">
        <f>INDEX(Records!$B$2:$AG$33, MATCH(Table1[[#This Row],[HomeTeam]],Records!$A$2:$A$33, 0), MATCH(Table1[[#This Row],[AwayTeam]],Records!$A$2:$A$33, 0))</f>
        <v>0-0-0</v>
      </c>
    </row>
    <row r="1091" spans="1:43" x14ac:dyDescent="0.25">
      <c r="A1091" s="1"/>
      <c r="D1091" t="s">
        <v>1429</v>
      </c>
      <c r="E1091" t="s">
        <v>289</v>
      </c>
      <c r="F1091" t="s">
        <v>1431</v>
      </c>
      <c r="G1091" t="s">
        <v>43</v>
      </c>
      <c r="H1091" t="s">
        <v>24</v>
      </c>
      <c r="L109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9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91" s="1"/>
      <c r="T1091" s="64" t="str">
        <f>IF(Table1[[#This Row],[ActualWinner]]="", "", IF(Table1[[#This Row],[AwayTeam]]=Table1[[#This Row],[ActualWinner]],Table1[[#This Row],[HomeTeam]],Table1[[#This Row],[AwayTeam]]))</f>
        <v/>
      </c>
      <c r="U1091" s="64">
        <f>Table1[[#This Row],[ActualAwayScore]]-Table1[[#This Row],[PredictedAwayScore]]</f>
        <v>0</v>
      </c>
      <c r="V1091" s="64">
        <f>Table1[[#This Row],[ActualHomeScore]]-Table1[[#This Row],[PredictedHomeScore]]</f>
        <v>0</v>
      </c>
      <c r="W1091" s="64">
        <f>(0.8*IF(Table1[[#This Row],[CorrectWinnerPrediction]]=1, 1, 0))+(0.1*IF(Table1[[#This Row],[CorrectAwayScorePrediction]]=1, 1, 0))+(0.1*IF(Table1[[#This Row],[CorrectHomeScorePrediction]]=1, 1, 0))</f>
        <v>0</v>
      </c>
      <c r="X109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91" s="64">
        <f>SUMIF(Table1[GameDate], Table1[[#This Row],[GameDate]], Table1[AwayGameGoalDiff])</f>
        <v>0</v>
      </c>
      <c r="AA1091" s="64">
        <f>SUMIF(Table1[GameDate], Table1[[#This Row],[GameDate]], Table1[HomeGameGoalDiff])</f>
        <v>0</v>
      </c>
      <c r="AB1091" s="64">
        <f>IF(ISBLANK(Table1[[#This Row],[ActualResult]]), 0, 1)</f>
        <v>0</v>
      </c>
      <c r="AC1091" s="64">
        <f>IF(ISBLANK(Table1[[#This Row],[ActualResult]]), 0, IF(Table1[[#This Row],[ActualWinner]]=Table1[[#This Row],[PredictedWinner]], 1, 0))</f>
        <v>0</v>
      </c>
      <c r="AD109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9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91" s="64">
        <f>IF(AND(Table1[[#This Row],[GameIsOver]]=1,Table1[[#This Row],[ActualAwayScore]]=0), 1,0)</f>
        <v>0</v>
      </c>
      <c r="AG1091" s="64">
        <f>IF(AND(Table1[[#This Row],[GameIsOver]]=1,Table1[[#This Row],[ActualHomeScore]]=0), 1,0)</f>
        <v>0</v>
      </c>
      <c r="AH1091" s="64">
        <f>IF(Table1[[#This Row],[GameIsOver]]=0,0,IF(Table1[[#This Row],[ActualWinner]]=Table1[[#This Row],[AwayTeam]], 1, 0))</f>
        <v>0</v>
      </c>
      <c r="AI1091" s="64">
        <f>IF(Table1[[#This Row],[GameIsOver]]=0,0,IF(Table1[[#This Row],[ActualWinner]]=Table1[[#This Row],[HomeTeam]], 1, 0))</f>
        <v>0</v>
      </c>
      <c r="AJ1091" s="64">
        <f>IF(INDEX(Standings!$A$2:$C$33,MATCH(Table1[[#This Row],[AwayTeam]],Standings!$A$2:$A$33,0),2)=INDEX(Standings!$A$2:$C$33,MATCH(Table1[[#This Row],[HomeTeam]],Standings!$A$2:$A$33,0),2),1,0)</f>
        <v>0</v>
      </c>
      <c r="AK1091" s="64">
        <f>IF(INDEX(Standings!$A$2:$C$33,MATCH(Table1[[#This Row],[AwayTeam]],Standings!$A$2:$A$33,0),3)=INDEX(Standings!$A$2:$C$33,MATCH(Table1[[#This Row],[HomeTeam]],Standings!$A$2:$A$33,0),3),1,0)</f>
        <v>0</v>
      </c>
      <c r="AL1091" s="64">
        <f>IF(Table1[[#This Row],[InterConf]]=1,IF(Table1[[#This Row],[InterDiv]]=0, 1, 0), 0)</f>
        <v>0</v>
      </c>
      <c r="AM1091" s="64">
        <f>IF(INDEX(Standings!$A$2:$C$33,MATCH(Table1[[#This Row],[AwayTeam]],Standings!$A$2:$A$33,0),2)&lt;&gt;INDEX(Standings!$A$2:$C$33,MATCH(Table1[[#This Row],[HomeTeam]],Standings!$A$2:$A$33,0),2),1,0)</f>
        <v>1</v>
      </c>
      <c r="AN1091" s="64" t="str">
        <f>INDEX(Table2[AWAY_RECORD], MATCH(Table1[[#This Row],[AwayTeam]],Table2[Team], 0), 0)</f>
        <v>0-0-0</v>
      </c>
      <c r="AO1091" s="64" t="str">
        <f>INDEX(Records!$B$2:$AG$33, MATCH(Table1[[#This Row],[AwayTeam]],Records!$A$2:$A$33, 0), MATCH(Table1[[#This Row],[HomeTeam]],Records!$A$2:$A$33, 0))</f>
        <v>0-0-0</v>
      </c>
      <c r="AP1091" s="64" t="str">
        <f>INDEX(Table2[HOME_RECORD], MATCH(Table1[[#This Row],[HomeTeam]],Table2[Team], 0), 0)</f>
        <v>0-2-0</v>
      </c>
      <c r="AQ1091" s="64" t="str">
        <f>INDEX(Records!$B$2:$AG$33, MATCH(Table1[[#This Row],[HomeTeam]],Records!$A$2:$A$33, 0), MATCH(Table1[[#This Row],[AwayTeam]],Records!$A$2:$A$33, 0))</f>
        <v>0-0-0</v>
      </c>
    </row>
    <row r="1092" spans="1:43" x14ac:dyDescent="0.25">
      <c r="A1092" s="1"/>
      <c r="D1092" t="s">
        <v>1429</v>
      </c>
      <c r="E1092" t="s">
        <v>178</v>
      </c>
      <c r="F1092" t="s">
        <v>1432</v>
      </c>
      <c r="G1092" t="s">
        <v>57</v>
      </c>
      <c r="H1092" t="s">
        <v>16</v>
      </c>
      <c r="L109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9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92" s="1"/>
      <c r="T1092" s="64" t="str">
        <f>IF(Table1[[#This Row],[ActualWinner]]="", "", IF(Table1[[#This Row],[AwayTeam]]=Table1[[#This Row],[ActualWinner]],Table1[[#This Row],[HomeTeam]],Table1[[#This Row],[AwayTeam]]))</f>
        <v/>
      </c>
      <c r="U1092" s="64">
        <f>Table1[[#This Row],[ActualAwayScore]]-Table1[[#This Row],[PredictedAwayScore]]</f>
        <v>0</v>
      </c>
      <c r="V1092" s="64">
        <f>Table1[[#This Row],[ActualHomeScore]]-Table1[[#This Row],[PredictedHomeScore]]</f>
        <v>0</v>
      </c>
      <c r="W1092" s="64">
        <f>(0.8*IF(Table1[[#This Row],[CorrectWinnerPrediction]]=1, 1, 0))+(0.1*IF(Table1[[#This Row],[CorrectAwayScorePrediction]]=1, 1, 0))+(0.1*IF(Table1[[#This Row],[CorrectHomeScorePrediction]]=1, 1, 0))</f>
        <v>0</v>
      </c>
      <c r="X109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92" s="64">
        <f>SUMIF(Table1[GameDate], Table1[[#This Row],[GameDate]], Table1[AwayGameGoalDiff])</f>
        <v>0</v>
      </c>
      <c r="AA1092" s="64">
        <f>SUMIF(Table1[GameDate], Table1[[#This Row],[GameDate]], Table1[HomeGameGoalDiff])</f>
        <v>0</v>
      </c>
      <c r="AB1092" s="64">
        <f>IF(ISBLANK(Table1[[#This Row],[ActualResult]]), 0, 1)</f>
        <v>0</v>
      </c>
      <c r="AC1092" s="64">
        <f>IF(ISBLANK(Table1[[#This Row],[ActualResult]]), 0, IF(Table1[[#This Row],[ActualWinner]]=Table1[[#This Row],[PredictedWinner]], 1, 0))</f>
        <v>0</v>
      </c>
      <c r="AD109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9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92" s="64">
        <f>IF(AND(Table1[[#This Row],[GameIsOver]]=1,Table1[[#This Row],[ActualAwayScore]]=0), 1,0)</f>
        <v>0</v>
      </c>
      <c r="AG1092" s="64">
        <f>IF(AND(Table1[[#This Row],[GameIsOver]]=1,Table1[[#This Row],[ActualHomeScore]]=0), 1,0)</f>
        <v>0</v>
      </c>
      <c r="AH1092" s="64">
        <f>IF(Table1[[#This Row],[GameIsOver]]=0,0,IF(Table1[[#This Row],[ActualWinner]]=Table1[[#This Row],[AwayTeam]], 1, 0))</f>
        <v>0</v>
      </c>
      <c r="AI1092" s="64">
        <f>IF(Table1[[#This Row],[GameIsOver]]=0,0,IF(Table1[[#This Row],[ActualWinner]]=Table1[[#This Row],[HomeTeam]], 1, 0))</f>
        <v>0</v>
      </c>
      <c r="AJ1092" s="64">
        <f>IF(INDEX(Standings!$A$2:$C$33,MATCH(Table1[[#This Row],[AwayTeam]],Standings!$A$2:$A$33,0),2)=INDEX(Standings!$A$2:$C$33,MATCH(Table1[[#This Row],[HomeTeam]],Standings!$A$2:$A$33,0),2),1,0)</f>
        <v>0</v>
      </c>
      <c r="AK1092" s="64">
        <f>IF(INDEX(Standings!$A$2:$C$33,MATCH(Table1[[#This Row],[AwayTeam]],Standings!$A$2:$A$33,0),3)=INDEX(Standings!$A$2:$C$33,MATCH(Table1[[#This Row],[HomeTeam]],Standings!$A$2:$A$33,0),3),1,0)</f>
        <v>0</v>
      </c>
      <c r="AL1092" s="64">
        <f>IF(Table1[[#This Row],[InterConf]]=1,IF(Table1[[#This Row],[InterDiv]]=0, 1, 0), 0)</f>
        <v>0</v>
      </c>
      <c r="AM1092" s="64">
        <f>IF(INDEX(Standings!$A$2:$C$33,MATCH(Table1[[#This Row],[AwayTeam]],Standings!$A$2:$A$33,0),2)&lt;&gt;INDEX(Standings!$A$2:$C$33,MATCH(Table1[[#This Row],[HomeTeam]],Standings!$A$2:$A$33,0),2),1,0)</f>
        <v>1</v>
      </c>
      <c r="AN1092" s="64" t="str">
        <f>INDEX(Table2[AWAY_RECORD], MATCH(Table1[[#This Row],[AwayTeam]],Table2[Team], 0), 0)</f>
        <v>0-1-0</v>
      </c>
      <c r="AO1092" s="64" t="str">
        <f>INDEX(Records!$B$2:$AG$33, MATCH(Table1[[#This Row],[AwayTeam]],Records!$A$2:$A$33, 0), MATCH(Table1[[#This Row],[HomeTeam]],Records!$A$2:$A$33, 0))</f>
        <v>0-0-0</v>
      </c>
      <c r="AP1092" s="64" t="str">
        <f>INDEX(Table2[HOME_RECORD], MATCH(Table1[[#This Row],[HomeTeam]],Table2[Team], 0), 0)</f>
        <v>0-0-0</v>
      </c>
      <c r="AQ1092" s="64" t="str">
        <f>INDEX(Records!$B$2:$AG$33, MATCH(Table1[[#This Row],[HomeTeam]],Records!$A$2:$A$33, 0), MATCH(Table1[[#This Row],[AwayTeam]],Records!$A$2:$A$33, 0))</f>
        <v>0-0-0</v>
      </c>
    </row>
    <row r="1093" spans="1:43" x14ac:dyDescent="0.25">
      <c r="A1093" s="1"/>
      <c r="D1093" t="s">
        <v>1433</v>
      </c>
      <c r="E1093" t="s">
        <v>162</v>
      </c>
      <c r="F1093" t="s">
        <v>1434</v>
      </c>
      <c r="G1093" t="s">
        <v>23</v>
      </c>
      <c r="H1093" t="s">
        <v>38</v>
      </c>
      <c r="L109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9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93" s="1"/>
      <c r="T1093" s="64" t="str">
        <f>IF(Table1[[#This Row],[ActualWinner]]="", "", IF(Table1[[#This Row],[AwayTeam]]=Table1[[#This Row],[ActualWinner]],Table1[[#This Row],[HomeTeam]],Table1[[#This Row],[AwayTeam]]))</f>
        <v/>
      </c>
      <c r="U1093" s="64">
        <f>Table1[[#This Row],[ActualAwayScore]]-Table1[[#This Row],[PredictedAwayScore]]</f>
        <v>0</v>
      </c>
      <c r="V1093" s="64">
        <f>Table1[[#This Row],[ActualHomeScore]]-Table1[[#This Row],[PredictedHomeScore]]</f>
        <v>0</v>
      </c>
      <c r="W1093" s="64">
        <f>(0.8*IF(Table1[[#This Row],[CorrectWinnerPrediction]]=1, 1, 0))+(0.1*IF(Table1[[#This Row],[CorrectAwayScorePrediction]]=1, 1, 0))+(0.1*IF(Table1[[#This Row],[CorrectHomeScorePrediction]]=1, 1, 0))</f>
        <v>0</v>
      </c>
      <c r="X109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93" s="64">
        <f>SUMIF(Table1[GameDate], Table1[[#This Row],[GameDate]], Table1[AwayGameGoalDiff])</f>
        <v>0</v>
      </c>
      <c r="AA1093" s="64">
        <f>SUMIF(Table1[GameDate], Table1[[#This Row],[GameDate]], Table1[HomeGameGoalDiff])</f>
        <v>0</v>
      </c>
      <c r="AB1093" s="64">
        <f>IF(ISBLANK(Table1[[#This Row],[ActualResult]]), 0, 1)</f>
        <v>0</v>
      </c>
      <c r="AC1093" s="64">
        <f>IF(ISBLANK(Table1[[#This Row],[ActualResult]]), 0, IF(Table1[[#This Row],[ActualWinner]]=Table1[[#This Row],[PredictedWinner]], 1, 0))</f>
        <v>0</v>
      </c>
      <c r="AD109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9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93" s="64">
        <f>IF(AND(Table1[[#This Row],[GameIsOver]]=1,Table1[[#This Row],[ActualAwayScore]]=0), 1,0)</f>
        <v>0</v>
      </c>
      <c r="AG1093" s="64">
        <f>IF(AND(Table1[[#This Row],[GameIsOver]]=1,Table1[[#This Row],[ActualHomeScore]]=0), 1,0)</f>
        <v>0</v>
      </c>
      <c r="AH1093" s="64">
        <f>IF(Table1[[#This Row],[GameIsOver]]=0,0,IF(Table1[[#This Row],[ActualWinner]]=Table1[[#This Row],[AwayTeam]], 1, 0))</f>
        <v>0</v>
      </c>
      <c r="AI1093" s="64">
        <f>IF(Table1[[#This Row],[GameIsOver]]=0,0,IF(Table1[[#This Row],[ActualWinner]]=Table1[[#This Row],[HomeTeam]], 1, 0))</f>
        <v>0</v>
      </c>
      <c r="AJ1093" s="64">
        <f>IF(INDEX(Standings!$A$2:$C$33,MATCH(Table1[[#This Row],[AwayTeam]],Standings!$A$2:$A$33,0),2)=INDEX(Standings!$A$2:$C$33,MATCH(Table1[[#This Row],[HomeTeam]],Standings!$A$2:$A$33,0),2),1,0)</f>
        <v>0</v>
      </c>
      <c r="AK1093" s="64">
        <f>IF(INDEX(Standings!$A$2:$C$33,MATCH(Table1[[#This Row],[AwayTeam]],Standings!$A$2:$A$33,0),3)=INDEX(Standings!$A$2:$C$33,MATCH(Table1[[#This Row],[HomeTeam]],Standings!$A$2:$A$33,0),3),1,0)</f>
        <v>0</v>
      </c>
      <c r="AL1093" s="64">
        <f>IF(Table1[[#This Row],[InterConf]]=1,IF(Table1[[#This Row],[InterDiv]]=0, 1, 0), 0)</f>
        <v>0</v>
      </c>
      <c r="AM1093" s="64">
        <f>IF(INDEX(Standings!$A$2:$C$33,MATCH(Table1[[#This Row],[AwayTeam]],Standings!$A$2:$A$33,0),2)&lt;&gt;INDEX(Standings!$A$2:$C$33,MATCH(Table1[[#This Row],[HomeTeam]],Standings!$A$2:$A$33,0),2),1,0)</f>
        <v>1</v>
      </c>
      <c r="AN1093" s="64" t="str">
        <f>INDEX(Table2[AWAY_RECORD], MATCH(Table1[[#This Row],[AwayTeam]],Table2[Team], 0), 0)</f>
        <v>0-0-1</v>
      </c>
      <c r="AO1093" s="64" t="str">
        <f>INDEX(Records!$B$2:$AG$33, MATCH(Table1[[#This Row],[AwayTeam]],Records!$A$2:$A$33, 0), MATCH(Table1[[#This Row],[HomeTeam]],Records!$A$2:$A$33, 0))</f>
        <v>0-0-0</v>
      </c>
      <c r="AP1093" s="64" t="str">
        <f>INDEX(Table2[HOME_RECORD], MATCH(Table1[[#This Row],[HomeTeam]],Table2[Team], 0), 0)</f>
        <v>0-0-0</v>
      </c>
      <c r="AQ1093" s="64" t="str">
        <f>INDEX(Records!$B$2:$AG$33, MATCH(Table1[[#This Row],[HomeTeam]],Records!$A$2:$A$33, 0), MATCH(Table1[[#This Row],[AwayTeam]],Records!$A$2:$A$33, 0))</f>
        <v>0-0-0</v>
      </c>
    </row>
    <row r="1094" spans="1:43" x14ac:dyDescent="0.25">
      <c r="A1094" s="1"/>
      <c r="D1094" t="s">
        <v>1433</v>
      </c>
      <c r="E1094" t="s">
        <v>162</v>
      </c>
      <c r="F1094" t="s">
        <v>1435</v>
      </c>
      <c r="G1094" t="s">
        <v>49</v>
      </c>
      <c r="H1094" t="s">
        <v>17</v>
      </c>
      <c r="L109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9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94" s="1"/>
      <c r="T1094" s="64" t="str">
        <f>IF(Table1[[#This Row],[ActualWinner]]="", "", IF(Table1[[#This Row],[AwayTeam]]=Table1[[#This Row],[ActualWinner]],Table1[[#This Row],[HomeTeam]],Table1[[#This Row],[AwayTeam]]))</f>
        <v/>
      </c>
      <c r="U1094" s="64">
        <f>Table1[[#This Row],[ActualAwayScore]]-Table1[[#This Row],[PredictedAwayScore]]</f>
        <v>0</v>
      </c>
      <c r="V1094" s="64">
        <f>Table1[[#This Row],[ActualHomeScore]]-Table1[[#This Row],[PredictedHomeScore]]</f>
        <v>0</v>
      </c>
      <c r="W1094" s="64">
        <f>(0.8*IF(Table1[[#This Row],[CorrectWinnerPrediction]]=1, 1, 0))+(0.1*IF(Table1[[#This Row],[CorrectAwayScorePrediction]]=1, 1, 0))+(0.1*IF(Table1[[#This Row],[CorrectHomeScorePrediction]]=1, 1, 0))</f>
        <v>0</v>
      </c>
      <c r="X109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94" s="64">
        <f>SUMIF(Table1[GameDate], Table1[[#This Row],[GameDate]], Table1[AwayGameGoalDiff])</f>
        <v>0</v>
      </c>
      <c r="AA1094" s="64">
        <f>SUMIF(Table1[GameDate], Table1[[#This Row],[GameDate]], Table1[HomeGameGoalDiff])</f>
        <v>0</v>
      </c>
      <c r="AB1094" s="64">
        <f>IF(ISBLANK(Table1[[#This Row],[ActualResult]]), 0, 1)</f>
        <v>0</v>
      </c>
      <c r="AC1094" s="64">
        <f>IF(ISBLANK(Table1[[#This Row],[ActualResult]]), 0, IF(Table1[[#This Row],[ActualWinner]]=Table1[[#This Row],[PredictedWinner]], 1, 0))</f>
        <v>0</v>
      </c>
      <c r="AD109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9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94" s="64">
        <f>IF(AND(Table1[[#This Row],[GameIsOver]]=1,Table1[[#This Row],[ActualAwayScore]]=0), 1,0)</f>
        <v>0</v>
      </c>
      <c r="AG1094" s="64">
        <f>IF(AND(Table1[[#This Row],[GameIsOver]]=1,Table1[[#This Row],[ActualHomeScore]]=0), 1,0)</f>
        <v>0</v>
      </c>
      <c r="AH1094" s="64">
        <f>IF(Table1[[#This Row],[GameIsOver]]=0,0,IF(Table1[[#This Row],[ActualWinner]]=Table1[[#This Row],[AwayTeam]], 1, 0))</f>
        <v>0</v>
      </c>
      <c r="AI1094" s="64">
        <f>IF(Table1[[#This Row],[GameIsOver]]=0,0,IF(Table1[[#This Row],[ActualWinner]]=Table1[[#This Row],[HomeTeam]], 1, 0))</f>
        <v>0</v>
      </c>
      <c r="AJ1094" s="64">
        <f>IF(INDEX(Standings!$A$2:$C$33,MATCH(Table1[[#This Row],[AwayTeam]],Standings!$A$2:$A$33,0),2)=INDEX(Standings!$A$2:$C$33,MATCH(Table1[[#This Row],[HomeTeam]],Standings!$A$2:$A$33,0),2),1,0)</f>
        <v>1</v>
      </c>
      <c r="AK1094" s="64">
        <f>IF(INDEX(Standings!$A$2:$C$33,MATCH(Table1[[#This Row],[AwayTeam]],Standings!$A$2:$A$33,0),3)=INDEX(Standings!$A$2:$C$33,MATCH(Table1[[#This Row],[HomeTeam]],Standings!$A$2:$A$33,0),3),1,0)</f>
        <v>0</v>
      </c>
      <c r="AL1094" s="64">
        <f>IF(Table1[[#This Row],[InterConf]]=1,IF(Table1[[#This Row],[InterDiv]]=0, 1, 0), 0)</f>
        <v>1</v>
      </c>
      <c r="AM1094" s="64">
        <f>IF(INDEX(Standings!$A$2:$C$33,MATCH(Table1[[#This Row],[AwayTeam]],Standings!$A$2:$A$33,0),2)&lt;&gt;INDEX(Standings!$A$2:$C$33,MATCH(Table1[[#This Row],[HomeTeam]],Standings!$A$2:$A$33,0),2),1,0)</f>
        <v>0</v>
      </c>
      <c r="AN1094" s="64" t="str">
        <f>INDEX(Table2[AWAY_RECORD], MATCH(Table1[[#This Row],[AwayTeam]],Table2[Team], 0), 0)</f>
        <v>0-0-0</v>
      </c>
      <c r="AO1094" s="64" t="str">
        <f>INDEX(Records!$B$2:$AG$33, MATCH(Table1[[#This Row],[AwayTeam]],Records!$A$2:$A$33, 0), MATCH(Table1[[#This Row],[HomeTeam]],Records!$A$2:$A$33, 0))</f>
        <v>0-0-0</v>
      </c>
      <c r="AP1094" s="64" t="str">
        <f>INDEX(Table2[HOME_RECORD], MATCH(Table1[[#This Row],[HomeTeam]],Table2[Team], 0), 0)</f>
        <v>0-0-0</v>
      </c>
      <c r="AQ1094" s="64" t="str">
        <f>INDEX(Records!$B$2:$AG$33, MATCH(Table1[[#This Row],[HomeTeam]],Records!$A$2:$A$33, 0), MATCH(Table1[[#This Row],[AwayTeam]],Records!$A$2:$A$33, 0))</f>
        <v>0-0-0</v>
      </c>
    </row>
    <row r="1095" spans="1:43" x14ac:dyDescent="0.25">
      <c r="A1095" s="1"/>
      <c r="D1095" t="s">
        <v>1433</v>
      </c>
      <c r="E1095" t="s">
        <v>162</v>
      </c>
      <c r="F1095" t="s">
        <v>1436</v>
      </c>
      <c r="G1095" t="s">
        <v>47</v>
      </c>
      <c r="H1095" t="s">
        <v>50</v>
      </c>
      <c r="L109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9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95" s="1"/>
      <c r="T1095" s="64" t="str">
        <f>IF(Table1[[#This Row],[ActualWinner]]="", "", IF(Table1[[#This Row],[AwayTeam]]=Table1[[#This Row],[ActualWinner]],Table1[[#This Row],[HomeTeam]],Table1[[#This Row],[AwayTeam]]))</f>
        <v/>
      </c>
      <c r="U1095" s="64">
        <f>Table1[[#This Row],[ActualAwayScore]]-Table1[[#This Row],[PredictedAwayScore]]</f>
        <v>0</v>
      </c>
      <c r="V1095" s="64">
        <f>Table1[[#This Row],[ActualHomeScore]]-Table1[[#This Row],[PredictedHomeScore]]</f>
        <v>0</v>
      </c>
      <c r="W1095" s="64">
        <f>(0.8*IF(Table1[[#This Row],[CorrectWinnerPrediction]]=1, 1, 0))+(0.1*IF(Table1[[#This Row],[CorrectAwayScorePrediction]]=1, 1, 0))+(0.1*IF(Table1[[#This Row],[CorrectHomeScorePrediction]]=1, 1, 0))</f>
        <v>0</v>
      </c>
      <c r="X109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95" s="64">
        <f>SUMIF(Table1[GameDate], Table1[[#This Row],[GameDate]], Table1[AwayGameGoalDiff])</f>
        <v>0</v>
      </c>
      <c r="AA1095" s="64">
        <f>SUMIF(Table1[GameDate], Table1[[#This Row],[GameDate]], Table1[HomeGameGoalDiff])</f>
        <v>0</v>
      </c>
      <c r="AB1095" s="64">
        <f>IF(ISBLANK(Table1[[#This Row],[ActualResult]]), 0, 1)</f>
        <v>0</v>
      </c>
      <c r="AC1095" s="64">
        <f>IF(ISBLANK(Table1[[#This Row],[ActualResult]]), 0, IF(Table1[[#This Row],[ActualWinner]]=Table1[[#This Row],[PredictedWinner]], 1, 0))</f>
        <v>0</v>
      </c>
      <c r="AD109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9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95" s="64">
        <f>IF(AND(Table1[[#This Row],[GameIsOver]]=1,Table1[[#This Row],[ActualAwayScore]]=0), 1,0)</f>
        <v>0</v>
      </c>
      <c r="AG1095" s="64">
        <f>IF(AND(Table1[[#This Row],[GameIsOver]]=1,Table1[[#This Row],[ActualHomeScore]]=0), 1,0)</f>
        <v>0</v>
      </c>
      <c r="AH1095" s="64">
        <f>IF(Table1[[#This Row],[GameIsOver]]=0,0,IF(Table1[[#This Row],[ActualWinner]]=Table1[[#This Row],[AwayTeam]], 1, 0))</f>
        <v>0</v>
      </c>
      <c r="AI1095" s="64">
        <f>IF(Table1[[#This Row],[GameIsOver]]=0,0,IF(Table1[[#This Row],[ActualWinner]]=Table1[[#This Row],[HomeTeam]], 1, 0))</f>
        <v>0</v>
      </c>
      <c r="AJ1095" s="64">
        <f>IF(INDEX(Standings!$A$2:$C$33,MATCH(Table1[[#This Row],[AwayTeam]],Standings!$A$2:$A$33,0),2)=INDEX(Standings!$A$2:$C$33,MATCH(Table1[[#This Row],[HomeTeam]],Standings!$A$2:$A$33,0),2),1,0)</f>
        <v>1</v>
      </c>
      <c r="AK1095" s="64">
        <f>IF(INDEX(Standings!$A$2:$C$33,MATCH(Table1[[#This Row],[AwayTeam]],Standings!$A$2:$A$33,0),3)=INDEX(Standings!$A$2:$C$33,MATCH(Table1[[#This Row],[HomeTeam]],Standings!$A$2:$A$33,0),3),1,0)</f>
        <v>0</v>
      </c>
      <c r="AL1095" s="64">
        <f>IF(Table1[[#This Row],[InterConf]]=1,IF(Table1[[#This Row],[InterDiv]]=0, 1, 0), 0)</f>
        <v>1</v>
      </c>
      <c r="AM1095" s="64">
        <f>IF(INDEX(Standings!$A$2:$C$33,MATCH(Table1[[#This Row],[AwayTeam]],Standings!$A$2:$A$33,0),2)&lt;&gt;INDEX(Standings!$A$2:$C$33,MATCH(Table1[[#This Row],[HomeTeam]],Standings!$A$2:$A$33,0),2),1,0)</f>
        <v>0</v>
      </c>
      <c r="AN1095" s="64" t="str">
        <f>INDEX(Table2[AWAY_RECORD], MATCH(Table1[[#This Row],[AwayTeam]],Table2[Team], 0), 0)</f>
        <v>1-0-0</v>
      </c>
      <c r="AO1095" s="64" t="str">
        <f>INDEX(Records!$B$2:$AG$33, MATCH(Table1[[#This Row],[AwayTeam]],Records!$A$2:$A$33, 0), MATCH(Table1[[#This Row],[HomeTeam]],Records!$A$2:$A$33, 0))</f>
        <v>0-0-0</v>
      </c>
      <c r="AP1095" s="64" t="str">
        <f>INDEX(Table2[HOME_RECORD], MATCH(Table1[[#This Row],[HomeTeam]],Table2[Team], 0), 0)</f>
        <v>0-0-0</v>
      </c>
      <c r="AQ1095" s="64" t="str">
        <f>INDEX(Records!$B$2:$AG$33, MATCH(Table1[[#This Row],[HomeTeam]],Records!$A$2:$A$33, 0), MATCH(Table1[[#This Row],[AwayTeam]],Records!$A$2:$A$33, 0))</f>
        <v>0-0-0</v>
      </c>
    </row>
    <row r="1096" spans="1:43" x14ac:dyDescent="0.25">
      <c r="A1096" s="1"/>
      <c r="D1096" t="s">
        <v>1433</v>
      </c>
      <c r="E1096" t="s">
        <v>162</v>
      </c>
      <c r="F1096" t="s">
        <v>1437</v>
      </c>
      <c r="G1096" t="s">
        <v>52</v>
      </c>
      <c r="H1096" t="s">
        <v>54</v>
      </c>
      <c r="L109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9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96" s="1"/>
      <c r="T1096" s="64" t="str">
        <f>IF(Table1[[#This Row],[ActualWinner]]="", "", IF(Table1[[#This Row],[AwayTeam]]=Table1[[#This Row],[ActualWinner]],Table1[[#This Row],[HomeTeam]],Table1[[#This Row],[AwayTeam]]))</f>
        <v/>
      </c>
      <c r="U1096" s="64">
        <f>Table1[[#This Row],[ActualAwayScore]]-Table1[[#This Row],[PredictedAwayScore]]</f>
        <v>0</v>
      </c>
      <c r="V1096" s="64">
        <f>Table1[[#This Row],[ActualHomeScore]]-Table1[[#This Row],[PredictedHomeScore]]</f>
        <v>0</v>
      </c>
      <c r="W1096" s="64">
        <f>(0.8*IF(Table1[[#This Row],[CorrectWinnerPrediction]]=1, 1, 0))+(0.1*IF(Table1[[#This Row],[CorrectAwayScorePrediction]]=1, 1, 0))+(0.1*IF(Table1[[#This Row],[CorrectHomeScorePrediction]]=1, 1, 0))</f>
        <v>0</v>
      </c>
      <c r="X109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96" s="64">
        <f>SUMIF(Table1[GameDate], Table1[[#This Row],[GameDate]], Table1[AwayGameGoalDiff])</f>
        <v>0</v>
      </c>
      <c r="AA1096" s="64">
        <f>SUMIF(Table1[GameDate], Table1[[#This Row],[GameDate]], Table1[HomeGameGoalDiff])</f>
        <v>0</v>
      </c>
      <c r="AB1096" s="64">
        <f>IF(ISBLANK(Table1[[#This Row],[ActualResult]]), 0, 1)</f>
        <v>0</v>
      </c>
      <c r="AC1096" s="64">
        <f>IF(ISBLANK(Table1[[#This Row],[ActualResult]]), 0, IF(Table1[[#This Row],[ActualWinner]]=Table1[[#This Row],[PredictedWinner]], 1, 0))</f>
        <v>0</v>
      </c>
      <c r="AD109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9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96" s="64">
        <f>IF(AND(Table1[[#This Row],[GameIsOver]]=1,Table1[[#This Row],[ActualAwayScore]]=0), 1,0)</f>
        <v>0</v>
      </c>
      <c r="AG1096" s="64">
        <f>IF(AND(Table1[[#This Row],[GameIsOver]]=1,Table1[[#This Row],[ActualHomeScore]]=0), 1,0)</f>
        <v>0</v>
      </c>
      <c r="AH1096" s="64">
        <f>IF(Table1[[#This Row],[GameIsOver]]=0,0,IF(Table1[[#This Row],[ActualWinner]]=Table1[[#This Row],[AwayTeam]], 1, 0))</f>
        <v>0</v>
      </c>
      <c r="AI1096" s="64">
        <f>IF(Table1[[#This Row],[GameIsOver]]=0,0,IF(Table1[[#This Row],[ActualWinner]]=Table1[[#This Row],[HomeTeam]], 1, 0))</f>
        <v>0</v>
      </c>
      <c r="AJ1096" s="64">
        <f>IF(INDEX(Standings!$A$2:$C$33,MATCH(Table1[[#This Row],[AwayTeam]],Standings!$A$2:$A$33,0),2)=INDEX(Standings!$A$2:$C$33,MATCH(Table1[[#This Row],[HomeTeam]],Standings!$A$2:$A$33,0),2),1,0)</f>
        <v>1</v>
      </c>
      <c r="AK1096" s="64">
        <f>IF(INDEX(Standings!$A$2:$C$33,MATCH(Table1[[#This Row],[AwayTeam]],Standings!$A$2:$A$33,0),3)=INDEX(Standings!$A$2:$C$33,MATCH(Table1[[#This Row],[HomeTeam]],Standings!$A$2:$A$33,0),3),1,0)</f>
        <v>0</v>
      </c>
      <c r="AL1096" s="64">
        <f>IF(Table1[[#This Row],[InterConf]]=1,IF(Table1[[#This Row],[InterDiv]]=0, 1, 0), 0)</f>
        <v>1</v>
      </c>
      <c r="AM1096" s="64">
        <f>IF(INDEX(Standings!$A$2:$C$33,MATCH(Table1[[#This Row],[AwayTeam]],Standings!$A$2:$A$33,0),2)&lt;&gt;INDEX(Standings!$A$2:$C$33,MATCH(Table1[[#This Row],[HomeTeam]],Standings!$A$2:$A$33,0),2),1,0)</f>
        <v>0</v>
      </c>
      <c r="AN1096" s="64" t="str">
        <f>INDEX(Table2[AWAY_RECORD], MATCH(Table1[[#This Row],[AwayTeam]],Table2[Team], 0), 0)</f>
        <v>0-0-0</v>
      </c>
      <c r="AO1096" s="64" t="str">
        <f>INDEX(Records!$B$2:$AG$33, MATCH(Table1[[#This Row],[AwayTeam]],Records!$A$2:$A$33, 0), MATCH(Table1[[#This Row],[HomeTeam]],Records!$A$2:$A$33, 0))</f>
        <v>0-0-0</v>
      </c>
      <c r="AP1096" s="64" t="str">
        <f>INDEX(Table2[HOME_RECORD], MATCH(Table1[[#This Row],[HomeTeam]],Table2[Team], 0), 0)</f>
        <v>0-0-0</v>
      </c>
      <c r="AQ1096" s="64" t="str">
        <f>INDEX(Records!$B$2:$AG$33, MATCH(Table1[[#This Row],[HomeTeam]],Records!$A$2:$A$33, 0), MATCH(Table1[[#This Row],[AwayTeam]],Records!$A$2:$A$33, 0))</f>
        <v>0-0-0</v>
      </c>
    </row>
    <row r="1097" spans="1:43" x14ac:dyDescent="0.25">
      <c r="A1097" s="1"/>
      <c r="D1097" t="s">
        <v>1433</v>
      </c>
      <c r="E1097" t="s">
        <v>162</v>
      </c>
      <c r="F1097" t="s">
        <v>1438</v>
      </c>
      <c r="G1097" t="s">
        <v>39</v>
      </c>
      <c r="H1097" t="s">
        <v>59</v>
      </c>
      <c r="L109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9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97" s="1"/>
      <c r="T1097" s="64" t="str">
        <f>IF(Table1[[#This Row],[ActualWinner]]="", "", IF(Table1[[#This Row],[AwayTeam]]=Table1[[#This Row],[ActualWinner]],Table1[[#This Row],[HomeTeam]],Table1[[#This Row],[AwayTeam]]))</f>
        <v/>
      </c>
      <c r="U1097" s="64">
        <f>Table1[[#This Row],[ActualAwayScore]]-Table1[[#This Row],[PredictedAwayScore]]</f>
        <v>0</v>
      </c>
      <c r="V1097" s="64">
        <f>Table1[[#This Row],[ActualHomeScore]]-Table1[[#This Row],[PredictedHomeScore]]</f>
        <v>0</v>
      </c>
      <c r="W1097" s="64">
        <f>(0.8*IF(Table1[[#This Row],[CorrectWinnerPrediction]]=1, 1, 0))+(0.1*IF(Table1[[#This Row],[CorrectAwayScorePrediction]]=1, 1, 0))+(0.1*IF(Table1[[#This Row],[CorrectHomeScorePrediction]]=1, 1, 0))</f>
        <v>0</v>
      </c>
      <c r="X109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97" s="64">
        <f>SUMIF(Table1[GameDate], Table1[[#This Row],[GameDate]], Table1[AwayGameGoalDiff])</f>
        <v>0</v>
      </c>
      <c r="AA1097" s="64">
        <f>SUMIF(Table1[GameDate], Table1[[#This Row],[GameDate]], Table1[HomeGameGoalDiff])</f>
        <v>0</v>
      </c>
      <c r="AB1097" s="64">
        <f>IF(ISBLANK(Table1[[#This Row],[ActualResult]]), 0, 1)</f>
        <v>0</v>
      </c>
      <c r="AC1097" s="64">
        <f>IF(ISBLANK(Table1[[#This Row],[ActualResult]]), 0, IF(Table1[[#This Row],[ActualWinner]]=Table1[[#This Row],[PredictedWinner]], 1, 0))</f>
        <v>0</v>
      </c>
      <c r="AD109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9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97" s="64">
        <f>IF(AND(Table1[[#This Row],[GameIsOver]]=1,Table1[[#This Row],[ActualAwayScore]]=0), 1,0)</f>
        <v>0</v>
      </c>
      <c r="AG1097" s="64">
        <f>IF(AND(Table1[[#This Row],[GameIsOver]]=1,Table1[[#This Row],[ActualHomeScore]]=0), 1,0)</f>
        <v>0</v>
      </c>
      <c r="AH1097" s="64">
        <f>IF(Table1[[#This Row],[GameIsOver]]=0,0,IF(Table1[[#This Row],[ActualWinner]]=Table1[[#This Row],[AwayTeam]], 1, 0))</f>
        <v>0</v>
      </c>
      <c r="AI1097" s="64">
        <f>IF(Table1[[#This Row],[GameIsOver]]=0,0,IF(Table1[[#This Row],[ActualWinner]]=Table1[[#This Row],[HomeTeam]], 1, 0))</f>
        <v>0</v>
      </c>
      <c r="AJ1097" s="64">
        <f>IF(INDEX(Standings!$A$2:$C$33,MATCH(Table1[[#This Row],[AwayTeam]],Standings!$A$2:$A$33,0),2)=INDEX(Standings!$A$2:$C$33,MATCH(Table1[[#This Row],[HomeTeam]],Standings!$A$2:$A$33,0),2),1,0)</f>
        <v>0</v>
      </c>
      <c r="AK1097" s="64">
        <f>IF(INDEX(Standings!$A$2:$C$33,MATCH(Table1[[#This Row],[AwayTeam]],Standings!$A$2:$A$33,0),3)=INDEX(Standings!$A$2:$C$33,MATCH(Table1[[#This Row],[HomeTeam]],Standings!$A$2:$A$33,0),3),1,0)</f>
        <v>0</v>
      </c>
      <c r="AL1097" s="64">
        <f>IF(Table1[[#This Row],[InterConf]]=1,IF(Table1[[#This Row],[InterDiv]]=0, 1, 0), 0)</f>
        <v>0</v>
      </c>
      <c r="AM1097" s="64">
        <f>IF(INDEX(Standings!$A$2:$C$33,MATCH(Table1[[#This Row],[AwayTeam]],Standings!$A$2:$A$33,0),2)&lt;&gt;INDEX(Standings!$A$2:$C$33,MATCH(Table1[[#This Row],[HomeTeam]],Standings!$A$2:$A$33,0),2),1,0)</f>
        <v>1</v>
      </c>
      <c r="AN1097" s="64" t="str">
        <f>INDEX(Table2[AWAY_RECORD], MATCH(Table1[[#This Row],[AwayTeam]],Table2[Team], 0), 0)</f>
        <v>0-0-0</v>
      </c>
      <c r="AO1097" s="64" t="str">
        <f>INDEX(Records!$B$2:$AG$33, MATCH(Table1[[#This Row],[AwayTeam]],Records!$A$2:$A$33, 0), MATCH(Table1[[#This Row],[HomeTeam]],Records!$A$2:$A$33, 0))</f>
        <v>0-0-0</v>
      </c>
      <c r="AP1097" s="64" t="str">
        <f>INDEX(Table2[HOME_RECORD], MATCH(Table1[[#This Row],[HomeTeam]],Table2[Team], 0), 0)</f>
        <v>0-0-0</v>
      </c>
      <c r="AQ1097" s="64" t="str">
        <f>INDEX(Records!$B$2:$AG$33, MATCH(Table1[[#This Row],[HomeTeam]],Records!$A$2:$A$33, 0), MATCH(Table1[[#This Row],[AwayTeam]],Records!$A$2:$A$33, 0))</f>
        <v>0-0-0</v>
      </c>
    </row>
    <row r="1098" spans="1:43" x14ac:dyDescent="0.25">
      <c r="A1098" s="1"/>
      <c r="D1098" t="s">
        <v>1433</v>
      </c>
      <c r="E1098" t="s">
        <v>178</v>
      </c>
      <c r="F1098" t="s">
        <v>1439</v>
      </c>
      <c r="G1098" t="s">
        <v>48</v>
      </c>
      <c r="H1098" t="s">
        <v>61</v>
      </c>
      <c r="L109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9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98" s="1"/>
      <c r="T1098" s="64" t="str">
        <f>IF(Table1[[#This Row],[ActualWinner]]="", "", IF(Table1[[#This Row],[AwayTeam]]=Table1[[#This Row],[ActualWinner]],Table1[[#This Row],[HomeTeam]],Table1[[#This Row],[AwayTeam]]))</f>
        <v/>
      </c>
      <c r="U1098" s="64">
        <f>Table1[[#This Row],[ActualAwayScore]]-Table1[[#This Row],[PredictedAwayScore]]</f>
        <v>0</v>
      </c>
      <c r="V1098" s="64">
        <f>Table1[[#This Row],[ActualHomeScore]]-Table1[[#This Row],[PredictedHomeScore]]</f>
        <v>0</v>
      </c>
      <c r="W1098" s="64">
        <f>(0.8*IF(Table1[[#This Row],[CorrectWinnerPrediction]]=1, 1, 0))+(0.1*IF(Table1[[#This Row],[CorrectAwayScorePrediction]]=1, 1, 0))+(0.1*IF(Table1[[#This Row],[CorrectHomeScorePrediction]]=1, 1, 0))</f>
        <v>0</v>
      </c>
      <c r="X109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98" s="64">
        <f>SUMIF(Table1[GameDate], Table1[[#This Row],[GameDate]], Table1[AwayGameGoalDiff])</f>
        <v>0</v>
      </c>
      <c r="AA1098" s="64">
        <f>SUMIF(Table1[GameDate], Table1[[#This Row],[GameDate]], Table1[HomeGameGoalDiff])</f>
        <v>0</v>
      </c>
      <c r="AB1098" s="64">
        <f>IF(ISBLANK(Table1[[#This Row],[ActualResult]]), 0, 1)</f>
        <v>0</v>
      </c>
      <c r="AC1098" s="64">
        <f>IF(ISBLANK(Table1[[#This Row],[ActualResult]]), 0, IF(Table1[[#This Row],[ActualWinner]]=Table1[[#This Row],[PredictedWinner]], 1, 0))</f>
        <v>0</v>
      </c>
      <c r="AD109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9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98" s="64">
        <f>IF(AND(Table1[[#This Row],[GameIsOver]]=1,Table1[[#This Row],[ActualAwayScore]]=0), 1,0)</f>
        <v>0</v>
      </c>
      <c r="AG1098" s="64">
        <f>IF(AND(Table1[[#This Row],[GameIsOver]]=1,Table1[[#This Row],[ActualHomeScore]]=0), 1,0)</f>
        <v>0</v>
      </c>
      <c r="AH1098" s="64">
        <f>IF(Table1[[#This Row],[GameIsOver]]=0,0,IF(Table1[[#This Row],[ActualWinner]]=Table1[[#This Row],[AwayTeam]], 1, 0))</f>
        <v>0</v>
      </c>
      <c r="AI1098" s="64">
        <f>IF(Table1[[#This Row],[GameIsOver]]=0,0,IF(Table1[[#This Row],[ActualWinner]]=Table1[[#This Row],[HomeTeam]], 1, 0))</f>
        <v>0</v>
      </c>
      <c r="AJ1098" s="64">
        <f>IF(INDEX(Standings!$A$2:$C$33,MATCH(Table1[[#This Row],[AwayTeam]],Standings!$A$2:$A$33,0),2)=INDEX(Standings!$A$2:$C$33,MATCH(Table1[[#This Row],[HomeTeam]],Standings!$A$2:$A$33,0),2),1,0)</f>
        <v>1</v>
      </c>
      <c r="AK1098" s="64">
        <f>IF(INDEX(Standings!$A$2:$C$33,MATCH(Table1[[#This Row],[AwayTeam]],Standings!$A$2:$A$33,0),3)=INDEX(Standings!$A$2:$C$33,MATCH(Table1[[#This Row],[HomeTeam]],Standings!$A$2:$A$33,0),3),1,0)</f>
        <v>1</v>
      </c>
      <c r="AL1098" s="64">
        <f>IF(Table1[[#This Row],[InterConf]]=1,IF(Table1[[#This Row],[InterDiv]]=0, 1, 0), 0)</f>
        <v>0</v>
      </c>
      <c r="AM1098" s="64">
        <f>IF(INDEX(Standings!$A$2:$C$33,MATCH(Table1[[#This Row],[AwayTeam]],Standings!$A$2:$A$33,0),2)&lt;&gt;INDEX(Standings!$A$2:$C$33,MATCH(Table1[[#This Row],[HomeTeam]],Standings!$A$2:$A$33,0),2),1,0)</f>
        <v>0</v>
      </c>
      <c r="AN1098" s="64" t="str">
        <f>INDEX(Table2[AWAY_RECORD], MATCH(Table1[[#This Row],[AwayTeam]],Table2[Team], 0), 0)</f>
        <v>0-0-0</v>
      </c>
      <c r="AO1098" s="64" t="str">
        <f>INDEX(Records!$B$2:$AG$33, MATCH(Table1[[#This Row],[AwayTeam]],Records!$A$2:$A$33, 0), MATCH(Table1[[#This Row],[HomeTeam]],Records!$A$2:$A$33, 0))</f>
        <v>0-0-0</v>
      </c>
      <c r="AP1098" s="64" t="str">
        <f>INDEX(Table2[HOME_RECORD], MATCH(Table1[[#This Row],[HomeTeam]],Table2[Team], 0), 0)</f>
        <v>0-0-0</v>
      </c>
      <c r="AQ1098" s="64" t="str">
        <f>INDEX(Records!$B$2:$AG$33, MATCH(Table1[[#This Row],[HomeTeam]],Records!$A$2:$A$33, 0), MATCH(Table1[[#This Row],[AwayTeam]],Records!$A$2:$A$33, 0))</f>
        <v>0-0-0</v>
      </c>
    </row>
    <row r="1099" spans="1:43" x14ac:dyDescent="0.25">
      <c r="A1099" s="1"/>
      <c r="D1099" t="s">
        <v>1433</v>
      </c>
      <c r="E1099" t="s">
        <v>178</v>
      </c>
      <c r="F1099" t="s">
        <v>1440</v>
      </c>
      <c r="G1099" t="s">
        <v>40</v>
      </c>
      <c r="H1099" t="s">
        <v>22</v>
      </c>
      <c r="L109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09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099" s="1"/>
      <c r="T1099" s="64" t="str">
        <f>IF(Table1[[#This Row],[ActualWinner]]="", "", IF(Table1[[#This Row],[AwayTeam]]=Table1[[#This Row],[ActualWinner]],Table1[[#This Row],[HomeTeam]],Table1[[#This Row],[AwayTeam]]))</f>
        <v/>
      </c>
      <c r="U1099" s="64">
        <f>Table1[[#This Row],[ActualAwayScore]]-Table1[[#This Row],[PredictedAwayScore]]</f>
        <v>0</v>
      </c>
      <c r="V1099" s="64">
        <f>Table1[[#This Row],[ActualHomeScore]]-Table1[[#This Row],[PredictedHomeScore]]</f>
        <v>0</v>
      </c>
      <c r="W1099" s="64">
        <f>(0.8*IF(Table1[[#This Row],[CorrectWinnerPrediction]]=1, 1, 0))+(0.1*IF(Table1[[#This Row],[CorrectAwayScorePrediction]]=1, 1, 0))+(0.1*IF(Table1[[#This Row],[CorrectHomeScorePrediction]]=1, 1, 0))</f>
        <v>0</v>
      </c>
      <c r="X109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099" s="64">
        <f>SUMIF(Table1[GameDate], Table1[[#This Row],[GameDate]], Table1[AwayGameGoalDiff])</f>
        <v>0</v>
      </c>
      <c r="AA1099" s="64">
        <f>SUMIF(Table1[GameDate], Table1[[#This Row],[GameDate]], Table1[HomeGameGoalDiff])</f>
        <v>0</v>
      </c>
      <c r="AB1099" s="64">
        <f>IF(ISBLANK(Table1[[#This Row],[ActualResult]]), 0, 1)</f>
        <v>0</v>
      </c>
      <c r="AC1099" s="64">
        <f>IF(ISBLANK(Table1[[#This Row],[ActualResult]]), 0, IF(Table1[[#This Row],[ActualWinner]]=Table1[[#This Row],[PredictedWinner]], 1, 0))</f>
        <v>0</v>
      </c>
      <c r="AD109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09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99" s="64">
        <f>IF(AND(Table1[[#This Row],[GameIsOver]]=1,Table1[[#This Row],[ActualAwayScore]]=0), 1,0)</f>
        <v>0</v>
      </c>
      <c r="AG1099" s="64">
        <f>IF(AND(Table1[[#This Row],[GameIsOver]]=1,Table1[[#This Row],[ActualHomeScore]]=0), 1,0)</f>
        <v>0</v>
      </c>
      <c r="AH1099" s="64">
        <f>IF(Table1[[#This Row],[GameIsOver]]=0,0,IF(Table1[[#This Row],[ActualWinner]]=Table1[[#This Row],[AwayTeam]], 1, 0))</f>
        <v>0</v>
      </c>
      <c r="AI1099" s="64">
        <f>IF(Table1[[#This Row],[GameIsOver]]=0,0,IF(Table1[[#This Row],[ActualWinner]]=Table1[[#This Row],[HomeTeam]], 1, 0))</f>
        <v>0</v>
      </c>
      <c r="AJ1099" s="64">
        <f>IF(INDEX(Standings!$A$2:$C$33,MATCH(Table1[[#This Row],[AwayTeam]],Standings!$A$2:$A$33,0),2)=INDEX(Standings!$A$2:$C$33,MATCH(Table1[[#This Row],[HomeTeam]],Standings!$A$2:$A$33,0),2),1,0)</f>
        <v>0</v>
      </c>
      <c r="AK1099" s="64">
        <f>IF(INDEX(Standings!$A$2:$C$33,MATCH(Table1[[#This Row],[AwayTeam]],Standings!$A$2:$A$33,0),3)=INDEX(Standings!$A$2:$C$33,MATCH(Table1[[#This Row],[HomeTeam]],Standings!$A$2:$A$33,0),3),1,0)</f>
        <v>0</v>
      </c>
      <c r="AL1099" s="64">
        <f>IF(Table1[[#This Row],[InterConf]]=1,IF(Table1[[#This Row],[InterDiv]]=0, 1, 0), 0)</f>
        <v>0</v>
      </c>
      <c r="AM1099" s="64">
        <f>IF(INDEX(Standings!$A$2:$C$33,MATCH(Table1[[#This Row],[AwayTeam]],Standings!$A$2:$A$33,0),2)&lt;&gt;INDEX(Standings!$A$2:$C$33,MATCH(Table1[[#This Row],[HomeTeam]],Standings!$A$2:$A$33,0),2),1,0)</f>
        <v>1</v>
      </c>
      <c r="AN1099" s="64" t="str">
        <f>INDEX(Table2[AWAY_RECORD], MATCH(Table1[[#This Row],[AwayTeam]],Table2[Team], 0), 0)</f>
        <v>0-0-0</v>
      </c>
      <c r="AO1099" s="64" t="str">
        <f>INDEX(Records!$B$2:$AG$33, MATCH(Table1[[#This Row],[AwayTeam]],Records!$A$2:$A$33, 0), MATCH(Table1[[#This Row],[HomeTeam]],Records!$A$2:$A$33, 0))</f>
        <v>0-0-0</v>
      </c>
      <c r="AP1099" s="64" t="str">
        <f>INDEX(Table2[HOME_RECORD], MATCH(Table1[[#This Row],[HomeTeam]],Table2[Team], 0), 0)</f>
        <v>0-0-0</v>
      </c>
      <c r="AQ1099" s="64" t="str">
        <f>INDEX(Records!$B$2:$AG$33, MATCH(Table1[[#This Row],[HomeTeam]],Records!$A$2:$A$33, 0), MATCH(Table1[[#This Row],[AwayTeam]],Records!$A$2:$A$33, 0))</f>
        <v>0-0-0</v>
      </c>
    </row>
    <row r="1100" spans="1:43" x14ac:dyDescent="0.25">
      <c r="A1100" s="1"/>
      <c r="D1100" t="s">
        <v>1433</v>
      </c>
      <c r="E1100" t="s">
        <v>178</v>
      </c>
      <c r="F1100" t="s">
        <v>1441</v>
      </c>
      <c r="G1100" t="s">
        <v>44</v>
      </c>
      <c r="H1100" t="s">
        <v>60</v>
      </c>
      <c r="L110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0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00" s="1"/>
      <c r="T1100" s="64" t="str">
        <f>IF(Table1[[#This Row],[ActualWinner]]="", "", IF(Table1[[#This Row],[AwayTeam]]=Table1[[#This Row],[ActualWinner]],Table1[[#This Row],[HomeTeam]],Table1[[#This Row],[AwayTeam]]))</f>
        <v/>
      </c>
      <c r="U1100" s="64">
        <f>Table1[[#This Row],[ActualAwayScore]]-Table1[[#This Row],[PredictedAwayScore]]</f>
        <v>0</v>
      </c>
      <c r="V1100" s="64">
        <f>Table1[[#This Row],[ActualHomeScore]]-Table1[[#This Row],[PredictedHomeScore]]</f>
        <v>0</v>
      </c>
      <c r="W1100" s="64">
        <f>(0.8*IF(Table1[[#This Row],[CorrectWinnerPrediction]]=1, 1, 0))+(0.1*IF(Table1[[#This Row],[CorrectAwayScorePrediction]]=1, 1, 0))+(0.1*IF(Table1[[#This Row],[CorrectHomeScorePrediction]]=1, 1, 0))</f>
        <v>0</v>
      </c>
      <c r="X110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00" s="64">
        <f>SUMIF(Table1[GameDate], Table1[[#This Row],[GameDate]], Table1[AwayGameGoalDiff])</f>
        <v>0</v>
      </c>
      <c r="AA1100" s="64">
        <f>SUMIF(Table1[GameDate], Table1[[#This Row],[GameDate]], Table1[HomeGameGoalDiff])</f>
        <v>0</v>
      </c>
      <c r="AB1100" s="64">
        <f>IF(ISBLANK(Table1[[#This Row],[ActualResult]]), 0, 1)</f>
        <v>0</v>
      </c>
      <c r="AC1100" s="64">
        <f>IF(ISBLANK(Table1[[#This Row],[ActualResult]]), 0, IF(Table1[[#This Row],[ActualWinner]]=Table1[[#This Row],[PredictedWinner]], 1, 0))</f>
        <v>0</v>
      </c>
      <c r="AD110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0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00" s="64">
        <f>IF(AND(Table1[[#This Row],[GameIsOver]]=1,Table1[[#This Row],[ActualAwayScore]]=0), 1,0)</f>
        <v>0</v>
      </c>
      <c r="AG1100" s="64">
        <f>IF(AND(Table1[[#This Row],[GameIsOver]]=1,Table1[[#This Row],[ActualHomeScore]]=0), 1,0)</f>
        <v>0</v>
      </c>
      <c r="AH1100" s="64">
        <f>IF(Table1[[#This Row],[GameIsOver]]=0,0,IF(Table1[[#This Row],[ActualWinner]]=Table1[[#This Row],[AwayTeam]], 1, 0))</f>
        <v>0</v>
      </c>
      <c r="AI1100" s="64">
        <f>IF(Table1[[#This Row],[GameIsOver]]=0,0,IF(Table1[[#This Row],[ActualWinner]]=Table1[[#This Row],[HomeTeam]], 1, 0))</f>
        <v>0</v>
      </c>
      <c r="AJ1100" s="64">
        <f>IF(INDEX(Standings!$A$2:$C$33,MATCH(Table1[[#This Row],[AwayTeam]],Standings!$A$2:$A$33,0),2)=INDEX(Standings!$A$2:$C$33,MATCH(Table1[[#This Row],[HomeTeam]],Standings!$A$2:$A$33,0),2),1,0)</f>
        <v>0</v>
      </c>
      <c r="AK1100" s="64">
        <f>IF(INDEX(Standings!$A$2:$C$33,MATCH(Table1[[#This Row],[AwayTeam]],Standings!$A$2:$A$33,0),3)=INDEX(Standings!$A$2:$C$33,MATCH(Table1[[#This Row],[HomeTeam]],Standings!$A$2:$A$33,0),3),1,0)</f>
        <v>0</v>
      </c>
      <c r="AL1100" s="64">
        <f>IF(Table1[[#This Row],[InterConf]]=1,IF(Table1[[#This Row],[InterDiv]]=0, 1, 0), 0)</f>
        <v>0</v>
      </c>
      <c r="AM1100" s="64">
        <f>IF(INDEX(Standings!$A$2:$C$33,MATCH(Table1[[#This Row],[AwayTeam]],Standings!$A$2:$A$33,0),2)&lt;&gt;INDEX(Standings!$A$2:$C$33,MATCH(Table1[[#This Row],[HomeTeam]],Standings!$A$2:$A$33,0),2),1,0)</f>
        <v>1</v>
      </c>
      <c r="AN1100" s="64" t="str">
        <f>INDEX(Table2[AWAY_RECORD], MATCH(Table1[[#This Row],[AwayTeam]],Table2[Team], 0), 0)</f>
        <v>0-0-0</v>
      </c>
      <c r="AO1100" s="64" t="str">
        <f>INDEX(Records!$B$2:$AG$33, MATCH(Table1[[#This Row],[AwayTeam]],Records!$A$2:$A$33, 0), MATCH(Table1[[#This Row],[HomeTeam]],Records!$A$2:$A$33, 0))</f>
        <v>0-0-0</v>
      </c>
      <c r="AP1100" s="64" t="str">
        <f>INDEX(Table2[HOME_RECORD], MATCH(Table1[[#This Row],[HomeTeam]],Table2[Team], 0), 0)</f>
        <v>1-0-0</v>
      </c>
      <c r="AQ1100" s="64" t="str">
        <f>INDEX(Records!$B$2:$AG$33, MATCH(Table1[[#This Row],[HomeTeam]],Records!$A$2:$A$33, 0), MATCH(Table1[[#This Row],[AwayTeam]],Records!$A$2:$A$33, 0))</f>
        <v>0-0-0</v>
      </c>
    </row>
    <row r="1101" spans="1:43" x14ac:dyDescent="0.25">
      <c r="A1101" s="1"/>
      <c r="D1101" t="s">
        <v>1433</v>
      </c>
      <c r="E1101" t="s">
        <v>178</v>
      </c>
      <c r="F1101" t="s">
        <v>1442</v>
      </c>
      <c r="G1101" t="s">
        <v>46</v>
      </c>
      <c r="H1101" t="s">
        <v>45</v>
      </c>
      <c r="L110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0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01" s="1"/>
      <c r="T1101" s="64" t="str">
        <f>IF(Table1[[#This Row],[ActualWinner]]="", "", IF(Table1[[#This Row],[AwayTeam]]=Table1[[#This Row],[ActualWinner]],Table1[[#This Row],[HomeTeam]],Table1[[#This Row],[AwayTeam]]))</f>
        <v/>
      </c>
      <c r="U1101" s="64">
        <f>Table1[[#This Row],[ActualAwayScore]]-Table1[[#This Row],[PredictedAwayScore]]</f>
        <v>0</v>
      </c>
      <c r="V1101" s="64">
        <f>Table1[[#This Row],[ActualHomeScore]]-Table1[[#This Row],[PredictedHomeScore]]</f>
        <v>0</v>
      </c>
      <c r="W1101" s="64">
        <f>(0.8*IF(Table1[[#This Row],[CorrectWinnerPrediction]]=1, 1, 0))+(0.1*IF(Table1[[#This Row],[CorrectAwayScorePrediction]]=1, 1, 0))+(0.1*IF(Table1[[#This Row],[CorrectHomeScorePrediction]]=1, 1, 0))</f>
        <v>0</v>
      </c>
      <c r="X110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01" s="64">
        <f>SUMIF(Table1[GameDate], Table1[[#This Row],[GameDate]], Table1[AwayGameGoalDiff])</f>
        <v>0</v>
      </c>
      <c r="AA1101" s="64">
        <f>SUMIF(Table1[GameDate], Table1[[#This Row],[GameDate]], Table1[HomeGameGoalDiff])</f>
        <v>0</v>
      </c>
      <c r="AB1101" s="64">
        <f>IF(ISBLANK(Table1[[#This Row],[ActualResult]]), 0, 1)</f>
        <v>0</v>
      </c>
      <c r="AC1101" s="64">
        <f>IF(ISBLANK(Table1[[#This Row],[ActualResult]]), 0, IF(Table1[[#This Row],[ActualWinner]]=Table1[[#This Row],[PredictedWinner]], 1, 0))</f>
        <v>0</v>
      </c>
      <c r="AD110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0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01" s="64">
        <f>IF(AND(Table1[[#This Row],[GameIsOver]]=1,Table1[[#This Row],[ActualAwayScore]]=0), 1,0)</f>
        <v>0</v>
      </c>
      <c r="AG1101" s="64">
        <f>IF(AND(Table1[[#This Row],[GameIsOver]]=1,Table1[[#This Row],[ActualHomeScore]]=0), 1,0)</f>
        <v>0</v>
      </c>
      <c r="AH1101" s="64">
        <f>IF(Table1[[#This Row],[GameIsOver]]=0,0,IF(Table1[[#This Row],[ActualWinner]]=Table1[[#This Row],[AwayTeam]], 1, 0))</f>
        <v>0</v>
      </c>
      <c r="AI1101" s="64">
        <f>IF(Table1[[#This Row],[GameIsOver]]=0,0,IF(Table1[[#This Row],[ActualWinner]]=Table1[[#This Row],[HomeTeam]], 1, 0))</f>
        <v>0</v>
      </c>
      <c r="AJ1101" s="64">
        <f>IF(INDEX(Standings!$A$2:$C$33,MATCH(Table1[[#This Row],[AwayTeam]],Standings!$A$2:$A$33,0),2)=INDEX(Standings!$A$2:$C$33,MATCH(Table1[[#This Row],[HomeTeam]],Standings!$A$2:$A$33,0),2),1,0)</f>
        <v>1</v>
      </c>
      <c r="AK1101" s="64">
        <f>IF(INDEX(Standings!$A$2:$C$33,MATCH(Table1[[#This Row],[AwayTeam]],Standings!$A$2:$A$33,0),3)=INDEX(Standings!$A$2:$C$33,MATCH(Table1[[#This Row],[HomeTeam]],Standings!$A$2:$A$33,0),3),1,0)</f>
        <v>1</v>
      </c>
      <c r="AL1101" s="64">
        <f>IF(Table1[[#This Row],[InterConf]]=1,IF(Table1[[#This Row],[InterDiv]]=0, 1, 0), 0)</f>
        <v>0</v>
      </c>
      <c r="AM1101" s="64">
        <f>IF(INDEX(Standings!$A$2:$C$33,MATCH(Table1[[#This Row],[AwayTeam]],Standings!$A$2:$A$33,0),2)&lt;&gt;INDEX(Standings!$A$2:$C$33,MATCH(Table1[[#This Row],[HomeTeam]],Standings!$A$2:$A$33,0),2),1,0)</f>
        <v>0</v>
      </c>
      <c r="AN1101" s="64" t="str">
        <f>INDEX(Table2[AWAY_RECORD], MATCH(Table1[[#This Row],[AwayTeam]],Table2[Team], 0), 0)</f>
        <v>1-0-0</v>
      </c>
      <c r="AO1101" s="64" t="str">
        <f>INDEX(Records!$B$2:$AG$33, MATCH(Table1[[#This Row],[AwayTeam]],Records!$A$2:$A$33, 0), MATCH(Table1[[#This Row],[HomeTeam]],Records!$A$2:$A$33, 0))</f>
        <v>0-0-0</v>
      </c>
      <c r="AP1101" s="64" t="str">
        <f>INDEX(Table2[HOME_RECORD], MATCH(Table1[[#This Row],[HomeTeam]],Table2[Team], 0), 0)</f>
        <v>1-0-0</v>
      </c>
      <c r="AQ1101" s="64" t="str">
        <f>INDEX(Records!$B$2:$AG$33, MATCH(Table1[[#This Row],[HomeTeam]],Records!$A$2:$A$33, 0), MATCH(Table1[[#This Row],[AwayTeam]],Records!$A$2:$A$33, 0))</f>
        <v>0-0-0</v>
      </c>
    </row>
    <row r="1102" spans="1:43" x14ac:dyDescent="0.25">
      <c r="A1102" s="1"/>
      <c r="D1102" t="s">
        <v>1433</v>
      </c>
      <c r="E1102" t="s">
        <v>164</v>
      </c>
      <c r="F1102" t="s">
        <v>1443</v>
      </c>
      <c r="G1102" t="s">
        <v>53</v>
      </c>
      <c r="H1102" t="s">
        <v>41</v>
      </c>
      <c r="L110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0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02" s="1"/>
      <c r="T1102" s="64" t="str">
        <f>IF(Table1[[#This Row],[ActualWinner]]="", "", IF(Table1[[#This Row],[AwayTeam]]=Table1[[#This Row],[ActualWinner]],Table1[[#This Row],[HomeTeam]],Table1[[#This Row],[AwayTeam]]))</f>
        <v/>
      </c>
      <c r="U1102" s="64">
        <f>Table1[[#This Row],[ActualAwayScore]]-Table1[[#This Row],[PredictedAwayScore]]</f>
        <v>0</v>
      </c>
      <c r="V1102" s="64">
        <f>Table1[[#This Row],[ActualHomeScore]]-Table1[[#This Row],[PredictedHomeScore]]</f>
        <v>0</v>
      </c>
      <c r="W1102" s="64">
        <f>(0.8*IF(Table1[[#This Row],[CorrectWinnerPrediction]]=1, 1, 0))+(0.1*IF(Table1[[#This Row],[CorrectAwayScorePrediction]]=1, 1, 0))+(0.1*IF(Table1[[#This Row],[CorrectHomeScorePrediction]]=1, 1, 0))</f>
        <v>0</v>
      </c>
      <c r="X110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02" s="64">
        <f>SUMIF(Table1[GameDate], Table1[[#This Row],[GameDate]], Table1[AwayGameGoalDiff])</f>
        <v>0</v>
      </c>
      <c r="AA1102" s="64">
        <f>SUMIF(Table1[GameDate], Table1[[#This Row],[GameDate]], Table1[HomeGameGoalDiff])</f>
        <v>0</v>
      </c>
      <c r="AB1102" s="64">
        <f>IF(ISBLANK(Table1[[#This Row],[ActualResult]]), 0, 1)</f>
        <v>0</v>
      </c>
      <c r="AC1102" s="64">
        <f>IF(ISBLANK(Table1[[#This Row],[ActualResult]]), 0, IF(Table1[[#This Row],[ActualWinner]]=Table1[[#This Row],[PredictedWinner]], 1, 0))</f>
        <v>0</v>
      </c>
      <c r="AD110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0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02" s="64">
        <f>IF(AND(Table1[[#This Row],[GameIsOver]]=1,Table1[[#This Row],[ActualAwayScore]]=0), 1,0)</f>
        <v>0</v>
      </c>
      <c r="AG1102" s="64">
        <f>IF(AND(Table1[[#This Row],[GameIsOver]]=1,Table1[[#This Row],[ActualHomeScore]]=0), 1,0)</f>
        <v>0</v>
      </c>
      <c r="AH1102" s="64">
        <f>IF(Table1[[#This Row],[GameIsOver]]=0,0,IF(Table1[[#This Row],[ActualWinner]]=Table1[[#This Row],[AwayTeam]], 1, 0))</f>
        <v>0</v>
      </c>
      <c r="AI1102" s="64">
        <f>IF(Table1[[#This Row],[GameIsOver]]=0,0,IF(Table1[[#This Row],[ActualWinner]]=Table1[[#This Row],[HomeTeam]], 1, 0))</f>
        <v>0</v>
      </c>
      <c r="AJ1102" s="64">
        <f>IF(INDEX(Standings!$A$2:$C$33,MATCH(Table1[[#This Row],[AwayTeam]],Standings!$A$2:$A$33,0),2)=INDEX(Standings!$A$2:$C$33,MATCH(Table1[[#This Row],[HomeTeam]],Standings!$A$2:$A$33,0),2),1,0)</f>
        <v>0</v>
      </c>
      <c r="AK1102" s="64">
        <f>IF(INDEX(Standings!$A$2:$C$33,MATCH(Table1[[#This Row],[AwayTeam]],Standings!$A$2:$A$33,0),3)=INDEX(Standings!$A$2:$C$33,MATCH(Table1[[#This Row],[HomeTeam]],Standings!$A$2:$A$33,0),3),1,0)</f>
        <v>0</v>
      </c>
      <c r="AL1102" s="64">
        <f>IF(Table1[[#This Row],[InterConf]]=1,IF(Table1[[#This Row],[InterDiv]]=0, 1, 0), 0)</f>
        <v>0</v>
      </c>
      <c r="AM1102" s="64">
        <f>IF(INDEX(Standings!$A$2:$C$33,MATCH(Table1[[#This Row],[AwayTeam]],Standings!$A$2:$A$33,0),2)&lt;&gt;INDEX(Standings!$A$2:$C$33,MATCH(Table1[[#This Row],[HomeTeam]],Standings!$A$2:$A$33,0),2),1,0)</f>
        <v>1</v>
      </c>
      <c r="AN1102" s="64" t="str">
        <f>INDEX(Table2[AWAY_RECORD], MATCH(Table1[[#This Row],[AwayTeam]],Table2[Team], 0), 0)</f>
        <v>0-1-0</v>
      </c>
      <c r="AO1102" s="64" t="str">
        <f>INDEX(Records!$B$2:$AG$33, MATCH(Table1[[#This Row],[AwayTeam]],Records!$A$2:$A$33, 0), MATCH(Table1[[#This Row],[HomeTeam]],Records!$A$2:$A$33, 0))</f>
        <v>0-0-0</v>
      </c>
      <c r="AP1102" s="64" t="str">
        <f>INDEX(Table2[HOME_RECORD], MATCH(Table1[[#This Row],[HomeTeam]],Table2[Team], 0), 0)</f>
        <v>0-0-1</v>
      </c>
      <c r="AQ1102" s="64" t="str">
        <f>INDEX(Records!$B$2:$AG$33, MATCH(Table1[[#This Row],[HomeTeam]],Records!$A$2:$A$33, 0), MATCH(Table1[[#This Row],[AwayTeam]],Records!$A$2:$A$33, 0))</f>
        <v>0-0-0</v>
      </c>
    </row>
    <row r="1103" spans="1:43" x14ac:dyDescent="0.25">
      <c r="A1103" s="1"/>
      <c r="D1103" t="s">
        <v>1433</v>
      </c>
      <c r="E1103" t="s">
        <v>164</v>
      </c>
      <c r="F1103" t="s">
        <v>1444</v>
      </c>
      <c r="G1103" t="s">
        <v>51</v>
      </c>
      <c r="H1103" t="s">
        <v>58</v>
      </c>
      <c r="L110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0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03" s="1"/>
      <c r="T1103" s="64" t="str">
        <f>IF(Table1[[#This Row],[ActualWinner]]="", "", IF(Table1[[#This Row],[AwayTeam]]=Table1[[#This Row],[ActualWinner]],Table1[[#This Row],[HomeTeam]],Table1[[#This Row],[AwayTeam]]))</f>
        <v/>
      </c>
      <c r="U1103" s="64">
        <f>Table1[[#This Row],[ActualAwayScore]]-Table1[[#This Row],[PredictedAwayScore]]</f>
        <v>0</v>
      </c>
      <c r="V1103" s="64">
        <f>Table1[[#This Row],[ActualHomeScore]]-Table1[[#This Row],[PredictedHomeScore]]</f>
        <v>0</v>
      </c>
      <c r="W1103" s="64">
        <f>(0.8*IF(Table1[[#This Row],[CorrectWinnerPrediction]]=1, 1, 0))+(0.1*IF(Table1[[#This Row],[CorrectAwayScorePrediction]]=1, 1, 0))+(0.1*IF(Table1[[#This Row],[CorrectHomeScorePrediction]]=1, 1, 0))</f>
        <v>0</v>
      </c>
      <c r="X110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03" s="64">
        <f>SUMIF(Table1[GameDate], Table1[[#This Row],[GameDate]], Table1[AwayGameGoalDiff])</f>
        <v>0</v>
      </c>
      <c r="AA1103" s="64">
        <f>SUMIF(Table1[GameDate], Table1[[#This Row],[GameDate]], Table1[HomeGameGoalDiff])</f>
        <v>0</v>
      </c>
      <c r="AB1103" s="64">
        <f>IF(ISBLANK(Table1[[#This Row],[ActualResult]]), 0, 1)</f>
        <v>0</v>
      </c>
      <c r="AC1103" s="64">
        <f>IF(ISBLANK(Table1[[#This Row],[ActualResult]]), 0, IF(Table1[[#This Row],[ActualWinner]]=Table1[[#This Row],[PredictedWinner]], 1, 0))</f>
        <v>0</v>
      </c>
      <c r="AD110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0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03" s="64">
        <f>IF(AND(Table1[[#This Row],[GameIsOver]]=1,Table1[[#This Row],[ActualAwayScore]]=0), 1,0)</f>
        <v>0</v>
      </c>
      <c r="AG1103" s="64">
        <f>IF(AND(Table1[[#This Row],[GameIsOver]]=1,Table1[[#This Row],[ActualHomeScore]]=0), 1,0)</f>
        <v>0</v>
      </c>
      <c r="AH1103" s="64">
        <f>IF(Table1[[#This Row],[GameIsOver]]=0,0,IF(Table1[[#This Row],[ActualWinner]]=Table1[[#This Row],[AwayTeam]], 1, 0))</f>
        <v>0</v>
      </c>
      <c r="AI1103" s="64">
        <f>IF(Table1[[#This Row],[GameIsOver]]=0,0,IF(Table1[[#This Row],[ActualWinner]]=Table1[[#This Row],[HomeTeam]], 1, 0))</f>
        <v>0</v>
      </c>
      <c r="AJ1103" s="64">
        <f>IF(INDEX(Standings!$A$2:$C$33,MATCH(Table1[[#This Row],[AwayTeam]],Standings!$A$2:$A$33,0),2)=INDEX(Standings!$A$2:$C$33,MATCH(Table1[[#This Row],[HomeTeam]],Standings!$A$2:$A$33,0),2),1,0)</f>
        <v>0</v>
      </c>
      <c r="AK1103" s="64">
        <f>IF(INDEX(Standings!$A$2:$C$33,MATCH(Table1[[#This Row],[AwayTeam]],Standings!$A$2:$A$33,0),3)=INDEX(Standings!$A$2:$C$33,MATCH(Table1[[#This Row],[HomeTeam]],Standings!$A$2:$A$33,0),3),1,0)</f>
        <v>0</v>
      </c>
      <c r="AL1103" s="64">
        <f>IF(Table1[[#This Row],[InterConf]]=1,IF(Table1[[#This Row],[InterDiv]]=0, 1, 0), 0)</f>
        <v>0</v>
      </c>
      <c r="AM1103" s="64">
        <f>IF(INDEX(Standings!$A$2:$C$33,MATCH(Table1[[#This Row],[AwayTeam]],Standings!$A$2:$A$33,0),2)&lt;&gt;INDEX(Standings!$A$2:$C$33,MATCH(Table1[[#This Row],[HomeTeam]],Standings!$A$2:$A$33,0),2),1,0)</f>
        <v>1</v>
      </c>
      <c r="AN1103" s="64" t="str">
        <f>INDEX(Table2[AWAY_RECORD], MATCH(Table1[[#This Row],[AwayTeam]],Table2[Team], 0), 0)</f>
        <v>2-0-0</v>
      </c>
      <c r="AO1103" s="64" t="str">
        <f>INDEX(Records!$B$2:$AG$33, MATCH(Table1[[#This Row],[AwayTeam]],Records!$A$2:$A$33, 0), MATCH(Table1[[#This Row],[HomeTeam]],Records!$A$2:$A$33, 0))</f>
        <v>0-0-0</v>
      </c>
      <c r="AP1103" s="64" t="str">
        <f>INDEX(Table2[HOME_RECORD], MATCH(Table1[[#This Row],[HomeTeam]],Table2[Team], 0), 0)</f>
        <v>1-0-0</v>
      </c>
      <c r="AQ1103" s="64" t="str">
        <f>INDEX(Records!$B$2:$AG$33, MATCH(Table1[[#This Row],[HomeTeam]],Records!$A$2:$A$33, 0), MATCH(Table1[[#This Row],[AwayTeam]],Records!$A$2:$A$33, 0))</f>
        <v>0-0-0</v>
      </c>
    </row>
    <row r="1104" spans="1:43" x14ac:dyDescent="0.25">
      <c r="A1104" s="1"/>
      <c r="D1104" t="s">
        <v>1445</v>
      </c>
      <c r="E1104" t="s">
        <v>298</v>
      </c>
      <c r="F1104" t="s">
        <v>1446</v>
      </c>
      <c r="G1104" t="s">
        <v>55</v>
      </c>
      <c r="H1104" t="s">
        <v>25</v>
      </c>
      <c r="L110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0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04" s="1"/>
      <c r="T1104" s="64" t="str">
        <f>IF(Table1[[#This Row],[ActualWinner]]="", "", IF(Table1[[#This Row],[AwayTeam]]=Table1[[#This Row],[ActualWinner]],Table1[[#This Row],[HomeTeam]],Table1[[#This Row],[AwayTeam]]))</f>
        <v/>
      </c>
      <c r="U1104" s="64">
        <f>Table1[[#This Row],[ActualAwayScore]]-Table1[[#This Row],[PredictedAwayScore]]</f>
        <v>0</v>
      </c>
      <c r="V1104" s="64">
        <f>Table1[[#This Row],[ActualHomeScore]]-Table1[[#This Row],[PredictedHomeScore]]</f>
        <v>0</v>
      </c>
      <c r="W1104" s="64">
        <f>(0.8*IF(Table1[[#This Row],[CorrectWinnerPrediction]]=1, 1, 0))+(0.1*IF(Table1[[#This Row],[CorrectAwayScorePrediction]]=1, 1, 0))+(0.1*IF(Table1[[#This Row],[CorrectHomeScorePrediction]]=1, 1, 0))</f>
        <v>0</v>
      </c>
      <c r="X110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04" s="64">
        <f>SUMIF(Table1[GameDate], Table1[[#This Row],[GameDate]], Table1[AwayGameGoalDiff])</f>
        <v>0</v>
      </c>
      <c r="AA1104" s="64">
        <f>SUMIF(Table1[GameDate], Table1[[#This Row],[GameDate]], Table1[HomeGameGoalDiff])</f>
        <v>0</v>
      </c>
      <c r="AB1104" s="64">
        <f>IF(ISBLANK(Table1[[#This Row],[ActualResult]]), 0, 1)</f>
        <v>0</v>
      </c>
      <c r="AC1104" s="64">
        <f>IF(ISBLANK(Table1[[#This Row],[ActualResult]]), 0, IF(Table1[[#This Row],[ActualWinner]]=Table1[[#This Row],[PredictedWinner]], 1, 0))</f>
        <v>0</v>
      </c>
      <c r="AD110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0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04" s="64">
        <f>IF(AND(Table1[[#This Row],[GameIsOver]]=1,Table1[[#This Row],[ActualAwayScore]]=0), 1,0)</f>
        <v>0</v>
      </c>
      <c r="AG1104" s="64">
        <f>IF(AND(Table1[[#This Row],[GameIsOver]]=1,Table1[[#This Row],[ActualHomeScore]]=0), 1,0)</f>
        <v>0</v>
      </c>
      <c r="AH1104" s="64">
        <f>IF(Table1[[#This Row],[GameIsOver]]=0,0,IF(Table1[[#This Row],[ActualWinner]]=Table1[[#This Row],[AwayTeam]], 1, 0))</f>
        <v>0</v>
      </c>
      <c r="AI1104" s="64">
        <f>IF(Table1[[#This Row],[GameIsOver]]=0,0,IF(Table1[[#This Row],[ActualWinner]]=Table1[[#This Row],[HomeTeam]], 1, 0))</f>
        <v>0</v>
      </c>
      <c r="AJ1104" s="64">
        <f>IF(INDEX(Standings!$A$2:$C$33,MATCH(Table1[[#This Row],[AwayTeam]],Standings!$A$2:$A$33,0),2)=INDEX(Standings!$A$2:$C$33,MATCH(Table1[[#This Row],[HomeTeam]],Standings!$A$2:$A$33,0),2),1,0)</f>
        <v>1</v>
      </c>
      <c r="AK1104" s="64">
        <f>IF(INDEX(Standings!$A$2:$C$33,MATCH(Table1[[#This Row],[AwayTeam]],Standings!$A$2:$A$33,0),3)=INDEX(Standings!$A$2:$C$33,MATCH(Table1[[#This Row],[HomeTeam]],Standings!$A$2:$A$33,0),3),1,0)</f>
        <v>1</v>
      </c>
      <c r="AL1104" s="64">
        <f>IF(Table1[[#This Row],[InterConf]]=1,IF(Table1[[#This Row],[InterDiv]]=0, 1, 0), 0)</f>
        <v>0</v>
      </c>
      <c r="AM1104" s="64">
        <f>IF(INDEX(Standings!$A$2:$C$33,MATCH(Table1[[#This Row],[AwayTeam]],Standings!$A$2:$A$33,0),2)&lt;&gt;INDEX(Standings!$A$2:$C$33,MATCH(Table1[[#This Row],[HomeTeam]],Standings!$A$2:$A$33,0),2),1,0)</f>
        <v>0</v>
      </c>
      <c r="AN1104" s="64" t="str">
        <f>INDEX(Table2[AWAY_RECORD], MATCH(Table1[[#This Row],[AwayTeam]],Table2[Team], 0), 0)</f>
        <v>0-0-0</v>
      </c>
      <c r="AO1104" s="64" t="str">
        <f>INDEX(Records!$B$2:$AG$33, MATCH(Table1[[#This Row],[AwayTeam]],Records!$A$2:$A$33, 0), MATCH(Table1[[#This Row],[HomeTeam]],Records!$A$2:$A$33, 0))</f>
        <v>0-0-0</v>
      </c>
      <c r="AP1104" s="64" t="str">
        <f>INDEX(Table2[HOME_RECORD], MATCH(Table1[[#This Row],[HomeTeam]],Table2[Team], 0), 0)</f>
        <v>0-0-1</v>
      </c>
      <c r="AQ1104" s="64" t="str">
        <f>INDEX(Records!$B$2:$AG$33, MATCH(Table1[[#This Row],[HomeTeam]],Records!$A$2:$A$33, 0), MATCH(Table1[[#This Row],[AwayTeam]],Records!$A$2:$A$33, 0))</f>
        <v>0-0-0</v>
      </c>
    </row>
    <row r="1105" spans="1:43" x14ac:dyDescent="0.25">
      <c r="A1105" s="1"/>
      <c r="D1105" t="s">
        <v>1445</v>
      </c>
      <c r="E1105" t="s">
        <v>289</v>
      </c>
      <c r="F1105" t="s">
        <v>1447</v>
      </c>
      <c r="G1105" t="s">
        <v>37</v>
      </c>
      <c r="H1105" t="s">
        <v>47</v>
      </c>
      <c r="L110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0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05" s="1"/>
      <c r="T1105" s="64" t="str">
        <f>IF(Table1[[#This Row],[ActualWinner]]="", "", IF(Table1[[#This Row],[AwayTeam]]=Table1[[#This Row],[ActualWinner]],Table1[[#This Row],[HomeTeam]],Table1[[#This Row],[AwayTeam]]))</f>
        <v/>
      </c>
      <c r="U1105" s="64">
        <f>Table1[[#This Row],[ActualAwayScore]]-Table1[[#This Row],[PredictedAwayScore]]</f>
        <v>0</v>
      </c>
      <c r="V1105" s="64">
        <f>Table1[[#This Row],[ActualHomeScore]]-Table1[[#This Row],[PredictedHomeScore]]</f>
        <v>0</v>
      </c>
      <c r="W1105" s="64">
        <f>(0.8*IF(Table1[[#This Row],[CorrectWinnerPrediction]]=1, 1, 0))+(0.1*IF(Table1[[#This Row],[CorrectAwayScorePrediction]]=1, 1, 0))+(0.1*IF(Table1[[#This Row],[CorrectHomeScorePrediction]]=1, 1, 0))</f>
        <v>0</v>
      </c>
      <c r="X110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05" s="64">
        <f>SUMIF(Table1[GameDate], Table1[[#This Row],[GameDate]], Table1[AwayGameGoalDiff])</f>
        <v>0</v>
      </c>
      <c r="AA1105" s="64">
        <f>SUMIF(Table1[GameDate], Table1[[#This Row],[GameDate]], Table1[HomeGameGoalDiff])</f>
        <v>0</v>
      </c>
      <c r="AB1105" s="64">
        <f>IF(ISBLANK(Table1[[#This Row],[ActualResult]]), 0, 1)</f>
        <v>0</v>
      </c>
      <c r="AC1105" s="64">
        <f>IF(ISBLANK(Table1[[#This Row],[ActualResult]]), 0, IF(Table1[[#This Row],[ActualWinner]]=Table1[[#This Row],[PredictedWinner]], 1, 0))</f>
        <v>0</v>
      </c>
      <c r="AD110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0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05" s="64">
        <f>IF(AND(Table1[[#This Row],[GameIsOver]]=1,Table1[[#This Row],[ActualAwayScore]]=0), 1,0)</f>
        <v>0</v>
      </c>
      <c r="AG1105" s="64">
        <f>IF(AND(Table1[[#This Row],[GameIsOver]]=1,Table1[[#This Row],[ActualHomeScore]]=0), 1,0)</f>
        <v>0</v>
      </c>
      <c r="AH1105" s="64">
        <f>IF(Table1[[#This Row],[GameIsOver]]=0,0,IF(Table1[[#This Row],[ActualWinner]]=Table1[[#This Row],[AwayTeam]], 1, 0))</f>
        <v>0</v>
      </c>
      <c r="AI1105" s="64">
        <f>IF(Table1[[#This Row],[GameIsOver]]=0,0,IF(Table1[[#This Row],[ActualWinner]]=Table1[[#This Row],[HomeTeam]], 1, 0))</f>
        <v>0</v>
      </c>
      <c r="AJ1105" s="64">
        <f>IF(INDEX(Standings!$A$2:$C$33,MATCH(Table1[[#This Row],[AwayTeam]],Standings!$A$2:$A$33,0),2)=INDEX(Standings!$A$2:$C$33,MATCH(Table1[[#This Row],[HomeTeam]],Standings!$A$2:$A$33,0),2),1,0)</f>
        <v>1</v>
      </c>
      <c r="AK1105" s="64">
        <f>IF(INDEX(Standings!$A$2:$C$33,MATCH(Table1[[#This Row],[AwayTeam]],Standings!$A$2:$A$33,0),3)=INDEX(Standings!$A$2:$C$33,MATCH(Table1[[#This Row],[HomeTeam]],Standings!$A$2:$A$33,0),3),1,0)</f>
        <v>1</v>
      </c>
      <c r="AL1105" s="64">
        <f>IF(Table1[[#This Row],[InterConf]]=1,IF(Table1[[#This Row],[InterDiv]]=0, 1, 0), 0)</f>
        <v>0</v>
      </c>
      <c r="AM1105" s="64">
        <f>IF(INDEX(Standings!$A$2:$C$33,MATCH(Table1[[#This Row],[AwayTeam]],Standings!$A$2:$A$33,0),2)&lt;&gt;INDEX(Standings!$A$2:$C$33,MATCH(Table1[[#This Row],[HomeTeam]],Standings!$A$2:$A$33,0),2),1,0)</f>
        <v>0</v>
      </c>
      <c r="AN1105" s="64" t="str">
        <f>INDEX(Table2[AWAY_RECORD], MATCH(Table1[[#This Row],[AwayTeam]],Table2[Team], 0), 0)</f>
        <v>0-0-1</v>
      </c>
      <c r="AO1105" s="64" t="str">
        <f>INDEX(Records!$B$2:$AG$33, MATCH(Table1[[#This Row],[AwayTeam]],Records!$A$2:$A$33, 0), MATCH(Table1[[#This Row],[HomeTeam]],Records!$A$2:$A$33, 0))</f>
        <v>0-0-0</v>
      </c>
      <c r="AP1105" s="64" t="str">
        <f>INDEX(Table2[HOME_RECORD], MATCH(Table1[[#This Row],[HomeTeam]],Table2[Team], 0), 0)</f>
        <v>0-0-0</v>
      </c>
      <c r="AQ1105" s="64" t="str">
        <f>INDEX(Records!$B$2:$AG$33, MATCH(Table1[[#This Row],[HomeTeam]],Records!$A$2:$A$33, 0), MATCH(Table1[[#This Row],[AwayTeam]],Records!$A$2:$A$33, 0))</f>
        <v>0-0-0</v>
      </c>
    </row>
    <row r="1106" spans="1:43" x14ac:dyDescent="0.25">
      <c r="A1106" s="1"/>
      <c r="D1106" t="s">
        <v>1445</v>
      </c>
      <c r="E1106" t="s">
        <v>166</v>
      </c>
      <c r="F1106" t="s">
        <v>1448</v>
      </c>
      <c r="G1106" t="s">
        <v>59</v>
      </c>
      <c r="H1106" t="s">
        <v>16</v>
      </c>
      <c r="L110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0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06" s="1"/>
      <c r="T1106" s="64" t="str">
        <f>IF(Table1[[#This Row],[ActualWinner]]="", "", IF(Table1[[#This Row],[AwayTeam]]=Table1[[#This Row],[ActualWinner]],Table1[[#This Row],[HomeTeam]],Table1[[#This Row],[AwayTeam]]))</f>
        <v/>
      </c>
      <c r="U1106" s="64">
        <f>Table1[[#This Row],[ActualAwayScore]]-Table1[[#This Row],[PredictedAwayScore]]</f>
        <v>0</v>
      </c>
      <c r="V1106" s="64">
        <f>Table1[[#This Row],[ActualHomeScore]]-Table1[[#This Row],[PredictedHomeScore]]</f>
        <v>0</v>
      </c>
      <c r="W1106" s="64">
        <f>(0.8*IF(Table1[[#This Row],[CorrectWinnerPrediction]]=1, 1, 0))+(0.1*IF(Table1[[#This Row],[CorrectAwayScorePrediction]]=1, 1, 0))+(0.1*IF(Table1[[#This Row],[CorrectHomeScorePrediction]]=1, 1, 0))</f>
        <v>0</v>
      </c>
      <c r="X110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06" s="64">
        <f>SUMIF(Table1[GameDate], Table1[[#This Row],[GameDate]], Table1[AwayGameGoalDiff])</f>
        <v>0</v>
      </c>
      <c r="AA1106" s="64">
        <f>SUMIF(Table1[GameDate], Table1[[#This Row],[GameDate]], Table1[HomeGameGoalDiff])</f>
        <v>0</v>
      </c>
      <c r="AB1106" s="64">
        <f>IF(ISBLANK(Table1[[#This Row],[ActualResult]]), 0, 1)</f>
        <v>0</v>
      </c>
      <c r="AC1106" s="64">
        <f>IF(ISBLANK(Table1[[#This Row],[ActualResult]]), 0, IF(Table1[[#This Row],[ActualWinner]]=Table1[[#This Row],[PredictedWinner]], 1, 0))</f>
        <v>0</v>
      </c>
      <c r="AD110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0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06" s="64">
        <f>IF(AND(Table1[[#This Row],[GameIsOver]]=1,Table1[[#This Row],[ActualAwayScore]]=0), 1,0)</f>
        <v>0</v>
      </c>
      <c r="AG1106" s="64">
        <f>IF(AND(Table1[[#This Row],[GameIsOver]]=1,Table1[[#This Row],[ActualHomeScore]]=0), 1,0)</f>
        <v>0</v>
      </c>
      <c r="AH1106" s="64">
        <f>IF(Table1[[#This Row],[GameIsOver]]=0,0,IF(Table1[[#This Row],[ActualWinner]]=Table1[[#This Row],[AwayTeam]], 1, 0))</f>
        <v>0</v>
      </c>
      <c r="AI1106" s="64">
        <f>IF(Table1[[#This Row],[GameIsOver]]=0,0,IF(Table1[[#This Row],[ActualWinner]]=Table1[[#This Row],[HomeTeam]], 1, 0))</f>
        <v>0</v>
      </c>
      <c r="AJ1106" s="64">
        <f>IF(INDEX(Standings!$A$2:$C$33,MATCH(Table1[[#This Row],[AwayTeam]],Standings!$A$2:$A$33,0),2)=INDEX(Standings!$A$2:$C$33,MATCH(Table1[[#This Row],[HomeTeam]],Standings!$A$2:$A$33,0),2),1,0)</f>
        <v>0</v>
      </c>
      <c r="AK1106" s="64">
        <f>IF(INDEX(Standings!$A$2:$C$33,MATCH(Table1[[#This Row],[AwayTeam]],Standings!$A$2:$A$33,0),3)=INDEX(Standings!$A$2:$C$33,MATCH(Table1[[#This Row],[HomeTeam]],Standings!$A$2:$A$33,0),3),1,0)</f>
        <v>0</v>
      </c>
      <c r="AL1106" s="64">
        <f>IF(Table1[[#This Row],[InterConf]]=1,IF(Table1[[#This Row],[InterDiv]]=0, 1, 0), 0)</f>
        <v>0</v>
      </c>
      <c r="AM1106" s="64">
        <f>IF(INDEX(Standings!$A$2:$C$33,MATCH(Table1[[#This Row],[AwayTeam]],Standings!$A$2:$A$33,0),2)&lt;&gt;INDEX(Standings!$A$2:$C$33,MATCH(Table1[[#This Row],[HomeTeam]],Standings!$A$2:$A$33,0),2),1,0)</f>
        <v>1</v>
      </c>
      <c r="AN1106" s="64" t="str">
        <f>INDEX(Table2[AWAY_RECORD], MATCH(Table1[[#This Row],[AwayTeam]],Table2[Team], 0), 0)</f>
        <v>0-1-0</v>
      </c>
      <c r="AO1106" s="64" t="str">
        <f>INDEX(Records!$B$2:$AG$33, MATCH(Table1[[#This Row],[AwayTeam]],Records!$A$2:$A$33, 0), MATCH(Table1[[#This Row],[HomeTeam]],Records!$A$2:$A$33, 0))</f>
        <v>0-0-0</v>
      </c>
      <c r="AP1106" s="64" t="str">
        <f>INDEX(Table2[HOME_RECORD], MATCH(Table1[[#This Row],[HomeTeam]],Table2[Team], 0), 0)</f>
        <v>0-0-0</v>
      </c>
      <c r="AQ1106" s="64" t="str">
        <f>INDEX(Records!$B$2:$AG$33, MATCH(Table1[[#This Row],[HomeTeam]],Records!$A$2:$A$33, 0), MATCH(Table1[[#This Row],[AwayTeam]],Records!$A$2:$A$33, 0))</f>
        <v>0-0-0</v>
      </c>
    </row>
    <row r="1107" spans="1:43" x14ac:dyDescent="0.25">
      <c r="A1107" s="1"/>
      <c r="D1107" t="s">
        <v>1445</v>
      </c>
      <c r="E1107" t="s">
        <v>166</v>
      </c>
      <c r="F1107" t="s">
        <v>1449</v>
      </c>
      <c r="G1107" t="s">
        <v>36</v>
      </c>
      <c r="H1107" t="s">
        <v>43</v>
      </c>
      <c r="L110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0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07" s="1"/>
      <c r="T1107" s="64" t="str">
        <f>IF(Table1[[#This Row],[ActualWinner]]="", "", IF(Table1[[#This Row],[AwayTeam]]=Table1[[#This Row],[ActualWinner]],Table1[[#This Row],[HomeTeam]],Table1[[#This Row],[AwayTeam]]))</f>
        <v/>
      </c>
      <c r="U1107" s="64">
        <f>Table1[[#This Row],[ActualAwayScore]]-Table1[[#This Row],[PredictedAwayScore]]</f>
        <v>0</v>
      </c>
      <c r="V1107" s="64">
        <f>Table1[[#This Row],[ActualHomeScore]]-Table1[[#This Row],[PredictedHomeScore]]</f>
        <v>0</v>
      </c>
      <c r="W1107" s="64">
        <f>(0.8*IF(Table1[[#This Row],[CorrectWinnerPrediction]]=1, 1, 0))+(0.1*IF(Table1[[#This Row],[CorrectAwayScorePrediction]]=1, 1, 0))+(0.1*IF(Table1[[#This Row],[CorrectHomeScorePrediction]]=1, 1, 0))</f>
        <v>0</v>
      </c>
      <c r="X110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07" s="64">
        <f>SUMIF(Table1[GameDate], Table1[[#This Row],[GameDate]], Table1[AwayGameGoalDiff])</f>
        <v>0</v>
      </c>
      <c r="AA1107" s="64">
        <f>SUMIF(Table1[GameDate], Table1[[#This Row],[GameDate]], Table1[HomeGameGoalDiff])</f>
        <v>0</v>
      </c>
      <c r="AB1107" s="64">
        <f>IF(ISBLANK(Table1[[#This Row],[ActualResult]]), 0, 1)</f>
        <v>0</v>
      </c>
      <c r="AC1107" s="64">
        <f>IF(ISBLANK(Table1[[#This Row],[ActualResult]]), 0, IF(Table1[[#This Row],[ActualWinner]]=Table1[[#This Row],[PredictedWinner]], 1, 0))</f>
        <v>0</v>
      </c>
      <c r="AD110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0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07" s="64">
        <f>IF(AND(Table1[[#This Row],[GameIsOver]]=1,Table1[[#This Row],[ActualAwayScore]]=0), 1,0)</f>
        <v>0</v>
      </c>
      <c r="AG1107" s="64">
        <f>IF(AND(Table1[[#This Row],[GameIsOver]]=1,Table1[[#This Row],[ActualHomeScore]]=0), 1,0)</f>
        <v>0</v>
      </c>
      <c r="AH1107" s="64">
        <f>IF(Table1[[#This Row],[GameIsOver]]=0,0,IF(Table1[[#This Row],[ActualWinner]]=Table1[[#This Row],[AwayTeam]], 1, 0))</f>
        <v>0</v>
      </c>
      <c r="AI1107" s="64">
        <f>IF(Table1[[#This Row],[GameIsOver]]=0,0,IF(Table1[[#This Row],[ActualWinner]]=Table1[[#This Row],[HomeTeam]], 1, 0))</f>
        <v>0</v>
      </c>
      <c r="AJ1107" s="64">
        <f>IF(INDEX(Standings!$A$2:$C$33,MATCH(Table1[[#This Row],[AwayTeam]],Standings!$A$2:$A$33,0),2)=INDEX(Standings!$A$2:$C$33,MATCH(Table1[[#This Row],[HomeTeam]],Standings!$A$2:$A$33,0),2),1,0)</f>
        <v>1</v>
      </c>
      <c r="AK1107" s="64">
        <f>IF(INDEX(Standings!$A$2:$C$33,MATCH(Table1[[#This Row],[AwayTeam]],Standings!$A$2:$A$33,0),3)=INDEX(Standings!$A$2:$C$33,MATCH(Table1[[#This Row],[HomeTeam]],Standings!$A$2:$A$33,0),3),1,0)</f>
        <v>0</v>
      </c>
      <c r="AL1107" s="64">
        <f>IF(Table1[[#This Row],[InterConf]]=1,IF(Table1[[#This Row],[InterDiv]]=0, 1, 0), 0)</f>
        <v>1</v>
      </c>
      <c r="AM1107" s="64">
        <f>IF(INDEX(Standings!$A$2:$C$33,MATCH(Table1[[#This Row],[AwayTeam]],Standings!$A$2:$A$33,0),2)&lt;&gt;INDEX(Standings!$A$2:$C$33,MATCH(Table1[[#This Row],[HomeTeam]],Standings!$A$2:$A$33,0),2),1,0)</f>
        <v>0</v>
      </c>
      <c r="AN1107" s="64" t="str">
        <f>INDEX(Table2[AWAY_RECORD], MATCH(Table1[[#This Row],[AwayTeam]],Table2[Team], 0), 0)</f>
        <v>0-0-0</v>
      </c>
      <c r="AO1107" s="64" t="str">
        <f>INDEX(Records!$B$2:$AG$33, MATCH(Table1[[#This Row],[AwayTeam]],Records!$A$2:$A$33, 0), MATCH(Table1[[#This Row],[HomeTeam]],Records!$A$2:$A$33, 0))</f>
        <v>0-0-0</v>
      </c>
      <c r="AP1107" s="64" t="str">
        <f>INDEX(Table2[HOME_RECORD], MATCH(Table1[[#This Row],[HomeTeam]],Table2[Team], 0), 0)</f>
        <v>0-0-0</v>
      </c>
      <c r="AQ1107" s="64" t="str">
        <f>INDEX(Records!$B$2:$AG$33, MATCH(Table1[[#This Row],[HomeTeam]],Records!$A$2:$A$33, 0), MATCH(Table1[[#This Row],[AwayTeam]],Records!$A$2:$A$33, 0))</f>
        <v>0-0-0</v>
      </c>
    </row>
    <row r="1108" spans="1:43" x14ac:dyDescent="0.25">
      <c r="A1108" s="1"/>
      <c r="D1108" t="s">
        <v>1450</v>
      </c>
      <c r="E1108" t="s">
        <v>162</v>
      </c>
      <c r="F1108" t="s">
        <v>1451</v>
      </c>
      <c r="G1108" t="s">
        <v>22</v>
      </c>
      <c r="H1108" t="s">
        <v>52</v>
      </c>
      <c r="L110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0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08" s="1"/>
      <c r="T1108" s="64" t="str">
        <f>IF(Table1[[#This Row],[ActualWinner]]="", "", IF(Table1[[#This Row],[AwayTeam]]=Table1[[#This Row],[ActualWinner]],Table1[[#This Row],[HomeTeam]],Table1[[#This Row],[AwayTeam]]))</f>
        <v/>
      </c>
      <c r="U1108" s="64">
        <f>Table1[[#This Row],[ActualAwayScore]]-Table1[[#This Row],[PredictedAwayScore]]</f>
        <v>0</v>
      </c>
      <c r="V1108" s="64">
        <f>Table1[[#This Row],[ActualHomeScore]]-Table1[[#This Row],[PredictedHomeScore]]</f>
        <v>0</v>
      </c>
      <c r="W1108" s="64">
        <f>(0.8*IF(Table1[[#This Row],[CorrectWinnerPrediction]]=1, 1, 0))+(0.1*IF(Table1[[#This Row],[CorrectAwayScorePrediction]]=1, 1, 0))+(0.1*IF(Table1[[#This Row],[CorrectHomeScorePrediction]]=1, 1, 0))</f>
        <v>0</v>
      </c>
      <c r="X110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08" s="64">
        <f>SUMIF(Table1[GameDate], Table1[[#This Row],[GameDate]], Table1[AwayGameGoalDiff])</f>
        <v>0</v>
      </c>
      <c r="AA1108" s="64">
        <f>SUMIF(Table1[GameDate], Table1[[#This Row],[GameDate]], Table1[HomeGameGoalDiff])</f>
        <v>0</v>
      </c>
      <c r="AB1108" s="64">
        <f>IF(ISBLANK(Table1[[#This Row],[ActualResult]]), 0, 1)</f>
        <v>0</v>
      </c>
      <c r="AC1108" s="64">
        <f>IF(ISBLANK(Table1[[#This Row],[ActualResult]]), 0, IF(Table1[[#This Row],[ActualWinner]]=Table1[[#This Row],[PredictedWinner]], 1, 0))</f>
        <v>0</v>
      </c>
      <c r="AD110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0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08" s="64">
        <f>IF(AND(Table1[[#This Row],[GameIsOver]]=1,Table1[[#This Row],[ActualAwayScore]]=0), 1,0)</f>
        <v>0</v>
      </c>
      <c r="AG1108" s="64">
        <f>IF(AND(Table1[[#This Row],[GameIsOver]]=1,Table1[[#This Row],[ActualHomeScore]]=0), 1,0)</f>
        <v>0</v>
      </c>
      <c r="AH1108" s="64">
        <f>IF(Table1[[#This Row],[GameIsOver]]=0,0,IF(Table1[[#This Row],[ActualWinner]]=Table1[[#This Row],[AwayTeam]], 1, 0))</f>
        <v>0</v>
      </c>
      <c r="AI1108" s="64">
        <f>IF(Table1[[#This Row],[GameIsOver]]=0,0,IF(Table1[[#This Row],[ActualWinner]]=Table1[[#This Row],[HomeTeam]], 1, 0))</f>
        <v>0</v>
      </c>
      <c r="AJ1108" s="64">
        <f>IF(INDEX(Standings!$A$2:$C$33,MATCH(Table1[[#This Row],[AwayTeam]],Standings!$A$2:$A$33,0),2)=INDEX(Standings!$A$2:$C$33,MATCH(Table1[[#This Row],[HomeTeam]],Standings!$A$2:$A$33,0),2),1,0)</f>
        <v>0</v>
      </c>
      <c r="AK1108" s="64">
        <f>IF(INDEX(Standings!$A$2:$C$33,MATCH(Table1[[#This Row],[AwayTeam]],Standings!$A$2:$A$33,0),3)=INDEX(Standings!$A$2:$C$33,MATCH(Table1[[#This Row],[HomeTeam]],Standings!$A$2:$A$33,0),3),1,0)</f>
        <v>0</v>
      </c>
      <c r="AL1108" s="64">
        <f>IF(Table1[[#This Row],[InterConf]]=1,IF(Table1[[#This Row],[InterDiv]]=0, 1, 0), 0)</f>
        <v>0</v>
      </c>
      <c r="AM1108" s="64">
        <f>IF(INDEX(Standings!$A$2:$C$33,MATCH(Table1[[#This Row],[AwayTeam]],Standings!$A$2:$A$33,0),2)&lt;&gt;INDEX(Standings!$A$2:$C$33,MATCH(Table1[[#This Row],[HomeTeam]],Standings!$A$2:$A$33,0),2),1,0)</f>
        <v>1</v>
      </c>
      <c r="AN1108" s="64" t="str">
        <f>INDEX(Table2[AWAY_RECORD], MATCH(Table1[[#This Row],[AwayTeam]],Table2[Team], 0), 0)</f>
        <v>0-0-1</v>
      </c>
      <c r="AO1108" s="64" t="str">
        <f>INDEX(Records!$B$2:$AG$33, MATCH(Table1[[#This Row],[AwayTeam]],Records!$A$2:$A$33, 0), MATCH(Table1[[#This Row],[HomeTeam]],Records!$A$2:$A$33, 0))</f>
        <v>0-0-0</v>
      </c>
      <c r="AP1108" s="64" t="str">
        <f>INDEX(Table2[HOME_RECORD], MATCH(Table1[[#This Row],[HomeTeam]],Table2[Team], 0), 0)</f>
        <v>0-0-0</v>
      </c>
      <c r="AQ1108" s="64" t="str">
        <f>INDEX(Records!$B$2:$AG$33, MATCH(Table1[[#This Row],[HomeTeam]],Records!$A$2:$A$33, 0), MATCH(Table1[[#This Row],[AwayTeam]],Records!$A$2:$A$33, 0))</f>
        <v>0-0-0</v>
      </c>
    </row>
    <row r="1109" spans="1:43" x14ac:dyDescent="0.25">
      <c r="A1109" s="1"/>
      <c r="D1109" t="s">
        <v>1450</v>
      </c>
      <c r="E1109" t="s">
        <v>162</v>
      </c>
      <c r="F1109" t="s">
        <v>1452</v>
      </c>
      <c r="G1109" t="s">
        <v>49</v>
      </c>
      <c r="H1109" t="s">
        <v>57</v>
      </c>
      <c r="L110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0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09" s="1"/>
      <c r="T1109" s="64" t="str">
        <f>IF(Table1[[#This Row],[ActualWinner]]="", "", IF(Table1[[#This Row],[AwayTeam]]=Table1[[#This Row],[ActualWinner]],Table1[[#This Row],[HomeTeam]],Table1[[#This Row],[AwayTeam]]))</f>
        <v/>
      </c>
      <c r="U1109" s="64">
        <f>Table1[[#This Row],[ActualAwayScore]]-Table1[[#This Row],[PredictedAwayScore]]</f>
        <v>0</v>
      </c>
      <c r="V1109" s="64">
        <f>Table1[[#This Row],[ActualHomeScore]]-Table1[[#This Row],[PredictedHomeScore]]</f>
        <v>0</v>
      </c>
      <c r="W1109" s="64">
        <f>(0.8*IF(Table1[[#This Row],[CorrectWinnerPrediction]]=1, 1, 0))+(0.1*IF(Table1[[#This Row],[CorrectAwayScorePrediction]]=1, 1, 0))+(0.1*IF(Table1[[#This Row],[CorrectHomeScorePrediction]]=1, 1, 0))</f>
        <v>0</v>
      </c>
      <c r="X110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09" s="64">
        <f>SUMIF(Table1[GameDate], Table1[[#This Row],[GameDate]], Table1[AwayGameGoalDiff])</f>
        <v>0</v>
      </c>
      <c r="AA1109" s="64">
        <f>SUMIF(Table1[GameDate], Table1[[#This Row],[GameDate]], Table1[HomeGameGoalDiff])</f>
        <v>0</v>
      </c>
      <c r="AB1109" s="64">
        <f>IF(ISBLANK(Table1[[#This Row],[ActualResult]]), 0, 1)</f>
        <v>0</v>
      </c>
      <c r="AC1109" s="64">
        <f>IF(ISBLANK(Table1[[#This Row],[ActualResult]]), 0, IF(Table1[[#This Row],[ActualWinner]]=Table1[[#This Row],[PredictedWinner]], 1, 0))</f>
        <v>0</v>
      </c>
      <c r="AD110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0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09" s="64">
        <f>IF(AND(Table1[[#This Row],[GameIsOver]]=1,Table1[[#This Row],[ActualAwayScore]]=0), 1,0)</f>
        <v>0</v>
      </c>
      <c r="AG1109" s="64">
        <f>IF(AND(Table1[[#This Row],[GameIsOver]]=1,Table1[[#This Row],[ActualHomeScore]]=0), 1,0)</f>
        <v>0</v>
      </c>
      <c r="AH1109" s="64">
        <f>IF(Table1[[#This Row],[GameIsOver]]=0,0,IF(Table1[[#This Row],[ActualWinner]]=Table1[[#This Row],[AwayTeam]], 1, 0))</f>
        <v>0</v>
      </c>
      <c r="AI1109" s="64">
        <f>IF(Table1[[#This Row],[GameIsOver]]=0,0,IF(Table1[[#This Row],[ActualWinner]]=Table1[[#This Row],[HomeTeam]], 1, 0))</f>
        <v>0</v>
      </c>
      <c r="AJ1109" s="64">
        <f>IF(INDEX(Standings!$A$2:$C$33,MATCH(Table1[[#This Row],[AwayTeam]],Standings!$A$2:$A$33,0),2)=INDEX(Standings!$A$2:$C$33,MATCH(Table1[[#This Row],[HomeTeam]],Standings!$A$2:$A$33,0),2),1,0)</f>
        <v>1</v>
      </c>
      <c r="AK1109" s="64">
        <f>IF(INDEX(Standings!$A$2:$C$33,MATCH(Table1[[#This Row],[AwayTeam]],Standings!$A$2:$A$33,0),3)=INDEX(Standings!$A$2:$C$33,MATCH(Table1[[#This Row],[HomeTeam]],Standings!$A$2:$A$33,0),3),1,0)</f>
        <v>0</v>
      </c>
      <c r="AL1109" s="64">
        <f>IF(Table1[[#This Row],[InterConf]]=1,IF(Table1[[#This Row],[InterDiv]]=0, 1, 0), 0)</f>
        <v>1</v>
      </c>
      <c r="AM1109" s="64">
        <f>IF(INDEX(Standings!$A$2:$C$33,MATCH(Table1[[#This Row],[AwayTeam]],Standings!$A$2:$A$33,0),2)&lt;&gt;INDEX(Standings!$A$2:$C$33,MATCH(Table1[[#This Row],[HomeTeam]],Standings!$A$2:$A$33,0),2),1,0)</f>
        <v>0</v>
      </c>
      <c r="AN1109" s="64" t="str">
        <f>INDEX(Table2[AWAY_RECORD], MATCH(Table1[[#This Row],[AwayTeam]],Table2[Team], 0), 0)</f>
        <v>0-0-0</v>
      </c>
      <c r="AO1109" s="64" t="str">
        <f>INDEX(Records!$B$2:$AG$33, MATCH(Table1[[#This Row],[AwayTeam]],Records!$A$2:$A$33, 0), MATCH(Table1[[#This Row],[HomeTeam]],Records!$A$2:$A$33, 0))</f>
        <v>0-0-0</v>
      </c>
      <c r="AP1109" s="64" t="str">
        <f>INDEX(Table2[HOME_RECORD], MATCH(Table1[[#This Row],[HomeTeam]],Table2[Team], 0), 0)</f>
        <v>0-0-0</v>
      </c>
      <c r="AQ1109" s="64" t="str">
        <f>INDEX(Records!$B$2:$AG$33, MATCH(Table1[[#This Row],[HomeTeam]],Records!$A$2:$A$33, 0), MATCH(Table1[[#This Row],[AwayTeam]],Records!$A$2:$A$33, 0))</f>
        <v>0-0-0</v>
      </c>
    </row>
    <row r="1110" spans="1:43" x14ac:dyDescent="0.25">
      <c r="A1110" s="1"/>
      <c r="D1110" t="s">
        <v>1450</v>
      </c>
      <c r="E1110" t="s">
        <v>162</v>
      </c>
      <c r="F1110" t="s">
        <v>1453</v>
      </c>
      <c r="G1110" t="s">
        <v>37</v>
      </c>
      <c r="H1110" t="s">
        <v>54</v>
      </c>
      <c r="L111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1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10" s="1"/>
      <c r="T1110" s="64" t="str">
        <f>IF(Table1[[#This Row],[ActualWinner]]="", "", IF(Table1[[#This Row],[AwayTeam]]=Table1[[#This Row],[ActualWinner]],Table1[[#This Row],[HomeTeam]],Table1[[#This Row],[AwayTeam]]))</f>
        <v/>
      </c>
      <c r="U1110" s="64">
        <f>Table1[[#This Row],[ActualAwayScore]]-Table1[[#This Row],[PredictedAwayScore]]</f>
        <v>0</v>
      </c>
      <c r="V1110" s="64">
        <f>Table1[[#This Row],[ActualHomeScore]]-Table1[[#This Row],[PredictedHomeScore]]</f>
        <v>0</v>
      </c>
      <c r="W1110" s="64">
        <f>(0.8*IF(Table1[[#This Row],[CorrectWinnerPrediction]]=1, 1, 0))+(0.1*IF(Table1[[#This Row],[CorrectAwayScorePrediction]]=1, 1, 0))+(0.1*IF(Table1[[#This Row],[CorrectHomeScorePrediction]]=1, 1, 0))</f>
        <v>0</v>
      </c>
      <c r="X111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10" s="64">
        <f>SUMIF(Table1[GameDate], Table1[[#This Row],[GameDate]], Table1[AwayGameGoalDiff])</f>
        <v>0</v>
      </c>
      <c r="AA1110" s="64">
        <f>SUMIF(Table1[GameDate], Table1[[#This Row],[GameDate]], Table1[HomeGameGoalDiff])</f>
        <v>0</v>
      </c>
      <c r="AB1110" s="64">
        <f>IF(ISBLANK(Table1[[#This Row],[ActualResult]]), 0, 1)</f>
        <v>0</v>
      </c>
      <c r="AC1110" s="64">
        <f>IF(ISBLANK(Table1[[#This Row],[ActualResult]]), 0, IF(Table1[[#This Row],[ActualWinner]]=Table1[[#This Row],[PredictedWinner]], 1, 0))</f>
        <v>0</v>
      </c>
      <c r="AD111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1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10" s="64">
        <f>IF(AND(Table1[[#This Row],[GameIsOver]]=1,Table1[[#This Row],[ActualAwayScore]]=0), 1,0)</f>
        <v>0</v>
      </c>
      <c r="AG1110" s="64">
        <f>IF(AND(Table1[[#This Row],[GameIsOver]]=1,Table1[[#This Row],[ActualHomeScore]]=0), 1,0)</f>
        <v>0</v>
      </c>
      <c r="AH1110" s="64">
        <f>IF(Table1[[#This Row],[GameIsOver]]=0,0,IF(Table1[[#This Row],[ActualWinner]]=Table1[[#This Row],[AwayTeam]], 1, 0))</f>
        <v>0</v>
      </c>
      <c r="AI1110" s="64">
        <f>IF(Table1[[#This Row],[GameIsOver]]=0,0,IF(Table1[[#This Row],[ActualWinner]]=Table1[[#This Row],[HomeTeam]], 1, 0))</f>
        <v>0</v>
      </c>
      <c r="AJ1110" s="64">
        <f>IF(INDEX(Standings!$A$2:$C$33,MATCH(Table1[[#This Row],[AwayTeam]],Standings!$A$2:$A$33,0),2)=INDEX(Standings!$A$2:$C$33,MATCH(Table1[[#This Row],[HomeTeam]],Standings!$A$2:$A$33,0),2),1,0)</f>
        <v>1</v>
      </c>
      <c r="AK1110" s="64">
        <f>IF(INDEX(Standings!$A$2:$C$33,MATCH(Table1[[#This Row],[AwayTeam]],Standings!$A$2:$A$33,0),3)=INDEX(Standings!$A$2:$C$33,MATCH(Table1[[#This Row],[HomeTeam]],Standings!$A$2:$A$33,0),3),1,0)</f>
        <v>0</v>
      </c>
      <c r="AL1110" s="64">
        <f>IF(Table1[[#This Row],[InterConf]]=1,IF(Table1[[#This Row],[InterDiv]]=0, 1, 0), 0)</f>
        <v>1</v>
      </c>
      <c r="AM1110" s="64">
        <f>IF(INDEX(Standings!$A$2:$C$33,MATCH(Table1[[#This Row],[AwayTeam]],Standings!$A$2:$A$33,0),2)&lt;&gt;INDEX(Standings!$A$2:$C$33,MATCH(Table1[[#This Row],[HomeTeam]],Standings!$A$2:$A$33,0),2),1,0)</f>
        <v>0</v>
      </c>
      <c r="AN1110" s="64" t="str">
        <f>INDEX(Table2[AWAY_RECORD], MATCH(Table1[[#This Row],[AwayTeam]],Table2[Team], 0), 0)</f>
        <v>0-0-1</v>
      </c>
      <c r="AO1110" s="64" t="str">
        <f>INDEX(Records!$B$2:$AG$33, MATCH(Table1[[#This Row],[AwayTeam]],Records!$A$2:$A$33, 0), MATCH(Table1[[#This Row],[HomeTeam]],Records!$A$2:$A$33, 0))</f>
        <v>0-0-0</v>
      </c>
      <c r="AP1110" s="64" t="str">
        <f>INDEX(Table2[HOME_RECORD], MATCH(Table1[[#This Row],[HomeTeam]],Table2[Team], 0), 0)</f>
        <v>0-0-0</v>
      </c>
      <c r="AQ1110" s="64" t="str">
        <f>INDEX(Records!$B$2:$AG$33, MATCH(Table1[[#This Row],[HomeTeam]],Records!$A$2:$A$33, 0), MATCH(Table1[[#This Row],[AwayTeam]],Records!$A$2:$A$33, 0))</f>
        <v>0-0-0</v>
      </c>
    </row>
    <row r="1111" spans="1:43" x14ac:dyDescent="0.25">
      <c r="A1111" s="1"/>
      <c r="D1111" t="s">
        <v>1450</v>
      </c>
      <c r="E1111" t="s">
        <v>162</v>
      </c>
      <c r="F1111" t="s">
        <v>1454</v>
      </c>
      <c r="G1111" t="s">
        <v>23</v>
      </c>
      <c r="H1111" t="s">
        <v>42</v>
      </c>
      <c r="L111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1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11" s="1"/>
      <c r="T1111" s="64" t="str">
        <f>IF(Table1[[#This Row],[ActualWinner]]="", "", IF(Table1[[#This Row],[AwayTeam]]=Table1[[#This Row],[ActualWinner]],Table1[[#This Row],[HomeTeam]],Table1[[#This Row],[AwayTeam]]))</f>
        <v/>
      </c>
      <c r="U1111" s="64">
        <f>Table1[[#This Row],[ActualAwayScore]]-Table1[[#This Row],[PredictedAwayScore]]</f>
        <v>0</v>
      </c>
      <c r="V1111" s="64">
        <f>Table1[[#This Row],[ActualHomeScore]]-Table1[[#This Row],[PredictedHomeScore]]</f>
        <v>0</v>
      </c>
      <c r="W1111" s="64">
        <f>(0.8*IF(Table1[[#This Row],[CorrectWinnerPrediction]]=1, 1, 0))+(0.1*IF(Table1[[#This Row],[CorrectAwayScorePrediction]]=1, 1, 0))+(0.1*IF(Table1[[#This Row],[CorrectHomeScorePrediction]]=1, 1, 0))</f>
        <v>0</v>
      </c>
      <c r="X111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11" s="64">
        <f>SUMIF(Table1[GameDate], Table1[[#This Row],[GameDate]], Table1[AwayGameGoalDiff])</f>
        <v>0</v>
      </c>
      <c r="AA1111" s="64">
        <f>SUMIF(Table1[GameDate], Table1[[#This Row],[GameDate]], Table1[HomeGameGoalDiff])</f>
        <v>0</v>
      </c>
      <c r="AB1111" s="64">
        <f>IF(ISBLANK(Table1[[#This Row],[ActualResult]]), 0, 1)</f>
        <v>0</v>
      </c>
      <c r="AC1111" s="64">
        <f>IF(ISBLANK(Table1[[#This Row],[ActualResult]]), 0, IF(Table1[[#This Row],[ActualWinner]]=Table1[[#This Row],[PredictedWinner]], 1, 0))</f>
        <v>0</v>
      </c>
      <c r="AD111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1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11" s="64">
        <f>IF(AND(Table1[[#This Row],[GameIsOver]]=1,Table1[[#This Row],[ActualAwayScore]]=0), 1,0)</f>
        <v>0</v>
      </c>
      <c r="AG1111" s="64">
        <f>IF(AND(Table1[[#This Row],[GameIsOver]]=1,Table1[[#This Row],[ActualHomeScore]]=0), 1,0)</f>
        <v>0</v>
      </c>
      <c r="AH1111" s="64">
        <f>IF(Table1[[#This Row],[GameIsOver]]=0,0,IF(Table1[[#This Row],[ActualWinner]]=Table1[[#This Row],[AwayTeam]], 1, 0))</f>
        <v>0</v>
      </c>
      <c r="AI1111" s="64">
        <f>IF(Table1[[#This Row],[GameIsOver]]=0,0,IF(Table1[[#This Row],[ActualWinner]]=Table1[[#This Row],[HomeTeam]], 1, 0))</f>
        <v>0</v>
      </c>
      <c r="AJ1111" s="64">
        <f>IF(INDEX(Standings!$A$2:$C$33,MATCH(Table1[[#This Row],[AwayTeam]],Standings!$A$2:$A$33,0),2)=INDEX(Standings!$A$2:$C$33,MATCH(Table1[[#This Row],[HomeTeam]],Standings!$A$2:$A$33,0),2),1,0)</f>
        <v>0</v>
      </c>
      <c r="AK1111" s="64">
        <f>IF(INDEX(Standings!$A$2:$C$33,MATCH(Table1[[#This Row],[AwayTeam]],Standings!$A$2:$A$33,0),3)=INDEX(Standings!$A$2:$C$33,MATCH(Table1[[#This Row],[HomeTeam]],Standings!$A$2:$A$33,0),3),1,0)</f>
        <v>0</v>
      </c>
      <c r="AL1111" s="64">
        <f>IF(Table1[[#This Row],[InterConf]]=1,IF(Table1[[#This Row],[InterDiv]]=0, 1, 0), 0)</f>
        <v>0</v>
      </c>
      <c r="AM1111" s="64">
        <f>IF(INDEX(Standings!$A$2:$C$33,MATCH(Table1[[#This Row],[AwayTeam]],Standings!$A$2:$A$33,0),2)&lt;&gt;INDEX(Standings!$A$2:$C$33,MATCH(Table1[[#This Row],[HomeTeam]],Standings!$A$2:$A$33,0),2),1,0)</f>
        <v>1</v>
      </c>
      <c r="AN1111" s="64" t="str">
        <f>INDEX(Table2[AWAY_RECORD], MATCH(Table1[[#This Row],[AwayTeam]],Table2[Team], 0), 0)</f>
        <v>0-0-1</v>
      </c>
      <c r="AO1111" s="64" t="str">
        <f>INDEX(Records!$B$2:$AG$33, MATCH(Table1[[#This Row],[AwayTeam]],Records!$A$2:$A$33, 0), MATCH(Table1[[#This Row],[HomeTeam]],Records!$A$2:$A$33, 0))</f>
        <v>0-0-0</v>
      </c>
      <c r="AP1111" s="64" t="str">
        <f>INDEX(Table2[HOME_RECORD], MATCH(Table1[[#This Row],[HomeTeam]],Table2[Team], 0), 0)</f>
        <v>1-0-0</v>
      </c>
      <c r="AQ1111" s="64" t="str">
        <f>INDEX(Records!$B$2:$AG$33, MATCH(Table1[[#This Row],[HomeTeam]],Records!$A$2:$A$33, 0), MATCH(Table1[[#This Row],[AwayTeam]],Records!$A$2:$A$33, 0))</f>
        <v>0-0-0</v>
      </c>
    </row>
    <row r="1112" spans="1:43" x14ac:dyDescent="0.25">
      <c r="A1112" s="1"/>
      <c r="D1112" t="s">
        <v>1450</v>
      </c>
      <c r="E1112" t="s">
        <v>178</v>
      </c>
      <c r="F1112" t="s">
        <v>1455</v>
      </c>
      <c r="G1112" t="s">
        <v>55</v>
      </c>
      <c r="H1112" t="s">
        <v>61</v>
      </c>
      <c r="L111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1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12" s="1"/>
      <c r="T1112" s="64" t="str">
        <f>IF(Table1[[#This Row],[ActualWinner]]="", "", IF(Table1[[#This Row],[AwayTeam]]=Table1[[#This Row],[ActualWinner]],Table1[[#This Row],[HomeTeam]],Table1[[#This Row],[AwayTeam]]))</f>
        <v/>
      </c>
      <c r="U1112" s="64">
        <f>Table1[[#This Row],[ActualAwayScore]]-Table1[[#This Row],[PredictedAwayScore]]</f>
        <v>0</v>
      </c>
      <c r="V1112" s="64">
        <f>Table1[[#This Row],[ActualHomeScore]]-Table1[[#This Row],[PredictedHomeScore]]</f>
        <v>0</v>
      </c>
      <c r="W1112" s="64">
        <f>(0.8*IF(Table1[[#This Row],[CorrectWinnerPrediction]]=1, 1, 0))+(0.1*IF(Table1[[#This Row],[CorrectAwayScorePrediction]]=1, 1, 0))+(0.1*IF(Table1[[#This Row],[CorrectHomeScorePrediction]]=1, 1, 0))</f>
        <v>0</v>
      </c>
      <c r="X111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12" s="64">
        <f>SUMIF(Table1[GameDate], Table1[[#This Row],[GameDate]], Table1[AwayGameGoalDiff])</f>
        <v>0</v>
      </c>
      <c r="AA1112" s="64">
        <f>SUMIF(Table1[GameDate], Table1[[#This Row],[GameDate]], Table1[HomeGameGoalDiff])</f>
        <v>0</v>
      </c>
      <c r="AB1112" s="64">
        <f>IF(ISBLANK(Table1[[#This Row],[ActualResult]]), 0, 1)</f>
        <v>0</v>
      </c>
      <c r="AC1112" s="64">
        <f>IF(ISBLANK(Table1[[#This Row],[ActualResult]]), 0, IF(Table1[[#This Row],[ActualWinner]]=Table1[[#This Row],[PredictedWinner]], 1, 0))</f>
        <v>0</v>
      </c>
      <c r="AD111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1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12" s="64">
        <f>IF(AND(Table1[[#This Row],[GameIsOver]]=1,Table1[[#This Row],[ActualAwayScore]]=0), 1,0)</f>
        <v>0</v>
      </c>
      <c r="AG1112" s="64">
        <f>IF(AND(Table1[[#This Row],[GameIsOver]]=1,Table1[[#This Row],[ActualHomeScore]]=0), 1,0)</f>
        <v>0</v>
      </c>
      <c r="AH1112" s="64">
        <f>IF(Table1[[#This Row],[GameIsOver]]=0,0,IF(Table1[[#This Row],[ActualWinner]]=Table1[[#This Row],[AwayTeam]], 1, 0))</f>
        <v>0</v>
      </c>
      <c r="AI1112" s="64">
        <f>IF(Table1[[#This Row],[GameIsOver]]=0,0,IF(Table1[[#This Row],[ActualWinner]]=Table1[[#This Row],[HomeTeam]], 1, 0))</f>
        <v>0</v>
      </c>
      <c r="AJ1112" s="64">
        <f>IF(INDEX(Standings!$A$2:$C$33,MATCH(Table1[[#This Row],[AwayTeam]],Standings!$A$2:$A$33,0),2)=INDEX(Standings!$A$2:$C$33,MATCH(Table1[[#This Row],[HomeTeam]],Standings!$A$2:$A$33,0),2),1,0)</f>
        <v>1</v>
      </c>
      <c r="AK1112" s="64">
        <f>IF(INDEX(Standings!$A$2:$C$33,MATCH(Table1[[#This Row],[AwayTeam]],Standings!$A$2:$A$33,0),3)=INDEX(Standings!$A$2:$C$33,MATCH(Table1[[#This Row],[HomeTeam]],Standings!$A$2:$A$33,0),3),1,0)</f>
        <v>0</v>
      </c>
      <c r="AL1112" s="64">
        <f>IF(Table1[[#This Row],[InterConf]]=1,IF(Table1[[#This Row],[InterDiv]]=0, 1, 0), 0)</f>
        <v>1</v>
      </c>
      <c r="AM1112" s="64">
        <f>IF(INDEX(Standings!$A$2:$C$33,MATCH(Table1[[#This Row],[AwayTeam]],Standings!$A$2:$A$33,0),2)&lt;&gt;INDEX(Standings!$A$2:$C$33,MATCH(Table1[[#This Row],[HomeTeam]],Standings!$A$2:$A$33,0),2),1,0)</f>
        <v>0</v>
      </c>
      <c r="AN1112" s="64" t="str">
        <f>INDEX(Table2[AWAY_RECORD], MATCH(Table1[[#This Row],[AwayTeam]],Table2[Team], 0), 0)</f>
        <v>0-0-0</v>
      </c>
      <c r="AO1112" s="64" t="str">
        <f>INDEX(Records!$B$2:$AG$33, MATCH(Table1[[#This Row],[AwayTeam]],Records!$A$2:$A$33, 0), MATCH(Table1[[#This Row],[HomeTeam]],Records!$A$2:$A$33, 0))</f>
        <v>0-0-0</v>
      </c>
      <c r="AP1112" s="64" t="str">
        <f>INDEX(Table2[HOME_RECORD], MATCH(Table1[[#This Row],[HomeTeam]],Table2[Team], 0), 0)</f>
        <v>0-0-0</v>
      </c>
      <c r="AQ1112" s="64" t="str">
        <f>INDEX(Records!$B$2:$AG$33, MATCH(Table1[[#This Row],[HomeTeam]],Records!$A$2:$A$33, 0), MATCH(Table1[[#This Row],[AwayTeam]],Records!$A$2:$A$33, 0))</f>
        <v>0-0-0</v>
      </c>
    </row>
    <row r="1113" spans="1:43" x14ac:dyDescent="0.25">
      <c r="A1113" s="1"/>
      <c r="D1113" t="s">
        <v>1450</v>
      </c>
      <c r="E1113" t="s">
        <v>178</v>
      </c>
      <c r="F1113" t="s">
        <v>1456</v>
      </c>
      <c r="G1113" t="s">
        <v>24</v>
      </c>
      <c r="H1113" t="s">
        <v>60</v>
      </c>
      <c r="L111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1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13" s="1"/>
      <c r="T1113" s="64" t="str">
        <f>IF(Table1[[#This Row],[ActualWinner]]="", "", IF(Table1[[#This Row],[AwayTeam]]=Table1[[#This Row],[ActualWinner]],Table1[[#This Row],[HomeTeam]],Table1[[#This Row],[AwayTeam]]))</f>
        <v/>
      </c>
      <c r="U1113" s="64">
        <f>Table1[[#This Row],[ActualAwayScore]]-Table1[[#This Row],[PredictedAwayScore]]</f>
        <v>0</v>
      </c>
      <c r="V1113" s="64">
        <f>Table1[[#This Row],[ActualHomeScore]]-Table1[[#This Row],[PredictedHomeScore]]</f>
        <v>0</v>
      </c>
      <c r="W1113" s="64">
        <f>(0.8*IF(Table1[[#This Row],[CorrectWinnerPrediction]]=1, 1, 0))+(0.1*IF(Table1[[#This Row],[CorrectAwayScorePrediction]]=1, 1, 0))+(0.1*IF(Table1[[#This Row],[CorrectHomeScorePrediction]]=1, 1, 0))</f>
        <v>0</v>
      </c>
      <c r="X111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13" s="64">
        <f>SUMIF(Table1[GameDate], Table1[[#This Row],[GameDate]], Table1[AwayGameGoalDiff])</f>
        <v>0</v>
      </c>
      <c r="AA1113" s="64">
        <f>SUMIF(Table1[GameDate], Table1[[#This Row],[GameDate]], Table1[HomeGameGoalDiff])</f>
        <v>0</v>
      </c>
      <c r="AB1113" s="64">
        <f>IF(ISBLANK(Table1[[#This Row],[ActualResult]]), 0, 1)</f>
        <v>0</v>
      </c>
      <c r="AC1113" s="64">
        <f>IF(ISBLANK(Table1[[#This Row],[ActualResult]]), 0, IF(Table1[[#This Row],[ActualWinner]]=Table1[[#This Row],[PredictedWinner]], 1, 0))</f>
        <v>0</v>
      </c>
      <c r="AD111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1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13" s="64">
        <f>IF(AND(Table1[[#This Row],[GameIsOver]]=1,Table1[[#This Row],[ActualAwayScore]]=0), 1,0)</f>
        <v>0</v>
      </c>
      <c r="AG1113" s="64">
        <f>IF(AND(Table1[[#This Row],[GameIsOver]]=1,Table1[[#This Row],[ActualHomeScore]]=0), 1,0)</f>
        <v>0</v>
      </c>
      <c r="AH1113" s="64">
        <f>IF(Table1[[#This Row],[GameIsOver]]=0,0,IF(Table1[[#This Row],[ActualWinner]]=Table1[[#This Row],[AwayTeam]], 1, 0))</f>
        <v>0</v>
      </c>
      <c r="AI1113" s="64">
        <f>IF(Table1[[#This Row],[GameIsOver]]=0,0,IF(Table1[[#This Row],[ActualWinner]]=Table1[[#This Row],[HomeTeam]], 1, 0))</f>
        <v>0</v>
      </c>
      <c r="AJ1113" s="64">
        <f>IF(INDEX(Standings!$A$2:$C$33,MATCH(Table1[[#This Row],[AwayTeam]],Standings!$A$2:$A$33,0),2)=INDEX(Standings!$A$2:$C$33,MATCH(Table1[[#This Row],[HomeTeam]],Standings!$A$2:$A$33,0),2),1,0)</f>
        <v>0</v>
      </c>
      <c r="AK1113" s="64">
        <f>IF(INDEX(Standings!$A$2:$C$33,MATCH(Table1[[#This Row],[AwayTeam]],Standings!$A$2:$A$33,0),3)=INDEX(Standings!$A$2:$C$33,MATCH(Table1[[#This Row],[HomeTeam]],Standings!$A$2:$A$33,0),3),1,0)</f>
        <v>0</v>
      </c>
      <c r="AL1113" s="64">
        <f>IF(Table1[[#This Row],[InterConf]]=1,IF(Table1[[#This Row],[InterDiv]]=0, 1, 0), 0)</f>
        <v>0</v>
      </c>
      <c r="AM1113" s="64">
        <f>IF(INDEX(Standings!$A$2:$C$33,MATCH(Table1[[#This Row],[AwayTeam]],Standings!$A$2:$A$33,0),2)&lt;&gt;INDEX(Standings!$A$2:$C$33,MATCH(Table1[[#This Row],[HomeTeam]],Standings!$A$2:$A$33,0),2),1,0)</f>
        <v>1</v>
      </c>
      <c r="AN1113" s="64" t="str">
        <f>INDEX(Table2[AWAY_RECORD], MATCH(Table1[[#This Row],[AwayTeam]],Table2[Team], 0), 0)</f>
        <v>0-0-0</v>
      </c>
      <c r="AO1113" s="64" t="str">
        <f>INDEX(Records!$B$2:$AG$33, MATCH(Table1[[#This Row],[AwayTeam]],Records!$A$2:$A$33, 0), MATCH(Table1[[#This Row],[HomeTeam]],Records!$A$2:$A$33, 0))</f>
        <v>0-0-0</v>
      </c>
      <c r="AP1113" s="64" t="str">
        <f>INDEX(Table2[HOME_RECORD], MATCH(Table1[[#This Row],[HomeTeam]],Table2[Team], 0), 0)</f>
        <v>1-0-0</v>
      </c>
      <c r="AQ1113" s="64" t="str">
        <f>INDEX(Records!$B$2:$AG$33, MATCH(Table1[[#This Row],[HomeTeam]],Records!$A$2:$A$33, 0), MATCH(Table1[[#This Row],[AwayTeam]],Records!$A$2:$A$33, 0))</f>
        <v>0-0-0</v>
      </c>
    </row>
    <row r="1114" spans="1:43" x14ac:dyDescent="0.25">
      <c r="A1114" s="1"/>
      <c r="D1114" t="s">
        <v>1450</v>
      </c>
      <c r="E1114" t="s">
        <v>178</v>
      </c>
      <c r="F1114" t="s">
        <v>1457</v>
      </c>
      <c r="G1114" t="s">
        <v>48</v>
      </c>
      <c r="H1114" t="s">
        <v>45</v>
      </c>
      <c r="L111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1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14" s="1"/>
      <c r="T1114" s="64" t="str">
        <f>IF(Table1[[#This Row],[ActualWinner]]="", "", IF(Table1[[#This Row],[AwayTeam]]=Table1[[#This Row],[ActualWinner]],Table1[[#This Row],[HomeTeam]],Table1[[#This Row],[AwayTeam]]))</f>
        <v/>
      </c>
      <c r="U1114" s="64">
        <f>Table1[[#This Row],[ActualAwayScore]]-Table1[[#This Row],[PredictedAwayScore]]</f>
        <v>0</v>
      </c>
      <c r="V1114" s="64">
        <f>Table1[[#This Row],[ActualHomeScore]]-Table1[[#This Row],[PredictedHomeScore]]</f>
        <v>0</v>
      </c>
      <c r="W1114" s="64">
        <f>(0.8*IF(Table1[[#This Row],[CorrectWinnerPrediction]]=1, 1, 0))+(0.1*IF(Table1[[#This Row],[CorrectAwayScorePrediction]]=1, 1, 0))+(0.1*IF(Table1[[#This Row],[CorrectHomeScorePrediction]]=1, 1, 0))</f>
        <v>0</v>
      </c>
      <c r="X111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14" s="64">
        <f>SUMIF(Table1[GameDate], Table1[[#This Row],[GameDate]], Table1[AwayGameGoalDiff])</f>
        <v>0</v>
      </c>
      <c r="AA1114" s="64">
        <f>SUMIF(Table1[GameDate], Table1[[#This Row],[GameDate]], Table1[HomeGameGoalDiff])</f>
        <v>0</v>
      </c>
      <c r="AB1114" s="64">
        <f>IF(ISBLANK(Table1[[#This Row],[ActualResult]]), 0, 1)</f>
        <v>0</v>
      </c>
      <c r="AC1114" s="64">
        <f>IF(ISBLANK(Table1[[#This Row],[ActualResult]]), 0, IF(Table1[[#This Row],[ActualWinner]]=Table1[[#This Row],[PredictedWinner]], 1, 0))</f>
        <v>0</v>
      </c>
      <c r="AD111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1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14" s="64">
        <f>IF(AND(Table1[[#This Row],[GameIsOver]]=1,Table1[[#This Row],[ActualAwayScore]]=0), 1,0)</f>
        <v>0</v>
      </c>
      <c r="AG1114" s="64">
        <f>IF(AND(Table1[[#This Row],[GameIsOver]]=1,Table1[[#This Row],[ActualHomeScore]]=0), 1,0)</f>
        <v>0</v>
      </c>
      <c r="AH1114" s="64">
        <f>IF(Table1[[#This Row],[GameIsOver]]=0,0,IF(Table1[[#This Row],[ActualWinner]]=Table1[[#This Row],[AwayTeam]], 1, 0))</f>
        <v>0</v>
      </c>
      <c r="AI1114" s="64">
        <f>IF(Table1[[#This Row],[GameIsOver]]=0,0,IF(Table1[[#This Row],[ActualWinner]]=Table1[[#This Row],[HomeTeam]], 1, 0))</f>
        <v>0</v>
      </c>
      <c r="AJ1114" s="64">
        <f>IF(INDEX(Standings!$A$2:$C$33,MATCH(Table1[[#This Row],[AwayTeam]],Standings!$A$2:$A$33,0),2)=INDEX(Standings!$A$2:$C$33,MATCH(Table1[[#This Row],[HomeTeam]],Standings!$A$2:$A$33,0),2),1,0)</f>
        <v>1</v>
      </c>
      <c r="AK1114" s="64">
        <f>IF(INDEX(Standings!$A$2:$C$33,MATCH(Table1[[#This Row],[AwayTeam]],Standings!$A$2:$A$33,0),3)=INDEX(Standings!$A$2:$C$33,MATCH(Table1[[#This Row],[HomeTeam]],Standings!$A$2:$A$33,0),3),1,0)</f>
        <v>0</v>
      </c>
      <c r="AL1114" s="64">
        <f>IF(Table1[[#This Row],[InterConf]]=1,IF(Table1[[#This Row],[InterDiv]]=0, 1, 0), 0)</f>
        <v>1</v>
      </c>
      <c r="AM1114" s="64">
        <f>IF(INDEX(Standings!$A$2:$C$33,MATCH(Table1[[#This Row],[AwayTeam]],Standings!$A$2:$A$33,0),2)&lt;&gt;INDEX(Standings!$A$2:$C$33,MATCH(Table1[[#This Row],[HomeTeam]],Standings!$A$2:$A$33,0),2),1,0)</f>
        <v>0</v>
      </c>
      <c r="AN1114" s="64" t="str">
        <f>INDEX(Table2[AWAY_RECORD], MATCH(Table1[[#This Row],[AwayTeam]],Table2[Team], 0), 0)</f>
        <v>0-0-0</v>
      </c>
      <c r="AO1114" s="64" t="str">
        <f>INDEX(Records!$B$2:$AG$33, MATCH(Table1[[#This Row],[AwayTeam]],Records!$A$2:$A$33, 0), MATCH(Table1[[#This Row],[HomeTeam]],Records!$A$2:$A$33, 0))</f>
        <v>0-0-0</v>
      </c>
      <c r="AP1114" s="64" t="str">
        <f>INDEX(Table2[HOME_RECORD], MATCH(Table1[[#This Row],[HomeTeam]],Table2[Team], 0), 0)</f>
        <v>1-0-0</v>
      </c>
      <c r="AQ1114" s="64" t="str">
        <f>INDEX(Records!$B$2:$AG$33, MATCH(Table1[[#This Row],[HomeTeam]],Records!$A$2:$A$33, 0), MATCH(Table1[[#This Row],[AwayTeam]],Records!$A$2:$A$33, 0))</f>
        <v>0-0-0</v>
      </c>
    </row>
    <row r="1115" spans="1:43" x14ac:dyDescent="0.25">
      <c r="A1115" s="1"/>
      <c r="D1115" t="s">
        <v>1450</v>
      </c>
      <c r="E1115" t="s">
        <v>166</v>
      </c>
      <c r="F1115" t="s">
        <v>1458</v>
      </c>
      <c r="G1115" t="s">
        <v>51</v>
      </c>
      <c r="H1115" t="s">
        <v>41</v>
      </c>
      <c r="L111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1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15" s="1"/>
      <c r="T1115" s="64" t="str">
        <f>IF(Table1[[#This Row],[ActualWinner]]="", "", IF(Table1[[#This Row],[AwayTeam]]=Table1[[#This Row],[ActualWinner]],Table1[[#This Row],[HomeTeam]],Table1[[#This Row],[AwayTeam]]))</f>
        <v/>
      </c>
      <c r="U1115" s="64">
        <f>Table1[[#This Row],[ActualAwayScore]]-Table1[[#This Row],[PredictedAwayScore]]</f>
        <v>0</v>
      </c>
      <c r="V1115" s="64">
        <f>Table1[[#This Row],[ActualHomeScore]]-Table1[[#This Row],[PredictedHomeScore]]</f>
        <v>0</v>
      </c>
      <c r="W1115" s="64">
        <f>(0.8*IF(Table1[[#This Row],[CorrectWinnerPrediction]]=1, 1, 0))+(0.1*IF(Table1[[#This Row],[CorrectAwayScorePrediction]]=1, 1, 0))+(0.1*IF(Table1[[#This Row],[CorrectHomeScorePrediction]]=1, 1, 0))</f>
        <v>0</v>
      </c>
      <c r="X111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15" s="64">
        <f>SUMIF(Table1[GameDate], Table1[[#This Row],[GameDate]], Table1[AwayGameGoalDiff])</f>
        <v>0</v>
      </c>
      <c r="AA1115" s="64">
        <f>SUMIF(Table1[GameDate], Table1[[#This Row],[GameDate]], Table1[HomeGameGoalDiff])</f>
        <v>0</v>
      </c>
      <c r="AB1115" s="64">
        <f>IF(ISBLANK(Table1[[#This Row],[ActualResult]]), 0, 1)</f>
        <v>0</v>
      </c>
      <c r="AC1115" s="64">
        <f>IF(ISBLANK(Table1[[#This Row],[ActualResult]]), 0, IF(Table1[[#This Row],[ActualWinner]]=Table1[[#This Row],[PredictedWinner]], 1, 0))</f>
        <v>0</v>
      </c>
      <c r="AD111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1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15" s="64">
        <f>IF(AND(Table1[[#This Row],[GameIsOver]]=1,Table1[[#This Row],[ActualAwayScore]]=0), 1,0)</f>
        <v>0</v>
      </c>
      <c r="AG1115" s="64">
        <f>IF(AND(Table1[[#This Row],[GameIsOver]]=1,Table1[[#This Row],[ActualHomeScore]]=0), 1,0)</f>
        <v>0</v>
      </c>
      <c r="AH1115" s="64">
        <f>IF(Table1[[#This Row],[GameIsOver]]=0,0,IF(Table1[[#This Row],[ActualWinner]]=Table1[[#This Row],[AwayTeam]], 1, 0))</f>
        <v>0</v>
      </c>
      <c r="AI1115" s="64">
        <f>IF(Table1[[#This Row],[GameIsOver]]=0,0,IF(Table1[[#This Row],[ActualWinner]]=Table1[[#This Row],[HomeTeam]], 1, 0))</f>
        <v>0</v>
      </c>
      <c r="AJ1115" s="64">
        <f>IF(INDEX(Standings!$A$2:$C$33,MATCH(Table1[[#This Row],[AwayTeam]],Standings!$A$2:$A$33,0),2)=INDEX(Standings!$A$2:$C$33,MATCH(Table1[[#This Row],[HomeTeam]],Standings!$A$2:$A$33,0),2),1,0)</f>
        <v>0</v>
      </c>
      <c r="AK1115" s="64">
        <f>IF(INDEX(Standings!$A$2:$C$33,MATCH(Table1[[#This Row],[AwayTeam]],Standings!$A$2:$A$33,0),3)=INDEX(Standings!$A$2:$C$33,MATCH(Table1[[#This Row],[HomeTeam]],Standings!$A$2:$A$33,0),3),1,0)</f>
        <v>0</v>
      </c>
      <c r="AL1115" s="64">
        <f>IF(Table1[[#This Row],[InterConf]]=1,IF(Table1[[#This Row],[InterDiv]]=0, 1, 0), 0)</f>
        <v>0</v>
      </c>
      <c r="AM1115" s="64">
        <f>IF(INDEX(Standings!$A$2:$C$33,MATCH(Table1[[#This Row],[AwayTeam]],Standings!$A$2:$A$33,0),2)&lt;&gt;INDEX(Standings!$A$2:$C$33,MATCH(Table1[[#This Row],[HomeTeam]],Standings!$A$2:$A$33,0),2),1,0)</f>
        <v>1</v>
      </c>
      <c r="AN1115" s="64" t="str">
        <f>INDEX(Table2[AWAY_RECORD], MATCH(Table1[[#This Row],[AwayTeam]],Table2[Team], 0), 0)</f>
        <v>2-0-0</v>
      </c>
      <c r="AO1115" s="64" t="str">
        <f>INDEX(Records!$B$2:$AG$33, MATCH(Table1[[#This Row],[AwayTeam]],Records!$A$2:$A$33, 0), MATCH(Table1[[#This Row],[HomeTeam]],Records!$A$2:$A$33, 0))</f>
        <v>0-0-0</v>
      </c>
      <c r="AP1115" s="64" t="str">
        <f>INDEX(Table2[HOME_RECORD], MATCH(Table1[[#This Row],[HomeTeam]],Table2[Team], 0), 0)</f>
        <v>0-0-1</v>
      </c>
      <c r="AQ1115" s="64" t="str">
        <f>INDEX(Records!$B$2:$AG$33, MATCH(Table1[[#This Row],[HomeTeam]],Records!$A$2:$A$33, 0), MATCH(Table1[[#This Row],[AwayTeam]],Records!$A$2:$A$33, 0))</f>
        <v>0-0-0</v>
      </c>
    </row>
    <row r="1116" spans="1:43" x14ac:dyDescent="0.25">
      <c r="A1116" s="1"/>
      <c r="D1116" t="s">
        <v>1450</v>
      </c>
      <c r="E1116" t="s">
        <v>593</v>
      </c>
      <c r="F1116" t="s">
        <v>1459</v>
      </c>
      <c r="G1116" t="s">
        <v>46</v>
      </c>
      <c r="H1116" t="s">
        <v>56</v>
      </c>
      <c r="L111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1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16" s="1"/>
      <c r="T1116" s="64" t="str">
        <f>IF(Table1[[#This Row],[ActualWinner]]="", "", IF(Table1[[#This Row],[AwayTeam]]=Table1[[#This Row],[ActualWinner]],Table1[[#This Row],[HomeTeam]],Table1[[#This Row],[AwayTeam]]))</f>
        <v/>
      </c>
      <c r="U1116" s="64">
        <f>Table1[[#This Row],[ActualAwayScore]]-Table1[[#This Row],[PredictedAwayScore]]</f>
        <v>0</v>
      </c>
      <c r="V1116" s="64">
        <f>Table1[[#This Row],[ActualHomeScore]]-Table1[[#This Row],[PredictedHomeScore]]</f>
        <v>0</v>
      </c>
      <c r="W1116" s="64">
        <f>(0.8*IF(Table1[[#This Row],[CorrectWinnerPrediction]]=1, 1, 0))+(0.1*IF(Table1[[#This Row],[CorrectAwayScorePrediction]]=1, 1, 0))+(0.1*IF(Table1[[#This Row],[CorrectHomeScorePrediction]]=1, 1, 0))</f>
        <v>0</v>
      </c>
      <c r="X111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16" s="64">
        <f>SUMIF(Table1[GameDate], Table1[[#This Row],[GameDate]], Table1[AwayGameGoalDiff])</f>
        <v>0</v>
      </c>
      <c r="AA1116" s="64">
        <f>SUMIF(Table1[GameDate], Table1[[#This Row],[GameDate]], Table1[HomeGameGoalDiff])</f>
        <v>0</v>
      </c>
      <c r="AB1116" s="64">
        <f>IF(ISBLANK(Table1[[#This Row],[ActualResult]]), 0, 1)</f>
        <v>0</v>
      </c>
      <c r="AC1116" s="64">
        <f>IF(ISBLANK(Table1[[#This Row],[ActualResult]]), 0, IF(Table1[[#This Row],[ActualWinner]]=Table1[[#This Row],[PredictedWinner]], 1, 0))</f>
        <v>0</v>
      </c>
      <c r="AD111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1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16" s="64">
        <f>IF(AND(Table1[[#This Row],[GameIsOver]]=1,Table1[[#This Row],[ActualAwayScore]]=0), 1,0)</f>
        <v>0</v>
      </c>
      <c r="AG1116" s="64">
        <f>IF(AND(Table1[[#This Row],[GameIsOver]]=1,Table1[[#This Row],[ActualHomeScore]]=0), 1,0)</f>
        <v>0</v>
      </c>
      <c r="AH1116" s="64">
        <f>IF(Table1[[#This Row],[GameIsOver]]=0,0,IF(Table1[[#This Row],[ActualWinner]]=Table1[[#This Row],[AwayTeam]], 1, 0))</f>
        <v>0</v>
      </c>
      <c r="AI1116" s="64">
        <f>IF(Table1[[#This Row],[GameIsOver]]=0,0,IF(Table1[[#This Row],[ActualWinner]]=Table1[[#This Row],[HomeTeam]], 1, 0))</f>
        <v>0</v>
      </c>
      <c r="AJ1116" s="64">
        <f>IF(INDEX(Standings!$A$2:$C$33,MATCH(Table1[[#This Row],[AwayTeam]],Standings!$A$2:$A$33,0),2)=INDEX(Standings!$A$2:$C$33,MATCH(Table1[[#This Row],[HomeTeam]],Standings!$A$2:$A$33,0),2),1,0)</f>
        <v>1</v>
      </c>
      <c r="AK1116" s="64">
        <f>IF(INDEX(Standings!$A$2:$C$33,MATCH(Table1[[#This Row],[AwayTeam]],Standings!$A$2:$A$33,0),3)=INDEX(Standings!$A$2:$C$33,MATCH(Table1[[#This Row],[HomeTeam]],Standings!$A$2:$A$33,0),3),1,0)</f>
        <v>1</v>
      </c>
      <c r="AL1116" s="64">
        <f>IF(Table1[[#This Row],[InterConf]]=1,IF(Table1[[#This Row],[InterDiv]]=0, 1, 0), 0)</f>
        <v>0</v>
      </c>
      <c r="AM1116" s="64">
        <f>IF(INDEX(Standings!$A$2:$C$33,MATCH(Table1[[#This Row],[AwayTeam]],Standings!$A$2:$A$33,0),2)&lt;&gt;INDEX(Standings!$A$2:$C$33,MATCH(Table1[[#This Row],[HomeTeam]],Standings!$A$2:$A$33,0),2),1,0)</f>
        <v>0</v>
      </c>
      <c r="AN1116" s="64" t="str">
        <f>INDEX(Table2[AWAY_RECORD], MATCH(Table1[[#This Row],[AwayTeam]],Table2[Team], 0), 0)</f>
        <v>1-0-0</v>
      </c>
      <c r="AO1116" s="64" t="str">
        <f>INDEX(Records!$B$2:$AG$33, MATCH(Table1[[#This Row],[AwayTeam]],Records!$A$2:$A$33, 0), MATCH(Table1[[#This Row],[HomeTeam]],Records!$A$2:$A$33, 0))</f>
        <v>0-0-0</v>
      </c>
      <c r="AP1116" s="64" t="str">
        <f>INDEX(Table2[HOME_RECORD], MATCH(Table1[[#This Row],[HomeTeam]],Table2[Team], 0), 0)</f>
        <v>0-0-0</v>
      </c>
      <c r="AQ1116" s="64" t="str">
        <f>INDEX(Records!$B$2:$AG$33, MATCH(Table1[[#This Row],[HomeTeam]],Records!$A$2:$A$33, 0), MATCH(Table1[[#This Row],[AwayTeam]],Records!$A$2:$A$33, 0))</f>
        <v>0-0-0</v>
      </c>
    </row>
    <row r="1117" spans="1:43" x14ac:dyDescent="0.25">
      <c r="A1117" s="1"/>
      <c r="D1117" t="s">
        <v>1460</v>
      </c>
      <c r="E1117" t="s">
        <v>298</v>
      </c>
      <c r="F1117" t="s">
        <v>1461</v>
      </c>
      <c r="G1117" t="s">
        <v>53</v>
      </c>
      <c r="H1117" t="s">
        <v>25</v>
      </c>
      <c r="L111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1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17" s="1"/>
      <c r="T1117" s="64" t="str">
        <f>IF(Table1[[#This Row],[ActualWinner]]="", "", IF(Table1[[#This Row],[AwayTeam]]=Table1[[#This Row],[ActualWinner]],Table1[[#This Row],[HomeTeam]],Table1[[#This Row],[AwayTeam]]))</f>
        <v/>
      </c>
      <c r="U1117" s="64">
        <f>Table1[[#This Row],[ActualAwayScore]]-Table1[[#This Row],[PredictedAwayScore]]</f>
        <v>0</v>
      </c>
      <c r="V1117" s="64">
        <f>Table1[[#This Row],[ActualHomeScore]]-Table1[[#This Row],[PredictedHomeScore]]</f>
        <v>0</v>
      </c>
      <c r="W1117" s="64">
        <f>(0.8*IF(Table1[[#This Row],[CorrectWinnerPrediction]]=1, 1, 0))+(0.1*IF(Table1[[#This Row],[CorrectAwayScorePrediction]]=1, 1, 0))+(0.1*IF(Table1[[#This Row],[CorrectHomeScorePrediction]]=1, 1, 0))</f>
        <v>0</v>
      </c>
      <c r="X111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17" s="64">
        <f>SUMIF(Table1[GameDate], Table1[[#This Row],[GameDate]], Table1[AwayGameGoalDiff])</f>
        <v>0</v>
      </c>
      <c r="AA1117" s="64">
        <f>SUMIF(Table1[GameDate], Table1[[#This Row],[GameDate]], Table1[HomeGameGoalDiff])</f>
        <v>0</v>
      </c>
      <c r="AB1117" s="64">
        <f>IF(ISBLANK(Table1[[#This Row],[ActualResult]]), 0, 1)</f>
        <v>0</v>
      </c>
      <c r="AC1117" s="64">
        <f>IF(ISBLANK(Table1[[#This Row],[ActualResult]]), 0, IF(Table1[[#This Row],[ActualWinner]]=Table1[[#This Row],[PredictedWinner]], 1, 0))</f>
        <v>0</v>
      </c>
      <c r="AD111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1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17" s="64">
        <f>IF(AND(Table1[[#This Row],[GameIsOver]]=1,Table1[[#This Row],[ActualAwayScore]]=0), 1,0)</f>
        <v>0</v>
      </c>
      <c r="AG1117" s="64">
        <f>IF(AND(Table1[[#This Row],[GameIsOver]]=1,Table1[[#This Row],[ActualHomeScore]]=0), 1,0)</f>
        <v>0</v>
      </c>
      <c r="AH1117" s="64">
        <f>IF(Table1[[#This Row],[GameIsOver]]=0,0,IF(Table1[[#This Row],[ActualWinner]]=Table1[[#This Row],[AwayTeam]], 1, 0))</f>
        <v>0</v>
      </c>
      <c r="AI1117" s="64">
        <f>IF(Table1[[#This Row],[GameIsOver]]=0,0,IF(Table1[[#This Row],[ActualWinner]]=Table1[[#This Row],[HomeTeam]], 1, 0))</f>
        <v>0</v>
      </c>
      <c r="AJ1117" s="64">
        <f>IF(INDEX(Standings!$A$2:$C$33,MATCH(Table1[[#This Row],[AwayTeam]],Standings!$A$2:$A$33,0),2)=INDEX(Standings!$A$2:$C$33,MATCH(Table1[[#This Row],[HomeTeam]],Standings!$A$2:$A$33,0),2),1,0)</f>
        <v>0</v>
      </c>
      <c r="AK1117" s="64">
        <f>IF(INDEX(Standings!$A$2:$C$33,MATCH(Table1[[#This Row],[AwayTeam]],Standings!$A$2:$A$33,0),3)=INDEX(Standings!$A$2:$C$33,MATCH(Table1[[#This Row],[HomeTeam]],Standings!$A$2:$A$33,0),3),1,0)</f>
        <v>0</v>
      </c>
      <c r="AL1117" s="64">
        <f>IF(Table1[[#This Row],[InterConf]]=1,IF(Table1[[#This Row],[InterDiv]]=0, 1, 0), 0)</f>
        <v>0</v>
      </c>
      <c r="AM1117" s="64">
        <f>IF(INDEX(Standings!$A$2:$C$33,MATCH(Table1[[#This Row],[AwayTeam]],Standings!$A$2:$A$33,0),2)&lt;&gt;INDEX(Standings!$A$2:$C$33,MATCH(Table1[[#This Row],[HomeTeam]],Standings!$A$2:$A$33,0),2),1,0)</f>
        <v>1</v>
      </c>
      <c r="AN1117" s="64" t="str">
        <f>INDEX(Table2[AWAY_RECORD], MATCH(Table1[[#This Row],[AwayTeam]],Table2[Team], 0), 0)</f>
        <v>0-1-0</v>
      </c>
      <c r="AO1117" s="64" t="str">
        <f>INDEX(Records!$B$2:$AG$33, MATCH(Table1[[#This Row],[AwayTeam]],Records!$A$2:$A$33, 0), MATCH(Table1[[#This Row],[HomeTeam]],Records!$A$2:$A$33, 0))</f>
        <v>0-0-0</v>
      </c>
      <c r="AP1117" s="64" t="str">
        <f>INDEX(Table2[HOME_RECORD], MATCH(Table1[[#This Row],[HomeTeam]],Table2[Team], 0), 0)</f>
        <v>0-0-1</v>
      </c>
      <c r="AQ1117" s="64" t="str">
        <f>INDEX(Records!$B$2:$AG$33, MATCH(Table1[[#This Row],[HomeTeam]],Records!$A$2:$A$33, 0), MATCH(Table1[[#This Row],[AwayTeam]],Records!$A$2:$A$33, 0))</f>
        <v>0-0-0</v>
      </c>
    </row>
    <row r="1118" spans="1:43" x14ac:dyDescent="0.25">
      <c r="A1118" s="1"/>
      <c r="D1118" t="s">
        <v>1460</v>
      </c>
      <c r="E1118" t="s">
        <v>162</v>
      </c>
      <c r="F1118" t="s">
        <v>1462</v>
      </c>
      <c r="G1118" t="s">
        <v>38</v>
      </c>
      <c r="H1118" t="s">
        <v>44</v>
      </c>
      <c r="L111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1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18" s="1"/>
      <c r="T1118" s="64" t="str">
        <f>IF(Table1[[#This Row],[ActualWinner]]="", "", IF(Table1[[#This Row],[AwayTeam]]=Table1[[#This Row],[ActualWinner]],Table1[[#This Row],[HomeTeam]],Table1[[#This Row],[AwayTeam]]))</f>
        <v/>
      </c>
      <c r="U1118" s="64">
        <f>Table1[[#This Row],[ActualAwayScore]]-Table1[[#This Row],[PredictedAwayScore]]</f>
        <v>0</v>
      </c>
      <c r="V1118" s="64">
        <f>Table1[[#This Row],[ActualHomeScore]]-Table1[[#This Row],[PredictedHomeScore]]</f>
        <v>0</v>
      </c>
      <c r="W1118" s="64">
        <f>(0.8*IF(Table1[[#This Row],[CorrectWinnerPrediction]]=1, 1, 0))+(0.1*IF(Table1[[#This Row],[CorrectAwayScorePrediction]]=1, 1, 0))+(0.1*IF(Table1[[#This Row],[CorrectHomeScorePrediction]]=1, 1, 0))</f>
        <v>0</v>
      </c>
      <c r="X111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18" s="64">
        <f>SUMIF(Table1[GameDate], Table1[[#This Row],[GameDate]], Table1[AwayGameGoalDiff])</f>
        <v>0</v>
      </c>
      <c r="AA1118" s="64">
        <f>SUMIF(Table1[GameDate], Table1[[#This Row],[GameDate]], Table1[HomeGameGoalDiff])</f>
        <v>0</v>
      </c>
      <c r="AB1118" s="64">
        <f>IF(ISBLANK(Table1[[#This Row],[ActualResult]]), 0, 1)</f>
        <v>0</v>
      </c>
      <c r="AC1118" s="64">
        <f>IF(ISBLANK(Table1[[#This Row],[ActualResult]]), 0, IF(Table1[[#This Row],[ActualWinner]]=Table1[[#This Row],[PredictedWinner]], 1, 0))</f>
        <v>0</v>
      </c>
      <c r="AD111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1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18" s="64">
        <f>IF(AND(Table1[[#This Row],[GameIsOver]]=1,Table1[[#This Row],[ActualAwayScore]]=0), 1,0)</f>
        <v>0</v>
      </c>
      <c r="AG1118" s="64">
        <f>IF(AND(Table1[[#This Row],[GameIsOver]]=1,Table1[[#This Row],[ActualHomeScore]]=0), 1,0)</f>
        <v>0</v>
      </c>
      <c r="AH1118" s="64">
        <f>IF(Table1[[#This Row],[GameIsOver]]=0,0,IF(Table1[[#This Row],[ActualWinner]]=Table1[[#This Row],[AwayTeam]], 1, 0))</f>
        <v>0</v>
      </c>
      <c r="AI1118" s="64">
        <f>IF(Table1[[#This Row],[GameIsOver]]=0,0,IF(Table1[[#This Row],[ActualWinner]]=Table1[[#This Row],[HomeTeam]], 1, 0))</f>
        <v>0</v>
      </c>
      <c r="AJ1118" s="64">
        <f>IF(INDEX(Standings!$A$2:$C$33,MATCH(Table1[[#This Row],[AwayTeam]],Standings!$A$2:$A$33,0),2)=INDEX(Standings!$A$2:$C$33,MATCH(Table1[[#This Row],[HomeTeam]],Standings!$A$2:$A$33,0),2),1,0)</f>
        <v>1</v>
      </c>
      <c r="AK1118" s="64">
        <f>IF(INDEX(Standings!$A$2:$C$33,MATCH(Table1[[#This Row],[AwayTeam]],Standings!$A$2:$A$33,0),3)=INDEX(Standings!$A$2:$C$33,MATCH(Table1[[#This Row],[HomeTeam]],Standings!$A$2:$A$33,0),3),1,0)</f>
        <v>1</v>
      </c>
      <c r="AL1118" s="64">
        <f>IF(Table1[[#This Row],[InterConf]]=1,IF(Table1[[#This Row],[InterDiv]]=0, 1, 0), 0)</f>
        <v>0</v>
      </c>
      <c r="AM1118" s="64">
        <f>IF(INDEX(Standings!$A$2:$C$33,MATCH(Table1[[#This Row],[AwayTeam]],Standings!$A$2:$A$33,0),2)&lt;&gt;INDEX(Standings!$A$2:$C$33,MATCH(Table1[[#This Row],[HomeTeam]],Standings!$A$2:$A$33,0),2),1,0)</f>
        <v>0</v>
      </c>
      <c r="AN1118" s="64" t="str">
        <f>INDEX(Table2[AWAY_RECORD], MATCH(Table1[[#This Row],[AwayTeam]],Table2[Team], 0), 0)</f>
        <v>0-0-1</v>
      </c>
      <c r="AO1118" s="64" t="str">
        <f>INDEX(Records!$B$2:$AG$33, MATCH(Table1[[#This Row],[AwayTeam]],Records!$A$2:$A$33, 0), MATCH(Table1[[#This Row],[HomeTeam]],Records!$A$2:$A$33, 0))</f>
        <v>0-0-0</v>
      </c>
      <c r="AP1118" s="64" t="str">
        <f>INDEX(Table2[HOME_RECORD], MATCH(Table1[[#This Row],[HomeTeam]],Table2[Team], 0), 0)</f>
        <v>0-0-1</v>
      </c>
      <c r="AQ1118" s="64" t="str">
        <f>INDEX(Records!$B$2:$AG$33, MATCH(Table1[[#This Row],[HomeTeam]],Records!$A$2:$A$33, 0), MATCH(Table1[[#This Row],[AwayTeam]],Records!$A$2:$A$33, 0))</f>
        <v>0-0-0</v>
      </c>
    </row>
    <row r="1119" spans="1:43" x14ac:dyDescent="0.25">
      <c r="A1119" s="1"/>
      <c r="D1119" t="s">
        <v>1460</v>
      </c>
      <c r="E1119" t="s">
        <v>162</v>
      </c>
      <c r="F1119" t="s">
        <v>1463</v>
      </c>
      <c r="G1119" t="s">
        <v>50</v>
      </c>
      <c r="H1119" t="s">
        <v>17</v>
      </c>
      <c r="L111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1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19" s="1"/>
      <c r="T1119" s="64" t="str">
        <f>IF(Table1[[#This Row],[ActualWinner]]="", "", IF(Table1[[#This Row],[AwayTeam]]=Table1[[#This Row],[ActualWinner]],Table1[[#This Row],[HomeTeam]],Table1[[#This Row],[AwayTeam]]))</f>
        <v/>
      </c>
      <c r="U1119" s="64">
        <f>Table1[[#This Row],[ActualAwayScore]]-Table1[[#This Row],[PredictedAwayScore]]</f>
        <v>0</v>
      </c>
      <c r="V1119" s="64">
        <f>Table1[[#This Row],[ActualHomeScore]]-Table1[[#This Row],[PredictedHomeScore]]</f>
        <v>0</v>
      </c>
      <c r="W1119" s="64">
        <f>(0.8*IF(Table1[[#This Row],[CorrectWinnerPrediction]]=1, 1, 0))+(0.1*IF(Table1[[#This Row],[CorrectAwayScorePrediction]]=1, 1, 0))+(0.1*IF(Table1[[#This Row],[CorrectHomeScorePrediction]]=1, 1, 0))</f>
        <v>0</v>
      </c>
      <c r="X111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19" s="64">
        <f>SUMIF(Table1[GameDate], Table1[[#This Row],[GameDate]], Table1[AwayGameGoalDiff])</f>
        <v>0</v>
      </c>
      <c r="AA1119" s="64">
        <f>SUMIF(Table1[GameDate], Table1[[#This Row],[GameDate]], Table1[HomeGameGoalDiff])</f>
        <v>0</v>
      </c>
      <c r="AB1119" s="64">
        <f>IF(ISBLANK(Table1[[#This Row],[ActualResult]]), 0, 1)</f>
        <v>0</v>
      </c>
      <c r="AC1119" s="64">
        <f>IF(ISBLANK(Table1[[#This Row],[ActualResult]]), 0, IF(Table1[[#This Row],[ActualWinner]]=Table1[[#This Row],[PredictedWinner]], 1, 0))</f>
        <v>0</v>
      </c>
      <c r="AD111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1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19" s="64">
        <f>IF(AND(Table1[[#This Row],[GameIsOver]]=1,Table1[[#This Row],[ActualAwayScore]]=0), 1,0)</f>
        <v>0</v>
      </c>
      <c r="AG1119" s="64">
        <f>IF(AND(Table1[[#This Row],[GameIsOver]]=1,Table1[[#This Row],[ActualHomeScore]]=0), 1,0)</f>
        <v>0</v>
      </c>
      <c r="AH1119" s="64">
        <f>IF(Table1[[#This Row],[GameIsOver]]=0,0,IF(Table1[[#This Row],[ActualWinner]]=Table1[[#This Row],[AwayTeam]], 1, 0))</f>
        <v>0</v>
      </c>
      <c r="AI1119" s="64">
        <f>IF(Table1[[#This Row],[GameIsOver]]=0,0,IF(Table1[[#This Row],[ActualWinner]]=Table1[[#This Row],[HomeTeam]], 1, 0))</f>
        <v>0</v>
      </c>
      <c r="AJ1119" s="64">
        <f>IF(INDEX(Standings!$A$2:$C$33,MATCH(Table1[[#This Row],[AwayTeam]],Standings!$A$2:$A$33,0),2)=INDEX(Standings!$A$2:$C$33,MATCH(Table1[[#This Row],[HomeTeam]],Standings!$A$2:$A$33,0),2),1,0)</f>
        <v>1</v>
      </c>
      <c r="AK1119" s="64">
        <f>IF(INDEX(Standings!$A$2:$C$33,MATCH(Table1[[#This Row],[AwayTeam]],Standings!$A$2:$A$33,0),3)=INDEX(Standings!$A$2:$C$33,MATCH(Table1[[#This Row],[HomeTeam]],Standings!$A$2:$A$33,0),3),1,0)</f>
        <v>0</v>
      </c>
      <c r="AL1119" s="64">
        <f>IF(Table1[[#This Row],[InterConf]]=1,IF(Table1[[#This Row],[InterDiv]]=0, 1, 0), 0)</f>
        <v>1</v>
      </c>
      <c r="AM1119" s="64">
        <f>IF(INDEX(Standings!$A$2:$C$33,MATCH(Table1[[#This Row],[AwayTeam]],Standings!$A$2:$A$33,0),2)&lt;&gt;INDEX(Standings!$A$2:$C$33,MATCH(Table1[[#This Row],[HomeTeam]],Standings!$A$2:$A$33,0),2),1,0)</f>
        <v>0</v>
      </c>
      <c r="AN1119" s="64" t="str">
        <f>INDEX(Table2[AWAY_RECORD], MATCH(Table1[[#This Row],[AwayTeam]],Table2[Team], 0), 0)</f>
        <v>1-0-0</v>
      </c>
      <c r="AO1119" s="64" t="str">
        <f>INDEX(Records!$B$2:$AG$33, MATCH(Table1[[#This Row],[AwayTeam]],Records!$A$2:$A$33, 0), MATCH(Table1[[#This Row],[HomeTeam]],Records!$A$2:$A$33, 0))</f>
        <v>0-0-0</v>
      </c>
      <c r="AP1119" s="64" t="str">
        <f>INDEX(Table2[HOME_RECORD], MATCH(Table1[[#This Row],[HomeTeam]],Table2[Team], 0), 0)</f>
        <v>0-0-0</v>
      </c>
      <c r="AQ1119" s="64" t="str">
        <f>INDEX(Records!$B$2:$AG$33, MATCH(Table1[[#This Row],[HomeTeam]],Records!$A$2:$A$33, 0), MATCH(Table1[[#This Row],[AwayTeam]],Records!$A$2:$A$33, 0))</f>
        <v>0-0-0</v>
      </c>
    </row>
    <row r="1120" spans="1:43" x14ac:dyDescent="0.25">
      <c r="A1120" s="1"/>
      <c r="D1120" t="s">
        <v>1460</v>
      </c>
      <c r="E1120" t="s">
        <v>162</v>
      </c>
      <c r="F1120" t="s">
        <v>1464</v>
      </c>
      <c r="G1120" t="s">
        <v>39</v>
      </c>
      <c r="H1120" t="s">
        <v>40</v>
      </c>
      <c r="L112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2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20" s="1"/>
      <c r="T1120" s="64" t="str">
        <f>IF(Table1[[#This Row],[ActualWinner]]="", "", IF(Table1[[#This Row],[AwayTeam]]=Table1[[#This Row],[ActualWinner]],Table1[[#This Row],[HomeTeam]],Table1[[#This Row],[AwayTeam]]))</f>
        <v/>
      </c>
      <c r="U1120" s="64">
        <f>Table1[[#This Row],[ActualAwayScore]]-Table1[[#This Row],[PredictedAwayScore]]</f>
        <v>0</v>
      </c>
      <c r="V1120" s="64">
        <f>Table1[[#This Row],[ActualHomeScore]]-Table1[[#This Row],[PredictedHomeScore]]</f>
        <v>0</v>
      </c>
      <c r="W1120" s="64">
        <f>(0.8*IF(Table1[[#This Row],[CorrectWinnerPrediction]]=1, 1, 0))+(0.1*IF(Table1[[#This Row],[CorrectAwayScorePrediction]]=1, 1, 0))+(0.1*IF(Table1[[#This Row],[CorrectHomeScorePrediction]]=1, 1, 0))</f>
        <v>0</v>
      </c>
      <c r="X112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20" s="64">
        <f>SUMIF(Table1[GameDate], Table1[[#This Row],[GameDate]], Table1[AwayGameGoalDiff])</f>
        <v>0</v>
      </c>
      <c r="AA1120" s="64">
        <f>SUMIF(Table1[GameDate], Table1[[#This Row],[GameDate]], Table1[HomeGameGoalDiff])</f>
        <v>0</v>
      </c>
      <c r="AB1120" s="64">
        <f>IF(ISBLANK(Table1[[#This Row],[ActualResult]]), 0, 1)</f>
        <v>0</v>
      </c>
      <c r="AC1120" s="64">
        <f>IF(ISBLANK(Table1[[#This Row],[ActualResult]]), 0, IF(Table1[[#This Row],[ActualWinner]]=Table1[[#This Row],[PredictedWinner]], 1, 0))</f>
        <v>0</v>
      </c>
      <c r="AD112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2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20" s="64">
        <f>IF(AND(Table1[[#This Row],[GameIsOver]]=1,Table1[[#This Row],[ActualAwayScore]]=0), 1,0)</f>
        <v>0</v>
      </c>
      <c r="AG1120" s="64">
        <f>IF(AND(Table1[[#This Row],[GameIsOver]]=1,Table1[[#This Row],[ActualHomeScore]]=0), 1,0)</f>
        <v>0</v>
      </c>
      <c r="AH1120" s="64">
        <f>IF(Table1[[#This Row],[GameIsOver]]=0,0,IF(Table1[[#This Row],[ActualWinner]]=Table1[[#This Row],[AwayTeam]], 1, 0))</f>
        <v>0</v>
      </c>
      <c r="AI1120" s="64">
        <f>IF(Table1[[#This Row],[GameIsOver]]=0,0,IF(Table1[[#This Row],[ActualWinner]]=Table1[[#This Row],[HomeTeam]], 1, 0))</f>
        <v>0</v>
      </c>
      <c r="AJ1120" s="64">
        <f>IF(INDEX(Standings!$A$2:$C$33,MATCH(Table1[[#This Row],[AwayTeam]],Standings!$A$2:$A$33,0),2)=INDEX(Standings!$A$2:$C$33,MATCH(Table1[[#This Row],[HomeTeam]],Standings!$A$2:$A$33,0),2),1,0)</f>
        <v>0</v>
      </c>
      <c r="AK1120" s="64">
        <f>IF(INDEX(Standings!$A$2:$C$33,MATCH(Table1[[#This Row],[AwayTeam]],Standings!$A$2:$A$33,0),3)=INDEX(Standings!$A$2:$C$33,MATCH(Table1[[#This Row],[HomeTeam]],Standings!$A$2:$A$33,0),3),1,0)</f>
        <v>0</v>
      </c>
      <c r="AL1120" s="64">
        <f>IF(Table1[[#This Row],[InterConf]]=1,IF(Table1[[#This Row],[InterDiv]]=0, 1, 0), 0)</f>
        <v>0</v>
      </c>
      <c r="AM1120" s="64">
        <f>IF(INDEX(Standings!$A$2:$C$33,MATCH(Table1[[#This Row],[AwayTeam]],Standings!$A$2:$A$33,0),2)&lt;&gt;INDEX(Standings!$A$2:$C$33,MATCH(Table1[[#This Row],[HomeTeam]],Standings!$A$2:$A$33,0),2),1,0)</f>
        <v>1</v>
      </c>
      <c r="AN1120" s="64" t="str">
        <f>INDEX(Table2[AWAY_RECORD], MATCH(Table1[[#This Row],[AwayTeam]],Table2[Team], 0), 0)</f>
        <v>0-0-0</v>
      </c>
      <c r="AO1120" s="64" t="str">
        <f>INDEX(Records!$B$2:$AG$33, MATCH(Table1[[#This Row],[AwayTeam]],Records!$A$2:$A$33, 0), MATCH(Table1[[#This Row],[HomeTeam]],Records!$A$2:$A$33, 0))</f>
        <v>0-0-0</v>
      </c>
      <c r="AP1120" s="64" t="str">
        <f>INDEX(Table2[HOME_RECORD], MATCH(Table1[[#This Row],[HomeTeam]],Table2[Team], 0), 0)</f>
        <v>1-1-0</v>
      </c>
      <c r="AQ1120" s="64" t="str">
        <f>INDEX(Records!$B$2:$AG$33, MATCH(Table1[[#This Row],[HomeTeam]],Records!$A$2:$A$33, 0), MATCH(Table1[[#This Row],[AwayTeam]],Records!$A$2:$A$33, 0))</f>
        <v>0-0-0</v>
      </c>
    </row>
    <row r="1121" spans="1:43" x14ac:dyDescent="0.25">
      <c r="A1121" s="1"/>
      <c r="D1121" t="s">
        <v>1465</v>
      </c>
      <c r="E1121" t="s">
        <v>252</v>
      </c>
      <c r="F1121" t="s">
        <v>1466</v>
      </c>
      <c r="G1121" t="s">
        <v>59</v>
      </c>
      <c r="H1121" t="s">
        <v>54</v>
      </c>
      <c r="L112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2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21" s="1"/>
      <c r="T1121" s="64" t="str">
        <f>IF(Table1[[#This Row],[ActualWinner]]="", "", IF(Table1[[#This Row],[AwayTeam]]=Table1[[#This Row],[ActualWinner]],Table1[[#This Row],[HomeTeam]],Table1[[#This Row],[AwayTeam]]))</f>
        <v/>
      </c>
      <c r="U1121" s="64">
        <f>Table1[[#This Row],[ActualAwayScore]]-Table1[[#This Row],[PredictedAwayScore]]</f>
        <v>0</v>
      </c>
      <c r="V1121" s="64">
        <f>Table1[[#This Row],[ActualHomeScore]]-Table1[[#This Row],[PredictedHomeScore]]</f>
        <v>0</v>
      </c>
      <c r="W1121" s="64">
        <f>(0.8*IF(Table1[[#This Row],[CorrectWinnerPrediction]]=1, 1, 0))+(0.1*IF(Table1[[#This Row],[CorrectAwayScorePrediction]]=1, 1, 0))+(0.1*IF(Table1[[#This Row],[CorrectHomeScorePrediction]]=1, 1, 0))</f>
        <v>0</v>
      </c>
      <c r="X112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21" s="64">
        <f>SUMIF(Table1[GameDate], Table1[[#This Row],[GameDate]], Table1[AwayGameGoalDiff])</f>
        <v>0</v>
      </c>
      <c r="AA1121" s="64">
        <f>SUMIF(Table1[GameDate], Table1[[#This Row],[GameDate]], Table1[HomeGameGoalDiff])</f>
        <v>0</v>
      </c>
      <c r="AB1121" s="64">
        <f>IF(ISBLANK(Table1[[#This Row],[ActualResult]]), 0, 1)</f>
        <v>0</v>
      </c>
      <c r="AC1121" s="64">
        <f>IF(ISBLANK(Table1[[#This Row],[ActualResult]]), 0, IF(Table1[[#This Row],[ActualWinner]]=Table1[[#This Row],[PredictedWinner]], 1, 0))</f>
        <v>0</v>
      </c>
      <c r="AD112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2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21" s="64">
        <f>IF(AND(Table1[[#This Row],[GameIsOver]]=1,Table1[[#This Row],[ActualAwayScore]]=0), 1,0)</f>
        <v>0</v>
      </c>
      <c r="AG1121" s="64">
        <f>IF(AND(Table1[[#This Row],[GameIsOver]]=1,Table1[[#This Row],[ActualHomeScore]]=0), 1,0)</f>
        <v>0</v>
      </c>
      <c r="AH1121" s="64">
        <f>IF(Table1[[#This Row],[GameIsOver]]=0,0,IF(Table1[[#This Row],[ActualWinner]]=Table1[[#This Row],[AwayTeam]], 1, 0))</f>
        <v>0</v>
      </c>
      <c r="AI1121" s="64">
        <f>IF(Table1[[#This Row],[GameIsOver]]=0,0,IF(Table1[[#This Row],[ActualWinner]]=Table1[[#This Row],[HomeTeam]], 1, 0))</f>
        <v>0</v>
      </c>
      <c r="AJ1121" s="64">
        <f>IF(INDEX(Standings!$A$2:$C$33,MATCH(Table1[[#This Row],[AwayTeam]],Standings!$A$2:$A$33,0),2)=INDEX(Standings!$A$2:$C$33,MATCH(Table1[[#This Row],[HomeTeam]],Standings!$A$2:$A$33,0),2),1,0)</f>
        <v>1</v>
      </c>
      <c r="AK1121" s="64">
        <f>IF(INDEX(Standings!$A$2:$C$33,MATCH(Table1[[#This Row],[AwayTeam]],Standings!$A$2:$A$33,0),3)=INDEX(Standings!$A$2:$C$33,MATCH(Table1[[#This Row],[HomeTeam]],Standings!$A$2:$A$33,0),3),1,0)</f>
        <v>1</v>
      </c>
      <c r="AL1121" s="64">
        <f>IF(Table1[[#This Row],[InterConf]]=1,IF(Table1[[#This Row],[InterDiv]]=0, 1, 0), 0)</f>
        <v>0</v>
      </c>
      <c r="AM1121" s="64">
        <f>IF(INDEX(Standings!$A$2:$C$33,MATCH(Table1[[#This Row],[AwayTeam]],Standings!$A$2:$A$33,0),2)&lt;&gt;INDEX(Standings!$A$2:$C$33,MATCH(Table1[[#This Row],[HomeTeam]],Standings!$A$2:$A$33,0),2),1,0)</f>
        <v>0</v>
      </c>
      <c r="AN1121" s="64" t="str">
        <f>INDEX(Table2[AWAY_RECORD], MATCH(Table1[[#This Row],[AwayTeam]],Table2[Team], 0), 0)</f>
        <v>0-1-0</v>
      </c>
      <c r="AO1121" s="64" t="str">
        <f>INDEX(Records!$B$2:$AG$33, MATCH(Table1[[#This Row],[AwayTeam]],Records!$A$2:$A$33, 0), MATCH(Table1[[#This Row],[HomeTeam]],Records!$A$2:$A$33, 0))</f>
        <v>0-0-0</v>
      </c>
      <c r="AP1121" s="64" t="str">
        <f>INDEX(Table2[HOME_RECORD], MATCH(Table1[[#This Row],[HomeTeam]],Table2[Team], 0), 0)</f>
        <v>0-0-0</v>
      </c>
      <c r="AQ1121" s="64" t="str">
        <f>INDEX(Records!$B$2:$AG$33, MATCH(Table1[[#This Row],[HomeTeam]],Records!$A$2:$A$33, 0), MATCH(Table1[[#This Row],[AwayTeam]],Records!$A$2:$A$33, 0))</f>
        <v>0-0-0</v>
      </c>
    </row>
    <row r="1122" spans="1:43" x14ac:dyDescent="0.25">
      <c r="A1122" s="1"/>
      <c r="D1122" t="s">
        <v>1465</v>
      </c>
      <c r="E1122" t="s">
        <v>443</v>
      </c>
      <c r="F1122" t="s">
        <v>1467</v>
      </c>
      <c r="G1122" t="s">
        <v>48</v>
      </c>
      <c r="H1122" t="s">
        <v>60</v>
      </c>
      <c r="L112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2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22" s="1"/>
      <c r="T1122" s="64" t="str">
        <f>IF(Table1[[#This Row],[ActualWinner]]="", "", IF(Table1[[#This Row],[AwayTeam]]=Table1[[#This Row],[ActualWinner]],Table1[[#This Row],[HomeTeam]],Table1[[#This Row],[AwayTeam]]))</f>
        <v/>
      </c>
      <c r="U1122" s="64">
        <f>Table1[[#This Row],[ActualAwayScore]]-Table1[[#This Row],[PredictedAwayScore]]</f>
        <v>0</v>
      </c>
      <c r="V1122" s="64">
        <f>Table1[[#This Row],[ActualHomeScore]]-Table1[[#This Row],[PredictedHomeScore]]</f>
        <v>0</v>
      </c>
      <c r="W1122" s="64">
        <f>(0.8*IF(Table1[[#This Row],[CorrectWinnerPrediction]]=1, 1, 0))+(0.1*IF(Table1[[#This Row],[CorrectAwayScorePrediction]]=1, 1, 0))+(0.1*IF(Table1[[#This Row],[CorrectHomeScorePrediction]]=1, 1, 0))</f>
        <v>0</v>
      </c>
      <c r="X112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22" s="64">
        <f>SUMIF(Table1[GameDate], Table1[[#This Row],[GameDate]], Table1[AwayGameGoalDiff])</f>
        <v>0</v>
      </c>
      <c r="AA1122" s="64">
        <f>SUMIF(Table1[GameDate], Table1[[#This Row],[GameDate]], Table1[HomeGameGoalDiff])</f>
        <v>0</v>
      </c>
      <c r="AB1122" s="64">
        <f>IF(ISBLANK(Table1[[#This Row],[ActualResult]]), 0, 1)</f>
        <v>0</v>
      </c>
      <c r="AC1122" s="64">
        <f>IF(ISBLANK(Table1[[#This Row],[ActualResult]]), 0, IF(Table1[[#This Row],[ActualWinner]]=Table1[[#This Row],[PredictedWinner]], 1, 0))</f>
        <v>0</v>
      </c>
      <c r="AD112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2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22" s="64">
        <f>IF(AND(Table1[[#This Row],[GameIsOver]]=1,Table1[[#This Row],[ActualAwayScore]]=0), 1,0)</f>
        <v>0</v>
      </c>
      <c r="AG1122" s="64">
        <f>IF(AND(Table1[[#This Row],[GameIsOver]]=1,Table1[[#This Row],[ActualHomeScore]]=0), 1,0)</f>
        <v>0</v>
      </c>
      <c r="AH1122" s="64">
        <f>IF(Table1[[#This Row],[GameIsOver]]=0,0,IF(Table1[[#This Row],[ActualWinner]]=Table1[[#This Row],[AwayTeam]], 1, 0))</f>
        <v>0</v>
      </c>
      <c r="AI1122" s="64">
        <f>IF(Table1[[#This Row],[GameIsOver]]=0,0,IF(Table1[[#This Row],[ActualWinner]]=Table1[[#This Row],[HomeTeam]], 1, 0))</f>
        <v>0</v>
      </c>
      <c r="AJ1122" s="64">
        <f>IF(INDEX(Standings!$A$2:$C$33,MATCH(Table1[[#This Row],[AwayTeam]],Standings!$A$2:$A$33,0),2)=INDEX(Standings!$A$2:$C$33,MATCH(Table1[[#This Row],[HomeTeam]],Standings!$A$2:$A$33,0),2),1,0)</f>
        <v>1</v>
      </c>
      <c r="AK1122" s="64">
        <f>IF(INDEX(Standings!$A$2:$C$33,MATCH(Table1[[#This Row],[AwayTeam]],Standings!$A$2:$A$33,0),3)=INDEX(Standings!$A$2:$C$33,MATCH(Table1[[#This Row],[HomeTeam]],Standings!$A$2:$A$33,0),3),1,0)</f>
        <v>1</v>
      </c>
      <c r="AL1122" s="64">
        <f>IF(Table1[[#This Row],[InterConf]]=1,IF(Table1[[#This Row],[InterDiv]]=0, 1, 0), 0)</f>
        <v>0</v>
      </c>
      <c r="AM1122" s="64">
        <f>IF(INDEX(Standings!$A$2:$C$33,MATCH(Table1[[#This Row],[AwayTeam]],Standings!$A$2:$A$33,0),2)&lt;&gt;INDEX(Standings!$A$2:$C$33,MATCH(Table1[[#This Row],[HomeTeam]],Standings!$A$2:$A$33,0),2),1,0)</f>
        <v>0</v>
      </c>
      <c r="AN1122" s="64" t="str">
        <f>INDEX(Table2[AWAY_RECORD], MATCH(Table1[[#This Row],[AwayTeam]],Table2[Team], 0), 0)</f>
        <v>0-0-0</v>
      </c>
      <c r="AO1122" s="64" t="str">
        <f>INDEX(Records!$B$2:$AG$33, MATCH(Table1[[#This Row],[AwayTeam]],Records!$A$2:$A$33, 0), MATCH(Table1[[#This Row],[HomeTeam]],Records!$A$2:$A$33, 0))</f>
        <v>0-0-0</v>
      </c>
      <c r="AP1122" s="64" t="str">
        <f>INDEX(Table2[HOME_RECORD], MATCH(Table1[[#This Row],[HomeTeam]],Table2[Team], 0), 0)</f>
        <v>1-0-0</v>
      </c>
      <c r="AQ1122" s="64" t="str">
        <f>INDEX(Records!$B$2:$AG$33, MATCH(Table1[[#This Row],[HomeTeam]],Records!$A$2:$A$33, 0), MATCH(Table1[[#This Row],[AwayTeam]],Records!$A$2:$A$33, 0))</f>
        <v>0-0-0</v>
      </c>
    </row>
    <row r="1123" spans="1:43" x14ac:dyDescent="0.25">
      <c r="A1123" s="1"/>
      <c r="D1123" t="s">
        <v>1465</v>
      </c>
      <c r="E1123" t="s">
        <v>207</v>
      </c>
      <c r="F1123" t="s">
        <v>1468</v>
      </c>
      <c r="G1123" t="s">
        <v>53</v>
      </c>
      <c r="H1123" t="s">
        <v>58</v>
      </c>
      <c r="L112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2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23" s="1"/>
      <c r="T1123" s="64" t="str">
        <f>IF(Table1[[#This Row],[ActualWinner]]="", "", IF(Table1[[#This Row],[AwayTeam]]=Table1[[#This Row],[ActualWinner]],Table1[[#This Row],[HomeTeam]],Table1[[#This Row],[AwayTeam]]))</f>
        <v/>
      </c>
      <c r="U1123" s="64">
        <f>Table1[[#This Row],[ActualAwayScore]]-Table1[[#This Row],[PredictedAwayScore]]</f>
        <v>0</v>
      </c>
      <c r="V1123" s="64">
        <f>Table1[[#This Row],[ActualHomeScore]]-Table1[[#This Row],[PredictedHomeScore]]</f>
        <v>0</v>
      </c>
      <c r="W1123" s="64">
        <f>(0.8*IF(Table1[[#This Row],[CorrectWinnerPrediction]]=1, 1, 0))+(0.1*IF(Table1[[#This Row],[CorrectAwayScorePrediction]]=1, 1, 0))+(0.1*IF(Table1[[#This Row],[CorrectHomeScorePrediction]]=1, 1, 0))</f>
        <v>0</v>
      </c>
      <c r="X112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23" s="64">
        <f>SUMIF(Table1[GameDate], Table1[[#This Row],[GameDate]], Table1[AwayGameGoalDiff])</f>
        <v>0</v>
      </c>
      <c r="AA1123" s="64">
        <f>SUMIF(Table1[GameDate], Table1[[#This Row],[GameDate]], Table1[HomeGameGoalDiff])</f>
        <v>0</v>
      </c>
      <c r="AB1123" s="64">
        <f>IF(ISBLANK(Table1[[#This Row],[ActualResult]]), 0, 1)</f>
        <v>0</v>
      </c>
      <c r="AC1123" s="64">
        <f>IF(ISBLANK(Table1[[#This Row],[ActualResult]]), 0, IF(Table1[[#This Row],[ActualWinner]]=Table1[[#This Row],[PredictedWinner]], 1, 0))</f>
        <v>0</v>
      </c>
      <c r="AD112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2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23" s="64">
        <f>IF(AND(Table1[[#This Row],[GameIsOver]]=1,Table1[[#This Row],[ActualAwayScore]]=0), 1,0)</f>
        <v>0</v>
      </c>
      <c r="AG1123" s="64">
        <f>IF(AND(Table1[[#This Row],[GameIsOver]]=1,Table1[[#This Row],[ActualHomeScore]]=0), 1,0)</f>
        <v>0</v>
      </c>
      <c r="AH1123" s="64">
        <f>IF(Table1[[#This Row],[GameIsOver]]=0,0,IF(Table1[[#This Row],[ActualWinner]]=Table1[[#This Row],[AwayTeam]], 1, 0))</f>
        <v>0</v>
      </c>
      <c r="AI1123" s="64">
        <f>IF(Table1[[#This Row],[GameIsOver]]=0,0,IF(Table1[[#This Row],[ActualWinner]]=Table1[[#This Row],[HomeTeam]], 1, 0))</f>
        <v>0</v>
      </c>
      <c r="AJ1123" s="64">
        <f>IF(INDEX(Standings!$A$2:$C$33,MATCH(Table1[[#This Row],[AwayTeam]],Standings!$A$2:$A$33,0),2)=INDEX(Standings!$A$2:$C$33,MATCH(Table1[[#This Row],[HomeTeam]],Standings!$A$2:$A$33,0),2),1,0)</f>
        <v>0</v>
      </c>
      <c r="AK1123" s="64">
        <f>IF(INDEX(Standings!$A$2:$C$33,MATCH(Table1[[#This Row],[AwayTeam]],Standings!$A$2:$A$33,0),3)=INDEX(Standings!$A$2:$C$33,MATCH(Table1[[#This Row],[HomeTeam]],Standings!$A$2:$A$33,0),3),1,0)</f>
        <v>0</v>
      </c>
      <c r="AL1123" s="64">
        <f>IF(Table1[[#This Row],[InterConf]]=1,IF(Table1[[#This Row],[InterDiv]]=0, 1, 0), 0)</f>
        <v>0</v>
      </c>
      <c r="AM1123" s="64">
        <f>IF(INDEX(Standings!$A$2:$C$33,MATCH(Table1[[#This Row],[AwayTeam]],Standings!$A$2:$A$33,0),2)&lt;&gt;INDEX(Standings!$A$2:$C$33,MATCH(Table1[[#This Row],[HomeTeam]],Standings!$A$2:$A$33,0),2),1,0)</f>
        <v>1</v>
      </c>
      <c r="AN1123" s="64" t="str">
        <f>INDEX(Table2[AWAY_RECORD], MATCH(Table1[[#This Row],[AwayTeam]],Table2[Team], 0), 0)</f>
        <v>0-1-0</v>
      </c>
      <c r="AO1123" s="64" t="str">
        <f>INDEX(Records!$B$2:$AG$33, MATCH(Table1[[#This Row],[AwayTeam]],Records!$A$2:$A$33, 0), MATCH(Table1[[#This Row],[HomeTeam]],Records!$A$2:$A$33, 0))</f>
        <v>0-0-0</v>
      </c>
      <c r="AP1123" s="64" t="str">
        <f>INDEX(Table2[HOME_RECORD], MATCH(Table1[[#This Row],[HomeTeam]],Table2[Team], 0), 0)</f>
        <v>1-0-0</v>
      </c>
      <c r="AQ1123" s="64" t="str">
        <f>INDEX(Records!$B$2:$AG$33, MATCH(Table1[[#This Row],[HomeTeam]],Records!$A$2:$A$33, 0), MATCH(Table1[[#This Row],[AwayTeam]],Records!$A$2:$A$33, 0))</f>
        <v>0-0-0</v>
      </c>
    </row>
    <row r="1124" spans="1:43" x14ac:dyDescent="0.25">
      <c r="A1124" s="1"/>
      <c r="D1124" t="s">
        <v>1465</v>
      </c>
      <c r="E1124" t="s">
        <v>160</v>
      </c>
      <c r="F1124" t="s">
        <v>1469</v>
      </c>
      <c r="G1124" t="s">
        <v>16</v>
      </c>
      <c r="H1124" t="s">
        <v>41</v>
      </c>
      <c r="L112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2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24" s="1"/>
      <c r="T1124" s="64" t="str">
        <f>IF(Table1[[#This Row],[ActualWinner]]="", "", IF(Table1[[#This Row],[AwayTeam]]=Table1[[#This Row],[ActualWinner]],Table1[[#This Row],[HomeTeam]],Table1[[#This Row],[AwayTeam]]))</f>
        <v/>
      </c>
      <c r="U1124" s="64">
        <f>Table1[[#This Row],[ActualAwayScore]]-Table1[[#This Row],[PredictedAwayScore]]</f>
        <v>0</v>
      </c>
      <c r="V1124" s="64">
        <f>Table1[[#This Row],[ActualHomeScore]]-Table1[[#This Row],[PredictedHomeScore]]</f>
        <v>0</v>
      </c>
      <c r="W1124" s="64">
        <f>(0.8*IF(Table1[[#This Row],[CorrectWinnerPrediction]]=1, 1, 0))+(0.1*IF(Table1[[#This Row],[CorrectAwayScorePrediction]]=1, 1, 0))+(0.1*IF(Table1[[#This Row],[CorrectHomeScorePrediction]]=1, 1, 0))</f>
        <v>0</v>
      </c>
      <c r="X112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24" s="64">
        <f>SUMIF(Table1[GameDate], Table1[[#This Row],[GameDate]], Table1[AwayGameGoalDiff])</f>
        <v>0</v>
      </c>
      <c r="AA1124" s="64">
        <f>SUMIF(Table1[GameDate], Table1[[#This Row],[GameDate]], Table1[HomeGameGoalDiff])</f>
        <v>0</v>
      </c>
      <c r="AB1124" s="64">
        <f>IF(ISBLANK(Table1[[#This Row],[ActualResult]]), 0, 1)</f>
        <v>0</v>
      </c>
      <c r="AC1124" s="64">
        <f>IF(ISBLANK(Table1[[#This Row],[ActualResult]]), 0, IF(Table1[[#This Row],[ActualWinner]]=Table1[[#This Row],[PredictedWinner]], 1, 0))</f>
        <v>0</v>
      </c>
      <c r="AD112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2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24" s="64">
        <f>IF(AND(Table1[[#This Row],[GameIsOver]]=1,Table1[[#This Row],[ActualAwayScore]]=0), 1,0)</f>
        <v>0</v>
      </c>
      <c r="AG1124" s="64">
        <f>IF(AND(Table1[[#This Row],[GameIsOver]]=1,Table1[[#This Row],[ActualHomeScore]]=0), 1,0)</f>
        <v>0</v>
      </c>
      <c r="AH1124" s="64">
        <f>IF(Table1[[#This Row],[GameIsOver]]=0,0,IF(Table1[[#This Row],[ActualWinner]]=Table1[[#This Row],[AwayTeam]], 1, 0))</f>
        <v>0</v>
      </c>
      <c r="AI1124" s="64">
        <f>IF(Table1[[#This Row],[GameIsOver]]=0,0,IF(Table1[[#This Row],[ActualWinner]]=Table1[[#This Row],[HomeTeam]], 1, 0))</f>
        <v>0</v>
      </c>
      <c r="AJ1124" s="64">
        <f>IF(INDEX(Standings!$A$2:$C$33,MATCH(Table1[[#This Row],[AwayTeam]],Standings!$A$2:$A$33,0),2)=INDEX(Standings!$A$2:$C$33,MATCH(Table1[[#This Row],[HomeTeam]],Standings!$A$2:$A$33,0),2),1,0)</f>
        <v>1</v>
      </c>
      <c r="AK1124" s="64">
        <f>IF(INDEX(Standings!$A$2:$C$33,MATCH(Table1[[#This Row],[AwayTeam]],Standings!$A$2:$A$33,0),3)=INDEX(Standings!$A$2:$C$33,MATCH(Table1[[#This Row],[HomeTeam]],Standings!$A$2:$A$33,0),3),1,0)</f>
        <v>1</v>
      </c>
      <c r="AL1124" s="64">
        <f>IF(Table1[[#This Row],[InterConf]]=1,IF(Table1[[#This Row],[InterDiv]]=0, 1, 0), 0)</f>
        <v>0</v>
      </c>
      <c r="AM1124" s="64">
        <f>IF(INDEX(Standings!$A$2:$C$33,MATCH(Table1[[#This Row],[AwayTeam]],Standings!$A$2:$A$33,0),2)&lt;&gt;INDEX(Standings!$A$2:$C$33,MATCH(Table1[[#This Row],[HomeTeam]],Standings!$A$2:$A$33,0),2),1,0)</f>
        <v>0</v>
      </c>
      <c r="AN1124" s="64" t="str">
        <f>INDEX(Table2[AWAY_RECORD], MATCH(Table1[[#This Row],[AwayTeam]],Table2[Team], 0), 0)</f>
        <v>1-0-1</v>
      </c>
      <c r="AO1124" s="64" t="str">
        <f>INDEX(Records!$B$2:$AG$33, MATCH(Table1[[#This Row],[AwayTeam]],Records!$A$2:$A$33, 0), MATCH(Table1[[#This Row],[HomeTeam]],Records!$A$2:$A$33, 0))</f>
        <v>0-0-0</v>
      </c>
      <c r="AP1124" s="64" t="str">
        <f>INDEX(Table2[HOME_RECORD], MATCH(Table1[[#This Row],[HomeTeam]],Table2[Team], 0), 0)</f>
        <v>0-0-1</v>
      </c>
      <c r="AQ1124" s="64" t="str">
        <f>INDEX(Records!$B$2:$AG$33, MATCH(Table1[[#This Row],[HomeTeam]],Records!$A$2:$A$33, 0), MATCH(Table1[[#This Row],[AwayTeam]],Records!$A$2:$A$33, 0))</f>
        <v>0-0-0</v>
      </c>
    </row>
    <row r="1125" spans="1:43" x14ac:dyDescent="0.25">
      <c r="A1125" s="1"/>
      <c r="D1125" t="s">
        <v>1465</v>
      </c>
      <c r="E1125" t="s">
        <v>169</v>
      </c>
      <c r="F1125" t="s">
        <v>1470</v>
      </c>
      <c r="G1125" t="s">
        <v>36</v>
      </c>
      <c r="H1125" t="s">
        <v>61</v>
      </c>
      <c r="L112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2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25" s="1"/>
      <c r="T1125" s="64" t="str">
        <f>IF(Table1[[#This Row],[ActualWinner]]="", "", IF(Table1[[#This Row],[AwayTeam]]=Table1[[#This Row],[ActualWinner]],Table1[[#This Row],[HomeTeam]],Table1[[#This Row],[AwayTeam]]))</f>
        <v/>
      </c>
      <c r="U1125" s="64">
        <f>Table1[[#This Row],[ActualAwayScore]]-Table1[[#This Row],[PredictedAwayScore]]</f>
        <v>0</v>
      </c>
      <c r="V1125" s="64">
        <f>Table1[[#This Row],[ActualHomeScore]]-Table1[[#This Row],[PredictedHomeScore]]</f>
        <v>0</v>
      </c>
      <c r="W1125" s="64">
        <f>(0.8*IF(Table1[[#This Row],[CorrectWinnerPrediction]]=1, 1, 0))+(0.1*IF(Table1[[#This Row],[CorrectAwayScorePrediction]]=1, 1, 0))+(0.1*IF(Table1[[#This Row],[CorrectHomeScorePrediction]]=1, 1, 0))</f>
        <v>0</v>
      </c>
      <c r="X112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25" s="64">
        <f>SUMIF(Table1[GameDate], Table1[[#This Row],[GameDate]], Table1[AwayGameGoalDiff])</f>
        <v>0</v>
      </c>
      <c r="AA1125" s="64">
        <f>SUMIF(Table1[GameDate], Table1[[#This Row],[GameDate]], Table1[HomeGameGoalDiff])</f>
        <v>0</v>
      </c>
      <c r="AB1125" s="64">
        <f>IF(ISBLANK(Table1[[#This Row],[ActualResult]]), 0, 1)</f>
        <v>0</v>
      </c>
      <c r="AC1125" s="64">
        <f>IF(ISBLANK(Table1[[#This Row],[ActualResult]]), 0, IF(Table1[[#This Row],[ActualWinner]]=Table1[[#This Row],[PredictedWinner]], 1, 0))</f>
        <v>0</v>
      </c>
      <c r="AD112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2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25" s="64">
        <f>IF(AND(Table1[[#This Row],[GameIsOver]]=1,Table1[[#This Row],[ActualAwayScore]]=0), 1,0)</f>
        <v>0</v>
      </c>
      <c r="AG1125" s="64">
        <f>IF(AND(Table1[[#This Row],[GameIsOver]]=1,Table1[[#This Row],[ActualHomeScore]]=0), 1,0)</f>
        <v>0</v>
      </c>
      <c r="AH1125" s="64">
        <f>IF(Table1[[#This Row],[GameIsOver]]=0,0,IF(Table1[[#This Row],[ActualWinner]]=Table1[[#This Row],[AwayTeam]], 1, 0))</f>
        <v>0</v>
      </c>
      <c r="AI1125" s="64">
        <f>IF(Table1[[#This Row],[GameIsOver]]=0,0,IF(Table1[[#This Row],[ActualWinner]]=Table1[[#This Row],[HomeTeam]], 1, 0))</f>
        <v>0</v>
      </c>
      <c r="AJ1125" s="64">
        <f>IF(INDEX(Standings!$A$2:$C$33,MATCH(Table1[[#This Row],[AwayTeam]],Standings!$A$2:$A$33,0),2)=INDEX(Standings!$A$2:$C$33,MATCH(Table1[[#This Row],[HomeTeam]],Standings!$A$2:$A$33,0),2),1,0)</f>
        <v>1</v>
      </c>
      <c r="AK1125" s="64">
        <f>IF(INDEX(Standings!$A$2:$C$33,MATCH(Table1[[#This Row],[AwayTeam]],Standings!$A$2:$A$33,0),3)=INDEX(Standings!$A$2:$C$33,MATCH(Table1[[#This Row],[HomeTeam]],Standings!$A$2:$A$33,0),3),1,0)</f>
        <v>0</v>
      </c>
      <c r="AL1125" s="64">
        <f>IF(Table1[[#This Row],[InterConf]]=1,IF(Table1[[#This Row],[InterDiv]]=0, 1, 0), 0)</f>
        <v>1</v>
      </c>
      <c r="AM1125" s="64">
        <f>IF(INDEX(Standings!$A$2:$C$33,MATCH(Table1[[#This Row],[AwayTeam]],Standings!$A$2:$A$33,0),2)&lt;&gt;INDEX(Standings!$A$2:$C$33,MATCH(Table1[[#This Row],[HomeTeam]],Standings!$A$2:$A$33,0),2),1,0)</f>
        <v>0</v>
      </c>
      <c r="AN1125" s="64" t="str">
        <f>INDEX(Table2[AWAY_RECORD], MATCH(Table1[[#This Row],[AwayTeam]],Table2[Team], 0), 0)</f>
        <v>0-0-0</v>
      </c>
      <c r="AO1125" s="64" t="str">
        <f>INDEX(Records!$B$2:$AG$33, MATCH(Table1[[#This Row],[AwayTeam]],Records!$A$2:$A$33, 0), MATCH(Table1[[#This Row],[HomeTeam]],Records!$A$2:$A$33, 0))</f>
        <v>0-0-0</v>
      </c>
      <c r="AP1125" s="64" t="str">
        <f>INDEX(Table2[HOME_RECORD], MATCH(Table1[[#This Row],[HomeTeam]],Table2[Team], 0), 0)</f>
        <v>0-0-0</v>
      </c>
      <c r="AQ1125" s="64" t="str">
        <f>INDEX(Records!$B$2:$AG$33, MATCH(Table1[[#This Row],[HomeTeam]],Records!$A$2:$A$33, 0), MATCH(Table1[[#This Row],[AwayTeam]],Records!$A$2:$A$33, 0))</f>
        <v>0-0-0</v>
      </c>
    </row>
    <row r="1126" spans="1:43" x14ac:dyDescent="0.25">
      <c r="A1126" s="1"/>
      <c r="D1126" t="s">
        <v>1465</v>
      </c>
      <c r="E1126" t="s">
        <v>162</v>
      </c>
      <c r="F1126" t="s">
        <v>1471</v>
      </c>
      <c r="G1126" t="s">
        <v>39</v>
      </c>
      <c r="H1126" t="s">
        <v>37</v>
      </c>
      <c r="L112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2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26" s="1"/>
      <c r="T1126" s="64" t="str">
        <f>IF(Table1[[#This Row],[ActualWinner]]="", "", IF(Table1[[#This Row],[AwayTeam]]=Table1[[#This Row],[ActualWinner]],Table1[[#This Row],[HomeTeam]],Table1[[#This Row],[AwayTeam]]))</f>
        <v/>
      </c>
      <c r="U1126" s="64">
        <f>Table1[[#This Row],[ActualAwayScore]]-Table1[[#This Row],[PredictedAwayScore]]</f>
        <v>0</v>
      </c>
      <c r="V1126" s="64">
        <f>Table1[[#This Row],[ActualHomeScore]]-Table1[[#This Row],[PredictedHomeScore]]</f>
        <v>0</v>
      </c>
      <c r="W1126" s="64">
        <f>(0.8*IF(Table1[[#This Row],[CorrectWinnerPrediction]]=1, 1, 0))+(0.1*IF(Table1[[#This Row],[CorrectAwayScorePrediction]]=1, 1, 0))+(0.1*IF(Table1[[#This Row],[CorrectHomeScorePrediction]]=1, 1, 0))</f>
        <v>0</v>
      </c>
      <c r="X112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26" s="64">
        <f>SUMIF(Table1[GameDate], Table1[[#This Row],[GameDate]], Table1[AwayGameGoalDiff])</f>
        <v>0</v>
      </c>
      <c r="AA1126" s="64">
        <f>SUMIF(Table1[GameDate], Table1[[#This Row],[GameDate]], Table1[HomeGameGoalDiff])</f>
        <v>0</v>
      </c>
      <c r="AB1126" s="64">
        <f>IF(ISBLANK(Table1[[#This Row],[ActualResult]]), 0, 1)</f>
        <v>0</v>
      </c>
      <c r="AC1126" s="64">
        <f>IF(ISBLANK(Table1[[#This Row],[ActualResult]]), 0, IF(Table1[[#This Row],[ActualWinner]]=Table1[[#This Row],[PredictedWinner]], 1, 0))</f>
        <v>0</v>
      </c>
      <c r="AD112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2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26" s="64">
        <f>IF(AND(Table1[[#This Row],[GameIsOver]]=1,Table1[[#This Row],[ActualAwayScore]]=0), 1,0)</f>
        <v>0</v>
      </c>
      <c r="AG1126" s="64">
        <f>IF(AND(Table1[[#This Row],[GameIsOver]]=1,Table1[[#This Row],[ActualHomeScore]]=0), 1,0)</f>
        <v>0</v>
      </c>
      <c r="AH1126" s="64">
        <f>IF(Table1[[#This Row],[GameIsOver]]=0,0,IF(Table1[[#This Row],[ActualWinner]]=Table1[[#This Row],[AwayTeam]], 1, 0))</f>
        <v>0</v>
      </c>
      <c r="AI1126" s="64">
        <f>IF(Table1[[#This Row],[GameIsOver]]=0,0,IF(Table1[[#This Row],[ActualWinner]]=Table1[[#This Row],[HomeTeam]], 1, 0))</f>
        <v>0</v>
      </c>
      <c r="AJ1126" s="64">
        <f>IF(INDEX(Standings!$A$2:$C$33,MATCH(Table1[[#This Row],[AwayTeam]],Standings!$A$2:$A$33,0),2)=INDEX(Standings!$A$2:$C$33,MATCH(Table1[[#This Row],[HomeTeam]],Standings!$A$2:$A$33,0),2),1,0)</f>
        <v>0</v>
      </c>
      <c r="AK1126" s="64">
        <f>IF(INDEX(Standings!$A$2:$C$33,MATCH(Table1[[#This Row],[AwayTeam]],Standings!$A$2:$A$33,0),3)=INDEX(Standings!$A$2:$C$33,MATCH(Table1[[#This Row],[HomeTeam]],Standings!$A$2:$A$33,0),3),1,0)</f>
        <v>0</v>
      </c>
      <c r="AL1126" s="64">
        <f>IF(Table1[[#This Row],[InterConf]]=1,IF(Table1[[#This Row],[InterDiv]]=0, 1, 0), 0)</f>
        <v>0</v>
      </c>
      <c r="AM1126" s="64">
        <f>IF(INDEX(Standings!$A$2:$C$33,MATCH(Table1[[#This Row],[AwayTeam]],Standings!$A$2:$A$33,0),2)&lt;&gt;INDEX(Standings!$A$2:$C$33,MATCH(Table1[[#This Row],[HomeTeam]],Standings!$A$2:$A$33,0),2),1,0)</f>
        <v>1</v>
      </c>
      <c r="AN1126" s="64" t="str">
        <f>INDEX(Table2[AWAY_RECORD], MATCH(Table1[[#This Row],[AwayTeam]],Table2[Team], 0), 0)</f>
        <v>0-0-0</v>
      </c>
      <c r="AO1126" s="64" t="str">
        <f>INDEX(Records!$B$2:$AG$33, MATCH(Table1[[#This Row],[AwayTeam]],Records!$A$2:$A$33, 0), MATCH(Table1[[#This Row],[HomeTeam]],Records!$A$2:$A$33, 0))</f>
        <v>0-0-0</v>
      </c>
      <c r="AP1126" s="64" t="str">
        <f>INDEX(Table2[HOME_RECORD], MATCH(Table1[[#This Row],[HomeTeam]],Table2[Team], 0), 0)</f>
        <v>0-1-0</v>
      </c>
      <c r="AQ1126" s="64" t="str">
        <f>INDEX(Records!$B$2:$AG$33, MATCH(Table1[[#This Row],[HomeTeam]],Records!$A$2:$A$33, 0), MATCH(Table1[[#This Row],[AwayTeam]],Records!$A$2:$A$33, 0))</f>
        <v>0-0-0</v>
      </c>
    </row>
    <row r="1127" spans="1:43" x14ac:dyDescent="0.25">
      <c r="A1127" s="1"/>
      <c r="D1127" t="s">
        <v>1465</v>
      </c>
      <c r="E1127" t="s">
        <v>162</v>
      </c>
      <c r="F1127" t="s">
        <v>1472</v>
      </c>
      <c r="G1127" t="s">
        <v>23</v>
      </c>
      <c r="H1127" t="s">
        <v>24</v>
      </c>
      <c r="L112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2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27" s="1"/>
      <c r="T1127" s="64" t="str">
        <f>IF(Table1[[#This Row],[ActualWinner]]="", "", IF(Table1[[#This Row],[AwayTeam]]=Table1[[#This Row],[ActualWinner]],Table1[[#This Row],[HomeTeam]],Table1[[#This Row],[AwayTeam]]))</f>
        <v/>
      </c>
      <c r="U1127" s="64">
        <f>Table1[[#This Row],[ActualAwayScore]]-Table1[[#This Row],[PredictedAwayScore]]</f>
        <v>0</v>
      </c>
      <c r="V1127" s="64">
        <f>Table1[[#This Row],[ActualHomeScore]]-Table1[[#This Row],[PredictedHomeScore]]</f>
        <v>0</v>
      </c>
      <c r="W1127" s="64">
        <f>(0.8*IF(Table1[[#This Row],[CorrectWinnerPrediction]]=1, 1, 0))+(0.1*IF(Table1[[#This Row],[CorrectAwayScorePrediction]]=1, 1, 0))+(0.1*IF(Table1[[#This Row],[CorrectHomeScorePrediction]]=1, 1, 0))</f>
        <v>0</v>
      </c>
      <c r="X112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27" s="64">
        <f>SUMIF(Table1[GameDate], Table1[[#This Row],[GameDate]], Table1[AwayGameGoalDiff])</f>
        <v>0</v>
      </c>
      <c r="AA1127" s="64">
        <f>SUMIF(Table1[GameDate], Table1[[#This Row],[GameDate]], Table1[HomeGameGoalDiff])</f>
        <v>0</v>
      </c>
      <c r="AB1127" s="64">
        <f>IF(ISBLANK(Table1[[#This Row],[ActualResult]]), 0, 1)</f>
        <v>0</v>
      </c>
      <c r="AC1127" s="64">
        <f>IF(ISBLANK(Table1[[#This Row],[ActualResult]]), 0, IF(Table1[[#This Row],[ActualWinner]]=Table1[[#This Row],[PredictedWinner]], 1, 0))</f>
        <v>0</v>
      </c>
      <c r="AD112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2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27" s="64">
        <f>IF(AND(Table1[[#This Row],[GameIsOver]]=1,Table1[[#This Row],[ActualAwayScore]]=0), 1,0)</f>
        <v>0</v>
      </c>
      <c r="AG1127" s="64">
        <f>IF(AND(Table1[[#This Row],[GameIsOver]]=1,Table1[[#This Row],[ActualHomeScore]]=0), 1,0)</f>
        <v>0</v>
      </c>
      <c r="AH1127" s="64">
        <f>IF(Table1[[#This Row],[GameIsOver]]=0,0,IF(Table1[[#This Row],[ActualWinner]]=Table1[[#This Row],[AwayTeam]], 1, 0))</f>
        <v>0</v>
      </c>
      <c r="AI1127" s="64">
        <f>IF(Table1[[#This Row],[GameIsOver]]=0,0,IF(Table1[[#This Row],[ActualWinner]]=Table1[[#This Row],[HomeTeam]], 1, 0))</f>
        <v>0</v>
      </c>
      <c r="AJ1127" s="64">
        <f>IF(INDEX(Standings!$A$2:$C$33,MATCH(Table1[[#This Row],[AwayTeam]],Standings!$A$2:$A$33,0),2)=INDEX(Standings!$A$2:$C$33,MATCH(Table1[[#This Row],[HomeTeam]],Standings!$A$2:$A$33,0),2),1,0)</f>
        <v>0</v>
      </c>
      <c r="AK1127" s="64">
        <f>IF(INDEX(Standings!$A$2:$C$33,MATCH(Table1[[#This Row],[AwayTeam]],Standings!$A$2:$A$33,0),3)=INDEX(Standings!$A$2:$C$33,MATCH(Table1[[#This Row],[HomeTeam]],Standings!$A$2:$A$33,0),3),1,0)</f>
        <v>0</v>
      </c>
      <c r="AL1127" s="64">
        <f>IF(Table1[[#This Row],[InterConf]]=1,IF(Table1[[#This Row],[InterDiv]]=0, 1, 0), 0)</f>
        <v>0</v>
      </c>
      <c r="AM1127" s="64">
        <f>IF(INDEX(Standings!$A$2:$C$33,MATCH(Table1[[#This Row],[AwayTeam]],Standings!$A$2:$A$33,0),2)&lt;&gt;INDEX(Standings!$A$2:$C$33,MATCH(Table1[[#This Row],[HomeTeam]],Standings!$A$2:$A$33,0),2),1,0)</f>
        <v>1</v>
      </c>
      <c r="AN1127" s="64" t="str">
        <f>INDEX(Table2[AWAY_RECORD], MATCH(Table1[[#This Row],[AwayTeam]],Table2[Team], 0), 0)</f>
        <v>0-0-1</v>
      </c>
      <c r="AO1127" s="64" t="str">
        <f>INDEX(Records!$B$2:$AG$33, MATCH(Table1[[#This Row],[AwayTeam]],Records!$A$2:$A$33, 0), MATCH(Table1[[#This Row],[HomeTeam]],Records!$A$2:$A$33, 0))</f>
        <v>0-0-0</v>
      </c>
      <c r="AP1127" s="64" t="str">
        <f>INDEX(Table2[HOME_RECORD], MATCH(Table1[[#This Row],[HomeTeam]],Table2[Team], 0), 0)</f>
        <v>0-2-0</v>
      </c>
      <c r="AQ1127" s="64" t="str">
        <f>INDEX(Records!$B$2:$AG$33, MATCH(Table1[[#This Row],[HomeTeam]],Records!$A$2:$A$33, 0), MATCH(Table1[[#This Row],[AwayTeam]],Records!$A$2:$A$33, 0))</f>
        <v>0-0-0</v>
      </c>
    </row>
    <row r="1128" spans="1:43" x14ac:dyDescent="0.25">
      <c r="A1128" s="1"/>
      <c r="D1128" t="s">
        <v>1465</v>
      </c>
      <c r="E1128" t="s">
        <v>162</v>
      </c>
      <c r="F1128" t="s">
        <v>1473</v>
      </c>
      <c r="G1128" t="s">
        <v>47</v>
      </c>
      <c r="H1128" t="s">
        <v>52</v>
      </c>
      <c r="L112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2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28" s="1"/>
      <c r="T1128" s="64" t="str">
        <f>IF(Table1[[#This Row],[ActualWinner]]="", "", IF(Table1[[#This Row],[AwayTeam]]=Table1[[#This Row],[ActualWinner]],Table1[[#This Row],[HomeTeam]],Table1[[#This Row],[AwayTeam]]))</f>
        <v/>
      </c>
      <c r="U1128" s="64">
        <f>Table1[[#This Row],[ActualAwayScore]]-Table1[[#This Row],[PredictedAwayScore]]</f>
        <v>0</v>
      </c>
      <c r="V1128" s="64">
        <f>Table1[[#This Row],[ActualHomeScore]]-Table1[[#This Row],[PredictedHomeScore]]</f>
        <v>0</v>
      </c>
      <c r="W1128" s="64">
        <f>(0.8*IF(Table1[[#This Row],[CorrectWinnerPrediction]]=1, 1, 0))+(0.1*IF(Table1[[#This Row],[CorrectAwayScorePrediction]]=1, 1, 0))+(0.1*IF(Table1[[#This Row],[CorrectHomeScorePrediction]]=1, 1, 0))</f>
        <v>0</v>
      </c>
      <c r="X112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28" s="64">
        <f>SUMIF(Table1[GameDate], Table1[[#This Row],[GameDate]], Table1[AwayGameGoalDiff])</f>
        <v>0</v>
      </c>
      <c r="AA1128" s="64">
        <f>SUMIF(Table1[GameDate], Table1[[#This Row],[GameDate]], Table1[HomeGameGoalDiff])</f>
        <v>0</v>
      </c>
      <c r="AB1128" s="64">
        <f>IF(ISBLANK(Table1[[#This Row],[ActualResult]]), 0, 1)</f>
        <v>0</v>
      </c>
      <c r="AC1128" s="64">
        <f>IF(ISBLANK(Table1[[#This Row],[ActualResult]]), 0, IF(Table1[[#This Row],[ActualWinner]]=Table1[[#This Row],[PredictedWinner]], 1, 0))</f>
        <v>0</v>
      </c>
      <c r="AD112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2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28" s="64">
        <f>IF(AND(Table1[[#This Row],[GameIsOver]]=1,Table1[[#This Row],[ActualAwayScore]]=0), 1,0)</f>
        <v>0</v>
      </c>
      <c r="AG1128" s="64">
        <f>IF(AND(Table1[[#This Row],[GameIsOver]]=1,Table1[[#This Row],[ActualHomeScore]]=0), 1,0)</f>
        <v>0</v>
      </c>
      <c r="AH1128" s="64">
        <f>IF(Table1[[#This Row],[GameIsOver]]=0,0,IF(Table1[[#This Row],[ActualWinner]]=Table1[[#This Row],[AwayTeam]], 1, 0))</f>
        <v>0</v>
      </c>
      <c r="AI1128" s="64">
        <f>IF(Table1[[#This Row],[GameIsOver]]=0,0,IF(Table1[[#This Row],[ActualWinner]]=Table1[[#This Row],[HomeTeam]], 1, 0))</f>
        <v>0</v>
      </c>
      <c r="AJ1128" s="64">
        <f>IF(INDEX(Standings!$A$2:$C$33,MATCH(Table1[[#This Row],[AwayTeam]],Standings!$A$2:$A$33,0),2)=INDEX(Standings!$A$2:$C$33,MATCH(Table1[[#This Row],[HomeTeam]],Standings!$A$2:$A$33,0),2),1,0)</f>
        <v>1</v>
      </c>
      <c r="AK1128" s="64">
        <f>IF(INDEX(Standings!$A$2:$C$33,MATCH(Table1[[#This Row],[AwayTeam]],Standings!$A$2:$A$33,0),3)=INDEX(Standings!$A$2:$C$33,MATCH(Table1[[#This Row],[HomeTeam]],Standings!$A$2:$A$33,0),3),1,0)</f>
        <v>1</v>
      </c>
      <c r="AL1128" s="64">
        <f>IF(Table1[[#This Row],[InterConf]]=1,IF(Table1[[#This Row],[InterDiv]]=0, 1, 0), 0)</f>
        <v>0</v>
      </c>
      <c r="AM1128" s="64">
        <f>IF(INDEX(Standings!$A$2:$C$33,MATCH(Table1[[#This Row],[AwayTeam]],Standings!$A$2:$A$33,0),2)&lt;&gt;INDEX(Standings!$A$2:$C$33,MATCH(Table1[[#This Row],[HomeTeam]],Standings!$A$2:$A$33,0),2),1,0)</f>
        <v>0</v>
      </c>
      <c r="AN1128" s="64" t="str">
        <f>INDEX(Table2[AWAY_RECORD], MATCH(Table1[[#This Row],[AwayTeam]],Table2[Team], 0), 0)</f>
        <v>1-0-0</v>
      </c>
      <c r="AO1128" s="64" t="str">
        <f>INDEX(Records!$B$2:$AG$33, MATCH(Table1[[#This Row],[AwayTeam]],Records!$A$2:$A$33, 0), MATCH(Table1[[#This Row],[HomeTeam]],Records!$A$2:$A$33, 0))</f>
        <v>0-0-0</v>
      </c>
      <c r="AP1128" s="64" t="str">
        <f>INDEX(Table2[HOME_RECORD], MATCH(Table1[[#This Row],[HomeTeam]],Table2[Team], 0), 0)</f>
        <v>0-0-0</v>
      </c>
      <c r="AQ1128" s="64" t="str">
        <f>INDEX(Records!$B$2:$AG$33, MATCH(Table1[[#This Row],[HomeTeam]],Records!$A$2:$A$33, 0), MATCH(Table1[[#This Row],[AwayTeam]],Records!$A$2:$A$33, 0))</f>
        <v>0-0-0</v>
      </c>
    </row>
    <row r="1129" spans="1:43" x14ac:dyDescent="0.25">
      <c r="A1129" s="1"/>
      <c r="D1129" t="s">
        <v>1465</v>
      </c>
      <c r="E1129" t="s">
        <v>162</v>
      </c>
      <c r="F1129" t="s">
        <v>1474</v>
      </c>
      <c r="G1129" t="s">
        <v>50</v>
      </c>
      <c r="H1129" t="s">
        <v>57</v>
      </c>
      <c r="L112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2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29" s="1"/>
      <c r="T1129" s="64" t="str">
        <f>IF(Table1[[#This Row],[ActualWinner]]="", "", IF(Table1[[#This Row],[AwayTeam]]=Table1[[#This Row],[ActualWinner]],Table1[[#This Row],[HomeTeam]],Table1[[#This Row],[AwayTeam]]))</f>
        <v/>
      </c>
      <c r="U1129" s="64">
        <f>Table1[[#This Row],[ActualAwayScore]]-Table1[[#This Row],[PredictedAwayScore]]</f>
        <v>0</v>
      </c>
      <c r="V1129" s="64">
        <f>Table1[[#This Row],[ActualHomeScore]]-Table1[[#This Row],[PredictedHomeScore]]</f>
        <v>0</v>
      </c>
      <c r="W1129" s="64">
        <f>(0.8*IF(Table1[[#This Row],[CorrectWinnerPrediction]]=1, 1, 0))+(0.1*IF(Table1[[#This Row],[CorrectAwayScorePrediction]]=1, 1, 0))+(0.1*IF(Table1[[#This Row],[CorrectHomeScorePrediction]]=1, 1, 0))</f>
        <v>0</v>
      </c>
      <c r="X112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29" s="64">
        <f>SUMIF(Table1[GameDate], Table1[[#This Row],[GameDate]], Table1[AwayGameGoalDiff])</f>
        <v>0</v>
      </c>
      <c r="AA1129" s="64">
        <f>SUMIF(Table1[GameDate], Table1[[#This Row],[GameDate]], Table1[HomeGameGoalDiff])</f>
        <v>0</v>
      </c>
      <c r="AB1129" s="64">
        <f>IF(ISBLANK(Table1[[#This Row],[ActualResult]]), 0, 1)</f>
        <v>0</v>
      </c>
      <c r="AC1129" s="64">
        <f>IF(ISBLANK(Table1[[#This Row],[ActualResult]]), 0, IF(Table1[[#This Row],[ActualWinner]]=Table1[[#This Row],[PredictedWinner]], 1, 0))</f>
        <v>0</v>
      </c>
      <c r="AD112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2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29" s="64">
        <f>IF(AND(Table1[[#This Row],[GameIsOver]]=1,Table1[[#This Row],[ActualAwayScore]]=0), 1,0)</f>
        <v>0</v>
      </c>
      <c r="AG1129" s="64">
        <f>IF(AND(Table1[[#This Row],[GameIsOver]]=1,Table1[[#This Row],[ActualHomeScore]]=0), 1,0)</f>
        <v>0</v>
      </c>
      <c r="AH1129" s="64">
        <f>IF(Table1[[#This Row],[GameIsOver]]=0,0,IF(Table1[[#This Row],[ActualWinner]]=Table1[[#This Row],[AwayTeam]], 1, 0))</f>
        <v>0</v>
      </c>
      <c r="AI1129" s="64">
        <f>IF(Table1[[#This Row],[GameIsOver]]=0,0,IF(Table1[[#This Row],[ActualWinner]]=Table1[[#This Row],[HomeTeam]], 1, 0))</f>
        <v>0</v>
      </c>
      <c r="AJ1129" s="64">
        <f>IF(INDEX(Standings!$A$2:$C$33,MATCH(Table1[[#This Row],[AwayTeam]],Standings!$A$2:$A$33,0),2)=INDEX(Standings!$A$2:$C$33,MATCH(Table1[[#This Row],[HomeTeam]],Standings!$A$2:$A$33,0),2),1,0)</f>
        <v>1</v>
      </c>
      <c r="AK1129" s="64">
        <f>IF(INDEX(Standings!$A$2:$C$33,MATCH(Table1[[#This Row],[AwayTeam]],Standings!$A$2:$A$33,0),3)=INDEX(Standings!$A$2:$C$33,MATCH(Table1[[#This Row],[HomeTeam]],Standings!$A$2:$A$33,0),3),1,0)</f>
        <v>0</v>
      </c>
      <c r="AL1129" s="64">
        <f>IF(Table1[[#This Row],[InterConf]]=1,IF(Table1[[#This Row],[InterDiv]]=0, 1, 0), 0)</f>
        <v>1</v>
      </c>
      <c r="AM1129" s="64">
        <f>IF(INDEX(Standings!$A$2:$C$33,MATCH(Table1[[#This Row],[AwayTeam]],Standings!$A$2:$A$33,0),2)&lt;&gt;INDEX(Standings!$A$2:$C$33,MATCH(Table1[[#This Row],[HomeTeam]],Standings!$A$2:$A$33,0),2),1,0)</f>
        <v>0</v>
      </c>
      <c r="AN1129" s="64" t="str">
        <f>INDEX(Table2[AWAY_RECORD], MATCH(Table1[[#This Row],[AwayTeam]],Table2[Team], 0), 0)</f>
        <v>1-0-0</v>
      </c>
      <c r="AO1129" s="64" t="str">
        <f>INDEX(Records!$B$2:$AG$33, MATCH(Table1[[#This Row],[AwayTeam]],Records!$A$2:$A$33, 0), MATCH(Table1[[#This Row],[HomeTeam]],Records!$A$2:$A$33, 0))</f>
        <v>0-0-0</v>
      </c>
      <c r="AP1129" s="64" t="str">
        <f>INDEX(Table2[HOME_RECORD], MATCH(Table1[[#This Row],[HomeTeam]],Table2[Team], 0), 0)</f>
        <v>0-0-0</v>
      </c>
      <c r="AQ1129" s="64" t="str">
        <f>INDEX(Records!$B$2:$AG$33, MATCH(Table1[[#This Row],[HomeTeam]],Records!$A$2:$A$33, 0), MATCH(Table1[[#This Row],[AwayTeam]],Records!$A$2:$A$33, 0))</f>
        <v>0-0-0</v>
      </c>
    </row>
    <row r="1130" spans="1:43" x14ac:dyDescent="0.25">
      <c r="A1130" s="1"/>
      <c r="D1130" t="s">
        <v>1465</v>
      </c>
      <c r="E1130" t="s">
        <v>162</v>
      </c>
      <c r="F1130" t="s">
        <v>1475</v>
      </c>
      <c r="G1130" t="s">
        <v>49</v>
      </c>
      <c r="H1130" t="s">
        <v>40</v>
      </c>
      <c r="L113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3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30" s="1"/>
      <c r="T1130" s="64" t="str">
        <f>IF(Table1[[#This Row],[ActualWinner]]="", "", IF(Table1[[#This Row],[AwayTeam]]=Table1[[#This Row],[ActualWinner]],Table1[[#This Row],[HomeTeam]],Table1[[#This Row],[AwayTeam]]))</f>
        <v/>
      </c>
      <c r="U1130" s="64">
        <f>Table1[[#This Row],[ActualAwayScore]]-Table1[[#This Row],[PredictedAwayScore]]</f>
        <v>0</v>
      </c>
      <c r="V1130" s="64">
        <f>Table1[[#This Row],[ActualHomeScore]]-Table1[[#This Row],[PredictedHomeScore]]</f>
        <v>0</v>
      </c>
      <c r="W1130" s="64">
        <f>(0.8*IF(Table1[[#This Row],[CorrectWinnerPrediction]]=1, 1, 0))+(0.1*IF(Table1[[#This Row],[CorrectAwayScorePrediction]]=1, 1, 0))+(0.1*IF(Table1[[#This Row],[CorrectHomeScorePrediction]]=1, 1, 0))</f>
        <v>0</v>
      </c>
      <c r="X113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30" s="64">
        <f>SUMIF(Table1[GameDate], Table1[[#This Row],[GameDate]], Table1[AwayGameGoalDiff])</f>
        <v>0</v>
      </c>
      <c r="AA1130" s="64">
        <f>SUMIF(Table1[GameDate], Table1[[#This Row],[GameDate]], Table1[HomeGameGoalDiff])</f>
        <v>0</v>
      </c>
      <c r="AB1130" s="64">
        <f>IF(ISBLANK(Table1[[#This Row],[ActualResult]]), 0, 1)</f>
        <v>0</v>
      </c>
      <c r="AC1130" s="64">
        <f>IF(ISBLANK(Table1[[#This Row],[ActualResult]]), 0, IF(Table1[[#This Row],[ActualWinner]]=Table1[[#This Row],[PredictedWinner]], 1, 0))</f>
        <v>0</v>
      </c>
      <c r="AD113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3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30" s="64">
        <f>IF(AND(Table1[[#This Row],[GameIsOver]]=1,Table1[[#This Row],[ActualAwayScore]]=0), 1,0)</f>
        <v>0</v>
      </c>
      <c r="AG1130" s="64">
        <f>IF(AND(Table1[[#This Row],[GameIsOver]]=1,Table1[[#This Row],[ActualHomeScore]]=0), 1,0)</f>
        <v>0</v>
      </c>
      <c r="AH1130" s="64">
        <f>IF(Table1[[#This Row],[GameIsOver]]=0,0,IF(Table1[[#This Row],[ActualWinner]]=Table1[[#This Row],[AwayTeam]], 1, 0))</f>
        <v>0</v>
      </c>
      <c r="AI1130" s="64">
        <f>IF(Table1[[#This Row],[GameIsOver]]=0,0,IF(Table1[[#This Row],[ActualWinner]]=Table1[[#This Row],[HomeTeam]], 1, 0))</f>
        <v>0</v>
      </c>
      <c r="AJ1130" s="64">
        <f>IF(INDEX(Standings!$A$2:$C$33,MATCH(Table1[[#This Row],[AwayTeam]],Standings!$A$2:$A$33,0),2)=INDEX(Standings!$A$2:$C$33,MATCH(Table1[[#This Row],[HomeTeam]],Standings!$A$2:$A$33,0),2),1,0)</f>
        <v>1</v>
      </c>
      <c r="AK1130" s="64">
        <f>IF(INDEX(Standings!$A$2:$C$33,MATCH(Table1[[#This Row],[AwayTeam]],Standings!$A$2:$A$33,0),3)=INDEX(Standings!$A$2:$C$33,MATCH(Table1[[#This Row],[HomeTeam]],Standings!$A$2:$A$33,0),3),1,0)</f>
        <v>1</v>
      </c>
      <c r="AL1130" s="64">
        <f>IF(Table1[[#This Row],[InterConf]]=1,IF(Table1[[#This Row],[InterDiv]]=0, 1, 0), 0)</f>
        <v>0</v>
      </c>
      <c r="AM1130" s="64">
        <f>IF(INDEX(Standings!$A$2:$C$33,MATCH(Table1[[#This Row],[AwayTeam]],Standings!$A$2:$A$33,0),2)&lt;&gt;INDEX(Standings!$A$2:$C$33,MATCH(Table1[[#This Row],[HomeTeam]],Standings!$A$2:$A$33,0),2),1,0)</f>
        <v>0</v>
      </c>
      <c r="AN1130" s="64" t="str">
        <f>INDEX(Table2[AWAY_RECORD], MATCH(Table1[[#This Row],[AwayTeam]],Table2[Team], 0), 0)</f>
        <v>0-0-0</v>
      </c>
      <c r="AO1130" s="64" t="str">
        <f>INDEX(Records!$B$2:$AG$33, MATCH(Table1[[#This Row],[AwayTeam]],Records!$A$2:$A$33, 0), MATCH(Table1[[#This Row],[HomeTeam]],Records!$A$2:$A$33, 0))</f>
        <v>0-0-0</v>
      </c>
      <c r="AP1130" s="64" t="str">
        <f>INDEX(Table2[HOME_RECORD], MATCH(Table1[[#This Row],[HomeTeam]],Table2[Team], 0), 0)</f>
        <v>1-1-0</v>
      </c>
      <c r="AQ1130" s="64" t="str">
        <f>INDEX(Records!$B$2:$AG$33, MATCH(Table1[[#This Row],[HomeTeam]],Records!$A$2:$A$33, 0), MATCH(Table1[[#This Row],[AwayTeam]],Records!$A$2:$A$33, 0))</f>
        <v>0-0-0</v>
      </c>
    </row>
    <row r="1131" spans="1:43" x14ac:dyDescent="0.25">
      <c r="A1131" s="1"/>
      <c r="D1131" t="s">
        <v>1465</v>
      </c>
      <c r="E1131" t="s">
        <v>162</v>
      </c>
      <c r="F1131" t="s">
        <v>1476</v>
      </c>
      <c r="G1131" t="s">
        <v>55</v>
      </c>
      <c r="H1131" t="s">
        <v>42</v>
      </c>
      <c r="L113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3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31" s="1"/>
      <c r="T1131" s="64" t="str">
        <f>IF(Table1[[#This Row],[ActualWinner]]="", "", IF(Table1[[#This Row],[AwayTeam]]=Table1[[#This Row],[ActualWinner]],Table1[[#This Row],[HomeTeam]],Table1[[#This Row],[AwayTeam]]))</f>
        <v/>
      </c>
      <c r="U1131" s="64">
        <f>Table1[[#This Row],[ActualAwayScore]]-Table1[[#This Row],[PredictedAwayScore]]</f>
        <v>0</v>
      </c>
      <c r="V1131" s="64">
        <f>Table1[[#This Row],[ActualHomeScore]]-Table1[[#This Row],[PredictedHomeScore]]</f>
        <v>0</v>
      </c>
      <c r="W1131" s="64">
        <f>(0.8*IF(Table1[[#This Row],[CorrectWinnerPrediction]]=1, 1, 0))+(0.1*IF(Table1[[#This Row],[CorrectAwayScorePrediction]]=1, 1, 0))+(0.1*IF(Table1[[#This Row],[CorrectHomeScorePrediction]]=1, 1, 0))</f>
        <v>0</v>
      </c>
      <c r="X113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31" s="64">
        <f>SUMIF(Table1[GameDate], Table1[[#This Row],[GameDate]], Table1[AwayGameGoalDiff])</f>
        <v>0</v>
      </c>
      <c r="AA1131" s="64">
        <f>SUMIF(Table1[GameDate], Table1[[#This Row],[GameDate]], Table1[HomeGameGoalDiff])</f>
        <v>0</v>
      </c>
      <c r="AB1131" s="64">
        <f>IF(ISBLANK(Table1[[#This Row],[ActualResult]]), 0, 1)</f>
        <v>0</v>
      </c>
      <c r="AC1131" s="64">
        <f>IF(ISBLANK(Table1[[#This Row],[ActualResult]]), 0, IF(Table1[[#This Row],[ActualWinner]]=Table1[[#This Row],[PredictedWinner]], 1, 0))</f>
        <v>0</v>
      </c>
      <c r="AD113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3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31" s="64">
        <f>IF(AND(Table1[[#This Row],[GameIsOver]]=1,Table1[[#This Row],[ActualAwayScore]]=0), 1,0)</f>
        <v>0</v>
      </c>
      <c r="AG1131" s="64">
        <f>IF(AND(Table1[[#This Row],[GameIsOver]]=1,Table1[[#This Row],[ActualHomeScore]]=0), 1,0)</f>
        <v>0</v>
      </c>
      <c r="AH1131" s="64">
        <f>IF(Table1[[#This Row],[GameIsOver]]=0,0,IF(Table1[[#This Row],[ActualWinner]]=Table1[[#This Row],[AwayTeam]], 1, 0))</f>
        <v>0</v>
      </c>
      <c r="AI1131" s="64">
        <f>IF(Table1[[#This Row],[GameIsOver]]=0,0,IF(Table1[[#This Row],[ActualWinner]]=Table1[[#This Row],[HomeTeam]], 1, 0))</f>
        <v>0</v>
      </c>
      <c r="AJ1131" s="64">
        <f>IF(INDEX(Standings!$A$2:$C$33,MATCH(Table1[[#This Row],[AwayTeam]],Standings!$A$2:$A$33,0),2)=INDEX(Standings!$A$2:$C$33,MATCH(Table1[[#This Row],[HomeTeam]],Standings!$A$2:$A$33,0),2),1,0)</f>
        <v>0</v>
      </c>
      <c r="AK1131" s="64">
        <f>IF(INDEX(Standings!$A$2:$C$33,MATCH(Table1[[#This Row],[AwayTeam]],Standings!$A$2:$A$33,0),3)=INDEX(Standings!$A$2:$C$33,MATCH(Table1[[#This Row],[HomeTeam]],Standings!$A$2:$A$33,0),3),1,0)</f>
        <v>0</v>
      </c>
      <c r="AL1131" s="64">
        <f>IF(Table1[[#This Row],[InterConf]]=1,IF(Table1[[#This Row],[InterDiv]]=0, 1, 0), 0)</f>
        <v>0</v>
      </c>
      <c r="AM1131" s="64">
        <f>IF(INDEX(Standings!$A$2:$C$33,MATCH(Table1[[#This Row],[AwayTeam]],Standings!$A$2:$A$33,0),2)&lt;&gt;INDEX(Standings!$A$2:$C$33,MATCH(Table1[[#This Row],[HomeTeam]],Standings!$A$2:$A$33,0),2),1,0)</f>
        <v>1</v>
      </c>
      <c r="AN1131" s="64" t="str">
        <f>INDEX(Table2[AWAY_RECORD], MATCH(Table1[[#This Row],[AwayTeam]],Table2[Team], 0), 0)</f>
        <v>0-0-0</v>
      </c>
      <c r="AO1131" s="64" t="str">
        <f>INDEX(Records!$B$2:$AG$33, MATCH(Table1[[#This Row],[AwayTeam]],Records!$A$2:$A$33, 0), MATCH(Table1[[#This Row],[HomeTeam]],Records!$A$2:$A$33, 0))</f>
        <v>0-0-0</v>
      </c>
      <c r="AP1131" s="64" t="str">
        <f>INDEX(Table2[HOME_RECORD], MATCH(Table1[[#This Row],[HomeTeam]],Table2[Team], 0), 0)</f>
        <v>1-0-0</v>
      </c>
      <c r="AQ1131" s="64" t="str">
        <f>INDEX(Records!$B$2:$AG$33, MATCH(Table1[[#This Row],[HomeTeam]],Records!$A$2:$A$33, 0), MATCH(Table1[[#This Row],[AwayTeam]],Records!$A$2:$A$33, 0))</f>
        <v>0-0-0</v>
      </c>
    </row>
    <row r="1132" spans="1:43" x14ac:dyDescent="0.25">
      <c r="A1132" s="1"/>
      <c r="D1132" t="s">
        <v>1465</v>
      </c>
      <c r="E1132" t="s">
        <v>164</v>
      </c>
      <c r="F1132" t="s">
        <v>1477</v>
      </c>
      <c r="G1132" t="s">
        <v>43</v>
      </c>
      <c r="H1132" t="s">
        <v>46</v>
      </c>
      <c r="L113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3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32" s="1"/>
      <c r="T1132" s="64" t="str">
        <f>IF(Table1[[#This Row],[ActualWinner]]="", "", IF(Table1[[#This Row],[AwayTeam]]=Table1[[#This Row],[ActualWinner]],Table1[[#This Row],[HomeTeam]],Table1[[#This Row],[AwayTeam]]))</f>
        <v/>
      </c>
      <c r="U1132" s="64">
        <f>Table1[[#This Row],[ActualAwayScore]]-Table1[[#This Row],[PredictedAwayScore]]</f>
        <v>0</v>
      </c>
      <c r="V1132" s="64">
        <f>Table1[[#This Row],[ActualHomeScore]]-Table1[[#This Row],[PredictedHomeScore]]</f>
        <v>0</v>
      </c>
      <c r="W1132" s="64">
        <f>(0.8*IF(Table1[[#This Row],[CorrectWinnerPrediction]]=1, 1, 0))+(0.1*IF(Table1[[#This Row],[CorrectAwayScorePrediction]]=1, 1, 0))+(0.1*IF(Table1[[#This Row],[CorrectHomeScorePrediction]]=1, 1, 0))</f>
        <v>0</v>
      </c>
      <c r="X113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32" s="64">
        <f>SUMIF(Table1[GameDate], Table1[[#This Row],[GameDate]], Table1[AwayGameGoalDiff])</f>
        <v>0</v>
      </c>
      <c r="AA1132" s="64">
        <f>SUMIF(Table1[GameDate], Table1[[#This Row],[GameDate]], Table1[HomeGameGoalDiff])</f>
        <v>0</v>
      </c>
      <c r="AB1132" s="64">
        <f>IF(ISBLANK(Table1[[#This Row],[ActualResult]]), 0, 1)</f>
        <v>0</v>
      </c>
      <c r="AC1132" s="64">
        <f>IF(ISBLANK(Table1[[#This Row],[ActualResult]]), 0, IF(Table1[[#This Row],[ActualWinner]]=Table1[[#This Row],[PredictedWinner]], 1, 0))</f>
        <v>0</v>
      </c>
      <c r="AD113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3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32" s="64">
        <f>IF(AND(Table1[[#This Row],[GameIsOver]]=1,Table1[[#This Row],[ActualAwayScore]]=0), 1,0)</f>
        <v>0</v>
      </c>
      <c r="AG1132" s="64">
        <f>IF(AND(Table1[[#This Row],[GameIsOver]]=1,Table1[[#This Row],[ActualHomeScore]]=0), 1,0)</f>
        <v>0</v>
      </c>
      <c r="AH1132" s="64">
        <f>IF(Table1[[#This Row],[GameIsOver]]=0,0,IF(Table1[[#This Row],[ActualWinner]]=Table1[[#This Row],[AwayTeam]], 1, 0))</f>
        <v>0</v>
      </c>
      <c r="AI1132" s="64">
        <f>IF(Table1[[#This Row],[GameIsOver]]=0,0,IF(Table1[[#This Row],[ActualWinner]]=Table1[[#This Row],[HomeTeam]], 1, 0))</f>
        <v>0</v>
      </c>
      <c r="AJ1132" s="64">
        <f>IF(INDEX(Standings!$A$2:$C$33,MATCH(Table1[[#This Row],[AwayTeam]],Standings!$A$2:$A$33,0),2)=INDEX(Standings!$A$2:$C$33,MATCH(Table1[[#This Row],[HomeTeam]],Standings!$A$2:$A$33,0),2),1,0)</f>
        <v>1</v>
      </c>
      <c r="AK1132" s="64">
        <f>IF(INDEX(Standings!$A$2:$C$33,MATCH(Table1[[#This Row],[AwayTeam]],Standings!$A$2:$A$33,0),3)=INDEX(Standings!$A$2:$C$33,MATCH(Table1[[#This Row],[HomeTeam]],Standings!$A$2:$A$33,0),3),1,0)</f>
        <v>0</v>
      </c>
      <c r="AL1132" s="64">
        <f>IF(Table1[[#This Row],[InterConf]]=1,IF(Table1[[#This Row],[InterDiv]]=0, 1, 0), 0)</f>
        <v>1</v>
      </c>
      <c r="AM1132" s="64">
        <f>IF(INDEX(Standings!$A$2:$C$33,MATCH(Table1[[#This Row],[AwayTeam]],Standings!$A$2:$A$33,0),2)&lt;&gt;INDEX(Standings!$A$2:$C$33,MATCH(Table1[[#This Row],[HomeTeam]],Standings!$A$2:$A$33,0),2),1,0)</f>
        <v>0</v>
      </c>
      <c r="AN1132" s="64" t="str">
        <f>INDEX(Table2[AWAY_RECORD], MATCH(Table1[[#This Row],[AwayTeam]],Table2[Team], 0), 0)</f>
        <v>0-0-0</v>
      </c>
      <c r="AO1132" s="64" t="str">
        <f>INDEX(Records!$B$2:$AG$33, MATCH(Table1[[#This Row],[AwayTeam]],Records!$A$2:$A$33, 0), MATCH(Table1[[#This Row],[HomeTeam]],Records!$A$2:$A$33, 0))</f>
        <v>0-0-0</v>
      </c>
      <c r="AP1132" s="64" t="str">
        <f>INDEX(Table2[HOME_RECORD], MATCH(Table1[[#This Row],[HomeTeam]],Table2[Team], 0), 0)</f>
        <v>0-0-0</v>
      </c>
      <c r="AQ1132" s="64" t="str">
        <f>INDEX(Records!$B$2:$AG$33, MATCH(Table1[[#This Row],[HomeTeam]],Records!$A$2:$A$33, 0), MATCH(Table1[[#This Row],[AwayTeam]],Records!$A$2:$A$33, 0))</f>
        <v>0-0-0</v>
      </c>
    </row>
    <row r="1133" spans="1:43" x14ac:dyDescent="0.25">
      <c r="A1133" s="1"/>
      <c r="D1133" t="s">
        <v>1478</v>
      </c>
      <c r="E1133" t="s">
        <v>298</v>
      </c>
      <c r="F1133" t="s">
        <v>1479</v>
      </c>
      <c r="G1133" t="s">
        <v>51</v>
      </c>
      <c r="H1133" t="s">
        <v>25</v>
      </c>
      <c r="L113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3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33" s="1"/>
      <c r="T1133" s="64" t="str">
        <f>IF(Table1[[#This Row],[ActualWinner]]="", "", IF(Table1[[#This Row],[AwayTeam]]=Table1[[#This Row],[ActualWinner]],Table1[[#This Row],[HomeTeam]],Table1[[#This Row],[AwayTeam]]))</f>
        <v/>
      </c>
      <c r="U1133" s="64">
        <f>Table1[[#This Row],[ActualAwayScore]]-Table1[[#This Row],[PredictedAwayScore]]</f>
        <v>0</v>
      </c>
      <c r="V1133" s="64">
        <f>Table1[[#This Row],[ActualHomeScore]]-Table1[[#This Row],[PredictedHomeScore]]</f>
        <v>0</v>
      </c>
      <c r="W1133" s="64">
        <f>(0.8*IF(Table1[[#This Row],[CorrectWinnerPrediction]]=1, 1, 0))+(0.1*IF(Table1[[#This Row],[CorrectAwayScorePrediction]]=1, 1, 0))+(0.1*IF(Table1[[#This Row],[CorrectHomeScorePrediction]]=1, 1, 0))</f>
        <v>0</v>
      </c>
      <c r="X113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33" s="64">
        <f>SUMIF(Table1[GameDate], Table1[[#This Row],[GameDate]], Table1[AwayGameGoalDiff])</f>
        <v>0</v>
      </c>
      <c r="AA1133" s="64">
        <f>SUMIF(Table1[GameDate], Table1[[#This Row],[GameDate]], Table1[HomeGameGoalDiff])</f>
        <v>0</v>
      </c>
      <c r="AB1133" s="64">
        <f>IF(ISBLANK(Table1[[#This Row],[ActualResult]]), 0, 1)</f>
        <v>0</v>
      </c>
      <c r="AC1133" s="64">
        <f>IF(ISBLANK(Table1[[#This Row],[ActualResult]]), 0, IF(Table1[[#This Row],[ActualWinner]]=Table1[[#This Row],[PredictedWinner]], 1, 0))</f>
        <v>0</v>
      </c>
      <c r="AD113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3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33" s="64">
        <f>IF(AND(Table1[[#This Row],[GameIsOver]]=1,Table1[[#This Row],[ActualAwayScore]]=0), 1,0)</f>
        <v>0</v>
      </c>
      <c r="AG1133" s="64">
        <f>IF(AND(Table1[[#This Row],[GameIsOver]]=1,Table1[[#This Row],[ActualHomeScore]]=0), 1,0)</f>
        <v>0</v>
      </c>
      <c r="AH1133" s="64">
        <f>IF(Table1[[#This Row],[GameIsOver]]=0,0,IF(Table1[[#This Row],[ActualWinner]]=Table1[[#This Row],[AwayTeam]], 1, 0))</f>
        <v>0</v>
      </c>
      <c r="AI1133" s="64">
        <f>IF(Table1[[#This Row],[GameIsOver]]=0,0,IF(Table1[[#This Row],[ActualWinner]]=Table1[[#This Row],[HomeTeam]], 1, 0))</f>
        <v>0</v>
      </c>
      <c r="AJ1133" s="64">
        <f>IF(INDEX(Standings!$A$2:$C$33,MATCH(Table1[[#This Row],[AwayTeam]],Standings!$A$2:$A$33,0),2)=INDEX(Standings!$A$2:$C$33,MATCH(Table1[[#This Row],[HomeTeam]],Standings!$A$2:$A$33,0),2),1,0)</f>
        <v>0</v>
      </c>
      <c r="AK1133" s="64">
        <f>IF(INDEX(Standings!$A$2:$C$33,MATCH(Table1[[#This Row],[AwayTeam]],Standings!$A$2:$A$33,0),3)=INDEX(Standings!$A$2:$C$33,MATCH(Table1[[#This Row],[HomeTeam]],Standings!$A$2:$A$33,0),3),1,0)</f>
        <v>0</v>
      </c>
      <c r="AL1133" s="64">
        <f>IF(Table1[[#This Row],[InterConf]]=1,IF(Table1[[#This Row],[InterDiv]]=0, 1, 0), 0)</f>
        <v>0</v>
      </c>
      <c r="AM1133" s="64">
        <f>IF(INDEX(Standings!$A$2:$C$33,MATCH(Table1[[#This Row],[AwayTeam]],Standings!$A$2:$A$33,0),2)&lt;&gt;INDEX(Standings!$A$2:$C$33,MATCH(Table1[[#This Row],[HomeTeam]],Standings!$A$2:$A$33,0),2),1,0)</f>
        <v>1</v>
      </c>
      <c r="AN1133" s="64" t="str">
        <f>INDEX(Table2[AWAY_RECORD], MATCH(Table1[[#This Row],[AwayTeam]],Table2[Team], 0), 0)</f>
        <v>2-0-0</v>
      </c>
      <c r="AO1133" s="64" t="str">
        <f>INDEX(Records!$B$2:$AG$33, MATCH(Table1[[#This Row],[AwayTeam]],Records!$A$2:$A$33, 0), MATCH(Table1[[#This Row],[HomeTeam]],Records!$A$2:$A$33, 0))</f>
        <v>0-0-0</v>
      </c>
      <c r="AP1133" s="64" t="str">
        <f>INDEX(Table2[HOME_RECORD], MATCH(Table1[[#This Row],[HomeTeam]],Table2[Team], 0), 0)</f>
        <v>0-0-1</v>
      </c>
      <c r="AQ1133" s="64" t="str">
        <f>INDEX(Records!$B$2:$AG$33, MATCH(Table1[[#This Row],[HomeTeam]],Records!$A$2:$A$33, 0), MATCH(Table1[[#This Row],[AwayTeam]],Records!$A$2:$A$33, 0))</f>
        <v>0-0-0</v>
      </c>
    </row>
    <row r="1134" spans="1:43" x14ac:dyDescent="0.25">
      <c r="A1134" s="1"/>
      <c r="D1134" t="s">
        <v>1478</v>
      </c>
      <c r="E1134" t="s">
        <v>298</v>
      </c>
      <c r="F1134" t="s">
        <v>1480</v>
      </c>
      <c r="G1134" t="s">
        <v>45</v>
      </c>
      <c r="H1134" t="s">
        <v>56</v>
      </c>
      <c r="L113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3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34" s="1"/>
      <c r="T1134" s="64" t="str">
        <f>IF(Table1[[#This Row],[ActualWinner]]="", "", IF(Table1[[#This Row],[AwayTeam]]=Table1[[#This Row],[ActualWinner]],Table1[[#This Row],[HomeTeam]],Table1[[#This Row],[AwayTeam]]))</f>
        <v/>
      </c>
      <c r="U1134" s="64">
        <f>Table1[[#This Row],[ActualAwayScore]]-Table1[[#This Row],[PredictedAwayScore]]</f>
        <v>0</v>
      </c>
      <c r="V1134" s="64">
        <f>Table1[[#This Row],[ActualHomeScore]]-Table1[[#This Row],[PredictedHomeScore]]</f>
        <v>0</v>
      </c>
      <c r="W1134" s="64">
        <f>(0.8*IF(Table1[[#This Row],[CorrectWinnerPrediction]]=1, 1, 0))+(0.1*IF(Table1[[#This Row],[CorrectAwayScorePrediction]]=1, 1, 0))+(0.1*IF(Table1[[#This Row],[CorrectHomeScorePrediction]]=1, 1, 0))</f>
        <v>0</v>
      </c>
      <c r="X113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34" s="64">
        <f>SUMIF(Table1[GameDate], Table1[[#This Row],[GameDate]], Table1[AwayGameGoalDiff])</f>
        <v>0</v>
      </c>
      <c r="AA1134" s="64">
        <f>SUMIF(Table1[GameDate], Table1[[#This Row],[GameDate]], Table1[HomeGameGoalDiff])</f>
        <v>0</v>
      </c>
      <c r="AB1134" s="64">
        <f>IF(ISBLANK(Table1[[#This Row],[ActualResult]]), 0, 1)</f>
        <v>0</v>
      </c>
      <c r="AC1134" s="64">
        <f>IF(ISBLANK(Table1[[#This Row],[ActualResult]]), 0, IF(Table1[[#This Row],[ActualWinner]]=Table1[[#This Row],[PredictedWinner]], 1, 0))</f>
        <v>0</v>
      </c>
      <c r="AD113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3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34" s="64">
        <f>IF(AND(Table1[[#This Row],[GameIsOver]]=1,Table1[[#This Row],[ActualAwayScore]]=0), 1,0)</f>
        <v>0</v>
      </c>
      <c r="AG1134" s="64">
        <f>IF(AND(Table1[[#This Row],[GameIsOver]]=1,Table1[[#This Row],[ActualHomeScore]]=0), 1,0)</f>
        <v>0</v>
      </c>
      <c r="AH1134" s="64">
        <f>IF(Table1[[#This Row],[GameIsOver]]=0,0,IF(Table1[[#This Row],[ActualWinner]]=Table1[[#This Row],[AwayTeam]], 1, 0))</f>
        <v>0</v>
      </c>
      <c r="AI1134" s="64">
        <f>IF(Table1[[#This Row],[GameIsOver]]=0,0,IF(Table1[[#This Row],[ActualWinner]]=Table1[[#This Row],[HomeTeam]], 1, 0))</f>
        <v>0</v>
      </c>
      <c r="AJ1134" s="64">
        <f>IF(INDEX(Standings!$A$2:$C$33,MATCH(Table1[[#This Row],[AwayTeam]],Standings!$A$2:$A$33,0),2)=INDEX(Standings!$A$2:$C$33,MATCH(Table1[[#This Row],[HomeTeam]],Standings!$A$2:$A$33,0),2),1,0)</f>
        <v>1</v>
      </c>
      <c r="AK1134" s="64">
        <f>IF(INDEX(Standings!$A$2:$C$33,MATCH(Table1[[#This Row],[AwayTeam]],Standings!$A$2:$A$33,0),3)=INDEX(Standings!$A$2:$C$33,MATCH(Table1[[#This Row],[HomeTeam]],Standings!$A$2:$A$33,0),3),1,0)</f>
        <v>1</v>
      </c>
      <c r="AL1134" s="64">
        <f>IF(Table1[[#This Row],[InterConf]]=1,IF(Table1[[#This Row],[InterDiv]]=0, 1, 0), 0)</f>
        <v>0</v>
      </c>
      <c r="AM1134" s="64">
        <f>IF(INDEX(Standings!$A$2:$C$33,MATCH(Table1[[#This Row],[AwayTeam]],Standings!$A$2:$A$33,0),2)&lt;&gt;INDEX(Standings!$A$2:$C$33,MATCH(Table1[[#This Row],[HomeTeam]],Standings!$A$2:$A$33,0),2),1,0)</f>
        <v>0</v>
      </c>
      <c r="AN1134" s="64" t="str">
        <f>INDEX(Table2[AWAY_RECORD], MATCH(Table1[[#This Row],[AwayTeam]],Table2[Team], 0), 0)</f>
        <v>1-0-0</v>
      </c>
      <c r="AO1134" s="64" t="str">
        <f>INDEX(Records!$B$2:$AG$33, MATCH(Table1[[#This Row],[AwayTeam]],Records!$A$2:$A$33, 0), MATCH(Table1[[#This Row],[HomeTeam]],Records!$A$2:$A$33, 0))</f>
        <v>0-0-0</v>
      </c>
      <c r="AP1134" s="64" t="str">
        <f>INDEX(Table2[HOME_RECORD], MATCH(Table1[[#This Row],[HomeTeam]],Table2[Team], 0), 0)</f>
        <v>0-0-0</v>
      </c>
      <c r="AQ1134" s="64" t="str">
        <f>INDEX(Records!$B$2:$AG$33, MATCH(Table1[[#This Row],[HomeTeam]],Records!$A$2:$A$33, 0), MATCH(Table1[[#This Row],[AwayTeam]],Records!$A$2:$A$33, 0))</f>
        <v>0-0-0</v>
      </c>
    </row>
    <row r="1135" spans="1:43" x14ac:dyDescent="0.25">
      <c r="A1135" s="1"/>
      <c r="D1135" t="s">
        <v>1478</v>
      </c>
      <c r="E1135" t="s">
        <v>432</v>
      </c>
      <c r="F1135" t="s">
        <v>1481</v>
      </c>
      <c r="G1135" t="s">
        <v>44</v>
      </c>
      <c r="H1135" t="s">
        <v>54</v>
      </c>
      <c r="L113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3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35" s="1"/>
      <c r="T1135" s="64" t="str">
        <f>IF(Table1[[#This Row],[ActualWinner]]="", "", IF(Table1[[#This Row],[AwayTeam]]=Table1[[#This Row],[ActualWinner]],Table1[[#This Row],[HomeTeam]],Table1[[#This Row],[AwayTeam]]))</f>
        <v/>
      </c>
      <c r="U1135" s="64">
        <f>Table1[[#This Row],[ActualAwayScore]]-Table1[[#This Row],[PredictedAwayScore]]</f>
        <v>0</v>
      </c>
      <c r="V1135" s="64">
        <f>Table1[[#This Row],[ActualHomeScore]]-Table1[[#This Row],[PredictedHomeScore]]</f>
        <v>0</v>
      </c>
      <c r="W1135" s="64">
        <f>(0.8*IF(Table1[[#This Row],[CorrectWinnerPrediction]]=1, 1, 0))+(0.1*IF(Table1[[#This Row],[CorrectAwayScorePrediction]]=1, 1, 0))+(0.1*IF(Table1[[#This Row],[CorrectHomeScorePrediction]]=1, 1, 0))</f>
        <v>0</v>
      </c>
      <c r="X113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35" s="64">
        <f>SUMIF(Table1[GameDate], Table1[[#This Row],[GameDate]], Table1[AwayGameGoalDiff])</f>
        <v>0</v>
      </c>
      <c r="AA1135" s="64">
        <f>SUMIF(Table1[GameDate], Table1[[#This Row],[GameDate]], Table1[HomeGameGoalDiff])</f>
        <v>0</v>
      </c>
      <c r="AB1135" s="64">
        <f>IF(ISBLANK(Table1[[#This Row],[ActualResult]]), 0, 1)</f>
        <v>0</v>
      </c>
      <c r="AC1135" s="64">
        <f>IF(ISBLANK(Table1[[#This Row],[ActualResult]]), 0, IF(Table1[[#This Row],[ActualWinner]]=Table1[[#This Row],[PredictedWinner]], 1, 0))</f>
        <v>0</v>
      </c>
      <c r="AD113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3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35" s="64">
        <f>IF(AND(Table1[[#This Row],[GameIsOver]]=1,Table1[[#This Row],[ActualAwayScore]]=0), 1,0)</f>
        <v>0</v>
      </c>
      <c r="AG1135" s="64">
        <f>IF(AND(Table1[[#This Row],[GameIsOver]]=1,Table1[[#This Row],[ActualHomeScore]]=0), 1,0)</f>
        <v>0</v>
      </c>
      <c r="AH1135" s="64">
        <f>IF(Table1[[#This Row],[GameIsOver]]=0,0,IF(Table1[[#This Row],[ActualWinner]]=Table1[[#This Row],[AwayTeam]], 1, 0))</f>
        <v>0</v>
      </c>
      <c r="AI1135" s="64">
        <f>IF(Table1[[#This Row],[GameIsOver]]=0,0,IF(Table1[[#This Row],[ActualWinner]]=Table1[[#This Row],[HomeTeam]], 1, 0))</f>
        <v>0</v>
      </c>
      <c r="AJ1135" s="64">
        <f>IF(INDEX(Standings!$A$2:$C$33,MATCH(Table1[[#This Row],[AwayTeam]],Standings!$A$2:$A$33,0),2)=INDEX(Standings!$A$2:$C$33,MATCH(Table1[[#This Row],[HomeTeam]],Standings!$A$2:$A$33,0),2),1,0)</f>
        <v>1</v>
      </c>
      <c r="AK1135" s="64">
        <f>IF(INDEX(Standings!$A$2:$C$33,MATCH(Table1[[#This Row],[AwayTeam]],Standings!$A$2:$A$33,0),3)=INDEX(Standings!$A$2:$C$33,MATCH(Table1[[#This Row],[HomeTeam]],Standings!$A$2:$A$33,0),3),1,0)</f>
        <v>0</v>
      </c>
      <c r="AL1135" s="64">
        <f>IF(Table1[[#This Row],[InterConf]]=1,IF(Table1[[#This Row],[InterDiv]]=0, 1, 0), 0)</f>
        <v>1</v>
      </c>
      <c r="AM1135" s="64">
        <f>IF(INDEX(Standings!$A$2:$C$33,MATCH(Table1[[#This Row],[AwayTeam]],Standings!$A$2:$A$33,0),2)&lt;&gt;INDEX(Standings!$A$2:$C$33,MATCH(Table1[[#This Row],[HomeTeam]],Standings!$A$2:$A$33,0),2),1,0)</f>
        <v>0</v>
      </c>
      <c r="AN1135" s="64" t="str">
        <f>INDEX(Table2[AWAY_RECORD], MATCH(Table1[[#This Row],[AwayTeam]],Table2[Team], 0), 0)</f>
        <v>0-0-0</v>
      </c>
      <c r="AO1135" s="64" t="str">
        <f>INDEX(Records!$B$2:$AG$33, MATCH(Table1[[#This Row],[AwayTeam]],Records!$A$2:$A$33, 0), MATCH(Table1[[#This Row],[HomeTeam]],Records!$A$2:$A$33, 0))</f>
        <v>0-0-0</v>
      </c>
      <c r="AP1135" s="64" t="str">
        <f>INDEX(Table2[HOME_RECORD], MATCH(Table1[[#This Row],[HomeTeam]],Table2[Team], 0), 0)</f>
        <v>0-0-0</v>
      </c>
      <c r="AQ1135" s="64" t="str">
        <f>INDEX(Records!$B$2:$AG$33, MATCH(Table1[[#This Row],[HomeTeam]],Records!$A$2:$A$33, 0), MATCH(Table1[[#This Row],[AwayTeam]],Records!$A$2:$A$33, 0))</f>
        <v>0-0-0</v>
      </c>
    </row>
    <row r="1136" spans="1:43" x14ac:dyDescent="0.25">
      <c r="A1136" s="1"/>
      <c r="D1136" t="s">
        <v>1478</v>
      </c>
      <c r="E1136" t="s">
        <v>443</v>
      </c>
      <c r="F1136" t="s">
        <v>1482</v>
      </c>
      <c r="G1136" t="s">
        <v>36</v>
      </c>
      <c r="H1136" t="s">
        <v>16</v>
      </c>
      <c r="L113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3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36" s="1"/>
      <c r="T1136" s="64" t="str">
        <f>IF(Table1[[#This Row],[ActualWinner]]="", "", IF(Table1[[#This Row],[AwayTeam]]=Table1[[#This Row],[ActualWinner]],Table1[[#This Row],[HomeTeam]],Table1[[#This Row],[AwayTeam]]))</f>
        <v/>
      </c>
      <c r="U1136" s="64">
        <f>Table1[[#This Row],[ActualAwayScore]]-Table1[[#This Row],[PredictedAwayScore]]</f>
        <v>0</v>
      </c>
      <c r="V1136" s="64">
        <f>Table1[[#This Row],[ActualHomeScore]]-Table1[[#This Row],[PredictedHomeScore]]</f>
        <v>0</v>
      </c>
      <c r="W1136" s="64">
        <f>(0.8*IF(Table1[[#This Row],[CorrectWinnerPrediction]]=1, 1, 0))+(0.1*IF(Table1[[#This Row],[CorrectAwayScorePrediction]]=1, 1, 0))+(0.1*IF(Table1[[#This Row],[CorrectHomeScorePrediction]]=1, 1, 0))</f>
        <v>0</v>
      </c>
      <c r="X113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36" s="64">
        <f>SUMIF(Table1[GameDate], Table1[[#This Row],[GameDate]], Table1[AwayGameGoalDiff])</f>
        <v>0</v>
      </c>
      <c r="AA1136" s="64">
        <f>SUMIF(Table1[GameDate], Table1[[#This Row],[GameDate]], Table1[HomeGameGoalDiff])</f>
        <v>0</v>
      </c>
      <c r="AB1136" s="64">
        <f>IF(ISBLANK(Table1[[#This Row],[ActualResult]]), 0, 1)</f>
        <v>0</v>
      </c>
      <c r="AC1136" s="64">
        <f>IF(ISBLANK(Table1[[#This Row],[ActualResult]]), 0, IF(Table1[[#This Row],[ActualWinner]]=Table1[[#This Row],[PredictedWinner]], 1, 0))</f>
        <v>0</v>
      </c>
      <c r="AD113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3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36" s="64">
        <f>IF(AND(Table1[[#This Row],[GameIsOver]]=1,Table1[[#This Row],[ActualAwayScore]]=0), 1,0)</f>
        <v>0</v>
      </c>
      <c r="AG1136" s="64">
        <f>IF(AND(Table1[[#This Row],[GameIsOver]]=1,Table1[[#This Row],[ActualHomeScore]]=0), 1,0)</f>
        <v>0</v>
      </c>
      <c r="AH1136" s="64">
        <f>IF(Table1[[#This Row],[GameIsOver]]=0,0,IF(Table1[[#This Row],[ActualWinner]]=Table1[[#This Row],[AwayTeam]], 1, 0))</f>
        <v>0</v>
      </c>
      <c r="AI1136" s="64">
        <f>IF(Table1[[#This Row],[GameIsOver]]=0,0,IF(Table1[[#This Row],[ActualWinner]]=Table1[[#This Row],[HomeTeam]], 1, 0))</f>
        <v>0</v>
      </c>
      <c r="AJ1136" s="64">
        <f>IF(INDEX(Standings!$A$2:$C$33,MATCH(Table1[[#This Row],[AwayTeam]],Standings!$A$2:$A$33,0),2)=INDEX(Standings!$A$2:$C$33,MATCH(Table1[[#This Row],[HomeTeam]],Standings!$A$2:$A$33,0),2),1,0)</f>
        <v>1</v>
      </c>
      <c r="AK1136" s="64">
        <f>IF(INDEX(Standings!$A$2:$C$33,MATCH(Table1[[#This Row],[AwayTeam]],Standings!$A$2:$A$33,0),3)=INDEX(Standings!$A$2:$C$33,MATCH(Table1[[#This Row],[HomeTeam]],Standings!$A$2:$A$33,0),3),1,0)</f>
        <v>0</v>
      </c>
      <c r="AL1136" s="64">
        <f>IF(Table1[[#This Row],[InterConf]]=1,IF(Table1[[#This Row],[InterDiv]]=0, 1, 0), 0)</f>
        <v>1</v>
      </c>
      <c r="AM1136" s="64">
        <f>IF(INDEX(Standings!$A$2:$C$33,MATCH(Table1[[#This Row],[AwayTeam]],Standings!$A$2:$A$33,0),2)&lt;&gt;INDEX(Standings!$A$2:$C$33,MATCH(Table1[[#This Row],[HomeTeam]],Standings!$A$2:$A$33,0),2),1,0)</f>
        <v>0</v>
      </c>
      <c r="AN1136" s="64" t="str">
        <f>INDEX(Table2[AWAY_RECORD], MATCH(Table1[[#This Row],[AwayTeam]],Table2[Team], 0), 0)</f>
        <v>0-0-0</v>
      </c>
      <c r="AO1136" s="64" t="str">
        <f>INDEX(Records!$B$2:$AG$33, MATCH(Table1[[#This Row],[AwayTeam]],Records!$A$2:$A$33, 0), MATCH(Table1[[#This Row],[HomeTeam]],Records!$A$2:$A$33, 0))</f>
        <v>0-0-0</v>
      </c>
      <c r="AP1136" s="64" t="str">
        <f>INDEX(Table2[HOME_RECORD], MATCH(Table1[[#This Row],[HomeTeam]],Table2[Team], 0), 0)</f>
        <v>0-0-0</v>
      </c>
      <c r="AQ1136" s="64" t="str">
        <f>INDEX(Records!$B$2:$AG$33, MATCH(Table1[[#This Row],[HomeTeam]],Records!$A$2:$A$33, 0), MATCH(Table1[[#This Row],[AwayTeam]],Records!$A$2:$A$33, 0))</f>
        <v>0-0-0</v>
      </c>
    </row>
    <row r="1137" spans="1:43" x14ac:dyDescent="0.25">
      <c r="A1137" s="1"/>
      <c r="D1137" t="s">
        <v>1478</v>
      </c>
      <c r="E1137" t="s">
        <v>158</v>
      </c>
      <c r="F1137" t="s">
        <v>1483</v>
      </c>
      <c r="G1137" t="s">
        <v>23</v>
      </c>
      <c r="H1137" t="s">
        <v>52</v>
      </c>
      <c r="L113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3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37" s="1"/>
      <c r="T1137" s="64" t="str">
        <f>IF(Table1[[#This Row],[ActualWinner]]="", "", IF(Table1[[#This Row],[AwayTeam]]=Table1[[#This Row],[ActualWinner]],Table1[[#This Row],[HomeTeam]],Table1[[#This Row],[AwayTeam]]))</f>
        <v/>
      </c>
      <c r="U1137" s="64">
        <f>Table1[[#This Row],[ActualAwayScore]]-Table1[[#This Row],[PredictedAwayScore]]</f>
        <v>0</v>
      </c>
      <c r="V1137" s="64">
        <f>Table1[[#This Row],[ActualHomeScore]]-Table1[[#This Row],[PredictedHomeScore]]</f>
        <v>0</v>
      </c>
      <c r="W1137" s="64">
        <f>(0.8*IF(Table1[[#This Row],[CorrectWinnerPrediction]]=1, 1, 0))+(0.1*IF(Table1[[#This Row],[CorrectAwayScorePrediction]]=1, 1, 0))+(0.1*IF(Table1[[#This Row],[CorrectHomeScorePrediction]]=1, 1, 0))</f>
        <v>0</v>
      </c>
      <c r="X113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37" s="64">
        <f>SUMIF(Table1[GameDate], Table1[[#This Row],[GameDate]], Table1[AwayGameGoalDiff])</f>
        <v>0</v>
      </c>
      <c r="AA1137" s="64">
        <f>SUMIF(Table1[GameDate], Table1[[#This Row],[GameDate]], Table1[HomeGameGoalDiff])</f>
        <v>0</v>
      </c>
      <c r="AB1137" s="64">
        <f>IF(ISBLANK(Table1[[#This Row],[ActualResult]]), 0, 1)</f>
        <v>0</v>
      </c>
      <c r="AC1137" s="64">
        <f>IF(ISBLANK(Table1[[#This Row],[ActualResult]]), 0, IF(Table1[[#This Row],[ActualWinner]]=Table1[[#This Row],[PredictedWinner]], 1, 0))</f>
        <v>0</v>
      </c>
      <c r="AD113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3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37" s="64">
        <f>IF(AND(Table1[[#This Row],[GameIsOver]]=1,Table1[[#This Row],[ActualAwayScore]]=0), 1,0)</f>
        <v>0</v>
      </c>
      <c r="AG1137" s="64">
        <f>IF(AND(Table1[[#This Row],[GameIsOver]]=1,Table1[[#This Row],[ActualHomeScore]]=0), 1,0)</f>
        <v>0</v>
      </c>
      <c r="AH1137" s="64">
        <f>IF(Table1[[#This Row],[GameIsOver]]=0,0,IF(Table1[[#This Row],[ActualWinner]]=Table1[[#This Row],[AwayTeam]], 1, 0))</f>
        <v>0</v>
      </c>
      <c r="AI1137" s="64">
        <f>IF(Table1[[#This Row],[GameIsOver]]=0,0,IF(Table1[[#This Row],[ActualWinner]]=Table1[[#This Row],[HomeTeam]], 1, 0))</f>
        <v>0</v>
      </c>
      <c r="AJ1137" s="64">
        <f>IF(INDEX(Standings!$A$2:$C$33,MATCH(Table1[[#This Row],[AwayTeam]],Standings!$A$2:$A$33,0),2)=INDEX(Standings!$A$2:$C$33,MATCH(Table1[[#This Row],[HomeTeam]],Standings!$A$2:$A$33,0),2),1,0)</f>
        <v>0</v>
      </c>
      <c r="AK1137" s="64">
        <f>IF(INDEX(Standings!$A$2:$C$33,MATCH(Table1[[#This Row],[AwayTeam]],Standings!$A$2:$A$33,0),3)=INDEX(Standings!$A$2:$C$33,MATCH(Table1[[#This Row],[HomeTeam]],Standings!$A$2:$A$33,0),3),1,0)</f>
        <v>0</v>
      </c>
      <c r="AL1137" s="64">
        <f>IF(Table1[[#This Row],[InterConf]]=1,IF(Table1[[#This Row],[InterDiv]]=0, 1, 0), 0)</f>
        <v>0</v>
      </c>
      <c r="AM1137" s="64">
        <f>IF(INDEX(Standings!$A$2:$C$33,MATCH(Table1[[#This Row],[AwayTeam]],Standings!$A$2:$A$33,0),2)&lt;&gt;INDEX(Standings!$A$2:$C$33,MATCH(Table1[[#This Row],[HomeTeam]],Standings!$A$2:$A$33,0),2),1,0)</f>
        <v>1</v>
      </c>
      <c r="AN1137" s="64" t="str">
        <f>INDEX(Table2[AWAY_RECORD], MATCH(Table1[[#This Row],[AwayTeam]],Table2[Team], 0), 0)</f>
        <v>0-0-1</v>
      </c>
      <c r="AO1137" s="64" t="str">
        <f>INDEX(Records!$B$2:$AG$33, MATCH(Table1[[#This Row],[AwayTeam]],Records!$A$2:$A$33, 0), MATCH(Table1[[#This Row],[HomeTeam]],Records!$A$2:$A$33, 0))</f>
        <v>0-0-0</v>
      </c>
      <c r="AP1137" s="64" t="str">
        <f>INDEX(Table2[HOME_RECORD], MATCH(Table1[[#This Row],[HomeTeam]],Table2[Team], 0), 0)</f>
        <v>0-0-0</v>
      </c>
      <c r="AQ1137" s="64" t="str">
        <f>INDEX(Records!$B$2:$AG$33, MATCH(Table1[[#This Row],[HomeTeam]],Records!$A$2:$A$33, 0), MATCH(Table1[[#This Row],[AwayTeam]],Records!$A$2:$A$33, 0))</f>
        <v>0-0-0</v>
      </c>
    </row>
    <row r="1138" spans="1:43" x14ac:dyDescent="0.25">
      <c r="A1138" s="1"/>
      <c r="D1138" t="s">
        <v>1478</v>
      </c>
      <c r="E1138" t="s">
        <v>160</v>
      </c>
      <c r="F1138" t="s">
        <v>1484</v>
      </c>
      <c r="G1138" t="s">
        <v>38</v>
      </c>
      <c r="H1138" t="s">
        <v>22</v>
      </c>
      <c r="L113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3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38" s="1"/>
      <c r="T1138" s="64" t="str">
        <f>IF(Table1[[#This Row],[ActualWinner]]="", "", IF(Table1[[#This Row],[AwayTeam]]=Table1[[#This Row],[ActualWinner]],Table1[[#This Row],[HomeTeam]],Table1[[#This Row],[AwayTeam]]))</f>
        <v/>
      </c>
      <c r="U1138" s="64">
        <f>Table1[[#This Row],[ActualAwayScore]]-Table1[[#This Row],[PredictedAwayScore]]</f>
        <v>0</v>
      </c>
      <c r="V1138" s="64">
        <f>Table1[[#This Row],[ActualHomeScore]]-Table1[[#This Row],[PredictedHomeScore]]</f>
        <v>0</v>
      </c>
      <c r="W1138" s="64">
        <f>(0.8*IF(Table1[[#This Row],[CorrectWinnerPrediction]]=1, 1, 0))+(0.1*IF(Table1[[#This Row],[CorrectAwayScorePrediction]]=1, 1, 0))+(0.1*IF(Table1[[#This Row],[CorrectHomeScorePrediction]]=1, 1, 0))</f>
        <v>0</v>
      </c>
      <c r="X113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38" s="64">
        <f>SUMIF(Table1[GameDate], Table1[[#This Row],[GameDate]], Table1[AwayGameGoalDiff])</f>
        <v>0</v>
      </c>
      <c r="AA1138" s="64">
        <f>SUMIF(Table1[GameDate], Table1[[#This Row],[GameDate]], Table1[HomeGameGoalDiff])</f>
        <v>0</v>
      </c>
      <c r="AB1138" s="64">
        <f>IF(ISBLANK(Table1[[#This Row],[ActualResult]]), 0, 1)</f>
        <v>0</v>
      </c>
      <c r="AC1138" s="64">
        <f>IF(ISBLANK(Table1[[#This Row],[ActualResult]]), 0, IF(Table1[[#This Row],[ActualWinner]]=Table1[[#This Row],[PredictedWinner]], 1, 0))</f>
        <v>0</v>
      </c>
      <c r="AD113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3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38" s="64">
        <f>IF(AND(Table1[[#This Row],[GameIsOver]]=1,Table1[[#This Row],[ActualAwayScore]]=0), 1,0)</f>
        <v>0</v>
      </c>
      <c r="AG1138" s="64">
        <f>IF(AND(Table1[[#This Row],[GameIsOver]]=1,Table1[[#This Row],[ActualHomeScore]]=0), 1,0)</f>
        <v>0</v>
      </c>
      <c r="AH1138" s="64">
        <f>IF(Table1[[#This Row],[GameIsOver]]=0,0,IF(Table1[[#This Row],[ActualWinner]]=Table1[[#This Row],[AwayTeam]], 1, 0))</f>
        <v>0</v>
      </c>
      <c r="AI1138" s="64">
        <f>IF(Table1[[#This Row],[GameIsOver]]=0,0,IF(Table1[[#This Row],[ActualWinner]]=Table1[[#This Row],[HomeTeam]], 1, 0))</f>
        <v>0</v>
      </c>
      <c r="AJ1138" s="64">
        <f>IF(INDEX(Standings!$A$2:$C$33,MATCH(Table1[[#This Row],[AwayTeam]],Standings!$A$2:$A$33,0),2)=INDEX(Standings!$A$2:$C$33,MATCH(Table1[[#This Row],[HomeTeam]],Standings!$A$2:$A$33,0),2),1,0)</f>
        <v>0</v>
      </c>
      <c r="AK1138" s="64">
        <f>IF(INDEX(Standings!$A$2:$C$33,MATCH(Table1[[#This Row],[AwayTeam]],Standings!$A$2:$A$33,0),3)=INDEX(Standings!$A$2:$C$33,MATCH(Table1[[#This Row],[HomeTeam]],Standings!$A$2:$A$33,0),3),1,0)</f>
        <v>0</v>
      </c>
      <c r="AL1138" s="64">
        <f>IF(Table1[[#This Row],[InterConf]]=1,IF(Table1[[#This Row],[InterDiv]]=0, 1, 0), 0)</f>
        <v>0</v>
      </c>
      <c r="AM1138" s="64">
        <f>IF(INDEX(Standings!$A$2:$C$33,MATCH(Table1[[#This Row],[AwayTeam]],Standings!$A$2:$A$33,0),2)&lt;&gt;INDEX(Standings!$A$2:$C$33,MATCH(Table1[[#This Row],[HomeTeam]],Standings!$A$2:$A$33,0),2),1,0)</f>
        <v>1</v>
      </c>
      <c r="AN1138" s="64" t="str">
        <f>INDEX(Table2[AWAY_RECORD], MATCH(Table1[[#This Row],[AwayTeam]],Table2[Team], 0), 0)</f>
        <v>0-0-1</v>
      </c>
      <c r="AO1138" s="64" t="str">
        <f>INDEX(Records!$B$2:$AG$33, MATCH(Table1[[#This Row],[AwayTeam]],Records!$A$2:$A$33, 0), MATCH(Table1[[#This Row],[HomeTeam]],Records!$A$2:$A$33, 0))</f>
        <v>0-0-0</v>
      </c>
      <c r="AP1138" s="64" t="str">
        <f>INDEX(Table2[HOME_RECORD], MATCH(Table1[[#This Row],[HomeTeam]],Table2[Team], 0), 0)</f>
        <v>0-0-0</v>
      </c>
      <c r="AQ1138" s="64" t="str">
        <f>INDEX(Records!$B$2:$AG$33, MATCH(Table1[[#This Row],[HomeTeam]],Records!$A$2:$A$33, 0), MATCH(Table1[[#This Row],[AwayTeam]],Records!$A$2:$A$33, 0))</f>
        <v>0-0-0</v>
      </c>
    </row>
    <row r="1139" spans="1:43" x14ac:dyDescent="0.25">
      <c r="A1139" s="1"/>
      <c r="D1139" t="s">
        <v>1485</v>
      </c>
      <c r="E1139" t="s">
        <v>205</v>
      </c>
      <c r="F1139" t="s">
        <v>1486</v>
      </c>
      <c r="G1139" t="s">
        <v>57</v>
      </c>
      <c r="H1139" t="s">
        <v>59</v>
      </c>
      <c r="L113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3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39" s="1"/>
      <c r="T1139" s="64" t="str">
        <f>IF(Table1[[#This Row],[ActualWinner]]="", "", IF(Table1[[#This Row],[AwayTeam]]=Table1[[#This Row],[ActualWinner]],Table1[[#This Row],[HomeTeam]],Table1[[#This Row],[AwayTeam]]))</f>
        <v/>
      </c>
      <c r="U1139" s="64">
        <f>Table1[[#This Row],[ActualAwayScore]]-Table1[[#This Row],[PredictedAwayScore]]</f>
        <v>0</v>
      </c>
      <c r="V1139" s="64">
        <f>Table1[[#This Row],[ActualHomeScore]]-Table1[[#This Row],[PredictedHomeScore]]</f>
        <v>0</v>
      </c>
      <c r="W1139" s="64">
        <f>(0.8*IF(Table1[[#This Row],[CorrectWinnerPrediction]]=1, 1, 0))+(0.1*IF(Table1[[#This Row],[CorrectAwayScorePrediction]]=1, 1, 0))+(0.1*IF(Table1[[#This Row],[CorrectHomeScorePrediction]]=1, 1, 0))</f>
        <v>0</v>
      </c>
      <c r="X113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39" s="64">
        <f>SUMIF(Table1[GameDate], Table1[[#This Row],[GameDate]], Table1[AwayGameGoalDiff])</f>
        <v>0</v>
      </c>
      <c r="AA1139" s="64">
        <f>SUMIF(Table1[GameDate], Table1[[#This Row],[GameDate]], Table1[HomeGameGoalDiff])</f>
        <v>0</v>
      </c>
      <c r="AB1139" s="64">
        <f>IF(ISBLANK(Table1[[#This Row],[ActualResult]]), 0, 1)</f>
        <v>0</v>
      </c>
      <c r="AC1139" s="64">
        <f>IF(ISBLANK(Table1[[#This Row],[ActualResult]]), 0, IF(Table1[[#This Row],[ActualWinner]]=Table1[[#This Row],[PredictedWinner]], 1, 0))</f>
        <v>0</v>
      </c>
      <c r="AD113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3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39" s="64">
        <f>IF(AND(Table1[[#This Row],[GameIsOver]]=1,Table1[[#This Row],[ActualAwayScore]]=0), 1,0)</f>
        <v>0</v>
      </c>
      <c r="AG1139" s="64">
        <f>IF(AND(Table1[[#This Row],[GameIsOver]]=1,Table1[[#This Row],[ActualHomeScore]]=0), 1,0)</f>
        <v>0</v>
      </c>
      <c r="AH1139" s="64">
        <f>IF(Table1[[#This Row],[GameIsOver]]=0,0,IF(Table1[[#This Row],[ActualWinner]]=Table1[[#This Row],[AwayTeam]], 1, 0))</f>
        <v>0</v>
      </c>
      <c r="AI1139" s="64">
        <f>IF(Table1[[#This Row],[GameIsOver]]=0,0,IF(Table1[[#This Row],[ActualWinner]]=Table1[[#This Row],[HomeTeam]], 1, 0))</f>
        <v>0</v>
      </c>
      <c r="AJ1139" s="64">
        <f>IF(INDEX(Standings!$A$2:$C$33,MATCH(Table1[[#This Row],[AwayTeam]],Standings!$A$2:$A$33,0),2)=INDEX(Standings!$A$2:$C$33,MATCH(Table1[[#This Row],[HomeTeam]],Standings!$A$2:$A$33,0),2),1,0)</f>
        <v>1</v>
      </c>
      <c r="AK1139" s="64">
        <f>IF(INDEX(Standings!$A$2:$C$33,MATCH(Table1[[#This Row],[AwayTeam]],Standings!$A$2:$A$33,0),3)=INDEX(Standings!$A$2:$C$33,MATCH(Table1[[#This Row],[HomeTeam]],Standings!$A$2:$A$33,0),3),1,0)</f>
        <v>0</v>
      </c>
      <c r="AL1139" s="64">
        <f>IF(Table1[[#This Row],[InterConf]]=1,IF(Table1[[#This Row],[InterDiv]]=0, 1, 0), 0)</f>
        <v>1</v>
      </c>
      <c r="AM1139" s="64">
        <f>IF(INDEX(Standings!$A$2:$C$33,MATCH(Table1[[#This Row],[AwayTeam]],Standings!$A$2:$A$33,0),2)&lt;&gt;INDEX(Standings!$A$2:$C$33,MATCH(Table1[[#This Row],[HomeTeam]],Standings!$A$2:$A$33,0),2),1,0)</f>
        <v>0</v>
      </c>
      <c r="AN1139" s="64" t="str">
        <f>INDEX(Table2[AWAY_RECORD], MATCH(Table1[[#This Row],[AwayTeam]],Table2[Team], 0), 0)</f>
        <v>0-1-0</v>
      </c>
      <c r="AO1139" s="64" t="str">
        <f>INDEX(Records!$B$2:$AG$33, MATCH(Table1[[#This Row],[AwayTeam]],Records!$A$2:$A$33, 0), MATCH(Table1[[#This Row],[HomeTeam]],Records!$A$2:$A$33, 0))</f>
        <v>0-0-0</v>
      </c>
      <c r="AP1139" s="64" t="str">
        <f>INDEX(Table2[HOME_RECORD], MATCH(Table1[[#This Row],[HomeTeam]],Table2[Team], 0), 0)</f>
        <v>0-0-0</v>
      </c>
      <c r="AQ1139" s="64" t="str">
        <f>INDEX(Records!$B$2:$AG$33, MATCH(Table1[[#This Row],[HomeTeam]],Records!$A$2:$A$33, 0), MATCH(Table1[[#This Row],[AwayTeam]],Records!$A$2:$A$33, 0))</f>
        <v>0-0-0</v>
      </c>
    </row>
    <row r="1140" spans="1:43" x14ac:dyDescent="0.25">
      <c r="A1140" s="1"/>
      <c r="D1140" t="s">
        <v>1485</v>
      </c>
      <c r="E1140" t="s">
        <v>160</v>
      </c>
      <c r="F1140" t="s">
        <v>1487</v>
      </c>
      <c r="G1140" t="s">
        <v>50</v>
      </c>
      <c r="H1140" t="s">
        <v>37</v>
      </c>
      <c r="L114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4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40" s="1"/>
      <c r="T1140" s="64" t="str">
        <f>IF(Table1[[#This Row],[ActualWinner]]="", "", IF(Table1[[#This Row],[AwayTeam]]=Table1[[#This Row],[ActualWinner]],Table1[[#This Row],[HomeTeam]],Table1[[#This Row],[AwayTeam]]))</f>
        <v/>
      </c>
      <c r="U1140" s="64">
        <f>Table1[[#This Row],[ActualAwayScore]]-Table1[[#This Row],[PredictedAwayScore]]</f>
        <v>0</v>
      </c>
      <c r="V1140" s="64">
        <f>Table1[[#This Row],[ActualHomeScore]]-Table1[[#This Row],[PredictedHomeScore]]</f>
        <v>0</v>
      </c>
      <c r="W1140" s="64">
        <f>(0.8*IF(Table1[[#This Row],[CorrectWinnerPrediction]]=1, 1, 0))+(0.1*IF(Table1[[#This Row],[CorrectAwayScorePrediction]]=1, 1, 0))+(0.1*IF(Table1[[#This Row],[CorrectHomeScorePrediction]]=1, 1, 0))</f>
        <v>0</v>
      </c>
      <c r="X114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40" s="64">
        <f>SUMIF(Table1[GameDate], Table1[[#This Row],[GameDate]], Table1[AwayGameGoalDiff])</f>
        <v>0</v>
      </c>
      <c r="AA1140" s="64">
        <f>SUMIF(Table1[GameDate], Table1[[#This Row],[GameDate]], Table1[HomeGameGoalDiff])</f>
        <v>0</v>
      </c>
      <c r="AB1140" s="64">
        <f>IF(ISBLANK(Table1[[#This Row],[ActualResult]]), 0, 1)</f>
        <v>0</v>
      </c>
      <c r="AC1140" s="64">
        <f>IF(ISBLANK(Table1[[#This Row],[ActualResult]]), 0, IF(Table1[[#This Row],[ActualWinner]]=Table1[[#This Row],[PredictedWinner]], 1, 0))</f>
        <v>0</v>
      </c>
      <c r="AD114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4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40" s="64">
        <f>IF(AND(Table1[[#This Row],[GameIsOver]]=1,Table1[[#This Row],[ActualAwayScore]]=0), 1,0)</f>
        <v>0</v>
      </c>
      <c r="AG1140" s="64">
        <f>IF(AND(Table1[[#This Row],[GameIsOver]]=1,Table1[[#This Row],[ActualHomeScore]]=0), 1,0)</f>
        <v>0</v>
      </c>
      <c r="AH1140" s="64">
        <f>IF(Table1[[#This Row],[GameIsOver]]=0,0,IF(Table1[[#This Row],[ActualWinner]]=Table1[[#This Row],[AwayTeam]], 1, 0))</f>
        <v>0</v>
      </c>
      <c r="AI1140" s="64">
        <f>IF(Table1[[#This Row],[GameIsOver]]=0,0,IF(Table1[[#This Row],[ActualWinner]]=Table1[[#This Row],[HomeTeam]], 1, 0))</f>
        <v>0</v>
      </c>
      <c r="AJ1140" s="64">
        <f>IF(INDEX(Standings!$A$2:$C$33,MATCH(Table1[[#This Row],[AwayTeam]],Standings!$A$2:$A$33,0),2)=INDEX(Standings!$A$2:$C$33,MATCH(Table1[[#This Row],[HomeTeam]],Standings!$A$2:$A$33,0),2),1,0)</f>
        <v>1</v>
      </c>
      <c r="AK1140" s="64">
        <f>IF(INDEX(Standings!$A$2:$C$33,MATCH(Table1[[#This Row],[AwayTeam]],Standings!$A$2:$A$33,0),3)=INDEX(Standings!$A$2:$C$33,MATCH(Table1[[#This Row],[HomeTeam]],Standings!$A$2:$A$33,0),3),1,0)</f>
        <v>0</v>
      </c>
      <c r="AL1140" s="64">
        <f>IF(Table1[[#This Row],[InterConf]]=1,IF(Table1[[#This Row],[InterDiv]]=0, 1, 0), 0)</f>
        <v>1</v>
      </c>
      <c r="AM1140" s="64">
        <f>IF(INDEX(Standings!$A$2:$C$33,MATCH(Table1[[#This Row],[AwayTeam]],Standings!$A$2:$A$33,0),2)&lt;&gt;INDEX(Standings!$A$2:$C$33,MATCH(Table1[[#This Row],[HomeTeam]],Standings!$A$2:$A$33,0),2),1,0)</f>
        <v>0</v>
      </c>
      <c r="AN1140" s="64" t="str">
        <f>INDEX(Table2[AWAY_RECORD], MATCH(Table1[[#This Row],[AwayTeam]],Table2[Team], 0), 0)</f>
        <v>1-0-0</v>
      </c>
      <c r="AO1140" s="64" t="str">
        <f>INDEX(Records!$B$2:$AG$33, MATCH(Table1[[#This Row],[AwayTeam]],Records!$A$2:$A$33, 0), MATCH(Table1[[#This Row],[HomeTeam]],Records!$A$2:$A$33, 0))</f>
        <v>0-0-0</v>
      </c>
      <c r="AP1140" s="64" t="str">
        <f>INDEX(Table2[HOME_RECORD], MATCH(Table1[[#This Row],[HomeTeam]],Table2[Team], 0), 0)</f>
        <v>0-1-0</v>
      </c>
      <c r="AQ1140" s="64" t="str">
        <f>INDEX(Records!$B$2:$AG$33, MATCH(Table1[[#This Row],[HomeTeam]],Records!$A$2:$A$33, 0), MATCH(Table1[[#This Row],[AwayTeam]],Records!$A$2:$A$33, 0))</f>
        <v>0-0-0</v>
      </c>
    </row>
    <row r="1141" spans="1:43" x14ac:dyDescent="0.25">
      <c r="A1141" s="1"/>
      <c r="D1141" t="s">
        <v>1485</v>
      </c>
      <c r="E1141" t="s">
        <v>160</v>
      </c>
      <c r="F1141" t="s">
        <v>1488</v>
      </c>
      <c r="G1141" t="s">
        <v>55</v>
      </c>
      <c r="H1141" t="s">
        <v>38</v>
      </c>
      <c r="L114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4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41" s="1"/>
      <c r="T1141" s="64" t="str">
        <f>IF(Table1[[#This Row],[ActualWinner]]="", "", IF(Table1[[#This Row],[AwayTeam]]=Table1[[#This Row],[ActualWinner]],Table1[[#This Row],[HomeTeam]],Table1[[#This Row],[AwayTeam]]))</f>
        <v/>
      </c>
      <c r="U1141" s="64">
        <f>Table1[[#This Row],[ActualAwayScore]]-Table1[[#This Row],[PredictedAwayScore]]</f>
        <v>0</v>
      </c>
      <c r="V1141" s="64">
        <f>Table1[[#This Row],[ActualHomeScore]]-Table1[[#This Row],[PredictedHomeScore]]</f>
        <v>0</v>
      </c>
      <c r="W1141" s="64">
        <f>(0.8*IF(Table1[[#This Row],[CorrectWinnerPrediction]]=1, 1, 0))+(0.1*IF(Table1[[#This Row],[CorrectAwayScorePrediction]]=1, 1, 0))+(0.1*IF(Table1[[#This Row],[CorrectHomeScorePrediction]]=1, 1, 0))</f>
        <v>0</v>
      </c>
      <c r="X114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41" s="64">
        <f>SUMIF(Table1[GameDate], Table1[[#This Row],[GameDate]], Table1[AwayGameGoalDiff])</f>
        <v>0</v>
      </c>
      <c r="AA1141" s="64">
        <f>SUMIF(Table1[GameDate], Table1[[#This Row],[GameDate]], Table1[HomeGameGoalDiff])</f>
        <v>0</v>
      </c>
      <c r="AB1141" s="64">
        <f>IF(ISBLANK(Table1[[#This Row],[ActualResult]]), 0, 1)</f>
        <v>0</v>
      </c>
      <c r="AC1141" s="64">
        <f>IF(ISBLANK(Table1[[#This Row],[ActualResult]]), 0, IF(Table1[[#This Row],[ActualWinner]]=Table1[[#This Row],[PredictedWinner]], 1, 0))</f>
        <v>0</v>
      </c>
      <c r="AD114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4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41" s="64">
        <f>IF(AND(Table1[[#This Row],[GameIsOver]]=1,Table1[[#This Row],[ActualAwayScore]]=0), 1,0)</f>
        <v>0</v>
      </c>
      <c r="AG1141" s="64">
        <f>IF(AND(Table1[[#This Row],[GameIsOver]]=1,Table1[[#This Row],[ActualHomeScore]]=0), 1,0)</f>
        <v>0</v>
      </c>
      <c r="AH1141" s="64">
        <f>IF(Table1[[#This Row],[GameIsOver]]=0,0,IF(Table1[[#This Row],[ActualWinner]]=Table1[[#This Row],[AwayTeam]], 1, 0))</f>
        <v>0</v>
      </c>
      <c r="AI1141" s="64">
        <f>IF(Table1[[#This Row],[GameIsOver]]=0,0,IF(Table1[[#This Row],[ActualWinner]]=Table1[[#This Row],[HomeTeam]], 1, 0))</f>
        <v>0</v>
      </c>
      <c r="AJ1141" s="64">
        <f>IF(INDEX(Standings!$A$2:$C$33,MATCH(Table1[[#This Row],[AwayTeam]],Standings!$A$2:$A$33,0),2)=INDEX(Standings!$A$2:$C$33,MATCH(Table1[[#This Row],[HomeTeam]],Standings!$A$2:$A$33,0),2),1,0)</f>
        <v>0</v>
      </c>
      <c r="AK1141" s="64">
        <f>IF(INDEX(Standings!$A$2:$C$33,MATCH(Table1[[#This Row],[AwayTeam]],Standings!$A$2:$A$33,0),3)=INDEX(Standings!$A$2:$C$33,MATCH(Table1[[#This Row],[HomeTeam]],Standings!$A$2:$A$33,0),3),1,0)</f>
        <v>0</v>
      </c>
      <c r="AL1141" s="64">
        <f>IF(Table1[[#This Row],[InterConf]]=1,IF(Table1[[#This Row],[InterDiv]]=0, 1, 0), 0)</f>
        <v>0</v>
      </c>
      <c r="AM1141" s="64">
        <f>IF(INDEX(Standings!$A$2:$C$33,MATCH(Table1[[#This Row],[AwayTeam]],Standings!$A$2:$A$33,0),2)&lt;&gt;INDEX(Standings!$A$2:$C$33,MATCH(Table1[[#This Row],[HomeTeam]],Standings!$A$2:$A$33,0),2),1,0)</f>
        <v>1</v>
      </c>
      <c r="AN1141" s="64" t="str">
        <f>INDEX(Table2[AWAY_RECORD], MATCH(Table1[[#This Row],[AwayTeam]],Table2[Team], 0), 0)</f>
        <v>0-0-0</v>
      </c>
      <c r="AO1141" s="64" t="str">
        <f>INDEX(Records!$B$2:$AG$33, MATCH(Table1[[#This Row],[AwayTeam]],Records!$A$2:$A$33, 0), MATCH(Table1[[#This Row],[HomeTeam]],Records!$A$2:$A$33, 0))</f>
        <v>0-0-0</v>
      </c>
      <c r="AP1141" s="64" t="str">
        <f>INDEX(Table2[HOME_RECORD], MATCH(Table1[[#This Row],[HomeTeam]],Table2[Team], 0), 0)</f>
        <v>0-0-0</v>
      </c>
      <c r="AQ1141" s="64" t="str">
        <f>INDEX(Records!$B$2:$AG$33, MATCH(Table1[[#This Row],[HomeTeam]],Records!$A$2:$A$33, 0), MATCH(Table1[[#This Row],[AwayTeam]],Records!$A$2:$A$33, 0))</f>
        <v>0-0-0</v>
      </c>
    </row>
    <row r="1142" spans="1:43" x14ac:dyDescent="0.25">
      <c r="A1142" s="1"/>
      <c r="D1142" t="s">
        <v>1485</v>
      </c>
      <c r="E1142" t="s">
        <v>169</v>
      </c>
      <c r="F1142" t="s">
        <v>1489</v>
      </c>
      <c r="G1142" t="s">
        <v>17</v>
      </c>
      <c r="H1142" t="s">
        <v>24</v>
      </c>
      <c r="L114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4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42" s="1"/>
      <c r="T1142" s="64" t="str">
        <f>IF(Table1[[#This Row],[ActualWinner]]="", "", IF(Table1[[#This Row],[AwayTeam]]=Table1[[#This Row],[ActualWinner]],Table1[[#This Row],[HomeTeam]],Table1[[#This Row],[AwayTeam]]))</f>
        <v/>
      </c>
      <c r="U1142" s="64">
        <f>Table1[[#This Row],[ActualAwayScore]]-Table1[[#This Row],[PredictedAwayScore]]</f>
        <v>0</v>
      </c>
      <c r="V1142" s="64">
        <f>Table1[[#This Row],[ActualHomeScore]]-Table1[[#This Row],[PredictedHomeScore]]</f>
        <v>0</v>
      </c>
      <c r="W1142" s="64">
        <f>(0.8*IF(Table1[[#This Row],[CorrectWinnerPrediction]]=1, 1, 0))+(0.1*IF(Table1[[#This Row],[CorrectAwayScorePrediction]]=1, 1, 0))+(0.1*IF(Table1[[#This Row],[CorrectHomeScorePrediction]]=1, 1, 0))</f>
        <v>0</v>
      </c>
      <c r="X114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42" s="64">
        <f>SUMIF(Table1[GameDate], Table1[[#This Row],[GameDate]], Table1[AwayGameGoalDiff])</f>
        <v>0</v>
      </c>
      <c r="AA1142" s="64">
        <f>SUMIF(Table1[GameDate], Table1[[#This Row],[GameDate]], Table1[HomeGameGoalDiff])</f>
        <v>0</v>
      </c>
      <c r="AB1142" s="64">
        <f>IF(ISBLANK(Table1[[#This Row],[ActualResult]]), 0, 1)</f>
        <v>0</v>
      </c>
      <c r="AC1142" s="64">
        <f>IF(ISBLANK(Table1[[#This Row],[ActualResult]]), 0, IF(Table1[[#This Row],[ActualWinner]]=Table1[[#This Row],[PredictedWinner]], 1, 0))</f>
        <v>0</v>
      </c>
      <c r="AD114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4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42" s="64">
        <f>IF(AND(Table1[[#This Row],[GameIsOver]]=1,Table1[[#This Row],[ActualAwayScore]]=0), 1,0)</f>
        <v>0</v>
      </c>
      <c r="AG1142" s="64">
        <f>IF(AND(Table1[[#This Row],[GameIsOver]]=1,Table1[[#This Row],[ActualHomeScore]]=0), 1,0)</f>
        <v>0</v>
      </c>
      <c r="AH1142" s="64">
        <f>IF(Table1[[#This Row],[GameIsOver]]=0,0,IF(Table1[[#This Row],[ActualWinner]]=Table1[[#This Row],[AwayTeam]], 1, 0))</f>
        <v>0</v>
      </c>
      <c r="AI1142" s="64">
        <f>IF(Table1[[#This Row],[GameIsOver]]=0,0,IF(Table1[[#This Row],[ActualWinner]]=Table1[[#This Row],[HomeTeam]], 1, 0))</f>
        <v>0</v>
      </c>
      <c r="AJ1142" s="64">
        <f>IF(INDEX(Standings!$A$2:$C$33,MATCH(Table1[[#This Row],[AwayTeam]],Standings!$A$2:$A$33,0),2)=INDEX(Standings!$A$2:$C$33,MATCH(Table1[[#This Row],[HomeTeam]],Standings!$A$2:$A$33,0),2),1,0)</f>
        <v>1</v>
      </c>
      <c r="AK1142" s="64">
        <f>IF(INDEX(Standings!$A$2:$C$33,MATCH(Table1[[#This Row],[AwayTeam]],Standings!$A$2:$A$33,0),3)=INDEX(Standings!$A$2:$C$33,MATCH(Table1[[#This Row],[HomeTeam]],Standings!$A$2:$A$33,0),3),1,0)</f>
        <v>1</v>
      </c>
      <c r="AL1142" s="64">
        <f>IF(Table1[[#This Row],[InterConf]]=1,IF(Table1[[#This Row],[InterDiv]]=0, 1, 0), 0)</f>
        <v>0</v>
      </c>
      <c r="AM1142" s="64">
        <f>IF(INDEX(Standings!$A$2:$C$33,MATCH(Table1[[#This Row],[AwayTeam]],Standings!$A$2:$A$33,0),2)&lt;&gt;INDEX(Standings!$A$2:$C$33,MATCH(Table1[[#This Row],[HomeTeam]],Standings!$A$2:$A$33,0),2),1,0)</f>
        <v>0</v>
      </c>
      <c r="AN1142" s="64" t="str">
        <f>INDEX(Table2[AWAY_RECORD], MATCH(Table1[[#This Row],[AwayTeam]],Table2[Team], 0), 0)</f>
        <v>2-0-0</v>
      </c>
      <c r="AO1142" s="64" t="str">
        <f>INDEX(Records!$B$2:$AG$33, MATCH(Table1[[#This Row],[AwayTeam]],Records!$A$2:$A$33, 0), MATCH(Table1[[#This Row],[HomeTeam]],Records!$A$2:$A$33, 0))</f>
        <v>0-0-0</v>
      </c>
      <c r="AP1142" s="64" t="str">
        <f>INDEX(Table2[HOME_RECORD], MATCH(Table1[[#This Row],[HomeTeam]],Table2[Team], 0), 0)</f>
        <v>0-2-0</v>
      </c>
      <c r="AQ1142" s="64" t="str">
        <f>INDEX(Records!$B$2:$AG$33, MATCH(Table1[[#This Row],[HomeTeam]],Records!$A$2:$A$33, 0), MATCH(Table1[[#This Row],[AwayTeam]],Records!$A$2:$A$33, 0))</f>
        <v>0-0-0</v>
      </c>
    </row>
    <row r="1143" spans="1:43" x14ac:dyDescent="0.25">
      <c r="A1143" s="1"/>
      <c r="D1143" t="s">
        <v>1485</v>
      </c>
      <c r="E1143" t="s">
        <v>178</v>
      </c>
      <c r="F1143" t="s">
        <v>1490</v>
      </c>
      <c r="G1143" t="s">
        <v>43</v>
      </c>
      <c r="H1143" t="s">
        <v>58</v>
      </c>
      <c r="L114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4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43" s="1"/>
      <c r="T1143" s="64" t="str">
        <f>IF(Table1[[#This Row],[ActualWinner]]="", "", IF(Table1[[#This Row],[AwayTeam]]=Table1[[#This Row],[ActualWinner]],Table1[[#This Row],[HomeTeam]],Table1[[#This Row],[AwayTeam]]))</f>
        <v/>
      </c>
      <c r="U1143" s="64">
        <f>Table1[[#This Row],[ActualAwayScore]]-Table1[[#This Row],[PredictedAwayScore]]</f>
        <v>0</v>
      </c>
      <c r="V1143" s="64">
        <f>Table1[[#This Row],[ActualHomeScore]]-Table1[[#This Row],[PredictedHomeScore]]</f>
        <v>0</v>
      </c>
      <c r="W1143" s="64">
        <f>(0.8*IF(Table1[[#This Row],[CorrectWinnerPrediction]]=1, 1, 0))+(0.1*IF(Table1[[#This Row],[CorrectAwayScorePrediction]]=1, 1, 0))+(0.1*IF(Table1[[#This Row],[CorrectHomeScorePrediction]]=1, 1, 0))</f>
        <v>0</v>
      </c>
      <c r="X114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43" s="64">
        <f>SUMIF(Table1[GameDate], Table1[[#This Row],[GameDate]], Table1[AwayGameGoalDiff])</f>
        <v>0</v>
      </c>
      <c r="AA1143" s="64">
        <f>SUMIF(Table1[GameDate], Table1[[#This Row],[GameDate]], Table1[HomeGameGoalDiff])</f>
        <v>0</v>
      </c>
      <c r="AB1143" s="64">
        <f>IF(ISBLANK(Table1[[#This Row],[ActualResult]]), 0, 1)</f>
        <v>0</v>
      </c>
      <c r="AC1143" s="64">
        <f>IF(ISBLANK(Table1[[#This Row],[ActualResult]]), 0, IF(Table1[[#This Row],[ActualWinner]]=Table1[[#This Row],[PredictedWinner]], 1, 0))</f>
        <v>0</v>
      </c>
      <c r="AD114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4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43" s="64">
        <f>IF(AND(Table1[[#This Row],[GameIsOver]]=1,Table1[[#This Row],[ActualAwayScore]]=0), 1,0)</f>
        <v>0</v>
      </c>
      <c r="AG1143" s="64">
        <f>IF(AND(Table1[[#This Row],[GameIsOver]]=1,Table1[[#This Row],[ActualHomeScore]]=0), 1,0)</f>
        <v>0</v>
      </c>
      <c r="AH1143" s="64">
        <f>IF(Table1[[#This Row],[GameIsOver]]=0,0,IF(Table1[[#This Row],[ActualWinner]]=Table1[[#This Row],[AwayTeam]], 1, 0))</f>
        <v>0</v>
      </c>
      <c r="AI1143" s="64">
        <f>IF(Table1[[#This Row],[GameIsOver]]=0,0,IF(Table1[[#This Row],[ActualWinner]]=Table1[[#This Row],[HomeTeam]], 1, 0))</f>
        <v>0</v>
      </c>
      <c r="AJ1143" s="64">
        <f>IF(INDEX(Standings!$A$2:$C$33,MATCH(Table1[[#This Row],[AwayTeam]],Standings!$A$2:$A$33,0),2)=INDEX(Standings!$A$2:$C$33,MATCH(Table1[[#This Row],[HomeTeam]],Standings!$A$2:$A$33,0),2),1,0)</f>
        <v>1</v>
      </c>
      <c r="AK1143" s="64">
        <f>IF(INDEX(Standings!$A$2:$C$33,MATCH(Table1[[#This Row],[AwayTeam]],Standings!$A$2:$A$33,0),3)=INDEX(Standings!$A$2:$C$33,MATCH(Table1[[#This Row],[HomeTeam]],Standings!$A$2:$A$33,0),3),1,0)</f>
        <v>1</v>
      </c>
      <c r="AL1143" s="64">
        <f>IF(Table1[[#This Row],[InterConf]]=1,IF(Table1[[#This Row],[InterDiv]]=0, 1, 0), 0)</f>
        <v>0</v>
      </c>
      <c r="AM1143" s="64">
        <f>IF(INDEX(Standings!$A$2:$C$33,MATCH(Table1[[#This Row],[AwayTeam]],Standings!$A$2:$A$33,0),2)&lt;&gt;INDEX(Standings!$A$2:$C$33,MATCH(Table1[[#This Row],[HomeTeam]],Standings!$A$2:$A$33,0),2),1,0)</f>
        <v>0</v>
      </c>
      <c r="AN1143" s="64" t="str">
        <f>INDEX(Table2[AWAY_RECORD], MATCH(Table1[[#This Row],[AwayTeam]],Table2[Team], 0), 0)</f>
        <v>0-0-0</v>
      </c>
      <c r="AO1143" s="64" t="str">
        <f>INDEX(Records!$B$2:$AG$33, MATCH(Table1[[#This Row],[AwayTeam]],Records!$A$2:$A$33, 0), MATCH(Table1[[#This Row],[HomeTeam]],Records!$A$2:$A$33, 0))</f>
        <v>0-0-0</v>
      </c>
      <c r="AP1143" s="64" t="str">
        <f>INDEX(Table2[HOME_RECORD], MATCH(Table1[[#This Row],[HomeTeam]],Table2[Team], 0), 0)</f>
        <v>1-0-0</v>
      </c>
      <c r="AQ1143" s="64" t="str">
        <f>INDEX(Records!$B$2:$AG$33, MATCH(Table1[[#This Row],[HomeTeam]],Records!$A$2:$A$33, 0), MATCH(Table1[[#This Row],[AwayTeam]],Records!$A$2:$A$33, 0))</f>
        <v>0-0-0</v>
      </c>
    </row>
    <row r="1144" spans="1:43" x14ac:dyDescent="0.25">
      <c r="A1144" s="1"/>
      <c r="D1144" t="s">
        <v>1485</v>
      </c>
      <c r="E1144" t="s">
        <v>301</v>
      </c>
      <c r="F1144" t="s">
        <v>1491</v>
      </c>
      <c r="G1144" t="s">
        <v>45</v>
      </c>
      <c r="H1144" t="s">
        <v>41</v>
      </c>
      <c r="L114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4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44" s="1"/>
      <c r="T1144" s="64" t="str">
        <f>IF(Table1[[#This Row],[ActualWinner]]="", "", IF(Table1[[#This Row],[AwayTeam]]=Table1[[#This Row],[ActualWinner]],Table1[[#This Row],[HomeTeam]],Table1[[#This Row],[AwayTeam]]))</f>
        <v/>
      </c>
      <c r="U1144" s="64">
        <f>Table1[[#This Row],[ActualAwayScore]]-Table1[[#This Row],[PredictedAwayScore]]</f>
        <v>0</v>
      </c>
      <c r="V1144" s="64">
        <f>Table1[[#This Row],[ActualHomeScore]]-Table1[[#This Row],[PredictedHomeScore]]</f>
        <v>0</v>
      </c>
      <c r="W1144" s="64">
        <f>(0.8*IF(Table1[[#This Row],[CorrectWinnerPrediction]]=1, 1, 0))+(0.1*IF(Table1[[#This Row],[CorrectAwayScorePrediction]]=1, 1, 0))+(0.1*IF(Table1[[#This Row],[CorrectHomeScorePrediction]]=1, 1, 0))</f>
        <v>0</v>
      </c>
      <c r="X114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44" s="64">
        <f>SUMIF(Table1[GameDate], Table1[[#This Row],[GameDate]], Table1[AwayGameGoalDiff])</f>
        <v>0</v>
      </c>
      <c r="AA1144" s="64">
        <f>SUMIF(Table1[GameDate], Table1[[#This Row],[GameDate]], Table1[HomeGameGoalDiff])</f>
        <v>0</v>
      </c>
      <c r="AB1144" s="64">
        <f>IF(ISBLANK(Table1[[#This Row],[ActualResult]]), 0, 1)</f>
        <v>0</v>
      </c>
      <c r="AC1144" s="64">
        <f>IF(ISBLANK(Table1[[#This Row],[ActualResult]]), 0, IF(Table1[[#This Row],[ActualWinner]]=Table1[[#This Row],[PredictedWinner]], 1, 0))</f>
        <v>0</v>
      </c>
      <c r="AD114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4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44" s="64">
        <f>IF(AND(Table1[[#This Row],[GameIsOver]]=1,Table1[[#This Row],[ActualAwayScore]]=0), 1,0)</f>
        <v>0</v>
      </c>
      <c r="AG1144" s="64">
        <f>IF(AND(Table1[[#This Row],[GameIsOver]]=1,Table1[[#This Row],[ActualHomeScore]]=0), 1,0)</f>
        <v>0</v>
      </c>
      <c r="AH1144" s="64">
        <f>IF(Table1[[#This Row],[GameIsOver]]=0,0,IF(Table1[[#This Row],[ActualWinner]]=Table1[[#This Row],[AwayTeam]], 1, 0))</f>
        <v>0</v>
      </c>
      <c r="AI1144" s="64">
        <f>IF(Table1[[#This Row],[GameIsOver]]=0,0,IF(Table1[[#This Row],[ActualWinner]]=Table1[[#This Row],[HomeTeam]], 1, 0))</f>
        <v>0</v>
      </c>
      <c r="AJ1144" s="64">
        <f>IF(INDEX(Standings!$A$2:$C$33,MATCH(Table1[[#This Row],[AwayTeam]],Standings!$A$2:$A$33,0),2)=INDEX(Standings!$A$2:$C$33,MATCH(Table1[[#This Row],[HomeTeam]],Standings!$A$2:$A$33,0),2),1,0)</f>
        <v>1</v>
      </c>
      <c r="AK1144" s="64">
        <f>IF(INDEX(Standings!$A$2:$C$33,MATCH(Table1[[#This Row],[AwayTeam]],Standings!$A$2:$A$33,0),3)=INDEX(Standings!$A$2:$C$33,MATCH(Table1[[#This Row],[HomeTeam]],Standings!$A$2:$A$33,0),3),1,0)</f>
        <v>0</v>
      </c>
      <c r="AL1144" s="64">
        <f>IF(Table1[[#This Row],[InterConf]]=1,IF(Table1[[#This Row],[InterDiv]]=0, 1, 0), 0)</f>
        <v>1</v>
      </c>
      <c r="AM1144" s="64">
        <f>IF(INDEX(Standings!$A$2:$C$33,MATCH(Table1[[#This Row],[AwayTeam]],Standings!$A$2:$A$33,0),2)&lt;&gt;INDEX(Standings!$A$2:$C$33,MATCH(Table1[[#This Row],[HomeTeam]],Standings!$A$2:$A$33,0),2),1,0)</f>
        <v>0</v>
      </c>
      <c r="AN1144" s="64" t="str">
        <f>INDEX(Table2[AWAY_RECORD], MATCH(Table1[[#This Row],[AwayTeam]],Table2[Team], 0), 0)</f>
        <v>1-0-0</v>
      </c>
      <c r="AO1144" s="64" t="str">
        <f>INDEX(Records!$B$2:$AG$33, MATCH(Table1[[#This Row],[AwayTeam]],Records!$A$2:$A$33, 0), MATCH(Table1[[#This Row],[HomeTeam]],Records!$A$2:$A$33, 0))</f>
        <v>0-0-0</v>
      </c>
      <c r="AP1144" s="64" t="str">
        <f>INDEX(Table2[HOME_RECORD], MATCH(Table1[[#This Row],[HomeTeam]],Table2[Team], 0), 0)</f>
        <v>0-0-1</v>
      </c>
      <c r="AQ1144" s="64" t="str">
        <f>INDEX(Records!$B$2:$AG$33, MATCH(Table1[[#This Row],[HomeTeam]],Records!$A$2:$A$33, 0), MATCH(Table1[[#This Row],[AwayTeam]],Records!$A$2:$A$33, 0))</f>
        <v>0-0-0</v>
      </c>
    </row>
    <row r="1145" spans="1:43" x14ac:dyDescent="0.25">
      <c r="A1145" s="1"/>
      <c r="D1145" t="s">
        <v>1485</v>
      </c>
      <c r="E1145" t="s">
        <v>301</v>
      </c>
      <c r="F1145" t="s">
        <v>1492</v>
      </c>
      <c r="G1145" t="s">
        <v>48</v>
      </c>
      <c r="H1145" t="s">
        <v>39</v>
      </c>
      <c r="L114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4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45" s="1"/>
      <c r="T1145" s="64" t="str">
        <f>IF(Table1[[#This Row],[ActualWinner]]="", "", IF(Table1[[#This Row],[AwayTeam]]=Table1[[#This Row],[ActualWinner]],Table1[[#This Row],[HomeTeam]],Table1[[#This Row],[AwayTeam]]))</f>
        <v/>
      </c>
      <c r="U1145" s="64">
        <f>Table1[[#This Row],[ActualAwayScore]]-Table1[[#This Row],[PredictedAwayScore]]</f>
        <v>0</v>
      </c>
      <c r="V1145" s="64">
        <f>Table1[[#This Row],[ActualHomeScore]]-Table1[[#This Row],[PredictedHomeScore]]</f>
        <v>0</v>
      </c>
      <c r="W1145" s="64">
        <f>(0.8*IF(Table1[[#This Row],[CorrectWinnerPrediction]]=1, 1, 0))+(0.1*IF(Table1[[#This Row],[CorrectAwayScorePrediction]]=1, 1, 0))+(0.1*IF(Table1[[#This Row],[CorrectHomeScorePrediction]]=1, 1, 0))</f>
        <v>0</v>
      </c>
      <c r="X114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45" s="64">
        <f>SUMIF(Table1[GameDate], Table1[[#This Row],[GameDate]], Table1[AwayGameGoalDiff])</f>
        <v>0</v>
      </c>
      <c r="AA1145" s="64">
        <f>SUMIF(Table1[GameDate], Table1[[#This Row],[GameDate]], Table1[HomeGameGoalDiff])</f>
        <v>0</v>
      </c>
      <c r="AB1145" s="64">
        <f>IF(ISBLANK(Table1[[#This Row],[ActualResult]]), 0, 1)</f>
        <v>0</v>
      </c>
      <c r="AC1145" s="64">
        <f>IF(ISBLANK(Table1[[#This Row],[ActualResult]]), 0, IF(Table1[[#This Row],[ActualWinner]]=Table1[[#This Row],[PredictedWinner]], 1, 0))</f>
        <v>0</v>
      </c>
      <c r="AD114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4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45" s="64">
        <f>IF(AND(Table1[[#This Row],[GameIsOver]]=1,Table1[[#This Row],[ActualAwayScore]]=0), 1,0)</f>
        <v>0</v>
      </c>
      <c r="AG1145" s="64">
        <f>IF(AND(Table1[[#This Row],[GameIsOver]]=1,Table1[[#This Row],[ActualHomeScore]]=0), 1,0)</f>
        <v>0</v>
      </c>
      <c r="AH1145" s="64">
        <f>IF(Table1[[#This Row],[GameIsOver]]=0,0,IF(Table1[[#This Row],[ActualWinner]]=Table1[[#This Row],[AwayTeam]], 1, 0))</f>
        <v>0</v>
      </c>
      <c r="AI1145" s="64">
        <f>IF(Table1[[#This Row],[GameIsOver]]=0,0,IF(Table1[[#This Row],[ActualWinner]]=Table1[[#This Row],[HomeTeam]], 1, 0))</f>
        <v>0</v>
      </c>
      <c r="AJ1145" s="64">
        <f>IF(INDEX(Standings!$A$2:$C$33,MATCH(Table1[[#This Row],[AwayTeam]],Standings!$A$2:$A$33,0),2)=INDEX(Standings!$A$2:$C$33,MATCH(Table1[[#This Row],[HomeTeam]],Standings!$A$2:$A$33,0),2),1,0)</f>
        <v>1</v>
      </c>
      <c r="AK1145" s="64">
        <f>IF(INDEX(Standings!$A$2:$C$33,MATCH(Table1[[#This Row],[AwayTeam]],Standings!$A$2:$A$33,0),3)=INDEX(Standings!$A$2:$C$33,MATCH(Table1[[#This Row],[HomeTeam]],Standings!$A$2:$A$33,0),3),1,0)</f>
        <v>0</v>
      </c>
      <c r="AL1145" s="64">
        <f>IF(Table1[[#This Row],[InterConf]]=1,IF(Table1[[#This Row],[InterDiv]]=0, 1, 0), 0)</f>
        <v>1</v>
      </c>
      <c r="AM1145" s="64">
        <f>IF(INDEX(Standings!$A$2:$C$33,MATCH(Table1[[#This Row],[AwayTeam]],Standings!$A$2:$A$33,0),2)&lt;&gt;INDEX(Standings!$A$2:$C$33,MATCH(Table1[[#This Row],[HomeTeam]],Standings!$A$2:$A$33,0),2),1,0)</f>
        <v>0</v>
      </c>
      <c r="AN1145" s="64" t="str">
        <f>INDEX(Table2[AWAY_RECORD], MATCH(Table1[[#This Row],[AwayTeam]],Table2[Team], 0), 0)</f>
        <v>0-0-0</v>
      </c>
      <c r="AO1145" s="64" t="str">
        <f>INDEX(Records!$B$2:$AG$33, MATCH(Table1[[#This Row],[AwayTeam]],Records!$A$2:$A$33, 0), MATCH(Table1[[#This Row],[HomeTeam]],Records!$A$2:$A$33, 0))</f>
        <v>0-0-0</v>
      </c>
      <c r="AP1145" s="64" t="str">
        <f>INDEX(Table2[HOME_RECORD], MATCH(Table1[[#This Row],[HomeTeam]],Table2[Team], 0), 0)</f>
        <v>0-1-0</v>
      </c>
      <c r="AQ1145" s="64" t="str">
        <f>INDEX(Records!$B$2:$AG$33, MATCH(Table1[[#This Row],[HomeTeam]],Records!$A$2:$A$33, 0), MATCH(Table1[[#This Row],[AwayTeam]],Records!$A$2:$A$33, 0))</f>
        <v>0-0-0</v>
      </c>
    </row>
    <row r="1146" spans="1:43" x14ac:dyDescent="0.25">
      <c r="A1146" s="1"/>
      <c r="D1146" t="s">
        <v>1485</v>
      </c>
      <c r="E1146" t="s">
        <v>225</v>
      </c>
      <c r="F1146" t="s">
        <v>1493</v>
      </c>
      <c r="G1146" t="s">
        <v>61</v>
      </c>
      <c r="H1146" t="s">
        <v>56</v>
      </c>
      <c r="L114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4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46" s="1"/>
      <c r="T1146" s="64" t="str">
        <f>IF(Table1[[#This Row],[ActualWinner]]="", "", IF(Table1[[#This Row],[AwayTeam]]=Table1[[#This Row],[ActualWinner]],Table1[[#This Row],[HomeTeam]],Table1[[#This Row],[AwayTeam]]))</f>
        <v/>
      </c>
      <c r="U1146" s="64">
        <f>Table1[[#This Row],[ActualAwayScore]]-Table1[[#This Row],[PredictedAwayScore]]</f>
        <v>0</v>
      </c>
      <c r="V1146" s="64">
        <f>Table1[[#This Row],[ActualHomeScore]]-Table1[[#This Row],[PredictedHomeScore]]</f>
        <v>0</v>
      </c>
      <c r="W1146" s="64">
        <f>(0.8*IF(Table1[[#This Row],[CorrectWinnerPrediction]]=1, 1, 0))+(0.1*IF(Table1[[#This Row],[CorrectAwayScorePrediction]]=1, 1, 0))+(0.1*IF(Table1[[#This Row],[CorrectHomeScorePrediction]]=1, 1, 0))</f>
        <v>0</v>
      </c>
      <c r="X114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46" s="64">
        <f>SUMIF(Table1[GameDate], Table1[[#This Row],[GameDate]], Table1[AwayGameGoalDiff])</f>
        <v>0</v>
      </c>
      <c r="AA1146" s="64">
        <f>SUMIF(Table1[GameDate], Table1[[#This Row],[GameDate]], Table1[HomeGameGoalDiff])</f>
        <v>0</v>
      </c>
      <c r="AB1146" s="64">
        <f>IF(ISBLANK(Table1[[#This Row],[ActualResult]]), 0, 1)</f>
        <v>0</v>
      </c>
      <c r="AC1146" s="64">
        <f>IF(ISBLANK(Table1[[#This Row],[ActualResult]]), 0, IF(Table1[[#This Row],[ActualWinner]]=Table1[[#This Row],[PredictedWinner]], 1, 0))</f>
        <v>0</v>
      </c>
      <c r="AD114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4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46" s="64">
        <f>IF(AND(Table1[[#This Row],[GameIsOver]]=1,Table1[[#This Row],[ActualAwayScore]]=0), 1,0)</f>
        <v>0</v>
      </c>
      <c r="AG1146" s="64">
        <f>IF(AND(Table1[[#This Row],[GameIsOver]]=1,Table1[[#This Row],[ActualHomeScore]]=0), 1,0)</f>
        <v>0</v>
      </c>
      <c r="AH1146" s="64">
        <f>IF(Table1[[#This Row],[GameIsOver]]=0,0,IF(Table1[[#This Row],[ActualWinner]]=Table1[[#This Row],[AwayTeam]], 1, 0))</f>
        <v>0</v>
      </c>
      <c r="AI1146" s="64">
        <f>IF(Table1[[#This Row],[GameIsOver]]=0,0,IF(Table1[[#This Row],[ActualWinner]]=Table1[[#This Row],[HomeTeam]], 1, 0))</f>
        <v>0</v>
      </c>
      <c r="AJ1146" s="64">
        <f>IF(INDEX(Standings!$A$2:$C$33,MATCH(Table1[[#This Row],[AwayTeam]],Standings!$A$2:$A$33,0),2)=INDEX(Standings!$A$2:$C$33,MATCH(Table1[[#This Row],[HomeTeam]],Standings!$A$2:$A$33,0),2),1,0)</f>
        <v>1</v>
      </c>
      <c r="AK1146" s="64">
        <f>IF(INDEX(Standings!$A$2:$C$33,MATCH(Table1[[#This Row],[AwayTeam]],Standings!$A$2:$A$33,0),3)=INDEX(Standings!$A$2:$C$33,MATCH(Table1[[#This Row],[HomeTeam]],Standings!$A$2:$A$33,0),3),1,0)</f>
        <v>0</v>
      </c>
      <c r="AL1146" s="64">
        <f>IF(Table1[[#This Row],[InterConf]]=1,IF(Table1[[#This Row],[InterDiv]]=0, 1, 0), 0)</f>
        <v>1</v>
      </c>
      <c r="AM1146" s="64">
        <f>IF(INDEX(Standings!$A$2:$C$33,MATCH(Table1[[#This Row],[AwayTeam]],Standings!$A$2:$A$33,0),2)&lt;&gt;INDEX(Standings!$A$2:$C$33,MATCH(Table1[[#This Row],[HomeTeam]],Standings!$A$2:$A$33,0),2),1,0)</f>
        <v>0</v>
      </c>
      <c r="AN1146" s="64" t="str">
        <f>INDEX(Table2[AWAY_RECORD], MATCH(Table1[[#This Row],[AwayTeam]],Table2[Team], 0), 0)</f>
        <v>0-0-0</v>
      </c>
      <c r="AO1146" s="64" t="str">
        <f>INDEX(Records!$B$2:$AG$33, MATCH(Table1[[#This Row],[AwayTeam]],Records!$A$2:$A$33, 0), MATCH(Table1[[#This Row],[HomeTeam]],Records!$A$2:$A$33, 0))</f>
        <v>0-0-0</v>
      </c>
      <c r="AP1146" s="64" t="str">
        <f>INDEX(Table2[HOME_RECORD], MATCH(Table1[[#This Row],[HomeTeam]],Table2[Team], 0), 0)</f>
        <v>0-0-0</v>
      </c>
      <c r="AQ1146" s="64" t="str">
        <f>INDEX(Records!$B$2:$AG$33, MATCH(Table1[[#This Row],[HomeTeam]],Records!$A$2:$A$33, 0), MATCH(Table1[[#This Row],[AwayTeam]],Records!$A$2:$A$33, 0))</f>
        <v>0-0-0</v>
      </c>
    </row>
    <row r="1147" spans="1:43" x14ac:dyDescent="0.25">
      <c r="A1147" s="1"/>
      <c r="D1147" t="s">
        <v>1485</v>
      </c>
      <c r="E1147" t="s">
        <v>164</v>
      </c>
      <c r="F1147" t="s">
        <v>1494</v>
      </c>
      <c r="G1147" t="s">
        <v>60</v>
      </c>
      <c r="H1147" t="s">
        <v>25</v>
      </c>
      <c r="L114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4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47" s="1"/>
      <c r="T1147" s="64" t="str">
        <f>IF(Table1[[#This Row],[ActualWinner]]="", "", IF(Table1[[#This Row],[AwayTeam]]=Table1[[#This Row],[ActualWinner]],Table1[[#This Row],[HomeTeam]],Table1[[#This Row],[AwayTeam]]))</f>
        <v/>
      </c>
      <c r="U1147" s="64">
        <f>Table1[[#This Row],[ActualAwayScore]]-Table1[[#This Row],[PredictedAwayScore]]</f>
        <v>0</v>
      </c>
      <c r="V1147" s="64">
        <f>Table1[[#This Row],[ActualHomeScore]]-Table1[[#This Row],[PredictedHomeScore]]</f>
        <v>0</v>
      </c>
      <c r="W1147" s="64">
        <f>(0.8*IF(Table1[[#This Row],[CorrectWinnerPrediction]]=1, 1, 0))+(0.1*IF(Table1[[#This Row],[CorrectAwayScorePrediction]]=1, 1, 0))+(0.1*IF(Table1[[#This Row],[CorrectHomeScorePrediction]]=1, 1, 0))</f>
        <v>0</v>
      </c>
      <c r="X114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47" s="64">
        <f>SUMIF(Table1[GameDate], Table1[[#This Row],[GameDate]], Table1[AwayGameGoalDiff])</f>
        <v>0</v>
      </c>
      <c r="AA1147" s="64">
        <f>SUMIF(Table1[GameDate], Table1[[#This Row],[GameDate]], Table1[HomeGameGoalDiff])</f>
        <v>0</v>
      </c>
      <c r="AB1147" s="64">
        <f>IF(ISBLANK(Table1[[#This Row],[ActualResult]]), 0, 1)</f>
        <v>0</v>
      </c>
      <c r="AC1147" s="64">
        <f>IF(ISBLANK(Table1[[#This Row],[ActualResult]]), 0, IF(Table1[[#This Row],[ActualWinner]]=Table1[[#This Row],[PredictedWinner]], 1, 0))</f>
        <v>0</v>
      </c>
      <c r="AD114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4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47" s="64">
        <f>IF(AND(Table1[[#This Row],[GameIsOver]]=1,Table1[[#This Row],[ActualAwayScore]]=0), 1,0)</f>
        <v>0</v>
      </c>
      <c r="AG1147" s="64">
        <f>IF(AND(Table1[[#This Row],[GameIsOver]]=1,Table1[[#This Row],[ActualHomeScore]]=0), 1,0)</f>
        <v>0</v>
      </c>
      <c r="AH1147" s="64">
        <f>IF(Table1[[#This Row],[GameIsOver]]=0,0,IF(Table1[[#This Row],[ActualWinner]]=Table1[[#This Row],[AwayTeam]], 1, 0))</f>
        <v>0</v>
      </c>
      <c r="AI1147" s="64">
        <f>IF(Table1[[#This Row],[GameIsOver]]=0,0,IF(Table1[[#This Row],[ActualWinner]]=Table1[[#This Row],[HomeTeam]], 1, 0))</f>
        <v>0</v>
      </c>
      <c r="AJ1147" s="64">
        <f>IF(INDEX(Standings!$A$2:$C$33,MATCH(Table1[[#This Row],[AwayTeam]],Standings!$A$2:$A$33,0),2)=INDEX(Standings!$A$2:$C$33,MATCH(Table1[[#This Row],[HomeTeam]],Standings!$A$2:$A$33,0),2),1,0)</f>
        <v>1</v>
      </c>
      <c r="AK1147" s="64">
        <f>IF(INDEX(Standings!$A$2:$C$33,MATCH(Table1[[#This Row],[AwayTeam]],Standings!$A$2:$A$33,0),3)=INDEX(Standings!$A$2:$C$33,MATCH(Table1[[#This Row],[HomeTeam]],Standings!$A$2:$A$33,0),3),1,0)</f>
        <v>0</v>
      </c>
      <c r="AL1147" s="64">
        <f>IF(Table1[[#This Row],[InterConf]]=1,IF(Table1[[#This Row],[InterDiv]]=0, 1, 0), 0)</f>
        <v>1</v>
      </c>
      <c r="AM1147" s="64">
        <f>IF(INDEX(Standings!$A$2:$C$33,MATCH(Table1[[#This Row],[AwayTeam]],Standings!$A$2:$A$33,0),2)&lt;&gt;INDEX(Standings!$A$2:$C$33,MATCH(Table1[[#This Row],[HomeTeam]],Standings!$A$2:$A$33,0),2),1,0)</f>
        <v>0</v>
      </c>
      <c r="AN1147" s="64" t="str">
        <f>INDEX(Table2[AWAY_RECORD], MATCH(Table1[[#This Row],[AwayTeam]],Table2[Team], 0), 0)</f>
        <v>0-0-0</v>
      </c>
      <c r="AO1147" s="64" t="str">
        <f>INDEX(Records!$B$2:$AG$33, MATCH(Table1[[#This Row],[AwayTeam]],Records!$A$2:$A$33, 0), MATCH(Table1[[#This Row],[HomeTeam]],Records!$A$2:$A$33, 0))</f>
        <v>0-0-0</v>
      </c>
      <c r="AP1147" s="64" t="str">
        <f>INDEX(Table2[HOME_RECORD], MATCH(Table1[[#This Row],[HomeTeam]],Table2[Team], 0), 0)</f>
        <v>0-0-1</v>
      </c>
      <c r="AQ1147" s="64" t="str">
        <f>INDEX(Records!$B$2:$AG$33, MATCH(Table1[[#This Row],[HomeTeam]],Records!$A$2:$A$33, 0), MATCH(Table1[[#This Row],[AwayTeam]],Records!$A$2:$A$33, 0))</f>
        <v>0-0-0</v>
      </c>
    </row>
    <row r="1148" spans="1:43" x14ac:dyDescent="0.25">
      <c r="A1148" s="1"/>
      <c r="D1148" t="s">
        <v>1495</v>
      </c>
      <c r="E1148" t="s">
        <v>160</v>
      </c>
      <c r="F1148" t="s">
        <v>1496</v>
      </c>
      <c r="G1148" t="s">
        <v>17</v>
      </c>
      <c r="H1148" t="s">
        <v>47</v>
      </c>
      <c r="L114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4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48" s="1"/>
      <c r="T1148" s="64" t="str">
        <f>IF(Table1[[#This Row],[ActualWinner]]="", "", IF(Table1[[#This Row],[AwayTeam]]=Table1[[#This Row],[ActualWinner]],Table1[[#This Row],[HomeTeam]],Table1[[#This Row],[AwayTeam]]))</f>
        <v/>
      </c>
      <c r="U1148" s="64">
        <f>Table1[[#This Row],[ActualAwayScore]]-Table1[[#This Row],[PredictedAwayScore]]</f>
        <v>0</v>
      </c>
      <c r="V1148" s="64">
        <f>Table1[[#This Row],[ActualHomeScore]]-Table1[[#This Row],[PredictedHomeScore]]</f>
        <v>0</v>
      </c>
      <c r="W1148" s="64">
        <f>(0.8*IF(Table1[[#This Row],[CorrectWinnerPrediction]]=1, 1, 0))+(0.1*IF(Table1[[#This Row],[CorrectAwayScorePrediction]]=1, 1, 0))+(0.1*IF(Table1[[#This Row],[CorrectHomeScorePrediction]]=1, 1, 0))</f>
        <v>0</v>
      </c>
      <c r="X114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48" s="64">
        <f>SUMIF(Table1[GameDate], Table1[[#This Row],[GameDate]], Table1[AwayGameGoalDiff])</f>
        <v>0</v>
      </c>
      <c r="AA1148" s="64">
        <f>SUMIF(Table1[GameDate], Table1[[#This Row],[GameDate]], Table1[HomeGameGoalDiff])</f>
        <v>0</v>
      </c>
      <c r="AB1148" s="64">
        <f>IF(ISBLANK(Table1[[#This Row],[ActualResult]]), 0, 1)</f>
        <v>0</v>
      </c>
      <c r="AC1148" s="64">
        <f>IF(ISBLANK(Table1[[#This Row],[ActualResult]]), 0, IF(Table1[[#This Row],[ActualWinner]]=Table1[[#This Row],[PredictedWinner]], 1, 0))</f>
        <v>0</v>
      </c>
      <c r="AD114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4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48" s="64">
        <f>IF(AND(Table1[[#This Row],[GameIsOver]]=1,Table1[[#This Row],[ActualAwayScore]]=0), 1,0)</f>
        <v>0</v>
      </c>
      <c r="AG1148" s="64">
        <f>IF(AND(Table1[[#This Row],[GameIsOver]]=1,Table1[[#This Row],[ActualHomeScore]]=0), 1,0)</f>
        <v>0</v>
      </c>
      <c r="AH1148" s="64">
        <f>IF(Table1[[#This Row],[GameIsOver]]=0,0,IF(Table1[[#This Row],[ActualWinner]]=Table1[[#This Row],[AwayTeam]], 1, 0))</f>
        <v>0</v>
      </c>
      <c r="AI1148" s="64">
        <f>IF(Table1[[#This Row],[GameIsOver]]=0,0,IF(Table1[[#This Row],[ActualWinner]]=Table1[[#This Row],[HomeTeam]], 1, 0))</f>
        <v>0</v>
      </c>
      <c r="AJ1148" s="64">
        <f>IF(INDEX(Standings!$A$2:$C$33,MATCH(Table1[[#This Row],[AwayTeam]],Standings!$A$2:$A$33,0),2)=INDEX(Standings!$A$2:$C$33,MATCH(Table1[[#This Row],[HomeTeam]],Standings!$A$2:$A$33,0),2),1,0)</f>
        <v>1</v>
      </c>
      <c r="AK1148" s="64">
        <f>IF(INDEX(Standings!$A$2:$C$33,MATCH(Table1[[#This Row],[AwayTeam]],Standings!$A$2:$A$33,0),3)=INDEX(Standings!$A$2:$C$33,MATCH(Table1[[#This Row],[HomeTeam]],Standings!$A$2:$A$33,0),3),1,0)</f>
        <v>1</v>
      </c>
      <c r="AL1148" s="64">
        <f>IF(Table1[[#This Row],[InterConf]]=1,IF(Table1[[#This Row],[InterDiv]]=0, 1, 0), 0)</f>
        <v>0</v>
      </c>
      <c r="AM1148" s="64">
        <f>IF(INDEX(Standings!$A$2:$C$33,MATCH(Table1[[#This Row],[AwayTeam]],Standings!$A$2:$A$33,0),2)&lt;&gt;INDEX(Standings!$A$2:$C$33,MATCH(Table1[[#This Row],[HomeTeam]],Standings!$A$2:$A$33,0),2),1,0)</f>
        <v>0</v>
      </c>
      <c r="AN1148" s="64" t="str">
        <f>INDEX(Table2[AWAY_RECORD], MATCH(Table1[[#This Row],[AwayTeam]],Table2[Team], 0), 0)</f>
        <v>2-0-0</v>
      </c>
      <c r="AO1148" s="64" t="str">
        <f>INDEX(Records!$B$2:$AG$33, MATCH(Table1[[#This Row],[AwayTeam]],Records!$A$2:$A$33, 0), MATCH(Table1[[#This Row],[HomeTeam]],Records!$A$2:$A$33, 0))</f>
        <v>0-0-0</v>
      </c>
      <c r="AP1148" s="64" t="str">
        <f>INDEX(Table2[HOME_RECORD], MATCH(Table1[[#This Row],[HomeTeam]],Table2[Team], 0), 0)</f>
        <v>0-0-0</v>
      </c>
      <c r="AQ1148" s="64" t="str">
        <f>INDEX(Records!$B$2:$AG$33, MATCH(Table1[[#This Row],[HomeTeam]],Records!$A$2:$A$33, 0), MATCH(Table1[[#This Row],[AwayTeam]],Records!$A$2:$A$33, 0))</f>
        <v>0-0-0</v>
      </c>
    </row>
    <row r="1149" spans="1:43" x14ac:dyDescent="0.25">
      <c r="A1149" s="1"/>
      <c r="D1149" t="s">
        <v>1495</v>
      </c>
      <c r="E1149" t="s">
        <v>160</v>
      </c>
      <c r="F1149" t="s">
        <v>1497</v>
      </c>
      <c r="G1149" t="s">
        <v>52</v>
      </c>
      <c r="H1149" t="s">
        <v>51</v>
      </c>
      <c r="L114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4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49" s="1"/>
      <c r="T1149" s="64" t="str">
        <f>IF(Table1[[#This Row],[ActualWinner]]="", "", IF(Table1[[#This Row],[AwayTeam]]=Table1[[#This Row],[ActualWinner]],Table1[[#This Row],[HomeTeam]],Table1[[#This Row],[AwayTeam]]))</f>
        <v/>
      </c>
      <c r="U1149" s="64">
        <f>Table1[[#This Row],[ActualAwayScore]]-Table1[[#This Row],[PredictedAwayScore]]</f>
        <v>0</v>
      </c>
      <c r="V1149" s="64">
        <f>Table1[[#This Row],[ActualHomeScore]]-Table1[[#This Row],[PredictedHomeScore]]</f>
        <v>0</v>
      </c>
      <c r="W1149" s="64">
        <f>(0.8*IF(Table1[[#This Row],[CorrectWinnerPrediction]]=1, 1, 0))+(0.1*IF(Table1[[#This Row],[CorrectAwayScorePrediction]]=1, 1, 0))+(0.1*IF(Table1[[#This Row],[CorrectHomeScorePrediction]]=1, 1, 0))</f>
        <v>0</v>
      </c>
      <c r="X114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49" s="64">
        <f>SUMIF(Table1[GameDate], Table1[[#This Row],[GameDate]], Table1[AwayGameGoalDiff])</f>
        <v>0</v>
      </c>
      <c r="AA1149" s="64">
        <f>SUMIF(Table1[GameDate], Table1[[#This Row],[GameDate]], Table1[HomeGameGoalDiff])</f>
        <v>0</v>
      </c>
      <c r="AB1149" s="64">
        <f>IF(ISBLANK(Table1[[#This Row],[ActualResult]]), 0, 1)</f>
        <v>0</v>
      </c>
      <c r="AC1149" s="64">
        <f>IF(ISBLANK(Table1[[#This Row],[ActualResult]]), 0, IF(Table1[[#This Row],[ActualWinner]]=Table1[[#This Row],[PredictedWinner]], 1, 0))</f>
        <v>0</v>
      </c>
      <c r="AD114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4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49" s="64">
        <f>IF(AND(Table1[[#This Row],[GameIsOver]]=1,Table1[[#This Row],[ActualAwayScore]]=0), 1,0)</f>
        <v>0</v>
      </c>
      <c r="AG1149" s="64">
        <f>IF(AND(Table1[[#This Row],[GameIsOver]]=1,Table1[[#This Row],[ActualHomeScore]]=0), 1,0)</f>
        <v>0</v>
      </c>
      <c r="AH1149" s="64">
        <f>IF(Table1[[#This Row],[GameIsOver]]=0,0,IF(Table1[[#This Row],[ActualWinner]]=Table1[[#This Row],[AwayTeam]], 1, 0))</f>
        <v>0</v>
      </c>
      <c r="AI1149" s="64">
        <f>IF(Table1[[#This Row],[GameIsOver]]=0,0,IF(Table1[[#This Row],[ActualWinner]]=Table1[[#This Row],[HomeTeam]], 1, 0))</f>
        <v>0</v>
      </c>
      <c r="AJ1149" s="64">
        <f>IF(INDEX(Standings!$A$2:$C$33,MATCH(Table1[[#This Row],[AwayTeam]],Standings!$A$2:$A$33,0),2)=INDEX(Standings!$A$2:$C$33,MATCH(Table1[[#This Row],[HomeTeam]],Standings!$A$2:$A$33,0),2),1,0)</f>
        <v>1</v>
      </c>
      <c r="AK1149" s="64">
        <f>IF(INDEX(Standings!$A$2:$C$33,MATCH(Table1[[#This Row],[AwayTeam]],Standings!$A$2:$A$33,0),3)=INDEX(Standings!$A$2:$C$33,MATCH(Table1[[#This Row],[HomeTeam]],Standings!$A$2:$A$33,0),3),1,0)</f>
        <v>0</v>
      </c>
      <c r="AL1149" s="64">
        <f>IF(Table1[[#This Row],[InterConf]]=1,IF(Table1[[#This Row],[InterDiv]]=0, 1, 0), 0)</f>
        <v>1</v>
      </c>
      <c r="AM1149" s="64">
        <f>IF(INDEX(Standings!$A$2:$C$33,MATCH(Table1[[#This Row],[AwayTeam]],Standings!$A$2:$A$33,0),2)&lt;&gt;INDEX(Standings!$A$2:$C$33,MATCH(Table1[[#This Row],[HomeTeam]],Standings!$A$2:$A$33,0),2),1,0)</f>
        <v>0</v>
      </c>
      <c r="AN1149" s="64" t="str">
        <f>INDEX(Table2[AWAY_RECORD], MATCH(Table1[[#This Row],[AwayTeam]],Table2[Team], 0), 0)</f>
        <v>0-0-0</v>
      </c>
      <c r="AO1149" s="64" t="str">
        <f>INDEX(Records!$B$2:$AG$33, MATCH(Table1[[#This Row],[AwayTeam]],Records!$A$2:$A$33, 0), MATCH(Table1[[#This Row],[HomeTeam]],Records!$A$2:$A$33, 0))</f>
        <v>0-0-0</v>
      </c>
      <c r="AP1149" s="64" t="str">
        <f>INDEX(Table2[HOME_RECORD], MATCH(Table1[[#This Row],[HomeTeam]],Table2[Team], 0), 0)</f>
        <v>1-0-0</v>
      </c>
      <c r="AQ1149" s="64" t="str">
        <f>INDEX(Records!$B$2:$AG$33, MATCH(Table1[[#This Row],[HomeTeam]],Records!$A$2:$A$33, 0), MATCH(Table1[[#This Row],[AwayTeam]],Records!$A$2:$A$33, 0))</f>
        <v>0-0-0</v>
      </c>
    </row>
    <row r="1150" spans="1:43" x14ac:dyDescent="0.25">
      <c r="A1150" s="1"/>
      <c r="D1150" t="s">
        <v>1495</v>
      </c>
      <c r="E1150" t="s">
        <v>160</v>
      </c>
      <c r="F1150" t="s">
        <v>1498</v>
      </c>
      <c r="G1150" t="s">
        <v>44</v>
      </c>
      <c r="H1150" t="s">
        <v>53</v>
      </c>
      <c r="L115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5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50" s="1"/>
      <c r="T1150" s="64" t="str">
        <f>IF(Table1[[#This Row],[ActualWinner]]="", "", IF(Table1[[#This Row],[AwayTeam]]=Table1[[#This Row],[ActualWinner]],Table1[[#This Row],[HomeTeam]],Table1[[#This Row],[AwayTeam]]))</f>
        <v/>
      </c>
      <c r="U1150" s="64">
        <f>Table1[[#This Row],[ActualAwayScore]]-Table1[[#This Row],[PredictedAwayScore]]</f>
        <v>0</v>
      </c>
      <c r="V1150" s="64">
        <f>Table1[[#This Row],[ActualHomeScore]]-Table1[[#This Row],[PredictedHomeScore]]</f>
        <v>0</v>
      </c>
      <c r="W1150" s="64">
        <f>(0.8*IF(Table1[[#This Row],[CorrectWinnerPrediction]]=1, 1, 0))+(0.1*IF(Table1[[#This Row],[CorrectAwayScorePrediction]]=1, 1, 0))+(0.1*IF(Table1[[#This Row],[CorrectHomeScorePrediction]]=1, 1, 0))</f>
        <v>0</v>
      </c>
      <c r="X115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50" s="64">
        <f>SUMIF(Table1[GameDate], Table1[[#This Row],[GameDate]], Table1[AwayGameGoalDiff])</f>
        <v>0</v>
      </c>
      <c r="AA1150" s="64">
        <f>SUMIF(Table1[GameDate], Table1[[#This Row],[GameDate]], Table1[HomeGameGoalDiff])</f>
        <v>0</v>
      </c>
      <c r="AB1150" s="64">
        <f>IF(ISBLANK(Table1[[#This Row],[ActualResult]]), 0, 1)</f>
        <v>0</v>
      </c>
      <c r="AC1150" s="64">
        <f>IF(ISBLANK(Table1[[#This Row],[ActualResult]]), 0, IF(Table1[[#This Row],[ActualWinner]]=Table1[[#This Row],[PredictedWinner]], 1, 0))</f>
        <v>0</v>
      </c>
      <c r="AD115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5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50" s="64">
        <f>IF(AND(Table1[[#This Row],[GameIsOver]]=1,Table1[[#This Row],[ActualAwayScore]]=0), 1,0)</f>
        <v>0</v>
      </c>
      <c r="AG1150" s="64">
        <f>IF(AND(Table1[[#This Row],[GameIsOver]]=1,Table1[[#This Row],[ActualHomeScore]]=0), 1,0)</f>
        <v>0</v>
      </c>
      <c r="AH1150" s="64">
        <f>IF(Table1[[#This Row],[GameIsOver]]=0,0,IF(Table1[[#This Row],[ActualWinner]]=Table1[[#This Row],[AwayTeam]], 1, 0))</f>
        <v>0</v>
      </c>
      <c r="AI1150" s="64">
        <f>IF(Table1[[#This Row],[GameIsOver]]=0,0,IF(Table1[[#This Row],[ActualWinner]]=Table1[[#This Row],[HomeTeam]], 1, 0))</f>
        <v>0</v>
      </c>
      <c r="AJ1150" s="64">
        <f>IF(INDEX(Standings!$A$2:$C$33,MATCH(Table1[[#This Row],[AwayTeam]],Standings!$A$2:$A$33,0),2)=INDEX(Standings!$A$2:$C$33,MATCH(Table1[[#This Row],[HomeTeam]],Standings!$A$2:$A$33,0),2),1,0)</f>
        <v>1</v>
      </c>
      <c r="AK1150" s="64">
        <f>IF(INDEX(Standings!$A$2:$C$33,MATCH(Table1[[#This Row],[AwayTeam]],Standings!$A$2:$A$33,0),3)=INDEX(Standings!$A$2:$C$33,MATCH(Table1[[#This Row],[HomeTeam]],Standings!$A$2:$A$33,0),3),1,0)</f>
        <v>0</v>
      </c>
      <c r="AL1150" s="64">
        <f>IF(Table1[[#This Row],[InterConf]]=1,IF(Table1[[#This Row],[InterDiv]]=0, 1, 0), 0)</f>
        <v>1</v>
      </c>
      <c r="AM1150" s="64">
        <f>IF(INDEX(Standings!$A$2:$C$33,MATCH(Table1[[#This Row],[AwayTeam]],Standings!$A$2:$A$33,0),2)&lt;&gt;INDEX(Standings!$A$2:$C$33,MATCH(Table1[[#This Row],[HomeTeam]],Standings!$A$2:$A$33,0),2),1,0)</f>
        <v>0</v>
      </c>
      <c r="AN1150" s="64" t="str">
        <f>INDEX(Table2[AWAY_RECORD], MATCH(Table1[[#This Row],[AwayTeam]],Table2[Team], 0), 0)</f>
        <v>0-0-0</v>
      </c>
      <c r="AO1150" s="64" t="str">
        <f>INDEX(Records!$B$2:$AG$33, MATCH(Table1[[#This Row],[AwayTeam]],Records!$A$2:$A$33, 0), MATCH(Table1[[#This Row],[HomeTeam]],Records!$A$2:$A$33, 0))</f>
        <v>0-0-0</v>
      </c>
      <c r="AP1150" s="64" t="str">
        <f>INDEX(Table2[HOME_RECORD], MATCH(Table1[[#This Row],[HomeTeam]],Table2[Team], 0), 0)</f>
        <v>1-0-0</v>
      </c>
      <c r="AQ1150" s="64" t="str">
        <f>INDEX(Records!$B$2:$AG$33, MATCH(Table1[[#This Row],[HomeTeam]],Records!$A$2:$A$33, 0), MATCH(Table1[[#This Row],[AwayTeam]],Records!$A$2:$A$33, 0))</f>
        <v>0-0-0</v>
      </c>
    </row>
    <row r="1151" spans="1:43" x14ac:dyDescent="0.25">
      <c r="A1151" s="1"/>
      <c r="D1151" t="s">
        <v>1495</v>
      </c>
      <c r="E1151" t="s">
        <v>160</v>
      </c>
      <c r="F1151" t="s">
        <v>1499</v>
      </c>
      <c r="G1151" t="s">
        <v>54</v>
      </c>
      <c r="H1151" t="s">
        <v>42</v>
      </c>
      <c r="L115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5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51" s="1"/>
      <c r="T1151" s="64" t="str">
        <f>IF(Table1[[#This Row],[ActualWinner]]="", "", IF(Table1[[#This Row],[AwayTeam]]=Table1[[#This Row],[ActualWinner]],Table1[[#This Row],[HomeTeam]],Table1[[#This Row],[AwayTeam]]))</f>
        <v/>
      </c>
      <c r="U1151" s="64">
        <f>Table1[[#This Row],[ActualAwayScore]]-Table1[[#This Row],[PredictedAwayScore]]</f>
        <v>0</v>
      </c>
      <c r="V1151" s="64">
        <f>Table1[[#This Row],[ActualHomeScore]]-Table1[[#This Row],[PredictedHomeScore]]</f>
        <v>0</v>
      </c>
      <c r="W1151" s="64">
        <f>(0.8*IF(Table1[[#This Row],[CorrectWinnerPrediction]]=1, 1, 0))+(0.1*IF(Table1[[#This Row],[CorrectAwayScorePrediction]]=1, 1, 0))+(0.1*IF(Table1[[#This Row],[CorrectHomeScorePrediction]]=1, 1, 0))</f>
        <v>0</v>
      </c>
      <c r="X115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51" s="64">
        <f>SUMIF(Table1[GameDate], Table1[[#This Row],[GameDate]], Table1[AwayGameGoalDiff])</f>
        <v>0</v>
      </c>
      <c r="AA1151" s="64">
        <f>SUMIF(Table1[GameDate], Table1[[#This Row],[GameDate]], Table1[HomeGameGoalDiff])</f>
        <v>0</v>
      </c>
      <c r="AB1151" s="64">
        <f>IF(ISBLANK(Table1[[#This Row],[ActualResult]]), 0, 1)</f>
        <v>0</v>
      </c>
      <c r="AC1151" s="64">
        <f>IF(ISBLANK(Table1[[#This Row],[ActualResult]]), 0, IF(Table1[[#This Row],[ActualWinner]]=Table1[[#This Row],[PredictedWinner]], 1, 0))</f>
        <v>0</v>
      </c>
      <c r="AD115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5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51" s="64">
        <f>IF(AND(Table1[[#This Row],[GameIsOver]]=1,Table1[[#This Row],[ActualAwayScore]]=0), 1,0)</f>
        <v>0</v>
      </c>
      <c r="AG1151" s="64">
        <f>IF(AND(Table1[[#This Row],[GameIsOver]]=1,Table1[[#This Row],[ActualHomeScore]]=0), 1,0)</f>
        <v>0</v>
      </c>
      <c r="AH1151" s="64">
        <f>IF(Table1[[#This Row],[GameIsOver]]=0,0,IF(Table1[[#This Row],[ActualWinner]]=Table1[[#This Row],[AwayTeam]], 1, 0))</f>
        <v>0</v>
      </c>
      <c r="AI1151" s="64">
        <f>IF(Table1[[#This Row],[GameIsOver]]=0,0,IF(Table1[[#This Row],[ActualWinner]]=Table1[[#This Row],[HomeTeam]], 1, 0))</f>
        <v>0</v>
      </c>
      <c r="AJ1151" s="64">
        <f>IF(INDEX(Standings!$A$2:$C$33,MATCH(Table1[[#This Row],[AwayTeam]],Standings!$A$2:$A$33,0),2)=INDEX(Standings!$A$2:$C$33,MATCH(Table1[[#This Row],[HomeTeam]],Standings!$A$2:$A$33,0),2),1,0)</f>
        <v>1</v>
      </c>
      <c r="AK1151" s="64">
        <f>IF(INDEX(Standings!$A$2:$C$33,MATCH(Table1[[#This Row],[AwayTeam]],Standings!$A$2:$A$33,0),3)=INDEX(Standings!$A$2:$C$33,MATCH(Table1[[#This Row],[HomeTeam]],Standings!$A$2:$A$33,0),3),1,0)</f>
        <v>1</v>
      </c>
      <c r="AL1151" s="64">
        <f>IF(Table1[[#This Row],[InterConf]]=1,IF(Table1[[#This Row],[InterDiv]]=0, 1, 0), 0)</f>
        <v>0</v>
      </c>
      <c r="AM1151" s="64">
        <f>IF(INDEX(Standings!$A$2:$C$33,MATCH(Table1[[#This Row],[AwayTeam]],Standings!$A$2:$A$33,0),2)&lt;&gt;INDEX(Standings!$A$2:$C$33,MATCH(Table1[[#This Row],[HomeTeam]],Standings!$A$2:$A$33,0),2),1,0)</f>
        <v>0</v>
      </c>
      <c r="AN1151" s="64" t="str">
        <f>INDEX(Table2[AWAY_RECORD], MATCH(Table1[[#This Row],[AwayTeam]],Table2[Team], 0), 0)</f>
        <v>0-0-1</v>
      </c>
      <c r="AO1151" s="64" t="str">
        <f>INDEX(Records!$B$2:$AG$33, MATCH(Table1[[#This Row],[AwayTeam]],Records!$A$2:$A$33, 0), MATCH(Table1[[#This Row],[HomeTeam]],Records!$A$2:$A$33, 0))</f>
        <v>0-0-0</v>
      </c>
      <c r="AP1151" s="64" t="str">
        <f>INDEX(Table2[HOME_RECORD], MATCH(Table1[[#This Row],[HomeTeam]],Table2[Team], 0), 0)</f>
        <v>1-0-0</v>
      </c>
      <c r="AQ1151" s="64" t="str">
        <f>INDEX(Records!$B$2:$AG$33, MATCH(Table1[[#This Row],[HomeTeam]],Records!$A$2:$A$33, 0), MATCH(Table1[[#This Row],[AwayTeam]],Records!$A$2:$A$33, 0))</f>
        <v>0-0-0</v>
      </c>
    </row>
    <row r="1152" spans="1:43" x14ac:dyDescent="0.25">
      <c r="A1152" s="1"/>
      <c r="D1152" t="s">
        <v>1495</v>
      </c>
      <c r="E1152" t="s">
        <v>162</v>
      </c>
      <c r="F1152" t="s">
        <v>1500</v>
      </c>
      <c r="G1152" t="s">
        <v>55</v>
      </c>
      <c r="H1152" t="s">
        <v>16</v>
      </c>
      <c r="L115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5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52" s="1"/>
      <c r="T1152" s="64" t="str">
        <f>IF(Table1[[#This Row],[ActualWinner]]="", "", IF(Table1[[#This Row],[AwayTeam]]=Table1[[#This Row],[ActualWinner]],Table1[[#This Row],[HomeTeam]],Table1[[#This Row],[AwayTeam]]))</f>
        <v/>
      </c>
      <c r="U1152" s="64">
        <f>Table1[[#This Row],[ActualAwayScore]]-Table1[[#This Row],[PredictedAwayScore]]</f>
        <v>0</v>
      </c>
      <c r="V1152" s="64">
        <f>Table1[[#This Row],[ActualHomeScore]]-Table1[[#This Row],[PredictedHomeScore]]</f>
        <v>0</v>
      </c>
      <c r="W1152" s="64">
        <f>(0.8*IF(Table1[[#This Row],[CorrectWinnerPrediction]]=1, 1, 0))+(0.1*IF(Table1[[#This Row],[CorrectAwayScorePrediction]]=1, 1, 0))+(0.1*IF(Table1[[#This Row],[CorrectHomeScorePrediction]]=1, 1, 0))</f>
        <v>0</v>
      </c>
      <c r="X115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52" s="64">
        <f>SUMIF(Table1[GameDate], Table1[[#This Row],[GameDate]], Table1[AwayGameGoalDiff])</f>
        <v>0</v>
      </c>
      <c r="AA1152" s="64">
        <f>SUMIF(Table1[GameDate], Table1[[#This Row],[GameDate]], Table1[HomeGameGoalDiff])</f>
        <v>0</v>
      </c>
      <c r="AB1152" s="64">
        <f>IF(ISBLANK(Table1[[#This Row],[ActualResult]]), 0, 1)</f>
        <v>0</v>
      </c>
      <c r="AC1152" s="64">
        <f>IF(ISBLANK(Table1[[#This Row],[ActualResult]]), 0, IF(Table1[[#This Row],[ActualWinner]]=Table1[[#This Row],[PredictedWinner]], 1, 0))</f>
        <v>0</v>
      </c>
      <c r="AD115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5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52" s="64">
        <f>IF(AND(Table1[[#This Row],[GameIsOver]]=1,Table1[[#This Row],[ActualAwayScore]]=0), 1,0)</f>
        <v>0</v>
      </c>
      <c r="AG1152" s="64">
        <f>IF(AND(Table1[[#This Row],[GameIsOver]]=1,Table1[[#This Row],[ActualHomeScore]]=0), 1,0)</f>
        <v>0</v>
      </c>
      <c r="AH1152" s="64">
        <f>IF(Table1[[#This Row],[GameIsOver]]=0,0,IF(Table1[[#This Row],[ActualWinner]]=Table1[[#This Row],[AwayTeam]], 1, 0))</f>
        <v>0</v>
      </c>
      <c r="AI1152" s="64">
        <f>IF(Table1[[#This Row],[GameIsOver]]=0,0,IF(Table1[[#This Row],[ActualWinner]]=Table1[[#This Row],[HomeTeam]], 1, 0))</f>
        <v>0</v>
      </c>
      <c r="AJ1152" s="64">
        <f>IF(INDEX(Standings!$A$2:$C$33,MATCH(Table1[[#This Row],[AwayTeam]],Standings!$A$2:$A$33,0),2)=INDEX(Standings!$A$2:$C$33,MATCH(Table1[[#This Row],[HomeTeam]],Standings!$A$2:$A$33,0),2),1,0)</f>
        <v>1</v>
      </c>
      <c r="AK1152" s="64">
        <f>IF(INDEX(Standings!$A$2:$C$33,MATCH(Table1[[#This Row],[AwayTeam]],Standings!$A$2:$A$33,0),3)=INDEX(Standings!$A$2:$C$33,MATCH(Table1[[#This Row],[HomeTeam]],Standings!$A$2:$A$33,0),3),1,0)</f>
        <v>0</v>
      </c>
      <c r="AL1152" s="64">
        <f>IF(Table1[[#This Row],[InterConf]]=1,IF(Table1[[#This Row],[InterDiv]]=0, 1, 0), 0)</f>
        <v>1</v>
      </c>
      <c r="AM1152" s="64">
        <f>IF(INDEX(Standings!$A$2:$C$33,MATCH(Table1[[#This Row],[AwayTeam]],Standings!$A$2:$A$33,0),2)&lt;&gt;INDEX(Standings!$A$2:$C$33,MATCH(Table1[[#This Row],[HomeTeam]],Standings!$A$2:$A$33,0),2),1,0)</f>
        <v>0</v>
      </c>
      <c r="AN1152" s="64" t="str">
        <f>INDEX(Table2[AWAY_RECORD], MATCH(Table1[[#This Row],[AwayTeam]],Table2[Team], 0), 0)</f>
        <v>0-0-0</v>
      </c>
      <c r="AO1152" s="64" t="str">
        <f>INDEX(Records!$B$2:$AG$33, MATCH(Table1[[#This Row],[AwayTeam]],Records!$A$2:$A$33, 0), MATCH(Table1[[#This Row],[HomeTeam]],Records!$A$2:$A$33, 0))</f>
        <v>0-0-0</v>
      </c>
      <c r="AP1152" s="64" t="str">
        <f>INDEX(Table2[HOME_RECORD], MATCH(Table1[[#This Row],[HomeTeam]],Table2[Team], 0), 0)</f>
        <v>0-0-0</v>
      </c>
      <c r="AQ1152" s="64" t="str">
        <f>INDEX(Records!$B$2:$AG$33, MATCH(Table1[[#This Row],[HomeTeam]],Records!$A$2:$A$33, 0), MATCH(Table1[[#This Row],[AwayTeam]],Records!$A$2:$A$33, 0))</f>
        <v>0-0-0</v>
      </c>
    </row>
    <row r="1153" spans="1:43" x14ac:dyDescent="0.25">
      <c r="A1153" s="1"/>
      <c r="D1153" t="s">
        <v>1495</v>
      </c>
      <c r="E1153" t="s">
        <v>164</v>
      </c>
      <c r="F1153" t="s">
        <v>1501</v>
      </c>
      <c r="G1153" t="s">
        <v>40</v>
      </c>
      <c r="H1153" t="s">
        <v>36</v>
      </c>
      <c r="L115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5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53" s="1"/>
      <c r="T1153" s="64" t="str">
        <f>IF(Table1[[#This Row],[ActualWinner]]="", "", IF(Table1[[#This Row],[AwayTeam]]=Table1[[#This Row],[ActualWinner]],Table1[[#This Row],[HomeTeam]],Table1[[#This Row],[AwayTeam]]))</f>
        <v/>
      </c>
      <c r="U1153" s="64">
        <f>Table1[[#This Row],[ActualAwayScore]]-Table1[[#This Row],[PredictedAwayScore]]</f>
        <v>0</v>
      </c>
      <c r="V1153" s="64">
        <f>Table1[[#This Row],[ActualHomeScore]]-Table1[[#This Row],[PredictedHomeScore]]</f>
        <v>0</v>
      </c>
      <c r="W1153" s="64">
        <f>(0.8*IF(Table1[[#This Row],[CorrectWinnerPrediction]]=1, 1, 0))+(0.1*IF(Table1[[#This Row],[CorrectAwayScorePrediction]]=1, 1, 0))+(0.1*IF(Table1[[#This Row],[CorrectHomeScorePrediction]]=1, 1, 0))</f>
        <v>0</v>
      </c>
      <c r="X115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53" s="64">
        <f>SUMIF(Table1[GameDate], Table1[[#This Row],[GameDate]], Table1[AwayGameGoalDiff])</f>
        <v>0</v>
      </c>
      <c r="AA1153" s="64">
        <f>SUMIF(Table1[GameDate], Table1[[#This Row],[GameDate]], Table1[HomeGameGoalDiff])</f>
        <v>0</v>
      </c>
      <c r="AB1153" s="64">
        <f>IF(ISBLANK(Table1[[#This Row],[ActualResult]]), 0, 1)</f>
        <v>0</v>
      </c>
      <c r="AC1153" s="64">
        <f>IF(ISBLANK(Table1[[#This Row],[ActualResult]]), 0, IF(Table1[[#This Row],[ActualWinner]]=Table1[[#This Row],[PredictedWinner]], 1, 0))</f>
        <v>0</v>
      </c>
      <c r="AD115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5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53" s="64">
        <f>IF(AND(Table1[[#This Row],[GameIsOver]]=1,Table1[[#This Row],[ActualAwayScore]]=0), 1,0)</f>
        <v>0</v>
      </c>
      <c r="AG1153" s="64">
        <f>IF(AND(Table1[[#This Row],[GameIsOver]]=1,Table1[[#This Row],[ActualHomeScore]]=0), 1,0)</f>
        <v>0</v>
      </c>
      <c r="AH1153" s="64">
        <f>IF(Table1[[#This Row],[GameIsOver]]=0,0,IF(Table1[[#This Row],[ActualWinner]]=Table1[[#This Row],[AwayTeam]], 1, 0))</f>
        <v>0</v>
      </c>
      <c r="AI1153" s="64">
        <f>IF(Table1[[#This Row],[GameIsOver]]=0,0,IF(Table1[[#This Row],[ActualWinner]]=Table1[[#This Row],[HomeTeam]], 1, 0))</f>
        <v>0</v>
      </c>
      <c r="AJ1153" s="64">
        <f>IF(INDEX(Standings!$A$2:$C$33,MATCH(Table1[[#This Row],[AwayTeam]],Standings!$A$2:$A$33,0),2)=INDEX(Standings!$A$2:$C$33,MATCH(Table1[[#This Row],[HomeTeam]],Standings!$A$2:$A$33,0),2),1,0)</f>
        <v>0</v>
      </c>
      <c r="AK1153" s="64">
        <f>IF(INDEX(Standings!$A$2:$C$33,MATCH(Table1[[#This Row],[AwayTeam]],Standings!$A$2:$A$33,0),3)=INDEX(Standings!$A$2:$C$33,MATCH(Table1[[#This Row],[HomeTeam]],Standings!$A$2:$A$33,0),3),1,0)</f>
        <v>0</v>
      </c>
      <c r="AL1153" s="64">
        <f>IF(Table1[[#This Row],[InterConf]]=1,IF(Table1[[#This Row],[InterDiv]]=0, 1, 0), 0)</f>
        <v>0</v>
      </c>
      <c r="AM1153" s="64">
        <f>IF(INDEX(Standings!$A$2:$C$33,MATCH(Table1[[#This Row],[AwayTeam]],Standings!$A$2:$A$33,0),2)&lt;&gt;INDEX(Standings!$A$2:$C$33,MATCH(Table1[[#This Row],[HomeTeam]],Standings!$A$2:$A$33,0),2),1,0)</f>
        <v>1</v>
      </c>
      <c r="AN1153" s="64" t="str">
        <f>INDEX(Table2[AWAY_RECORD], MATCH(Table1[[#This Row],[AwayTeam]],Table2[Team], 0), 0)</f>
        <v>0-0-0</v>
      </c>
      <c r="AO1153" s="64" t="str">
        <f>INDEX(Records!$B$2:$AG$33, MATCH(Table1[[#This Row],[AwayTeam]],Records!$A$2:$A$33, 0), MATCH(Table1[[#This Row],[HomeTeam]],Records!$A$2:$A$33, 0))</f>
        <v>0-0-0</v>
      </c>
      <c r="AP1153" s="64" t="str">
        <f>INDEX(Table2[HOME_RECORD], MATCH(Table1[[#This Row],[HomeTeam]],Table2[Team], 0), 0)</f>
        <v>0-0-0</v>
      </c>
      <c r="AQ1153" s="64" t="str">
        <f>INDEX(Records!$B$2:$AG$33, MATCH(Table1[[#This Row],[HomeTeam]],Records!$A$2:$A$33, 0), MATCH(Table1[[#This Row],[AwayTeam]],Records!$A$2:$A$33, 0))</f>
        <v>0-0-0</v>
      </c>
    </row>
    <row r="1154" spans="1:43" x14ac:dyDescent="0.25">
      <c r="A1154" s="1"/>
      <c r="D1154" t="s">
        <v>1495</v>
      </c>
      <c r="E1154" t="s">
        <v>164</v>
      </c>
      <c r="F1154" t="s">
        <v>1502</v>
      </c>
      <c r="G1154" t="s">
        <v>60</v>
      </c>
      <c r="H1154" t="s">
        <v>46</v>
      </c>
      <c r="L115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5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54" s="1"/>
      <c r="T1154" s="64" t="str">
        <f>IF(Table1[[#This Row],[ActualWinner]]="", "", IF(Table1[[#This Row],[AwayTeam]]=Table1[[#This Row],[ActualWinner]],Table1[[#This Row],[HomeTeam]],Table1[[#This Row],[AwayTeam]]))</f>
        <v/>
      </c>
      <c r="U1154" s="64">
        <f>Table1[[#This Row],[ActualAwayScore]]-Table1[[#This Row],[PredictedAwayScore]]</f>
        <v>0</v>
      </c>
      <c r="V1154" s="64">
        <f>Table1[[#This Row],[ActualHomeScore]]-Table1[[#This Row],[PredictedHomeScore]]</f>
        <v>0</v>
      </c>
      <c r="W1154" s="64">
        <f>(0.8*IF(Table1[[#This Row],[CorrectWinnerPrediction]]=1, 1, 0))+(0.1*IF(Table1[[#This Row],[CorrectAwayScorePrediction]]=1, 1, 0))+(0.1*IF(Table1[[#This Row],[CorrectHomeScorePrediction]]=1, 1, 0))</f>
        <v>0</v>
      </c>
      <c r="X115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54" s="64">
        <f>SUMIF(Table1[GameDate], Table1[[#This Row],[GameDate]], Table1[AwayGameGoalDiff])</f>
        <v>0</v>
      </c>
      <c r="AA1154" s="64">
        <f>SUMIF(Table1[GameDate], Table1[[#This Row],[GameDate]], Table1[HomeGameGoalDiff])</f>
        <v>0</v>
      </c>
      <c r="AB1154" s="64">
        <f>IF(ISBLANK(Table1[[#This Row],[ActualResult]]), 0, 1)</f>
        <v>0</v>
      </c>
      <c r="AC1154" s="64">
        <f>IF(ISBLANK(Table1[[#This Row],[ActualResult]]), 0, IF(Table1[[#This Row],[ActualWinner]]=Table1[[#This Row],[PredictedWinner]], 1, 0))</f>
        <v>0</v>
      </c>
      <c r="AD115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5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54" s="64">
        <f>IF(AND(Table1[[#This Row],[GameIsOver]]=1,Table1[[#This Row],[ActualAwayScore]]=0), 1,0)</f>
        <v>0</v>
      </c>
      <c r="AG1154" s="64">
        <f>IF(AND(Table1[[#This Row],[GameIsOver]]=1,Table1[[#This Row],[ActualHomeScore]]=0), 1,0)</f>
        <v>0</v>
      </c>
      <c r="AH1154" s="64">
        <f>IF(Table1[[#This Row],[GameIsOver]]=0,0,IF(Table1[[#This Row],[ActualWinner]]=Table1[[#This Row],[AwayTeam]], 1, 0))</f>
        <v>0</v>
      </c>
      <c r="AI1154" s="64">
        <f>IF(Table1[[#This Row],[GameIsOver]]=0,0,IF(Table1[[#This Row],[ActualWinner]]=Table1[[#This Row],[HomeTeam]], 1, 0))</f>
        <v>0</v>
      </c>
      <c r="AJ1154" s="64">
        <f>IF(INDEX(Standings!$A$2:$C$33,MATCH(Table1[[#This Row],[AwayTeam]],Standings!$A$2:$A$33,0),2)=INDEX(Standings!$A$2:$C$33,MATCH(Table1[[#This Row],[HomeTeam]],Standings!$A$2:$A$33,0),2),1,0)</f>
        <v>1</v>
      </c>
      <c r="AK1154" s="64">
        <f>IF(INDEX(Standings!$A$2:$C$33,MATCH(Table1[[#This Row],[AwayTeam]],Standings!$A$2:$A$33,0),3)=INDEX(Standings!$A$2:$C$33,MATCH(Table1[[#This Row],[HomeTeam]],Standings!$A$2:$A$33,0),3),1,0)</f>
        <v>0</v>
      </c>
      <c r="AL1154" s="64">
        <f>IF(Table1[[#This Row],[InterConf]]=1,IF(Table1[[#This Row],[InterDiv]]=0, 1, 0), 0)</f>
        <v>1</v>
      </c>
      <c r="AM1154" s="64">
        <f>IF(INDEX(Standings!$A$2:$C$33,MATCH(Table1[[#This Row],[AwayTeam]],Standings!$A$2:$A$33,0),2)&lt;&gt;INDEX(Standings!$A$2:$C$33,MATCH(Table1[[#This Row],[HomeTeam]],Standings!$A$2:$A$33,0),2),1,0)</f>
        <v>0</v>
      </c>
      <c r="AN1154" s="64" t="str">
        <f>INDEX(Table2[AWAY_RECORD], MATCH(Table1[[#This Row],[AwayTeam]],Table2[Team], 0), 0)</f>
        <v>0-0-0</v>
      </c>
      <c r="AO1154" s="64" t="str">
        <f>INDEX(Records!$B$2:$AG$33, MATCH(Table1[[#This Row],[AwayTeam]],Records!$A$2:$A$33, 0), MATCH(Table1[[#This Row],[HomeTeam]],Records!$A$2:$A$33, 0))</f>
        <v>0-0-0</v>
      </c>
      <c r="AP1154" s="64" t="str">
        <f>INDEX(Table2[HOME_RECORD], MATCH(Table1[[#This Row],[HomeTeam]],Table2[Team], 0), 0)</f>
        <v>0-0-0</v>
      </c>
      <c r="AQ1154" s="64" t="str">
        <f>INDEX(Records!$B$2:$AG$33, MATCH(Table1[[#This Row],[HomeTeam]],Records!$A$2:$A$33, 0), MATCH(Table1[[#This Row],[AwayTeam]],Records!$A$2:$A$33, 0))</f>
        <v>0-0-0</v>
      </c>
    </row>
    <row r="1155" spans="1:43" x14ac:dyDescent="0.25">
      <c r="A1155" s="1"/>
      <c r="D1155" t="s">
        <v>1503</v>
      </c>
      <c r="E1155" t="s">
        <v>160</v>
      </c>
      <c r="F1155" t="s">
        <v>1504</v>
      </c>
      <c r="G1155" t="s">
        <v>50</v>
      </c>
      <c r="H1155" t="s">
        <v>59</v>
      </c>
      <c r="L115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5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55" s="1"/>
      <c r="T1155" s="64" t="str">
        <f>IF(Table1[[#This Row],[ActualWinner]]="", "", IF(Table1[[#This Row],[AwayTeam]]=Table1[[#This Row],[ActualWinner]],Table1[[#This Row],[HomeTeam]],Table1[[#This Row],[AwayTeam]]))</f>
        <v/>
      </c>
      <c r="U1155" s="64">
        <f>Table1[[#This Row],[ActualAwayScore]]-Table1[[#This Row],[PredictedAwayScore]]</f>
        <v>0</v>
      </c>
      <c r="V1155" s="64">
        <f>Table1[[#This Row],[ActualHomeScore]]-Table1[[#This Row],[PredictedHomeScore]]</f>
        <v>0</v>
      </c>
      <c r="W1155" s="64">
        <f>(0.8*IF(Table1[[#This Row],[CorrectWinnerPrediction]]=1, 1, 0))+(0.1*IF(Table1[[#This Row],[CorrectAwayScorePrediction]]=1, 1, 0))+(0.1*IF(Table1[[#This Row],[CorrectHomeScorePrediction]]=1, 1, 0))</f>
        <v>0</v>
      </c>
      <c r="X115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55" s="64">
        <f>SUMIF(Table1[GameDate], Table1[[#This Row],[GameDate]], Table1[AwayGameGoalDiff])</f>
        <v>0</v>
      </c>
      <c r="AA1155" s="64">
        <f>SUMIF(Table1[GameDate], Table1[[#This Row],[GameDate]], Table1[HomeGameGoalDiff])</f>
        <v>0</v>
      </c>
      <c r="AB1155" s="64">
        <f>IF(ISBLANK(Table1[[#This Row],[ActualResult]]), 0, 1)</f>
        <v>0</v>
      </c>
      <c r="AC1155" s="64">
        <f>IF(ISBLANK(Table1[[#This Row],[ActualResult]]), 0, IF(Table1[[#This Row],[ActualWinner]]=Table1[[#This Row],[PredictedWinner]], 1, 0))</f>
        <v>0</v>
      </c>
      <c r="AD115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5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55" s="64">
        <f>IF(AND(Table1[[#This Row],[GameIsOver]]=1,Table1[[#This Row],[ActualAwayScore]]=0), 1,0)</f>
        <v>0</v>
      </c>
      <c r="AG1155" s="64">
        <f>IF(AND(Table1[[#This Row],[GameIsOver]]=1,Table1[[#This Row],[ActualHomeScore]]=0), 1,0)</f>
        <v>0</v>
      </c>
      <c r="AH1155" s="64">
        <f>IF(Table1[[#This Row],[GameIsOver]]=0,0,IF(Table1[[#This Row],[ActualWinner]]=Table1[[#This Row],[AwayTeam]], 1, 0))</f>
        <v>0</v>
      </c>
      <c r="AI1155" s="64">
        <f>IF(Table1[[#This Row],[GameIsOver]]=0,0,IF(Table1[[#This Row],[ActualWinner]]=Table1[[#This Row],[HomeTeam]], 1, 0))</f>
        <v>0</v>
      </c>
      <c r="AJ1155" s="64">
        <f>IF(INDEX(Standings!$A$2:$C$33,MATCH(Table1[[#This Row],[AwayTeam]],Standings!$A$2:$A$33,0),2)=INDEX(Standings!$A$2:$C$33,MATCH(Table1[[#This Row],[HomeTeam]],Standings!$A$2:$A$33,0),2),1,0)</f>
        <v>1</v>
      </c>
      <c r="AK1155" s="64">
        <f>IF(INDEX(Standings!$A$2:$C$33,MATCH(Table1[[#This Row],[AwayTeam]],Standings!$A$2:$A$33,0),3)=INDEX(Standings!$A$2:$C$33,MATCH(Table1[[#This Row],[HomeTeam]],Standings!$A$2:$A$33,0),3),1,0)</f>
        <v>1</v>
      </c>
      <c r="AL1155" s="64">
        <f>IF(Table1[[#This Row],[InterConf]]=1,IF(Table1[[#This Row],[InterDiv]]=0, 1, 0), 0)</f>
        <v>0</v>
      </c>
      <c r="AM1155" s="64">
        <f>IF(INDEX(Standings!$A$2:$C$33,MATCH(Table1[[#This Row],[AwayTeam]],Standings!$A$2:$A$33,0),2)&lt;&gt;INDEX(Standings!$A$2:$C$33,MATCH(Table1[[#This Row],[HomeTeam]],Standings!$A$2:$A$33,0),2),1,0)</f>
        <v>0</v>
      </c>
      <c r="AN1155" s="64" t="str">
        <f>INDEX(Table2[AWAY_RECORD], MATCH(Table1[[#This Row],[AwayTeam]],Table2[Team], 0), 0)</f>
        <v>1-0-0</v>
      </c>
      <c r="AO1155" s="64" t="str">
        <f>INDEX(Records!$B$2:$AG$33, MATCH(Table1[[#This Row],[AwayTeam]],Records!$A$2:$A$33, 0), MATCH(Table1[[#This Row],[HomeTeam]],Records!$A$2:$A$33, 0))</f>
        <v>0-0-0</v>
      </c>
      <c r="AP1155" s="64" t="str">
        <f>INDEX(Table2[HOME_RECORD], MATCH(Table1[[#This Row],[HomeTeam]],Table2[Team], 0), 0)</f>
        <v>0-0-0</v>
      </c>
      <c r="AQ1155" s="64" t="str">
        <f>INDEX(Records!$B$2:$AG$33, MATCH(Table1[[#This Row],[HomeTeam]],Records!$A$2:$A$33, 0), MATCH(Table1[[#This Row],[AwayTeam]],Records!$A$2:$A$33, 0))</f>
        <v>0-0-0</v>
      </c>
    </row>
    <row r="1156" spans="1:43" x14ac:dyDescent="0.25">
      <c r="A1156" s="1"/>
      <c r="D1156" t="s">
        <v>1503</v>
      </c>
      <c r="E1156" t="s">
        <v>169</v>
      </c>
      <c r="F1156" t="s">
        <v>1505</v>
      </c>
      <c r="G1156" t="s">
        <v>57</v>
      </c>
      <c r="H1156" t="s">
        <v>24</v>
      </c>
      <c r="L115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5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56" s="1"/>
      <c r="T1156" s="64" t="str">
        <f>IF(Table1[[#This Row],[ActualWinner]]="", "", IF(Table1[[#This Row],[AwayTeam]]=Table1[[#This Row],[ActualWinner]],Table1[[#This Row],[HomeTeam]],Table1[[#This Row],[AwayTeam]]))</f>
        <v/>
      </c>
      <c r="U1156" s="64">
        <f>Table1[[#This Row],[ActualAwayScore]]-Table1[[#This Row],[PredictedAwayScore]]</f>
        <v>0</v>
      </c>
      <c r="V1156" s="64">
        <f>Table1[[#This Row],[ActualHomeScore]]-Table1[[#This Row],[PredictedHomeScore]]</f>
        <v>0</v>
      </c>
      <c r="W1156" s="64">
        <f>(0.8*IF(Table1[[#This Row],[CorrectWinnerPrediction]]=1, 1, 0))+(0.1*IF(Table1[[#This Row],[CorrectAwayScorePrediction]]=1, 1, 0))+(0.1*IF(Table1[[#This Row],[CorrectHomeScorePrediction]]=1, 1, 0))</f>
        <v>0</v>
      </c>
      <c r="X115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56" s="64">
        <f>SUMIF(Table1[GameDate], Table1[[#This Row],[GameDate]], Table1[AwayGameGoalDiff])</f>
        <v>0</v>
      </c>
      <c r="AA1156" s="64">
        <f>SUMIF(Table1[GameDate], Table1[[#This Row],[GameDate]], Table1[HomeGameGoalDiff])</f>
        <v>0</v>
      </c>
      <c r="AB1156" s="64">
        <f>IF(ISBLANK(Table1[[#This Row],[ActualResult]]), 0, 1)</f>
        <v>0</v>
      </c>
      <c r="AC1156" s="64">
        <f>IF(ISBLANK(Table1[[#This Row],[ActualResult]]), 0, IF(Table1[[#This Row],[ActualWinner]]=Table1[[#This Row],[PredictedWinner]], 1, 0))</f>
        <v>0</v>
      </c>
      <c r="AD115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5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56" s="64">
        <f>IF(AND(Table1[[#This Row],[GameIsOver]]=1,Table1[[#This Row],[ActualAwayScore]]=0), 1,0)</f>
        <v>0</v>
      </c>
      <c r="AG1156" s="64">
        <f>IF(AND(Table1[[#This Row],[GameIsOver]]=1,Table1[[#This Row],[ActualHomeScore]]=0), 1,0)</f>
        <v>0</v>
      </c>
      <c r="AH1156" s="64">
        <f>IF(Table1[[#This Row],[GameIsOver]]=0,0,IF(Table1[[#This Row],[ActualWinner]]=Table1[[#This Row],[AwayTeam]], 1, 0))</f>
        <v>0</v>
      </c>
      <c r="AI1156" s="64">
        <f>IF(Table1[[#This Row],[GameIsOver]]=0,0,IF(Table1[[#This Row],[ActualWinner]]=Table1[[#This Row],[HomeTeam]], 1, 0))</f>
        <v>0</v>
      </c>
      <c r="AJ1156" s="64">
        <f>IF(INDEX(Standings!$A$2:$C$33,MATCH(Table1[[#This Row],[AwayTeam]],Standings!$A$2:$A$33,0),2)=INDEX(Standings!$A$2:$C$33,MATCH(Table1[[#This Row],[HomeTeam]],Standings!$A$2:$A$33,0),2),1,0)</f>
        <v>1</v>
      </c>
      <c r="AK1156" s="64">
        <f>IF(INDEX(Standings!$A$2:$C$33,MATCH(Table1[[#This Row],[AwayTeam]],Standings!$A$2:$A$33,0),3)=INDEX(Standings!$A$2:$C$33,MATCH(Table1[[#This Row],[HomeTeam]],Standings!$A$2:$A$33,0),3),1,0)</f>
        <v>1</v>
      </c>
      <c r="AL1156" s="64">
        <f>IF(Table1[[#This Row],[InterConf]]=1,IF(Table1[[#This Row],[InterDiv]]=0, 1, 0), 0)</f>
        <v>0</v>
      </c>
      <c r="AM1156" s="64">
        <f>IF(INDEX(Standings!$A$2:$C$33,MATCH(Table1[[#This Row],[AwayTeam]],Standings!$A$2:$A$33,0),2)&lt;&gt;INDEX(Standings!$A$2:$C$33,MATCH(Table1[[#This Row],[HomeTeam]],Standings!$A$2:$A$33,0),2),1,0)</f>
        <v>0</v>
      </c>
      <c r="AN1156" s="64" t="str">
        <f>INDEX(Table2[AWAY_RECORD], MATCH(Table1[[#This Row],[AwayTeam]],Table2[Team], 0), 0)</f>
        <v>0-1-0</v>
      </c>
      <c r="AO1156" s="64" t="str">
        <f>INDEX(Records!$B$2:$AG$33, MATCH(Table1[[#This Row],[AwayTeam]],Records!$A$2:$A$33, 0), MATCH(Table1[[#This Row],[HomeTeam]],Records!$A$2:$A$33, 0))</f>
        <v>0-0-0</v>
      </c>
      <c r="AP1156" s="64" t="str">
        <f>INDEX(Table2[HOME_RECORD], MATCH(Table1[[#This Row],[HomeTeam]],Table2[Team], 0), 0)</f>
        <v>0-2-0</v>
      </c>
      <c r="AQ1156" s="64" t="str">
        <f>INDEX(Records!$B$2:$AG$33, MATCH(Table1[[#This Row],[HomeTeam]],Records!$A$2:$A$33, 0), MATCH(Table1[[#This Row],[AwayTeam]],Records!$A$2:$A$33, 0))</f>
        <v>0-0-0</v>
      </c>
    </row>
    <row r="1157" spans="1:43" x14ac:dyDescent="0.25">
      <c r="A1157" s="1"/>
      <c r="D1157" t="s">
        <v>1503</v>
      </c>
      <c r="E1157" t="s">
        <v>178</v>
      </c>
      <c r="F1157" t="s">
        <v>1506</v>
      </c>
      <c r="G1157" t="s">
        <v>22</v>
      </c>
      <c r="H1157" t="s">
        <v>41</v>
      </c>
      <c r="L115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5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57" s="1"/>
      <c r="T1157" s="64" t="str">
        <f>IF(Table1[[#This Row],[ActualWinner]]="", "", IF(Table1[[#This Row],[AwayTeam]]=Table1[[#This Row],[ActualWinner]],Table1[[#This Row],[HomeTeam]],Table1[[#This Row],[AwayTeam]]))</f>
        <v/>
      </c>
      <c r="U1157" s="64">
        <f>Table1[[#This Row],[ActualAwayScore]]-Table1[[#This Row],[PredictedAwayScore]]</f>
        <v>0</v>
      </c>
      <c r="V1157" s="64">
        <f>Table1[[#This Row],[ActualHomeScore]]-Table1[[#This Row],[PredictedHomeScore]]</f>
        <v>0</v>
      </c>
      <c r="W1157" s="64">
        <f>(0.8*IF(Table1[[#This Row],[CorrectWinnerPrediction]]=1, 1, 0))+(0.1*IF(Table1[[#This Row],[CorrectAwayScorePrediction]]=1, 1, 0))+(0.1*IF(Table1[[#This Row],[CorrectHomeScorePrediction]]=1, 1, 0))</f>
        <v>0</v>
      </c>
      <c r="X115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57" s="64">
        <f>SUMIF(Table1[GameDate], Table1[[#This Row],[GameDate]], Table1[AwayGameGoalDiff])</f>
        <v>0</v>
      </c>
      <c r="AA1157" s="64">
        <f>SUMIF(Table1[GameDate], Table1[[#This Row],[GameDate]], Table1[HomeGameGoalDiff])</f>
        <v>0</v>
      </c>
      <c r="AB1157" s="64">
        <f>IF(ISBLANK(Table1[[#This Row],[ActualResult]]), 0, 1)</f>
        <v>0</v>
      </c>
      <c r="AC1157" s="64">
        <f>IF(ISBLANK(Table1[[#This Row],[ActualResult]]), 0, IF(Table1[[#This Row],[ActualWinner]]=Table1[[#This Row],[PredictedWinner]], 1, 0))</f>
        <v>0</v>
      </c>
      <c r="AD115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5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57" s="64">
        <f>IF(AND(Table1[[#This Row],[GameIsOver]]=1,Table1[[#This Row],[ActualAwayScore]]=0), 1,0)</f>
        <v>0</v>
      </c>
      <c r="AG1157" s="64">
        <f>IF(AND(Table1[[#This Row],[GameIsOver]]=1,Table1[[#This Row],[ActualHomeScore]]=0), 1,0)</f>
        <v>0</v>
      </c>
      <c r="AH1157" s="64">
        <f>IF(Table1[[#This Row],[GameIsOver]]=0,0,IF(Table1[[#This Row],[ActualWinner]]=Table1[[#This Row],[AwayTeam]], 1, 0))</f>
        <v>0</v>
      </c>
      <c r="AI1157" s="64">
        <f>IF(Table1[[#This Row],[GameIsOver]]=0,0,IF(Table1[[#This Row],[ActualWinner]]=Table1[[#This Row],[HomeTeam]], 1, 0))</f>
        <v>0</v>
      </c>
      <c r="AJ1157" s="64">
        <f>IF(INDEX(Standings!$A$2:$C$33,MATCH(Table1[[#This Row],[AwayTeam]],Standings!$A$2:$A$33,0),2)=INDEX(Standings!$A$2:$C$33,MATCH(Table1[[#This Row],[HomeTeam]],Standings!$A$2:$A$33,0),2),1,0)</f>
        <v>1</v>
      </c>
      <c r="AK1157" s="64">
        <f>IF(INDEX(Standings!$A$2:$C$33,MATCH(Table1[[#This Row],[AwayTeam]],Standings!$A$2:$A$33,0),3)=INDEX(Standings!$A$2:$C$33,MATCH(Table1[[#This Row],[HomeTeam]],Standings!$A$2:$A$33,0),3),1,0)</f>
        <v>1</v>
      </c>
      <c r="AL1157" s="64">
        <f>IF(Table1[[#This Row],[InterConf]]=1,IF(Table1[[#This Row],[InterDiv]]=0, 1, 0), 0)</f>
        <v>0</v>
      </c>
      <c r="AM1157" s="64">
        <f>IF(INDEX(Standings!$A$2:$C$33,MATCH(Table1[[#This Row],[AwayTeam]],Standings!$A$2:$A$33,0),2)&lt;&gt;INDEX(Standings!$A$2:$C$33,MATCH(Table1[[#This Row],[HomeTeam]],Standings!$A$2:$A$33,0),2),1,0)</f>
        <v>0</v>
      </c>
      <c r="AN1157" s="64" t="str">
        <f>INDEX(Table2[AWAY_RECORD], MATCH(Table1[[#This Row],[AwayTeam]],Table2[Team], 0), 0)</f>
        <v>0-0-1</v>
      </c>
      <c r="AO1157" s="64" t="str">
        <f>INDEX(Records!$B$2:$AG$33, MATCH(Table1[[#This Row],[AwayTeam]],Records!$A$2:$A$33, 0), MATCH(Table1[[#This Row],[HomeTeam]],Records!$A$2:$A$33, 0))</f>
        <v>0-0-0</v>
      </c>
      <c r="AP1157" s="64" t="str">
        <f>INDEX(Table2[HOME_RECORD], MATCH(Table1[[#This Row],[HomeTeam]],Table2[Team], 0), 0)</f>
        <v>0-0-1</v>
      </c>
      <c r="AQ1157" s="64" t="str">
        <f>INDEX(Records!$B$2:$AG$33, MATCH(Table1[[#This Row],[HomeTeam]],Records!$A$2:$A$33, 0), MATCH(Table1[[#This Row],[AwayTeam]],Records!$A$2:$A$33, 0))</f>
        <v>0-0-0</v>
      </c>
    </row>
    <row r="1158" spans="1:43" x14ac:dyDescent="0.25">
      <c r="A1158" s="1"/>
      <c r="D1158" t="s">
        <v>1503</v>
      </c>
      <c r="E1158" t="s">
        <v>301</v>
      </c>
      <c r="F1158" t="s">
        <v>1507</v>
      </c>
      <c r="G1158" t="s">
        <v>43</v>
      </c>
      <c r="H1158" t="s">
        <v>39</v>
      </c>
      <c r="L115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5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58" s="1"/>
      <c r="T1158" s="64" t="str">
        <f>IF(Table1[[#This Row],[ActualWinner]]="", "", IF(Table1[[#This Row],[AwayTeam]]=Table1[[#This Row],[ActualWinner]],Table1[[#This Row],[HomeTeam]],Table1[[#This Row],[AwayTeam]]))</f>
        <v/>
      </c>
      <c r="U1158" s="64">
        <f>Table1[[#This Row],[ActualAwayScore]]-Table1[[#This Row],[PredictedAwayScore]]</f>
        <v>0</v>
      </c>
      <c r="V1158" s="64">
        <f>Table1[[#This Row],[ActualHomeScore]]-Table1[[#This Row],[PredictedHomeScore]]</f>
        <v>0</v>
      </c>
      <c r="W1158" s="64">
        <f>(0.8*IF(Table1[[#This Row],[CorrectWinnerPrediction]]=1, 1, 0))+(0.1*IF(Table1[[#This Row],[CorrectAwayScorePrediction]]=1, 1, 0))+(0.1*IF(Table1[[#This Row],[CorrectHomeScorePrediction]]=1, 1, 0))</f>
        <v>0</v>
      </c>
      <c r="X115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58" s="64">
        <f>SUMIF(Table1[GameDate], Table1[[#This Row],[GameDate]], Table1[AwayGameGoalDiff])</f>
        <v>0</v>
      </c>
      <c r="AA1158" s="64">
        <f>SUMIF(Table1[GameDate], Table1[[#This Row],[GameDate]], Table1[HomeGameGoalDiff])</f>
        <v>0</v>
      </c>
      <c r="AB1158" s="64">
        <f>IF(ISBLANK(Table1[[#This Row],[ActualResult]]), 0, 1)</f>
        <v>0</v>
      </c>
      <c r="AC1158" s="64">
        <f>IF(ISBLANK(Table1[[#This Row],[ActualResult]]), 0, IF(Table1[[#This Row],[ActualWinner]]=Table1[[#This Row],[PredictedWinner]], 1, 0))</f>
        <v>0</v>
      </c>
      <c r="AD115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5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58" s="64">
        <f>IF(AND(Table1[[#This Row],[GameIsOver]]=1,Table1[[#This Row],[ActualAwayScore]]=0), 1,0)</f>
        <v>0</v>
      </c>
      <c r="AG1158" s="64">
        <f>IF(AND(Table1[[#This Row],[GameIsOver]]=1,Table1[[#This Row],[ActualHomeScore]]=0), 1,0)</f>
        <v>0</v>
      </c>
      <c r="AH1158" s="64">
        <f>IF(Table1[[#This Row],[GameIsOver]]=0,0,IF(Table1[[#This Row],[ActualWinner]]=Table1[[#This Row],[AwayTeam]], 1, 0))</f>
        <v>0</v>
      </c>
      <c r="AI1158" s="64">
        <f>IF(Table1[[#This Row],[GameIsOver]]=0,0,IF(Table1[[#This Row],[ActualWinner]]=Table1[[#This Row],[HomeTeam]], 1, 0))</f>
        <v>0</v>
      </c>
      <c r="AJ1158" s="64">
        <f>IF(INDEX(Standings!$A$2:$C$33,MATCH(Table1[[#This Row],[AwayTeam]],Standings!$A$2:$A$33,0),2)=INDEX(Standings!$A$2:$C$33,MATCH(Table1[[#This Row],[HomeTeam]],Standings!$A$2:$A$33,0),2),1,0)</f>
        <v>1</v>
      </c>
      <c r="AK1158" s="64">
        <f>IF(INDEX(Standings!$A$2:$C$33,MATCH(Table1[[#This Row],[AwayTeam]],Standings!$A$2:$A$33,0),3)=INDEX(Standings!$A$2:$C$33,MATCH(Table1[[#This Row],[HomeTeam]],Standings!$A$2:$A$33,0),3),1,0)</f>
        <v>0</v>
      </c>
      <c r="AL1158" s="64">
        <f>IF(Table1[[#This Row],[InterConf]]=1,IF(Table1[[#This Row],[InterDiv]]=0, 1, 0), 0)</f>
        <v>1</v>
      </c>
      <c r="AM1158" s="64">
        <f>IF(INDEX(Standings!$A$2:$C$33,MATCH(Table1[[#This Row],[AwayTeam]],Standings!$A$2:$A$33,0),2)&lt;&gt;INDEX(Standings!$A$2:$C$33,MATCH(Table1[[#This Row],[HomeTeam]],Standings!$A$2:$A$33,0),2),1,0)</f>
        <v>0</v>
      </c>
      <c r="AN1158" s="64" t="str">
        <f>INDEX(Table2[AWAY_RECORD], MATCH(Table1[[#This Row],[AwayTeam]],Table2[Team], 0), 0)</f>
        <v>0-0-0</v>
      </c>
      <c r="AO1158" s="64" t="str">
        <f>INDEX(Records!$B$2:$AG$33, MATCH(Table1[[#This Row],[AwayTeam]],Records!$A$2:$A$33, 0), MATCH(Table1[[#This Row],[HomeTeam]],Records!$A$2:$A$33, 0))</f>
        <v>0-0-0</v>
      </c>
      <c r="AP1158" s="64" t="str">
        <f>INDEX(Table2[HOME_RECORD], MATCH(Table1[[#This Row],[HomeTeam]],Table2[Team], 0), 0)</f>
        <v>0-1-0</v>
      </c>
      <c r="AQ1158" s="64" t="str">
        <f>INDEX(Records!$B$2:$AG$33, MATCH(Table1[[#This Row],[HomeTeam]],Records!$A$2:$A$33, 0), MATCH(Table1[[#This Row],[AwayTeam]],Records!$A$2:$A$33, 0))</f>
        <v>0-0-0</v>
      </c>
    </row>
    <row r="1159" spans="1:43" x14ac:dyDescent="0.25">
      <c r="A1159" s="1"/>
      <c r="D1159" t="s">
        <v>1503</v>
      </c>
      <c r="E1159" t="s">
        <v>164</v>
      </c>
      <c r="F1159" t="s">
        <v>1508</v>
      </c>
      <c r="G1159" t="s">
        <v>48</v>
      </c>
      <c r="H1159" t="s">
        <v>23</v>
      </c>
      <c r="L115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5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59" s="1"/>
      <c r="T1159" s="64" t="str">
        <f>IF(Table1[[#This Row],[ActualWinner]]="", "", IF(Table1[[#This Row],[AwayTeam]]=Table1[[#This Row],[ActualWinner]],Table1[[#This Row],[HomeTeam]],Table1[[#This Row],[AwayTeam]]))</f>
        <v/>
      </c>
      <c r="U1159" s="64">
        <f>Table1[[#This Row],[ActualAwayScore]]-Table1[[#This Row],[PredictedAwayScore]]</f>
        <v>0</v>
      </c>
      <c r="V1159" s="64">
        <f>Table1[[#This Row],[ActualHomeScore]]-Table1[[#This Row],[PredictedHomeScore]]</f>
        <v>0</v>
      </c>
      <c r="W1159" s="64">
        <f>(0.8*IF(Table1[[#This Row],[CorrectWinnerPrediction]]=1, 1, 0))+(0.1*IF(Table1[[#This Row],[CorrectAwayScorePrediction]]=1, 1, 0))+(0.1*IF(Table1[[#This Row],[CorrectHomeScorePrediction]]=1, 1, 0))</f>
        <v>0</v>
      </c>
      <c r="X115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59" s="64">
        <f>SUMIF(Table1[GameDate], Table1[[#This Row],[GameDate]], Table1[AwayGameGoalDiff])</f>
        <v>0</v>
      </c>
      <c r="AA1159" s="64">
        <f>SUMIF(Table1[GameDate], Table1[[#This Row],[GameDate]], Table1[HomeGameGoalDiff])</f>
        <v>0</v>
      </c>
      <c r="AB1159" s="64">
        <f>IF(ISBLANK(Table1[[#This Row],[ActualResult]]), 0, 1)</f>
        <v>0</v>
      </c>
      <c r="AC1159" s="64">
        <f>IF(ISBLANK(Table1[[#This Row],[ActualResult]]), 0, IF(Table1[[#This Row],[ActualWinner]]=Table1[[#This Row],[PredictedWinner]], 1, 0))</f>
        <v>0</v>
      </c>
      <c r="AD115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5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59" s="64">
        <f>IF(AND(Table1[[#This Row],[GameIsOver]]=1,Table1[[#This Row],[ActualAwayScore]]=0), 1,0)</f>
        <v>0</v>
      </c>
      <c r="AG1159" s="64">
        <f>IF(AND(Table1[[#This Row],[GameIsOver]]=1,Table1[[#This Row],[ActualHomeScore]]=0), 1,0)</f>
        <v>0</v>
      </c>
      <c r="AH1159" s="64">
        <f>IF(Table1[[#This Row],[GameIsOver]]=0,0,IF(Table1[[#This Row],[ActualWinner]]=Table1[[#This Row],[AwayTeam]], 1, 0))</f>
        <v>0</v>
      </c>
      <c r="AI1159" s="64">
        <f>IF(Table1[[#This Row],[GameIsOver]]=0,0,IF(Table1[[#This Row],[ActualWinner]]=Table1[[#This Row],[HomeTeam]], 1, 0))</f>
        <v>0</v>
      </c>
      <c r="AJ1159" s="64">
        <f>IF(INDEX(Standings!$A$2:$C$33,MATCH(Table1[[#This Row],[AwayTeam]],Standings!$A$2:$A$33,0),2)=INDEX(Standings!$A$2:$C$33,MATCH(Table1[[#This Row],[HomeTeam]],Standings!$A$2:$A$33,0),2),1,0)</f>
        <v>1</v>
      </c>
      <c r="AK1159" s="64">
        <f>IF(INDEX(Standings!$A$2:$C$33,MATCH(Table1[[#This Row],[AwayTeam]],Standings!$A$2:$A$33,0),3)=INDEX(Standings!$A$2:$C$33,MATCH(Table1[[#This Row],[HomeTeam]],Standings!$A$2:$A$33,0),3),1,0)</f>
        <v>0</v>
      </c>
      <c r="AL1159" s="64">
        <f>IF(Table1[[#This Row],[InterConf]]=1,IF(Table1[[#This Row],[InterDiv]]=0, 1, 0), 0)</f>
        <v>1</v>
      </c>
      <c r="AM1159" s="64">
        <f>IF(INDEX(Standings!$A$2:$C$33,MATCH(Table1[[#This Row],[AwayTeam]],Standings!$A$2:$A$33,0),2)&lt;&gt;INDEX(Standings!$A$2:$C$33,MATCH(Table1[[#This Row],[HomeTeam]],Standings!$A$2:$A$33,0),2),1,0)</f>
        <v>0</v>
      </c>
      <c r="AN1159" s="64" t="str">
        <f>INDEX(Table2[AWAY_RECORD], MATCH(Table1[[#This Row],[AwayTeam]],Table2[Team], 0), 0)</f>
        <v>0-0-0</v>
      </c>
      <c r="AO1159" s="64" t="str">
        <f>INDEX(Records!$B$2:$AG$33, MATCH(Table1[[#This Row],[AwayTeam]],Records!$A$2:$A$33, 0), MATCH(Table1[[#This Row],[HomeTeam]],Records!$A$2:$A$33, 0))</f>
        <v>0-0-0</v>
      </c>
      <c r="AP1159" s="64" t="str">
        <f>INDEX(Table2[HOME_RECORD], MATCH(Table1[[#This Row],[HomeTeam]],Table2[Team], 0), 0)</f>
        <v>0-0-1</v>
      </c>
      <c r="AQ1159" s="64" t="str">
        <f>INDEX(Records!$B$2:$AG$33, MATCH(Table1[[#This Row],[HomeTeam]],Records!$A$2:$A$33, 0), MATCH(Table1[[#This Row],[AwayTeam]],Records!$A$2:$A$33, 0))</f>
        <v>0-0-0</v>
      </c>
    </row>
    <row r="1160" spans="1:43" x14ac:dyDescent="0.25">
      <c r="A1160" s="1"/>
      <c r="D1160" t="s">
        <v>1503</v>
      </c>
      <c r="E1160" t="s">
        <v>164</v>
      </c>
      <c r="F1160" t="s">
        <v>1509</v>
      </c>
      <c r="G1160" t="s">
        <v>56</v>
      </c>
      <c r="H1160" t="s">
        <v>25</v>
      </c>
      <c r="L116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6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60" s="1"/>
      <c r="T1160" s="64" t="str">
        <f>IF(Table1[[#This Row],[ActualWinner]]="", "", IF(Table1[[#This Row],[AwayTeam]]=Table1[[#This Row],[ActualWinner]],Table1[[#This Row],[HomeTeam]],Table1[[#This Row],[AwayTeam]]))</f>
        <v/>
      </c>
      <c r="U1160" s="64">
        <f>Table1[[#This Row],[ActualAwayScore]]-Table1[[#This Row],[PredictedAwayScore]]</f>
        <v>0</v>
      </c>
      <c r="V1160" s="64">
        <f>Table1[[#This Row],[ActualHomeScore]]-Table1[[#This Row],[PredictedHomeScore]]</f>
        <v>0</v>
      </c>
      <c r="W1160" s="64">
        <f>(0.8*IF(Table1[[#This Row],[CorrectWinnerPrediction]]=1, 1, 0))+(0.1*IF(Table1[[#This Row],[CorrectAwayScorePrediction]]=1, 1, 0))+(0.1*IF(Table1[[#This Row],[CorrectHomeScorePrediction]]=1, 1, 0))</f>
        <v>0</v>
      </c>
      <c r="X116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60" s="64">
        <f>SUMIF(Table1[GameDate], Table1[[#This Row],[GameDate]], Table1[AwayGameGoalDiff])</f>
        <v>0</v>
      </c>
      <c r="AA1160" s="64">
        <f>SUMIF(Table1[GameDate], Table1[[#This Row],[GameDate]], Table1[HomeGameGoalDiff])</f>
        <v>0</v>
      </c>
      <c r="AB1160" s="64">
        <f>IF(ISBLANK(Table1[[#This Row],[ActualResult]]), 0, 1)</f>
        <v>0</v>
      </c>
      <c r="AC1160" s="64">
        <f>IF(ISBLANK(Table1[[#This Row],[ActualResult]]), 0, IF(Table1[[#This Row],[ActualWinner]]=Table1[[#This Row],[PredictedWinner]], 1, 0))</f>
        <v>0</v>
      </c>
      <c r="AD116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6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60" s="64">
        <f>IF(AND(Table1[[#This Row],[GameIsOver]]=1,Table1[[#This Row],[ActualAwayScore]]=0), 1,0)</f>
        <v>0</v>
      </c>
      <c r="AG1160" s="64">
        <f>IF(AND(Table1[[#This Row],[GameIsOver]]=1,Table1[[#This Row],[ActualHomeScore]]=0), 1,0)</f>
        <v>0</v>
      </c>
      <c r="AH1160" s="64">
        <f>IF(Table1[[#This Row],[GameIsOver]]=0,0,IF(Table1[[#This Row],[ActualWinner]]=Table1[[#This Row],[AwayTeam]], 1, 0))</f>
        <v>0</v>
      </c>
      <c r="AI1160" s="64">
        <f>IF(Table1[[#This Row],[GameIsOver]]=0,0,IF(Table1[[#This Row],[ActualWinner]]=Table1[[#This Row],[HomeTeam]], 1, 0))</f>
        <v>0</v>
      </c>
      <c r="AJ1160" s="64">
        <f>IF(INDEX(Standings!$A$2:$C$33,MATCH(Table1[[#This Row],[AwayTeam]],Standings!$A$2:$A$33,0),2)=INDEX(Standings!$A$2:$C$33,MATCH(Table1[[#This Row],[HomeTeam]],Standings!$A$2:$A$33,0),2),1,0)</f>
        <v>1</v>
      </c>
      <c r="AK1160" s="64">
        <f>IF(INDEX(Standings!$A$2:$C$33,MATCH(Table1[[#This Row],[AwayTeam]],Standings!$A$2:$A$33,0),3)=INDEX(Standings!$A$2:$C$33,MATCH(Table1[[#This Row],[HomeTeam]],Standings!$A$2:$A$33,0),3),1,0)</f>
        <v>1</v>
      </c>
      <c r="AL1160" s="64">
        <f>IF(Table1[[#This Row],[InterConf]]=1,IF(Table1[[#This Row],[InterDiv]]=0, 1, 0), 0)</f>
        <v>0</v>
      </c>
      <c r="AM1160" s="64">
        <f>IF(INDEX(Standings!$A$2:$C$33,MATCH(Table1[[#This Row],[AwayTeam]],Standings!$A$2:$A$33,0),2)&lt;&gt;INDEX(Standings!$A$2:$C$33,MATCH(Table1[[#This Row],[HomeTeam]],Standings!$A$2:$A$33,0),2),1,0)</f>
        <v>0</v>
      </c>
      <c r="AN1160" s="64" t="str">
        <f>INDEX(Table2[AWAY_RECORD], MATCH(Table1[[#This Row],[AwayTeam]],Table2[Team], 0), 0)</f>
        <v>1-0-0</v>
      </c>
      <c r="AO1160" s="64" t="str">
        <f>INDEX(Records!$B$2:$AG$33, MATCH(Table1[[#This Row],[AwayTeam]],Records!$A$2:$A$33, 0), MATCH(Table1[[#This Row],[HomeTeam]],Records!$A$2:$A$33, 0))</f>
        <v>0-0-0</v>
      </c>
      <c r="AP1160" s="64" t="str">
        <f>INDEX(Table2[HOME_RECORD], MATCH(Table1[[#This Row],[HomeTeam]],Table2[Team], 0), 0)</f>
        <v>0-0-1</v>
      </c>
      <c r="AQ1160" s="64" t="str">
        <f>INDEX(Records!$B$2:$AG$33, MATCH(Table1[[#This Row],[HomeTeam]],Records!$A$2:$A$33, 0), MATCH(Table1[[#This Row],[AwayTeam]],Records!$A$2:$A$33, 0))</f>
        <v>0-0-0</v>
      </c>
    </row>
    <row r="1161" spans="1:43" x14ac:dyDescent="0.25">
      <c r="A1161" s="1"/>
      <c r="D1161" t="s">
        <v>1510</v>
      </c>
      <c r="E1161" t="s">
        <v>160</v>
      </c>
      <c r="F1161" t="s">
        <v>1511</v>
      </c>
      <c r="G1161" t="s">
        <v>59</v>
      </c>
      <c r="H1161" t="s">
        <v>38</v>
      </c>
      <c r="L116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6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61" s="1"/>
      <c r="T1161" s="64" t="str">
        <f>IF(Table1[[#This Row],[ActualWinner]]="", "", IF(Table1[[#This Row],[AwayTeam]]=Table1[[#This Row],[ActualWinner]],Table1[[#This Row],[HomeTeam]],Table1[[#This Row],[AwayTeam]]))</f>
        <v/>
      </c>
      <c r="U1161" s="64">
        <f>Table1[[#This Row],[ActualAwayScore]]-Table1[[#This Row],[PredictedAwayScore]]</f>
        <v>0</v>
      </c>
      <c r="V1161" s="64">
        <f>Table1[[#This Row],[ActualHomeScore]]-Table1[[#This Row],[PredictedHomeScore]]</f>
        <v>0</v>
      </c>
      <c r="W1161" s="64">
        <f>(0.8*IF(Table1[[#This Row],[CorrectWinnerPrediction]]=1, 1, 0))+(0.1*IF(Table1[[#This Row],[CorrectAwayScorePrediction]]=1, 1, 0))+(0.1*IF(Table1[[#This Row],[CorrectHomeScorePrediction]]=1, 1, 0))</f>
        <v>0</v>
      </c>
      <c r="X116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61" s="64">
        <f>SUMIF(Table1[GameDate], Table1[[#This Row],[GameDate]], Table1[AwayGameGoalDiff])</f>
        <v>0</v>
      </c>
      <c r="AA1161" s="64">
        <f>SUMIF(Table1[GameDate], Table1[[#This Row],[GameDate]], Table1[HomeGameGoalDiff])</f>
        <v>0</v>
      </c>
      <c r="AB1161" s="64">
        <f>IF(ISBLANK(Table1[[#This Row],[ActualResult]]), 0, 1)</f>
        <v>0</v>
      </c>
      <c r="AC1161" s="64">
        <f>IF(ISBLANK(Table1[[#This Row],[ActualResult]]), 0, IF(Table1[[#This Row],[ActualWinner]]=Table1[[#This Row],[PredictedWinner]], 1, 0))</f>
        <v>0</v>
      </c>
      <c r="AD116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6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61" s="64">
        <f>IF(AND(Table1[[#This Row],[GameIsOver]]=1,Table1[[#This Row],[ActualAwayScore]]=0), 1,0)</f>
        <v>0</v>
      </c>
      <c r="AG1161" s="64">
        <f>IF(AND(Table1[[#This Row],[GameIsOver]]=1,Table1[[#This Row],[ActualHomeScore]]=0), 1,0)</f>
        <v>0</v>
      </c>
      <c r="AH1161" s="64">
        <f>IF(Table1[[#This Row],[GameIsOver]]=0,0,IF(Table1[[#This Row],[ActualWinner]]=Table1[[#This Row],[AwayTeam]], 1, 0))</f>
        <v>0</v>
      </c>
      <c r="AI1161" s="64">
        <f>IF(Table1[[#This Row],[GameIsOver]]=0,0,IF(Table1[[#This Row],[ActualWinner]]=Table1[[#This Row],[HomeTeam]], 1, 0))</f>
        <v>0</v>
      </c>
      <c r="AJ1161" s="64">
        <f>IF(INDEX(Standings!$A$2:$C$33,MATCH(Table1[[#This Row],[AwayTeam]],Standings!$A$2:$A$33,0),2)=INDEX(Standings!$A$2:$C$33,MATCH(Table1[[#This Row],[HomeTeam]],Standings!$A$2:$A$33,0),2),1,0)</f>
        <v>1</v>
      </c>
      <c r="AK1161" s="64">
        <f>IF(INDEX(Standings!$A$2:$C$33,MATCH(Table1[[#This Row],[AwayTeam]],Standings!$A$2:$A$33,0),3)=INDEX(Standings!$A$2:$C$33,MATCH(Table1[[#This Row],[HomeTeam]],Standings!$A$2:$A$33,0),3),1,0)</f>
        <v>0</v>
      </c>
      <c r="AL1161" s="64">
        <f>IF(Table1[[#This Row],[InterConf]]=1,IF(Table1[[#This Row],[InterDiv]]=0, 1, 0), 0)</f>
        <v>1</v>
      </c>
      <c r="AM1161" s="64">
        <f>IF(INDEX(Standings!$A$2:$C$33,MATCH(Table1[[#This Row],[AwayTeam]],Standings!$A$2:$A$33,0),2)&lt;&gt;INDEX(Standings!$A$2:$C$33,MATCH(Table1[[#This Row],[HomeTeam]],Standings!$A$2:$A$33,0),2),1,0)</f>
        <v>0</v>
      </c>
      <c r="AN1161" s="64" t="str">
        <f>INDEX(Table2[AWAY_RECORD], MATCH(Table1[[#This Row],[AwayTeam]],Table2[Team], 0), 0)</f>
        <v>0-1-0</v>
      </c>
      <c r="AO1161" s="64" t="str">
        <f>INDEX(Records!$B$2:$AG$33, MATCH(Table1[[#This Row],[AwayTeam]],Records!$A$2:$A$33, 0), MATCH(Table1[[#This Row],[HomeTeam]],Records!$A$2:$A$33, 0))</f>
        <v>0-0-0</v>
      </c>
      <c r="AP1161" s="64" t="str">
        <f>INDEX(Table2[HOME_RECORD], MATCH(Table1[[#This Row],[HomeTeam]],Table2[Team], 0), 0)</f>
        <v>0-0-0</v>
      </c>
      <c r="AQ1161" s="64" t="str">
        <f>INDEX(Records!$B$2:$AG$33, MATCH(Table1[[#This Row],[HomeTeam]],Records!$A$2:$A$33, 0), MATCH(Table1[[#This Row],[AwayTeam]],Records!$A$2:$A$33, 0))</f>
        <v>0-0-0</v>
      </c>
    </row>
    <row r="1162" spans="1:43" x14ac:dyDescent="0.25">
      <c r="A1162" s="1"/>
      <c r="D1162" t="s">
        <v>1510</v>
      </c>
      <c r="E1162" t="s">
        <v>160</v>
      </c>
      <c r="F1162" t="s">
        <v>1512</v>
      </c>
      <c r="G1162" t="s">
        <v>57</v>
      </c>
      <c r="H1162" t="s">
        <v>47</v>
      </c>
      <c r="L116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6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62" s="1"/>
      <c r="T1162" s="64" t="str">
        <f>IF(Table1[[#This Row],[ActualWinner]]="", "", IF(Table1[[#This Row],[AwayTeam]]=Table1[[#This Row],[ActualWinner]],Table1[[#This Row],[HomeTeam]],Table1[[#This Row],[AwayTeam]]))</f>
        <v/>
      </c>
      <c r="U1162" s="64">
        <f>Table1[[#This Row],[ActualAwayScore]]-Table1[[#This Row],[PredictedAwayScore]]</f>
        <v>0</v>
      </c>
      <c r="V1162" s="64">
        <f>Table1[[#This Row],[ActualHomeScore]]-Table1[[#This Row],[PredictedHomeScore]]</f>
        <v>0</v>
      </c>
      <c r="W1162" s="64">
        <f>(0.8*IF(Table1[[#This Row],[CorrectWinnerPrediction]]=1, 1, 0))+(0.1*IF(Table1[[#This Row],[CorrectAwayScorePrediction]]=1, 1, 0))+(0.1*IF(Table1[[#This Row],[CorrectHomeScorePrediction]]=1, 1, 0))</f>
        <v>0</v>
      </c>
      <c r="X116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62" s="64">
        <f>SUMIF(Table1[GameDate], Table1[[#This Row],[GameDate]], Table1[AwayGameGoalDiff])</f>
        <v>0</v>
      </c>
      <c r="AA1162" s="64">
        <f>SUMIF(Table1[GameDate], Table1[[#This Row],[GameDate]], Table1[HomeGameGoalDiff])</f>
        <v>0</v>
      </c>
      <c r="AB1162" s="64">
        <f>IF(ISBLANK(Table1[[#This Row],[ActualResult]]), 0, 1)</f>
        <v>0</v>
      </c>
      <c r="AC1162" s="64">
        <f>IF(ISBLANK(Table1[[#This Row],[ActualResult]]), 0, IF(Table1[[#This Row],[ActualWinner]]=Table1[[#This Row],[PredictedWinner]], 1, 0))</f>
        <v>0</v>
      </c>
      <c r="AD116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6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62" s="64">
        <f>IF(AND(Table1[[#This Row],[GameIsOver]]=1,Table1[[#This Row],[ActualAwayScore]]=0), 1,0)</f>
        <v>0</v>
      </c>
      <c r="AG1162" s="64">
        <f>IF(AND(Table1[[#This Row],[GameIsOver]]=1,Table1[[#This Row],[ActualHomeScore]]=0), 1,0)</f>
        <v>0</v>
      </c>
      <c r="AH1162" s="64">
        <f>IF(Table1[[#This Row],[GameIsOver]]=0,0,IF(Table1[[#This Row],[ActualWinner]]=Table1[[#This Row],[AwayTeam]], 1, 0))</f>
        <v>0</v>
      </c>
      <c r="AI1162" s="64">
        <f>IF(Table1[[#This Row],[GameIsOver]]=0,0,IF(Table1[[#This Row],[ActualWinner]]=Table1[[#This Row],[HomeTeam]], 1, 0))</f>
        <v>0</v>
      </c>
      <c r="AJ1162" s="64">
        <f>IF(INDEX(Standings!$A$2:$C$33,MATCH(Table1[[#This Row],[AwayTeam]],Standings!$A$2:$A$33,0),2)=INDEX(Standings!$A$2:$C$33,MATCH(Table1[[#This Row],[HomeTeam]],Standings!$A$2:$A$33,0),2),1,0)</f>
        <v>1</v>
      </c>
      <c r="AK1162" s="64">
        <f>IF(INDEX(Standings!$A$2:$C$33,MATCH(Table1[[#This Row],[AwayTeam]],Standings!$A$2:$A$33,0),3)=INDEX(Standings!$A$2:$C$33,MATCH(Table1[[#This Row],[HomeTeam]],Standings!$A$2:$A$33,0),3),1,0)</f>
        <v>1</v>
      </c>
      <c r="AL1162" s="64">
        <f>IF(Table1[[#This Row],[InterConf]]=1,IF(Table1[[#This Row],[InterDiv]]=0, 1, 0), 0)</f>
        <v>0</v>
      </c>
      <c r="AM1162" s="64">
        <f>IF(INDEX(Standings!$A$2:$C$33,MATCH(Table1[[#This Row],[AwayTeam]],Standings!$A$2:$A$33,0),2)&lt;&gt;INDEX(Standings!$A$2:$C$33,MATCH(Table1[[#This Row],[HomeTeam]],Standings!$A$2:$A$33,0),2),1,0)</f>
        <v>0</v>
      </c>
      <c r="AN1162" s="64" t="str">
        <f>INDEX(Table2[AWAY_RECORD], MATCH(Table1[[#This Row],[AwayTeam]],Table2[Team], 0), 0)</f>
        <v>0-1-0</v>
      </c>
      <c r="AO1162" s="64" t="str">
        <f>INDEX(Records!$B$2:$AG$33, MATCH(Table1[[#This Row],[AwayTeam]],Records!$A$2:$A$33, 0), MATCH(Table1[[#This Row],[HomeTeam]],Records!$A$2:$A$33, 0))</f>
        <v>0-0-0</v>
      </c>
      <c r="AP1162" s="64" t="str">
        <f>INDEX(Table2[HOME_RECORD], MATCH(Table1[[#This Row],[HomeTeam]],Table2[Team], 0), 0)</f>
        <v>0-0-0</v>
      </c>
      <c r="AQ1162" s="64" t="str">
        <f>INDEX(Records!$B$2:$AG$33, MATCH(Table1[[#This Row],[HomeTeam]],Records!$A$2:$A$33, 0), MATCH(Table1[[#This Row],[AwayTeam]],Records!$A$2:$A$33, 0))</f>
        <v>0-0-0</v>
      </c>
    </row>
    <row r="1163" spans="1:43" x14ac:dyDescent="0.25">
      <c r="A1163" s="1"/>
      <c r="D1163" t="s">
        <v>1510</v>
      </c>
      <c r="E1163" t="s">
        <v>160</v>
      </c>
      <c r="F1163" t="s">
        <v>1513</v>
      </c>
      <c r="G1163" t="s">
        <v>17</v>
      </c>
      <c r="H1163" t="s">
        <v>52</v>
      </c>
      <c r="L116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6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63" s="1"/>
      <c r="T1163" s="64" t="str">
        <f>IF(Table1[[#This Row],[ActualWinner]]="", "", IF(Table1[[#This Row],[AwayTeam]]=Table1[[#This Row],[ActualWinner]],Table1[[#This Row],[HomeTeam]],Table1[[#This Row],[AwayTeam]]))</f>
        <v/>
      </c>
      <c r="U1163" s="64">
        <f>Table1[[#This Row],[ActualAwayScore]]-Table1[[#This Row],[PredictedAwayScore]]</f>
        <v>0</v>
      </c>
      <c r="V1163" s="64">
        <f>Table1[[#This Row],[ActualHomeScore]]-Table1[[#This Row],[PredictedHomeScore]]</f>
        <v>0</v>
      </c>
      <c r="W1163" s="64">
        <f>(0.8*IF(Table1[[#This Row],[CorrectWinnerPrediction]]=1, 1, 0))+(0.1*IF(Table1[[#This Row],[CorrectAwayScorePrediction]]=1, 1, 0))+(0.1*IF(Table1[[#This Row],[CorrectHomeScorePrediction]]=1, 1, 0))</f>
        <v>0</v>
      </c>
      <c r="X116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63" s="64">
        <f>SUMIF(Table1[GameDate], Table1[[#This Row],[GameDate]], Table1[AwayGameGoalDiff])</f>
        <v>0</v>
      </c>
      <c r="AA1163" s="64">
        <f>SUMIF(Table1[GameDate], Table1[[#This Row],[GameDate]], Table1[HomeGameGoalDiff])</f>
        <v>0</v>
      </c>
      <c r="AB1163" s="64">
        <f>IF(ISBLANK(Table1[[#This Row],[ActualResult]]), 0, 1)</f>
        <v>0</v>
      </c>
      <c r="AC1163" s="64">
        <f>IF(ISBLANK(Table1[[#This Row],[ActualResult]]), 0, IF(Table1[[#This Row],[ActualWinner]]=Table1[[#This Row],[PredictedWinner]], 1, 0))</f>
        <v>0</v>
      </c>
      <c r="AD116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6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63" s="64">
        <f>IF(AND(Table1[[#This Row],[GameIsOver]]=1,Table1[[#This Row],[ActualAwayScore]]=0), 1,0)</f>
        <v>0</v>
      </c>
      <c r="AG1163" s="64">
        <f>IF(AND(Table1[[#This Row],[GameIsOver]]=1,Table1[[#This Row],[ActualHomeScore]]=0), 1,0)</f>
        <v>0</v>
      </c>
      <c r="AH1163" s="64">
        <f>IF(Table1[[#This Row],[GameIsOver]]=0,0,IF(Table1[[#This Row],[ActualWinner]]=Table1[[#This Row],[AwayTeam]], 1, 0))</f>
        <v>0</v>
      </c>
      <c r="AI1163" s="64">
        <f>IF(Table1[[#This Row],[GameIsOver]]=0,0,IF(Table1[[#This Row],[ActualWinner]]=Table1[[#This Row],[HomeTeam]], 1, 0))</f>
        <v>0</v>
      </c>
      <c r="AJ1163" s="64">
        <f>IF(INDEX(Standings!$A$2:$C$33,MATCH(Table1[[#This Row],[AwayTeam]],Standings!$A$2:$A$33,0),2)=INDEX(Standings!$A$2:$C$33,MATCH(Table1[[#This Row],[HomeTeam]],Standings!$A$2:$A$33,0),2),1,0)</f>
        <v>1</v>
      </c>
      <c r="AK1163" s="64">
        <f>IF(INDEX(Standings!$A$2:$C$33,MATCH(Table1[[#This Row],[AwayTeam]],Standings!$A$2:$A$33,0),3)=INDEX(Standings!$A$2:$C$33,MATCH(Table1[[#This Row],[HomeTeam]],Standings!$A$2:$A$33,0),3),1,0)</f>
        <v>1</v>
      </c>
      <c r="AL1163" s="64">
        <f>IF(Table1[[#This Row],[InterConf]]=1,IF(Table1[[#This Row],[InterDiv]]=0, 1, 0), 0)</f>
        <v>0</v>
      </c>
      <c r="AM1163" s="64">
        <f>IF(INDEX(Standings!$A$2:$C$33,MATCH(Table1[[#This Row],[AwayTeam]],Standings!$A$2:$A$33,0),2)&lt;&gt;INDEX(Standings!$A$2:$C$33,MATCH(Table1[[#This Row],[HomeTeam]],Standings!$A$2:$A$33,0),2),1,0)</f>
        <v>0</v>
      </c>
      <c r="AN1163" s="64" t="str">
        <f>INDEX(Table2[AWAY_RECORD], MATCH(Table1[[#This Row],[AwayTeam]],Table2[Team], 0), 0)</f>
        <v>2-0-0</v>
      </c>
      <c r="AO1163" s="64" t="str">
        <f>INDEX(Records!$B$2:$AG$33, MATCH(Table1[[#This Row],[AwayTeam]],Records!$A$2:$A$33, 0), MATCH(Table1[[#This Row],[HomeTeam]],Records!$A$2:$A$33, 0))</f>
        <v>0-0-0</v>
      </c>
      <c r="AP1163" s="64" t="str">
        <f>INDEX(Table2[HOME_RECORD], MATCH(Table1[[#This Row],[HomeTeam]],Table2[Team], 0), 0)</f>
        <v>0-0-0</v>
      </c>
      <c r="AQ1163" s="64" t="str">
        <f>INDEX(Records!$B$2:$AG$33, MATCH(Table1[[#This Row],[HomeTeam]],Records!$A$2:$A$33, 0), MATCH(Table1[[#This Row],[AwayTeam]],Records!$A$2:$A$33, 0))</f>
        <v>0-0-0</v>
      </c>
    </row>
    <row r="1164" spans="1:43" x14ac:dyDescent="0.25">
      <c r="A1164" s="1"/>
      <c r="D1164" t="s">
        <v>1510</v>
      </c>
      <c r="E1164" t="s">
        <v>160</v>
      </c>
      <c r="F1164" t="s">
        <v>1514</v>
      </c>
      <c r="G1164" t="s">
        <v>42</v>
      </c>
      <c r="H1164" t="s">
        <v>44</v>
      </c>
      <c r="L116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6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64" s="1"/>
      <c r="T1164" s="64" t="str">
        <f>IF(Table1[[#This Row],[ActualWinner]]="", "", IF(Table1[[#This Row],[AwayTeam]]=Table1[[#This Row],[ActualWinner]],Table1[[#This Row],[HomeTeam]],Table1[[#This Row],[AwayTeam]]))</f>
        <v/>
      </c>
      <c r="U1164" s="64">
        <f>Table1[[#This Row],[ActualAwayScore]]-Table1[[#This Row],[PredictedAwayScore]]</f>
        <v>0</v>
      </c>
      <c r="V1164" s="64">
        <f>Table1[[#This Row],[ActualHomeScore]]-Table1[[#This Row],[PredictedHomeScore]]</f>
        <v>0</v>
      </c>
      <c r="W1164" s="64">
        <f>(0.8*IF(Table1[[#This Row],[CorrectWinnerPrediction]]=1, 1, 0))+(0.1*IF(Table1[[#This Row],[CorrectAwayScorePrediction]]=1, 1, 0))+(0.1*IF(Table1[[#This Row],[CorrectHomeScorePrediction]]=1, 1, 0))</f>
        <v>0</v>
      </c>
      <c r="X116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64" s="64">
        <f>SUMIF(Table1[GameDate], Table1[[#This Row],[GameDate]], Table1[AwayGameGoalDiff])</f>
        <v>0</v>
      </c>
      <c r="AA1164" s="64">
        <f>SUMIF(Table1[GameDate], Table1[[#This Row],[GameDate]], Table1[HomeGameGoalDiff])</f>
        <v>0</v>
      </c>
      <c r="AB1164" s="64">
        <f>IF(ISBLANK(Table1[[#This Row],[ActualResult]]), 0, 1)</f>
        <v>0</v>
      </c>
      <c r="AC1164" s="64">
        <f>IF(ISBLANK(Table1[[#This Row],[ActualResult]]), 0, IF(Table1[[#This Row],[ActualWinner]]=Table1[[#This Row],[PredictedWinner]], 1, 0))</f>
        <v>0</v>
      </c>
      <c r="AD116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6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64" s="64">
        <f>IF(AND(Table1[[#This Row],[GameIsOver]]=1,Table1[[#This Row],[ActualAwayScore]]=0), 1,0)</f>
        <v>0</v>
      </c>
      <c r="AG1164" s="64">
        <f>IF(AND(Table1[[#This Row],[GameIsOver]]=1,Table1[[#This Row],[ActualHomeScore]]=0), 1,0)</f>
        <v>0</v>
      </c>
      <c r="AH1164" s="64">
        <f>IF(Table1[[#This Row],[GameIsOver]]=0,0,IF(Table1[[#This Row],[ActualWinner]]=Table1[[#This Row],[AwayTeam]], 1, 0))</f>
        <v>0</v>
      </c>
      <c r="AI1164" s="64">
        <f>IF(Table1[[#This Row],[GameIsOver]]=0,0,IF(Table1[[#This Row],[ActualWinner]]=Table1[[#This Row],[HomeTeam]], 1, 0))</f>
        <v>0</v>
      </c>
      <c r="AJ1164" s="64">
        <f>IF(INDEX(Standings!$A$2:$C$33,MATCH(Table1[[#This Row],[AwayTeam]],Standings!$A$2:$A$33,0),2)=INDEX(Standings!$A$2:$C$33,MATCH(Table1[[#This Row],[HomeTeam]],Standings!$A$2:$A$33,0),2),1,0)</f>
        <v>1</v>
      </c>
      <c r="AK1164" s="64">
        <f>IF(INDEX(Standings!$A$2:$C$33,MATCH(Table1[[#This Row],[AwayTeam]],Standings!$A$2:$A$33,0),3)=INDEX(Standings!$A$2:$C$33,MATCH(Table1[[#This Row],[HomeTeam]],Standings!$A$2:$A$33,0),3),1,0)</f>
        <v>0</v>
      </c>
      <c r="AL1164" s="64">
        <f>IF(Table1[[#This Row],[InterConf]]=1,IF(Table1[[#This Row],[InterDiv]]=0, 1, 0), 0)</f>
        <v>1</v>
      </c>
      <c r="AM1164" s="64">
        <f>IF(INDEX(Standings!$A$2:$C$33,MATCH(Table1[[#This Row],[AwayTeam]],Standings!$A$2:$A$33,0),2)&lt;&gt;INDEX(Standings!$A$2:$C$33,MATCH(Table1[[#This Row],[HomeTeam]],Standings!$A$2:$A$33,0),2),1,0)</f>
        <v>0</v>
      </c>
      <c r="AN1164" s="64" t="str">
        <f>INDEX(Table2[AWAY_RECORD], MATCH(Table1[[#This Row],[AwayTeam]],Table2[Team], 0), 0)</f>
        <v>0-0-0</v>
      </c>
      <c r="AO1164" s="64" t="str">
        <f>INDEX(Records!$B$2:$AG$33, MATCH(Table1[[#This Row],[AwayTeam]],Records!$A$2:$A$33, 0), MATCH(Table1[[#This Row],[HomeTeam]],Records!$A$2:$A$33, 0))</f>
        <v>0-0-0</v>
      </c>
      <c r="AP1164" s="64" t="str">
        <f>INDEX(Table2[HOME_RECORD], MATCH(Table1[[#This Row],[HomeTeam]],Table2[Team], 0), 0)</f>
        <v>0-0-1</v>
      </c>
      <c r="AQ1164" s="64" t="str">
        <f>INDEX(Records!$B$2:$AG$33, MATCH(Table1[[#This Row],[HomeTeam]],Records!$A$2:$A$33, 0), MATCH(Table1[[#This Row],[AwayTeam]],Records!$A$2:$A$33, 0))</f>
        <v>0-0-0</v>
      </c>
    </row>
    <row r="1165" spans="1:43" x14ac:dyDescent="0.25">
      <c r="A1165" s="1"/>
      <c r="D1165" t="s">
        <v>1510</v>
      </c>
      <c r="E1165" t="s">
        <v>160</v>
      </c>
      <c r="F1165" t="s">
        <v>1515</v>
      </c>
      <c r="G1165" t="s">
        <v>54</v>
      </c>
      <c r="H1165" t="s">
        <v>49</v>
      </c>
      <c r="L116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6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65" s="1"/>
      <c r="T1165" s="64" t="str">
        <f>IF(Table1[[#This Row],[ActualWinner]]="", "", IF(Table1[[#This Row],[AwayTeam]]=Table1[[#This Row],[ActualWinner]],Table1[[#This Row],[HomeTeam]],Table1[[#This Row],[AwayTeam]]))</f>
        <v/>
      </c>
      <c r="U1165" s="64">
        <f>Table1[[#This Row],[ActualAwayScore]]-Table1[[#This Row],[PredictedAwayScore]]</f>
        <v>0</v>
      </c>
      <c r="V1165" s="64">
        <f>Table1[[#This Row],[ActualHomeScore]]-Table1[[#This Row],[PredictedHomeScore]]</f>
        <v>0</v>
      </c>
      <c r="W1165" s="64">
        <f>(0.8*IF(Table1[[#This Row],[CorrectWinnerPrediction]]=1, 1, 0))+(0.1*IF(Table1[[#This Row],[CorrectAwayScorePrediction]]=1, 1, 0))+(0.1*IF(Table1[[#This Row],[CorrectHomeScorePrediction]]=1, 1, 0))</f>
        <v>0</v>
      </c>
      <c r="X116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65" s="64">
        <f>SUMIF(Table1[GameDate], Table1[[#This Row],[GameDate]], Table1[AwayGameGoalDiff])</f>
        <v>0</v>
      </c>
      <c r="AA1165" s="64">
        <f>SUMIF(Table1[GameDate], Table1[[#This Row],[GameDate]], Table1[HomeGameGoalDiff])</f>
        <v>0</v>
      </c>
      <c r="AB1165" s="64">
        <f>IF(ISBLANK(Table1[[#This Row],[ActualResult]]), 0, 1)</f>
        <v>0</v>
      </c>
      <c r="AC1165" s="64">
        <f>IF(ISBLANK(Table1[[#This Row],[ActualResult]]), 0, IF(Table1[[#This Row],[ActualWinner]]=Table1[[#This Row],[PredictedWinner]], 1, 0))</f>
        <v>0</v>
      </c>
      <c r="AD116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6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65" s="64">
        <f>IF(AND(Table1[[#This Row],[GameIsOver]]=1,Table1[[#This Row],[ActualAwayScore]]=0), 1,0)</f>
        <v>0</v>
      </c>
      <c r="AG1165" s="64">
        <f>IF(AND(Table1[[#This Row],[GameIsOver]]=1,Table1[[#This Row],[ActualHomeScore]]=0), 1,0)</f>
        <v>0</v>
      </c>
      <c r="AH1165" s="64">
        <f>IF(Table1[[#This Row],[GameIsOver]]=0,0,IF(Table1[[#This Row],[ActualWinner]]=Table1[[#This Row],[AwayTeam]], 1, 0))</f>
        <v>0</v>
      </c>
      <c r="AI1165" s="64">
        <f>IF(Table1[[#This Row],[GameIsOver]]=0,0,IF(Table1[[#This Row],[ActualWinner]]=Table1[[#This Row],[HomeTeam]], 1, 0))</f>
        <v>0</v>
      </c>
      <c r="AJ1165" s="64">
        <f>IF(INDEX(Standings!$A$2:$C$33,MATCH(Table1[[#This Row],[AwayTeam]],Standings!$A$2:$A$33,0),2)=INDEX(Standings!$A$2:$C$33,MATCH(Table1[[#This Row],[HomeTeam]],Standings!$A$2:$A$33,0),2),1,0)</f>
        <v>1</v>
      </c>
      <c r="AK1165" s="64">
        <f>IF(INDEX(Standings!$A$2:$C$33,MATCH(Table1[[#This Row],[AwayTeam]],Standings!$A$2:$A$33,0),3)=INDEX(Standings!$A$2:$C$33,MATCH(Table1[[#This Row],[HomeTeam]],Standings!$A$2:$A$33,0),3),1,0)</f>
        <v>1</v>
      </c>
      <c r="AL1165" s="64">
        <f>IF(Table1[[#This Row],[InterConf]]=1,IF(Table1[[#This Row],[InterDiv]]=0, 1, 0), 0)</f>
        <v>0</v>
      </c>
      <c r="AM1165" s="64">
        <f>IF(INDEX(Standings!$A$2:$C$33,MATCH(Table1[[#This Row],[AwayTeam]],Standings!$A$2:$A$33,0),2)&lt;&gt;INDEX(Standings!$A$2:$C$33,MATCH(Table1[[#This Row],[HomeTeam]],Standings!$A$2:$A$33,0),2),1,0)</f>
        <v>0</v>
      </c>
      <c r="AN1165" s="64" t="str">
        <f>INDEX(Table2[AWAY_RECORD], MATCH(Table1[[#This Row],[AwayTeam]],Table2[Team], 0), 0)</f>
        <v>0-0-1</v>
      </c>
      <c r="AO1165" s="64" t="str">
        <f>INDEX(Records!$B$2:$AG$33, MATCH(Table1[[#This Row],[AwayTeam]],Records!$A$2:$A$33, 0), MATCH(Table1[[#This Row],[HomeTeam]],Records!$A$2:$A$33, 0))</f>
        <v>0-0-0</v>
      </c>
      <c r="AP1165" s="64" t="str">
        <f>INDEX(Table2[HOME_RECORD], MATCH(Table1[[#This Row],[HomeTeam]],Table2[Team], 0), 0)</f>
        <v>1-0-0</v>
      </c>
      <c r="AQ1165" s="64" t="str">
        <f>INDEX(Records!$B$2:$AG$33, MATCH(Table1[[#This Row],[HomeTeam]],Records!$A$2:$A$33, 0), MATCH(Table1[[#This Row],[AwayTeam]],Records!$A$2:$A$33, 0))</f>
        <v>0-0-0</v>
      </c>
    </row>
    <row r="1166" spans="1:43" x14ac:dyDescent="0.25">
      <c r="A1166" s="1"/>
      <c r="D1166" t="s">
        <v>1510</v>
      </c>
      <c r="E1166" t="s">
        <v>160</v>
      </c>
      <c r="F1166" t="s">
        <v>1516</v>
      </c>
      <c r="G1166" t="s">
        <v>24</v>
      </c>
      <c r="H1166" t="s">
        <v>51</v>
      </c>
      <c r="L116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6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66" s="1"/>
      <c r="T1166" s="64" t="str">
        <f>IF(Table1[[#This Row],[ActualWinner]]="", "", IF(Table1[[#This Row],[AwayTeam]]=Table1[[#This Row],[ActualWinner]],Table1[[#This Row],[HomeTeam]],Table1[[#This Row],[AwayTeam]]))</f>
        <v/>
      </c>
      <c r="U1166" s="64">
        <f>Table1[[#This Row],[ActualAwayScore]]-Table1[[#This Row],[PredictedAwayScore]]</f>
        <v>0</v>
      </c>
      <c r="V1166" s="64">
        <f>Table1[[#This Row],[ActualHomeScore]]-Table1[[#This Row],[PredictedHomeScore]]</f>
        <v>0</v>
      </c>
      <c r="W1166" s="64">
        <f>(0.8*IF(Table1[[#This Row],[CorrectWinnerPrediction]]=1, 1, 0))+(0.1*IF(Table1[[#This Row],[CorrectAwayScorePrediction]]=1, 1, 0))+(0.1*IF(Table1[[#This Row],[CorrectHomeScorePrediction]]=1, 1, 0))</f>
        <v>0</v>
      </c>
      <c r="X116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66" s="64">
        <f>SUMIF(Table1[GameDate], Table1[[#This Row],[GameDate]], Table1[AwayGameGoalDiff])</f>
        <v>0</v>
      </c>
      <c r="AA1166" s="64">
        <f>SUMIF(Table1[GameDate], Table1[[#This Row],[GameDate]], Table1[HomeGameGoalDiff])</f>
        <v>0</v>
      </c>
      <c r="AB1166" s="64">
        <f>IF(ISBLANK(Table1[[#This Row],[ActualResult]]), 0, 1)</f>
        <v>0</v>
      </c>
      <c r="AC1166" s="64">
        <f>IF(ISBLANK(Table1[[#This Row],[ActualResult]]), 0, IF(Table1[[#This Row],[ActualWinner]]=Table1[[#This Row],[PredictedWinner]], 1, 0))</f>
        <v>0</v>
      </c>
      <c r="AD116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6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66" s="64">
        <f>IF(AND(Table1[[#This Row],[GameIsOver]]=1,Table1[[#This Row],[ActualAwayScore]]=0), 1,0)</f>
        <v>0</v>
      </c>
      <c r="AG1166" s="64">
        <f>IF(AND(Table1[[#This Row],[GameIsOver]]=1,Table1[[#This Row],[ActualHomeScore]]=0), 1,0)</f>
        <v>0</v>
      </c>
      <c r="AH1166" s="64">
        <f>IF(Table1[[#This Row],[GameIsOver]]=0,0,IF(Table1[[#This Row],[ActualWinner]]=Table1[[#This Row],[AwayTeam]], 1, 0))</f>
        <v>0</v>
      </c>
      <c r="AI1166" s="64">
        <f>IF(Table1[[#This Row],[GameIsOver]]=0,0,IF(Table1[[#This Row],[ActualWinner]]=Table1[[#This Row],[HomeTeam]], 1, 0))</f>
        <v>0</v>
      </c>
      <c r="AJ1166" s="64">
        <f>IF(INDEX(Standings!$A$2:$C$33,MATCH(Table1[[#This Row],[AwayTeam]],Standings!$A$2:$A$33,0),2)=INDEX(Standings!$A$2:$C$33,MATCH(Table1[[#This Row],[HomeTeam]],Standings!$A$2:$A$33,0),2),1,0)</f>
        <v>1</v>
      </c>
      <c r="AK1166" s="64">
        <f>IF(INDEX(Standings!$A$2:$C$33,MATCH(Table1[[#This Row],[AwayTeam]],Standings!$A$2:$A$33,0),3)=INDEX(Standings!$A$2:$C$33,MATCH(Table1[[#This Row],[HomeTeam]],Standings!$A$2:$A$33,0),3),1,0)</f>
        <v>0</v>
      </c>
      <c r="AL1166" s="64">
        <f>IF(Table1[[#This Row],[InterConf]]=1,IF(Table1[[#This Row],[InterDiv]]=0, 1, 0), 0)</f>
        <v>1</v>
      </c>
      <c r="AM1166" s="64">
        <f>IF(INDEX(Standings!$A$2:$C$33,MATCH(Table1[[#This Row],[AwayTeam]],Standings!$A$2:$A$33,0),2)&lt;&gt;INDEX(Standings!$A$2:$C$33,MATCH(Table1[[#This Row],[HomeTeam]],Standings!$A$2:$A$33,0),2),1,0)</f>
        <v>0</v>
      </c>
      <c r="AN1166" s="64" t="str">
        <f>INDEX(Table2[AWAY_RECORD], MATCH(Table1[[#This Row],[AwayTeam]],Table2[Team], 0), 0)</f>
        <v>0-0-0</v>
      </c>
      <c r="AO1166" s="64" t="str">
        <f>INDEX(Records!$B$2:$AG$33, MATCH(Table1[[#This Row],[AwayTeam]],Records!$A$2:$A$33, 0), MATCH(Table1[[#This Row],[HomeTeam]],Records!$A$2:$A$33, 0))</f>
        <v>0-0-0</v>
      </c>
      <c r="AP1166" s="64" t="str">
        <f>INDEX(Table2[HOME_RECORD], MATCH(Table1[[#This Row],[HomeTeam]],Table2[Team], 0), 0)</f>
        <v>1-0-0</v>
      </c>
      <c r="AQ1166" s="64" t="str">
        <f>INDEX(Records!$B$2:$AG$33, MATCH(Table1[[#This Row],[HomeTeam]],Records!$A$2:$A$33, 0), MATCH(Table1[[#This Row],[AwayTeam]],Records!$A$2:$A$33, 0))</f>
        <v>0-0-0</v>
      </c>
    </row>
    <row r="1167" spans="1:43" x14ac:dyDescent="0.25">
      <c r="A1167" s="1"/>
      <c r="D1167" t="s">
        <v>1510</v>
      </c>
      <c r="E1167" t="s">
        <v>160</v>
      </c>
      <c r="F1167" t="s">
        <v>1517</v>
      </c>
      <c r="G1167" t="s">
        <v>37</v>
      </c>
      <c r="H1167" t="s">
        <v>53</v>
      </c>
      <c r="L116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6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67" s="1"/>
      <c r="T1167" s="64" t="str">
        <f>IF(Table1[[#This Row],[ActualWinner]]="", "", IF(Table1[[#This Row],[AwayTeam]]=Table1[[#This Row],[ActualWinner]],Table1[[#This Row],[HomeTeam]],Table1[[#This Row],[AwayTeam]]))</f>
        <v/>
      </c>
      <c r="U1167" s="64">
        <f>Table1[[#This Row],[ActualAwayScore]]-Table1[[#This Row],[PredictedAwayScore]]</f>
        <v>0</v>
      </c>
      <c r="V1167" s="64">
        <f>Table1[[#This Row],[ActualHomeScore]]-Table1[[#This Row],[PredictedHomeScore]]</f>
        <v>0</v>
      </c>
      <c r="W1167" s="64">
        <f>(0.8*IF(Table1[[#This Row],[CorrectWinnerPrediction]]=1, 1, 0))+(0.1*IF(Table1[[#This Row],[CorrectAwayScorePrediction]]=1, 1, 0))+(0.1*IF(Table1[[#This Row],[CorrectHomeScorePrediction]]=1, 1, 0))</f>
        <v>0</v>
      </c>
      <c r="X116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67" s="64">
        <f>SUMIF(Table1[GameDate], Table1[[#This Row],[GameDate]], Table1[AwayGameGoalDiff])</f>
        <v>0</v>
      </c>
      <c r="AA1167" s="64">
        <f>SUMIF(Table1[GameDate], Table1[[#This Row],[GameDate]], Table1[HomeGameGoalDiff])</f>
        <v>0</v>
      </c>
      <c r="AB1167" s="64">
        <f>IF(ISBLANK(Table1[[#This Row],[ActualResult]]), 0, 1)</f>
        <v>0</v>
      </c>
      <c r="AC1167" s="64">
        <f>IF(ISBLANK(Table1[[#This Row],[ActualResult]]), 0, IF(Table1[[#This Row],[ActualWinner]]=Table1[[#This Row],[PredictedWinner]], 1, 0))</f>
        <v>0</v>
      </c>
      <c r="AD116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6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67" s="64">
        <f>IF(AND(Table1[[#This Row],[GameIsOver]]=1,Table1[[#This Row],[ActualAwayScore]]=0), 1,0)</f>
        <v>0</v>
      </c>
      <c r="AG1167" s="64">
        <f>IF(AND(Table1[[#This Row],[GameIsOver]]=1,Table1[[#This Row],[ActualHomeScore]]=0), 1,0)</f>
        <v>0</v>
      </c>
      <c r="AH1167" s="64">
        <f>IF(Table1[[#This Row],[GameIsOver]]=0,0,IF(Table1[[#This Row],[ActualWinner]]=Table1[[#This Row],[AwayTeam]], 1, 0))</f>
        <v>0</v>
      </c>
      <c r="AI1167" s="64">
        <f>IF(Table1[[#This Row],[GameIsOver]]=0,0,IF(Table1[[#This Row],[ActualWinner]]=Table1[[#This Row],[HomeTeam]], 1, 0))</f>
        <v>0</v>
      </c>
      <c r="AJ1167" s="64">
        <f>IF(INDEX(Standings!$A$2:$C$33,MATCH(Table1[[#This Row],[AwayTeam]],Standings!$A$2:$A$33,0),2)=INDEX(Standings!$A$2:$C$33,MATCH(Table1[[#This Row],[HomeTeam]],Standings!$A$2:$A$33,0),2),1,0)</f>
        <v>1</v>
      </c>
      <c r="AK1167" s="64">
        <f>IF(INDEX(Standings!$A$2:$C$33,MATCH(Table1[[#This Row],[AwayTeam]],Standings!$A$2:$A$33,0),3)=INDEX(Standings!$A$2:$C$33,MATCH(Table1[[#This Row],[HomeTeam]],Standings!$A$2:$A$33,0),3),1,0)</f>
        <v>0</v>
      </c>
      <c r="AL1167" s="64">
        <f>IF(Table1[[#This Row],[InterConf]]=1,IF(Table1[[#This Row],[InterDiv]]=0, 1, 0), 0)</f>
        <v>1</v>
      </c>
      <c r="AM1167" s="64">
        <f>IF(INDEX(Standings!$A$2:$C$33,MATCH(Table1[[#This Row],[AwayTeam]],Standings!$A$2:$A$33,0),2)&lt;&gt;INDEX(Standings!$A$2:$C$33,MATCH(Table1[[#This Row],[HomeTeam]],Standings!$A$2:$A$33,0),2),1,0)</f>
        <v>0</v>
      </c>
      <c r="AN1167" s="64" t="str">
        <f>INDEX(Table2[AWAY_RECORD], MATCH(Table1[[#This Row],[AwayTeam]],Table2[Team], 0), 0)</f>
        <v>0-0-1</v>
      </c>
      <c r="AO1167" s="64" t="str">
        <f>INDEX(Records!$B$2:$AG$33, MATCH(Table1[[#This Row],[AwayTeam]],Records!$A$2:$A$33, 0), MATCH(Table1[[#This Row],[HomeTeam]],Records!$A$2:$A$33, 0))</f>
        <v>0-0-0</v>
      </c>
      <c r="AP1167" s="64" t="str">
        <f>INDEX(Table2[HOME_RECORD], MATCH(Table1[[#This Row],[HomeTeam]],Table2[Team], 0), 0)</f>
        <v>1-0-0</v>
      </c>
      <c r="AQ1167" s="64" t="str">
        <f>INDEX(Records!$B$2:$AG$33, MATCH(Table1[[#This Row],[HomeTeam]],Records!$A$2:$A$33, 0), MATCH(Table1[[#This Row],[AwayTeam]],Records!$A$2:$A$33, 0))</f>
        <v>0-0-0</v>
      </c>
    </row>
    <row r="1168" spans="1:43" x14ac:dyDescent="0.25">
      <c r="A1168" s="1"/>
      <c r="D1168" t="s">
        <v>1510</v>
      </c>
      <c r="E1168" t="s">
        <v>162</v>
      </c>
      <c r="F1168" t="s">
        <v>1518</v>
      </c>
      <c r="G1168" t="s">
        <v>55</v>
      </c>
      <c r="H1168" t="s">
        <v>60</v>
      </c>
      <c r="L116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6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68" s="1"/>
      <c r="T1168" s="64" t="str">
        <f>IF(Table1[[#This Row],[ActualWinner]]="", "", IF(Table1[[#This Row],[AwayTeam]]=Table1[[#This Row],[ActualWinner]],Table1[[#This Row],[HomeTeam]],Table1[[#This Row],[AwayTeam]]))</f>
        <v/>
      </c>
      <c r="U1168" s="64">
        <f>Table1[[#This Row],[ActualAwayScore]]-Table1[[#This Row],[PredictedAwayScore]]</f>
        <v>0</v>
      </c>
      <c r="V1168" s="64">
        <f>Table1[[#This Row],[ActualHomeScore]]-Table1[[#This Row],[PredictedHomeScore]]</f>
        <v>0</v>
      </c>
      <c r="W1168" s="64">
        <f>(0.8*IF(Table1[[#This Row],[CorrectWinnerPrediction]]=1, 1, 0))+(0.1*IF(Table1[[#This Row],[CorrectAwayScorePrediction]]=1, 1, 0))+(0.1*IF(Table1[[#This Row],[CorrectHomeScorePrediction]]=1, 1, 0))</f>
        <v>0</v>
      </c>
      <c r="X116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68" s="64">
        <f>SUMIF(Table1[GameDate], Table1[[#This Row],[GameDate]], Table1[AwayGameGoalDiff])</f>
        <v>0</v>
      </c>
      <c r="AA1168" s="64">
        <f>SUMIF(Table1[GameDate], Table1[[#This Row],[GameDate]], Table1[HomeGameGoalDiff])</f>
        <v>0</v>
      </c>
      <c r="AB1168" s="64">
        <f>IF(ISBLANK(Table1[[#This Row],[ActualResult]]), 0, 1)</f>
        <v>0</v>
      </c>
      <c r="AC1168" s="64">
        <f>IF(ISBLANK(Table1[[#This Row],[ActualResult]]), 0, IF(Table1[[#This Row],[ActualWinner]]=Table1[[#This Row],[PredictedWinner]], 1, 0))</f>
        <v>0</v>
      </c>
      <c r="AD116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6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68" s="64">
        <f>IF(AND(Table1[[#This Row],[GameIsOver]]=1,Table1[[#This Row],[ActualAwayScore]]=0), 1,0)</f>
        <v>0</v>
      </c>
      <c r="AG1168" s="64">
        <f>IF(AND(Table1[[#This Row],[GameIsOver]]=1,Table1[[#This Row],[ActualHomeScore]]=0), 1,0)</f>
        <v>0</v>
      </c>
      <c r="AH1168" s="64">
        <f>IF(Table1[[#This Row],[GameIsOver]]=0,0,IF(Table1[[#This Row],[ActualWinner]]=Table1[[#This Row],[AwayTeam]], 1, 0))</f>
        <v>0</v>
      </c>
      <c r="AI1168" s="64">
        <f>IF(Table1[[#This Row],[GameIsOver]]=0,0,IF(Table1[[#This Row],[ActualWinner]]=Table1[[#This Row],[HomeTeam]], 1, 0))</f>
        <v>0</v>
      </c>
      <c r="AJ1168" s="64">
        <f>IF(INDEX(Standings!$A$2:$C$33,MATCH(Table1[[#This Row],[AwayTeam]],Standings!$A$2:$A$33,0),2)=INDEX(Standings!$A$2:$C$33,MATCH(Table1[[#This Row],[HomeTeam]],Standings!$A$2:$A$33,0),2),1,0)</f>
        <v>1</v>
      </c>
      <c r="AK1168" s="64">
        <f>IF(INDEX(Standings!$A$2:$C$33,MATCH(Table1[[#This Row],[AwayTeam]],Standings!$A$2:$A$33,0),3)=INDEX(Standings!$A$2:$C$33,MATCH(Table1[[#This Row],[HomeTeam]],Standings!$A$2:$A$33,0),3),1,0)</f>
        <v>0</v>
      </c>
      <c r="AL1168" s="64">
        <f>IF(Table1[[#This Row],[InterConf]]=1,IF(Table1[[#This Row],[InterDiv]]=0, 1, 0), 0)</f>
        <v>1</v>
      </c>
      <c r="AM1168" s="64">
        <f>IF(INDEX(Standings!$A$2:$C$33,MATCH(Table1[[#This Row],[AwayTeam]],Standings!$A$2:$A$33,0),2)&lt;&gt;INDEX(Standings!$A$2:$C$33,MATCH(Table1[[#This Row],[HomeTeam]],Standings!$A$2:$A$33,0),2),1,0)</f>
        <v>0</v>
      </c>
      <c r="AN1168" s="64" t="str">
        <f>INDEX(Table2[AWAY_RECORD], MATCH(Table1[[#This Row],[AwayTeam]],Table2[Team], 0), 0)</f>
        <v>0-0-0</v>
      </c>
      <c r="AO1168" s="64" t="str">
        <f>INDEX(Records!$B$2:$AG$33, MATCH(Table1[[#This Row],[AwayTeam]],Records!$A$2:$A$33, 0), MATCH(Table1[[#This Row],[HomeTeam]],Records!$A$2:$A$33, 0))</f>
        <v>0-0-0</v>
      </c>
      <c r="AP1168" s="64" t="str">
        <f>INDEX(Table2[HOME_RECORD], MATCH(Table1[[#This Row],[HomeTeam]],Table2[Team], 0), 0)</f>
        <v>1-0-0</v>
      </c>
      <c r="AQ1168" s="64" t="str">
        <f>INDEX(Records!$B$2:$AG$33, MATCH(Table1[[#This Row],[HomeTeam]],Records!$A$2:$A$33, 0), MATCH(Table1[[#This Row],[AwayTeam]],Records!$A$2:$A$33, 0))</f>
        <v>0-0-0</v>
      </c>
    </row>
    <row r="1169" spans="1:43" x14ac:dyDescent="0.25">
      <c r="A1169" s="1"/>
      <c r="D1169" t="s">
        <v>1510</v>
      </c>
      <c r="E1169" t="s">
        <v>178</v>
      </c>
      <c r="F1169" t="s">
        <v>1519</v>
      </c>
      <c r="G1169" t="s">
        <v>61</v>
      </c>
      <c r="H1169" t="s">
        <v>45</v>
      </c>
      <c r="L116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6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69" s="1"/>
      <c r="T1169" s="64" t="str">
        <f>IF(Table1[[#This Row],[ActualWinner]]="", "", IF(Table1[[#This Row],[AwayTeam]]=Table1[[#This Row],[ActualWinner]],Table1[[#This Row],[HomeTeam]],Table1[[#This Row],[AwayTeam]]))</f>
        <v/>
      </c>
      <c r="U1169" s="64">
        <f>Table1[[#This Row],[ActualAwayScore]]-Table1[[#This Row],[PredictedAwayScore]]</f>
        <v>0</v>
      </c>
      <c r="V1169" s="64">
        <f>Table1[[#This Row],[ActualHomeScore]]-Table1[[#This Row],[PredictedHomeScore]]</f>
        <v>0</v>
      </c>
      <c r="W1169" s="64">
        <f>(0.8*IF(Table1[[#This Row],[CorrectWinnerPrediction]]=1, 1, 0))+(0.1*IF(Table1[[#This Row],[CorrectAwayScorePrediction]]=1, 1, 0))+(0.1*IF(Table1[[#This Row],[CorrectHomeScorePrediction]]=1, 1, 0))</f>
        <v>0</v>
      </c>
      <c r="X116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69" s="64">
        <f>SUMIF(Table1[GameDate], Table1[[#This Row],[GameDate]], Table1[AwayGameGoalDiff])</f>
        <v>0</v>
      </c>
      <c r="AA1169" s="64">
        <f>SUMIF(Table1[GameDate], Table1[[#This Row],[GameDate]], Table1[HomeGameGoalDiff])</f>
        <v>0</v>
      </c>
      <c r="AB1169" s="64">
        <f>IF(ISBLANK(Table1[[#This Row],[ActualResult]]), 0, 1)</f>
        <v>0</v>
      </c>
      <c r="AC1169" s="64">
        <f>IF(ISBLANK(Table1[[#This Row],[ActualResult]]), 0, IF(Table1[[#This Row],[ActualWinner]]=Table1[[#This Row],[PredictedWinner]], 1, 0))</f>
        <v>0</v>
      </c>
      <c r="AD116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6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69" s="64">
        <f>IF(AND(Table1[[#This Row],[GameIsOver]]=1,Table1[[#This Row],[ActualAwayScore]]=0), 1,0)</f>
        <v>0</v>
      </c>
      <c r="AG1169" s="64">
        <f>IF(AND(Table1[[#This Row],[GameIsOver]]=1,Table1[[#This Row],[ActualHomeScore]]=0), 1,0)</f>
        <v>0</v>
      </c>
      <c r="AH1169" s="64">
        <f>IF(Table1[[#This Row],[GameIsOver]]=0,0,IF(Table1[[#This Row],[ActualWinner]]=Table1[[#This Row],[AwayTeam]], 1, 0))</f>
        <v>0</v>
      </c>
      <c r="AI1169" s="64">
        <f>IF(Table1[[#This Row],[GameIsOver]]=0,0,IF(Table1[[#This Row],[ActualWinner]]=Table1[[#This Row],[HomeTeam]], 1, 0))</f>
        <v>0</v>
      </c>
      <c r="AJ1169" s="64">
        <f>IF(INDEX(Standings!$A$2:$C$33,MATCH(Table1[[#This Row],[AwayTeam]],Standings!$A$2:$A$33,0),2)=INDEX(Standings!$A$2:$C$33,MATCH(Table1[[#This Row],[HomeTeam]],Standings!$A$2:$A$33,0),2),1,0)</f>
        <v>1</v>
      </c>
      <c r="AK1169" s="64">
        <f>IF(INDEX(Standings!$A$2:$C$33,MATCH(Table1[[#This Row],[AwayTeam]],Standings!$A$2:$A$33,0),3)=INDEX(Standings!$A$2:$C$33,MATCH(Table1[[#This Row],[HomeTeam]],Standings!$A$2:$A$33,0),3),1,0)</f>
        <v>0</v>
      </c>
      <c r="AL1169" s="64">
        <f>IF(Table1[[#This Row],[InterConf]]=1,IF(Table1[[#This Row],[InterDiv]]=0, 1, 0), 0)</f>
        <v>1</v>
      </c>
      <c r="AM1169" s="64">
        <f>IF(INDEX(Standings!$A$2:$C$33,MATCH(Table1[[#This Row],[AwayTeam]],Standings!$A$2:$A$33,0),2)&lt;&gt;INDEX(Standings!$A$2:$C$33,MATCH(Table1[[#This Row],[HomeTeam]],Standings!$A$2:$A$33,0),2),1,0)</f>
        <v>0</v>
      </c>
      <c r="AN1169" s="64" t="str">
        <f>INDEX(Table2[AWAY_RECORD], MATCH(Table1[[#This Row],[AwayTeam]],Table2[Team], 0), 0)</f>
        <v>0-0-0</v>
      </c>
      <c r="AO1169" s="64" t="str">
        <f>INDEX(Records!$B$2:$AG$33, MATCH(Table1[[#This Row],[AwayTeam]],Records!$A$2:$A$33, 0), MATCH(Table1[[#This Row],[HomeTeam]],Records!$A$2:$A$33, 0))</f>
        <v>0-0-0</v>
      </c>
      <c r="AP1169" s="64" t="str">
        <f>INDEX(Table2[HOME_RECORD], MATCH(Table1[[#This Row],[HomeTeam]],Table2[Team], 0), 0)</f>
        <v>1-0-0</v>
      </c>
      <c r="AQ1169" s="64" t="str">
        <f>INDEX(Records!$B$2:$AG$33, MATCH(Table1[[#This Row],[HomeTeam]],Records!$A$2:$A$33, 0), MATCH(Table1[[#This Row],[AwayTeam]],Records!$A$2:$A$33, 0))</f>
        <v>0-0-0</v>
      </c>
    </row>
    <row r="1170" spans="1:43" x14ac:dyDescent="0.25">
      <c r="A1170" s="1"/>
      <c r="D1170" t="s">
        <v>1510</v>
      </c>
      <c r="E1170" t="s">
        <v>164</v>
      </c>
      <c r="F1170" t="s">
        <v>1520</v>
      </c>
      <c r="G1170" t="s">
        <v>58</v>
      </c>
      <c r="H1170" t="s">
        <v>36</v>
      </c>
      <c r="L117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7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70" s="1"/>
      <c r="T1170" s="64" t="str">
        <f>IF(Table1[[#This Row],[ActualWinner]]="", "", IF(Table1[[#This Row],[AwayTeam]]=Table1[[#This Row],[ActualWinner]],Table1[[#This Row],[HomeTeam]],Table1[[#This Row],[AwayTeam]]))</f>
        <v/>
      </c>
      <c r="U1170" s="64">
        <f>Table1[[#This Row],[ActualAwayScore]]-Table1[[#This Row],[PredictedAwayScore]]</f>
        <v>0</v>
      </c>
      <c r="V1170" s="64">
        <f>Table1[[#This Row],[ActualHomeScore]]-Table1[[#This Row],[PredictedHomeScore]]</f>
        <v>0</v>
      </c>
      <c r="W1170" s="64">
        <f>(0.8*IF(Table1[[#This Row],[CorrectWinnerPrediction]]=1, 1, 0))+(0.1*IF(Table1[[#This Row],[CorrectAwayScorePrediction]]=1, 1, 0))+(0.1*IF(Table1[[#This Row],[CorrectHomeScorePrediction]]=1, 1, 0))</f>
        <v>0</v>
      </c>
      <c r="X117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70" s="64">
        <f>SUMIF(Table1[GameDate], Table1[[#This Row],[GameDate]], Table1[AwayGameGoalDiff])</f>
        <v>0</v>
      </c>
      <c r="AA1170" s="64">
        <f>SUMIF(Table1[GameDate], Table1[[#This Row],[GameDate]], Table1[HomeGameGoalDiff])</f>
        <v>0</v>
      </c>
      <c r="AB1170" s="64">
        <f>IF(ISBLANK(Table1[[#This Row],[ActualResult]]), 0, 1)</f>
        <v>0</v>
      </c>
      <c r="AC1170" s="64">
        <f>IF(ISBLANK(Table1[[#This Row],[ActualResult]]), 0, IF(Table1[[#This Row],[ActualWinner]]=Table1[[#This Row],[PredictedWinner]], 1, 0))</f>
        <v>0</v>
      </c>
      <c r="AD117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7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70" s="64">
        <f>IF(AND(Table1[[#This Row],[GameIsOver]]=1,Table1[[#This Row],[ActualAwayScore]]=0), 1,0)</f>
        <v>0</v>
      </c>
      <c r="AG1170" s="64">
        <f>IF(AND(Table1[[#This Row],[GameIsOver]]=1,Table1[[#This Row],[ActualHomeScore]]=0), 1,0)</f>
        <v>0</v>
      </c>
      <c r="AH1170" s="64">
        <f>IF(Table1[[#This Row],[GameIsOver]]=0,0,IF(Table1[[#This Row],[ActualWinner]]=Table1[[#This Row],[AwayTeam]], 1, 0))</f>
        <v>0</v>
      </c>
      <c r="AI1170" s="64">
        <f>IF(Table1[[#This Row],[GameIsOver]]=0,0,IF(Table1[[#This Row],[ActualWinner]]=Table1[[#This Row],[HomeTeam]], 1, 0))</f>
        <v>0</v>
      </c>
      <c r="AJ1170" s="64">
        <f>IF(INDEX(Standings!$A$2:$C$33,MATCH(Table1[[#This Row],[AwayTeam]],Standings!$A$2:$A$33,0),2)=INDEX(Standings!$A$2:$C$33,MATCH(Table1[[#This Row],[HomeTeam]],Standings!$A$2:$A$33,0),2),1,0)</f>
        <v>1</v>
      </c>
      <c r="AK1170" s="64">
        <f>IF(INDEX(Standings!$A$2:$C$33,MATCH(Table1[[#This Row],[AwayTeam]],Standings!$A$2:$A$33,0),3)=INDEX(Standings!$A$2:$C$33,MATCH(Table1[[#This Row],[HomeTeam]],Standings!$A$2:$A$33,0),3),1,0)</f>
        <v>0</v>
      </c>
      <c r="AL1170" s="64">
        <f>IF(Table1[[#This Row],[InterConf]]=1,IF(Table1[[#This Row],[InterDiv]]=0, 1, 0), 0)</f>
        <v>1</v>
      </c>
      <c r="AM1170" s="64">
        <f>IF(INDEX(Standings!$A$2:$C$33,MATCH(Table1[[#This Row],[AwayTeam]],Standings!$A$2:$A$33,0),2)&lt;&gt;INDEX(Standings!$A$2:$C$33,MATCH(Table1[[#This Row],[HomeTeam]],Standings!$A$2:$A$33,0),2),1,0)</f>
        <v>0</v>
      </c>
      <c r="AN1170" s="64" t="str">
        <f>INDEX(Table2[AWAY_RECORD], MATCH(Table1[[#This Row],[AwayTeam]],Table2[Team], 0), 0)</f>
        <v>0-0-0</v>
      </c>
      <c r="AO1170" s="64" t="str">
        <f>INDEX(Records!$B$2:$AG$33, MATCH(Table1[[#This Row],[AwayTeam]],Records!$A$2:$A$33, 0), MATCH(Table1[[#This Row],[HomeTeam]],Records!$A$2:$A$33, 0))</f>
        <v>0-0-0</v>
      </c>
      <c r="AP1170" s="64" t="str">
        <f>INDEX(Table2[HOME_RECORD], MATCH(Table1[[#This Row],[HomeTeam]],Table2[Team], 0), 0)</f>
        <v>0-0-0</v>
      </c>
      <c r="AQ1170" s="64" t="str">
        <f>INDEX(Records!$B$2:$AG$33, MATCH(Table1[[#This Row],[HomeTeam]],Records!$A$2:$A$33, 0), MATCH(Table1[[#This Row],[AwayTeam]],Records!$A$2:$A$33, 0))</f>
        <v>0-0-0</v>
      </c>
    </row>
    <row r="1171" spans="1:43" x14ac:dyDescent="0.25">
      <c r="A1171" s="1"/>
      <c r="D1171" t="s">
        <v>1510</v>
      </c>
      <c r="E1171" t="s">
        <v>164</v>
      </c>
      <c r="F1171" t="s">
        <v>1521</v>
      </c>
      <c r="G1171" t="s">
        <v>40</v>
      </c>
      <c r="H1171" t="s">
        <v>46</v>
      </c>
      <c r="L117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7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71" s="1"/>
      <c r="T1171" s="64" t="str">
        <f>IF(Table1[[#This Row],[ActualWinner]]="", "", IF(Table1[[#This Row],[AwayTeam]]=Table1[[#This Row],[ActualWinner]],Table1[[#This Row],[HomeTeam]],Table1[[#This Row],[AwayTeam]]))</f>
        <v/>
      </c>
      <c r="U1171" s="64">
        <f>Table1[[#This Row],[ActualAwayScore]]-Table1[[#This Row],[PredictedAwayScore]]</f>
        <v>0</v>
      </c>
      <c r="V1171" s="64">
        <f>Table1[[#This Row],[ActualHomeScore]]-Table1[[#This Row],[PredictedHomeScore]]</f>
        <v>0</v>
      </c>
      <c r="W1171" s="64">
        <f>(0.8*IF(Table1[[#This Row],[CorrectWinnerPrediction]]=1, 1, 0))+(0.1*IF(Table1[[#This Row],[CorrectAwayScorePrediction]]=1, 1, 0))+(0.1*IF(Table1[[#This Row],[CorrectHomeScorePrediction]]=1, 1, 0))</f>
        <v>0</v>
      </c>
      <c r="X117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71" s="64">
        <f>SUMIF(Table1[GameDate], Table1[[#This Row],[GameDate]], Table1[AwayGameGoalDiff])</f>
        <v>0</v>
      </c>
      <c r="AA1171" s="64">
        <f>SUMIF(Table1[GameDate], Table1[[#This Row],[GameDate]], Table1[HomeGameGoalDiff])</f>
        <v>0</v>
      </c>
      <c r="AB1171" s="64">
        <f>IF(ISBLANK(Table1[[#This Row],[ActualResult]]), 0, 1)</f>
        <v>0</v>
      </c>
      <c r="AC1171" s="64">
        <f>IF(ISBLANK(Table1[[#This Row],[ActualResult]]), 0, IF(Table1[[#This Row],[ActualWinner]]=Table1[[#This Row],[PredictedWinner]], 1, 0))</f>
        <v>0</v>
      </c>
      <c r="AD117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7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71" s="64">
        <f>IF(AND(Table1[[#This Row],[GameIsOver]]=1,Table1[[#This Row],[ActualAwayScore]]=0), 1,0)</f>
        <v>0</v>
      </c>
      <c r="AG1171" s="64">
        <f>IF(AND(Table1[[#This Row],[GameIsOver]]=1,Table1[[#This Row],[ActualHomeScore]]=0), 1,0)</f>
        <v>0</v>
      </c>
      <c r="AH1171" s="64">
        <f>IF(Table1[[#This Row],[GameIsOver]]=0,0,IF(Table1[[#This Row],[ActualWinner]]=Table1[[#This Row],[AwayTeam]], 1, 0))</f>
        <v>0</v>
      </c>
      <c r="AI1171" s="64">
        <f>IF(Table1[[#This Row],[GameIsOver]]=0,0,IF(Table1[[#This Row],[ActualWinner]]=Table1[[#This Row],[HomeTeam]], 1, 0))</f>
        <v>0</v>
      </c>
      <c r="AJ1171" s="64">
        <f>IF(INDEX(Standings!$A$2:$C$33,MATCH(Table1[[#This Row],[AwayTeam]],Standings!$A$2:$A$33,0),2)=INDEX(Standings!$A$2:$C$33,MATCH(Table1[[#This Row],[HomeTeam]],Standings!$A$2:$A$33,0),2),1,0)</f>
        <v>0</v>
      </c>
      <c r="AK1171" s="64">
        <f>IF(INDEX(Standings!$A$2:$C$33,MATCH(Table1[[#This Row],[AwayTeam]],Standings!$A$2:$A$33,0),3)=INDEX(Standings!$A$2:$C$33,MATCH(Table1[[#This Row],[HomeTeam]],Standings!$A$2:$A$33,0),3),1,0)</f>
        <v>0</v>
      </c>
      <c r="AL1171" s="64">
        <f>IF(Table1[[#This Row],[InterConf]]=1,IF(Table1[[#This Row],[InterDiv]]=0, 1, 0), 0)</f>
        <v>0</v>
      </c>
      <c r="AM1171" s="64">
        <f>IF(INDEX(Standings!$A$2:$C$33,MATCH(Table1[[#This Row],[AwayTeam]],Standings!$A$2:$A$33,0),2)&lt;&gt;INDEX(Standings!$A$2:$C$33,MATCH(Table1[[#This Row],[HomeTeam]],Standings!$A$2:$A$33,0),2),1,0)</f>
        <v>1</v>
      </c>
      <c r="AN1171" s="64" t="str">
        <f>INDEX(Table2[AWAY_RECORD], MATCH(Table1[[#This Row],[AwayTeam]],Table2[Team], 0), 0)</f>
        <v>0-0-0</v>
      </c>
      <c r="AO1171" s="64" t="str">
        <f>INDEX(Records!$B$2:$AG$33, MATCH(Table1[[#This Row],[AwayTeam]],Records!$A$2:$A$33, 0), MATCH(Table1[[#This Row],[HomeTeam]],Records!$A$2:$A$33, 0))</f>
        <v>0-0-0</v>
      </c>
      <c r="AP1171" s="64" t="str">
        <f>INDEX(Table2[HOME_RECORD], MATCH(Table1[[#This Row],[HomeTeam]],Table2[Team], 0), 0)</f>
        <v>0-0-0</v>
      </c>
      <c r="AQ1171" s="64" t="str">
        <f>INDEX(Records!$B$2:$AG$33, MATCH(Table1[[#This Row],[HomeTeam]],Records!$A$2:$A$33, 0), MATCH(Table1[[#This Row],[AwayTeam]],Records!$A$2:$A$33, 0))</f>
        <v>0-0-0</v>
      </c>
    </row>
    <row r="1172" spans="1:43" x14ac:dyDescent="0.25">
      <c r="A1172" s="1"/>
      <c r="D1172" t="s">
        <v>1522</v>
      </c>
      <c r="E1172" t="s">
        <v>162</v>
      </c>
      <c r="F1172" t="s">
        <v>1523</v>
      </c>
      <c r="G1172" t="s">
        <v>39</v>
      </c>
      <c r="H1172" t="s">
        <v>22</v>
      </c>
      <c r="L117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7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72" s="1"/>
      <c r="T1172" s="64" t="str">
        <f>IF(Table1[[#This Row],[ActualWinner]]="", "", IF(Table1[[#This Row],[AwayTeam]]=Table1[[#This Row],[ActualWinner]],Table1[[#This Row],[HomeTeam]],Table1[[#This Row],[AwayTeam]]))</f>
        <v/>
      </c>
      <c r="U1172" s="64">
        <f>Table1[[#This Row],[ActualAwayScore]]-Table1[[#This Row],[PredictedAwayScore]]</f>
        <v>0</v>
      </c>
      <c r="V1172" s="64">
        <f>Table1[[#This Row],[ActualHomeScore]]-Table1[[#This Row],[PredictedHomeScore]]</f>
        <v>0</v>
      </c>
      <c r="W1172" s="64">
        <f>(0.8*IF(Table1[[#This Row],[CorrectWinnerPrediction]]=1, 1, 0))+(0.1*IF(Table1[[#This Row],[CorrectAwayScorePrediction]]=1, 1, 0))+(0.1*IF(Table1[[#This Row],[CorrectHomeScorePrediction]]=1, 1, 0))</f>
        <v>0</v>
      </c>
      <c r="X117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72" s="64">
        <f>SUMIF(Table1[GameDate], Table1[[#This Row],[GameDate]], Table1[AwayGameGoalDiff])</f>
        <v>0</v>
      </c>
      <c r="AA1172" s="64">
        <f>SUMIF(Table1[GameDate], Table1[[#This Row],[GameDate]], Table1[HomeGameGoalDiff])</f>
        <v>0</v>
      </c>
      <c r="AB1172" s="64">
        <f>IF(ISBLANK(Table1[[#This Row],[ActualResult]]), 0, 1)</f>
        <v>0</v>
      </c>
      <c r="AC1172" s="64">
        <f>IF(ISBLANK(Table1[[#This Row],[ActualResult]]), 0, IF(Table1[[#This Row],[ActualWinner]]=Table1[[#This Row],[PredictedWinner]], 1, 0))</f>
        <v>0</v>
      </c>
      <c r="AD117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7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72" s="64">
        <f>IF(AND(Table1[[#This Row],[GameIsOver]]=1,Table1[[#This Row],[ActualAwayScore]]=0), 1,0)</f>
        <v>0</v>
      </c>
      <c r="AG1172" s="64">
        <f>IF(AND(Table1[[#This Row],[GameIsOver]]=1,Table1[[#This Row],[ActualHomeScore]]=0), 1,0)</f>
        <v>0</v>
      </c>
      <c r="AH1172" s="64">
        <f>IF(Table1[[#This Row],[GameIsOver]]=0,0,IF(Table1[[#This Row],[ActualWinner]]=Table1[[#This Row],[AwayTeam]], 1, 0))</f>
        <v>0</v>
      </c>
      <c r="AI1172" s="64">
        <f>IF(Table1[[#This Row],[GameIsOver]]=0,0,IF(Table1[[#This Row],[ActualWinner]]=Table1[[#This Row],[HomeTeam]], 1, 0))</f>
        <v>0</v>
      </c>
      <c r="AJ1172" s="64">
        <f>IF(INDEX(Standings!$A$2:$C$33,MATCH(Table1[[#This Row],[AwayTeam]],Standings!$A$2:$A$33,0),2)=INDEX(Standings!$A$2:$C$33,MATCH(Table1[[#This Row],[HomeTeam]],Standings!$A$2:$A$33,0),2),1,0)</f>
        <v>1</v>
      </c>
      <c r="AK1172" s="64">
        <f>IF(INDEX(Standings!$A$2:$C$33,MATCH(Table1[[#This Row],[AwayTeam]],Standings!$A$2:$A$33,0),3)=INDEX(Standings!$A$2:$C$33,MATCH(Table1[[#This Row],[HomeTeam]],Standings!$A$2:$A$33,0),3),1,0)</f>
        <v>0</v>
      </c>
      <c r="AL1172" s="64">
        <f>IF(Table1[[#This Row],[InterConf]]=1,IF(Table1[[#This Row],[InterDiv]]=0, 1, 0), 0)</f>
        <v>1</v>
      </c>
      <c r="AM1172" s="64">
        <f>IF(INDEX(Standings!$A$2:$C$33,MATCH(Table1[[#This Row],[AwayTeam]],Standings!$A$2:$A$33,0),2)&lt;&gt;INDEX(Standings!$A$2:$C$33,MATCH(Table1[[#This Row],[HomeTeam]],Standings!$A$2:$A$33,0),2),1,0)</f>
        <v>0</v>
      </c>
      <c r="AN1172" s="64" t="str">
        <f>INDEX(Table2[AWAY_RECORD], MATCH(Table1[[#This Row],[AwayTeam]],Table2[Team], 0), 0)</f>
        <v>0-0-0</v>
      </c>
      <c r="AO1172" s="64" t="str">
        <f>INDEX(Records!$B$2:$AG$33, MATCH(Table1[[#This Row],[AwayTeam]],Records!$A$2:$A$33, 0), MATCH(Table1[[#This Row],[HomeTeam]],Records!$A$2:$A$33, 0))</f>
        <v>0-0-0</v>
      </c>
      <c r="AP1172" s="64" t="str">
        <f>INDEX(Table2[HOME_RECORD], MATCH(Table1[[#This Row],[HomeTeam]],Table2[Team], 0), 0)</f>
        <v>0-0-0</v>
      </c>
      <c r="AQ1172" s="64" t="str">
        <f>INDEX(Records!$B$2:$AG$33, MATCH(Table1[[#This Row],[HomeTeam]],Records!$A$2:$A$33, 0), MATCH(Table1[[#This Row],[AwayTeam]],Records!$A$2:$A$33, 0))</f>
        <v>0-0-0</v>
      </c>
    </row>
    <row r="1173" spans="1:43" x14ac:dyDescent="0.25">
      <c r="A1173" s="1"/>
      <c r="D1173" t="s">
        <v>1522</v>
      </c>
      <c r="E1173" t="s">
        <v>164</v>
      </c>
      <c r="F1173" t="s">
        <v>1524</v>
      </c>
      <c r="G1173" t="s">
        <v>16</v>
      </c>
      <c r="H1173" t="s">
        <v>58</v>
      </c>
      <c r="L117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7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73" s="1"/>
      <c r="T1173" s="64" t="str">
        <f>IF(Table1[[#This Row],[ActualWinner]]="", "", IF(Table1[[#This Row],[AwayTeam]]=Table1[[#This Row],[ActualWinner]],Table1[[#This Row],[HomeTeam]],Table1[[#This Row],[AwayTeam]]))</f>
        <v/>
      </c>
      <c r="U1173" s="64">
        <f>Table1[[#This Row],[ActualAwayScore]]-Table1[[#This Row],[PredictedAwayScore]]</f>
        <v>0</v>
      </c>
      <c r="V1173" s="64">
        <f>Table1[[#This Row],[ActualHomeScore]]-Table1[[#This Row],[PredictedHomeScore]]</f>
        <v>0</v>
      </c>
      <c r="W1173" s="64">
        <f>(0.8*IF(Table1[[#This Row],[CorrectWinnerPrediction]]=1, 1, 0))+(0.1*IF(Table1[[#This Row],[CorrectAwayScorePrediction]]=1, 1, 0))+(0.1*IF(Table1[[#This Row],[CorrectHomeScorePrediction]]=1, 1, 0))</f>
        <v>0</v>
      </c>
      <c r="X117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73" s="64">
        <f>SUMIF(Table1[GameDate], Table1[[#This Row],[GameDate]], Table1[AwayGameGoalDiff])</f>
        <v>0</v>
      </c>
      <c r="AA1173" s="64">
        <f>SUMIF(Table1[GameDate], Table1[[#This Row],[GameDate]], Table1[HomeGameGoalDiff])</f>
        <v>0</v>
      </c>
      <c r="AB1173" s="64">
        <f>IF(ISBLANK(Table1[[#This Row],[ActualResult]]), 0, 1)</f>
        <v>0</v>
      </c>
      <c r="AC1173" s="64">
        <f>IF(ISBLANK(Table1[[#This Row],[ActualResult]]), 0, IF(Table1[[#This Row],[ActualWinner]]=Table1[[#This Row],[PredictedWinner]], 1, 0))</f>
        <v>0</v>
      </c>
      <c r="AD117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7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73" s="64">
        <f>IF(AND(Table1[[#This Row],[GameIsOver]]=1,Table1[[#This Row],[ActualAwayScore]]=0), 1,0)</f>
        <v>0</v>
      </c>
      <c r="AG1173" s="64">
        <f>IF(AND(Table1[[#This Row],[GameIsOver]]=1,Table1[[#This Row],[ActualHomeScore]]=0), 1,0)</f>
        <v>0</v>
      </c>
      <c r="AH1173" s="64">
        <f>IF(Table1[[#This Row],[GameIsOver]]=0,0,IF(Table1[[#This Row],[ActualWinner]]=Table1[[#This Row],[AwayTeam]], 1, 0))</f>
        <v>0</v>
      </c>
      <c r="AI1173" s="64">
        <f>IF(Table1[[#This Row],[GameIsOver]]=0,0,IF(Table1[[#This Row],[ActualWinner]]=Table1[[#This Row],[HomeTeam]], 1, 0))</f>
        <v>0</v>
      </c>
      <c r="AJ1173" s="64">
        <f>IF(INDEX(Standings!$A$2:$C$33,MATCH(Table1[[#This Row],[AwayTeam]],Standings!$A$2:$A$33,0),2)=INDEX(Standings!$A$2:$C$33,MATCH(Table1[[#This Row],[HomeTeam]],Standings!$A$2:$A$33,0),2),1,0)</f>
        <v>1</v>
      </c>
      <c r="AK1173" s="64">
        <f>IF(INDEX(Standings!$A$2:$C$33,MATCH(Table1[[#This Row],[AwayTeam]],Standings!$A$2:$A$33,0),3)=INDEX(Standings!$A$2:$C$33,MATCH(Table1[[#This Row],[HomeTeam]],Standings!$A$2:$A$33,0),3),1,0)</f>
        <v>1</v>
      </c>
      <c r="AL1173" s="64">
        <f>IF(Table1[[#This Row],[InterConf]]=1,IF(Table1[[#This Row],[InterDiv]]=0, 1, 0), 0)</f>
        <v>0</v>
      </c>
      <c r="AM1173" s="64">
        <f>IF(INDEX(Standings!$A$2:$C$33,MATCH(Table1[[#This Row],[AwayTeam]],Standings!$A$2:$A$33,0),2)&lt;&gt;INDEX(Standings!$A$2:$C$33,MATCH(Table1[[#This Row],[HomeTeam]],Standings!$A$2:$A$33,0),2),1,0)</f>
        <v>0</v>
      </c>
      <c r="AN1173" s="64" t="str">
        <f>INDEX(Table2[AWAY_RECORD], MATCH(Table1[[#This Row],[AwayTeam]],Table2[Team], 0), 0)</f>
        <v>1-0-1</v>
      </c>
      <c r="AO1173" s="64" t="str">
        <f>INDEX(Records!$B$2:$AG$33, MATCH(Table1[[#This Row],[AwayTeam]],Records!$A$2:$A$33, 0), MATCH(Table1[[#This Row],[HomeTeam]],Records!$A$2:$A$33, 0))</f>
        <v>0-0-1</v>
      </c>
      <c r="AP1173" s="64" t="str">
        <f>INDEX(Table2[HOME_RECORD], MATCH(Table1[[#This Row],[HomeTeam]],Table2[Team], 0), 0)</f>
        <v>1-0-0</v>
      </c>
      <c r="AQ1173" s="64" t="str">
        <f>INDEX(Records!$B$2:$AG$33, MATCH(Table1[[#This Row],[HomeTeam]],Records!$A$2:$A$33, 0), MATCH(Table1[[#This Row],[AwayTeam]],Records!$A$2:$A$33, 0))</f>
        <v>1-0-0</v>
      </c>
    </row>
    <row r="1174" spans="1:43" x14ac:dyDescent="0.25">
      <c r="A1174" s="1"/>
      <c r="D1174" t="s">
        <v>1522</v>
      </c>
      <c r="E1174" t="s">
        <v>164</v>
      </c>
      <c r="F1174" t="s">
        <v>1525</v>
      </c>
      <c r="G1174" t="s">
        <v>41</v>
      </c>
      <c r="H1174" t="s">
        <v>56</v>
      </c>
      <c r="L117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7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74" s="1"/>
      <c r="T1174" s="64" t="str">
        <f>IF(Table1[[#This Row],[ActualWinner]]="", "", IF(Table1[[#This Row],[AwayTeam]]=Table1[[#This Row],[ActualWinner]],Table1[[#This Row],[HomeTeam]],Table1[[#This Row],[AwayTeam]]))</f>
        <v/>
      </c>
      <c r="U1174" s="64">
        <f>Table1[[#This Row],[ActualAwayScore]]-Table1[[#This Row],[PredictedAwayScore]]</f>
        <v>0</v>
      </c>
      <c r="V1174" s="64">
        <f>Table1[[#This Row],[ActualHomeScore]]-Table1[[#This Row],[PredictedHomeScore]]</f>
        <v>0</v>
      </c>
      <c r="W1174" s="64">
        <f>(0.8*IF(Table1[[#This Row],[CorrectWinnerPrediction]]=1, 1, 0))+(0.1*IF(Table1[[#This Row],[CorrectAwayScorePrediction]]=1, 1, 0))+(0.1*IF(Table1[[#This Row],[CorrectHomeScorePrediction]]=1, 1, 0))</f>
        <v>0</v>
      </c>
      <c r="X117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74" s="64">
        <f>SUMIF(Table1[GameDate], Table1[[#This Row],[GameDate]], Table1[AwayGameGoalDiff])</f>
        <v>0</v>
      </c>
      <c r="AA1174" s="64">
        <f>SUMIF(Table1[GameDate], Table1[[#This Row],[GameDate]], Table1[HomeGameGoalDiff])</f>
        <v>0</v>
      </c>
      <c r="AB1174" s="64">
        <f>IF(ISBLANK(Table1[[#This Row],[ActualResult]]), 0, 1)</f>
        <v>0</v>
      </c>
      <c r="AC1174" s="64">
        <f>IF(ISBLANK(Table1[[#This Row],[ActualResult]]), 0, IF(Table1[[#This Row],[ActualWinner]]=Table1[[#This Row],[PredictedWinner]], 1, 0))</f>
        <v>0</v>
      </c>
      <c r="AD117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7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74" s="64">
        <f>IF(AND(Table1[[#This Row],[GameIsOver]]=1,Table1[[#This Row],[ActualAwayScore]]=0), 1,0)</f>
        <v>0</v>
      </c>
      <c r="AG1174" s="64">
        <f>IF(AND(Table1[[#This Row],[GameIsOver]]=1,Table1[[#This Row],[ActualHomeScore]]=0), 1,0)</f>
        <v>0</v>
      </c>
      <c r="AH1174" s="64">
        <f>IF(Table1[[#This Row],[GameIsOver]]=0,0,IF(Table1[[#This Row],[ActualWinner]]=Table1[[#This Row],[AwayTeam]], 1, 0))</f>
        <v>0</v>
      </c>
      <c r="AI1174" s="64">
        <f>IF(Table1[[#This Row],[GameIsOver]]=0,0,IF(Table1[[#This Row],[ActualWinner]]=Table1[[#This Row],[HomeTeam]], 1, 0))</f>
        <v>0</v>
      </c>
      <c r="AJ1174" s="64">
        <f>IF(INDEX(Standings!$A$2:$C$33,MATCH(Table1[[#This Row],[AwayTeam]],Standings!$A$2:$A$33,0),2)=INDEX(Standings!$A$2:$C$33,MATCH(Table1[[#This Row],[HomeTeam]],Standings!$A$2:$A$33,0),2),1,0)</f>
        <v>1</v>
      </c>
      <c r="AK1174" s="64">
        <f>IF(INDEX(Standings!$A$2:$C$33,MATCH(Table1[[#This Row],[AwayTeam]],Standings!$A$2:$A$33,0),3)=INDEX(Standings!$A$2:$C$33,MATCH(Table1[[#This Row],[HomeTeam]],Standings!$A$2:$A$33,0),3),1,0)</f>
        <v>0</v>
      </c>
      <c r="AL1174" s="64">
        <f>IF(Table1[[#This Row],[InterConf]]=1,IF(Table1[[#This Row],[InterDiv]]=0, 1, 0), 0)</f>
        <v>1</v>
      </c>
      <c r="AM1174" s="64">
        <f>IF(INDEX(Standings!$A$2:$C$33,MATCH(Table1[[#This Row],[AwayTeam]],Standings!$A$2:$A$33,0),2)&lt;&gt;INDEX(Standings!$A$2:$C$33,MATCH(Table1[[#This Row],[HomeTeam]],Standings!$A$2:$A$33,0),2),1,0)</f>
        <v>0</v>
      </c>
      <c r="AN1174" s="64" t="str">
        <f>INDEX(Table2[AWAY_RECORD], MATCH(Table1[[#This Row],[AwayTeam]],Table2[Team], 0), 0)</f>
        <v>0-0-0</v>
      </c>
      <c r="AO1174" s="64" t="str">
        <f>INDEX(Records!$B$2:$AG$33, MATCH(Table1[[#This Row],[AwayTeam]],Records!$A$2:$A$33, 0), MATCH(Table1[[#This Row],[HomeTeam]],Records!$A$2:$A$33, 0))</f>
        <v>0-0-0</v>
      </c>
      <c r="AP1174" s="64" t="str">
        <f>INDEX(Table2[HOME_RECORD], MATCH(Table1[[#This Row],[HomeTeam]],Table2[Team], 0), 0)</f>
        <v>0-0-0</v>
      </c>
      <c r="AQ1174" s="64" t="str">
        <f>INDEX(Records!$B$2:$AG$33, MATCH(Table1[[#This Row],[HomeTeam]],Records!$A$2:$A$33, 0), MATCH(Table1[[#This Row],[AwayTeam]],Records!$A$2:$A$33, 0))</f>
        <v>0-0-0</v>
      </c>
    </row>
    <row r="1175" spans="1:43" x14ac:dyDescent="0.25">
      <c r="A1175" s="1"/>
      <c r="D1175" t="s">
        <v>1526</v>
      </c>
      <c r="E1175" t="s">
        <v>205</v>
      </c>
      <c r="F1175" t="s">
        <v>1527</v>
      </c>
      <c r="G1175" t="s">
        <v>17</v>
      </c>
      <c r="H1175" t="s">
        <v>38</v>
      </c>
      <c r="L117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7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75" s="1"/>
      <c r="T1175" s="64" t="str">
        <f>IF(Table1[[#This Row],[ActualWinner]]="", "", IF(Table1[[#This Row],[AwayTeam]]=Table1[[#This Row],[ActualWinner]],Table1[[#This Row],[HomeTeam]],Table1[[#This Row],[AwayTeam]]))</f>
        <v/>
      </c>
      <c r="U1175" s="64">
        <f>Table1[[#This Row],[ActualAwayScore]]-Table1[[#This Row],[PredictedAwayScore]]</f>
        <v>0</v>
      </c>
      <c r="V1175" s="64">
        <f>Table1[[#This Row],[ActualHomeScore]]-Table1[[#This Row],[PredictedHomeScore]]</f>
        <v>0</v>
      </c>
      <c r="W1175" s="64">
        <f>(0.8*IF(Table1[[#This Row],[CorrectWinnerPrediction]]=1, 1, 0))+(0.1*IF(Table1[[#This Row],[CorrectAwayScorePrediction]]=1, 1, 0))+(0.1*IF(Table1[[#This Row],[CorrectHomeScorePrediction]]=1, 1, 0))</f>
        <v>0</v>
      </c>
      <c r="X117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75" s="64">
        <f>SUMIF(Table1[GameDate], Table1[[#This Row],[GameDate]], Table1[AwayGameGoalDiff])</f>
        <v>0</v>
      </c>
      <c r="AA1175" s="64">
        <f>SUMIF(Table1[GameDate], Table1[[#This Row],[GameDate]], Table1[HomeGameGoalDiff])</f>
        <v>0</v>
      </c>
      <c r="AB1175" s="64">
        <f>IF(ISBLANK(Table1[[#This Row],[ActualResult]]), 0, 1)</f>
        <v>0</v>
      </c>
      <c r="AC1175" s="64">
        <f>IF(ISBLANK(Table1[[#This Row],[ActualResult]]), 0, IF(Table1[[#This Row],[ActualWinner]]=Table1[[#This Row],[PredictedWinner]], 1, 0))</f>
        <v>0</v>
      </c>
      <c r="AD117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7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75" s="64">
        <f>IF(AND(Table1[[#This Row],[GameIsOver]]=1,Table1[[#This Row],[ActualAwayScore]]=0), 1,0)</f>
        <v>0</v>
      </c>
      <c r="AG1175" s="64">
        <f>IF(AND(Table1[[#This Row],[GameIsOver]]=1,Table1[[#This Row],[ActualHomeScore]]=0), 1,0)</f>
        <v>0</v>
      </c>
      <c r="AH1175" s="64">
        <f>IF(Table1[[#This Row],[GameIsOver]]=0,0,IF(Table1[[#This Row],[ActualWinner]]=Table1[[#This Row],[AwayTeam]], 1, 0))</f>
        <v>0</v>
      </c>
      <c r="AI1175" s="64">
        <f>IF(Table1[[#This Row],[GameIsOver]]=0,0,IF(Table1[[#This Row],[ActualWinner]]=Table1[[#This Row],[HomeTeam]], 1, 0))</f>
        <v>0</v>
      </c>
      <c r="AJ1175" s="64">
        <f>IF(INDEX(Standings!$A$2:$C$33,MATCH(Table1[[#This Row],[AwayTeam]],Standings!$A$2:$A$33,0),2)=INDEX(Standings!$A$2:$C$33,MATCH(Table1[[#This Row],[HomeTeam]],Standings!$A$2:$A$33,0),2),1,0)</f>
        <v>1</v>
      </c>
      <c r="AK1175" s="64">
        <f>IF(INDEX(Standings!$A$2:$C$33,MATCH(Table1[[#This Row],[AwayTeam]],Standings!$A$2:$A$33,0),3)=INDEX(Standings!$A$2:$C$33,MATCH(Table1[[#This Row],[HomeTeam]],Standings!$A$2:$A$33,0),3),1,0)</f>
        <v>1</v>
      </c>
      <c r="AL1175" s="64">
        <f>IF(Table1[[#This Row],[InterConf]]=1,IF(Table1[[#This Row],[InterDiv]]=0, 1, 0), 0)</f>
        <v>0</v>
      </c>
      <c r="AM1175" s="64">
        <f>IF(INDEX(Standings!$A$2:$C$33,MATCH(Table1[[#This Row],[AwayTeam]],Standings!$A$2:$A$33,0),2)&lt;&gt;INDEX(Standings!$A$2:$C$33,MATCH(Table1[[#This Row],[HomeTeam]],Standings!$A$2:$A$33,0),2),1,0)</f>
        <v>0</v>
      </c>
      <c r="AN1175" s="64" t="str">
        <f>INDEX(Table2[AWAY_RECORD], MATCH(Table1[[#This Row],[AwayTeam]],Table2[Team], 0), 0)</f>
        <v>2-0-0</v>
      </c>
      <c r="AO1175" s="64" t="str">
        <f>INDEX(Records!$B$2:$AG$33, MATCH(Table1[[#This Row],[AwayTeam]],Records!$A$2:$A$33, 0), MATCH(Table1[[#This Row],[HomeTeam]],Records!$A$2:$A$33, 0))</f>
        <v>0-0-0</v>
      </c>
      <c r="AP1175" s="64" t="str">
        <f>INDEX(Table2[HOME_RECORD], MATCH(Table1[[#This Row],[HomeTeam]],Table2[Team], 0), 0)</f>
        <v>0-0-0</v>
      </c>
      <c r="AQ1175" s="64" t="str">
        <f>INDEX(Records!$B$2:$AG$33, MATCH(Table1[[#This Row],[HomeTeam]],Records!$A$2:$A$33, 0), MATCH(Table1[[#This Row],[AwayTeam]],Records!$A$2:$A$33, 0))</f>
        <v>0-0-0</v>
      </c>
    </row>
    <row r="1176" spans="1:43" x14ac:dyDescent="0.25">
      <c r="A1176" s="1"/>
      <c r="D1176" t="s">
        <v>1526</v>
      </c>
      <c r="E1176" t="s">
        <v>205</v>
      </c>
      <c r="F1176" t="s">
        <v>1528</v>
      </c>
      <c r="G1176" t="s">
        <v>47</v>
      </c>
      <c r="H1176" t="s">
        <v>44</v>
      </c>
      <c r="L117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7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76" s="1"/>
      <c r="T1176" s="64" t="str">
        <f>IF(Table1[[#This Row],[ActualWinner]]="", "", IF(Table1[[#This Row],[AwayTeam]]=Table1[[#This Row],[ActualWinner]],Table1[[#This Row],[HomeTeam]],Table1[[#This Row],[AwayTeam]]))</f>
        <v/>
      </c>
      <c r="U1176" s="64">
        <f>Table1[[#This Row],[ActualAwayScore]]-Table1[[#This Row],[PredictedAwayScore]]</f>
        <v>0</v>
      </c>
      <c r="V1176" s="64">
        <f>Table1[[#This Row],[ActualHomeScore]]-Table1[[#This Row],[PredictedHomeScore]]</f>
        <v>0</v>
      </c>
      <c r="W1176" s="64">
        <f>(0.8*IF(Table1[[#This Row],[CorrectWinnerPrediction]]=1, 1, 0))+(0.1*IF(Table1[[#This Row],[CorrectAwayScorePrediction]]=1, 1, 0))+(0.1*IF(Table1[[#This Row],[CorrectHomeScorePrediction]]=1, 1, 0))</f>
        <v>0</v>
      </c>
      <c r="X117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76" s="64">
        <f>SUMIF(Table1[GameDate], Table1[[#This Row],[GameDate]], Table1[AwayGameGoalDiff])</f>
        <v>0</v>
      </c>
      <c r="AA1176" s="64">
        <f>SUMIF(Table1[GameDate], Table1[[#This Row],[GameDate]], Table1[HomeGameGoalDiff])</f>
        <v>0</v>
      </c>
      <c r="AB1176" s="64">
        <f>IF(ISBLANK(Table1[[#This Row],[ActualResult]]), 0, 1)</f>
        <v>0</v>
      </c>
      <c r="AC1176" s="64">
        <f>IF(ISBLANK(Table1[[#This Row],[ActualResult]]), 0, IF(Table1[[#This Row],[ActualWinner]]=Table1[[#This Row],[PredictedWinner]], 1, 0))</f>
        <v>0</v>
      </c>
      <c r="AD117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7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76" s="64">
        <f>IF(AND(Table1[[#This Row],[GameIsOver]]=1,Table1[[#This Row],[ActualAwayScore]]=0), 1,0)</f>
        <v>0</v>
      </c>
      <c r="AG1176" s="64">
        <f>IF(AND(Table1[[#This Row],[GameIsOver]]=1,Table1[[#This Row],[ActualHomeScore]]=0), 1,0)</f>
        <v>0</v>
      </c>
      <c r="AH1176" s="64">
        <f>IF(Table1[[#This Row],[GameIsOver]]=0,0,IF(Table1[[#This Row],[ActualWinner]]=Table1[[#This Row],[AwayTeam]], 1, 0))</f>
        <v>0</v>
      </c>
      <c r="AI1176" s="64">
        <f>IF(Table1[[#This Row],[GameIsOver]]=0,0,IF(Table1[[#This Row],[ActualWinner]]=Table1[[#This Row],[HomeTeam]], 1, 0))</f>
        <v>0</v>
      </c>
      <c r="AJ1176" s="64">
        <f>IF(INDEX(Standings!$A$2:$C$33,MATCH(Table1[[#This Row],[AwayTeam]],Standings!$A$2:$A$33,0),2)=INDEX(Standings!$A$2:$C$33,MATCH(Table1[[#This Row],[HomeTeam]],Standings!$A$2:$A$33,0),2),1,0)</f>
        <v>1</v>
      </c>
      <c r="AK1176" s="64">
        <f>IF(INDEX(Standings!$A$2:$C$33,MATCH(Table1[[#This Row],[AwayTeam]],Standings!$A$2:$A$33,0),3)=INDEX(Standings!$A$2:$C$33,MATCH(Table1[[#This Row],[HomeTeam]],Standings!$A$2:$A$33,0),3),1,0)</f>
        <v>1</v>
      </c>
      <c r="AL1176" s="64">
        <f>IF(Table1[[#This Row],[InterConf]]=1,IF(Table1[[#This Row],[InterDiv]]=0, 1, 0), 0)</f>
        <v>0</v>
      </c>
      <c r="AM1176" s="64">
        <f>IF(INDEX(Standings!$A$2:$C$33,MATCH(Table1[[#This Row],[AwayTeam]],Standings!$A$2:$A$33,0),2)&lt;&gt;INDEX(Standings!$A$2:$C$33,MATCH(Table1[[#This Row],[HomeTeam]],Standings!$A$2:$A$33,0),2),1,0)</f>
        <v>0</v>
      </c>
      <c r="AN1176" s="64" t="str">
        <f>INDEX(Table2[AWAY_RECORD], MATCH(Table1[[#This Row],[AwayTeam]],Table2[Team], 0), 0)</f>
        <v>1-0-0</v>
      </c>
      <c r="AO1176" s="64" t="str">
        <f>INDEX(Records!$B$2:$AG$33, MATCH(Table1[[#This Row],[AwayTeam]],Records!$A$2:$A$33, 0), MATCH(Table1[[#This Row],[HomeTeam]],Records!$A$2:$A$33, 0))</f>
        <v>0-0-0</v>
      </c>
      <c r="AP1176" s="64" t="str">
        <f>INDEX(Table2[HOME_RECORD], MATCH(Table1[[#This Row],[HomeTeam]],Table2[Team], 0), 0)</f>
        <v>0-0-1</v>
      </c>
      <c r="AQ1176" s="64" t="str">
        <f>INDEX(Records!$B$2:$AG$33, MATCH(Table1[[#This Row],[HomeTeam]],Records!$A$2:$A$33, 0), MATCH(Table1[[#This Row],[AwayTeam]],Records!$A$2:$A$33, 0))</f>
        <v>0-0-0</v>
      </c>
    </row>
    <row r="1177" spans="1:43" x14ac:dyDescent="0.25">
      <c r="A1177" s="1"/>
      <c r="D1177" t="s">
        <v>1526</v>
      </c>
      <c r="E1177" t="s">
        <v>386</v>
      </c>
      <c r="F1177" t="s">
        <v>1529</v>
      </c>
      <c r="G1177" t="s">
        <v>53</v>
      </c>
      <c r="H1177" t="s">
        <v>50</v>
      </c>
      <c r="L117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7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77" s="1"/>
      <c r="T1177" s="64" t="str">
        <f>IF(Table1[[#This Row],[ActualWinner]]="", "", IF(Table1[[#This Row],[AwayTeam]]=Table1[[#This Row],[ActualWinner]],Table1[[#This Row],[HomeTeam]],Table1[[#This Row],[AwayTeam]]))</f>
        <v/>
      </c>
      <c r="U1177" s="64">
        <f>Table1[[#This Row],[ActualAwayScore]]-Table1[[#This Row],[PredictedAwayScore]]</f>
        <v>0</v>
      </c>
      <c r="V1177" s="64">
        <f>Table1[[#This Row],[ActualHomeScore]]-Table1[[#This Row],[PredictedHomeScore]]</f>
        <v>0</v>
      </c>
      <c r="W1177" s="64">
        <f>(0.8*IF(Table1[[#This Row],[CorrectWinnerPrediction]]=1, 1, 0))+(0.1*IF(Table1[[#This Row],[CorrectAwayScorePrediction]]=1, 1, 0))+(0.1*IF(Table1[[#This Row],[CorrectHomeScorePrediction]]=1, 1, 0))</f>
        <v>0</v>
      </c>
      <c r="X117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77" s="64">
        <f>SUMIF(Table1[GameDate], Table1[[#This Row],[GameDate]], Table1[AwayGameGoalDiff])</f>
        <v>0</v>
      </c>
      <c r="AA1177" s="64">
        <f>SUMIF(Table1[GameDate], Table1[[#This Row],[GameDate]], Table1[HomeGameGoalDiff])</f>
        <v>0</v>
      </c>
      <c r="AB1177" s="64">
        <f>IF(ISBLANK(Table1[[#This Row],[ActualResult]]), 0, 1)</f>
        <v>0</v>
      </c>
      <c r="AC1177" s="64">
        <f>IF(ISBLANK(Table1[[#This Row],[ActualResult]]), 0, IF(Table1[[#This Row],[ActualWinner]]=Table1[[#This Row],[PredictedWinner]], 1, 0))</f>
        <v>0</v>
      </c>
      <c r="AD117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7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77" s="64">
        <f>IF(AND(Table1[[#This Row],[GameIsOver]]=1,Table1[[#This Row],[ActualAwayScore]]=0), 1,0)</f>
        <v>0</v>
      </c>
      <c r="AG1177" s="64">
        <f>IF(AND(Table1[[#This Row],[GameIsOver]]=1,Table1[[#This Row],[ActualHomeScore]]=0), 1,0)</f>
        <v>0</v>
      </c>
      <c r="AH1177" s="64">
        <f>IF(Table1[[#This Row],[GameIsOver]]=0,0,IF(Table1[[#This Row],[ActualWinner]]=Table1[[#This Row],[AwayTeam]], 1, 0))</f>
        <v>0</v>
      </c>
      <c r="AI1177" s="64">
        <f>IF(Table1[[#This Row],[GameIsOver]]=0,0,IF(Table1[[#This Row],[ActualWinner]]=Table1[[#This Row],[HomeTeam]], 1, 0))</f>
        <v>0</v>
      </c>
      <c r="AJ1177" s="64">
        <f>IF(INDEX(Standings!$A$2:$C$33,MATCH(Table1[[#This Row],[AwayTeam]],Standings!$A$2:$A$33,0),2)=INDEX(Standings!$A$2:$C$33,MATCH(Table1[[#This Row],[HomeTeam]],Standings!$A$2:$A$33,0),2),1,0)</f>
        <v>1</v>
      </c>
      <c r="AK1177" s="64">
        <f>IF(INDEX(Standings!$A$2:$C$33,MATCH(Table1[[#This Row],[AwayTeam]],Standings!$A$2:$A$33,0),3)=INDEX(Standings!$A$2:$C$33,MATCH(Table1[[#This Row],[HomeTeam]],Standings!$A$2:$A$33,0),3),1,0)</f>
        <v>1</v>
      </c>
      <c r="AL1177" s="64">
        <f>IF(Table1[[#This Row],[InterConf]]=1,IF(Table1[[#This Row],[InterDiv]]=0, 1, 0), 0)</f>
        <v>0</v>
      </c>
      <c r="AM1177" s="64">
        <f>IF(INDEX(Standings!$A$2:$C$33,MATCH(Table1[[#This Row],[AwayTeam]],Standings!$A$2:$A$33,0),2)&lt;&gt;INDEX(Standings!$A$2:$C$33,MATCH(Table1[[#This Row],[HomeTeam]],Standings!$A$2:$A$33,0),2),1,0)</f>
        <v>0</v>
      </c>
      <c r="AN1177" s="64" t="str">
        <f>INDEX(Table2[AWAY_RECORD], MATCH(Table1[[#This Row],[AwayTeam]],Table2[Team], 0), 0)</f>
        <v>0-1-0</v>
      </c>
      <c r="AO1177" s="64" t="str">
        <f>INDEX(Records!$B$2:$AG$33, MATCH(Table1[[#This Row],[AwayTeam]],Records!$A$2:$A$33, 0), MATCH(Table1[[#This Row],[HomeTeam]],Records!$A$2:$A$33, 0))</f>
        <v>0-0-0</v>
      </c>
      <c r="AP1177" s="64" t="str">
        <f>INDEX(Table2[HOME_RECORD], MATCH(Table1[[#This Row],[HomeTeam]],Table2[Team], 0), 0)</f>
        <v>0-0-0</v>
      </c>
      <c r="AQ1177" s="64" t="str">
        <f>INDEX(Records!$B$2:$AG$33, MATCH(Table1[[#This Row],[HomeTeam]],Records!$A$2:$A$33, 0), MATCH(Table1[[#This Row],[AwayTeam]],Records!$A$2:$A$33, 0))</f>
        <v>0-0-0</v>
      </c>
    </row>
    <row r="1178" spans="1:43" x14ac:dyDescent="0.25">
      <c r="A1178" s="1"/>
      <c r="D1178" t="s">
        <v>1526</v>
      </c>
      <c r="E1178" t="s">
        <v>250</v>
      </c>
      <c r="F1178" t="s">
        <v>1530</v>
      </c>
      <c r="G1178" t="s">
        <v>43</v>
      </c>
      <c r="H1178" t="s">
        <v>45</v>
      </c>
      <c r="L117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7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78" s="1"/>
      <c r="T1178" s="64" t="str">
        <f>IF(Table1[[#This Row],[ActualWinner]]="", "", IF(Table1[[#This Row],[AwayTeam]]=Table1[[#This Row],[ActualWinner]],Table1[[#This Row],[HomeTeam]],Table1[[#This Row],[AwayTeam]]))</f>
        <v/>
      </c>
      <c r="U1178" s="64">
        <f>Table1[[#This Row],[ActualAwayScore]]-Table1[[#This Row],[PredictedAwayScore]]</f>
        <v>0</v>
      </c>
      <c r="V1178" s="64">
        <f>Table1[[#This Row],[ActualHomeScore]]-Table1[[#This Row],[PredictedHomeScore]]</f>
        <v>0</v>
      </c>
      <c r="W1178" s="64">
        <f>(0.8*IF(Table1[[#This Row],[CorrectWinnerPrediction]]=1, 1, 0))+(0.1*IF(Table1[[#This Row],[CorrectAwayScorePrediction]]=1, 1, 0))+(0.1*IF(Table1[[#This Row],[CorrectHomeScorePrediction]]=1, 1, 0))</f>
        <v>0</v>
      </c>
      <c r="X117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78" s="64">
        <f>SUMIF(Table1[GameDate], Table1[[#This Row],[GameDate]], Table1[AwayGameGoalDiff])</f>
        <v>0</v>
      </c>
      <c r="AA1178" s="64">
        <f>SUMIF(Table1[GameDate], Table1[[#This Row],[GameDate]], Table1[HomeGameGoalDiff])</f>
        <v>0</v>
      </c>
      <c r="AB1178" s="64">
        <f>IF(ISBLANK(Table1[[#This Row],[ActualResult]]), 0, 1)</f>
        <v>0</v>
      </c>
      <c r="AC1178" s="64">
        <f>IF(ISBLANK(Table1[[#This Row],[ActualResult]]), 0, IF(Table1[[#This Row],[ActualWinner]]=Table1[[#This Row],[PredictedWinner]], 1, 0))</f>
        <v>0</v>
      </c>
      <c r="AD117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7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78" s="64">
        <f>IF(AND(Table1[[#This Row],[GameIsOver]]=1,Table1[[#This Row],[ActualAwayScore]]=0), 1,0)</f>
        <v>0</v>
      </c>
      <c r="AG1178" s="64">
        <f>IF(AND(Table1[[#This Row],[GameIsOver]]=1,Table1[[#This Row],[ActualHomeScore]]=0), 1,0)</f>
        <v>0</v>
      </c>
      <c r="AH1178" s="64">
        <f>IF(Table1[[#This Row],[GameIsOver]]=0,0,IF(Table1[[#This Row],[ActualWinner]]=Table1[[#This Row],[AwayTeam]], 1, 0))</f>
        <v>0</v>
      </c>
      <c r="AI1178" s="64">
        <f>IF(Table1[[#This Row],[GameIsOver]]=0,0,IF(Table1[[#This Row],[ActualWinner]]=Table1[[#This Row],[HomeTeam]], 1, 0))</f>
        <v>0</v>
      </c>
      <c r="AJ1178" s="64">
        <f>IF(INDEX(Standings!$A$2:$C$33,MATCH(Table1[[#This Row],[AwayTeam]],Standings!$A$2:$A$33,0),2)=INDEX(Standings!$A$2:$C$33,MATCH(Table1[[#This Row],[HomeTeam]],Standings!$A$2:$A$33,0),2),1,0)</f>
        <v>1</v>
      </c>
      <c r="AK1178" s="64">
        <f>IF(INDEX(Standings!$A$2:$C$33,MATCH(Table1[[#This Row],[AwayTeam]],Standings!$A$2:$A$33,0),3)=INDEX(Standings!$A$2:$C$33,MATCH(Table1[[#This Row],[HomeTeam]],Standings!$A$2:$A$33,0),3),1,0)</f>
        <v>0</v>
      </c>
      <c r="AL1178" s="64">
        <f>IF(Table1[[#This Row],[InterConf]]=1,IF(Table1[[#This Row],[InterDiv]]=0, 1, 0), 0)</f>
        <v>1</v>
      </c>
      <c r="AM1178" s="64">
        <f>IF(INDEX(Standings!$A$2:$C$33,MATCH(Table1[[#This Row],[AwayTeam]],Standings!$A$2:$A$33,0),2)&lt;&gt;INDEX(Standings!$A$2:$C$33,MATCH(Table1[[#This Row],[HomeTeam]],Standings!$A$2:$A$33,0),2),1,0)</f>
        <v>0</v>
      </c>
      <c r="AN1178" s="64" t="str">
        <f>INDEX(Table2[AWAY_RECORD], MATCH(Table1[[#This Row],[AwayTeam]],Table2[Team], 0), 0)</f>
        <v>0-0-0</v>
      </c>
      <c r="AO1178" s="64" t="str">
        <f>INDEX(Records!$B$2:$AG$33, MATCH(Table1[[#This Row],[AwayTeam]],Records!$A$2:$A$33, 0), MATCH(Table1[[#This Row],[HomeTeam]],Records!$A$2:$A$33, 0))</f>
        <v>0-0-0</v>
      </c>
      <c r="AP1178" s="64" t="str">
        <f>INDEX(Table2[HOME_RECORD], MATCH(Table1[[#This Row],[HomeTeam]],Table2[Team], 0), 0)</f>
        <v>1-0-0</v>
      </c>
      <c r="AQ1178" s="64" t="str">
        <f>INDEX(Records!$B$2:$AG$33, MATCH(Table1[[#This Row],[HomeTeam]],Records!$A$2:$A$33, 0), MATCH(Table1[[#This Row],[AwayTeam]],Records!$A$2:$A$33, 0))</f>
        <v>0-0-0</v>
      </c>
    </row>
    <row r="1179" spans="1:43" x14ac:dyDescent="0.25">
      <c r="A1179" s="1"/>
      <c r="D1179" t="s">
        <v>1526</v>
      </c>
      <c r="E1179" t="s">
        <v>158</v>
      </c>
      <c r="F1179" t="s">
        <v>1531</v>
      </c>
      <c r="G1179" t="s">
        <v>37</v>
      </c>
      <c r="H1179" t="s">
        <v>48</v>
      </c>
      <c r="L117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7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79" s="1"/>
      <c r="T1179" s="64" t="str">
        <f>IF(Table1[[#This Row],[ActualWinner]]="", "", IF(Table1[[#This Row],[AwayTeam]]=Table1[[#This Row],[ActualWinner]],Table1[[#This Row],[HomeTeam]],Table1[[#This Row],[AwayTeam]]))</f>
        <v/>
      </c>
      <c r="U1179" s="64">
        <f>Table1[[#This Row],[ActualAwayScore]]-Table1[[#This Row],[PredictedAwayScore]]</f>
        <v>0</v>
      </c>
      <c r="V1179" s="64">
        <f>Table1[[#This Row],[ActualHomeScore]]-Table1[[#This Row],[PredictedHomeScore]]</f>
        <v>0</v>
      </c>
      <c r="W1179" s="64">
        <f>(0.8*IF(Table1[[#This Row],[CorrectWinnerPrediction]]=1, 1, 0))+(0.1*IF(Table1[[#This Row],[CorrectAwayScorePrediction]]=1, 1, 0))+(0.1*IF(Table1[[#This Row],[CorrectHomeScorePrediction]]=1, 1, 0))</f>
        <v>0</v>
      </c>
      <c r="X117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79" s="64">
        <f>SUMIF(Table1[GameDate], Table1[[#This Row],[GameDate]], Table1[AwayGameGoalDiff])</f>
        <v>0</v>
      </c>
      <c r="AA1179" s="64">
        <f>SUMIF(Table1[GameDate], Table1[[#This Row],[GameDate]], Table1[HomeGameGoalDiff])</f>
        <v>0</v>
      </c>
      <c r="AB1179" s="64">
        <f>IF(ISBLANK(Table1[[#This Row],[ActualResult]]), 0, 1)</f>
        <v>0</v>
      </c>
      <c r="AC1179" s="64">
        <f>IF(ISBLANK(Table1[[#This Row],[ActualResult]]), 0, IF(Table1[[#This Row],[ActualWinner]]=Table1[[#This Row],[PredictedWinner]], 1, 0))</f>
        <v>0</v>
      </c>
      <c r="AD117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7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79" s="64">
        <f>IF(AND(Table1[[#This Row],[GameIsOver]]=1,Table1[[#This Row],[ActualAwayScore]]=0), 1,0)</f>
        <v>0</v>
      </c>
      <c r="AG1179" s="64">
        <f>IF(AND(Table1[[#This Row],[GameIsOver]]=1,Table1[[#This Row],[ActualHomeScore]]=0), 1,0)</f>
        <v>0</v>
      </c>
      <c r="AH1179" s="64">
        <f>IF(Table1[[#This Row],[GameIsOver]]=0,0,IF(Table1[[#This Row],[ActualWinner]]=Table1[[#This Row],[AwayTeam]], 1, 0))</f>
        <v>0</v>
      </c>
      <c r="AI1179" s="64">
        <f>IF(Table1[[#This Row],[GameIsOver]]=0,0,IF(Table1[[#This Row],[ActualWinner]]=Table1[[#This Row],[HomeTeam]], 1, 0))</f>
        <v>0</v>
      </c>
      <c r="AJ1179" s="64">
        <f>IF(INDEX(Standings!$A$2:$C$33,MATCH(Table1[[#This Row],[AwayTeam]],Standings!$A$2:$A$33,0),2)=INDEX(Standings!$A$2:$C$33,MATCH(Table1[[#This Row],[HomeTeam]],Standings!$A$2:$A$33,0),2),1,0)</f>
        <v>0</v>
      </c>
      <c r="AK1179" s="64">
        <f>IF(INDEX(Standings!$A$2:$C$33,MATCH(Table1[[#This Row],[AwayTeam]],Standings!$A$2:$A$33,0),3)=INDEX(Standings!$A$2:$C$33,MATCH(Table1[[#This Row],[HomeTeam]],Standings!$A$2:$A$33,0),3),1,0)</f>
        <v>0</v>
      </c>
      <c r="AL1179" s="64">
        <f>IF(Table1[[#This Row],[InterConf]]=1,IF(Table1[[#This Row],[InterDiv]]=0, 1, 0), 0)</f>
        <v>0</v>
      </c>
      <c r="AM1179" s="64">
        <f>IF(INDEX(Standings!$A$2:$C$33,MATCH(Table1[[#This Row],[AwayTeam]],Standings!$A$2:$A$33,0),2)&lt;&gt;INDEX(Standings!$A$2:$C$33,MATCH(Table1[[#This Row],[HomeTeam]],Standings!$A$2:$A$33,0),2),1,0)</f>
        <v>1</v>
      </c>
      <c r="AN1179" s="64" t="str">
        <f>INDEX(Table2[AWAY_RECORD], MATCH(Table1[[#This Row],[AwayTeam]],Table2[Team], 0), 0)</f>
        <v>0-0-1</v>
      </c>
      <c r="AO1179" s="64" t="str">
        <f>INDEX(Records!$B$2:$AG$33, MATCH(Table1[[#This Row],[AwayTeam]],Records!$A$2:$A$33, 0), MATCH(Table1[[#This Row],[HomeTeam]],Records!$A$2:$A$33, 0))</f>
        <v>0-0-0</v>
      </c>
      <c r="AP1179" s="64" t="str">
        <f>INDEX(Table2[HOME_RECORD], MATCH(Table1[[#This Row],[HomeTeam]],Table2[Team], 0), 0)</f>
        <v>1-0-0</v>
      </c>
      <c r="AQ1179" s="64" t="str">
        <f>INDEX(Records!$B$2:$AG$33, MATCH(Table1[[#This Row],[HomeTeam]],Records!$A$2:$A$33, 0), MATCH(Table1[[#This Row],[AwayTeam]],Records!$A$2:$A$33, 0))</f>
        <v>0-0-0</v>
      </c>
    </row>
    <row r="1180" spans="1:43" x14ac:dyDescent="0.25">
      <c r="A1180" s="1"/>
      <c r="D1180" t="s">
        <v>1526</v>
      </c>
      <c r="E1180" t="s">
        <v>160</v>
      </c>
      <c r="F1180" t="s">
        <v>1532</v>
      </c>
      <c r="G1180" t="s">
        <v>57</v>
      </c>
      <c r="H1180" t="s">
        <v>52</v>
      </c>
      <c r="L118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8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80" s="1"/>
      <c r="T1180" s="64" t="str">
        <f>IF(Table1[[#This Row],[ActualWinner]]="", "", IF(Table1[[#This Row],[AwayTeam]]=Table1[[#This Row],[ActualWinner]],Table1[[#This Row],[HomeTeam]],Table1[[#This Row],[AwayTeam]]))</f>
        <v/>
      </c>
      <c r="U1180" s="64">
        <f>Table1[[#This Row],[ActualAwayScore]]-Table1[[#This Row],[PredictedAwayScore]]</f>
        <v>0</v>
      </c>
      <c r="V1180" s="64">
        <f>Table1[[#This Row],[ActualHomeScore]]-Table1[[#This Row],[PredictedHomeScore]]</f>
        <v>0</v>
      </c>
      <c r="W1180" s="64">
        <f>(0.8*IF(Table1[[#This Row],[CorrectWinnerPrediction]]=1, 1, 0))+(0.1*IF(Table1[[#This Row],[CorrectAwayScorePrediction]]=1, 1, 0))+(0.1*IF(Table1[[#This Row],[CorrectHomeScorePrediction]]=1, 1, 0))</f>
        <v>0</v>
      </c>
      <c r="X118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80" s="64">
        <f>SUMIF(Table1[GameDate], Table1[[#This Row],[GameDate]], Table1[AwayGameGoalDiff])</f>
        <v>0</v>
      </c>
      <c r="AA1180" s="64">
        <f>SUMIF(Table1[GameDate], Table1[[#This Row],[GameDate]], Table1[HomeGameGoalDiff])</f>
        <v>0</v>
      </c>
      <c r="AB1180" s="64">
        <f>IF(ISBLANK(Table1[[#This Row],[ActualResult]]), 0, 1)</f>
        <v>0</v>
      </c>
      <c r="AC1180" s="64">
        <f>IF(ISBLANK(Table1[[#This Row],[ActualResult]]), 0, IF(Table1[[#This Row],[ActualWinner]]=Table1[[#This Row],[PredictedWinner]], 1, 0))</f>
        <v>0</v>
      </c>
      <c r="AD118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8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80" s="64">
        <f>IF(AND(Table1[[#This Row],[GameIsOver]]=1,Table1[[#This Row],[ActualAwayScore]]=0), 1,0)</f>
        <v>0</v>
      </c>
      <c r="AG1180" s="64">
        <f>IF(AND(Table1[[#This Row],[GameIsOver]]=1,Table1[[#This Row],[ActualHomeScore]]=0), 1,0)</f>
        <v>0</v>
      </c>
      <c r="AH1180" s="64">
        <f>IF(Table1[[#This Row],[GameIsOver]]=0,0,IF(Table1[[#This Row],[ActualWinner]]=Table1[[#This Row],[AwayTeam]], 1, 0))</f>
        <v>0</v>
      </c>
      <c r="AI1180" s="64">
        <f>IF(Table1[[#This Row],[GameIsOver]]=0,0,IF(Table1[[#This Row],[ActualWinner]]=Table1[[#This Row],[HomeTeam]], 1, 0))</f>
        <v>0</v>
      </c>
      <c r="AJ1180" s="64">
        <f>IF(INDEX(Standings!$A$2:$C$33,MATCH(Table1[[#This Row],[AwayTeam]],Standings!$A$2:$A$33,0),2)=INDEX(Standings!$A$2:$C$33,MATCH(Table1[[#This Row],[HomeTeam]],Standings!$A$2:$A$33,0),2),1,0)</f>
        <v>1</v>
      </c>
      <c r="AK1180" s="64">
        <f>IF(INDEX(Standings!$A$2:$C$33,MATCH(Table1[[#This Row],[AwayTeam]],Standings!$A$2:$A$33,0),3)=INDEX(Standings!$A$2:$C$33,MATCH(Table1[[#This Row],[HomeTeam]],Standings!$A$2:$A$33,0),3),1,0)</f>
        <v>1</v>
      </c>
      <c r="AL1180" s="64">
        <f>IF(Table1[[#This Row],[InterConf]]=1,IF(Table1[[#This Row],[InterDiv]]=0, 1, 0), 0)</f>
        <v>0</v>
      </c>
      <c r="AM1180" s="64">
        <f>IF(INDEX(Standings!$A$2:$C$33,MATCH(Table1[[#This Row],[AwayTeam]],Standings!$A$2:$A$33,0),2)&lt;&gt;INDEX(Standings!$A$2:$C$33,MATCH(Table1[[#This Row],[HomeTeam]],Standings!$A$2:$A$33,0),2),1,0)</f>
        <v>0</v>
      </c>
      <c r="AN1180" s="64" t="str">
        <f>INDEX(Table2[AWAY_RECORD], MATCH(Table1[[#This Row],[AwayTeam]],Table2[Team], 0), 0)</f>
        <v>0-1-0</v>
      </c>
      <c r="AO1180" s="64" t="str">
        <f>INDEX(Records!$B$2:$AG$33, MATCH(Table1[[#This Row],[AwayTeam]],Records!$A$2:$A$33, 0), MATCH(Table1[[#This Row],[HomeTeam]],Records!$A$2:$A$33, 0))</f>
        <v>0-0-0</v>
      </c>
      <c r="AP1180" s="64" t="str">
        <f>INDEX(Table2[HOME_RECORD], MATCH(Table1[[#This Row],[HomeTeam]],Table2[Team], 0), 0)</f>
        <v>0-0-0</v>
      </c>
      <c r="AQ1180" s="64" t="str">
        <f>INDEX(Records!$B$2:$AG$33, MATCH(Table1[[#This Row],[HomeTeam]],Records!$A$2:$A$33, 0), MATCH(Table1[[#This Row],[AwayTeam]],Records!$A$2:$A$33, 0))</f>
        <v>0-0-0</v>
      </c>
    </row>
    <row r="1181" spans="1:43" x14ac:dyDescent="0.25">
      <c r="A1181" s="1"/>
      <c r="D1181" t="s">
        <v>1526</v>
      </c>
      <c r="E1181" t="s">
        <v>160</v>
      </c>
      <c r="F1181" t="s">
        <v>1533</v>
      </c>
      <c r="G1181" t="s">
        <v>24</v>
      </c>
      <c r="H1181" t="s">
        <v>49</v>
      </c>
      <c r="L118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8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81" s="1"/>
      <c r="T1181" s="64" t="str">
        <f>IF(Table1[[#This Row],[ActualWinner]]="", "", IF(Table1[[#This Row],[AwayTeam]]=Table1[[#This Row],[ActualWinner]],Table1[[#This Row],[HomeTeam]],Table1[[#This Row],[AwayTeam]]))</f>
        <v/>
      </c>
      <c r="U1181" s="64">
        <f>Table1[[#This Row],[ActualAwayScore]]-Table1[[#This Row],[PredictedAwayScore]]</f>
        <v>0</v>
      </c>
      <c r="V1181" s="64">
        <f>Table1[[#This Row],[ActualHomeScore]]-Table1[[#This Row],[PredictedHomeScore]]</f>
        <v>0</v>
      </c>
      <c r="W1181" s="64">
        <f>(0.8*IF(Table1[[#This Row],[CorrectWinnerPrediction]]=1, 1, 0))+(0.1*IF(Table1[[#This Row],[CorrectAwayScorePrediction]]=1, 1, 0))+(0.1*IF(Table1[[#This Row],[CorrectHomeScorePrediction]]=1, 1, 0))</f>
        <v>0</v>
      </c>
      <c r="X118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81" s="64">
        <f>SUMIF(Table1[GameDate], Table1[[#This Row],[GameDate]], Table1[AwayGameGoalDiff])</f>
        <v>0</v>
      </c>
      <c r="AA1181" s="64">
        <f>SUMIF(Table1[GameDate], Table1[[#This Row],[GameDate]], Table1[HomeGameGoalDiff])</f>
        <v>0</v>
      </c>
      <c r="AB1181" s="64">
        <f>IF(ISBLANK(Table1[[#This Row],[ActualResult]]), 0, 1)</f>
        <v>0</v>
      </c>
      <c r="AC1181" s="64">
        <f>IF(ISBLANK(Table1[[#This Row],[ActualResult]]), 0, IF(Table1[[#This Row],[ActualWinner]]=Table1[[#This Row],[PredictedWinner]], 1, 0))</f>
        <v>0</v>
      </c>
      <c r="AD118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8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81" s="64">
        <f>IF(AND(Table1[[#This Row],[GameIsOver]]=1,Table1[[#This Row],[ActualAwayScore]]=0), 1,0)</f>
        <v>0</v>
      </c>
      <c r="AG1181" s="64">
        <f>IF(AND(Table1[[#This Row],[GameIsOver]]=1,Table1[[#This Row],[ActualHomeScore]]=0), 1,0)</f>
        <v>0</v>
      </c>
      <c r="AH1181" s="64">
        <f>IF(Table1[[#This Row],[GameIsOver]]=0,0,IF(Table1[[#This Row],[ActualWinner]]=Table1[[#This Row],[AwayTeam]], 1, 0))</f>
        <v>0</v>
      </c>
      <c r="AI1181" s="64">
        <f>IF(Table1[[#This Row],[GameIsOver]]=0,0,IF(Table1[[#This Row],[ActualWinner]]=Table1[[#This Row],[HomeTeam]], 1, 0))</f>
        <v>0</v>
      </c>
      <c r="AJ1181" s="64">
        <f>IF(INDEX(Standings!$A$2:$C$33,MATCH(Table1[[#This Row],[AwayTeam]],Standings!$A$2:$A$33,0),2)=INDEX(Standings!$A$2:$C$33,MATCH(Table1[[#This Row],[HomeTeam]],Standings!$A$2:$A$33,0),2),1,0)</f>
        <v>1</v>
      </c>
      <c r="AK1181" s="64">
        <f>IF(INDEX(Standings!$A$2:$C$33,MATCH(Table1[[#This Row],[AwayTeam]],Standings!$A$2:$A$33,0),3)=INDEX(Standings!$A$2:$C$33,MATCH(Table1[[#This Row],[HomeTeam]],Standings!$A$2:$A$33,0),3),1,0)</f>
        <v>0</v>
      </c>
      <c r="AL1181" s="64">
        <f>IF(Table1[[#This Row],[InterConf]]=1,IF(Table1[[#This Row],[InterDiv]]=0, 1, 0), 0)</f>
        <v>1</v>
      </c>
      <c r="AM1181" s="64">
        <f>IF(INDEX(Standings!$A$2:$C$33,MATCH(Table1[[#This Row],[AwayTeam]],Standings!$A$2:$A$33,0),2)&lt;&gt;INDEX(Standings!$A$2:$C$33,MATCH(Table1[[#This Row],[HomeTeam]],Standings!$A$2:$A$33,0),2),1,0)</f>
        <v>0</v>
      </c>
      <c r="AN1181" s="64" t="str">
        <f>INDEX(Table2[AWAY_RECORD], MATCH(Table1[[#This Row],[AwayTeam]],Table2[Team], 0), 0)</f>
        <v>0-0-0</v>
      </c>
      <c r="AO1181" s="64" t="str">
        <f>INDEX(Records!$B$2:$AG$33, MATCH(Table1[[#This Row],[AwayTeam]],Records!$A$2:$A$33, 0), MATCH(Table1[[#This Row],[HomeTeam]],Records!$A$2:$A$33, 0))</f>
        <v>0-0-0</v>
      </c>
      <c r="AP1181" s="64" t="str">
        <f>INDEX(Table2[HOME_RECORD], MATCH(Table1[[#This Row],[HomeTeam]],Table2[Team], 0), 0)</f>
        <v>1-0-0</v>
      </c>
      <c r="AQ1181" s="64" t="str">
        <f>INDEX(Records!$B$2:$AG$33, MATCH(Table1[[#This Row],[HomeTeam]],Records!$A$2:$A$33, 0), MATCH(Table1[[#This Row],[AwayTeam]],Records!$A$2:$A$33, 0))</f>
        <v>0-0-0</v>
      </c>
    </row>
    <row r="1182" spans="1:43" x14ac:dyDescent="0.25">
      <c r="A1182" s="1"/>
      <c r="D1182" t="s">
        <v>1526</v>
      </c>
      <c r="E1182" t="s">
        <v>160</v>
      </c>
      <c r="F1182" t="s">
        <v>1534</v>
      </c>
      <c r="G1182" t="s">
        <v>42</v>
      </c>
      <c r="H1182" t="s">
        <v>60</v>
      </c>
      <c r="L118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8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82" s="1"/>
      <c r="T1182" s="64" t="str">
        <f>IF(Table1[[#This Row],[ActualWinner]]="", "", IF(Table1[[#This Row],[AwayTeam]]=Table1[[#This Row],[ActualWinner]],Table1[[#This Row],[HomeTeam]],Table1[[#This Row],[AwayTeam]]))</f>
        <v/>
      </c>
      <c r="U1182" s="64">
        <f>Table1[[#This Row],[ActualAwayScore]]-Table1[[#This Row],[PredictedAwayScore]]</f>
        <v>0</v>
      </c>
      <c r="V1182" s="64">
        <f>Table1[[#This Row],[ActualHomeScore]]-Table1[[#This Row],[PredictedHomeScore]]</f>
        <v>0</v>
      </c>
      <c r="W1182" s="64">
        <f>(0.8*IF(Table1[[#This Row],[CorrectWinnerPrediction]]=1, 1, 0))+(0.1*IF(Table1[[#This Row],[CorrectAwayScorePrediction]]=1, 1, 0))+(0.1*IF(Table1[[#This Row],[CorrectHomeScorePrediction]]=1, 1, 0))</f>
        <v>0</v>
      </c>
      <c r="X118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82" s="64">
        <f>SUMIF(Table1[GameDate], Table1[[#This Row],[GameDate]], Table1[AwayGameGoalDiff])</f>
        <v>0</v>
      </c>
      <c r="AA1182" s="64">
        <f>SUMIF(Table1[GameDate], Table1[[#This Row],[GameDate]], Table1[HomeGameGoalDiff])</f>
        <v>0</v>
      </c>
      <c r="AB1182" s="64">
        <f>IF(ISBLANK(Table1[[#This Row],[ActualResult]]), 0, 1)</f>
        <v>0</v>
      </c>
      <c r="AC1182" s="64">
        <f>IF(ISBLANK(Table1[[#This Row],[ActualResult]]), 0, IF(Table1[[#This Row],[ActualWinner]]=Table1[[#This Row],[PredictedWinner]], 1, 0))</f>
        <v>0</v>
      </c>
      <c r="AD118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8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82" s="64">
        <f>IF(AND(Table1[[#This Row],[GameIsOver]]=1,Table1[[#This Row],[ActualAwayScore]]=0), 1,0)</f>
        <v>0</v>
      </c>
      <c r="AG1182" s="64">
        <f>IF(AND(Table1[[#This Row],[GameIsOver]]=1,Table1[[#This Row],[ActualHomeScore]]=0), 1,0)</f>
        <v>0</v>
      </c>
      <c r="AH1182" s="64">
        <f>IF(Table1[[#This Row],[GameIsOver]]=0,0,IF(Table1[[#This Row],[ActualWinner]]=Table1[[#This Row],[AwayTeam]], 1, 0))</f>
        <v>0</v>
      </c>
      <c r="AI1182" s="64">
        <f>IF(Table1[[#This Row],[GameIsOver]]=0,0,IF(Table1[[#This Row],[ActualWinner]]=Table1[[#This Row],[HomeTeam]], 1, 0))</f>
        <v>0</v>
      </c>
      <c r="AJ1182" s="64">
        <f>IF(INDEX(Standings!$A$2:$C$33,MATCH(Table1[[#This Row],[AwayTeam]],Standings!$A$2:$A$33,0),2)=INDEX(Standings!$A$2:$C$33,MATCH(Table1[[#This Row],[HomeTeam]],Standings!$A$2:$A$33,0),2),1,0)</f>
        <v>0</v>
      </c>
      <c r="AK1182" s="64">
        <f>IF(INDEX(Standings!$A$2:$C$33,MATCH(Table1[[#This Row],[AwayTeam]],Standings!$A$2:$A$33,0),3)=INDEX(Standings!$A$2:$C$33,MATCH(Table1[[#This Row],[HomeTeam]],Standings!$A$2:$A$33,0),3),1,0)</f>
        <v>0</v>
      </c>
      <c r="AL1182" s="64">
        <f>IF(Table1[[#This Row],[InterConf]]=1,IF(Table1[[#This Row],[InterDiv]]=0, 1, 0), 0)</f>
        <v>0</v>
      </c>
      <c r="AM1182" s="64">
        <f>IF(INDEX(Standings!$A$2:$C$33,MATCH(Table1[[#This Row],[AwayTeam]],Standings!$A$2:$A$33,0),2)&lt;&gt;INDEX(Standings!$A$2:$C$33,MATCH(Table1[[#This Row],[HomeTeam]],Standings!$A$2:$A$33,0),2),1,0)</f>
        <v>1</v>
      </c>
      <c r="AN1182" s="64" t="str">
        <f>INDEX(Table2[AWAY_RECORD], MATCH(Table1[[#This Row],[AwayTeam]],Table2[Team], 0), 0)</f>
        <v>0-0-0</v>
      </c>
      <c r="AO1182" s="64" t="str">
        <f>INDEX(Records!$B$2:$AG$33, MATCH(Table1[[#This Row],[AwayTeam]],Records!$A$2:$A$33, 0), MATCH(Table1[[#This Row],[HomeTeam]],Records!$A$2:$A$33, 0))</f>
        <v>0-0-0</v>
      </c>
      <c r="AP1182" s="64" t="str">
        <f>INDEX(Table2[HOME_RECORD], MATCH(Table1[[#This Row],[HomeTeam]],Table2[Team], 0), 0)</f>
        <v>1-0-0</v>
      </c>
      <c r="AQ1182" s="64" t="str">
        <f>INDEX(Records!$B$2:$AG$33, MATCH(Table1[[#This Row],[HomeTeam]],Records!$A$2:$A$33, 0), MATCH(Table1[[#This Row],[AwayTeam]],Records!$A$2:$A$33, 0))</f>
        <v>0-0-0</v>
      </c>
    </row>
    <row r="1183" spans="1:43" x14ac:dyDescent="0.25">
      <c r="A1183" s="1"/>
      <c r="D1183" t="s">
        <v>1526</v>
      </c>
      <c r="E1183" t="s">
        <v>162</v>
      </c>
      <c r="F1183" t="s">
        <v>1535</v>
      </c>
      <c r="G1183" t="s">
        <v>54</v>
      </c>
      <c r="H1183" t="s">
        <v>51</v>
      </c>
      <c r="L118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8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83" s="1"/>
      <c r="T1183" s="64" t="str">
        <f>IF(Table1[[#This Row],[ActualWinner]]="", "", IF(Table1[[#This Row],[AwayTeam]]=Table1[[#This Row],[ActualWinner]],Table1[[#This Row],[HomeTeam]],Table1[[#This Row],[AwayTeam]]))</f>
        <v/>
      </c>
      <c r="U1183" s="64">
        <f>Table1[[#This Row],[ActualAwayScore]]-Table1[[#This Row],[PredictedAwayScore]]</f>
        <v>0</v>
      </c>
      <c r="V1183" s="64">
        <f>Table1[[#This Row],[ActualHomeScore]]-Table1[[#This Row],[PredictedHomeScore]]</f>
        <v>0</v>
      </c>
      <c r="W1183" s="64">
        <f>(0.8*IF(Table1[[#This Row],[CorrectWinnerPrediction]]=1, 1, 0))+(0.1*IF(Table1[[#This Row],[CorrectAwayScorePrediction]]=1, 1, 0))+(0.1*IF(Table1[[#This Row],[CorrectHomeScorePrediction]]=1, 1, 0))</f>
        <v>0</v>
      </c>
      <c r="X118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83" s="64">
        <f>SUMIF(Table1[GameDate], Table1[[#This Row],[GameDate]], Table1[AwayGameGoalDiff])</f>
        <v>0</v>
      </c>
      <c r="AA1183" s="64">
        <f>SUMIF(Table1[GameDate], Table1[[#This Row],[GameDate]], Table1[HomeGameGoalDiff])</f>
        <v>0</v>
      </c>
      <c r="AB1183" s="64">
        <f>IF(ISBLANK(Table1[[#This Row],[ActualResult]]), 0, 1)</f>
        <v>0</v>
      </c>
      <c r="AC1183" s="64">
        <f>IF(ISBLANK(Table1[[#This Row],[ActualResult]]), 0, IF(Table1[[#This Row],[ActualWinner]]=Table1[[#This Row],[PredictedWinner]], 1, 0))</f>
        <v>0</v>
      </c>
      <c r="AD118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8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83" s="64">
        <f>IF(AND(Table1[[#This Row],[GameIsOver]]=1,Table1[[#This Row],[ActualAwayScore]]=0), 1,0)</f>
        <v>0</v>
      </c>
      <c r="AG1183" s="64">
        <f>IF(AND(Table1[[#This Row],[GameIsOver]]=1,Table1[[#This Row],[ActualHomeScore]]=0), 1,0)</f>
        <v>0</v>
      </c>
      <c r="AH1183" s="64">
        <f>IF(Table1[[#This Row],[GameIsOver]]=0,0,IF(Table1[[#This Row],[ActualWinner]]=Table1[[#This Row],[AwayTeam]], 1, 0))</f>
        <v>0</v>
      </c>
      <c r="AI1183" s="64">
        <f>IF(Table1[[#This Row],[GameIsOver]]=0,0,IF(Table1[[#This Row],[ActualWinner]]=Table1[[#This Row],[HomeTeam]], 1, 0))</f>
        <v>0</v>
      </c>
      <c r="AJ1183" s="64">
        <f>IF(INDEX(Standings!$A$2:$C$33,MATCH(Table1[[#This Row],[AwayTeam]],Standings!$A$2:$A$33,0),2)=INDEX(Standings!$A$2:$C$33,MATCH(Table1[[#This Row],[HomeTeam]],Standings!$A$2:$A$33,0),2),1,0)</f>
        <v>1</v>
      </c>
      <c r="AK1183" s="64">
        <f>IF(INDEX(Standings!$A$2:$C$33,MATCH(Table1[[#This Row],[AwayTeam]],Standings!$A$2:$A$33,0),3)=INDEX(Standings!$A$2:$C$33,MATCH(Table1[[#This Row],[HomeTeam]],Standings!$A$2:$A$33,0),3),1,0)</f>
        <v>1</v>
      </c>
      <c r="AL1183" s="64">
        <f>IF(Table1[[#This Row],[InterConf]]=1,IF(Table1[[#This Row],[InterDiv]]=0, 1, 0), 0)</f>
        <v>0</v>
      </c>
      <c r="AM1183" s="64">
        <f>IF(INDEX(Standings!$A$2:$C$33,MATCH(Table1[[#This Row],[AwayTeam]],Standings!$A$2:$A$33,0),2)&lt;&gt;INDEX(Standings!$A$2:$C$33,MATCH(Table1[[#This Row],[HomeTeam]],Standings!$A$2:$A$33,0),2),1,0)</f>
        <v>0</v>
      </c>
      <c r="AN1183" s="64" t="str">
        <f>INDEX(Table2[AWAY_RECORD], MATCH(Table1[[#This Row],[AwayTeam]],Table2[Team], 0), 0)</f>
        <v>0-0-1</v>
      </c>
      <c r="AO1183" s="64" t="str">
        <f>INDEX(Records!$B$2:$AG$33, MATCH(Table1[[#This Row],[AwayTeam]],Records!$A$2:$A$33, 0), MATCH(Table1[[#This Row],[HomeTeam]],Records!$A$2:$A$33, 0))</f>
        <v>0-0-0</v>
      </c>
      <c r="AP1183" s="64" t="str">
        <f>INDEX(Table2[HOME_RECORD], MATCH(Table1[[#This Row],[HomeTeam]],Table2[Team], 0), 0)</f>
        <v>1-0-0</v>
      </c>
      <c r="AQ1183" s="64" t="str">
        <f>INDEX(Records!$B$2:$AG$33, MATCH(Table1[[#This Row],[HomeTeam]],Records!$A$2:$A$33, 0), MATCH(Table1[[#This Row],[AwayTeam]],Records!$A$2:$A$33, 0))</f>
        <v>0-0-0</v>
      </c>
    </row>
    <row r="1184" spans="1:43" x14ac:dyDescent="0.25">
      <c r="A1184" s="1"/>
      <c r="D1184" t="s">
        <v>1526</v>
      </c>
      <c r="E1184" t="s">
        <v>164</v>
      </c>
      <c r="F1184" t="s">
        <v>1536</v>
      </c>
      <c r="G1184" t="s">
        <v>61</v>
      </c>
      <c r="H1184" t="s">
        <v>23</v>
      </c>
      <c r="L118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8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84" s="1"/>
      <c r="T1184" s="64" t="str">
        <f>IF(Table1[[#This Row],[ActualWinner]]="", "", IF(Table1[[#This Row],[AwayTeam]]=Table1[[#This Row],[ActualWinner]],Table1[[#This Row],[HomeTeam]],Table1[[#This Row],[AwayTeam]]))</f>
        <v/>
      </c>
      <c r="U1184" s="64">
        <f>Table1[[#This Row],[ActualAwayScore]]-Table1[[#This Row],[PredictedAwayScore]]</f>
        <v>0</v>
      </c>
      <c r="V1184" s="64">
        <f>Table1[[#This Row],[ActualHomeScore]]-Table1[[#This Row],[PredictedHomeScore]]</f>
        <v>0</v>
      </c>
      <c r="W1184" s="64">
        <f>(0.8*IF(Table1[[#This Row],[CorrectWinnerPrediction]]=1, 1, 0))+(0.1*IF(Table1[[#This Row],[CorrectAwayScorePrediction]]=1, 1, 0))+(0.1*IF(Table1[[#This Row],[CorrectHomeScorePrediction]]=1, 1, 0))</f>
        <v>0</v>
      </c>
      <c r="X118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84" s="64">
        <f>SUMIF(Table1[GameDate], Table1[[#This Row],[GameDate]], Table1[AwayGameGoalDiff])</f>
        <v>0</v>
      </c>
      <c r="AA1184" s="64">
        <f>SUMIF(Table1[GameDate], Table1[[#This Row],[GameDate]], Table1[HomeGameGoalDiff])</f>
        <v>0</v>
      </c>
      <c r="AB1184" s="64">
        <f>IF(ISBLANK(Table1[[#This Row],[ActualResult]]), 0, 1)</f>
        <v>0</v>
      </c>
      <c r="AC1184" s="64">
        <f>IF(ISBLANK(Table1[[#This Row],[ActualResult]]), 0, IF(Table1[[#This Row],[ActualWinner]]=Table1[[#This Row],[PredictedWinner]], 1, 0))</f>
        <v>0</v>
      </c>
      <c r="AD118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8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84" s="64">
        <f>IF(AND(Table1[[#This Row],[GameIsOver]]=1,Table1[[#This Row],[ActualAwayScore]]=0), 1,0)</f>
        <v>0</v>
      </c>
      <c r="AG1184" s="64">
        <f>IF(AND(Table1[[#This Row],[GameIsOver]]=1,Table1[[#This Row],[ActualHomeScore]]=0), 1,0)</f>
        <v>0</v>
      </c>
      <c r="AH1184" s="64">
        <f>IF(Table1[[#This Row],[GameIsOver]]=0,0,IF(Table1[[#This Row],[ActualWinner]]=Table1[[#This Row],[AwayTeam]], 1, 0))</f>
        <v>0</v>
      </c>
      <c r="AI1184" s="64">
        <f>IF(Table1[[#This Row],[GameIsOver]]=0,0,IF(Table1[[#This Row],[ActualWinner]]=Table1[[#This Row],[HomeTeam]], 1, 0))</f>
        <v>0</v>
      </c>
      <c r="AJ1184" s="64">
        <f>IF(INDEX(Standings!$A$2:$C$33,MATCH(Table1[[#This Row],[AwayTeam]],Standings!$A$2:$A$33,0),2)=INDEX(Standings!$A$2:$C$33,MATCH(Table1[[#This Row],[HomeTeam]],Standings!$A$2:$A$33,0),2),1,0)</f>
        <v>1</v>
      </c>
      <c r="AK1184" s="64">
        <f>IF(INDEX(Standings!$A$2:$C$33,MATCH(Table1[[#This Row],[AwayTeam]],Standings!$A$2:$A$33,0),3)=INDEX(Standings!$A$2:$C$33,MATCH(Table1[[#This Row],[HomeTeam]],Standings!$A$2:$A$33,0),3),1,0)</f>
        <v>0</v>
      </c>
      <c r="AL1184" s="64">
        <f>IF(Table1[[#This Row],[InterConf]]=1,IF(Table1[[#This Row],[InterDiv]]=0, 1, 0), 0)</f>
        <v>1</v>
      </c>
      <c r="AM1184" s="64">
        <f>IF(INDEX(Standings!$A$2:$C$33,MATCH(Table1[[#This Row],[AwayTeam]],Standings!$A$2:$A$33,0),2)&lt;&gt;INDEX(Standings!$A$2:$C$33,MATCH(Table1[[#This Row],[HomeTeam]],Standings!$A$2:$A$33,0),2),1,0)</f>
        <v>0</v>
      </c>
      <c r="AN1184" s="64" t="str">
        <f>INDEX(Table2[AWAY_RECORD], MATCH(Table1[[#This Row],[AwayTeam]],Table2[Team], 0), 0)</f>
        <v>0-0-0</v>
      </c>
      <c r="AO1184" s="64" t="str">
        <f>INDEX(Records!$B$2:$AG$33, MATCH(Table1[[#This Row],[AwayTeam]],Records!$A$2:$A$33, 0), MATCH(Table1[[#This Row],[HomeTeam]],Records!$A$2:$A$33, 0))</f>
        <v>0-0-0</v>
      </c>
      <c r="AP1184" s="64" t="str">
        <f>INDEX(Table2[HOME_RECORD], MATCH(Table1[[#This Row],[HomeTeam]],Table2[Team], 0), 0)</f>
        <v>0-0-1</v>
      </c>
      <c r="AQ1184" s="64" t="str">
        <f>INDEX(Records!$B$2:$AG$33, MATCH(Table1[[#This Row],[HomeTeam]],Records!$A$2:$A$33, 0), MATCH(Table1[[#This Row],[AwayTeam]],Records!$A$2:$A$33, 0))</f>
        <v>0-0-0</v>
      </c>
    </row>
    <row r="1185" spans="1:43" x14ac:dyDescent="0.25">
      <c r="A1185" s="1"/>
      <c r="D1185" t="s">
        <v>1526</v>
      </c>
      <c r="E1185" t="s">
        <v>166</v>
      </c>
      <c r="F1185" t="s">
        <v>1537</v>
      </c>
      <c r="G1185" t="s">
        <v>25</v>
      </c>
      <c r="H1185" t="s">
        <v>36</v>
      </c>
      <c r="L118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8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85" s="1"/>
      <c r="T1185" s="64" t="str">
        <f>IF(Table1[[#This Row],[ActualWinner]]="", "", IF(Table1[[#This Row],[AwayTeam]]=Table1[[#This Row],[ActualWinner]],Table1[[#This Row],[HomeTeam]],Table1[[#This Row],[AwayTeam]]))</f>
        <v/>
      </c>
      <c r="U1185" s="64">
        <f>Table1[[#This Row],[ActualAwayScore]]-Table1[[#This Row],[PredictedAwayScore]]</f>
        <v>0</v>
      </c>
      <c r="V1185" s="64">
        <f>Table1[[#This Row],[ActualHomeScore]]-Table1[[#This Row],[PredictedHomeScore]]</f>
        <v>0</v>
      </c>
      <c r="W1185" s="64">
        <f>(0.8*IF(Table1[[#This Row],[CorrectWinnerPrediction]]=1, 1, 0))+(0.1*IF(Table1[[#This Row],[CorrectAwayScorePrediction]]=1, 1, 0))+(0.1*IF(Table1[[#This Row],[CorrectHomeScorePrediction]]=1, 1, 0))</f>
        <v>0</v>
      </c>
      <c r="X118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85" s="64">
        <f>SUMIF(Table1[GameDate], Table1[[#This Row],[GameDate]], Table1[AwayGameGoalDiff])</f>
        <v>0</v>
      </c>
      <c r="AA1185" s="64">
        <f>SUMIF(Table1[GameDate], Table1[[#This Row],[GameDate]], Table1[HomeGameGoalDiff])</f>
        <v>0</v>
      </c>
      <c r="AB1185" s="64">
        <f>IF(ISBLANK(Table1[[#This Row],[ActualResult]]), 0, 1)</f>
        <v>0</v>
      </c>
      <c r="AC1185" s="64">
        <f>IF(ISBLANK(Table1[[#This Row],[ActualResult]]), 0, IF(Table1[[#This Row],[ActualWinner]]=Table1[[#This Row],[PredictedWinner]], 1, 0))</f>
        <v>0</v>
      </c>
      <c r="AD118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8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85" s="64">
        <f>IF(AND(Table1[[#This Row],[GameIsOver]]=1,Table1[[#This Row],[ActualAwayScore]]=0), 1,0)</f>
        <v>0</v>
      </c>
      <c r="AG1185" s="64">
        <f>IF(AND(Table1[[#This Row],[GameIsOver]]=1,Table1[[#This Row],[ActualHomeScore]]=0), 1,0)</f>
        <v>0</v>
      </c>
      <c r="AH1185" s="64">
        <f>IF(Table1[[#This Row],[GameIsOver]]=0,0,IF(Table1[[#This Row],[ActualWinner]]=Table1[[#This Row],[AwayTeam]], 1, 0))</f>
        <v>0</v>
      </c>
      <c r="AI1185" s="64">
        <f>IF(Table1[[#This Row],[GameIsOver]]=0,0,IF(Table1[[#This Row],[ActualWinner]]=Table1[[#This Row],[HomeTeam]], 1, 0))</f>
        <v>0</v>
      </c>
      <c r="AJ1185" s="64">
        <f>IF(INDEX(Standings!$A$2:$C$33,MATCH(Table1[[#This Row],[AwayTeam]],Standings!$A$2:$A$33,0),2)=INDEX(Standings!$A$2:$C$33,MATCH(Table1[[#This Row],[HomeTeam]],Standings!$A$2:$A$33,0),2),1,0)</f>
        <v>1</v>
      </c>
      <c r="AK1185" s="64">
        <f>IF(INDEX(Standings!$A$2:$C$33,MATCH(Table1[[#This Row],[AwayTeam]],Standings!$A$2:$A$33,0),3)=INDEX(Standings!$A$2:$C$33,MATCH(Table1[[#This Row],[HomeTeam]],Standings!$A$2:$A$33,0),3),1,0)</f>
        <v>1</v>
      </c>
      <c r="AL1185" s="64">
        <f>IF(Table1[[#This Row],[InterConf]]=1,IF(Table1[[#This Row],[InterDiv]]=0, 1, 0), 0)</f>
        <v>0</v>
      </c>
      <c r="AM1185" s="64">
        <f>IF(INDEX(Standings!$A$2:$C$33,MATCH(Table1[[#This Row],[AwayTeam]],Standings!$A$2:$A$33,0),2)&lt;&gt;INDEX(Standings!$A$2:$C$33,MATCH(Table1[[#This Row],[HomeTeam]],Standings!$A$2:$A$33,0),2),1,0)</f>
        <v>0</v>
      </c>
      <c r="AN1185" s="64" t="str">
        <f>INDEX(Table2[AWAY_RECORD], MATCH(Table1[[#This Row],[AwayTeam]],Table2[Team], 0), 0)</f>
        <v>0-0-0</v>
      </c>
      <c r="AO1185" s="64" t="str">
        <f>INDEX(Records!$B$2:$AG$33, MATCH(Table1[[#This Row],[AwayTeam]],Records!$A$2:$A$33, 0), MATCH(Table1[[#This Row],[HomeTeam]],Records!$A$2:$A$33, 0))</f>
        <v>0-0-0</v>
      </c>
      <c r="AP1185" s="64" t="str">
        <f>INDEX(Table2[HOME_RECORD], MATCH(Table1[[#This Row],[HomeTeam]],Table2[Team], 0), 0)</f>
        <v>0-0-0</v>
      </c>
      <c r="AQ1185" s="64" t="str">
        <f>INDEX(Records!$B$2:$AG$33, MATCH(Table1[[#This Row],[HomeTeam]],Records!$A$2:$A$33, 0), MATCH(Table1[[#This Row],[AwayTeam]],Records!$A$2:$A$33, 0))</f>
        <v>0-0-0</v>
      </c>
    </row>
    <row r="1186" spans="1:43" x14ac:dyDescent="0.25">
      <c r="A1186" s="1"/>
      <c r="D1186" t="s">
        <v>1526</v>
      </c>
      <c r="E1186" t="s">
        <v>166</v>
      </c>
      <c r="F1186" t="s">
        <v>1538</v>
      </c>
      <c r="G1186" t="s">
        <v>40</v>
      </c>
      <c r="H1186" t="s">
        <v>55</v>
      </c>
      <c r="L118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8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86" s="1"/>
      <c r="T1186" s="64" t="str">
        <f>IF(Table1[[#This Row],[ActualWinner]]="", "", IF(Table1[[#This Row],[AwayTeam]]=Table1[[#This Row],[ActualWinner]],Table1[[#This Row],[HomeTeam]],Table1[[#This Row],[AwayTeam]]))</f>
        <v/>
      </c>
      <c r="U1186" s="64">
        <f>Table1[[#This Row],[ActualAwayScore]]-Table1[[#This Row],[PredictedAwayScore]]</f>
        <v>0</v>
      </c>
      <c r="V1186" s="64">
        <f>Table1[[#This Row],[ActualHomeScore]]-Table1[[#This Row],[PredictedHomeScore]]</f>
        <v>0</v>
      </c>
      <c r="W1186" s="64">
        <f>(0.8*IF(Table1[[#This Row],[CorrectWinnerPrediction]]=1, 1, 0))+(0.1*IF(Table1[[#This Row],[CorrectAwayScorePrediction]]=1, 1, 0))+(0.1*IF(Table1[[#This Row],[CorrectHomeScorePrediction]]=1, 1, 0))</f>
        <v>0</v>
      </c>
      <c r="X118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86" s="64">
        <f>SUMIF(Table1[GameDate], Table1[[#This Row],[GameDate]], Table1[AwayGameGoalDiff])</f>
        <v>0</v>
      </c>
      <c r="AA1186" s="64">
        <f>SUMIF(Table1[GameDate], Table1[[#This Row],[GameDate]], Table1[HomeGameGoalDiff])</f>
        <v>0</v>
      </c>
      <c r="AB1186" s="64">
        <f>IF(ISBLANK(Table1[[#This Row],[ActualResult]]), 0, 1)</f>
        <v>0</v>
      </c>
      <c r="AC1186" s="64">
        <f>IF(ISBLANK(Table1[[#This Row],[ActualResult]]), 0, IF(Table1[[#This Row],[ActualWinner]]=Table1[[#This Row],[PredictedWinner]], 1, 0))</f>
        <v>0</v>
      </c>
      <c r="AD118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8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86" s="64">
        <f>IF(AND(Table1[[#This Row],[GameIsOver]]=1,Table1[[#This Row],[ActualAwayScore]]=0), 1,0)</f>
        <v>0</v>
      </c>
      <c r="AG1186" s="64">
        <f>IF(AND(Table1[[#This Row],[GameIsOver]]=1,Table1[[#This Row],[ActualHomeScore]]=0), 1,0)</f>
        <v>0</v>
      </c>
      <c r="AH1186" s="64">
        <f>IF(Table1[[#This Row],[GameIsOver]]=0,0,IF(Table1[[#This Row],[ActualWinner]]=Table1[[#This Row],[AwayTeam]], 1, 0))</f>
        <v>0</v>
      </c>
      <c r="AI1186" s="64">
        <f>IF(Table1[[#This Row],[GameIsOver]]=0,0,IF(Table1[[#This Row],[ActualWinner]]=Table1[[#This Row],[HomeTeam]], 1, 0))</f>
        <v>0</v>
      </c>
      <c r="AJ1186" s="64">
        <f>IF(INDEX(Standings!$A$2:$C$33,MATCH(Table1[[#This Row],[AwayTeam]],Standings!$A$2:$A$33,0),2)=INDEX(Standings!$A$2:$C$33,MATCH(Table1[[#This Row],[HomeTeam]],Standings!$A$2:$A$33,0),2),1,0)</f>
        <v>0</v>
      </c>
      <c r="AK1186" s="64">
        <f>IF(INDEX(Standings!$A$2:$C$33,MATCH(Table1[[#This Row],[AwayTeam]],Standings!$A$2:$A$33,0),3)=INDEX(Standings!$A$2:$C$33,MATCH(Table1[[#This Row],[HomeTeam]],Standings!$A$2:$A$33,0),3),1,0)</f>
        <v>0</v>
      </c>
      <c r="AL1186" s="64">
        <f>IF(Table1[[#This Row],[InterConf]]=1,IF(Table1[[#This Row],[InterDiv]]=0, 1, 0), 0)</f>
        <v>0</v>
      </c>
      <c r="AM1186" s="64">
        <f>IF(INDEX(Standings!$A$2:$C$33,MATCH(Table1[[#This Row],[AwayTeam]],Standings!$A$2:$A$33,0),2)&lt;&gt;INDEX(Standings!$A$2:$C$33,MATCH(Table1[[#This Row],[HomeTeam]],Standings!$A$2:$A$33,0),2),1,0)</f>
        <v>1</v>
      </c>
      <c r="AN1186" s="64" t="str">
        <f>INDEX(Table2[AWAY_RECORD], MATCH(Table1[[#This Row],[AwayTeam]],Table2[Team], 0), 0)</f>
        <v>0-0-0</v>
      </c>
      <c r="AO1186" s="64" t="str">
        <f>INDEX(Records!$B$2:$AG$33, MATCH(Table1[[#This Row],[AwayTeam]],Records!$A$2:$A$33, 0), MATCH(Table1[[#This Row],[HomeTeam]],Records!$A$2:$A$33, 0))</f>
        <v>0-0-0</v>
      </c>
      <c r="AP1186" s="64" t="str">
        <f>INDEX(Table2[HOME_RECORD], MATCH(Table1[[#This Row],[HomeTeam]],Table2[Team], 0), 0)</f>
        <v>0-1-0</v>
      </c>
      <c r="AQ1186" s="64" t="str">
        <f>INDEX(Records!$B$2:$AG$33, MATCH(Table1[[#This Row],[HomeTeam]],Records!$A$2:$A$33, 0), MATCH(Table1[[#This Row],[AwayTeam]],Records!$A$2:$A$33, 0))</f>
        <v>0-0-0</v>
      </c>
    </row>
    <row r="1187" spans="1:43" x14ac:dyDescent="0.25">
      <c r="A1187" s="1"/>
      <c r="D1187" t="s">
        <v>1539</v>
      </c>
      <c r="E1187" t="s">
        <v>432</v>
      </c>
      <c r="F1187" t="s">
        <v>1540</v>
      </c>
      <c r="G1187" t="s">
        <v>58</v>
      </c>
      <c r="H1187" t="s">
        <v>22</v>
      </c>
      <c r="L118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8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87" s="1"/>
      <c r="T1187" s="64" t="str">
        <f>IF(Table1[[#This Row],[ActualWinner]]="", "", IF(Table1[[#This Row],[AwayTeam]]=Table1[[#This Row],[ActualWinner]],Table1[[#This Row],[HomeTeam]],Table1[[#This Row],[AwayTeam]]))</f>
        <v/>
      </c>
      <c r="U1187" s="64">
        <f>Table1[[#This Row],[ActualAwayScore]]-Table1[[#This Row],[PredictedAwayScore]]</f>
        <v>0</v>
      </c>
      <c r="V1187" s="64">
        <f>Table1[[#This Row],[ActualHomeScore]]-Table1[[#This Row],[PredictedHomeScore]]</f>
        <v>0</v>
      </c>
      <c r="W1187" s="64">
        <f>(0.8*IF(Table1[[#This Row],[CorrectWinnerPrediction]]=1, 1, 0))+(0.1*IF(Table1[[#This Row],[CorrectAwayScorePrediction]]=1, 1, 0))+(0.1*IF(Table1[[#This Row],[CorrectHomeScorePrediction]]=1, 1, 0))</f>
        <v>0</v>
      </c>
      <c r="X118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87" s="64">
        <f>SUMIF(Table1[GameDate], Table1[[#This Row],[GameDate]], Table1[AwayGameGoalDiff])</f>
        <v>0</v>
      </c>
      <c r="AA1187" s="64">
        <f>SUMIF(Table1[GameDate], Table1[[#This Row],[GameDate]], Table1[HomeGameGoalDiff])</f>
        <v>0</v>
      </c>
      <c r="AB1187" s="64">
        <f>IF(ISBLANK(Table1[[#This Row],[ActualResult]]), 0, 1)</f>
        <v>0</v>
      </c>
      <c r="AC1187" s="64">
        <f>IF(ISBLANK(Table1[[#This Row],[ActualResult]]), 0, IF(Table1[[#This Row],[ActualWinner]]=Table1[[#This Row],[PredictedWinner]], 1, 0))</f>
        <v>0</v>
      </c>
      <c r="AD118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8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87" s="64">
        <f>IF(AND(Table1[[#This Row],[GameIsOver]]=1,Table1[[#This Row],[ActualAwayScore]]=0), 1,0)</f>
        <v>0</v>
      </c>
      <c r="AG1187" s="64">
        <f>IF(AND(Table1[[#This Row],[GameIsOver]]=1,Table1[[#This Row],[ActualHomeScore]]=0), 1,0)</f>
        <v>0</v>
      </c>
      <c r="AH1187" s="64">
        <f>IF(Table1[[#This Row],[GameIsOver]]=0,0,IF(Table1[[#This Row],[ActualWinner]]=Table1[[#This Row],[AwayTeam]], 1, 0))</f>
        <v>0</v>
      </c>
      <c r="AI1187" s="64">
        <f>IF(Table1[[#This Row],[GameIsOver]]=0,0,IF(Table1[[#This Row],[ActualWinner]]=Table1[[#This Row],[HomeTeam]], 1, 0))</f>
        <v>0</v>
      </c>
      <c r="AJ1187" s="64">
        <f>IF(INDEX(Standings!$A$2:$C$33,MATCH(Table1[[#This Row],[AwayTeam]],Standings!$A$2:$A$33,0),2)=INDEX(Standings!$A$2:$C$33,MATCH(Table1[[#This Row],[HomeTeam]],Standings!$A$2:$A$33,0),2),1,0)</f>
        <v>1</v>
      </c>
      <c r="AK1187" s="64">
        <f>IF(INDEX(Standings!$A$2:$C$33,MATCH(Table1[[#This Row],[AwayTeam]],Standings!$A$2:$A$33,0),3)=INDEX(Standings!$A$2:$C$33,MATCH(Table1[[#This Row],[HomeTeam]],Standings!$A$2:$A$33,0),3),1,0)</f>
        <v>1</v>
      </c>
      <c r="AL1187" s="64">
        <f>IF(Table1[[#This Row],[InterConf]]=1,IF(Table1[[#This Row],[InterDiv]]=0, 1, 0), 0)</f>
        <v>0</v>
      </c>
      <c r="AM1187" s="64">
        <f>IF(INDEX(Standings!$A$2:$C$33,MATCH(Table1[[#This Row],[AwayTeam]],Standings!$A$2:$A$33,0),2)&lt;&gt;INDEX(Standings!$A$2:$C$33,MATCH(Table1[[#This Row],[HomeTeam]],Standings!$A$2:$A$33,0),2),1,0)</f>
        <v>0</v>
      </c>
      <c r="AN1187" s="64" t="str">
        <f>INDEX(Table2[AWAY_RECORD], MATCH(Table1[[#This Row],[AwayTeam]],Table2[Team], 0), 0)</f>
        <v>0-0-0</v>
      </c>
      <c r="AO1187" s="64" t="str">
        <f>INDEX(Records!$B$2:$AG$33, MATCH(Table1[[#This Row],[AwayTeam]],Records!$A$2:$A$33, 0), MATCH(Table1[[#This Row],[HomeTeam]],Records!$A$2:$A$33, 0))</f>
        <v>0-0-0</v>
      </c>
      <c r="AP1187" s="64" t="str">
        <f>INDEX(Table2[HOME_RECORD], MATCH(Table1[[#This Row],[HomeTeam]],Table2[Team], 0), 0)</f>
        <v>0-0-0</v>
      </c>
      <c r="AQ1187" s="64" t="str">
        <f>INDEX(Records!$B$2:$AG$33, MATCH(Table1[[#This Row],[HomeTeam]],Records!$A$2:$A$33, 0), MATCH(Table1[[#This Row],[AwayTeam]],Records!$A$2:$A$33, 0))</f>
        <v>0-0-0</v>
      </c>
    </row>
    <row r="1188" spans="1:43" x14ac:dyDescent="0.25">
      <c r="A1188" s="1"/>
      <c r="D1188" t="s">
        <v>1539</v>
      </c>
      <c r="E1188" t="s">
        <v>386</v>
      </c>
      <c r="F1188" t="s">
        <v>1541</v>
      </c>
      <c r="G1188" t="s">
        <v>38</v>
      </c>
      <c r="H1188" t="s">
        <v>50</v>
      </c>
      <c r="L118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8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88" s="1"/>
      <c r="T1188" s="64" t="str">
        <f>IF(Table1[[#This Row],[ActualWinner]]="", "", IF(Table1[[#This Row],[AwayTeam]]=Table1[[#This Row],[ActualWinner]],Table1[[#This Row],[HomeTeam]],Table1[[#This Row],[AwayTeam]]))</f>
        <v/>
      </c>
      <c r="U1188" s="64">
        <f>Table1[[#This Row],[ActualAwayScore]]-Table1[[#This Row],[PredictedAwayScore]]</f>
        <v>0</v>
      </c>
      <c r="V1188" s="64">
        <f>Table1[[#This Row],[ActualHomeScore]]-Table1[[#This Row],[PredictedHomeScore]]</f>
        <v>0</v>
      </c>
      <c r="W1188" s="64">
        <f>(0.8*IF(Table1[[#This Row],[CorrectWinnerPrediction]]=1, 1, 0))+(0.1*IF(Table1[[#This Row],[CorrectAwayScorePrediction]]=1, 1, 0))+(0.1*IF(Table1[[#This Row],[CorrectHomeScorePrediction]]=1, 1, 0))</f>
        <v>0</v>
      </c>
      <c r="X118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88" s="64">
        <f>SUMIF(Table1[GameDate], Table1[[#This Row],[GameDate]], Table1[AwayGameGoalDiff])</f>
        <v>0</v>
      </c>
      <c r="AA1188" s="64">
        <f>SUMIF(Table1[GameDate], Table1[[#This Row],[GameDate]], Table1[HomeGameGoalDiff])</f>
        <v>0</v>
      </c>
      <c r="AB1188" s="64">
        <f>IF(ISBLANK(Table1[[#This Row],[ActualResult]]), 0, 1)</f>
        <v>0</v>
      </c>
      <c r="AC1188" s="64">
        <f>IF(ISBLANK(Table1[[#This Row],[ActualResult]]), 0, IF(Table1[[#This Row],[ActualWinner]]=Table1[[#This Row],[PredictedWinner]], 1, 0))</f>
        <v>0</v>
      </c>
      <c r="AD118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8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88" s="64">
        <f>IF(AND(Table1[[#This Row],[GameIsOver]]=1,Table1[[#This Row],[ActualAwayScore]]=0), 1,0)</f>
        <v>0</v>
      </c>
      <c r="AG1188" s="64">
        <f>IF(AND(Table1[[#This Row],[GameIsOver]]=1,Table1[[#This Row],[ActualHomeScore]]=0), 1,0)</f>
        <v>0</v>
      </c>
      <c r="AH1188" s="64">
        <f>IF(Table1[[#This Row],[GameIsOver]]=0,0,IF(Table1[[#This Row],[ActualWinner]]=Table1[[#This Row],[AwayTeam]], 1, 0))</f>
        <v>0</v>
      </c>
      <c r="AI1188" s="64">
        <f>IF(Table1[[#This Row],[GameIsOver]]=0,0,IF(Table1[[#This Row],[ActualWinner]]=Table1[[#This Row],[HomeTeam]], 1, 0))</f>
        <v>0</v>
      </c>
      <c r="AJ1188" s="64">
        <f>IF(INDEX(Standings!$A$2:$C$33,MATCH(Table1[[#This Row],[AwayTeam]],Standings!$A$2:$A$33,0),2)=INDEX(Standings!$A$2:$C$33,MATCH(Table1[[#This Row],[HomeTeam]],Standings!$A$2:$A$33,0),2),1,0)</f>
        <v>1</v>
      </c>
      <c r="AK1188" s="64">
        <f>IF(INDEX(Standings!$A$2:$C$33,MATCH(Table1[[#This Row],[AwayTeam]],Standings!$A$2:$A$33,0),3)=INDEX(Standings!$A$2:$C$33,MATCH(Table1[[#This Row],[HomeTeam]],Standings!$A$2:$A$33,0),3),1,0)</f>
        <v>0</v>
      </c>
      <c r="AL1188" s="64">
        <f>IF(Table1[[#This Row],[InterConf]]=1,IF(Table1[[#This Row],[InterDiv]]=0, 1, 0), 0)</f>
        <v>1</v>
      </c>
      <c r="AM1188" s="64">
        <f>IF(INDEX(Standings!$A$2:$C$33,MATCH(Table1[[#This Row],[AwayTeam]],Standings!$A$2:$A$33,0),2)&lt;&gt;INDEX(Standings!$A$2:$C$33,MATCH(Table1[[#This Row],[HomeTeam]],Standings!$A$2:$A$33,0),2),1,0)</f>
        <v>0</v>
      </c>
      <c r="AN1188" s="64" t="str">
        <f>INDEX(Table2[AWAY_RECORD], MATCH(Table1[[#This Row],[AwayTeam]],Table2[Team], 0), 0)</f>
        <v>0-0-1</v>
      </c>
      <c r="AO1188" s="64" t="str">
        <f>INDEX(Records!$B$2:$AG$33, MATCH(Table1[[#This Row],[AwayTeam]],Records!$A$2:$A$33, 0), MATCH(Table1[[#This Row],[HomeTeam]],Records!$A$2:$A$33, 0))</f>
        <v>0-0-0</v>
      </c>
      <c r="AP1188" s="64" t="str">
        <f>INDEX(Table2[HOME_RECORD], MATCH(Table1[[#This Row],[HomeTeam]],Table2[Team], 0), 0)</f>
        <v>0-0-0</v>
      </c>
      <c r="AQ1188" s="64" t="str">
        <f>INDEX(Records!$B$2:$AG$33, MATCH(Table1[[#This Row],[HomeTeam]],Records!$A$2:$A$33, 0), MATCH(Table1[[#This Row],[AwayTeam]],Records!$A$2:$A$33, 0))</f>
        <v>0-0-0</v>
      </c>
    </row>
    <row r="1189" spans="1:43" x14ac:dyDescent="0.25">
      <c r="A1189" s="1"/>
      <c r="D1189" t="s">
        <v>1539</v>
      </c>
      <c r="E1189" t="s">
        <v>158</v>
      </c>
      <c r="F1189" t="s">
        <v>1542</v>
      </c>
      <c r="G1189" t="s">
        <v>16</v>
      </c>
      <c r="H1189" t="s">
        <v>41</v>
      </c>
      <c r="L118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8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89" s="1"/>
      <c r="T1189" s="64" t="str">
        <f>IF(Table1[[#This Row],[ActualWinner]]="", "", IF(Table1[[#This Row],[AwayTeam]]=Table1[[#This Row],[ActualWinner]],Table1[[#This Row],[HomeTeam]],Table1[[#This Row],[AwayTeam]]))</f>
        <v/>
      </c>
      <c r="U1189" s="64">
        <f>Table1[[#This Row],[ActualAwayScore]]-Table1[[#This Row],[PredictedAwayScore]]</f>
        <v>0</v>
      </c>
      <c r="V1189" s="64">
        <f>Table1[[#This Row],[ActualHomeScore]]-Table1[[#This Row],[PredictedHomeScore]]</f>
        <v>0</v>
      </c>
      <c r="W1189" s="64">
        <f>(0.8*IF(Table1[[#This Row],[CorrectWinnerPrediction]]=1, 1, 0))+(0.1*IF(Table1[[#This Row],[CorrectAwayScorePrediction]]=1, 1, 0))+(0.1*IF(Table1[[#This Row],[CorrectHomeScorePrediction]]=1, 1, 0))</f>
        <v>0</v>
      </c>
      <c r="X118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89" s="64">
        <f>SUMIF(Table1[GameDate], Table1[[#This Row],[GameDate]], Table1[AwayGameGoalDiff])</f>
        <v>0</v>
      </c>
      <c r="AA1189" s="64">
        <f>SUMIF(Table1[GameDate], Table1[[#This Row],[GameDate]], Table1[HomeGameGoalDiff])</f>
        <v>0</v>
      </c>
      <c r="AB1189" s="64">
        <f>IF(ISBLANK(Table1[[#This Row],[ActualResult]]), 0, 1)</f>
        <v>0</v>
      </c>
      <c r="AC1189" s="64">
        <f>IF(ISBLANK(Table1[[#This Row],[ActualResult]]), 0, IF(Table1[[#This Row],[ActualWinner]]=Table1[[#This Row],[PredictedWinner]], 1, 0))</f>
        <v>0</v>
      </c>
      <c r="AD118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8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89" s="64">
        <f>IF(AND(Table1[[#This Row],[GameIsOver]]=1,Table1[[#This Row],[ActualAwayScore]]=0), 1,0)</f>
        <v>0</v>
      </c>
      <c r="AG1189" s="64">
        <f>IF(AND(Table1[[#This Row],[GameIsOver]]=1,Table1[[#This Row],[ActualHomeScore]]=0), 1,0)</f>
        <v>0</v>
      </c>
      <c r="AH1189" s="64">
        <f>IF(Table1[[#This Row],[GameIsOver]]=0,0,IF(Table1[[#This Row],[ActualWinner]]=Table1[[#This Row],[AwayTeam]], 1, 0))</f>
        <v>0</v>
      </c>
      <c r="AI1189" s="64">
        <f>IF(Table1[[#This Row],[GameIsOver]]=0,0,IF(Table1[[#This Row],[ActualWinner]]=Table1[[#This Row],[HomeTeam]], 1, 0))</f>
        <v>0</v>
      </c>
      <c r="AJ1189" s="64">
        <f>IF(INDEX(Standings!$A$2:$C$33,MATCH(Table1[[#This Row],[AwayTeam]],Standings!$A$2:$A$33,0),2)=INDEX(Standings!$A$2:$C$33,MATCH(Table1[[#This Row],[HomeTeam]],Standings!$A$2:$A$33,0),2),1,0)</f>
        <v>1</v>
      </c>
      <c r="AK1189" s="64">
        <f>IF(INDEX(Standings!$A$2:$C$33,MATCH(Table1[[#This Row],[AwayTeam]],Standings!$A$2:$A$33,0),3)=INDEX(Standings!$A$2:$C$33,MATCH(Table1[[#This Row],[HomeTeam]],Standings!$A$2:$A$33,0),3),1,0)</f>
        <v>1</v>
      </c>
      <c r="AL1189" s="64">
        <f>IF(Table1[[#This Row],[InterConf]]=1,IF(Table1[[#This Row],[InterDiv]]=0, 1, 0), 0)</f>
        <v>0</v>
      </c>
      <c r="AM1189" s="64">
        <f>IF(INDEX(Standings!$A$2:$C$33,MATCH(Table1[[#This Row],[AwayTeam]],Standings!$A$2:$A$33,0),2)&lt;&gt;INDEX(Standings!$A$2:$C$33,MATCH(Table1[[#This Row],[HomeTeam]],Standings!$A$2:$A$33,0),2),1,0)</f>
        <v>0</v>
      </c>
      <c r="AN1189" s="64" t="str">
        <f>INDEX(Table2[AWAY_RECORD], MATCH(Table1[[#This Row],[AwayTeam]],Table2[Team], 0), 0)</f>
        <v>1-0-1</v>
      </c>
      <c r="AO1189" s="64" t="str">
        <f>INDEX(Records!$B$2:$AG$33, MATCH(Table1[[#This Row],[AwayTeam]],Records!$A$2:$A$33, 0), MATCH(Table1[[#This Row],[HomeTeam]],Records!$A$2:$A$33, 0))</f>
        <v>0-0-0</v>
      </c>
      <c r="AP1189" s="64" t="str">
        <f>INDEX(Table2[HOME_RECORD], MATCH(Table1[[#This Row],[HomeTeam]],Table2[Team], 0), 0)</f>
        <v>0-0-1</v>
      </c>
      <c r="AQ1189" s="64" t="str">
        <f>INDEX(Records!$B$2:$AG$33, MATCH(Table1[[#This Row],[HomeTeam]],Records!$A$2:$A$33, 0), MATCH(Table1[[#This Row],[AwayTeam]],Records!$A$2:$A$33, 0))</f>
        <v>0-0-0</v>
      </c>
    </row>
    <row r="1190" spans="1:43" x14ac:dyDescent="0.25">
      <c r="A1190" s="1"/>
      <c r="D1190" t="s">
        <v>1539</v>
      </c>
      <c r="E1190" t="s">
        <v>160</v>
      </c>
      <c r="F1190" t="s">
        <v>1543</v>
      </c>
      <c r="G1190" t="s">
        <v>59</v>
      </c>
      <c r="H1190" t="s">
        <v>51</v>
      </c>
      <c r="L119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9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90" s="1"/>
      <c r="T1190" s="64" t="str">
        <f>IF(Table1[[#This Row],[ActualWinner]]="", "", IF(Table1[[#This Row],[AwayTeam]]=Table1[[#This Row],[ActualWinner]],Table1[[#This Row],[HomeTeam]],Table1[[#This Row],[AwayTeam]]))</f>
        <v/>
      </c>
      <c r="U1190" s="64">
        <f>Table1[[#This Row],[ActualAwayScore]]-Table1[[#This Row],[PredictedAwayScore]]</f>
        <v>0</v>
      </c>
      <c r="V1190" s="64">
        <f>Table1[[#This Row],[ActualHomeScore]]-Table1[[#This Row],[PredictedHomeScore]]</f>
        <v>0</v>
      </c>
      <c r="W1190" s="64">
        <f>(0.8*IF(Table1[[#This Row],[CorrectWinnerPrediction]]=1, 1, 0))+(0.1*IF(Table1[[#This Row],[CorrectAwayScorePrediction]]=1, 1, 0))+(0.1*IF(Table1[[#This Row],[CorrectHomeScorePrediction]]=1, 1, 0))</f>
        <v>0</v>
      </c>
      <c r="X119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90" s="64">
        <f>SUMIF(Table1[GameDate], Table1[[#This Row],[GameDate]], Table1[AwayGameGoalDiff])</f>
        <v>0</v>
      </c>
      <c r="AA1190" s="64">
        <f>SUMIF(Table1[GameDate], Table1[[#This Row],[GameDate]], Table1[HomeGameGoalDiff])</f>
        <v>0</v>
      </c>
      <c r="AB1190" s="64">
        <f>IF(ISBLANK(Table1[[#This Row],[ActualResult]]), 0, 1)</f>
        <v>0</v>
      </c>
      <c r="AC1190" s="64">
        <f>IF(ISBLANK(Table1[[#This Row],[ActualResult]]), 0, IF(Table1[[#This Row],[ActualWinner]]=Table1[[#This Row],[PredictedWinner]], 1, 0))</f>
        <v>0</v>
      </c>
      <c r="AD119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9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90" s="64">
        <f>IF(AND(Table1[[#This Row],[GameIsOver]]=1,Table1[[#This Row],[ActualAwayScore]]=0), 1,0)</f>
        <v>0</v>
      </c>
      <c r="AG1190" s="64">
        <f>IF(AND(Table1[[#This Row],[GameIsOver]]=1,Table1[[#This Row],[ActualHomeScore]]=0), 1,0)</f>
        <v>0</v>
      </c>
      <c r="AH1190" s="64">
        <f>IF(Table1[[#This Row],[GameIsOver]]=0,0,IF(Table1[[#This Row],[ActualWinner]]=Table1[[#This Row],[AwayTeam]], 1, 0))</f>
        <v>0</v>
      </c>
      <c r="AI1190" s="64">
        <f>IF(Table1[[#This Row],[GameIsOver]]=0,0,IF(Table1[[#This Row],[ActualWinner]]=Table1[[#This Row],[HomeTeam]], 1, 0))</f>
        <v>0</v>
      </c>
      <c r="AJ1190" s="64">
        <f>IF(INDEX(Standings!$A$2:$C$33,MATCH(Table1[[#This Row],[AwayTeam]],Standings!$A$2:$A$33,0),2)=INDEX(Standings!$A$2:$C$33,MATCH(Table1[[#This Row],[HomeTeam]],Standings!$A$2:$A$33,0),2),1,0)</f>
        <v>1</v>
      </c>
      <c r="AK1190" s="64">
        <f>IF(INDEX(Standings!$A$2:$C$33,MATCH(Table1[[#This Row],[AwayTeam]],Standings!$A$2:$A$33,0),3)=INDEX(Standings!$A$2:$C$33,MATCH(Table1[[#This Row],[HomeTeam]],Standings!$A$2:$A$33,0),3),1,0)</f>
        <v>1</v>
      </c>
      <c r="AL1190" s="64">
        <f>IF(Table1[[#This Row],[InterConf]]=1,IF(Table1[[#This Row],[InterDiv]]=0, 1, 0), 0)</f>
        <v>0</v>
      </c>
      <c r="AM1190" s="64">
        <f>IF(INDEX(Standings!$A$2:$C$33,MATCH(Table1[[#This Row],[AwayTeam]],Standings!$A$2:$A$33,0),2)&lt;&gt;INDEX(Standings!$A$2:$C$33,MATCH(Table1[[#This Row],[HomeTeam]],Standings!$A$2:$A$33,0),2),1,0)</f>
        <v>0</v>
      </c>
      <c r="AN1190" s="64" t="str">
        <f>INDEX(Table2[AWAY_RECORD], MATCH(Table1[[#This Row],[AwayTeam]],Table2[Team], 0), 0)</f>
        <v>0-1-0</v>
      </c>
      <c r="AO1190" s="64" t="str">
        <f>INDEX(Records!$B$2:$AG$33, MATCH(Table1[[#This Row],[AwayTeam]],Records!$A$2:$A$33, 0), MATCH(Table1[[#This Row],[HomeTeam]],Records!$A$2:$A$33, 0))</f>
        <v>0-0-0</v>
      </c>
      <c r="AP1190" s="64" t="str">
        <f>INDEX(Table2[HOME_RECORD], MATCH(Table1[[#This Row],[HomeTeam]],Table2[Team], 0), 0)</f>
        <v>1-0-0</v>
      </c>
      <c r="AQ1190" s="64" t="str">
        <f>INDEX(Records!$B$2:$AG$33, MATCH(Table1[[#This Row],[HomeTeam]],Records!$A$2:$A$33, 0), MATCH(Table1[[#This Row],[AwayTeam]],Records!$A$2:$A$33, 0))</f>
        <v>0-0-0</v>
      </c>
    </row>
    <row r="1191" spans="1:43" x14ac:dyDescent="0.25">
      <c r="A1191" s="1"/>
      <c r="D1191" t="s">
        <v>1539</v>
      </c>
      <c r="E1191" t="s">
        <v>162</v>
      </c>
      <c r="F1191" t="s">
        <v>1544</v>
      </c>
      <c r="G1191" t="s">
        <v>61</v>
      </c>
      <c r="H1191" t="s">
        <v>39</v>
      </c>
      <c r="L119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9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91" s="1"/>
      <c r="T1191" s="64" t="str">
        <f>IF(Table1[[#This Row],[ActualWinner]]="", "", IF(Table1[[#This Row],[AwayTeam]]=Table1[[#This Row],[ActualWinner]],Table1[[#This Row],[HomeTeam]],Table1[[#This Row],[AwayTeam]]))</f>
        <v/>
      </c>
      <c r="U1191" s="64">
        <f>Table1[[#This Row],[ActualAwayScore]]-Table1[[#This Row],[PredictedAwayScore]]</f>
        <v>0</v>
      </c>
      <c r="V1191" s="64">
        <f>Table1[[#This Row],[ActualHomeScore]]-Table1[[#This Row],[PredictedHomeScore]]</f>
        <v>0</v>
      </c>
      <c r="W1191" s="64">
        <f>(0.8*IF(Table1[[#This Row],[CorrectWinnerPrediction]]=1, 1, 0))+(0.1*IF(Table1[[#This Row],[CorrectAwayScorePrediction]]=1, 1, 0))+(0.1*IF(Table1[[#This Row],[CorrectHomeScorePrediction]]=1, 1, 0))</f>
        <v>0</v>
      </c>
      <c r="X119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91" s="64">
        <f>SUMIF(Table1[GameDate], Table1[[#This Row],[GameDate]], Table1[AwayGameGoalDiff])</f>
        <v>0</v>
      </c>
      <c r="AA1191" s="64">
        <f>SUMIF(Table1[GameDate], Table1[[#This Row],[GameDate]], Table1[HomeGameGoalDiff])</f>
        <v>0</v>
      </c>
      <c r="AB1191" s="64">
        <f>IF(ISBLANK(Table1[[#This Row],[ActualResult]]), 0, 1)</f>
        <v>0</v>
      </c>
      <c r="AC1191" s="64">
        <f>IF(ISBLANK(Table1[[#This Row],[ActualResult]]), 0, IF(Table1[[#This Row],[ActualWinner]]=Table1[[#This Row],[PredictedWinner]], 1, 0))</f>
        <v>0</v>
      </c>
      <c r="AD119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9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91" s="64">
        <f>IF(AND(Table1[[#This Row],[GameIsOver]]=1,Table1[[#This Row],[ActualAwayScore]]=0), 1,0)</f>
        <v>0</v>
      </c>
      <c r="AG1191" s="64">
        <f>IF(AND(Table1[[#This Row],[GameIsOver]]=1,Table1[[#This Row],[ActualHomeScore]]=0), 1,0)</f>
        <v>0</v>
      </c>
      <c r="AH1191" s="64">
        <f>IF(Table1[[#This Row],[GameIsOver]]=0,0,IF(Table1[[#This Row],[ActualWinner]]=Table1[[#This Row],[AwayTeam]], 1, 0))</f>
        <v>0</v>
      </c>
      <c r="AI1191" s="64">
        <f>IF(Table1[[#This Row],[GameIsOver]]=0,0,IF(Table1[[#This Row],[ActualWinner]]=Table1[[#This Row],[HomeTeam]], 1, 0))</f>
        <v>0</v>
      </c>
      <c r="AJ1191" s="64">
        <f>IF(INDEX(Standings!$A$2:$C$33,MATCH(Table1[[#This Row],[AwayTeam]],Standings!$A$2:$A$33,0),2)=INDEX(Standings!$A$2:$C$33,MATCH(Table1[[#This Row],[HomeTeam]],Standings!$A$2:$A$33,0),2),1,0)</f>
        <v>1</v>
      </c>
      <c r="AK1191" s="64">
        <f>IF(INDEX(Standings!$A$2:$C$33,MATCH(Table1[[#This Row],[AwayTeam]],Standings!$A$2:$A$33,0),3)=INDEX(Standings!$A$2:$C$33,MATCH(Table1[[#This Row],[HomeTeam]],Standings!$A$2:$A$33,0),3),1,0)</f>
        <v>0</v>
      </c>
      <c r="AL1191" s="64">
        <f>IF(Table1[[#This Row],[InterConf]]=1,IF(Table1[[#This Row],[InterDiv]]=0, 1, 0), 0)</f>
        <v>1</v>
      </c>
      <c r="AM1191" s="64">
        <f>IF(INDEX(Standings!$A$2:$C$33,MATCH(Table1[[#This Row],[AwayTeam]],Standings!$A$2:$A$33,0),2)&lt;&gt;INDEX(Standings!$A$2:$C$33,MATCH(Table1[[#This Row],[HomeTeam]],Standings!$A$2:$A$33,0),2),1,0)</f>
        <v>0</v>
      </c>
      <c r="AN1191" s="64" t="str">
        <f>INDEX(Table2[AWAY_RECORD], MATCH(Table1[[#This Row],[AwayTeam]],Table2[Team], 0), 0)</f>
        <v>0-0-0</v>
      </c>
      <c r="AO1191" s="64" t="str">
        <f>INDEX(Records!$B$2:$AG$33, MATCH(Table1[[#This Row],[AwayTeam]],Records!$A$2:$A$33, 0), MATCH(Table1[[#This Row],[HomeTeam]],Records!$A$2:$A$33, 0))</f>
        <v>0-0-0</v>
      </c>
      <c r="AP1191" s="64" t="str">
        <f>INDEX(Table2[HOME_RECORD], MATCH(Table1[[#This Row],[HomeTeam]],Table2[Team], 0), 0)</f>
        <v>0-1-0</v>
      </c>
      <c r="AQ1191" s="64" t="str">
        <f>INDEX(Records!$B$2:$AG$33, MATCH(Table1[[#This Row],[HomeTeam]],Records!$A$2:$A$33, 0), MATCH(Table1[[#This Row],[AwayTeam]],Records!$A$2:$A$33, 0))</f>
        <v>0-0-0</v>
      </c>
    </row>
    <row r="1192" spans="1:43" x14ac:dyDescent="0.25">
      <c r="A1192" s="1"/>
      <c r="D1192" t="s">
        <v>1539</v>
      </c>
      <c r="E1192" t="s">
        <v>162</v>
      </c>
      <c r="F1192" t="s">
        <v>1545</v>
      </c>
      <c r="G1192" t="s">
        <v>46</v>
      </c>
      <c r="H1192" t="s">
        <v>56</v>
      </c>
      <c r="L119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9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92" s="1"/>
      <c r="T1192" s="64" t="str">
        <f>IF(Table1[[#This Row],[ActualWinner]]="", "", IF(Table1[[#This Row],[AwayTeam]]=Table1[[#This Row],[ActualWinner]],Table1[[#This Row],[HomeTeam]],Table1[[#This Row],[AwayTeam]]))</f>
        <v/>
      </c>
      <c r="U1192" s="64">
        <f>Table1[[#This Row],[ActualAwayScore]]-Table1[[#This Row],[PredictedAwayScore]]</f>
        <v>0</v>
      </c>
      <c r="V1192" s="64">
        <f>Table1[[#This Row],[ActualHomeScore]]-Table1[[#This Row],[PredictedHomeScore]]</f>
        <v>0</v>
      </c>
      <c r="W1192" s="64">
        <f>(0.8*IF(Table1[[#This Row],[CorrectWinnerPrediction]]=1, 1, 0))+(0.1*IF(Table1[[#This Row],[CorrectAwayScorePrediction]]=1, 1, 0))+(0.1*IF(Table1[[#This Row],[CorrectHomeScorePrediction]]=1, 1, 0))</f>
        <v>0</v>
      </c>
      <c r="X119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92" s="64">
        <f>SUMIF(Table1[GameDate], Table1[[#This Row],[GameDate]], Table1[AwayGameGoalDiff])</f>
        <v>0</v>
      </c>
      <c r="AA1192" s="64">
        <f>SUMIF(Table1[GameDate], Table1[[#This Row],[GameDate]], Table1[HomeGameGoalDiff])</f>
        <v>0</v>
      </c>
      <c r="AB1192" s="64">
        <f>IF(ISBLANK(Table1[[#This Row],[ActualResult]]), 0, 1)</f>
        <v>0</v>
      </c>
      <c r="AC1192" s="64">
        <f>IF(ISBLANK(Table1[[#This Row],[ActualResult]]), 0, IF(Table1[[#This Row],[ActualWinner]]=Table1[[#This Row],[PredictedWinner]], 1, 0))</f>
        <v>0</v>
      </c>
      <c r="AD119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9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92" s="64">
        <f>IF(AND(Table1[[#This Row],[GameIsOver]]=1,Table1[[#This Row],[ActualAwayScore]]=0), 1,0)</f>
        <v>0</v>
      </c>
      <c r="AG1192" s="64">
        <f>IF(AND(Table1[[#This Row],[GameIsOver]]=1,Table1[[#This Row],[ActualHomeScore]]=0), 1,0)</f>
        <v>0</v>
      </c>
      <c r="AH1192" s="64">
        <f>IF(Table1[[#This Row],[GameIsOver]]=0,0,IF(Table1[[#This Row],[ActualWinner]]=Table1[[#This Row],[AwayTeam]], 1, 0))</f>
        <v>0</v>
      </c>
      <c r="AI1192" s="64">
        <f>IF(Table1[[#This Row],[GameIsOver]]=0,0,IF(Table1[[#This Row],[ActualWinner]]=Table1[[#This Row],[HomeTeam]], 1, 0))</f>
        <v>0</v>
      </c>
      <c r="AJ1192" s="64">
        <f>IF(INDEX(Standings!$A$2:$C$33,MATCH(Table1[[#This Row],[AwayTeam]],Standings!$A$2:$A$33,0),2)=INDEX(Standings!$A$2:$C$33,MATCH(Table1[[#This Row],[HomeTeam]],Standings!$A$2:$A$33,0),2),1,0)</f>
        <v>1</v>
      </c>
      <c r="AK1192" s="64">
        <f>IF(INDEX(Standings!$A$2:$C$33,MATCH(Table1[[#This Row],[AwayTeam]],Standings!$A$2:$A$33,0),3)=INDEX(Standings!$A$2:$C$33,MATCH(Table1[[#This Row],[HomeTeam]],Standings!$A$2:$A$33,0),3),1,0)</f>
        <v>1</v>
      </c>
      <c r="AL1192" s="64">
        <f>IF(Table1[[#This Row],[InterConf]]=1,IF(Table1[[#This Row],[InterDiv]]=0, 1, 0), 0)</f>
        <v>0</v>
      </c>
      <c r="AM1192" s="64">
        <f>IF(INDEX(Standings!$A$2:$C$33,MATCH(Table1[[#This Row],[AwayTeam]],Standings!$A$2:$A$33,0),2)&lt;&gt;INDEX(Standings!$A$2:$C$33,MATCH(Table1[[#This Row],[HomeTeam]],Standings!$A$2:$A$33,0),2),1,0)</f>
        <v>0</v>
      </c>
      <c r="AN1192" s="64" t="str">
        <f>INDEX(Table2[AWAY_RECORD], MATCH(Table1[[#This Row],[AwayTeam]],Table2[Team], 0), 0)</f>
        <v>1-0-0</v>
      </c>
      <c r="AO1192" s="64" t="str">
        <f>INDEX(Records!$B$2:$AG$33, MATCH(Table1[[#This Row],[AwayTeam]],Records!$A$2:$A$33, 0), MATCH(Table1[[#This Row],[HomeTeam]],Records!$A$2:$A$33, 0))</f>
        <v>0-0-0</v>
      </c>
      <c r="AP1192" s="64" t="str">
        <f>INDEX(Table2[HOME_RECORD], MATCH(Table1[[#This Row],[HomeTeam]],Table2[Team], 0), 0)</f>
        <v>0-0-0</v>
      </c>
      <c r="AQ1192" s="64" t="str">
        <f>INDEX(Records!$B$2:$AG$33, MATCH(Table1[[#This Row],[HomeTeam]],Records!$A$2:$A$33, 0), MATCH(Table1[[#This Row],[AwayTeam]],Records!$A$2:$A$33, 0))</f>
        <v>0-0-0</v>
      </c>
    </row>
    <row r="1193" spans="1:43" x14ac:dyDescent="0.25">
      <c r="A1193" s="1"/>
      <c r="D1193" t="s">
        <v>1539</v>
      </c>
      <c r="E1193" t="s">
        <v>178</v>
      </c>
      <c r="F1193" t="s">
        <v>1546</v>
      </c>
      <c r="G1193" t="s">
        <v>45</v>
      </c>
      <c r="H1193" t="s">
        <v>23</v>
      </c>
      <c r="L119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9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93" s="1"/>
      <c r="T1193" s="64" t="str">
        <f>IF(Table1[[#This Row],[ActualWinner]]="", "", IF(Table1[[#This Row],[AwayTeam]]=Table1[[#This Row],[ActualWinner]],Table1[[#This Row],[HomeTeam]],Table1[[#This Row],[AwayTeam]]))</f>
        <v/>
      </c>
      <c r="U1193" s="64">
        <f>Table1[[#This Row],[ActualAwayScore]]-Table1[[#This Row],[PredictedAwayScore]]</f>
        <v>0</v>
      </c>
      <c r="V1193" s="64">
        <f>Table1[[#This Row],[ActualHomeScore]]-Table1[[#This Row],[PredictedHomeScore]]</f>
        <v>0</v>
      </c>
      <c r="W1193" s="64">
        <f>(0.8*IF(Table1[[#This Row],[CorrectWinnerPrediction]]=1, 1, 0))+(0.1*IF(Table1[[#This Row],[CorrectAwayScorePrediction]]=1, 1, 0))+(0.1*IF(Table1[[#This Row],[CorrectHomeScorePrediction]]=1, 1, 0))</f>
        <v>0</v>
      </c>
      <c r="X119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93" s="64">
        <f>SUMIF(Table1[GameDate], Table1[[#This Row],[GameDate]], Table1[AwayGameGoalDiff])</f>
        <v>0</v>
      </c>
      <c r="AA1193" s="64">
        <f>SUMIF(Table1[GameDate], Table1[[#This Row],[GameDate]], Table1[HomeGameGoalDiff])</f>
        <v>0</v>
      </c>
      <c r="AB1193" s="64">
        <f>IF(ISBLANK(Table1[[#This Row],[ActualResult]]), 0, 1)</f>
        <v>0</v>
      </c>
      <c r="AC1193" s="64">
        <f>IF(ISBLANK(Table1[[#This Row],[ActualResult]]), 0, IF(Table1[[#This Row],[ActualWinner]]=Table1[[#This Row],[PredictedWinner]], 1, 0))</f>
        <v>0</v>
      </c>
      <c r="AD119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9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93" s="64">
        <f>IF(AND(Table1[[#This Row],[GameIsOver]]=1,Table1[[#This Row],[ActualAwayScore]]=0), 1,0)</f>
        <v>0</v>
      </c>
      <c r="AG1193" s="64">
        <f>IF(AND(Table1[[#This Row],[GameIsOver]]=1,Table1[[#This Row],[ActualHomeScore]]=0), 1,0)</f>
        <v>0</v>
      </c>
      <c r="AH1193" s="64">
        <f>IF(Table1[[#This Row],[GameIsOver]]=0,0,IF(Table1[[#This Row],[ActualWinner]]=Table1[[#This Row],[AwayTeam]], 1, 0))</f>
        <v>0</v>
      </c>
      <c r="AI1193" s="64">
        <f>IF(Table1[[#This Row],[GameIsOver]]=0,0,IF(Table1[[#This Row],[ActualWinner]]=Table1[[#This Row],[HomeTeam]], 1, 0))</f>
        <v>0</v>
      </c>
      <c r="AJ1193" s="64">
        <f>IF(INDEX(Standings!$A$2:$C$33,MATCH(Table1[[#This Row],[AwayTeam]],Standings!$A$2:$A$33,0),2)=INDEX(Standings!$A$2:$C$33,MATCH(Table1[[#This Row],[HomeTeam]],Standings!$A$2:$A$33,0),2),1,0)</f>
        <v>1</v>
      </c>
      <c r="AK1193" s="64">
        <f>IF(INDEX(Standings!$A$2:$C$33,MATCH(Table1[[#This Row],[AwayTeam]],Standings!$A$2:$A$33,0),3)=INDEX(Standings!$A$2:$C$33,MATCH(Table1[[#This Row],[HomeTeam]],Standings!$A$2:$A$33,0),3),1,0)</f>
        <v>1</v>
      </c>
      <c r="AL1193" s="64">
        <f>IF(Table1[[#This Row],[InterConf]]=1,IF(Table1[[#This Row],[InterDiv]]=0, 1, 0), 0)</f>
        <v>0</v>
      </c>
      <c r="AM1193" s="64">
        <f>IF(INDEX(Standings!$A$2:$C$33,MATCH(Table1[[#This Row],[AwayTeam]],Standings!$A$2:$A$33,0),2)&lt;&gt;INDEX(Standings!$A$2:$C$33,MATCH(Table1[[#This Row],[HomeTeam]],Standings!$A$2:$A$33,0),2),1,0)</f>
        <v>0</v>
      </c>
      <c r="AN1193" s="64" t="str">
        <f>INDEX(Table2[AWAY_RECORD], MATCH(Table1[[#This Row],[AwayTeam]],Table2[Team], 0), 0)</f>
        <v>1-0-0</v>
      </c>
      <c r="AO1193" s="64" t="str">
        <f>INDEX(Records!$B$2:$AG$33, MATCH(Table1[[#This Row],[AwayTeam]],Records!$A$2:$A$33, 0), MATCH(Table1[[#This Row],[HomeTeam]],Records!$A$2:$A$33, 0))</f>
        <v>2-0-0</v>
      </c>
      <c r="AP1193" s="64" t="str">
        <f>INDEX(Table2[HOME_RECORD], MATCH(Table1[[#This Row],[HomeTeam]],Table2[Team], 0), 0)</f>
        <v>0-0-1</v>
      </c>
      <c r="AQ1193" s="64" t="str">
        <f>INDEX(Records!$B$2:$AG$33, MATCH(Table1[[#This Row],[HomeTeam]],Records!$A$2:$A$33, 0), MATCH(Table1[[#This Row],[AwayTeam]],Records!$A$2:$A$33, 0))</f>
        <v>0-0-2</v>
      </c>
    </row>
    <row r="1194" spans="1:43" x14ac:dyDescent="0.25">
      <c r="A1194" s="1"/>
      <c r="D1194" t="s">
        <v>1547</v>
      </c>
      <c r="E1194" t="s">
        <v>160</v>
      </c>
      <c r="F1194" t="s">
        <v>1548</v>
      </c>
      <c r="G1194" t="s">
        <v>42</v>
      </c>
      <c r="H1194" t="s">
        <v>54</v>
      </c>
      <c r="L119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9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94" s="1"/>
      <c r="T1194" s="64" t="str">
        <f>IF(Table1[[#This Row],[ActualWinner]]="", "", IF(Table1[[#This Row],[AwayTeam]]=Table1[[#This Row],[ActualWinner]],Table1[[#This Row],[HomeTeam]],Table1[[#This Row],[AwayTeam]]))</f>
        <v/>
      </c>
      <c r="U1194" s="64">
        <f>Table1[[#This Row],[ActualAwayScore]]-Table1[[#This Row],[PredictedAwayScore]]</f>
        <v>0</v>
      </c>
      <c r="V1194" s="64">
        <f>Table1[[#This Row],[ActualHomeScore]]-Table1[[#This Row],[PredictedHomeScore]]</f>
        <v>0</v>
      </c>
      <c r="W1194" s="64">
        <f>(0.8*IF(Table1[[#This Row],[CorrectWinnerPrediction]]=1, 1, 0))+(0.1*IF(Table1[[#This Row],[CorrectAwayScorePrediction]]=1, 1, 0))+(0.1*IF(Table1[[#This Row],[CorrectHomeScorePrediction]]=1, 1, 0))</f>
        <v>0</v>
      </c>
      <c r="X119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94" s="64">
        <f>SUMIF(Table1[GameDate], Table1[[#This Row],[GameDate]], Table1[AwayGameGoalDiff])</f>
        <v>0</v>
      </c>
      <c r="AA1194" s="64">
        <f>SUMIF(Table1[GameDate], Table1[[#This Row],[GameDate]], Table1[HomeGameGoalDiff])</f>
        <v>0</v>
      </c>
      <c r="AB1194" s="64">
        <f>IF(ISBLANK(Table1[[#This Row],[ActualResult]]), 0, 1)</f>
        <v>0</v>
      </c>
      <c r="AC1194" s="64">
        <f>IF(ISBLANK(Table1[[#This Row],[ActualResult]]), 0, IF(Table1[[#This Row],[ActualWinner]]=Table1[[#This Row],[PredictedWinner]], 1, 0))</f>
        <v>0</v>
      </c>
      <c r="AD119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9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94" s="64">
        <f>IF(AND(Table1[[#This Row],[GameIsOver]]=1,Table1[[#This Row],[ActualAwayScore]]=0), 1,0)</f>
        <v>0</v>
      </c>
      <c r="AG1194" s="64">
        <f>IF(AND(Table1[[#This Row],[GameIsOver]]=1,Table1[[#This Row],[ActualHomeScore]]=0), 1,0)</f>
        <v>0</v>
      </c>
      <c r="AH1194" s="64">
        <f>IF(Table1[[#This Row],[GameIsOver]]=0,0,IF(Table1[[#This Row],[ActualWinner]]=Table1[[#This Row],[AwayTeam]], 1, 0))</f>
        <v>0</v>
      </c>
      <c r="AI1194" s="64">
        <f>IF(Table1[[#This Row],[GameIsOver]]=0,0,IF(Table1[[#This Row],[ActualWinner]]=Table1[[#This Row],[HomeTeam]], 1, 0))</f>
        <v>0</v>
      </c>
      <c r="AJ1194" s="64">
        <f>IF(INDEX(Standings!$A$2:$C$33,MATCH(Table1[[#This Row],[AwayTeam]],Standings!$A$2:$A$33,0),2)=INDEX(Standings!$A$2:$C$33,MATCH(Table1[[#This Row],[HomeTeam]],Standings!$A$2:$A$33,0),2),1,0)</f>
        <v>1</v>
      </c>
      <c r="AK1194" s="64">
        <f>IF(INDEX(Standings!$A$2:$C$33,MATCH(Table1[[#This Row],[AwayTeam]],Standings!$A$2:$A$33,0),3)=INDEX(Standings!$A$2:$C$33,MATCH(Table1[[#This Row],[HomeTeam]],Standings!$A$2:$A$33,0),3),1,0)</f>
        <v>1</v>
      </c>
      <c r="AL1194" s="64">
        <f>IF(Table1[[#This Row],[InterConf]]=1,IF(Table1[[#This Row],[InterDiv]]=0, 1, 0), 0)</f>
        <v>0</v>
      </c>
      <c r="AM1194" s="64">
        <f>IF(INDEX(Standings!$A$2:$C$33,MATCH(Table1[[#This Row],[AwayTeam]],Standings!$A$2:$A$33,0),2)&lt;&gt;INDEX(Standings!$A$2:$C$33,MATCH(Table1[[#This Row],[HomeTeam]],Standings!$A$2:$A$33,0),2),1,0)</f>
        <v>0</v>
      </c>
      <c r="AN1194" s="64" t="str">
        <f>INDEX(Table2[AWAY_RECORD], MATCH(Table1[[#This Row],[AwayTeam]],Table2[Team], 0), 0)</f>
        <v>0-0-0</v>
      </c>
      <c r="AO1194" s="64" t="str">
        <f>INDEX(Records!$B$2:$AG$33, MATCH(Table1[[#This Row],[AwayTeam]],Records!$A$2:$A$33, 0), MATCH(Table1[[#This Row],[HomeTeam]],Records!$A$2:$A$33, 0))</f>
        <v>0-0-0</v>
      </c>
      <c r="AP1194" s="64" t="str">
        <f>INDEX(Table2[HOME_RECORD], MATCH(Table1[[#This Row],[HomeTeam]],Table2[Team], 0), 0)</f>
        <v>0-0-0</v>
      </c>
      <c r="AQ1194" s="64" t="str">
        <f>INDEX(Records!$B$2:$AG$33, MATCH(Table1[[#This Row],[HomeTeam]],Records!$A$2:$A$33, 0), MATCH(Table1[[#This Row],[AwayTeam]],Records!$A$2:$A$33, 0))</f>
        <v>0-0-0</v>
      </c>
    </row>
    <row r="1195" spans="1:43" x14ac:dyDescent="0.25">
      <c r="A1195" s="1"/>
      <c r="D1195" t="s">
        <v>1547</v>
      </c>
      <c r="E1195" t="s">
        <v>169</v>
      </c>
      <c r="F1195" t="s">
        <v>1549</v>
      </c>
      <c r="G1195" t="s">
        <v>24</v>
      </c>
      <c r="H1195" t="s">
        <v>47</v>
      </c>
      <c r="L119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9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95" s="1"/>
      <c r="T1195" s="64" t="str">
        <f>IF(Table1[[#This Row],[ActualWinner]]="", "", IF(Table1[[#This Row],[AwayTeam]]=Table1[[#This Row],[ActualWinner]],Table1[[#This Row],[HomeTeam]],Table1[[#This Row],[AwayTeam]]))</f>
        <v/>
      </c>
      <c r="U1195" s="64">
        <f>Table1[[#This Row],[ActualAwayScore]]-Table1[[#This Row],[PredictedAwayScore]]</f>
        <v>0</v>
      </c>
      <c r="V1195" s="64">
        <f>Table1[[#This Row],[ActualHomeScore]]-Table1[[#This Row],[PredictedHomeScore]]</f>
        <v>0</v>
      </c>
      <c r="W1195" s="64">
        <f>(0.8*IF(Table1[[#This Row],[CorrectWinnerPrediction]]=1, 1, 0))+(0.1*IF(Table1[[#This Row],[CorrectAwayScorePrediction]]=1, 1, 0))+(0.1*IF(Table1[[#This Row],[CorrectHomeScorePrediction]]=1, 1, 0))</f>
        <v>0</v>
      </c>
      <c r="X119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95" s="64">
        <f>SUMIF(Table1[GameDate], Table1[[#This Row],[GameDate]], Table1[AwayGameGoalDiff])</f>
        <v>0</v>
      </c>
      <c r="AA1195" s="64">
        <f>SUMIF(Table1[GameDate], Table1[[#This Row],[GameDate]], Table1[HomeGameGoalDiff])</f>
        <v>0</v>
      </c>
      <c r="AB1195" s="64">
        <f>IF(ISBLANK(Table1[[#This Row],[ActualResult]]), 0, 1)</f>
        <v>0</v>
      </c>
      <c r="AC1195" s="64">
        <f>IF(ISBLANK(Table1[[#This Row],[ActualResult]]), 0, IF(Table1[[#This Row],[ActualWinner]]=Table1[[#This Row],[PredictedWinner]], 1, 0))</f>
        <v>0</v>
      </c>
      <c r="AD119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9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95" s="64">
        <f>IF(AND(Table1[[#This Row],[GameIsOver]]=1,Table1[[#This Row],[ActualAwayScore]]=0), 1,0)</f>
        <v>0</v>
      </c>
      <c r="AG1195" s="64">
        <f>IF(AND(Table1[[#This Row],[GameIsOver]]=1,Table1[[#This Row],[ActualHomeScore]]=0), 1,0)</f>
        <v>0</v>
      </c>
      <c r="AH1195" s="64">
        <f>IF(Table1[[#This Row],[GameIsOver]]=0,0,IF(Table1[[#This Row],[ActualWinner]]=Table1[[#This Row],[AwayTeam]], 1, 0))</f>
        <v>0</v>
      </c>
      <c r="AI1195" s="64">
        <f>IF(Table1[[#This Row],[GameIsOver]]=0,0,IF(Table1[[#This Row],[ActualWinner]]=Table1[[#This Row],[HomeTeam]], 1, 0))</f>
        <v>0</v>
      </c>
      <c r="AJ1195" s="64">
        <f>IF(INDEX(Standings!$A$2:$C$33,MATCH(Table1[[#This Row],[AwayTeam]],Standings!$A$2:$A$33,0),2)=INDEX(Standings!$A$2:$C$33,MATCH(Table1[[#This Row],[HomeTeam]],Standings!$A$2:$A$33,0),2),1,0)</f>
        <v>1</v>
      </c>
      <c r="AK1195" s="64">
        <f>IF(INDEX(Standings!$A$2:$C$33,MATCH(Table1[[#This Row],[AwayTeam]],Standings!$A$2:$A$33,0),3)=INDEX(Standings!$A$2:$C$33,MATCH(Table1[[#This Row],[HomeTeam]],Standings!$A$2:$A$33,0),3),1,0)</f>
        <v>1</v>
      </c>
      <c r="AL1195" s="64">
        <f>IF(Table1[[#This Row],[InterConf]]=1,IF(Table1[[#This Row],[InterDiv]]=0, 1, 0), 0)</f>
        <v>0</v>
      </c>
      <c r="AM1195" s="64">
        <f>IF(INDEX(Standings!$A$2:$C$33,MATCH(Table1[[#This Row],[AwayTeam]],Standings!$A$2:$A$33,0),2)&lt;&gt;INDEX(Standings!$A$2:$C$33,MATCH(Table1[[#This Row],[HomeTeam]],Standings!$A$2:$A$33,0),2),1,0)</f>
        <v>0</v>
      </c>
      <c r="AN1195" s="64" t="str">
        <f>INDEX(Table2[AWAY_RECORD], MATCH(Table1[[#This Row],[AwayTeam]],Table2[Team], 0), 0)</f>
        <v>0-0-0</v>
      </c>
      <c r="AO1195" s="64" t="str">
        <f>INDEX(Records!$B$2:$AG$33, MATCH(Table1[[#This Row],[AwayTeam]],Records!$A$2:$A$33, 0), MATCH(Table1[[#This Row],[HomeTeam]],Records!$A$2:$A$33, 0))</f>
        <v>0-1-0</v>
      </c>
      <c r="AP1195" s="64" t="str">
        <f>INDEX(Table2[HOME_RECORD], MATCH(Table1[[#This Row],[HomeTeam]],Table2[Team], 0), 0)</f>
        <v>0-0-0</v>
      </c>
      <c r="AQ1195" s="64" t="str">
        <f>INDEX(Records!$B$2:$AG$33, MATCH(Table1[[#This Row],[HomeTeam]],Records!$A$2:$A$33, 0), MATCH(Table1[[#This Row],[AwayTeam]],Records!$A$2:$A$33, 0))</f>
        <v>1-0-0</v>
      </c>
    </row>
    <row r="1196" spans="1:43" x14ac:dyDescent="0.25">
      <c r="A1196" s="1"/>
      <c r="D1196" t="s">
        <v>1547</v>
      </c>
      <c r="E1196" t="s">
        <v>164</v>
      </c>
      <c r="F1196" t="s">
        <v>1550</v>
      </c>
      <c r="G1196" t="s">
        <v>55</v>
      </c>
      <c r="H1196" t="s">
        <v>36</v>
      </c>
      <c r="L119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9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96" s="1"/>
      <c r="T1196" s="64" t="str">
        <f>IF(Table1[[#This Row],[ActualWinner]]="", "", IF(Table1[[#This Row],[AwayTeam]]=Table1[[#This Row],[ActualWinner]],Table1[[#This Row],[HomeTeam]],Table1[[#This Row],[AwayTeam]]))</f>
        <v/>
      </c>
      <c r="U1196" s="64">
        <f>Table1[[#This Row],[ActualAwayScore]]-Table1[[#This Row],[PredictedAwayScore]]</f>
        <v>0</v>
      </c>
      <c r="V1196" s="64">
        <f>Table1[[#This Row],[ActualHomeScore]]-Table1[[#This Row],[PredictedHomeScore]]</f>
        <v>0</v>
      </c>
      <c r="W1196" s="64">
        <f>(0.8*IF(Table1[[#This Row],[CorrectWinnerPrediction]]=1, 1, 0))+(0.1*IF(Table1[[#This Row],[CorrectAwayScorePrediction]]=1, 1, 0))+(0.1*IF(Table1[[#This Row],[CorrectHomeScorePrediction]]=1, 1, 0))</f>
        <v>0</v>
      </c>
      <c r="X119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96" s="64">
        <f>SUMIF(Table1[GameDate], Table1[[#This Row],[GameDate]], Table1[AwayGameGoalDiff])</f>
        <v>0</v>
      </c>
      <c r="AA1196" s="64">
        <f>SUMIF(Table1[GameDate], Table1[[#This Row],[GameDate]], Table1[HomeGameGoalDiff])</f>
        <v>0</v>
      </c>
      <c r="AB1196" s="64">
        <f>IF(ISBLANK(Table1[[#This Row],[ActualResult]]), 0, 1)</f>
        <v>0</v>
      </c>
      <c r="AC1196" s="64">
        <f>IF(ISBLANK(Table1[[#This Row],[ActualResult]]), 0, IF(Table1[[#This Row],[ActualWinner]]=Table1[[#This Row],[PredictedWinner]], 1, 0))</f>
        <v>0</v>
      </c>
      <c r="AD119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9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96" s="64">
        <f>IF(AND(Table1[[#This Row],[GameIsOver]]=1,Table1[[#This Row],[ActualAwayScore]]=0), 1,0)</f>
        <v>0</v>
      </c>
      <c r="AG1196" s="64">
        <f>IF(AND(Table1[[#This Row],[GameIsOver]]=1,Table1[[#This Row],[ActualHomeScore]]=0), 1,0)</f>
        <v>0</v>
      </c>
      <c r="AH1196" s="64">
        <f>IF(Table1[[#This Row],[GameIsOver]]=0,0,IF(Table1[[#This Row],[ActualWinner]]=Table1[[#This Row],[AwayTeam]], 1, 0))</f>
        <v>0</v>
      </c>
      <c r="AI1196" s="64">
        <f>IF(Table1[[#This Row],[GameIsOver]]=0,0,IF(Table1[[#This Row],[ActualWinner]]=Table1[[#This Row],[HomeTeam]], 1, 0))</f>
        <v>0</v>
      </c>
      <c r="AJ1196" s="64">
        <f>IF(INDEX(Standings!$A$2:$C$33,MATCH(Table1[[#This Row],[AwayTeam]],Standings!$A$2:$A$33,0),2)=INDEX(Standings!$A$2:$C$33,MATCH(Table1[[#This Row],[HomeTeam]],Standings!$A$2:$A$33,0),2),1,0)</f>
        <v>1</v>
      </c>
      <c r="AK1196" s="64">
        <f>IF(INDEX(Standings!$A$2:$C$33,MATCH(Table1[[#This Row],[AwayTeam]],Standings!$A$2:$A$33,0),3)=INDEX(Standings!$A$2:$C$33,MATCH(Table1[[#This Row],[HomeTeam]],Standings!$A$2:$A$33,0),3),1,0)</f>
        <v>1</v>
      </c>
      <c r="AL1196" s="64">
        <f>IF(Table1[[#This Row],[InterConf]]=1,IF(Table1[[#This Row],[InterDiv]]=0, 1, 0), 0)</f>
        <v>0</v>
      </c>
      <c r="AM1196" s="64">
        <f>IF(INDEX(Standings!$A$2:$C$33,MATCH(Table1[[#This Row],[AwayTeam]],Standings!$A$2:$A$33,0),2)&lt;&gt;INDEX(Standings!$A$2:$C$33,MATCH(Table1[[#This Row],[HomeTeam]],Standings!$A$2:$A$33,0),2),1,0)</f>
        <v>0</v>
      </c>
      <c r="AN1196" s="64" t="str">
        <f>INDEX(Table2[AWAY_RECORD], MATCH(Table1[[#This Row],[AwayTeam]],Table2[Team], 0), 0)</f>
        <v>0-0-0</v>
      </c>
      <c r="AO1196" s="64" t="str">
        <f>INDEX(Records!$B$2:$AG$33, MATCH(Table1[[#This Row],[AwayTeam]],Records!$A$2:$A$33, 0), MATCH(Table1[[#This Row],[HomeTeam]],Records!$A$2:$A$33, 0))</f>
        <v>0-0-0</v>
      </c>
      <c r="AP1196" s="64" t="str">
        <f>INDEX(Table2[HOME_RECORD], MATCH(Table1[[#This Row],[HomeTeam]],Table2[Team], 0), 0)</f>
        <v>0-0-0</v>
      </c>
      <c r="AQ1196" s="64" t="str">
        <f>INDEX(Records!$B$2:$AG$33, MATCH(Table1[[#This Row],[HomeTeam]],Records!$A$2:$A$33, 0), MATCH(Table1[[#This Row],[AwayTeam]],Records!$A$2:$A$33, 0))</f>
        <v>0-0-0</v>
      </c>
    </row>
    <row r="1197" spans="1:43" x14ac:dyDescent="0.25">
      <c r="A1197" s="1"/>
      <c r="D1197" t="s">
        <v>1551</v>
      </c>
      <c r="E1197" t="s">
        <v>160</v>
      </c>
      <c r="F1197" t="s">
        <v>1552</v>
      </c>
      <c r="G1197" t="s">
        <v>38</v>
      </c>
      <c r="H1197" t="s">
        <v>37</v>
      </c>
      <c r="L119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9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97" s="1"/>
      <c r="T1197" s="64" t="str">
        <f>IF(Table1[[#This Row],[ActualWinner]]="", "", IF(Table1[[#This Row],[AwayTeam]]=Table1[[#This Row],[ActualWinner]],Table1[[#This Row],[HomeTeam]],Table1[[#This Row],[AwayTeam]]))</f>
        <v/>
      </c>
      <c r="U1197" s="64">
        <f>Table1[[#This Row],[ActualAwayScore]]-Table1[[#This Row],[PredictedAwayScore]]</f>
        <v>0</v>
      </c>
      <c r="V1197" s="64">
        <f>Table1[[#This Row],[ActualHomeScore]]-Table1[[#This Row],[PredictedHomeScore]]</f>
        <v>0</v>
      </c>
      <c r="W1197" s="64">
        <f>(0.8*IF(Table1[[#This Row],[CorrectWinnerPrediction]]=1, 1, 0))+(0.1*IF(Table1[[#This Row],[CorrectAwayScorePrediction]]=1, 1, 0))+(0.1*IF(Table1[[#This Row],[CorrectHomeScorePrediction]]=1, 1, 0))</f>
        <v>0</v>
      </c>
      <c r="X119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97" s="64">
        <f>SUMIF(Table1[GameDate], Table1[[#This Row],[GameDate]], Table1[AwayGameGoalDiff])</f>
        <v>0</v>
      </c>
      <c r="AA1197" s="64">
        <f>SUMIF(Table1[GameDate], Table1[[#This Row],[GameDate]], Table1[HomeGameGoalDiff])</f>
        <v>0</v>
      </c>
      <c r="AB1197" s="64">
        <f>IF(ISBLANK(Table1[[#This Row],[ActualResult]]), 0, 1)</f>
        <v>0</v>
      </c>
      <c r="AC1197" s="64">
        <f>IF(ISBLANK(Table1[[#This Row],[ActualResult]]), 0, IF(Table1[[#This Row],[ActualWinner]]=Table1[[#This Row],[PredictedWinner]], 1, 0))</f>
        <v>0</v>
      </c>
      <c r="AD119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9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97" s="64">
        <f>IF(AND(Table1[[#This Row],[GameIsOver]]=1,Table1[[#This Row],[ActualAwayScore]]=0), 1,0)</f>
        <v>0</v>
      </c>
      <c r="AG1197" s="64">
        <f>IF(AND(Table1[[#This Row],[GameIsOver]]=1,Table1[[#This Row],[ActualHomeScore]]=0), 1,0)</f>
        <v>0</v>
      </c>
      <c r="AH1197" s="64">
        <f>IF(Table1[[#This Row],[GameIsOver]]=0,0,IF(Table1[[#This Row],[ActualWinner]]=Table1[[#This Row],[AwayTeam]], 1, 0))</f>
        <v>0</v>
      </c>
      <c r="AI1197" s="64">
        <f>IF(Table1[[#This Row],[GameIsOver]]=0,0,IF(Table1[[#This Row],[ActualWinner]]=Table1[[#This Row],[HomeTeam]], 1, 0))</f>
        <v>0</v>
      </c>
      <c r="AJ1197" s="64">
        <f>IF(INDEX(Standings!$A$2:$C$33,MATCH(Table1[[#This Row],[AwayTeam]],Standings!$A$2:$A$33,0),2)=INDEX(Standings!$A$2:$C$33,MATCH(Table1[[#This Row],[HomeTeam]],Standings!$A$2:$A$33,0),2),1,0)</f>
        <v>1</v>
      </c>
      <c r="AK1197" s="64">
        <f>IF(INDEX(Standings!$A$2:$C$33,MATCH(Table1[[#This Row],[AwayTeam]],Standings!$A$2:$A$33,0),3)=INDEX(Standings!$A$2:$C$33,MATCH(Table1[[#This Row],[HomeTeam]],Standings!$A$2:$A$33,0),3),1,0)</f>
        <v>1</v>
      </c>
      <c r="AL1197" s="64">
        <f>IF(Table1[[#This Row],[InterConf]]=1,IF(Table1[[#This Row],[InterDiv]]=0, 1, 0), 0)</f>
        <v>0</v>
      </c>
      <c r="AM1197" s="64">
        <f>IF(INDEX(Standings!$A$2:$C$33,MATCH(Table1[[#This Row],[AwayTeam]],Standings!$A$2:$A$33,0),2)&lt;&gt;INDEX(Standings!$A$2:$C$33,MATCH(Table1[[#This Row],[HomeTeam]],Standings!$A$2:$A$33,0),2),1,0)</f>
        <v>0</v>
      </c>
      <c r="AN1197" s="64" t="str">
        <f>INDEX(Table2[AWAY_RECORD], MATCH(Table1[[#This Row],[AwayTeam]],Table2[Team], 0), 0)</f>
        <v>0-0-1</v>
      </c>
      <c r="AO1197" s="64" t="str">
        <f>INDEX(Records!$B$2:$AG$33, MATCH(Table1[[#This Row],[AwayTeam]],Records!$A$2:$A$33, 0), MATCH(Table1[[#This Row],[HomeTeam]],Records!$A$2:$A$33, 0))</f>
        <v>0-0-0</v>
      </c>
      <c r="AP1197" s="64" t="str">
        <f>INDEX(Table2[HOME_RECORD], MATCH(Table1[[#This Row],[HomeTeam]],Table2[Team], 0), 0)</f>
        <v>0-1-0</v>
      </c>
      <c r="AQ1197" s="64" t="str">
        <f>INDEX(Records!$B$2:$AG$33, MATCH(Table1[[#This Row],[HomeTeam]],Records!$A$2:$A$33, 0), MATCH(Table1[[#This Row],[AwayTeam]],Records!$A$2:$A$33, 0))</f>
        <v>0-0-0</v>
      </c>
    </row>
    <row r="1198" spans="1:43" x14ac:dyDescent="0.25">
      <c r="A1198" s="1"/>
      <c r="D1198" t="s">
        <v>1551</v>
      </c>
      <c r="E1198" t="s">
        <v>160</v>
      </c>
      <c r="F1198" t="s">
        <v>1553</v>
      </c>
      <c r="G1198" t="s">
        <v>17</v>
      </c>
      <c r="H1198" t="s">
        <v>57</v>
      </c>
      <c r="L119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9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98" s="1"/>
      <c r="T1198" s="64" t="str">
        <f>IF(Table1[[#This Row],[ActualWinner]]="", "", IF(Table1[[#This Row],[AwayTeam]]=Table1[[#This Row],[ActualWinner]],Table1[[#This Row],[HomeTeam]],Table1[[#This Row],[AwayTeam]]))</f>
        <v/>
      </c>
      <c r="U1198" s="64">
        <f>Table1[[#This Row],[ActualAwayScore]]-Table1[[#This Row],[PredictedAwayScore]]</f>
        <v>0</v>
      </c>
      <c r="V1198" s="64">
        <f>Table1[[#This Row],[ActualHomeScore]]-Table1[[#This Row],[PredictedHomeScore]]</f>
        <v>0</v>
      </c>
      <c r="W1198" s="64">
        <f>(0.8*IF(Table1[[#This Row],[CorrectWinnerPrediction]]=1, 1, 0))+(0.1*IF(Table1[[#This Row],[CorrectAwayScorePrediction]]=1, 1, 0))+(0.1*IF(Table1[[#This Row],[CorrectHomeScorePrediction]]=1, 1, 0))</f>
        <v>0</v>
      </c>
      <c r="X119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98" s="64">
        <f>SUMIF(Table1[GameDate], Table1[[#This Row],[GameDate]], Table1[AwayGameGoalDiff])</f>
        <v>0</v>
      </c>
      <c r="AA1198" s="64">
        <f>SUMIF(Table1[GameDate], Table1[[#This Row],[GameDate]], Table1[HomeGameGoalDiff])</f>
        <v>0</v>
      </c>
      <c r="AB1198" s="64">
        <f>IF(ISBLANK(Table1[[#This Row],[ActualResult]]), 0, 1)</f>
        <v>0</v>
      </c>
      <c r="AC1198" s="64">
        <f>IF(ISBLANK(Table1[[#This Row],[ActualResult]]), 0, IF(Table1[[#This Row],[ActualWinner]]=Table1[[#This Row],[PredictedWinner]], 1, 0))</f>
        <v>0</v>
      </c>
      <c r="AD119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9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98" s="64">
        <f>IF(AND(Table1[[#This Row],[GameIsOver]]=1,Table1[[#This Row],[ActualAwayScore]]=0), 1,0)</f>
        <v>0</v>
      </c>
      <c r="AG1198" s="64">
        <f>IF(AND(Table1[[#This Row],[GameIsOver]]=1,Table1[[#This Row],[ActualHomeScore]]=0), 1,0)</f>
        <v>0</v>
      </c>
      <c r="AH1198" s="64">
        <f>IF(Table1[[#This Row],[GameIsOver]]=0,0,IF(Table1[[#This Row],[ActualWinner]]=Table1[[#This Row],[AwayTeam]], 1, 0))</f>
        <v>0</v>
      </c>
      <c r="AI1198" s="64">
        <f>IF(Table1[[#This Row],[GameIsOver]]=0,0,IF(Table1[[#This Row],[ActualWinner]]=Table1[[#This Row],[HomeTeam]], 1, 0))</f>
        <v>0</v>
      </c>
      <c r="AJ1198" s="64">
        <f>IF(INDEX(Standings!$A$2:$C$33,MATCH(Table1[[#This Row],[AwayTeam]],Standings!$A$2:$A$33,0),2)=INDEX(Standings!$A$2:$C$33,MATCH(Table1[[#This Row],[HomeTeam]],Standings!$A$2:$A$33,0),2),1,0)</f>
        <v>1</v>
      </c>
      <c r="AK1198" s="64">
        <f>IF(INDEX(Standings!$A$2:$C$33,MATCH(Table1[[#This Row],[AwayTeam]],Standings!$A$2:$A$33,0),3)=INDEX(Standings!$A$2:$C$33,MATCH(Table1[[#This Row],[HomeTeam]],Standings!$A$2:$A$33,0),3),1,0)</f>
        <v>1</v>
      </c>
      <c r="AL1198" s="64">
        <f>IF(Table1[[#This Row],[InterConf]]=1,IF(Table1[[#This Row],[InterDiv]]=0, 1, 0), 0)</f>
        <v>0</v>
      </c>
      <c r="AM1198" s="64">
        <f>IF(INDEX(Standings!$A$2:$C$33,MATCH(Table1[[#This Row],[AwayTeam]],Standings!$A$2:$A$33,0),2)&lt;&gt;INDEX(Standings!$A$2:$C$33,MATCH(Table1[[#This Row],[HomeTeam]],Standings!$A$2:$A$33,0),2),1,0)</f>
        <v>0</v>
      </c>
      <c r="AN1198" s="64" t="str">
        <f>INDEX(Table2[AWAY_RECORD], MATCH(Table1[[#This Row],[AwayTeam]],Table2[Team], 0), 0)</f>
        <v>2-0-0</v>
      </c>
      <c r="AO1198" s="64" t="str">
        <f>INDEX(Records!$B$2:$AG$33, MATCH(Table1[[#This Row],[AwayTeam]],Records!$A$2:$A$33, 0), MATCH(Table1[[#This Row],[HomeTeam]],Records!$A$2:$A$33, 0))</f>
        <v>0-0-0</v>
      </c>
      <c r="AP1198" s="64" t="str">
        <f>INDEX(Table2[HOME_RECORD], MATCH(Table1[[#This Row],[HomeTeam]],Table2[Team], 0), 0)</f>
        <v>0-0-0</v>
      </c>
      <c r="AQ1198" s="64" t="str">
        <f>INDEX(Records!$B$2:$AG$33, MATCH(Table1[[#This Row],[HomeTeam]],Records!$A$2:$A$33, 0), MATCH(Table1[[#This Row],[AwayTeam]],Records!$A$2:$A$33, 0))</f>
        <v>0-0-0</v>
      </c>
    </row>
    <row r="1199" spans="1:43" x14ac:dyDescent="0.25">
      <c r="A1199" s="1"/>
      <c r="D1199" t="s">
        <v>1551</v>
      </c>
      <c r="E1199" t="s">
        <v>160</v>
      </c>
      <c r="F1199" t="s">
        <v>1554</v>
      </c>
      <c r="G1199" t="s">
        <v>53</v>
      </c>
      <c r="H1199" t="s">
        <v>49</v>
      </c>
      <c r="L119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19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199" s="1"/>
      <c r="T1199" s="64" t="str">
        <f>IF(Table1[[#This Row],[ActualWinner]]="", "", IF(Table1[[#This Row],[AwayTeam]]=Table1[[#This Row],[ActualWinner]],Table1[[#This Row],[HomeTeam]],Table1[[#This Row],[AwayTeam]]))</f>
        <v/>
      </c>
      <c r="U1199" s="64">
        <f>Table1[[#This Row],[ActualAwayScore]]-Table1[[#This Row],[PredictedAwayScore]]</f>
        <v>0</v>
      </c>
      <c r="V1199" s="64">
        <f>Table1[[#This Row],[ActualHomeScore]]-Table1[[#This Row],[PredictedHomeScore]]</f>
        <v>0</v>
      </c>
      <c r="W1199" s="64">
        <f>(0.8*IF(Table1[[#This Row],[CorrectWinnerPrediction]]=1, 1, 0))+(0.1*IF(Table1[[#This Row],[CorrectAwayScorePrediction]]=1, 1, 0))+(0.1*IF(Table1[[#This Row],[CorrectHomeScorePrediction]]=1, 1, 0))</f>
        <v>0</v>
      </c>
      <c r="X119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199" s="64">
        <f>SUMIF(Table1[GameDate], Table1[[#This Row],[GameDate]], Table1[AwayGameGoalDiff])</f>
        <v>0</v>
      </c>
      <c r="AA1199" s="64">
        <f>SUMIF(Table1[GameDate], Table1[[#This Row],[GameDate]], Table1[HomeGameGoalDiff])</f>
        <v>0</v>
      </c>
      <c r="AB1199" s="64">
        <f>IF(ISBLANK(Table1[[#This Row],[ActualResult]]), 0, 1)</f>
        <v>0</v>
      </c>
      <c r="AC1199" s="64">
        <f>IF(ISBLANK(Table1[[#This Row],[ActualResult]]), 0, IF(Table1[[#This Row],[ActualWinner]]=Table1[[#This Row],[PredictedWinner]], 1, 0))</f>
        <v>0</v>
      </c>
      <c r="AD119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19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199" s="64">
        <f>IF(AND(Table1[[#This Row],[GameIsOver]]=1,Table1[[#This Row],[ActualAwayScore]]=0), 1,0)</f>
        <v>0</v>
      </c>
      <c r="AG1199" s="64">
        <f>IF(AND(Table1[[#This Row],[GameIsOver]]=1,Table1[[#This Row],[ActualHomeScore]]=0), 1,0)</f>
        <v>0</v>
      </c>
      <c r="AH1199" s="64">
        <f>IF(Table1[[#This Row],[GameIsOver]]=0,0,IF(Table1[[#This Row],[ActualWinner]]=Table1[[#This Row],[AwayTeam]], 1, 0))</f>
        <v>0</v>
      </c>
      <c r="AI1199" s="64">
        <f>IF(Table1[[#This Row],[GameIsOver]]=0,0,IF(Table1[[#This Row],[ActualWinner]]=Table1[[#This Row],[HomeTeam]], 1, 0))</f>
        <v>0</v>
      </c>
      <c r="AJ1199" s="64">
        <f>IF(INDEX(Standings!$A$2:$C$33,MATCH(Table1[[#This Row],[AwayTeam]],Standings!$A$2:$A$33,0),2)=INDEX(Standings!$A$2:$C$33,MATCH(Table1[[#This Row],[HomeTeam]],Standings!$A$2:$A$33,0),2),1,0)</f>
        <v>1</v>
      </c>
      <c r="AK1199" s="64">
        <f>IF(INDEX(Standings!$A$2:$C$33,MATCH(Table1[[#This Row],[AwayTeam]],Standings!$A$2:$A$33,0),3)=INDEX(Standings!$A$2:$C$33,MATCH(Table1[[#This Row],[HomeTeam]],Standings!$A$2:$A$33,0),3),1,0)</f>
        <v>1</v>
      </c>
      <c r="AL1199" s="64">
        <f>IF(Table1[[#This Row],[InterConf]]=1,IF(Table1[[#This Row],[InterDiv]]=0, 1, 0), 0)</f>
        <v>0</v>
      </c>
      <c r="AM1199" s="64">
        <f>IF(INDEX(Standings!$A$2:$C$33,MATCH(Table1[[#This Row],[AwayTeam]],Standings!$A$2:$A$33,0),2)&lt;&gt;INDEX(Standings!$A$2:$C$33,MATCH(Table1[[#This Row],[HomeTeam]],Standings!$A$2:$A$33,0),2),1,0)</f>
        <v>0</v>
      </c>
      <c r="AN1199" s="64" t="str">
        <f>INDEX(Table2[AWAY_RECORD], MATCH(Table1[[#This Row],[AwayTeam]],Table2[Team], 0), 0)</f>
        <v>0-1-0</v>
      </c>
      <c r="AO1199" s="64" t="str">
        <f>INDEX(Records!$B$2:$AG$33, MATCH(Table1[[#This Row],[AwayTeam]],Records!$A$2:$A$33, 0), MATCH(Table1[[#This Row],[HomeTeam]],Records!$A$2:$A$33, 0))</f>
        <v>0-1-0</v>
      </c>
      <c r="AP1199" s="64" t="str">
        <f>INDEX(Table2[HOME_RECORD], MATCH(Table1[[#This Row],[HomeTeam]],Table2[Team], 0), 0)</f>
        <v>1-0-0</v>
      </c>
      <c r="AQ1199" s="64" t="str">
        <f>INDEX(Records!$B$2:$AG$33, MATCH(Table1[[#This Row],[HomeTeam]],Records!$A$2:$A$33, 0), MATCH(Table1[[#This Row],[AwayTeam]],Records!$A$2:$A$33, 0))</f>
        <v>1-0-0</v>
      </c>
    </row>
    <row r="1200" spans="1:43" x14ac:dyDescent="0.25">
      <c r="A1200" s="1"/>
      <c r="D1200" t="s">
        <v>1551</v>
      </c>
      <c r="E1200" t="s">
        <v>160</v>
      </c>
      <c r="F1200" t="s">
        <v>1555</v>
      </c>
      <c r="G1200" t="s">
        <v>44</v>
      </c>
      <c r="H1200" t="s">
        <v>59</v>
      </c>
      <c r="L120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0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00" s="1"/>
      <c r="T1200" s="64" t="str">
        <f>IF(Table1[[#This Row],[ActualWinner]]="", "", IF(Table1[[#This Row],[AwayTeam]]=Table1[[#This Row],[ActualWinner]],Table1[[#This Row],[HomeTeam]],Table1[[#This Row],[AwayTeam]]))</f>
        <v/>
      </c>
      <c r="U1200" s="64">
        <f>Table1[[#This Row],[ActualAwayScore]]-Table1[[#This Row],[PredictedAwayScore]]</f>
        <v>0</v>
      </c>
      <c r="V1200" s="64">
        <f>Table1[[#This Row],[ActualHomeScore]]-Table1[[#This Row],[PredictedHomeScore]]</f>
        <v>0</v>
      </c>
      <c r="W1200" s="64">
        <f>(0.8*IF(Table1[[#This Row],[CorrectWinnerPrediction]]=1, 1, 0))+(0.1*IF(Table1[[#This Row],[CorrectAwayScorePrediction]]=1, 1, 0))+(0.1*IF(Table1[[#This Row],[CorrectHomeScorePrediction]]=1, 1, 0))</f>
        <v>0</v>
      </c>
      <c r="X120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00" s="64">
        <f>SUMIF(Table1[GameDate], Table1[[#This Row],[GameDate]], Table1[AwayGameGoalDiff])</f>
        <v>0</v>
      </c>
      <c r="AA1200" s="64">
        <f>SUMIF(Table1[GameDate], Table1[[#This Row],[GameDate]], Table1[HomeGameGoalDiff])</f>
        <v>0</v>
      </c>
      <c r="AB1200" s="64">
        <f>IF(ISBLANK(Table1[[#This Row],[ActualResult]]), 0, 1)</f>
        <v>0</v>
      </c>
      <c r="AC1200" s="64">
        <f>IF(ISBLANK(Table1[[#This Row],[ActualResult]]), 0, IF(Table1[[#This Row],[ActualWinner]]=Table1[[#This Row],[PredictedWinner]], 1, 0))</f>
        <v>0</v>
      </c>
      <c r="AD120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0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00" s="64">
        <f>IF(AND(Table1[[#This Row],[GameIsOver]]=1,Table1[[#This Row],[ActualAwayScore]]=0), 1,0)</f>
        <v>0</v>
      </c>
      <c r="AG1200" s="64">
        <f>IF(AND(Table1[[#This Row],[GameIsOver]]=1,Table1[[#This Row],[ActualHomeScore]]=0), 1,0)</f>
        <v>0</v>
      </c>
      <c r="AH1200" s="64">
        <f>IF(Table1[[#This Row],[GameIsOver]]=0,0,IF(Table1[[#This Row],[ActualWinner]]=Table1[[#This Row],[AwayTeam]], 1, 0))</f>
        <v>0</v>
      </c>
      <c r="AI1200" s="64">
        <f>IF(Table1[[#This Row],[GameIsOver]]=0,0,IF(Table1[[#This Row],[ActualWinner]]=Table1[[#This Row],[HomeTeam]], 1, 0))</f>
        <v>0</v>
      </c>
      <c r="AJ1200" s="64">
        <f>IF(INDEX(Standings!$A$2:$C$33,MATCH(Table1[[#This Row],[AwayTeam]],Standings!$A$2:$A$33,0),2)=INDEX(Standings!$A$2:$C$33,MATCH(Table1[[#This Row],[HomeTeam]],Standings!$A$2:$A$33,0),2),1,0)</f>
        <v>1</v>
      </c>
      <c r="AK1200" s="64">
        <f>IF(INDEX(Standings!$A$2:$C$33,MATCH(Table1[[#This Row],[AwayTeam]],Standings!$A$2:$A$33,0),3)=INDEX(Standings!$A$2:$C$33,MATCH(Table1[[#This Row],[HomeTeam]],Standings!$A$2:$A$33,0),3),1,0)</f>
        <v>0</v>
      </c>
      <c r="AL1200" s="64">
        <f>IF(Table1[[#This Row],[InterConf]]=1,IF(Table1[[#This Row],[InterDiv]]=0, 1, 0), 0)</f>
        <v>1</v>
      </c>
      <c r="AM1200" s="64">
        <f>IF(INDEX(Standings!$A$2:$C$33,MATCH(Table1[[#This Row],[AwayTeam]],Standings!$A$2:$A$33,0),2)&lt;&gt;INDEX(Standings!$A$2:$C$33,MATCH(Table1[[#This Row],[HomeTeam]],Standings!$A$2:$A$33,0),2),1,0)</f>
        <v>0</v>
      </c>
      <c r="AN1200" s="64" t="str">
        <f>INDEX(Table2[AWAY_RECORD], MATCH(Table1[[#This Row],[AwayTeam]],Table2[Team], 0), 0)</f>
        <v>0-0-0</v>
      </c>
      <c r="AO1200" s="64" t="str">
        <f>INDEX(Records!$B$2:$AG$33, MATCH(Table1[[#This Row],[AwayTeam]],Records!$A$2:$A$33, 0), MATCH(Table1[[#This Row],[HomeTeam]],Records!$A$2:$A$33, 0))</f>
        <v>0-0-0</v>
      </c>
      <c r="AP1200" s="64" t="str">
        <f>INDEX(Table2[HOME_RECORD], MATCH(Table1[[#This Row],[HomeTeam]],Table2[Team], 0), 0)</f>
        <v>0-0-0</v>
      </c>
      <c r="AQ1200" s="64" t="str">
        <f>INDEX(Records!$B$2:$AG$33, MATCH(Table1[[#This Row],[HomeTeam]],Records!$A$2:$A$33, 0), MATCH(Table1[[#This Row],[AwayTeam]],Records!$A$2:$A$33, 0))</f>
        <v>0-0-0</v>
      </c>
    </row>
    <row r="1201" spans="1:43" x14ac:dyDescent="0.25">
      <c r="A1201" s="1"/>
      <c r="D1201" t="s">
        <v>1551</v>
      </c>
      <c r="E1201" t="s">
        <v>162</v>
      </c>
      <c r="F1201" t="s">
        <v>1556</v>
      </c>
      <c r="G1201" t="s">
        <v>51</v>
      </c>
      <c r="H1201" t="s">
        <v>48</v>
      </c>
      <c r="L120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0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01" s="1"/>
      <c r="T1201" s="64" t="str">
        <f>IF(Table1[[#This Row],[ActualWinner]]="", "", IF(Table1[[#This Row],[AwayTeam]]=Table1[[#This Row],[ActualWinner]],Table1[[#This Row],[HomeTeam]],Table1[[#This Row],[AwayTeam]]))</f>
        <v/>
      </c>
      <c r="U1201" s="64">
        <f>Table1[[#This Row],[ActualAwayScore]]-Table1[[#This Row],[PredictedAwayScore]]</f>
        <v>0</v>
      </c>
      <c r="V1201" s="64">
        <f>Table1[[#This Row],[ActualHomeScore]]-Table1[[#This Row],[PredictedHomeScore]]</f>
        <v>0</v>
      </c>
      <c r="W1201" s="64">
        <f>(0.8*IF(Table1[[#This Row],[CorrectWinnerPrediction]]=1, 1, 0))+(0.1*IF(Table1[[#This Row],[CorrectAwayScorePrediction]]=1, 1, 0))+(0.1*IF(Table1[[#This Row],[CorrectHomeScorePrediction]]=1, 1, 0))</f>
        <v>0</v>
      </c>
      <c r="X120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01" s="64">
        <f>SUMIF(Table1[GameDate], Table1[[#This Row],[GameDate]], Table1[AwayGameGoalDiff])</f>
        <v>0</v>
      </c>
      <c r="AA1201" s="64">
        <f>SUMIF(Table1[GameDate], Table1[[#This Row],[GameDate]], Table1[HomeGameGoalDiff])</f>
        <v>0</v>
      </c>
      <c r="AB1201" s="64">
        <f>IF(ISBLANK(Table1[[#This Row],[ActualResult]]), 0, 1)</f>
        <v>0</v>
      </c>
      <c r="AC1201" s="64">
        <f>IF(ISBLANK(Table1[[#This Row],[ActualResult]]), 0, IF(Table1[[#This Row],[ActualWinner]]=Table1[[#This Row],[PredictedWinner]], 1, 0))</f>
        <v>0</v>
      </c>
      <c r="AD120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0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01" s="64">
        <f>IF(AND(Table1[[#This Row],[GameIsOver]]=1,Table1[[#This Row],[ActualAwayScore]]=0), 1,0)</f>
        <v>0</v>
      </c>
      <c r="AG1201" s="64">
        <f>IF(AND(Table1[[#This Row],[GameIsOver]]=1,Table1[[#This Row],[ActualHomeScore]]=0), 1,0)</f>
        <v>0</v>
      </c>
      <c r="AH1201" s="64">
        <f>IF(Table1[[#This Row],[GameIsOver]]=0,0,IF(Table1[[#This Row],[ActualWinner]]=Table1[[#This Row],[AwayTeam]], 1, 0))</f>
        <v>0</v>
      </c>
      <c r="AI1201" s="64">
        <f>IF(Table1[[#This Row],[GameIsOver]]=0,0,IF(Table1[[#This Row],[ActualWinner]]=Table1[[#This Row],[HomeTeam]], 1, 0))</f>
        <v>0</v>
      </c>
      <c r="AJ1201" s="64">
        <f>IF(INDEX(Standings!$A$2:$C$33,MATCH(Table1[[#This Row],[AwayTeam]],Standings!$A$2:$A$33,0),2)=INDEX(Standings!$A$2:$C$33,MATCH(Table1[[#This Row],[HomeTeam]],Standings!$A$2:$A$33,0),2),1,0)</f>
        <v>0</v>
      </c>
      <c r="AK1201" s="64">
        <f>IF(INDEX(Standings!$A$2:$C$33,MATCH(Table1[[#This Row],[AwayTeam]],Standings!$A$2:$A$33,0),3)=INDEX(Standings!$A$2:$C$33,MATCH(Table1[[#This Row],[HomeTeam]],Standings!$A$2:$A$33,0),3),1,0)</f>
        <v>0</v>
      </c>
      <c r="AL1201" s="64">
        <f>IF(Table1[[#This Row],[InterConf]]=1,IF(Table1[[#This Row],[InterDiv]]=0, 1, 0), 0)</f>
        <v>0</v>
      </c>
      <c r="AM1201" s="64">
        <f>IF(INDEX(Standings!$A$2:$C$33,MATCH(Table1[[#This Row],[AwayTeam]],Standings!$A$2:$A$33,0),2)&lt;&gt;INDEX(Standings!$A$2:$C$33,MATCH(Table1[[#This Row],[HomeTeam]],Standings!$A$2:$A$33,0),2),1,0)</f>
        <v>1</v>
      </c>
      <c r="AN1201" s="64" t="str">
        <f>INDEX(Table2[AWAY_RECORD], MATCH(Table1[[#This Row],[AwayTeam]],Table2[Team], 0), 0)</f>
        <v>2-0-0</v>
      </c>
      <c r="AO1201" s="64" t="str">
        <f>INDEX(Records!$B$2:$AG$33, MATCH(Table1[[#This Row],[AwayTeam]],Records!$A$2:$A$33, 0), MATCH(Table1[[#This Row],[HomeTeam]],Records!$A$2:$A$33, 0))</f>
        <v>0-0-0</v>
      </c>
      <c r="AP1201" s="64" t="str">
        <f>INDEX(Table2[HOME_RECORD], MATCH(Table1[[#This Row],[HomeTeam]],Table2[Team], 0), 0)</f>
        <v>1-0-0</v>
      </c>
      <c r="AQ1201" s="64" t="str">
        <f>INDEX(Records!$B$2:$AG$33, MATCH(Table1[[#This Row],[HomeTeam]],Records!$A$2:$A$33, 0), MATCH(Table1[[#This Row],[AwayTeam]],Records!$A$2:$A$33, 0))</f>
        <v>0-0-0</v>
      </c>
    </row>
    <row r="1202" spans="1:43" x14ac:dyDescent="0.25">
      <c r="A1202" s="1"/>
      <c r="D1202" t="s">
        <v>1551</v>
      </c>
      <c r="E1202" t="s">
        <v>162</v>
      </c>
      <c r="F1202" t="s">
        <v>1557</v>
      </c>
      <c r="G1202" t="s">
        <v>40</v>
      </c>
      <c r="H1202" t="s">
        <v>43</v>
      </c>
      <c r="L120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0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02" s="1"/>
      <c r="T1202" s="64" t="str">
        <f>IF(Table1[[#This Row],[ActualWinner]]="", "", IF(Table1[[#This Row],[AwayTeam]]=Table1[[#This Row],[ActualWinner]],Table1[[#This Row],[HomeTeam]],Table1[[#This Row],[AwayTeam]]))</f>
        <v/>
      </c>
      <c r="U1202" s="64">
        <f>Table1[[#This Row],[ActualAwayScore]]-Table1[[#This Row],[PredictedAwayScore]]</f>
        <v>0</v>
      </c>
      <c r="V1202" s="64">
        <f>Table1[[#This Row],[ActualHomeScore]]-Table1[[#This Row],[PredictedHomeScore]]</f>
        <v>0</v>
      </c>
      <c r="W1202" s="64">
        <f>(0.8*IF(Table1[[#This Row],[CorrectWinnerPrediction]]=1, 1, 0))+(0.1*IF(Table1[[#This Row],[CorrectAwayScorePrediction]]=1, 1, 0))+(0.1*IF(Table1[[#This Row],[CorrectHomeScorePrediction]]=1, 1, 0))</f>
        <v>0</v>
      </c>
      <c r="X120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02" s="64">
        <f>SUMIF(Table1[GameDate], Table1[[#This Row],[GameDate]], Table1[AwayGameGoalDiff])</f>
        <v>0</v>
      </c>
      <c r="AA1202" s="64">
        <f>SUMIF(Table1[GameDate], Table1[[#This Row],[GameDate]], Table1[HomeGameGoalDiff])</f>
        <v>0</v>
      </c>
      <c r="AB1202" s="64">
        <f>IF(ISBLANK(Table1[[#This Row],[ActualResult]]), 0, 1)</f>
        <v>0</v>
      </c>
      <c r="AC1202" s="64">
        <f>IF(ISBLANK(Table1[[#This Row],[ActualResult]]), 0, IF(Table1[[#This Row],[ActualWinner]]=Table1[[#This Row],[PredictedWinner]], 1, 0))</f>
        <v>0</v>
      </c>
      <c r="AD120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0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02" s="64">
        <f>IF(AND(Table1[[#This Row],[GameIsOver]]=1,Table1[[#This Row],[ActualAwayScore]]=0), 1,0)</f>
        <v>0</v>
      </c>
      <c r="AG1202" s="64">
        <f>IF(AND(Table1[[#This Row],[GameIsOver]]=1,Table1[[#This Row],[ActualHomeScore]]=0), 1,0)</f>
        <v>0</v>
      </c>
      <c r="AH1202" s="64">
        <f>IF(Table1[[#This Row],[GameIsOver]]=0,0,IF(Table1[[#This Row],[ActualWinner]]=Table1[[#This Row],[AwayTeam]], 1, 0))</f>
        <v>0</v>
      </c>
      <c r="AI1202" s="64">
        <f>IF(Table1[[#This Row],[GameIsOver]]=0,0,IF(Table1[[#This Row],[ActualWinner]]=Table1[[#This Row],[HomeTeam]], 1, 0))</f>
        <v>0</v>
      </c>
      <c r="AJ1202" s="64">
        <f>IF(INDEX(Standings!$A$2:$C$33,MATCH(Table1[[#This Row],[AwayTeam]],Standings!$A$2:$A$33,0),2)=INDEX(Standings!$A$2:$C$33,MATCH(Table1[[#This Row],[HomeTeam]],Standings!$A$2:$A$33,0),2),1,0)</f>
        <v>0</v>
      </c>
      <c r="AK1202" s="64">
        <f>IF(INDEX(Standings!$A$2:$C$33,MATCH(Table1[[#This Row],[AwayTeam]],Standings!$A$2:$A$33,0),3)=INDEX(Standings!$A$2:$C$33,MATCH(Table1[[#This Row],[HomeTeam]],Standings!$A$2:$A$33,0),3),1,0)</f>
        <v>0</v>
      </c>
      <c r="AL1202" s="64">
        <f>IF(Table1[[#This Row],[InterConf]]=1,IF(Table1[[#This Row],[InterDiv]]=0, 1, 0), 0)</f>
        <v>0</v>
      </c>
      <c r="AM1202" s="64">
        <f>IF(INDEX(Standings!$A$2:$C$33,MATCH(Table1[[#This Row],[AwayTeam]],Standings!$A$2:$A$33,0),2)&lt;&gt;INDEX(Standings!$A$2:$C$33,MATCH(Table1[[#This Row],[HomeTeam]],Standings!$A$2:$A$33,0),2),1,0)</f>
        <v>1</v>
      </c>
      <c r="AN1202" s="64" t="str">
        <f>INDEX(Table2[AWAY_RECORD], MATCH(Table1[[#This Row],[AwayTeam]],Table2[Team], 0), 0)</f>
        <v>0-0-0</v>
      </c>
      <c r="AO1202" s="64" t="str">
        <f>INDEX(Records!$B$2:$AG$33, MATCH(Table1[[#This Row],[AwayTeam]],Records!$A$2:$A$33, 0), MATCH(Table1[[#This Row],[HomeTeam]],Records!$A$2:$A$33, 0))</f>
        <v>0-0-0</v>
      </c>
      <c r="AP1202" s="64" t="str">
        <f>INDEX(Table2[HOME_RECORD], MATCH(Table1[[#This Row],[HomeTeam]],Table2[Team], 0), 0)</f>
        <v>0-0-0</v>
      </c>
      <c r="AQ1202" s="64" t="str">
        <f>INDEX(Records!$B$2:$AG$33, MATCH(Table1[[#This Row],[HomeTeam]],Records!$A$2:$A$33, 0), MATCH(Table1[[#This Row],[AwayTeam]],Records!$A$2:$A$33, 0))</f>
        <v>0-0-0</v>
      </c>
    </row>
    <row r="1203" spans="1:43" x14ac:dyDescent="0.25">
      <c r="A1203" s="1"/>
      <c r="D1203" t="s">
        <v>1551</v>
      </c>
      <c r="E1203" t="s">
        <v>162</v>
      </c>
      <c r="F1203" t="s">
        <v>1558</v>
      </c>
      <c r="G1203" t="s">
        <v>16</v>
      </c>
      <c r="H1203" t="s">
        <v>22</v>
      </c>
      <c r="L120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0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03" s="1"/>
      <c r="T1203" s="64" t="str">
        <f>IF(Table1[[#This Row],[ActualWinner]]="", "", IF(Table1[[#This Row],[AwayTeam]]=Table1[[#This Row],[ActualWinner]],Table1[[#This Row],[HomeTeam]],Table1[[#This Row],[AwayTeam]]))</f>
        <v/>
      </c>
      <c r="U1203" s="64">
        <f>Table1[[#This Row],[ActualAwayScore]]-Table1[[#This Row],[PredictedAwayScore]]</f>
        <v>0</v>
      </c>
      <c r="V1203" s="64">
        <f>Table1[[#This Row],[ActualHomeScore]]-Table1[[#This Row],[PredictedHomeScore]]</f>
        <v>0</v>
      </c>
      <c r="W1203" s="64">
        <f>(0.8*IF(Table1[[#This Row],[CorrectWinnerPrediction]]=1, 1, 0))+(0.1*IF(Table1[[#This Row],[CorrectAwayScorePrediction]]=1, 1, 0))+(0.1*IF(Table1[[#This Row],[CorrectHomeScorePrediction]]=1, 1, 0))</f>
        <v>0</v>
      </c>
      <c r="X120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03" s="64">
        <f>SUMIF(Table1[GameDate], Table1[[#This Row],[GameDate]], Table1[AwayGameGoalDiff])</f>
        <v>0</v>
      </c>
      <c r="AA1203" s="64">
        <f>SUMIF(Table1[GameDate], Table1[[#This Row],[GameDate]], Table1[HomeGameGoalDiff])</f>
        <v>0</v>
      </c>
      <c r="AB1203" s="64">
        <f>IF(ISBLANK(Table1[[#This Row],[ActualResult]]), 0, 1)</f>
        <v>0</v>
      </c>
      <c r="AC1203" s="64">
        <f>IF(ISBLANK(Table1[[#This Row],[ActualResult]]), 0, IF(Table1[[#This Row],[ActualWinner]]=Table1[[#This Row],[PredictedWinner]], 1, 0))</f>
        <v>0</v>
      </c>
      <c r="AD120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0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03" s="64">
        <f>IF(AND(Table1[[#This Row],[GameIsOver]]=1,Table1[[#This Row],[ActualAwayScore]]=0), 1,0)</f>
        <v>0</v>
      </c>
      <c r="AG1203" s="64">
        <f>IF(AND(Table1[[#This Row],[GameIsOver]]=1,Table1[[#This Row],[ActualHomeScore]]=0), 1,0)</f>
        <v>0</v>
      </c>
      <c r="AH1203" s="64">
        <f>IF(Table1[[#This Row],[GameIsOver]]=0,0,IF(Table1[[#This Row],[ActualWinner]]=Table1[[#This Row],[AwayTeam]], 1, 0))</f>
        <v>0</v>
      </c>
      <c r="AI1203" s="64">
        <f>IF(Table1[[#This Row],[GameIsOver]]=0,0,IF(Table1[[#This Row],[ActualWinner]]=Table1[[#This Row],[HomeTeam]], 1, 0))</f>
        <v>0</v>
      </c>
      <c r="AJ1203" s="64">
        <f>IF(INDEX(Standings!$A$2:$C$33,MATCH(Table1[[#This Row],[AwayTeam]],Standings!$A$2:$A$33,0),2)=INDEX(Standings!$A$2:$C$33,MATCH(Table1[[#This Row],[HomeTeam]],Standings!$A$2:$A$33,0),2),1,0)</f>
        <v>1</v>
      </c>
      <c r="AK1203" s="64">
        <f>IF(INDEX(Standings!$A$2:$C$33,MATCH(Table1[[#This Row],[AwayTeam]],Standings!$A$2:$A$33,0),3)=INDEX(Standings!$A$2:$C$33,MATCH(Table1[[#This Row],[HomeTeam]],Standings!$A$2:$A$33,0),3),1,0)</f>
        <v>1</v>
      </c>
      <c r="AL1203" s="64">
        <f>IF(Table1[[#This Row],[InterConf]]=1,IF(Table1[[#This Row],[InterDiv]]=0, 1, 0), 0)</f>
        <v>0</v>
      </c>
      <c r="AM1203" s="64">
        <f>IF(INDEX(Standings!$A$2:$C$33,MATCH(Table1[[#This Row],[AwayTeam]],Standings!$A$2:$A$33,0),2)&lt;&gt;INDEX(Standings!$A$2:$C$33,MATCH(Table1[[#This Row],[HomeTeam]],Standings!$A$2:$A$33,0),2),1,0)</f>
        <v>0</v>
      </c>
      <c r="AN1203" s="64" t="str">
        <f>INDEX(Table2[AWAY_RECORD], MATCH(Table1[[#This Row],[AwayTeam]],Table2[Team], 0), 0)</f>
        <v>1-0-1</v>
      </c>
      <c r="AO1203" s="64" t="str">
        <f>INDEX(Records!$B$2:$AG$33, MATCH(Table1[[#This Row],[AwayTeam]],Records!$A$2:$A$33, 0), MATCH(Table1[[#This Row],[HomeTeam]],Records!$A$2:$A$33, 0))</f>
        <v>0-0-0</v>
      </c>
      <c r="AP1203" s="64" t="str">
        <f>INDEX(Table2[HOME_RECORD], MATCH(Table1[[#This Row],[HomeTeam]],Table2[Team], 0), 0)</f>
        <v>0-0-0</v>
      </c>
      <c r="AQ1203" s="64" t="str">
        <f>INDEX(Records!$B$2:$AG$33, MATCH(Table1[[#This Row],[HomeTeam]],Records!$A$2:$A$33, 0), MATCH(Table1[[#This Row],[AwayTeam]],Records!$A$2:$A$33, 0))</f>
        <v>0-0-0</v>
      </c>
    </row>
    <row r="1204" spans="1:43" x14ac:dyDescent="0.25">
      <c r="A1204" s="1"/>
      <c r="D1204" t="s">
        <v>1551</v>
      </c>
      <c r="E1204" t="s">
        <v>162</v>
      </c>
      <c r="F1204" t="s">
        <v>1559</v>
      </c>
      <c r="G1204" t="s">
        <v>61</v>
      </c>
      <c r="H1204" t="s">
        <v>60</v>
      </c>
      <c r="L120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0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04" s="1"/>
      <c r="T1204" s="64" t="str">
        <f>IF(Table1[[#This Row],[ActualWinner]]="", "", IF(Table1[[#This Row],[AwayTeam]]=Table1[[#This Row],[ActualWinner]],Table1[[#This Row],[HomeTeam]],Table1[[#This Row],[AwayTeam]]))</f>
        <v/>
      </c>
      <c r="U1204" s="64">
        <f>Table1[[#This Row],[ActualAwayScore]]-Table1[[#This Row],[PredictedAwayScore]]</f>
        <v>0</v>
      </c>
      <c r="V1204" s="64">
        <f>Table1[[#This Row],[ActualHomeScore]]-Table1[[#This Row],[PredictedHomeScore]]</f>
        <v>0</v>
      </c>
      <c r="W1204" s="64">
        <f>(0.8*IF(Table1[[#This Row],[CorrectWinnerPrediction]]=1, 1, 0))+(0.1*IF(Table1[[#This Row],[CorrectAwayScorePrediction]]=1, 1, 0))+(0.1*IF(Table1[[#This Row],[CorrectHomeScorePrediction]]=1, 1, 0))</f>
        <v>0</v>
      </c>
      <c r="X120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04" s="64">
        <f>SUMIF(Table1[GameDate], Table1[[#This Row],[GameDate]], Table1[AwayGameGoalDiff])</f>
        <v>0</v>
      </c>
      <c r="AA1204" s="64">
        <f>SUMIF(Table1[GameDate], Table1[[#This Row],[GameDate]], Table1[HomeGameGoalDiff])</f>
        <v>0</v>
      </c>
      <c r="AB1204" s="64">
        <f>IF(ISBLANK(Table1[[#This Row],[ActualResult]]), 0, 1)</f>
        <v>0</v>
      </c>
      <c r="AC1204" s="64">
        <f>IF(ISBLANK(Table1[[#This Row],[ActualResult]]), 0, IF(Table1[[#This Row],[ActualWinner]]=Table1[[#This Row],[PredictedWinner]], 1, 0))</f>
        <v>0</v>
      </c>
      <c r="AD120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0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04" s="64">
        <f>IF(AND(Table1[[#This Row],[GameIsOver]]=1,Table1[[#This Row],[ActualAwayScore]]=0), 1,0)</f>
        <v>0</v>
      </c>
      <c r="AG1204" s="64">
        <f>IF(AND(Table1[[#This Row],[GameIsOver]]=1,Table1[[#This Row],[ActualHomeScore]]=0), 1,0)</f>
        <v>0</v>
      </c>
      <c r="AH1204" s="64">
        <f>IF(Table1[[#This Row],[GameIsOver]]=0,0,IF(Table1[[#This Row],[ActualWinner]]=Table1[[#This Row],[AwayTeam]], 1, 0))</f>
        <v>0</v>
      </c>
      <c r="AI1204" s="64">
        <f>IF(Table1[[#This Row],[GameIsOver]]=0,0,IF(Table1[[#This Row],[ActualWinner]]=Table1[[#This Row],[HomeTeam]], 1, 0))</f>
        <v>0</v>
      </c>
      <c r="AJ1204" s="64">
        <f>IF(INDEX(Standings!$A$2:$C$33,MATCH(Table1[[#This Row],[AwayTeam]],Standings!$A$2:$A$33,0),2)=INDEX(Standings!$A$2:$C$33,MATCH(Table1[[#This Row],[HomeTeam]],Standings!$A$2:$A$33,0),2),1,0)</f>
        <v>1</v>
      </c>
      <c r="AK1204" s="64">
        <f>IF(INDEX(Standings!$A$2:$C$33,MATCH(Table1[[#This Row],[AwayTeam]],Standings!$A$2:$A$33,0),3)=INDEX(Standings!$A$2:$C$33,MATCH(Table1[[#This Row],[HomeTeam]],Standings!$A$2:$A$33,0),3),1,0)</f>
        <v>1</v>
      </c>
      <c r="AL1204" s="64">
        <f>IF(Table1[[#This Row],[InterConf]]=1,IF(Table1[[#This Row],[InterDiv]]=0, 1, 0), 0)</f>
        <v>0</v>
      </c>
      <c r="AM1204" s="64">
        <f>IF(INDEX(Standings!$A$2:$C$33,MATCH(Table1[[#This Row],[AwayTeam]],Standings!$A$2:$A$33,0),2)&lt;&gt;INDEX(Standings!$A$2:$C$33,MATCH(Table1[[#This Row],[HomeTeam]],Standings!$A$2:$A$33,0),2),1,0)</f>
        <v>0</v>
      </c>
      <c r="AN1204" s="64" t="str">
        <f>INDEX(Table2[AWAY_RECORD], MATCH(Table1[[#This Row],[AwayTeam]],Table2[Team], 0), 0)</f>
        <v>0-0-0</v>
      </c>
      <c r="AO1204" s="64" t="str">
        <f>INDEX(Records!$B$2:$AG$33, MATCH(Table1[[#This Row],[AwayTeam]],Records!$A$2:$A$33, 0), MATCH(Table1[[#This Row],[HomeTeam]],Records!$A$2:$A$33, 0))</f>
        <v>0-0-0</v>
      </c>
      <c r="AP1204" s="64" t="str">
        <f>INDEX(Table2[HOME_RECORD], MATCH(Table1[[#This Row],[HomeTeam]],Table2[Team], 0), 0)</f>
        <v>1-0-0</v>
      </c>
      <c r="AQ1204" s="64" t="str">
        <f>INDEX(Records!$B$2:$AG$33, MATCH(Table1[[#This Row],[HomeTeam]],Records!$A$2:$A$33, 0), MATCH(Table1[[#This Row],[AwayTeam]],Records!$A$2:$A$33, 0))</f>
        <v>0-0-0</v>
      </c>
    </row>
    <row r="1205" spans="1:43" x14ac:dyDescent="0.25">
      <c r="A1205" s="1"/>
      <c r="D1205" t="s">
        <v>1551</v>
      </c>
      <c r="E1205" t="s">
        <v>178</v>
      </c>
      <c r="F1205" t="s">
        <v>1560</v>
      </c>
      <c r="G1205" t="s">
        <v>58</v>
      </c>
      <c r="H1205" t="s">
        <v>41</v>
      </c>
      <c r="L120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0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05" s="1"/>
      <c r="T1205" s="64" t="str">
        <f>IF(Table1[[#This Row],[ActualWinner]]="", "", IF(Table1[[#This Row],[AwayTeam]]=Table1[[#This Row],[ActualWinner]],Table1[[#This Row],[HomeTeam]],Table1[[#This Row],[AwayTeam]]))</f>
        <v/>
      </c>
      <c r="U1205" s="64">
        <f>Table1[[#This Row],[ActualAwayScore]]-Table1[[#This Row],[PredictedAwayScore]]</f>
        <v>0</v>
      </c>
      <c r="V1205" s="64">
        <f>Table1[[#This Row],[ActualHomeScore]]-Table1[[#This Row],[PredictedHomeScore]]</f>
        <v>0</v>
      </c>
      <c r="W1205" s="64">
        <f>(0.8*IF(Table1[[#This Row],[CorrectWinnerPrediction]]=1, 1, 0))+(0.1*IF(Table1[[#This Row],[CorrectAwayScorePrediction]]=1, 1, 0))+(0.1*IF(Table1[[#This Row],[CorrectHomeScorePrediction]]=1, 1, 0))</f>
        <v>0</v>
      </c>
      <c r="X120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05" s="64">
        <f>SUMIF(Table1[GameDate], Table1[[#This Row],[GameDate]], Table1[AwayGameGoalDiff])</f>
        <v>0</v>
      </c>
      <c r="AA1205" s="64">
        <f>SUMIF(Table1[GameDate], Table1[[#This Row],[GameDate]], Table1[HomeGameGoalDiff])</f>
        <v>0</v>
      </c>
      <c r="AB1205" s="64">
        <f>IF(ISBLANK(Table1[[#This Row],[ActualResult]]), 0, 1)</f>
        <v>0</v>
      </c>
      <c r="AC1205" s="64">
        <f>IF(ISBLANK(Table1[[#This Row],[ActualResult]]), 0, IF(Table1[[#This Row],[ActualWinner]]=Table1[[#This Row],[PredictedWinner]], 1, 0))</f>
        <v>0</v>
      </c>
      <c r="AD120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0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05" s="64">
        <f>IF(AND(Table1[[#This Row],[GameIsOver]]=1,Table1[[#This Row],[ActualAwayScore]]=0), 1,0)</f>
        <v>0</v>
      </c>
      <c r="AG1205" s="64">
        <f>IF(AND(Table1[[#This Row],[GameIsOver]]=1,Table1[[#This Row],[ActualHomeScore]]=0), 1,0)</f>
        <v>0</v>
      </c>
      <c r="AH1205" s="64">
        <f>IF(Table1[[#This Row],[GameIsOver]]=0,0,IF(Table1[[#This Row],[ActualWinner]]=Table1[[#This Row],[AwayTeam]], 1, 0))</f>
        <v>0</v>
      </c>
      <c r="AI1205" s="64">
        <f>IF(Table1[[#This Row],[GameIsOver]]=0,0,IF(Table1[[#This Row],[ActualWinner]]=Table1[[#This Row],[HomeTeam]], 1, 0))</f>
        <v>0</v>
      </c>
      <c r="AJ1205" s="64">
        <f>IF(INDEX(Standings!$A$2:$C$33,MATCH(Table1[[#This Row],[AwayTeam]],Standings!$A$2:$A$33,0),2)=INDEX(Standings!$A$2:$C$33,MATCH(Table1[[#This Row],[HomeTeam]],Standings!$A$2:$A$33,0),2),1,0)</f>
        <v>1</v>
      </c>
      <c r="AK1205" s="64">
        <f>IF(INDEX(Standings!$A$2:$C$33,MATCH(Table1[[#This Row],[AwayTeam]],Standings!$A$2:$A$33,0),3)=INDEX(Standings!$A$2:$C$33,MATCH(Table1[[#This Row],[HomeTeam]],Standings!$A$2:$A$33,0),3),1,0)</f>
        <v>1</v>
      </c>
      <c r="AL1205" s="64">
        <f>IF(Table1[[#This Row],[InterConf]]=1,IF(Table1[[#This Row],[InterDiv]]=0, 1, 0), 0)</f>
        <v>0</v>
      </c>
      <c r="AM1205" s="64">
        <f>IF(INDEX(Standings!$A$2:$C$33,MATCH(Table1[[#This Row],[AwayTeam]],Standings!$A$2:$A$33,0),2)&lt;&gt;INDEX(Standings!$A$2:$C$33,MATCH(Table1[[#This Row],[HomeTeam]],Standings!$A$2:$A$33,0),2),1,0)</f>
        <v>0</v>
      </c>
      <c r="AN1205" s="64" t="str">
        <f>INDEX(Table2[AWAY_RECORD], MATCH(Table1[[#This Row],[AwayTeam]],Table2[Team], 0), 0)</f>
        <v>0-0-0</v>
      </c>
      <c r="AO1205" s="64" t="str">
        <f>INDEX(Records!$B$2:$AG$33, MATCH(Table1[[#This Row],[AwayTeam]],Records!$A$2:$A$33, 0), MATCH(Table1[[#This Row],[HomeTeam]],Records!$A$2:$A$33, 0))</f>
        <v>0-0-0</v>
      </c>
      <c r="AP1205" s="64" t="str">
        <f>INDEX(Table2[HOME_RECORD], MATCH(Table1[[#This Row],[HomeTeam]],Table2[Team], 0), 0)</f>
        <v>0-0-1</v>
      </c>
      <c r="AQ1205" s="64" t="str">
        <f>INDEX(Records!$B$2:$AG$33, MATCH(Table1[[#This Row],[HomeTeam]],Records!$A$2:$A$33, 0), MATCH(Table1[[#This Row],[AwayTeam]],Records!$A$2:$A$33, 0))</f>
        <v>0-0-0</v>
      </c>
    </row>
    <row r="1206" spans="1:43" x14ac:dyDescent="0.25">
      <c r="A1206" s="1"/>
      <c r="D1206" t="s">
        <v>1551</v>
      </c>
      <c r="E1206" t="s">
        <v>178</v>
      </c>
      <c r="F1206" t="s">
        <v>1561</v>
      </c>
      <c r="G1206" t="s">
        <v>45</v>
      </c>
      <c r="H1206" t="s">
        <v>39</v>
      </c>
      <c r="L120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0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06" s="1"/>
      <c r="T1206" s="64" t="str">
        <f>IF(Table1[[#This Row],[ActualWinner]]="", "", IF(Table1[[#This Row],[AwayTeam]]=Table1[[#This Row],[ActualWinner]],Table1[[#This Row],[HomeTeam]],Table1[[#This Row],[AwayTeam]]))</f>
        <v/>
      </c>
      <c r="U1206" s="64">
        <f>Table1[[#This Row],[ActualAwayScore]]-Table1[[#This Row],[PredictedAwayScore]]</f>
        <v>0</v>
      </c>
      <c r="V1206" s="64">
        <f>Table1[[#This Row],[ActualHomeScore]]-Table1[[#This Row],[PredictedHomeScore]]</f>
        <v>0</v>
      </c>
      <c r="W1206" s="64">
        <f>(0.8*IF(Table1[[#This Row],[CorrectWinnerPrediction]]=1, 1, 0))+(0.1*IF(Table1[[#This Row],[CorrectAwayScorePrediction]]=1, 1, 0))+(0.1*IF(Table1[[#This Row],[CorrectHomeScorePrediction]]=1, 1, 0))</f>
        <v>0</v>
      </c>
      <c r="X120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06" s="64">
        <f>SUMIF(Table1[GameDate], Table1[[#This Row],[GameDate]], Table1[AwayGameGoalDiff])</f>
        <v>0</v>
      </c>
      <c r="AA1206" s="64">
        <f>SUMIF(Table1[GameDate], Table1[[#This Row],[GameDate]], Table1[HomeGameGoalDiff])</f>
        <v>0</v>
      </c>
      <c r="AB1206" s="64">
        <f>IF(ISBLANK(Table1[[#This Row],[ActualResult]]), 0, 1)</f>
        <v>0</v>
      </c>
      <c r="AC1206" s="64">
        <f>IF(ISBLANK(Table1[[#This Row],[ActualResult]]), 0, IF(Table1[[#This Row],[ActualWinner]]=Table1[[#This Row],[PredictedWinner]], 1, 0))</f>
        <v>0</v>
      </c>
      <c r="AD120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0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06" s="64">
        <f>IF(AND(Table1[[#This Row],[GameIsOver]]=1,Table1[[#This Row],[ActualAwayScore]]=0), 1,0)</f>
        <v>0</v>
      </c>
      <c r="AG1206" s="64">
        <f>IF(AND(Table1[[#This Row],[GameIsOver]]=1,Table1[[#This Row],[ActualHomeScore]]=0), 1,0)</f>
        <v>0</v>
      </c>
      <c r="AH1206" s="64">
        <f>IF(Table1[[#This Row],[GameIsOver]]=0,0,IF(Table1[[#This Row],[ActualWinner]]=Table1[[#This Row],[AwayTeam]], 1, 0))</f>
        <v>0</v>
      </c>
      <c r="AI1206" s="64">
        <f>IF(Table1[[#This Row],[GameIsOver]]=0,0,IF(Table1[[#This Row],[ActualWinner]]=Table1[[#This Row],[HomeTeam]], 1, 0))</f>
        <v>0</v>
      </c>
      <c r="AJ1206" s="64">
        <f>IF(INDEX(Standings!$A$2:$C$33,MATCH(Table1[[#This Row],[AwayTeam]],Standings!$A$2:$A$33,0),2)=INDEX(Standings!$A$2:$C$33,MATCH(Table1[[#This Row],[HomeTeam]],Standings!$A$2:$A$33,0),2),1,0)</f>
        <v>1</v>
      </c>
      <c r="AK1206" s="64">
        <f>IF(INDEX(Standings!$A$2:$C$33,MATCH(Table1[[#This Row],[AwayTeam]],Standings!$A$2:$A$33,0),3)=INDEX(Standings!$A$2:$C$33,MATCH(Table1[[#This Row],[HomeTeam]],Standings!$A$2:$A$33,0),3),1,0)</f>
        <v>1</v>
      </c>
      <c r="AL1206" s="64">
        <f>IF(Table1[[#This Row],[InterConf]]=1,IF(Table1[[#This Row],[InterDiv]]=0, 1, 0), 0)</f>
        <v>0</v>
      </c>
      <c r="AM1206" s="64">
        <f>IF(INDEX(Standings!$A$2:$C$33,MATCH(Table1[[#This Row],[AwayTeam]],Standings!$A$2:$A$33,0),2)&lt;&gt;INDEX(Standings!$A$2:$C$33,MATCH(Table1[[#This Row],[HomeTeam]],Standings!$A$2:$A$33,0),2),1,0)</f>
        <v>0</v>
      </c>
      <c r="AN1206" s="64" t="str">
        <f>INDEX(Table2[AWAY_RECORD], MATCH(Table1[[#This Row],[AwayTeam]],Table2[Team], 0), 0)</f>
        <v>1-0-0</v>
      </c>
      <c r="AO1206" s="64" t="str">
        <f>INDEX(Records!$B$2:$AG$33, MATCH(Table1[[#This Row],[AwayTeam]],Records!$A$2:$A$33, 0), MATCH(Table1[[#This Row],[HomeTeam]],Records!$A$2:$A$33, 0))</f>
        <v>0-0-0</v>
      </c>
      <c r="AP1206" s="64" t="str">
        <f>INDEX(Table2[HOME_RECORD], MATCH(Table1[[#This Row],[HomeTeam]],Table2[Team], 0), 0)</f>
        <v>0-1-0</v>
      </c>
      <c r="AQ1206" s="64" t="str">
        <f>INDEX(Records!$B$2:$AG$33, MATCH(Table1[[#This Row],[HomeTeam]],Records!$A$2:$A$33, 0), MATCH(Table1[[#This Row],[AwayTeam]],Records!$A$2:$A$33, 0))</f>
        <v>0-0-0</v>
      </c>
    </row>
    <row r="1207" spans="1:43" x14ac:dyDescent="0.25">
      <c r="A1207" s="1"/>
      <c r="D1207" t="s">
        <v>1551</v>
      </c>
      <c r="E1207" t="s">
        <v>225</v>
      </c>
      <c r="F1207" t="s">
        <v>1562</v>
      </c>
      <c r="G1207" t="s">
        <v>25</v>
      </c>
      <c r="H1207" t="s">
        <v>56</v>
      </c>
      <c r="L120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0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07" s="1"/>
      <c r="T1207" s="64" t="str">
        <f>IF(Table1[[#This Row],[ActualWinner]]="", "", IF(Table1[[#This Row],[AwayTeam]]=Table1[[#This Row],[ActualWinner]],Table1[[#This Row],[HomeTeam]],Table1[[#This Row],[AwayTeam]]))</f>
        <v/>
      </c>
      <c r="U1207" s="64">
        <f>Table1[[#This Row],[ActualAwayScore]]-Table1[[#This Row],[PredictedAwayScore]]</f>
        <v>0</v>
      </c>
      <c r="V1207" s="64">
        <f>Table1[[#This Row],[ActualHomeScore]]-Table1[[#This Row],[PredictedHomeScore]]</f>
        <v>0</v>
      </c>
      <c r="W1207" s="64">
        <f>(0.8*IF(Table1[[#This Row],[CorrectWinnerPrediction]]=1, 1, 0))+(0.1*IF(Table1[[#This Row],[CorrectAwayScorePrediction]]=1, 1, 0))+(0.1*IF(Table1[[#This Row],[CorrectHomeScorePrediction]]=1, 1, 0))</f>
        <v>0</v>
      </c>
      <c r="X120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07" s="64">
        <f>SUMIF(Table1[GameDate], Table1[[#This Row],[GameDate]], Table1[AwayGameGoalDiff])</f>
        <v>0</v>
      </c>
      <c r="AA1207" s="64">
        <f>SUMIF(Table1[GameDate], Table1[[#This Row],[GameDate]], Table1[HomeGameGoalDiff])</f>
        <v>0</v>
      </c>
      <c r="AB1207" s="64">
        <f>IF(ISBLANK(Table1[[#This Row],[ActualResult]]), 0, 1)</f>
        <v>0</v>
      </c>
      <c r="AC1207" s="64">
        <f>IF(ISBLANK(Table1[[#This Row],[ActualResult]]), 0, IF(Table1[[#This Row],[ActualWinner]]=Table1[[#This Row],[PredictedWinner]], 1, 0))</f>
        <v>0</v>
      </c>
      <c r="AD120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0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07" s="64">
        <f>IF(AND(Table1[[#This Row],[GameIsOver]]=1,Table1[[#This Row],[ActualAwayScore]]=0), 1,0)</f>
        <v>0</v>
      </c>
      <c r="AG1207" s="64">
        <f>IF(AND(Table1[[#This Row],[GameIsOver]]=1,Table1[[#This Row],[ActualHomeScore]]=0), 1,0)</f>
        <v>0</v>
      </c>
      <c r="AH1207" s="64">
        <f>IF(Table1[[#This Row],[GameIsOver]]=0,0,IF(Table1[[#This Row],[ActualWinner]]=Table1[[#This Row],[AwayTeam]], 1, 0))</f>
        <v>0</v>
      </c>
      <c r="AI1207" s="64">
        <f>IF(Table1[[#This Row],[GameIsOver]]=0,0,IF(Table1[[#This Row],[ActualWinner]]=Table1[[#This Row],[HomeTeam]], 1, 0))</f>
        <v>0</v>
      </c>
      <c r="AJ1207" s="64">
        <f>IF(INDEX(Standings!$A$2:$C$33,MATCH(Table1[[#This Row],[AwayTeam]],Standings!$A$2:$A$33,0),2)=INDEX(Standings!$A$2:$C$33,MATCH(Table1[[#This Row],[HomeTeam]],Standings!$A$2:$A$33,0),2),1,0)</f>
        <v>1</v>
      </c>
      <c r="AK1207" s="64">
        <f>IF(INDEX(Standings!$A$2:$C$33,MATCH(Table1[[#This Row],[AwayTeam]],Standings!$A$2:$A$33,0),3)=INDEX(Standings!$A$2:$C$33,MATCH(Table1[[#This Row],[HomeTeam]],Standings!$A$2:$A$33,0),3),1,0)</f>
        <v>1</v>
      </c>
      <c r="AL1207" s="64">
        <f>IF(Table1[[#This Row],[InterConf]]=1,IF(Table1[[#This Row],[InterDiv]]=0, 1, 0), 0)</f>
        <v>0</v>
      </c>
      <c r="AM1207" s="64">
        <f>IF(INDEX(Standings!$A$2:$C$33,MATCH(Table1[[#This Row],[AwayTeam]],Standings!$A$2:$A$33,0),2)&lt;&gt;INDEX(Standings!$A$2:$C$33,MATCH(Table1[[#This Row],[HomeTeam]],Standings!$A$2:$A$33,0),2),1,0)</f>
        <v>0</v>
      </c>
      <c r="AN1207" s="64" t="str">
        <f>INDEX(Table2[AWAY_RECORD], MATCH(Table1[[#This Row],[AwayTeam]],Table2[Team], 0), 0)</f>
        <v>0-0-0</v>
      </c>
      <c r="AO1207" s="64" t="str">
        <f>INDEX(Records!$B$2:$AG$33, MATCH(Table1[[#This Row],[AwayTeam]],Records!$A$2:$A$33, 0), MATCH(Table1[[#This Row],[HomeTeam]],Records!$A$2:$A$33, 0))</f>
        <v>0-0-0</v>
      </c>
      <c r="AP1207" s="64" t="str">
        <f>INDEX(Table2[HOME_RECORD], MATCH(Table1[[#This Row],[HomeTeam]],Table2[Team], 0), 0)</f>
        <v>0-0-0</v>
      </c>
      <c r="AQ1207" s="64" t="str">
        <f>INDEX(Records!$B$2:$AG$33, MATCH(Table1[[#This Row],[HomeTeam]],Records!$A$2:$A$33, 0), MATCH(Table1[[#This Row],[AwayTeam]],Records!$A$2:$A$33, 0))</f>
        <v>0-0-0</v>
      </c>
    </row>
    <row r="1208" spans="1:43" x14ac:dyDescent="0.25">
      <c r="A1208" s="1"/>
      <c r="D1208" t="s">
        <v>1551</v>
      </c>
      <c r="E1208" t="s">
        <v>164</v>
      </c>
      <c r="F1208" t="s">
        <v>1563</v>
      </c>
      <c r="G1208" t="s">
        <v>46</v>
      </c>
      <c r="H1208" t="s">
        <v>23</v>
      </c>
      <c r="L120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0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08" s="1"/>
      <c r="T1208" s="64" t="str">
        <f>IF(Table1[[#This Row],[ActualWinner]]="", "", IF(Table1[[#This Row],[AwayTeam]]=Table1[[#This Row],[ActualWinner]],Table1[[#This Row],[HomeTeam]],Table1[[#This Row],[AwayTeam]]))</f>
        <v/>
      </c>
      <c r="U1208" s="64">
        <f>Table1[[#This Row],[ActualAwayScore]]-Table1[[#This Row],[PredictedAwayScore]]</f>
        <v>0</v>
      </c>
      <c r="V1208" s="64">
        <f>Table1[[#This Row],[ActualHomeScore]]-Table1[[#This Row],[PredictedHomeScore]]</f>
        <v>0</v>
      </c>
      <c r="W1208" s="64">
        <f>(0.8*IF(Table1[[#This Row],[CorrectWinnerPrediction]]=1, 1, 0))+(0.1*IF(Table1[[#This Row],[CorrectAwayScorePrediction]]=1, 1, 0))+(0.1*IF(Table1[[#This Row],[CorrectHomeScorePrediction]]=1, 1, 0))</f>
        <v>0</v>
      </c>
      <c r="X120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08" s="64">
        <f>SUMIF(Table1[GameDate], Table1[[#This Row],[GameDate]], Table1[AwayGameGoalDiff])</f>
        <v>0</v>
      </c>
      <c r="AA1208" s="64">
        <f>SUMIF(Table1[GameDate], Table1[[#This Row],[GameDate]], Table1[HomeGameGoalDiff])</f>
        <v>0</v>
      </c>
      <c r="AB1208" s="64">
        <f>IF(ISBLANK(Table1[[#This Row],[ActualResult]]), 0, 1)</f>
        <v>0</v>
      </c>
      <c r="AC1208" s="64">
        <f>IF(ISBLANK(Table1[[#This Row],[ActualResult]]), 0, IF(Table1[[#This Row],[ActualWinner]]=Table1[[#This Row],[PredictedWinner]], 1, 0))</f>
        <v>0</v>
      </c>
      <c r="AD120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0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08" s="64">
        <f>IF(AND(Table1[[#This Row],[GameIsOver]]=1,Table1[[#This Row],[ActualAwayScore]]=0), 1,0)</f>
        <v>0</v>
      </c>
      <c r="AG1208" s="64">
        <f>IF(AND(Table1[[#This Row],[GameIsOver]]=1,Table1[[#This Row],[ActualHomeScore]]=0), 1,0)</f>
        <v>0</v>
      </c>
      <c r="AH1208" s="64">
        <f>IF(Table1[[#This Row],[GameIsOver]]=0,0,IF(Table1[[#This Row],[ActualWinner]]=Table1[[#This Row],[AwayTeam]], 1, 0))</f>
        <v>0</v>
      </c>
      <c r="AI1208" s="64">
        <f>IF(Table1[[#This Row],[GameIsOver]]=0,0,IF(Table1[[#This Row],[ActualWinner]]=Table1[[#This Row],[HomeTeam]], 1, 0))</f>
        <v>0</v>
      </c>
      <c r="AJ1208" s="64">
        <f>IF(INDEX(Standings!$A$2:$C$33,MATCH(Table1[[#This Row],[AwayTeam]],Standings!$A$2:$A$33,0),2)=INDEX(Standings!$A$2:$C$33,MATCH(Table1[[#This Row],[HomeTeam]],Standings!$A$2:$A$33,0),2),1,0)</f>
        <v>1</v>
      </c>
      <c r="AK1208" s="64">
        <f>IF(INDEX(Standings!$A$2:$C$33,MATCH(Table1[[#This Row],[AwayTeam]],Standings!$A$2:$A$33,0),3)=INDEX(Standings!$A$2:$C$33,MATCH(Table1[[#This Row],[HomeTeam]],Standings!$A$2:$A$33,0),3),1,0)</f>
        <v>1</v>
      </c>
      <c r="AL1208" s="64">
        <f>IF(Table1[[#This Row],[InterConf]]=1,IF(Table1[[#This Row],[InterDiv]]=0, 1, 0), 0)</f>
        <v>0</v>
      </c>
      <c r="AM1208" s="64">
        <f>IF(INDEX(Standings!$A$2:$C$33,MATCH(Table1[[#This Row],[AwayTeam]],Standings!$A$2:$A$33,0),2)&lt;&gt;INDEX(Standings!$A$2:$C$33,MATCH(Table1[[#This Row],[HomeTeam]],Standings!$A$2:$A$33,0),2),1,0)</f>
        <v>0</v>
      </c>
      <c r="AN1208" s="64" t="str">
        <f>INDEX(Table2[AWAY_RECORD], MATCH(Table1[[#This Row],[AwayTeam]],Table2[Team], 0), 0)</f>
        <v>1-0-0</v>
      </c>
      <c r="AO1208" s="64" t="str">
        <f>INDEX(Records!$B$2:$AG$33, MATCH(Table1[[#This Row],[AwayTeam]],Records!$A$2:$A$33, 0), MATCH(Table1[[#This Row],[HomeTeam]],Records!$A$2:$A$33, 0))</f>
        <v>0-0-0</v>
      </c>
      <c r="AP1208" s="64" t="str">
        <f>INDEX(Table2[HOME_RECORD], MATCH(Table1[[#This Row],[HomeTeam]],Table2[Team], 0), 0)</f>
        <v>0-0-1</v>
      </c>
      <c r="AQ1208" s="64" t="str">
        <f>INDEX(Records!$B$2:$AG$33, MATCH(Table1[[#This Row],[HomeTeam]],Records!$A$2:$A$33, 0), MATCH(Table1[[#This Row],[AwayTeam]],Records!$A$2:$A$33, 0))</f>
        <v>0-0-0</v>
      </c>
    </row>
    <row r="1209" spans="1:43" x14ac:dyDescent="0.25">
      <c r="A1209" s="1"/>
      <c r="D1209" t="s">
        <v>1564</v>
      </c>
      <c r="E1209" t="s">
        <v>169</v>
      </c>
      <c r="F1209" t="s">
        <v>1565</v>
      </c>
      <c r="G1209" t="s">
        <v>52</v>
      </c>
      <c r="H1209" t="s">
        <v>47</v>
      </c>
      <c r="L120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0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09" s="1"/>
      <c r="T1209" s="64" t="str">
        <f>IF(Table1[[#This Row],[ActualWinner]]="", "", IF(Table1[[#This Row],[AwayTeam]]=Table1[[#This Row],[ActualWinner]],Table1[[#This Row],[HomeTeam]],Table1[[#This Row],[AwayTeam]]))</f>
        <v/>
      </c>
      <c r="U1209" s="64">
        <f>Table1[[#This Row],[ActualAwayScore]]-Table1[[#This Row],[PredictedAwayScore]]</f>
        <v>0</v>
      </c>
      <c r="V1209" s="64">
        <f>Table1[[#This Row],[ActualHomeScore]]-Table1[[#This Row],[PredictedHomeScore]]</f>
        <v>0</v>
      </c>
      <c r="W1209" s="64">
        <f>(0.8*IF(Table1[[#This Row],[CorrectWinnerPrediction]]=1, 1, 0))+(0.1*IF(Table1[[#This Row],[CorrectAwayScorePrediction]]=1, 1, 0))+(0.1*IF(Table1[[#This Row],[CorrectHomeScorePrediction]]=1, 1, 0))</f>
        <v>0</v>
      </c>
      <c r="X120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09" s="64">
        <f>SUMIF(Table1[GameDate], Table1[[#This Row],[GameDate]], Table1[AwayGameGoalDiff])</f>
        <v>0</v>
      </c>
      <c r="AA1209" s="64">
        <f>SUMIF(Table1[GameDate], Table1[[#This Row],[GameDate]], Table1[HomeGameGoalDiff])</f>
        <v>0</v>
      </c>
      <c r="AB1209" s="64">
        <f>IF(ISBLANK(Table1[[#This Row],[ActualResult]]), 0, 1)</f>
        <v>0</v>
      </c>
      <c r="AC1209" s="64">
        <f>IF(ISBLANK(Table1[[#This Row],[ActualResult]]), 0, IF(Table1[[#This Row],[ActualWinner]]=Table1[[#This Row],[PredictedWinner]], 1, 0))</f>
        <v>0</v>
      </c>
      <c r="AD120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0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09" s="64">
        <f>IF(AND(Table1[[#This Row],[GameIsOver]]=1,Table1[[#This Row],[ActualAwayScore]]=0), 1,0)</f>
        <v>0</v>
      </c>
      <c r="AG1209" s="64">
        <f>IF(AND(Table1[[#This Row],[GameIsOver]]=1,Table1[[#This Row],[ActualHomeScore]]=0), 1,0)</f>
        <v>0</v>
      </c>
      <c r="AH1209" s="64">
        <f>IF(Table1[[#This Row],[GameIsOver]]=0,0,IF(Table1[[#This Row],[ActualWinner]]=Table1[[#This Row],[AwayTeam]], 1, 0))</f>
        <v>0</v>
      </c>
      <c r="AI1209" s="64">
        <f>IF(Table1[[#This Row],[GameIsOver]]=0,0,IF(Table1[[#This Row],[ActualWinner]]=Table1[[#This Row],[HomeTeam]], 1, 0))</f>
        <v>0</v>
      </c>
      <c r="AJ1209" s="64">
        <f>IF(INDEX(Standings!$A$2:$C$33,MATCH(Table1[[#This Row],[AwayTeam]],Standings!$A$2:$A$33,0),2)=INDEX(Standings!$A$2:$C$33,MATCH(Table1[[#This Row],[HomeTeam]],Standings!$A$2:$A$33,0),2),1,0)</f>
        <v>1</v>
      </c>
      <c r="AK1209" s="64">
        <f>IF(INDEX(Standings!$A$2:$C$33,MATCH(Table1[[#This Row],[AwayTeam]],Standings!$A$2:$A$33,0),3)=INDEX(Standings!$A$2:$C$33,MATCH(Table1[[#This Row],[HomeTeam]],Standings!$A$2:$A$33,0),3),1,0)</f>
        <v>1</v>
      </c>
      <c r="AL1209" s="64">
        <f>IF(Table1[[#This Row],[InterConf]]=1,IF(Table1[[#This Row],[InterDiv]]=0, 1, 0), 0)</f>
        <v>0</v>
      </c>
      <c r="AM1209" s="64">
        <f>IF(INDEX(Standings!$A$2:$C$33,MATCH(Table1[[#This Row],[AwayTeam]],Standings!$A$2:$A$33,0),2)&lt;&gt;INDEX(Standings!$A$2:$C$33,MATCH(Table1[[#This Row],[HomeTeam]],Standings!$A$2:$A$33,0),2),1,0)</f>
        <v>0</v>
      </c>
      <c r="AN1209" s="64" t="str">
        <f>INDEX(Table2[AWAY_RECORD], MATCH(Table1[[#This Row],[AwayTeam]],Table2[Team], 0), 0)</f>
        <v>0-0-0</v>
      </c>
      <c r="AO1209" s="64" t="str">
        <f>INDEX(Records!$B$2:$AG$33, MATCH(Table1[[#This Row],[AwayTeam]],Records!$A$2:$A$33, 0), MATCH(Table1[[#This Row],[HomeTeam]],Records!$A$2:$A$33, 0))</f>
        <v>0-0-0</v>
      </c>
      <c r="AP1209" s="64" t="str">
        <f>INDEX(Table2[HOME_RECORD], MATCH(Table1[[#This Row],[HomeTeam]],Table2[Team], 0), 0)</f>
        <v>0-0-0</v>
      </c>
      <c r="AQ1209" s="64" t="str">
        <f>INDEX(Records!$B$2:$AG$33, MATCH(Table1[[#This Row],[HomeTeam]],Records!$A$2:$A$33, 0), MATCH(Table1[[#This Row],[AwayTeam]],Records!$A$2:$A$33, 0))</f>
        <v>0-0-0</v>
      </c>
    </row>
    <row r="1210" spans="1:43" x14ac:dyDescent="0.25">
      <c r="A1210" s="1"/>
      <c r="D1210" t="s">
        <v>1564</v>
      </c>
      <c r="E1210" t="s">
        <v>169</v>
      </c>
      <c r="F1210" t="s">
        <v>1566</v>
      </c>
      <c r="G1210" t="s">
        <v>59</v>
      </c>
      <c r="H1210" t="s">
        <v>44</v>
      </c>
      <c r="L121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1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10" s="1"/>
      <c r="T1210" s="64" t="str">
        <f>IF(Table1[[#This Row],[ActualWinner]]="", "", IF(Table1[[#This Row],[AwayTeam]]=Table1[[#This Row],[ActualWinner]],Table1[[#This Row],[HomeTeam]],Table1[[#This Row],[AwayTeam]]))</f>
        <v/>
      </c>
      <c r="U1210" s="64">
        <f>Table1[[#This Row],[ActualAwayScore]]-Table1[[#This Row],[PredictedAwayScore]]</f>
        <v>0</v>
      </c>
      <c r="V1210" s="64">
        <f>Table1[[#This Row],[ActualHomeScore]]-Table1[[#This Row],[PredictedHomeScore]]</f>
        <v>0</v>
      </c>
      <c r="W1210" s="64">
        <f>(0.8*IF(Table1[[#This Row],[CorrectWinnerPrediction]]=1, 1, 0))+(0.1*IF(Table1[[#This Row],[CorrectAwayScorePrediction]]=1, 1, 0))+(0.1*IF(Table1[[#This Row],[CorrectHomeScorePrediction]]=1, 1, 0))</f>
        <v>0</v>
      </c>
      <c r="X121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10" s="64">
        <f>SUMIF(Table1[GameDate], Table1[[#This Row],[GameDate]], Table1[AwayGameGoalDiff])</f>
        <v>0</v>
      </c>
      <c r="AA1210" s="64">
        <f>SUMIF(Table1[GameDate], Table1[[#This Row],[GameDate]], Table1[HomeGameGoalDiff])</f>
        <v>0</v>
      </c>
      <c r="AB1210" s="64">
        <f>IF(ISBLANK(Table1[[#This Row],[ActualResult]]), 0, 1)</f>
        <v>0</v>
      </c>
      <c r="AC1210" s="64">
        <f>IF(ISBLANK(Table1[[#This Row],[ActualResult]]), 0, IF(Table1[[#This Row],[ActualWinner]]=Table1[[#This Row],[PredictedWinner]], 1, 0))</f>
        <v>0</v>
      </c>
      <c r="AD121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1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10" s="64">
        <f>IF(AND(Table1[[#This Row],[GameIsOver]]=1,Table1[[#This Row],[ActualAwayScore]]=0), 1,0)</f>
        <v>0</v>
      </c>
      <c r="AG1210" s="64">
        <f>IF(AND(Table1[[#This Row],[GameIsOver]]=1,Table1[[#This Row],[ActualHomeScore]]=0), 1,0)</f>
        <v>0</v>
      </c>
      <c r="AH1210" s="64">
        <f>IF(Table1[[#This Row],[GameIsOver]]=0,0,IF(Table1[[#This Row],[ActualWinner]]=Table1[[#This Row],[AwayTeam]], 1, 0))</f>
        <v>0</v>
      </c>
      <c r="AI1210" s="64">
        <f>IF(Table1[[#This Row],[GameIsOver]]=0,0,IF(Table1[[#This Row],[ActualWinner]]=Table1[[#This Row],[HomeTeam]], 1, 0))</f>
        <v>0</v>
      </c>
      <c r="AJ1210" s="64">
        <f>IF(INDEX(Standings!$A$2:$C$33,MATCH(Table1[[#This Row],[AwayTeam]],Standings!$A$2:$A$33,0),2)=INDEX(Standings!$A$2:$C$33,MATCH(Table1[[#This Row],[HomeTeam]],Standings!$A$2:$A$33,0),2),1,0)</f>
        <v>1</v>
      </c>
      <c r="AK1210" s="64">
        <f>IF(INDEX(Standings!$A$2:$C$33,MATCH(Table1[[#This Row],[AwayTeam]],Standings!$A$2:$A$33,0),3)=INDEX(Standings!$A$2:$C$33,MATCH(Table1[[#This Row],[HomeTeam]],Standings!$A$2:$A$33,0),3),1,0)</f>
        <v>0</v>
      </c>
      <c r="AL1210" s="64">
        <f>IF(Table1[[#This Row],[InterConf]]=1,IF(Table1[[#This Row],[InterDiv]]=0, 1, 0), 0)</f>
        <v>1</v>
      </c>
      <c r="AM1210" s="64">
        <f>IF(INDEX(Standings!$A$2:$C$33,MATCH(Table1[[#This Row],[AwayTeam]],Standings!$A$2:$A$33,0),2)&lt;&gt;INDEX(Standings!$A$2:$C$33,MATCH(Table1[[#This Row],[HomeTeam]],Standings!$A$2:$A$33,0),2),1,0)</f>
        <v>0</v>
      </c>
      <c r="AN1210" s="64" t="str">
        <f>INDEX(Table2[AWAY_RECORD], MATCH(Table1[[#This Row],[AwayTeam]],Table2[Team], 0), 0)</f>
        <v>0-1-0</v>
      </c>
      <c r="AO1210" s="64" t="str">
        <f>INDEX(Records!$B$2:$AG$33, MATCH(Table1[[#This Row],[AwayTeam]],Records!$A$2:$A$33, 0), MATCH(Table1[[#This Row],[HomeTeam]],Records!$A$2:$A$33, 0))</f>
        <v>0-0-0</v>
      </c>
      <c r="AP1210" s="64" t="str">
        <f>INDEX(Table2[HOME_RECORD], MATCH(Table1[[#This Row],[HomeTeam]],Table2[Team], 0), 0)</f>
        <v>0-0-1</v>
      </c>
      <c r="AQ1210" s="64" t="str">
        <f>INDEX(Records!$B$2:$AG$33, MATCH(Table1[[#This Row],[HomeTeam]],Records!$A$2:$A$33, 0), MATCH(Table1[[#This Row],[AwayTeam]],Records!$A$2:$A$33, 0))</f>
        <v>0-0-0</v>
      </c>
    </row>
    <row r="1211" spans="1:43" x14ac:dyDescent="0.25">
      <c r="A1211" s="1"/>
      <c r="D1211" t="s">
        <v>1564</v>
      </c>
      <c r="E1211" t="s">
        <v>164</v>
      </c>
      <c r="F1211" t="s">
        <v>1567</v>
      </c>
      <c r="G1211" t="s">
        <v>36</v>
      </c>
      <c r="H1211" t="s">
        <v>55</v>
      </c>
      <c r="L121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1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11" s="1"/>
      <c r="T1211" s="64" t="str">
        <f>IF(Table1[[#This Row],[ActualWinner]]="", "", IF(Table1[[#This Row],[AwayTeam]]=Table1[[#This Row],[ActualWinner]],Table1[[#This Row],[HomeTeam]],Table1[[#This Row],[AwayTeam]]))</f>
        <v/>
      </c>
      <c r="U1211" s="64">
        <f>Table1[[#This Row],[ActualAwayScore]]-Table1[[#This Row],[PredictedAwayScore]]</f>
        <v>0</v>
      </c>
      <c r="V1211" s="64">
        <f>Table1[[#This Row],[ActualHomeScore]]-Table1[[#This Row],[PredictedHomeScore]]</f>
        <v>0</v>
      </c>
      <c r="W1211" s="64">
        <f>(0.8*IF(Table1[[#This Row],[CorrectWinnerPrediction]]=1, 1, 0))+(0.1*IF(Table1[[#This Row],[CorrectAwayScorePrediction]]=1, 1, 0))+(0.1*IF(Table1[[#This Row],[CorrectHomeScorePrediction]]=1, 1, 0))</f>
        <v>0</v>
      </c>
      <c r="X121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11" s="64">
        <f>SUMIF(Table1[GameDate], Table1[[#This Row],[GameDate]], Table1[AwayGameGoalDiff])</f>
        <v>0</v>
      </c>
      <c r="AA1211" s="64">
        <f>SUMIF(Table1[GameDate], Table1[[#This Row],[GameDate]], Table1[HomeGameGoalDiff])</f>
        <v>0</v>
      </c>
      <c r="AB1211" s="64">
        <f>IF(ISBLANK(Table1[[#This Row],[ActualResult]]), 0, 1)</f>
        <v>0</v>
      </c>
      <c r="AC1211" s="64">
        <f>IF(ISBLANK(Table1[[#This Row],[ActualResult]]), 0, IF(Table1[[#This Row],[ActualWinner]]=Table1[[#This Row],[PredictedWinner]], 1, 0))</f>
        <v>0</v>
      </c>
      <c r="AD121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1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11" s="64">
        <f>IF(AND(Table1[[#This Row],[GameIsOver]]=1,Table1[[#This Row],[ActualAwayScore]]=0), 1,0)</f>
        <v>0</v>
      </c>
      <c r="AG1211" s="64">
        <f>IF(AND(Table1[[#This Row],[GameIsOver]]=1,Table1[[#This Row],[ActualHomeScore]]=0), 1,0)</f>
        <v>0</v>
      </c>
      <c r="AH1211" s="64">
        <f>IF(Table1[[#This Row],[GameIsOver]]=0,0,IF(Table1[[#This Row],[ActualWinner]]=Table1[[#This Row],[AwayTeam]], 1, 0))</f>
        <v>0</v>
      </c>
      <c r="AI1211" s="64">
        <f>IF(Table1[[#This Row],[GameIsOver]]=0,0,IF(Table1[[#This Row],[ActualWinner]]=Table1[[#This Row],[HomeTeam]], 1, 0))</f>
        <v>0</v>
      </c>
      <c r="AJ1211" s="64">
        <f>IF(INDEX(Standings!$A$2:$C$33,MATCH(Table1[[#This Row],[AwayTeam]],Standings!$A$2:$A$33,0),2)=INDEX(Standings!$A$2:$C$33,MATCH(Table1[[#This Row],[HomeTeam]],Standings!$A$2:$A$33,0),2),1,0)</f>
        <v>1</v>
      </c>
      <c r="AK1211" s="64">
        <f>IF(INDEX(Standings!$A$2:$C$33,MATCH(Table1[[#This Row],[AwayTeam]],Standings!$A$2:$A$33,0),3)=INDEX(Standings!$A$2:$C$33,MATCH(Table1[[#This Row],[HomeTeam]],Standings!$A$2:$A$33,0),3),1,0)</f>
        <v>1</v>
      </c>
      <c r="AL1211" s="64">
        <f>IF(Table1[[#This Row],[InterConf]]=1,IF(Table1[[#This Row],[InterDiv]]=0, 1, 0), 0)</f>
        <v>0</v>
      </c>
      <c r="AM1211" s="64">
        <f>IF(INDEX(Standings!$A$2:$C$33,MATCH(Table1[[#This Row],[AwayTeam]],Standings!$A$2:$A$33,0),2)&lt;&gt;INDEX(Standings!$A$2:$C$33,MATCH(Table1[[#This Row],[HomeTeam]],Standings!$A$2:$A$33,0),2),1,0)</f>
        <v>0</v>
      </c>
      <c r="AN1211" s="64" t="str">
        <f>INDEX(Table2[AWAY_RECORD], MATCH(Table1[[#This Row],[AwayTeam]],Table2[Team], 0), 0)</f>
        <v>0-0-0</v>
      </c>
      <c r="AO1211" s="64" t="str">
        <f>INDEX(Records!$B$2:$AG$33, MATCH(Table1[[#This Row],[AwayTeam]],Records!$A$2:$A$33, 0), MATCH(Table1[[#This Row],[HomeTeam]],Records!$A$2:$A$33, 0))</f>
        <v>0-0-0</v>
      </c>
      <c r="AP1211" s="64" t="str">
        <f>INDEX(Table2[HOME_RECORD], MATCH(Table1[[#This Row],[HomeTeam]],Table2[Team], 0), 0)</f>
        <v>0-1-0</v>
      </c>
      <c r="AQ1211" s="64" t="str">
        <f>INDEX(Records!$B$2:$AG$33, MATCH(Table1[[#This Row],[HomeTeam]],Records!$A$2:$A$33, 0), MATCH(Table1[[#This Row],[AwayTeam]],Records!$A$2:$A$33, 0))</f>
        <v>0-0-0</v>
      </c>
    </row>
    <row r="1212" spans="1:43" x14ac:dyDescent="0.25">
      <c r="A1212" s="1"/>
      <c r="D1212" t="s">
        <v>1568</v>
      </c>
      <c r="E1212" t="s">
        <v>160</v>
      </c>
      <c r="F1212" t="s">
        <v>1569</v>
      </c>
      <c r="G1212" t="s">
        <v>52</v>
      </c>
      <c r="H1212" t="s">
        <v>37</v>
      </c>
      <c r="L121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1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12" s="1"/>
      <c r="T1212" s="64" t="str">
        <f>IF(Table1[[#This Row],[ActualWinner]]="", "", IF(Table1[[#This Row],[AwayTeam]]=Table1[[#This Row],[ActualWinner]],Table1[[#This Row],[HomeTeam]],Table1[[#This Row],[AwayTeam]]))</f>
        <v/>
      </c>
      <c r="U1212" s="64">
        <f>Table1[[#This Row],[ActualAwayScore]]-Table1[[#This Row],[PredictedAwayScore]]</f>
        <v>0</v>
      </c>
      <c r="V1212" s="64">
        <f>Table1[[#This Row],[ActualHomeScore]]-Table1[[#This Row],[PredictedHomeScore]]</f>
        <v>0</v>
      </c>
      <c r="W1212" s="64">
        <f>(0.8*IF(Table1[[#This Row],[CorrectWinnerPrediction]]=1, 1, 0))+(0.1*IF(Table1[[#This Row],[CorrectAwayScorePrediction]]=1, 1, 0))+(0.1*IF(Table1[[#This Row],[CorrectHomeScorePrediction]]=1, 1, 0))</f>
        <v>0</v>
      </c>
      <c r="X121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12" s="64">
        <f>SUMIF(Table1[GameDate], Table1[[#This Row],[GameDate]], Table1[AwayGameGoalDiff])</f>
        <v>0</v>
      </c>
      <c r="AA1212" s="64">
        <f>SUMIF(Table1[GameDate], Table1[[#This Row],[GameDate]], Table1[HomeGameGoalDiff])</f>
        <v>0</v>
      </c>
      <c r="AB1212" s="64">
        <f>IF(ISBLANK(Table1[[#This Row],[ActualResult]]), 0, 1)</f>
        <v>0</v>
      </c>
      <c r="AC1212" s="64">
        <f>IF(ISBLANK(Table1[[#This Row],[ActualResult]]), 0, IF(Table1[[#This Row],[ActualWinner]]=Table1[[#This Row],[PredictedWinner]], 1, 0))</f>
        <v>0</v>
      </c>
      <c r="AD121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1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12" s="64">
        <f>IF(AND(Table1[[#This Row],[GameIsOver]]=1,Table1[[#This Row],[ActualAwayScore]]=0), 1,0)</f>
        <v>0</v>
      </c>
      <c r="AG1212" s="64">
        <f>IF(AND(Table1[[#This Row],[GameIsOver]]=1,Table1[[#This Row],[ActualHomeScore]]=0), 1,0)</f>
        <v>0</v>
      </c>
      <c r="AH1212" s="64">
        <f>IF(Table1[[#This Row],[GameIsOver]]=0,0,IF(Table1[[#This Row],[ActualWinner]]=Table1[[#This Row],[AwayTeam]], 1, 0))</f>
        <v>0</v>
      </c>
      <c r="AI1212" s="64">
        <f>IF(Table1[[#This Row],[GameIsOver]]=0,0,IF(Table1[[#This Row],[ActualWinner]]=Table1[[#This Row],[HomeTeam]], 1, 0))</f>
        <v>0</v>
      </c>
      <c r="AJ1212" s="64">
        <f>IF(INDEX(Standings!$A$2:$C$33,MATCH(Table1[[#This Row],[AwayTeam]],Standings!$A$2:$A$33,0),2)=INDEX(Standings!$A$2:$C$33,MATCH(Table1[[#This Row],[HomeTeam]],Standings!$A$2:$A$33,0),2),1,0)</f>
        <v>1</v>
      </c>
      <c r="AK1212" s="64">
        <f>IF(INDEX(Standings!$A$2:$C$33,MATCH(Table1[[#This Row],[AwayTeam]],Standings!$A$2:$A$33,0),3)=INDEX(Standings!$A$2:$C$33,MATCH(Table1[[#This Row],[HomeTeam]],Standings!$A$2:$A$33,0),3),1,0)</f>
        <v>1</v>
      </c>
      <c r="AL1212" s="64">
        <f>IF(Table1[[#This Row],[InterConf]]=1,IF(Table1[[#This Row],[InterDiv]]=0, 1, 0), 0)</f>
        <v>0</v>
      </c>
      <c r="AM1212" s="64">
        <f>IF(INDEX(Standings!$A$2:$C$33,MATCH(Table1[[#This Row],[AwayTeam]],Standings!$A$2:$A$33,0),2)&lt;&gt;INDEX(Standings!$A$2:$C$33,MATCH(Table1[[#This Row],[HomeTeam]],Standings!$A$2:$A$33,0),2),1,0)</f>
        <v>0</v>
      </c>
      <c r="AN1212" s="64" t="str">
        <f>INDEX(Table2[AWAY_RECORD], MATCH(Table1[[#This Row],[AwayTeam]],Table2[Team], 0), 0)</f>
        <v>0-0-0</v>
      </c>
      <c r="AO1212" s="64" t="str">
        <f>INDEX(Records!$B$2:$AG$33, MATCH(Table1[[#This Row],[AwayTeam]],Records!$A$2:$A$33, 0), MATCH(Table1[[#This Row],[HomeTeam]],Records!$A$2:$A$33, 0))</f>
        <v>0-0-0</v>
      </c>
      <c r="AP1212" s="64" t="str">
        <f>INDEX(Table2[HOME_RECORD], MATCH(Table1[[#This Row],[HomeTeam]],Table2[Team], 0), 0)</f>
        <v>0-1-0</v>
      </c>
      <c r="AQ1212" s="64" t="str">
        <f>INDEX(Records!$B$2:$AG$33, MATCH(Table1[[#This Row],[HomeTeam]],Records!$A$2:$A$33, 0), MATCH(Table1[[#This Row],[AwayTeam]],Records!$A$2:$A$33, 0))</f>
        <v>0-0-0</v>
      </c>
    </row>
    <row r="1213" spans="1:43" x14ac:dyDescent="0.25">
      <c r="A1213" s="1"/>
      <c r="D1213" t="s">
        <v>1568</v>
      </c>
      <c r="E1213" t="s">
        <v>160</v>
      </c>
      <c r="F1213" t="s">
        <v>1570</v>
      </c>
      <c r="G1213" t="s">
        <v>24</v>
      </c>
      <c r="H1213" t="s">
        <v>38</v>
      </c>
      <c r="L121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1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13" s="1"/>
      <c r="T1213" s="64" t="str">
        <f>IF(Table1[[#This Row],[ActualWinner]]="", "", IF(Table1[[#This Row],[AwayTeam]]=Table1[[#This Row],[ActualWinner]],Table1[[#This Row],[HomeTeam]],Table1[[#This Row],[AwayTeam]]))</f>
        <v/>
      </c>
      <c r="U1213" s="64">
        <f>Table1[[#This Row],[ActualAwayScore]]-Table1[[#This Row],[PredictedAwayScore]]</f>
        <v>0</v>
      </c>
      <c r="V1213" s="64">
        <f>Table1[[#This Row],[ActualHomeScore]]-Table1[[#This Row],[PredictedHomeScore]]</f>
        <v>0</v>
      </c>
      <c r="W1213" s="64">
        <f>(0.8*IF(Table1[[#This Row],[CorrectWinnerPrediction]]=1, 1, 0))+(0.1*IF(Table1[[#This Row],[CorrectAwayScorePrediction]]=1, 1, 0))+(0.1*IF(Table1[[#This Row],[CorrectHomeScorePrediction]]=1, 1, 0))</f>
        <v>0</v>
      </c>
      <c r="X121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13" s="64">
        <f>SUMIF(Table1[GameDate], Table1[[#This Row],[GameDate]], Table1[AwayGameGoalDiff])</f>
        <v>0</v>
      </c>
      <c r="AA1213" s="64">
        <f>SUMIF(Table1[GameDate], Table1[[#This Row],[GameDate]], Table1[HomeGameGoalDiff])</f>
        <v>0</v>
      </c>
      <c r="AB1213" s="64">
        <f>IF(ISBLANK(Table1[[#This Row],[ActualResult]]), 0, 1)</f>
        <v>0</v>
      </c>
      <c r="AC1213" s="64">
        <f>IF(ISBLANK(Table1[[#This Row],[ActualResult]]), 0, IF(Table1[[#This Row],[ActualWinner]]=Table1[[#This Row],[PredictedWinner]], 1, 0))</f>
        <v>0</v>
      </c>
      <c r="AD121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1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13" s="64">
        <f>IF(AND(Table1[[#This Row],[GameIsOver]]=1,Table1[[#This Row],[ActualAwayScore]]=0), 1,0)</f>
        <v>0</v>
      </c>
      <c r="AG1213" s="64">
        <f>IF(AND(Table1[[#This Row],[GameIsOver]]=1,Table1[[#This Row],[ActualHomeScore]]=0), 1,0)</f>
        <v>0</v>
      </c>
      <c r="AH1213" s="64">
        <f>IF(Table1[[#This Row],[GameIsOver]]=0,0,IF(Table1[[#This Row],[ActualWinner]]=Table1[[#This Row],[AwayTeam]], 1, 0))</f>
        <v>0</v>
      </c>
      <c r="AI1213" s="64">
        <f>IF(Table1[[#This Row],[GameIsOver]]=0,0,IF(Table1[[#This Row],[ActualWinner]]=Table1[[#This Row],[HomeTeam]], 1, 0))</f>
        <v>0</v>
      </c>
      <c r="AJ1213" s="64">
        <f>IF(INDEX(Standings!$A$2:$C$33,MATCH(Table1[[#This Row],[AwayTeam]],Standings!$A$2:$A$33,0),2)=INDEX(Standings!$A$2:$C$33,MATCH(Table1[[#This Row],[HomeTeam]],Standings!$A$2:$A$33,0),2),1,0)</f>
        <v>1</v>
      </c>
      <c r="AK1213" s="64">
        <f>IF(INDEX(Standings!$A$2:$C$33,MATCH(Table1[[#This Row],[AwayTeam]],Standings!$A$2:$A$33,0),3)=INDEX(Standings!$A$2:$C$33,MATCH(Table1[[#This Row],[HomeTeam]],Standings!$A$2:$A$33,0),3),1,0)</f>
        <v>1</v>
      </c>
      <c r="AL1213" s="64">
        <f>IF(Table1[[#This Row],[InterConf]]=1,IF(Table1[[#This Row],[InterDiv]]=0, 1, 0), 0)</f>
        <v>0</v>
      </c>
      <c r="AM1213" s="64">
        <f>IF(INDEX(Standings!$A$2:$C$33,MATCH(Table1[[#This Row],[AwayTeam]],Standings!$A$2:$A$33,0),2)&lt;&gt;INDEX(Standings!$A$2:$C$33,MATCH(Table1[[#This Row],[HomeTeam]],Standings!$A$2:$A$33,0),2),1,0)</f>
        <v>0</v>
      </c>
      <c r="AN1213" s="64" t="str">
        <f>INDEX(Table2[AWAY_RECORD], MATCH(Table1[[#This Row],[AwayTeam]],Table2[Team], 0), 0)</f>
        <v>0-0-0</v>
      </c>
      <c r="AO1213" s="64" t="str">
        <f>INDEX(Records!$B$2:$AG$33, MATCH(Table1[[#This Row],[AwayTeam]],Records!$A$2:$A$33, 0), MATCH(Table1[[#This Row],[HomeTeam]],Records!$A$2:$A$33, 0))</f>
        <v>0-0-0</v>
      </c>
      <c r="AP1213" s="64" t="str">
        <f>INDEX(Table2[HOME_RECORD], MATCH(Table1[[#This Row],[HomeTeam]],Table2[Team], 0), 0)</f>
        <v>0-0-0</v>
      </c>
      <c r="AQ1213" s="64" t="str">
        <f>INDEX(Records!$B$2:$AG$33, MATCH(Table1[[#This Row],[HomeTeam]],Records!$A$2:$A$33, 0), MATCH(Table1[[#This Row],[AwayTeam]],Records!$A$2:$A$33, 0))</f>
        <v>0-0-0</v>
      </c>
    </row>
    <row r="1214" spans="1:43" x14ac:dyDescent="0.25">
      <c r="A1214" s="1"/>
      <c r="D1214" t="s">
        <v>1568</v>
      </c>
      <c r="E1214" t="s">
        <v>160</v>
      </c>
      <c r="F1214" t="s">
        <v>1571</v>
      </c>
      <c r="G1214" t="s">
        <v>53</v>
      </c>
      <c r="H1214" t="s">
        <v>57</v>
      </c>
      <c r="L121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1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14" s="1"/>
      <c r="T1214" s="64" t="str">
        <f>IF(Table1[[#This Row],[ActualWinner]]="", "", IF(Table1[[#This Row],[AwayTeam]]=Table1[[#This Row],[ActualWinner]],Table1[[#This Row],[HomeTeam]],Table1[[#This Row],[AwayTeam]]))</f>
        <v/>
      </c>
      <c r="U1214" s="64">
        <f>Table1[[#This Row],[ActualAwayScore]]-Table1[[#This Row],[PredictedAwayScore]]</f>
        <v>0</v>
      </c>
      <c r="V1214" s="64">
        <f>Table1[[#This Row],[ActualHomeScore]]-Table1[[#This Row],[PredictedHomeScore]]</f>
        <v>0</v>
      </c>
      <c r="W1214" s="64">
        <f>(0.8*IF(Table1[[#This Row],[CorrectWinnerPrediction]]=1, 1, 0))+(0.1*IF(Table1[[#This Row],[CorrectAwayScorePrediction]]=1, 1, 0))+(0.1*IF(Table1[[#This Row],[CorrectHomeScorePrediction]]=1, 1, 0))</f>
        <v>0</v>
      </c>
      <c r="X121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14" s="64">
        <f>SUMIF(Table1[GameDate], Table1[[#This Row],[GameDate]], Table1[AwayGameGoalDiff])</f>
        <v>0</v>
      </c>
      <c r="AA1214" s="64">
        <f>SUMIF(Table1[GameDate], Table1[[#This Row],[GameDate]], Table1[HomeGameGoalDiff])</f>
        <v>0</v>
      </c>
      <c r="AB1214" s="64">
        <f>IF(ISBLANK(Table1[[#This Row],[ActualResult]]), 0, 1)</f>
        <v>0</v>
      </c>
      <c r="AC1214" s="64">
        <f>IF(ISBLANK(Table1[[#This Row],[ActualResult]]), 0, IF(Table1[[#This Row],[ActualWinner]]=Table1[[#This Row],[PredictedWinner]], 1, 0))</f>
        <v>0</v>
      </c>
      <c r="AD121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1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14" s="64">
        <f>IF(AND(Table1[[#This Row],[GameIsOver]]=1,Table1[[#This Row],[ActualAwayScore]]=0), 1,0)</f>
        <v>0</v>
      </c>
      <c r="AG1214" s="64">
        <f>IF(AND(Table1[[#This Row],[GameIsOver]]=1,Table1[[#This Row],[ActualHomeScore]]=0), 1,0)</f>
        <v>0</v>
      </c>
      <c r="AH1214" s="64">
        <f>IF(Table1[[#This Row],[GameIsOver]]=0,0,IF(Table1[[#This Row],[ActualWinner]]=Table1[[#This Row],[AwayTeam]], 1, 0))</f>
        <v>0</v>
      </c>
      <c r="AI1214" s="64">
        <f>IF(Table1[[#This Row],[GameIsOver]]=0,0,IF(Table1[[#This Row],[ActualWinner]]=Table1[[#This Row],[HomeTeam]], 1, 0))</f>
        <v>0</v>
      </c>
      <c r="AJ1214" s="64">
        <f>IF(INDEX(Standings!$A$2:$C$33,MATCH(Table1[[#This Row],[AwayTeam]],Standings!$A$2:$A$33,0),2)=INDEX(Standings!$A$2:$C$33,MATCH(Table1[[#This Row],[HomeTeam]],Standings!$A$2:$A$33,0),2),1,0)</f>
        <v>1</v>
      </c>
      <c r="AK1214" s="64">
        <f>IF(INDEX(Standings!$A$2:$C$33,MATCH(Table1[[#This Row],[AwayTeam]],Standings!$A$2:$A$33,0),3)=INDEX(Standings!$A$2:$C$33,MATCH(Table1[[#This Row],[HomeTeam]],Standings!$A$2:$A$33,0),3),1,0)</f>
        <v>0</v>
      </c>
      <c r="AL1214" s="64">
        <f>IF(Table1[[#This Row],[InterConf]]=1,IF(Table1[[#This Row],[InterDiv]]=0, 1, 0), 0)</f>
        <v>1</v>
      </c>
      <c r="AM1214" s="64">
        <f>IF(INDEX(Standings!$A$2:$C$33,MATCH(Table1[[#This Row],[AwayTeam]],Standings!$A$2:$A$33,0),2)&lt;&gt;INDEX(Standings!$A$2:$C$33,MATCH(Table1[[#This Row],[HomeTeam]],Standings!$A$2:$A$33,0),2),1,0)</f>
        <v>0</v>
      </c>
      <c r="AN1214" s="64" t="str">
        <f>INDEX(Table2[AWAY_RECORD], MATCH(Table1[[#This Row],[AwayTeam]],Table2[Team], 0), 0)</f>
        <v>0-1-0</v>
      </c>
      <c r="AO1214" s="64" t="str">
        <f>INDEX(Records!$B$2:$AG$33, MATCH(Table1[[#This Row],[AwayTeam]],Records!$A$2:$A$33, 0), MATCH(Table1[[#This Row],[HomeTeam]],Records!$A$2:$A$33, 0))</f>
        <v>0-0-0</v>
      </c>
      <c r="AP1214" s="64" t="str">
        <f>INDEX(Table2[HOME_RECORD], MATCH(Table1[[#This Row],[HomeTeam]],Table2[Team], 0), 0)</f>
        <v>0-0-0</v>
      </c>
      <c r="AQ1214" s="64" t="str">
        <f>INDEX(Records!$B$2:$AG$33, MATCH(Table1[[#This Row],[HomeTeam]],Records!$A$2:$A$33, 0), MATCH(Table1[[#This Row],[AwayTeam]],Records!$A$2:$A$33, 0))</f>
        <v>0-0-0</v>
      </c>
    </row>
    <row r="1215" spans="1:43" x14ac:dyDescent="0.25">
      <c r="A1215" s="1"/>
      <c r="D1215" t="s">
        <v>1568</v>
      </c>
      <c r="E1215" t="s">
        <v>160</v>
      </c>
      <c r="F1215" t="s">
        <v>1572</v>
      </c>
      <c r="G1215" t="s">
        <v>51</v>
      </c>
      <c r="H1215" t="s">
        <v>17</v>
      </c>
      <c r="L121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1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15" s="1"/>
      <c r="T1215" s="64" t="str">
        <f>IF(Table1[[#This Row],[ActualWinner]]="", "", IF(Table1[[#This Row],[AwayTeam]]=Table1[[#This Row],[ActualWinner]],Table1[[#This Row],[HomeTeam]],Table1[[#This Row],[AwayTeam]]))</f>
        <v/>
      </c>
      <c r="U1215" s="64">
        <f>Table1[[#This Row],[ActualAwayScore]]-Table1[[#This Row],[PredictedAwayScore]]</f>
        <v>0</v>
      </c>
      <c r="V1215" s="64">
        <f>Table1[[#This Row],[ActualHomeScore]]-Table1[[#This Row],[PredictedHomeScore]]</f>
        <v>0</v>
      </c>
      <c r="W1215" s="64">
        <f>(0.8*IF(Table1[[#This Row],[CorrectWinnerPrediction]]=1, 1, 0))+(0.1*IF(Table1[[#This Row],[CorrectAwayScorePrediction]]=1, 1, 0))+(0.1*IF(Table1[[#This Row],[CorrectHomeScorePrediction]]=1, 1, 0))</f>
        <v>0</v>
      </c>
      <c r="X121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15" s="64">
        <f>SUMIF(Table1[GameDate], Table1[[#This Row],[GameDate]], Table1[AwayGameGoalDiff])</f>
        <v>0</v>
      </c>
      <c r="AA1215" s="64">
        <f>SUMIF(Table1[GameDate], Table1[[#This Row],[GameDate]], Table1[HomeGameGoalDiff])</f>
        <v>0</v>
      </c>
      <c r="AB1215" s="64">
        <f>IF(ISBLANK(Table1[[#This Row],[ActualResult]]), 0, 1)</f>
        <v>0</v>
      </c>
      <c r="AC1215" s="64">
        <f>IF(ISBLANK(Table1[[#This Row],[ActualResult]]), 0, IF(Table1[[#This Row],[ActualWinner]]=Table1[[#This Row],[PredictedWinner]], 1, 0))</f>
        <v>0</v>
      </c>
      <c r="AD121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1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15" s="64">
        <f>IF(AND(Table1[[#This Row],[GameIsOver]]=1,Table1[[#This Row],[ActualAwayScore]]=0), 1,0)</f>
        <v>0</v>
      </c>
      <c r="AG1215" s="64">
        <f>IF(AND(Table1[[#This Row],[GameIsOver]]=1,Table1[[#This Row],[ActualHomeScore]]=0), 1,0)</f>
        <v>0</v>
      </c>
      <c r="AH1215" s="64">
        <f>IF(Table1[[#This Row],[GameIsOver]]=0,0,IF(Table1[[#This Row],[ActualWinner]]=Table1[[#This Row],[AwayTeam]], 1, 0))</f>
        <v>0</v>
      </c>
      <c r="AI1215" s="64">
        <f>IF(Table1[[#This Row],[GameIsOver]]=0,0,IF(Table1[[#This Row],[ActualWinner]]=Table1[[#This Row],[HomeTeam]], 1, 0))</f>
        <v>0</v>
      </c>
      <c r="AJ1215" s="64">
        <f>IF(INDEX(Standings!$A$2:$C$33,MATCH(Table1[[#This Row],[AwayTeam]],Standings!$A$2:$A$33,0),2)=INDEX(Standings!$A$2:$C$33,MATCH(Table1[[#This Row],[HomeTeam]],Standings!$A$2:$A$33,0),2),1,0)</f>
        <v>1</v>
      </c>
      <c r="AK1215" s="64">
        <f>IF(INDEX(Standings!$A$2:$C$33,MATCH(Table1[[#This Row],[AwayTeam]],Standings!$A$2:$A$33,0),3)=INDEX(Standings!$A$2:$C$33,MATCH(Table1[[#This Row],[HomeTeam]],Standings!$A$2:$A$33,0),3),1,0)</f>
        <v>0</v>
      </c>
      <c r="AL1215" s="64">
        <f>IF(Table1[[#This Row],[InterConf]]=1,IF(Table1[[#This Row],[InterDiv]]=0, 1, 0), 0)</f>
        <v>1</v>
      </c>
      <c r="AM1215" s="64">
        <f>IF(INDEX(Standings!$A$2:$C$33,MATCH(Table1[[#This Row],[AwayTeam]],Standings!$A$2:$A$33,0),2)&lt;&gt;INDEX(Standings!$A$2:$C$33,MATCH(Table1[[#This Row],[HomeTeam]],Standings!$A$2:$A$33,0),2),1,0)</f>
        <v>0</v>
      </c>
      <c r="AN1215" s="64" t="str">
        <f>INDEX(Table2[AWAY_RECORD], MATCH(Table1[[#This Row],[AwayTeam]],Table2[Team], 0), 0)</f>
        <v>2-0-0</v>
      </c>
      <c r="AO1215" s="64" t="str">
        <f>INDEX(Records!$B$2:$AG$33, MATCH(Table1[[#This Row],[AwayTeam]],Records!$A$2:$A$33, 0), MATCH(Table1[[#This Row],[HomeTeam]],Records!$A$2:$A$33, 0))</f>
        <v>0-0-0</v>
      </c>
      <c r="AP1215" s="64" t="str">
        <f>INDEX(Table2[HOME_RECORD], MATCH(Table1[[#This Row],[HomeTeam]],Table2[Team], 0), 0)</f>
        <v>0-0-0</v>
      </c>
      <c r="AQ1215" s="64" t="str">
        <f>INDEX(Records!$B$2:$AG$33, MATCH(Table1[[#This Row],[HomeTeam]],Records!$A$2:$A$33, 0), MATCH(Table1[[#This Row],[AwayTeam]],Records!$A$2:$A$33, 0))</f>
        <v>0-0-0</v>
      </c>
    </row>
    <row r="1216" spans="1:43" x14ac:dyDescent="0.25">
      <c r="A1216" s="1"/>
      <c r="D1216" t="s">
        <v>1568</v>
      </c>
      <c r="E1216" t="s">
        <v>160</v>
      </c>
      <c r="F1216" t="s">
        <v>1573</v>
      </c>
      <c r="G1216" t="s">
        <v>49</v>
      </c>
      <c r="H1216" t="s">
        <v>54</v>
      </c>
      <c r="L121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1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16" s="1"/>
      <c r="T1216" s="64" t="str">
        <f>IF(Table1[[#This Row],[ActualWinner]]="", "", IF(Table1[[#This Row],[AwayTeam]]=Table1[[#This Row],[ActualWinner]],Table1[[#This Row],[HomeTeam]],Table1[[#This Row],[AwayTeam]]))</f>
        <v/>
      </c>
      <c r="U1216" s="64">
        <f>Table1[[#This Row],[ActualAwayScore]]-Table1[[#This Row],[PredictedAwayScore]]</f>
        <v>0</v>
      </c>
      <c r="V1216" s="64">
        <f>Table1[[#This Row],[ActualHomeScore]]-Table1[[#This Row],[PredictedHomeScore]]</f>
        <v>0</v>
      </c>
      <c r="W1216" s="64">
        <f>(0.8*IF(Table1[[#This Row],[CorrectWinnerPrediction]]=1, 1, 0))+(0.1*IF(Table1[[#This Row],[CorrectAwayScorePrediction]]=1, 1, 0))+(0.1*IF(Table1[[#This Row],[CorrectHomeScorePrediction]]=1, 1, 0))</f>
        <v>0</v>
      </c>
      <c r="X121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16" s="64">
        <f>SUMIF(Table1[GameDate], Table1[[#This Row],[GameDate]], Table1[AwayGameGoalDiff])</f>
        <v>0</v>
      </c>
      <c r="AA1216" s="64">
        <f>SUMIF(Table1[GameDate], Table1[[#This Row],[GameDate]], Table1[HomeGameGoalDiff])</f>
        <v>0</v>
      </c>
      <c r="AB1216" s="64">
        <f>IF(ISBLANK(Table1[[#This Row],[ActualResult]]), 0, 1)</f>
        <v>0</v>
      </c>
      <c r="AC1216" s="64">
        <f>IF(ISBLANK(Table1[[#This Row],[ActualResult]]), 0, IF(Table1[[#This Row],[ActualWinner]]=Table1[[#This Row],[PredictedWinner]], 1, 0))</f>
        <v>0</v>
      </c>
      <c r="AD121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1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16" s="64">
        <f>IF(AND(Table1[[#This Row],[GameIsOver]]=1,Table1[[#This Row],[ActualAwayScore]]=0), 1,0)</f>
        <v>0</v>
      </c>
      <c r="AG1216" s="64">
        <f>IF(AND(Table1[[#This Row],[GameIsOver]]=1,Table1[[#This Row],[ActualHomeScore]]=0), 1,0)</f>
        <v>0</v>
      </c>
      <c r="AH1216" s="64">
        <f>IF(Table1[[#This Row],[GameIsOver]]=0,0,IF(Table1[[#This Row],[ActualWinner]]=Table1[[#This Row],[AwayTeam]], 1, 0))</f>
        <v>0</v>
      </c>
      <c r="AI1216" s="64">
        <f>IF(Table1[[#This Row],[GameIsOver]]=0,0,IF(Table1[[#This Row],[ActualWinner]]=Table1[[#This Row],[HomeTeam]], 1, 0))</f>
        <v>0</v>
      </c>
      <c r="AJ1216" s="64">
        <f>IF(INDEX(Standings!$A$2:$C$33,MATCH(Table1[[#This Row],[AwayTeam]],Standings!$A$2:$A$33,0),2)=INDEX(Standings!$A$2:$C$33,MATCH(Table1[[#This Row],[HomeTeam]],Standings!$A$2:$A$33,0),2),1,0)</f>
        <v>1</v>
      </c>
      <c r="AK1216" s="64">
        <f>IF(INDEX(Standings!$A$2:$C$33,MATCH(Table1[[#This Row],[AwayTeam]],Standings!$A$2:$A$33,0),3)=INDEX(Standings!$A$2:$C$33,MATCH(Table1[[#This Row],[HomeTeam]],Standings!$A$2:$A$33,0),3),1,0)</f>
        <v>1</v>
      </c>
      <c r="AL1216" s="64">
        <f>IF(Table1[[#This Row],[InterConf]]=1,IF(Table1[[#This Row],[InterDiv]]=0, 1, 0), 0)</f>
        <v>0</v>
      </c>
      <c r="AM1216" s="64">
        <f>IF(INDEX(Standings!$A$2:$C$33,MATCH(Table1[[#This Row],[AwayTeam]],Standings!$A$2:$A$33,0),2)&lt;&gt;INDEX(Standings!$A$2:$C$33,MATCH(Table1[[#This Row],[HomeTeam]],Standings!$A$2:$A$33,0),2),1,0)</f>
        <v>0</v>
      </c>
      <c r="AN1216" s="64" t="str">
        <f>INDEX(Table2[AWAY_RECORD], MATCH(Table1[[#This Row],[AwayTeam]],Table2[Team], 0), 0)</f>
        <v>0-0-0</v>
      </c>
      <c r="AO1216" s="64" t="str">
        <f>INDEX(Records!$B$2:$AG$33, MATCH(Table1[[#This Row],[AwayTeam]],Records!$A$2:$A$33, 0), MATCH(Table1[[#This Row],[HomeTeam]],Records!$A$2:$A$33, 0))</f>
        <v>0-0-0</v>
      </c>
      <c r="AP1216" s="64" t="str">
        <f>INDEX(Table2[HOME_RECORD], MATCH(Table1[[#This Row],[HomeTeam]],Table2[Team], 0), 0)</f>
        <v>0-0-0</v>
      </c>
      <c r="AQ1216" s="64" t="str">
        <f>INDEX(Records!$B$2:$AG$33, MATCH(Table1[[#This Row],[HomeTeam]],Records!$A$2:$A$33, 0), MATCH(Table1[[#This Row],[AwayTeam]],Records!$A$2:$A$33, 0))</f>
        <v>0-0-0</v>
      </c>
    </row>
    <row r="1217" spans="1:43" x14ac:dyDescent="0.25">
      <c r="A1217" s="1"/>
      <c r="D1217" t="s">
        <v>1568</v>
      </c>
      <c r="E1217" t="s">
        <v>160</v>
      </c>
      <c r="F1217" t="s">
        <v>1574</v>
      </c>
      <c r="G1217" t="s">
        <v>43</v>
      </c>
      <c r="H1217" t="s">
        <v>40</v>
      </c>
      <c r="L121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1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17" s="1"/>
      <c r="T1217" s="64" t="str">
        <f>IF(Table1[[#This Row],[ActualWinner]]="", "", IF(Table1[[#This Row],[AwayTeam]]=Table1[[#This Row],[ActualWinner]],Table1[[#This Row],[HomeTeam]],Table1[[#This Row],[AwayTeam]]))</f>
        <v/>
      </c>
      <c r="U1217" s="64">
        <f>Table1[[#This Row],[ActualAwayScore]]-Table1[[#This Row],[PredictedAwayScore]]</f>
        <v>0</v>
      </c>
      <c r="V1217" s="64">
        <f>Table1[[#This Row],[ActualHomeScore]]-Table1[[#This Row],[PredictedHomeScore]]</f>
        <v>0</v>
      </c>
      <c r="W1217" s="64">
        <f>(0.8*IF(Table1[[#This Row],[CorrectWinnerPrediction]]=1, 1, 0))+(0.1*IF(Table1[[#This Row],[CorrectAwayScorePrediction]]=1, 1, 0))+(0.1*IF(Table1[[#This Row],[CorrectHomeScorePrediction]]=1, 1, 0))</f>
        <v>0</v>
      </c>
      <c r="X121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17" s="64">
        <f>SUMIF(Table1[GameDate], Table1[[#This Row],[GameDate]], Table1[AwayGameGoalDiff])</f>
        <v>0</v>
      </c>
      <c r="AA1217" s="64">
        <f>SUMIF(Table1[GameDate], Table1[[#This Row],[GameDate]], Table1[HomeGameGoalDiff])</f>
        <v>0</v>
      </c>
      <c r="AB1217" s="64">
        <f>IF(ISBLANK(Table1[[#This Row],[ActualResult]]), 0, 1)</f>
        <v>0</v>
      </c>
      <c r="AC1217" s="64">
        <f>IF(ISBLANK(Table1[[#This Row],[ActualResult]]), 0, IF(Table1[[#This Row],[ActualWinner]]=Table1[[#This Row],[PredictedWinner]], 1, 0))</f>
        <v>0</v>
      </c>
      <c r="AD121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1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17" s="64">
        <f>IF(AND(Table1[[#This Row],[GameIsOver]]=1,Table1[[#This Row],[ActualAwayScore]]=0), 1,0)</f>
        <v>0</v>
      </c>
      <c r="AG1217" s="64">
        <f>IF(AND(Table1[[#This Row],[GameIsOver]]=1,Table1[[#This Row],[ActualHomeScore]]=0), 1,0)</f>
        <v>0</v>
      </c>
      <c r="AH1217" s="64">
        <f>IF(Table1[[#This Row],[GameIsOver]]=0,0,IF(Table1[[#This Row],[ActualWinner]]=Table1[[#This Row],[AwayTeam]], 1, 0))</f>
        <v>0</v>
      </c>
      <c r="AI1217" s="64">
        <f>IF(Table1[[#This Row],[GameIsOver]]=0,0,IF(Table1[[#This Row],[ActualWinner]]=Table1[[#This Row],[HomeTeam]], 1, 0))</f>
        <v>0</v>
      </c>
      <c r="AJ1217" s="64">
        <f>IF(INDEX(Standings!$A$2:$C$33,MATCH(Table1[[#This Row],[AwayTeam]],Standings!$A$2:$A$33,0),2)=INDEX(Standings!$A$2:$C$33,MATCH(Table1[[#This Row],[HomeTeam]],Standings!$A$2:$A$33,0),2),1,0)</f>
        <v>0</v>
      </c>
      <c r="AK1217" s="64">
        <f>IF(INDEX(Standings!$A$2:$C$33,MATCH(Table1[[#This Row],[AwayTeam]],Standings!$A$2:$A$33,0),3)=INDEX(Standings!$A$2:$C$33,MATCH(Table1[[#This Row],[HomeTeam]],Standings!$A$2:$A$33,0),3),1,0)</f>
        <v>0</v>
      </c>
      <c r="AL1217" s="64">
        <f>IF(Table1[[#This Row],[InterConf]]=1,IF(Table1[[#This Row],[InterDiv]]=0, 1, 0), 0)</f>
        <v>0</v>
      </c>
      <c r="AM1217" s="64">
        <f>IF(INDEX(Standings!$A$2:$C$33,MATCH(Table1[[#This Row],[AwayTeam]],Standings!$A$2:$A$33,0),2)&lt;&gt;INDEX(Standings!$A$2:$C$33,MATCH(Table1[[#This Row],[HomeTeam]],Standings!$A$2:$A$33,0),2),1,0)</f>
        <v>1</v>
      </c>
      <c r="AN1217" s="64" t="str">
        <f>INDEX(Table2[AWAY_RECORD], MATCH(Table1[[#This Row],[AwayTeam]],Table2[Team], 0), 0)</f>
        <v>0-0-0</v>
      </c>
      <c r="AO1217" s="64" t="str">
        <f>INDEX(Records!$B$2:$AG$33, MATCH(Table1[[#This Row],[AwayTeam]],Records!$A$2:$A$33, 0), MATCH(Table1[[#This Row],[HomeTeam]],Records!$A$2:$A$33, 0))</f>
        <v>0-0-0</v>
      </c>
      <c r="AP1217" s="64" t="str">
        <f>INDEX(Table2[HOME_RECORD], MATCH(Table1[[#This Row],[HomeTeam]],Table2[Team], 0), 0)</f>
        <v>1-1-0</v>
      </c>
      <c r="AQ1217" s="64" t="str">
        <f>INDEX(Records!$B$2:$AG$33, MATCH(Table1[[#This Row],[HomeTeam]],Records!$A$2:$A$33, 0), MATCH(Table1[[#This Row],[AwayTeam]],Records!$A$2:$A$33, 0))</f>
        <v>0-0-0</v>
      </c>
    </row>
    <row r="1218" spans="1:43" x14ac:dyDescent="0.25">
      <c r="A1218" s="1"/>
      <c r="D1218" t="s">
        <v>1568</v>
      </c>
      <c r="E1218" t="s">
        <v>160</v>
      </c>
      <c r="F1218" t="s">
        <v>1575</v>
      </c>
      <c r="G1218" t="s">
        <v>16</v>
      </c>
      <c r="H1218" t="s">
        <v>42</v>
      </c>
      <c r="L121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1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18" s="1"/>
      <c r="T1218" s="64" t="str">
        <f>IF(Table1[[#This Row],[ActualWinner]]="", "", IF(Table1[[#This Row],[AwayTeam]]=Table1[[#This Row],[ActualWinner]],Table1[[#This Row],[HomeTeam]],Table1[[#This Row],[AwayTeam]]))</f>
        <v/>
      </c>
      <c r="U1218" s="64">
        <f>Table1[[#This Row],[ActualAwayScore]]-Table1[[#This Row],[PredictedAwayScore]]</f>
        <v>0</v>
      </c>
      <c r="V1218" s="64">
        <f>Table1[[#This Row],[ActualHomeScore]]-Table1[[#This Row],[PredictedHomeScore]]</f>
        <v>0</v>
      </c>
      <c r="W1218" s="64">
        <f>(0.8*IF(Table1[[#This Row],[CorrectWinnerPrediction]]=1, 1, 0))+(0.1*IF(Table1[[#This Row],[CorrectAwayScorePrediction]]=1, 1, 0))+(0.1*IF(Table1[[#This Row],[CorrectHomeScorePrediction]]=1, 1, 0))</f>
        <v>0</v>
      </c>
      <c r="X121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18" s="64">
        <f>SUMIF(Table1[GameDate], Table1[[#This Row],[GameDate]], Table1[AwayGameGoalDiff])</f>
        <v>0</v>
      </c>
      <c r="AA1218" s="64">
        <f>SUMIF(Table1[GameDate], Table1[[#This Row],[GameDate]], Table1[HomeGameGoalDiff])</f>
        <v>0</v>
      </c>
      <c r="AB1218" s="64">
        <f>IF(ISBLANK(Table1[[#This Row],[ActualResult]]), 0, 1)</f>
        <v>0</v>
      </c>
      <c r="AC1218" s="64">
        <f>IF(ISBLANK(Table1[[#This Row],[ActualResult]]), 0, IF(Table1[[#This Row],[ActualWinner]]=Table1[[#This Row],[PredictedWinner]], 1, 0))</f>
        <v>0</v>
      </c>
      <c r="AD121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1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18" s="64">
        <f>IF(AND(Table1[[#This Row],[GameIsOver]]=1,Table1[[#This Row],[ActualAwayScore]]=0), 1,0)</f>
        <v>0</v>
      </c>
      <c r="AG1218" s="64">
        <f>IF(AND(Table1[[#This Row],[GameIsOver]]=1,Table1[[#This Row],[ActualHomeScore]]=0), 1,0)</f>
        <v>0</v>
      </c>
      <c r="AH1218" s="64">
        <f>IF(Table1[[#This Row],[GameIsOver]]=0,0,IF(Table1[[#This Row],[ActualWinner]]=Table1[[#This Row],[AwayTeam]], 1, 0))</f>
        <v>0</v>
      </c>
      <c r="AI1218" s="64">
        <f>IF(Table1[[#This Row],[GameIsOver]]=0,0,IF(Table1[[#This Row],[ActualWinner]]=Table1[[#This Row],[HomeTeam]], 1, 0))</f>
        <v>0</v>
      </c>
      <c r="AJ1218" s="64">
        <f>IF(INDEX(Standings!$A$2:$C$33,MATCH(Table1[[#This Row],[AwayTeam]],Standings!$A$2:$A$33,0),2)=INDEX(Standings!$A$2:$C$33,MATCH(Table1[[#This Row],[HomeTeam]],Standings!$A$2:$A$33,0),2),1,0)</f>
        <v>0</v>
      </c>
      <c r="AK1218" s="64">
        <f>IF(INDEX(Standings!$A$2:$C$33,MATCH(Table1[[#This Row],[AwayTeam]],Standings!$A$2:$A$33,0),3)=INDEX(Standings!$A$2:$C$33,MATCH(Table1[[#This Row],[HomeTeam]],Standings!$A$2:$A$33,0),3),1,0)</f>
        <v>0</v>
      </c>
      <c r="AL1218" s="64">
        <f>IF(Table1[[#This Row],[InterConf]]=1,IF(Table1[[#This Row],[InterDiv]]=0, 1, 0), 0)</f>
        <v>0</v>
      </c>
      <c r="AM1218" s="64">
        <f>IF(INDEX(Standings!$A$2:$C$33,MATCH(Table1[[#This Row],[AwayTeam]],Standings!$A$2:$A$33,0),2)&lt;&gt;INDEX(Standings!$A$2:$C$33,MATCH(Table1[[#This Row],[HomeTeam]],Standings!$A$2:$A$33,0),2),1,0)</f>
        <v>1</v>
      </c>
      <c r="AN1218" s="64" t="str">
        <f>INDEX(Table2[AWAY_RECORD], MATCH(Table1[[#This Row],[AwayTeam]],Table2[Team], 0), 0)</f>
        <v>1-0-1</v>
      </c>
      <c r="AO1218" s="64" t="str">
        <f>INDEX(Records!$B$2:$AG$33, MATCH(Table1[[#This Row],[AwayTeam]],Records!$A$2:$A$33, 0), MATCH(Table1[[#This Row],[HomeTeam]],Records!$A$2:$A$33, 0))</f>
        <v>0-0-0</v>
      </c>
      <c r="AP1218" s="64" t="str">
        <f>INDEX(Table2[HOME_RECORD], MATCH(Table1[[#This Row],[HomeTeam]],Table2[Team], 0), 0)</f>
        <v>1-0-0</v>
      </c>
      <c r="AQ1218" s="64" t="str">
        <f>INDEX(Records!$B$2:$AG$33, MATCH(Table1[[#This Row],[HomeTeam]],Records!$A$2:$A$33, 0), MATCH(Table1[[#This Row],[AwayTeam]],Records!$A$2:$A$33, 0))</f>
        <v>0-0-0</v>
      </c>
    </row>
    <row r="1219" spans="1:43" x14ac:dyDescent="0.25">
      <c r="A1219" s="1"/>
      <c r="D1219" t="s">
        <v>1568</v>
      </c>
      <c r="E1219" t="s">
        <v>162</v>
      </c>
      <c r="F1219" t="s">
        <v>1576</v>
      </c>
      <c r="G1219" t="s">
        <v>50</v>
      </c>
      <c r="H1219" t="s">
        <v>61</v>
      </c>
      <c r="L121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1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19" s="1"/>
      <c r="T1219" s="64" t="str">
        <f>IF(Table1[[#This Row],[ActualWinner]]="", "", IF(Table1[[#This Row],[AwayTeam]]=Table1[[#This Row],[ActualWinner]],Table1[[#This Row],[HomeTeam]],Table1[[#This Row],[AwayTeam]]))</f>
        <v/>
      </c>
      <c r="U1219" s="64">
        <f>Table1[[#This Row],[ActualAwayScore]]-Table1[[#This Row],[PredictedAwayScore]]</f>
        <v>0</v>
      </c>
      <c r="V1219" s="64">
        <f>Table1[[#This Row],[ActualHomeScore]]-Table1[[#This Row],[PredictedHomeScore]]</f>
        <v>0</v>
      </c>
      <c r="W1219" s="64">
        <f>(0.8*IF(Table1[[#This Row],[CorrectWinnerPrediction]]=1, 1, 0))+(0.1*IF(Table1[[#This Row],[CorrectAwayScorePrediction]]=1, 1, 0))+(0.1*IF(Table1[[#This Row],[CorrectHomeScorePrediction]]=1, 1, 0))</f>
        <v>0</v>
      </c>
      <c r="X121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19" s="64">
        <f>SUMIF(Table1[GameDate], Table1[[#This Row],[GameDate]], Table1[AwayGameGoalDiff])</f>
        <v>0</v>
      </c>
      <c r="AA1219" s="64">
        <f>SUMIF(Table1[GameDate], Table1[[#This Row],[GameDate]], Table1[HomeGameGoalDiff])</f>
        <v>0</v>
      </c>
      <c r="AB1219" s="64">
        <f>IF(ISBLANK(Table1[[#This Row],[ActualResult]]), 0, 1)</f>
        <v>0</v>
      </c>
      <c r="AC1219" s="64">
        <f>IF(ISBLANK(Table1[[#This Row],[ActualResult]]), 0, IF(Table1[[#This Row],[ActualWinner]]=Table1[[#This Row],[PredictedWinner]], 1, 0))</f>
        <v>0</v>
      </c>
      <c r="AD121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1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19" s="64">
        <f>IF(AND(Table1[[#This Row],[GameIsOver]]=1,Table1[[#This Row],[ActualAwayScore]]=0), 1,0)</f>
        <v>0</v>
      </c>
      <c r="AG1219" s="64">
        <f>IF(AND(Table1[[#This Row],[GameIsOver]]=1,Table1[[#This Row],[ActualHomeScore]]=0), 1,0)</f>
        <v>0</v>
      </c>
      <c r="AH1219" s="64">
        <f>IF(Table1[[#This Row],[GameIsOver]]=0,0,IF(Table1[[#This Row],[ActualWinner]]=Table1[[#This Row],[AwayTeam]], 1, 0))</f>
        <v>0</v>
      </c>
      <c r="AI1219" s="64">
        <f>IF(Table1[[#This Row],[GameIsOver]]=0,0,IF(Table1[[#This Row],[ActualWinner]]=Table1[[#This Row],[HomeTeam]], 1, 0))</f>
        <v>0</v>
      </c>
      <c r="AJ1219" s="64">
        <f>IF(INDEX(Standings!$A$2:$C$33,MATCH(Table1[[#This Row],[AwayTeam]],Standings!$A$2:$A$33,0),2)=INDEX(Standings!$A$2:$C$33,MATCH(Table1[[#This Row],[HomeTeam]],Standings!$A$2:$A$33,0),2),1,0)</f>
        <v>0</v>
      </c>
      <c r="AK1219" s="64">
        <f>IF(INDEX(Standings!$A$2:$C$33,MATCH(Table1[[#This Row],[AwayTeam]],Standings!$A$2:$A$33,0),3)=INDEX(Standings!$A$2:$C$33,MATCH(Table1[[#This Row],[HomeTeam]],Standings!$A$2:$A$33,0),3),1,0)</f>
        <v>0</v>
      </c>
      <c r="AL1219" s="64">
        <f>IF(Table1[[#This Row],[InterConf]]=1,IF(Table1[[#This Row],[InterDiv]]=0, 1, 0), 0)</f>
        <v>0</v>
      </c>
      <c r="AM1219" s="64">
        <f>IF(INDEX(Standings!$A$2:$C$33,MATCH(Table1[[#This Row],[AwayTeam]],Standings!$A$2:$A$33,0),2)&lt;&gt;INDEX(Standings!$A$2:$C$33,MATCH(Table1[[#This Row],[HomeTeam]],Standings!$A$2:$A$33,0),2),1,0)</f>
        <v>1</v>
      </c>
      <c r="AN1219" s="64" t="str">
        <f>INDEX(Table2[AWAY_RECORD], MATCH(Table1[[#This Row],[AwayTeam]],Table2[Team], 0), 0)</f>
        <v>1-0-0</v>
      </c>
      <c r="AO1219" s="64" t="str">
        <f>INDEX(Records!$B$2:$AG$33, MATCH(Table1[[#This Row],[AwayTeam]],Records!$A$2:$A$33, 0), MATCH(Table1[[#This Row],[HomeTeam]],Records!$A$2:$A$33, 0))</f>
        <v>0-0-0</v>
      </c>
      <c r="AP1219" s="64" t="str">
        <f>INDEX(Table2[HOME_RECORD], MATCH(Table1[[#This Row],[HomeTeam]],Table2[Team], 0), 0)</f>
        <v>0-0-0</v>
      </c>
      <c r="AQ1219" s="64" t="str">
        <f>INDEX(Records!$B$2:$AG$33, MATCH(Table1[[#This Row],[HomeTeam]],Records!$A$2:$A$33, 0), MATCH(Table1[[#This Row],[AwayTeam]],Records!$A$2:$A$33, 0))</f>
        <v>0-0-0</v>
      </c>
    </row>
    <row r="1220" spans="1:43" x14ac:dyDescent="0.25">
      <c r="A1220" s="1"/>
      <c r="D1220" t="s">
        <v>1568</v>
      </c>
      <c r="E1220" t="s">
        <v>162</v>
      </c>
      <c r="F1220" t="s">
        <v>1577</v>
      </c>
      <c r="G1220" t="s">
        <v>41</v>
      </c>
      <c r="H1220" t="s">
        <v>60</v>
      </c>
      <c r="L122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2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20" s="1"/>
      <c r="T1220" s="64" t="str">
        <f>IF(Table1[[#This Row],[ActualWinner]]="", "", IF(Table1[[#This Row],[AwayTeam]]=Table1[[#This Row],[ActualWinner]],Table1[[#This Row],[HomeTeam]],Table1[[#This Row],[AwayTeam]]))</f>
        <v/>
      </c>
      <c r="U1220" s="64">
        <f>Table1[[#This Row],[ActualAwayScore]]-Table1[[#This Row],[PredictedAwayScore]]</f>
        <v>0</v>
      </c>
      <c r="V1220" s="64">
        <f>Table1[[#This Row],[ActualHomeScore]]-Table1[[#This Row],[PredictedHomeScore]]</f>
        <v>0</v>
      </c>
      <c r="W1220" s="64">
        <f>(0.8*IF(Table1[[#This Row],[CorrectWinnerPrediction]]=1, 1, 0))+(0.1*IF(Table1[[#This Row],[CorrectAwayScorePrediction]]=1, 1, 0))+(0.1*IF(Table1[[#This Row],[CorrectHomeScorePrediction]]=1, 1, 0))</f>
        <v>0</v>
      </c>
      <c r="X122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20" s="64">
        <f>SUMIF(Table1[GameDate], Table1[[#This Row],[GameDate]], Table1[AwayGameGoalDiff])</f>
        <v>0</v>
      </c>
      <c r="AA1220" s="64">
        <f>SUMIF(Table1[GameDate], Table1[[#This Row],[GameDate]], Table1[HomeGameGoalDiff])</f>
        <v>0</v>
      </c>
      <c r="AB1220" s="64">
        <f>IF(ISBLANK(Table1[[#This Row],[ActualResult]]), 0, 1)</f>
        <v>0</v>
      </c>
      <c r="AC1220" s="64">
        <f>IF(ISBLANK(Table1[[#This Row],[ActualResult]]), 0, IF(Table1[[#This Row],[ActualWinner]]=Table1[[#This Row],[PredictedWinner]], 1, 0))</f>
        <v>0</v>
      </c>
      <c r="AD122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2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20" s="64">
        <f>IF(AND(Table1[[#This Row],[GameIsOver]]=1,Table1[[#This Row],[ActualAwayScore]]=0), 1,0)</f>
        <v>0</v>
      </c>
      <c r="AG1220" s="64">
        <f>IF(AND(Table1[[#This Row],[GameIsOver]]=1,Table1[[#This Row],[ActualHomeScore]]=0), 1,0)</f>
        <v>0</v>
      </c>
      <c r="AH1220" s="64">
        <f>IF(Table1[[#This Row],[GameIsOver]]=0,0,IF(Table1[[#This Row],[ActualWinner]]=Table1[[#This Row],[AwayTeam]], 1, 0))</f>
        <v>0</v>
      </c>
      <c r="AI1220" s="64">
        <f>IF(Table1[[#This Row],[GameIsOver]]=0,0,IF(Table1[[#This Row],[ActualWinner]]=Table1[[#This Row],[HomeTeam]], 1, 0))</f>
        <v>0</v>
      </c>
      <c r="AJ1220" s="64">
        <f>IF(INDEX(Standings!$A$2:$C$33,MATCH(Table1[[#This Row],[AwayTeam]],Standings!$A$2:$A$33,0),2)=INDEX(Standings!$A$2:$C$33,MATCH(Table1[[#This Row],[HomeTeam]],Standings!$A$2:$A$33,0),2),1,0)</f>
        <v>1</v>
      </c>
      <c r="AK1220" s="64">
        <f>IF(INDEX(Standings!$A$2:$C$33,MATCH(Table1[[#This Row],[AwayTeam]],Standings!$A$2:$A$33,0),3)=INDEX(Standings!$A$2:$C$33,MATCH(Table1[[#This Row],[HomeTeam]],Standings!$A$2:$A$33,0),3),1,0)</f>
        <v>1</v>
      </c>
      <c r="AL1220" s="64">
        <f>IF(Table1[[#This Row],[InterConf]]=1,IF(Table1[[#This Row],[InterDiv]]=0, 1, 0), 0)</f>
        <v>0</v>
      </c>
      <c r="AM1220" s="64">
        <f>IF(INDEX(Standings!$A$2:$C$33,MATCH(Table1[[#This Row],[AwayTeam]],Standings!$A$2:$A$33,0),2)&lt;&gt;INDEX(Standings!$A$2:$C$33,MATCH(Table1[[#This Row],[HomeTeam]],Standings!$A$2:$A$33,0),2),1,0)</f>
        <v>0</v>
      </c>
      <c r="AN1220" s="64" t="str">
        <f>INDEX(Table2[AWAY_RECORD], MATCH(Table1[[#This Row],[AwayTeam]],Table2[Team], 0), 0)</f>
        <v>0-0-0</v>
      </c>
      <c r="AO1220" s="64" t="str">
        <f>INDEX(Records!$B$2:$AG$33, MATCH(Table1[[#This Row],[AwayTeam]],Records!$A$2:$A$33, 0), MATCH(Table1[[#This Row],[HomeTeam]],Records!$A$2:$A$33, 0))</f>
        <v>0-0-0</v>
      </c>
      <c r="AP1220" s="64" t="str">
        <f>INDEX(Table2[HOME_RECORD], MATCH(Table1[[#This Row],[HomeTeam]],Table2[Team], 0), 0)</f>
        <v>1-0-0</v>
      </c>
      <c r="AQ1220" s="64" t="str">
        <f>INDEX(Records!$B$2:$AG$33, MATCH(Table1[[#This Row],[HomeTeam]],Records!$A$2:$A$33, 0), MATCH(Table1[[#This Row],[AwayTeam]],Records!$A$2:$A$33, 0))</f>
        <v>0-0-0</v>
      </c>
    </row>
    <row r="1221" spans="1:43" x14ac:dyDescent="0.25">
      <c r="A1221" s="1"/>
      <c r="D1221" t="s">
        <v>1568</v>
      </c>
      <c r="E1221" t="s">
        <v>178</v>
      </c>
      <c r="F1221" t="s">
        <v>1578</v>
      </c>
      <c r="G1221" t="s">
        <v>45</v>
      </c>
      <c r="H1221" t="s">
        <v>22</v>
      </c>
      <c r="L122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2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21" s="1"/>
      <c r="T1221" s="64" t="str">
        <f>IF(Table1[[#This Row],[ActualWinner]]="", "", IF(Table1[[#This Row],[AwayTeam]]=Table1[[#This Row],[ActualWinner]],Table1[[#This Row],[HomeTeam]],Table1[[#This Row],[AwayTeam]]))</f>
        <v/>
      </c>
      <c r="U1221" s="64">
        <f>Table1[[#This Row],[ActualAwayScore]]-Table1[[#This Row],[PredictedAwayScore]]</f>
        <v>0</v>
      </c>
      <c r="V1221" s="64">
        <f>Table1[[#This Row],[ActualHomeScore]]-Table1[[#This Row],[PredictedHomeScore]]</f>
        <v>0</v>
      </c>
      <c r="W1221" s="64">
        <f>(0.8*IF(Table1[[#This Row],[CorrectWinnerPrediction]]=1, 1, 0))+(0.1*IF(Table1[[#This Row],[CorrectAwayScorePrediction]]=1, 1, 0))+(0.1*IF(Table1[[#This Row],[CorrectHomeScorePrediction]]=1, 1, 0))</f>
        <v>0</v>
      </c>
      <c r="X122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21" s="64">
        <f>SUMIF(Table1[GameDate], Table1[[#This Row],[GameDate]], Table1[AwayGameGoalDiff])</f>
        <v>0</v>
      </c>
      <c r="AA1221" s="64">
        <f>SUMIF(Table1[GameDate], Table1[[#This Row],[GameDate]], Table1[HomeGameGoalDiff])</f>
        <v>0</v>
      </c>
      <c r="AB1221" s="64">
        <f>IF(ISBLANK(Table1[[#This Row],[ActualResult]]), 0, 1)</f>
        <v>0</v>
      </c>
      <c r="AC1221" s="64">
        <f>IF(ISBLANK(Table1[[#This Row],[ActualResult]]), 0, IF(Table1[[#This Row],[ActualWinner]]=Table1[[#This Row],[PredictedWinner]], 1, 0))</f>
        <v>0</v>
      </c>
      <c r="AD122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2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21" s="64">
        <f>IF(AND(Table1[[#This Row],[GameIsOver]]=1,Table1[[#This Row],[ActualAwayScore]]=0), 1,0)</f>
        <v>0</v>
      </c>
      <c r="AG1221" s="64">
        <f>IF(AND(Table1[[#This Row],[GameIsOver]]=1,Table1[[#This Row],[ActualHomeScore]]=0), 1,0)</f>
        <v>0</v>
      </c>
      <c r="AH1221" s="64">
        <f>IF(Table1[[#This Row],[GameIsOver]]=0,0,IF(Table1[[#This Row],[ActualWinner]]=Table1[[#This Row],[AwayTeam]], 1, 0))</f>
        <v>0</v>
      </c>
      <c r="AI1221" s="64">
        <f>IF(Table1[[#This Row],[GameIsOver]]=0,0,IF(Table1[[#This Row],[ActualWinner]]=Table1[[#This Row],[HomeTeam]], 1, 0))</f>
        <v>0</v>
      </c>
      <c r="AJ1221" s="64">
        <f>IF(INDEX(Standings!$A$2:$C$33,MATCH(Table1[[#This Row],[AwayTeam]],Standings!$A$2:$A$33,0),2)=INDEX(Standings!$A$2:$C$33,MATCH(Table1[[#This Row],[HomeTeam]],Standings!$A$2:$A$33,0),2),1,0)</f>
        <v>1</v>
      </c>
      <c r="AK1221" s="64">
        <f>IF(INDEX(Standings!$A$2:$C$33,MATCH(Table1[[#This Row],[AwayTeam]],Standings!$A$2:$A$33,0),3)=INDEX(Standings!$A$2:$C$33,MATCH(Table1[[#This Row],[HomeTeam]],Standings!$A$2:$A$33,0),3),1,0)</f>
        <v>0</v>
      </c>
      <c r="AL1221" s="64">
        <f>IF(Table1[[#This Row],[InterConf]]=1,IF(Table1[[#This Row],[InterDiv]]=0, 1, 0), 0)</f>
        <v>1</v>
      </c>
      <c r="AM1221" s="64">
        <f>IF(INDEX(Standings!$A$2:$C$33,MATCH(Table1[[#This Row],[AwayTeam]],Standings!$A$2:$A$33,0),2)&lt;&gt;INDEX(Standings!$A$2:$C$33,MATCH(Table1[[#This Row],[HomeTeam]],Standings!$A$2:$A$33,0),2),1,0)</f>
        <v>0</v>
      </c>
      <c r="AN1221" s="64" t="str">
        <f>INDEX(Table2[AWAY_RECORD], MATCH(Table1[[#This Row],[AwayTeam]],Table2[Team], 0), 0)</f>
        <v>1-0-0</v>
      </c>
      <c r="AO1221" s="64" t="str">
        <f>INDEX(Records!$B$2:$AG$33, MATCH(Table1[[#This Row],[AwayTeam]],Records!$A$2:$A$33, 0), MATCH(Table1[[#This Row],[HomeTeam]],Records!$A$2:$A$33, 0))</f>
        <v>0-0-0</v>
      </c>
      <c r="AP1221" s="64" t="str">
        <f>INDEX(Table2[HOME_RECORD], MATCH(Table1[[#This Row],[HomeTeam]],Table2[Team], 0), 0)</f>
        <v>0-0-0</v>
      </c>
      <c r="AQ1221" s="64" t="str">
        <f>INDEX(Records!$B$2:$AG$33, MATCH(Table1[[#This Row],[HomeTeam]],Records!$A$2:$A$33, 0), MATCH(Table1[[#This Row],[AwayTeam]],Records!$A$2:$A$33, 0))</f>
        <v>0-0-0</v>
      </c>
    </row>
    <row r="1222" spans="1:43" x14ac:dyDescent="0.25">
      <c r="A1222" s="1"/>
      <c r="D1222" t="s">
        <v>1568</v>
      </c>
      <c r="E1222" t="s">
        <v>178</v>
      </c>
      <c r="F1222" t="s">
        <v>1579</v>
      </c>
      <c r="G1222" t="s">
        <v>46</v>
      </c>
      <c r="H1222" t="s">
        <v>39</v>
      </c>
      <c r="L122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2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22" s="1"/>
      <c r="T1222" s="64" t="str">
        <f>IF(Table1[[#This Row],[ActualWinner]]="", "", IF(Table1[[#This Row],[AwayTeam]]=Table1[[#This Row],[ActualWinner]],Table1[[#This Row],[HomeTeam]],Table1[[#This Row],[AwayTeam]]))</f>
        <v/>
      </c>
      <c r="U1222" s="64">
        <f>Table1[[#This Row],[ActualAwayScore]]-Table1[[#This Row],[PredictedAwayScore]]</f>
        <v>0</v>
      </c>
      <c r="V1222" s="64">
        <f>Table1[[#This Row],[ActualHomeScore]]-Table1[[#This Row],[PredictedHomeScore]]</f>
        <v>0</v>
      </c>
      <c r="W1222" s="64">
        <f>(0.8*IF(Table1[[#This Row],[CorrectWinnerPrediction]]=1, 1, 0))+(0.1*IF(Table1[[#This Row],[CorrectAwayScorePrediction]]=1, 1, 0))+(0.1*IF(Table1[[#This Row],[CorrectHomeScorePrediction]]=1, 1, 0))</f>
        <v>0</v>
      </c>
      <c r="X122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22" s="64">
        <f>SUMIF(Table1[GameDate], Table1[[#This Row],[GameDate]], Table1[AwayGameGoalDiff])</f>
        <v>0</v>
      </c>
      <c r="AA1222" s="64">
        <f>SUMIF(Table1[GameDate], Table1[[#This Row],[GameDate]], Table1[HomeGameGoalDiff])</f>
        <v>0</v>
      </c>
      <c r="AB1222" s="64">
        <f>IF(ISBLANK(Table1[[#This Row],[ActualResult]]), 0, 1)</f>
        <v>0</v>
      </c>
      <c r="AC1222" s="64">
        <f>IF(ISBLANK(Table1[[#This Row],[ActualResult]]), 0, IF(Table1[[#This Row],[ActualWinner]]=Table1[[#This Row],[PredictedWinner]], 1, 0))</f>
        <v>0</v>
      </c>
      <c r="AD122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2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22" s="64">
        <f>IF(AND(Table1[[#This Row],[GameIsOver]]=1,Table1[[#This Row],[ActualAwayScore]]=0), 1,0)</f>
        <v>0</v>
      </c>
      <c r="AG1222" s="64">
        <f>IF(AND(Table1[[#This Row],[GameIsOver]]=1,Table1[[#This Row],[ActualHomeScore]]=0), 1,0)</f>
        <v>0</v>
      </c>
      <c r="AH1222" s="64">
        <f>IF(Table1[[#This Row],[GameIsOver]]=0,0,IF(Table1[[#This Row],[ActualWinner]]=Table1[[#This Row],[AwayTeam]], 1, 0))</f>
        <v>0</v>
      </c>
      <c r="AI1222" s="64">
        <f>IF(Table1[[#This Row],[GameIsOver]]=0,0,IF(Table1[[#This Row],[ActualWinner]]=Table1[[#This Row],[HomeTeam]], 1, 0))</f>
        <v>0</v>
      </c>
      <c r="AJ1222" s="64">
        <f>IF(INDEX(Standings!$A$2:$C$33,MATCH(Table1[[#This Row],[AwayTeam]],Standings!$A$2:$A$33,0),2)=INDEX(Standings!$A$2:$C$33,MATCH(Table1[[#This Row],[HomeTeam]],Standings!$A$2:$A$33,0),2),1,0)</f>
        <v>1</v>
      </c>
      <c r="AK1222" s="64">
        <f>IF(INDEX(Standings!$A$2:$C$33,MATCH(Table1[[#This Row],[AwayTeam]],Standings!$A$2:$A$33,0),3)=INDEX(Standings!$A$2:$C$33,MATCH(Table1[[#This Row],[HomeTeam]],Standings!$A$2:$A$33,0),3),1,0)</f>
        <v>1</v>
      </c>
      <c r="AL1222" s="64">
        <f>IF(Table1[[#This Row],[InterConf]]=1,IF(Table1[[#This Row],[InterDiv]]=0, 1, 0), 0)</f>
        <v>0</v>
      </c>
      <c r="AM1222" s="64">
        <f>IF(INDEX(Standings!$A$2:$C$33,MATCH(Table1[[#This Row],[AwayTeam]],Standings!$A$2:$A$33,0),2)&lt;&gt;INDEX(Standings!$A$2:$C$33,MATCH(Table1[[#This Row],[HomeTeam]],Standings!$A$2:$A$33,0),2),1,0)</f>
        <v>0</v>
      </c>
      <c r="AN1222" s="64" t="str">
        <f>INDEX(Table2[AWAY_RECORD], MATCH(Table1[[#This Row],[AwayTeam]],Table2[Team], 0), 0)</f>
        <v>1-0-0</v>
      </c>
      <c r="AO1222" s="64" t="str">
        <f>INDEX(Records!$B$2:$AG$33, MATCH(Table1[[#This Row],[AwayTeam]],Records!$A$2:$A$33, 0), MATCH(Table1[[#This Row],[HomeTeam]],Records!$A$2:$A$33, 0))</f>
        <v>0-0-0</v>
      </c>
      <c r="AP1222" s="64" t="str">
        <f>INDEX(Table2[HOME_RECORD], MATCH(Table1[[#This Row],[HomeTeam]],Table2[Team], 0), 0)</f>
        <v>0-1-0</v>
      </c>
      <c r="AQ1222" s="64" t="str">
        <f>INDEX(Records!$B$2:$AG$33, MATCH(Table1[[#This Row],[HomeTeam]],Records!$A$2:$A$33, 0), MATCH(Table1[[#This Row],[AwayTeam]],Records!$A$2:$A$33, 0))</f>
        <v>0-0-0</v>
      </c>
    </row>
    <row r="1223" spans="1:43" x14ac:dyDescent="0.25">
      <c r="A1223" s="1"/>
      <c r="D1223" t="s">
        <v>1568</v>
      </c>
      <c r="E1223" t="s">
        <v>225</v>
      </c>
      <c r="F1223" t="s">
        <v>1580</v>
      </c>
      <c r="G1223" t="s">
        <v>36</v>
      </c>
      <c r="H1223" t="s">
        <v>56</v>
      </c>
      <c r="L122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2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23" s="1"/>
      <c r="T1223" s="64" t="str">
        <f>IF(Table1[[#This Row],[ActualWinner]]="", "", IF(Table1[[#This Row],[AwayTeam]]=Table1[[#This Row],[ActualWinner]],Table1[[#This Row],[HomeTeam]],Table1[[#This Row],[AwayTeam]]))</f>
        <v/>
      </c>
      <c r="U1223" s="64">
        <f>Table1[[#This Row],[ActualAwayScore]]-Table1[[#This Row],[PredictedAwayScore]]</f>
        <v>0</v>
      </c>
      <c r="V1223" s="64">
        <f>Table1[[#This Row],[ActualHomeScore]]-Table1[[#This Row],[PredictedHomeScore]]</f>
        <v>0</v>
      </c>
      <c r="W1223" s="64">
        <f>(0.8*IF(Table1[[#This Row],[CorrectWinnerPrediction]]=1, 1, 0))+(0.1*IF(Table1[[#This Row],[CorrectAwayScorePrediction]]=1, 1, 0))+(0.1*IF(Table1[[#This Row],[CorrectHomeScorePrediction]]=1, 1, 0))</f>
        <v>0</v>
      </c>
      <c r="X122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23" s="64">
        <f>SUMIF(Table1[GameDate], Table1[[#This Row],[GameDate]], Table1[AwayGameGoalDiff])</f>
        <v>0</v>
      </c>
      <c r="AA1223" s="64">
        <f>SUMIF(Table1[GameDate], Table1[[#This Row],[GameDate]], Table1[HomeGameGoalDiff])</f>
        <v>0</v>
      </c>
      <c r="AB1223" s="64">
        <f>IF(ISBLANK(Table1[[#This Row],[ActualResult]]), 0, 1)</f>
        <v>0</v>
      </c>
      <c r="AC1223" s="64">
        <f>IF(ISBLANK(Table1[[#This Row],[ActualResult]]), 0, IF(Table1[[#This Row],[ActualWinner]]=Table1[[#This Row],[PredictedWinner]], 1, 0))</f>
        <v>0</v>
      </c>
      <c r="AD122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2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23" s="64">
        <f>IF(AND(Table1[[#This Row],[GameIsOver]]=1,Table1[[#This Row],[ActualAwayScore]]=0), 1,0)</f>
        <v>0</v>
      </c>
      <c r="AG1223" s="64">
        <f>IF(AND(Table1[[#This Row],[GameIsOver]]=1,Table1[[#This Row],[ActualHomeScore]]=0), 1,0)</f>
        <v>0</v>
      </c>
      <c r="AH1223" s="64">
        <f>IF(Table1[[#This Row],[GameIsOver]]=0,0,IF(Table1[[#This Row],[ActualWinner]]=Table1[[#This Row],[AwayTeam]], 1, 0))</f>
        <v>0</v>
      </c>
      <c r="AI1223" s="64">
        <f>IF(Table1[[#This Row],[GameIsOver]]=0,0,IF(Table1[[#This Row],[ActualWinner]]=Table1[[#This Row],[HomeTeam]], 1, 0))</f>
        <v>0</v>
      </c>
      <c r="AJ1223" s="64">
        <f>IF(INDEX(Standings!$A$2:$C$33,MATCH(Table1[[#This Row],[AwayTeam]],Standings!$A$2:$A$33,0),2)=INDEX(Standings!$A$2:$C$33,MATCH(Table1[[#This Row],[HomeTeam]],Standings!$A$2:$A$33,0),2),1,0)</f>
        <v>1</v>
      </c>
      <c r="AK1223" s="64">
        <f>IF(INDEX(Standings!$A$2:$C$33,MATCH(Table1[[#This Row],[AwayTeam]],Standings!$A$2:$A$33,0),3)=INDEX(Standings!$A$2:$C$33,MATCH(Table1[[#This Row],[HomeTeam]],Standings!$A$2:$A$33,0),3),1,0)</f>
        <v>1</v>
      </c>
      <c r="AL1223" s="64">
        <f>IF(Table1[[#This Row],[InterConf]]=1,IF(Table1[[#This Row],[InterDiv]]=0, 1, 0), 0)</f>
        <v>0</v>
      </c>
      <c r="AM1223" s="64">
        <f>IF(INDEX(Standings!$A$2:$C$33,MATCH(Table1[[#This Row],[AwayTeam]],Standings!$A$2:$A$33,0),2)&lt;&gt;INDEX(Standings!$A$2:$C$33,MATCH(Table1[[#This Row],[HomeTeam]],Standings!$A$2:$A$33,0),2),1,0)</f>
        <v>0</v>
      </c>
      <c r="AN1223" s="64" t="str">
        <f>INDEX(Table2[AWAY_RECORD], MATCH(Table1[[#This Row],[AwayTeam]],Table2[Team], 0), 0)</f>
        <v>0-0-0</v>
      </c>
      <c r="AO1223" s="64" t="str">
        <f>INDEX(Records!$B$2:$AG$33, MATCH(Table1[[#This Row],[AwayTeam]],Records!$A$2:$A$33, 0), MATCH(Table1[[#This Row],[HomeTeam]],Records!$A$2:$A$33, 0))</f>
        <v>0-0-0</v>
      </c>
      <c r="AP1223" s="64" t="str">
        <f>INDEX(Table2[HOME_RECORD], MATCH(Table1[[#This Row],[HomeTeam]],Table2[Team], 0), 0)</f>
        <v>0-0-0</v>
      </c>
      <c r="AQ1223" s="64" t="str">
        <f>INDEX(Records!$B$2:$AG$33, MATCH(Table1[[#This Row],[HomeTeam]],Records!$A$2:$A$33, 0), MATCH(Table1[[#This Row],[AwayTeam]],Records!$A$2:$A$33, 0))</f>
        <v>0-0-0</v>
      </c>
    </row>
    <row r="1224" spans="1:43" x14ac:dyDescent="0.25">
      <c r="A1224" s="1"/>
      <c r="D1224" t="s">
        <v>1568</v>
      </c>
      <c r="E1224" t="s">
        <v>164</v>
      </c>
      <c r="F1224" t="s">
        <v>1581</v>
      </c>
      <c r="G1224" t="s">
        <v>25</v>
      </c>
      <c r="H1224" t="s">
        <v>23</v>
      </c>
      <c r="L122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2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24" s="1"/>
      <c r="T1224" s="64" t="str">
        <f>IF(Table1[[#This Row],[ActualWinner]]="", "", IF(Table1[[#This Row],[AwayTeam]]=Table1[[#This Row],[ActualWinner]],Table1[[#This Row],[HomeTeam]],Table1[[#This Row],[AwayTeam]]))</f>
        <v/>
      </c>
      <c r="U1224" s="64">
        <f>Table1[[#This Row],[ActualAwayScore]]-Table1[[#This Row],[PredictedAwayScore]]</f>
        <v>0</v>
      </c>
      <c r="V1224" s="64">
        <f>Table1[[#This Row],[ActualHomeScore]]-Table1[[#This Row],[PredictedHomeScore]]</f>
        <v>0</v>
      </c>
      <c r="W1224" s="64">
        <f>(0.8*IF(Table1[[#This Row],[CorrectWinnerPrediction]]=1, 1, 0))+(0.1*IF(Table1[[#This Row],[CorrectAwayScorePrediction]]=1, 1, 0))+(0.1*IF(Table1[[#This Row],[CorrectHomeScorePrediction]]=1, 1, 0))</f>
        <v>0</v>
      </c>
      <c r="X122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24" s="64">
        <f>SUMIF(Table1[GameDate], Table1[[#This Row],[GameDate]], Table1[AwayGameGoalDiff])</f>
        <v>0</v>
      </c>
      <c r="AA1224" s="64">
        <f>SUMIF(Table1[GameDate], Table1[[#This Row],[GameDate]], Table1[HomeGameGoalDiff])</f>
        <v>0</v>
      </c>
      <c r="AB1224" s="64">
        <f>IF(ISBLANK(Table1[[#This Row],[ActualResult]]), 0, 1)</f>
        <v>0</v>
      </c>
      <c r="AC1224" s="64">
        <f>IF(ISBLANK(Table1[[#This Row],[ActualResult]]), 0, IF(Table1[[#This Row],[ActualWinner]]=Table1[[#This Row],[PredictedWinner]], 1, 0))</f>
        <v>0</v>
      </c>
      <c r="AD122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2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24" s="64">
        <f>IF(AND(Table1[[#This Row],[GameIsOver]]=1,Table1[[#This Row],[ActualAwayScore]]=0), 1,0)</f>
        <v>0</v>
      </c>
      <c r="AG1224" s="64">
        <f>IF(AND(Table1[[#This Row],[GameIsOver]]=1,Table1[[#This Row],[ActualHomeScore]]=0), 1,0)</f>
        <v>0</v>
      </c>
      <c r="AH1224" s="64">
        <f>IF(Table1[[#This Row],[GameIsOver]]=0,0,IF(Table1[[#This Row],[ActualWinner]]=Table1[[#This Row],[AwayTeam]], 1, 0))</f>
        <v>0</v>
      </c>
      <c r="AI1224" s="64">
        <f>IF(Table1[[#This Row],[GameIsOver]]=0,0,IF(Table1[[#This Row],[ActualWinner]]=Table1[[#This Row],[HomeTeam]], 1, 0))</f>
        <v>0</v>
      </c>
      <c r="AJ1224" s="64">
        <f>IF(INDEX(Standings!$A$2:$C$33,MATCH(Table1[[#This Row],[AwayTeam]],Standings!$A$2:$A$33,0),2)=INDEX(Standings!$A$2:$C$33,MATCH(Table1[[#This Row],[HomeTeam]],Standings!$A$2:$A$33,0),2),1,0)</f>
        <v>1</v>
      </c>
      <c r="AK1224" s="64">
        <f>IF(INDEX(Standings!$A$2:$C$33,MATCH(Table1[[#This Row],[AwayTeam]],Standings!$A$2:$A$33,0),3)=INDEX(Standings!$A$2:$C$33,MATCH(Table1[[#This Row],[HomeTeam]],Standings!$A$2:$A$33,0),3),1,0)</f>
        <v>1</v>
      </c>
      <c r="AL1224" s="64">
        <f>IF(Table1[[#This Row],[InterConf]]=1,IF(Table1[[#This Row],[InterDiv]]=0, 1, 0), 0)</f>
        <v>0</v>
      </c>
      <c r="AM1224" s="64">
        <f>IF(INDEX(Standings!$A$2:$C$33,MATCH(Table1[[#This Row],[AwayTeam]],Standings!$A$2:$A$33,0),2)&lt;&gt;INDEX(Standings!$A$2:$C$33,MATCH(Table1[[#This Row],[HomeTeam]],Standings!$A$2:$A$33,0),2),1,0)</f>
        <v>0</v>
      </c>
      <c r="AN1224" s="64" t="str">
        <f>INDEX(Table2[AWAY_RECORD], MATCH(Table1[[#This Row],[AwayTeam]],Table2[Team], 0), 0)</f>
        <v>0-0-0</v>
      </c>
      <c r="AO1224" s="64" t="str">
        <f>INDEX(Records!$B$2:$AG$33, MATCH(Table1[[#This Row],[AwayTeam]],Records!$A$2:$A$33, 0), MATCH(Table1[[#This Row],[HomeTeam]],Records!$A$2:$A$33, 0))</f>
        <v>0-0-0</v>
      </c>
      <c r="AP1224" s="64" t="str">
        <f>INDEX(Table2[HOME_RECORD], MATCH(Table1[[#This Row],[HomeTeam]],Table2[Team], 0), 0)</f>
        <v>0-0-1</v>
      </c>
      <c r="AQ1224" s="64" t="str">
        <f>INDEX(Records!$B$2:$AG$33, MATCH(Table1[[#This Row],[HomeTeam]],Records!$A$2:$A$33, 0), MATCH(Table1[[#This Row],[AwayTeam]],Records!$A$2:$A$33, 0))</f>
        <v>0-0-0</v>
      </c>
    </row>
    <row r="1225" spans="1:43" x14ac:dyDescent="0.25">
      <c r="A1225" s="1"/>
      <c r="D1225" t="s">
        <v>1582</v>
      </c>
      <c r="E1225" t="s">
        <v>160</v>
      </c>
      <c r="F1225" t="s">
        <v>1583</v>
      </c>
      <c r="G1225" t="s">
        <v>37</v>
      </c>
      <c r="H1225" t="s">
        <v>59</v>
      </c>
      <c r="L122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2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25" s="1"/>
      <c r="T1225" s="64" t="str">
        <f>IF(Table1[[#This Row],[ActualWinner]]="", "", IF(Table1[[#This Row],[AwayTeam]]=Table1[[#This Row],[ActualWinner]],Table1[[#This Row],[HomeTeam]],Table1[[#This Row],[AwayTeam]]))</f>
        <v/>
      </c>
      <c r="U1225" s="64">
        <f>Table1[[#This Row],[ActualAwayScore]]-Table1[[#This Row],[PredictedAwayScore]]</f>
        <v>0</v>
      </c>
      <c r="V1225" s="64">
        <f>Table1[[#This Row],[ActualHomeScore]]-Table1[[#This Row],[PredictedHomeScore]]</f>
        <v>0</v>
      </c>
      <c r="W1225" s="64">
        <f>(0.8*IF(Table1[[#This Row],[CorrectWinnerPrediction]]=1, 1, 0))+(0.1*IF(Table1[[#This Row],[CorrectAwayScorePrediction]]=1, 1, 0))+(0.1*IF(Table1[[#This Row],[CorrectHomeScorePrediction]]=1, 1, 0))</f>
        <v>0</v>
      </c>
      <c r="X122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25" s="64">
        <f>SUMIF(Table1[GameDate], Table1[[#This Row],[GameDate]], Table1[AwayGameGoalDiff])</f>
        <v>0</v>
      </c>
      <c r="AA1225" s="64">
        <f>SUMIF(Table1[GameDate], Table1[[#This Row],[GameDate]], Table1[HomeGameGoalDiff])</f>
        <v>0</v>
      </c>
      <c r="AB1225" s="64">
        <f>IF(ISBLANK(Table1[[#This Row],[ActualResult]]), 0, 1)</f>
        <v>0</v>
      </c>
      <c r="AC1225" s="64">
        <f>IF(ISBLANK(Table1[[#This Row],[ActualResult]]), 0, IF(Table1[[#This Row],[ActualWinner]]=Table1[[#This Row],[PredictedWinner]], 1, 0))</f>
        <v>0</v>
      </c>
      <c r="AD122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2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25" s="64">
        <f>IF(AND(Table1[[#This Row],[GameIsOver]]=1,Table1[[#This Row],[ActualAwayScore]]=0), 1,0)</f>
        <v>0</v>
      </c>
      <c r="AG1225" s="64">
        <f>IF(AND(Table1[[#This Row],[GameIsOver]]=1,Table1[[#This Row],[ActualHomeScore]]=0), 1,0)</f>
        <v>0</v>
      </c>
      <c r="AH1225" s="64">
        <f>IF(Table1[[#This Row],[GameIsOver]]=0,0,IF(Table1[[#This Row],[ActualWinner]]=Table1[[#This Row],[AwayTeam]], 1, 0))</f>
        <v>0</v>
      </c>
      <c r="AI1225" s="64">
        <f>IF(Table1[[#This Row],[GameIsOver]]=0,0,IF(Table1[[#This Row],[ActualWinner]]=Table1[[#This Row],[HomeTeam]], 1, 0))</f>
        <v>0</v>
      </c>
      <c r="AJ1225" s="64">
        <f>IF(INDEX(Standings!$A$2:$C$33,MATCH(Table1[[#This Row],[AwayTeam]],Standings!$A$2:$A$33,0),2)=INDEX(Standings!$A$2:$C$33,MATCH(Table1[[#This Row],[HomeTeam]],Standings!$A$2:$A$33,0),2),1,0)</f>
        <v>1</v>
      </c>
      <c r="AK1225" s="64">
        <f>IF(INDEX(Standings!$A$2:$C$33,MATCH(Table1[[#This Row],[AwayTeam]],Standings!$A$2:$A$33,0),3)=INDEX(Standings!$A$2:$C$33,MATCH(Table1[[#This Row],[HomeTeam]],Standings!$A$2:$A$33,0),3),1,0)</f>
        <v>0</v>
      </c>
      <c r="AL1225" s="64">
        <f>IF(Table1[[#This Row],[InterConf]]=1,IF(Table1[[#This Row],[InterDiv]]=0, 1, 0), 0)</f>
        <v>1</v>
      </c>
      <c r="AM1225" s="64">
        <f>IF(INDEX(Standings!$A$2:$C$33,MATCH(Table1[[#This Row],[AwayTeam]],Standings!$A$2:$A$33,0),2)&lt;&gt;INDEX(Standings!$A$2:$C$33,MATCH(Table1[[#This Row],[HomeTeam]],Standings!$A$2:$A$33,0),2),1,0)</f>
        <v>0</v>
      </c>
      <c r="AN1225" s="64" t="str">
        <f>INDEX(Table2[AWAY_RECORD], MATCH(Table1[[#This Row],[AwayTeam]],Table2[Team], 0), 0)</f>
        <v>0-0-1</v>
      </c>
      <c r="AO1225" s="64" t="str">
        <f>INDEX(Records!$B$2:$AG$33, MATCH(Table1[[#This Row],[AwayTeam]],Records!$A$2:$A$33, 0), MATCH(Table1[[#This Row],[HomeTeam]],Records!$A$2:$A$33, 0))</f>
        <v>0-0-0</v>
      </c>
      <c r="AP1225" s="64" t="str">
        <f>INDEX(Table2[HOME_RECORD], MATCH(Table1[[#This Row],[HomeTeam]],Table2[Team], 0), 0)</f>
        <v>0-0-0</v>
      </c>
      <c r="AQ1225" s="64" t="str">
        <f>INDEX(Records!$B$2:$AG$33, MATCH(Table1[[#This Row],[HomeTeam]],Records!$A$2:$A$33, 0), MATCH(Table1[[#This Row],[AwayTeam]],Records!$A$2:$A$33, 0))</f>
        <v>0-0-0</v>
      </c>
    </row>
    <row r="1226" spans="1:43" x14ac:dyDescent="0.25">
      <c r="A1226" s="1"/>
      <c r="D1226" t="s">
        <v>1582</v>
      </c>
      <c r="E1226" t="s">
        <v>162</v>
      </c>
      <c r="F1226" t="s">
        <v>1584</v>
      </c>
      <c r="G1226" t="s">
        <v>48</v>
      </c>
      <c r="H1226" t="s">
        <v>16</v>
      </c>
      <c r="L122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2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26" s="1"/>
      <c r="T1226" s="64" t="str">
        <f>IF(Table1[[#This Row],[ActualWinner]]="", "", IF(Table1[[#This Row],[AwayTeam]]=Table1[[#This Row],[ActualWinner]],Table1[[#This Row],[HomeTeam]],Table1[[#This Row],[AwayTeam]]))</f>
        <v/>
      </c>
      <c r="U1226" s="64">
        <f>Table1[[#This Row],[ActualAwayScore]]-Table1[[#This Row],[PredictedAwayScore]]</f>
        <v>0</v>
      </c>
      <c r="V1226" s="64">
        <f>Table1[[#This Row],[ActualHomeScore]]-Table1[[#This Row],[PredictedHomeScore]]</f>
        <v>0</v>
      </c>
      <c r="W1226" s="64">
        <f>(0.8*IF(Table1[[#This Row],[CorrectWinnerPrediction]]=1, 1, 0))+(0.1*IF(Table1[[#This Row],[CorrectAwayScorePrediction]]=1, 1, 0))+(0.1*IF(Table1[[#This Row],[CorrectHomeScorePrediction]]=1, 1, 0))</f>
        <v>0</v>
      </c>
      <c r="X122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26" s="64">
        <f>SUMIF(Table1[GameDate], Table1[[#This Row],[GameDate]], Table1[AwayGameGoalDiff])</f>
        <v>0</v>
      </c>
      <c r="AA1226" s="64">
        <f>SUMIF(Table1[GameDate], Table1[[#This Row],[GameDate]], Table1[HomeGameGoalDiff])</f>
        <v>0</v>
      </c>
      <c r="AB1226" s="64">
        <f>IF(ISBLANK(Table1[[#This Row],[ActualResult]]), 0, 1)</f>
        <v>0</v>
      </c>
      <c r="AC1226" s="64">
        <f>IF(ISBLANK(Table1[[#This Row],[ActualResult]]), 0, IF(Table1[[#This Row],[ActualWinner]]=Table1[[#This Row],[PredictedWinner]], 1, 0))</f>
        <v>0</v>
      </c>
      <c r="AD122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2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26" s="64">
        <f>IF(AND(Table1[[#This Row],[GameIsOver]]=1,Table1[[#This Row],[ActualAwayScore]]=0), 1,0)</f>
        <v>0</v>
      </c>
      <c r="AG1226" s="64">
        <f>IF(AND(Table1[[#This Row],[GameIsOver]]=1,Table1[[#This Row],[ActualHomeScore]]=0), 1,0)</f>
        <v>0</v>
      </c>
      <c r="AH1226" s="64">
        <f>IF(Table1[[#This Row],[GameIsOver]]=0,0,IF(Table1[[#This Row],[ActualWinner]]=Table1[[#This Row],[AwayTeam]], 1, 0))</f>
        <v>0</v>
      </c>
      <c r="AI1226" s="64">
        <f>IF(Table1[[#This Row],[GameIsOver]]=0,0,IF(Table1[[#This Row],[ActualWinner]]=Table1[[#This Row],[HomeTeam]], 1, 0))</f>
        <v>0</v>
      </c>
      <c r="AJ1226" s="64">
        <f>IF(INDEX(Standings!$A$2:$C$33,MATCH(Table1[[#This Row],[AwayTeam]],Standings!$A$2:$A$33,0),2)=INDEX(Standings!$A$2:$C$33,MATCH(Table1[[#This Row],[HomeTeam]],Standings!$A$2:$A$33,0),2),1,0)</f>
        <v>1</v>
      </c>
      <c r="AK1226" s="64">
        <f>IF(INDEX(Standings!$A$2:$C$33,MATCH(Table1[[#This Row],[AwayTeam]],Standings!$A$2:$A$33,0),3)=INDEX(Standings!$A$2:$C$33,MATCH(Table1[[#This Row],[HomeTeam]],Standings!$A$2:$A$33,0),3),1,0)</f>
        <v>1</v>
      </c>
      <c r="AL1226" s="64">
        <f>IF(Table1[[#This Row],[InterConf]]=1,IF(Table1[[#This Row],[InterDiv]]=0, 1, 0), 0)</f>
        <v>0</v>
      </c>
      <c r="AM1226" s="64">
        <f>IF(INDEX(Standings!$A$2:$C$33,MATCH(Table1[[#This Row],[AwayTeam]],Standings!$A$2:$A$33,0),2)&lt;&gt;INDEX(Standings!$A$2:$C$33,MATCH(Table1[[#This Row],[HomeTeam]],Standings!$A$2:$A$33,0),2),1,0)</f>
        <v>0</v>
      </c>
      <c r="AN1226" s="64" t="str">
        <f>INDEX(Table2[AWAY_RECORD], MATCH(Table1[[#This Row],[AwayTeam]],Table2[Team], 0), 0)</f>
        <v>0-0-0</v>
      </c>
      <c r="AO1226" s="64" t="str">
        <f>INDEX(Records!$B$2:$AG$33, MATCH(Table1[[#This Row],[AwayTeam]],Records!$A$2:$A$33, 0), MATCH(Table1[[#This Row],[HomeTeam]],Records!$A$2:$A$33, 0))</f>
        <v>0-0-0</v>
      </c>
      <c r="AP1226" s="64" t="str">
        <f>INDEX(Table2[HOME_RECORD], MATCH(Table1[[#This Row],[HomeTeam]],Table2[Team], 0), 0)</f>
        <v>0-0-0</v>
      </c>
      <c r="AQ1226" s="64" t="str">
        <f>INDEX(Records!$B$2:$AG$33, MATCH(Table1[[#This Row],[HomeTeam]],Records!$A$2:$A$33, 0), MATCH(Table1[[#This Row],[AwayTeam]],Records!$A$2:$A$33, 0))</f>
        <v>0-0-0</v>
      </c>
    </row>
    <row r="1227" spans="1:43" x14ac:dyDescent="0.25">
      <c r="A1227" s="1"/>
      <c r="D1227" t="s">
        <v>1582</v>
      </c>
      <c r="E1227" t="s">
        <v>178</v>
      </c>
      <c r="F1227" t="s">
        <v>1585</v>
      </c>
      <c r="G1227" t="s">
        <v>55</v>
      </c>
      <c r="H1227" t="s">
        <v>58</v>
      </c>
      <c r="L122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2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27" s="1"/>
      <c r="T1227" s="64" t="str">
        <f>IF(Table1[[#This Row],[ActualWinner]]="", "", IF(Table1[[#This Row],[AwayTeam]]=Table1[[#This Row],[ActualWinner]],Table1[[#This Row],[HomeTeam]],Table1[[#This Row],[AwayTeam]]))</f>
        <v/>
      </c>
      <c r="U1227" s="64">
        <f>Table1[[#This Row],[ActualAwayScore]]-Table1[[#This Row],[PredictedAwayScore]]</f>
        <v>0</v>
      </c>
      <c r="V1227" s="64">
        <f>Table1[[#This Row],[ActualHomeScore]]-Table1[[#This Row],[PredictedHomeScore]]</f>
        <v>0</v>
      </c>
      <c r="W1227" s="64">
        <f>(0.8*IF(Table1[[#This Row],[CorrectWinnerPrediction]]=1, 1, 0))+(0.1*IF(Table1[[#This Row],[CorrectAwayScorePrediction]]=1, 1, 0))+(0.1*IF(Table1[[#This Row],[CorrectHomeScorePrediction]]=1, 1, 0))</f>
        <v>0</v>
      </c>
      <c r="X122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27" s="64">
        <f>SUMIF(Table1[GameDate], Table1[[#This Row],[GameDate]], Table1[AwayGameGoalDiff])</f>
        <v>0</v>
      </c>
      <c r="AA1227" s="64">
        <f>SUMIF(Table1[GameDate], Table1[[#This Row],[GameDate]], Table1[HomeGameGoalDiff])</f>
        <v>0</v>
      </c>
      <c r="AB1227" s="64">
        <f>IF(ISBLANK(Table1[[#This Row],[ActualResult]]), 0, 1)</f>
        <v>0</v>
      </c>
      <c r="AC1227" s="64">
        <f>IF(ISBLANK(Table1[[#This Row],[ActualResult]]), 0, IF(Table1[[#This Row],[ActualWinner]]=Table1[[#This Row],[PredictedWinner]], 1, 0))</f>
        <v>0</v>
      </c>
      <c r="AD122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2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27" s="64">
        <f>IF(AND(Table1[[#This Row],[GameIsOver]]=1,Table1[[#This Row],[ActualAwayScore]]=0), 1,0)</f>
        <v>0</v>
      </c>
      <c r="AG1227" s="64">
        <f>IF(AND(Table1[[#This Row],[GameIsOver]]=1,Table1[[#This Row],[ActualHomeScore]]=0), 1,0)</f>
        <v>0</v>
      </c>
      <c r="AH1227" s="64">
        <f>IF(Table1[[#This Row],[GameIsOver]]=0,0,IF(Table1[[#This Row],[ActualWinner]]=Table1[[#This Row],[AwayTeam]], 1, 0))</f>
        <v>0</v>
      </c>
      <c r="AI1227" s="64">
        <f>IF(Table1[[#This Row],[GameIsOver]]=0,0,IF(Table1[[#This Row],[ActualWinner]]=Table1[[#This Row],[HomeTeam]], 1, 0))</f>
        <v>0</v>
      </c>
      <c r="AJ1227" s="64">
        <f>IF(INDEX(Standings!$A$2:$C$33,MATCH(Table1[[#This Row],[AwayTeam]],Standings!$A$2:$A$33,0),2)=INDEX(Standings!$A$2:$C$33,MATCH(Table1[[#This Row],[HomeTeam]],Standings!$A$2:$A$33,0),2),1,0)</f>
        <v>1</v>
      </c>
      <c r="AK1227" s="64">
        <f>IF(INDEX(Standings!$A$2:$C$33,MATCH(Table1[[#This Row],[AwayTeam]],Standings!$A$2:$A$33,0),3)=INDEX(Standings!$A$2:$C$33,MATCH(Table1[[#This Row],[HomeTeam]],Standings!$A$2:$A$33,0),3),1,0)</f>
        <v>0</v>
      </c>
      <c r="AL1227" s="64">
        <f>IF(Table1[[#This Row],[InterConf]]=1,IF(Table1[[#This Row],[InterDiv]]=0, 1, 0), 0)</f>
        <v>1</v>
      </c>
      <c r="AM1227" s="64">
        <f>IF(INDEX(Standings!$A$2:$C$33,MATCH(Table1[[#This Row],[AwayTeam]],Standings!$A$2:$A$33,0),2)&lt;&gt;INDEX(Standings!$A$2:$C$33,MATCH(Table1[[#This Row],[HomeTeam]],Standings!$A$2:$A$33,0),2),1,0)</f>
        <v>0</v>
      </c>
      <c r="AN1227" s="64" t="str">
        <f>INDEX(Table2[AWAY_RECORD], MATCH(Table1[[#This Row],[AwayTeam]],Table2[Team], 0), 0)</f>
        <v>0-0-0</v>
      </c>
      <c r="AO1227" s="64" t="str">
        <f>INDEX(Records!$B$2:$AG$33, MATCH(Table1[[#This Row],[AwayTeam]],Records!$A$2:$A$33, 0), MATCH(Table1[[#This Row],[HomeTeam]],Records!$A$2:$A$33, 0))</f>
        <v>0-0-0</v>
      </c>
      <c r="AP1227" s="64" t="str">
        <f>INDEX(Table2[HOME_RECORD], MATCH(Table1[[#This Row],[HomeTeam]],Table2[Team], 0), 0)</f>
        <v>1-0-0</v>
      </c>
      <c r="AQ1227" s="64" t="str">
        <f>INDEX(Records!$B$2:$AG$33, MATCH(Table1[[#This Row],[HomeTeam]],Records!$A$2:$A$33, 0), MATCH(Table1[[#This Row],[AwayTeam]],Records!$A$2:$A$33, 0))</f>
        <v>0-0-0</v>
      </c>
    </row>
    <row r="1228" spans="1:43" x14ac:dyDescent="0.25">
      <c r="A1228" s="1"/>
      <c r="D1228" t="s">
        <v>1586</v>
      </c>
      <c r="E1228" t="s">
        <v>250</v>
      </c>
      <c r="F1228" t="s">
        <v>1587</v>
      </c>
      <c r="G1228" t="s">
        <v>46</v>
      </c>
      <c r="H1228" t="s">
        <v>45</v>
      </c>
      <c r="L122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2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28" s="1"/>
      <c r="T1228" s="64" t="str">
        <f>IF(Table1[[#This Row],[ActualWinner]]="", "", IF(Table1[[#This Row],[AwayTeam]]=Table1[[#This Row],[ActualWinner]],Table1[[#This Row],[HomeTeam]],Table1[[#This Row],[AwayTeam]]))</f>
        <v/>
      </c>
      <c r="U1228" s="64">
        <f>Table1[[#This Row],[ActualAwayScore]]-Table1[[#This Row],[PredictedAwayScore]]</f>
        <v>0</v>
      </c>
      <c r="V1228" s="64">
        <f>Table1[[#This Row],[ActualHomeScore]]-Table1[[#This Row],[PredictedHomeScore]]</f>
        <v>0</v>
      </c>
      <c r="W1228" s="64">
        <f>(0.8*IF(Table1[[#This Row],[CorrectWinnerPrediction]]=1, 1, 0))+(0.1*IF(Table1[[#This Row],[CorrectAwayScorePrediction]]=1, 1, 0))+(0.1*IF(Table1[[#This Row],[CorrectHomeScorePrediction]]=1, 1, 0))</f>
        <v>0</v>
      </c>
      <c r="X122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28" s="64">
        <f>SUMIF(Table1[GameDate], Table1[[#This Row],[GameDate]], Table1[AwayGameGoalDiff])</f>
        <v>0</v>
      </c>
      <c r="AA1228" s="64">
        <f>SUMIF(Table1[GameDate], Table1[[#This Row],[GameDate]], Table1[HomeGameGoalDiff])</f>
        <v>0</v>
      </c>
      <c r="AB1228" s="64">
        <f>IF(ISBLANK(Table1[[#This Row],[ActualResult]]), 0, 1)</f>
        <v>0</v>
      </c>
      <c r="AC1228" s="64">
        <f>IF(ISBLANK(Table1[[#This Row],[ActualResult]]), 0, IF(Table1[[#This Row],[ActualWinner]]=Table1[[#This Row],[PredictedWinner]], 1, 0))</f>
        <v>0</v>
      </c>
      <c r="AD122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2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28" s="64">
        <f>IF(AND(Table1[[#This Row],[GameIsOver]]=1,Table1[[#This Row],[ActualAwayScore]]=0), 1,0)</f>
        <v>0</v>
      </c>
      <c r="AG1228" s="64">
        <f>IF(AND(Table1[[#This Row],[GameIsOver]]=1,Table1[[#This Row],[ActualHomeScore]]=0), 1,0)</f>
        <v>0</v>
      </c>
      <c r="AH1228" s="64">
        <f>IF(Table1[[#This Row],[GameIsOver]]=0,0,IF(Table1[[#This Row],[ActualWinner]]=Table1[[#This Row],[AwayTeam]], 1, 0))</f>
        <v>0</v>
      </c>
      <c r="AI1228" s="64">
        <f>IF(Table1[[#This Row],[GameIsOver]]=0,0,IF(Table1[[#This Row],[ActualWinner]]=Table1[[#This Row],[HomeTeam]], 1, 0))</f>
        <v>0</v>
      </c>
      <c r="AJ1228" s="64">
        <f>IF(INDEX(Standings!$A$2:$C$33,MATCH(Table1[[#This Row],[AwayTeam]],Standings!$A$2:$A$33,0),2)=INDEX(Standings!$A$2:$C$33,MATCH(Table1[[#This Row],[HomeTeam]],Standings!$A$2:$A$33,0),2),1,0)</f>
        <v>1</v>
      </c>
      <c r="AK1228" s="64">
        <f>IF(INDEX(Standings!$A$2:$C$33,MATCH(Table1[[#This Row],[AwayTeam]],Standings!$A$2:$A$33,0),3)=INDEX(Standings!$A$2:$C$33,MATCH(Table1[[#This Row],[HomeTeam]],Standings!$A$2:$A$33,0),3),1,0)</f>
        <v>1</v>
      </c>
      <c r="AL1228" s="64">
        <f>IF(Table1[[#This Row],[InterConf]]=1,IF(Table1[[#This Row],[InterDiv]]=0, 1, 0), 0)</f>
        <v>0</v>
      </c>
      <c r="AM1228" s="64">
        <f>IF(INDEX(Standings!$A$2:$C$33,MATCH(Table1[[#This Row],[AwayTeam]],Standings!$A$2:$A$33,0),2)&lt;&gt;INDEX(Standings!$A$2:$C$33,MATCH(Table1[[#This Row],[HomeTeam]],Standings!$A$2:$A$33,0),2),1,0)</f>
        <v>0</v>
      </c>
      <c r="AN1228" s="64" t="str">
        <f>INDEX(Table2[AWAY_RECORD], MATCH(Table1[[#This Row],[AwayTeam]],Table2[Team], 0), 0)</f>
        <v>1-0-0</v>
      </c>
      <c r="AO1228" s="64" t="str">
        <f>INDEX(Records!$B$2:$AG$33, MATCH(Table1[[#This Row],[AwayTeam]],Records!$A$2:$A$33, 0), MATCH(Table1[[#This Row],[HomeTeam]],Records!$A$2:$A$33, 0))</f>
        <v>0-0-0</v>
      </c>
      <c r="AP1228" s="64" t="str">
        <f>INDEX(Table2[HOME_RECORD], MATCH(Table1[[#This Row],[HomeTeam]],Table2[Team], 0), 0)</f>
        <v>1-0-0</v>
      </c>
      <c r="AQ1228" s="64" t="str">
        <f>INDEX(Records!$B$2:$AG$33, MATCH(Table1[[#This Row],[HomeTeam]],Records!$A$2:$A$33, 0), MATCH(Table1[[#This Row],[AwayTeam]],Records!$A$2:$A$33, 0))</f>
        <v>0-0-0</v>
      </c>
    </row>
    <row r="1229" spans="1:43" x14ac:dyDescent="0.25">
      <c r="A1229" s="1"/>
      <c r="D1229" t="s">
        <v>1586</v>
      </c>
      <c r="E1229" t="s">
        <v>252</v>
      </c>
      <c r="F1229" t="s">
        <v>1588</v>
      </c>
      <c r="G1229" t="s">
        <v>56</v>
      </c>
      <c r="H1229" t="s">
        <v>22</v>
      </c>
      <c r="L122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2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29" s="1"/>
      <c r="T1229" s="64" t="str">
        <f>IF(Table1[[#This Row],[ActualWinner]]="", "", IF(Table1[[#This Row],[AwayTeam]]=Table1[[#This Row],[ActualWinner]],Table1[[#This Row],[HomeTeam]],Table1[[#This Row],[AwayTeam]]))</f>
        <v/>
      </c>
      <c r="U1229" s="64">
        <f>Table1[[#This Row],[ActualAwayScore]]-Table1[[#This Row],[PredictedAwayScore]]</f>
        <v>0</v>
      </c>
      <c r="V1229" s="64">
        <f>Table1[[#This Row],[ActualHomeScore]]-Table1[[#This Row],[PredictedHomeScore]]</f>
        <v>0</v>
      </c>
      <c r="W1229" s="64">
        <f>(0.8*IF(Table1[[#This Row],[CorrectWinnerPrediction]]=1, 1, 0))+(0.1*IF(Table1[[#This Row],[CorrectAwayScorePrediction]]=1, 1, 0))+(0.1*IF(Table1[[#This Row],[CorrectHomeScorePrediction]]=1, 1, 0))</f>
        <v>0</v>
      </c>
      <c r="X122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29" s="64">
        <f>SUMIF(Table1[GameDate], Table1[[#This Row],[GameDate]], Table1[AwayGameGoalDiff])</f>
        <v>0</v>
      </c>
      <c r="AA1229" s="64">
        <f>SUMIF(Table1[GameDate], Table1[[#This Row],[GameDate]], Table1[HomeGameGoalDiff])</f>
        <v>0</v>
      </c>
      <c r="AB1229" s="64">
        <f>IF(ISBLANK(Table1[[#This Row],[ActualResult]]), 0, 1)</f>
        <v>0</v>
      </c>
      <c r="AC1229" s="64">
        <f>IF(ISBLANK(Table1[[#This Row],[ActualResult]]), 0, IF(Table1[[#This Row],[ActualWinner]]=Table1[[#This Row],[PredictedWinner]], 1, 0))</f>
        <v>0</v>
      </c>
      <c r="AD122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2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29" s="64">
        <f>IF(AND(Table1[[#This Row],[GameIsOver]]=1,Table1[[#This Row],[ActualAwayScore]]=0), 1,0)</f>
        <v>0</v>
      </c>
      <c r="AG1229" s="64">
        <f>IF(AND(Table1[[#This Row],[GameIsOver]]=1,Table1[[#This Row],[ActualHomeScore]]=0), 1,0)</f>
        <v>0</v>
      </c>
      <c r="AH1229" s="64">
        <f>IF(Table1[[#This Row],[GameIsOver]]=0,0,IF(Table1[[#This Row],[ActualWinner]]=Table1[[#This Row],[AwayTeam]], 1, 0))</f>
        <v>0</v>
      </c>
      <c r="AI1229" s="64">
        <f>IF(Table1[[#This Row],[GameIsOver]]=0,0,IF(Table1[[#This Row],[ActualWinner]]=Table1[[#This Row],[HomeTeam]], 1, 0))</f>
        <v>0</v>
      </c>
      <c r="AJ1229" s="64">
        <f>IF(INDEX(Standings!$A$2:$C$33,MATCH(Table1[[#This Row],[AwayTeam]],Standings!$A$2:$A$33,0),2)=INDEX(Standings!$A$2:$C$33,MATCH(Table1[[#This Row],[HomeTeam]],Standings!$A$2:$A$33,0),2),1,0)</f>
        <v>1</v>
      </c>
      <c r="AK1229" s="64">
        <f>IF(INDEX(Standings!$A$2:$C$33,MATCH(Table1[[#This Row],[AwayTeam]],Standings!$A$2:$A$33,0),3)=INDEX(Standings!$A$2:$C$33,MATCH(Table1[[#This Row],[HomeTeam]],Standings!$A$2:$A$33,0),3),1,0)</f>
        <v>0</v>
      </c>
      <c r="AL1229" s="64">
        <f>IF(Table1[[#This Row],[InterConf]]=1,IF(Table1[[#This Row],[InterDiv]]=0, 1, 0), 0)</f>
        <v>1</v>
      </c>
      <c r="AM1229" s="64">
        <f>IF(INDEX(Standings!$A$2:$C$33,MATCH(Table1[[#This Row],[AwayTeam]],Standings!$A$2:$A$33,0),2)&lt;&gt;INDEX(Standings!$A$2:$C$33,MATCH(Table1[[#This Row],[HomeTeam]],Standings!$A$2:$A$33,0),2),1,0)</f>
        <v>0</v>
      </c>
      <c r="AN1229" s="64" t="str">
        <f>INDEX(Table2[AWAY_RECORD], MATCH(Table1[[#This Row],[AwayTeam]],Table2[Team], 0), 0)</f>
        <v>1-0-0</v>
      </c>
      <c r="AO1229" s="64" t="str">
        <f>INDEX(Records!$B$2:$AG$33, MATCH(Table1[[#This Row],[AwayTeam]],Records!$A$2:$A$33, 0), MATCH(Table1[[#This Row],[HomeTeam]],Records!$A$2:$A$33, 0))</f>
        <v>0-0-0</v>
      </c>
      <c r="AP1229" s="64" t="str">
        <f>INDEX(Table2[HOME_RECORD], MATCH(Table1[[#This Row],[HomeTeam]],Table2[Team], 0), 0)</f>
        <v>0-0-0</v>
      </c>
      <c r="AQ1229" s="64" t="str">
        <f>INDEX(Records!$B$2:$AG$33, MATCH(Table1[[#This Row],[HomeTeam]],Records!$A$2:$A$33, 0), MATCH(Table1[[#This Row],[AwayTeam]],Records!$A$2:$A$33, 0))</f>
        <v>0-0-0</v>
      </c>
    </row>
    <row r="1230" spans="1:43" x14ac:dyDescent="0.25">
      <c r="A1230" s="1"/>
      <c r="D1230" t="s">
        <v>1586</v>
      </c>
      <c r="E1230" t="s">
        <v>252</v>
      </c>
      <c r="F1230" t="s">
        <v>1589</v>
      </c>
      <c r="G1230" t="s">
        <v>36</v>
      </c>
      <c r="H1230" t="s">
        <v>23</v>
      </c>
      <c r="L123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3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30" s="1"/>
      <c r="T1230" s="64" t="str">
        <f>IF(Table1[[#This Row],[ActualWinner]]="", "", IF(Table1[[#This Row],[AwayTeam]]=Table1[[#This Row],[ActualWinner]],Table1[[#This Row],[HomeTeam]],Table1[[#This Row],[AwayTeam]]))</f>
        <v/>
      </c>
      <c r="U1230" s="64">
        <f>Table1[[#This Row],[ActualAwayScore]]-Table1[[#This Row],[PredictedAwayScore]]</f>
        <v>0</v>
      </c>
      <c r="V1230" s="64">
        <f>Table1[[#This Row],[ActualHomeScore]]-Table1[[#This Row],[PredictedHomeScore]]</f>
        <v>0</v>
      </c>
      <c r="W1230" s="64">
        <f>(0.8*IF(Table1[[#This Row],[CorrectWinnerPrediction]]=1, 1, 0))+(0.1*IF(Table1[[#This Row],[CorrectAwayScorePrediction]]=1, 1, 0))+(0.1*IF(Table1[[#This Row],[CorrectHomeScorePrediction]]=1, 1, 0))</f>
        <v>0</v>
      </c>
      <c r="X123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30" s="64">
        <f>SUMIF(Table1[GameDate], Table1[[#This Row],[GameDate]], Table1[AwayGameGoalDiff])</f>
        <v>0</v>
      </c>
      <c r="AA1230" s="64">
        <f>SUMIF(Table1[GameDate], Table1[[#This Row],[GameDate]], Table1[HomeGameGoalDiff])</f>
        <v>0</v>
      </c>
      <c r="AB1230" s="64">
        <f>IF(ISBLANK(Table1[[#This Row],[ActualResult]]), 0, 1)</f>
        <v>0</v>
      </c>
      <c r="AC1230" s="64">
        <f>IF(ISBLANK(Table1[[#This Row],[ActualResult]]), 0, IF(Table1[[#This Row],[ActualWinner]]=Table1[[#This Row],[PredictedWinner]], 1, 0))</f>
        <v>0</v>
      </c>
      <c r="AD123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3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30" s="64">
        <f>IF(AND(Table1[[#This Row],[GameIsOver]]=1,Table1[[#This Row],[ActualAwayScore]]=0), 1,0)</f>
        <v>0</v>
      </c>
      <c r="AG1230" s="64">
        <f>IF(AND(Table1[[#This Row],[GameIsOver]]=1,Table1[[#This Row],[ActualHomeScore]]=0), 1,0)</f>
        <v>0</v>
      </c>
      <c r="AH1230" s="64">
        <f>IF(Table1[[#This Row],[GameIsOver]]=0,0,IF(Table1[[#This Row],[ActualWinner]]=Table1[[#This Row],[AwayTeam]], 1, 0))</f>
        <v>0</v>
      </c>
      <c r="AI1230" s="64">
        <f>IF(Table1[[#This Row],[GameIsOver]]=0,0,IF(Table1[[#This Row],[ActualWinner]]=Table1[[#This Row],[HomeTeam]], 1, 0))</f>
        <v>0</v>
      </c>
      <c r="AJ1230" s="64">
        <f>IF(INDEX(Standings!$A$2:$C$33,MATCH(Table1[[#This Row],[AwayTeam]],Standings!$A$2:$A$33,0),2)=INDEX(Standings!$A$2:$C$33,MATCH(Table1[[#This Row],[HomeTeam]],Standings!$A$2:$A$33,0),2),1,0)</f>
        <v>1</v>
      </c>
      <c r="AK1230" s="64">
        <f>IF(INDEX(Standings!$A$2:$C$33,MATCH(Table1[[#This Row],[AwayTeam]],Standings!$A$2:$A$33,0),3)=INDEX(Standings!$A$2:$C$33,MATCH(Table1[[#This Row],[HomeTeam]],Standings!$A$2:$A$33,0),3),1,0)</f>
        <v>1</v>
      </c>
      <c r="AL1230" s="64">
        <f>IF(Table1[[#This Row],[InterConf]]=1,IF(Table1[[#This Row],[InterDiv]]=0, 1, 0), 0)</f>
        <v>0</v>
      </c>
      <c r="AM1230" s="64">
        <f>IF(INDEX(Standings!$A$2:$C$33,MATCH(Table1[[#This Row],[AwayTeam]],Standings!$A$2:$A$33,0),2)&lt;&gt;INDEX(Standings!$A$2:$C$33,MATCH(Table1[[#This Row],[HomeTeam]],Standings!$A$2:$A$33,0),2),1,0)</f>
        <v>0</v>
      </c>
      <c r="AN1230" s="64" t="str">
        <f>INDEX(Table2[AWAY_RECORD], MATCH(Table1[[#This Row],[AwayTeam]],Table2[Team], 0), 0)</f>
        <v>0-0-0</v>
      </c>
      <c r="AO1230" s="64" t="str">
        <f>INDEX(Records!$B$2:$AG$33, MATCH(Table1[[#This Row],[AwayTeam]],Records!$A$2:$A$33, 0), MATCH(Table1[[#This Row],[HomeTeam]],Records!$A$2:$A$33, 0))</f>
        <v>0-0-0</v>
      </c>
      <c r="AP1230" s="64" t="str">
        <f>INDEX(Table2[HOME_RECORD], MATCH(Table1[[#This Row],[HomeTeam]],Table2[Team], 0), 0)</f>
        <v>0-0-1</v>
      </c>
      <c r="AQ1230" s="64" t="str">
        <f>INDEX(Records!$B$2:$AG$33, MATCH(Table1[[#This Row],[HomeTeam]],Records!$A$2:$A$33, 0), MATCH(Table1[[#This Row],[AwayTeam]],Records!$A$2:$A$33, 0))</f>
        <v>0-0-0</v>
      </c>
    </row>
    <row r="1231" spans="1:43" x14ac:dyDescent="0.25">
      <c r="A1231" s="1"/>
      <c r="D1231" t="s">
        <v>1586</v>
      </c>
      <c r="E1231" t="s">
        <v>207</v>
      </c>
      <c r="F1231" t="s">
        <v>1590</v>
      </c>
      <c r="G1231" t="s">
        <v>53</v>
      </c>
      <c r="H1231" t="s">
        <v>17</v>
      </c>
      <c r="L123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3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31" s="1"/>
      <c r="T1231" s="64" t="str">
        <f>IF(Table1[[#This Row],[ActualWinner]]="", "", IF(Table1[[#This Row],[AwayTeam]]=Table1[[#This Row],[ActualWinner]],Table1[[#This Row],[HomeTeam]],Table1[[#This Row],[AwayTeam]]))</f>
        <v/>
      </c>
      <c r="U1231" s="64">
        <f>Table1[[#This Row],[ActualAwayScore]]-Table1[[#This Row],[PredictedAwayScore]]</f>
        <v>0</v>
      </c>
      <c r="V1231" s="64">
        <f>Table1[[#This Row],[ActualHomeScore]]-Table1[[#This Row],[PredictedHomeScore]]</f>
        <v>0</v>
      </c>
      <c r="W1231" s="64">
        <f>(0.8*IF(Table1[[#This Row],[CorrectWinnerPrediction]]=1, 1, 0))+(0.1*IF(Table1[[#This Row],[CorrectAwayScorePrediction]]=1, 1, 0))+(0.1*IF(Table1[[#This Row],[CorrectHomeScorePrediction]]=1, 1, 0))</f>
        <v>0</v>
      </c>
      <c r="X123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31" s="64">
        <f>SUMIF(Table1[GameDate], Table1[[#This Row],[GameDate]], Table1[AwayGameGoalDiff])</f>
        <v>0</v>
      </c>
      <c r="AA1231" s="64">
        <f>SUMIF(Table1[GameDate], Table1[[#This Row],[GameDate]], Table1[HomeGameGoalDiff])</f>
        <v>0</v>
      </c>
      <c r="AB1231" s="64">
        <f>IF(ISBLANK(Table1[[#This Row],[ActualResult]]), 0, 1)</f>
        <v>0</v>
      </c>
      <c r="AC1231" s="64">
        <f>IF(ISBLANK(Table1[[#This Row],[ActualResult]]), 0, IF(Table1[[#This Row],[ActualWinner]]=Table1[[#This Row],[PredictedWinner]], 1, 0))</f>
        <v>0</v>
      </c>
      <c r="AD123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3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31" s="64">
        <f>IF(AND(Table1[[#This Row],[GameIsOver]]=1,Table1[[#This Row],[ActualAwayScore]]=0), 1,0)</f>
        <v>0</v>
      </c>
      <c r="AG1231" s="64">
        <f>IF(AND(Table1[[#This Row],[GameIsOver]]=1,Table1[[#This Row],[ActualHomeScore]]=0), 1,0)</f>
        <v>0</v>
      </c>
      <c r="AH1231" s="64">
        <f>IF(Table1[[#This Row],[GameIsOver]]=0,0,IF(Table1[[#This Row],[ActualWinner]]=Table1[[#This Row],[AwayTeam]], 1, 0))</f>
        <v>0</v>
      </c>
      <c r="AI1231" s="64">
        <f>IF(Table1[[#This Row],[GameIsOver]]=0,0,IF(Table1[[#This Row],[ActualWinner]]=Table1[[#This Row],[HomeTeam]], 1, 0))</f>
        <v>0</v>
      </c>
      <c r="AJ1231" s="64">
        <f>IF(INDEX(Standings!$A$2:$C$33,MATCH(Table1[[#This Row],[AwayTeam]],Standings!$A$2:$A$33,0),2)=INDEX(Standings!$A$2:$C$33,MATCH(Table1[[#This Row],[HomeTeam]],Standings!$A$2:$A$33,0),2),1,0)</f>
        <v>1</v>
      </c>
      <c r="AK1231" s="64">
        <f>IF(INDEX(Standings!$A$2:$C$33,MATCH(Table1[[#This Row],[AwayTeam]],Standings!$A$2:$A$33,0),3)=INDEX(Standings!$A$2:$C$33,MATCH(Table1[[#This Row],[HomeTeam]],Standings!$A$2:$A$33,0),3),1,0)</f>
        <v>0</v>
      </c>
      <c r="AL1231" s="64">
        <f>IF(Table1[[#This Row],[InterConf]]=1,IF(Table1[[#This Row],[InterDiv]]=0, 1, 0), 0)</f>
        <v>1</v>
      </c>
      <c r="AM1231" s="64">
        <f>IF(INDEX(Standings!$A$2:$C$33,MATCH(Table1[[#This Row],[AwayTeam]],Standings!$A$2:$A$33,0),2)&lt;&gt;INDEX(Standings!$A$2:$C$33,MATCH(Table1[[#This Row],[HomeTeam]],Standings!$A$2:$A$33,0),2),1,0)</f>
        <v>0</v>
      </c>
      <c r="AN1231" s="64" t="str">
        <f>INDEX(Table2[AWAY_RECORD], MATCH(Table1[[#This Row],[AwayTeam]],Table2[Team], 0), 0)</f>
        <v>0-1-0</v>
      </c>
      <c r="AO1231" s="64" t="str">
        <f>INDEX(Records!$B$2:$AG$33, MATCH(Table1[[#This Row],[AwayTeam]],Records!$A$2:$A$33, 0), MATCH(Table1[[#This Row],[HomeTeam]],Records!$A$2:$A$33, 0))</f>
        <v>0-0-0</v>
      </c>
      <c r="AP1231" s="64" t="str">
        <f>INDEX(Table2[HOME_RECORD], MATCH(Table1[[#This Row],[HomeTeam]],Table2[Team], 0), 0)</f>
        <v>0-0-0</v>
      </c>
      <c r="AQ1231" s="64" t="str">
        <f>INDEX(Records!$B$2:$AG$33, MATCH(Table1[[#This Row],[HomeTeam]],Records!$A$2:$A$33, 0), MATCH(Table1[[#This Row],[AwayTeam]],Records!$A$2:$A$33, 0))</f>
        <v>0-0-0</v>
      </c>
    </row>
    <row r="1232" spans="1:43" x14ac:dyDescent="0.25">
      <c r="A1232" s="1"/>
      <c r="D1232" t="s">
        <v>1586</v>
      </c>
      <c r="E1232" t="s">
        <v>160</v>
      </c>
      <c r="F1232" t="s">
        <v>1591</v>
      </c>
      <c r="G1232" t="s">
        <v>52</v>
      </c>
      <c r="H1232" t="s">
        <v>24</v>
      </c>
      <c r="L123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3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32" s="1"/>
      <c r="T1232" s="64" t="str">
        <f>IF(Table1[[#This Row],[ActualWinner]]="", "", IF(Table1[[#This Row],[AwayTeam]]=Table1[[#This Row],[ActualWinner]],Table1[[#This Row],[HomeTeam]],Table1[[#This Row],[AwayTeam]]))</f>
        <v/>
      </c>
      <c r="U1232" s="64">
        <f>Table1[[#This Row],[ActualAwayScore]]-Table1[[#This Row],[PredictedAwayScore]]</f>
        <v>0</v>
      </c>
      <c r="V1232" s="64">
        <f>Table1[[#This Row],[ActualHomeScore]]-Table1[[#This Row],[PredictedHomeScore]]</f>
        <v>0</v>
      </c>
      <c r="W1232" s="64">
        <f>(0.8*IF(Table1[[#This Row],[CorrectWinnerPrediction]]=1, 1, 0))+(0.1*IF(Table1[[#This Row],[CorrectAwayScorePrediction]]=1, 1, 0))+(0.1*IF(Table1[[#This Row],[CorrectHomeScorePrediction]]=1, 1, 0))</f>
        <v>0</v>
      </c>
      <c r="X123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32" s="64">
        <f>SUMIF(Table1[GameDate], Table1[[#This Row],[GameDate]], Table1[AwayGameGoalDiff])</f>
        <v>0</v>
      </c>
      <c r="AA1232" s="64">
        <f>SUMIF(Table1[GameDate], Table1[[#This Row],[GameDate]], Table1[HomeGameGoalDiff])</f>
        <v>0</v>
      </c>
      <c r="AB1232" s="64">
        <f>IF(ISBLANK(Table1[[#This Row],[ActualResult]]), 0, 1)</f>
        <v>0</v>
      </c>
      <c r="AC1232" s="64">
        <f>IF(ISBLANK(Table1[[#This Row],[ActualResult]]), 0, IF(Table1[[#This Row],[ActualWinner]]=Table1[[#This Row],[PredictedWinner]], 1, 0))</f>
        <v>0</v>
      </c>
      <c r="AD123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3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32" s="64">
        <f>IF(AND(Table1[[#This Row],[GameIsOver]]=1,Table1[[#This Row],[ActualAwayScore]]=0), 1,0)</f>
        <v>0</v>
      </c>
      <c r="AG1232" s="64">
        <f>IF(AND(Table1[[#This Row],[GameIsOver]]=1,Table1[[#This Row],[ActualHomeScore]]=0), 1,0)</f>
        <v>0</v>
      </c>
      <c r="AH1232" s="64">
        <f>IF(Table1[[#This Row],[GameIsOver]]=0,0,IF(Table1[[#This Row],[ActualWinner]]=Table1[[#This Row],[AwayTeam]], 1, 0))</f>
        <v>0</v>
      </c>
      <c r="AI1232" s="64">
        <f>IF(Table1[[#This Row],[GameIsOver]]=0,0,IF(Table1[[#This Row],[ActualWinner]]=Table1[[#This Row],[HomeTeam]], 1, 0))</f>
        <v>0</v>
      </c>
      <c r="AJ1232" s="64">
        <f>IF(INDEX(Standings!$A$2:$C$33,MATCH(Table1[[#This Row],[AwayTeam]],Standings!$A$2:$A$33,0),2)=INDEX(Standings!$A$2:$C$33,MATCH(Table1[[#This Row],[HomeTeam]],Standings!$A$2:$A$33,0),2),1,0)</f>
        <v>1</v>
      </c>
      <c r="AK1232" s="64">
        <f>IF(INDEX(Standings!$A$2:$C$33,MATCH(Table1[[#This Row],[AwayTeam]],Standings!$A$2:$A$33,0),3)=INDEX(Standings!$A$2:$C$33,MATCH(Table1[[#This Row],[HomeTeam]],Standings!$A$2:$A$33,0),3),1,0)</f>
        <v>1</v>
      </c>
      <c r="AL1232" s="64">
        <f>IF(Table1[[#This Row],[InterConf]]=1,IF(Table1[[#This Row],[InterDiv]]=0, 1, 0), 0)</f>
        <v>0</v>
      </c>
      <c r="AM1232" s="64">
        <f>IF(INDEX(Standings!$A$2:$C$33,MATCH(Table1[[#This Row],[AwayTeam]],Standings!$A$2:$A$33,0),2)&lt;&gt;INDEX(Standings!$A$2:$C$33,MATCH(Table1[[#This Row],[HomeTeam]],Standings!$A$2:$A$33,0),2),1,0)</f>
        <v>0</v>
      </c>
      <c r="AN1232" s="64" t="str">
        <f>INDEX(Table2[AWAY_RECORD], MATCH(Table1[[#This Row],[AwayTeam]],Table2[Team], 0), 0)</f>
        <v>0-0-0</v>
      </c>
      <c r="AO1232" s="64" t="str">
        <f>INDEX(Records!$B$2:$AG$33, MATCH(Table1[[#This Row],[AwayTeam]],Records!$A$2:$A$33, 0), MATCH(Table1[[#This Row],[HomeTeam]],Records!$A$2:$A$33, 0))</f>
        <v>0-0-0</v>
      </c>
      <c r="AP1232" s="64" t="str">
        <f>INDEX(Table2[HOME_RECORD], MATCH(Table1[[#This Row],[HomeTeam]],Table2[Team], 0), 0)</f>
        <v>0-2-0</v>
      </c>
      <c r="AQ1232" s="64" t="str">
        <f>INDEX(Records!$B$2:$AG$33, MATCH(Table1[[#This Row],[HomeTeam]],Records!$A$2:$A$33, 0), MATCH(Table1[[#This Row],[AwayTeam]],Records!$A$2:$A$33, 0))</f>
        <v>0-0-0</v>
      </c>
    </row>
    <row r="1233" spans="1:43" x14ac:dyDescent="0.25">
      <c r="A1233" s="1"/>
      <c r="D1233" t="s">
        <v>1586</v>
      </c>
      <c r="E1233" t="s">
        <v>160</v>
      </c>
      <c r="F1233" t="s">
        <v>1592</v>
      </c>
      <c r="G1233" t="s">
        <v>49</v>
      </c>
      <c r="H1233" t="s">
        <v>47</v>
      </c>
      <c r="L123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3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33" s="1"/>
      <c r="T1233" s="64" t="str">
        <f>IF(Table1[[#This Row],[ActualWinner]]="", "", IF(Table1[[#This Row],[AwayTeam]]=Table1[[#This Row],[ActualWinner]],Table1[[#This Row],[HomeTeam]],Table1[[#This Row],[AwayTeam]]))</f>
        <v/>
      </c>
      <c r="U1233" s="64">
        <f>Table1[[#This Row],[ActualAwayScore]]-Table1[[#This Row],[PredictedAwayScore]]</f>
        <v>0</v>
      </c>
      <c r="V1233" s="64">
        <f>Table1[[#This Row],[ActualHomeScore]]-Table1[[#This Row],[PredictedHomeScore]]</f>
        <v>0</v>
      </c>
      <c r="W1233" s="64">
        <f>(0.8*IF(Table1[[#This Row],[CorrectWinnerPrediction]]=1, 1, 0))+(0.1*IF(Table1[[#This Row],[CorrectAwayScorePrediction]]=1, 1, 0))+(0.1*IF(Table1[[#This Row],[CorrectHomeScorePrediction]]=1, 1, 0))</f>
        <v>0</v>
      </c>
      <c r="X123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33" s="64">
        <f>SUMIF(Table1[GameDate], Table1[[#This Row],[GameDate]], Table1[AwayGameGoalDiff])</f>
        <v>0</v>
      </c>
      <c r="AA1233" s="64">
        <f>SUMIF(Table1[GameDate], Table1[[#This Row],[GameDate]], Table1[HomeGameGoalDiff])</f>
        <v>0</v>
      </c>
      <c r="AB1233" s="64">
        <f>IF(ISBLANK(Table1[[#This Row],[ActualResult]]), 0, 1)</f>
        <v>0</v>
      </c>
      <c r="AC1233" s="64">
        <f>IF(ISBLANK(Table1[[#This Row],[ActualResult]]), 0, IF(Table1[[#This Row],[ActualWinner]]=Table1[[#This Row],[PredictedWinner]], 1, 0))</f>
        <v>0</v>
      </c>
      <c r="AD123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3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33" s="64">
        <f>IF(AND(Table1[[#This Row],[GameIsOver]]=1,Table1[[#This Row],[ActualAwayScore]]=0), 1,0)</f>
        <v>0</v>
      </c>
      <c r="AG1233" s="64">
        <f>IF(AND(Table1[[#This Row],[GameIsOver]]=1,Table1[[#This Row],[ActualHomeScore]]=0), 1,0)</f>
        <v>0</v>
      </c>
      <c r="AH1233" s="64">
        <f>IF(Table1[[#This Row],[GameIsOver]]=0,0,IF(Table1[[#This Row],[ActualWinner]]=Table1[[#This Row],[AwayTeam]], 1, 0))</f>
        <v>0</v>
      </c>
      <c r="AI1233" s="64">
        <f>IF(Table1[[#This Row],[GameIsOver]]=0,0,IF(Table1[[#This Row],[ActualWinner]]=Table1[[#This Row],[HomeTeam]], 1, 0))</f>
        <v>0</v>
      </c>
      <c r="AJ1233" s="64">
        <f>IF(INDEX(Standings!$A$2:$C$33,MATCH(Table1[[#This Row],[AwayTeam]],Standings!$A$2:$A$33,0),2)=INDEX(Standings!$A$2:$C$33,MATCH(Table1[[#This Row],[HomeTeam]],Standings!$A$2:$A$33,0),2),1,0)</f>
        <v>1</v>
      </c>
      <c r="AK1233" s="64">
        <f>IF(INDEX(Standings!$A$2:$C$33,MATCH(Table1[[#This Row],[AwayTeam]],Standings!$A$2:$A$33,0),3)=INDEX(Standings!$A$2:$C$33,MATCH(Table1[[#This Row],[HomeTeam]],Standings!$A$2:$A$33,0),3),1,0)</f>
        <v>0</v>
      </c>
      <c r="AL1233" s="64">
        <f>IF(Table1[[#This Row],[InterConf]]=1,IF(Table1[[#This Row],[InterDiv]]=0, 1, 0), 0)</f>
        <v>1</v>
      </c>
      <c r="AM1233" s="64">
        <f>IF(INDEX(Standings!$A$2:$C$33,MATCH(Table1[[#This Row],[AwayTeam]],Standings!$A$2:$A$33,0),2)&lt;&gt;INDEX(Standings!$A$2:$C$33,MATCH(Table1[[#This Row],[HomeTeam]],Standings!$A$2:$A$33,0),2),1,0)</f>
        <v>0</v>
      </c>
      <c r="AN1233" s="64" t="str">
        <f>INDEX(Table2[AWAY_RECORD], MATCH(Table1[[#This Row],[AwayTeam]],Table2[Team], 0), 0)</f>
        <v>0-0-0</v>
      </c>
      <c r="AO1233" s="64" t="str">
        <f>INDEX(Records!$B$2:$AG$33, MATCH(Table1[[#This Row],[AwayTeam]],Records!$A$2:$A$33, 0), MATCH(Table1[[#This Row],[HomeTeam]],Records!$A$2:$A$33, 0))</f>
        <v>0-0-0</v>
      </c>
      <c r="AP1233" s="64" t="str">
        <f>INDEX(Table2[HOME_RECORD], MATCH(Table1[[#This Row],[HomeTeam]],Table2[Team], 0), 0)</f>
        <v>0-0-0</v>
      </c>
      <c r="AQ1233" s="64" t="str">
        <f>INDEX(Records!$B$2:$AG$33, MATCH(Table1[[#This Row],[HomeTeam]],Records!$A$2:$A$33, 0), MATCH(Table1[[#This Row],[AwayTeam]],Records!$A$2:$A$33, 0))</f>
        <v>0-0-0</v>
      </c>
    </row>
    <row r="1234" spans="1:43" x14ac:dyDescent="0.25">
      <c r="A1234" s="1"/>
      <c r="D1234" t="s">
        <v>1586</v>
      </c>
      <c r="E1234" t="s">
        <v>160</v>
      </c>
      <c r="F1234" t="s">
        <v>1593</v>
      </c>
      <c r="G1234" t="s">
        <v>51</v>
      </c>
      <c r="H1234" t="s">
        <v>57</v>
      </c>
      <c r="L123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3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34" s="1"/>
      <c r="T1234" s="64" t="str">
        <f>IF(Table1[[#This Row],[ActualWinner]]="", "", IF(Table1[[#This Row],[AwayTeam]]=Table1[[#This Row],[ActualWinner]],Table1[[#This Row],[HomeTeam]],Table1[[#This Row],[AwayTeam]]))</f>
        <v/>
      </c>
      <c r="U1234" s="64">
        <f>Table1[[#This Row],[ActualAwayScore]]-Table1[[#This Row],[PredictedAwayScore]]</f>
        <v>0</v>
      </c>
      <c r="V1234" s="64">
        <f>Table1[[#This Row],[ActualHomeScore]]-Table1[[#This Row],[PredictedHomeScore]]</f>
        <v>0</v>
      </c>
      <c r="W1234" s="64">
        <f>(0.8*IF(Table1[[#This Row],[CorrectWinnerPrediction]]=1, 1, 0))+(0.1*IF(Table1[[#This Row],[CorrectAwayScorePrediction]]=1, 1, 0))+(0.1*IF(Table1[[#This Row],[CorrectHomeScorePrediction]]=1, 1, 0))</f>
        <v>0</v>
      </c>
      <c r="X123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34" s="64">
        <f>SUMIF(Table1[GameDate], Table1[[#This Row],[GameDate]], Table1[AwayGameGoalDiff])</f>
        <v>0</v>
      </c>
      <c r="AA1234" s="64">
        <f>SUMIF(Table1[GameDate], Table1[[#This Row],[GameDate]], Table1[HomeGameGoalDiff])</f>
        <v>0</v>
      </c>
      <c r="AB1234" s="64">
        <f>IF(ISBLANK(Table1[[#This Row],[ActualResult]]), 0, 1)</f>
        <v>0</v>
      </c>
      <c r="AC1234" s="64">
        <f>IF(ISBLANK(Table1[[#This Row],[ActualResult]]), 0, IF(Table1[[#This Row],[ActualWinner]]=Table1[[#This Row],[PredictedWinner]], 1, 0))</f>
        <v>0</v>
      </c>
      <c r="AD123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3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34" s="64">
        <f>IF(AND(Table1[[#This Row],[GameIsOver]]=1,Table1[[#This Row],[ActualAwayScore]]=0), 1,0)</f>
        <v>0</v>
      </c>
      <c r="AG1234" s="64">
        <f>IF(AND(Table1[[#This Row],[GameIsOver]]=1,Table1[[#This Row],[ActualHomeScore]]=0), 1,0)</f>
        <v>0</v>
      </c>
      <c r="AH1234" s="64">
        <f>IF(Table1[[#This Row],[GameIsOver]]=0,0,IF(Table1[[#This Row],[ActualWinner]]=Table1[[#This Row],[AwayTeam]], 1, 0))</f>
        <v>0</v>
      </c>
      <c r="AI1234" s="64">
        <f>IF(Table1[[#This Row],[GameIsOver]]=0,0,IF(Table1[[#This Row],[ActualWinner]]=Table1[[#This Row],[HomeTeam]], 1, 0))</f>
        <v>0</v>
      </c>
      <c r="AJ1234" s="64">
        <f>IF(INDEX(Standings!$A$2:$C$33,MATCH(Table1[[#This Row],[AwayTeam]],Standings!$A$2:$A$33,0),2)=INDEX(Standings!$A$2:$C$33,MATCH(Table1[[#This Row],[HomeTeam]],Standings!$A$2:$A$33,0),2),1,0)</f>
        <v>1</v>
      </c>
      <c r="AK1234" s="64">
        <f>IF(INDEX(Standings!$A$2:$C$33,MATCH(Table1[[#This Row],[AwayTeam]],Standings!$A$2:$A$33,0),3)=INDEX(Standings!$A$2:$C$33,MATCH(Table1[[#This Row],[HomeTeam]],Standings!$A$2:$A$33,0),3),1,0)</f>
        <v>0</v>
      </c>
      <c r="AL1234" s="64">
        <f>IF(Table1[[#This Row],[InterConf]]=1,IF(Table1[[#This Row],[InterDiv]]=0, 1, 0), 0)</f>
        <v>1</v>
      </c>
      <c r="AM1234" s="64">
        <f>IF(INDEX(Standings!$A$2:$C$33,MATCH(Table1[[#This Row],[AwayTeam]],Standings!$A$2:$A$33,0),2)&lt;&gt;INDEX(Standings!$A$2:$C$33,MATCH(Table1[[#This Row],[HomeTeam]],Standings!$A$2:$A$33,0),2),1,0)</f>
        <v>0</v>
      </c>
      <c r="AN1234" s="64" t="str">
        <f>INDEX(Table2[AWAY_RECORD], MATCH(Table1[[#This Row],[AwayTeam]],Table2[Team], 0), 0)</f>
        <v>2-0-0</v>
      </c>
      <c r="AO1234" s="64" t="str">
        <f>INDEX(Records!$B$2:$AG$33, MATCH(Table1[[#This Row],[AwayTeam]],Records!$A$2:$A$33, 0), MATCH(Table1[[#This Row],[HomeTeam]],Records!$A$2:$A$33, 0))</f>
        <v>1-0-0</v>
      </c>
      <c r="AP1234" s="64" t="str">
        <f>INDEX(Table2[HOME_RECORD], MATCH(Table1[[#This Row],[HomeTeam]],Table2[Team], 0), 0)</f>
        <v>0-0-0</v>
      </c>
      <c r="AQ1234" s="64" t="str">
        <f>INDEX(Records!$B$2:$AG$33, MATCH(Table1[[#This Row],[HomeTeam]],Records!$A$2:$A$33, 0), MATCH(Table1[[#This Row],[AwayTeam]],Records!$A$2:$A$33, 0))</f>
        <v>0-1-0</v>
      </c>
    </row>
    <row r="1235" spans="1:43" x14ac:dyDescent="0.25">
      <c r="A1235" s="1"/>
      <c r="D1235" t="s">
        <v>1586</v>
      </c>
      <c r="E1235" t="s">
        <v>160</v>
      </c>
      <c r="F1235" t="s">
        <v>1594</v>
      </c>
      <c r="G1235" t="s">
        <v>40</v>
      </c>
      <c r="H1235" t="s">
        <v>54</v>
      </c>
      <c r="L123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3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35" s="1"/>
      <c r="T1235" s="64" t="str">
        <f>IF(Table1[[#This Row],[ActualWinner]]="", "", IF(Table1[[#This Row],[AwayTeam]]=Table1[[#This Row],[ActualWinner]],Table1[[#This Row],[HomeTeam]],Table1[[#This Row],[AwayTeam]]))</f>
        <v/>
      </c>
      <c r="U1235" s="64">
        <f>Table1[[#This Row],[ActualAwayScore]]-Table1[[#This Row],[PredictedAwayScore]]</f>
        <v>0</v>
      </c>
      <c r="V1235" s="64">
        <f>Table1[[#This Row],[ActualHomeScore]]-Table1[[#This Row],[PredictedHomeScore]]</f>
        <v>0</v>
      </c>
      <c r="W1235" s="64">
        <f>(0.8*IF(Table1[[#This Row],[CorrectWinnerPrediction]]=1, 1, 0))+(0.1*IF(Table1[[#This Row],[CorrectAwayScorePrediction]]=1, 1, 0))+(0.1*IF(Table1[[#This Row],[CorrectHomeScorePrediction]]=1, 1, 0))</f>
        <v>0</v>
      </c>
      <c r="X123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35" s="64">
        <f>SUMIF(Table1[GameDate], Table1[[#This Row],[GameDate]], Table1[AwayGameGoalDiff])</f>
        <v>0</v>
      </c>
      <c r="AA1235" s="64">
        <f>SUMIF(Table1[GameDate], Table1[[#This Row],[GameDate]], Table1[HomeGameGoalDiff])</f>
        <v>0</v>
      </c>
      <c r="AB1235" s="64">
        <f>IF(ISBLANK(Table1[[#This Row],[ActualResult]]), 0, 1)</f>
        <v>0</v>
      </c>
      <c r="AC1235" s="64">
        <f>IF(ISBLANK(Table1[[#This Row],[ActualResult]]), 0, IF(Table1[[#This Row],[ActualWinner]]=Table1[[#This Row],[PredictedWinner]], 1, 0))</f>
        <v>0</v>
      </c>
      <c r="AD123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3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35" s="64">
        <f>IF(AND(Table1[[#This Row],[GameIsOver]]=1,Table1[[#This Row],[ActualAwayScore]]=0), 1,0)</f>
        <v>0</v>
      </c>
      <c r="AG1235" s="64">
        <f>IF(AND(Table1[[#This Row],[GameIsOver]]=1,Table1[[#This Row],[ActualHomeScore]]=0), 1,0)</f>
        <v>0</v>
      </c>
      <c r="AH1235" s="64">
        <f>IF(Table1[[#This Row],[GameIsOver]]=0,0,IF(Table1[[#This Row],[ActualWinner]]=Table1[[#This Row],[AwayTeam]], 1, 0))</f>
        <v>0</v>
      </c>
      <c r="AI1235" s="64">
        <f>IF(Table1[[#This Row],[GameIsOver]]=0,0,IF(Table1[[#This Row],[ActualWinner]]=Table1[[#This Row],[HomeTeam]], 1, 0))</f>
        <v>0</v>
      </c>
      <c r="AJ1235" s="64">
        <f>IF(INDEX(Standings!$A$2:$C$33,MATCH(Table1[[#This Row],[AwayTeam]],Standings!$A$2:$A$33,0),2)=INDEX(Standings!$A$2:$C$33,MATCH(Table1[[#This Row],[HomeTeam]],Standings!$A$2:$A$33,0),2),1,0)</f>
        <v>1</v>
      </c>
      <c r="AK1235" s="64">
        <f>IF(INDEX(Standings!$A$2:$C$33,MATCH(Table1[[#This Row],[AwayTeam]],Standings!$A$2:$A$33,0),3)=INDEX(Standings!$A$2:$C$33,MATCH(Table1[[#This Row],[HomeTeam]],Standings!$A$2:$A$33,0),3),1,0)</f>
        <v>1</v>
      </c>
      <c r="AL1235" s="64">
        <f>IF(Table1[[#This Row],[InterConf]]=1,IF(Table1[[#This Row],[InterDiv]]=0, 1, 0), 0)</f>
        <v>0</v>
      </c>
      <c r="AM1235" s="64">
        <f>IF(INDEX(Standings!$A$2:$C$33,MATCH(Table1[[#This Row],[AwayTeam]],Standings!$A$2:$A$33,0),2)&lt;&gt;INDEX(Standings!$A$2:$C$33,MATCH(Table1[[#This Row],[HomeTeam]],Standings!$A$2:$A$33,0),2),1,0)</f>
        <v>0</v>
      </c>
      <c r="AN1235" s="64" t="str">
        <f>INDEX(Table2[AWAY_RECORD], MATCH(Table1[[#This Row],[AwayTeam]],Table2[Team], 0), 0)</f>
        <v>0-0-0</v>
      </c>
      <c r="AO1235" s="64" t="str">
        <f>INDEX(Records!$B$2:$AG$33, MATCH(Table1[[#This Row],[AwayTeam]],Records!$A$2:$A$33, 0), MATCH(Table1[[#This Row],[HomeTeam]],Records!$A$2:$A$33, 0))</f>
        <v>0-0-0</v>
      </c>
      <c r="AP1235" s="64" t="str">
        <f>INDEX(Table2[HOME_RECORD], MATCH(Table1[[#This Row],[HomeTeam]],Table2[Team], 0), 0)</f>
        <v>0-0-0</v>
      </c>
      <c r="AQ1235" s="64" t="str">
        <f>INDEX(Records!$B$2:$AG$33, MATCH(Table1[[#This Row],[HomeTeam]],Records!$A$2:$A$33, 0), MATCH(Table1[[#This Row],[AwayTeam]],Records!$A$2:$A$33, 0))</f>
        <v>0-0-0</v>
      </c>
    </row>
    <row r="1236" spans="1:43" x14ac:dyDescent="0.25">
      <c r="A1236" s="1"/>
      <c r="D1236" t="s">
        <v>1586</v>
      </c>
      <c r="E1236" t="s">
        <v>160</v>
      </c>
      <c r="F1236" t="s">
        <v>1595</v>
      </c>
      <c r="G1236" t="s">
        <v>61</v>
      </c>
      <c r="H1236" t="s">
        <v>42</v>
      </c>
      <c r="L123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3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36" s="1"/>
      <c r="T1236" s="64" t="str">
        <f>IF(Table1[[#This Row],[ActualWinner]]="", "", IF(Table1[[#This Row],[AwayTeam]]=Table1[[#This Row],[ActualWinner]],Table1[[#This Row],[HomeTeam]],Table1[[#This Row],[AwayTeam]]))</f>
        <v/>
      </c>
      <c r="U1236" s="64">
        <f>Table1[[#This Row],[ActualAwayScore]]-Table1[[#This Row],[PredictedAwayScore]]</f>
        <v>0</v>
      </c>
      <c r="V1236" s="64">
        <f>Table1[[#This Row],[ActualHomeScore]]-Table1[[#This Row],[PredictedHomeScore]]</f>
        <v>0</v>
      </c>
      <c r="W1236" s="64">
        <f>(0.8*IF(Table1[[#This Row],[CorrectWinnerPrediction]]=1, 1, 0))+(0.1*IF(Table1[[#This Row],[CorrectAwayScorePrediction]]=1, 1, 0))+(0.1*IF(Table1[[#This Row],[CorrectHomeScorePrediction]]=1, 1, 0))</f>
        <v>0</v>
      </c>
      <c r="X123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36" s="64">
        <f>SUMIF(Table1[GameDate], Table1[[#This Row],[GameDate]], Table1[AwayGameGoalDiff])</f>
        <v>0</v>
      </c>
      <c r="AA1236" s="64">
        <f>SUMIF(Table1[GameDate], Table1[[#This Row],[GameDate]], Table1[HomeGameGoalDiff])</f>
        <v>0</v>
      </c>
      <c r="AB1236" s="64">
        <f>IF(ISBLANK(Table1[[#This Row],[ActualResult]]), 0, 1)</f>
        <v>0</v>
      </c>
      <c r="AC1236" s="64">
        <f>IF(ISBLANK(Table1[[#This Row],[ActualResult]]), 0, IF(Table1[[#This Row],[ActualWinner]]=Table1[[#This Row],[PredictedWinner]], 1, 0))</f>
        <v>0</v>
      </c>
      <c r="AD123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3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36" s="64">
        <f>IF(AND(Table1[[#This Row],[GameIsOver]]=1,Table1[[#This Row],[ActualAwayScore]]=0), 1,0)</f>
        <v>0</v>
      </c>
      <c r="AG1236" s="64">
        <f>IF(AND(Table1[[#This Row],[GameIsOver]]=1,Table1[[#This Row],[ActualHomeScore]]=0), 1,0)</f>
        <v>0</v>
      </c>
      <c r="AH1236" s="64">
        <f>IF(Table1[[#This Row],[GameIsOver]]=0,0,IF(Table1[[#This Row],[ActualWinner]]=Table1[[#This Row],[AwayTeam]], 1, 0))</f>
        <v>0</v>
      </c>
      <c r="AI1236" s="64">
        <f>IF(Table1[[#This Row],[GameIsOver]]=0,0,IF(Table1[[#This Row],[ActualWinner]]=Table1[[#This Row],[HomeTeam]], 1, 0))</f>
        <v>0</v>
      </c>
      <c r="AJ1236" s="64">
        <f>IF(INDEX(Standings!$A$2:$C$33,MATCH(Table1[[#This Row],[AwayTeam]],Standings!$A$2:$A$33,0),2)=INDEX(Standings!$A$2:$C$33,MATCH(Table1[[#This Row],[HomeTeam]],Standings!$A$2:$A$33,0),2),1,0)</f>
        <v>0</v>
      </c>
      <c r="AK1236" s="64">
        <f>IF(INDEX(Standings!$A$2:$C$33,MATCH(Table1[[#This Row],[AwayTeam]],Standings!$A$2:$A$33,0),3)=INDEX(Standings!$A$2:$C$33,MATCH(Table1[[#This Row],[HomeTeam]],Standings!$A$2:$A$33,0),3),1,0)</f>
        <v>0</v>
      </c>
      <c r="AL1236" s="64">
        <f>IF(Table1[[#This Row],[InterConf]]=1,IF(Table1[[#This Row],[InterDiv]]=0, 1, 0), 0)</f>
        <v>0</v>
      </c>
      <c r="AM1236" s="64">
        <f>IF(INDEX(Standings!$A$2:$C$33,MATCH(Table1[[#This Row],[AwayTeam]],Standings!$A$2:$A$33,0),2)&lt;&gt;INDEX(Standings!$A$2:$C$33,MATCH(Table1[[#This Row],[HomeTeam]],Standings!$A$2:$A$33,0),2),1,0)</f>
        <v>1</v>
      </c>
      <c r="AN1236" s="64" t="str">
        <f>INDEX(Table2[AWAY_RECORD], MATCH(Table1[[#This Row],[AwayTeam]],Table2[Team], 0), 0)</f>
        <v>0-0-0</v>
      </c>
      <c r="AO1236" s="64" t="str">
        <f>INDEX(Records!$B$2:$AG$33, MATCH(Table1[[#This Row],[AwayTeam]],Records!$A$2:$A$33, 0), MATCH(Table1[[#This Row],[HomeTeam]],Records!$A$2:$A$33, 0))</f>
        <v>0-0-0</v>
      </c>
      <c r="AP1236" s="64" t="str">
        <f>INDEX(Table2[HOME_RECORD], MATCH(Table1[[#This Row],[HomeTeam]],Table2[Team], 0), 0)</f>
        <v>1-0-0</v>
      </c>
      <c r="AQ1236" s="64" t="str">
        <f>INDEX(Records!$B$2:$AG$33, MATCH(Table1[[#This Row],[HomeTeam]],Records!$A$2:$A$33, 0), MATCH(Table1[[#This Row],[AwayTeam]],Records!$A$2:$A$33, 0))</f>
        <v>0-0-0</v>
      </c>
    </row>
    <row r="1237" spans="1:43" x14ac:dyDescent="0.25">
      <c r="A1237" s="1"/>
      <c r="D1237" t="s">
        <v>1586</v>
      </c>
      <c r="E1237" t="s">
        <v>160</v>
      </c>
      <c r="F1237" t="s">
        <v>1596</v>
      </c>
      <c r="G1237" t="s">
        <v>60</v>
      </c>
      <c r="H1237" t="s">
        <v>41</v>
      </c>
      <c r="L123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3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37" s="1"/>
      <c r="T1237" s="64" t="str">
        <f>IF(Table1[[#This Row],[ActualWinner]]="", "", IF(Table1[[#This Row],[AwayTeam]]=Table1[[#This Row],[ActualWinner]],Table1[[#This Row],[HomeTeam]],Table1[[#This Row],[AwayTeam]]))</f>
        <v/>
      </c>
      <c r="U1237" s="64">
        <f>Table1[[#This Row],[ActualAwayScore]]-Table1[[#This Row],[PredictedAwayScore]]</f>
        <v>0</v>
      </c>
      <c r="V1237" s="64">
        <f>Table1[[#This Row],[ActualHomeScore]]-Table1[[#This Row],[PredictedHomeScore]]</f>
        <v>0</v>
      </c>
      <c r="W1237" s="64">
        <f>(0.8*IF(Table1[[#This Row],[CorrectWinnerPrediction]]=1, 1, 0))+(0.1*IF(Table1[[#This Row],[CorrectAwayScorePrediction]]=1, 1, 0))+(0.1*IF(Table1[[#This Row],[CorrectHomeScorePrediction]]=1, 1, 0))</f>
        <v>0</v>
      </c>
      <c r="X123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37" s="64">
        <f>SUMIF(Table1[GameDate], Table1[[#This Row],[GameDate]], Table1[AwayGameGoalDiff])</f>
        <v>0</v>
      </c>
      <c r="AA1237" s="64">
        <f>SUMIF(Table1[GameDate], Table1[[#This Row],[GameDate]], Table1[HomeGameGoalDiff])</f>
        <v>0</v>
      </c>
      <c r="AB1237" s="64">
        <f>IF(ISBLANK(Table1[[#This Row],[ActualResult]]), 0, 1)</f>
        <v>0</v>
      </c>
      <c r="AC1237" s="64">
        <f>IF(ISBLANK(Table1[[#This Row],[ActualResult]]), 0, IF(Table1[[#This Row],[ActualWinner]]=Table1[[#This Row],[PredictedWinner]], 1, 0))</f>
        <v>0</v>
      </c>
      <c r="AD123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3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37" s="64">
        <f>IF(AND(Table1[[#This Row],[GameIsOver]]=1,Table1[[#This Row],[ActualAwayScore]]=0), 1,0)</f>
        <v>0</v>
      </c>
      <c r="AG1237" s="64">
        <f>IF(AND(Table1[[#This Row],[GameIsOver]]=1,Table1[[#This Row],[ActualHomeScore]]=0), 1,0)</f>
        <v>0</v>
      </c>
      <c r="AH1237" s="64">
        <f>IF(Table1[[#This Row],[GameIsOver]]=0,0,IF(Table1[[#This Row],[ActualWinner]]=Table1[[#This Row],[AwayTeam]], 1, 0))</f>
        <v>0</v>
      </c>
      <c r="AI1237" s="64">
        <f>IF(Table1[[#This Row],[GameIsOver]]=0,0,IF(Table1[[#This Row],[ActualWinner]]=Table1[[#This Row],[HomeTeam]], 1, 0))</f>
        <v>0</v>
      </c>
      <c r="AJ1237" s="64">
        <f>IF(INDEX(Standings!$A$2:$C$33,MATCH(Table1[[#This Row],[AwayTeam]],Standings!$A$2:$A$33,0),2)=INDEX(Standings!$A$2:$C$33,MATCH(Table1[[#This Row],[HomeTeam]],Standings!$A$2:$A$33,0),2),1,0)</f>
        <v>1</v>
      </c>
      <c r="AK1237" s="64">
        <f>IF(INDEX(Standings!$A$2:$C$33,MATCH(Table1[[#This Row],[AwayTeam]],Standings!$A$2:$A$33,0),3)=INDEX(Standings!$A$2:$C$33,MATCH(Table1[[#This Row],[HomeTeam]],Standings!$A$2:$A$33,0),3),1,0)</f>
        <v>1</v>
      </c>
      <c r="AL1237" s="64">
        <f>IF(Table1[[#This Row],[InterConf]]=1,IF(Table1[[#This Row],[InterDiv]]=0, 1, 0), 0)</f>
        <v>0</v>
      </c>
      <c r="AM1237" s="64">
        <f>IF(INDEX(Standings!$A$2:$C$33,MATCH(Table1[[#This Row],[AwayTeam]],Standings!$A$2:$A$33,0),2)&lt;&gt;INDEX(Standings!$A$2:$C$33,MATCH(Table1[[#This Row],[HomeTeam]],Standings!$A$2:$A$33,0),2),1,0)</f>
        <v>0</v>
      </c>
      <c r="AN1237" s="64" t="str">
        <f>INDEX(Table2[AWAY_RECORD], MATCH(Table1[[#This Row],[AwayTeam]],Table2[Team], 0), 0)</f>
        <v>0-0-0</v>
      </c>
      <c r="AO1237" s="64" t="str">
        <f>INDEX(Records!$B$2:$AG$33, MATCH(Table1[[#This Row],[AwayTeam]],Records!$A$2:$A$33, 0), MATCH(Table1[[#This Row],[HomeTeam]],Records!$A$2:$A$33, 0))</f>
        <v>0-0-0</v>
      </c>
      <c r="AP1237" s="64" t="str">
        <f>INDEX(Table2[HOME_RECORD], MATCH(Table1[[#This Row],[HomeTeam]],Table2[Team], 0), 0)</f>
        <v>0-0-1</v>
      </c>
      <c r="AQ1237" s="64" t="str">
        <f>INDEX(Records!$B$2:$AG$33, MATCH(Table1[[#This Row],[HomeTeam]],Records!$A$2:$A$33, 0), MATCH(Table1[[#This Row],[AwayTeam]],Records!$A$2:$A$33, 0))</f>
        <v>0-0-0</v>
      </c>
    </row>
    <row r="1238" spans="1:43" x14ac:dyDescent="0.25">
      <c r="A1238" s="1"/>
      <c r="D1238" t="s">
        <v>1586</v>
      </c>
      <c r="E1238" t="s">
        <v>169</v>
      </c>
      <c r="F1238" t="s">
        <v>1597</v>
      </c>
      <c r="G1238" t="s">
        <v>44</v>
      </c>
      <c r="H1238" t="s">
        <v>50</v>
      </c>
      <c r="L123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3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38" s="1"/>
      <c r="T1238" s="64" t="str">
        <f>IF(Table1[[#This Row],[ActualWinner]]="", "", IF(Table1[[#This Row],[AwayTeam]]=Table1[[#This Row],[ActualWinner]],Table1[[#This Row],[HomeTeam]],Table1[[#This Row],[AwayTeam]]))</f>
        <v/>
      </c>
      <c r="U1238" s="64">
        <f>Table1[[#This Row],[ActualAwayScore]]-Table1[[#This Row],[PredictedAwayScore]]</f>
        <v>0</v>
      </c>
      <c r="V1238" s="64">
        <f>Table1[[#This Row],[ActualHomeScore]]-Table1[[#This Row],[PredictedHomeScore]]</f>
        <v>0</v>
      </c>
      <c r="W1238" s="64">
        <f>(0.8*IF(Table1[[#This Row],[CorrectWinnerPrediction]]=1, 1, 0))+(0.1*IF(Table1[[#This Row],[CorrectAwayScorePrediction]]=1, 1, 0))+(0.1*IF(Table1[[#This Row],[CorrectHomeScorePrediction]]=1, 1, 0))</f>
        <v>0</v>
      </c>
      <c r="X123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38" s="64">
        <f>SUMIF(Table1[GameDate], Table1[[#This Row],[GameDate]], Table1[AwayGameGoalDiff])</f>
        <v>0</v>
      </c>
      <c r="AA1238" s="64">
        <f>SUMIF(Table1[GameDate], Table1[[#This Row],[GameDate]], Table1[HomeGameGoalDiff])</f>
        <v>0</v>
      </c>
      <c r="AB1238" s="64">
        <f>IF(ISBLANK(Table1[[#This Row],[ActualResult]]), 0, 1)</f>
        <v>0</v>
      </c>
      <c r="AC1238" s="64">
        <f>IF(ISBLANK(Table1[[#This Row],[ActualResult]]), 0, IF(Table1[[#This Row],[ActualWinner]]=Table1[[#This Row],[PredictedWinner]], 1, 0))</f>
        <v>0</v>
      </c>
      <c r="AD123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3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38" s="64">
        <f>IF(AND(Table1[[#This Row],[GameIsOver]]=1,Table1[[#This Row],[ActualAwayScore]]=0), 1,0)</f>
        <v>0</v>
      </c>
      <c r="AG1238" s="64">
        <f>IF(AND(Table1[[#This Row],[GameIsOver]]=1,Table1[[#This Row],[ActualHomeScore]]=0), 1,0)</f>
        <v>0</v>
      </c>
      <c r="AH1238" s="64">
        <f>IF(Table1[[#This Row],[GameIsOver]]=0,0,IF(Table1[[#This Row],[ActualWinner]]=Table1[[#This Row],[AwayTeam]], 1, 0))</f>
        <v>0</v>
      </c>
      <c r="AI1238" s="64">
        <f>IF(Table1[[#This Row],[GameIsOver]]=0,0,IF(Table1[[#This Row],[ActualWinner]]=Table1[[#This Row],[HomeTeam]], 1, 0))</f>
        <v>0</v>
      </c>
      <c r="AJ1238" s="64">
        <f>IF(INDEX(Standings!$A$2:$C$33,MATCH(Table1[[#This Row],[AwayTeam]],Standings!$A$2:$A$33,0),2)=INDEX(Standings!$A$2:$C$33,MATCH(Table1[[#This Row],[HomeTeam]],Standings!$A$2:$A$33,0),2),1,0)</f>
        <v>1</v>
      </c>
      <c r="AK1238" s="64">
        <f>IF(INDEX(Standings!$A$2:$C$33,MATCH(Table1[[#This Row],[AwayTeam]],Standings!$A$2:$A$33,0),3)=INDEX(Standings!$A$2:$C$33,MATCH(Table1[[#This Row],[HomeTeam]],Standings!$A$2:$A$33,0),3),1,0)</f>
        <v>0</v>
      </c>
      <c r="AL1238" s="64">
        <f>IF(Table1[[#This Row],[InterConf]]=1,IF(Table1[[#This Row],[InterDiv]]=0, 1, 0), 0)</f>
        <v>1</v>
      </c>
      <c r="AM1238" s="64">
        <f>IF(INDEX(Standings!$A$2:$C$33,MATCH(Table1[[#This Row],[AwayTeam]],Standings!$A$2:$A$33,0),2)&lt;&gt;INDEX(Standings!$A$2:$C$33,MATCH(Table1[[#This Row],[HomeTeam]],Standings!$A$2:$A$33,0),2),1,0)</f>
        <v>0</v>
      </c>
      <c r="AN1238" s="64" t="str">
        <f>INDEX(Table2[AWAY_RECORD], MATCH(Table1[[#This Row],[AwayTeam]],Table2[Team], 0), 0)</f>
        <v>0-0-0</v>
      </c>
      <c r="AO1238" s="64" t="str">
        <f>INDEX(Records!$B$2:$AG$33, MATCH(Table1[[#This Row],[AwayTeam]],Records!$A$2:$A$33, 0), MATCH(Table1[[#This Row],[HomeTeam]],Records!$A$2:$A$33, 0))</f>
        <v>0-0-0</v>
      </c>
      <c r="AP1238" s="64" t="str">
        <f>INDEX(Table2[HOME_RECORD], MATCH(Table1[[#This Row],[HomeTeam]],Table2[Team], 0), 0)</f>
        <v>0-0-0</v>
      </c>
      <c r="AQ1238" s="64" t="str">
        <f>INDEX(Records!$B$2:$AG$33, MATCH(Table1[[#This Row],[HomeTeam]],Records!$A$2:$A$33, 0), MATCH(Table1[[#This Row],[AwayTeam]],Records!$A$2:$A$33, 0))</f>
        <v>0-0-0</v>
      </c>
    </row>
    <row r="1239" spans="1:43" x14ac:dyDescent="0.25">
      <c r="A1239" s="1"/>
      <c r="D1239" t="s">
        <v>1586</v>
      </c>
      <c r="E1239" t="s">
        <v>162</v>
      </c>
      <c r="F1239" t="s">
        <v>1598</v>
      </c>
      <c r="G1239" t="s">
        <v>48</v>
      </c>
      <c r="H1239" t="s">
        <v>43</v>
      </c>
      <c r="L123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3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39" s="1"/>
      <c r="T1239" s="64" t="str">
        <f>IF(Table1[[#This Row],[ActualWinner]]="", "", IF(Table1[[#This Row],[AwayTeam]]=Table1[[#This Row],[ActualWinner]],Table1[[#This Row],[HomeTeam]],Table1[[#This Row],[AwayTeam]]))</f>
        <v/>
      </c>
      <c r="U1239" s="64">
        <f>Table1[[#This Row],[ActualAwayScore]]-Table1[[#This Row],[PredictedAwayScore]]</f>
        <v>0</v>
      </c>
      <c r="V1239" s="64">
        <f>Table1[[#This Row],[ActualHomeScore]]-Table1[[#This Row],[PredictedHomeScore]]</f>
        <v>0</v>
      </c>
      <c r="W1239" s="64">
        <f>(0.8*IF(Table1[[#This Row],[CorrectWinnerPrediction]]=1, 1, 0))+(0.1*IF(Table1[[#This Row],[CorrectAwayScorePrediction]]=1, 1, 0))+(0.1*IF(Table1[[#This Row],[CorrectHomeScorePrediction]]=1, 1, 0))</f>
        <v>0</v>
      </c>
      <c r="X123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39" s="64">
        <f>SUMIF(Table1[GameDate], Table1[[#This Row],[GameDate]], Table1[AwayGameGoalDiff])</f>
        <v>0</v>
      </c>
      <c r="AA1239" s="64">
        <f>SUMIF(Table1[GameDate], Table1[[#This Row],[GameDate]], Table1[HomeGameGoalDiff])</f>
        <v>0</v>
      </c>
      <c r="AB1239" s="64">
        <f>IF(ISBLANK(Table1[[#This Row],[ActualResult]]), 0, 1)</f>
        <v>0</v>
      </c>
      <c r="AC1239" s="64">
        <f>IF(ISBLANK(Table1[[#This Row],[ActualResult]]), 0, IF(Table1[[#This Row],[ActualWinner]]=Table1[[#This Row],[PredictedWinner]], 1, 0))</f>
        <v>0</v>
      </c>
      <c r="AD123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3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39" s="64">
        <f>IF(AND(Table1[[#This Row],[GameIsOver]]=1,Table1[[#This Row],[ActualAwayScore]]=0), 1,0)</f>
        <v>0</v>
      </c>
      <c r="AG1239" s="64">
        <f>IF(AND(Table1[[#This Row],[GameIsOver]]=1,Table1[[#This Row],[ActualHomeScore]]=0), 1,0)</f>
        <v>0</v>
      </c>
      <c r="AH1239" s="64">
        <f>IF(Table1[[#This Row],[GameIsOver]]=0,0,IF(Table1[[#This Row],[ActualWinner]]=Table1[[#This Row],[AwayTeam]], 1, 0))</f>
        <v>0</v>
      </c>
      <c r="AI1239" s="64">
        <f>IF(Table1[[#This Row],[GameIsOver]]=0,0,IF(Table1[[#This Row],[ActualWinner]]=Table1[[#This Row],[HomeTeam]], 1, 0))</f>
        <v>0</v>
      </c>
      <c r="AJ1239" s="64">
        <f>IF(INDEX(Standings!$A$2:$C$33,MATCH(Table1[[#This Row],[AwayTeam]],Standings!$A$2:$A$33,0),2)=INDEX(Standings!$A$2:$C$33,MATCH(Table1[[#This Row],[HomeTeam]],Standings!$A$2:$A$33,0),2),1,0)</f>
        <v>1</v>
      </c>
      <c r="AK1239" s="64">
        <f>IF(INDEX(Standings!$A$2:$C$33,MATCH(Table1[[#This Row],[AwayTeam]],Standings!$A$2:$A$33,0),3)=INDEX(Standings!$A$2:$C$33,MATCH(Table1[[#This Row],[HomeTeam]],Standings!$A$2:$A$33,0),3),1,0)</f>
        <v>1</v>
      </c>
      <c r="AL1239" s="64">
        <f>IF(Table1[[#This Row],[InterConf]]=1,IF(Table1[[#This Row],[InterDiv]]=0, 1, 0), 0)</f>
        <v>0</v>
      </c>
      <c r="AM1239" s="64">
        <f>IF(INDEX(Standings!$A$2:$C$33,MATCH(Table1[[#This Row],[AwayTeam]],Standings!$A$2:$A$33,0),2)&lt;&gt;INDEX(Standings!$A$2:$C$33,MATCH(Table1[[#This Row],[HomeTeam]],Standings!$A$2:$A$33,0),2),1,0)</f>
        <v>0</v>
      </c>
      <c r="AN1239" s="64" t="str">
        <f>INDEX(Table2[AWAY_RECORD], MATCH(Table1[[#This Row],[AwayTeam]],Table2[Team], 0), 0)</f>
        <v>0-0-0</v>
      </c>
      <c r="AO1239" s="64" t="str">
        <f>INDEX(Records!$B$2:$AG$33, MATCH(Table1[[#This Row],[AwayTeam]],Records!$A$2:$A$33, 0), MATCH(Table1[[#This Row],[HomeTeam]],Records!$A$2:$A$33, 0))</f>
        <v>0-0-0</v>
      </c>
      <c r="AP1239" s="64" t="str">
        <f>INDEX(Table2[HOME_RECORD], MATCH(Table1[[#This Row],[HomeTeam]],Table2[Team], 0), 0)</f>
        <v>0-0-0</v>
      </c>
      <c r="AQ1239" s="64" t="str">
        <f>INDEX(Records!$B$2:$AG$33, MATCH(Table1[[#This Row],[HomeTeam]],Records!$A$2:$A$33, 0), MATCH(Table1[[#This Row],[AwayTeam]],Records!$A$2:$A$33, 0))</f>
        <v>0-0-0</v>
      </c>
    </row>
    <row r="1240" spans="1:43" x14ac:dyDescent="0.25">
      <c r="A1240" s="1"/>
      <c r="D1240" t="s">
        <v>1586</v>
      </c>
      <c r="E1240" t="s">
        <v>164</v>
      </c>
      <c r="F1240" t="s">
        <v>1599</v>
      </c>
      <c r="G1240" t="s">
        <v>25</v>
      </c>
      <c r="H1240" t="s">
        <v>39</v>
      </c>
      <c r="L124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4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40" s="1"/>
      <c r="T1240" s="64" t="str">
        <f>IF(Table1[[#This Row],[ActualWinner]]="", "", IF(Table1[[#This Row],[AwayTeam]]=Table1[[#This Row],[ActualWinner]],Table1[[#This Row],[HomeTeam]],Table1[[#This Row],[AwayTeam]]))</f>
        <v/>
      </c>
      <c r="U1240" s="64">
        <f>Table1[[#This Row],[ActualAwayScore]]-Table1[[#This Row],[PredictedAwayScore]]</f>
        <v>0</v>
      </c>
      <c r="V1240" s="64">
        <f>Table1[[#This Row],[ActualHomeScore]]-Table1[[#This Row],[PredictedHomeScore]]</f>
        <v>0</v>
      </c>
      <c r="W1240" s="64">
        <f>(0.8*IF(Table1[[#This Row],[CorrectWinnerPrediction]]=1, 1, 0))+(0.1*IF(Table1[[#This Row],[CorrectAwayScorePrediction]]=1, 1, 0))+(0.1*IF(Table1[[#This Row],[CorrectHomeScorePrediction]]=1, 1, 0))</f>
        <v>0</v>
      </c>
      <c r="X124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40" s="64">
        <f>SUMIF(Table1[GameDate], Table1[[#This Row],[GameDate]], Table1[AwayGameGoalDiff])</f>
        <v>0</v>
      </c>
      <c r="AA1240" s="64">
        <f>SUMIF(Table1[GameDate], Table1[[#This Row],[GameDate]], Table1[HomeGameGoalDiff])</f>
        <v>0</v>
      </c>
      <c r="AB1240" s="64">
        <f>IF(ISBLANK(Table1[[#This Row],[ActualResult]]), 0, 1)</f>
        <v>0</v>
      </c>
      <c r="AC1240" s="64">
        <f>IF(ISBLANK(Table1[[#This Row],[ActualResult]]), 0, IF(Table1[[#This Row],[ActualWinner]]=Table1[[#This Row],[PredictedWinner]], 1, 0))</f>
        <v>0</v>
      </c>
      <c r="AD124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4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40" s="64">
        <f>IF(AND(Table1[[#This Row],[GameIsOver]]=1,Table1[[#This Row],[ActualAwayScore]]=0), 1,0)</f>
        <v>0</v>
      </c>
      <c r="AG1240" s="64">
        <f>IF(AND(Table1[[#This Row],[GameIsOver]]=1,Table1[[#This Row],[ActualHomeScore]]=0), 1,0)</f>
        <v>0</v>
      </c>
      <c r="AH1240" s="64">
        <f>IF(Table1[[#This Row],[GameIsOver]]=0,0,IF(Table1[[#This Row],[ActualWinner]]=Table1[[#This Row],[AwayTeam]], 1, 0))</f>
        <v>0</v>
      </c>
      <c r="AI1240" s="64">
        <f>IF(Table1[[#This Row],[GameIsOver]]=0,0,IF(Table1[[#This Row],[ActualWinner]]=Table1[[#This Row],[HomeTeam]], 1, 0))</f>
        <v>0</v>
      </c>
      <c r="AJ1240" s="64">
        <f>IF(INDEX(Standings!$A$2:$C$33,MATCH(Table1[[#This Row],[AwayTeam]],Standings!$A$2:$A$33,0),2)=INDEX(Standings!$A$2:$C$33,MATCH(Table1[[#This Row],[HomeTeam]],Standings!$A$2:$A$33,0),2),1,0)</f>
        <v>1</v>
      </c>
      <c r="AK1240" s="64">
        <f>IF(INDEX(Standings!$A$2:$C$33,MATCH(Table1[[#This Row],[AwayTeam]],Standings!$A$2:$A$33,0),3)=INDEX(Standings!$A$2:$C$33,MATCH(Table1[[#This Row],[HomeTeam]],Standings!$A$2:$A$33,0),3),1,0)</f>
        <v>1</v>
      </c>
      <c r="AL1240" s="64">
        <f>IF(Table1[[#This Row],[InterConf]]=1,IF(Table1[[#This Row],[InterDiv]]=0, 1, 0), 0)</f>
        <v>0</v>
      </c>
      <c r="AM1240" s="64">
        <f>IF(INDEX(Standings!$A$2:$C$33,MATCH(Table1[[#This Row],[AwayTeam]],Standings!$A$2:$A$33,0),2)&lt;&gt;INDEX(Standings!$A$2:$C$33,MATCH(Table1[[#This Row],[HomeTeam]],Standings!$A$2:$A$33,0),2),1,0)</f>
        <v>0</v>
      </c>
      <c r="AN1240" s="64" t="str">
        <f>INDEX(Table2[AWAY_RECORD], MATCH(Table1[[#This Row],[AwayTeam]],Table2[Team], 0), 0)</f>
        <v>0-0-0</v>
      </c>
      <c r="AO1240" s="64" t="str">
        <f>INDEX(Records!$B$2:$AG$33, MATCH(Table1[[#This Row],[AwayTeam]],Records!$A$2:$A$33, 0), MATCH(Table1[[#This Row],[HomeTeam]],Records!$A$2:$A$33, 0))</f>
        <v>0-0-0</v>
      </c>
      <c r="AP1240" s="64" t="str">
        <f>INDEX(Table2[HOME_RECORD], MATCH(Table1[[#This Row],[HomeTeam]],Table2[Team], 0), 0)</f>
        <v>0-1-0</v>
      </c>
      <c r="AQ1240" s="64" t="str">
        <f>INDEX(Records!$B$2:$AG$33, MATCH(Table1[[#This Row],[HomeTeam]],Records!$A$2:$A$33, 0), MATCH(Table1[[#This Row],[AwayTeam]],Records!$A$2:$A$33, 0))</f>
        <v>0-0-0</v>
      </c>
    </row>
    <row r="1241" spans="1:43" x14ac:dyDescent="0.25">
      <c r="A1241" s="1"/>
      <c r="D1241" t="s">
        <v>1600</v>
      </c>
      <c r="E1241" t="s">
        <v>386</v>
      </c>
      <c r="F1241" t="s">
        <v>1601</v>
      </c>
      <c r="G1241" t="s">
        <v>56</v>
      </c>
      <c r="H1241" t="s">
        <v>16</v>
      </c>
      <c r="L124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4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41" s="1"/>
      <c r="T1241" s="64" t="str">
        <f>IF(Table1[[#This Row],[ActualWinner]]="", "", IF(Table1[[#This Row],[AwayTeam]]=Table1[[#This Row],[ActualWinner]],Table1[[#This Row],[HomeTeam]],Table1[[#This Row],[AwayTeam]]))</f>
        <v/>
      </c>
      <c r="U1241" s="64">
        <f>Table1[[#This Row],[ActualAwayScore]]-Table1[[#This Row],[PredictedAwayScore]]</f>
        <v>0</v>
      </c>
      <c r="V1241" s="64">
        <f>Table1[[#This Row],[ActualHomeScore]]-Table1[[#This Row],[PredictedHomeScore]]</f>
        <v>0</v>
      </c>
      <c r="W1241" s="64">
        <f>(0.8*IF(Table1[[#This Row],[CorrectWinnerPrediction]]=1, 1, 0))+(0.1*IF(Table1[[#This Row],[CorrectAwayScorePrediction]]=1, 1, 0))+(0.1*IF(Table1[[#This Row],[CorrectHomeScorePrediction]]=1, 1, 0))</f>
        <v>0</v>
      </c>
      <c r="X124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41" s="64">
        <f>SUMIF(Table1[GameDate], Table1[[#This Row],[GameDate]], Table1[AwayGameGoalDiff])</f>
        <v>0</v>
      </c>
      <c r="AA1241" s="64">
        <f>SUMIF(Table1[GameDate], Table1[[#This Row],[GameDate]], Table1[HomeGameGoalDiff])</f>
        <v>0</v>
      </c>
      <c r="AB1241" s="64">
        <f>IF(ISBLANK(Table1[[#This Row],[ActualResult]]), 0, 1)</f>
        <v>0</v>
      </c>
      <c r="AC1241" s="64">
        <f>IF(ISBLANK(Table1[[#This Row],[ActualResult]]), 0, IF(Table1[[#This Row],[ActualWinner]]=Table1[[#This Row],[PredictedWinner]], 1, 0))</f>
        <v>0</v>
      </c>
      <c r="AD124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4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41" s="64">
        <f>IF(AND(Table1[[#This Row],[GameIsOver]]=1,Table1[[#This Row],[ActualAwayScore]]=0), 1,0)</f>
        <v>0</v>
      </c>
      <c r="AG1241" s="64">
        <f>IF(AND(Table1[[#This Row],[GameIsOver]]=1,Table1[[#This Row],[ActualHomeScore]]=0), 1,0)</f>
        <v>0</v>
      </c>
      <c r="AH1241" s="64">
        <f>IF(Table1[[#This Row],[GameIsOver]]=0,0,IF(Table1[[#This Row],[ActualWinner]]=Table1[[#This Row],[AwayTeam]], 1, 0))</f>
        <v>0</v>
      </c>
      <c r="AI1241" s="64">
        <f>IF(Table1[[#This Row],[GameIsOver]]=0,0,IF(Table1[[#This Row],[ActualWinner]]=Table1[[#This Row],[HomeTeam]], 1, 0))</f>
        <v>0</v>
      </c>
      <c r="AJ1241" s="64">
        <f>IF(INDEX(Standings!$A$2:$C$33,MATCH(Table1[[#This Row],[AwayTeam]],Standings!$A$2:$A$33,0),2)=INDEX(Standings!$A$2:$C$33,MATCH(Table1[[#This Row],[HomeTeam]],Standings!$A$2:$A$33,0),2),1,0)</f>
        <v>1</v>
      </c>
      <c r="AK1241" s="64">
        <f>IF(INDEX(Standings!$A$2:$C$33,MATCH(Table1[[#This Row],[AwayTeam]],Standings!$A$2:$A$33,0),3)=INDEX(Standings!$A$2:$C$33,MATCH(Table1[[#This Row],[HomeTeam]],Standings!$A$2:$A$33,0),3),1,0)</f>
        <v>0</v>
      </c>
      <c r="AL1241" s="64">
        <f>IF(Table1[[#This Row],[InterConf]]=1,IF(Table1[[#This Row],[InterDiv]]=0, 1, 0), 0)</f>
        <v>1</v>
      </c>
      <c r="AM1241" s="64">
        <f>IF(INDEX(Standings!$A$2:$C$33,MATCH(Table1[[#This Row],[AwayTeam]],Standings!$A$2:$A$33,0),2)&lt;&gt;INDEX(Standings!$A$2:$C$33,MATCH(Table1[[#This Row],[HomeTeam]],Standings!$A$2:$A$33,0),2),1,0)</f>
        <v>0</v>
      </c>
      <c r="AN1241" s="64" t="str">
        <f>INDEX(Table2[AWAY_RECORD], MATCH(Table1[[#This Row],[AwayTeam]],Table2[Team], 0), 0)</f>
        <v>1-0-0</v>
      </c>
      <c r="AO1241" s="64" t="str">
        <f>INDEX(Records!$B$2:$AG$33, MATCH(Table1[[#This Row],[AwayTeam]],Records!$A$2:$A$33, 0), MATCH(Table1[[#This Row],[HomeTeam]],Records!$A$2:$A$33, 0))</f>
        <v>0-0-0</v>
      </c>
      <c r="AP1241" s="64" t="str">
        <f>INDEX(Table2[HOME_RECORD], MATCH(Table1[[#This Row],[HomeTeam]],Table2[Team], 0), 0)</f>
        <v>0-0-0</v>
      </c>
      <c r="AQ1241" s="64" t="str">
        <f>INDEX(Records!$B$2:$AG$33, MATCH(Table1[[#This Row],[HomeTeam]],Records!$A$2:$A$33, 0), MATCH(Table1[[#This Row],[AwayTeam]],Records!$A$2:$A$33, 0))</f>
        <v>0-0-0</v>
      </c>
    </row>
    <row r="1242" spans="1:43" x14ac:dyDescent="0.25">
      <c r="A1242" s="1"/>
      <c r="D1242" t="s">
        <v>1600</v>
      </c>
      <c r="E1242" t="s">
        <v>207</v>
      </c>
      <c r="F1242" t="s">
        <v>1602</v>
      </c>
      <c r="G1242" t="s">
        <v>59</v>
      </c>
      <c r="H1242" t="s">
        <v>24</v>
      </c>
      <c r="L124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4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42" s="1"/>
      <c r="T1242" s="64" t="str">
        <f>IF(Table1[[#This Row],[ActualWinner]]="", "", IF(Table1[[#This Row],[AwayTeam]]=Table1[[#This Row],[ActualWinner]],Table1[[#This Row],[HomeTeam]],Table1[[#This Row],[AwayTeam]]))</f>
        <v/>
      </c>
      <c r="U1242" s="64">
        <f>Table1[[#This Row],[ActualAwayScore]]-Table1[[#This Row],[PredictedAwayScore]]</f>
        <v>0</v>
      </c>
      <c r="V1242" s="64">
        <f>Table1[[#This Row],[ActualHomeScore]]-Table1[[#This Row],[PredictedHomeScore]]</f>
        <v>0</v>
      </c>
      <c r="W1242" s="64">
        <f>(0.8*IF(Table1[[#This Row],[CorrectWinnerPrediction]]=1, 1, 0))+(0.1*IF(Table1[[#This Row],[CorrectAwayScorePrediction]]=1, 1, 0))+(0.1*IF(Table1[[#This Row],[CorrectHomeScorePrediction]]=1, 1, 0))</f>
        <v>0</v>
      </c>
      <c r="X124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42" s="64">
        <f>SUMIF(Table1[GameDate], Table1[[#This Row],[GameDate]], Table1[AwayGameGoalDiff])</f>
        <v>0</v>
      </c>
      <c r="AA1242" s="64">
        <f>SUMIF(Table1[GameDate], Table1[[#This Row],[GameDate]], Table1[HomeGameGoalDiff])</f>
        <v>0</v>
      </c>
      <c r="AB1242" s="64">
        <f>IF(ISBLANK(Table1[[#This Row],[ActualResult]]), 0, 1)</f>
        <v>0</v>
      </c>
      <c r="AC1242" s="64">
        <f>IF(ISBLANK(Table1[[#This Row],[ActualResult]]), 0, IF(Table1[[#This Row],[ActualWinner]]=Table1[[#This Row],[PredictedWinner]], 1, 0))</f>
        <v>0</v>
      </c>
      <c r="AD124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4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42" s="64">
        <f>IF(AND(Table1[[#This Row],[GameIsOver]]=1,Table1[[#This Row],[ActualAwayScore]]=0), 1,0)</f>
        <v>0</v>
      </c>
      <c r="AG1242" s="64">
        <f>IF(AND(Table1[[#This Row],[GameIsOver]]=1,Table1[[#This Row],[ActualHomeScore]]=0), 1,0)</f>
        <v>0</v>
      </c>
      <c r="AH1242" s="64">
        <f>IF(Table1[[#This Row],[GameIsOver]]=0,0,IF(Table1[[#This Row],[ActualWinner]]=Table1[[#This Row],[AwayTeam]], 1, 0))</f>
        <v>0</v>
      </c>
      <c r="AI1242" s="64">
        <f>IF(Table1[[#This Row],[GameIsOver]]=0,0,IF(Table1[[#This Row],[ActualWinner]]=Table1[[#This Row],[HomeTeam]], 1, 0))</f>
        <v>0</v>
      </c>
      <c r="AJ1242" s="64">
        <f>IF(INDEX(Standings!$A$2:$C$33,MATCH(Table1[[#This Row],[AwayTeam]],Standings!$A$2:$A$33,0),2)=INDEX(Standings!$A$2:$C$33,MATCH(Table1[[#This Row],[HomeTeam]],Standings!$A$2:$A$33,0),2),1,0)</f>
        <v>1</v>
      </c>
      <c r="AK1242" s="64">
        <f>IF(INDEX(Standings!$A$2:$C$33,MATCH(Table1[[#This Row],[AwayTeam]],Standings!$A$2:$A$33,0),3)=INDEX(Standings!$A$2:$C$33,MATCH(Table1[[#This Row],[HomeTeam]],Standings!$A$2:$A$33,0),3),1,0)</f>
        <v>0</v>
      </c>
      <c r="AL1242" s="64">
        <f>IF(Table1[[#This Row],[InterConf]]=1,IF(Table1[[#This Row],[InterDiv]]=0, 1, 0), 0)</f>
        <v>1</v>
      </c>
      <c r="AM1242" s="64">
        <f>IF(INDEX(Standings!$A$2:$C$33,MATCH(Table1[[#This Row],[AwayTeam]],Standings!$A$2:$A$33,0),2)&lt;&gt;INDEX(Standings!$A$2:$C$33,MATCH(Table1[[#This Row],[HomeTeam]],Standings!$A$2:$A$33,0),2),1,0)</f>
        <v>0</v>
      </c>
      <c r="AN1242" s="64" t="str">
        <f>INDEX(Table2[AWAY_RECORD], MATCH(Table1[[#This Row],[AwayTeam]],Table2[Team], 0), 0)</f>
        <v>0-1-0</v>
      </c>
      <c r="AO1242" s="64" t="str">
        <f>INDEX(Records!$B$2:$AG$33, MATCH(Table1[[#This Row],[AwayTeam]],Records!$A$2:$A$33, 0), MATCH(Table1[[#This Row],[HomeTeam]],Records!$A$2:$A$33, 0))</f>
        <v>0-0-0</v>
      </c>
      <c r="AP1242" s="64" t="str">
        <f>INDEX(Table2[HOME_RECORD], MATCH(Table1[[#This Row],[HomeTeam]],Table2[Team], 0), 0)</f>
        <v>0-2-0</v>
      </c>
      <c r="AQ1242" s="64" t="str">
        <f>INDEX(Records!$B$2:$AG$33, MATCH(Table1[[#This Row],[HomeTeam]],Records!$A$2:$A$33, 0), MATCH(Table1[[#This Row],[AwayTeam]],Records!$A$2:$A$33, 0))</f>
        <v>0-0-0</v>
      </c>
    </row>
    <row r="1243" spans="1:43" x14ac:dyDescent="0.25">
      <c r="A1243" s="1"/>
      <c r="D1243" t="s">
        <v>1600</v>
      </c>
      <c r="E1243" t="s">
        <v>160</v>
      </c>
      <c r="F1243" t="s">
        <v>1603</v>
      </c>
      <c r="G1243" t="s">
        <v>44</v>
      </c>
      <c r="H1243" t="s">
        <v>47</v>
      </c>
      <c r="L124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4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43" s="1"/>
      <c r="T1243" s="64" t="str">
        <f>IF(Table1[[#This Row],[ActualWinner]]="", "", IF(Table1[[#This Row],[AwayTeam]]=Table1[[#This Row],[ActualWinner]],Table1[[#This Row],[HomeTeam]],Table1[[#This Row],[AwayTeam]]))</f>
        <v/>
      </c>
      <c r="U1243" s="64">
        <f>Table1[[#This Row],[ActualAwayScore]]-Table1[[#This Row],[PredictedAwayScore]]</f>
        <v>0</v>
      </c>
      <c r="V1243" s="64">
        <f>Table1[[#This Row],[ActualHomeScore]]-Table1[[#This Row],[PredictedHomeScore]]</f>
        <v>0</v>
      </c>
      <c r="W1243" s="64">
        <f>(0.8*IF(Table1[[#This Row],[CorrectWinnerPrediction]]=1, 1, 0))+(0.1*IF(Table1[[#This Row],[CorrectAwayScorePrediction]]=1, 1, 0))+(0.1*IF(Table1[[#This Row],[CorrectHomeScorePrediction]]=1, 1, 0))</f>
        <v>0</v>
      </c>
      <c r="X124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43" s="64">
        <f>SUMIF(Table1[GameDate], Table1[[#This Row],[GameDate]], Table1[AwayGameGoalDiff])</f>
        <v>0</v>
      </c>
      <c r="AA1243" s="64">
        <f>SUMIF(Table1[GameDate], Table1[[#This Row],[GameDate]], Table1[HomeGameGoalDiff])</f>
        <v>0</v>
      </c>
      <c r="AB1243" s="64">
        <f>IF(ISBLANK(Table1[[#This Row],[ActualResult]]), 0, 1)</f>
        <v>0</v>
      </c>
      <c r="AC1243" s="64">
        <f>IF(ISBLANK(Table1[[#This Row],[ActualResult]]), 0, IF(Table1[[#This Row],[ActualWinner]]=Table1[[#This Row],[PredictedWinner]], 1, 0))</f>
        <v>0</v>
      </c>
      <c r="AD124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4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43" s="64">
        <f>IF(AND(Table1[[#This Row],[GameIsOver]]=1,Table1[[#This Row],[ActualAwayScore]]=0), 1,0)</f>
        <v>0</v>
      </c>
      <c r="AG1243" s="64">
        <f>IF(AND(Table1[[#This Row],[GameIsOver]]=1,Table1[[#This Row],[ActualHomeScore]]=0), 1,0)</f>
        <v>0</v>
      </c>
      <c r="AH1243" s="64">
        <f>IF(Table1[[#This Row],[GameIsOver]]=0,0,IF(Table1[[#This Row],[ActualWinner]]=Table1[[#This Row],[AwayTeam]], 1, 0))</f>
        <v>0</v>
      </c>
      <c r="AI1243" s="64">
        <f>IF(Table1[[#This Row],[GameIsOver]]=0,0,IF(Table1[[#This Row],[ActualWinner]]=Table1[[#This Row],[HomeTeam]], 1, 0))</f>
        <v>0</v>
      </c>
      <c r="AJ1243" s="64">
        <f>IF(INDEX(Standings!$A$2:$C$33,MATCH(Table1[[#This Row],[AwayTeam]],Standings!$A$2:$A$33,0),2)=INDEX(Standings!$A$2:$C$33,MATCH(Table1[[#This Row],[HomeTeam]],Standings!$A$2:$A$33,0),2),1,0)</f>
        <v>1</v>
      </c>
      <c r="AK1243" s="64">
        <f>IF(INDEX(Standings!$A$2:$C$33,MATCH(Table1[[#This Row],[AwayTeam]],Standings!$A$2:$A$33,0),3)=INDEX(Standings!$A$2:$C$33,MATCH(Table1[[#This Row],[HomeTeam]],Standings!$A$2:$A$33,0),3),1,0)</f>
        <v>1</v>
      </c>
      <c r="AL1243" s="64">
        <f>IF(Table1[[#This Row],[InterConf]]=1,IF(Table1[[#This Row],[InterDiv]]=0, 1, 0), 0)</f>
        <v>0</v>
      </c>
      <c r="AM1243" s="64">
        <f>IF(INDEX(Standings!$A$2:$C$33,MATCH(Table1[[#This Row],[AwayTeam]],Standings!$A$2:$A$33,0),2)&lt;&gt;INDEX(Standings!$A$2:$C$33,MATCH(Table1[[#This Row],[HomeTeam]],Standings!$A$2:$A$33,0),2),1,0)</f>
        <v>0</v>
      </c>
      <c r="AN1243" s="64" t="str">
        <f>INDEX(Table2[AWAY_RECORD], MATCH(Table1[[#This Row],[AwayTeam]],Table2[Team], 0), 0)</f>
        <v>0-0-0</v>
      </c>
      <c r="AO1243" s="64" t="str">
        <f>INDEX(Records!$B$2:$AG$33, MATCH(Table1[[#This Row],[AwayTeam]],Records!$A$2:$A$33, 0), MATCH(Table1[[#This Row],[HomeTeam]],Records!$A$2:$A$33, 0))</f>
        <v>0-0-0</v>
      </c>
      <c r="AP1243" s="64" t="str">
        <f>INDEX(Table2[HOME_RECORD], MATCH(Table1[[#This Row],[HomeTeam]],Table2[Team], 0), 0)</f>
        <v>0-0-0</v>
      </c>
      <c r="AQ1243" s="64" t="str">
        <f>INDEX(Records!$B$2:$AG$33, MATCH(Table1[[#This Row],[HomeTeam]],Records!$A$2:$A$33, 0), MATCH(Table1[[#This Row],[AwayTeam]],Records!$A$2:$A$33, 0))</f>
        <v>0-0-0</v>
      </c>
    </row>
    <row r="1244" spans="1:43" x14ac:dyDescent="0.25">
      <c r="A1244" s="1"/>
      <c r="D1244" t="s">
        <v>1600</v>
      </c>
      <c r="E1244" t="s">
        <v>178</v>
      </c>
      <c r="F1244" t="s">
        <v>1604</v>
      </c>
      <c r="G1244" t="s">
        <v>38</v>
      </c>
      <c r="H1244" t="s">
        <v>61</v>
      </c>
      <c r="L124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4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44" s="1"/>
      <c r="T1244" s="64" t="str">
        <f>IF(Table1[[#This Row],[ActualWinner]]="", "", IF(Table1[[#This Row],[AwayTeam]]=Table1[[#This Row],[ActualWinner]],Table1[[#This Row],[HomeTeam]],Table1[[#This Row],[AwayTeam]]))</f>
        <v/>
      </c>
      <c r="U1244" s="64">
        <f>Table1[[#This Row],[ActualAwayScore]]-Table1[[#This Row],[PredictedAwayScore]]</f>
        <v>0</v>
      </c>
      <c r="V1244" s="64">
        <f>Table1[[#This Row],[ActualHomeScore]]-Table1[[#This Row],[PredictedHomeScore]]</f>
        <v>0</v>
      </c>
      <c r="W1244" s="64">
        <f>(0.8*IF(Table1[[#This Row],[CorrectWinnerPrediction]]=1, 1, 0))+(0.1*IF(Table1[[#This Row],[CorrectAwayScorePrediction]]=1, 1, 0))+(0.1*IF(Table1[[#This Row],[CorrectHomeScorePrediction]]=1, 1, 0))</f>
        <v>0</v>
      </c>
      <c r="X124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44" s="64">
        <f>SUMIF(Table1[GameDate], Table1[[#This Row],[GameDate]], Table1[AwayGameGoalDiff])</f>
        <v>0</v>
      </c>
      <c r="AA1244" s="64">
        <f>SUMIF(Table1[GameDate], Table1[[#This Row],[GameDate]], Table1[HomeGameGoalDiff])</f>
        <v>0</v>
      </c>
      <c r="AB1244" s="64">
        <f>IF(ISBLANK(Table1[[#This Row],[ActualResult]]), 0, 1)</f>
        <v>0</v>
      </c>
      <c r="AC1244" s="64">
        <f>IF(ISBLANK(Table1[[#This Row],[ActualResult]]), 0, IF(Table1[[#This Row],[ActualWinner]]=Table1[[#This Row],[PredictedWinner]], 1, 0))</f>
        <v>0</v>
      </c>
      <c r="AD124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4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44" s="64">
        <f>IF(AND(Table1[[#This Row],[GameIsOver]]=1,Table1[[#This Row],[ActualAwayScore]]=0), 1,0)</f>
        <v>0</v>
      </c>
      <c r="AG1244" s="64">
        <f>IF(AND(Table1[[#This Row],[GameIsOver]]=1,Table1[[#This Row],[ActualHomeScore]]=0), 1,0)</f>
        <v>0</v>
      </c>
      <c r="AH1244" s="64">
        <f>IF(Table1[[#This Row],[GameIsOver]]=0,0,IF(Table1[[#This Row],[ActualWinner]]=Table1[[#This Row],[AwayTeam]], 1, 0))</f>
        <v>0</v>
      </c>
      <c r="AI1244" s="64">
        <f>IF(Table1[[#This Row],[GameIsOver]]=0,0,IF(Table1[[#This Row],[ActualWinner]]=Table1[[#This Row],[HomeTeam]], 1, 0))</f>
        <v>0</v>
      </c>
      <c r="AJ1244" s="64">
        <f>IF(INDEX(Standings!$A$2:$C$33,MATCH(Table1[[#This Row],[AwayTeam]],Standings!$A$2:$A$33,0),2)=INDEX(Standings!$A$2:$C$33,MATCH(Table1[[#This Row],[HomeTeam]],Standings!$A$2:$A$33,0),2),1,0)</f>
        <v>0</v>
      </c>
      <c r="AK1244" s="64">
        <f>IF(INDEX(Standings!$A$2:$C$33,MATCH(Table1[[#This Row],[AwayTeam]],Standings!$A$2:$A$33,0),3)=INDEX(Standings!$A$2:$C$33,MATCH(Table1[[#This Row],[HomeTeam]],Standings!$A$2:$A$33,0),3),1,0)</f>
        <v>0</v>
      </c>
      <c r="AL1244" s="64">
        <f>IF(Table1[[#This Row],[InterConf]]=1,IF(Table1[[#This Row],[InterDiv]]=0, 1, 0), 0)</f>
        <v>0</v>
      </c>
      <c r="AM1244" s="64">
        <f>IF(INDEX(Standings!$A$2:$C$33,MATCH(Table1[[#This Row],[AwayTeam]],Standings!$A$2:$A$33,0),2)&lt;&gt;INDEX(Standings!$A$2:$C$33,MATCH(Table1[[#This Row],[HomeTeam]],Standings!$A$2:$A$33,0),2),1,0)</f>
        <v>1</v>
      </c>
      <c r="AN1244" s="64" t="str">
        <f>INDEX(Table2[AWAY_RECORD], MATCH(Table1[[#This Row],[AwayTeam]],Table2[Team], 0), 0)</f>
        <v>0-0-1</v>
      </c>
      <c r="AO1244" s="64" t="str">
        <f>INDEX(Records!$B$2:$AG$33, MATCH(Table1[[#This Row],[AwayTeam]],Records!$A$2:$A$33, 0), MATCH(Table1[[#This Row],[HomeTeam]],Records!$A$2:$A$33, 0))</f>
        <v>0-0-0</v>
      </c>
      <c r="AP1244" s="64" t="str">
        <f>INDEX(Table2[HOME_RECORD], MATCH(Table1[[#This Row],[HomeTeam]],Table2[Team], 0), 0)</f>
        <v>0-0-0</v>
      </c>
      <c r="AQ1244" s="64" t="str">
        <f>INDEX(Records!$B$2:$AG$33, MATCH(Table1[[#This Row],[HomeTeam]],Records!$A$2:$A$33, 0), MATCH(Table1[[#This Row],[AwayTeam]],Records!$A$2:$A$33, 0))</f>
        <v>0-0-0</v>
      </c>
    </row>
    <row r="1245" spans="1:43" x14ac:dyDescent="0.25">
      <c r="A1245" s="1"/>
      <c r="D1245" t="s">
        <v>1605</v>
      </c>
      <c r="E1245" t="s">
        <v>160</v>
      </c>
      <c r="F1245" t="s">
        <v>1606</v>
      </c>
      <c r="G1245" t="s">
        <v>40</v>
      </c>
      <c r="H1245" t="s">
        <v>49</v>
      </c>
      <c r="L124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4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45" s="1"/>
      <c r="T1245" s="64" t="str">
        <f>IF(Table1[[#This Row],[ActualWinner]]="", "", IF(Table1[[#This Row],[AwayTeam]]=Table1[[#This Row],[ActualWinner]],Table1[[#This Row],[HomeTeam]],Table1[[#This Row],[AwayTeam]]))</f>
        <v/>
      </c>
      <c r="U1245" s="64">
        <f>Table1[[#This Row],[ActualAwayScore]]-Table1[[#This Row],[PredictedAwayScore]]</f>
        <v>0</v>
      </c>
      <c r="V1245" s="64">
        <f>Table1[[#This Row],[ActualHomeScore]]-Table1[[#This Row],[PredictedHomeScore]]</f>
        <v>0</v>
      </c>
      <c r="W1245" s="64">
        <f>(0.8*IF(Table1[[#This Row],[CorrectWinnerPrediction]]=1, 1, 0))+(0.1*IF(Table1[[#This Row],[CorrectAwayScorePrediction]]=1, 1, 0))+(0.1*IF(Table1[[#This Row],[CorrectHomeScorePrediction]]=1, 1, 0))</f>
        <v>0</v>
      </c>
      <c r="X124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45" s="64">
        <f>SUMIF(Table1[GameDate], Table1[[#This Row],[GameDate]], Table1[AwayGameGoalDiff])</f>
        <v>0</v>
      </c>
      <c r="AA1245" s="64">
        <f>SUMIF(Table1[GameDate], Table1[[#This Row],[GameDate]], Table1[HomeGameGoalDiff])</f>
        <v>0</v>
      </c>
      <c r="AB1245" s="64">
        <f>IF(ISBLANK(Table1[[#This Row],[ActualResult]]), 0, 1)</f>
        <v>0</v>
      </c>
      <c r="AC1245" s="64">
        <f>IF(ISBLANK(Table1[[#This Row],[ActualResult]]), 0, IF(Table1[[#This Row],[ActualWinner]]=Table1[[#This Row],[PredictedWinner]], 1, 0))</f>
        <v>0</v>
      </c>
      <c r="AD124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4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45" s="64">
        <f>IF(AND(Table1[[#This Row],[GameIsOver]]=1,Table1[[#This Row],[ActualAwayScore]]=0), 1,0)</f>
        <v>0</v>
      </c>
      <c r="AG1245" s="64">
        <f>IF(AND(Table1[[#This Row],[GameIsOver]]=1,Table1[[#This Row],[ActualHomeScore]]=0), 1,0)</f>
        <v>0</v>
      </c>
      <c r="AH1245" s="64">
        <f>IF(Table1[[#This Row],[GameIsOver]]=0,0,IF(Table1[[#This Row],[ActualWinner]]=Table1[[#This Row],[AwayTeam]], 1, 0))</f>
        <v>0</v>
      </c>
      <c r="AI1245" s="64">
        <f>IF(Table1[[#This Row],[GameIsOver]]=0,0,IF(Table1[[#This Row],[ActualWinner]]=Table1[[#This Row],[HomeTeam]], 1, 0))</f>
        <v>0</v>
      </c>
      <c r="AJ1245" s="64">
        <f>IF(INDEX(Standings!$A$2:$C$33,MATCH(Table1[[#This Row],[AwayTeam]],Standings!$A$2:$A$33,0),2)=INDEX(Standings!$A$2:$C$33,MATCH(Table1[[#This Row],[HomeTeam]],Standings!$A$2:$A$33,0),2),1,0)</f>
        <v>1</v>
      </c>
      <c r="AK1245" s="64">
        <f>IF(INDEX(Standings!$A$2:$C$33,MATCH(Table1[[#This Row],[AwayTeam]],Standings!$A$2:$A$33,0),3)=INDEX(Standings!$A$2:$C$33,MATCH(Table1[[#This Row],[HomeTeam]],Standings!$A$2:$A$33,0),3),1,0)</f>
        <v>1</v>
      </c>
      <c r="AL1245" s="64">
        <f>IF(Table1[[#This Row],[InterConf]]=1,IF(Table1[[#This Row],[InterDiv]]=0, 1, 0), 0)</f>
        <v>0</v>
      </c>
      <c r="AM1245" s="64">
        <f>IF(INDEX(Standings!$A$2:$C$33,MATCH(Table1[[#This Row],[AwayTeam]],Standings!$A$2:$A$33,0),2)&lt;&gt;INDEX(Standings!$A$2:$C$33,MATCH(Table1[[#This Row],[HomeTeam]],Standings!$A$2:$A$33,0),2),1,0)</f>
        <v>0</v>
      </c>
      <c r="AN1245" s="64" t="str">
        <f>INDEX(Table2[AWAY_RECORD], MATCH(Table1[[#This Row],[AwayTeam]],Table2[Team], 0), 0)</f>
        <v>0-0-0</v>
      </c>
      <c r="AO1245" s="64" t="str">
        <f>INDEX(Records!$B$2:$AG$33, MATCH(Table1[[#This Row],[AwayTeam]],Records!$A$2:$A$33, 0), MATCH(Table1[[#This Row],[HomeTeam]],Records!$A$2:$A$33, 0))</f>
        <v>0-0-0</v>
      </c>
      <c r="AP1245" s="64" t="str">
        <f>INDEX(Table2[HOME_RECORD], MATCH(Table1[[#This Row],[HomeTeam]],Table2[Team], 0), 0)</f>
        <v>1-0-0</v>
      </c>
      <c r="AQ1245" s="64" t="str">
        <f>INDEX(Records!$B$2:$AG$33, MATCH(Table1[[#This Row],[HomeTeam]],Records!$A$2:$A$33, 0), MATCH(Table1[[#This Row],[AwayTeam]],Records!$A$2:$A$33, 0))</f>
        <v>0-0-0</v>
      </c>
    </row>
    <row r="1246" spans="1:43" x14ac:dyDescent="0.25">
      <c r="A1246" s="1"/>
      <c r="D1246" t="s">
        <v>1605</v>
      </c>
      <c r="E1246" t="s">
        <v>160</v>
      </c>
      <c r="F1246" t="s">
        <v>1607</v>
      </c>
      <c r="G1246" t="s">
        <v>22</v>
      </c>
      <c r="H1246" t="s">
        <v>51</v>
      </c>
      <c r="L124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4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46" s="1"/>
      <c r="T1246" s="64" t="str">
        <f>IF(Table1[[#This Row],[ActualWinner]]="", "", IF(Table1[[#This Row],[AwayTeam]]=Table1[[#This Row],[ActualWinner]],Table1[[#This Row],[HomeTeam]],Table1[[#This Row],[AwayTeam]]))</f>
        <v/>
      </c>
      <c r="U1246" s="64">
        <f>Table1[[#This Row],[ActualAwayScore]]-Table1[[#This Row],[PredictedAwayScore]]</f>
        <v>0</v>
      </c>
      <c r="V1246" s="64">
        <f>Table1[[#This Row],[ActualHomeScore]]-Table1[[#This Row],[PredictedHomeScore]]</f>
        <v>0</v>
      </c>
      <c r="W1246" s="64">
        <f>(0.8*IF(Table1[[#This Row],[CorrectWinnerPrediction]]=1, 1, 0))+(0.1*IF(Table1[[#This Row],[CorrectAwayScorePrediction]]=1, 1, 0))+(0.1*IF(Table1[[#This Row],[CorrectHomeScorePrediction]]=1, 1, 0))</f>
        <v>0</v>
      </c>
      <c r="X124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46" s="64">
        <f>SUMIF(Table1[GameDate], Table1[[#This Row],[GameDate]], Table1[AwayGameGoalDiff])</f>
        <v>0</v>
      </c>
      <c r="AA1246" s="64">
        <f>SUMIF(Table1[GameDate], Table1[[#This Row],[GameDate]], Table1[HomeGameGoalDiff])</f>
        <v>0</v>
      </c>
      <c r="AB1246" s="64">
        <f>IF(ISBLANK(Table1[[#This Row],[ActualResult]]), 0, 1)</f>
        <v>0</v>
      </c>
      <c r="AC1246" s="64">
        <f>IF(ISBLANK(Table1[[#This Row],[ActualResult]]), 0, IF(Table1[[#This Row],[ActualWinner]]=Table1[[#This Row],[PredictedWinner]], 1, 0))</f>
        <v>0</v>
      </c>
      <c r="AD124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4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46" s="64">
        <f>IF(AND(Table1[[#This Row],[GameIsOver]]=1,Table1[[#This Row],[ActualAwayScore]]=0), 1,0)</f>
        <v>0</v>
      </c>
      <c r="AG1246" s="64">
        <f>IF(AND(Table1[[#This Row],[GameIsOver]]=1,Table1[[#This Row],[ActualHomeScore]]=0), 1,0)</f>
        <v>0</v>
      </c>
      <c r="AH1246" s="64">
        <f>IF(Table1[[#This Row],[GameIsOver]]=0,0,IF(Table1[[#This Row],[ActualWinner]]=Table1[[#This Row],[AwayTeam]], 1, 0))</f>
        <v>0</v>
      </c>
      <c r="AI1246" s="64">
        <f>IF(Table1[[#This Row],[GameIsOver]]=0,0,IF(Table1[[#This Row],[ActualWinner]]=Table1[[#This Row],[HomeTeam]], 1, 0))</f>
        <v>0</v>
      </c>
      <c r="AJ1246" s="64">
        <f>IF(INDEX(Standings!$A$2:$C$33,MATCH(Table1[[#This Row],[AwayTeam]],Standings!$A$2:$A$33,0),2)=INDEX(Standings!$A$2:$C$33,MATCH(Table1[[#This Row],[HomeTeam]],Standings!$A$2:$A$33,0),2),1,0)</f>
        <v>0</v>
      </c>
      <c r="AK1246" s="64">
        <f>IF(INDEX(Standings!$A$2:$C$33,MATCH(Table1[[#This Row],[AwayTeam]],Standings!$A$2:$A$33,0),3)=INDEX(Standings!$A$2:$C$33,MATCH(Table1[[#This Row],[HomeTeam]],Standings!$A$2:$A$33,0),3),1,0)</f>
        <v>0</v>
      </c>
      <c r="AL1246" s="64">
        <f>IF(Table1[[#This Row],[InterConf]]=1,IF(Table1[[#This Row],[InterDiv]]=0, 1, 0), 0)</f>
        <v>0</v>
      </c>
      <c r="AM1246" s="64">
        <f>IF(INDEX(Standings!$A$2:$C$33,MATCH(Table1[[#This Row],[AwayTeam]],Standings!$A$2:$A$33,0),2)&lt;&gt;INDEX(Standings!$A$2:$C$33,MATCH(Table1[[#This Row],[HomeTeam]],Standings!$A$2:$A$33,0),2),1,0)</f>
        <v>1</v>
      </c>
      <c r="AN1246" s="64" t="str">
        <f>INDEX(Table2[AWAY_RECORD], MATCH(Table1[[#This Row],[AwayTeam]],Table2[Team], 0), 0)</f>
        <v>0-0-1</v>
      </c>
      <c r="AO1246" s="64" t="str">
        <f>INDEX(Records!$B$2:$AG$33, MATCH(Table1[[#This Row],[AwayTeam]],Records!$A$2:$A$33, 0), MATCH(Table1[[#This Row],[HomeTeam]],Records!$A$2:$A$33, 0))</f>
        <v>0-0-0</v>
      </c>
      <c r="AP1246" s="64" t="str">
        <f>INDEX(Table2[HOME_RECORD], MATCH(Table1[[#This Row],[HomeTeam]],Table2[Team], 0), 0)</f>
        <v>1-0-0</v>
      </c>
      <c r="AQ1246" s="64" t="str">
        <f>INDEX(Records!$B$2:$AG$33, MATCH(Table1[[#This Row],[HomeTeam]],Records!$A$2:$A$33, 0), MATCH(Table1[[#This Row],[AwayTeam]],Records!$A$2:$A$33, 0))</f>
        <v>0-0-0</v>
      </c>
    </row>
    <row r="1247" spans="1:43" x14ac:dyDescent="0.25">
      <c r="A1247" s="1"/>
      <c r="D1247" t="s">
        <v>1605</v>
      </c>
      <c r="E1247" t="s">
        <v>301</v>
      </c>
      <c r="F1247" t="s">
        <v>1608</v>
      </c>
      <c r="G1247" t="s">
        <v>23</v>
      </c>
      <c r="H1247" t="s">
        <v>46</v>
      </c>
      <c r="L124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4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47" s="1"/>
      <c r="T1247" s="64" t="str">
        <f>IF(Table1[[#This Row],[ActualWinner]]="", "", IF(Table1[[#This Row],[AwayTeam]]=Table1[[#This Row],[ActualWinner]],Table1[[#This Row],[HomeTeam]],Table1[[#This Row],[AwayTeam]]))</f>
        <v/>
      </c>
      <c r="U1247" s="64">
        <f>Table1[[#This Row],[ActualAwayScore]]-Table1[[#This Row],[PredictedAwayScore]]</f>
        <v>0</v>
      </c>
      <c r="V1247" s="64">
        <f>Table1[[#This Row],[ActualHomeScore]]-Table1[[#This Row],[PredictedHomeScore]]</f>
        <v>0</v>
      </c>
      <c r="W1247" s="64">
        <f>(0.8*IF(Table1[[#This Row],[CorrectWinnerPrediction]]=1, 1, 0))+(0.1*IF(Table1[[#This Row],[CorrectAwayScorePrediction]]=1, 1, 0))+(0.1*IF(Table1[[#This Row],[CorrectHomeScorePrediction]]=1, 1, 0))</f>
        <v>0</v>
      </c>
      <c r="X124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47" s="64">
        <f>SUMIF(Table1[GameDate], Table1[[#This Row],[GameDate]], Table1[AwayGameGoalDiff])</f>
        <v>0</v>
      </c>
      <c r="AA1247" s="64">
        <f>SUMIF(Table1[GameDate], Table1[[#This Row],[GameDate]], Table1[HomeGameGoalDiff])</f>
        <v>0</v>
      </c>
      <c r="AB1247" s="64">
        <f>IF(ISBLANK(Table1[[#This Row],[ActualResult]]), 0, 1)</f>
        <v>0</v>
      </c>
      <c r="AC1247" s="64">
        <f>IF(ISBLANK(Table1[[#This Row],[ActualResult]]), 0, IF(Table1[[#This Row],[ActualWinner]]=Table1[[#This Row],[PredictedWinner]], 1, 0))</f>
        <v>0</v>
      </c>
      <c r="AD124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4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47" s="64">
        <f>IF(AND(Table1[[#This Row],[GameIsOver]]=1,Table1[[#This Row],[ActualAwayScore]]=0), 1,0)</f>
        <v>0</v>
      </c>
      <c r="AG1247" s="64">
        <f>IF(AND(Table1[[#This Row],[GameIsOver]]=1,Table1[[#This Row],[ActualHomeScore]]=0), 1,0)</f>
        <v>0</v>
      </c>
      <c r="AH1247" s="64">
        <f>IF(Table1[[#This Row],[GameIsOver]]=0,0,IF(Table1[[#This Row],[ActualWinner]]=Table1[[#This Row],[AwayTeam]], 1, 0))</f>
        <v>0</v>
      </c>
      <c r="AI1247" s="64">
        <f>IF(Table1[[#This Row],[GameIsOver]]=0,0,IF(Table1[[#This Row],[ActualWinner]]=Table1[[#This Row],[HomeTeam]], 1, 0))</f>
        <v>0</v>
      </c>
      <c r="AJ1247" s="64">
        <f>IF(INDEX(Standings!$A$2:$C$33,MATCH(Table1[[#This Row],[AwayTeam]],Standings!$A$2:$A$33,0),2)=INDEX(Standings!$A$2:$C$33,MATCH(Table1[[#This Row],[HomeTeam]],Standings!$A$2:$A$33,0),2),1,0)</f>
        <v>1</v>
      </c>
      <c r="AK1247" s="64">
        <f>IF(INDEX(Standings!$A$2:$C$33,MATCH(Table1[[#This Row],[AwayTeam]],Standings!$A$2:$A$33,0),3)=INDEX(Standings!$A$2:$C$33,MATCH(Table1[[#This Row],[HomeTeam]],Standings!$A$2:$A$33,0),3),1,0)</f>
        <v>1</v>
      </c>
      <c r="AL1247" s="64">
        <f>IF(Table1[[#This Row],[InterConf]]=1,IF(Table1[[#This Row],[InterDiv]]=0, 1, 0), 0)</f>
        <v>0</v>
      </c>
      <c r="AM1247" s="64">
        <f>IF(INDEX(Standings!$A$2:$C$33,MATCH(Table1[[#This Row],[AwayTeam]],Standings!$A$2:$A$33,0),2)&lt;&gt;INDEX(Standings!$A$2:$C$33,MATCH(Table1[[#This Row],[HomeTeam]],Standings!$A$2:$A$33,0),2),1,0)</f>
        <v>0</v>
      </c>
      <c r="AN1247" s="64" t="str">
        <f>INDEX(Table2[AWAY_RECORD], MATCH(Table1[[#This Row],[AwayTeam]],Table2[Team], 0), 0)</f>
        <v>0-0-1</v>
      </c>
      <c r="AO1247" s="64" t="str">
        <f>INDEX(Records!$B$2:$AG$33, MATCH(Table1[[#This Row],[AwayTeam]],Records!$A$2:$A$33, 0), MATCH(Table1[[#This Row],[HomeTeam]],Records!$A$2:$A$33, 0))</f>
        <v>0-0-0</v>
      </c>
      <c r="AP1247" s="64" t="str">
        <f>INDEX(Table2[HOME_RECORD], MATCH(Table1[[#This Row],[HomeTeam]],Table2[Team], 0), 0)</f>
        <v>0-0-0</v>
      </c>
      <c r="AQ1247" s="64" t="str">
        <f>INDEX(Records!$B$2:$AG$33, MATCH(Table1[[#This Row],[HomeTeam]],Records!$A$2:$A$33, 0), MATCH(Table1[[#This Row],[AwayTeam]],Records!$A$2:$A$33, 0))</f>
        <v>0-0-0</v>
      </c>
    </row>
    <row r="1248" spans="1:43" x14ac:dyDescent="0.25">
      <c r="A1248" s="1"/>
      <c r="D1248" t="s">
        <v>1605</v>
      </c>
      <c r="E1248" t="s">
        <v>164</v>
      </c>
      <c r="F1248" t="s">
        <v>1609</v>
      </c>
      <c r="G1248" t="s">
        <v>41</v>
      </c>
      <c r="H1248" t="s">
        <v>55</v>
      </c>
      <c r="L124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4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48" s="1"/>
      <c r="T1248" s="64" t="str">
        <f>IF(Table1[[#This Row],[ActualWinner]]="", "", IF(Table1[[#This Row],[AwayTeam]]=Table1[[#This Row],[ActualWinner]],Table1[[#This Row],[HomeTeam]],Table1[[#This Row],[AwayTeam]]))</f>
        <v/>
      </c>
      <c r="U1248" s="64">
        <f>Table1[[#This Row],[ActualAwayScore]]-Table1[[#This Row],[PredictedAwayScore]]</f>
        <v>0</v>
      </c>
      <c r="V1248" s="64">
        <f>Table1[[#This Row],[ActualHomeScore]]-Table1[[#This Row],[PredictedHomeScore]]</f>
        <v>0</v>
      </c>
      <c r="W1248" s="64">
        <f>(0.8*IF(Table1[[#This Row],[CorrectWinnerPrediction]]=1, 1, 0))+(0.1*IF(Table1[[#This Row],[CorrectAwayScorePrediction]]=1, 1, 0))+(0.1*IF(Table1[[#This Row],[CorrectHomeScorePrediction]]=1, 1, 0))</f>
        <v>0</v>
      </c>
      <c r="X124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48" s="64">
        <f>SUMIF(Table1[GameDate], Table1[[#This Row],[GameDate]], Table1[AwayGameGoalDiff])</f>
        <v>0</v>
      </c>
      <c r="AA1248" s="64">
        <f>SUMIF(Table1[GameDate], Table1[[#This Row],[GameDate]], Table1[HomeGameGoalDiff])</f>
        <v>0</v>
      </c>
      <c r="AB1248" s="64">
        <f>IF(ISBLANK(Table1[[#This Row],[ActualResult]]), 0, 1)</f>
        <v>0</v>
      </c>
      <c r="AC1248" s="64">
        <f>IF(ISBLANK(Table1[[#This Row],[ActualResult]]), 0, IF(Table1[[#This Row],[ActualWinner]]=Table1[[#This Row],[PredictedWinner]], 1, 0))</f>
        <v>0</v>
      </c>
      <c r="AD124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4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48" s="64">
        <f>IF(AND(Table1[[#This Row],[GameIsOver]]=1,Table1[[#This Row],[ActualAwayScore]]=0), 1,0)</f>
        <v>0</v>
      </c>
      <c r="AG1248" s="64">
        <f>IF(AND(Table1[[#This Row],[GameIsOver]]=1,Table1[[#This Row],[ActualHomeScore]]=0), 1,0)</f>
        <v>0</v>
      </c>
      <c r="AH1248" s="64">
        <f>IF(Table1[[#This Row],[GameIsOver]]=0,0,IF(Table1[[#This Row],[ActualWinner]]=Table1[[#This Row],[AwayTeam]], 1, 0))</f>
        <v>0</v>
      </c>
      <c r="AI1248" s="64">
        <f>IF(Table1[[#This Row],[GameIsOver]]=0,0,IF(Table1[[#This Row],[ActualWinner]]=Table1[[#This Row],[HomeTeam]], 1, 0))</f>
        <v>0</v>
      </c>
      <c r="AJ1248" s="64">
        <f>IF(INDEX(Standings!$A$2:$C$33,MATCH(Table1[[#This Row],[AwayTeam]],Standings!$A$2:$A$33,0),2)=INDEX(Standings!$A$2:$C$33,MATCH(Table1[[#This Row],[HomeTeam]],Standings!$A$2:$A$33,0),2),1,0)</f>
        <v>1</v>
      </c>
      <c r="AK1248" s="64">
        <f>IF(INDEX(Standings!$A$2:$C$33,MATCH(Table1[[#This Row],[AwayTeam]],Standings!$A$2:$A$33,0),3)=INDEX(Standings!$A$2:$C$33,MATCH(Table1[[#This Row],[HomeTeam]],Standings!$A$2:$A$33,0),3),1,0)</f>
        <v>0</v>
      </c>
      <c r="AL1248" s="64">
        <f>IF(Table1[[#This Row],[InterConf]]=1,IF(Table1[[#This Row],[InterDiv]]=0, 1, 0), 0)</f>
        <v>1</v>
      </c>
      <c r="AM1248" s="64">
        <f>IF(INDEX(Standings!$A$2:$C$33,MATCH(Table1[[#This Row],[AwayTeam]],Standings!$A$2:$A$33,0),2)&lt;&gt;INDEX(Standings!$A$2:$C$33,MATCH(Table1[[#This Row],[HomeTeam]],Standings!$A$2:$A$33,0),2),1,0)</f>
        <v>0</v>
      </c>
      <c r="AN1248" s="64" t="str">
        <f>INDEX(Table2[AWAY_RECORD], MATCH(Table1[[#This Row],[AwayTeam]],Table2[Team], 0), 0)</f>
        <v>0-0-0</v>
      </c>
      <c r="AO1248" s="64" t="str">
        <f>INDEX(Records!$B$2:$AG$33, MATCH(Table1[[#This Row],[AwayTeam]],Records!$A$2:$A$33, 0), MATCH(Table1[[#This Row],[HomeTeam]],Records!$A$2:$A$33, 0))</f>
        <v>0-0-0</v>
      </c>
      <c r="AP1248" s="64" t="str">
        <f>INDEX(Table2[HOME_RECORD], MATCH(Table1[[#This Row],[HomeTeam]],Table2[Team], 0), 0)</f>
        <v>0-1-0</v>
      </c>
      <c r="AQ1248" s="64" t="str">
        <f>INDEX(Records!$B$2:$AG$33, MATCH(Table1[[#This Row],[HomeTeam]],Records!$A$2:$A$33, 0), MATCH(Table1[[#This Row],[AwayTeam]],Records!$A$2:$A$33, 0))</f>
        <v>0-0-0</v>
      </c>
    </row>
    <row r="1249" spans="1:43" x14ac:dyDescent="0.25">
      <c r="A1249" s="1"/>
      <c r="D1249" t="s">
        <v>1610</v>
      </c>
      <c r="E1249" t="s">
        <v>160</v>
      </c>
      <c r="F1249" t="s">
        <v>1611</v>
      </c>
      <c r="G1249" t="s">
        <v>47</v>
      </c>
      <c r="H1249" t="s">
        <v>37</v>
      </c>
      <c r="L124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4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49" s="1"/>
      <c r="T1249" s="64" t="str">
        <f>IF(Table1[[#This Row],[ActualWinner]]="", "", IF(Table1[[#This Row],[AwayTeam]]=Table1[[#This Row],[ActualWinner]],Table1[[#This Row],[HomeTeam]],Table1[[#This Row],[AwayTeam]]))</f>
        <v/>
      </c>
      <c r="U1249" s="64">
        <f>Table1[[#This Row],[ActualAwayScore]]-Table1[[#This Row],[PredictedAwayScore]]</f>
        <v>0</v>
      </c>
      <c r="V1249" s="64">
        <f>Table1[[#This Row],[ActualHomeScore]]-Table1[[#This Row],[PredictedHomeScore]]</f>
        <v>0</v>
      </c>
      <c r="W1249" s="64">
        <f>(0.8*IF(Table1[[#This Row],[CorrectWinnerPrediction]]=1, 1, 0))+(0.1*IF(Table1[[#This Row],[CorrectAwayScorePrediction]]=1, 1, 0))+(0.1*IF(Table1[[#This Row],[CorrectHomeScorePrediction]]=1, 1, 0))</f>
        <v>0</v>
      </c>
      <c r="X124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49" s="64">
        <f>SUMIF(Table1[GameDate], Table1[[#This Row],[GameDate]], Table1[AwayGameGoalDiff])</f>
        <v>0</v>
      </c>
      <c r="AA1249" s="64">
        <f>SUMIF(Table1[GameDate], Table1[[#This Row],[GameDate]], Table1[HomeGameGoalDiff])</f>
        <v>0</v>
      </c>
      <c r="AB1249" s="64">
        <f>IF(ISBLANK(Table1[[#This Row],[ActualResult]]), 0, 1)</f>
        <v>0</v>
      </c>
      <c r="AC1249" s="64">
        <f>IF(ISBLANK(Table1[[#This Row],[ActualResult]]), 0, IF(Table1[[#This Row],[ActualWinner]]=Table1[[#This Row],[PredictedWinner]], 1, 0))</f>
        <v>0</v>
      </c>
      <c r="AD124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4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49" s="64">
        <f>IF(AND(Table1[[#This Row],[GameIsOver]]=1,Table1[[#This Row],[ActualAwayScore]]=0), 1,0)</f>
        <v>0</v>
      </c>
      <c r="AG1249" s="64">
        <f>IF(AND(Table1[[#This Row],[GameIsOver]]=1,Table1[[#This Row],[ActualHomeScore]]=0), 1,0)</f>
        <v>0</v>
      </c>
      <c r="AH1249" s="64">
        <f>IF(Table1[[#This Row],[GameIsOver]]=0,0,IF(Table1[[#This Row],[ActualWinner]]=Table1[[#This Row],[AwayTeam]], 1, 0))</f>
        <v>0</v>
      </c>
      <c r="AI1249" s="64">
        <f>IF(Table1[[#This Row],[GameIsOver]]=0,0,IF(Table1[[#This Row],[ActualWinner]]=Table1[[#This Row],[HomeTeam]], 1, 0))</f>
        <v>0</v>
      </c>
      <c r="AJ1249" s="64">
        <f>IF(INDEX(Standings!$A$2:$C$33,MATCH(Table1[[#This Row],[AwayTeam]],Standings!$A$2:$A$33,0),2)=INDEX(Standings!$A$2:$C$33,MATCH(Table1[[#This Row],[HomeTeam]],Standings!$A$2:$A$33,0),2),1,0)</f>
        <v>1</v>
      </c>
      <c r="AK1249" s="64">
        <f>IF(INDEX(Standings!$A$2:$C$33,MATCH(Table1[[#This Row],[AwayTeam]],Standings!$A$2:$A$33,0),3)=INDEX(Standings!$A$2:$C$33,MATCH(Table1[[#This Row],[HomeTeam]],Standings!$A$2:$A$33,0),3),1,0)</f>
        <v>1</v>
      </c>
      <c r="AL1249" s="64">
        <f>IF(Table1[[#This Row],[InterConf]]=1,IF(Table1[[#This Row],[InterDiv]]=0, 1, 0), 0)</f>
        <v>0</v>
      </c>
      <c r="AM1249" s="64">
        <f>IF(INDEX(Standings!$A$2:$C$33,MATCH(Table1[[#This Row],[AwayTeam]],Standings!$A$2:$A$33,0),2)&lt;&gt;INDEX(Standings!$A$2:$C$33,MATCH(Table1[[#This Row],[HomeTeam]],Standings!$A$2:$A$33,0),2),1,0)</f>
        <v>0</v>
      </c>
      <c r="AN1249" s="64" t="str">
        <f>INDEX(Table2[AWAY_RECORD], MATCH(Table1[[#This Row],[AwayTeam]],Table2[Team], 0), 0)</f>
        <v>1-0-0</v>
      </c>
      <c r="AO1249" s="64" t="str">
        <f>INDEX(Records!$B$2:$AG$33, MATCH(Table1[[#This Row],[AwayTeam]],Records!$A$2:$A$33, 0), MATCH(Table1[[#This Row],[HomeTeam]],Records!$A$2:$A$33, 0))</f>
        <v>0-0-0</v>
      </c>
      <c r="AP1249" s="64" t="str">
        <f>INDEX(Table2[HOME_RECORD], MATCH(Table1[[#This Row],[HomeTeam]],Table2[Team], 0), 0)</f>
        <v>0-1-0</v>
      </c>
      <c r="AQ1249" s="64" t="str">
        <f>INDEX(Records!$B$2:$AG$33, MATCH(Table1[[#This Row],[HomeTeam]],Records!$A$2:$A$33, 0), MATCH(Table1[[#This Row],[AwayTeam]],Records!$A$2:$A$33, 0))</f>
        <v>0-0-0</v>
      </c>
    </row>
    <row r="1250" spans="1:43" x14ac:dyDescent="0.25">
      <c r="A1250" s="1"/>
      <c r="D1250" t="s">
        <v>1610</v>
      </c>
      <c r="E1250" t="s">
        <v>160</v>
      </c>
      <c r="F1250" t="s">
        <v>1612</v>
      </c>
      <c r="G1250" t="s">
        <v>52</v>
      </c>
      <c r="H1250" t="s">
        <v>44</v>
      </c>
      <c r="L125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5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50" s="1"/>
      <c r="T1250" s="64" t="str">
        <f>IF(Table1[[#This Row],[ActualWinner]]="", "", IF(Table1[[#This Row],[AwayTeam]]=Table1[[#This Row],[ActualWinner]],Table1[[#This Row],[HomeTeam]],Table1[[#This Row],[AwayTeam]]))</f>
        <v/>
      </c>
      <c r="U1250" s="64">
        <f>Table1[[#This Row],[ActualAwayScore]]-Table1[[#This Row],[PredictedAwayScore]]</f>
        <v>0</v>
      </c>
      <c r="V1250" s="64">
        <f>Table1[[#This Row],[ActualHomeScore]]-Table1[[#This Row],[PredictedHomeScore]]</f>
        <v>0</v>
      </c>
      <c r="W1250" s="64">
        <f>(0.8*IF(Table1[[#This Row],[CorrectWinnerPrediction]]=1, 1, 0))+(0.1*IF(Table1[[#This Row],[CorrectAwayScorePrediction]]=1, 1, 0))+(0.1*IF(Table1[[#This Row],[CorrectHomeScorePrediction]]=1, 1, 0))</f>
        <v>0</v>
      </c>
      <c r="X125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50" s="64">
        <f>SUMIF(Table1[GameDate], Table1[[#This Row],[GameDate]], Table1[AwayGameGoalDiff])</f>
        <v>0</v>
      </c>
      <c r="AA1250" s="64">
        <f>SUMIF(Table1[GameDate], Table1[[#This Row],[GameDate]], Table1[HomeGameGoalDiff])</f>
        <v>0</v>
      </c>
      <c r="AB1250" s="64">
        <f>IF(ISBLANK(Table1[[#This Row],[ActualResult]]), 0, 1)</f>
        <v>0</v>
      </c>
      <c r="AC1250" s="64">
        <f>IF(ISBLANK(Table1[[#This Row],[ActualResult]]), 0, IF(Table1[[#This Row],[ActualWinner]]=Table1[[#This Row],[PredictedWinner]], 1, 0))</f>
        <v>0</v>
      </c>
      <c r="AD125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5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50" s="64">
        <f>IF(AND(Table1[[#This Row],[GameIsOver]]=1,Table1[[#This Row],[ActualAwayScore]]=0), 1,0)</f>
        <v>0</v>
      </c>
      <c r="AG1250" s="64">
        <f>IF(AND(Table1[[#This Row],[GameIsOver]]=1,Table1[[#This Row],[ActualHomeScore]]=0), 1,0)</f>
        <v>0</v>
      </c>
      <c r="AH1250" s="64">
        <f>IF(Table1[[#This Row],[GameIsOver]]=0,0,IF(Table1[[#This Row],[ActualWinner]]=Table1[[#This Row],[AwayTeam]], 1, 0))</f>
        <v>0</v>
      </c>
      <c r="AI1250" s="64">
        <f>IF(Table1[[#This Row],[GameIsOver]]=0,0,IF(Table1[[#This Row],[ActualWinner]]=Table1[[#This Row],[HomeTeam]], 1, 0))</f>
        <v>0</v>
      </c>
      <c r="AJ1250" s="64">
        <f>IF(INDEX(Standings!$A$2:$C$33,MATCH(Table1[[#This Row],[AwayTeam]],Standings!$A$2:$A$33,0),2)=INDEX(Standings!$A$2:$C$33,MATCH(Table1[[#This Row],[HomeTeam]],Standings!$A$2:$A$33,0),2),1,0)</f>
        <v>1</v>
      </c>
      <c r="AK1250" s="64">
        <f>IF(INDEX(Standings!$A$2:$C$33,MATCH(Table1[[#This Row],[AwayTeam]],Standings!$A$2:$A$33,0),3)=INDEX(Standings!$A$2:$C$33,MATCH(Table1[[#This Row],[HomeTeam]],Standings!$A$2:$A$33,0),3),1,0)</f>
        <v>1</v>
      </c>
      <c r="AL1250" s="64">
        <f>IF(Table1[[#This Row],[InterConf]]=1,IF(Table1[[#This Row],[InterDiv]]=0, 1, 0), 0)</f>
        <v>0</v>
      </c>
      <c r="AM1250" s="64">
        <f>IF(INDEX(Standings!$A$2:$C$33,MATCH(Table1[[#This Row],[AwayTeam]],Standings!$A$2:$A$33,0),2)&lt;&gt;INDEX(Standings!$A$2:$C$33,MATCH(Table1[[#This Row],[HomeTeam]],Standings!$A$2:$A$33,0),2),1,0)</f>
        <v>0</v>
      </c>
      <c r="AN1250" s="64" t="str">
        <f>INDEX(Table2[AWAY_RECORD], MATCH(Table1[[#This Row],[AwayTeam]],Table2[Team], 0), 0)</f>
        <v>0-0-0</v>
      </c>
      <c r="AO1250" s="64" t="str">
        <f>INDEX(Records!$B$2:$AG$33, MATCH(Table1[[#This Row],[AwayTeam]],Records!$A$2:$A$33, 0), MATCH(Table1[[#This Row],[HomeTeam]],Records!$A$2:$A$33, 0))</f>
        <v>0-0-0</v>
      </c>
      <c r="AP1250" s="64" t="str">
        <f>INDEX(Table2[HOME_RECORD], MATCH(Table1[[#This Row],[HomeTeam]],Table2[Team], 0), 0)</f>
        <v>0-0-1</v>
      </c>
      <c r="AQ1250" s="64" t="str">
        <f>INDEX(Records!$B$2:$AG$33, MATCH(Table1[[#This Row],[HomeTeam]],Records!$A$2:$A$33, 0), MATCH(Table1[[#This Row],[AwayTeam]],Records!$A$2:$A$33, 0))</f>
        <v>0-0-0</v>
      </c>
    </row>
    <row r="1251" spans="1:43" x14ac:dyDescent="0.25">
      <c r="A1251" s="1"/>
      <c r="D1251" t="s">
        <v>1610</v>
      </c>
      <c r="E1251" t="s">
        <v>160</v>
      </c>
      <c r="F1251" t="s">
        <v>1613</v>
      </c>
      <c r="G1251" t="s">
        <v>24</v>
      </c>
      <c r="H1251" t="s">
        <v>57</v>
      </c>
      <c r="L125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5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51" s="1"/>
      <c r="T1251" s="64" t="str">
        <f>IF(Table1[[#This Row],[ActualWinner]]="", "", IF(Table1[[#This Row],[AwayTeam]]=Table1[[#This Row],[ActualWinner]],Table1[[#This Row],[HomeTeam]],Table1[[#This Row],[AwayTeam]]))</f>
        <v/>
      </c>
      <c r="U1251" s="64">
        <f>Table1[[#This Row],[ActualAwayScore]]-Table1[[#This Row],[PredictedAwayScore]]</f>
        <v>0</v>
      </c>
      <c r="V1251" s="64">
        <f>Table1[[#This Row],[ActualHomeScore]]-Table1[[#This Row],[PredictedHomeScore]]</f>
        <v>0</v>
      </c>
      <c r="W1251" s="64">
        <f>(0.8*IF(Table1[[#This Row],[CorrectWinnerPrediction]]=1, 1, 0))+(0.1*IF(Table1[[#This Row],[CorrectAwayScorePrediction]]=1, 1, 0))+(0.1*IF(Table1[[#This Row],[CorrectHomeScorePrediction]]=1, 1, 0))</f>
        <v>0</v>
      </c>
      <c r="X125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51" s="64">
        <f>SUMIF(Table1[GameDate], Table1[[#This Row],[GameDate]], Table1[AwayGameGoalDiff])</f>
        <v>0</v>
      </c>
      <c r="AA1251" s="64">
        <f>SUMIF(Table1[GameDate], Table1[[#This Row],[GameDate]], Table1[HomeGameGoalDiff])</f>
        <v>0</v>
      </c>
      <c r="AB1251" s="64">
        <f>IF(ISBLANK(Table1[[#This Row],[ActualResult]]), 0, 1)</f>
        <v>0</v>
      </c>
      <c r="AC1251" s="64">
        <f>IF(ISBLANK(Table1[[#This Row],[ActualResult]]), 0, IF(Table1[[#This Row],[ActualWinner]]=Table1[[#This Row],[PredictedWinner]], 1, 0))</f>
        <v>0</v>
      </c>
      <c r="AD125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5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51" s="64">
        <f>IF(AND(Table1[[#This Row],[GameIsOver]]=1,Table1[[#This Row],[ActualAwayScore]]=0), 1,0)</f>
        <v>0</v>
      </c>
      <c r="AG1251" s="64">
        <f>IF(AND(Table1[[#This Row],[GameIsOver]]=1,Table1[[#This Row],[ActualHomeScore]]=0), 1,0)</f>
        <v>0</v>
      </c>
      <c r="AH1251" s="64">
        <f>IF(Table1[[#This Row],[GameIsOver]]=0,0,IF(Table1[[#This Row],[ActualWinner]]=Table1[[#This Row],[AwayTeam]], 1, 0))</f>
        <v>0</v>
      </c>
      <c r="AI1251" s="64">
        <f>IF(Table1[[#This Row],[GameIsOver]]=0,0,IF(Table1[[#This Row],[ActualWinner]]=Table1[[#This Row],[HomeTeam]], 1, 0))</f>
        <v>0</v>
      </c>
      <c r="AJ1251" s="64">
        <f>IF(INDEX(Standings!$A$2:$C$33,MATCH(Table1[[#This Row],[AwayTeam]],Standings!$A$2:$A$33,0),2)=INDEX(Standings!$A$2:$C$33,MATCH(Table1[[#This Row],[HomeTeam]],Standings!$A$2:$A$33,0),2),1,0)</f>
        <v>1</v>
      </c>
      <c r="AK1251" s="64">
        <f>IF(INDEX(Standings!$A$2:$C$33,MATCH(Table1[[#This Row],[AwayTeam]],Standings!$A$2:$A$33,0),3)=INDEX(Standings!$A$2:$C$33,MATCH(Table1[[#This Row],[HomeTeam]],Standings!$A$2:$A$33,0),3),1,0)</f>
        <v>1</v>
      </c>
      <c r="AL1251" s="64">
        <f>IF(Table1[[#This Row],[InterConf]]=1,IF(Table1[[#This Row],[InterDiv]]=0, 1, 0), 0)</f>
        <v>0</v>
      </c>
      <c r="AM1251" s="64">
        <f>IF(INDEX(Standings!$A$2:$C$33,MATCH(Table1[[#This Row],[AwayTeam]],Standings!$A$2:$A$33,0),2)&lt;&gt;INDEX(Standings!$A$2:$C$33,MATCH(Table1[[#This Row],[HomeTeam]],Standings!$A$2:$A$33,0),2),1,0)</f>
        <v>0</v>
      </c>
      <c r="AN1251" s="64" t="str">
        <f>INDEX(Table2[AWAY_RECORD], MATCH(Table1[[#This Row],[AwayTeam]],Table2[Team], 0), 0)</f>
        <v>0-0-0</v>
      </c>
      <c r="AO1251" s="64" t="str">
        <f>INDEX(Records!$B$2:$AG$33, MATCH(Table1[[#This Row],[AwayTeam]],Records!$A$2:$A$33, 0), MATCH(Table1[[#This Row],[HomeTeam]],Records!$A$2:$A$33, 0))</f>
        <v>0-0-0</v>
      </c>
      <c r="AP1251" s="64" t="str">
        <f>INDEX(Table2[HOME_RECORD], MATCH(Table1[[#This Row],[HomeTeam]],Table2[Team], 0), 0)</f>
        <v>0-0-0</v>
      </c>
      <c r="AQ1251" s="64" t="str">
        <f>INDEX(Records!$B$2:$AG$33, MATCH(Table1[[#This Row],[HomeTeam]],Records!$A$2:$A$33, 0), MATCH(Table1[[#This Row],[AwayTeam]],Records!$A$2:$A$33, 0))</f>
        <v>0-0-0</v>
      </c>
    </row>
    <row r="1252" spans="1:43" x14ac:dyDescent="0.25">
      <c r="A1252" s="1"/>
      <c r="D1252" t="s">
        <v>1610</v>
      </c>
      <c r="E1252" t="s">
        <v>160</v>
      </c>
      <c r="F1252" t="s">
        <v>1614</v>
      </c>
      <c r="G1252" t="s">
        <v>42</v>
      </c>
      <c r="H1252" t="s">
        <v>17</v>
      </c>
      <c r="L125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5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52" s="1"/>
      <c r="T1252" s="64" t="str">
        <f>IF(Table1[[#This Row],[ActualWinner]]="", "", IF(Table1[[#This Row],[AwayTeam]]=Table1[[#This Row],[ActualWinner]],Table1[[#This Row],[HomeTeam]],Table1[[#This Row],[AwayTeam]]))</f>
        <v/>
      </c>
      <c r="U1252" s="64">
        <f>Table1[[#This Row],[ActualAwayScore]]-Table1[[#This Row],[PredictedAwayScore]]</f>
        <v>0</v>
      </c>
      <c r="V1252" s="64">
        <f>Table1[[#This Row],[ActualHomeScore]]-Table1[[#This Row],[PredictedHomeScore]]</f>
        <v>0</v>
      </c>
      <c r="W1252" s="64">
        <f>(0.8*IF(Table1[[#This Row],[CorrectWinnerPrediction]]=1, 1, 0))+(0.1*IF(Table1[[#This Row],[CorrectAwayScorePrediction]]=1, 1, 0))+(0.1*IF(Table1[[#This Row],[CorrectHomeScorePrediction]]=1, 1, 0))</f>
        <v>0</v>
      </c>
      <c r="X125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52" s="64">
        <f>SUMIF(Table1[GameDate], Table1[[#This Row],[GameDate]], Table1[AwayGameGoalDiff])</f>
        <v>0</v>
      </c>
      <c r="AA1252" s="64">
        <f>SUMIF(Table1[GameDate], Table1[[#This Row],[GameDate]], Table1[HomeGameGoalDiff])</f>
        <v>0</v>
      </c>
      <c r="AB1252" s="64">
        <f>IF(ISBLANK(Table1[[#This Row],[ActualResult]]), 0, 1)</f>
        <v>0</v>
      </c>
      <c r="AC1252" s="64">
        <f>IF(ISBLANK(Table1[[#This Row],[ActualResult]]), 0, IF(Table1[[#This Row],[ActualWinner]]=Table1[[#This Row],[PredictedWinner]], 1, 0))</f>
        <v>0</v>
      </c>
      <c r="AD125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5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52" s="64">
        <f>IF(AND(Table1[[#This Row],[GameIsOver]]=1,Table1[[#This Row],[ActualAwayScore]]=0), 1,0)</f>
        <v>0</v>
      </c>
      <c r="AG1252" s="64">
        <f>IF(AND(Table1[[#This Row],[GameIsOver]]=1,Table1[[#This Row],[ActualHomeScore]]=0), 1,0)</f>
        <v>0</v>
      </c>
      <c r="AH1252" s="64">
        <f>IF(Table1[[#This Row],[GameIsOver]]=0,0,IF(Table1[[#This Row],[ActualWinner]]=Table1[[#This Row],[AwayTeam]], 1, 0))</f>
        <v>0</v>
      </c>
      <c r="AI1252" s="64">
        <f>IF(Table1[[#This Row],[GameIsOver]]=0,0,IF(Table1[[#This Row],[ActualWinner]]=Table1[[#This Row],[HomeTeam]], 1, 0))</f>
        <v>0</v>
      </c>
      <c r="AJ1252" s="64">
        <f>IF(INDEX(Standings!$A$2:$C$33,MATCH(Table1[[#This Row],[AwayTeam]],Standings!$A$2:$A$33,0),2)=INDEX(Standings!$A$2:$C$33,MATCH(Table1[[#This Row],[HomeTeam]],Standings!$A$2:$A$33,0),2),1,0)</f>
        <v>1</v>
      </c>
      <c r="AK1252" s="64">
        <f>IF(INDEX(Standings!$A$2:$C$33,MATCH(Table1[[#This Row],[AwayTeam]],Standings!$A$2:$A$33,0),3)=INDEX(Standings!$A$2:$C$33,MATCH(Table1[[#This Row],[HomeTeam]],Standings!$A$2:$A$33,0),3),1,0)</f>
        <v>0</v>
      </c>
      <c r="AL1252" s="64">
        <f>IF(Table1[[#This Row],[InterConf]]=1,IF(Table1[[#This Row],[InterDiv]]=0, 1, 0), 0)</f>
        <v>1</v>
      </c>
      <c r="AM1252" s="64">
        <f>IF(INDEX(Standings!$A$2:$C$33,MATCH(Table1[[#This Row],[AwayTeam]],Standings!$A$2:$A$33,0),2)&lt;&gt;INDEX(Standings!$A$2:$C$33,MATCH(Table1[[#This Row],[HomeTeam]],Standings!$A$2:$A$33,0),2),1,0)</f>
        <v>0</v>
      </c>
      <c r="AN1252" s="64" t="str">
        <f>INDEX(Table2[AWAY_RECORD], MATCH(Table1[[#This Row],[AwayTeam]],Table2[Team], 0), 0)</f>
        <v>0-0-0</v>
      </c>
      <c r="AO1252" s="64" t="str">
        <f>INDEX(Records!$B$2:$AG$33, MATCH(Table1[[#This Row],[AwayTeam]],Records!$A$2:$A$33, 0), MATCH(Table1[[#This Row],[HomeTeam]],Records!$A$2:$A$33, 0))</f>
        <v>0-0-0</v>
      </c>
      <c r="AP1252" s="64" t="str">
        <f>INDEX(Table2[HOME_RECORD], MATCH(Table1[[#This Row],[HomeTeam]],Table2[Team], 0), 0)</f>
        <v>0-0-0</v>
      </c>
      <c r="AQ1252" s="64" t="str">
        <f>INDEX(Records!$B$2:$AG$33, MATCH(Table1[[#This Row],[HomeTeam]],Records!$A$2:$A$33, 0), MATCH(Table1[[#This Row],[AwayTeam]],Records!$A$2:$A$33, 0))</f>
        <v>0-0-0</v>
      </c>
    </row>
    <row r="1253" spans="1:43" x14ac:dyDescent="0.25">
      <c r="A1253" s="1"/>
      <c r="D1253" t="s">
        <v>1610</v>
      </c>
      <c r="E1253" t="s">
        <v>160</v>
      </c>
      <c r="F1253" t="s">
        <v>1615</v>
      </c>
      <c r="G1253" t="s">
        <v>40</v>
      </c>
      <c r="H1253" t="s">
        <v>50</v>
      </c>
      <c r="L125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5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53" s="1"/>
      <c r="T1253" s="64" t="str">
        <f>IF(Table1[[#This Row],[ActualWinner]]="", "", IF(Table1[[#This Row],[AwayTeam]]=Table1[[#This Row],[ActualWinner]],Table1[[#This Row],[HomeTeam]],Table1[[#This Row],[AwayTeam]]))</f>
        <v/>
      </c>
      <c r="U1253" s="64">
        <f>Table1[[#This Row],[ActualAwayScore]]-Table1[[#This Row],[PredictedAwayScore]]</f>
        <v>0</v>
      </c>
      <c r="V1253" s="64">
        <f>Table1[[#This Row],[ActualHomeScore]]-Table1[[#This Row],[PredictedHomeScore]]</f>
        <v>0</v>
      </c>
      <c r="W1253" s="64">
        <f>(0.8*IF(Table1[[#This Row],[CorrectWinnerPrediction]]=1, 1, 0))+(0.1*IF(Table1[[#This Row],[CorrectAwayScorePrediction]]=1, 1, 0))+(0.1*IF(Table1[[#This Row],[CorrectHomeScorePrediction]]=1, 1, 0))</f>
        <v>0</v>
      </c>
      <c r="X125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53" s="64">
        <f>SUMIF(Table1[GameDate], Table1[[#This Row],[GameDate]], Table1[AwayGameGoalDiff])</f>
        <v>0</v>
      </c>
      <c r="AA1253" s="64">
        <f>SUMIF(Table1[GameDate], Table1[[#This Row],[GameDate]], Table1[HomeGameGoalDiff])</f>
        <v>0</v>
      </c>
      <c r="AB1253" s="64">
        <f>IF(ISBLANK(Table1[[#This Row],[ActualResult]]), 0, 1)</f>
        <v>0</v>
      </c>
      <c r="AC1253" s="64">
        <f>IF(ISBLANK(Table1[[#This Row],[ActualResult]]), 0, IF(Table1[[#This Row],[ActualWinner]]=Table1[[#This Row],[PredictedWinner]], 1, 0))</f>
        <v>0</v>
      </c>
      <c r="AD125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5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53" s="64">
        <f>IF(AND(Table1[[#This Row],[GameIsOver]]=1,Table1[[#This Row],[ActualAwayScore]]=0), 1,0)</f>
        <v>0</v>
      </c>
      <c r="AG1253" s="64">
        <f>IF(AND(Table1[[#This Row],[GameIsOver]]=1,Table1[[#This Row],[ActualHomeScore]]=0), 1,0)</f>
        <v>0</v>
      </c>
      <c r="AH1253" s="64">
        <f>IF(Table1[[#This Row],[GameIsOver]]=0,0,IF(Table1[[#This Row],[ActualWinner]]=Table1[[#This Row],[AwayTeam]], 1, 0))</f>
        <v>0</v>
      </c>
      <c r="AI1253" s="64">
        <f>IF(Table1[[#This Row],[GameIsOver]]=0,0,IF(Table1[[#This Row],[ActualWinner]]=Table1[[#This Row],[HomeTeam]], 1, 0))</f>
        <v>0</v>
      </c>
      <c r="AJ1253" s="64">
        <f>IF(INDEX(Standings!$A$2:$C$33,MATCH(Table1[[#This Row],[AwayTeam]],Standings!$A$2:$A$33,0),2)=INDEX(Standings!$A$2:$C$33,MATCH(Table1[[#This Row],[HomeTeam]],Standings!$A$2:$A$33,0),2),1,0)</f>
        <v>1</v>
      </c>
      <c r="AK1253" s="64">
        <f>IF(INDEX(Standings!$A$2:$C$33,MATCH(Table1[[#This Row],[AwayTeam]],Standings!$A$2:$A$33,0),3)=INDEX(Standings!$A$2:$C$33,MATCH(Table1[[#This Row],[HomeTeam]],Standings!$A$2:$A$33,0),3),1,0)</f>
        <v>1</v>
      </c>
      <c r="AL1253" s="64">
        <f>IF(Table1[[#This Row],[InterConf]]=1,IF(Table1[[#This Row],[InterDiv]]=0, 1, 0), 0)</f>
        <v>0</v>
      </c>
      <c r="AM1253" s="64">
        <f>IF(INDEX(Standings!$A$2:$C$33,MATCH(Table1[[#This Row],[AwayTeam]],Standings!$A$2:$A$33,0),2)&lt;&gt;INDEX(Standings!$A$2:$C$33,MATCH(Table1[[#This Row],[HomeTeam]],Standings!$A$2:$A$33,0),2),1,0)</f>
        <v>0</v>
      </c>
      <c r="AN1253" s="64" t="str">
        <f>INDEX(Table2[AWAY_RECORD], MATCH(Table1[[#This Row],[AwayTeam]],Table2[Team], 0), 0)</f>
        <v>0-0-0</v>
      </c>
      <c r="AO1253" s="64" t="str">
        <f>INDEX(Records!$B$2:$AG$33, MATCH(Table1[[#This Row],[AwayTeam]],Records!$A$2:$A$33, 0), MATCH(Table1[[#This Row],[HomeTeam]],Records!$A$2:$A$33, 0))</f>
        <v>0-0-0</v>
      </c>
      <c r="AP1253" s="64" t="str">
        <f>INDEX(Table2[HOME_RECORD], MATCH(Table1[[#This Row],[HomeTeam]],Table2[Team], 0), 0)</f>
        <v>0-0-0</v>
      </c>
      <c r="AQ1253" s="64" t="str">
        <f>INDEX(Records!$B$2:$AG$33, MATCH(Table1[[#This Row],[HomeTeam]],Records!$A$2:$A$33, 0), MATCH(Table1[[#This Row],[AwayTeam]],Records!$A$2:$A$33, 0))</f>
        <v>0-0-0</v>
      </c>
    </row>
    <row r="1254" spans="1:43" x14ac:dyDescent="0.25">
      <c r="A1254" s="1"/>
      <c r="D1254" t="s">
        <v>1610</v>
      </c>
      <c r="E1254" t="s">
        <v>160</v>
      </c>
      <c r="F1254" t="s">
        <v>1616</v>
      </c>
      <c r="G1254" t="s">
        <v>54</v>
      </c>
      <c r="H1254" t="s">
        <v>53</v>
      </c>
      <c r="L125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5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54" s="1"/>
      <c r="T1254" s="64" t="str">
        <f>IF(Table1[[#This Row],[ActualWinner]]="", "", IF(Table1[[#This Row],[AwayTeam]]=Table1[[#This Row],[ActualWinner]],Table1[[#This Row],[HomeTeam]],Table1[[#This Row],[AwayTeam]]))</f>
        <v/>
      </c>
      <c r="U1254" s="64">
        <f>Table1[[#This Row],[ActualAwayScore]]-Table1[[#This Row],[PredictedAwayScore]]</f>
        <v>0</v>
      </c>
      <c r="V1254" s="64">
        <f>Table1[[#This Row],[ActualHomeScore]]-Table1[[#This Row],[PredictedHomeScore]]</f>
        <v>0</v>
      </c>
      <c r="W1254" s="64">
        <f>(0.8*IF(Table1[[#This Row],[CorrectWinnerPrediction]]=1, 1, 0))+(0.1*IF(Table1[[#This Row],[CorrectAwayScorePrediction]]=1, 1, 0))+(0.1*IF(Table1[[#This Row],[CorrectHomeScorePrediction]]=1, 1, 0))</f>
        <v>0</v>
      </c>
      <c r="X125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54" s="64">
        <f>SUMIF(Table1[GameDate], Table1[[#This Row],[GameDate]], Table1[AwayGameGoalDiff])</f>
        <v>0</v>
      </c>
      <c r="AA1254" s="64">
        <f>SUMIF(Table1[GameDate], Table1[[#This Row],[GameDate]], Table1[HomeGameGoalDiff])</f>
        <v>0</v>
      </c>
      <c r="AB1254" s="64">
        <f>IF(ISBLANK(Table1[[#This Row],[ActualResult]]), 0, 1)</f>
        <v>0</v>
      </c>
      <c r="AC1254" s="64">
        <f>IF(ISBLANK(Table1[[#This Row],[ActualResult]]), 0, IF(Table1[[#This Row],[ActualWinner]]=Table1[[#This Row],[PredictedWinner]], 1, 0))</f>
        <v>0</v>
      </c>
      <c r="AD125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5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54" s="64">
        <f>IF(AND(Table1[[#This Row],[GameIsOver]]=1,Table1[[#This Row],[ActualAwayScore]]=0), 1,0)</f>
        <v>0</v>
      </c>
      <c r="AG1254" s="64">
        <f>IF(AND(Table1[[#This Row],[GameIsOver]]=1,Table1[[#This Row],[ActualHomeScore]]=0), 1,0)</f>
        <v>0</v>
      </c>
      <c r="AH1254" s="64">
        <f>IF(Table1[[#This Row],[GameIsOver]]=0,0,IF(Table1[[#This Row],[ActualWinner]]=Table1[[#This Row],[AwayTeam]], 1, 0))</f>
        <v>0</v>
      </c>
      <c r="AI1254" s="64">
        <f>IF(Table1[[#This Row],[GameIsOver]]=0,0,IF(Table1[[#This Row],[ActualWinner]]=Table1[[#This Row],[HomeTeam]], 1, 0))</f>
        <v>0</v>
      </c>
      <c r="AJ1254" s="64">
        <f>IF(INDEX(Standings!$A$2:$C$33,MATCH(Table1[[#This Row],[AwayTeam]],Standings!$A$2:$A$33,0),2)=INDEX(Standings!$A$2:$C$33,MATCH(Table1[[#This Row],[HomeTeam]],Standings!$A$2:$A$33,0),2),1,0)</f>
        <v>1</v>
      </c>
      <c r="AK1254" s="64">
        <f>IF(INDEX(Standings!$A$2:$C$33,MATCH(Table1[[#This Row],[AwayTeam]],Standings!$A$2:$A$33,0),3)=INDEX(Standings!$A$2:$C$33,MATCH(Table1[[#This Row],[HomeTeam]],Standings!$A$2:$A$33,0),3),1,0)</f>
        <v>1</v>
      </c>
      <c r="AL1254" s="64">
        <f>IF(Table1[[#This Row],[InterConf]]=1,IF(Table1[[#This Row],[InterDiv]]=0, 1, 0), 0)</f>
        <v>0</v>
      </c>
      <c r="AM1254" s="64">
        <f>IF(INDEX(Standings!$A$2:$C$33,MATCH(Table1[[#This Row],[AwayTeam]],Standings!$A$2:$A$33,0),2)&lt;&gt;INDEX(Standings!$A$2:$C$33,MATCH(Table1[[#This Row],[HomeTeam]],Standings!$A$2:$A$33,0),2),1,0)</f>
        <v>0</v>
      </c>
      <c r="AN1254" s="64" t="str">
        <f>INDEX(Table2[AWAY_RECORD], MATCH(Table1[[#This Row],[AwayTeam]],Table2[Team], 0), 0)</f>
        <v>0-0-1</v>
      </c>
      <c r="AO1254" s="64" t="str">
        <f>INDEX(Records!$B$2:$AG$33, MATCH(Table1[[#This Row],[AwayTeam]],Records!$A$2:$A$33, 0), MATCH(Table1[[#This Row],[HomeTeam]],Records!$A$2:$A$33, 0))</f>
        <v>0-0-1</v>
      </c>
      <c r="AP1254" s="64" t="str">
        <f>INDEX(Table2[HOME_RECORD], MATCH(Table1[[#This Row],[HomeTeam]],Table2[Team], 0), 0)</f>
        <v>1-0-0</v>
      </c>
      <c r="AQ1254" s="64" t="str">
        <f>INDEX(Records!$B$2:$AG$33, MATCH(Table1[[#This Row],[HomeTeam]],Records!$A$2:$A$33, 0), MATCH(Table1[[#This Row],[AwayTeam]],Records!$A$2:$A$33, 0))</f>
        <v>1-0-0</v>
      </c>
    </row>
    <row r="1255" spans="1:43" x14ac:dyDescent="0.25">
      <c r="A1255" s="1"/>
      <c r="D1255" t="s">
        <v>1610</v>
      </c>
      <c r="E1255" t="s">
        <v>160</v>
      </c>
      <c r="F1255" t="s">
        <v>1617</v>
      </c>
      <c r="G1255" t="s">
        <v>16</v>
      </c>
      <c r="H1255" t="s">
        <v>59</v>
      </c>
      <c r="L125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5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55" s="1"/>
      <c r="T1255" s="64" t="str">
        <f>IF(Table1[[#This Row],[ActualWinner]]="", "", IF(Table1[[#This Row],[AwayTeam]]=Table1[[#This Row],[ActualWinner]],Table1[[#This Row],[HomeTeam]],Table1[[#This Row],[AwayTeam]]))</f>
        <v/>
      </c>
      <c r="U1255" s="64">
        <f>Table1[[#This Row],[ActualAwayScore]]-Table1[[#This Row],[PredictedAwayScore]]</f>
        <v>0</v>
      </c>
      <c r="V1255" s="64">
        <f>Table1[[#This Row],[ActualHomeScore]]-Table1[[#This Row],[PredictedHomeScore]]</f>
        <v>0</v>
      </c>
      <c r="W1255" s="64">
        <f>(0.8*IF(Table1[[#This Row],[CorrectWinnerPrediction]]=1, 1, 0))+(0.1*IF(Table1[[#This Row],[CorrectAwayScorePrediction]]=1, 1, 0))+(0.1*IF(Table1[[#This Row],[CorrectHomeScorePrediction]]=1, 1, 0))</f>
        <v>0</v>
      </c>
      <c r="X125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55" s="64">
        <f>SUMIF(Table1[GameDate], Table1[[#This Row],[GameDate]], Table1[AwayGameGoalDiff])</f>
        <v>0</v>
      </c>
      <c r="AA1255" s="64">
        <f>SUMIF(Table1[GameDate], Table1[[#This Row],[GameDate]], Table1[HomeGameGoalDiff])</f>
        <v>0</v>
      </c>
      <c r="AB1255" s="64">
        <f>IF(ISBLANK(Table1[[#This Row],[ActualResult]]), 0, 1)</f>
        <v>0</v>
      </c>
      <c r="AC1255" s="64">
        <f>IF(ISBLANK(Table1[[#This Row],[ActualResult]]), 0, IF(Table1[[#This Row],[ActualWinner]]=Table1[[#This Row],[PredictedWinner]], 1, 0))</f>
        <v>0</v>
      </c>
      <c r="AD125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5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55" s="64">
        <f>IF(AND(Table1[[#This Row],[GameIsOver]]=1,Table1[[#This Row],[ActualAwayScore]]=0), 1,0)</f>
        <v>0</v>
      </c>
      <c r="AG1255" s="64">
        <f>IF(AND(Table1[[#This Row],[GameIsOver]]=1,Table1[[#This Row],[ActualHomeScore]]=0), 1,0)</f>
        <v>0</v>
      </c>
      <c r="AH1255" s="64">
        <f>IF(Table1[[#This Row],[GameIsOver]]=0,0,IF(Table1[[#This Row],[ActualWinner]]=Table1[[#This Row],[AwayTeam]], 1, 0))</f>
        <v>0</v>
      </c>
      <c r="AI1255" s="64">
        <f>IF(Table1[[#This Row],[GameIsOver]]=0,0,IF(Table1[[#This Row],[ActualWinner]]=Table1[[#This Row],[HomeTeam]], 1, 0))</f>
        <v>0</v>
      </c>
      <c r="AJ1255" s="64">
        <f>IF(INDEX(Standings!$A$2:$C$33,MATCH(Table1[[#This Row],[AwayTeam]],Standings!$A$2:$A$33,0),2)=INDEX(Standings!$A$2:$C$33,MATCH(Table1[[#This Row],[HomeTeam]],Standings!$A$2:$A$33,0),2),1,0)</f>
        <v>0</v>
      </c>
      <c r="AK1255" s="64">
        <f>IF(INDEX(Standings!$A$2:$C$33,MATCH(Table1[[#This Row],[AwayTeam]],Standings!$A$2:$A$33,0),3)=INDEX(Standings!$A$2:$C$33,MATCH(Table1[[#This Row],[HomeTeam]],Standings!$A$2:$A$33,0),3),1,0)</f>
        <v>0</v>
      </c>
      <c r="AL1255" s="64">
        <f>IF(Table1[[#This Row],[InterConf]]=1,IF(Table1[[#This Row],[InterDiv]]=0, 1, 0), 0)</f>
        <v>0</v>
      </c>
      <c r="AM1255" s="64">
        <f>IF(INDEX(Standings!$A$2:$C$33,MATCH(Table1[[#This Row],[AwayTeam]],Standings!$A$2:$A$33,0),2)&lt;&gt;INDEX(Standings!$A$2:$C$33,MATCH(Table1[[#This Row],[HomeTeam]],Standings!$A$2:$A$33,0),2),1,0)</f>
        <v>1</v>
      </c>
      <c r="AN1255" s="64" t="str">
        <f>INDEX(Table2[AWAY_RECORD], MATCH(Table1[[#This Row],[AwayTeam]],Table2[Team], 0), 0)</f>
        <v>1-0-1</v>
      </c>
      <c r="AO1255" s="64" t="str">
        <f>INDEX(Records!$B$2:$AG$33, MATCH(Table1[[#This Row],[AwayTeam]],Records!$A$2:$A$33, 0), MATCH(Table1[[#This Row],[HomeTeam]],Records!$A$2:$A$33, 0))</f>
        <v>0-0-0</v>
      </c>
      <c r="AP1255" s="64" t="str">
        <f>INDEX(Table2[HOME_RECORD], MATCH(Table1[[#This Row],[HomeTeam]],Table2[Team], 0), 0)</f>
        <v>0-0-0</v>
      </c>
      <c r="AQ1255" s="64" t="str">
        <f>INDEX(Records!$B$2:$AG$33, MATCH(Table1[[#This Row],[HomeTeam]],Records!$A$2:$A$33, 0), MATCH(Table1[[#This Row],[AwayTeam]],Records!$A$2:$A$33, 0))</f>
        <v>0-0-0</v>
      </c>
    </row>
    <row r="1256" spans="1:43" x14ac:dyDescent="0.25">
      <c r="A1256" s="1"/>
      <c r="D1256" t="s">
        <v>1610</v>
      </c>
      <c r="E1256" t="s">
        <v>162</v>
      </c>
      <c r="F1256" t="s">
        <v>1618</v>
      </c>
      <c r="G1256" t="s">
        <v>38</v>
      </c>
      <c r="H1256" t="s">
        <v>48</v>
      </c>
      <c r="L125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5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56" s="1"/>
      <c r="T1256" s="64" t="str">
        <f>IF(Table1[[#This Row],[ActualWinner]]="", "", IF(Table1[[#This Row],[AwayTeam]]=Table1[[#This Row],[ActualWinner]],Table1[[#This Row],[HomeTeam]],Table1[[#This Row],[AwayTeam]]))</f>
        <v/>
      </c>
      <c r="U1256" s="64">
        <f>Table1[[#This Row],[ActualAwayScore]]-Table1[[#This Row],[PredictedAwayScore]]</f>
        <v>0</v>
      </c>
      <c r="V1256" s="64">
        <f>Table1[[#This Row],[ActualHomeScore]]-Table1[[#This Row],[PredictedHomeScore]]</f>
        <v>0</v>
      </c>
      <c r="W1256" s="64">
        <f>(0.8*IF(Table1[[#This Row],[CorrectWinnerPrediction]]=1, 1, 0))+(0.1*IF(Table1[[#This Row],[CorrectAwayScorePrediction]]=1, 1, 0))+(0.1*IF(Table1[[#This Row],[CorrectHomeScorePrediction]]=1, 1, 0))</f>
        <v>0</v>
      </c>
      <c r="X125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56" s="64">
        <f>SUMIF(Table1[GameDate], Table1[[#This Row],[GameDate]], Table1[AwayGameGoalDiff])</f>
        <v>0</v>
      </c>
      <c r="AA1256" s="64">
        <f>SUMIF(Table1[GameDate], Table1[[#This Row],[GameDate]], Table1[HomeGameGoalDiff])</f>
        <v>0</v>
      </c>
      <c r="AB1256" s="64">
        <f>IF(ISBLANK(Table1[[#This Row],[ActualResult]]), 0, 1)</f>
        <v>0</v>
      </c>
      <c r="AC1256" s="64">
        <f>IF(ISBLANK(Table1[[#This Row],[ActualResult]]), 0, IF(Table1[[#This Row],[ActualWinner]]=Table1[[#This Row],[PredictedWinner]], 1, 0))</f>
        <v>0</v>
      </c>
      <c r="AD125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5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56" s="64">
        <f>IF(AND(Table1[[#This Row],[GameIsOver]]=1,Table1[[#This Row],[ActualAwayScore]]=0), 1,0)</f>
        <v>0</v>
      </c>
      <c r="AG1256" s="64">
        <f>IF(AND(Table1[[#This Row],[GameIsOver]]=1,Table1[[#This Row],[ActualHomeScore]]=0), 1,0)</f>
        <v>0</v>
      </c>
      <c r="AH1256" s="64">
        <f>IF(Table1[[#This Row],[GameIsOver]]=0,0,IF(Table1[[#This Row],[ActualWinner]]=Table1[[#This Row],[AwayTeam]], 1, 0))</f>
        <v>0</v>
      </c>
      <c r="AI1256" s="64">
        <f>IF(Table1[[#This Row],[GameIsOver]]=0,0,IF(Table1[[#This Row],[ActualWinner]]=Table1[[#This Row],[HomeTeam]], 1, 0))</f>
        <v>0</v>
      </c>
      <c r="AJ1256" s="64">
        <f>IF(INDEX(Standings!$A$2:$C$33,MATCH(Table1[[#This Row],[AwayTeam]],Standings!$A$2:$A$33,0),2)=INDEX(Standings!$A$2:$C$33,MATCH(Table1[[#This Row],[HomeTeam]],Standings!$A$2:$A$33,0),2),1,0)</f>
        <v>0</v>
      </c>
      <c r="AK1256" s="64">
        <f>IF(INDEX(Standings!$A$2:$C$33,MATCH(Table1[[#This Row],[AwayTeam]],Standings!$A$2:$A$33,0),3)=INDEX(Standings!$A$2:$C$33,MATCH(Table1[[#This Row],[HomeTeam]],Standings!$A$2:$A$33,0),3),1,0)</f>
        <v>0</v>
      </c>
      <c r="AL1256" s="64">
        <f>IF(Table1[[#This Row],[InterConf]]=1,IF(Table1[[#This Row],[InterDiv]]=0, 1, 0), 0)</f>
        <v>0</v>
      </c>
      <c r="AM1256" s="64">
        <f>IF(INDEX(Standings!$A$2:$C$33,MATCH(Table1[[#This Row],[AwayTeam]],Standings!$A$2:$A$33,0),2)&lt;&gt;INDEX(Standings!$A$2:$C$33,MATCH(Table1[[#This Row],[HomeTeam]],Standings!$A$2:$A$33,0),2),1,0)</f>
        <v>1</v>
      </c>
      <c r="AN1256" s="64" t="str">
        <f>INDEX(Table2[AWAY_RECORD], MATCH(Table1[[#This Row],[AwayTeam]],Table2[Team], 0), 0)</f>
        <v>0-0-1</v>
      </c>
      <c r="AO1256" s="64" t="str">
        <f>INDEX(Records!$B$2:$AG$33, MATCH(Table1[[#This Row],[AwayTeam]],Records!$A$2:$A$33, 0), MATCH(Table1[[#This Row],[HomeTeam]],Records!$A$2:$A$33, 0))</f>
        <v>0-0-0</v>
      </c>
      <c r="AP1256" s="64" t="str">
        <f>INDEX(Table2[HOME_RECORD], MATCH(Table1[[#This Row],[HomeTeam]],Table2[Team], 0), 0)</f>
        <v>1-0-0</v>
      </c>
      <c r="AQ1256" s="64" t="str">
        <f>INDEX(Records!$B$2:$AG$33, MATCH(Table1[[#This Row],[HomeTeam]],Records!$A$2:$A$33, 0), MATCH(Table1[[#This Row],[AwayTeam]],Records!$A$2:$A$33, 0))</f>
        <v>0-0-0</v>
      </c>
    </row>
    <row r="1257" spans="1:43" x14ac:dyDescent="0.25">
      <c r="A1257" s="1"/>
      <c r="D1257" t="s">
        <v>1610</v>
      </c>
      <c r="E1257" t="s">
        <v>162</v>
      </c>
      <c r="F1257" t="s">
        <v>1619</v>
      </c>
      <c r="G1257" t="s">
        <v>39</v>
      </c>
      <c r="H1257" t="s">
        <v>43</v>
      </c>
      <c r="L125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5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57" s="1"/>
      <c r="T1257" s="64" t="str">
        <f>IF(Table1[[#This Row],[ActualWinner]]="", "", IF(Table1[[#This Row],[AwayTeam]]=Table1[[#This Row],[ActualWinner]],Table1[[#This Row],[HomeTeam]],Table1[[#This Row],[AwayTeam]]))</f>
        <v/>
      </c>
      <c r="U1257" s="64">
        <f>Table1[[#This Row],[ActualAwayScore]]-Table1[[#This Row],[PredictedAwayScore]]</f>
        <v>0</v>
      </c>
      <c r="V1257" s="64">
        <f>Table1[[#This Row],[ActualHomeScore]]-Table1[[#This Row],[PredictedHomeScore]]</f>
        <v>0</v>
      </c>
      <c r="W1257" s="64">
        <f>(0.8*IF(Table1[[#This Row],[CorrectWinnerPrediction]]=1, 1, 0))+(0.1*IF(Table1[[#This Row],[CorrectAwayScorePrediction]]=1, 1, 0))+(0.1*IF(Table1[[#This Row],[CorrectHomeScorePrediction]]=1, 1, 0))</f>
        <v>0</v>
      </c>
      <c r="X125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57" s="64">
        <f>SUMIF(Table1[GameDate], Table1[[#This Row],[GameDate]], Table1[AwayGameGoalDiff])</f>
        <v>0</v>
      </c>
      <c r="AA1257" s="64">
        <f>SUMIF(Table1[GameDate], Table1[[#This Row],[GameDate]], Table1[HomeGameGoalDiff])</f>
        <v>0</v>
      </c>
      <c r="AB1257" s="64">
        <f>IF(ISBLANK(Table1[[#This Row],[ActualResult]]), 0, 1)</f>
        <v>0</v>
      </c>
      <c r="AC1257" s="64">
        <f>IF(ISBLANK(Table1[[#This Row],[ActualResult]]), 0, IF(Table1[[#This Row],[ActualWinner]]=Table1[[#This Row],[PredictedWinner]], 1, 0))</f>
        <v>0</v>
      </c>
      <c r="AD125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5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57" s="64">
        <f>IF(AND(Table1[[#This Row],[GameIsOver]]=1,Table1[[#This Row],[ActualAwayScore]]=0), 1,0)</f>
        <v>0</v>
      </c>
      <c r="AG1257" s="64">
        <f>IF(AND(Table1[[#This Row],[GameIsOver]]=1,Table1[[#This Row],[ActualHomeScore]]=0), 1,0)</f>
        <v>0</v>
      </c>
      <c r="AH1257" s="64">
        <f>IF(Table1[[#This Row],[GameIsOver]]=0,0,IF(Table1[[#This Row],[ActualWinner]]=Table1[[#This Row],[AwayTeam]], 1, 0))</f>
        <v>0</v>
      </c>
      <c r="AI1257" s="64">
        <f>IF(Table1[[#This Row],[GameIsOver]]=0,0,IF(Table1[[#This Row],[ActualWinner]]=Table1[[#This Row],[HomeTeam]], 1, 0))</f>
        <v>0</v>
      </c>
      <c r="AJ1257" s="64">
        <f>IF(INDEX(Standings!$A$2:$C$33,MATCH(Table1[[#This Row],[AwayTeam]],Standings!$A$2:$A$33,0),2)=INDEX(Standings!$A$2:$C$33,MATCH(Table1[[#This Row],[HomeTeam]],Standings!$A$2:$A$33,0),2),1,0)</f>
        <v>1</v>
      </c>
      <c r="AK1257" s="64">
        <f>IF(INDEX(Standings!$A$2:$C$33,MATCH(Table1[[#This Row],[AwayTeam]],Standings!$A$2:$A$33,0),3)=INDEX(Standings!$A$2:$C$33,MATCH(Table1[[#This Row],[HomeTeam]],Standings!$A$2:$A$33,0),3),1,0)</f>
        <v>0</v>
      </c>
      <c r="AL1257" s="64">
        <f>IF(Table1[[#This Row],[InterConf]]=1,IF(Table1[[#This Row],[InterDiv]]=0, 1, 0), 0)</f>
        <v>1</v>
      </c>
      <c r="AM1257" s="64">
        <f>IF(INDEX(Standings!$A$2:$C$33,MATCH(Table1[[#This Row],[AwayTeam]],Standings!$A$2:$A$33,0),2)&lt;&gt;INDEX(Standings!$A$2:$C$33,MATCH(Table1[[#This Row],[HomeTeam]],Standings!$A$2:$A$33,0),2),1,0)</f>
        <v>0</v>
      </c>
      <c r="AN1257" s="64" t="str">
        <f>INDEX(Table2[AWAY_RECORD], MATCH(Table1[[#This Row],[AwayTeam]],Table2[Team], 0), 0)</f>
        <v>0-0-0</v>
      </c>
      <c r="AO1257" s="64" t="str">
        <f>INDEX(Records!$B$2:$AG$33, MATCH(Table1[[#This Row],[AwayTeam]],Records!$A$2:$A$33, 0), MATCH(Table1[[#This Row],[HomeTeam]],Records!$A$2:$A$33, 0))</f>
        <v>0-0-0</v>
      </c>
      <c r="AP1257" s="64" t="str">
        <f>INDEX(Table2[HOME_RECORD], MATCH(Table1[[#This Row],[HomeTeam]],Table2[Team], 0), 0)</f>
        <v>0-0-0</v>
      </c>
      <c r="AQ1257" s="64" t="str">
        <f>INDEX(Records!$B$2:$AG$33, MATCH(Table1[[#This Row],[HomeTeam]],Records!$A$2:$A$33, 0), MATCH(Table1[[#This Row],[AwayTeam]],Records!$A$2:$A$33, 0))</f>
        <v>0-0-0</v>
      </c>
    </row>
    <row r="1258" spans="1:43" x14ac:dyDescent="0.25">
      <c r="A1258" s="1"/>
      <c r="D1258" t="s">
        <v>1610</v>
      </c>
      <c r="E1258" t="s">
        <v>225</v>
      </c>
      <c r="F1258" t="s">
        <v>1620</v>
      </c>
      <c r="G1258" t="s">
        <v>58</v>
      </c>
      <c r="H1258" t="s">
        <v>56</v>
      </c>
      <c r="L125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5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58" s="1"/>
      <c r="T1258" s="64" t="str">
        <f>IF(Table1[[#This Row],[ActualWinner]]="", "", IF(Table1[[#This Row],[AwayTeam]]=Table1[[#This Row],[ActualWinner]],Table1[[#This Row],[HomeTeam]],Table1[[#This Row],[AwayTeam]]))</f>
        <v/>
      </c>
      <c r="U1258" s="64">
        <f>Table1[[#This Row],[ActualAwayScore]]-Table1[[#This Row],[PredictedAwayScore]]</f>
        <v>0</v>
      </c>
      <c r="V1258" s="64">
        <f>Table1[[#This Row],[ActualHomeScore]]-Table1[[#This Row],[PredictedHomeScore]]</f>
        <v>0</v>
      </c>
      <c r="W1258" s="64">
        <f>(0.8*IF(Table1[[#This Row],[CorrectWinnerPrediction]]=1, 1, 0))+(0.1*IF(Table1[[#This Row],[CorrectAwayScorePrediction]]=1, 1, 0))+(0.1*IF(Table1[[#This Row],[CorrectHomeScorePrediction]]=1, 1, 0))</f>
        <v>0</v>
      </c>
      <c r="X125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58" s="64">
        <f>SUMIF(Table1[GameDate], Table1[[#This Row],[GameDate]], Table1[AwayGameGoalDiff])</f>
        <v>0</v>
      </c>
      <c r="AA1258" s="64">
        <f>SUMIF(Table1[GameDate], Table1[[#This Row],[GameDate]], Table1[HomeGameGoalDiff])</f>
        <v>0</v>
      </c>
      <c r="AB1258" s="64">
        <f>IF(ISBLANK(Table1[[#This Row],[ActualResult]]), 0, 1)</f>
        <v>0</v>
      </c>
      <c r="AC1258" s="64">
        <f>IF(ISBLANK(Table1[[#This Row],[ActualResult]]), 0, IF(Table1[[#This Row],[ActualWinner]]=Table1[[#This Row],[PredictedWinner]], 1, 0))</f>
        <v>0</v>
      </c>
      <c r="AD125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5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58" s="64">
        <f>IF(AND(Table1[[#This Row],[GameIsOver]]=1,Table1[[#This Row],[ActualAwayScore]]=0), 1,0)</f>
        <v>0</v>
      </c>
      <c r="AG1258" s="64">
        <f>IF(AND(Table1[[#This Row],[GameIsOver]]=1,Table1[[#This Row],[ActualHomeScore]]=0), 1,0)</f>
        <v>0</v>
      </c>
      <c r="AH1258" s="64">
        <f>IF(Table1[[#This Row],[GameIsOver]]=0,0,IF(Table1[[#This Row],[ActualWinner]]=Table1[[#This Row],[AwayTeam]], 1, 0))</f>
        <v>0</v>
      </c>
      <c r="AI1258" s="64">
        <f>IF(Table1[[#This Row],[GameIsOver]]=0,0,IF(Table1[[#This Row],[ActualWinner]]=Table1[[#This Row],[HomeTeam]], 1, 0))</f>
        <v>0</v>
      </c>
      <c r="AJ1258" s="64">
        <f>IF(INDEX(Standings!$A$2:$C$33,MATCH(Table1[[#This Row],[AwayTeam]],Standings!$A$2:$A$33,0),2)=INDEX(Standings!$A$2:$C$33,MATCH(Table1[[#This Row],[HomeTeam]],Standings!$A$2:$A$33,0),2),1,0)</f>
        <v>1</v>
      </c>
      <c r="AK1258" s="64">
        <f>IF(INDEX(Standings!$A$2:$C$33,MATCH(Table1[[#This Row],[AwayTeam]],Standings!$A$2:$A$33,0),3)=INDEX(Standings!$A$2:$C$33,MATCH(Table1[[#This Row],[HomeTeam]],Standings!$A$2:$A$33,0),3),1,0)</f>
        <v>0</v>
      </c>
      <c r="AL1258" s="64">
        <f>IF(Table1[[#This Row],[InterConf]]=1,IF(Table1[[#This Row],[InterDiv]]=0, 1, 0), 0)</f>
        <v>1</v>
      </c>
      <c r="AM1258" s="64">
        <f>IF(INDEX(Standings!$A$2:$C$33,MATCH(Table1[[#This Row],[AwayTeam]],Standings!$A$2:$A$33,0),2)&lt;&gt;INDEX(Standings!$A$2:$C$33,MATCH(Table1[[#This Row],[HomeTeam]],Standings!$A$2:$A$33,0),2),1,0)</f>
        <v>0</v>
      </c>
      <c r="AN1258" s="64" t="str">
        <f>INDEX(Table2[AWAY_RECORD], MATCH(Table1[[#This Row],[AwayTeam]],Table2[Team], 0), 0)</f>
        <v>0-0-0</v>
      </c>
      <c r="AO1258" s="64" t="str">
        <f>INDEX(Records!$B$2:$AG$33, MATCH(Table1[[#This Row],[AwayTeam]],Records!$A$2:$A$33, 0), MATCH(Table1[[#This Row],[HomeTeam]],Records!$A$2:$A$33, 0))</f>
        <v>0-0-0</v>
      </c>
      <c r="AP1258" s="64" t="str">
        <f>INDEX(Table2[HOME_RECORD], MATCH(Table1[[#This Row],[HomeTeam]],Table2[Team], 0), 0)</f>
        <v>0-0-0</v>
      </c>
      <c r="AQ1258" s="64" t="str">
        <f>INDEX(Records!$B$2:$AG$33, MATCH(Table1[[#This Row],[HomeTeam]],Records!$A$2:$A$33, 0), MATCH(Table1[[#This Row],[AwayTeam]],Records!$A$2:$A$33, 0))</f>
        <v>0-0-0</v>
      </c>
    </row>
    <row r="1259" spans="1:43" x14ac:dyDescent="0.25">
      <c r="A1259" s="1"/>
      <c r="D1259" t="s">
        <v>1610</v>
      </c>
      <c r="E1259" t="s">
        <v>164</v>
      </c>
      <c r="F1259" t="s">
        <v>1621</v>
      </c>
      <c r="G1259" t="s">
        <v>41</v>
      </c>
      <c r="H1259" t="s">
        <v>36</v>
      </c>
      <c r="L125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5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59" s="1"/>
      <c r="T1259" s="64" t="str">
        <f>IF(Table1[[#This Row],[ActualWinner]]="", "", IF(Table1[[#This Row],[AwayTeam]]=Table1[[#This Row],[ActualWinner]],Table1[[#This Row],[HomeTeam]],Table1[[#This Row],[AwayTeam]]))</f>
        <v/>
      </c>
      <c r="U1259" s="64">
        <f>Table1[[#This Row],[ActualAwayScore]]-Table1[[#This Row],[PredictedAwayScore]]</f>
        <v>0</v>
      </c>
      <c r="V1259" s="64">
        <f>Table1[[#This Row],[ActualHomeScore]]-Table1[[#This Row],[PredictedHomeScore]]</f>
        <v>0</v>
      </c>
      <c r="W1259" s="64">
        <f>(0.8*IF(Table1[[#This Row],[CorrectWinnerPrediction]]=1, 1, 0))+(0.1*IF(Table1[[#This Row],[CorrectAwayScorePrediction]]=1, 1, 0))+(0.1*IF(Table1[[#This Row],[CorrectHomeScorePrediction]]=1, 1, 0))</f>
        <v>0</v>
      </c>
      <c r="X125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59" s="64">
        <f>SUMIF(Table1[GameDate], Table1[[#This Row],[GameDate]], Table1[AwayGameGoalDiff])</f>
        <v>0</v>
      </c>
      <c r="AA1259" s="64">
        <f>SUMIF(Table1[GameDate], Table1[[#This Row],[GameDate]], Table1[HomeGameGoalDiff])</f>
        <v>0</v>
      </c>
      <c r="AB1259" s="64">
        <f>IF(ISBLANK(Table1[[#This Row],[ActualResult]]), 0, 1)</f>
        <v>0</v>
      </c>
      <c r="AC1259" s="64">
        <f>IF(ISBLANK(Table1[[#This Row],[ActualResult]]), 0, IF(Table1[[#This Row],[ActualWinner]]=Table1[[#This Row],[PredictedWinner]], 1, 0))</f>
        <v>0</v>
      </c>
      <c r="AD125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5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59" s="64">
        <f>IF(AND(Table1[[#This Row],[GameIsOver]]=1,Table1[[#This Row],[ActualAwayScore]]=0), 1,0)</f>
        <v>0</v>
      </c>
      <c r="AG1259" s="64">
        <f>IF(AND(Table1[[#This Row],[GameIsOver]]=1,Table1[[#This Row],[ActualHomeScore]]=0), 1,0)</f>
        <v>0</v>
      </c>
      <c r="AH1259" s="64">
        <f>IF(Table1[[#This Row],[GameIsOver]]=0,0,IF(Table1[[#This Row],[ActualWinner]]=Table1[[#This Row],[AwayTeam]], 1, 0))</f>
        <v>0</v>
      </c>
      <c r="AI1259" s="64">
        <f>IF(Table1[[#This Row],[GameIsOver]]=0,0,IF(Table1[[#This Row],[ActualWinner]]=Table1[[#This Row],[HomeTeam]], 1, 0))</f>
        <v>0</v>
      </c>
      <c r="AJ1259" s="64">
        <f>IF(INDEX(Standings!$A$2:$C$33,MATCH(Table1[[#This Row],[AwayTeam]],Standings!$A$2:$A$33,0),2)=INDEX(Standings!$A$2:$C$33,MATCH(Table1[[#This Row],[HomeTeam]],Standings!$A$2:$A$33,0),2),1,0)</f>
        <v>1</v>
      </c>
      <c r="AK1259" s="64">
        <f>IF(INDEX(Standings!$A$2:$C$33,MATCH(Table1[[#This Row],[AwayTeam]],Standings!$A$2:$A$33,0),3)=INDEX(Standings!$A$2:$C$33,MATCH(Table1[[#This Row],[HomeTeam]],Standings!$A$2:$A$33,0),3),1,0)</f>
        <v>0</v>
      </c>
      <c r="AL1259" s="64">
        <f>IF(Table1[[#This Row],[InterConf]]=1,IF(Table1[[#This Row],[InterDiv]]=0, 1, 0), 0)</f>
        <v>1</v>
      </c>
      <c r="AM1259" s="64">
        <f>IF(INDEX(Standings!$A$2:$C$33,MATCH(Table1[[#This Row],[AwayTeam]],Standings!$A$2:$A$33,0),2)&lt;&gt;INDEX(Standings!$A$2:$C$33,MATCH(Table1[[#This Row],[HomeTeam]],Standings!$A$2:$A$33,0),2),1,0)</f>
        <v>0</v>
      </c>
      <c r="AN1259" s="64" t="str">
        <f>INDEX(Table2[AWAY_RECORD], MATCH(Table1[[#This Row],[AwayTeam]],Table2[Team], 0), 0)</f>
        <v>0-0-0</v>
      </c>
      <c r="AO1259" s="64" t="str">
        <f>INDEX(Records!$B$2:$AG$33, MATCH(Table1[[#This Row],[AwayTeam]],Records!$A$2:$A$33, 0), MATCH(Table1[[#This Row],[HomeTeam]],Records!$A$2:$A$33, 0))</f>
        <v>0-0-0</v>
      </c>
      <c r="AP1259" s="64" t="str">
        <f>INDEX(Table2[HOME_RECORD], MATCH(Table1[[#This Row],[HomeTeam]],Table2[Team], 0), 0)</f>
        <v>0-0-0</v>
      </c>
      <c r="AQ1259" s="64" t="str">
        <f>INDEX(Records!$B$2:$AG$33, MATCH(Table1[[#This Row],[HomeTeam]],Records!$A$2:$A$33, 0), MATCH(Table1[[#This Row],[AwayTeam]],Records!$A$2:$A$33, 0))</f>
        <v>0-0-0</v>
      </c>
    </row>
    <row r="1260" spans="1:43" x14ac:dyDescent="0.25">
      <c r="A1260" s="1"/>
      <c r="D1260" t="s">
        <v>1622</v>
      </c>
      <c r="E1260" t="s">
        <v>169</v>
      </c>
      <c r="F1260" t="s">
        <v>1623</v>
      </c>
      <c r="G1260" t="s">
        <v>22</v>
      </c>
      <c r="H1260" t="s">
        <v>49</v>
      </c>
      <c r="L126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6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60" s="1"/>
      <c r="T1260" s="64" t="str">
        <f>IF(Table1[[#This Row],[ActualWinner]]="", "", IF(Table1[[#This Row],[AwayTeam]]=Table1[[#This Row],[ActualWinner]],Table1[[#This Row],[HomeTeam]],Table1[[#This Row],[AwayTeam]]))</f>
        <v/>
      </c>
      <c r="U1260" s="64">
        <f>Table1[[#This Row],[ActualAwayScore]]-Table1[[#This Row],[PredictedAwayScore]]</f>
        <v>0</v>
      </c>
      <c r="V1260" s="64">
        <f>Table1[[#This Row],[ActualHomeScore]]-Table1[[#This Row],[PredictedHomeScore]]</f>
        <v>0</v>
      </c>
      <c r="W1260" s="64">
        <f>(0.8*IF(Table1[[#This Row],[CorrectWinnerPrediction]]=1, 1, 0))+(0.1*IF(Table1[[#This Row],[CorrectAwayScorePrediction]]=1, 1, 0))+(0.1*IF(Table1[[#This Row],[CorrectHomeScorePrediction]]=1, 1, 0))</f>
        <v>0</v>
      </c>
      <c r="X126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60" s="64">
        <f>SUMIF(Table1[GameDate], Table1[[#This Row],[GameDate]], Table1[AwayGameGoalDiff])</f>
        <v>0</v>
      </c>
      <c r="AA1260" s="64">
        <f>SUMIF(Table1[GameDate], Table1[[#This Row],[GameDate]], Table1[HomeGameGoalDiff])</f>
        <v>0</v>
      </c>
      <c r="AB1260" s="64">
        <f>IF(ISBLANK(Table1[[#This Row],[ActualResult]]), 0, 1)</f>
        <v>0</v>
      </c>
      <c r="AC1260" s="64">
        <f>IF(ISBLANK(Table1[[#This Row],[ActualResult]]), 0, IF(Table1[[#This Row],[ActualWinner]]=Table1[[#This Row],[PredictedWinner]], 1, 0))</f>
        <v>0</v>
      </c>
      <c r="AD126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6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60" s="64">
        <f>IF(AND(Table1[[#This Row],[GameIsOver]]=1,Table1[[#This Row],[ActualAwayScore]]=0), 1,0)</f>
        <v>0</v>
      </c>
      <c r="AG1260" s="64">
        <f>IF(AND(Table1[[#This Row],[GameIsOver]]=1,Table1[[#This Row],[ActualHomeScore]]=0), 1,0)</f>
        <v>0</v>
      </c>
      <c r="AH1260" s="64">
        <f>IF(Table1[[#This Row],[GameIsOver]]=0,0,IF(Table1[[#This Row],[ActualWinner]]=Table1[[#This Row],[AwayTeam]], 1, 0))</f>
        <v>0</v>
      </c>
      <c r="AI1260" s="64">
        <f>IF(Table1[[#This Row],[GameIsOver]]=0,0,IF(Table1[[#This Row],[ActualWinner]]=Table1[[#This Row],[HomeTeam]], 1, 0))</f>
        <v>0</v>
      </c>
      <c r="AJ1260" s="64">
        <f>IF(INDEX(Standings!$A$2:$C$33,MATCH(Table1[[#This Row],[AwayTeam]],Standings!$A$2:$A$33,0),2)=INDEX(Standings!$A$2:$C$33,MATCH(Table1[[#This Row],[HomeTeam]],Standings!$A$2:$A$33,0),2),1,0)</f>
        <v>0</v>
      </c>
      <c r="AK1260" s="64">
        <f>IF(INDEX(Standings!$A$2:$C$33,MATCH(Table1[[#This Row],[AwayTeam]],Standings!$A$2:$A$33,0),3)=INDEX(Standings!$A$2:$C$33,MATCH(Table1[[#This Row],[HomeTeam]],Standings!$A$2:$A$33,0),3),1,0)</f>
        <v>0</v>
      </c>
      <c r="AL1260" s="64">
        <f>IF(Table1[[#This Row],[InterConf]]=1,IF(Table1[[#This Row],[InterDiv]]=0, 1, 0), 0)</f>
        <v>0</v>
      </c>
      <c r="AM1260" s="64">
        <f>IF(INDEX(Standings!$A$2:$C$33,MATCH(Table1[[#This Row],[AwayTeam]],Standings!$A$2:$A$33,0),2)&lt;&gt;INDEX(Standings!$A$2:$C$33,MATCH(Table1[[#This Row],[HomeTeam]],Standings!$A$2:$A$33,0),2),1,0)</f>
        <v>1</v>
      </c>
      <c r="AN1260" s="64" t="str">
        <f>INDEX(Table2[AWAY_RECORD], MATCH(Table1[[#This Row],[AwayTeam]],Table2[Team], 0), 0)</f>
        <v>0-0-1</v>
      </c>
      <c r="AO1260" s="64" t="str">
        <f>INDEX(Records!$B$2:$AG$33, MATCH(Table1[[#This Row],[AwayTeam]],Records!$A$2:$A$33, 0), MATCH(Table1[[#This Row],[HomeTeam]],Records!$A$2:$A$33, 0))</f>
        <v>0-0-0</v>
      </c>
      <c r="AP1260" s="64" t="str">
        <f>INDEX(Table2[HOME_RECORD], MATCH(Table1[[#This Row],[HomeTeam]],Table2[Team], 0), 0)</f>
        <v>1-0-0</v>
      </c>
      <c r="AQ1260" s="64" t="str">
        <f>INDEX(Records!$B$2:$AG$33, MATCH(Table1[[#This Row],[HomeTeam]],Records!$A$2:$A$33, 0), MATCH(Table1[[#This Row],[AwayTeam]],Records!$A$2:$A$33, 0))</f>
        <v>0-0-0</v>
      </c>
    </row>
    <row r="1261" spans="1:43" x14ac:dyDescent="0.25">
      <c r="A1261" s="1"/>
      <c r="D1261" t="s">
        <v>1622</v>
      </c>
      <c r="E1261" t="s">
        <v>289</v>
      </c>
      <c r="F1261" t="s">
        <v>1624</v>
      </c>
      <c r="G1261" t="s">
        <v>55</v>
      </c>
      <c r="H1261" t="s">
        <v>45</v>
      </c>
      <c r="L126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6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61" s="1"/>
      <c r="T1261" s="64" t="str">
        <f>IF(Table1[[#This Row],[ActualWinner]]="", "", IF(Table1[[#This Row],[AwayTeam]]=Table1[[#This Row],[ActualWinner]],Table1[[#This Row],[HomeTeam]],Table1[[#This Row],[AwayTeam]]))</f>
        <v/>
      </c>
      <c r="U1261" s="64">
        <f>Table1[[#This Row],[ActualAwayScore]]-Table1[[#This Row],[PredictedAwayScore]]</f>
        <v>0</v>
      </c>
      <c r="V1261" s="64">
        <f>Table1[[#This Row],[ActualHomeScore]]-Table1[[#This Row],[PredictedHomeScore]]</f>
        <v>0</v>
      </c>
      <c r="W1261" s="64">
        <f>(0.8*IF(Table1[[#This Row],[CorrectWinnerPrediction]]=1, 1, 0))+(0.1*IF(Table1[[#This Row],[CorrectAwayScorePrediction]]=1, 1, 0))+(0.1*IF(Table1[[#This Row],[CorrectHomeScorePrediction]]=1, 1, 0))</f>
        <v>0</v>
      </c>
      <c r="X126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61" s="64">
        <f>SUMIF(Table1[GameDate], Table1[[#This Row],[GameDate]], Table1[AwayGameGoalDiff])</f>
        <v>0</v>
      </c>
      <c r="AA1261" s="64">
        <f>SUMIF(Table1[GameDate], Table1[[#This Row],[GameDate]], Table1[HomeGameGoalDiff])</f>
        <v>0</v>
      </c>
      <c r="AB1261" s="64">
        <f>IF(ISBLANK(Table1[[#This Row],[ActualResult]]), 0, 1)</f>
        <v>0</v>
      </c>
      <c r="AC1261" s="64">
        <f>IF(ISBLANK(Table1[[#This Row],[ActualResult]]), 0, IF(Table1[[#This Row],[ActualWinner]]=Table1[[#This Row],[PredictedWinner]], 1, 0))</f>
        <v>0</v>
      </c>
      <c r="AD126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6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61" s="64">
        <f>IF(AND(Table1[[#This Row],[GameIsOver]]=1,Table1[[#This Row],[ActualAwayScore]]=0), 1,0)</f>
        <v>0</v>
      </c>
      <c r="AG1261" s="64">
        <f>IF(AND(Table1[[#This Row],[GameIsOver]]=1,Table1[[#This Row],[ActualHomeScore]]=0), 1,0)</f>
        <v>0</v>
      </c>
      <c r="AH1261" s="64">
        <f>IF(Table1[[#This Row],[GameIsOver]]=0,0,IF(Table1[[#This Row],[ActualWinner]]=Table1[[#This Row],[AwayTeam]], 1, 0))</f>
        <v>0</v>
      </c>
      <c r="AI1261" s="64">
        <f>IF(Table1[[#This Row],[GameIsOver]]=0,0,IF(Table1[[#This Row],[ActualWinner]]=Table1[[#This Row],[HomeTeam]], 1, 0))</f>
        <v>0</v>
      </c>
      <c r="AJ1261" s="64">
        <f>IF(INDEX(Standings!$A$2:$C$33,MATCH(Table1[[#This Row],[AwayTeam]],Standings!$A$2:$A$33,0),2)=INDEX(Standings!$A$2:$C$33,MATCH(Table1[[#This Row],[HomeTeam]],Standings!$A$2:$A$33,0),2),1,0)</f>
        <v>1</v>
      </c>
      <c r="AK1261" s="64">
        <f>IF(INDEX(Standings!$A$2:$C$33,MATCH(Table1[[#This Row],[AwayTeam]],Standings!$A$2:$A$33,0),3)=INDEX(Standings!$A$2:$C$33,MATCH(Table1[[#This Row],[HomeTeam]],Standings!$A$2:$A$33,0),3),1,0)</f>
        <v>1</v>
      </c>
      <c r="AL1261" s="64">
        <f>IF(Table1[[#This Row],[InterConf]]=1,IF(Table1[[#This Row],[InterDiv]]=0, 1, 0), 0)</f>
        <v>0</v>
      </c>
      <c r="AM1261" s="64">
        <f>IF(INDEX(Standings!$A$2:$C$33,MATCH(Table1[[#This Row],[AwayTeam]],Standings!$A$2:$A$33,0),2)&lt;&gt;INDEX(Standings!$A$2:$C$33,MATCH(Table1[[#This Row],[HomeTeam]],Standings!$A$2:$A$33,0),2),1,0)</f>
        <v>0</v>
      </c>
      <c r="AN1261" s="64" t="str">
        <f>INDEX(Table2[AWAY_RECORD], MATCH(Table1[[#This Row],[AwayTeam]],Table2[Team], 0), 0)</f>
        <v>0-0-0</v>
      </c>
      <c r="AO1261" s="64" t="str">
        <f>INDEX(Records!$B$2:$AG$33, MATCH(Table1[[#This Row],[AwayTeam]],Records!$A$2:$A$33, 0), MATCH(Table1[[#This Row],[HomeTeam]],Records!$A$2:$A$33, 0))</f>
        <v>0-0-0</v>
      </c>
      <c r="AP1261" s="64" t="str">
        <f>INDEX(Table2[HOME_RECORD], MATCH(Table1[[#This Row],[HomeTeam]],Table2[Team], 0), 0)</f>
        <v>1-0-0</v>
      </c>
      <c r="AQ1261" s="64" t="str">
        <f>INDEX(Records!$B$2:$AG$33, MATCH(Table1[[#This Row],[HomeTeam]],Records!$A$2:$A$33, 0), MATCH(Table1[[#This Row],[AwayTeam]],Records!$A$2:$A$33, 0))</f>
        <v>0-0-0</v>
      </c>
    </row>
    <row r="1262" spans="1:43" x14ac:dyDescent="0.25">
      <c r="A1262" s="1"/>
      <c r="D1262" t="s">
        <v>1622</v>
      </c>
      <c r="E1262" t="s">
        <v>164</v>
      </c>
      <c r="F1262" t="s">
        <v>1625</v>
      </c>
      <c r="G1262" t="s">
        <v>60</v>
      </c>
      <c r="H1262" t="s">
        <v>46</v>
      </c>
      <c r="L126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6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62" s="1"/>
      <c r="T1262" s="64" t="str">
        <f>IF(Table1[[#This Row],[ActualWinner]]="", "", IF(Table1[[#This Row],[AwayTeam]]=Table1[[#This Row],[ActualWinner]],Table1[[#This Row],[HomeTeam]],Table1[[#This Row],[AwayTeam]]))</f>
        <v/>
      </c>
      <c r="U1262" s="64">
        <f>Table1[[#This Row],[ActualAwayScore]]-Table1[[#This Row],[PredictedAwayScore]]</f>
        <v>0</v>
      </c>
      <c r="V1262" s="64">
        <f>Table1[[#This Row],[ActualHomeScore]]-Table1[[#This Row],[PredictedHomeScore]]</f>
        <v>0</v>
      </c>
      <c r="W1262" s="64">
        <f>(0.8*IF(Table1[[#This Row],[CorrectWinnerPrediction]]=1, 1, 0))+(0.1*IF(Table1[[#This Row],[CorrectAwayScorePrediction]]=1, 1, 0))+(0.1*IF(Table1[[#This Row],[CorrectHomeScorePrediction]]=1, 1, 0))</f>
        <v>0</v>
      </c>
      <c r="X126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62" s="64">
        <f>SUMIF(Table1[GameDate], Table1[[#This Row],[GameDate]], Table1[AwayGameGoalDiff])</f>
        <v>0</v>
      </c>
      <c r="AA1262" s="64">
        <f>SUMIF(Table1[GameDate], Table1[[#This Row],[GameDate]], Table1[HomeGameGoalDiff])</f>
        <v>0</v>
      </c>
      <c r="AB1262" s="64">
        <f>IF(ISBLANK(Table1[[#This Row],[ActualResult]]), 0, 1)</f>
        <v>0</v>
      </c>
      <c r="AC1262" s="64">
        <f>IF(ISBLANK(Table1[[#This Row],[ActualResult]]), 0, IF(Table1[[#This Row],[ActualWinner]]=Table1[[#This Row],[PredictedWinner]], 1, 0))</f>
        <v>0</v>
      </c>
      <c r="AD126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6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62" s="64">
        <f>IF(AND(Table1[[#This Row],[GameIsOver]]=1,Table1[[#This Row],[ActualAwayScore]]=0), 1,0)</f>
        <v>0</v>
      </c>
      <c r="AG1262" s="64">
        <f>IF(AND(Table1[[#This Row],[GameIsOver]]=1,Table1[[#This Row],[ActualHomeScore]]=0), 1,0)</f>
        <v>0</v>
      </c>
      <c r="AH1262" s="64">
        <f>IF(Table1[[#This Row],[GameIsOver]]=0,0,IF(Table1[[#This Row],[ActualWinner]]=Table1[[#This Row],[AwayTeam]], 1, 0))</f>
        <v>0</v>
      </c>
      <c r="AI1262" s="64">
        <f>IF(Table1[[#This Row],[GameIsOver]]=0,0,IF(Table1[[#This Row],[ActualWinner]]=Table1[[#This Row],[HomeTeam]], 1, 0))</f>
        <v>0</v>
      </c>
      <c r="AJ1262" s="64">
        <f>IF(INDEX(Standings!$A$2:$C$33,MATCH(Table1[[#This Row],[AwayTeam]],Standings!$A$2:$A$33,0),2)=INDEX(Standings!$A$2:$C$33,MATCH(Table1[[#This Row],[HomeTeam]],Standings!$A$2:$A$33,0),2),1,0)</f>
        <v>1</v>
      </c>
      <c r="AK1262" s="64">
        <f>IF(INDEX(Standings!$A$2:$C$33,MATCH(Table1[[#This Row],[AwayTeam]],Standings!$A$2:$A$33,0),3)=INDEX(Standings!$A$2:$C$33,MATCH(Table1[[#This Row],[HomeTeam]],Standings!$A$2:$A$33,0),3),1,0)</f>
        <v>0</v>
      </c>
      <c r="AL1262" s="64">
        <f>IF(Table1[[#This Row],[InterConf]]=1,IF(Table1[[#This Row],[InterDiv]]=0, 1, 0), 0)</f>
        <v>1</v>
      </c>
      <c r="AM1262" s="64">
        <f>IF(INDEX(Standings!$A$2:$C$33,MATCH(Table1[[#This Row],[AwayTeam]],Standings!$A$2:$A$33,0),2)&lt;&gt;INDEX(Standings!$A$2:$C$33,MATCH(Table1[[#This Row],[HomeTeam]],Standings!$A$2:$A$33,0),2),1,0)</f>
        <v>0</v>
      </c>
      <c r="AN1262" s="64" t="str">
        <f>INDEX(Table2[AWAY_RECORD], MATCH(Table1[[#This Row],[AwayTeam]],Table2[Team], 0), 0)</f>
        <v>0-0-0</v>
      </c>
      <c r="AO1262" s="64" t="str">
        <f>INDEX(Records!$B$2:$AG$33, MATCH(Table1[[#This Row],[AwayTeam]],Records!$A$2:$A$33, 0), MATCH(Table1[[#This Row],[HomeTeam]],Records!$A$2:$A$33, 0))</f>
        <v>0-0-0</v>
      </c>
      <c r="AP1262" s="64" t="str">
        <f>INDEX(Table2[HOME_RECORD], MATCH(Table1[[#This Row],[HomeTeam]],Table2[Team], 0), 0)</f>
        <v>0-0-0</v>
      </c>
      <c r="AQ1262" s="64" t="str">
        <f>INDEX(Records!$B$2:$AG$33, MATCH(Table1[[#This Row],[HomeTeam]],Records!$A$2:$A$33, 0), MATCH(Table1[[#This Row],[AwayTeam]],Records!$A$2:$A$33, 0))</f>
        <v>0-0-0</v>
      </c>
    </row>
    <row r="1263" spans="1:43" x14ac:dyDescent="0.25">
      <c r="A1263" s="1"/>
      <c r="D1263" t="s">
        <v>1622</v>
      </c>
      <c r="E1263" t="s">
        <v>166</v>
      </c>
      <c r="F1263" t="s">
        <v>1626</v>
      </c>
      <c r="G1263" t="s">
        <v>23</v>
      </c>
      <c r="H1263" t="s">
        <v>25</v>
      </c>
      <c r="L126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6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63" s="1"/>
      <c r="T1263" s="64" t="str">
        <f>IF(Table1[[#This Row],[ActualWinner]]="", "", IF(Table1[[#This Row],[AwayTeam]]=Table1[[#This Row],[ActualWinner]],Table1[[#This Row],[HomeTeam]],Table1[[#This Row],[AwayTeam]]))</f>
        <v/>
      </c>
      <c r="U1263" s="64">
        <f>Table1[[#This Row],[ActualAwayScore]]-Table1[[#This Row],[PredictedAwayScore]]</f>
        <v>0</v>
      </c>
      <c r="V1263" s="64">
        <f>Table1[[#This Row],[ActualHomeScore]]-Table1[[#This Row],[PredictedHomeScore]]</f>
        <v>0</v>
      </c>
      <c r="W1263" s="64">
        <f>(0.8*IF(Table1[[#This Row],[CorrectWinnerPrediction]]=1, 1, 0))+(0.1*IF(Table1[[#This Row],[CorrectAwayScorePrediction]]=1, 1, 0))+(0.1*IF(Table1[[#This Row],[CorrectHomeScorePrediction]]=1, 1, 0))</f>
        <v>0</v>
      </c>
      <c r="X126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63" s="64">
        <f>SUMIF(Table1[GameDate], Table1[[#This Row],[GameDate]], Table1[AwayGameGoalDiff])</f>
        <v>0</v>
      </c>
      <c r="AA1263" s="64">
        <f>SUMIF(Table1[GameDate], Table1[[#This Row],[GameDate]], Table1[HomeGameGoalDiff])</f>
        <v>0</v>
      </c>
      <c r="AB1263" s="64">
        <f>IF(ISBLANK(Table1[[#This Row],[ActualResult]]), 0, 1)</f>
        <v>0</v>
      </c>
      <c r="AC1263" s="64">
        <f>IF(ISBLANK(Table1[[#This Row],[ActualResult]]), 0, IF(Table1[[#This Row],[ActualWinner]]=Table1[[#This Row],[PredictedWinner]], 1, 0))</f>
        <v>0</v>
      </c>
      <c r="AD126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6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63" s="64">
        <f>IF(AND(Table1[[#This Row],[GameIsOver]]=1,Table1[[#This Row],[ActualAwayScore]]=0), 1,0)</f>
        <v>0</v>
      </c>
      <c r="AG1263" s="64">
        <f>IF(AND(Table1[[#This Row],[GameIsOver]]=1,Table1[[#This Row],[ActualHomeScore]]=0), 1,0)</f>
        <v>0</v>
      </c>
      <c r="AH1263" s="64">
        <f>IF(Table1[[#This Row],[GameIsOver]]=0,0,IF(Table1[[#This Row],[ActualWinner]]=Table1[[#This Row],[AwayTeam]], 1, 0))</f>
        <v>0</v>
      </c>
      <c r="AI1263" s="64">
        <f>IF(Table1[[#This Row],[GameIsOver]]=0,0,IF(Table1[[#This Row],[ActualWinner]]=Table1[[#This Row],[HomeTeam]], 1, 0))</f>
        <v>0</v>
      </c>
      <c r="AJ1263" s="64">
        <f>IF(INDEX(Standings!$A$2:$C$33,MATCH(Table1[[#This Row],[AwayTeam]],Standings!$A$2:$A$33,0),2)=INDEX(Standings!$A$2:$C$33,MATCH(Table1[[#This Row],[HomeTeam]],Standings!$A$2:$A$33,0),2),1,0)</f>
        <v>1</v>
      </c>
      <c r="AK1263" s="64">
        <f>IF(INDEX(Standings!$A$2:$C$33,MATCH(Table1[[#This Row],[AwayTeam]],Standings!$A$2:$A$33,0),3)=INDEX(Standings!$A$2:$C$33,MATCH(Table1[[#This Row],[HomeTeam]],Standings!$A$2:$A$33,0),3),1,0)</f>
        <v>1</v>
      </c>
      <c r="AL1263" s="64">
        <f>IF(Table1[[#This Row],[InterConf]]=1,IF(Table1[[#This Row],[InterDiv]]=0, 1, 0), 0)</f>
        <v>0</v>
      </c>
      <c r="AM1263" s="64">
        <f>IF(INDEX(Standings!$A$2:$C$33,MATCH(Table1[[#This Row],[AwayTeam]],Standings!$A$2:$A$33,0),2)&lt;&gt;INDEX(Standings!$A$2:$C$33,MATCH(Table1[[#This Row],[HomeTeam]],Standings!$A$2:$A$33,0),2),1,0)</f>
        <v>0</v>
      </c>
      <c r="AN1263" s="64" t="str">
        <f>INDEX(Table2[AWAY_RECORD], MATCH(Table1[[#This Row],[AwayTeam]],Table2[Team], 0), 0)</f>
        <v>0-0-1</v>
      </c>
      <c r="AO1263" s="64" t="str">
        <f>INDEX(Records!$B$2:$AG$33, MATCH(Table1[[#This Row],[AwayTeam]],Records!$A$2:$A$33, 0), MATCH(Table1[[#This Row],[HomeTeam]],Records!$A$2:$A$33, 0))</f>
        <v>0-0-0</v>
      </c>
      <c r="AP1263" s="64" t="str">
        <f>INDEX(Table2[HOME_RECORD], MATCH(Table1[[#This Row],[HomeTeam]],Table2[Team], 0), 0)</f>
        <v>0-0-1</v>
      </c>
      <c r="AQ1263" s="64" t="str">
        <f>INDEX(Records!$B$2:$AG$33, MATCH(Table1[[#This Row],[HomeTeam]],Records!$A$2:$A$33, 0), MATCH(Table1[[#This Row],[AwayTeam]],Records!$A$2:$A$33, 0))</f>
        <v>0-0-0</v>
      </c>
    </row>
    <row r="1264" spans="1:43" x14ac:dyDescent="0.25">
      <c r="A1264" s="1"/>
      <c r="D1264" t="s">
        <v>1627</v>
      </c>
      <c r="E1264" t="s">
        <v>160</v>
      </c>
      <c r="F1264" t="s">
        <v>1628</v>
      </c>
      <c r="G1264" t="s">
        <v>51</v>
      </c>
      <c r="H1264" t="s">
        <v>47</v>
      </c>
      <c r="L126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6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64" s="1"/>
      <c r="T1264" s="64" t="str">
        <f>IF(Table1[[#This Row],[ActualWinner]]="", "", IF(Table1[[#This Row],[AwayTeam]]=Table1[[#This Row],[ActualWinner]],Table1[[#This Row],[HomeTeam]],Table1[[#This Row],[AwayTeam]]))</f>
        <v/>
      </c>
      <c r="U1264" s="64">
        <f>Table1[[#This Row],[ActualAwayScore]]-Table1[[#This Row],[PredictedAwayScore]]</f>
        <v>0</v>
      </c>
      <c r="V1264" s="64">
        <f>Table1[[#This Row],[ActualHomeScore]]-Table1[[#This Row],[PredictedHomeScore]]</f>
        <v>0</v>
      </c>
      <c r="W1264" s="64">
        <f>(0.8*IF(Table1[[#This Row],[CorrectWinnerPrediction]]=1, 1, 0))+(0.1*IF(Table1[[#This Row],[CorrectAwayScorePrediction]]=1, 1, 0))+(0.1*IF(Table1[[#This Row],[CorrectHomeScorePrediction]]=1, 1, 0))</f>
        <v>0</v>
      </c>
      <c r="X126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64" s="64">
        <f>SUMIF(Table1[GameDate], Table1[[#This Row],[GameDate]], Table1[AwayGameGoalDiff])</f>
        <v>0</v>
      </c>
      <c r="AA1264" s="64">
        <f>SUMIF(Table1[GameDate], Table1[[#This Row],[GameDate]], Table1[HomeGameGoalDiff])</f>
        <v>0</v>
      </c>
      <c r="AB1264" s="64">
        <f>IF(ISBLANK(Table1[[#This Row],[ActualResult]]), 0, 1)</f>
        <v>0</v>
      </c>
      <c r="AC1264" s="64">
        <f>IF(ISBLANK(Table1[[#This Row],[ActualResult]]), 0, IF(Table1[[#This Row],[ActualWinner]]=Table1[[#This Row],[PredictedWinner]], 1, 0))</f>
        <v>0</v>
      </c>
      <c r="AD126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6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64" s="64">
        <f>IF(AND(Table1[[#This Row],[GameIsOver]]=1,Table1[[#This Row],[ActualAwayScore]]=0), 1,0)</f>
        <v>0</v>
      </c>
      <c r="AG1264" s="64">
        <f>IF(AND(Table1[[#This Row],[GameIsOver]]=1,Table1[[#This Row],[ActualHomeScore]]=0), 1,0)</f>
        <v>0</v>
      </c>
      <c r="AH1264" s="64">
        <f>IF(Table1[[#This Row],[GameIsOver]]=0,0,IF(Table1[[#This Row],[ActualWinner]]=Table1[[#This Row],[AwayTeam]], 1, 0))</f>
        <v>0</v>
      </c>
      <c r="AI1264" s="64">
        <f>IF(Table1[[#This Row],[GameIsOver]]=0,0,IF(Table1[[#This Row],[ActualWinner]]=Table1[[#This Row],[HomeTeam]], 1, 0))</f>
        <v>0</v>
      </c>
      <c r="AJ1264" s="64">
        <f>IF(INDEX(Standings!$A$2:$C$33,MATCH(Table1[[#This Row],[AwayTeam]],Standings!$A$2:$A$33,0),2)=INDEX(Standings!$A$2:$C$33,MATCH(Table1[[#This Row],[HomeTeam]],Standings!$A$2:$A$33,0),2),1,0)</f>
        <v>1</v>
      </c>
      <c r="AK1264" s="64">
        <f>IF(INDEX(Standings!$A$2:$C$33,MATCH(Table1[[#This Row],[AwayTeam]],Standings!$A$2:$A$33,0),3)=INDEX(Standings!$A$2:$C$33,MATCH(Table1[[#This Row],[HomeTeam]],Standings!$A$2:$A$33,0),3),1,0)</f>
        <v>0</v>
      </c>
      <c r="AL1264" s="64">
        <f>IF(Table1[[#This Row],[InterConf]]=1,IF(Table1[[#This Row],[InterDiv]]=0, 1, 0), 0)</f>
        <v>1</v>
      </c>
      <c r="AM1264" s="64">
        <f>IF(INDEX(Standings!$A$2:$C$33,MATCH(Table1[[#This Row],[AwayTeam]],Standings!$A$2:$A$33,0),2)&lt;&gt;INDEX(Standings!$A$2:$C$33,MATCH(Table1[[#This Row],[HomeTeam]],Standings!$A$2:$A$33,0),2),1,0)</f>
        <v>0</v>
      </c>
      <c r="AN1264" s="64" t="str">
        <f>INDEX(Table2[AWAY_RECORD], MATCH(Table1[[#This Row],[AwayTeam]],Table2[Team], 0), 0)</f>
        <v>2-0-0</v>
      </c>
      <c r="AO1264" s="64" t="str">
        <f>INDEX(Records!$B$2:$AG$33, MATCH(Table1[[#This Row],[AwayTeam]],Records!$A$2:$A$33, 0), MATCH(Table1[[#This Row],[HomeTeam]],Records!$A$2:$A$33, 0))</f>
        <v>0-0-0</v>
      </c>
      <c r="AP1264" s="64" t="str">
        <f>INDEX(Table2[HOME_RECORD], MATCH(Table1[[#This Row],[HomeTeam]],Table2[Team], 0), 0)</f>
        <v>0-0-0</v>
      </c>
      <c r="AQ1264" s="64" t="str">
        <f>INDEX(Records!$B$2:$AG$33, MATCH(Table1[[#This Row],[HomeTeam]],Records!$A$2:$A$33, 0), MATCH(Table1[[#This Row],[AwayTeam]],Records!$A$2:$A$33, 0))</f>
        <v>0-0-0</v>
      </c>
    </row>
    <row r="1265" spans="1:43" x14ac:dyDescent="0.25">
      <c r="A1265" s="1"/>
      <c r="D1265" t="s">
        <v>1627</v>
      </c>
      <c r="E1265" t="s">
        <v>160</v>
      </c>
      <c r="F1265" t="s">
        <v>1629</v>
      </c>
      <c r="G1265" t="s">
        <v>42</v>
      </c>
      <c r="H1265" t="s">
        <v>57</v>
      </c>
      <c r="L126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6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65" s="1"/>
      <c r="T1265" s="64" t="str">
        <f>IF(Table1[[#This Row],[ActualWinner]]="", "", IF(Table1[[#This Row],[AwayTeam]]=Table1[[#This Row],[ActualWinner]],Table1[[#This Row],[HomeTeam]],Table1[[#This Row],[AwayTeam]]))</f>
        <v/>
      </c>
      <c r="U1265" s="64">
        <f>Table1[[#This Row],[ActualAwayScore]]-Table1[[#This Row],[PredictedAwayScore]]</f>
        <v>0</v>
      </c>
      <c r="V1265" s="64">
        <f>Table1[[#This Row],[ActualHomeScore]]-Table1[[#This Row],[PredictedHomeScore]]</f>
        <v>0</v>
      </c>
      <c r="W1265" s="64">
        <f>(0.8*IF(Table1[[#This Row],[CorrectWinnerPrediction]]=1, 1, 0))+(0.1*IF(Table1[[#This Row],[CorrectAwayScorePrediction]]=1, 1, 0))+(0.1*IF(Table1[[#This Row],[CorrectHomeScorePrediction]]=1, 1, 0))</f>
        <v>0</v>
      </c>
      <c r="X126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65" s="64">
        <f>SUMIF(Table1[GameDate], Table1[[#This Row],[GameDate]], Table1[AwayGameGoalDiff])</f>
        <v>0</v>
      </c>
      <c r="AA1265" s="64">
        <f>SUMIF(Table1[GameDate], Table1[[#This Row],[GameDate]], Table1[HomeGameGoalDiff])</f>
        <v>0</v>
      </c>
      <c r="AB1265" s="64">
        <f>IF(ISBLANK(Table1[[#This Row],[ActualResult]]), 0, 1)</f>
        <v>0</v>
      </c>
      <c r="AC1265" s="64">
        <f>IF(ISBLANK(Table1[[#This Row],[ActualResult]]), 0, IF(Table1[[#This Row],[ActualWinner]]=Table1[[#This Row],[PredictedWinner]], 1, 0))</f>
        <v>0</v>
      </c>
      <c r="AD126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6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65" s="64">
        <f>IF(AND(Table1[[#This Row],[GameIsOver]]=1,Table1[[#This Row],[ActualAwayScore]]=0), 1,0)</f>
        <v>0</v>
      </c>
      <c r="AG1265" s="64">
        <f>IF(AND(Table1[[#This Row],[GameIsOver]]=1,Table1[[#This Row],[ActualHomeScore]]=0), 1,0)</f>
        <v>0</v>
      </c>
      <c r="AH1265" s="64">
        <f>IF(Table1[[#This Row],[GameIsOver]]=0,0,IF(Table1[[#This Row],[ActualWinner]]=Table1[[#This Row],[AwayTeam]], 1, 0))</f>
        <v>0</v>
      </c>
      <c r="AI1265" s="64">
        <f>IF(Table1[[#This Row],[GameIsOver]]=0,0,IF(Table1[[#This Row],[ActualWinner]]=Table1[[#This Row],[HomeTeam]], 1, 0))</f>
        <v>0</v>
      </c>
      <c r="AJ1265" s="64">
        <f>IF(INDEX(Standings!$A$2:$C$33,MATCH(Table1[[#This Row],[AwayTeam]],Standings!$A$2:$A$33,0),2)=INDEX(Standings!$A$2:$C$33,MATCH(Table1[[#This Row],[HomeTeam]],Standings!$A$2:$A$33,0),2),1,0)</f>
        <v>1</v>
      </c>
      <c r="AK1265" s="64">
        <f>IF(INDEX(Standings!$A$2:$C$33,MATCH(Table1[[#This Row],[AwayTeam]],Standings!$A$2:$A$33,0),3)=INDEX(Standings!$A$2:$C$33,MATCH(Table1[[#This Row],[HomeTeam]],Standings!$A$2:$A$33,0),3),1,0)</f>
        <v>0</v>
      </c>
      <c r="AL1265" s="64">
        <f>IF(Table1[[#This Row],[InterConf]]=1,IF(Table1[[#This Row],[InterDiv]]=0, 1, 0), 0)</f>
        <v>1</v>
      </c>
      <c r="AM1265" s="64">
        <f>IF(INDEX(Standings!$A$2:$C$33,MATCH(Table1[[#This Row],[AwayTeam]],Standings!$A$2:$A$33,0),2)&lt;&gt;INDEX(Standings!$A$2:$C$33,MATCH(Table1[[#This Row],[HomeTeam]],Standings!$A$2:$A$33,0),2),1,0)</f>
        <v>0</v>
      </c>
      <c r="AN1265" s="64" t="str">
        <f>INDEX(Table2[AWAY_RECORD], MATCH(Table1[[#This Row],[AwayTeam]],Table2[Team], 0), 0)</f>
        <v>0-0-0</v>
      </c>
      <c r="AO1265" s="64" t="str">
        <f>INDEX(Records!$B$2:$AG$33, MATCH(Table1[[#This Row],[AwayTeam]],Records!$A$2:$A$33, 0), MATCH(Table1[[#This Row],[HomeTeam]],Records!$A$2:$A$33, 0))</f>
        <v>0-0-0</v>
      </c>
      <c r="AP1265" s="64" t="str">
        <f>INDEX(Table2[HOME_RECORD], MATCH(Table1[[#This Row],[HomeTeam]],Table2[Team], 0), 0)</f>
        <v>0-0-0</v>
      </c>
      <c r="AQ1265" s="64" t="str">
        <f>INDEX(Records!$B$2:$AG$33, MATCH(Table1[[#This Row],[HomeTeam]],Records!$A$2:$A$33, 0), MATCH(Table1[[#This Row],[AwayTeam]],Records!$A$2:$A$33, 0))</f>
        <v>0-0-0</v>
      </c>
    </row>
    <row r="1266" spans="1:43" x14ac:dyDescent="0.25">
      <c r="A1266" s="1"/>
      <c r="D1266" t="s">
        <v>1627</v>
      </c>
      <c r="E1266" t="s">
        <v>160</v>
      </c>
      <c r="F1266" t="s">
        <v>1630</v>
      </c>
      <c r="G1266" t="s">
        <v>24</v>
      </c>
      <c r="H1266" t="s">
        <v>17</v>
      </c>
      <c r="L126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6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66" s="1"/>
      <c r="T1266" s="64" t="str">
        <f>IF(Table1[[#This Row],[ActualWinner]]="", "", IF(Table1[[#This Row],[AwayTeam]]=Table1[[#This Row],[ActualWinner]],Table1[[#This Row],[HomeTeam]],Table1[[#This Row],[AwayTeam]]))</f>
        <v/>
      </c>
      <c r="U1266" s="64">
        <f>Table1[[#This Row],[ActualAwayScore]]-Table1[[#This Row],[PredictedAwayScore]]</f>
        <v>0</v>
      </c>
      <c r="V1266" s="64">
        <f>Table1[[#This Row],[ActualHomeScore]]-Table1[[#This Row],[PredictedHomeScore]]</f>
        <v>0</v>
      </c>
      <c r="W1266" s="64">
        <f>(0.8*IF(Table1[[#This Row],[CorrectWinnerPrediction]]=1, 1, 0))+(0.1*IF(Table1[[#This Row],[CorrectAwayScorePrediction]]=1, 1, 0))+(0.1*IF(Table1[[#This Row],[CorrectHomeScorePrediction]]=1, 1, 0))</f>
        <v>0</v>
      </c>
      <c r="X126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66" s="64">
        <f>SUMIF(Table1[GameDate], Table1[[#This Row],[GameDate]], Table1[AwayGameGoalDiff])</f>
        <v>0</v>
      </c>
      <c r="AA1266" s="64">
        <f>SUMIF(Table1[GameDate], Table1[[#This Row],[GameDate]], Table1[HomeGameGoalDiff])</f>
        <v>0</v>
      </c>
      <c r="AB1266" s="64">
        <f>IF(ISBLANK(Table1[[#This Row],[ActualResult]]), 0, 1)</f>
        <v>0</v>
      </c>
      <c r="AC1266" s="64">
        <f>IF(ISBLANK(Table1[[#This Row],[ActualResult]]), 0, IF(Table1[[#This Row],[ActualWinner]]=Table1[[#This Row],[PredictedWinner]], 1, 0))</f>
        <v>0</v>
      </c>
      <c r="AD126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6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66" s="64">
        <f>IF(AND(Table1[[#This Row],[GameIsOver]]=1,Table1[[#This Row],[ActualAwayScore]]=0), 1,0)</f>
        <v>0</v>
      </c>
      <c r="AG1266" s="64">
        <f>IF(AND(Table1[[#This Row],[GameIsOver]]=1,Table1[[#This Row],[ActualHomeScore]]=0), 1,0)</f>
        <v>0</v>
      </c>
      <c r="AH1266" s="64">
        <f>IF(Table1[[#This Row],[GameIsOver]]=0,0,IF(Table1[[#This Row],[ActualWinner]]=Table1[[#This Row],[AwayTeam]], 1, 0))</f>
        <v>0</v>
      </c>
      <c r="AI1266" s="64">
        <f>IF(Table1[[#This Row],[GameIsOver]]=0,0,IF(Table1[[#This Row],[ActualWinner]]=Table1[[#This Row],[HomeTeam]], 1, 0))</f>
        <v>0</v>
      </c>
      <c r="AJ1266" s="64">
        <f>IF(INDEX(Standings!$A$2:$C$33,MATCH(Table1[[#This Row],[AwayTeam]],Standings!$A$2:$A$33,0),2)=INDEX(Standings!$A$2:$C$33,MATCH(Table1[[#This Row],[HomeTeam]],Standings!$A$2:$A$33,0),2),1,0)</f>
        <v>1</v>
      </c>
      <c r="AK1266" s="64">
        <f>IF(INDEX(Standings!$A$2:$C$33,MATCH(Table1[[#This Row],[AwayTeam]],Standings!$A$2:$A$33,0),3)=INDEX(Standings!$A$2:$C$33,MATCH(Table1[[#This Row],[HomeTeam]],Standings!$A$2:$A$33,0),3),1,0)</f>
        <v>1</v>
      </c>
      <c r="AL1266" s="64">
        <f>IF(Table1[[#This Row],[InterConf]]=1,IF(Table1[[#This Row],[InterDiv]]=0, 1, 0), 0)</f>
        <v>0</v>
      </c>
      <c r="AM1266" s="64">
        <f>IF(INDEX(Standings!$A$2:$C$33,MATCH(Table1[[#This Row],[AwayTeam]],Standings!$A$2:$A$33,0),2)&lt;&gt;INDEX(Standings!$A$2:$C$33,MATCH(Table1[[#This Row],[HomeTeam]],Standings!$A$2:$A$33,0),2),1,0)</f>
        <v>0</v>
      </c>
      <c r="AN1266" s="64" t="str">
        <f>INDEX(Table2[AWAY_RECORD], MATCH(Table1[[#This Row],[AwayTeam]],Table2[Team], 0), 0)</f>
        <v>0-0-0</v>
      </c>
      <c r="AO1266" s="64" t="str">
        <f>INDEX(Records!$B$2:$AG$33, MATCH(Table1[[#This Row],[AwayTeam]],Records!$A$2:$A$33, 0), MATCH(Table1[[#This Row],[HomeTeam]],Records!$A$2:$A$33, 0))</f>
        <v>0-0-0</v>
      </c>
      <c r="AP1266" s="64" t="str">
        <f>INDEX(Table2[HOME_RECORD], MATCH(Table1[[#This Row],[HomeTeam]],Table2[Team], 0), 0)</f>
        <v>0-0-0</v>
      </c>
      <c r="AQ1266" s="64" t="str">
        <f>INDEX(Records!$B$2:$AG$33, MATCH(Table1[[#This Row],[HomeTeam]],Records!$A$2:$A$33, 0), MATCH(Table1[[#This Row],[AwayTeam]],Records!$A$2:$A$33, 0))</f>
        <v>0-0-0</v>
      </c>
    </row>
    <row r="1267" spans="1:43" x14ac:dyDescent="0.25">
      <c r="A1267" s="1"/>
      <c r="D1267" t="s">
        <v>1627</v>
      </c>
      <c r="E1267" t="s">
        <v>160</v>
      </c>
      <c r="F1267" t="s">
        <v>1631</v>
      </c>
      <c r="G1267" t="s">
        <v>59</v>
      </c>
      <c r="H1267" t="s">
        <v>53</v>
      </c>
      <c r="L126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6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67" s="1"/>
      <c r="T1267" s="64" t="str">
        <f>IF(Table1[[#This Row],[ActualWinner]]="", "", IF(Table1[[#This Row],[AwayTeam]]=Table1[[#This Row],[ActualWinner]],Table1[[#This Row],[HomeTeam]],Table1[[#This Row],[AwayTeam]]))</f>
        <v/>
      </c>
      <c r="U1267" s="64">
        <f>Table1[[#This Row],[ActualAwayScore]]-Table1[[#This Row],[PredictedAwayScore]]</f>
        <v>0</v>
      </c>
      <c r="V1267" s="64">
        <f>Table1[[#This Row],[ActualHomeScore]]-Table1[[#This Row],[PredictedHomeScore]]</f>
        <v>0</v>
      </c>
      <c r="W1267" s="64">
        <f>(0.8*IF(Table1[[#This Row],[CorrectWinnerPrediction]]=1, 1, 0))+(0.1*IF(Table1[[#This Row],[CorrectAwayScorePrediction]]=1, 1, 0))+(0.1*IF(Table1[[#This Row],[CorrectHomeScorePrediction]]=1, 1, 0))</f>
        <v>0</v>
      </c>
      <c r="X126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67" s="64">
        <f>SUMIF(Table1[GameDate], Table1[[#This Row],[GameDate]], Table1[AwayGameGoalDiff])</f>
        <v>0</v>
      </c>
      <c r="AA1267" s="64">
        <f>SUMIF(Table1[GameDate], Table1[[#This Row],[GameDate]], Table1[HomeGameGoalDiff])</f>
        <v>0</v>
      </c>
      <c r="AB1267" s="64">
        <f>IF(ISBLANK(Table1[[#This Row],[ActualResult]]), 0, 1)</f>
        <v>0</v>
      </c>
      <c r="AC1267" s="64">
        <f>IF(ISBLANK(Table1[[#This Row],[ActualResult]]), 0, IF(Table1[[#This Row],[ActualWinner]]=Table1[[#This Row],[PredictedWinner]], 1, 0))</f>
        <v>0</v>
      </c>
      <c r="AD126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6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67" s="64">
        <f>IF(AND(Table1[[#This Row],[GameIsOver]]=1,Table1[[#This Row],[ActualAwayScore]]=0), 1,0)</f>
        <v>0</v>
      </c>
      <c r="AG1267" s="64">
        <f>IF(AND(Table1[[#This Row],[GameIsOver]]=1,Table1[[#This Row],[ActualHomeScore]]=0), 1,0)</f>
        <v>0</v>
      </c>
      <c r="AH1267" s="64">
        <f>IF(Table1[[#This Row],[GameIsOver]]=0,0,IF(Table1[[#This Row],[ActualWinner]]=Table1[[#This Row],[AwayTeam]], 1, 0))</f>
        <v>0</v>
      </c>
      <c r="AI1267" s="64">
        <f>IF(Table1[[#This Row],[GameIsOver]]=0,0,IF(Table1[[#This Row],[ActualWinner]]=Table1[[#This Row],[HomeTeam]], 1, 0))</f>
        <v>0</v>
      </c>
      <c r="AJ1267" s="64">
        <f>IF(INDEX(Standings!$A$2:$C$33,MATCH(Table1[[#This Row],[AwayTeam]],Standings!$A$2:$A$33,0),2)=INDEX(Standings!$A$2:$C$33,MATCH(Table1[[#This Row],[HomeTeam]],Standings!$A$2:$A$33,0),2),1,0)</f>
        <v>1</v>
      </c>
      <c r="AK1267" s="64">
        <f>IF(INDEX(Standings!$A$2:$C$33,MATCH(Table1[[#This Row],[AwayTeam]],Standings!$A$2:$A$33,0),3)=INDEX(Standings!$A$2:$C$33,MATCH(Table1[[#This Row],[HomeTeam]],Standings!$A$2:$A$33,0),3),1,0)</f>
        <v>1</v>
      </c>
      <c r="AL1267" s="64">
        <f>IF(Table1[[#This Row],[InterConf]]=1,IF(Table1[[#This Row],[InterDiv]]=0, 1, 0), 0)</f>
        <v>0</v>
      </c>
      <c r="AM1267" s="64">
        <f>IF(INDEX(Standings!$A$2:$C$33,MATCH(Table1[[#This Row],[AwayTeam]],Standings!$A$2:$A$33,0),2)&lt;&gt;INDEX(Standings!$A$2:$C$33,MATCH(Table1[[#This Row],[HomeTeam]],Standings!$A$2:$A$33,0),2),1,0)</f>
        <v>0</v>
      </c>
      <c r="AN1267" s="64" t="str">
        <f>INDEX(Table2[AWAY_RECORD], MATCH(Table1[[#This Row],[AwayTeam]],Table2[Team], 0), 0)</f>
        <v>0-1-0</v>
      </c>
      <c r="AO1267" s="64" t="str">
        <f>INDEX(Records!$B$2:$AG$33, MATCH(Table1[[#This Row],[AwayTeam]],Records!$A$2:$A$33, 0), MATCH(Table1[[#This Row],[HomeTeam]],Records!$A$2:$A$33, 0))</f>
        <v>0-0-0</v>
      </c>
      <c r="AP1267" s="64" t="str">
        <f>INDEX(Table2[HOME_RECORD], MATCH(Table1[[#This Row],[HomeTeam]],Table2[Team], 0), 0)</f>
        <v>1-0-0</v>
      </c>
      <c r="AQ1267" s="64" t="str">
        <f>INDEX(Records!$B$2:$AG$33, MATCH(Table1[[#This Row],[HomeTeam]],Records!$A$2:$A$33, 0), MATCH(Table1[[#This Row],[AwayTeam]],Records!$A$2:$A$33, 0))</f>
        <v>0-0-0</v>
      </c>
    </row>
    <row r="1268" spans="1:43" x14ac:dyDescent="0.25">
      <c r="A1268" s="1"/>
      <c r="D1268" t="s">
        <v>1627</v>
      </c>
      <c r="E1268" t="s">
        <v>160</v>
      </c>
      <c r="F1268" t="s">
        <v>1632</v>
      </c>
      <c r="G1268" t="s">
        <v>50</v>
      </c>
      <c r="H1268" t="s">
        <v>54</v>
      </c>
      <c r="L126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6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68" s="1"/>
      <c r="T1268" s="64" t="str">
        <f>IF(Table1[[#This Row],[ActualWinner]]="", "", IF(Table1[[#This Row],[AwayTeam]]=Table1[[#This Row],[ActualWinner]],Table1[[#This Row],[HomeTeam]],Table1[[#This Row],[AwayTeam]]))</f>
        <v/>
      </c>
      <c r="U1268" s="64">
        <f>Table1[[#This Row],[ActualAwayScore]]-Table1[[#This Row],[PredictedAwayScore]]</f>
        <v>0</v>
      </c>
      <c r="V1268" s="64">
        <f>Table1[[#This Row],[ActualHomeScore]]-Table1[[#This Row],[PredictedHomeScore]]</f>
        <v>0</v>
      </c>
      <c r="W1268" s="64">
        <f>(0.8*IF(Table1[[#This Row],[CorrectWinnerPrediction]]=1, 1, 0))+(0.1*IF(Table1[[#This Row],[CorrectAwayScorePrediction]]=1, 1, 0))+(0.1*IF(Table1[[#This Row],[CorrectHomeScorePrediction]]=1, 1, 0))</f>
        <v>0</v>
      </c>
      <c r="X126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68" s="64">
        <f>SUMIF(Table1[GameDate], Table1[[#This Row],[GameDate]], Table1[AwayGameGoalDiff])</f>
        <v>0</v>
      </c>
      <c r="AA1268" s="64">
        <f>SUMIF(Table1[GameDate], Table1[[#This Row],[GameDate]], Table1[HomeGameGoalDiff])</f>
        <v>0</v>
      </c>
      <c r="AB1268" s="64">
        <f>IF(ISBLANK(Table1[[#This Row],[ActualResult]]), 0, 1)</f>
        <v>0</v>
      </c>
      <c r="AC1268" s="64">
        <f>IF(ISBLANK(Table1[[#This Row],[ActualResult]]), 0, IF(Table1[[#This Row],[ActualWinner]]=Table1[[#This Row],[PredictedWinner]], 1, 0))</f>
        <v>0</v>
      </c>
      <c r="AD126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6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68" s="64">
        <f>IF(AND(Table1[[#This Row],[GameIsOver]]=1,Table1[[#This Row],[ActualAwayScore]]=0), 1,0)</f>
        <v>0</v>
      </c>
      <c r="AG1268" s="64">
        <f>IF(AND(Table1[[#This Row],[GameIsOver]]=1,Table1[[#This Row],[ActualHomeScore]]=0), 1,0)</f>
        <v>0</v>
      </c>
      <c r="AH1268" s="64">
        <f>IF(Table1[[#This Row],[GameIsOver]]=0,0,IF(Table1[[#This Row],[ActualWinner]]=Table1[[#This Row],[AwayTeam]], 1, 0))</f>
        <v>0</v>
      </c>
      <c r="AI1268" s="64">
        <f>IF(Table1[[#This Row],[GameIsOver]]=0,0,IF(Table1[[#This Row],[ActualWinner]]=Table1[[#This Row],[HomeTeam]], 1, 0))</f>
        <v>0</v>
      </c>
      <c r="AJ1268" s="64">
        <f>IF(INDEX(Standings!$A$2:$C$33,MATCH(Table1[[#This Row],[AwayTeam]],Standings!$A$2:$A$33,0),2)=INDEX(Standings!$A$2:$C$33,MATCH(Table1[[#This Row],[HomeTeam]],Standings!$A$2:$A$33,0),2),1,0)</f>
        <v>1</v>
      </c>
      <c r="AK1268" s="64">
        <f>IF(INDEX(Standings!$A$2:$C$33,MATCH(Table1[[#This Row],[AwayTeam]],Standings!$A$2:$A$33,0),3)=INDEX(Standings!$A$2:$C$33,MATCH(Table1[[#This Row],[HomeTeam]],Standings!$A$2:$A$33,0),3),1,0)</f>
        <v>1</v>
      </c>
      <c r="AL1268" s="64">
        <f>IF(Table1[[#This Row],[InterConf]]=1,IF(Table1[[#This Row],[InterDiv]]=0, 1, 0), 0)</f>
        <v>0</v>
      </c>
      <c r="AM1268" s="64">
        <f>IF(INDEX(Standings!$A$2:$C$33,MATCH(Table1[[#This Row],[AwayTeam]],Standings!$A$2:$A$33,0),2)&lt;&gt;INDEX(Standings!$A$2:$C$33,MATCH(Table1[[#This Row],[HomeTeam]],Standings!$A$2:$A$33,0),2),1,0)</f>
        <v>0</v>
      </c>
      <c r="AN1268" s="64" t="str">
        <f>INDEX(Table2[AWAY_RECORD], MATCH(Table1[[#This Row],[AwayTeam]],Table2[Team], 0), 0)</f>
        <v>1-0-0</v>
      </c>
      <c r="AO1268" s="64" t="str">
        <f>INDEX(Records!$B$2:$AG$33, MATCH(Table1[[#This Row],[AwayTeam]],Records!$A$2:$A$33, 0), MATCH(Table1[[#This Row],[HomeTeam]],Records!$A$2:$A$33, 0))</f>
        <v>0-0-0</v>
      </c>
      <c r="AP1268" s="64" t="str">
        <f>INDEX(Table2[HOME_RECORD], MATCH(Table1[[#This Row],[HomeTeam]],Table2[Team], 0), 0)</f>
        <v>0-0-0</v>
      </c>
      <c r="AQ1268" s="64" t="str">
        <f>INDEX(Records!$B$2:$AG$33, MATCH(Table1[[#This Row],[HomeTeam]],Records!$A$2:$A$33, 0), MATCH(Table1[[#This Row],[AwayTeam]],Records!$A$2:$A$33, 0))</f>
        <v>0-0-0</v>
      </c>
    </row>
    <row r="1269" spans="1:43" x14ac:dyDescent="0.25">
      <c r="A1269" s="1"/>
      <c r="D1269" t="s">
        <v>1627</v>
      </c>
      <c r="E1269" t="s">
        <v>169</v>
      </c>
      <c r="F1269" t="s">
        <v>1633</v>
      </c>
      <c r="G1269" t="s">
        <v>37</v>
      </c>
      <c r="H1269" t="s">
        <v>38</v>
      </c>
      <c r="L126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6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69" s="1"/>
      <c r="T1269" s="64" t="str">
        <f>IF(Table1[[#This Row],[ActualWinner]]="", "", IF(Table1[[#This Row],[AwayTeam]]=Table1[[#This Row],[ActualWinner]],Table1[[#This Row],[HomeTeam]],Table1[[#This Row],[AwayTeam]]))</f>
        <v/>
      </c>
      <c r="U1269" s="64">
        <f>Table1[[#This Row],[ActualAwayScore]]-Table1[[#This Row],[PredictedAwayScore]]</f>
        <v>0</v>
      </c>
      <c r="V1269" s="64">
        <f>Table1[[#This Row],[ActualHomeScore]]-Table1[[#This Row],[PredictedHomeScore]]</f>
        <v>0</v>
      </c>
      <c r="W1269" s="64">
        <f>(0.8*IF(Table1[[#This Row],[CorrectWinnerPrediction]]=1, 1, 0))+(0.1*IF(Table1[[#This Row],[CorrectAwayScorePrediction]]=1, 1, 0))+(0.1*IF(Table1[[#This Row],[CorrectHomeScorePrediction]]=1, 1, 0))</f>
        <v>0</v>
      </c>
      <c r="X126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69" s="64">
        <f>SUMIF(Table1[GameDate], Table1[[#This Row],[GameDate]], Table1[AwayGameGoalDiff])</f>
        <v>0</v>
      </c>
      <c r="AA1269" s="64">
        <f>SUMIF(Table1[GameDate], Table1[[#This Row],[GameDate]], Table1[HomeGameGoalDiff])</f>
        <v>0</v>
      </c>
      <c r="AB1269" s="64">
        <f>IF(ISBLANK(Table1[[#This Row],[ActualResult]]), 0, 1)</f>
        <v>0</v>
      </c>
      <c r="AC1269" s="64">
        <f>IF(ISBLANK(Table1[[#This Row],[ActualResult]]), 0, IF(Table1[[#This Row],[ActualWinner]]=Table1[[#This Row],[PredictedWinner]], 1, 0))</f>
        <v>0</v>
      </c>
      <c r="AD126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6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69" s="64">
        <f>IF(AND(Table1[[#This Row],[GameIsOver]]=1,Table1[[#This Row],[ActualAwayScore]]=0), 1,0)</f>
        <v>0</v>
      </c>
      <c r="AG1269" s="64">
        <f>IF(AND(Table1[[#This Row],[GameIsOver]]=1,Table1[[#This Row],[ActualHomeScore]]=0), 1,0)</f>
        <v>0</v>
      </c>
      <c r="AH1269" s="64">
        <f>IF(Table1[[#This Row],[GameIsOver]]=0,0,IF(Table1[[#This Row],[ActualWinner]]=Table1[[#This Row],[AwayTeam]], 1, 0))</f>
        <v>0</v>
      </c>
      <c r="AI1269" s="64">
        <f>IF(Table1[[#This Row],[GameIsOver]]=0,0,IF(Table1[[#This Row],[ActualWinner]]=Table1[[#This Row],[HomeTeam]], 1, 0))</f>
        <v>0</v>
      </c>
      <c r="AJ1269" s="64">
        <f>IF(INDEX(Standings!$A$2:$C$33,MATCH(Table1[[#This Row],[AwayTeam]],Standings!$A$2:$A$33,0),2)=INDEX(Standings!$A$2:$C$33,MATCH(Table1[[#This Row],[HomeTeam]],Standings!$A$2:$A$33,0),2),1,0)</f>
        <v>1</v>
      </c>
      <c r="AK1269" s="64">
        <f>IF(INDEX(Standings!$A$2:$C$33,MATCH(Table1[[#This Row],[AwayTeam]],Standings!$A$2:$A$33,0),3)=INDEX(Standings!$A$2:$C$33,MATCH(Table1[[#This Row],[HomeTeam]],Standings!$A$2:$A$33,0),3),1,0)</f>
        <v>1</v>
      </c>
      <c r="AL1269" s="64">
        <f>IF(Table1[[#This Row],[InterConf]]=1,IF(Table1[[#This Row],[InterDiv]]=0, 1, 0), 0)</f>
        <v>0</v>
      </c>
      <c r="AM1269" s="64">
        <f>IF(INDEX(Standings!$A$2:$C$33,MATCH(Table1[[#This Row],[AwayTeam]],Standings!$A$2:$A$33,0),2)&lt;&gt;INDEX(Standings!$A$2:$C$33,MATCH(Table1[[#This Row],[HomeTeam]],Standings!$A$2:$A$33,0),2),1,0)</f>
        <v>0</v>
      </c>
      <c r="AN1269" s="64" t="str">
        <f>INDEX(Table2[AWAY_RECORD], MATCH(Table1[[#This Row],[AwayTeam]],Table2[Team], 0), 0)</f>
        <v>0-0-1</v>
      </c>
      <c r="AO1269" s="64" t="str">
        <f>INDEX(Records!$B$2:$AG$33, MATCH(Table1[[#This Row],[AwayTeam]],Records!$A$2:$A$33, 0), MATCH(Table1[[#This Row],[HomeTeam]],Records!$A$2:$A$33, 0))</f>
        <v>0-0-0</v>
      </c>
      <c r="AP1269" s="64" t="str">
        <f>INDEX(Table2[HOME_RECORD], MATCH(Table1[[#This Row],[HomeTeam]],Table2[Team], 0), 0)</f>
        <v>0-0-0</v>
      </c>
      <c r="AQ1269" s="64" t="str">
        <f>INDEX(Records!$B$2:$AG$33, MATCH(Table1[[#This Row],[HomeTeam]],Records!$A$2:$A$33, 0), MATCH(Table1[[#This Row],[AwayTeam]],Records!$A$2:$A$33, 0))</f>
        <v>0-0-0</v>
      </c>
    </row>
    <row r="1270" spans="1:43" x14ac:dyDescent="0.25">
      <c r="A1270" s="1"/>
      <c r="D1270" t="s">
        <v>1627</v>
      </c>
      <c r="E1270" t="s">
        <v>162</v>
      </c>
      <c r="F1270" t="s">
        <v>1634</v>
      </c>
      <c r="G1270" t="s">
        <v>39</v>
      </c>
      <c r="H1270" t="s">
        <v>61</v>
      </c>
      <c r="L127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7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70" s="1"/>
      <c r="T1270" s="64" t="str">
        <f>IF(Table1[[#This Row],[ActualWinner]]="", "", IF(Table1[[#This Row],[AwayTeam]]=Table1[[#This Row],[ActualWinner]],Table1[[#This Row],[HomeTeam]],Table1[[#This Row],[AwayTeam]]))</f>
        <v/>
      </c>
      <c r="U1270" s="64">
        <f>Table1[[#This Row],[ActualAwayScore]]-Table1[[#This Row],[PredictedAwayScore]]</f>
        <v>0</v>
      </c>
      <c r="V1270" s="64">
        <f>Table1[[#This Row],[ActualHomeScore]]-Table1[[#This Row],[PredictedHomeScore]]</f>
        <v>0</v>
      </c>
      <c r="W1270" s="64">
        <f>(0.8*IF(Table1[[#This Row],[CorrectWinnerPrediction]]=1, 1, 0))+(0.1*IF(Table1[[#This Row],[CorrectAwayScorePrediction]]=1, 1, 0))+(0.1*IF(Table1[[#This Row],[CorrectHomeScorePrediction]]=1, 1, 0))</f>
        <v>0</v>
      </c>
      <c r="X127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70" s="64">
        <f>SUMIF(Table1[GameDate], Table1[[#This Row],[GameDate]], Table1[AwayGameGoalDiff])</f>
        <v>0</v>
      </c>
      <c r="AA1270" s="64">
        <f>SUMIF(Table1[GameDate], Table1[[#This Row],[GameDate]], Table1[HomeGameGoalDiff])</f>
        <v>0</v>
      </c>
      <c r="AB1270" s="64">
        <f>IF(ISBLANK(Table1[[#This Row],[ActualResult]]), 0, 1)</f>
        <v>0</v>
      </c>
      <c r="AC1270" s="64">
        <f>IF(ISBLANK(Table1[[#This Row],[ActualResult]]), 0, IF(Table1[[#This Row],[ActualWinner]]=Table1[[#This Row],[PredictedWinner]], 1, 0))</f>
        <v>0</v>
      </c>
      <c r="AD127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7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70" s="64">
        <f>IF(AND(Table1[[#This Row],[GameIsOver]]=1,Table1[[#This Row],[ActualAwayScore]]=0), 1,0)</f>
        <v>0</v>
      </c>
      <c r="AG1270" s="64">
        <f>IF(AND(Table1[[#This Row],[GameIsOver]]=1,Table1[[#This Row],[ActualHomeScore]]=0), 1,0)</f>
        <v>0</v>
      </c>
      <c r="AH1270" s="64">
        <f>IF(Table1[[#This Row],[GameIsOver]]=0,0,IF(Table1[[#This Row],[ActualWinner]]=Table1[[#This Row],[AwayTeam]], 1, 0))</f>
        <v>0</v>
      </c>
      <c r="AI1270" s="64">
        <f>IF(Table1[[#This Row],[GameIsOver]]=0,0,IF(Table1[[#This Row],[ActualWinner]]=Table1[[#This Row],[HomeTeam]], 1, 0))</f>
        <v>0</v>
      </c>
      <c r="AJ1270" s="64">
        <f>IF(INDEX(Standings!$A$2:$C$33,MATCH(Table1[[#This Row],[AwayTeam]],Standings!$A$2:$A$33,0),2)=INDEX(Standings!$A$2:$C$33,MATCH(Table1[[#This Row],[HomeTeam]],Standings!$A$2:$A$33,0),2),1,0)</f>
        <v>1</v>
      </c>
      <c r="AK1270" s="64">
        <f>IF(INDEX(Standings!$A$2:$C$33,MATCH(Table1[[#This Row],[AwayTeam]],Standings!$A$2:$A$33,0),3)=INDEX(Standings!$A$2:$C$33,MATCH(Table1[[#This Row],[HomeTeam]],Standings!$A$2:$A$33,0),3),1,0)</f>
        <v>0</v>
      </c>
      <c r="AL1270" s="64">
        <f>IF(Table1[[#This Row],[InterConf]]=1,IF(Table1[[#This Row],[InterDiv]]=0, 1, 0), 0)</f>
        <v>1</v>
      </c>
      <c r="AM1270" s="64">
        <f>IF(INDEX(Standings!$A$2:$C$33,MATCH(Table1[[#This Row],[AwayTeam]],Standings!$A$2:$A$33,0),2)&lt;&gt;INDEX(Standings!$A$2:$C$33,MATCH(Table1[[#This Row],[HomeTeam]],Standings!$A$2:$A$33,0),2),1,0)</f>
        <v>0</v>
      </c>
      <c r="AN1270" s="64" t="str">
        <f>INDEX(Table2[AWAY_RECORD], MATCH(Table1[[#This Row],[AwayTeam]],Table2[Team], 0), 0)</f>
        <v>0-0-0</v>
      </c>
      <c r="AO1270" s="64" t="str">
        <f>INDEX(Records!$B$2:$AG$33, MATCH(Table1[[#This Row],[AwayTeam]],Records!$A$2:$A$33, 0), MATCH(Table1[[#This Row],[HomeTeam]],Records!$A$2:$A$33, 0))</f>
        <v>0-0-0</v>
      </c>
      <c r="AP1270" s="64" t="str">
        <f>INDEX(Table2[HOME_RECORD], MATCH(Table1[[#This Row],[HomeTeam]],Table2[Team], 0), 0)</f>
        <v>0-0-0</v>
      </c>
      <c r="AQ1270" s="64" t="str">
        <f>INDEX(Records!$B$2:$AG$33, MATCH(Table1[[#This Row],[HomeTeam]],Records!$A$2:$A$33, 0), MATCH(Table1[[#This Row],[AwayTeam]],Records!$A$2:$A$33, 0))</f>
        <v>0-0-0</v>
      </c>
    </row>
    <row r="1271" spans="1:43" x14ac:dyDescent="0.25">
      <c r="A1271" s="1"/>
      <c r="D1271" t="s">
        <v>1627</v>
      </c>
      <c r="E1271" t="s">
        <v>162</v>
      </c>
      <c r="F1271" t="s">
        <v>1635</v>
      </c>
      <c r="G1271" t="s">
        <v>16</v>
      </c>
      <c r="H1271" t="s">
        <v>48</v>
      </c>
      <c r="L127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7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71" s="1"/>
      <c r="T1271" s="64" t="str">
        <f>IF(Table1[[#This Row],[ActualWinner]]="", "", IF(Table1[[#This Row],[AwayTeam]]=Table1[[#This Row],[ActualWinner]],Table1[[#This Row],[HomeTeam]],Table1[[#This Row],[AwayTeam]]))</f>
        <v/>
      </c>
      <c r="U1271" s="64">
        <f>Table1[[#This Row],[ActualAwayScore]]-Table1[[#This Row],[PredictedAwayScore]]</f>
        <v>0</v>
      </c>
      <c r="V1271" s="64">
        <f>Table1[[#This Row],[ActualHomeScore]]-Table1[[#This Row],[PredictedHomeScore]]</f>
        <v>0</v>
      </c>
      <c r="W1271" s="64">
        <f>(0.8*IF(Table1[[#This Row],[CorrectWinnerPrediction]]=1, 1, 0))+(0.1*IF(Table1[[#This Row],[CorrectAwayScorePrediction]]=1, 1, 0))+(0.1*IF(Table1[[#This Row],[CorrectHomeScorePrediction]]=1, 1, 0))</f>
        <v>0</v>
      </c>
      <c r="X127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71" s="64">
        <f>SUMIF(Table1[GameDate], Table1[[#This Row],[GameDate]], Table1[AwayGameGoalDiff])</f>
        <v>0</v>
      </c>
      <c r="AA1271" s="64">
        <f>SUMIF(Table1[GameDate], Table1[[#This Row],[GameDate]], Table1[HomeGameGoalDiff])</f>
        <v>0</v>
      </c>
      <c r="AB1271" s="64">
        <f>IF(ISBLANK(Table1[[#This Row],[ActualResult]]), 0, 1)</f>
        <v>0</v>
      </c>
      <c r="AC1271" s="64">
        <f>IF(ISBLANK(Table1[[#This Row],[ActualResult]]), 0, IF(Table1[[#This Row],[ActualWinner]]=Table1[[#This Row],[PredictedWinner]], 1, 0))</f>
        <v>0</v>
      </c>
      <c r="AD127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7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71" s="64">
        <f>IF(AND(Table1[[#This Row],[GameIsOver]]=1,Table1[[#This Row],[ActualAwayScore]]=0), 1,0)</f>
        <v>0</v>
      </c>
      <c r="AG1271" s="64">
        <f>IF(AND(Table1[[#This Row],[GameIsOver]]=1,Table1[[#This Row],[ActualHomeScore]]=0), 1,0)</f>
        <v>0</v>
      </c>
      <c r="AH1271" s="64">
        <f>IF(Table1[[#This Row],[GameIsOver]]=0,0,IF(Table1[[#This Row],[ActualWinner]]=Table1[[#This Row],[AwayTeam]], 1, 0))</f>
        <v>0</v>
      </c>
      <c r="AI1271" s="64">
        <f>IF(Table1[[#This Row],[GameIsOver]]=0,0,IF(Table1[[#This Row],[ActualWinner]]=Table1[[#This Row],[HomeTeam]], 1, 0))</f>
        <v>0</v>
      </c>
      <c r="AJ1271" s="64">
        <f>IF(INDEX(Standings!$A$2:$C$33,MATCH(Table1[[#This Row],[AwayTeam]],Standings!$A$2:$A$33,0),2)=INDEX(Standings!$A$2:$C$33,MATCH(Table1[[#This Row],[HomeTeam]],Standings!$A$2:$A$33,0),2),1,0)</f>
        <v>1</v>
      </c>
      <c r="AK1271" s="64">
        <f>IF(INDEX(Standings!$A$2:$C$33,MATCH(Table1[[#This Row],[AwayTeam]],Standings!$A$2:$A$33,0),3)=INDEX(Standings!$A$2:$C$33,MATCH(Table1[[#This Row],[HomeTeam]],Standings!$A$2:$A$33,0),3),1,0)</f>
        <v>1</v>
      </c>
      <c r="AL1271" s="64">
        <f>IF(Table1[[#This Row],[InterConf]]=1,IF(Table1[[#This Row],[InterDiv]]=0, 1, 0), 0)</f>
        <v>0</v>
      </c>
      <c r="AM1271" s="64">
        <f>IF(INDEX(Standings!$A$2:$C$33,MATCH(Table1[[#This Row],[AwayTeam]],Standings!$A$2:$A$33,0),2)&lt;&gt;INDEX(Standings!$A$2:$C$33,MATCH(Table1[[#This Row],[HomeTeam]],Standings!$A$2:$A$33,0),2),1,0)</f>
        <v>0</v>
      </c>
      <c r="AN1271" s="64" t="str">
        <f>INDEX(Table2[AWAY_RECORD], MATCH(Table1[[#This Row],[AwayTeam]],Table2[Team], 0), 0)</f>
        <v>1-0-1</v>
      </c>
      <c r="AO1271" s="64" t="str">
        <f>INDEX(Records!$B$2:$AG$33, MATCH(Table1[[#This Row],[AwayTeam]],Records!$A$2:$A$33, 0), MATCH(Table1[[#This Row],[HomeTeam]],Records!$A$2:$A$33, 0))</f>
        <v>0-0-0</v>
      </c>
      <c r="AP1271" s="64" t="str">
        <f>INDEX(Table2[HOME_RECORD], MATCH(Table1[[#This Row],[HomeTeam]],Table2[Team], 0), 0)</f>
        <v>1-0-0</v>
      </c>
      <c r="AQ1271" s="64" t="str">
        <f>INDEX(Records!$B$2:$AG$33, MATCH(Table1[[#This Row],[HomeTeam]],Records!$A$2:$A$33, 0), MATCH(Table1[[#This Row],[AwayTeam]],Records!$A$2:$A$33, 0))</f>
        <v>0-0-0</v>
      </c>
    </row>
    <row r="1272" spans="1:43" x14ac:dyDescent="0.25">
      <c r="A1272" s="1"/>
      <c r="D1272" t="s">
        <v>1627</v>
      </c>
      <c r="E1272" t="s">
        <v>178</v>
      </c>
      <c r="F1272" t="s">
        <v>1636</v>
      </c>
      <c r="G1272" t="s">
        <v>36</v>
      </c>
      <c r="H1272" t="s">
        <v>58</v>
      </c>
      <c r="L127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7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72" s="1"/>
      <c r="T1272" s="64" t="str">
        <f>IF(Table1[[#This Row],[ActualWinner]]="", "", IF(Table1[[#This Row],[AwayTeam]]=Table1[[#This Row],[ActualWinner]],Table1[[#This Row],[HomeTeam]],Table1[[#This Row],[AwayTeam]]))</f>
        <v/>
      </c>
      <c r="U1272" s="64">
        <f>Table1[[#This Row],[ActualAwayScore]]-Table1[[#This Row],[PredictedAwayScore]]</f>
        <v>0</v>
      </c>
      <c r="V1272" s="64">
        <f>Table1[[#This Row],[ActualHomeScore]]-Table1[[#This Row],[PredictedHomeScore]]</f>
        <v>0</v>
      </c>
      <c r="W1272" s="64">
        <f>(0.8*IF(Table1[[#This Row],[CorrectWinnerPrediction]]=1, 1, 0))+(0.1*IF(Table1[[#This Row],[CorrectAwayScorePrediction]]=1, 1, 0))+(0.1*IF(Table1[[#This Row],[CorrectHomeScorePrediction]]=1, 1, 0))</f>
        <v>0</v>
      </c>
      <c r="X127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72" s="64">
        <f>SUMIF(Table1[GameDate], Table1[[#This Row],[GameDate]], Table1[AwayGameGoalDiff])</f>
        <v>0</v>
      </c>
      <c r="AA1272" s="64">
        <f>SUMIF(Table1[GameDate], Table1[[#This Row],[GameDate]], Table1[HomeGameGoalDiff])</f>
        <v>0</v>
      </c>
      <c r="AB1272" s="64">
        <f>IF(ISBLANK(Table1[[#This Row],[ActualResult]]), 0, 1)</f>
        <v>0</v>
      </c>
      <c r="AC1272" s="64">
        <f>IF(ISBLANK(Table1[[#This Row],[ActualResult]]), 0, IF(Table1[[#This Row],[ActualWinner]]=Table1[[#This Row],[PredictedWinner]], 1, 0))</f>
        <v>0</v>
      </c>
      <c r="AD127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7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72" s="64">
        <f>IF(AND(Table1[[#This Row],[GameIsOver]]=1,Table1[[#This Row],[ActualAwayScore]]=0), 1,0)</f>
        <v>0</v>
      </c>
      <c r="AG1272" s="64">
        <f>IF(AND(Table1[[#This Row],[GameIsOver]]=1,Table1[[#This Row],[ActualHomeScore]]=0), 1,0)</f>
        <v>0</v>
      </c>
      <c r="AH1272" s="64">
        <f>IF(Table1[[#This Row],[GameIsOver]]=0,0,IF(Table1[[#This Row],[ActualWinner]]=Table1[[#This Row],[AwayTeam]], 1, 0))</f>
        <v>0</v>
      </c>
      <c r="AI1272" s="64">
        <f>IF(Table1[[#This Row],[GameIsOver]]=0,0,IF(Table1[[#This Row],[ActualWinner]]=Table1[[#This Row],[HomeTeam]], 1, 0))</f>
        <v>0</v>
      </c>
      <c r="AJ1272" s="64">
        <f>IF(INDEX(Standings!$A$2:$C$33,MATCH(Table1[[#This Row],[AwayTeam]],Standings!$A$2:$A$33,0),2)=INDEX(Standings!$A$2:$C$33,MATCH(Table1[[#This Row],[HomeTeam]],Standings!$A$2:$A$33,0),2),1,0)</f>
        <v>1</v>
      </c>
      <c r="AK1272" s="64">
        <f>IF(INDEX(Standings!$A$2:$C$33,MATCH(Table1[[#This Row],[AwayTeam]],Standings!$A$2:$A$33,0),3)=INDEX(Standings!$A$2:$C$33,MATCH(Table1[[#This Row],[HomeTeam]],Standings!$A$2:$A$33,0),3),1,0)</f>
        <v>0</v>
      </c>
      <c r="AL1272" s="64">
        <f>IF(Table1[[#This Row],[InterConf]]=1,IF(Table1[[#This Row],[InterDiv]]=0, 1, 0), 0)</f>
        <v>1</v>
      </c>
      <c r="AM1272" s="64">
        <f>IF(INDEX(Standings!$A$2:$C$33,MATCH(Table1[[#This Row],[AwayTeam]],Standings!$A$2:$A$33,0),2)&lt;&gt;INDEX(Standings!$A$2:$C$33,MATCH(Table1[[#This Row],[HomeTeam]],Standings!$A$2:$A$33,0),2),1,0)</f>
        <v>0</v>
      </c>
      <c r="AN1272" s="64" t="str">
        <f>INDEX(Table2[AWAY_RECORD], MATCH(Table1[[#This Row],[AwayTeam]],Table2[Team], 0), 0)</f>
        <v>0-0-0</v>
      </c>
      <c r="AO1272" s="64" t="str">
        <f>INDEX(Records!$B$2:$AG$33, MATCH(Table1[[#This Row],[AwayTeam]],Records!$A$2:$A$33, 0), MATCH(Table1[[#This Row],[HomeTeam]],Records!$A$2:$A$33, 0))</f>
        <v>0-0-0</v>
      </c>
      <c r="AP1272" s="64" t="str">
        <f>INDEX(Table2[HOME_RECORD], MATCH(Table1[[#This Row],[HomeTeam]],Table2[Team], 0), 0)</f>
        <v>1-0-0</v>
      </c>
      <c r="AQ1272" s="64" t="str">
        <f>INDEX(Records!$B$2:$AG$33, MATCH(Table1[[#This Row],[HomeTeam]],Records!$A$2:$A$33, 0), MATCH(Table1[[#This Row],[AwayTeam]],Records!$A$2:$A$33, 0))</f>
        <v>0-0-0</v>
      </c>
    </row>
    <row r="1273" spans="1:43" x14ac:dyDescent="0.25">
      <c r="A1273" s="1"/>
      <c r="D1273" t="s">
        <v>1637</v>
      </c>
      <c r="E1273" t="s">
        <v>160</v>
      </c>
      <c r="F1273" t="s">
        <v>1638</v>
      </c>
      <c r="G1273" t="s">
        <v>40</v>
      </c>
      <c r="H1273" t="s">
        <v>44</v>
      </c>
      <c r="L127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7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73" s="1"/>
      <c r="T1273" s="64" t="str">
        <f>IF(Table1[[#This Row],[ActualWinner]]="", "", IF(Table1[[#This Row],[AwayTeam]]=Table1[[#This Row],[ActualWinner]],Table1[[#This Row],[HomeTeam]],Table1[[#This Row],[AwayTeam]]))</f>
        <v/>
      </c>
      <c r="U1273" s="64">
        <f>Table1[[#This Row],[ActualAwayScore]]-Table1[[#This Row],[PredictedAwayScore]]</f>
        <v>0</v>
      </c>
      <c r="V1273" s="64">
        <f>Table1[[#This Row],[ActualHomeScore]]-Table1[[#This Row],[PredictedHomeScore]]</f>
        <v>0</v>
      </c>
      <c r="W1273" s="64">
        <f>(0.8*IF(Table1[[#This Row],[CorrectWinnerPrediction]]=1, 1, 0))+(0.1*IF(Table1[[#This Row],[CorrectAwayScorePrediction]]=1, 1, 0))+(0.1*IF(Table1[[#This Row],[CorrectHomeScorePrediction]]=1, 1, 0))</f>
        <v>0</v>
      </c>
      <c r="X127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73" s="64">
        <f>SUMIF(Table1[GameDate], Table1[[#This Row],[GameDate]], Table1[AwayGameGoalDiff])</f>
        <v>0</v>
      </c>
      <c r="AA1273" s="64">
        <f>SUMIF(Table1[GameDate], Table1[[#This Row],[GameDate]], Table1[HomeGameGoalDiff])</f>
        <v>0</v>
      </c>
      <c r="AB1273" s="64">
        <f>IF(ISBLANK(Table1[[#This Row],[ActualResult]]), 0, 1)</f>
        <v>0</v>
      </c>
      <c r="AC1273" s="64">
        <f>IF(ISBLANK(Table1[[#This Row],[ActualResult]]), 0, IF(Table1[[#This Row],[ActualWinner]]=Table1[[#This Row],[PredictedWinner]], 1, 0))</f>
        <v>0</v>
      </c>
      <c r="AD127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7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73" s="64">
        <f>IF(AND(Table1[[#This Row],[GameIsOver]]=1,Table1[[#This Row],[ActualAwayScore]]=0), 1,0)</f>
        <v>0</v>
      </c>
      <c r="AG1273" s="64">
        <f>IF(AND(Table1[[#This Row],[GameIsOver]]=1,Table1[[#This Row],[ActualHomeScore]]=0), 1,0)</f>
        <v>0</v>
      </c>
      <c r="AH1273" s="64">
        <f>IF(Table1[[#This Row],[GameIsOver]]=0,0,IF(Table1[[#This Row],[ActualWinner]]=Table1[[#This Row],[AwayTeam]], 1, 0))</f>
        <v>0</v>
      </c>
      <c r="AI1273" s="64">
        <f>IF(Table1[[#This Row],[GameIsOver]]=0,0,IF(Table1[[#This Row],[ActualWinner]]=Table1[[#This Row],[HomeTeam]], 1, 0))</f>
        <v>0</v>
      </c>
      <c r="AJ1273" s="64">
        <f>IF(INDEX(Standings!$A$2:$C$33,MATCH(Table1[[#This Row],[AwayTeam]],Standings!$A$2:$A$33,0),2)=INDEX(Standings!$A$2:$C$33,MATCH(Table1[[#This Row],[HomeTeam]],Standings!$A$2:$A$33,0),2),1,0)</f>
        <v>1</v>
      </c>
      <c r="AK1273" s="64">
        <f>IF(INDEX(Standings!$A$2:$C$33,MATCH(Table1[[#This Row],[AwayTeam]],Standings!$A$2:$A$33,0),3)=INDEX(Standings!$A$2:$C$33,MATCH(Table1[[#This Row],[HomeTeam]],Standings!$A$2:$A$33,0),3),1,0)</f>
        <v>0</v>
      </c>
      <c r="AL1273" s="64">
        <f>IF(Table1[[#This Row],[InterConf]]=1,IF(Table1[[#This Row],[InterDiv]]=0, 1, 0), 0)</f>
        <v>1</v>
      </c>
      <c r="AM1273" s="64">
        <f>IF(INDEX(Standings!$A$2:$C$33,MATCH(Table1[[#This Row],[AwayTeam]],Standings!$A$2:$A$33,0),2)&lt;&gt;INDEX(Standings!$A$2:$C$33,MATCH(Table1[[#This Row],[HomeTeam]],Standings!$A$2:$A$33,0),2),1,0)</f>
        <v>0</v>
      </c>
      <c r="AN1273" s="64" t="str">
        <f>INDEX(Table2[AWAY_RECORD], MATCH(Table1[[#This Row],[AwayTeam]],Table2[Team], 0), 0)</f>
        <v>0-0-0</v>
      </c>
      <c r="AO1273" s="64" t="str">
        <f>INDEX(Records!$B$2:$AG$33, MATCH(Table1[[#This Row],[AwayTeam]],Records!$A$2:$A$33, 0), MATCH(Table1[[#This Row],[HomeTeam]],Records!$A$2:$A$33, 0))</f>
        <v>0-0-0</v>
      </c>
      <c r="AP1273" s="64" t="str">
        <f>INDEX(Table2[HOME_RECORD], MATCH(Table1[[#This Row],[HomeTeam]],Table2[Team], 0), 0)</f>
        <v>0-0-1</v>
      </c>
      <c r="AQ1273" s="64" t="str">
        <f>INDEX(Records!$B$2:$AG$33, MATCH(Table1[[#This Row],[HomeTeam]],Records!$A$2:$A$33, 0), MATCH(Table1[[#This Row],[AwayTeam]],Records!$A$2:$A$33, 0))</f>
        <v>0-0-0</v>
      </c>
    </row>
    <row r="1274" spans="1:43" x14ac:dyDescent="0.25">
      <c r="A1274" s="1"/>
      <c r="D1274" t="s">
        <v>1637</v>
      </c>
      <c r="E1274" t="s">
        <v>160</v>
      </c>
      <c r="F1274" t="s">
        <v>1639</v>
      </c>
      <c r="G1274" t="s">
        <v>52</v>
      </c>
      <c r="H1274" t="s">
        <v>50</v>
      </c>
      <c r="L127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7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74" s="1"/>
      <c r="T1274" s="64" t="str">
        <f>IF(Table1[[#This Row],[ActualWinner]]="", "", IF(Table1[[#This Row],[AwayTeam]]=Table1[[#This Row],[ActualWinner]],Table1[[#This Row],[HomeTeam]],Table1[[#This Row],[AwayTeam]]))</f>
        <v/>
      </c>
      <c r="U1274" s="64">
        <f>Table1[[#This Row],[ActualAwayScore]]-Table1[[#This Row],[PredictedAwayScore]]</f>
        <v>0</v>
      </c>
      <c r="V1274" s="64">
        <f>Table1[[#This Row],[ActualHomeScore]]-Table1[[#This Row],[PredictedHomeScore]]</f>
        <v>0</v>
      </c>
      <c r="W1274" s="64">
        <f>(0.8*IF(Table1[[#This Row],[CorrectWinnerPrediction]]=1, 1, 0))+(0.1*IF(Table1[[#This Row],[CorrectAwayScorePrediction]]=1, 1, 0))+(0.1*IF(Table1[[#This Row],[CorrectHomeScorePrediction]]=1, 1, 0))</f>
        <v>0</v>
      </c>
      <c r="X127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74" s="64">
        <f>SUMIF(Table1[GameDate], Table1[[#This Row],[GameDate]], Table1[AwayGameGoalDiff])</f>
        <v>0</v>
      </c>
      <c r="AA1274" s="64">
        <f>SUMIF(Table1[GameDate], Table1[[#This Row],[GameDate]], Table1[HomeGameGoalDiff])</f>
        <v>0</v>
      </c>
      <c r="AB1274" s="64">
        <f>IF(ISBLANK(Table1[[#This Row],[ActualResult]]), 0, 1)</f>
        <v>0</v>
      </c>
      <c r="AC1274" s="64">
        <f>IF(ISBLANK(Table1[[#This Row],[ActualResult]]), 0, IF(Table1[[#This Row],[ActualWinner]]=Table1[[#This Row],[PredictedWinner]], 1, 0))</f>
        <v>0</v>
      </c>
      <c r="AD127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7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74" s="64">
        <f>IF(AND(Table1[[#This Row],[GameIsOver]]=1,Table1[[#This Row],[ActualAwayScore]]=0), 1,0)</f>
        <v>0</v>
      </c>
      <c r="AG1274" s="64">
        <f>IF(AND(Table1[[#This Row],[GameIsOver]]=1,Table1[[#This Row],[ActualHomeScore]]=0), 1,0)</f>
        <v>0</v>
      </c>
      <c r="AH1274" s="64">
        <f>IF(Table1[[#This Row],[GameIsOver]]=0,0,IF(Table1[[#This Row],[ActualWinner]]=Table1[[#This Row],[AwayTeam]], 1, 0))</f>
        <v>0</v>
      </c>
      <c r="AI1274" s="64">
        <f>IF(Table1[[#This Row],[GameIsOver]]=0,0,IF(Table1[[#This Row],[ActualWinner]]=Table1[[#This Row],[HomeTeam]], 1, 0))</f>
        <v>0</v>
      </c>
      <c r="AJ1274" s="64">
        <f>IF(INDEX(Standings!$A$2:$C$33,MATCH(Table1[[#This Row],[AwayTeam]],Standings!$A$2:$A$33,0),2)=INDEX(Standings!$A$2:$C$33,MATCH(Table1[[#This Row],[HomeTeam]],Standings!$A$2:$A$33,0),2),1,0)</f>
        <v>1</v>
      </c>
      <c r="AK1274" s="64">
        <f>IF(INDEX(Standings!$A$2:$C$33,MATCH(Table1[[#This Row],[AwayTeam]],Standings!$A$2:$A$33,0),3)=INDEX(Standings!$A$2:$C$33,MATCH(Table1[[#This Row],[HomeTeam]],Standings!$A$2:$A$33,0),3),1,0)</f>
        <v>0</v>
      </c>
      <c r="AL1274" s="64">
        <f>IF(Table1[[#This Row],[InterConf]]=1,IF(Table1[[#This Row],[InterDiv]]=0, 1, 0), 0)</f>
        <v>1</v>
      </c>
      <c r="AM1274" s="64">
        <f>IF(INDEX(Standings!$A$2:$C$33,MATCH(Table1[[#This Row],[AwayTeam]],Standings!$A$2:$A$33,0),2)&lt;&gt;INDEX(Standings!$A$2:$C$33,MATCH(Table1[[#This Row],[HomeTeam]],Standings!$A$2:$A$33,0),2),1,0)</f>
        <v>0</v>
      </c>
      <c r="AN1274" s="64" t="str">
        <f>INDEX(Table2[AWAY_RECORD], MATCH(Table1[[#This Row],[AwayTeam]],Table2[Team], 0), 0)</f>
        <v>0-0-0</v>
      </c>
      <c r="AO1274" s="64" t="str">
        <f>INDEX(Records!$B$2:$AG$33, MATCH(Table1[[#This Row],[AwayTeam]],Records!$A$2:$A$33, 0), MATCH(Table1[[#This Row],[HomeTeam]],Records!$A$2:$A$33, 0))</f>
        <v>0-0-0</v>
      </c>
      <c r="AP1274" s="64" t="str">
        <f>INDEX(Table2[HOME_RECORD], MATCH(Table1[[#This Row],[HomeTeam]],Table2[Team], 0), 0)</f>
        <v>0-0-0</v>
      </c>
      <c r="AQ1274" s="64" t="str">
        <f>INDEX(Records!$B$2:$AG$33, MATCH(Table1[[#This Row],[HomeTeam]],Records!$A$2:$A$33, 0), MATCH(Table1[[#This Row],[AwayTeam]],Records!$A$2:$A$33, 0))</f>
        <v>0-0-0</v>
      </c>
    </row>
    <row r="1275" spans="1:43" x14ac:dyDescent="0.25">
      <c r="A1275" s="1"/>
      <c r="D1275" t="s">
        <v>1637</v>
      </c>
      <c r="E1275" t="s">
        <v>162</v>
      </c>
      <c r="F1275" t="s">
        <v>1640</v>
      </c>
      <c r="G1275" t="s">
        <v>43</v>
      </c>
      <c r="H1275" t="s">
        <v>22</v>
      </c>
      <c r="L127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7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75" s="1"/>
      <c r="T1275" s="64" t="str">
        <f>IF(Table1[[#This Row],[ActualWinner]]="", "", IF(Table1[[#This Row],[AwayTeam]]=Table1[[#This Row],[ActualWinner]],Table1[[#This Row],[HomeTeam]],Table1[[#This Row],[AwayTeam]]))</f>
        <v/>
      </c>
      <c r="U1275" s="64">
        <f>Table1[[#This Row],[ActualAwayScore]]-Table1[[#This Row],[PredictedAwayScore]]</f>
        <v>0</v>
      </c>
      <c r="V1275" s="64">
        <f>Table1[[#This Row],[ActualHomeScore]]-Table1[[#This Row],[PredictedHomeScore]]</f>
        <v>0</v>
      </c>
      <c r="W1275" s="64">
        <f>(0.8*IF(Table1[[#This Row],[CorrectWinnerPrediction]]=1, 1, 0))+(0.1*IF(Table1[[#This Row],[CorrectAwayScorePrediction]]=1, 1, 0))+(0.1*IF(Table1[[#This Row],[CorrectHomeScorePrediction]]=1, 1, 0))</f>
        <v>0</v>
      </c>
      <c r="X127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75" s="64">
        <f>SUMIF(Table1[GameDate], Table1[[#This Row],[GameDate]], Table1[AwayGameGoalDiff])</f>
        <v>0</v>
      </c>
      <c r="AA1275" s="64">
        <f>SUMIF(Table1[GameDate], Table1[[#This Row],[GameDate]], Table1[HomeGameGoalDiff])</f>
        <v>0</v>
      </c>
      <c r="AB1275" s="64">
        <f>IF(ISBLANK(Table1[[#This Row],[ActualResult]]), 0, 1)</f>
        <v>0</v>
      </c>
      <c r="AC1275" s="64">
        <f>IF(ISBLANK(Table1[[#This Row],[ActualResult]]), 0, IF(Table1[[#This Row],[ActualWinner]]=Table1[[#This Row],[PredictedWinner]], 1, 0))</f>
        <v>0</v>
      </c>
      <c r="AD127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7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75" s="64">
        <f>IF(AND(Table1[[#This Row],[GameIsOver]]=1,Table1[[#This Row],[ActualAwayScore]]=0), 1,0)</f>
        <v>0</v>
      </c>
      <c r="AG1275" s="64">
        <f>IF(AND(Table1[[#This Row],[GameIsOver]]=1,Table1[[#This Row],[ActualHomeScore]]=0), 1,0)</f>
        <v>0</v>
      </c>
      <c r="AH1275" s="64">
        <f>IF(Table1[[#This Row],[GameIsOver]]=0,0,IF(Table1[[#This Row],[ActualWinner]]=Table1[[#This Row],[AwayTeam]], 1, 0))</f>
        <v>0</v>
      </c>
      <c r="AI1275" s="64">
        <f>IF(Table1[[#This Row],[GameIsOver]]=0,0,IF(Table1[[#This Row],[ActualWinner]]=Table1[[#This Row],[HomeTeam]], 1, 0))</f>
        <v>0</v>
      </c>
      <c r="AJ1275" s="64">
        <f>IF(INDEX(Standings!$A$2:$C$33,MATCH(Table1[[#This Row],[AwayTeam]],Standings!$A$2:$A$33,0),2)=INDEX(Standings!$A$2:$C$33,MATCH(Table1[[#This Row],[HomeTeam]],Standings!$A$2:$A$33,0),2),1,0)</f>
        <v>1</v>
      </c>
      <c r="AK1275" s="64">
        <f>IF(INDEX(Standings!$A$2:$C$33,MATCH(Table1[[#This Row],[AwayTeam]],Standings!$A$2:$A$33,0),3)=INDEX(Standings!$A$2:$C$33,MATCH(Table1[[#This Row],[HomeTeam]],Standings!$A$2:$A$33,0),3),1,0)</f>
        <v>1</v>
      </c>
      <c r="AL1275" s="64">
        <f>IF(Table1[[#This Row],[InterConf]]=1,IF(Table1[[#This Row],[InterDiv]]=0, 1, 0), 0)</f>
        <v>0</v>
      </c>
      <c r="AM1275" s="64">
        <f>IF(INDEX(Standings!$A$2:$C$33,MATCH(Table1[[#This Row],[AwayTeam]],Standings!$A$2:$A$33,0),2)&lt;&gt;INDEX(Standings!$A$2:$C$33,MATCH(Table1[[#This Row],[HomeTeam]],Standings!$A$2:$A$33,0),2),1,0)</f>
        <v>0</v>
      </c>
      <c r="AN1275" s="64" t="str">
        <f>INDEX(Table2[AWAY_RECORD], MATCH(Table1[[#This Row],[AwayTeam]],Table2[Team], 0), 0)</f>
        <v>0-0-0</v>
      </c>
      <c r="AO1275" s="64" t="str">
        <f>INDEX(Records!$B$2:$AG$33, MATCH(Table1[[#This Row],[AwayTeam]],Records!$A$2:$A$33, 0), MATCH(Table1[[#This Row],[HomeTeam]],Records!$A$2:$A$33, 0))</f>
        <v>0-0-0</v>
      </c>
      <c r="AP1275" s="64" t="str">
        <f>INDEX(Table2[HOME_RECORD], MATCH(Table1[[#This Row],[HomeTeam]],Table2[Team], 0), 0)</f>
        <v>0-0-0</v>
      </c>
      <c r="AQ1275" s="64" t="str">
        <f>INDEX(Records!$B$2:$AG$33, MATCH(Table1[[#This Row],[HomeTeam]],Records!$A$2:$A$33, 0), MATCH(Table1[[#This Row],[AwayTeam]],Records!$A$2:$A$33, 0))</f>
        <v>0-0-0</v>
      </c>
    </row>
    <row r="1276" spans="1:43" x14ac:dyDescent="0.25">
      <c r="A1276" s="1"/>
      <c r="D1276" t="s">
        <v>1637</v>
      </c>
      <c r="E1276" t="s">
        <v>178</v>
      </c>
      <c r="F1276" t="s">
        <v>1641</v>
      </c>
      <c r="G1276" t="s">
        <v>46</v>
      </c>
      <c r="H1276" t="s">
        <v>41</v>
      </c>
      <c r="L127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7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76" s="1"/>
      <c r="T1276" s="64" t="str">
        <f>IF(Table1[[#This Row],[ActualWinner]]="", "", IF(Table1[[#This Row],[AwayTeam]]=Table1[[#This Row],[ActualWinner]],Table1[[#This Row],[HomeTeam]],Table1[[#This Row],[AwayTeam]]))</f>
        <v/>
      </c>
      <c r="U1276" s="64">
        <f>Table1[[#This Row],[ActualAwayScore]]-Table1[[#This Row],[PredictedAwayScore]]</f>
        <v>0</v>
      </c>
      <c r="V1276" s="64">
        <f>Table1[[#This Row],[ActualHomeScore]]-Table1[[#This Row],[PredictedHomeScore]]</f>
        <v>0</v>
      </c>
      <c r="W1276" s="64">
        <f>(0.8*IF(Table1[[#This Row],[CorrectWinnerPrediction]]=1, 1, 0))+(0.1*IF(Table1[[#This Row],[CorrectAwayScorePrediction]]=1, 1, 0))+(0.1*IF(Table1[[#This Row],[CorrectHomeScorePrediction]]=1, 1, 0))</f>
        <v>0</v>
      </c>
      <c r="X127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76" s="64">
        <f>SUMIF(Table1[GameDate], Table1[[#This Row],[GameDate]], Table1[AwayGameGoalDiff])</f>
        <v>0</v>
      </c>
      <c r="AA1276" s="64">
        <f>SUMIF(Table1[GameDate], Table1[[#This Row],[GameDate]], Table1[HomeGameGoalDiff])</f>
        <v>0</v>
      </c>
      <c r="AB1276" s="64">
        <f>IF(ISBLANK(Table1[[#This Row],[ActualResult]]), 0, 1)</f>
        <v>0</v>
      </c>
      <c r="AC1276" s="64">
        <f>IF(ISBLANK(Table1[[#This Row],[ActualResult]]), 0, IF(Table1[[#This Row],[ActualWinner]]=Table1[[#This Row],[PredictedWinner]], 1, 0))</f>
        <v>0</v>
      </c>
      <c r="AD127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7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76" s="64">
        <f>IF(AND(Table1[[#This Row],[GameIsOver]]=1,Table1[[#This Row],[ActualAwayScore]]=0), 1,0)</f>
        <v>0</v>
      </c>
      <c r="AG1276" s="64">
        <f>IF(AND(Table1[[#This Row],[GameIsOver]]=1,Table1[[#This Row],[ActualHomeScore]]=0), 1,0)</f>
        <v>0</v>
      </c>
      <c r="AH1276" s="64">
        <f>IF(Table1[[#This Row],[GameIsOver]]=0,0,IF(Table1[[#This Row],[ActualWinner]]=Table1[[#This Row],[AwayTeam]], 1, 0))</f>
        <v>0</v>
      </c>
      <c r="AI1276" s="64">
        <f>IF(Table1[[#This Row],[GameIsOver]]=0,0,IF(Table1[[#This Row],[ActualWinner]]=Table1[[#This Row],[HomeTeam]], 1, 0))</f>
        <v>0</v>
      </c>
      <c r="AJ1276" s="64">
        <f>IF(INDEX(Standings!$A$2:$C$33,MATCH(Table1[[#This Row],[AwayTeam]],Standings!$A$2:$A$33,0),2)=INDEX(Standings!$A$2:$C$33,MATCH(Table1[[#This Row],[HomeTeam]],Standings!$A$2:$A$33,0),2),1,0)</f>
        <v>1</v>
      </c>
      <c r="AK1276" s="64">
        <f>IF(INDEX(Standings!$A$2:$C$33,MATCH(Table1[[#This Row],[AwayTeam]],Standings!$A$2:$A$33,0),3)=INDEX(Standings!$A$2:$C$33,MATCH(Table1[[#This Row],[HomeTeam]],Standings!$A$2:$A$33,0),3),1,0)</f>
        <v>0</v>
      </c>
      <c r="AL1276" s="64">
        <f>IF(Table1[[#This Row],[InterConf]]=1,IF(Table1[[#This Row],[InterDiv]]=0, 1, 0), 0)</f>
        <v>1</v>
      </c>
      <c r="AM1276" s="64">
        <f>IF(INDEX(Standings!$A$2:$C$33,MATCH(Table1[[#This Row],[AwayTeam]],Standings!$A$2:$A$33,0),2)&lt;&gt;INDEX(Standings!$A$2:$C$33,MATCH(Table1[[#This Row],[HomeTeam]],Standings!$A$2:$A$33,0),2),1,0)</f>
        <v>0</v>
      </c>
      <c r="AN1276" s="64" t="str">
        <f>INDEX(Table2[AWAY_RECORD], MATCH(Table1[[#This Row],[AwayTeam]],Table2[Team], 0), 0)</f>
        <v>1-0-0</v>
      </c>
      <c r="AO1276" s="64" t="str">
        <f>INDEX(Records!$B$2:$AG$33, MATCH(Table1[[#This Row],[AwayTeam]],Records!$A$2:$A$33, 0), MATCH(Table1[[#This Row],[HomeTeam]],Records!$A$2:$A$33, 0))</f>
        <v>1-0-0</v>
      </c>
      <c r="AP1276" s="64" t="str">
        <f>INDEX(Table2[HOME_RECORD], MATCH(Table1[[#This Row],[HomeTeam]],Table2[Team], 0), 0)</f>
        <v>0-0-1</v>
      </c>
      <c r="AQ1276" s="64" t="str">
        <f>INDEX(Records!$B$2:$AG$33, MATCH(Table1[[#This Row],[HomeTeam]],Records!$A$2:$A$33, 0), MATCH(Table1[[#This Row],[AwayTeam]],Records!$A$2:$A$33, 0))</f>
        <v>0-0-1</v>
      </c>
    </row>
    <row r="1277" spans="1:43" x14ac:dyDescent="0.25">
      <c r="A1277" s="1"/>
      <c r="D1277" t="s">
        <v>1637</v>
      </c>
      <c r="E1277" t="s">
        <v>164</v>
      </c>
      <c r="F1277" t="s">
        <v>1642</v>
      </c>
      <c r="G1277" t="s">
        <v>45</v>
      </c>
      <c r="H1277" t="s">
        <v>25</v>
      </c>
      <c r="L127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7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77" s="1"/>
      <c r="T1277" s="64" t="str">
        <f>IF(Table1[[#This Row],[ActualWinner]]="", "", IF(Table1[[#This Row],[AwayTeam]]=Table1[[#This Row],[ActualWinner]],Table1[[#This Row],[HomeTeam]],Table1[[#This Row],[AwayTeam]]))</f>
        <v/>
      </c>
      <c r="U1277" s="64">
        <f>Table1[[#This Row],[ActualAwayScore]]-Table1[[#This Row],[PredictedAwayScore]]</f>
        <v>0</v>
      </c>
      <c r="V1277" s="64">
        <f>Table1[[#This Row],[ActualHomeScore]]-Table1[[#This Row],[PredictedHomeScore]]</f>
        <v>0</v>
      </c>
      <c r="W1277" s="64">
        <f>(0.8*IF(Table1[[#This Row],[CorrectWinnerPrediction]]=1, 1, 0))+(0.1*IF(Table1[[#This Row],[CorrectAwayScorePrediction]]=1, 1, 0))+(0.1*IF(Table1[[#This Row],[CorrectHomeScorePrediction]]=1, 1, 0))</f>
        <v>0</v>
      </c>
      <c r="X127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77" s="64">
        <f>SUMIF(Table1[GameDate], Table1[[#This Row],[GameDate]], Table1[AwayGameGoalDiff])</f>
        <v>0</v>
      </c>
      <c r="AA1277" s="64">
        <f>SUMIF(Table1[GameDate], Table1[[#This Row],[GameDate]], Table1[HomeGameGoalDiff])</f>
        <v>0</v>
      </c>
      <c r="AB1277" s="64">
        <f>IF(ISBLANK(Table1[[#This Row],[ActualResult]]), 0, 1)</f>
        <v>0</v>
      </c>
      <c r="AC1277" s="64">
        <f>IF(ISBLANK(Table1[[#This Row],[ActualResult]]), 0, IF(Table1[[#This Row],[ActualWinner]]=Table1[[#This Row],[PredictedWinner]], 1, 0))</f>
        <v>0</v>
      </c>
      <c r="AD127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7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77" s="64">
        <f>IF(AND(Table1[[#This Row],[GameIsOver]]=1,Table1[[#This Row],[ActualAwayScore]]=0), 1,0)</f>
        <v>0</v>
      </c>
      <c r="AG1277" s="64">
        <f>IF(AND(Table1[[#This Row],[GameIsOver]]=1,Table1[[#This Row],[ActualHomeScore]]=0), 1,0)</f>
        <v>0</v>
      </c>
      <c r="AH1277" s="64">
        <f>IF(Table1[[#This Row],[GameIsOver]]=0,0,IF(Table1[[#This Row],[ActualWinner]]=Table1[[#This Row],[AwayTeam]], 1, 0))</f>
        <v>0</v>
      </c>
      <c r="AI1277" s="64">
        <f>IF(Table1[[#This Row],[GameIsOver]]=0,0,IF(Table1[[#This Row],[ActualWinner]]=Table1[[#This Row],[HomeTeam]], 1, 0))</f>
        <v>0</v>
      </c>
      <c r="AJ1277" s="64">
        <f>IF(INDEX(Standings!$A$2:$C$33,MATCH(Table1[[#This Row],[AwayTeam]],Standings!$A$2:$A$33,0),2)=INDEX(Standings!$A$2:$C$33,MATCH(Table1[[#This Row],[HomeTeam]],Standings!$A$2:$A$33,0),2),1,0)</f>
        <v>1</v>
      </c>
      <c r="AK1277" s="64">
        <f>IF(INDEX(Standings!$A$2:$C$33,MATCH(Table1[[#This Row],[AwayTeam]],Standings!$A$2:$A$33,0),3)=INDEX(Standings!$A$2:$C$33,MATCH(Table1[[#This Row],[HomeTeam]],Standings!$A$2:$A$33,0),3),1,0)</f>
        <v>1</v>
      </c>
      <c r="AL1277" s="64">
        <f>IF(Table1[[#This Row],[InterConf]]=1,IF(Table1[[#This Row],[InterDiv]]=0, 1, 0), 0)</f>
        <v>0</v>
      </c>
      <c r="AM1277" s="64">
        <f>IF(INDEX(Standings!$A$2:$C$33,MATCH(Table1[[#This Row],[AwayTeam]],Standings!$A$2:$A$33,0),2)&lt;&gt;INDEX(Standings!$A$2:$C$33,MATCH(Table1[[#This Row],[HomeTeam]],Standings!$A$2:$A$33,0),2),1,0)</f>
        <v>0</v>
      </c>
      <c r="AN1277" s="64" t="str">
        <f>INDEX(Table2[AWAY_RECORD], MATCH(Table1[[#This Row],[AwayTeam]],Table2[Team], 0), 0)</f>
        <v>1-0-0</v>
      </c>
      <c r="AO1277" s="64" t="str">
        <f>INDEX(Records!$B$2:$AG$33, MATCH(Table1[[#This Row],[AwayTeam]],Records!$A$2:$A$33, 0), MATCH(Table1[[#This Row],[HomeTeam]],Records!$A$2:$A$33, 0))</f>
        <v>0-0-0</v>
      </c>
      <c r="AP1277" s="64" t="str">
        <f>INDEX(Table2[HOME_RECORD], MATCH(Table1[[#This Row],[HomeTeam]],Table2[Team], 0), 0)</f>
        <v>0-0-1</v>
      </c>
      <c r="AQ1277" s="64" t="str">
        <f>INDEX(Records!$B$2:$AG$33, MATCH(Table1[[#This Row],[HomeTeam]],Records!$A$2:$A$33, 0), MATCH(Table1[[#This Row],[AwayTeam]],Records!$A$2:$A$33, 0))</f>
        <v>0-0-0</v>
      </c>
    </row>
    <row r="1278" spans="1:43" x14ac:dyDescent="0.25">
      <c r="A1278" s="1"/>
      <c r="D1278" t="s">
        <v>1643</v>
      </c>
      <c r="E1278" t="s">
        <v>1644</v>
      </c>
      <c r="F1278" t="s">
        <v>1645</v>
      </c>
      <c r="G1278" t="s">
        <v>17</v>
      </c>
      <c r="H1278" t="s">
        <v>51</v>
      </c>
      <c r="L127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7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78" s="1"/>
      <c r="T1278" s="64" t="str">
        <f>IF(Table1[[#This Row],[ActualWinner]]="", "", IF(Table1[[#This Row],[AwayTeam]]=Table1[[#This Row],[ActualWinner]],Table1[[#This Row],[HomeTeam]],Table1[[#This Row],[AwayTeam]]))</f>
        <v/>
      </c>
      <c r="U1278" s="64">
        <f>Table1[[#This Row],[ActualAwayScore]]-Table1[[#This Row],[PredictedAwayScore]]</f>
        <v>0</v>
      </c>
      <c r="V1278" s="64">
        <f>Table1[[#This Row],[ActualHomeScore]]-Table1[[#This Row],[PredictedHomeScore]]</f>
        <v>0</v>
      </c>
      <c r="W1278" s="64">
        <f>(0.8*IF(Table1[[#This Row],[CorrectWinnerPrediction]]=1, 1, 0))+(0.1*IF(Table1[[#This Row],[CorrectAwayScorePrediction]]=1, 1, 0))+(0.1*IF(Table1[[#This Row],[CorrectHomeScorePrediction]]=1, 1, 0))</f>
        <v>0</v>
      </c>
      <c r="X127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78" s="64">
        <f>SUMIF(Table1[GameDate], Table1[[#This Row],[GameDate]], Table1[AwayGameGoalDiff])</f>
        <v>0</v>
      </c>
      <c r="AA1278" s="64">
        <f>SUMIF(Table1[GameDate], Table1[[#This Row],[GameDate]], Table1[HomeGameGoalDiff])</f>
        <v>0</v>
      </c>
      <c r="AB1278" s="64">
        <f>IF(ISBLANK(Table1[[#This Row],[ActualResult]]), 0, 1)</f>
        <v>0</v>
      </c>
      <c r="AC1278" s="64">
        <f>IF(ISBLANK(Table1[[#This Row],[ActualResult]]), 0, IF(Table1[[#This Row],[ActualWinner]]=Table1[[#This Row],[PredictedWinner]], 1, 0))</f>
        <v>0</v>
      </c>
      <c r="AD127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7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78" s="64">
        <f>IF(AND(Table1[[#This Row],[GameIsOver]]=1,Table1[[#This Row],[ActualAwayScore]]=0), 1,0)</f>
        <v>0</v>
      </c>
      <c r="AG1278" s="64">
        <f>IF(AND(Table1[[#This Row],[GameIsOver]]=1,Table1[[#This Row],[ActualHomeScore]]=0), 1,0)</f>
        <v>0</v>
      </c>
      <c r="AH1278" s="64">
        <f>IF(Table1[[#This Row],[GameIsOver]]=0,0,IF(Table1[[#This Row],[ActualWinner]]=Table1[[#This Row],[AwayTeam]], 1, 0))</f>
        <v>0</v>
      </c>
      <c r="AI1278" s="64">
        <f>IF(Table1[[#This Row],[GameIsOver]]=0,0,IF(Table1[[#This Row],[ActualWinner]]=Table1[[#This Row],[HomeTeam]], 1, 0))</f>
        <v>0</v>
      </c>
      <c r="AJ1278" s="64">
        <f>IF(INDEX(Standings!$A$2:$C$33,MATCH(Table1[[#This Row],[AwayTeam]],Standings!$A$2:$A$33,0),2)=INDEX(Standings!$A$2:$C$33,MATCH(Table1[[#This Row],[HomeTeam]],Standings!$A$2:$A$33,0),2),1,0)</f>
        <v>1</v>
      </c>
      <c r="AK1278" s="64">
        <f>IF(INDEX(Standings!$A$2:$C$33,MATCH(Table1[[#This Row],[AwayTeam]],Standings!$A$2:$A$33,0),3)=INDEX(Standings!$A$2:$C$33,MATCH(Table1[[#This Row],[HomeTeam]],Standings!$A$2:$A$33,0),3),1,0)</f>
        <v>0</v>
      </c>
      <c r="AL1278" s="64">
        <f>IF(Table1[[#This Row],[InterConf]]=1,IF(Table1[[#This Row],[InterDiv]]=0, 1, 0), 0)</f>
        <v>1</v>
      </c>
      <c r="AM1278" s="64">
        <f>IF(INDEX(Standings!$A$2:$C$33,MATCH(Table1[[#This Row],[AwayTeam]],Standings!$A$2:$A$33,0),2)&lt;&gt;INDEX(Standings!$A$2:$C$33,MATCH(Table1[[#This Row],[HomeTeam]],Standings!$A$2:$A$33,0),2),1,0)</f>
        <v>0</v>
      </c>
      <c r="AN1278" s="64" t="str">
        <f>INDEX(Table2[AWAY_RECORD], MATCH(Table1[[#This Row],[AwayTeam]],Table2[Team], 0), 0)</f>
        <v>2-0-0</v>
      </c>
      <c r="AO1278" s="64" t="str">
        <f>INDEX(Records!$B$2:$AG$33, MATCH(Table1[[#This Row],[AwayTeam]],Records!$A$2:$A$33, 0), MATCH(Table1[[#This Row],[HomeTeam]],Records!$A$2:$A$33, 0))</f>
        <v>0-0-0</v>
      </c>
      <c r="AP1278" s="64" t="str">
        <f>INDEX(Table2[HOME_RECORD], MATCH(Table1[[#This Row],[HomeTeam]],Table2[Team], 0), 0)</f>
        <v>1-0-0</v>
      </c>
      <c r="AQ1278" s="64" t="str">
        <f>INDEX(Records!$B$2:$AG$33, MATCH(Table1[[#This Row],[HomeTeam]],Records!$A$2:$A$33, 0), MATCH(Table1[[#This Row],[AwayTeam]],Records!$A$2:$A$33, 0))</f>
        <v>0-0-0</v>
      </c>
    </row>
    <row r="1279" spans="1:43" x14ac:dyDescent="0.25">
      <c r="A1279" s="1"/>
      <c r="D1279" t="s">
        <v>1643</v>
      </c>
      <c r="E1279" t="s">
        <v>386</v>
      </c>
      <c r="F1279" t="s">
        <v>1646</v>
      </c>
      <c r="G1279" t="s">
        <v>57</v>
      </c>
      <c r="H1279" t="s">
        <v>37</v>
      </c>
      <c r="L127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7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79" s="1"/>
      <c r="T1279" s="64" t="str">
        <f>IF(Table1[[#This Row],[ActualWinner]]="", "", IF(Table1[[#This Row],[AwayTeam]]=Table1[[#This Row],[ActualWinner]],Table1[[#This Row],[HomeTeam]],Table1[[#This Row],[AwayTeam]]))</f>
        <v/>
      </c>
      <c r="U1279" s="64">
        <f>Table1[[#This Row],[ActualAwayScore]]-Table1[[#This Row],[PredictedAwayScore]]</f>
        <v>0</v>
      </c>
      <c r="V1279" s="64">
        <f>Table1[[#This Row],[ActualHomeScore]]-Table1[[#This Row],[PredictedHomeScore]]</f>
        <v>0</v>
      </c>
      <c r="W1279" s="64">
        <f>(0.8*IF(Table1[[#This Row],[CorrectWinnerPrediction]]=1, 1, 0))+(0.1*IF(Table1[[#This Row],[CorrectAwayScorePrediction]]=1, 1, 0))+(0.1*IF(Table1[[#This Row],[CorrectHomeScorePrediction]]=1, 1, 0))</f>
        <v>0</v>
      </c>
      <c r="X127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79" s="64">
        <f>SUMIF(Table1[GameDate], Table1[[#This Row],[GameDate]], Table1[AwayGameGoalDiff])</f>
        <v>0</v>
      </c>
      <c r="AA1279" s="64">
        <f>SUMIF(Table1[GameDate], Table1[[#This Row],[GameDate]], Table1[HomeGameGoalDiff])</f>
        <v>0</v>
      </c>
      <c r="AB1279" s="64">
        <f>IF(ISBLANK(Table1[[#This Row],[ActualResult]]), 0, 1)</f>
        <v>0</v>
      </c>
      <c r="AC1279" s="64">
        <f>IF(ISBLANK(Table1[[#This Row],[ActualResult]]), 0, IF(Table1[[#This Row],[ActualWinner]]=Table1[[#This Row],[PredictedWinner]], 1, 0))</f>
        <v>0</v>
      </c>
      <c r="AD127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7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79" s="64">
        <f>IF(AND(Table1[[#This Row],[GameIsOver]]=1,Table1[[#This Row],[ActualAwayScore]]=0), 1,0)</f>
        <v>0</v>
      </c>
      <c r="AG1279" s="64">
        <f>IF(AND(Table1[[#This Row],[GameIsOver]]=1,Table1[[#This Row],[ActualHomeScore]]=0), 1,0)</f>
        <v>0</v>
      </c>
      <c r="AH1279" s="64">
        <f>IF(Table1[[#This Row],[GameIsOver]]=0,0,IF(Table1[[#This Row],[ActualWinner]]=Table1[[#This Row],[AwayTeam]], 1, 0))</f>
        <v>0</v>
      </c>
      <c r="AI1279" s="64">
        <f>IF(Table1[[#This Row],[GameIsOver]]=0,0,IF(Table1[[#This Row],[ActualWinner]]=Table1[[#This Row],[HomeTeam]], 1, 0))</f>
        <v>0</v>
      </c>
      <c r="AJ1279" s="64">
        <f>IF(INDEX(Standings!$A$2:$C$33,MATCH(Table1[[#This Row],[AwayTeam]],Standings!$A$2:$A$33,0),2)=INDEX(Standings!$A$2:$C$33,MATCH(Table1[[#This Row],[HomeTeam]],Standings!$A$2:$A$33,0),2),1,0)</f>
        <v>1</v>
      </c>
      <c r="AK1279" s="64">
        <f>IF(INDEX(Standings!$A$2:$C$33,MATCH(Table1[[#This Row],[AwayTeam]],Standings!$A$2:$A$33,0),3)=INDEX(Standings!$A$2:$C$33,MATCH(Table1[[#This Row],[HomeTeam]],Standings!$A$2:$A$33,0),3),1,0)</f>
        <v>1</v>
      </c>
      <c r="AL1279" s="64">
        <f>IF(Table1[[#This Row],[InterConf]]=1,IF(Table1[[#This Row],[InterDiv]]=0, 1, 0), 0)</f>
        <v>0</v>
      </c>
      <c r="AM1279" s="64">
        <f>IF(INDEX(Standings!$A$2:$C$33,MATCH(Table1[[#This Row],[AwayTeam]],Standings!$A$2:$A$33,0),2)&lt;&gt;INDEX(Standings!$A$2:$C$33,MATCH(Table1[[#This Row],[HomeTeam]],Standings!$A$2:$A$33,0),2),1,0)</f>
        <v>0</v>
      </c>
      <c r="AN1279" s="64" t="str">
        <f>INDEX(Table2[AWAY_RECORD], MATCH(Table1[[#This Row],[AwayTeam]],Table2[Team], 0), 0)</f>
        <v>0-1-0</v>
      </c>
      <c r="AO1279" s="64" t="str">
        <f>INDEX(Records!$B$2:$AG$33, MATCH(Table1[[#This Row],[AwayTeam]],Records!$A$2:$A$33, 0), MATCH(Table1[[#This Row],[HomeTeam]],Records!$A$2:$A$33, 0))</f>
        <v>0-0-0</v>
      </c>
      <c r="AP1279" s="64" t="str">
        <f>INDEX(Table2[HOME_RECORD], MATCH(Table1[[#This Row],[HomeTeam]],Table2[Team], 0), 0)</f>
        <v>0-1-0</v>
      </c>
      <c r="AQ1279" s="64" t="str">
        <f>INDEX(Records!$B$2:$AG$33, MATCH(Table1[[#This Row],[HomeTeam]],Records!$A$2:$A$33, 0), MATCH(Table1[[#This Row],[AwayTeam]],Records!$A$2:$A$33, 0))</f>
        <v>0-0-0</v>
      </c>
    </row>
    <row r="1280" spans="1:43" x14ac:dyDescent="0.25">
      <c r="A1280" s="1"/>
      <c r="D1280" t="s">
        <v>1643</v>
      </c>
      <c r="E1280" t="s">
        <v>250</v>
      </c>
      <c r="F1280" t="s">
        <v>1647</v>
      </c>
      <c r="G1280" t="s">
        <v>39</v>
      </c>
      <c r="H1280" t="s">
        <v>48</v>
      </c>
      <c r="L128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8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80" s="1"/>
      <c r="T1280" s="64" t="str">
        <f>IF(Table1[[#This Row],[ActualWinner]]="", "", IF(Table1[[#This Row],[AwayTeam]]=Table1[[#This Row],[ActualWinner]],Table1[[#This Row],[HomeTeam]],Table1[[#This Row],[AwayTeam]]))</f>
        <v/>
      </c>
      <c r="U1280" s="64">
        <f>Table1[[#This Row],[ActualAwayScore]]-Table1[[#This Row],[PredictedAwayScore]]</f>
        <v>0</v>
      </c>
      <c r="V1280" s="64">
        <f>Table1[[#This Row],[ActualHomeScore]]-Table1[[#This Row],[PredictedHomeScore]]</f>
        <v>0</v>
      </c>
      <c r="W1280" s="64">
        <f>(0.8*IF(Table1[[#This Row],[CorrectWinnerPrediction]]=1, 1, 0))+(0.1*IF(Table1[[#This Row],[CorrectAwayScorePrediction]]=1, 1, 0))+(0.1*IF(Table1[[#This Row],[CorrectHomeScorePrediction]]=1, 1, 0))</f>
        <v>0</v>
      </c>
      <c r="X128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80" s="64">
        <f>SUMIF(Table1[GameDate], Table1[[#This Row],[GameDate]], Table1[AwayGameGoalDiff])</f>
        <v>0</v>
      </c>
      <c r="AA1280" s="64">
        <f>SUMIF(Table1[GameDate], Table1[[#This Row],[GameDate]], Table1[HomeGameGoalDiff])</f>
        <v>0</v>
      </c>
      <c r="AB1280" s="64">
        <f>IF(ISBLANK(Table1[[#This Row],[ActualResult]]), 0, 1)</f>
        <v>0</v>
      </c>
      <c r="AC1280" s="64">
        <f>IF(ISBLANK(Table1[[#This Row],[ActualResult]]), 0, IF(Table1[[#This Row],[ActualWinner]]=Table1[[#This Row],[PredictedWinner]], 1, 0))</f>
        <v>0</v>
      </c>
      <c r="AD128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8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80" s="64">
        <f>IF(AND(Table1[[#This Row],[GameIsOver]]=1,Table1[[#This Row],[ActualAwayScore]]=0), 1,0)</f>
        <v>0</v>
      </c>
      <c r="AG1280" s="64">
        <f>IF(AND(Table1[[#This Row],[GameIsOver]]=1,Table1[[#This Row],[ActualHomeScore]]=0), 1,0)</f>
        <v>0</v>
      </c>
      <c r="AH1280" s="64">
        <f>IF(Table1[[#This Row],[GameIsOver]]=0,0,IF(Table1[[#This Row],[ActualWinner]]=Table1[[#This Row],[AwayTeam]], 1, 0))</f>
        <v>0</v>
      </c>
      <c r="AI1280" s="64">
        <f>IF(Table1[[#This Row],[GameIsOver]]=0,0,IF(Table1[[#This Row],[ActualWinner]]=Table1[[#This Row],[HomeTeam]], 1, 0))</f>
        <v>0</v>
      </c>
      <c r="AJ1280" s="64">
        <f>IF(INDEX(Standings!$A$2:$C$33,MATCH(Table1[[#This Row],[AwayTeam]],Standings!$A$2:$A$33,0),2)=INDEX(Standings!$A$2:$C$33,MATCH(Table1[[#This Row],[HomeTeam]],Standings!$A$2:$A$33,0),2),1,0)</f>
        <v>1</v>
      </c>
      <c r="AK1280" s="64">
        <f>IF(INDEX(Standings!$A$2:$C$33,MATCH(Table1[[#This Row],[AwayTeam]],Standings!$A$2:$A$33,0),3)=INDEX(Standings!$A$2:$C$33,MATCH(Table1[[#This Row],[HomeTeam]],Standings!$A$2:$A$33,0),3),1,0)</f>
        <v>0</v>
      </c>
      <c r="AL1280" s="64">
        <f>IF(Table1[[#This Row],[InterConf]]=1,IF(Table1[[#This Row],[InterDiv]]=0, 1, 0), 0)</f>
        <v>1</v>
      </c>
      <c r="AM1280" s="64">
        <f>IF(INDEX(Standings!$A$2:$C$33,MATCH(Table1[[#This Row],[AwayTeam]],Standings!$A$2:$A$33,0),2)&lt;&gt;INDEX(Standings!$A$2:$C$33,MATCH(Table1[[#This Row],[HomeTeam]],Standings!$A$2:$A$33,0),2),1,0)</f>
        <v>0</v>
      </c>
      <c r="AN1280" s="64" t="str">
        <f>INDEX(Table2[AWAY_RECORD], MATCH(Table1[[#This Row],[AwayTeam]],Table2[Team], 0), 0)</f>
        <v>0-0-0</v>
      </c>
      <c r="AO1280" s="64" t="str">
        <f>INDEX(Records!$B$2:$AG$33, MATCH(Table1[[#This Row],[AwayTeam]],Records!$A$2:$A$33, 0), MATCH(Table1[[#This Row],[HomeTeam]],Records!$A$2:$A$33, 0))</f>
        <v>0-0-0</v>
      </c>
      <c r="AP1280" s="64" t="str">
        <f>INDEX(Table2[HOME_RECORD], MATCH(Table1[[#This Row],[HomeTeam]],Table2[Team], 0), 0)</f>
        <v>1-0-0</v>
      </c>
      <c r="AQ1280" s="64" t="str">
        <f>INDEX(Records!$B$2:$AG$33, MATCH(Table1[[#This Row],[HomeTeam]],Records!$A$2:$A$33, 0), MATCH(Table1[[#This Row],[AwayTeam]],Records!$A$2:$A$33, 0))</f>
        <v>0-0-0</v>
      </c>
    </row>
    <row r="1281" spans="1:43" x14ac:dyDescent="0.25">
      <c r="A1281" s="1"/>
      <c r="D1281" t="s">
        <v>1643</v>
      </c>
      <c r="E1281" t="s">
        <v>158</v>
      </c>
      <c r="F1281" t="s">
        <v>1648</v>
      </c>
      <c r="G1281" t="s">
        <v>42</v>
      </c>
      <c r="H1281" t="s">
        <v>59</v>
      </c>
      <c r="L128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8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81" s="1"/>
      <c r="T1281" s="64" t="str">
        <f>IF(Table1[[#This Row],[ActualWinner]]="", "", IF(Table1[[#This Row],[AwayTeam]]=Table1[[#This Row],[ActualWinner]],Table1[[#This Row],[HomeTeam]],Table1[[#This Row],[AwayTeam]]))</f>
        <v/>
      </c>
      <c r="U1281" s="64">
        <f>Table1[[#This Row],[ActualAwayScore]]-Table1[[#This Row],[PredictedAwayScore]]</f>
        <v>0</v>
      </c>
      <c r="V1281" s="64">
        <f>Table1[[#This Row],[ActualHomeScore]]-Table1[[#This Row],[PredictedHomeScore]]</f>
        <v>0</v>
      </c>
      <c r="W1281" s="64">
        <f>(0.8*IF(Table1[[#This Row],[CorrectWinnerPrediction]]=1, 1, 0))+(0.1*IF(Table1[[#This Row],[CorrectAwayScorePrediction]]=1, 1, 0))+(0.1*IF(Table1[[#This Row],[CorrectHomeScorePrediction]]=1, 1, 0))</f>
        <v>0</v>
      </c>
      <c r="X128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81" s="64">
        <f>SUMIF(Table1[GameDate], Table1[[#This Row],[GameDate]], Table1[AwayGameGoalDiff])</f>
        <v>0</v>
      </c>
      <c r="AA1281" s="64">
        <f>SUMIF(Table1[GameDate], Table1[[#This Row],[GameDate]], Table1[HomeGameGoalDiff])</f>
        <v>0</v>
      </c>
      <c r="AB1281" s="64">
        <f>IF(ISBLANK(Table1[[#This Row],[ActualResult]]), 0, 1)</f>
        <v>0</v>
      </c>
      <c r="AC1281" s="64">
        <f>IF(ISBLANK(Table1[[#This Row],[ActualResult]]), 0, IF(Table1[[#This Row],[ActualWinner]]=Table1[[#This Row],[PredictedWinner]], 1, 0))</f>
        <v>0</v>
      </c>
      <c r="AD128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8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81" s="64">
        <f>IF(AND(Table1[[#This Row],[GameIsOver]]=1,Table1[[#This Row],[ActualAwayScore]]=0), 1,0)</f>
        <v>0</v>
      </c>
      <c r="AG1281" s="64">
        <f>IF(AND(Table1[[#This Row],[GameIsOver]]=1,Table1[[#This Row],[ActualHomeScore]]=0), 1,0)</f>
        <v>0</v>
      </c>
      <c r="AH1281" s="64">
        <f>IF(Table1[[#This Row],[GameIsOver]]=0,0,IF(Table1[[#This Row],[ActualWinner]]=Table1[[#This Row],[AwayTeam]], 1, 0))</f>
        <v>0</v>
      </c>
      <c r="AI1281" s="64">
        <f>IF(Table1[[#This Row],[GameIsOver]]=0,0,IF(Table1[[#This Row],[ActualWinner]]=Table1[[#This Row],[HomeTeam]], 1, 0))</f>
        <v>0</v>
      </c>
      <c r="AJ1281" s="64">
        <f>IF(INDEX(Standings!$A$2:$C$33,MATCH(Table1[[#This Row],[AwayTeam]],Standings!$A$2:$A$33,0),2)=INDEX(Standings!$A$2:$C$33,MATCH(Table1[[#This Row],[HomeTeam]],Standings!$A$2:$A$33,0),2),1,0)</f>
        <v>1</v>
      </c>
      <c r="AK1281" s="64">
        <f>IF(INDEX(Standings!$A$2:$C$33,MATCH(Table1[[#This Row],[AwayTeam]],Standings!$A$2:$A$33,0),3)=INDEX(Standings!$A$2:$C$33,MATCH(Table1[[#This Row],[HomeTeam]],Standings!$A$2:$A$33,0),3),1,0)</f>
        <v>1</v>
      </c>
      <c r="AL1281" s="64">
        <f>IF(Table1[[#This Row],[InterConf]]=1,IF(Table1[[#This Row],[InterDiv]]=0, 1, 0), 0)</f>
        <v>0</v>
      </c>
      <c r="AM1281" s="64">
        <f>IF(INDEX(Standings!$A$2:$C$33,MATCH(Table1[[#This Row],[AwayTeam]],Standings!$A$2:$A$33,0),2)&lt;&gt;INDEX(Standings!$A$2:$C$33,MATCH(Table1[[#This Row],[HomeTeam]],Standings!$A$2:$A$33,0),2),1,0)</f>
        <v>0</v>
      </c>
      <c r="AN1281" s="64" t="str">
        <f>INDEX(Table2[AWAY_RECORD], MATCH(Table1[[#This Row],[AwayTeam]],Table2[Team], 0), 0)</f>
        <v>0-0-0</v>
      </c>
      <c r="AO1281" s="64" t="str">
        <f>INDEX(Records!$B$2:$AG$33, MATCH(Table1[[#This Row],[AwayTeam]],Records!$A$2:$A$33, 0), MATCH(Table1[[#This Row],[HomeTeam]],Records!$A$2:$A$33, 0))</f>
        <v>0-0-0</v>
      </c>
      <c r="AP1281" s="64" t="str">
        <f>INDEX(Table2[HOME_RECORD], MATCH(Table1[[#This Row],[HomeTeam]],Table2[Team], 0), 0)</f>
        <v>0-0-0</v>
      </c>
      <c r="AQ1281" s="64" t="str">
        <f>INDEX(Records!$B$2:$AG$33, MATCH(Table1[[#This Row],[HomeTeam]],Records!$A$2:$A$33, 0), MATCH(Table1[[#This Row],[AwayTeam]],Records!$A$2:$A$33, 0))</f>
        <v>0-0-0</v>
      </c>
    </row>
    <row r="1282" spans="1:43" x14ac:dyDescent="0.25">
      <c r="A1282" s="1"/>
      <c r="D1282" t="s">
        <v>1643</v>
      </c>
      <c r="E1282" t="s">
        <v>158</v>
      </c>
      <c r="F1282" t="s">
        <v>1649</v>
      </c>
      <c r="G1282" t="s">
        <v>49</v>
      </c>
      <c r="H1282" t="s">
        <v>40</v>
      </c>
      <c r="L128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8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82" s="1"/>
      <c r="T1282" s="64" t="str">
        <f>IF(Table1[[#This Row],[ActualWinner]]="", "", IF(Table1[[#This Row],[AwayTeam]]=Table1[[#This Row],[ActualWinner]],Table1[[#This Row],[HomeTeam]],Table1[[#This Row],[AwayTeam]]))</f>
        <v/>
      </c>
      <c r="U1282" s="64">
        <f>Table1[[#This Row],[ActualAwayScore]]-Table1[[#This Row],[PredictedAwayScore]]</f>
        <v>0</v>
      </c>
      <c r="V1282" s="64">
        <f>Table1[[#This Row],[ActualHomeScore]]-Table1[[#This Row],[PredictedHomeScore]]</f>
        <v>0</v>
      </c>
      <c r="W1282" s="64">
        <f>(0.8*IF(Table1[[#This Row],[CorrectWinnerPrediction]]=1, 1, 0))+(0.1*IF(Table1[[#This Row],[CorrectAwayScorePrediction]]=1, 1, 0))+(0.1*IF(Table1[[#This Row],[CorrectHomeScorePrediction]]=1, 1, 0))</f>
        <v>0</v>
      </c>
      <c r="X128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82" s="64">
        <f>SUMIF(Table1[GameDate], Table1[[#This Row],[GameDate]], Table1[AwayGameGoalDiff])</f>
        <v>0</v>
      </c>
      <c r="AA1282" s="64">
        <f>SUMIF(Table1[GameDate], Table1[[#This Row],[GameDate]], Table1[HomeGameGoalDiff])</f>
        <v>0</v>
      </c>
      <c r="AB1282" s="64">
        <f>IF(ISBLANK(Table1[[#This Row],[ActualResult]]), 0, 1)</f>
        <v>0</v>
      </c>
      <c r="AC1282" s="64">
        <f>IF(ISBLANK(Table1[[#This Row],[ActualResult]]), 0, IF(Table1[[#This Row],[ActualWinner]]=Table1[[#This Row],[PredictedWinner]], 1, 0))</f>
        <v>0</v>
      </c>
      <c r="AD128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8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82" s="64">
        <f>IF(AND(Table1[[#This Row],[GameIsOver]]=1,Table1[[#This Row],[ActualAwayScore]]=0), 1,0)</f>
        <v>0</v>
      </c>
      <c r="AG1282" s="64">
        <f>IF(AND(Table1[[#This Row],[GameIsOver]]=1,Table1[[#This Row],[ActualHomeScore]]=0), 1,0)</f>
        <v>0</v>
      </c>
      <c r="AH1282" s="64">
        <f>IF(Table1[[#This Row],[GameIsOver]]=0,0,IF(Table1[[#This Row],[ActualWinner]]=Table1[[#This Row],[AwayTeam]], 1, 0))</f>
        <v>0</v>
      </c>
      <c r="AI1282" s="64">
        <f>IF(Table1[[#This Row],[GameIsOver]]=0,0,IF(Table1[[#This Row],[ActualWinner]]=Table1[[#This Row],[HomeTeam]], 1, 0))</f>
        <v>0</v>
      </c>
      <c r="AJ1282" s="64">
        <f>IF(INDEX(Standings!$A$2:$C$33,MATCH(Table1[[#This Row],[AwayTeam]],Standings!$A$2:$A$33,0),2)=INDEX(Standings!$A$2:$C$33,MATCH(Table1[[#This Row],[HomeTeam]],Standings!$A$2:$A$33,0),2),1,0)</f>
        <v>1</v>
      </c>
      <c r="AK1282" s="64">
        <f>IF(INDEX(Standings!$A$2:$C$33,MATCH(Table1[[#This Row],[AwayTeam]],Standings!$A$2:$A$33,0),3)=INDEX(Standings!$A$2:$C$33,MATCH(Table1[[#This Row],[HomeTeam]],Standings!$A$2:$A$33,0),3),1,0)</f>
        <v>1</v>
      </c>
      <c r="AL1282" s="64">
        <f>IF(Table1[[#This Row],[InterConf]]=1,IF(Table1[[#This Row],[InterDiv]]=0, 1, 0), 0)</f>
        <v>0</v>
      </c>
      <c r="AM1282" s="64">
        <f>IF(INDEX(Standings!$A$2:$C$33,MATCH(Table1[[#This Row],[AwayTeam]],Standings!$A$2:$A$33,0),2)&lt;&gt;INDEX(Standings!$A$2:$C$33,MATCH(Table1[[#This Row],[HomeTeam]],Standings!$A$2:$A$33,0),2),1,0)</f>
        <v>0</v>
      </c>
      <c r="AN1282" s="64" t="str">
        <f>INDEX(Table2[AWAY_RECORD], MATCH(Table1[[#This Row],[AwayTeam]],Table2[Team], 0), 0)</f>
        <v>0-0-0</v>
      </c>
      <c r="AO1282" s="64" t="str">
        <f>INDEX(Records!$B$2:$AG$33, MATCH(Table1[[#This Row],[AwayTeam]],Records!$A$2:$A$33, 0), MATCH(Table1[[#This Row],[HomeTeam]],Records!$A$2:$A$33, 0))</f>
        <v>0-0-0</v>
      </c>
      <c r="AP1282" s="64" t="str">
        <f>INDEX(Table2[HOME_RECORD], MATCH(Table1[[#This Row],[HomeTeam]],Table2[Team], 0), 0)</f>
        <v>1-1-0</v>
      </c>
      <c r="AQ1282" s="64" t="str">
        <f>INDEX(Records!$B$2:$AG$33, MATCH(Table1[[#This Row],[HomeTeam]],Records!$A$2:$A$33, 0), MATCH(Table1[[#This Row],[AwayTeam]],Records!$A$2:$A$33, 0))</f>
        <v>0-0-0</v>
      </c>
    </row>
    <row r="1283" spans="1:43" x14ac:dyDescent="0.25">
      <c r="A1283" s="1"/>
      <c r="D1283" t="s">
        <v>1643</v>
      </c>
      <c r="E1283" t="s">
        <v>207</v>
      </c>
      <c r="F1283" t="s">
        <v>1650</v>
      </c>
      <c r="G1283" t="s">
        <v>16</v>
      </c>
      <c r="H1283" t="s">
        <v>43</v>
      </c>
      <c r="L128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8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83" s="1"/>
      <c r="T1283" s="64" t="str">
        <f>IF(Table1[[#This Row],[ActualWinner]]="", "", IF(Table1[[#This Row],[AwayTeam]]=Table1[[#This Row],[ActualWinner]],Table1[[#This Row],[HomeTeam]],Table1[[#This Row],[AwayTeam]]))</f>
        <v/>
      </c>
      <c r="U1283" s="64">
        <f>Table1[[#This Row],[ActualAwayScore]]-Table1[[#This Row],[PredictedAwayScore]]</f>
        <v>0</v>
      </c>
      <c r="V1283" s="64">
        <f>Table1[[#This Row],[ActualHomeScore]]-Table1[[#This Row],[PredictedHomeScore]]</f>
        <v>0</v>
      </c>
      <c r="W1283" s="64">
        <f>(0.8*IF(Table1[[#This Row],[CorrectWinnerPrediction]]=1, 1, 0))+(0.1*IF(Table1[[#This Row],[CorrectAwayScorePrediction]]=1, 1, 0))+(0.1*IF(Table1[[#This Row],[CorrectHomeScorePrediction]]=1, 1, 0))</f>
        <v>0</v>
      </c>
      <c r="X128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83" s="64">
        <f>SUMIF(Table1[GameDate], Table1[[#This Row],[GameDate]], Table1[AwayGameGoalDiff])</f>
        <v>0</v>
      </c>
      <c r="AA1283" s="64">
        <f>SUMIF(Table1[GameDate], Table1[[#This Row],[GameDate]], Table1[HomeGameGoalDiff])</f>
        <v>0</v>
      </c>
      <c r="AB1283" s="64">
        <f>IF(ISBLANK(Table1[[#This Row],[ActualResult]]), 0, 1)</f>
        <v>0</v>
      </c>
      <c r="AC1283" s="64">
        <f>IF(ISBLANK(Table1[[#This Row],[ActualResult]]), 0, IF(Table1[[#This Row],[ActualWinner]]=Table1[[#This Row],[PredictedWinner]], 1, 0))</f>
        <v>0</v>
      </c>
      <c r="AD128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8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83" s="64">
        <f>IF(AND(Table1[[#This Row],[GameIsOver]]=1,Table1[[#This Row],[ActualAwayScore]]=0), 1,0)</f>
        <v>0</v>
      </c>
      <c r="AG1283" s="64">
        <f>IF(AND(Table1[[#This Row],[GameIsOver]]=1,Table1[[#This Row],[ActualHomeScore]]=0), 1,0)</f>
        <v>0</v>
      </c>
      <c r="AH1283" s="64">
        <f>IF(Table1[[#This Row],[GameIsOver]]=0,0,IF(Table1[[#This Row],[ActualWinner]]=Table1[[#This Row],[AwayTeam]], 1, 0))</f>
        <v>0</v>
      </c>
      <c r="AI1283" s="64">
        <f>IF(Table1[[#This Row],[GameIsOver]]=0,0,IF(Table1[[#This Row],[ActualWinner]]=Table1[[#This Row],[HomeTeam]], 1, 0))</f>
        <v>0</v>
      </c>
      <c r="AJ1283" s="64">
        <f>IF(INDEX(Standings!$A$2:$C$33,MATCH(Table1[[#This Row],[AwayTeam]],Standings!$A$2:$A$33,0),2)=INDEX(Standings!$A$2:$C$33,MATCH(Table1[[#This Row],[HomeTeam]],Standings!$A$2:$A$33,0),2),1,0)</f>
        <v>1</v>
      </c>
      <c r="AK1283" s="64">
        <f>IF(INDEX(Standings!$A$2:$C$33,MATCH(Table1[[#This Row],[AwayTeam]],Standings!$A$2:$A$33,0),3)=INDEX(Standings!$A$2:$C$33,MATCH(Table1[[#This Row],[HomeTeam]],Standings!$A$2:$A$33,0),3),1,0)</f>
        <v>1</v>
      </c>
      <c r="AL1283" s="64">
        <f>IF(Table1[[#This Row],[InterConf]]=1,IF(Table1[[#This Row],[InterDiv]]=0, 1, 0), 0)</f>
        <v>0</v>
      </c>
      <c r="AM1283" s="64">
        <f>IF(INDEX(Standings!$A$2:$C$33,MATCH(Table1[[#This Row],[AwayTeam]],Standings!$A$2:$A$33,0),2)&lt;&gt;INDEX(Standings!$A$2:$C$33,MATCH(Table1[[#This Row],[HomeTeam]],Standings!$A$2:$A$33,0),2),1,0)</f>
        <v>0</v>
      </c>
      <c r="AN1283" s="64" t="str">
        <f>INDEX(Table2[AWAY_RECORD], MATCH(Table1[[#This Row],[AwayTeam]],Table2[Team], 0), 0)</f>
        <v>1-0-1</v>
      </c>
      <c r="AO1283" s="64" t="str">
        <f>INDEX(Records!$B$2:$AG$33, MATCH(Table1[[#This Row],[AwayTeam]],Records!$A$2:$A$33, 0), MATCH(Table1[[#This Row],[HomeTeam]],Records!$A$2:$A$33, 0))</f>
        <v>0-0-0</v>
      </c>
      <c r="AP1283" s="64" t="str">
        <f>INDEX(Table2[HOME_RECORD], MATCH(Table1[[#This Row],[HomeTeam]],Table2[Team], 0), 0)</f>
        <v>0-0-0</v>
      </c>
      <c r="AQ1283" s="64" t="str">
        <f>INDEX(Records!$B$2:$AG$33, MATCH(Table1[[#This Row],[HomeTeam]],Records!$A$2:$A$33, 0), MATCH(Table1[[#This Row],[AwayTeam]],Records!$A$2:$A$33, 0))</f>
        <v>0-0-0</v>
      </c>
    </row>
    <row r="1284" spans="1:43" x14ac:dyDescent="0.25">
      <c r="A1284" s="1"/>
      <c r="D1284" t="s">
        <v>1643</v>
      </c>
      <c r="E1284" t="s">
        <v>160</v>
      </c>
      <c r="F1284" t="s">
        <v>1651</v>
      </c>
      <c r="G1284" t="s">
        <v>38</v>
      </c>
      <c r="H1284" t="s">
        <v>24</v>
      </c>
      <c r="L128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8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84" s="1"/>
      <c r="T1284" s="64" t="str">
        <f>IF(Table1[[#This Row],[ActualWinner]]="", "", IF(Table1[[#This Row],[AwayTeam]]=Table1[[#This Row],[ActualWinner]],Table1[[#This Row],[HomeTeam]],Table1[[#This Row],[AwayTeam]]))</f>
        <v/>
      </c>
      <c r="U1284" s="64">
        <f>Table1[[#This Row],[ActualAwayScore]]-Table1[[#This Row],[PredictedAwayScore]]</f>
        <v>0</v>
      </c>
      <c r="V1284" s="64">
        <f>Table1[[#This Row],[ActualHomeScore]]-Table1[[#This Row],[PredictedHomeScore]]</f>
        <v>0</v>
      </c>
      <c r="W1284" s="64">
        <f>(0.8*IF(Table1[[#This Row],[CorrectWinnerPrediction]]=1, 1, 0))+(0.1*IF(Table1[[#This Row],[CorrectAwayScorePrediction]]=1, 1, 0))+(0.1*IF(Table1[[#This Row],[CorrectHomeScorePrediction]]=1, 1, 0))</f>
        <v>0</v>
      </c>
      <c r="X128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84" s="64">
        <f>SUMIF(Table1[GameDate], Table1[[#This Row],[GameDate]], Table1[AwayGameGoalDiff])</f>
        <v>0</v>
      </c>
      <c r="AA1284" s="64">
        <f>SUMIF(Table1[GameDate], Table1[[#This Row],[GameDate]], Table1[HomeGameGoalDiff])</f>
        <v>0</v>
      </c>
      <c r="AB1284" s="64">
        <f>IF(ISBLANK(Table1[[#This Row],[ActualResult]]), 0, 1)</f>
        <v>0</v>
      </c>
      <c r="AC1284" s="64">
        <f>IF(ISBLANK(Table1[[#This Row],[ActualResult]]), 0, IF(Table1[[#This Row],[ActualWinner]]=Table1[[#This Row],[PredictedWinner]], 1, 0))</f>
        <v>0</v>
      </c>
      <c r="AD128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8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84" s="64">
        <f>IF(AND(Table1[[#This Row],[GameIsOver]]=1,Table1[[#This Row],[ActualAwayScore]]=0), 1,0)</f>
        <v>0</v>
      </c>
      <c r="AG1284" s="64">
        <f>IF(AND(Table1[[#This Row],[GameIsOver]]=1,Table1[[#This Row],[ActualHomeScore]]=0), 1,0)</f>
        <v>0</v>
      </c>
      <c r="AH1284" s="64">
        <f>IF(Table1[[#This Row],[GameIsOver]]=0,0,IF(Table1[[#This Row],[ActualWinner]]=Table1[[#This Row],[AwayTeam]], 1, 0))</f>
        <v>0</v>
      </c>
      <c r="AI1284" s="64">
        <f>IF(Table1[[#This Row],[GameIsOver]]=0,0,IF(Table1[[#This Row],[ActualWinner]]=Table1[[#This Row],[HomeTeam]], 1, 0))</f>
        <v>0</v>
      </c>
      <c r="AJ1284" s="64">
        <f>IF(INDEX(Standings!$A$2:$C$33,MATCH(Table1[[#This Row],[AwayTeam]],Standings!$A$2:$A$33,0),2)=INDEX(Standings!$A$2:$C$33,MATCH(Table1[[#This Row],[HomeTeam]],Standings!$A$2:$A$33,0),2),1,0)</f>
        <v>1</v>
      </c>
      <c r="AK1284" s="64">
        <f>IF(INDEX(Standings!$A$2:$C$33,MATCH(Table1[[#This Row],[AwayTeam]],Standings!$A$2:$A$33,0),3)=INDEX(Standings!$A$2:$C$33,MATCH(Table1[[#This Row],[HomeTeam]],Standings!$A$2:$A$33,0),3),1,0)</f>
        <v>1</v>
      </c>
      <c r="AL1284" s="64">
        <f>IF(Table1[[#This Row],[InterConf]]=1,IF(Table1[[#This Row],[InterDiv]]=0, 1, 0), 0)</f>
        <v>0</v>
      </c>
      <c r="AM1284" s="64">
        <f>IF(INDEX(Standings!$A$2:$C$33,MATCH(Table1[[#This Row],[AwayTeam]],Standings!$A$2:$A$33,0),2)&lt;&gt;INDEX(Standings!$A$2:$C$33,MATCH(Table1[[#This Row],[HomeTeam]],Standings!$A$2:$A$33,0),2),1,0)</f>
        <v>0</v>
      </c>
      <c r="AN1284" s="64" t="str">
        <f>INDEX(Table2[AWAY_RECORD], MATCH(Table1[[#This Row],[AwayTeam]],Table2[Team], 0), 0)</f>
        <v>0-0-1</v>
      </c>
      <c r="AO1284" s="64" t="str">
        <f>INDEX(Records!$B$2:$AG$33, MATCH(Table1[[#This Row],[AwayTeam]],Records!$A$2:$A$33, 0), MATCH(Table1[[#This Row],[HomeTeam]],Records!$A$2:$A$33, 0))</f>
        <v>0-0-0</v>
      </c>
      <c r="AP1284" s="64" t="str">
        <f>INDEX(Table2[HOME_RECORD], MATCH(Table1[[#This Row],[HomeTeam]],Table2[Team], 0), 0)</f>
        <v>0-2-0</v>
      </c>
      <c r="AQ1284" s="64" t="str">
        <f>INDEX(Records!$B$2:$AG$33, MATCH(Table1[[#This Row],[HomeTeam]],Records!$A$2:$A$33, 0), MATCH(Table1[[#This Row],[AwayTeam]],Records!$A$2:$A$33, 0))</f>
        <v>0-0-0</v>
      </c>
    </row>
    <row r="1285" spans="1:43" x14ac:dyDescent="0.25">
      <c r="A1285" s="1"/>
      <c r="D1285" t="s">
        <v>1643</v>
      </c>
      <c r="E1285" t="s">
        <v>160</v>
      </c>
      <c r="F1285" t="s">
        <v>1652</v>
      </c>
      <c r="G1285" t="s">
        <v>60</v>
      </c>
      <c r="H1285" t="s">
        <v>56</v>
      </c>
      <c r="L128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8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85" s="1"/>
      <c r="T1285" s="64" t="str">
        <f>IF(Table1[[#This Row],[ActualWinner]]="", "", IF(Table1[[#This Row],[AwayTeam]]=Table1[[#This Row],[ActualWinner]],Table1[[#This Row],[HomeTeam]],Table1[[#This Row],[AwayTeam]]))</f>
        <v/>
      </c>
      <c r="U1285" s="64">
        <f>Table1[[#This Row],[ActualAwayScore]]-Table1[[#This Row],[PredictedAwayScore]]</f>
        <v>0</v>
      </c>
      <c r="V1285" s="64">
        <f>Table1[[#This Row],[ActualHomeScore]]-Table1[[#This Row],[PredictedHomeScore]]</f>
        <v>0</v>
      </c>
      <c r="W1285" s="64">
        <f>(0.8*IF(Table1[[#This Row],[CorrectWinnerPrediction]]=1, 1, 0))+(0.1*IF(Table1[[#This Row],[CorrectAwayScorePrediction]]=1, 1, 0))+(0.1*IF(Table1[[#This Row],[CorrectHomeScorePrediction]]=1, 1, 0))</f>
        <v>0</v>
      </c>
      <c r="X128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85" s="64">
        <f>SUMIF(Table1[GameDate], Table1[[#This Row],[GameDate]], Table1[AwayGameGoalDiff])</f>
        <v>0</v>
      </c>
      <c r="AA1285" s="64">
        <f>SUMIF(Table1[GameDate], Table1[[#This Row],[GameDate]], Table1[HomeGameGoalDiff])</f>
        <v>0</v>
      </c>
      <c r="AB1285" s="64">
        <f>IF(ISBLANK(Table1[[#This Row],[ActualResult]]), 0, 1)</f>
        <v>0</v>
      </c>
      <c r="AC1285" s="64">
        <f>IF(ISBLANK(Table1[[#This Row],[ActualResult]]), 0, IF(Table1[[#This Row],[ActualWinner]]=Table1[[#This Row],[PredictedWinner]], 1, 0))</f>
        <v>0</v>
      </c>
      <c r="AD128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8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85" s="64">
        <f>IF(AND(Table1[[#This Row],[GameIsOver]]=1,Table1[[#This Row],[ActualAwayScore]]=0), 1,0)</f>
        <v>0</v>
      </c>
      <c r="AG1285" s="64">
        <f>IF(AND(Table1[[#This Row],[GameIsOver]]=1,Table1[[#This Row],[ActualHomeScore]]=0), 1,0)</f>
        <v>0</v>
      </c>
      <c r="AH1285" s="64">
        <f>IF(Table1[[#This Row],[GameIsOver]]=0,0,IF(Table1[[#This Row],[ActualWinner]]=Table1[[#This Row],[AwayTeam]], 1, 0))</f>
        <v>0</v>
      </c>
      <c r="AI1285" s="64">
        <f>IF(Table1[[#This Row],[GameIsOver]]=0,0,IF(Table1[[#This Row],[ActualWinner]]=Table1[[#This Row],[HomeTeam]], 1, 0))</f>
        <v>0</v>
      </c>
      <c r="AJ1285" s="64">
        <f>IF(INDEX(Standings!$A$2:$C$33,MATCH(Table1[[#This Row],[AwayTeam]],Standings!$A$2:$A$33,0),2)=INDEX(Standings!$A$2:$C$33,MATCH(Table1[[#This Row],[HomeTeam]],Standings!$A$2:$A$33,0),2),1,0)</f>
        <v>1</v>
      </c>
      <c r="AK1285" s="64">
        <f>IF(INDEX(Standings!$A$2:$C$33,MATCH(Table1[[#This Row],[AwayTeam]],Standings!$A$2:$A$33,0),3)=INDEX(Standings!$A$2:$C$33,MATCH(Table1[[#This Row],[HomeTeam]],Standings!$A$2:$A$33,0),3),1,0)</f>
        <v>0</v>
      </c>
      <c r="AL1285" s="64">
        <f>IF(Table1[[#This Row],[InterConf]]=1,IF(Table1[[#This Row],[InterDiv]]=0, 1, 0), 0)</f>
        <v>1</v>
      </c>
      <c r="AM1285" s="64">
        <f>IF(INDEX(Standings!$A$2:$C$33,MATCH(Table1[[#This Row],[AwayTeam]],Standings!$A$2:$A$33,0),2)&lt;&gt;INDEX(Standings!$A$2:$C$33,MATCH(Table1[[#This Row],[HomeTeam]],Standings!$A$2:$A$33,0),2),1,0)</f>
        <v>0</v>
      </c>
      <c r="AN1285" s="64" t="str">
        <f>INDEX(Table2[AWAY_RECORD], MATCH(Table1[[#This Row],[AwayTeam]],Table2[Team], 0), 0)</f>
        <v>0-0-0</v>
      </c>
      <c r="AO1285" s="64" t="str">
        <f>INDEX(Records!$B$2:$AG$33, MATCH(Table1[[#This Row],[AwayTeam]],Records!$A$2:$A$33, 0), MATCH(Table1[[#This Row],[HomeTeam]],Records!$A$2:$A$33, 0))</f>
        <v>0-0-0</v>
      </c>
      <c r="AP1285" s="64" t="str">
        <f>INDEX(Table2[HOME_RECORD], MATCH(Table1[[#This Row],[HomeTeam]],Table2[Team], 0), 0)</f>
        <v>0-0-0</v>
      </c>
      <c r="AQ1285" s="64" t="str">
        <f>INDEX(Records!$B$2:$AG$33, MATCH(Table1[[#This Row],[HomeTeam]],Records!$A$2:$A$33, 0), MATCH(Table1[[#This Row],[AwayTeam]],Records!$A$2:$A$33, 0))</f>
        <v>0-0-0</v>
      </c>
    </row>
    <row r="1286" spans="1:43" x14ac:dyDescent="0.25">
      <c r="A1286" s="1"/>
      <c r="D1286" t="s">
        <v>1643</v>
      </c>
      <c r="E1286" t="s">
        <v>162</v>
      </c>
      <c r="F1286" t="s">
        <v>1653</v>
      </c>
      <c r="G1286" t="s">
        <v>53</v>
      </c>
      <c r="H1286" t="s">
        <v>54</v>
      </c>
      <c r="L128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8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86" s="1"/>
      <c r="T1286" s="64" t="str">
        <f>IF(Table1[[#This Row],[ActualWinner]]="", "", IF(Table1[[#This Row],[AwayTeam]]=Table1[[#This Row],[ActualWinner]],Table1[[#This Row],[HomeTeam]],Table1[[#This Row],[AwayTeam]]))</f>
        <v/>
      </c>
      <c r="U1286" s="64">
        <f>Table1[[#This Row],[ActualAwayScore]]-Table1[[#This Row],[PredictedAwayScore]]</f>
        <v>0</v>
      </c>
      <c r="V1286" s="64">
        <f>Table1[[#This Row],[ActualHomeScore]]-Table1[[#This Row],[PredictedHomeScore]]</f>
        <v>0</v>
      </c>
      <c r="W1286" s="64">
        <f>(0.8*IF(Table1[[#This Row],[CorrectWinnerPrediction]]=1, 1, 0))+(0.1*IF(Table1[[#This Row],[CorrectAwayScorePrediction]]=1, 1, 0))+(0.1*IF(Table1[[#This Row],[CorrectHomeScorePrediction]]=1, 1, 0))</f>
        <v>0</v>
      </c>
      <c r="X128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86" s="64">
        <f>SUMIF(Table1[GameDate], Table1[[#This Row],[GameDate]], Table1[AwayGameGoalDiff])</f>
        <v>0</v>
      </c>
      <c r="AA1286" s="64">
        <f>SUMIF(Table1[GameDate], Table1[[#This Row],[GameDate]], Table1[HomeGameGoalDiff])</f>
        <v>0</v>
      </c>
      <c r="AB1286" s="64">
        <f>IF(ISBLANK(Table1[[#This Row],[ActualResult]]), 0, 1)</f>
        <v>0</v>
      </c>
      <c r="AC1286" s="64">
        <f>IF(ISBLANK(Table1[[#This Row],[ActualResult]]), 0, IF(Table1[[#This Row],[ActualWinner]]=Table1[[#This Row],[PredictedWinner]], 1, 0))</f>
        <v>0</v>
      </c>
      <c r="AD128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8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86" s="64">
        <f>IF(AND(Table1[[#This Row],[GameIsOver]]=1,Table1[[#This Row],[ActualAwayScore]]=0), 1,0)</f>
        <v>0</v>
      </c>
      <c r="AG1286" s="64">
        <f>IF(AND(Table1[[#This Row],[GameIsOver]]=1,Table1[[#This Row],[ActualHomeScore]]=0), 1,0)</f>
        <v>0</v>
      </c>
      <c r="AH1286" s="64">
        <f>IF(Table1[[#This Row],[GameIsOver]]=0,0,IF(Table1[[#This Row],[ActualWinner]]=Table1[[#This Row],[AwayTeam]], 1, 0))</f>
        <v>0</v>
      </c>
      <c r="AI1286" s="64">
        <f>IF(Table1[[#This Row],[GameIsOver]]=0,0,IF(Table1[[#This Row],[ActualWinner]]=Table1[[#This Row],[HomeTeam]], 1, 0))</f>
        <v>0</v>
      </c>
      <c r="AJ1286" s="64">
        <f>IF(INDEX(Standings!$A$2:$C$33,MATCH(Table1[[#This Row],[AwayTeam]],Standings!$A$2:$A$33,0),2)=INDEX(Standings!$A$2:$C$33,MATCH(Table1[[#This Row],[HomeTeam]],Standings!$A$2:$A$33,0),2),1,0)</f>
        <v>1</v>
      </c>
      <c r="AK1286" s="64">
        <f>IF(INDEX(Standings!$A$2:$C$33,MATCH(Table1[[#This Row],[AwayTeam]],Standings!$A$2:$A$33,0),3)=INDEX(Standings!$A$2:$C$33,MATCH(Table1[[#This Row],[HomeTeam]],Standings!$A$2:$A$33,0),3),1,0)</f>
        <v>1</v>
      </c>
      <c r="AL1286" s="64">
        <f>IF(Table1[[#This Row],[InterConf]]=1,IF(Table1[[#This Row],[InterDiv]]=0, 1, 0), 0)</f>
        <v>0</v>
      </c>
      <c r="AM1286" s="64">
        <f>IF(INDEX(Standings!$A$2:$C$33,MATCH(Table1[[#This Row],[AwayTeam]],Standings!$A$2:$A$33,0),2)&lt;&gt;INDEX(Standings!$A$2:$C$33,MATCH(Table1[[#This Row],[HomeTeam]],Standings!$A$2:$A$33,0),2),1,0)</f>
        <v>0</v>
      </c>
      <c r="AN1286" s="64" t="str">
        <f>INDEX(Table2[AWAY_RECORD], MATCH(Table1[[#This Row],[AwayTeam]],Table2[Team], 0), 0)</f>
        <v>0-1-0</v>
      </c>
      <c r="AO1286" s="64" t="str">
        <f>INDEX(Records!$B$2:$AG$33, MATCH(Table1[[#This Row],[AwayTeam]],Records!$A$2:$A$33, 0), MATCH(Table1[[#This Row],[HomeTeam]],Records!$A$2:$A$33, 0))</f>
        <v>1-0-0</v>
      </c>
      <c r="AP1286" s="64" t="str">
        <f>INDEX(Table2[HOME_RECORD], MATCH(Table1[[#This Row],[HomeTeam]],Table2[Team], 0), 0)</f>
        <v>0-0-0</v>
      </c>
      <c r="AQ1286" s="64" t="str">
        <f>INDEX(Records!$B$2:$AG$33, MATCH(Table1[[#This Row],[HomeTeam]],Records!$A$2:$A$33, 0), MATCH(Table1[[#This Row],[AwayTeam]],Records!$A$2:$A$33, 0))</f>
        <v>0-0-1</v>
      </c>
    </row>
    <row r="1287" spans="1:43" x14ac:dyDescent="0.25">
      <c r="A1287" s="1"/>
      <c r="D1287" t="s">
        <v>1643</v>
      </c>
      <c r="E1287" t="s">
        <v>164</v>
      </c>
      <c r="F1287" t="s">
        <v>1654</v>
      </c>
      <c r="G1287" t="s">
        <v>25</v>
      </c>
      <c r="H1287" t="s">
        <v>58</v>
      </c>
      <c r="L128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8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87" s="1"/>
      <c r="T1287" s="64" t="str">
        <f>IF(Table1[[#This Row],[ActualWinner]]="", "", IF(Table1[[#This Row],[AwayTeam]]=Table1[[#This Row],[ActualWinner]],Table1[[#This Row],[HomeTeam]],Table1[[#This Row],[AwayTeam]]))</f>
        <v/>
      </c>
      <c r="U1287" s="64">
        <f>Table1[[#This Row],[ActualAwayScore]]-Table1[[#This Row],[PredictedAwayScore]]</f>
        <v>0</v>
      </c>
      <c r="V1287" s="64">
        <f>Table1[[#This Row],[ActualHomeScore]]-Table1[[#This Row],[PredictedHomeScore]]</f>
        <v>0</v>
      </c>
      <c r="W1287" s="64">
        <f>(0.8*IF(Table1[[#This Row],[CorrectWinnerPrediction]]=1, 1, 0))+(0.1*IF(Table1[[#This Row],[CorrectAwayScorePrediction]]=1, 1, 0))+(0.1*IF(Table1[[#This Row],[CorrectHomeScorePrediction]]=1, 1, 0))</f>
        <v>0</v>
      </c>
      <c r="X128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87" s="64">
        <f>SUMIF(Table1[GameDate], Table1[[#This Row],[GameDate]], Table1[AwayGameGoalDiff])</f>
        <v>0</v>
      </c>
      <c r="AA1287" s="64">
        <f>SUMIF(Table1[GameDate], Table1[[#This Row],[GameDate]], Table1[HomeGameGoalDiff])</f>
        <v>0</v>
      </c>
      <c r="AB1287" s="64">
        <f>IF(ISBLANK(Table1[[#This Row],[ActualResult]]), 0, 1)</f>
        <v>0</v>
      </c>
      <c r="AC1287" s="64">
        <f>IF(ISBLANK(Table1[[#This Row],[ActualResult]]), 0, IF(Table1[[#This Row],[ActualWinner]]=Table1[[#This Row],[PredictedWinner]], 1, 0))</f>
        <v>0</v>
      </c>
      <c r="AD128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8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87" s="64">
        <f>IF(AND(Table1[[#This Row],[GameIsOver]]=1,Table1[[#This Row],[ActualAwayScore]]=0), 1,0)</f>
        <v>0</v>
      </c>
      <c r="AG1287" s="64">
        <f>IF(AND(Table1[[#This Row],[GameIsOver]]=1,Table1[[#This Row],[ActualHomeScore]]=0), 1,0)</f>
        <v>0</v>
      </c>
      <c r="AH1287" s="64">
        <f>IF(Table1[[#This Row],[GameIsOver]]=0,0,IF(Table1[[#This Row],[ActualWinner]]=Table1[[#This Row],[AwayTeam]], 1, 0))</f>
        <v>0</v>
      </c>
      <c r="AI1287" s="64">
        <f>IF(Table1[[#This Row],[GameIsOver]]=0,0,IF(Table1[[#This Row],[ActualWinner]]=Table1[[#This Row],[HomeTeam]], 1, 0))</f>
        <v>0</v>
      </c>
      <c r="AJ1287" s="64">
        <f>IF(INDEX(Standings!$A$2:$C$33,MATCH(Table1[[#This Row],[AwayTeam]],Standings!$A$2:$A$33,0),2)=INDEX(Standings!$A$2:$C$33,MATCH(Table1[[#This Row],[HomeTeam]],Standings!$A$2:$A$33,0),2),1,0)</f>
        <v>1</v>
      </c>
      <c r="AK1287" s="64">
        <f>IF(INDEX(Standings!$A$2:$C$33,MATCH(Table1[[#This Row],[AwayTeam]],Standings!$A$2:$A$33,0),3)=INDEX(Standings!$A$2:$C$33,MATCH(Table1[[#This Row],[HomeTeam]],Standings!$A$2:$A$33,0),3),1,0)</f>
        <v>0</v>
      </c>
      <c r="AL1287" s="64">
        <f>IF(Table1[[#This Row],[InterConf]]=1,IF(Table1[[#This Row],[InterDiv]]=0, 1, 0), 0)</f>
        <v>1</v>
      </c>
      <c r="AM1287" s="64">
        <f>IF(INDEX(Standings!$A$2:$C$33,MATCH(Table1[[#This Row],[AwayTeam]],Standings!$A$2:$A$33,0),2)&lt;&gt;INDEX(Standings!$A$2:$C$33,MATCH(Table1[[#This Row],[HomeTeam]],Standings!$A$2:$A$33,0),2),1,0)</f>
        <v>0</v>
      </c>
      <c r="AN1287" s="64" t="str">
        <f>INDEX(Table2[AWAY_RECORD], MATCH(Table1[[#This Row],[AwayTeam]],Table2[Team], 0), 0)</f>
        <v>0-0-0</v>
      </c>
      <c r="AO1287" s="64" t="str">
        <f>INDEX(Records!$B$2:$AG$33, MATCH(Table1[[#This Row],[AwayTeam]],Records!$A$2:$A$33, 0), MATCH(Table1[[#This Row],[HomeTeam]],Records!$A$2:$A$33, 0))</f>
        <v>0-0-0</v>
      </c>
      <c r="AP1287" s="64" t="str">
        <f>INDEX(Table2[HOME_RECORD], MATCH(Table1[[#This Row],[HomeTeam]],Table2[Team], 0), 0)</f>
        <v>1-0-0</v>
      </c>
      <c r="AQ1287" s="64" t="str">
        <f>INDEX(Records!$B$2:$AG$33, MATCH(Table1[[#This Row],[HomeTeam]],Records!$A$2:$A$33, 0), MATCH(Table1[[#This Row],[AwayTeam]],Records!$A$2:$A$33, 0))</f>
        <v>0-0-0</v>
      </c>
    </row>
    <row r="1288" spans="1:43" x14ac:dyDescent="0.25">
      <c r="A1288" s="1"/>
      <c r="D1288" t="s">
        <v>1643</v>
      </c>
      <c r="E1288" t="s">
        <v>164</v>
      </c>
      <c r="F1288" t="s">
        <v>1655</v>
      </c>
      <c r="G1288" t="s">
        <v>55</v>
      </c>
      <c r="H1288" t="s">
        <v>23</v>
      </c>
      <c r="L128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8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88" s="1"/>
      <c r="T1288" s="64" t="str">
        <f>IF(Table1[[#This Row],[ActualWinner]]="", "", IF(Table1[[#This Row],[AwayTeam]]=Table1[[#This Row],[ActualWinner]],Table1[[#This Row],[HomeTeam]],Table1[[#This Row],[AwayTeam]]))</f>
        <v/>
      </c>
      <c r="U1288" s="64">
        <f>Table1[[#This Row],[ActualAwayScore]]-Table1[[#This Row],[PredictedAwayScore]]</f>
        <v>0</v>
      </c>
      <c r="V1288" s="64">
        <f>Table1[[#This Row],[ActualHomeScore]]-Table1[[#This Row],[PredictedHomeScore]]</f>
        <v>0</v>
      </c>
      <c r="W1288" s="64">
        <f>(0.8*IF(Table1[[#This Row],[CorrectWinnerPrediction]]=1, 1, 0))+(0.1*IF(Table1[[#This Row],[CorrectAwayScorePrediction]]=1, 1, 0))+(0.1*IF(Table1[[#This Row],[CorrectHomeScorePrediction]]=1, 1, 0))</f>
        <v>0</v>
      </c>
      <c r="X128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88" s="64">
        <f>SUMIF(Table1[GameDate], Table1[[#This Row],[GameDate]], Table1[AwayGameGoalDiff])</f>
        <v>0</v>
      </c>
      <c r="AA1288" s="64">
        <f>SUMIF(Table1[GameDate], Table1[[#This Row],[GameDate]], Table1[HomeGameGoalDiff])</f>
        <v>0</v>
      </c>
      <c r="AB1288" s="64">
        <f>IF(ISBLANK(Table1[[#This Row],[ActualResult]]), 0, 1)</f>
        <v>0</v>
      </c>
      <c r="AC1288" s="64">
        <f>IF(ISBLANK(Table1[[#This Row],[ActualResult]]), 0, IF(Table1[[#This Row],[ActualWinner]]=Table1[[#This Row],[PredictedWinner]], 1, 0))</f>
        <v>0</v>
      </c>
      <c r="AD128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8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88" s="64">
        <f>IF(AND(Table1[[#This Row],[GameIsOver]]=1,Table1[[#This Row],[ActualAwayScore]]=0), 1,0)</f>
        <v>0</v>
      </c>
      <c r="AG1288" s="64">
        <f>IF(AND(Table1[[#This Row],[GameIsOver]]=1,Table1[[#This Row],[ActualHomeScore]]=0), 1,0)</f>
        <v>0</v>
      </c>
      <c r="AH1288" s="64">
        <f>IF(Table1[[#This Row],[GameIsOver]]=0,0,IF(Table1[[#This Row],[ActualWinner]]=Table1[[#This Row],[AwayTeam]], 1, 0))</f>
        <v>0</v>
      </c>
      <c r="AI1288" s="64">
        <f>IF(Table1[[#This Row],[GameIsOver]]=0,0,IF(Table1[[#This Row],[ActualWinner]]=Table1[[#This Row],[HomeTeam]], 1, 0))</f>
        <v>0</v>
      </c>
      <c r="AJ1288" s="64">
        <f>IF(INDEX(Standings!$A$2:$C$33,MATCH(Table1[[#This Row],[AwayTeam]],Standings!$A$2:$A$33,0),2)=INDEX(Standings!$A$2:$C$33,MATCH(Table1[[#This Row],[HomeTeam]],Standings!$A$2:$A$33,0),2),1,0)</f>
        <v>1</v>
      </c>
      <c r="AK1288" s="64">
        <f>IF(INDEX(Standings!$A$2:$C$33,MATCH(Table1[[#This Row],[AwayTeam]],Standings!$A$2:$A$33,0),3)=INDEX(Standings!$A$2:$C$33,MATCH(Table1[[#This Row],[HomeTeam]],Standings!$A$2:$A$33,0),3),1,0)</f>
        <v>1</v>
      </c>
      <c r="AL1288" s="64">
        <f>IF(Table1[[#This Row],[InterConf]]=1,IF(Table1[[#This Row],[InterDiv]]=0, 1, 0), 0)</f>
        <v>0</v>
      </c>
      <c r="AM1288" s="64">
        <f>IF(INDEX(Standings!$A$2:$C$33,MATCH(Table1[[#This Row],[AwayTeam]],Standings!$A$2:$A$33,0),2)&lt;&gt;INDEX(Standings!$A$2:$C$33,MATCH(Table1[[#This Row],[HomeTeam]],Standings!$A$2:$A$33,0),2),1,0)</f>
        <v>0</v>
      </c>
      <c r="AN1288" s="64" t="str">
        <f>INDEX(Table2[AWAY_RECORD], MATCH(Table1[[#This Row],[AwayTeam]],Table2[Team], 0), 0)</f>
        <v>0-0-0</v>
      </c>
      <c r="AO1288" s="64" t="str">
        <f>INDEX(Records!$B$2:$AG$33, MATCH(Table1[[#This Row],[AwayTeam]],Records!$A$2:$A$33, 0), MATCH(Table1[[#This Row],[HomeTeam]],Records!$A$2:$A$33, 0))</f>
        <v>0-0-0</v>
      </c>
      <c r="AP1288" s="64" t="str">
        <f>INDEX(Table2[HOME_RECORD], MATCH(Table1[[#This Row],[HomeTeam]],Table2[Team], 0), 0)</f>
        <v>0-0-1</v>
      </c>
      <c r="AQ1288" s="64" t="str">
        <f>INDEX(Records!$B$2:$AG$33, MATCH(Table1[[#This Row],[HomeTeam]],Records!$A$2:$A$33, 0), MATCH(Table1[[#This Row],[AwayTeam]],Records!$A$2:$A$33, 0))</f>
        <v>0-0-0</v>
      </c>
    </row>
    <row r="1289" spans="1:43" x14ac:dyDescent="0.25">
      <c r="A1289" s="1"/>
      <c r="D1289" t="s">
        <v>1643</v>
      </c>
      <c r="E1289" t="s">
        <v>164</v>
      </c>
      <c r="F1289" t="s">
        <v>1656</v>
      </c>
      <c r="G1289" t="s">
        <v>45</v>
      </c>
      <c r="H1289" t="s">
        <v>36</v>
      </c>
      <c r="L128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8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89" s="1"/>
      <c r="T1289" s="64" t="str">
        <f>IF(Table1[[#This Row],[ActualWinner]]="", "", IF(Table1[[#This Row],[AwayTeam]]=Table1[[#This Row],[ActualWinner]],Table1[[#This Row],[HomeTeam]],Table1[[#This Row],[AwayTeam]]))</f>
        <v/>
      </c>
      <c r="U1289" s="64">
        <f>Table1[[#This Row],[ActualAwayScore]]-Table1[[#This Row],[PredictedAwayScore]]</f>
        <v>0</v>
      </c>
      <c r="V1289" s="64">
        <f>Table1[[#This Row],[ActualHomeScore]]-Table1[[#This Row],[PredictedHomeScore]]</f>
        <v>0</v>
      </c>
      <c r="W1289" s="64">
        <f>(0.8*IF(Table1[[#This Row],[CorrectWinnerPrediction]]=1, 1, 0))+(0.1*IF(Table1[[#This Row],[CorrectAwayScorePrediction]]=1, 1, 0))+(0.1*IF(Table1[[#This Row],[CorrectHomeScorePrediction]]=1, 1, 0))</f>
        <v>0</v>
      </c>
      <c r="X128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89" s="64">
        <f>SUMIF(Table1[GameDate], Table1[[#This Row],[GameDate]], Table1[AwayGameGoalDiff])</f>
        <v>0</v>
      </c>
      <c r="AA1289" s="64">
        <f>SUMIF(Table1[GameDate], Table1[[#This Row],[GameDate]], Table1[HomeGameGoalDiff])</f>
        <v>0</v>
      </c>
      <c r="AB1289" s="64">
        <f>IF(ISBLANK(Table1[[#This Row],[ActualResult]]), 0, 1)</f>
        <v>0</v>
      </c>
      <c r="AC1289" s="64">
        <f>IF(ISBLANK(Table1[[#This Row],[ActualResult]]), 0, IF(Table1[[#This Row],[ActualWinner]]=Table1[[#This Row],[PredictedWinner]], 1, 0))</f>
        <v>0</v>
      </c>
      <c r="AD128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8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89" s="64">
        <f>IF(AND(Table1[[#This Row],[GameIsOver]]=1,Table1[[#This Row],[ActualAwayScore]]=0), 1,0)</f>
        <v>0</v>
      </c>
      <c r="AG1289" s="64">
        <f>IF(AND(Table1[[#This Row],[GameIsOver]]=1,Table1[[#This Row],[ActualHomeScore]]=0), 1,0)</f>
        <v>0</v>
      </c>
      <c r="AH1289" s="64">
        <f>IF(Table1[[#This Row],[GameIsOver]]=0,0,IF(Table1[[#This Row],[ActualWinner]]=Table1[[#This Row],[AwayTeam]], 1, 0))</f>
        <v>0</v>
      </c>
      <c r="AI1289" s="64">
        <f>IF(Table1[[#This Row],[GameIsOver]]=0,0,IF(Table1[[#This Row],[ActualWinner]]=Table1[[#This Row],[HomeTeam]], 1, 0))</f>
        <v>0</v>
      </c>
      <c r="AJ1289" s="64">
        <f>IF(INDEX(Standings!$A$2:$C$33,MATCH(Table1[[#This Row],[AwayTeam]],Standings!$A$2:$A$33,0),2)=INDEX(Standings!$A$2:$C$33,MATCH(Table1[[#This Row],[HomeTeam]],Standings!$A$2:$A$33,0),2),1,0)</f>
        <v>1</v>
      </c>
      <c r="AK1289" s="64">
        <f>IF(INDEX(Standings!$A$2:$C$33,MATCH(Table1[[#This Row],[AwayTeam]],Standings!$A$2:$A$33,0),3)=INDEX(Standings!$A$2:$C$33,MATCH(Table1[[#This Row],[HomeTeam]],Standings!$A$2:$A$33,0),3),1,0)</f>
        <v>1</v>
      </c>
      <c r="AL1289" s="64">
        <f>IF(Table1[[#This Row],[InterConf]]=1,IF(Table1[[#This Row],[InterDiv]]=0, 1, 0), 0)</f>
        <v>0</v>
      </c>
      <c r="AM1289" s="64">
        <f>IF(INDEX(Standings!$A$2:$C$33,MATCH(Table1[[#This Row],[AwayTeam]],Standings!$A$2:$A$33,0),2)&lt;&gt;INDEX(Standings!$A$2:$C$33,MATCH(Table1[[#This Row],[HomeTeam]],Standings!$A$2:$A$33,0),2),1,0)</f>
        <v>0</v>
      </c>
      <c r="AN1289" s="64" t="str">
        <f>INDEX(Table2[AWAY_RECORD], MATCH(Table1[[#This Row],[AwayTeam]],Table2[Team], 0), 0)</f>
        <v>1-0-0</v>
      </c>
      <c r="AO1289" s="64" t="str">
        <f>INDEX(Records!$B$2:$AG$33, MATCH(Table1[[#This Row],[AwayTeam]],Records!$A$2:$A$33, 0), MATCH(Table1[[#This Row],[HomeTeam]],Records!$A$2:$A$33, 0))</f>
        <v>0-0-0</v>
      </c>
      <c r="AP1289" s="64" t="str">
        <f>INDEX(Table2[HOME_RECORD], MATCH(Table1[[#This Row],[HomeTeam]],Table2[Team], 0), 0)</f>
        <v>0-0-0</v>
      </c>
      <c r="AQ1289" s="64" t="str">
        <f>INDEX(Records!$B$2:$AG$33, MATCH(Table1[[#This Row],[HomeTeam]],Records!$A$2:$A$33, 0), MATCH(Table1[[#This Row],[AwayTeam]],Records!$A$2:$A$33, 0))</f>
        <v>0-0-0</v>
      </c>
    </row>
    <row r="1290" spans="1:43" x14ac:dyDescent="0.25">
      <c r="A1290" s="1"/>
      <c r="D1290" t="s">
        <v>1643</v>
      </c>
      <c r="E1290" t="s">
        <v>166</v>
      </c>
      <c r="F1290" t="s">
        <v>1657</v>
      </c>
      <c r="G1290" t="s">
        <v>61</v>
      </c>
      <c r="H1290" t="s">
        <v>46</v>
      </c>
      <c r="L129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9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90" s="1"/>
      <c r="T1290" s="64" t="str">
        <f>IF(Table1[[#This Row],[ActualWinner]]="", "", IF(Table1[[#This Row],[AwayTeam]]=Table1[[#This Row],[ActualWinner]],Table1[[#This Row],[HomeTeam]],Table1[[#This Row],[AwayTeam]]))</f>
        <v/>
      </c>
      <c r="U1290" s="64">
        <f>Table1[[#This Row],[ActualAwayScore]]-Table1[[#This Row],[PredictedAwayScore]]</f>
        <v>0</v>
      </c>
      <c r="V1290" s="64">
        <f>Table1[[#This Row],[ActualHomeScore]]-Table1[[#This Row],[PredictedHomeScore]]</f>
        <v>0</v>
      </c>
      <c r="W1290" s="64">
        <f>(0.8*IF(Table1[[#This Row],[CorrectWinnerPrediction]]=1, 1, 0))+(0.1*IF(Table1[[#This Row],[CorrectAwayScorePrediction]]=1, 1, 0))+(0.1*IF(Table1[[#This Row],[CorrectHomeScorePrediction]]=1, 1, 0))</f>
        <v>0</v>
      </c>
      <c r="X129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90" s="64">
        <f>SUMIF(Table1[GameDate], Table1[[#This Row],[GameDate]], Table1[AwayGameGoalDiff])</f>
        <v>0</v>
      </c>
      <c r="AA1290" s="64">
        <f>SUMIF(Table1[GameDate], Table1[[#This Row],[GameDate]], Table1[HomeGameGoalDiff])</f>
        <v>0</v>
      </c>
      <c r="AB1290" s="64">
        <f>IF(ISBLANK(Table1[[#This Row],[ActualResult]]), 0, 1)</f>
        <v>0</v>
      </c>
      <c r="AC1290" s="64">
        <f>IF(ISBLANK(Table1[[#This Row],[ActualResult]]), 0, IF(Table1[[#This Row],[ActualWinner]]=Table1[[#This Row],[PredictedWinner]], 1, 0))</f>
        <v>0</v>
      </c>
      <c r="AD129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9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90" s="64">
        <f>IF(AND(Table1[[#This Row],[GameIsOver]]=1,Table1[[#This Row],[ActualAwayScore]]=0), 1,0)</f>
        <v>0</v>
      </c>
      <c r="AG1290" s="64">
        <f>IF(AND(Table1[[#This Row],[GameIsOver]]=1,Table1[[#This Row],[ActualHomeScore]]=0), 1,0)</f>
        <v>0</v>
      </c>
      <c r="AH1290" s="64">
        <f>IF(Table1[[#This Row],[GameIsOver]]=0,0,IF(Table1[[#This Row],[ActualWinner]]=Table1[[#This Row],[AwayTeam]], 1, 0))</f>
        <v>0</v>
      </c>
      <c r="AI1290" s="64">
        <f>IF(Table1[[#This Row],[GameIsOver]]=0,0,IF(Table1[[#This Row],[ActualWinner]]=Table1[[#This Row],[HomeTeam]], 1, 0))</f>
        <v>0</v>
      </c>
      <c r="AJ1290" s="64">
        <f>IF(INDEX(Standings!$A$2:$C$33,MATCH(Table1[[#This Row],[AwayTeam]],Standings!$A$2:$A$33,0),2)=INDEX(Standings!$A$2:$C$33,MATCH(Table1[[#This Row],[HomeTeam]],Standings!$A$2:$A$33,0),2),1,0)</f>
        <v>1</v>
      </c>
      <c r="AK1290" s="64">
        <f>IF(INDEX(Standings!$A$2:$C$33,MATCH(Table1[[#This Row],[AwayTeam]],Standings!$A$2:$A$33,0),3)=INDEX(Standings!$A$2:$C$33,MATCH(Table1[[#This Row],[HomeTeam]],Standings!$A$2:$A$33,0),3),1,0)</f>
        <v>0</v>
      </c>
      <c r="AL1290" s="64">
        <f>IF(Table1[[#This Row],[InterConf]]=1,IF(Table1[[#This Row],[InterDiv]]=0, 1, 0), 0)</f>
        <v>1</v>
      </c>
      <c r="AM1290" s="64">
        <f>IF(INDEX(Standings!$A$2:$C$33,MATCH(Table1[[#This Row],[AwayTeam]],Standings!$A$2:$A$33,0),2)&lt;&gt;INDEX(Standings!$A$2:$C$33,MATCH(Table1[[#This Row],[HomeTeam]],Standings!$A$2:$A$33,0),2),1,0)</f>
        <v>0</v>
      </c>
      <c r="AN1290" s="64" t="str">
        <f>INDEX(Table2[AWAY_RECORD], MATCH(Table1[[#This Row],[AwayTeam]],Table2[Team], 0), 0)</f>
        <v>0-0-0</v>
      </c>
      <c r="AO1290" s="64" t="str">
        <f>INDEX(Records!$B$2:$AG$33, MATCH(Table1[[#This Row],[AwayTeam]],Records!$A$2:$A$33, 0), MATCH(Table1[[#This Row],[HomeTeam]],Records!$A$2:$A$33, 0))</f>
        <v>0-0-0</v>
      </c>
      <c r="AP1290" s="64" t="str">
        <f>INDEX(Table2[HOME_RECORD], MATCH(Table1[[#This Row],[HomeTeam]],Table2[Team], 0), 0)</f>
        <v>0-0-0</v>
      </c>
      <c r="AQ1290" s="64" t="str">
        <f>INDEX(Records!$B$2:$AG$33, MATCH(Table1[[#This Row],[HomeTeam]],Records!$A$2:$A$33, 0), MATCH(Table1[[#This Row],[AwayTeam]],Records!$A$2:$A$33, 0))</f>
        <v>0-0-0</v>
      </c>
    </row>
    <row r="1291" spans="1:43" x14ac:dyDescent="0.25">
      <c r="A1291" s="1"/>
      <c r="D1291" t="s">
        <v>1658</v>
      </c>
      <c r="E1291" t="s">
        <v>432</v>
      </c>
      <c r="F1291" t="s">
        <v>1659</v>
      </c>
      <c r="G1291" t="s">
        <v>41</v>
      </c>
      <c r="H1291" t="s">
        <v>22</v>
      </c>
      <c r="L129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9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91" s="1"/>
      <c r="T1291" s="64" t="str">
        <f>IF(Table1[[#This Row],[ActualWinner]]="", "", IF(Table1[[#This Row],[AwayTeam]]=Table1[[#This Row],[ActualWinner]],Table1[[#This Row],[HomeTeam]],Table1[[#This Row],[AwayTeam]]))</f>
        <v/>
      </c>
      <c r="U1291" s="64">
        <f>Table1[[#This Row],[ActualAwayScore]]-Table1[[#This Row],[PredictedAwayScore]]</f>
        <v>0</v>
      </c>
      <c r="V1291" s="64">
        <f>Table1[[#This Row],[ActualHomeScore]]-Table1[[#This Row],[PredictedHomeScore]]</f>
        <v>0</v>
      </c>
      <c r="W1291" s="64">
        <f>(0.8*IF(Table1[[#This Row],[CorrectWinnerPrediction]]=1, 1, 0))+(0.1*IF(Table1[[#This Row],[CorrectAwayScorePrediction]]=1, 1, 0))+(0.1*IF(Table1[[#This Row],[CorrectHomeScorePrediction]]=1, 1, 0))</f>
        <v>0</v>
      </c>
      <c r="X129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91" s="64">
        <f>SUMIF(Table1[GameDate], Table1[[#This Row],[GameDate]], Table1[AwayGameGoalDiff])</f>
        <v>0</v>
      </c>
      <c r="AA1291" s="64">
        <f>SUMIF(Table1[GameDate], Table1[[#This Row],[GameDate]], Table1[HomeGameGoalDiff])</f>
        <v>0</v>
      </c>
      <c r="AB1291" s="64">
        <f>IF(ISBLANK(Table1[[#This Row],[ActualResult]]), 0, 1)</f>
        <v>0</v>
      </c>
      <c r="AC1291" s="64">
        <f>IF(ISBLANK(Table1[[#This Row],[ActualResult]]), 0, IF(Table1[[#This Row],[ActualWinner]]=Table1[[#This Row],[PredictedWinner]], 1, 0))</f>
        <v>0</v>
      </c>
      <c r="AD129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9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91" s="64">
        <f>IF(AND(Table1[[#This Row],[GameIsOver]]=1,Table1[[#This Row],[ActualAwayScore]]=0), 1,0)</f>
        <v>0</v>
      </c>
      <c r="AG1291" s="64">
        <f>IF(AND(Table1[[#This Row],[GameIsOver]]=1,Table1[[#This Row],[ActualHomeScore]]=0), 1,0)</f>
        <v>0</v>
      </c>
      <c r="AH1291" s="64">
        <f>IF(Table1[[#This Row],[GameIsOver]]=0,0,IF(Table1[[#This Row],[ActualWinner]]=Table1[[#This Row],[AwayTeam]], 1, 0))</f>
        <v>0</v>
      </c>
      <c r="AI1291" s="64">
        <f>IF(Table1[[#This Row],[GameIsOver]]=0,0,IF(Table1[[#This Row],[ActualWinner]]=Table1[[#This Row],[HomeTeam]], 1, 0))</f>
        <v>0</v>
      </c>
      <c r="AJ1291" s="64">
        <f>IF(INDEX(Standings!$A$2:$C$33,MATCH(Table1[[#This Row],[AwayTeam]],Standings!$A$2:$A$33,0),2)=INDEX(Standings!$A$2:$C$33,MATCH(Table1[[#This Row],[HomeTeam]],Standings!$A$2:$A$33,0),2),1,0)</f>
        <v>1</v>
      </c>
      <c r="AK1291" s="64">
        <f>IF(INDEX(Standings!$A$2:$C$33,MATCH(Table1[[#This Row],[AwayTeam]],Standings!$A$2:$A$33,0),3)=INDEX(Standings!$A$2:$C$33,MATCH(Table1[[#This Row],[HomeTeam]],Standings!$A$2:$A$33,0),3),1,0)</f>
        <v>1</v>
      </c>
      <c r="AL1291" s="64">
        <f>IF(Table1[[#This Row],[InterConf]]=1,IF(Table1[[#This Row],[InterDiv]]=0, 1, 0), 0)</f>
        <v>0</v>
      </c>
      <c r="AM1291" s="64">
        <f>IF(INDEX(Standings!$A$2:$C$33,MATCH(Table1[[#This Row],[AwayTeam]],Standings!$A$2:$A$33,0),2)&lt;&gt;INDEX(Standings!$A$2:$C$33,MATCH(Table1[[#This Row],[HomeTeam]],Standings!$A$2:$A$33,0),2),1,0)</f>
        <v>0</v>
      </c>
      <c r="AN1291" s="64" t="str">
        <f>INDEX(Table2[AWAY_RECORD], MATCH(Table1[[#This Row],[AwayTeam]],Table2[Team], 0), 0)</f>
        <v>0-0-0</v>
      </c>
      <c r="AO1291" s="64" t="str">
        <f>INDEX(Records!$B$2:$AG$33, MATCH(Table1[[#This Row],[AwayTeam]],Records!$A$2:$A$33, 0), MATCH(Table1[[#This Row],[HomeTeam]],Records!$A$2:$A$33, 0))</f>
        <v>0-0-0</v>
      </c>
      <c r="AP1291" s="64" t="str">
        <f>INDEX(Table2[HOME_RECORD], MATCH(Table1[[#This Row],[HomeTeam]],Table2[Team], 0), 0)</f>
        <v>0-0-0</v>
      </c>
      <c r="AQ1291" s="64" t="str">
        <f>INDEX(Records!$B$2:$AG$33, MATCH(Table1[[#This Row],[HomeTeam]],Records!$A$2:$A$33, 0), MATCH(Table1[[#This Row],[AwayTeam]],Records!$A$2:$A$33, 0))</f>
        <v>0-0-0</v>
      </c>
    </row>
    <row r="1292" spans="1:43" x14ac:dyDescent="0.25">
      <c r="A1292" s="1"/>
      <c r="D1292" t="s">
        <v>1658</v>
      </c>
      <c r="E1292" t="s">
        <v>443</v>
      </c>
      <c r="F1292" t="s">
        <v>1660</v>
      </c>
      <c r="G1292" t="s">
        <v>17</v>
      </c>
      <c r="H1292" t="s">
        <v>49</v>
      </c>
      <c r="L129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9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92" s="1"/>
      <c r="T1292" s="64" t="str">
        <f>IF(Table1[[#This Row],[ActualWinner]]="", "", IF(Table1[[#This Row],[AwayTeam]]=Table1[[#This Row],[ActualWinner]],Table1[[#This Row],[HomeTeam]],Table1[[#This Row],[AwayTeam]]))</f>
        <v/>
      </c>
      <c r="U1292" s="64">
        <f>Table1[[#This Row],[ActualAwayScore]]-Table1[[#This Row],[PredictedAwayScore]]</f>
        <v>0</v>
      </c>
      <c r="V1292" s="64">
        <f>Table1[[#This Row],[ActualHomeScore]]-Table1[[#This Row],[PredictedHomeScore]]</f>
        <v>0</v>
      </c>
      <c r="W1292" s="64">
        <f>(0.8*IF(Table1[[#This Row],[CorrectWinnerPrediction]]=1, 1, 0))+(0.1*IF(Table1[[#This Row],[CorrectAwayScorePrediction]]=1, 1, 0))+(0.1*IF(Table1[[#This Row],[CorrectHomeScorePrediction]]=1, 1, 0))</f>
        <v>0</v>
      </c>
      <c r="X129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92" s="64">
        <f>SUMIF(Table1[GameDate], Table1[[#This Row],[GameDate]], Table1[AwayGameGoalDiff])</f>
        <v>0</v>
      </c>
      <c r="AA1292" s="64">
        <f>SUMIF(Table1[GameDate], Table1[[#This Row],[GameDate]], Table1[HomeGameGoalDiff])</f>
        <v>0</v>
      </c>
      <c r="AB1292" s="64">
        <f>IF(ISBLANK(Table1[[#This Row],[ActualResult]]), 0, 1)</f>
        <v>0</v>
      </c>
      <c r="AC1292" s="64">
        <f>IF(ISBLANK(Table1[[#This Row],[ActualResult]]), 0, IF(Table1[[#This Row],[ActualWinner]]=Table1[[#This Row],[PredictedWinner]], 1, 0))</f>
        <v>0</v>
      </c>
      <c r="AD129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9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92" s="64">
        <f>IF(AND(Table1[[#This Row],[GameIsOver]]=1,Table1[[#This Row],[ActualAwayScore]]=0), 1,0)</f>
        <v>0</v>
      </c>
      <c r="AG1292" s="64">
        <f>IF(AND(Table1[[#This Row],[GameIsOver]]=1,Table1[[#This Row],[ActualHomeScore]]=0), 1,0)</f>
        <v>0</v>
      </c>
      <c r="AH1292" s="64">
        <f>IF(Table1[[#This Row],[GameIsOver]]=0,0,IF(Table1[[#This Row],[ActualWinner]]=Table1[[#This Row],[AwayTeam]], 1, 0))</f>
        <v>0</v>
      </c>
      <c r="AI1292" s="64">
        <f>IF(Table1[[#This Row],[GameIsOver]]=0,0,IF(Table1[[#This Row],[ActualWinner]]=Table1[[#This Row],[HomeTeam]], 1, 0))</f>
        <v>0</v>
      </c>
      <c r="AJ1292" s="64">
        <f>IF(INDEX(Standings!$A$2:$C$33,MATCH(Table1[[#This Row],[AwayTeam]],Standings!$A$2:$A$33,0),2)=INDEX(Standings!$A$2:$C$33,MATCH(Table1[[#This Row],[HomeTeam]],Standings!$A$2:$A$33,0),2),1,0)</f>
        <v>1</v>
      </c>
      <c r="AK1292" s="64">
        <f>IF(INDEX(Standings!$A$2:$C$33,MATCH(Table1[[#This Row],[AwayTeam]],Standings!$A$2:$A$33,0),3)=INDEX(Standings!$A$2:$C$33,MATCH(Table1[[#This Row],[HomeTeam]],Standings!$A$2:$A$33,0),3),1,0)</f>
        <v>0</v>
      </c>
      <c r="AL1292" s="64">
        <f>IF(Table1[[#This Row],[InterConf]]=1,IF(Table1[[#This Row],[InterDiv]]=0, 1, 0), 0)</f>
        <v>1</v>
      </c>
      <c r="AM1292" s="64">
        <f>IF(INDEX(Standings!$A$2:$C$33,MATCH(Table1[[#This Row],[AwayTeam]],Standings!$A$2:$A$33,0),2)&lt;&gt;INDEX(Standings!$A$2:$C$33,MATCH(Table1[[#This Row],[HomeTeam]],Standings!$A$2:$A$33,0),2),1,0)</f>
        <v>0</v>
      </c>
      <c r="AN1292" s="64" t="str">
        <f>INDEX(Table2[AWAY_RECORD], MATCH(Table1[[#This Row],[AwayTeam]],Table2[Team], 0), 0)</f>
        <v>2-0-0</v>
      </c>
      <c r="AO1292" s="64" t="str">
        <f>INDEX(Records!$B$2:$AG$33, MATCH(Table1[[#This Row],[AwayTeam]],Records!$A$2:$A$33, 0), MATCH(Table1[[#This Row],[HomeTeam]],Records!$A$2:$A$33, 0))</f>
        <v>0-0-0</v>
      </c>
      <c r="AP1292" s="64" t="str">
        <f>INDEX(Table2[HOME_RECORD], MATCH(Table1[[#This Row],[HomeTeam]],Table2[Team], 0), 0)</f>
        <v>1-0-0</v>
      </c>
      <c r="AQ1292" s="64" t="str">
        <f>INDEX(Records!$B$2:$AG$33, MATCH(Table1[[#This Row],[HomeTeam]],Records!$A$2:$A$33, 0), MATCH(Table1[[#This Row],[AwayTeam]],Records!$A$2:$A$33, 0))</f>
        <v>0-0-0</v>
      </c>
    </row>
    <row r="1293" spans="1:43" x14ac:dyDescent="0.25">
      <c r="A1293" s="1"/>
      <c r="D1293" t="s">
        <v>1658</v>
      </c>
      <c r="E1293" t="s">
        <v>158</v>
      </c>
      <c r="F1293" t="s">
        <v>1661</v>
      </c>
      <c r="G1293" t="s">
        <v>44</v>
      </c>
      <c r="H1293" t="s">
        <v>52</v>
      </c>
      <c r="L129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9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93" s="1"/>
      <c r="T1293" s="64" t="str">
        <f>IF(Table1[[#This Row],[ActualWinner]]="", "", IF(Table1[[#This Row],[AwayTeam]]=Table1[[#This Row],[ActualWinner]],Table1[[#This Row],[HomeTeam]],Table1[[#This Row],[AwayTeam]]))</f>
        <v/>
      </c>
      <c r="U1293" s="64">
        <f>Table1[[#This Row],[ActualAwayScore]]-Table1[[#This Row],[PredictedAwayScore]]</f>
        <v>0</v>
      </c>
      <c r="V1293" s="64">
        <f>Table1[[#This Row],[ActualHomeScore]]-Table1[[#This Row],[PredictedHomeScore]]</f>
        <v>0</v>
      </c>
      <c r="W1293" s="64">
        <f>(0.8*IF(Table1[[#This Row],[CorrectWinnerPrediction]]=1, 1, 0))+(0.1*IF(Table1[[#This Row],[CorrectAwayScorePrediction]]=1, 1, 0))+(0.1*IF(Table1[[#This Row],[CorrectHomeScorePrediction]]=1, 1, 0))</f>
        <v>0</v>
      </c>
      <c r="X129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93" s="64">
        <f>SUMIF(Table1[GameDate], Table1[[#This Row],[GameDate]], Table1[AwayGameGoalDiff])</f>
        <v>0</v>
      </c>
      <c r="AA1293" s="64">
        <f>SUMIF(Table1[GameDate], Table1[[#This Row],[GameDate]], Table1[HomeGameGoalDiff])</f>
        <v>0</v>
      </c>
      <c r="AB1293" s="64">
        <f>IF(ISBLANK(Table1[[#This Row],[ActualResult]]), 0, 1)</f>
        <v>0</v>
      </c>
      <c r="AC1293" s="64">
        <f>IF(ISBLANK(Table1[[#This Row],[ActualResult]]), 0, IF(Table1[[#This Row],[ActualWinner]]=Table1[[#This Row],[PredictedWinner]], 1, 0))</f>
        <v>0</v>
      </c>
      <c r="AD129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9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93" s="64">
        <f>IF(AND(Table1[[#This Row],[GameIsOver]]=1,Table1[[#This Row],[ActualAwayScore]]=0), 1,0)</f>
        <v>0</v>
      </c>
      <c r="AG1293" s="64">
        <f>IF(AND(Table1[[#This Row],[GameIsOver]]=1,Table1[[#This Row],[ActualHomeScore]]=0), 1,0)</f>
        <v>0</v>
      </c>
      <c r="AH1293" s="64">
        <f>IF(Table1[[#This Row],[GameIsOver]]=0,0,IF(Table1[[#This Row],[ActualWinner]]=Table1[[#This Row],[AwayTeam]], 1, 0))</f>
        <v>0</v>
      </c>
      <c r="AI1293" s="64">
        <f>IF(Table1[[#This Row],[GameIsOver]]=0,0,IF(Table1[[#This Row],[ActualWinner]]=Table1[[#This Row],[HomeTeam]], 1, 0))</f>
        <v>0</v>
      </c>
      <c r="AJ1293" s="64">
        <f>IF(INDEX(Standings!$A$2:$C$33,MATCH(Table1[[#This Row],[AwayTeam]],Standings!$A$2:$A$33,0),2)=INDEX(Standings!$A$2:$C$33,MATCH(Table1[[#This Row],[HomeTeam]],Standings!$A$2:$A$33,0),2),1,0)</f>
        <v>1</v>
      </c>
      <c r="AK1293" s="64">
        <f>IF(INDEX(Standings!$A$2:$C$33,MATCH(Table1[[#This Row],[AwayTeam]],Standings!$A$2:$A$33,0),3)=INDEX(Standings!$A$2:$C$33,MATCH(Table1[[#This Row],[HomeTeam]],Standings!$A$2:$A$33,0),3),1,0)</f>
        <v>1</v>
      </c>
      <c r="AL1293" s="64">
        <f>IF(Table1[[#This Row],[InterConf]]=1,IF(Table1[[#This Row],[InterDiv]]=0, 1, 0), 0)</f>
        <v>0</v>
      </c>
      <c r="AM1293" s="64">
        <f>IF(INDEX(Standings!$A$2:$C$33,MATCH(Table1[[#This Row],[AwayTeam]],Standings!$A$2:$A$33,0),2)&lt;&gt;INDEX(Standings!$A$2:$C$33,MATCH(Table1[[#This Row],[HomeTeam]],Standings!$A$2:$A$33,0),2),1,0)</f>
        <v>0</v>
      </c>
      <c r="AN1293" s="64" t="str">
        <f>INDEX(Table2[AWAY_RECORD], MATCH(Table1[[#This Row],[AwayTeam]],Table2[Team], 0), 0)</f>
        <v>0-0-0</v>
      </c>
      <c r="AO1293" s="64" t="str">
        <f>INDEX(Records!$B$2:$AG$33, MATCH(Table1[[#This Row],[AwayTeam]],Records!$A$2:$A$33, 0), MATCH(Table1[[#This Row],[HomeTeam]],Records!$A$2:$A$33, 0))</f>
        <v>0-0-0</v>
      </c>
      <c r="AP1293" s="64" t="str">
        <f>INDEX(Table2[HOME_RECORD], MATCH(Table1[[#This Row],[HomeTeam]],Table2[Team], 0), 0)</f>
        <v>0-0-0</v>
      </c>
      <c r="AQ1293" s="64" t="str">
        <f>INDEX(Records!$B$2:$AG$33, MATCH(Table1[[#This Row],[HomeTeam]],Records!$A$2:$A$33, 0), MATCH(Table1[[#This Row],[AwayTeam]],Records!$A$2:$A$33, 0))</f>
        <v>0-0-0</v>
      </c>
    </row>
    <row r="1294" spans="1:43" x14ac:dyDescent="0.25">
      <c r="A1294" s="1"/>
      <c r="D1294" t="s">
        <v>1658</v>
      </c>
      <c r="E1294" t="s">
        <v>160</v>
      </c>
      <c r="F1294" t="s">
        <v>1662</v>
      </c>
      <c r="G1294" t="s">
        <v>54</v>
      </c>
      <c r="H1294" t="s">
        <v>59</v>
      </c>
      <c r="L129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9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94" s="1"/>
      <c r="T1294" s="64" t="str">
        <f>IF(Table1[[#This Row],[ActualWinner]]="", "", IF(Table1[[#This Row],[AwayTeam]]=Table1[[#This Row],[ActualWinner]],Table1[[#This Row],[HomeTeam]],Table1[[#This Row],[AwayTeam]]))</f>
        <v/>
      </c>
      <c r="U1294" s="64">
        <f>Table1[[#This Row],[ActualAwayScore]]-Table1[[#This Row],[PredictedAwayScore]]</f>
        <v>0</v>
      </c>
      <c r="V1294" s="64">
        <f>Table1[[#This Row],[ActualHomeScore]]-Table1[[#This Row],[PredictedHomeScore]]</f>
        <v>0</v>
      </c>
      <c r="W1294" s="64">
        <f>(0.8*IF(Table1[[#This Row],[CorrectWinnerPrediction]]=1, 1, 0))+(0.1*IF(Table1[[#This Row],[CorrectAwayScorePrediction]]=1, 1, 0))+(0.1*IF(Table1[[#This Row],[CorrectHomeScorePrediction]]=1, 1, 0))</f>
        <v>0</v>
      </c>
      <c r="X129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94" s="64">
        <f>SUMIF(Table1[GameDate], Table1[[#This Row],[GameDate]], Table1[AwayGameGoalDiff])</f>
        <v>0</v>
      </c>
      <c r="AA1294" s="64">
        <f>SUMIF(Table1[GameDate], Table1[[#This Row],[GameDate]], Table1[HomeGameGoalDiff])</f>
        <v>0</v>
      </c>
      <c r="AB1294" s="64">
        <f>IF(ISBLANK(Table1[[#This Row],[ActualResult]]), 0, 1)</f>
        <v>0</v>
      </c>
      <c r="AC1294" s="64">
        <f>IF(ISBLANK(Table1[[#This Row],[ActualResult]]), 0, IF(Table1[[#This Row],[ActualWinner]]=Table1[[#This Row],[PredictedWinner]], 1, 0))</f>
        <v>0</v>
      </c>
      <c r="AD129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9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94" s="64">
        <f>IF(AND(Table1[[#This Row],[GameIsOver]]=1,Table1[[#This Row],[ActualAwayScore]]=0), 1,0)</f>
        <v>0</v>
      </c>
      <c r="AG1294" s="64">
        <f>IF(AND(Table1[[#This Row],[GameIsOver]]=1,Table1[[#This Row],[ActualHomeScore]]=0), 1,0)</f>
        <v>0</v>
      </c>
      <c r="AH1294" s="64">
        <f>IF(Table1[[#This Row],[GameIsOver]]=0,0,IF(Table1[[#This Row],[ActualWinner]]=Table1[[#This Row],[AwayTeam]], 1, 0))</f>
        <v>0</v>
      </c>
      <c r="AI1294" s="64">
        <f>IF(Table1[[#This Row],[GameIsOver]]=0,0,IF(Table1[[#This Row],[ActualWinner]]=Table1[[#This Row],[HomeTeam]], 1, 0))</f>
        <v>0</v>
      </c>
      <c r="AJ1294" s="64">
        <f>IF(INDEX(Standings!$A$2:$C$33,MATCH(Table1[[#This Row],[AwayTeam]],Standings!$A$2:$A$33,0),2)=INDEX(Standings!$A$2:$C$33,MATCH(Table1[[#This Row],[HomeTeam]],Standings!$A$2:$A$33,0),2),1,0)</f>
        <v>1</v>
      </c>
      <c r="AK1294" s="64">
        <f>IF(INDEX(Standings!$A$2:$C$33,MATCH(Table1[[#This Row],[AwayTeam]],Standings!$A$2:$A$33,0),3)=INDEX(Standings!$A$2:$C$33,MATCH(Table1[[#This Row],[HomeTeam]],Standings!$A$2:$A$33,0),3),1,0)</f>
        <v>1</v>
      </c>
      <c r="AL1294" s="64">
        <f>IF(Table1[[#This Row],[InterConf]]=1,IF(Table1[[#This Row],[InterDiv]]=0, 1, 0), 0)</f>
        <v>0</v>
      </c>
      <c r="AM1294" s="64">
        <f>IF(INDEX(Standings!$A$2:$C$33,MATCH(Table1[[#This Row],[AwayTeam]],Standings!$A$2:$A$33,0),2)&lt;&gt;INDEX(Standings!$A$2:$C$33,MATCH(Table1[[#This Row],[HomeTeam]],Standings!$A$2:$A$33,0),2),1,0)</f>
        <v>0</v>
      </c>
      <c r="AN1294" s="64" t="str">
        <f>INDEX(Table2[AWAY_RECORD], MATCH(Table1[[#This Row],[AwayTeam]],Table2[Team], 0), 0)</f>
        <v>0-0-1</v>
      </c>
      <c r="AO1294" s="64" t="str">
        <f>INDEX(Records!$B$2:$AG$33, MATCH(Table1[[#This Row],[AwayTeam]],Records!$A$2:$A$33, 0), MATCH(Table1[[#This Row],[HomeTeam]],Records!$A$2:$A$33, 0))</f>
        <v>0-0-0</v>
      </c>
      <c r="AP1294" s="64" t="str">
        <f>INDEX(Table2[HOME_RECORD], MATCH(Table1[[#This Row],[HomeTeam]],Table2[Team], 0), 0)</f>
        <v>0-0-0</v>
      </c>
      <c r="AQ1294" s="64" t="str">
        <f>INDEX(Records!$B$2:$AG$33, MATCH(Table1[[#This Row],[HomeTeam]],Records!$A$2:$A$33, 0), MATCH(Table1[[#This Row],[AwayTeam]],Records!$A$2:$A$33, 0))</f>
        <v>0-0-0</v>
      </c>
    </row>
    <row r="1295" spans="1:43" x14ac:dyDescent="0.25">
      <c r="A1295" s="1"/>
      <c r="D1295" t="s">
        <v>1658</v>
      </c>
      <c r="E1295" t="s">
        <v>169</v>
      </c>
      <c r="F1295" t="s">
        <v>1663</v>
      </c>
      <c r="G1295" t="s">
        <v>47</v>
      </c>
      <c r="H1295" t="s">
        <v>50</v>
      </c>
      <c r="L129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9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95" s="1"/>
      <c r="T1295" s="64" t="str">
        <f>IF(Table1[[#This Row],[ActualWinner]]="", "", IF(Table1[[#This Row],[AwayTeam]]=Table1[[#This Row],[ActualWinner]],Table1[[#This Row],[HomeTeam]],Table1[[#This Row],[AwayTeam]]))</f>
        <v/>
      </c>
      <c r="U1295" s="64">
        <f>Table1[[#This Row],[ActualAwayScore]]-Table1[[#This Row],[PredictedAwayScore]]</f>
        <v>0</v>
      </c>
      <c r="V1295" s="64">
        <f>Table1[[#This Row],[ActualHomeScore]]-Table1[[#This Row],[PredictedHomeScore]]</f>
        <v>0</v>
      </c>
      <c r="W1295" s="64">
        <f>(0.8*IF(Table1[[#This Row],[CorrectWinnerPrediction]]=1, 1, 0))+(0.1*IF(Table1[[#This Row],[CorrectAwayScorePrediction]]=1, 1, 0))+(0.1*IF(Table1[[#This Row],[CorrectHomeScorePrediction]]=1, 1, 0))</f>
        <v>0</v>
      </c>
      <c r="X129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95" s="64">
        <f>SUMIF(Table1[GameDate], Table1[[#This Row],[GameDate]], Table1[AwayGameGoalDiff])</f>
        <v>0</v>
      </c>
      <c r="AA1295" s="64">
        <f>SUMIF(Table1[GameDate], Table1[[#This Row],[GameDate]], Table1[HomeGameGoalDiff])</f>
        <v>0</v>
      </c>
      <c r="AB1295" s="64">
        <f>IF(ISBLANK(Table1[[#This Row],[ActualResult]]), 0, 1)</f>
        <v>0</v>
      </c>
      <c r="AC1295" s="64">
        <f>IF(ISBLANK(Table1[[#This Row],[ActualResult]]), 0, IF(Table1[[#This Row],[ActualWinner]]=Table1[[#This Row],[PredictedWinner]], 1, 0))</f>
        <v>0</v>
      </c>
      <c r="AD129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9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95" s="64">
        <f>IF(AND(Table1[[#This Row],[GameIsOver]]=1,Table1[[#This Row],[ActualAwayScore]]=0), 1,0)</f>
        <v>0</v>
      </c>
      <c r="AG1295" s="64">
        <f>IF(AND(Table1[[#This Row],[GameIsOver]]=1,Table1[[#This Row],[ActualHomeScore]]=0), 1,0)</f>
        <v>0</v>
      </c>
      <c r="AH1295" s="64">
        <f>IF(Table1[[#This Row],[GameIsOver]]=0,0,IF(Table1[[#This Row],[ActualWinner]]=Table1[[#This Row],[AwayTeam]], 1, 0))</f>
        <v>0</v>
      </c>
      <c r="AI1295" s="64">
        <f>IF(Table1[[#This Row],[GameIsOver]]=0,0,IF(Table1[[#This Row],[ActualWinner]]=Table1[[#This Row],[HomeTeam]], 1, 0))</f>
        <v>0</v>
      </c>
      <c r="AJ1295" s="64">
        <f>IF(INDEX(Standings!$A$2:$C$33,MATCH(Table1[[#This Row],[AwayTeam]],Standings!$A$2:$A$33,0),2)=INDEX(Standings!$A$2:$C$33,MATCH(Table1[[#This Row],[HomeTeam]],Standings!$A$2:$A$33,0),2),1,0)</f>
        <v>1</v>
      </c>
      <c r="AK1295" s="64">
        <f>IF(INDEX(Standings!$A$2:$C$33,MATCH(Table1[[#This Row],[AwayTeam]],Standings!$A$2:$A$33,0),3)=INDEX(Standings!$A$2:$C$33,MATCH(Table1[[#This Row],[HomeTeam]],Standings!$A$2:$A$33,0),3),1,0)</f>
        <v>0</v>
      </c>
      <c r="AL1295" s="64">
        <f>IF(Table1[[#This Row],[InterConf]]=1,IF(Table1[[#This Row],[InterDiv]]=0, 1, 0), 0)</f>
        <v>1</v>
      </c>
      <c r="AM1295" s="64">
        <f>IF(INDEX(Standings!$A$2:$C$33,MATCH(Table1[[#This Row],[AwayTeam]],Standings!$A$2:$A$33,0),2)&lt;&gt;INDEX(Standings!$A$2:$C$33,MATCH(Table1[[#This Row],[HomeTeam]],Standings!$A$2:$A$33,0),2),1,0)</f>
        <v>0</v>
      </c>
      <c r="AN1295" s="64" t="str">
        <f>INDEX(Table2[AWAY_RECORD], MATCH(Table1[[#This Row],[AwayTeam]],Table2[Team], 0), 0)</f>
        <v>1-0-0</v>
      </c>
      <c r="AO1295" s="64" t="str">
        <f>INDEX(Records!$B$2:$AG$33, MATCH(Table1[[#This Row],[AwayTeam]],Records!$A$2:$A$33, 0), MATCH(Table1[[#This Row],[HomeTeam]],Records!$A$2:$A$33, 0))</f>
        <v>0-0-0</v>
      </c>
      <c r="AP1295" s="64" t="str">
        <f>INDEX(Table2[HOME_RECORD], MATCH(Table1[[#This Row],[HomeTeam]],Table2[Team], 0), 0)</f>
        <v>0-0-0</v>
      </c>
      <c r="AQ1295" s="64" t="str">
        <f>INDEX(Records!$B$2:$AG$33, MATCH(Table1[[#This Row],[HomeTeam]],Records!$A$2:$A$33, 0), MATCH(Table1[[#This Row],[AwayTeam]],Records!$A$2:$A$33, 0))</f>
        <v>0-0-0</v>
      </c>
    </row>
    <row r="1296" spans="1:43" x14ac:dyDescent="0.25">
      <c r="A1296" s="1"/>
      <c r="D1296" t="s">
        <v>1658</v>
      </c>
      <c r="E1296" t="s">
        <v>301</v>
      </c>
      <c r="F1296" t="s">
        <v>1664</v>
      </c>
      <c r="G1296" t="s">
        <v>61</v>
      </c>
      <c r="H1296" t="s">
        <v>55</v>
      </c>
      <c r="L129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9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96" s="1"/>
      <c r="T1296" s="64" t="str">
        <f>IF(Table1[[#This Row],[ActualWinner]]="", "", IF(Table1[[#This Row],[AwayTeam]]=Table1[[#This Row],[ActualWinner]],Table1[[#This Row],[HomeTeam]],Table1[[#This Row],[AwayTeam]]))</f>
        <v/>
      </c>
      <c r="U1296" s="64">
        <f>Table1[[#This Row],[ActualAwayScore]]-Table1[[#This Row],[PredictedAwayScore]]</f>
        <v>0</v>
      </c>
      <c r="V1296" s="64">
        <f>Table1[[#This Row],[ActualHomeScore]]-Table1[[#This Row],[PredictedHomeScore]]</f>
        <v>0</v>
      </c>
      <c r="W1296" s="64">
        <f>(0.8*IF(Table1[[#This Row],[CorrectWinnerPrediction]]=1, 1, 0))+(0.1*IF(Table1[[#This Row],[CorrectAwayScorePrediction]]=1, 1, 0))+(0.1*IF(Table1[[#This Row],[CorrectHomeScorePrediction]]=1, 1, 0))</f>
        <v>0</v>
      </c>
      <c r="X129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96" s="64">
        <f>SUMIF(Table1[GameDate], Table1[[#This Row],[GameDate]], Table1[AwayGameGoalDiff])</f>
        <v>0</v>
      </c>
      <c r="AA1296" s="64">
        <f>SUMIF(Table1[GameDate], Table1[[#This Row],[GameDate]], Table1[HomeGameGoalDiff])</f>
        <v>0</v>
      </c>
      <c r="AB1296" s="64">
        <f>IF(ISBLANK(Table1[[#This Row],[ActualResult]]), 0, 1)</f>
        <v>0</v>
      </c>
      <c r="AC1296" s="64">
        <f>IF(ISBLANK(Table1[[#This Row],[ActualResult]]), 0, IF(Table1[[#This Row],[ActualWinner]]=Table1[[#This Row],[PredictedWinner]], 1, 0))</f>
        <v>0</v>
      </c>
      <c r="AD129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9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96" s="64">
        <f>IF(AND(Table1[[#This Row],[GameIsOver]]=1,Table1[[#This Row],[ActualAwayScore]]=0), 1,0)</f>
        <v>0</v>
      </c>
      <c r="AG1296" s="64">
        <f>IF(AND(Table1[[#This Row],[GameIsOver]]=1,Table1[[#This Row],[ActualHomeScore]]=0), 1,0)</f>
        <v>0</v>
      </c>
      <c r="AH1296" s="64">
        <f>IF(Table1[[#This Row],[GameIsOver]]=0,0,IF(Table1[[#This Row],[ActualWinner]]=Table1[[#This Row],[AwayTeam]], 1, 0))</f>
        <v>0</v>
      </c>
      <c r="AI1296" s="64">
        <f>IF(Table1[[#This Row],[GameIsOver]]=0,0,IF(Table1[[#This Row],[ActualWinner]]=Table1[[#This Row],[HomeTeam]], 1, 0))</f>
        <v>0</v>
      </c>
      <c r="AJ1296" s="64">
        <f>IF(INDEX(Standings!$A$2:$C$33,MATCH(Table1[[#This Row],[AwayTeam]],Standings!$A$2:$A$33,0),2)=INDEX(Standings!$A$2:$C$33,MATCH(Table1[[#This Row],[HomeTeam]],Standings!$A$2:$A$33,0),2),1,0)</f>
        <v>1</v>
      </c>
      <c r="AK1296" s="64">
        <f>IF(INDEX(Standings!$A$2:$C$33,MATCH(Table1[[#This Row],[AwayTeam]],Standings!$A$2:$A$33,0),3)=INDEX(Standings!$A$2:$C$33,MATCH(Table1[[#This Row],[HomeTeam]],Standings!$A$2:$A$33,0),3),1,0)</f>
        <v>0</v>
      </c>
      <c r="AL1296" s="64">
        <f>IF(Table1[[#This Row],[InterConf]]=1,IF(Table1[[#This Row],[InterDiv]]=0, 1, 0), 0)</f>
        <v>1</v>
      </c>
      <c r="AM1296" s="64">
        <f>IF(INDEX(Standings!$A$2:$C$33,MATCH(Table1[[#This Row],[AwayTeam]],Standings!$A$2:$A$33,0),2)&lt;&gt;INDEX(Standings!$A$2:$C$33,MATCH(Table1[[#This Row],[HomeTeam]],Standings!$A$2:$A$33,0),2),1,0)</f>
        <v>0</v>
      </c>
      <c r="AN1296" s="64" t="str">
        <f>INDEX(Table2[AWAY_RECORD], MATCH(Table1[[#This Row],[AwayTeam]],Table2[Team], 0), 0)</f>
        <v>0-0-0</v>
      </c>
      <c r="AO1296" s="64" t="str">
        <f>INDEX(Records!$B$2:$AG$33, MATCH(Table1[[#This Row],[AwayTeam]],Records!$A$2:$A$33, 0), MATCH(Table1[[#This Row],[HomeTeam]],Records!$A$2:$A$33, 0))</f>
        <v>0-0-0</v>
      </c>
      <c r="AP1296" s="64" t="str">
        <f>INDEX(Table2[HOME_RECORD], MATCH(Table1[[#This Row],[HomeTeam]],Table2[Team], 0), 0)</f>
        <v>0-1-0</v>
      </c>
      <c r="AQ1296" s="64" t="str">
        <f>INDEX(Records!$B$2:$AG$33, MATCH(Table1[[#This Row],[HomeTeam]],Records!$A$2:$A$33, 0), MATCH(Table1[[#This Row],[AwayTeam]],Records!$A$2:$A$33, 0))</f>
        <v>0-0-0</v>
      </c>
    </row>
    <row r="1297" spans="1:43" x14ac:dyDescent="0.25">
      <c r="A1297" s="1"/>
      <c r="D1297" t="s">
        <v>1665</v>
      </c>
      <c r="E1297" t="s">
        <v>432</v>
      </c>
      <c r="F1297" t="s">
        <v>1666</v>
      </c>
      <c r="G1297" t="s">
        <v>53</v>
      </c>
      <c r="H1297" t="s">
        <v>40</v>
      </c>
      <c r="L129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9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97" s="1"/>
      <c r="T1297" s="64" t="str">
        <f>IF(Table1[[#This Row],[ActualWinner]]="", "", IF(Table1[[#This Row],[AwayTeam]]=Table1[[#This Row],[ActualWinner]],Table1[[#This Row],[HomeTeam]],Table1[[#This Row],[AwayTeam]]))</f>
        <v/>
      </c>
      <c r="U1297" s="64">
        <f>Table1[[#This Row],[ActualAwayScore]]-Table1[[#This Row],[PredictedAwayScore]]</f>
        <v>0</v>
      </c>
      <c r="V1297" s="64">
        <f>Table1[[#This Row],[ActualHomeScore]]-Table1[[#This Row],[PredictedHomeScore]]</f>
        <v>0</v>
      </c>
      <c r="W1297" s="64">
        <f>(0.8*IF(Table1[[#This Row],[CorrectWinnerPrediction]]=1, 1, 0))+(0.1*IF(Table1[[#This Row],[CorrectAwayScorePrediction]]=1, 1, 0))+(0.1*IF(Table1[[#This Row],[CorrectHomeScorePrediction]]=1, 1, 0))</f>
        <v>0</v>
      </c>
      <c r="X129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97" s="64">
        <f>SUMIF(Table1[GameDate], Table1[[#This Row],[GameDate]], Table1[AwayGameGoalDiff])</f>
        <v>0</v>
      </c>
      <c r="AA1297" s="64">
        <f>SUMIF(Table1[GameDate], Table1[[#This Row],[GameDate]], Table1[HomeGameGoalDiff])</f>
        <v>0</v>
      </c>
      <c r="AB1297" s="64">
        <f>IF(ISBLANK(Table1[[#This Row],[ActualResult]]), 0, 1)</f>
        <v>0</v>
      </c>
      <c r="AC1297" s="64">
        <f>IF(ISBLANK(Table1[[#This Row],[ActualResult]]), 0, IF(Table1[[#This Row],[ActualWinner]]=Table1[[#This Row],[PredictedWinner]], 1, 0))</f>
        <v>0</v>
      </c>
      <c r="AD129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9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97" s="64">
        <f>IF(AND(Table1[[#This Row],[GameIsOver]]=1,Table1[[#This Row],[ActualAwayScore]]=0), 1,0)</f>
        <v>0</v>
      </c>
      <c r="AG1297" s="64">
        <f>IF(AND(Table1[[#This Row],[GameIsOver]]=1,Table1[[#This Row],[ActualHomeScore]]=0), 1,0)</f>
        <v>0</v>
      </c>
      <c r="AH1297" s="64">
        <f>IF(Table1[[#This Row],[GameIsOver]]=0,0,IF(Table1[[#This Row],[ActualWinner]]=Table1[[#This Row],[AwayTeam]], 1, 0))</f>
        <v>0</v>
      </c>
      <c r="AI1297" s="64">
        <f>IF(Table1[[#This Row],[GameIsOver]]=0,0,IF(Table1[[#This Row],[ActualWinner]]=Table1[[#This Row],[HomeTeam]], 1, 0))</f>
        <v>0</v>
      </c>
      <c r="AJ1297" s="64">
        <f>IF(INDEX(Standings!$A$2:$C$33,MATCH(Table1[[#This Row],[AwayTeam]],Standings!$A$2:$A$33,0),2)=INDEX(Standings!$A$2:$C$33,MATCH(Table1[[#This Row],[HomeTeam]],Standings!$A$2:$A$33,0),2),1,0)</f>
        <v>1</v>
      </c>
      <c r="AK1297" s="64">
        <f>IF(INDEX(Standings!$A$2:$C$33,MATCH(Table1[[#This Row],[AwayTeam]],Standings!$A$2:$A$33,0),3)=INDEX(Standings!$A$2:$C$33,MATCH(Table1[[#This Row],[HomeTeam]],Standings!$A$2:$A$33,0),3),1,0)</f>
        <v>1</v>
      </c>
      <c r="AL1297" s="64">
        <f>IF(Table1[[#This Row],[InterConf]]=1,IF(Table1[[#This Row],[InterDiv]]=0, 1, 0), 0)</f>
        <v>0</v>
      </c>
      <c r="AM1297" s="64">
        <f>IF(INDEX(Standings!$A$2:$C$33,MATCH(Table1[[#This Row],[AwayTeam]],Standings!$A$2:$A$33,0),2)&lt;&gt;INDEX(Standings!$A$2:$C$33,MATCH(Table1[[#This Row],[HomeTeam]],Standings!$A$2:$A$33,0),2),1,0)</f>
        <v>0</v>
      </c>
      <c r="AN1297" s="64" t="str">
        <f>INDEX(Table2[AWAY_RECORD], MATCH(Table1[[#This Row],[AwayTeam]],Table2[Team], 0), 0)</f>
        <v>0-1-0</v>
      </c>
      <c r="AO1297" s="64" t="str">
        <f>INDEX(Records!$B$2:$AG$33, MATCH(Table1[[#This Row],[AwayTeam]],Records!$A$2:$A$33, 0), MATCH(Table1[[#This Row],[HomeTeam]],Records!$A$2:$A$33, 0))</f>
        <v>0-0-0</v>
      </c>
      <c r="AP1297" s="64" t="str">
        <f>INDEX(Table2[HOME_RECORD], MATCH(Table1[[#This Row],[HomeTeam]],Table2[Team], 0), 0)</f>
        <v>1-1-0</v>
      </c>
      <c r="AQ1297" s="64" t="str">
        <f>INDEX(Records!$B$2:$AG$33, MATCH(Table1[[#This Row],[HomeTeam]],Records!$A$2:$A$33, 0), MATCH(Table1[[#This Row],[AwayTeam]],Records!$A$2:$A$33, 0))</f>
        <v>0-0-0</v>
      </c>
    </row>
    <row r="1298" spans="1:43" x14ac:dyDescent="0.25">
      <c r="A1298" s="1"/>
      <c r="D1298" t="s">
        <v>1665</v>
      </c>
      <c r="E1298" t="s">
        <v>160</v>
      </c>
      <c r="F1298" t="s">
        <v>1667</v>
      </c>
      <c r="G1298" t="s">
        <v>57</v>
      </c>
      <c r="H1298" t="s">
        <v>38</v>
      </c>
      <c r="L129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9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98" s="1"/>
      <c r="T1298" s="64" t="str">
        <f>IF(Table1[[#This Row],[ActualWinner]]="", "", IF(Table1[[#This Row],[AwayTeam]]=Table1[[#This Row],[ActualWinner]],Table1[[#This Row],[HomeTeam]],Table1[[#This Row],[AwayTeam]]))</f>
        <v/>
      </c>
      <c r="U1298" s="64">
        <f>Table1[[#This Row],[ActualAwayScore]]-Table1[[#This Row],[PredictedAwayScore]]</f>
        <v>0</v>
      </c>
      <c r="V1298" s="64">
        <f>Table1[[#This Row],[ActualHomeScore]]-Table1[[#This Row],[PredictedHomeScore]]</f>
        <v>0</v>
      </c>
      <c r="W1298" s="64">
        <f>(0.8*IF(Table1[[#This Row],[CorrectWinnerPrediction]]=1, 1, 0))+(0.1*IF(Table1[[#This Row],[CorrectAwayScorePrediction]]=1, 1, 0))+(0.1*IF(Table1[[#This Row],[CorrectHomeScorePrediction]]=1, 1, 0))</f>
        <v>0</v>
      </c>
      <c r="X129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98" s="64">
        <f>SUMIF(Table1[GameDate], Table1[[#This Row],[GameDate]], Table1[AwayGameGoalDiff])</f>
        <v>0</v>
      </c>
      <c r="AA1298" s="64">
        <f>SUMIF(Table1[GameDate], Table1[[#This Row],[GameDate]], Table1[HomeGameGoalDiff])</f>
        <v>0</v>
      </c>
      <c r="AB1298" s="64">
        <f>IF(ISBLANK(Table1[[#This Row],[ActualResult]]), 0, 1)</f>
        <v>0</v>
      </c>
      <c r="AC1298" s="64">
        <f>IF(ISBLANK(Table1[[#This Row],[ActualResult]]), 0, IF(Table1[[#This Row],[ActualWinner]]=Table1[[#This Row],[PredictedWinner]], 1, 0))</f>
        <v>0</v>
      </c>
      <c r="AD129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9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98" s="64">
        <f>IF(AND(Table1[[#This Row],[GameIsOver]]=1,Table1[[#This Row],[ActualAwayScore]]=0), 1,0)</f>
        <v>0</v>
      </c>
      <c r="AG1298" s="64">
        <f>IF(AND(Table1[[#This Row],[GameIsOver]]=1,Table1[[#This Row],[ActualHomeScore]]=0), 1,0)</f>
        <v>0</v>
      </c>
      <c r="AH1298" s="64">
        <f>IF(Table1[[#This Row],[GameIsOver]]=0,0,IF(Table1[[#This Row],[ActualWinner]]=Table1[[#This Row],[AwayTeam]], 1, 0))</f>
        <v>0</v>
      </c>
      <c r="AI1298" s="64">
        <f>IF(Table1[[#This Row],[GameIsOver]]=0,0,IF(Table1[[#This Row],[ActualWinner]]=Table1[[#This Row],[HomeTeam]], 1, 0))</f>
        <v>0</v>
      </c>
      <c r="AJ1298" s="64">
        <f>IF(INDEX(Standings!$A$2:$C$33,MATCH(Table1[[#This Row],[AwayTeam]],Standings!$A$2:$A$33,0),2)=INDEX(Standings!$A$2:$C$33,MATCH(Table1[[#This Row],[HomeTeam]],Standings!$A$2:$A$33,0),2),1,0)</f>
        <v>1</v>
      </c>
      <c r="AK1298" s="64">
        <f>IF(INDEX(Standings!$A$2:$C$33,MATCH(Table1[[#This Row],[AwayTeam]],Standings!$A$2:$A$33,0),3)=INDEX(Standings!$A$2:$C$33,MATCH(Table1[[#This Row],[HomeTeam]],Standings!$A$2:$A$33,0),3),1,0)</f>
        <v>1</v>
      </c>
      <c r="AL1298" s="64">
        <f>IF(Table1[[#This Row],[InterConf]]=1,IF(Table1[[#This Row],[InterDiv]]=0, 1, 0), 0)</f>
        <v>0</v>
      </c>
      <c r="AM1298" s="64">
        <f>IF(INDEX(Standings!$A$2:$C$33,MATCH(Table1[[#This Row],[AwayTeam]],Standings!$A$2:$A$33,0),2)&lt;&gt;INDEX(Standings!$A$2:$C$33,MATCH(Table1[[#This Row],[HomeTeam]],Standings!$A$2:$A$33,0),2),1,0)</f>
        <v>0</v>
      </c>
      <c r="AN1298" s="64" t="str">
        <f>INDEX(Table2[AWAY_RECORD], MATCH(Table1[[#This Row],[AwayTeam]],Table2[Team], 0), 0)</f>
        <v>0-1-0</v>
      </c>
      <c r="AO1298" s="64" t="str">
        <f>INDEX(Records!$B$2:$AG$33, MATCH(Table1[[#This Row],[AwayTeam]],Records!$A$2:$A$33, 0), MATCH(Table1[[#This Row],[HomeTeam]],Records!$A$2:$A$33, 0))</f>
        <v>0-0-0</v>
      </c>
      <c r="AP1298" s="64" t="str">
        <f>INDEX(Table2[HOME_RECORD], MATCH(Table1[[#This Row],[HomeTeam]],Table2[Team], 0), 0)</f>
        <v>0-0-0</v>
      </c>
      <c r="AQ1298" s="64" t="str">
        <f>INDEX(Records!$B$2:$AG$33, MATCH(Table1[[#This Row],[HomeTeam]],Records!$A$2:$A$33, 0), MATCH(Table1[[#This Row],[AwayTeam]],Records!$A$2:$A$33, 0))</f>
        <v>0-0-0</v>
      </c>
    </row>
    <row r="1299" spans="1:43" x14ac:dyDescent="0.25">
      <c r="A1299" s="1"/>
      <c r="D1299" t="s">
        <v>1665</v>
      </c>
      <c r="E1299" t="s">
        <v>160</v>
      </c>
      <c r="F1299" t="s">
        <v>1668</v>
      </c>
      <c r="G1299" t="s">
        <v>37</v>
      </c>
      <c r="H1299" t="s">
        <v>24</v>
      </c>
      <c r="L129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29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299" s="1"/>
      <c r="T1299" s="64" t="str">
        <f>IF(Table1[[#This Row],[ActualWinner]]="", "", IF(Table1[[#This Row],[AwayTeam]]=Table1[[#This Row],[ActualWinner]],Table1[[#This Row],[HomeTeam]],Table1[[#This Row],[AwayTeam]]))</f>
        <v/>
      </c>
      <c r="U1299" s="64">
        <f>Table1[[#This Row],[ActualAwayScore]]-Table1[[#This Row],[PredictedAwayScore]]</f>
        <v>0</v>
      </c>
      <c r="V1299" s="64">
        <f>Table1[[#This Row],[ActualHomeScore]]-Table1[[#This Row],[PredictedHomeScore]]</f>
        <v>0</v>
      </c>
      <c r="W1299" s="64">
        <f>(0.8*IF(Table1[[#This Row],[CorrectWinnerPrediction]]=1, 1, 0))+(0.1*IF(Table1[[#This Row],[CorrectAwayScorePrediction]]=1, 1, 0))+(0.1*IF(Table1[[#This Row],[CorrectHomeScorePrediction]]=1, 1, 0))</f>
        <v>0</v>
      </c>
      <c r="X129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299" s="64">
        <f>SUMIF(Table1[GameDate], Table1[[#This Row],[GameDate]], Table1[AwayGameGoalDiff])</f>
        <v>0</v>
      </c>
      <c r="AA1299" s="64">
        <f>SUMIF(Table1[GameDate], Table1[[#This Row],[GameDate]], Table1[HomeGameGoalDiff])</f>
        <v>0</v>
      </c>
      <c r="AB1299" s="64">
        <f>IF(ISBLANK(Table1[[#This Row],[ActualResult]]), 0, 1)</f>
        <v>0</v>
      </c>
      <c r="AC1299" s="64">
        <f>IF(ISBLANK(Table1[[#This Row],[ActualResult]]), 0, IF(Table1[[#This Row],[ActualWinner]]=Table1[[#This Row],[PredictedWinner]], 1, 0))</f>
        <v>0</v>
      </c>
      <c r="AD129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9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99" s="64">
        <f>IF(AND(Table1[[#This Row],[GameIsOver]]=1,Table1[[#This Row],[ActualAwayScore]]=0), 1,0)</f>
        <v>0</v>
      </c>
      <c r="AG1299" s="64">
        <f>IF(AND(Table1[[#This Row],[GameIsOver]]=1,Table1[[#This Row],[ActualHomeScore]]=0), 1,0)</f>
        <v>0</v>
      </c>
      <c r="AH1299" s="64">
        <f>IF(Table1[[#This Row],[GameIsOver]]=0,0,IF(Table1[[#This Row],[ActualWinner]]=Table1[[#This Row],[AwayTeam]], 1, 0))</f>
        <v>0</v>
      </c>
      <c r="AI1299" s="64">
        <f>IF(Table1[[#This Row],[GameIsOver]]=0,0,IF(Table1[[#This Row],[ActualWinner]]=Table1[[#This Row],[HomeTeam]], 1, 0))</f>
        <v>0</v>
      </c>
      <c r="AJ1299" s="64">
        <f>IF(INDEX(Standings!$A$2:$C$33,MATCH(Table1[[#This Row],[AwayTeam]],Standings!$A$2:$A$33,0),2)=INDEX(Standings!$A$2:$C$33,MATCH(Table1[[#This Row],[HomeTeam]],Standings!$A$2:$A$33,0),2),1,0)</f>
        <v>1</v>
      </c>
      <c r="AK1299" s="64">
        <f>IF(INDEX(Standings!$A$2:$C$33,MATCH(Table1[[#This Row],[AwayTeam]],Standings!$A$2:$A$33,0),3)=INDEX(Standings!$A$2:$C$33,MATCH(Table1[[#This Row],[HomeTeam]],Standings!$A$2:$A$33,0),3),1,0)</f>
        <v>1</v>
      </c>
      <c r="AL1299" s="64">
        <f>IF(Table1[[#This Row],[InterConf]]=1,IF(Table1[[#This Row],[InterDiv]]=0, 1, 0), 0)</f>
        <v>0</v>
      </c>
      <c r="AM1299" s="64">
        <f>IF(INDEX(Standings!$A$2:$C$33,MATCH(Table1[[#This Row],[AwayTeam]],Standings!$A$2:$A$33,0),2)&lt;&gt;INDEX(Standings!$A$2:$C$33,MATCH(Table1[[#This Row],[HomeTeam]],Standings!$A$2:$A$33,0),2),1,0)</f>
        <v>0</v>
      </c>
      <c r="AN1299" s="64" t="str">
        <f>INDEX(Table2[AWAY_RECORD], MATCH(Table1[[#This Row],[AwayTeam]],Table2[Team], 0), 0)</f>
        <v>0-0-1</v>
      </c>
      <c r="AO1299" s="64" t="str">
        <f>INDEX(Records!$B$2:$AG$33, MATCH(Table1[[#This Row],[AwayTeam]],Records!$A$2:$A$33, 0), MATCH(Table1[[#This Row],[HomeTeam]],Records!$A$2:$A$33, 0))</f>
        <v>0-0-0</v>
      </c>
      <c r="AP1299" s="64" t="str">
        <f>INDEX(Table2[HOME_RECORD], MATCH(Table1[[#This Row],[HomeTeam]],Table2[Team], 0), 0)</f>
        <v>0-2-0</v>
      </c>
      <c r="AQ1299" s="64" t="str">
        <f>INDEX(Records!$B$2:$AG$33, MATCH(Table1[[#This Row],[HomeTeam]],Records!$A$2:$A$33, 0), MATCH(Table1[[#This Row],[AwayTeam]],Records!$A$2:$A$33, 0))</f>
        <v>0-0-0</v>
      </c>
    </row>
    <row r="1300" spans="1:43" x14ac:dyDescent="0.25">
      <c r="A1300" s="1"/>
      <c r="D1300" t="s">
        <v>1665</v>
      </c>
      <c r="E1300" t="s">
        <v>162</v>
      </c>
      <c r="F1300" t="s">
        <v>1669</v>
      </c>
      <c r="G1300" t="s">
        <v>56</v>
      </c>
      <c r="H1300" t="s">
        <v>43</v>
      </c>
      <c r="L130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0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00" s="1"/>
      <c r="T1300" s="64" t="str">
        <f>IF(Table1[[#This Row],[ActualWinner]]="", "", IF(Table1[[#This Row],[AwayTeam]]=Table1[[#This Row],[ActualWinner]],Table1[[#This Row],[HomeTeam]],Table1[[#This Row],[AwayTeam]]))</f>
        <v/>
      </c>
      <c r="U1300" s="64">
        <f>Table1[[#This Row],[ActualAwayScore]]-Table1[[#This Row],[PredictedAwayScore]]</f>
        <v>0</v>
      </c>
      <c r="V1300" s="64">
        <f>Table1[[#This Row],[ActualHomeScore]]-Table1[[#This Row],[PredictedHomeScore]]</f>
        <v>0</v>
      </c>
      <c r="W1300" s="64">
        <f>(0.8*IF(Table1[[#This Row],[CorrectWinnerPrediction]]=1, 1, 0))+(0.1*IF(Table1[[#This Row],[CorrectAwayScorePrediction]]=1, 1, 0))+(0.1*IF(Table1[[#This Row],[CorrectHomeScorePrediction]]=1, 1, 0))</f>
        <v>0</v>
      </c>
      <c r="X130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00" s="64">
        <f>SUMIF(Table1[GameDate], Table1[[#This Row],[GameDate]], Table1[AwayGameGoalDiff])</f>
        <v>0</v>
      </c>
      <c r="AA1300" s="64">
        <f>SUMIF(Table1[GameDate], Table1[[#This Row],[GameDate]], Table1[HomeGameGoalDiff])</f>
        <v>0</v>
      </c>
      <c r="AB1300" s="64">
        <f>IF(ISBLANK(Table1[[#This Row],[ActualResult]]), 0, 1)</f>
        <v>0</v>
      </c>
      <c r="AC1300" s="64">
        <f>IF(ISBLANK(Table1[[#This Row],[ActualResult]]), 0, IF(Table1[[#This Row],[ActualWinner]]=Table1[[#This Row],[PredictedWinner]], 1, 0))</f>
        <v>0</v>
      </c>
      <c r="AD130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0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00" s="64">
        <f>IF(AND(Table1[[#This Row],[GameIsOver]]=1,Table1[[#This Row],[ActualAwayScore]]=0), 1,0)</f>
        <v>0</v>
      </c>
      <c r="AG1300" s="64">
        <f>IF(AND(Table1[[#This Row],[GameIsOver]]=1,Table1[[#This Row],[ActualHomeScore]]=0), 1,0)</f>
        <v>0</v>
      </c>
      <c r="AH1300" s="64">
        <f>IF(Table1[[#This Row],[GameIsOver]]=0,0,IF(Table1[[#This Row],[ActualWinner]]=Table1[[#This Row],[AwayTeam]], 1, 0))</f>
        <v>0</v>
      </c>
      <c r="AI1300" s="64">
        <f>IF(Table1[[#This Row],[GameIsOver]]=0,0,IF(Table1[[#This Row],[ActualWinner]]=Table1[[#This Row],[HomeTeam]], 1, 0))</f>
        <v>0</v>
      </c>
      <c r="AJ1300" s="64">
        <f>IF(INDEX(Standings!$A$2:$C$33,MATCH(Table1[[#This Row],[AwayTeam]],Standings!$A$2:$A$33,0),2)=INDEX(Standings!$A$2:$C$33,MATCH(Table1[[#This Row],[HomeTeam]],Standings!$A$2:$A$33,0),2),1,0)</f>
        <v>1</v>
      </c>
      <c r="AK1300" s="64">
        <f>IF(INDEX(Standings!$A$2:$C$33,MATCH(Table1[[#This Row],[AwayTeam]],Standings!$A$2:$A$33,0),3)=INDEX(Standings!$A$2:$C$33,MATCH(Table1[[#This Row],[HomeTeam]],Standings!$A$2:$A$33,0),3),1,0)</f>
        <v>0</v>
      </c>
      <c r="AL1300" s="64">
        <f>IF(Table1[[#This Row],[InterConf]]=1,IF(Table1[[#This Row],[InterDiv]]=0, 1, 0), 0)</f>
        <v>1</v>
      </c>
      <c r="AM1300" s="64">
        <f>IF(INDEX(Standings!$A$2:$C$33,MATCH(Table1[[#This Row],[AwayTeam]],Standings!$A$2:$A$33,0),2)&lt;&gt;INDEX(Standings!$A$2:$C$33,MATCH(Table1[[#This Row],[HomeTeam]],Standings!$A$2:$A$33,0),2),1,0)</f>
        <v>0</v>
      </c>
      <c r="AN1300" s="64" t="str">
        <f>INDEX(Table2[AWAY_RECORD], MATCH(Table1[[#This Row],[AwayTeam]],Table2[Team], 0), 0)</f>
        <v>1-0-0</v>
      </c>
      <c r="AO1300" s="64" t="str">
        <f>INDEX(Records!$B$2:$AG$33, MATCH(Table1[[#This Row],[AwayTeam]],Records!$A$2:$A$33, 0), MATCH(Table1[[#This Row],[HomeTeam]],Records!$A$2:$A$33, 0))</f>
        <v>0-0-0</v>
      </c>
      <c r="AP1300" s="64" t="str">
        <f>INDEX(Table2[HOME_RECORD], MATCH(Table1[[#This Row],[HomeTeam]],Table2[Team], 0), 0)</f>
        <v>0-0-0</v>
      </c>
      <c r="AQ1300" s="64" t="str">
        <f>INDEX(Records!$B$2:$AG$33, MATCH(Table1[[#This Row],[HomeTeam]],Records!$A$2:$A$33, 0), MATCH(Table1[[#This Row],[AwayTeam]],Records!$A$2:$A$33, 0))</f>
        <v>0-0-0</v>
      </c>
    </row>
    <row r="1301" spans="1:43" x14ac:dyDescent="0.25">
      <c r="A1301" s="1"/>
      <c r="D1301" t="s">
        <v>1665</v>
      </c>
      <c r="E1301" t="s">
        <v>301</v>
      </c>
      <c r="F1301" t="s">
        <v>1670</v>
      </c>
      <c r="G1301" t="s">
        <v>60</v>
      </c>
      <c r="H1301" t="s">
        <v>58</v>
      </c>
      <c r="L130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0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01" s="1"/>
      <c r="T1301" s="64" t="str">
        <f>IF(Table1[[#This Row],[ActualWinner]]="", "", IF(Table1[[#This Row],[AwayTeam]]=Table1[[#This Row],[ActualWinner]],Table1[[#This Row],[HomeTeam]],Table1[[#This Row],[AwayTeam]]))</f>
        <v/>
      </c>
      <c r="U1301" s="64">
        <f>Table1[[#This Row],[ActualAwayScore]]-Table1[[#This Row],[PredictedAwayScore]]</f>
        <v>0</v>
      </c>
      <c r="V1301" s="64">
        <f>Table1[[#This Row],[ActualHomeScore]]-Table1[[#This Row],[PredictedHomeScore]]</f>
        <v>0</v>
      </c>
      <c r="W1301" s="64">
        <f>(0.8*IF(Table1[[#This Row],[CorrectWinnerPrediction]]=1, 1, 0))+(0.1*IF(Table1[[#This Row],[CorrectAwayScorePrediction]]=1, 1, 0))+(0.1*IF(Table1[[#This Row],[CorrectHomeScorePrediction]]=1, 1, 0))</f>
        <v>0</v>
      </c>
      <c r="X130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01" s="64">
        <f>SUMIF(Table1[GameDate], Table1[[#This Row],[GameDate]], Table1[AwayGameGoalDiff])</f>
        <v>0</v>
      </c>
      <c r="AA1301" s="64">
        <f>SUMIF(Table1[GameDate], Table1[[#This Row],[GameDate]], Table1[HomeGameGoalDiff])</f>
        <v>0</v>
      </c>
      <c r="AB1301" s="64">
        <f>IF(ISBLANK(Table1[[#This Row],[ActualResult]]), 0, 1)</f>
        <v>0</v>
      </c>
      <c r="AC1301" s="64">
        <f>IF(ISBLANK(Table1[[#This Row],[ActualResult]]), 0, IF(Table1[[#This Row],[ActualWinner]]=Table1[[#This Row],[PredictedWinner]], 1, 0))</f>
        <v>0</v>
      </c>
      <c r="AD130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0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01" s="64">
        <f>IF(AND(Table1[[#This Row],[GameIsOver]]=1,Table1[[#This Row],[ActualAwayScore]]=0), 1,0)</f>
        <v>0</v>
      </c>
      <c r="AG1301" s="64">
        <f>IF(AND(Table1[[#This Row],[GameIsOver]]=1,Table1[[#This Row],[ActualHomeScore]]=0), 1,0)</f>
        <v>0</v>
      </c>
      <c r="AH1301" s="64">
        <f>IF(Table1[[#This Row],[GameIsOver]]=0,0,IF(Table1[[#This Row],[ActualWinner]]=Table1[[#This Row],[AwayTeam]], 1, 0))</f>
        <v>0</v>
      </c>
      <c r="AI1301" s="64">
        <f>IF(Table1[[#This Row],[GameIsOver]]=0,0,IF(Table1[[#This Row],[ActualWinner]]=Table1[[#This Row],[HomeTeam]], 1, 0))</f>
        <v>0</v>
      </c>
      <c r="AJ1301" s="64">
        <f>IF(INDEX(Standings!$A$2:$C$33,MATCH(Table1[[#This Row],[AwayTeam]],Standings!$A$2:$A$33,0),2)=INDEX(Standings!$A$2:$C$33,MATCH(Table1[[#This Row],[HomeTeam]],Standings!$A$2:$A$33,0),2),1,0)</f>
        <v>1</v>
      </c>
      <c r="AK1301" s="64">
        <f>IF(INDEX(Standings!$A$2:$C$33,MATCH(Table1[[#This Row],[AwayTeam]],Standings!$A$2:$A$33,0),3)=INDEX(Standings!$A$2:$C$33,MATCH(Table1[[#This Row],[HomeTeam]],Standings!$A$2:$A$33,0),3),1,0)</f>
        <v>1</v>
      </c>
      <c r="AL1301" s="64">
        <f>IF(Table1[[#This Row],[InterConf]]=1,IF(Table1[[#This Row],[InterDiv]]=0, 1, 0), 0)</f>
        <v>0</v>
      </c>
      <c r="AM1301" s="64">
        <f>IF(INDEX(Standings!$A$2:$C$33,MATCH(Table1[[#This Row],[AwayTeam]],Standings!$A$2:$A$33,0),2)&lt;&gt;INDEX(Standings!$A$2:$C$33,MATCH(Table1[[#This Row],[HomeTeam]],Standings!$A$2:$A$33,0),2),1,0)</f>
        <v>0</v>
      </c>
      <c r="AN1301" s="64" t="str">
        <f>INDEX(Table2[AWAY_RECORD], MATCH(Table1[[#This Row],[AwayTeam]],Table2[Team], 0), 0)</f>
        <v>0-0-0</v>
      </c>
      <c r="AO1301" s="64" t="str">
        <f>INDEX(Records!$B$2:$AG$33, MATCH(Table1[[#This Row],[AwayTeam]],Records!$A$2:$A$33, 0), MATCH(Table1[[#This Row],[HomeTeam]],Records!$A$2:$A$33, 0))</f>
        <v>0-0-0</v>
      </c>
      <c r="AP1301" s="64" t="str">
        <f>INDEX(Table2[HOME_RECORD], MATCH(Table1[[#This Row],[HomeTeam]],Table2[Team], 0), 0)</f>
        <v>1-0-0</v>
      </c>
      <c r="AQ1301" s="64" t="str">
        <f>INDEX(Records!$B$2:$AG$33, MATCH(Table1[[#This Row],[HomeTeam]],Records!$A$2:$A$33, 0), MATCH(Table1[[#This Row],[AwayTeam]],Records!$A$2:$A$33, 0))</f>
        <v>0-0-0</v>
      </c>
    </row>
    <row r="1302" spans="1:43" x14ac:dyDescent="0.25">
      <c r="A1302" s="1"/>
      <c r="D1302" t="s">
        <v>1665</v>
      </c>
      <c r="E1302" t="s">
        <v>301</v>
      </c>
      <c r="F1302" t="s">
        <v>1671</v>
      </c>
      <c r="G1302" t="s">
        <v>39</v>
      </c>
      <c r="H1302" t="s">
        <v>45</v>
      </c>
      <c r="L130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0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02" s="1"/>
      <c r="T1302" s="64" t="str">
        <f>IF(Table1[[#This Row],[ActualWinner]]="", "", IF(Table1[[#This Row],[AwayTeam]]=Table1[[#This Row],[ActualWinner]],Table1[[#This Row],[HomeTeam]],Table1[[#This Row],[AwayTeam]]))</f>
        <v/>
      </c>
      <c r="U1302" s="64">
        <f>Table1[[#This Row],[ActualAwayScore]]-Table1[[#This Row],[PredictedAwayScore]]</f>
        <v>0</v>
      </c>
      <c r="V1302" s="64">
        <f>Table1[[#This Row],[ActualHomeScore]]-Table1[[#This Row],[PredictedHomeScore]]</f>
        <v>0</v>
      </c>
      <c r="W1302" s="64">
        <f>(0.8*IF(Table1[[#This Row],[CorrectWinnerPrediction]]=1, 1, 0))+(0.1*IF(Table1[[#This Row],[CorrectAwayScorePrediction]]=1, 1, 0))+(0.1*IF(Table1[[#This Row],[CorrectHomeScorePrediction]]=1, 1, 0))</f>
        <v>0</v>
      </c>
      <c r="X130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02" s="64">
        <f>SUMIF(Table1[GameDate], Table1[[#This Row],[GameDate]], Table1[AwayGameGoalDiff])</f>
        <v>0</v>
      </c>
      <c r="AA1302" s="64">
        <f>SUMIF(Table1[GameDate], Table1[[#This Row],[GameDate]], Table1[HomeGameGoalDiff])</f>
        <v>0</v>
      </c>
      <c r="AB1302" s="64">
        <f>IF(ISBLANK(Table1[[#This Row],[ActualResult]]), 0, 1)</f>
        <v>0</v>
      </c>
      <c r="AC1302" s="64">
        <f>IF(ISBLANK(Table1[[#This Row],[ActualResult]]), 0, IF(Table1[[#This Row],[ActualWinner]]=Table1[[#This Row],[PredictedWinner]], 1, 0))</f>
        <v>0</v>
      </c>
      <c r="AD130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0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02" s="64">
        <f>IF(AND(Table1[[#This Row],[GameIsOver]]=1,Table1[[#This Row],[ActualAwayScore]]=0), 1,0)</f>
        <v>0</v>
      </c>
      <c r="AG1302" s="64">
        <f>IF(AND(Table1[[#This Row],[GameIsOver]]=1,Table1[[#This Row],[ActualHomeScore]]=0), 1,0)</f>
        <v>0</v>
      </c>
      <c r="AH1302" s="64">
        <f>IF(Table1[[#This Row],[GameIsOver]]=0,0,IF(Table1[[#This Row],[ActualWinner]]=Table1[[#This Row],[AwayTeam]], 1, 0))</f>
        <v>0</v>
      </c>
      <c r="AI1302" s="64">
        <f>IF(Table1[[#This Row],[GameIsOver]]=0,0,IF(Table1[[#This Row],[ActualWinner]]=Table1[[#This Row],[HomeTeam]], 1, 0))</f>
        <v>0</v>
      </c>
      <c r="AJ1302" s="64">
        <f>IF(INDEX(Standings!$A$2:$C$33,MATCH(Table1[[#This Row],[AwayTeam]],Standings!$A$2:$A$33,0),2)=INDEX(Standings!$A$2:$C$33,MATCH(Table1[[#This Row],[HomeTeam]],Standings!$A$2:$A$33,0),2),1,0)</f>
        <v>1</v>
      </c>
      <c r="AK1302" s="64">
        <f>IF(INDEX(Standings!$A$2:$C$33,MATCH(Table1[[#This Row],[AwayTeam]],Standings!$A$2:$A$33,0),3)=INDEX(Standings!$A$2:$C$33,MATCH(Table1[[#This Row],[HomeTeam]],Standings!$A$2:$A$33,0),3),1,0)</f>
        <v>1</v>
      </c>
      <c r="AL1302" s="64">
        <f>IF(Table1[[#This Row],[InterConf]]=1,IF(Table1[[#This Row],[InterDiv]]=0, 1, 0), 0)</f>
        <v>0</v>
      </c>
      <c r="AM1302" s="64">
        <f>IF(INDEX(Standings!$A$2:$C$33,MATCH(Table1[[#This Row],[AwayTeam]],Standings!$A$2:$A$33,0),2)&lt;&gt;INDEX(Standings!$A$2:$C$33,MATCH(Table1[[#This Row],[HomeTeam]],Standings!$A$2:$A$33,0),2),1,0)</f>
        <v>0</v>
      </c>
      <c r="AN1302" s="64" t="str">
        <f>INDEX(Table2[AWAY_RECORD], MATCH(Table1[[#This Row],[AwayTeam]],Table2[Team], 0), 0)</f>
        <v>0-0-0</v>
      </c>
      <c r="AO1302" s="64" t="str">
        <f>INDEX(Records!$B$2:$AG$33, MATCH(Table1[[#This Row],[AwayTeam]],Records!$A$2:$A$33, 0), MATCH(Table1[[#This Row],[HomeTeam]],Records!$A$2:$A$33, 0))</f>
        <v>0-0-0</v>
      </c>
      <c r="AP1302" s="64" t="str">
        <f>INDEX(Table2[HOME_RECORD], MATCH(Table1[[#This Row],[HomeTeam]],Table2[Team], 0), 0)</f>
        <v>1-0-0</v>
      </c>
      <c r="AQ1302" s="64" t="str">
        <f>INDEX(Records!$B$2:$AG$33, MATCH(Table1[[#This Row],[HomeTeam]],Records!$A$2:$A$33, 0), MATCH(Table1[[#This Row],[AwayTeam]],Records!$A$2:$A$33, 0))</f>
        <v>0-0-0</v>
      </c>
    </row>
    <row r="1303" spans="1:43" x14ac:dyDescent="0.25">
      <c r="A1303" s="1"/>
      <c r="D1303" t="s">
        <v>1672</v>
      </c>
      <c r="E1303" t="s">
        <v>160</v>
      </c>
      <c r="F1303" t="s">
        <v>1673</v>
      </c>
      <c r="G1303" t="s">
        <v>47</v>
      </c>
      <c r="H1303" t="s">
        <v>17</v>
      </c>
      <c r="L130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0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03" s="1"/>
      <c r="T1303" s="64" t="str">
        <f>IF(Table1[[#This Row],[ActualWinner]]="", "", IF(Table1[[#This Row],[AwayTeam]]=Table1[[#This Row],[ActualWinner]],Table1[[#This Row],[HomeTeam]],Table1[[#This Row],[AwayTeam]]))</f>
        <v/>
      </c>
      <c r="U1303" s="64">
        <f>Table1[[#This Row],[ActualAwayScore]]-Table1[[#This Row],[PredictedAwayScore]]</f>
        <v>0</v>
      </c>
      <c r="V1303" s="64">
        <f>Table1[[#This Row],[ActualHomeScore]]-Table1[[#This Row],[PredictedHomeScore]]</f>
        <v>0</v>
      </c>
      <c r="W1303" s="64">
        <f>(0.8*IF(Table1[[#This Row],[CorrectWinnerPrediction]]=1, 1, 0))+(0.1*IF(Table1[[#This Row],[CorrectAwayScorePrediction]]=1, 1, 0))+(0.1*IF(Table1[[#This Row],[CorrectHomeScorePrediction]]=1, 1, 0))</f>
        <v>0</v>
      </c>
      <c r="X130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03" s="64">
        <f>SUMIF(Table1[GameDate], Table1[[#This Row],[GameDate]], Table1[AwayGameGoalDiff])</f>
        <v>0</v>
      </c>
      <c r="AA1303" s="64">
        <f>SUMIF(Table1[GameDate], Table1[[#This Row],[GameDate]], Table1[HomeGameGoalDiff])</f>
        <v>0</v>
      </c>
      <c r="AB1303" s="64">
        <f>IF(ISBLANK(Table1[[#This Row],[ActualResult]]), 0, 1)</f>
        <v>0</v>
      </c>
      <c r="AC1303" s="64">
        <f>IF(ISBLANK(Table1[[#This Row],[ActualResult]]), 0, IF(Table1[[#This Row],[ActualWinner]]=Table1[[#This Row],[PredictedWinner]], 1, 0))</f>
        <v>0</v>
      </c>
      <c r="AD130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0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03" s="64">
        <f>IF(AND(Table1[[#This Row],[GameIsOver]]=1,Table1[[#This Row],[ActualAwayScore]]=0), 1,0)</f>
        <v>0</v>
      </c>
      <c r="AG1303" s="64">
        <f>IF(AND(Table1[[#This Row],[GameIsOver]]=1,Table1[[#This Row],[ActualHomeScore]]=0), 1,0)</f>
        <v>0</v>
      </c>
      <c r="AH1303" s="64">
        <f>IF(Table1[[#This Row],[GameIsOver]]=0,0,IF(Table1[[#This Row],[ActualWinner]]=Table1[[#This Row],[AwayTeam]], 1, 0))</f>
        <v>0</v>
      </c>
      <c r="AI1303" s="64">
        <f>IF(Table1[[#This Row],[GameIsOver]]=0,0,IF(Table1[[#This Row],[ActualWinner]]=Table1[[#This Row],[HomeTeam]], 1, 0))</f>
        <v>0</v>
      </c>
      <c r="AJ1303" s="64">
        <f>IF(INDEX(Standings!$A$2:$C$33,MATCH(Table1[[#This Row],[AwayTeam]],Standings!$A$2:$A$33,0),2)=INDEX(Standings!$A$2:$C$33,MATCH(Table1[[#This Row],[HomeTeam]],Standings!$A$2:$A$33,0),2),1,0)</f>
        <v>1</v>
      </c>
      <c r="AK1303" s="64">
        <f>IF(INDEX(Standings!$A$2:$C$33,MATCH(Table1[[#This Row],[AwayTeam]],Standings!$A$2:$A$33,0),3)=INDEX(Standings!$A$2:$C$33,MATCH(Table1[[#This Row],[HomeTeam]],Standings!$A$2:$A$33,0),3),1,0)</f>
        <v>1</v>
      </c>
      <c r="AL1303" s="64">
        <f>IF(Table1[[#This Row],[InterConf]]=1,IF(Table1[[#This Row],[InterDiv]]=0, 1, 0), 0)</f>
        <v>0</v>
      </c>
      <c r="AM1303" s="64">
        <f>IF(INDEX(Standings!$A$2:$C$33,MATCH(Table1[[#This Row],[AwayTeam]],Standings!$A$2:$A$33,0),2)&lt;&gt;INDEX(Standings!$A$2:$C$33,MATCH(Table1[[#This Row],[HomeTeam]],Standings!$A$2:$A$33,0),2),1,0)</f>
        <v>0</v>
      </c>
      <c r="AN1303" s="64" t="str">
        <f>INDEX(Table2[AWAY_RECORD], MATCH(Table1[[#This Row],[AwayTeam]],Table2[Team], 0), 0)</f>
        <v>1-0-0</v>
      </c>
      <c r="AO1303" s="64" t="str">
        <f>INDEX(Records!$B$2:$AG$33, MATCH(Table1[[#This Row],[AwayTeam]],Records!$A$2:$A$33, 0), MATCH(Table1[[#This Row],[HomeTeam]],Records!$A$2:$A$33, 0))</f>
        <v>0-0-0</v>
      </c>
      <c r="AP1303" s="64" t="str">
        <f>INDEX(Table2[HOME_RECORD], MATCH(Table1[[#This Row],[HomeTeam]],Table2[Team], 0), 0)</f>
        <v>0-0-0</v>
      </c>
      <c r="AQ1303" s="64" t="str">
        <f>INDEX(Records!$B$2:$AG$33, MATCH(Table1[[#This Row],[HomeTeam]],Records!$A$2:$A$33, 0), MATCH(Table1[[#This Row],[AwayTeam]],Records!$A$2:$A$33, 0))</f>
        <v>0-0-0</v>
      </c>
    </row>
    <row r="1304" spans="1:43" x14ac:dyDescent="0.25">
      <c r="A1304" s="1"/>
      <c r="D1304" t="s">
        <v>1672</v>
      </c>
      <c r="E1304" t="s">
        <v>160</v>
      </c>
      <c r="F1304" t="s">
        <v>1674</v>
      </c>
      <c r="G1304" t="s">
        <v>57</v>
      </c>
      <c r="H1304" t="s">
        <v>49</v>
      </c>
      <c r="L130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0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04" s="1"/>
      <c r="T1304" s="64" t="str">
        <f>IF(Table1[[#This Row],[ActualWinner]]="", "", IF(Table1[[#This Row],[AwayTeam]]=Table1[[#This Row],[ActualWinner]],Table1[[#This Row],[HomeTeam]],Table1[[#This Row],[AwayTeam]]))</f>
        <v/>
      </c>
      <c r="U1304" s="64">
        <f>Table1[[#This Row],[ActualAwayScore]]-Table1[[#This Row],[PredictedAwayScore]]</f>
        <v>0</v>
      </c>
      <c r="V1304" s="64">
        <f>Table1[[#This Row],[ActualHomeScore]]-Table1[[#This Row],[PredictedHomeScore]]</f>
        <v>0</v>
      </c>
      <c r="W1304" s="64">
        <f>(0.8*IF(Table1[[#This Row],[CorrectWinnerPrediction]]=1, 1, 0))+(0.1*IF(Table1[[#This Row],[CorrectAwayScorePrediction]]=1, 1, 0))+(0.1*IF(Table1[[#This Row],[CorrectHomeScorePrediction]]=1, 1, 0))</f>
        <v>0</v>
      </c>
      <c r="X130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04" s="64">
        <f>SUMIF(Table1[GameDate], Table1[[#This Row],[GameDate]], Table1[AwayGameGoalDiff])</f>
        <v>0</v>
      </c>
      <c r="AA1304" s="64">
        <f>SUMIF(Table1[GameDate], Table1[[#This Row],[GameDate]], Table1[HomeGameGoalDiff])</f>
        <v>0</v>
      </c>
      <c r="AB1304" s="64">
        <f>IF(ISBLANK(Table1[[#This Row],[ActualResult]]), 0, 1)</f>
        <v>0</v>
      </c>
      <c r="AC1304" s="64">
        <f>IF(ISBLANK(Table1[[#This Row],[ActualResult]]), 0, IF(Table1[[#This Row],[ActualWinner]]=Table1[[#This Row],[PredictedWinner]], 1, 0))</f>
        <v>0</v>
      </c>
      <c r="AD130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0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04" s="64">
        <f>IF(AND(Table1[[#This Row],[GameIsOver]]=1,Table1[[#This Row],[ActualAwayScore]]=0), 1,0)</f>
        <v>0</v>
      </c>
      <c r="AG1304" s="64">
        <f>IF(AND(Table1[[#This Row],[GameIsOver]]=1,Table1[[#This Row],[ActualHomeScore]]=0), 1,0)</f>
        <v>0</v>
      </c>
      <c r="AH1304" s="64">
        <f>IF(Table1[[#This Row],[GameIsOver]]=0,0,IF(Table1[[#This Row],[ActualWinner]]=Table1[[#This Row],[AwayTeam]], 1, 0))</f>
        <v>0</v>
      </c>
      <c r="AI1304" s="64">
        <f>IF(Table1[[#This Row],[GameIsOver]]=0,0,IF(Table1[[#This Row],[ActualWinner]]=Table1[[#This Row],[HomeTeam]], 1, 0))</f>
        <v>0</v>
      </c>
      <c r="AJ1304" s="64">
        <f>IF(INDEX(Standings!$A$2:$C$33,MATCH(Table1[[#This Row],[AwayTeam]],Standings!$A$2:$A$33,0),2)=INDEX(Standings!$A$2:$C$33,MATCH(Table1[[#This Row],[HomeTeam]],Standings!$A$2:$A$33,0),2),1,0)</f>
        <v>1</v>
      </c>
      <c r="AK1304" s="64">
        <f>IF(INDEX(Standings!$A$2:$C$33,MATCH(Table1[[#This Row],[AwayTeam]],Standings!$A$2:$A$33,0),3)=INDEX(Standings!$A$2:$C$33,MATCH(Table1[[#This Row],[HomeTeam]],Standings!$A$2:$A$33,0),3),1,0)</f>
        <v>0</v>
      </c>
      <c r="AL1304" s="64">
        <f>IF(Table1[[#This Row],[InterConf]]=1,IF(Table1[[#This Row],[InterDiv]]=0, 1, 0), 0)</f>
        <v>1</v>
      </c>
      <c r="AM1304" s="64">
        <f>IF(INDEX(Standings!$A$2:$C$33,MATCH(Table1[[#This Row],[AwayTeam]],Standings!$A$2:$A$33,0),2)&lt;&gt;INDEX(Standings!$A$2:$C$33,MATCH(Table1[[#This Row],[HomeTeam]],Standings!$A$2:$A$33,0),2),1,0)</f>
        <v>0</v>
      </c>
      <c r="AN1304" s="64" t="str">
        <f>INDEX(Table2[AWAY_RECORD], MATCH(Table1[[#This Row],[AwayTeam]],Table2[Team], 0), 0)</f>
        <v>0-1-0</v>
      </c>
      <c r="AO1304" s="64" t="str">
        <f>INDEX(Records!$B$2:$AG$33, MATCH(Table1[[#This Row],[AwayTeam]],Records!$A$2:$A$33, 0), MATCH(Table1[[#This Row],[HomeTeam]],Records!$A$2:$A$33, 0))</f>
        <v>0-0-0</v>
      </c>
      <c r="AP1304" s="64" t="str">
        <f>INDEX(Table2[HOME_RECORD], MATCH(Table1[[#This Row],[HomeTeam]],Table2[Team], 0), 0)</f>
        <v>1-0-0</v>
      </c>
      <c r="AQ1304" s="64" t="str">
        <f>INDEX(Records!$B$2:$AG$33, MATCH(Table1[[#This Row],[HomeTeam]],Records!$A$2:$A$33, 0), MATCH(Table1[[#This Row],[AwayTeam]],Records!$A$2:$A$33, 0))</f>
        <v>0-0-0</v>
      </c>
    </row>
    <row r="1305" spans="1:43" x14ac:dyDescent="0.25">
      <c r="A1305" s="1"/>
      <c r="D1305" t="s">
        <v>1672</v>
      </c>
      <c r="E1305" t="s">
        <v>160</v>
      </c>
      <c r="F1305" t="s">
        <v>1675</v>
      </c>
      <c r="G1305" t="s">
        <v>59</v>
      </c>
      <c r="H1305" t="s">
        <v>42</v>
      </c>
      <c r="L130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0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05" s="1"/>
      <c r="T1305" s="64" t="str">
        <f>IF(Table1[[#This Row],[ActualWinner]]="", "", IF(Table1[[#This Row],[AwayTeam]]=Table1[[#This Row],[ActualWinner]],Table1[[#This Row],[HomeTeam]],Table1[[#This Row],[AwayTeam]]))</f>
        <v/>
      </c>
      <c r="U1305" s="64">
        <f>Table1[[#This Row],[ActualAwayScore]]-Table1[[#This Row],[PredictedAwayScore]]</f>
        <v>0</v>
      </c>
      <c r="V1305" s="64">
        <f>Table1[[#This Row],[ActualHomeScore]]-Table1[[#This Row],[PredictedHomeScore]]</f>
        <v>0</v>
      </c>
      <c r="W1305" s="64">
        <f>(0.8*IF(Table1[[#This Row],[CorrectWinnerPrediction]]=1, 1, 0))+(0.1*IF(Table1[[#This Row],[CorrectAwayScorePrediction]]=1, 1, 0))+(0.1*IF(Table1[[#This Row],[CorrectHomeScorePrediction]]=1, 1, 0))</f>
        <v>0</v>
      </c>
      <c r="X130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05" s="64">
        <f>SUMIF(Table1[GameDate], Table1[[#This Row],[GameDate]], Table1[AwayGameGoalDiff])</f>
        <v>0</v>
      </c>
      <c r="AA1305" s="64">
        <f>SUMIF(Table1[GameDate], Table1[[#This Row],[GameDate]], Table1[HomeGameGoalDiff])</f>
        <v>0</v>
      </c>
      <c r="AB1305" s="64">
        <f>IF(ISBLANK(Table1[[#This Row],[ActualResult]]), 0, 1)</f>
        <v>0</v>
      </c>
      <c r="AC1305" s="64">
        <f>IF(ISBLANK(Table1[[#This Row],[ActualResult]]), 0, IF(Table1[[#This Row],[ActualWinner]]=Table1[[#This Row],[PredictedWinner]], 1, 0))</f>
        <v>0</v>
      </c>
      <c r="AD130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0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05" s="64">
        <f>IF(AND(Table1[[#This Row],[GameIsOver]]=1,Table1[[#This Row],[ActualAwayScore]]=0), 1,0)</f>
        <v>0</v>
      </c>
      <c r="AG1305" s="64">
        <f>IF(AND(Table1[[#This Row],[GameIsOver]]=1,Table1[[#This Row],[ActualHomeScore]]=0), 1,0)</f>
        <v>0</v>
      </c>
      <c r="AH1305" s="64">
        <f>IF(Table1[[#This Row],[GameIsOver]]=0,0,IF(Table1[[#This Row],[ActualWinner]]=Table1[[#This Row],[AwayTeam]], 1, 0))</f>
        <v>0</v>
      </c>
      <c r="AI1305" s="64">
        <f>IF(Table1[[#This Row],[GameIsOver]]=0,0,IF(Table1[[#This Row],[ActualWinner]]=Table1[[#This Row],[HomeTeam]], 1, 0))</f>
        <v>0</v>
      </c>
      <c r="AJ1305" s="64">
        <f>IF(INDEX(Standings!$A$2:$C$33,MATCH(Table1[[#This Row],[AwayTeam]],Standings!$A$2:$A$33,0),2)=INDEX(Standings!$A$2:$C$33,MATCH(Table1[[#This Row],[HomeTeam]],Standings!$A$2:$A$33,0),2),1,0)</f>
        <v>1</v>
      </c>
      <c r="AK1305" s="64">
        <f>IF(INDEX(Standings!$A$2:$C$33,MATCH(Table1[[#This Row],[AwayTeam]],Standings!$A$2:$A$33,0),3)=INDEX(Standings!$A$2:$C$33,MATCH(Table1[[#This Row],[HomeTeam]],Standings!$A$2:$A$33,0),3),1,0)</f>
        <v>1</v>
      </c>
      <c r="AL1305" s="64">
        <f>IF(Table1[[#This Row],[InterConf]]=1,IF(Table1[[#This Row],[InterDiv]]=0, 1, 0), 0)</f>
        <v>0</v>
      </c>
      <c r="AM1305" s="64">
        <f>IF(INDEX(Standings!$A$2:$C$33,MATCH(Table1[[#This Row],[AwayTeam]],Standings!$A$2:$A$33,0),2)&lt;&gt;INDEX(Standings!$A$2:$C$33,MATCH(Table1[[#This Row],[HomeTeam]],Standings!$A$2:$A$33,0),2),1,0)</f>
        <v>0</v>
      </c>
      <c r="AN1305" s="64" t="str">
        <f>INDEX(Table2[AWAY_RECORD], MATCH(Table1[[#This Row],[AwayTeam]],Table2[Team], 0), 0)</f>
        <v>0-1-0</v>
      </c>
      <c r="AO1305" s="64" t="str">
        <f>INDEX(Records!$B$2:$AG$33, MATCH(Table1[[#This Row],[AwayTeam]],Records!$A$2:$A$33, 0), MATCH(Table1[[#This Row],[HomeTeam]],Records!$A$2:$A$33, 0))</f>
        <v>0-0-0</v>
      </c>
      <c r="AP1305" s="64" t="str">
        <f>INDEX(Table2[HOME_RECORD], MATCH(Table1[[#This Row],[HomeTeam]],Table2[Team], 0), 0)</f>
        <v>1-0-0</v>
      </c>
      <c r="AQ1305" s="64" t="str">
        <f>INDEX(Records!$B$2:$AG$33, MATCH(Table1[[#This Row],[HomeTeam]],Records!$A$2:$A$33, 0), MATCH(Table1[[#This Row],[AwayTeam]],Records!$A$2:$A$33, 0))</f>
        <v>0-0-0</v>
      </c>
    </row>
    <row r="1306" spans="1:43" x14ac:dyDescent="0.25">
      <c r="A1306" s="1"/>
      <c r="D1306" t="s">
        <v>1672</v>
      </c>
      <c r="E1306" t="s">
        <v>169</v>
      </c>
      <c r="F1306" t="s">
        <v>1676</v>
      </c>
      <c r="G1306" t="s">
        <v>44</v>
      </c>
      <c r="H1306" t="s">
        <v>50</v>
      </c>
      <c r="L130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0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06" s="1"/>
      <c r="T1306" s="64" t="str">
        <f>IF(Table1[[#This Row],[ActualWinner]]="", "", IF(Table1[[#This Row],[AwayTeam]]=Table1[[#This Row],[ActualWinner]],Table1[[#This Row],[HomeTeam]],Table1[[#This Row],[AwayTeam]]))</f>
        <v/>
      </c>
      <c r="U1306" s="64">
        <f>Table1[[#This Row],[ActualAwayScore]]-Table1[[#This Row],[PredictedAwayScore]]</f>
        <v>0</v>
      </c>
      <c r="V1306" s="64">
        <f>Table1[[#This Row],[ActualHomeScore]]-Table1[[#This Row],[PredictedHomeScore]]</f>
        <v>0</v>
      </c>
      <c r="W1306" s="64">
        <f>(0.8*IF(Table1[[#This Row],[CorrectWinnerPrediction]]=1, 1, 0))+(0.1*IF(Table1[[#This Row],[CorrectAwayScorePrediction]]=1, 1, 0))+(0.1*IF(Table1[[#This Row],[CorrectHomeScorePrediction]]=1, 1, 0))</f>
        <v>0</v>
      </c>
      <c r="X130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06" s="64">
        <f>SUMIF(Table1[GameDate], Table1[[#This Row],[GameDate]], Table1[AwayGameGoalDiff])</f>
        <v>0</v>
      </c>
      <c r="AA1306" s="64">
        <f>SUMIF(Table1[GameDate], Table1[[#This Row],[GameDate]], Table1[HomeGameGoalDiff])</f>
        <v>0</v>
      </c>
      <c r="AB1306" s="64">
        <f>IF(ISBLANK(Table1[[#This Row],[ActualResult]]), 0, 1)</f>
        <v>0</v>
      </c>
      <c r="AC1306" s="64">
        <f>IF(ISBLANK(Table1[[#This Row],[ActualResult]]), 0, IF(Table1[[#This Row],[ActualWinner]]=Table1[[#This Row],[PredictedWinner]], 1, 0))</f>
        <v>0</v>
      </c>
      <c r="AD130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0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06" s="64">
        <f>IF(AND(Table1[[#This Row],[GameIsOver]]=1,Table1[[#This Row],[ActualAwayScore]]=0), 1,0)</f>
        <v>0</v>
      </c>
      <c r="AG1306" s="64">
        <f>IF(AND(Table1[[#This Row],[GameIsOver]]=1,Table1[[#This Row],[ActualHomeScore]]=0), 1,0)</f>
        <v>0</v>
      </c>
      <c r="AH1306" s="64">
        <f>IF(Table1[[#This Row],[GameIsOver]]=0,0,IF(Table1[[#This Row],[ActualWinner]]=Table1[[#This Row],[AwayTeam]], 1, 0))</f>
        <v>0</v>
      </c>
      <c r="AI1306" s="64">
        <f>IF(Table1[[#This Row],[GameIsOver]]=0,0,IF(Table1[[#This Row],[ActualWinner]]=Table1[[#This Row],[HomeTeam]], 1, 0))</f>
        <v>0</v>
      </c>
      <c r="AJ1306" s="64">
        <f>IF(INDEX(Standings!$A$2:$C$33,MATCH(Table1[[#This Row],[AwayTeam]],Standings!$A$2:$A$33,0),2)=INDEX(Standings!$A$2:$C$33,MATCH(Table1[[#This Row],[HomeTeam]],Standings!$A$2:$A$33,0),2),1,0)</f>
        <v>1</v>
      </c>
      <c r="AK1306" s="64">
        <f>IF(INDEX(Standings!$A$2:$C$33,MATCH(Table1[[#This Row],[AwayTeam]],Standings!$A$2:$A$33,0),3)=INDEX(Standings!$A$2:$C$33,MATCH(Table1[[#This Row],[HomeTeam]],Standings!$A$2:$A$33,0),3),1,0)</f>
        <v>0</v>
      </c>
      <c r="AL1306" s="64">
        <f>IF(Table1[[#This Row],[InterConf]]=1,IF(Table1[[#This Row],[InterDiv]]=0, 1, 0), 0)</f>
        <v>1</v>
      </c>
      <c r="AM1306" s="64">
        <f>IF(INDEX(Standings!$A$2:$C$33,MATCH(Table1[[#This Row],[AwayTeam]],Standings!$A$2:$A$33,0),2)&lt;&gt;INDEX(Standings!$A$2:$C$33,MATCH(Table1[[#This Row],[HomeTeam]],Standings!$A$2:$A$33,0),2),1,0)</f>
        <v>0</v>
      </c>
      <c r="AN1306" s="64" t="str">
        <f>INDEX(Table2[AWAY_RECORD], MATCH(Table1[[#This Row],[AwayTeam]],Table2[Team], 0), 0)</f>
        <v>0-0-0</v>
      </c>
      <c r="AO1306" s="64" t="str">
        <f>INDEX(Records!$B$2:$AG$33, MATCH(Table1[[#This Row],[AwayTeam]],Records!$A$2:$A$33, 0), MATCH(Table1[[#This Row],[HomeTeam]],Records!$A$2:$A$33, 0))</f>
        <v>0-0-0</v>
      </c>
      <c r="AP1306" s="64" t="str">
        <f>INDEX(Table2[HOME_RECORD], MATCH(Table1[[#This Row],[HomeTeam]],Table2[Team], 0), 0)</f>
        <v>0-0-0</v>
      </c>
      <c r="AQ1306" s="64" t="str">
        <f>INDEX(Records!$B$2:$AG$33, MATCH(Table1[[#This Row],[HomeTeam]],Records!$A$2:$A$33, 0), MATCH(Table1[[#This Row],[AwayTeam]],Records!$A$2:$A$33, 0))</f>
        <v>0-0-0</v>
      </c>
    </row>
    <row r="1307" spans="1:43" x14ac:dyDescent="0.25">
      <c r="A1307" s="1"/>
      <c r="D1307" t="s">
        <v>1672</v>
      </c>
      <c r="E1307" t="s">
        <v>169</v>
      </c>
      <c r="F1307" t="s">
        <v>1677</v>
      </c>
      <c r="G1307" t="s">
        <v>54</v>
      </c>
      <c r="H1307" t="s">
        <v>51</v>
      </c>
      <c r="L130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0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07" s="1"/>
      <c r="T1307" s="64" t="str">
        <f>IF(Table1[[#This Row],[ActualWinner]]="", "", IF(Table1[[#This Row],[AwayTeam]]=Table1[[#This Row],[ActualWinner]],Table1[[#This Row],[HomeTeam]],Table1[[#This Row],[AwayTeam]]))</f>
        <v/>
      </c>
      <c r="U1307" s="64">
        <f>Table1[[#This Row],[ActualAwayScore]]-Table1[[#This Row],[PredictedAwayScore]]</f>
        <v>0</v>
      </c>
      <c r="V1307" s="64">
        <f>Table1[[#This Row],[ActualHomeScore]]-Table1[[#This Row],[PredictedHomeScore]]</f>
        <v>0</v>
      </c>
      <c r="W1307" s="64">
        <f>(0.8*IF(Table1[[#This Row],[CorrectWinnerPrediction]]=1, 1, 0))+(0.1*IF(Table1[[#This Row],[CorrectAwayScorePrediction]]=1, 1, 0))+(0.1*IF(Table1[[#This Row],[CorrectHomeScorePrediction]]=1, 1, 0))</f>
        <v>0</v>
      </c>
      <c r="X130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07" s="64">
        <f>SUMIF(Table1[GameDate], Table1[[#This Row],[GameDate]], Table1[AwayGameGoalDiff])</f>
        <v>0</v>
      </c>
      <c r="AA1307" s="64">
        <f>SUMIF(Table1[GameDate], Table1[[#This Row],[GameDate]], Table1[HomeGameGoalDiff])</f>
        <v>0</v>
      </c>
      <c r="AB1307" s="64">
        <f>IF(ISBLANK(Table1[[#This Row],[ActualResult]]), 0, 1)</f>
        <v>0</v>
      </c>
      <c r="AC1307" s="64">
        <f>IF(ISBLANK(Table1[[#This Row],[ActualResult]]), 0, IF(Table1[[#This Row],[ActualWinner]]=Table1[[#This Row],[PredictedWinner]], 1, 0))</f>
        <v>0</v>
      </c>
      <c r="AD130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0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07" s="64">
        <f>IF(AND(Table1[[#This Row],[GameIsOver]]=1,Table1[[#This Row],[ActualAwayScore]]=0), 1,0)</f>
        <v>0</v>
      </c>
      <c r="AG1307" s="64">
        <f>IF(AND(Table1[[#This Row],[GameIsOver]]=1,Table1[[#This Row],[ActualHomeScore]]=0), 1,0)</f>
        <v>0</v>
      </c>
      <c r="AH1307" s="64">
        <f>IF(Table1[[#This Row],[GameIsOver]]=0,0,IF(Table1[[#This Row],[ActualWinner]]=Table1[[#This Row],[AwayTeam]], 1, 0))</f>
        <v>0</v>
      </c>
      <c r="AI1307" s="64">
        <f>IF(Table1[[#This Row],[GameIsOver]]=0,0,IF(Table1[[#This Row],[ActualWinner]]=Table1[[#This Row],[HomeTeam]], 1, 0))</f>
        <v>0</v>
      </c>
      <c r="AJ1307" s="64">
        <f>IF(INDEX(Standings!$A$2:$C$33,MATCH(Table1[[#This Row],[AwayTeam]],Standings!$A$2:$A$33,0),2)=INDEX(Standings!$A$2:$C$33,MATCH(Table1[[#This Row],[HomeTeam]],Standings!$A$2:$A$33,0),2),1,0)</f>
        <v>1</v>
      </c>
      <c r="AK1307" s="64">
        <f>IF(INDEX(Standings!$A$2:$C$33,MATCH(Table1[[#This Row],[AwayTeam]],Standings!$A$2:$A$33,0),3)=INDEX(Standings!$A$2:$C$33,MATCH(Table1[[#This Row],[HomeTeam]],Standings!$A$2:$A$33,0),3),1,0)</f>
        <v>1</v>
      </c>
      <c r="AL1307" s="64">
        <f>IF(Table1[[#This Row],[InterConf]]=1,IF(Table1[[#This Row],[InterDiv]]=0, 1, 0), 0)</f>
        <v>0</v>
      </c>
      <c r="AM1307" s="64">
        <f>IF(INDEX(Standings!$A$2:$C$33,MATCH(Table1[[#This Row],[AwayTeam]],Standings!$A$2:$A$33,0),2)&lt;&gt;INDEX(Standings!$A$2:$C$33,MATCH(Table1[[#This Row],[HomeTeam]],Standings!$A$2:$A$33,0),2),1,0)</f>
        <v>0</v>
      </c>
      <c r="AN1307" s="64" t="str">
        <f>INDEX(Table2[AWAY_RECORD], MATCH(Table1[[#This Row],[AwayTeam]],Table2[Team], 0), 0)</f>
        <v>0-0-1</v>
      </c>
      <c r="AO1307" s="64" t="str">
        <f>INDEX(Records!$B$2:$AG$33, MATCH(Table1[[#This Row],[AwayTeam]],Records!$A$2:$A$33, 0), MATCH(Table1[[#This Row],[HomeTeam]],Records!$A$2:$A$33, 0))</f>
        <v>0-0-0</v>
      </c>
      <c r="AP1307" s="64" t="str">
        <f>INDEX(Table2[HOME_RECORD], MATCH(Table1[[#This Row],[HomeTeam]],Table2[Team], 0), 0)</f>
        <v>1-0-0</v>
      </c>
      <c r="AQ1307" s="64" t="str">
        <f>INDEX(Records!$B$2:$AG$33, MATCH(Table1[[#This Row],[HomeTeam]],Records!$A$2:$A$33, 0), MATCH(Table1[[#This Row],[AwayTeam]],Records!$A$2:$A$33, 0))</f>
        <v>0-0-0</v>
      </c>
    </row>
    <row r="1308" spans="1:43" x14ac:dyDescent="0.25">
      <c r="A1308" s="1"/>
      <c r="D1308" t="s">
        <v>1672</v>
      </c>
      <c r="E1308" t="s">
        <v>162</v>
      </c>
      <c r="F1308" t="s">
        <v>1678</v>
      </c>
      <c r="G1308" t="s">
        <v>56</v>
      </c>
      <c r="H1308" t="s">
        <v>48</v>
      </c>
      <c r="L130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0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08" s="1"/>
      <c r="T1308" s="64" t="str">
        <f>IF(Table1[[#This Row],[ActualWinner]]="", "", IF(Table1[[#This Row],[AwayTeam]]=Table1[[#This Row],[ActualWinner]],Table1[[#This Row],[HomeTeam]],Table1[[#This Row],[AwayTeam]]))</f>
        <v/>
      </c>
      <c r="U1308" s="64">
        <f>Table1[[#This Row],[ActualAwayScore]]-Table1[[#This Row],[PredictedAwayScore]]</f>
        <v>0</v>
      </c>
      <c r="V1308" s="64">
        <f>Table1[[#This Row],[ActualHomeScore]]-Table1[[#This Row],[PredictedHomeScore]]</f>
        <v>0</v>
      </c>
      <c r="W1308" s="64">
        <f>(0.8*IF(Table1[[#This Row],[CorrectWinnerPrediction]]=1, 1, 0))+(0.1*IF(Table1[[#This Row],[CorrectAwayScorePrediction]]=1, 1, 0))+(0.1*IF(Table1[[#This Row],[CorrectHomeScorePrediction]]=1, 1, 0))</f>
        <v>0</v>
      </c>
      <c r="X130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08" s="64">
        <f>SUMIF(Table1[GameDate], Table1[[#This Row],[GameDate]], Table1[AwayGameGoalDiff])</f>
        <v>0</v>
      </c>
      <c r="AA1308" s="64">
        <f>SUMIF(Table1[GameDate], Table1[[#This Row],[GameDate]], Table1[HomeGameGoalDiff])</f>
        <v>0</v>
      </c>
      <c r="AB1308" s="64">
        <f>IF(ISBLANK(Table1[[#This Row],[ActualResult]]), 0, 1)</f>
        <v>0</v>
      </c>
      <c r="AC1308" s="64">
        <f>IF(ISBLANK(Table1[[#This Row],[ActualResult]]), 0, IF(Table1[[#This Row],[ActualWinner]]=Table1[[#This Row],[PredictedWinner]], 1, 0))</f>
        <v>0</v>
      </c>
      <c r="AD130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0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08" s="64">
        <f>IF(AND(Table1[[#This Row],[GameIsOver]]=1,Table1[[#This Row],[ActualAwayScore]]=0), 1,0)</f>
        <v>0</v>
      </c>
      <c r="AG1308" s="64">
        <f>IF(AND(Table1[[#This Row],[GameIsOver]]=1,Table1[[#This Row],[ActualHomeScore]]=0), 1,0)</f>
        <v>0</v>
      </c>
      <c r="AH1308" s="64">
        <f>IF(Table1[[#This Row],[GameIsOver]]=0,0,IF(Table1[[#This Row],[ActualWinner]]=Table1[[#This Row],[AwayTeam]], 1, 0))</f>
        <v>0</v>
      </c>
      <c r="AI1308" s="64">
        <f>IF(Table1[[#This Row],[GameIsOver]]=0,0,IF(Table1[[#This Row],[ActualWinner]]=Table1[[#This Row],[HomeTeam]], 1, 0))</f>
        <v>0</v>
      </c>
      <c r="AJ1308" s="64">
        <f>IF(INDEX(Standings!$A$2:$C$33,MATCH(Table1[[#This Row],[AwayTeam]],Standings!$A$2:$A$33,0),2)=INDEX(Standings!$A$2:$C$33,MATCH(Table1[[#This Row],[HomeTeam]],Standings!$A$2:$A$33,0),2),1,0)</f>
        <v>1</v>
      </c>
      <c r="AK1308" s="64">
        <f>IF(INDEX(Standings!$A$2:$C$33,MATCH(Table1[[#This Row],[AwayTeam]],Standings!$A$2:$A$33,0),3)=INDEX(Standings!$A$2:$C$33,MATCH(Table1[[#This Row],[HomeTeam]],Standings!$A$2:$A$33,0),3),1,0)</f>
        <v>0</v>
      </c>
      <c r="AL1308" s="64">
        <f>IF(Table1[[#This Row],[InterConf]]=1,IF(Table1[[#This Row],[InterDiv]]=0, 1, 0), 0)</f>
        <v>1</v>
      </c>
      <c r="AM1308" s="64">
        <f>IF(INDEX(Standings!$A$2:$C$33,MATCH(Table1[[#This Row],[AwayTeam]],Standings!$A$2:$A$33,0),2)&lt;&gt;INDEX(Standings!$A$2:$C$33,MATCH(Table1[[#This Row],[HomeTeam]],Standings!$A$2:$A$33,0),2),1,0)</f>
        <v>0</v>
      </c>
      <c r="AN1308" s="64" t="str">
        <f>INDEX(Table2[AWAY_RECORD], MATCH(Table1[[#This Row],[AwayTeam]],Table2[Team], 0), 0)</f>
        <v>1-0-0</v>
      </c>
      <c r="AO1308" s="64" t="str">
        <f>INDEX(Records!$B$2:$AG$33, MATCH(Table1[[#This Row],[AwayTeam]],Records!$A$2:$A$33, 0), MATCH(Table1[[#This Row],[HomeTeam]],Records!$A$2:$A$33, 0))</f>
        <v>0-0-0</v>
      </c>
      <c r="AP1308" s="64" t="str">
        <f>INDEX(Table2[HOME_RECORD], MATCH(Table1[[#This Row],[HomeTeam]],Table2[Team], 0), 0)</f>
        <v>1-0-0</v>
      </c>
      <c r="AQ1308" s="64" t="str">
        <f>INDEX(Records!$B$2:$AG$33, MATCH(Table1[[#This Row],[HomeTeam]],Records!$A$2:$A$33, 0), MATCH(Table1[[#This Row],[AwayTeam]],Records!$A$2:$A$33, 0))</f>
        <v>0-0-0</v>
      </c>
    </row>
    <row r="1309" spans="1:43" x14ac:dyDescent="0.25">
      <c r="A1309" s="1"/>
      <c r="D1309" t="s">
        <v>1672</v>
      </c>
      <c r="E1309" t="s">
        <v>162</v>
      </c>
      <c r="F1309" t="s">
        <v>1679</v>
      </c>
      <c r="G1309" t="s">
        <v>16</v>
      </c>
      <c r="H1309" t="s">
        <v>22</v>
      </c>
      <c r="L130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0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09" s="1"/>
      <c r="T1309" s="64" t="str">
        <f>IF(Table1[[#This Row],[ActualWinner]]="", "", IF(Table1[[#This Row],[AwayTeam]]=Table1[[#This Row],[ActualWinner]],Table1[[#This Row],[HomeTeam]],Table1[[#This Row],[AwayTeam]]))</f>
        <v/>
      </c>
      <c r="U1309" s="64">
        <f>Table1[[#This Row],[ActualAwayScore]]-Table1[[#This Row],[PredictedAwayScore]]</f>
        <v>0</v>
      </c>
      <c r="V1309" s="64">
        <f>Table1[[#This Row],[ActualHomeScore]]-Table1[[#This Row],[PredictedHomeScore]]</f>
        <v>0</v>
      </c>
      <c r="W1309" s="64">
        <f>(0.8*IF(Table1[[#This Row],[CorrectWinnerPrediction]]=1, 1, 0))+(0.1*IF(Table1[[#This Row],[CorrectAwayScorePrediction]]=1, 1, 0))+(0.1*IF(Table1[[#This Row],[CorrectHomeScorePrediction]]=1, 1, 0))</f>
        <v>0</v>
      </c>
      <c r="X130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09" s="64">
        <f>SUMIF(Table1[GameDate], Table1[[#This Row],[GameDate]], Table1[AwayGameGoalDiff])</f>
        <v>0</v>
      </c>
      <c r="AA1309" s="64">
        <f>SUMIF(Table1[GameDate], Table1[[#This Row],[GameDate]], Table1[HomeGameGoalDiff])</f>
        <v>0</v>
      </c>
      <c r="AB1309" s="64">
        <f>IF(ISBLANK(Table1[[#This Row],[ActualResult]]), 0, 1)</f>
        <v>0</v>
      </c>
      <c r="AC1309" s="64">
        <f>IF(ISBLANK(Table1[[#This Row],[ActualResult]]), 0, IF(Table1[[#This Row],[ActualWinner]]=Table1[[#This Row],[PredictedWinner]], 1, 0))</f>
        <v>0</v>
      </c>
      <c r="AD130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0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09" s="64">
        <f>IF(AND(Table1[[#This Row],[GameIsOver]]=1,Table1[[#This Row],[ActualAwayScore]]=0), 1,0)</f>
        <v>0</v>
      </c>
      <c r="AG1309" s="64">
        <f>IF(AND(Table1[[#This Row],[GameIsOver]]=1,Table1[[#This Row],[ActualHomeScore]]=0), 1,0)</f>
        <v>0</v>
      </c>
      <c r="AH1309" s="64">
        <f>IF(Table1[[#This Row],[GameIsOver]]=0,0,IF(Table1[[#This Row],[ActualWinner]]=Table1[[#This Row],[AwayTeam]], 1, 0))</f>
        <v>0</v>
      </c>
      <c r="AI1309" s="64">
        <f>IF(Table1[[#This Row],[GameIsOver]]=0,0,IF(Table1[[#This Row],[ActualWinner]]=Table1[[#This Row],[HomeTeam]], 1, 0))</f>
        <v>0</v>
      </c>
      <c r="AJ1309" s="64">
        <f>IF(INDEX(Standings!$A$2:$C$33,MATCH(Table1[[#This Row],[AwayTeam]],Standings!$A$2:$A$33,0),2)=INDEX(Standings!$A$2:$C$33,MATCH(Table1[[#This Row],[HomeTeam]],Standings!$A$2:$A$33,0),2),1,0)</f>
        <v>1</v>
      </c>
      <c r="AK1309" s="64">
        <f>IF(INDEX(Standings!$A$2:$C$33,MATCH(Table1[[#This Row],[AwayTeam]],Standings!$A$2:$A$33,0),3)=INDEX(Standings!$A$2:$C$33,MATCH(Table1[[#This Row],[HomeTeam]],Standings!$A$2:$A$33,0),3),1,0)</f>
        <v>1</v>
      </c>
      <c r="AL1309" s="64">
        <f>IF(Table1[[#This Row],[InterConf]]=1,IF(Table1[[#This Row],[InterDiv]]=0, 1, 0), 0)</f>
        <v>0</v>
      </c>
      <c r="AM1309" s="64">
        <f>IF(INDEX(Standings!$A$2:$C$33,MATCH(Table1[[#This Row],[AwayTeam]],Standings!$A$2:$A$33,0),2)&lt;&gt;INDEX(Standings!$A$2:$C$33,MATCH(Table1[[#This Row],[HomeTeam]],Standings!$A$2:$A$33,0),2),1,0)</f>
        <v>0</v>
      </c>
      <c r="AN1309" s="64" t="str">
        <f>INDEX(Table2[AWAY_RECORD], MATCH(Table1[[#This Row],[AwayTeam]],Table2[Team], 0), 0)</f>
        <v>1-0-1</v>
      </c>
      <c r="AO1309" s="64" t="str">
        <f>INDEX(Records!$B$2:$AG$33, MATCH(Table1[[#This Row],[AwayTeam]],Records!$A$2:$A$33, 0), MATCH(Table1[[#This Row],[HomeTeam]],Records!$A$2:$A$33, 0))</f>
        <v>0-0-0</v>
      </c>
      <c r="AP1309" s="64" t="str">
        <f>INDEX(Table2[HOME_RECORD], MATCH(Table1[[#This Row],[HomeTeam]],Table2[Team], 0), 0)</f>
        <v>0-0-0</v>
      </c>
      <c r="AQ1309" s="64" t="str">
        <f>INDEX(Records!$B$2:$AG$33, MATCH(Table1[[#This Row],[HomeTeam]],Records!$A$2:$A$33, 0), MATCH(Table1[[#This Row],[AwayTeam]],Records!$A$2:$A$33, 0))</f>
        <v>0-0-0</v>
      </c>
    </row>
    <row r="1310" spans="1:43" x14ac:dyDescent="0.25">
      <c r="A1310" s="1"/>
      <c r="D1310" t="s">
        <v>1672</v>
      </c>
      <c r="E1310" t="s">
        <v>164</v>
      </c>
      <c r="F1310" t="s">
        <v>1680</v>
      </c>
      <c r="G1310" t="s">
        <v>41</v>
      </c>
      <c r="H1310" t="s">
        <v>23</v>
      </c>
      <c r="L131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1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10" s="1"/>
      <c r="T1310" s="64" t="str">
        <f>IF(Table1[[#This Row],[ActualWinner]]="", "", IF(Table1[[#This Row],[AwayTeam]]=Table1[[#This Row],[ActualWinner]],Table1[[#This Row],[HomeTeam]],Table1[[#This Row],[AwayTeam]]))</f>
        <v/>
      </c>
      <c r="U1310" s="64">
        <f>Table1[[#This Row],[ActualAwayScore]]-Table1[[#This Row],[PredictedAwayScore]]</f>
        <v>0</v>
      </c>
      <c r="V1310" s="64">
        <f>Table1[[#This Row],[ActualHomeScore]]-Table1[[#This Row],[PredictedHomeScore]]</f>
        <v>0</v>
      </c>
      <c r="W1310" s="64">
        <f>(0.8*IF(Table1[[#This Row],[CorrectWinnerPrediction]]=1, 1, 0))+(0.1*IF(Table1[[#This Row],[CorrectAwayScorePrediction]]=1, 1, 0))+(0.1*IF(Table1[[#This Row],[CorrectHomeScorePrediction]]=1, 1, 0))</f>
        <v>0</v>
      </c>
      <c r="X131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10" s="64">
        <f>SUMIF(Table1[GameDate], Table1[[#This Row],[GameDate]], Table1[AwayGameGoalDiff])</f>
        <v>0</v>
      </c>
      <c r="AA1310" s="64">
        <f>SUMIF(Table1[GameDate], Table1[[#This Row],[GameDate]], Table1[HomeGameGoalDiff])</f>
        <v>0</v>
      </c>
      <c r="AB1310" s="64">
        <f>IF(ISBLANK(Table1[[#This Row],[ActualResult]]), 0, 1)</f>
        <v>0</v>
      </c>
      <c r="AC1310" s="64">
        <f>IF(ISBLANK(Table1[[#This Row],[ActualResult]]), 0, IF(Table1[[#This Row],[ActualWinner]]=Table1[[#This Row],[PredictedWinner]], 1, 0))</f>
        <v>0</v>
      </c>
      <c r="AD131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1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10" s="64">
        <f>IF(AND(Table1[[#This Row],[GameIsOver]]=1,Table1[[#This Row],[ActualAwayScore]]=0), 1,0)</f>
        <v>0</v>
      </c>
      <c r="AG1310" s="64">
        <f>IF(AND(Table1[[#This Row],[GameIsOver]]=1,Table1[[#This Row],[ActualHomeScore]]=0), 1,0)</f>
        <v>0</v>
      </c>
      <c r="AH1310" s="64">
        <f>IF(Table1[[#This Row],[GameIsOver]]=0,0,IF(Table1[[#This Row],[ActualWinner]]=Table1[[#This Row],[AwayTeam]], 1, 0))</f>
        <v>0</v>
      </c>
      <c r="AI1310" s="64">
        <f>IF(Table1[[#This Row],[GameIsOver]]=0,0,IF(Table1[[#This Row],[ActualWinner]]=Table1[[#This Row],[HomeTeam]], 1, 0))</f>
        <v>0</v>
      </c>
      <c r="AJ1310" s="64">
        <f>IF(INDEX(Standings!$A$2:$C$33,MATCH(Table1[[#This Row],[AwayTeam]],Standings!$A$2:$A$33,0),2)=INDEX(Standings!$A$2:$C$33,MATCH(Table1[[#This Row],[HomeTeam]],Standings!$A$2:$A$33,0),2),1,0)</f>
        <v>1</v>
      </c>
      <c r="AK1310" s="64">
        <f>IF(INDEX(Standings!$A$2:$C$33,MATCH(Table1[[#This Row],[AwayTeam]],Standings!$A$2:$A$33,0),3)=INDEX(Standings!$A$2:$C$33,MATCH(Table1[[#This Row],[HomeTeam]],Standings!$A$2:$A$33,0),3),1,0)</f>
        <v>0</v>
      </c>
      <c r="AL1310" s="64">
        <f>IF(Table1[[#This Row],[InterConf]]=1,IF(Table1[[#This Row],[InterDiv]]=0, 1, 0), 0)</f>
        <v>1</v>
      </c>
      <c r="AM1310" s="64">
        <f>IF(INDEX(Standings!$A$2:$C$33,MATCH(Table1[[#This Row],[AwayTeam]],Standings!$A$2:$A$33,0),2)&lt;&gt;INDEX(Standings!$A$2:$C$33,MATCH(Table1[[#This Row],[HomeTeam]],Standings!$A$2:$A$33,0),2),1,0)</f>
        <v>0</v>
      </c>
      <c r="AN1310" s="64" t="str">
        <f>INDEX(Table2[AWAY_RECORD], MATCH(Table1[[#This Row],[AwayTeam]],Table2[Team], 0), 0)</f>
        <v>0-0-0</v>
      </c>
      <c r="AO1310" s="64" t="str">
        <f>INDEX(Records!$B$2:$AG$33, MATCH(Table1[[#This Row],[AwayTeam]],Records!$A$2:$A$33, 0), MATCH(Table1[[#This Row],[HomeTeam]],Records!$A$2:$A$33, 0))</f>
        <v>0-0-0</v>
      </c>
      <c r="AP1310" s="64" t="str">
        <f>INDEX(Table2[HOME_RECORD], MATCH(Table1[[#This Row],[HomeTeam]],Table2[Team], 0), 0)</f>
        <v>0-0-1</v>
      </c>
      <c r="AQ1310" s="64" t="str">
        <f>INDEX(Records!$B$2:$AG$33, MATCH(Table1[[#This Row],[HomeTeam]],Records!$A$2:$A$33, 0), MATCH(Table1[[#This Row],[AwayTeam]],Records!$A$2:$A$33, 0))</f>
        <v>0-0-0</v>
      </c>
    </row>
    <row r="1311" spans="1:43" x14ac:dyDescent="0.25">
      <c r="A1311" s="1"/>
      <c r="D1311" t="s">
        <v>1672</v>
      </c>
      <c r="E1311" t="s">
        <v>164</v>
      </c>
      <c r="F1311" t="s">
        <v>1681</v>
      </c>
      <c r="G1311" t="s">
        <v>61</v>
      </c>
      <c r="H1311" t="s">
        <v>25</v>
      </c>
      <c r="L131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1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11" s="1"/>
      <c r="T1311" s="64" t="str">
        <f>IF(Table1[[#This Row],[ActualWinner]]="", "", IF(Table1[[#This Row],[AwayTeam]]=Table1[[#This Row],[ActualWinner]],Table1[[#This Row],[HomeTeam]],Table1[[#This Row],[AwayTeam]]))</f>
        <v/>
      </c>
      <c r="U1311" s="64">
        <f>Table1[[#This Row],[ActualAwayScore]]-Table1[[#This Row],[PredictedAwayScore]]</f>
        <v>0</v>
      </c>
      <c r="V1311" s="64">
        <f>Table1[[#This Row],[ActualHomeScore]]-Table1[[#This Row],[PredictedHomeScore]]</f>
        <v>0</v>
      </c>
      <c r="W1311" s="64">
        <f>(0.8*IF(Table1[[#This Row],[CorrectWinnerPrediction]]=1, 1, 0))+(0.1*IF(Table1[[#This Row],[CorrectAwayScorePrediction]]=1, 1, 0))+(0.1*IF(Table1[[#This Row],[CorrectHomeScorePrediction]]=1, 1, 0))</f>
        <v>0</v>
      </c>
      <c r="X131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11" s="64">
        <f>SUMIF(Table1[GameDate], Table1[[#This Row],[GameDate]], Table1[AwayGameGoalDiff])</f>
        <v>0</v>
      </c>
      <c r="AA1311" s="64">
        <f>SUMIF(Table1[GameDate], Table1[[#This Row],[GameDate]], Table1[HomeGameGoalDiff])</f>
        <v>0</v>
      </c>
      <c r="AB1311" s="64">
        <f>IF(ISBLANK(Table1[[#This Row],[ActualResult]]), 0, 1)</f>
        <v>0</v>
      </c>
      <c r="AC1311" s="64">
        <f>IF(ISBLANK(Table1[[#This Row],[ActualResult]]), 0, IF(Table1[[#This Row],[ActualWinner]]=Table1[[#This Row],[PredictedWinner]], 1, 0))</f>
        <v>0</v>
      </c>
      <c r="AD131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1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11" s="64">
        <f>IF(AND(Table1[[#This Row],[GameIsOver]]=1,Table1[[#This Row],[ActualAwayScore]]=0), 1,0)</f>
        <v>0</v>
      </c>
      <c r="AG1311" s="64">
        <f>IF(AND(Table1[[#This Row],[GameIsOver]]=1,Table1[[#This Row],[ActualHomeScore]]=0), 1,0)</f>
        <v>0</v>
      </c>
      <c r="AH1311" s="64">
        <f>IF(Table1[[#This Row],[GameIsOver]]=0,0,IF(Table1[[#This Row],[ActualWinner]]=Table1[[#This Row],[AwayTeam]], 1, 0))</f>
        <v>0</v>
      </c>
      <c r="AI1311" s="64">
        <f>IF(Table1[[#This Row],[GameIsOver]]=0,0,IF(Table1[[#This Row],[ActualWinner]]=Table1[[#This Row],[HomeTeam]], 1, 0))</f>
        <v>0</v>
      </c>
      <c r="AJ1311" s="64">
        <f>IF(INDEX(Standings!$A$2:$C$33,MATCH(Table1[[#This Row],[AwayTeam]],Standings!$A$2:$A$33,0),2)=INDEX(Standings!$A$2:$C$33,MATCH(Table1[[#This Row],[HomeTeam]],Standings!$A$2:$A$33,0),2),1,0)</f>
        <v>1</v>
      </c>
      <c r="AK1311" s="64">
        <f>IF(INDEX(Standings!$A$2:$C$33,MATCH(Table1[[#This Row],[AwayTeam]],Standings!$A$2:$A$33,0),3)=INDEX(Standings!$A$2:$C$33,MATCH(Table1[[#This Row],[HomeTeam]],Standings!$A$2:$A$33,0),3),1,0)</f>
        <v>0</v>
      </c>
      <c r="AL1311" s="64">
        <f>IF(Table1[[#This Row],[InterConf]]=1,IF(Table1[[#This Row],[InterDiv]]=0, 1, 0), 0)</f>
        <v>1</v>
      </c>
      <c r="AM1311" s="64">
        <f>IF(INDEX(Standings!$A$2:$C$33,MATCH(Table1[[#This Row],[AwayTeam]],Standings!$A$2:$A$33,0),2)&lt;&gt;INDEX(Standings!$A$2:$C$33,MATCH(Table1[[#This Row],[HomeTeam]],Standings!$A$2:$A$33,0),2),1,0)</f>
        <v>0</v>
      </c>
      <c r="AN1311" s="64" t="str">
        <f>INDEX(Table2[AWAY_RECORD], MATCH(Table1[[#This Row],[AwayTeam]],Table2[Team], 0), 0)</f>
        <v>0-0-0</v>
      </c>
      <c r="AO1311" s="64" t="str">
        <f>INDEX(Records!$B$2:$AG$33, MATCH(Table1[[#This Row],[AwayTeam]],Records!$A$2:$A$33, 0), MATCH(Table1[[#This Row],[HomeTeam]],Records!$A$2:$A$33, 0))</f>
        <v>0-0-0</v>
      </c>
      <c r="AP1311" s="64" t="str">
        <f>INDEX(Table2[HOME_RECORD], MATCH(Table1[[#This Row],[HomeTeam]],Table2[Team], 0), 0)</f>
        <v>0-0-1</v>
      </c>
      <c r="AQ1311" s="64" t="str">
        <f>INDEX(Records!$B$2:$AG$33, MATCH(Table1[[#This Row],[HomeTeam]],Records!$A$2:$A$33, 0), MATCH(Table1[[#This Row],[AwayTeam]],Records!$A$2:$A$33, 0))</f>
        <v>0-0-0</v>
      </c>
    </row>
    <row r="1312" spans="1:43" x14ac:dyDescent="0.25">
      <c r="A1312" s="1"/>
      <c r="D1312" t="s">
        <v>1672</v>
      </c>
      <c r="E1312" t="s">
        <v>164</v>
      </c>
      <c r="F1312" t="s">
        <v>1682</v>
      </c>
      <c r="G1312" t="s">
        <v>46</v>
      </c>
      <c r="H1312" t="s">
        <v>36</v>
      </c>
      <c r="L131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1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12" s="1"/>
      <c r="T1312" s="64" t="str">
        <f>IF(Table1[[#This Row],[ActualWinner]]="", "", IF(Table1[[#This Row],[AwayTeam]]=Table1[[#This Row],[ActualWinner]],Table1[[#This Row],[HomeTeam]],Table1[[#This Row],[AwayTeam]]))</f>
        <v/>
      </c>
      <c r="U1312" s="64">
        <f>Table1[[#This Row],[ActualAwayScore]]-Table1[[#This Row],[PredictedAwayScore]]</f>
        <v>0</v>
      </c>
      <c r="V1312" s="64">
        <f>Table1[[#This Row],[ActualHomeScore]]-Table1[[#This Row],[PredictedHomeScore]]</f>
        <v>0</v>
      </c>
      <c r="W1312" s="64">
        <f>(0.8*IF(Table1[[#This Row],[CorrectWinnerPrediction]]=1, 1, 0))+(0.1*IF(Table1[[#This Row],[CorrectAwayScorePrediction]]=1, 1, 0))+(0.1*IF(Table1[[#This Row],[CorrectHomeScorePrediction]]=1, 1, 0))</f>
        <v>0</v>
      </c>
      <c r="X131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12" s="64">
        <f>SUMIF(Table1[GameDate], Table1[[#This Row],[GameDate]], Table1[AwayGameGoalDiff])</f>
        <v>0</v>
      </c>
      <c r="AA1312" s="64">
        <f>SUMIF(Table1[GameDate], Table1[[#This Row],[GameDate]], Table1[HomeGameGoalDiff])</f>
        <v>0</v>
      </c>
      <c r="AB1312" s="64">
        <f>IF(ISBLANK(Table1[[#This Row],[ActualResult]]), 0, 1)</f>
        <v>0</v>
      </c>
      <c r="AC1312" s="64">
        <f>IF(ISBLANK(Table1[[#This Row],[ActualResult]]), 0, IF(Table1[[#This Row],[ActualWinner]]=Table1[[#This Row],[PredictedWinner]], 1, 0))</f>
        <v>0</v>
      </c>
      <c r="AD131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1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12" s="64">
        <f>IF(AND(Table1[[#This Row],[GameIsOver]]=1,Table1[[#This Row],[ActualAwayScore]]=0), 1,0)</f>
        <v>0</v>
      </c>
      <c r="AG1312" s="64">
        <f>IF(AND(Table1[[#This Row],[GameIsOver]]=1,Table1[[#This Row],[ActualHomeScore]]=0), 1,0)</f>
        <v>0</v>
      </c>
      <c r="AH1312" s="64">
        <f>IF(Table1[[#This Row],[GameIsOver]]=0,0,IF(Table1[[#This Row],[ActualWinner]]=Table1[[#This Row],[AwayTeam]], 1, 0))</f>
        <v>0</v>
      </c>
      <c r="AI1312" s="64">
        <f>IF(Table1[[#This Row],[GameIsOver]]=0,0,IF(Table1[[#This Row],[ActualWinner]]=Table1[[#This Row],[HomeTeam]], 1, 0))</f>
        <v>0</v>
      </c>
      <c r="AJ1312" s="64">
        <f>IF(INDEX(Standings!$A$2:$C$33,MATCH(Table1[[#This Row],[AwayTeam]],Standings!$A$2:$A$33,0),2)=INDEX(Standings!$A$2:$C$33,MATCH(Table1[[#This Row],[HomeTeam]],Standings!$A$2:$A$33,0),2),1,0)</f>
        <v>1</v>
      </c>
      <c r="AK1312" s="64">
        <f>IF(INDEX(Standings!$A$2:$C$33,MATCH(Table1[[#This Row],[AwayTeam]],Standings!$A$2:$A$33,0),3)=INDEX(Standings!$A$2:$C$33,MATCH(Table1[[#This Row],[HomeTeam]],Standings!$A$2:$A$33,0),3),1,0)</f>
        <v>1</v>
      </c>
      <c r="AL1312" s="64">
        <f>IF(Table1[[#This Row],[InterConf]]=1,IF(Table1[[#This Row],[InterDiv]]=0, 1, 0), 0)</f>
        <v>0</v>
      </c>
      <c r="AM1312" s="64">
        <f>IF(INDEX(Standings!$A$2:$C$33,MATCH(Table1[[#This Row],[AwayTeam]],Standings!$A$2:$A$33,0),2)&lt;&gt;INDEX(Standings!$A$2:$C$33,MATCH(Table1[[#This Row],[HomeTeam]],Standings!$A$2:$A$33,0),2),1,0)</f>
        <v>0</v>
      </c>
      <c r="AN1312" s="64" t="str">
        <f>INDEX(Table2[AWAY_RECORD], MATCH(Table1[[#This Row],[AwayTeam]],Table2[Team], 0), 0)</f>
        <v>1-0-0</v>
      </c>
      <c r="AO1312" s="64" t="str">
        <f>INDEX(Records!$B$2:$AG$33, MATCH(Table1[[#This Row],[AwayTeam]],Records!$A$2:$A$33, 0), MATCH(Table1[[#This Row],[HomeTeam]],Records!$A$2:$A$33, 0))</f>
        <v>0-0-0</v>
      </c>
      <c r="AP1312" s="64" t="str">
        <f>INDEX(Table2[HOME_RECORD], MATCH(Table1[[#This Row],[HomeTeam]],Table2[Team], 0), 0)</f>
        <v>0-0-0</v>
      </c>
      <c r="AQ1312" s="64" t="str">
        <f>INDEX(Records!$B$2:$AG$33, MATCH(Table1[[#This Row],[HomeTeam]],Records!$A$2:$A$33, 0), MATCH(Table1[[#This Row],[AwayTeam]],Records!$A$2:$A$33, 0))</f>
        <v>0-0-0</v>
      </c>
    </row>
    <row r="1313" spans="1:43" x14ac:dyDescent="0.25">
      <c r="A1313" s="1"/>
      <c r="D1313" t="s">
        <v>1683</v>
      </c>
      <c r="E1313" t="s">
        <v>160</v>
      </c>
      <c r="F1313" t="s">
        <v>1684</v>
      </c>
      <c r="G1313" t="s">
        <v>37</v>
      </c>
      <c r="H1313" t="s">
        <v>38</v>
      </c>
      <c r="L131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1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13" s="1"/>
      <c r="T1313" s="64" t="str">
        <f>IF(Table1[[#This Row],[ActualWinner]]="", "", IF(Table1[[#This Row],[AwayTeam]]=Table1[[#This Row],[ActualWinner]],Table1[[#This Row],[HomeTeam]],Table1[[#This Row],[AwayTeam]]))</f>
        <v/>
      </c>
      <c r="U1313" s="64">
        <f>Table1[[#This Row],[ActualAwayScore]]-Table1[[#This Row],[PredictedAwayScore]]</f>
        <v>0</v>
      </c>
      <c r="V1313" s="64">
        <f>Table1[[#This Row],[ActualHomeScore]]-Table1[[#This Row],[PredictedHomeScore]]</f>
        <v>0</v>
      </c>
      <c r="W1313" s="64">
        <f>(0.8*IF(Table1[[#This Row],[CorrectWinnerPrediction]]=1, 1, 0))+(0.1*IF(Table1[[#This Row],[CorrectAwayScorePrediction]]=1, 1, 0))+(0.1*IF(Table1[[#This Row],[CorrectHomeScorePrediction]]=1, 1, 0))</f>
        <v>0</v>
      </c>
      <c r="X131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13" s="64">
        <f>SUMIF(Table1[GameDate], Table1[[#This Row],[GameDate]], Table1[AwayGameGoalDiff])</f>
        <v>0</v>
      </c>
      <c r="AA1313" s="64">
        <f>SUMIF(Table1[GameDate], Table1[[#This Row],[GameDate]], Table1[HomeGameGoalDiff])</f>
        <v>0</v>
      </c>
      <c r="AB1313" s="64">
        <f>IF(ISBLANK(Table1[[#This Row],[ActualResult]]), 0, 1)</f>
        <v>0</v>
      </c>
      <c r="AC1313" s="64">
        <f>IF(ISBLANK(Table1[[#This Row],[ActualResult]]), 0, IF(Table1[[#This Row],[ActualWinner]]=Table1[[#This Row],[PredictedWinner]], 1, 0))</f>
        <v>0</v>
      </c>
      <c r="AD131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1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13" s="64">
        <f>IF(AND(Table1[[#This Row],[GameIsOver]]=1,Table1[[#This Row],[ActualAwayScore]]=0), 1,0)</f>
        <v>0</v>
      </c>
      <c r="AG1313" s="64">
        <f>IF(AND(Table1[[#This Row],[GameIsOver]]=1,Table1[[#This Row],[ActualHomeScore]]=0), 1,0)</f>
        <v>0</v>
      </c>
      <c r="AH1313" s="64">
        <f>IF(Table1[[#This Row],[GameIsOver]]=0,0,IF(Table1[[#This Row],[ActualWinner]]=Table1[[#This Row],[AwayTeam]], 1, 0))</f>
        <v>0</v>
      </c>
      <c r="AI1313" s="64">
        <f>IF(Table1[[#This Row],[GameIsOver]]=0,0,IF(Table1[[#This Row],[ActualWinner]]=Table1[[#This Row],[HomeTeam]], 1, 0))</f>
        <v>0</v>
      </c>
      <c r="AJ1313" s="64">
        <f>IF(INDEX(Standings!$A$2:$C$33,MATCH(Table1[[#This Row],[AwayTeam]],Standings!$A$2:$A$33,0),2)=INDEX(Standings!$A$2:$C$33,MATCH(Table1[[#This Row],[HomeTeam]],Standings!$A$2:$A$33,0),2),1,0)</f>
        <v>1</v>
      </c>
      <c r="AK1313" s="64">
        <f>IF(INDEX(Standings!$A$2:$C$33,MATCH(Table1[[#This Row],[AwayTeam]],Standings!$A$2:$A$33,0),3)=INDEX(Standings!$A$2:$C$33,MATCH(Table1[[#This Row],[HomeTeam]],Standings!$A$2:$A$33,0),3),1,0)</f>
        <v>1</v>
      </c>
      <c r="AL1313" s="64">
        <f>IF(Table1[[#This Row],[InterConf]]=1,IF(Table1[[#This Row],[InterDiv]]=0, 1, 0), 0)</f>
        <v>0</v>
      </c>
      <c r="AM1313" s="64">
        <f>IF(INDEX(Standings!$A$2:$C$33,MATCH(Table1[[#This Row],[AwayTeam]],Standings!$A$2:$A$33,0),2)&lt;&gt;INDEX(Standings!$A$2:$C$33,MATCH(Table1[[#This Row],[HomeTeam]],Standings!$A$2:$A$33,0),2),1,0)</f>
        <v>0</v>
      </c>
      <c r="AN1313" s="64" t="str">
        <f>INDEX(Table2[AWAY_RECORD], MATCH(Table1[[#This Row],[AwayTeam]],Table2[Team], 0), 0)</f>
        <v>0-0-1</v>
      </c>
      <c r="AO1313" s="64" t="str">
        <f>INDEX(Records!$B$2:$AG$33, MATCH(Table1[[#This Row],[AwayTeam]],Records!$A$2:$A$33, 0), MATCH(Table1[[#This Row],[HomeTeam]],Records!$A$2:$A$33, 0))</f>
        <v>0-0-0</v>
      </c>
      <c r="AP1313" s="64" t="str">
        <f>INDEX(Table2[HOME_RECORD], MATCH(Table1[[#This Row],[HomeTeam]],Table2[Team], 0), 0)</f>
        <v>0-0-0</v>
      </c>
      <c r="AQ1313" s="64" t="str">
        <f>INDEX(Records!$B$2:$AG$33, MATCH(Table1[[#This Row],[HomeTeam]],Records!$A$2:$A$33, 0), MATCH(Table1[[#This Row],[AwayTeam]],Records!$A$2:$A$33, 0))</f>
        <v>0-0-0</v>
      </c>
    </row>
    <row r="1314" spans="1:43" x14ac:dyDescent="0.25">
      <c r="A1314" s="1"/>
      <c r="D1314" t="s">
        <v>1683</v>
      </c>
      <c r="E1314" t="s">
        <v>160</v>
      </c>
      <c r="F1314" t="s">
        <v>1685</v>
      </c>
      <c r="G1314" t="s">
        <v>52</v>
      </c>
      <c r="H1314" t="s">
        <v>40</v>
      </c>
      <c r="L131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1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14" s="1"/>
      <c r="T1314" s="64" t="str">
        <f>IF(Table1[[#This Row],[ActualWinner]]="", "", IF(Table1[[#This Row],[AwayTeam]]=Table1[[#This Row],[ActualWinner]],Table1[[#This Row],[HomeTeam]],Table1[[#This Row],[AwayTeam]]))</f>
        <v/>
      </c>
      <c r="U1314" s="64">
        <f>Table1[[#This Row],[ActualAwayScore]]-Table1[[#This Row],[PredictedAwayScore]]</f>
        <v>0</v>
      </c>
      <c r="V1314" s="64">
        <f>Table1[[#This Row],[ActualHomeScore]]-Table1[[#This Row],[PredictedHomeScore]]</f>
        <v>0</v>
      </c>
      <c r="W1314" s="64">
        <f>(0.8*IF(Table1[[#This Row],[CorrectWinnerPrediction]]=1, 1, 0))+(0.1*IF(Table1[[#This Row],[CorrectAwayScorePrediction]]=1, 1, 0))+(0.1*IF(Table1[[#This Row],[CorrectHomeScorePrediction]]=1, 1, 0))</f>
        <v>0</v>
      </c>
      <c r="X131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14" s="64">
        <f>SUMIF(Table1[GameDate], Table1[[#This Row],[GameDate]], Table1[AwayGameGoalDiff])</f>
        <v>0</v>
      </c>
      <c r="AA1314" s="64">
        <f>SUMIF(Table1[GameDate], Table1[[#This Row],[GameDate]], Table1[HomeGameGoalDiff])</f>
        <v>0</v>
      </c>
      <c r="AB1314" s="64">
        <f>IF(ISBLANK(Table1[[#This Row],[ActualResult]]), 0, 1)</f>
        <v>0</v>
      </c>
      <c r="AC1314" s="64">
        <f>IF(ISBLANK(Table1[[#This Row],[ActualResult]]), 0, IF(Table1[[#This Row],[ActualWinner]]=Table1[[#This Row],[PredictedWinner]], 1, 0))</f>
        <v>0</v>
      </c>
      <c r="AD131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1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14" s="64">
        <f>IF(AND(Table1[[#This Row],[GameIsOver]]=1,Table1[[#This Row],[ActualAwayScore]]=0), 1,0)</f>
        <v>0</v>
      </c>
      <c r="AG1314" s="64">
        <f>IF(AND(Table1[[#This Row],[GameIsOver]]=1,Table1[[#This Row],[ActualHomeScore]]=0), 1,0)</f>
        <v>0</v>
      </c>
      <c r="AH1314" s="64">
        <f>IF(Table1[[#This Row],[GameIsOver]]=0,0,IF(Table1[[#This Row],[ActualWinner]]=Table1[[#This Row],[AwayTeam]], 1, 0))</f>
        <v>0</v>
      </c>
      <c r="AI1314" s="64">
        <f>IF(Table1[[#This Row],[GameIsOver]]=0,0,IF(Table1[[#This Row],[ActualWinner]]=Table1[[#This Row],[HomeTeam]], 1, 0))</f>
        <v>0</v>
      </c>
      <c r="AJ1314" s="64">
        <f>IF(INDEX(Standings!$A$2:$C$33,MATCH(Table1[[#This Row],[AwayTeam]],Standings!$A$2:$A$33,0),2)=INDEX(Standings!$A$2:$C$33,MATCH(Table1[[#This Row],[HomeTeam]],Standings!$A$2:$A$33,0),2),1,0)</f>
        <v>1</v>
      </c>
      <c r="AK1314" s="64">
        <f>IF(INDEX(Standings!$A$2:$C$33,MATCH(Table1[[#This Row],[AwayTeam]],Standings!$A$2:$A$33,0),3)=INDEX(Standings!$A$2:$C$33,MATCH(Table1[[#This Row],[HomeTeam]],Standings!$A$2:$A$33,0),3),1,0)</f>
        <v>0</v>
      </c>
      <c r="AL1314" s="64">
        <f>IF(Table1[[#This Row],[InterConf]]=1,IF(Table1[[#This Row],[InterDiv]]=0, 1, 0), 0)</f>
        <v>1</v>
      </c>
      <c r="AM1314" s="64">
        <f>IF(INDEX(Standings!$A$2:$C$33,MATCH(Table1[[#This Row],[AwayTeam]],Standings!$A$2:$A$33,0),2)&lt;&gt;INDEX(Standings!$A$2:$C$33,MATCH(Table1[[#This Row],[HomeTeam]],Standings!$A$2:$A$33,0),2),1,0)</f>
        <v>0</v>
      </c>
      <c r="AN1314" s="64" t="str">
        <f>INDEX(Table2[AWAY_RECORD], MATCH(Table1[[#This Row],[AwayTeam]],Table2[Team], 0), 0)</f>
        <v>0-0-0</v>
      </c>
      <c r="AO1314" s="64" t="str">
        <f>INDEX(Records!$B$2:$AG$33, MATCH(Table1[[#This Row],[AwayTeam]],Records!$A$2:$A$33, 0), MATCH(Table1[[#This Row],[HomeTeam]],Records!$A$2:$A$33, 0))</f>
        <v>0-0-0</v>
      </c>
      <c r="AP1314" s="64" t="str">
        <f>INDEX(Table2[HOME_RECORD], MATCH(Table1[[#This Row],[HomeTeam]],Table2[Team], 0), 0)</f>
        <v>1-1-0</v>
      </c>
      <c r="AQ1314" s="64" t="str">
        <f>INDEX(Records!$B$2:$AG$33, MATCH(Table1[[#This Row],[HomeTeam]],Records!$A$2:$A$33, 0), MATCH(Table1[[#This Row],[AwayTeam]],Records!$A$2:$A$33, 0))</f>
        <v>0-0-0</v>
      </c>
    </row>
    <row r="1315" spans="1:43" x14ac:dyDescent="0.25">
      <c r="A1315" s="1"/>
      <c r="D1315" t="s">
        <v>1683</v>
      </c>
      <c r="E1315" t="s">
        <v>162</v>
      </c>
      <c r="F1315" t="s">
        <v>1686</v>
      </c>
      <c r="G1315" t="s">
        <v>45</v>
      </c>
      <c r="H1315" t="s">
        <v>60</v>
      </c>
      <c r="L131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1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15" s="1"/>
      <c r="T1315" s="64" t="str">
        <f>IF(Table1[[#This Row],[ActualWinner]]="", "", IF(Table1[[#This Row],[AwayTeam]]=Table1[[#This Row],[ActualWinner]],Table1[[#This Row],[HomeTeam]],Table1[[#This Row],[AwayTeam]]))</f>
        <v/>
      </c>
      <c r="U1315" s="64">
        <f>Table1[[#This Row],[ActualAwayScore]]-Table1[[#This Row],[PredictedAwayScore]]</f>
        <v>0</v>
      </c>
      <c r="V1315" s="64">
        <f>Table1[[#This Row],[ActualHomeScore]]-Table1[[#This Row],[PredictedHomeScore]]</f>
        <v>0</v>
      </c>
      <c r="W1315" s="64">
        <f>(0.8*IF(Table1[[#This Row],[CorrectWinnerPrediction]]=1, 1, 0))+(0.1*IF(Table1[[#This Row],[CorrectAwayScorePrediction]]=1, 1, 0))+(0.1*IF(Table1[[#This Row],[CorrectHomeScorePrediction]]=1, 1, 0))</f>
        <v>0</v>
      </c>
      <c r="X131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15" s="64">
        <f>SUMIF(Table1[GameDate], Table1[[#This Row],[GameDate]], Table1[AwayGameGoalDiff])</f>
        <v>0</v>
      </c>
      <c r="AA1315" s="64">
        <f>SUMIF(Table1[GameDate], Table1[[#This Row],[GameDate]], Table1[HomeGameGoalDiff])</f>
        <v>0</v>
      </c>
      <c r="AB1315" s="64">
        <f>IF(ISBLANK(Table1[[#This Row],[ActualResult]]), 0, 1)</f>
        <v>0</v>
      </c>
      <c r="AC1315" s="64">
        <f>IF(ISBLANK(Table1[[#This Row],[ActualResult]]), 0, IF(Table1[[#This Row],[ActualWinner]]=Table1[[#This Row],[PredictedWinner]], 1, 0))</f>
        <v>0</v>
      </c>
      <c r="AD131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1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15" s="64">
        <f>IF(AND(Table1[[#This Row],[GameIsOver]]=1,Table1[[#This Row],[ActualAwayScore]]=0), 1,0)</f>
        <v>0</v>
      </c>
      <c r="AG1315" s="64">
        <f>IF(AND(Table1[[#This Row],[GameIsOver]]=1,Table1[[#This Row],[ActualHomeScore]]=0), 1,0)</f>
        <v>0</v>
      </c>
      <c r="AH1315" s="64">
        <f>IF(Table1[[#This Row],[GameIsOver]]=0,0,IF(Table1[[#This Row],[ActualWinner]]=Table1[[#This Row],[AwayTeam]], 1, 0))</f>
        <v>0</v>
      </c>
      <c r="AI1315" s="64">
        <f>IF(Table1[[#This Row],[GameIsOver]]=0,0,IF(Table1[[#This Row],[ActualWinner]]=Table1[[#This Row],[HomeTeam]], 1, 0))</f>
        <v>0</v>
      </c>
      <c r="AJ1315" s="64">
        <f>IF(INDEX(Standings!$A$2:$C$33,MATCH(Table1[[#This Row],[AwayTeam]],Standings!$A$2:$A$33,0),2)=INDEX(Standings!$A$2:$C$33,MATCH(Table1[[#This Row],[HomeTeam]],Standings!$A$2:$A$33,0),2),1,0)</f>
        <v>1</v>
      </c>
      <c r="AK1315" s="64">
        <f>IF(INDEX(Standings!$A$2:$C$33,MATCH(Table1[[#This Row],[AwayTeam]],Standings!$A$2:$A$33,0),3)=INDEX(Standings!$A$2:$C$33,MATCH(Table1[[#This Row],[HomeTeam]],Standings!$A$2:$A$33,0),3),1,0)</f>
        <v>0</v>
      </c>
      <c r="AL1315" s="64">
        <f>IF(Table1[[#This Row],[InterConf]]=1,IF(Table1[[#This Row],[InterDiv]]=0, 1, 0), 0)</f>
        <v>1</v>
      </c>
      <c r="AM1315" s="64">
        <f>IF(INDEX(Standings!$A$2:$C$33,MATCH(Table1[[#This Row],[AwayTeam]],Standings!$A$2:$A$33,0),2)&lt;&gt;INDEX(Standings!$A$2:$C$33,MATCH(Table1[[#This Row],[HomeTeam]],Standings!$A$2:$A$33,0),2),1,0)</f>
        <v>0</v>
      </c>
      <c r="AN1315" s="64" t="str">
        <f>INDEX(Table2[AWAY_RECORD], MATCH(Table1[[#This Row],[AwayTeam]],Table2[Team], 0), 0)</f>
        <v>1-0-0</v>
      </c>
      <c r="AO1315" s="64" t="str">
        <f>INDEX(Records!$B$2:$AG$33, MATCH(Table1[[#This Row],[AwayTeam]],Records!$A$2:$A$33, 0), MATCH(Table1[[#This Row],[HomeTeam]],Records!$A$2:$A$33, 0))</f>
        <v>0-0-0</v>
      </c>
      <c r="AP1315" s="64" t="str">
        <f>INDEX(Table2[HOME_RECORD], MATCH(Table1[[#This Row],[HomeTeam]],Table2[Team], 0), 0)</f>
        <v>1-0-0</v>
      </c>
      <c r="AQ1315" s="64" t="str">
        <f>INDEX(Records!$B$2:$AG$33, MATCH(Table1[[#This Row],[HomeTeam]],Records!$A$2:$A$33, 0), MATCH(Table1[[#This Row],[AwayTeam]],Records!$A$2:$A$33, 0))</f>
        <v>0-0-0</v>
      </c>
    </row>
    <row r="1316" spans="1:43" x14ac:dyDescent="0.25">
      <c r="A1316" s="1"/>
      <c r="D1316" t="s">
        <v>1683</v>
      </c>
      <c r="E1316" t="s">
        <v>301</v>
      </c>
      <c r="F1316" t="s">
        <v>1687</v>
      </c>
      <c r="G1316" t="s">
        <v>43</v>
      </c>
      <c r="H1316" t="s">
        <v>58</v>
      </c>
      <c r="L131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1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16" s="1"/>
      <c r="T1316" s="64" t="str">
        <f>IF(Table1[[#This Row],[ActualWinner]]="", "", IF(Table1[[#This Row],[AwayTeam]]=Table1[[#This Row],[ActualWinner]],Table1[[#This Row],[HomeTeam]],Table1[[#This Row],[AwayTeam]]))</f>
        <v/>
      </c>
      <c r="U1316" s="64">
        <f>Table1[[#This Row],[ActualAwayScore]]-Table1[[#This Row],[PredictedAwayScore]]</f>
        <v>0</v>
      </c>
      <c r="V1316" s="64">
        <f>Table1[[#This Row],[ActualHomeScore]]-Table1[[#This Row],[PredictedHomeScore]]</f>
        <v>0</v>
      </c>
      <c r="W1316" s="64">
        <f>(0.8*IF(Table1[[#This Row],[CorrectWinnerPrediction]]=1, 1, 0))+(0.1*IF(Table1[[#This Row],[CorrectAwayScorePrediction]]=1, 1, 0))+(0.1*IF(Table1[[#This Row],[CorrectHomeScorePrediction]]=1, 1, 0))</f>
        <v>0</v>
      </c>
      <c r="X131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16" s="64">
        <f>SUMIF(Table1[GameDate], Table1[[#This Row],[GameDate]], Table1[AwayGameGoalDiff])</f>
        <v>0</v>
      </c>
      <c r="AA1316" s="64">
        <f>SUMIF(Table1[GameDate], Table1[[#This Row],[GameDate]], Table1[HomeGameGoalDiff])</f>
        <v>0</v>
      </c>
      <c r="AB1316" s="64">
        <f>IF(ISBLANK(Table1[[#This Row],[ActualResult]]), 0, 1)</f>
        <v>0</v>
      </c>
      <c r="AC1316" s="64">
        <f>IF(ISBLANK(Table1[[#This Row],[ActualResult]]), 0, IF(Table1[[#This Row],[ActualWinner]]=Table1[[#This Row],[PredictedWinner]], 1, 0))</f>
        <v>0</v>
      </c>
      <c r="AD131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1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16" s="64">
        <f>IF(AND(Table1[[#This Row],[GameIsOver]]=1,Table1[[#This Row],[ActualAwayScore]]=0), 1,0)</f>
        <v>0</v>
      </c>
      <c r="AG1316" s="64">
        <f>IF(AND(Table1[[#This Row],[GameIsOver]]=1,Table1[[#This Row],[ActualHomeScore]]=0), 1,0)</f>
        <v>0</v>
      </c>
      <c r="AH1316" s="64">
        <f>IF(Table1[[#This Row],[GameIsOver]]=0,0,IF(Table1[[#This Row],[ActualWinner]]=Table1[[#This Row],[AwayTeam]], 1, 0))</f>
        <v>0</v>
      </c>
      <c r="AI1316" s="64">
        <f>IF(Table1[[#This Row],[GameIsOver]]=0,0,IF(Table1[[#This Row],[ActualWinner]]=Table1[[#This Row],[HomeTeam]], 1, 0))</f>
        <v>0</v>
      </c>
      <c r="AJ1316" s="64">
        <f>IF(INDEX(Standings!$A$2:$C$33,MATCH(Table1[[#This Row],[AwayTeam]],Standings!$A$2:$A$33,0),2)=INDEX(Standings!$A$2:$C$33,MATCH(Table1[[#This Row],[HomeTeam]],Standings!$A$2:$A$33,0),2),1,0)</f>
        <v>1</v>
      </c>
      <c r="AK1316" s="64">
        <f>IF(INDEX(Standings!$A$2:$C$33,MATCH(Table1[[#This Row],[AwayTeam]],Standings!$A$2:$A$33,0),3)=INDEX(Standings!$A$2:$C$33,MATCH(Table1[[#This Row],[HomeTeam]],Standings!$A$2:$A$33,0),3),1,0)</f>
        <v>1</v>
      </c>
      <c r="AL1316" s="64">
        <f>IF(Table1[[#This Row],[InterConf]]=1,IF(Table1[[#This Row],[InterDiv]]=0, 1, 0), 0)</f>
        <v>0</v>
      </c>
      <c r="AM1316" s="64">
        <f>IF(INDEX(Standings!$A$2:$C$33,MATCH(Table1[[#This Row],[AwayTeam]],Standings!$A$2:$A$33,0),2)&lt;&gt;INDEX(Standings!$A$2:$C$33,MATCH(Table1[[#This Row],[HomeTeam]],Standings!$A$2:$A$33,0),2),1,0)</f>
        <v>0</v>
      </c>
      <c r="AN1316" s="64" t="str">
        <f>INDEX(Table2[AWAY_RECORD], MATCH(Table1[[#This Row],[AwayTeam]],Table2[Team], 0), 0)</f>
        <v>0-0-0</v>
      </c>
      <c r="AO1316" s="64" t="str">
        <f>INDEX(Records!$B$2:$AG$33, MATCH(Table1[[#This Row],[AwayTeam]],Records!$A$2:$A$33, 0), MATCH(Table1[[#This Row],[HomeTeam]],Records!$A$2:$A$33, 0))</f>
        <v>0-0-0</v>
      </c>
      <c r="AP1316" s="64" t="str">
        <f>INDEX(Table2[HOME_RECORD], MATCH(Table1[[#This Row],[HomeTeam]],Table2[Team], 0), 0)</f>
        <v>1-0-0</v>
      </c>
      <c r="AQ1316" s="64" t="str">
        <f>INDEX(Records!$B$2:$AG$33, MATCH(Table1[[#This Row],[HomeTeam]],Records!$A$2:$A$33, 0), MATCH(Table1[[#This Row],[AwayTeam]],Records!$A$2:$A$33, 0))</f>
        <v>0-0-0</v>
      </c>
    </row>
    <row r="1317" spans="1:43" x14ac:dyDescent="0.25">
      <c r="A1317" s="1"/>
      <c r="D1317" t="s">
        <v>1688</v>
      </c>
      <c r="E1317" t="s">
        <v>160</v>
      </c>
      <c r="F1317" t="s">
        <v>1689</v>
      </c>
      <c r="G1317" t="s">
        <v>59</v>
      </c>
      <c r="H1317" t="s">
        <v>52</v>
      </c>
      <c r="L131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1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17" s="1"/>
      <c r="T1317" s="64" t="str">
        <f>IF(Table1[[#This Row],[ActualWinner]]="", "", IF(Table1[[#This Row],[AwayTeam]]=Table1[[#This Row],[ActualWinner]],Table1[[#This Row],[HomeTeam]],Table1[[#This Row],[AwayTeam]]))</f>
        <v/>
      </c>
      <c r="U1317" s="64">
        <f>Table1[[#This Row],[ActualAwayScore]]-Table1[[#This Row],[PredictedAwayScore]]</f>
        <v>0</v>
      </c>
      <c r="V1317" s="64">
        <f>Table1[[#This Row],[ActualHomeScore]]-Table1[[#This Row],[PredictedHomeScore]]</f>
        <v>0</v>
      </c>
      <c r="W1317" s="64">
        <f>(0.8*IF(Table1[[#This Row],[CorrectWinnerPrediction]]=1, 1, 0))+(0.1*IF(Table1[[#This Row],[CorrectAwayScorePrediction]]=1, 1, 0))+(0.1*IF(Table1[[#This Row],[CorrectHomeScorePrediction]]=1, 1, 0))</f>
        <v>0</v>
      </c>
      <c r="X131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17" s="64">
        <f>SUMIF(Table1[GameDate], Table1[[#This Row],[GameDate]], Table1[AwayGameGoalDiff])</f>
        <v>0</v>
      </c>
      <c r="AA1317" s="64">
        <f>SUMIF(Table1[GameDate], Table1[[#This Row],[GameDate]], Table1[HomeGameGoalDiff])</f>
        <v>0</v>
      </c>
      <c r="AB1317" s="64">
        <f>IF(ISBLANK(Table1[[#This Row],[ActualResult]]), 0, 1)</f>
        <v>0</v>
      </c>
      <c r="AC1317" s="64">
        <f>IF(ISBLANK(Table1[[#This Row],[ActualResult]]), 0, IF(Table1[[#This Row],[ActualWinner]]=Table1[[#This Row],[PredictedWinner]], 1, 0))</f>
        <v>0</v>
      </c>
      <c r="AD131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1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17" s="64">
        <f>IF(AND(Table1[[#This Row],[GameIsOver]]=1,Table1[[#This Row],[ActualAwayScore]]=0), 1,0)</f>
        <v>0</v>
      </c>
      <c r="AG1317" s="64">
        <f>IF(AND(Table1[[#This Row],[GameIsOver]]=1,Table1[[#This Row],[ActualHomeScore]]=0), 1,0)</f>
        <v>0</v>
      </c>
      <c r="AH1317" s="64">
        <f>IF(Table1[[#This Row],[GameIsOver]]=0,0,IF(Table1[[#This Row],[ActualWinner]]=Table1[[#This Row],[AwayTeam]], 1, 0))</f>
        <v>0</v>
      </c>
      <c r="AI1317" s="64">
        <f>IF(Table1[[#This Row],[GameIsOver]]=0,0,IF(Table1[[#This Row],[ActualWinner]]=Table1[[#This Row],[HomeTeam]], 1, 0))</f>
        <v>0</v>
      </c>
      <c r="AJ1317" s="64">
        <f>IF(INDEX(Standings!$A$2:$C$33,MATCH(Table1[[#This Row],[AwayTeam]],Standings!$A$2:$A$33,0),2)=INDEX(Standings!$A$2:$C$33,MATCH(Table1[[#This Row],[HomeTeam]],Standings!$A$2:$A$33,0),2),1,0)</f>
        <v>1</v>
      </c>
      <c r="AK1317" s="64">
        <f>IF(INDEX(Standings!$A$2:$C$33,MATCH(Table1[[#This Row],[AwayTeam]],Standings!$A$2:$A$33,0),3)=INDEX(Standings!$A$2:$C$33,MATCH(Table1[[#This Row],[HomeTeam]],Standings!$A$2:$A$33,0),3),1,0)</f>
        <v>0</v>
      </c>
      <c r="AL1317" s="64">
        <f>IF(Table1[[#This Row],[InterConf]]=1,IF(Table1[[#This Row],[InterDiv]]=0, 1, 0), 0)</f>
        <v>1</v>
      </c>
      <c r="AM1317" s="64">
        <f>IF(INDEX(Standings!$A$2:$C$33,MATCH(Table1[[#This Row],[AwayTeam]],Standings!$A$2:$A$33,0),2)&lt;&gt;INDEX(Standings!$A$2:$C$33,MATCH(Table1[[#This Row],[HomeTeam]],Standings!$A$2:$A$33,0),2),1,0)</f>
        <v>0</v>
      </c>
      <c r="AN1317" s="64" t="str">
        <f>INDEX(Table2[AWAY_RECORD], MATCH(Table1[[#This Row],[AwayTeam]],Table2[Team], 0), 0)</f>
        <v>0-1-0</v>
      </c>
      <c r="AO1317" s="64" t="str">
        <f>INDEX(Records!$B$2:$AG$33, MATCH(Table1[[#This Row],[AwayTeam]],Records!$A$2:$A$33, 0), MATCH(Table1[[#This Row],[HomeTeam]],Records!$A$2:$A$33, 0))</f>
        <v>0-0-0</v>
      </c>
      <c r="AP1317" s="64" t="str">
        <f>INDEX(Table2[HOME_RECORD], MATCH(Table1[[#This Row],[HomeTeam]],Table2[Team], 0), 0)</f>
        <v>0-0-0</v>
      </c>
      <c r="AQ1317" s="64" t="str">
        <f>INDEX(Records!$B$2:$AG$33, MATCH(Table1[[#This Row],[HomeTeam]],Records!$A$2:$A$33, 0), MATCH(Table1[[#This Row],[AwayTeam]],Records!$A$2:$A$33, 0))</f>
        <v>0-0-0</v>
      </c>
    </row>
    <row r="1318" spans="1:43" x14ac:dyDescent="0.25">
      <c r="A1318" s="1"/>
      <c r="D1318" t="s">
        <v>1688</v>
      </c>
      <c r="E1318" t="s">
        <v>160</v>
      </c>
      <c r="F1318" t="s">
        <v>1690</v>
      </c>
      <c r="G1318" t="s">
        <v>47</v>
      </c>
      <c r="H1318" t="s">
        <v>57</v>
      </c>
      <c r="L131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1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18" s="1"/>
      <c r="T1318" s="64" t="str">
        <f>IF(Table1[[#This Row],[ActualWinner]]="", "", IF(Table1[[#This Row],[AwayTeam]]=Table1[[#This Row],[ActualWinner]],Table1[[#This Row],[HomeTeam]],Table1[[#This Row],[AwayTeam]]))</f>
        <v/>
      </c>
      <c r="U1318" s="64">
        <f>Table1[[#This Row],[ActualAwayScore]]-Table1[[#This Row],[PredictedAwayScore]]</f>
        <v>0</v>
      </c>
      <c r="V1318" s="64">
        <f>Table1[[#This Row],[ActualHomeScore]]-Table1[[#This Row],[PredictedHomeScore]]</f>
        <v>0</v>
      </c>
      <c r="W1318" s="64">
        <f>(0.8*IF(Table1[[#This Row],[CorrectWinnerPrediction]]=1, 1, 0))+(0.1*IF(Table1[[#This Row],[CorrectAwayScorePrediction]]=1, 1, 0))+(0.1*IF(Table1[[#This Row],[CorrectHomeScorePrediction]]=1, 1, 0))</f>
        <v>0</v>
      </c>
      <c r="X131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18" s="64">
        <f>SUMIF(Table1[GameDate], Table1[[#This Row],[GameDate]], Table1[AwayGameGoalDiff])</f>
        <v>0</v>
      </c>
      <c r="AA1318" s="64">
        <f>SUMIF(Table1[GameDate], Table1[[#This Row],[GameDate]], Table1[HomeGameGoalDiff])</f>
        <v>0</v>
      </c>
      <c r="AB1318" s="64">
        <f>IF(ISBLANK(Table1[[#This Row],[ActualResult]]), 0, 1)</f>
        <v>0</v>
      </c>
      <c r="AC1318" s="64">
        <f>IF(ISBLANK(Table1[[#This Row],[ActualResult]]), 0, IF(Table1[[#This Row],[ActualWinner]]=Table1[[#This Row],[PredictedWinner]], 1, 0))</f>
        <v>0</v>
      </c>
      <c r="AD131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1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18" s="64">
        <f>IF(AND(Table1[[#This Row],[GameIsOver]]=1,Table1[[#This Row],[ActualAwayScore]]=0), 1,0)</f>
        <v>0</v>
      </c>
      <c r="AG1318" s="64">
        <f>IF(AND(Table1[[#This Row],[GameIsOver]]=1,Table1[[#This Row],[ActualHomeScore]]=0), 1,0)</f>
        <v>0</v>
      </c>
      <c r="AH1318" s="64">
        <f>IF(Table1[[#This Row],[GameIsOver]]=0,0,IF(Table1[[#This Row],[ActualWinner]]=Table1[[#This Row],[AwayTeam]], 1, 0))</f>
        <v>0</v>
      </c>
      <c r="AI1318" s="64">
        <f>IF(Table1[[#This Row],[GameIsOver]]=0,0,IF(Table1[[#This Row],[ActualWinner]]=Table1[[#This Row],[HomeTeam]], 1, 0))</f>
        <v>0</v>
      </c>
      <c r="AJ1318" s="64">
        <f>IF(INDEX(Standings!$A$2:$C$33,MATCH(Table1[[#This Row],[AwayTeam]],Standings!$A$2:$A$33,0),2)=INDEX(Standings!$A$2:$C$33,MATCH(Table1[[#This Row],[HomeTeam]],Standings!$A$2:$A$33,0),2),1,0)</f>
        <v>1</v>
      </c>
      <c r="AK1318" s="64">
        <f>IF(INDEX(Standings!$A$2:$C$33,MATCH(Table1[[#This Row],[AwayTeam]],Standings!$A$2:$A$33,0),3)=INDEX(Standings!$A$2:$C$33,MATCH(Table1[[#This Row],[HomeTeam]],Standings!$A$2:$A$33,0),3),1,0)</f>
        <v>1</v>
      </c>
      <c r="AL1318" s="64">
        <f>IF(Table1[[#This Row],[InterConf]]=1,IF(Table1[[#This Row],[InterDiv]]=0, 1, 0), 0)</f>
        <v>0</v>
      </c>
      <c r="AM1318" s="64">
        <f>IF(INDEX(Standings!$A$2:$C$33,MATCH(Table1[[#This Row],[AwayTeam]],Standings!$A$2:$A$33,0),2)&lt;&gt;INDEX(Standings!$A$2:$C$33,MATCH(Table1[[#This Row],[HomeTeam]],Standings!$A$2:$A$33,0),2),1,0)</f>
        <v>0</v>
      </c>
      <c r="AN1318" s="64" t="str">
        <f>INDEX(Table2[AWAY_RECORD], MATCH(Table1[[#This Row],[AwayTeam]],Table2[Team], 0), 0)</f>
        <v>1-0-0</v>
      </c>
      <c r="AO1318" s="64" t="str">
        <f>INDEX(Records!$B$2:$AG$33, MATCH(Table1[[#This Row],[AwayTeam]],Records!$A$2:$A$33, 0), MATCH(Table1[[#This Row],[HomeTeam]],Records!$A$2:$A$33, 0))</f>
        <v>0-0-0</v>
      </c>
      <c r="AP1318" s="64" t="str">
        <f>INDEX(Table2[HOME_RECORD], MATCH(Table1[[#This Row],[HomeTeam]],Table2[Team], 0), 0)</f>
        <v>0-0-0</v>
      </c>
      <c r="AQ1318" s="64" t="str">
        <f>INDEX(Records!$B$2:$AG$33, MATCH(Table1[[#This Row],[HomeTeam]],Records!$A$2:$A$33, 0), MATCH(Table1[[#This Row],[AwayTeam]],Records!$A$2:$A$33, 0))</f>
        <v>0-0-0</v>
      </c>
    </row>
    <row r="1319" spans="1:43" x14ac:dyDescent="0.25">
      <c r="A1319" s="1"/>
      <c r="D1319" t="s">
        <v>1688</v>
      </c>
      <c r="E1319" t="s">
        <v>160</v>
      </c>
      <c r="F1319" t="s">
        <v>1691</v>
      </c>
      <c r="G1319" t="s">
        <v>50</v>
      </c>
      <c r="H1319" t="s">
        <v>49</v>
      </c>
      <c r="L131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1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19" s="1"/>
      <c r="T1319" s="64" t="str">
        <f>IF(Table1[[#This Row],[ActualWinner]]="", "", IF(Table1[[#This Row],[AwayTeam]]=Table1[[#This Row],[ActualWinner]],Table1[[#This Row],[HomeTeam]],Table1[[#This Row],[AwayTeam]]))</f>
        <v/>
      </c>
      <c r="U1319" s="64">
        <f>Table1[[#This Row],[ActualAwayScore]]-Table1[[#This Row],[PredictedAwayScore]]</f>
        <v>0</v>
      </c>
      <c r="V1319" s="64">
        <f>Table1[[#This Row],[ActualHomeScore]]-Table1[[#This Row],[PredictedHomeScore]]</f>
        <v>0</v>
      </c>
      <c r="W1319" s="64">
        <f>(0.8*IF(Table1[[#This Row],[CorrectWinnerPrediction]]=1, 1, 0))+(0.1*IF(Table1[[#This Row],[CorrectAwayScorePrediction]]=1, 1, 0))+(0.1*IF(Table1[[#This Row],[CorrectHomeScorePrediction]]=1, 1, 0))</f>
        <v>0</v>
      </c>
      <c r="X131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19" s="64">
        <f>SUMIF(Table1[GameDate], Table1[[#This Row],[GameDate]], Table1[AwayGameGoalDiff])</f>
        <v>0</v>
      </c>
      <c r="AA1319" s="64">
        <f>SUMIF(Table1[GameDate], Table1[[#This Row],[GameDate]], Table1[HomeGameGoalDiff])</f>
        <v>0</v>
      </c>
      <c r="AB1319" s="64">
        <f>IF(ISBLANK(Table1[[#This Row],[ActualResult]]), 0, 1)</f>
        <v>0</v>
      </c>
      <c r="AC1319" s="64">
        <f>IF(ISBLANK(Table1[[#This Row],[ActualResult]]), 0, IF(Table1[[#This Row],[ActualWinner]]=Table1[[#This Row],[PredictedWinner]], 1, 0))</f>
        <v>0</v>
      </c>
      <c r="AD131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1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19" s="64">
        <f>IF(AND(Table1[[#This Row],[GameIsOver]]=1,Table1[[#This Row],[ActualAwayScore]]=0), 1,0)</f>
        <v>0</v>
      </c>
      <c r="AG1319" s="64">
        <f>IF(AND(Table1[[#This Row],[GameIsOver]]=1,Table1[[#This Row],[ActualHomeScore]]=0), 1,0)</f>
        <v>0</v>
      </c>
      <c r="AH1319" s="64">
        <f>IF(Table1[[#This Row],[GameIsOver]]=0,0,IF(Table1[[#This Row],[ActualWinner]]=Table1[[#This Row],[AwayTeam]], 1, 0))</f>
        <v>0</v>
      </c>
      <c r="AI1319" s="64">
        <f>IF(Table1[[#This Row],[GameIsOver]]=0,0,IF(Table1[[#This Row],[ActualWinner]]=Table1[[#This Row],[HomeTeam]], 1, 0))</f>
        <v>0</v>
      </c>
      <c r="AJ1319" s="64">
        <f>IF(INDEX(Standings!$A$2:$C$33,MATCH(Table1[[#This Row],[AwayTeam]],Standings!$A$2:$A$33,0),2)=INDEX(Standings!$A$2:$C$33,MATCH(Table1[[#This Row],[HomeTeam]],Standings!$A$2:$A$33,0),2),1,0)</f>
        <v>1</v>
      </c>
      <c r="AK1319" s="64">
        <f>IF(INDEX(Standings!$A$2:$C$33,MATCH(Table1[[#This Row],[AwayTeam]],Standings!$A$2:$A$33,0),3)=INDEX(Standings!$A$2:$C$33,MATCH(Table1[[#This Row],[HomeTeam]],Standings!$A$2:$A$33,0),3),1,0)</f>
        <v>1</v>
      </c>
      <c r="AL1319" s="64">
        <f>IF(Table1[[#This Row],[InterConf]]=1,IF(Table1[[#This Row],[InterDiv]]=0, 1, 0), 0)</f>
        <v>0</v>
      </c>
      <c r="AM1319" s="64">
        <f>IF(INDEX(Standings!$A$2:$C$33,MATCH(Table1[[#This Row],[AwayTeam]],Standings!$A$2:$A$33,0),2)&lt;&gt;INDEX(Standings!$A$2:$C$33,MATCH(Table1[[#This Row],[HomeTeam]],Standings!$A$2:$A$33,0),2),1,0)</f>
        <v>0</v>
      </c>
      <c r="AN1319" s="64" t="str">
        <f>INDEX(Table2[AWAY_RECORD], MATCH(Table1[[#This Row],[AwayTeam]],Table2[Team], 0), 0)</f>
        <v>1-0-0</v>
      </c>
      <c r="AO1319" s="64" t="str">
        <f>INDEX(Records!$B$2:$AG$33, MATCH(Table1[[#This Row],[AwayTeam]],Records!$A$2:$A$33, 0), MATCH(Table1[[#This Row],[HomeTeam]],Records!$A$2:$A$33, 0))</f>
        <v>0-0-0</v>
      </c>
      <c r="AP1319" s="64" t="str">
        <f>INDEX(Table2[HOME_RECORD], MATCH(Table1[[#This Row],[HomeTeam]],Table2[Team], 0), 0)</f>
        <v>1-0-0</v>
      </c>
      <c r="AQ1319" s="64" t="str">
        <f>INDEX(Records!$B$2:$AG$33, MATCH(Table1[[#This Row],[HomeTeam]],Records!$A$2:$A$33, 0), MATCH(Table1[[#This Row],[AwayTeam]],Records!$A$2:$A$33, 0))</f>
        <v>0-0-0</v>
      </c>
    </row>
    <row r="1320" spans="1:43" x14ac:dyDescent="0.25">
      <c r="A1320" s="1"/>
      <c r="D1320" t="s">
        <v>1688</v>
      </c>
      <c r="E1320" t="s">
        <v>160</v>
      </c>
      <c r="F1320" t="s">
        <v>1692</v>
      </c>
      <c r="G1320" t="s">
        <v>53</v>
      </c>
      <c r="H1320" t="s">
        <v>42</v>
      </c>
      <c r="L132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2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20" s="1"/>
      <c r="T1320" s="64" t="str">
        <f>IF(Table1[[#This Row],[ActualWinner]]="", "", IF(Table1[[#This Row],[AwayTeam]]=Table1[[#This Row],[ActualWinner]],Table1[[#This Row],[HomeTeam]],Table1[[#This Row],[AwayTeam]]))</f>
        <v/>
      </c>
      <c r="U1320" s="64">
        <f>Table1[[#This Row],[ActualAwayScore]]-Table1[[#This Row],[PredictedAwayScore]]</f>
        <v>0</v>
      </c>
      <c r="V1320" s="64">
        <f>Table1[[#This Row],[ActualHomeScore]]-Table1[[#This Row],[PredictedHomeScore]]</f>
        <v>0</v>
      </c>
      <c r="W1320" s="64">
        <f>(0.8*IF(Table1[[#This Row],[CorrectWinnerPrediction]]=1, 1, 0))+(0.1*IF(Table1[[#This Row],[CorrectAwayScorePrediction]]=1, 1, 0))+(0.1*IF(Table1[[#This Row],[CorrectHomeScorePrediction]]=1, 1, 0))</f>
        <v>0</v>
      </c>
      <c r="X132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20" s="64">
        <f>SUMIF(Table1[GameDate], Table1[[#This Row],[GameDate]], Table1[AwayGameGoalDiff])</f>
        <v>0</v>
      </c>
      <c r="AA1320" s="64">
        <f>SUMIF(Table1[GameDate], Table1[[#This Row],[GameDate]], Table1[HomeGameGoalDiff])</f>
        <v>0</v>
      </c>
      <c r="AB1320" s="64">
        <f>IF(ISBLANK(Table1[[#This Row],[ActualResult]]), 0, 1)</f>
        <v>0</v>
      </c>
      <c r="AC1320" s="64">
        <f>IF(ISBLANK(Table1[[#This Row],[ActualResult]]), 0, IF(Table1[[#This Row],[ActualWinner]]=Table1[[#This Row],[PredictedWinner]], 1, 0))</f>
        <v>0</v>
      </c>
      <c r="AD132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2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20" s="64">
        <f>IF(AND(Table1[[#This Row],[GameIsOver]]=1,Table1[[#This Row],[ActualAwayScore]]=0), 1,0)</f>
        <v>0</v>
      </c>
      <c r="AG1320" s="64">
        <f>IF(AND(Table1[[#This Row],[GameIsOver]]=1,Table1[[#This Row],[ActualHomeScore]]=0), 1,0)</f>
        <v>0</v>
      </c>
      <c r="AH1320" s="64">
        <f>IF(Table1[[#This Row],[GameIsOver]]=0,0,IF(Table1[[#This Row],[ActualWinner]]=Table1[[#This Row],[AwayTeam]], 1, 0))</f>
        <v>0</v>
      </c>
      <c r="AI1320" s="64">
        <f>IF(Table1[[#This Row],[GameIsOver]]=0,0,IF(Table1[[#This Row],[ActualWinner]]=Table1[[#This Row],[HomeTeam]], 1, 0))</f>
        <v>0</v>
      </c>
      <c r="AJ1320" s="64">
        <f>IF(INDEX(Standings!$A$2:$C$33,MATCH(Table1[[#This Row],[AwayTeam]],Standings!$A$2:$A$33,0),2)=INDEX(Standings!$A$2:$C$33,MATCH(Table1[[#This Row],[HomeTeam]],Standings!$A$2:$A$33,0),2),1,0)</f>
        <v>1</v>
      </c>
      <c r="AK1320" s="64">
        <f>IF(INDEX(Standings!$A$2:$C$33,MATCH(Table1[[#This Row],[AwayTeam]],Standings!$A$2:$A$33,0),3)=INDEX(Standings!$A$2:$C$33,MATCH(Table1[[#This Row],[HomeTeam]],Standings!$A$2:$A$33,0),3),1,0)</f>
        <v>1</v>
      </c>
      <c r="AL1320" s="64">
        <f>IF(Table1[[#This Row],[InterConf]]=1,IF(Table1[[#This Row],[InterDiv]]=0, 1, 0), 0)</f>
        <v>0</v>
      </c>
      <c r="AM1320" s="64">
        <f>IF(INDEX(Standings!$A$2:$C$33,MATCH(Table1[[#This Row],[AwayTeam]],Standings!$A$2:$A$33,0),2)&lt;&gt;INDEX(Standings!$A$2:$C$33,MATCH(Table1[[#This Row],[HomeTeam]],Standings!$A$2:$A$33,0),2),1,0)</f>
        <v>0</v>
      </c>
      <c r="AN1320" s="64" t="str">
        <f>INDEX(Table2[AWAY_RECORD], MATCH(Table1[[#This Row],[AwayTeam]],Table2[Team], 0), 0)</f>
        <v>0-1-0</v>
      </c>
      <c r="AO1320" s="64" t="str">
        <f>INDEX(Records!$B$2:$AG$33, MATCH(Table1[[#This Row],[AwayTeam]],Records!$A$2:$A$33, 0), MATCH(Table1[[#This Row],[HomeTeam]],Records!$A$2:$A$33, 0))</f>
        <v>0-0-0</v>
      </c>
      <c r="AP1320" s="64" t="str">
        <f>INDEX(Table2[HOME_RECORD], MATCH(Table1[[#This Row],[HomeTeam]],Table2[Team], 0), 0)</f>
        <v>1-0-0</v>
      </c>
      <c r="AQ1320" s="64" t="str">
        <f>INDEX(Records!$B$2:$AG$33, MATCH(Table1[[#This Row],[HomeTeam]],Records!$A$2:$A$33, 0), MATCH(Table1[[#This Row],[AwayTeam]],Records!$A$2:$A$33, 0))</f>
        <v>0-0-0</v>
      </c>
    </row>
    <row r="1321" spans="1:43" x14ac:dyDescent="0.25">
      <c r="A1321" s="1"/>
      <c r="D1321" t="s">
        <v>1688</v>
      </c>
      <c r="E1321" t="s">
        <v>162</v>
      </c>
      <c r="F1321" t="s">
        <v>1693</v>
      </c>
      <c r="G1321" t="s">
        <v>48</v>
      </c>
      <c r="H1321" t="s">
        <v>16</v>
      </c>
      <c r="L132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2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21" s="1"/>
      <c r="T1321" s="64" t="str">
        <f>IF(Table1[[#This Row],[ActualWinner]]="", "", IF(Table1[[#This Row],[AwayTeam]]=Table1[[#This Row],[ActualWinner]],Table1[[#This Row],[HomeTeam]],Table1[[#This Row],[AwayTeam]]))</f>
        <v/>
      </c>
      <c r="U1321" s="64">
        <f>Table1[[#This Row],[ActualAwayScore]]-Table1[[#This Row],[PredictedAwayScore]]</f>
        <v>0</v>
      </c>
      <c r="V1321" s="64">
        <f>Table1[[#This Row],[ActualHomeScore]]-Table1[[#This Row],[PredictedHomeScore]]</f>
        <v>0</v>
      </c>
      <c r="W1321" s="64">
        <f>(0.8*IF(Table1[[#This Row],[CorrectWinnerPrediction]]=1, 1, 0))+(0.1*IF(Table1[[#This Row],[CorrectAwayScorePrediction]]=1, 1, 0))+(0.1*IF(Table1[[#This Row],[CorrectHomeScorePrediction]]=1, 1, 0))</f>
        <v>0</v>
      </c>
      <c r="X132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21" s="64">
        <f>SUMIF(Table1[GameDate], Table1[[#This Row],[GameDate]], Table1[AwayGameGoalDiff])</f>
        <v>0</v>
      </c>
      <c r="AA1321" s="64">
        <f>SUMIF(Table1[GameDate], Table1[[#This Row],[GameDate]], Table1[HomeGameGoalDiff])</f>
        <v>0</v>
      </c>
      <c r="AB1321" s="64">
        <f>IF(ISBLANK(Table1[[#This Row],[ActualResult]]), 0, 1)</f>
        <v>0</v>
      </c>
      <c r="AC1321" s="64">
        <f>IF(ISBLANK(Table1[[#This Row],[ActualResult]]), 0, IF(Table1[[#This Row],[ActualWinner]]=Table1[[#This Row],[PredictedWinner]], 1, 0))</f>
        <v>0</v>
      </c>
      <c r="AD132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2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21" s="64">
        <f>IF(AND(Table1[[#This Row],[GameIsOver]]=1,Table1[[#This Row],[ActualAwayScore]]=0), 1,0)</f>
        <v>0</v>
      </c>
      <c r="AG1321" s="64">
        <f>IF(AND(Table1[[#This Row],[GameIsOver]]=1,Table1[[#This Row],[ActualHomeScore]]=0), 1,0)</f>
        <v>0</v>
      </c>
      <c r="AH1321" s="64">
        <f>IF(Table1[[#This Row],[GameIsOver]]=0,0,IF(Table1[[#This Row],[ActualWinner]]=Table1[[#This Row],[AwayTeam]], 1, 0))</f>
        <v>0</v>
      </c>
      <c r="AI1321" s="64">
        <f>IF(Table1[[#This Row],[GameIsOver]]=0,0,IF(Table1[[#This Row],[ActualWinner]]=Table1[[#This Row],[HomeTeam]], 1, 0))</f>
        <v>0</v>
      </c>
      <c r="AJ1321" s="64">
        <f>IF(INDEX(Standings!$A$2:$C$33,MATCH(Table1[[#This Row],[AwayTeam]],Standings!$A$2:$A$33,0),2)=INDEX(Standings!$A$2:$C$33,MATCH(Table1[[#This Row],[HomeTeam]],Standings!$A$2:$A$33,0),2),1,0)</f>
        <v>1</v>
      </c>
      <c r="AK1321" s="64">
        <f>IF(INDEX(Standings!$A$2:$C$33,MATCH(Table1[[#This Row],[AwayTeam]],Standings!$A$2:$A$33,0),3)=INDEX(Standings!$A$2:$C$33,MATCH(Table1[[#This Row],[HomeTeam]],Standings!$A$2:$A$33,0),3),1,0)</f>
        <v>1</v>
      </c>
      <c r="AL1321" s="64">
        <f>IF(Table1[[#This Row],[InterConf]]=1,IF(Table1[[#This Row],[InterDiv]]=0, 1, 0), 0)</f>
        <v>0</v>
      </c>
      <c r="AM1321" s="64">
        <f>IF(INDEX(Standings!$A$2:$C$33,MATCH(Table1[[#This Row],[AwayTeam]],Standings!$A$2:$A$33,0),2)&lt;&gt;INDEX(Standings!$A$2:$C$33,MATCH(Table1[[#This Row],[HomeTeam]],Standings!$A$2:$A$33,0),2),1,0)</f>
        <v>0</v>
      </c>
      <c r="AN1321" s="64" t="str">
        <f>INDEX(Table2[AWAY_RECORD], MATCH(Table1[[#This Row],[AwayTeam]],Table2[Team], 0), 0)</f>
        <v>0-0-0</v>
      </c>
      <c r="AO1321" s="64" t="str">
        <f>INDEX(Records!$B$2:$AG$33, MATCH(Table1[[#This Row],[AwayTeam]],Records!$A$2:$A$33, 0), MATCH(Table1[[#This Row],[HomeTeam]],Records!$A$2:$A$33, 0))</f>
        <v>0-0-0</v>
      </c>
      <c r="AP1321" s="64" t="str">
        <f>INDEX(Table2[HOME_RECORD], MATCH(Table1[[#This Row],[HomeTeam]],Table2[Team], 0), 0)</f>
        <v>0-0-0</v>
      </c>
      <c r="AQ1321" s="64" t="str">
        <f>INDEX(Records!$B$2:$AG$33, MATCH(Table1[[#This Row],[HomeTeam]],Records!$A$2:$A$33, 0), MATCH(Table1[[#This Row],[AwayTeam]],Records!$A$2:$A$33, 0))</f>
        <v>0-0-0</v>
      </c>
    </row>
    <row r="1322" spans="1:43" x14ac:dyDescent="0.25">
      <c r="A1322" s="1"/>
      <c r="D1322" t="s">
        <v>1688</v>
      </c>
      <c r="E1322" t="s">
        <v>162</v>
      </c>
      <c r="F1322" t="s">
        <v>1694</v>
      </c>
      <c r="G1322" t="s">
        <v>56</v>
      </c>
      <c r="H1322" t="s">
        <v>61</v>
      </c>
      <c r="L132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2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22" s="1"/>
      <c r="T1322" s="64" t="str">
        <f>IF(Table1[[#This Row],[ActualWinner]]="", "", IF(Table1[[#This Row],[AwayTeam]]=Table1[[#This Row],[ActualWinner]],Table1[[#This Row],[HomeTeam]],Table1[[#This Row],[AwayTeam]]))</f>
        <v/>
      </c>
      <c r="U1322" s="64">
        <f>Table1[[#This Row],[ActualAwayScore]]-Table1[[#This Row],[PredictedAwayScore]]</f>
        <v>0</v>
      </c>
      <c r="V1322" s="64">
        <f>Table1[[#This Row],[ActualHomeScore]]-Table1[[#This Row],[PredictedHomeScore]]</f>
        <v>0</v>
      </c>
      <c r="W1322" s="64">
        <f>(0.8*IF(Table1[[#This Row],[CorrectWinnerPrediction]]=1, 1, 0))+(0.1*IF(Table1[[#This Row],[CorrectAwayScorePrediction]]=1, 1, 0))+(0.1*IF(Table1[[#This Row],[CorrectHomeScorePrediction]]=1, 1, 0))</f>
        <v>0</v>
      </c>
      <c r="X132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22" s="64">
        <f>SUMIF(Table1[GameDate], Table1[[#This Row],[GameDate]], Table1[AwayGameGoalDiff])</f>
        <v>0</v>
      </c>
      <c r="AA1322" s="64">
        <f>SUMIF(Table1[GameDate], Table1[[#This Row],[GameDate]], Table1[HomeGameGoalDiff])</f>
        <v>0</v>
      </c>
      <c r="AB1322" s="64">
        <f>IF(ISBLANK(Table1[[#This Row],[ActualResult]]), 0, 1)</f>
        <v>0</v>
      </c>
      <c r="AC1322" s="64">
        <f>IF(ISBLANK(Table1[[#This Row],[ActualResult]]), 0, IF(Table1[[#This Row],[ActualWinner]]=Table1[[#This Row],[PredictedWinner]], 1, 0))</f>
        <v>0</v>
      </c>
      <c r="AD132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2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22" s="64">
        <f>IF(AND(Table1[[#This Row],[GameIsOver]]=1,Table1[[#This Row],[ActualAwayScore]]=0), 1,0)</f>
        <v>0</v>
      </c>
      <c r="AG1322" s="64">
        <f>IF(AND(Table1[[#This Row],[GameIsOver]]=1,Table1[[#This Row],[ActualHomeScore]]=0), 1,0)</f>
        <v>0</v>
      </c>
      <c r="AH1322" s="64">
        <f>IF(Table1[[#This Row],[GameIsOver]]=0,0,IF(Table1[[#This Row],[ActualWinner]]=Table1[[#This Row],[AwayTeam]], 1, 0))</f>
        <v>0</v>
      </c>
      <c r="AI1322" s="64">
        <f>IF(Table1[[#This Row],[GameIsOver]]=0,0,IF(Table1[[#This Row],[ActualWinner]]=Table1[[#This Row],[HomeTeam]], 1, 0))</f>
        <v>0</v>
      </c>
      <c r="AJ1322" s="64">
        <f>IF(INDEX(Standings!$A$2:$C$33,MATCH(Table1[[#This Row],[AwayTeam]],Standings!$A$2:$A$33,0),2)=INDEX(Standings!$A$2:$C$33,MATCH(Table1[[#This Row],[HomeTeam]],Standings!$A$2:$A$33,0),2),1,0)</f>
        <v>1</v>
      </c>
      <c r="AK1322" s="64">
        <f>IF(INDEX(Standings!$A$2:$C$33,MATCH(Table1[[#This Row],[AwayTeam]],Standings!$A$2:$A$33,0),3)=INDEX(Standings!$A$2:$C$33,MATCH(Table1[[#This Row],[HomeTeam]],Standings!$A$2:$A$33,0),3),1,0)</f>
        <v>0</v>
      </c>
      <c r="AL1322" s="64">
        <f>IF(Table1[[#This Row],[InterConf]]=1,IF(Table1[[#This Row],[InterDiv]]=0, 1, 0), 0)</f>
        <v>1</v>
      </c>
      <c r="AM1322" s="64">
        <f>IF(INDEX(Standings!$A$2:$C$33,MATCH(Table1[[#This Row],[AwayTeam]],Standings!$A$2:$A$33,0),2)&lt;&gt;INDEX(Standings!$A$2:$C$33,MATCH(Table1[[#This Row],[HomeTeam]],Standings!$A$2:$A$33,0),2),1,0)</f>
        <v>0</v>
      </c>
      <c r="AN1322" s="64" t="str">
        <f>INDEX(Table2[AWAY_RECORD], MATCH(Table1[[#This Row],[AwayTeam]],Table2[Team], 0), 0)</f>
        <v>1-0-0</v>
      </c>
      <c r="AO1322" s="64" t="str">
        <f>INDEX(Records!$B$2:$AG$33, MATCH(Table1[[#This Row],[AwayTeam]],Records!$A$2:$A$33, 0), MATCH(Table1[[#This Row],[HomeTeam]],Records!$A$2:$A$33, 0))</f>
        <v>0-0-0</v>
      </c>
      <c r="AP1322" s="64" t="str">
        <f>INDEX(Table2[HOME_RECORD], MATCH(Table1[[#This Row],[HomeTeam]],Table2[Team], 0), 0)</f>
        <v>0-0-0</v>
      </c>
      <c r="AQ1322" s="64" t="str">
        <f>INDEX(Records!$B$2:$AG$33, MATCH(Table1[[#This Row],[HomeTeam]],Records!$A$2:$A$33, 0), MATCH(Table1[[#This Row],[AwayTeam]],Records!$A$2:$A$33, 0))</f>
        <v>0-0-0</v>
      </c>
    </row>
    <row r="1323" spans="1:43" x14ac:dyDescent="0.25">
      <c r="A1323" s="1"/>
      <c r="D1323" t="s">
        <v>1688</v>
      </c>
      <c r="E1323" t="s">
        <v>178</v>
      </c>
      <c r="F1323" t="s">
        <v>1695</v>
      </c>
      <c r="G1323" t="s">
        <v>41</v>
      </c>
      <c r="H1323" t="s">
        <v>39</v>
      </c>
      <c r="L132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2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23" s="1"/>
      <c r="T1323" s="64" t="str">
        <f>IF(Table1[[#This Row],[ActualWinner]]="", "", IF(Table1[[#This Row],[AwayTeam]]=Table1[[#This Row],[ActualWinner]],Table1[[#This Row],[HomeTeam]],Table1[[#This Row],[AwayTeam]]))</f>
        <v/>
      </c>
      <c r="U1323" s="64">
        <f>Table1[[#This Row],[ActualAwayScore]]-Table1[[#This Row],[PredictedAwayScore]]</f>
        <v>0</v>
      </c>
      <c r="V1323" s="64">
        <f>Table1[[#This Row],[ActualHomeScore]]-Table1[[#This Row],[PredictedHomeScore]]</f>
        <v>0</v>
      </c>
      <c r="W1323" s="64">
        <f>(0.8*IF(Table1[[#This Row],[CorrectWinnerPrediction]]=1, 1, 0))+(0.1*IF(Table1[[#This Row],[CorrectAwayScorePrediction]]=1, 1, 0))+(0.1*IF(Table1[[#This Row],[CorrectHomeScorePrediction]]=1, 1, 0))</f>
        <v>0</v>
      </c>
      <c r="X132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23" s="64">
        <f>SUMIF(Table1[GameDate], Table1[[#This Row],[GameDate]], Table1[AwayGameGoalDiff])</f>
        <v>0</v>
      </c>
      <c r="AA1323" s="64">
        <f>SUMIF(Table1[GameDate], Table1[[#This Row],[GameDate]], Table1[HomeGameGoalDiff])</f>
        <v>0</v>
      </c>
      <c r="AB1323" s="64">
        <f>IF(ISBLANK(Table1[[#This Row],[ActualResult]]), 0, 1)</f>
        <v>0</v>
      </c>
      <c r="AC1323" s="64">
        <f>IF(ISBLANK(Table1[[#This Row],[ActualResult]]), 0, IF(Table1[[#This Row],[ActualWinner]]=Table1[[#This Row],[PredictedWinner]], 1, 0))</f>
        <v>0</v>
      </c>
      <c r="AD132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2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23" s="64">
        <f>IF(AND(Table1[[#This Row],[GameIsOver]]=1,Table1[[#This Row],[ActualAwayScore]]=0), 1,0)</f>
        <v>0</v>
      </c>
      <c r="AG1323" s="64">
        <f>IF(AND(Table1[[#This Row],[GameIsOver]]=1,Table1[[#This Row],[ActualHomeScore]]=0), 1,0)</f>
        <v>0</v>
      </c>
      <c r="AH1323" s="64">
        <f>IF(Table1[[#This Row],[GameIsOver]]=0,0,IF(Table1[[#This Row],[ActualWinner]]=Table1[[#This Row],[AwayTeam]], 1, 0))</f>
        <v>0</v>
      </c>
      <c r="AI1323" s="64">
        <f>IF(Table1[[#This Row],[GameIsOver]]=0,0,IF(Table1[[#This Row],[ActualWinner]]=Table1[[#This Row],[HomeTeam]], 1, 0))</f>
        <v>0</v>
      </c>
      <c r="AJ1323" s="64">
        <f>IF(INDEX(Standings!$A$2:$C$33,MATCH(Table1[[#This Row],[AwayTeam]],Standings!$A$2:$A$33,0),2)=INDEX(Standings!$A$2:$C$33,MATCH(Table1[[#This Row],[HomeTeam]],Standings!$A$2:$A$33,0),2),1,0)</f>
        <v>1</v>
      </c>
      <c r="AK1323" s="64">
        <f>IF(INDEX(Standings!$A$2:$C$33,MATCH(Table1[[#This Row],[AwayTeam]],Standings!$A$2:$A$33,0),3)=INDEX(Standings!$A$2:$C$33,MATCH(Table1[[#This Row],[HomeTeam]],Standings!$A$2:$A$33,0),3),1,0)</f>
        <v>0</v>
      </c>
      <c r="AL1323" s="64">
        <f>IF(Table1[[#This Row],[InterConf]]=1,IF(Table1[[#This Row],[InterDiv]]=0, 1, 0), 0)</f>
        <v>1</v>
      </c>
      <c r="AM1323" s="64">
        <f>IF(INDEX(Standings!$A$2:$C$33,MATCH(Table1[[#This Row],[AwayTeam]],Standings!$A$2:$A$33,0),2)&lt;&gt;INDEX(Standings!$A$2:$C$33,MATCH(Table1[[#This Row],[HomeTeam]],Standings!$A$2:$A$33,0),2),1,0)</f>
        <v>0</v>
      </c>
      <c r="AN1323" s="64" t="str">
        <f>INDEX(Table2[AWAY_RECORD], MATCH(Table1[[#This Row],[AwayTeam]],Table2[Team], 0), 0)</f>
        <v>0-0-0</v>
      </c>
      <c r="AO1323" s="64" t="str">
        <f>INDEX(Records!$B$2:$AG$33, MATCH(Table1[[#This Row],[AwayTeam]],Records!$A$2:$A$33, 0), MATCH(Table1[[#This Row],[HomeTeam]],Records!$A$2:$A$33, 0))</f>
        <v>0-0-0</v>
      </c>
      <c r="AP1323" s="64" t="str">
        <f>INDEX(Table2[HOME_RECORD], MATCH(Table1[[#This Row],[HomeTeam]],Table2[Team], 0), 0)</f>
        <v>0-1-0</v>
      </c>
      <c r="AQ1323" s="64" t="str">
        <f>INDEX(Records!$B$2:$AG$33, MATCH(Table1[[#This Row],[HomeTeam]],Records!$A$2:$A$33, 0), MATCH(Table1[[#This Row],[AwayTeam]],Records!$A$2:$A$33, 0))</f>
        <v>0-0-0</v>
      </c>
    </row>
    <row r="1324" spans="1:43" x14ac:dyDescent="0.25">
      <c r="A1324" s="1"/>
      <c r="D1324" t="s">
        <v>1688</v>
      </c>
      <c r="E1324" t="s">
        <v>301</v>
      </c>
      <c r="F1324" t="s">
        <v>1696</v>
      </c>
      <c r="G1324" t="s">
        <v>22</v>
      </c>
      <c r="H1324" t="s">
        <v>55</v>
      </c>
      <c r="L132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2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24" s="1"/>
      <c r="T1324" s="64" t="str">
        <f>IF(Table1[[#This Row],[ActualWinner]]="", "", IF(Table1[[#This Row],[AwayTeam]]=Table1[[#This Row],[ActualWinner]],Table1[[#This Row],[HomeTeam]],Table1[[#This Row],[AwayTeam]]))</f>
        <v/>
      </c>
      <c r="U1324" s="64">
        <f>Table1[[#This Row],[ActualAwayScore]]-Table1[[#This Row],[PredictedAwayScore]]</f>
        <v>0</v>
      </c>
      <c r="V1324" s="64">
        <f>Table1[[#This Row],[ActualHomeScore]]-Table1[[#This Row],[PredictedHomeScore]]</f>
        <v>0</v>
      </c>
      <c r="W1324" s="64">
        <f>(0.8*IF(Table1[[#This Row],[CorrectWinnerPrediction]]=1, 1, 0))+(0.1*IF(Table1[[#This Row],[CorrectAwayScorePrediction]]=1, 1, 0))+(0.1*IF(Table1[[#This Row],[CorrectHomeScorePrediction]]=1, 1, 0))</f>
        <v>0</v>
      </c>
      <c r="X132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24" s="64">
        <f>SUMIF(Table1[GameDate], Table1[[#This Row],[GameDate]], Table1[AwayGameGoalDiff])</f>
        <v>0</v>
      </c>
      <c r="AA1324" s="64">
        <f>SUMIF(Table1[GameDate], Table1[[#This Row],[GameDate]], Table1[HomeGameGoalDiff])</f>
        <v>0</v>
      </c>
      <c r="AB1324" s="64">
        <f>IF(ISBLANK(Table1[[#This Row],[ActualResult]]), 0, 1)</f>
        <v>0</v>
      </c>
      <c r="AC1324" s="64">
        <f>IF(ISBLANK(Table1[[#This Row],[ActualResult]]), 0, IF(Table1[[#This Row],[ActualWinner]]=Table1[[#This Row],[PredictedWinner]], 1, 0))</f>
        <v>0</v>
      </c>
      <c r="AD132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2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24" s="64">
        <f>IF(AND(Table1[[#This Row],[GameIsOver]]=1,Table1[[#This Row],[ActualAwayScore]]=0), 1,0)</f>
        <v>0</v>
      </c>
      <c r="AG1324" s="64">
        <f>IF(AND(Table1[[#This Row],[GameIsOver]]=1,Table1[[#This Row],[ActualHomeScore]]=0), 1,0)</f>
        <v>0</v>
      </c>
      <c r="AH1324" s="64">
        <f>IF(Table1[[#This Row],[GameIsOver]]=0,0,IF(Table1[[#This Row],[ActualWinner]]=Table1[[#This Row],[AwayTeam]], 1, 0))</f>
        <v>0</v>
      </c>
      <c r="AI1324" s="64">
        <f>IF(Table1[[#This Row],[GameIsOver]]=0,0,IF(Table1[[#This Row],[ActualWinner]]=Table1[[#This Row],[HomeTeam]], 1, 0))</f>
        <v>0</v>
      </c>
      <c r="AJ1324" s="64">
        <f>IF(INDEX(Standings!$A$2:$C$33,MATCH(Table1[[#This Row],[AwayTeam]],Standings!$A$2:$A$33,0),2)=INDEX(Standings!$A$2:$C$33,MATCH(Table1[[#This Row],[HomeTeam]],Standings!$A$2:$A$33,0),2),1,0)</f>
        <v>1</v>
      </c>
      <c r="AK1324" s="64">
        <f>IF(INDEX(Standings!$A$2:$C$33,MATCH(Table1[[#This Row],[AwayTeam]],Standings!$A$2:$A$33,0),3)=INDEX(Standings!$A$2:$C$33,MATCH(Table1[[#This Row],[HomeTeam]],Standings!$A$2:$A$33,0),3),1,0)</f>
        <v>0</v>
      </c>
      <c r="AL1324" s="64">
        <f>IF(Table1[[#This Row],[InterConf]]=1,IF(Table1[[#This Row],[InterDiv]]=0, 1, 0), 0)</f>
        <v>1</v>
      </c>
      <c r="AM1324" s="64">
        <f>IF(INDEX(Standings!$A$2:$C$33,MATCH(Table1[[#This Row],[AwayTeam]],Standings!$A$2:$A$33,0),2)&lt;&gt;INDEX(Standings!$A$2:$C$33,MATCH(Table1[[#This Row],[HomeTeam]],Standings!$A$2:$A$33,0),2),1,0)</f>
        <v>0</v>
      </c>
      <c r="AN1324" s="64" t="str">
        <f>INDEX(Table2[AWAY_RECORD], MATCH(Table1[[#This Row],[AwayTeam]],Table2[Team], 0), 0)</f>
        <v>0-0-1</v>
      </c>
      <c r="AO1324" s="64" t="str">
        <f>INDEX(Records!$B$2:$AG$33, MATCH(Table1[[#This Row],[AwayTeam]],Records!$A$2:$A$33, 0), MATCH(Table1[[#This Row],[HomeTeam]],Records!$A$2:$A$33, 0))</f>
        <v>0-0-0</v>
      </c>
      <c r="AP1324" s="64" t="str">
        <f>INDEX(Table2[HOME_RECORD], MATCH(Table1[[#This Row],[HomeTeam]],Table2[Team], 0), 0)</f>
        <v>0-1-0</v>
      </c>
      <c r="AQ1324" s="64" t="str">
        <f>INDEX(Records!$B$2:$AG$33, MATCH(Table1[[#This Row],[HomeTeam]],Records!$A$2:$A$33, 0), MATCH(Table1[[#This Row],[AwayTeam]],Records!$A$2:$A$33, 0))</f>
        <v>0-0-0</v>
      </c>
    </row>
    <row r="1325" spans="1:43" x14ac:dyDescent="0.25">
      <c r="A1325" s="1"/>
      <c r="D1325" t="s">
        <v>1688</v>
      </c>
      <c r="E1325" t="s">
        <v>164</v>
      </c>
      <c r="F1325" t="s">
        <v>1697</v>
      </c>
      <c r="G1325" t="s">
        <v>25</v>
      </c>
      <c r="H1325" t="s">
        <v>46</v>
      </c>
      <c r="L132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2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25" s="1"/>
      <c r="T1325" s="64" t="str">
        <f>IF(Table1[[#This Row],[ActualWinner]]="", "", IF(Table1[[#This Row],[AwayTeam]]=Table1[[#This Row],[ActualWinner]],Table1[[#This Row],[HomeTeam]],Table1[[#This Row],[AwayTeam]]))</f>
        <v/>
      </c>
      <c r="U1325" s="64">
        <f>Table1[[#This Row],[ActualAwayScore]]-Table1[[#This Row],[PredictedAwayScore]]</f>
        <v>0</v>
      </c>
      <c r="V1325" s="64">
        <f>Table1[[#This Row],[ActualHomeScore]]-Table1[[#This Row],[PredictedHomeScore]]</f>
        <v>0</v>
      </c>
      <c r="W1325" s="64">
        <f>(0.8*IF(Table1[[#This Row],[CorrectWinnerPrediction]]=1, 1, 0))+(0.1*IF(Table1[[#This Row],[CorrectAwayScorePrediction]]=1, 1, 0))+(0.1*IF(Table1[[#This Row],[CorrectHomeScorePrediction]]=1, 1, 0))</f>
        <v>0</v>
      </c>
      <c r="X132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25" s="64">
        <f>SUMIF(Table1[GameDate], Table1[[#This Row],[GameDate]], Table1[AwayGameGoalDiff])</f>
        <v>0</v>
      </c>
      <c r="AA1325" s="64">
        <f>SUMIF(Table1[GameDate], Table1[[#This Row],[GameDate]], Table1[HomeGameGoalDiff])</f>
        <v>0</v>
      </c>
      <c r="AB1325" s="64">
        <f>IF(ISBLANK(Table1[[#This Row],[ActualResult]]), 0, 1)</f>
        <v>0</v>
      </c>
      <c r="AC1325" s="64">
        <f>IF(ISBLANK(Table1[[#This Row],[ActualResult]]), 0, IF(Table1[[#This Row],[ActualWinner]]=Table1[[#This Row],[PredictedWinner]], 1, 0))</f>
        <v>0</v>
      </c>
      <c r="AD132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2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25" s="64">
        <f>IF(AND(Table1[[#This Row],[GameIsOver]]=1,Table1[[#This Row],[ActualAwayScore]]=0), 1,0)</f>
        <v>0</v>
      </c>
      <c r="AG1325" s="64">
        <f>IF(AND(Table1[[#This Row],[GameIsOver]]=1,Table1[[#This Row],[ActualHomeScore]]=0), 1,0)</f>
        <v>0</v>
      </c>
      <c r="AH1325" s="64">
        <f>IF(Table1[[#This Row],[GameIsOver]]=0,0,IF(Table1[[#This Row],[ActualWinner]]=Table1[[#This Row],[AwayTeam]], 1, 0))</f>
        <v>0</v>
      </c>
      <c r="AI1325" s="64">
        <f>IF(Table1[[#This Row],[GameIsOver]]=0,0,IF(Table1[[#This Row],[ActualWinner]]=Table1[[#This Row],[HomeTeam]], 1, 0))</f>
        <v>0</v>
      </c>
      <c r="AJ1325" s="64">
        <f>IF(INDEX(Standings!$A$2:$C$33,MATCH(Table1[[#This Row],[AwayTeam]],Standings!$A$2:$A$33,0),2)=INDEX(Standings!$A$2:$C$33,MATCH(Table1[[#This Row],[HomeTeam]],Standings!$A$2:$A$33,0),2),1,0)</f>
        <v>1</v>
      </c>
      <c r="AK1325" s="64">
        <f>IF(INDEX(Standings!$A$2:$C$33,MATCH(Table1[[#This Row],[AwayTeam]],Standings!$A$2:$A$33,0),3)=INDEX(Standings!$A$2:$C$33,MATCH(Table1[[#This Row],[HomeTeam]],Standings!$A$2:$A$33,0),3),1,0)</f>
        <v>1</v>
      </c>
      <c r="AL1325" s="64">
        <f>IF(Table1[[#This Row],[InterConf]]=1,IF(Table1[[#This Row],[InterDiv]]=0, 1, 0), 0)</f>
        <v>0</v>
      </c>
      <c r="AM1325" s="64">
        <f>IF(INDEX(Standings!$A$2:$C$33,MATCH(Table1[[#This Row],[AwayTeam]],Standings!$A$2:$A$33,0),2)&lt;&gt;INDEX(Standings!$A$2:$C$33,MATCH(Table1[[#This Row],[HomeTeam]],Standings!$A$2:$A$33,0),2),1,0)</f>
        <v>0</v>
      </c>
      <c r="AN1325" s="64" t="str">
        <f>INDEX(Table2[AWAY_RECORD], MATCH(Table1[[#This Row],[AwayTeam]],Table2[Team], 0), 0)</f>
        <v>0-0-0</v>
      </c>
      <c r="AO1325" s="64" t="str">
        <f>INDEX(Records!$B$2:$AG$33, MATCH(Table1[[#This Row],[AwayTeam]],Records!$A$2:$A$33, 0), MATCH(Table1[[#This Row],[HomeTeam]],Records!$A$2:$A$33, 0))</f>
        <v>0-0-0</v>
      </c>
      <c r="AP1325" s="64" t="str">
        <f>INDEX(Table2[HOME_RECORD], MATCH(Table1[[#This Row],[HomeTeam]],Table2[Team], 0), 0)</f>
        <v>0-0-0</v>
      </c>
      <c r="AQ1325" s="64" t="str">
        <f>INDEX(Records!$B$2:$AG$33, MATCH(Table1[[#This Row],[HomeTeam]],Records!$A$2:$A$33, 0), MATCH(Table1[[#This Row],[AwayTeam]],Records!$A$2:$A$33, 0))</f>
        <v>0-0-0</v>
      </c>
    </row>
    <row r="1326" spans="1:43" x14ac:dyDescent="0.25">
      <c r="A1326" s="1"/>
      <c r="D1326" t="s">
        <v>1698</v>
      </c>
      <c r="E1326" t="s">
        <v>160</v>
      </c>
      <c r="F1326" t="s">
        <v>1699</v>
      </c>
      <c r="G1326" t="s">
        <v>54</v>
      </c>
      <c r="H1326" t="s">
        <v>44</v>
      </c>
      <c r="L132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2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26" s="1"/>
      <c r="T1326" s="64" t="str">
        <f>IF(Table1[[#This Row],[ActualWinner]]="", "", IF(Table1[[#This Row],[AwayTeam]]=Table1[[#This Row],[ActualWinner]],Table1[[#This Row],[HomeTeam]],Table1[[#This Row],[AwayTeam]]))</f>
        <v/>
      </c>
      <c r="U1326" s="64">
        <f>Table1[[#This Row],[ActualAwayScore]]-Table1[[#This Row],[PredictedAwayScore]]</f>
        <v>0</v>
      </c>
      <c r="V1326" s="64">
        <f>Table1[[#This Row],[ActualHomeScore]]-Table1[[#This Row],[PredictedHomeScore]]</f>
        <v>0</v>
      </c>
      <c r="W1326" s="64">
        <f>(0.8*IF(Table1[[#This Row],[CorrectWinnerPrediction]]=1, 1, 0))+(0.1*IF(Table1[[#This Row],[CorrectAwayScorePrediction]]=1, 1, 0))+(0.1*IF(Table1[[#This Row],[CorrectHomeScorePrediction]]=1, 1, 0))</f>
        <v>0</v>
      </c>
      <c r="X132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26" s="64">
        <f>SUMIF(Table1[GameDate], Table1[[#This Row],[GameDate]], Table1[AwayGameGoalDiff])</f>
        <v>0</v>
      </c>
      <c r="AA1326" s="64">
        <f>SUMIF(Table1[GameDate], Table1[[#This Row],[GameDate]], Table1[HomeGameGoalDiff])</f>
        <v>0</v>
      </c>
      <c r="AB1326" s="64">
        <f>IF(ISBLANK(Table1[[#This Row],[ActualResult]]), 0, 1)</f>
        <v>0</v>
      </c>
      <c r="AC1326" s="64">
        <f>IF(ISBLANK(Table1[[#This Row],[ActualResult]]), 0, IF(Table1[[#This Row],[ActualWinner]]=Table1[[#This Row],[PredictedWinner]], 1, 0))</f>
        <v>0</v>
      </c>
      <c r="AD132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2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26" s="64">
        <f>IF(AND(Table1[[#This Row],[GameIsOver]]=1,Table1[[#This Row],[ActualAwayScore]]=0), 1,0)</f>
        <v>0</v>
      </c>
      <c r="AG1326" s="64">
        <f>IF(AND(Table1[[#This Row],[GameIsOver]]=1,Table1[[#This Row],[ActualHomeScore]]=0), 1,0)</f>
        <v>0</v>
      </c>
      <c r="AH1326" s="64">
        <f>IF(Table1[[#This Row],[GameIsOver]]=0,0,IF(Table1[[#This Row],[ActualWinner]]=Table1[[#This Row],[AwayTeam]], 1, 0))</f>
        <v>0</v>
      </c>
      <c r="AI1326" s="64">
        <f>IF(Table1[[#This Row],[GameIsOver]]=0,0,IF(Table1[[#This Row],[ActualWinner]]=Table1[[#This Row],[HomeTeam]], 1, 0))</f>
        <v>0</v>
      </c>
      <c r="AJ1326" s="64">
        <f>IF(INDEX(Standings!$A$2:$C$33,MATCH(Table1[[#This Row],[AwayTeam]],Standings!$A$2:$A$33,0),2)=INDEX(Standings!$A$2:$C$33,MATCH(Table1[[#This Row],[HomeTeam]],Standings!$A$2:$A$33,0),2),1,0)</f>
        <v>1</v>
      </c>
      <c r="AK1326" s="64">
        <f>IF(INDEX(Standings!$A$2:$C$33,MATCH(Table1[[#This Row],[AwayTeam]],Standings!$A$2:$A$33,0),3)=INDEX(Standings!$A$2:$C$33,MATCH(Table1[[#This Row],[HomeTeam]],Standings!$A$2:$A$33,0),3),1,0)</f>
        <v>0</v>
      </c>
      <c r="AL1326" s="64">
        <f>IF(Table1[[#This Row],[InterConf]]=1,IF(Table1[[#This Row],[InterDiv]]=0, 1, 0), 0)</f>
        <v>1</v>
      </c>
      <c r="AM1326" s="64">
        <f>IF(INDEX(Standings!$A$2:$C$33,MATCH(Table1[[#This Row],[AwayTeam]],Standings!$A$2:$A$33,0),2)&lt;&gt;INDEX(Standings!$A$2:$C$33,MATCH(Table1[[#This Row],[HomeTeam]],Standings!$A$2:$A$33,0),2),1,0)</f>
        <v>0</v>
      </c>
      <c r="AN1326" s="64" t="str">
        <f>INDEX(Table2[AWAY_RECORD], MATCH(Table1[[#This Row],[AwayTeam]],Table2[Team], 0), 0)</f>
        <v>0-0-1</v>
      </c>
      <c r="AO1326" s="64" t="str">
        <f>INDEX(Records!$B$2:$AG$33, MATCH(Table1[[#This Row],[AwayTeam]],Records!$A$2:$A$33, 0), MATCH(Table1[[#This Row],[HomeTeam]],Records!$A$2:$A$33, 0))</f>
        <v>0-0-0</v>
      </c>
      <c r="AP1326" s="64" t="str">
        <f>INDEX(Table2[HOME_RECORD], MATCH(Table1[[#This Row],[HomeTeam]],Table2[Team], 0), 0)</f>
        <v>0-0-1</v>
      </c>
      <c r="AQ1326" s="64" t="str">
        <f>INDEX(Records!$B$2:$AG$33, MATCH(Table1[[#This Row],[HomeTeam]],Records!$A$2:$A$33, 0), MATCH(Table1[[#This Row],[AwayTeam]],Records!$A$2:$A$33, 0))</f>
        <v>0-0-0</v>
      </c>
    </row>
    <row r="1327" spans="1:43" x14ac:dyDescent="0.25">
      <c r="A1327" s="1"/>
      <c r="D1327" t="s">
        <v>1698</v>
      </c>
      <c r="E1327" t="s">
        <v>160</v>
      </c>
      <c r="F1327" t="s">
        <v>1700</v>
      </c>
      <c r="G1327" t="s">
        <v>37</v>
      </c>
      <c r="H1327" t="s">
        <v>17</v>
      </c>
      <c r="L132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2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27" s="1"/>
      <c r="T1327" s="64" t="str">
        <f>IF(Table1[[#This Row],[ActualWinner]]="", "", IF(Table1[[#This Row],[AwayTeam]]=Table1[[#This Row],[ActualWinner]],Table1[[#This Row],[HomeTeam]],Table1[[#This Row],[AwayTeam]]))</f>
        <v/>
      </c>
      <c r="U1327" s="64">
        <f>Table1[[#This Row],[ActualAwayScore]]-Table1[[#This Row],[PredictedAwayScore]]</f>
        <v>0</v>
      </c>
      <c r="V1327" s="64">
        <f>Table1[[#This Row],[ActualHomeScore]]-Table1[[#This Row],[PredictedHomeScore]]</f>
        <v>0</v>
      </c>
      <c r="W1327" s="64">
        <f>(0.8*IF(Table1[[#This Row],[CorrectWinnerPrediction]]=1, 1, 0))+(0.1*IF(Table1[[#This Row],[CorrectAwayScorePrediction]]=1, 1, 0))+(0.1*IF(Table1[[#This Row],[CorrectHomeScorePrediction]]=1, 1, 0))</f>
        <v>0</v>
      </c>
      <c r="X132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27" s="64">
        <f>SUMIF(Table1[GameDate], Table1[[#This Row],[GameDate]], Table1[AwayGameGoalDiff])</f>
        <v>0</v>
      </c>
      <c r="AA1327" s="64">
        <f>SUMIF(Table1[GameDate], Table1[[#This Row],[GameDate]], Table1[HomeGameGoalDiff])</f>
        <v>0</v>
      </c>
      <c r="AB1327" s="64">
        <f>IF(ISBLANK(Table1[[#This Row],[ActualResult]]), 0, 1)</f>
        <v>0</v>
      </c>
      <c r="AC1327" s="64">
        <f>IF(ISBLANK(Table1[[#This Row],[ActualResult]]), 0, IF(Table1[[#This Row],[ActualWinner]]=Table1[[#This Row],[PredictedWinner]], 1, 0))</f>
        <v>0</v>
      </c>
      <c r="AD132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2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27" s="64">
        <f>IF(AND(Table1[[#This Row],[GameIsOver]]=1,Table1[[#This Row],[ActualAwayScore]]=0), 1,0)</f>
        <v>0</v>
      </c>
      <c r="AG1327" s="64">
        <f>IF(AND(Table1[[#This Row],[GameIsOver]]=1,Table1[[#This Row],[ActualHomeScore]]=0), 1,0)</f>
        <v>0</v>
      </c>
      <c r="AH1327" s="64">
        <f>IF(Table1[[#This Row],[GameIsOver]]=0,0,IF(Table1[[#This Row],[ActualWinner]]=Table1[[#This Row],[AwayTeam]], 1, 0))</f>
        <v>0</v>
      </c>
      <c r="AI1327" s="64">
        <f>IF(Table1[[#This Row],[GameIsOver]]=0,0,IF(Table1[[#This Row],[ActualWinner]]=Table1[[#This Row],[HomeTeam]], 1, 0))</f>
        <v>0</v>
      </c>
      <c r="AJ1327" s="64">
        <f>IF(INDEX(Standings!$A$2:$C$33,MATCH(Table1[[#This Row],[AwayTeam]],Standings!$A$2:$A$33,0),2)=INDEX(Standings!$A$2:$C$33,MATCH(Table1[[#This Row],[HomeTeam]],Standings!$A$2:$A$33,0),2),1,0)</f>
        <v>1</v>
      </c>
      <c r="AK1327" s="64">
        <f>IF(INDEX(Standings!$A$2:$C$33,MATCH(Table1[[#This Row],[AwayTeam]],Standings!$A$2:$A$33,0),3)=INDEX(Standings!$A$2:$C$33,MATCH(Table1[[#This Row],[HomeTeam]],Standings!$A$2:$A$33,0),3),1,0)</f>
        <v>1</v>
      </c>
      <c r="AL1327" s="64">
        <f>IF(Table1[[#This Row],[InterConf]]=1,IF(Table1[[#This Row],[InterDiv]]=0, 1, 0), 0)</f>
        <v>0</v>
      </c>
      <c r="AM1327" s="64">
        <f>IF(INDEX(Standings!$A$2:$C$33,MATCH(Table1[[#This Row],[AwayTeam]],Standings!$A$2:$A$33,0),2)&lt;&gt;INDEX(Standings!$A$2:$C$33,MATCH(Table1[[#This Row],[HomeTeam]],Standings!$A$2:$A$33,0),2),1,0)</f>
        <v>0</v>
      </c>
      <c r="AN1327" s="64" t="str">
        <f>INDEX(Table2[AWAY_RECORD], MATCH(Table1[[#This Row],[AwayTeam]],Table2[Team], 0), 0)</f>
        <v>0-0-1</v>
      </c>
      <c r="AO1327" s="64" t="str">
        <f>INDEX(Records!$B$2:$AG$33, MATCH(Table1[[#This Row],[AwayTeam]],Records!$A$2:$A$33, 0), MATCH(Table1[[#This Row],[HomeTeam]],Records!$A$2:$A$33, 0))</f>
        <v>0-0-0</v>
      </c>
      <c r="AP1327" s="64" t="str">
        <f>INDEX(Table2[HOME_RECORD], MATCH(Table1[[#This Row],[HomeTeam]],Table2[Team], 0), 0)</f>
        <v>0-0-0</v>
      </c>
      <c r="AQ1327" s="64" t="str">
        <f>INDEX(Records!$B$2:$AG$33, MATCH(Table1[[#This Row],[HomeTeam]],Records!$A$2:$A$33, 0), MATCH(Table1[[#This Row],[AwayTeam]],Records!$A$2:$A$33, 0))</f>
        <v>0-0-0</v>
      </c>
    </row>
    <row r="1328" spans="1:43" x14ac:dyDescent="0.25">
      <c r="A1328" s="1"/>
      <c r="D1328" t="s">
        <v>1698</v>
      </c>
      <c r="E1328" t="s">
        <v>160</v>
      </c>
      <c r="F1328" t="s">
        <v>1701</v>
      </c>
      <c r="G1328" t="s">
        <v>23</v>
      </c>
      <c r="H1328" t="s">
        <v>60</v>
      </c>
      <c r="L132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2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28" s="1"/>
      <c r="T1328" s="64" t="str">
        <f>IF(Table1[[#This Row],[ActualWinner]]="", "", IF(Table1[[#This Row],[AwayTeam]]=Table1[[#This Row],[ActualWinner]],Table1[[#This Row],[HomeTeam]],Table1[[#This Row],[AwayTeam]]))</f>
        <v/>
      </c>
      <c r="U1328" s="64">
        <f>Table1[[#This Row],[ActualAwayScore]]-Table1[[#This Row],[PredictedAwayScore]]</f>
        <v>0</v>
      </c>
      <c r="V1328" s="64">
        <f>Table1[[#This Row],[ActualHomeScore]]-Table1[[#This Row],[PredictedHomeScore]]</f>
        <v>0</v>
      </c>
      <c r="W1328" s="64">
        <f>(0.8*IF(Table1[[#This Row],[CorrectWinnerPrediction]]=1, 1, 0))+(0.1*IF(Table1[[#This Row],[CorrectAwayScorePrediction]]=1, 1, 0))+(0.1*IF(Table1[[#This Row],[CorrectHomeScorePrediction]]=1, 1, 0))</f>
        <v>0</v>
      </c>
      <c r="X132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28" s="64">
        <f>SUMIF(Table1[GameDate], Table1[[#This Row],[GameDate]], Table1[AwayGameGoalDiff])</f>
        <v>0</v>
      </c>
      <c r="AA1328" s="64">
        <f>SUMIF(Table1[GameDate], Table1[[#This Row],[GameDate]], Table1[HomeGameGoalDiff])</f>
        <v>0</v>
      </c>
      <c r="AB1328" s="64">
        <f>IF(ISBLANK(Table1[[#This Row],[ActualResult]]), 0, 1)</f>
        <v>0</v>
      </c>
      <c r="AC1328" s="64">
        <f>IF(ISBLANK(Table1[[#This Row],[ActualResult]]), 0, IF(Table1[[#This Row],[ActualWinner]]=Table1[[#This Row],[PredictedWinner]], 1, 0))</f>
        <v>0</v>
      </c>
      <c r="AD132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2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28" s="64">
        <f>IF(AND(Table1[[#This Row],[GameIsOver]]=1,Table1[[#This Row],[ActualAwayScore]]=0), 1,0)</f>
        <v>0</v>
      </c>
      <c r="AG1328" s="64">
        <f>IF(AND(Table1[[#This Row],[GameIsOver]]=1,Table1[[#This Row],[ActualHomeScore]]=0), 1,0)</f>
        <v>0</v>
      </c>
      <c r="AH1328" s="64">
        <f>IF(Table1[[#This Row],[GameIsOver]]=0,0,IF(Table1[[#This Row],[ActualWinner]]=Table1[[#This Row],[AwayTeam]], 1, 0))</f>
        <v>0</v>
      </c>
      <c r="AI1328" s="64">
        <f>IF(Table1[[#This Row],[GameIsOver]]=0,0,IF(Table1[[#This Row],[ActualWinner]]=Table1[[#This Row],[HomeTeam]], 1, 0))</f>
        <v>0</v>
      </c>
      <c r="AJ1328" s="64">
        <f>IF(INDEX(Standings!$A$2:$C$33,MATCH(Table1[[#This Row],[AwayTeam]],Standings!$A$2:$A$33,0),2)=INDEX(Standings!$A$2:$C$33,MATCH(Table1[[#This Row],[HomeTeam]],Standings!$A$2:$A$33,0),2),1,0)</f>
        <v>1</v>
      </c>
      <c r="AK1328" s="64">
        <f>IF(INDEX(Standings!$A$2:$C$33,MATCH(Table1[[#This Row],[AwayTeam]],Standings!$A$2:$A$33,0),3)=INDEX(Standings!$A$2:$C$33,MATCH(Table1[[#This Row],[HomeTeam]],Standings!$A$2:$A$33,0),3),1,0)</f>
        <v>0</v>
      </c>
      <c r="AL1328" s="64">
        <f>IF(Table1[[#This Row],[InterConf]]=1,IF(Table1[[#This Row],[InterDiv]]=0, 1, 0), 0)</f>
        <v>1</v>
      </c>
      <c r="AM1328" s="64">
        <f>IF(INDEX(Standings!$A$2:$C$33,MATCH(Table1[[#This Row],[AwayTeam]],Standings!$A$2:$A$33,0),2)&lt;&gt;INDEX(Standings!$A$2:$C$33,MATCH(Table1[[#This Row],[HomeTeam]],Standings!$A$2:$A$33,0),2),1,0)</f>
        <v>0</v>
      </c>
      <c r="AN1328" s="64" t="str">
        <f>INDEX(Table2[AWAY_RECORD], MATCH(Table1[[#This Row],[AwayTeam]],Table2[Team], 0), 0)</f>
        <v>0-0-1</v>
      </c>
      <c r="AO1328" s="64" t="str">
        <f>INDEX(Records!$B$2:$AG$33, MATCH(Table1[[#This Row],[AwayTeam]],Records!$A$2:$A$33, 0), MATCH(Table1[[#This Row],[HomeTeam]],Records!$A$2:$A$33, 0))</f>
        <v>0-0-0</v>
      </c>
      <c r="AP1328" s="64" t="str">
        <f>INDEX(Table2[HOME_RECORD], MATCH(Table1[[#This Row],[HomeTeam]],Table2[Team], 0), 0)</f>
        <v>1-0-0</v>
      </c>
      <c r="AQ1328" s="64" t="str">
        <f>INDEX(Records!$B$2:$AG$33, MATCH(Table1[[#This Row],[HomeTeam]],Records!$A$2:$A$33, 0), MATCH(Table1[[#This Row],[AwayTeam]],Records!$A$2:$A$33, 0))</f>
        <v>0-0-0</v>
      </c>
    </row>
    <row r="1329" spans="1:43" x14ac:dyDescent="0.25">
      <c r="A1329" s="1"/>
      <c r="D1329" t="s">
        <v>1698</v>
      </c>
      <c r="E1329" t="s">
        <v>162</v>
      </c>
      <c r="F1329" t="s">
        <v>1702</v>
      </c>
      <c r="G1329" t="s">
        <v>58</v>
      </c>
      <c r="H1329" t="s">
        <v>43</v>
      </c>
      <c r="L132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2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29" s="1"/>
      <c r="T1329" s="64" t="str">
        <f>IF(Table1[[#This Row],[ActualWinner]]="", "", IF(Table1[[#This Row],[AwayTeam]]=Table1[[#This Row],[ActualWinner]],Table1[[#This Row],[HomeTeam]],Table1[[#This Row],[AwayTeam]]))</f>
        <v/>
      </c>
      <c r="U1329" s="64">
        <f>Table1[[#This Row],[ActualAwayScore]]-Table1[[#This Row],[PredictedAwayScore]]</f>
        <v>0</v>
      </c>
      <c r="V1329" s="64">
        <f>Table1[[#This Row],[ActualHomeScore]]-Table1[[#This Row],[PredictedHomeScore]]</f>
        <v>0</v>
      </c>
      <c r="W1329" s="64">
        <f>(0.8*IF(Table1[[#This Row],[CorrectWinnerPrediction]]=1, 1, 0))+(0.1*IF(Table1[[#This Row],[CorrectAwayScorePrediction]]=1, 1, 0))+(0.1*IF(Table1[[#This Row],[CorrectHomeScorePrediction]]=1, 1, 0))</f>
        <v>0</v>
      </c>
      <c r="X132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29" s="64">
        <f>SUMIF(Table1[GameDate], Table1[[#This Row],[GameDate]], Table1[AwayGameGoalDiff])</f>
        <v>0</v>
      </c>
      <c r="AA1329" s="64">
        <f>SUMIF(Table1[GameDate], Table1[[#This Row],[GameDate]], Table1[HomeGameGoalDiff])</f>
        <v>0</v>
      </c>
      <c r="AB1329" s="64">
        <f>IF(ISBLANK(Table1[[#This Row],[ActualResult]]), 0, 1)</f>
        <v>0</v>
      </c>
      <c r="AC1329" s="64">
        <f>IF(ISBLANK(Table1[[#This Row],[ActualResult]]), 0, IF(Table1[[#This Row],[ActualWinner]]=Table1[[#This Row],[PredictedWinner]], 1, 0))</f>
        <v>0</v>
      </c>
      <c r="AD132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2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29" s="64">
        <f>IF(AND(Table1[[#This Row],[GameIsOver]]=1,Table1[[#This Row],[ActualAwayScore]]=0), 1,0)</f>
        <v>0</v>
      </c>
      <c r="AG1329" s="64">
        <f>IF(AND(Table1[[#This Row],[GameIsOver]]=1,Table1[[#This Row],[ActualHomeScore]]=0), 1,0)</f>
        <v>0</v>
      </c>
      <c r="AH1329" s="64">
        <f>IF(Table1[[#This Row],[GameIsOver]]=0,0,IF(Table1[[#This Row],[ActualWinner]]=Table1[[#This Row],[AwayTeam]], 1, 0))</f>
        <v>0</v>
      </c>
      <c r="AI1329" s="64">
        <f>IF(Table1[[#This Row],[GameIsOver]]=0,0,IF(Table1[[#This Row],[ActualWinner]]=Table1[[#This Row],[HomeTeam]], 1, 0))</f>
        <v>0</v>
      </c>
      <c r="AJ1329" s="64">
        <f>IF(INDEX(Standings!$A$2:$C$33,MATCH(Table1[[#This Row],[AwayTeam]],Standings!$A$2:$A$33,0),2)=INDEX(Standings!$A$2:$C$33,MATCH(Table1[[#This Row],[HomeTeam]],Standings!$A$2:$A$33,0),2),1,0)</f>
        <v>1</v>
      </c>
      <c r="AK1329" s="64">
        <f>IF(INDEX(Standings!$A$2:$C$33,MATCH(Table1[[#This Row],[AwayTeam]],Standings!$A$2:$A$33,0),3)=INDEX(Standings!$A$2:$C$33,MATCH(Table1[[#This Row],[HomeTeam]],Standings!$A$2:$A$33,0),3),1,0)</f>
        <v>1</v>
      </c>
      <c r="AL1329" s="64">
        <f>IF(Table1[[#This Row],[InterConf]]=1,IF(Table1[[#This Row],[InterDiv]]=0, 1, 0), 0)</f>
        <v>0</v>
      </c>
      <c r="AM1329" s="64">
        <f>IF(INDEX(Standings!$A$2:$C$33,MATCH(Table1[[#This Row],[AwayTeam]],Standings!$A$2:$A$33,0),2)&lt;&gt;INDEX(Standings!$A$2:$C$33,MATCH(Table1[[#This Row],[HomeTeam]],Standings!$A$2:$A$33,0),2),1,0)</f>
        <v>0</v>
      </c>
      <c r="AN1329" s="64" t="str">
        <f>INDEX(Table2[AWAY_RECORD], MATCH(Table1[[#This Row],[AwayTeam]],Table2[Team], 0), 0)</f>
        <v>0-0-0</v>
      </c>
      <c r="AO1329" s="64" t="str">
        <f>INDEX(Records!$B$2:$AG$33, MATCH(Table1[[#This Row],[AwayTeam]],Records!$A$2:$A$33, 0), MATCH(Table1[[#This Row],[HomeTeam]],Records!$A$2:$A$33, 0))</f>
        <v>0-0-0</v>
      </c>
      <c r="AP1329" s="64" t="str">
        <f>INDEX(Table2[HOME_RECORD], MATCH(Table1[[#This Row],[HomeTeam]],Table2[Team], 0), 0)</f>
        <v>0-0-0</v>
      </c>
      <c r="AQ1329" s="64" t="str">
        <f>INDEX(Records!$B$2:$AG$33, MATCH(Table1[[#This Row],[HomeTeam]],Records!$A$2:$A$33, 0), MATCH(Table1[[#This Row],[AwayTeam]],Records!$A$2:$A$33, 0))</f>
        <v>0-0-0</v>
      </c>
    </row>
    <row r="1330" spans="1:43" x14ac:dyDescent="0.25">
      <c r="A1330" s="1"/>
      <c r="D1330" t="s">
        <v>1703</v>
      </c>
      <c r="E1330" t="s">
        <v>1644</v>
      </c>
      <c r="F1330" t="s">
        <v>1704</v>
      </c>
      <c r="G1330" t="s">
        <v>59</v>
      </c>
      <c r="H1330" t="s">
        <v>53</v>
      </c>
      <c r="L133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3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30" s="1"/>
      <c r="T1330" s="64" t="str">
        <f>IF(Table1[[#This Row],[ActualWinner]]="", "", IF(Table1[[#This Row],[AwayTeam]]=Table1[[#This Row],[ActualWinner]],Table1[[#This Row],[HomeTeam]],Table1[[#This Row],[AwayTeam]]))</f>
        <v/>
      </c>
      <c r="U1330" s="64">
        <f>Table1[[#This Row],[ActualAwayScore]]-Table1[[#This Row],[PredictedAwayScore]]</f>
        <v>0</v>
      </c>
      <c r="V1330" s="64">
        <f>Table1[[#This Row],[ActualHomeScore]]-Table1[[#This Row],[PredictedHomeScore]]</f>
        <v>0</v>
      </c>
      <c r="W1330" s="64">
        <f>(0.8*IF(Table1[[#This Row],[CorrectWinnerPrediction]]=1, 1, 0))+(0.1*IF(Table1[[#This Row],[CorrectAwayScorePrediction]]=1, 1, 0))+(0.1*IF(Table1[[#This Row],[CorrectHomeScorePrediction]]=1, 1, 0))</f>
        <v>0</v>
      </c>
      <c r="X133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30" s="64">
        <f>SUMIF(Table1[GameDate], Table1[[#This Row],[GameDate]], Table1[AwayGameGoalDiff])</f>
        <v>0</v>
      </c>
      <c r="AA1330" s="64">
        <f>SUMIF(Table1[GameDate], Table1[[#This Row],[GameDate]], Table1[HomeGameGoalDiff])</f>
        <v>0</v>
      </c>
      <c r="AB1330" s="64">
        <f>IF(ISBLANK(Table1[[#This Row],[ActualResult]]), 0, 1)</f>
        <v>0</v>
      </c>
      <c r="AC1330" s="64">
        <f>IF(ISBLANK(Table1[[#This Row],[ActualResult]]), 0, IF(Table1[[#This Row],[ActualWinner]]=Table1[[#This Row],[PredictedWinner]], 1, 0))</f>
        <v>0</v>
      </c>
      <c r="AD133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3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30" s="64">
        <f>IF(AND(Table1[[#This Row],[GameIsOver]]=1,Table1[[#This Row],[ActualAwayScore]]=0), 1,0)</f>
        <v>0</v>
      </c>
      <c r="AG1330" s="64">
        <f>IF(AND(Table1[[#This Row],[GameIsOver]]=1,Table1[[#This Row],[ActualHomeScore]]=0), 1,0)</f>
        <v>0</v>
      </c>
      <c r="AH1330" s="64">
        <f>IF(Table1[[#This Row],[GameIsOver]]=0,0,IF(Table1[[#This Row],[ActualWinner]]=Table1[[#This Row],[AwayTeam]], 1, 0))</f>
        <v>0</v>
      </c>
      <c r="AI1330" s="64">
        <f>IF(Table1[[#This Row],[GameIsOver]]=0,0,IF(Table1[[#This Row],[ActualWinner]]=Table1[[#This Row],[HomeTeam]], 1, 0))</f>
        <v>0</v>
      </c>
      <c r="AJ1330" s="64">
        <f>IF(INDEX(Standings!$A$2:$C$33,MATCH(Table1[[#This Row],[AwayTeam]],Standings!$A$2:$A$33,0),2)=INDEX(Standings!$A$2:$C$33,MATCH(Table1[[#This Row],[HomeTeam]],Standings!$A$2:$A$33,0),2),1,0)</f>
        <v>1</v>
      </c>
      <c r="AK1330" s="64">
        <f>IF(INDEX(Standings!$A$2:$C$33,MATCH(Table1[[#This Row],[AwayTeam]],Standings!$A$2:$A$33,0),3)=INDEX(Standings!$A$2:$C$33,MATCH(Table1[[#This Row],[HomeTeam]],Standings!$A$2:$A$33,0),3),1,0)</f>
        <v>1</v>
      </c>
      <c r="AL1330" s="64">
        <f>IF(Table1[[#This Row],[InterConf]]=1,IF(Table1[[#This Row],[InterDiv]]=0, 1, 0), 0)</f>
        <v>0</v>
      </c>
      <c r="AM1330" s="64">
        <f>IF(INDEX(Standings!$A$2:$C$33,MATCH(Table1[[#This Row],[AwayTeam]],Standings!$A$2:$A$33,0),2)&lt;&gt;INDEX(Standings!$A$2:$C$33,MATCH(Table1[[#This Row],[HomeTeam]],Standings!$A$2:$A$33,0),2),1,0)</f>
        <v>0</v>
      </c>
      <c r="AN1330" s="64" t="str">
        <f>INDEX(Table2[AWAY_RECORD], MATCH(Table1[[#This Row],[AwayTeam]],Table2[Team], 0), 0)</f>
        <v>0-1-0</v>
      </c>
      <c r="AO1330" s="64" t="str">
        <f>INDEX(Records!$B$2:$AG$33, MATCH(Table1[[#This Row],[AwayTeam]],Records!$A$2:$A$33, 0), MATCH(Table1[[#This Row],[HomeTeam]],Records!$A$2:$A$33, 0))</f>
        <v>0-0-0</v>
      </c>
      <c r="AP1330" s="64" t="str">
        <f>INDEX(Table2[HOME_RECORD], MATCH(Table1[[#This Row],[HomeTeam]],Table2[Team], 0), 0)</f>
        <v>1-0-0</v>
      </c>
      <c r="AQ1330" s="64" t="str">
        <f>INDEX(Records!$B$2:$AG$33, MATCH(Table1[[#This Row],[HomeTeam]],Records!$A$2:$A$33, 0), MATCH(Table1[[#This Row],[AwayTeam]],Records!$A$2:$A$33, 0))</f>
        <v>0-0-0</v>
      </c>
    </row>
    <row r="1331" spans="1:43" x14ac:dyDescent="0.25">
      <c r="A1331" s="1"/>
      <c r="D1331" t="s">
        <v>1703</v>
      </c>
      <c r="E1331" t="s">
        <v>386</v>
      </c>
      <c r="F1331" t="s">
        <v>1705</v>
      </c>
      <c r="G1331" t="s">
        <v>22</v>
      </c>
      <c r="H1331" t="s">
        <v>41</v>
      </c>
      <c r="L133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3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31" s="1"/>
      <c r="T1331" s="64" t="str">
        <f>IF(Table1[[#This Row],[ActualWinner]]="", "", IF(Table1[[#This Row],[AwayTeam]]=Table1[[#This Row],[ActualWinner]],Table1[[#This Row],[HomeTeam]],Table1[[#This Row],[AwayTeam]]))</f>
        <v/>
      </c>
      <c r="U1331" s="64">
        <f>Table1[[#This Row],[ActualAwayScore]]-Table1[[#This Row],[PredictedAwayScore]]</f>
        <v>0</v>
      </c>
      <c r="V1331" s="64">
        <f>Table1[[#This Row],[ActualHomeScore]]-Table1[[#This Row],[PredictedHomeScore]]</f>
        <v>0</v>
      </c>
      <c r="W1331" s="64">
        <f>(0.8*IF(Table1[[#This Row],[CorrectWinnerPrediction]]=1, 1, 0))+(0.1*IF(Table1[[#This Row],[CorrectAwayScorePrediction]]=1, 1, 0))+(0.1*IF(Table1[[#This Row],[CorrectHomeScorePrediction]]=1, 1, 0))</f>
        <v>0</v>
      </c>
      <c r="X133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31" s="64">
        <f>SUMIF(Table1[GameDate], Table1[[#This Row],[GameDate]], Table1[AwayGameGoalDiff])</f>
        <v>0</v>
      </c>
      <c r="AA1331" s="64">
        <f>SUMIF(Table1[GameDate], Table1[[#This Row],[GameDate]], Table1[HomeGameGoalDiff])</f>
        <v>0</v>
      </c>
      <c r="AB1331" s="64">
        <f>IF(ISBLANK(Table1[[#This Row],[ActualResult]]), 0, 1)</f>
        <v>0</v>
      </c>
      <c r="AC1331" s="64">
        <f>IF(ISBLANK(Table1[[#This Row],[ActualResult]]), 0, IF(Table1[[#This Row],[ActualWinner]]=Table1[[#This Row],[PredictedWinner]], 1, 0))</f>
        <v>0</v>
      </c>
      <c r="AD133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3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31" s="64">
        <f>IF(AND(Table1[[#This Row],[GameIsOver]]=1,Table1[[#This Row],[ActualAwayScore]]=0), 1,0)</f>
        <v>0</v>
      </c>
      <c r="AG1331" s="64">
        <f>IF(AND(Table1[[#This Row],[GameIsOver]]=1,Table1[[#This Row],[ActualHomeScore]]=0), 1,0)</f>
        <v>0</v>
      </c>
      <c r="AH1331" s="64">
        <f>IF(Table1[[#This Row],[GameIsOver]]=0,0,IF(Table1[[#This Row],[ActualWinner]]=Table1[[#This Row],[AwayTeam]], 1, 0))</f>
        <v>0</v>
      </c>
      <c r="AI1331" s="64">
        <f>IF(Table1[[#This Row],[GameIsOver]]=0,0,IF(Table1[[#This Row],[ActualWinner]]=Table1[[#This Row],[HomeTeam]], 1, 0))</f>
        <v>0</v>
      </c>
      <c r="AJ1331" s="64">
        <f>IF(INDEX(Standings!$A$2:$C$33,MATCH(Table1[[#This Row],[AwayTeam]],Standings!$A$2:$A$33,0),2)=INDEX(Standings!$A$2:$C$33,MATCH(Table1[[#This Row],[HomeTeam]],Standings!$A$2:$A$33,0),2),1,0)</f>
        <v>1</v>
      </c>
      <c r="AK1331" s="64">
        <f>IF(INDEX(Standings!$A$2:$C$33,MATCH(Table1[[#This Row],[AwayTeam]],Standings!$A$2:$A$33,0),3)=INDEX(Standings!$A$2:$C$33,MATCH(Table1[[#This Row],[HomeTeam]],Standings!$A$2:$A$33,0),3),1,0)</f>
        <v>1</v>
      </c>
      <c r="AL1331" s="64">
        <f>IF(Table1[[#This Row],[InterConf]]=1,IF(Table1[[#This Row],[InterDiv]]=0, 1, 0), 0)</f>
        <v>0</v>
      </c>
      <c r="AM1331" s="64">
        <f>IF(INDEX(Standings!$A$2:$C$33,MATCH(Table1[[#This Row],[AwayTeam]],Standings!$A$2:$A$33,0),2)&lt;&gt;INDEX(Standings!$A$2:$C$33,MATCH(Table1[[#This Row],[HomeTeam]],Standings!$A$2:$A$33,0),2),1,0)</f>
        <v>0</v>
      </c>
      <c r="AN1331" s="64" t="str">
        <f>INDEX(Table2[AWAY_RECORD], MATCH(Table1[[#This Row],[AwayTeam]],Table2[Team], 0), 0)</f>
        <v>0-0-1</v>
      </c>
      <c r="AO1331" s="64" t="str">
        <f>INDEX(Records!$B$2:$AG$33, MATCH(Table1[[#This Row],[AwayTeam]],Records!$A$2:$A$33, 0), MATCH(Table1[[#This Row],[HomeTeam]],Records!$A$2:$A$33, 0))</f>
        <v>0-0-0</v>
      </c>
      <c r="AP1331" s="64" t="str">
        <f>INDEX(Table2[HOME_RECORD], MATCH(Table1[[#This Row],[HomeTeam]],Table2[Team], 0), 0)</f>
        <v>0-0-1</v>
      </c>
      <c r="AQ1331" s="64" t="str">
        <f>INDEX(Records!$B$2:$AG$33, MATCH(Table1[[#This Row],[HomeTeam]],Records!$A$2:$A$33, 0), MATCH(Table1[[#This Row],[AwayTeam]],Records!$A$2:$A$33, 0))</f>
        <v>0-0-0</v>
      </c>
    </row>
    <row r="1332" spans="1:43" x14ac:dyDescent="0.25">
      <c r="A1332" s="1"/>
      <c r="D1332" t="s">
        <v>1703</v>
      </c>
      <c r="E1332" t="s">
        <v>252</v>
      </c>
      <c r="F1332" t="s">
        <v>1706</v>
      </c>
      <c r="G1332" t="s">
        <v>36</v>
      </c>
      <c r="H1332" t="s">
        <v>55</v>
      </c>
      <c r="L133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3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32" s="1"/>
      <c r="T1332" s="64" t="str">
        <f>IF(Table1[[#This Row],[ActualWinner]]="", "", IF(Table1[[#This Row],[AwayTeam]]=Table1[[#This Row],[ActualWinner]],Table1[[#This Row],[HomeTeam]],Table1[[#This Row],[AwayTeam]]))</f>
        <v/>
      </c>
      <c r="U1332" s="64">
        <f>Table1[[#This Row],[ActualAwayScore]]-Table1[[#This Row],[PredictedAwayScore]]</f>
        <v>0</v>
      </c>
      <c r="V1332" s="64">
        <f>Table1[[#This Row],[ActualHomeScore]]-Table1[[#This Row],[PredictedHomeScore]]</f>
        <v>0</v>
      </c>
      <c r="W1332" s="64">
        <f>(0.8*IF(Table1[[#This Row],[CorrectWinnerPrediction]]=1, 1, 0))+(0.1*IF(Table1[[#This Row],[CorrectAwayScorePrediction]]=1, 1, 0))+(0.1*IF(Table1[[#This Row],[CorrectHomeScorePrediction]]=1, 1, 0))</f>
        <v>0</v>
      </c>
      <c r="X133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32" s="64">
        <f>SUMIF(Table1[GameDate], Table1[[#This Row],[GameDate]], Table1[AwayGameGoalDiff])</f>
        <v>0</v>
      </c>
      <c r="AA1332" s="64">
        <f>SUMIF(Table1[GameDate], Table1[[#This Row],[GameDate]], Table1[HomeGameGoalDiff])</f>
        <v>0</v>
      </c>
      <c r="AB1332" s="64">
        <f>IF(ISBLANK(Table1[[#This Row],[ActualResult]]), 0, 1)</f>
        <v>0</v>
      </c>
      <c r="AC1332" s="64">
        <f>IF(ISBLANK(Table1[[#This Row],[ActualResult]]), 0, IF(Table1[[#This Row],[ActualWinner]]=Table1[[#This Row],[PredictedWinner]], 1, 0))</f>
        <v>0</v>
      </c>
      <c r="AD133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3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32" s="64">
        <f>IF(AND(Table1[[#This Row],[GameIsOver]]=1,Table1[[#This Row],[ActualAwayScore]]=0), 1,0)</f>
        <v>0</v>
      </c>
      <c r="AG1332" s="64">
        <f>IF(AND(Table1[[#This Row],[GameIsOver]]=1,Table1[[#This Row],[ActualHomeScore]]=0), 1,0)</f>
        <v>0</v>
      </c>
      <c r="AH1332" s="64">
        <f>IF(Table1[[#This Row],[GameIsOver]]=0,0,IF(Table1[[#This Row],[ActualWinner]]=Table1[[#This Row],[AwayTeam]], 1, 0))</f>
        <v>0</v>
      </c>
      <c r="AI1332" s="64">
        <f>IF(Table1[[#This Row],[GameIsOver]]=0,0,IF(Table1[[#This Row],[ActualWinner]]=Table1[[#This Row],[HomeTeam]], 1, 0))</f>
        <v>0</v>
      </c>
      <c r="AJ1332" s="64">
        <f>IF(INDEX(Standings!$A$2:$C$33,MATCH(Table1[[#This Row],[AwayTeam]],Standings!$A$2:$A$33,0),2)=INDEX(Standings!$A$2:$C$33,MATCH(Table1[[#This Row],[HomeTeam]],Standings!$A$2:$A$33,0),2),1,0)</f>
        <v>1</v>
      </c>
      <c r="AK1332" s="64">
        <f>IF(INDEX(Standings!$A$2:$C$33,MATCH(Table1[[#This Row],[AwayTeam]],Standings!$A$2:$A$33,0),3)=INDEX(Standings!$A$2:$C$33,MATCH(Table1[[#This Row],[HomeTeam]],Standings!$A$2:$A$33,0),3),1,0)</f>
        <v>1</v>
      </c>
      <c r="AL1332" s="64">
        <f>IF(Table1[[#This Row],[InterConf]]=1,IF(Table1[[#This Row],[InterDiv]]=0, 1, 0), 0)</f>
        <v>0</v>
      </c>
      <c r="AM1332" s="64">
        <f>IF(INDEX(Standings!$A$2:$C$33,MATCH(Table1[[#This Row],[AwayTeam]],Standings!$A$2:$A$33,0),2)&lt;&gt;INDEX(Standings!$A$2:$C$33,MATCH(Table1[[#This Row],[HomeTeam]],Standings!$A$2:$A$33,0),2),1,0)</f>
        <v>0</v>
      </c>
      <c r="AN1332" s="64" t="str">
        <f>INDEX(Table2[AWAY_RECORD], MATCH(Table1[[#This Row],[AwayTeam]],Table2[Team], 0), 0)</f>
        <v>0-0-0</v>
      </c>
      <c r="AO1332" s="64" t="str">
        <f>INDEX(Records!$B$2:$AG$33, MATCH(Table1[[#This Row],[AwayTeam]],Records!$A$2:$A$33, 0), MATCH(Table1[[#This Row],[HomeTeam]],Records!$A$2:$A$33, 0))</f>
        <v>0-0-0</v>
      </c>
      <c r="AP1332" s="64" t="str">
        <f>INDEX(Table2[HOME_RECORD], MATCH(Table1[[#This Row],[HomeTeam]],Table2[Team], 0), 0)</f>
        <v>0-1-0</v>
      </c>
      <c r="AQ1332" s="64" t="str">
        <f>INDEX(Records!$B$2:$AG$33, MATCH(Table1[[#This Row],[HomeTeam]],Records!$A$2:$A$33, 0), MATCH(Table1[[#This Row],[AwayTeam]],Records!$A$2:$A$33, 0))</f>
        <v>0-0-0</v>
      </c>
    </row>
    <row r="1333" spans="1:43" x14ac:dyDescent="0.25">
      <c r="A1333" s="1"/>
      <c r="D1333" t="s">
        <v>1703</v>
      </c>
      <c r="E1333" t="s">
        <v>158</v>
      </c>
      <c r="F1333" t="s">
        <v>1707</v>
      </c>
      <c r="G1333" t="s">
        <v>42</v>
      </c>
      <c r="H1333" t="s">
        <v>50</v>
      </c>
      <c r="L133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3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33" s="1"/>
      <c r="T1333" s="64" t="str">
        <f>IF(Table1[[#This Row],[ActualWinner]]="", "", IF(Table1[[#This Row],[AwayTeam]]=Table1[[#This Row],[ActualWinner]],Table1[[#This Row],[HomeTeam]],Table1[[#This Row],[AwayTeam]]))</f>
        <v/>
      </c>
      <c r="U1333" s="64">
        <f>Table1[[#This Row],[ActualAwayScore]]-Table1[[#This Row],[PredictedAwayScore]]</f>
        <v>0</v>
      </c>
      <c r="V1333" s="64">
        <f>Table1[[#This Row],[ActualHomeScore]]-Table1[[#This Row],[PredictedHomeScore]]</f>
        <v>0</v>
      </c>
      <c r="W1333" s="64">
        <f>(0.8*IF(Table1[[#This Row],[CorrectWinnerPrediction]]=1, 1, 0))+(0.1*IF(Table1[[#This Row],[CorrectAwayScorePrediction]]=1, 1, 0))+(0.1*IF(Table1[[#This Row],[CorrectHomeScorePrediction]]=1, 1, 0))</f>
        <v>0</v>
      </c>
      <c r="X133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33" s="64">
        <f>SUMIF(Table1[GameDate], Table1[[#This Row],[GameDate]], Table1[AwayGameGoalDiff])</f>
        <v>0</v>
      </c>
      <c r="AA1333" s="64">
        <f>SUMIF(Table1[GameDate], Table1[[#This Row],[GameDate]], Table1[HomeGameGoalDiff])</f>
        <v>0</v>
      </c>
      <c r="AB1333" s="64">
        <f>IF(ISBLANK(Table1[[#This Row],[ActualResult]]), 0, 1)</f>
        <v>0</v>
      </c>
      <c r="AC1333" s="64">
        <f>IF(ISBLANK(Table1[[#This Row],[ActualResult]]), 0, IF(Table1[[#This Row],[ActualWinner]]=Table1[[#This Row],[PredictedWinner]], 1, 0))</f>
        <v>0</v>
      </c>
      <c r="AD133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3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33" s="64">
        <f>IF(AND(Table1[[#This Row],[GameIsOver]]=1,Table1[[#This Row],[ActualAwayScore]]=0), 1,0)</f>
        <v>0</v>
      </c>
      <c r="AG1333" s="64">
        <f>IF(AND(Table1[[#This Row],[GameIsOver]]=1,Table1[[#This Row],[ActualHomeScore]]=0), 1,0)</f>
        <v>0</v>
      </c>
      <c r="AH1333" s="64">
        <f>IF(Table1[[#This Row],[GameIsOver]]=0,0,IF(Table1[[#This Row],[ActualWinner]]=Table1[[#This Row],[AwayTeam]], 1, 0))</f>
        <v>0</v>
      </c>
      <c r="AI1333" s="64">
        <f>IF(Table1[[#This Row],[GameIsOver]]=0,0,IF(Table1[[#This Row],[ActualWinner]]=Table1[[#This Row],[HomeTeam]], 1, 0))</f>
        <v>0</v>
      </c>
      <c r="AJ1333" s="64">
        <f>IF(INDEX(Standings!$A$2:$C$33,MATCH(Table1[[#This Row],[AwayTeam]],Standings!$A$2:$A$33,0),2)=INDEX(Standings!$A$2:$C$33,MATCH(Table1[[#This Row],[HomeTeam]],Standings!$A$2:$A$33,0),2),1,0)</f>
        <v>1</v>
      </c>
      <c r="AK1333" s="64">
        <f>IF(INDEX(Standings!$A$2:$C$33,MATCH(Table1[[#This Row],[AwayTeam]],Standings!$A$2:$A$33,0),3)=INDEX(Standings!$A$2:$C$33,MATCH(Table1[[#This Row],[HomeTeam]],Standings!$A$2:$A$33,0),3),1,0)</f>
        <v>1</v>
      </c>
      <c r="AL1333" s="64">
        <f>IF(Table1[[#This Row],[InterConf]]=1,IF(Table1[[#This Row],[InterDiv]]=0, 1, 0), 0)</f>
        <v>0</v>
      </c>
      <c r="AM1333" s="64">
        <f>IF(INDEX(Standings!$A$2:$C$33,MATCH(Table1[[#This Row],[AwayTeam]],Standings!$A$2:$A$33,0),2)&lt;&gt;INDEX(Standings!$A$2:$C$33,MATCH(Table1[[#This Row],[HomeTeam]],Standings!$A$2:$A$33,0),2),1,0)</f>
        <v>0</v>
      </c>
      <c r="AN1333" s="64" t="str">
        <f>INDEX(Table2[AWAY_RECORD], MATCH(Table1[[#This Row],[AwayTeam]],Table2[Team], 0), 0)</f>
        <v>0-0-0</v>
      </c>
      <c r="AO1333" s="64" t="str">
        <f>INDEX(Records!$B$2:$AG$33, MATCH(Table1[[#This Row],[AwayTeam]],Records!$A$2:$A$33, 0), MATCH(Table1[[#This Row],[HomeTeam]],Records!$A$2:$A$33, 0))</f>
        <v>0-0-0</v>
      </c>
      <c r="AP1333" s="64" t="str">
        <f>INDEX(Table2[HOME_RECORD], MATCH(Table1[[#This Row],[HomeTeam]],Table2[Team], 0), 0)</f>
        <v>0-0-0</v>
      </c>
      <c r="AQ1333" s="64" t="str">
        <f>INDEX(Records!$B$2:$AG$33, MATCH(Table1[[#This Row],[HomeTeam]],Records!$A$2:$A$33, 0), MATCH(Table1[[#This Row],[AwayTeam]],Records!$A$2:$A$33, 0))</f>
        <v>0-0-0</v>
      </c>
    </row>
    <row r="1334" spans="1:43" x14ac:dyDescent="0.25">
      <c r="A1334" s="1"/>
      <c r="D1334" t="s">
        <v>1703</v>
      </c>
      <c r="E1334" t="s">
        <v>207</v>
      </c>
      <c r="F1334" t="s">
        <v>1708</v>
      </c>
      <c r="G1334" t="s">
        <v>44</v>
      </c>
      <c r="H1334" t="s">
        <v>38</v>
      </c>
      <c r="L133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3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34" s="1"/>
      <c r="T1334" s="64" t="str">
        <f>IF(Table1[[#This Row],[ActualWinner]]="", "", IF(Table1[[#This Row],[AwayTeam]]=Table1[[#This Row],[ActualWinner]],Table1[[#This Row],[HomeTeam]],Table1[[#This Row],[AwayTeam]]))</f>
        <v/>
      </c>
      <c r="U1334" s="64">
        <f>Table1[[#This Row],[ActualAwayScore]]-Table1[[#This Row],[PredictedAwayScore]]</f>
        <v>0</v>
      </c>
      <c r="V1334" s="64">
        <f>Table1[[#This Row],[ActualHomeScore]]-Table1[[#This Row],[PredictedHomeScore]]</f>
        <v>0</v>
      </c>
      <c r="W1334" s="64">
        <f>(0.8*IF(Table1[[#This Row],[CorrectWinnerPrediction]]=1, 1, 0))+(0.1*IF(Table1[[#This Row],[CorrectAwayScorePrediction]]=1, 1, 0))+(0.1*IF(Table1[[#This Row],[CorrectHomeScorePrediction]]=1, 1, 0))</f>
        <v>0</v>
      </c>
      <c r="X133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34" s="64">
        <f>SUMIF(Table1[GameDate], Table1[[#This Row],[GameDate]], Table1[AwayGameGoalDiff])</f>
        <v>0</v>
      </c>
      <c r="AA1334" s="64">
        <f>SUMIF(Table1[GameDate], Table1[[#This Row],[GameDate]], Table1[HomeGameGoalDiff])</f>
        <v>0</v>
      </c>
      <c r="AB1334" s="64">
        <f>IF(ISBLANK(Table1[[#This Row],[ActualResult]]), 0, 1)</f>
        <v>0</v>
      </c>
      <c r="AC1334" s="64">
        <f>IF(ISBLANK(Table1[[#This Row],[ActualResult]]), 0, IF(Table1[[#This Row],[ActualWinner]]=Table1[[#This Row],[PredictedWinner]], 1, 0))</f>
        <v>0</v>
      </c>
      <c r="AD133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3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34" s="64">
        <f>IF(AND(Table1[[#This Row],[GameIsOver]]=1,Table1[[#This Row],[ActualAwayScore]]=0), 1,0)</f>
        <v>0</v>
      </c>
      <c r="AG1334" s="64">
        <f>IF(AND(Table1[[#This Row],[GameIsOver]]=1,Table1[[#This Row],[ActualHomeScore]]=0), 1,0)</f>
        <v>0</v>
      </c>
      <c r="AH1334" s="64">
        <f>IF(Table1[[#This Row],[GameIsOver]]=0,0,IF(Table1[[#This Row],[ActualWinner]]=Table1[[#This Row],[AwayTeam]], 1, 0))</f>
        <v>0</v>
      </c>
      <c r="AI1334" s="64">
        <f>IF(Table1[[#This Row],[GameIsOver]]=0,0,IF(Table1[[#This Row],[ActualWinner]]=Table1[[#This Row],[HomeTeam]], 1, 0))</f>
        <v>0</v>
      </c>
      <c r="AJ1334" s="64">
        <f>IF(INDEX(Standings!$A$2:$C$33,MATCH(Table1[[#This Row],[AwayTeam]],Standings!$A$2:$A$33,0),2)=INDEX(Standings!$A$2:$C$33,MATCH(Table1[[#This Row],[HomeTeam]],Standings!$A$2:$A$33,0),2),1,0)</f>
        <v>1</v>
      </c>
      <c r="AK1334" s="64">
        <f>IF(INDEX(Standings!$A$2:$C$33,MATCH(Table1[[#This Row],[AwayTeam]],Standings!$A$2:$A$33,0),3)=INDEX(Standings!$A$2:$C$33,MATCH(Table1[[#This Row],[HomeTeam]],Standings!$A$2:$A$33,0),3),1,0)</f>
        <v>1</v>
      </c>
      <c r="AL1334" s="64">
        <f>IF(Table1[[#This Row],[InterConf]]=1,IF(Table1[[#This Row],[InterDiv]]=0, 1, 0), 0)</f>
        <v>0</v>
      </c>
      <c r="AM1334" s="64">
        <f>IF(INDEX(Standings!$A$2:$C$33,MATCH(Table1[[#This Row],[AwayTeam]],Standings!$A$2:$A$33,0),2)&lt;&gt;INDEX(Standings!$A$2:$C$33,MATCH(Table1[[#This Row],[HomeTeam]],Standings!$A$2:$A$33,0),2),1,0)</f>
        <v>0</v>
      </c>
      <c r="AN1334" s="64" t="str">
        <f>INDEX(Table2[AWAY_RECORD], MATCH(Table1[[#This Row],[AwayTeam]],Table2[Team], 0), 0)</f>
        <v>0-0-0</v>
      </c>
      <c r="AO1334" s="64" t="str">
        <f>INDEX(Records!$B$2:$AG$33, MATCH(Table1[[#This Row],[AwayTeam]],Records!$A$2:$A$33, 0), MATCH(Table1[[#This Row],[HomeTeam]],Records!$A$2:$A$33, 0))</f>
        <v>0-0-0</v>
      </c>
      <c r="AP1334" s="64" t="str">
        <f>INDEX(Table2[HOME_RECORD], MATCH(Table1[[#This Row],[HomeTeam]],Table2[Team], 0), 0)</f>
        <v>0-0-0</v>
      </c>
      <c r="AQ1334" s="64" t="str">
        <f>INDEX(Records!$B$2:$AG$33, MATCH(Table1[[#This Row],[HomeTeam]],Records!$A$2:$A$33, 0), MATCH(Table1[[#This Row],[AwayTeam]],Records!$A$2:$A$33, 0))</f>
        <v>0-0-0</v>
      </c>
    </row>
    <row r="1335" spans="1:43" x14ac:dyDescent="0.25">
      <c r="A1335" s="1"/>
      <c r="D1335" t="s">
        <v>1703</v>
      </c>
      <c r="E1335" t="s">
        <v>207</v>
      </c>
      <c r="F1335" t="s">
        <v>1709</v>
      </c>
      <c r="G1335" t="s">
        <v>40</v>
      </c>
      <c r="H1335" t="s">
        <v>17</v>
      </c>
      <c r="L133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3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35" s="1"/>
      <c r="T1335" s="64" t="str">
        <f>IF(Table1[[#This Row],[ActualWinner]]="", "", IF(Table1[[#This Row],[AwayTeam]]=Table1[[#This Row],[ActualWinner]],Table1[[#This Row],[HomeTeam]],Table1[[#This Row],[AwayTeam]]))</f>
        <v/>
      </c>
      <c r="U1335" s="64">
        <f>Table1[[#This Row],[ActualAwayScore]]-Table1[[#This Row],[PredictedAwayScore]]</f>
        <v>0</v>
      </c>
      <c r="V1335" s="64">
        <f>Table1[[#This Row],[ActualHomeScore]]-Table1[[#This Row],[PredictedHomeScore]]</f>
        <v>0</v>
      </c>
      <c r="W1335" s="64">
        <f>(0.8*IF(Table1[[#This Row],[CorrectWinnerPrediction]]=1, 1, 0))+(0.1*IF(Table1[[#This Row],[CorrectAwayScorePrediction]]=1, 1, 0))+(0.1*IF(Table1[[#This Row],[CorrectHomeScorePrediction]]=1, 1, 0))</f>
        <v>0</v>
      </c>
      <c r="X133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35" s="64">
        <f>SUMIF(Table1[GameDate], Table1[[#This Row],[GameDate]], Table1[AwayGameGoalDiff])</f>
        <v>0</v>
      </c>
      <c r="AA1335" s="64">
        <f>SUMIF(Table1[GameDate], Table1[[#This Row],[GameDate]], Table1[HomeGameGoalDiff])</f>
        <v>0</v>
      </c>
      <c r="AB1335" s="64">
        <f>IF(ISBLANK(Table1[[#This Row],[ActualResult]]), 0, 1)</f>
        <v>0</v>
      </c>
      <c r="AC1335" s="64">
        <f>IF(ISBLANK(Table1[[#This Row],[ActualResult]]), 0, IF(Table1[[#This Row],[ActualWinner]]=Table1[[#This Row],[PredictedWinner]], 1, 0))</f>
        <v>0</v>
      </c>
      <c r="AD133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3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35" s="64">
        <f>IF(AND(Table1[[#This Row],[GameIsOver]]=1,Table1[[#This Row],[ActualAwayScore]]=0), 1,0)</f>
        <v>0</v>
      </c>
      <c r="AG1335" s="64">
        <f>IF(AND(Table1[[#This Row],[GameIsOver]]=1,Table1[[#This Row],[ActualHomeScore]]=0), 1,0)</f>
        <v>0</v>
      </c>
      <c r="AH1335" s="64">
        <f>IF(Table1[[#This Row],[GameIsOver]]=0,0,IF(Table1[[#This Row],[ActualWinner]]=Table1[[#This Row],[AwayTeam]], 1, 0))</f>
        <v>0</v>
      </c>
      <c r="AI1335" s="64">
        <f>IF(Table1[[#This Row],[GameIsOver]]=0,0,IF(Table1[[#This Row],[ActualWinner]]=Table1[[#This Row],[HomeTeam]], 1, 0))</f>
        <v>0</v>
      </c>
      <c r="AJ1335" s="64">
        <f>IF(INDEX(Standings!$A$2:$C$33,MATCH(Table1[[#This Row],[AwayTeam]],Standings!$A$2:$A$33,0),2)=INDEX(Standings!$A$2:$C$33,MATCH(Table1[[#This Row],[HomeTeam]],Standings!$A$2:$A$33,0),2),1,0)</f>
        <v>1</v>
      </c>
      <c r="AK1335" s="64">
        <f>IF(INDEX(Standings!$A$2:$C$33,MATCH(Table1[[#This Row],[AwayTeam]],Standings!$A$2:$A$33,0),3)=INDEX(Standings!$A$2:$C$33,MATCH(Table1[[#This Row],[HomeTeam]],Standings!$A$2:$A$33,0),3),1,0)</f>
        <v>0</v>
      </c>
      <c r="AL1335" s="64">
        <f>IF(Table1[[#This Row],[InterConf]]=1,IF(Table1[[#This Row],[InterDiv]]=0, 1, 0), 0)</f>
        <v>1</v>
      </c>
      <c r="AM1335" s="64">
        <f>IF(INDEX(Standings!$A$2:$C$33,MATCH(Table1[[#This Row],[AwayTeam]],Standings!$A$2:$A$33,0),2)&lt;&gt;INDEX(Standings!$A$2:$C$33,MATCH(Table1[[#This Row],[HomeTeam]],Standings!$A$2:$A$33,0),2),1,0)</f>
        <v>0</v>
      </c>
      <c r="AN1335" s="64" t="str">
        <f>INDEX(Table2[AWAY_RECORD], MATCH(Table1[[#This Row],[AwayTeam]],Table2[Team], 0), 0)</f>
        <v>0-0-0</v>
      </c>
      <c r="AO1335" s="64" t="str">
        <f>INDEX(Records!$B$2:$AG$33, MATCH(Table1[[#This Row],[AwayTeam]],Records!$A$2:$A$33, 0), MATCH(Table1[[#This Row],[HomeTeam]],Records!$A$2:$A$33, 0))</f>
        <v>0-1-0</v>
      </c>
      <c r="AP1335" s="64" t="str">
        <f>INDEX(Table2[HOME_RECORD], MATCH(Table1[[#This Row],[HomeTeam]],Table2[Team], 0), 0)</f>
        <v>0-0-0</v>
      </c>
      <c r="AQ1335" s="64" t="str">
        <f>INDEX(Records!$B$2:$AG$33, MATCH(Table1[[#This Row],[HomeTeam]],Records!$A$2:$A$33, 0), MATCH(Table1[[#This Row],[AwayTeam]],Records!$A$2:$A$33, 0))</f>
        <v>1-0-0</v>
      </c>
    </row>
    <row r="1336" spans="1:43" x14ac:dyDescent="0.25">
      <c r="A1336" s="1"/>
      <c r="D1336" t="s">
        <v>1703</v>
      </c>
      <c r="E1336" t="s">
        <v>207</v>
      </c>
      <c r="F1336" t="s">
        <v>1710</v>
      </c>
      <c r="G1336" t="s">
        <v>54</v>
      </c>
      <c r="H1336" t="s">
        <v>49</v>
      </c>
      <c r="L1336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36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36" s="1"/>
      <c r="T1336" s="64" t="str">
        <f>IF(Table1[[#This Row],[ActualWinner]]="", "", IF(Table1[[#This Row],[AwayTeam]]=Table1[[#This Row],[ActualWinner]],Table1[[#This Row],[HomeTeam]],Table1[[#This Row],[AwayTeam]]))</f>
        <v/>
      </c>
      <c r="U1336" s="64">
        <f>Table1[[#This Row],[ActualAwayScore]]-Table1[[#This Row],[PredictedAwayScore]]</f>
        <v>0</v>
      </c>
      <c r="V1336" s="64">
        <f>Table1[[#This Row],[ActualHomeScore]]-Table1[[#This Row],[PredictedHomeScore]]</f>
        <v>0</v>
      </c>
      <c r="W1336" s="64">
        <f>(0.8*IF(Table1[[#This Row],[CorrectWinnerPrediction]]=1, 1, 0))+(0.1*IF(Table1[[#This Row],[CorrectAwayScorePrediction]]=1, 1, 0))+(0.1*IF(Table1[[#This Row],[CorrectHomeScorePrediction]]=1, 1, 0))</f>
        <v>0</v>
      </c>
      <c r="X1336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36" s="64">
        <f>SUMIF(Table1[GameDate], Table1[[#This Row],[GameDate]], Table1[AwayGameGoalDiff])</f>
        <v>0</v>
      </c>
      <c r="AA1336" s="64">
        <f>SUMIF(Table1[GameDate], Table1[[#This Row],[GameDate]], Table1[HomeGameGoalDiff])</f>
        <v>0</v>
      </c>
      <c r="AB1336" s="64">
        <f>IF(ISBLANK(Table1[[#This Row],[ActualResult]]), 0, 1)</f>
        <v>0</v>
      </c>
      <c r="AC1336" s="64">
        <f>IF(ISBLANK(Table1[[#This Row],[ActualResult]]), 0, IF(Table1[[#This Row],[ActualWinner]]=Table1[[#This Row],[PredictedWinner]], 1, 0))</f>
        <v>0</v>
      </c>
      <c r="AD1336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36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36" s="64">
        <f>IF(AND(Table1[[#This Row],[GameIsOver]]=1,Table1[[#This Row],[ActualAwayScore]]=0), 1,0)</f>
        <v>0</v>
      </c>
      <c r="AG1336" s="64">
        <f>IF(AND(Table1[[#This Row],[GameIsOver]]=1,Table1[[#This Row],[ActualHomeScore]]=0), 1,0)</f>
        <v>0</v>
      </c>
      <c r="AH1336" s="64">
        <f>IF(Table1[[#This Row],[GameIsOver]]=0,0,IF(Table1[[#This Row],[ActualWinner]]=Table1[[#This Row],[AwayTeam]], 1, 0))</f>
        <v>0</v>
      </c>
      <c r="AI1336" s="64">
        <f>IF(Table1[[#This Row],[GameIsOver]]=0,0,IF(Table1[[#This Row],[ActualWinner]]=Table1[[#This Row],[HomeTeam]], 1, 0))</f>
        <v>0</v>
      </c>
      <c r="AJ1336" s="64">
        <f>IF(INDEX(Standings!$A$2:$C$33,MATCH(Table1[[#This Row],[AwayTeam]],Standings!$A$2:$A$33,0),2)=INDEX(Standings!$A$2:$C$33,MATCH(Table1[[#This Row],[HomeTeam]],Standings!$A$2:$A$33,0),2),1,0)</f>
        <v>1</v>
      </c>
      <c r="AK1336" s="64">
        <f>IF(INDEX(Standings!$A$2:$C$33,MATCH(Table1[[#This Row],[AwayTeam]],Standings!$A$2:$A$33,0),3)=INDEX(Standings!$A$2:$C$33,MATCH(Table1[[#This Row],[HomeTeam]],Standings!$A$2:$A$33,0),3),1,0)</f>
        <v>1</v>
      </c>
      <c r="AL1336" s="64">
        <f>IF(Table1[[#This Row],[InterConf]]=1,IF(Table1[[#This Row],[InterDiv]]=0, 1, 0), 0)</f>
        <v>0</v>
      </c>
      <c r="AM1336" s="64">
        <f>IF(INDEX(Standings!$A$2:$C$33,MATCH(Table1[[#This Row],[AwayTeam]],Standings!$A$2:$A$33,0),2)&lt;&gt;INDEX(Standings!$A$2:$C$33,MATCH(Table1[[#This Row],[HomeTeam]],Standings!$A$2:$A$33,0),2),1,0)</f>
        <v>0</v>
      </c>
      <c r="AN1336" s="64" t="str">
        <f>INDEX(Table2[AWAY_RECORD], MATCH(Table1[[#This Row],[AwayTeam]],Table2[Team], 0), 0)</f>
        <v>0-0-1</v>
      </c>
      <c r="AO1336" s="64" t="str">
        <f>INDEX(Records!$B$2:$AG$33, MATCH(Table1[[#This Row],[AwayTeam]],Records!$A$2:$A$33, 0), MATCH(Table1[[#This Row],[HomeTeam]],Records!$A$2:$A$33, 0))</f>
        <v>0-0-0</v>
      </c>
      <c r="AP1336" s="64" t="str">
        <f>INDEX(Table2[HOME_RECORD], MATCH(Table1[[#This Row],[HomeTeam]],Table2[Team], 0), 0)</f>
        <v>1-0-0</v>
      </c>
      <c r="AQ1336" s="64" t="str">
        <f>INDEX(Records!$B$2:$AG$33, MATCH(Table1[[#This Row],[HomeTeam]],Records!$A$2:$A$33, 0), MATCH(Table1[[#This Row],[AwayTeam]],Records!$A$2:$A$33, 0))</f>
        <v>0-0-0</v>
      </c>
    </row>
    <row r="1337" spans="1:43" x14ac:dyDescent="0.25">
      <c r="A1337" s="1"/>
      <c r="D1337" t="s">
        <v>1703</v>
      </c>
      <c r="E1337" t="s">
        <v>207</v>
      </c>
      <c r="F1337" t="s">
        <v>1711</v>
      </c>
      <c r="G1337" t="s">
        <v>56</v>
      </c>
      <c r="H1337" t="s">
        <v>16</v>
      </c>
      <c r="L1337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37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37" s="1"/>
      <c r="T1337" s="64" t="str">
        <f>IF(Table1[[#This Row],[ActualWinner]]="", "", IF(Table1[[#This Row],[AwayTeam]]=Table1[[#This Row],[ActualWinner]],Table1[[#This Row],[HomeTeam]],Table1[[#This Row],[AwayTeam]]))</f>
        <v/>
      </c>
      <c r="U1337" s="64">
        <f>Table1[[#This Row],[ActualAwayScore]]-Table1[[#This Row],[PredictedAwayScore]]</f>
        <v>0</v>
      </c>
      <c r="V1337" s="64">
        <f>Table1[[#This Row],[ActualHomeScore]]-Table1[[#This Row],[PredictedHomeScore]]</f>
        <v>0</v>
      </c>
      <c r="W1337" s="64">
        <f>(0.8*IF(Table1[[#This Row],[CorrectWinnerPrediction]]=1, 1, 0))+(0.1*IF(Table1[[#This Row],[CorrectAwayScorePrediction]]=1, 1, 0))+(0.1*IF(Table1[[#This Row],[CorrectHomeScorePrediction]]=1, 1, 0))</f>
        <v>0</v>
      </c>
      <c r="X1337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37" s="64">
        <f>SUMIF(Table1[GameDate], Table1[[#This Row],[GameDate]], Table1[AwayGameGoalDiff])</f>
        <v>0</v>
      </c>
      <c r="AA1337" s="64">
        <f>SUMIF(Table1[GameDate], Table1[[#This Row],[GameDate]], Table1[HomeGameGoalDiff])</f>
        <v>0</v>
      </c>
      <c r="AB1337" s="64">
        <f>IF(ISBLANK(Table1[[#This Row],[ActualResult]]), 0, 1)</f>
        <v>0</v>
      </c>
      <c r="AC1337" s="64">
        <f>IF(ISBLANK(Table1[[#This Row],[ActualResult]]), 0, IF(Table1[[#This Row],[ActualWinner]]=Table1[[#This Row],[PredictedWinner]], 1, 0))</f>
        <v>0</v>
      </c>
      <c r="AD1337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37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37" s="64">
        <f>IF(AND(Table1[[#This Row],[GameIsOver]]=1,Table1[[#This Row],[ActualAwayScore]]=0), 1,0)</f>
        <v>0</v>
      </c>
      <c r="AG1337" s="64">
        <f>IF(AND(Table1[[#This Row],[GameIsOver]]=1,Table1[[#This Row],[ActualHomeScore]]=0), 1,0)</f>
        <v>0</v>
      </c>
      <c r="AH1337" s="64">
        <f>IF(Table1[[#This Row],[GameIsOver]]=0,0,IF(Table1[[#This Row],[ActualWinner]]=Table1[[#This Row],[AwayTeam]], 1, 0))</f>
        <v>0</v>
      </c>
      <c r="AI1337" s="64">
        <f>IF(Table1[[#This Row],[GameIsOver]]=0,0,IF(Table1[[#This Row],[ActualWinner]]=Table1[[#This Row],[HomeTeam]], 1, 0))</f>
        <v>0</v>
      </c>
      <c r="AJ1337" s="64">
        <f>IF(INDEX(Standings!$A$2:$C$33,MATCH(Table1[[#This Row],[AwayTeam]],Standings!$A$2:$A$33,0),2)=INDEX(Standings!$A$2:$C$33,MATCH(Table1[[#This Row],[HomeTeam]],Standings!$A$2:$A$33,0),2),1,0)</f>
        <v>1</v>
      </c>
      <c r="AK1337" s="64">
        <f>IF(INDEX(Standings!$A$2:$C$33,MATCH(Table1[[#This Row],[AwayTeam]],Standings!$A$2:$A$33,0),3)=INDEX(Standings!$A$2:$C$33,MATCH(Table1[[#This Row],[HomeTeam]],Standings!$A$2:$A$33,0),3),1,0)</f>
        <v>0</v>
      </c>
      <c r="AL1337" s="64">
        <f>IF(Table1[[#This Row],[InterConf]]=1,IF(Table1[[#This Row],[InterDiv]]=0, 1, 0), 0)</f>
        <v>1</v>
      </c>
      <c r="AM1337" s="64">
        <f>IF(INDEX(Standings!$A$2:$C$33,MATCH(Table1[[#This Row],[AwayTeam]],Standings!$A$2:$A$33,0),2)&lt;&gt;INDEX(Standings!$A$2:$C$33,MATCH(Table1[[#This Row],[HomeTeam]],Standings!$A$2:$A$33,0),2),1,0)</f>
        <v>0</v>
      </c>
      <c r="AN1337" s="64" t="str">
        <f>INDEX(Table2[AWAY_RECORD], MATCH(Table1[[#This Row],[AwayTeam]],Table2[Team], 0), 0)</f>
        <v>1-0-0</v>
      </c>
      <c r="AO1337" s="64" t="str">
        <f>INDEX(Records!$B$2:$AG$33, MATCH(Table1[[#This Row],[AwayTeam]],Records!$A$2:$A$33, 0), MATCH(Table1[[#This Row],[HomeTeam]],Records!$A$2:$A$33, 0))</f>
        <v>0-0-0</v>
      </c>
      <c r="AP1337" s="64" t="str">
        <f>INDEX(Table2[HOME_RECORD], MATCH(Table1[[#This Row],[HomeTeam]],Table2[Team], 0), 0)</f>
        <v>0-0-0</v>
      </c>
      <c r="AQ1337" s="64" t="str">
        <f>INDEX(Records!$B$2:$AG$33, MATCH(Table1[[#This Row],[HomeTeam]],Records!$A$2:$A$33, 0), MATCH(Table1[[#This Row],[AwayTeam]],Records!$A$2:$A$33, 0))</f>
        <v>0-0-0</v>
      </c>
    </row>
    <row r="1338" spans="1:43" x14ac:dyDescent="0.25">
      <c r="A1338" s="1"/>
      <c r="D1338" t="s">
        <v>1703</v>
      </c>
      <c r="E1338" t="s">
        <v>207</v>
      </c>
      <c r="F1338" t="s">
        <v>1712</v>
      </c>
      <c r="G1338" t="s">
        <v>43</v>
      </c>
      <c r="H1338" t="s">
        <v>48</v>
      </c>
      <c r="L1338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38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38" s="1"/>
      <c r="T1338" s="64" t="str">
        <f>IF(Table1[[#This Row],[ActualWinner]]="", "", IF(Table1[[#This Row],[AwayTeam]]=Table1[[#This Row],[ActualWinner]],Table1[[#This Row],[HomeTeam]],Table1[[#This Row],[AwayTeam]]))</f>
        <v/>
      </c>
      <c r="U1338" s="64">
        <f>Table1[[#This Row],[ActualAwayScore]]-Table1[[#This Row],[PredictedAwayScore]]</f>
        <v>0</v>
      </c>
      <c r="V1338" s="64">
        <f>Table1[[#This Row],[ActualHomeScore]]-Table1[[#This Row],[PredictedHomeScore]]</f>
        <v>0</v>
      </c>
      <c r="W1338" s="64">
        <f>(0.8*IF(Table1[[#This Row],[CorrectWinnerPrediction]]=1, 1, 0))+(0.1*IF(Table1[[#This Row],[CorrectAwayScorePrediction]]=1, 1, 0))+(0.1*IF(Table1[[#This Row],[CorrectHomeScorePrediction]]=1, 1, 0))</f>
        <v>0</v>
      </c>
      <c r="X1338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38" s="64">
        <f>SUMIF(Table1[GameDate], Table1[[#This Row],[GameDate]], Table1[AwayGameGoalDiff])</f>
        <v>0</v>
      </c>
      <c r="AA1338" s="64">
        <f>SUMIF(Table1[GameDate], Table1[[#This Row],[GameDate]], Table1[HomeGameGoalDiff])</f>
        <v>0</v>
      </c>
      <c r="AB1338" s="64">
        <f>IF(ISBLANK(Table1[[#This Row],[ActualResult]]), 0, 1)</f>
        <v>0</v>
      </c>
      <c r="AC1338" s="64">
        <f>IF(ISBLANK(Table1[[#This Row],[ActualResult]]), 0, IF(Table1[[#This Row],[ActualWinner]]=Table1[[#This Row],[PredictedWinner]], 1, 0))</f>
        <v>0</v>
      </c>
      <c r="AD1338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38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38" s="64">
        <f>IF(AND(Table1[[#This Row],[GameIsOver]]=1,Table1[[#This Row],[ActualAwayScore]]=0), 1,0)</f>
        <v>0</v>
      </c>
      <c r="AG1338" s="64">
        <f>IF(AND(Table1[[#This Row],[GameIsOver]]=1,Table1[[#This Row],[ActualHomeScore]]=0), 1,0)</f>
        <v>0</v>
      </c>
      <c r="AH1338" s="64">
        <f>IF(Table1[[#This Row],[GameIsOver]]=0,0,IF(Table1[[#This Row],[ActualWinner]]=Table1[[#This Row],[AwayTeam]], 1, 0))</f>
        <v>0</v>
      </c>
      <c r="AI1338" s="64">
        <f>IF(Table1[[#This Row],[GameIsOver]]=0,0,IF(Table1[[#This Row],[ActualWinner]]=Table1[[#This Row],[HomeTeam]], 1, 0))</f>
        <v>0</v>
      </c>
      <c r="AJ1338" s="64">
        <f>IF(INDEX(Standings!$A$2:$C$33,MATCH(Table1[[#This Row],[AwayTeam]],Standings!$A$2:$A$33,0),2)=INDEX(Standings!$A$2:$C$33,MATCH(Table1[[#This Row],[HomeTeam]],Standings!$A$2:$A$33,0),2),1,0)</f>
        <v>1</v>
      </c>
      <c r="AK1338" s="64">
        <f>IF(INDEX(Standings!$A$2:$C$33,MATCH(Table1[[#This Row],[AwayTeam]],Standings!$A$2:$A$33,0),3)=INDEX(Standings!$A$2:$C$33,MATCH(Table1[[#This Row],[HomeTeam]],Standings!$A$2:$A$33,0),3),1,0)</f>
        <v>1</v>
      </c>
      <c r="AL1338" s="64">
        <f>IF(Table1[[#This Row],[InterConf]]=1,IF(Table1[[#This Row],[InterDiv]]=0, 1, 0), 0)</f>
        <v>0</v>
      </c>
      <c r="AM1338" s="64">
        <f>IF(INDEX(Standings!$A$2:$C$33,MATCH(Table1[[#This Row],[AwayTeam]],Standings!$A$2:$A$33,0),2)&lt;&gt;INDEX(Standings!$A$2:$C$33,MATCH(Table1[[#This Row],[HomeTeam]],Standings!$A$2:$A$33,0),2),1,0)</f>
        <v>0</v>
      </c>
      <c r="AN1338" s="64" t="str">
        <f>INDEX(Table2[AWAY_RECORD], MATCH(Table1[[#This Row],[AwayTeam]],Table2[Team], 0), 0)</f>
        <v>0-0-0</v>
      </c>
      <c r="AO1338" s="64" t="str">
        <f>INDEX(Records!$B$2:$AG$33, MATCH(Table1[[#This Row],[AwayTeam]],Records!$A$2:$A$33, 0), MATCH(Table1[[#This Row],[HomeTeam]],Records!$A$2:$A$33, 0))</f>
        <v>0-0-0</v>
      </c>
      <c r="AP1338" s="64" t="str">
        <f>INDEX(Table2[HOME_RECORD], MATCH(Table1[[#This Row],[HomeTeam]],Table2[Team], 0), 0)</f>
        <v>1-0-0</v>
      </c>
      <c r="AQ1338" s="64" t="str">
        <f>INDEX(Records!$B$2:$AG$33, MATCH(Table1[[#This Row],[HomeTeam]],Records!$A$2:$A$33, 0), MATCH(Table1[[#This Row],[AwayTeam]],Records!$A$2:$A$33, 0))</f>
        <v>0-0-0</v>
      </c>
    </row>
    <row r="1339" spans="1:43" x14ac:dyDescent="0.25">
      <c r="A1339" s="1"/>
      <c r="D1339" t="s">
        <v>1703</v>
      </c>
      <c r="E1339" t="s">
        <v>160</v>
      </c>
      <c r="F1339" t="s">
        <v>1713</v>
      </c>
      <c r="G1339" t="s">
        <v>47</v>
      </c>
      <c r="H1339" t="s">
        <v>52</v>
      </c>
      <c r="L1339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39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39" s="1"/>
      <c r="T1339" s="64" t="str">
        <f>IF(Table1[[#This Row],[ActualWinner]]="", "", IF(Table1[[#This Row],[AwayTeam]]=Table1[[#This Row],[ActualWinner]],Table1[[#This Row],[HomeTeam]],Table1[[#This Row],[AwayTeam]]))</f>
        <v/>
      </c>
      <c r="U1339" s="64">
        <f>Table1[[#This Row],[ActualAwayScore]]-Table1[[#This Row],[PredictedAwayScore]]</f>
        <v>0</v>
      </c>
      <c r="V1339" s="64">
        <f>Table1[[#This Row],[ActualHomeScore]]-Table1[[#This Row],[PredictedHomeScore]]</f>
        <v>0</v>
      </c>
      <c r="W1339" s="64">
        <f>(0.8*IF(Table1[[#This Row],[CorrectWinnerPrediction]]=1, 1, 0))+(0.1*IF(Table1[[#This Row],[CorrectAwayScorePrediction]]=1, 1, 0))+(0.1*IF(Table1[[#This Row],[CorrectHomeScorePrediction]]=1, 1, 0))</f>
        <v>0</v>
      </c>
      <c r="X1339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39" s="64">
        <f>SUMIF(Table1[GameDate], Table1[[#This Row],[GameDate]], Table1[AwayGameGoalDiff])</f>
        <v>0</v>
      </c>
      <c r="AA1339" s="64">
        <f>SUMIF(Table1[GameDate], Table1[[#This Row],[GameDate]], Table1[HomeGameGoalDiff])</f>
        <v>0</v>
      </c>
      <c r="AB1339" s="64">
        <f>IF(ISBLANK(Table1[[#This Row],[ActualResult]]), 0, 1)</f>
        <v>0</v>
      </c>
      <c r="AC1339" s="64">
        <f>IF(ISBLANK(Table1[[#This Row],[ActualResult]]), 0, IF(Table1[[#This Row],[ActualWinner]]=Table1[[#This Row],[PredictedWinner]], 1, 0))</f>
        <v>0</v>
      </c>
      <c r="AD1339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39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39" s="64">
        <f>IF(AND(Table1[[#This Row],[GameIsOver]]=1,Table1[[#This Row],[ActualAwayScore]]=0), 1,0)</f>
        <v>0</v>
      </c>
      <c r="AG1339" s="64">
        <f>IF(AND(Table1[[#This Row],[GameIsOver]]=1,Table1[[#This Row],[ActualHomeScore]]=0), 1,0)</f>
        <v>0</v>
      </c>
      <c r="AH1339" s="64">
        <f>IF(Table1[[#This Row],[GameIsOver]]=0,0,IF(Table1[[#This Row],[ActualWinner]]=Table1[[#This Row],[AwayTeam]], 1, 0))</f>
        <v>0</v>
      </c>
      <c r="AI1339" s="64">
        <f>IF(Table1[[#This Row],[GameIsOver]]=0,0,IF(Table1[[#This Row],[ActualWinner]]=Table1[[#This Row],[HomeTeam]], 1, 0))</f>
        <v>0</v>
      </c>
      <c r="AJ1339" s="64">
        <f>IF(INDEX(Standings!$A$2:$C$33,MATCH(Table1[[#This Row],[AwayTeam]],Standings!$A$2:$A$33,0),2)=INDEX(Standings!$A$2:$C$33,MATCH(Table1[[#This Row],[HomeTeam]],Standings!$A$2:$A$33,0),2),1,0)</f>
        <v>1</v>
      </c>
      <c r="AK1339" s="64">
        <f>IF(INDEX(Standings!$A$2:$C$33,MATCH(Table1[[#This Row],[AwayTeam]],Standings!$A$2:$A$33,0),3)=INDEX(Standings!$A$2:$C$33,MATCH(Table1[[#This Row],[HomeTeam]],Standings!$A$2:$A$33,0),3),1,0)</f>
        <v>1</v>
      </c>
      <c r="AL1339" s="64">
        <f>IF(Table1[[#This Row],[InterConf]]=1,IF(Table1[[#This Row],[InterDiv]]=0, 1, 0), 0)</f>
        <v>0</v>
      </c>
      <c r="AM1339" s="64">
        <f>IF(INDEX(Standings!$A$2:$C$33,MATCH(Table1[[#This Row],[AwayTeam]],Standings!$A$2:$A$33,0),2)&lt;&gt;INDEX(Standings!$A$2:$C$33,MATCH(Table1[[#This Row],[HomeTeam]],Standings!$A$2:$A$33,0),2),1,0)</f>
        <v>0</v>
      </c>
      <c r="AN1339" s="64" t="str">
        <f>INDEX(Table2[AWAY_RECORD], MATCH(Table1[[#This Row],[AwayTeam]],Table2[Team], 0), 0)</f>
        <v>1-0-0</v>
      </c>
      <c r="AO1339" s="64" t="str">
        <f>INDEX(Records!$B$2:$AG$33, MATCH(Table1[[#This Row],[AwayTeam]],Records!$A$2:$A$33, 0), MATCH(Table1[[#This Row],[HomeTeam]],Records!$A$2:$A$33, 0))</f>
        <v>0-0-0</v>
      </c>
      <c r="AP1339" s="64" t="str">
        <f>INDEX(Table2[HOME_RECORD], MATCH(Table1[[#This Row],[HomeTeam]],Table2[Team], 0), 0)</f>
        <v>0-0-0</v>
      </c>
      <c r="AQ1339" s="64" t="str">
        <f>INDEX(Records!$B$2:$AG$33, MATCH(Table1[[#This Row],[HomeTeam]],Records!$A$2:$A$33, 0), MATCH(Table1[[#This Row],[AwayTeam]],Records!$A$2:$A$33, 0))</f>
        <v>0-0-0</v>
      </c>
    </row>
    <row r="1340" spans="1:43" x14ac:dyDescent="0.25">
      <c r="A1340" s="1"/>
      <c r="D1340" t="s">
        <v>1703</v>
      </c>
      <c r="E1340" t="s">
        <v>160</v>
      </c>
      <c r="F1340" t="s">
        <v>1714</v>
      </c>
      <c r="G1340" t="s">
        <v>24</v>
      </c>
      <c r="H1340" t="s">
        <v>51</v>
      </c>
      <c r="L1340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40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40" s="1"/>
      <c r="T1340" s="64" t="str">
        <f>IF(Table1[[#This Row],[ActualWinner]]="", "", IF(Table1[[#This Row],[AwayTeam]]=Table1[[#This Row],[ActualWinner]],Table1[[#This Row],[HomeTeam]],Table1[[#This Row],[AwayTeam]]))</f>
        <v/>
      </c>
      <c r="U1340" s="64">
        <f>Table1[[#This Row],[ActualAwayScore]]-Table1[[#This Row],[PredictedAwayScore]]</f>
        <v>0</v>
      </c>
      <c r="V1340" s="64">
        <f>Table1[[#This Row],[ActualHomeScore]]-Table1[[#This Row],[PredictedHomeScore]]</f>
        <v>0</v>
      </c>
      <c r="W1340" s="64">
        <f>(0.8*IF(Table1[[#This Row],[CorrectWinnerPrediction]]=1, 1, 0))+(0.1*IF(Table1[[#This Row],[CorrectAwayScorePrediction]]=1, 1, 0))+(0.1*IF(Table1[[#This Row],[CorrectHomeScorePrediction]]=1, 1, 0))</f>
        <v>0</v>
      </c>
      <c r="X1340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40" s="64">
        <f>SUMIF(Table1[GameDate], Table1[[#This Row],[GameDate]], Table1[AwayGameGoalDiff])</f>
        <v>0</v>
      </c>
      <c r="AA1340" s="64">
        <f>SUMIF(Table1[GameDate], Table1[[#This Row],[GameDate]], Table1[HomeGameGoalDiff])</f>
        <v>0</v>
      </c>
      <c r="AB1340" s="64">
        <f>IF(ISBLANK(Table1[[#This Row],[ActualResult]]), 0, 1)</f>
        <v>0</v>
      </c>
      <c r="AC1340" s="64">
        <f>IF(ISBLANK(Table1[[#This Row],[ActualResult]]), 0, IF(Table1[[#This Row],[ActualWinner]]=Table1[[#This Row],[PredictedWinner]], 1, 0))</f>
        <v>0</v>
      </c>
      <c r="AD1340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40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40" s="64">
        <f>IF(AND(Table1[[#This Row],[GameIsOver]]=1,Table1[[#This Row],[ActualAwayScore]]=0), 1,0)</f>
        <v>0</v>
      </c>
      <c r="AG1340" s="64">
        <f>IF(AND(Table1[[#This Row],[GameIsOver]]=1,Table1[[#This Row],[ActualHomeScore]]=0), 1,0)</f>
        <v>0</v>
      </c>
      <c r="AH1340" s="64">
        <f>IF(Table1[[#This Row],[GameIsOver]]=0,0,IF(Table1[[#This Row],[ActualWinner]]=Table1[[#This Row],[AwayTeam]], 1, 0))</f>
        <v>0</v>
      </c>
      <c r="AI1340" s="64">
        <f>IF(Table1[[#This Row],[GameIsOver]]=0,0,IF(Table1[[#This Row],[ActualWinner]]=Table1[[#This Row],[HomeTeam]], 1, 0))</f>
        <v>0</v>
      </c>
      <c r="AJ1340" s="64">
        <f>IF(INDEX(Standings!$A$2:$C$33,MATCH(Table1[[#This Row],[AwayTeam]],Standings!$A$2:$A$33,0),2)=INDEX(Standings!$A$2:$C$33,MATCH(Table1[[#This Row],[HomeTeam]],Standings!$A$2:$A$33,0),2),1,0)</f>
        <v>1</v>
      </c>
      <c r="AK1340" s="64">
        <f>IF(INDEX(Standings!$A$2:$C$33,MATCH(Table1[[#This Row],[AwayTeam]],Standings!$A$2:$A$33,0),3)=INDEX(Standings!$A$2:$C$33,MATCH(Table1[[#This Row],[HomeTeam]],Standings!$A$2:$A$33,0),3),1,0)</f>
        <v>0</v>
      </c>
      <c r="AL1340" s="64">
        <f>IF(Table1[[#This Row],[InterConf]]=1,IF(Table1[[#This Row],[InterDiv]]=0, 1, 0), 0)</f>
        <v>1</v>
      </c>
      <c r="AM1340" s="64">
        <f>IF(INDEX(Standings!$A$2:$C$33,MATCH(Table1[[#This Row],[AwayTeam]],Standings!$A$2:$A$33,0),2)&lt;&gt;INDEX(Standings!$A$2:$C$33,MATCH(Table1[[#This Row],[HomeTeam]],Standings!$A$2:$A$33,0),2),1,0)</f>
        <v>0</v>
      </c>
      <c r="AN1340" s="64" t="str">
        <f>INDEX(Table2[AWAY_RECORD], MATCH(Table1[[#This Row],[AwayTeam]],Table2[Team], 0), 0)</f>
        <v>0-0-0</v>
      </c>
      <c r="AO1340" s="64" t="str">
        <f>INDEX(Records!$B$2:$AG$33, MATCH(Table1[[#This Row],[AwayTeam]],Records!$A$2:$A$33, 0), MATCH(Table1[[#This Row],[HomeTeam]],Records!$A$2:$A$33, 0))</f>
        <v>0-0-0</v>
      </c>
      <c r="AP1340" s="64" t="str">
        <f>INDEX(Table2[HOME_RECORD], MATCH(Table1[[#This Row],[HomeTeam]],Table2[Team], 0), 0)</f>
        <v>1-0-0</v>
      </c>
      <c r="AQ1340" s="64" t="str">
        <f>INDEX(Records!$B$2:$AG$33, MATCH(Table1[[#This Row],[HomeTeam]],Records!$A$2:$A$33, 0), MATCH(Table1[[#This Row],[AwayTeam]],Records!$A$2:$A$33, 0))</f>
        <v>0-0-0</v>
      </c>
    </row>
    <row r="1341" spans="1:43" x14ac:dyDescent="0.25">
      <c r="A1341" s="1"/>
      <c r="D1341" t="s">
        <v>1703</v>
      </c>
      <c r="E1341" t="s">
        <v>160</v>
      </c>
      <c r="F1341" t="s">
        <v>1715</v>
      </c>
      <c r="G1341" t="s">
        <v>58</v>
      </c>
      <c r="H1341" t="s">
        <v>61</v>
      </c>
      <c r="L1341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41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41" s="1"/>
      <c r="T1341" s="64" t="str">
        <f>IF(Table1[[#This Row],[ActualWinner]]="", "", IF(Table1[[#This Row],[AwayTeam]]=Table1[[#This Row],[ActualWinner]],Table1[[#This Row],[HomeTeam]],Table1[[#This Row],[AwayTeam]]))</f>
        <v/>
      </c>
      <c r="U1341" s="64">
        <f>Table1[[#This Row],[ActualAwayScore]]-Table1[[#This Row],[PredictedAwayScore]]</f>
        <v>0</v>
      </c>
      <c r="V1341" s="64">
        <f>Table1[[#This Row],[ActualHomeScore]]-Table1[[#This Row],[PredictedHomeScore]]</f>
        <v>0</v>
      </c>
      <c r="W1341" s="64">
        <f>(0.8*IF(Table1[[#This Row],[CorrectWinnerPrediction]]=1, 1, 0))+(0.1*IF(Table1[[#This Row],[CorrectAwayScorePrediction]]=1, 1, 0))+(0.1*IF(Table1[[#This Row],[CorrectHomeScorePrediction]]=1, 1, 0))</f>
        <v>0</v>
      </c>
      <c r="X1341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41" s="64">
        <f>SUMIF(Table1[GameDate], Table1[[#This Row],[GameDate]], Table1[AwayGameGoalDiff])</f>
        <v>0</v>
      </c>
      <c r="AA1341" s="64">
        <f>SUMIF(Table1[GameDate], Table1[[#This Row],[GameDate]], Table1[HomeGameGoalDiff])</f>
        <v>0</v>
      </c>
      <c r="AB1341" s="64">
        <f>IF(ISBLANK(Table1[[#This Row],[ActualResult]]), 0, 1)</f>
        <v>0</v>
      </c>
      <c r="AC1341" s="64">
        <f>IF(ISBLANK(Table1[[#This Row],[ActualResult]]), 0, IF(Table1[[#This Row],[ActualWinner]]=Table1[[#This Row],[PredictedWinner]], 1, 0))</f>
        <v>0</v>
      </c>
      <c r="AD1341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41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41" s="64">
        <f>IF(AND(Table1[[#This Row],[GameIsOver]]=1,Table1[[#This Row],[ActualAwayScore]]=0), 1,0)</f>
        <v>0</v>
      </c>
      <c r="AG1341" s="64">
        <f>IF(AND(Table1[[#This Row],[GameIsOver]]=1,Table1[[#This Row],[ActualHomeScore]]=0), 1,0)</f>
        <v>0</v>
      </c>
      <c r="AH1341" s="64">
        <f>IF(Table1[[#This Row],[GameIsOver]]=0,0,IF(Table1[[#This Row],[ActualWinner]]=Table1[[#This Row],[AwayTeam]], 1, 0))</f>
        <v>0</v>
      </c>
      <c r="AI1341" s="64">
        <f>IF(Table1[[#This Row],[GameIsOver]]=0,0,IF(Table1[[#This Row],[ActualWinner]]=Table1[[#This Row],[HomeTeam]], 1, 0))</f>
        <v>0</v>
      </c>
      <c r="AJ1341" s="64">
        <f>IF(INDEX(Standings!$A$2:$C$33,MATCH(Table1[[#This Row],[AwayTeam]],Standings!$A$2:$A$33,0),2)=INDEX(Standings!$A$2:$C$33,MATCH(Table1[[#This Row],[HomeTeam]],Standings!$A$2:$A$33,0),2),1,0)</f>
        <v>1</v>
      </c>
      <c r="AK1341" s="64">
        <f>IF(INDEX(Standings!$A$2:$C$33,MATCH(Table1[[#This Row],[AwayTeam]],Standings!$A$2:$A$33,0),3)=INDEX(Standings!$A$2:$C$33,MATCH(Table1[[#This Row],[HomeTeam]],Standings!$A$2:$A$33,0),3),1,0)</f>
        <v>1</v>
      </c>
      <c r="AL1341" s="64">
        <f>IF(Table1[[#This Row],[InterConf]]=1,IF(Table1[[#This Row],[InterDiv]]=0, 1, 0), 0)</f>
        <v>0</v>
      </c>
      <c r="AM1341" s="64">
        <f>IF(INDEX(Standings!$A$2:$C$33,MATCH(Table1[[#This Row],[AwayTeam]],Standings!$A$2:$A$33,0),2)&lt;&gt;INDEX(Standings!$A$2:$C$33,MATCH(Table1[[#This Row],[HomeTeam]],Standings!$A$2:$A$33,0),2),1,0)</f>
        <v>0</v>
      </c>
      <c r="AN1341" s="64" t="str">
        <f>INDEX(Table2[AWAY_RECORD], MATCH(Table1[[#This Row],[AwayTeam]],Table2[Team], 0), 0)</f>
        <v>0-0-0</v>
      </c>
      <c r="AO1341" s="64" t="str">
        <f>INDEX(Records!$B$2:$AG$33, MATCH(Table1[[#This Row],[AwayTeam]],Records!$A$2:$A$33, 0), MATCH(Table1[[#This Row],[HomeTeam]],Records!$A$2:$A$33, 0))</f>
        <v>0-0-0</v>
      </c>
      <c r="AP1341" s="64" t="str">
        <f>INDEX(Table2[HOME_RECORD], MATCH(Table1[[#This Row],[HomeTeam]],Table2[Team], 0), 0)</f>
        <v>0-0-0</v>
      </c>
      <c r="AQ1341" s="64" t="str">
        <f>INDEX(Records!$B$2:$AG$33, MATCH(Table1[[#This Row],[HomeTeam]],Records!$A$2:$A$33, 0), MATCH(Table1[[#This Row],[AwayTeam]],Records!$A$2:$A$33, 0))</f>
        <v>0-0-0</v>
      </c>
    </row>
    <row r="1342" spans="1:43" x14ac:dyDescent="0.25">
      <c r="A1342" s="1"/>
      <c r="D1342" t="s">
        <v>1703</v>
      </c>
      <c r="E1342" t="s">
        <v>162</v>
      </c>
      <c r="F1342" t="s">
        <v>1716</v>
      </c>
      <c r="G1342" t="s">
        <v>37</v>
      </c>
      <c r="H1342" t="s">
        <v>57</v>
      </c>
      <c r="L1342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42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42" s="1"/>
      <c r="T1342" s="64" t="str">
        <f>IF(Table1[[#This Row],[ActualWinner]]="", "", IF(Table1[[#This Row],[AwayTeam]]=Table1[[#This Row],[ActualWinner]],Table1[[#This Row],[HomeTeam]],Table1[[#This Row],[AwayTeam]]))</f>
        <v/>
      </c>
      <c r="U1342" s="64">
        <f>Table1[[#This Row],[ActualAwayScore]]-Table1[[#This Row],[PredictedAwayScore]]</f>
        <v>0</v>
      </c>
      <c r="V1342" s="64">
        <f>Table1[[#This Row],[ActualHomeScore]]-Table1[[#This Row],[PredictedHomeScore]]</f>
        <v>0</v>
      </c>
      <c r="W1342" s="64">
        <f>(0.8*IF(Table1[[#This Row],[CorrectWinnerPrediction]]=1, 1, 0))+(0.1*IF(Table1[[#This Row],[CorrectAwayScorePrediction]]=1, 1, 0))+(0.1*IF(Table1[[#This Row],[CorrectHomeScorePrediction]]=1, 1, 0))</f>
        <v>0</v>
      </c>
      <c r="X1342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42" s="64">
        <f>SUMIF(Table1[GameDate], Table1[[#This Row],[GameDate]], Table1[AwayGameGoalDiff])</f>
        <v>0</v>
      </c>
      <c r="AA1342" s="64">
        <f>SUMIF(Table1[GameDate], Table1[[#This Row],[GameDate]], Table1[HomeGameGoalDiff])</f>
        <v>0</v>
      </c>
      <c r="AB1342" s="64">
        <f>IF(ISBLANK(Table1[[#This Row],[ActualResult]]), 0, 1)</f>
        <v>0</v>
      </c>
      <c r="AC1342" s="64">
        <f>IF(ISBLANK(Table1[[#This Row],[ActualResult]]), 0, IF(Table1[[#This Row],[ActualWinner]]=Table1[[#This Row],[PredictedWinner]], 1, 0))</f>
        <v>0</v>
      </c>
      <c r="AD1342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42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42" s="64">
        <f>IF(AND(Table1[[#This Row],[GameIsOver]]=1,Table1[[#This Row],[ActualAwayScore]]=0), 1,0)</f>
        <v>0</v>
      </c>
      <c r="AG1342" s="64">
        <f>IF(AND(Table1[[#This Row],[GameIsOver]]=1,Table1[[#This Row],[ActualHomeScore]]=0), 1,0)</f>
        <v>0</v>
      </c>
      <c r="AH1342" s="64">
        <f>IF(Table1[[#This Row],[GameIsOver]]=0,0,IF(Table1[[#This Row],[ActualWinner]]=Table1[[#This Row],[AwayTeam]], 1, 0))</f>
        <v>0</v>
      </c>
      <c r="AI1342" s="64">
        <f>IF(Table1[[#This Row],[GameIsOver]]=0,0,IF(Table1[[#This Row],[ActualWinner]]=Table1[[#This Row],[HomeTeam]], 1, 0))</f>
        <v>0</v>
      </c>
      <c r="AJ1342" s="64">
        <f>IF(INDEX(Standings!$A$2:$C$33,MATCH(Table1[[#This Row],[AwayTeam]],Standings!$A$2:$A$33,0),2)=INDEX(Standings!$A$2:$C$33,MATCH(Table1[[#This Row],[HomeTeam]],Standings!$A$2:$A$33,0),2),1,0)</f>
        <v>1</v>
      </c>
      <c r="AK1342" s="64">
        <f>IF(INDEX(Standings!$A$2:$C$33,MATCH(Table1[[#This Row],[AwayTeam]],Standings!$A$2:$A$33,0),3)=INDEX(Standings!$A$2:$C$33,MATCH(Table1[[#This Row],[HomeTeam]],Standings!$A$2:$A$33,0),3),1,0)</f>
        <v>1</v>
      </c>
      <c r="AL1342" s="64">
        <f>IF(Table1[[#This Row],[InterConf]]=1,IF(Table1[[#This Row],[InterDiv]]=0, 1, 0), 0)</f>
        <v>0</v>
      </c>
      <c r="AM1342" s="64">
        <f>IF(INDEX(Standings!$A$2:$C$33,MATCH(Table1[[#This Row],[AwayTeam]],Standings!$A$2:$A$33,0),2)&lt;&gt;INDEX(Standings!$A$2:$C$33,MATCH(Table1[[#This Row],[HomeTeam]],Standings!$A$2:$A$33,0),2),1,0)</f>
        <v>0</v>
      </c>
      <c r="AN1342" s="64" t="str">
        <f>INDEX(Table2[AWAY_RECORD], MATCH(Table1[[#This Row],[AwayTeam]],Table2[Team], 0), 0)</f>
        <v>0-0-1</v>
      </c>
      <c r="AO1342" s="64" t="str">
        <f>INDEX(Records!$B$2:$AG$33, MATCH(Table1[[#This Row],[AwayTeam]],Records!$A$2:$A$33, 0), MATCH(Table1[[#This Row],[HomeTeam]],Records!$A$2:$A$33, 0))</f>
        <v>0-0-0</v>
      </c>
      <c r="AP1342" s="64" t="str">
        <f>INDEX(Table2[HOME_RECORD], MATCH(Table1[[#This Row],[HomeTeam]],Table2[Team], 0), 0)</f>
        <v>0-0-0</v>
      </c>
      <c r="AQ1342" s="64" t="str">
        <f>INDEX(Records!$B$2:$AG$33, MATCH(Table1[[#This Row],[HomeTeam]],Records!$A$2:$A$33, 0), MATCH(Table1[[#This Row],[AwayTeam]],Records!$A$2:$A$33, 0))</f>
        <v>0-0-0</v>
      </c>
    </row>
    <row r="1343" spans="1:43" x14ac:dyDescent="0.25">
      <c r="A1343" s="1"/>
      <c r="D1343" t="s">
        <v>1703</v>
      </c>
      <c r="E1343" t="s">
        <v>164</v>
      </c>
      <c r="F1343" t="s">
        <v>1717</v>
      </c>
      <c r="G1343" t="s">
        <v>23</v>
      </c>
      <c r="H1343" t="s">
        <v>39</v>
      </c>
      <c r="L1343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43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43" s="1"/>
      <c r="T1343" s="64" t="str">
        <f>IF(Table1[[#This Row],[ActualWinner]]="", "", IF(Table1[[#This Row],[AwayTeam]]=Table1[[#This Row],[ActualWinner]],Table1[[#This Row],[HomeTeam]],Table1[[#This Row],[AwayTeam]]))</f>
        <v/>
      </c>
      <c r="U1343" s="64">
        <f>Table1[[#This Row],[ActualAwayScore]]-Table1[[#This Row],[PredictedAwayScore]]</f>
        <v>0</v>
      </c>
      <c r="V1343" s="64">
        <f>Table1[[#This Row],[ActualHomeScore]]-Table1[[#This Row],[PredictedHomeScore]]</f>
        <v>0</v>
      </c>
      <c r="W1343" s="64">
        <f>(0.8*IF(Table1[[#This Row],[CorrectWinnerPrediction]]=1, 1, 0))+(0.1*IF(Table1[[#This Row],[CorrectAwayScorePrediction]]=1, 1, 0))+(0.1*IF(Table1[[#This Row],[CorrectHomeScorePrediction]]=1, 1, 0))</f>
        <v>0</v>
      </c>
      <c r="X1343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43" s="64">
        <f>SUMIF(Table1[GameDate], Table1[[#This Row],[GameDate]], Table1[AwayGameGoalDiff])</f>
        <v>0</v>
      </c>
      <c r="AA1343" s="64">
        <f>SUMIF(Table1[GameDate], Table1[[#This Row],[GameDate]], Table1[HomeGameGoalDiff])</f>
        <v>0</v>
      </c>
      <c r="AB1343" s="64">
        <f>IF(ISBLANK(Table1[[#This Row],[ActualResult]]), 0, 1)</f>
        <v>0</v>
      </c>
      <c r="AC1343" s="64">
        <f>IF(ISBLANK(Table1[[#This Row],[ActualResult]]), 0, IF(Table1[[#This Row],[ActualWinner]]=Table1[[#This Row],[PredictedWinner]], 1, 0))</f>
        <v>0</v>
      </c>
      <c r="AD1343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43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43" s="64">
        <f>IF(AND(Table1[[#This Row],[GameIsOver]]=1,Table1[[#This Row],[ActualAwayScore]]=0), 1,0)</f>
        <v>0</v>
      </c>
      <c r="AG1343" s="64">
        <f>IF(AND(Table1[[#This Row],[GameIsOver]]=1,Table1[[#This Row],[ActualHomeScore]]=0), 1,0)</f>
        <v>0</v>
      </c>
      <c r="AH1343" s="64">
        <f>IF(Table1[[#This Row],[GameIsOver]]=0,0,IF(Table1[[#This Row],[ActualWinner]]=Table1[[#This Row],[AwayTeam]], 1, 0))</f>
        <v>0</v>
      </c>
      <c r="AI1343" s="64">
        <f>IF(Table1[[#This Row],[GameIsOver]]=0,0,IF(Table1[[#This Row],[ActualWinner]]=Table1[[#This Row],[HomeTeam]], 1, 0))</f>
        <v>0</v>
      </c>
      <c r="AJ1343" s="64">
        <f>IF(INDEX(Standings!$A$2:$C$33,MATCH(Table1[[#This Row],[AwayTeam]],Standings!$A$2:$A$33,0),2)=INDEX(Standings!$A$2:$C$33,MATCH(Table1[[#This Row],[HomeTeam]],Standings!$A$2:$A$33,0),2),1,0)</f>
        <v>1</v>
      </c>
      <c r="AK1343" s="64">
        <f>IF(INDEX(Standings!$A$2:$C$33,MATCH(Table1[[#This Row],[AwayTeam]],Standings!$A$2:$A$33,0),3)=INDEX(Standings!$A$2:$C$33,MATCH(Table1[[#This Row],[HomeTeam]],Standings!$A$2:$A$33,0),3),1,0)</f>
        <v>1</v>
      </c>
      <c r="AL1343" s="64">
        <f>IF(Table1[[#This Row],[InterConf]]=1,IF(Table1[[#This Row],[InterDiv]]=0, 1, 0), 0)</f>
        <v>0</v>
      </c>
      <c r="AM1343" s="64">
        <f>IF(INDEX(Standings!$A$2:$C$33,MATCH(Table1[[#This Row],[AwayTeam]],Standings!$A$2:$A$33,0),2)&lt;&gt;INDEX(Standings!$A$2:$C$33,MATCH(Table1[[#This Row],[HomeTeam]],Standings!$A$2:$A$33,0),2),1,0)</f>
        <v>0</v>
      </c>
      <c r="AN1343" s="64" t="str">
        <f>INDEX(Table2[AWAY_RECORD], MATCH(Table1[[#This Row],[AwayTeam]],Table2[Team], 0), 0)</f>
        <v>0-0-1</v>
      </c>
      <c r="AO1343" s="64" t="str">
        <f>INDEX(Records!$B$2:$AG$33, MATCH(Table1[[#This Row],[AwayTeam]],Records!$A$2:$A$33, 0), MATCH(Table1[[#This Row],[HomeTeam]],Records!$A$2:$A$33, 0))</f>
        <v>0-0-0</v>
      </c>
      <c r="AP1343" s="64" t="str">
        <f>INDEX(Table2[HOME_RECORD], MATCH(Table1[[#This Row],[HomeTeam]],Table2[Team], 0), 0)</f>
        <v>0-1-0</v>
      </c>
      <c r="AQ1343" s="64" t="str">
        <f>INDEX(Records!$B$2:$AG$33, MATCH(Table1[[#This Row],[HomeTeam]],Records!$A$2:$A$33, 0), MATCH(Table1[[#This Row],[AwayTeam]],Records!$A$2:$A$33, 0))</f>
        <v>0-0-0</v>
      </c>
    </row>
    <row r="1344" spans="1:43" x14ac:dyDescent="0.25">
      <c r="A1344" s="1"/>
      <c r="D1344" t="s">
        <v>1703</v>
      </c>
      <c r="E1344" t="s">
        <v>164</v>
      </c>
      <c r="F1344" t="s">
        <v>1718</v>
      </c>
      <c r="G1344" t="s">
        <v>60</v>
      </c>
      <c r="H1344" t="s">
        <v>45</v>
      </c>
      <c r="L1344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44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44" s="1"/>
      <c r="T1344" s="64" t="str">
        <f>IF(Table1[[#This Row],[ActualWinner]]="", "", IF(Table1[[#This Row],[AwayTeam]]=Table1[[#This Row],[ActualWinner]],Table1[[#This Row],[HomeTeam]],Table1[[#This Row],[AwayTeam]]))</f>
        <v/>
      </c>
      <c r="U1344" s="64">
        <f>Table1[[#This Row],[ActualAwayScore]]-Table1[[#This Row],[PredictedAwayScore]]</f>
        <v>0</v>
      </c>
      <c r="V1344" s="64">
        <f>Table1[[#This Row],[ActualHomeScore]]-Table1[[#This Row],[PredictedHomeScore]]</f>
        <v>0</v>
      </c>
      <c r="W1344" s="64">
        <f>(0.8*IF(Table1[[#This Row],[CorrectWinnerPrediction]]=1, 1, 0))+(0.1*IF(Table1[[#This Row],[CorrectAwayScorePrediction]]=1, 1, 0))+(0.1*IF(Table1[[#This Row],[CorrectHomeScorePrediction]]=1, 1, 0))</f>
        <v>0</v>
      </c>
      <c r="X1344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44" s="64">
        <f>SUMIF(Table1[GameDate], Table1[[#This Row],[GameDate]], Table1[AwayGameGoalDiff])</f>
        <v>0</v>
      </c>
      <c r="AA1344" s="64">
        <f>SUMIF(Table1[GameDate], Table1[[#This Row],[GameDate]], Table1[HomeGameGoalDiff])</f>
        <v>0</v>
      </c>
      <c r="AB1344" s="64">
        <f>IF(ISBLANK(Table1[[#This Row],[ActualResult]]), 0, 1)</f>
        <v>0</v>
      </c>
      <c r="AC1344" s="64">
        <f>IF(ISBLANK(Table1[[#This Row],[ActualResult]]), 0, IF(Table1[[#This Row],[ActualWinner]]=Table1[[#This Row],[PredictedWinner]], 1, 0))</f>
        <v>0</v>
      </c>
      <c r="AD1344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44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44" s="64">
        <f>IF(AND(Table1[[#This Row],[GameIsOver]]=1,Table1[[#This Row],[ActualAwayScore]]=0), 1,0)</f>
        <v>0</v>
      </c>
      <c r="AG1344" s="64">
        <f>IF(AND(Table1[[#This Row],[GameIsOver]]=1,Table1[[#This Row],[ActualHomeScore]]=0), 1,0)</f>
        <v>0</v>
      </c>
      <c r="AH1344" s="64">
        <f>IF(Table1[[#This Row],[GameIsOver]]=0,0,IF(Table1[[#This Row],[ActualWinner]]=Table1[[#This Row],[AwayTeam]], 1, 0))</f>
        <v>0</v>
      </c>
      <c r="AI1344" s="64">
        <f>IF(Table1[[#This Row],[GameIsOver]]=0,0,IF(Table1[[#This Row],[ActualWinner]]=Table1[[#This Row],[HomeTeam]], 1, 0))</f>
        <v>0</v>
      </c>
      <c r="AJ1344" s="64">
        <f>IF(INDEX(Standings!$A$2:$C$33,MATCH(Table1[[#This Row],[AwayTeam]],Standings!$A$2:$A$33,0),2)=INDEX(Standings!$A$2:$C$33,MATCH(Table1[[#This Row],[HomeTeam]],Standings!$A$2:$A$33,0),2),1,0)</f>
        <v>1</v>
      </c>
      <c r="AK1344" s="64">
        <f>IF(INDEX(Standings!$A$2:$C$33,MATCH(Table1[[#This Row],[AwayTeam]],Standings!$A$2:$A$33,0),3)=INDEX(Standings!$A$2:$C$33,MATCH(Table1[[#This Row],[HomeTeam]],Standings!$A$2:$A$33,0),3),1,0)</f>
        <v>0</v>
      </c>
      <c r="AL1344" s="64">
        <f>IF(Table1[[#This Row],[InterConf]]=1,IF(Table1[[#This Row],[InterDiv]]=0, 1, 0), 0)</f>
        <v>1</v>
      </c>
      <c r="AM1344" s="64">
        <f>IF(INDEX(Standings!$A$2:$C$33,MATCH(Table1[[#This Row],[AwayTeam]],Standings!$A$2:$A$33,0),2)&lt;&gt;INDEX(Standings!$A$2:$C$33,MATCH(Table1[[#This Row],[HomeTeam]],Standings!$A$2:$A$33,0),2),1,0)</f>
        <v>0</v>
      </c>
      <c r="AN1344" s="64" t="str">
        <f>INDEX(Table2[AWAY_RECORD], MATCH(Table1[[#This Row],[AwayTeam]],Table2[Team], 0), 0)</f>
        <v>0-0-0</v>
      </c>
      <c r="AO1344" s="64" t="str">
        <f>INDEX(Records!$B$2:$AG$33, MATCH(Table1[[#This Row],[AwayTeam]],Records!$A$2:$A$33, 0), MATCH(Table1[[#This Row],[HomeTeam]],Records!$A$2:$A$33, 0))</f>
        <v>0-0-0</v>
      </c>
      <c r="AP1344" s="64" t="str">
        <f>INDEX(Table2[HOME_RECORD], MATCH(Table1[[#This Row],[HomeTeam]],Table2[Team], 0), 0)</f>
        <v>1-0-0</v>
      </c>
      <c r="AQ1344" s="64" t="str">
        <f>INDEX(Records!$B$2:$AG$33, MATCH(Table1[[#This Row],[HomeTeam]],Records!$A$2:$A$33, 0), MATCH(Table1[[#This Row],[AwayTeam]],Records!$A$2:$A$33, 0))</f>
        <v>0-0-0</v>
      </c>
    </row>
    <row r="1345" spans="1:43" x14ac:dyDescent="0.25">
      <c r="A1345" s="1"/>
      <c r="D1345" t="s">
        <v>1703</v>
      </c>
      <c r="E1345" t="s">
        <v>166</v>
      </c>
      <c r="F1345" t="s">
        <v>1719</v>
      </c>
      <c r="G1345" t="s">
        <v>46</v>
      </c>
      <c r="H1345" t="s">
        <v>25</v>
      </c>
      <c r="L1345" s="6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/>
      </c>
      <c r="P1345" s="6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/>
      </c>
      <c r="R1345" s="1"/>
      <c r="T1345" s="64" t="str">
        <f>IF(Table1[[#This Row],[ActualWinner]]="", "", IF(Table1[[#This Row],[AwayTeam]]=Table1[[#This Row],[ActualWinner]],Table1[[#This Row],[HomeTeam]],Table1[[#This Row],[AwayTeam]]))</f>
        <v/>
      </c>
      <c r="U1345" s="64">
        <f>Table1[[#This Row],[ActualAwayScore]]-Table1[[#This Row],[PredictedAwayScore]]</f>
        <v>0</v>
      </c>
      <c r="V1345" s="64">
        <f>Table1[[#This Row],[ActualHomeScore]]-Table1[[#This Row],[PredictedHomeScore]]</f>
        <v>0</v>
      </c>
      <c r="W1345" s="64">
        <f>(0.8*IF(Table1[[#This Row],[CorrectWinnerPrediction]]=1, 1, 0))+(0.1*IF(Table1[[#This Row],[CorrectAwayScorePrediction]]=1, 1, 0))+(0.1*IF(Table1[[#This Row],[CorrectHomeScorePrediction]]=1, 1, 0))</f>
        <v>0</v>
      </c>
      <c r="X1345" s="6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345" s="64">
        <f>SUMIF(Table1[GameDate], Table1[[#This Row],[GameDate]], Table1[AwayGameGoalDiff])</f>
        <v>0</v>
      </c>
      <c r="AA1345" s="64">
        <f>SUMIF(Table1[GameDate], Table1[[#This Row],[GameDate]], Table1[HomeGameGoalDiff])</f>
        <v>0</v>
      </c>
      <c r="AB1345" s="64">
        <f>IF(ISBLANK(Table1[[#This Row],[ActualResult]]), 0, 1)</f>
        <v>0</v>
      </c>
      <c r="AC1345" s="64">
        <f>IF(ISBLANK(Table1[[#This Row],[ActualResult]]), 0, IF(Table1[[#This Row],[ActualWinner]]=Table1[[#This Row],[PredictedWinner]], 1, 0))</f>
        <v>0</v>
      </c>
      <c r="AD1345" s="64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45" s="6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345" s="64">
        <f>IF(AND(Table1[[#This Row],[GameIsOver]]=1,Table1[[#This Row],[ActualAwayScore]]=0), 1,0)</f>
        <v>0</v>
      </c>
      <c r="AG1345" s="64">
        <f>IF(AND(Table1[[#This Row],[GameIsOver]]=1,Table1[[#This Row],[ActualHomeScore]]=0), 1,0)</f>
        <v>0</v>
      </c>
      <c r="AH1345" s="64">
        <f>IF(Table1[[#This Row],[GameIsOver]]=0,0,IF(Table1[[#This Row],[ActualWinner]]=Table1[[#This Row],[AwayTeam]], 1, 0))</f>
        <v>0</v>
      </c>
      <c r="AI1345" s="64">
        <f>IF(Table1[[#This Row],[GameIsOver]]=0,0,IF(Table1[[#This Row],[ActualWinner]]=Table1[[#This Row],[HomeTeam]], 1, 0))</f>
        <v>0</v>
      </c>
      <c r="AJ1345" s="64">
        <f>IF(INDEX(Standings!$A$2:$C$33,MATCH(Table1[[#This Row],[AwayTeam]],Standings!$A$2:$A$33,0),2)=INDEX(Standings!$A$2:$C$33,MATCH(Table1[[#This Row],[HomeTeam]],Standings!$A$2:$A$33,0),2),1,0)</f>
        <v>1</v>
      </c>
      <c r="AK1345" s="64">
        <f>IF(INDEX(Standings!$A$2:$C$33,MATCH(Table1[[#This Row],[AwayTeam]],Standings!$A$2:$A$33,0),3)=INDEX(Standings!$A$2:$C$33,MATCH(Table1[[#This Row],[HomeTeam]],Standings!$A$2:$A$33,0),3),1,0)</f>
        <v>1</v>
      </c>
      <c r="AL1345" s="64">
        <f>IF(Table1[[#This Row],[InterConf]]=1,IF(Table1[[#This Row],[InterDiv]]=0, 1, 0), 0)</f>
        <v>0</v>
      </c>
      <c r="AM1345" s="64">
        <f>IF(INDEX(Standings!$A$2:$C$33,MATCH(Table1[[#This Row],[AwayTeam]],Standings!$A$2:$A$33,0),2)&lt;&gt;INDEX(Standings!$A$2:$C$33,MATCH(Table1[[#This Row],[HomeTeam]],Standings!$A$2:$A$33,0),2),1,0)</f>
        <v>0</v>
      </c>
      <c r="AN1345" s="64" t="str">
        <f>INDEX(Table2[AWAY_RECORD], MATCH(Table1[[#This Row],[AwayTeam]],Table2[Team], 0), 0)</f>
        <v>1-0-0</v>
      </c>
      <c r="AO1345" s="64" t="str">
        <f>INDEX(Records!$B$2:$AG$33, MATCH(Table1[[#This Row],[AwayTeam]],Records!$A$2:$A$33, 0), MATCH(Table1[[#This Row],[HomeTeam]],Records!$A$2:$A$33, 0))</f>
        <v>0-0-0</v>
      </c>
      <c r="AP1345" s="64" t="str">
        <f>INDEX(Table2[HOME_RECORD], MATCH(Table1[[#This Row],[HomeTeam]],Table2[Team], 0), 0)</f>
        <v>0-0-1</v>
      </c>
      <c r="AQ1345" s="64" t="str">
        <f>INDEX(Records!$B$2:$AG$33, MATCH(Table1[[#This Row],[HomeTeam]],Records!$A$2:$A$33, 0), MATCH(Table1[[#This Row],[AwayTeam]],Records!$A$2:$A$33, 0))</f>
        <v>0-0-0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C9FA-DC94-43B4-9979-71749B9D0D9D}">
  <sheetPr codeName="Sheet2"/>
  <dimension ref="A1:GT33"/>
  <sheetViews>
    <sheetView workbookViewId="0">
      <selection activeCell="AB10" sqref="AB10"/>
    </sheetView>
  </sheetViews>
  <sheetFormatPr defaultRowHeight="15" x14ac:dyDescent="0.25"/>
  <cols>
    <col min="1" max="1" width="5.28515625" bestFit="1" customWidth="1"/>
    <col min="2" max="3" width="3.7109375" bestFit="1" customWidth="1"/>
    <col min="4" max="202" width="2.5703125" style="4" customWidth="1"/>
  </cols>
  <sheetData>
    <row r="1" spans="1:202" s="2" customFormat="1" ht="58.5" customHeight="1" x14ac:dyDescent="0.25">
      <c r="A1" s="2" t="s">
        <v>33</v>
      </c>
      <c r="B1" s="2" t="s">
        <v>34</v>
      </c>
      <c r="C1" s="2" t="s">
        <v>35</v>
      </c>
      <c r="D1" s="3">
        <v>46299</v>
      </c>
      <c r="E1" s="3">
        <v>46300</v>
      </c>
      <c r="F1" s="3">
        <v>46301</v>
      </c>
      <c r="G1" s="3">
        <v>46302</v>
      </c>
      <c r="H1" s="3">
        <v>46303</v>
      </c>
      <c r="I1" s="3">
        <v>46304</v>
      </c>
      <c r="J1" s="3">
        <v>46305</v>
      </c>
      <c r="K1" s="3">
        <v>46306</v>
      </c>
      <c r="L1" s="3">
        <v>46307</v>
      </c>
      <c r="M1" s="3">
        <v>46308</v>
      </c>
      <c r="N1" s="3">
        <v>46309</v>
      </c>
      <c r="O1" s="3">
        <v>46310</v>
      </c>
      <c r="P1" s="3">
        <v>46311</v>
      </c>
      <c r="Q1" s="3">
        <v>46312</v>
      </c>
      <c r="R1" s="3">
        <v>46313</v>
      </c>
      <c r="S1" s="3">
        <v>46314</v>
      </c>
      <c r="T1" s="3">
        <v>46315</v>
      </c>
      <c r="U1" s="3">
        <v>46316</v>
      </c>
      <c r="V1" s="3">
        <v>46317</v>
      </c>
      <c r="W1" s="3">
        <v>46318</v>
      </c>
      <c r="X1" s="3">
        <v>46319</v>
      </c>
      <c r="Y1" s="3">
        <v>46320</v>
      </c>
      <c r="Z1" s="3">
        <v>46321</v>
      </c>
      <c r="AA1" s="3">
        <v>46322</v>
      </c>
      <c r="AB1" s="3">
        <v>46323</v>
      </c>
      <c r="AC1" s="3">
        <v>46324</v>
      </c>
      <c r="AD1" s="3">
        <v>46325</v>
      </c>
      <c r="AE1" s="3">
        <v>46326</v>
      </c>
      <c r="AF1" s="3">
        <v>46327</v>
      </c>
      <c r="AG1" s="3">
        <v>46328</v>
      </c>
      <c r="AH1" s="3">
        <v>46329</v>
      </c>
      <c r="AI1" s="3">
        <v>46330</v>
      </c>
      <c r="AJ1" s="3">
        <v>46331</v>
      </c>
      <c r="AK1" s="3">
        <v>46332</v>
      </c>
      <c r="AL1" s="3">
        <v>46333</v>
      </c>
      <c r="AM1" s="3">
        <v>46334</v>
      </c>
      <c r="AN1" s="3">
        <v>46335</v>
      </c>
      <c r="AO1" s="3">
        <v>46336</v>
      </c>
      <c r="AP1" s="3">
        <v>46337</v>
      </c>
      <c r="AQ1" s="3">
        <v>46338</v>
      </c>
      <c r="AR1" s="3">
        <v>46339</v>
      </c>
      <c r="AS1" s="3">
        <v>46340</v>
      </c>
      <c r="AT1" s="3">
        <v>46341</v>
      </c>
      <c r="AU1" s="3">
        <v>46342</v>
      </c>
      <c r="AV1" s="3">
        <v>46343</v>
      </c>
      <c r="AW1" s="3">
        <v>46344</v>
      </c>
      <c r="AX1" s="3">
        <v>46345</v>
      </c>
      <c r="AY1" s="3">
        <v>46346</v>
      </c>
      <c r="AZ1" s="3">
        <v>46347</v>
      </c>
      <c r="BA1" s="3">
        <v>46348</v>
      </c>
      <c r="BB1" s="3">
        <v>46349</v>
      </c>
      <c r="BC1" s="3">
        <v>46350</v>
      </c>
      <c r="BD1" s="3">
        <v>46351</v>
      </c>
      <c r="BE1" s="3">
        <v>46352</v>
      </c>
      <c r="BF1" s="3">
        <v>46353</v>
      </c>
      <c r="BG1" s="3">
        <v>46354</v>
      </c>
      <c r="BH1" s="3">
        <v>46355</v>
      </c>
      <c r="BI1" s="3">
        <v>46356</v>
      </c>
      <c r="BJ1" s="3">
        <v>46357</v>
      </c>
      <c r="BK1" s="3">
        <v>46358</v>
      </c>
      <c r="BL1" s="3">
        <v>46359</v>
      </c>
      <c r="BM1" s="3">
        <v>46360</v>
      </c>
      <c r="BN1" s="3">
        <v>46361</v>
      </c>
      <c r="BO1" s="3">
        <v>46362</v>
      </c>
      <c r="BP1" s="3">
        <v>46363</v>
      </c>
      <c r="BQ1" s="3">
        <v>46364</v>
      </c>
      <c r="BR1" s="3">
        <v>46365</v>
      </c>
      <c r="BS1" s="3">
        <v>46366</v>
      </c>
      <c r="BT1" s="3">
        <v>46367</v>
      </c>
      <c r="BU1" s="3">
        <v>46368</v>
      </c>
      <c r="BV1" s="3">
        <v>46369</v>
      </c>
      <c r="BW1" s="3">
        <v>46370</v>
      </c>
      <c r="BX1" s="3">
        <v>46371</v>
      </c>
      <c r="BY1" s="3">
        <v>46372</v>
      </c>
      <c r="BZ1" s="3">
        <v>46373</v>
      </c>
      <c r="CA1" s="3">
        <v>46374</v>
      </c>
      <c r="CB1" s="3">
        <v>46375</v>
      </c>
      <c r="CC1" s="3">
        <v>46376</v>
      </c>
      <c r="CD1" s="3">
        <v>46377</v>
      </c>
      <c r="CE1" s="3">
        <v>46378</v>
      </c>
      <c r="CF1" s="3">
        <v>46379</v>
      </c>
      <c r="CG1" s="3">
        <v>46380</v>
      </c>
      <c r="CH1" s="3">
        <v>46381</v>
      </c>
      <c r="CI1" s="3">
        <v>46382</v>
      </c>
      <c r="CJ1" s="3">
        <v>46383</v>
      </c>
      <c r="CK1" s="3">
        <v>46384</v>
      </c>
      <c r="CL1" s="3">
        <v>46385</v>
      </c>
      <c r="CM1" s="3">
        <v>46386</v>
      </c>
      <c r="CN1" s="3">
        <v>46387</v>
      </c>
      <c r="CO1" s="3">
        <v>46388</v>
      </c>
      <c r="CP1" s="3">
        <v>46389</v>
      </c>
      <c r="CQ1" s="3">
        <v>46390</v>
      </c>
      <c r="CR1" s="3">
        <v>46391</v>
      </c>
      <c r="CS1" s="3">
        <v>46392</v>
      </c>
      <c r="CT1" s="3">
        <v>46393</v>
      </c>
      <c r="CU1" s="3">
        <v>46394</v>
      </c>
      <c r="CV1" s="3">
        <v>46395</v>
      </c>
      <c r="CW1" s="3">
        <v>46396</v>
      </c>
      <c r="CX1" s="3">
        <v>46397</v>
      </c>
      <c r="CY1" s="3">
        <v>46398</v>
      </c>
      <c r="CZ1" s="3">
        <v>46399</v>
      </c>
      <c r="DA1" s="3">
        <v>46400</v>
      </c>
      <c r="DB1" s="3">
        <v>46401</v>
      </c>
      <c r="DC1" s="3">
        <v>46402</v>
      </c>
      <c r="DD1" s="3">
        <v>46403</v>
      </c>
      <c r="DE1" s="3">
        <v>46404</v>
      </c>
      <c r="DF1" s="3">
        <v>46405</v>
      </c>
      <c r="DG1" s="3">
        <v>46406</v>
      </c>
      <c r="DH1" s="3">
        <v>46407</v>
      </c>
      <c r="DI1" s="3">
        <v>46408</v>
      </c>
      <c r="DJ1" s="3">
        <v>46409</v>
      </c>
      <c r="DK1" s="3">
        <v>46410</v>
      </c>
      <c r="DL1" s="3">
        <v>46411</v>
      </c>
      <c r="DM1" s="3">
        <v>46412</v>
      </c>
      <c r="DN1" s="3">
        <v>46413</v>
      </c>
      <c r="DO1" s="3">
        <v>46414</v>
      </c>
      <c r="DP1" s="3">
        <v>46415</v>
      </c>
      <c r="DQ1" s="3">
        <v>46416</v>
      </c>
      <c r="DR1" s="3">
        <v>46417</v>
      </c>
      <c r="DS1" s="3">
        <v>46418</v>
      </c>
      <c r="DT1" s="3">
        <v>46419</v>
      </c>
      <c r="DU1" s="3">
        <v>46420</v>
      </c>
      <c r="DV1" s="3">
        <v>46421</v>
      </c>
      <c r="DW1" s="3">
        <v>46422</v>
      </c>
      <c r="DX1" s="3">
        <v>46423</v>
      </c>
      <c r="DY1" s="3">
        <v>46424</v>
      </c>
      <c r="DZ1" s="3">
        <v>46425</v>
      </c>
      <c r="EA1" s="3">
        <v>46426</v>
      </c>
      <c r="EB1" s="3">
        <v>46427</v>
      </c>
      <c r="EC1" s="3">
        <v>46428</v>
      </c>
      <c r="ED1" s="3">
        <v>46429</v>
      </c>
      <c r="EE1" s="3">
        <v>46430</v>
      </c>
      <c r="EF1" s="3">
        <v>46431</v>
      </c>
      <c r="EG1" s="3">
        <v>46432</v>
      </c>
      <c r="EH1" s="3">
        <v>46433</v>
      </c>
      <c r="EI1" s="3">
        <v>46434</v>
      </c>
      <c r="EJ1" s="3">
        <v>46435</v>
      </c>
      <c r="EK1" s="3">
        <v>46436</v>
      </c>
      <c r="EL1" s="3">
        <v>46437</v>
      </c>
      <c r="EM1" s="3">
        <v>46438</v>
      </c>
      <c r="EN1" s="3">
        <v>46439</v>
      </c>
      <c r="EO1" s="3">
        <v>46440</v>
      </c>
      <c r="EP1" s="3">
        <v>46441</v>
      </c>
      <c r="EQ1" s="3">
        <v>46442</v>
      </c>
      <c r="ER1" s="3">
        <v>46443</v>
      </c>
      <c r="ES1" s="3">
        <v>46444</v>
      </c>
      <c r="ET1" s="3">
        <v>46445</v>
      </c>
      <c r="EU1" s="3">
        <v>46446</v>
      </c>
      <c r="EV1" s="3">
        <v>46447</v>
      </c>
      <c r="EW1" s="3">
        <v>46448</v>
      </c>
      <c r="EX1" s="3">
        <v>46449</v>
      </c>
      <c r="EY1" s="3">
        <v>46450</v>
      </c>
      <c r="EZ1" s="3">
        <v>46451</v>
      </c>
      <c r="FA1" s="3">
        <v>46452</v>
      </c>
      <c r="FB1" s="3">
        <v>46453</v>
      </c>
      <c r="FC1" s="3">
        <v>46454</v>
      </c>
      <c r="FD1" s="3">
        <v>46455</v>
      </c>
      <c r="FE1" s="3">
        <v>46456</v>
      </c>
      <c r="FF1" s="3">
        <v>46457</v>
      </c>
      <c r="FG1" s="3">
        <v>46458</v>
      </c>
      <c r="FH1" s="3">
        <v>46459</v>
      </c>
      <c r="FI1" s="3">
        <v>46460</v>
      </c>
      <c r="FJ1" s="3">
        <v>46461</v>
      </c>
      <c r="FK1" s="3">
        <v>46462</v>
      </c>
      <c r="FL1" s="3">
        <v>46463</v>
      </c>
      <c r="FM1" s="3">
        <v>46464</v>
      </c>
      <c r="FN1" s="3">
        <v>46465</v>
      </c>
      <c r="FO1" s="3">
        <v>46466</v>
      </c>
      <c r="FP1" s="3">
        <v>46467</v>
      </c>
      <c r="FQ1" s="3">
        <v>46468</v>
      </c>
      <c r="FR1" s="3">
        <v>46469</v>
      </c>
      <c r="FS1" s="3">
        <v>46470</v>
      </c>
      <c r="FT1" s="3">
        <v>46471</v>
      </c>
      <c r="FU1" s="3">
        <v>46472</v>
      </c>
      <c r="FV1" s="3">
        <v>46473</v>
      </c>
      <c r="FW1" s="3">
        <v>46474</v>
      </c>
      <c r="FX1" s="3">
        <v>46475</v>
      </c>
      <c r="FY1" s="3">
        <v>46476</v>
      </c>
      <c r="FZ1" s="3">
        <v>46477</v>
      </c>
      <c r="GA1" s="3">
        <v>46478</v>
      </c>
      <c r="GB1" s="3">
        <v>46479</v>
      </c>
      <c r="GC1" s="3">
        <v>46480</v>
      </c>
      <c r="GD1" s="3">
        <v>46481</v>
      </c>
      <c r="GE1" s="3">
        <v>46482</v>
      </c>
      <c r="GF1" s="3">
        <v>46483</v>
      </c>
      <c r="GG1" s="3">
        <v>46484</v>
      </c>
      <c r="GH1" s="3">
        <v>46485</v>
      </c>
      <c r="GI1" s="3">
        <v>46486</v>
      </c>
      <c r="GJ1" s="3">
        <v>46487</v>
      </c>
      <c r="GK1" s="3">
        <v>46488</v>
      </c>
      <c r="GL1" s="3">
        <v>46489</v>
      </c>
      <c r="GM1" s="3">
        <v>46490</v>
      </c>
      <c r="GN1" s="3">
        <v>46491</v>
      </c>
      <c r="GO1" s="3">
        <v>46492</v>
      </c>
      <c r="GP1" s="3">
        <v>46493</v>
      </c>
      <c r="GQ1" s="3">
        <v>46494</v>
      </c>
      <c r="GR1" s="3">
        <v>46495</v>
      </c>
      <c r="GS1" s="3">
        <v>46496</v>
      </c>
      <c r="GT1" s="3">
        <v>46497</v>
      </c>
    </row>
    <row r="2" spans="1:202" x14ac:dyDescent="0.25">
      <c r="A2" t="s">
        <v>36</v>
      </c>
      <c r="B2" t="s">
        <v>62</v>
      </c>
      <c r="C2" t="s">
        <v>66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</row>
    <row r="3" spans="1:202" x14ac:dyDescent="0.25">
      <c r="A3" t="s">
        <v>37</v>
      </c>
      <c r="B3" t="s">
        <v>63</v>
      </c>
      <c r="C3" t="s">
        <v>67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</row>
    <row r="4" spans="1:202" x14ac:dyDescent="0.25">
      <c r="A4" t="s">
        <v>38</v>
      </c>
      <c r="B4" t="s">
        <v>63</v>
      </c>
      <c r="C4" t="s">
        <v>67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</row>
    <row r="5" spans="1:202" x14ac:dyDescent="0.25">
      <c r="A5" t="s">
        <v>39</v>
      </c>
      <c r="B5" t="s">
        <v>62</v>
      </c>
      <c r="C5" t="s">
        <v>66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</row>
    <row r="6" spans="1:202" x14ac:dyDescent="0.25">
      <c r="A6" t="s">
        <v>40</v>
      </c>
      <c r="B6" t="s">
        <v>63</v>
      </c>
      <c r="C6" t="s">
        <v>65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</row>
    <row r="7" spans="1:202" x14ac:dyDescent="0.25">
      <c r="A7" t="s">
        <v>16</v>
      </c>
      <c r="B7" t="s">
        <v>62</v>
      </c>
      <c r="C7" t="s">
        <v>64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</row>
    <row r="8" spans="1:202" x14ac:dyDescent="0.25">
      <c r="A8" t="s">
        <v>41</v>
      </c>
      <c r="B8" t="s">
        <v>62</v>
      </c>
      <c r="C8" t="s">
        <v>64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</row>
    <row r="9" spans="1:202" x14ac:dyDescent="0.25">
      <c r="A9" t="s">
        <v>42</v>
      </c>
      <c r="B9" t="s">
        <v>63</v>
      </c>
      <c r="C9" t="s">
        <v>65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</row>
    <row r="10" spans="1:202" x14ac:dyDescent="0.25">
      <c r="A10" t="s">
        <v>43</v>
      </c>
      <c r="B10" t="s">
        <v>62</v>
      </c>
      <c r="C10" t="s">
        <v>64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</row>
    <row r="11" spans="1:202" x14ac:dyDescent="0.25">
      <c r="A11" t="s">
        <v>44</v>
      </c>
      <c r="B11" t="s">
        <v>63</v>
      </c>
      <c r="C11" t="s">
        <v>67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</row>
    <row r="12" spans="1:202" x14ac:dyDescent="0.25">
      <c r="A12" t="s">
        <v>45</v>
      </c>
      <c r="B12" t="s">
        <v>62</v>
      </c>
      <c r="C12" t="s">
        <v>66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</row>
    <row r="13" spans="1:202" x14ac:dyDescent="0.25">
      <c r="A13" t="s">
        <v>17</v>
      </c>
      <c r="B13" t="s">
        <v>63</v>
      </c>
      <c r="C13" t="s">
        <v>67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</row>
    <row r="14" spans="1:202" x14ac:dyDescent="0.25">
      <c r="A14" t="s">
        <v>46</v>
      </c>
      <c r="B14" t="s">
        <v>62</v>
      </c>
      <c r="C14" t="s">
        <v>66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</row>
    <row r="15" spans="1:202" x14ac:dyDescent="0.25">
      <c r="A15" t="s">
        <v>22</v>
      </c>
      <c r="B15" t="s">
        <v>62</v>
      </c>
      <c r="C15" t="s">
        <v>64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</row>
    <row r="16" spans="1:202" x14ac:dyDescent="0.25">
      <c r="A16" t="s">
        <v>47</v>
      </c>
      <c r="B16" t="s">
        <v>63</v>
      </c>
      <c r="C16" t="s">
        <v>67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</row>
    <row r="17" spans="1:202" x14ac:dyDescent="0.25">
      <c r="A17" t="s">
        <v>48</v>
      </c>
      <c r="B17" t="s">
        <v>62</v>
      </c>
      <c r="C17" t="s">
        <v>64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</row>
    <row r="18" spans="1:202" x14ac:dyDescent="0.25">
      <c r="A18" t="s">
        <v>49</v>
      </c>
      <c r="B18" t="s">
        <v>63</v>
      </c>
      <c r="C18" t="s">
        <v>65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</row>
    <row r="19" spans="1:202" x14ac:dyDescent="0.25">
      <c r="A19" t="s">
        <v>50</v>
      </c>
      <c r="B19" t="s">
        <v>63</v>
      </c>
      <c r="C19" t="s">
        <v>65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</row>
    <row r="20" spans="1:202" x14ac:dyDescent="0.25">
      <c r="A20" t="s">
        <v>51</v>
      </c>
      <c r="B20" t="s">
        <v>63</v>
      </c>
      <c r="C20" t="s">
        <v>65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</row>
    <row r="21" spans="1:202" x14ac:dyDescent="0.25">
      <c r="A21" t="s">
        <v>52</v>
      </c>
      <c r="B21" t="s">
        <v>63</v>
      </c>
      <c r="C21" t="s">
        <v>67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</row>
    <row r="22" spans="1:202" x14ac:dyDescent="0.25">
      <c r="A22" t="s">
        <v>53</v>
      </c>
      <c r="B22" t="s">
        <v>63</v>
      </c>
      <c r="C22" t="s">
        <v>65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</row>
    <row r="23" spans="1:202" x14ac:dyDescent="0.25">
      <c r="A23" t="s">
        <v>54</v>
      </c>
      <c r="B23" t="s">
        <v>63</v>
      </c>
      <c r="C23" t="s">
        <v>65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</row>
    <row r="24" spans="1:202" x14ac:dyDescent="0.25">
      <c r="A24" t="s">
        <v>55</v>
      </c>
      <c r="B24" t="s">
        <v>62</v>
      </c>
      <c r="C24" t="s">
        <v>66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</row>
    <row r="25" spans="1:202" x14ac:dyDescent="0.25">
      <c r="A25" t="s">
        <v>56</v>
      </c>
      <c r="B25" t="s">
        <v>62</v>
      </c>
      <c r="C25" t="s">
        <v>66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</row>
    <row r="26" spans="1:202" x14ac:dyDescent="0.25">
      <c r="A26" t="s">
        <v>61</v>
      </c>
      <c r="B26" t="s">
        <v>62</v>
      </c>
      <c r="C26" t="s">
        <v>64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</row>
    <row r="27" spans="1:202" x14ac:dyDescent="0.25">
      <c r="A27" t="s">
        <v>57</v>
      </c>
      <c r="B27" t="s">
        <v>63</v>
      </c>
      <c r="C27" t="s">
        <v>67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</row>
    <row r="28" spans="1:202" x14ac:dyDescent="0.25">
      <c r="A28" t="s">
        <v>24</v>
      </c>
      <c r="B28" t="s">
        <v>63</v>
      </c>
      <c r="C28" t="s">
        <v>67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</row>
    <row r="29" spans="1:202" x14ac:dyDescent="0.25">
      <c r="A29" t="s">
        <v>58</v>
      </c>
      <c r="B29" t="s">
        <v>62</v>
      </c>
      <c r="C29" t="s">
        <v>64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</row>
    <row r="30" spans="1:202" x14ac:dyDescent="0.25">
      <c r="A30" t="s">
        <v>23</v>
      </c>
      <c r="B30" t="s">
        <v>62</v>
      </c>
      <c r="C30" t="s">
        <v>66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</row>
    <row r="31" spans="1:202" x14ac:dyDescent="0.25">
      <c r="A31" t="s">
        <v>25</v>
      </c>
      <c r="B31" t="s">
        <v>62</v>
      </c>
      <c r="C31" t="s">
        <v>66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</row>
    <row r="32" spans="1:202" x14ac:dyDescent="0.25">
      <c r="A32" t="s">
        <v>59</v>
      </c>
      <c r="B32" t="s">
        <v>63</v>
      </c>
      <c r="C32" t="s">
        <v>65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</row>
    <row r="33" spans="1:202" x14ac:dyDescent="0.25">
      <c r="A33" t="s">
        <v>60</v>
      </c>
      <c r="B33" t="s">
        <v>62</v>
      </c>
      <c r="C33" t="s">
        <v>64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BA1C3-8628-425A-8BE5-3FCDB817C672}">
  <sheetPr codeName="Sheet3"/>
  <dimension ref="A1:BR66"/>
  <sheetViews>
    <sheetView topLeftCell="A15" workbookViewId="0">
      <selection activeCell="X55" sqref="A1:XFD1048576"/>
    </sheetView>
  </sheetViews>
  <sheetFormatPr defaultRowHeight="15" x14ac:dyDescent="0.25"/>
  <cols>
    <col min="1" max="1" width="4.140625" customWidth="1"/>
    <col min="2" max="66" width="2" customWidth="1"/>
    <col min="67" max="67" width="2.7109375" customWidth="1"/>
    <col min="68" max="68" width="4.42578125" customWidth="1"/>
    <col min="69" max="69" width="4.28515625" customWidth="1"/>
  </cols>
  <sheetData>
    <row r="1" spans="1:70" x14ac:dyDescent="0.25">
      <c r="A1" s="6" t="s">
        <v>68</v>
      </c>
      <c r="B1" s="7"/>
      <c r="C1" s="58" t="s">
        <v>36</v>
      </c>
      <c r="D1" s="59"/>
      <c r="E1" s="58" t="s">
        <v>39</v>
      </c>
      <c r="F1" s="59"/>
      <c r="G1" s="58" t="s">
        <v>45</v>
      </c>
      <c r="H1" s="59"/>
      <c r="I1" s="58" t="s">
        <v>46</v>
      </c>
      <c r="J1" s="59"/>
      <c r="K1" s="58" t="s">
        <v>56</v>
      </c>
      <c r="L1" s="59"/>
      <c r="M1" s="58" t="s">
        <v>55</v>
      </c>
      <c r="N1" s="59"/>
      <c r="O1" s="58" t="s">
        <v>23</v>
      </c>
      <c r="P1" s="59"/>
      <c r="Q1" s="58" t="s">
        <v>25</v>
      </c>
      <c r="R1" s="62"/>
      <c r="S1" s="58" t="s">
        <v>16</v>
      </c>
      <c r="T1" s="59"/>
      <c r="U1" s="58" t="s">
        <v>41</v>
      </c>
      <c r="V1" s="59"/>
      <c r="W1" s="58" t="s">
        <v>43</v>
      </c>
      <c r="X1" s="59"/>
      <c r="Y1" s="58" t="s">
        <v>22</v>
      </c>
      <c r="Z1" s="59"/>
      <c r="AA1" s="58" t="s">
        <v>48</v>
      </c>
      <c r="AB1" s="59"/>
      <c r="AC1" s="58" t="s">
        <v>61</v>
      </c>
      <c r="AD1" s="59"/>
      <c r="AE1" s="58" t="s">
        <v>58</v>
      </c>
      <c r="AF1" s="59"/>
      <c r="AG1" s="63" t="s">
        <v>60</v>
      </c>
      <c r="AH1" s="62"/>
      <c r="AI1" s="58" t="s">
        <v>40</v>
      </c>
      <c r="AJ1" s="59"/>
      <c r="AK1" s="58" t="s">
        <v>42</v>
      </c>
      <c r="AL1" s="59"/>
      <c r="AM1" s="58" t="s">
        <v>49</v>
      </c>
      <c r="AN1" s="59"/>
      <c r="AO1" s="58" t="s">
        <v>50</v>
      </c>
      <c r="AP1" s="59"/>
      <c r="AQ1" s="58" t="s">
        <v>51</v>
      </c>
      <c r="AR1" s="59"/>
      <c r="AS1" s="58" t="s">
        <v>53</v>
      </c>
      <c r="AT1" s="59"/>
      <c r="AU1" s="58" t="s">
        <v>54</v>
      </c>
      <c r="AV1" s="59"/>
      <c r="AW1" s="58" t="s">
        <v>59</v>
      </c>
      <c r="AX1" s="62"/>
      <c r="AY1" s="58" t="s">
        <v>37</v>
      </c>
      <c r="AZ1" s="59"/>
      <c r="BA1" s="58" t="s">
        <v>38</v>
      </c>
      <c r="BB1" s="59"/>
      <c r="BC1" s="58" t="s">
        <v>44</v>
      </c>
      <c r="BD1" s="59"/>
      <c r="BE1" s="58" t="s">
        <v>17</v>
      </c>
      <c r="BF1" s="58"/>
      <c r="BG1" s="60" t="s">
        <v>47</v>
      </c>
      <c r="BH1" s="61"/>
      <c r="BI1" s="58" t="s">
        <v>52</v>
      </c>
      <c r="BJ1" s="59"/>
      <c r="BK1" s="58" t="s">
        <v>57</v>
      </c>
      <c r="BL1" s="59"/>
      <c r="BM1" s="58" t="s">
        <v>24</v>
      </c>
      <c r="BN1" s="59"/>
      <c r="BO1" s="9"/>
      <c r="BP1" s="8" t="s">
        <v>69</v>
      </c>
      <c r="BQ1" s="6" t="s">
        <v>70</v>
      </c>
    </row>
    <row r="2" spans="1:70" x14ac:dyDescent="0.25">
      <c r="A2" s="10" t="s">
        <v>71</v>
      </c>
      <c r="B2" s="11"/>
      <c r="C2" s="10" t="s">
        <v>67</v>
      </c>
      <c r="D2" s="11" t="s">
        <v>72</v>
      </c>
      <c r="E2" s="10" t="s">
        <v>67</v>
      </c>
      <c r="F2" s="11" t="s">
        <v>72</v>
      </c>
      <c r="G2" s="10" t="s">
        <v>67</v>
      </c>
      <c r="H2" s="11" t="s">
        <v>72</v>
      </c>
      <c r="I2" s="10" t="s">
        <v>67</v>
      </c>
      <c r="J2" s="11" t="s">
        <v>72</v>
      </c>
      <c r="K2" s="10" t="s">
        <v>67</v>
      </c>
      <c r="L2" s="11" t="s">
        <v>72</v>
      </c>
      <c r="M2" s="10" t="s">
        <v>67</v>
      </c>
      <c r="N2" s="11" t="s">
        <v>72</v>
      </c>
      <c r="O2" s="10" t="s">
        <v>67</v>
      </c>
      <c r="P2" s="11" t="s">
        <v>72</v>
      </c>
      <c r="Q2" s="10" t="s">
        <v>67</v>
      </c>
      <c r="R2" s="12" t="s">
        <v>72</v>
      </c>
      <c r="S2" s="10" t="s">
        <v>67</v>
      </c>
      <c r="T2" s="11" t="s">
        <v>72</v>
      </c>
      <c r="U2" s="10" t="s">
        <v>67</v>
      </c>
      <c r="V2" s="11" t="s">
        <v>72</v>
      </c>
      <c r="W2" s="10" t="s">
        <v>67</v>
      </c>
      <c r="X2" s="11" t="s">
        <v>72</v>
      </c>
      <c r="Y2" s="10" t="s">
        <v>67</v>
      </c>
      <c r="Z2" s="11" t="s">
        <v>72</v>
      </c>
      <c r="AA2" s="10" t="s">
        <v>67</v>
      </c>
      <c r="AB2" s="11" t="s">
        <v>72</v>
      </c>
      <c r="AC2" s="10" t="s">
        <v>67</v>
      </c>
      <c r="AD2" s="11" t="s">
        <v>72</v>
      </c>
      <c r="AE2" s="10" t="s">
        <v>67</v>
      </c>
      <c r="AF2" s="11" t="s">
        <v>72</v>
      </c>
      <c r="AG2" s="10" t="s">
        <v>67</v>
      </c>
      <c r="AH2" s="12" t="s">
        <v>72</v>
      </c>
      <c r="AI2" s="10" t="s">
        <v>67</v>
      </c>
      <c r="AJ2" s="11" t="s">
        <v>72</v>
      </c>
      <c r="AK2" s="10" t="s">
        <v>67</v>
      </c>
      <c r="AL2" s="11" t="s">
        <v>72</v>
      </c>
      <c r="AM2" s="10" t="s">
        <v>67</v>
      </c>
      <c r="AN2" s="11" t="s">
        <v>72</v>
      </c>
      <c r="AO2" s="10" t="s">
        <v>67</v>
      </c>
      <c r="AP2" s="11" t="s">
        <v>72</v>
      </c>
      <c r="AQ2" s="10" t="s">
        <v>67</v>
      </c>
      <c r="AR2" s="11" t="s">
        <v>72</v>
      </c>
      <c r="AS2" s="10" t="s">
        <v>67</v>
      </c>
      <c r="AT2" s="11" t="s">
        <v>72</v>
      </c>
      <c r="AU2" s="10" t="s">
        <v>67</v>
      </c>
      <c r="AV2" s="11" t="s">
        <v>72</v>
      </c>
      <c r="AW2" s="10" t="s">
        <v>67</v>
      </c>
      <c r="AX2" s="12" t="s">
        <v>72</v>
      </c>
      <c r="AY2" s="10" t="s">
        <v>67</v>
      </c>
      <c r="AZ2" s="11" t="s">
        <v>72</v>
      </c>
      <c r="BA2" s="10" t="s">
        <v>67</v>
      </c>
      <c r="BB2" s="11" t="s">
        <v>72</v>
      </c>
      <c r="BC2" s="10" t="s">
        <v>67</v>
      </c>
      <c r="BD2" s="11" t="s">
        <v>72</v>
      </c>
      <c r="BE2" s="10" t="s">
        <v>67</v>
      </c>
      <c r="BF2" s="10" t="s">
        <v>72</v>
      </c>
      <c r="BG2" s="13" t="s">
        <v>67</v>
      </c>
      <c r="BH2" s="11" t="s">
        <v>72</v>
      </c>
      <c r="BI2" s="10" t="s">
        <v>67</v>
      </c>
      <c r="BJ2" s="11" t="s">
        <v>72</v>
      </c>
      <c r="BK2" s="10" t="s">
        <v>67</v>
      </c>
      <c r="BL2" s="11" t="s">
        <v>72</v>
      </c>
      <c r="BM2" s="10" t="s">
        <v>67</v>
      </c>
      <c r="BN2" s="11" t="s">
        <v>72</v>
      </c>
      <c r="BO2" s="14"/>
      <c r="BP2" s="6"/>
      <c r="BQ2" s="6"/>
    </row>
    <row r="3" spans="1:70" ht="9.75" customHeight="1" x14ac:dyDescent="0.25">
      <c r="A3" s="53" t="s">
        <v>36</v>
      </c>
      <c r="B3" s="7" t="s">
        <v>67</v>
      </c>
      <c r="C3" s="19"/>
      <c r="D3" s="1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20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20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20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>
        <f>SUM(C3:BN3)</f>
        <v>0</v>
      </c>
      <c r="BP3" s="52">
        <f>BO3+BO4</f>
        <v>0</v>
      </c>
      <c r="BQ3" s="52">
        <f>84-BP3</f>
        <v>84</v>
      </c>
      <c r="BR3" s="51">
        <f>BP3/(BP3+BQ3)</f>
        <v>0</v>
      </c>
    </row>
    <row r="4" spans="1:70" ht="9.75" customHeight="1" x14ac:dyDescent="0.25">
      <c r="A4" s="54"/>
      <c r="B4" s="11" t="s">
        <v>72</v>
      </c>
      <c r="C4" s="19"/>
      <c r="D4" s="1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21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21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21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>
        <f t="shared" ref="BO4:BO66" si="0">SUM(C4:BN4)</f>
        <v>0</v>
      </c>
      <c r="BP4" s="52"/>
      <c r="BQ4" s="52"/>
      <c r="BR4" s="51"/>
    </row>
    <row r="5" spans="1:70" ht="9.75" customHeight="1" x14ac:dyDescent="0.25">
      <c r="A5" s="53" t="s">
        <v>39</v>
      </c>
      <c r="B5" s="7" t="s">
        <v>67</v>
      </c>
      <c r="C5" s="5"/>
      <c r="D5" s="5"/>
      <c r="E5" s="19"/>
      <c r="F5" s="1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1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21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21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>
        <f t="shared" si="0"/>
        <v>0</v>
      </c>
      <c r="BP5" s="52">
        <f>BO5+BO6</f>
        <v>0</v>
      </c>
      <c r="BQ5" s="52">
        <f>84-BP5</f>
        <v>84</v>
      </c>
      <c r="BR5" s="51">
        <f t="shared" ref="BR5" si="1">BP5/(BP5+BQ5)</f>
        <v>0</v>
      </c>
    </row>
    <row r="6" spans="1:70" ht="9.75" customHeight="1" x14ac:dyDescent="0.25">
      <c r="A6" s="54"/>
      <c r="B6" s="11" t="s">
        <v>72</v>
      </c>
      <c r="C6" s="5"/>
      <c r="D6" s="5"/>
      <c r="E6" s="19"/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21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21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21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>
        <f t="shared" si="0"/>
        <v>0</v>
      </c>
      <c r="BP6" s="52"/>
      <c r="BQ6" s="52"/>
      <c r="BR6" s="51"/>
    </row>
    <row r="7" spans="1:70" ht="9.75" customHeight="1" x14ac:dyDescent="0.25">
      <c r="A7" s="53" t="s">
        <v>45</v>
      </c>
      <c r="B7" s="7" t="s">
        <v>67</v>
      </c>
      <c r="C7" s="5"/>
      <c r="D7" s="5"/>
      <c r="E7" s="5"/>
      <c r="F7" s="5"/>
      <c r="G7" s="19"/>
      <c r="H7" s="19"/>
      <c r="I7" s="5"/>
      <c r="J7" s="5"/>
      <c r="K7" s="5"/>
      <c r="L7" s="5"/>
      <c r="M7" s="5"/>
      <c r="N7" s="5"/>
      <c r="O7" s="5"/>
      <c r="P7" s="5"/>
      <c r="Q7" s="5"/>
      <c r="R7" s="21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21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21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>
        <f t="shared" si="0"/>
        <v>0</v>
      </c>
      <c r="BP7" s="52">
        <f t="shared" ref="BP7" si="2">BO7+BO8</f>
        <v>0</v>
      </c>
      <c r="BQ7" s="52">
        <f t="shared" ref="BQ7" si="3">84-BP7</f>
        <v>84</v>
      </c>
      <c r="BR7" s="51">
        <f t="shared" ref="BR7" si="4">BP7/(BP7+BQ7)</f>
        <v>0</v>
      </c>
    </row>
    <row r="8" spans="1:70" ht="9.75" customHeight="1" x14ac:dyDescent="0.25">
      <c r="A8" s="54"/>
      <c r="B8" s="11" t="s">
        <v>72</v>
      </c>
      <c r="C8" s="5"/>
      <c r="D8" s="5"/>
      <c r="E8" s="5"/>
      <c r="F8" s="5"/>
      <c r="G8" s="19"/>
      <c r="H8" s="19"/>
      <c r="I8" s="5"/>
      <c r="J8" s="5"/>
      <c r="K8" s="5"/>
      <c r="L8" s="5"/>
      <c r="M8" s="5"/>
      <c r="N8" s="5"/>
      <c r="O8" s="5"/>
      <c r="P8" s="5"/>
      <c r="Q8" s="5"/>
      <c r="R8" s="21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21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21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f t="shared" si="0"/>
        <v>0</v>
      </c>
      <c r="BP8" s="52"/>
      <c r="BQ8" s="52"/>
      <c r="BR8" s="51"/>
    </row>
    <row r="9" spans="1:70" ht="9.75" customHeight="1" x14ac:dyDescent="0.25">
      <c r="A9" s="53" t="s">
        <v>46</v>
      </c>
      <c r="B9" s="7" t="s">
        <v>67</v>
      </c>
      <c r="C9" s="5"/>
      <c r="D9" s="5"/>
      <c r="E9" s="5"/>
      <c r="F9" s="5"/>
      <c r="G9" s="5"/>
      <c r="H9" s="5"/>
      <c r="I9" s="19"/>
      <c r="J9" s="19"/>
      <c r="K9" s="5"/>
      <c r="L9" s="5"/>
      <c r="M9" s="5"/>
      <c r="N9" s="5"/>
      <c r="O9" s="5"/>
      <c r="P9" s="5"/>
      <c r="Q9" s="5"/>
      <c r="R9" s="21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21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21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f t="shared" si="0"/>
        <v>0</v>
      </c>
      <c r="BP9" s="52">
        <f t="shared" ref="BP9" si="5">BO9+BO10</f>
        <v>0</v>
      </c>
      <c r="BQ9" s="52">
        <f t="shared" ref="BQ9" si="6">84-BP9</f>
        <v>84</v>
      </c>
      <c r="BR9" s="51">
        <f t="shared" ref="BR9" si="7">BP9/(BP9+BQ9)</f>
        <v>0</v>
      </c>
    </row>
    <row r="10" spans="1:70" ht="9.75" customHeight="1" x14ac:dyDescent="0.25">
      <c r="A10" s="54"/>
      <c r="B10" s="11" t="s">
        <v>72</v>
      </c>
      <c r="C10" s="5"/>
      <c r="D10" s="5"/>
      <c r="E10" s="5"/>
      <c r="F10" s="5"/>
      <c r="G10" s="5"/>
      <c r="H10" s="5"/>
      <c r="I10" s="19"/>
      <c r="J10" s="19"/>
      <c r="K10" s="5"/>
      <c r="L10" s="5"/>
      <c r="M10" s="5"/>
      <c r="N10" s="5"/>
      <c r="O10" s="5"/>
      <c r="P10" s="5"/>
      <c r="Q10" s="5"/>
      <c r="R10" s="21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21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1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f t="shared" si="0"/>
        <v>0</v>
      </c>
      <c r="BP10" s="52"/>
      <c r="BQ10" s="52"/>
      <c r="BR10" s="51"/>
    </row>
    <row r="11" spans="1:70" ht="9.75" customHeight="1" x14ac:dyDescent="0.25">
      <c r="A11" s="53" t="s">
        <v>56</v>
      </c>
      <c r="B11" s="7" t="s">
        <v>67</v>
      </c>
      <c r="C11" s="5"/>
      <c r="D11" s="5"/>
      <c r="E11" s="5"/>
      <c r="F11" s="5"/>
      <c r="G11" s="5"/>
      <c r="H11" s="5"/>
      <c r="I11" s="5"/>
      <c r="J11" s="5"/>
      <c r="K11" s="19"/>
      <c r="L11" s="19"/>
      <c r="M11" s="5"/>
      <c r="N11" s="5"/>
      <c r="O11" s="5"/>
      <c r="P11" s="5"/>
      <c r="Q11" s="5"/>
      <c r="R11" s="21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21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1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f t="shared" si="0"/>
        <v>0</v>
      </c>
      <c r="BP11" s="52">
        <f t="shared" ref="BP11" si="8">BO11+BO12</f>
        <v>0</v>
      </c>
      <c r="BQ11" s="52">
        <f t="shared" ref="BQ11" si="9">84-BP11</f>
        <v>84</v>
      </c>
      <c r="BR11" s="51">
        <f t="shared" ref="BR11" si="10">BP11/(BP11+BQ11)</f>
        <v>0</v>
      </c>
    </row>
    <row r="12" spans="1:70" ht="9.75" customHeight="1" x14ac:dyDescent="0.25">
      <c r="A12" s="54"/>
      <c r="B12" s="11" t="s">
        <v>72</v>
      </c>
      <c r="C12" s="5"/>
      <c r="D12" s="5"/>
      <c r="E12" s="5"/>
      <c r="F12" s="5"/>
      <c r="G12" s="5"/>
      <c r="H12" s="5"/>
      <c r="I12" s="5"/>
      <c r="J12" s="5"/>
      <c r="K12" s="19"/>
      <c r="L12" s="19"/>
      <c r="M12" s="5"/>
      <c r="N12" s="5"/>
      <c r="O12" s="5"/>
      <c r="P12" s="5"/>
      <c r="Q12" s="5"/>
      <c r="R12" s="21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21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21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f t="shared" si="0"/>
        <v>0</v>
      </c>
      <c r="BP12" s="52"/>
      <c r="BQ12" s="52"/>
      <c r="BR12" s="51"/>
    </row>
    <row r="13" spans="1:70" ht="9.75" customHeight="1" x14ac:dyDescent="0.25">
      <c r="A13" s="53" t="s">
        <v>55</v>
      </c>
      <c r="B13" s="7" t="s">
        <v>67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19"/>
      <c r="N13" s="19"/>
      <c r="O13" s="5"/>
      <c r="P13" s="5"/>
      <c r="Q13" s="5"/>
      <c r="R13" s="21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21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21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f t="shared" si="0"/>
        <v>0</v>
      </c>
      <c r="BP13" s="52">
        <f t="shared" ref="BP13" si="11">BO13+BO14</f>
        <v>0</v>
      </c>
      <c r="BQ13" s="52">
        <f t="shared" ref="BQ13" si="12">84-BP13</f>
        <v>84</v>
      </c>
      <c r="BR13" s="51">
        <f t="shared" ref="BR13" si="13">BP13/(BP13+BQ13)</f>
        <v>0</v>
      </c>
    </row>
    <row r="14" spans="1:70" ht="9.75" customHeight="1" x14ac:dyDescent="0.25">
      <c r="A14" s="54"/>
      <c r="B14" s="11" t="s">
        <v>72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19"/>
      <c r="N14" s="19"/>
      <c r="O14" s="5"/>
      <c r="P14" s="5"/>
      <c r="Q14" s="5"/>
      <c r="R14" s="21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21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21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f t="shared" si="0"/>
        <v>0</v>
      </c>
      <c r="BP14" s="52"/>
      <c r="BQ14" s="52"/>
      <c r="BR14" s="51"/>
    </row>
    <row r="15" spans="1:70" ht="9.75" customHeight="1" x14ac:dyDescent="0.25">
      <c r="A15" s="53" t="s">
        <v>23</v>
      </c>
      <c r="B15" s="7" t="s">
        <v>67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19"/>
      <c r="P15" s="19"/>
      <c r="Q15" s="5"/>
      <c r="R15" s="21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21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21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f t="shared" si="0"/>
        <v>0</v>
      </c>
      <c r="BP15" s="52">
        <f t="shared" ref="BP15" si="14">BO15+BO16</f>
        <v>0</v>
      </c>
      <c r="BQ15" s="52">
        <f t="shared" ref="BQ15" si="15">84-BP15</f>
        <v>84</v>
      </c>
      <c r="BR15" s="51">
        <f t="shared" ref="BR15" si="16">BP15/(BP15+BQ15)</f>
        <v>0</v>
      </c>
    </row>
    <row r="16" spans="1:70" ht="9.75" customHeight="1" x14ac:dyDescent="0.25">
      <c r="A16" s="54"/>
      <c r="B16" s="11" t="s">
        <v>72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19"/>
      <c r="P16" s="19"/>
      <c r="Q16" s="5"/>
      <c r="R16" s="21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21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1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f t="shared" si="0"/>
        <v>0</v>
      </c>
      <c r="BP16" s="52"/>
      <c r="BQ16" s="52"/>
      <c r="BR16" s="51"/>
    </row>
    <row r="17" spans="1:70" ht="9.75" customHeight="1" x14ac:dyDescent="0.25">
      <c r="A17" s="53" t="s">
        <v>25</v>
      </c>
      <c r="B17" s="7" t="s">
        <v>67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9"/>
      <c r="R17" s="22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21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1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f t="shared" si="0"/>
        <v>0</v>
      </c>
      <c r="BP17" s="52">
        <f t="shared" ref="BP17" si="17">BO17+BO18</f>
        <v>0</v>
      </c>
      <c r="BQ17" s="52">
        <f t="shared" ref="BQ17" si="18">84-BP17</f>
        <v>84</v>
      </c>
      <c r="BR17" s="51">
        <f t="shared" ref="BR17" si="19">BP17/(BP17+BQ17)</f>
        <v>0</v>
      </c>
    </row>
    <row r="18" spans="1:70" ht="9.75" customHeight="1" thickBot="1" x14ac:dyDescent="0.3">
      <c r="A18" s="56"/>
      <c r="B18" s="7" t="s">
        <v>72</v>
      </c>
      <c r="C18" s="23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6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7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7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5">
        <f t="shared" si="0"/>
        <v>0</v>
      </c>
      <c r="BP18" s="52"/>
      <c r="BQ18" s="52"/>
      <c r="BR18" s="51"/>
    </row>
    <row r="19" spans="1:70" ht="9.75" customHeight="1" thickTop="1" x14ac:dyDescent="0.25">
      <c r="A19" s="57" t="s">
        <v>16</v>
      </c>
      <c r="B19" s="15" t="s">
        <v>67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21"/>
      <c r="S19" s="19"/>
      <c r="T19" s="19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21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21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f t="shared" si="0"/>
        <v>0</v>
      </c>
      <c r="BP19" s="52">
        <f t="shared" ref="BP19" si="20">BO19+BO20</f>
        <v>0</v>
      </c>
      <c r="BQ19" s="52">
        <f t="shared" ref="BQ19" si="21">84-BP19</f>
        <v>84</v>
      </c>
      <c r="BR19" s="51">
        <f t="shared" ref="BR19" si="22">BP19/(BP19+BQ19)</f>
        <v>0</v>
      </c>
    </row>
    <row r="20" spans="1:70" ht="9.75" customHeight="1" x14ac:dyDescent="0.25">
      <c r="A20" s="54"/>
      <c r="B20" s="11" t="s">
        <v>72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21"/>
      <c r="S20" s="19"/>
      <c r="T20" s="19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21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21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f t="shared" si="0"/>
        <v>0</v>
      </c>
      <c r="BP20" s="52"/>
      <c r="BQ20" s="52"/>
      <c r="BR20" s="51"/>
    </row>
    <row r="21" spans="1:70" ht="9.75" customHeight="1" x14ac:dyDescent="0.25">
      <c r="A21" s="53" t="s">
        <v>41</v>
      </c>
      <c r="B21" s="7" t="s">
        <v>67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21"/>
      <c r="S21" s="5"/>
      <c r="T21" s="5"/>
      <c r="U21" s="19"/>
      <c r="V21" s="1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21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21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f t="shared" si="0"/>
        <v>0</v>
      </c>
      <c r="BP21" s="52">
        <f t="shared" ref="BP21" si="23">BO21+BO22</f>
        <v>0</v>
      </c>
      <c r="BQ21" s="52">
        <f t="shared" ref="BQ21" si="24">84-BP21</f>
        <v>84</v>
      </c>
      <c r="BR21" s="51">
        <f t="shared" ref="BR21" si="25">BP21/(BP21+BQ21)</f>
        <v>0</v>
      </c>
    </row>
    <row r="22" spans="1:70" ht="9.75" customHeight="1" x14ac:dyDescent="0.25">
      <c r="A22" s="54"/>
      <c r="B22" s="11" t="s">
        <v>72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21"/>
      <c r="S22" s="5"/>
      <c r="T22" s="5"/>
      <c r="U22" s="19"/>
      <c r="V22" s="1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21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21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f t="shared" si="0"/>
        <v>0</v>
      </c>
      <c r="BP22" s="52"/>
      <c r="BQ22" s="52"/>
      <c r="BR22" s="51"/>
    </row>
    <row r="23" spans="1:70" ht="9.75" customHeight="1" x14ac:dyDescent="0.25">
      <c r="A23" s="53" t="s">
        <v>43</v>
      </c>
      <c r="B23" s="7" t="s">
        <v>67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21"/>
      <c r="S23" s="5"/>
      <c r="T23" s="5"/>
      <c r="U23" s="5"/>
      <c r="V23" s="5"/>
      <c r="W23" s="19"/>
      <c r="X23" s="19"/>
      <c r="Y23" s="5"/>
      <c r="Z23" s="5"/>
      <c r="AA23" s="5"/>
      <c r="AB23" s="5"/>
      <c r="AC23" s="5"/>
      <c r="AD23" s="5"/>
      <c r="AE23" s="5"/>
      <c r="AF23" s="5"/>
      <c r="AG23" s="5"/>
      <c r="AH23" s="21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21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f t="shared" si="0"/>
        <v>0</v>
      </c>
      <c r="BP23" s="52">
        <f t="shared" ref="BP23" si="26">BO23+BO24</f>
        <v>0</v>
      </c>
      <c r="BQ23" s="52">
        <f t="shared" ref="BQ23" si="27">84-BP23</f>
        <v>84</v>
      </c>
      <c r="BR23" s="51">
        <f t="shared" ref="BR23" si="28">BP23/(BP23+BQ23)</f>
        <v>0</v>
      </c>
    </row>
    <row r="24" spans="1:70" ht="9.75" customHeight="1" x14ac:dyDescent="0.25">
      <c r="A24" s="54"/>
      <c r="B24" s="11" t="s">
        <v>72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21"/>
      <c r="S24" s="5"/>
      <c r="T24" s="5"/>
      <c r="U24" s="5"/>
      <c r="V24" s="5"/>
      <c r="W24" s="19"/>
      <c r="X24" s="19"/>
      <c r="Y24" s="5"/>
      <c r="Z24" s="5"/>
      <c r="AA24" s="5"/>
      <c r="AB24" s="5"/>
      <c r="AC24" s="5"/>
      <c r="AD24" s="5"/>
      <c r="AE24" s="5"/>
      <c r="AF24" s="5"/>
      <c r="AG24" s="5"/>
      <c r="AH24" s="21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21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f t="shared" si="0"/>
        <v>0</v>
      </c>
      <c r="BP24" s="52"/>
      <c r="BQ24" s="52"/>
      <c r="BR24" s="51"/>
    </row>
    <row r="25" spans="1:70" ht="9.75" customHeight="1" x14ac:dyDescent="0.25">
      <c r="A25" s="53" t="s">
        <v>22</v>
      </c>
      <c r="B25" s="7" t="s">
        <v>67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21"/>
      <c r="S25" s="5"/>
      <c r="T25" s="5"/>
      <c r="U25" s="5"/>
      <c r="V25" s="5"/>
      <c r="W25" s="5"/>
      <c r="X25" s="5"/>
      <c r="Y25" s="19"/>
      <c r="Z25" s="19"/>
      <c r="AA25" s="5"/>
      <c r="AB25" s="5"/>
      <c r="AC25" s="5"/>
      <c r="AD25" s="5"/>
      <c r="AE25" s="5"/>
      <c r="AF25" s="5"/>
      <c r="AG25" s="5"/>
      <c r="AH25" s="21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21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f t="shared" si="0"/>
        <v>0</v>
      </c>
      <c r="BP25" s="52">
        <f t="shared" ref="BP25" si="29">BO25+BO26</f>
        <v>0</v>
      </c>
      <c r="BQ25" s="52">
        <f t="shared" ref="BQ25" si="30">84-BP25</f>
        <v>84</v>
      </c>
      <c r="BR25" s="51">
        <f t="shared" ref="BR25" si="31">BP25/(BP25+BQ25)</f>
        <v>0</v>
      </c>
    </row>
    <row r="26" spans="1:70" ht="9.75" customHeight="1" x14ac:dyDescent="0.25">
      <c r="A26" s="54"/>
      <c r="B26" s="11" t="s">
        <v>72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21"/>
      <c r="S26" s="5"/>
      <c r="T26" s="5"/>
      <c r="U26" s="5"/>
      <c r="V26" s="5"/>
      <c r="W26" s="5"/>
      <c r="X26" s="5"/>
      <c r="Y26" s="19"/>
      <c r="Z26" s="19"/>
      <c r="AA26" s="5"/>
      <c r="AB26" s="5"/>
      <c r="AC26" s="5"/>
      <c r="AD26" s="5"/>
      <c r="AE26" s="5"/>
      <c r="AF26" s="5"/>
      <c r="AG26" s="5"/>
      <c r="AH26" s="21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21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f t="shared" si="0"/>
        <v>0</v>
      </c>
      <c r="BP26" s="52"/>
      <c r="BQ26" s="52"/>
      <c r="BR26" s="51"/>
    </row>
    <row r="27" spans="1:70" ht="9.75" customHeight="1" x14ac:dyDescent="0.25">
      <c r="A27" s="53" t="s">
        <v>48</v>
      </c>
      <c r="B27" s="7" t="s">
        <v>67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21"/>
      <c r="S27" s="5"/>
      <c r="T27" s="5"/>
      <c r="U27" s="5"/>
      <c r="V27" s="5"/>
      <c r="W27" s="5"/>
      <c r="X27" s="5"/>
      <c r="Y27" s="5"/>
      <c r="Z27" s="5"/>
      <c r="AA27" s="19"/>
      <c r="AB27" s="19"/>
      <c r="AC27" s="5"/>
      <c r="AD27" s="5"/>
      <c r="AE27" s="5"/>
      <c r="AF27" s="5"/>
      <c r="AG27" s="5"/>
      <c r="AH27" s="21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21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f t="shared" si="0"/>
        <v>0</v>
      </c>
      <c r="BP27" s="52">
        <f t="shared" ref="BP27" si="32">BO27+BO28</f>
        <v>0</v>
      </c>
      <c r="BQ27" s="52">
        <f t="shared" ref="BQ27" si="33">84-BP27</f>
        <v>84</v>
      </c>
      <c r="BR27" s="51">
        <f t="shared" ref="BR27" si="34">BP27/(BP27+BQ27)</f>
        <v>0</v>
      </c>
    </row>
    <row r="28" spans="1:70" ht="9.75" customHeight="1" x14ac:dyDescent="0.25">
      <c r="A28" s="54"/>
      <c r="B28" s="11" t="s">
        <v>72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21"/>
      <c r="S28" s="5"/>
      <c r="T28" s="5"/>
      <c r="U28" s="5"/>
      <c r="V28" s="5"/>
      <c r="W28" s="5"/>
      <c r="X28" s="5"/>
      <c r="Y28" s="5"/>
      <c r="Z28" s="5"/>
      <c r="AA28" s="19"/>
      <c r="AB28" s="19"/>
      <c r="AC28" s="5"/>
      <c r="AD28" s="5"/>
      <c r="AE28" s="5"/>
      <c r="AF28" s="5"/>
      <c r="AG28" s="5"/>
      <c r="AH28" s="21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21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f t="shared" si="0"/>
        <v>0</v>
      </c>
      <c r="BP28" s="52"/>
      <c r="BQ28" s="52"/>
      <c r="BR28" s="51"/>
    </row>
    <row r="29" spans="1:70" ht="9.75" customHeight="1" x14ac:dyDescent="0.25">
      <c r="A29" s="53" t="s">
        <v>61</v>
      </c>
      <c r="B29" s="7" t="s">
        <v>67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21"/>
      <c r="S29" s="5"/>
      <c r="T29" s="5"/>
      <c r="U29" s="5"/>
      <c r="V29" s="5"/>
      <c r="W29" s="5"/>
      <c r="X29" s="5"/>
      <c r="Y29" s="5"/>
      <c r="Z29" s="5"/>
      <c r="AA29" s="5"/>
      <c r="AB29" s="5"/>
      <c r="AC29" s="19"/>
      <c r="AD29" s="19"/>
      <c r="AE29" s="5"/>
      <c r="AF29" s="5"/>
      <c r="AG29" s="5"/>
      <c r="AH29" s="21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21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f t="shared" si="0"/>
        <v>0</v>
      </c>
      <c r="BP29" s="52">
        <f t="shared" ref="BP29" si="35">BO29+BO30</f>
        <v>0</v>
      </c>
      <c r="BQ29" s="52">
        <f t="shared" ref="BQ29" si="36">84-BP29</f>
        <v>84</v>
      </c>
      <c r="BR29" s="51">
        <f t="shared" ref="BR29" si="37">BP29/(BP29+BQ29)</f>
        <v>0</v>
      </c>
    </row>
    <row r="30" spans="1:70" ht="9.75" customHeight="1" x14ac:dyDescent="0.25">
      <c r="A30" s="54"/>
      <c r="B30" s="11" t="s">
        <v>72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21"/>
      <c r="S30" s="5"/>
      <c r="T30" s="5"/>
      <c r="U30" s="5"/>
      <c r="V30" s="5"/>
      <c r="W30" s="5"/>
      <c r="X30" s="5"/>
      <c r="Y30" s="5"/>
      <c r="Z30" s="5"/>
      <c r="AA30" s="5"/>
      <c r="AB30" s="5"/>
      <c r="AC30" s="19"/>
      <c r="AD30" s="19"/>
      <c r="AE30" s="5"/>
      <c r="AF30" s="5"/>
      <c r="AG30" s="5"/>
      <c r="AH30" s="21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21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f t="shared" si="0"/>
        <v>0</v>
      </c>
      <c r="BP30" s="52"/>
      <c r="BQ30" s="52"/>
      <c r="BR30" s="51"/>
    </row>
    <row r="31" spans="1:70" ht="9.75" customHeight="1" x14ac:dyDescent="0.25">
      <c r="A31" s="53" t="s">
        <v>58</v>
      </c>
      <c r="B31" s="7" t="s">
        <v>67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21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19"/>
      <c r="AF31" s="19"/>
      <c r="AG31" s="5"/>
      <c r="AH31" s="21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21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f t="shared" si="0"/>
        <v>0</v>
      </c>
      <c r="BP31" s="52">
        <f t="shared" ref="BP31" si="38">BO31+BO32</f>
        <v>0</v>
      </c>
      <c r="BQ31" s="52">
        <f t="shared" ref="BQ31" si="39">84-BP31</f>
        <v>84</v>
      </c>
      <c r="BR31" s="51">
        <f t="shared" ref="BR31" si="40">BP31/(BP31+BQ31)</f>
        <v>0</v>
      </c>
    </row>
    <row r="32" spans="1:70" ht="9.75" customHeight="1" x14ac:dyDescent="0.25">
      <c r="A32" s="54"/>
      <c r="B32" s="11" t="s">
        <v>72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21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19"/>
      <c r="AF32" s="19"/>
      <c r="AG32" s="5"/>
      <c r="AH32" s="21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21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f t="shared" si="0"/>
        <v>0</v>
      </c>
      <c r="BP32" s="52"/>
      <c r="BQ32" s="52"/>
      <c r="BR32" s="51"/>
    </row>
    <row r="33" spans="1:70" ht="9.75" customHeight="1" x14ac:dyDescent="0.25">
      <c r="A33" s="53" t="s">
        <v>60</v>
      </c>
      <c r="B33" s="7" t="s">
        <v>67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21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19"/>
      <c r="AH33" s="22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21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f t="shared" si="0"/>
        <v>0</v>
      </c>
      <c r="BP33" s="52">
        <f t="shared" ref="BP33" si="41">BO33+BO34</f>
        <v>0</v>
      </c>
      <c r="BQ33" s="52">
        <f t="shared" ref="BQ33" si="42">84-BP33</f>
        <v>84</v>
      </c>
      <c r="BR33" s="51">
        <f t="shared" ref="BR33" si="43">BP33/(BP33+BQ33)</f>
        <v>0</v>
      </c>
    </row>
    <row r="34" spans="1:70" ht="9.75" customHeight="1" thickBot="1" x14ac:dyDescent="0.3">
      <c r="A34" s="56"/>
      <c r="B34" s="7" t="s">
        <v>72</v>
      </c>
      <c r="C34" s="5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7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5"/>
      <c r="AH34" s="26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7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5">
        <f t="shared" si="0"/>
        <v>0</v>
      </c>
      <c r="BP34" s="52"/>
      <c r="BQ34" s="52"/>
      <c r="BR34" s="51"/>
    </row>
    <row r="35" spans="1:70" ht="9.75" customHeight="1" thickTop="1" x14ac:dyDescent="0.25">
      <c r="A35" s="57" t="s">
        <v>40</v>
      </c>
      <c r="B35" s="15" t="s">
        <v>67</v>
      </c>
      <c r="C35" s="28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21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21"/>
      <c r="AI35" s="19"/>
      <c r="AJ35" s="19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21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f t="shared" si="0"/>
        <v>0</v>
      </c>
      <c r="BP35" s="52">
        <f t="shared" ref="BP35" si="44">BO35+BO36</f>
        <v>0</v>
      </c>
      <c r="BQ35" s="52">
        <f t="shared" ref="BQ35" si="45">84-BP35</f>
        <v>84</v>
      </c>
      <c r="BR35" s="51">
        <f t="shared" ref="BR35" si="46">BP35/(BP35+BQ35)</f>
        <v>0</v>
      </c>
    </row>
    <row r="36" spans="1:70" ht="9.75" customHeight="1" x14ac:dyDescent="0.25">
      <c r="A36" s="54"/>
      <c r="B36" s="11" t="s">
        <v>72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21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21"/>
      <c r="AI36" s="19"/>
      <c r="AJ36" s="19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21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f t="shared" si="0"/>
        <v>0</v>
      </c>
      <c r="BP36" s="52"/>
      <c r="BQ36" s="52"/>
      <c r="BR36" s="51"/>
    </row>
    <row r="37" spans="1:70" ht="9.75" customHeight="1" x14ac:dyDescent="0.25">
      <c r="A37" s="53" t="s">
        <v>42</v>
      </c>
      <c r="B37" s="7" t="s">
        <v>67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21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21"/>
      <c r="AI37" s="5"/>
      <c r="AJ37" s="5"/>
      <c r="AK37" s="19"/>
      <c r="AL37" s="19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21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f t="shared" si="0"/>
        <v>0</v>
      </c>
      <c r="BP37" s="52">
        <f t="shared" ref="BP37" si="47">BO37+BO38</f>
        <v>0</v>
      </c>
      <c r="BQ37" s="52">
        <f t="shared" ref="BQ37" si="48">84-BP37</f>
        <v>84</v>
      </c>
      <c r="BR37" s="51">
        <f t="shared" ref="BR37" si="49">BP37/(BP37+BQ37)</f>
        <v>0</v>
      </c>
    </row>
    <row r="38" spans="1:70" ht="9.75" customHeight="1" x14ac:dyDescent="0.25">
      <c r="A38" s="54"/>
      <c r="B38" s="11" t="s">
        <v>72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21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21"/>
      <c r="AI38" s="5"/>
      <c r="AJ38" s="5"/>
      <c r="AK38" s="19"/>
      <c r="AL38" s="19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21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f t="shared" si="0"/>
        <v>0</v>
      </c>
      <c r="BP38" s="52"/>
      <c r="BQ38" s="52"/>
      <c r="BR38" s="51"/>
    </row>
    <row r="39" spans="1:70" ht="9.75" customHeight="1" x14ac:dyDescent="0.25">
      <c r="A39" s="53" t="s">
        <v>49</v>
      </c>
      <c r="B39" s="7" t="s">
        <v>67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21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21"/>
      <c r="AI39" s="5"/>
      <c r="AJ39" s="5"/>
      <c r="AK39" s="5"/>
      <c r="AL39" s="5"/>
      <c r="AM39" s="19"/>
      <c r="AN39" s="19"/>
      <c r="AO39" s="5"/>
      <c r="AP39" s="5"/>
      <c r="AQ39" s="5"/>
      <c r="AR39" s="5"/>
      <c r="AS39" s="5"/>
      <c r="AT39" s="5"/>
      <c r="AU39" s="5"/>
      <c r="AV39" s="5"/>
      <c r="AW39" s="5"/>
      <c r="AX39" s="21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f t="shared" si="0"/>
        <v>0</v>
      </c>
      <c r="BP39" s="52">
        <f t="shared" ref="BP39" si="50">BO39+BO40</f>
        <v>0</v>
      </c>
      <c r="BQ39" s="52">
        <f t="shared" ref="BQ39" si="51">84-BP39</f>
        <v>84</v>
      </c>
      <c r="BR39" s="51">
        <f t="shared" ref="BR39" si="52">BP39/(BP39+BQ39)</f>
        <v>0</v>
      </c>
    </row>
    <row r="40" spans="1:70" ht="9.75" customHeight="1" x14ac:dyDescent="0.25">
      <c r="A40" s="54"/>
      <c r="B40" s="11" t="s">
        <v>72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21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21"/>
      <c r="AI40" s="5"/>
      <c r="AJ40" s="5"/>
      <c r="AK40" s="5"/>
      <c r="AL40" s="5"/>
      <c r="AM40" s="19"/>
      <c r="AN40" s="19"/>
      <c r="AO40" s="5"/>
      <c r="AP40" s="5"/>
      <c r="AQ40" s="5"/>
      <c r="AR40" s="5"/>
      <c r="AS40" s="5"/>
      <c r="AT40" s="5"/>
      <c r="AU40" s="5"/>
      <c r="AV40" s="5"/>
      <c r="AW40" s="5"/>
      <c r="AX40" s="21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f t="shared" si="0"/>
        <v>0</v>
      </c>
      <c r="BP40" s="52"/>
      <c r="BQ40" s="52"/>
      <c r="BR40" s="51"/>
    </row>
    <row r="41" spans="1:70" ht="9.75" customHeight="1" x14ac:dyDescent="0.25">
      <c r="A41" s="53" t="s">
        <v>50</v>
      </c>
      <c r="B41" s="7" t="s">
        <v>67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21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21"/>
      <c r="AI41" s="5"/>
      <c r="AJ41" s="5"/>
      <c r="AK41" s="5"/>
      <c r="AL41" s="5"/>
      <c r="AM41" s="5"/>
      <c r="AN41" s="5"/>
      <c r="AO41" s="19"/>
      <c r="AP41" s="19"/>
      <c r="AQ41" s="5"/>
      <c r="AR41" s="5"/>
      <c r="AS41" s="5"/>
      <c r="AT41" s="5"/>
      <c r="AU41" s="5"/>
      <c r="AV41" s="5"/>
      <c r="AW41" s="5"/>
      <c r="AX41" s="21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f t="shared" si="0"/>
        <v>0</v>
      </c>
      <c r="BP41" s="52">
        <f t="shared" ref="BP41" si="53">BO41+BO42</f>
        <v>0</v>
      </c>
      <c r="BQ41" s="52">
        <f t="shared" ref="BQ41" si="54">84-BP41</f>
        <v>84</v>
      </c>
      <c r="BR41" s="51">
        <f t="shared" ref="BR41" si="55">BP41/(BP41+BQ41)</f>
        <v>0</v>
      </c>
    </row>
    <row r="42" spans="1:70" ht="9.75" customHeight="1" x14ac:dyDescent="0.25">
      <c r="A42" s="54"/>
      <c r="B42" s="11" t="s">
        <v>72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21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21"/>
      <c r="AI42" s="5"/>
      <c r="AJ42" s="5"/>
      <c r="AK42" s="5"/>
      <c r="AL42" s="5"/>
      <c r="AM42" s="5"/>
      <c r="AN42" s="5"/>
      <c r="AO42" s="19"/>
      <c r="AP42" s="19"/>
      <c r="AQ42" s="5"/>
      <c r="AR42" s="5"/>
      <c r="AS42" s="5"/>
      <c r="AT42" s="5"/>
      <c r="AU42" s="5"/>
      <c r="AV42" s="5"/>
      <c r="AW42" s="5"/>
      <c r="AX42" s="21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f t="shared" si="0"/>
        <v>0</v>
      </c>
      <c r="BP42" s="52"/>
      <c r="BQ42" s="52"/>
      <c r="BR42" s="51"/>
    </row>
    <row r="43" spans="1:70" ht="9.75" customHeight="1" x14ac:dyDescent="0.25">
      <c r="A43" s="53" t="s">
        <v>51</v>
      </c>
      <c r="B43" s="7" t="s">
        <v>67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21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21"/>
      <c r="AI43" s="5"/>
      <c r="AJ43" s="5"/>
      <c r="AK43" s="5"/>
      <c r="AL43" s="5"/>
      <c r="AM43" s="5"/>
      <c r="AN43" s="5"/>
      <c r="AO43" s="5"/>
      <c r="AP43" s="5"/>
      <c r="AQ43" s="19"/>
      <c r="AR43" s="19"/>
      <c r="AS43" s="5"/>
      <c r="AT43" s="5"/>
      <c r="AU43" s="5"/>
      <c r="AV43" s="5"/>
      <c r="AW43" s="5"/>
      <c r="AX43" s="21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f t="shared" si="0"/>
        <v>0</v>
      </c>
      <c r="BP43" s="52">
        <f t="shared" ref="BP43" si="56">BO43+BO44</f>
        <v>0</v>
      </c>
      <c r="BQ43" s="52">
        <f t="shared" ref="BQ43" si="57">84-BP43</f>
        <v>84</v>
      </c>
      <c r="BR43" s="51">
        <f t="shared" ref="BR43" si="58">BP43/(BP43+BQ43)</f>
        <v>0</v>
      </c>
    </row>
    <row r="44" spans="1:70" ht="9.75" customHeight="1" x14ac:dyDescent="0.25">
      <c r="A44" s="54"/>
      <c r="B44" s="11" t="s">
        <v>72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21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21"/>
      <c r="AI44" s="5"/>
      <c r="AJ44" s="5"/>
      <c r="AK44" s="5"/>
      <c r="AL44" s="5"/>
      <c r="AM44" s="5"/>
      <c r="AN44" s="5"/>
      <c r="AO44" s="5"/>
      <c r="AP44" s="5"/>
      <c r="AQ44" s="19"/>
      <c r="AR44" s="19"/>
      <c r="AS44" s="5"/>
      <c r="AT44" s="5"/>
      <c r="AU44" s="5"/>
      <c r="AV44" s="5"/>
      <c r="AW44" s="5"/>
      <c r="AX44" s="21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f t="shared" si="0"/>
        <v>0</v>
      </c>
      <c r="BP44" s="52"/>
      <c r="BQ44" s="52"/>
      <c r="BR44" s="51"/>
    </row>
    <row r="45" spans="1:70" ht="9.75" customHeight="1" x14ac:dyDescent="0.25">
      <c r="A45" s="53" t="s">
        <v>53</v>
      </c>
      <c r="B45" s="7" t="s">
        <v>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21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21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19"/>
      <c r="AT45" s="19"/>
      <c r="AU45" s="5"/>
      <c r="AV45" s="5"/>
      <c r="AW45" s="5"/>
      <c r="AX45" s="21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f t="shared" si="0"/>
        <v>0</v>
      </c>
      <c r="BP45" s="52">
        <f t="shared" ref="BP45" si="59">BO45+BO46</f>
        <v>0</v>
      </c>
      <c r="BQ45" s="52">
        <f t="shared" ref="BQ45" si="60">84-BP45</f>
        <v>84</v>
      </c>
      <c r="BR45" s="51">
        <f t="shared" ref="BR45" si="61">BP45/(BP45+BQ45)</f>
        <v>0</v>
      </c>
    </row>
    <row r="46" spans="1:70" ht="9.75" customHeight="1" x14ac:dyDescent="0.25">
      <c r="A46" s="54"/>
      <c r="B46" s="11" t="s">
        <v>72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21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21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19"/>
      <c r="AT46" s="19"/>
      <c r="AU46" s="5"/>
      <c r="AV46" s="5"/>
      <c r="AW46" s="5"/>
      <c r="AX46" s="21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f t="shared" si="0"/>
        <v>0</v>
      </c>
      <c r="BP46" s="52"/>
      <c r="BQ46" s="52"/>
      <c r="BR46" s="51"/>
    </row>
    <row r="47" spans="1:70" ht="9.75" customHeight="1" x14ac:dyDescent="0.25">
      <c r="A47" s="53" t="s">
        <v>54</v>
      </c>
      <c r="B47" s="7" t="s">
        <v>67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21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21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19"/>
      <c r="AV47" s="19"/>
      <c r="AW47" s="5"/>
      <c r="AX47" s="21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f t="shared" si="0"/>
        <v>0</v>
      </c>
      <c r="BP47" s="52">
        <f t="shared" ref="BP47" si="62">BO47+BO48</f>
        <v>0</v>
      </c>
      <c r="BQ47" s="52">
        <f t="shared" ref="BQ47" si="63">84-BP47</f>
        <v>84</v>
      </c>
      <c r="BR47" s="51">
        <f t="shared" ref="BR47" si="64">BP47/(BP47+BQ47)</f>
        <v>0</v>
      </c>
    </row>
    <row r="48" spans="1:70" ht="9.75" customHeight="1" x14ac:dyDescent="0.25">
      <c r="A48" s="54"/>
      <c r="B48" s="11" t="s">
        <v>72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21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21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19"/>
      <c r="AV48" s="19"/>
      <c r="AW48" s="5"/>
      <c r="AX48" s="21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f t="shared" si="0"/>
        <v>0</v>
      </c>
      <c r="BP48" s="52"/>
      <c r="BQ48" s="52"/>
      <c r="BR48" s="51"/>
    </row>
    <row r="49" spans="1:70" ht="9.75" customHeight="1" x14ac:dyDescent="0.25">
      <c r="A49" s="53" t="s">
        <v>59</v>
      </c>
      <c r="B49" s="7" t="s">
        <v>67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21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21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19"/>
      <c r="AX49" s="22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f t="shared" si="0"/>
        <v>0</v>
      </c>
      <c r="BP49" s="52">
        <f t="shared" ref="BP49" si="65">BO49+BO50</f>
        <v>0</v>
      </c>
      <c r="BQ49" s="52">
        <f t="shared" ref="BQ49" si="66">84-BP49</f>
        <v>84</v>
      </c>
      <c r="BR49" s="51">
        <f t="shared" ref="BR49" si="67">BP49/(BP49+BQ49)</f>
        <v>0</v>
      </c>
    </row>
    <row r="50" spans="1:70" ht="9.75" customHeight="1" thickBot="1" x14ac:dyDescent="0.3">
      <c r="A50" s="55"/>
      <c r="B50" s="16" t="s">
        <v>72</v>
      </c>
      <c r="C50" s="23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7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7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5"/>
      <c r="AX50" s="26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5"/>
      <c r="BN50" s="5"/>
      <c r="BO50" s="5">
        <f t="shared" si="0"/>
        <v>0</v>
      </c>
      <c r="BP50" s="52"/>
      <c r="BQ50" s="52"/>
      <c r="BR50" s="51"/>
    </row>
    <row r="51" spans="1:70" ht="9.75" customHeight="1" thickTop="1" x14ac:dyDescent="0.25">
      <c r="A51" s="56" t="s">
        <v>37</v>
      </c>
      <c r="B51" s="7" t="s">
        <v>67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21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21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21"/>
      <c r="AY51" s="19"/>
      <c r="AZ51" s="19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29"/>
      <c r="BN51" s="29"/>
      <c r="BO51" s="5">
        <f t="shared" si="0"/>
        <v>0</v>
      </c>
      <c r="BP51" s="52">
        <f t="shared" ref="BP51" si="68">BO51+BO52</f>
        <v>0</v>
      </c>
      <c r="BQ51" s="52">
        <f t="shared" ref="BQ51" si="69">84-BP51</f>
        <v>84</v>
      </c>
      <c r="BR51" s="51">
        <f t="shared" ref="BR51" si="70">BP51/(BP51+BQ51)</f>
        <v>0</v>
      </c>
    </row>
    <row r="52" spans="1:70" ht="9.75" customHeight="1" x14ac:dyDescent="0.25">
      <c r="A52" s="54"/>
      <c r="B52" s="11" t="s">
        <v>72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21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21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21"/>
      <c r="AY52" s="19"/>
      <c r="AZ52" s="19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f t="shared" si="0"/>
        <v>0</v>
      </c>
      <c r="BP52" s="52"/>
      <c r="BQ52" s="52"/>
      <c r="BR52" s="51"/>
    </row>
    <row r="53" spans="1:70" ht="9.75" customHeight="1" x14ac:dyDescent="0.25">
      <c r="A53" s="53" t="s">
        <v>38</v>
      </c>
      <c r="B53" s="7" t="s">
        <v>67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21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21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21"/>
      <c r="AY53" s="5"/>
      <c r="AZ53" s="5"/>
      <c r="BA53" s="19"/>
      <c r="BB53" s="19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f t="shared" si="0"/>
        <v>0</v>
      </c>
      <c r="BP53" s="52">
        <f t="shared" ref="BP53" si="71">BO53+BO54</f>
        <v>0</v>
      </c>
      <c r="BQ53" s="52">
        <f t="shared" ref="BQ53" si="72">84-BP53</f>
        <v>84</v>
      </c>
      <c r="BR53" s="51">
        <f t="shared" ref="BR53" si="73">BP53/(BP53+BQ53)</f>
        <v>0</v>
      </c>
    </row>
    <row r="54" spans="1:70" ht="9.75" customHeight="1" x14ac:dyDescent="0.25">
      <c r="A54" s="54"/>
      <c r="B54" s="11" t="s">
        <v>72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21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21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21"/>
      <c r="AY54" s="5"/>
      <c r="AZ54" s="5"/>
      <c r="BA54" s="19"/>
      <c r="BB54" s="19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f t="shared" si="0"/>
        <v>0</v>
      </c>
      <c r="BP54" s="52"/>
      <c r="BQ54" s="52"/>
      <c r="BR54" s="51"/>
    </row>
    <row r="55" spans="1:70" ht="9.75" customHeight="1" x14ac:dyDescent="0.25">
      <c r="A55" s="53" t="s">
        <v>44</v>
      </c>
      <c r="B55" s="7" t="s">
        <v>67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21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21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21"/>
      <c r="AY55" s="5"/>
      <c r="AZ55" s="5"/>
      <c r="BA55" s="5"/>
      <c r="BB55" s="5"/>
      <c r="BC55" s="19"/>
      <c r="BD55" s="19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f t="shared" si="0"/>
        <v>0</v>
      </c>
      <c r="BP55" s="52">
        <f t="shared" ref="BP55" si="74">BO55+BO56</f>
        <v>0</v>
      </c>
      <c r="BQ55" s="52">
        <f t="shared" ref="BQ55" si="75">84-BP55</f>
        <v>84</v>
      </c>
      <c r="BR55" s="51">
        <f t="shared" ref="BR55" si="76">BP55/(BP55+BQ55)</f>
        <v>0</v>
      </c>
    </row>
    <row r="56" spans="1:70" ht="9.75" customHeight="1" x14ac:dyDescent="0.25">
      <c r="A56" s="54"/>
      <c r="B56" s="11" t="s">
        <v>72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21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21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21"/>
      <c r="AY56" s="5"/>
      <c r="AZ56" s="5"/>
      <c r="BA56" s="5"/>
      <c r="BB56" s="5"/>
      <c r="BC56" s="19"/>
      <c r="BD56" s="19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f t="shared" si="0"/>
        <v>0</v>
      </c>
      <c r="BP56" s="52"/>
      <c r="BQ56" s="52"/>
      <c r="BR56" s="51"/>
    </row>
    <row r="57" spans="1:70" ht="9.75" customHeight="1" x14ac:dyDescent="0.25">
      <c r="A57" s="53" t="s">
        <v>17</v>
      </c>
      <c r="B57" s="7" t="s">
        <v>67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21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21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21"/>
      <c r="AY57" s="5"/>
      <c r="AZ57" s="5"/>
      <c r="BA57" s="5"/>
      <c r="BB57" s="5"/>
      <c r="BC57" s="5"/>
      <c r="BD57" s="5"/>
      <c r="BE57" s="19"/>
      <c r="BF57" s="19"/>
      <c r="BG57" s="5"/>
      <c r="BH57" s="5"/>
      <c r="BI57" s="5"/>
      <c r="BJ57" s="5"/>
      <c r="BK57" s="5"/>
      <c r="BL57" s="5"/>
      <c r="BM57" s="5"/>
      <c r="BN57" s="5"/>
      <c r="BO57" s="5">
        <f t="shared" si="0"/>
        <v>0</v>
      </c>
      <c r="BP57" s="52">
        <f t="shared" ref="BP57" si="77">BO57+BO58</f>
        <v>0</v>
      </c>
      <c r="BQ57" s="52">
        <f t="shared" ref="BQ57" si="78">84-BP57</f>
        <v>84</v>
      </c>
      <c r="BR57" s="51">
        <f t="shared" ref="BR57" si="79">BP57/(BP57+BQ57)</f>
        <v>0</v>
      </c>
    </row>
    <row r="58" spans="1:70" ht="9.75" customHeight="1" x14ac:dyDescent="0.25">
      <c r="A58" s="54"/>
      <c r="B58" s="11" t="s">
        <v>72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21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21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21"/>
      <c r="AY58" s="5"/>
      <c r="AZ58" s="5"/>
      <c r="BA58" s="5"/>
      <c r="BB58" s="5"/>
      <c r="BC58" s="5"/>
      <c r="BD58" s="5"/>
      <c r="BE58" s="19"/>
      <c r="BF58" s="19"/>
      <c r="BG58" s="5"/>
      <c r="BH58" s="5"/>
      <c r="BI58" s="5"/>
      <c r="BJ58" s="5"/>
      <c r="BK58" s="5"/>
      <c r="BL58" s="5"/>
      <c r="BM58" s="5"/>
      <c r="BN58" s="5"/>
      <c r="BO58" s="5">
        <f t="shared" si="0"/>
        <v>0</v>
      </c>
      <c r="BP58" s="52"/>
      <c r="BQ58" s="52"/>
      <c r="BR58" s="51"/>
    </row>
    <row r="59" spans="1:70" ht="9.75" customHeight="1" x14ac:dyDescent="0.25">
      <c r="A59" s="53" t="s">
        <v>47</v>
      </c>
      <c r="B59" s="7" t="s">
        <v>67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21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21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21"/>
      <c r="AY59" s="5"/>
      <c r="AZ59" s="5"/>
      <c r="BA59" s="5"/>
      <c r="BB59" s="5"/>
      <c r="BC59" s="5"/>
      <c r="BD59" s="5"/>
      <c r="BE59" s="5"/>
      <c r="BF59" s="5"/>
      <c r="BG59" s="19"/>
      <c r="BH59" s="19"/>
      <c r="BI59" s="5"/>
      <c r="BJ59" s="5"/>
      <c r="BK59" s="5"/>
      <c r="BL59" s="5"/>
      <c r="BM59" s="5"/>
      <c r="BN59" s="5"/>
      <c r="BO59" s="5">
        <f t="shared" si="0"/>
        <v>0</v>
      </c>
      <c r="BP59" s="52">
        <f t="shared" ref="BP59" si="80">BO59+BO60</f>
        <v>0</v>
      </c>
      <c r="BQ59" s="52">
        <f t="shared" ref="BQ59" si="81">84-BP59</f>
        <v>84</v>
      </c>
      <c r="BR59" s="51">
        <f t="shared" ref="BR59" si="82">BP59/(BP59+BQ59)</f>
        <v>0</v>
      </c>
    </row>
    <row r="60" spans="1:70" ht="9.75" customHeight="1" x14ac:dyDescent="0.25">
      <c r="A60" s="54"/>
      <c r="B60" s="11" t="s">
        <v>72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21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21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21"/>
      <c r="AY60" s="5"/>
      <c r="AZ60" s="5"/>
      <c r="BA60" s="5"/>
      <c r="BB60" s="5"/>
      <c r="BC60" s="5"/>
      <c r="BD60" s="5"/>
      <c r="BE60" s="5"/>
      <c r="BF60" s="5"/>
      <c r="BG60" s="19"/>
      <c r="BH60" s="19"/>
      <c r="BI60" s="5"/>
      <c r="BJ60" s="5"/>
      <c r="BK60" s="5"/>
      <c r="BL60" s="5"/>
      <c r="BM60" s="5"/>
      <c r="BN60" s="5"/>
      <c r="BO60" s="5">
        <f t="shared" si="0"/>
        <v>0</v>
      </c>
      <c r="BP60" s="52"/>
      <c r="BQ60" s="52"/>
      <c r="BR60" s="51"/>
    </row>
    <row r="61" spans="1:70" ht="9.75" customHeight="1" x14ac:dyDescent="0.25">
      <c r="A61" s="53" t="s">
        <v>52</v>
      </c>
      <c r="B61" s="7" t="s">
        <v>67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21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21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21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19"/>
      <c r="BJ61" s="19"/>
      <c r="BK61" s="5"/>
      <c r="BL61" s="5"/>
      <c r="BM61" s="5"/>
      <c r="BN61" s="5"/>
      <c r="BO61" s="5">
        <f t="shared" si="0"/>
        <v>0</v>
      </c>
      <c r="BP61" s="52">
        <f t="shared" ref="BP61" si="83">BO61+BO62</f>
        <v>0</v>
      </c>
      <c r="BQ61" s="52">
        <f t="shared" ref="BQ61" si="84">84-BP61</f>
        <v>84</v>
      </c>
      <c r="BR61" s="51">
        <f t="shared" ref="BR61" si="85">BP61/(BP61+BQ61)</f>
        <v>0</v>
      </c>
    </row>
    <row r="62" spans="1:70" ht="9.75" customHeight="1" x14ac:dyDescent="0.25">
      <c r="A62" s="54"/>
      <c r="B62" s="11" t="s">
        <v>72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21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21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21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19"/>
      <c r="BJ62" s="19"/>
      <c r="BK62" s="5"/>
      <c r="BL62" s="5"/>
      <c r="BM62" s="5"/>
      <c r="BN62" s="5"/>
      <c r="BO62" s="5">
        <f t="shared" si="0"/>
        <v>0</v>
      </c>
      <c r="BP62" s="52"/>
      <c r="BQ62" s="52"/>
      <c r="BR62" s="51"/>
    </row>
    <row r="63" spans="1:70" ht="9.75" customHeight="1" x14ac:dyDescent="0.25">
      <c r="A63" s="53" t="s">
        <v>57</v>
      </c>
      <c r="B63" s="7" t="s">
        <v>67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21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21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21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19"/>
      <c r="BL63" s="19"/>
      <c r="BM63" s="5"/>
      <c r="BN63" s="5"/>
      <c r="BO63" s="5">
        <f t="shared" si="0"/>
        <v>0</v>
      </c>
      <c r="BP63" s="52">
        <f t="shared" ref="BP63" si="86">BO63+BO64</f>
        <v>0</v>
      </c>
      <c r="BQ63" s="52">
        <f t="shared" ref="BQ63" si="87">84-BP63</f>
        <v>84</v>
      </c>
      <c r="BR63" s="51">
        <f t="shared" ref="BR63" si="88">BP63/(BP63+BQ63)</f>
        <v>0</v>
      </c>
    </row>
    <row r="64" spans="1:70" ht="9.75" customHeight="1" x14ac:dyDescent="0.25">
      <c r="A64" s="54"/>
      <c r="B64" s="11" t="s">
        <v>72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21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21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21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19"/>
      <c r="BL64" s="19"/>
      <c r="BM64" s="5"/>
      <c r="BN64" s="5"/>
      <c r="BO64" s="5">
        <f t="shared" si="0"/>
        <v>0</v>
      </c>
      <c r="BP64" s="52"/>
      <c r="BQ64" s="52"/>
      <c r="BR64" s="51"/>
    </row>
    <row r="65" spans="1:70" ht="9.75" customHeight="1" x14ac:dyDescent="0.25">
      <c r="A65" s="53" t="s">
        <v>24</v>
      </c>
      <c r="B65" s="7" t="s">
        <v>67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21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21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21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19"/>
      <c r="BN65" s="19"/>
      <c r="BO65" s="5">
        <f t="shared" si="0"/>
        <v>0</v>
      </c>
      <c r="BP65" s="52">
        <f t="shared" ref="BP65" si="89">BO65+BO66</f>
        <v>0</v>
      </c>
      <c r="BQ65" s="52">
        <f t="shared" ref="BQ65" si="90">84-BP65</f>
        <v>84</v>
      </c>
      <c r="BR65" s="51">
        <f t="shared" ref="BR65" si="91">BP65/(BP65+BQ65)</f>
        <v>0</v>
      </c>
    </row>
    <row r="66" spans="1:70" ht="9.75" customHeight="1" x14ac:dyDescent="0.25">
      <c r="A66" s="54"/>
      <c r="B66" s="11" t="s">
        <v>72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21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21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21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19"/>
      <c r="BN66" s="19"/>
      <c r="BO66" s="5">
        <f t="shared" si="0"/>
        <v>0</v>
      </c>
      <c r="BP66" s="52"/>
      <c r="BQ66" s="52"/>
      <c r="BR66" s="51"/>
    </row>
  </sheetData>
  <mergeCells count="160">
    <mergeCell ref="O1:P1"/>
    <mergeCell ref="Q1:R1"/>
    <mergeCell ref="S1:T1"/>
    <mergeCell ref="U1:V1"/>
    <mergeCell ref="W1:X1"/>
    <mergeCell ref="Y1:Z1"/>
    <mergeCell ref="C1:D1"/>
    <mergeCell ref="E1:F1"/>
    <mergeCell ref="G1:H1"/>
    <mergeCell ref="I1:J1"/>
    <mergeCell ref="K1:L1"/>
    <mergeCell ref="M1:N1"/>
    <mergeCell ref="BK1:BL1"/>
    <mergeCell ref="BM1:BN1"/>
    <mergeCell ref="A3:A4"/>
    <mergeCell ref="A5:A6"/>
    <mergeCell ref="A7:A8"/>
    <mergeCell ref="A9:A10"/>
    <mergeCell ref="AY1:AZ1"/>
    <mergeCell ref="BA1:BB1"/>
    <mergeCell ref="BC1:BD1"/>
    <mergeCell ref="BE1:BF1"/>
    <mergeCell ref="BG1:BH1"/>
    <mergeCell ref="BI1:BJ1"/>
    <mergeCell ref="AM1:AN1"/>
    <mergeCell ref="AO1:AP1"/>
    <mergeCell ref="AQ1:AR1"/>
    <mergeCell ref="AS1:AT1"/>
    <mergeCell ref="AU1:AV1"/>
    <mergeCell ref="AW1:AX1"/>
    <mergeCell ref="AA1:AB1"/>
    <mergeCell ref="AC1:AD1"/>
    <mergeCell ref="AE1:AF1"/>
    <mergeCell ref="AG1:AH1"/>
    <mergeCell ref="AI1:AJ1"/>
    <mergeCell ref="AK1:AL1"/>
    <mergeCell ref="A65:A66"/>
    <mergeCell ref="BP3:BP4"/>
    <mergeCell ref="BQ3:BQ4"/>
    <mergeCell ref="BQ5:BQ6"/>
    <mergeCell ref="BP5:BP6"/>
    <mergeCell ref="BP7:BP8"/>
    <mergeCell ref="BP9:BP10"/>
    <mergeCell ref="A47:A48"/>
    <mergeCell ref="A49:A50"/>
    <mergeCell ref="A51:A52"/>
    <mergeCell ref="A53:A54"/>
    <mergeCell ref="A55:A56"/>
    <mergeCell ref="A57:A58"/>
    <mergeCell ref="A35:A36"/>
    <mergeCell ref="A37:A38"/>
    <mergeCell ref="A39:A40"/>
    <mergeCell ref="A41:A42"/>
    <mergeCell ref="A43:A44"/>
    <mergeCell ref="A45:A46"/>
    <mergeCell ref="A23:A24"/>
    <mergeCell ref="A25:A26"/>
    <mergeCell ref="A27:A28"/>
    <mergeCell ref="A29:A30"/>
    <mergeCell ref="A31:A32"/>
    <mergeCell ref="BP11:BP12"/>
    <mergeCell ref="BP13:BP14"/>
    <mergeCell ref="BP15:BP16"/>
    <mergeCell ref="BP17:BP18"/>
    <mergeCell ref="BP19:BP20"/>
    <mergeCell ref="BP21:BP22"/>
    <mergeCell ref="A59:A60"/>
    <mergeCell ref="A61:A62"/>
    <mergeCell ref="A63:A64"/>
    <mergeCell ref="A33:A34"/>
    <mergeCell ref="A11:A12"/>
    <mergeCell ref="A13:A14"/>
    <mergeCell ref="A15:A16"/>
    <mergeCell ref="A17:A18"/>
    <mergeCell ref="A19:A20"/>
    <mergeCell ref="A21:A22"/>
    <mergeCell ref="BP35:BP36"/>
    <mergeCell ref="BP37:BP38"/>
    <mergeCell ref="BP39:BP40"/>
    <mergeCell ref="BP41:BP42"/>
    <mergeCell ref="BP43:BP44"/>
    <mergeCell ref="BP45:BP46"/>
    <mergeCell ref="BP23:BP24"/>
    <mergeCell ref="BP25:BP26"/>
    <mergeCell ref="BP27:BP28"/>
    <mergeCell ref="BP29:BP30"/>
    <mergeCell ref="BP31:BP32"/>
    <mergeCell ref="BP33:BP34"/>
    <mergeCell ref="BP65:BP66"/>
    <mergeCell ref="BQ65:BQ66"/>
    <mergeCell ref="BQ63:BQ64"/>
    <mergeCell ref="BQ61:BQ62"/>
    <mergeCell ref="BQ59:BQ60"/>
    <mergeCell ref="BP47:BP48"/>
    <mergeCell ref="BP49:BP50"/>
    <mergeCell ref="BP51:BP52"/>
    <mergeCell ref="BP53:BP54"/>
    <mergeCell ref="BP55:BP56"/>
    <mergeCell ref="BP57:BP58"/>
    <mergeCell ref="BQ57:BQ58"/>
    <mergeCell ref="BQ55:BQ56"/>
    <mergeCell ref="BQ53:BQ54"/>
    <mergeCell ref="BQ51:BQ52"/>
    <mergeCell ref="BQ49:BQ50"/>
    <mergeCell ref="BQ47:BQ48"/>
    <mergeCell ref="BP59:BP60"/>
    <mergeCell ref="BP61:BP62"/>
    <mergeCell ref="BP63:BP64"/>
    <mergeCell ref="BQ33:BQ34"/>
    <mergeCell ref="BQ31:BQ32"/>
    <mergeCell ref="BQ29:BQ30"/>
    <mergeCell ref="BQ27:BQ28"/>
    <mergeCell ref="BQ25:BQ26"/>
    <mergeCell ref="BQ23:BQ24"/>
    <mergeCell ref="BQ45:BQ46"/>
    <mergeCell ref="BQ43:BQ44"/>
    <mergeCell ref="BQ41:BQ42"/>
    <mergeCell ref="BQ39:BQ40"/>
    <mergeCell ref="BQ37:BQ38"/>
    <mergeCell ref="BQ35:BQ36"/>
    <mergeCell ref="BR11:BR12"/>
    <mergeCell ref="BR13:BR14"/>
    <mergeCell ref="BR15:BR16"/>
    <mergeCell ref="BR17:BR18"/>
    <mergeCell ref="BR19:BR20"/>
    <mergeCell ref="BR21:BR22"/>
    <mergeCell ref="BQ9:BQ10"/>
    <mergeCell ref="BQ7:BQ8"/>
    <mergeCell ref="BR3:BR4"/>
    <mergeCell ref="BR5:BR6"/>
    <mergeCell ref="BR7:BR8"/>
    <mergeCell ref="BR9:BR10"/>
    <mergeCell ref="BQ21:BQ22"/>
    <mergeCell ref="BQ19:BQ20"/>
    <mergeCell ref="BQ17:BQ18"/>
    <mergeCell ref="BQ15:BQ16"/>
    <mergeCell ref="BQ13:BQ14"/>
    <mergeCell ref="BQ11:BQ12"/>
    <mergeCell ref="BR35:BR36"/>
    <mergeCell ref="BR37:BR38"/>
    <mergeCell ref="BR39:BR40"/>
    <mergeCell ref="BR41:BR42"/>
    <mergeCell ref="BR43:BR44"/>
    <mergeCell ref="BR45:BR46"/>
    <mergeCell ref="BR23:BR24"/>
    <mergeCell ref="BR25:BR26"/>
    <mergeCell ref="BR27:BR28"/>
    <mergeCell ref="BR29:BR30"/>
    <mergeCell ref="BR31:BR32"/>
    <mergeCell ref="BR33:BR34"/>
    <mergeCell ref="BR59:BR60"/>
    <mergeCell ref="BR61:BR62"/>
    <mergeCell ref="BR63:BR64"/>
    <mergeCell ref="BR65:BR66"/>
    <mergeCell ref="BR47:BR48"/>
    <mergeCell ref="BR49:BR50"/>
    <mergeCell ref="BR51:BR52"/>
    <mergeCell ref="BR53:BR54"/>
    <mergeCell ref="BR55:BR56"/>
    <mergeCell ref="BR57:BR58"/>
  </mergeCells>
  <conditionalFormatting sqref="BR3:BR6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{291808C5-C2CB-4507-8505-D87AE7CDE772}</x14:id>
        </ext>
      </extLst>
    </cfRule>
  </conditionalFormatting>
  <conditionalFormatting sqref="BR41:BR4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{629CAC3A-5B07-433E-8221-B74BD4E0E098}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1808C5-C2CB-4507-8505-D87AE7CDE7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BR3:BR66</xm:sqref>
        </x14:conditionalFormatting>
        <x14:conditionalFormatting xmlns:xm="http://schemas.microsoft.com/office/excel/2006/main">
          <x14:cfRule type="dataBar" id="{629CAC3A-5B07-433E-8221-B74BD4E0E0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BR41:BR42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7141-7C4C-4A9E-8176-7AC067E9DC48}">
  <sheetPr codeName="Sheet4"/>
  <dimension ref="A1:BR66"/>
  <sheetViews>
    <sheetView workbookViewId="0">
      <selection activeCell="BH21" sqref="BH21"/>
    </sheetView>
  </sheetViews>
  <sheetFormatPr defaultRowHeight="15" x14ac:dyDescent="0.25"/>
  <cols>
    <col min="1" max="1" width="4.140625" customWidth="1"/>
    <col min="2" max="66" width="2" customWidth="1"/>
    <col min="67" max="67" width="2.7109375" customWidth="1"/>
    <col min="68" max="68" width="4.42578125" customWidth="1"/>
    <col min="69" max="69" width="4.28515625" customWidth="1"/>
  </cols>
  <sheetData>
    <row r="1" spans="1:70" x14ac:dyDescent="0.25">
      <c r="A1" s="6" t="s">
        <v>68</v>
      </c>
      <c r="B1" s="7"/>
      <c r="C1" s="58" t="s">
        <v>36</v>
      </c>
      <c r="D1" s="59"/>
      <c r="E1" s="58" t="s">
        <v>39</v>
      </c>
      <c r="F1" s="59"/>
      <c r="G1" s="58" t="s">
        <v>45</v>
      </c>
      <c r="H1" s="59"/>
      <c r="I1" s="58" t="s">
        <v>46</v>
      </c>
      <c r="J1" s="59"/>
      <c r="K1" s="58" t="s">
        <v>56</v>
      </c>
      <c r="L1" s="59"/>
      <c r="M1" s="58" t="s">
        <v>55</v>
      </c>
      <c r="N1" s="59"/>
      <c r="O1" s="58" t="s">
        <v>23</v>
      </c>
      <c r="P1" s="59"/>
      <c r="Q1" s="58" t="s">
        <v>25</v>
      </c>
      <c r="R1" s="62"/>
      <c r="S1" s="58" t="s">
        <v>16</v>
      </c>
      <c r="T1" s="59"/>
      <c r="U1" s="58" t="s">
        <v>41</v>
      </c>
      <c r="V1" s="59"/>
      <c r="W1" s="58" t="s">
        <v>43</v>
      </c>
      <c r="X1" s="59"/>
      <c r="Y1" s="58" t="s">
        <v>22</v>
      </c>
      <c r="Z1" s="59"/>
      <c r="AA1" s="58" t="s">
        <v>48</v>
      </c>
      <c r="AB1" s="59"/>
      <c r="AC1" s="58" t="s">
        <v>61</v>
      </c>
      <c r="AD1" s="59"/>
      <c r="AE1" s="58" t="s">
        <v>58</v>
      </c>
      <c r="AF1" s="59"/>
      <c r="AG1" s="63" t="s">
        <v>60</v>
      </c>
      <c r="AH1" s="62"/>
      <c r="AI1" s="58" t="s">
        <v>40</v>
      </c>
      <c r="AJ1" s="59"/>
      <c r="AK1" s="58" t="s">
        <v>42</v>
      </c>
      <c r="AL1" s="59"/>
      <c r="AM1" s="58" t="s">
        <v>49</v>
      </c>
      <c r="AN1" s="59"/>
      <c r="AO1" s="58" t="s">
        <v>50</v>
      </c>
      <c r="AP1" s="59"/>
      <c r="AQ1" s="58" t="s">
        <v>51</v>
      </c>
      <c r="AR1" s="59"/>
      <c r="AS1" s="58" t="s">
        <v>53</v>
      </c>
      <c r="AT1" s="59"/>
      <c r="AU1" s="58" t="s">
        <v>54</v>
      </c>
      <c r="AV1" s="59"/>
      <c r="AW1" s="58" t="s">
        <v>59</v>
      </c>
      <c r="AX1" s="62"/>
      <c r="AY1" s="58" t="s">
        <v>37</v>
      </c>
      <c r="AZ1" s="59"/>
      <c r="BA1" s="58" t="s">
        <v>38</v>
      </c>
      <c r="BB1" s="59"/>
      <c r="BC1" s="58" t="s">
        <v>44</v>
      </c>
      <c r="BD1" s="59"/>
      <c r="BE1" s="58" t="s">
        <v>17</v>
      </c>
      <c r="BF1" s="58"/>
      <c r="BG1" s="60" t="s">
        <v>47</v>
      </c>
      <c r="BH1" s="61"/>
      <c r="BI1" s="58" t="s">
        <v>52</v>
      </c>
      <c r="BJ1" s="59"/>
      <c r="BK1" s="58" t="s">
        <v>57</v>
      </c>
      <c r="BL1" s="59"/>
      <c r="BM1" s="58" t="s">
        <v>24</v>
      </c>
      <c r="BN1" s="59"/>
      <c r="BO1" s="9"/>
      <c r="BP1" s="8" t="s">
        <v>69</v>
      </c>
      <c r="BQ1" s="6" t="s">
        <v>70</v>
      </c>
    </row>
    <row r="2" spans="1:70" x14ac:dyDescent="0.25">
      <c r="A2" s="10" t="s">
        <v>71</v>
      </c>
      <c r="B2" s="11"/>
      <c r="C2" s="10" t="s">
        <v>67</v>
      </c>
      <c r="D2" s="11" t="s">
        <v>72</v>
      </c>
      <c r="E2" s="10" t="s">
        <v>67</v>
      </c>
      <c r="F2" s="11" t="s">
        <v>72</v>
      </c>
      <c r="G2" s="10" t="s">
        <v>67</v>
      </c>
      <c r="H2" s="11" t="s">
        <v>72</v>
      </c>
      <c r="I2" s="10" t="s">
        <v>67</v>
      </c>
      <c r="J2" s="11" t="s">
        <v>72</v>
      </c>
      <c r="K2" s="10" t="s">
        <v>67</v>
      </c>
      <c r="L2" s="11" t="s">
        <v>72</v>
      </c>
      <c r="M2" s="10" t="s">
        <v>67</v>
      </c>
      <c r="N2" s="11" t="s">
        <v>72</v>
      </c>
      <c r="O2" s="10" t="s">
        <v>67</v>
      </c>
      <c r="P2" s="11" t="s">
        <v>72</v>
      </c>
      <c r="Q2" s="10" t="s">
        <v>67</v>
      </c>
      <c r="R2" s="12" t="s">
        <v>72</v>
      </c>
      <c r="S2" s="10" t="s">
        <v>67</v>
      </c>
      <c r="T2" s="11" t="s">
        <v>72</v>
      </c>
      <c r="U2" s="10" t="s">
        <v>67</v>
      </c>
      <c r="V2" s="11" t="s">
        <v>72</v>
      </c>
      <c r="W2" s="10" t="s">
        <v>67</v>
      </c>
      <c r="X2" s="11" t="s">
        <v>72</v>
      </c>
      <c r="Y2" s="10" t="s">
        <v>67</v>
      </c>
      <c r="Z2" s="11" t="s">
        <v>72</v>
      </c>
      <c r="AA2" s="10" t="s">
        <v>67</v>
      </c>
      <c r="AB2" s="11" t="s">
        <v>72</v>
      </c>
      <c r="AC2" s="10" t="s">
        <v>67</v>
      </c>
      <c r="AD2" s="11" t="s">
        <v>72</v>
      </c>
      <c r="AE2" s="10" t="s">
        <v>67</v>
      </c>
      <c r="AF2" s="11" t="s">
        <v>72</v>
      </c>
      <c r="AG2" s="10" t="s">
        <v>67</v>
      </c>
      <c r="AH2" s="12" t="s">
        <v>72</v>
      </c>
      <c r="AI2" s="10" t="s">
        <v>67</v>
      </c>
      <c r="AJ2" s="11" t="s">
        <v>72</v>
      </c>
      <c r="AK2" s="10" t="s">
        <v>67</v>
      </c>
      <c r="AL2" s="11" t="s">
        <v>72</v>
      </c>
      <c r="AM2" s="10" t="s">
        <v>67</v>
      </c>
      <c r="AN2" s="11" t="s">
        <v>72</v>
      </c>
      <c r="AO2" s="10" t="s">
        <v>67</v>
      </c>
      <c r="AP2" s="11" t="s">
        <v>72</v>
      </c>
      <c r="AQ2" s="10" t="s">
        <v>67</v>
      </c>
      <c r="AR2" s="11" t="s">
        <v>72</v>
      </c>
      <c r="AS2" s="10" t="s">
        <v>67</v>
      </c>
      <c r="AT2" s="11" t="s">
        <v>72</v>
      </c>
      <c r="AU2" s="10" t="s">
        <v>67</v>
      </c>
      <c r="AV2" s="11" t="s">
        <v>72</v>
      </c>
      <c r="AW2" s="10" t="s">
        <v>67</v>
      </c>
      <c r="AX2" s="12" t="s">
        <v>72</v>
      </c>
      <c r="AY2" s="10" t="s">
        <v>67</v>
      </c>
      <c r="AZ2" s="11" t="s">
        <v>72</v>
      </c>
      <c r="BA2" s="10" t="s">
        <v>67</v>
      </c>
      <c r="BB2" s="11" t="s">
        <v>72</v>
      </c>
      <c r="BC2" s="10" t="s">
        <v>67</v>
      </c>
      <c r="BD2" s="11" t="s">
        <v>72</v>
      </c>
      <c r="BE2" s="10" t="s">
        <v>67</v>
      </c>
      <c r="BF2" s="10" t="s">
        <v>72</v>
      </c>
      <c r="BG2" s="13" t="s">
        <v>67</v>
      </c>
      <c r="BH2" s="11" t="s">
        <v>72</v>
      </c>
      <c r="BI2" s="10" t="s">
        <v>67</v>
      </c>
      <c r="BJ2" s="11" t="s">
        <v>72</v>
      </c>
      <c r="BK2" s="10" t="s">
        <v>67</v>
      </c>
      <c r="BL2" s="11" t="s">
        <v>72</v>
      </c>
      <c r="BM2" s="10" t="s">
        <v>67</v>
      </c>
      <c r="BN2" s="11" t="s">
        <v>72</v>
      </c>
      <c r="BO2" s="14"/>
      <c r="BP2" s="6"/>
      <c r="BQ2" s="6"/>
    </row>
    <row r="3" spans="1:70" ht="9.75" customHeight="1" x14ac:dyDescent="0.25">
      <c r="A3" s="53" t="s">
        <v>36</v>
      </c>
      <c r="B3" s="7" t="s">
        <v>67</v>
      </c>
      <c r="C3" s="19"/>
      <c r="D3" s="1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20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20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20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>
        <f>SUM(C3:BN3)</f>
        <v>0</v>
      </c>
      <c r="BP3" s="52">
        <f>BO3+BO4</f>
        <v>0</v>
      </c>
      <c r="BQ3" s="52">
        <f>84-BP3</f>
        <v>84</v>
      </c>
      <c r="BR3" s="51">
        <f>BP3/(BP3+BQ3)</f>
        <v>0</v>
      </c>
    </row>
    <row r="4" spans="1:70" ht="9.75" customHeight="1" x14ac:dyDescent="0.25">
      <c r="A4" s="54"/>
      <c r="B4" s="11" t="s">
        <v>72</v>
      </c>
      <c r="C4" s="19"/>
      <c r="D4" s="1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21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21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21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>
        <f t="shared" ref="BO4:BO66" si="0">SUM(C4:BN4)</f>
        <v>0</v>
      </c>
      <c r="BP4" s="52"/>
      <c r="BQ4" s="52"/>
      <c r="BR4" s="51"/>
    </row>
    <row r="5" spans="1:70" ht="9.75" customHeight="1" x14ac:dyDescent="0.25">
      <c r="A5" s="53" t="s">
        <v>39</v>
      </c>
      <c r="B5" s="7" t="s">
        <v>67</v>
      </c>
      <c r="C5" s="5"/>
      <c r="D5" s="5"/>
      <c r="E5" s="19"/>
      <c r="F5" s="1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1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21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21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>
        <f t="shared" si="0"/>
        <v>0</v>
      </c>
      <c r="BP5" s="52">
        <f>BO5+BO6</f>
        <v>0</v>
      </c>
      <c r="BQ5" s="52">
        <f>84-BP5</f>
        <v>84</v>
      </c>
      <c r="BR5" s="51">
        <f t="shared" ref="BR5" si="1">BP5/(BP5+BQ5)</f>
        <v>0</v>
      </c>
    </row>
    <row r="6" spans="1:70" ht="9.75" customHeight="1" x14ac:dyDescent="0.25">
      <c r="A6" s="54"/>
      <c r="B6" s="11" t="s">
        <v>72</v>
      </c>
      <c r="C6" s="5"/>
      <c r="D6" s="5"/>
      <c r="E6" s="19"/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21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21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21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>
        <f t="shared" si="0"/>
        <v>0</v>
      </c>
      <c r="BP6" s="52"/>
      <c r="BQ6" s="52"/>
      <c r="BR6" s="51"/>
    </row>
    <row r="7" spans="1:70" ht="9.75" customHeight="1" x14ac:dyDescent="0.25">
      <c r="A7" s="53" t="s">
        <v>45</v>
      </c>
      <c r="B7" s="7" t="s">
        <v>67</v>
      </c>
      <c r="C7" s="5"/>
      <c r="D7" s="5"/>
      <c r="E7" s="5"/>
      <c r="F7" s="5"/>
      <c r="G7" s="19"/>
      <c r="H7" s="19"/>
      <c r="I7" s="5"/>
      <c r="J7" s="5"/>
      <c r="K7" s="5"/>
      <c r="L7" s="5"/>
      <c r="M7" s="5"/>
      <c r="N7" s="5"/>
      <c r="O7" s="5"/>
      <c r="P7" s="5"/>
      <c r="Q7" s="5"/>
      <c r="R7" s="21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21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21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>
        <f t="shared" si="0"/>
        <v>0</v>
      </c>
      <c r="BP7" s="52">
        <f t="shared" ref="BP7" si="2">BO7+BO8</f>
        <v>0</v>
      </c>
      <c r="BQ7" s="52">
        <f t="shared" ref="BQ7" si="3">84-BP7</f>
        <v>84</v>
      </c>
      <c r="BR7" s="51">
        <f t="shared" ref="BR7" si="4">BP7/(BP7+BQ7)</f>
        <v>0</v>
      </c>
    </row>
    <row r="8" spans="1:70" ht="9.75" customHeight="1" x14ac:dyDescent="0.25">
      <c r="A8" s="54"/>
      <c r="B8" s="11" t="s">
        <v>72</v>
      </c>
      <c r="C8" s="5"/>
      <c r="D8" s="5"/>
      <c r="E8" s="5"/>
      <c r="F8" s="5"/>
      <c r="G8" s="19"/>
      <c r="H8" s="19"/>
      <c r="I8" s="5"/>
      <c r="J8" s="5"/>
      <c r="K8" s="5"/>
      <c r="L8" s="5"/>
      <c r="M8" s="5"/>
      <c r="N8" s="5"/>
      <c r="O8" s="5"/>
      <c r="P8" s="5"/>
      <c r="Q8" s="5"/>
      <c r="R8" s="21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21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21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f t="shared" si="0"/>
        <v>0</v>
      </c>
      <c r="BP8" s="52"/>
      <c r="BQ8" s="52"/>
      <c r="BR8" s="51"/>
    </row>
    <row r="9" spans="1:70" ht="9.75" customHeight="1" x14ac:dyDescent="0.25">
      <c r="A9" s="53" t="s">
        <v>46</v>
      </c>
      <c r="B9" s="7" t="s">
        <v>67</v>
      </c>
      <c r="C9" s="5"/>
      <c r="D9" s="5"/>
      <c r="E9" s="5"/>
      <c r="F9" s="5"/>
      <c r="G9" s="5"/>
      <c r="H9" s="5"/>
      <c r="I9" s="19"/>
      <c r="J9" s="19"/>
      <c r="K9" s="5"/>
      <c r="L9" s="5"/>
      <c r="M9" s="5"/>
      <c r="N9" s="5"/>
      <c r="O9" s="5"/>
      <c r="P9" s="5"/>
      <c r="Q9" s="5"/>
      <c r="R9" s="21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21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21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f t="shared" si="0"/>
        <v>0</v>
      </c>
      <c r="BP9" s="52">
        <f t="shared" ref="BP9" si="5">BO9+BO10</f>
        <v>0</v>
      </c>
      <c r="BQ9" s="52">
        <f t="shared" ref="BQ9" si="6">84-BP9</f>
        <v>84</v>
      </c>
      <c r="BR9" s="51">
        <f t="shared" ref="BR9" si="7">BP9/(BP9+BQ9)</f>
        <v>0</v>
      </c>
    </row>
    <row r="10" spans="1:70" ht="9.75" customHeight="1" x14ac:dyDescent="0.25">
      <c r="A10" s="54"/>
      <c r="B10" s="11" t="s">
        <v>72</v>
      </c>
      <c r="C10" s="5"/>
      <c r="D10" s="5"/>
      <c r="E10" s="5"/>
      <c r="F10" s="5"/>
      <c r="G10" s="5"/>
      <c r="H10" s="5"/>
      <c r="I10" s="19"/>
      <c r="J10" s="19"/>
      <c r="K10" s="5"/>
      <c r="L10" s="5"/>
      <c r="M10" s="5"/>
      <c r="N10" s="5"/>
      <c r="O10" s="5"/>
      <c r="P10" s="5"/>
      <c r="Q10" s="5"/>
      <c r="R10" s="21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21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1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f t="shared" si="0"/>
        <v>0</v>
      </c>
      <c r="BP10" s="52"/>
      <c r="BQ10" s="52"/>
      <c r="BR10" s="51"/>
    </row>
    <row r="11" spans="1:70" ht="9.75" customHeight="1" x14ac:dyDescent="0.25">
      <c r="A11" s="53" t="s">
        <v>56</v>
      </c>
      <c r="B11" s="7" t="s">
        <v>67</v>
      </c>
      <c r="C11" s="5"/>
      <c r="D11" s="5"/>
      <c r="E11" s="5"/>
      <c r="F11" s="5"/>
      <c r="G11" s="5"/>
      <c r="H11" s="5"/>
      <c r="I11" s="5"/>
      <c r="J11" s="5"/>
      <c r="K11" s="19"/>
      <c r="L11" s="19"/>
      <c r="M11" s="5"/>
      <c r="N11" s="5"/>
      <c r="O11" s="5"/>
      <c r="P11" s="5"/>
      <c r="Q11" s="5"/>
      <c r="R11" s="21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21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1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f t="shared" si="0"/>
        <v>0</v>
      </c>
      <c r="BP11" s="52">
        <f t="shared" ref="BP11" si="8">BO11+BO12</f>
        <v>0</v>
      </c>
      <c r="BQ11" s="52">
        <f t="shared" ref="BQ11" si="9">84-BP11</f>
        <v>84</v>
      </c>
      <c r="BR11" s="51">
        <f t="shared" ref="BR11" si="10">BP11/(BP11+BQ11)</f>
        <v>0</v>
      </c>
    </row>
    <row r="12" spans="1:70" ht="9.75" customHeight="1" x14ac:dyDescent="0.25">
      <c r="A12" s="54"/>
      <c r="B12" s="11" t="s">
        <v>72</v>
      </c>
      <c r="C12" s="5"/>
      <c r="D12" s="5"/>
      <c r="E12" s="5"/>
      <c r="F12" s="5"/>
      <c r="G12" s="5"/>
      <c r="H12" s="5"/>
      <c r="I12" s="5"/>
      <c r="J12" s="5"/>
      <c r="K12" s="19"/>
      <c r="L12" s="19"/>
      <c r="M12" s="5"/>
      <c r="N12" s="5"/>
      <c r="O12" s="5"/>
      <c r="P12" s="5"/>
      <c r="Q12" s="5"/>
      <c r="R12" s="21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21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21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f t="shared" si="0"/>
        <v>0</v>
      </c>
      <c r="BP12" s="52"/>
      <c r="BQ12" s="52"/>
      <c r="BR12" s="51"/>
    </row>
    <row r="13" spans="1:70" ht="9.75" customHeight="1" x14ac:dyDescent="0.25">
      <c r="A13" s="53" t="s">
        <v>55</v>
      </c>
      <c r="B13" s="7" t="s">
        <v>67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19"/>
      <c r="N13" s="19"/>
      <c r="O13" s="5"/>
      <c r="P13" s="5"/>
      <c r="Q13" s="5"/>
      <c r="R13" s="21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21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21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f t="shared" si="0"/>
        <v>0</v>
      </c>
      <c r="BP13" s="52">
        <f t="shared" ref="BP13" si="11">BO13+BO14</f>
        <v>0</v>
      </c>
      <c r="BQ13" s="52">
        <f t="shared" ref="BQ13" si="12">84-BP13</f>
        <v>84</v>
      </c>
      <c r="BR13" s="51">
        <f t="shared" ref="BR13" si="13">BP13/(BP13+BQ13)</f>
        <v>0</v>
      </c>
    </row>
    <row r="14" spans="1:70" ht="9.75" customHeight="1" x14ac:dyDescent="0.25">
      <c r="A14" s="54"/>
      <c r="B14" s="11" t="s">
        <v>72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19"/>
      <c r="N14" s="19"/>
      <c r="O14" s="5"/>
      <c r="P14" s="5"/>
      <c r="Q14" s="5"/>
      <c r="R14" s="21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21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21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f t="shared" si="0"/>
        <v>0</v>
      </c>
      <c r="BP14" s="52"/>
      <c r="BQ14" s="52"/>
      <c r="BR14" s="51"/>
    </row>
    <row r="15" spans="1:70" ht="9.75" customHeight="1" x14ac:dyDescent="0.25">
      <c r="A15" s="53" t="s">
        <v>23</v>
      </c>
      <c r="B15" s="7" t="s">
        <v>67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19"/>
      <c r="P15" s="19"/>
      <c r="Q15" s="5"/>
      <c r="R15" s="21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21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21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f t="shared" si="0"/>
        <v>0</v>
      </c>
      <c r="BP15" s="52">
        <f t="shared" ref="BP15" si="14">BO15+BO16</f>
        <v>0</v>
      </c>
      <c r="BQ15" s="52">
        <f t="shared" ref="BQ15" si="15">84-BP15</f>
        <v>84</v>
      </c>
      <c r="BR15" s="51">
        <f t="shared" ref="BR15" si="16">BP15/(BP15+BQ15)</f>
        <v>0</v>
      </c>
    </row>
    <row r="16" spans="1:70" ht="9.75" customHeight="1" x14ac:dyDescent="0.25">
      <c r="A16" s="54"/>
      <c r="B16" s="11" t="s">
        <v>72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19"/>
      <c r="P16" s="19"/>
      <c r="Q16" s="5"/>
      <c r="R16" s="21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21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1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f t="shared" si="0"/>
        <v>0</v>
      </c>
      <c r="BP16" s="52"/>
      <c r="BQ16" s="52"/>
      <c r="BR16" s="51"/>
    </row>
    <row r="17" spans="1:70" ht="9.75" customHeight="1" x14ac:dyDescent="0.25">
      <c r="A17" s="53" t="s">
        <v>25</v>
      </c>
      <c r="B17" s="7" t="s">
        <v>67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9"/>
      <c r="R17" s="22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21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1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f t="shared" si="0"/>
        <v>0</v>
      </c>
      <c r="BP17" s="52">
        <f t="shared" ref="BP17" si="17">BO17+BO18</f>
        <v>0</v>
      </c>
      <c r="BQ17" s="52">
        <f t="shared" ref="BQ17" si="18">84-BP17</f>
        <v>84</v>
      </c>
      <c r="BR17" s="51">
        <f t="shared" ref="BR17" si="19">BP17/(BP17+BQ17)</f>
        <v>0</v>
      </c>
    </row>
    <row r="18" spans="1:70" ht="9.75" customHeight="1" thickBot="1" x14ac:dyDescent="0.3">
      <c r="A18" s="56"/>
      <c r="B18" s="7" t="s">
        <v>72</v>
      </c>
      <c r="C18" s="23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6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7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7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5">
        <f t="shared" si="0"/>
        <v>0</v>
      </c>
      <c r="BP18" s="52"/>
      <c r="BQ18" s="52"/>
      <c r="BR18" s="51"/>
    </row>
    <row r="19" spans="1:70" ht="9.75" customHeight="1" thickTop="1" x14ac:dyDescent="0.25">
      <c r="A19" s="57" t="s">
        <v>16</v>
      </c>
      <c r="B19" s="15" t="s">
        <v>67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21"/>
      <c r="S19" s="19"/>
      <c r="T19" s="19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21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21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f t="shared" si="0"/>
        <v>0</v>
      </c>
      <c r="BP19" s="52">
        <f t="shared" ref="BP19" si="20">BO19+BO20</f>
        <v>0</v>
      </c>
      <c r="BQ19" s="52">
        <f t="shared" ref="BQ19" si="21">84-BP19</f>
        <v>84</v>
      </c>
      <c r="BR19" s="51">
        <f t="shared" ref="BR19" si="22">BP19/(BP19+BQ19)</f>
        <v>0</v>
      </c>
    </row>
    <row r="20" spans="1:70" ht="9.75" customHeight="1" x14ac:dyDescent="0.25">
      <c r="A20" s="54"/>
      <c r="B20" s="11" t="s">
        <v>72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21"/>
      <c r="S20" s="19"/>
      <c r="T20" s="19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21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21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f t="shared" si="0"/>
        <v>0</v>
      </c>
      <c r="BP20" s="52"/>
      <c r="BQ20" s="52"/>
      <c r="BR20" s="51"/>
    </row>
    <row r="21" spans="1:70" ht="9.75" customHeight="1" x14ac:dyDescent="0.25">
      <c r="A21" s="53" t="s">
        <v>41</v>
      </c>
      <c r="B21" s="7" t="s">
        <v>67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21"/>
      <c r="S21" s="5"/>
      <c r="T21" s="5"/>
      <c r="U21" s="19"/>
      <c r="V21" s="1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21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21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f t="shared" si="0"/>
        <v>0</v>
      </c>
      <c r="BP21" s="52">
        <f t="shared" ref="BP21" si="23">BO21+BO22</f>
        <v>0</v>
      </c>
      <c r="BQ21" s="52">
        <f t="shared" ref="BQ21" si="24">84-BP21</f>
        <v>84</v>
      </c>
      <c r="BR21" s="51">
        <f t="shared" ref="BR21" si="25">BP21/(BP21+BQ21)</f>
        <v>0</v>
      </c>
    </row>
    <row r="22" spans="1:70" ht="9.75" customHeight="1" x14ac:dyDescent="0.25">
      <c r="A22" s="54"/>
      <c r="B22" s="11" t="s">
        <v>72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21"/>
      <c r="S22" s="5"/>
      <c r="T22" s="5"/>
      <c r="U22" s="19"/>
      <c r="V22" s="1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21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21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f t="shared" si="0"/>
        <v>0</v>
      </c>
      <c r="BP22" s="52"/>
      <c r="BQ22" s="52"/>
      <c r="BR22" s="51"/>
    </row>
    <row r="23" spans="1:70" ht="9.75" customHeight="1" x14ac:dyDescent="0.25">
      <c r="A23" s="53" t="s">
        <v>43</v>
      </c>
      <c r="B23" s="7" t="s">
        <v>67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21"/>
      <c r="S23" s="5"/>
      <c r="T23" s="5"/>
      <c r="U23" s="5"/>
      <c r="V23" s="5"/>
      <c r="W23" s="19"/>
      <c r="X23" s="19"/>
      <c r="Y23" s="5"/>
      <c r="Z23" s="5"/>
      <c r="AA23" s="5"/>
      <c r="AB23" s="5"/>
      <c r="AC23" s="5"/>
      <c r="AD23" s="5"/>
      <c r="AE23" s="5"/>
      <c r="AF23" s="5"/>
      <c r="AG23" s="5"/>
      <c r="AH23" s="21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21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f t="shared" si="0"/>
        <v>0</v>
      </c>
      <c r="BP23" s="52">
        <f t="shared" ref="BP23" si="26">BO23+BO24</f>
        <v>0</v>
      </c>
      <c r="BQ23" s="52">
        <f t="shared" ref="BQ23" si="27">84-BP23</f>
        <v>84</v>
      </c>
      <c r="BR23" s="51">
        <f t="shared" ref="BR23" si="28">BP23/(BP23+BQ23)</f>
        <v>0</v>
      </c>
    </row>
    <row r="24" spans="1:70" ht="9.75" customHeight="1" x14ac:dyDescent="0.25">
      <c r="A24" s="54"/>
      <c r="B24" s="11" t="s">
        <v>72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21"/>
      <c r="S24" s="5"/>
      <c r="T24" s="5"/>
      <c r="U24" s="5"/>
      <c r="V24" s="5"/>
      <c r="W24" s="19"/>
      <c r="X24" s="19"/>
      <c r="Y24" s="5"/>
      <c r="Z24" s="5"/>
      <c r="AA24" s="5"/>
      <c r="AB24" s="5"/>
      <c r="AC24" s="5"/>
      <c r="AD24" s="5"/>
      <c r="AE24" s="5"/>
      <c r="AF24" s="5"/>
      <c r="AG24" s="5"/>
      <c r="AH24" s="21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21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f t="shared" si="0"/>
        <v>0</v>
      </c>
      <c r="BP24" s="52"/>
      <c r="BQ24" s="52"/>
      <c r="BR24" s="51"/>
    </row>
    <row r="25" spans="1:70" ht="9.75" customHeight="1" x14ac:dyDescent="0.25">
      <c r="A25" s="53" t="s">
        <v>22</v>
      </c>
      <c r="B25" s="7" t="s">
        <v>67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21"/>
      <c r="S25" s="5"/>
      <c r="T25" s="5"/>
      <c r="U25" s="5"/>
      <c r="V25" s="5"/>
      <c r="W25" s="5"/>
      <c r="X25" s="5"/>
      <c r="Y25" s="19"/>
      <c r="Z25" s="19"/>
      <c r="AA25" s="5"/>
      <c r="AB25" s="5"/>
      <c r="AC25" s="5"/>
      <c r="AD25" s="5"/>
      <c r="AE25" s="5"/>
      <c r="AF25" s="5"/>
      <c r="AG25" s="5"/>
      <c r="AH25" s="21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21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f t="shared" si="0"/>
        <v>0</v>
      </c>
      <c r="BP25" s="52">
        <f t="shared" ref="BP25" si="29">BO25+BO26</f>
        <v>0</v>
      </c>
      <c r="BQ25" s="52">
        <f t="shared" ref="BQ25" si="30">84-BP25</f>
        <v>84</v>
      </c>
      <c r="BR25" s="51">
        <f t="shared" ref="BR25" si="31">BP25/(BP25+BQ25)</f>
        <v>0</v>
      </c>
    </row>
    <row r="26" spans="1:70" ht="9.75" customHeight="1" x14ac:dyDescent="0.25">
      <c r="A26" s="54"/>
      <c r="B26" s="11" t="s">
        <v>72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21"/>
      <c r="S26" s="5"/>
      <c r="T26" s="5"/>
      <c r="U26" s="5"/>
      <c r="V26" s="5"/>
      <c r="W26" s="5"/>
      <c r="X26" s="5"/>
      <c r="Y26" s="19"/>
      <c r="Z26" s="19"/>
      <c r="AA26" s="5"/>
      <c r="AB26" s="5"/>
      <c r="AC26" s="5"/>
      <c r="AD26" s="5"/>
      <c r="AE26" s="5"/>
      <c r="AF26" s="5"/>
      <c r="AG26" s="5"/>
      <c r="AH26" s="21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21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f t="shared" si="0"/>
        <v>0</v>
      </c>
      <c r="BP26" s="52"/>
      <c r="BQ26" s="52"/>
      <c r="BR26" s="51"/>
    </row>
    <row r="27" spans="1:70" ht="9.75" customHeight="1" x14ac:dyDescent="0.25">
      <c r="A27" s="53" t="s">
        <v>48</v>
      </c>
      <c r="B27" s="7" t="s">
        <v>67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21"/>
      <c r="S27" s="5"/>
      <c r="T27" s="5"/>
      <c r="U27" s="5"/>
      <c r="V27" s="5"/>
      <c r="W27" s="5"/>
      <c r="X27" s="5"/>
      <c r="Y27" s="5"/>
      <c r="Z27" s="5"/>
      <c r="AA27" s="19"/>
      <c r="AB27" s="19"/>
      <c r="AC27" s="5"/>
      <c r="AD27" s="5"/>
      <c r="AE27" s="5"/>
      <c r="AF27" s="5"/>
      <c r="AG27" s="5"/>
      <c r="AH27" s="21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21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f t="shared" si="0"/>
        <v>0</v>
      </c>
      <c r="BP27" s="52">
        <f t="shared" ref="BP27" si="32">BO27+BO28</f>
        <v>0</v>
      </c>
      <c r="BQ27" s="52">
        <f t="shared" ref="BQ27" si="33">84-BP27</f>
        <v>84</v>
      </c>
      <c r="BR27" s="51">
        <f t="shared" ref="BR27" si="34">BP27/(BP27+BQ27)</f>
        <v>0</v>
      </c>
    </row>
    <row r="28" spans="1:70" ht="9.75" customHeight="1" x14ac:dyDescent="0.25">
      <c r="A28" s="54"/>
      <c r="B28" s="11" t="s">
        <v>72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21"/>
      <c r="S28" s="5"/>
      <c r="T28" s="5"/>
      <c r="U28" s="5"/>
      <c r="V28" s="5"/>
      <c r="W28" s="5"/>
      <c r="X28" s="5"/>
      <c r="Y28" s="5"/>
      <c r="Z28" s="5"/>
      <c r="AA28" s="19"/>
      <c r="AB28" s="19"/>
      <c r="AC28" s="5"/>
      <c r="AD28" s="5"/>
      <c r="AE28" s="5"/>
      <c r="AF28" s="5"/>
      <c r="AG28" s="5"/>
      <c r="AH28" s="21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21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f t="shared" si="0"/>
        <v>0</v>
      </c>
      <c r="BP28" s="52"/>
      <c r="BQ28" s="52"/>
      <c r="BR28" s="51"/>
    </row>
    <row r="29" spans="1:70" ht="9.75" customHeight="1" x14ac:dyDescent="0.25">
      <c r="A29" s="53" t="s">
        <v>61</v>
      </c>
      <c r="B29" s="7" t="s">
        <v>67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21"/>
      <c r="S29" s="5"/>
      <c r="T29" s="5"/>
      <c r="U29" s="5"/>
      <c r="V29" s="5"/>
      <c r="W29" s="5"/>
      <c r="X29" s="5"/>
      <c r="Y29" s="5"/>
      <c r="Z29" s="5"/>
      <c r="AA29" s="5"/>
      <c r="AB29" s="5"/>
      <c r="AC29" s="19"/>
      <c r="AD29" s="19"/>
      <c r="AE29" s="5"/>
      <c r="AF29" s="5"/>
      <c r="AG29" s="5"/>
      <c r="AH29" s="21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21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f t="shared" si="0"/>
        <v>0</v>
      </c>
      <c r="BP29" s="52">
        <f t="shared" ref="BP29" si="35">BO29+BO30</f>
        <v>0</v>
      </c>
      <c r="BQ29" s="52">
        <f t="shared" ref="BQ29" si="36">84-BP29</f>
        <v>84</v>
      </c>
      <c r="BR29" s="51">
        <f t="shared" ref="BR29" si="37">BP29/(BP29+BQ29)</f>
        <v>0</v>
      </c>
    </row>
    <row r="30" spans="1:70" ht="9.75" customHeight="1" x14ac:dyDescent="0.25">
      <c r="A30" s="54"/>
      <c r="B30" s="11" t="s">
        <v>72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21"/>
      <c r="S30" s="5"/>
      <c r="T30" s="5"/>
      <c r="U30" s="5"/>
      <c r="V30" s="5"/>
      <c r="W30" s="5"/>
      <c r="X30" s="5"/>
      <c r="Y30" s="5"/>
      <c r="Z30" s="5"/>
      <c r="AA30" s="5"/>
      <c r="AB30" s="5"/>
      <c r="AC30" s="19"/>
      <c r="AD30" s="19"/>
      <c r="AE30" s="5"/>
      <c r="AF30" s="5"/>
      <c r="AG30" s="5"/>
      <c r="AH30" s="21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21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f t="shared" si="0"/>
        <v>0</v>
      </c>
      <c r="BP30" s="52"/>
      <c r="BQ30" s="52"/>
      <c r="BR30" s="51"/>
    </row>
    <row r="31" spans="1:70" ht="9.75" customHeight="1" x14ac:dyDescent="0.25">
      <c r="A31" s="53" t="s">
        <v>58</v>
      </c>
      <c r="B31" s="7" t="s">
        <v>67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21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19"/>
      <c r="AF31" s="19"/>
      <c r="AG31" s="5"/>
      <c r="AH31" s="21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21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f t="shared" si="0"/>
        <v>0</v>
      </c>
      <c r="BP31" s="52">
        <f t="shared" ref="BP31" si="38">BO31+BO32</f>
        <v>0</v>
      </c>
      <c r="BQ31" s="52">
        <f t="shared" ref="BQ31" si="39">84-BP31</f>
        <v>84</v>
      </c>
      <c r="BR31" s="51">
        <f t="shared" ref="BR31" si="40">BP31/(BP31+BQ31)</f>
        <v>0</v>
      </c>
    </row>
    <row r="32" spans="1:70" ht="9.75" customHeight="1" x14ac:dyDescent="0.25">
      <c r="A32" s="54"/>
      <c r="B32" s="11" t="s">
        <v>72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21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19"/>
      <c r="AF32" s="19"/>
      <c r="AG32" s="5"/>
      <c r="AH32" s="21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21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f t="shared" si="0"/>
        <v>0</v>
      </c>
      <c r="BP32" s="52"/>
      <c r="BQ32" s="52"/>
      <c r="BR32" s="51"/>
    </row>
    <row r="33" spans="1:70" ht="9.75" customHeight="1" x14ac:dyDescent="0.25">
      <c r="A33" s="53" t="s">
        <v>60</v>
      </c>
      <c r="B33" s="7" t="s">
        <v>67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21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19"/>
      <c r="AH33" s="22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21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f t="shared" si="0"/>
        <v>0</v>
      </c>
      <c r="BP33" s="52">
        <f t="shared" ref="BP33" si="41">BO33+BO34</f>
        <v>0</v>
      </c>
      <c r="BQ33" s="52">
        <f t="shared" ref="BQ33" si="42">84-BP33</f>
        <v>84</v>
      </c>
      <c r="BR33" s="51">
        <f t="shared" ref="BR33" si="43">BP33/(BP33+BQ33)</f>
        <v>0</v>
      </c>
    </row>
    <row r="34" spans="1:70" ht="9.75" customHeight="1" thickBot="1" x14ac:dyDescent="0.3">
      <c r="A34" s="56"/>
      <c r="B34" s="7" t="s">
        <v>72</v>
      </c>
      <c r="C34" s="5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7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5"/>
      <c r="AH34" s="26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7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5">
        <f t="shared" si="0"/>
        <v>0</v>
      </c>
      <c r="BP34" s="52"/>
      <c r="BQ34" s="52"/>
      <c r="BR34" s="51"/>
    </row>
    <row r="35" spans="1:70" ht="9.75" customHeight="1" thickTop="1" x14ac:dyDescent="0.25">
      <c r="A35" s="57" t="s">
        <v>40</v>
      </c>
      <c r="B35" s="15" t="s">
        <v>67</v>
      </c>
      <c r="C35" s="28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21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21"/>
      <c r="AI35" s="19"/>
      <c r="AJ35" s="19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21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f t="shared" si="0"/>
        <v>0</v>
      </c>
      <c r="BP35" s="52">
        <f t="shared" ref="BP35" si="44">BO35+BO36</f>
        <v>0</v>
      </c>
      <c r="BQ35" s="52">
        <f t="shared" ref="BQ35" si="45">84-BP35</f>
        <v>84</v>
      </c>
      <c r="BR35" s="51">
        <f t="shared" ref="BR35" si="46">BP35/(BP35+BQ35)</f>
        <v>0</v>
      </c>
    </row>
    <row r="36" spans="1:70" ht="9.75" customHeight="1" x14ac:dyDescent="0.25">
      <c r="A36" s="54"/>
      <c r="B36" s="11" t="s">
        <v>72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21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21"/>
      <c r="AI36" s="19"/>
      <c r="AJ36" s="19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21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f t="shared" si="0"/>
        <v>0</v>
      </c>
      <c r="BP36" s="52"/>
      <c r="BQ36" s="52"/>
      <c r="BR36" s="51"/>
    </row>
    <row r="37" spans="1:70" ht="9.75" customHeight="1" x14ac:dyDescent="0.25">
      <c r="A37" s="53" t="s">
        <v>42</v>
      </c>
      <c r="B37" s="7" t="s">
        <v>67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21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21"/>
      <c r="AI37" s="5"/>
      <c r="AJ37" s="5"/>
      <c r="AK37" s="19"/>
      <c r="AL37" s="19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21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f t="shared" si="0"/>
        <v>0</v>
      </c>
      <c r="BP37" s="52">
        <f t="shared" ref="BP37" si="47">BO37+BO38</f>
        <v>0</v>
      </c>
      <c r="BQ37" s="52">
        <f t="shared" ref="BQ37" si="48">84-BP37</f>
        <v>84</v>
      </c>
      <c r="BR37" s="51">
        <f t="shared" ref="BR37" si="49">BP37/(BP37+BQ37)</f>
        <v>0</v>
      </c>
    </row>
    <row r="38" spans="1:70" ht="9.75" customHeight="1" x14ac:dyDescent="0.25">
      <c r="A38" s="54"/>
      <c r="B38" s="11" t="s">
        <v>72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21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21"/>
      <c r="AI38" s="5"/>
      <c r="AJ38" s="5"/>
      <c r="AK38" s="19"/>
      <c r="AL38" s="19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21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f t="shared" si="0"/>
        <v>0</v>
      </c>
      <c r="BP38" s="52"/>
      <c r="BQ38" s="52"/>
      <c r="BR38" s="51"/>
    </row>
    <row r="39" spans="1:70" ht="9.75" customHeight="1" x14ac:dyDescent="0.25">
      <c r="A39" s="53" t="s">
        <v>49</v>
      </c>
      <c r="B39" s="7" t="s">
        <v>67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21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21"/>
      <c r="AI39" s="5"/>
      <c r="AJ39" s="5"/>
      <c r="AK39" s="5"/>
      <c r="AL39" s="5"/>
      <c r="AM39" s="19"/>
      <c r="AN39" s="19"/>
      <c r="AO39" s="5"/>
      <c r="AP39" s="5"/>
      <c r="AQ39" s="5"/>
      <c r="AR39" s="5"/>
      <c r="AS39" s="5"/>
      <c r="AT39" s="5"/>
      <c r="AU39" s="5"/>
      <c r="AV39" s="5"/>
      <c r="AW39" s="5"/>
      <c r="AX39" s="21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f t="shared" si="0"/>
        <v>0</v>
      </c>
      <c r="BP39" s="52">
        <f t="shared" ref="BP39" si="50">BO39+BO40</f>
        <v>0</v>
      </c>
      <c r="BQ39" s="52">
        <f t="shared" ref="BQ39" si="51">84-BP39</f>
        <v>84</v>
      </c>
      <c r="BR39" s="51">
        <f t="shared" ref="BR39" si="52">BP39/(BP39+BQ39)</f>
        <v>0</v>
      </c>
    </row>
    <row r="40" spans="1:70" ht="9.75" customHeight="1" x14ac:dyDescent="0.25">
      <c r="A40" s="54"/>
      <c r="B40" s="11" t="s">
        <v>72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21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21"/>
      <c r="AI40" s="5"/>
      <c r="AJ40" s="5"/>
      <c r="AK40" s="5"/>
      <c r="AL40" s="5"/>
      <c r="AM40" s="19"/>
      <c r="AN40" s="19"/>
      <c r="AO40" s="5"/>
      <c r="AP40" s="5"/>
      <c r="AQ40" s="5"/>
      <c r="AR40" s="5"/>
      <c r="AS40" s="5"/>
      <c r="AT40" s="5"/>
      <c r="AU40" s="5"/>
      <c r="AV40" s="5"/>
      <c r="AW40" s="5"/>
      <c r="AX40" s="21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f t="shared" si="0"/>
        <v>0</v>
      </c>
      <c r="BP40" s="52"/>
      <c r="BQ40" s="52"/>
      <c r="BR40" s="51"/>
    </row>
    <row r="41" spans="1:70" ht="9.75" customHeight="1" x14ac:dyDescent="0.25">
      <c r="A41" s="53" t="s">
        <v>50</v>
      </c>
      <c r="B41" s="7" t="s">
        <v>67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21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21"/>
      <c r="AI41" s="5"/>
      <c r="AJ41" s="5"/>
      <c r="AK41" s="5"/>
      <c r="AL41" s="5"/>
      <c r="AM41" s="5"/>
      <c r="AN41" s="5"/>
      <c r="AO41" s="19"/>
      <c r="AP41" s="19"/>
      <c r="AQ41" s="5"/>
      <c r="AR41" s="5"/>
      <c r="AS41" s="5"/>
      <c r="AT41" s="5"/>
      <c r="AU41" s="5"/>
      <c r="AV41" s="5"/>
      <c r="AW41" s="5"/>
      <c r="AX41" s="21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f t="shared" si="0"/>
        <v>0</v>
      </c>
      <c r="BP41" s="52">
        <f t="shared" ref="BP41" si="53">BO41+BO42</f>
        <v>0</v>
      </c>
      <c r="BQ41" s="52">
        <f t="shared" ref="BQ41" si="54">84-BP41</f>
        <v>84</v>
      </c>
      <c r="BR41" s="51">
        <f t="shared" ref="BR41" si="55">BP41/(BP41+BQ41)</f>
        <v>0</v>
      </c>
    </row>
    <row r="42" spans="1:70" ht="9.75" customHeight="1" x14ac:dyDescent="0.25">
      <c r="A42" s="54"/>
      <c r="B42" s="11" t="s">
        <v>72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21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21"/>
      <c r="AI42" s="5"/>
      <c r="AJ42" s="5"/>
      <c r="AK42" s="5"/>
      <c r="AL42" s="5"/>
      <c r="AM42" s="5"/>
      <c r="AN42" s="5"/>
      <c r="AO42" s="19"/>
      <c r="AP42" s="19"/>
      <c r="AQ42" s="5"/>
      <c r="AR42" s="5"/>
      <c r="AS42" s="5"/>
      <c r="AT42" s="5"/>
      <c r="AU42" s="5"/>
      <c r="AV42" s="5"/>
      <c r="AW42" s="5"/>
      <c r="AX42" s="21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f t="shared" si="0"/>
        <v>0</v>
      </c>
      <c r="BP42" s="52"/>
      <c r="BQ42" s="52"/>
      <c r="BR42" s="51"/>
    </row>
    <row r="43" spans="1:70" ht="9.75" customHeight="1" x14ac:dyDescent="0.25">
      <c r="A43" s="53" t="s">
        <v>51</v>
      </c>
      <c r="B43" s="7" t="s">
        <v>67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21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21"/>
      <c r="AI43" s="5"/>
      <c r="AJ43" s="5"/>
      <c r="AK43" s="5"/>
      <c r="AL43" s="5"/>
      <c r="AM43" s="5"/>
      <c r="AN43" s="5"/>
      <c r="AO43" s="5"/>
      <c r="AP43" s="5"/>
      <c r="AQ43" s="19"/>
      <c r="AR43" s="19"/>
      <c r="AS43" s="5"/>
      <c r="AT43" s="5"/>
      <c r="AU43" s="5"/>
      <c r="AV43" s="5"/>
      <c r="AW43" s="5"/>
      <c r="AX43" s="21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f t="shared" si="0"/>
        <v>0</v>
      </c>
      <c r="BP43" s="52">
        <f t="shared" ref="BP43" si="56">BO43+BO44</f>
        <v>0</v>
      </c>
      <c r="BQ43" s="52">
        <f t="shared" ref="BQ43" si="57">84-BP43</f>
        <v>84</v>
      </c>
      <c r="BR43" s="51">
        <f t="shared" ref="BR43" si="58">BP43/(BP43+BQ43)</f>
        <v>0</v>
      </c>
    </row>
    <row r="44" spans="1:70" ht="9.75" customHeight="1" x14ac:dyDescent="0.25">
      <c r="A44" s="54"/>
      <c r="B44" s="11" t="s">
        <v>72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21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21"/>
      <c r="AI44" s="5"/>
      <c r="AJ44" s="5"/>
      <c r="AK44" s="5"/>
      <c r="AL44" s="5"/>
      <c r="AM44" s="5"/>
      <c r="AN44" s="5"/>
      <c r="AO44" s="5"/>
      <c r="AP44" s="5"/>
      <c r="AQ44" s="19"/>
      <c r="AR44" s="19"/>
      <c r="AS44" s="5"/>
      <c r="AT44" s="5"/>
      <c r="AU44" s="5"/>
      <c r="AV44" s="5"/>
      <c r="AW44" s="5"/>
      <c r="AX44" s="21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f t="shared" si="0"/>
        <v>0</v>
      </c>
      <c r="BP44" s="52"/>
      <c r="BQ44" s="52"/>
      <c r="BR44" s="51"/>
    </row>
    <row r="45" spans="1:70" ht="9.75" customHeight="1" x14ac:dyDescent="0.25">
      <c r="A45" s="53" t="s">
        <v>53</v>
      </c>
      <c r="B45" s="7" t="s">
        <v>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21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21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19"/>
      <c r="AT45" s="19"/>
      <c r="AU45" s="5"/>
      <c r="AV45" s="5"/>
      <c r="AW45" s="5"/>
      <c r="AX45" s="21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f t="shared" si="0"/>
        <v>0</v>
      </c>
      <c r="BP45" s="52">
        <f t="shared" ref="BP45" si="59">BO45+BO46</f>
        <v>0</v>
      </c>
      <c r="BQ45" s="52">
        <f t="shared" ref="BQ45" si="60">84-BP45</f>
        <v>84</v>
      </c>
      <c r="BR45" s="51">
        <f t="shared" ref="BR45" si="61">BP45/(BP45+BQ45)</f>
        <v>0</v>
      </c>
    </row>
    <row r="46" spans="1:70" ht="9.75" customHeight="1" x14ac:dyDescent="0.25">
      <c r="A46" s="54"/>
      <c r="B46" s="11" t="s">
        <v>72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21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21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19"/>
      <c r="AT46" s="19"/>
      <c r="AU46" s="5"/>
      <c r="AV46" s="5"/>
      <c r="AW46" s="5"/>
      <c r="AX46" s="21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f t="shared" si="0"/>
        <v>0</v>
      </c>
      <c r="BP46" s="52"/>
      <c r="BQ46" s="52"/>
      <c r="BR46" s="51"/>
    </row>
    <row r="47" spans="1:70" ht="9.75" customHeight="1" x14ac:dyDescent="0.25">
      <c r="A47" s="53" t="s">
        <v>54</v>
      </c>
      <c r="B47" s="7" t="s">
        <v>67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21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21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19"/>
      <c r="AV47" s="19"/>
      <c r="AW47" s="5"/>
      <c r="AX47" s="21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f t="shared" si="0"/>
        <v>0</v>
      </c>
      <c r="BP47" s="52">
        <f t="shared" ref="BP47" si="62">BO47+BO48</f>
        <v>0</v>
      </c>
      <c r="BQ47" s="52">
        <f t="shared" ref="BQ47" si="63">84-BP47</f>
        <v>84</v>
      </c>
      <c r="BR47" s="51">
        <f t="shared" ref="BR47" si="64">BP47/(BP47+BQ47)</f>
        <v>0</v>
      </c>
    </row>
    <row r="48" spans="1:70" ht="9.75" customHeight="1" x14ac:dyDescent="0.25">
      <c r="A48" s="54"/>
      <c r="B48" s="11" t="s">
        <v>72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21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21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19"/>
      <c r="AV48" s="19"/>
      <c r="AW48" s="5"/>
      <c r="AX48" s="21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f t="shared" si="0"/>
        <v>0</v>
      </c>
      <c r="BP48" s="52"/>
      <c r="BQ48" s="52"/>
      <c r="BR48" s="51"/>
    </row>
    <row r="49" spans="1:70" ht="9.75" customHeight="1" x14ac:dyDescent="0.25">
      <c r="A49" s="53" t="s">
        <v>59</v>
      </c>
      <c r="B49" s="7" t="s">
        <v>67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21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21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19"/>
      <c r="AX49" s="22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f t="shared" si="0"/>
        <v>0</v>
      </c>
      <c r="BP49" s="52">
        <f t="shared" ref="BP49" si="65">BO49+BO50</f>
        <v>0</v>
      </c>
      <c r="BQ49" s="52">
        <f t="shared" ref="BQ49" si="66">84-BP49</f>
        <v>84</v>
      </c>
      <c r="BR49" s="51">
        <f t="shared" ref="BR49" si="67">BP49/(BP49+BQ49)</f>
        <v>0</v>
      </c>
    </row>
    <row r="50" spans="1:70" ht="9.75" customHeight="1" thickBot="1" x14ac:dyDescent="0.3">
      <c r="A50" s="55"/>
      <c r="B50" s="16" t="s">
        <v>72</v>
      </c>
      <c r="C50" s="23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7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7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5"/>
      <c r="AX50" s="26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5"/>
      <c r="BN50" s="5"/>
      <c r="BO50" s="5">
        <f t="shared" si="0"/>
        <v>0</v>
      </c>
      <c r="BP50" s="52"/>
      <c r="BQ50" s="52"/>
      <c r="BR50" s="51"/>
    </row>
    <row r="51" spans="1:70" ht="9.75" customHeight="1" thickTop="1" x14ac:dyDescent="0.25">
      <c r="A51" s="56" t="s">
        <v>37</v>
      </c>
      <c r="B51" s="7" t="s">
        <v>67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21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21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21"/>
      <c r="AY51" s="19"/>
      <c r="AZ51" s="19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29"/>
      <c r="BN51" s="29"/>
      <c r="BO51" s="5">
        <f t="shared" si="0"/>
        <v>0</v>
      </c>
      <c r="BP51" s="52">
        <f t="shared" ref="BP51" si="68">BO51+BO52</f>
        <v>0</v>
      </c>
      <c r="BQ51" s="52">
        <f t="shared" ref="BQ51" si="69">84-BP51</f>
        <v>84</v>
      </c>
      <c r="BR51" s="51">
        <f t="shared" ref="BR51" si="70">BP51/(BP51+BQ51)</f>
        <v>0</v>
      </c>
    </row>
    <row r="52" spans="1:70" ht="9.75" customHeight="1" x14ac:dyDescent="0.25">
      <c r="A52" s="54"/>
      <c r="B52" s="11" t="s">
        <v>72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21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21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21"/>
      <c r="AY52" s="19"/>
      <c r="AZ52" s="19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f t="shared" si="0"/>
        <v>0</v>
      </c>
      <c r="BP52" s="52"/>
      <c r="BQ52" s="52"/>
      <c r="BR52" s="51"/>
    </row>
    <row r="53" spans="1:70" ht="9.75" customHeight="1" x14ac:dyDescent="0.25">
      <c r="A53" s="53" t="s">
        <v>38</v>
      </c>
      <c r="B53" s="7" t="s">
        <v>67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21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21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21"/>
      <c r="AY53" s="5"/>
      <c r="AZ53" s="5"/>
      <c r="BA53" s="19"/>
      <c r="BB53" s="19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f t="shared" si="0"/>
        <v>0</v>
      </c>
      <c r="BP53" s="52">
        <f t="shared" ref="BP53" si="71">BO53+BO54</f>
        <v>0</v>
      </c>
      <c r="BQ53" s="52">
        <f t="shared" ref="BQ53" si="72">84-BP53</f>
        <v>84</v>
      </c>
      <c r="BR53" s="51">
        <f t="shared" ref="BR53" si="73">BP53/(BP53+BQ53)</f>
        <v>0</v>
      </c>
    </row>
    <row r="54" spans="1:70" ht="9.75" customHeight="1" x14ac:dyDescent="0.25">
      <c r="A54" s="54"/>
      <c r="B54" s="11" t="s">
        <v>72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21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21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21"/>
      <c r="AY54" s="5"/>
      <c r="AZ54" s="5"/>
      <c r="BA54" s="19"/>
      <c r="BB54" s="19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f t="shared" si="0"/>
        <v>0</v>
      </c>
      <c r="BP54" s="52"/>
      <c r="BQ54" s="52"/>
      <c r="BR54" s="51"/>
    </row>
    <row r="55" spans="1:70" ht="9.75" customHeight="1" x14ac:dyDescent="0.25">
      <c r="A55" s="53" t="s">
        <v>44</v>
      </c>
      <c r="B55" s="7" t="s">
        <v>67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21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21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21"/>
      <c r="AY55" s="5"/>
      <c r="AZ55" s="5"/>
      <c r="BA55" s="5"/>
      <c r="BB55" s="5"/>
      <c r="BC55" s="19"/>
      <c r="BD55" s="19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f t="shared" si="0"/>
        <v>0</v>
      </c>
      <c r="BP55" s="52">
        <f t="shared" ref="BP55" si="74">BO55+BO56</f>
        <v>0</v>
      </c>
      <c r="BQ55" s="52">
        <f t="shared" ref="BQ55" si="75">84-BP55</f>
        <v>84</v>
      </c>
      <c r="BR55" s="51">
        <f t="shared" ref="BR55" si="76">BP55/(BP55+BQ55)</f>
        <v>0</v>
      </c>
    </row>
    <row r="56" spans="1:70" ht="9.75" customHeight="1" x14ac:dyDescent="0.25">
      <c r="A56" s="54"/>
      <c r="B56" s="11" t="s">
        <v>72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21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21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21"/>
      <c r="AY56" s="5"/>
      <c r="AZ56" s="5"/>
      <c r="BA56" s="5"/>
      <c r="BB56" s="5"/>
      <c r="BC56" s="19"/>
      <c r="BD56" s="19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f t="shared" si="0"/>
        <v>0</v>
      </c>
      <c r="BP56" s="52"/>
      <c r="BQ56" s="52"/>
      <c r="BR56" s="51"/>
    </row>
    <row r="57" spans="1:70" ht="9.75" customHeight="1" x14ac:dyDescent="0.25">
      <c r="A57" s="53" t="s">
        <v>17</v>
      </c>
      <c r="B57" s="7" t="s">
        <v>67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21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21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21"/>
      <c r="AY57" s="5"/>
      <c r="AZ57" s="5"/>
      <c r="BA57" s="5"/>
      <c r="BB57" s="5"/>
      <c r="BC57" s="5"/>
      <c r="BD57" s="5"/>
      <c r="BE57" s="19"/>
      <c r="BF57" s="19"/>
      <c r="BG57" s="5"/>
      <c r="BH57" s="5"/>
      <c r="BI57" s="5"/>
      <c r="BJ57" s="5"/>
      <c r="BK57" s="5"/>
      <c r="BL57" s="5"/>
      <c r="BM57" s="5"/>
      <c r="BN57" s="5"/>
      <c r="BO57" s="5">
        <f t="shared" si="0"/>
        <v>0</v>
      </c>
      <c r="BP57" s="52">
        <f t="shared" ref="BP57" si="77">BO57+BO58</f>
        <v>0</v>
      </c>
      <c r="BQ57" s="52">
        <f t="shared" ref="BQ57" si="78">84-BP57</f>
        <v>84</v>
      </c>
      <c r="BR57" s="51">
        <f t="shared" ref="BR57" si="79">BP57/(BP57+BQ57)</f>
        <v>0</v>
      </c>
    </row>
    <row r="58" spans="1:70" ht="9.75" customHeight="1" x14ac:dyDescent="0.25">
      <c r="A58" s="54"/>
      <c r="B58" s="11" t="s">
        <v>72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21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21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21"/>
      <c r="AY58" s="5"/>
      <c r="AZ58" s="5"/>
      <c r="BA58" s="5"/>
      <c r="BB58" s="5"/>
      <c r="BC58" s="5"/>
      <c r="BD58" s="5"/>
      <c r="BE58" s="19"/>
      <c r="BF58" s="19"/>
      <c r="BG58" s="5"/>
      <c r="BH58" s="5"/>
      <c r="BI58" s="5"/>
      <c r="BJ58" s="5"/>
      <c r="BK58" s="5"/>
      <c r="BL58" s="5"/>
      <c r="BM58" s="5"/>
      <c r="BN58" s="5"/>
      <c r="BO58" s="5">
        <f t="shared" si="0"/>
        <v>0</v>
      </c>
      <c r="BP58" s="52"/>
      <c r="BQ58" s="52"/>
      <c r="BR58" s="51"/>
    </row>
    <row r="59" spans="1:70" ht="9.75" customHeight="1" x14ac:dyDescent="0.25">
      <c r="A59" s="53" t="s">
        <v>47</v>
      </c>
      <c r="B59" s="7" t="s">
        <v>67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21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21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21"/>
      <c r="AY59" s="5"/>
      <c r="AZ59" s="5"/>
      <c r="BA59" s="5"/>
      <c r="BB59" s="5"/>
      <c r="BC59" s="5"/>
      <c r="BD59" s="5"/>
      <c r="BE59" s="5"/>
      <c r="BF59" s="5"/>
      <c r="BG59" s="19"/>
      <c r="BH59" s="19"/>
      <c r="BI59" s="5"/>
      <c r="BJ59" s="5"/>
      <c r="BK59" s="5"/>
      <c r="BL59" s="5"/>
      <c r="BM59" s="5"/>
      <c r="BN59" s="5"/>
      <c r="BO59" s="5">
        <f t="shared" si="0"/>
        <v>0</v>
      </c>
      <c r="BP59" s="52">
        <f t="shared" ref="BP59" si="80">BO59+BO60</f>
        <v>0</v>
      </c>
      <c r="BQ59" s="52">
        <f t="shared" ref="BQ59" si="81">84-BP59</f>
        <v>84</v>
      </c>
      <c r="BR59" s="51">
        <f t="shared" ref="BR59" si="82">BP59/(BP59+BQ59)</f>
        <v>0</v>
      </c>
    </row>
    <row r="60" spans="1:70" ht="9.75" customHeight="1" x14ac:dyDescent="0.25">
      <c r="A60" s="54"/>
      <c r="B60" s="11" t="s">
        <v>72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21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21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21"/>
      <c r="AY60" s="5"/>
      <c r="AZ60" s="5"/>
      <c r="BA60" s="5"/>
      <c r="BB60" s="5"/>
      <c r="BC60" s="5"/>
      <c r="BD60" s="5"/>
      <c r="BE60" s="5"/>
      <c r="BF60" s="5"/>
      <c r="BG60" s="19"/>
      <c r="BH60" s="19"/>
      <c r="BI60" s="5"/>
      <c r="BJ60" s="5"/>
      <c r="BK60" s="5"/>
      <c r="BL60" s="5"/>
      <c r="BM60" s="5"/>
      <c r="BN60" s="5"/>
      <c r="BO60" s="5">
        <f t="shared" si="0"/>
        <v>0</v>
      </c>
      <c r="BP60" s="52"/>
      <c r="BQ60" s="52"/>
      <c r="BR60" s="51"/>
    </row>
    <row r="61" spans="1:70" ht="9.75" customHeight="1" x14ac:dyDescent="0.25">
      <c r="A61" s="53" t="s">
        <v>52</v>
      </c>
      <c r="B61" s="7" t="s">
        <v>67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21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21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21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19"/>
      <c r="BJ61" s="19"/>
      <c r="BK61" s="5"/>
      <c r="BL61" s="5"/>
      <c r="BM61" s="5"/>
      <c r="BN61" s="5"/>
      <c r="BO61" s="5">
        <f t="shared" si="0"/>
        <v>0</v>
      </c>
      <c r="BP61" s="52">
        <f t="shared" ref="BP61" si="83">BO61+BO62</f>
        <v>0</v>
      </c>
      <c r="BQ61" s="52">
        <f t="shared" ref="BQ61" si="84">84-BP61</f>
        <v>84</v>
      </c>
      <c r="BR61" s="51">
        <f t="shared" ref="BR61" si="85">BP61/(BP61+BQ61)</f>
        <v>0</v>
      </c>
    </row>
    <row r="62" spans="1:70" ht="9.75" customHeight="1" x14ac:dyDescent="0.25">
      <c r="A62" s="54"/>
      <c r="B62" s="11" t="s">
        <v>72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21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21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21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19"/>
      <c r="BJ62" s="19"/>
      <c r="BK62" s="5"/>
      <c r="BL62" s="5"/>
      <c r="BM62" s="5"/>
      <c r="BN62" s="5"/>
      <c r="BO62" s="5">
        <f t="shared" si="0"/>
        <v>0</v>
      </c>
      <c r="BP62" s="52"/>
      <c r="BQ62" s="52"/>
      <c r="BR62" s="51"/>
    </row>
    <row r="63" spans="1:70" ht="9.75" customHeight="1" x14ac:dyDescent="0.25">
      <c r="A63" s="53" t="s">
        <v>57</v>
      </c>
      <c r="B63" s="7" t="s">
        <v>67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21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21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21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19"/>
      <c r="BL63" s="19"/>
      <c r="BM63" s="5"/>
      <c r="BN63" s="5"/>
      <c r="BO63" s="5">
        <f t="shared" si="0"/>
        <v>0</v>
      </c>
      <c r="BP63" s="52">
        <f t="shared" ref="BP63" si="86">BO63+BO64</f>
        <v>0</v>
      </c>
      <c r="BQ63" s="52">
        <f t="shared" ref="BQ63" si="87">84-BP63</f>
        <v>84</v>
      </c>
      <c r="BR63" s="51">
        <f t="shared" ref="BR63" si="88">BP63/(BP63+BQ63)</f>
        <v>0</v>
      </c>
    </row>
    <row r="64" spans="1:70" ht="9.75" customHeight="1" x14ac:dyDescent="0.25">
      <c r="A64" s="54"/>
      <c r="B64" s="11" t="s">
        <v>72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21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21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21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19"/>
      <c r="BL64" s="19"/>
      <c r="BM64" s="5"/>
      <c r="BN64" s="5"/>
      <c r="BO64" s="5">
        <f t="shared" si="0"/>
        <v>0</v>
      </c>
      <c r="BP64" s="52"/>
      <c r="BQ64" s="52"/>
      <c r="BR64" s="51"/>
    </row>
    <row r="65" spans="1:70" ht="9.75" customHeight="1" x14ac:dyDescent="0.25">
      <c r="A65" s="53" t="s">
        <v>24</v>
      </c>
      <c r="B65" s="7" t="s">
        <v>67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21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21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21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19"/>
      <c r="BN65" s="19"/>
      <c r="BO65" s="5">
        <f t="shared" si="0"/>
        <v>0</v>
      </c>
      <c r="BP65" s="52">
        <f t="shared" ref="BP65" si="89">BO65+BO66</f>
        <v>0</v>
      </c>
      <c r="BQ65" s="52">
        <f t="shared" ref="BQ65" si="90">84-BP65</f>
        <v>84</v>
      </c>
      <c r="BR65" s="51">
        <f t="shared" ref="BR65" si="91">BP65/(BP65+BQ65)</f>
        <v>0</v>
      </c>
    </row>
    <row r="66" spans="1:70" ht="9.75" customHeight="1" x14ac:dyDescent="0.25">
      <c r="A66" s="54"/>
      <c r="B66" s="11" t="s">
        <v>72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21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21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21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19"/>
      <c r="BN66" s="19"/>
      <c r="BO66" s="5">
        <f t="shared" si="0"/>
        <v>0</v>
      </c>
      <c r="BP66" s="52"/>
      <c r="BQ66" s="52"/>
      <c r="BR66" s="51"/>
    </row>
  </sheetData>
  <mergeCells count="160">
    <mergeCell ref="O1:P1"/>
    <mergeCell ref="Q1:R1"/>
    <mergeCell ref="S1:T1"/>
    <mergeCell ref="U1:V1"/>
    <mergeCell ref="W1:X1"/>
    <mergeCell ref="Y1:Z1"/>
    <mergeCell ref="C1:D1"/>
    <mergeCell ref="E1:F1"/>
    <mergeCell ref="G1:H1"/>
    <mergeCell ref="I1:J1"/>
    <mergeCell ref="K1:L1"/>
    <mergeCell ref="M1:N1"/>
    <mergeCell ref="BK1:BL1"/>
    <mergeCell ref="BM1:BN1"/>
    <mergeCell ref="A3:A4"/>
    <mergeCell ref="BP3:BP4"/>
    <mergeCell ref="BQ3:BQ4"/>
    <mergeCell ref="BR3:BR4"/>
    <mergeCell ref="AY1:AZ1"/>
    <mergeCell ref="BA1:BB1"/>
    <mergeCell ref="BC1:BD1"/>
    <mergeCell ref="BE1:BF1"/>
    <mergeCell ref="BG1:BH1"/>
    <mergeCell ref="BI1:BJ1"/>
    <mergeCell ref="AM1:AN1"/>
    <mergeCell ref="AO1:AP1"/>
    <mergeCell ref="AQ1:AR1"/>
    <mergeCell ref="AS1:AT1"/>
    <mergeCell ref="AU1:AV1"/>
    <mergeCell ref="AW1:AX1"/>
    <mergeCell ref="AA1:AB1"/>
    <mergeCell ref="AC1:AD1"/>
    <mergeCell ref="AE1:AF1"/>
    <mergeCell ref="AG1:AH1"/>
    <mergeCell ref="AI1:AJ1"/>
    <mergeCell ref="AK1:AL1"/>
    <mergeCell ref="A9:A10"/>
    <mergeCell ref="BP9:BP10"/>
    <mergeCell ref="BQ9:BQ10"/>
    <mergeCell ref="BR9:BR10"/>
    <mergeCell ref="A11:A12"/>
    <mergeCell ref="BP11:BP12"/>
    <mergeCell ref="BQ11:BQ12"/>
    <mergeCell ref="BR11:BR12"/>
    <mergeCell ref="A5:A6"/>
    <mergeCell ref="BP5:BP6"/>
    <mergeCell ref="BQ5:BQ6"/>
    <mergeCell ref="BR5:BR6"/>
    <mergeCell ref="A7:A8"/>
    <mergeCell ref="BP7:BP8"/>
    <mergeCell ref="BQ7:BQ8"/>
    <mergeCell ref="BR7:BR8"/>
    <mergeCell ref="A17:A18"/>
    <mergeCell ref="BP17:BP18"/>
    <mergeCell ref="BQ17:BQ18"/>
    <mergeCell ref="BR17:BR18"/>
    <mergeCell ref="A19:A20"/>
    <mergeCell ref="BP19:BP20"/>
    <mergeCell ref="BQ19:BQ20"/>
    <mergeCell ref="BR19:BR20"/>
    <mergeCell ref="A13:A14"/>
    <mergeCell ref="BP13:BP14"/>
    <mergeCell ref="BQ13:BQ14"/>
    <mergeCell ref="BR13:BR14"/>
    <mergeCell ref="A15:A16"/>
    <mergeCell ref="BP15:BP16"/>
    <mergeCell ref="BQ15:BQ16"/>
    <mergeCell ref="BR15:BR16"/>
    <mergeCell ref="A25:A26"/>
    <mergeCell ref="BP25:BP26"/>
    <mergeCell ref="BQ25:BQ26"/>
    <mergeCell ref="BR25:BR26"/>
    <mergeCell ref="A27:A28"/>
    <mergeCell ref="BP27:BP28"/>
    <mergeCell ref="BQ27:BQ28"/>
    <mergeCell ref="BR27:BR28"/>
    <mergeCell ref="A21:A22"/>
    <mergeCell ref="BP21:BP22"/>
    <mergeCell ref="BQ21:BQ22"/>
    <mergeCell ref="BR21:BR22"/>
    <mergeCell ref="A23:A24"/>
    <mergeCell ref="BP23:BP24"/>
    <mergeCell ref="BQ23:BQ24"/>
    <mergeCell ref="BR23:BR24"/>
    <mergeCell ref="A33:A34"/>
    <mergeCell ref="BP33:BP34"/>
    <mergeCell ref="BQ33:BQ34"/>
    <mergeCell ref="BR33:BR34"/>
    <mergeCell ref="A35:A36"/>
    <mergeCell ref="BP35:BP36"/>
    <mergeCell ref="BQ35:BQ36"/>
    <mergeCell ref="BR35:BR36"/>
    <mergeCell ref="A29:A30"/>
    <mergeCell ref="BP29:BP30"/>
    <mergeCell ref="BQ29:BQ30"/>
    <mergeCell ref="BR29:BR30"/>
    <mergeCell ref="A31:A32"/>
    <mergeCell ref="BP31:BP32"/>
    <mergeCell ref="BQ31:BQ32"/>
    <mergeCell ref="BR31:BR32"/>
    <mergeCell ref="A41:A42"/>
    <mergeCell ref="BP41:BP42"/>
    <mergeCell ref="BQ41:BQ42"/>
    <mergeCell ref="BR41:BR42"/>
    <mergeCell ref="A43:A44"/>
    <mergeCell ref="BP43:BP44"/>
    <mergeCell ref="BQ43:BQ44"/>
    <mergeCell ref="BR43:BR44"/>
    <mergeCell ref="A37:A38"/>
    <mergeCell ref="BP37:BP38"/>
    <mergeCell ref="BQ37:BQ38"/>
    <mergeCell ref="BR37:BR38"/>
    <mergeCell ref="A39:A40"/>
    <mergeCell ref="BP39:BP40"/>
    <mergeCell ref="BQ39:BQ40"/>
    <mergeCell ref="BR39:BR40"/>
    <mergeCell ref="A49:A50"/>
    <mergeCell ref="BP49:BP50"/>
    <mergeCell ref="BQ49:BQ50"/>
    <mergeCell ref="BR49:BR50"/>
    <mergeCell ref="A51:A52"/>
    <mergeCell ref="BP51:BP52"/>
    <mergeCell ref="BQ51:BQ52"/>
    <mergeCell ref="BR51:BR52"/>
    <mergeCell ref="A45:A46"/>
    <mergeCell ref="BP45:BP46"/>
    <mergeCell ref="BQ45:BQ46"/>
    <mergeCell ref="BR45:BR46"/>
    <mergeCell ref="A47:A48"/>
    <mergeCell ref="BP47:BP48"/>
    <mergeCell ref="BQ47:BQ48"/>
    <mergeCell ref="BR47:BR48"/>
    <mergeCell ref="A57:A58"/>
    <mergeCell ref="BP57:BP58"/>
    <mergeCell ref="BQ57:BQ58"/>
    <mergeCell ref="BR57:BR58"/>
    <mergeCell ref="A59:A60"/>
    <mergeCell ref="BP59:BP60"/>
    <mergeCell ref="BQ59:BQ60"/>
    <mergeCell ref="BR59:BR60"/>
    <mergeCell ref="A53:A54"/>
    <mergeCell ref="BP53:BP54"/>
    <mergeCell ref="BQ53:BQ54"/>
    <mergeCell ref="BR53:BR54"/>
    <mergeCell ref="A55:A56"/>
    <mergeCell ref="BP55:BP56"/>
    <mergeCell ref="BQ55:BQ56"/>
    <mergeCell ref="BR55:BR56"/>
    <mergeCell ref="A65:A66"/>
    <mergeCell ref="BP65:BP66"/>
    <mergeCell ref="BQ65:BQ66"/>
    <mergeCell ref="BR65:BR66"/>
    <mergeCell ref="A61:A62"/>
    <mergeCell ref="BP61:BP62"/>
    <mergeCell ref="BQ61:BQ62"/>
    <mergeCell ref="BR61:BR62"/>
    <mergeCell ref="A63:A64"/>
    <mergeCell ref="BP63:BP64"/>
    <mergeCell ref="BQ63:BQ64"/>
    <mergeCell ref="BR63:BR64"/>
  </mergeCells>
  <conditionalFormatting sqref="BR3:BR6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{B9520BD7-A35D-429B-B8FB-CB1F14E51307}</x14:id>
        </ext>
      </extLst>
    </cfRule>
  </conditionalFormatting>
  <conditionalFormatting sqref="BR41:BR4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{93C54F1E-5BC9-4115-A8BC-8D6F49840A40}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520BD7-A35D-429B-B8FB-CB1F14E513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BR3:BR66</xm:sqref>
        </x14:conditionalFormatting>
        <x14:conditionalFormatting xmlns:xm="http://schemas.microsoft.com/office/excel/2006/main">
          <x14:cfRule type="dataBar" id="{93C54F1E-5BC9-4115-A8BC-8D6F49840A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BR41:BR42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0BCD-0E32-4871-834B-EC025F970123}">
  <sheetPr codeName="Sheet5"/>
  <dimension ref="A1:BL33"/>
  <sheetViews>
    <sheetView workbookViewId="0">
      <selection activeCell="BL4" sqref="BL4"/>
    </sheetView>
  </sheetViews>
  <sheetFormatPr defaultRowHeight="15" x14ac:dyDescent="0.25"/>
  <cols>
    <col min="1" max="1" width="5.140625" customWidth="1"/>
    <col min="4" max="25" width="3.140625" customWidth="1"/>
    <col min="26" max="26" width="4.7109375" style="36" customWidth="1"/>
    <col min="27" max="34" width="3.5703125" customWidth="1"/>
    <col min="35" max="35" width="4.42578125" customWidth="1"/>
    <col min="36" max="36" width="4" customWidth="1"/>
    <col min="37" max="38" width="4.5703125" style="36" customWidth="1"/>
    <col min="39" max="40" width="4.28515625" customWidth="1"/>
    <col min="41" max="41" width="3.5703125" customWidth="1"/>
    <col min="42" max="42" width="4.28515625" customWidth="1"/>
    <col min="43" max="46" width="4.140625" customWidth="1"/>
    <col min="48" max="59" width="4.28515625" customWidth="1"/>
  </cols>
  <sheetData>
    <row r="1" spans="1:64" ht="105" x14ac:dyDescent="0.25">
      <c r="A1" s="30" t="s">
        <v>33</v>
      </c>
      <c r="B1" s="30" t="s">
        <v>64</v>
      </c>
      <c r="C1" s="30" t="s">
        <v>73</v>
      </c>
      <c r="D1" s="30" t="s">
        <v>99</v>
      </c>
      <c r="E1" s="30" t="s">
        <v>100</v>
      </c>
      <c r="F1" s="30" t="s">
        <v>101</v>
      </c>
      <c r="G1" s="30" t="s">
        <v>102</v>
      </c>
      <c r="H1" s="30" t="s">
        <v>69</v>
      </c>
      <c r="I1" s="30" t="s">
        <v>70</v>
      </c>
      <c r="J1" s="30" t="s">
        <v>103</v>
      </c>
      <c r="K1" s="30" t="s">
        <v>104</v>
      </c>
      <c r="L1" s="30" t="s">
        <v>105</v>
      </c>
      <c r="M1" s="30" t="s">
        <v>106</v>
      </c>
      <c r="N1" s="30" t="s">
        <v>107</v>
      </c>
      <c r="O1" s="30" t="s">
        <v>108</v>
      </c>
      <c r="P1" s="30" t="s">
        <v>109</v>
      </c>
      <c r="Q1" s="30" t="s">
        <v>110</v>
      </c>
      <c r="R1" s="30" t="s">
        <v>111</v>
      </c>
      <c r="S1" s="30" t="s">
        <v>112</v>
      </c>
      <c r="T1" s="30" t="s">
        <v>116</v>
      </c>
      <c r="U1" s="30" t="s">
        <v>114</v>
      </c>
      <c r="V1" s="30" t="s">
        <v>119</v>
      </c>
      <c r="W1" s="30" t="s">
        <v>117</v>
      </c>
      <c r="X1" s="30" t="s">
        <v>113</v>
      </c>
      <c r="Y1" s="30" t="s">
        <v>115</v>
      </c>
      <c r="Z1" s="49" t="s">
        <v>118</v>
      </c>
      <c r="AA1" s="30" t="s">
        <v>62</v>
      </c>
      <c r="AB1" s="30" t="s">
        <v>120</v>
      </c>
      <c r="AC1" s="30" t="s">
        <v>121</v>
      </c>
      <c r="AD1" s="30" t="s">
        <v>122</v>
      </c>
      <c r="AE1" s="30" t="s">
        <v>123</v>
      </c>
      <c r="AF1" s="30" t="s">
        <v>124</v>
      </c>
      <c r="AG1" s="30" t="s">
        <v>125</v>
      </c>
      <c r="AH1" s="30" t="s">
        <v>126</v>
      </c>
      <c r="AI1" s="30" t="s">
        <v>127</v>
      </c>
      <c r="AJ1" s="30" t="s">
        <v>129</v>
      </c>
      <c r="AK1" s="49" t="s">
        <v>128</v>
      </c>
      <c r="AL1" s="49" t="s">
        <v>130</v>
      </c>
      <c r="AM1" s="30" t="s">
        <v>131</v>
      </c>
      <c r="AN1" s="30" t="s">
        <v>132</v>
      </c>
      <c r="AO1" s="30" t="s">
        <v>135</v>
      </c>
      <c r="AP1" s="30" t="s">
        <v>136</v>
      </c>
      <c r="AQ1" s="30" t="s">
        <v>133</v>
      </c>
      <c r="AR1" s="30" t="s">
        <v>134</v>
      </c>
      <c r="AS1" s="30" t="s">
        <v>137</v>
      </c>
      <c r="AT1" s="30" t="s">
        <v>138</v>
      </c>
      <c r="AU1" s="30" t="s">
        <v>139</v>
      </c>
      <c r="AV1" s="30" t="s">
        <v>140</v>
      </c>
      <c r="AW1" s="30" t="s">
        <v>142</v>
      </c>
      <c r="AX1" s="30" t="s">
        <v>143</v>
      </c>
      <c r="AY1" s="30" t="s">
        <v>141</v>
      </c>
      <c r="AZ1" s="30" t="s">
        <v>145</v>
      </c>
      <c r="BA1" s="30" t="s">
        <v>144</v>
      </c>
      <c r="BB1" s="30" t="s">
        <v>146</v>
      </c>
      <c r="BC1" s="30" t="s">
        <v>147</v>
      </c>
      <c r="BD1" s="30" t="s">
        <v>148</v>
      </c>
      <c r="BE1" s="30" t="s">
        <v>149</v>
      </c>
      <c r="BF1" s="30" t="s">
        <v>150</v>
      </c>
      <c r="BG1" s="30" t="s">
        <v>151</v>
      </c>
      <c r="BH1" s="30" t="s">
        <v>152</v>
      </c>
      <c r="BI1" s="30" t="s">
        <v>153</v>
      </c>
      <c r="BJ1" s="30" t="s">
        <v>154</v>
      </c>
      <c r="BK1" s="30" t="s">
        <v>156</v>
      </c>
      <c r="BL1" s="30" t="s">
        <v>155</v>
      </c>
    </row>
    <row r="2" spans="1:64" x14ac:dyDescent="0.25">
      <c r="A2" t="s">
        <v>36</v>
      </c>
      <c r="B2" t="s">
        <v>62</v>
      </c>
      <c r="C2" t="s">
        <v>66</v>
      </c>
      <c r="D2">
        <f>COUNTIFS(Table1[AwayTeam],Table2[[#This Row],[Team]],Table1[GameIsOver], 1, Table1[WatchedGame],1) + COUNTIFS(Table1[HomeTeam],Table2[[#This Row],[Team]],Table1[GameIsOver],1,Table1[WatchedGame],1)</f>
        <v>0</v>
      </c>
      <c r="F2">
        <f>COUNTIFS(Table1[AwayTeam],Table2[[#This Row],[Team]], Table1[GameIsOver],1)</f>
        <v>0</v>
      </c>
      <c r="G2">
        <f>COUNTIFS(Table1[HomeTeam],Table2[[#This Row],[Team]], Table1[GameIsOver],1)</f>
        <v>0</v>
      </c>
      <c r="H2">
        <f>Table2[[#This Row],[GP_A]]+Table2[[#This Row],[GP_H]]</f>
        <v>0</v>
      </c>
      <c r="I2">
        <f>84-Table2[[#This Row],[GP]]</f>
        <v>84</v>
      </c>
      <c r="J2">
        <f>COUNTIFS(Table1[AwayTeam], Table2[[#This Row],[Team]], Table1[GameIsOver], 1, Table1[AwayWon],1)</f>
        <v>0</v>
      </c>
      <c r="K2">
        <f>COUNTIFS(Table1[AwayTeam], Table2[[#This Row],[Team]], Table1[GameIsOver], 1, Table1[AwayWon],1, Table1[ActualResult], "REG")</f>
        <v>0</v>
      </c>
      <c r="L2">
        <f>COUNTIFS(Table1[AwayTeam], Table2[[#This Row],[Team]], Table1[GameIsOver], 1, Table1[AwayWon],1, Table1[ActualResult], "OT")</f>
        <v>0</v>
      </c>
      <c r="M2">
        <f>COUNTIFS(Table1[AwayTeam], Table2[[#This Row],[Team]], Table1[GameIsOver], 1, Table1[AwayWon],1, Table1[ActualResult], "SO")</f>
        <v>0</v>
      </c>
      <c r="N2">
        <f>COUNTIFS(Table1[AwayTeam], Table2[[#This Row],[Team]], Table1[GameIsOver], 1, Table1[AwayWon],0)</f>
        <v>0</v>
      </c>
      <c r="O2">
        <f>COUNTIFS(Table1[AwayTeam], Table2[[#This Row],[Team]], Table1[GameIsOver], 1, Table1[AwayWon],0, Table1[ActualResult], "REG")</f>
        <v>0</v>
      </c>
      <c r="P2">
        <f>COUNTIFS(Table1[AwayTeam], Table2[[#This Row],[Team]], Table1[GameIsOver], 1, Table1[AwayWon],0, Table1[ActualResult], "OT")</f>
        <v>0</v>
      </c>
      <c r="Q2">
        <f>COUNTIFS(Table1[AwayTeam], Table2[[#This Row],[Team]], Table1[GameIsOver], 1, Table1[AwayWon],0, Table1[ActualResult], "SO")</f>
        <v>0</v>
      </c>
      <c r="R2">
        <f>COUNTIFS(Table1[HomeTeam], Table2[[#This Row],[Team]], Table1[GameIsOver], 1, Table1[HomeWon],1)</f>
        <v>0</v>
      </c>
      <c r="S2">
        <f>COUNTIFS(Table1[HomeTeam], Table2[[#This Row],[Team]], Table1[GameIsOver], 1, Table1[HomeWon],1, Table1[ActualResult], "REG")</f>
        <v>0</v>
      </c>
      <c r="T2">
        <f>COUNTIFS(Table1[HomeTeam], Table2[[#This Row],[Team]], Table1[GameIsOver], 1, Table1[HomeWon],1, Table1[ActualResult], "OT")</f>
        <v>0</v>
      </c>
      <c r="U2">
        <f>COUNTIFS(Table1[HomeTeam], Table2[[#This Row],[Team]], Table1[GameIsOver], 1, Table1[HomeWon],1, Table1[ActualResult], "SO")</f>
        <v>0</v>
      </c>
      <c r="V2">
        <f>COUNTIFS(Table1[HomeTeam], Table2[[#This Row],[Team]], Table1[GameIsOver], 1, Table1[HomeWon],0)</f>
        <v>0</v>
      </c>
      <c r="W2">
        <f>COUNTIFS(Table1[HomeTeam], Table2[[#This Row],[Team]], Table1[GameIsOver], 1, Table1[HomeWon],0, Table1[ActualResult], "REG")</f>
        <v>0</v>
      </c>
      <c r="X2">
        <f>COUNTIFS(Table1[HomeTeam], Table2[[#This Row],[Team]], Table1[GameIsOver], 1, Table1[HomeWon],0, Table1[ActualResult], "OT")</f>
        <v>0</v>
      </c>
      <c r="Y2">
        <f>COUNTIFS(Table1[HomeTeam], Table2[[#This Row],[Team]], Table1[GameIsOver], 1, Table1[HomeWon],0, Table1[ActualResult], "SO")</f>
        <v>0</v>
      </c>
      <c r="Z2" s="36">
        <f>Table2[[#This Row],[W]]/MAX(1,Table2[[#This Row],[W]]+Table2[[#This Row],[L]])</f>
        <v>0</v>
      </c>
      <c r="AA2">
        <f>Table2[[#This Row],[W_A]]+Table2[[#This Row],[W_H]]</f>
        <v>0</v>
      </c>
      <c r="AB2">
        <f>Table2[[#This Row],[L_A]]+Table2[[#This Row],[L_H]]</f>
        <v>0</v>
      </c>
      <c r="AC2">
        <f>Table2[RW_A]+Table2[RW_H]</f>
        <v>0</v>
      </c>
      <c r="AD2">
        <f>Table2[RL_A]+Table2[RL_H]</f>
        <v>0</v>
      </c>
      <c r="AE2">
        <f>Table2[OTW_A]+Table2[OTW_H]</f>
        <v>0</v>
      </c>
      <c r="AF2">
        <f>Table2[OTL_A]+Table2[OTL_H]</f>
        <v>0</v>
      </c>
      <c r="AG2">
        <f>Table2[SOW_A]+Table2[SOW_H]</f>
        <v>0</v>
      </c>
      <c r="AH2">
        <f>Table2[SOL_A]+Table2[SOL_H]</f>
        <v>0</v>
      </c>
      <c r="AI2" t="str">
        <f>_xlfn.CONCAT(TEXT(Table2[[#This Row],[OTW]]+Table2[[#This Row],[SOW]], "0"), "-", TEXT(Table2[[#This Row],[OTL]]+Table2[[#This Row],[SOL]],"0"))</f>
        <v>0-0</v>
      </c>
      <c r="AJ2">
        <f>SUM(Table2[[#This Row],[OTW]],Table2[[#This Row],[OTL]],Table2[[#This Row],[SOW]],Table2[[#This Row],[SOL]])</f>
        <v>0</v>
      </c>
      <c r="AK2" s="36">
        <f>(Table2[[#This Row],[OTW]]+Table2[[#This Row],[SOW]])/IF(Table2[[#This Row],[Total_ExtraTimes]]=0,1,Table2[[#This Row],[Total_ExtraTimes]])</f>
        <v>0</v>
      </c>
      <c r="AL2" s="36">
        <f>Table2[[#This Row],[Total_ExtraTimes]]/MAX(1,Table2[[#This Row],[GP]])</f>
        <v>0</v>
      </c>
      <c r="AM2">
        <f>(2*(Table2[[#This Row],[W_A]]+Table2[[#This Row],[W_H]]))+Table2[[#This Row],[OTL_A]]+Table2[[#This Row],[SOL_A]]+Table2[[#This Row],[OTL_H]]+Table2[[#This Row],[SOL_H]]</f>
        <v>0</v>
      </c>
      <c r="AN2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0</v>
      </c>
      <c r="AO2" t="e">
        <f>Table2[[#This Row],[PTS]]/(2*Table2[[#This Row],[GP]])</f>
        <v>#DIV/0!</v>
      </c>
      <c r="AP2" t="e">
        <f>Table2[[#This Row],[PTS]]/(3*Table2[[#This Row],[GP]])</f>
        <v>#DIV/0!</v>
      </c>
      <c r="AQ2">
        <f>(2*Table2[[#This Row],[GR]])+Table2[[#This Row],[PTS]]</f>
        <v>168</v>
      </c>
      <c r="AR2">
        <f>(3*Table2[[#This Row],[GR]])+Table2[[#This Row],[PTS]]</f>
        <v>252</v>
      </c>
      <c r="AS2" t="e">
        <f>Table2[[#This Row],[PTS]]+(2 * Table2[[#This Row],[GR]] * Table2[[#This Row],[PTS%]])</f>
        <v>#DIV/0!</v>
      </c>
      <c r="AT2" t="e">
        <f>Table2[[#This Row],[PTS]]+(3 * Table2[[#This Row],[GR]] * Table2[[#This Row],[PTS%]])</f>
        <v>#DIV/0!</v>
      </c>
      <c r="AU2" t="str">
        <f>_xlfn.CONCAT(TEXT(Table2[[#This Row],[W]], "0"), "-", TEXT(Table2[[#This Row],[RL]],"0"), "-", TEXT(Table2[[#This Row],[OTL]]+Table2[[#This Row],[SOL]], "0"))</f>
        <v>0-0-0</v>
      </c>
      <c r="AV2">
        <f>SUMIF(Table1[AwayTeam], Table2[[#This Row],[Team]], Table1[ActualAwayScore])</f>
        <v>0</v>
      </c>
      <c r="AW2">
        <f>SUMIF(Table1[AwayTeam], Table2[[#This Row],[Team]], Table1[ActualHomeScore])</f>
        <v>0</v>
      </c>
      <c r="AX2">
        <f>Table2[[#This Row],[GF_A]]-Table2[[#This Row],[GA_A]]</f>
        <v>0</v>
      </c>
      <c r="AY2">
        <f>SUMIF(Table1[HomeTeam], Table2[[#This Row],[Team]], Table1[ActualHomeScore])</f>
        <v>0</v>
      </c>
      <c r="AZ2">
        <f>SUMIF(Table1[HomeTeam], Table2[[#This Row],[Team]], Table1[ActualAwayScore])</f>
        <v>0</v>
      </c>
      <c r="BA2">
        <f>Table2[[#This Row],[GF_H]]-Table2[[#This Row],[GA_H]]</f>
        <v>0</v>
      </c>
      <c r="BB2">
        <f>SUMIFS(Table1[ActualAwayScore], Table1[AwayTeam], Table2[[#This Row],[Team]], Table1[AwayWon],1)+SUMIFS(Table1[ActualHomeScore], Table1[HomeTeam], Table2[[#This Row],[Team]], Table1[HomeWon],1)</f>
        <v>0</v>
      </c>
      <c r="BC2">
        <f>SUMIFS(Table1[ActualAwayScore], Table1[AwayTeam], Table2[[#This Row],[Team]], Table1[AwayWon],0) + SUMIFS(Table1[ActualHomeScore], Table1[HomeTeam], Table2[[#This Row],[Team]], Table1[HomeWon],0)</f>
        <v>0</v>
      </c>
      <c r="BD2">
        <f>Table2[[#This Row],[GF_W]]-Table2[[#This Row],[GF_L]]</f>
        <v>0</v>
      </c>
      <c r="BE2">
        <f>Table2[[#This Row],[GF_A]]+Table2[[#This Row],[GF_H]]</f>
        <v>0</v>
      </c>
      <c r="BF2">
        <f>Table2[[#This Row],[GA_A]]+Table2[[#This Row],[GA_H]]</f>
        <v>0</v>
      </c>
      <c r="BG2">
        <f>Table2[[#This Row],[GF]]-Table2[[#This Row],[GA]]</f>
        <v>0</v>
      </c>
      <c r="BH2" t="e">
        <f>Table2[[#This Row],[GF]]/Table2[[#This Row],[GP]]</f>
        <v>#DIV/0!</v>
      </c>
      <c r="BI2" t="e">
        <f>Table2[[#This Row],[GA]]/Table2[[#This Row],[GP]]</f>
        <v>#DIV/0!</v>
      </c>
      <c r="BJ2" t="e">
        <f>Table2[[#This Row],[GFPG]]-Table2[[#This Row],[GAPG]]</f>
        <v>#DIV/0!</v>
      </c>
      <c r="BK2" t="str">
        <f>_xlfn.CONCAT(TEXT(Table2[[#This Row],[W_A]], "0"), "-", TEXT(Table2[[#This Row],[RL_A]],"0"), "-", TEXT(Table2[[#This Row],[OTL_A]]+Table2[[#This Row],[SOL_A]], "0"))</f>
        <v>0-0-0</v>
      </c>
      <c r="BL2" t="str">
        <f>_xlfn.CONCAT(TEXT(Table2[[#This Row],[W_H]], "0"), "-", TEXT(Table2[[#This Row],[RL_H]],"0"), "-", TEXT(Table2[[#This Row],[OTL_H]]+Table2[[#This Row],[SOL_H]], "0"))</f>
        <v>0-0-0</v>
      </c>
    </row>
    <row r="3" spans="1:64" x14ac:dyDescent="0.25">
      <c r="A3" t="s">
        <v>37</v>
      </c>
      <c r="B3" t="s">
        <v>63</v>
      </c>
      <c r="C3" t="s">
        <v>67</v>
      </c>
      <c r="D3">
        <f>COUNTIFS(Table1[AwayTeam],Table2[[#This Row],[Team]],Table1[GameIsOver], 1, Table1[WatchedGame],1) + COUNTIFS(Table1[HomeTeam],Table2[[#This Row],[Team]],Table1[GameIsOver],1,Table1[WatchedGame],1)</f>
        <v>0</v>
      </c>
      <c r="F3">
        <f>COUNTIFS(Table1[AwayTeam],Table2[[#This Row],[Team]], Table1[GameIsOver],1)</f>
        <v>1</v>
      </c>
      <c r="G3">
        <f>COUNTIFS(Table1[HomeTeam],Table2[[#This Row],[Team]], Table1[GameIsOver],1)</f>
        <v>1</v>
      </c>
      <c r="H3">
        <f>Table2[[#This Row],[GP_A]]+Table2[[#This Row],[GP_H]]</f>
        <v>2</v>
      </c>
      <c r="I3">
        <f>84-Table2[[#This Row],[GP]]</f>
        <v>82</v>
      </c>
      <c r="J3">
        <f>COUNTIFS(Table1[AwayTeam], Table2[[#This Row],[Team]], Table1[GameIsOver], 1, Table1[AwayWon],1)</f>
        <v>0</v>
      </c>
      <c r="K3">
        <f>COUNTIFS(Table1[AwayTeam], Table2[[#This Row],[Team]], Table1[GameIsOver], 1, Table1[AwayWon],1, Table1[ActualResult], "REG")</f>
        <v>0</v>
      </c>
      <c r="L3">
        <f>COUNTIFS(Table1[AwayTeam], Table2[[#This Row],[Team]], Table1[GameIsOver], 1, Table1[AwayWon],1, Table1[ActualResult], "OT")</f>
        <v>0</v>
      </c>
      <c r="M3">
        <f>COUNTIFS(Table1[AwayTeam], Table2[[#This Row],[Team]], Table1[GameIsOver], 1, Table1[AwayWon],1, Table1[ActualResult], "SO")</f>
        <v>0</v>
      </c>
      <c r="N3">
        <f>COUNTIFS(Table1[AwayTeam], Table2[[#This Row],[Team]], Table1[GameIsOver], 1, Table1[AwayWon],0)</f>
        <v>1</v>
      </c>
      <c r="O3">
        <f>COUNTIFS(Table1[AwayTeam], Table2[[#This Row],[Team]], Table1[GameIsOver], 1, Table1[AwayWon],0, Table1[ActualResult], "REG")</f>
        <v>0</v>
      </c>
      <c r="P3">
        <f>COUNTIFS(Table1[AwayTeam], Table2[[#This Row],[Team]], Table1[GameIsOver], 1, Table1[AwayWon],0, Table1[ActualResult], "OT")</f>
        <v>0</v>
      </c>
      <c r="Q3">
        <f>COUNTIFS(Table1[AwayTeam], Table2[[#This Row],[Team]], Table1[GameIsOver], 1, Table1[AwayWon],0, Table1[ActualResult], "SO")</f>
        <v>1</v>
      </c>
      <c r="R3">
        <f>COUNTIFS(Table1[HomeTeam], Table2[[#This Row],[Team]], Table1[GameIsOver], 1, Table1[HomeWon],1)</f>
        <v>0</v>
      </c>
      <c r="S3">
        <f>COUNTIFS(Table1[HomeTeam], Table2[[#This Row],[Team]], Table1[GameIsOver], 1, Table1[HomeWon],1, Table1[ActualResult], "REG")</f>
        <v>0</v>
      </c>
      <c r="T3">
        <f>COUNTIFS(Table1[HomeTeam], Table2[[#This Row],[Team]], Table1[GameIsOver], 1, Table1[HomeWon],1, Table1[ActualResult], "OT")</f>
        <v>0</v>
      </c>
      <c r="U3">
        <f>COUNTIFS(Table1[HomeTeam], Table2[[#This Row],[Team]], Table1[GameIsOver], 1, Table1[HomeWon],1, Table1[ActualResult], "SO")</f>
        <v>0</v>
      </c>
      <c r="V3">
        <f>COUNTIFS(Table1[HomeTeam], Table2[[#This Row],[Team]], Table1[GameIsOver], 1, Table1[HomeWon],0)</f>
        <v>1</v>
      </c>
      <c r="W3">
        <f>COUNTIFS(Table1[HomeTeam], Table2[[#This Row],[Team]], Table1[GameIsOver], 1, Table1[HomeWon],0, Table1[ActualResult], "REG")</f>
        <v>1</v>
      </c>
      <c r="X3">
        <f>COUNTIFS(Table1[HomeTeam], Table2[[#This Row],[Team]], Table1[GameIsOver], 1, Table1[HomeWon],0, Table1[ActualResult], "OT")</f>
        <v>0</v>
      </c>
      <c r="Y3">
        <f>COUNTIFS(Table1[HomeTeam], Table2[[#This Row],[Team]], Table1[GameIsOver], 1, Table1[HomeWon],0, Table1[ActualResult], "SO")</f>
        <v>0</v>
      </c>
      <c r="Z3" s="36">
        <f>Table2[[#This Row],[W]]/MAX(1,Table2[[#This Row],[W]]+Table2[[#This Row],[L]])</f>
        <v>0</v>
      </c>
      <c r="AA3">
        <f>Table2[[#This Row],[W_A]]+Table2[[#This Row],[W_H]]</f>
        <v>0</v>
      </c>
      <c r="AB3">
        <f>Table2[[#This Row],[L_A]]+Table2[[#This Row],[L_H]]</f>
        <v>2</v>
      </c>
      <c r="AC3">
        <f>Table2[RW_A]+Table2[RW_H]</f>
        <v>0</v>
      </c>
      <c r="AD3">
        <f>Table2[RL_A]+Table2[RL_H]</f>
        <v>1</v>
      </c>
      <c r="AE3">
        <f>Table2[OTW_A]+Table2[OTW_H]</f>
        <v>0</v>
      </c>
      <c r="AF3">
        <f>Table2[OTL_A]+Table2[OTL_H]</f>
        <v>0</v>
      </c>
      <c r="AG3">
        <f>Table2[SOW_A]+Table2[SOW_H]</f>
        <v>0</v>
      </c>
      <c r="AH3">
        <f>Table2[SOL_A]+Table2[SOL_H]</f>
        <v>1</v>
      </c>
      <c r="AI3" t="str">
        <f>_xlfn.CONCAT(TEXT(Table2[[#This Row],[OTW]]+Table2[[#This Row],[SOW]], "0"), "-", TEXT(Table2[[#This Row],[OTL]]+Table2[[#This Row],[SOL]],"0"))</f>
        <v>0-1</v>
      </c>
      <c r="AJ3">
        <f>SUM(Table2[[#This Row],[OTW]],Table2[[#This Row],[OTL]],Table2[[#This Row],[SOW]],Table2[[#This Row],[SOL]])</f>
        <v>1</v>
      </c>
      <c r="AK3" s="36">
        <f>(Table2[[#This Row],[OTW]]+Table2[[#This Row],[SOW]])/IF(Table2[[#This Row],[Total_ExtraTimes]]=0,1,Table2[[#This Row],[Total_ExtraTimes]])</f>
        <v>0</v>
      </c>
      <c r="AL3" s="36">
        <f>Table2[[#This Row],[Total_ExtraTimes]]/MAX(1,Table2[[#This Row],[GP]])</f>
        <v>0.5</v>
      </c>
      <c r="AM3">
        <f>(2*(Table2[[#This Row],[W_A]]+Table2[[#This Row],[W_H]]))+Table2[[#This Row],[OTL_A]]+Table2[[#This Row],[SOL_A]]+Table2[[#This Row],[OTL_H]]+Table2[[#This Row],[SOL_H]]</f>
        <v>1</v>
      </c>
      <c r="AN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1</v>
      </c>
      <c r="AO3">
        <f>Table2[[#This Row],[PTS]]/(2*Table2[[#This Row],[GP]])</f>
        <v>0.25</v>
      </c>
      <c r="AP3">
        <f>Table2[[#This Row],[PTS]]/(3*Table2[[#This Row],[GP]])</f>
        <v>0.16666666666666666</v>
      </c>
      <c r="AQ3">
        <f>(2*Table2[[#This Row],[GR]])+Table2[[#This Row],[PTS]]</f>
        <v>165</v>
      </c>
      <c r="AR3">
        <f>(3*Table2[[#This Row],[GR]])+Table2[[#This Row],[PTS]]</f>
        <v>247</v>
      </c>
      <c r="AS3">
        <f>Table2[[#This Row],[PTS]]+(2 * Table2[[#This Row],[GR]] * Table2[[#This Row],[PTS%]])</f>
        <v>42</v>
      </c>
      <c r="AT3">
        <f>Table2[[#This Row],[PTS]]+(3 * Table2[[#This Row],[GR]] * Table2[[#This Row],[PTS%]])</f>
        <v>62.5</v>
      </c>
      <c r="AU3" t="str">
        <f>_xlfn.CONCAT(TEXT(Table2[[#This Row],[W]], "0"), "-", TEXT(Table2[[#This Row],[RL]],"0"), "-", TEXT(Table2[[#This Row],[OTL]]+Table2[[#This Row],[SOL]], "0"))</f>
        <v>0-1-1</v>
      </c>
      <c r="AV3">
        <f>SUMIF(Table1[AwayTeam], Table2[[#This Row],[Team]], Table1[ActualAwayScore])</f>
        <v>3</v>
      </c>
      <c r="AW3">
        <f>SUMIF(Table1[AwayTeam], Table2[[#This Row],[Team]], Table1[ActualHomeScore])</f>
        <v>4</v>
      </c>
      <c r="AX3">
        <f>Table2[[#This Row],[GF_A]]-Table2[[#This Row],[GA_A]]</f>
        <v>-1</v>
      </c>
      <c r="AY3">
        <f>SUMIF(Table1[HomeTeam], Table2[[#This Row],[Team]], Table1[ActualHomeScore])</f>
        <v>0</v>
      </c>
      <c r="AZ3">
        <f>SUMIF(Table1[HomeTeam], Table2[[#This Row],[Team]], Table1[ActualAwayScore])</f>
        <v>3</v>
      </c>
      <c r="BA3">
        <f>Table2[[#This Row],[GF_H]]-Table2[[#This Row],[GA_H]]</f>
        <v>-3</v>
      </c>
      <c r="BB3">
        <f>SUMIFS(Table1[ActualAwayScore], Table1[AwayTeam], Table2[[#This Row],[Team]], Table1[AwayWon],1)+SUMIFS(Table1[ActualHomeScore], Table1[HomeTeam], Table2[[#This Row],[Team]], Table1[HomeWon],1)</f>
        <v>0</v>
      </c>
      <c r="BC3">
        <f>SUMIFS(Table1[ActualAwayScore], Table1[AwayTeam], Table2[[#This Row],[Team]], Table1[AwayWon],0) + SUMIFS(Table1[ActualHomeScore], Table1[HomeTeam], Table2[[#This Row],[Team]], Table1[HomeWon],0)</f>
        <v>3</v>
      </c>
      <c r="BD3">
        <f>Table2[[#This Row],[GF_W]]-Table2[[#This Row],[GF_L]]</f>
        <v>-3</v>
      </c>
      <c r="BE3">
        <f>Table2[[#This Row],[GF_A]]+Table2[[#This Row],[GF_H]]</f>
        <v>3</v>
      </c>
      <c r="BF3">
        <f>Table2[[#This Row],[GA_A]]+Table2[[#This Row],[GA_H]]</f>
        <v>7</v>
      </c>
      <c r="BG3">
        <f>Table2[[#This Row],[GF]]-Table2[[#This Row],[GA]]</f>
        <v>-4</v>
      </c>
      <c r="BH3">
        <f>Table2[[#This Row],[GF]]/Table2[[#This Row],[GP]]</f>
        <v>1.5</v>
      </c>
      <c r="BI3">
        <f>Table2[[#This Row],[GA]]/Table2[[#This Row],[GP]]</f>
        <v>3.5</v>
      </c>
      <c r="BJ3">
        <f>Table2[[#This Row],[GFPG]]-Table2[[#This Row],[GAPG]]</f>
        <v>-2</v>
      </c>
      <c r="BK3" t="str">
        <f>_xlfn.CONCAT(TEXT(Table2[[#This Row],[W_A]], "0"), "-", TEXT(Table2[[#This Row],[RL_A]],"0"), "-", TEXT(Table2[[#This Row],[OTL_A]]+Table2[[#This Row],[SOL_A]], "0"))</f>
        <v>0-0-1</v>
      </c>
      <c r="BL3" t="str">
        <f>_xlfn.CONCAT(TEXT(Table2[[#This Row],[W_H]], "0"), "-", TEXT(Table2[[#This Row],[RL_H]],"0"), "-", TEXT(Table2[[#This Row],[OTL_H]]+Table2[[#This Row],[SOL_H]], "0"))</f>
        <v>0-1-0</v>
      </c>
    </row>
    <row r="4" spans="1:64" x14ac:dyDescent="0.25">
      <c r="A4" t="s">
        <v>38</v>
      </c>
      <c r="B4" t="s">
        <v>63</v>
      </c>
      <c r="C4" t="s">
        <v>67</v>
      </c>
      <c r="D4">
        <f>COUNTIFS(Table1[AwayTeam],Table2[[#This Row],[Team]],Table1[GameIsOver], 1, Table1[WatchedGame],1) + COUNTIFS(Table1[HomeTeam],Table2[[#This Row],[Team]],Table1[GameIsOver],1,Table1[WatchedGame],1)</f>
        <v>0</v>
      </c>
      <c r="F4">
        <f>COUNTIFS(Table1[AwayTeam],Table2[[#This Row],[Team]], Table1[GameIsOver],1)</f>
        <v>1</v>
      </c>
      <c r="G4">
        <f>COUNTIFS(Table1[HomeTeam],Table2[[#This Row],[Team]], Table1[GameIsOver],1)</f>
        <v>0</v>
      </c>
      <c r="H4">
        <f>Table2[[#This Row],[GP_A]]+Table2[[#This Row],[GP_H]]</f>
        <v>1</v>
      </c>
      <c r="I4">
        <f>84-Table2[[#This Row],[GP]]</f>
        <v>83</v>
      </c>
      <c r="J4">
        <f>COUNTIFS(Table1[AwayTeam], Table2[[#This Row],[Team]], Table1[GameIsOver], 1, Table1[AwayWon],1)</f>
        <v>0</v>
      </c>
      <c r="K4">
        <f>COUNTIFS(Table1[AwayTeam], Table2[[#This Row],[Team]], Table1[GameIsOver], 1, Table1[AwayWon],1, Table1[ActualResult], "REG")</f>
        <v>0</v>
      </c>
      <c r="L4">
        <f>COUNTIFS(Table1[AwayTeam], Table2[[#This Row],[Team]], Table1[GameIsOver], 1, Table1[AwayWon],1, Table1[ActualResult], "OT")</f>
        <v>0</v>
      </c>
      <c r="M4">
        <f>COUNTIFS(Table1[AwayTeam], Table2[[#This Row],[Team]], Table1[GameIsOver], 1, Table1[AwayWon],1, Table1[ActualResult], "SO")</f>
        <v>0</v>
      </c>
      <c r="N4">
        <f>COUNTIFS(Table1[AwayTeam], Table2[[#This Row],[Team]], Table1[GameIsOver], 1, Table1[AwayWon],0)</f>
        <v>1</v>
      </c>
      <c r="O4">
        <f>COUNTIFS(Table1[AwayTeam], Table2[[#This Row],[Team]], Table1[GameIsOver], 1, Table1[AwayWon],0, Table1[ActualResult], "REG")</f>
        <v>0</v>
      </c>
      <c r="P4">
        <f>COUNTIFS(Table1[AwayTeam], Table2[[#This Row],[Team]], Table1[GameIsOver], 1, Table1[AwayWon],0, Table1[ActualResult], "OT")</f>
        <v>0</v>
      </c>
      <c r="Q4">
        <f>COUNTIFS(Table1[AwayTeam], Table2[[#This Row],[Team]], Table1[GameIsOver], 1, Table1[AwayWon],0, Table1[ActualResult], "SO")</f>
        <v>1</v>
      </c>
      <c r="R4">
        <f>COUNTIFS(Table1[HomeTeam], Table2[[#This Row],[Team]], Table1[GameIsOver], 1, Table1[HomeWon],1)</f>
        <v>0</v>
      </c>
      <c r="S4">
        <f>COUNTIFS(Table1[HomeTeam], Table2[[#This Row],[Team]], Table1[GameIsOver], 1, Table1[HomeWon],1, Table1[ActualResult], "REG")</f>
        <v>0</v>
      </c>
      <c r="T4">
        <f>COUNTIFS(Table1[HomeTeam], Table2[[#This Row],[Team]], Table1[GameIsOver], 1, Table1[HomeWon],1, Table1[ActualResult], "OT")</f>
        <v>0</v>
      </c>
      <c r="U4">
        <f>COUNTIFS(Table1[HomeTeam], Table2[[#This Row],[Team]], Table1[GameIsOver], 1, Table1[HomeWon],1, Table1[ActualResult], "SO")</f>
        <v>0</v>
      </c>
      <c r="V4">
        <f>COUNTIFS(Table1[HomeTeam], Table2[[#This Row],[Team]], Table1[GameIsOver], 1, Table1[HomeWon],0)</f>
        <v>0</v>
      </c>
      <c r="W4">
        <f>COUNTIFS(Table1[HomeTeam], Table2[[#This Row],[Team]], Table1[GameIsOver], 1, Table1[HomeWon],0, Table1[ActualResult], "REG")</f>
        <v>0</v>
      </c>
      <c r="X4">
        <f>COUNTIFS(Table1[HomeTeam], Table2[[#This Row],[Team]], Table1[GameIsOver], 1, Table1[HomeWon],0, Table1[ActualResult], "OT")</f>
        <v>0</v>
      </c>
      <c r="Y4">
        <f>COUNTIFS(Table1[HomeTeam], Table2[[#This Row],[Team]], Table1[GameIsOver], 1, Table1[HomeWon],0, Table1[ActualResult], "SO")</f>
        <v>0</v>
      </c>
      <c r="Z4" s="36">
        <f>Table2[[#This Row],[W]]/MAX(1,Table2[[#This Row],[W]]+Table2[[#This Row],[L]])</f>
        <v>0</v>
      </c>
      <c r="AA4">
        <f>Table2[[#This Row],[W_A]]+Table2[[#This Row],[W_H]]</f>
        <v>0</v>
      </c>
      <c r="AB4">
        <f>Table2[[#This Row],[L_A]]+Table2[[#This Row],[L_H]]</f>
        <v>1</v>
      </c>
      <c r="AC4">
        <f>Table2[RW_A]+Table2[RW_H]</f>
        <v>0</v>
      </c>
      <c r="AD4">
        <f>Table2[RL_A]+Table2[RL_H]</f>
        <v>0</v>
      </c>
      <c r="AE4">
        <f>Table2[OTW_A]+Table2[OTW_H]</f>
        <v>0</v>
      </c>
      <c r="AF4">
        <f>Table2[OTL_A]+Table2[OTL_H]</f>
        <v>0</v>
      </c>
      <c r="AG4">
        <f>Table2[SOW_A]+Table2[SOW_H]</f>
        <v>0</v>
      </c>
      <c r="AH4">
        <f>Table2[SOL_A]+Table2[SOL_H]</f>
        <v>1</v>
      </c>
      <c r="AI4" t="str">
        <f>_xlfn.CONCAT(TEXT(Table2[[#This Row],[OTW]]+Table2[[#This Row],[SOW]], "0"), "-", TEXT(Table2[[#This Row],[OTL]]+Table2[[#This Row],[SOL]],"0"))</f>
        <v>0-1</v>
      </c>
      <c r="AJ4">
        <f>SUM(Table2[[#This Row],[OTW]],Table2[[#This Row],[OTL]],Table2[[#This Row],[SOW]],Table2[[#This Row],[SOL]])</f>
        <v>1</v>
      </c>
      <c r="AK4" s="36">
        <f>(Table2[[#This Row],[OTW]]+Table2[[#This Row],[SOW]])/IF(Table2[[#This Row],[Total_ExtraTimes]]=0,1,Table2[[#This Row],[Total_ExtraTimes]])</f>
        <v>0</v>
      </c>
      <c r="AL4" s="36">
        <f>Table2[[#This Row],[Total_ExtraTimes]]/MAX(1,Table2[[#This Row],[GP]])</f>
        <v>1</v>
      </c>
      <c r="AM4">
        <f>(2*(Table2[[#This Row],[W_A]]+Table2[[#This Row],[W_H]]))+Table2[[#This Row],[OTL_A]]+Table2[[#This Row],[SOL_A]]+Table2[[#This Row],[OTL_H]]+Table2[[#This Row],[SOL_H]]</f>
        <v>1</v>
      </c>
      <c r="AN4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1</v>
      </c>
      <c r="AO4">
        <f>Table2[[#This Row],[PTS]]/(2*Table2[[#This Row],[GP]])</f>
        <v>0.5</v>
      </c>
      <c r="AP4">
        <f>Table2[[#This Row],[PTS]]/(3*Table2[[#This Row],[GP]])</f>
        <v>0.33333333333333331</v>
      </c>
      <c r="AQ4">
        <f>(2*Table2[[#This Row],[GR]])+Table2[[#This Row],[PTS]]</f>
        <v>167</v>
      </c>
      <c r="AR4">
        <f>(3*Table2[[#This Row],[GR]])+Table2[[#This Row],[PTS]]</f>
        <v>250</v>
      </c>
      <c r="AS4">
        <f>Table2[[#This Row],[PTS]]+(2 * Table2[[#This Row],[GR]] * Table2[[#This Row],[PTS%]])</f>
        <v>84</v>
      </c>
      <c r="AT4">
        <f>Table2[[#This Row],[PTS]]+(3 * Table2[[#This Row],[GR]] * Table2[[#This Row],[PTS%]])</f>
        <v>125.5</v>
      </c>
      <c r="AU4" t="str">
        <f>_xlfn.CONCAT(TEXT(Table2[[#This Row],[W]], "0"), "-", TEXT(Table2[[#This Row],[RL]],"0"), "-", TEXT(Table2[[#This Row],[OTL]]+Table2[[#This Row],[SOL]], "0"))</f>
        <v>0-0-1</v>
      </c>
      <c r="AV4">
        <f>SUMIF(Table1[AwayTeam], Table2[[#This Row],[Team]], Table1[ActualAwayScore])</f>
        <v>2</v>
      </c>
      <c r="AW4">
        <f>SUMIF(Table1[AwayTeam], Table2[[#This Row],[Team]], Table1[ActualHomeScore])</f>
        <v>3</v>
      </c>
      <c r="AX4">
        <f>Table2[[#This Row],[GF_A]]-Table2[[#This Row],[GA_A]]</f>
        <v>-1</v>
      </c>
      <c r="AY4">
        <f>SUMIF(Table1[HomeTeam], Table2[[#This Row],[Team]], Table1[ActualHomeScore])</f>
        <v>0</v>
      </c>
      <c r="AZ4">
        <f>SUMIF(Table1[HomeTeam], Table2[[#This Row],[Team]], Table1[ActualAwayScore])</f>
        <v>0</v>
      </c>
      <c r="BA4">
        <f>Table2[[#This Row],[GF_H]]-Table2[[#This Row],[GA_H]]</f>
        <v>0</v>
      </c>
      <c r="BB4">
        <f>SUMIFS(Table1[ActualAwayScore], Table1[AwayTeam], Table2[[#This Row],[Team]], Table1[AwayWon],1)+SUMIFS(Table1[ActualHomeScore], Table1[HomeTeam], Table2[[#This Row],[Team]], Table1[HomeWon],1)</f>
        <v>0</v>
      </c>
      <c r="BC4">
        <f>SUMIFS(Table1[ActualAwayScore], Table1[AwayTeam], Table2[[#This Row],[Team]], Table1[AwayWon],0) + SUMIFS(Table1[ActualHomeScore], Table1[HomeTeam], Table2[[#This Row],[Team]], Table1[HomeWon],0)</f>
        <v>2</v>
      </c>
      <c r="BD4">
        <f>Table2[[#This Row],[GF_W]]-Table2[[#This Row],[GF_L]]</f>
        <v>-2</v>
      </c>
      <c r="BE4">
        <f>Table2[[#This Row],[GF_A]]+Table2[[#This Row],[GF_H]]</f>
        <v>2</v>
      </c>
      <c r="BF4">
        <f>Table2[[#This Row],[GA_A]]+Table2[[#This Row],[GA_H]]</f>
        <v>3</v>
      </c>
      <c r="BG4">
        <f>Table2[[#This Row],[GF]]-Table2[[#This Row],[GA]]</f>
        <v>-1</v>
      </c>
      <c r="BH4">
        <f>Table2[[#This Row],[GF]]/Table2[[#This Row],[GP]]</f>
        <v>2</v>
      </c>
      <c r="BI4">
        <f>Table2[[#This Row],[GA]]/Table2[[#This Row],[GP]]</f>
        <v>3</v>
      </c>
      <c r="BJ4">
        <f>Table2[[#This Row],[GFPG]]-Table2[[#This Row],[GAPG]]</f>
        <v>-1</v>
      </c>
      <c r="BK4" t="str">
        <f>_xlfn.CONCAT(TEXT(Table2[[#This Row],[W_A]], "0"), "-", TEXT(Table2[[#This Row],[RL_A]],"0"), "-", TEXT(Table2[[#This Row],[OTL_A]]+Table2[[#This Row],[SOL_A]], "0"))</f>
        <v>0-0-1</v>
      </c>
      <c r="BL4" t="str">
        <f>_xlfn.CONCAT(TEXT(Table2[[#This Row],[W_H]], "0"), "-", TEXT(Table2[[#This Row],[RL_H]],"0"), "-", TEXT(Table2[[#This Row],[OTL_H]]+Table2[[#This Row],[SOL_H]], "0"))</f>
        <v>0-0-0</v>
      </c>
    </row>
    <row r="5" spans="1:64" x14ac:dyDescent="0.25">
      <c r="A5" t="s">
        <v>39</v>
      </c>
      <c r="B5" t="s">
        <v>62</v>
      </c>
      <c r="C5" t="s">
        <v>66</v>
      </c>
      <c r="D5">
        <f>COUNTIFS(Table1[AwayTeam],Table2[[#This Row],[Team]],Table1[GameIsOver], 1, Table1[WatchedGame],1) + COUNTIFS(Table1[HomeTeam],Table2[[#This Row],[Team]],Table1[GameIsOver],1,Table1[WatchedGame],1)</f>
        <v>0</v>
      </c>
      <c r="F5">
        <f>COUNTIFS(Table1[AwayTeam],Table2[[#This Row],[Team]], Table1[GameIsOver],1)</f>
        <v>0</v>
      </c>
      <c r="G5">
        <f>COUNTIFS(Table1[HomeTeam],Table2[[#This Row],[Team]], Table1[GameIsOver],1)</f>
        <v>1</v>
      </c>
      <c r="H5">
        <f>Table2[[#This Row],[GP_A]]+Table2[[#This Row],[GP_H]]</f>
        <v>1</v>
      </c>
      <c r="I5">
        <f>84-Table2[[#This Row],[GP]]</f>
        <v>83</v>
      </c>
      <c r="J5">
        <f>COUNTIFS(Table1[AwayTeam], Table2[[#This Row],[Team]], Table1[GameIsOver], 1, Table1[AwayWon],1)</f>
        <v>0</v>
      </c>
      <c r="K5">
        <f>COUNTIFS(Table1[AwayTeam], Table2[[#This Row],[Team]], Table1[GameIsOver], 1, Table1[AwayWon],1, Table1[ActualResult], "REG")</f>
        <v>0</v>
      </c>
      <c r="L5">
        <f>COUNTIFS(Table1[AwayTeam], Table2[[#This Row],[Team]], Table1[GameIsOver], 1, Table1[AwayWon],1, Table1[ActualResult], "OT")</f>
        <v>0</v>
      </c>
      <c r="M5">
        <f>COUNTIFS(Table1[AwayTeam], Table2[[#This Row],[Team]], Table1[GameIsOver], 1, Table1[AwayWon],1, Table1[ActualResult], "SO")</f>
        <v>0</v>
      </c>
      <c r="N5">
        <f>COUNTIFS(Table1[AwayTeam], Table2[[#This Row],[Team]], Table1[GameIsOver], 1, Table1[AwayWon],0)</f>
        <v>0</v>
      </c>
      <c r="O5">
        <f>COUNTIFS(Table1[AwayTeam], Table2[[#This Row],[Team]], Table1[GameIsOver], 1, Table1[AwayWon],0, Table1[ActualResult], "REG")</f>
        <v>0</v>
      </c>
      <c r="P5">
        <f>COUNTIFS(Table1[AwayTeam], Table2[[#This Row],[Team]], Table1[GameIsOver], 1, Table1[AwayWon],0, Table1[ActualResult], "OT")</f>
        <v>0</v>
      </c>
      <c r="Q5">
        <f>COUNTIFS(Table1[AwayTeam], Table2[[#This Row],[Team]], Table1[GameIsOver], 1, Table1[AwayWon],0, Table1[ActualResult], "SO")</f>
        <v>0</v>
      </c>
      <c r="R5">
        <f>COUNTIFS(Table1[HomeTeam], Table2[[#This Row],[Team]], Table1[GameIsOver], 1, Table1[HomeWon],1)</f>
        <v>0</v>
      </c>
      <c r="S5">
        <f>COUNTIFS(Table1[HomeTeam], Table2[[#This Row],[Team]], Table1[GameIsOver], 1, Table1[HomeWon],1, Table1[ActualResult], "REG")</f>
        <v>0</v>
      </c>
      <c r="T5">
        <f>COUNTIFS(Table1[HomeTeam], Table2[[#This Row],[Team]], Table1[GameIsOver], 1, Table1[HomeWon],1, Table1[ActualResult], "OT")</f>
        <v>0</v>
      </c>
      <c r="U5">
        <f>COUNTIFS(Table1[HomeTeam], Table2[[#This Row],[Team]], Table1[GameIsOver], 1, Table1[HomeWon],1, Table1[ActualResult], "SO")</f>
        <v>0</v>
      </c>
      <c r="V5">
        <f>COUNTIFS(Table1[HomeTeam], Table2[[#This Row],[Team]], Table1[GameIsOver], 1, Table1[HomeWon],0)</f>
        <v>1</v>
      </c>
      <c r="W5">
        <f>COUNTIFS(Table1[HomeTeam], Table2[[#This Row],[Team]], Table1[GameIsOver], 1, Table1[HomeWon],0, Table1[ActualResult], "REG")</f>
        <v>1</v>
      </c>
      <c r="X5">
        <f>COUNTIFS(Table1[HomeTeam], Table2[[#This Row],[Team]], Table1[GameIsOver], 1, Table1[HomeWon],0, Table1[ActualResult], "OT")</f>
        <v>0</v>
      </c>
      <c r="Y5">
        <f>COUNTIFS(Table1[HomeTeam], Table2[[#This Row],[Team]], Table1[GameIsOver], 1, Table1[HomeWon],0, Table1[ActualResult], "SO")</f>
        <v>0</v>
      </c>
      <c r="Z5" s="36">
        <f>Table2[[#This Row],[W]]/MAX(1,Table2[[#This Row],[W]]+Table2[[#This Row],[L]])</f>
        <v>0</v>
      </c>
      <c r="AA5">
        <f>Table2[[#This Row],[W_A]]+Table2[[#This Row],[W_H]]</f>
        <v>0</v>
      </c>
      <c r="AB5">
        <f>Table2[[#This Row],[L_A]]+Table2[[#This Row],[L_H]]</f>
        <v>1</v>
      </c>
      <c r="AC5">
        <f>Table2[RW_A]+Table2[RW_H]</f>
        <v>0</v>
      </c>
      <c r="AD5">
        <f>Table2[RL_A]+Table2[RL_H]</f>
        <v>1</v>
      </c>
      <c r="AE5">
        <f>Table2[OTW_A]+Table2[OTW_H]</f>
        <v>0</v>
      </c>
      <c r="AF5">
        <f>Table2[OTL_A]+Table2[OTL_H]</f>
        <v>0</v>
      </c>
      <c r="AG5">
        <f>Table2[SOW_A]+Table2[SOW_H]</f>
        <v>0</v>
      </c>
      <c r="AH5">
        <f>Table2[SOL_A]+Table2[SOL_H]</f>
        <v>0</v>
      </c>
      <c r="AI5" t="str">
        <f>_xlfn.CONCAT(TEXT(Table2[[#This Row],[OTW]]+Table2[[#This Row],[SOW]], "0"), "-", TEXT(Table2[[#This Row],[OTL]]+Table2[[#This Row],[SOL]],"0"))</f>
        <v>0-0</v>
      </c>
      <c r="AJ5">
        <f>SUM(Table2[[#This Row],[OTW]],Table2[[#This Row],[OTL]],Table2[[#This Row],[SOW]],Table2[[#This Row],[SOL]])</f>
        <v>0</v>
      </c>
      <c r="AK5" s="36">
        <f>(Table2[[#This Row],[OTW]]+Table2[[#This Row],[SOW]])/IF(Table2[[#This Row],[Total_ExtraTimes]]=0,1,Table2[[#This Row],[Total_ExtraTimes]])</f>
        <v>0</v>
      </c>
      <c r="AL5" s="36">
        <f>Table2[[#This Row],[Total_ExtraTimes]]/MAX(1,Table2[[#This Row],[GP]])</f>
        <v>0</v>
      </c>
      <c r="AM5">
        <f>(2*(Table2[[#This Row],[W_A]]+Table2[[#This Row],[W_H]]))+Table2[[#This Row],[OTL_A]]+Table2[[#This Row],[SOL_A]]+Table2[[#This Row],[OTL_H]]+Table2[[#This Row],[SOL_H]]</f>
        <v>0</v>
      </c>
      <c r="AN5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0</v>
      </c>
      <c r="AO5">
        <f>Table2[[#This Row],[PTS]]/(2*Table2[[#This Row],[GP]])</f>
        <v>0</v>
      </c>
      <c r="AP5">
        <f>Table2[[#This Row],[PTS]]/(3*Table2[[#This Row],[GP]])</f>
        <v>0</v>
      </c>
      <c r="AQ5">
        <f>(2*Table2[[#This Row],[GR]])+Table2[[#This Row],[PTS]]</f>
        <v>166</v>
      </c>
      <c r="AR5">
        <f>(3*Table2[[#This Row],[GR]])+Table2[[#This Row],[PTS]]</f>
        <v>249</v>
      </c>
      <c r="AS5">
        <f>Table2[[#This Row],[PTS]]+(2 * Table2[[#This Row],[GR]] * Table2[[#This Row],[PTS%]])</f>
        <v>0</v>
      </c>
      <c r="AT5">
        <f>Table2[[#This Row],[PTS]]+(3 * Table2[[#This Row],[GR]] * Table2[[#This Row],[PTS%]])</f>
        <v>0</v>
      </c>
      <c r="AU5" t="str">
        <f>_xlfn.CONCAT(TEXT(Table2[[#This Row],[W]], "0"), "-", TEXT(Table2[[#This Row],[RL]],"0"), "-", TEXT(Table2[[#This Row],[OTL]]+Table2[[#This Row],[SOL]], "0"))</f>
        <v>0-1-0</v>
      </c>
      <c r="AV5">
        <f>SUMIF(Table1[AwayTeam], Table2[[#This Row],[Team]], Table1[ActualAwayScore])</f>
        <v>0</v>
      </c>
      <c r="AW5">
        <f>SUMIF(Table1[AwayTeam], Table2[[#This Row],[Team]], Table1[ActualHomeScore])</f>
        <v>0</v>
      </c>
      <c r="AX5">
        <f>Table2[[#This Row],[GF_A]]-Table2[[#This Row],[GA_A]]</f>
        <v>0</v>
      </c>
      <c r="AY5">
        <f>SUMIF(Table1[HomeTeam], Table2[[#This Row],[Team]], Table1[ActualHomeScore])</f>
        <v>3</v>
      </c>
      <c r="AZ5">
        <f>SUMIF(Table1[HomeTeam], Table2[[#This Row],[Team]], Table1[ActualAwayScore])</f>
        <v>4</v>
      </c>
      <c r="BA5">
        <f>Table2[[#This Row],[GF_H]]-Table2[[#This Row],[GA_H]]</f>
        <v>-1</v>
      </c>
      <c r="BB5">
        <f>SUMIFS(Table1[ActualAwayScore], Table1[AwayTeam], Table2[[#This Row],[Team]], Table1[AwayWon],1)+SUMIFS(Table1[ActualHomeScore], Table1[HomeTeam], Table2[[#This Row],[Team]], Table1[HomeWon],1)</f>
        <v>0</v>
      </c>
      <c r="BC5">
        <f>SUMIFS(Table1[ActualAwayScore], Table1[AwayTeam], Table2[[#This Row],[Team]], Table1[AwayWon],0) + SUMIFS(Table1[ActualHomeScore], Table1[HomeTeam], Table2[[#This Row],[Team]], Table1[HomeWon],0)</f>
        <v>3</v>
      </c>
      <c r="BD5">
        <f>Table2[[#This Row],[GF_W]]-Table2[[#This Row],[GF_L]]</f>
        <v>-3</v>
      </c>
      <c r="BE5">
        <f>Table2[[#This Row],[GF_A]]+Table2[[#This Row],[GF_H]]</f>
        <v>3</v>
      </c>
      <c r="BF5">
        <f>Table2[[#This Row],[GA_A]]+Table2[[#This Row],[GA_H]]</f>
        <v>4</v>
      </c>
      <c r="BG5">
        <f>Table2[[#This Row],[GF]]-Table2[[#This Row],[GA]]</f>
        <v>-1</v>
      </c>
      <c r="BH5">
        <f>Table2[[#This Row],[GF]]/Table2[[#This Row],[GP]]</f>
        <v>3</v>
      </c>
      <c r="BI5">
        <f>Table2[[#This Row],[GA]]/Table2[[#This Row],[GP]]</f>
        <v>4</v>
      </c>
      <c r="BJ5">
        <f>Table2[[#This Row],[GFPG]]-Table2[[#This Row],[GAPG]]</f>
        <v>-1</v>
      </c>
      <c r="BK5" t="str">
        <f>_xlfn.CONCAT(TEXT(Table2[[#This Row],[W_A]], "0"), "-", TEXT(Table2[[#This Row],[RL_A]],"0"), "-", TEXT(Table2[[#This Row],[OTL_A]]+Table2[[#This Row],[SOL_A]], "0"))</f>
        <v>0-0-0</v>
      </c>
      <c r="BL5" t="str">
        <f>_xlfn.CONCAT(TEXT(Table2[[#This Row],[W_H]], "0"), "-", TEXT(Table2[[#This Row],[RL_H]],"0"), "-", TEXT(Table2[[#This Row],[OTL_H]]+Table2[[#This Row],[SOL_H]], "0"))</f>
        <v>0-1-0</v>
      </c>
    </row>
    <row r="6" spans="1:64" x14ac:dyDescent="0.25">
      <c r="A6" t="s">
        <v>40</v>
      </c>
      <c r="B6" t="s">
        <v>63</v>
      </c>
      <c r="C6" t="s">
        <v>65</v>
      </c>
      <c r="D6">
        <f>COUNTIFS(Table1[AwayTeam],Table2[[#This Row],[Team]],Table1[GameIsOver], 1, Table1[WatchedGame],1) + COUNTIFS(Table1[HomeTeam],Table2[[#This Row],[Team]],Table1[GameIsOver],1,Table1[WatchedGame],1)</f>
        <v>1</v>
      </c>
      <c r="F6">
        <f>COUNTIFS(Table1[AwayTeam],Table2[[#This Row],[Team]], Table1[GameIsOver],1)</f>
        <v>0</v>
      </c>
      <c r="G6">
        <f>COUNTIFS(Table1[HomeTeam],Table2[[#This Row],[Team]], Table1[GameIsOver],1)</f>
        <v>2</v>
      </c>
      <c r="H6">
        <f>Table2[[#This Row],[GP_A]]+Table2[[#This Row],[GP_H]]</f>
        <v>2</v>
      </c>
      <c r="I6">
        <f>84-Table2[[#This Row],[GP]]</f>
        <v>82</v>
      </c>
      <c r="J6">
        <f>COUNTIFS(Table1[AwayTeam], Table2[[#This Row],[Team]], Table1[GameIsOver], 1, Table1[AwayWon],1)</f>
        <v>0</v>
      </c>
      <c r="K6">
        <f>COUNTIFS(Table1[AwayTeam], Table2[[#This Row],[Team]], Table1[GameIsOver], 1, Table1[AwayWon],1, Table1[ActualResult], "REG")</f>
        <v>0</v>
      </c>
      <c r="L6">
        <f>COUNTIFS(Table1[AwayTeam], Table2[[#This Row],[Team]], Table1[GameIsOver], 1, Table1[AwayWon],1, Table1[ActualResult], "OT")</f>
        <v>0</v>
      </c>
      <c r="M6">
        <f>COUNTIFS(Table1[AwayTeam], Table2[[#This Row],[Team]], Table1[GameIsOver], 1, Table1[AwayWon],1, Table1[ActualResult], "SO")</f>
        <v>0</v>
      </c>
      <c r="N6">
        <f>COUNTIFS(Table1[AwayTeam], Table2[[#This Row],[Team]], Table1[GameIsOver], 1, Table1[AwayWon],0)</f>
        <v>0</v>
      </c>
      <c r="O6">
        <f>COUNTIFS(Table1[AwayTeam], Table2[[#This Row],[Team]], Table1[GameIsOver], 1, Table1[AwayWon],0, Table1[ActualResult], "REG")</f>
        <v>0</v>
      </c>
      <c r="P6">
        <f>COUNTIFS(Table1[AwayTeam], Table2[[#This Row],[Team]], Table1[GameIsOver], 1, Table1[AwayWon],0, Table1[ActualResult], "OT")</f>
        <v>0</v>
      </c>
      <c r="Q6">
        <f>COUNTIFS(Table1[AwayTeam], Table2[[#This Row],[Team]], Table1[GameIsOver], 1, Table1[AwayWon],0, Table1[ActualResult], "SO")</f>
        <v>0</v>
      </c>
      <c r="R6">
        <f>COUNTIFS(Table1[HomeTeam], Table2[[#This Row],[Team]], Table1[GameIsOver], 1, Table1[HomeWon],1)</f>
        <v>1</v>
      </c>
      <c r="S6">
        <f>COUNTIFS(Table1[HomeTeam], Table2[[#This Row],[Team]], Table1[GameIsOver], 1, Table1[HomeWon],1, Table1[ActualResult], "REG")</f>
        <v>1</v>
      </c>
      <c r="T6">
        <f>COUNTIFS(Table1[HomeTeam], Table2[[#This Row],[Team]], Table1[GameIsOver], 1, Table1[HomeWon],1, Table1[ActualResult], "OT")</f>
        <v>0</v>
      </c>
      <c r="U6">
        <f>COUNTIFS(Table1[HomeTeam], Table2[[#This Row],[Team]], Table1[GameIsOver], 1, Table1[HomeWon],1, Table1[ActualResult], "SO")</f>
        <v>0</v>
      </c>
      <c r="V6">
        <f>COUNTIFS(Table1[HomeTeam], Table2[[#This Row],[Team]], Table1[GameIsOver], 1, Table1[HomeWon],0)</f>
        <v>1</v>
      </c>
      <c r="W6">
        <f>COUNTIFS(Table1[HomeTeam], Table2[[#This Row],[Team]], Table1[GameIsOver], 1, Table1[HomeWon],0, Table1[ActualResult], "REG")</f>
        <v>1</v>
      </c>
      <c r="X6">
        <f>COUNTIFS(Table1[HomeTeam], Table2[[#This Row],[Team]], Table1[GameIsOver], 1, Table1[HomeWon],0, Table1[ActualResult], "OT")</f>
        <v>0</v>
      </c>
      <c r="Y6">
        <f>COUNTIFS(Table1[HomeTeam], Table2[[#This Row],[Team]], Table1[GameIsOver], 1, Table1[HomeWon],0, Table1[ActualResult], "SO")</f>
        <v>0</v>
      </c>
      <c r="Z6" s="36">
        <f>Table2[[#This Row],[W]]/MAX(1,Table2[[#This Row],[W]]+Table2[[#This Row],[L]])</f>
        <v>0.5</v>
      </c>
      <c r="AA6">
        <f>Table2[[#This Row],[W_A]]+Table2[[#This Row],[W_H]]</f>
        <v>1</v>
      </c>
      <c r="AB6">
        <f>Table2[[#This Row],[L_A]]+Table2[[#This Row],[L_H]]</f>
        <v>1</v>
      </c>
      <c r="AC6">
        <f>Table2[RW_A]+Table2[RW_H]</f>
        <v>1</v>
      </c>
      <c r="AD6">
        <f>Table2[RL_A]+Table2[RL_H]</f>
        <v>1</v>
      </c>
      <c r="AE6">
        <f>Table2[OTW_A]+Table2[OTW_H]</f>
        <v>0</v>
      </c>
      <c r="AF6">
        <f>Table2[OTL_A]+Table2[OTL_H]</f>
        <v>0</v>
      </c>
      <c r="AG6">
        <f>Table2[SOW_A]+Table2[SOW_H]</f>
        <v>0</v>
      </c>
      <c r="AH6">
        <f>Table2[SOL_A]+Table2[SOL_H]</f>
        <v>0</v>
      </c>
      <c r="AI6" t="str">
        <f>_xlfn.CONCAT(TEXT(Table2[[#This Row],[OTW]]+Table2[[#This Row],[SOW]], "0"), "-", TEXT(Table2[[#This Row],[OTL]]+Table2[[#This Row],[SOL]],"0"))</f>
        <v>0-0</v>
      </c>
      <c r="AJ6">
        <f>SUM(Table2[[#This Row],[OTW]],Table2[[#This Row],[OTL]],Table2[[#This Row],[SOW]],Table2[[#This Row],[SOL]])</f>
        <v>0</v>
      </c>
      <c r="AK6" s="36">
        <f>(Table2[[#This Row],[OTW]]+Table2[[#This Row],[SOW]])/IF(Table2[[#This Row],[Total_ExtraTimes]]=0,1,Table2[[#This Row],[Total_ExtraTimes]])</f>
        <v>0</v>
      </c>
      <c r="AL6" s="36">
        <f>Table2[[#This Row],[Total_ExtraTimes]]/MAX(1,Table2[[#This Row],[GP]])</f>
        <v>0</v>
      </c>
      <c r="AM6">
        <f>(2*(Table2[[#This Row],[W_A]]+Table2[[#This Row],[W_H]]))+Table2[[#This Row],[OTL_A]]+Table2[[#This Row],[SOL_A]]+Table2[[#This Row],[OTL_H]]+Table2[[#This Row],[SOL_H]]</f>
        <v>2</v>
      </c>
      <c r="AN6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3</v>
      </c>
      <c r="AO6">
        <f>Table2[[#This Row],[PTS]]/(2*Table2[[#This Row],[GP]])</f>
        <v>0.5</v>
      </c>
      <c r="AP6">
        <f>Table2[[#This Row],[PTS]]/(3*Table2[[#This Row],[GP]])</f>
        <v>0.33333333333333331</v>
      </c>
      <c r="AQ6">
        <f>(2*Table2[[#This Row],[GR]])+Table2[[#This Row],[PTS]]</f>
        <v>166</v>
      </c>
      <c r="AR6">
        <f>(3*Table2[[#This Row],[GR]])+Table2[[#This Row],[PTS]]</f>
        <v>248</v>
      </c>
      <c r="AS6">
        <f>Table2[[#This Row],[PTS]]+(2 * Table2[[#This Row],[GR]] * Table2[[#This Row],[PTS%]])</f>
        <v>84</v>
      </c>
      <c r="AT6">
        <f>Table2[[#This Row],[PTS]]+(3 * Table2[[#This Row],[GR]] * Table2[[#This Row],[PTS%]])</f>
        <v>125</v>
      </c>
      <c r="AU6" t="str">
        <f>_xlfn.CONCAT(TEXT(Table2[[#This Row],[W]], "0"), "-", TEXT(Table2[[#This Row],[RL]],"0"), "-", TEXT(Table2[[#This Row],[OTL]]+Table2[[#This Row],[SOL]], "0"))</f>
        <v>1-1-0</v>
      </c>
      <c r="AV6">
        <f>SUMIF(Table1[AwayTeam], Table2[[#This Row],[Team]], Table1[ActualAwayScore])</f>
        <v>0</v>
      </c>
      <c r="AW6">
        <f>SUMIF(Table1[AwayTeam], Table2[[#This Row],[Team]], Table1[ActualHomeScore])</f>
        <v>0</v>
      </c>
      <c r="AX6">
        <f>Table2[[#This Row],[GF_A]]-Table2[[#This Row],[GA_A]]</f>
        <v>0</v>
      </c>
      <c r="AY6">
        <f>SUMIF(Table1[HomeTeam], Table2[[#This Row],[Team]], Table1[ActualHomeScore])</f>
        <v>7</v>
      </c>
      <c r="AZ6">
        <f>SUMIF(Table1[HomeTeam], Table2[[#This Row],[Team]], Table1[ActualAwayScore])</f>
        <v>9</v>
      </c>
      <c r="BA6">
        <f>Table2[[#This Row],[GF_H]]-Table2[[#This Row],[GA_H]]</f>
        <v>-2</v>
      </c>
      <c r="BB6">
        <f>SUMIFS(Table1[ActualAwayScore], Table1[AwayTeam], Table2[[#This Row],[Team]], Table1[AwayWon],1)+SUMIFS(Table1[ActualHomeScore], Table1[HomeTeam], Table2[[#This Row],[Team]], Table1[HomeWon],1)</f>
        <v>4</v>
      </c>
      <c r="BC6">
        <f>SUMIFS(Table1[ActualAwayScore], Table1[AwayTeam], Table2[[#This Row],[Team]], Table1[AwayWon],0) + SUMIFS(Table1[ActualHomeScore], Table1[HomeTeam], Table2[[#This Row],[Team]], Table1[HomeWon],0)</f>
        <v>3</v>
      </c>
      <c r="BD6">
        <f>Table2[[#This Row],[GF_W]]-Table2[[#This Row],[GF_L]]</f>
        <v>1</v>
      </c>
      <c r="BE6">
        <f>Table2[[#This Row],[GF_A]]+Table2[[#This Row],[GF_H]]</f>
        <v>7</v>
      </c>
      <c r="BF6">
        <f>Table2[[#This Row],[GA_A]]+Table2[[#This Row],[GA_H]]</f>
        <v>9</v>
      </c>
      <c r="BG6">
        <f>Table2[[#This Row],[GF]]-Table2[[#This Row],[GA]]</f>
        <v>-2</v>
      </c>
      <c r="BH6">
        <f>Table2[[#This Row],[GF]]/Table2[[#This Row],[GP]]</f>
        <v>3.5</v>
      </c>
      <c r="BI6">
        <f>Table2[[#This Row],[GA]]/Table2[[#This Row],[GP]]</f>
        <v>4.5</v>
      </c>
      <c r="BJ6">
        <f>Table2[[#This Row],[GFPG]]-Table2[[#This Row],[GAPG]]</f>
        <v>-1</v>
      </c>
      <c r="BK6" t="str">
        <f>_xlfn.CONCAT(TEXT(Table2[[#This Row],[W_A]], "0"), "-", TEXT(Table2[[#This Row],[RL_A]],"0"), "-", TEXT(Table2[[#This Row],[OTL_A]]+Table2[[#This Row],[SOL_A]], "0"))</f>
        <v>0-0-0</v>
      </c>
      <c r="BL6" t="str">
        <f>_xlfn.CONCAT(TEXT(Table2[[#This Row],[W_H]], "0"), "-", TEXT(Table2[[#This Row],[RL_H]],"0"), "-", TEXT(Table2[[#This Row],[OTL_H]]+Table2[[#This Row],[SOL_H]], "0"))</f>
        <v>1-1-0</v>
      </c>
    </row>
    <row r="7" spans="1:64" x14ac:dyDescent="0.25">
      <c r="A7" t="s">
        <v>16</v>
      </c>
      <c r="B7" t="s">
        <v>62</v>
      </c>
      <c r="C7" t="s">
        <v>64</v>
      </c>
      <c r="D7">
        <f>COUNTIFS(Table1[AwayTeam],Table2[[#This Row],[Team]],Table1[GameIsOver], 1, Table1[WatchedGame],1) + COUNTIFS(Table1[HomeTeam],Table2[[#This Row],[Team]],Table1[GameIsOver],1,Table1[WatchedGame],1)</f>
        <v>0</v>
      </c>
      <c r="F7">
        <f>COUNTIFS(Table1[AwayTeam],Table2[[#This Row],[Team]], Table1[GameIsOver],1)</f>
        <v>2</v>
      </c>
      <c r="G7">
        <f>COUNTIFS(Table1[HomeTeam],Table2[[#This Row],[Team]], Table1[GameIsOver],1)</f>
        <v>0</v>
      </c>
      <c r="H7">
        <f>Table2[[#This Row],[GP_A]]+Table2[[#This Row],[GP_H]]</f>
        <v>2</v>
      </c>
      <c r="I7">
        <f>84-Table2[[#This Row],[GP]]</f>
        <v>82</v>
      </c>
      <c r="J7">
        <f>COUNTIFS(Table1[AwayTeam], Table2[[#This Row],[Team]], Table1[GameIsOver], 1, Table1[AwayWon],1)</f>
        <v>1</v>
      </c>
      <c r="K7">
        <f>COUNTIFS(Table1[AwayTeam], Table2[[#This Row],[Team]], Table1[GameIsOver], 1, Table1[AwayWon],1, Table1[ActualResult], "REG")</f>
        <v>0</v>
      </c>
      <c r="L7">
        <f>COUNTIFS(Table1[AwayTeam], Table2[[#This Row],[Team]], Table1[GameIsOver], 1, Table1[AwayWon],1, Table1[ActualResult], "OT")</f>
        <v>0</v>
      </c>
      <c r="M7">
        <f>COUNTIFS(Table1[AwayTeam], Table2[[#This Row],[Team]], Table1[GameIsOver], 1, Table1[AwayWon],1, Table1[ActualResult], "SO")</f>
        <v>1</v>
      </c>
      <c r="N7">
        <f>COUNTIFS(Table1[AwayTeam], Table2[[#This Row],[Team]], Table1[GameIsOver], 1, Table1[AwayWon],0)</f>
        <v>1</v>
      </c>
      <c r="O7">
        <f>COUNTIFS(Table1[AwayTeam], Table2[[#This Row],[Team]], Table1[GameIsOver], 1, Table1[AwayWon],0, Table1[ActualResult], "REG")</f>
        <v>0</v>
      </c>
      <c r="P7">
        <f>COUNTIFS(Table1[AwayTeam], Table2[[#This Row],[Team]], Table1[GameIsOver], 1, Table1[AwayWon],0, Table1[ActualResult], "OT")</f>
        <v>0</v>
      </c>
      <c r="Q7">
        <f>COUNTIFS(Table1[AwayTeam], Table2[[#This Row],[Team]], Table1[GameIsOver], 1, Table1[AwayWon],0, Table1[ActualResult], "SO")</f>
        <v>1</v>
      </c>
      <c r="R7">
        <f>COUNTIFS(Table1[HomeTeam], Table2[[#This Row],[Team]], Table1[GameIsOver], 1, Table1[HomeWon],1)</f>
        <v>0</v>
      </c>
      <c r="S7">
        <f>COUNTIFS(Table1[HomeTeam], Table2[[#This Row],[Team]], Table1[GameIsOver], 1, Table1[HomeWon],1, Table1[ActualResult], "REG")</f>
        <v>0</v>
      </c>
      <c r="T7">
        <f>COUNTIFS(Table1[HomeTeam], Table2[[#This Row],[Team]], Table1[GameIsOver], 1, Table1[HomeWon],1, Table1[ActualResult], "OT")</f>
        <v>0</v>
      </c>
      <c r="U7">
        <f>COUNTIFS(Table1[HomeTeam], Table2[[#This Row],[Team]], Table1[GameIsOver], 1, Table1[HomeWon],1, Table1[ActualResult], "SO")</f>
        <v>0</v>
      </c>
      <c r="V7">
        <f>COUNTIFS(Table1[HomeTeam], Table2[[#This Row],[Team]], Table1[GameIsOver], 1, Table1[HomeWon],0)</f>
        <v>0</v>
      </c>
      <c r="W7">
        <f>COUNTIFS(Table1[HomeTeam], Table2[[#This Row],[Team]], Table1[GameIsOver], 1, Table1[HomeWon],0, Table1[ActualResult], "REG")</f>
        <v>0</v>
      </c>
      <c r="X7">
        <f>COUNTIFS(Table1[HomeTeam], Table2[[#This Row],[Team]], Table1[GameIsOver], 1, Table1[HomeWon],0, Table1[ActualResult], "OT")</f>
        <v>0</v>
      </c>
      <c r="Y7">
        <f>COUNTIFS(Table1[HomeTeam], Table2[[#This Row],[Team]], Table1[GameIsOver], 1, Table1[HomeWon],0, Table1[ActualResult], "SO")</f>
        <v>0</v>
      </c>
      <c r="Z7" s="36">
        <f>Table2[[#This Row],[W]]/MAX(1,Table2[[#This Row],[W]]+Table2[[#This Row],[L]])</f>
        <v>0.5</v>
      </c>
      <c r="AA7">
        <f>Table2[[#This Row],[W_A]]+Table2[[#This Row],[W_H]]</f>
        <v>1</v>
      </c>
      <c r="AB7">
        <f>Table2[[#This Row],[L_A]]+Table2[[#This Row],[L_H]]</f>
        <v>1</v>
      </c>
      <c r="AC7">
        <f>Table2[RW_A]+Table2[RW_H]</f>
        <v>0</v>
      </c>
      <c r="AD7">
        <f>Table2[RL_A]+Table2[RL_H]</f>
        <v>0</v>
      </c>
      <c r="AE7">
        <f>Table2[OTW_A]+Table2[OTW_H]</f>
        <v>0</v>
      </c>
      <c r="AF7">
        <f>Table2[OTL_A]+Table2[OTL_H]</f>
        <v>0</v>
      </c>
      <c r="AG7">
        <f>Table2[SOW_A]+Table2[SOW_H]</f>
        <v>1</v>
      </c>
      <c r="AH7">
        <f>Table2[SOL_A]+Table2[SOL_H]</f>
        <v>1</v>
      </c>
      <c r="AI7" t="str">
        <f>_xlfn.CONCAT(TEXT(Table2[[#This Row],[OTW]]+Table2[[#This Row],[SOW]], "0"), "-", TEXT(Table2[[#This Row],[OTL]]+Table2[[#This Row],[SOL]],"0"))</f>
        <v>1-1</v>
      </c>
      <c r="AJ7">
        <f>SUM(Table2[[#This Row],[OTW]],Table2[[#This Row],[OTL]],Table2[[#This Row],[SOW]],Table2[[#This Row],[SOL]])</f>
        <v>2</v>
      </c>
      <c r="AK7" s="36">
        <f>(Table2[[#This Row],[OTW]]+Table2[[#This Row],[SOW]])/IF(Table2[[#This Row],[Total_ExtraTimes]]=0,1,Table2[[#This Row],[Total_ExtraTimes]])</f>
        <v>0.5</v>
      </c>
      <c r="AL7" s="36">
        <f>Table2[[#This Row],[Total_ExtraTimes]]/MAX(1,Table2[[#This Row],[GP]])</f>
        <v>1</v>
      </c>
      <c r="AM7">
        <f>(2*(Table2[[#This Row],[W_A]]+Table2[[#This Row],[W_H]]))+Table2[[#This Row],[OTL_A]]+Table2[[#This Row],[SOL_A]]+Table2[[#This Row],[OTL_H]]+Table2[[#This Row],[SOL_H]]</f>
        <v>3</v>
      </c>
      <c r="AN7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3</v>
      </c>
      <c r="AO7">
        <f>Table2[[#This Row],[PTS]]/(2*Table2[[#This Row],[GP]])</f>
        <v>0.75</v>
      </c>
      <c r="AP7">
        <f>Table2[[#This Row],[PTS]]/(3*Table2[[#This Row],[GP]])</f>
        <v>0.5</v>
      </c>
      <c r="AQ7">
        <f>(2*Table2[[#This Row],[GR]])+Table2[[#This Row],[PTS]]</f>
        <v>167</v>
      </c>
      <c r="AR7">
        <f>(3*Table2[[#This Row],[GR]])+Table2[[#This Row],[PTS]]</f>
        <v>249</v>
      </c>
      <c r="AS7">
        <f>Table2[[#This Row],[PTS]]+(2 * Table2[[#This Row],[GR]] * Table2[[#This Row],[PTS%]])</f>
        <v>126</v>
      </c>
      <c r="AT7">
        <f>Table2[[#This Row],[PTS]]+(3 * Table2[[#This Row],[GR]] * Table2[[#This Row],[PTS%]])</f>
        <v>187.5</v>
      </c>
      <c r="AU7" t="str">
        <f>_xlfn.CONCAT(TEXT(Table2[[#This Row],[W]], "0"), "-", TEXT(Table2[[#This Row],[RL]],"0"), "-", TEXT(Table2[[#This Row],[OTL]]+Table2[[#This Row],[SOL]], "0"))</f>
        <v>1-0-1</v>
      </c>
      <c r="AV7">
        <f>SUMIF(Table1[AwayTeam], Table2[[#This Row],[Team]], Table1[ActualAwayScore])</f>
        <v>6</v>
      </c>
      <c r="AW7">
        <f>SUMIF(Table1[AwayTeam], Table2[[#This Row],[Team]], Table1[ActualHomeScore])</f>
        <v>6</v>
      </c>
      <c r="AX7">
        <f>Table2[[#This Row],[GF_A]]-Table2[[#This Row],[GA_A]]</f>
        <v>0</v>
      </c>
      <c r="AY7">
        <f>SUMIF(Table1[HomeTeam], Table2[[#This Row],[Team]], Table1[ActualHomeScore])</f>
        <v>0</v>
      </c>
      <c r="AZ7">
        <f>SUMIF(Table1[HomeTeam], Table2[[#This Row],[Team]], Table1[ActualAwayScore])</f>
        <v>0</v>
      </c>
      <c r="BA7">
        <f>Table2[[#This Row],[GF_H]]-Table2[[#This Row],[GA_H]]</f>
        <v>0</v>
      </c>
      <c r="BB7">
        <f>SUMIFS(Table1[ActualAwayScore], Table1[AwayTeam], Table2[[#This Row],[Team]], Table1[AwayWon],1)+SUMIFS(Table1[ActualHomeScore], Table1[HomeTeam], Table2[[#This Row],[Team]], Table1[HomeWon],1)</f>
        <v>4</v>
      </c>
      <c r="BC7">
        <f>SUMIFS(Table1[ActualAwayScore], Table1[AwayTeam], Table2[[#This Row],[Team]], Table1[AwayWon],0) + SUMIFS(Table1[ActualHomeScore], Table1[HomeTeam], Table2[[#This Row],[Team]], Table1[HomeWon],0)</f>
        <v>2</v>
      </c>
      <c r="BD7">
        <f>Table2[[#This Row],[GF_W]]-Table2[[#This Row],[GF_L]]</f>
        <v>2</v>
      </c>
      <c r="BE7">
        <f>Table2[[#This Row],[GF_A]]+Table2[[#This Row],[GF_H]]</f>
        <v>6</v>
      </c>
      <c r="BF7">
        <f>Table2[[#This Row],[GA_A]]+Table2[[#This Row],[GA_H]]</f>
        <v>6</v>
      </c>
      <c r="BG7">
        <f>Table2[[#This Row],[GF]]-Table2[[#This Row],[GA]]</f>
        <v>0</v>
      </c>
      <c r="BH7">
        <f>Table2[[#This Row],[GF]]/Table2[[#This Row],[GP]]</f>
        <v>3</v>
      </c>
      <c r="BI7">
        <f>Table2[[#This Row],[GA]]/Table2[[#This Row],[GP]]</f>
        <v>3</v>
      </c>
      <c r="BJ7">
        <f>Table2[[#This Row],[GFPG]]-Table2[[#This Row],[GAPG]]</f>
        <v>0</v>
      </c>
      <c r="BK7" t="str">
        <f>_xlfn.CONCAT(TEXT(Table2[[#This Row],[W_A]], "0"), "-", TEXT(Table2[[#This Row],[RL_A]],"0"), "-", TEXT(Table2[[#This Row],[OTL_A]]+Table2[[#This Row],[SOL_A]], "0"))</f>
        <v>1-0-1</v>
      </c>
      <c r="BL7" t="str">
        <f>_xlfn.CONCAT(TEXT(Table2[[#This Row],[W_H]], "0"), "-", TEXT(Table2[[#This Row],[RL_H]],"0"), "-", TEXT(Table2[[#This Row],[OTL_H]]+Table2[[#This Row],[SOL_H]], "0"))</f>
        <v>0-0-0</v>
      </c>
    </row>
    <row r="8" spans="1:64" x14ac:dyDescent="0.25">
      <c r="A8" t="s">
        <v>41</v>
      </c>
      <c r="B8" t="s">
        <v>62</v>
      </c>
      <c r="C8" t="s">
        <v>64</v>
      </c>
      <c r="D8">
        <f>COUNTIFS(Table1[AwayTeam],Table2[[#This Row],[Team]],Table1[GameIsOver], 1, Table1[WatchedGame],1) + COUNTIFS(Table1[HomeTeam],Table2[[#This Row],[Team]],Table1[GameIsOver],1,Table1[WatchedGame],1)</f>
        <v>0</v>
      </c>
      <c r="F8">
        <f>COUNTIFS(Table1[AwayTeam],Table2[[#This Row],[Team]], Table1[GameIsOver],1)</f>
        <v>0</v>
      </c>
      <c r="G8">
        <f>COUNTIFS(Table1[HomeTeam],Table2[[#This Row],[Team]], Table1[GameIsOver],1)</f>
        <v>1</v>
      </c>
      <c r="H8">
        <f>Table2[[#This Row],[GP_A]]+Table2[[#This Row],[GP_H]]</f>
        <v>1</v>
      </c>
      <c r="I8">
        <f>84-Table2[[#This Row],[GP]]</f>
        <v>83</v>
      </c>
      <c r="J8">
        <f>COUNTIFS(Table1[AwayTeam], Table2[[#This Row],[Team]], Table1[GameIsOver], 1, Table1[AwayWon],1)</f>
        <v>0</v>
      </c>
      <c r="K8">
        <f>COUNTIFS(Table1[AwayTeam], Table2[[#This Row],[Team]], Table1[GameIsOver], 1, Table1[AwayWon],1, Table1[ActualResult], "REG")</f>
        <v>0</v>
      </c>
      <c r="L8">
        <f>COUNTIFS(Table1[AwayTeam], Table2[[#This Row],[Team]], Table1[GameIsOver], 1, Table1[AwayWon],1, Table1[ActualResult], "OT")</f>
        <v>0</v>
      </c>
      <c r="M8">
        <f>COUNTIFS(Table1[AwayTeam], Table2[[#This Row],[Team]], Table1[GameIsOver], 1, Table1[AwayWon],1, Table1[ActualResult], "SO")</f>
        <v>0</v>
      </c>
      <c r="N8">
        <f>COUNTIFS(Table1[AwayTeam], Table2[[#This Row],[Team]], Table1[GameIsOver], 1, Table1[AwayWon],0)</f>
        <v>0</v>
      </c>
      <c r="O8">
        <f>COUNTIFS(Table1[AwayTeam], Table2[[#This Row],[Team]], Table1[GameIsOver], 1, Table1[AwayWon],0, Table1[ActualResult], "REG")</f>
        <v>0</v>
      </c>
      <c r="P8">
        <f>COUNTIFS(Table1[AwayTeam], Table2[[#This Row],[Team]], Table1[GameIsOver], 1, Table1[AwayWon],0, Table1[ActualResult], "OT")</f>
        <v>0</v>
      </c>
      <c r="Q8">
        <f>COUNTIFS(Table1[AwayTeam], Table2[[#This Row],[Team]], Table1[GameIsOver], 1, Table1[AwayWon],0, Table1[ActualResult], "SO")</f>
        <v>0</v>
      </c>
      <c r="R8">
        <f>COUNTIFS(Table1[HomeTeam], Table2[[#This Row],[Team]], Table1[GameIsOver], 1, Table1[HomeWon],1)</f>
        <v>0</v>
      </c>
      <c r="S8">
        <f>COUNTIFS(Table1[HomeTeam], Table2[[#This Row],[Team]], Table1[GameIsOver], 1, Table1[HomeWon],1, Table1[ActualResult], "REG")</f>
        <v>0</v>
      </c>
      <c r="T8">
        <f>COUNTIFS(Table1[HomeTeam], Table2[[#This Row],[Team]], Table1[GameIsOver], 1, Table1[HomeWon],1, Table1[ActualResult], "OT")</f>
        <v>0</v>
      </c>
      <c r="U8">
        <f>COUNTIFS(Table1[HomeTeam], Table2[[#This Row],[Team]], Table1[GameIsOver], 1, Table1[HomeWon],1, Table1[ActualResult], "SO")</f>
        <v>0</v>
      </c>
      <c r="V8">
        <f>COUNTIFS(Table1[HomeTeam], Table2[[#This Row],[Team]], Table1[GameIsOver], 1, Table1[HomeWon],0)</f>
        <v>1</v>
      </c>
      <c r="W8">
        <f>COUNTIFS(Table1[HomeTeam], Table2[[#This Row],[Team]], Table1[GameIsOver], 1, Table1[HomeWon],0, Table1[ActualResult], "REG")</f>
        <v>0</v>
      </c>
      <c r="X8">
        <f>COUNTIFS(Table1[HomeTeam], Table2[[#This Row],[Team]], Table1[GameIsOver], 1, Table1[HomeWon],0, Table1[ActualResult], "OT")</f>
        <v>1</v>
      </c>
      <c r="Y8">
        <f>COUNTIFS(Table1[HomeTeam], Table2[[#This Row],[Team]], Table1[GameIsOver], 1, Table1[HomeWon],0, Table1[ActualResult], "SO")</f>
        <v>0</v>
      </c>
      <c r="Z8" s="36">
        <f>Table2[[#This Row],[W]]/MAX(1,Table2[[#This Row],[W]]+Table2[[#This Row],[L]])</f>
        <v>0</v>
      </c>
      <c r="AA8">
        <f>Table2[[#This Row],[W_A]]+Table2[[#This Row],[W_H]]</f>
        <v>0</v>
      </c>
      <c r="AB8">
        <f>Table2[[#This Row],[L_A]]+Table2[[#This Row],[L_H]]</f>
        <v>1</v>
      </c>
      <c r="AC8">
        <f>Table2[RW_A]+Table2[RW_H]</f>
        <v>0</v>
      </c>
      <c r="AD8">
        <f>Table2[RL_A]+Table2[RL_H]</f>
        <v>0</v>
      </c>
      <c r="AE8">
        <f>Table2[OTW_A]+Table2[OTW_H]</f>
        <v>0</v>
      </c>
      <c r="AF8">
        <f>Table2[OTL_A]+Table2[OTL_H]</f>
        <v>1</v>
      </c>
      <c r="AG8">
        <f>Table2[SOW_A]+Table2[SOW_H]</f>
        <v>0</v>
      </c>
      <c r="AH8">
        <f>Table2[SOL_A]+Table2[SOL_H]</f>
        <v>0</v>
      </c>
      <c r="AI8" t="str">
        <f>_xlfn.CONCAT(TEXT(Table2[[#This Row],[OTW]]+Table2[[#This Row],[SOW]], "0"), "-", TEXT(Table2[[#This Row],[OTL]]+Table2[[#This Row],[SOL]],"0"))</f>
        <v>0-1</v>
      </c>
      <c r="AJ8">
        <f>SUM(Table2[[#This Row],[OTW]],Table2[[#This Row],[OTL]],Table2[[#This Row],[SOW]],Table2[[#This Row],[SOL]])</f>
        <v>1</v>
      </c>
      <c r="AK8" s="36">
        <f>(Table2[[#This Row],[OTW]]+Table2[[#This Row],[SOW]])/IF(Table2[[#This Row],[Total_ExtraTimes]]=0,1,Table2[[#This Row],[Total_ExtraTimes]])</f>
        <v>0</v>
      </c>
      <c r="AL8" s="36">
        <f>Table2[[#This Row],[Total_ExtraTimes]]/MAX(1,Table2[[#This Row],[GP]])</f>
        <v>1</v>
      </c>
      <c r="AM8">
        <f>(2*(Table2[[#This Row],[W_A]]+Table2[[#This Row],[W_H]]))+Table2[[#This Row],[OTL_A]]+Table2[[#This Row],[SOL_A]]+Table2[[#This Row],[OTL_H]]+Table2[[#This Row],[SOL_H]]</f>
        <v>1</v>
      </c>
      <c r="AN8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1</v>
      </c>
      <c r="AO8">
        <f>Table2[[#This Row],[PTS]]/(2*Table2[[#This Row],[GP]])</f>
        <v>0.5</v>
      </c>
      <c r="AP8">
        <f>Table2[[#This Row],[PTS]]/(3*Table2[[#This Row],[GP]])</f>
        <v>0.33333333333333331</v>
      </c>
      <c r="AQ8">
        <f>(2*Table2[[#This Row],[GR]])+Table2[[#This Row],[PTS]]</f>
        <v>167</v>
      </c>
      <c r="AR8">
        <f>(3*Table2[[#This Row],[GR]])+Table2[[#This Row],[PTS]]</f>
        <v>250</v>
      </c>
      <c r="AS8">
        <f>Table2[[#This Row],[PTS]]+(2 * Table2[[#This Row],[GR]] * Table2[[#This Row],[PTS%]])</f>
        <v>84</v>
      </c>
      <c r="AT8">
        <f>Table2[[#This Row],[PTS]]+(3 * Table2[[#This Row],[GR]] * Table2[[#This Row],[PTS%]])</f>
        <v>125.5</v>
      </c>
      <c r="AU8" t="str">
        <f>_xlfn.CONCAT(TEXT(Table2[[#This Row],[W]], "0"), "-", TEXT(Table2[[#This Row],[RL]],"0"), "-", TEXT(Table2[[#This Row],[OTL]]+Table2[[#This Row],[SOL]], "0"))</f>
        <v>0-0-1</v>
      </c>
      <c r="AV8">
        <f>SUMIF(Table1[AwayTeam], Table2[[#This Row],[Team]], Table1[ActualAwayScore])</f>
        <v>0</v>
      </c>
      <c r="AW8">
        <f>SUMIF(Table1[AwayTeam], Table2[[#This Row],[Team]], Table1[ActualHomeScore])</f>
        <v>0</v>
      </c>
      <c r="AX8">
        <f>Table2[[#This Row],[GF_A]]-Table2[[#This Row],[GA_A]]</f>
        <v>0</v>
      </c>
      <c r="AY8">
        <f>SUMIF(Table1[HomeTeam], Table2[[#This Row],[Team]], Table1[ActualHomeScore])</f>
        <v>1</v>
      </c>
      <c r="AZ8">
        <f>SUMIF(Table1[HomeTeam], Table2[[#This Row],[Team]], Table1[ActualAwayScore])</f>
        <v>2</v>
      </c>
      <c r="BA8">
        <f>Table2[[#This Row],[GF_H]]-Table2[[#This Row],[GA_H]]</f>
        <v>-1</v>
      </c>
      <c r="BB8">
        <f>SUMIFS(Table1[ActualAwayScore], Table1[AwayTeam], Table2[[#This Row],[Team]], Table1[AwayWon],1)+SUMIFS(Table1[ActualHomeScore], Table1[HomeTeam], Table2[[#This Row],[Team]], Table1[HomeWon],1)</f>
        <v>0</v>
      </c>
      <c r="BC8">
        <f>SUMIFS(Table1[ActualAwayScore], Table1[AwayTeam], Table2[[#This Row],[Team]], Table1[AwayWon],0) + SUMIFS(Table1[ActualHomeScore], Table1[HomeTeam], Table2[[#This Row],[Team]], Table1[HomeWon],0)</f>
        <v>1</v>
      </c>
      <c r="BD8">
        <f>Table2[[#This Row],[GF_W]]-Table2[[#This Row],[GF_L]]</f>
        <v>-1</v>
      </c>
      <c r="BE8">
        <f>Table2[[#This Row],[GF_A]]+Table2[[#This Row],[GF_H]]</f>
        <v>1</v>
      </c>
      <c r="BF8">
        <f>Table2[[#This Row],[GA_A]]+Table2[[#This Row],[GA_H]]</f>
        <v>2</v>
      </c>
      <c r="BG8">
        <f>Table2[[#This Row],[GF]]-Table2[[#This Row],[GA]]</f>
        <v>-1</v>
      </c>
      <c r="BH8">
        <f>Table2[[#This Row],[GF]]/Table2[[#This Row],[GP]]</f>
        <v>1</v>
      </c>
      <c r="BI8">
        <f>Table2[[#This Row],[GA]]/Table2[[#This Row],[GP]]</f>
        <v>2</v>
      </c>
      <c r="BJ8">
        <f>Table2[[#This Row],[GFPG]]-Table2[[#This Row],[GAPG]]</f>
        <v>-1</v>
      </c>
      <c r="BK8" t="str">
        <f>_xlfn.CONCAT(TEXT(Table2[[#This Row],[W_A]], "0"), "-", TEXT(Table2[[#This Row],[RL_A]],"0"), "-", TEXT(Table2[[#This Row],[OTL_A]]+Table2[[#This Row],[SOL_A]], "0"))</f>
        <v>0-0-0</v>
      </c>
      <c r="BL8" t="str">
        <f>_xlfn.CONCAT(TEXT(Table2[[#This Row],[W_H]], "0"), "-", TEXT(Table2[[#This Row],[RL_H]],"0"), "-", TEXT(Table2[[#This Row],[OTL_H]]+Table2[[#This Row],[SOL_H]], "0"))</f>
        <v>0-0-1</v>
      </c>
    </row>
    <row r="9" spans="1:64" x14ac:dyDescent="0.25">
      <c r="A9" t="s">
        <v>42</v>
      </c>
      <c r="B9" t="s">
        <v>63</v>
      </c>
      <c r="C9" t="s">
        <v>65</v>
      </c>
      <c r="D9">
        <f>COUNTIFS(Table1[AwayTeam],Table2[[#This Row],[Team]],Table1[GameIsOver], 1, Table1[WatchedGame],1) + COUNTIFS(Table1[HomeTeam],Table2[[#This Row],[Team]],Table1[GameIsOver],1,Table1[WatchedGame],1)</f>
        <v>0</v>
      </c>
      <c r="F9">
        <f>COUNTIFS(Table1[AwayTeam],Table2[[#This Row],[Team]], Table1[GameIsOver],1)</f>
        <v>0</v>
      </c>
      <c r="G9">
        <f>COUNTIFS(Table1[HomeTeam],Table2[[#This Row],[Team]], Table1[GameIsOver],1)</f>
        <v>1</v>
      </c>
      <c r="H9">
        <f>Table2[[#This Row],[GP_A]]+Table2[[#This Row],[GP_H]]</f>
        <v>1</v>
      </c>
      <c r="I9">
        <f>84-Table2[[#This Row],[GP]]</f>
        <v>83</v>
      </c>
      <c r="J9">
        <f>COUNTIFS(Table1[AwayTeam], Table2[[#This Row],[Team]], Table1[GameIsOver], 1, Table1[AwayWon],1)</f>
        <v>0</v>
      </c>
      <c r="K9">
        <f>COUNTIFS(Table1[AwayTeam], Table2[[#This Row],[Team]], Table1[GameIsOver], 1, Table1[AwayWon],1, Table1[ActualResult], "REG")</f>
        <v>0</v>
      </c>
      <c r="L9">
        <f>COUNTIFS(Table1[AwayTeam], Table2[[#This Row],[Team]], Table1[GameIsOver], 1, Table1[AwayWon],1, Table1[ActualResult], "OT")</f>
        <v>0</v>
      </c>
      <c r="M9">
        <f>COUNTIFS(Table1[AwayTeam], Table2[[#This Row],[Team]], Table1[GameIsOver], 1, Table1[AwayWon],1, Table1[ActualResult], "SO")</f>
        <v>0</v>
      </c>
      <c r="N9">
        <f>COUNTIFS(Table1[AwayTeam], Table2[[#This Row],[Team]], Table1[GameIsOver], 1, Table1[AwayWon],0)</f>
        <v>0</v>
      </c>
      <c r="O9">
        <f>COUNTIFS(Table1[AwayTeam], Table2[[#This Row],[Team]], Table1[GameIsOver], 1, Table1[AwayWon],0, Table1[ActualResult], "REG")</f>
        <v>0</v>
      </c>
      <c r="P9">
        <f>COUNTIFS(Table1[AwayTeam], Table2[[#This Row],[Team]], Table1[GameIsOver], 1, Table1[AwayWon],0, Table1[ActualResult], "OT")</f>
        <v>0</v>
      </c>
      <c r="Q9">
        <f>COUNTIFS(Table1[AwayTeam], Table2[[#This Row],[Team]], Table1[GameIsOver], 1, Table1[AwayWon],0, Table1[ActualResult], "SO")</f>
        <v>0</v>
      </c>
      <c r="R9">
        <f>COUNTIFS(Table1[HomeTeam], Table2[[#This Row],[Team]], Table1[GameIsOver], 1, Table1[HomeWon],1)</f>
        <v>1</v>
      </c>
      <c r="S9">
        <f>COUNTIFS(Table1[HomeTeam], Table2[[#This Row],[Team]], Table1[GameIsOver], 1, Table1[HomeWon],1, Table1[ActualResult], "REG")</f>
        <v>0</v>
      </c>
      <c r="T9">
        <f>COUNTIFS(Table1[HomeTeam], Table2[[#This Row],[Team]], Table1[GameIsOver], 1, Table1[HomeWon],1, Table1[ActualResult], "OT")</f>
        <v>0</v>
      </c>
      <c r="U9">
        <f>COUNTIFS(Table1[HomeTeam], Table2[[#This Row],[Team]], Table1[GameIsOver], 1, Table1[HomeWon],1, Table1[ActualResult], "SO")</f>
        <v>1</v>
      </c>
      <c r="V9">
        <f>COUNTIFS(Table1[HomeTeam], Table2[[#This Row],[Team]], Table1[GameIsOver], 1, Table1[HomeWon],0)</f>
        <v>0</v>
      </c>
      <c r="W9">
        <f>COUNTIFS(Table1[HomeTeam], Table2[[#This Row],[Team]], Table1[GameIsOver], 1, Table1[HomeWon],0, Table1[ActualResult], "REG")</f>
        <v>0</v>
      </c>
      <c r="X9">
        <f>COUNTIFS(Table1[HomeTeam], Table2[[#This Row],[Team]], Table1[GameIsOver], 1, Table1[HomeWon],0, Table1[ActualResult], "OT")</f>
        <v>0</v>
      </c>
      <c r="Y9">
        <f>COUNTIFS(Table1[HomeTeam], Table2[[#This Row],[Team]], Table1[GameIsOver], 1, Table1[HomeWon],0, Table1[ActualResult], "SO")</f>
        <v>0</v>
      </c>
      <c r="Z9" s="36">
        <f>Table2[[#This Row],[W]]/MAX(1,Table2[[#This Row],[W]]+Table2[[#This Row],[L]])</f>
        <v>1</v>
      </c>
      <c r="AA9">
        <f>Table2[[#This Row],[W_A]]+Table2[[#This Row],[W_H]]</f>
        <v>1</v>
      </c>
      <c r="AB9">
        <f>Table2[[#This Row],[L_A]]+Table2[[#This Row],[L_H]]</f>
        <v>0</v>
      </c>
      <c r="AC9">
        <f>Table2[RW_A]+Table2[RW_H]</f>
        <v>0</v>
      </c>
      <c r="AD9">
        <f>Table2[RL_A]+Table2[RL_H]</f>
        <v>0</v>
      </c>
      <c r="AE9">
        <f>Table2[OTW_A]+Table2[OTW_H]</f>
        <v>0</v>
      </c>
      <c r="AF9">
        <f>Table2[OTL_A]+Table2[OTL_H]</f>
        <v>0</v>
      </c>
      <c r="AG9">
        <f>Table2[SOW_A]+Table2[SOW_H]</f>
        <v>1</v>
      </c>
      <c r="AH9">
        <f>Table2[SOL_A]+Table2[SOL_H]</f>
        <v>0</v>
      </c>
      <c r="AI9" t="str">
        <f>_xlfn.CONCAT(TEXT(Table2[[#This Row],[OTW]]+Table2[[#This Row],[SOW]], "0"), "-", TEXT(Table2[[#This Row],[OTL]]+Table2[[#This Row],[SOL]],"0"))</f>
        <v>1-0</v>
      </c>
      <c r="AJ9">
        <f>SUM(Table2[[#This Row],[OTW]],Table2[[#This Row],[OTL]],Table2[[#This Row],[SOW]],Table2[[#This Row],[SOL]])</f>
        <v>1</v>
      </c>
      <c r="AK9" s="36">
        <f>(Table2[[#This Row],[OTW]]+Table2[[#This Row],[SOW]])/IF(Table2[[#This Row],[Total_ExtraTimes]]=0,1,Table2[[#This Row],[Total_ExtraTimes]])</f>
        <v>1</v>
      </c>
      <c r="AL9" s="36">
        <f>Table2[[#This Row],[Total_ExtraTimes]]/MAX(1,Table2[[#This Row],[GP]])</f>
        <v>1</v>
      </c>
      <c r="AM9">
        <f>(2*(Table2[[#This Row],[W_A]]+Table2[[#This Row],[W_H]]))+Table2[[#This Row],[OTL_A]]+Table2[[#This Row],[SOL_A]]+Table2[[#This Row],[OTL_H]]+Table2[[#This Row],[SOL_H]]</f>
        <v>2</v>
      </c>
      <c r="AN9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2</v>
      </c>
      <c r="AO9">
        <f>Table2[[#This Row],[PTS]]/(2*Table2[[#This Row],[GP]])</f>
        <v>1</v>
      </c>
      <c r="AP9">
        <f>Table2[[#This Row],[PTS]]/(3*Table2[[#This Row],[GP]])</f>
        <v>0.66666666666666663</v>
      </c>
      <c r="AQ9">
        <f>(2*Table2[[#This Row],[GR]])+Table2[[#This Row],[PTS]]</f>
        <v>168</v>
      </c>
      <c r="AR9">
        <f>(3*Table2[[#This Row],[GR]])+Table2[[#This Row],[PTS]]</f>
        <v>251</v>
      </c>
      <c r="AS9">
        <f>Table2[[#This Row],[PTS]]+(2 * Table2[[#This Row],[GR]] * Table2[[#This Row],[PTS%]])</f>
        <v>168</v>
      </c>
      <c r="AT9">
        <f>Table2[[#This Row],[PTS]]+(3 * Table2[[#This Row],[GR]] * Table2[[#This Row],[PTS%]])</f>
        <v>251</v>
      </c>
      <c r="AU9" t="str">
        <f>_xlfn.CONCAT(TEXT(Table2[[#This Row],[W]], "0"), "-", TEXT(Table2[[#This Row],[RL]],"0"), "-", TEXT(Table2[[#This Row],[OTL]]+Table2[[#This Row],[SOL]], "0"))</f>
        <v>1-0-0</v>
      </c>
      <c r="AV9">
        <f>SUMIF(Table1[AwayTeam], Table2[[#This Row],[Team]], Table1[ActualAwayScore])</f>
        <v>0</v>
      </c>
      <c r="AW9">
        <f>SUMIF(Table1[AwayTeam], Table2[[#This Row],[Team]], Table1[ActualHomeScore])</f>
        <v>0</v>
      </c>
      <c r="AX9">
        <f>Table2[[#This Row],[GF_A]]-Table2[[#This Row],[GA_A]]</f>
        <v>0</v>
      </c>
      <c r="AY9">
        <f>SUMIF(Table1[HomeTeam], Table2[[#This Row],[Team]], Table1[ActualHomeScore])</f>
        <v>3</v>
      </c>
      <c r="AZ9">
        <f>SUMIF(Table1[HomeTeam], Table2[[#This Row],[Team]], Table1[ActualAwayScore])</f>
        <v>2</v>
      </c>
      <c r="BA9">
        <f>Table2[[#This Row],[GF_H]]-Table2[[#This Row],[GA_H]]</f>
        <v>1</v>
      </c>
      <c r="BB9">
        <f>SUMIFS(Table1[ActualAwayScore], Table1[AwayTeam], Table2[[#This Row],[Team]], Table1[AwayWon],1)+SUMIFS(Table1[ActualHomeScore], Table1[HomeTeam], Table2[[#This Row],[Team]], Table1[HomeWon],1)</f>
        <v>3</v>
      </c>
      <c r="BC9">
        <f>SUMIFS(Table1[ActualAwayScore], Table1[AwayTeam], Table2[[#This Row],[Team]], Table1[AwayWon],0) + SUMIFS(Table1[ActualHomeScore], Table1[HomeTeam], Table2[[#This Row],[Team]], Table1[HomeWon],0)</f>
        <v>0</v>
      </c>
      <c r="BD9">
        <f>Table2[[#This Row],[GF_W]]-Table2[[#This Row],[GF_L]]</f>
        <v>3</v>
      </c>
      <c r="BE9">
        <f>Table2[[#This Row],[GF_A]]+Table2[[#This Row],[GF_H]]</f>
        <v>3</v>
      </c>
      <c r="BF9">
        <f>Table2[[#This Row],[GA_A]]+Table2[[#This Row],[GA_H]]</f>
        <v>2</v>
      </c>
      <c r="BG9">
        <f>Table2[[#This Row],[GF]]-Table2[[#This Row],[GA]]</f>
        <v>1</v>
      </c>
      <c r="BH9">
        <f>Table2[[#This Row],[GF]]/Table2[[#This Row],[GP]]</f>
        <v>3</v>
      </c>
      <c r="BI9">
        <f>Table2[[#This Row],[GA]]/Table2[[#This Row],[GP]]</f>
        <v>2</v>
      </c>
      <c r="BJ9">
        <f>Table2[[#This Row],[GFPG]]-Table2[[#This Row],[GAPG]]</f>
        <v>1</v>
      </c>
      <c r="BK9" t="str">
        <f>_xlfn.CONCAT(TEXT(Table2[[#This Row],[W_A]], "0"), "-", TEXT(Table2[[#This Row],[RL_A]],"0"), "-", TEXT(Table2[[#This Row],[OTL_A]]+Table2[[#This Row],[SOL_A]], "0"))</f>
        <v>0-0-0</v>
      </c>
      <c r="BL9" t="str">
        <f>_xlfn.CONCAT(TEXT(Table2[[#This Row],[W_H]], "0"), "-", TEXT(Table2[[#This Row],[RL_H]],"0"), "-", TEXT(Table2[[#This Row],[OTL_H]]+Table2[[#This Row],[SOL_H]], "0"))</f>
        <v>1-0-0</v>
      </c>
    </row>
    <row r="10" spans="1:64" x14ac:dyDescent="0.25">
      <c r="A10" t="s">
        <v>43</v>
      </c>
      <c r="B10" t="s">
        <v>62</v>
      </c>
      <c r="C10" t="s">
        <v>64</v>
      </c>
      <c r="D10">
        <f>COUNTIFS(Table1[AwayTeam],Table2[[#This Row],[Team]],Table1[GameIsOver], 1, Table1[WatchedGame],1) + COUNTIFS(Table1[HomeTeam],Table2[[#This Row],[Team]],Table1[GameIsOver],1,Table1[WatchedGame],1)</f>
        <v>0</v>
      </c>
      <c r="F10">
        <f>COUNTIFS(Table1[AwayTeam],Table2[[#This Row],[Team]], Table1[GameIsOver],1)</f>
        <v>0</v>
      </c>
      <c r="G10">
        <f>COUNTIFS(Table1[HomeTeam],Table2[[#This Row],[Team]], Table1[GameIsOver],1)</f>
        <v>0</v>
      </c>
      <c r="H10">
        <f>Table2[[#This Row],[GP_A]]+Table2[[#This Row],[GP_H]]</f>
        <v>0</v>
      </c>
      <c r="I10">
        <f>84-Table2[[#This Row],[GP]]</f>
        <v>84</v>
      </c>
      <c r="J10">
        <f>COUNTIFS(Table1[AwayTeam], Table2[[#This Row],[Team]], Table1[GameIsOver], 1, Table1[AwayWon],1)</f>
        <v>0</v>
      </c>
      <c r="K10">
        <f>COUNTIFS(Table1[AwayTeam], Table2[[#This Row],[Team]], Table1[GameIsOver], 1, Table1[AwayWon],1, Table1[ActualResult], "REG")</f>
        <v>0</v>
      </c>
      <c r="L10">
        <f>COUNTIFS(Table1[AwayTeam], Table2[[#This Row],[Team]], Table1[GameIsOver], 1, Table1[AwayWon],1, Table1[ActualResult], "OT")</f>
        <v>0</v>
      </c>
      <c r="M10">
        <f>COUNTIFS(Table1[AwayTeam], Table2[[#This Row],[Team]], Table1[GameIsOver], 1, Table1[AwayWon],1, Table1[ActualResult], "SO")</f>
        <v>0</v>
      </c>
      <c r="N10">
        <f>COUNTIFS(Table1[AwayTeam], Table2[[#This Row],[Team]], Table1[GameIsOver], 1, Table1[AwayWon],0)</f>
        <v>0</v>
      </c>
      <c r="O10">
        <f>COUNTIFS(Table1[AwayTeam], Table2[[#This Row],[Team]], Table1[GameIsOver], 1, Table1[AwayWon],0, Table1[ActualResult], "REG")</f>
        <v>0</v>
      </c>
      <c r="P10">
        <f>COUNTIFS(Table1[AwayTeam], Table2[[#This Row],[Team]], Table1[GameIsOver], 1, Table1[AwayWon],0, Table1[ActualResult], "OT")</f>
        <v>0</v>
      </c>
      <c r="Q10">
        <f>COUNTIFS(Table1[AwayTeam], Table2[[#This Row],[Team]], Table1[GameIsOver], 1, Table1[AwayWon],0, Table1[ActualResult], "SO")</f>
        <v>0</v>
      </c>
      <c r="R10">
        <f>COUNTIFS(Table1[HomeTeam], Table2[[#This Row],[Team]], Table1[GameIsOver], 1, Table1[HomeWon],1)</f>
        <v>0</v>
      </c>
      <c r="S10">
        <f>COUNTIFS(Table1[HomeTeam], Table2[[#This Row],[Team]], Table1[GameIsOver], 1, Table1[HomeWon],1, Table1[ActualResult], "REG")</f>
        <v>0</v>
      </c>
      <c r="T10">
        <f>COUNTIFS(Table1[HomeTeam], Table2[[#This Row],[Team]], Table1[GameIsOver], 1, Table1[HomeWon],1, Table1[ActualResult], "OT")</f>
        <v>0</v>
      </c>
      <c r="U10">
        <f>COUNTIFS(Table1[HomeTeam], Table2[[#This Row],[Team]], Table1[GameIsOver], 1, Table1[HomeWon],1, Table1[ActualResult], "SO")</f>
        <v>0</v>
      </c>
      <c r="V10">
        <f>COUNTIFS(Table1[HomeTeam], Table2[[#This Row],[Team]], Table1[GameIsOver], 1, Table1[HomeWon],0)</f>
        <v>0</v>
      </c>
      <c r="W10">
        <f>COUNTIFS(Table1[HomeTeam], Table2[[#This Row],[Team]], Table1[GameIsOver], 1, Table1[HomeWon],0, Table1[ActualResult], "REG")</f>
        <v>0</v>
      </c>
      <c r="X10">
        <f>COUNTIFS(Table1[HomeTeam], Table2[[#This Row],[Team]], Table1[GameIsOver], 1, Table1[HomeWon],0, Table1[ActualResult], "OT")</f>
        <v>0</v>
      </c>
      <c r="Y10">
        <f>COUNTIFS(Table1[HomeTeam], Table2[[#This Row],[Team]], Table1[GameIsOver], 1, Table1[HomeWon],0, Table1[ActualResult], "SO")</f>
        <v>0</v>
      </c>
      <c r="Z10" s="36">
        <f>Table2[[#This Row],[W]]/MAX(1,Table2[[#This Row],[W]]+Table2[[#This Row],[L]])</f>
        <v>0</v>
      </c>
      <c r="AA10">
        <f>Table2[[#This Row],[W_A]]+Table2[[#This Row],[W_H]]</f>
        <v>0</v>
      </c>
      <c r="AB10">
        <f>Table2[[#This Row],[L_A]]+Table2[[#This Row],[L_H]]</f>
        <v>0</v>
      </c>
      <c r="AC10">
        <f>Table2[RW_A]+Table2[RW_H]</f>
        <v>0</v>
      </c>
      <c r="AD10">
        <f>Table2[RL_A]+Table2[RL_H]</f>
        <v>0</v>
      </c>
      <c r="AE10">
        <f>Table2[OTW_A]+Table2[OTW_H]</f>
        <v>0</v>
      </c>
      <c r="AF10">
        <f>Table2[OTL_A]+Table2[OTL_H]</f>
        <v>0</v>
      </c>
      <c r="AG10">
        <f>Table2[SOW_A]+Table2[SOW_H]</f>
        <v>0</v>
      </c>
      <c r="AH10">
        <f>Table2[SOL_A]+Table2[SOL_H]</f>
        <v>0</v>
      </c>
      <c r="AI10" t="str">
        <f>_xlfn.CONCAT(TEXT(Table2[[#This Row],[OTW]]+Table2[[#This Row],[SOW]], "0"), "-", TEXT(Table2[[#This Row],[OTL]]+Table2[[#This Row],[SOL]],"0"))</f>
        <v>0-0</v>
      </c>
      <c r="AJ10">
        <f>SUM(Table2[[#This Row],[OTW]],Table2[[#This Row],[OTL]],Table2[[#This Row],[SOW]],Table2[[#This Row],[SOL]])</f>
        <v>0</v>
      </c>
      <c r="AK10" s="36">
        <f>(Table2[[#This Row],[OTW]]+Table2[[#This Row],[SOW]])/IF(Table2[[#This Row],[Total_ExtraTimes]]=0,1,Table2[[#This Row],[Total_ExtraTimes]])</f>
        <v>0</v>
      </c>
      <c r="AL10" s="36">
        <f>Table2[[#This Row],[Total_ExtraTimes]]/MAX(1,Table2[[#This Row],[GP]])</f>
        <v>0</v>
      </c>
      <c r="AM10">
        <f>(2*(Table2[[#This Row],[W_A]]+Table2[[#This Row],[W_H]]))+Table2[[#This Row],[OTL_A]]+Table2[[#This Row],[SOL_A]]+Table2[[#This Row],[OTL_H]]+Table2[[#This Row],[SOL_H]]</f>
        <v>0</v>
      </c>
      <c r="AN10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0</v>
      </c>
      <c r="AO10" t="e">
        <f>Table2[[#This Row],[PTS]]/(2*Table2[[#This Row],[GP]])</f>
        <v>#DIV/0!</v>
      </c>
      <c r="AP10" t="e">
        <f>Table2[[#This Row],[PTS]]/(3*Table2[[#This Row],[GP]])</f>
        <v>#DIV/0!</v>
      </c>
      <c r="AQ10">
        <f>(2*Table2[[#This Row],[GR]])+Table2[[#This Row],[PTS]]</f>
        <v>168</v>
      </c>
      <c r="AR10">
        <f>(3*Table2[[#This Row],[GR]])+Table2[[#This Row],[PTS]]</f>
        <v>252</v>
      </c>
      <c r="AS10" t="e">
        <f>Table2[[#This Row],[PTS]]+(2 * Table2[[#This Row],[GR]] * Table2[[#This Row],[PTS%]])</f>
        <v>#DIV/0!</v>
      </c>
      <c r="AT10" t="e">
        <f>Table2[[#This Row],[PTS]]+(3 * Table2[[#This Row],[GR]] * Table2[[#This Row],[PTS%]])</f>
        <v>#DIV/0!</v>
      </c>
      <c r="AU10" t="str">
        <f>_xlfn.CONCAT(TEXT(Table2[[#This Row],[W]], "0"), "-", TEXT(Table2[[#This Row],[RL]],"0"), "-", TEXT(Table2[[#This Row],[OTL]]+Table2[[#This Row],[SOL]], "0"))</f>
        <v>0-0-0</v>
      </c>
      <c r="AV10">
        <f>SUMIF(Table1[AwayTeam], Table2[[#This Row],[Team]], Table1[ActualAwayScore])</f>
        <v>0</v>
      </c>
      <c r="AW10">
        <f>SUMIF(Table1[AwayTeam], Table2[[#This Row],[Team]], Table1[ActualHomeScore])</f>
        <v>0</v>
      </c>
      <c r="AX10">
        <f>Table2[[#This Row],[GF_A]]-Table2[[#This Row],[GA_A]]</f>
        <v>0</v>
      </c>
      <c r="AY10">
        <f>SUMIF(Table1[HomeTeam], Table2[[#This Row],[Team]], Table1[ActualHomeScore])</f>
        <v>0</v>
      </c>
      <c r="AZ10">
        <f>SUMIF(Table1[HomeTeam], Table2[[#This Row],[Team]], Table1[ActualAwayScore])</f>
        <v>0</v>
      </c>
      <c r="BA10">
        <f>Table2[[#This Row],[GF_H]]-Table2[[#This Row],[GA_H]]</f>
        <v>0</v>
      </c>
      <c r="BB10">
        <f>SUMIFS(Table1[ActualAwayScore], Table1[AwayTeam], Table2[[#This Row],[Team]], Table1[AwayWon],1)+SUMIFS(Table1[ActualHomeScore], Table1[HomeTeam], Table2[[#This Row],[Team]], Table1[HomeWon],1)</f>
        <v>0</v>
      </c>
      <c r="BC10">
        <f>SUMIFS(Table1[ActualAwayScore], Table1[AwayTeam], Table2[[#This Row],[Team]], Table1[AwayWon],0) + SUMIFS(Table1[ActualHomeScore], Table1[HomeTeam], Table2[[#This Row],[Team]], Table1[HomeWon],0)</f>
        <v>0</v>
      </c>
      <c r="BD10">
        <f>Table2[[#This Row],[GF_W]]-Table2[[#This Row],[GF_L]]</f>
        <v>0</v>
      </c>
      <c r="BE10">
        <f>Table2[[#This Row],[GF_A]]+Table2[[#This Row],[GF_H]]</f>
        <v>0</v>
      </c>
      <c r="BF10">
        <f>Table2[[#This Row],[GA_A]]+Table2[[#This Row],[GA_H]]</f>
        <v>0</v>
      </c>
      <c r="BG10">
        <f>Table2[[#This Row],[GF]]-Table2[[#This Row],[GA]]</f>
        <v>0</v>
      </c>
      <c r="BH10" t="e">
        <f>Table2[[#This Row],[GF]]/Table2[[#This Row],[GP]]</f>
        <v>#DIV/0!</v>
      </c>
      <c r="BI10" t="e">
        <f>Table2[[#This Row],[GA]]/Table2[[#This Row],[GP]]</f>
        <v>#DIV/0!</v>
      </c>
      <c r="BJ10" t="e">
        <f>Table2[[#This Row],[GFPG]]-Table2[[#This Row],[GAPG]]</f>
        <v>#DIV/0!</v>
      </c>
      <c r="BK10" t="str">
        <f>_xlfn.CONCAT(TEXT(Table2[[#This Row],[W_A]], "0"), "-", TEXT(Table2[[#This Row],[RL_A]],"0"), "-", TEXT(Table2[[#This Row],[OTL_A]]+Table2[[#This Row],[SOL_A]], "0"))</f>
        <v>0-0-0</v>
      </c>
      <c r="BL10" t="str">
        <f>_xlfn.CONCAT(TEXT(Table2[[#This Row],[W_H]], "0"), "-", TEXT(Table2[[#This Row],[RL_H]],"0"), "-", TEXT(Table2[[#This Row],[OTL_H]]+Table2[[#This Row],[SOL_H]], "0"))</f>
        <v>0-0-0</v>
      </c>
    </row>
    <row r="11" spans="1:64" x14ac:dyDescent="0.25">
      <c r="A11" t="s">
        <v>44</v>
      </c>
      <c r="B11" t="s">
        <v>63</v>
      </c>
      <c r="C11" t="s">
        <v>67</v>
      </c>
      <c r="D11">
        <f>COUNTIFS(Table1[AwayTeam],Table2[[#This Row],[Team]],Table1[GameIsOver], 1, Table1[WatchedGame],1) + COUNTIFS(Table1[HomeTeam],Table2[[#This Row],[Team]],Table1[GameIsOver],1,Table1[WatchedGame],1)</f>
        <v>0</v>
      </c>
      <c r="F11">
        <f>COUNTIFS(Table1[AwayTeam],Table2[[#This Row],[Team]], Table1[GameIsOver],1)</f>
        <v>0</v>
      </c>
      <c r="G11">
        <f>COUNTIFS(Table1[HomeTeam],Table2[[#This Row],[Team]], Table1[GameIsOver],1)</f>
        <v>1</v>
      </c>
      <c r="H11">
        <f>Table2[[#This Row],[GP_A]]+Table2[[#This Row],[GP_H]]</f>
        <v>1</v>
      </c>
      <c r="I11">
        <f>84-Table2[[#This Row],[GP]]</f>
        <v>83</v>
      </c>
      <c r="J11">
        <f>COUNTIFS(Table1[AwayTeam], Table2[[#This Row],[Team]], Table1[GameIsOver], 1, Table1[AwayWon],1)</f>
        <v>0</v>
      </c>
      <c r="K11">
        <f>COUNTIFS(Table1[AwayTeam], Table2[[#This Row],[Team]], Table1[GameIsOver], 1, Table1[AwayWon],1, Table1[ActualResult], "REG")</f>
        <v>0</v>
      </c>
      <c r="L11">
        <f>COUNTIFS(Table1[AwayTeam], Table2[[#This Row],[Team]], Table1[GameIsOver], 1, Table1[AwayWon],1, Table1[ActualResult], "OT")</f>
        <v>0</v>
      </c>
      <c r="M11">
        <f>COUNTIFS(Table1[AwayTeam], Table2[[#This Row],[Team]], Table1[GameIsOver], 1, Table1[AwayWon],1, Table1[ActualResult], "SO")</f>
        <v>0</v>
      </c>
      <c r="N11">
        <f>COUNTIFS(Table1[AwayTeam], Table2[[#This Row],[Team]], Table1[GameIsOver], 1, Table1[AwayWon],0)</f>
        <v>0</v>
      </c>
      <c r="O11">
        <f>COUNTIFS(Table1[AwayTeam], Table2[[#This Row],[Team]], Table1[GameIsOver], 1, Table1[AwayWon],0, Table1[ActualResult], "REG")</f>
        <v>0</v>
      </c>
      <c r="P11">
        <f>COUNTIFS(Table1[AwayTeam], Table2[[#This Row],[Team]], Table1[GameIsOver], 1, Table1[AwayWon],0, Table1[ActualResult], "OT")</f>
        <v>0</v>
      </c>
      <c r="Q11">
        <f>COUNTIFS(Table1[AwayTeam], Table2[[#This Row],[Team]], Table1[GameIsOver], 1, Table1[AwayWon],0, Table1[ActualResult], "SO")</f>
        <v>0</v>
      </c>
      <c r="R11">
        <f>COUNTIFS(Table1[HomeTeam], Table2[[#This Row],[Team]], Table1[GameIsOver], 1, Table1[HomeWon],1)</f>
        <v>0</v>
      </c>
      <c r="S11">
        <f>COUNTIFS(Table1[HomeTeam], Table2[[#This Row],[Team]], Table1[GameIsOver], 1, Table1[HomeWon],1, Table1[ActualResult], "REG")</f>
        <v>0</v>
      </c>
      <c r="T11">
        <f>COUNTIFS(Table1[HomeTeam], Table2[[#This Row],[Team]], Table1[GameIsOver], 1, Table1[HomeWon],1, Table1[ActualResult], "OT")</f>
        <v>0</v>
      </c>
      <c r="U11">
        <f>COUNTIFS(Table1[HomeTeam], Table2[[#This Row],[Team]], Table1[GameIsOver], 1, Table1[HomeWon],1, Table1[ActualResult], "SO")</f>
        <v>0</v>
      </c>
      <c r="V11">
        <f>COUNTIFS(Table1[HomeTeam], Table2[[#This Row],[Team]], Table1[GameIsOver], 1, Table1[HomeWon],0)</f>
        <v>1</v>
      </c>
      <c r="W11">
        <f>COUNTIFS(Table1[HomeTeam], Table2[[#This Row],[Team]], Table1[GameIsOver], 1, Table1[HomeWon],0, Table1[ActualResult], "REG")</f>
        <v>0</v>
      </c>
      <c r="X11">
        <f>COUNTIFS(Table1[HomeTeam], Table2[[#This Row],[Team]], Table1[GameIsOver], 1, Table1[HomeWon],0, Table1[ActualResult], "OT")</f>
        <v>1</v>
      </c>
      <c r="Y11">
        <f>COUNTIFS(Table1[HomeTeam], Table2[[#This Row],[Team]], Table1[GameIsOver], 1, Table1[HomeWon],0, Table1[ActualResult], "SO")</f>
        <v>0</v>
      </c>
      <c r="Z11" s="36">
        <f>Table2[[#This Row],[W]]/MAX(1,Table2[[#This Row],[W]]+Table2[[#This Row],[L]])</f>
        <v>0</v>
      </c>
      <c r="AA11">
        <f>Table2[[#This Row],[W_A]]+Table2[[#This Row],[W_H]]</f>
        <v>0</v>
      </c>
      <c r="AB11">
        <f>Table2[[#This Row],[L_A]]+Table2[[#This Row],[L_H]]</f>
        <v>1</v>
      </c>
      <c r="AC11">
        <f>Table2[RW_A]+Table2[RW_H]</f>
        <v>0</v>
      </c>
      <c r="AD11">
        <f>Table2[RL_A]+Table2[RL_H]</f>
        <v>0</v>
      </c>
      <c r="AE11">
        <f>Table2[OTW_A]+Table2[OTW_H]</f>
        <v>0</v>
      </c>
      <c r="AF11">
        <f>Table2[OTL_A]+Table2[OTL_H]</f>
        <v>1</v>
      </c>
      <c r="AG11">
        <f>Table2[SOW_A]+Table2[SOW_H]</f>
        <v>0</v>
      </c>
      <c r="AH11">
        <f>Table2[SOL_A]+Table2[SOL_H]</f>
        <v>0</v>
      </c>
      <c r="AI11" t="str">
        <f>_xlfn.CONCAT(TEXT(Table2[[#This Row],[OTW]]+Table2[[#This Row],[SOW]], "0"), "-", TEXT(Table2[[#This Row],[OTL]]+Table2[[#This Row],[SOL]],"0"))</f>
        <v>0-1</v>
      </c>
      <c r="AJ11">
        <f>SUM(Table2[[#This Row],[OTW]],Table2[[#This Row],[OTL]],Table2[[#This Row],[SOW]],Table2[[#This Row],[SOL]])</f>
        <v>1</v>
      </c>
      <c r="AK11" s="36">
        <f>(Table2[[#This Row],[OTW]]+Table2[[#This Row],[SOW]])/IF(Table2[[#This Row],[Total_ExtraTimes]]=0,1,Table2[[#This Row],[Total_ExtraTimes]])</f>
        <v>0</v>
      </c>
      <c r="AL11" s="36">
        <f>Table2[[#This Row],[Total_ExtraTimes]]/MAX(1,Table2[[#This Row],[GP]])</f>
        <v>1</v>
      </c>
      <c r="AM11">
        <f>(2*(Table2[[#This Row],[W_A]]+Table2[[#This Row],[W_H]]))+Table2[[#This Row],[OTL_A]]+Table2[[#This Row],[SOL_A]]+Table2[[#This Row],[OTL_H]]+Table2[[#This Row],[SOL_H]]</f>
        <v>1</v>
      </c>
      <c r="AN11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1</v>
      </c>
      <c r="AO11">
        <f>Table2[[#This Row],[PTS]]/(2*Table2[[#This Row],[GP]])</f>
        <v>0.5</v>
      </c>
      <c r="AP11">
        <f>Table2[[#This Row],[PTS]]/(3*Table2[[#This Row],[GP]])</f>
        <v>0.33333333333333331</v>
      </c>
      <c r="AQ11">
        <f>(2*Table2[[#This Row],[GR]])+Table2[[#This Row],[PTS]]</f>
        <v>167</v>
      </c>
      <c r="AR11">
        <f>(3*Table2[[#This Row],[GR]])+Table2[[#This Row],[PTS]]</f>
        <v>250</v>
      </c>
      <c r="AS11">
        <f>Table2[[#This Row],[PTS]]+(2 * Table2[[#This Row],[GR]] * Table2[[#This Row],[PTS%]])</f>
        <v>84</v>
      </c>
      <c r="AT11">
        <f>Table2[[#This Row],[PTS]]+(3 * Table2[[#This Row],[GR]] * Table2[[#This Row],[PTS%]])</f>
        <v>125.5</v>
      </c>
      <c r="AU11" t="str">
        <f>_xlfn.CONCAT(TEXT(Table2[[#This Row],[W]], "0"), "-", TEXT(Table2[[#This Row],[RL]],"0"), "-", TEXT(Table2[[#This Row],[OTL]]+Table2[[#This Row],[SOL]], "0"))</f>
        <v>0-0-1</v>
      </c>
      <c r="AV11">
        <f>SUMIF(Table1[AwayTeam], Table2[[#This Row],[Team]], Table1[ActualAwayScore])</f>
        <v>0</v>
      </c>
      <c r="AW11">
        <f>SUMIF(Table1[AwayTeam], Table2[[#This Row],[Team]], Table1[ActualHomeScore])</f>
        <v>0</v>
      </c>
      <c r="AX11">
        <f>Table2[[#This Row],[GF_A]]-Table2[[#This Row],[GA_A]]</f>
        <v>0</v>
      </c>
      <c r="AY11">
        <f>SUMIF(Table1[HomeTeam], Table2[[#This Row],[Team]], Table1[ActualHomeScore])</f>
        <v>3</v>
      </c>
      <c r="AZ11">
        <f>SUMIF(Table1[HomeTeam], Table2[[#This Row],[Team]], Table1[ActualAwayScore])</f>
        <v>4</v>
      </c>
      <c r="BA11">
        <f>Table2[[#This Row],[GF_H]]-Table2[[#This Row],[GA_H]]</f>
        <v>-1</v>
      </c>
      <c r="BB11">
        <f>SUMIFS(Table1[ActualAwayScore], Table1[AwayTeam], Table2[[#This Row],[Team]], Table1[AwayWon],1)+SUMIFS(Table1[ActualHomeScore], Table1[HomeTeam], Table2[[#This Row],[Team]], Table1[HomeWon],1)</f>
        <v>0</v>
      </c>
      <c r="BC11">
        <f>SUMIFS(Table1[ActualAwayScore], Table1[AwayTeam], Table2[[#This Row],[Team]], Table1[AwayWon],0) + SUMIFS(Table1[ActualHomeScore], Table1[HomeTeam], Table2[[#This Row],[Team]], Table1[HomeWon],0)</f>
        <v>3</v>
      </c>
      <c r="BD11">
        <f>Table2[[#This Row],[GF_W]]-Table2[[#This Row],[GF_L]]</f>
        <v>-3</v>
      </c>
      <c r="BE11">
        <f>Table2[[#This Row],[GF_A]]+Table2[[#This Row],[GF_H]]</f>
        <v>3</v>
      </c>
      <c r="BF11">
        <f>Table2[[#This Row],[GA_A]]+Table2[[#This Row],[GA_H]]</f>
        <v>4</v>
      </c>
      <c r="BG11">
        <f>Table2[[#This Row],[GF]]-Table2[[#This Row],[GA]]</f>
        <v>-1</v>
      </c>
      <c r="BH11">
        <f>Table2[[#This Row],[GF]]/Table2[[#This Row],[GP]]</f>
        <v>3</v>
      </c>
      <c r="BI11">
        <f>Table2[[#This Row],[GA]]/Table2[[#This Row],[GP]]</f>
        <v>4</v>
      </c>
      <c r="BJ11">
        <f>Table2[[#This Row],[GFPG]]-Table2[[#This Row],[GAPG]]</f>
        <v>-1</v>
      </c>
      <c r="BK11" t="str">
        <f>_xlfn.CONCAT(TEXT(Table2[[#This Row],[W_A]], "0"), "-", TEXT(Table2[[#This Row],[RL_A]],"0"), "-", TEXT(Table2[[#This Row],[OTL_A]]+Table2[[#This Row],[SOL_A]], "0"))</f>
        <v>0-0-0</v>
      </c>
      <c r="BL11" t="str">
        <f>_xlfn.CONCAT(TEXT(Table2[[#This Row],[W_H]], "0"), "-", TEXT(Table2[[#This Row],[RL_H]],"0"), "-", TEXT(Table2[[#This Row],[OTL_H]]+Table2[[#This Row],[SOL_H]], "0"))</f>
        <v>0-0-1</v>
      </c>
    </row>
    <row r="12" spans="1:64" x14ac:dyDescent="0.25">
      <c r="A12" t="s">
        <v>45</v>
      </c>
      <c r="B12" t="s">
        <v>62</v>
      </c>
      <c r="C12" t="s">
        <v>66</v>
      </c>
      <c r="D12">
        <f>COUNTIFS(Table1[AwayTeam],Table2[[#This Row],[Team]],Table1[GameIsOver], 1, Table1[WatchedGame],1) + COUNTIFS(Table1[HomeTeam],Table2[[#This Row],[Team]],Table1[GameIsOver],1,Table1[WatchedGame],1)</f>
        <v>0</v>
      </c>
      <c r="F12">
        <f>COUNTIFS(Table1[AwayTeam],Table2[[#This Row],[Team]], Table1[GameIsOver],1)</f>
        <v>1</v>
      </c>
      <c r="G12">
        <f>COUNTIFS(Table1[HomeTeam],Table2[[#This Row],[Team]], Table1[GameIsOver],1)</f>
        <v>1</v>
      </c>
      <c r="H12">
        <f>Table2[[#This Row],[GP_A]]+Table2[[#This Row],[GP_H]]</f>
        <v>2</v>
      </c>
      <c r="I12">
        <f>84-Table2[[#This Row],[GP]]</f>
        <v>82</v>
      </c>
      <c r="J12">
        <f>COUNTIFS(Table1[AwayTeam], Table2[[#This Row],[Team]], Table1[GameIsOver], 1, Table1[AwayWon],1)</f>
        <v>1</v>
      </c>
      <c r="K12">
        <f>COUNTIFS(Table1[AwayTeam], Table2[[#This Row],[Team]], Table1[GameIsOver], 1, Table1[AwayWon],1, Table1[ActualResult], "REG")</f>
        <v>0</v>
      </c>
      <c r="L12">
        <f>COUNTIFS(Table1[AwayTeam], Table2[[#This Row],[Team]], Table1[GameIsOver], 1, Table1[AwayWon],1, Table1[ActualResult], "OT")</f>
        <v>0</v>
      </c>
      <c r="M12">
        <f>COUNTIFS(Table1[AwayTeam], Table2[[#This Row],[Team]], Table1[GameIsOver], 1, Table1[AwayWon],1, Table1[ActualResult], "SO")</f>
        <v>1</v>
      </c>
      <c r="N12">
        <f>COUNTIFS(Table1[AwayTeam], Table2[[#This Row],[Team]], Table1[GameIsOver], 1, Table1[AwayWon],0)</f>
        <v>0</v>
      </c>
      <c r="O12">
        <f>COUNTIFS(Table1[AwayTeam], Table2[[#This Row],[Team]], Table1[GameIsOver], 1, Table1[AwayWon],0, Table1[ActualResult], "REG")</f>
        <v>0</v>
      </c>
      <c r="P12">
        <f>COUNTIFS(Table1[AwayTeam], Table2[[#This Row],[Team]], Table1[GameIsOver], 1, Table1[AwayWon],0, Table1[ActualResult], "OT")</f>
        <v>0</v>
      </c>
      <c r="Q12">
        <f>COUNTIFS(Table1[AwayTeam], Table2[[#This Row],[Team]], Table1[GameIsOver], 1, Table1[AwayWon],0, Table1[ActualResult], "SO")</f>
        <v>0</v>
      </c>
      <c r="R12">
        <f>COUNTIFS(Table1[HomeTeam], Table2[[#This Row],[Team]], Table1[GameIsOver], 1, Table1[HomeWon],1)</f>
        <v>1</v>
      </c>
      <c r="S12">
        <f>COUNTIFS(Table1[HomeTeam], Table2[[#This Row],[Team]], Table1[GameIsOver], 1, Table1[HomeWon],1, Table1[ActualResult], "REG")</f>
        <v>0</v>
      </c>
      <c r="T12">
        <f>COUNTIFS(Table1[HomeTeam], Table2[[#This Row],[Team]], Table1[GameIsOver], 1, Table1[HomeWon],1, Table1[ActualResult], "OT")</f>
        <v>1</v>
      </c>
      <c r="U12">
        <f>COUNTIFS(Table1[HomeTeam], Table2[[#This Row],[Team]], Table1[GameIsOver], 1, Table1[HomeWon],1, Table1[ActualResult], "SO")</f>
        <v>0</v>
      </c>
      <c r="V12">
        <f>COUNTIFS(Table1[HomeTeam], Table2[[#This Row],[Team]], Table1[GameIsOver], 1, Table1[HomeWon],0)</f>
        <v>0</v>
      </c>
      <c r="W12">
        <f>COUNTIFS(Table1[HomeTeam], Table2[[#This Row],[Team]], Table1[GameIsOver], 1, Table1[HomeWon],0, Table1[ActualResult], "REG")</f>
        <v>0</v>
      </c>
      <c r="X12">
        <f>COUNTIFS(Table1[HomeTeam], Table2[[#This Row],[Team]], Table1[GameIsOver], 1, Table1[HomeWon],0, Table1[ActualResult], "OT")</f>
        <v>0</v>
      </c>
      <c r="Y12">
        <f>COUNTIFS(Table1[HomeTeam], Table2[[#This Row],[Team]], Table1[GameIsOver], 1, Table1[HomeWon],0, Table1[ActualResult], "SO")</f>
        <v>0</v>
      </c>
      <c r="Z12" s="36">
        <f>Table2[[#This Row],[W]]/MAX(1,Table2[[#This Row],[W]]+Table2[[#This Row],[L]])</f>
        <v>1</v>
      </c>
      <c r="AA12">
        <f>Table2[[#This Row],[W_A]]+Table2[[#This Row],[W_H]]</f>
        <v>2</v>
      </c>
      <c r="AB12">
        <f>Table2[[#This Row],[L_A]]+Table2[[#This Row],[L_H]]</f>
        <v>0</v>
      </c>
      <c r="AC12">
        <f>Table2[RW_A]+Table2[RW_H]</f>
        <v>0</v>
      </c>
      <c r="AD12">
        <f>Table2[RL_A]+Table2[RL_H]</f>
        <v>0</v>
      </c>
      <c r="AE12">
        <f>Table2[OTW_A]+Table2[OTW_H]</f>
        <v>1</v>
      </c>
      <c r="AF12">
        <f>Table2[OTL_A]+Table2[OTL_H]</f>
        <v>0</v>
      </c>
      <c r="AG12">
        <f>Table2[SOW_A]+Table2[SOW_H]</f>
        <v>1</v>
      </c>
      <c r="AH12">
        <f>Table2[SOL_A]+Table2[SOL_H]</f>
        <v>0</v>
      </c>
      <c r="AI12" t="str">
        <f>_xlfn.CONCAT(TEXT(Table2[[#This Row],[OTW]]+Table2[[#This Row],[SOW]], "0"), "-", TEXT(Table2[[#This Row],[OTL]]+Table2[[#This Row],[SOL]],"0"))</f>
        <v>2-0</v>
      </c>
      <c r="AJ12">
        <f>SUM(Table2[[#This Row],[OTW]],Table2[[#This Row],[OTL]],Table2[[#This Row],[SOW]],Table2[[#This Row],[SOL]])</f>
        <v>2</v>
      </c>
      <c r="AK12" s="36">
        <f>(Table2[[#This Row],[OTW]]+Table2[[#This Row],[SOW]])/IF(Table2[[#This Row],[Total_ExtraTimes]]=0,1,Table2[[#This Row],[Total_ExtraTimes]])</f>
        <v>1</v>
      </c>
      <c r="AL12" s="36">
        <f>Table2[[#This Row],[Total_ExtraTimes]]/MAX(1,Table2[[#This Row],[GP]])</f>
        <v>1</v>
      </c>
      <c r="AM12">
        <f>(2*(Table2[[#This Row],[W_A]]+Table2[[#This Row],[W_H]]))+Table2[[#This Row],[OTL_A]]+Table2[[#This Row],[SOL_A]]+Table2[[#This Row],[OTL_H]]+Table2[[#This Row],[SOL_H]]</f>
        <v>4</v>
      </c>
      <c r="AN12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4</v>
      </c>
      <c r="AO12">
        <f>Table2[[#This Row],[PTS]]/(2*Table2[[#This Row],[GP]])</f>
        <v>1</v>
      </c>
      <c r="AP12">
        <f>Table2[[#This Row],[PTS]]/(3*Table2[[#This Row],[GP]])</f>
        <v>0.66666666666666663</v>
      </c>
      <c r="AQ12">
        <f>(2*Table2[[#This Row],[GR]])+Table2[[#This Row],[PTS]]</f>
        <v>168</v>
      </c>
      <c r="AR12">
        <f>(3*Table2[[#This Row],[GR]])+Table2[[#This Row],[PTS]]</f>
        <v>250</v>
      </c>
      <c r="AS12">
        <f>Table2[[#This Row],[PTS]]+(2 * Table2[[#This Row],[GR]] * Table2[[#This Row],[PTS%]])</f>
        <v>168</v>
      </c>
      <c r="AT12">
        <f>Table2[[#This Row],[PTS]]+(3 * Table2[[#This Row],[GR]] * Table2[[#This Row],[PTS%]])</f>
        <v>250</v>
      </c>
      <c r="AU12" t="str">
        <f>_xlfn.CONCAT(TEXT(Table2[[#This Row],[W]], "0"), "-", TEXT(Table2[[#This Row],[RL]],"0"), "-", TEXT(Table2[[#This Row],[OTL]]+Table2[[#This Row],[SOL]], "0"))</f>
        <v>2-0-0</v>
      </c>
      <c r="AV12">
        <f>SUMIF(Table1[AwayTeam], Table2[[#This Row],[Team]], Table1[ActualAwayScore])</f>
        <v>4</v>
      </c>
      <c r="AW12">
        <f>SUMIF(Table1[AwayTeam], Table2[[#This Row],[Team]], Table1[ActualHomeScore])</f>
        <v>3</v>
      </c>
      <c r="AX12">
        <f>Table2[[#This Row],[GF_A]]-Table2[[#This Row],[GA_A]]</f>
        <v>1</v>
      </c>
      <c r="AY12">
        <f>SUMIF(Table1[HomeTeam], Table2[[#This Row],[Team]], Table1[ActualHomeScore])</f>
        <v>2</v>
      </c>
      <c r="AZ12">
        <f>SUMIF(Table1[HomeTeam], Table2[[#This Row],[Team]], Table1[ActualAwayScore])</f>
        <v>1</v>
      </c>
      <c r="BA12">
        <f>Table2[[#This Row],[GF_H]]-Table2[[#This Row],[GA_H]]</f>
        <v>1</v>
      </c>
      <c r="BB12">
        <f>SUMIFS(Table1[ActualAwayScore], Table1[AwayTeam], Table2[[#This Row],[Team]], Table1[AwayWon],1)+SUMIFS(Table1[ActualHomeScore], Table1[HomeTeam], Table2[[#This Row],[Team]], Table1[HomeWon],1)</f>
        <v>6</v>
      </c>
      <c r="BC12">
        <f>SUMIFS(Table1[ActualAwayScore], Table1[AwayTeam], Table2[[#This Row],[Team]], Table1[AwayWon],0) + SUMIFS(Table1[ActualHomeScore], Table1[HomeTeam], Table2[[#This Row],[Team]], Table1[HomeWon],0)</f>
        <v>0</v>
      </c>
      <c r="BD12">
        <f>Table2[[#This Row],[GF_W]]-Table2[[#This Row],[GF_L]]</f>
        <v>6</v>
      </c>
      <c r="BE12">
        <f>Table2[[#This Row],[GF_A]]+Table2[[#This Row],[GF_H]]</f>
        <v>6</v>
      </c>
      <c r="BF12">
        <f>Table2[[#This Row],[GA_A]]+Table2[[#This Row],[GA_H]]</f>
        <v>4</v>
      </c>
      <c r="BG12">
        <f>Table2[[#This Row],[GF]]-Table2[[#This Row],[GA]]</f>
        <v>2</v>
      </c>
      <c r="BH12">
        <f>Table2[[#This Row],[GF]]/Table2[[#This Row],[GP]]</f>
        <v>3</v>
      </c>
      <c r="BI12">
        <f>Table2[[#This Row],[GA]]/Table2[[#This Row],[GP]]</f>
        <v>2</v>
      </c>
      <c r="BJ12">
        <f>Table2[[#This Row],[GFPG]]-Table2[[#This Row],[GAPG]]</f>
        <v>1</v>
      </c>
      <c r="BK12" t="str">
        <f>_xlfn.CONCAT(TEXT(Table2[[#This Row],[W_A]], "0"), "-", TEXT(Table2[[#This Row],[RL_A]],"0"), "-", TEXT(Table2[[#This Row],[OTL_A]]+Table2[[#This Row],[SOL_A]], "0"))</f>
        <v>1-0-0</v>
      </c>
      <c r="BL12" t="str">
        <f>_xlfn.CONCAT(TEXT(Table2[[#This Row],[W_H]], "0"), "-", TEXT(Table2[[#This Row],[RL_H]],"0"), "-", TEXT(Table2[[#This Row],[OTL_H]]+Table2[[#This Row],[SOL_H]], "0"))</f>
        <v>1-0-0</v>
      </c>
    </row>
    <row r="13" spans="1:64" x14ac:dyDescent="0.25">
      <c r="A13" t="s">
        <v>17</v>
      </c>
      <c r="B13" t="s">
        <v>63</v>
      </c>
      <c r="C13" t="s">
        <v>67</v>
      </c>
      <c r="D13">
        <f>COUNTIFS(Table1[AwayTeam],Table2[[#This Row],[Team]],Table1[GameIsOver], 1, Table1[WatchedGame],1) + COUNTIFS(Table1[HomeTeam],Table2[[#This Row],[Team]],Table1[GameIsOver],1,Table1[WatchedGame],1)</f>
        <v>1</v>
      </c>
      <c r="F13">
        <f>COUNTIFS(Table1[AwayTeam],Table2[[#This Row],[Team]], Table1[GameIsOver],1)</f>
        <v>2</v>
      </c>
      <c r="G13">
        <f>COUNTIFS(Table1[HomeTeam],Table2[[#This Row],[Team]], Table1[GameIsOver],1)</f>
        <v>0</v>
      </c>
      <c r="H13">
        <f>Table2[[#This Row],[GP_A]]+Table2[[#This Row],[GP_H]]</f>
        <v>2</v>
      </c>
      <c r="I13">
        <f>84-Table2[[#This Row],[GP]]</f>
        <v>82</v>
      </c>
      <c r="J13">
        <f>COUNTIFS(Table1[AwayTeam], Table2[[#This Row],[Team]], Table1[GameIsOver], 1, Table1[AwayWon],1)</f>
        <v>2</v>
      </c>
      <c r="K13">
        <f>COUNTIFS(Table1[AwayTeam], Table2[[#This Row],[Team]], Table1[GameIsOver], 1, Table1[AwayWon],1, Table1[ActualResult], "REG")</f>
        <v>2</v>
      </c>
      <c r="L13">
        <f>COUNTIFS(Table1[AwayTeam], Table2[[#This Row],[Team]], Table1[GameIsOver], 1, Table1[AwayWon],1, Table1[ActualResult], "OT")</f>
        <v>0</v>
      </c>
      <c r="M13">
        <f>COUNTIFS(Table1[AwayTeam], Table2[[#This Row],[Team]], Table1[GameIsOver], 1, Table1[AwayWon],1, Table1[ActualResult], "SO")</f>
        <v>0</v>
      </c>
      <c r="N13">
        <f>COUNTIFS(Table1[AwayTeam], Table2[[#This Row],[Team]], Table1[GameIsOver], 1, Table1[AwayWon],0)</f>
        <v>0</v>
      </c>
      <c r="O13">
        <f>COUNTIFS(Table1[AwayTeam], Table2[[#This Row],[Team]], Table1[GameIsOver], 1, Table1[AwayWon],0, Table1[ActualResult], "REG")</f>
        <v>0</v>
      </c>
      <c r="P13">
        <f>COUNTIFS(Table1[AwayTeam], Table2[[#This Row],[Team]], Table1[GameIsOver], 1, Table1[AwayWon],0, Table1[ActualResult], "OT")</f>
        <v>0</v>
      </c>
      <c r="Q13">
        <f>COUNTIFS(Table1[AwayTeam], Table2[[#This Row],[Team]], Table1[GameIsOver], 1, Table1[AwayWon],0, Table1[ActualResult], "SO")</f>
        <v>0</v>
      </c>
      <c r="R13">
        <f>COUNTIFS(Table1[HomeTeam], Table2[[#This Row],[Team]], Table1[GameIsOver], 1, Table1[HomeWon],1)</f>
        <v>0</v>
      </c>
      <c r="S13">
        <f>COUNTIFS(Table1[HomeTeam], Table2[[#This Row],[Team]], Table1[GameIsOver], 1, Table1[HomeWon],1, Table1[ActualResult], "REG")</f>
        <v>0</v>
      </c>
      <c r="T13">
        <f>COUNTIFS(Table1[HomeTeam], Table2[[#This Row],[Team]], Table1[GameIsOver], 1, Table1[HomeWon],1, Table1[ActualResult], "OT")</f>
        <v>0</v>
      </c>
      <c r="U13">
        <f>COUNTIFS(Table1[HomeTeam], Table2[[#This Row],[Team]], Table1[GameIsOver], 1, Table1[HomeWon],1, Table1[ActualResult], "SO")</f>
        <v>0</v>
      </c>
      <c r="V13">
        <f>COUNTIFS(Table1[HomeTeam], Table2[[#This Row],[Team]], Table1[GameIsOver], 1, Table1[HomeWon],0)</f>
        <v>0</v>
      </c>
      <c r="W13">
        <f>COUNTIFS(Table1[HomeTeam], Table2[[#This Row],[Team]], Table1[GameIsOver], 1, Table1[HomeWon],0, Table1[ActualResult], "REG")</f>
        <v>0</v>
      </c>
      <c r="X13">
        <f>COUNTIFS(Table1[HomeTeam], Table2[[#This Row],[Team]], Table1[GameIsOver], 1, Table1[HomeWon],0, Table1[ActualResult], "OT")</f>
        <v>0</v>
      </c>
      <c r="Y13">
        <f>COUNTIFS(Table1[HomeTeam], Table2[[#This Row],[Team]], Table1[GameIsOver], 1, Table1[HomeWon],0, Table1[ActualResult], "SO")</f>
        <v>0</v>
      </c>
      <c r="Z13" s="36">
        <f>Table2[[#This Row],[W]]/MAX(1,Table2[[#This Row],[W]]+Table2[[#This Row],[L]])</f>
        <v>1</v>
      </c>
      <c r="AA13">
        <f>Table2[[#This Row],[W_A]]+Table2[[#This Row],[W_H]]</f>
        <v>2</v>
      </c>
      <c r="AB13">
        <f>Table2[[#This Row],[L_A]]+Table2[[#This Row],[L_H]]</f>
        <v>0</v>
      </c>
      <c r="AC13">
        <f>Table2[RW_A]+Table2[RW_H]</f>
        <v>2</v>
      </c>
      <c r="AD13">
        <f>Table2[RL_A]+Table2[RL_H]</f>
        <v>0</v>
      </c>
      <c r="AE13">
        <f>Table2[OTW_A]+Table2[OTW_H]</f>
        <v>0</v>
      </c>
      <c r="AF13">
        <f>Table2[OTL_A]+Table2[OTL_H]</f>
        <v>0</v>
      </c>
      <c r="AG13">
        <f>Table2[SOW_A]+Table2[SOW_H]</f>
        <v>0</v>
      </c>
      <c r="AH13">
        <f>Table2[SOL_A]+Table2[SOL_H]</f>
        <v>0</v>
      </c>
      <c r="AI13" t="str">
        <f>_xlfn.CONCAT(TEXT(Table2[[#This Row],[OTW]]+Table2[[#This Row],[SOW]], "0"), "-", TEXT(Table2[[#This Row],[OTL]]+Table2[[#This Row],[SOL]],"0"))</f>
        <v>0-0</v>
      </c>
      <c r="AJ13">
        <f>SUM(Table2[[#This Row],[OTW]],Table2[[#This Row],[OTL]],Table2[[#This Row],[SOW]],Table2[[#This Row],[SOL]])</f>
        <v>0</v>
      </c>
      <c r="AK13" s="36">
        <f>(Table2[[#This Row],[OTW]]+Table2[[#This Row],[SOW]])/IF(Table2[[#This Row],[Total_ExtraTimes]]=0,1,Table2[[#This Row],[Total_ExtraTimes]])</f>
        <v>0</v>
      </c>
      <c r="AL13" s="36">
        <f>Table2[[#This Row],[Total_ExtraTimes]]/MAX(1,Table2[[#This Row],[GP]])</f>
        <v>0</v>
      </c>
      <c r="AM13">
        <f>(2*(Table2[[#This Row],[W_A]]+Table2[[#This Row],[W_H]]))+Table2[[#This Row],[OTL_A]]+Table2[[#This Row],[SOL_A]]+Table2[[#This Row],[OTL_H]]+Table2[[#This Row],[SOL_H]]</f>
        <v>4</v>
      </c>
      <c r="AN1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6</v>
      </c>
      <c r="AO13">
        <f>Table2[[#This Row],[PTS]]/(2*Table2[[#This Row],[GP]])</f>
        <v>1</v>
      </c>
      <c r="AP13">
        <f>Table2[[#This Row],[PTS]]/(3*Table2[[#This Row],[GP]])</f>
        <v>0.66666666666666663</v>
      </c>
      <c r="AQ13">
        <f>(2*Table2[[#This Row],[GR]])+Table2[[#This Row],[PTS]]</f>
        <v>168</v>
      </c>
      <c r="AR13">
        <f>(3*Table2[[#This Row],[GR]])+Table2[[#This Row],[PTS]]</f>
        <v>250</v>
      </c>
      <c r="AS13">
        <f>Table2[[#This Row],[PTS]]+(2 * Table2[[#This Row],[GR]] * Table2[[#This Row],[PTS%]])</f>
        <v>168</v>
      </c>
      <c r="AT13">
        <f>Table2[[#This Row],[PTS]]+(3 * Table2[[#This Row],[GR]] * Table2[[#This Row],[PTS%]])</f>
        <v>250</v>
      </c>
      <c r="AU13" t="str">
        <f>_xlfn.CONCAT(TEXT(Table2[[#This Row],[W]], "0"), "-", TEXT(Table2[[#This Row],[RL]],"0"), "-", TEXT(Table2[[#This Row],[OTL]]+Table2[[#This Row],[SOL]], "0"))</f>
        <v>2-0-0</v>
      </c>
      <c r="AV13">
        <f>SUMIF(Table1[AwayTeam], Table2[[#This Row],[Team]], Table1[ActualAwayScore])</f>
        <v>9</v>
      </c>
      <c r="AW13">
        <f>SUMIF(Table1[AwayTeam], Table2[[#This Row],[Team]], Table1[ActualHomeScore])</f>
        <v>4</v>
      </c>
      <c r="AX13">
        <f>Table2[[#This Row],[GF_A]]-Table2[[#This Row],[GA_A]]</f>
        <v>5</v>
      </c>
      <c r="AY13">
        <f>SUMIF(Table1[HomeTeam], Table2[[#This Row],[Team]], Table1[ActualHomeScore])</f>
        <v>0</v>
      </c>
      <c r="AZ13">
        <f>SUMIF(Table1[HomeTeam], Table2[[#This Row],[Team]], Table1[ActualAwayScore])</f>
        <v>0</v>
      </c>
      <c r="BA13">
        <f>Table2[[#This Row],[GF_H]]-Table2[[#This Row],[GA_H]]</f>
        <v>0</v>
      </c>
      <c r="BB13">
        <f>SUMIFS(Table1[ActualAwayScore], Table1[AwayTeam], Table2[[#This Row],[Team]], Table1[AwayWon],1)+SUMIFS(Table1[ActualHomeScore], Table1[HomeTeam], Table2[[#This Row],[Team]], Table1[HomeWon],1)</f>
        <v>9</v>
      </c>
      <c r="BC13">
        <f>SUMIFS(Table1[ActualAwayScore], Table1[AwayTeam], Table2[[#This Row],[Team]], Table1[AwayWon],0) + SUMIFS(Table1[ActualHomeScore], Table1[HomeTeam], Table2[[#This Row],[Team]], Table1[HomeWon],0)</f>
        <v>0</v>
      </c>
      <c r="BD13">
        <f>Table2[[#This Row],[GF_W]]-Table2[[#This Row],[GF_L]]</f>
        <v>9</v>
      </c>
      <c r="BE13">
        <f>Table2[[#This Row],[GF_A]]+Table2[[#This Row],[GF_H]]</f>
        <v>9</v>
      </c>
      <c r="BF13">
        <f>Table2[[#This Row],[GA_A]]+Table2[[#This Row],[GA_H]]</f>
        <v>4</v>
      </c>
      <c r="BG13">
        <f>Table2[[#This Row],[GF]]-Table2[[#This Row],[GA]]</f>
        <v>5</v>
      </c>
      <c r="BH13">
        <f>Table2[[#This Row],[GF]]/Table2[[#This Row],[GP]]</f>
        <v>4.5</v>
      </c>
      <c r="BI13">
        <f>Table2[[#This Row],[GA]]/Table2[[#This Row],[GP]]</f>
        <v>2</v>
      </c>
      <c r="BJ13">
        <f>Table2[[#This Row],[GFPG]]-Table2[[#This Row],[GAPG]]</f>
        <v>2.5</v>
      </c>
      <c r="BK13" t="str">
        <f>_xlfn.CONCAT(TEXT(Table2[[#This Row],[W_A]], "0"), "-", TEXT(Table2[[#This Row],[RL_A]],"0"), "-", TEXT(Table2[[#This Row],[OTL_A]]+Table2[[#This Row],[SOL_A]], "0"))</f>
        <v>2-0-0</v>
      </c>
      <c r="BL13" t="str">
        <f>_xlfn.CONCAT(TEXT(Table2[[#This Row],[W_H]], "0"), "-", TEXT(Table2[[#This Row],[RL_H]],"0"), "-", TEXT(Table2[[#This Row],[OTL_H]]+Table2[[#This Row],[SOL_H]], "0"))</f>
        <v>0-0-0</v>
      </c>
    </row>
    <row r="14" spans="1:64" x14ac:dyDescent="0.25">
      <c r="A14" t="s">
        <v>46</v>
      </c>
      <c r="B14" t="s">
        <v>62</v>
      </c>
      <c r="C14" t="s">
        <v>66</v>
      </c>
      <c r="D14">
        <f>COUNTIFS(Table1[AwayTeam],Table2[[#This Row],[Team]],Table1[GameIsOver], 1, Table1[WatchedGame],1) + COUNTIFS(Table1[HomeTeam],Table2[[#This Row],[Team]],Table1[GameIsOver],1,Table1[WatchedGame],1)</f>
        <v>0</v>
      </c>
      <c r="F14">
        <f>COUNTIFS(Table1[AwayTeam],Table2[[#This Row],[Team]], Table1[GameIsOver],1)</f>
        <v>1</v>
      </c>
      <c r="G14">
        <f>COUNTIFS(Table1[HomeTeam],Table2[[#This Row],[Team]], Table1[GameIsOver],1)</f>
        <v>0</v>
      </c>
      <c r="H14">
        <f>Table2[[#This Row],[GP_A]]+Table2[[#This Row],[GP_H]]</f>
        <v>1</v>
      </c>
      <c r="I14">
        <f>84-Table2[[#This Row],[GP]]</f>
        <v>83</v>
      </c>
      <c r="J14">
        <f>COUNTIFS(Table1[AwayTeam], Table2[[#This Row],[Team]], Table1[GameIsOver], 1, Table1[AwayWon],1)</f>
        <v>1</v>
      </c>
      <c r="K14">
        <f>COUNTIFS(Table1[AwayTeam], Table2[[#This Row],[Team]], Table1[GameIsOver], 1, Table1[AwayWon],1, Table1[ActualResult], "REG")</f>
        <v>0</v>
      </c>
      <c r="L14">
        <f>COUNTIFS(Table1[AwayTeam], Table2[[#This Row],[Team]], Table1[GameIsOver], 1, Table1[AwayWon],1, Table1[ActualResult], "OT")</f>
        <v>1</v>
      </c>
      <c r="M14">
        <f>COUNTIFS(Table1[AwayTeam], Table2[[#This Row],[Team]], Table1[GameIsOver], 1, Table1[AwayWon],1, Table1[ActualResult], "SO")</f>
        <v>0</v>
      </c>
      <c r="N14">
        <f>COUNTIFS(Table1[AwayTeam], Table2[[#This Row],[Team]], Table1[GameIsOver], 1, Table1[AwayWon],0)</f>
        <v>0</v>
      </c>
      <c r="O14">
        <f>COUNTIFS(Table1[AwayTeam], Table2[[#This Row],[Team]], Table1[GameIsOver], 1, Table1[AwayWon],0, Table1[ActualResult], "REG")</f>
        <v>0</v>
      </c>
      <c r="P14">
        <f>COUNTIFS(Table1[AwayTeam], Table2[[#This Row],[Team]], Table1[GameIsOver], 1, Table1[AwayWon],0, Table1[ActualResult], "OT")</f>
        <v>0</v>
      </c>
      <c r="Q14">
        <f>COUNTIFS(Table1[AwayTeam], Table2[[#This Row],[Team]], Table1[GameIsOver], 1, Table1[AwayWon],0, Table1[ActualResult], "SO")</f>
        <v>0</v>
      </c>
      <c r="R14">
        <f>COUNTIFS(Table1[HomeTeam], Table2[[#This Row],[Team]], Table1[GameIsOver], 1, Table1[HomeWon],1)</f>
        <v>0</v>
      </c>
      <c r="S14">
        <f>COUNTIFS(Table1[HomeTeam], Table2[[#This Row],[Team]], Table1[GameIsOver], 1, Table1[HomeWon],1, Table1[ActualResult], "REG")</f>
        <v>0</v>
      </c>
      <c r="T14">
        <f>COUNTIFS(Table1[HomeTeam], Table2[[#This Row],[Team]], Table1[GameIsOver], 1, Table1[HomeWon],1, Table1[ActualResult], "OT")</f>
        <v>0</v>
      </c>
      <c r="U14">
        <f>COUNTIFS(Table1[HomeTeam], Table2[[#This Row],[Team]], Table1[GameIsOver], 1, Table1[HomeWon],1, Table1[ActualResult], "SO")</f>
        <v>0</v>
      </c>
      <c r="V14">
        <f>COUNTIFS(Table1[HomeTeam], Table2[[#This Row],[Team]], Table1[GameIsOver], 1, Table1[HomeWon],0)</f>
        <v>0</v>
      </c>
      <c r="W14">
        <f>COUNTIFS(Table1[HomeTeam], Table2[[#This Row],[Team]], Table1[GameIsOver], 1, Table1[HomeWon],0, Table1[ActualResult], "REG")</f>
        <v>0</v>
      </c>
      <c r="X14">
        <f>COUNTIFS(Table1[HomeTeam], Table2[[#This Row],[Team]], Table1[GameIsOver], 1, Table1[HomeWon],0, Table1[ActualResult], "OT")</f>
        <v>0</v>
      </c>
      <c r="Y14">
        <f>COUNTIFS(Table1[HomeTeam], Table2[[#This Row],[Team]], Table1[GameIsOver], 1, Table1[HomeWon],0, Table1[ActualResult], "SO")</f>
        <v>0</v>
      </c>
      <c r="Z14" s="36">
        <f>Table2[[#This Row],[W]]/MAX(1,Table2[[#This Row],[W]]+Table2[[#This Row],[L]])</f>
        <v>1</v>
      </c>
      <c r="AA14">
        <f>Table2[[#This Row],[W_A]]+Table2[[#This Row],[W_H]]</f>
        <v>1</v>
      </c>
      <c r="AB14">
        <f>Table2[[#This Row],[L_A]]+Table2[[#This Row],[L_H]]</f>
        <v>0</v>
      </c>
      <c r="AC14">
        <f>Table2[RW_A]+Table2[RW_H]</f>
        <v>0</v>
      </c>
      <c r="AD14">
        <f>Table2[RL_A]+Table2[RL_H]</f>
        <v>0</v>
      </c>
      <c r="AE14">
        <f>Table2[OTW_A]+Table2[OTW_H]</f>
        <v>1</v>
      </c>
      <c r="AF14">
        <f>Table2[OTL_A]+Table2[OTL_H]</f>
        <v>0</v>
      </c>
      <c r="AG14">
        <f>Table2[SOW_A]+Table2[SOW_H]</f>
        <v>0</v>
      </c>
      <c r="AH14">
        <f>Table2[SOL_A]+Table2[SOL_H]</f>
        <v>0</v>
      </c>
      <c r="AI14" t="str">
        <f>_xlfn.CONCAT(TEXT(Table2[[#This Row],[OTW]]+Table2[[#This Row],[SOW]], "0"), "-", TEXT(Table2[[#This Row],[OTL]]+Table2[[#This Row],[SOL]],"0"))</f>
        <v>1-0</v>
      </c>
      <c r="AJ14">
        <f>SUM(Table2[[#This Row],[OTW]],Table2[[#This Row],[OTL]],Table2[[#This Row],[SOW]],Table2[[#This Row],[SOL]])</f>
        <v>1</v>
      </c>
      <c r="AK14" s="36">
        <f>(Table2[[#This Row],[OTW]]+Table2[[#This Row],[SOW]])/IF(Table2[[#This Row],[Total_ExtraTimes]]=0,1,Table2[[#This Row],[Total_ExtraTimes]])</f>
        <v>1</v>
      </c>
      <c r="AL14" s="36">
        <f>Table2[[#This Row],[Total_ExtraTimes]]/MAX(1,Table2[[#This Row],[GP]])</f>
        <v>1</v>
      </c>
      <c r="AM14">
        <f>(2*(Table2[[#This Row],[W_A]]+Table2[[#This Row],[W_H]]))+Table2[[#This Row],[OTL_A]]+Table2[[#This Row],[SOL_A]]+Table2[[#This Row],[OTL_H]]+Table2[[#This Row],[SOL_H]]</f>
        <v>2</v>
      </c>
      <c r="AN14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2</v>
      </c>
      <c r="AO14">
        <f>Table2[[#This Row],[PTS]]/(2*Table2[[#This Row],[GP]])</f>
        <v>1</v>
      </c>
      <c r="AP14">
        <f>Table2[[#This Row],[PTS]]/(3*Table2[[#This Row],[GP]])</f>
        <v>0.66666666666666663</v>
      </c>
      <c r="AQ14">
        <f>(2*Table2[[#This Row],[GR]])+Table2[[#This Row],[PTS]]</f>
        <v>168</v>
      </c>
      <c r="AR14">
        <f>(3*Table2[[#This Row],[GR]])+Table2[[#This Row],[PTS]]</f>
        <v>251</v>
      </c>
      <c r="AS14">
        <f>Table2[[#This Row],[PTS]]+(2 * Table2[[#This Row],[GR]] * Table2[[#This Row],[PTS%]])</f>
        <v>168</v>
      </c>
      <c r="AT14">
        <f>Table2[[#This Row],[PTS]]+(3 * Table2[[#This Row],[GR]] * Table2[[#This Row],[PTS%]])</f>
        <v>251</v>
      </c>
      <c r="AU14" t="str">
        <f>_xlfn.CONCAT(TEXT(Table2[[#This Row],[W]], "0"), "-", TEXT(Table2[[#This Row],[RL]],"0"), "-", TEXT(Table2[[#This Row],[OTL]]+Table2[[#This Row],[SOL]], "0"))</f>
        <v>1-0-0</v>
      </c>
      <c r="AV14">
        <f>SUMIF(Table1[AwayTeam], Table2[[#This Row],[Team]], Table1[ActualAwayScore])</f>
        <v>2</v>
      </c>
      <c r="AW14">
        <f>SUMIF(Table1[AwayTeam], Table2[[#This Row],[Team]], Table1[ActualHomeScore])</f>
        <v>1</v>
      </c>
      <c r="AX14">
        <f>Table2[[#This Row],[GF_A]]-Table2[[#This Row],[GA_A]]</f>
        <v>1</v>
      </c>
      <c r="AY14">
        <f>SUMIF(Table1[HomeTeam], Table2[[#This Row],[Team]], Table1[ActualHomeScore])</f>
        <v>0</v>
      </c>
      <c r="AZ14">
        <f>SUMIF(Table1[HomeTeam], Table2[[#This Row],[Team]], Table1[ActualAwayScore])</f>
        <v>0</v>
      </c>
      <c r="BA14">
        <f>Table2[[#This Row],[GF_H]]-Table2[[#This Row],[GA_H]]</f>
        <v>0</v>
      </c>
      <c r="BB14">
        <f>SUMIFS(Table1[ActualAwayScore], Table1[AwayTeam], Table2[[#This Row],[Team]], Table1[AwayWon],1)+SUMIFS(Table1[ActualHomeScore], Table1[HomeTeam], Table2[[#This Row],[Team]], Table1[HomeWon],1)</f>
        <v>2</v>
      </c>
      <c r="BC14">
        <f>SUMIFS(Table1[ActualAwayScore], Table1[AwayTeam], Table2[[#This Row],[Team]], Table1[AwayWon],0) + SUMIFS(Table1[ActualHomeScore], Table1[HomeTeam], Table2[[#This Row],[Team]], Table1[HomeWon],0)</f>
        <v>0</v>
      </c>
      <c r="BD14">
        <f>Table2[[#This Row],[GF_W]]-Table2[[#This Row],[GF_L]]</f>
        <v>2</v>
      </c>
      <c r="BE14">
        <f>Table2[[#This Row],[GF_A]]+Table2[[#This Row],[GF_H]]</f>
        <v>2</v>
      </c>
      <c r="BF14">
        <f>Table2[[#This Row],[GA_A]]+Table2[[#This Row],[GA_H]]</f>
        <v>1</v>
      </c>
      <c r="BG14">
        <f>Table2[[#This Row],[GF]]-Table2[[#This Row],[GA]]</f>
        <v>1</v>
      </c>
      <c r="BH14">
        <f>Table2[[#This Row],[GF]]/Table2[[#This Row],[GP]]</f>
        <v>2</v>
      </c>
      <c r="BI14">
        <f>Table2[[#This Row],[GA]]/Table2[[#This Row],[GP]]</f>
        <v>1</v>
      </c>
      <c r="BJ14">
        <f>Table2[[#This Row],[GFPG]]-Table2[[#This Row],[GAPG]]</f>
        <v>1</v>
      </c>
      <c r="BK14" t="str">
        <f>_xlfn.CONCAT(TEXT(Table2[[#This Row],[W_A]], "0"), "-", TEXT(Table2[[#This Row],[RL_A]],"0"), "-", TEXT(Table2[[#This Row],[OTL_A]]+Table2[[#This Row],[SOL_A]], "0"))</f>
        <v>1-0-0</v>
      </c>
      <c r="BL14" t="str">
        <f>_xlfn.CONCAT(TEXT(Table2[[#This Row],[W_H]], "0"), "-", TEXT(Table2[[#This Row],[RL_H]],"0"), "-", TEXT(Table2[[#This Row],[OTL_H]]+Table2[[#This Row],[SOL_H]], "0"))</f>
        <v>0-0-0</v>
      </c>
    </row>
    <row r="15" spans="1:64" x14ac:dyDescent="0.25">
      <c r="A15" t="s">
        <v>22</v>
      </c>
      <c r="B15" t="s">
        <v>62</v>
      </c>
      <c r="C15" t="s">
        <v>64</v>
      </c>
      <c r="D15">
        <f>COUNTIFS(Table1[AwayTeam],Table2[[#This Row],[Team]],Table1[GameIsOver], 1, Table1[WatchedGame],1) + COUNTIFS(Table1[HomeTeam],Table2[[#This Row],[Team]],Table1[GameIsOver],1,Table1[WatchedGame],1)</f>
        <v>0</v>
      </c>
      <c r="F15">
        <f>COUNTIFS(Table1[AwayTeam],Table2[[#This Row],[Team]], Table1[GameIsOver],1)</f>
        <v>1</v>
      </c>
      <c r="G15">
        <f>COUNTIFS(Table1[HomeTeam],Table2[[#This Row],[Team]], Table1[GameIsOver],1)</f>
        <v>0</v>
      </c>
      <c r="H15">
        <f>Table2[[#This Row],[GP_A]]+Table2[[#This Row],[GP_H]]</f>
        <v>1</v>
      </c>
      <c r="I15">
        <f>84-Table2[[#This Row],[GP]]</f>
        <v>83</v>
      </c>
      <c r="J15">
        <f>COUNTIFS(Table1[AwayTeam], Table2[[#This Row],[Team]], Table1[GameIsOver], 1, Table1[AwayWon],1)</f>
        <v>0</v>
      </c>
      <c r="K15">
        <f>COUNTIFS(Table1[AwayTeam], Table2[[#This Row],[Team]], Table1[GameIsOver], 1, Table1[AwayWon],1, Table1[ActualResult], "REG")</f>
        <v>0</v>
      </c>
      <c r="L15">
        <f>COUNTIFS(Table1[AwayTeam], Table2[[#This Row],[Team]], Table1[GameIsOver], 1, Table1[AwayWon],1, Table1[ActualResult], "OT")</f>
        <v>0</v>
      </c>
      <c r="M15">
        <f>COUNTIFS(Table1[AwayTeam], Table2[[#This Row],[Team]], Table1[GameIsOver], 1, Table1[AwayWon],1, Table1[ActualResult], "SO")</f>
        <v>0</v>
      </c>
      <c r="N15">
        <f>COUNTIFS(Table1[AwayTeam], Table2[[#This Row],[Team]], Table1[GameIsOver], 1, Table1[AwayWon],0)</f>
        <v>1</v>
      </c>
      <c r="O15">
        <f>COUNTIFS(Table1[AwayTeam], Table2[[#This Row],[Team]], Table1[GameIsOver], 1, Table1[AwayWon],0, Table1[ActualResult], "REG")</f>
        <v>0</v>
      </c>
      <c r="P15">
        <f>COUNTIFS(Table1[AwayTeam], Table2[[#This Row],[Team]], Table1[GameIsOver], 1, Table1[AwayWon],0, Table1[ActualResult], "OT")</f>
        <v>0</v>
      </c>
      <c r="Q15">
        <f>COUNTIFS(Table1[AwayTeam], Table2[[#This Row],[Team]], Table1[GameIsOver], 1, Table1[AwayWon],0, Table1[ActualResult], "SO")</f>
        <v>1</v>
      </c>
      <c r="R15">
        <f>COUNTIFS(Table1[HomeTeam], Table2[[#This Row],[Team]], Table1[GameIsOver], 1, Table1[HomeWon],1)</f>
        <v>0</v>
      </c>
      <c r="S15">
        <f>COUNTIFS(Table1[HomeTeam], Table2[[#This Row],[Team]], Table1[GameIsOver], 1, Table1[HomeWon],1, Table1[ActualResult], "REG")</f>
        <v>0</v>
      </c>
      <c r="T15">
        <f>COUNTIFS(Table1[HomeTeam], Table2[[#This Row],[Team]], Table1[GameIsOver], 1, Table1[HomeWon],1, Table1[ActualResult], "OT")</f>
        <v>0</v>
      </c>
      <c r="U15">
        <f>COUNTIFS(Table1[HomeTeam], Table2[[#This Row],[Team]], Table1[GameIsOver], 1, Table1[HomeWon],1, Table1[ActualResult], "SO")</f>
        <v>0</v>
      </c>
      <c r="V15">
        <f>COUNTIFS(Table1[HomeTeam], Table2[[#This Row],[Team]], Table1[GameIsOver], 1, Table1[HomeWon],0)</f>
        <v>0</v>
      </c>
      <c r="W15">
        <f>COUNTIFS(Table1[HomeTeam], Table2[[#This Row],[Team]], Table1[GameIsOver], 1, Table1[HomeWon],0, Table1[ActualResult], "REG")</f>
        <v>0</v>
      </c>
      <c r="X15">
        <f>COUNTIFS(Table1[HomeTeam], Table2[[#This Row],[Team]], Table1[GameIsOver], 1, Table1[HomeWon],0, Table1[ActualResult], "OT")</f>
        <v>0</v>
      </c>
      <c r="Y15">
        <f>COUNTIFS(Table1[HomeTeam], Table2[[#This Row],[Team]], Table1[GameIsOver], 1, Table1[HomeWon],0, Table1[ActualResult], "SO")</f>
        <v>0</v>
      </c>
      <c r="Z15" s="36">
        <f>Table2[[#This Row],[W]]/MAX(1,Table2[[#This Row],[W]]+Table2[[#This Row],[L]])</f>
        <v>0</v>
      </c>
      <c r="AA15">
        <f>Table2[[#This Row],[W_A]]+Table2[[#This Row],[W_H]]</f>
        <v>0</v>
      </c>
      <c r="AB15">
        <f>Table2[[#This Row],[L_A]]+Table2[[#This Row],[L_H]]</f>
        <v>1</v>
      </c>
      <c r="AC15">
        <f>Table2[RW_A]+Table2[RW_H]</f>
        <v>0</v>
      </c>
      <c r="AD15">
        <f>Table2[RL_A]+Table2[RL_H]</f>
        <v>0</v>
      </c>
      <c r="AE15">
        <f>Table2[OTW_A]+Table2[OTW_H]</f>
        <v>0</v>
      </c>
      <c r="AF15">
        <f>Table2[OTL_A]+Table2[OTL_H]</f>
        <v>0</v>
      </c>
      <c r="AG15">
        <f>Table2[SOW_A]+Table2[SOW_H]</f>
        <v>0</v>
      </c>
      <c r="AH15">
        <f>Table2[SOL_A]+Table2[SOL_H]</f>
        <v>1</v>
      </c>
      <c r="AI15" t="str">
        <f>_xlfn.CONCAT(TEXT(Table2[[#This Row],[OTW]]+Table2[[#This Row],[SOW]], "0"), "-", TEXT(Table2[[#This Row],[OTL]]+Table2[[#This Row],[SOL]],"0"))</f>
        <v>0-1</v>
      </c>
      <c r="AJ15">
        <f>SUM(Table2[[#This Row],[OTW]],Table2[[#This Row],[OTL]],Table2[[#This Row],[SOW]],Table2[[#This Row],[SOL]])</f>
        <v>1</v>
      </c>
      <c r="AK15" s="36">
        <f>(Table2[[#This Row],[OTW]]+Table2[[#This Row],[SOW]])/IF(Table2[[#This Row],[Total_ExtraTimes]]=0,1,Table2[[#This Row],[Total_ExtraTimes]])</f>
        <v>0</v>
      </c>
      <c r="AL15" s="36">
        <f>Table2[[#This Row],[Total_ExtraTimes]]/MAX(1,Table2[[#This Row],[GP]])</f>
        <v>1</v>
      </c>
      <c r="AM15">
        <f>(2*(Table2[[#This Row],[W_A]]+Table2[[#This Row],[W_H]]))+Table2[[#This Row],[OTL_A]]+Table2[[#This Row],[SOL_A]]+Table2[[#This Row],[OTL_H]]+Table2[[#This Row],[SOL_H]]</f>
        <v>1</v>
      </c>
      <c r="AN15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1</v>
      </c>
      <c r="AO15">
        <f>Table2[[#This Row],[PTS]]/(2*Table2[[#This Row],[GP]])</f>
        <v>0.5</v>
      </c>
      <c r="AP15">
        <f>Table2[[#This Row],[PTS]]/(3*Table2[[#This Row],[GP]])</f>
        <v>0.33333333333333331</v>
      </c>
      <c r="AQ15">
        <f>(2*Table2[[#This Row],[GR]])+Table2[[#This Row],[PTS]]</f>
        <v>167</v>
      </c>
      <c r="AR15">
        <f>(3*Table2[[#This Row],[GR]])+Table2[[#This Row],[PTS]]</f>
        <v>250</v>
      </c>
      <c r="AS15">
        <f>Table2[[#This Row],[PTS]]+(2 * Table2[[#This Row],[GR]] * Table2[[#This Row],[PTS%]])</f>
        <v>84</v>
      </c>
      <c r="AT15">
        <f>Table2[[#This Row],[PTS]]+(3 * Table2[[#This Row],[GR]] * Table2[[#This Row],[PTS%]])</f>
        <v>125.5</v>
      </c>
      <c r="AU15" t="str">
        <f>_xlfn.CONCAT(TEXT(Table2[[#This Row],[W]], "0"), "-", TEXT(Table2[[#This Row],[RL]],"0"), "-", TEXT(Table2[[#This Row],[OTL]]+Table2[[#This Row],[SOL]], "0"))</f>
        <v>0-0-1</v>
      </c>
      <c r="AV15">
        <f>SUMIF(Table1[AwayTeam], Table2[[#This Row],[Team]], Table1[ActualAwayScore])</f>
        <v>2</v>
      </c>
      <c r="AW15">
        <f>SUMIF(Table1[AwayTeam], Table2[[#This Row],[Team]], Table1[ActualHomeScore])</f>
        <v>3</v>
      </c>
      <c r="AX15">
        <f>Table2[[#This Row],[GF_A]]-Table2[[#This Row],[GA_A]]</f>
        <v>-1</v>
      </c>
      <c r="AY15">
        <f>SUMIF(Table1[HomeTeam], Table2[[#This Row],[Team]], Table1[ActualHomeScore])</f>
        <v>0</v>
      </c>
      <c r="AZ15">
        <f>SUMIF(Table1[HomeTeam], Table2[[#This Row],[Team]], Table1[ActualAwayScore])</f>
        <v>0</v>
      </c>
      <c r="BA15">
        <f>Table2[[#This Row],[GF_H]]-Table2[[#This Row],[GA_H]]</f>
        <v>0</v>
      </c>
      <c r="BB15">
        <f>SUMIFS(Table1[ActualAwayScore], Table1[AwayTeam], Table2[[#This Row],[Team]], Table1[AwayWon],1)+SUMIFS(Table1[ActualHomeScore], Table1[HomeTeam], Table2[[#This Row],[Team]], Table1[HomeWon],1)</f>
        <v>0</v>
      </c>
      <c r="BC15">
        <f>SUMIFS(Table1[ActualAwayScore], Table1[AwayTeam], Table2[[#This Row],[Team]], Table1[AwayWon],0) + SUMIFS(Table1[ActualHomeScore], Table1[HomeTeam], Table2[[#This Row],[Team]], Table1[HomeWon],0)</f>
        <v>2</v>
      </c>
      <c r="BD15">
        <f>Table2[[#This Row],[GF_W]]-Table2[[#This Row],[GF_L]]</f>
        <v>-2</v>
      </c>
      <c r="BE15">
        <f>Table2[[#This Row],[GF_A]]+Table2[[#This Row],[GF_H]]</f>
        <v>2</v>
      </c>
      <c r="BF15">
        <f>Table2[[#This Row],[GA_A]]+Table2[[#This Row],[GA_H]]</f>
        <v>3</v>
      </c>
      <c r="BG15">
        <f>Table2[[#This Row],[GF]]-Table2[[#This Row],[GA]]</f>
        <v>-1</v>
      </c>
      <c r="BH15">
        <f>Table2[[#This Row],[GF]]/Table2[[#This Row],[GP]]</f>
        <v>2</v>
      </c>
      <c r="BI15">
        <f>Table2[[#This Row],[GA]]/Table2[[#This Row],[GP]]</f>
        <v>3</v>
      </c>
      <c r="BJ15">
        <f>Table2[[#This Row],[GFPG]]-Table2[[#This Row],[GAPG]]</f>
        <v>-1</v>
      </c>
      <c r="BK15" t="str">
        <f>_xlfn.CONCAT(TEXT(Table2[[#This Row],[W_A]], "0"), "-", TEXT(Table2[[#This Row],[RL_A]],"0"), "-", TEXT(Table2[[#This Row],[OTL_A]]+Table2[[#This Row],[SOL_A]], "0"))</f>
        <v>0-0-1</v>
      </c>
      <c r="BL15" t="str">
        <f>_xlfn.CONCAT(TEXT(Table2[[#This Row],[W_H]], "0"), "-", TEXT(Table2[[#This Row],[RL_H]],"0"), "-", TEXT(Table2[[#This Row],[OTL_H]]+Table2[[#This Row],[SOL_H]], "0"))</f>
        <v>0-0-0</v>
      </c>
    </row>
    <row r="16" spans="1:64" x14ac:dyDescent="0.25">
      <c r="A16" t="s">
        <v>47</v>
      </c>
      <c r="B16" t="s">
        <v>63</v>
      </c>
      <c r="C16" t="s">
        <v>67</v>
      </c>
      <c r="D16">
        <f>COUNTIFS(Table1[AwayTeam],Table2[[#This Row],[Team]],Table1[GameIsOver], 1, Table1[WatchedGame],1) + COUNTIFS(Table1[HomeTeam],Table2[[#This Row],[Team]],Table1[GameIsOver],1,Table1[WatchedGame],1)</f>
        <v>0</v>
      </c>
      <c r="F16">
        <f>COUNTIFS(Table1[AwayTeam],Table2[[#This Row],[Team]], Table1[GameIsOver],1)</f>
        <v>1</v>
      </c>
      <c r="G16">
        <f>COUNTIFS(Table1[HomeTeam],Table2[[#This Row],[Team]], Table1[GameIsOver],1)</f>
        <v>0</v>
      </c>
      <c r="H16">
        <f>Table2[[#This Row],[GP_A]]+Table2[[#This Row],[GP_H]]</f>
        <v>1</v>
      </c>
      <c r="I16">
        <f>84-Table2[[#This Row],[GP]]</f>
        <v>83</v>
      </c>
      <c r="J16">
        <f>COUNTIFS(Table1[AwayTeam], Table2[[#This Row],[Team]], Table1[GameIsOver], 1, Table1[AwayWon],1)</f>
        <v>1</v>
      </c>
      <c r="K16">
        <f>COUNTIFS(Table1[AwayTeam], Table2[[#This Row],[Team]], Table1[GameIsOver], 1, Table1[AwayWon],1, Table1[ActualResult], "REG")</f>
        <v>1</v>
      </c>
      <c r="L16">
        <f>COUNTIFS(Table1[AwayTeam], Table2[[#This Row],[Team]], Table1[GameIsOver], 1, Table1[AwayWon],1, Table1[ActualResult], "OT")</f>
        <v>0</v>
      </c>
      <c r="M16">
        <f>COUNTIFS(Table1[AwayTeam], Table2[[#This Row],[Team]], Table1[GameIsOver], 1, Table1[AwayWon],1, Table1[ActualResult], "SO")</f>
        <v>0</v>
      </c>
      <c r="N16">
        <f>COUNTIFS(Table1[AwayTeam], Table2[[#This Row],[Team]], Table1[GameIsOver], 1, Table1[AwayWon],0)</f>
        <v>0</v>
      </c>
      <c r="O16">
        <f>COUNTIFS(Table1[AwayTeam], Table2[[#This Row],[Team]], Table1[GameIsOver], 1, Table1[AwayWon],0, Table1[ActualResult], "REG")</f>
        <v>0</v>
      </c>
      <c r="P16">
        <f>COUNTIFS(Table1[AwayTeam], Table2[[#This Row],[Team]], Table1[GameIsOver], 1, Table1[AwayWon],0, Table1[ActualResult], "OT")</f>
        <v>0</v>
      </c>
      <c r="Q16">
        <f>COUNTIFS(Table1[AwayTeam], Table2[[#This Row],[Team]], Table1[GameIsOver], 1, Table1[AwayWon],0, Table1[ActualResult], "SO")</f>
        <v>0</v>
      </c>
      <c r="R16">
        <f>COUNTIFS(Table1[HomeTeam], Table2[[#This Row],[Team]], Table1[GameIsOver], 1, Table1[HomeWon],1)</f>
        <v>0</v>
      </c>
      <c r="S16">
        <f>COUNTIFS(Table1[HomeTeam], Table2[[#This Row],[Team]], Table1[GameIsOver], 1, Table1[HomeWon],1, Table1[ActualResult], "REG")</f>
        <v>0</v>
      </c>
      <c r="T16">
        <f>COUNTIFS(Table1[HomeTeam], Table2[[#This Row],[Team]], Table1[GameIsOver], 1, Table1[HomeWon],1, Table1[ActualResult], "OT")</f>
        <v>0</v>
      </c>
      <c r="U16">
        <f>COUNTIFS(Table1[HomeTeam], Table2[[#This Row],[Team]], Table1[GameIsOver], 1, Table1[HomeWon],1, Table1[ActualResult], "SO")</f>
        <v>0</v>
      </c>
      <c r="V16">
        <f>COUNTIFS(Table1[HomeTeam], Table2[[#This Row],[Team]], Table1[GameIsOver], 1, Table1[HomeWon],0)</f>
        <v>0</v>
      </c>
      <c r="W16">
        <f>COUNTIFS(Table1[HomeTeam], Table2[[#This Row],[Team]], Table1[GameIsOver], 1, Table1[HomeWon],0, Table1[ActualResult], "REG")</f>
        <v>0</v>
      </c>
      <c r="X16">
        <f>COUNTIFS(Table1[HomeTeam], Table2[[#This Row],[Team]], Table1[GameIsOver], 1, Table1[HomeWon],0, Table1[ActualResult], "OT")</f>
        <v>0</v>
      </c>
      <c r="Y16">
        <f>COUNTIFS(Table1[HomeTeam], Table2[[#This Row],[Team]], Table1[GameIsOver], 1, Table1[HomeWon],0, Table1[ActualResult], "SO")</f>
        <v>0</v>
      </c>
      <c r="Z16" s="36">
        <f>Table2[[#This Row],[W]]/MAX(1,Table2[[#This Row],[W]]+Table2[[#This Row],[L]])</f>
        <v>1</v>
      </c>
      <c r="AA16">
        <f>Table2[[#This Row],[W_A]]+Table2[[#This Row],[W_H]]</f>
        <v>1</v>
      </c>
      <c r="AB16">
        <f>Table2[[#This Row],[L_A]]+Table2[[#This Row],[L_H]]</f>
        <v>0</v>
      </c>
      <c r="AC16">
        <f>Table2[RW_A]+Table2[RW_H]</f>
        <v>1</v>
      </c>
      <c r="AD16">
        <f>Table2[RL_A]+Table2[RL_H]</f>
        <v>0</v>
      </c>
      <c r="AE16">
        <f>Table2[OTW_A]+Table2[OTW_H]</f>
        <v>0</v>
      </c>
      <c r="AF16">
        <f>Table2[OTL_A]+Table2[OTL_H]</f>
        <v>0</v>
      </c>
      <c r="AG16">
        <f>Table2[SOW_A]+Table2[SOW_H]</f>
        <v>0</v>
      </c>
      <c r="AH16">
        <f>Table2[SOL_A]+Table2[SOL_H]</f>
        <v>0</v>
      </c>
      <c r="AI16" t="str">
        <f>_xlfn.CONCAT(TEXT(Table2[[#This Row],[OTW]]+Table2[[#This Row],[SOW]], "0"), "-", TEXT(Table2[[#This Row],[OTL]]+Table2[[#This Row],[SOL]],"0"))</f>
        <v>0-0</v>
      </c>
      <c r="AJ16">
        <f>SUM(Table2[[#This Row],[OTW]],Table2[[#This Row],[OTL]],Table2[[#This Row],[SOW]],Table2[[#This Row],[SOL]])</f>
        <v>0</v>
      </c>
      <c r="AK16" s="36">
        <f>(Table2[[#This Row],[OTW]]+Table2[[#This Row],[SOW]])/IF(Table2[[#This Row],[Total_ExtraTimes]]=0,1,Table2[[#This Row],[Total_ExtraTimes]])</f>
        <v>0</v>
      </c>
      <c r="AL16" s="36">
        <f>Table2[[#This Row],[Total_ExtraTimes]]/MAX(1,Table2[[#This Row],[GP]])</f>
        <v>0</v>
      </c>
      <c r="AM16">
        <f>(2*(Table2[[#This Row],[W_A]]+Table2[[#This Row],[W_H]]))+Table2[[#This Row],[OTL_A]]+Table2[[#This Row],[SOL_A]]+Table2[[#This Row],[OTL_H]]+Table2[[#This Row],[SOL_H]]</f>
        <v>2</v>
      </c>
      <c r="AN16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3</v>
      </c>
      <c r="AO16">
        <f>Table2[[#This Row],[PTS]]/(2*Table2[[#This Row],[GP]])</f>
        <v>1</v>
      </c>
      <c r="AP16">
        <f>Table2[[#This Row],[PTS]]/(3*Table2[[#This Row],[GP]])</f>
        <v>0.66666666666666663</v>
      </c>
      <c r="AQ16">
        <f>(2*Table2[[#This Row],[GR]])+Table2[[#This Row],[PTS]]</f>
        <v>168</v>
      </c>
      <c r="AR16">
        <f>(3*Table2[[#This Row],[GR]])+Table2[[#This Row],[PTS]]</f>
        <v>251</v>
      </c>
      <c r="AS16">
        <f>Table2[[#This Row],[PTS]]+(2 * Table2[[#This Row],[GR]] * Table2[[#This Row],[PTS%]])</f>
        <v>168</v>
      </c>
      <c r="AT16">
        <f>Table2[[#This Row],[PTS]]+(3 * Table2[[#This Row],[GR]] * Table2[[#This Row],[PTS%]])</f>
        <v>251</v>
      </c>
      <c r="AU16" t="str">
        <f>_xlfn.CONCAT(TEXT(Table2[[#This Row],[W]], "0"), "-", TEXT(Table2[[#This Row],[RL]],"0"), "-", TEXT(Table2[[#This Row],[OTL]]+Table2[[#This Row],[SOL]], "0"))</f>
        <v>1-0-0</v>
      </c>
      <c r="AV16">
        <f>SUMIF(Table1[AwayTeam], Table2[[#This Row],[Team]], Table1[ActualAwayScore])</f>
        <v>4</v>
      </c>
      <c r="AW16">
        <f>SUMIF(Table1[AwayTeam], Table2[[#This Row],[Team]], Table1[ActualHomeScore])</f>
        <v>3</v>
      </c>
      <c r="AX16">
        <f>Table2[[#This Row],[GF_A]]-Table2[[#This Row],[GA_A]]</f>
        <v>1</v>
      </c>
      <c r="AY16">
        <f>SUMIF(Table1[HomeTeam], Table2[[#This Row],[Team]], Table1[ActualHomeScore])</f>
        <v>0</v>
      </c>
      <c r="AZ16">
        <f>SUMIF(Table1[HomeTeam], Table2[[#This Row],[Team]], Table1[ActualAwayScore])</f>
        <v>0</v>
      </c>
      <c r="BA16">
        <f>Table2[[#This Row],[GF_H]]-Table2[[#This Row],[GA_H]]</f>
        <v>0</v>
      </c>
      <c r="BB16">
        <f>SUMIFS(Table1[ActualAwayScore], Table1[AwayTeam], Table2[[#This Row],[Team]], Table1[AwayWon],1)+SUMIFS(Table1[ActualHomeScore], Table1[HomeTeam], Table2[[#This Row],[Team]], Table1[HomeWon],1)</f>
        <v>4</v>
      </c>
      <c r="BC16">
        <f>SUMIFS(Table1[ActualAwayScore], Table1[AwayTeam], Table2[[#This Row],[Team]], Table1[AwayWon],0) + SUMIFS(Table1[ActualHomeScore], Table1[HomeTeam], Table2[[#This Row],[Team]], Table1[HomeWon],0)</f>
        <v>0</v>
      </c>
      <c r="BD16">
        <f>Table2[[#This Row],[GF_W]]-Table2[[#This Row],[GF_L]]</f>
        <v>4</v>
      </c>
      <c r="BE16">
        <f>Table2[[#This Row],[GF_A]]+Table2[[#This Row],[GF_H]]</f>
        <v>4</v>
      </c>
      <c r="BF16">
        <f>Table2[[#This Row],[GA_A]]+Table2[[#This Row],[GA_H]]</f>
        <v>3</v>
      </c>
      <c r="BG16">
        <f>Table2[[#This Row],[GF]]-Table2[[#This Row],[GA]]</f>
        <v>1</v>
      </c>
      <c r="BH16">
        <f>Table2[[#This Row],[GF]]/Table2[[#This Row],[GP]]</f>
        <v>4</v>
      </c>
      <c r="BI16">
        <f>Table2[[#This Row],[GA]]/Table2[[#This Row],[GP]]</f>
        <v>3</v>
      </c>
      <c r="BJ16">
        <f>Table2[[#This Row],[GFPG]]-Table2[[#This Row],[GAPG]]</f>
        <v>1</v>
      </c>
      <c r="BK16" t="str">
        <f>_xlfn.CONCAT(TEXT(Table2[[#This Row],[W_A]], "0"), "-", TEXT(Table2[[#This Row],[RL_A]],"0"), "-", TEXT(Table2[[#This Row],[OTL_A]]+Table2[[#This Row],[SOL_A]], "0"))</f>
        <v>1-0-0</v>
      </c>
      <c r="BL16" t="str">
        <f>_xlfn.CONCAT(TEXT(Table2[[#This Row],[W_H]], "0"), "-", TEXT(Table2[[#This Row],[RL_H]],"0"), "-", TEXT(Table2[[#This Row],[OTL_H]]+Table2[[#This Row],[SOL_H]], "0"))</f>
        <v>0-0-0</v>
      </c>
    </row>
    <row r="17" spans="1:64" x14ac:dyDescent="0.25">
      <c r="A17" t="s">
        <v>48</v>
      </c>
      <c r="B17" t="s">
        <v>62</v>
      </c>
      <c r="C17" t="s">
        <v>64</v>
      </c>
      <c r="D17">
        <f>COUNTIFS(Table1[AwayTeam],Table2[[#This Row],[Team]],Table1[GameIsOver], 1, Table1[WatchedGame],1) + COUNTIFS(Table1[HomeTeam],Table2[[#This Row],[Team]],Table1[GameIsOver],1,Table1[WatchedGame],1)</f>
        <v>0</v>
      </c>
      <c r="F17">
        <f>COUNTIFS(Table1[AwayTeam],Table2[[#This Row],[Team]], Table1[GameIsOver],1)</f>
        <v>0</v>
      </c>
      <c r="G17">
        <f>COUNTIFS(Table1[HomeTeam],Table2[[#This Row],[Team]], Table1[GameIsOver],1)</f>
        <v>1</v>
      </c>
      <c r="H17">
        <f>Table2[[#This Row],[GP_A]]+Table2[[#This Row],[GP_H]]</f>
        <v>1</v>
      </c>
      <c r="I17">
        <f>84-Table2[[#This Row],[GP]]</f>
        <v>83</v>
      </c>
      <c r="J17">
        <f>COUNTIFS(Table1[AwayTeam], Table2[[#This Row],[Team]], Table1[GameIsOver], 1, Table1[AwayWon],1)</f>
        <v>0</v>
      </c>
      <c r="K17">
        <f>COUNTIFS(Table1[AwayTeam], Table2[[#This Row],[Team]], Table1[GameIsOver], 1, Table1[AwayWon],1, Table1[ActualResult], "REG")</f>
        <v>0</v>
      </c>
      <c r="L17">
        <f>COUNTIFS(Table1[AwayTeam], Table2[[#This Row],[Team]], Table1[GameIsOver], 1, Table1[AwayWon],1, Table1[ActualResult], "OT")</f>
        <v>0</v>
      </c>
      <c r="M17">
        <f>COUNTIFS(Table1[AwayTeam], Table2[[#This Row],[Team]], Table1[GameIsOver], 1, Table1[AwayWon],1, Table1[ActualResult], "SO")</f>
        <v>0</v>
      </c>
      <c r="N17">
        <f>COUNTIFS(Table1[AwayTeam], Table2[[#This Row],[Team]], Table1[GameIsOver], 1, Table1[AwayWon],0)</f>
        <v>0</v>
      </c>
      <c r="O17">
        <f>COUNTIFS(Table1[AwayTeam], Table2[[#This Row],[Team]], Table1[GameIsOver], 1, Table1[AwayWon],0, Table1[ActualResult], "REG")</f>
        <v>0</v>
      </c>
      <c r="P17">
        <f>COUNTIFS(Table1[AwayTeam], Table2[[#This Row],[Team]], Table1[GameIsOver], 1, Table1[AwayWon],0, Table1[ActualResult], "OT")</f>
        <v>0</v>
      </c>
      <c r="Q17">
        <f>COUNTIFS(Table1[AwayTeam], Table2[[#This Row],[Team]], Table1[GameIsOver], 1, Table1[AwayWon],0, Table1[ActualResult], "SO")</f>
        <v>0</v>
      </c>
      <c r="R17">
        <f>COUNTIFS(Table1[HomeTeam], Table2[[#This Row],[Team]], Table1[GameIsOver], 1, Table1[HomeWon],1)</f>
        <v>1</v>
      </c>
      <c r="S17">
        <f>COUNTIFS(Table1[HomeTeam], Table2[[#This Row],[Team]], Table1[GameIsOver], 1, Table1[HomeWon],1, Table1[ActualResult], "REG")</f>
        <v>0</v>
      </c>
      <c r="T17">
        <f>COUNTIFS(Table1[HomeTeam], Table2[[#This Row],[Team]], Table1[GameIsOver], 1, Table1[HomeWon],1, Table1[ActualResult], "OT")</f>
        <v>0</v>
      </c>
      <c r="U17">
        <f>COUNTIFS(Table1[HomeTeam], Table2[[#This Row],[Team]], Table1[GameIsOver], 1, Table1[HomeWon],1, Table1[ActualResult], "SO")</f>
        <v>1</v>
      </c>
      <c r="V17">
        <f>COUNTIFS(Table1[HomeTeam], Table2[[#This Row],[Team]], Table1[GameIsOver], 1, Table1[HomeWon],0)</f>
        <v>0</v>
      </c>
      <c r="W17">
        <f>COUNTIFS(Table1[HomeTeam], Table2[[#This Row],[Team]], Table1[GameIsOver], 1, Table1[HomeWon],0, Table1[ActualResult], "REG")</f>
        <v>0</v>
      </c>
      <c r="X17">
        <f>COUNTIFS(Table1[HomeTeam], Table2[[#This Row],[Team]], Table1[GameIsOver], 1, Table1[HomeWon],0, Table1[ActualResult], "OT")</f>
        <v>0</v>
      </c>
      <c r="Y17">
        <f>COUNTIFS(Table1[HomeTeam], Table2[[#This Row],[Team]], Table1[GameIsOver], 1, Table1[HomeWon],0, Table1[ActualResult], "SO")</f>
        <v>0</v>
      </c>
      <c r="Z17" s="36">
        <f>Table2[[#This Row],[W]]/MAX(1,Table2[[#This Row],[W]]+Table2[[#This Row],[L]])</f>
        <v>1</v>
      </c>
      <c r="AA17">
        <f>Table2[[#This Row],[W_A]]+Table2[[#This Row],[W_H]]</f>
        <v>1</v>
      </c>
      <c r="AB17">
        <f>Table2[[#This Row],[L_A]]+Table2[[#This Row],[L_H]]</f>
        <v>0</v>
      </c>
      <c r="AC17">
        <f>Table2[RW_A]+Table2[RW_H]</f>
        <v>0</v>
      </c>
      <c r="AD17">
        <f>Table2[RL_A]+Table2[RL_H]</f>
        <v>0</v>
      </c>
      <c r="AE17">
        <f>Table2[OTW_A]+Table2[OTW_H]</f>
        <v>0</v>
      </c>
      <c r="AF17">
        <f>Table2[OTL_A]+Table2[OTL_H]</f>
        <v>0</v>
      </c>
      <c r="AG17">
        <f>Table2[SOW_A]+Table2[SOW_H]</f>
        <v>1</v>
      </c>
      <c r="AH17">
        <f>Table2[SOL_A]+Table2[SOL_H]</f>
        <v>0</v>
      </c>
      <c r="AI17" t="str">
        <f>_xlfn.CONCAT(TEXT(Table2[[#This Row],[OTW]]+Table2[[#This Row],[SOW]], "0"), "-", TEXT(Table2[[#This Row],[OTL]]+Table2[[#This Row],[SOL]],"0"))</f>
        <v>1-0</v>
      </c>
      <c r="AJ17">
        <f>SUM(Table2[[#This Row],[OTW]],Table2[[#This Row],[OTL]],Table2[[#This Row],[SOW]],Table2[[#This Row],[SOL]])</f>
        <v>1</v>
      </c>
      <c r="AK17" s="36">
        <f>(Table2[[#This Row],[OTW]]+Table2[[#This Row],[SOW]])/IF(Table2[[#This Row],[Total_ExtraTimes]]=0,1,Table2[[#This Row],[Total_ExtraTimes]])</f>
        <v>1</v>
      </c>
      <c r="AL17" s="36">
        <f>Table2[[#This Row],[Total_ExtraTimes]]/MAX(1,Table2[[#This Row],[GP]])</f>
        <v>1</v>
      </c>
      <c r="AM17">
        <f>(2*(Table2[[#This Row],[W_A]]+Table2[[#This Row],[W_H]]))+Table2[[#This Row],[OTL_A]]+Table2[[#This Row],[SOL_A]]+Table2[[#This Row],[OTL_H]]+Table2[[#This Row],[SOL_H]]</f>
        <v>2</v>
      </c>
      <c r="AN17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2</v>
      </c>
      <c r="AO17">
        <f>Table2[[#This Row],[PTS]]/(2*Table2[[#This Row],[GP]])</f>
        <v>1</v>
      </c>
      <c r="AP17">
        <f>Table2[[#This Row],[PTS]]/(3*Table2[[#This Row],[GP]])</f>
        <v>0.66666666666666663</v>
      </c>
      <c r="AQ17">
        <f>(2*Table2[[#This Row],[GR]])+Table2[[#This Row],[PTS]]</f>
        <v>168</v>
      </c>
      <c r="AR17">
        <f>(3*Table2[[#This Row],[GR]])+Table2[[#This Row],[PTS]]</f>
        <v>251</v>
      </c>
      <c r="AS17">
        <f>Table2[[#This Row],[PTS]]+(2 * Table2[[#This Row],[GR]] * Table2[[#This Row],[PTS%]])</f>
        <v>168</v>
      </c>
      <c r="AT17">
        <f>Table2[[#This Row],[PTS]]+(3 * Table2[[#This Row],[GR]] * Table2[[#This Row],[PTS%]])</f>
        <v>251</v>
      </c>
      <c r="AU17" t="str">
        <f>_xlfn.CONCAT(TEXT(Table2[[#This Row],[W]], "0"), "-", TEXT(Table2[[#This Row],[RL]],"0"), "-", TEXT(Table2[[#This Row],[OTL]]+Table2[[#This Row],[SOL]], "0"))</f>
        <v>1-0-0</v>
      </c>
      <c r="AV17">
        <f>SUMIF(Table1[AwayTeam], Table2[[#This Row],[Team]], Table1[ActualAwayScore])</f>
        <v>0</v>
      </c>
      <c r="AW17">
        <f>SUMIF(Table1[AwayTeam], Table2[[#This Row],[Team]], Table1[ActualHomeScore])</f>
        <v>0</v>
      </c>
      <c r="AX17">
        <f>Table2[[#This Row],[GF_A]]-Table2[[#This Row],[GA_A]]</f>
        <v>0</v>
      </c>
      <c r="AY17">
        <f>SUMIF(Table1[HomeTeam], Table2[[#This Row],[Team]], Table1[ActualHomeScore])</f>
        <v>3</v>
      </c>
      <c r="AZ17">
        <f>SUMIF(Table1[HomeTeam], Table2[[#This Row],[Team]], Table1[ActualAwayScore])</f>
        <v>2</v>
      </c>
      <c r="BA17">
        <f>Table2[[#This Row],[GF_H]]-Table2[[#This Row],[GA_H]]</f>
        <v>1</v>
      </c>
      <c r="BB17">
        <f>SUMIFS(Table1[ActualAwayScore], Table1[AwayTeam], Table2[[#This Row],[Team]], Table1[AwayWon],1)+SUMIFS(Table1[ActualHomeScore], Table1[HomeTeam], Table2[[#This Row],[Team]], Table1[HomeWon],1)</f>
        <v>3</v>
      </c>
      <c r="BC17">
        <f>SUMIFS(Table1[ActualAwayScore], Table1[AwayTeam], Table2[[#This Row],[Team]], Table1[AwayWon],0) + SUMIFS(Table1[ActualHomeScore], Table1[HomeTeam], Table2[[#This Row],[Team]], Table1[HomeWon],0)</f>
        <v>0</v>
      </c>
      <c r="BD17">
        <f>Table2[[#This Row],[GF_W]]-Table2[[#This Row],[GF_L]]</f>
        <v>3</v>
      </c>
      <c r="BE17">
        <f>Table2[[#This Row],[GF_A]]+Table2[[#This Row],[GF_H]]</f>
        <v>3</v>
      </c>
      <c r="BF17">
        <f>Table2[[#This Row],[GA_A]]+Table2[[#This Row],[GA_H]]</f>
        <v>2</v>
      </c>
      <c r="BG17">
        <f>Table2[[#This Row],[GF]]-Table2[[#This Row],[GA]]</f>
        <v>1</v>
      </c>
      <c r="BH17">
        <f>Table2[[#This Row],[GF]]/Table2[[#This Row],[GP]]</f>
        <v>3</v>
      </c>
      <c r="BI17">
        <f>Table2[[#This Row],[GA]]/Table2[[#This Row],[GP]]</f>
        <v>2</v>
      </c>
      <c r="BJ17">
        <f>Table2[[#This Row],[GFPG]]-Table2[[#This Row],[GAPG]]</f>
        <v>1</v>
      </c>
      <c r="BK17" t="str">
        <f>_xlfn.CONCAT(TEXT(Table2[[#This Row],[W_A]], "0"), "-", TEXT(Table2[[#This Row],[RL_A]],"0"), "-", TEXT(Table2[[#This Row],[OTL_A]]+Table2[[#This Row],[SOL_A]], "0"))</f>
        <v>0-0-0</v>
      </c>
      <c r="BL17" t="str">
        <f>_xlfn.CONCAT(TEXT(Table2[[#This Row],[W_H]], "0"), "-", TEXT(Table2[[#This Row],[RL_H]],"0"), "-", TEXT(Table2[[#This Row],[OTL_H]]+Table2[[#This Row],[SOL_H]], "0"))</f>
        <v>1-0-0</v>
      </c>
    </row>
    <row r="18" spans="1:64" x14ac:dyDescent="0.25">
      <c r="A18" t="s">
        <v>49</v>
      </c>
      <c r="B18" t="s">
        <v>63</v>
      </c>
      <c r="C18" t="s">
        <v>65</v>
      </c>
      <c r="D18">
        <f>COUNTIFS(Table1[AwayTeam],Table2[[#This Row],[Team]],Table1[GameIsOver], 1, Table1[WatchedGame],1) + COUNTIFS(Table1[HomeTeam],Table2[[#This Row],[Team]],Table1[GameIsOver],1,Table1[WatchedGame],1)</f>
        <v>0</v>
      </c>
      <c r="F18">
        <f>COUNTIFS(Table1[AwayTeam],Table2[[#This Row],[Team]], Table1[GameIsOver],1)</f>
        <v>0</v>
      </c>
      <c r="G18">
        <f>COUNTIFS(Table1[HomeTeam],Table2[[#This Row],[Team]], Table1[GameIsOver],1)</f>
        <v>1</v>
      </c>
      <c r="H18">
        <f>Table2[[#This Row],[GP_A]]+Table2[[#This Row],[GP_H]]</f>
        <v>1</v>
      </c>
      <c r="I18">
        <f>84-Table2[[#This Row],[GP]]</f>
        <v>83</v>
      </c>
      <c r="J18">
        <f>COUNTIFS(Table1[AwayTeam], Table2[[#This Row],[Team]], Table1[GameIsOver], 1, Table1[AwayWon],1)</f>
        <v>0</v>
      </c>
      <c r="K18">
        <f>COUNTIFS(Table1[AwayTeam], Table2[[#This Row],[Team]], Table1[GameIsOver], 1, Table1[AwayWon],1, Table1[ActualResult], "REG")</f>
        <v>0</v>
      </c>
      <c r="L18">
        <f>COUNTIFS(Table1[AwayTeam], Table2[[#This Row],[Team]], Table1[GameIsOver], 1, Table1[AwayWon],1, Table1[ActualResult], "OT")</f>
        <v>0</v>
      </c>
      <c r="M18">
        <f>COUNTIFS(Table1[AwayTeam], Table2[[#This Row],[Team]], Table1[GameIsOver], 1, Table1[AwayWon],1, Table1[ActualResult], "SO")</f>
        <v>0</v>
      </c>
      <c r="N18">
        <f>COUNTIFS(Table1[AwayTeam], Table2[[#This Row],[Team]], Table1[GameIsOver], 1, Table1[AwayWon],0)</f>
        <v>0</v>
      </c>
      <c r="O18">
        <f>COUNTIFS(Table1[AwayTeam], Table2[[#This Row],[Team]], Table1[GameIsOver], 1, Table1[AwayWon],0, Table1[ActualResult], "REG")</f>
        <v>0</v>
      </c>
      <c r="P18">
        <f>COUNTIFS(Table1[AwayTeam], Table2[[#This Row],[Team]], Table1[GameIsOver], 1, Table1[AwayWon],0, Table1[ActualResult], "OT")</f>
        <v>0</v>
      </c>
      <c r="Q18">
        <f>COUNTIFS(Table1[AwayTeam], Table2[[#This Row],[Team]], Table1[GameIsOver], 1, Table1[AwayWon],0, Table1[ActualResult], "SO")</f>
        <v>0</v>
      </c>
      <c r="R18">
        <f>COUNTIFS(Table1[HomeTeam], Table2[[#This Row],[Team]], Table1[GameIsOver], 1, Table1[HomeWon],1)</f>
        <v>1</v>
      </c>
      <c r="S18">
        <f>COUNTIFS(Table1[HomeTeam], Table2[[#This Row],[Team]], Table1[GameIsOver], 1, Table1[HomeWon],1, Table1[ActualResult], "REG")</f>
        <v>1</v>
      </c>
      <c r="T18">
        <f>COUNTIFS(Table1[HomeTeam], Table2[[#This Row],[Team]], Table1[GameIsOver], 1, Table1[HomeWon],1, Table1[ActualResult], "OT")</f>
        <v>0</v>
      </c>
      <c r="U18">
        <f>COUNTIFS(Table1[HomeTeam], Table2[[#This Row],[Team]], Table1[GameIsOver], 1, Table1[HomeWon],1, Table1[ActualResult], "SO")</f>
        <v>0</v>
      </c>
      <c r="V18">
        <f>COUNTIFS(Table1[HomeTeam], Table2[[#This Row],[Team]], Table1[GameIsOver], 1, Table1[HomeWon],0)</f>
        <v>0</v>
      </c>
      <c r="W18">
        <f>COUNTIFS(Table1[HomeTeam], Table2[[#This Row],[Team]], Table1[GameIsOver], 1, Table1[HomeWon],0, Table1[ActualResult], "REG")</f>
        <v>0</v>
      </c>
      <c r="X18">
        <f>COUNTIFS(Table1[HomeTeam], Table2[[#This Row],[Team]], Table1[GameIsOver], 1, Table1[HomeWon],0, Table1[ActualResult], "OT")</f>
        <v>0</v>
      </c>
      <c r="Y18">
        <f>COUNTIFS(Table1[HomeTeam], Table2[[#This Row],[Team]], Table1[GameIsOver], 1, Table1[HomeWon],0, Table1[ActualResult], "SO")</f>
        <v>0</v>
      </c>
      <c r="Z18" s="36">
        <f>Table2[[#This Row],[W]]/MAX(1,Table2[[#This Row],[W]]+Table2[[#This Row],[L]])</f>
        <v>1</v>
      </c>
      <c r="AA18">
        <f>Table2[[#This Row],[W_A]]+Table2[[#This Row],[W_H]]</f>
        <v>1</v>
      </c>
      <c r="AB18">
        <f>Table2[[#This Row],[L_A]]+Table2[[#This Row],[L_H]]</f>
        <v>0</v>
      </c>
      <c r="AC18">
        <f>Table2[RW_A]+Table2[RW_H]</f>
        <v>1</v>
      </c>
      <c r="AD18">
        <f>Table2[RL_A]+Table2[RL_H]</f>
        <v>0</v>
      </c>
      <c r="AE18">
        <f>Table2[OTW_A]+Table2[OTW_H]</f>
        <v>0</v>
      </c>
      <c r="AF18">
        <f>Table2[OTL_A]+Table2[OTL_H]</f>
        <v>0</v>
      </c>
      <c r="AG18">
        <f>Table2[SOW_A]+Table2[SOW_H]</f>
        <v>0</v>
      </c>
      <c r="AH18">
        <f>Table2[SOL_A]+Table2[SOL_H]</f>
        <v>0</v>
      </c>
      <c r="AI18" t="str">
        <f>_xlfn.CONCAT(TEXT(Table2[[#This Row],[OTW]]+Table2[[#This Row],[SOW]], "0"), "-", TEXT(Table2[[#This Row],[OTL]]+Table2[[#This Row],[SOL]],"0"))</f>
        <v>0-0</v>
      </c>
      <c r="AJ18">
        <f>SUM(Table2[[#This Row],[OTW]],Table2[[#This Row],[OTL]],Table2[[#This Row],[SOW]],Table2[[#This Row],[SOL]])</f>
        <v>0</v>
      </c>
      <c r="AK18" s="36">
        <f>(Table2[[#This Row],[OTW]]+Table2[[#This Row],[SOW]])/IF(Table2[[#This Row],[Total_ExtraTimes]]=0,1,Table2[[#This Row],[Total_ExtraTimes]])</f>
        <v>0</v>
      </c>
      <c r="AL18" s="36">
        <f>Table2[[#This Row],[Total_ExtraTimes]]/MAX(1,Table2[[#This Row],[GP]])</f>
        <v>0</v>
      </c>
      <c r="AM18">
        <f>(2*(Table2[[#This Row],[W_A]]+Table2[[#This Row],[W_H]]))+Table2[[#This Row],[OTL_A]]+Table2[[#This Row],[SOL_A]]+Table2[[#This Row],[OTL_H]]+Table2[[#This Row],[SOL_H]]</f>
        <v>2</v>
      </c>
      <c r="AN18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3</v>
      </c>
      <c r="AO18">
        <f>Table2[[#This Row],[PTS]]/(2*Table2[[#This Row],[GP]])</f>
        <v>1</v>
      </c>
      <c r="AP18">
        <f>Table2[[#This Row],[PTS]]/(3*Table2[[#This Row],[GP]])</f>
        <v>0.66666666666666663</v>
      </c>
      <c r="AQ18">
        <f>(2*Table2[[#This Row],[GR]])+Table2[[#This Row],[PTS]]</f>
        <v>168</v>
      </c>
      <c r="AR18">
        <f>(3*Table2[[#This Row],[GR]])+Table2[[#This Row],[PTS]]</f>
        <v>251</v>
      </c>
      <c r="AS18">
        <f>Table2[[#This Row],[PTS]]+(2 * Table2[[#This Row],[GR]] * Table2[[#This Row],[PTS%]])</f>
        <v>168</v>
      </c>
      <c r="AT18">
        <f>Table2[[#This Row],[PTS]]+(3 * Table2[[#This Row],[GR]] * Table2[[#This Row],[PTS%]])</f>
        <v>251</v>
      </c>
      <c r="AU18" t="str">
        <f>_xlfn.CONCAT(TEXT(Table2[[#This Row],[W]], "0"), "-", TEXT(Table2[[#This Row],[RL]],"0"), "-", TEXT(Table2[[#This Row],[OTL]]+Table2[[#This Row],[SOL]], "0"))</f>
        <v>1-0-0</v>
      </c>
      <c r="AV18">
        <f>SUMIF(Table1[AwayTeam], Table2[[#This Row],[Team]], Table1[ActualAwayScore])</f>
        <v>0</v>
      </c>
      <c r="AW18">
        <f>SUMIF(Table1[AwayTeam], Table2[[#This Row],[Team]], Table1[ActualHomeScore])</f>
        <v>0</v>
      </c>
      <c r="AX18">
        <f>Table2[[#This Row],[GF_A]]-Table2[[#This Row],[GA_A]]</f>
        <v>0</v>
      </c>
      <c r="AY18">
        <f>SUMIF(Table1[HomeTeam], Table2[[#This Row],[Team]], Table1[ActualHomeScore])</f>
        <v>5</v>
      </c>
      <c r="AZ18">
        <f>SUMIF(Table1[HomeTeam], Table2[[#This Row],[Team]], Table1[ActualAwayScore])</f>
        <v>3</v>
      </c>
      <c r="BA18">
        <f>Table2[[#This Row],[GF_H]]-Table2[[#This Row],[GA_H]]</f>
        <v>2</v>
      </c>
      <c r="BB18">
        <f>SUMIFS(Table1[ActualAwayScore], Table1[AwayTeam], Table2[[#This Row],[Team]], Table1[AwayWon],1)+SUMIFS(Table1[ActualHomeScore], Table1[HomeTeam], Table2[[#This Row],[Team]], Table1[HomeWon],1)</f>
        <v>5</v>
      </c>
      <c r="BC18">
        <f>SUMIFS(Table1[ActualAwayScore], Table1[AwayTeam], Table2[[#This Row],[Team]], Table1[AwayWon],0) + SUMIFS(Table1[ActualHomeScore], Table1[HomeTeam], Table2[[#This Row],[Team]], Table1[HomeWon],0)</f>
        <v>0</v>
      </c>
      <c r="BD18">
        <f>Table2[[#This Row],[GF_W]]-Table2[[#This Row],[GF_L]]</f>
        <v>5</v>
      </c>
      <c r="BE18">
        <f>Table2[[#This Row],[GF_A]]+Table2[[#This Row],[GF_H]]</f>
        <v>5</v>
      </c>
      <c r="BF18">
        <f>Table2[[#This Row],[GA_A]]+Table2[[#This Row],[GA_H]]</f>
        <v>3</v>
      </c>
      <c r="BG18">
        <f>Table2[[#This Row],[GF]]-Table2[[#This Row],[GA]]</f>
        <v>2</v>
      </c>
      <c r="BH18">
        <f>Table2[[#This Row],[GF]]/Table2[[#This Row],[GP]]</f>
        <v>5</v>
      </c>
      <c r="BI18">
        <f>Table2[[#This Row],[GA]]/Table2[[#This Row],[GP]]</f>
        <v>3</v>
      </c>
      <c r="BJ18">
        <f>Table2[[#This Row],[GFPG]]-Table2[[#This Row],[GAPG]]</f>
        <v>2</v>
      </c>
      <c r="BK18" t="str">
        <f>_xlfn.CONCAT(TEXT(Table2[[#This Row],[W_A]], "0"), "-", TEXT(Table2[[#This Row],[RL_A]],"0"), "-", TEXT(Table2[[#This Row],[OTL_A]]+Table2[[#This Row],[SOL_A]], "0"))</f>
        <v>0-0-0</v>
      </c>
      <c r="BL18" t="str">
        <f>_xlfn.CONCAT(TEXT(Table2[[#This Row],[W_H]], "0"), "-", TEXT(Table2[[#This Row],[RL_H]],"0"), "-", TEXT(Table2[[#This Row],[OTL_H]]+Table2[[#This Row],[SOL_H]], "0"))</f>
        <v>1-0-0</v>
      </c>
    </row>
    <row r="19" spans="1:64" x14ac:dyDescent="0.25">
      <c r="A19" t="s">
        <v>50</v>
      </c>
      <c r="B19" t="s">
        <v>63</v>
      </c>
      <c r="C19" t="s">
        <v>65</v>
      </c>
      <c r="D19">
        <f>COUNTIFS(Table1[AwayTeam],Table2[[#This Row],[Team]],Table1[GameIsOver], 1, Table1[WatchedGame],1) + COUNTIFS(Table1[HomeTeam],Table2[[#This Row],[Team]],Table1[GameIsOver],1,Table1[WatchedGame],1)</f>
        <v>0</v>
      </c>
      <c r="F19">
        <f>COUNTIFS(Table1[AwayTeam],Table2[[#This Row],[Team]], Table1[GameIsOver],1)</f>
        <v>1</v>
      </c>
      <c r="G19">
        <f>COUNTIFS(Table1[HomeTeam],Table2[[#This Row],[Team]], Table1[GameIsOver],1)</f>
        <v>0</v>
      </c>
      <c r="H19">
        <f>Table2[[#This Row],[GP_A]]+Table2[[#This Row],[GP_H]]</f>
        <v>1</v>
      </c>
      <c r="I19">
        <f>84-Table2[[#This Row],[GP]]</f>
        <v>83</v>
      </c>
      <c r="J19">
        <f>COUNTIFS(Table1[AwayTeam], Table2[[#This Row],[Team]], Table1[GameIsOver], 1, Table1[AwayWon],1)</f>
        <v>1</v>
      </c>
      <c r="K19">
        <f>COUNTIFS(Table1[AwayTeam], Table2[[#This Row],[Team]], Table1[GameIsOver], 1, Table1[AwayWon],1, Table1[ActualResult], "REG")</f>
        <v>1</v>
      </c>
      <c r="L19">
        <f>COUNTIFS(Table1[AwayTeam], Table2[[#This Row],[Team]], Table1[GameIsOver], 1, Table1[AwayWon],1, Table1[ActualResult], "OT")</f>
        <v>0</v>
      </c>
      <c r="M19">
        <f>COUNTIFS(Table1[AwayTeam], Table2[[#This Row],[Team]], Table1[GameIsOver], 1, Table1[AwayWon],1, Table1[ActualResult], "SO")</f>
        <v>0</v>
      </c>
      <c r="N19">
        <f>COUNTIFS(Table1[AwayTeam], Table2[[#This Row],[Team]], Table1[GameIsOver], 1, Table1[AwayWon],0)</f>
        <v>0</v>
      </c>
      <c r="O19">
        <f>COUNTIFS(Table1[AwayTeam], Table2[[#This Row],[Team]], Table1[GameIsOver], 1, Table1[AwayWon],0, Table1[ActualResult], "REG")</f>
        <v>0</v>
      </c>
      <c r="P19">
        <f>COUNTIFS(Table1[AwayTeam], Table2[[#This Row],[Team]], Table1[GameIsOver], 1, Table1[AwayWon],0, Table1[ActualResult], "OT")</f>
        <v>0</v>
      </c>
      <c r="Q19">
        <f>COUNTIFS(Table1[AwayTeam], Table2[[#This Row],[Team]], Table1[GameIsOver], 1, Table1[AwayWon],0, Table1[ActualResult], "SO")</f>
        <v>0</v>
      </c>
      <c r="R19">
        <f>COUNTIFS(Table1[HomeTeam], Table2[[#This Row],[Team]], Table1[GameIsOver], 1, Table1[HomeWon],1)</f>
        <v>0</v>
      </c>
      <c r="S19">
        <f>COUNTIFS(Table1[HomeTeam], Table2[[#This Row],[Team]], Table1[GameIsOver], 1, Table1[HomeWon],1, Table1[ActualResult], "REG")</f>
        <v>0</v>
      </c>
      <c r="T19">
        <f>COUNTIFS(Table1[HomeTeam], Table2[[#This Row],[Team]], Table1[GameIsOver], 1, Table1[HomeWon],1, Table1[ActualResult], "OT")</f>
        <v>0</v>
      </c>
      <c r="U19">
        <f>COUNTIFS(Table1[HomeTeam], Table2[[#This Row],[Team]], Table1[GameIsOver], 1, Table1[HomeWon],1, Table1[ActualResult], "SO")</f>
        <v>0</v>
      </c>
      <c r="V19">
        <f>COUNTIFS(Table1[HomeTeam], Table2[[#This Row],[Team]], Table1[GameIsOver], 1, Table1[HomeWon],0)</f>
        <v>0</v>
      </c>
      <c r="W19">
        <f>COUNTIFS(Table1[HomeTeam], Table2[[#This Row],[Team]], Table1[GameIsOver], 1, Table1[HomeWon],0, Table1[ActualResult], "REG")</f>
        <v>0</v>
      </c>
      <c r="X19">
        <f>COUNTIFS(Table1[HomeTeam], Table2[[#This Row],[Team]], Table1[GameIsOver], 1, Table1[HomeWon],0, Table1[ActualResult], "OT")</f>
        <v>0</v>
      </c>
      <c r="Y19">
        <f>COUNTIFS(Table1[HomeTeam], Table2[[#This Row],[Team]], Table1[GameIsOver], 1, Table1[HomeWon],0, Table1[ActualResult], "SO")</f>
        <v>0</v>
      </c>
      <c r="Z19" s="36">
        <f>Table2[[#This Row],[W]]/MAX(1,Table2[[#This Row],[W]]+Table2[[#This Row],[L]])</f>
        <v>1</v>
      </c>
      <c r="AA19">
        <f>Table2[[#This Row],[W_A]]+Table2[[#This Row],[W_H]]</f>
        <v>1</v>
      </c>
      <c r="AB19">
        <f>Table2[[#This Row],[L_A]]+Table2[[#This Row],[L_H]]</f>
        <v>0</v>
      </c>
      <c r="AC19">
        <f>Table2[RW_A]+Table2[RW_H]</f>
        <v>1</v>
      </c>
      <c r="AD19">
        <f>Table2[RL_A]+Table2[RL_H]</f>
        <v>0</v>
      </c>
      <c r="AE19">
        <f>Table2[OTW_A]+Table2[OTW_H]</f>
        <v>0</v>
      </c>
      <c r="AF19">
        <f>Table2[OTL_A]+Table2[OTL_H]</f>
        <v>0</v>
      </c>
      <c r="AG19">
        <f>Table2[SOW_A]+Table2[SOW_H]</f>
        <v>0</v>
      </c>
      <c r="AH19">
        <f>Table2[SOL_A]+Table2[SOL_H]</f>
        <v>0</v>
      </c>
      <c r="AI19" t="str">
        <f>_xlfn.CONCAT(TEXT(Table2[[#This Row],[OTW]]+Table2[[#This Row],[SOW]], "0"), "-", TEXT(Table2[[#This Row],[OTL]]+Table2[[#This Row],[SOL]],"0"))</f>
        <v>0-0</v>
      </c>
      <c r="AJ19">
        <f>SUM(Table2[[#This Row],[OTW]],Table2[[#This Row],[OTL]],Table2[[#This Row],[SOW]],Table2[[#This Row],[SOL]])</f>
        <v>0</v>
      </c>
      <c r="AK19" s="36">
        <f>(Table2[[#This Row],[OTW]]+Table2[[#This Row],[SOW]])/IF(Table2[[#This Row],[Total_ExtraTimes]]=0,1,Table2[[#This Row],[Total_ExtraTimes]])</f>
        <v>0</v>
      </c>
      <c r="AL19" s="36">
        <f>Table2[[#This Row],[Total_ExtraTimes]]/MAX(1,Table2[[#This Row],[GP]])</f>
        <v>0</v>
      </c>
      <c r="AM19">
        <f>(2*(Table2[[#This Row],[W_A]]+Table2[[#This Row],[W_H]]))+Table2[[#This Row],[OTL_A]]+Table2[[#This Row],[SOL_A]]+Table2[[#This Row],[OTL_H]]+Table2[[#This Row],[SOL_H]]</f>
        <v>2</v>
      </c>
      <c r="AN19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3</v>
      </c>
      <c r="AO19">
        <f>Table2[[#This Row],[PTS]]/(2*Table2[[#This Row],[GP]])</f>
        <v>1</v>
      </c>
      <c r="AP19">
        <f>Table2[[#This Row],[PTS]]/(3*Table2[[#This Row],[GP]])</f>
        <v>0.66666666666666663</v>
      </c>
      <c r="AQ19">
        <f>(2*Table2[[#This Row],[GR]])+Table2[[#This Row],[PTS]]</f>
        <v>168</v>
      </c>
      <c r="AR19">
        <f>(3*Table2[[#This Row],[GR]])+Table2[[#This Row],[PTS]]</f>
        <v>251</v>
      </c>
      <c r="AS19">
        <f>Table2[[#This Row],[PTS]]+(2 * Table2[[#This Row],[GR]] * Table2[[#This Row],[PTS%]])</f>
        <v>168</v>
      </c>
      <c r="AT19">
        <f>Table2[[#This Row],[PTS]]+(3 * Table2[[#This Row],[GR]] * Table2[[#This Row],[PTS%]])</f>
        <v>251</v>
      </c>
      <c r="AU19" t="str">
        <f>_xlfn.CONCAT(TEXT(Table2[[#This Row],[W]], "0"), "-", TEXT(Table2[[#This Row],[RL]],"0"), "-", TEXT(Table2[[#This Row],[OTL]]+Table2[[#This Row],[SOL]], "0"))</f>
        <v>1-0-0</v>
      </c>
      <c r="AV19">
        <f>SUMIF(Table1[AwayTeam], Table2[[#This Row],[Team]], Table1[ActualAwayScore])</f>
        <v>4</v>
      </c>
      <c r="AW19">
        <f>SUMIF(Table1[AwayTeam], Table2[[#This Row],[Team]], Table1[ActualHomeScore])</f>
        <v>3</v>
      </c>
      <c r="AX19">
        <f>Table2[[#This Row],[GF_A]]-Table2[[#This Row],[GA_A]]</f>
        <v>1</v>
      </c>
      <c r="AY19">
        <f>SUMIF(Table1[HomeTeam], Table2[[#This Row],[Team]], Table1[ActualHomeScore])</f>
        <v>0</v>
      </c>
      <c r="AZ19">
        <f>SUMIF(Table1[HomeTeam], Table2[[#This Row],[Team]], Table1[ActualAwayScore])</f>
        <v>0</v>
      </c>
      <c r="BA19">
        <f>Table2[[#This Row],[GF_H]]-Table2[[#This Row],[GA_H]]</f>
        <v>0</v>
      </c>
      <c r="BB19">
        <f>SUMIFS(Table1[ActualAwayScore], Table1[AwayTeam], Table2[[#This Row],[Team]], Table1[AwayWon],1)+SUMIFS(Table1[ActualHomeScore], Table1[HomeTeam], Table2[[#This Row],[Team]], Table1[HomeWon],1)</f>
        <v>4</v>
      </c>
      <c r="BC19">
        <f>SUMIFS(Table1[ActualAwayScore], Table1[AwayTeam], Table2[[#This Row],[Team]], Table1[AwayWon],0) + SUMIFS(Table1[ActualHomeScore], Table1[HomeTeam], Table2[[#This Row],[Team]], Table1[HomeWon],0)</f>
        <v>0</v>
      </c>
      <c r="BD19">
        <f>Table2[[#This Row],[GF_W]]-Table2[[#This Row],[GF_L]]</f>
        <v>4</v>
      </c>
      <c r="BE19">
        <f>Table2[[#This Row],[GF_A]]+Table2[[#This Row],[GF_H]]</f>
        <v>4</v>
      </c>
      <c r="BF19">
        <f>Table2[[#This Row],[GA_A]]+Table2[[#This Row],[GA_H]]</f>
        <v>3</v>
      </c>
      <c r="BG19">
        <f>Table2[[#This Row],[GF]]-Table2[[#This Row],[GA]]</f>
        <v>1</v>
      </c>
      <c r="BH19">
        <f>Table2[[#This Row],[GF]]/Table2[[#This Row],[GP]]</f>
        <v>4</v>
      </c>
      <c r="BI19">
        <f>Table2[[#This Row],[GA]]/Table2[[#This Row],[GP]]</f>
        <v>3</v>
      </c>
      <c r="BJ19">
        <f>Table2[[#This Row],[GFPG]]-Table2[[#This Row],[GAPG]]</f>
        <v>1</v>
      </c>
      <c r="BK19" t="str">
        <f>_xlfn.CONCAT(TEXT(Table2[[#This Row],[W_A]], "0"), "-", TEXT(Table2[[#This Row],[RL_A]],"0"), "-", TEXT(Table2[[#This Row],[OTL_A]]+Table2[[#This Row],[SOL_A]], "0"))</f>
        <v>1-0-0</v>
      </c>
      <c r="BL19" t="str">
        <f>_xlfn.CONCAT(TEXT(Table2[[#This Row],[W_H]], "0"), "-", TEXT(Table2[[#This Row],[RL_H]],"0"), "-", TEXT(Table2[[#This Row],[OTL_H]]+Table2[[#This Row],[SOL_H]], "0"))</f>
        <v>0-0-0</v>
      </c>
    </row>
    <row r="20" spans="1:64" x14ac:dyDescent="0.25">
      <c r="A20" t="s">
        <v>51</v>
      </c>
      <c r="B20" t="s">
        <v>63</v>
      </c>
      <c r="C20" t="s">
        <v>65</v>
      </c>
      <c r="D20">
        <f>COUNTIFS(Table1[AwayTeam],Table2[[#This Row],[Team]],Table1[GameIsOver], 1, Table1[WatchedGame],1) + COUNTIFS(Table1[HomeTeam],Table2[[#This Row],[Team]],Table1[GameIsOver],1,Table1[WatchedGame],1)</f>
        <v>0</v>
      </c>
      <c r="F20">
        <f>COUNTIFS(Table1[AwayTeam],Table2[[#This Row],[Team]], Table1[GameIsOver],1)</f>
        <v>2</v>
      </c>
      <c r="G20">
        <f>COUNTIFS(Table1[HomeTeam],Table2[[#This Row],[Team]], Table1[GameIsOver],1)</f>
        <v>1</v>
      </c>
      <c r="H20">
        <f>Table2[[#This Row],[GP_A]]+Table2[[#This Row],[GP_H]]</f>
        <v>3</v>
      </c>
      <c r="I20">
        <f>84-Table2[[#This Row],[GP]]</f>
        <v>81</v>
      </c>
      <c r="J20">
        <f>COUNTIFS(Table1[AwayTeam], Table2[[#This Row],[Team]], Table1[GameIsOver], 1, Table1[AwayWon],1)</f>
        <v>2</v>
      </c>
      <c r="K20">
        <f>COUNTIFS(Table1[AwayTeam], Table2[[#This Row],[Team]], Table1[GameIsOver], 1, Table1[AwayWon],1, Table1[ActualResult], "REG")</f>
        <v>1</v>
      </c>
      <c r="L20">
        <f>COUNTIFS(Table1[AwayTeam], Table2[[#This Row],[Team]], Table1[GameIsOver], 1, Table1[AwayWon],1, Table1[ActualResult], "OT")</f>
        <v>1</v>
      </c>
      <c r="M20">
        <f>COUNTIFS(Table1[AwayTeam], Table2[[#This Row],[Team]], Table1[GameIsOver], 1, Table1[AwayWon],1, Table1[ActualResult], "SO")</f>
        <v>0</v>
      </c>
      <c r="N20">
        <f>COUNTIFS(Table1[AwayTeam], Table2[[#This Row],[Team]], Table1[GameIsOver], 1, Table1[AwayWon],0)</f>
        <v>0</v>
      </c>
      <c r="O20">
        <f>COUNTIFS(Table1[AwayTeam], Table2[[#This Row],[Team]], Table1[GameIsOver], 1, Table1[AwayWon],0, Table1[ActualResult], "REG")</f>
        <v>0</v>
      </c>
      <c r="P20">
        <f>COUNTIFS(Table1[AwayTeam], Table2[[#This Row],[Team]], Table1[GameIsOver], 1, Table1[AwayWon],0, Table1[ActualResult], "OT")</f>
        <v>0</v>
      </c>
      <c r="Q20">
        <f>COUNTIFS(Table1[AwayTeam], Table2[[#This Row],[Team]], Table1[GameIsOver], 1, Table1[AwayWon],0, Table1[ActualResult], "SO")</f>
        <v>0</v>
      </c>
      <c r="R20">
        <f>COUNTIFS(Table1[HomeTeam], Table2[[#This Row],[Team]], Table1[GameIsOver], 1, Table1[HomeWon],1)</f>
        <v>1</v>
      </c>
      <c r="S20">
        <f>COUNTIFS(Table1[HomeTeam], Table2[[#This Row],[Team]], Table1[GameIsOver], 1, Table1[HomeWon],1, Table1[ActualResult], "REG")</f>
        <v>1</v>
      </c>
      <c r="T20">
        <f>COUNTIFS(Table1[HomeTeam], Table2[[#This Row],[Team]], Table1[GameIsOver], 1, Table1[HomeWon],1, Table1[ActualResult], "OT")</f>
        <v>0</v>
      </c>
      <c r="U20">
        <f>COUNTIFS(Table1[HomeTeam], Table2[[#This Row],[Team]], Table1[GameIsOver], 1, Table1[HomeWon],1, Table1[ActualResult], "SO")</f>
        <v>0</v>
      </c>
      <c r="V20">
        <f>COUNTIFS(Table1[HomeTeam], Table2[[#This Row],[Team]], Table1[GameIsOver], 1, Table1[HomeWon],0)</f>
        <v>0</v>
      </c>
      <c r="W20">
        <f>COUNTIFS(Table1[HomeTeam], Table2[[#This Row],[Team]], Table1[GameIsOver], 1, Table1[HomeWon],0, Table1[ActualResult], "REG")</f>
        <v>0</v>
      </c>
      <c r="X20">
        <f>COUNTIFS(Table1[HomeTeam], Table2[[#This Row],[Team]], Table1[GameIsOver], 1, Table1[HomeWon],0, Table1[ActualResult], "OT")</f>
        <v>0</v>
      </c>
      <c r="Y20">
        <f>COUNTIFS(Table1[HomeTeam], Table2[[#This Row],[Team]], Table1[GameIsOver], 1, Table1[HomeWon],0, Table1[ActualResult], "SO")</f>
        <v>0</v>
      </c>
      <c r="Z20" s="36">
        <f>Table2[[#This Row],[W]]/MAX(1,Table2[[#This Row],[W]]+Table2[[#This Row],[L]])</f>
        <v>1</v>
      </c>
      <c r="AA20">
        <f>Table2[[#This Row],[W_A]]+Table2[[#This Row],[W_H]]</f>
        <v>3</v>
      </c>
      <c r="AB20">
        <f>Table2[[#This Row],[L_A]]+Table2[[#This Row],[L_H]]</f>
        <v>0</v>
      </c>
      <c r="AC20">
        <f>Table2[RW_A]+Table2[RW_H]</f>
        <v>2</v>
      </c>
      <c r="AD20">
        <f>Table2[RL_A]+Table2[RL_H]</f>
        <v>0</v>
      </c>
      <c r="AE20">
        <f>Table2[OTW_A]+Table2[OTW_H]</f>
        <v>1</v>
      </c>
      <c r="AF20">
        <f>Table2[OTL_A]+Table2[OTL_H]</f>
        <v>0</v>
      </c>
      <c r="AG20">
        <f>Table2[SOW_A]+Table2[SOW_H]</f>
        <v>0</v>
      </c>
      <c r="AH20">
        <f>Table2[SOL_A]+Table2[SOL_H]</f>
        <v>0</v>
      </c>
      <c r="AI20" t="str">
        <f>_xlfn.CONCAT(TEXT(Table2[[#This Row],[OTW]]+Table2[[#This Row],[SOW]], "0"), "-", TEXT(Table2[[#This Row],[OTL]]+Table2[[#This Row],[SOL]],"0"))</f>
        <v>1-0</v>
      </c>
      <c r="AJ20">
        <f>SUM(Table2[[#This Row],[OTW]],Table2[[#This Row],[OTL]],Table2[[#This Row],[SOW]],Table2[[#This Row],[SOL]])</f>
        <v>1</v>
      </c>
      <c r="AK20" s="36">
        <f>(Table2[[#This Row],[OTW]]+Table2[[#This Row],[SOW]])/IF(Table2[[#This Row],[Total_ExtraTimes]]=0,1,Table2[[#This Row],[Total_ExtraTimes]])</f>
        <v>1</v>
      </c>
      <c r="AL20" s="36">
        <f>Table2[[#This Row],[Total_ExtraTimes]]/MAX(1,Table2[[#This Row],[GP]])</f>
        <v>0.33333333333333331</v>
      </c>
      <c r="AM20">
        <f>(2*(Table2[[#This Row],[W_A]]+Table2[[#This Row],[W_H]]))+Table2[[#This Row],[OTL_A]]+Table2[[#This Row],[SOL_A]]+Table2[[#This Row],[OTL_H]]+Table2[[#This Row],[SOL_H]]</f>
        <v>6</v>
      </c>
      <c r="AN20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8</v>
      </c>
      <c r="AO20">
        <f>Table2[[#This Row],[PTS]]/(2*Table2[[#This Row],[GP]])</f>
        <v>1</v>
      </c>
      <c r="AP20">
        <f>Table2[[#This Row],[PTS]]/(3*Table2[[#This Row],[GP]])</f>
        <v>0.66666666666666663</v>
      </c>
      <c r="AQ20">
        <f>(2*Table2[[#This Row],[GR]])+Table2[[#This Row],[PTS]]</f>
        <v>168</v>
      </c>
      <c r="AR20">
        <f>(3*Table2[[#This Row],[GR]])+Table2[[#This Row],[PTS]]</f>
        <v>249</v>
      </c>
      <c r="AS20">
        <f>Table2[[#This Row],[PTS]]+(2 * Table2[[#This Row],[GR]] * Table2[[#This Row],[PTS%]])</f>
        <v>168</v>
      </c>
      <c r="AT20">
        <f>Table2[[#This Row],[PTS]]+(3 * Table2[[#This Row],[GR]] * Table2[[#This Row],[PTS%]])</f>
        <v>249</v>
      </c>
      <c r="AU20" t="str">
        <f>_xlfn.CONCAT(TEXT(Table2[[#This Row],[W]], "0"), "-", TEXT(Table2[[#This Row],[RL]],"0"), "-", TEXT(Table2[[#This Row],[OTL]]+Table2[[#This Row],[SOL]], "0"))</f>
        <v>3-0-0</v>
      </c>
      <c r="AV20">
        <f>SUMIF(Table1[AwayTeam], Table2[[#This Row],[Team]], Table1[ActualAwayScore])</f>
        <v>7</v>
      </c>
      <c r="AW20">
        <f>SUMIF(Table1[AwayTeam], Table2[[#This Row],[Team]], Table1[ActualHomeScore])</f>
        <v>3</v>
      </c>
      <c r="AX20">
        <f>Table2[[#This Row],[GF_A]]-Table2[[#This Row],[GA_A]]</f>
        <v>4</v>
      </c>
      <c r="AY20">
        <f>SUMIF(Table1[HomeTeam], Table2[[#This Row],[Team]], Table1[ActualHomeScore])</f>
        <v>4</v>
      </c>
      <c r="AZ20">
        <f>SUMIF(Table1[HomeTeam], Table2[[#This Row],[Team]], Table1[ActualAwayScore])</f>
        <v>3</v>
      </c>
      <c r="BA20">
        <f>Table2[[#This Row],[GF_H]]-Table2[[#This Row],[GA_H]]</f>
        <v>1</v>
      </c>
      <c r="BB20">
        <f>SUMIFS(Table1[ActualAwayScore], Table1[AwayTeam], Table2[[#This Row],[Team]], Table1[AwayWon],1)+SUMIFS(Table1[ActualHomeScore], Table1[HomeTeam], Table2[[#This Row],[Team]], Table1[HomeWon],1)</f>
        <v>11</v>
      </c>
      <c r="BC20">
        <f>SUMIFS(Table1[ActualAwayScore], Table1[AwayTeam], Table2[[#This Row],[Team]], Table1[AwayWon],0) + SUMIFS(Table1[ActualHomeScore], Table1[HomeTeam], Table2[[#This Row],[Team]], Table1[HomeWon],0)</f>
        <v>0</v>
      </c>
      <c r="BD20">
        <f>Table2[[#This Row],[GF_W]]-Table2[[#This Row],[GF_L]]</f>
        <v>11</v>
      </c>
      <c r="BE20">
        <f>Table2[[#This Row],[GF_A]]+Table2[[#This Row],[GF_H]]</f>
        <v>11</v>
      </c>
      <c r="BF20">
        <f>Table2[[#This Row],[GA_A]]+Table2[[#This Row],[GA_H]]</f>
        <v>6</v>
      </c>
      <c r="BG20">
        <f>Table2[[#This Row],[GF]]-Table2[[#This Row],[GA]]</f>
        <v>5</v>
      </c>
      <c r="BH20">
        <f>Table2[[#This Row],[GF]]/Table2[[#This Row],[GP]]</f>
        <v>3.6666666666666665</v>
      </c>
      <c r="BI20">
        <f>Table2[[#This Row],[GA]]/Table2[[#This Row],[GP]]</f>
        <v>2</v>
      </c>
      <c r="BJ20">
        <f>Table2[[#This Row],[GFPG]]-Table2[[#This Row],[GAPG]]</f>
        <v>1.6666666666666665</v>
      </c>
      <c r="BK20" t="str">
        <f>_xlfn.CONCAT(TEXT(Table2[[#This Row],[W_A]], "0"), "-", TEXT(Table2[[#This Row],[RL_A]],"0"), "-", TEXT(Table2[[#This Row],[OTL_A]]+Table2[[#This Row],[SOL_A]], "0"))</f>
        <v>2-0-0</v>
      </c>
      <c r="BL20" t="str">
        <f>_xlfn.CONCAT(TEXT(Table2[[#This Row],[W_H]], "0"), "-", TEXT(Table2[[#This Row],[RL_H]],"0"), "-", TEXT(Table2[[#This Row],[OTL_H]]+Table2[[#This Row],[SOL_H]], "0"))</f>
        <v>1-0-0</v>
      </c>
    </row>
    <row r="21" spans="1:64" x14ac:dyDescent="0.25">
      <c r="A21" t="s">
        <v>52</v>
      </c>
      <c r="B21" t="s">
        <v>63</v>
      </c>
      <c r="C21" t="s">
        <v>67</v>
      </c>
      <c r="D21">
        <f>COUNTIFS(Table1[AwayTeam],Table2[[#This Row],[Team]],Table1[GameIsOver], 1, Table1[WatchedGame],1) + COUNTIFS(Table1[HomeTeam],Table2[[#This Row],[Team]],Table1[GameIsOver],1,Table1[WatchedGame],1)</f>
        <v>0</v>
      </c>
      <c r="F21">
        <f>COUNTIFS(Table1[AwayTeam],Table2[[#This Row],[Team]], Table1[GameIsOver],1)</f>
        <v>0</v>
      </c>
      <c r="G21">
        <f>COUNTIFS(Table1[HomeTeam],Table2[[#This Row],[Team]], Table1[GameIsOver],1)</f>
        <v>0</v>
      </c>
      <c r="H21">
        <f>Table2[[#This Row],[GP_A]]+Table2[[#This Row],[GP_H]]</f>
        <v>0</v>
      </c>
      <c r="I21">
        <f>84-Table2[[#This Row],[GP]]</f>
        <v>84</v>
      </c>
      <c r="J21">
        <f>COUNTIFS(Table1[AwayTeam], Table2[[#This Row],[Team]], Table1[GameIsOver], 1, Table1[AwayWon],1)</f>
        <v>0</v>
      </c>
      <c r="K21">
        <f>COUNTIFS(Table1[AwayTeam], Table2[[#This Row],[Team]], Table1[GameIsOver], 1, Table1[AwayWon],1, Table1[ActualResult], "REG")</f>
        <v>0</v>
      </c>
      <c r="L21">
        <f>COUNTIFS(Table1[AwayTeam], Table2[[#This Row],[Team]], Table1[GameIsOver], 1, Table1[AwayWon],1, Table1[ActualResult], "OT")</f>
        <v>0</v>
      </c>
      <c r="M21">
        <f>COUNTIFS(Table1[AwayTeam], Table2[[#This Row],[Team]], Table1[GameIsOver], 1, Table1[AwayWon],1, Table1[ActualResult], "SO")</f>
        <v>0</v>
      </c>
      <c r="N21">
        <f>COUNTIFS(Table1[AwayTeam], Table2[[#This Row],[Team]], Table1[GameIsOver], 1, Table1[AwayWon],0)</f>
        <v>0</v>
      </c>
      <c r="O21">
        <f>COUNTIFS(Table1[AwayTeam], Table2[[#This Row],[Team]], Table1[GameIsOver], 1, Table1[AwayWon],0, Table1[ActualResult], "REG")</f>
        <v>0</v>
      </c>
      <c r="P21">
        <f>COUNTIFS(Table1[AwayTeam], Table2[[#This Row],[Team]], Table1[GameIsOver], 1, Table1[AwayWon],0, Table1[ActualResult], "OT")</f>
        <v>0</v>
      </c>
      <c r="Q21">
        <f>COUNTIFS(Table1[AwayTeam], Table2[[#This Row],[Team]], Table1[GameIsOver], 1, Table1[AwayWon],0, Table1[ActualResult], "SO")</f>
        <v>0</v>
      </c>
      <c r="R21">
        <f>COUNTIFS(Table1[HomeTeam], Table2[[#This Row],[Team]], Table1[GameIsOver], 1, Table1[HomeWon],1)</f>
        <v>0</v>
      </c>
      <c r="S21">
        <f>COUNTIFS(Table1[HomeTeam], Table2[[#This Row],[Team]], Table1[GameIsOver], 1, Table1[HomeWon],1, Table1[ActualResult], "REG")</f>
        <v>0</v>
      </c>
      <c r="T21">
        <f>COUNTIFS(Table1[HomeTeam], Table2[[#This Row],[Team]], Table1[GameIsOver], 1, Table1[HomeWon],1, Table1[ActualResult], "OT")</f>
        <v>0</v>
      </c>
      <c r="U21">
        <f>COUNTIFS(Table1[HomeTeam], Table2[[#This Row],[Team]], Table1[GameIsOver], 1, Table1[HomeWon],1, Table1[ActualResult], "SO")</f>
        <v>0</v>
      </c>
      <c r="V21">
        <f>COUNTIFS(Table1[HomeTeam], Table2[[#This Row],[Team]], Table1[GameIsOver], 1, Table1[HomeWon],0)</f>
        <v>0</v>
      </c>
      <c r="W21">
        <f>COUNTIFS(Table1[HomeTeam], Table2[[#This Row],[Team]], Table1[GameIsOver], 1, Table1[HomeWon],0, Table1[ActualResult], "REG")</f>
        <v>0</v>
      </c>
      <c r="X21">
        <f>COUNTIFS(Table1[HomeTeam], Table2[[#This Row],[Team]], Table1[GameIsOver], 1, Table1[HomeWon],0, Table1[ActualResult], "OT")</f>
        <v>0</v>
      </c>
      <c r="Y21">
        <f>COUNTIFS(Table1[HomeTeam], Table2[[#This Row],[Team]], Table1[GameIsOver], 1, Table1[HomeWon],0, Table1[ActualResult], "SO")</f>
        <v>0</v>
      </c>
      <c r="Z21" s="36">
        <f>Table2[[#This Row],[W]]/MAX(1,Table2[[#This Row],[W]]+Table2[[#This Row],[L]])</f>
        <v>0</v>
      </c>
      <c r="AA21">
        <f>Table2[[#This Row],[W_A]]+Table2[[#This Row],[W_H]]</f>
        <v>0</v>
      </c>
      <c r="AB21">
        <f>Table2[[#This Row],[L_A]]+Table2[[#This Row],[L_H]]</f>
        <v>0</v>
      </c>
      <c r="AC21">
        <f>Table2[RW_A]+Table2[RW_H]</f>
        <v>0</v>
      </c>
      <c r="AD21">
        <f>Table2[RL_A]+Table2[RL_H]</f>
        <v>0</v>
      </c>
      <c r="AE21">
        <f>Table2[OTW_A]+Table2[OTW_H]</f>
        <v>0</v>
      </c>
      <c r="AF21">
        <f>Table2[OTL_A]+Table2[OTL_H]</f>
        <v>0</v>
      </c>
      <c r="AG21">
        <f>Table2[SOW_A]+Table2[SOW_H]</f>
        <v>0</v>
      </c>
      <c r="AH21">
        <f>Table2[SOL_A]+Table2[SOL_H]</f>
        <v>0</v>
      </c>
      <c r="AI21" t="str">
        <f>_xlfn.CONCAT(TEXT(Table2[[#This Row],[OTW]]+Table2[[#This Row],[SOW]], "0"), "-", TEXT(Table2[[#This Row],[OTL]]+Table2[[#This Row],[SOL]],"0"))</f>
        <v>0-0</v>
      </c>
      <c r="AJ21">
        <f>SUM(Table2[[#This Row],[OTW]],Table2[[#This Row],[OTL]],Table2[[#This Row],[SOW]],Table2[[#This Row],[SOL]])</f>
        <v>0</v>
      </c>
      <c r="AK21" s="36">
        <f>(Table2[[#This Row],[OTW]]+Table2[[#This Row],[SOW]])/IF(Table2[[#This Row],[Total_ExtraTimes]]=0,1,Table2[[#This Row],[Total_ExtraTimes]])</f>
        <v>0</v>
      </c>
      <c r="AL21" s="36">
        <f>Table2[[#This Row],[Total_ExtraTimes]]/MAX(1,Table2[[#This Row],[GP]])</f>
        <v>0</v>
      </c>
      <c r="AM21">
        <f>(2*(Table2[[#This Row],[W_A]]+Table2[[#This Row],[W_H]]))+Table2[[#This Row],[OTL_A]]+Table2[[#This Row],[SOL_A]]+Table2[[#This Row],[OTL_H]]+Table2[[#This Row],[SOL_H]]</f>
        <v>0</v>
      </c>
      <c r="AN21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0</v>
      </c>
      <c r="AO21" t="e">
        <f>Table2[[#This Row],[PTS]]/(2*Table2[[#This Row],[GP]])</f>
        <v>#DIV/0!</v>
      </c>
      <c r="AP21" t="e">
        <f>Table2[[#This Row],[PTS]]/(3*Table2[[#This Row],[GP]])</f>
        <v>#DIV/0!</v>
      </c>
      <c r="AQ21">
        <f>(2*Table2[[#This Row],[GR]])+Table2[[#This Row],[PTS]]</f>
        <v>168</v>
      </c>
      <c r="AR21">
        <f>(3*Table2[[#This Row],[GR]])+Table2[[#This Row],[PTS]]</f>
        <v>252</v>
      </c>
      <c r="AS21" t="e">
        <f>Table2[[#This Row],[PTS]]+(2 * Table2[[#This Row],[GR]] * Table2[[#This Row],[PTS%]])</f>
        <v>#DIV/0!</v>
      </c>
      <c r="AT21" t="e">
        <f>Table2[[#This Row],[PTS]]+(3 * Table2[[#This Row],[GR]] * Table2[[#This Row],[PTS%]])</f>
        <v>#DIV/0!</v>
      </c>
      <c r="AU21" t="str">
        <f>_xlfn.CONCAT(TEXT(Table2[[#This Row],[W]], "0"), "-", TEXT(Table2[[#This Row],[RL]],"0"), "-", TEXT(Table2[[#This Row],[OTL]]+Table2[[#This Row],[SOL]], "0"))</f>
        <v>0-0-0</v>
      </c>
      <c r="AV21">
        <f>SUMIF(Table1[AwayTeam], Table2[[#This Row],[Team]], Table1[ActualAwayScore])</f>
        <v>0</v>
      </c>
      <c r="AW21">
        <f>SUMIF(Table1[AwayTeam], Table2[[#This Row],[Team]], Table1[ActualHomeScore])</f>
        <v>0</v>
      </c>
      <c r="AX21">
        <f>Table2[[#This Row],[GF_A]]-Table2[[#This Row],[GA_A]]</f>
        <v>0</v>
      </c>
      <c r="AY21">
        <f>SUMIF(Table1[HomeTeam], Table2[[#This Row],[Team]], Table1[ActualHomeScore])</f>
        <v>0</v>
      </c>
      <c r="AZ21">
        <f>SUMIF(Table1[HomeTeam], Table2[[#This Row],[Team]], Table1[ActualAwayScore])</f>
        <v>0</v>
      </c>
      <c r="BA21">
        <f>Table2[[#This Row],[GF_H]]-Table2[[#This Row],[GA_H]]</f>
        <v>0</v>
      </c>
      <c r="BB21">
        <f>SUMIFS(Table1[ActualAwayScore], Table1[AwayTeam], Table2[[#This Row],[Team]], Table1[AwayWon],1)+SUMIFS(Table1[ActualHomeScore], Table1[HomeTeam], Table2[[#This Row],[Team]], Table1[HomeWon],1)</f>
        <v>0</v>
      </c>
      <c r="BC21">
        <f>SUMIFS(Table1[ActualAwayScore], Table1[AwayTeam], Table2[[#This Row],[Team]], Table1[AwayWon],0) + SUMIFS(Table1[ActualHomeScore], Table1[HomeTeam], Table2[[#This Row],[Team]], Table1[HomeWon],0)</f>
        <v>0</v>
      </c>
      <c r="BD21">
        <f>Table2[[#This Row],[GF_W]]-Table2[[#This Row],[GF_L]]</f>
        <v>0</v>
      </c>
      <c r="BE21">
        <f>Table2[[#This Row],[GF_A]]+Table2[[#This Row],[GF_H]]</f>
        <v>0</v>
      </c>
      <c r="BF21">
        <f>Table2[[#This Row],[GA_A]]+Table2[[#This Row],[GA_H]]</f>
        <v>0</v>
      </c>
      <c r="BG21">
        <f>Table2[[#This Row],[GF]]-Table2[[#This Row],[GA]]</f>
        <v>0</v>
      </c>
      <c r="BH21" t="e">
        <f>Table2[[#This Row],[GF]]/Table2[[#This Row],[GP]]</f>
        <v>#DIV/0!</v>
      </c>
      <c r="BI21" t="e">
        <f>Table2[[#This Row],[GA]]/Table2[[#This Row],[GP]]</f>
        <v>#DIV/0!</v>
      </c>
      <c r="BJ21" t="e">
        <f>Table2[[#This Row],[GFPG]]-Table2[[#This Row],[GAPG]]</f>
        <v>#DIV/0!</v>
      </c>
      <c r="BK21" t="str">
        <f>_xlfn.CONCAT(TEXT(Table2[[#This Row],[W_A]], "0"), "-", TEXT(Table2[[#This Row],[RL_A]],"0"), "-", TEXT(Table2[[#This Row],[OTL_A]]+Table2[[#This Row],[SOL_A]], "0"))</f>
        <v>0-0-0</v>
      </c>
      <c r="BL21" t="str">
        <f>_xlfn.CONCAT(TEXT(Table2[[#This Row],[W_H]], "0"), "-", TEXT(Table2[[#This Row],[RL_H]],"0"), "-", TEXT(Table2[[#This Row],[OTL_H]]+Table2[[#This Row],[SOL_H]], "0"))</f>
        <v>0-0-0</v>
      </c>
    </row>
    <row r="22" spans="1:64" x14ac:dyDescent="0.25">
      <c r="A22" t="s">
        <v>53</v>
      </c>
      <c r="B22" t="s">
        <v>63</v>
      </c>
      <c r="C22" t="s">
        <v>65</v>
      </c>
      <c r="D22">
        <f>COUNTIFS(Table1[AwayTeam],Table2[[#This Row],[Team]],Table1[GameIsOver], 1, Table1[WatchedGame],1) + COUNTIFS(Table1[HomeTeam],Table2[[#This Row],[Team]],Table1[GameIsOver],1,Table1[WatchedGame],1)</f>
        <v>0</v>
      </c>
      <c r="F22">
        <f>COUNTIFS(Table1[AwayTeam],Table2[[#This Row],[Team]], Table1[GameIsOver],1)</f>
        <v>1</v>
      </c>
      <c r="G22">
        <f>COUNTIFS(Table1[HomeTeam],Table2[[#This Row],[Team]], Table1[GameIsOver],1)</f>
        <v>1</v>
      </c>
      <c r="H22">
        <f>Table2[[#This Row],[GP_A]]+Table2[[#This Row],[GP_H]]</f>
        <v>2</v>
      </c>
      <c r="I22">
        <f>84-Table2[[#This Row],[GP]]</f>
        <v>82</v>
      </c>
      <c r="J22">
        <f>COUNTIFS(Table1[AwayTeam], Table2[[#This Row],[Team]], Table1[GameIsOver], 1, Table1[AwayWon],1)</f>
        <v>0</v>
      </c>
      <c r="K22">
        <f>COUNTIFS(Table1[AwayTeam], Table2[[#This Row],[Team]], Table1[GameIsOver], 1, Table1[AwayWon],1, Table1[ActualResult], "REG")</f>
        <v>0</v>
      </c>
      <c r="L22">
        <f>COUNTIFS(Table1[AwayTeam], Table2[[#This Row],[Team]], Table1[GameIsOver], 1, Table1[AwayWon],1, Table1[ActualResult], "OT")</f>
        <v>0</v>
      </c>
      <c r="M22">
        <f>COUNTIFS(Table1[AwayTeam], Table2[[#This Row],[Team]], Table1[GameIsOver], 1, Table1[AwayWon],1, Table1[ActualResult], "SO")</f>
        <v>0</v>
      </c>
      <c r="N22">
        <f>COUNTIFS(Table1[AwayTeam], Table2[[#This Row],[Team]], Table1[GameIsOver], 1, Table1[AwayWon],0)</f>
        <v>1</v>
      </c>
      <c r="O22">
        <f>COUNTIFS(Table1[AwayTeam], Table2[[#This Row],[Team]], Table1[GameIsOver], 1, Table1[AwayWon],0, Table1[ActualResult], "REG")</f>
        <v>1</v>
      </c>
      <c r="P22">
        <f>COUNTIFS(Table1[AwayTeam], Table2[[#This Row],[Team]], Table1[GameIsOver], 1, Table1[AwayWon],0, Table1[ActualResult], "OT")</f>
        <v>0</v>
      </c>
      <c r="Q22">
        <f>COUNTIFS(Table1[AwayTeam], Table2[[#This Row],[Team]], Table1[GameIsOver], 1, Table1[AwayWon],0, Table1[ActualResult], "SO")</f>
        <v>0</v>
      </c>
      <c r="R22">
        <f>COUNTIFS(Table1[HomeTeam], Table2[[#This Row],[Team]], Table1[GameIsOver], 1, Table1[HomeWon],1)</f>
        <v>1</v>
      </c>
      <c r="S22">
        <f>COUNTIFS(Table1[HomeTeam], Table2[[#This Row],[Team]], Table1[GameIsOver], 1, Table1[HomeWon],1, Table1[ActualResult], "REG")</f>
        <v>0</v>
      </c>
      <c r="T22">
        <f>COUNTIFS(Table1[HomeTeam], Table2[[#This Row],[Team]], Table1[GameIsOver], 1, Table1[HomeWon],1, Table1[ActualResult], "OT")</f>
        <v>1</v>
      </c>
      <c r="U22">
        <f>COUNTIFS(Table1[HomeTeam], Table2[[#This Row],[Team]], Table1[GameIsOver], 1, Table1[HomeWon],1, Table1[ActualResult], "SO")</f>
        <v>0</v>
      </c>
      <c r="V22">
        <f>COUNTIFS(Table1[HomeTeam], Table2[[#This Row],[Team]], Table1[GameIsOver], 1, Table1[HomeWon],0)</f>
        <v>0</v>
      </c>
      <c r="W22">
        <f>COUNTIFS(Table1[HomeTeam], Table2[[#This Row],[Team]], Table1[GameIsOver], 1, Table1[HomeWon],0, Table1[ActualResult], "REG")</f>
        <v>0</v>
      </c>
      <c r="X22">
        <f>COUNTIFS(Table1[HomeTeam], Table2[[#This Row],[Team]], Table1[GameIsOver], 1, Table1[HomeWon],0, Table1[ActualResult], "OT")</f>
        <v>0</v>
      </c>
      <c r="Y22">
        <f>COUNTIFS(Table1[HomeTeam], Table2[[#This Row],[Team]], Table1[GameIsOver], 1, Table1[HomeWon],0, Table1[ActualResult], "SO")</f>
        <v>0</v>
      </c>
      <c r="Z22" s="36">
        <f>Table2[[#This Row],[W]]/MAX(1,Table2[[#This Row],[W]]+Table2[[#This Row],[L]])</f>
        <v>0.5</v>
      </c>
      <c r="AA22">
        <f>Table2[[#This Row],[W_A]]+Table2[[#This Row],[W_H]]</f>
        <v>1</v>
      </c>
      <c r="AB22">
        <f>Table2[[#This Row],[L_A]]+Table2[[#This Row],[L_H]]</f>
        <v>1</v>
      </c>
      <c r="AC22">
        <f>Table2[RW_A]+Table2[RW_H]</f>
        <v>0</v>
      </c>
      <c r="AD22">
        <f>Table2[RL_A]+Table2[RL_H]</f>
        <v>1</v>
      </c>
      <c r="AE22">
        <f>Table2[OTW_A]+Table2[OTW_H]</f>
        <v>1</v>
      </c>
      <c r="AF22">
        <f>Table2[OTL_A]+Table2[OTL_H]</f>
        <v>0</v>
      </c>
      <c r="AG22">
        <f>Table2[SOW_A]+Table2[SOW_H]</f>
        <v>0</v>
      </c>
      <c r="AH22">
        <f>Table2[SOL_A]+Table2[SOL_H]</f>
        <v>0</v>
      </c>
      <c r="AI22" t="str">
        <f>_xlfn.CONCAT(TEXT(Table2[[#This Row],[OTW]]+Table2[[#This Row],[SOW]], "0"), "-", TEXT(Table2[[#This Row],[OTL]]+Table2[[#This Row],[SOL]],"0"))</f>
        <v>1-0</v>
      </c>
      <c r="AJ22">
        <f>SUM(Table2[[#This Row],[OTW]],Table2[[#This Row],[OTL]],Table2[[#This Row],[SOW]],Table2[[#This Row],[SOL]])</f>
        <v>1</v>
      </c>
      <c r="AK22" s="36">
        <f>(Table2[[#This Row],[OTW]]+Table2[[#This Row],[SOW]])/IF(Table2[[#This Row],[Total_ExtraTimes]]=0,1,Table2[[#This Row],[Total_ExtraTimes]])</f>
        <v>1</v>
      </c>
      <c r="AL22" s="36">
        <f>Table2[[#This Row],[Total_ExtraTimes]]/MAX(1,Table2[[#This Row],[GP]])</f>
        <v>0.5</v>
      </c>
      <c r="AM22">
        <f>(2*(Table2[[#This Row],[W_A]]+Table2[[#This Row],[W_H]]))+Table2[[#This Row],[OTL_A]]+Table2[[#This Row],[SOL_A]]+Table2[[#This Row],[OTL_H]]+Table2[[#This Row],[SOL_H]]</f>
        <v>2</v>
      </c>
      <c r="AN22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2</v>
      </c>
      <c r="AO22">
        <f>Table2[[#This Row],[PTS]]/(2*Table2[[#This Row],[GP]])</f>
        <v>0.5</v>
      </c>
      <c r="AP22">
        <f>Table2[[#This Row],[PTS]]/(3*Table2[[#This Row],[GP]])</f>
        <v>0.33333333333333331</v>
      </c>
      <c r="AQ22">
        <f>(2*Table2[[#This Row],[GR]])+Table2[[#This Row],[PTS]]</f>
        <v>166</v>
      </c>
      <c r="AR22">
        <f>(3*Table2[[#This Row],[GR]])+Table2[[#This Row],[PTS]]</f>
        <v>248</v>
      </c>
      <c r="AS22">
        <f>Table2[[#This Row],[PTS]]+(2 * Table2[[#This Row],[GR]] * Table2[[#This Row],[PTS%]])</f>
        <v>84</v>
      </c>
      <c r="AT22">
        <f>Table2[[#This Row],[PTS]]+(3 * Table2[[#This Row],[GR]] * Table2[[#This Row],[PTS%]])</f>
        <v>125</v>
      </c>
      <c r="AU22" t="str">
        <f>_xlfn.CONCAT(TEXT(Table2[[#This Row],[W]], "0"), "-", TEXT(Table2[[#This Row],[RL]],"0"), "-", TEXT(Table2[[#This Row],[OTL]]+Table2[[#This Row],[SOL]], "0"))</f>
        <v>1-1-0</v>
      </c>
      <c r="AV22">
        <f>SUMIF(Table1[AwayTeam], Table2[[#This Row],[Team]], Table1[ActualAwayScore])</f>
        <v>3</v>
      </c>
      <c r="AW22">
        <f>SUMIF(Table1[AwayTeam], Table2[[#This Row],[Team]], Table1[ActualHomeScore])</f>
        <v>5</v>
      </c>
      <c r="AX22">
        <f>Table2[[#This Row],[GF_A]]-Table2[[#This Row],[GA_A]]</f>
        <v>-2</v>
      </c>
      <c r="AY22">
        <f>SUMIF(Table1[HomeTeam], Table2[[#This Row],[Team]], Table1[ActualHomeScore])</f>
        <v>5</v>
      </c>
      <c r="AZ22">
        <f>SUMIF(Table1[HomeTeam], Table2[[#This Row],[Team]], Table1[ActualAwayScore])</f>
        <v>4</v>
      </c>
      <c r="BA22">
        <f>Table2[[#This Row],[GF_H]]-Table2[[#This Row],[GA_H]]</f>
        <v>1</v>
      </c>
      <c r="BB22">
        <f>SUMIFS(Table1[ActualAwayScore], Table1[AwayTeam], Table2[[#This Row],[Team]], Table1[AwayWon],1)+SUMIFS(Table1[ActualHomeScore], Table1[HomeTeam], Table2[[#This Row],[Team]], Table1[HomeWon],1)</f>
        <v>5</v>
      </c>
      <c r="BC22">
        <f>SUMIFS(Table1[ActualAwayScore], Table1[AwayTeam], Table2[[#This Row],[Team]], Table1[AwayWon],0) + SUMIFS(Table1[ActualHomeScore], Table1[HomeTeam], Table2[[#This Row],[Team]], Table1[HomeWon],0)</f>
        <v>3</v>
      </c>
      <c r="BD22">
        <f>Table2[[#This Row],[GF_W]]-Table2[[#This Row],[GF_L]]</f>
        <v>2</v>
      </c>
      <c r="BE22">
        <f>Table2[[#This Row],[GF_A]]+Table2[[#This Row],[GF_H]]</f>
        <v>8</v>
      </c>
      <c r="BF22">
        <f>Table2[[#This Row],[GA_A]]+Table2[[#This Row],[GA_H]]</f>
        <v>9</v>
      </c>
      <c r="BG22">
        <f>Table2[[#This Row],[GF]]-Table2[[#This Row],[GA]]</f>
        <v>-1</v>
      </c>
      <c r="BH22">
        <f>Table2[[#This Row],[GF]]/Table2[[#This Row],[GP]]</f>
        <v>4</v>
      </c>
      <c r="BI22">
        <f>Table2[[#This Row],[GA]]/Table2[[#This Row],[GP]]</f>
        <v>4.5</v>
      </c>
      <c r="BJ22">
        <f>Table2[[#This Row],[GFPG]]-Table2[[#This Row],[GAPG]]</f>
        <v>-0.5</v>
      </c>
      <c r="BK22" t="str">
        <f>_xlfn.CONCAT(TEXT(Table2[[#This Row],[W_A]], "0"), "-", TEXT(Table2[[#This Row],[RL_A]],"0"), "-", TEXT(Table2[[#This Row],[OTL_A]]+Table2[[#This Row],[SOL_A]], "0"))</f>
        <v>0-1-0</v>
      </c>
      <c r="BL22" t="str">
        <f>_xlfn.CONCAT(TEXT(Table2[[#This Row],[W_H]], "0"), "-", TEXT(Table2[[#This Row],[RL_H]],"0"), "-", TEXT(Table2[[#This Row],[OTL_H]]+Table2[[#This Row],[SOL_H]], "0"))</f>
        <v>1-0-0</v>
      </c>
    </row>
    <row r="23" spans="1:64" x14ac:dyDescent="0.25">
      <c r="A23" t="s">
        <v>54</v>
      </c>
      <c r="B23" t="s">
        <v>63</v>
      </c>
      <c r="C23" t="s">
        <v>65</v>
      </c>
      <c r="D23">
        <f>COUNTIFS(Table1[AwayTeam],Table2[[#This Row],[Team]],Table1[GameIsOver], 1, Table1[WatchedGame],1) + COUNTIFS(Table1[HomeTeam],Table2[[#This Row],[Team]],Table1[GameIsOver],1,Table1[WatchedGame],1)</f>
        <v>0</v>
      </c>
      <c r="F23">
        <f>COUNTIFS(Table1[AwayTeam],Table2[[#This Row],[Team]], Table1[GameIsOver],1)</f>
        <v>1</v>
      </c>
      <c r="G23">
        <f>COUNTIFS(Table1[HomeTeam],Table2[[#This Row],[Team]], Table1[GameIsOver],1)</f>
        <v>0</v>
      </c>
      <c r="H23">
        <f>Table2[[#This Row],[GP_A]]+Table2[[#This Row],[GP_H]]</f>
        <v>1</v>
      </c>
      <c r="I23">
        <f>84-Table2[[#This Row],[GP]]</f>
        <v>83</v>
      </c>
      <c r="J23">
        <f>COUNTIFS(Table1[AwayTeam], Table2[[#This Row],[Team]], Table1[GameIsOver], 1, Table1[AwayWon],1)</f>
        <v>0</v>
      </c>
      <c r="K23">
        <f>COUNTIFS(Table1[AwayTeam], Table2[[#This Row],[Team]], Table1[GameIsOver], 1, Table1[AwayWon],1, Table1[ActualResult], "REG")</f>
        <v>0</v>
      </c>
      <c r="L23">
        <f>COUNTIFS(Table1[AwayTeam], Table2[[#This Row],[Team]], Table1[GameIsOver], 1, Table1[AwayWon],1, Table1[ActualResult], "OT")</f>
        <v>0</v>
      </c>
      <c r="M23">
        <f>COUNTIFS(Table1[AwayTeam], Table2[[#This Row],[Team]], Table1[GameIsOver], 1, Table1[AwayWon],1, Table1[ActualResult], "SO")</f>
        <v>0</v>
      </c>
      <c r="N23">
        <f>COUNTIFS(Table1[AwayTeam], Table2[[#This Row],[Team]], Table1[GameIsOver], 1, Table1[AwayWon],0)</f>
        <v>1</v>
      </c>
      <c r="O23">
        <f>COUNTIFS(Table1[AwayTeam], Table2[[#This Row],[Team]], Table1[GameIsOver], 1, Table1[AwayWon],0, Table1[ActualResult], "REG")</f>
        <v>0</v>
      </c>
      <c r="P23">
        <f>COUNTIFS(Table1[AwayTeam], Table2[[#This Row],[Team]], Table1[GameIsOver], 1, Table1[AwayWon],0, Table1[ActualResult], "OT")</f>
        <v>1</v>
      </c>
      <c r="Q23">
        <f>COUNTIFS(Table1[AwayTeam], Table2[[#This Row],[Team]], Table1[GameIsOver], 1, Table1[AwayWon],0, Table1[ActualResult], "SO")</f>
        <v>0</v>
      </c>
      <c r="R23">
        <f>COUNTIFS(Table1[HomeTeam], Table2[[#This Row],[Team]], Table1[GameIsOver], 1, Table1[HomeWon],1)</f>
        <v>0</v>
      </c>
      <c r="S23">
        <f>COUNTIFS(Table1[HomeTeam], Table2[[#This Row],[Team]], Table1[GameIsOver], 1, Table1[HomeWon],1, Table1[ActualResult], "REG")</f>
        <v>0</v>
      </c>
      <c r="T23">
        <f>COUNTIFS(Table1[HomeTeam], Table2[[#This Row],[Team]], Table1[GameIsOver], 1, Table1[HomeWon],1, Table1[ActualResult], "OT")</f>
        <v>0</v>
      </c>
      <c r="U23">
        <f>COUNTIFS(Table1[HomeTeam], Table2[[#This Row],[Team]], Table1[GameIsOver], 1, Table1[HomeWon],1, Table1[ActualResult], "SO")</f>
        <v>0</v>
      </c>
      <c r="V23">
        <f>COUNTIFS(Table1[HomeTeam], Table2[[#This Row],[Team]], Table1[GameIsOver], 1, Table1[HomeWon],0)</f>
        <v>0</v>
      </c>
      <c r="W23">
        <f>COUNTIFS(Table1[HomeTeam], Table2[[#This Row],[Team]], Table1[GameIsOver], 1, Table1[HomeWon],0, Table1[ActualResult], "REG")</f>
        <v>0</v>
      </c>
      <c r="X23">
        <f>COUNTIFS(Table1[HomeTeam], Table2[[#This Row],[Team]], Table1[GameIsOver], 1, Table1[HomeWon],0, Table1[ActualResult], "OT")</f>
        <v>0</v>
      </c>
      <c r="Y23">
        <f>COUNTIFS(Table1[HomeTeam], Table2[[#This Row],[Team]], Table1[GameIsOver], 1, Table1[HomeWon],0, Table1[ActualResult], "SO")</f>
        <v>0</v>
      </c>
      <c r="Z23" s="36">
        <f>Table2[[#This Row],[W]]/MAX(1,Table2[[#This Row],[W]]+Table2[[#This Row],[L]])</f>
        <v>0</v>
      </c>
      <c r="AA23">
        <f>Table2[[#This Row],[W_A]]+Table2[[#This Row],[W_H]]</f>
        <v>0</v>
      </c>
      <c r="AB23">
        <f>Table2[[#This Row],[L_A]]+Table2[[#This Row],[L_H]]</f>
        <v>1</v>
      </c>
      <c r="AC23">
        <f>Table2[RW_A]+Table2[RW_H]</f>
        <v>0</v>
      </c>
      <c r="AD23">
        <f>Table2[RL_A]+Table2[RL_H]</f>
        <v>0</v>
      </c>
      <c r="AE23">
        <f>Table2[OTW_A]+Table2[OTW_H]</f>
        <v>0</v>
      </c>
      <c r="AF23">
        <f>Table2[OTL_A]+Table2[OTL_H]</f>
        <v>1</v>
      </c>
      <c r="AG23">
        <f>Table2[SOW_A]+Table2[SOW_H]</f>
        <v>0</v>
      </c>
      <c r="AH23">
        <f>Table2[SOL_A]+Table2[SOL_H]</f>
        <v>0</v>
      </c>
      <c r="AI23" t="str">
        <f>_xlfn.CONCAT(TEXT(Table2[[#This Row],[OTW]]+Table2[[#This Row],[SOW]], "0"), "-", TEXT(Table2[[#This Row],[OTL]]+Table2[[#This Row],[SOL]],"0"))</f>
        <v>0-1</v>
      </c>
      <c r="AJ23">
        <f>SUM(Table2[[#This Row],[OTW]],Table2[[#This Row],[OTL]],Table2[[#This Row],[SOW]],Table2[[#This Row],[SOL]])</f>
        <v>1</v>
      </c>
      <c r="AK23" s="36">
        <f>(Table2[[#This Row],[OTW]]+Table2[[#This Row],[SOW]])/IF(Table2[[#This Row],[Total_ExtraTimes]]=0,1,Table2[[#This Row],[Total_ExtraTimes]])</f>
        <v>0</v>
      </c>
      <c r="AL23" s="36">
        <f>Table2[[#This Row],[Total_ExtraTimes]]/MAX(1,Table2[[#This Row],[GP]])</f>
        <v>1</v>
      </c>
      <c r="AM23">
        <f>(2*(Table2[[#This Row],[W_A]]+Table2[[#This Row],[W_H]]))+Table2[[#This Row],[OTL_A]]+Table2[[#This Row],[SOL_A]]+Table2[[#This Row],[OTL_H]]+Table2[[#This Row],[SOL_H]]</f>
        <v>1</v>
      </c>
      <c r="AN2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1</v>
      </c>
      <c r="AO23">
        <f>Table2[[#This Row],[PTS]]/(2*Table2[[#This Row],[GP]])</f>
        <v>0.5</v>
      </c>
      <c r="AP23">
        <f>Table2[[#This Row],[PTS]]/(3*Table2[[#This Row],[GP]])</f>
        <v>0.33333333333333331</v>
      </c>
      <c r="AQ23">
        <f>(2*Table2[[#This Row],[GR]])+Table2[[#This Row],[PTS]]</f>
        <v>167</v>
      </c>
      <c r="AR23">
        <f>(3*Table2[[#This Row],[GR]])+Table2[[#This Row],[PTS]]</f>
        <v>250</v>
      </c>
      <c r="AS23">
        <f>Table2[[#This Row],[PTS]]+(2 * Table2[[#This Row],[GR]] * Table2[[#This Row],[PTS%]])</f>
        <v>84</v>
      </c>
      <c r="AT23">
        <f>Table2[[#This Row],[PTS]]+(3 * Table2[[#This Row],[GR]] * Table2[[#This Row],[PTS%]])</f>
        <v>125.5</v>
      </c>
      <c r="AU23" t="str">
        <f>_xlfn.CONCAT(TEXT(Table2[[#This Row],[W]], "0"), "-", TEXT(Table2[[#This Row],[RL]],"0"), "-", TEXT(Table2[[#This Row],[OTL]]+Table2[[#This Row],[SOL]], "0"))</f>
        <v>0-0-1</v>
      </c>
      <c r="AV23">
        <f>SUMIF(Table1[AwayTeam], Table2[[#This Row],[Team]], Table1[ActualAwayScore])</f>
        <v>4</v>
      </c>
      <c r="AW23">
        <f>SUMIF(Table1[AwayTeam], Table2[[#This Row],[Team]], Table1[ActualHomeScore])</f>
        <v>5</v>
      </c>
      <c r="AX23">
        <f>Table2[[#This Row],[GF_A]]-Table2[[#This Row],[GA_A]]</f>
        <v>-1</v>
      </c>
      <c r="AY23">
        <f>SUMIF(Table1[HomeTeam], Table2[[#This Row],[Team]], Table1[ActualHomeScore])</f>
        <v>0</v>
      </c>
      <c r="AZ23">
        <f>SUMIF(Table1[HomeTeam], Table2[[#This Row],[Team]], Table1[ActualAwayScore])</f>
        <v>0</v>
      </c>
      <c r="BA23">
        <f>Table2[[#This Row],[GF_H]]-Table2[[#This Row],[GA_H]]</f>
        <v>0</v>
      </c>
      <c r="BB23">
        <f>SUMIFS(Table1[ActualAwayScore], Table1[AwayTeam], Table2[[#This Row],[Team]], Table1[AwayWon],1)+SUMIFS(Table1[ActualHomeScore], Table1[HomeTeam], Table2[[#This Row],[Team]], Table1[HomeWon],1)</f>
        <v>0</v>
      </c>
      <c r="BC23">
        <f>SUMIFS(Table1[ActualAwayScore], Table1[AwayTeam], Table2[[#This Row],[Team]], Table1[AwayWon],0) + SUMIFS(Table1[ActualHomeScore], Table1[HomeTeam], Table2[[#This Row],[Team]], Table1[HomeWon],0)</f>
        <v>4</v>
      </c>
      <c r="BD23">
        <f>Table2[[#This Row],[GF_W]]-Table2[[#This Row],[GF_L]]</f>
        <v>-4</v>
      </c>
      <c r="BE23">
        <f>Table2[[#This Row],[GF_A]]+Table2[[#This Row],[GF_H]]</f>
        <v>4</v>
      </c>
      <c r="BF23">
        <f>Table2[[#This Row],[GA_A]]+Table2[[#This Row],[GA_H]]</f>
        <v>5</v>
      </c>
      <c r="BG23">
        <f>Table2[[#This Row],[GF]]-Table2[[#This Row],[GA]]</f>
        <v>-1</v>
      </c>
      <c r="BH23">
        <f>Table2[[#This Row],[GF]]/Table2[[#This Row],[GP]]</f>
        <v>4</v>
      </c>
      <c r="BI23">
        <f>Table2[[#This Row],[GA]]/Table2[[#This Row],[GP]]</f>
        <v>5</v>
      </c>
      <c r="BJ23">
        <f>Table2[[#This Row],[GFPG]]-Table2[[#This Row],[GAPG]]</f>
        <v>-1</v>
      </c>
      <c r="BK23" t="str">
        <f>_xlfn.CONCAT(TEXT(Table2[[#This Row],[W_A]], "0"), "-", TEXT(Table2[[#This Row],[RL_A]],"0"), "-", TEXT(Table2[[#This Row],[OTL_A]]+Table2[[#This Row],[SOL_A]], "0"))</f>
        <v>0-0-1</v>
      </c>
      <c r="BL23" t="str">
        <f>_xlfn.CONCAT(TEXT(Table2[[#This Row],[W_H]], "0"), "-", TEXT(Table2[[#This Row],[RL_H]],"0"), "-", TEXT(Table2[[#This Row],[OTL_H]]+Table2[[#This Row],[SOL_H]], "0"))</f>
        <v>0-0-0</v>
      </c>
    </row>
    <row r="24" spans="1:64" x14ac:dyDescent="0.25">
      <c r="A24" t="s">
        <v>55</v>
      </c>
      <c r="B24" t="s">
        <v>62</v>
      </c>
      <c r="C24" t="s">
        <v>66</v>
      </c>
      <c r="D24">
        <f>COUNTIFS(Table1[AwayTeam],Table2[[#This Row],[Team]],Table1[GameIsOver], 1, Table1[WatchedGame],1) + COUNTIFS(Table1[HomeTeam],Table2[[#This Row],[Team]],Table1[GameIsOver],1,Table1[WatchedGame],1)</f>
        <v>0</v>
      </c>
      <c r="F24">
        <f>COUNTIFS(Table1[AwayTeam],Table2[[#This Row],[Team]], Table1[GameIsOver],1)</f>
        <v>0</v>
      </c>
      <c r="G24">
        <f>COUNTIFS(Table1[HomeTeam],Table2[[#This Row],[Team]], Table1[GameIsOver],1)</f>
        <v>1</v>
      </c>
      <c r="H24">
        <f>Table2[[#This Row],[GP_A]]+Table2[[#This Row],[GP_H]]</f>
        <v>1</v>
      </c>
      <c r="I24">
        <f>84-Table2[[#This Row],[GP]]</f>
        <v>83</v>
      </c>
      <c r="J24">
        <f>COUNTIFS(Table1[AwayTeam], Table2[[#This Row],[Team]], Table1[GameIsOver], 1, Table1[AwayWon],1)</f>
        <v>0</v>
      </c>
      <c r="K24">
        <f>COUNTIFS(Table1[AwayTeam], Table2[[#This Row],[Team]], Table1[GameIsOver], 1, Table1[AwayWon],1, Table1[ActualResult], "REG")</f>
        <v>0</v>
      </c>
      <c r="L24">
        <f>COUNTIFS(Table1[AwayTeam], Table2[[#This Row],[Team]], Table1[GameIsOver], 1, Table1[AwayWon],1, Table1[ActualResult], "OT")</f>
        <v>0</v>
      </c>
      <c r="M24">
        <f>COUNTIFS(Table1[AwayTeam], Table2[[#This Row],[Team]], Table1[GameIsOver], 1, Table1[AwayWon],1, Table1[ActualResult], "SO")</f>
        <v>0</v>
      </c>
      <c r="N24">
        <f>COUNTIFS(Table1[AwayTeam], Table2[[#This Row],[Team]], Table1[GameIsOver], 1, Table1[AwayWon],0)</f>
        <v>0</v>
      </c>
      <c r="O24">
        <f>COUNTIFS(Table1[AwayTeam], Table2[[#This Row],[Team]], Table1[GameIsOver], 1, Table1[AwayWon],0, Table1[ActualResult], "REG")</f>
        <v>0</v>
      </c>
      <c r="P24">
        <f>COUNTIFS(Table1[AwayTeam], Table2[[#This Row],[Team]], Table1[GameIsOver], 1, Table1[AwayWon],0, Table1[ActualResult], "OT")</f>
        <v>0</v>
      </c>
      <c r="Q24">
        <f>COUNTIFS(Table1[AwayTeam], Table2[[#This Row],[Team]], Table1[GameIsOver], 1, Table1[AwayWon],0, Table1[ActualResult], "SO")</f>
        <v>0</v>
      </c>
      <c r="R24">
        <f>COUNTIFS(Table1[HomeTeam], Table2[[#This Row],[Team]], Table1[GameIsOver], 1, Table1[HomeWon],1)</f>
        <v>0</v>
      </c>
      <c r="S24">
        <f>COUNTIFS(Table1[HomeTeam], Table2[[#This Row],[Team]], Table1[GameIsOver], 1, Table1[HomeWon],1, Table1[ActualResult], "REG")</f>
        <v>0</v>
      </c>
      <c r="T24">
        <f>COUNTIFS(Table1[HomeTeam], Table2[[#This Row],[Team]], Table1[GameIsOver], 1, Table1[HomeWon],1, Table1[ActualResult], "OT")</f>
        <v>0</v>
      </c>
      <c r="U24">
        <f>COUNTIFS(Table1[HomeTeam], Table2[[#This Row],[Team]], Table1[GameIsOver], 1, Table1[HomeWon],1, Table1[ActualResult], "SO")</f>
        <v>0</v>
      </c>
      <c r="V24">
        <f>COUNTIFS(Table1[HomeTeam], Table2[[#This Row],[Team]], Table1[GameIsOver], 1, Table1[HomeWon],0)</f>
        <v>1</v>
      </c>
      <c r="W24">
        <f>COUNTIFS(Table1[HomeTeam], Table2[[#This Row],[Team]], Table1[GameIsOver], 1, Table1[HomeWon],0, Table1[ActualResult], "REG")</f>
        <v>1</v>
      </c>
      <c r="X24">
        <f>COUNTIFS(Table1[HomeTeam], Table2[[#This Row],[Team]], Table1[GameIsOver], 1, Table1[HomeWon],0, Table1[ActualResult], "OT")</f>
        <v>0</v>
      </c>
      <c r="Y24">
        <f>COUNTIFS(Table1[HomeTeam], Table2[[#This Row],[Team]], Table1[GameIsOver], 1, Table1[HomeWon],0, Table1[ActualResult], "SO")</f>
        <v>0</v>
      </c>
      <c r="Z24" s="36">
        <f>Table2[[#This Row],[W]]/MAX(1,Table2[[#This Row],[W]]+Table2[[#This Row],[L]])</f>
        <v>0</v>
      </c>
      <c r="AA24">
        <f>Table2[[#This Row],[W_A]]+Table2[[#This Row],[W_H]]</f>
        <v>0</v>
      </c>
      <c r="AB24">
        <f>Table2[[#This Row],[L_A]]+Table2[[#This Row],[L_H]]</f>
        <v>1</v>
      </c>
      <c r="AC24">
        <f>Table2[RW_A]+Table2[RW_H]</f>
        <v>0</v>
      </c>
      <c r="AD24">
        <f>Table2[RL_A]+Table2[RL_H]</f>
        <v>1</v>
      </c>
      <c r="AE24">
        <f>Table2[OTW_A]+Table2[OTW_H]</f>
        <v>0</v>
      </c>
      <c r="AF24">
        <f>Table2[OTL_A]+Table2[OTL_H]</f>
        <v>0</v>
      </c>
      <c r="AG24">
        <f>Table2[SOW_A]+Table2[SOW_H]</f>
        <v>0</v>
      </c>
      <c r="AH24">
        <f>Table2[SOL_A]+Table2[SOL_H]</f>
        <v>0</v>
      </c>
      <c r="AI24" t="str">
        <f>_xlfn.CONCAT(TEXT(Table2[[#This Row],[OTW]]+Table2[[#This Row],[SOW]], "0"), "-", TEXT(Table2[[#This Row],[OTL]]+Table2[[#This Row],[SOL]],"0"))</f>
        <v>0-0</v>
      </c>
      <c r="AJ24">
        <f>SUM(Table2[[#This Row],[OTW]],Table2[[#This Row],[OTL]],Table2[[#This Row],[SOW]],Table2[[#This Row],[SOL]])</f>
        <v>0</v>
      </c>
      <c r="AK24" s="36">
        <f>(Table2[[#This Row],[OTW]]+Table2[[#This Row],[SOW]])/IF(Table2[[#This Row],[Total_ExtraTimes]]=0,1,Table2[[#This Row],[Total_ExtraTimes]])</f>
        <v>0</v>
      </c>
      <c r="AL24" s="36">
        <f>Table2[[#This Row],[Total_ExtraTimes]]/MAX(1,Table2[[#This Row],[GP]])</f>
        <v>0</v>
      </c>
      <c r="AM24">
        <f>(2*(Table2[[#This Row],[W_A]]+Table2[[#This Row],[W_H]]))+Table2[[#This Row],[OTL_A]]+Table2[[#This Row],[SOL_A]]+Table2[[#This Row],[OTL_H]]+Table2[[#This Row],[SOL_H]]</f>
        <v>0</v>
      </c>
      <c r="AN24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0</v>
      </c>
      <c r="AO24">
        <f>Table2[[#This Row],[PTS]]/(2*Table2[[#This Row],[GP]])</f>
        <v>0</v>
      </c>
      <c r="AP24">
        <f>Table2[[#This Row],[PTS]]/(3*Table2[[#This Row],[GP]])</f>
        <v>0</v>
      </c>
      <c r="AQ24">
        <f>(2*Table2[[#This Row],[GR]])+Table2[[#This Row],[PTS]]</f>
        <v>166</v>
      </c>
      <c r="AR24">
        <f>(3*Table2[[#This Row],[GR]])+Table2[[#This Row],[PTS]]</f>
        <v>249</v>
      </c>
      <c r="AS24">
        <f>Table2[[#This Row],[PTS]]+(2 * Table2[[#This Row],[GR]] * Table2[[#This Row],[PTS%]])</f>
        <v>0</v>
      </c>
      <c r="AT24">
        <f>Table2[[#This Row],[PTS]]+(3 * Table2[[#This Row],[GR]] * Table2[[#This Row],[PTS%]])</f>
        <v>0</v>
      </c>
      <c r="AU24" t="str">
        <f>_xlfn.CONCAT(TEXT(Table2[[#This Row],[W]], "0"), "-", TEXT(Table2[[#This Row],[RL]],"0"), "-", TEXT(Table2[[#This Row],[OTL]]+Table2[[#This Row],[SOL]], "0"))</f>
        <v>0-1-0</v>
      </c>
      <c r="AV24">
        <f>SUMIF(Table1[AwayTeam], Table2[[#This Row],[Team]], Table1[ActualAwayScore])</f>
        <v>0</v>
      </c>
      <c r="AW24">
        <f>SUMIF(Table1[AwayTeam], Table2[[#This Row],[Team]], Table1[ActualHomeScore])</f>
        <v>0</v>
      </c>
      <c r="AX24">
        <f>Table2[[#This Row],[GF_A]]-Table2[[#This Row],[GA_A]]</f>
        <v>0</v>
      </c>
      <c r="AY24">
        <f>SUMIF(Table1[HomeTeam], Table2[[#This Row],[Team]], Table1[ActualHomeScore])</f>
        <v>1</v>
      </c>
      <c r="AZ24">
        <f>SUMIF(Table1[HomeTeam], Table2[[#This Row],[Team]], Table1[ActualAwayScore])</f>
        <v>3</v>
      </c>
      <c r="BA24">
        <f>Table2[[#This Row],[GF_H]]-Table2[[#This Row],[GA_H]]</f>
        <v>-2</v>
      </c>
      <c r="BB24">
        <f>SUMIFS(Table1[ActualAwayScore], Table1[AwayTeam], Table2[[#This Row],[Team]], Table1[AwayWon],1)+SUMIFS(Table1[ActualHomeScore], Table1[HomeTeam], Table2[[#This Row],[Team]], Table1[HomeWon],1)</f>
        <v>0</v>
      </c>
      <c r="BC24">
        <f>SUMIFS(Table1[ActualAwayScore], Table1[AwayTeam], Table2[[#This Row],[Team]], Table1[AwayWon],0) + SUMIFS(Table1[ActualHomeScore], Table1[HomeTeam], Table2[[#This Row],[Team]], Table1[HomeWon],0)</f>
        <v>1</v>
      </c>
      <c r="BD24">
        <f>Table2[[#This Row],[GF_W]]-Table2[[#This Row],[GF_L]]</f>
        <v>-1</v>
      </c>
      <c r="BE24">
        <f>Table2[[#This Row],[GF_A]]+Table2[[#This Row],[GF_H]]</f>
        <v>1</v>
      </c>
      <c r="BF24">
        <f>Table2[[#This Row],[GA_A]]+Table2[[#This Row],[GA_H]]</f>
        <v>3</v>
      </c>
      <c r="BG24">
        <f>Table2[[#This Row],[GF]]-Table2[[#This Row],[GA]]</f>
        <v>-2</v>
      </c>
      <c r="BH24">
        <f>Table2[[#This Row],[GF]]/Table2[[#This Row],[GP]]</f>
        <v>1</v>
      </c>
      <c r="BI24">
        <f>Table2[[#This Row],[GA]]/Table2[[#This Row],[GP]]</f>
        <v>3</v>
      </c>
      <c r="BJ24">
        <f>Table2[[#This Row],[GFPG]]-Table2[[#This Row],[GAPG]]</f>
        <v>-2</v>
      </c>
      <c r="BK24" t="str">
        <f>_xlfn.CONCAT(TEXT(Table2[[#This Row],[W_A]], "0"), "-", TEXT(Table2[[#This Row],[RL_A]],"0"), "-", TEXT(Table2[[#This Row],[OTL_A]]+Table2[[#This Row],[SOL_A]], "0"))</f>
        <v>0-0-0</v>
      </c>
      <c r="BL24" t="str">
        <f>_xlfn.CONCAT(TEXT(Table2[[#This Row],[W_H]], "0"), "-", TEXT(Table2[[#This Row],[RL_H]],"0"), "-", TEXT(Table2[[#This Row],[OTL_H]]+Table2[[#This Row],[SOL_H]], "0"))</f>
        <v>0-1-0</v>
      </c>
    </row>
    <row r="25" spans="1:64" x14ac:dyDescent="0.25">
      <c r="A25" t="s">
        <v>56</v>
      </c>
      <c r="B25" t="s">
        <v>62</v>
      </c>
      <c r="C25" t="s">
        <v>66</v>
      </c>
      <c r="D25">
        <f>COUNTIFS(Table1[AwayTeam],Table2[[#This Row],[Team]],Table1[GameIsOver], 1, Table1[WatchedGame],1) + COUNTIFS(Table1[HomeTeam],Table2[[#This Row],[Team]],Table1[GameIsOver],1,Table1[WatchedGame],1)</f>
        <v>0</v>
      </c>
      <c r="F25">
        <f>COUNTIFS(Table1[AwayTeam],Table2[[#This Row],[Team]], Table1[GameIsOver],1)</f>
        <v>1</v>
      </c>
      <c r="G25">
        <f>COUNTIFS(Table1[HomeTeam],Table2[[#This Row],[Team]], Table1[GameIsOver],1)</f>
        <v>0</v>
      </c>
      <c r="H25">
        <f>Table2[[#This Row],[GP_A]]+Table2[[#This Row],[GP_H]]</f>
        <v>1</v>
      </c>
      <c r="I25">
        <f>84-Table2[[#This Row],[GP]]</f>
        <v>83</v>
      </c>
      <c r="J25">
        <f>COUNTIFS(Table1[AwayTeam], Table2[[#This Row],[Team]], Table1[GameIsOver], 1, Table1[AwayWon],1)</f>
        <v>1</v>
      </c>
      <c r="K25">
        <f>COUNTIFS(Table1[AwayTeam], Table2[[#This Row],[Team]], Table1[GameIsOver], 1, Table1[AwayWon],1, Table1[ActualResult], "REG")</f>
        <v>1</v>
      </c>
      <c r="L25">
        <f>COUNTIFS(Table1[AwayTeam], Table2[[#This Row],[Team]], Table1[GameIsOver], 1, Table1[AwayWon],1, Table1[ActualResult], "OT")</f>
        <v>0</v>
      </c>
      <c r="M25">
        <f>COUNTIFS(Table1[AwayTeam], Table2[[#This Row],[Team]], Table1[GameIsOver], 1, Table1[AwayWon],1, Table1[ActualResult], "SO")</f>
        <v>0</v>
      </c>
      <c r="N25">
        <f>COUNTIFS(Table1[AwayTeam], Table2[[#This Row],[Team]], Table1[GameIsOver], 1, Table1[AwayWon],0)</f>
        <v>0</v>
      </c>
      <c r="O25">
        <f>COUNTIFS(Table1[AwayTeam], Table2[[#This Row],[Team]], Table1[GameIsOver], 1, Table1[AwayWon],0, Table1[ActualResult], "REG")</f>
        <v>0</v>
      </c>
      <c r="P25">
        <f>COUNTIFS(Table1[AwayTeam], Table2[[#This Row],[Team]], Table1[GameIsOver], 1, Table1[AwayWon],0, Table1[ActualResult], "OT")</f>
        <v>0</v>
      </c>
      <c r="Q25">
        <f>COUNTIFS(Table1[AwayTeam], Table2[[#This Row],[Team]], Table1[GameIsOver], 1, Table1[AwayWon],0, Table1[ActualResult], "SO")</f>
        <v>0</v>
      </c>
      <c r="R25">
        <f>COUNTIFS(Table1[HomeTeam], Table2[[#This Row],[Team]], Table1[GameIsOver], 1, Table1[HomeWon],1)</f>
        <v>0</v>
      </c>
      <c r="S25">
        <f>COUNTIFS(Table1[HomeTeam], Table2[[#This Row],[Team]], Table1[GameIsOver], 1, Table1[HomeWon],1, Table1[ActualResult], "REG")</f>
        <v>0</v>
      </c>
      <c r="T25">
        <f>COUNTIFS(Table1[HomeTeam], Table2[[#This Row],[Team]], Table1[GameIsOver], 1, Table1[HomeWon],1, Table1[ActualResult], "OT")</f>
        <v>0</v>
      </c>
      <c r="U25">
        <f>COUNTIFS(Table1[HomeTeam], Table2[[#This Row],[Team]], Table1[GameIsOver], 1, Table1[HomeWon],1, Table1[ActualResult], "SO")</f>
        <v>0</v>
      </c>
      <c r="V25">
        <f>COUNTIFS(Table1[HomeTeam], Table2[[#This Row],[Team]], Table1[GameIsOver], 1, Table1[HomeWon],0)</f>
        <v>0</v>
      </c>
      <c r="W25">
        <f>COUNTIFS(Table1[HomeTeam], Table2[[#This Row],[Team]], Table1[GameIsOver], 1, Table1[HomeWon],0, Table1[ActualResult], "REG")</f>
        <v>0</v>
      </c>
      <c r="X25">
        <f>COUNTIFS(Table1[HomeTeam], Table2[[#This Row],[Team]], Table1[GameIsOver], 1, Table1[HomeWon],0, Table1[ActualResult], "OT")</f>
        <v>0</v>
      </c>
      <c r="Y25">
        <f>COUNTIFS(Table1[HomeTeam], Table2[[#This Row],[Team]], Table1[GameIsOver], 1, Table1[HomeWon],0, Table1[ActualResult], "SO")</f>
        <v>0</v>
      </c>
      <c r="Z25" s="36">
        <f>Table2[[#This Row],[W]]/MAX(1,Table2[[#This Row],[W]]+Table2[[#This Row],[L]])</f>
        <v>1</v>
      </c>
      <c r="AA25">
        <f>Table2[[#This Row],[W_A]]+Table2[[#This Row],[W_H]]</f>
        <v>1</v>
      </c>
      <c r="AB25">
        <f>Table2[[#This Row],[L_A]]+Table2[[#This Row],[L_H]]</f>
        <v>0</v>
      </c>
      <c r="AC25">
        <f>Table2[RW_A]+Table2[RW_H]</f>
        <v>1</v>
      </c>
      <c r="AD25">
        <f>Table2[RL_A]+Table2[RL_H]</f>
        <v>0</v>
      </c>
      <c r="AE25">
        <f>Table2[OTW_A]+Table2[OTW_H]</f>
        <v>0</v>
      </c>
      <c r="AF25">
        <f>Table2[OTL_A]+Table2[OTL_H]</f>
        <v>0</v>
      </c>
      <c r="AG25">
        <f>Table2[SOW_A]+Table2[SOW_H]</f>
        <v>0</v>
      </c>
      <c r="AH25">
        <f>Table2[SOL_A]+Table2[SOL_H]</f>
        <v>0</v>
      </c>
      <c r="AI25" t="str">
        <f>_xlfn.CONCAT(TEXT(Table2[[#This Row],[OTW]]+Table2[[#This Row],[SOW]], "0"), "-", TEXT(Table2[[#This Row],[OTL]]+Table2[[#This Row],[SOL]],"0"))</f>
        <v>0-0</v>
      </c>
      <c r="AJ25">
        <f>SUM(Table2[[#This Row],[OTW]],Table2[[#This Row],[OTL]],Table2[[#This Row],[SOW]],Table2[[#This Row],[SOL]])</f>
        <v>0</v>
      </c>
      <c r="AK25" s="36">
        <f>(Table2[[#This Row],[OTW]]+Table2[[#This Row],[SOW]])/IF(Table2[[#This Row],[Total_ExtraTimes]]=0,1,Table2[[#This Row],[Total_ExtraTimes]])</f>
        <v>0</v>
      </c>
      <c r="AL25" s="36">
        <f>Table2[[#This Row],[Total_ExtraTimes]]/MAX(1,Table2[[#This Row],[GP]])</f>
        <v>0</v>
      </c>
      <c r="AM25">
        <f>(2*(Table2[[#This Row],[W_A]]+Table2[[#This Row],[W_H]]))+Table2[[#This Row],[OTL_A]]+Table2[[#This Row],[SOL_A]]+Table2[[#This Row],[OTL_H]]+Table2[[#This Row],[SOL_H]]</f>
        <v>2</v>
      </c>
      <c r="AN25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3</v>
      </c>
      <c r="AO25">
        <f>Table2[[#This Row],[PTS]]/(2*Table2[[#This Row],[GP]])</f>
        <v>1</v>
      </c>
      <c r="AP25">
        <f>Table2[[#This Row],[PTS]]/(3*Table2[[#This Row],[GP]])</f>
        <v>0.66666666666666663</v>
      </c>
      <c r="AQ25">
        <f>(2*Table2[[#This Row],[GR]])+Table2[[#This Row],[PTS]]</f>
        <v>168</v>
      </c>
      <c r="AR25">
        <f>(3*Table2[[#This Row],[GR]])+Table2[[#This Row],[PTS]]</f>
        <v>251</v>
      </c>
      <c r="AS25">
        <f>Table2[[#This Row],[PTS]]+(2 * Table2[[#This Row],[GR]] * Table2[[#This Row],[PTS%]])</f>
        <v>168</v>
      </c>
      <c r="AT25">
        <f>Table2[[#This Row],[PTS]]+(3 * Table2[[#This Row],[GR]] * Table2[[#This Row],[PTS%]])</f>
        <v>251</v>
      </c>
      <c r="AU25" t="str">
        <f>_xlfn.CONCAT(TEXT(Table2[[#This Row],[W]], "0"), "-", TEXT(Table2[[#This Row],[RL]],"0"), "-", TEXT(Table2[[#This Row],[OTL]]+Table2[[#This Row],[SOL]], "0"))</f>
        <v>1-0-0</v>
      </c>
      <c r="AV25">
        <f>SUMIF(Table1[AwayTeam], Table2[[#This Row],[Team]], Table1[ActualAwayScore])</f>
        <v>4</v>
      </c>
      <c r="AW25">
        <f>SUMIF(Table1[AwayTeam], Table2[[#This Row],[Team]], Table1[ActualHomeScore])</f>
        <v>3</v>
      </c>
      <c r="AX25">
        <f>Table2[[#This Row],[GF_A]]-Table2[[#This Row],[GA_A]]</f>
        <v>1</v>
      </c>
      <c r="AY25">
        <f>SUMIF(Table1[HomeTeam], Table2[[#This Row],[Team]], Table1[ActualHomeScore])</f>
        <v>0</v>
      </c>
      <c r="AZ25">
        <f>SUMIF(Table1[HomeTeam], Table2[[#This Row],[Team]], Table1[ActualAwayScore])</f>
        <v>0</v>
      </c>
      <c r="BA25">
        <f>Table2[[#This Row],[GF_H]]-Table2[[#This Row],[GA_H]]</f>
        <v>0</v>
      </c>
      <c r="BB25">
        <f>SUMIFS(Table1[ActualAwayScore], Table1[AwayTeam], Table2[[#This Row],[Team]], Table1[AwayWon],1)+SUMIFS(Table1[ActualHomeScore], Table1[HomeTeam], Table2[[#This Row],[Team]], Table1[HomeWon],1)</f>
        <v>4</v>
      </c>
      <c r="BC25">
        <f>SUMIFS(Table1[ActualAwayScore], Table1[AwayTeam], Table2[[#This Row],[Team]], Table1[AwayWon],0) + SUMIFS(Table1[ActualHomeScore], Table1[HomeTeam], Table2[[#This Row],[Team]], Table1[HomeWon],0)</f>
        <v>0</v>
      </c>
      <c r="BD25">
        <f>Table2[[#This Row],[GF_W]]-Table2[[#This Row],[GF_L]]</f>
        <v>4</v>
      </c>
      <c r="BE25">
        <f>Table2[[#This Row],[GF_A]]+Table2[[#This Row],[GF_H]]</f>
        <v>4</v>
      </c>
      <c r="BF25">
        <f>Table2[[#This Row],[GA_A]]+Table2[[#This Row],[GA_H]]</f>
        <v>3</v>
      </c>
      <c r="BG25">
        <f>Table2[[#This Row],[GF]]-Table2[[#This Row],[GA]]</f>
        <v>1</v>
      </c>
      <c r="BH25">
        <f>Table2[[#This Row],[GF]]/Table2[[#This Row],[GP]]</f>
        <v>4</v>
      </c>
      <c r="BI25">
        <f>Table2[[#This Row],[GA]]/Table2[[#This Row],[GP]]</f>
        <v>3</v>
      </c>
      <c r="BJ25">
        <f>Table2[[#This Row],[GFPG]]-Table2[[#This Row],[GAPG]]</f>
        <v>1</v>
      </c>
      <c r="BK25" t="str">
        <f>_xlfn.CONCAT(TEXT(Table2[[#This Row],[W_A]], "0"), "-", TEXT(Table2[[#This Row],[RL_A]],"0"), "-", TEXT(Table2[[#This Row],[OTL_A]]+Table2[[#This Row],[SOL_A]], "0"))</f>
        <v>1-0-0</v>
      </c>
      <c r="BL25" t="str">
        <f>_xlfn.CONCAT(TEXT(Table2[[#This Row],[W_H]], "0"), "-", TEXT(Table2[[#This Row],[RL_H]],"0"), "-", TEXT(Table2[[#This Row],[OTL_H]]+Table2[[#This Row],[SOL_H]], "0"))</f>
        <v>0-0-0</v>
      </c>
    </row>
    <row r="26" spans="1:64" x14ac:dyDescent="0.25">
      <c r="A26" t="s">
        <v>61</v>
      </c>
      <c r="B26" t="s">
        <v>62</v>
      </c>
      <c r="C26" t="s">
        <v>64</v>
      </c>
      <c r="D26">
        <f>COUNTIFS(Table1[AwayTeam],Table2[[#This Row],[Team]],Table1[GameIsOver], 1, Table1[WatchedGame],1) + COUNTIFS(Table1[HomeTeam],Table2[[#This Row],[Team]],Table1[GameIsOver],1,Table1[WatchedGame],1)</f>
        <v>0</v>
      </c>
      <c r="F26">
        <f>COUNTIFS(Table1[AwayTeam],Table2[[#This Row],[Team]], Table1[GameIsOver],1)</f>
        <v>0</v>
      </c>
      <c r="G26">
        <f>COUNTIFS(Table1[HomeTeam],Table2[[#This Row],[Team]], Table1[GameIsOver],1)</f>
        <v>0</v>
      </c>
      <c r="H26">
        <f>Table2[[#This Row],[GP_A]]+Table2[[#This Row],[GP_H]]</f>
        <v>0</v>
      </c>
      <c r="I26">
        <f>84-Table2[[#This Row],[GP]]</f>
        <v>84</v>
      </c>
      <c r="J26">
        <f>COUNTIFS(Table1[AwayTeam], Table2[[#This Row],[Team]], Table1[GameIsOver], 1, Table1[AwayWon],1)</f>
        <v>0</v>
      </c>
      <c r="K26">
        <f>COUNTIFS(Table1[AwayTeam], Table2[[#This Row],[Team]], Table1[GameIsOver], 1, Table1[AwayWon],1, Table1[ActualResult], "REG")</f>
        <v>0</v>
      </c>
      <c r="L26">
        <f>COUNTIFS(Table1[AwayTeam], Table2[[#This Row],[Team]], Table1[GameIsOver], 1, Table1[AwayWon],1, Table1[ActualResult], "OT")</f>
        <v>0</v>
      </c>
      <c r="M26">
        <f>COUNTIFS(Table1[AwayTeam], Table2[[#This Row],[Team]], Table1[GameIsOver], 1, Table1[AwayWon],1, Table1[ActualResult], "SO")</f>
        <v>0</v>
      </c>
      <c r="N26">
        <f>COUNTIFS(Table1[AwayTeam], Table2[[#This Row],[Team]], Table1[GameIsOver], 1, Table1[AwayWon],0)</f>
        <v>0</v>
      </c>
      <c r="O26">
        <f>COUNTIFS(Table1[AwayTeam], Table2[[#This Row],[Team]], Table1[GameIsOver], 1, Table1[AwayWon],0, Table1[ActualResult], "REG")</f>
        <v>0</v>
      </c>
      <c r="P26">
        <f>COUNTIFS(Table1[AwayTeam], Table2[[#This Row],[Team]], Table1[GameIsOver], 1, Table1[AwayWon],0, Table1[ActualResult], "OT")</f>
        <v>0</v>
      </c>
      <c r="Q26">
        <f>COUNTIFS(Table1[AwayTeam], Table2[[#This Row],[Team]], Table1[GameIsOver], 1, Table1[AwayWon],0, Table1[ActualResult], "SO")</f>
        <v>0</v>
      </c>
      <c r="R26">
        <f>COUNTIFS(Table1[HomeTeam], Table2[[#This Row],[Team]], Table1[GameIsOver], 1, Table1[HomeWon],1)</f>
        <v>0</v>
      </c>
      <c r="S26">
        <f>COUNTIFS(Table1[HomeTeam], Table2[[#This Row],[Team]], Table1[GameIsOver], 1, Table1[HomeWon],1, Table1[ActualResult], "REG")</f>
        <v>0</v>
      </c>
      <c r="T26">
        <f>COUNTIFS(Table1[HomeTeam], Table2[[#This Row],[Team]], Table1[GameIsOver], 1, Table1[HomeWon],1, Table1[ActualResult], "OT")</f>
        <v>0</v>
      </c>
      <c r="U26">
        <f>COUNTIFS(Table1[HomeTeam], Table2[[#This Row],[Team]], Table1[GameIsOver], 1, Table1[HomeWon],1, Table1[ActualResult], "SO")</f>
        <v>0</v>
      </c>
      <c r="V26">
        <f>COUNTIFS(Table1[HomeTeam], Table2[[#This Row],[Team]], Table1[GameIsOver], 1, Table1[HomeWon],0)</f>
        <v>0</v>
      </c>
      <c r="W26">
        <f>COUNTIFS(Table1[HomeTeam], Table2[[#This Row],[Team]], Table1[GameIsOver], 1, Table1[HomeWon],0, Table1[ActualResult], "REG")</f>
        <v>0</v>
      </c>
      <c r="X26">
        <f>COUNTIFS(Table1[HomeTeam], Table2[[#This Row],[Team]], Table1[GameIsOver], 1, Table1[HomeWon],0, Table1[ActualResult], "OT")</f>
        <v>0</v>
      </c>
      <c r="Y26">
        <f>COUNTIFS(Table1[HomeTeam], Table2[[#This Row],[Team]], Table1[GameIsOver], 1, Table1[HomeWon],0, Table1[ActualResult], "SO")</f>
        <v>0</v>
      </c>
      <c r="Z26" s="36">
        <f>Table2[[#This Row],[W]]/MAX(1,Table2[[#This Row],[W]]+Table2[[#This Row],[L]])</f>
        <v>0</v>
      </c>
      <c r="AA26">
        <f>Table2[[#This Row],[W_A]]+Table2[[#This Row],[W_H]]</f>
        <v>0</v>
      </c>
      <c r="AB26">
        <f>Table2[[#This Row],[L_A]]+Table2[[#This Row],[L_H]]</f>
        <v>0</v>
      </c>
      <c r="AC26">
        <f>Table2[RW_A]+Table2[RW_H]</f>
        <v>0</v>
      </c>
      <c r="AD26">
        <f>Table2[RL_A]+Table2[RL_H]</f>
        <v>0</v>
      </c>
      <c r="AE26">
        <f>Table2[OTW_A]+Table2[OTW_H]</f>
        <v>0</v>
      </c>
      <c r="AF26">
        <f>Table2[OTL_A]+Table2[OTL_H]</f>
        <v>0</v>
      </c>
      <c r="AG26">
        <f>Table2[SOW_A]+Table2[SOW_H]</f>
        <v>0</v>
      </c>
      <c r="AH26">
        <f>Table2[SOL_A]+Table2[SOL_H]</f>
        <v>0</v>
      </c>
      <c r="AI26" t="str">
        <f>_xlfn.CONCAT(TEXT(Table2[[#This Row],[OTW]]+Table2[[#This Row],[SOW]], "0"), "-", TEXT(Table2[[#This Row],[OTL]]+Table2[[#This Row],[SOL]],"0"))</f>
        <v>0-0</v>
      </c>
      <c r="AJ26">
        <f>SUM(Table2[[#This Row],[OTW]],Table2[[#This Row],[OTL]],Table2[[#This Row],[SOW]],Table2[[#This Row],[SOL]])</f>
        <v>0</v>
      </c>
      <c r="AK26" s="36">
        <f>(Table2[[#This Row],[OTW]]+Table2[[#This Row],[SOW]])/IF(Table2[[#This Row],[Total_ExtraTimes]]=0,1,Table2[[#This Row],[Total_ExtraTimes]])</f>
        <v>0</v>
      </c>
      <c r="AL26" s="36">
        <f>Table2[[#This Row],[Total_ExtraTimes]]/MAX(1,Table2[[#This Row],[GP]])</f>
        <v>0</v>
      </c>
      <c r="AM26">
        <f>(2*(Table2[[#This Row],[W_A]]+Table2[[#This Row],[W_H]]))+Table2[[#This Row],[OTL_A]]+Table2[[#This Row],[SOL_A]]+Table2[[#This Row],[OTL_H]]+Table2[[#This Row],[SOL_H]]</f>
        <v>0</v>
      </c>
      <c r="AN26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0</v>
      </c>
      <c r="AO26" t="e">
        <f>Table2[[#This Row],[PTS]]/(2*Table2[[#This Row],[GP]])</f>
        <v>#DIV/0!</v>
      </c>
      <c r="AP26" t="e">
        <f>Table2[[#This Row],[PTS]]/(3*Table2[[#This Row],[GP]])</f>
        <v>#DIV/0!</v>
      </c>
      <c r="AQ26">
        <f>(2*Table2[[#This Row],[GR]])+Table2[[#This Row],[PTS]]</f>
        <v>168</v>
      </c>
      <c r="AR26">
        <f>(3*Table2[[#This Row],[GR]])+Table2[[#This Row],[PTS]]</f>
        <v>252</v>
      </c>
      <c r="AS26" t="e">
        <f>Table2[[#This Row],[PTS]]+(2 * Table2[[#This Row],[GR]] * Table2[[#This Row],[PTS%]])</f>
        <v>#DIV/0!</v>
      </c>
      <c r="AT26" t="e">
        <f>Table2[[#This Row],[PTS]]+(3 * Table2[[#This Row],[GR]] * Table2[[#This Row],[PTS%]])</f>
        <v>#DIV/0!</v>
      </c>
      <c r="AU26" t="str">
        <f>_xlfn.CONCAT(TEXT(Table2[[#This Row],[W]], "0"), "-", TEXT(Table2[[#This Row],[RL]],"0"), "-", TEXT(Table2[[#This Row],[OTL]]+Table2[[#This Row],[SOL]], "0"))</f>
        <v>0-0-0</v>
      </c>
      <c r="AV26">
        <f>SUMIF(Table1[AwayTeam], Table2[[#This Row],[Team]], Table1[ActualAwayScore])</f>
        <v>0</v>
      </c>
      <c r="AW26">
        <f>SUMIF(Table1[AwayTeam], Table2[[#This Row],[Team]], Table1[ActualHomeScore])</f>
        <v>0</v>
      </c>
      <c r="AX26">
        <f>Table2[[#This Row],[GF_A]]-Table2[[#This Row],[GA_A]]</f>
        <v>0</v>
      </c>
      <c r="AY26">
        <f>SUMIF(Table1[HomeTeam], Table2[[#This Row],[Team]], Table1[ActualHomeScore])</f>
        <v>0</v>
      </c>
      <c r="AZ26">
        <f>SUMIF(Table1[HomeTeam], Table2[[#This Row],[Team]], Table1[ActualAwayScore])</f>
        <v>0</v>
      </c>
      <c r="BA26">
        <f>Table2[[#This Row],[GF_H]]-Table2[[#This Row],[GA_H]]</f>
        <v>0</v>
      </c>
      <c r="BB26">
        <f>SUMIFS(Table1[ActualAwayScore], Table1[AwayTeam], Table2[[#This Row],[Team]], Table1[AwayWon],1)+SUMIFS(Table1[ActualHomeScore], Table1[HomeTeam], Table2[[#This Row],[Team]], Table1[HomeWon],1)</f>
        <v>0</v>
      </c>
      <c r="BC26">
        <f>SUMIFS(Table1[ActualAwayScore], Table1[AwayTeam], Table2[[#This Row],[Team]], Table1[AwayWon],0) + SUMIFS(Table1[ActualHomeScore], Table1[HomeTeam], Table2[[#This Row],[Team]], Table1[HomeWon],0)</f>
        <v>0</v>
      </c>
      <c r="BD26">
        <f>Table2[[#This Row],[GF_W]]-Table2[[#This Row],[GF_L]]</f>
        <v>0</v>
      </c>
      <c r="BE26">
        <f>Table2[[#This Row],[GF_A]]+Table2[[#This Row],[GF_H]]</f>
        <v>0</v>
      </c>
      <c r="BF26">
        <f>Table2[[#This Row],[GA_A]]+Table2[[#This Row],[GA_H]]</f>
        <v>0</v>
      </c>
      <c r="BG26">
        <f>Table2[[#This Row],[GF]]-Table2[[#This Row],[GA]]</f>
        <v>0</v>
      </c>
      <c r="BH26" t="e">
        <f>Table2[[#This Row],[GF]]/Table2[[#This Row],[GP]]</f>
        <v>#DIV/0!</v>
      </c>
      <c r="BI26" t="e">
        <f>Table2[[#This Row],[GA]]/Table2[[#This Row],[GP]]</f>
        <v>#DIV/0!</v>
      </c>
      <c r="BJ26" t="e">
        <f>Table2[[#This Row],[GFPG]]-Table2[[#This Row],[GAPG]]</f>
        <v>#DIV/0!</v>
      </c>
      <c r="BK26" t="str">
        <f>_xlfn.CONCAT(TEXT(Table2[[#This Row],[W_A]], "0"), "-", TEXT(Table2[[#This Row],[RL_A]],"0"), "-", TEXT(Table2[[#This Row],[OTL_A]]+Table2[[#This Row],[SOL_A]], "0"))</f>
        <v>0-0-0</v>
      </c>
      <c r="BL26" t="str">
        <f>_xlfn.CONCAT(TEXT(Table2[[#This Row],[W_H]], "0"), "-", TEXT(Table2[[#This Row],[RL_H]],"0"), "-", TEXT(Table2[[#This Row],[OTL_H]]+Table2[[#This Row],[SOL_H]], "0"))</f>
        <v>0-0-0</v>
      </c>
    </row>
    <row r="27" spans="1:64" x14ac:dyDescent="0.25">
      <c r="A27" t="s">
        <v>57</v>
      </c>
      <c r="B27" t="s">
        <v>63</v>
      </c>
      <c r="C27" t="s">
        <v>67</v>
      </c>
      <c r="D27">
        <f>COUNTIFS(Table1[AwayTeam],Table2[[#This Row],[Team]],Table1[GameIsOver], 1, Table1[WatchedGame],1) + COUNTIFS(Table1[HomeTeam],Table2[[#This Row],[Team]],Table1[GameIsOver],1,Table1[WatchedGame],1)</f>
        <v>0</v>
      </c>
      <c r="F27">
        <f>COUNTIFS(Table1[AwayTeam],Table2[[#This Row],[Team]], Table1[GameIsOver],1)</f>
        <v>1</v>
      </c>
      <c r="G27">
        <f>COUNTIFS(Table1[HomeTeam],Table2[[#This Row],[Team]], Table1[GameIsOver],1)</f>
        <v>0</v>
      </c>
      <c r="H27">
        <f>Table2[[#This Row],[GP_A]]+Table2[[#This Row],[GP_H]]</f>
        <v>1</v>
      </c>
      <c r="I27">
        <f>84-Table2[[#This Row],[GP]]</f>
        <v>83</v>
      </c>
      <c r="J27">
        <f>COUNTIFS(Table1[AwayTeam], Table2[[#This Row],[Team]], Table1[GameIsOver], 1, Table1[AwayWon],1)</f>
        <v>0</v>
      </c>
      <c r="K27">
        <f>COUNTIFS(Table1[AwayTeam], Table2[[#This Row],[Team]], Table1[GameIsOver], 1, Table1[AwayWon],1, Table1[ActualResult], "REG")</f>
        <v>0</v>
      </c>
      <c r="L27">
        <f>COUNTIFS(Table1[AwayTeam], Table2[[#This Row],[Team]], Table1[GameIsOver], 1, Table1[AwayWon],1, Table1[ActualResult], "OT")</f>
        <v>0</v>
      </c>
      <c r="M27">
        <f>COUNTIFS(Table1[AwayTeam], Table2[[#This Row],[Team]], Table1[GameIsOver], 1, Table1[AwayWon],1, Table1[ActualResult], "SO")</f>
        <v>0</v>
      </c>
      <c r="N27">
        <f>COUNTIFS(Table1[AwayTeam], Table2[[#This Row],[Team]], Table1[GameIsOver], 1, Table1[AwayWon],0)</f>
        <v>1</v>
      </c>
      <c r="O27">
        <f>COUNTIFS(Table1[AwayTeam], Table2[[#This Row],[Team]], Table1[GameIsOver], 1, Table1[AwayWon],0, Table1[ActualResult], "REG")</f>
        <v>1</v>
      </c>
      <c r="P27">
        <f>COUNTIFS(Table1[AwayTeam], Table2[[#This Row],[Team]], Table1[GameIsOver], 1, Table1[AwayWon],0, Table1[ActualResult], "OT")</f>
        <v>0</v>
      </c>
      <c r="Q27">
        <f>COUNTIFS(Table1[AwayTeam], Table2[[#This Row],[Team]], Table1[GameIsOver], 1, Table1[AwayWon],0, Table1[ActualResult], "SO")</f>
        <v>0</v>
      </c>
      <c r="R27">
        <f>COUNTIFS(Table1[HomeTeam], Table2[[#This Row],[Team]], Table1[GameIsOver], 1, Table1[HomeWon],1)</f>
        <v>0</v>
      </c>
      <c r="S27">
        <f>COUNTIFS(Table1[HomeTeam], Table2[[#This Row],[Team]], Table1[GameIsOver], 1, Table1[HomeWon],1, Table1[ActualResult], "REG")</f>
        <v>0</v>
      </c>
      <c r="T27">
        <f>COUNTIFS(Table1[HomeTeam], Table2[[#This Row],[Team]], Table1[GameIsOver], 1, Table1[HomeWon],1, Table1[ActualResult], "OT")</f>
        <v>0</v>
      </c>
      <c r="U27">
        <f>COUNTIFS(Table1[HomeTeam], Table2[[#This Row],[Team]], Table1[GameIsOver], 1, Table1[HomeWon],1, Table1[ActualResult], "SO")</f>
        <v>0</v>
      </c>
      <c r="V27">
        <f>COUNTIFS(Table1[HomeTeam], Table2[[#This Row],[Team]], Table1[GameIsOver], 1, Table1[HomeWon],0)</f>
        <v>0</v>
      </c>
      <c r="W27">
        <f>COUNTIFS(Table1[HomeTeam], Table2[[#This Row],[Team]], Table1[GameIsOver], 1, Table1[HomeWon],0, Table1[ActualResult], "REG")</f>
        <v>0</v>
      </c>
      <c r="X27">
        <f>COUNTIFS(Table1[HomeTeam], Table2[[#This Row],[Team]], Table1[GameIsOver], 1, Table1[HomeWon],0, Table1[ActualResult], "OT")</f>
        <v>0</v>
      </c>
      <c r="Y27">
        <f>COUNTIFS(Table1[HomeTeam], Table2[[#This Row],[Team]], Table1[GameIsOver], 1, Table1[HomeWon],0, Table1[ActualResult], "SO")</f>
        <v>0</v>
      </c>
      <c r="Z27" s="36">
        <f>Table2[[#This Row],[W]]/MAX(1,Table2[[#This Row],[W]]+Table2[[#This Row],[L]])</f>
        <v>0</v>
      </c>
      <c r="AA27">
        <f>Table2[[#This Row],[W_A]]+Table2[[#This Row],[W_H]]</f>
        <v>0</v>
      </c>
      <c r="AB27">
        <f>Table2[[#This Row],[L_A]]+Table2[[#This Row],[L_H]]</f>
        <v>1</v>
      </c>
      <c r="AC27">
        <f>Table2[RW_A]+Table2[RW_H]</f>
        <v>0</v>
      </c>
      <c r="AD27">
        <f>Table2[RL_A]+Table2[RL_H]</f>
        <v>1</v>
      </c>
      <c r="AE27">
        <f>Table2[OTW_A]+Table2[OTW_H]</f>
        <v>0</v>
      </c>
      <c r="AF27">
        <f>Table2[OTL_A]+Table2[OTL_H]</f>
        <v>0</v>
      </c>
      <c r="AG27">
        <f>Table2[SOW_A]+Table2[SOW_H]</f>
        <v>0</v>
      </c>
      <c r="AH27">
        <f>Table2[SOL_A]+Table2[SOL_H]</f>
        <v>0</v>
      </c>
      <c r="AI27" t="str">
        <f>_xlfn.CONCAT(TEXT(Table2[[#This Row],[OTW]]+Table2[[#This Row],[SOW]], "0"), "-", TEXT(Table2[[#This Row],[OTL]]+Table2[[#This Row],[SOL]],"0"))</f>
        <v>0-0</v>
      </c>
      <c r="AJ27">
        <f>SUM(Table2[[#This Row],[OTW]],Table2[[#This Row],[OTL]],Table2[[#This Row],[SOW]],Table2[[#This Row],[SOL]])</f>
        <v>0</v>
      </c>
      <c r="AK27" s="36">
        <f>(Table2[[#This Row],[OTW]]+Table2[[#This Row],[SOW]])/IF(Table2[[#This Row],[Total_ExtraTimes]]=0,1,Table2[[#This Row],[Total_ExtraTimes]])</f>
        <v>0</v>
      </c>
      <c r="AL27" s="36">
        <f>Table2[[#This Row],[Total_ExtraTimes]]/MAX(1,Table2[[#This Row],[GP]])</f>
        <v>0</v>
      </c>
      <c r="AM27">
        <f>(2*(Table2[[#This Row],[W_A]]+Table2[[#This Row],[W_H]]))+Table2[[#This Row],[OTL_A]]+Table2[[#This Row],[SOL_A]]+Table2[[#This Row],[OTL_H]]+Table2[[#This Row],[SOL_H]]</f>
        <v>0</v>
      </c>
      <c r="AN27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0</v>
      </c>
      <c r="AO27">
        <f>Table2[[#This Row],[PTS]]/(2*Table2[[#This Row],[GP]])</f>
        <v>0</v>
      </c>
      <c r="AP27">
        <f>Table2[[#This Row],[PTS]]/(3*Table2[[#This Row],[GP]])</f>
        <v>0</v>
      </c>
      <c r="AQ27">
        <f>(2*Table2[[#This Row],[GR]])+Table2[[#This Row],[PTS]]</f>
        <v>166</v>
      </c>
      <c r="AR27">
        <f>(3*Table2[[#This Row],[GR]])+Table2[[#This Row],[PTS]]</f>
        <v>249</v>
      </c>
      <c r="AS27">
        <f>Table2[[#This Row],[PTS]]+(2 * Table2[[#This Row],[GR]] * Table2[[#This Row],[PTS%]])</f>
        <v>0</v>
      </c>
      <c r="AT27">
        <f>Table2[[#This Row],[PTS]]+(3 * Table2[[#This Row],[GR]] * Table2[[#This Row],[PTS%]])</f>
        <v>0</v>
      </c>
      <c r="AU27" t="str">
        <f>_xlfn.CONCAT(TEXT(Table2[[#This Row],[W]], "0"), "-", TEXT(Table2[[#This Row],[RL]],"0"), "-", TEXT(Table2[[#This Row],[OTL]]+Table2[[#This Row],[SOL]], "0"))</f>
        <v>0-1-0</v>
      </c>
      <c r="AV27">
        <f>SUMIF(Table1[AwayTeam], Table2[[#This Row],[Team]], Table1[ActualAwayScore])</f>
        <v>3</v>
      </c>
      <c r="AW27">
        <f>SUMIF(Table1[AwayTeam], Table2[[#This Row],[Team]], Table1[ActualHomeScore])</f>
        <v>4</v>
      </c>
      <c r="AX27">
        <f>Table2[[#This Row],[GF_A]]-Table2[[#This Row],[GA_A]]</f>
        <v>-1</v>
      </c>
      <c r="AY27">
        <f>SUMIF(Table1[HomeTeam], Table2[[#This Row],[Team]], Table1[ActualHomeScore])</f>
        <v>0</v>
      </c>
      <c r="AZ27">
        <f>SUMIF(Table1[HomeTeam], Table2[[#This Row],[Team]], Table1[ActualAwayScore])</f>
        <v>0</v>
      </c>
      <c r="BA27">
        <f>Table2[[#This Row],[GF_H]]-Table2[[#This Row],[GA_H]]</f>
        <v>0</v>
      </c>
      <c r="BB27">
        <f>SUMIFS(Table1[ActualAwayScore], Table1[AwayTeam], Table2[[#This Row],[Team]], Table1[AwayWon],1)+SUMIFS(Table1[ActualHomeScore], Table1[HomeTeam], Table2[[#This Row],[Team]], Table1[HomeWon],1)</f>
        <v>0</v>
      </c>
      <c r="BC27">
        <f>SUMIFS(Table1[ActualAwayScore], Table1[AwayTeam], Table2[[#This Row],[Team]], Table1[AwayWon],0) + SUMIFS(Table1[ActualHomeScore], Table1[HomeTeam], Table2[[#This Row],[Team]], Table1[HomeWon],0)</f>
        <v>3</v>
      </c>
      <c r="BD27">
        <f>Table2[[#This Row],[GF_W]]-Table2[[#This Row],[GF_L]]</f>
        <v>-3</v>
      </c>
      <c r="BE27">
        <f>Table2[[#This Row],[GF_A]]+Table2[[#This Row],[GF_H]]</f>
        <v>3</v>
      </c>
      <c r="BF27">
        <f>Table2[[#This Row],[GA_A]]+Table2[[#This Row],[GA_H]]</f>
        <v>4</v>
      </c>
      <c r="BG27">
        <f>Table2[[#This Row],[GF]]-Table2[[#This Row],[GA]]</f>
        <v>-1</v>
      </c>
      <c r="BH27">
        <f>Table2[[#This Row],[GF]]/Table2[[#This Row],[GP]]</f>
        <v>3</v>
      </c>
      <c r="BI27">
        <f>Table2[[#This Row],[GA]]/Table2[[#This Row],[GP]]</f>
        <v>4</v>
      </c>
      <c r="BJ27">
        <f>Table2[[#This Row],[GFPG]]-Table2[[#This Row],[GAPG]]</f>
        <v>-1</v>
      </c>
      <c r="BK27" t="str">
        <f>_xlfn.CONCAT(TEXT(Table2[[#This Row],[W_A]], "0"), "-", TEXT(Table2[[#This Row],[RL_A]],"0"), "-", TEXT(Table2[[#This Row],[OTL_A]]+Table2[[#This Row],[SOL_A]], "0"))</f>
        <v>0-1-0</v>
      </c>
      <c r="BL27" t="str">
        <f>_xlfn.CONCAT(TEXT(Table2[[#This Row],[W_H]], "0"), "-", TEXT(Table2[[#This Row],[RL_H]],"0"), "-", TEXT(Table2[[#This Row],[OTL_H]]+Table2[[#This Row],[SOL_H]], "0"))</f>
        <v>0-0-0</v>
      </c>
    </row>
    <row r="28" spans="1:64" x14ac:dyDescent="0.25">
      <c r="A28" t="s">
        <v>24</v>
      </c>
      <c r="B28" t="s">
        <v>63</v>
      </c>
      <c r="C28" t="s">
        <v>67</v>
      </c>
      <c r="D28">
        <f>COUNTIFS(Table1[AwayTeam],Table2[[#This Row],[Team]],Table1[GameIsOver], 1, Table1[WatchedGame],1) + COUNTIFS(Table1[HomeTeam],Table2[[#This Row],[Team]],Table1[GameIsOver],1,Table1[WatchedGame],1)</f>
        <v>0</v>
      </c>
      <c r="F28">
        <f>COUNTIFS(Table1[AwayTeam],Table2[[#This Row],[Team]], Table1[GameIsOver],1)</f>
        <v>0</v>
      </c>
      <c r="G28">
        <f>COUNTIFS(Table1[HomeTeam],Table2[[#This Row],[Team]], Table1[GameIsOver],1)</f>
        <v>2</v>
      </c>
      <c r="H28">
        <f>Table2[[#This Row],[GP_A]]+Table2[[#This Row],[GP_H]]</f>
        <v>2</v>
      </c>
      <c r="I28">
        <f>84-Table2[[#This Row],[GP]]</f>
        <v>82</v>
      </c>
      <c r="J28">
        <f>COUNTIFS(Table1[AwayTeam], Table2[[#This Row],[Team]], Table1[GameIsOver], 1, Table1[AwayWon],1)</f>
        <v>0</v>
      </c>
      <c r="K28">
        <f>COUNTIFS(Table1[AwayTeam], Table2[[#This Row],[Team]], Table1[GameIsOver], 1, Table1[AwayWon],1, Table1[ActualResult], "REG")</f>
        <v>0</v>
      </c>
      <c r="L28">
        <f>COUNTIFS(Table1[AwayTeam], Table2[[#This Row],[Team]], Table1[GameIsOver], 1, Table1[AwayWon],1, Table1[ActualResult], "OT")</f>
        <v>0</v>
      </c>
      <c r="M28">
        <f>COUNTIFS(Table1[AwayTeam], Table2[[#This Row],[Team]], Table1[GameIsOver], 1, Table1[AwayWon],1, Table1[ActualResult], "SO")</f>
        <v>0</v>
      </c>
      <c r="N28">
        <f>COUNTIFS(Table1[AwayTeam], Table2[[#This Row],[Team]], Table1[GameIsOver], 1, Table1[AwayWon],0)</f>
        <v>0</v>
      </c>
      <c r="O28">
        <f>COUNTIFS(Table1[AwayTeam], Table2[[#This Row],[Team]], Table1[GameIsOver], 1, Table1[AwayWon],0, Table1[ActualResult], "REG")</f>
        <v>0</v>
      </c>
      <c r="P28">
        <f>COUNTIFS(Table1[AwayTeam], Table2[[#This Row],[Team]], Table1[GameIsOver], 1, Table1[AwayWon],0, Table1[ActualResult], "OT")</f>
        <v>0</v>
      </c>
      <c r="Q28">
        <f>COUNTIFS(Table1[AwayTeam], Table2[[#This Row],[Team]], Table1[GameIsOver], 1, Table1[AwayWon],0, Table1[ActualResult], "SO")</f>
        <v>0</v>
      </c>
      <c r="R28">
        <f>COUNTIFS(Table1[HomeTeam], Table2[[#This Row],[Team]], Table1[GameIsOver], 1, Table1[HomeWon],1)</f>
        <v>0</v>
      </c>
      <c r="S28">
        <f>COUNTIFS(Table1[HomeTeam], Table2[[#This Row],[Team]], Table1[GameIsOver], 1, Table1[HomeWon],1, Table1[ActualResult], "REG")</f>
        <v>0</v>
      </c>
      <c r="T28">
        <f>COUNTIFS(Table1[HomeTeam], Table2[[#This Row],[Team]], Table1[GameIsOver], 1, Table1[HomeWon],1, Table1[ActualResult], "OT")</f>
        <v>0</v>
      </c>
      <c r="U28">
        <f>COUNTIFS(Table1[HomeTeam], Table2[[#This Row],[Team]], Table1[GameIsOver], 1, Table1[HomeWon],1, Table1[ActualResult], "SO")</f>
        <v>0</v>
      </c>
      <c r="V28">
        <f>COUNTIFS(Table1[HomeTeam], Table2[[#This Row],[Team]], Table1[GameIsOver], 1, Table1[HomeWon],0)</f>
        <v>2</v>
      </c>
      <c r="W28">
        <f>COUNTIFS(Table1[HomeTeam], Table2[[#This Row],[Team]], Table1[GameIsOver], 1, Table1[HomeWon],0, Table1[ActualResult], "REG")</f>
        <v>2</v>
      </c>
      <c r="X28">
        <f>COUNTIFS(Table1[HomeTeam], Table2[[#This Row],[Team]], Table1[GameIsOver], 1, Table1[HomeWon],0, Table1[ActualResult], "OT")</f>
        <v>0</v>
      </c>
      <c r="Y28">
        <f>COUNTIFS(Table1[HomeTeam], Table2[[#This Row],[Team]], Table1[GameIsOver], 1, Table1[HomeWon],0, Table1[ActualResult], "SO")</f>
        <v>0</v>
      </c>
      <c r="Z28" s="36">
        <f>Table2[[#This Row],[W]]/MAX(1,Table2[[#This Row],[W]]+Table2[[#This Row],[L]])</f>
        <v>0</v>
      </c>
      <c r="AA28">
        <f>Table2[[#This Row],[W_A]]+Table2[[#This Row],[W_H]]</f>
        <v>0</v>
      </c>
      <c r="AB28">
        <f>Table2[[#This Row],[L_A]]+Table2[[#This Row],[L_H]]</f>
        <v>2</v>
      </c>
      <c r="AC28">
        <f>Table2[RW_A]+Table2[RW_H]</f>
        <v>0</v>
      </c>
      <c r="AD28">
        <f>Table2[RL_A]+Table2[RL_H]</f>
        <v>2</v>
      </c>
      <c r="AE28">
        <f>Table2[OTW_A]+Table2[OTW_H]</f>
        <v>0</v>
      </c>
      <c r="AF28">
        <f>Table2[OTL_A]+Table2[OTL_H]</f>
        <v>0</v>
      </c>
      <c r="AG28">
        <f>Table2[SOW_A]+Table2[SOW_H]</f>
        <v>0</v>
      </c>
      <c r="AH28">
        <f>Table2[SOL_A]+Table2[SOL_H]</f>
        <v>0</v>
      </c>
      <c r="AI28" t="str">
        <f>_xlfn.CONCAT(TEXT(Table2[[#This Row],[OTW]]+Table2[[#This Row],[SOW]], "0"), "-", TEXT(Table2[[#This Row],[OTL]]+Table2[[#This Row],[SOL]],"0"))</f>
        <v>0-0</v>
      </c>
      <c r="AJ28">
        <f>SUM(Table2[[#This Row],[OTW]],Table2[[#This Row],[OTL]],Table2[[#This Row],[SOW]],Table2[[#This Row],[SOL]])</f>
        <v>0</v>
      </c>
      <c r="AK28" s="36">
        <f>(Table2[[#This Row],[OTW]]+Table2[[#This Row],[SOW]])/IF(Table2[[#This Row],[Total_ExtraTimes]]=0,1,Table2[[#This Row],[Total_ExtraTimes]])</f>
        <v>0</v>
      </c>
      <c r="AL28" s="36">
        <f>Table2[[#This Row],[Total_ExtraTimes]]/MAX(1,Table2[[#This Row],[GP]])</f>
        <v>0</v>
      </c>
      <c r="AM28">
        <f>(2*(Table2[[#This Row],[W_A]]+Table2[[#This Row],[W_H]]))+Table2[[#This Row],[OTL_A]]+Table2[[#This Row],[SOL_A]]+Table2[[#This Row],[OTL_H]]+Table2[[#This Row],[SOL_H]]</f>
        <v>0</v>
      </c>
      <c r="AN28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0</v>
      </c>
      <c r="AO28">
        <f>Table2[[#This Row],[PTS]]/(2*Table2[[#This Row],[GP]])</f>
        <v>0</v>
      </c>
      <c r="AP28">
        <f>Table2[[#This Row],[PTS]]/(3*Table2[[#This Row],[GP]])</f>
        <v>0</v>
      </c>
      <c r="AQ28">
        <f>(2*Table2[[#This Row],[GR]])+Table2[[#This Row],[PTS]]</f>
        <v>164</v>
      </c>
      <c r="AR28">
        <f>(3*Table2[[#This Row],[GR]])+Table2[[#This Row],[PTS]]</f>
        <v>246</v>
      </c>
      <c r="AS28">
        <f>Table2[[#This Row],[PTS]]+(2 * Table2[[#This Row],[GR]] * Table2[[#This Row],[PTS%]])</f>
        <v>0</v>
      </c>
      <c r="AT28">
        <f>Table2[[#This Row],[PTS]]+(3 * Table2[[#This Row],[GR]] * Table2[[#This Row],[PTS%]])</f>
        <v>0</v>
      </c>
      <c r="AU28" t="str">
        <f>_xlfn.CONCAT(TEXT(Table2[[#This Row],[W]], "0"), "-", TEXT(Table2[[#This Row],[RL]],"0"), "-", TEXT(Table2[[#This Row],[OTL]]+Table2[[#This Row],[SOL]], "0"))</f>
        <v>0-2-0</v>
      </c>
      <c r="AV28">
        <f>SUMIF(Table1[AwayTeam], Table2[[#This Row],[Team]], Table1[ActualAwayScore])</f>
        <v>0</v>
      </c>
      <c r="AW28">
        <f>SUMIF(Table1[AwayTeam], Table2[[#This Row],[Team]], Table1[ActualHomeScore])</f>
        <v>0</v>
      </c>
      <c r="AX28">
        <f>Table2[[#This Row],[GF_A]]-Table2[[#This Row],[GA_A]]</f>
        <v>0</v>
      </c>
      <c r="AY28">
        <f>SUMIF(Table1[HomeTeam], Table2[[#This Row],[Team]], Table1[ActualHomeScore])</f>
        <v>6</v>
      </c>
      <c r="AZ28">
        <f>SUMIF(Table1[HomeTeam], Table2[[#This Row],[Team]], Table1[ActualAwayScore])</f>
        <v>8</v>
      </c>
      <c r="BA28">
        <f>Table2[[#This Row],[GF_H]]-Table2[[#This Row],[GA_H]]</f>
        <v>-2</v>
      </c>
      <c r="BB28">
        <f>SUMIFS(Table1[ActualAwayScore], Table1[AwayTeam], Table2[[#This Row],[Team]], Table1[AwayWon],1)+SUMIFS(Table1[ActualHomeScore], Table1[HomeTeam], Table2[[#This Row],[Team]], Table1[HomeWon],1)</f>
        <v>0</v>
      </c>
      <c r="BC28">
        <f>SUMIFS(Table1[ActualAwayScore], Table1[AwayTeam], Table2[[#This Row],[Team]], Table1[AwayWon],0) + SUMIFS(Table1[ActualHomeScore], Table1[HomeTeam], Table2[[#This Row],[Team]], Table1[HomeWon],0)</f>
        <v>6</v>
      </c>
      <c r="BD28">
        <f>Table2[[#This Row],[GF_W]]-Table2[[#This Row],[GF_L]]</f>
        <v>-6</v>
      </c>
      <c r="BE28">
        <f>Table2[[#This Row],[GF_A]]+Table2[[#This Row],[GF_H]]</f>
        <v>6</v>
      </c>
      <c r="BF28">
        <f>Table2[[#This Row],[GA_A]]+Table2[[#This Row],[GA_H]]</f>
        <v>8</v>
      </c>
      <c r="BG28">
        <f>Table2[[#This Row],[GF]]-Table2[[#This Row],[GA]]</f>
        <v>-2</v>
      </c>
      <c r="BH28">
        <f>Table2[[#This Row],[GF]]/Table2[[#This Row],[GP]]</f>
        <v>3</v>
      </c>
      <c r="BI28">
        <f>Table2[[#This Row],[GA]]/Table2[[#This Row],[GP]]</f>
        <v>4</v>
      </c>
      <c r="BJ28">
        <f>Table2[[#This Row],[GFPG]]-Table2[[#This Row],[GAPG]]</f>
        <v>-1</v>
      </c>
      <c r="BK28" t="str">
        <f>_xlfn.CONCAT(TEXT(Table2[[#This Row],[W_A]], "0"), "-", TEXT(Table2[[#This Row],[RL_A]],"0"), "-", TEXT(Table2[[#This Row],[OTL_A]]+Table2[[#This Row],[SOL_A]], "0"))</f>
        <v>0-0-0</v>
      </c>
      <c r="BL28" t="str">
        <f>_xlfn.CONCAT(TEXT(Table2[[#This Row],[W_H]], "0"), "-", TEXT(Table2[[#This Row],[RL_H]],"0"), "-", TEXT(Table2[[#This Row],[OTL_H]]+Table2[[#This Row],[SOL_H]], "0"))</f>
        <v>0-2-0</v>
      </c>
    </row>
    <row r="29" spans="1:64" x14ac:dyDescent="0.25">
      <c r="A29" t="s">
        <v>58</v>
      </c>
      <c r="B29" t="s">
        <v>62</v>
      </c>
      <c r="C29" t="s">
        <v>64</v>
      </c>
      <c r="D29">
        <f>COUNTIFS(Table1[AwayTeam],Table2[[#This Row],[Team]],Table1[GameIsOver], 1, Table1[WatchedGame],1) + COUNTIFS(Table1[HomeTeam],Table2[[#This Row],[Team]],Table1[GameIsOver],1,Table1[WatchedGame],1)</f>
        <v>0</v>
      </c>
      <c r="F29">
        <f>COUNTIFS(Table1[AwayTeam],Table2[[#This Row],[Team]], Table1[GameIsOver],1)</f>
        <v>0</v>
      </c>
      <c r="G29">
        <f>COUNTIFS(Table1[HomeTeam],Table2[[#This Row],[Team]], Table1[GameIsOver],1)</f>
        <v>1</v>
      </c>
      <c r="H29">
        <f>Table2[[#This Row],[GP_A]]+Table2[[#This Row],[GP_H]]</f>
        <v>1</v>
      </c>
      <c r="I29">
        <f>84-Table2[[#This Row],[GP]]</f>
        <v>83</v>
      </c>
      <c r="J29">
        <f>COUNTIFS(Table1[AwayTeam], Table2[[#This Row],[Team]], Table1[GameIsOver], 1, Table1[AwayWon],1)</f>
        <v>0</v>
      </c>
      <c r="K29">
        <f>COUNTIFS(Table1[AwayTeam], Table2[[#This Row],[Team]], Table1[GameIsOver], 1, Table1[AwayWon],1, Table1[ActualResult], "REG")</f>
        <v>0</v>
      </c>
      <c r="L29">
        <f>COUNTIFS(Table1[AwayTeam], Table2[[#This Row],[Team]], Table1[GameIsOver], 1, Table1[AwayWon],1, Table1[ActualResult], "OT")</f>
        <v>0</v>
      </c>
      <c r="M29">
        <f>COUNTIFS(Table1[AwayTeam], Table2[[#This Row],[Team]], Table1[GameIsOver], 1, Table1[AwayWon],1, Table1[ActualResult], "SO")</f>
        <v>0</v>
      </c>
      <c r="N29">
        <f>COUNTIFS(Table1[AwayTeam], Table2[[#This Row],[Team]], Table1[GameIsOver], 1, Table1[AwayWon],0)</f>
        <v>0</v>
      </c>
      <c r="O29">
        <f>COUNTIFS(Table1[AwayTeam], Table2[[#This Row],[Team]], Table1[GameIsOver], 1, Table1[AwayWon],0, Table1[ActualResult], "REG")</f>
        <v>0</v>
      </c>
      <c r="P29">
        <f>COUNTIFS(Table1[AwayTeam], Table2[[#This Row],[Team]], Table1[GameIsOver], 1, Table1[AwayWon],0, Table1[ActualResult], "OT")</f>
        <v>0</v>
      </c>
      <c r="Q29">
        <f>COUNTIFS(Table1[AwayTeam], Table2[[#This Row],[Team]], Table1[GameIsOver], 1, Table1[AwayWon],0, Table1[ActualResult], "SO")</f>
        <v>0</v>
      </c>
      <c r="R29">
        <f>COUNTIFS(Table1[HomeTeam], Table2[[#This Row],[Team]], Table1[GameIsOver], 1, Table1[HomeWon],1)</f>
        <v>1</v>
      </c>
      <c r="S29">
        <f>COUNTIFS(Table1[HomeTeam], Table2[[#This Row],[Team]], Table1[GameIsOver], 1, Table1[HomeWon],1, Table1[ActualResult], "REG")</f>
        <v>0</v>
      </c>
      <c r="T29">
        <f>COUNTIFS(Table1[HomeTeam], Table2[[#This Row],[Team]], Table1[GameIsOver], 1, Table1[HomeWon],1, Table1[ActualResult], "OT")</f>
        <v>0</v>
      </c>
      <c r="U29">
        <f>COUNTIFS(Table1[HomeTeam], Table2[[#This Row],[Team]], Table1[GameIsOver], 1, Table1[HomeWon],1, Table1[ActualResult], "SO")</f>
        <v>1</v>
      </c>
      <c r="V29">
        <f>COUNTIFS(Table1[HomeTeam], Table2[[#This Row],[Team]], Table1[GameIsOver], 1, Table1[HomeWon],0)</f>
        <v>0</v>
      </c>
      <c r="W29">
        <f>COUNTIFS(Table1[HomeTeam], Table2[[#This Row],[Team]], Table1[GameIsOver], 1, Table1[HomeWon],0, Table1[ActualResult], "REG")</f>
        <v>0</v>
      </c>
      <c r="X29">
        <f>COUNTIFS(Table1[HomeTeam], Table2[[#This Row],[Team]], Table1[GameIsOver], 1, Table1[HomeWon],0, Table1[ActualResult], "OT")</f>
        <v>0</v>
      </c>
      <c r="Y29">
        <f>COUNTIFS(Table1[HomeTeam], Table2[[#This Row],[Team]], Table1[GameIsOver], 1, Table1[HomeWon],0, Table1[ActualResult], "SO")</f>
        <v>0</v>
      </c>
      <c r="Z29" s="36">
        <f>Table2[[#This Row],[W]]/MAX(1,Table2[[#This Row],[W]]+Table2[[#This Row],[L]])</f>
        <v>1</v>
      </c>
      <c r="AA29">
        <f>Table2[[#This Row],[W_A]]+Table2[[#This Row],[W_H]]</f>
        <v>1</v>
      </c>
      <c r="AB29">
        <f>Table2[[#This Row],[L_A]]+Table2[[#This Row],[L_H]]</f>
        <v>0</v>
      </c>
      <c r="AC29">
        <f>Table2[RW_A]+Table2[RW_H]</f>
        <v>0</v>
      </c>
      <c r="AD29">
        <f>Table2[RL_A]+Table2[RL_H]</f>
        <v>0</v>
      </c>
      <c r="AE29">
        <f>Table2[OTW_A]+Table2[OTW_H]</f>
        <v>0</v>
      </c>
      <c r="AF29">
        <f>Table2[OTL_A]+Table2[OTL_H]</f>
        <v>0</v>
      </c>
      <c r="AG29">
        <f>Table2[SOW_A]+Table2[SOW_H]</f>
        <v>1</v>
      </c>
      <c r="AH29">
        <f>Table2[SOL_A]+Table2[SOL_H]</f>
        <v>0</v>
      </c>
      <c r="AI29" t="str">
        <f>_xlfn.CONCAT(TEXT(Table2[[#This Row],[OTW]]+Table2[[#This Row],[SOW]], "0"), "-", TEXT(Table2[[#This Row],[OTL]]+Table2[[#This Row],[SOL]],"0"))</f>
        <v>1-0</v>
      </c>
      <c r="AJ29">
        <f>SUM(Table2[[#This Row],[OTW]],Table2[[#This Row],[OTL]],Table2[[#This Row],[SOW]],Table2[[#This Row],[SOL]])</f>
        <v>1</v>
      </c>
      <c r="AK29" s="36">
        <f>(Table2[[#This Row],[OTW]]+Table2[[#This Row],[SOW]])/IF(Table2[[#This Row],[Total_ExtraTimes]]=0,1,Table2[[#This Row],[Total_ExtraTimes]])</f>
        <v>1</v>
      </c>
      <c r="AL29" s="36">
        <f>Table2[[#This Row],[Total_ExtraTimes]]/MAX(1,Table2[[#This Row],[GP]])</f>
        <v>1</v>
      </c>
      <c r="AM29">
        <f>(2*(Table2[[#This Row],[W_A]]+Table2[[#This Row],[W_H]]))+Table2[[#This Row],[OTL_A]]+Table2[[#This Row],[SOL_A]]+Table2[[#This Row],[OTL_H]]+Table2[[#This Row],[SOL_H]]</f>
        <v>2</v>
      </c>
      <c r="AN29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2</v>
      </c>
      <c r="AO29">
        <f>Table2[[#This Row],[PTS]]/(2*Table2[[#This Row],[GP]])</f>
        <v>1</v>
      </c>
      <c r="AP29">
        <f>Table2[[#This Row],[PTS]]/(3*Table2[[#This Row],[GP]])</f>
        <v>0.66666666666666663</v>
      </c>
      <c r="AQ29">
        <f>(2*Table2[[#This Row],[GR]])+Table2[[#This Row],[PTS]]</f>
        <v>168</v>
      </c>
      <c r="AR29">
        <f>(3*Table2[[#This Row],[GR]])+Table2[[#This Row],[PTS]]</f>
        <v>251</v>
      </c>
      <c r="AS29">
        <f>Table2[[#This Row],[PTS]]+(2 * Table2[[#This Row],[GR]] * Table2[[#This Row],[PTS%]])</f>
        <v>168</v>
      </c>
      <c r="AT29">
        <f>Table2[[#This Row],[PTS]]+(3 * Table2[[#This Row],[GR]] * Table2[[#This Row],[PTS%]])</f>
        <v>251</v>
      </c>
      <c r="AU29" t="str">
        <f>_xlfn.CONCAT(TEXT(Table2[[#This Row],[W]], "0"), "-", TEXT(Table2[[#This Row],[RL]],"0"), "-", TEXT(Table2[[#This Row],[OTL]]+Table2[[#This Row],[SOL]], "0"))</f>
        <v>1-0-0</v>
      </c>
      <c r="AV29">
        <f>SUMIF(Table1[AwayTeam], Table2[[#This Row],[Team]], Table1[ActualAwayScore])</f>
        <v>0</v>
      </c>
      <c r="AW29">
        <f>SUMIF(Table1[AwayTeam], Table2[[#This Row],[Team]], Table1[ActualHomeScore])</f>
        <v>0</v>
      </c>
      <c r="AX29">
        <f>Table2[[#This Row],[GF_A]]-Table2[[#This Row],[GA_A]]</f>
        <v>0</v>
      </c>
      <c r="AY29">
        <f>SUMIF(Table1[HomeTeam], Table2[[#This Row],[Team]], Table1[ActualHomeScore])</f>
        <v>3</v>
      </c>
      <c r="AZ29">
        <f>SUMIF(Table1[HomeTeam], Table2[[#This Row],[Team]], Table1[ActualAwayScore])</f>
        <v>2</v>
      </c>
      <c r="BA29">
        <f>Table2[[#This Row],[GF_H]]-Table2[[#This Row],[GA_H]]</f>
        <v>1</v>
      </c>
      <c r="BB29">
        <f>SUMIFS(Table1[ActualAwayScore], Table1[AwayTeam], Table2[[#This Row],[Team]], Table1[AwayWon],1)+SUMIFS(Table1[ActualHomeScore], Table1[HomeTeam], Table2[[#This Row],[Team]], Table1[HomeWon],1)</f>
        <v>3</v>
      </c>
      <c r="BC29">
        <f>SUMIFS(Table1[ActualAwayScore], Table1[AwayTeam], Table2[[#This Row],[Team]], Table1[AwayWon],0) + SUMIFS(Table1[ActualHomeScore], Table1[HomeTeam], Table2[[#This Row],[Team]], Table1[HomeWon],0)</f>
        <v>0</v>
      </c>
      <c r="BD29">
        <f>Table2[[#This Row],[GF_W]]-Table2[[#This Row],[GF_L]]</f>
        <v>3</v>
      </c>
      <c r="BE29">
        <f>Table2[[#This Row],[GF_A]]+Table2[[#This Row],[GF_H]]</f>
        <v>3</v>
      </c>
      <c r="BF29">
        <f>Table2[[#This Row],[GA_A]]+Table2[[#This Row],[GA_H]]</f>
        <v>2</v>
      </c>
      <c r="BG29">
        <f>Table2[[#This Row],[GF]]-Table2[[#This Row],[GA]]</f>
        <v>1</v>
      </c>
      <c r="BH29">
        <f>Table2[[#This Row],[GF]]/Table2[[#This Row],[GP]]</f>
        <v>3</v>
      </c>
      <c r="BI29">
        <f>Table2[[#This Row],[GA]]/Table2[[#This Row],[GP]]</f>
        <v>2</v>
      </c>
      <c r="BJ29">
        <f>Table2[[#This Row],[GFPG]]-Table2[[#This Row],[GAPG]]</f>
        <v>1</v>
      </c>
      <c r="BK29" t="str">
        <f>_xlfn.CONCAT(TEXT(Table2[[#This Row],[W_A]], "0"), "-", TEXT(Table2[[#This Row],[RL_A]],"0"), "-", TEXT(Table2[[#This Row],[OTL_A]]+Table2[[#This Row],[SOL_A]], "0"))</f>
        <v>0-0-0</v>
      </c>
      <c r="BL29" t="str">
        <f>_xlfn.CONCAT(TEXT(Table2[[#This Row],[W_H]], "0"), "-", TEXT(Table2[[#This Row],[RL_H]],"0"), "-", TEXT(Table2[[#This Row],[OTL_H]]+Table2[[#This Row],[SOL_H]], "0"))</f>
        <v>1-0-0</v>
      </c>
    </row>
    <row r="30" spans="1:64" x14ac:dyDescent="0.25">
      <c r="A30" t="s">
        <v>23</v>
      </c>
      <c r="B30" t="s">
        <v>62</v>
      </c>
      <c r="C30" t="s">
        <v>66</v>
      </c>
      <c r="D30">
        <f>COUNTIFS(Table1[AwayTeam],Table2[[#This Row],[Team]],Table1[GameIsOver], 1, Table1[WatchedGame],1) + COUNTIFS(Table1[HomeTeam],Table2[[#This Row],[Team]],Table1[GameIsOver],1,Table1[WatchedGame],1)</f>
        <v>0</v>
      </c>
      <c r="F30">
        <f>COUNTIFS(Table1[AwayTeam],Table2[[#This Row],[Team]], Table1[GameIsOver],1)</f>
        <v>1</v>
      </c>
      <c r="G30">
        <f>COUNTIFS(Table1[HomeTeam],Table2[[#This Row],[Team]], Table1[GameIsOver],1)</f>
        <v>1</v>
      </c>
      <c r="H30">
        <f>Table2[[#This Row],[GP_A]]+Table2[[#This Row],[GP_H]]</f>
        <v>2</v>
      </c>
      <c r="I30">
        <f>84-Table2[[#This Row],[GP]]</f>
        <v>82</v>
      </c>
      <c r="J30">
        <f>COUNTIFS(Table1[AwayTeam], Table2[[#This Row],[Team]], Table1[GameIsOver], 1, Table1[AwayWon],1)</f>
        <v>0</v>
      </c>
      <c r="K30">
        <f>COUNTIFS(Table1[AwayTeam], Table2[[#This Row],[Team]], Table1[GameIsOver], 1, Table1[AwayWon],1, Table1[ActualResult], "REG")</f>
        <v>0</v>
      </c>
      <c r="L30">
        <f>COUNTIFS(Table1[AwayTeam], Table2[[#This Row],[Team]], Table1[GameIsOver], 1, Table1[AwayWon],1, Table1[ActualResult], "OT")</f>
        <v>0</v>
      </c>
      <c r="M30">
        <f>COUNTIFS(Table1[AwayTeam], Table2[[#This Row],[Team]], Table1[GameIsOver], 1, Table1[AwayWon],1, Table1[ActualResult], "SO")</f>
        <v>0</v>
      </c>
      <c r="N30">
        <f>COUNTIFS(Table1[AwayTeam], Table2[[#This Row],[Team]], Table1[GameIsOver], 1, Table1[AwayWon],0)</f>
        <v>1</v>
      </c>
      <c r="O30">
        <f>COUNTIFS(Table1[AwayTeam], Table2[[#This Row],[Team]], Table1[GameIsOver], 1, Table1[AwayWon],0, Table1[ActualResult], "REG")</f>
        <v>0</v>
      </c>
      <c r="P30">
        <f>COUNTIFS(Table1[AwayTeam], Table2[[#This Row],[Team]], Table1[GameIsOver], 1, Table1[AwayWon],0, Table1[ActualResult], "OT")</f>
        <v>1</v>
      </c>
      <c r="Q30">
        <f>COUNTIFS(Table1[AwayTeam], Table2[[#This Row],[Team]], Table1[GameIsOver], 1, Table1[AwayWon],0, Table1[ActualResult], "SO")</f>
        <v>0</v>
      </c>
      <c r="R30">
        <f>COUNTIFS(Table1[HomeTeam], Table2[[#This Row],[Team]], Table1[GameIsOver], 1, Table1[HomeWon],1)</f>
        <v>0</v>
      </c>
      <c r="S30">
        <f>COUNTIFS(Table1[HomeTeam], Table2[[#This Row],[Team]], Table1[GameIsOver], 1, Table1[HomeWon],1, Table1[ActualResult], "REG")</f>
        <v>0</v>
      </c>
      <c r="T30">
        <f>COUNTIFS(Table1[HomeTeam], Table2[[#This Row],[Team]], Table1[GameIsOver], 1, Table1[HomeWon],1, Table1[ActualResult], "OT")</f>
        <v>0</v>
      </c>
      <c r="U30">
        <f>COUNTIFS(Table1[HomeTeam], Table2[[#This Row],[Team]], Table1[GameIsOver], 1, Table1[HomeWon],1, Table1[ActualResult], "SO")</f>
        <v>0</v>
      </c>
      <c r="V30">
        <f>COUNTIFS(Table1[HomeTeam], Table2[[#This Row],[Team]], Table1[GameIsOver], 1, Table1[HomeWon],0)</f>
        <v>1</v>
      </c>
      <c r="W30">
        <f>COUNTIFS(Table1[HomeTeam], Table2[[#This Row],[Team]], Table1[GameIsOver], 1, Table1[HomeWon],0, Table1[ActualResult], "REG")</f>
        <v>0</v>
      </c>
      <c r="X30">
        <f>COUNTIFS(Table1[HomeTeam], Table2[[#This Row],[Team]], Table1[GameIsOver], 1, Table1[HomeWon],0, Table1[ActualResult], "OT")</f>
        <v>0</v>
      </c>
      <c r="Y30">
        <f>COUNTIFS(Table1[HomeTeam], Table2[[#This Row],[Team]], Table1[GameIsOver], 1, Table1[HomeWon],0, Table1[ActualResult], "SO")</f>
        <v>1</v>
      </c>
      <c r="Z30" s="36">
        <f>Table2[[#This Row],[W]]/MAX(1,Table2[[#This Row],[W]]+Table2[[#This Row],[L]])</f>
        <v>0</v>
      </c>
      <c r="AA30">
        <f>Table2[[#This Row],[W_A]]+Table2[[#This Row],[W_H]]</f>
        <v>0</v>
      </c>
      <c r="AB30">
        <f>Table2[[#This Row],[L_A]]+Table2[[#This Row],[L_H]]</f>
        <v>2</v>
      </c>
      <c r="AC30">
        <f>Table2[RW_A]+Table2[RW_H]</f>
        <v>0</v>
      </c>
      <c r="AD30">
        <f>Table2[RL_A]+Table2[RL_H]</f>
        <v>0</v>
      </c>
      <c r="AE30">
        <f>Table2[OTW_A]+Table2[OTW_H]</f>
        <v>0</v>
      </c>
      <c r="AF30">
        <f>Table2[OTL_A]+Table2[OTL_H]</f>
        <v>1</v>
      </c>
      <c r="AG30">
        <f>Table2[SOW_A]+Table2[SOW_H]</f>
        <v>0</v>
      </c>
      <c r="AH30">
        <f>Table2[SOL_A]+Table2[SOL_H]</f>
        <v>1</v>
      </c>
      <c r="AI30" t="str">
        <f>_xlfn.CONCAT(TEXT(Table2[[#This Row],[OTW]]+Table2[[#This Row],[SOW]], "0"), "-", TEXT(Table2[[#This Row],[OTL]]+Table2[[#This Row],[SOL]],"0"))</f>
        <v>0-2</v>
      </c>
      <c r="AJ30">
        <f>SUM(Table2[[#This Row],[OTW]],Table2[[#This Row],[OTL]],Table2[[#This Row],[SOW]],Table2[[#This Row],[SOL]])</f>
        <v>2</v>
      </c>
      <c r="AK30" s="36">
        <f>(Table2[[#This Row],[OTW]]+Table2[[#This Row],[SOW]])/IF(Table2[[#This Row],[Total_ExtraTimes]]=0,1,Table2[[#This Row],[Total_ExtraTimes]])</f>
        <v>0</v>
      </c>
      <c r="AL30" s="36">
        <f>Table2[[#This Row],[Total_ExtraTimes]]/MAX(1,Table2[[#This Row],[GP]])</f>
        <v>1</v>
      </c>
      <c r="AM30">
        <f>(2*(Table2[[#This Row],[W_A]]+Table2[[#This Row],[W_H]]))+Table2[[#This Row],[OTL_A]]+Table2[[#This Row],[SOL_A]]+Table2[[#This Row],[OTL_H]]+Table2[[#This Row],[SOL_H]]</f>
        <v>2</v>
      </c>
      <c r="AN30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2</v>
      </c>
      <c r="AO30">
        <f>Table2[[#This Row],[PTS]]/(2*Table2[[#This Row],[GP]])</f>
        <v>0.5</v>
      </c>
      <c r="AP30">
        <f>Table2[[#This Row],[PTS]]/(3*Table2[[#This Row],[GP]])</f>
        <v>0.33333333333333331</v>
      </c>
      <c r="AQ30">
        <f>(2*Table2[[#This Row],[GR]])+Table2[[#This Row],[PTS]]</f>
        <v>166</v>
      </c>
      <c r="AR30">
        <f>(3*Table2[[#This Row],[GR]])+Table2[[#This Row],[PTS]]</f>
        <v>248</v>
      </c>
      <c r="AS30">
        <f>Table2[[#This Row],[PTS]]+(2 * Table2[[#This Row],[GR]] * Table2[[#This Row],[PTS%]])</f>
        <v>84</v>
      </c>
      <c r="AT30">
        <f>Table2[[#This Row],[PTS]]+(3 * Table2[[#This Row],[GR]] * Table2[[#This Row],[PTS%]])</f>
        <v>125</v>
      </c>
      <c r="AU30" t="str">
        <f>_xlfn.CONCAT(TEXT(Table2[[#This Row],[W]], "0"), "-", TEXT(Table2[[#This Row],[RL]],"0"), "-", TEXT(Table2[[#This Row],[OTL]]+Table2[[#This Row],[SOL]], "0"))</f>
        <v>0-0-2</v>
      </c>
      <c r="AV30">
        <f>SUMIF(Table1[AwayTeam], Table2[[#This Row],[Team]], Table1[ActualAwayScore])</f>
        <v>1</v>
      </c>
      <c r="AW30">
        <f>SUMIF(Table1[AwayTeam], Table2[[#This Row],[Team]], Table1[ActualHomeScore])</f>
        <v>2</v>
      </c>
      <c r="AX30">
        <f>Table2[[#This Row],[GF_A]]-Table2[[#This Row],[GA_A]]</f>
        <v>-1</v>
      </c>
      <c r="AY30">
        <f>SUMIF(Table1[HomeTeam], Table2[[#This Row],[Team]], Table1[ActualHomeScore])</f>
        <v>3</v>
      </c>
      <c r="AZ30">
        <f>SUMIF(Table1[HomeTeam], Table2[[#This Row],[Team]], Table1[ActualAwayScore])</f>
        <v>4</v>
      </c>
      <c r="BA30">
        <f>Table2[[#This Row],[GF_H]]-Table2[[#This Row],[GA_H]]</f>
        <v>-1</v>
      </c>
      <c r="BB30">
        <f>SUMIFS(Table1[ActualAwayScore], Table1[AwayTeam], Table2[[#This Row],[Team]], Table1[AwayWon],1)+SUMIFS(Table1[ActualHomeScore], Table1[HomeTeam], Table2[[#This Row],[Team]], Table1[HomeWon],1)</f>
        <v>0</v>
      </c>
      <c r="BC30">
        <f>SUMIFS(Table1[ActualAwayScore], Table1[AwayTeam], Table2[[#This Row],[Team]], Table1[AwayWon],0) + SUMIFS(Table1[ActualHomeScore], Table1[HomeTeam], Table2[[#This Row],[Team]], Table1[HomeWon],0)</f>
        <v>4</v>
      </c>
      <c r="BD30">
        <f>Table2[[#This Row],[GF_W]]-Table2[[#This Row],[GF_L]]</f>
        <v>-4</v>
      </c>
      <c r="BE30">
        <f>Table2[[#This Row],[GF_A]]+Table2[[#This Row],[GF_H]]</f>
        <v>4</v>
      </c>
      <c r="BF30">
        <f>Table2[[#This Row],[GA_A]]+Table2[[#This Row],[GA_H]]</f>
        <v>6</v>
      </c>
      <c r="BG30">
        <f>Table2[[#This Row],[GF]]-Table2[[#This Row],[GA]]</f>
        <v>-2</v>
      </c>
      <c r="BH30">
        <f>Table2[[#This Row],[GF]]/Table2[[#This Row],[GP]]</f>
        <v>2</v>
      </c>
      <c r="BI30">
        <f>Table2[[#This Row],[GA]]/Table2[[#This Row],[GP]]</f>
        <v>3</v>
      </c>
      <c r="BJ30">
        <f>Table2[[#This Row],[GFPG]]-Table2[[#This Row],[GAPG]]</f>
        <v>-1</v>
      </c>
      <c r="BK30" t="str">
        <f>_xlfn.CONCAT(TEXT(Table2[[#This Row],[W_A]], "0"), "-", TEXT(Table2[[#This Row],[RL_A]],"0"), "-", TEXT(Table2[[#This Row],[OTL_A]]+Table2[[#This Row],[SOL_A]], "0"))</f>
        <v>0-0-1</v>
      </c>
      <c r="BL30" t="str">
        <f>_xlfn.CONCAT(TEXT(Table2[[#This Row],[W_H]], "0"), "-", TEXT(Table2[[#This Row],[RL_H]],"0"), "-", TEXT(Table2[[#This Row],[OTL_H]]+Table2[[#This Row],[SOL_H]], "0"))</f>
        <v>0-0-1</v>
      </c>
    </row>
    <row r="31" spans="1:64" x14ac:dyDescent="0.25">
      <c r="A31" t="s">
        <v>25</v>
      </c>
      <c r="B31" t="s">
        <v>62</v>
      </c>
      <c r="C31" t="s">
        <v>66</v>
      </c>
      <c r="D31">
        <f>COUNTIFS(Table1[AwayTeam],Table2[[#This Row],[Team]],Table1[GameIsOver], 1, Table1[WatchedGame],1) + COUNTIFS(Table1[HomeTeam],Table2[[#This Row],[Team]],Table1[GameIsOver],1,Table1[WatchedGame],1)</f>
        <v>0</v>
      </c>
      <c r="F31">
        <f>COUNTIFS(Table1[AwayTeam],Table2[[#This Row],[Team]], Table1[GameIsOver],1)</f>
        <v>0</v>
      </c>
      <c r="G31">
        <f>COUNTIFS(Table1[HomeTeam],Table2[[#This Row],[Team]], Table1[GameIsOver],1)</f>
        <v>1</v>
      </c>
      <c r="H31">
        <f>Table2[[#This Row],[GP_A]]+Table2[[#This Row],[GP_H]]</f>
        <v>1</v>
      </c>
      <c r="I31">
        <f>84-Table2[[#This Row],[GP]]</f>
        <v>83</v>
      </c>
      <c r="J31">
        <f>COUNTIFS(Table1[AwayTeam], Table2[[#This Row],[Team]], Table1[GameIsOver], 1, Table1[AwayWon],1)</f>
        <v>0</v>
      </c>
      <c r="K31">
        <f>COUNTIFS(Table1[AwayTeam], Table2[[#This Row],[Team]], Table1[GameIsOver], 1, Table1[AwayWon],1, Table1[ActualResult], "REG")</f>
        <v>0</v>
      </c>
      <c r="L31">
        <f>COUNTIFS(Table1[AwayTeam], Table2[[#This Row],[Team]], Table1[GameIsOver], 1, Table1[AwayWon],1, Table1[ActualResult], "OT")</f>
        <v>0</v>
      </c>
      <c r="M31">
        <f>COUNTIFS(Table1[AwayTeam], Table2[[#This Row],[Team]], Table1[GameIsOver], 1, Table1[AwayWon],1, Table1[ActualResult], "SO")</f>
        <v>0</v>
      </c>
      <c r="N31">
        <f>COUNTIFS(Table1[AwayTeam], Table2[[#This Row],[Team]], Table1[GameIsOver], 1, Table1[AwayWon],0)</f>
        <v>0</v>
      </c>
      <c r="O31">
        <f>COUNTIFS(Table1[AwayTeam], Table2[[#This Row],[Team]], Table1[GameIsOver], 1, Table1[AwayWon],0, Table1[ActualResult], "REG")</f>
        <v>0</v>
      </c>
      <c r="P31">
        <f>COUNTIFS(Table1[AwayTeam], Table2[[#This Row],[Team]], Table1[GameIsOver], 1, Table1[AwayWon],0, Table1[ActualResult], "OT")</f>
        <v>0</v>
      </c>
      <c r="Q31">
        <f>COUNTIFS(Table1[AwayTeam], Table2[[#This Row],[Team]], Table1[GameIsOver], 1, Table1[AwayWon],0, Table1[ActualResult], "SO")</f>
        <v>0</v>
      </c>
      <c r="R31">
        <f>COUNTIFS(Table1[HomeTeam], Table2[[#This Row],[Team]], Table1[GameIsOver], 1, Table1[HomeWon],1)</f>
        <v>0</v>
      </c>
      <c r="S31">
        <f>COUNTIFS(Table1[HomeTeam], Table2[[#This Row],[Team]], Table1[GameIsOver], 1, Table1[HomeWon],1, Table1[ActualResult], "REG")</f>
        <v>0</v>
      </c>
      <c r="T31">
        <f>COUNTIFS(Table1[HomeTeam], Table2[[#This Row],[Team]], Table1[GameIsOver], 1, Table1[HomeWon],1, Table1[ActualResult], "OT")</f>
        <v>0</v>
      </c>
      <c r="U31">
        <f>COUNTIFS(Table1[HomeTeam], Table2[[#This Row],[Team]], Table1[GameIsOver], 1, Table1[HomeWon],1, Table1[ActualResult], "SO")</f>
        <v>0</v>
      </c>
      <c r="V31">
        <f>COUNTIFS(Table1[HomeTeam], Table2[[#This Row],[Team]], Table1[GameIsOver], 1, Table1[HomeWon],0)</f>
        <v>1</v>
      </c>
      <c r="W31">
        <f>COUNTIFS(Table1[HomeTeam], Table2[[#This Row],[Team]], Table1[GameIsOver], 1, Table1[HomeWon],0, Table1[ActualResult], "REG")</f>
        <v>0</v>
      </c>
      <c r="X31">
        <f>COUNTIFS(Table1[HomeTeam], Table2[[#This Row],[Team]], Table1[GameIsOver], 1, Table1[HomeWon],0, Table1[ActualResult], "OT")</f>
        <v>0</v>
      </c>
      <c r="Y31">
        <f>COUNTIFS(Table1[HomeTeam], Table2[[#This Row],[Team]], Table1[GameIsOver], 1, Table1[HomeWon],0, Table1[ActualResult], "SO")</f>
        <v>1</v>
      </c>
      <c r="Z31" s="36">
        <f>Table2[[#This Row],[W]]/MAX(1,Table2[[#This Row],[W]]+Table2[[#This Row],[L]])</f>
        <v>0</v>
      </c>
      <c r="AA31">
        <f>Table2[[#This Row],[W_A]]+Table2[[#This Row],[W_H]]</f>
        <v>0</v>
      </c>
      <c r="AB31">
        <f>Table2[[#This Row],[L_A]]+Table2[[#This Row],[L_H]]</f>
        <v>1</v>
      </c>
      <c r="AC31">
        <f>Table2[RW_A]+Table2[RW_H]</f>
        <v>0</v>
      </c>
      <c r="AD31">
        <f>Table2[RL_A]+Table2[RL_H]</f>
        <v>0</v>
      </c>
      <c r="AE31">
        <f>Table2[OTW_A]+Table2[OTW_H]</f>
        <v>0</v>
      </c>
      <c r="AF31">
        <f>Table2[OTL_A]+Table2[OTL_H]</f>
        <v>0</v>
      </c>
      <c r="AG31">
        <f>Table2[SOW_A]+Table2[SOW_H]</f>
        <v>0</v>
      </c>
      <c r="AH31">
        <f>Table2[SOL_A]+Table2[SOL_H]</f>
        <v>1</v>
      </c>
      <c r="AI31" t="str">
        <f>_xlfn.CONCAT(TEXT(Table2[[#This Row],[OTW]]+Table2[[#This Row],[SOW]], "0"), "-", TEXT(Table2[[#This Row],[OTL]]+Table2[[#This Row],[SOL]],"0"))</f>
        <v>0-1</v>
      </c>
      <c r="AJ31">
        <f>SUM(Table2[[#This Row],[OTW]],Table2[[#This Row],[OTL]],Table2[[#This Row],[SOW]],Table2[[#This Row],[SOL]])</f>
        <v>1</v>
      </c>
      <c r="AK31" s="36">
        <f>(Table2[[#This Row],[OTW]]+Table2[[#This Row],[SOW]])/IF(Table2[[#This Row],[Total_ExtraTimes]]=0,1,Table2[[#This Row],[Total_ExtraTimes]])</f>
        <v>0</v>
      </c>
      <c r="AL31" s="36">
        <f>Table2[[#This Row],[Total_ExtraTimes]]/MAX(1,Table2[[#This Row],[GP]])</f>
        <v>1</v>
      </c>
      <c r="AM31">
        <f>(2*(Table2[[#This Row],[W_A]]+Table2[[#This Row],[W_H]]))+Table2[[#This Row],[OTL_A]]+Table2[[#This Row],[SOL_A]]+Table2[[#This Row],[OTL_H]]+Table2[[#This Row],[SOL_H]]</f>
        <v>1</v>
      </c>
      <c r="AN31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1</v>
      </c>
      <c r="AO31">
        <f>Table2[[#This Row],[PTS]]/(2*Table2[[#This Row],[GP]])</f>
        <v>0.5</v>
      </c>
      <c r="AP31">
        <f>Table2[[#This Row],[PTS]]/(3*Table2[[#This Row],[GP]])</f>
        <v>0.33333333333333331</v>
      </c>
      <c r="AQ31">
        <f>(2*Table2[[#This Row],[GR]])+Table2[[#This Row],[PTS]]</f>
        <v>167</v>
      </c>
      <c r="AR31">
        <f>(3*Table2[[#This Row],[GR]])+Table2[[#This Row],[PTS]]</f>
        <v>250</v>
      </c>
      <c r="AS31">
        <f>Table2[[#This Row],[PTS]]+(2 * Table2[[#This Row],[GR]] * Table2[[#This Row],[PTS%]])</f>
        <v>84</v>
      </c>
      <c r="AT31">
        <f>Table2[[#This Row],[PTS]]+(3 * Table2[[#This Row],[GR]] * Table2[[#This Row],[PTS%]])</f>
        <v>125.5</v>
      </c>
      <c r="AU31" t="str">
        <f>_xlfn.CONCAT(TEXT(Table2[[#This Row],[W]], "0"), "-", TEXT(Table2[[#This Row],[RL]],"0"), "-", TEXT(Table2[[#This Row],[OTL]]+Table2[[#This Row],[SOL]], "0"))</f>
        <v>0-0-1</v>
      </c>
      <c r="AV31">
        <f>SUMIF(Table1[AwayTeam], Table2[[#This Row],[Team]], Table1[ActualAwayScore])</f>
        <v>0</v>
      </c>
      <c r="AW31">
        <f>SUMIF(Table1[AwayTeam], Table2[[#This Row],[Team]], Table1[ActualHomeScore])</f>
        <v>0</v>
      </c>
      <c r="AX31">
        <f>Table2[[#This Row],[GF_A]]-Table2[[#This Row],[GA_A]]</f>
        <v>0</v>
      </c>
      <c r="AY31">
        <f>SUMIF(Table1[HomeTeam], Table2[[#This Row],[Team]], Table1[ActualHomeScore])</f>
        <v>3</v>
      </c>
      <c r="AZ31">
        <f>SUMIF(Table1[HomeTeam], Table2[[#This Row],[Team]], Table1[ActualAwayScore])</f>
        <v>4</v>
      </c>
      <c r="BA31">
        <f>Table2[[#This Row],[GF_H]]-Table2[[#This Row],[GA_H]]</f>
        <v>-1</v>
      </c>
      <c r="BB31">
        <f>SUMIFS(Table1[ActualAwayScore], Table1[AwayTeam], Table2[[#This Row],[Team]], Table1[AwayWon],1)+SUMIFS(Table1[ActualHomeScore], Table1[HomeTeam], Table2[[#This Row],[Team]], Table1[HomeWon],1)</f>
        <v>0</v>
      </c>
      <c r="BC31">
        <f>SUMIFS(Table1[ActualAwayScore], Table1[AwayTeam], Table2[[#This Row],[Team]], Table1[AwayWon],0) + SUMIFS(Table1[ActualHomeScore], Table1[HomeTeam], Table2[[#This Row],[Team]], Table1[HomeWon],0)</f>
        <v>3</v>
      </c>
      <c r="BD31">
        <f>Table2[[#This Row],[GF_W]]-Table2[[#This Row],[GF_L]]</f>
        <v>-3</v>
      </c>
      <c r="BE31">
        <f>Table2[[#This Row],[GF_A]]+Table2[[#This Row],[GF_H]]</f>
        <v>3</v>
      </c>
      <c r="BF31">
        <f>Table2[[#This Row],[GA_A]]+Table2[[#This Row],[GA_H]]</f>
        <v>4</v>
      </c>
      <c r="BG31">
        <f>Table2[[#This Row],[GF]]-Table2[[#This Row],[GA]]</f>
        <v>-1</v>
      </c>
      <c r="BH31">
        <f>Table2[[#This Row],[GF]]/Table2[[#This Row],[GP]]</f>
        <v>3</v>
      </c>
      <c r="BI31">
        <f>Table2[[#This Row],[GA]]/Table2[[#This Row],[GP]]</f>
        <v>4</v>
      </c>
      <c r="BJ31">
        <f>Table2[[#This Row],[GFPG]]-Table2[[#This Row],[GAPG]]</f>
        <v>-1</v>
      </c>
      <c r="BK31" t="str">
        <f>_xlfn.CONCAT(TEXT(Table2[[#This Row],[W_A]], "0"), "-", TEXT(Table2[[#This Row],[RL_A]],"0"), "-", TEXT(Table2[[#This Row],[OTL_A]]+Table2[[#This Row],[SOL_A]], "0"))</f>
        <v>0-0-0</v>
      </c>
      <c r="BL31" t="str">
        <f>_xlfn.CONCAT(TEXT(Table2[[#This Row],[W_H]], "0"), "-", TEXT(Table2[[#This Row],[RL_H]],"0"), "-", TEXT(Table2[[#This Row],[OTL_H]]+Table2[[#This Row],[SOL_H]], "0"))</f>
        <v>0-0-1</v>
      </c>
    </row>
    <row r="32" spans="1:64" x14ac:dyDescent="0.25">
      <c r="A32" t="s">
        <v>59</v>
      </c>
      <c r="B32" t="s">
        <v>63</v>
      </c>
      <c r="C32" t="s">
        <v>65</v>
      </c>
      <c r="D32">
        <f>COUNTIFS(Table1[AwayTeam],Table2[[#This Row],[Team]],Table1[GameIsOver], 1, Table1[WatchedGame],1) + COUNTIFS(Table1[HomeTeam],Table2[[#This Row],[Team]],Table1[GameIsOver],1,Table1[WatchedGame],1)</f>
        <v>0</v>
      </c>
      <c r="F32">
        <f>COUNTIFS(Table1[AwayTeam],Table2[[#This Row],[Team]], Table1[GameIsOver],1)</f>
        <v>1</v>
      </c>
      <c r="G32">
        <f>COUNTIFS(Table1[HomeTeam],Table2[[#This Row],[Team]], Table1[GameIsOver],1)</f>
        <v>0</v>
      </c>
      <c r="H32">
        <f>Table2[[#This Row],[GP_A]]+Table2[[#This Row],[GP_H]]</f>
        <v>1</v>
      </c>
      <c r="I32">
        <f>84-Table2[[#This Row],[GP]]</f>
        <v>83</v>
      </c>
      <c r="J32">
        <f>COUNTIFS(Table1[AwayTeam], Table2[[#This Row],[Team]], Table1[GameIsOver], 1, Table1[AwayWon],1)</f>
        <v>0</v>
      </c>
      <c r="K32">
        <f>COUNTIFS(Table1[AwayTeam], Table2[[#This Row],[Team]], Table1[GameIsOver], 1, Table1[AwayWon],1, Table1[ActualResult], "REG")</f>
        <v>0</v>
      </c>
      <c r="L32">
        <f>COUNTIFS(Table1[AwayTeam], Table2[[#This Row],[Team]], Table1[GameIsOver], 1, Table1[AwayWon],1, Table1[ActualResult], "OT")</f>
        <v>0</v>
      </c>
      <c r="M32">
        <f>COUNTIFS(Table1[AwayTeam], Table2[[#This Row],[Team]], Table1[GameIsOver], 1, Table1[AwayWon],1, Table1[ActualResult], "SO")</f>
        <v>0</v>
      </c>
      <c r="N32">
        <f>COUNTIFS(Table1[AwayTeam], Table2[[#This Row],[Team]], Table1[GameIsOver], 1, Table1[AwayWon],0)</f>
        <v>1</v>
      </c>
      <c r="O32">
        <f>COUNTIFS(Table1[AwayTeam], Table2[[#This Row],[Team]], Table1[GameIsOver], 1, Table1[AwayWon],0, Table1[ActualResult], "REG")</f>
        <v>1</v>
      </c>
      <c r="P32">
        <f>COUNTIFS(Table1[AwayTeam], Table2[[#This Row],[Team]], Table1[GameIsOver], 1, Table1[AwayWon],0, Table1[ActualResult], "OT")</f>
        <v>0</v>
      </c>
      <c r="Q32">
        <f>COUNTIFS(Table1[AwayTeam], Table2[[#This Row],[Team]], Table1[GameIsOver], 1, Table1[AwayWon],0, Table1[ActualResult], "SO")</f>
        <v>0</v>
      </c>
      <c r="R32">
        <f>COUNTIFS(Table1[HomeTeam], Table2[[#This Row],[Team]], Table1[GameIsOver], 1, Table1[HomeWon],1)</f>
        <v>0</v>
      </c>
      <c r="S32">
        <f>COUNTIFS(Table1[HomeTeam], Table2[[#This Row],[Team]], Table1[GameIsOver], 1, Table1[HomeWon],1, Table1[ActualResult], "REG")</f>
        <v>0</v>
      </c>
      <c r="T32">
        <f>COUNTIFS(Table1[HomeTeam], Table2[[#This Row],[Team]], Table1[GameIsOver], 1, Table1[HomeWon],1, Table1[ActualResult], "OT")</f>
        <v>0</v>
      </c>
      <c r="U32">
        <f>COUNTIFS(Table1[HomeTeam], Table2[[#This Row],[Team]], Table1[GameIsOver], 1, Table1[HomeWon],1, Table1[ActualResult], "SO")</f>
        <v>0</v>
      </c>
      <c r="V32">
        <f>COUNTIFS(Table1[HomeTeam], Table2[[#This Row],[Team]], Table1[GameIsOver], 1, Table1[HomeWon],0)</f>
        <v>0</v>
      </c>
      <c r="W32">
        <f>COUNTIFS(Table1[HomeTeam], Table2[[#This Row],[Team]], Table1[GameIsOver], 1, Table1[HomeWon],0, Table1[ActualResult], "REG")</f>
        <v>0</v>
      </c>
      <c r="X32">
        <f>COUNTIFS(Table1[HomeTeam], Table2[[#This Row],[Team]], Table1[GameIsOver], 1, Table1[HomeWon],0, Table1[ActualResult], "OT")</f>
        <v>0</v>
      </c>
      <c r="Y32">
        <f>COUNTIFS(Table1[HomeTeam], Table2[[#This Row],[Team]], Table1[GameIsOver], 1, Table1[HomeWon],0, Table1[ActualResult], "SO")</f>
        <v>0</v>
      </c>
      <c r="Z32" s="36">
        <f>Table2[[#This Row],[W]]/MAX(1,Table2[[#This Row],[W]]+Table2[[#This Row],[L]])</f>
        <v>0</v>
      </c>
      <c r="AA32">
        <f>Table2[[#This Row],[W_A]]+Table2[[#This Row],[W_H]]</f>
        <v>0</v>
      </c>
      <c r="AB32">
        <f>Table2[[#This Row],[L_A]]+Table2[[#This Row],[L_H]]</f>
        <v>1</v>
      </c>
      <c r="AC32">
        <f>Table2[RW_A]+Table2[RW_H]</f>
        <v>0</v>
      </c>
      <c r="AD32">
        <f>Table2[RL_A]+Table2[RL_H]</f>
        <v>1</v>
      </c>
      <c r="AE32">
        <f>Table2[OTW_A]+Table2[OTW_H]</f>
        <v>0</v>
      </c>
      <c r="AF32">
        <f>Table2[OTL_A]+Table2[OTL_H]</f>
        <v>0</v>
      </c>
      <c r="AG32">
        <f>Table2[SOW_A]+Table2[SOW_H]</f>
        <v>0</v>
      </c>
      <c r="AH32">
        <f>Table2[SOL_A]+Table2[SOL_H]</f>
        <v>0</v>
      </c>
      <c r="AI32" t="str">
        <f>_xlfn.CONCAT(TEXT(Table2[[#This Row],[OTW]]+Table2[[#This Row],[SOW]], "0"), "-", TEXT(Table2[[#This Row],[OTL]]+Table2[[#This Row],[SOL]],"0"))</f>
        <v>0-0</v>
      </c>
      <c r="AJ32">
        <f>SUM(Table2[[#This Row],[OTW]],Table2[[#This Row],[OTL]],Table2[[#This Row],[SOW]],Table2[[#This Row],[SOL]])</f>
        <v>0</v>
      </c>
      <c r="AK32" s="36">
        <f>(Table2[[#This Row],[OTW]]+Table2[[#This Row],[SOW]])/IF(Table2[[#This Row],[Total_ExtraTimes]]=0,1,Table2[[#This Row],[Total_ExtraTimes]])</f>
        <v>0</v>
      </c>
      <c r="AL32" s="36">
        <f>Table2[[#This Row],[Total_ExtraTimes]]/MAX(1,Table2[[#This Row],[GP]])</f>
        <v>0</v>
      </c>
      <c r="AM32">
        <f>(2*(Table2[[#This Row],[W_A]]+Table2[[#This Row],[W_H]]))+Table2[[#This Row],[OTL_A]]+Table2[[#This Row],[SOL_A]]+Table2[[#This Row],[OTL_H]]+Table2[[#This Row],[SOL_H]]</f>
        <v>0</v>
      </c>
      <c r="AN32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0</v>
      </c>
      <c r="AO32">
        <f>Table2[[#This Row],[PTS]]/(2*Table2[[#This Row],[GP]])</f>
        <v>0</v>
      </c>
      <c r="AP32">
        <f>Table2[[#This Row],[PTS]]/(3*Table2[[#This Row],[GP]])</f>
        <v>0</v>
      </c>
      <c r="AQ32">
        <f>(2*Table2[[#This Row],[GR]])+Table2[[#This Row],[PTS]]</f>
        <v>166</v>
      </c>
      <c r="AR32">
        <f>(3*Table2[[#This Row],[GR]])+Table2[[#This Row],[PTS]]</f>
        <v>249</v>
      </c>
      <c r="AS32">
        <f>Table2[[#This Row],[PTS]]+(2 * Table2[[#This Row],[GR]] * Table2[[#This Row],[PTS%]])</f>
        <v>0</v>
      </c>
      <c r="AT32">
        <f>Table2[[#This Row],[PTS]]+(3 * Table2[[#This Row],[GR]] * Table2[[#This Row],[PTS%]])</f>
        <v>0</v>
      </c>
      <c r="AU32" t="str">
        <f>_xlfn.CONCAT(TEXT(Table2[[#This Row],[W]], "0"), "-", TEXT(Table2[[#This Row],[RL]],"0"), "-", TEXT(Table2[[#This Row],[OTL]]+Table2[[#This Row],[SOL]], "0"))</f>
        <v>0-1-0</v>
      </c>
      <c r="AV32">
        <f>SUMIF(Table1[AwayTeam], Table2[[#This Row],[Team]], Table1[ActualAwayScore])</f>
        <v>3</v>
      </c>
      <c r="AW32">
        <f>SUMIF(Table1[AwayTeam], Table2[[#This Row],[Team]], Table1[ActualHomeScore])</f>
        <v>4</v>
      </c>
      <c r="AX32">
        <f>Table2[[#This Row],[GF_A]]-Table2[[#This Row],[GA_A]]</f>
        <v>-1</v>
      </c>
      <c r="AY32">
        <f>SUMIF(Table1[HomeTeam], Table2[[#This Row],[Team]], Table1[ActualHomeScore])</f>
        <v>0</v>
      </c>
      <c r="AZ32">
        <f>SUMIF(Table1[HomeTeam], Table2[[#This Row],[Team]], Table1[ActualAwayScore])</f>
        <v>0</v>
      </c>
      <c r="BA32">
        <f>Table2[[#This Row],[GF_H]]-Table2[[#This Row],[GA_H]]</f>
        <v>0</v>
      </c>
      <c r="BB32">
        <f>SUMIFS(Table1[ActualAwayScore], Table1[AwayTeam], Table2[[#This Row],[Team]], Table1[AwayWon],1)+SUMIFS(Table1[ActualHomeScore], Table1[HomeTeam], Table2[[#This Row],[Team]], Table1[HomeWon],1)</f>
        <v>0</v>
      </c>
      <c r="BC32">
        <f>SUMIFS(Table1[ActualAwayScore], Table1[AwayTeam], Table2[[#This Row],[Team]], Table1[AwayWon],0) + SUMIFS(Table1[ActualHomeScore], Table1[HomeTeam], Table2[[#This Row],[Team]], Table1[HomeWon],0)</f>
        <v>3</v>
      </c>
      <c r="BD32">
        <f>Table2[[#This Row],[GF_W]]-Table2[[#This Row],[GF_L]]</f>
        <v>-3</v>
      </c>
      <c r="BE32">
        <f>Table2[[#This Row],[GF_A]]+Table2[[#This Row],[GF_H]]</f>
        <v>3</v>
      </c>
      <c r="BF32">
        <f>Table2[[#This Row],[GA_A]]+Table2[[#This Row],[GA_H]]</f>
        <v>4</v>
      </c>
      <c r="BG32">
        <f>Table2[[#This Row],[GF]]-Table2[[#This Row],[GA]]</f>
        <v>-1</v>
      </c>
      <c r="BH32">
        <f>Table2[[#This Row],[GF]]/Table2[[#This Row],[GP]]</f>
        <v>3</v>
      </c>
      <c r="BI32">
        <f>Table2[[#This Row],[GA]]/Table2[[#This Row],[GP]]</f>
        <v>4</v>
      </c>
      <c r="BJ32">
        <f>Table2[[#This Row],[GFPG]]-Table2[[#This Row],[GAPG]]</f>
        <v>-1</v>
      </c>
      <c r="BK32" t="str">
        <f>_xlfn.CONCAT(TEXT(Table2[[#This Row],[W_A]], "0"), "-", TEXT(Table2[[#This Row],[RL_A]],"0"), "-", TEXT(Table2[[#This Row],[OTL_A]]+Table2[[#This Row],[SOL_A]], "0"))</f>
        <v>0-1-0</v>
      </c>
      <c r="BL32" t="str">
        <f>_xlfn.CONCAT(TEXT(Table2[[#This Row],[W_H]], "0"), "-", TEXT(Table2[[#This Row],[RL_H]],"0"), "-", TEXT(Table2[[#This Row],[OTL_H]]+Table2[[#This Row],[SOL_H]], "0"))</f>
        <v>0-0-0</v>
      </c>
    </row>
    <row r="33" spans="1:64" x14ac:dyDescent="0.25">
      <c r="A33" t="s">
        <v>60</v>
      </c>
      <c r="B33" t="s">
        <v>62</v>
      </c>
      <c r="C33" t="s">
        <v>64</v>
      </c>
      <c r="D33">
        <f>COUNTIFS(Table1[AwayTeam],Table2[[#This Row],[Team]],Table1[GameIsOver], 1, Table1[WatchedGame],1) + COUNTIFS(Table1[HomeTeam],Table2[[#This Row],[Team]],Table1[GameIsOver],1,Table1[WatchedGame],1)</f>
        <v>0</v>
      </c>
      <c r="F33">
        <f>COUNTIFS(Table1[AwayTeam],Table2[[#This Row],[Team]], Table1[GameIsOver],1)</f>
        <v>0</v>
      </c>
      <c r="G33">
        <f>COUNTIFS(Table1[HomeTeam],Table2[[#This Row],[Team]], Table1[GameIsOver],1)</f>
        <v>1</v>
      </c>
      <c r="H33">
        <f>Table2[[#This Row],[GP_A]]+Table2[[#This Row],[GP_H]]</f>
        <v>1</v>
      </c>
      <c r="I33">
        <f>84-Table2[[#This Row],[GP]]</f>
        <v>83</v>
      </c>
      <c r="J33">
        <f>COUNTIFS(Table1[AwayTeam], Table2[[#This Row],[Team]], Table1[GameIsOver], 1, Table1[AwayWon],1)</f>
        <v>0</v>
      </c>
      <c r="K33">
        <f>COUNTIFS(Table1[AwayTeam], Table2[[#This Row],[Team]], Table1[GameIsOver], 1, Table1[AwayWon],1, Table1[ActualResult], "REG")</f>
        <v>0</v>
      </c>
      <c r="L33">
        <f>COUNTIFS(Table1[AwayTeam], Table2[[#This Row],[Team]], Table1[GameIsOver], 1, Table1[AwayWon],1, Table1[ActualResult], "OT")</f>
        <v>0</v>
      </c>
      <c r="M33">
        <f>COUNTIFS(Table1[AwayTeam], Table2[[#This Row],[Team]], Table1[GameIsOver], 1, Table1[AwayWon],1, Table1[ActualResult], "SO")</f>
        <v>0</v>
      </c>
      <c r="N33">
        <f>COUNTIFS(Table1[AwayTeam], Table2[[#This Row],[Team]], Table1[GameIsOver], 1, Table1[AwayWon],0)</f>
        <v>0</v>
      </c>
      <c r="O33">
        <f>COUNTIFS(Table1[AwayTeam], Table2[[#This Row],[Team]], Table1[GameIsOver], 1, Table1[AwayWon],0, Table1[ActualResult], "REG")</f>
        <v>0</v>
      </c>
      <c r="P33">
        <f>COUNTIFS(Table1[AwayTeam], Table2[[#This Row],[Team]], Table1[GameIsOver], 1, Table1[AwayWon],0, Table1[ActualResult], "OT")</f>
        <v>0</v>
      </c>
      <c r="Q33">
        <f>COUNTIFS(Table1[AwayTeam], Table2[[#This Row],[Team]], Table1[GameIsOver], 1, Table1[AwayWon],0, Table1[ActualResult], "SO")</f>
        <v>0</v>
      </c>
      <c r="R33">
        <f>COUNTIFS(Table1[HomeTeam], Table2[[#This Row],[Team]], Table1[GameIsOver], 1, Table1[HomeWon],1)</f>
        <v>1</v>
      </c>
      <c r="S33">
        <f>COUNTIFS(Table1[HomeTeam], Table2[[#This Row],[Team]], Table1[GameIsOver], 1, Table1[HomeWon],1, Table1[ActualResult], "REG")</f>
        <v>0</v>
      </c>
      <c r="T33">
        <f>COUNTIFS(Table1[HomeTeam], Table2[[#This Row],[Team]], Table1[GameIsOver], 1, Table1[HomeWon],1, Table1[ActualResult], "OT")</f>
        <v>0</v>
      </c>
      <c r="U33">
        <f>COUNTIFS(Table1[HomeTeam], Table2[[#This Row],[Team]], Table1[GameIsOver], 1, Table1[HomeWon],1, Table1[ActualResult], "SO")</f>
        <v>1</v>
      </c>
      <c r="V33">
        <f>COUNTIFS(Table1[HomeTeam], Table2[[#This Row],[Team]], Table1[GameIsOver], 1, Table1[HomeWon],0)</f>
        <v>0</v>
      </c>
      <c r="W33">
        <f>COUNTIFS(Table1[HomeTeam], Table2[[#This Row],[Team]], Table1[GameIsOver], 1, Table1[HomeWon],0, Table1[ActualResult], "REG")</f>
        <v>0</v>
      </c>
      <c r="X33">
        <f>COUNTIFS(Table1[HomeTeam], Table2[[#This Row],[Team]], Table1[GameIsOver], 1, Table1[HomeWon],0, Table1[ActualResult], "OT")</f>
        <v>0</v>
      </c>
      <c r="Y33">
        <f>COUNTIFS(Table1[HomeTeam], Table2[[#This Row],[Team]], Table1[GameIsOver], 1, Table1[HomeWon],0, Table1[ActualResult], "SO")</f>
        <v>0</v>
      </c>
      <c r="Z33" s="36">
        <f>Table2[[#This Row],[W]]/MAX(1,Table2[[#This Row],[W]]+Table2[[#This Row],[L]])</f>
        <v>1</v>
      </c>
      <c r="AA33">
        <f>Table2[[#This Row],[W_A]]+Table2[[#This Row],[W_H]]</f>
        <v>1</v>
      </c>
      <c r="AB33">
        <f>Table2[[#This Row],[L_A]]+Table2[[#This Row],[L_H]]</f>
        <v>0</v>
      </c>
      <c r="AC33">
        <f>Table2[RW_A]+Table2[RW_H]</f>
        <v>0</v>
      </c>
      <c r="AD33">
        <f>Table2[RL_A]+Table2[RL_H]</f>
        <v>0</v>
      </c>
      <c r="AE33">
        <f>Table2[OTW_A]+Table2[OTW_H]</f>
        <v>0</v>
      </c>
      <c r="AF33">
        <f>Table2[OTL_A]+Table2[OTL_H]</f>
        <v>0</v>
      </c>
      <c r="AG33">
        <f>Table2[SOW_A]+Table2[SOW_H]</f>
        <v>1</v>
      </c>
      <c r="AH33">
        <f>Table2[SOL_A]+Table2[SOL_H]</f>
        <v>0</v>
      </c>
      <c r="AI33" t="str">
        <f>_xlfn.CONCAT(TEXT(Table2[[#This Row],[OTW]]+Table2[[#This Row],[SOW]], "0"), "-", TEXT(Table2[[#This Row],[OTL]]+Table2[[#This Row],[SOL]],"0"))</f>
        <v>1-0</v>
      </c>
      <c r="AJ33">
        <f>SUM(Table2[[#This Row],[OTW]],Table2[[#This Row],[OTL]],Table2[[#This Row],[SOW]],Table2[[#This Row],[SOL]])</f>
        <v>1</v>
      </c>
      <c r="AK33" s="36">
        <f>(Table2[[#This Row],[OTW]]+Table2[[#This Row],[SOW]])/IF(Table2[[#This Row],[Total_ExtraTimes]]=0,1,Table2[[#This Row],[Total_ExtraTimes]])</f>
        <v>1</v>
      </c>
      <c r="AL33" s="36">
        <f>Table2[[#This Row],[Total_ExtraTimes]]/MAX(1,Table2[[#This Row],[GP]])</f>
        <v>1</v>
      </c>
      <c r="AM33">
        <f>(2*(Table2[[#This Row],[W_A]]+Table2[[#This Row],[W_H]]))+Table2[[#This Row],[OTL_A]]+Table2[[#This Row],[SOL_A]]+Table2[[#This Row],[OTL_H]]+Table2[[#This Row],[SOL_H]]</f>
        <v>2</v>
      </c>
      <c r="AN3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2</v>
      </c>
      <c r="AO33">
        <f>Table2[[#This Row],[PTS]]/(2*Table2[[#This Row],[GP]])</f>
        <v>1</v>
      </c>
      <c r="AP33">
        <f>Table2[[#This Row],[PTS]]/(3*Table2[[#This Row],[GP]])</f>
        <v>0.66666666666666663</v>
      </c>
      <c r="AQ33">
        <f>(2*Table2[[#This Row],[GR]])+Table2[[#This Row],[PTS]]</f>
        <v>168</v>
      </c>
      <c r="AR33">
        <f>(3*Table2[[#This Row],[GR]])+Table2[[#This Row],[PTS]]</f>
        <v>251</v>
      </c>
      <c r="AS33">
        <f>Table2[[#This Row],[PTS]]+(2 * Table2[[#This Row],[GR]] * Table2[[#This Row],[PTS%]])</f>
        <v>168</v>
      </c>
      <c r="AT33">
        <f>Table2[[#This Row],[PTS]]+(3 * Table2[[#This Row],[GR]] * Table2[[#This Row],[PTS%]])</f>
        <v>251</v>
      </c>
      <c r="AU33" t="str">
        <f>_xlfn.CONCAT(TEXT(Table2[[#This Row],[W]], "0"), "-", TEXT(Table2[[#This Row],[RL]],"0"), "-", TEXT(Table2[[#This Row],[OTL]]+Table2[[#This Row],[SOL]], "0"))</f>
        <v>1-0-0</v>
      </c>
      <c r="AV33">
        <f>SUMIF(Table1[AwayTeam], Table2[[#This Row],[Team]], Table1[ActualAwayScore])</f>
        <v>0</v>
      </c>
      <c r="AW33">
        <f>SUMIF(Table1[AwayTeam], Table2[[#This Row],[Team]], Table1[ActualHomeScore])</f>
        <v>0</v>
      </c>
      <c r="AX33">
        <f>Table2[[#This Row],[GF_A]]-Table2[[#This Row],[GA_A]]</f>
        <v>0</v>
      </c>
      <c r="AY33">
        <f>SUMIF(Table1[HomeTeam], Table2[[#This Row],[Team]], Table1[ActualHomeScore])</f>
        <v>4</v>
      </c>
      <c r="AZ33">
        <f>SUMIF(Table1[HomeTeam], Table2[[#This Row],[Team]], Table1[ActualAwayScore])</f>
        <v>3</v>
      </c>
      <c r="BA33">
        <f>Table2[[#This Row],[GF_H]]-Table2[[#This Row],[GA_H]]</f>
        <v>1</v>
      </c>
      <c r="BB33">
        <f>SUMIFS(Table1[ActualAwayScore], Table1[AwayTeam], Table2[[#This Row],[Team]], Table1[AwayWon],1)+SUMIFS(Table1[ActualHomeScore], Table1[HomeTeam], Table2[[#This Row],[Team]], Table1[HomeWon],1)</f>
        <v>4</v>
      </c>
      <c r="BC33">
        <f>SUMIFS(Table1[ActualAwayScore], Table1[AwayTeam], Table2[[#This Row],[Team]], Table1[AwayWon],0) + SUMIFS(Table1[ActualHomeScore], Table1[HomeTeam], Table2[[#This Row],[Team]], Table1[HomeWon],0)</f>
        <v>0</v>
      </c>
      <c r="BD33">
        <f>Table2[[#This Row],[GF_W]]-Table2[[#This Row],[GF_L]]</f>
        <v>4</v>
      </c>
      <c r="BE33">
        <f>Table2[[#This Row],[GF_A]]+Table2[[#This Row],[GF_H]]</f>
        <v>4</v>
      </c>
      <c r="BF33">
        <f>Table2[[#This Row],[GA_A]]+Table2[[#This Row],[GA_H]]</f>
        <v>3</v>
      </c>
      <c r="BG33">
        <f>Table2[[#This Row],[GF]]-Table2[[#This Row],[GA]]</f>
        <v>1</v>
      </c>
      <c r="BH33">
        <f>Table2[[#This Row],[GF]]/Table2[[#This Row],[GP]]</f>
        <v>4</v>
      </c>
      <c r="BI33">
        <f>Table2[[#This Row],[GA]]/Table2[[#This Row],[GP]]</f>
        <v>3</v>
      </c>
      <c r="BJ33">
        <f>Table2[[#This Row],[GFPG]]-Table2[[#This Row],[GAPG]]</f>
        <v>1</v>
      </c>
      <c r="BK33" t="str">
        <f>_xlfn.CONCAT(TEXT(Table2[[#This Row],[W_A]], "0"), "-", TEXT(Table2[[#This Row],[RL_A]],"0"), "-", TEXT(Table2[[#This Row],[OTL_A]]+Table2[[#This Row],[SOL_A]], "0"))</f>
        <v>0-0-0</v>
      </c>
      <c r="BL33" t="str">
        <f>_xlfn.CONCAT(TEXT(Table2[[#This Row],[W_H]], "0"), "-", TEXT(Table2[[#This Row],[RL_H]],"0"), "-", TEXT(Table2[[#This Row],[OTL_H]]+Table2[[#This Row],[SOL_H]], "0"))</f>
        <v>1-0-0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2E84-C0F4-40EB-8073-2251513FF424}">
  <sheetPr codeName="Sheet6"/>
  <dimension ref="A1:AM69"/>
  <sheetViews>
    <sheetView topLeftCell="A34" workbookViewId="0">
      <selection activeCell="Y11" sqref="Y11"/>
    </sheetView>
  </sheetViews>
  <sheetFormatPr defaultRowHeight="15" x14ac:dyDescent="0.25"/>
  <cols>
    <col min="1" max="1" width="6.85546875" customWidth="1"/>
    <col min="2" max="6" width="5.42578125" bestFit="1" customWidth="1"/>
    <col min="7" max="7" width="5.42578125" customWidth="1"/>
    <col min="8" max="30" width="5.42578125" bestFit="1" customWidth="1"/>
    <col min="31" max="31" width="7.7109375" bestFit="1" customWidth="1"/>
    <col min="32" max="33" width="5.42578125" bestFit="1" customWidth="1"/>
  </cols>
  <sheetData>
    <row r="1" spans="1:33" ht="15.75" thickBot="1" x14ac:dyDescent="0.3">
      <c r="A1" s="18"/>
      <c r="B1" s="31" t="s">
        <v>36</v>
      </c>
      <c r="C1" s="31" t="s">
        <v>39</v>
      </c>
      <c r="D1" s="31" t="s">
        <v>45</v>
      </c>
      <c r="E1" s="31" t="s">
        <v>46</v>
      </c>
      <c r="F1" s="31" t="s">
        <v>56</v>
      </c>
      <c r="G1" s="31" t="s">
        <v>55</v>
      </c>
      <c r="H1" s="31" t="s">
        <v>23</v>
      </c>
      <c r="I1" s="32" t="s">
        <v>25</v>
      </c>
      <c r="J1" s="31" t="s">
        <v>16</v>
      </c>
      <c r="K1" s="31" t="s">
        <v>41</v>
      </c>
      <c r="L1" s="31" t="s">
        <v>43</v>
      </c>
      <c r="M1" s="31" t="s">
        <v>22</v>
      </c>
      <c r="N1" s="31" t="s">
        <v>48</v>
      </c>
      <c r="O1" s="31" t="s">
        <v>61</v>
      </c>
      <c r="P1" s="31" t="s">
        <v>58</v>
      </c>
      <c r="Q1" s="33" t="s">
        <v>60</v>
      </c>
      <c r="R1" s="31" t="s">
        <v>40</v>
      </c>
      <c r="S1" s="31" t="s">
        <v>42</v>
      </c>
      <c r="T1" s="31" t="s">
        <v>49</v>
      </c>
      <c r="U1" s="31" t="s">
        <v>50</v>
      </c>
      <c r="V1" s="31" t="s">
        <v>51</v>
      </c>
      <c r="W1" s="31" t="s">
        <v>53</v>
      </c>
      <c r="X1" s="31" t="s">
        <v>54</v>
      </c>
      <c r="Y1" s="32" t="s">
        <v>59</v>
      </c>
      <c r="Z1" s="31" t="s">
        <v>37</v>
      </c>
      <c r="AA1" s="31" t="s">
        <v>38</v>
      </c>
      <c r="AB1" s="31" t="s">
        <v>44</v>
      </c>
      <c r="AC1" s="31" t="s">
        <v>17</v>
      </c>
      <c r="AD1" s="34" t="s">
        <v>47</v>
      </c>
      <c r="AE1" s="31" t="s">
        <v>52</v>
      </c>
      <c r="AF1" s="31" t="s">
        <v>57</v>
      </c>
      <c r="AG1" s="31" t="s">
        <v>24</v>
      </c>
    </row>
    <row r="2" spans="1:33" ht="15.75" thickTop="1" x14ac:dyDescent="0.25">
      <c r="A2" s="17" t="s">
        <v>36</v>
      </c>
      <c r="B2" s="43" t="str">
        <f>_xlfn.CONCAT(TEXT(SUMIFS(Table1[[AwayWon]:[AwayWon]], Table1[[GameIsOver]:[GameIsOver]],1,Table1[[AwayTeam]:[AwayTeam]],$A2, Table1[[HomeTeam]:[HomeTeam]], B$1) + SUMIFS(Table1[[HomeWon]:[HomeWon]], Table1[[GameIsOver]:[GameIsOver]],1,Table1[[HomeTeam]:[HomeTeam]],$A2, Table1[[AwayTeam]:[AwayTeam]], B$1),0), "-", TEXT(SUMIFS(Table1[[HomeWon]:[HomeWon]], Table1[[GameIsOver]:[GameIsOver]],1,Table1[[AwayTeam]:[AwayTeam]],$A2, Table1[[HomeTeam]:[HomeTeam]], B$1, Table1[[ActualResult]:[ActualResult]], "REG") + SUMIFS(Table1[[AwayWon]:[AwayWon]], Table1[[GameIsOver]:[GameIsOver]],1,Table1[[HomeTeam]:[HomeTeam]],$A2, Table1[[AwayTeam]:[AwayTeam]], B$1, Table1[[ActualResult]:[ActualResult]], "REG"),0), "-", TEXT(SUMIFS(Table1[[HomeWon]:[HomeWon]], Table1[[GameIsOver]:[GameIsOver]],1,Table1[[AwayTeam]:[AwayTeam]],$A2, Table1[[HomeTeam]:[HomeTeam]], B$1, Table1[[ActualResult]:[ActualResult]], "OT") + SUMIFS(Table1[[AwayWon]:[AwayWon]], Table1[[GameIsOver]:[GameIsOver]],1,Table1[[HomeTeam]:[HomeTeam]],$A2, Table1[[AwayTeam]:[AwayTeam]], B$1, Table1[[ActualResult]:[ActualResult]], "OT") + SUMIFS(Table1[[HomeWon]:[HomeWon]], Table1[[GameIsOver]:[GameIsOver]],1,Table1[[AwayTeam]:[AwayTeam]],$A2, Table1[[HomeTeam]:[HomeTeam]], B$1, Table1[[ActualResult]:[ActualResult]], "SO") + SUMIFS(Table1[[AwayWon]:[AwayWon]], Table1[[GameIsOver]:[GameIsOver]],1,Table1[[HomeTeam]:[HomeTeam]],$A2, Table1[[AwayTeam]:[AwayTeam]], B$1, Table1[[ActualResult]:[ActualResult]], "SO"),0))</f>
        <v>0-0-0</v>
      </c>
      <c r="C2" s="43" t="str">
        <f>_xlfn.CONCAT(TEXT(SUMIFS(Table1[[AwayWon]:[AwayWon]], Table1[[GameIsOver]:[GameIsOver]],1,Table1[[AwayTeam]:[AwayTeam]],$A2, Table1[[HomeTeam]:[HomeTeam]], C$1) + SUMIFS(Table1[[HomeWon]:[HomeWon]], Table1[[GameIsOver]:[GameIsOver]],1,Table1[[HomeTeam]:[HomeTeam]],$A2, Table1[[AwayTeam]:[AwayTeam]], C$1),0), "-", TEXT(SUMIFS(Table1[[HomeWon]:[HomeWon]], Table1[[GameIsOver]:[GameIsOver]],1,Table1[[AwayTeam]:[AwayTeam]],$A2, Table1[[HomeTeam]:[HomeTeam]], C$1, Table1[[ActualResult]:[ActualResult]], "REG") + SUMIFS(Table1[[AwayWon]:[AwayWon]], Table1[[GameIsOver]:[GameIsOver]],1,Table1[[HomeTeam]:[HomeTeam]],$A2, Table1[[AwayTeam]:[AwayTeam]], C$1, Table1[[ActualResult]:[ActualResult]], "REG"),0), "-", TEXT(SUMIFS(Table1[[HomeWon]:[HomeWon]], Table1[[GameIsOver]:[GameIsOver]],1,Table1[[AwayTeam]:[AwayTeam]],$A2, Table1[[HomeTeam]:[HomeTeam]], C$1, Table1[[ActualResult]:[ActualResult]], "OT") + SUMIFS(Table1[[AwayWon]:[AwayWon]], Table1[[GameIsOver]:[GameIsOver]],1,Table1[[HomeTeam]:[HomeTeam]],$A2, Table1[[AwayTeam]:[AwayTeam]], C$1, Table1[[ActualResult]:[ActualResult]], "OT") + SUMIFS(Table1[[HomeWon]:[HomeWon]], Table1[[GameIsOver]:[GameIsOver]],1,Table1[[AwayTeam]:[AwayTeam]],$A2, Table1[[HomeTeam]:[HomeTeam]], C$1, Table1[[ActualResult]:[ActualResult]], "SO") + SUMIFS(Table1[[AwayWon]:[AwayWon]], Table1[[GameIsOver]:[GameIsOver]],1,Table1[[HomeTeam]:[HomeTeam]],$A2, Table1[[AwayTeam]:[AwayTeam]], C$1, Table1[[ActualResult]:[ActualResult]], "SO"),0))</f>
        <v>0-0-0</v>
      </c>
      <c r="D2" s="43" t="str">
        <f>_xlfn.CONCAT(TEXT(SUMIFS(Table1[[AwayWon]:[AwayWon]], Table1[[GameIsOver]:[GameIsOver]],1,Table1[[AwayTeam]:[AwayTeam]],$A2, Table1[[HomeTeam]:[HomeTeam]], D$1) + SUMIFS(Table1[[HomeWon]:[HomeWon]], Table1[[GameIsOver]:[GameIsOver]],1,Table1[[HomeTeam]:[HomeTeam]],$A2, Table1[[AwayTeam]:[AwayTeam]], D$1),0), "-", TEXT(SUMIFS(Table1[[HomeWon]:[HomeWon]], Table1[[GameIsOver]:[GameIsOver]],1,Table1[[AwayTeam]:[AwayTeam]],$A2, Table1[[HomeTeam]:[HomeTeam]], D$1, Table1[[ActualResult]:[ActualResult]], "REG") + SUMIFS(Table1[[AwayWon]:[AwayWon]], Table1[[GameIsOver]:[GameIsOver]],1,Table1[[HomeTeam]:[HomeTeam]],$A2, Table1[[AwayTeam]:[AwayTeam]], D$1, Table1[[ActualResult]:[ActualResult]], "REG"),0), "-", TEXT(SUMIFS(Table1[[HomeWon]:[HomeWon]], Table1[[GameIsOver]:[GameIsOver]],1,Table1[[AwayTeam]:[AwayTeam]],$A2, Table1[[HomeTeam]:[HomeTeam]], D$1, Table1[[ActualResult]:[ActualResult]], "OT") + SUMIFS(Table1[[AwayWon]:[AwayWon]], Table1[[GameIsOver]:[GameIsOver]],1,Table1[[HomeTeam]:[HomeTeam]],$A2, Table1[[AwayTeam]:[AwayTeam]], D$1, Table1[[ActualResult]:[ActualResult]], "OT") + SUMIFS(Table1[[HomeWon]:[HomeWon]], Table1[[GameIsOver]:[GameIsOver]],1,Table1[[AwayTeam]:[AwayTeam]],$A2, Table1[[HomeTeam]:[HomeTeam]], D$1, Table1[[ActualResult]:[ActualResult]], "SO") + SUMIFS(Table1[[AwayWon]:[AwayWon]], Table1[[GameIsOver]:[GameIsOver]],1,Table1[[HomeTeam]:[HomeTeam]],$A2, Table1[[AwayTeam]:[AwayTeam]], D$1, Table1[[ActualResult]:[ActualResult]], "SO"),0))</f>
        <v>0-0-0</v>
      </c>
      <c r="E2" s="43" t="str">
        <f>_xlfn.CONCAT(TEXT(SUMIFS(Table1[[AwayWon]:[AwayWon]], Table1[[GameIsOver]:[GameIsOver]],1,Table1[[AwayTeam]:[AwayTeam]],$A2, Table1[[HomeTeam]:[HomeTeam]], E$1) + SUMIFS(Table1[[HomeWon]:[HomeWon]], Table1[[GameIsOver]:[GameIsOver]],1,Table1[[HomeTeam]:[HomeTeam]],$A2, Table1[[AwayTeam]:[AwayTeam]], E$1),0), "-", TEXT(SUMIFS(Table1[[HomeWon]:[HomeWon]], Table1[[GameIsOver]:[GameIsOver]],1,Table1[[AwayTeam]:[AwayTeam]],$A2, Table1[[HomeTeam]:[HomeTeam]], E$1, Table1[[ActualResult]:[ActualResult]], "REG") + SUMIFS(Table1[[AwayWon]:[AwayWon]], Table1[[GameIsOver]:[GameIsOver]],1,Table1[[HomeTeam]:[HomeTeam]],$A2, Table1[[AwayTeam]:[AwayTeam]], E$1, Table1[[ActualResult]:[ActualResult]], "REG"),0), "-", TEXT(SUMIFS(Table1[[HomeWon]:[HomeWon]], Table1[[GameIsOver]:[GameIsOver]],1,Table1[[AwayTeam]:[AwayTeam]],$A2, Table1[[HomeTeam]:[HomeTeam]], E$1, Table1[[ActualResult]:[ActualResult]], "OT") + SUMIFS(Table1[[AwayWon]:[AwayWon]], Table1[[GameIsOver]:[GameIsOver]],1,Table1[[HomeTeam]:[HomeTeam]],$A2, Table1[[AwayTeam]:[AwayTeam]], E$1, Table1[[ActualResult]:[ActualResult]], "OT") + SUMIFS(Table1[[HomeWon]:[HomeWon]], Table1[[GameIsOver]:[GameIsOver]],1,Table1[[AwayTeam]:[AwayTeam]],$A2, Table1[[HomeTeam]:[HomeTeam]], E$1, Table1[[ActualResult]:[ActualResult]], "SO") + SUMIFS(Table1[[AwayWon]:[AwayWon]], Table1[[GameIsOver]:[GameIsOver]],1,Table1[[HomeTeam]:[HomeTeam]],$A2, Table1[[AwayTeam]:[AwayTeam]], E$1, Table1[[ActualResult]:[ActualResult]], "SO"),0))</f>
        <v>0-0-0</v>
      </c>
      <c r="F2" s="43" t="str">
        <f>_xlfn.CONCAT(TEXT(SUMIFS(Table1[[AwayWon]:[AwayWon]], Table1[[GameIsOver]:[GameIsOver]],1,Table1[[AwayTeam]:[AwayTeam]],$A2, Table1[[HomeTeam]:[HomeTeam]], F$1) + SUMIFS(Table1[[HomeWon]:[HomeWon]], Table1[[GameIsOver]:[GameIsOver]],1,Table1[[HomeTeam]:[HomeTeam]],$A2, Table1[[AwayTeam]:[AwayTeam]], F$1),0), "-", TEXT(SUMIFS(Table1[[HomeWon]:[HomeWon]], Table1[[GameIsOver]:[GameIsOver]],1,Table1[[AwayTeam]:[AwayTeam]],$A2, Table1[[HomeTeam]:[HomeTeam]], F$1, Table1[[ActualResult]:[ActualResult]], "REG") + SUMIFS(Table1[[AwayWon]:[AwayWon]], Table1[[GameIsOver]:[GameIsOver]],1,Table1[[HomeTeam]:[HomeTeam]],$A2, Table1[[AwayTeam]:[AwayTeam]], F$1, Table1[[ActualResult]:[ActualResult]], "REG"),0), "-", TEXT(SUMIFS(Table1[[HomeWon]:[HomeWon]], Table1[[GameIsOver]:[GameIsOver]],1,Table1[[AwayTeam]:[AwayTeam]],$A2, Table1[[HomeTeam]:[HomeTeam]], F$1, Table1[[ActualResult]:[ActualResult]], "OT") + SUMIFS(Table1[[AwayWon]:[AwayWon]], Table1[[GameIsOver]:[GameIsOver]],1,Table1[[HomeTeam]:[HomeTeam]],$A2, Table1[[AwayTeam]:[AwayTeam]], F$1, Table1[[ActualResult]:[ActualResult]], "OT") + SUMIFS(Table1[[HomeWon]:[HomeWon]], Table1[[GameIsOver]:[GameIsOver]],1,Table1[[AwayTeam]:[AwayTeam]],$A2, Table1[[HomeTeam]:[HomeTeam]], F$1, Table1[[ActualResult]:[ActualResult]], "SO") + SUMIFS(Table1[[AwayWon]:[AwayWon]], Table1[[GameIsOver]:[GameIsOver]],1,Table1[[HomeTeam]:[HomeTeam]],$A2, Table1[[AwayTeam]:[AwayTeam]], F$1, Table1[[ActualResult]:[ActualResult]], "SO"),0))</f>
        <v>0-0-0</v>
      </c>
      <c r="G2" s="43" t="str">
        <f>_xlfn.CONCAT(TEXT(SUMIFS(Table1[[AwayWon]:[AwayWon]], Table1[[GameIsOver]:[GameIsOver]],1,Table1[[AwayTeam]:[AwayTeam]],$A2, Table1[[HomeTeam]:[HomeTeam]], G$1) + SUMIFS(Table1[[HomeWon]:[HomeWon]], Table1[[GameIsOver]:[GameIsOver]],1,Table1[[HomeTeam]:[HomeTeam]],$A2, Table1[[AwayTeam]:[AwayTeam]], G$1),0), "-", TEXT(SUMIFS(Table1[[HomeWon]:[HomeWon]], Table1[[GameIsOver]:[GameIsOver]],1,Table1[[AwayTeam]:[AwayTeam]],$A2, Table1[[HomeTeam]:[HomeTeam]], G$1, Table1[[ActualResult]:[ActualResult]], "REG") + SUMIFS(Table1[[AwayWon]:[AwayWon]], Table1[[GameIsOver]:[GameIsOver]],1,Table1[[HomeTeam]:[HomeTeam]],$A2, Table1[[AwayTeam]:[AwayTeam]], G$1, Table1[[ActualResult]:[ActualResult]], "REG"),0), "-", TEXT(SUMIFS(Table1[[HomeWon]:[HomeWon]], Table1[[GameIsOver]:[GameIsOver]],1,Table1[[AwayTeam]:[AwayTeam]],$A2, Table1[[HomeTeam]:[HomeTeam]], G$1, Table1[[ActualResult]:[ActualResult]], "OT") + SUMIFS(Table1[[AwayWon]:[AwayWon]], Table1[[GameIsOver]:[GameIsOver]],1,Table1[[HomeTeam]:[HomeTeam]],$A2, Table1[[AwayTeam]:[AwayTeam]], G$1, Table1[[ActualResult]:[ActualResult]], "OT") + SUMIFS(Table1[[HomeWon]:[HomeWon]], Table1[[GameIsOver]:[GameIsOver]],1,Table1[[AwayTeam]:[AwayTeam]],$A2, Table1[[HomeTeam]:[HomeTeam]], G$1, Table1[[ActualResult]:[ActualResult]], "SO") + SUMIFS(Table1[[AwayWon]:[AwayWon]], Table1[[GameIsOver]:[GameIsOver]],1,Table1[[HomeTeam]:[HomeTeam]],$A2, Table1[[AwayTeam]:[AwayTeam]], G$1, Table1[[ActualResult]:[ActualResult]], "SO"),0))</f>
        <v>0-0-0</v>
      </c>
      <c r="H2" s="43" t="str">
        <f>_xlfn.CONCAT(TEXT(SUMIFS(Table1[[AwayWon]:[AwayWon]], Table1[[GameIsOver]:[GameIsOver]],1,Table1[[AwayTeam]:[AwayTeam]],$A2, Table1[[HomeTeam]:[HomeTeam]], H$1) + SUMIFS(Table1[[HomeWon]:[HomeWon]], Table1[[GameIsOver]:[GameIsOver]],1,Table1[[HomeTeam]:[HomeTeam]],$A2, Table1[[AwayTeam]:[AwayTeam]], H$1),0), "-", TEXT(SUMIFS(Table1[[HomeWon]:[HomeWon]], Table1[[GameIsOver]:[GameIsOver]],1,Table1[[AwayTeam]:[AwayTeam]],$A2, Table1[[HomeTeam]:[HomeTeam]], H$1, Table1[[ActualResult]:[ActualResult]], "REG") + SUMIFS(Table1[[AwayWon]:[AwayWon]], Table1[[GameIsOver]:[GameIsOver]],1,Table1[[HomeTeam]:[HomeTeam]],$A2, Table1[[AwayTeam]:[AwayTeam]], H$1, Table1[[ActualResult]:[ActualResult]], "REG"),0), "-", TEXT(SUMIFS(Table1[[HomeWon]:[HomeWon]], Table1[[GameIsOver]:[GameIsOver]],1,Table1[[AwayTeam]:[AwayTeam]],$A2, Table1[[HomeTeam]:[HomeTeam]], H$1, Table1[[ActualResult]:[ActualResult]], "OT") + SUMIFS(Table1[[AwayWon]:[AwayWon]], Table1[[GameIsOver]:[GameIsOver]],1,Table1[[HomeTeam]:[HomeTeam]],$A2, Table1[[AwayTeam]:[AwayTeam]], H$1, Table1[[ActualResult]:[ActualResult]], "OT") + SUMIFS(Table1[[HomeWon]:[HomeWon]], Table1[[GameIsOver]:[GameIsOver]],1,Table1[[AwayTeam]:[AwayTeam]],$A2, Table1[[HomeTeam]:[HomeTeam]], H$1, Table1[[ActualResult]:[ActualResult]], "SO") + SUMIFS(Table1[[AwayWon]:[AwayWon]], Table1[[GameIsOver]:[GameIsOver]],1,Table1[[HomeTeam]:[HomeTeam]],$A2, Table1[[AwayTeam]:[AwayTeam]], H$1, Table1[[ActualResult]:[ActualResult]], "SO"),0))</f>
        <v>0-0-0</v>
      </c>
      <c r="I2" s="44" t="str">
        <f>_xlfn.CONCAT(TEXT(SUMIFS(Table1[[AwayWon]:[AwayWon]], Table1[[GameIsOver]:[GameIsOver]],1,Table1[[AwayTeam]:[AwayTeam]],$A2, Table1[[HomeTeam]:[HomeTeam]], I$1) + SUMIFS(Table1[[HomeWon]:[HomeWon]], Table1[[GameIsOver]:[GameIsOver]],1,Table1[[HomeTeam]:[HomeTeam]],$A2, Table1[[AwayTeam]:[AwayTeam]], I$1),0), "-", TEXT(SUMIFS(Table1[[HomeWon]:[HomeWon]], Table1[[GameIsOver]:[GameIsOver]],1,Table1[[AwayTeam]:[AwayTeam]],$A2, Table1[[HomeTeam]:[HomeTeam]], I$1, Table1[[ActualResult]:[ActualResult]], "REG") + SUMIFS(Table1[[AwayWon]:[AwayWon]], Table1[[GameIsOver]:[GameIsOver]],1,Table1[[HomeTeam]:[HomeTeam]],$A2, Table1[[AwayTeam]:[AwayTeam]], I$1, Table1[[ActualResult]:[ActualResult]], "REG"),0), "-", TEXT(SUMIFS(Table1[[HomeWon]:[HomeWon]], Table1[[GameIsOver]:[GameIsOver]],1,Table1[[AwayTeam]:[AwayTeam]],$A2, Table1[[HomeTeam]:[HomeTeam]], I$1, Table1[[ActualResult]:[ActualResult]], "OT") + SUMIFS(Table1[[AwayWon]:[AwayWon]], Table1[[GameIsOver]:[GameIsOver]],1,Table1[[HomeTeam]:[HomeTeam]],$A2, Table1[[AwayTeam]:[AwayTeam]], I$1, Table1[[ActualResult]:[ActualResult]], "OT") + SUMIFS(Table1[[HomeWon]:[HomeWon]], Table1[[GameIsOver]:[GameIsOver]],1,Table1[[AwayTeam]:[AwayTeam]],$A2, Table1[[HomeTeam]:[HomeTeam]], I$1, Table1[[ActualResult]:[ActualResult]], "SO") + SUMIFS(Table1[[AwayWon]:[AwayWon]], Table1[[GameIsOver]:[GameIsOver]],1,Table1[[HomeTeam]:[HomeTeam]],$A2, Table1[[AwayTeam]:[AwayTeam]], I$1, Table1[[ActualResult]:[ActualResult]], "SO"),0))</f>
        <v>0-0-0</v>
      </c>
      <c r="J2" s="43" t="str">
        <f>_xlfn.CONCAT(TEXT(SUMIFS(Table1[[AwayWon]:[AwayWon]], Table1[[GameIsOver]:[GameIsOver]],1,Table1[[AwayTeam]:[AwayTeam]],$A2, Table1[[HomeTeam]:[HomeTeam]], J$1) + SUMIFS(Table1[[HomeWon]:[HomeWon]], Table1[[GameIsOver]:[GameIsOver]],1,Table1[[HomeTeam]:[HomeTeam]],$A2, Table1[[AwayTeam]:[AwayTeam]], J$1),0), "-", TEXT(SUMIFS(Table1[[HomeWon]:[HomeWon]], Table1[[GameIsOver]:[GameIsOver]],1,Table1[[AwayTeam]:[AwayTeam]],$A2, Table1[[HomeTeam]:[HomeTeam]], J$1, Table1[[ActualResult]:[ActualResult]], "REG") + SUMIFS(Table1[[AwayWon]:[AwayWon]], Table1[[GameIsOver]:[GameIsOver]],1,Table1[[HomeTeam]:[HomeTeam]],$A2, Table1[[AwayTeam]:[AwayTeam]], J$1, Table1[[ActualResult]:[ActualResult]], "REG"),0), "-", TEXT(SUMIFS(Table1[[HomeWon]:[HomeWon]], Table1[[GameIsOver]:[GameIsOver]],1,Table1[[AwayTeam]:[AwayTeam]],$A2, Table1[[HomeTeam]:[HomeTeam]], J$1, Table1[[ActualResult]:[ActualResult]], "OT") + SUMIFS(Table1[[AwayWon]:[AwayWon]], Table1[[GameIsOver]:[GameIsOver]],1,Table1[[HomeTeam]:[HomeTeam]],$A2, Table1[[AwayTeam]:[AwayTeam]], J$1, Table1[[ActualResult]:[ActualResult]], "OT") + SUMIFS(Table1[[HomeWon]:[HomeWon]], Table1[[GameIsOver]:[GameIsOver]],1,Table1[[AwayTeam]:[AwayTeam]],$A2, Table1[[HomeTeam]:[HomeTeam]], J$1, Table1[[ActualResult]:[ActualResult]], "SO") + SUMIFS(Table1[[AwayWon]:[AwayWon]], Table1[[GameIsOver]:[GameIsOver]],1,Table1[[HomeTeam]:[HomeTeam]],$A2, Table1[[AwayTeam]:[AwayTeam]], J$1, Table1[[ActualResult]:[ActualResult]], "SO"),0))</f>
        <v>0-0-0</v>
      </c>
      <c r="K2" s="43" t="str">
        <f>_xlfn.CONCAT(TEXT(SUMIFS(Table1[[AwayWon]:[AwayWon]], Table1[[GameIsOver]:[GameIsOver]],1,Table1[[AwayTeam]:[AwayTeam]],$A2, Table1[[HomeTeam]:[HomeTeam]], K$1) + SUMIFS(Table1[[HomeWon]:[HomeWon]], Table1[[GameIsOver]:[GameIsOver]],1,Table1[[HomeTeam]:[HomeTeam]],$A2, Table1[[AwayTeam]:[AwayTeam]], K$1),0), "-", TEXT(SUMIFS(Table1[[HomeWon]:[HomeWon]], Table1[[GameIsOver]:[GameIsOver]],1,Table1[[AwayTeam]:[AwayTeam]],$A2, Table1[[HomeTeam]:[HomeTeam]], K$1, Table1[[ActualResult]:[ActualResult]], "REG") + SUMIFS(Table1[[AwayWon]:[AwayWon]], Table1[[GameIsOver]:[GameIsOver]],1,Table1[[HomeTeam]:[HomeTeam]],$A2, Table1[[AwayTeam]:[AwayTeam]], K$1, Table1[[ActualResult]:[ActualResult]], "REG"),0), "-", TEXT(SUMIFS(Table1[[HomeWon]:[HomeWon]], Table1[[GameIsOver]:[GameIsOver]],1,Table1[[AwayTeam]:[AwayTeam]],$A2, Table1[[HomeTeam]:[HomeTeam]], K$1, Table1[[ActualResult]:[ActualResult]], "OT") + SUMIFS(Table1[[AwayWon]:[AwayWon]], Table1[[GameIsOver]:[GameIsOver]],1,Table1[[HomeTeam]:[HomeTeam]],$A2, Table1[[AwayTeam]:[AwayTeam]], K$1, Table1[[ActualResult]:[ActualResult]], "OT") + SUMIFS(Table1[[HomeWon]:[HomeWon]], Table1[[GameIsOver]:[GameIsOver]],1,Table1[[AwayTeam]:[AwayTeam]],$A2, Table1[[HomeTeam]:[HomeTeam]], K$1, Table1[[ActualResult]:[ActualResult]], "SO") + SUMIFS(Table1[[AwayWon]:[AwayWon]], Table1[[GameIsOver]:[GameIsOver]],1,Table1[[HomeTeam]:[HomeTeam]],$A2, Table1[[AwayTeam]:[AwayTeam]], K$1, Table1[[ActualResult]:[ActualResult]], "SO"),0))</f>
        <v>0-0-0</v>
      </c>
      <c r="L2" s="43" t="str">
        <f>_xlfn.CONCAT(TEXT(SUMIFS(Table1[[AwayWon]:[AwayWon]], Table1[[GameIsOver]:[GameIsOver]],1,Table1[[AwayTeam]:[AwayTeam]],$A2, Table1[[HomeTeam]:[HomeTeam]], L$1) + SUMIFS(Table1[[HomeWon]:[HomeWon]], Table1[[GameIsOver]:[GameIsOver]],1,Table1[[HomeTeam]:[HomeTeam]],$A2, Table1[[AwayTeam]:[AwayTeam]], L$1),0), "-", TEXT(SUMIFS(Table1[[HomeWon]:[HomeWon]], Table1[[GameIsOver]:[GameIsOver]],1,Table1[[AwayTeam]:[AwayTeam]],$A2, Table1[[HomeTeam]:[HomeTeam]], L$1, Table1[[ActualResult]:[ActualResult]], "REG") + SUMIFS(Table1[[AwayWon]:[AwayWon]], Table1[[GameIsOver]:[GameIsOver]],1,Table1[[HomeTeam]:[HomeTeam]],$A2, Table1[[AwayTeam]:[AwayTeam]], L$1, Table1[[ActualResult]:[ActualResult]], "REG"),0), "-", TEXT(SUMIFS(Table1[[HomeWon]:[HomeWon]], Table1[[GameIsOver]:[GameIsOver]],1,Table1[[AwayTeam]:[AwayTeam]],$A2, Table1[[HomeTeam]:[HomeTeam]], L$1, Table1[[ActualResult]:[ActualResult]], "OT") + SUMIFS(Table1[[AwayWon]:[AwayWon]], Table1[[GameIsOver]:[GameIsOver]],1,Table1[[HomeTeam]:[HomeTeam]],$A2, Table1[[AwayTeam]:[AwayTeam]], L$1, Table1[[ActualResult]:[ActualResult]], "OT") + SUMIFS(Table1[[HomeWon]:[HomeWon]], Table1[[GameIsOver]:[GameIsOver]],1,Table1[[AwayTeam]:[AwayTeam]],$A2, Table1[[HomeTeam]:[HomeTeam]], L$1, Table1[[ActualResult]:[ActualResult]], "SO") + SUMIFS(Table1[[AwayWon]:[AwayWon]], Table1[[GameIsOver]:[GameIsOver]],1,Table1[[HomeTeam]:[HomeTeam]],$A2, Table1[[AwayTeam]:[AwayTeam]], L$1, Table1[[ActualResult]:[ActualResult]], "SO"),0))</f>
        <v>0-0-0</v>
      </c>
      <c r="M2" s="43" t="str">
        <f>_xlfn.CONCAT(TEXT(SUMIFS(Table1[[AwayWon]:[AwayWon]], Table1[[GameIsOver]:[GameIsOver]],1,Table1[[AwayTeam]:[AwayTeam]],$A2, Table1[[HomeTeam]:[HomeTeam]], M$1) + SUMIFS(Table1[[HomeWon]:[HomeWon]], Table1[[GameIsOver]:[GameIsOver]],1,Table1[[HomeTeam]:[HomeTeam]],$A2, Table1[[AwayTeam]:[AwayTeam]], M$1),0), "-", TEXT(SUMIFS(Table1[[HomeWon]:[HomeWon]], Table1[[GameIsOver]:[GameIsOver]],1,Table1[[AwayTeam]:[AwayTeam]],$A2, Table1[[HomeTeam]:[HomeTeam]], M$1, Table1[[ActualResult]:[ActualResult]], "REG") + SUMIFS(Table1[[AwayWon]:[AwayWon]], Table1[[GameIsOver]:[GameIsOver]],1,Table1[[HomeTeam]:[HomeTeam]],$A2, Table1[[AwayTeam]:[AwayTeam]], M$1, Table1[[ActualResult]:[ActualResult]], "REG"),0), "-", TEXT(SUMIFS(Table1[[HomeWon]:[HomeWon]], Table1[[GameIsOver]:[GameIsOver]],1,Table1[[AwayTeam]:[AwayTeam]],$A2, Table1[[HomeTeam]:[HomeTeam]], M$1, Table1[[ActualResult]:[ActualResult]], "OT") + SUMIFS(Table1[[AwayWon]:[AwayWon]], Table1[[GameIsOver]:[GameIsOver]],1,Table1[[HomeTeam]:[HomeTeam]],$A2, Table1[[AwayTeam]:[AwayTeam]], M$1, Table1[[ActualResult]:[ActualResult]], "OT") + SUMIFS(Table1[[HomeWon]:[HomeWon]], Table1[[GameIsOver]:[GameIsOver]],1,Table1[[AwayTeam]:[AwayTeam]],$A2, Table1[[HomeTeam]:[HomeTeam]], M$1, Table1[[ActualResult]:[ActualResult]], "SO") + SUMIFS(Table1[[AwayWon]:[AwayWon]], Table1[[GameIsOver]:[GameIsOver]],1,Table1[[HomeTeam]:[HomeTeam]],$A2, Table1[[AwayTeam]:[AwayTeam]], M$1, Table1[[ActualResult]:[ActualResult]], "SO"),0))</f>
        <v>0-0-0</v>
      </c>
      <c r="N2" s="43" t="str">
        <f>_xlfn.CONCAT(TEXT(SUMIFS(Table1[[AwayWon]:[AwayWon]], Table1[[GameIsOver]:[GameIsOver]],1,Table1[[AwayTeam]:[AwayTeam]],$A2, Table1[[HomeTeam]:[HomeTeam]], N$1) + SUMIFS(Table1[[HomeWon]:[HomeWon]], Table1[[GameIsOver]:[GameIsOver]],1,Table1[[HomeTeam]:[HomeTeam]],$A2, Table1[[AwayTeam]:[AwayTeam]], N$1),0), "-", TEXT(SUMIFS(Table1[[HomeWon]:[HomeWon]], Table1[[GameIsOver]:[GameIsOver]],1,Table1[[AwayTeam]:[AwayTeam]],$A2, Table1[[HomeTeam]:[HomeTeam]], N$1, Table1[[ActualResult]:[ActualResult]], "REG") + SUMIFS(Table1[[AwayWon]:[AwayWon]], Table1[[GameIsOver]:[GameIsOver]],1,Table1[[HomeTeam]:[HomeTeam]],$A2, Table1[[AwayTeam]:[AwayTeam]], N$1, Table1[[ActualResult]:[ActualResult]], "REG"),0), "-", TEXT(SUMIFS(Table1[[HomeWon]:[HomeWon]], Table1[[GameIsOver]:[GameIsOver]],1,Table1[[AwayTeam]:[AwayTeam]],$A2, Table1[[HomeTeam]:[HomeTeam]], N$1, Table1[[ActualResult]:[ActualResult]], "OT") + SUMIFS(Table1[[AwayWon]:[AwayWon]], Table1[[GameIsOver]:[GameIsOver]],1,Table1[[HomeTeam]:[HomeTeam]],$A2, Table1[[AwayTeam]:[AwayTeam]], N$1, Table1[[ActualResult]:[ActualResult]], "OT") + SUMIFS(Table1[[HomeWon]:[HomeWon]], Table1[[GameIsOver]:[GameIsOver]],1,Table1[[AwayTeam]:[AwayTeam]],$A2, Table1[[HomeTeam]:[HomeTeam]], N$1, Table1[[ActualResult]:[ActualResult]], "SO") + SUMIFS(Table1[[AwayWon]:[AwayWon]], Table1[[GameIsOver]:[GameIsOver]],1,Table1[[HomeTeam]:[HomeTeam]],$A2, Table1[[AwayTeam]:[AwayTeam]], N$1, Table1[[ActualResult]:[ActualResult]], "SO"),0))</f>
        <v>0-0-0</v>
      </c>
      <c r="O2" s="43" t="str">
        <f>_xlfn.CONCAT(TEXT(SUMIFS(Table1[[AwayWon]:[AwayWon]], Table1[[GameIsOver]:[GameIsOver]],1,Table1[[AwayTeam]:[AwayTeam]],$A2, Table1[[HomeTeam]:[HomeTeam]], O$1) + SUMIFS(Table1[[HomeWon]:[HomeWon]], Table1[[GameIsOver]:[GameIsOver]],1,Table1[[HomeTeam]:[HomeTeam]],$A2, Table1[[AwayTeam]:[AwayTeam]], O$1),0), "-", TEXT(SUMIFS(Table1[[HomeWon]:[HomeWon]], Table1[[GameIsOver]:[GameIsOver]],1,Table1[[AwayTeam]:[AwayTeam]],$A2, Table1[[HomeTeam]:[HomeTeam]], O$1, Table1[[ActualResult]:[ActualResult]], "REG") + SUMIFS(Table1[[AwayWon]:[AwayWon]], Table1[[GameIsOver]:[GameIsOver]],1,Table1[[HomeTeam]:[HomeTeam]],$A2, Table1[[AwayTeam]:[AwayTeam]], O$1, Table1[[ActualResult]:[ActualResult]], "REG"),0), "-", TEXT(SUMIFS(Table1[[HomeWon]:[HomeWon]], Table1[[GameIsOver]:[GameIsOver]],1,Table1[[AwayTeam]:[AwayTeam]],$A2, Table1[[HomeTeam]:[HomeTeam]], O$1, Table1[[ActualResult]:[ActualResult]], "OT") + SUMIFS(Table1[[AwayWon]:[AwayWon]], Table1[[GameIsOver]:[GameIsOver]],1,Table1[[HomeTeam]:[HomeTeam]],$A2, Table1[[AwayTeam]:[AwayTeam]], O$1, Table1[[ActualResult]:[ActualResult]], "OT") + SUMIFS(Table1[[HomeWon]:[HomeWon]], Table1[[GameIsOver]:[GameIsOver]],1,Table1[[AwayTeam]:[AwayTeam]],$A2, Table1[[HomeTeam]:[HomeTeam]], O$1, Table1[[ActualResult]:[ActualResult]], "SO") + SUMIFS(Table1[[AwayWon]:[AwayWon]], Table1[[GameIsOver]:[GameIsOver]],1,Table1[[HomeTeam]:[HomeTeam]],$A2, Table1[[AwayTeam]:[AwayTeam]], O$1, Table1[[ActualResult]:[ActualResult]], "SO"),0))</f>
        <v>0-0-0</v>
      </c>
      <c r="P2" s="43" t="str">
        <f>_xlfn.CONCAT(TEXT(SUMIFS(Table1[[AwayWon]:[AwayWon]], Table1[[GameIsOver]:[GameIsOver]],1,Table1[[AwayTeam]:[AwayTeam]],$A2, Table1[[HomeTeam]:[HomeTeam]], P$1) + SUMIFS(Table1[[HomeWon]:[HomeWon]], Table1[[GameIsOver]:[GameIsOver]],1,Table1[[HomeTeam]:[HomeTeam]],$A2, Table1[[AwayTeam]:[AwayTeam]], P$1),0), "-", TEXT(SUMIFS(Table1[[HomeWon]:[HomeWon]], Table1[[GameIsOver]:[GameIsOver]],1,Table1[[AwayTeam]:[AwayTeam]],$A2, Table1[[HomeTeam]:[HomeTeam]], P$1, Table1[[ActualResult]:[ActualResult]], "REG") + SUMIFS(Table1[[AwayWon]:[AwayWon]], Table1[[GameIsOver]:[GameIsOver]],1,Table1[[HomeTeam]:[HomeTeam]],$A2, Table1[[AwayTeam]:[AwayTeam]], P$1, Table1[[ActualResult]:[ActualResult]], "REG"),0), "-", TEXT(SUMIFS(Table1[[HomeWon]:[HomeWon]], Table1[[GameIsOver]:[GameIsOver]],1,Table1[[AwayTeam]:[AwayTeam]],$A2, Table1[[HomeTeam]:[HomeTeam]], P$1, Table1[[ActualResult]:[ActualResult]], "OT") + SUMIFS(Table1[[AwayWon]:[AwayWon]], Table1[[GameIsOver]:[GameIsOver]],1,Table1[[HomeTeam]:[HomeTeam]],$A2, Table1[[AwayTeam]:[AwayTeam]], P$1, Table1[[ActualResult]:[ActualResult]], "OT") + SUMIFS(Table1[[HomeWon]:[HomeWon]], Table1[[GameIsOver]:[GameIsOver]],1,Table1[[AwayTeam]:[AwayTeam]],$A2, Table1[[HomeTeam]:[HomeTeam]], P$1, Table1[[ActualResult]:[ActualResult]], "SO") + SUMIFS(Table1[[AwayWon]:[AwayWon]], Table1[[GameIsOver]:[GameIsOver]],1,Table1[[HomeTeam]:[HomeTeam]],$A2, Table1[[AwayTeam]:[AwayTeam]], P$1, Table1[[ActualResult]:[ActualResult]], "SO"),0))</f>
        <v>0-0-0</v>
      </c>
      <c r="Q2" s="44" t="str">
        <f>_xlfn.CONCAT(TEXT(SUMIFS(Table1[[AwayWon]:[AwayWon]], Table1[[GameIsOver]:[GameIsOver]],1,Table1[[AwayTeam]:[AwayTeam]],$A2, Table1[[HomeTeam]:[HomeTeam]], Q$1) + SUMIFS(Table1[[HomeWon]:[HomeWon]], Table1[[GameIsOver]:[GameIsOver]],1,Table1[[HomeTeam]:[HomeTeam]],$A2, Table1[[AwayTeam]:[AwayTeam]], Q$1),0), "-", TEXT(SUMIFS(Table1[[HomeWon]:[HomeWon]], Table1[[GameIsOver]:[GameIsOver]],1,Table1[[AwayTeam]:[AwayTeam]],$A2, Table1[[HomeTeam]:[HomeTeam]], Q$1, Table1[[ActualResult]:[ActualResult]], "REG") + SUMIFS(Table1[[AwayWon]:[AwayWon]], Table1[[GameIsOver]:[GameIsOver]],1,Table1[[HomeTeam]:[HomeTeam]],$A2, Table1[[AwayTeam]:[AwayTeam]], Q$1, Table1[[ActualResult]:[ActualResult]], "REG"),0), "-", TEXT(SUMIFS(Table1[[HomeWon]:[HomeWon]], Table1[[GameIsOver]:[GameIsOver]],1,Table1[[AwayTeam]:[AwayTeam]],$A2, Table1[[HomeTeam]:[HomeTeam]], Q$1, Table1[[ActualResult]:[ActualResult]], "OT") + SUMIFS(Table1[[AwayWon]:[AwayWon]], Table1[[GameIsOver]:[GameIsOver]],1,Table1[[HomeTeam]:[HomeTeam]],$A2, Table1[[AwayTeam]:[AwayTeam]], Q$1, Table1[[ActualResult]:[ActualResult]], "OT") + SUMIFS(Table1[[HomeWon]:[HomeWon]], Table1[[GameIsOver]:[GameIsOver]],1,Table1[[AwayTeam]:[AwayTeam]],$A2, Table1[[HomeTeam]:[HomeTeam]], Q$1, Table1[[ActualResult]:[ActualResult]], "SO") + SUMIFS(Table1[[AwayWon]:[AwayWon]], Table1[[GameIsOver]:[GameIsOver]],1,Table1[[HomeTeam]:[HomeTeam]],$A2, Table1[[AwayTeam]:[AwayTeam]], Q$1, Table1[[ActualResult]:[ActualResult]], "SO"),0))</f>
        <v>0-0-0</v>
      </c>
      <c r="R2" s="43" t="str">
        <f>_xlfn.CONCAT(TEXT(SUMIFS(Table1[[AwayWon]:[AwayWon]], Table1[[GameIsOver]:[GameIsOver]],1,Table1[[AwayTeam]:[AwayTeam]],$A2, Table1[[HomeTeam]:[HomeTeam]], R$1) + SUMIFS(Table1[[HomeWon]:[HomeWon]], Table1[[GameIsOver]:[GameIsOver]],1,Table1[[HomeTeam]:[HomeTeam]],$A2, Table1[[AwayTeam]:[AwayTeam]], R$1),0), "-", TEXT(SUMIFS(Table1[[HomeWon]:[HomeWon]], Table1[[GameIsOver]:[GameIsOver]],1,Table1[[AwayTeam]:[AwayTeam]],$A2, Table1[[HomeTeam]:[HomeTeam]], R$1, Table1[[ActualResult]:[ActualResult]], "REG") + SUMIFS(Table1[[AwayWon]:[AwayWon]], Table1[[GameIsOver]:[GameIsOver]],1,Table1[[HomeTeam]:[HomeTeam]],$A2, Table1[[AwayTeam]:[AwayTeam]], R$1, Table1[[ActualResult]:[ActualResult]], "REG"),0), "-", TEXT(SUMIFS(Table1[[HomeWon]:[HomeWon]], Table1[[GameIsOver]:[GameIsOver]],1,Table1[[AwayTeam]:[AwayTeam]],$A2, Table1[[HomeTeam]:[HomeTeam]], R$1, Table1[[ActualResult]:[ActualResult]], "OT") + SUMIFS(Table1[[AwayWon]:[AwayWon]], Table1[[GameIsOver]:[GameIsOver]],1,Table1[[HomeTeam]:[HomeTeam]],$A2, Table1[[AwayTeam]:[AwayTeam]], R$1, Table1[[ActualResult]:[ActualResult]], "OT") + SUMIFS(Table1[[HomeWon]:[HomeWon]], Table1[[GameIsOver]:[GameIsOver]],1,Table1[[AwayTeam]:[AwayTeam]],$A2, Table1[[HomeTeam]:[HomeTeam]], R$1, Table1[[ActualResult]:[ActualResult]], "SO") + SUMIFS(Table1[[AwayWon]:[AwayWon]], Table1[[GameIsOver]:[GameIsOver]],1,Table1[[HomeTeam]:[HomeTeam]],$A2, Table1[[AwayTeam]:[AwayTeam]], R$1, Table1[[ActualResult]:[ActualResult]], "SO"),0))</f>
        <v>0-0-0</v>
      </c>
      <c r="S2" s="43" t="str">
        <f>_xlfn.CONCAT(TEXT(SUMIFS(Table1[[AwayWon]:[AwayWon]], Table1[[GameIsOver]:[GameIsOver]],1,Table1[[AwayTeam]:[AwayTeam]],$A2, Table1[[HomeTeam]:[HomeTeam]], S$1) + SUMIFS(Table1[[HomeWon]:[HomeWon]], Table1[[GameIsOver]:[GameIsOver]],1,Table1[[HomeTeam]:[HomeTeam]],$A2, Table1[[AwayTeam]:[AwayTeam]], S$1),0), "-", TEXT(SUMIFS(Table1[[HomeWon]:[HomeWon]], Table1[[GameIsOver]:[GameIsOver]],1,Table1[[AwayTeam]:[AwayTeam]],$A2, Table1[[HomeTeam]:[HomeTeam]], S$1, Table1[[ActualResult]:[ActualResult]], "REG") + SUMIFS(Table1[[AwayWon]:[AwayWon]], Table1[[GameIsOver]:[GameIsOver]],1,Table1[[HomeTeam]:[HomeTeam]],$A2, Table1[[AwayTeam]:[AwayTeam]], S$1, Table1[[ActualResult]:[ActualResult]], "REG"),0), "-", TEXT(SUMIFS(Table1[[HomeWon]:[HomeWon]], Table1[[GameIsOver]:[GameIsOver]],1,Table1[[AwayTeam]:[AwayTeam]],$A2, Table1[[HomeTeam]:[HomeTeam]], S$1, Table1[[ActualResult]:[ActualResult]], "OT") + SUMIFS(Table1[[AwayWon]:[AwayWon]], Table1[[GameIsOver]:[GameIsOver]],1,Table1[[HomeTeam]:[HomeTeam]],$A2, Table1[[AwayTeam]:[AwayTeam]], S$1, Table1[[ActualResult]:[ActualResult]], "OT") + SUMIFS(Table1[[HomeWon]:[HomeWon]], Table1[[GameIsOver]:[GameIsOver]],1,Table1[[AwayTeam]:[AwayTeam]],$A2, Table1[[HomeTeam]:[HomeTeam]], S$1, Table1[[ActualResult]:[ActualResult]], "SO") + SUMIFS(Table1[[AwayWon]:[AwayWon]], Table1[[GameIsOver]:[GameIsOver]],1,Table1[[HomeTeam]:[HomeTeam]],$A2, Table1[[AwayTeam]:[AwayTeam]], S$1, Table1[[ActualResult]:[ActualResult]], "SO"),0))</f>
        <v>0-0-0</v>
      </c>
      <c r="T2" s="43" t="str">
        <f>_xlfn.CONCAT(TEXT(SUMIFS(Table1[[AwayWon]:[AwayWon]], Table1[[GameIsOver]:[GameIsOver]],1,Table1[[AwayTeam]:[AwayTeam]],$A2, Table1[[HomeTeam]:[HomeTeam]], T$1) + SUMIFS(Table1[[HomeWon]:[HomeWon]], Table1[[GameIsOver]:[GameIsOver]],1,Table1[[HomeTeam]:[HomeTeam]],$A2, Table1[[AwayTeam]:[AwayTeam]], T$1),0), "-", TEXT(SUMIFS(Table1[[HomeWon]:[HomeWon]], Table1[[GameIsOver]:[GameIsOver]],1,Table1[[AwayTeam]:[AwayTeam]],$A2, Table1[[HomeTeam]:[HomeTeam]], T$1, Table1[[ActualResult]:[ActualResult]], "REG") + SUMIFS(Table1[[AwayWon]:[AwayWon]], Table1[[GameIsOver]:[GameIsOver]],1,Table1[[HomeTeam]:[HomeTeam]],$A2, Table1[[AwayTeam]:[AwayTeam]], T$1, Table1[[ActualResult]:[ActualResult]], "REG"),0), "-", TEXT(SUMIFS(Table1[[HomeWon]:[HomeWon]], Table1[[GameIsOver]:[GameIsOver]],1,Table1[[AwayTeam]:[AwayTeam]],$A2, Table1[[HomeTeam]:[HomeTeam]], T$1, Table1[[ActualResult]:[ActualResult]], "OT") + SUMIFS(Table1[[AwayWon]:[AwayWon]], Table1[[GameIsOver]:[GameIsOver]],1,Table1[[HomeTeam]:[HomeTeam]],$A2, Table1[[AwayTeam]:[AwayTeam]], T$1, Table1[[ActualResult]:[ActualResult]], "OT") + SUMIFS(Table1[[HomeWon]:[HomeWon]], Table1[[GameIsOver]:[GameIsOver]],1,Table1[[AwayTeam]:[AwayTeam]],$A2, Table1[[HomeTeam]:[HomeTeam]], T$1, Table1[[ActualResult]:[ActualResult]], "SO") + SUMIFS(Table1[[AwayWon]:[AwayWon]], Table1[[GameIsOver]:[GameIsOver]],1,Table1[[HomeTeam]:[HomeTeam]],$A2, Table1[[AwayTeam]:[AwayTeam]], T$1, Table1[[ActualResult]:[ActualResult]], "SO"),0))</f>
        <v>0-0-0</v>
      </c>
      <c r="U2" s="43" t="str">
        <f>_xlfn.CONCAT(TEXT(SUMIFS(Table1[[AwayWon]:[AwayWon]], Table1[[GameIsOver]:[GameIsOver]],1,Table1[[AwayTeam]:[AwayTeam]],$A2, Table1[[HomeTeam]:[HomeTeam]], U$1) + SUMIFS(Table1[[HomeWon]:[HomeWon]], Table1[[GameIsOver]:[GameIsOver]],1,Table1[[HomeTeam]:[HomeTeam]],$A2, Table1[[AwayTeam]:[AwayTeam]], U$1),0), "-", TEXT(SUMIFS(Table1[[HomeWon]:[HomeWon]], Table1[[GameIsOver]:[GameIsOver]],1,Table1[[AwayTeam]:[AwayTeam]],$A2, Table1[[HomeTeam]:[HomeTeam]], U$1, Table1[[ActualResult]:[ActualResult]], "REG") + SUMIFS(Table1[[AwayWon]:[AwayWon]], Table1[[GameIsOver]:[GameIsOver]],1,Table1[[HomeTeam]:[HomeTeam]],$A2, Table1[[AwayTeam]:[AwayTeam]], U$1, Table1[[ActualResult]:[ActualResult]], "REG"),0), "-", TEXT(SUMIFS(Table1[[HomeWon]:[HomeWon]], Table1[[GameIsOver]:[GameIsOver]],1,Table1[[AwayTeam]:[AwayTeam]],$A2, Table1[[HomeTeam]:[HomeTeam]], U$1, Table1[[ActualResult]:[ActualResult]], "OT") + SUMIFS(Table1[[AwayWon]:[AwayWon]], Table1[[GameIsOver]:[GameIsOver]],1,Table1[[HomeTeam]:[HomeTeam]],$A2, Table1[[AwayTeam]:[AwayTeam]], U$1, Table1[[ActualResult]:[ActualResult]], "OT") + SUMIFS(Table1[[HomeWon]:[HomeWon]], Table1[[GameIsOver]:[GameIsOver]],1,Table1[[AwayTeam]:[AwayTeam]],$A2, Table1[[HomeTeam]:[HomeTeam]], U$1, Table1[[ActualResult]:[ActualResult]], "SO") + SUMIFS(Table1[[AwayWon]:[AwayWon]], Table1[[GameIsOver]:[GameIsOver]],1,Table1[[HomeTeam]:[HomeTeam]],$A2, Table1[[AwayTeam]:[AwayTeam]], U$1, Table1[[ActualResult]:[ActualResult]], "SO"),0))</f>
        <v>0-0-0</v>
      </c>
      <c r="V2" s="43" t="str">
        <f>_xlfn.CONCAT(TEXT(SUMIFS(Table1[[AwayWon]:[AwayWon]], Table1[[GameIsOver]:[GameIsOver]],1,Table1[[AwayTeam]:[AwayTeam]],$A2, Table1[[HomeTeam]:[HomeTeam]], V$1) + SUMIFS(Table1[[HomeWon]:[HomeWon]], Table1[[GameIsOver]:[GameIsOver]],1,Table1[[HomeTeam]:[HomeTeam]],$A2, Table1[[AwayTeam]:[AwayTeam]], V$1),0), "-", TEXT(SUMIFS(Table1[[HomeWon]:[HomeWon]], Table1[[GameIsOver]:[GameIsOver]],1,Table1[[AwayTeam]:[AwayTeam]],$A2, Table1[[HomeTeam]:[HomeTeam]], V$1, Table1[[ActualResult]:[ActualResult]], "REG") + SUMIFS(Table1[[AwayWon]:[AwayWon]], Table1[[GameIsOver]:[GameIsOver]],1,Table1[[HomeTeam]:[HomeTeam]],$A2, Table1[[AwayTeam]:[AwayTeam]], V$1, Table1[[ActualResult]:[ActualResult]], "REG"),0), "-", TEXT(SUMIFS(Table1[[HomeWon]:[HomeWon]], Table1[[GameIsOver]:[GameIsOver]],1,Table1[[AwayTeam]:[AwayTeam]],$A2, Table1[[HomeTeam]:[HomeTeam]], V$1, Table1[[ActualResult]:[ActualResult]], "OT") + SUMIFS(Table1[[AwayWon]:[AwayWon]], Table1[[GameIsOver]:[GameIsOver]],1,Table1[[HomeTeam]:[HomeTeam]],$A2, Table1[[AwayTeam]:[AwayTeam]], V$1, Table1[[ActualResult]:[ActualResult]], "OT") + SUMIFS(Table1[[HomeWon]:[HomeWon]], Table1[[GameIsOver]:[GameIsOver]],1,Table1[[AwayTeam]:[AwayTeam]],$A2, Table1[[HomeTeam]:[HomeTeam]], V$1, Table1[[ActualResult]:[ActualResult]], "SO") + SUMIFS(Table1[[AwayWon]:[AwayWon]], Table1[[GameIsOver]:[GameIsOver]],1,Table1[[HomeTeam]:[HomeTeam]],$A2, Table1[[AwayTeam]:[AwayTeam]], V$1, Table1[[ActualResult]:[ActualResult]], "SO"),0))</f>
        <v>0-0-0</v>
      </c>
      <c r="W2" s="43" t="str">
        <f>_xlfn.CONCAT(TEXT(SUMIFS(Table1[[AwayWon]:[AwayWon]], Table1[[GameIsOver]:[GameIsOver]],1,Table1[[AwayTeam]:[AwayTeam]],$A2, Table1[[HomeTeam]:[HomeTeam]], W$1) + SUMIFS(Table1[[HomeWon]:[HomeWon]], Table1[[GameIsOver]:[GameIsOver]],1,Table1[[HomeTeam]:[HomeTeam]],$A2, Table1[[AwayTeam]:[AwayTeam]], W$1),0), "-", TEXT(SUMIFS(Table1[[HomeWon]:[HomeWon]], Table1[[GameIsOver]:[GameIsOver]],1,Table1[[AwayTeam]:[AwayTeam]],$A2, Table1[[HomeTeam]:[HomeTeam]], W$1, Table1[[ActualResult]:[ActualResult]], "REG") + SUMIFS(Table1[[AwayWon]:[AwayWon]], Table1[[GameIsOver]:[GameIsOver]],1,Table1[[HomeTeam]:[HomeTeam]],$A2, Table1[[AwayTeam]:[AwayTeam]], W$1, Table1[[ActualResult]:[ActualResult]], "REG"),0), "-", TEXT(SUMIFS(Table1[[HomeWon]:[HomeWon]], Table1[[GameIsOver]:[GameIsOver]],1,Table1[[AwayTeam]:[AwayTeam]],$A2, Table1[[HomeTeam]:[HomeTeam]], W$1, Table1[[ActualResult]:[ActualResult]], "OT") + SUMIFS(Table1[[AwayWon]:[AwayWon]], Table1[[GameIsOver]:[GameIsOver]],1,Table1[[HomeTeam]:[HomeTeam]],$A2, Table1[[AwayTeam]:[AwayTeam]], W$1, Table1[[ActualResult]:[ActualResult]], "OT") + SUMIFS(Table1[[HomeWon]:[HomeWon]], Table1[[GameIsOver]:[GameIsOver]],1,Table1[[AwayTeam]:[AwayTeam]],$A2, Table1[[HomeTeam]:[HomeTeam]], W$1, Table1[[ActualResult]:[ActualResult]], "SO") + SUMIFS(Table1[[AwayWon]:[AwayWon]], Table1[[GameIsOver]:[GameIsOver]],1,Table1[[HomeTeam]:[HomeTeam]],$A2, Table1[[AwayTeam]:[AwayTeam]], W$1, Table1[[ActualResult]:[ActualResult]], "SO"),0))</f>
        <v>0-0-0</v>
      </c>
      <c r="X2" s="43" t="str">
        <f>_xlfn.CONCAT(TEXT(SUMIFS(Table1[[AwayWon]:[AwayWon]], Table1[[GameIsOver]:[GameIsOver]],1,Table1[[AwayTeam]:[AwayTeam]],$A2, Table1[[HomeTeam]:[HomeTeam]], X$1) + SUMIFS(Table1[[HomeWon]:[HomeWon]], Table1[[GameIsOver]:[GameIsOver]],1,Table1[[HomeTeam]:[HomeTeam]],$A2, Table1[[AwayTeam]:[AwayTeam]], X$1),0), "-", TEXT(SUMIFS(Table1[[HomeWon]:[HomeWon]], Table1[[GameIsOver]:[GameIsOver]],1,Table1[[AwayTeam]:[AwayTeam]],$A2, Table1[[HomeTeam]:[HomeTeam]], X$1, Table1[[ActualResult]:[ActualResult]], "REG") + SUMIFS(Table1[[AwayWon]:[AwayWon]], Table1[[GameIsOver]:[GameIsOver]],1,Table1[[HomeTeam]:[HomeTeam]],$A2, Table1[[AwayTeam]:[AwayTeam]], X$1, Table1[[ActualResult]:[ActualResult]], "REG"),0), "-", TEXT(SUMIFS(Table1[[HomeWon]:[HomeWon]], Table1[[GameIsOver]:[GameIsOver]],1,Table1[[AwayTeam]:[AwayTeam]],$A2, Table1[[HomeTeam]:[HomeTeam]], X$1, Table1[[ActualResult]:[ActualResult]], "OT") + SUMIFS(Table1[[AwayWon]:[AwayWon]], Table1[[GameIsOver]:[GameIsOver]],1,Table1[[HomeTeam]:[HomeTeam]],$A2, Table1[[AwayTeam]:[AwayTeam]], X$1, Table1[[ActualResult]:[ActualResult]], "OT") + SUMIFS(Table1[[HomeWon]:[HomeWon]], Table1[[GameIsOver]:[GameIsOver]],1,Table1[[AwayTeam]:[AwayTeam]],$A2, Table1[[HomeTeam]:[HomeTeam]], X$1, Table1[[ActualResult]:[ActualResult]], "SO") + SUMIFS(Table1[[AwayWon]:[AwayWon]], Table1[[GameIsOver]:[GameIsOver]],1,Table1[[HomeTeam]:[HomeTeam]],$A2, Table1[[AwayTeam]:[AwayTeam]], X$1, Table1[[ActualResult]:[ActualResult]], "SO"),0))</f>
        <v>0-0-0</v>
      </c>
      <c r="Y2" s="44" t="str">
        <f>_xlfn.CONCAT(TEXT(SUMIFS(Table1[[AwayWon]:[AwayWon]], Table1[[GameIsOver]:[GameIsOver]],1,Table1[[AwayTeam]:[AwayTeam]],$A2, Table1[[HomeTeam]:[HomeTeam]], Y$1) + SUMIFS(Table1[[HomeWon]:[HomeWon]], Table1[[GameIsOver]:[GameIsOver]],1,Table1[[HomeTeam]:[HomeTeam]],$A2, Table1[[AwayTeam]:[AwayTeam]], Y$1),0), "-", TEXT(SUMIFS(Table1[[HomeWon]:[HomeWon]], Table1[[GameIsOver]:[GameIsOver]],1,Table1[[AwayTeam]:[AwayTeam]],$A2, Table1[[HomeTeam]:[HomeTeam]], Y$1, Table1[[ActualResult]:[ActualResult]], "REG") + SUMIFS(Table1[[AwayWon]:[AwayWon]], Table1[[GameIsOver]:[GameIsOver]],1,Table1[[HomeTeam]:[HomeTeam]],$A2, Table1[[AwayTeam]:[AwayTeam]], Y$1, Table1[[ActualResult]:[ActualResult]], "REG"),0), "-", TEXT(SUMIFS(Table1[[HomeWon]:[HomeWon]], Table1[[GameIsOver]:[GameIsOver]],1,Table1[[AwayTeam]:[AwayTeam]],$A2, Table1[[HomeTeam]:[HomeTeam]], Y$1, Table1[[ActualResult]:[ActualResult]], "OT") + SUMIFS(Table1[[AwayWon]:[AwayWon]], Table1[[GameIsOver]:[GameIsOver]],1,Table1[[HomeTeam]:[HomeTeam]],$A2, Table1[[AwayTeam]:[AwayTeam]], Y$1, Table1[[ActualResult]:[ActualResult]], "OT") + SUMIFS(Table1[[HomeWon]:[HomeWon]], Table1[[GameIsOver]:[GameIsOver]],1,Table1[[AwayTeam]:[AwayTeam]],$A2, Table1[[HomeTeam]:[HomeTeam]], Y$1, Table1[[ActualResult]:[ActualResult]], "SO") + SUMIFS(Table1[[AwayWon]:[AwayWon]], Table1[[GameIsOver]:[GameIsOver]],1,Table1[[HomeTeam]:[HomeTeam]],$A2, Table1[[AwayTeam]:[AwayTeam]], Y$1, Table1[[ActualResult]:[ActualResult]], "SO"),0))</f>
        <v>0-0-0</v>
      </c>
      <c r="Z2" s="43" t="str">
        <f>_xlfn.CONCAT(TEXT(SUMIFS(Table1[[AwayWon]:[AwayWon]], Table1[[GameIsOver]:[GameIsOver]],1,Table1[[AwayTeam]:[AwayTeam]],$A2, Table1[[HomeTeam]:[HomeTeam]], Z$1) + SUMIFS(Table1[[HomeWon]:[HomeWon]], Table1[[GameIsOver]:[GameIsOver]],1,Table1[[HomeTeam]:[HomeTeam]],$A2, Table1[[AwayTeam]:[AwayTeam]], Z$1),0), "-", TEXT(SUMIFS(Table1[[HomeWon]:[HomeWon]], Table1[[GameIsOver]:[GameIsOver]],1,Table1[[AwayTeam]:[AwayTeam]],$A2, Table1[[HomeTeam]:[HomeTeam]], Z$1, Table1[[ActualResult]:[ActualResult]], "REG") + SUMIFS(Table1[[AwayWon]:[AwayWon]], Table1[[GameIsOver]:[GameIsOver]],1,Table1[[HomeTeam]:[HomeTeam]],$A2, Table1[[AwayTeam]:[AwayTeam]], Z$1, Table1[[ActualResult]:[ActualResult]], "REG"),0), "-", TEXT(SUMIFS(Table1[[HomeWon]:[HomeWon]], Table1[[GameIsOver]:[GameIsOver]],1,Table1[[AwayTeam]:[AwayTeam]],$A2, Table1[[HomeTeam]:[HomeTeam]], Z$1, Table1[[ActualResult]:[ActualResult]], "OT") + SUMIFS(Table1[[AwayWon]:[AwayWon]], Table1[[GameIsOver]:[GameIsOver]],1,Table1[[HomeTeam]:[HomeTeam]],$A2, Table1[[AwayTeam]:[AwayTeam]], Z$1, Table1[[ActualResult]:[ActualResult]], "OT") + SUMIFS(Table1[[HomeWon]:[HomeWon]], Table1[[GameIsOver]:[GameIsOver]],1,Table1[[AwayTeam]:[AwayTeam]],$A2, Table1[[HomeTeam]:[HomeTeam]], Z$1, Table1[[ActualResult]:[ActualResult]], "SO") + SUMIFS(Table1[[AwayWon]:[AwayWon]], Table1[[GameIsOver]:[GameIsOver]],1,Table1[[HomeTeam]:[HomeTeam]],$A2, Table1[[AwayTeam]:[AwayTeam]], Z$1, Table1[[ActualResult]:[ActualResult]], "SO"),0))</f>
        <v>0-0-0</v>
      </c>
      <c r="AA2" s="43" t="str">
        <f>_xlfn.CONCAT(TEXT(SUMIFS(Table1[[AwayWon]:[AwayWon]], Table1[[GameIsOver]:[GameIsOver]],1,Table1[[AwayTeam]:[AwayTeam]],$A2, Table1[[HomeTeam]:[HomeTeam]], AA$1) + SUMIFS(Table1[[HomeWon]:[HomeWon]], Table1[[GameIsOver]:[GameIsOver]],1,Table1[[HomeTeam]:[HomeTeam]],$A2, Table1[[AwayTeam]:[AwayTeam]], AA$1),0), "-", TEXT(SUMIFS(Table1[[HomeWon]:[HomeWon]], Table1[[GameIsOver]:[GameIsOver]],1,Table1[[AwayTeam]:[AwayTeam]],$A2, Table1[[HomeTeam]:[HomeTeam]], AA$1, Table1[[ActualResult]:[ActualResult]], "REG") + SUMIFS(Table1[[AwayWon]:[AwayWon]], Table1[[GameIsOver]:[GameIsOver]],1,Table1[[HomeTeam]:[HomeTeam]],$A2, Table1[[AwayTeam]:[AwayTeam]], AA$1, Table1[[ActualResult]:[ActualResult]], "REG"),0), "-", TEXT(SUMIFS(Table1[[HomeWon]:[HomeWon]], Table1[[GameIsOver]:[GameIsOver]],1,Table1[[AwayTeam]:[AwayTeam]],$A2, Table1[[HomeTeam]:[HomeTeam]], AA$1, Table1[[ActualResult]:[ActualResult]], "OT") + SUMIFS(Table1[[AwayWon]:[AwayWon]], Table1[[GameIsOver]:[GameIsOver]],1,Table1[[HomeTeam]:[HomeTeam]],$A2, Table1[[AwayTeam]:[AwayTeam]], AA$1, Table1[[ActualResult]:[ActualResult]], "OT") + SUMIFS(Table1[[HomeWon]:[HomeWon]], Table1[[GameIsOver]:[GameIsOver]],1,Table1[[AwayTeam]:[AwayTeam]],$A2, Table1[[HomeTeam]:[HomeTeam]], AA$1, Table1[[ActualResult]:[ActualResult]], "SO") + SUMIFS(Table1[[AwayWon]:[AwayWon]], Table1[[GameIsOver]:[GameIsOver]],1,Table1[[HomeTeam]:[HomeTeam]],$A2, Table1[[AwayTeam]:[AwayTeam]], AA$1, Table1[[ActualResult]:[ActualResult]], "SO"),0))</f>
        <v>0-0-0</v>
      </c>
      <c r="AB2" s="43" t="str">
        <f>_xlfn.CONCAT(TEXT(SUMIFS(Table1[[AwayWon]:[AwayWon]], Table1[[GameIsOver]:[GameIsOver]],1,Table1[[AwayTeam]:[AwayTeam]],$A2, Table1[[HomeTeam]:[HomeTeam]], AB$1) + SUMIFS(Table1[[HomeWon]:[HomeWon]], Table1[[GameIsOver]:[GameIsOver]],1,Table1[[HomeTeam]:[HomeTeam]],$A2, Table1[[AwayTeam]:[AwayTeam]], AB$1),0), "-", TEXT(SUMIFS(Table1[[HomeWon]:[HomeWon]], Table1[[GameIsOver]:[GameIsOver]],1,Table1[[AwayTeam]:[AwayTeam]],$A2, Table1[[HomeTeam]:[HomeTeam]], AB$1, Table1[[ActualResult]:[ActualResult]], "REG") + SUMIFS(Table1[[AwayWon]:[AwayWon]], Table1[[GameIsOver]:[GameIsOver]],1,Table1[[HomeTeam]:[HomeTeam]],$A2, Table1[[AwayTeam]:[AwayTeam]], AB$1, Table1[[ActualResult]:[ActualResult]], "REG"),0), "-", TEXT(SUMIFS(Table1[[HomeWon]:[HomeWon]], Table1[[GameIsOver]:[GameIsOver]],1,Table1[[AwayTeam]:[AwayTeam]],$A2, Table1[[HomeTeam]:[HomeTeam]], AB$1, Table1[[ActualResult]:[ActualResult]], "OT") + SUMIFS(Table1[[AwayWon]:[AwayWon]], Table1[[GameIsOver]:[GameIsOver]],1,Table1[[HomeTeam]:[HomeTeam]],$A2, Table1[[AwayTeam]:[AwayTeam]], AB$1, Table1[[ActualResult]:[ActualResult]], "OT") + SUMIFS(Table1[[HomeWon]:[HomeWon]], Table1[[GameIsOver]:[GameIsOver]],1,Table1[[AwayTeam]:[AwayTeam]],$A2, Table1[[HomeTeam]:[HomeTeam]], AB$1, Table1[[ActualResult]:[ActualResult]], "SO") + SUMIFS(Table1[[AwayWon]:[AwayWon]], Table1[[GameIsOver]:[GameIsOver]],1,Table1[[HomeTeam]:[HomeTeam]],$A2, Table1[[AwayTeam]:[AwayTeam]], AB$1, Table1[[ActualResult]:[ActualResult]], "SO"),0))</f>
        <v>0-0-0</v>
      </c>
      <c r="AC2" s="43" t="str">
        <f>_xlfn.CONCAT(TEXT(SUMIFS(Table1[[AwayWon]:[AwayWon]], Table1[[GameIsOver]:[GameIsOver]],1,Table1[[AwayTeam]:[AwayTeam]],$A2, Table1[[HomeTeam]:[HomeTeam]], AC$1) + SUMIFS(Table1[[HomeWon]:[HomeWon]], Table1[[GameIsOver]:[GameIsOver]],1,Table1[[HomeTeam]:[HomeTeam]],$A2, Table1[[AwayTeam]:[AwayTeam]], AC$1),0), "-", TEXT(SUMIFS(Table1[[HomeWon]:[HomeWon]], Table1[[GameIsOver]:[GameIsOver]],1,Table1[[AwayTeam]:[AwayTeam]],$A2, Table1[[HomeTeam]:[HomeTeam]], AC$1, Table1[[ActualResult]:[ActualResult]], "REG") + SUMIFS(Table1[[AwayWon]:[AwayWon]], Table1[[GameIsOver]:[GameIsOver]],1,Table1[[HomeTeam]:[HomeTeam]],$A2, Table1[[AwayTeam]:[AwayTeam]], AC$1, Table1[[ActualResult]:[ActualResult]], "REG"),0), "-", TEXT(SUMIFS(Table1[[HomeWon]:[HomeWon]], Table1[[GameIsOver]:[GameIsOver]],1,Table1[[AwayTeam]:[AwayTeam]],$A2, Table1[[HomeTeam]:[HomeTeam]], AC$1, Table1[[ActualResult]:[ActualResult]], "OT") + SUMIFS(Table1[[AwayWon]:[AwayWon]], Table1[[GameIsOver]:[GameIsOver]],1,Table1[[HomeTeam]:[HomeTeam]],$A2, Table1[[AwayTeam]:[AwayTeam]], AC$1, Table1[[ActualResult]:[ActualResult]], "OT") + SUMIFS(Table1[[HomeWon]:[HomeWon]], Table1[[GameIsOver]:[GameIsOver]],1,Table1[[AwayTeam]:[AwayTeam]],$A2, Table1[[HomeTeam]:[HomeTeam]], AC$1, Table1[[ActualResult]:[ActualResult]], "SO") + SUMIFS(Table1[[AwayWon]:[AwayWon]], Table1[[GameIsOver]:[GameIsOver]],1,Table1[[HomeTeam]:[HomeTeam]],$A2, Table1[[AwayTeam]:[AwayTeam]], AC$1, Table1[[ActualResult]:[ActualResult]], "SO"),0))</f>
        <v>0-0-0</v>
      </c>
      <c r="AD2" s="43" t="str">
        <f>_xlfn.CONCAT(TEXT(SUMIFS(Table1[[AwayWon]:[AwayWon]], Table1[[GameIsOver]:[GameIsOver]],1,Table1[[AwayTeam]:[AwayTeam]],$A2, Table1[[HomeTeam]:[HomeTeam]], AD$1) + SUMIFS(Table1[[HomeWon]:[HomeWon]], Table1[[GameIsOver]:[GameIsOver]],1,Table1[[HomeTeam]:[HomeTeam]],$A2, Table1[[AwayTeam]:[AwayTeam]], AD$1),0), "-", TEXT(SUMIFS(Table1[[HomeWon]:[HomeWon]], Table1[[GameIsOver]:[GameIsOver]],1,Table1[[AwayTeam]:[AwayTeam]],$A2, Table1[[HomeTeam]:[HomeTeam]], AD$1, Table1[[ActualResult]:[ActualResult]], "REG") + SUMIFS(Table1[[AwayWon]:[AwayWon]], Table1[[GameIsOver]:[GameIsOver]],1,Table1[[HomeTeam]:[HomeTeam]],$A2, Table1[[AwayTeam]:[AwayTeam]], AD$1, Table1[[ActualResult]:[ActualResult]], "REG"),0), "-", TEXT(SUMIFS(Table1[[HomeWon]:[HomeWon]], Table1[[GameIsOver]:[GameIsOver]],1,Table1[[AwayTeam]:[AwayTeam]],$A2, Table1[[HomeTeam]:[HomeTeam]], AD$1, Table1[[ActualResult]:[ActualResult]], "OT") + SUMIFS(Table1[[AwayWon]:[AwayWon]], Table1[[GameIsOver]:[GameIsOver]],1,Table1[[HomeTeam]:[HomeTeam]],$A2, Table1[[AwayTeam]:[AwayTeam]], AD$1, Table1[[ActualResult]:[ActualResult]], "OT") + SUMIFS(Table1[[HomeWon]:[HomeWon]], Table1[[GameIsOver]:[GameIsOver]],1,Table1[[AwayTeam]:[AwayTeam]],$A2, Table1[[HomeTeam]:[HomeTeam]], AD$1, Table1[[ActualResult]:[ActualResult]], "SO") + SUMIFS(Table1[[AwayWon]:[AwayWon]], Table1[[GameIsOver]:[GameIsOver]],1,Table1[[HomeTeam]:[HomeTeam]],$A2, Table1[[AwayTeam]:[AwayTeam]], AD$1, Table1[[ActualResult]:[ActualResult]], "SO"),0))</f>
        <v>0-0-0</v>
      </c>
      <c r="AE2" s="43" t="str">
        <f>_xlfn.CONCAT(TEXT(SUMIFS(Table1[[AwayWon]:[AwayWon]], Table1[[GameIsOver]:[GameIsOver]],1,Table1[[AwayTeam]:[AwayTeam]],$A2, Table1[[HomeTeam]:[HomeTeam]], AE$1) + SUMIFS(Table1[[HomeWon]:[HomeWon]], Table1[[GameIsOver]:[GameIsOver]],1,Table1[[HomeTeam]:[HomeTeam]],$A2, Table1[[AwayTeam]:[AwayTeam]], AE$1),0), "-", TEXT(SUMIFS(Table1[[HomeWon]:[HomeWon]], Table1[[GameIsOver]:[GameIsOver]],1,Table1[[AwayTeam]:[AwayTeam]],$A2, Table1[[HomeTeam]:[HomeTeam]], AE$1, Table1[[ActualResult]:[ActualResult]], "REG") + SUMIFS(Table1[[AwayWon]:[AwayWon]], Table1[[GameIsOver]:[GameIsOver]],1,Table1[[HomeTeam]:[HomeTeam]],$A2, Table1[[AwayTeam]:[AwayTeam]], AE$1, Table1[[ActualResult]:[ActualResult]], "REG"),0), "-", TEXT(SUMIFS(Table1[[HomeWon]:[HomeWon]], Table1[[GameIsOver]:[GameIsOver]],1,Table1[[AwayTeam]:[AwayTeam]],$A2, Table1[[HomeTeam]:[HomeTeam]], AE$1, Table1[[ActualResult]:[ActualResult]], "OT") + SUMIFS(Table1[[AwayWon]:[AwayWon]], Table1[[GameIsOver]:[GameIsOver]],1,Table1[[HomeTeam]:[HomeTeam]],$A2, Table1[[AwayTeam]:[AwayTeam]], AE$1, Table1[[ActualResult]:[ActualResult]], "OT") + SUMIFS(Table1[[HomeWon]:[HomeWon]], Table1[[GameIsOver]:[GameIsOver]],1,Table1[[AwayTeam]:[AwayTeam]],$A2, Table1[[HomeTeam]:[HomeTeam]], AE$1, Table1[[ActualResult]:[ActualResult]], "SO") + SUMIFS(Table1[[AwayWon]:[AwayWon]], Table1[[GameIsOver]:[GameIsOver]],1,Table1[[HomeTeam]:[HomeTeam]],$A2, Table1[[AwayTeam]:[AwayTeam]], AE$1, Table1[[ActualResult]:[ActualResult]], "SO"),0))</f>
        <v>0-0-0</v>
      </c>
      <c r="AF2" s="43" t="str">
        <f>_xlfn.CONCAT(TEXT(SUMIFS(Table1[[AwayWon]:[AwayWon]], Table1[[GameIsOver]:[GameIsOver]],1,Table1[[AwayTeam]:[AwayTeam]],$A2, Table1[[HomeTeam]:[HomeTeam]], AF$1) + SUMIFS(Table1[[HomeWon]:[HomeWon]], Table1[[GameIsOver]:[GameIsOver]],1,Table1[[HomeTeam]:[HomeTeam]],$A2, Table1[[AwayTeam]:[AwayTeam]], AF$1),0), "-", TEXT(SUMIFS(Table1[[HomeWon]:[HomeWon]], Table1[[GameIsOver]:[GameIsOver]],1,Table1[[AwayTeam]:[AwayTeam]],$A2, Table1[[HomeTeam]:[HomeTeam]], AF$1, Table1[[ActualResult]:[ActualResult]], "REG") + SUMIFS(Table1[[AwayWon]:[AwayWon]], Table1[[GameIsOver]:[GameIsOver]],1,Table1[[HomeTeam]:[HomeTeam]],$A2, Table1[[AwayTeam]:[AwayTeam]], AF$1, Table1[[ActualResult]:[ActualResult]], "REG"),0), "-", TEXT(SUMIFS(Table1[[HomeWon]:[HomeWon]], Table1[[GameIsOver]:[GameIsOver]],1,Table1[[AwayTeam]:[AwayTeam]],$A2, Table1[[HomeTeam]:[HomeTeam]], AF$1, Table1[[ActualResult]:[ActualResult]], "OT") + SUMIFS(Table1[[AwayWon]:[AwayWon]], Table1[[GameIsOver]:[GameIsOver]],1,Table1[[HomeTeam]:[HomeTeam]],$A2, Table1[[AwayTeam]:[AwayTeam]], AF$1, Table1[[ActualResult]:[ActualResult]], "OT") + SUMIFS(Table1[[HomeWon]:[HomeWon]], Table1[[GameIsOver]:[GameIsOver]],1,Table1[[AwayTeam]:[AwayTeam]],$A2, Table1[[HomeTeam]:[HomeTeam]], AF$1, Table1[[ActualResult]:[ActualResult]], "SO") + SUMIFS(Table1[[AwayWon]:[AwayWon]], Table1[[GameIsOver]:[GameIsOver]],1,Table1[[HomeTeam]:[HomeTeam]],$A2, Table1[[AwayTeam]:[AwayTeam]], AF$1, Table1[[ActualResult]:[ActualResult]], "SO"),0))</f>
        <v>0-0-0</v>
      </c>
      <c r="AG2" s="43" t="str">
        <f>_xlfn.CONCAT(TEXT(SUMIFS(Table1[[AwayWon]:[AwayWon]], Table1[[GameIsOver]:[GameIsOver]],1,Table1[[AwayTeam]:[AwayTeam]],$A2, Table1[[HomeTeam]:[HomeTeam]], AG$1) + SUMIFS(Table1[[HomeWon]:[HomeWon]], Table1[[GameIsOver]:[GameIsOver]],1,Table1[[HomeTeam]:[HomeTeam]],$A2, Table1[[AwayTeam]:[AwayTeam]], AG$1),0), "-", TEXT(SUMIFS(Table1[[HomeWon]:[HomeWon]], Table1[[GameIsOver]:[GameIsOver]],1,Table1[[AwayTeam]:[AwayTeam]],$A2, Table1[[HomeTeam]:[HomeTeam]], AG$1, Table1[[ActualResult]:[ActualResult]], "REG") + SUMIFS(Table1[[AwayWon]:[AwayWon]], Table1[[GameIsOver]:[GameIsOver]],1,Table1[[HomeTeam]:[HomeTeam]],$A2, Table1[[AwayTeam]:[AwayTeam]], AG$1, Table1[[ActualResult]:[ActualResult]], "REG"),0), "-", TEXT(SUMIFS(Table1[[HomeWon]:[HomeWon]], Table1[[GameIsOver]:[GameIsOver]],1,Table1[[AwayTeam]:[AwayTeam]],$A2, Table1[[HomeTeam]:[HomeTeam]], AG$1, Table1[[ActualResult]:[ActualResult]], "OT") + SUMIFS(Table1[[AwayWon]:[AwayWon]], Table1[[GameIsOver]:[GameIsOver]],1,Table1[[HomeTeam]:[HomeTeam]],$A2, Table1[[AwayTeam]:[AwayTeam]], AG$1, Table1[[ActualResult]:[ActualResult]], "OT") + SUMIFS(Table1[[HomeWon]:[HomeWon]], Table1[[GameIsOver]:[GameIsOver]],1,Table1[[AwayTeam]:[AwayTeam]],$A2, Table1[[HomeTeam]:[HomeTeam]], AG$1, Table1[[ActualResult]:[ActualResult]], "SO") + SUMIFS(Table1[[AwayWon]:[AwayWon]], Table1[[GameIsOver]:[GameIsOver]],1,Table1[[HomeTeam]:[HomeTeam]],$A2, Table1[[AwayTeam]:[AwayTeam]], AG$1, Table1[[ActualResult]:[ActualResult]], "SO"),0))</f>
        <v>0-0-0</v>
      </c>
    </row>
    <row r="3" spans="1:33" x14ac:dyDescent="0.25">
      <c r="A3" s="17" t="s">
        <v>39</v>
      </c>
      <c r="B3" s="43" t="str">
        <f>_xlfn.CONCAT(TEXT(SUMIFS(Table1[[AwayWon]:[AwayWon]], Table1[[GameIsOver]:[GameIsOver]],1,Table1[[AwayTeam]:[AwayTeam]],$A3, Table1[[HomeTeam]:[HomeTeam]], B$1) + SUMIFS(Table1[[HomeWon]:[HomeWon]], Table1[[GameIsOver]:[GameIsOver]],1,Table1[[HomeTeam]:[HomeTeam]],$A3, Table1[[AwayTeam]:[AwayTeam]], B$1),0), "-", TEXT(SUMIFS(Table1[[HomeWon]:[HomeWon]], Table1[[GameIsOver]:[GameIsOver]],1,Table1[[AwayTeam]:[AwayTeam]],$A3, Table1[[HomeTeam]:[HomeTeam]], B$1, Table1[[ActualResult]:[ActualResult]], "REG") + SUMIFS(Table1[[AwayWon]:[AwayWon]], Table1[[GameIsOver]:[GameIsOver]],1,Table1[[HomeTeam]:[HomeTeam]],$A3, Table1[[AwayTeam]:[AwayTeam]], B$1, Table1[[ActualResult]:[ActualResult]], "REG"),0), "-", TEXT(SUMIFS(Table1[[HomeWon]:[HomeWon]], Table1[[GameIsOver]:[GameIsOver]],1,Table1[[AwayTeam]:[AwayTeam]],$A3, Table1[[HomeTeam]:[HomeTeam]], B$1, Table1[[ActualResult]:[ActualResult]], "OT") + SUMIFS(Table1[[AwayWon]:[AwayWon]], Table1[[GameIsOver]:[GameIsOver]],1,Table1[[HomeTeam]:[HomeTeam]],$A3, Table1[[AwayTeam]:[AwayTeam]], B$1, Table1[[ActualResult]:[ActualResult]], "OT") + SUMIFS(Table1[[HomeWon]:[HomeWon]], Table1[[GameIsOver]:[GameIsOver]],1,Table1[[AwayTeam]:[AwayTeam]],$A3, Table1[[HomeTeam]:[HomeTeam]], B$1, Table1[[ActualResult]:[ActualResult]], "SO") + SUMIFS(Table1[[AwayWon]:[AwayWon]], Table1[[GameIsOver]:[GameIsOver]],1,Table1[[HomeTeam]:[HomeTeam]],$A3, Table1[[AwayTeam]:[AwayTeam]], B$1, Table1[[ActualResult]:[ActualResult]], "SO"),0))</f>
        <v>0-0-0</v>
      </c>
      <c r="C3" s="43" t="str">
        <f>_xlfn.CONCAT(TEXT(SUMIFS(Table1[[AwayWon]:[AwayWon]], Table1[[GameIsOver]:[GameIsOver]],1,Table1[[AwayTeam]:[AwayTeam]],$A3, Table1[[HomeTeam]:[HomeTeam]], C$1) + SUMIFS(Table1[[HomeWon]:[HomeWon]], Table1[[GameIsOver]:[GameIsOver]],1,Table1[[HomeTeam]:[HomeTeam]],$A3, Table1[[AwayTeam]:[AwayTeam]], C$1),0), "-", TEXT(SUMIFS(Table1[[HomeWon]:[HomeWon]], Table1[[GameIsOver]:[GameIsOver]],1,Table1[[AwayTeam]:[AwayTeam]],$A3, Table1[[HomeTeam]:[HomeTeam]], C$1, Table1[[ActualResult]:[ActualResult]], "REG") + SUMIFS(Table1[[AwayWon]:[AwayWon]], Table1[[GameIsOver]:[GameIsOver]],1,Table1[[HomeTeam]:[HomeTeam]],$A3, Table1[[AwayTeam]:[AwayTeam]], C$1, Table1[[ActualResult]:[ActualResult]], "REG"),0), "-", TEXT(SUMIFS(Table1[[HomeWon]:[HomeWon]], Table1[[GameIsOver]:[GameIsOver]],1,Table1[[AwayTeam]:[AwayTeam]],$A3, Table1[[HomeTeam]:[HomeTeam]], C$1, Table1[[ActualResult]:[ActualResult]], "OT") + SUMIFS(Table1[[AwayWon]:[AwayWon]], Table1[[GameIsOver]:[GameIsOver]],1,Table1[[HomeTeam]:[HomeTeam]],$A3, Table1[[AwayTeam]:[AwayTeam]], C$1, Table1[[ActualResult]:[ActualResult]], "OT") + SUMIFS(Table1[[HomeWon]:[HomeWon]], Table1[[GameIsOver]:[GameIsOver]],1,Table1[[AwayTeam]:[AwayTeam]],$A3, Table1[[HomeTeam]:[HomeTeam]], C$1, Table1[[ActualResult]:[ActualResult]], "SO") + SUMIFS(Table1[[AwayWon]:[AwayWon]], Table1[[GameIsOver]:[GameIsOver]],1,Table1[[HomeTeam]:[HomeTeam]],$A3, Table1[[AwayTeam]:[AwayTeam]], C$1, Table1[[ActualResult]:[ActualResult]], "SO"),0))</f>
        <v>0-0-0</v>
      </c>
      <c r="D3" s="43" t="str">
        <f>_xlfn.CONCAT(TEXT(SUMIFS(Table1[[AwayWon]:[AwayWon]], Table1[[GameIsOver]:[GameIsOver]],1,Table1[[AwayTeam]:[AwayTeam]],$A3, Table1[[HomeTeam]:[HomeTeam]], D$1) + SUMIFS(Table1[[HomeWon]:[HomeWon]], Table1[[GameIsOver]:[GameIsOver]],1,Table1[[HomeTeam]:[HomeTeam]],$A3, Table1[[AwayTeam]:[AwayTeam]], D$1),0), "-", TEXT(SUMIFS(Table1[[HomeWon]:[HomeWon]], Table1[[GameIsOver]:[GameIsOver]],1,Table1[[AwayTeam]:[AwayTeam]],$A3, Table1[[HomeTeam]:[HomeTeam]], D$1, Table1[[ActualResult]:[ActualResult]], "REG") + SUMIFS(Table1[[AwayWon]:[AwayWon]], Table1[[GameIsOver]:[GameIsOver]],1,Table1[[HomeTeam]:[HomeTeam]],$A3, Table1[[AwayTeam]:[AwayTeam]], D$1, Table1[[ActualResult]:[ActualResult]], "REG"),0), "-", TEXT(SUMIFS(Table1[[HomeWon]:[HomeWon]], Table1[[GameIsOver]:[GameIsOver]],1,Table1[[AwayTeam]:[AwayTeam]],$A3, Table1[[HomeTeam]:[HomeTeam]], D$1, Table1[[ActualResult]:[ActualResult]], "OT") + SUMIFS(Table1[[AwayWon]:[AwayWon]], Table1[[GameIsOver]:[GameIsOver]],1,Table1[[HomeTeam]:[HomeTeam]],$A3, Table1[[AwayTeam]:[AwayTeam]], D$1, Table1[[ActualResult]:[ActualResult]], "OT") + SUMIFS(Table1[[HomeWon]:[HomeWon]], Table1[[GameIsOver]:[GameIsOver]],1,Table1[[AwayTeam]:[AwayTeam]],$A3, Table1[[HomeTeam]:[HomeTeam]], D$1, Table1[[ActualResult]:[ActualResult]], "SO") + SUMIFS(Table1[[AwayWon]:[AwayWon]], Table1[[GameIsOver]:[GameIsOver]],1,Table1[[HomeTeam]:[HomeTeam]],$A3, Table1[[AwayTeam]:[AwayTeam]], D$1, Table1[[ActualResult]:[ActualResult]], "SO"),0))</f>
        <v>0-0-0</v>
      </c>
      <c r="E3" s="43" t="str">
        <f>_xlfn.CONCAT(TEXT(SUMIFS(Table1[[AwayWon]:[AwayWon]], Table1[[GameIsOver]:[GameIsOver]],1,Table1[[AwayTeam]:[AwayTeam]],$A3, Table1[[HomeTeam]:[HomeTeam]], E$1) + SUMIFS(Table1[[HomeWon]:[HomeWon]], Table1[[GameIsOver]:[GameIsOver]],1,Table1[[HomeTeam]:[HomeTeam]],$A3, Table1[[AwayTeam]:[AwayTeam]], E$1),0), "-", TEXT(SUMIFS(Table1[[HomeWon]:[HomeWon]], Table1[[GameIsOver]:[GameIsOver]],1,Table1[[AwayTeam]:[AwayTeam]],$A3, Table1[[HomeTeam]:[HomeTeam]], E$1, Table1[[ActualResult]:[ActualResult]], "REG") + SUMIFS(Table1[[AwayWon]:[AwayWon]], Table1[[GameIsOver]:[GameIsOver]],1,Table1[[HomeTeam]:[HomeTeam]],$A3, Table1[[AwayTeam]:[AwayTeam]], E$1, Table1[[ActualResult]:[ActualResult]], "REG"),0), "-", TEXT(SUMIFS(Table1[[HomeWon]:[HomeWon]], Table1[[GameIsOver]:[GameIsOver]],1,Table1[[AwayTeam]:[AwayTeam]],$A3, Table1[[HomeTeam]:[HomeTeam]], E$1, Table1[[ActualResult]:[ActualResult]], "OT") + SUMIFS(Table1[[AwayWon]:[AwayWon]], Table1[[GameIsOver]:[GameIsOver]],1,Table1[[HomeTeam]:[HomeTeam]],$A3, Table1[[AwayTeam]:[AwayTeam]], E$1, Table1[[ActualResult]:[ActualResult]], "OT") + SUMIFS(Table1[[HomeWon]:[HomeWon]], Table1[[GameIsOver]:[GameIsOver]],1,Table1[[AwayTeam]:[AwayTeam]],$A3, Table1[[HomeTeam]:[HomeTeam]], E$1, Table1[[ActualResult]:[ActualResult]], "SO") + SUMIFS(Table1[[AwayWon]:[AwayWon]], Table1[[GameIsOver]:[GameIsOver]],1,Table1[[HomeTeam]:[HomeTeam]],$A3, Table1[[AwayTeam]:[AwayTeam]], E$1, Table1[[ActualResult]:[ActualResult]], "SO"),0))</f>
        <v>0-0-0</v>
      </c>
      <c r="F3" s="43" t="str">
        <f>_xlfn.CONCAT(TEXT(SUMIFS(Table1[[AwayWon]:[AwayWon]], Table1[[GameIsOver]:[GameIsOver]],1,Table1[[AwayTeam]:[AwayTeam]],$A3, Table1[[HomeTeam]:[HomeTeam]], F$1) + SUMIFS(Table1[[HomeWon]:[HomeWon]], Table1[[GameIsOver]:[GameIsOver]],1,Table1[[HomeTeam]:[HomeTeam]],$A3, Table1[[AwayTeam]:[AwayTeam]], F$1),0), "-", TEXT(SUMIFS(Table1[[HomeWon]:[HomeWon]], Table1[[GameIsOver]:[GameIsOver]],1,Table1[[AwayTeam]:[AwayTeam]],$A3, Table1[[HomeTeam]:[HomeTeam]], F$1, Table1[[ActualResult]:[ActualResult]], "REG") + SUMIFS(Table1[[AwayWon]:[AwayWon]], Table1[[GameIsOver]:[GameIsOver]],1,Table1[[HomeTeam]:[HomeTeam]],$A3, Table1[[AwayTeam]:[AwayTeam]], F$1, Table1[[ActualResult]:[ActualResult]], "REG"),0), "-", TEXT(SUMIFS(Table1[[HomeWon]:[HomeWon]], Table1[[GameIsOver]:[GameIsOver]],1,Table1[[AwayTeam]:[AwayTeam]],$A3, Table1[[HomeTeam]:[HomeTeam]], F$1, Table1[[ActualResult]:[ActualResult]], "OT") + SUMIFS(Table1[[AwayWon]:[AwayWon]], Table1[[GameIsOver]:[GameIsOver]],1,Table1[[HomeTeam]:[HomeTeam]],$A3, Table1[[AwayTeam]:[AwayTeam]], F$1, Table1[[ActualResult]:[ActualResult]], "OT") + SUMIFS(Table1[[HomeWon]:[HomeWon]], Table1[[GameIsOver]:[GameIsOver]],1,Table1[[AwayTeam]:[AwayTeam]],$A3, Table1[[HomeTeam]:[HomeTeam]], F$1, Table1[[ActualResult]:[ActualResult]], "SO") + SUMIFS(Table1[[AwayWon]:[AwayWon]], Table1[[GameIsOver]:[GameIsOver]],1,Table1[[HomeTeam]:[HomeTeam]],$A3, Table1[[AwayTeam]:[AwayTeam]], F$1, Table1[[ActualResult]:[ActualResult]], "SO"),0))</f>
        <v>0-1-0</v>
      </c>
      <c r="G3" s="43" t="str">
        <f>_xlfn.CONCAT(TEXT(SUMIFS(Table1[[AwayWon]:[AwayWon]], Table1[[GameIsOver]:[GameIsOver]],1,Table1[[AwayTeam]:[AwayTeam]],$A3, Table1[[HomeTeam]:[HomeTeam]], G$1) + SUMIFS(Table1[[HomeWon]:[HomeWon]], Table1[[GameIsOver]:[GameIsOver]],1,Table1[[HomeTeam]:[HomeTeam]],$A3, Table1[[AwayTeam]:[AwayTeam]], G$1),0), "-", TEXT(SUMIFS(Table1[[HomeWon]:[HomeWon]], Table1[[GameIsOver]:[GameIsOver]],1,Table1[[AwayTeam]:[AwayTeam]],$A3, Table1[[HomeTeam]:[HomeTeam]], G$1, Table1[[ActualResult]:[ActualResult]], "REG") + SUMIFS(Table1[[AwayWon]:[AwayWon]], Table1[[GameIsOver]:[GameIsOver]],1,Table1[[HomeTeam]:[HomeTeam]],$A3, Table1[[AwayTeam]:[AwayTeam]], G$1, Table1[[ActualResult]:[ActualResult]], "REG"),0), "-", TEXT(SUMIFS(Table1[[HomeWon]:[HomeWon]], Table1[[GameIsOver]:[GameIsOver]],1,Table1[[AwayTeam]:[AwayTeam]],$A3, Table1[[HomeTeam]:[HomeTeam]], G$1, Table1[[ActualResult]:[ActualResult]], "OT") + SUMIFS(Table1[[AwayWon]:[AwayWon]], Table1[[GameIsOver]:[GameIsOver]],1,Table1[[HomeTeam]:[HomeTeam]],$A3, Table1[[AwayTeam]:[AwayTeam]], G$1, Table1[[ActualResult]:[ActualResult]], "OT") + SUMIFS(Table1[[HomeWon]:[HomeWon]], Table1[[GameIsOver]:[GameIsOver]],1,Table1[[AwayTeam]:[AwayTeam]],$A3, Table1[[HomeTeam]:[HomeTeam]], G$1, Table1[[ActualResult]:[ActualResult]], "SO") + SUMIFS(Table1[[AwayWon]:[AwayWon]], Table1[[GameIsOver]:[GameIsOver]],1,Table1[[HomeTeam]:[HomeTeam]],$A3, Table1[[AwayTeam]:[AwayTeam]], G$1, Table1[[ActualResult]:[ActualResult]], "SO"),0))</f>
        <v>0-0-0</v>
      </c>
      <c r="H3" s="43" t="str">
        <f>_xlfn.CONCAT(TEXT(SUMIFS(Table1[[AwayWon]:[AwayWon]], Table1[[GameIsOver]:[GameIsOver]],1,Table1[[AwayTeam]:[AwayTeam]],$A3, Table1[[HomeTeam]:[HomeTeam]], H$1) + SUMIFS(Table1[[HomeWon]:[HomeWon]], Table1[[GameIsOver]:[GameIsOver]],1,Table1[[HomeTeam]:[HomeTeam]],$A3, Table1[[AwayTeam]:[AwayTeam]], H$1),0), "-", TEXT(SUMIFS(Table1[[HomeWon]:[HomeWon]], Table1[[GameIsOver]:[GameIsOver]],1,Table1[[AwayTeam]:[AwayTeam]],$A3, Table1[[HomeTeam]:[HomeTeam]], H$1, Table1[[ActualResult]:[ActualResult]], "REG") + SUMIFS(Table1[[AwayWon]:[AwayWon]], Table1[[GameIsOver]:[GameIsOver]],1,Table1[[HomeTeam]:[HomeTeam]],$A3, Table1[[AwayTeam]:[AwayTeam]], H$1, Table1[[ActualResult]:[ActualResult]], "REG"),0), "-", TEXT(SUMIFS(Table1[[HomeWon]:[HomeWon]], Table1[[GameIsOver]:[GameIsOver]],1,Table1[[AwayTeam]:[AwayTeam]],$A3, Table1[[HomeTeam]:[HomeTeam]], H$1, Table1[[ActualResult]:[ActualResult]], "OT") + SUMIFS(Table1[[AwayWon]:[AwayWon]], Table1[[GameIsOver]:[GameIsOver]],1,Table1[[HomeTeam]:[HomeTeam]],$A3, Table1[[AwayTeam]:[AwayTeam]], H$1, Table1[[ActualResult]:[ActualResult]], "OT") + SUMIFS(Table1[[HomeWon]:[HomeWon]], Table1[[GameIsOver]:[GameIsOver]],1,Table1[[AwayTeam]:[AwayTeam]],$A3, Table1[[HomeTeam]:[HomeTeam]], H$1, Table1[[ActualResult]:[ActualResult]], "SO") + SUMIFS(Table1[[AwayWon]:[AwayWon]], Table1[[GameIsOver]:[GameIsOver]],1,Table1[[HomeTeam]:[HomeTeam]],$A3, Table1[[AwayTeam]:[AwayTeam]], H$1, Table1[[ActualResult]:[ActualResult]], "SO"),0))</f>
        <v>0-0-0</v>
      </c>
      <c r="I3" s="45" t="str">
        <f>_xlfn.CONCAT(TEXT(SUMIFS(Table1[[AwayWon]:[AwayWon]], Table1[[GameIsOver]:[GameIsOver]],1,Table1[[AwayTeam]:[AwayTeam]],$A3, Table1[[HomeTeam]:[HomeTeam]], I$1) + SUMIFS(Table1[[HomeWon]:[HomeWon]], Table1[[GameIsOver]:[GameIsOver]],1,Table1[[HomeTeam]:[HomeTeam]],$A3, Table1[[AwayTeam]:[AwayTeam]], I$1),0), "-", TEXT(SUMIFS(Table1[[HomeWon]:[HomeWon]], Table1[[GameIsOver]:[GameIsOver]],1,Table1[[AwayTeam]:[AwayTeam]],$A3, Table1[[HomeTeam]:[HomeTeam]], I$1, Table1[[ActualResult]:[ActualResult]], "REG") + SUMIFS(Table1[[AwayWon]:[AwayWon]], Table1[[GameIsOver]:[GameIsOver]],1,Table1[[HomeTeam]:[HomeTeam]],$A3, Table1[[AwayTeam]:[AwayTeam]], I$1, Table1[[ActualResult]:[ActualResult]], "REG"),0), "-", TEXT(SUMIFS(Table1[[HomeWon]:[HomeWon]], Table1[[GameIsOver]:[GameIsOver]],1,Table1[[AwayTeam]:[AwayTeam]],$A3, Table1[[HomeTeam]:[HomeTeam]], I$1, Table1[[ActualResult]:[ActualResult]], "OT") + SUMIFS(Table1[[AwayWon]:[AwayWon]], Table1[[GameIsOver]:[GameIsOver]],1,Table1[[HomeTeam]:[HomeTeam]],$A3, Table1[[AwayTeam]:[AwayTeam]], I$1, Table1[[ActualResult]:[ActualResult]], "OT") + SUMIFS(Table1[[HomeWon]:[HomeWon]], Table1[[GameIsOver]:[GameIsOver]],1,Table1[[AwayTeam]:[AwayTeam]],$A3, Table1[[HomeTeam]:[HomeTeam]], I$1, Table1[[ActualResult]:[ActualResult]], "SO") + SUMIFS(Table1[[AwayWon]:[AwayWon]], Table1[[GameIsOver]:[GameIsOver]],1,Table1[[HomeTeam]:[HomeTeam]],$A3, Table1[[AwayTeam]:[AwayTeam]], I$1, Table1[[ActualResult]:[ActualResult]], "SO"),0))</f>
        <v>0-0-0</v>
      </c>
      <c r="J3" s="43" t="str">
        <f>_xlfn.CONCAT(TEXT(SUMIFS(Table1[[AwayWon]:[AwayWon]], Table1[[GameIsOver]:[GameIsOver]],1,Table1[[AwayTeam]:[AwayTeam]],$A3, Table1[[HomeTeam]:[HomeTeam]], J$1) + SUMIFS(Table1[[HomeWon]:[HomeWon]], Table1[[GameIsOver]:[GameIsOver]],1,Table1[[HomeTeam]:[HomeTeam]],$A3, Table1[[AwayTeam]:[AwayTeam]], J$1),0), "-", TEXT(SUMIFS(Table1[[HomeWon]:[HomeWon]], Table1[[GameIsOver]:[GameIsOver]],1,Table1[[AwayTeam]:[AwayTeam]],$A3, Table1[[HomeTeam]:[HomeTeam]], J$1, Table1[[ActualResult]:[ActualResult]], "REG") + SUMIFS(Table1[[AwayWon]:[AwayWon]], Table1[[GameIsOver]:[GameIsOver]],1,Table1[[HomeTeam]:[HomeTeam]],$A3, Table1[[AwayTeam]:[AwayTeam]], J$1, Table1[[ActualResult]:[ActualResult]], "REG"),0), "-", TEXT(SUMIFS(Table1[[HomeWon]:[HomeWon]], Table1[[GameIsOver]:[GameIsOver]],1,Table1[[AwayTeam]:[AwayTeam]],$A3, Table1[[HomeTeam]:[HomeTeam]], J$1, Table1[[ActualResult]:[ActualResult]], "OT") + SUMIFS(Table1[[AwayWon]:[AwayWon]], Table1[[GameIsOver]:[GameIsOver]],1,Table1[[HomeTeam]:[HomeTeam]],$A3, Table1[[AwayTeam]:[AwayTeam]], J$1, Table1[[ActualResult]:[ActualResult]], "OT") + SUMIFS(Table1[[HomeWon]:[HomeWon]], Table1[[GameIsOver]:[GameIsOver]],1,Table1[[AwayTeam]:[AwayTeam]],$A3, Table1[[HomeTeam]:[HomeTeam]], J$1, Table1[[ActualResult]:[ActualResult]], "SO") + SUMIFS(Table1[[AwayWon]:[AwayWon]], Table1[[GameIsOver]:[GameIsOver]],1,Table1[[HomeTeam]:[HomeTeam]],$A3, Table1[[AwayTeam]:[AwayTeam]], J$1, Table1[[ActualResult]:[ActualResult]], "SO"),0))</f>
        <v>0-0-0</v>
      </c>
      <c r="K3" s="43" t="str">
        <f>_xlfn.CONCAT(TEXT(SUMIFS(Table1[[AwayWon]:[AwayWon]], Table1[[GameIsOver]:[GameIsOver]],1,Table1[[AwayTeam]:[AwayTeam]],$A3, Table1[[HomeTeam]:[HomeTeam]], K$1) + SUMIFS(Table1[[HomeWon]:[HomeWon]], Table1[[GameIsOver]:[GameIsOver]],1,Table1[[HomeTeam]:[HomeTeam]],$A3, Table1[[AwayTeam]:[AwayTeam]], K$1),0), "-", TEXT(SUMIFS(Table1[[HomeWon]:[HomeWon]], Table1[[GameIsOver]:[GameIsOver]],1,Table1[[AwayTeam]:[AwayTeam]],$A3, Table1[[HomeTeam]:[HomeTeam]], K$1, Table1[[ActualResult]:[ActualResult]], "REG") + SUMIFS(Table1[[AwayWon]:[AwayWon]], Table1[[GameIsOver]:[GameIsOver]],1,Table1[[HomeTeam]:[HomeTeam]],$A3, Table1[[AwayTeam]:[AwayTeam]], K$1, Table1[[ActualResult]:[ActualResult]], "REG"),0), "-", TEXT(SUMIFS(Table1[[HomeWon]:[HomeWon]], Table1[[GameIsOver]:[GameIsOver]],1,Table1[[AwayTeam]:[AwayTeam]],$A3, Table1[[HomeTeam]:[HomeTeam]], K$1, Table1[[ActualResult]:[ActualResult]], "OT") + SUMIFS(Table1[[AwayWon]:[AwayWon]], Table1[[GameIsOver]:[GameIsOver]],1,Table1[[HomeTeam]:[HomeTeam]],$A3, Table1[[AwayTeam]:[AwayTeam]], K$1, Table1[[ActualResult]:[ActualResult]], "OT") + SUMIFS(Table1[[HomeWon]:[HomeWon]], Table1[[GameIsOver]:[GameIsOver]],1,Table1[[AwayTeam]:[AwayTeam]],$A3, Table1[[HomeTeam]:[HomeTeam]], K$1, Table1[[ActualResult]:[ActualResult]], "SO") + SUMIFS(Table1[[AwayWon]:[AwayWon]], Table1[[GameIsOver]:[GameIsOver]],1,Table1[[HomeTeam]:[HomeTeam]],$A3, Table1[[AwayTeam]:[AwayTeam]], K$1, Table1[[ActualResult]:[ActualResult]], "SO"),0))</f>
        <v>0-0-0</v>
      </c>
      <c r="L3" s="43" t="str">
        <f>_xlfn.CONCAT(TEXT(SUMIFS(Table1[[AwayWon]:[AwayWon]], Table1[[GameIsOver]:[GameIsOver]],1,Table1[[AwayTeam]:[AwayTeam]],$A3, Table1[[HomeTeam]:[HomeTeam]], L$1) + SUMIFS(Table1[[HomeWon]:[HomeWon]], Table1[[GameIsOver]:[GameIsOver]],1,Table1[[HomeTeam]:[HomeTeam]],$A3, Table1[[AwayTeam]:[AwayTeam]], L$1),0), "-", TEXT(SUMIFS(Table1[[HomeWon]:[HomeWon]], Table1[[GameIsOver]:[GameIsOver]],1,Table1[[AwayTeam]:[AwayTeam]],$A3, Table1[[HomeTeam]:[HomeTeam]], L$1, Table1[[ActualResult]:[ActualResult]], "REG") + SUMIFS(Table1[[AwayWon]:[AwayWon]], Table1[[GameIsOver]:[GameIsOver]],1,Table1[[HomeTeam]:[HomeTeam]],$A3, Table1[[AwayTeam]:[AwayTeam]], L$1, Table1[[ActualResult]:[ActualResult]], "REG"),0), "-", TEXT(SUMIFS(Table1[[HomeWon]:[HomeWon]], Table1[[GameIsOver]:[GameIsOver]],1,Table1[[AwayTeam]:[AwayTeam]],$A3, Table1[[HomeTeam]:[HomeTeam]], L$1, Table1[[ActualResult]:[ActualResult]], "OT") + SUMIFS(Table1[[AwayWon]:[AwayWon]], Table1[[GameIsOver]:[GameIsOver]],1,Table1[[HomeTeam]:[HomeTeam]],$A3, Table1[[AwayTeam]:[AwayTeam]], L$1, Table1[[ActualResult]:[ActualResult]], "OT") + SUMIFS(Table1[[HomeWon]:[HomeWon]], Table1[[GameIsOver]:[GameIsOver]],1,Table1[[AwayTeam]:[AwayTeam]],$A3, Table1[[HomeTeam]:[HomeTeam]], L$1, Table1[[ActualResult]:[ActualResult]], "SO") + SUMIFS(Table1[[AwayWon]:[AwayWon]], Table1[[GameIsOver]:[GameIsOver]],1,Table1[[HomeTeam]:[HomeTeam]],$A3, Table1[[AwayTeam]:[AwayTeam]], L$1, Table1[[ActualResult]:[ActualResult]], "SO"),0))</f>
        <v>0-0-0</v>
      </c>
      <c r="M3" s="43" t="str">
        <f>_xlfn.CONCAT(TEXT(SUMIFS(Table1[[AwayWon]:[AwayWon]], Table1[[GameIsOver]:[GameIsOver]],1,Table1[[AwayTeam]:[AwayTeam]],$A3, Table1[[HomeTeam]:[HomeTeam]], M$1) + SUMIFS(Table1[[HomeWon]:[HomeWon]], Table1[[GameIsOver]:[GameIsOver]],1,Table1[[HomeTeam]:[HomeTeam]],$A3, Table1[[AwayTeam]:[AwayTeam]], M$1),0), "-", TEXT(SUMIFS(Table1[[HomeWon]:[HomeWon]], Table1[[GameIsOver]:[GameIsOver]],1,Table1[[AwayTeam]:[AwayTeam]],$A3, Table1[[HomeTeam]:[HomeTeam]], M$1, Table1[[ActualResult]:[ActualResult]], "REG") + SUMIFS(Table1[[AwayWon]:[AwayWon]], Table1[[GameIsOver]:[GameIsOver]],1,Table1[[HomeTeam]:[HomeTeam]],$A3, Table1[[AwayTeam]:[AwayTeam]], M$1, Table1[[ActualResult]:[ActualResult]], "REG"),0), "-", TEXT(SUMIFS(Table1[[HomeWon]:[HomeWon]], Table1[[GameIsOver]:[GameIsOver]],1,Table1[[AwayTeam]:[AwayTeam]],$A3, Table1[[HomeTeam]:[HomeTeam]], M$1, Table1[[ActualResult]:[ActualResult]], "OT") + SUMIFS(Table1[[AwayWon]:[AwayWon]], Table1[[GameIsOver]:[GameIsOver]],1,Table1[[HomeTeam]:[HomeTeam]],$A3, Table1[[AwayTeam]:[AwayTeam]], M$1, Table1[[ActualResult]:[ActualResult]], "OT") + SUMIFS(Table1[[HomeWon]:[HomeWon]], Table1[[GameIsOver]:[GameIsOver]],1,Table1[[AwayTeam]:[AwayTeam]],$A3, Table1[[HomeTeam]:[HomeTeam]], M$1, Table1[[ActualResult]:[ActualResult]], "SO") + SUMIFS(Table1[[AwayWon]:[AwayWon]], Table1[[GameIsOver]:[GameIsOver]],1,Table1[[HomeTeam]:[HomeTeam]],$A3, Table1[[AwayTeam]:[AwayTeam]], M$1, Table1[[ActualResult]:[ActualResult]], "SO"),0))</f>
        <v>0-0-0</v>
      </c>
      <c r="N3" s="43" t="str">
        <f>_xlfn.CONCAT(TEXT(SUMIFS(Table1[[AwayWon]:[AwayWon]], Table1[[GameIsOver]:[GameIsOver]],1,Table1[[AwayTeam]:[AwayTeam]],$A3, Table1[[HomeTeam]:[HomeTeam]], N$1) + SUMIFS(Table1[[HomeWon]:[HomeWon]], Table1[[GameIsOver]:[GameIsOver]],1,Table1[[HomeTeam]:[HomeTeam]],$A3, Table1[[AwayTeam]:[AwayTeam]], N$1),0), "-", TEXT(SUMIFS(Table1[[HomeWon]:[HomeWon]], Table1[[GameIsOver]:[GameIsOver]],1,Table1[[AwayTeam]:[AwayTeam]],$A3, Table1[[HomeTeam]:[HomeTeam]], N$1, Table1[[ActualResult]:[ActualResult]], "REG") + SUMIFS(Table1[[AwayWon]:[AwayWon]], Table1[[GameIsOver]:[GameIsOver]],1,Table1[[HomeTeam]:[HomeTeam]],$A3, Table1[[AwayTeam]:[AwayTeam]], N$1, Table1[[ActualResult]:[ActualResult]], "REG"),0), "-", TEXT(SUMIFS(Table1[[HomeWon]:[HomeWon]], Table1[[GameIsOver]:[GameIsOver]],1,Table1[[AwayTeam]:[AwayTeam]],$A3, Table1[[HomeTeam]:[HomeTeam]], N$1, Table1[[ActualResult]:[ActualResult]], "OT") + SUMIFS(Table1[[AwayWon]:[AwayWon]], Table1[[GameIsOver]:[GameIsOver]],1,Table1[[HomeTeam]:[HomeTeam]],$A3, Table1[[AwayTeam]:[AwayTeam]], N$1, Table1[[ActualResult]:[ActualResult]], "OT") + SUMIFS(Table1[[HomeWon]:[HomeWon]], Table1[[GameIsOver]:[GameIsOver]],1,Table1[[AwayTeam]:[AwayTeam]],$A3, Table1[[HomeTeam]:[HomeTeam]], N$1, Table1[[ActualResult]:[ActualResult]], "SO") + SUMIFS(Table1[[AwayWon]:[AwayWon]], Table1[[GameIsOver]:[GameIsOver]],1,Table1[[HomeTeam]:[HomeTeam]],$A3, Table1[[AwayTeam]:[AwayTeam]], N$1, Table1[[ActualResult]:[ActualResult]], "SO"),0))</f>
        <v>0-0-0</v>
      </c>
      <c r="O3" s="43" t="str">
        <f>_xlfn.CONCAT(TEXT(SUMIFS(Table1[[AwayWon]:[AwayWon]], Table1[[GameIsOver]:[GameIsOver]],1,Table1[[AwayTeam]:[AwayTeam]],$A3, Table1[[HomeTeam]:[HomeTeam]], O$1) + SUMIFS(Table1[[HomeWon]:[HomeWon]], Table1[[GameIsOver]:[GameIsOver]],1,Table1[[HomeTeam]:[HomeTeam]],$A3, Table1[[AwayTeam]:[AwayTeam]], O$1),0), "-", TEXT(SUMIFS(Table1[[HomeWon]:[HomeWon]], Table1[[GameIsOver]:[GameIsOver]],1,Table1[[AwayTeam]:[AwayTeam]],$A3, Table1[[HomeTeam]:[HomeTeam]], O$1, Table1[[ActualResult]:[ActualResult]], "REG") + SUMIFS(Table1[[AwayWon]:[AwayWon]], Table1[[GameIsOver]:[GameIsOver]],1,Table1[[HomeTeam]:[HomeTeam]],$A3, Table1[[AwayTeam]:[AwayTeam]], O$1, Table1[[ActualResult]:[ActualResult]], "REG"),0), "-", TEXT(SUMIFS(Table1[[HomeWon]:[HomeWon]], Table1[[GameIsOver]:[GameIsOver]],1,Table1[[AwayTeam]:[AwayTeam]],$A3, Table1[[HomeTeam]:[HomeTeam]], O$1, Table1[[ActualResult]:[ActualResult]], "OT") + SUMIFS(Table1[[AwayWon]:[AwayWon]], Table1[[GameIsOver]:[GameIsOver]],1,Table1[[HomeTeam]:[HomeTeam]],$A3, Table1[[AwayTeam]:[AwayTeam]], O$1, Table1[[ActualResult]:[ActualResult]], "OT") + SUMIFS(Table1[[HomeWon]:[HomeWon]], Table1[[GameIsOver]:[GameIsOver]],1,Table1[[AwayTeam]:[AwayTeam]],$A3, Table1[[HomeTeam]:[HomeTeam]], O$1, Table1[[ActualResult]:[ActualResult]], "SO") + SUMIFS(Table1[[AwayWon]:[AwayWon]], Table1[[GameIsOver]:[GameIsOver]],1,Table1[[HomeTeam]:[HomeTeam]],$A3, Table1[[AwayTeam]:[AwayTeam]], O$1, Table1[[ActualResult]:[ActualResult]], "SO"),0))</f>
        <v>0-0-0</v>
      </c>
      <c r="P3" s="43" t="str">
        <f>_xlfn.CONCAT(TEXT(SUMIFS(Table1[[AwayWon]:[AwayWon]], Table1[[GameIsOver]:[GameIsOver]],1,Table1[[AwayTeam]:[AwayTeam]],$A3, Table1[[HomeTeam]:[HomeTeam]], P$1) + SUMIFS(Table1[[HomeWon]:[HomeWon]], Table1[[GameIsOver]:[GameIsOver]],1,Table1[[HomeTeam]:[HomeTeam]],$A3, Table1[[AwayTeam]:[AwayTeam]], P$1),0), "-", TEXT(SUMIFS(Table1[[HomeWon]:[HomeWon]], Table1[[GameIsOver]:[GameIsOver]],1,Table1[[AwayTeam]:[AwayTeam]],$A3, Table1[[HomeTeam]:[HomeTeam]], P$1, Table1[[ActualResult]:[ActualResult]], "REG") + SUMIFS(Table1[[AwayWon]:[AwayWon]], Table1[[GameIsOver]:[GameIsOver]],1,Table1[[HomeTeam]:[HomeTeam]],$A3, Table1[[AwayTeam]:[AwayTeam]], P$1, Table1[[ActualResult]:[ActualResult]], "REG"),0), "-", TEXT(SUMIFS(Table1[[HomeWon]:[HomeWon]], Table1[[GameIsOver]:[GameIsOver]],1,Table1[[AwayTeam]:[AwayTeam]],$A3, Table1[[HomeTeam]:[HomeTeam]], P$1, Table1[[ActualResult]:[ActualResult]], "OT") + SUMIFS(Table1[[AwayWon]:[AwayWon]], Table1[[GameIsOver]:[GameIsOver]],1,Table1[[HomeTeam]:[HomeTeam]],$A3, Table1[[AwayTeam]:[AwayTeam]], P$1, Table1[[ActualResult]:[ActualResult]], "OT") + SUMIFS(Table1[[HomeWon]:[HomeWon]], Table1[[GameIsOver]:[GameIsOver]],1,Table1[[AwayTeam]:[AwayTeam]],$A3, Table1[[HomeTeam]:[HomeTeam]], P$1, Table1[[ActualResult]:[ActualResult]], "SO") + SUMIFS(Table1[[AwayWon]:[AwayWon]], Table1[[GameIsOver]:[GameIsOver]],1,Table1[[HomeTeam]:[HomeTeam]],$A3, Table1[[AwayTeam]:[AwayTeam]], P$1, Table1[[ActualResult]:[ActualResult]], "SO"),0))</f>
        <v>0-0-0</v>
      </c>
      <c r="Q3" s="45" t="str">
        <f>_xlfn.CONCAT(TEXT(SUMIFS(Table1[[AwayWon]:[AwayWon]], Table1[[GameIsOver]:[GameIsOver]],1,Table1[[AwayTeam]:[AwayTeam]],$A3, Table1[[HomeTeam]:[HomeTeam]], Q$1) + SUMIFS(Table1[[HomeWon]:[HomeWon]], Table1[[GameIsOver]:[GameIsOver]],1,Table1[[HomeTeam]:[HomeTeam]],$A3, Table1[[AwayTeam]:[AwayTeam]], Q$1),0), "-", TEXT(SUMIFS(Table1[[HomeWon]:[HomeWon]], Table1[[GameIsOver]:[GameIsOver]],1,Table1[[AwayTeam]:[AwayTeam]],$A3, Table1[[HomeTeam]:[HomeTeam]], Q$1, Table1[[ActualResult]:[ActualResult]], "REG") + SUMIFS(Table1[[AwayWon]:[AwayWon]], Table1[[GameIsOver]:[GameIsOver]],1,Table1[[HomeTeam]:[HomeTeam]],$A3, Table1[[AwayTeam]:[AwayTeam]], Q$1, Table1[[ActualResult]:[ActualResult]], "REG"),0), "-", TEXT(SUMIFS(Table1[[HomeWon]:[HomeWon]], Table1[[GameIsOver]:[GameIsOver]],1,Table1[[AwayTeam]:[AwayTeam]],$A3, Table1[[HomeTeam]:[HomeTeam]], Q$1, Table1[[ActualResult]:[ActualResult]], "OT") + SUMIFS(Table1[[AwayWon]:[AwayWon]], Table1[[GameIsOver]:[GameIsOver]],1,Table1[[HomeTeam]:[HomeTeam]],$A3, Table1[[AwayTeam]:[AwayTeam]], Q$1, Table1[[ActualResult]:[ActualResult]], "OT") + SUMIFS(Table1[[HomeWon]:[HomeWon]], Table1[[GameIsOver]:[GameIsOver]],1,Table1[[AwayTeam]:[AwayTeam]],$A3, Table1[[HomeTeam]:[HomeTeam]], Q$1, Table1[[ActualResult]:[ActualResult]], "SO") + SUMIFS(Table1[[AwayWon]:[AwayWon]], Table1[[GameIsOver]:[GameIsOver]],1,Table1[[HomeTeam]:[HomeTeam]],$A3, Table1[[AwayTeam]:[AwayTeam]], Q$1, Table1[[ActualResult]:[ActualResult]], "SO"),0))</f>
        <v>0-0-0</v>
      </c>
      <c r="R3" s="43" t="str">
        <f>_xlfn.CONCAT(TEXT(SUMIFS(Table1[[AwayWon]:[AwayWon]], Table1[[GameIsOver]:[GameIsOver]],1,Table1[[AwayTeam]:[AwayTeam]],$A3, Table1[[HomeTeam]:[HomeTeam]], R$1) + SUMIFS(Table1[[HomeWon]:[HomeWon]], Table1[[GameIsOver]:[GameIsOver]],1,Table1[[HomeTeam]:[HomeTeam]],$A3, Table1[[AwayTeam]:[AwayTeam]], R$1),0), "-", TEXT(SUMIFS(Table1[[HomeWon]:[HomeWon]], Table1[[GameIsOver]:[GameIsOver]],1,Table1[[AwayTeam]:[AwayTeam]],$A3, Table1[[HomeTeam]:[HomeTeam]], R$1, Table1[[ActualResult]:[ActualResult]], "REG") + SUMIFS(Table1[[AwayWon]:[AwayWon]], Table1[[GameIsOver]:[GameIsOver]],1,Table1[[HomeTeam]:[HomeTeam]],$A3, Table1[[AwayTeam]:[AwayTeam]], R$1, Table1[[ActualResult]:[ActualResult]], "REG"),0), "-", TEXT(SUMIFS(Table1[[HomeWon]:[HomeWon]], Table1[[GameIsOver]:[GameIsOver]],1,Table1[[AwayTeam]:[AwayTeam]],$A3, Table1[[HomeTeam]:[HomeTeam]], R$1, Table1[[ActualResult]:[ActualResult]], "OT") + SUMIFS(Table1[[AwayWon]:[AwayWon]], Table1[[GameIsOver]:[GameIsOver]],1,Table1[[HomeTeam]:[HomeTeam]],$A3, Table1[[AwayTeam]:[AwayTeam]], R$1, Table1[[ActualResult]:[ActualResult]], "OT") + SUMIFS(Table1[[HomeWon]:[HomeWon]], Table1[[GameIsOver]:[GameIsOver]],1,Table1[[AwayTeam]:[AwayTeam]],$A3, Table1[[HomeTeam]:[HomeTeam]], R$1, Table1[[ActualResult]:[ActualResult]], "SO") + SUMIFS(Table1[[AwayWon]:[AwayWon]], Table1[[GameIsOver]:[GameIsOver]],1,Table1[[HomeTeam]:[HomeTeam]],$A3, Table1[[AwayTeam]:[AwayTeam]], R$1, Table1[[ActualResult]:[ActualResult]], "SO"),0))</f>
        <v>0-0-0</v>
      </c>
      <c r="S3" s="43" t="str">
        <f>_xlfn.CONCAT(TEXT(SUMIFS(Table1[[AwayWon]:[AwayWon]], Table1[[GameIsOver]:[GameIsOver]],1,Table1[[AwayTeam]:[AwayTeam]],$A3, Table1[[HomeTeam]:[HomeTeam]], S$1) + SUMIFS(Table1[[HomeWon]:[HomeWon]], Table1[[GameIsOver]:[GameIsOver]],1,Table1[[HomeTeam]:[HomeTeam]],$A3, Table1[[AwayTeam]:[AwayTeam]], S$1),0), "-", TEXT(SUMIFS(Table1[[HomeWon]:[HomeWon]], Table1[[GameIsOver]:[GameIsOver]],1,Table1[[AwayTeam]:[AwayTeam]],$A3, Table1[[HomeTeam]:[HomeTeam]], S$1, Table1[[ActualResult]:[ActualResult]], "REG") + SUMIFS(Table1[[AwayWon]:[AwayWon]], Table1[[GameIsOver]:[GameIsOver]],1,Table1[[HomeTeam]:[HomeTeam]],$A3, Table1[[AwayTeam]:[AwayTeam]], S$1, Table1[[ActualResult]:[ActualResult]], "REG"),0), "-", TEXT(SUMIFS(Table1[[HomeWon]:[HomeWon]], Table1[[GameIsOver]:[GameIsOver]],1,Table1[[AwayTeam]:[AwayTeam]],$A3, Table1[[HomeTeam]:[HomeTeam]], S$1, Table1[[ActualResult]:[ActualResult]], "OT") + SUMIFS(Table1[[AwayWon]:[AwayWon]], Table1[[GameIsOver]:[GameIsOver]],1,Table1[[HomeTeam]:[HomeTeam]],$A3, Table1[[AwayTeam]:[AwayTeam]], S$1, Table1[[ActualResult]:[ActualResult]], "OT") + SUMIFS(Table1[[HomeWon]:[HomeWon]], Table1[[GameIsOver]:[GameIsOver]],1,Table1[[AwayTeam]:[AwayTeam]],$A3, Table1[[HomeTeam]:[HomeTeam]], S$1, Table1[[ActualResult]:[ActualResult]], "SO") + SUMIFS(Table1[[AwayWon]:[AwayWon]], Table1[[GameIsOver]:[GameIsOver]],1,Table1[[HomeTeam]:[HomeTeam]],$A3, Table1[[AwayTeam]:[AwayTeam]], S$1, Table1[[ActualResult]:[ActualResult]], "SO"),0))</f>
        <v>0-0-0</v>
      </c>
      <c r="T3" s="43" t="str">
        <f>_xlfn.CONCAT(TEXT(SUMIFS(Table1[[AwayWon]:[AwayWon]], Table1[[GameIsOver]:[GameIsOver]],1,Table1[[AwayTeam]:[AwayTeam]],$A3, Table1[[HomeTeam]:[HomeTeam]], T$1) + SUMIFS(Table1[[HomeWon]:[HomeWon]], Table1[[GameIsOver]:[GameIsOver]],1,Table1[[HomeTeam]:[HomeTeam]],$A3, Table1[[AwayTeam]:[AwayTeam]], T$1),0), "-", TEXT(SUMIFS(Table1[[HomeWon]:[HomeWon]], Table1[[GameIsOver]:[GameIsOver]],1,Table1[[AwayTeam]:[AwayTeam]],$A3, Table1[[HomeTeam]:[HomeTeam]], T$1, Table1[[ActualResult]:[ActualResult]], "REG") + SUMIFS(Table1[[AwayWon]:[AwayWon]], Table1[[GameIsOver]:[GameIsOver]],1,Table1[[HomeTeam]:[HomeTeam]],$A3, Table1[[AwayTeam]:[AwayTeam]], T$1, Table1[[ActualResult]:[ActualResult]], "REG"),0), "-", TEXT(SUMIFS(Table1[[HomeWon]:[HomeWon]], Table1[[GameIsOver]:[GameIsOver]],1,Table1[[AwayTeam]:[AwayTeam]],$A3, Table1[[HomeTeam]:[HomeTeam]], T$1, Table1[[ActualResult]:[ActualResult]], "OT") + SUMIFS(Table1[[AwayWon]:[AwayWon]], Table1[[GameIsOver]:[GameIsOver]],1,Table1[[HomeTeam]:[HomeTeam]],$A3, Table1[[AwayTeam]:[AwayTeam]], T$1, Table1[[ActualResult]:[ActualResult]], "OT") + SUMIFS(Table1[[HomeWon]:[HomeWon]], Table1[[GameIsOver]:[GameIsOver]],1,Table1[[AwayTeam]:[AwayTeam]],$A3, Table1[[HomeTeam]:[HomeTeam]], T$1, Table1[[ActualResult]:[ActualResult]], "SO") + SUMIFS(Table1[[AwayWon]:[AwayWon]], Table1[[GameIsOver]:[GameIsOver]],1,Table1[[HomeTeam]:[HomeTeam]],$A3, Table1[[AwayTeam]:[AwayTeam]], T$1, Table1[[ActualResult]:[ActualResult]], "SO"),0))</f>
        <v>0-0-0</v>
      </c>
      <c r="U3" s="43" t="str">
        <f>_xlfn.CONCAT(TEXT(SUMIFS(Table1[[AwayWon]:[AwayWon]], Table1[[GameIsOver]:[GameIsOver]],1,Table1[[AwayTeam]:[AwayTeam]],$A3, Table1[[HomeTeam]:[HomeTeam]], U$1) + SUMIFS(Table1[[HomeWon]:[HomeWon]], Table1[[GameIsOver]:[GameIsOver]],1,Table1[[HomeTeam]:[HomeTeam]],$A3, Table1[[AwayTeam]:[AwayTeam]], U$1),0), "-", TEXT(SUMIFS(Table1[[HomeWon]:[HomeWon]], Table1[[GameIsOver]:[GameIsOver]],1,Table1[[AwayTeam]:[AwayTeam]],$A3, Table1[[HomeTeam]:[HomeTeam]], U$1, Table1[[ActualResult]:[ActualResult]], "REG") + SUMIFS(Table1[[AwayWon]:[AwayWon]], Table1[[GameIsOver]:[GameIsOver]],1,Table1[[HomeTeam]:[HomeTeam]],$A3, Table1[[AwayTeam]:[AwayTeam]], U$1, Table1[[ActualResult]:[ActualResult]], "REG"),0), "-", TEXT(SUMIFS(Table1[[HomeWon]:[HomeWon]], Table1[[GameIsOver]:[GameIsOver]],1,Table1[[AwayTeam]:[AwayTeam]],$A3, Table1[[HomeTeam]:[HomeTeam]], U$1, Table1[[ActualResult]:[ActualResult]], "OT") + SUMIFS(Table1[[AwayWon]:[AwayWon]], Table1[[GameIsOver]:[GameIsOver]],1,Table1[[HomeTeam]:[HomeTeam]],$A3, Table1[[AwayTeam]:[AwayTeam]], U$1, Table1[[ActualResult]:[ActualResult]], "OT") + SUMIFS(Table1[[HomeWon]:[HomeWon]], Table1[[GameIsOver]:[GameIsOver]],1,Table1[[AwayTeam]:[AwayTeam]],$A3, Table1[[HomeTeam]:[HomeTeam]], U$1, Table1[[ActualResult]:[ActualResult]], "SO") + SUMIFS(Table1[[AwayWon]:[AwayWon]], Table1[[GameIsOver]:[GameIsOver]],1,Table1[[HomeTeam]:[HomeTeam]],$A3, Table1[[AwayTeam]:[AwayTeam]], U$1, Table1[[ActualResult]:[ActualResult]], "SO"),0))</f>
        <v>0-0-0</v>
      </c>
      <c r="V3" s="43" t="str">
        <f>_xlfn.CONCAT(TEXT(SUMIFS(Table1[[AwayWon]:[AwayWon]], Table1[[GameIsOver]:[GameIsOver]],1,Table1[[AwayTeam]:[AwayTeam]],$A3, Table1[[HomeTeam]:[HomeTeam]], V$1) + SUMIFS(Table1[[HomeWon]:[HomeWon]], Table1[[GameIsOver]:[GameIsOver]],1,Table1[[HomeTeam]:[HomeTeam]],$A3, Table1[[AwayTeam]:[AwayTeam]], V$1),0), "-", TEXT(SUMIFS(Table1[[HomeWon]:[HomeWon]], Table1[[GameIsOver]:[GameIsOver]],1,Table1[[AwayTeam]:[AwayTeam]],$A3, Table1[[HomeTeam]:[HomeTeam]], V$1, Table1[[ActualResult]:[ActualResult]], "REG") + SUMIFS(Table1[[AwayWon]:[AwayWon]], Table1[[GameIsOver]:[GameIsOver]],1,Table1[[HomeTeam]:[HomeTeam]],$A3, Table1[[AwayTeam]:[AwayTeam]], V$1, Table1[[ActualResult]:[ActualResult]], "REG"),0), "-", TEXT(SUMIFS(Table1[[HomeWon]:[HomeWon]], Table1[[GameIsOver]:[GameIsOver]],1,Table1[[AwayTeam]:[AwayTeam]],$A3, Table1[[HomeTeam]:[HomeTeam]], V$1, Table1[[ActualResult]:[ActualResult]], "OT") + SUMIFS(Table1[[AwayWon]:[AwayWon]], Table1[[GameIsOver]:[GameIsOver]],1,Table1[[HomeTeam]:[HomeTeam]],$A3, Table1[[AwayTeam]:[AwayTeam]], V$1, Table1[[ActualResult]:[ActualResult]], "OT") + SUMIFS(Table1[[HomeWon]:[HomeWon]], Table1[[GameIsOver]:[GameIsOver]],1,Table1[[AwayTeam]:[AwayTeam]],$A3, Table1[[HomeTeam]:[HomeTeam]], V$1, Table1[[ActualResult]:[ActualResult]], "SO") + SUMIFS(Table1[[AwayWon]:[AwayWon]], Table1[[GameIsOver]:[GameIsOver]],1,Table1[[HomeTeam]:[HomeTeam]],$A3, Table1[[AwayTeam]:[AwayTeam]], V$1, Table1[[ActualResult]:[ActualResult]], "SO"),0))</f>
        <v>0-0-0</v>
      </c>
      <c r="W3" s="43" t="str">
        <f>_xlfn.CONCAT(TEXT(SUMIFS(Table1[[AwayWon]:[AwayWon]], Table1[[GameIsOver]:[GameIsOver]],1,Table1[[AwayTeam]:[AwayTeam]],$A3, Table1[[HomeTeam]:[HomeTeam]], W$1) + SUMIFS(Table1[[HomeWon]:[HomeWon]], Table1[[GameIsOver]:[GameIsOver]],1,Table1[[HomeTeam]:[HomeTeam]],$A3, Table1[[AwayTeam]:[AwayTeam]], W$1),0), "-", TEXT(SUMIFS(Table1[[HomeWon]:[HomeWon]], Table1[[GameIsOver]:[GameIsOver]],1,Table1[[AwayTeam]:[AwayTeam]],$A3, Table1[[HomeTeam]:[HomeTeam]], W$1, Table1[[ActualResult]:[ActualResult]], "REG") + SUMIFS(Table1[[AwayWon]:[AwayWon]], Table1[[GameIsOver]:[GameIsOver]],1,Table1[[HomeTeam]:[HomeTeam]],$A3, Table1[[AwayTeam]:[AwayTeam]], W$1, Table1[[ActualResult]:[ActualResult]], "REG"),0), "-", TEXT(SUMIFS(Table1[[HomeWon]:[HomeWon]], Table1[[GameIsOver]:[GameIsOver]],1,Table1[[AwayTeam]:[AwayTeam]],$A3, Table1[[HomeTeam]:[HomeTeam]], W$1, Table1[[ActualResult]:[ActualResult]], "OT") + SUMIFS(Table1[[AwayWon]:[AwayWon]], Table1[[GameIsOver]:[GameIsOver]],1,Table1[[HomeTeam]:[HomeTeam]],$A3, Table1[[AwayTeam]:[AwayTeam]], W$1, Table1[[ActualResult]:[ActualResult]], "OT") + SUMIFS(Table1[[HomeWon]:[HomeWon]], Table1[[GameIsOver]:[GameIsOver]],1,Table1[[AwayTeam]:[AwayTeam]],$A3, Table1[[HomeTeam]:[HomeTeam]], W$1, Table1[[ActualResult]:[ActualResult]], "SO") + SUMIFS(Table1[[AwayWon]:[AwayWon]], Table1[[GameIsOver]:[GameIsOver]],1,Table1[[HomeTeam]:[HomeTeam]],$A3, Table1[[AwayTeam]:[AwayTeam]], W$1, Table1[[ActualResult]:[ActualResult]], "SO"),0))</f>
        <v>0-0-0</v>
      </c>
      <c r="X3" s="43" t="str">
        <f>_xlfn.CONCAT(TEXT(SUMIFS(Table1[[AwayWon]:[AwayWon]], Table1[[GameIsOver]:[GameIsOver]],1,Table1[[AwayTeam]:[AwayTeam]],$A3, Table1[[HomeTeam]:[HomeTeam]], X$1) + SUMIFS(Table1[[HomeWon]:[HomeWon]], Table1[[GameIsOver]:[GameIsOver]],1,Table1[[HomeTeam]:[HomeTeam]],$A3, Table1[[AwayTeam]:[AwayTeam]], X$1),0), "-", TEXT(SUMIFS(Table1[[HomeWon]:[HomeWon]], Table1[[GameIsOver]:[GameIsOver]],1,Table1[[AwayTeam]:[AwayTeam]],$A3, Table1[[HomeTeam]:[HomeTeam]], X$1, Table1[[ActualResult]:[ActualResult]], "REG") + SUMIFS(Table1[[AwayWon]:[AwayWon]], Table1[[GameIsOver]:[GameIsOver]],1,Table1[[HomeTeam]:[HomeTeam]],$A3, Table1[[AwayTeam]:[AwayTeam]], X$1, Table1[[ActualResult]:[ActualResult]], "REG"),0), "-", TEXT(SUMIFS(Table1[[HomeWon]:[HomeWon]], Table1[[GameIsOver]:[GameIsOver]],1,Table1[[AwayTeam]:[AwayTeam]],$A3, Table1[[HomeTeam]:[HomeTeam]], X$1, Table1[[ActualResult]:[ActualResult]], "OT") + SUMIFS(Table1[[AwayWon]:[AwayWon]], Table1[[GameIsOver]:[GameIsOver]],1,Table1[[HomeTeam]:[HomeTeam]],$A3, Table1[[AwayTeam]:[AwayTeam]], X$1, Table1[[ActualResult]:[ActualResult]], "OT") + SUMIFS(Table1[[HomeWon]:[HomeWon]], Table1[[GameIsOver]:[GameIsOver]],1,Table1[[AwayTeam]:[AwayTeam]],$A3, Table1[[HomeTeam]:[HomeTeam]], X$1, Table1[[ActualResult]:[ActualResult]], "SO") + SUMIFS(Table1[[AwayWon]:[AwayWon]], Table1[[GameIsOver]:[GameIsOver]],1,Table1[[HomeTeam]:[HomeTeam]],$A3, Table1[[AwayTeam]:[AwayTeam]], X$1, Table1[[ActualResult]:[ActualResult]], "SO"),0))</f>
        <v>0-0-0</v>
      </c>
      <c r="Y3" s="45" t="str">
        <f>_xlfn.CONCAT(TEXT(SUMIFS(Table1[[AwayWon]:[AwayWon]], Table1[[GameIsOver]:[GameIsOver]],1,Table1[[AwayTeam]:[AwayTeam]],$A3, Table1[[HomeTeam]:[HomeTeam]], Y$1) + SUMIFS(Table1[[HomeWon]:[HomeWon]], Table1[[GameIsOver]:[GameIsOver]],1,Table1[[HomeTeam]:[HomeTeam]],$A3, Table1[[AwayTeam]:[AwayTeam]], Y$1),0), "-", TEXT(SUMIFS(Table1[[HomeWon]:[HomeWon]], Table1[[GameIsOver]:[GameIsOver]],1,Table1[[AwayTeam]:[AwayTeam]],$A3, Table1[[HomeTeam]:[HomeTeam]], Y$1, Table1[[ActualResult]:[ActualResult]], "REG") + SUMIFS(Table1[[AwayWon]:[AwayWon]], Table1[[GameIsOver]:[GameIsOver]],1,Table1[[HomeTeam]:[HomeTeam]],$A3, Table1[[AwayTeam]:[AwayTeam]], Y$1, Table1[[ActualResult]:[ActualResult]], "REG"),0), "-", TEXT(SUMIFS(Table1[[HomeWon]:[HomeWon]], Table1[[GameIsOver]:[GameIsOver]],1,Table1[[AwayTeam]:[AwayTeam]],$A3, Table1[[HomeTeam]:[HomeTeam]], Y$1, Table1[[ActualResult]:[ActualResult]], "OT") + SUMIFS(Table1[[AwayWon]:[AwayWon]], Table1[[GameIsOver]:[GameIsOver]],1,Table1[[HomeTeam]:[HomeTeam]],$A3, Table1[[AwayTeam]:[AwayTeam]], Y$1, Table1[[ActualResult]:[ActualResult]], "OT") + SUMIFS(Table1[[HomeWon]:[HomeWon]], Table1[[GameIsOver]:[GameIsOver]],1,Table1[[AwayTeam]:[AwayTeam]],$A3, Table1[[HomeTeam]:[HomeTeam]], Y$1, Table1[[ActualResult]:[ActualResult]], "SO") + SUMIFS(Table1[[AwayWon]:[AwayWon]], Table1[[GameIsOver]:[GameIsOver]],1,Table1[[HomeTeam]:[HomeTeam]],$A3, Table1[[AwayTeam]:[AwayTeam]], Y$1, Table1[[ActualResult]:[ActualResult]], "SO"),0))</f>
        <v>0-0-0</v>
      </c>
      <c r="Z3" s="43" t="str">
        <f>_xlfn.CONCAT(TEXT(SUMIFS(Table1[[AwayWon]:[AwayWon]], Table1[[GameIsOver]:[GameIsOver]],1,Table1[[AwayTeam]:[AwayTeam]],$A3, Table1[[HomeTeam]:[HomeTeam]], Z$1) + SUMIFS(Table1[[HomeWon]:[HomeWon]], Table1[[GameIsOver]:[GameIsOver]],1,Table1[[HomeTeam]:[HomeTeam]],$A3, Table1[[AwayTeam]:[AwayTeam]], Z$1),0), "-", TEXT(SUMIFS(Table1[[HomeWon]:[HomeWon]], Table1[[GameIsOver]:[GameIsOver]],1,Table1[[AwayTeam]:[AwayTeam]],$A3, Table1[[HomeTeam]:[HomeTeam]], Z$1, Table1[[ActualResult]:[ActualResult]], "REG") + SUMIFS(Table1[[AwayWon]:[AwayWon]], Table1[[GameIsOver]:[GameIsOver]],1,Table1[[HomeTeam]:[HomeTeam]],$A3, Table1[[AwayTeam]:[AwayTeam]], Z$1, Table1[[ActualResult]:[ActualResult]], "REG"),0), "-", TEXT(SUMIFS(Table1[[HomeWon]:[HomeWon]], Table1[[GameIsOver]:[GameIsOver]],1,Table1[[AwayTeam]:[AwayTeam]],$A3, Table1[[HomeTeam]:[HomeTeam]], Z$1, Table1[[ActualResult]:[ActualResult]], "OT") + SUMIFS(Table1[[AwayWon]:[AwayWon]], Table1[[GameIsOver]:[GameIsOver]],1,Table1[[HomeTeam]:[HomeTeam]],$A3, Table1[[AwayTeam]:[AwayTeam]], Z$1, Table1[[ActualResult]:[ActualResult]], "OT") + SUMIFS(Table1[[HomeWon]:[HomeWon]], Table1[[GameIsOver]:[GameIsOver]],1,Table1[[AwayTeam]:[AwayTeam]],$A3, Table1[[HomeTeam]:[HomeTeam]], Z$1, Table1[[ActualResult]:[ActualResult]], "SO") + SUMIFS(Table1[[AwayWon]:[AwayWon]], Table1[[GameIsOver]:[GameIsOver]],1,Table1[[HomeTeam]:[HomeTeam]],$A3, Table1[[AwayTeam]:[AwayTeam]], Z$1, Table1[[ActualResult]:[ActualResult]], "SO"),0))</f>
        <v>0-0-0</v>
      </c>
      <c r="AA3" s="43" t="str">
        <f>_xlfn.CONCAT(TEXT(SUMIFS(Table1[[AwayWon]:[AwayWon]], Table1[[GameIsOver]:[GameIsOver]],1,Table1[[AwayTeam]:[AwayTeam]],$A3, Table1[[HomeTeam]:[HomeTeam]], AA$1) + SUMIFS(Table1[[HomeWon]:[HomeWon]], Table1[[GameIsOver]:[GameIsOver]],1,Table1[[HomeTeam]:[HomeTeam]],$A3, Table1[[AwayTeam]:[AwayTeam]], AA$1),0), "-", TEXT(SUMIFS(Table1[[HomeWon]:[HomeWon]], Table1[[GameIsOver]:[GameIsOver]],1,Table1[[AwayTeam]:[AwayTeam]],$A3, Table1[[HomeTeam]:[HomeTeam]], AA$1, Table1[[ActualResult]:[ActualResult]], "REG") + SUMIFS(Table1[[AwayWon]:[AwayWon]], Table1[[GameIsOver]:[GameIsOver]],1,Table1[[HomeTeam]:[HomeTeam]],$A3, Table1[[AwayTeam]:[AwayTeam]], AA$1, Table1[[ActualResult]:[ActualResult]], "REG"),0), "-", TEXT(SUMIFS(Table1[[HomeWon]:[HomeWon]], Table1[[GameIsOver]:[GameIsOver]],1,Table1[[AwayTeam]:[AwayTeam]],$A3, Table1[[HomeTeam]:[HomeTeam]], AA$1, Table1[[ActualResult]:[ActualResult]], "OT") + SUMIFS(Table1[[AwayWon]:[AwayWon]], Table1[[GameIsOver]:[GameIsOver]],1,Table1[[HomeTeam]:[HomeTeam]],$A3, Table1[[AwayTeam]:[AwayTeam]], AA$1, Table1[[ActualResult]:[ActualResult]], "OT") + SUMIFS(Table1[[HomeWon]:[HomeWon]], Table1[[GameIsOver]:[GameIsOver]],1,Table1[[AwayTeam]:[AwayTeam]],$A3, Table1[[HomeTeam]:[HomeTeam]], AA$1, Table1[[ActualResult]:[ActualResult]], "SO") + SUMIFS(Table1[[AwayWon]:[AwayWon]], Table1[[GameIsOver]:[GameIsOver]],1,Table1[[HomeTeam]:[HomeTeam]],$A3, Table1[[AwayTeam]:[AwayTeam]], AA$1, Table1[[ActualResult]:[ActualResult]], "SO"),0))</f>
        <v>0-0-0</v>
      </c>
      <c r="AB3" s="43" t="str">
        <f>_xlfn.CONCAT(TEXT(SUMIFS(Table1[[AwayWon]:[AwayWon]], Table1[[GameIsOver]:[GameIsOver]],1,Table1[[AwayTeam]:[AwayTeam]],$A3, Table1[[HomeTeam]:[HomeTeam]], AB$1) + SUMIFS(Table1[[HomeWon]:[HomeWon]], Table1[[GameIsOver]:[GameIsOver]],1,Table1[[HomeTeam]:[HomeTeam]],$A3, Table1[[AwayTeam]:[AwayTeam]], AB$1),0), "-", TEXT(SUMIFS(Table1[[HomeWon]:[HomeWon]], Table1[[GameIsOver]:[GameIsOver]],1,Table1[[AwayTeam]:[AwayTeam]],$A3, Table1[[HomeTeam]:[HomeTeam]], AB$1, Table1[[ActualResult]:[ActualResult]], "REG") + SUMIFS(Table1[[AwayWon]:[AwayWon]], Table1[[GameIsOver]:[GameIsOver]],1,Table1[[HomeTeam]:[HomeTeam]],$A3, Table1[[AwayTeam]:[AwayTeam]], AB$1, Table1[[ActualResult]:[ActualResult]], "REG"),0), "-", TEXT(SUMIFS(Table1[[HomeWon]:[HomeWon]], Table1[[GameIsOver]:[GameIsOver]],1,Table1[[AwayTeam]:[AwayTeam]],$A3, Table1[[HomeTeam]:[HomeTeam]], AB$1, Table1[[ActualResult]:[ActualResult]], "OT") + SUMIFS(Table1[[AwayWon]:[AwayWon]], Table1[[GameIsOver]:[GameIsOver]],1,Table1[[HomeTeam]:[HomeTeam]],$A3, Table1[[AwayTeam]:[AwayTeam]], AB$1, Table1[[ActualResult]:[ActualResult]], "OT") + SUMIFS(Table1[[HomeWon]:[HomeWon]], Table1[[GameIsOver]:[GameIsOver]],1,Table1[[AwayTeam]:[AwayTeam]],$A3, Table1[[HomeTeam]:[HomeTeam]], AB$1, Table1[[ActualResult]:[ActualResult]], "SO") + SUMIFS(Table1[[AwayWon]:[AwayWon]], Table1[[GameIsOver]:[GameIsOver]],1,Table1[[HomeTeam]:[HomeTeam]],$A3, Table1[[AwayTeam]:[AwayTeam]], AB$1, Table1[[ActualResult]:[ActualResult]], "SO"),0))</f>
        <v>0-0-0</v>
      </c>
      <c r="AC3" s="43" t="str">
        <f>_xlfn.CONCAT(TEXT(SUMIFS(Table1[[AwayWon]:[AwayWon]], Table1[[GameIsOver]:[GameIsOver]],1,Table1[[AwayTeam]:[AwayTeam]],$A3, Table1[[HomeTeam]:[HomeTeam]], AC$1) + SUMIFS(Table1[[HomeWon]:[HomeWon]], Table1[[GameIsOver]:[GameIsOver]],1,Table1[[HomeTeam]:[HomeTeam]],$A3, Table1[[AwayTeam]:[AwayTeam]], AC$1),0), "-", TEXT(SUMIFS(Table1[[HomeWon]:[HomeWon]], Table1[[GameIsOver]:[GameIsOver]],1,Table1[[AwayTeam]:[AwayTeam]],$A3, Table1[[HomeTeam]:[HomeTeam]], AC$1, Table1[[ActualResult]:[ActualResult]], "REG") + SUMIFS(Table1[[AwayWon]:[AwayWon]], Table1[[GameIsOver]:[GameIsOver]],1,Table1[[HomeTeam]:[HomeTeam]],$A3, Table1[[AwayTeam]:[AwayTeam]], AC$1, Table1[[ActualResult]:[ActualResult]], "REG"),0), "-", TEXT(SUMIFS(Table1[[HomeWon]:[HomeWon]], Table1[[GameIsOver]:[GameIsOver]],1,Table1[[AwayTeam]:[AwayTeam]],$A3, Table1[[HomeTeam]:[HomeTeam]], AC$1, Table1[[ActualResult]:[ActualResult]], "OT") + SUMIFS(Table1[[AwayWon]:[AwayWon]], Table1[[GameIsOver]:[GameIsOver]],1,Table1[[HomeTeam]:[HomeTeam]],$A3, Table1[[AwayTeam]:[AwayTeam]], AC$1, Table1[[ActualResult]:[ActualResult]], "OT") + SUMIFS(Table1[[HomeWon]:[HomeWon]], Table1[[GameIsOver]:[GameIsOver]],1,Table1[[AwayTeam]:[AwayTeam]],$A3, Table1[[HomeTeam]:[HomeTeam]], AC$1, Table1[[ActualResult]:[ActualResult]], "SO") + SUMIFS(Table1[[AwayWon]:[AwayWon]], Table1[[GameIsOver]:[GameIsOver]],1,Table1[[HomeTeam]:[HomeTeam]],$A3, Table1[[AwayTeam]:[AwayTeam]], AC$1, Table1[[ActualResult]:[ActualResult]], "SO"),0))</f>
        <v>0-0-0</v>
      </c>
      <c r="AD3" s="43" t="str">
        <f>_xlfn.CONCAT(TEXT(SUMIFS(Table1[[AwayWon]:[AwayWon]], Table1[[GameIsOver]:[GameIsOver]],1,Table1[[AwayTeam]:[AwayTeam]],$A3, Table1[[HomeTeam]:[HomeTeam]], AD$1) + SUMIFS(Table1[[HomeWon]:[HomeWon]], Table1[[GameIsOver]:[GameIsOver]],1,Table1[[HomeTeam]:[HomeTeam]],$A3, Table1[[AwayTeam]:[AwayTeam]], AD$1),0), "-", TEXT(SUMIFS(Table1[[HomeWon]:[HomeWon]], Table1[[GameIsOver]:[GameIsOver]],1,Table1[[AwayTeam]:[AwayTeam]],$A3, Table1[[HomeTeam]:[HomeTeam]], AD$1, Table1[[ActualResult]:[ActualResult]], "REG") + SUMIFS(Table1[[AwayWon]:[AwayWon]], Table1[[GameIsOver]:[GameIsOver]],1,Table1[[HomeTeam]:[HomeTeam]],$A3, Table1[[AwayTeam]:[AwayTeam]], AD$1, Table1[[ActualResult]:[ActualResult]], "REG"),0), "-", TEXT(SUMIFS(Table1[[HomeWon]:[HomeWon]], Table1[[GameIsOver]:[GameIsOver]],1,Table1[[AwayTeam]:[AwayTeam]],$A3, Table1[[HomeTeam]:[HomeTeam]], AD$1, Table1[[ActualResult]:[ActualResult]], "OT") + SUMIFS(Table1[[AwayWon]:[AwayWon]], Table1[[GameIsOver]:[GameIsOver]],1,Table1[[HomeTeam]:[HomeTeam]],$A3, Table1[[AwayTeam]:[AwayTeam]], AD$1, Table1[[ActualResult]:[ActualResult]], "OT") + SUMIFS(Table1[[HomeWon]:[HomeWon]], Table1[[GameIsOver]:[GameIsOver]],1,Table1[[AwayTeam]:[AwayTeam]],$A3, Table1[[HomeTeam]:[HomeTeam]], AD$1, Table1[[ActualResult]:[ActualResult]], "SO") + SUMIFS(Table1[[AwayWon]:[AwayWon]], Table1[[GameIsOver]:[GameIsOver]],1,Table1[[HomeTeam]:[HomeTeam]],$A3, Table1[[AwayTeam]:[AwayTeam]], AD$1, Table1[[ActualResult]:[ActualResult]], "SO"),0))</f>
        <v>0-0-0</v>
      </c>
      <c r="AE3" s="43" t="str">
        <f>_xlfn.CONCAT(TEXT(SUMIFS(Table1[[AwayWon]:[AwayWon]], Table1[[GameIsOver]:[GameIsOver]],1,Table1[[AwayTeam]:[AwayTeam]],$A3, Table1[[HomeTeam]:[HomeTeam]], AE$1) + SUMIFS(Table1[[HomeWon]:[HomeWon]], Table1[[GameIsOver]:[GameIsOver]],1,Table1[[HomeTeam]:[HomeTeam]],$A3, Table1[[AwayTeam]:[AwayTeam]], AE$1),0), "-", TEXT(SUMIFS(Table1[[HomeWon]:[HomeWon]], Table1[[GameIsOver]:[GameIsOver]],1,Table1[[AwayTeam]:[AwayTeam]],$A3, Table1[[HomeTeam]:[HomeTeam]], AE$1, Table1[[ActualResult]:[ActualResult]], "REG") + SUMIFS(Table1[[AwayWon]:[AwayWon]], Table1[[GameIsOver]:[GameIsOver]],1,Table1[[HomeTeam]:[HomeTeam]],$A3, Table1[[AwayTeam]:[AwayTeam]], AE$1, Table1[[ActualResult]:[ActualResult]], "REG"),0), "-", TEXT(SUMIFS(Table1[[HomeWon]:[HomeWon]], Table1[[GameIsOver]:[GameIsOver]],1,Table1[[AwayTeam]:[AwayTeam]],$A3, Table1[[HomeTeam]:[HomeTeam]], AE$1, Table1[[ActualResult]:[ActualResult]], "OT") + SUMIFS(Table1[[AwayWon]:[AwayWon]], Table1[[GameIsOver]:[GameIsOver]],1,Table1[[HomeTeam]:[HomeTeam]],$A3, Table1[[AwayTeam]:[AwayTeam]], AE$1, Table1[[ActualResult]:[ActualResult]], "OT") + SUMIFS(Table1[[HomeWon]:[HomeWon]], Table1[[GameIsOver]:[GameIsOver]],1,Table1[[AwayTeam]:[AwayTeam]],$A3, Table1[[HomeTeam]:[HomeTeam]], AE$1, Table1[[ActualResult]:[ActualResult]], "SO") + SUMIFS(Table1[[AwayWon]:[AwayWon]], Table1[[GameIsOver]:[GameIsOver]],1,Table1[[HomeTeam]:[HomeTeam]],$A3, Table1[[AwayTeam]:[AwayTeam]], AE$1, Table1[[ActualResult]:[ActualResult]], "SO"),0))</f>
        <v>0-0-0</v>
      </c>
      <c r="AF3" s="43" t="str">
        <f>_xlfn.CONCAT(TEXT(SUMIFS(Table1[[AwayWon]:[AwayWon]], Table1[[GameIsOver]:[GameIsOver]],1,Table1[[AwayTeam]:[AwayTeam]],$A3, Table1[[HomeTeam]:[HomeTeam]], AF$1) + SUMIFS(Table1[[HomeWon]:[HomeWon]], Table1[[GameIsOver]:[GameIsOver]],1,Table1[[HomeTeam]:[HomeTeam]],$A3, Table1[[AwayTeam]:[AwayTeam]], AF$1),0), "-", TEXT(SUMIFS(Table1[[HomeWon]:[HomeWon]], Table1[[GameIsOver]:[GameIsOver]],1,Table1[[AwayTeam]:[AwayTeam]],$A3, Table1[[HomeTeam]:[HomeTeam]], AF$1, Table1[[ActualResult]:[ActualResult]], "REG") + SUMIFS(Table1[[AwayWon]:[AwayWon]], Table1[[GameIsOver]:[GameIsOver]],1,Table1[[HomeTeam]:[HomeTeam]],$A3, Table1[[AwayTeam]:[AwayTeam]], AF$1, Table1[[ActualResult]:[ActualResult]], "REG"),0), "-", TEXT(SUMIFS(Table1[[HomeWon]:[HomeWon]], Table1[[GameIsOver]:[GameIsOver]],1,Table1[[AwayTeam]:[AwayTeam]],$A3, Table1[[HomeTeam]:[HomeTeam]], AF$1, Table1[[ActualResult]:[ActualResult]], "OT") + SUMIFS(Table1[[AwayWon]:[AwayWon]], Table1[[GameIsOver]:[GameIsOver]],1,Table1[[HomeTeam]:[HomeTeam]],$A3, Table1[[AwayTeam]:[AwayTeam]], AF$1, Table1[[ActualResult]:[ActualResult]], "OT") + SUMIFS(Table1[[HomeWon]:[HomeWon]], Table1[[GameIsOver]:[GameIsOver]],1,Table1[[AwayTeam]:[AwayTeam]],$A3, Table1[[HomeTeam]:[HomeTeam]], AF$1, Table1[[ActualResult]:[ActualResult]], "SO") + SUMIFS(Table1[[AwayWon]:[AwayWon]], Table1[[GameIsOver]:[GameIsOver]],1,Table1[[HomeTeam]:[HomeTeam]],$A3, Table1[[AwayTeam]:[AwayTeam]], AF$1, Table1[[ActualResult]:[ActualResult]], "SO"),0))</f>
        <v>0-0-0</v>
      </c>
      <c r="AG3" s="43" t="str">
        <f>_xlfn.CONCAT(TEXT(SUMIFS(Table1[[AwayWon]:[AwayWon]], Table1[[GameIsOver]:[GameIsOver]],1,Table1[[AwayTeam]:[AwayTeam]],$A3, Table1[[HomeTeam]:[HomeTeam]], AG$1) + SUMIFS(Table1[[HomeWon]:[HomeWon]], Table1[[GameIsOver]:[GameIsOver]],1,Table1[[HomeTeam]:[HomeTeam]],$A3, Table1[[AwayTeam]:[AwayTeam]], AG$1),0), "-", TEXT(SUMIFS(Table1[[HomeWon]:[HomeWon]], Table1[[GameIsOver]:[GameIsOver]],1,Table1[[AwayTeam]:[AwayTeam]],$A3, Table1[[HomeTeam]:[HomeTeam]], AG$1, Table1[[ActualResult]:[ActualResult]], "REG") + SUMIFS(Table1[[AwayWon]:[AwayWon]], Table1[[GameIsOver]:[GameIsOver]],1,Table1[[HomeTeam]:[HomeTeam]],$A3, Table1[[AwayTeam]:[AwayTeam]], AG$1, Table1[[ActualResult]:[ActualResult]], "REG"),0), "-", TEXT(SUMIFS(Table1[[HomeWon]:[HomeWon]], Table1[[GameIsOver]:[GameIsOver]],1,Table1[[AwayTeam]:[AwayTeam]],$A3, Table1[[HomeTeam]:[HomeTeam]], AG$1, Table1[[ActualResult]:[ActualResult]], "OT") + SUMIFS(Table1[[AwayWon]:[AwayWon]], Table1[[GameIsOver]:[GameIsOver]],1,Table1[[HomeTeam]:[HomeTeam]],$A3, Table1[[AwayTeam]:[AwayTeam]], AG$1, Table1[[ActualResult]:[ActualResult]], "OT") + SUMIFS(Table1[[HomeWon]:[HomeWon]], Table1[[GameIsOver]:[GameIsOver]],1,Table1[[AwayTeam]:[AwayTeam]],$A3, Table1[[HomeTeam]:[HomeTeam]], AG$1, Table1[[ActualResult]:[ActualResult]], "SO") + SUMIFS(Table1[[AwayWon]:[AwayWon]], Table1[[GameIsOver]:[GameIsOver]],1,Table1[[HomeTeam]:[HomeTeam]],$A3, Table1[[AwayTeam]:[AwayTeam]], AG$1, Table1[[ActualResult]:[ActualResult]], "SO"),0))</f>
        <v>0-0-0</v>
      </c>
    </row>
    <row r="4" spans="1:33" x14ac:dyDescent="0.25">
      <c r="A4" s="17" t="s">
        <v>45</v>
      </c>
      <c r="B4" s="43" t="str">
        <f>_xlfn.CONCAT(TEXT(SUMIFS(Table1[[AwayWon]:[AwayWon]], Table1[[GameIsOver]:[GameIsOver]],1,Table1[[AwayTeam]:[AwayTeam]],$A4, Table1[[HomeTeam]:[HomeTeam]], B$1) + SUMIFS(Table1[[HomeWon]:[HomeWon]], Table1[[GameIsOver]:[GameIsOver]],1,Table1[[HomeTeam]:[HomeTeam]],$A4, Table1[[AwayTeam]:[AwayTeam]], B$1),0), "-", TEXT(SUMIFS(Table1[[HomeWon]:[HomeWon]], Table1[[GameIsOver]:[GameIsOver]],1,Table1[[AwayTeam]:[AwayTeam]],$A4, Table1[[HomeTeam]:[HomeTeam]], B$1, Table1[[ActualResult]:[ActualResult]], "REG") + SUMIFS(Table1[[AwayWon]:[AwayWon]], Table1[[GameIsOver]:[GameIsOver]],1,Table1[[HomeTeam]:[HomeTeam]],$A4, Table1[[AwayTeam]:[AwayTeam]], B$1, Table1[[ActualResult]:[ActualResult]], "REG"),0), "-", TEXT(SUMIFS(Table1[[HomeWon]:[HomeWon]], Table1[[GameIsOver]:[GameIsOver]],1,Table1[[AwayTeam]:[AwayTeam]],$A4, Table1[[HomeTeam]:[HomeTeam]], B$1, Table1[[ActualResult]:[ActualResult]], "OT") + SUMIFS(Table1[[AwayWon]:[AwayWon]], Table1[[GameIsOver]:[GameIsOver]],1,Table1[[HomeTeam]:[HomeTeam]],$A4, Table1[[AwayTeam]:[AwayTeam]], B$1, Table1[[ActualResult]:[ActualResult]], "OT") + SUMIFS(Table1[[HomeWon]:[HomeWon]], Table1[[GameIsOver]:[GameIsOver]],1,Table1[[AwayTeam]:[AwayTeam]],$A4, Table1[[HomeTeam]:[HomeTeam]], B$1, Table1[[ActualResult]:[ActualResult]], "SO") + SUMIFS(Table1[[AwayWon]:[AwayWon]], Table1[[GameIsOver]:[GameIsOver]],1,Table1[[HomeTeam]:[HomeTeam]],$A4, Table1[[AwayTeam]:[AwayTeam]], B$1, Table1[[ActualResult]:[ActualResult]], "SO"),0))</f>
        <v>0-0-0</v>
      </c>
      <c r="C4" s="43" t="str">
        <f>_xlfn.CONCAT(TEXT(SUMIFS(Table1[[AwayWon]:[AwayWon]], Table1[[GameIsOver]:[GameIsOver]],1,Table1[[AwayTeam]:[AwayTeam]],$A4, Table1[[HomeTeam]:[HomeTeam]], C$1) + SUMIFS(Table1[[HomeWon]:[HomeWon]], Table1[[GameIsOver]:[GameIsOver]],1,Table1[[HomeTeam]:[HomeTeam]],$A4, Table1[[AwayTeam]:[AwayTeam]], C$1),0), "-", TEXT(SUMIFS(Table1[[HomeWon]:[HomeWon]], Table1[[GameIsOver]:[GameIsOver]],1,Table1[[AwayTeam]:[AwayTeam]],$A4, Table1[[HomeTeam]:[HomeTeam]], C$1, Table1[[ActualResult]:[ActualResult]], "REG") + SUMIFS(Table1[[AwayWon]:[AwayWon]], Table1[[GameIsOver]:[GameIsOver]],1,Table1[[HomeTeam]:[HomeTeam]],$A4, Table1[[AwayTeam]:[AwayTeam]], C$1, Table1[[ActualResult]:[ActualResult]], "REG"),0), "-", TEXT(SUMIFS(Table1[[HomeWon]:[HomeWon]], Table1[[GameIsOver]:[GameIsOver]],1,Table1[[AwayTeam]:[AwayTeam]],$A4, Table1[[HomeTeam]:[HomeTeam]], C$1, Table1[[ActualResult]:[ActualResult]], "OT") + SUMIFS(Table1[[AwayWon]:[AwayWon]], Table1[[GameIsOver]:[GameIsOver]],1,Table1[[HomeTeam]:[HomeTeam]],$A4, Table1[[AwayTeam]:[AwayTeam]], C$1, Table1[[ActualResult]:[ActualResult]], "OT") + SUMIFS(Table1[[HomeWon]:[HomeWon]], Table1[[GameIsOver]:[GameIsOver]],1,Table1[[AwayTeam]:[AwayTeam]],$A4, Table1[[HomeTeam]:[HomeTeam]], C$1, Table1[[ActualResult]:[ActualResult]], "SO") + SUMIFS(Table1[[AwayWon]:[AwayWon]], Table1[[GameIsOver]:[GameIsOver]],1,Table1[[HomeTeam]:[HomeTeam]],$A4, Table1[[AwayTeam]:[AwayTeam]], C$1, Table1[[ActualResult]:[ActualResult]], "SO"),0))</f>
        <v>0-0-0</v>
      </c>
      <c r="D4" s="43" t="str">
        <f>_xlfn.CONCAT(TEXT(SUMIFS(Table1[[AwayWon]:[AwayWon]], Table1[[GameIsOver]:[GameIsOver]],1,Table1[[AwayTeam]:[AwayTeam]],$A4, Table1[[HomeTeam]:[HomeTeam]], D$1) + SUMIFS(Table1[[HomeWon]:[HomeWon]], Table1[[GameIsOver]:[GameIsOver]],1,Table1[[HomeTeam]:[HomeTeam]],$A4, Table1[[AwayTeam]:[AwayTeam]], D$1),0), "-", TEXT(SUMIFS(Table1[[HomeWon]:[HomeWon]], Table1[[GameIsOver]:[GameIsOver]],1,Table1[[AwayTeam]:[AwayTeam]],$A4, Table1[[HomeTeam]:[HomeTeam]], D$1, Table1[[ActualResult]:[ActualResult]], "REG") + SUMIFS(Table1[[AwayWon]:[AwayWon]], Table1[[GameIsOver]:[GameIsOver]],1,Table1[[HomeTeam]:[HomeTeam]],$A4, Table1[[AwayTeam]:[AwayTeam]], D$1, Table1[[ActualResult]:[ActualResult]], "REG"),0), "-", TEXT(SUMIFS(Table1[[HomeWon]:[HomeWon]], Table1[[GameIsOver]:[GameIsOver]],1,Table1[[AwayTeam]:[AwayTeam]],$A4, Table1[[HomeTeam]:[HomeTeam]], D$1, Table1[[ActualResult]:[ActualResult]], "OT") + SUMIFS(Table1[[AwayWon]:[AwayWon]], Table1[[GameIsOver]:[GameIsOver]],1,Table1[[HomeTeam]:[HomeTeam]],$A4, Table1[[AwayTeam]:[AwayTeam]], D$1, Table1[[ActualResult]:[ActualResult]], "OT") + SUMIFS(Table1[[HomeWon]:[HomeWon]], Table1[[GameIsOver]:[GameIsOver]],1,Table1[[AwayTeam]:[AwayTeam]],$A4, Table1[[HomeTeam]:[HomeTeam]], D$1, Table1[[ActualResult]:[ActualResult]], "SO") + SUMIFS(Table1[[AwayWon]:[AwayWon]], Table1[[GameIsOver]:[GameIsOver]],1,Table1[[HomeTeam]:[HomeTeam]],$A4, Table1[[AwayTeam]:[AwayTeam]], D$1, Table1[[ActualResult]:[ActualResult]], "SO"),0))</f>
        <v>0-0-0</v>
      </c>
      <c r="E4" s="43" t="str">
        <f>_xlfn.CONCAT(TEXT(SUMIFS(Table1[[AwayWon]:[AwayWon]], Table1[[GameIsOver]:[GameIsOver]],1,Table1[[AwayTeam]:[AwayTeam]],$A4, Table1[[HomeTeam]:[HomeTeam]], E$1) + SUMIFS(Table1[[HomeWon]:[HomeWon]], Table1[[GameIsOver]:[GameIsOver]],1,Table1[[HomeTeam]:[HomeTeam]],$A4, Table1[[AwayTeam]:[AwayTeam]], E$1),0), "-", TEXT(SUMIFS(Table1[[HomeWon]:[HomeWon]], Table1[[GameIsOver]:[GameIsOver]],1,Table1[[AwayTeam]:[AwayTeam]],$A4, Table1[[HomeTeam]:[HomeTeam]], E$1, Table1[[ActualResult]:[ActualResult]], "REG") + SUMIFS(Table1[[AwayWon]:[AwayWon]], Table1[[GameIsOver]:[GameIsOver]],1,Table1[[HomeTeam]:[HomeTeam]],$A4, Table1[[AwayTeam]:[AwayTeam]], E$1, Table1[[ActualResult]:[ActualResult]], "REG"),0), "-", TEXT(SUMIFS(Table1[[HomeWon]:[HomeWon]], Table1[[GameIsOver]:[GameIsOver]],1,Table1[[AwayTeam]:[AwayTeam]],$A4, Table1[[HomeTeam]:[HomeTeam]], E$1, Table1[[ActualResult]:[ActualResult]], "OT") + SUMIFS(Table1[[AwayWon]:[AwayWon]], Table1[[GameIsOver]:[GameIsOver]],1,Table1[[HomeTeam]:[HomeTeam]],$A4, Table1[[AwayTeam]:[AwayTeam]], E$1, Table1[[ActualResult]:[ActualResult]], "OT") + SUMIFS(Table1[[HomeWon]:[HomeWon]], Table1[[GameIsOver]:[GameIsOver]],1,Table1[[AwayTeam]:[AwayTeam]],$A4, Table1[[HomeTeam]:[HomeTeam]], E$1, Table1[[ActualResult]:[ActualResult]], "SO") + SUMIFS(Table1[[AwayWon]:[AwayWon]], Table1[[GameIsOver]:[GameIsOver]],1,Table1[[HomeTeam]:[HomeTeam]],$A4, Table1[[AwayTeam]:[AwayTeam]], E$1, Table1[[ActualResult]:[ActualResult]], "SO"),0))</f>
        <v>0-0-0</v>
      </c>
      <c r="F4" s="43" t="str">
        <f>_xlfn.CONCAT(TEXT(SUMIFS(Table1[[AwayWon]:[AwayWon]], Table1[[GameIsOver]:[GameIsOver]],1,Table1[[AwayTeam]:[AwayTeam]],$A4, Table1[[HomeTeam]:[HomeTeam]], F$1) + SUMIFS(Table1[[HomeWon]:[HomeWon]], Table1[[GameIsOver]:[GameIsOver]],1,Table1[[HomeTeam]:[HomeTeam]],$A4, Table1[[AwayTeam]:[AwayTeam]], F$1),0), "-", TEXT(SUMIFS(Table1[[HomeWon]:[HomeWon]], Table1[[GameIsOver]:[GameIsOver]],1,Table1[[AwayTeam]:[AwayTeam]],$A4, Table1[[HomeTeam]:[HomeTeam]], F$1, Table1[[ActualResult]:[ActualResult]], "REG") + SUMIFS(Table1[[AwayWon]:[AwayWon]], Table1[[GameIsOver]:[GameIsOver]],1,Table1[[HomeTeam]:[HomeTeam]],$A4, Table1[[AwayTeam]:[AwayTeam]], F$1, Table1[[ActualResult]:[ActualResult]], "REG"),0), "-", TEXT(SUMIFS(Table1[[HomeWon]:[HomeWon]], Table1[[GameIsOver]:[GameIsOver]],1,Table1[[AwayTeam]:[AwayTeam]],$A4, Table1[[HomeTeam]:[HomeTeam]], F$1, Table1[[ActualResult]:[ActualResult]], "OT") + SUMIFS(Table1[[AwayWon]:[AwayWon]], Table1[[GameIsOver]:[GameIsOver]],1,Table1[[HomeTeam]:[HomeTeam]],$A4, Table1[[AwayTeam]:[AwayTeam]], F$1, Table1[[ActualResult]:[ActualResult]], "OT") + SUMIFS(Table1[[HomeWon]:[HomeWon]], Table1[[GameIsOver]:[GameIsOver]],1,Table1[[AwayTeam]:[AwayTeam]],$A4, Table1[[HomeTeam]:[HomeTeam]], F$1, Table1[[ActualResult]:[ActualResult]], "SO") + SUMIFS(Table1[[AwayWon]:[AwayWon]], Table1[[GameIsOver]:[GameIsOver]],1,Table1[[HomeTeam]:[HomeTeam]],$A4, Table1[[AwayTeam]:[AwayTeam]], F$1, Table1[[ActualResult]:[ActualResult]], "SO"),0))</f>
        <v>0-0-0</v>
      </c>
      <c r="G4" s="43" t="str">
        <f>_xlfn.CONCAT(TEXT(SUMIFS(Table1[[AwayWon]:[AwayWon]], Table1[[GameIsOver]:[GameIsOver]],1,Table1[[AwayTeam]:[AwayTeam]],$A4, Table1[[HomeTeam]:[HomeTeam]], G$1) + SUMIFS(Table1[[HomeWon]:[HomeWon]], Table1[[GameIsOver]:[GameIsOver]],1,Table1[[HomeTeam]:[HomeTeam]],$A4, Table1[[AwayTeam]:[AwayTeam]], G$1),0), "-", TEXT(SUMIFS(Table1[[HomeWon]:[HomeWon]], Table1[[GameIsOver]:[GameIsOver]],1,Table1[[AwayTeam]:[AwayTeam]],$A4, Table1[[HomeTeam]:[HomeTeam]], G$1, Table1[[ActualResult]:[ActualResult]], "REG") + SUMIFS(Table1[[AwayWon]:[AwayWon]], Table1[[GameIsOver]:[GameIsOver]],1,Table1[[HomeTeam]:[HomeTeam]],$A4, Table1[[AwayTeam]:[AwayTeam]], G$1, Table1[[ActualResult]:[ActualResult]], "REG"),0), "-", TEXT(SUMIFS(Table1[[HomeWon]:[HomeWon]], Table1[[GameIsOver]:[GameIsOver]],1,Table1[[AwayTeam]:[AwayTeam]],$A4, Table1[[HomeTeam]:[HomeTeam]], G$1, Table1[[ActualResult]:[ActualResult]], "OT") + SUMIFS(Table1[[AwayWon]:[AwayWon]], Table1[[GameIsOver]:[GameIsOver]],1,Table1[[HomeTeam]:[HomeTeam]],$A4, Table1[[AwayTeam]:[AwayTeam]], G$1, Table1[[ActualResult]:[ActualResult]], "OT") + SUMIFS(Table1[[HomeWon]:[HomeWon]], Table1[[GameIsOver]:[GameIsOver]],1,Table1[[AwayTeam]:[AwayTeam]],$A4, Table1[[HomeTeam]:[HomeTeam]], G$1, Table1[[ActualResult]:[ActualResult]], "SO") + SUMIFS(Table1[[AwayWon]:[AwayWon]], Table1[[GameIsOver]:[GameIsOver]],1,Table1[[HomeTeam]:[HomeTeam]],$A4, Table1[[AwayTeam]:[AwayTeam]], G$1, Table1[[ActualResult]:[ActualResult]], "SO"),0))</f>
        <v>0-0-0</v>
      </c>
      <c r="H4" s="43" t="str">
        <f>_xlfn.CONCAT(TEXT(SUMIFS(Table1[[AwayWon]:[AwayWon]], Table1[[GameIsOver]:[GameIsOver]],1,Table1[[AwayTeam]:[AwayTeam]],$A4, Table1[[HomeTeam]:[HomeTeam]], H$1) + SUMIFS(Table1[[HomeWon]:[HomeWon]], Table1[[GameIsOver]:[GameIsOver]],1,Table1[[HomeTeam]:[HomeTeam]],$A4, Table1[[AwayTeam]:[AwayTeam]], H$1),0), "-", TEXT(SUMIFS(Table1[[HomeWon]:[HomeWon]], Table1[[GameIsOver]:[GameIsOver]],1,Table1[[AwayTeam]:[AwayTeam]],$A4, Table1[[HomeTeam]:[HomeTeam]], H$1, Table1[[ActualResult]:[ActualResult]], "REG") + SUMIFS(Table1[[AwayWon]:[AwayWon]], Table1[[GameIsOver]:[GameIsOver]],1,Table1[[HomeTeam]:[HomeTeam]],$A4, Table1[[AwayTeam]:[AwayTeam]], H$1, Table1[[ActualResult]:[ActualResult]], "REG"),0), "-", TEXT(SUMIFS(Table1[[HomeWon]:[HomeWon]], Table1[[GameIsOver]:[GameIsOver]],1,Table1[[AwayTeam]:[AwayTeam]],$A4, Table1[[HomeTeam]:[HomeTeam]], H$1, Table1[[ActualResult]:[ActualResult]], "OT") + SUMIFS(Table1[[AwayWon]:[AwayWon]], Table1[[GameIsOver]:[GameIsOver]],1,Table1[[HomeTeam]:[HomeTeam]],$A4, Table1[[AwayTeam]:[AwayTeam]], H$1, Table1[[ActualResult]:[ActualResult]], "OT") + SUMIFS(Table1[[HomeWon]:[HomeWon]], Table1[[GameIsOver]:[GameIsOver]],1,Table1[[AwayTeam]:[AwayTeam]],$A4, Table1[[HomeTeam]:[HomeTeam]], H$1, Table1[[ActualResult]:[ActualResult]], "SO") + SUMIFS(Table1[[AwayWon]:[AwayWon]], Table1[[GameIsOver]:[GameIsOver]],1,Table1[[HomeTeam]:[HomeTeam]],$A4, Table1[[AwayTeam]:[AwayTeam]], H$1, Table1[[ActualResult]:[ActualResult]], "SO"),0))</f>
        <v>2-0-0</v>
      </c>
      <c r="I4" s="45" t="str">
        <f>_xlfn.CONCAT(TEXT(SUMIFS(Table1[[AwayWon]:[AwayWon]], Table1[[GameIsOver]:[GameIsOver]],1,Table1[[AwayTeam]:[AwayTeam]],$A4, Table1[[HomeTeam]:[HomeTeam]], I$1) + SUMIFS(Table1[[HomeWon]:[HomeWon]], Table1[[GameIsOver]:[GameIsOver]],1,Table1[[HomeTeam]:[HomeTeam]],$A4, Table1[[AwayTeam]:[AwayTeam]], I$1),0), "-", TEXT(SUMIFS(Table1[[HomeWon]:[HomeWon]], Table1[[GameIsOver]:[GameIsOver]],1,Table1[[AwayTeam]:[AwayTeam]],$A4, Table1[[HomeTeam]:[HomeTeam]], I$1, Table1[[ActualResult]:[ActualResult]], "REG") + SUMIFS(Table1[[AwayWon]:[AwayWon]], Table1[[GameIsOver]:[GameIsOver]],1,Table1[[HomeTeam]:[HomeTeam]],$A4, Table1[[AwayTeam]:[AwayTeam]], I$1, Table1[[ActualResult]:[ActualResult]], "REG"),0), "-", TEXT(SUMIFS(Table1[[HomeWon]:[HomeWon]], Table1[[GameIsOver]:[GameIsOver]],1,Table1[[AwayTeam]:[AwayTeam]],$A4, Table1[[HomeTeam]:[HomeTeam]], I$1, Table1[[ActualResult]:[ActualResult]], "OT") + SUMIFS(Table1[[AwayWon]:[AwayWon]], Table1[[GameIsOver]:[GameIsOver]],1,Table1[[HomeTeam]:[HomeTeam]],$A4, Table1[[AwayTeam]:[AwayTeam]], I$1, Table1[[ActualResult]:[ActualResult]], "OT") + SUMIFS(Table1[[HomeWon]:[HomeWon]], Table1[[GameIsOver]:[GameIsOver]],1,Table1[[AwayTeam]:[AwayTeam]],$A4, Table1[[HomeTeam]:[HomeTeam]], I$1, Table1[[ActualResult]:[ActualResult]], "SO") + SUMIFS(Table1[[AwayWon]:[AwayWon]], Table1[[GameIsOver]:[GameIsOver]],1,Table1[[HomeTeam]:[HomeTeam]],$A4, Table1[[AwayTeam]:[AwayTeam]], I$1, Table1[[ActualResult]:[ActualResult]], "SO"),0))</f>
        <v>0-0-0</v>
      </c>
      <c r="J4" s="43" t="str">
        <f>_xlfn.CONCAT(TEXT(SUMIFS(Table1[[AwayWon]:[AwayWon]], Table1[[GameIsOver]:[GameIsOver]],1,Table1[[AwayTeam]:[AwayTeam]],$A4, Table1[[HomeTeam]:[HomeTeam]], J$1) + SUMIFS(Table1[[HomeWon]:[HomeWon]], Table1[[GameIsOver]:[GameIsOver]],1,Table1[[HomeTeam]:[HomeTeam]],$A4, Table1[[AwayTeam]:[AwayTeam]], J$1),0), "-", TEXT(SUMIFS(Table1[[HomeWon]:[HomeWon]], Table1[[GameIsOver]:[GameIsOver]],1,Table1[[AwayTeam]:[AwayTeam]],$A4, Table1[[HomeTeam]:[HomeTeam]], J$1, Table1[[ActualResult]:[ActualResult]], "REG") + SUMIFS(Table1[[AwayWon]:[AwayWon]], Table1[[GameIsOver]:[GameIsOver]],1,Table1[[HomeTeam]:[HomeTeam]],$A4, Table1[[AwayTeam]:[AwayTeam]], J$1, Table1[[ActualResult]:[ActualResult]], "REG"),0), "-", TEXT(SUMIFS(Table1[[HomeWon]:[HomeWon]], Table1[[GameIsOver]:[GameIsOver]],1,Table1[[AwayTeam]:[AwayTeam]],$A4, Table1[[HomeTeam]:[HomeTeam]], J$1, Table1[[ActualResult]:[ActualResult]], "OT") + SUMIFS(Table1[[AwayWon]:[AwayWon]], Table1[[GameIsOver]:[GameIsOver]],1,Table1[[HomeTeam]:[HomeTeam]],$A4, Table1[[AwayTeam]:[AwayTeam]], J$1, Table1[[ActualResult]:[ActualResult]], "OT") + SUMIFS(Table1[[HomeWon]:[HomeWon]], Table1[[GameIsOver]:[GameIsOver]],1,Table1[[AwayTeam]:[AwayTeam]],$A4, Table1[[HomeTeam]:[HomeTeam]], J$1, Table1[[ActualResult]:[ActualResult]], "SO") + SUMIFS(Table1[[AwayWon]:[AwayWon]], Table1[[GameIsOver]:[GameIsOver]],1,Table1[[HomeTeam]:[HomeTeam]],$A4, Table1[[AwayTeam]:[AwayTeam]], J$1, Table1[[ActualResult]:[ActualResult]], "SO"),0))</f>
        <v>0-0-0</v>
      </c>
      <c r="K4" s="43" t="str">
        <f>_xlfn.CONCAT(TEXT(SUMIFS(Table1[[AwayWon]:[AwayWon]], Table1[[GameIsOver]:[GameIsOver]],1,Table1[[AwayTeam]:[AwayTeam]],$A4, Table1[[HomeTeam]:[HomeTeam]], K$1) + SUMIFS(Table1[[HomeWon]:[HomeWon]], Table1[[GameIsOver]:[GameIsOver]],1,Table1[[HomeTeam]:[HomeTeam]],$A4, Table1[[AwayTeam]:[AwayTeam]], K$1),0), "-", TEXT(SUMIFS(Table1[[HomeWon]:[HomeWon]], Table1[[GameIsOver]:[GameIsOver]],1,Table1[[AwayTeam]:[AwayTeam]],$A4, Table1[[HomeTeam]:[HomeTeam]], K$1, Table1[[ActualResult]:[ActualResult]], "REG") + SUMIFS(Table1[[AwayWon]:[AwayWon]], Table1[[GameIsOver]:[GameIsOver]],1,Table1[[HomeTeam]:[HomeTeam]],$A4, Table1[[AwayTeam]:[AwayTeam]], K$1, Table1[[ActualResult]:[ActualResult]], "REG"),0), "-", TEXT(SUMIFS(Table1[[HomeWon]:[HomeWon]], Table1[[GameIsOver]:[GameIsOver]],1,Table1[[AwayTeam]:[AwayTeam]],$A4, Table1[[HomeTeam]:[HomeTeam]], K$1, Table1[[ActualResult]:[ActualResult]], "OT") + SUMIFS(Table1[[AwayWon]:[AwayWon]], Table1[[GameIsOver]:[GameIsOver]],1,Table1[[HomeTeam]:[HomeTeam]],$A4, Table1[[AwayTeam]:[AwayTeam]], K$1, Table1[[ActualResult]:[ActualResult]], "OT") + SUMIFS(Table1[[HomeWon]:[HomeWon]], Table1[[GameIsOver]:[GameIsOver]],1,Table1[[AwayTeam]:[AwayTeam]],$A4, Table1[[HomeTeam]:[HomeTeam]], K$1, Table1[[ActualResult]:[ActualResult]], "SO") + SUMIFS(Table1[[AwayWon]:[AwayWon]], Table1[[GameIsOver]:[GameIsOver]],1,Table1[[HomeTeam]:[HomeTeam]],$A4, Table1[[AwayTeam]:[AwayTeam]], K$1, Table1[[ActualResult]:[ActualResult]], "SO"),0))</f>
        <v>0-0-0</v>
      </c>
      <c r="L4" s="43" t="str">
        <f>_xlfn.CONCAT(TEXT(SUMIFS(Table1[[AwayWon]:[AwayWon]], Table1[[GameIsOver]:[GameIsOver]],1,Table1[[AwayTeam]:[AwayTeam]],$A4, Table1[[HomeTeam]:[HomeTeam]], L$1) + SUMIFS(Table1[[HomeWon]:[HomeWon]], Table1[[GameIsOver]:[GameIsOver]],1,Table1[[HomeTeam]:[HomeTeam]],$A4, Table1[[AwayTeam]:[AwayTeam]], L$1),0), "-", TEXT(SUMIFS(Table1[[HomeWon]:[HomeWon]], Table1[[GameIsOver]:[GameIsOver]],1,Table1[[AwayTeam]:[AwayTeam]],$A4, Table1[[HomeTeam]:[HomeTeam]], L$1, Table1[[ActualResult]:[ActualResult]], "REG") + SUMIFS(Table1[[AwayWon]:[AwayWon]], Table1[[GameIsOver]:[GameIsOver]],1,Table1[[HomeTeam]:[HomeTeam]],$A4, Table1[[AwayTeam]:[AwayTeam]], L$1, Table1[[ActualResult]:[ActualResult]], "REG"),0), "-", TEXT(SUMIFS(Table1[[HomeWon]:[HomeWon]], Table1[[GameIsOver]:[GameIsOver]],1,Table1[[AwayTeam]:[AwayTeam]],$A4, Table1[[HomeTeam]:[HomeTeam]], L$1, Table1[[ActualResult]:[ActualResult]], "OT") + SUMIFS(Table1[[AwayWon]:[AwayWon]], Table1[[GameIsOver]:[GameIsOver]],1,Table1[[HomeTeam]:[HomeTeam]],$A4, Table1[[AwayTeam]:[AwayTeam]], L$1, Table1[[ActualResult]:[ActualResult]], "OT") + SUMIFS(Table1[[HomeWon]:[HomeWon]], Table1[[GameIsOver]:[GameIsOver]],1,Table1[[AwayTeam]:[AwayTeam]],$A4, Table1[[HomeTeam]:[HomeTeam]], L$1, Table1[[ActualResult]:[ActualResult]], "SO") + SUMIFS(Table1[[AwayWon]:[AwayWon]], Table1[[GameIsOver]:[GameIsOver]],1,Table1[[HomeTeam]:[HomeTeam]],$A4, Table1[[AwayTeam]:[AwayTeam]], L$1, Table1[[ActualResult]:[ActualResult]], "SO"),0))</f>
        <v>0-0-0</v>
      </c>
      <c r="M4" s="43" t="str">
        <f>_xlfn.CONCAT(TEXT(SUMIFS(Table1[[AwayWon]:[AwayWon]], Table1[[GameIsOver]:[GameIsOver]],1,Table1[[AwayTeam]:[AwayTeam]],$A4, Table1[[HomeTeam]:[HomeTeam]], M$1) + SUMIFS(Table1[[HomeWon]:[HomeWon]], Table1[[GameIsOver]:[GameIsOver]],1,Table1[[HomeTeam]:[HomeTeam]],$A4, Table1[[AwayTeam]:[AwayTeam]], M$1),0), "-", TEXT(SUMIFS(Table1[[HomeWon]:[HomeWon]], Table1[[GameIsOver]:[GameIsOver]],1,Table1[[AwayTeam]:[AwayTeam]],$A4, Table1[[HomeTeam]:[HomeTeam]], M$1, Table1[[ActualResult]:[ActualResult]], "REG") + SUMIFS(Table1[[AwayWon]:[AwayWon]], Table1[[GameIsOver]:[GameIsOver]],1,Table1[[HomeTeam]:[HomeTeam]],$A4, Table1[[AwayTeam]:[AwayTeam]], M$1, Table1[[ActualResult]:[ActualResult]], "REG"),0), "-", TEXT(SUMIFS(Table1[[HomeWon]:[HomeWon]], Table1[[GameIsOver]:[GameIsOver]],1,Table1[[AwayTeam]:[AwayTeam]],$A4, Table1[[HomeTeam]:[HomeTeam]], M$1, Table1[[ActualResult]:[ActualResult]], "OT") + SUMIFS(Table1[[AwayWon]:[AwayWon]], Table1[[GameIsOver]:[GameIsOver]],1,Table1[[HomeTeam]:[HomeTeam]],$A4, Table1[[AwayTeam]:[AwayTeam]], M$1, Table1[[ActualResult]:[ActualResult]], "OT") + SUMIFS(Table1[[HomeWon]:[HomeWon]], Table1[[GameIsOver]:[GameIsOver]],1,Table1[[AwayTeam]:[AwayTeam]],$A4, Table1[[HomeTeam]:[HomeTeam]], M$1, Table1[[ActualResult]:[ActualResult]], "SO") + SUMIFS(Table1[[AwayWon]:[AwayWon]], Table1[[GameIsOver]:[GameIsOver]],1,Table1[[HomeTeam]:[HomeTeam]],$A4, Table1[[AwayTeam]:[AwayTeam]], M$1, Table1[[ActualResult]:[ActualResult]], "SO"),0))</f>
        <v>0-0-0</v>
      </c>
      <c r="N4" s="43" t="str">
        <f>_xlfn.CONCAT(TEXT(SUMIFS(Table1[[AwayWon]:[AwayWon]], Table1[[GameIsOver]:[GameIsOver]],1,Table1[[AwayTeam]:[AwayTeam]],$A4, Table1[[HomeTeam]:[HomeTeam]], N$1) + SUMIFS(Table1[[HomeWon]:[HomeWon]], Table1[[GameIsOver]:[GameIsOver]],1,Table1[[HomeTeam]:[HomeTeam]],$A4, Table1[[AwayTeam]:[AwayTeam]], N$1),0), "-", TEXT(SUMIFS(Table1[[HomeWon]:[HomeWon]], Table1[[GameIsOver]:[GameIsOver]],1,Table1[[AwayTeam]:[AwayTeam]],$A4, Table1[[HomeTeam]:[HomeTeam]], N$1, Table1[[ActualResult]:[ActualResult]], "REG") + SUMIFS(Table1[[AwayWon]:[AwayWon]], Table1[[GameIsOver]:[GameIsOver]],1,Table1[[HomeTeam]:[HomeTeam]],$A4, Table1[[AwayTeam]:[AwayTeam]], N$1, Table1[[ActualResult]:[ActualResult]], "REG"),0), "-", TEXT(SUMIFS(Table1[[HomeWon]:[HomeWon]], Table1[[GameIsOver]:[GameIsOver]],1,Table1[[AwayTeam]:[AwayTeam]],$A4, Table1[[HomeTeam]:[HomeTeam]], N$1, Table1[[ActualResult]:[ActualResult]], "OT") + SUMIFS(Table1[[AwayWon]:[AwayWon]], Table1[[GameIsOver]:[GameIsOver]],1,Table1[[HomeTeam]:[HomeTeam]],$A4, Table1[[AwayTeam]:[AwayTeam]], N$1, Table1[[ActualResult]:[ActualResult]], "OT") + SUMIFS(Table1[[HomeWon]:[HomeWon]], Table1[[GameIsOver]:[GameIsOver]],1,Table1[[AwayTeam]:[AwayTeam]],$A4, Table1[[HomeTeam]:[HomeTeam]], N$1, Table1[[ActualResult]:[ActualResult]], "SO") + SUMIFS(Table1[[AwayWon]:[AwayWon]], Table1[[GameIsOver]:[GameIsOver]],1,Table1[[HomeTeam]:[HomeTeam]],$A4, Table1[[AwayTeam]:[AwayTeam]], N$1, Table1[[ActualResult]:[ActualResult]], "SO"),0))</f>
        <v>0-0-0</v>
      </c>
      <c r="O4" s="43" t="str">
        <f>_xlfn.CONCAT(TEXT(SUMIFS(Table1[[AwayWon]:[AwayWon]], Table1[[GameIsOver]:[GameIsOver]],1,Table1[[AwayTeam]:[AwayTeam]],$A4, Table1[[HomeTeam]:[HomeTeam]], O$1) + SUMIFS(Table1[[HomeWon]:[HomeWon]], Table1[[GameIsOver]:[GameIsOver]],1,Table1[[HomeTeam]:[HomeTeam]],$A4, Table1[[AwayTeam]:[AwayTeam]], O$1),0), "-", TEXT(SUMIFS(Table1[[HomeWon]:[HomeWon]], Table1[[GameIsOver]:[GameIsOver]],1,Table1[[AwayTeam]:[AwayTeam]],$A4, Table1[[HomeTeam]:[HomeTeam]], O$1, Table1[[ActualResult]:[ActualResult]], "REG") + SUMIFS(Table1[[AwayWon]:[AwayWon]], Table1[[GameIsOver]:[GameIsOver]],1,Table1[[HomeTeam]:[HomeTeam]],$A4, Table1[[AwayTeam]:[AwayTeam]], O$1, Table1[[ActualResult]:[ActualResult]], "REG"),0), "-", TEXT(SUMIFS(Table1[[HomeWon]:[HomeWon]], Table1[[GameIsOver]:[GameIsOver]],1,Table1[[AwayTeam]:[AwayTeam]],$A4, Table1[[HomeTeam]:[HomeTeam]], O$1, Table1[[ActualResult]:[ActualResult]], "OT") + SUMIFS(Table1[[AwayWon]:[AwayWon]], Table1[[GameIsOver]:[GameIsOver]],1,Table1[[HomeTeam]:[HomeTeam]],$A4, Table1[[AwayTeam]:[AwayTeam]], O$1, Table1[[ActualResult]:[ActualResult]], "OT") + SUMIFS(Table1[[HomeWon]:[HomeWon]], Table1[[GameIsOver]:[GameIsOver]],1,Table1[[AwayTeam]:[AwayTeam]],$A4, Table1[[HomeTeam]:[HomeTeam]], O$1, Table1[[ActualResult]:[ActualResult]], "SO") + SUMIFS(Table1[[AwayWon]:[AwayWon]], Table1[[GameIsOver]:[GameIsOver]],1,Table1[[HomeTeam]:[HomeTeam]],$A4, Table1[[AwayTeam]:[AwayTeam]], O$1, Table1[[ActualResult]:[ActualResult]], "SO"),0))</f>
        <v>0-0-0</v>
      </c>
      <c r="P4" s="43" t="str">
        <f>_xlfn.CONCAT(TEXT(SUMIFS(Table1[[AwayWon]:[AwayWon]], Table1[[GameIsOver]:[GameIsOver]],1,Table1[[AwayTeam]:[AwayTeam]],$A4, Table1[[HomeTeam]:[HomeTeam]], P$1) + SUMIFS(Table1[[HomeWon]:[HomeWon]], Table1[[GameIsOver]:[GameIsOver]],1,Table1[[HomeTeam]:[HomeTeam]],$A4, Table1[[AwayTeam]:[AwayTeam]], P$1),0), "-", TEXT(SUMIFS(Table1[[HomeWon]:[HomeWon]], Table1[[GameIsOver]:[GameIsOver]],1,Table1[[AwayTeam]:[AwayTeam]],$A4, Table1[[HomeTeam]:[HomeTeam]], P$1, Table1[[ActualResult]:[ActualResult]], "REG") + SUMIFS(Table1[[AwayWon]:[AwayWon]], Table1[[GameIsOver]:[GameIsOver]],1,Table1[[HomeTeam]:[HomeTeam]],$A4, Table1[[AwayTeam]:[AwayTeam]], P$1, Table1[[ActualResult]:[ActualResult]], "REG"),0), "-", TEXT(SUMIFS(Table1[[HomeWon]:[HomeWon]], Table1[[GameIsOver]:[GameIsOver]],1,Table1[[AwayTeam]:[AwayTeam]],$A4, Table1[[HomeTeam]:[HomeTeam]], P$1, Table1[[ActualResult]:[ActualResult]], "OT") + SUMIFS(Table1[[AwayWon]:[AwayWon]], Table1[[GameIsOver]:[GameIsOver]],1,Table1[[HomeTeam]:[HomeTeam]],$A4, Table1[[AwayTeam]:[AwayTeam]], P$1, Table1[[ActualResult]:[ActualResult]], "OT") + SUMIFS(Table1[[HomeWon]:[HomeWon]], Table1[[GameIsOver]:[GameIsOver]],1,Table1[[AwayTeam]:[AwayTeam]],$A4, Table1[[HomeTeam]:[HomeTeam]], P$1, Table1[[ActualResult]:[ActualResult]], "SO") + SUMIFS(Table1[[AwayWon]:[AwayWon]], Table1[[GameIsOver]:[GameIsOver]],1,Table1[[HomeTeam]:[HomeTeam]],$A4, Table1[[AwayTeam]:[AwayTeam]], P$1, Table1[[ActualResult]:[ActualResult]], "SO"),0))</f>
        <v>0-0-0</v>
      </c>
      <c r="Q4" s="45" t="str">
        <f>_xlfn.CONCAT(TEXT(SUMIFS(Table1[[AwayWon]:[AwayWon]], Table1[[GameIsOver]:[GameIsOver]],1,Table1[[AwayTeam]:[AwayTeam]],$A4, Table1[[HomeTeam]:[HomeTeam]], Q$1) + SUMIFS(Table1[[HomeWon]:[HomeWon]], Table1[[GameIsOver]:[GameIsOver]],1,Table1[[HomeTeam]:[HomeTeam]],$A4, Table1[[AwayTeam]:[AwayTeam]], Q$1),0), "-", TEXT(SUMIFS(Table1[[HomeWon]:[HomeWon]], Table1[[GameIsOver]:[GameIsOver]],1,Table1[[AwayTeam]:[AwayTeam]],$A4, Table1[[HomeTeam]:[HomeTeam]], Q$1, Table1[[ActualResult]:[ActualResult]], "REG") + SUMIFS(Table1[[AwayWon]:[AwayWon]], Table1[[GameIsOver]:[GameIsOver]],1,Table1[[HomeTeam]:[HomeTeam]],$A4, Table1[[AwayTeam]:[AwayTeam]], Q$1, Table1[[ActualResult]:[ActualResult]], "REG"),0), "-", TEXT(SUMIFS(Table1[[HomeWon]:[HomeWon]], Table1[[GameIsOver]:[GameIsOver]],1,Table1[[AwayTeam]:[AwayTeam]],$A4, Table1[[HomeTeam]:[HomeTeam]], Q$1, Table1[[ActualResult]:[ActualResult]], "OT") + SUMIFS(Table1[[AwayWon]:[AwayWon]], Table1[[GameIsOver]:[GameIsOver]],1,Table1[[HomeTeam]:[HomeTeam]],$A4, Table1[[AwayTeam]:[AwayTeam]], Q$1, Table1[[ActualResult]:[ActualResult]], "OT") + SUMIFS(Table1[[HomeWon]:[HomeWon]], Table1[[GameIsOver]:[GameIsOver]],1,Table1[[AwayTeam]:[AwayTeam]],$A4, Table1[[HomeTeam]:[HomeTeam]], Q$1, Table1[[ActualResult]:[ActualResult]], "SO") + SUMIFS(Table1[[AwayWon]:[AwayWon]], Table1[[GameIsOver]:[GameIsOver]],1,Table1[[HomeTeam]:[HomeTeam]],$A4, Table1[[AwayTeam]:[AwayTeam]], Q$1, Table1[[ActualResult]:[ActualResult]], "SO"),0))</f>
        <v>0-0-0</v>
      </c>
      <c r="R4" s="43" t="str">
        <f>_xlfn.CONCAT(TEXT(SUMIFS(Table1[[AwayWon]:[AwayWon]], Table1[[GameIsOver]:[GameIsOver]],1,Table1[[AwayTeam]:[AwayTeam]],$A4, Table1[[HomeTeam]:[HomeTeam]], R$1) + SUMIFS(Table1[[HomeWon]:[HomeWon]], Table1[[GameIsOver]:[GameIsOver]],1,Table1[[HomeTeam]:[HomeTeam]],$A4, Table1[[AwayTeam]:[AwayTeam]], R$1),0), "-", TEXT(SUMIFS(Table1[[HomeWon]:[HomeWon]], Table1[[GameIsOver]:[GameIsOver]],1,Table1[[AwayTeam]:[AwayTeam]],$A4, Table1[[HomeTeam]:[HomeTeam]], R$1, Table1[[ActualResult]:[ActualResult]], "REG") + SUMIFS(Table1[[AwayWon]:[AwayWon]], Table1[[GameIsOver]:[GameIsOver]],1,Table1[[HomeTeam]:[HomeTeam]],$A4, Table1[[AwayTeam]:[AwayTeam]], R$1, Table1[[ActualResult]:[ActualResult]], "REG"),0), "-", TEXT(SUMIFS(Table1[[HomeWon]:[HomeWon]], Table1[[GameIsOver]:[GameIsOver]],1,Table1[[AwayTeam]:[AwayTeam]],$A4, Table1[[HomeTeam]:[HomeTeam]], R$1, Table1[[ActualResult]:[ActualResult]], "OT") + SUMIFS(Table1[[AwayWon]:[AwayWon]], Table1[[GameIsOver]:[GameIsOver]],1,Table1[[HomeTeam]:[HomeTeam]],$A4, Table1[[AwayTeam]:[AwayTeam]], R$1, Table1[[ActualResult]:[ActualResult]], "OT") + SUMIFS(Table1[[HomeWon]:[HomeWon]], Table1[[GameIsOver]:[GameIsOver]],1,Table1[[AwayTeam]:[AwayTeam]],$A4, Table1[[HomeTeam]:[HomeTeam]], R$1, Table1[[ActualResult]:[ActualResult]], "SO") + SUMIFS(Table1[[AwayWon]:[AwayWon]], Table1[[GameIsOver]:[GameIsOver]],1,Table1[[HomeTeam]:[HomeTeam]],$A4, Table1[[AwayTeam]:[AwayTeam]], R$1, Table1[[ActualResult]:[ActualResult]], "SO"),0))</f>
        <v>0-0-0</v>
      </c>
      <c r="S4" s="43" t="str">
        <f>_xlfn.CONCAT(TEXT(SUMIFS(Table1[[AwayWon]:[AwayWon]], Table1[[GameIsOver]:[GameIsOver]],1,Table1[[AwayTeam]:[AwayTeam]],$A4, Table1[[HomeTeam]:[HomeTeam]], S$1) + SUMIFS(Table1[[HomeWon]:[HomeWon]], Table1[[GameIsOver]:[GameIsOver]],1,Table1[[HomeTeam]:[HomeTeam]],$A4, Table1[[AwayTeam]:[AwayTeam]], S$1),0), "-", TEXT(SUMIFS(Table1[[HomeWon]:[HomeWon]], Table1[[GameIsOver]:[GameIsOver]],1,Table1[[AwayTeam]:[AwayTeam]],$A4, Table1[[HomeTeam]:[HomeTeam]], S$1, Table1[[ActualResult]:[ActualResult]], "REG") + SUMIFS(Table1[[AwayWon]:[AwayWon]], Table1[[GameIsOver]:[GameIsOver]],1,Table1[[HomeTeam]:[HomeTeam]],$A4, Table1[[AwayTeam]:[AwayTeam]], S$1, Table1[[ActualResult]:[ActualResult]], "REG"),0), "-", TEXT(SUMIFS(Table1[[HomeWon]:[HomeWon]], Table1[[GameIsOver]:[GameIsOver]],1,Table1[[AwayTeam]:[AwayTeam]],$A4, Table1[[HomeTeam]:[HomeTeam]], S$1, Table1[[ActualResult]:[ActualResult]], "OT") + SUMIFS(Table1[[AwayWon]:[AwayWon]], Table1[[GameIsOver]:[GameIsOver]],1,Table1[[HomeTeam]:[HomeTeam]],$A4, Table1[[AwayTeam]:[AwayTeam]], S$1, Table1[[ActualResult]:[ActualResult]], "OT") + SUMIFS(Table1[[HomeWon]:[HomeWon]], Table1[[GameIsOver]:[GameIsOver]],1,Table1[[AwayTeam]:[AwayTeam]],$A4, Table1[[HomeTeam]:[HomeTeam]], S$1, Table1[[ActualResult]:[ActualResult]], "SO") + SUMIFS(Table1[[AwayWon]:[AwayWon]], Table1[[GameIsOver]:[GameIsOver]],1,Table1[[HomeTeam]:[HomeTeam]],$A4, Table1[[AwayTeam]:[AwayTeam]], S$1, Table1[[ActualResult]:[ActualResult]], "SO"),0))</f>
        <v>0-0-0</v>
      </c>
      <c r="T4" s="43" t="str">
        <f>_xlfn.CONCAT(TEXT(SUMIFS(Table1[[AwayWon]:[AwayWon]], Table1[[GameIsOver]:[GameIsOver]],1,Table1[[AwayTeam]:[AwayTeam]],$A4, Table1[[HomeTeam]:[HomeTeam]], T$1) + SUMIFS(Table1[[HomeWon]:[HomeWon]], Table1[[GameIsOver]:[GameIsOver]],1,Table1[[HomeTeam]:[HomeTeam]],$A4, Table1[[AwayTeam]:[AwayTeam]], T$1),0), "-", TEXT(SUMIFS(Table1[[HomeWon]:[HomeWon]], Table1[[GameIsOver]:[GameIsOver]],1,Table1[[AwayTeam]:[AwayTeam]],$A4, Table1[[HomeTeam]:[HomeTeam]], T$1, Table1[[ActualResult]:[ActualResult]], "REG") + SUMIFS(Table1[[AwayWon]:[AwayWon]], Table1[[GameIsOver]:[GameIsOver]],1,Table1[[HomeTeam]:[HomeTeam]],$A4, Table1[[AwayTeam]:[AwayTeam]], T$1, Table1[[ActualResult]:[ActualResult]], "REG"),0), "-", TEXT(SUMIFS(Table1[[HomeWon]:[HomeWon]], Table1[[GameIsOver]:[GameIsOver]],1,Table1[[AwayTeam]:[AwayTeam]],$A4, Table1[[HomeTeam]:[HomeTeam]], T$1, Table1[[ActualResult]:[ActualResult]], "OT") + SUMIFS(Table1[[AwayWon]:[AwayWon]], Table1[[GameIsOver]:[GameIsOver]],1,Table1[[HomeTeam]:[HomeTeam]],$A4, Table1[[AwayTeam]:[AwayTeam]], T$1, Table1[[ActualResult]:[ActualResult]], "OT") + SUMIFS(Table1[[HomeWon]:[HomeWon]], Table1[[GameIsOver]:[GameIsOver]],1,Table1[[AwayTeam]:[AwayTeam]],$A4, Table1[[HomeTeam]:[HomeTeam]], T$1, Table1[[ActualResult]:[ActualResult]], "SO") + SUMIFS(Table1[[AwayWon]:[AwayWon]], Table1[[GameIsOver]:[GameIsOver]],1,Table1[[HomeTeam]:[HomeTeam]],$A4, Table1[[AwayTeam]:[AwayTeam]], T$1, Table1[[ActualResult]:[ActualResult]], "SO"),0))</f>
        <v>0-0-0</v>
      </c>
      <c r="U4" s="43" t="str">
        <f>_xlfn.CONCAT(TEXT(SUMIFS(Table1[[AwayWon]:[AwayWon]], Table1[[GameIsOver]:[GameIsOver]],1,Table1[[AwayTeam]:[AwayTeam]],$A4, Table1[[HomeTeam]:[HomeTeam]], U$1) + SUMIFS(Table1[[HomeWon]:[HomeWon]], Table1[[GameIsOver]:[GameIsOver]],1,Table1[[HomeTeam]:[HomeTeam]],$A4, Table1[[AwayTeam]:[AwayTeam]], U$1),0), "-", TEXT(SUMIFS(Table1[[HomeWon]:[HomeWon]], Table1[[GameIsOver]:[GameIsOver]],1,Table1[[AwayTeam]:[AwayTeam]],$A4, Table1[[HomeTeam]:[HomeTeam]], U$1, Table1[[ActualResult]:[ActualResult]], "REG") + SUMIFS(Table1[[AwayWon]:[AwayWon]], Table1[[GameIsOver]:[GameIsOver]],1,Table1[[HomeTeam]:[HomeTeam]],$A4, Table1[[AwayTeam]:[AwayTeam]], U$1, Table1[[ActualResult]:[ActualResult]], "REG"),0), "-", TEXT(SUMIFS(Table1[[HomeWon]:[HomeWon]], Table1[[GameIsOver]:[GameIsOver]],1,Table1[[AwayTeam]:[AwayTeam]],$A4, Table1[[HomeTeam]:[HomeTeam]], U$1, Table1[[ActualResult]:[ActualResult]], "OT") + SUMIFS(Table1[[AwayWon]:[AwayWon]], Table1[[GameIsOver]:[GameIsOver]],1,Table1[[HomeTeam]:[HomeTeam]],$A4, Table1[[AwayTeam]:[AwayTeam]], U$1, Table1[[ActualResult]:[ActualResult]], "OT") + SUMIFS(Table1[[HomeWon]:[HomeWon]], Table1[[GameIsOver]:[GameIsOver]],1,Table1[[AwayTeam]:[AwayTeam]],$A4, Table1[[HomeTeam]:[HomeTeam]], U$1, Table1[[ActualResult]:[ActualResult]], "SO") + SUMIFS(Table1[[AwayWon]:[AwayWon]], Table1[[GameIsOver]:[GameIsOver]],1,Table1[[HomeTeam]:[HomeTeam]],$A4, Table1[[AwayTeam]:[AwayTeam]], U$1, Table1[[ActualResult]:[ActualResult]], "SO"),0))</f>
        <v>0-0-0</v>
      </c>
      <c r="V4" s="43" t="str">
        <f>_xlfn.CONCAT(TEXT(SUMIFS(Table1[[AwayWon]:[AwayWon]], Table1[[GameIsOver]:[GameIsOver]],1,Table1[[AwayTeam]:[AwayTeam]],$A4, Table1[[HomeTeam]:[HomeTeam]], V$1) + SUMIFS(Table1[[HomeWon]:[HomeWon]], Table1[[GameIsOver]:[GameIsOver]],1,Table1[[HomeTeam]:[HomeTeam]],$A4, Table1[[AwayTeam]:[AwayTeam]], V$1),0), "-", TEXT(SUMIFS(Table1[[HomeWon]:[HomeWon]], Table1[[GameIsOver]:[GameIsOver]],1,Table1[[AwayTeam]:[AwayTeam]],$A4, Table1[[HomeTeam]:[HomeTeam]], V$1, Table1[[ActualResult]:[ActualResult]], "REG") + SUMIFS(Table1[[AwayWon]:[AwayWon]], Table1[[GameIsOver]:[GameIsOver]],1,Table1[[HomeTeam]:[HomeTeam]],$A4, Table1[[AwayTeam]:[AwayTeam]], V$1, Table1[[ActualResult]:[ActualResult]], "REG"),0), "-", TEXT(SUMIFS(Table1[[HomeWon]:[HomeWon]], Table1[[GameIsOver]:[GameIsOver]],1,Table1[[AwayTeam]:[AwayTeam]],$A4, Table1[[HomeTeam]:[HomeTeam]], V$1, Table1[[ActualResult]:[ActualResult]], "OT") + SUMIFS(Table1[[AwayWon]:[AwayWon]], Table1[[GameIsOver]:[GameIsOver]],1,Table1[[HomeTeam]:[HomeTeam]],$A4, Table1[[AwayTeam]:[AwayTeam]], V$1, Table1[[ActualResult]:[ActualResult]], "OT") + SUMIFS(Table1[[HomeWon]:[HomeWon]], Table1[[GameIsOver]:[GameIsOver]],1,Table1[[AwayTeam]:[AwayTeam]],$A4, Table1[[HomeTeam]:[HomeTeam]], V$1, Table1[[ActualResult]:[ActualResult]], "SO") + SUMIFS(Table1[[AwayWon]:[AwayWon]], Table1[[GameIsOver]:[GameIsOver]],1,Table1[[HomeTeam]:[HomeTeam]],$A4, Table1[[AwayTeam]:[AwayTeam]], V$1, Table1[[ActualResult]:[ActualResult]], "SO"),0))</f>
        <v>0-0-0</v>
      </c>
      <c r="W4" s="43" t="str">
        <f>_xlfn.CONCAT(TEXT(SUMIFS(Table1[[AwayWon]:[AwayWon]], Table1[[GameIsOver]:[GameIsOver]],1,Table1[[AwayTeam]:[AwayTeam]],$A4, Table1[[HomeTeam]:[HomeTeam]], W$1) + SUMIFS(Table1[[HomeWon]:[HomeWon]], Table1[[GameIsOver]:[GameIsOver]],1,Table1[[HomeTeam]:[HomeTeam]],$A4, Table1[[AwayTeam]:[AwayTeam]], W$1),0), "-", TEXT(SUMIFS(Table1[[HomeWon]:[HomeWon]], Table1[[GameIsOver]:[GameIsOver]],1,Table1[[AwayTeam]:[AwayTeam]],$A4, Table1[[HomeTeam]:[HomeTeam]], W$1, Table1[[ActualResult]:[ActualResult]], "REG") + SUMIFS(Table1[[AwayWon]:[AwayWon]], Table1[[GameIsOver]:[GameIsOver]],1,Table1[[HomeTeam]:[HomeTeam]],$A4, Table1[[AwayTeam]:[AwayTeam]], W$1, Table1[[ActualResult]:[ActualResult]], "REG"),0), "-", TEXT(SUMIFS(Table1[[HomeWon]:[HomeWon]], Table1[[GameIsOver]:[GameIsOver]],1,Table1[[AwayTeam]:[AwayTeam]],$A4, Table1[[HomeTeam]:[HomeTeam]], W$1, Table1[[ActualResult]:[ActualResult]], "OT") + SUMIFS(Table1[[AwayWon]:[AwayWon]], Table1[[GameIsOver]:[GameIsOver]],1,Table1[[HomeTeam]:[HomeTeam]],$A4, Table1[[AwayTeam]:[AwayTeam]], W$1, Table1[[ActualResult]:[ActualResult]], "OT") + SUMIFS(Table1[[HomeWon]:[HomeWon]], Table1[[GameIsOver]:[GameIsOver]],1,Table1[[AwayTeam]:[AwayTeam]],$A4, Table1[[HomeTeam]:[HomeTeam]], W$1, Table1[[ActualResult]:[ActualResult]], "SO") + SUMIFS(Table1[[AwayWon]:[AwayWon]], Table1[[GameIsOver]:[GameIsOver]],1,Table1[[HomeTeam]:[HomeTeam]],$A4, Table1[[AwayTeam]:[AwayTeam]], W$1, Table1[[ActualResult]:[ActualResult]], "SO"),0))</f>
        <v>0-0-0</v>
      </c>
      <c r="X4" s="43" t="str">
        <f>_xlfn.CONCAT(TEXT(SUMIFS(Table1[[AwayWon]:[AwayWon]], Table1[[GameIsOver]:[GameIsOver]],1,Table1[[AwayTeam]:[AwayTeam]],$A4, Table1[[HomeTeam]:[HomeTeam]], X$1) + SUMIFS(Table1[[HomeWon]:[HomeWon]], Table1[[GameIsOver]:[GameIsOver]],1,Table1[[HomeTeam]:[HomeTeam]],$A4, Table1[[AwayTeam]:[AwayTeam]], X$1),0), "-", TEXT(SUMIFS(Table1[[HomeWon]:[HomeWon]], Table1[[GameIsOver]:[GameIsOver]],1,Table1[[AwayTeam]:[AwayTeam]],$A4, Table1[[HomeTeam]:[HomeTeam]], X$1, Table1[[ActualResult]:[ActualResult]], "REG") + SUMIFS(Table1[[AwayWon]:[AwayWon]], Table1[[GameIsOver]:[GameIsOver]],1,Table1[[HomeTeam]:[HomeTeam]],$A4, Table1[[AwayTeam]:[AwayTeam]], X$1, Table1[[ActualResult]:[ActualResult]], "REG"),0), "-", TEXT(SUMIFS(Table1[[HomeWon]:[HomeWon]], Table1[[GameIsOver]:[GameIsOver]],1,Table1[[AwayTeam]:[AwayTeam]],$A4, Table1[[HomeTeam]:[HomeTeam]], X$1, Table1[[ActualResult]:[ActualResult]], "OT") + SUMIFS(Table1[[AwayWon]:[AwayWon]], Table1[[GameIsOver]:[GameIsOver]],1,Table1[[HomeTeam]:[HomeTeam]],$A4, Table1[[AwayTeam]:[AwayTeam]], X$1, Table1[[ActualResult]:[ActualResult]], "OT") + SUMIFS(Table1[[HomeWon]:[HomeWon]], Table1[[GameIsOver]:[GameIsOver]],1,Table1[[AwayTeam]:[AwayTeam]],$A4, Table1[[HomeTeam]:[HomeTeam]], X$1, Table1[[ActualResult]:[ActualResult]], "SO") + SUMIFS(Table1[[AwayWon]:[AwayWon]], Table1[[GameIsOver]:[GameIsOver]],1,Table1[[HomeTeam]:[HomeTeam]],$A4, Table1[[AwayTeam]:[AwayTeam]], X$1, Table1[[ActualResult]:[ActualResult]], "SO"),0))</f>
        <v>0-0-0</v>
      </c>
      <c r="Y4" s="45" t="str">
        <f>_xlfn.CONCAT(TEXT(SUMIFS(Table1[[AwayWon]:[AwayWon]], Table1[[GameIsOver]:[GameIsOver]],1,Table1[[AwayTeam]:[AwayTeam]],$A4, Table1[[HomeTeam]:[HomeTeam]], Y$1) + SUMIFS(Table1[[HomeWon]:[HomeWon]], Table1[[GameIsOver]:[GameIsOver]],1,Table1[[HomeTeam]:[HomeTeam]],$A4, Table1[[AwayTeam]:[AwayTeam]], Y$1),0), "-", TEXT(SUMIFS(Table1[[HomeWon]:[HomeWon]], Table1[[GameIsOver]:[GameIsOver]],1,Table1[[AwayTeam]:[AwayTeam]],$A4, Table1[[HomeTeam]:[HomeTeam]], Y$1, Table1[[ActualResult]:[ActualResult]], "REG") + SUMIFS(Table1[[AwayWon]:[AwayWon]], Table1[[GameIsOver]:[GameIsOver]],1,Table1[[HomeTeam]:[HomeTeam]],$A4, Table1[[AwayTeam]:[AwayTeam]], Y$1, Table1[[ActualResult]:[ActualResult]], "REG"),0), "-", TEXT(SUMIFS(Table1[[HomeWon]:[HomeWon]], Table1[[GameIsOver]:[GameIsOver]],1,Table1[[AwayTeam]:[AwayTeam]],$A4, Table1[[HomeTeam]:[HomeTeam]], Y$1, Table1[[ActualResult]:[ActualResult]], "OT") + SUMIFS(Table1[[AwayWon]:[AwayWon]], Table1[[GameIsOver]:[GameIsOver]],1,Table1[[HomeTeam]:[HomeTeam]],$A4, Table1[[AwayTeam]:[AwayTeam]], Y$1, Table1[[ActualResult]:[ActualResult]], "OT") + SUMIFS(Table1[[HomeWon]:[HomeWon]], Table1[[GameIsOver]:[GameIsOver]],1,Table1[[AwayTeam]:[AwayTeam]],$A4, Table1[[HomeTeam]:[HomeTeam]], Y$1, Table1[[ActualResult]:[ActualResult]], "SO") + SUMIFS(Table1[[AwayWon]:[AwayWon]], Table1[[GameIsOver]:[GameIsOver]],1,Table1[[HomeTeam]:[HomeTeam]],$A4, Table1[[AwayTeam]:[AwayTeam]], Y$1, Table1[[ActualResult]:[ActualResult]], "SO"),0))</f>
        <v>0-0-0</v>
      </c>
      <c r="Z4" s="43" t="str">
        <f>_xlfn.CONCAT(TEXT(SUMIFS(Table1[[AwayWon]:[AwayWon]], Table1[[GameIsOver]:[GameIsOver]],1,Table1[[AwayTeam]:[AwayTeam]],$A4, Table1[[HomeTeam]:[HomeTeam]], Z$1) + SUMIFS(Table1[[HomeWon]:[HomeWon]], Table1[[GameIsOver]:[GameIsOver]],1,Table1[[HomeTeam]:[HomeTeam]],$A4, Table1[[AwayTeam]:[AwayTeam]], Z$1),0), "-", TEXT(SUMIFS(Table1[[HomeWon]:[HomeWon]], Table1[[GameIsOver]:[GameIsOver]],1,Table1[[AwayTeam]:[AwayTeam]],$A4, Table1[[HomeTeam]:[HomeTeam]], Z$1, Table1[[ActualResult]:[ActualResult]], "REG") + SUMIFS(Table1[[AwayWon]:[AwayWon]], Table1[[GameIsOver]:[GameIsOver]],1,Table1[[HomeTeam]:[HomeTeam]],$A4, Table1[[AwayTeam]:[AwayTeam]], Z$1, Table1[[ActualResult]:[ActualResult]], "REG"),0), "-", TEXT(SUMIFS(Table1[[HomeWon]:[HomeWon]], Table1[[GameIsOver]:[GameIsOver]],1,Table1[[AwayTeam]:[AwayTeam]],$A4, Table1[[HomeTeam]:[HomeTeam]], Z$1, Table1[[ActualResult]:[ActualResult]], "OT") + SUMIFS(Table1[[AwayWon]:[AwayWon]], Table1[[GameIsOver]:[GameIsOver]],1,Table1[[HomeTeam]:[HomeTeam]],$A4, Table1[[AwayTeam]:[AwayTeam]], Z$1, Table1[[ActualResult]:[ActualResult]], "OT") + SUMIFS(Table1[[HomeWon]:[HomeWon]], Table1[[GameIsOver]:[GameIsOver]],1,Table1[[AwayTeam]:[AwayTeam]],$A4, Table1[[HomeTeam]:[HomeTeam]], Z$1, Table1[[ActualResult]:[ActualResult]], "SO") + SUMIFS(Table1[[AwayWon]:[AwayWon]], Table1[[GameIsOver]:[GameIsOver]],1,Table1[[HomeTeam]:[HomeTeam]],$A4, Table1[[AwayTeam]:[AwayTeam]], Z$1, Table1[[ActualResult]:[ActualResult]], "SO"),0))</f>
        <v>0-0-0</v>
      </c>
      <c r="AA4" s="43" t="str">
        <f>_xlfn.CONCAT(TEXT(SUMIFS(Table1[[AwayWon]:[AwayWon]], Table1[[GameIsOver]:[GameIsOver]],1,Table1[[AwayTeam]:[AwayTeam]],$A4, Table1[[HomeTeam]:[HomeTeam]], AA$1) + SUMIFS(Table1[[HomeWon]:[HomeWon]], Table1[[GameIsOver]:[GameIsOver]],1,Table1[[HomeTeam]:[HomeTeam]],$A4, Table1[[AwayTeam]:[AwayTeam]], AA$1),0), "-", TEXT(SUMIFS(Table1[[HomeWon]:[HomeWon]], Table1[[GameIsOver]:[GameIsOver]],1,Table1[[AwayTeam]:[AwayTeam]],$A4, Table1[[HomeTeam]:[HomeTeam]], AA$1, Table1[[ActualResult]:[ActualResult]], "REG") + SUMIFS(Table1[[AwayWon]:[AwayWon]], Table1[[GameIsOver]:[GameIsOver]],1,Table1[[HomeTeam]:[HomeTeam]],$A4, Table1[[AwayTeam]:[AwayTeam]], AA$1, Table1[[ActualResult]:[ActualResult]], "REG"),0), "-", TEXT(SUMIFS(Table1[[HomeWon]:[HomeWon]], Table1[[GameIsOver]:[GameIsOver]],1,Table1[[AwayTeam]:[AwayTeam]],$A4, Table1[[HomeTeam]:[HomeTeam]], AA$1, Table1[[ActualResult]:[ActualResult]], "OT") + SUMIFS(Table1[[AwayWon]:[AwayWon]], Table1[[GameIsOver]:[GameIsOver]],1,Table1[[HomeTeam]:[HomeTeam]],$A4, Table1[[AwayTeam]:[AwayTeam]], AA$1, Table1[[ActualResult]:[ActualResult]], "OT") + SUMIFS(Table1[[HomeWon]:[HomeWon]], Table1[[GameIsOver]:[GameIsOver]],1,Table1[[AwayTeam]:[AwayTeam]],$A4, Table1[[HomeTeam]:[HomeTeam]], AA$1, Table1[[ActualResult]:[ActualResult]], "SO") + SUMIFS(Table1[[AwayWon]:[AwayWon]], Table1[[GameIsOver]:[GameIsOver]],1,Table1[[HomeTeam]:[HomeTeam]],$A4, Table1[[AwayTeam]:[AwayTeam]], AA$1, Table1[[ActualResult]:[ActualResult]], "SO"),0))</f>
        <v>0-0-0</v>
      </c>
      <c r="AB4" s="43" t="str">
        <f>_xlfn.CONCAT(TEXT(SUMIFS(Table1[[AwayWon]:[AwayWon]], Table1[[GameIsOver]:[GameIsOver]],1,Table1[[AwayTeam]:[AwayTeam]],$A4, Table1[[HomeTeam]:[HomeTeam]], AB$1) + SUMIFS(Table1[[HomeWon]:[HomeWon]], Table1[[GameIsOver]:[GameIsOver]],1,Table1[[HomeTeam]:[HomeTeam]],$A4, Table1[[AwayTeam]:[AwayTeam]], AB$1),0), "-", TEXT(SUMIFS(Table1[[HomeWon]:[HomeWon]], Table1[[GameIsOver]:[GameIsOver]],1,Table1[[AwayTeam]:[AwayTeam]],$A4, Table1[[HomeTeam]:[HomeTeam]], AB$1, Table1[[ActualResult]:[ActualResult]], "REG") + SUMIFS(Table1[[AwayWon]:[AwayWon]], Table1[[GameIsOver]:[GameIsOver]],1,Table1[[HomeTeam]:[HomeTeam]],$A4, Table1[[AwayTeam]:[AwayTeam]], AB$1, Table1[[ActualResult]:[ActualResult]], "REG"),0), "-", TEXT(SUMIFS(Table1[[HomeWon]:[HomeWon]], Table1[[GameIsOver]:[GameIsOver]],1,Table1[[AwayTeam]:[AwayTeam]],$A4, Table1[[HomeTeam]:[HomeTeam]], AB$1, Table1[[ActualResult]:[ActualResult]], "OT") + SUMIFS(Table1[[AwayWon]:[AwayWon]], Table1[[GameIsOver]:[GameIsOver]],1,Table1[[HomeTeam]:[HomeTeam]],$A4, Table1[[AwayTeam]:[AwayTeam]], AB$1, Table1[[ActualResult]:[ActualResult]], "OT") + SUMIFS(Table1[[HomeWon]:[HomeWon]], Table1[[GameIsOver]:[GameIsOver]],1,Table1[[AwayTeam]:[AwayTeam]],$A4, Table1[[HomeTeam]:[HomeTeam]], AB$1, Table1[[ActualResult]:[ActualResult]], "SO") + SUMIFS(Table1[[AwayWon]:[AwayWon]], Table1[[GameIsOver]:[GameIsOver]],1,Table1[[HomeTeam]:[HomeTeam]],$A4, Table1[[AwayTeam]:[AwayTeam]], AB$1, Table1[[ActualResult]:[ActualResult]], "SO"),0))</f>
        <v>0-0-0</v>
      </c>
      <c r="AC4" s="43" t="str">
        <f>_xlfn.CONCAT(TEXT(SUMIFS(Table1[[AwayWon]:[AwayWon]], Table1[[GameIsOver]:[GameIsOver]],1,Table1[[AwayTeam]:[AwayTeam]],$A4, Table1[[HomeTeam]:[HomeTeam]], AC$1) + SUMIFS(Table1[[HomeWon]:[HomeWon]], Table1[[GameIsOver]:[GameIsOver]],1,Table1[[HomeTeam]:[HomeTeam]],$A4, Table1[[AwayTeam]:[AwayTeam]], AC$1),0), "-", TEXT(SUMIFS(Table1[[HomeWon]:[HomeWon]], Table1[[GameIsOver]:[GameIsOver]],1,Table1[[AwayTeam]:[AwayTeam]],$A4, Table1[[HomeTeam]:[HomeTeam]], AC$1, Table1[[ActualResult]:[ActualResult]], "REG") + SUMIFS(Table1[[AwayWon]:[AwayWon]], Table1[[GameIsOver]:[GameIsOver]],1,Table1[[HomeTeam]:[HomeTeam]],$A4, Table1[[AwayTeam]:[AwayTeam]], AC$1, Table1[[ActualResult]:[ActualResult]], "REG"),0), "-", TEXT(SUMIFS(Table1[[HomeWon]:[HomeWon]], Table1[[GameIsOver]:[GameIsOver]],1,Table1[[AwayTeam]:[AwayTeam]],$A4, Table1[[HomeTeam]:[HomeTeam]], AC$1, Table1[[ActualResult]:[ActualResult]], "OT") + SUMIFS(Table1[[AwayWon]:[AwayWon]], Table1[[GameIsOver]:[GameIsOver]],1,Table1[[HomeTeam]:[HomeTeam]],$A4, Table1[[AwayTeam]:[AwayTeam]], AC$1, Table1[[ActualResult]:[ActualResult]], "OT") + SUMIFS(Table1[[HomeWon]:[HomeWon]], Table1[[GameIsOver]:[GameIsOver]],1,Table1[[AwayTeam]:[AwayTeam]],$A4, Table1[[HomeTeam]:[HomeTeam]], AC$1, Table1[[ActualResult]:[ActualResult]], "SO") + SUMIFS(Table1[[AwayWon]:[AwayWon]], Table1[[GameIsOver]:[GameIsOver]],1,Table1[[HomeTeam]:[HomeTeam]],$A4, Table1[[AwayTeam]:[AwayTeam]], AC$1, Table1[[ActualResult]:[ActualResult]], "SO"),0))</f>
        <v>0-0-0</v>
      </c>
      <c r="AD4" s="43" t="str">
        <f>_xlfn.CONCAT(TEXT(SUMIFS(Table1[[AwayWon]:[AwayWon]], Table1[[GameIsOver]:[GameIsOver]],1,Table1[[AwayTeam]:[AwayTeam]],$A4, Table1[[HomeTeam]:[HomeTeam]], AD$1) + SUMIFS(Table1[[HomeWon]:[HomeWon]], Table1[[GameIsOver]:[GameIsOver]],1,Table1[[HomeTeam]:[HomeTeam]],$A4, Table1[[AwayTeam]:[AwayTeam]], AD$1),0), "-", TEXT(SUMIFS(Table1[[HomeWon]:[HomeWon]], Table1[[GameIsOver]:[GameIsOver]],1,Table1[[AwayTeam]:[AwayTeam]],$A4, Table1[[HomeTeam]:[HomeTeam]], AD$1, Table1[[ActualResult]:[ActualResult]], "REG") + SUMIFS(Table1[[AwayWon]:[AwayWon]], Table1[[GameIsOver]:[GameIsOver]],1,Table1[[HomeTeam]:[HomeTeam]],$A4, Table1[[AwayTeam]:[AwayTeam]], AD$1, Table1[[ActualResult]:[ActualResult]], "REG"),0), "-", TEXT(SUMIFS(Table1[[HomeWon]:[HomeWon]], Table1[[GameIsOver]:[GameIsOver]],1,Table1[[AwayTeam]:[AwayTeam]],$A4, Table1[[HomeTeam]:[HomeTeam]], AD$1, Table1[[ActualResult]:[ActualResult]], "OT") + SUMIFS(Table1[[AwayWon]:[AwayWon]], Table1[[GameIsOver]:[GameIsOver]],1,Table1[[HomeTeam]:[HomeTeam]],$A4, Table1[[AwayTeam]:[AwayTeam]], AD$1, Table1[[ActualResult]:[ActualResult]], "OT") + SUMIFS(Table1[[HomeWon]:[HomeWon]], Table1[[GameIsOver]:[GameIsOver]],1,Table1[[AwayTeam]:[AwayTeam]],$A4, Table1[[HomeTeam]:[HomeTeam]], AD$1, Table1[[ActualResult]:[ActualResult]], "SO") + SUMIFS(Table1[[AwayWon]:[AwayWon]], Table1[[GameIsOver]:[GameIsOver]],1,Table1[[HomeTeam]:[HomeTeam]],$A4, Table1[[AwayTeam]:[AwayTeam]], AD$1, Table1[[ActualResult]:[ActualResult]], "SO"),0))</f>
        <v>0-0-0</v>
      </c>
      <c r="AE4" s="43" t="str">
        <f>_xlfn.CONCAT(TEXT(SUMIFS(Table1[[AwayWon]:[AwayWon]], Table1[[GameIsOver]:[GameIsOver]],1,Table1[[AwayTeam]:[AwayTeam]],$A4, Table1[[HomeTeam]:[HomeTeam]], AE$1) + SUMIFS(Table1[[HomeWon]:[HomeWon]], Table1[[GameIsOver]:[GameIsOver]],1,Table1[[HomeTeam]:[HomeTeam]],$A4, Table1[[AwayTeam]:[AwayTeam]], AE$1),0), "-", TEXT(SUMIFS(Table1[[HomeWon]:[HomeWon]], Table1[[GameIsOver]:[GameIsOver]],1,Table1[[AwayTeam]:[AwayTeam]],$A4, Table1[[HomeTeam]:[HomeTeam]], AE$1, Table1[[ActualResult]:[ActualResult]], "REG") + SUMIFS(Table1[[AwayWon]:[AwayWon]], Table1[[GameIsOver]:[GameIsOver]],1,Table1[[HomeTeam]:[HomeTeam]],$A4, Table1[[AwayTeam]:[AwayTeam]], AE$1, Table1[[ActualResult]:[ActualResult]], "REG"),0), "-", TEXT(SUMIFS(Table1[[HomeWon]:[HomeWon]], Table1[[GameIsOver]:[GameIsOver]],1,Table1[[AwayTeam]:[AwayTeam]],$A4, Table1[[HomeTeam]:[HomeTeam]], AE$1, Table1[[ActualResult]:[ActualResult]], "OT") + SUMIFS(Table1[[AwayWon]:[AwayWon]], Table1[[GameIsOver]:[GameIsOver]],1,Table1[[HomeTeam]:[HomeTeam]],$A4, Table1[[AwayTeam]:[AwayTeam]], AE$1, Table1[[ActualResult]:[ActualResult]], "OT") + SUMIFS(Table1[[HomeWon]:[HomeWon]], Table1[[GameIsOver]:[GameIsOver]],1,Table1[[AwayTeam]:[AwayTeam]],$A4, Table1[[HomeTeam]:[HomeTeam]], AE$1, Table1[[ActualResult]:[ActualResult]], "SO") + SUMIFS(Table1[[AwayWon]:[AwayWon]], Table1[[GameIsOver]:[GameIsOver]],1,Table1[[HomeTeam]:[HomeTeam]],$A4, Table1[[AwayTeam]:[AwayTeam]], AE$1, Table1[[ActualResult]:[ActualResult]], "SO"),0))</f>
        <v>0-0-0</v>
      </c>
      <c r="AF4" s="43" t="str">
        <f>_xlfn.CONCAT(TEXT(SUMIFS(Table1[[AwayWon]:[AwayWon]], Table1[[GameIsOver]:[GameIsOver]],1,Table1[[AwayTeam]:[AwayTeam]],$A4, Table1[[HomeTeam]:[HomeTeam]], AF$1) + SUMIFS(Table1[[HomeWon]:[HomeWon]], Table1[[GameIsOver]:[GameIsOver]],1,Table1[[HomeTeam]:[HomeTeam]],$A4, Table1[[AwayTeam]:[AwayTeam]], AF$1),0), "-", TEXT(SUMIFS(Table1[[HomeWon]:[HomeWon]], Table1[[GameIsOver]:[GameIsOver]],1,Table1[[AwayTeam]:[AwayTeam]],$A4, Table1[[HomeTeam]:[HomeTeam]], AF$1, Table1[[ActualResult]:[ActualResult]], "REG") + SUMIFS(Table1[[AwayWon]:[AwayWon]], Table1[[GameIsOver]:[GameIsOver]],1,Table1[[HomeTeam]:[HomeTeam]],$A4, Table1[[AwayTeam]:[AwayTeam]], AF$1, Table1[[ActualResult]:[ActualResult]], "REG"),0), "-", TEXT(SUMIFS(Table1[[HomeWon]:[HomeWon]], Table1[[GameIsOver]:[GameIsOver]],1,Table1[[AwayTeam]:[AwayTeam]],$A4, Table1[[HomeTeam]:[HomeTeam]], AF$1, Table1[[ActualResult]:[ActualResult]], "OT") + SUMIFS(Table1[[AwayWon]:[AwayWon]], Table1[[GameIsOver]:[GameIsOver]],1,Table1[[HomeTeam]:[HomeTeam]],$A4, Table1[[AwayTeam]:[AwayTeam]], AF$1, Table1[[ActualResult]:[ActualResult]], "OT") + SUMIFS(Table1[[HomeWon]:[HomeWon]], Table1[[GameIsOver]:[GameIsOver]],1,Table1[[AwayTeam]:[AwayTeam]],$A4, Table1[[HomeTeam]:[HomeTeam]], AF$1, Table1[[ActualResult]:[ActualResult]], "SO") + SUMIFS(Table1[[AwayWon]:[AwayWon]], Table1[[GameIsOver]:[GameIsOver]],1,Table1[[HomeTeam]:[HomeTeam]],$A4, Table1[[AwayTeam]:[AwayTeam]], AF$1, Table1[[ActualResult]:[ActualResult]], "SO"),0))</f>
        <v>0-0-0</v>
      </c>
      <c r="AG4" s="43" t="str">
        <f>_xlfn.CONCAT(TEXT(SUMIFS(Table1[[AwayWon]:[AwayWon]], Table1[[GameIsOver]:[GameIsOver]],1,Table1[[AwayTeam]:[AwayTeam]],$A4, Table1[[HomeTeam]:[HomeTeam]], AG$1) + SUMIFS(Table1[[HomeWon]:[HomeWon]], Table1[[GameIsOver]:[GameIsOver]],1,Table1[[HomeTeam]:[HomeTeam]],$A4, Table1[[AwayTeam]:[AwayTeam]], AG$1),0), "-", TEXT(SUMIFS(Table1[[HomeWon]:[HomeWon]], Table1[[GameIsOver]:[GameIsOver]],1,Table1[[AwayTeam]:[AwayTeam]],$A4, Table1[[HomeTeam]:[HomeTeam]], AG$1, Table1[[ActualResult]:[ActualResult]], "REG") + SUMIFS(Table1[[AwayWon]:[AwayWon]], Table1[[GameIsOver]:[GameIsOver]],1,Table1[[HomeTeam]:[HomeTeam]],$A4, Table1[[AwayTeam]:[AwayTeam]], AG$1, Table1[[ActualResult]:[ActualResult]], "REG"),0), "-", TEXT(SUMIFS(Table1[[HomeWon]:[HomeWon]], Table1[[GameIsOver]:[GameIsOver]],1,Table1[[AwayTeam]:[AwayTeam]],$A4, Table1[[HomeTeam]:[HomeTeam]], AG$1, Table1[[ActualResult]:[ActualResult]], "OT") + SUMIFS(Table1[[AwayWon]:[AwayWon]], Table1[[GameIsOver]:[GameIsOver]],1,Table1[[HomeTeam]:[HomeTeam]],$A4, Table1[[AwayTeam]:[AwayTeam]], AG$1, Table1[[ActualResult]:[ActualResult]], "OT") + SUMIFS(Table1[[HomeWon]:[HomeWon]], Table1[[GameIsOver]:[GameIsOver]],1,Table1[[AwayTeam]:[AwayTeam]],$A4, Table1[[HomeTeam]:[HomeTeam]], AG$1, Table1[[ActualResult]:[ActualResult]], "SO") + SUMIFS(Table1[[AwayWon]:[AwayWon]], Table1[[GameIsOver]:[GameIsOver]],1,Table1[[HomeTeam]:[HomeTeam]],$A4, Table1[[AwayTeam]:[AwayTeam]], AG$1, Table1[[ActualResult]:[ActualResult]], "SO"),0))</f>
        <v>0-0-0</v>
      </c>
    </row>
    <row r="5" spans="1:33" x14ac:dyDescent="0.25">
      <c r="A5" s="17" t="s">
        <v>46</v>
      </c>
      <c r="B5" s="43" t="str">
        <f>_xlfn.CONCAT(TEXT(SUMIFS(Table1[[AwayWon]:[AwayWon]], Table1[[GameIsOver]:[GameIsOver]],1,Table1[[AwayTeam]:[AwayTeam]],$A5, Table1[[HomeTeam]:[HomeTeam]], B$1) + SUMIFS(Table1[[HomeWon]:[HomeWon]], Table1[[GameIsOver]:[GameIsOver]],1,Table1[[HomeTeam]:[HomeTeam]],$A5, Table1[[AwayTeam]:[AwayTeam]], B$1),0), "-", TEXT(SUMIFS(Table1[[HomeWon]:[HomeWon]], Table1[[GameIsOver]:[GameIsOver]],1,Table1[[AwayTeam]:[AwayTeam]],$A5, Table1[[HomeTeam]:[HomeTeam]], B$1, Table1[[ActualResult]:[ActualResult]], "REG") + SUMIFS(Table1[[AwayWon]:[AwayWon]], Table1[[GameIsOver]:[GameIsOver]],1,Table1[[HomeTeam]:[HomeTeam]],$A5, Table1[[AwayTeam]:[AwayTeam]], B$1, Table1[[ActualResult]:[ActualResult]], "REG"),0), "-", TEXT(SUMIFS(Table1[[HomeWon]:[HomeWon]], Table1[[GameIsOver]:[GameIsOver]],1,Table1[[AwayTeam]:[AwayTeam]],$A5, Table1[[HomeTeam]:[HomeTeam]], B$1, Table1[[ActualResult]:[ActualResult]], "OT") + SUMIFS(Table1[[AwayWon]:[AwayWon]], Table1[[GameIsOver]:[GameIsOver]],1,Table1[[HomeTeam]:[HomeTeam]],$A5, Table1[[AwayTeam]:[AwayTeam]], B$1, Table1[[ActualResult]:[ActualResult]], "OT") + SUMIFS(Table1[[HomeWon]:[HomeWon]], Table1[[GameIsOver]:[GameIsOver]],1,Table1[[AwayTeam]:[AwayTeam]],$A5, Table1[[HomeTeam]:[HomeTeam]], B$1, Table1[[ActualResult]:[ActualResult]], "SO") + SUMIFS(Table1[[AwayWon]:[AwayWon]], Table1[[GameIsOver]:[GameIsOver]],1,Table1[[HomeTeam]:[HomeTeam]],$A5, Table1[[AwayTeam]:[AwayTeam]], B$1, Table1[[ActualResult]:[ActualResult]], "SO"),0))</f>
        <v>0-0-0</v>
      </c>
      <c r="C5" s="43" t="str">
        <f>_xlfn.CONCAT(TEXT(SUMIFS(Table1[[AwayWon]:[AwayWon]], Table1[[GameIsOver]:[GameIsOver]],1,Table1[[AwayTeam]:[AwayTeam]],$A5, Table1[[HomeTeam]:[HomeTeam]], C$1) + SUMIFS(Table1[[HomeWon]:[HomeWon]], Table1[[GameIsOver]:[GameIsOver]],1,Table1[[HomeTeam]:[HomeTeam]],$A5, Table1[[AwayTeam]:[AwayTeam]], C$1),0), "-", TEXT(SUMIFS(Table1[[HomeWon]:[HomeWon]], Table1[[GameIsOver]:[GameIsOver]],1,Table1[[AwayTeam]:[AwayTeam]],$A5, Table1[[HomeTeam]:[HomeTeam]], C$1, Table1[[ActualResult]:[ActualResult]], "REG") + SUMIFS(Table1[[AwayWon]:[AwayWon]], Table1[[GameIsOver]:[GameIsOver]],1,Table1[[HomeTeam]:[HomeTeam]],$A5, Table1[[AwayTeam]:[AwayTeam]], C$1, Table1[[ActualResult]:[ActualResult]], "REG"),0), "-", TEXT(SUMIFS(Table1[[HomeWon]:[HomeWon]], Table1[[GameIsOver]:[GameIsOver]],1,Table1[[AwayTeam]:[AwayTeam]],$A5, Table1[[HomeTeam]:[HomeTeam]], C$1, Table1[[ActualResult]:[ActualResult]], "OT") + SUMIFS(Table1[[AwayWon]:[AwayWon]], Table1[[GameIsOver]:[GameIsOver]],1,Table1[[HomeTeam]:[HomeTeam]],$A5, Table1[[AwayTeam]:[AwayTeam]], C$1, Table1[[ActualResult]:[ActualResult]], "OT") + SUMIFS(Table1[[HomeWon]:[HomeWon]], Table1[[GameIsOver]:[GameIsOver]],1,Table1[[AwayTeam]:[AwayTeam]],$A5, Table1[[HomeTeam]:[HomeTeam]], C$1, Table1[[ActualResult]:[ActualResult]], "SO") + SUMIFS(Table1[[AwayWon]:[AwayWon]], Table1[[GameIsOver]:[GameIsOver]],1,Table1[[HomeTeam]:[HomeTeam]],$A5, Table1[[AwayTeam]:[AwayTeam]], C$1, Table1[[ActualResult]:[ActualResult]], "SO"),0))</f>
        <v>0-0-0</v>
      </c>
      <c r="D5" s="43" t="str">
        <f>_xlfn.CONCAT(TEXT(SUMIFS(Table1[[AwayWon]:[AwayWon]], Table1[[GameIsOver]:[GameIsOver]],1,Table1[[AwayTeam]:[AwayTeam]],$A5, Table1[[HomeTeam]:[HomeTeam]], D$1) + SUMIFS(Table1[[HomeWon]:[HomeWon]], Table1[[GameIsOver]:[GameIsOver]],1,Table1[[HomeTeam]:[HomeTeam]],$A5, Table1[[AwayTeam]:[AwayTeam]], D$1),0), "-", TEXT(SUMIFS(Table1[[HomeWon]:[HomeWon]], Table1[[GameIsOver]:[GameIsOver]],1,Table1[[AwayTeam]:[AwayTeam]],$A5, Table1[[HomeTeam]:[HomeTeam]], D$1, Table1[[ActualResult]:[ActualResult]], "REG") + SUMIFS(Table1[[AwayWon]:[AwayWon]], Table1[[GameIsOver]:[GameIsOver]],1,Table1[[HomeTeam]:[HomeTeam]],$A5, Table1[[AwayTeam]:[AwayTeam]], D$1, Table1[[ActualResult]:[ActualResult]], "REG"),0), "-", TEXT(SUMIFS(Table1[[HomeWon]:[HomeWon]], Table1[[GameIsOver]:[GameIsOver]],1,Table1[[AwayTeam]:[AwayTeam]],$A5, Table1[[HomeTeam]:[HomeTeam]], D$1, Table1[[ActualResult]:[ActualResult]], "OT") + SUMIFS(Table1[[AwayWon]:[AwayWon]], Table1[[GameIsOver]:[GameIsOver]],1,Table1[[HomeTeam]:[HomeTeam]],$A5, Table1[[AwayTeam]:[AwayTeam]], D$1, Table1[[ActualResult]:[ActualResult]], "OT") + SUMIFS(Table1[[HomeWon]:[HomeWon]], Table1[[GameIsOver]:[GameIsOver]],1,Table1[[AwayTeam]:[AwayTeam]],$A5, Table1[[HomeTeam]:[HomeTeam]], D$1, Table1[[ActualResult]:[ActualResult]], "SO") + SUMIFS(Table1[[AwayWon]:[AwayWon]], Table1[[GameIsOver]:[GameIsOver]],1,Table1[[HomeTeam]:[HomeTeam]],$A5, Table1[[AwayTeam]:[AwayTeam]], D$1, Table1[[ActualResult]:[ActualResult]], "SO"),0))</f>
        <v>0-0-0</v>
      </c>
      <c r="E5" s="43" t="str">
        <f>_xlfn.CONCAT(TEXT(SUMIFS(Table1[[AwayWon]:[AwayWon]], Table1[[GameIsOver]:[GameIsOver]],1,Table1[[AwayTeam]:[AwayTeam]],$A5, Table1[[HomeTeam]:[HomeTeam]], E$1) + SUMIFS(Table1[[HomeWon]:[HomeWon]], Table1[[GameIsOver]:[GameIsOver]],1,Table1[[HomeTeam]:[HomeTeam]],$A5, Table1[[AwayTeam]:[AwayTeam]], E$1),0), "-", TEXT(SUMIFS(Table1[[HomeWon]:[HomeWon]], Table1[[GameIsOver]:[GameIsOver]],1,Table1[[AwayTeam]:[AwayTeam]],$A5, Table1[[HomeTeam]:[HomeTeam]], E$1, Table1[[ActualResult]:[ActualResult]], "REG") + SUMIFS(Table1[[AwayWon]:[AwayWon]], Table1[[GameIsOver]:[GameIsOver]],1,Table1[[HomeTeam]:[HomeTeam]],$A5, Table1[[AwayTeam]:[AwayTeam]], E$1, Table1[[ActualResult]:[ActualResult]], "REG"),0), "-", TEXT(SUMIFS(Table1[[HomeWon]:[HomeWon]], Table1[[GameIsOver]:[GameIsOver]],1,Table1[[AwayTeam]:[AwayTeam]],$A5, Table1[[HomeTeam]:[HomeTeam]], E$1, Table1[[ActualResult]:[ActualResult]], "OT") + SUMIFS(Table1[[AwayWon]:[AwayWon]], Table1[[GameIsOver]:[GameIsOver]],1,Table1[[HomeTeam]:[HomeTeam]],$A5, Table1[[AwayTeam]:[AwayTeam]], E$1, Table1[[ActualResult]:[ActualResult]], "OT") + SUMIFS(Table1[[HomeWon]:[HomeWon]], Table1[[GameIsOver]:[GameIsOver]],1,Table1[[AwayTeam]:[AwayTeam]],$A5, Table1[[HomeTeam]:[HomeTeam]], E$1, Table1[[ActualResult]:[ActualResult]], "SO") + SUMIFS(Table1[[AwayWon]:[AwayWon]], Table1[[GameIsOver]:[GameIsOver]],1,Table1[[HomeTeam]:[HomeTeam]],$A5, Table1[[AwayTeam]:[AwayTeam]], E$1, Table1[[ActualResult]:[ActualResult]], "SO"),0))</f>
        <v>0-0-0</v>
      </c>
      <c r="F5" s="43" t="str">
        <f>_xlfn.CONCAT(TEXT(SUMIFS(Table1[[AwayWon]:[AwayWon]], Table1[[GameIsOver]:[GameIsOver]],1,Table1[[AwayTeam]:[AwayTeam]],$A5, Table1[[HomeTeam]:[HomeTeam]], F$1) + SUMIFS(Table1[[HomeWon]:[HomeWon]], Table1[[GameIsOver]:[GameIsOver]],1,Table1[[HomeTeam]:[HomeTeam]],$A5, Table1[[AwayTeam]:[AwayTeam]], F$1),0), "-", TEXT(SUMIFS(Table1[[HomeWon]:[HomeWon]], Table1[[GameIsOver]:[GameIsOver]],1,Table1[[AwayTeam]:[AwayTeam]],$A5, Table1[[HomeTeam]:[HomeTeam]], F$1, Table1[[ActualResult]:[ActualResult]], "REG") + SUMIFS(Table1[[AwayWon]:[AwayWon]], Table1[[GameIsOver]:[GameIsOver]],1,Table1[[HomeTeam]:[HomeTeam]],$A5, Table1[[AwayTeam]:[AwayTeam]], F$1, Table1[[ActualResult]:[ActualResult]], "REG"),0), "-", TEXT(SUMIFS(Table1[[HomeWon]:[HomeWon]], Table1[[GameIsOver]:[GameIsOver]],1,Table1[[AwayTeam]:[AwayTeam]],$A5, Table1[[HomeTeam]:[HomeTeam]], F$1, Table1[[ActualResult]:[ActualResult]], "OT") + SUMIFS(Table1[[AwayWon]:[AwayWon]], Table1[[GameIsOver]:[GameIsOver]],1,Table1[[HomeTeam]:[HomeTeam]],$A5, Table1[[AwayTeam]:[AwayTeam]], F$1, Table1[[ActualResult]:[ActualResult]], "OT") + SUMIFS(Table1[[HomeWon]:[HomeWon]], Table1[[GameIsOver]:[GameIsOver]],1,Table1[[AwayTeam]:[AwayTeam]],$A5, Table1[[HomeTeam]:[HomeTeam]], F$1, Table1[[ActualResult]:[ActualResult]], "SO") + SUMIFS(Table1[[AwayWon]:[AwayWon]], Table1[[GameIsOver]:[GameIsOver]],1,Table1[[HomeTeam]:[HomeTeam]],$A5, Table1[[AwayTeam]:[AwayTeam]], F$1, Table1[[ActualResult]:[ActualResult]], "SO"),0))</f>
        <v>0-0-0</v>
      </c>
      <c r="G5" s="43" t="str">
        <f>_xlfn.CONCAT(TEXT(SUMIFS(Table1[[AwayWon]:[AwayWon]], Table1[[GameIsOver]:[GameIsOver]],1,Table1[[AwayTeam]:[AwayTeam]],$A5, Table1[[HomeTeam]:[HomeTeam]], G$1) + SUMIFS(Table1[[HomeWon]:[HomeWon]], Table1[[GameIsOver]:[GameIsOver]],1,Table1[[HomeTeam]:[HomeTeam]],$A5, Table1[[AwayTeam]:[AwayTeam]], G$1),0), "-", TEXT(SUMIFS(Table1[[HomeWon]:[HomeWon]], Table1[[GameIsOver]:[GameIsOver]],1,Table1[[AwayTeam]:[AwayTeam]],$A5, Table1[[HomeTeam]:[HomeTeam]], G$1, Table1[[ActualResult]:[ActualResult]], "REG") + SUMIFS(Table1[[AwayWon]:[AwayWon]], Table1[[GameIsOver]:[GameIsOver]],1,Table1[[HomeTeam]:[HomeTeam]],$A5, Table1[[AwayTeam]:[AwayTeam]], G$1, Table1[[ActualResult]:[ActualResult]], "REG"),0), "-", TEXT(SUMIFS(Table1[[HomeWon]:[HomeWon]], Table1[[GameIsOver]:[GameIsOver]],1,Table1[[AwayTeam]:[AwayTeam]],$A5, Table1[[HomeTeam]:[HomeTeam]], G$1, Table1[[ActualResult]:[ActualResult]], "OT") + SUMIFS(Table1[[AwayWon]:[AwayWon]], Table1[[GameIsOver]:[GameIsOver]],1,Table1[[HomeTeam]:[HomeTeam]],$A5, Table1[[AwayTeam]:[AwayTeam]], G$1, Table1[[ActualResult]:[ActualResult]], "OT") + SUMIFS(Table1[[HomeWon]:[HomeWon]], Table1[[GameIsOver]:[GameIsOver]],1,Table1[[AwayTeam]:[AwayTeam]],$A5, Table1[[HomeTeam]:[HomeTeam]], G$1, Table1[[ActualResult]:[ActualResult]], "SO") + SUMIFS(Table1[[AwayWon]:[AwayWon]], Table1[[GameIsOver]:[GameIsOver]],1,Table1[[HomeTeam]:[HomeTeam]],$A5, Table1[[AwayTeam]:[AwayTeam]], G$1, Table1[[ActualResult]:[ActualResult]], "SO"),0))</f>
        <v>0-0-0</v>
      </c>
      <c r="H5" s="43" t="str">
        <f>_xlfn.CONCAT(TEXT(SUMIFS(Table1[[AwayWon]:[AwayWon]], Table1[[GameIsOver]:[GameIsOver]],1,Table1[[AwayTeam]:[AwayTeam]],$A5, Table1[[HomeTeam]:[HomeTeam]], H$1) + SUMIFS(Table1[[HomeWon]:[HomeWon]], Table1[[GameIsOver]:[GameIsOver]],1,Table1[[HomeTeam]:[HomeTeam]],$A5, Table1[[AwayTeam]:[AwayTeam]], H$1),0), "-", TEXT(SUMIFS(Table1[[HomeWon]:[HomeWon]], Table1[[GameIsOver]:[GameIsOver]],1,Table1[[AwayTeam]:[AwayTeam]],$A5, Table1[[HomeTeam]:[HomeTeam]], H$1, Table1[[ActualResult]:[ActualResult]], "REG") + SUMIFS(Table1[[AwayWon]:[AwayWon]], Table1[[GameIsOver]:[GameIsOver]],1,Table1[[HomeTeam]:[HomeTeam]],$A5, Table1[[AwayTeam]:[AwayTeam]], H$1, Table1[[ActualResult]:[ActualResult]], "REG"),0), "-", TEXT(SUMIFS(Table1[[HomeWon]:[HomeWon]], Table1[[GameIsOver]:[GameIsOver]],1,Table1[[AwayTeam]:[AwayTeam]],$A5, Table1[[HomeTeam]:[HomeTeam]], H$1, Table1[[ActualResult]:[ActualResult]], "OT") + SUMIFS(Table1[[AwayWon]:[AwayWon]], Table1[[GameIsOver]:[GameIsOver]],1,Table1[[HomeTeam]:[HomeTeam]],$A5, Table1[[AwayTeam]:[AwayTeam]], H$1, Table1[[ActualResult]:[ActualResult]], "OT") + SUMIFS(Table1[[HomeWon]:[HomeWon]], Table1[[GameIsOver]:[GameIsOver]],1,Table1[[AwayTeam]:[AwayTeam]],$A5, Table1[[HomeTeam]:[HomeTeam]], H$1, Table1[[ActualResult]:[ActualResult]], "SO") + SUMIFS(Table1[[AwayWon]:[AwayWon]], Table1[[GameIsOver]:[GameIsOver]],1,Table1[[HomeTeam]:[HomeTeam]],$A5, Table1[[AwayTeam]:[AwayTeam]], H$1, Table1[[ActualResult]:[ActualResult]], "SO"),0))</f>
        <v>0-0-0</v>
      </c>
      <c r="I5" s="45" t="str">
        <f>_xlfn.CONCAT(TEXT(SUMIFS(Table1[[AwayWon]:[AwayWon]], Table1[[GameIsOver]:[GameIsOver]],1,Table1[[AwayTeam]:[AwayTeam]],$A5, Table1[[HomeTeam]:[HomeTeam]], I$1) + SUMIFS(Table1[[HomeWon]:[HomeWon]], Table1[[GameIsOver]:[GameIsOver]],1,Table1[[HomeTeam]:[HomeTeam]],$A5, Table1[[AwayTeam]:[AwayTeam]], I$1),0), "-", TEXT(SUMIFS(Table1[[HomeWon]:[HomeWon]], Table1[[GameIsOver]:[GameIsOver]],1,Table1[[AwayTeam]:[AwayTeam]],$A5, Table1[[HomeTeam]:[HomeTeam]], I$1, Table1[[ActualResult]:[ActualResult]], "REG") + SUMIFS(Table1[[AwayWon]:[AwayWon]], Table1[[GameIsOver]:[GameIsOver]],1,Table1[[HomeTeam]:[HomeTeam]],$A5, Table1[[AwayTeam]:[AwayTeam]], I$1, Table1[[ActualResult]:[ActualResult]], "REG"),0), "-", TEXT(SUMIFS(Table1[[HomeWon]:[HomeWon]], Table1[[GameIsOver]:[GameIsOver]],1,Table1[[AwayTeam]:[AwayTeam]],$A5, Table1[[HomeTeam]:[HomeTeam]], I$1, Table1[[ActualResult]:[ActualResult]], "OT") + SUMIFS(Table1[[AwayWon]:[AwayWon]], Table1[[GameIsOver]:[GameIsOver]],1,Table1[[HomeTeam]:[HomeTeam]],$A5, Table1[[AwayTeam]:[AwayTeam]], I$1, Table1[[ActualResult]:[ActualResult]], "OT") + SUMIFS(Table1[[HomeWon]:[HomeWon]], Table1[[GameIsOver]:[GameIsOver]],1,Table1[[AwayTeam]:[AwayTeam]],$A5, Table1[[HomeTeam]:[HomeTeam]], I$1, Table1[[ActualResult]:[ActualResult]], "SO") + SUMIFS(Table1[[AwayWon]:[AwayWon]], Table1[[GameIsOver]:[GameIsOver]],1,Table1[[HomeTeam]:[HomeTeam]],$A5, Table1[[AwayTeam]:[AwayTeam]], I$1, Table1[[ActualResult]:[ActualResult]], "SO"),0))</f>
        <v>0-0-0</v>
      </c>
      <c r="J5" s="43" t="str">
        <f>_xlfn.CONCAT(TEXT(SUMIFS(Table1[[AwayWon]:[AwayWon]], Table1[[GameIsOver]:[GameIsOver]],1,Table1[[AwayTeam]:[AwayTeam]],$A5, Table1[[HomeTeam]:[HomeTeam]], J$1) + SUMIFS(Table1[[HomeWon]:[HomeWon]], Table1[[GameIsOver]:[GameIsOver]],1,Table1[[HomeTeam]:[HomeTeam]],$A5, Table1[[AwayTeam]:[AwayTeam]], J$1),0), "-", TEXT(SUMIFS(Table1[[HomeWon]:[HomeWon]], Table1[[GameIsOver]:[GameIsOver]],1,Table1[[AwayTeam]:[AwayTeam]],$A5, Table1[[HomeTeam]:[HomeTeam]], J$1, Table1[[ActualResult]:[ActualResult]], "REG") + SUMIFS(Table1[[AwayWon]:[AwayWon]], Table1[[GameIsOver]:[GameIsOver]],1,Table1[[HomeTeam]:[HomeTeam]],$A5, Table1[[AwayTeam]:[AwayTeam]], J$1, Table1[[ActualResult]:[ActualResult]], "REG"),0), "-", TEXT(SUMIFS(Table1[[HomeWon]:[HomeWon]], Table1[[GameIsOver]:[GameIsOver]],1,Table1[[AwayTeam]:[AwayTeam]],$A5, Table1[[HomeTeam]:[HomeTeam]], J$1, Table1[[ActualResult]:[ActualResult]], "OT") + SUMIFS(Table1[[AwayWon]:[AwayWon]], Table1[[GameIsOver]:[GameIsOver]],1,Table1[[HomeTeam]:[HomeTeam]],$A5, Table1[[AwayTeam]:[AwayTeam]], J$1, Table1[[ActualResult]:[ActualResult]], "OT") + SUMIFS(Table1[[HomeWon]:[HomeWon]], Table1[[GameIsOver]:[GameIsOver]],1,Table1[[AwayTeam]:[AwayTeam]],$A5, Table1[[HomeTeam]:[HomeTeam]], J$1, Table1[[ActualResult]:[ActualResult]], "SO") + SUMIFS(Table1[[AwayWon]:[AwayWon]], Table1[[GameIsOver]:[GameIsOver]],1,Table1[[HomeTeam]:[HomeTeam]],$A5, Table1[[AwayTeam]:[AwayTeam]], J$1, Table1[[ActualResult]:[ActualResult]], "SO"),0))</f>
        <v>0-0-0</v>
      </c>
      <c r="K5" s="43" t="str">
        <f>_xlfn.CONCAT(TEXT(SUMIFS(Table1[[AwayWon]:[AwayWon]], Table1[[GameIsOver]:[GameIsOver]],1,Table1[[AwayTeam]:[AwayTeam]],$A5, Table1[[HomeTeam]:[HomeTeam]], K$1) + SUMIFS(Table1[[HomeWon]:[HomeWon]], Table1[[GameIsOver]:[GameIsOver]],1,Table1[[HomeTeam]:[HomeTeam]],$A5, Table1[[AwayTeam]:[AwayTeam]], K$1),0), "-", TEXT(SUMIFS(Table1[[HomeWon]:[HomeWon]], Table1[[GameIsOver]:[GameIsOver]],1,Table1[[AwayTeam]:[AwayTeam]],$A5, Table1[[HomeTeam]:[HomeTeam]], K$1, Table1[[ActualResult]:[ActualResult]], "REG") + SUMIFS(Table1[[AwayWon]:[AwayWon]], Table1[[GameIsOver]:[GameIsOver]],1,Table1[[HomeTeam]:[HomeTeam]],$A5, Table1[[AwayTeam]:[AwayTeam]], K$1, Table1[[ActualResult]:[ActualResult]], "REG"),0), "-", TEXT(SUMIFS(Table1[[HomeWon]:[HomeWon]], Table1[[GameIsOver]:[GameIsOver]],1,Table1[[AwayTeam]:[AwayTeam]],$A5, Table1[[HomeTeam]:[HomeTeam]], K$1, Table1[[ActualResult]:[ActualResult]], "OT") + SUMIFS(Table1[[AwayWon]:[AwayWon]], Table1[[GameIsOver]:[GameIsOver]],1,Table1[[HomeTeam]:[HomeTeam]],$A5, Table1[[AwayTeam]:[AwayTeam]], K$1, Table1[[ActualResult]:[ActualResult]], "OT") + SUMIFS(Table1[[HomeWon]:[HomeWon]], Table1[[GameIsOver]:[GameIsOver]],1,Table1[[AwayTeam]:[AwayTeam]],$A5, Table1[[HomeTeam]:[HomeTeam]], K$1, Table1[[ActualResult]:[ActualResult]], "SO") + SUMIFS(Table1[[AwayWon]:[AwayWon]], Table1[[GameIsOver]:[GameIsOver]],1,Table1[[HomeTeam]:[HomeTeam]],$A5, Table1[[AwayTeam]:[AwayTeam]], K$1, Table1[[ActualResult]:[ActualResult]], "SO"),0))</f>
        <v>1-0-0</v>
      </c>
      <c r="L5" s="43" t="str">
        <f>_xlfn.CONCAT(TEXT(SUMIFS(Table1[[AwayWon]:[AwayWon]], Table1[[GameIsOver]:[GameIsOver]],1,Table1[[AwayTeam]:[AwayTeam]],$A5, Table1[[HomeTeam]:[HomeTeam]], L$1) + SUMIFS(Table1[[HomeWon]:[HomeWon]], Table1[[GameIsOver]:[GameIsOver]],1,Table1[[HomeTeam]:[HomeTeam]],$A5, Table1[[AwayTeam]:[AwayTeam]], L$1),0), "-", TEXT(SUMIFS(Table1[[HomeWon]:[HomeWon]], Table1[[GameIsOver]:[GameIsOver]],1,Table1[[AwayTeam]:[AwayTeam]],$A5, Table1[[HomeTeam]:[HomeTeam]], L$1, Table1[[ActualResult]:[ActualResult]], "REG") + SUMIFS(Table1[[AwayWon]:[AwayWon]], Table1[[GameIsOver]:[GameIsOver]],1,Table1[[HomeTeam]:[HomeTeam]],$A5, Table1[[AwayTeam]:[AwayTeam]], L$1, Table1[[ActualResult]:[ActualResult]], "REG"),0), "-", TEXT(SUMIFS(Table1[[HomeWon]:[HomeWon]], Table1[[GameIsOver]:[GameIsOver]],1,Table1[[AwayTeam]:[AwayTeam]],$A5, Table1[[HomeTeam]:[HomeTeam]], L$1, Table1[[ActualResult]:[ActualResult]], "OT") + SUMIFS(Table1[[AwayWon]:[AwayWon]], Table1[[GameIsOver]:[GameIsOver]],1,Table1[[HomeTeam]:[HomeTeam]],$A5, Table1[[AwayTeam]:[AwayTeam]], L$1, Table1[[ActualResult]:[ActualResult]], "OT") + SUMIFS(Table1[[HomeWon]:[HomeWon]], Table1[[GameIsOver]:[GameIsOver]],1,Table1[[AwayTeam]:[AwayTeam]],$A5, Table1[[HomeTeam]:[HomeTeam]], L$1, Table1[[ActualResult]:[ActualResult]], "SO") + SUMIFS(Table1[[AwayWon]:[AwayWon]], Table1[[GameIsOver]:[GameIsOver]],1,Table1[[HomeTeam]:[HomeTeam]],$A5, Table1[[AwayTeam]:[AwayTeam]], L$1, Table1[[ActualResult]:[ActualResult]], "SO"),0))</f>
        <v>0-0-0</v>
      </c>
      <c r="M5" s="43" t="str">
        <f>_xlfn.CONCAT(TEXT(SUMIFS(Table1[[AwayWon]:[AwayWon]], Table1[[GameIsOver]:[GameIsOver]],1,Table1[[AwayTeam]:[AwayTeam]],$A5, Table1[[HomeTeam]:[HomeTeam]], M$1) + SUMIFS(Table1[[HomeWon]:[HomeWon]], Table1[[GameIsOver]:[GameIsOver]],1,Table1[[HomeTeam]:[HomeTeam]],$A5, Table1[[AwayTeam]:[AwayTeam]], M$1),0), "-", TEXT(SUMIFS(Table1[[HomeWon]:[HomeWon]], Table1[[GameIsOver]:[GameIsOver]],1,Table1[[AwayTeam]:[AwayTeam]],$A5, Table1[[HomeTeam]:[HomeTeam]], M$1, Table1[[ActualResult]:[ActualResult]], "REG") + SUMIFS(Table1[[AwayWon]:[AwayWon]], Table1[[GameIsOver]:[GameIsOver]],1,Table1[[HomeTeam]:[HomeTeam]],$A5, Table1[[AwayTeam]:[AwayTeam]], M$1, Table1[[ActualResult]:[ActualResult]], "REG"),0), "-", TEXT(SUMIFS(Table1[[HomeWon]:[HomeWon]], Table1[[GameIsOver]:[GameIsOver]],1,Table1[[AwayTeam]:[AwayTeam]],$A5, Table1[[HomeTeam]:[HomeTeam]], M$1, Table1[[ActualResult]:[ActualResult]], "OT") + SUMIFS(Table1[[AwayWon]:[AwayWon]], Table1[[GameIsOver]:[GameIsOver]],1,Table1[[HomeTeam]:[HomeTeam]],$A5, Table1[[AwayTeam]:[AwayTeam]], M$1, Table1[[ActualResult]:[ActualResult]], "OT") + SUMIFS(Table1[[HomeWon]:[HomeWon]], Table1[[GameIsOver]:[GameIsOver]],1,Table1[[AwayTeam]:[AwayTeam]],$A5, Table1[[HomeTeam]:[HomeTeam]], M$1, Table1[[ActualResult]:[ActualResult]], "SO") + SUMIFS(Table1[[AwayWon]:[AwayWon]], Table1[[GameIsOver]:[GameIsOver]],1,Table1[[HomeTeam]:[HomeTeam]],$A5, Table1[[AwayTeam]:[AwayTeam]], M$1, Table1[[ActualResult]:[ActualResult]], "SO"),0))</f>
        <v>0-0-0</v>
      </c>
      <c r="N5" s="43" t="str">
        <f>_xlfn.CONCAT(TEXT(SUMIFS(Table1[[AwayWon]:[AwayWon]], Table1[[GameIsOver]:[GameIsOver]],1,Table1[[AwayTeam]:[AwayTeam]],$A5, Table1[[HomeTeam]:[HomeTeam]], N$1) + SUMIFS(Table1[[HomeWon]:[HomeWon]], Table1[[GameIsOver]:[GameIsOver]],1,Table1[[HomeTeam]:[HomeTeam]],$A5, Table1[[AwayTeam]:[AwayTeam]], N$1),0), "-", TEXT(SUMIFS(Table1[[HomeWon]:[HomeWon]], Table1[[GameIsOver]:[GameIsOver]],1,Table1[[AwayTeam]:[AwayTeam]],$A5, Table1[[HomeTeam]:[HomeTeam]], N$1, Table1[[ActualResult]:[ActualResult]], "REG") + SUMIFS(Table1[[AwayWon]:[AwayWon]], Table1[[GameIsOver]:[GameIsOver]],1,Table1[[HomeTeam]:[HomeTeam]],$A5, Table1[[AwayTeam]:[AwayTeam]], N$1, Table1[[ActualResult]:[ActualResult]], "REG"),0), "-", TEXT(SUMIFS(Table1[[HomeWon]:[HomeWon]], Table1[[GameIsOver]:[GameIsOver]],1,Table1[[AwayTeam]:[AwayTeam]],$A5, Table1[[HomeTeam]:[HomeTeam]], N$1, Table1[[ActualResult]:[ActualResult]], "OT") + SUMIFS(Table1[[AwayWon]:[AwayWon]], Table1[[GameIsOver]:[GameIsOver]],1,Table1[[HomeTeam]:[HomeTeam]],$A5, Table1[[AwayTeam]:[AwayTeam]], N$1, Table1[[ActualResult]:[ActualResult]], "OT") + SUMIFS(Table1[[HomeWon]:[HomeWon]], Table1[[GameIsOver]:[GameIsOver]],1,Table1[[AwayTeam]:[AwayTeam]],$A5, Table1[[HomeTeam]:[HomeTeam]], N$1, Table1[[ActualResult]:[ActualResult]], "SO") + SUMIFS(Table1[[AwayWon]:[AwayWon]], Table1[[GameIsOver]:[GameIsOver]],1,Table1[[HomeTeam]:[HomeTeam]],$A5, Table1[[AwayTeam]:[AwayTeam]], N$1, Table1[[ActualResult]:[ActualResult]], "SO"),0))</f>
        <v>0-0-0</v>
      </c>
      <c r="O5" s="43" t="str">
        <f>_xlfn.CONCAT(TEXT(SUMIFS(Table1[[AwayWon]:[AwayWon]], Table1[[GameIsOver]:[GameIsOver]],1,Table1[[AwayTeam]:[AwayTeam]],$A5, Table1[[HomeTeam]:[HomeTeam]], O$1) + SUMIFS(Table1[[HomeWon]:[HomeWon]], Table1[[GameIsOver]:[GameIsOver]],1,Table1[[HomeTeam]:[HomeTeam]],$A5, Table1[[AwayTeam]:[AwayTeam]], O$1),0), "-", TEXT(SUMIFS(Table1[[HomeWon]:[HomeWon]], Table1[[GameIsOver]:[GameIsOver]],1,Table1[[AwayTeam]:[AwayTeam]],$A5, Table1[[HomeTeam]:[HomeTeam]], O$1, Table1[[ActualResult]:[ActualResult]], "REG") + SUMIFS(Table1[[AwayWon]:[AwayWon]], Table1[[GameIsOver]:[GameIsOver]],1,Table1[[HomeTeam]:[HomeTeam]],$A5, Table1[[AwayTeam]:[AwayTeam]], O$1, Table1[[ActualResult]:[ActualResult]], "REG"),0), "-", TEXT(SUMIFS(Table1[[HomeWon]:[HomeWon]], Table1[[GameIsOver]:[GameIsOver]],1,Table1[[AwayTeam]:[AwayTeam]],$A5, Table1[[HomeTeam]:[HomeTeam]], O$1, Table1[[ActualResult]:[ActualResult]], "OT") + SUMIFS(Table1[[AwayWon]:[AwayWon]], Table1[[GameIsOver]:[GameIsOver]],1,Table1[[HomeTeam]:[HomeTeam]],$A5, Table1[[AwayTeam]:[AwayTeam]], O$1, Table1[[ActualResult]:[ActualResult]], "OT") + SUMIFS(Table1[[HomeWon]:[HomeWon]], Table1[[GameIsOver]:[GameIsOver]],1,Table1[[AwayTeam]:[AwayTeam]],$A5, Table1[[HomeTeam]:[HomeTeam]], O$1, Table1[[ActualResult]:[ActualResult]], "SO") + SUMIFS(Table1[[AwayWon]:[AwayWon]], Table1[[GameIsOver]:[GameIsOver]],1,Table1[[HomeTeam]:[HomeTeam]],$A5, Table1[[AwayTeam]:[AwayTeam]], O$1, Table1[[ActualResult]:[ActualResult]], "SO"),0))</f>
        <v>0-0-0</v>
      </c>
      <c r="P5" s="43" t="str">
        <f>_xlfn.CONCAT(TEXT(SUMIFS(Table1[[AwayWon]:[AwayWon]], Table1[[GameIsOver]:[GameIsOver]],1,Table1[[AwayTeam]:[AwayTeam]],$A5, Table1[[HomeTeam]:[HomeTeam]], P$1) + SUMIFS(Table1[[HomeWon]:[HomeWon]], Table1[[GameIsOver]:[GameIsOver]],1,Table1[[HomeTeam]:[HomeTeam]],$A5, Table1[[AwayTeam]:[AwayTeam]], P$1),0), "-", TEXT(SUMIFS(Table1[[HomeWon]:[HomeWon]], Table1[[GameIsOver]:[GameIsOver]],1,Table1[[AwayTeam]:[AwayTeam]],$A5, Table1[[HomeTeam]:[HomeTeam]], P$1, Table1[[ActualResult]:[ActualResult]], "REG") + SUMIFS(Table1[[AwayWon]:[AwayWon]], Table1[[GameIsOver]:[GameIsOver]],1,Table1[[HomeTeam]:[HomeTeam]],$A5, Table1[[AwayTeam]:[AwayTeam]], P$1, Table1[[ActualResult]:[ActualResult]], "REG"),0), "-", TEXT(SUMIFS(Table1[[HomeWon]:[HomeWon]], Table1[[GameIsOver]:[GameIsOver]],1,Table1[[AwayTeam]:[AwayTeam]],$A5, Table1[[HomeTeam]:[HomeTeam]], P$1, Table1[[ActualResult]:[ActualResult]], "OT") + SUMIFS(Table1[[AwayWon]:[AwayWon]], Table1[[GameIsOver]:[GameIsOver]],1,Table1[[HomeTeam]:[HomeTeam]],$A5, Table1[[AwayTeam]:[AwayTeam]], P$1, Table1[[ActualResult]:[ActualResult]], "OT") + SUMIFS(Table1[[HomeWon]:[HomeWon]], Table1[[GameIsOver]:[GameIsOver]],1,Table1[[AwayTeam]:[AwayTeam]],$A5, Table1[[HomeTeam]:[HomeTeam]], P$1, Table1[[ActualResult]:[ActualResult]], "SO") + SUMIFS(Table1[[AwayWon]:[AwayWon]], Table1[[GameIsOver]:[GameIsOver]],1,Table1[[HomeTeam]:[HomeTeam]],$A5, Table1[[AwayTeam]:[AwayTeam]], P$1, Table1[[ActualResult]:[ActualResult]], "SO"),0))</f>
        <v>0-0-0</v>
      </c>
      <c r="Q5" s="45" t="str">
        <f>_xlfn.CONCAT(TEXT(SUMIFS(Table1[[AwayWon]:[AwayWon]], Table1[[GameIsOver]:[GameIsOver]],1,Table1[[AwayTeam]:[AwayTeam]],$A5, Table1[[HomeTeam]:[HomeTeam]], Q$1) + SUMIFS(Table1[[HomeWon]:[HomeWon]], Table1[[GameIsOver]:[GameIsOver]],1,Table1[[HomeTeam]:[HomeTeam]],$A5, Table1[[AwayTeam]:[AwayTeam]], Q$1),0), "-", TEXT(SUMIFS(Table1[[HomeWon]:[HomeWon]], Table1[[GameIsOver]:[GameIsOver]],1,Table1[[AwayTeam]:[AwayTeam]],$A5, Table1[[HomeTeam]:[HomeTeam]], Q$1, Table1[[ActualResult]:[ActualResult]], "REG") + SUMIFS(Table1[[AwayWon]:[AwayWon]], Table1[[GameIsOver]:[GameIsOver]],1,Table1[[HomeTeam]:[HomeTeam]],$A5, Table1[[AwayTeam]:[AwayTeam]], Q$1, Table1[[ActualResult]:[ActualResult]], "REG"),0), "-", TEXT(SUMIFS(Table1[[HomeWon]:[HomeWon]], Table1[[GameIsOver]:[GameIsOver]],1,Table1[[AwayTeam]:[AwayTeam]],$A5, Table1[[HomeTeam]:[HomeTeam]], Q$1, Table1[[ActualResult]:[ActualResult]], "OT") + SUMIFS(Table1[[AwayWon]:[AwayWon]], Table1[[GameIsOver]:[GameIsOver]],1,Table1[[HomeTeam]:[HomeTeam]],$A5, Table1[[AwayTeam]:[AwayTeam]], Q$1, Table1[[ActualResult]:[ActualResult]], "OT") + SUMIFS(Table1[[HomeWon]:[HomeWon]], Table1[[GameIsOver]:[GameIsOver]],1,Table1[[AwayTeam]:[AwayTeam]],$A5, Table1[[HomeTeam]:[HomeTeam]], Q$1, Table1[[ActualResult]:[ActualResult]], "SO") + SUMIFS(Table1[[AwayWon]:[AwayWon]], Table1[[GameIsOver]:[GameIsOver]],1,Table1[[HomeTeam]:[HomeTeam]],$A5, Table1[[AwayTeam]:[AwayTeam]], Q$1, Table1[[ActualResult]:[ActualResult]], "SO"),0))</f>
        <v>0-0-0</v>
      </c>
      <c r="R5" s="43" t="str">
        <f>_xlfn.CONCAT(TEXT(SUMIFS(Table1[[AwayWon]:[AwayWon]], Table1[[GameIsOver]:[GameIsOver]],1,Table1[[AwayTeam]:[AwayTeam]],$A5, Table1[[HomeTeam]:[HomeTeam]], R$1) + SUMIFS(Table1[[HomeWon]:[HomeWon]], Table1[[GameIsOver]:[GameIsOver]],1,Table1[[HomeTeam]:[HomeTeam]],$A5, Table1[[AwayTeam]:[AwayTeam]], R$1),0), "-", TEXT(SUMIFS(Table1[[HomeWon]:[HomeWon]], Table1[[GameIsOver]:[GameIsOver]],1,Table1[[AwayTeam]:[AwayTeam]],$A5, Table1[[HomeTeam]:[HomeTeam]], R$1, Table1[[ActualResult]:[ActualResult]], "REG") + SUMIFS(Table1[[AwayWon]:[AwayWon]], Table1[[GameIsOver]:[GameIsOver]],1,Table1[[HomeTeam]:[HomeTeam]],$A5, Table1[[AwayTeam]:[AwayTeam]], R$1, Table1[[ActualResult]:[ActualResult]], "REG"),0), "-", TEXT(SUMIFS(Table1[[HomeWon]:[HomeWon]], Table1[[GameIsOver]:[GameIsOver]],1,Table1[[AwayTeam]:[AwayTeam]],$A5, Table1[[HomeTeam]:[HomeTeam]], R$1, Table1[[ActualResult]:[ActualResult]], "OT") + SUMIFS(Table1[[AwayWon]:[AwayWon]], Table1[[GameIsOver]:[GameIsOver]],1,Table1[[HomeTeam]:[HomeTeam]],$A5, Table1[[AwayTeam]:[AwayTeam]], R$1, Table1[[ActualResult]:[ActualResult]], "OT") + SUMIFS(Table1[[HomeWon]:[HomeWon]], Table1[[GameIsOver]:[GameIsOver]],1,Table1[[AwayTeam]:[AwayTeam]],$A5, Table1[[HomeTeam]:[HomeTeam]], R$1, Table1[[ActualResult]:[ActualResult]], "SO") + SUMIFS(Table1[[AwayWon]:[AwayWon]], Table1[[GameIsOver]:[GameIsOver]],1,Table1[[HomeTeam]:[HomeTeam]],$A5, Table1[[AwayTeam]:[AwayTeam]], R$1, Table1[[ActualResult]:[ActualResult]], "SO"),0))</f>
        <v>0-0-0</v>
      </c>
      <c r="S5" s="43" t="str">
        <f>_xlfn.CONCAT(TEXT(SUMIFS(Table1[[AwayWon]:[AwayWon]], Table1[[GameIsOver]:[GameIsOver]],1,Table1[[AwayTeam]:[AwayTeam]],$A5, Table1[[HomeTeam]:[HomeTeam]], S$1) + SUMIFS(Table1[[HomeWon]:[HomeWon]], Table1[[GameIsOver]:[GameIsOver]],1,Table1[[HomeTeam]:[HomeTeam]],$A5, Table1[[AwayTeam]:[AwayTeam]], S$1),0), "-", TEXT(SUMIFS(Table1[[HomeWon]:[HomeWon]], Table1[[GameIsOver]:[GameIsOver]],1,Table1[[AwayTeam]:[AwayTeam]],$A5, Table1[[HomeTeam]:[HomeTeam]], S$1, Table1[[ActualResult]:[ActualResult]], "REG") + SUMIFS(Table1[[AwayWon]:[AwayWon]], Table1[[GameIsOver]:[GameIsOver]],1,Table1[[HomeTeam]:[HomeTeam]],$A5, Table1[[AwayTeam]:[AwayTeam]], S$1, Table1[[ActualResult]:[ActualResult]], "REG"),0), "-", TEXT(SUMIFS(Table1[[HomeWon]:[HomeWon]], Table1[[GameIsOver]:[GameIsOver]],1,Table1[[AwayTeam]:[AwayTeam]],$A5, Table1[[HomeTeam]:[HomeTeam]], S$1, Table1[[ActualResult]:[ActualResult]], "OT") + SUMIFS(Table1[[AwayWon]:[AwayWon]], Table1[[GameIsOver]:[GameIsOver]],1,Table1[[HomeTeam]:[HomeTeam]],$A5, Table1[[AwayTeam]:[AwayTeam]], S$1, Table1[[ActualResult]:[ActualResult]], "OT") + SUMIFS(Table1[[HomeWon]:[HomeWon]], Table1[[GameIsOver]:[GameIsOver]],1,Table1[[AwayTeam]:[AwayTeam]],$A5, Table1[[HomeTeam]:[HomeTeam]], S$1, Table1[[ActualResult]:[ActualResult]], "SO") + SUMIFS(Table1[[AwayWon]:[AwayWon]], Table1[[GameIsOver]:[GameIsOver]],1,Table1[[HomeTeam]:[HomeTeam]],$A5, Table1[[AwayTeam]:[AwayTeam]], S$1, Table1[[ActualResult]:[ActualResult]], "SO"),0))</f>
        <v>0-0-0</v>
      </c>
      <c r="T5" s="43" t="str">
        <f>_xlfn.CONCAT(TEXT(SUMIFS(Table1[[AwayWon]:[AwayWon]], Table1[[GameIsOver]:[GameIsOver]],1,Table1[[AwayTeam]:[AwayTeam]],$A5, Table1[[HomeTeam]:[HomeTeam]], T$1) + SUMIFS(Table1[[HomeWon]:[HomeWon]], Table1[[GameIsOver]:[GameIsOver]],1,Table1[[HomeTeam]:[HomeTeam]],$A5, Table1[[AwayTeam]:[AwayTeam]], T$1),0), "-", TEXT(SUMIFS(Table1[[HomeWon]:[HomeWon]], Table1[[GameIsOver]:[GameIsOver]],1,Table1[[AwayTeam]:[AwayTeam]],$A5, Table1[[HomeTeam]:[HomeTeam]], T$1, Table1[[ActualResult]:[ActualResult]], "REG") + SUMIFS(Table1[[AwayWon]:[AwayWon]], Table1[[GameIsOver]:[GameIsOver]],1,Table1[[HomeTeam]:[HomeTeam]],$A5, Table1[[AwayTeam]:[AwayTeam]], T$1, Table1[[ActualResult]:[ActualResult]], "REG"),0), "-", TEXT(SUMIFS(Table1[[HomeWon]:[HomeWon]], Table1[[GameIsOver]:[GameIsOver]],1,Table1[[AwayTeam]:[AwayTeam]],$A5, Table1[[HomeTeam]:[HomeTeam]], T$1, Table1[[ActualResult]:[ActualResult]], "OT") + SUMIFS(Table1[[AwayWon]:[AwayWon]], Table1[[GameIsOver]:[GameIsOver]],1,Table1[[HomeTeam]:[HomeTeam]],$A5, Table1[[AwayTeam]:[AwayTeam]], T$1, Table1[[ActualResult]:[ActualResult]], "OT") + SUMIFS(Table1[[HomeWon]:[HomeWon]], Table1[[GameIsOver]:[GameIsOver]],1,Table1[[AwayTeam]:[AwayTeam]],$A5, Table1[[HomeTeam]:[HomeTeam]], T$1, Table1[[ActualResult]:[ActualResult]], "SO") + SUMIFS(Table1[[AwayWon]:[AwayWon]], Table1[[GameIsOver]:[GameIsOver]],1,Table1[[HomeTeam]:[HomeTeam]],$A5, Table1[[AwayTeam]:[AwayTeam]], T$1, Table1[[ActualResult]:[ActualResult]], "SO"),0))</f>
        <v>0-0-0</v>
      </c>
      <c r="U5" s="43" t="str">
        <f>_xlfn.CONCAT(TEXT(SUMIFS(Table1[[AwayWon]:[AwayWon]], Table1[[GameIsOver]:[GameIsOver]],1,Table1[[AwayTeam]:[AwayTeam]],$A5, Table1[[HomeTeam]:[HomeTeam]], U$1) + SUMIFS(Table1[[HomeWon]:[HomeWon]], Table1[[GameIsOver]:[GameIsOver]],1,Table1[[HomeTeam]:[HomeTeam]],$A5, Table1[[AwayTeam]:[AwayTeam]], U$1),0), "-", TEXT(SUMIFS(Table1[[HomeWon]:[HomeWon]], Table1[[GameIsOver]:[GameIsOver]],1,Table1[[AwayTeam]:[AwayTeam]],$A5, Table1[[HomeTeam]:[HomeTeam]], U$1, Table1[[ActualResult]:[ActualResult]], "REG") + SUMIFS(Table1[[AwayWon]:[AwayWon]], Table1[[GameIsOver]:[GameIsOver]],1,Table1[[HomeTeam]:[HomeTeam]],$A5, Table1[[AwayTeam]:[AwayTeam]], U$1, Table1[[ActualResult]:[ActualResult]], "REG"),0), "-", TEXT(SUMIFS(Table1[[HomeWon]:[HomeWon]], Table1[[GameIsOver]:[GameIsOver]],1,Table1[[AwayTeam]:[AwayTeam]],$A5, Table1[[HomeTeam]:[HomeTeam]], U$1, Table1[[ActualResult]:[ActualResult]], "OT") + SUMIFS(Table1[[AwayWon]:[AwayWon]], Table1[[GameIsOver]:[GameIsOver]],1,Table1[[HomeTeam]:[HomeTeam]],$A5, Table1[[AwayTeam]:[AwayTeam]], U$1, Table1[[ActualResult]:[ActualResult]], "OT") + SUMIFS(Table1[[HomeWon]:[HomeWon]], Table1[[GameIsOver]:[GameIsOver]],1,Table1[[AwayTeam]:[AwayTeam]],$A5, Table1[[HomeTeam]:[HomeTeam]], U$1, Table1[[ActualResult]:[ActualResult]], "SO") + SUMIFS(Table1[[AwayWon]:[AwayWon]], Table1[[GameIsOver]:[GameIsOver]],1,Table1[[HomeTeam]:[HomeTeam]],$A5, Table1[[AwayTeam]:[AwayTeam]], U$1, Table1[[ActualResult]:[ActualResult]], "SO"),0))</f>
        <v>0-0-0</v>
      </c>
      <c r="V5" s="43" t="str">
        <f>_xlfn.CONCAT(TEXT(SUMIFS(Table1[[AwayWon]:[AwayWon]], Table1[[GameIsOver]:[GameIsOver]],1,Table1[[AwayTeam]:[AwayTeam]],$A5, Table1[[HomeTeam]:[HomeTeam]], V$1) + SUMIFS(Table1[[HomeWon]:[HomeWon]], Table1[[GameIsOver]:[GameIsOver]],1,Table1[[HomeTeam]:[HomeTeam]],$A5, Table1[[AwayTeam]:[AwayTeam]], V$1),0), "-", TEXT(SUMIFS(Table1[[HomeWon]:[HomeWon]], Table1[[GameIsOver]:[GameIsOver]],1,Table1[[AwayTeam]:[AwayTeam]],$A5, Table1[[HomeTeam]:[HomeTeam]], V$1, Table1[[ActualResult]:[ActualResult]], "REG") + SUMIFS(Table1[[AwayWon]:[AwayWon]], Table1[[GameIsOver]:[GameIsOver]],1,Table1[[HomeTeam]:[HomeTeam]],$A5, Table1[[AwayTeam]:[AwayTeam]], V$1, Table1[[ActualResult]:[ActualResult]], "REG"),0), "-", TEXT(SUMIFS(Table1[[HomeWon]:[HomeWon]], Table1[[GameIsOver]:[GameIsOver]],1,Table1[[AwayTeam]:[AwayTeam]],$A5, Table1[[HomeTeam]:[HomeTeam]], V$1, Table1[[ActualResult]:[ActualResult]], "OT") + SUMIFS(Table1[[AwayWon]:[AwayWon]], Table1[[GameIsOver]:[GameIsOver]],1,Table1[[HomeTeam]:[HomeTeam]],$A5, Table1[[AwayTeam]:[AwayTeam]], V$1, Table1[[ActualResult]:[ActualResult]], "OT") + SUMIFS(Table1[[HomeWon]:[HomeWon]], Table1[[GameIsOver]:[GameIsOver]],1,Table1[[AwayTeam]:[AwayTeam]],$A5, Table1[[HomeTeam]:[HomeTeam]], V$1, Table1[[ActualResult]:[ActualResult]], "SO") + SUMIFS(Table1[[AwayWon]:[AwayWon]], Table1[[GameIsOver]:[GameIsOver]],1,Table1[[HomeTeam]:[HomeTeam]],$A5, Table1[[AwayTeam]:[AwayTeam]], V$1, Table1[[ActualResult]:[ActualResult]], "SO"),0))</f>
        <v>0-0-0</v>
      </c>
      <c r="W5" s="43" t="str">
        <f>_xlfn.CONCAT(TEXT(SUMIFS(Table1[[AwayWon]:[AwayWon]], Table1[[GameIsOver]:[GameIsOver]],1,Table1[[AwayTeam]:[AwayTeam]],$A5, Table1[[HomeTeam]:[HomeTeam]], W$1) + SUMIFS(Table1[[HomeWon]:[HomeWon]], Table1[[GameIsOver]:[GameIsOver]],1,Table1[[HomeTeam]:[HomeTeam]],$A5, Table1[[AwayTeam]:[AwayTeam]], W$1),0), "-", TEXT(SUMIFS(Table1[[HomeWon]:[HomeWon]], Table1[[GameIsOver]:[GameIsOver]],1,Table1[[AwayTeam]:[AwayTeam]],$A5, Table1[[HomeTeam]:[HomeTeam]], W$1, Table1[[ActualResult]:[ActualResult]], "REG") + SUMIFS(Table1[[AwayWon]:[AwayWon]], Table1[[GameIsOver]:[GameIsOver]],1,Table1[[HomeTeam]:[HomeTeam]],$A5, Table1[[AwayTeam]:[AwayTeam]], W$1, Table1[[ActualResult]:[ActualResult]], "REG"),0), "-", TEXT(SUMIFS(Table1[[HomeWon]:[HomeWon]], Table1[[GameIsOver]:[GameIsOver]],1,Table1[[AwayTeam]:[AwayTeam]],$A5, Table1[[HomeTeam]:[HomeTeam]], W$1, Table1[[ActualResult]:[ActualResult]], "OT") + SUMIFS(Table1[[AwayWon]:[AwayWon]], Table1[[GameIsOver]:[GameIsOver]],1,Table1[[HomeTeam]:[HomeTeam]],$A5, Table1[[AwayTeam]:[AwayTeam]], W$1, Table1[[ActualResult]:[ActualResult]], "OT") + SUMIFS(Table1[[HomeWon]:[HomeWon]], Table1[[GameIsOver]:[GameIsOver]],1,Table1[[AwayTeam]:[AwayTeam]],$A5, Table1[[HomeTeam]:[HomeTeam]], W$1, Table1[[ActualResult]:[ActualResult]], "SO") + SUMIFS(Table1[[AwayWon]:[AwayWon]], Table1[[GameIsOver]:[GameIsOver]],1,Table1[[HomeTeam]:[HomeTeam]],$A5, Table1[[AwayTeam]:[AwayTeam]], W$1, Table1[[ActualResult]:[ActualResult]], "SO"),0))</f>
        <v>0-0-0</v>
      </c>
      <c r="X5" s="43" t="str">
        <f>_xlfn.CONCAT(TEXT(SUMIFS(Table1[[AwayWon]:[AwayWon]], Table1[[GameIsOver]:[GameIsOver]],1,Table1[[AwayTeam]:[AwayTeam]],$A5, Table1[[HomeTeam]:[HomeTeam]], X$1) + SUMIFS(Table1[[HomeWon]:[HomeWon]], Table1[[GameIsOver]:[GameIsOver]],1,Table1[[HomeTeam]:[HomeTeam]],$A5, Table1[[AwayTeam]:[AwayTeam]], X$1),0), "-", TEXT(SUMIFS(Table1[[HomeWon]:[HomeWon]], Table1[[GameIsOver]:[GameIsOver]],1,Table1[[AwayTeam]:[AwayTeam]],$A5, Table1[[HomeTeam]:[HomeTeam]], X$1, Table1[[ActualResult]:[ActualResult]], "REG") + SUMIFS(Table1[[AwayWon]:[AwayWon]], Table1[[GameIsOver]:[GameIsOver]],1,Table1[[HomeTeam]:[HomeTeam]],$A5, Table1[[AwayTeam]:[AwayTeam]], X$1, Table1[[ActualResult]:[ActualResult]], "REG"),0), "-", TEXT(SUMIFS(Table1[[HomeWon]:[HomeWon]], Table1[[GameIsOver]:[GameIsOver]],1,Table1[[AwayTeam]:[AwayTeam]],$A5, Table1[[HomeTeam]:[HomeTeam]], X$1, Table1[[ActualResult]:[ActualResult]], "OT") + SUMIFS(Table1[[AwayWon]:[AwayWon]], Table1[[GameIsOver]:[GameIsOver]],1,Table1[[HomeTeam]:[HomeTeam]],$A5, Table1[[AwayTeam]:[AwayTeam]], X$1, Table1[[ActualResult]:[ActualResult]], "OT") + SUMIFS(Table1[[HomeWon]:[HomeWon]], Table1[[GameIsOver]:[GameIsOver]],1,Table1[[AwayTeam]:[AwayTeam]],$A5, Table1[[HomeTeam]:[HomeTeam]], X$1, Table1[[ActualResult]:[ActualResult]], "SO") + SUMIFS(Table1[[AwayWon]:[AwayWon]], Table1[[GameIsOver]:[GameIsOver]],1,Table1[[HomeTeam]:[HomeTeam]],$A5, Table1[[AwayTeam]:[AwayTeam]], X$1, Table1[[ActualResult]:[ActualResult]], "SO"),0))</f>
        <v>0-0-0</v>
      </c>
      <c r="Y5" s="45" t="str">
        <f>_xlfn.CONCAT(TEXT(SUMIFS(Table1[[AwayWon]:[AwayWon]], Table1[[GameIsOver]:[GameIsOver]],1,Table1[[AwayTeam]:[AwayTeam]],$A5, Table1[[HomeTeam]:[HomeTeam]], Y$1) + SUMIFS(Table1[[HomeWon]:[HomeWon]], Table1[[GameIsOver]:[GameIsOver]],1,Table1[[HomeTeam]:[HomeTeam]],$A5, Table1[[AwayTeam]:[AwayTeam]], Y$1),0), "-", TEXT(SUMIFS(Table1[[HomeWon]:[HomeWon]], Table1[[GameIsOver]:[GameIsOver]],1,Table1[[AwayTeam]:[AwayTeam]],$A5, Table1[[HomeTeam]:[HomeTeam]], Y$1, Table1[[ActualResult]:[ActualResult]], "REG") + SUMIFS(Table1[[AwayWon]:[AwayWon]], Table1[[GameIsOver]:[GameIsOver]],1,Table1[[HomeTeam]:[HomeTeam]],$A5, Table1[[AwayTeam]:[AwayTeam]], Y$1, Table1[[ActualResult]:[ActualResult]], "REG"),0), "-", TEXT(SUMIFS(Table1[[HomeWon]:[HomeWon]], Table1[[GameIsOver]:[GameIsOver]],1,Table1[[AwayTeam]:[AwayTeam]],$A5, Table1[[HomeTeam]:[HomeTeam]], Y$1, Table1[[ActualResult]:[ActualResult]], "OT") + SUMIFS(Table1[[AwayWon]:[AwayWon]], Table1[[GameIsOver]:[GameIsOver]],1,Table1[[HomeTeam]:[HomeTeam]],$A5, Table1[[AwayTeam]:[AwayTeam]], Y$1, Table1[[ActualResult]:[ActualResult]], "OT") + SUMIFS(Table1[[HomeWon]:[HomeWon]], Table1[[GameIsOver]:[GameIsOver]],1,Table1[[AwayTeam]:[AwayTeam]],$A5, Table1[[HomeTeam]:[HomeTeam]], Y$1, Table1[[ActualResult]:[ActualResult]], "SO") + SUMIFS(Table1[[AwayWon]:[AwayWon]], Table1[[GameIsOver]:[GameIsOver]],1,Table1[[HomeTeam]:[HomeTeam]],$A5, Table1[[AwayTeam]:[AwayTeam]], Y$1, Table1[[ActualResult]:[ActualResult]], "SO"),0))</f>
        <v>0-0-0</v>
      </c>
      <c r="Z5" s="43" t="str">
        <f>_xlfn.CONCAT(TEXT(SUMIFS(Table1[[AwayWon]:[AwayWon]], Table1[[GameIsOver]:[GameIsOver]],1,Table1[[AwayTeam]:[AwayTeam]],$A5, Table1[[HomeTeam]:[HomeTeam]], Z$1) + SUMIFS(Table1[[HomeWon]:[HomeWon]], Table1[[GameIsOver]:[GameIsOver]],1,Table1[[HomeTeam]:[HomeTeam]],$A5, Table1[[AwayTeam]:[AwayTeam]], Z$1),0), "-", TEXT(SUMIFS(Table1[[HomeWon]:[HomeWon]], Table1[[GameIsOver]:[GameIsOver]],1,Table1[[AwayTeam]:[AwayTeam]],$A5, Table1[[HomeTeam]:[HomeTeam]], Z$1, Table1[[ActualResult]:[ActualResult]], "REG") + SUMIFS(Table1[[AwayWon]:[AwayWon]], Table1[[GameIsOver]:[GameIsOver]],1,Table1[[HomeTeam]:[HomeTeam]],$A5, Table1[[AwayTeam]:[AwayTeam]], Z$1, Table1[[ActualResult]:[ActualResult]], "REG"),0), "-", TEXT(SUMIFS(Table1[[HomeWon]:[HomeWon]], Table1[[GameIsOver]:[GameIsOver]],1,Table1[[AwayTeam]:[AwayTeam]],$A5, Table1[[HomeTeam]:[HomeTeam]], Z$1, Table1[[ActualResult]:[ActualResult]], "OT") + SUMIFS(Table1[[AwayWon]:[AwayWon]], Table1[[GameIsOver]:[GameIsOver]],1,Table1[[HomeTeam]:[HomeTeam]],$A5, Table1[[AwayTeam]:[AwayTeam]], Z$1, Table1[[ActualResult]:[ActualResult]], "OT") + SUMIFS(Table1[[HomeWon]:[HomeWon]], Table1[[GameIsOver]:[GameIsOver]],1,Table1[[AwayTeam]:[AwayTeam]],$A5, Table1[[HomeTeam]:[HomeTeam]], Z$1, Table1[[ActualResult]:[ActualResult]], "SO") + SUMIFS(Table1[[AwayWon]:[AwayWon]], Table1[[GameIsOver]:[GameIsOver]],1,Table1[[HomeTeam]:[HomeTeam]],$A5, Table1[[AwayTeam]:[AwayTeam]], Z$1, Table1[[ActualResult]:[ActualResult]], "SO"),0))</f>
        <v>0-0-0</v>
      </c>
      <c r="AA5" s="43" t="str">
        <f>_xlfn.CONCAT(TEXT(SUMIFS(Table1[[AwayWon]:[AwayWon]], Table1[[GameIsOver]:[GameIsOver]],1,Table1[[AwayTeam]:[AwayTeam]],$A5, Table1[[HomeTeam]:[HomeTeam]], AA$1) + SUMIFS(Table1[[HomeWon]:[HomeWon]], Table1[[GameIsOver]:[GameIsOver]],1,Table1[[HomeTeam]:[HomeTeam]],$A5, Table1[[AwayTeam]:[AwayTeam]], AA$1),0), "-", TEXT(SUMIFS(Table1[[HomeWon]:[HomeWon]], Table1[[GameIsOver]:[GameIsOver]],1,Table1[[AwayTeam]:[AwayTeam]],$A5, Table1[[HomeTeam]:[HomeTeam]], AA$1, Table1[[ActualResult]:[ActualResult]], "REG") + SUMIFS(Table1[[AwayWon]:[AwayWon]], Table1[[GameIsOver]:[GameIsOver]],1,Table1[[HomeTeam]:[HomeTeam]],$A5, Table1[[AwayTeam]:[AwayTeam]], AA$1, Table1[[ActualResult]:[ActualResult]], "REG"),0), "-", TEXT(SUMIFS(Table1[[HomeWon]:[HomeWon]], Table1[[GameIsOver]:[GameIsOver]],1,Table1[[AwayTeam]:[AwayTeam]],$A5, Table1[[HomeTeam]:[HomeTeam]], AA$1, Table1[[ActualResult]:[ActualResult]], "OT") + SUMIFS(Table1[[AwayWon]:[AwayWon]], Table1[[GameIsOver]:[GameIsOver]],1,Table1[[HomeTeam]:[HomeTeam]],$A5, Table1[[AwayTeam]:[AwayTeam]], AA$1, Table1[[ActualResult]:[ActualResult]], "OT") + SUMIFS(Table1[[HomeWon]:[HomeWon]], Table1[[GameIsOver]:[GameIsOver]],1,Table1[[AwayTeam]:[AwayTeam]],$A5, Table1[[HomeTeam]:[HomeTeam]], AA$1, Table1[[ActualResult]:[ActualResult]], "SO") + SUMIFS(Table1[[AwayWon]:[AwayWon]], Table1[[GameIsOver]:[GameIsOver]],1,Table1[[HomeTeam]:[HomeTeam]],$A5, Table1[[AwayTeam]:[AwayTeam]], AA$1, Table1[[ActualResult]:[ActualResult]], "SO"),0))</f>
        <v>0-0-0</v>
      </c>
      <c r="AB5" s="43" t="str">
        <f>_xlfn.CONCAT(TEXT(SUMIFS(Table1[[AwayWon]:[AwayWon]], Table1[[GameIsOver]:[GameIsOver]],1,Table1[[AwayTeam]:[AwayTeam]],$A5, Table1[[HomeTeam]:[HomeTeam]], AB$1) + SUMIFS(Table1[[HomeWon]:[HomeWon]], Table1[[GameIsOver]:[GameIsOver]],1,Table1[[HomeTeam]:[HomeTeam]],$A5, Table1[[AwayTeam]:[AwayTeam]], AB$1),0), "-", TEXT(SUMIFS(Table1[[HomeWon]:[HomeWon]], Table1[[GameIsOver]:[GameIsOver]],1,Table1[[AwayTeam]:[AwayTeam]],$A5, Table1[[HomeTeam]:[HomeTeam]], AB$1, Table1[[ActualResult]:[ActualResult]], "REG") + SUMIFS(Table1[[AwayWon]:[AwayWon]], Table1[[GameIsOver]:[GameIsOver]],1,Table1[[HomeTeam]:[HomeTeam]],$A5, Table1[[AwayTeam]:[AwayTeam]], AB$1, Table1[[ActualResult]:[ActualResult]], "REG"),0), "-", TEXT(SUMIFS(Table1[[HomeWon]:[HomeWon]], Table1[[GameIsOver]:[GameIsOver]],1,Table1[[AwayTeam]:[AwayTeam]],$A5, Table1[[HomeTeam]:[HomeTeam]], AB$1, Table1[[ActualResult]:[ActualResult]], "OT") + SUMIFS(Table1[[AwayWon]:[AwayWon]], Table1[[GameIsOver]:[GameIsOver]],1,Table1[[HomeTeam]:[HomeTeam]],$A5, Table1[[AwayTeam]:[AwayTeam]], AB$1, Table1[[ActualResult]:[ActualResult]], "OT") + SUMIFS(Table1[[HomeWon]:[HomeWon]], Table1[[GameIsOver]:[GameIsOver]],1,Table1[[AwayTeam]:[AwayTeam]],$A5, Table1[[HomeTeam]:[HomeTeam]], AB$1, Table1[[ActualResult]:[ActualResult]], "SO") + SUMIFS(Table1[[AwayWon]:[AwayWon]], Table1[[GameIsOver]:[GameIsOver]],1,Table1[[HomeTeam]:[HomeTeam]],$A5, Table1[[AwayTeam]:[AwayTeam]], AB$1, Table1[[ActualResult]:[ActualResult]], "SO"),0))</f>
        <v>0-0-0</v>
      </c>
      <c r="AC5" s="43" t="str">
        <f>_xlfn.CONCAT(TEXT(SUMIFS(Table1[[AwayWon]:[AwayWon]], Table1[[GameIsOver]:[GameIsOver]],1,Table1[[AwayTeam]:[AwayTeam]],$A5, Table1[[HomeTeam]:[HomeTeam]], AC$1) + SUMIFS(Table1[[HomeWon]:[HomeWon]], Table1[[GameIsOver]:[GameIsOver]],1,Table1[[HomeTeam]:[HomeTeam]],$A5, Table1[[AwayTeam]:[AwayTeam]], AC$1),0), "-", TEXT(SUMIFS(Table1[[HomeWon]:[HomeWon]], Table1[[GameIsOver]:[GameIsOver]],1,Table1[[AwayTeam]:[AwayTeam]],$A5, Table1[[HomeTeam]:[HomeTeam]], AC$1, Table1[[ActualResult]:[ActualResult]], "REG") + SUMIFS(Table1[[AwayWon]:[AwayWon]], Table1[[GameIsOver]:[GameIsOver]],1,Table1[[HomeTeam]:[HomeTeam]],$A5, Table1[[AwayTeam]:[AwayTeam]], AC$1, Table1[[ActualResult]:[ActualResult]], "REG"),0), "-", TEXT(SUMIFS(Table1[[HomeWon]:[HomeWon]], Table1[[GameIsOver]:[GameIsOver]],1,Table1[[AwayTeam]:[AwayTeam]],$A5, Table1[[HomeTeam]:[HomeTeam]], AC$1, Table1[[ActualResult]:[ActualResult]], "OT") + SUMIFS(Table1[[AwayWon]:[AwayWon]], Table1[[GameIsOver]:[GameIsOver]],1,Table1[[HomeTeam]:[HomeTeam]],$A5, Table1[[AwayTeam]:[AwayTeam]], AC$1, Table1[[ActualResult]:[ActualResult]], "OT") + SUMIFS(Table1[[HomeWon]:[HomeWon]], Table1[[GameIsOver]:[GameIsOver]],1,Table1[[AwayTeam]:[AwayTeam]],$A5, Table1[[HomeTeam]:[HomeTeam]], AC$1, Table1[[ActualResult]:[ActualResult]], "SO") + SUMIFS(Table1[[AwayWon]:[AwayWon]], Table1[[GameIsOver]:[GameIsOver]],1,Table1[[HomeTeam]:[HomeTeam]],$A5, Table1[[AwayTeam]:[AwayTeam]], AC$1, Table1[[ActualResult]:[ActualResult]], "SO"),0))</f>
        <v>0-0-0</v>
      </c>
      <c r="AD5" s="43" t="str">
        <f>_xlfn.CONCAT(TEXT(SUMIFS(Table1[[AwayWon]:[AwayWon]], Table1[[GameIsOver]:[GameIsOver]],1,Table1[[AwayTeam]:[AwayTeam]],$A5, Table1[[HomeTeam]:[HomeTeam]], AD$1) + SUMIFS(Table1[[HomeWon]:[HomeWon]], Table1[[GameIsOver]:[GameIsOver]],1,Table1[[HomeTeam]:[HomeTeam]],$A5, Table1[[AwayTeam]:[AwayTeam]], AD$1),0), "-", TEXT(SUMIFS(Table1[[HomeWon]:[HomeWon]], Table1[[GameIsOver]:[GameIsOver]],1,Table1[[AwayTeam]:[AwayTeam]],$A5, Table1[[HomeTeam]:[HomeTeam]], AD$1, Table1[[ActualResult]:[ActualResult]], "REG") + SUMIFS(Table1[[AwayWon]:[AwayWon]], Table1[[GameIsOver]:[GameIsOver]],1,Table1[[HomeTeam]:[HomeTeam]],$A5, Table1[[AwayTeam]:[AwayTeam]], AD$1, Table1[[ActualResult]:[ActualResult]], "REG"),0), "-", TEXT(SUMIFS(Table1[[HomeWon]:[HomeWon]], Table1[[GameIsOver]:[GameIsOver]],1,Table1[[AwayTeam]:[AwayTeam]],$A5, Table1[[HomeTeam]:[HomeTeam]], AD$1, Table1[[ActualResult]:[ActualResult]], "OT") + SUMIFS(Table1[[AwayWon]:[AwayWon]], Table1[[GameIsOver]:[GameIsOver]],1,Table1[[HomeTeam]:[HomeTeam]],$A5, Table1[[AwayTeam]:[AwayTeam]], AD$1, Table1[[ActualResult]:[ActualResult]], "OT") + SUMIFS(Table1[[HomeWon]:[HomeWon]], Table1[[GameIsOver]:[GameIsOver]],1,Table1[[AwayTeam]:[AwayTeam]],$A5, Table1[[HomeTeam]:[HomeTeam]], AD$1, Table1[[ActualResult]:[ActualResult]], "SO") + SUMIFS(Table1[[AwayWon]:[AwayWon]], Table1[[GameIsOver]:[GameIsOver]],1,Table1[[HomeTeam]:[HomeTeam]],$A5, Table1[[AwayTeam]:[AwayTeam]], AD$1, Table1[[ActualResult]:[ActualResult]], "SO"),0))</f>
        <v>0-0-0</v>
      </c>
      <c r="AE5" s="43" t="str">
        <f>_xlfn.CONCAT(TEXT(SUMIFS(Table1[[AwayWon]:[AwayWon]], Table1[[GameIsOver]:[GameIsOver]],1,Table1[[AwayTeam]:[AwayTeam]],$A5, Table1[[HomeTeam]:[HomeTeam]], AE$1) + SUMIFS(Table1[[HomeWon]:[HomeWon]], Table1[[GameIsOver]:[GameIsOver]],1,Table1[[HomeTeam]:[HomeTeam]],$A5, Table1[[AwayTeam]:[AwayTeam]], AE$1),0), "-", TEXT(SUMIFS(Table1[[HomeWon]:[HomeWon]], Table1[[GameIsOver]:[GameIsOver]],1,Table1[[AwayTeam]:[AwayTeam]],$A5, Table1[[HomeTeam]:[HomeTeam]], AE$1, Table1[[ActualResult]:[ActualResult]], "REG") + SUMIFS(Table1[[AwayWon]:[AwayWon]], Table1[[GameIsOver]:[GameIsOver]],1,Table1[[HomeTeam]:[HomeTeam]],$A5, Table1[[AwayTeam]:[AwayTeam]], AE$1, Table1[[ActualResult]:[ActualResult]], "REG"),0), "-", TEXT(SUMIFS(Table1[[HomeWon]:[HomeWon]], Table1[[GameIsOver]:[GameIsOver]],1,Table1[[AwayTeam]:[AwayTeam]],$A5, Table1[[HomeTeam]:[HomeTeam]], AE$1, Table1[[ActualResult]:[ActualResult]], "OT") + SUMIFS(Table1[[AwayWon]:[AwayWon]], Table1[[GameIsOver]:[GameIsOver]],1,Table1[[HomeTeam]:[HomeTeam]],$A5, Table1[[AwayTeam]:[AwayTeam]], AE$1, Table1[[ActualResult]:[ActualResult]], "OT") + SUMIFS(Table1[[HomeWon]:[HomeWon]], Table1[[GameIsOver]:[GameIsOver]],1,Table1[[AwayTeam]:[AwayTeam]],$A5, Table1[[HomeTeam]:[HomeTeam]], AE$1, Table1[[ActualResult]:[ActualResult]], "SO") + SUMIFS(Table1[[AwayWon]:[AwayWon]], Table1[[GameIsOver]:[GameIsOver]],1,Table1[[HomeTeam]:[HomeTeam]],$A5, Table1[[AwayTeam]:[AwayTeam]], AE$1, Table1[[ActualResult]:[ActualResult]], "SO"),0))</f>
        <v>0-0-0</v>
      </c>
      <c r="AF5" s="43" t="str">
        <f>_xlfn.CONCAT(TEXT(SUMIFS(Table1[[AwayWon]:[AwayWon]], Table1[[GameIsOver]:[GameIsOver]],1,Table1[[AwayTeam]:[AwayTeam]],$A5, Table1[[HomeTeam]:[HomeTeam]], AF$1) + SUMIFS(Table1[[HomeWon]:[HomeWon]], Table1[[GameIsOver]:[GameIsOver]],1,Table1[[HomeTeam]:[HomeTeam]],$A5, Table1[[AwayTeam]:[AwayTeam]], AF$1),0), "-", TEXT(SUMIFS(Table1[[HomeWon]:[HomeWon]], Table1[[GameIsOver]:[GameIsOver]],1,Table1[[AwayTeam]:[AwayTeam]],$A5, Table1[[HomeTeam]:[HomeTeam]], AF$1, Table1[[ActualResult]:[ActualResult]], "REG") + SUMIFS(Table1[[AwayWon]:[AwayWon]], Table1[[GameIsOver]:[GameIsOver]],1,Table1[[HomeTeam]:[HomeTeam]],$A5, Table1[[AwayTeam]:[AwayTeam]], AF$1, Table1[[ActualResult]:[ActualResult]], "REG"),0), "-", TEXT(SUMIFS(Table1[[HomeWon]:[HomeWon]], Table1[[GameIsOver]:[GameIsOver]],1,Table1[[AwayTeam]:[AwayTeam]],$A5, Table1[[HomeTeam]:[HomeTeam]], AF$1, Table1[[ActualResult]:[ActualResult]], "OT") + SUMIFS(Table1[[AwayWon]:[AwayWon]], Table1[[GameIsOver]:[GameIsOver]],1,Table1[[HomeTeam]:[HomeTeam]],$A5, Table1[[AwayTeam]:[AwayTeam]], AF$1, Table1[[ActualResult]:[ActualResult]], "OT") + SUMIFS(Table1[[HomeWon]:[HomeWon]], Table1[[GameIsOver]:[GameIsOver]],1,Table1[[AwayTeam]:[AwayTeam]],$A5, Table1[[HomeTeam]:[HomeTeam]], AF$1, Table1[[ActualResult]:[ActualResult]], "SO") + SUMIFS(Table1[[AwayWon]:[AwayWon]], Table1[[GameIsOver]:[GameIsOver]],1,Table1[[HomeTeam]:[HomeTeam]],$A5, Table1[[AwayTeam]:[AwayTeam]], AF$1, Table1[[ActualResult]:[ActualResult]], "SO"),0))</f>
        <v>0-0-0</v>
      </c>
      <c r="AG5" s="43" t="str">
        <f>_xlfn.CONCAT(TEXT(SUMIFS(Table1[[AwayWon]:[AwayWon]], Table1[[GameIsOver]:[GameIsOver]],1,Table1[[AwayTeam]:[AwayTeam]],$A5, Table1[[HomeTeam]:[HomeTeam]], AG$1) + SUMIFS(Table1[[HomeWon]:[HomeWon]], Table1[[GameIsOver]:[GameIsOver]],1,Table1[[HomeTeam]:[HomeTeam]],$A5, Table1[[AwayTeam]:[AwayTeam]], AG$1),0), "-", TEXT(SUMIFS(Table1[[HomeWon]:[HomeWon]], Table1[[GameIsOver]:[GameIsOver]],1,Table1[[AwayTeam]:[AwayTeam]],$A5, Table1[[HomeTeam]:[HomeTeam]], AG$1, Table1[[ActualResult]:[ActualResult]], "REG") + SUMIFS(Table1[[AwayWon]:[AwayWon]], Table1[[GameIsOver]:[GameIsOver]],1,Table1[[HomeTeam]:[HomeTeam]],$A5, Table1[[AwayTeam]:[AwayTeam]], AG$1, Table1[[ActualResult]:[ActualResult]], "REG"),0), "-", TEXT(SUMIFS(Table1[[HomeWon]:[HomeWon]], Table1[[GameIsOver]:[GameIsOver]],1,Table1[[AwayTeam]:[AwayTeam]],$A5, Table1[[HomeTeam]:[HomeTeam]], AG$1, Table1[[ActualResult]:[ActualResult]], "OT") + SUMIFS(Table1[[AwayWon]:[AwayWon]], Table1[[GameIsOver]:[GameIsOver]],1,Table1[[HomeTeam]:[HomeTeam]],$A5, Table1[[AwayTeam]:[AwayTeam]], AG$1, Table1[[ActualResult]:[ActualResult]], "OT") + SUMIFS(Table1[[HomeWon]:[HomeWon]], Table1[[GameIsOver]:[GameIsOver]],1,Table1[[AwayTeam]:[AwayTeam]],$A5, Table1[[HomeTeam]:[HomeTeam]], AG$1, Table1[[ActualResult]:[ActualResult]], "SO") + SUMIFS(Table1[[AwayWon]:[AwayWon]], Table1[[GameIsOver]:[GameIsOver]],1,Table1[[HomeTeam]:[HomeTeam]],$A5, Table1[[AwayTeam]:[AwayTeam]], AG$1, Table1[[ActualResult]:[ActualResult]], "SO"),0))</f>
        <v>0-0-0</v>
      </c>
    </row>
    <row r="6" spans="1:33" x14ac:dyDescent="0.25">
      <c r="A6" s="17" t="s">
        <v>56</v>
      </c>
      <c r="B6" s="43" t="str">
        <f>_xlfn.CONCAT(TEXT(SUMIFS(Table1[[AwayWon]:[AwayWon]], Table1[[GameIsOver]:[GameIsOver]],1,Table1[[AwayTeam]:[AwayTeam]],$A6, Table1[[HomeTeam]:[HomeTeam]], B$1) + SUMIFS(Table1[[HomeWon]:[HomeWon]], Table1[[GameIsOver]:[GameIsOver]],1,Table1[[HomeTeam]:[HomeTeam]],$A6, Table1[[AwayTeam]:[AwayTeam]], B$1),0), "-", TEXT(SUMIFS(Table1[[HomeWon]:[HomeWon]], Table1[[GameIsOver]:[GameIsOver]],1,Table1[[AwayTeam]:[AwayTeam]],$A6, Table1[[HomeTeam]:[HomeTeam]], B$1, Table1[[ActualResult]:[ActualResult]], "REG") + SUMIFS(Table1[[AwayWon]:[AwayWon]], Table1[[GameIsOver]:[GameIsOver]],1,Table1[[HomeTeam]:[HomeTeam]],$A6, Table1[[AwayTeam]:[AwayTeam]], B$1, Table1[[ActualResult]:[ActualResult]], "REG"),0), "-", TEXT(SUMIFS(Table1[[HomeWon]:[HomeWon]], Table1[[GameIsOver]:[GameIsOver]],1,Table1[[AwayTeam]:[AwayTeam]],$A6, Table1[[HomeTeam]:[HomeTeam]], B$1, Table1[[ActualResult]:[ActualResult]], "OT") + SUMIFS(Table1[[AwayWon]:[AwayWon]], Table1[[GameIsOver]:[GameIsOver]],1,Table1[[HomeTeam]:[HomeTeam]],$A6, Table1[[AwayTeam]:[AwayTeam]], B$1, Table1[[ActualResult]:[ActualResult]], "OT") + SUMIFS(Table1[[HomeWon]:[HomeWon]], Table1[[GameIsOver]:[GameIsOver]],1,Table1[[AwayTeam]:[AwayTeam]],$A6, Table1[[HomeTeam]:[HomeTeam]], B$1, Table1[[ActualResult]:[ActualResult]], "SO") + SUMIFS(Table1[[AwayWon]:[AwayWon]], Table1[[GameIsOver]:[GameIsOver]],1,Table1[[HomeTeam]:[HomeTeam]],$A6, Table1[[AwayTeam]:[AwayTeam]], B$1, Table1[[ActualResult]:[ActualResult]], "SO"),0))</f>
        <v>0-0-0</v>
      </c>
      <c r="C6" s="43" t="str">
        <f>_xlfn.CONCAT(TEXT(SUMIFS(Table1[[AwayWon]:[AwayWon]], Table1[[GameIsOver]:[GameIsOver]],1,Table1[[AwayTeam]:[AwayTeam]],$A6, Table1[[HomeTeam]:[HomeTeam]], C$1) + SUMIFS(Table1[[HomeWon]:[HomeWon]], Table1[[GameIsOver]:[GameIsOver]],1,Table1[[HomeTeam]:[HomeTeam]],$A6, Table1[[AwayTeam]:[AwayTeam]], C$1),0), "-", TEXT(SUMIFS(Table1[[HomeWon]:[HomeWon]], Table1[[GameIsOver]:[GameIsOver]],1,Table1[[AwayTeam]:[AwayTeam]],$A6, Table1[[HomeTeam]:[HomeTeam]], C$1, Table1[[ActualResult]:[ActualResult]], "REG") + SUMIFS(Table1[[AwayWon]:[AwayWon]], Table1[[GameIsOver]:[GameIsOver]],1,Table1[[HomeTeam]:[HomeTeam]],$A6, Table1[[AwayTeam]:[AwayTeam]], C$1, Table1[[ActualResult]:[ActualResult]], "REG"),0), "-", TEXT(SUMIFS(Table1[[HomeWon]:[HomeWon]], Table1[[GameIsOver]:[GameIsOver]],1,Table1[[AwayTeam]:[AwayTeam]],$A6, Table1[[HomeTeam]:[HomeTeam]], C$1, Table1[[ActualResult]:[ActualResult]], "OT") + SUMIFS(Table1[[AwayWon]:[AwayWon]], Table1[[GameIsOver]:[GameIsOver]],1,Table1[[HomeTeam]:[HomeTeam]],$A6, Table1[[AwayTeam]:[AwayTeam]], C$1, Table1[[ActualResult]:[ActualResult]], "OT") + SUMIFS(Table1[[HomeWon]:[HomeWon]], Table1[[GameIsOver]:[GameIsOver]],1,Table1[[AwayTeam]:[AwayTeam]],$A6, Table1[[HomeTeam]:[HomeTeam]], C$1, Table1[[ActualResult]:[ActualResult]], "SO") + SUMIFS(Table1[[AwayWon]:[AwayWon]], Table1[[GameIsOver]:[GameIsOver]],1,Table1[[HomeTeam]:[HomeTeam]],$A6, Table1[[AwayTeam]:[AwayTeam]], C$1, Table1[[ActualResult]:[ActualResult]], "SO"),0))</f>
        <v>1-0-0</v>
      </c>
      <c r="D6" s="43" t="str">
        <f>_xlfn.CONCAT(TEXT(SUMIFS(Table1[[AwayWon]:[AwayWon]], Table1[[GameIsOver]:[GameIsOver]],1,Table1[[AwayTeam]:[AwayTeam]],$A6, Table1[[HomeTeam]:[HomeTeam]], D$1) + SUMIFS(Table1[[HomeWon]:[HomeWon]], Table1[[GameIsOver]:[GameIsOver]],1,Table1[[HomeTeam]:[HomeTeam]],$A6, Table1[[AwayTeam]:[AwayTeam]], D$1),0), "-", TEXT(SUMIFS(Table1[[HomeWon]:[HomeWon]], Table1[[GameIsOver]:[GameIsOver]],1,Table1[[AwayTeam]:[AwayTeam]],$A6, Table1[[HomeTeam]:[HomeTeam]], D$1, Table1[[ActualResult]:[ActualResult]], "REG") + SUMIFS(Table1[[AwayWon]:[AwayWon]], Table1[[GameIsOver]:[GameIsOver]],1,Table1[[HomeTeam]:[HomeTeam]],$A6, Table1[[AwayTeam]:[AwayTeam]], D$1, Table1[[ActualResult]:[ActualResult]], "REG"),0), "-", TEXT(SUMIFS(Table1[[HomeWon]:[HomeWon]], Table1[[GameIsOver]:[GameIsOver]],1,Table1[[AwayTeam]:[AwayTeam]],$A6, Table1[[HomeTeam]:[HomeTeam]], D$1, Table1[[ActualResult]:[ActualResult]], "OT") + SUMIFS(Table1[[AwayWon]:[AwayWon]], Table1[[GameIsOver]:[GameIsOver]],1,Table1[[HomeTeam]:[HomeTeam]],$A6, Table1[[AwayTeam]:[AwayTeam]], D$1, Table1[[ActualResult]:[ActualResult]], "OT") + SUMIFS(Table1[[HomeWon]:[HomeWon]], Table1[[GameIsOver]:[GameIsOver]],1,Table1[[AwayTeam]:[AwayTeam]],$A6, Table1[[HomeTeam]:[HomeTeam]], D$1, Table1[[ActualResult]:[ActualResult]], "SO") + SUMIFS(Table1[[AwayWon]:[AwayWon]], Table1[[GameIsOver]:[GameIsOver]],1,Table1[[HomeTeam]:[HomeTeam]],$A6, Table1[[AwayTeam]:[AwayTeam]], D$1, Table1[[ActualResult]:[ActualResult]], "SO"),0))</f>
        <v>0-0-0</v>
      </c>
      <c r="E6" s="43" t="str">
        <f>_xlfn.CONCAT(TEXT(SUMIFS(Table1[[AwayWon]:[AwayWon]], Table1[[GameIsOver]:[GameIsOver]],1,Table1[[AwayTeam]:[AwayTeam]],$A6, Table1[[HomeTeam]:[HomeTeam]], E$1) + SUMIFS(Table1[[HomeWon]:[HomeWon]], Table1[[GameIsOver]:[GameIsOver]],1,Table1[[HomeTeam]:[HomeTeam]],$A6, Table1[[AwayTeam]:[AwayTeam]], E$1),0), "-", TEXT(SUMIFS(Table1[[HomeWon]:[HomeWon]], Table1[[GameIsOver]:[GameIsOver]],1,Table1[[AwayTeam]:[AwayTeam]],$A6, Table1[[HomeTeam]:[HomeTeam]], E$1, Table1[[ActualResult]:[ActualResult]], "REG") + SUMIFS(Table1[[AwayWon]:[AwayWon]], Table1[[GameIsOver]:[GameIsOver]],1,Table1[[HomeTeam]:[HomeTeam]],$A6, Table1[[AwayTeam]:[AwayTeam]], E$1, Table1[[ActualResult]:[ActualResult]], "REG"),0), "-", TEXT(SUMIFS(Table1[[HomeWon]:[HomeWon]], Table1[[GameIsOver]:[GameIsOver]],1,Table1[[AwayTeam]:[AwayTeam]],$A6, Table1[[HomeTeam]:[HomeTeam]], E$1, Table1[[ActualResult]:[ActualResult]], "OT") + SUMIFS(Table1[[AwayWon]:[AwayWon]], Table1[[GameIsOver]:[GameIsOver]],1,Table1[[HomeTeam]:[HomeTeam]],$A6, Table1[[AwayTeam]:[AwayTeam]], E$1, Table1[[ActualResult]:[ActualResult]], "OT") + SUMIFS(Table1[[HomeWon]:[HomeWon]], Table1[[GameIsOver]:[GameIsOver]],1,Table1[[AwayTeam]:[AwayTeam]],$A6, Table1[[HomeTeam]:[HomeTeam]], E$1, Table1[[ActualResult]:[ActualResult]], "SO") + SUMIFS(Table1[[AwayWon]:[AwayWon]], Table1[[GameIsOver]:[GameIsOver]],1,Table1[[HomeTeam]:[HomeTeam]],$A6, Table1[[AwayTeam]:[AwayTeam]], E$1, Table1[[ActualResult]:[ActualResult]], "SO"),0))</f>
        <v>0-0-0</v>
      </c>
      <c r="F6" s="43" t="str">
        <f>_xlfn.CONCAT(TEXT(SUMIFS(Table1[[AwayWon]:[AwayWon]], Table1[[GameIsOver]:[GameIsOver]],1,Table1[[AwayTeam]:[AwayTeam]],$A6, Table1[[HomeTeam]:[HomeTeam]], F$1) + SUMIFS(Table1[[HomeWon]:[HomeWon]], Table1[[GameIsOver]:[GameIsOver]],1,Table1[[HomeTeam]:[HomeTeam]],$A6, Table1[[AwayTeam]:[AwayTeam]], F$1),0), "-", TEXT(SUMIFS(Table1[[HomeWon]:[HomeWon]], Table1[[GameIsOver]:[GameIsOver]],1,Table1[[AwayTeam]:[AwayTeam]],$A6, Table1[[HomeTeam]:[HomeTeam]], F$1, Table1[[ActualResult]:[ActualResult]], "REG") + SUMIFS(Table1[[AwayWon]:[AwayWon]], Table1[[GameIsOver]:[GameIsOver]],1,Table1[[HomeTeam]:[HomeTeam]],$A6, Table1[[AwayTeam]:[AwayTeam]], F$1, Table1[[ActualResult]:[ActualResult]], "REG"),0), "-", TEXT(SUMIFS(Table1[[HomeWon]:[HomeWon]], Table1[[GameIsOver]:[GameIsOver]],1,Table1[[AwayTeam]:[AwayTeam]],$A6, Table1[[HomeTeam]:[HomeTeam]], F$1, Table1[[ActualResult]:[ActualResult]], "OT") + SUMIFS(Table1[[AwayWon]:[AwayWon]], Table1[[GameIsOver]:[GameIsOver]],1,Table1[[HomeTeam]:[HomeTeam]],$A6, Table1[[AwayTeam]:[AwayTeam]], F$1, Table1[[ActualResult]:[ActualResult]], "OT") + SUMIFS(Table1[[HomeWon]:[HomeWon]], Table1[[GameIsOver]:[GameIsOver]],1,Table1[[AwayTeam]:[AwayTeam]],$A6, Table1[[HomeTeam]:[HomeTeam]], F$1, Table1[[ActualResult]:[ActualResult]], "SO") + SUMIFS(Table1[[AwayWon]:[AwayWon]], Table1[[GameIsOver]:[GameIsOver]],1,Table1[[HomeTeam]:[HomeTeam]],$A6, Table1[[AwayTeam]:[AwayTeam]], F$1, Table1[[ActualResult]:[ActualResult]], "SO"),0))</f>
        <v>0-0-0</v>
      </c>
      <c r="G6" s="43" t="str">
        <f>_xlfn.CONCAT(TEXT(SUMIFS(Table1[[AwayWon]:[AwayWon]], Table1[[GameIsOver]:[GameIsOver]],1,Table1[[AwayTeam]:[AwayTeam]],$A6, Table1[[HomeTeam]:[HomeTeam]], G$1) + SUMIFS(Table1[[HomeWon]:[HomeWon]], Table1[[GameIsOver]:[GameIsOver]],1,Table1[[HomeTeam]:[HomeTeam]],$A6, Table1[[AwayTeam]:[AwayTeam]], G$1),0), "-", TEXT(SUMIFS(Table1[[HomeWon]:[HomeWon]], Table1[[GameIsOver]:[GameIsOver]],1,Table1[[AwayTeam]:[AwayTeam]],$A6, Table1[[HomeTeam]:[HomeTeam]], G$1, Table1[[ActualResult]:[ActualResult]], "REG") + SUMIFS(Table1[[AwayWon]:[AwayWon]], Table1[[GameIsOver]:[GameIsOver]],1,Table1[[HomeTeam]:[HomeTeam]],$A6, Table1[[AwayTeam]:[AwayTeam]], G$1, Table1[[ActualResult]:[ActualResult]], "REG"),0), "-", TEXT(SUMIFS(Table1[[HomeWon]:[HomeWon]], Table1[[GameIsOver]:[GameIsOver]],1,Table1[[AwayTeam]:[AwayTeam]],$A6, Table1[[HomeTeam]:[HomeTeam]], G$1, Table1[[ActualResult]:[ActualResult]], "OT") + SUMIFS(Table1[[AwayWon]:[AwayWon]], Table1[[GameIsOver]:[GameIsOver]],1,Table1[[HomeTeam]:[HomeTeam]],$A6, Table1[[AwayTeam]:[AwayTeam]], G$1, Table1[[ActualResult]:[ActualResult]], "OT") + SUMIFS(Table1[[HomeWon]:[HomeWon]], Table1[[GameIsOver]:[GameIsOver]],1,Table1[[AwayTeam]:[AwayTeam]],$A6, Table1[[HomeTeam]:[HomeTeam]], G$1, Table1[[ActualResult]:[ActualResult]], "SO") + SUMIFS(Table1[[AwayWon]:[AwayWon]], Table1[[GameIsOver]:[GameIsOver]],1,Table1[[HomeTeam]:[HomeTeam]],$A6, Table1[[AwayTeam]:[AwayTeam]], G$1, Table1[[ActualResult]:[ActualResult]], "SO"),0))</f>
        <v>0-0-0</v>
      </c>
      <c r="H6" s="43" t="str">
        <f>_xlfn.CONCAT(TEXT(SUMIFS(Table1[[AwayWon]:[AwayWon]], Table1[[GameIsOver]:[GameIsOver]],1,Table1[[AwayTeam]:[AwayTeam]],$A6, Table1[[HomeTeam]:[HomeTeam]], H$1) + SUMIFS(Table1[[HomeWon]:[HomeWon]], Table1[[GameIsOver]:[GameIsOver]],1,Table1[[HomeTeam]:[HomeTeam]],$A6, Table1[[AwayTeam]:[AwayTeam]], H$1),0), "-", TEXT(SUMIFS(Table1[[HomeWon]:[HomeWon]], Table1[[GameIsOver]:[GameIsOver]],1,Table1[[AwayTeam]:[AwayTeam]],$A6, Table1[[HomeTeam]:[HomeTeam]], H$1, Table1[[ActualResult]:[ActualResult]], "REG") + SUMIFS(Table1[[AwayWon]:[AwayWon]], Table1[[GameIsOver]:[GameIsOver]],1,Table1[[HomeTeam]:[HomeTeam]],$A6, Table1[[AwayTeam]:[AwayTeam]], H$1, Table1[[ActualResult]:[ActualResult]], "REG"),0), "-", TEXT(SUMIFS(Table1[[HomeWon]:[HomeWon]], Table1[[GameIsOver]:[GameIsOver]],1,Table1[[AwayTeam]:[AwayTeam]],$A6, Table1[[HomeTeam]:[HomeTeam]], H$1, Table1[[ActualResult]:[ActualResult]], "OT") + SUMIFS(Table1[[AwayWon]:[AwayWon]], Table1[[GameIsOver]:[GameIsOver]],1,Table1[[HomeTeam]:[HomeTeam]],$A6, Table1[[AwayTeam]:[AwayTeam]], H$1, Table1[[ActualResult]:[ActualResult]], "OT") + SUMIFS(Table1[[HomeWon]:[HomeWon]], Table1[[GameIsOver]:[GameIsOver]],1,Table1[[AwayTeam]:[AwayTeam]],$A6, Table1[[HomeTeam]:[HomeTeam]], H$1, Table1[[ActualResult]:[ActualResult]], "SO") + SUMIFS(Table1[[AwayWon]:[AwayWon]], Table1[[GameIsOver]:[GameIsOver]],1,Table1[[HomeTeam]:[HomeTeam]],$A6, Table1[[AwayTeam]:[AwayTeam]], H$1, Table1[[ActualResult]:[ActualResult]], "SO"),0))</f>
        <v>0-0-0</v>
      </c>
      <c r="I6" s="45" t="str">
        <f>_xlfn.CONCAT(TEXT(SUMIFS(Table1[[AwayWon]:[AwayWon]], Table1[[GameIsOver]:[GameIsOver]],1,Table1[[AwayTeam]:[AwayTeam]],$A6, Table1[[HomeTeam]:[HomeTeam]], I$1) + SUMIFS(Table1[[HomeWon]:[HomeWon]], Table1[[GameIsOver]:[GameIsOver]],1,Table1[[HomeTeam]:[HomeTeam]],$A6, Table1[[AwayTeam]:[AwayTeam]], I$1),0), "-", TEXT(SUMIFS(Table1[[HomeWon]:[HomeWon]], Table1[[GameIsOver]:[GameIsOver]],1,Table1[[AwayTeam]:[AwayTeam]],$A6, Table1[[HomeTeam]:[HomeTeam]], I$1, Table1[[ActualResult]:[ActualResult]], "REG") + SUMIFS(Table1[[AwayWon]:[AwayWon]], Table1[[GameIsOver]:[GameIsOver]],1,Table1[[HomeTeam]:[HomeTeam]],$A6, Table1[[AwayTeam]:[AwayTeam]], I$1, Table1[[ActualResult]:[ActualResult]], "REG"),0), "-", TEXT(SUMIFS(Table1[[HomeWon]:[HomeWon]], Table1[[GameIsOver]:[GameIsOver]],1,Table1[[AwayTeam]:[AwayTeam]],$A6, Table1[[HomeTeam]:[HomeTeam]], I$1, Table1[[ActualResult]:[ActualResult]], "OT") + SUMIFS(Table1[[AwayWon]:[AwayWon]], Table1[[GameIsOver]:[GameIsOver]],1,Table1[[HomeTeam]:[HomeTeam]],$A6, Table1[[AwayTeam]:[AwayTeam]], I$1, Table1[[ActualResult]:[ActualResult]], "OT") + SUMIFS(Table1[[HomeWon]:[HomeWon]], Table1[[GameIsOver]:[GameIsOver]],1,Table1[[AwayTeam]:[AwayTeam]],$A6, Table1[[HomeTeam]:[HomeTeam]], I$1, Table1[[ActualResult]:[ActualResult]], "SO") + SUMIFS(Table1[[AwayWon]:[AwayWon]], Table1[[GameIsOver]:[GameIsOver]],1,Table1[[HomeTeam]:[HomeTeam]],$A6, Table1[[AwayTeam]:[AwayTeam]], I$1, Table1[[ActualResult]:[ActualResult]], "SO"),0))</f>
        <v>0-0-0</v>
      </c>
      <c r="J6" s="43" t="str">
        <f>_xlfn.CONCAT(TEXT(SUMIFS(Table1[[AwayWon]:[AwayWon]], Table1[[GameIsOver]:[GameIsOver]],1,Table1[[AwayTeam]:[AwayTeam]],$A6, Table1[[HomeTeam]:[HomeTeam]], J$1) + SUMIFS(Table1[[HomeWon]:[HomeWon]], Table1[[GameIsOver]:[GameIsOver]],1,Table1[[HomeTeam]:[HomeTeam]],$A6, Table1[[AwayTeam]:[AwayTeam]], J$1),0), "-", TEXT(SUMIFS(Table1[[HomeWon]:[HomeWon]], Table1[[GameIsOver]:[GameIsOver]],1,Table1[[AwayTeam]:[AwayTeam]],$A6, Table1[[HomeTeam]:[HomeTeam]], J$1, Table1[[ActualResult]:[ActualResult]], "REG") + SUMIFS(Table1[[AwayWon]:[AwayWon]], Table1[[GameIsOver]:[GameIsOver]],1,Table1[[HomeTeam]:[HomeTeam]],$A6, Table1[[AwayTeam]:[AwayTeam]], J$1, Table1[[ActualResult]:[ActualResult]], "REG"),0), "-", TEXT(SUMIFS(Table1[[HomeWon]:[HomeWon]], Table1[[GameIsOver]:[GameIsOver]],1,Table1[[AwayTeam]:[AwayTeam]],$A6, Table1[[HomeTeam]:[HomeTeam]], J$1, Table1[[ActualResult]:[ActualResult]], "OT") + SUMIFS(Table1[[AwayWon]:[AwayWon]], Table1[[GameIsOver]:[GameIsOver]],1,Table1[[HomeTeam]:[HomeTeam]],$A6, Table1[[AwayTeam]:[AwayTeam]], J$1, Table1[[ActualResult]:[ActualResult]], "OT") + SUMIFS(Table1[[HomeWon]:[HomeWon]], Table1[[GameIsOver]:[GameIsOver]],1,Table1[[AwayTeam]:[AwayTeam]],$A6, Table1[[HomeTeam]:[HomeTeam]], J$1, Table1[[ActualResult]:[ActualResult]], "SO") + SUMIFS(Table1[[AwayWon]:[AwayWon]], Table1[[GameIsOver]:[GameIsOver]],1,Table1[[HomeTeam]:[HomeTeam]],$A6, Table1[[AwayTeam]:[AwayTeam]], J$1, Table1[[ActualResult]:[ActualResult]], "SO"),0))</f>
        <v>0-0-0</v>
      </c>
      <c r="K6" s="43" t="str">
        <f>_xlfn.CONCAT(TEXT(SUMIFS(Table1[[AwayWon]:[AwayWon]], Table1[[GameIsOver]:[GameIsOver]],1,Table1[[AwayTeam]:[AwayTeam]],$A6, Table1[[HomeTeam]:[HomeTeam]], K$1) + SUMIFS(Table1[[HomeWon]:[HomeWon]], Table1[[GameIsOver]:[GameIsOver]],1,Table1[[HomeTeam]:[HomeTeam]],$A6, Table1[[AwayTeam]:[AwayTeam]], K$1),0), "-", TEXT(SUMIFS(Table1[[HomeWon]:[HomeWon]], Table1[[GameIsOver]:[GameIsOver]],1,Table1[[AwayTeam]:[AwayTeam]],$A6, Table1[[HomeTeam]:[HomeTeam]], K$1, Table1[[ActualResult]:[ActualResult]], "REG") + SUMIFS(Table1[[AwayWon]:[AwayWon]], Table1[[GameIsOver]:[GameIsOver]],1,Table1[[HomeTeam]:[HomeTeam]],$A6, Table1[[AwayTeam]:[AwayTeam]], K$1, Table1[[ActualResult]:[ActualResult]], "REG"),0), "-", TEXT(SUMIFS(Table1[[HomeWon]:[HomeWon]], Table1[[GameIsOver]:[GameIsOver]],1,Table1[[AwayTeam]:[AwayTeam]],$A6, Table1[[HomeTeam]:[HomeTeam]], K$1, Table1[[ActualResult]:[ActualResult]], "OT") + SUMIFS(Table1[[AwayWon]:[AwayWon]], Table1[[GameIsOver]:[GameIsOver]],1,Table1[[HomeTeam]:[HomeTeam]],$A6, Table1[[AwayTeam]:[AwayTeam]], K$1, Table1[[ActualResult]:[ActualResult]], "OT") + SUMIFS(Table1[[HomeWon]:[HomeWon]], Table1[[GameIsOver]:[GameIsOver]],1,Table1[[AwayTeam]:[AwayTeam]],$A6, Table1[[HomeTeam]:[HomeTeam]], K$1, Table1[[ActualResult]:[ActualResult]], "SO") + SUMIFS(Table1[[AwayWon]:[AwayWon]], Table1[[GameIsOver]:[GameIsOver]],1,Table1[[HomeTeam]:[HomeTeam]],$A6, Table1[[AwayTeam]:[AwayTeam]], K$1, Table1[[ActualResult]:[ActualResult]], "SO"),0))</f>
        <v>0-0-0</v>
      </c>
      <c r="L6" s="43" t="str">
        <f>_xlfn.CONCAT(TEXT(SUMIFS(Table1[[AwayWon]:[AwayWon]], Table1[[GameIsOver]:[GameIsOver]],1,Table1[[AwayTeam]:[AwayTeam]],$A6, Table1[[HomeTeam]:[HomeTeam]], L$1) + SUMIFS(Table1[[HomeWon]:[HomeWon]], Table1[[GameIsOver]:[GameIsOver]],1,Table1[[HomeTeam]:[HomeTeam]],$A6, Table1[[AwayTeam]:[AwayTeam]], L$1),0), "-", TEXT(SUMIFS(Table1[[HomeWon]:[HomeWon]], Table1[[GameIsOver]:[GameIsOver]],1,Table1[[AwayTeam]:[AwayTeam]],$A6, Table1[[HomeTeam]:[HomeTeam]], L$1, Table1[[ActualResult]:[ActualResult]], "REG") + SUMIFS(Table1[[AwayWon]:[AwayWon]], Table1[[GameIsOver]:[GameIsOver]],1,Table1[[HomeTeam]:[HomeTeam]],$A6, Table1[[AwayTeam]:[AwayTeam]], L$1, Table1[[ActualResult]:[ActualResult]], "REG"),0), "-", TEXT(SUMIFS(Table1[[HomeWon]:[HomeWon]], Table1[[GameIsOver]:[GameIsOver]],1,Table1[[AwayTeam]:[AwayTeam]],$A6, Table1[[HomeTeam]:[HomeTeam]], L$1, Table1[[ActualResult]:[ActualResult]], "OT") + SUMIFS(Table1[[AwayWon]:[AwayWon]], Table1[[GameIsOver]:[GameIsOver]],1,Table1[[HomeTeam]:[HomeTeam]],$A6, Table1[[AwayTeam]:[AwayTeam]], L$1, Table1[[ActualResult]:[ActualResult]], "OT") + SUMIFS(Table1[[HomeWon]:[HomeWon]], Table1[[GameIsOver]:[GameIsOver]],1,Table1[[AwayTeam]:[AwayTeam]],$A6, Table1[[HomeTeam]:[HomeTeam]], L$1, Table1[[ActualResult]:[ActualResult]], "SO") + SUMIFS(Table1[[AwayWon]:[AwayWon]], Table1[[GameIsOver]:[GameIsOver]],1,Table1[[HomeTeam]:[HomeTeam]],$A6, Table1[[AwayTeam]:[AwayTeam]], L$1, Table1[[ActualResult]:[ActualResult]], "SO"),0))</f>
        <v>0-0-0</v>
      </c>
      <c r="M6" s="43" t="str">
        <f>_xlfn.CONCAT(TEXT(SUMIFS(Table1[[AwayWon]:[AwayWon]], Table1[[GameIsOver]:[GameIsOver]],1,Table1[[AwayTeam]:[AwayTeam]],$A6, Table1[[HomeTeam]:[HomeTeam]], M$1) + SUMIFS(Table1[[HomeWon]:[HomeWon]], Table1[[GameIsOver]:[GameIsOver]],1,Table1[[HomeTeam]:[HomeTeam]],$A6, Table1[[AwayTeam]:[AwayTeam]], M$1),0), "-", TEXT(SUMIFS(Table1[[HomeWon]:[HomeWon]], Table1[[GameIsOver]:[GameIsOver]],1,Table1[[AwayTeam]:[AwayTeam]],$A6, Table1[[HomeTeam]:[HomeTeam]], M$1, Table1[[ActualResult]:[ActualResult]], "REG") + SUMIFS(Table1[[AwayWon]:[AwayWon]], Table1[[GameIsOver]:[GameIsOver]],1,Table1[[HomeTeam]:[HomeTeam]],$A6, Table1[[AwayTeam]:[AwayTeam]], M$1, Table1[[ActualResult]:[ActualResult]], "REG"),0), "-", TEXT(SUMIFS(Table1[[HomeWon]:[HomeWon]], Table1[[GameIsOver]:[GameIsOver]],1,Table1[[AwayTeam]:[AwayTeam]],$A6, Table1[[HomeTeam]:[HomeTeam]], M$1, Table1[[ActualResult]:[ActualResult]], "OT") + SUMIFS(Table1[[AwayWon]:[AwayWon]], Table1[[GameIsOver]:[GameIsOver]],1,Table1[[HomeTeam]:[HomeTeam]],$A6, Table1[[AwayTeam]:[AwayTeam]], M$1, Table1[[ActualResult]:[ActualResult]], "OT") + SUMIFS(Table1[[HomeWon]:[HomeWon]], Table1[[GameIsOver]:[GameIsOver]],1,Table1[[AwayTeam]:[AwayTeam]],$A6, Table1[[HomeTeam]:[HomeTeam]], M$1, Table1[[ActualResult]:[ActualResult]], "SO") + SUMIFS(Table1[[AwayWon]:[AwayWon]], Table1[[GameIsOver]:[GameIsOver]],1,Table1[[HomeTeam]:[HomeTeam]],$A6, Table1[[AwayTeam]:[AwayTeam]], M$1, Table1[[ActualResult]:[ActualResult]], "SO"),0))</f>
        <v>0-0-0</v>
      </c>
      <c r="N6" s="43" t="str">
        <f>_xlfn.CONCAT(TEXT(SUMIFS(Table1[[AwayWon]:[AwayWon]], Table1[[GameIsOver]:[GameIsOver]],1,Table1[[AwayTeam]:[AwayTeam]],$A6, Table1[[HomeTeam]:[HomeTeam]], N$1) + SUMIFS(Table1[[HomeWon]:[HomeWon]], Table1[[GameIsOver]:[GameIsOver]],1,Table1[[HomeTeam]:[HomeTeam]],$A6, Table1[[AwayTeam]:[AwayTeam]], N$1),0), "-", TEXT(SUMIFS(Table1[[HomeWon]:[HomeWon]], Table1[[GameIsOver]:[GameIsOver]],1,Table1[[AwayTeam]:[AwayTeam]],$A6, Table1[[HomeTeam]:[HomeTeam]], N$1, Table1[[ActualResult]:[ActualResult]], "REG") + SUMIFS(Table1[[AwayWon]:[AwayWon]], Table1[[GameIsOver]:[GameIsOver]],1,Table1[[HomeTeam]:[HomeTeam]],$A6, Table1[[AwayTeam]:[AwayTeam]], N$1, Table1[[ActualResult]:[ActualResult]], "REG"),0), "-", TEXT(SUMIFS(Table1[[HomeWon]:[HomeWon]], Table1[[GameIsOver]:[GameIsOver]],1,Table1[[AwayTeam]:[AwayTeam]],$A6, Table1[[HomeTeam]:[HomeTeam]], N$1, Table1[[ActualResult]:[ActualResult]], "OT") + SUMIFS(Table1[[AwayWon]:[AwayWon]], Table1[[GameIsOver]:[GameIsOver]],1,Table1[[HomeTeam]:[HomeTeam]],$A6, Table1[[AwayTeam]:[AwayTeam]], N$1, Table1[[ActualResult]:[ActualResult]], "OT") + SUMIFS(Table1[[HomeWon]:[HomeWon]], Table1[[GameIsOver]:[GameIsOver]],1,Table1[[AwayTeam]:[AwayTeam]],$A6, Table1[[HomeTeam]:[HomeTeam]], N$1, Table1[[ActualResult]:[ActualResult]], "SO") + SUMIFS(Table1[[AwayWon]:[AwayWon]], Table1[[GameIsOver]:[GameIsOver]],1,Table1[[HomeTeam]:[HomeTeam]],$A6, Table1[[AwayTeam]:[AwayTeam]], N$1, Table1[[ActualResult]:[ActualResult]], "SO"),0))</f>
        <v>0-0-0</v>
      </c>
      <c r="O6" s="43" t="str">
        <f>_xlfn.CONCAT(TEXT(SUMIFS(Table1[[AwayWon]:[AwayWon]], Table1[[GameIsOver]:[GameIsOver]],1,Table1[[AwayTeam]:[AwayTeam]],$A6, Table1[[HomeTeam]:[HomeTeam]], O$1) + SUMIFS(Table1[[HomeWon]:[HomeWon]], Table1[[GameIsOver]:[GameIsOver]],1,Table1[[HomeTeam]:[HomeTeam]],$A6, Table1[[AwayTeam]:[AwayTeam]], O$1),0), "-", TEXT(SUMIFS(Table1[[HomeWon]:[HomeWon]], Table1[[GameIsOver]:[GameIsOver]],1,Table1[[AwayTeam]:[AwayTeam]],$A6, Table1[[HomeTeam]:[HomeTeam]], O$1, Table1[[ActualResult]:[ActualResult]], "REG") + SUMIFS(Table1[[AwayWon]:[AwayWon]], Table1[[GameIsOver]:[GameIsOver]],1,Table1[[HomeTeam]:[HomeTeam]],$A6, Table1[[AwayTeam]:[AwayTeam]], O$1, Table1[[ActualResult]:[ActualResult]], "REG"),0), "-", TEXT(SUMIFS(Table1[[HomeWon]:[HomeWon]], Table1[[GameIsOver]:[GameIsOver]],1,Table1[[AwayTeam]:[AwayTeam]],$A6, Table1[[HomeTeam]:[HomeTeam]], O$1, Table1[[ActualResult]:[ActualResult]], "OT") + SUMIFS(Table1[[AwayWon]:[AwayWon]], Table1[[GameIsOver]:[GameIsOver]],1,Table1[[HomeTeam]:[HomeTeam]],$A6, Table1[[AwayTeam]:[AwayTeam]], O$1, Table1[[ActualResult]:[ActualResult]], "OT") + SUMIFS(Table1[[HomeWon]:[HomeWon]], Table1[[GameIsOver]:[GameIsOver]],1,Table1[[AwayTeam]:[AwayTeam]],$A6, Table1[[HomeTeam]:[HomeTeam]], O$1, Table1[[ActualResult]:[ActualResult]], "SO") + SUMIFS(Table1[[AwayWon]:[AwayWon]], Table1[[GameIsOver]:[GameIsOver]],1,Table1[[HomeTeam]:[HomeTeam]],$A6, Table1[[AwayTeam]:[AwayTeam]], O$1, Table1[[ActualResult]:[ActualResult]], "SO"),0))</f>
        <v>0-0-0</v>
      </c>
      <c r="P6" s="43" t="str">
        <f>_xlfn.CONCAT(TEXT(SUMIFS(Table1[[AwayWon]:[AwayWon]], Table1[[GameIsOver]:[GameIsOver]],1,Table1[[AwayTeam]:[AwayTeam]],$A6, Table1[[HomeTeam]:[HomeTeam]], P$1) + SUMIFS(Table1[[HomeWon]:[HomeWon]], Table1[[GameIsOver]:[GameIsOver]],1,Table1[[HomeTeam]:[HomeTeam]],$A6, Table1[[AwayTeam]:[AwayTeam]], P$1),0), "-", TEXT(SUMIFS(Table1[[HomeWon]:[HomeWon]], Table1[[GameIsOver]:[GameIsOver]],1,Table1[[AwayTeam]:[AwayTeam]],$A6, Table1[[HomeTeam]:[HomeTeam]], P$1, Table1[[ActualResult]:[ActualResult]], "REG") + SUMIFS(Table1[[AwayWon]:[AwayWon]], Table1[[GameIsOver]:[GameIsOver]],1,Table1[[HomeTeam]:[HomeTeam]],$A6, Table1[[AwayTeam]:[AwayTeam]], P$1, Table1[[ActualResult]:[ActualResult]], "REG"),0), "-", TEXT(SUMIFS(Table1[[HomeWon]:[HomeWon]], Table1[[GameIsOver]:[GameIsOver]],1,Table1[[AwayTeam]:[AwayTeam]],$A6, Table1[[HomeTeam]:[HomeTeam]], P$1, Table1[[ActualResult]:[ActualResult]], "OT") + SUMIFS(Table1[[AwayWon]:[AwayWon]], Table1[[GameIsOver]:[GameIsOver]],1,Table1[[HomeTeam]:[HomeTeam]],$A6, Table1[[AwayTeam]:[AwayTeam]], P$1, Table1[[ActualResult]:[ActualResult]], "OT") + SUMIFS(Table1[[HomeWon]:[HomeWon]], Table1[[GameIsOver]:[GameIsOver]],1,Table1[[AwayTeam]:[AwayTeam]],$A6, Table1[[HomeTeam]:[HomeTeam]], P$1, Table1[[ActualResult]:[ActualResult]], "SO") + SUMIFS(Table1[[AwayWon]:[AwayWon]], Table1[[GameIsOver]:[GameIsOver]],1,Table1[[HomeTeam]:[HomeTeam]],$A6, Table1[[AwayTeam]:[AwayTeam]], P$1, Table1[[ActualResult]:[ActualResult]], "SO"),0))</f>
        <v>0-0-0</v>
      </c>
      <c r="Q6" s="45" t="str">
        <f>_xlfn.CONCAT(TEXT(SUMIFS(Table1[[AwayWon]:[AwayWon]], Table1[[GameIsOver]:[GameIsOver]],1,Table1[[AwayTeam]:[AwayTeam]],$A6, Table1[[HomeTeam]:[HomeTeam]], Q$1) + SUMIFS(Table1[[HomeWon]:[HomeWon]], Table1[[GameIsOver]:[GameIsOver]],1,Table1[[HomeTeam]:[HomeTeam]],$A6, Table1[[AwayTeam]:[AwayTeam]], Q$1),0), "-", TEXT(SUMIFS(Table1[[HomeWon]:[HomeWon]], Table1[[GameIsOver]:[GameIsOver]],1,Table1[[AwayTeam]:[AwayTeam]],$A6, Table1[[HomeTeam]:[HomeTeam]], Q$1, Table1[[ActualResult]:[ActualResult]], "REG") + SUMIFS(Table1[[AwayWon]:[AwayWon]], Table1[[GameIsOver]:[GameIsOver]],1,Table1[[HomeTeam]:[HomeTeam]],$A6, Table1[[AwayTeam]:[AwayTeam]], Q$1, Table1[[ActualResult]:[ActualResult]], "REG"),0), "-", TEXT(SUMIFS(Table1[[HomeWon]:[HomeWon]], Table1[[GameIsOver]:[GameIsOver]],1,Table1[[AwayTeam]:[AwayTeam]],$A6, Table1[[HomeTeam]:[HomeTeam]], Q$1, Table1[[ActualResult]:[ActualResult]], "OT") + SUMIFS(Table1[[AwayWon]:[AwayWon]], Table1[[GameIsOver]:[GameIsOver]],1,Table1[[HomeTeam]:[HomeTeam]],$A6, Table1[[AwayTeam]:[AwayTeam]], Q$1, Table1[[ActualResult]:[ActualResult]], "OT") + SUMIFS(Table1[[HomeWon]:[HomeWon]], Table1[[GameIsOver]:[GameIsOver]],1,Table1[[AwayTeam]:[AwayTeam]],$A6, Table1[[HomeTeam]:[HomeTeam]], Q$1, Table1[[ActualResult]:[ActualResult]], "SO") + SUMIFS(Table1[[AwayWon]:[AwayWon]], Table1[[GameIsOver]:[GameIsOver]],1,Table1[[HomeTeam]:[HomeTeam]],$A6, Table1[[AwayTeam]:[AwayTeam]], Q$1, Table1[[ActualResult]:[ActualResult]], "SO"),0))</f>
        <v>0-0-0</v>
      </c>
      <c r="R6" s="43" t="str">
        <f>_xlfn.CONCAT(TEXT(SUMIFS(Table1[[AwayWon]:[AwayWon]], Table1[[GameIsOver]:[GameIsOver]],1,Table1[[AwayTeam]:[AwayTeam]],$A6, Table1[[HomeTeam]:[HomeTeam]], R$1) + SUMIFS(Table1[[HomeWon]:[HomeWon]], Table1[[GameIsOver]:[GameIsOver]],1,Table1[[HomeTeam]:[HomeTeam]],$A6, Table1[[AwayTeam]:[AwayTeam]], R$1),0), "-", TEXT(SUMIFS(Table1[[HomeWon]:[HomeWon]], Table1[[GameIsOver]:[GameIsOver]],1,Table1[[AwayTeam]:[AwayTeam]],$A6, Table1[[HomeTeam]:[HomeTeam]], R$1, Table1[[ActualResult]:[ActualResult]], "REG") + SUMIFS(Table1[[AwayWon]:[AwayWon]], Table1[[GameIsOver]:[GameIsOver]],1,Table1[[HomeTeam]:[HomeTeam]],$A6, Table1[[AwayTeam]:[AwayTeam]], R$1, Table1[[ActualResult]:[ActualResult]], "REG"),0), "-", TEXT(SUMIFS(Table1[[HomeWon]:[HomeWon]], Table1[[GameIsOver]:[GameIsOver]],1,Table1[[AwayTeam]:[AwayTeam]],$A6, Table1[[HomeTeam]:[HomeTeam]], R$1, Table1[[ActualResult]:[ActualResult]], "OT") + SUMIFS(Table1[[AwayWon]:[AwayWon]], Table1[[GameIsOver]:[GameIsOver]],1,Table1[[HomeTeam]:[HomeTeam]],$A6, Table1[[AwayTeam]:[AwayTeam]], R$1, Table1[[ActualResult]:[ActualResult]], "OT") + SUMIFS(Table1[[HomeWon]:[HomeWon]], Table1[[GameIsOver]:[GameIsOver]],1,Table1[[AwayTeam]:[AwayTeam]],$A6, Table1[[HomeTeam]:[HomeTeam]], R$1, Table1[[ActualResult]:[ActualResult]], "SO") + SUMIFS(Table1[[AwayWon]:[AwayWon]], Table1[[GameIsOver]:[GameIsOver]],1,Table1[[HomeTeam]:[HomeTeam]],$A6, Table1[[AwayTeam]:[AwayTeam]], R$1, Table1[[ActualResult]:[ActualResult]], "SO"),0))</f>
        <v>0-0-0</v>
      </c>
      <c r="S6" s="43" t="str">
        <f>_xlfn.CONCAT(TEXT(SUMIFS(Table1[[AwayWon]:[AwayWon]], Table1[[GameIsOver]:[GameIsOver]],1,Table1[[AwayTeam]:[AwayTeam]],$A6, Table1[[HomeTeam]:[HomeTeam]], S$1) + SUMIFS(Table1[[HomeWon]:[HomeWon]], Table1[[GameIsOver]:[GameIsOver]],1,Table1[[HomeTeam]:[HomeTeam]],$A6, Table1[[AwayTeam]:[AwayTeam]], S$1),0), "-", TEXT(SUMIFS(Table1[[HomeWon]:[HomeWon]], Table1[[GameIsOver]:[GameIsOver]],1,Table1[[AwayTeam]:[AwayTeam]],$A6, Table1[[HomeTeam]:[HomeTeam]], S$1, Table1[[ActualResult]:[ActualResult]], "REG") + SUMIFS(Table1[[AwayWon]:[AwayWon]], Table1[[GameIsOver]:[GameIsOver]],1,Table1[[HomeTeam]:[HomeTeam]],$A6, Table1[[AwayTeam]:[AwayTeam]], S$1, Table1[[ActualResult]:[ActualResult]], "REG"),0), "-", TEXT(SUMIFS(Table1[[HomeWon]:[HomeWon]], Table1[[GameIsOver]:[GameIsOver]],1,Table1[[AwayTeam]:[AwayTeam]],$A6, Table1[[HomeTeam]:[HomeTeam]], S$1, Table1[[ActualResult]:[ActualResult]], "OT") + SUMIFS(Table1[[AwayWon]:[AwayWon]], Table1[[GameIsOver]:[GameIsOver]],1,Table1[[HomeTeam]:[HomeTeam]],$A6, Table1[[AwayTeam]:[AwayTeam]], S$1, Table1[[ActualResult]:[ActualResult]], "OT") + SUMIFS(Table1[[HomeWon]:[HomeWon]], Table1[[GameIsOver]:[GameIsOver]],1,Table1[[AwayTeam]:[AwayTeam]],$A6, Table1[[HomeTeam]:[HomeTeam]], S$1, Table1[[ActualResult]:[ActualResult]], "SO") + SUMIFS(Table1[[AwayWon]:[AwayWon]], Table1[[GameIsOver]:[GameIsOver]],1,Table1[[HomeTeam]:[HomeTeam]],$A6, Table1[[AwayTeam]:[AwayTeam]], S$1, Table1[[ActualResult]:[ActualResult]], "SO"),0))</f>
        <v>0-0-0</v>
      </c>
      <c r="T6" s="43" t="str">
        <f>_xlfn.CONCAT(TEXT(SUMIFS(Table1[[AwayWon]:[AwayWon]], Table1[[GameIsOver]:[GameIsOver]],1,Table1[[AwayTeam]:[AwayTeam]],$A6, Table1[[HomeTeam]:[HomeTeam]], T$1) + SUMIFS(Table1[[HomeWon]:[HomeWon]], Table1[[GameIsOver]:[GameIsOver]],1,Table1[[HomeTeam]:[HomeTeam]],$A6, Table1[[AwayTeam]:[AwayTeam]], T$1),0), "-", TEXT(SUMIFS(Table1[[HomeWon]:[HomeWon]], Table1[[GameIsOver]:[GameIsOver]],1,Table1[[AwayTeam]:[AwayTeam]],$A6, Table1[[HomeTeam]:[HomeTeam]], T$1, Table1[[ActualResult]:[ActualResult]], "REG") + SUMIFS(Table1[[AwayWon]:[AwayWon]], Table1[[GameIsOver]:[GameIsOver]],1,Table1[[HomeTeam]:[HomeTeam]],$A6, Table1[[AwayTeam]:[AwayTeam]], T$1, Table1[[ActualResult]:[ActualResult]], "REG"),0), "-", TEXT(SUMIFS(Table1[[HomeWon]:[HomeWon]], Table1[[GameIsOver]:[GameIsOver]],1,Table1[[AwayTeam]:[AwayTeam]],$A6, Table1[[HomeTeam]:[HomeTeam]], T$1, Table1[[ActualResult]:[ActualResult]], "OT") + SUMIFS(Table1[[AwayWon]:[AwayWon]], Table1[[GameIsOver]:[GameIsOver]],1,Table1[[HomeTeam]:[HomeTeam]],$A6, Table1[[AwayTeam]:[AwayTeam]], T$1, Table1[[ActualResult]:[ActualResult]], "OT") + SUMIFS(Table1[[HomeWon]:[HomeWon]], Table1[[GameIsOver]:[GameIsOver]],1,Table1[[AwayTeam]:[AwayTeam]],$A6, Table1[[HomeTeam]:[HomeTeam]], T$1, Table1[[ActualResult]:[ActualResult]], "SO") + SUMIFS(Table1[[AwayWon]:[AwayWon]], Table1[[GameIsOver]:[GameIsOver]],1,Table1[[HomeTeam]:[HomeTeam]],$A6, Table1[[AwayTeam]:[AwayTeam]], T$1, Table1[[ActualResult]:[ActualResult]], "SO"),0))</f>
        <v>0-0-0</v>
      </c>
      <c r="U6" s="43" t="str">
        <f>_xlfn.CONCAT(TEXT(SUMIFS(Table1[[AwayWon]:[AwayWon]], Table1[[GameIsOver]:[GameIsOver]],1,Table1[[AwayTeam]:[AwayTeam]],$A6, Table1[[HomeTeam]:[HomeTeam]], U$1) + SUMIFS(Table1[[HomeWon]:[HomeWon]], Table1[[GameIsOver]:[GameIsOver]],1,Table1[[HomeTeam]:[HomeTeam]],$A6, Table1[[AwayTeam]:[AwayTeam]], U$1),0), "-", TEXT(SUMIFS(Table1[[HomeWon]:[HomeWon]], Table1[[GameIsOver]:[GameIsOver]],1,Table1[[AwayTeam]:[AwayTeam]],$A6, Table1[[HomeTeam]:[HomeTeam]], U$1, Table1[[ActualResult]:[ActualResult]], "REG") + SUMIFS(Table1[[AwayWon]:[AwayWon]], Table1[[GameIsOver]:[GameIsOver]],1,Table1[[HomeTeam]:[HomeTeam]],$A6, Table1[[AwayTeam]:[AwayTeam]], U$1, Table1[[ActualResult]:[ActualResult]], "REG"),0), "-", TEXT(SUMIFS(Table1[[HomeWon]:[HomeWon]], Table1[[GameIsOver]:[GameIsOver]],1,Table1[[AwayTeam]:[AwayTeam]],$A6, Table1[[HomeTeam]:[HomeTeam]], U$1, Table1[[ActualResult]:[ActualResult]], "OT") + SUMIFS(Table1[[AwayWon]:[AwayWon]], Table1[[GameIsOver]:[GameIsOver]],1,Table1[[HomeTeam]:[HomeTeam]],$A6, Table1[[AwayTeam]:[AwayTeam]], U$1, Table1[[ActualResult]:[ActualResult]], "OT") + SUMIFS(Table1[[HomeWon]:[HomeWon]], Table1[[GameIsOver]:[GameIsOver]],1,Table1[[AwayTeam]:[AwayTeam]],$A6, Table1[[HomeTeam]:[HomeTeam]], U$1, Table1[[ActualResult]:[ActualResult]], "SO") + SUMIFS(Table1[[AwayWon]:[AwayWon]], Table1[[GameIsOver]:[GameIsOver]],1,Table1[[HomeTeam]:[HomeTeam]],$A6, Table1[[AwayTeam]:[AwayTeam]], U$1, Table1[[ActualResult]:[ActualResult]], "SO"),0))</f>
        <v>0-0-0</v>
      </c>
      <c r="V6" s="43" t="str">
        <f>_xlfn.CONCAT(TEXT(SUMIFS(Table1[[AwayWon]:[AwayWon]], Table1[[GameIsOver]:[GameIsOver]],1,Table1[[AwayTeam]:[AwayTeam]],$A6, Table1[[HomeTeam]:[HomeTeam]], V$1) + SUMIFS(Table1[[HomeWon]:[HomeWon]], Table1[[GameIsOver]:[GameIsOver]],1,Table1[[HomeTeam]:[HomeTeam]],$A6, Table1[[AwayTeam]:[AwayTeam]], V$1),0), "-", TEXT(SUMIFS(Table1[[HomeWon]:[HomeWon]], Table1[[GameIsOver]:[GameIsOver]],1,Table1[[AwayTeam]:[AwayTeam]],$A6, Table1[[HomeTeam]:[HomeTeam]], V$1, Table1[[ActualResult]:[ActualResult]], "REG") + SUMIFS(Table1[[AwayWon]:[AwayWon]], Table1[[GameIsOver]:[GameIsOver]],1,Table1[[HomeTeam]:[HomeTeam]],$A6, Table1[[AwayTeam]:[AwayTeam]], V$1, Table1[[ActualResult]:[ActualResult]], "REG"),0), "-", TEXT(SUMIFS(Table1[[HomeWon]:[HomeWon]], Table1[[GameIsOver]:[GameIsOver]],1,Table1[[AwayTeam]:[AwayTeam]],$A6, Table1[[HomeTeam]:[HomeTeam]], V$1, Table1[[ActualResult]:[ActualResult]], "OT") + SUMIFS(Table1[[AwayWon]:[AwayWon]], Table1[[GameIsOver]:[GameIsOver]],1,Table1[[HomeTeam]:[HomeTeam]],$A6, Table1[[AwayTeam]:[AwayTeam]], V$1, Table1[[ActualResult]:[ActualResult]], "OT") + SUMIFS(Table1[[HomeWon]:[HomeWon]], Table1[[GameIsOver]:[GameIsOver]],1,Table1[[AwayTeam]:[AwayTeam]],$A6, Table1[[HomeTeam]:[HomeTeam]], V$1, Table1[[ActualResult]:[ActualResult]], "SO") + SUMIFS(Table1[[AwayWon]:[AwayWon]], Table1[[GameIsOver]:[GameIsOver]],1,Table1[[HomeTeam]:[HomeTeam]],$A6, Table1[[AwayTeam]:[AwayTeam]], V$1, Table1[[ActualResult]:[ActualResult]], "SO"),0))</f>
        <v>0-0-0</v>
      </c>
      <c r="W6" s="43" t="str">
        <f>_xlfn.CONCAT(TEXT(SUMIFS(Table1[[AwayWon]:[AwayWon]], Table1[[GameIsOver]:[GameIsOver]],1,Table1[[AwayTeam]:[AwayTeam]],$A6, Table1[[HomeTeam]:[HomeTeam]], W$1) + SUMIFS(Table1[[HomeWon]:[HomeWon]], Table1[[GameIsOver]:[GameIsOver]],1,Table1[[HomeTeam]:[HomeTeam]],$A6, Table1[[AwayTeam]:[AwayTeam]], W$1),0), "-", TEXT(SUMIFS(Table1[[HomeWon]:[HomeWon]], Table1[[GameIsOver]:[GameIsOver]],1,Table1[[AwayTeam]:[AwayTeam]],$A6, Table1[[HomeTeam]:[HomeTeam]], W$1, Table1[[ActualResult]:[ActualResult]], "REG") + SUMIFS(Table1[[AwayWon]:[AwayWon]], Table1[[GameIsOver]:[GameIsOver]],1,Table1[[HomeTeam]:[HomeTeam]],$A6, Table1[[AwayTeam]:[AwayTeam]], W$1, Table1[[ActualResult]:[ActualResult]], "REG"),0), "-", TEXT(SUMIFS(Table1[[HomeWon]:[HomeWon]], Table1[[GameIsOver]:[GameIsOver]],1,Table1[[AwayTeam]:[AwayTeam]],$A6, Table1[[HomeTeam]:[HomeTeam]], W$1, Table1[[ActualResult]:[ActualResult]], "OT") + SUMIFS(Table1[[AwayWon]:[AwayWon]], Table1[[GameIsOver]:[GameIsOver]],1,Table1[[HomeTeam]:[HomeTeam]],$A6, Table1[[AwayTeam]:[AwayTeam]], W$1, Table1[[ActualResult]:[ActualResult]], "OT") + SUMIFS(Table1[[HomeWon]:[HomeWon]], Table1[[GameIsOver]:[GameIsOver]],1,Table1[[AwayTeam]:[AwayTeam]],$A6, Table1[[HomeTeam]:[HomeTeam]], W$1, Table1[[ActualResult]:[ActualResult]], "SO") + SUMIFS(Table1[[AwayWon]:[AwayWon]], Table1[[GameIsOver]:[GameIsOver]],1,Table1[[HomeTeam]:[HomeTeam]],$A6, Table1[[AwayTeam]:[AwayTeam]], W$1, Table1[[ActualResult]:[ActualResult]], "SO"),0))</f>
        <v>0-0-0</v>
      </c>
      <c r="X6" s="43" t="str">
        <f>_xlfn.CONCAT(TEXT(SUMIFS(Table1[[AwayWon]:[AwayWon]], Table1[[GameIsOver]:[GameIsOver]],1,Table1[[AwayTeam]:[AwayTeam]],$A6, Table1[[HomeTeam]:[HomeTeam]], X$1) + SUMIFS(Table1[[HomeWon]:[HomeWon]], Table1[[GameIsOver]:[GameIsOver]],1,Table1[[HomeTeam]:[HomeTeam]],$A6, Table1[[AwayTeam]:[AwayTeam]], X$1),0), "-", TEXT(SUMIFS(Table1[[HomeWon]:[HomeWon]], Table1[[GameIsOver]:[GameIsOver]],1,Table1[[AwayTeam]:[AwayTeam]],$A6, Table1[[HomeTeam]:[HomeTeam]], X$1, Table1[[ActualResult]:[ActualResult]], "REG") + SUMIFS(Table1[[AwayWon]:[AwayWon]], Table1[[GameIsOver]:[GameIsOver]],1,Table1[[HomeTeam]:[HomeTeam]],$A6, Table1[[AwayTeam]:[AwayTeam]], X$1, Table1[[ActualResult]:[ActualResult]], "REG"),0), "-", TEXT(SUMIFS(Table1[[HomeWon]:[HomeWon]], Table1[[GameIsOver]:[GameIsOver]],1,Table1[[AwayTeam]:[AwayTeam]],$A6, Table1[[HomeTeam]:[HomeTeam]], X$1, Table1[[ActualResult]:[ActualResult]], "OT") + SUMIFS(Table1[[AwayWon]:[AwayWon]], Table1[[GameIsOver]:[GameIsOver]],1,Table1[[HomeTeam]:[HomeTeam]],$A6, Table1[[AwayTeam]:[AwayTeam]], X$1, Table1[[ActualResult]:[ActualResult]], "OT") + SUMIFS(Table1[[HomeWon]:[HomeWon]], Table1[[GameIsOver]:[GameIsOver]],1,Table1[[AwayTeam]:[AwayTeam]],$A6, Table1[[HomeTeam]:[HomeTeam]], X$1, Table1[[ActualResult]:[ActualResult]], "SO") + SUMIFS(Table1[[AwayWon]:[AwayWon]], Table1[[GameIsOver]:[GameIsOver]],1,Table1[[HomeTeam]:[HomeTeam]],$A6, Table1[[AwayTeam]:[AwayTeam]], X$1, Table1[[ActualResult]:[ActualResult]], "SO"),0))</f>
        <v>0-0-0</v>
      </c>
      <c r="Y6" s="45" t="str">
        <f>_xlfn.CONCAT(TEXT(SUMIFS(Table1[[AwayWon]:[AwayWon]], Table1[[GameIsOver]:[GameIsOver]],1,Table1[[AwayTeam]:[AwayTeam]],$A6, Table1[[HomeTeam]:[HomeTeam]], Y$1) + SUMIFS(Table1[[HomeWon]:[HomeWon]], Table1[[GameIsOver]:[GameIsOver]],1,Table1[[HomeTeam]:[HomeTeam]],$A6, Table1[[AwayTeam]:[AwayTeam]], Y$1),0), "-", TEXT(SUMIFS(Table1[[HomeWon]:[HomeWon]], Table1[[GameIsOver]:[GameIsOver]],1,Table1[[AwayTeam]:[AwayTeam]],$A6, Table1[[HomeTeam]:[HomeTeam]], Y$1, Table1[[ActualResult]:[ActualResult]], "REG") + SUMIFS(Table1[[AwayWon]:[AwayWon]], Table1[[GameIsOver]:[GameIsOver]],1,Table1[[HomeTeam]:[HomeTeam]],$A6, Table1[[AwayTeam]:[AwayTeam]], Y$1, Table1[[ActualResult]:[ActualResult]], "REG"),0), "-", TEXT(SUMIFS(Table1[[HomeWon]:[HomeWon]], Table1[[GameIsOver]:[GameIsOver]],1,Table1[[AwayTeam]:[AwayTeam]],$A6, Table1[[HomeTeam]:[HomeTeam]], Y$1, Table1[[ActualResult]:[ActualResult]], "OT") + SUMIFS(Table1[[AwayWon]:[AwayWon]], Table1[[GameIsOver]:[GameIsOver]],1,Table1[[HomeTeam]:[HomeTeam]],$A6, Table1[[AwayTeam]:[AwayTeam]], Y$1, Table1[[ActualResult]:[ActualResult]], "OT") + SUMIFS(Table1[[HomeWon]:[HomeWon]], Table1[[GameIsOver]:[GameIsOver]],1,Table1[[AwayTeam]:[AwayTeam]],$A6, Table1[[HomeTeam]:[HomeTeam]], Y$1, Table1[[ActualResult]:[ActualResult]], "SO") + SUMIFS(Table1[[AwayWon]:[AwayWon]], Table1[[GameIsOver]:[GameIsOver]],1,Table1[[HomeTeam]:[HomeTeam]],$A6, Table1[[AwayTeam]:[AwayTeam]], Y$1, Table1[[ActualResult]:[ActualResult]], "SO"),0))</f>
        <v>0-0-0</v>
      </c>
      <c r="Z6" s="43" t="str">
        <f>_xlfn.CONCAT(TEXT(SUMIFS(Table1[[AwayWon]:[AwayWon]], Table1[[GameIsOver]:[GameIsOver]],1,Table1[[AwayTeam]:[AwayTeam]],$A6, Table1[[HomeTeam]:[HomeTeam]], Z$1) + SUMIFS(Table1[[HomeWon]:[HomeWon]], Table1[[GameIsOver]:[GameIsOver]],1,Table1[[HomeTeam]:[HomeTeam]],$A6, Table1[[AwayTeam]:[AwayTeam]], Z$1),0), "-", TEXT(SUMIFS(Table1[[HomeWon]:[HomeWon]], Table1[[GameIsOver]:[GameIsOver]],1,Table1[[AwayTeam]:[AwayTeam]],$A6, Table1[[HomeTeam]:[HomeTeam]], Z$1, Table1[[ActualResult]:[ActualResult]], "REG") + SUMIFS(Table1[[AwayWon]:[AwayWon]], Table1[[GameIsOver]:[GameIsOver]],1,Table1[[HomeTeam]:[HomeTeam]],$A6, Table1[[AwayTeam]:[AwayTeam]], Z$1, Table1[[ActualResult]:[ActualResult]], "REG"),0), "-", TEXT(SUMIFS(Table1[[HomeWon]:[HomeWon]], Table1[[GameIsOver]:[GameIsOver]],1,Table1[[AwayTeam]:[AwayTeam]],$A6, Table1[[HomeTeam]:[HomeTeam]], Z$1, Table1[[ActualResult]:[ActualResult]], "OT") + SUMIFS(Table1[[AwayWon]:[AwayWon]], Table1[[GameIsOver]:[GameIsOver]],1,Table1[[HomeTeam]:[HomeTeam]],$A6, Table1[[AwayTeam]:[AwayTeam]], Z$1, Table1[[ActualResult]:[ActualResult]], "OT") + SUMIFS(Table1[[HomeWon]:[HomeWon]], Table1[[GameIsOver]:[GameIsOver]],1,Table1[[AwayTeam]:[AwayTeam]],$A6, Table1[[HomeTeam]:[HomeTeam]], Z$1, Table1[[ActualResult]:[ActualResult]], "SO") + SUMIFS(Table1[[AwayWon]:[AwayWon]], Table1[[GameIsOver]:[GameIsOver]],1,Table1[[HomeTeam]:[HomeTeam]],$A6, Table1[[AwayTeam]:[AwayTeam]], Z$1, Table1[[ActualResult]:[ActualResult]], "SO"),0))</f>
        <v>0-0-0</v>
      </c>
      <c r="AA6" s="43" t="str">
        <f>_xlfn.CONCAT(TEXT(SUMIFS(Table1[[AwayWon]:[AwayWon]], Table1[[GameIsOver]:[GameIsOver]],1,Table1[[AwayTeam]:[AwayTeam]],$A6, Table1[[HomeTeam]:[HomeTeam]], AA$1) + SUMIFS(Table1[[HomeWon]:[HomeWon]], Table1[[GameIsOver]:[GameIsOver]],1,Table1[[HomeTeam]:[HomeTeam]],$A6, Table1[[AwayTeam]:[AwayTeam]], AA$1),0), "-", TEXT(SUMIFS(Table1[[HomeWon]:[HomeWon]], Table1[[GameIsOver]:[GameIsOver]],1,Table1[[AwayTeam]:[AwayTeam]],$A6, Table1[[HomeTeam]:[HomeTeam]], AA$1, Table1[[ActualResult]:[ActualResult]], "REG") + SUMIFS(Table1[[AwayWon]:[AwayWon]], Table1[[GameIsOver]:[GameIsOver]],1,Table1[[HomeTeam]:[HomeTeam]],$A6, Table1[[AwayTeam]:[AwayTeam]], AA$1, Table1[[ActualResult]:[ActualResult]], "REG"),0), "-", TEXT(SUMIFS(Table1[[HomeWon]:[HomeWon]], Table1[[GameIsOver]:[GameIsOver]],1,Table1[[AwayTeam]:[AwayTeam]],$A6, Table1[[HomeTeam]:[HomeTeam]], AA$1, Table1[[ActualResult]:[ActualResult]], "OT") + SUMIFS(Table1[[AwayWon]:[AwayWon]], Table1[[GameIsOver]:[GameIsOver]],1,Table1[[HomeTeam]:[HomeTeam]],$A6, Table1[[AwayTeam]:[AwayTeam]], AA$1, Table1[[ActualResult]:[ActualResult]], "OT") + SUMIFS(Table1[[HomeWon]:[HomeWon]], Table1[[GameIsOver]:[GameIsOver]],1,Table1[[AwayTeam]:[AwayTeam]],$A6, Table1[[HomeTeam]:[HomeTeam]], AA$1, Table1[[ActualResult]:[ActualResult]], "SO") + SUMIFS(Table1[[AwayWon]:[AwayWon]], Table1[[GameIsOver]:[GameIsOver]],1,Table1[[HomeTeam]:[HomeTeam]],$A6, Table1[[AwayTeam]:[AwayTeam]], AA$1, Table1[[ActualResult]:[ActualResult]], "SO"),0))</f>
        <v>0-0-0</v>
      </c>
      <c r="AB6" s="43" t="str">
        <f>_xlfn.CONCAT(TEXT(SUMIFS(Table1[[AwayWon]:[AwayWon]], Table1[[GameIsOver]:[GameIsOver]],1,Table1[[AwayTeam]:[AwayTeam]],$A6, Table1[[HomeTeam]:[HomeTeam]], AB$1) + SUMIFS(Table1[[HomeWon]:[HomeWon]], Table1[[GameIsOver]:[GameIsOver]],1,Table1[[HomeTeam]:[HomeTeam]],$A6, Table1[[AwayTeam]:[AwayTeam]], AB$1),0), "-", TEXT(SUMIFS(Table1[[HomeWon]:[HomeWon]], Table1[[GameIsOver]:[GameIsOver]],1,Table1[[AwayTeam]:[AwayTeam]],$A6, Table1[[HomeTeam]:[HomeTeam]], AB$1, Table1[[ActualResult]:[ActualResult]], "REG") + SUMIFS(Table1[[AwayWon]:[AwayWon]], Table1[[GameIsOver]:[GameIsOver]],1,Table1[[HomeTeam]:[HomeTeam]],$A6, Table1[[AwayTeam]:[AwayTeam]], AB$1, Table1[[ActualResult]:[ActualResult]], "REG"),0), "-", TEXT(SUMIFS(Table1[[HomeWon]:[HomeWon]], Table1[[GameIsOver]:[GameIsOver]],1,Table1[[AwayTeam]:[AwayTeam]],$A6, Table1[[HomeTeam]:[HomeTeam]], AB$1, Table1[[ActualResult]:[ActualResult]], "OT") + SUMIFS(Table1[[AwayWon]:[AwayWon]], Table1[[GameIsOver]:[GameIsOver]],1,Table1[[HomeTeam]:[HomeTeam]],$A6, Table1[[AwayTeam]:[AwayTeam]], AB$1, Table1[[ActualResult]:[ActualResult]], "OT") + SUMIFS(Table1[[HomeWon]:[HomeWon]], Table1[[GameIsOver]:[GameIsOver]],1,Table1[[AwayTeam]:[AwayTeam]],$A6, Table1[[HomeTeam]:[HomeTeam]], AB$1, Table1[[ActualResult]:[ActualResult]], "SO") + SUMIFS(Table1[[AwayWon]:[AwayWon]], Table1[[GameIsOver]:[GameIsOver]],1,Table1[[HomeTeam]:[HomeTeam]],$A6, Table1[[AwayTeam]:[AwayTeam]], AB$1, Table1[[ActualResult]:[ActualResult]], "SO"),0))</f>
        <v>0-0-0</v>
      </c>
      <c r="AC6" s="43" t="str">
        <f>_xlfn.CONCAT(TEXT(SUMIFS(Table1[[AwayWon]:[AwayWon]], Table1[[GameIsOver]:[GameIsOver]],1,Table1[[AwayTeam]:[AwayTeam]],$A6, Table1[[HomeTeam]:[HomeTeam]], AC$1) + SUMIFS(Table1[[HomeWon]:[HomeWon]], Table1[[GameIsOver]:[GameIsOver]],1,Table1[[HomeTeam]:[HomeTeam]],$A6, Table1[[AwayTeam]:[AwayTeam]], AC$1),0), "-", TEXT(SUMIFS(Table1[[HomeWon]:[HomeWon]], Table1[[GameIsOver]:[GameIsOver]],1,Table1[[AwayTeam]:[AwayTeam]],$A6, Table1[[HomeTeam]:[HomeTeam]], AC$1, Table1[[ActualResult]:[ActualResult]], "REG") + SUMIFS(Table1[[AwayWon]:[AwayWon]], Table1[[GameIsOver]:[GameIsOver]],1,Table1[[HomeTeam]:[HomeTeam]],$A6, Table1[[AwayTeam]:[AwayTeam]], AC$1, Table1[[ActualResult]:[ActualResult]], "REG"),0), "-", TEXT(SUMIFS(Table1[[HomeWon]:[HomeWon]], Table1[[GameIsOver]:[GameIsOver]],1,Table1[[AwayTeam]:[AwayTeam]],$A6, Table1[[HomeTeam]:[HomeTeam]], AC$1, Table1[[ActualResult]:[ActualResult]], "OT") + SUMIFS(Table1[[AwayWon]:[AwayWon]], Table1[[GameIsOver]:[GameIsOver]],1,Table1[[HomeTeam]:[HomeTeam]],$A6, Table1[[AwayTeam]:[AwayTeam]], AC$1, Table1[[ActualResult]:[ActualResult]], "OT") + SUMIFS(Table1[[HomeWon]:[HomeWon]], Table1[[GameIsOver]:[GameIsOver]],1,Table1[[AwayTeam]:[AwayTeam]],$A6, Table1[[HomeTeam]:[HomeTeam]], AC$1, Table1[[ActualResult]:[ActualResult]], "SO") + SUMIFS(Table1[[AwayWon]:[AwayWon]], Table1[[GameIsOver]:[GameIsOver]],1,Table1[[HomeTeam]:[HomeTeam]],$A6, Table1[[AwayTeam]:[AwayTeam]], AC$1, Table1[[ActualResult]:[ActualResult]], "SO"),0))</f>
        <v>0-0-0</v>
      </c>
      <c r="AD6" s="43" t="str">
        <f>_xlfn.CONCAT(TEXT(SUMIFS(Table1[[AwayWon]:[AwayWon]], Table1[[GameIsOver]:[GameIsOver]],1,Table1[[AwayTeam]:[AwayTeam]],$A6, Table1[[HomeTeam]:[HomeTeam]], AD$1) + SUMIFS(Table1[[HomeWon]:[HomeWon]], Table1[[GameIsOver]:[GameIsOver]],1,Table1[[HomeTeam]:[HomeTeam]],$A6, Table1[[AwayTeam]:[AwayTeam]], AD$1),0), "-", TEXT(SUMIFS(Table1[[HomeWon]:[HomeWon]], Table1[[GameIsOver]:[GameIsOver]],1,Table1[[AwayTeam]:[AwayTeam]],$A6, Table1[[HomeTeam]:[HomeTeam]], AD$1, Table1[[ActualResult]:[ActualResult]], "REG") + SUMIFS(Table1[[AwayWon]:[AwayWon]], Table1[[GameIsOver]:[GameIsOver]],1,Table1[[HomeTeam]:[HomeTeam]],$A6, Table1[[AwayTeam]:[AwayTeam]], AD$1, Table1[[ActualResult]:[ActualResult]], "REG"),0), "-", TEXT(SUMIFS(Table1[[HomeWon]:[HomeWon]], Table1[[GameIsOver]:[GameIsOver]],1,Table1[[AwayTeam]:[AwayTeam]],$A6, Table1[[HomeTeam]:[HomeTeam]], AD$1, Table1[[ActualResult]:[ActualResult]], "OT") + SUMIFS(Table1[[AwayWon]:[AwayWon]], Table1[[GameIsOver]:[GameIsOver]],1,Table1[[HomeTeam]:[HomeTeam]],$A6, Table1[[AwayTeam]:[AwayTeam]], AD$1, Table1[[ActualResult]:[ActualResult]], "OT") + SUMIFS(Table1[[HomeWon]:[HomeWon]], Table1[[GameIsOver]:[GameIsOver]],1,Table1[[AwayTeam]:[AwayTeam]],$A6, Table1[[HomeTeam]:[HomeTeam]], AD$1, Table1[[ActualResult]:[ActualResult]], "SO") + SUMIFS(Table1[[AwayWon]:[AwayWon]], Table1[[GameIsOver]:[GameIsOver]],1,Table1[[HomeTeam]:[HomeTeam]],$A6, Table1[[AwayTeam]:[AwayTeam]], AD$1, Table1[[ActualResult]:[ActualResult]], "SO"),0))</f>
        <v>0-0-0</v>
      </c>
      <c r="AE6" s="43" t="str">
        <f>_xlfn.CONCAT(TEXT(SUMIFS(Table1[[AwayWon]:[AwayWon]], Table1[[GameIsOver]:[GameIsOver]],1,Table1[[AwayTeam]:[AwayTeam]],$A6, Table1[[HomeTeam]:[HomeTeam]], AE$1) + SUMIFS(Table1[[HomeWon]:[HomeWon]], Table1[[GameIsOver]:[GameIsOver]],1,Table1[[HomeTeam]:[HomeTeam]],$A6, Table1[[AwayTeam]:[AwayTeam]], AE$1),0), "-", TEXT(SUMIFS(Table1[[HomeWon]:[HomeWon]], Table1[[GameIsOver]:[GameIsOver]],1,Table1[[AwayTeam]:[AwayTeam]],$A6, Table1[[HomeTeam]:[HomeTeam]], AE$1, Table1[[ActualResult]:[ActualResult]], "REG") + SUMIFS(Table1[[AwayWon]:[AwayWon]], Table1[[GameIsOver]:[GameIsOver]],1,Table1[[HomeTeam]:[HomeTeam]],$A6, Table1[[AwayTeam]:[AwayTeam]], AE$1, Table1[[ActualResult]:[ActualResult]], "REG"),0), "-", TEXT(SUMIFS(Table1[[HomeWon]:[HomeWon]], Table1[[GameIsOver]:[GameIsOver]],1,Table1[[AwayTeam]:[AwayTeam]],$A6, Table1[[HomeTeam]:[HomeTeam]], AE$1, Table1[[ActualResult]:[ActualResult]], "OT") + SUMIFS(Table1[[AwayWon]:[AwayWon]], Table1[[GameIsOver]:[GameIsOver]],1,Table1[[HomeTeam]:[HomeTeam]],$A6, Table1[[AwayTeam]:[AwayTeam]], AE$1, Table1[[ActualResult]:[ActualResult]], "OT") + SUMIFS(Table1[[HomeWon]:[HomeWon]], Table1[[GameIsOver]:[GameIsOver]],1,Table1[[AwayTeam]:[AwayTeam]],$A6, Table1[[HomeTeam]:[HomeTeam]], AE$1, Table1[[ActualResult]:[ActualResult]], "SO") + SUMIFS(Table1[[AwayWon]:[AwayWon]], Table1[[GameIsOver]:[GameIsOver]],1,Table1[[HomeTeam]:[HomeTeam]],$A6, Table1[[AwayTeam]:[AwayTeam]], AE$1, Table1[[ActualResult]:[ActualResult]], "SO"),0))</f>
        <v>0-0-0</v>
      </c>
      <c r="AF6" s="43" t="str">
        <f>_xlfn.CONCAT(TEXT(SUMIFS(Table1[[AwayWon]:[AwayWon]], Table1[[GameIsOver]:[GameIsOver]],1,Table1[[AwayTeam]:[AwayTeam]],$A6, Table1[[HomeTeam]:[HomeTeam]], AF$1) + SUMIFS(Table1[[HomeWon]:[HomeWon]], Table1[[GameIsOver]:[GameIsOver]],1,Table1[[HomeTeam]:[HomeTeam]],$A6, Table1[[AwayTeam]:[AwayTeam]], AF$1),0), "-", TEXT(SUMIFS(Table1[[HomeWon]:[HomeWon]], Table1[[GameIsOver]:[GameIsOver]],1,Table1[[AwayTeam]:[AwayTeam]],$A6, Table1[[HomeTeam]:[HomeTeam]], AF$1, Table1[[ActualResult]:[ActualResult]], "REG") + SUMIFS(Table1[[AwayWon]:[AwayWon]], Table1[[GameIsOver]:[GameIsOver]],1,Table1[[HomeTeam]:[HomeTeam]],$A6, Table1[[AwayTeam]:[AwayTeam]], AF$1, Table1[[ActualResult]:[ActualResult]], "REG"),0), "-", TEXT(SUMIFS(Table1[[HomeWon]:[HomeWon]], Table1[[GameIsOver]:[GameIsOver]],1,Table1[[AwayTeam]:[AwayTeam]],$A6, Table1[[HomeTeam]:[HomeTeam]], AF$1, Table1[[ActualResult]:[ActualResult]], "OT") + SUMIFS(Table1[[AwayWon]:[AwayWon]], Table1[[GameIsOver]:[GameIsOver]],1,Table1[[HomeTeam]:[HomeTeam]],$A6, Table1[[AwayTeam]:[AwayTeam]], AF$1, Table1[[ActualResult]:[ActualResult]], "OT") + SUMIFS(Table1[[HomeWon]:[HomeWon]], Table1[[GameIsOver]:[GameIsOver]],1,Table1[[AwayTeam]:[AwayTeam]],$A6, Table1[[HomeTeam]:[HomeTeam]], AF$1, Table1[[ActualResult]:[ActualResult]], "SO") + SUMIFS(Table1[[AwayWon]:[AwayWon]], Table1[[GameIsOver]:[GameIsOver]],1,Table1[[HomeTeam]:[HomeTeam]],$A6, Table1[[AwayTeam]:[AwayTeam]], AF$1, Table1[[ActualResult]:[ActualResult]], "SO"),0))</f>
        <v>0-0-0</v>
      </c>
      <c r="AG6" s="43" t="str">
        <f>_xlfn.CONCAT(TEXT(SUMIFS(Table1[[AwayWon]:[AwayWon]], Table1[[GameIsOver]:[GameIsOver]],1,Table1[[AwayTeam]:[AwayTeam]],$A6, Table1[[HomeTeam]:[HomeTeam]], AG$1) + SUMIFS(Table1[[HomeWon]:[HomeWon]], Table1[[GameIsOver]:[GameIsOver]],1,Table1[[HomeTeam]:[HomeTeam]],$A6, Table1[[AwayTeam]:[AwayTeam]], AG$1),0), "-", TEXT(SUMIFS(Table1[[HomeWon]:[HomeWon]], Table1[[GameIsOver]:[GameIsOver]],1,Table1[[AwayTeam]:[AwayTeam]],$A6, Table1[[HomeTeam]:[HomeTeam]], AG$1, Table1[[ActualResult]:[ActualResult]], "REG") + SUMIFS(Table1[[AwayWon]:[AwayWon]], Table1[[GameIsOver]:[GameIsOver]],1,Table1[[HomeTeam]:[HomeTeam]],$A6, Table1[[AwayTeam]:[AwayTeam]], AG$1, Table1[[ActualResult]:[ActualResult]], "REG"),0), "-", TEXT(SUMIFS(Table1[[HomeWon]:[HomeWon]], Table1[[GameIsOver]:[GameIsOver]],1,Table1[[AwayTeam]:[AwayTeam]],$A6, Table1[[HomeTeam]:[HomeTeam]], AG$1, Table1[[ActualResult]:[ActualResult]], "OT") + SUMIFS(Table1[[AwayWon]:[AwayWon]], Table1[[GameIsOver]:[GameIsOver]],1,Table1[[HomeTeam]:[HomeTeam]],$A6, Table1[[AwayTeam]:[AwayTeam]], AG$1, Table1[[ActualResult]:[ActualResult]], "OT") + SUMIFS(Table1[[HomeWon]:[HomeWon]], Table1[[GameIsOver]:[GameIsOver]],1,Table1[[AwayTeam]:[AwayTeam]],$A6, Table1[[HomeTeam]:[HomeTeam]], AG$1, Table1[[ActualResult]:[ActualResult]], "SO") + SUMIFS(Table1[[AwayWon]:[AwayWon]], Table1[[GameIsOver]:[GameIsOver]],1,Table1[[HomeTeam]:[HomeTeam]],$A6, Table1[[AwayTeam]:[AwayTeam]], AG$1, Table1[[ActualResult]:[ActualResult]], "SO"),0))</f>
        <v>0-0-0</v>
      </c>
    </row>
    <row r="7" spans="1:33" x14ac:dyDescent="0.25">
      <c r="A7" s="17" t="s">
        <v>55</v>
      </c>
      <c r="B7" s="43" t="str">
        <f>_xlfn.CONCAT(TEXT(SUMIFS(Table1[[AwayWon]:[AwayWon]], Table1[[GameIsOver]:[GameIsOver]],1,Table1[[AwayTeam]:[AwayTeam]],$A7, Table1[[HomeTeam]:[HomeTeam]], B$1) + SUMIFS(Table1[[HomeWon]:[HomeWon]], Table1[[GameIsOver]:[GameIsOver]],1,Table1[[HomeTeam]:[HomeTeam]],$A7, Table1[[AwayTeam]:[AwayTeam]], B$1),0), "-", TEXT(SUMIFS(Table1[[HomeWon]:[HomeWon]], Table1[[GameIsOver]:[GameIsOver]],1,Table1[[AwayTeam]:[AwayTeam]],$A7, Table1[[HomeTeam]:[HomeTeam]], B$1, Table1[[ActualResult]:[ActualResult]], "REG") + SUMIFS(Table1[[AwayWon]:[AwayWon]], Table1[[GameIsOver]:[GameIsOver]],1,Table1[[HomeTeam]:[HomeTeam]],$A7, Table1[[AwayTeam]:[AwayTeam]], B$1, Table1[[ActualResult]:[ActualResult]], "REG"),0), "-", TEXT(SUMIFS(Table1[[HomeWon]:[HomeWon]], Table1[[GameIsOver]:[GameIsOver]],1,Table1[[AwayTeam]:[AwayTeam]],$A7, Table1[[HomeTeam]:[HomeTeam]], B$1, Table1[[ActualResult]:[ActualResult]], "OT") + SUMIFS(Table1[[AwayWon]:[AwayWon]], Table1[[GameIsOver]:[GameIsOver]],1,Table1[[HomeTeam]:[HomeTeam]],$A7, Table1[[AwayTeam]:[AwayTeam]], B$1, Table1[[ActualResult]:[ActualResult]], "OT") + SUMIFS(Table1[[HomeWon]:[HomeWon]], Table1[[GameIsOver]:[GameIsOver]],1,Table1[[AwayTeam]:[AwayTeam]],$A7, Table1[[HomeTeam]:[HomeTeam]], B$1, Table1[[ActualResult]:[ActualResult]], "SO") + SUMIFS(Table1[[AwayWon]:[AwayWon]], Table1[[GameIsOver]:[GameIsOver]],1,Table1[[HomeTeam]:[HomeTeam]],$A7, Table1[[AwayTeam]:[AwayTeam]], B$1, Table1[[ActualResult]:[ActualResult]], "SO"),0))</f>
        <v>0-0-0</v>
      </c>
      <c r="C7" s="43" t="str">
        <f>_xlfn.CONCAT(TEXT(SUMIFS(Table1[[AwayWon]:[AwayWon]], Table1[[GameIsOver]:[GameIsOver]],1,Table1[[AwayTeam]:[AwayTeam]],$A7, Table1[[HomeTeam]:[HomeTeam]], C$1) + SUMIFS(Table1[[HomeWon]:[HomeWon]], Table1[[GameIsOver]:[GameIsOver]],1,Table1[[HomeTeam]:[HomeTeam]],$A7, Table1[[AwayTeam]:[AwayTeam]], C$1),0), "-", TEXT(SUMIFS(Table1[[HomeWon]:[HomeWon]], Table1[[GameIsOver]:[GameIsOver]],1,Table1[[AwayTeam]:[AwayTeam]],$A7, Table1[[HomeTeam]:[HomeTeam]], C$1, Table1[[ActualResult]:[ActualResult]], "REG") + SUMIFS(Table1[[AwayWon]:[AwayWon]], Table1[[GameIsOver]:[GameIsOver]],1,Table1[[HomeTeam]:[HomeTeam]],$A7, Table1[[AwayTeam]:[AwayTeam]], C$1, Table1[[ActualResult]:[ActualResult]], "REG"),0), "-", TEXT(SUMIFS(Table1[[HomeWon]:[HomeWon]], Table1[[GameIsOver]:[GameIsOver]],1,Table1[[AwayTeam]:[AwayTeam]],$A7, Table1[[HomeTeam]:[HomeTeam]], C$1, Table1[[ActualResult]:[ActualResult]], "OT") + SUMIFS(Table1[[AwayWon]:[AwayWon]], Table1[[GameIsOver]:[GameIsOver]],1,Table1[[HomeTeam]:[HomeTeam]],$A7, Table1[[AwayTeam]:[AwayTeam]], C$1, Table1[[ActualResult]:[ActualResult]], "OT") + SUMIFS(Table1[[HomeWon]:[HomeWon]], Table1[[GameIsOver]:[GameIsOver]],1,Table1[[AwayTeam]:[AwayTeam]],$A7, Table1[[HomeTeam]:[HomeTeam]], C$1, Table1[[ActualResult]:[ActualResult]], "SO") + SUMIFS(Table1[[AwayWon]:[AwayWon]], Table1[[GameIsOver]:[GameIsOver]],1,Table1[[HomeTeam]:[HomeTeam]],$A7, Table1[[AwayTeam]:[AwayTeam]], C$1, Table1[[ActualResult]:[ActualResult]], "SO"),0))</f>
        <v>0-0-0</v>
      </c>
      <c r="D7" s="43" t="str">
        <f>_xlfn.CONCAT(TEXT(SUMIFS(Table1[[AwayWon]:[AwayWon]], Table1[[GameIsOver]:[GameIsOver]],1,Table1[[AwayTeam]:[AwayTeam]],$A7, Table1[[HomeTeam]:[HomeTeam]], D$1) + SUMIFS(Table1[[HomeWon]:[HomeWon]], Table1[[GameIsOver]:[GameIsOver]],1,Table1[[HomeTeam]:[HomeTeam]],$A7, Table1[[AwayTeam]:[AwayTeam]], D$1),0), "-", TEXT(SUMIFS(Table1[[HomeWon]:[HomeWon]], Table1[[GameIsOver]:[GameIsOver]],1,Table1[[AwayTeam]:[AwayTeam]],$A7, Table1[[HomeTeam]:[HomeTeam]], D$1, Table1[[ActualResult]:[ActualResult]], "REG") + SUMIFS(Table1[[AwayWon]:[AwayWon]], Table1[[GameIsOver]:[GameIsOver]],1,Table1[[HomeTeam]:[HomeTeam]],$A7, Table1[[AwayTeam]:[AwayTeam]], D$1, Table1[[ActualResult]:[ActualResult]], "REG"),0), "-", TEXT(SUMIFS(Table1[[HomeWon]:[HomeWon]], Table1[[GameIsOver]:[GameIsOver]],1,Table1[[AwayTeam]:[AwayTeam]],$A7, Table1[[HomeTeam]:[HomeTeam]], D$1, Table1[[ActualResult]:[ActualResult]], "OT") + SUMIFS(Table1[[AwayWon]:[AwayWon]], Table1[[GameIsOver]:[GameIsOver]],1,Table1[[HomeTeam]:[HomeTeam]],$A7, Table1[[AwayTeam]:[AwayTeam]], D$1, Table1[[ActualResult]:[ActualResult]], "OT") + SUMIFS(Table1[[HomeWon]:[HomeWon]], Table1[[GameIsOver]:[GameIsOver]],1,Table1[[AwayTeam]:[AwayTeam]],$A7, Table1[[HomeTeam]:[HomeTeam]], D$1, Table1[[ActualResult]:[ActualResult]], "SO") + SUMIFS(Table1[[AwayWon]:[AwayWon]], Table1[[GameIsOver]:[GameIsOver]],1,Table1[[HomeTeam]:[HomeTeam]],$A7, Table1[[AwayTeam]:[AwayTeam]], D$1, Table1[[ActualResult]:[ActualResult]], "SO"),0))</f>
        <v>0-0-0</v>
      </c>
      <c r="E7" s="43" t="str">
        <f>_xlfn.CONCAT(TEXT(SUMIFS(Table1[[AwayWon]:[AwayWon]], Table1[[GameIsOver]:[GameIsOver]],1,Table1[[AwayTeam]:[AwayTeam]],$A7, Table1[[HomeTeam]:[HomeTeam]], E$1) + SUMIFS(Table1[[HomeWon]:[HomeWon]], Table1[[GameIsOver]:[GameIsOver]],1,Table1[[HomeTeam]:[HomeTeam]],$A7, Table1[[AwayTeam]:[AwayTeam]], E$1),0), "-", TEXT(SUMIFS(Table1[[HomeWon]:[HomeWon]], Table1[[GameIsOver]:[GameIsOver]],1,Table1[[AwayTeam]:[AwayTeam]],$A7, Table1[[HomeTeam]:[HomeTeam]], E$1, Table1[[ActualResult]:[ActualResult]], "REG") + SUMIFS(Table1[[AwayWon]:[AwayWon]], Table1[[GameIsOver]:[GameIsOver]],1,Table1[[HomeTeam]:[HomeTeam]],$A7, Table1[[AwayTeam]:[AwayTeam]], E$1, Table1[[ActualResult]:[ActualResult]], "REG"),0), "-", TEXT(SUMIFS(Table1[[HomeWon]:[HomeWon]], Table1[[GameIsOver]:[GameIsOver]],1,Table1[[AwayTeam]:[AwayTeam]],$A7, Table1[[HomeTeam]:[HomeTeam]], E$1, Table1[[ActualResult]:[ActualResult]], "OT") + SUMIFS(Table1[[AwayWon]:[AwayWon]], Table1[[GameIsOver]:[GameIsOver]],1,Table1[[HomeTeam]:[HomeTeam]],$A7, Table1[[AwayTeam]:[AwayTeam]], E$1, Table1[[ActualResult]:[ActualResult]], "OT") + SUMIFS(Table1[[HomeWon]:[HomeWon]], Table1[[GameIsOver]:[GameIsOver]],1,Table1[[AwayTeam]:[AwayTeam]],$A7, Table1[[HomeTeam]:[HomeTeam]], E$1, Table1[[ActualResult]:[ActualResult]], "SO") + SUMIFS(Table1[[AwayWon]:[AwayWon]], Table1[[GameIsOver]:[GameIsOver]],1,Table1[[HomeTeam]:[HomeTeam]],$A7, Table1[[AwayTeam]:[AwayTeam]], E$1, Table1[[ActualResult]:[ActualResult]], "SO"),0))</f>
        <v>0-0-0</v>
      </c>
      <c r="F7" s="43" t="str">
        <f>_xlfn.CONCAT(TEXT(SUMIFS(Table1[[AwayWon]:[AwayWon]], Table1[[GameIsOver]:[GameIsOver]],1,Table1[[AwayTeam]:[AwayTeam]],$A7, Table1[[HomeTeam]:[HomeTeam]], F$1) + SUMIFS(Table1[[HomeWon]:[HomeWon]], Table1[[GameIsOver]:[GameIsOver]],1,Table1[[HomeTeam]:[HomeTeam]],$A7, Table1[[AwayTeam]:[AwayTeam]], F$1),0), "-", TEXT(SUMIFS(Table1[[HomeWon]:[HomeWon]], Table1[[GameIsOver]:[GameIsOver]],1,Table1[[AwayTeam]:[AwayTeam]],$A7, Table1[[HomeTeam]:[HomeTeam]], F$1, Table1[[ActualResult]:[ActualResult]], "REG") + SUMIFS(Table1[[AwayWon]:[AwayWon]], Table1[[GameIsOver]:[GameIsOver]],1,Table1[[HomeTeam]:[HomeTeam]],$A7, Table1[[AwayTeam]:[AwayTeam]], F$1, Table1[[ActualResult]:[ActualResult]], "REG"),0), "-", TEXT(SUMIFS(Table1[[HomeWon]:[HomeWon]], Table1[[GameIsOver]:[GameIsOver]],1,Table1[[AwayTeam]:[AwayTeam]],$A7, Table1[[HomeTeam]:[HomeTeam]], F$1, Table1[[ActualResult]:[ActualResult]], "OT") + SUMIFS(Table1[[AwayWon]:[AwayWon]], Table1[[GameIsOver]:[GameIsOver]],1,Table1[[HomeTeam]:[HomeTeam]],$A7, Table1[[AwayTeam]:[AwayTeam]], F$1, Table1[[ActualResult]:[ActualResult]], "OT") + SUMIFS(Table1[[HomeWon]:[HomeWon]], Table1[[GameIsOver]:[GameIsOver]],1,Table1[[AwayTeam]:[AwayTeam]],$A7, Table1[[HomeTeam]:[HomeTeam]], F$1, Table1[[ActualResult]:[ActualResult]], "SO") + SUMIFS(Table1[[AwayWon]:[AwayWon]], Table1[[GameIsOver]:[GameIsOver]],1,Table1[[HomeTeam]:[HomeTeam]],$A7, Table1[[AwayTeam]:[AwayTeam]], F$1, Table1[[ActualResult]:[ActualResult]], "SO"),0))</f>
        <v>0-0-0</v>
      </c>
      <c r="G7" s="43" t="str">
        <f>_xlfn.CONCAT(TEXT(SUMIFS(Table1[[AwayWon]:[AwayWon]], Table1[[GameIsOver]:[GameIsOver]],1,Table1[[AwayTeam]:[AwayTeam]],$A7, Table1[[HomeTeam]:[HomeTeam]], G$1) + SUMIFS(Table1[[HomeWon]:[HomeWon]], Table1[[GameIsOver]:[GameIsOver]],1,Table1[[HomeTeam]:[HomeTeam]],$A7, Table1[[AwayTeam]:[AwayTeam]], G$1),0), "-", TEXT(SUMIFS(Table1[[HomeWon]:[HomeWon]], Table1[[GameIsOver]:[GameIsOver]],1,Table1[[AwayTeam]:[AwayTeam]],$A7, Table1[[HomeTeam]:[HomeTeam]], G$1, Table1[[ActualResult]:[ActualResult]], "REG") + SUMIFS(Table1[[AwayWon]:[AwayWon]], Table1[[GameIsOver]:[GameIsOver]],1,Table1[[HomeTeam]:[HomeTeam]],$A7, Table1[[AwayTeam]:[AwayTeam]], G$1, Table1[[ActualResult]:[ActualResult]], "REG"),0), "-", TEXT(SUMIFS(Table1[[HomeWon]:[HomeWon]], Table1[[GameIsOver]:[GameIsOver]],1,Table1[[AwayTeam]:[AwayTeam]],$A7, Table1[[HomeTeam]:[HomeTeam]], G$1, Table1[[ActualResult]:[ActualResult]], "OT") + SUMIFS(Table1[[AwayWon]:[AwayWon]], Table1[[GameIsOver]:[GameIsOver]],1,Table1[[HomeTeam]:[HomeTeam]],$A7, Table1[[AwayTeam]:[AwayTeam]], G$1, Table1[[ActualResult]:[ActualResult]], "OT") + SUMIFS(Table1[[HomeWon]:[HomeWon]], Table1[[GameIsOver]:[GameIsOver]],1,Table1[[AwayTeam]:[AwayTeam]],$A7, Table1[[HomeTeam]:[HomeTeam]], G$1, Table1[[ActualResult]:[ActualResult]], "SO") + SUMIFS(Table1[[AwayWon]:[AwayWon]], Table1[[GameIsOver]:[GameIsOver]],1,Table1[[HomeTeam]:[HomeTeam]],$A7, Table1[[AwayTeam]:[AwayTeam]], G$1, Table1[[ActualResult]:[ActualResult]], "SO"),0))</f>
        <v>0-0-0</v>
      </c>
      <c r="H7" s="43" t="str">
        <f>_xlfn.CONCAT(TEXT(SUMIFS(Table1[[AwayWon]:[AwayWon]], Table1[[GameIsOver]:[GameIsOver]],1,Table1[[AwayTeam]:[AwayTeam]],$A7, Table1[[HomeTeam]:[HomeTeam]], H$1) + SUMIFS(Table1[[HomeWon]:[HomeWon]], Table1[[GameIsOver]:[GameIsOver]],1,Table1[[HomeTeam]:[HomeTeam]],$A7, Table1[[AwayTeam]:[AwayTeam]], H$1),0), "-", TEXT(SUMIFS(Table1[[HomeWon]:[HomeWon]], Table1[[GameIsOver]:[GameIsOver]],1,Table1[[AwayTeam]:[AwayTeam]],$A7, Table1[[HomeTeam]:[HomeTeam]], H$1, Table1[[ActualResult]:[ActualResult]], "REG") + SUMIFS(Table1[[AwayWon]:[AwayWon]], Table1[[GameIsOver]:[GameIsOver]],1,Table1[[HomeTeam]:[HomeTeam]],$A7, Table1[[AwayTeam]:[AwayTeam]], H$1, Table1[[ActualResult]:[ActualResult]], "REG"),0), "-", TEXT(SUMIFS(Table1[[HomeWon]:[HomeWon]], Table1[[GameIsOver]:[GameIsOver]],1,Table1[[AwayTeam]:[AwayTeam]],$A7, Table1[[HomeTeam]:[HomeTeam]], H$1, Table1[[ActualResult]:[ActualResult]], "OT") + SUMIFS(Table1[[AwayWon]:[AwayWon]], Table1[[GameIsOver]:[GameIsOver]],1,Table1[[HomeTeam]:[HomeTeam]],$A7, Table1[[AwayTeam]:[AwayTeam]], H$1, Table1[[ActualResult]:[ActualResult]], "OT") + SUMIFS(Table1[[HomeWon]:[HomeWon]], Table1[[GameIsOver]:[GameIsOver]],1,Table1[[AwayTeam]:[AwayTeam]],$A7, Table1[[HomeTeam]:[HomeTeam]], H$1, Table1[[ActualResult]:[ActualResult]], "SO") + SUMIFS(Table1[[AwayWon]:[AwayWon]], Table1[[GameIsOver]:[GameIsOver]],1,Table1[[HomeTeam]:[HomeTeam]],$A7, Table1[[AwayTeam]:[AwayTeam]], H$1, Table1[[ActualResult]:[ActualResult]], "SO"),0))</f>
        <v>0-0-0</v>
      </c>
      <c r="I7" s="45" t="str">
        <f>_xlfn.CONCAT(TEXT(SUMIFS(Table1[[AwayWon]:[AwayWon]], Table1[[GameIsOver]:[GameIsOver]],1,Table1[[AwayTeam]:[AwayTeam]],$A7, Table1[[HomeTeam]:[HomeTeam]], I$1) + SUMIFS(Table1[[HomeWon]:[HomeWon]], Table1[[GameIsOver]:[GameIsOver]],1,Table1[[HomeTeam]:[HomeTeam]],$A7, Table1[[AwayTeam]:[AwayTeam]], I$1),0), "-", TEXT(SUMIFS(Table1[[HomeWon]:[HomeWon]], Table1[[GameIsOver]:[GameIsOver]],1,Table1[[AwayTeam]:[AwayTeam]],$A7, Table1[[HomeTeam]:[HomeTeam]], I$1, Table1[[ActualResult]:[ActualResult]], "REG") + SUMIFS(Table1[[AwayWon]:[AwayWon]], Table1[[GameIsOver]:[GameIsOver]],1,Table1[[HomeTeam]:[HomeTeam]],$A7, Table1[[AwayTeam]:[AwayTeam]], I$1, Table1[[ActualResult]:[ActualResult]], "REG"),0), "-", TEXT(SUMIFS(Table1[[HomeWon]:[HomeWon]], Table1[[GameIsOver]:[GameIsOver]],1,Table1[[AwayTeam]:[AwayTeam]],$A7, Table1[[HomeTeam]:[HomeTeam]], I$1, Table1[[ActualResult]:[ActualResult]], "OT") + SUMIFS(Table1[[AwayWon]:[AwayWon]], Table1[[GameIsOver]:[GameIsOver]],1,Table1[[HomeTeam]:[HomeTeam]],$A7, Table1[[AwayTeam]:[AwayTeam]], I$1, Table1[[ActualResult]:[ActualResult]], "OT") + SUMIFS(Table1[[HomeWon]:[HomeWon]], Table1[[GameIsOver]:[GameIsOver]],1,Table1[[AwayTeam]:[AwayTeam]],$A7, Table1[[HomeTeam]:[HomeTeam]], I$1, Table1[[ActualResult]:[ActualResult]], "SO") + SUMIFS(Table1[[AwayWon]:[AwayWon]], Table1[[GameIsOver]:[GameIsOver]],1,Table1[[HomeTeam]:[HomeTeam]],$A7, Table1[[AwayTeam]:[AwayTeam]], I$1, Table1[[ActualResult]:[ActualResult]], "SO"),0))</f>
        <v>0-0-0</v>
      </c>
      <c r="J7" s="43" t="str">
        <f>_xlfn.CONCAT(TEXT(SUMIFS(Table1[[AwayWon]:[AwayWon]], Table1[[GameIsOver]:[GameIsOver]],1,Table1[[AwayTeam]:[AwayTeam]],$A7, Table1[[HomeTeam]:[HomeTeam]], J$1) + SUMIFS(Table1[[HomeWon]:[HomeWon]], Table1[[GameIsOver]:[GameIsOver]],1,Table1[[HomeTeam]:[HomeTeam]],$A7, Table1[[AwayTeam]:[AwayTeam]], J$1),0), "-", TEXT(SUMIFS(Table1[[HomeWon]:[HomeWon]], Table1[[GameIsOver]:[GameIsOver]],1,Table1[[AwayTeam]:[AwayTeam]],$A7, Table1[[HomeTeam]:[HomeTeam]], J$1, Table1[[ActualResult]:[ActualResult]], "REG") + SUMIFS(Table1[[AwayWon]:[AwayWon]], Table1[[GameIsOver]:[GameIsOver]],1,Table1[[HomeTeam]:[HomeTeam]],$A7, Table1[[AwayTeam]:[AwayTeam]], J$1, Table1[[ActualResult]:[ActualResult]], "REG"),0), "-", TEXT(SUMIFS(Table1[[HomeWon]:[HomeWon]], Table1[[GameIsOver]:[GameIsOver]],1,Table1[[AwayTeam]:[AwayTeam]],$A7, Table1[[HomeTeam]:[HomeTeam]], J$1, Table1[[ActualResult]:[ActualResult]], "OT") + SUMIFS(Table1[[AwayWon]:[AwayWon]], Table1[[GameIsOver]:[GameIsOver]],1,Table1[[HomeTeam]:[HomeTeam]],$A7, Table1[[AwayTeam]:[AwayTeam]], J$1, Table1[[ActualResult]:[ActualResult]], "OT") + SUMIFS(Table1[[HomeWon]:[HomeWon]], Table1[[GameIsOver]:[GameIsOver]],1,Table1[[AwayTeam]:[AwayTeam]],$A7, Table1[[HomeTeam]:[HomeTeam]], J$1, Table1[[ActualResult]:[ActualResult]], "SO") + SUMIFS(Table1[[AwayWon]:[AwayWon]], Table1[[GameIsOver]:[GameIsOver]],1,Table1[[HomeTeam]:[HomeTeam]],$A7, Table1[[AwayTeam]:[AwayTeam]], J$1, Table1[[ActualResult]:[ActualResult]], "SO"),0))</f>
        <v>0-0-0</v>
      </c>
      <c r="K7" s="43" t="str">
        <f>_xlfn.CONCAT(TEXT(SUMIFS(Table1[[AwayWon]:[AwayWon]], Table1[[GameIsOver]:[GameIsOver]],1,Table1[[AwayTeam]:[AwayTeam]],$A7, Table1[[HomeTeam]:[HomeTeam]], K$1) + SUMIFS(Table1[[HomeWon]:[HomeWon]], Table1[[GameIsOver]:[GameIsOver]],1,Table1[[HomeTeam]:[HomeTeam]],$A7, Table1[[AwayTeam]:[AwayTeam]], K$1),0), "-", TEXT(SUMIFS(Table1[[HomeWon]:[HomeWon]], Table1[[GameIsOver]:[GameIsOver]],1,Table1[[AwayTeam]:[AwayTeam]],$A7, Table1[[HomeTeam]:[HomeTeam]], K$1, Table1[[ActualResult]:[ActualResult]], "REG") + SUMIFS(Table1[[AwayWon]:[AwayWon]], Table1[[GameIsOver]:[GameIsOver]],1,Table1[[HomeTeam]:[HomeTeam]],$A7, Table1[[AwayTeam]:[AwayTeam]], K$1, Table1[[ActualResult]:[ActualResult]], "REG"),0), "-", TEXT(SUMIFS(Table1[[HomeWon]:[HomeWon]], Table1[[GameIsOver]:[GameIsOver]],1,Table1[[AwayTeam]:[AwayTeam]],$A7, Table1[[HomeTeam]:[HomeTeam]], K$1, Table1[[ActualResult]:[ActualResult]], "OT") + SUMIFS(Table1[[AwayWon]:[AwayWon]], Table1[[GameIsOver]:[GameIsOver]],1,Table1[[HomeTeam]:[HomeTeam]],$A7, Table1[[AwayTeam]:[AwayTeam]], K$1, Table1[[ActualResult]:[ActualResult]], "OT") + SUMIFS(Table1[[HomeWon]:[HomeWon]], Table1[[GameIsOver]:[GameIsOver]],1,Table1[[AwayTeam]:[AwayTeam]],$A7, Table1[[HomeTeam]:[HomeTeam]], K$1, Table1[[ActualResult]:[ActualResult]], "SO") + SUMIFS(Table1[[AwayWon]:[AwayWon]], Table1[[GameIsOver]:[GameIsOver]],1,Table1[[HomeTeam]:[HomeTeam]],$A7, Table1[[AwayTeam]:[AwayTeam]], K$1, Table1[[ActualResult]:[ActualResult]], "SO"),0))</f>
        <v>0-0-0</v>
      </c>
      <c r="L7" s="43" t="str">
        <f>_xlfn.CONCAT(TEXT(SUMIFS(Table1[[AwayWon]:[AwayWon]], Table1[[GameIsOver]:[GameIsOver]],1,Table1[[AwayTeam]:[AwayTeam]],$A7, Table1[[HomeTeam]:[HomeTeam]], L$1) + SUMIFS(Table1[[HomeWon]:[HomeWon]], Table1[[GameIsOver]:[GameIsOver]],1,Table1[[HomeTeam]:[HomeTeam]],$A7, Table1[[AwayTeam]:[AwayTeam]], L$1),0), "-", TEXT(SUMIFS(Table1[[HomeWon]:[HomeWon]], Table1[[GameIsOver]:[GameIsOver]],1,Table1[[AwayTeam]:[AwayTeam]],$A7, Table1[[HomeTeam]:[HomeTeam]], L$1, Table1[[ActualResult]:[ActualResult]], "REG") + SUMIFS(Table1[[AwayWon]:[AwayWon]], Table1[[GameIsOver]:[GameIsOver]],1,Table1[[HomeTeam]:[HomeTeam]],$A7, Table1[[AwayTeam]:[AwayTeam]], L$1, Table1[[ActualResult]:[ActualResult]], "REG"),0), "-", TEXT(SUMIFS(Table1[[HomeWon]:[HomeWon]], Table1[[GameIsOver]:[GameIsOver]],1,Table1[[AwayTeam]:[AwayTeam]],$A7, Table1[[HomeTeam]:[HomeTeam]], L$1, Table1[[ActualResult]:[ActualResult]], "OT") + SUMIFS(Table1[[AwayWon]:[AwayWon]], Table1[[GameIsOver]:[GameIsOver]],1,Table1[[HomeTeam]:[HomeTeam]],$A7, Table1[[AwayTeam]:[AwayTeam]], L$1, Table1[[ActualResult]:[ActualResult]], "OT") + SUMIFS(Table1[[HomeWon]:[HomeWon]], Table1[[GameIsOver]:[GameIsOver]],1,Table1[[AwayTeam]:[AwayTeam]],$A7, Table1[[HomeTeam]:[HomeTeam]], L$1, Table1[[ActualResult]:[ActualResult]], "SO") + SUMIFS(Table1[[AwayWon]:[AwayWon]], Table1[[GameIsOver]:[GameIsOver]],1,Table1[[HomeTeam]:[HomeTeam]],$A7, Table1[[AwayTeam]:[AwayTeam]], L$1, Table1[[ActualResult]:[ActualResult]], "SO"),0))</f>
        <v>0-0-0</v>
      </c>
      <c r="M7" s="43" t="str">
        <f>_xlfn.CONCAT(TEXT(SUMIFS(Table1[[AwayWon]:[AwayWon]], Table1[[GameIsOver]:[GameIsOver]],1,Table1[[AwayTeam]:[AwayTeam]],$A7, Table1[[HomeTeam]:[HomeTeam]], M$1) + SUMIFS(Table1[[HomeWon]:[HomeWon]], Table1[[GameIsOver]:[GameIsOver]],1,Table1[[HomeTeam]:[HomeTeam]],$A7, Table1[[AwayTeam]:[AwayTeam]], M$1),0), "-", TEXT(SUMIFS(Table1[[HomeWon]:[HomeWon]], Table1[[GameIsOver]:[GameIsOver]],1,Table1[[AwayTeam]:[AwayTeam]],$A7, Table1[[HomeTeam]:[HomeTeam]], M$1, Table1[[ActualResult]:[ActualResult]], "REG") + SUMIFS(Table1[[AwayWon]:[AwayWon]], Table1[[GameIsOver]:[GameIsOver]],1,Table1[[HomeTeam]:[HomeTeam]],$A7, Table1[[AwayTeam]:[AwayTeam]], M$1, Table1[[ActualResult]:[ActualResult]], "REG"),0), "-", TEXT(SUMIFS(Table1[[HomeWon]:[HomeWon]], Table1[[GameIsOver]:[GameIsOver]],1,Table1[[AwayTeam]:[AwayTeam]],$A7, Table1[[HomeTeam]:[HomeTeam]], M$1, Table1[[ActualResult]:[ActualResult]], "OT") + SUMIFS(Table1[[AwayWon]:[AwayWon]], Table1[[GameIsOver]:[GameIsOver]],1,Table1[[HomeTeam]:[HomeTeam]],$A7, Table1[[AwayTeam]:[AwayTeam]], M$1, Table1[[ActualResult]:[ActualResult]], "OT") + SUMIFS(Table1[[HomeWon]:[HomeWon]], Table1[[GameIsOver]:[GameIsOver]],1,Table1[[AwayTeam]:[AwayTeam]],$A7, Table1[[HomeTeam]:[HomeTeam]], M$1, Table1[[ActualResult]:[ActualResult]], "SO") + SUMIFS(Table1[[AwayWon]:[AwayWon]], Table1[[GameIsOver]:[GameIsOver]],1,Table1[[HomeTeam]:[HomeTeam]],$A7, Table1[[AwayTeam]:[AwayTeam]], M$1, Table1[[ActualResult]:[ActualResult]], "SO"),0))</f>
        <v>0-0-0</v>
      </c>
      <c r="N7" s="43" t="str">
        <f>_xlfn.CONCAT(TEXT(SUMIFS(Table1[[AwayWon]:[AwayWon]], Table1[[GameIsOver]:[GameIsOver]],1,Table1[[AwayTeam]:[AwayTeam]],$A7, Table1[[HomeTeam]:[HomeTeam]], N$1) + SUMIFS(Table1[[HomeWon]:[HomeWon]], Table1[[GameIsOver]:[GameIsOver]],1,Table1[[HomeTeam]:[HomeTeam]],$A7, Table1[[AwayTeam]:[AwayTeam]], N$1),0), "-", TEXT(SUMIFS(Table1[[HomeWon]:[HomeWon]], Table1[[GameIsOver]:[GameIsOver]],1,Table1[[AwayTeam]:[AwayTeam]],$A7, Table1[[HomeTeam]:[HomeTeam]], N$1, Table1[[ActualResult]:[ActualResult]], "REG") + SUMIFS(Table1[[AwayWon]:[AwayWon]], Table1[[GameIsOver]:[GameIsOver]],1,Table1[[HomeTeam]:[HomeTeam]],$A7, Table1[[AwayTeam]:[AwayTeam]], N$1, Table1[[ActualResult]:[ActualResult]], "REG"),0), "-", TEXT(SUMIFS(Table1[[HomeWon]:[HomeWon]], Table1[[GameIsOver]:[GameIsOver]],1,Table1[[AwayTeam]:[AwayTeam]],$A7, Table1[[HomeTeam]:[HomeTeam]], N$1, Table1[[ActualResult]:[ActualResult]], "OT") + SUMIFS(Table1[[AwayWon]:[AwayWon]], Table1[[GameIsOver]:[GameIsOver]],1,Table1[[HomeTeam]:[HomeTeam]],$A7, Table1[[AwayTeam]:[AwayTeam]], N$1, Table1[[ActualResult]:[ActualResult]], "OT") + SUMIFS(Table1[[HomeWon]:[HomeWon]], Table1[[GameIsOver]:[GameIsOver]],1,Table1[[AwayTeam]:[AwayTeam]],$A7, Table1[[HomeTeam]:[HomeTeam]], N$1, Table1[[ActualResult]:[ActualResult]], "SO") + SUMIFS(Table1[[AwayWon]:[AwayWon]], Table1[[GameIsOver]:[GameIsOver]],1,Table1[[HomeTeam]:[HomeTeam]],$A7, Table1[[AwayTeam]:[AwayTeam]], N$1, Table1[[ActualResult]:[ActualResult]], "SO"),0))</f>
        <v>0-0-0</v>
      </c>
      <c r="O7" s="43" t="str">
        <f>_xlfn.CONCAT(TEXT(SUMIFS(Table1[[AwayWon]:[AwayWon]], Table1[[GameIsOver]:[GameIsOver]],1,Table1[[AwayTeam]:[AwayTeam]],$A7, Table1[[HomeTeam]:[HomeTeam]], O$1) + SUMIFS(Table1[[HomeWon]:[HomeWon]], Table1[[GameIsOver]:[GameIsOver]],1,Table1[[HomeTeam]:[HomeTeam]],$A7, Table1[[AwayTeam]:[AwayTeam]], O$1),0), "-", TEXT(SUMIFS(Table1[[HomeWon]:[HomeWon]], Table1[[GameIsOver]:[GameIsOver]],1,Table1[[AwayTeam]:[AwayTeam]],$A7, Table1[[HomeTeam]:[HomeTeam]], O$1, Table1[[ActualResult]:[ActualResult]], "REG") + SUMIFS(Table1[[AwayWon]:[AwayWon]], Table1[[GameIsOver]:[GameIsOver]],1,Table1[[HomeTeam]:[HomeTeam]],$A7, Table1[[AwayTeam]:[AwayTeam]], O$1, Table1[[ActualResult]:[ActualResult]], "REG"),0), "-", TEXT(SUMIFS(Table1[[HomeWon]:[HomeWon]], Table1[[GameIsOver]:[GameIsOver]],1,Table1[[AwayTeam]:[AwayTeam]],$A7, Table1[[HomeTeam]:[HomeTeam]], O$1, Table1[[ActualResult]:[ActualResult]], "OT") + SUMIFS(Table1[[AwayWon]:[AwayWon]], Table1[[GameIsOver]:[GameIsOver]],1,Table1[[HomeTeam]:[HomeTeam]],$A7, Table1[[AwayTeam]:[AwayTeam]], O$1, Table1[[ActualResult]:[ActualResult]], "OT") + SUMIFS(Table1[[HomeWon]:[HomeWon]], Table1[[GameIsOver]:[GameIsOver]],1,Table1[[AwayTeam]:[AwayTeam]],$A7, Table1[[HomeTeam]:[HomeTeam]], O$1, Table1[[ActualResult]:[ActualResult]], "SO") + SUMIFS(Table1[[AwayWon]:[AwayWon]], Table1[[GameIsOver]:[GameIsOver]],1,Table1[[HomeTeam]:[HomeTeam]],$A7, Table1[[AwayTeam]:[AwayTeam]], O$1, Table1[[ActualResult]:[ActualResult]], "SO"),0))</f>
        <v>0-0-0</v>
      </c>
      <c r="P7" s="43" t="str">
        <f>_xlfn.CONCAT(TEXT(SUMIFS(Table1[[AwayWon]:[AwayWon]], Table1[[GameIsOver]:[GameIsOver]],1,Table1[[AwayTeam]:[AwayTeam]],$A7, Table1[[HomeTeam]:[HomeTeam]], P$1) + SUMIFS(Table1[[HomeWon]:[HomeWon]], Table1[[GameIsOver]:[GameIsOver]],1,Table1[[HomeTeam]:[HomeTeam]],$A7, Table1[[AwayTeam]:[AwayTeam]], P$1),0), "-", TEXT(SUMIFS(Table1[[HomeWon]:[HomeWon]], Table1[[GameIsOver]:[GameIsOver]],1,Table1[[AwayTeam]:[AwayTeam]],$A7, Table1[[HomeTeam]:[HomeTeam]], P$1, Table1[[ActualResult]:[ActualResult]], "REG") + SUMIFS(Table1[[AwayWon]:[AwayWon]], Table1[[GameIsOver]:[GameIsOver]],1,Table1[[HomeTeam]:[HomeTeam]],$A7, Table1[[AwayTeam]:[AwayTeam]], P$1, Table1[[ActualResult]:[ActualResult]], "REG"),0), "-", TEXT(SUMIFS(Table1[[HomeWon]:[HomeWon]], Table1[[GameIsOver]:[GameIsOver]],1,Table1[[AwayTeam]:[AwayTeam]],$A7, Table1[[HomeTeam]:[HomeTeam]], P$1, Table1[[ActualResult]:[ActualResult]], "OT") + SUMIFS(Table1[[AwayWon]:[AwayWon]], Table1[[GameIsOver]:[GameIsOver]],1,Table1[[HomeTeam]:[HomeTeam]],$A7, Table1[[AwayTeam]:[AwayTeam]], P$1, Table1[[ActualResult]:[ActualResult]], "OT") + SUMIFS(Table1[[HomeWon]:[HomeWon]], Table1[[GameIsOver]:[GameIsOver]],1,Table1[[AwayTeam]:[AwayTeam]],$A7, Table1[[HomeTeam]:[HomeTeam]], P$1, Table1[[ActualResult]:[ActualResult]], "SO") + SUMIFS(Table1[[AwayWon]:[AwayWon]], Table1[[GameIsOver]:[GameIsOver]],1,Table1[[HomeTeam]:[HomeTeam]],$A7, Table1[[AwayTeam]:[AwayTeam]], P$1, Table1[[ActualResult]:[ActualResult]], "SO"),0))</f>
        <v>0-0-0</v>
      </c>
      <c r="Q7" s="45" t="str">
        <f>_xlfn.CONCAT(TEXT(SUMIFS(Table1[[AwayWon]:[AwayWon]], Table1[[GameIsOver]:[GameIsOver]],1,Table1[[AwayTeam]:[AwayTeam]],$A7, Table1[[HomeTeam]:[HomeTeam]], Q$1) + SUMIFS(Table1[[HomeWon]:[HomeWon]], Table1[[GameIsOver]:[GameIsOver]],1,Table1[[HomeTeam]:[HomeTeam]],$A7, Table1[[AwayTeam]:[AwayTeam]], Q$1),0), "-", TEXT(SUMIFS(Table1[[HomeWon]:[HomeWon]], Table1[[GameIsOver]:[GameIsOver]],1,Table1[[AwayTeam]:[AwayTeam]],$A7, Table1[[HomeTeam]:[HomeTeam]], Q$1, Table1[[ActualResult]:[ActualResult]], "REG") + SUMIFS(Table1[[AwayWon]:[AwayWon]], Table1[[GameIsOver]:[GameIsOver]],1,Table1[[HomeTeam]:[HomeTeam]],$A7, Table1[[AwayTeam]:[AwayTeam]], Q$1, Table1[[ActualResult]:[ActualResult]], "REG"),0), "-", TEXT(SUMIFS(Table1[[HomeWon]:[HomeWon]], Table1[[GameIsOver]:[GameIsOver]],1,Table1[[AwayTeam]:[AwayTeam]],$A7, Table1[[HomeTeam]:[HomeTeam]], Q$1, Table1[[ActualResult]:[ActualResult]], "OT") + SUMIFS(Table1[[AwayWon]:[AwayWon]], Table1[[GameIsOver]:[GameIsOver]],1,Table1[[HomeTeam]:[HomeTeam]],$A7, Table1[[AwayTeam]:[AwayTeam]], Q$1, Table1[[ActualResult]:[ActualResult]], "OT") + SUMIFS(Table1[[HomeWon]:[HomeWon]], Table1[[GameIsOver]:[GameIsOver]],1,Table1[[AwayTeam]:[AwayTeam]],$A7, Table1[[HomeTeam]:[HomeTeam]], Q$1, Table1[[ActualResult]:[ActualResult]], "SO") + SUMIFS(Table1[[AwayWon]:[AwayWon]], Table1[[GameIsOver]:[GameIsOver]],1,Table1[[HomeTeam]:[HomeTeam]],$A7, Table1[[AwayTeam]:[AwayTeam]], Q$1, Table1[[ActualResult]:[ActualResult]], "SO"),0))</f>
        <v>0-0-0</v>
      </c>
      <c r="R7" s="43" t="str">
        <f>_xlfn.CONCAT(TEXT(SUMIFS(Table1[[AwayWon]:[AwayWon]], Table1[[GameIsOver]:[GameIsOver]],1,Table1[[AwayTeam]:[AwayTeam]],$A7, Table1[[HomeTeam]:[HomeTeam]], R$1) + SUMIFS(Table1[[HomeWon]:[HomeWon]], Table1[[GameIsOver]:[GameIsOver]],1,Table1[[HomeTeam]:[HomeTeam]],$A7, Table1[[AwayTeam]:[AwayTeam]], R$1),0), "-", TEXT(SUMIFS(Table1[[HomeWon]:[HomeWon]], Table1[[GameIsOver]:[GameIsOver]],1,Table1[[AwayTeam]:[AwayTeam]],$A7, Table1[[HomeTeam]:[HomeTeam]], R$1, Table1[[ActualResult]:[ActualResult]], "REG") + SUMIFS(Table1[[AwayWon]:[AwayWon]], Table1[[GameIsOver]:[GameIsOver]],1,Table1[[HomeTeam]:[HomeTeam]],$A7, Table1[[AwayTeam]:[AwayTeam]], R$1, Table1[[ActualResult]:[ActualResult]], "REG"),0), "-", TEXT(SUMIFS(Table1[[HomeWon]:[HomeWon]], Table1[[GameIsOver]:[GameIsOver]],1,Table1[[AwayTeam]:[AwayTeam]],$A7, Table1[[HomeTeam]:[HomeTeam]], R$1, Table1[[ActualResult]:[ActualResult]], "OT") + SUMIFS(Table1[[AwayWon]:[AwayWon]], Table1[[GameIsOver]:[GameIsOver]],1,Table1[[HomeTeam]:[HomeTeam]],$A7, Table1[[AwayTeam]:[AwayTeam]], R$1, Table1[[ActualResult]:[ActualResult]], "OT") + SUMIFS(Table1[[HomeWon]:[HomeWon]], Table1[[GameIsOver]:[GameIsOver]],1,Table1[[AwayTeam]:[AwayTeam]],$A7, Table1[[HomeTeam]:[HomeTeam]], R$1, Table1[[ActualResult]:[ActualResult]], "SO") + SUMIFS(Table1[[AwayWon]:[AwayWon]], Table1[[GameIsOver]:[GameIsOver]],1,Table1[[HomeTeam]:[HomeTeam]],$A7, Table1[[AwayTeam]:[AwayTeam]], R$1, Table1[[ActualResult]:[ActualResult]], "SO"),0))</f>
        <v>0-0-0</v>
      </c>
      <c r="S7" s="43" t="str">
        <f>_xlfn.CONCAT(TEXT(SUMIFS(Table1[[AwayWon]:[AwayWon]], Table1[[GameIsOver]:[GameIsOver]],1,Table1[[AwayTeam]:[AwayTeam]],$A7, Table1[[HomeTeam]:[HomeTeam]], S$1) + SUMIFS(Table1[[HomeWon]:[HomeWon]], Table1[[GameIsOver]:[GameIsOver]],1,Table1[[HomeTeam]:[HomeTeam]],$A7, Table1[[AwayTeam]:[AwayTeam]], S$1),0), "-", TEXT(SUMIFS(Table1[[HomeWon]:[HomeWon]], Table1[[GameIsOver]:[GameIsOver]],1,Table1[[AwayTeam]:[AwayTeam]],$A7, Table1[[HomeTeam]:[HomeTeam]], S$1, Table1[[ActualResult]:[ActualResult]], "REG") + SUMIFS(Table1[[AwayWon]:[AwayWon]], Table1[[GameIsOver]:[GameIsOver]],1,Table1[[HomeTeam]:[HomeTeam]],$A7, Table1[[AwayTeam]:[AwayTeam]], S$1, Table1[[ActualResult]:[ActualResult]], "REG"),0), "-", TEXT(SUMIFS(Table1[[HomeWon]:[HomeWon]], Table1[[GameIsOver]:[GameIsOver]],1,Table1[[AwayTeam]:[AwayTeam]],$A7, Table1[[HomeTeam]:[HomeTeam]], S$1, Table1[[ActualResult]:[ActualResult]], "OT") + SUMIFS(Table1[[AwayWon]:[AwayWon]], Table1[[GameIsOver]:[GameIsOver]],1,Table1[[HomeTeam]:[HomeTeam]],$A7, Table1[[AwayTeam]:[AwayTeam]], S$1, Table1[[ActualResult]:[ActualResult]], "OT") + SUMIFS(Table1[[HomeWon]:[HomeWon]], Table1[[GameIsOver]:[GameIsOver]],1,Table1[[AwayTeam]:[AwayTeam]],$A7, Table1[[HomeTeam]:[HomeTeam]], S$1, Table1[[ActualResult]:[ActualResult]], "SO") + SUMIFS(Table1[[AwayWon]:[AwayWon]], Table1[[GameIsOver]:[GameIsOver]],1,Table1[[HomeTeam]:[HomeTeam]],$A7, Table1[[AwayTeam]:[AwayTeam]], S$1, Table1[[ActualResult]:[ActualResult]], "SO"),0))</f>
        <v>0-0-0</v>
      </c>
      <c r="T7" s="43" t="str">
        <f>_xlfn.CONCAT(TEXT(SUMIFS(Table1[[AwayWon]:[AwayWon]], Table1[[GameIsOver]:[GameIsOver]],1,Table1[[AwayTeam]:[AwayTeam]],$A7, Table1[[HomeTeam]:[HomeTeam]], T$1) + SUMIFS(Table1[[HomeWon]:[HomeWon]], Table1[[GameIsOver]:[GameIsOver]],1,Table1[[HomeTeam]:[HomeTeam]],$A7, Table1[[AwayTeam]:[AwayTeam]], T$1),0), "-", TEXT(SUMIFS(Table1[[HomeWon]:[HomeWon]], Table1[[GameIsOver]:[GameIsOver]],1,Table1[[AwayTeam]:[AwayTeam]],$A7, Table1[[HomeTeam]:[HomeTeam]], T$1, Table1[[ActualResult]:[ActualResult]], "REG") + SUMIFS(Table1[[AwayWon]:[AwayWon]], Table1[[GameIsOver]:[GameIsOver]],1,Table1[[HomeTeam]:[HomeTeam]],$A7, Table1[[AwayTeam]:[AwayTeam]], T$1, Table1[[ActualResult]:[ActualResult]], "REG"),0), "-", TEXT(SUMIFS(Table1[[HomeWon]:[HomeWon]], Table1[[GameIsOver]:[GameIsOver]],1,Table1[[AwayTeam]:[AwayTeam]],$A7, Table1[[HomeTeam]:[HomeTeam]], T$1, Table1[[ActualResult]:[ActualResult]], "OT") + SUMIFS(Table1[[AwayWon]:[AwayWon]], Table1[[GameIsOver]:[GameIsOver]],1,Table1[[HomeTeam]:[HomeTeam]],$A7, Table1[[AwayTeam]:[AwayTeam]], T$1, Table1[[ActualResult]:[ActualResult]], "OT") + SUMIFS(Table1[[HomeWon]:[HomeWon]], Table1[[GameIsOver]:[GameIsOver]],1,Table1[[AwayTeam]:[AwayTeam]],$A7, Table1[[HomeTeam]:[HomeTeam]], T$1, Table1[[ActualResult]:[ActualResult]], "SO") + SUMIFS(Table1[[AwayWon]:[AwayWon]], Table1[[GameIsOver]:[GameIsOver]],1,Table1[[HomeTeam]:[HomeTeam]],$A7, Table1[[AwayTeam]:[AwayTeam]], T$1, Table1[[ActualResult]:[ActualResult]], "SO"),0))</f>
        <v>0-0-0</v>
      </c>
      <c r="U7" s="43" t="str">
        <f>_xlfn.CONCAT(TEXT(SUMIFS(Table1[[AwayWon]:[AwayWon]], Table1[[GameIsOver]:[GameIsOver]],1,Table1[[AwayTeam]:[AwayTeam]],$A7, Table1[[HomeTeam]:[HomeTeam]], U$1) + SUMIFS(Table1[[HomeWon]:[HomeWon]], Table1[[GameIsOver]:[GameIsOver]],1,Table1[[HomeTeam]:[HomeTeam]],$A7, Table1[[AwayTeam]:[AwayTeam]], U$1),0), "-", TEXT(SUMIFS(Table1[[HomeWon]:[HomeWon]], Table1[[GameIsOver]:[GameIsOver]],1,Table1[[AwayTeam]:[AwayTeam]],$A7, Table1[[HomeTeam]:[HomeTeam]], U$1, Table1[[ActualResult]:[ActualResult]], "REG") + SUMIFS(Table1[[AwayWon]:[AwayWon]], Table1[[GameIsOver]:[GameIsOver]],1,Table1[[HomeTeam]:[HomeTeam]],$A7, Table1[[AwayTeam]:[AwayTeam]], U$1, Table1[[ActualResult]:[ActualResult]], "REG"),0), "-", TEXT(SUMIFS(Table1[[HomeWon]:[HomeWon]], Table1[[GameIsOver]:[GameIsOver]],1,Table1[[AwayTeam]:[AwayTeam]],$A7, Table1[[HomeTeam]:[HomeTeam]], U$1, Table1[[ActualResult]:[ActualResult]], "OT") + SUMIFS(Table1[[AwayWon]:[AwayWon]], Table1[[GameIsOver]:[GameIsOver]],1,Table1[[HomeTeam]:[HomeTeam]],$A7, Table1[[AwayTeam]:[AwayTeam]], U$1, Table1[[ActualResult]:[ActualResult]], "OT") + SUMIFS(Table1[[HomeWon]:[HomeWon]], Table1[[GameIsOver]:[GameIsOver]],1,Table1[[AwayTeam]:[AwayTeam]],$A7, Table1[[HomeTeam]:[HomeTeam]], U$1, Table1[[ActualResult]:[ActualResult]], "SO") + SUMIFS(Table1[[AwayWon]:[AwayWon]], Table1[[GameIsOver]:[GameIsOver]],1,Table1[[HomeTeam]:[HomeTeam]],$A7, Table1[[AwayTeam]:[AwayTeam]], U$1, Table1[[ActualResult]:[ActualResult]], "SO"),0))</f>
        <v>0-0-0</v>
      </c>
      <c r="V7" s="43" t="str">
        <f>_xlfn.CONCAT(TEXT(SUMIFS(Table1[[AwayWon]:[AwayWon]], Table1[[GameIsOver]:[GameIsOver]],1,Table1[[AwayTeam]:[AwayTeam]],$A7, Table1[[HomeTeam]:[HomeTeam]], V$1) + SUMIFS(Table1[[HomeWon]:[HomeWon]], Table1[[GameIsOver]:[GameIsOver]],1,Table1[[HomeTeam]:[HomeTeam]],$A7, Table1[[AwayTeam]:[AwayTeam]], V$1),0), "-", TEXT(SUMIFS(Table1[[HomeWon]:[HomeWon]], Table1[[GameIsOver]:[GameIsOver]],1,Table1[[AwayTeam]:[AwayTeam]],$A7, Table1[[HomeTeam]:[HomeTeam]], V$1, Table1[[ActualResult]:[ActualResult]], "REG") + SUMIFS(Table1[[AwayWon]:[AwayWon]], Table1[[GameIsOver]:[GameIsOver]],1,Table1[[HomeTeam]:[HomeTeam]],$A7, Table1[[AwayTeam]:[AwayTeam]], V$1, Table1[[ActualResult]:[ActualResult]], "REG"),0), "-", TEXT(SUMIFS(Table1[[HomeWon]:[HomeWon]], Table1[[GameIsOver]:[GameIsOver]],1,Table1[[AwayTeam]:[AwayTeam]],$A7, Table1[[HomeTeam]:[HomeTeam]], V$1, Table1[[ActualResult]:[ActualResult]], "OT") + SUMIFS(Table1[[AwayWon]:[AwayWon]], Table1[[GameIsOver]:[GameIsOver]],1,Table1[[HomeTeam]:[HomeTeam]],$A7, Table1[[AwayTeam]:[AwayTeam]], V$1, Table1[[ActualResult]:[ActualResult]], "OT") + SUMIFS(Table1[[HomeWon]:[HomeWon]], Table1[[GameIsOver]:[GameIsOver]],1,Table1[[AwayTeam]:[AwayTeam]],$A7, Table1[[HomeTeam]:[HomeTeam]], V$1, Table1[[ActualResult]:[ActualResult]], "SO") + SUMIFS(Table1[[AwayWon]:[AwayWon]], Table1[[GameIsOver]:[GameIsOver]],1,Table1[[HomeTeam]:[HomeTeam]],$A7, Table1[[AwayTeam]:[AwayTeam]], V$1, Table1[[ActualResult]:[ActualResult]], "SO"),0))</f>
        <v>0-0-0</v>
      </c>
      <c r="W7" s="43" t="str">
        <f>_xlfn.CONCAT(TEXT(SUMIFS(Table1[[AwayWon]:[AwayWon]], Table1[[GameIsOver]:[GameIsOver]],1,Table1[[AwayTeam]:[AwayTeam]],$A7, Table1[[HomeTeam]:[HomeTeam]], W$1) + SUMIFS(Table1[[HomeWon]:[HomeWon]], Table1[[GameIsOver]:[GameIsOver]],1,Table1[[HomeTeam]:[HomeTeam]],$A7, Table1[[AwayTeam]:[AwayTeam]], W$1),0), "-", TEXT(SUMIFS(Table1[[HomeWon]:[HomeWon]], Table1[[GameIsOver]:[GameIsOver]],1,Table1[[AwayTeam]:[AwayTeam]],$A7, Table1[[HomeTeam]:[HomeTeam]], W$1, Table1[[ActualResult]:[ActualResult]], "REG") + SUMIFS(Table1[[AwayWon]:[AwayWon]], Table1[[GameIsOver]:[GameIsOver]],1,Table1[[HomeTeam]:[HomeTeam]],$A7, Table1[[AwayTeam]:[AwayTeam]], W$1, Table1[[ActualResult]:[ActualResult]], "REG"),0), "-", TEXT(SUMIFS(Table1[[HomeWon]:[HomeWon]], Table1[[GameIsOver]:[GameIsOver]],1,Table1[[AwayTeam]:[AwayTeam]],$A7, Table1[[HomeTeam]:[HomeTeam]], W$1, Table1[[ActualResult]:[ActualResult]], "OT") + SUMIFS(Table1[[AwayWon]:[AwayWon]], Table1[[GameIsOver]:[GameIsOver]],1,Table1[[HomeTeam]:[HomeTeam]],$A7, Table1[[AwayTeam]:[AwayTeam]], W$1, Table1[[ActualResult]:[ActualResult]], "OT") + SUMIFS(Table1[[HomeWon]:[HomeWon]], Table1[[GameIsOver]:[GameIsOver]],1,Table1[[AwayTeam]:[AwayTeam]],$A7, Table1[[HomeTeam]:[HomeTeam]], W$1, Table1[[ActualResult]:[ActualResult]], "SO") + SUMIFS(Table1[[AwayWon]:[AwayWon]], Table1[[GameIsOver]:[GameIsOver]],1,Table1[[HomeTeam]:[HomeTeam]],$A7, Table1[[AwayTeam]:[AwayTeam]], W$1, Table1[[ActualResult]:[ActualResult]], "SO"),0))</f>
        <v>0-0-0</v>
      </c>
      <c r="X7" s="43" t="str">
        <f>_xlfn.CONCAT(TEXT(SUMIFS(Table1[[AwayWon]:[AwayWon]], Table1[[GameIsOver]:[GameIsOver]],1,Table1[[AwayTeam]:[AwayTeam]],$A7, Table1[[HomeTeam]:[HomeTeam]], X$1) + SUMIFS(Table1[[HomeWon]:[HomeWon]], Table1[[GameIsOver]:[GameIsOver]],1,Table1[[HomeTeam]:[HomeTeam]],$A7, Table1[[AwayTeam]:[AwayTeam]], X$1),0), "-", TEXT(SUMIFS(Table1[[HomeWon]:[HomeWon]], Table1[[GameIsOver]:[GameIsOver]],1,Table1[[AwayTeam]:[AwayTeam]],$A7, Table1[[HomeTeam]:[HomeTeam]], X$1, Table1[[ActualResult]:[ActualResult]], "REG") + SUMIFS(Table1[[AwayWon]:[AwayWon]], Table1[[GameIsOver]:[GameIsOver]],1,Table1[[HomeTeam]:[HomeTeam]],$A7, Table1[[AwayTeam]:[AwayTeam]], X$1, Table1[[ActualResult]:[ActualResult]], "REG"),0), "-", TEXT(SUMIFS(Table1[[HomeWon]:[HomeWon]], Table1[[GameIsOver]:[GameIsOver]],1,Table1[[AwayTeam]:[AwayTeam]],$A7, Table1[[HomeTeam]:[HomeTeam]], X$1, Table1[[ActualResult]:[ActualResult]], "OT") + SUMIFS(Table1[[AwayWon]:[AwayWon]], Table1[[GameIsOver]:[GameIsOver]],1,Table1[[HomeTeam]:[HomeTeam]],$A7, Table1[[AwayTeam]:[AwayTeam]], X$1, Table1[[ActualResult]:[ActualResult]], "OT") + SUMIFS(Table1[[HomeWon]:[HomeWon]], Table1[[GameIsOver]:[GameIsOver]],1,Table1[[AwayTeam]:[AwayTeam]],$A7, Table1[[HomeTeam]:[HomeTeam]], X$1, Table1[[ActualResult]:[ActualResult]], "SO") + SUMIFS(Table1[[AwayWon]:[AwayWon]], Table1[[GameIsOver]:[GameIsOver]],1,Table1[[HomeTeam]:[HomeTeam]],$A7, Table1[[AwayTeam]:[AwayTeam]], X$1, Table1[[ActualResult]:[ActualResult]], "SO"),0))</f>
        <v>0-0-0</v>
      </c>
      <c r="Y7" s="45" t="str">
        <f>_xlfn.CONCAT(TEXT(SUMIFS(Table1[[AwayWon]:[AwayWon]], Table1[[GameIsOver]:[GameIsOver]],1,Table1[[AwayTeam]:[AwayTeam]],$A7, Table1[[HomeTeam]:[HomeTeam]], Y$1) + SUMIFS(Table1[[HomeWon]:[HomeWon]], Table1[[GameIsOver]:[GameIsOver]],1,Table1[[HomeTeam]:[HomeTeam]],$A7, Table1[[AwayTeam]:[AwayTeam]], Y$1),0), "-", TEXT(SUMIFS(Table1[[HomeWon]:[HomeWon]], Table1[[GameIsOver]:[GameIsOver]],1,Table1[[AwayTeam]:[AwayTeam]],$A7, Table1[[HomeTeam]:[HomeTeam]], Y$1, Table1[[ActualResult]:[ActualResult]], "REG") + SUMIFS(Table1[[AwayWon]:[AwayWon]], Table1[[GameIsOver]:[GameIsOver]],1,Table1[[HomeTeam]:[HomeTeam]],$A7, Table1[[AwayTeam]:[AwayTeam]], Y$1, Table1[[ActualResult]:[ActualResult]], "REG"),0), "-", TEXT(SUMIFS(Table1[[HomeWon]:[HomeWon]], Table1[[GameIsOver]:[GameIsOver]],1,Table1[[AwayTeam]:[AwayTeam]],$A7, Table1[[HomeTeam]:[HomeTeam]], Y$1, Table1[[ActualResult]:[ActualResult]], "OT") + SUMIFS(Table1[[AwayWon]:[AwayWon]], Table1[[GameIsOver]:[GameIsOver]],1,Table1[[HomeTeam]:[HomeTeam]],$A7, Table1[[AwayTeam]:[AwayTeam]], Y$1, Table1[[ActualResult]:[ActualResult]], "OT") + SUMIFS(Table1[[HomeWon]:[HomeWon]], Table1[[GameIsOver]:[GameIsOver]],1,Table1[[AwayTeam]:[AwayTeam]],$A7, Table1[[HomeTeam]:[HomeTeam]], Y$1, Table1[[ActualResult]:[ActualResult]], "SO") + SUMIFS(Table1[[AwayWon]:[AwayWon]], Table1[[GameIsOver]:[GameIsOver]],1,Table1[[HomeTeam]:[HomeTeam]],$A7, Table1[[AwayTeam]:[AwayTeam]], Y$1, Table1[[ActualResult]:[ActualResult]], "SO"),0))</f>
        <v>0-0-0</v>
      </c>
      <c r="Z7" s="43" t="str">
        <f>_xlfn.CONCAT(TEXT(SUMIFS(Table1[[AwayWon]:[AwayWon]], Table1[[GameIsOver]:[GameIsOver]],1,Table1[[AwayTeam]:[AwayTeam]],$A7, Table1[[HomeTeam]:[HomeTeam]], Z$1) + SUMIFS(Table1[[HomeWon]:[HomeWon]], Table1[[GameIsOver]:[GameIsOver]],1,Table1[[HomeTeam]:[HomeTeam]],$A7, Table1[[AwayTeam]:[AwayTeam]], Z$1),0), "-", TEXT(SUMIFS(Table1[[HomeWon]:[HomeWon]], Table1[[GameIsOver]:[GameIsOver]],1,Table1[[AwayTeam]:[AwayTeam]],$A7, Table1[[HomeTeam]:[HomeTeam]], Z$1, Table1[[ActualResult]:[ActualResult]], "REG") + SUMIFS(Table1[[AwayWon]:[AwayWon]], Table1[[GameIsOver]:[GameIsOver]],1,Table1[[HomeTeam]:[HomeTeam]],$A7, Table1[[AwayTeam]:[AwayTeam]], Z$1, Table1[[ActualResult]:[ActualResult]], "REG"),0), "-", TEXT(SUMIFS(Table1[[HomeWon]:[HomeWon]], Table1[[GameIsOver]:[GameIsOver]],1,Table1[[AwayTeam]:[AwayTeam]],$A7, Table1[[HomeTeam]:[HomeTeam]], Z$1, Table1[[ActualResult]:[ActualResult]], "OT") + SUMIFS(Table1[[AwayWon]:[AwayWon]], Table1[[GameIsOver]:[GameIsOver]],1,Table1[[HomeTeam]:[HomeTeam]],$A7, Table1[[AwayTeam]:[AwayTeam]], Z$1, Table1[[ActualResult]:[ActualResult]], "OT") + SUMIFS(Table1[[HomeWon]:[HomeWon]], Table1[[GameIsOver]:[GameIsOver]],1,Table1[[AwayTeam]:[AwayTeam]],$A7, Table1[[HomeTeam]:[HomeTeam]], Z$1, Table1[[ActualResult]:[ActualResult]], "SO") + SUMIFS(Table1[[AwayWon]:[AwayWon]], Table1[[GameIsOver]:[GameIsOver]],1,Table1[[HomeTeam]:[HomeTeam]],$A7, Table1[[AwayTeam]:[AwayTeam]], Z$1, Table1[[ActualResult]:[ActualResult]], "SO"),0))</f>
        <v>0-0-0</v>
      </c>
      <c r="AA7" s="43" t="str">
        <f>_xlfn.CONCAT(TEXT(SUMIFS(Table1[[AwayWon]:[AwayWon]], Table1[[GameIsOver]:[GameIsOver]],1,Table1[[AwayTeam]:[AwayTeam]],$A7, Table1[[HomeTeam]:[HomeTeam]], AA$1) + SUMIFS(Table1[[HomeWon]:[HomeWon]], Table1[[GameIsOver]:[GameIsOver]],1,Table1[[HomeTeam]:[HomeTeam]],$A7, Table1[[AwayTeam]:[AwayTeam]], AA$1),0), "-", TEXT(SUMIFS(Table1[[HomeWon]:[HomeWon]], Table1[[GameIsOver]:[GameIsOver]],1,Table1[[AwayTeam]:[AwayTeam]],$A7, Table1[[HomeTeam]:[HomeTeam]], AA$1, Table1[[ActualResult]:[ActualResult]], "REG") + SUMIFS(Table1[[AwayWon]:[AwayWon]], Table1[[GameIsOver]:[GameIsOver]],1,Table1[[HomeTeam]:[HomeTeam]],$A7, Table1[[AwayTeam]:[AwayTeam]], AA$1, Table1[[ActualResult]:[ActualResult]], "REG"),0), "-", TEXT(SUMIFS(Table1[[HomeWon]:[HomeWon]], Table1[[GameIsOver]:[GameIsOver]],1,Table1[[AwayTeam]:[AwayTeam]],$A7, Table1[[HomeTeam]:[HomeTeam]], AA$1, Table1[[ActualResult]:[ActualResult]], "OT") + SUMIFS(Table1[[AwayWon]:[AwayWon]], Table1[[GameIsOver]:[GameIsOver]],1,Table1[[HomeTeam]:[HomeTeam]],$A7, Table1[[AwayTeam]:[AwayTeam]], AA$1, Table1[[ActualResult]:[ActualResult]], "OT") + SUMIFS(Table1[[HomeWon]:[HomeWon]], Table1[[GameIsOver]:[GameIsOver]],1,Table1[[AwayTeam]:[AwayTeam]],$A7, Table1[[HomeTeam]:[HomeTeam]], AA$1, Table1[[ActualResult]:[ActualResult]], "SO") + SUMIFS(Table1[[AwayWon]:[AwayWon]], Table1[[GameIsOver]:[GameIsOver]],1,Table1[[HomeTeam]:[HomeTeam]],$A7, Table1[[AwayTeam]:[AwayTeam]], AA$1, Table1[[ActualResult]:[ActualResult]], "SO"),0))</f>
        <v>0-0-0</v>
      </c>
      <c r="AB7" s="43" t="str">
        <f>_xlfn.CONCAT(TEXT(SUMIFS(Table1[[AwayWon]:[AwayWon]], Table1[[GameIsOver]:[GameIsOver]],1,Table1[[AwayTeam]:[AwayTeam]],$A7, Table1[[HomeTeam]:[HomeTeam]], AB$1) + SUMIFS(Table1[[HomeWon]:[HomeWon]], Table1[[GameIsOver]:[GameIsOver]],1,Table1[[HomeTeam]:[HomeTeam]],$A7, Table1[[AwayTeam]:[AwayTeam]], AB$1),0), "-", TEXT(SUMIFS(Table1[[HomeWon]:[HomeWon]], Table1[[GameIsOver]:[GameIsOver]],1,Table1[[AwayTeam]:[AwayTeam]],$A7, Table1[[HomeTeam]:[HomeTeam]], AB$1, Table1[[ActualResult]:[ActualResult]], "REG") + SUMIFS(Table1[[AwayWon]:[AwayWon]], Table1[[GameIsOver]:[GameIsOver]],1,Table1[[HomeTeam]:[HomeTeam]],$A7, Table1[[AwayTeam]:[AwayTeam]], AB$1, Table1[[ActualResult]:[ActualResult]], "REG"),0), "-", TEXT(SUMIFS(Table1[[HomeWon]:[HomeWon]], Table1[[GameIsOver]:[GameIsOver]],1,Table1[[AwayTeam]:[AwayTeam]],$A7, Table1[[HomeTeam]:[HomeTeam]], AB$1, Table1[[ActualResult]:[ActualResult]], "OT") + SUMIFS(Table1[[AwayWon]:[AwayWon]], Table1[[GameIsOver]:[GameIsOver]],1,Table1[[HomeTeam]:[HomeTeam]],$A7, Table1[[AwayTeam]:[AwayTeam]], AB$1, Table1[[ActualResult]:[ActualResult]], "OT") + SUMIFS(Table1[[HomeWon]:[HomeWon]], Table1[[GameIsOver]:[GameIsOver]],1,Table1[[AwayTeam]:[AwayTeam]],$A7, Table1[[HomeTeam]:[HomeTeam]], AB$1, Table1[[ActualResult]:[ActualResult]], "SO") + SUMIFS(Table1[[AwayWon]:[AwayWon]], Table1[[GameIsOver]:[GameIsOver]],1,Table1[[HomeTeam]:[HomeTeam]],$A7, Table1[[AwayTeam]:[AwayTeam]], AB$1, Table1[[ActualResult]:[ActualResult]], "SO"),0))</f>
        <v>0-0-0</v>
      </c>
      <c r="AC7" s="43" t="str">
        <f>_xlfn.CONCAT(TEXT(SUMIFS(Table1[[AwayWon]:[AwayWon]], Table1[[GameIsOver]:[GameIsOver]],1,Table1[[AwayTeam]:[AwayTeam]],$A7, Table1[[HomeTeam]:[HomeTeam]], AC$1) + SUMIFS(Table1[[HomeWon]:[HomeWon]], Table1[[GameIsOver]:[GameIsOver]],1,Table1[[HomeTeam]:[HomeTeam]],$A7, Table1[[AwayTeam]:[AwayTeam]], AC$1),0), "-", TEXT(SUMIFS(Table1[[HomeWon]:[HomeWon]], Table1[[GameIsOver]:[GameIsOver]],1,Table1[[AwayTeam]:[AwayTeam]],$A7, Table1[[HomeTeam]:[HomeTeam]], AC$1, Table1[[ActualResult]:[ActualResult]], "REG") + SUMIFS(Table1[[AwayWon]:[AwayWon]], Table1[[GameIsOver]:[GameIsOver]],1,Table1[[HomeTeam]:[HomeTeam]],$A7, Table1[[AwayTeam]:[AwayTeam]], AC$1, Table1[[ActualResult]:[ActualResult]], "REG"),0), "-", TEXT(SUMIFS(Table1[[HomeWon]:[HomeWon]], Table1[[GameIsOver]:[GameIsOver]],1,Table1[[AwayTeam]:[AwayTeam]],$A7, Table1[[HomeTeam]:[HomeTeam]], AC$1, Table1[[ActualResult]:[ActualResult]], "OT") + SUMIFS(Table1[[AwayWon]:[AwayWon]], Table1[[GameIsOver]:[GameIsOver]],1,Table1[[HomeTeam]:[HomeTeam]],$A7, Table1[[AwayTeam]:[AwayTeam]], AC$1, Table1[[ActualResult]:[ActualResult]], "OT") + SUMIFS(Table1[[HomeWon]:[HomeWon]], Table1[[GameIsOver]:[GameIsOver]],1,Table1[[AwayTeam]:[AwayTeam]],$A7, Table1[[HomeTeam]:[HomeTeam]], AC$1, Table1[[ActualResult]:[ActualResult]], "SO") + SUMIFS(Table1[[AwayWon]:[AwayWon]], Table1[[GameIsOver]:[GameIsOver]],1,Table1[[HomeTeam]:[HomeTeam]],$A7, Table1[[AwayTeam]:[AwayTeam]], AC$1, Table1[[ActualResult]:[ActualResult]], "SO"),0))</f>
        <v>0-1-0</v>
      </c>
      <c r="AD7" s="43" t="str">
        <f>_xlfn.CONCAT(TEXT(SUMIFS(Table1[[AwayWon]:[AwayWon]], Table1[[GameIsOver]:[GameIsOver]],1,Table1[[AwayTeam]:[AwayTeam]],$A7, Table1[[HomeTeam]:[HomeTeam]], AD$1) + SUMIFS(Table1[[HomeWon]:[HomeWon]], Table1[[GameIsOver]:[GameIsOver]],1,Table1[[HomeTeam]:[HomeTeam]],$A7, Table1[[AwayTeam]:[AwayTeam]], AD$1),0), "-", TEXT(SUMIFS(Table1[[HomeWon]:[HomeWon]], Table1[[GameIsOver]:[GameIsOver]],1,Table1[[AwayTeam]:[AwayTeam]],$A7, Table1[[HomeTeam]:[HomeTeam]], AD$1, Table1[[ActualResult]:[ActualResult]], "REG") + SUMIFS(Table1[[AwayWon]:[AwayWon]], Table1[[GameIsOver]:[GameIsOver]],1,Table1[[HomeTeam]:[HomeTeam]],$A7, Table1[[AwayTeam]:[AwayTeam]], AD$1, Table1[[ActualResult]:[ActualResult]], "REG"),0), "-", TEXT(SUMIFS(Table1[[HomeWon]:[HomeWon]], Table1[[GameIsOver]:[GameIsOver]],1,Table1[[AwayTeam]:[AwayTeam]],$A7, Table1[[HomeTeam]:[HomeTeam]], AD$1, Table1[[ActualResult]:[ActualResult]], "OT") + SUMIFS(Table1[[AwayWon]:[AwayWon]], Table1[[GameIsOver]:[GameIsOver]],1,Table1[[HomeTeam]:[HomeTeam]],$A7, Table1[[AwayTeam]:[AwayTeam]], AD$1, Table1[[ActualResult]:[ActualResult]], "OT") + SUMIFS(Table1[[HomeWon]:[HomeWon]], Table1[[GameIsOver]:[GameIsOver]],1,Table1[[AwayTeam]:[AwayTeam]],$A7, Table1[[HomeTeam]:[HomeTeam]], AD$1, Table1[[ActualResult]:[ActualResult]], "SO") + SUMIFS(Table1[[AwayWon]:[AwayWon]], Table1[[GameIsOver]:[GameIsOver]],1,Table1[[HomeTeam]:[HomeTeam]],$A7, Table1[[AwayTeam]:[AwayTeam]], AD$1, Table1[[ActualResult]:[ActualResult]], "SO"),0))</f>
        <v>0-0-0</v>
      </c>
      <c r="AE7" s="43" t="str">
        <f>_xlfn.CONCAT(TEXT(SUMIFS(Table1[[AwayWon]:[AwayWon]], Table1[[GameIsOver]:[GameIsOver]],1,Table1[[AwayTeam]:[AwayTeam]],$A7, Table1[[HomeTeam]:[HomeTeam]], AE$1) + SUMIFS(Table1[[HomeWon]:[HomeWon]], Table1[[GameIsOver]:[GameIsOver]],1,Table1[[HomeTeam]:[HomeTeam]],$A7, Table1[[AwayTeam]:[AwayTeam]], AE$1),0), "-", TEXT(SUMIFS(Table1[[HomeWon]:[HomeWon]], Table1[[GameIsOver]:[GameIsOver]],1,Table1[[AwayTeam]:[AwayTeam]],$A7, Table1[[HomeTeam]:[HomeTeam]], AE$1, Table1[[ActualResult]:[ActualResult]], "REG") + SUMIFS(Table1[[AwayWon]:[AwayWon]], Table1[[GameIsOver]:[GameIsOver]],1,Table1[[HomeTeam]:[HomeTeam]],$A7, Table1[[AwayTeam]:[AwayTeam]], AE$1, Table1[[ActualResult]:[ActualResult]], "REG"),0), "-", TEXT(SUMIFS(Table1[[HomeWon]:[HomeWon]], Table1[[GameIsOver]:[GameIsOver]],1,Table1[[AwayTeam]:[AwayTeam]],$A7, Table1[[HomeTeam]:[HomeTeam]], AE$1, Table1[[ActualResult]:[ActualResult]], "OT") + SUMIFS(Table1[[AwayWon]:[AwayWon]], Table1[[GameIsOver]:[GameIsOver]],1,Table1[[HomeTeam]:[HomeTeam]],$A7, Table1[[AwayTeam]:[AwayTeam]], AE$1, Table1[[ActualResult]:[ActualResult]], "OT") + SUMIFS(Table1[[HomeWon]:[HomeWon]], Table1[[GameIsOver]:[GameIsOver]],1,Table1[[AwayTeam]:[AwayTeam]],$A7, Table1[[HomeTeam]:[HomeTeam]], AE$1, Table1[[ActualResult]:[ActualResult]], "SO") + SUMIFS(Table1[[AwayWon]:[AwayWon]], Table1[[GameIsOver]:[GameIsOver]],1,Table1[[HomeTeam]:[HomeTeam]],$A7, Table1[[AwayTeam]:[AwayTeam]], AE$1, Table1[[ActualResult]:[ActualResult]], "SO"),0))</f>
        <v>0-0-0</v>
      </c>
      <c r="AF7" s="43" t="str">
        <f>_xlfn.CONCAT(TEXT(SUMIFS(Table1[[AwayWon]:[AwayWon]], Table1[[GameIsOver]:[GameIsOver]],1,Table1[[AwayTeam]:[AwayTeam]],$A7, Table1[[HomeTeam]:[HomeTeam]], AF$1) + SUMIFS(Table1[[HomeWon]:[HomeWon]], Table1[[GameIsOver]:[GameIsOver]],1,Table1[[HomeTeam]:[HomeTeam]],$A7, Table1[[AwayTeam]:[AwayTeam]], AF$1),0), "-", TEXT(SUMIFS(Table1[[HomeWon]:[HomeWon]], Table1[[GameIsOver]:[GameIsOver]],1,Table1[[AwayTeam]:[AwayTeam]],$A7, Table1[[HomeTeam]:[HomeTeam]], AF$1, Table1[[ActualResult]:[ActualResult]], "REG") + SUMIFS(Table1[[AwayWon]:[AwayWon]], Table1[[GameIsOver]:[GameIsOver]],1,Table1[[HomeTeam]:[HomeTeam]],$A7, Table1[[AwayTeam]:[AwayTeam]], AF$1, Table1[[ActualResult]:[ActualResult]], "REG"),0), "-", TEXT(SUMIFS(Table1[[HomeWon]:[HomeWon]], Table1[[GameIsOver]:[GameIsOver]],1,Table1[[AwayTeam]:[AwayTeam]],$A7, Table1[[HomeTeam]:[HomeTeam]], AF$1, Table1[[ActualResult]:[ActualResult]], "OT") + SUMIFS(Table1[[AwayWon]:[AwayWon]], Table1[[GameIsOver]:[GameIsOver]],1,Table1[[HomeTeam]:[HomeTeam]],$A7, Table1[[AwayTeam]:[AwayTeam]], AF$1, Table1[[ActualResult]:[ActualResult]], "OT") + SUMIFS(Table1[[HomeWon]:[HomeWon]], Table1[[GameIsOver]:[GameIsOver]],1,Table1[[AwayTeam]:[AwayTeam]],$A7, Table1[[HomeTeam]:[HomeTeam]], AF$1, Table1[[ActualResult]:[ActualResult]], "SO") + SUMIFS(Table1[[AwayWon]:[AwayWon]], Table1[[GameIsOver]:[GameIsOver]],1,Table1[[HomeTeam]:[HomeTeam]],$A7, Table1[[AwayTeam]:[AwayTeam]], AF$1, Table1[[ActualResult]:[ActualResult]], "SO"),0))</f>
        <v>0-0-0</v>
      </c>
      <c r="AG7" s="43" t="str">
        <f>_xlfn.CONCAT(TEXT(SUMIFS(Table1[[AwayWon]:[AwayWon]], Table1[[GameIsOver]:[GameIsOver]],1,Table1[[AwayTeam]:[AwayTeam]],$A7, Table1[[HomeTeam]:[HomeTeam]], AG$1) + SUMIFS(Table1[[HomeWon]:[HomeWon]], Table1[[GameIsOver]:[GameIsOver]],1,Table1[[HomeTeam]:[HomeTeam]],$A7, Table1[[AwayTeam]:[AwayTeam]], AG$1),0), "-", TEXT(SUMIFS(Table1[[HomeWon]:[HomeWon]], Table1[[GameIsOver]:[GameIsOver]],1,Table1[[AwayTeam]:[AwayTeam]],$A7, Table1[[HomeTeam]:[HomeTeam]], AG$1, Table1[[ActualResult]:[ActualResult]], "REG") + SUMIFS(Table1[[AwayWon]:[AwayWon]], Table1[[GameIsOver]:[GameIsOver]],1,Table1[[HomeTeam]:[HomeTeam]],$A7, Table1[[AwayTeam]:[AwayTeam]], AG$1, Table1[[ActualResult]:[ActualResult]], "REG"),0), "-", TEXT(SUMIFS(Table1[[HomeWon]:[HomeWon]], Table1[[GameIsOver]:[GameIsOver]],1,Table1[[AwayTeam]:[AwayTeam]],$A7, Table1[[HomeTeam]:[HomeTeam]], AG$1, Table1[[ActualResult]:[ActualResult]], "OT") + SUMIFS(Table1[[AwayWon]:[AwayWon]], Table1[[GameIsOver]:[GameIsOver]],1,Table1[[HomeTeam]:[HomeTeam]],$A7, Table1[[AwayTeam]:[AwayTeam]], AG$1, Table1[[ActualResult]:[ActualResult]], "OT") + SUMIFS(Table1[[HomeWon]:[HomeWon]], Table1[[GameIsOver]:[GameIsOver]],1,Table1[[AwayTeam]:[AwayTeam]],$A7, Table1[[HomeTeam]:[HomeTeam]], AG$1, Table1[[ActualResult]:[ActualResult]], "SO") + SUMIFS(Table1[[AwayWon]:[AwayWon]], Table1[[GameIsOver]:[GameIsOver]],1,Table1[[HomeTeam]:[HomeTeam]],$A7, Table1[[AwayTeam]:[AwayTeam]], AG$1, Table1[[ActualResult]:[ActualResult]], "SO"),0))</f>
        <v>0-0-0</v>
      </c>
    </row>
    <row r="8" spans="1:33" x14ac:dyDescent="0.25">
      <c r="A8" s="17" t="s">
        <v>23</v>
      </c>
      <c r="B8" s="43" t="str">
        <f>_xlfn.CONCAT(TEXT(SUMIFS(Table1[[AwayWon]:[AwayWon]], Table1[[GameIsOver]:[GameIsOver]],1,Table1[[AwayTeam]:[AwayTeam]],$A8, Table1[[HomeTeam]:[HomeTeam]], B$1) + SUMIFS(Table1[[HomeWon]:[HomeWon]], Table1[[GameIsOver]:[GameIsOver]],1,Table1[[HomeTeam]:[HomeTeam]],$A8, Table1[[AwayTeam]:[AwayTeam]], B$1),0), "-", TEXT(SUMIFS(Table1[[HomeWon]:[HomeWon]], Table1[[GameIsOver]:[GameIsOver]],1,Table1[[AwayTeam]:[AwayTeam]],$A8, Table1[[HomeTeam]:[HomeTeam]], B$1, Table1[[ActualResult]:[ActualResult]], "REG") + SUMIFS(Table1[[AwayWon]:[AwayWon]], Table1[[GameIsOver]:[GameIsOver]],1,Table1[[HomeTeam]:[HomeTeam]],$A8, Table1[[AwayTeam]:[AwayTeam]], B$1, Table1[[ActualResult]:[ActualResult]], "REG"),0), "-", TEXT(SUMIFS(Table1[[HomeWon]:[HomeWon]], Table1[[GameIsOver]:[GameIsOver]],1,Table1[[AwayTeam]:[AwayTeam]],$A8, Table1[[HomeTeam]:[HomeTeam]], B$1, Table1[[ActualResult]:[ActualResult]], "OT") + SUMIFS(Table1[[AwayWon]:[AwayWon]], Table1[[GameIsOver]:[GameIsOver]],1,Table1[[HomeTeam]:[HomeTeam]],$A8, Table1[[AwayTeam]:[AwayTeam]], B$1, Table1[[ActualResult]:[ActualResult]], "OT") + SUMIFS(Table1[[HomeWon]:[HomeWon]], Table1[[GameIsOver]:[GameIsOver]],1,Table1[[AwayTeam]:[AwayTeam]],$A8, Table1[[HomeTeam]:[HomeTeam]], B$1, Table1[[ActualResult]:[ActualResult]], "SO") + SUMIFS(Table1[[AwayWon]:[AwayWon]], Table1[[GameIsOver]:[GameIsOver]],1,Table1[[HomeTeam]:[HomeTeam]],$A8, Table1[[AwayTeam]:[AwayTeam]], B$1, Table1[[ActualResult]:[ActualResult]], "SO"),0))</f>
        <v>0-0-0</v>
      </c>
      <c r="C8" s="43" t="str">
        <f>_xlfn.CONCAT(TEXT(SUMIFS(Table1[[AwayWon]:[AwayWon]], Table1[[GameIsOver]:[GameIsOver]],1,Table1[[AwayTeam]:[AwayTeam]],$A8, Table1[[HomeTeam]:[HomeTeam]], C$1) + SUMIFS(Table1[[HomeWon]:[HomeWon]], Table1[[GameIsOver]:[GameIsOver]],1,Table1[[HomeTeam]:[HomeTeam]],$A8, Table1[[AwayTeam]:[AwayTeam]], C$1),0), "-", TEXT(SUMIFS(Table1[[HomeWon]:[HomeWon]], Table1[[GameIsOver]:[GameIsOver]],1,Table1[[AwayTeam]:[AwayTeam]],$A8, Table1[[HomeTeam]:[HomeTeam]], C$1, Table1[[ActualResult]:[ActualResult]], "REG") + SUMIFS(Table1[[AwayWon]:[AwayWon]], Table1[[GameIsOver]:[GameIsOver]],1,Table1[[HomeTeam]:[HomeTeam]],$A8, Table1[[AwayTeam]:[AwayTeam]], C$1, Table1[[ActualResult]:[ActualResult]], "REG"),0), "-", TEXT(SUMIFS(Table1[[HomeWon]:[HomeWon]], Table1[[GameIsOver]:[GameIsOver]],1,Table1[[AwayTeam]:[AwayTeam]],$A8, Table1[[HomeTeam]:[HomeTeam]], C$1, Table1[[ActualResult]:[ActualResult]], "OT") + SUMIFS(Table1[[AwayWon]:[AwayWon]], Table1[[GameIsOver]:[GameIsOver]],1,Table1[[HomeTeam]:[HomeTeam]],$A8, Table1[[AwayTeam]:[AwayTeam]], C$1, Table1[[ActualResult]:[ActualResult]], "OT") + SUMIFS(Table1[[HomeWon]:[HomeWon]], Table1[[GameIsOver]:[GameIsOver]],1,Table1[[AwayTeam]:[AwayTeam]],$A8, Table1[[HomeTeam]:[HomeTeam]], C$1, Table1[[ActualResult]:[ActualResult]], "SO") + SUMIFS(Table1[[AwayWon]:[AwayWon]], Table1[[GameIsOver]:[GameIsOver]],1,Table1[[HomeTeam]:[HomeTeam]],$A8, Table1[[AwayTeam]:[AwayTeam]], C$1, Table1[[ActualResult]:[ActualResult]], "SO"),0))</f>
        <v>0-0-0</v>
      </c>
      <c r="D8" s="43" t="str">
        <f>_xlfn.CONCAT(TEXT(SUMIFS(Table1[[AwayWon]:[AwayWon]], Table1[[GameIsOver]:[GameIsOver]],1,Table1[[AwayTeam]:[AwayTeam]],$A8, Table1[[HomeTeam]:[HomeTeam]], D$1) + SUMIFS(Table1[[HomeWon]:[HomeWon]], Table1[[GameIsOver]:[GameIsOver]],1,Table1[[HomeTeam]:[HomeTeam]],$A8, Table1[[AwayTeam]:[AwayTeam]], D$1),0), "-", TEXT(SUMIFS(Table1[[HomeWon]:[HomeWon]], Table1[[GameIsOver]:[GameIsOver]],1,Table1[[AwayTeam]:[AwayTeam]],$A8, Table1[[HomeTeam]:[HomeTeam]], D$1, Table1[[ActualResult]:[ActualResult]], "REG") + SUMIFS(Table1[[AwayWon]:[AwayWon]], Table1[[GameIsOver]:[GameIsOver]],1,Table1[[HomeTeam]:[HomeTeam]],$A8, Table1[[AwayTeam]:[AwayTeam]], D$1, Table1[[ActualResult]:[ActualResult]], "REG"),0), "-", TEXT(SUMIFS(Table1[[HomeWon]:[HomeWon]], Table1[[GameIsOver]:[GameIsOver]],1,Table1[[AwayTeam]:[AwayTeam]],$A8, Table1[[HomeTeam]:[HomeTeam]], D$1, Table1[[ActualResult]:[ActualResult]], "OT") + SUMIFS(Table1[[AwayWon]:[AwayWon]], Table1[[GameIsOver]:[GameIsOver]],1,Table1[[HomeTeam]:[HomeTeam]],$A8, Table1[[AwayTeam]:[AwayTeam]], D$1, Table1[[ActualResult]:[ActualResult]], "OT") + SUMIFS(Table1[[HomeWon]:[HomeWon]], Table1[[GameIsOver]:[GameIsOver]],1,Table1[[AwayTeam]:[AwayTeam]],$A8, Table1[[HomeTeam]:[HomeTeam]], D$1, Table1[[ActualResult]:[ActualResult]], "SO") + SUMIFS(Table1[[AwayWon]:[AwayWon]], Table1[[GameIsOver]:[GameIsOver]],1,Table1[[HomeTeam]:[HomeTeam]],$A8, Table1[[AwayTeam]:[AwayTeam]], D$1, Table1[[ActualResult]:[ActualResult]], "SO"),0))</f>
        <v>0-0-2</v>
      </c>
      <c r="E8" s="43" t="str">
        <f>_xlfn.CONCAT(TEXT(SUMIFS(Table1[[AwayWon]:[AwayWon]], Table1[[GameIsOver]:[GameIsOver]],1,Table1[[AwayTeam]:[AwayTeam]],$A8, Table1[[HomeTeam]:[HomeTeam]], E$1) + SUMIFS(Table1[[HomeWon]:[HomeWon]], Table1[[GameIsOver]:[GameIsOver]],1,Table1[[HomeTeam]:[HomeTeam]],$A8, Table1[[AwayTeam]:[AwayTeam]], E$1),0), "-", TEXT(SUMIFS(Table1[[HomeWon]:[HomeWon]], Table1[[GameIsOver]:[GameIsOver]],1,Table1[[AwayTeam]:[AwayTeam]],$A8, Table1[[HomeTeam]:[HomeTeam]], E$1, Table1[[ActualResult]:[ActualResult]], "REG") + SUMIFS(Table1[[AwayWon]:[AwayWon]], Table1[[GameIsOver]:[GameIsOver]],1,Table1[[HomeTeam]:[HomeTeam]],$A8, Table1[[AwayTeam]:[AwayTeam]], E$1, Table1[[ActualResult]:[ActualResult]], "REG"),0), "-", TEXT(SUMIFS(Table1[[HomeWon]:[HomeWon]], Table1[[GameIsOver]:[GameIsOver]],1,Table1[[AwayTeam]:[AwayTeam]],$A8, Table1[[HomeTeam]:[HomeTeam]], E$1, Table1[[ActualResult]:[ActualResult]], "OT") + SUMIFS(Table1[[AwayWon]:[AwayWon]], Table1[[GameIsOver]:[GameIsOver]],1,Table1[[HomeTeam]:[HomeTeam]],$A8, Table1[[AwayTeam]:[AwayTeam]], E$1, Table1[[ActualResult]:[ActualResult]], "OT") + SUMIFS(Table1[[HomeWon]:[HomeWon]], Table1[[GameIsOver]:[GameIsOver]],1,Table1[[AwayTeam]:[AwayTeam]],$A8, Table1[[HomeTeam]:[HomeTeam]], E$1, Table1[[ActualResult]:[ActualResult]], "SO") + SUMIFS(Table1[[AwayWon]:[AwayWon]], Table1[[GameIsOver]:[GameIsOver]],1,Table1[[HomeTeam]:[HomeTeam]],$A8, Table1[[AwayTeam]:[AwayTeam]], E$1, Table1[[ActualResult]:[ActualResult]], "SO"),0))</f>
        <v>0-0-0</v>
      </c>
      <c r="F8" s="43" t="str">
        <f>_xlfn.CONCAT(TEXT(SUMIFS(Table1[[AwayWon]:[AwayWon]], Table1[[GameIsOver]:[GameIsOver]],1,Table1[[AwayTeam]:[AwayTeam]],$A8, Table1[[HomeTeam]:[HomeTeam]], F$1) + SUMIFS(Table1[[HomeWon]:[HomeWon]], Table1[[GameIsOver]:[GameIsOver]],1,Table1[[HomeTeam]:[HomeTeam]],$A8, Table1[[AwayTeam]:[AwayTeam]], F$1),0), "-", TEXT(SUMIFS(Table1[[HomeWon]:[HomeWon]], Table1[[GameIsOver]:[GameIsOver]],1,Table1[[AwayTeam]:[AwayTeam]],$A8, Table1[[HomeTeam]:[HomeTeam]], F$1, Table1[[ActualResult]:[ActualResult]], "REG") + SUMIFS(Table1[[AwayWon]:[AwayWon]], Table1[[GameIsOver]:[GameIsOver]],1,Table1[[HomeTeam]:[HomeTeam]],$A8, Table1[[AwayTeam]:[AwayTeam]], F$1, Table1[[ActualResult]:[ActualResult]], "REG"),0), "-", TEXT(SUMIFS(Table1[[HomeWon]:[HomeWon]], Table1[[GameIsOver]:[GameIsOver]],1,Table1[[AwayTeam]:[AwayTeam]],$A8, Table1[[HomeTeam]:[HomeTeam]], F$1, Table1[[ActualResult]:[ActualResult]], "OT") + SUMIFS(Table1[[AwayWon]:[AwayWon]], Table1[[GameIsOver]:[GameIsOver]],1,Table1[[HomeTeam]:[HomeTeam]],$A8, Table1[[AwayTeam]:[AwayTeam]], F$1, Table1[[ActualResult]:[ActualResult]], "OT") + SUMIFS(Table1[[HomeWon]:[HomeWon]], Table1[[GameIsOver]:[GameIsOver]],1,Table1[[AwayTeam]:[AwayTeam]],$A8, Table1[[HomeTeam]:[HomeTeam]], F$1, Table1[[ActualResult]:[ActualResult]], "SO") + SUMIFS(Table1[[AwayWon]:[AwayWon]], Table1[[GameIsOver]:[GameIsOver]],1,Table1[[HomeTeam]:[HomeTeam]],$A8, Table1[[AwayTeam]:[AwayTeam]], F$1, Table1[[ActualResult]:[ActualResult]], "SO"),0))</f>
        <v>0-0-0</v>
      </c>
      <c r="G8" s="43" t="str">
        <f>_xlfn.CONCAT(TEXT(SUMIFS(Table1[[AwayWon]:[AwayWon]], Table1[[GameIsOver]:[GameIsOver]],1,Table1[[AwayTeam]:[AwayTeam]],$A8, Table1[[HomeTeam]:[HomeTeam]], G$1) + SUMIFS(Table1[[HomeWon]:[HomeWon]], Table1[[GameIsOver]:[GameIsOver]],1,Table1[[HomeTeam]:[HomeTeam]],$A8, Table1[[AwayTeam]:[AwayTeam]], G$1),0), "-", TEXT(SUMIFS(Table1[[HomeWon]:[HomeWon]], Table1[[GameIsOver]:[GameIsOver]],1,Table1[[AwayTeam]:[AwayTeam]],$A8, Table1[[HomeTeam]:[HomeTeam]], G$1, Table1[[ActualResult]:[ActualResult]], "REG") + SUMIFS(Table1[[AwayWon]:[AwayWon]], Table1[[GameIsOver]:[GameIsOver]],1,Table1[[HomeTeam]:[HomeTeam]],$A8, Table1[[AwayTeam]:[AwayTeam]], G$1, Table1[[ActualResult]:[ActualResult]], "REG"),0), "-", TEXT(SUMIFS(Table1[[HomeWon]:[HomeWon]], Table1[[GameIsOver]:[GameIsOver]],1,Table1[[AwayTeam]:[AwayTeam]],$A8, Table1[[HomeTeam]:[HomeTeam]], G$1, Table1[[ActualResult]:[ActualResult]], "OT") + SUMIFS(Table1[[AwayWon]:[AwayWon]], Table1[[GameIsOver]:[GameIsOver]],1,Table1[[HomeTeam]:[HomeTeam]],$A8, Table1[[AwayTeam]:[AwayTeam]], G$1, Table1[[ActualResult]:[ActualResult]], "OT") + SUMIFS(Table1[[HomeWon]:[HomeWon]], Table1[[GameIsOver]:[GameIsOver]],1,Table1[[AwayTeam]:[AwayTeam]],$A8, Table1[[HomeTeam]:[HomeTeam]], G$1, Table1[[ActualResult]:[ActualResult]], "SO") + SUMIFS(Table1[[AwayWon]:[AwayWon]], Table1[[GameIsOver]:[GameIsOver]],1,Table1[[HomeTeam]:[HomeTeam]],$A8, Table1[[AwayTeam]:[AwayTeam]], G$1, Table1[[ActualResult]:[ActualResult]], "SO"),0))</f>
        <v>0-0-0</v>
      </c>
      <c r="H8" s="43" t="str">
        <f>_xlfn.CONCAT(TEXT(SUMIFS(Table1[[AwayWon]:[AwayWon]], Table1[[GameIsOver]:[GameIsOver]],1,Table1[[AwayTeam]:[AwayTeam]],$A8, Table1[[HomeTeam]:[HomeTeam]], H$1) + SUMIFS(Table1[[HomeWon]:[HomeWon]], Table1[[GameIsOver]:[GameIsOver]],1,Table1[[HomeTeam]:[HomeTeam]],$A8, Table1[[AwayTeam]:[AwayTeam]], H$1),0), "-", TEXT(SUMIFS(Table1[[HomeWon]:[HomeWon]], Table1[[GameIsOver]:[GameIsOver]],1,Table1[[AwayTeam]:[AwayTeam]],$A8, Table1[[HomeTeam]:[HomeTeam]], H$1, Table1[[ActualResult]:[ActualResult]], "REG") + SUMIFS(Table1[[AwayWon]:[AwayWon]], Table1[[GameIsOver]:[GameIsOver]],1,Table1[[HomeTeam]:[HomeTeam]],$A8, Table1[[AwayTeam]:[AwayTeam]], H$1, Table1[[ActualResult]:[ActualResult]], "REG"),0), "-", TEXT(SUMIFS(Table1[[HomeWon]:[HomeWon]], Table1[[GameIsOver]:[GameIsOver]],1,Table1[[AwayTeam]:[AwayTeam]],$A8, Table1[[HomeTeam]:[HomeTeam]], H$1, Table1[[ActualResult]:[ActualResult]], "OT") + SUMIFS(Table1[[AwayWon]:[AwayWon]], Table1[[GameIsOver]:[GameIsOver]],1,Table1[[HomeTeam]:[HomeTeam]],$A8, Table1[[AwayTeam]:[AwayTeam]], H$1, Table1[[ActualResult]:[ActualResult]], "OT") + SUMIFS(Table1[[HomeWon]:[HomeWon]], Table1[[GameIsOver]:[GameIsOver]],1,Table1[[AwayTeam]:[AwayTeam]],$A8, Table1[[HomeTeam]:[HomeTeam]], H$1, Table1[[ActualResult]:[ActualResult]], "SO") + SUMIFS(Table1[[AwayWon]:[AwayWon]], Table1[[GameIsOver]:[GameIsOver]],1,Table1[[HomeTeam]:[HomeTeam]],$A8, Table1[[AwayTeam]:[AwayTeam]], H$1, Table1[[ActualResult]:[ActualResult]], "SO"),0))</f>
        <v>0-0-0</v>
      </c>
      <c r="I8" s="45" t="str">
        <f>_xlfn.CONCAT(TEXT(SUMIFS(Table1[[AwayWon]:[AwayWon]], Table1[[GameIsOver]:[GameIsOver]],1,Table1[[AwayTeam]:[AwayTeam]],$A8, Table1[[HomeTeam]:[HomeTeam]], I$1) + SUMIFS(Table1[[HomeWon]:[HomeWon]], Table1[[GameIsOver]:[GameIsOver]],1,Table1[[HomeTeam]:[HomeTeam]],$A8, Table1[[AwayTeam]:[AwayTeam]], I$1),0), "-", TEXT(SUMIFS(Table1[[HomeWon]:[HomeWon]], Table1[[GameIsOver]:[GameIsOver]],1,Table1[[AwayTeam]:[AwayTeam]],$A8, Table1[[HomeTeam]:[HomeTeam]], I$1, Table1[[ActualResult]:[ActualResult]], "REG") + SUMIFS(Table1[[AwayWon]:[AwayWon]], Table1[[GameIsOver]:[GameIsOver]],1,Table1[[HomeTeam]:[HomeTeam]],$A8, Table1[[AwayTeam]:[AwayTeam]], I$1, Table1[[ActualResult]:[ActualResult]], "REG"),0), "-", TEXT(SUMIFS(Table1[[HomeWon]:[HomeWon]], Table1[[GameIsOver]:[GameIsOver]],1,Table1[[AwayTeam]:[AwayTeam]],$A8, Table1[[HomeTeam]:[HomeTeam]], I$1, Table1[[ActualResult]:[ActualResult]], "OT") + SUMIFS(Table1[[AwayWon]:[AwayWon]], Table1[[GameIsOver]:[GameIsOver]],1,Table1[[HomeTeam]:[HomeTeam]],$A8, Table1[[AwayTeam]:[AwayTeam]], I$1, Table1[[ActualResult]:[ActualResult]], "OT") + SUMIFS(Table1[[HomeWon]:[HomeWon]], Table1[[GameIsOver]:[GameIsOver]],1,Table1[[AwayTeam]:[AwayTeam]],$A8, Table1[[HomeTeam]:[HomeTeam]], I$1, Table1[[ActualResult]:[ActualResult]], "SO") + SUMIFS(Table1[[AwayWon]:[AwayWon]], Table1[[GameIsOver]:[GameIsOver]],1,Table1[[HomeTeam]:[HomeTeam]],$A8, Table1[[AwayTeam]:[AwayTeam]], I$1, Table1[[ActualResult]:[ActualResult]], "SO"),0))</f>
        <v>0-0-0</v>
      </c>
      <c r="J8" s="43" t="str">
        <f>_xlfn.CONCAT(TEXT(SUMIFS(Table1[[AwayWon]:[AwayWon]], Table1[[GameIsOver]:[GameIsOver]],1,Table1[[AwayTeam]:[AwayTeam]],$A8, Table1[[HomeTeam]:[HomeTeam]], J$1) + SUMIFS(Table1[[HomeWon]:[HomeWon]], Table1[[GameIsOver]:[GameIsOver]],1,Table1[[HomeTeam]:[HomeTeam]],$A8, Table1[[AwayTeam]:[AwayTeam]], J$1),0), "-", TEXT(SUMIFS(Table1[[HomeWon]:[HomeWon]], Table1[[GameIsOver]:[GameIsOver]],1,Table1[[AwayTeam]:[AwayTeam]],$A8, Table1[[HomeTeam]:[HomeTeam]], J$1, Table1[[ActualResult]:[ActualResult]], "REG") + SUMIFS(Table1[[AwayWon]:[AwayWon]], Table1[[GameIsOver]:[GameIsOver]],1,Table1[[HomeTeam]:[HomeTeam]],$A8, Table1[[AwayTeam]:[AwayTeam]], J$1, Table1[[ActualResult]:[ActualResult]], "REG"),0), "-", TEXT(SUMIFS(Table1[[HomeWon]:[HomeWon]], Table1[[GameIsOver]:[GameIsOver]],1,Table1[[AwayTeam]:[AwayTeam]],$A8, Table1[[HomeTeam]:[HomeTeam]], J$1, Table1[[ActualResult]:[ActualResult]], "OT") + SUMIFS(Table1[[AwayWon]:[AwayWon]], Table1[[GameIsOver]:[GameIsOver]],1,Table1[[HomeTeam]:[HomeTeam]],$A8, Table1[[AwayTeam]:[AwayTeam]], J$1, Table1[[ActualResult]:[ActualResult]], "OT") + SUMIFS(Table1[[HomeWon]:[HomeWon]], Table1[[GameIsOver]:[GameIsOver]],1,Table1[[AwayTeam]:[AwayTeam]],$A8, Table1[[HomeTeam]:[HomeTeam]], J$1, Table1[[ActualResult]:[ActualResult]], "SO") + SUMIFS(Table1[[AwayWon]:[AwayWon]], Table1[[GameIsOver]:[GameIsOver]],1,Table1[[HomeTeam]:[HomeTeam]],$A8, Table1[[AwayTeam]:[AwayTeam]], J$1, Table1[[ActualResult]:[ActualResult]], "SO"),0))</f>
        <v>0-0-0</v>
      </c>
      <c r="K8" s="43" t="str">
        <f>_xlfn.CONCAT(TEXT(SUMIFS(Table1[[AwayWon]:[AwayWon]], Table1[[GameIsOver]:[GameIsOver]],1,Table1[[AwayTeam]:[AwayTeam]],$A8, Table1[[HomeTeam]:[HomeTeam]], K$1) + SUMIFS(Table1[[HomeWon]:[HomeWon]], Table1[[GameIsOver]:[GameIsOver]],1,Table1[[HomeTeam]:[HomeTeam]],$A8, Table1[[AwayTeam]:[AwayTeam]], K$1),0), "-", TEXT(SUMIFS(Table1[[HomeWon]:[HomeWon]], Table1[[GameIsOver]:[GameIsOver]],1,Table1[[AwayTeam]:[AwayTeam]],$A8, Table1[[HomeTeam]:[HomeTeam]], K$1, Table1[[ActualResult]:[ActualResult]], "REG") + SUMIFS(Table1[[AwayWon]:[AwayWon]], Table1[[GameIsOver]:[GameIsOver]],1,Table1[[HomeTeam]:[HomeTeam]],$A8, Table1[[AwayTeam]:[AwayTeam]], K$1, Table1[[ActualResult]:[ActualResult]], "REG"),0), "-", TEXT(SUMIFS(Table1[[HomeWon]:[HomeWon]], Table1[[GameIsOver]:[GameIsOver]],1,Table1[[AwayTeam]:[AwayTeam]],$A8, Table1[[HomeTeam]:[HomeTeam]], K$1, Table1[[ActualResult]:[ActualResult]], "OT") + SUMIFS(Table1[[AwayWon]:[AwayWon]], Table1[[GameIsOver]:[GameIsOver]],1,Table1[[HomeTeam]:[HomeTeam]],$A8, Table1[[AwayTeam]:[AwayTeam]], K$1, Table1[[ActualResult]:[ActualResult]], "OT") + SUMIFS(Table1[[HomeWon]:[HomeWon]], Table1[[GameIsOver]:[GameIsOver]],1,Table1[[AwayTeam]:[AwayTeam]],$A8, Table1[[HomeTeam]:[HomeTeam]], K$1, Table1[[ActualResult]:[ActualResult]], "SO") + SUMIFS(Table1[[AwayWon]:[AwayWon]], Table1[[GameIsOver]:[GameIsOver]],1,Table1[[HomeTeam]:[HomeTeam]],$A8, Table1[[AwayTeam]:[AwayTeam]], K$1, Table1[[ActualResult]:[ActualResult]], "SO"),0))</f>
        <v>0-0-0</v>
      </c>
      <c r="L8" s="43" t="str">
        <f>_xlfn.CONCAT(TEXT(SUMIFS(Table1[[AwayWon]:[AwayWon]], Table1[[GameIsOver]:[GameIsOver]],1,Table1[[AwayTeam]:[AwayTeam]],$A8, Table1[[HomeTeam]:[HomeTeam]], L$1) + SUMIFS(Table1[[HomeWon]:[HomeWon]], Table1[[GameIsOver]:[GameIsOver]],1,Table1[[HomeTeam]:[HomeTeam]],$A8, Table1[[AwayTeam]:[AwayTeam]], L$1),0), "-", TEXT(SUMIFS(Table1[[HomeWon]:[HomeWon]], Table1[[GameIsOver]:[GameIsOver]],1,Table1[[AwayTeam]:[AwayTeam]],$A8, Table1[[HomeTeam]:[HomeTeam]], L$1, Table1[[ActualResult]:[ActualResult]], "REG") + SUMIFS(Table1[[AwayWon]:[AwayWon]], Table1[[GameIsOver]:[GameIsOver]],1,Table1[[HomeTeam]:[HomeTeam]],$A8, Table1[[AwayTeam]:[AwayTeam]], L$1, Table1[[ActualResult]:[ActualResult]], "REG"),0), "-", TEXT(SUMIFS(Table1[[HomeWon]:[HomeWon]], Table1[[GameIsOver]:[GameIsOver]],1,Table1[[AwayTeam]:[AwayTeam]],$A8, Table1[[HomeTeam]:[HomeTeam]], L$1, Table1[[ActualResult]:[ActualResult]], "OT") + SUMIFS(Table1[[AwayWon]:[AwayWon]], Table1[[GameIsOver]:[GameIsOver]],1,Table1[[HomeTeam]:[HomeTeam]],$A8, Table1[[AwayTeam]:[AwayTeam]], L$1, Table1[[ActualResult]:[ActualResult]], "OT") + SUMIFS(Table1[[HomeWon]:[HomeWon]], Table1[[GameIsOver]:[GameIsOver]],1,Table1[[AwayTeam]:[AwayTeam]],$A8, Table1[[HomeTeam]:[HomeTeam]], L$1, Table1[[ActualResult]:[ActualResult]], "SO") + SUMIFS(Table1[[AwayWon]:[AwayWon]], Table1[[GameIsOver]:[GameIsOver]],1,Table1[[HomeTeam]:[HomeTeam]],$A8, Table1[[AwayTeam]:[AwayTeam]], L$1, Table1[[ActualResult]:[ActualResult]], "SO"),0))</f>
        <v>0-0-0</v>
      </c>
      <c r="M8" s="43" t="str">
        <f>_xlfn.CONCAT(TEXT(SUMIFS(Table1[[AwayWon]:[AwayWon]], Table1[[GameIsOver]:[GameIsOver]],1,Table1[[AwayTeam]:[AwayTeam]],$A8, Table1[[HomeTeam]:[HomeTeam]], M$1) + SUMIFS(Table1[[HomeWon]:[HomeWon]], Table1[[GameIsOver]:[GameIsOver]],1,Table1[[HomeTeam]:[HomeTeam]],$A8, Table1[[AwayTeam]:[AwayTeam]], M$1),0), "-", TEXT(SUMIFS(Table1[[HomeWon]:[HomeWon]], Table1[[GameIsOver]:[GameIsOver]],1,Table1[[AwayTeam]:[AwayTeam]],$A8, Table1[[HomeTeam]:[HomeTeam]], M$1, Table1[[ActualResult]:[ActualResult]], "REG") + SUMIFS(Table1[[AwayWon]:[AwayWon]], Table1[[GameIsOver]:[GameIsOver]],1,Table1[[HomeTeam]:[HomeTeam]],$A8, Table1[[AwayTeam]:[AwayTeam]], M$1, Table1[[ActualResult]:[ActualResult]], "REG"),0), "-", TEXT(SUMIFS(Table1[[HomeWon]:[HomeWon]], Table1[[GameIsOver]:[GameIsOver]],1,Table1[[AwayTeam]:[AwayTeam]],$A8, Table1[[HomeTeam]:[HomeTeam]], M$1, Table1[[ActualResult]:[ActualResult]], "OT") + SUMIFS(Table1[[AwayWon]:[AwayWon]], Table1[[GameIsOver]:[GameIsOver]],1,Table1[[HomeTeam]:[HomeTeam]],$A8, Table1[[AwayTeam]:[AwayTeam]], M$1, Table1[[ActualResult]:[ActualResult]], "OT") + SUMIFS(Table1[[HomeWon]:[HomeWon]], Table1[[GameIsOver]:[GameIsOver]],1,Table1[[AwayTeam]:[AwayTeam]],$A8, Table1[[HomeTeam]:[HomeTeam]], M$1, Table1[[ActualResult]:[ActualResult]], "SO") + SUMIFS(Table1[[AwayWon]:[AwayWon]], Table1[[GameIsOver]:[GameIsOver]],1,Table1[[HomeTeam]:[HomeTeam]],$A8, Table1[[AwayTeam]:[AwayTeam]], M$1, Table1[[ActualResult]:[ActualResult]], "SO"),0))</f>
        <v>0-0-0</v>
      </c>
      <c r="N8" s="43" t="str">
        <f>_xlfn.CONCAT(TEXT(SUMIFS(Table1[[AwayWon]:[AwayWon]], Table1[[GameIsOver]:[GameIsOver]],1,Table1[[AwayTeam]:[AwayTeam]],$A8, Table1[[HomeTeam]:[HomeTeam]], N$1) + SUMIFS(Table1[[HomeWon]:[HomeWon]], Table1[[GameIsOver]:[GameIsOver]],1,Table1[[HomeTeam]:[HomeTeam]],$A8, Table1[[AwayTeam]:[AwayTeam]], N$1),0), "-", TEXT(SUMIFS(Table1[[HomeWon]:[HomeWon]], Table1[[GameIsOver]:[GameIsOver]],1,Table1[[AwayTeam]:[AwayTeam]],$A8, Table1[[HomeTeam]:[HomeTeam]], N$1, Table1[[ActualResult]:[ActualResult]], "REG") + SUMIFS(Table1[[AwayWon]:[AwayWon]], Table1[[GameIsOver]:[GameIsOver]],1,Table1[[HomeTeam]:[HomeTeam]],$A8, Table1[[AwayTeam]:[AwayTeam]], N$1, Table1[[ActualResult]:[ActualResult]], "REG"),0), "-", TEXT(SUMIFS(Table1[[HomeWon]:[HomeWon]], Table1[[GameIsOver]:[GameIsOver]],1,Table1[[AwayTeam]:[AwayTeam]],$A8, Table1[[HomeTeam]:[HomeTeam]], N$1, Table1[[ActualResult]:[ActualResult]], "OT") + SUMIFS(Table1[[AwayWon]:[AwayWon]], Table1[[GameIsOver]:[GameIsOver]],1,Table1[[HomeTeam]:[HomeTeam]],$A8, Table1[[AwayTeam]:[AwayTeam]], N$1, Table1[[ActualResult]:[ActualResult]], "OT") + SUMIFS(Table1[[HomeWon]:[HomeWon]], Table1[[GameIsOver]:[GameIsOver]],1,Table1[[AwayTeam]:[AwayTeam]],$A8, Table1[[HomeTeam]:[HomeTeam]], N$1, Table1[[ActualResult]:[ActualResult]], "SO") + SUMIFS(Table1[[AwayWon]:[AwayWon]], Table1[[GameIsOver]:[GameIsOver]],1,Table1[[HomeTeam]:[HomeTeam]],$A8, Table1[[AwayTeam]:[AwayTeam]], N$1, Table1[[ActualResult]:[ActualResult]], "SO"),0))</f>
        <v>0-0-0</v>
      </c>
      <c r="O8" s="43" t="str">
        <f>_xlfn.CONCAT(TEXT(SUMIFS(Table1[[AwayWon]:[AwayWon]], Table1[[GameIsOver]:[GameIsOver]],1,Table1[[AwayTeam]:[AwayTeam]],$A8, Table1[[HomeTeam]:[HomeTeam]], O$1) + SUMIFS(Table1[[HomeWon]:[HomeWon]], Table1[[GameIsOver]:[GameIsOver]],1,Table1[[HomeTeam]:[HomeTeam]],$A8, Table1[[AwayTeam]:[AwayTeam]], O$1),0), "-", TEXT(SUMIFS(Table1[[HomeWon]:[HomeWon]], Table1[[GameIsOver]:[GameIsOver]],1,Table1[[AwayTeam]:[AwayTeam]],$A8, Table1[[HomeTeam]:[HomeTeam]], O$1, Table1[[ActualResult]:[ActualResult]], "REG") + SUMIFS(Table1[[AwayWon]:[AwayWon]], Table1[[GameIsOver]:[GameIsOver]],1,Table1[[HomeTeam]:[HomeTeam]],$A8, Table1[[AwayTeam]:[AwayTeam]], O$1, Table1[[ActualResult]:[ActualResult]], "REG"),0), "-", TEXT(SUMIFS(Table1[[HomeWon]:[HomeWon]], Table1[[GameIsOver]:[GameIsOver]],1,Table1[[AwayTeam]:[AwayTeam]],$A8, Table1[[HomeTeam]:[HomeTeam]], O$1, Table1[[ActualResult]:[ActualResult]], "OT") + SUMIFS(Table1[[AwayWon]:[AwayWon]], Table1[[GameIsOver]:[GameIsOver]],1,Table1[[HomeTeam]:[HomeTeam]],$A8, Table1[[AwayTeam]:[AwayTeam]], O$1, Table1[[ActualResult]:[ActualResult]], "OT") + SUMIFS(Table1[[HomeWon]:[HomeWon]], Table1[[GameIsOver]:[GameIsOver]],1,Table1[[AwayTeam]:[AwayTeam]],$A8, Table1[[HomeTeam]:[HomeTeam]], O$1, Table1[[ActualResult]:[ActualResult]], "SO") + SUMIFS(Table1[[AwayWon]:[AwayWon]], Table1[[GameIsOver]:[GameIsOver]],1,Table1[[HomeTeam]:[HomeTeam]],$A8, Table1[[AwayTeam]:[AwayTeam]], O$1, Table1[[ActualResult]:[ActualResult]], "SO"),0))</f>
        <v>0-0-0</v>
      </c>
      <c r="P8" s="43" t="str">
        <f>_xlfn.CONCAT(TEXT(SUMIFS(Table1[[AwayWon]:[AwayWon]], Table1[[GameIsOver]:[GameIsOver]],1,Table1[[AwayTeam]:[AwayTeam]],$A8, Table1[[HomeTeam]:[HomeTeam]], P$1) + SUMIFS(Table1[[HomeWon]:[HomeWon]], Table1[[GameIsOver]:[GameIsOver]],1,Table1[[HomeTeam]:[HomeTeam]],$A8, Table1[[AwayTeam]:[AwayTeam]], P$1),0), "-", TEXT(SUMIFS(Table1[[HomeWon]:[HomeWon]], Table1[[GameIsOver]:[GameIsOver]],1,Table1[[AwayTeam]:[AwayTeam]],$A8, Table1[[HomeTeam]:[HomeTeam]], P$1, Table1[[ActualResult]:[ActualResult]], "REG") + SUMIFS(Table1[[AwayWon]:[AwayWon]], Table1[[GameIsOver]:[GameIsOver]],1,Table1[[HomeTeam]:[HomeTeam]],$A8, Table1[[AwayTeam]:[AwayTeam]], P$1, Table1[[ActualResult]:[ActualResult]], "REG"),0), "-", TEXT(SUMIFS(Table1[[HomeWon]:[HomeWon]], Table1[[GameIsOver]:[GameIsOver]],1,Table1[[AwayTeam]:[AwayTeam]],$A8, Table1[[HomeTeam]:[HomeTeam]], P$1, Table1[[ActualResult]:[ActualResult]], "OT") + SUMIFS(Table1[[AwayWon]:[AwayWon]], Table1[[GameIsOver]:[GameIsOver]],1,Table1[[HomeTeam]:[HomeTeam]],$A8, Table1[[AwayTeam]:[AwayTeam]], P$1, Table1[[ActualResult]:[ActualResult]], "OT") + SUMIFS(Table1[[HomeWon]:[HomeWon]], Table1[[GameIsOver]:[GameIsOver]],1,Table1[[AwayTeam]:[AwayTeam]],$A8, Table1[[HomeTeam]:[HomeTeam]], P$1, Table1[[ActualResult]:[ActualResult]], "SO") + SUMIFS(Table1[[AwayWon]:[AwayWon]], Table1[[GameIsOver]:[GameIsOver]],1,Table1[[HomeTeam]:[HomeTeam]],$A8, Table1[[AwayTeam]:[AwayTeam]], P$1, Table1[[ActualResult]:[ActualResult]], "SO"),0))</f>
        <v>0-0-0</v>
      </c>
      <c r="Q8" s="45" t="str">
        <f>_xlfn.CONCAT(TEXT(SUMIFS(Table1[[AwayWon]:[AwayWon]], Table1[[GameIsOver]:[GameIsOver]],1,Table1[[AwayTeam]:[AwayTeam]],$A8, Table1[[HomeTeam]:[HomeTeam]], Q$1) + SUMIFS(Table1[[HomeWon]:[HomeWon]], Table1[[GameIsOver]:[GameIsOver]],1,Table1[[HomeTeam]:[HomeTeam]],$A8, Table1[[AwayTeam]:[AwayTeam]], Q$1),0), "-", TEXT(SUMIFS(Table1[[HomeWon]:[HomeWon]], Table1[[GameIsOver]:[GameIsOver]],1,Table1[[AwayTeam]:[AwayTeam]],$A8, Table1[[HomeTeam]:[HomeTeam]], Q$1, Table1[[ActualResult]:[ActualResult]], "REG") + SUMIFS(Table1[[AwayWon]:[AwayWon]], Table1[[GameIsOver]:[GameIsOver]],1,Table1[[HomeTeam]:[HomeTeam]],$A8, Table1[[AwayTeam]:[AwayTeam]], Q$1, Table1[[ActualResult]:[ActualResult]], "REG"),0), "-", TEXT(SUMIFS(Table1[[HomeWon]:[HomeWon]], Table1[[GameIsOver]:[GameIsOver]],1,Table1[[AwayTeam]:[AwayTeam]],$A8, Table1[[HomeTeam]:[HomeTeam]], Q$1, Table1[[ActualResult]:[ActualResult]], "OT") + SUMIFS(Table1[[AwayWon]:[AwayWon]], Table1[[GameIsOver]:[GameIsOver]],1,Table1[[HomeTeam]:[HomeTeam]],$A8, Table1[[AwayTeam]:[AwayTeam]], Q$1, Table1[[ActualResult]:[ActualResult]], "OT") + SUMIFS(Table1[[HomeWon]:[HomeWon]], Table1[[GameIsOver]:[GameIsOver]],1,Table1[[AwayTeam]:[AwayTeam]],$A8, Table1[[HomeTeam]:[HomeTeam]], Q$1, Table1[[ActualResult]:[ActualResult]], "SO") + SUMIFS(Table1[[AwayWon]:[AwayWon]], Table1[[GameIsOver]:[GameIsOver]],1,Table1[[HomeTeam]:[HomeTeam]],$A8, Table1[[AwayTeam]:[AwayTeam]], Q$1, Table1[[ActualResult]:[ActualResult]], "SO"),0))</f>
        <v>0-0-0</v>
      </c>
      <c r="R8" s="43" t="str">
        <f>_xlfn.CONCAT(TEXT(SUMIFS(Table1[[AwayWon]:[AwayWon]], Table1[[GameIsOver]:[GameIsOver]],1,Table1[[AwayTeam]:[AwayTeam]],$A8, Table1[[HomeTeam]:[HomeTeam]], R$1) + SUMIFS(Table1[[HomeWon]:[HomeWon]], Table1[[GameIsOver]:[GameIsOver]],1,Table1[[HomeTeam]:[HomeTeam]],$A8, Table1[[AwayTeam]:[AwayTeam]], R$1),0), "-", TEXT(SUMIFS(Table1[[HomeWon]:[HomeWon]], Table1[[GameIsOver]:[GameIsOver]],1,Table1[[AwayTeam]:[AwayTeam]],$A8, Table1[[HomeTeam]:[HomeTeam]], R$1, Table1[[ActualResult]:[ActualResult]], "REG") + SUMIFS(Table1[[AwayWon]:[AwayWon]], Table1[[GameIsOver]:[GameIsOver]],1,Table1[[HomeTeam]:[HomeTeam]],$A8, Table1[[AwayTeam]:[AwayTeam]], R$1, Table1[[ActualResult]:[ActualResult]], "REG"),0), "-", TEXT(SUMIFS(Table1[[HomeWon]:[HomeWon]], Table1[[GameIsOver]:[GameIsOver]],1,Table1[[AwayTeam]:[AwayTeam]],$A8, Table1[[HomeTeam]:[HomeTeam]], R$1, Table1[[ActualResult]:[ActualResult]], "OT") + SUMIFS(Table1[[AwayWon]:[AwayWon]], Table1[[GameIsOver]:[GameIsOver]],1,Table1[[HomeTeam]:[HomeTeam]],$A8, Table1[[AwayTeam]:[AwayTeam]], R$1, Table1[[ActualResult]:[ActualResult]], "OT") + SUMIFS(Table1[[HomeWon]:[HomeWon]], Table1[[GameIsOver]:[GameIsOver]],1,Table1[[AwayTeam]:[AwayTeam]],$A8, Table1[[HomeTeam]:[HomeTeam]], R$1, Table1[[ActualResult]:[ActualResult]], "SO") + SUMIFS(Table1[[AwayWon]:[AwayWon]], Table1[[GameIsOver]:[GameIsOver]],1,Table1[[HomeTeam]:[HomeTeam]],$A8, Table1[[AwayTeam]:[AwayTeam]], R$1, Table1[[ActualResult]:[ActualResult]], "SO"),0))</f>
        <v>0-0-0</v>
      </c>
      <c r="S8" s="43" t="str">
        <f>_xlfn.CONCAT(TEXT(SUMIFS(Table1[[AwayWon]:[AwayWon]], Table1[[GameIsOver]:[GameIsOver]],1,Table1[[AwayTeam]:[AwayTeam]],$A8, Table1[[HomeTeam]:[HomeTeam]], S$1) + SUMIFS(Table1[[HomeWon]:[HomeWon]], Table1[[GameIsOver]:[GameIsOver]],1,Table1[[HomeTeam]:[HomeTeam]],$A8, Table1[[AwayTeam]:[AwayTeam]], S$1),0), "-", TEXT(SUMIFS(Table1[[HomeWon]:[HomeWon]], Table1[[GameIsOver]:[GameIsOver]],1,Table1[[AwayTeam]:[AwayTeam]],$A8, Table1[[HomeTeam]:[HomeTeam]], S$1, Table1[[ActualResult]:[ActualResult]], "REG") + SUMIFS(Table1[[AwayWon]:[AwayWon]], Table1[[GameIsOver]:[GameIsOver]],1,Table1[[HomeTeam]:[HomeTeam]],$A8, Table1[[AwayTeam]:[AwayTeam]], S$1, Table1[[ActualResult]:[ActualResult]], "REG"),0), "-", TEXT(SUMIFS(Table1[[HomeWon]:[HomeWon]], Table1[[GameIsOver]:[GameIsOver]],1,Table1[[AwayTeam]:[AwayTeam]],$A8, Table1[[HomeTeam]:[HomeTeam]], S$1, Table1[[ActualResult]:[ActualResult]], "OT") + SUMIFS(Table1[[AwayWon]:[AwayWon]], Table1[[GameIsOver]:[GameIsOver]],1,Table1[[HomeTeam]:[HomeTeam]],$A8, Table1[[AwayTeam]:[AwayTeam]], S$1, Table1[[ActualResult]:[ActualResult]], "OT") + SUMIFS(Table1[[HomeWon]:[HomeWon]], Table1[[GameIsOver]:[GameIsOver]],1,Table1[[AwayTeam]:[AwayTeam]],$A8, Table1[[HomeTeam]:[HomeTeam]], S$1, Table1[[ActualResult]:[ActualResult]], "SO") + SUMIFS(Table1[[AwayWon]:[AwayWon]], Table1[[GameIsOver]:[GameIsOver]],1,Table1[[HomeTeam]:[HomeTeam]],$A8, Table1[[AwayTeam]:[AwayTeam]], S$1, Table1[[ActualResult]:[ActualResult]], "SO"),0))</f>
        <v>0-0-0</v>
      </c>
      <c r="T8" s="43" t="str">
        <f>_xlfn.CONCAT(TEXT(SUMIFS(Table1[[AwayWon]:[AwayWon]], Table1[[GameIsOver]:[GameIsOver]],1,Table1[[AwayTeam]:[AwayTeam]],$A8, Table1[[HomeTeam]:[HomeTeam]], T$1) + SUMIFS(Table1[[HomeWon]:[HomeWon]], Table1[[GameIsOver]:[GameIsOver]],1,Table1[[HomeTeam]:[HomeTeam]],$A8, Table1[[AwayTeam]:[AwayTeam]], T$1),0), "-", TEXT(SUMIFS(Table1[[HomeWon]:[HomeWon]], Table1[[GameIsOver]:[GameIsOver]],1,Table1[[AwayTeam]:[AwayTeam]],$A8, Table1[[HomeTeam]:[HomeTeam]], T$1, Table1[[ActualResult]:[ActualResult]], "REG") + SUMIFS(Table1[[AwayWon]:[AwayWon]], Table1[[GameIsOver]:[GameIsOver]],1,Table1[[HomeTeam]:[HomeTeam]],$A8, Table1[[AwayTeam]:[AwayTeam]], T$1, Table1[[ActualResult]:[ActualResult]], "REG"),0), "-", TEXT(SUMIFS(Table1[[HomeWon]:[HomeWon]], Table1[[GameIsOver]:[GameIsOver]],1,Table1[[AwayTeam]:[AwayTeam]],$A8, Table1[[HomeTeam]:[HomeTeam]], T$1, Table1[[ActualResult]:[ActualResult]], "OT") + SUMIFS(Table1[[AwayWon]:[AwayWon]], Table1[[GameIsOver]:[GameIsOver]],1,Table1[[HomeTeam]:[HomeTeam]],$A8, Table1[[AwayTeam]:[AwayTeam]], T$1, Table1[[ActualResult]:[ActualResult]], "OT") + SUMIFS(Table1[[HomeWon]:[HomeWon]], Table1[[GameIsOver]:[GameIsOver]],1,Table1[[AwayTeam]:[AwayTeam]],$A8, Table1[[HomeTeam]:[HomeTeam]], T$1, Table1[[ActualResult]:[ActualResult]], "SO") + SUMIFS(Table1[[AwayWon]:[AwayWon]], Table1[[GameIsOver]:[GameIsOver]],1,Table1[[HomeTeam]:[HomeTeam]],$A8, Table1[[AwayTeam]:[AwayTeam]], T$1, Table1[[ActualResult]:[ActualResult]], "SO"),0))</f>
        <v>0-0-0</v>
      </c>
      <c r="U8" s="43" t="str">
        <f>_xlfn.CONCAT(TEXT(SUMIFS(Table1[[AwayWon]:[AwayWon]], Table1[[GameIsOver]:[GameIsOver]],1,Table1[[AwayTeam]:[AwayTeam]],$A8, Table1[[HomeTeam]:[HomeTeam]], U$1) + SUMIFS(Table1[[HomeWon]:[HomeWon]], Table1[[GameIsOver]:[GameIsOver]],1,Table1[[HomeTeam]:[HomeTeam]],$A8, Table1[[AwayTeam]:[AwayTeam]], U$1),0), "-", TEXT(SUMIFS(Table1[[HomeWon]:[HomeWon]], Table1[[GameIsOver]:[GameIsOver]],1,Table1[[AwayTeam]:[AwayTeam]],$A8, Table1[[HomeTeam]:[HomeTeam]], U$1, Table1[[ActualResult]:[ActualResult]], "REG") + SUMIFS(Table1[[AwayWon]:[AwayWon]], Table1[[GameIsOver]:[GameIsOver]],1,Table1[[HomeTeam]:[HomeTeam]],$A8, Table1[[AwayTeam]:[AwayTeam]], U$1, Table1[[ActualResult]:[ActualResult]], "REG"),0), "-", TEXT(SUMIFS(Table1[[HomeWon]:[HomeWon]], Table1[[GameIsOver]:[GameIsOver]],1,Table1[[AwayTeam]:[AwayTeam]],$A8, Table1[[HomeTeam]:[HomeTeam]], U$1, Table1[[ActualResult]:[ActualResult]], "OT") + SUMIFS(Table1[[AwayWon]:[AwayWon]], Table1[[GameIsOver]:[GameIsOver]],1,Table1[[HomeTeam]:[HomeTeam]],$A8, Table1[[AwayTeam]:[AwayTeam]], U$1, Table1[[ActualResult]:[ActualResult]], "OT") + SUMIFS(Table1[[HomeWon]:[HomeWon]], Table1[[GameIsOver]:[GameIsOver]],1,Table1[[AwayTeam]:[AwayTeam]],$A8, Table1[[HomeTeam]:[HomeTeam]], U$1, Table1[[ActualResult]:[ActualResult]], "SO") + SUMIFS(Table1[[AwayWon]:[AwayWon]], Table1[[GameIsOver]:[GameIsOver]],1,Table1[[HomeTeam]:[HomeTeam]],$A8, Table1[[AwayTeam]:[AwayTeam]], U$1, Table1[[ActualResult]:[ActualResult]], "SO"),0))</f>
        <v>0-0-0</v>
      </c>
      <c r="V8" s="43" t="str">
        <f>_xlfn.CONCAT(TEXT(SUMIFS(Table1[[AwayWon]:[AwayWon]], Table1[[GameIsOver]:[GameIsOver]],1,Table1[[AwayTeam]:[AwayTeam]],$A8, Table1[[HomeTeam]:[HomeTeam]], V$1) + SUMIFS(Table1[[HomeWon]:[HomeWon]], Table1[[GameIsOver]:[GameIsOver]],1,Table1[[HomeTeam]:[HomeTeam]],$A8, Table1[[AwayTeam]:[AwayTeam]], V$1),0), "-", TEXT(SUMIFS(Table1[[HomeWon]:[HomeWon]], Table1[[GameIsOver]:[GameIsOver]],1,Table1[[AwayTeam]:[AwayTeam]],$A8, Table1[[HomeTeam]:[HomeTeam]], V$1, Table1[[ActualResult]:[ActualResult]], "REG") + SUMIFS(Table1[[AwayWon]:[AwayWon]], Table1[[GameIsOver]:[GameIsOver]],1,Table1[[HomeTeam]:[HomeTeam]],$A8, Table1[[AwayTeam]:[AwayTeam]], V$1, Table1[[ActualResult]:[ActualResult]], "REG"),0), "-", TEXT(SUMIFS(Table1[[HomeWon]:[HomeWon]], Table1[[GameIsOver]:[GameIsOver]],1,Table1[[AwayTeam]:[AwayTeam]],$A8, Table1[[HomeTeam]:[HomeTeam]], V$1, Table1[[ActualResult]:[ActualResult]], "OT") + SUMIFS(Table1[[AwayWon]:[AwayWon]], Table1[[GameIsOver]:[GameIsOver]],1,Table1[[HomeTeam]:[HomeTeam]],$A8, Table1[[AwayTeam]:[AwayTeam]], V$1, Table1[[ActualResult]:[ActualResult]], "OT") + SUMIFS(Table1[[HomeWon]:[HomeWon]], Table1[[GameIsOver]:[GameIsOver]],1,Table1[[AwayTeam]:[AwayTeam]],$A8, Table1[[HomeTeam]:[HomeTeam]], V$1, Table1[[ActualResult]:[ActualResult]], "SO") + SUMIFS(Table1[[AwayWon]:[AwayWon]], Table1[[GameIsOver]:[GameIsOver]],1,Table1[[HomeTeam]:[HomeTeam]],$A8, Table1[[AwayTeam]:[AwayTeam]], V$1, Table1[[ActualResult]:[ActualResult]], "SO"),0))</f>
        <v>0-0-0</v>
      </c>
      <c r="W8" s="43" t="str">
        <f>_xlfn.CONCAT(TEXT(SUMIFS(Table1[[AwayWon]:[AwayWon]], Table1[[GameIsOver]:[GameIsOver]],1,Table1[[AwayTeam]:[AwayTeam]],$A8, Table1[[HomeTeam]:[HomeTeam]], W$1) + SUMIFS(Table1[[HomeWon]:[HomeWon]], Table1[[GameIsOver]:[GameIsOver]],1,Table1[[HomeTeam]:[HomeTeam]],$A8, Table1[[AwayTeam]:[AwayTeam]], W$1),0), "-", TEXT(SUMIFS(Table1[[HomeWon]:[HomeWon]], Table1[[GameIsOver]:[GameIsOver]],1,Table1[[AwayTeam]:[AwayTeam]],$A8, Table1[[HomeTeam]:[HomeTeam]], W$1, Table1[[ActualResult]:[ActualResult]], "REG") + SUMIFS(Table1[[AwayWon]:[AwayWon]], Table1[[GameIsOver]:[GameIsOver]],1,Table1[[HomeTeam]:[HomeTeam]],$A8, Table1[[AwayTeam]:[AwayTeam]], W$1, Table1[[ActualResult]:[ActualResult]], "REG"),0), "-", TEXT(SUMIFS(Table1[[HomeWon]:[HomeWon]], Table1[[GameIsOver]:[GameIsOver]],1,Table1[[AwayTeam]:[AwayTeam]],$A8, Table1[[HomeTeam]:[HomeTeam]], W$1, Table1[[ActualResult]:[ActualResult]], "OT") + SUMIFS(Table1[[AwayWon]:[AwayWon]], Table1[[GameIsOver]:[GameIsOver]],1,Table1[[HomeTeam]:[HomeTeam]],$A8, Table1[[AwayTeam]:[AwayTeam]], W$1, Table1[[ActualResult]:[ActualResult]], "OT") + SUMIFS(Table1[[HomeWon]:[HomeWon]], Table1[[GameIsOver]:[GameIsOver]],1,Table1[[AwayTeam]:[AwayTeam]],$A8, Table1[[HomeTeam]:[HomeTeam]], W$1, Table1[[ActualResult]:[ActualResult]], "SO") + SUMIFS(Table1[[AwayWon]:[AwayWon]], Table1[[GameIsOver]:[GameIsOver]],1,Table1[[HomeTeam]:[HomeTeam]],$A8, Table1[[AwayTeam]:[AwayTeam]], W$1, Table1[[ActualResult]:[ActualResult]], "SO"),0))</f>
        <v>0-0-0</v>
      </c>
      <c r="X8" s="43" t="str">
        <f>_xlfn.CONCAT(TEXT(SUMIFS(Table1[[AwayWon]:[AwayWon]], Table1[[GameIsOver]:[GameIsOver]],1,Table1[[AwayTeam]:[AwayTeam]],$A8, Table1[[HomeTeam]:[HomeTeam]], X$1) + SUMIFS(Table1[[HomeWon]:[HomeWon]], Table1[[GameIsOver]:[GameIsOver]],1,Table1[[HomeTeam]:[HomeTeam]],$A8, Table1[[AwayTeam]:[AwayTeam]], X$1),0), "-", TEXT(SUMIFS(Table1[[HomeWon]:[HomeWon]], Table1[[GameIsOver]:[GameIsOver]],1,Table1[[AwayTeam]:[AwayTeam]],$A8, Table1[[HomeTeam]:[HomeTeam]], X$1, Table1[[ActualResult]:[ActualResult]], "REG") + SUMIFS(Table1[[AwayWon]:[AwayWon]], Table1[[GameIsOver]:[GameIsOver]],1,Table1[[HomeTeam]:[HomeTeam]],$A8, Table1[[AwayTeam]:[AwayTeam]], X$1, Table1[[ActualResult]:[ActualResult]], "REG"),0), "-", TEXT(SUMIFS(Table1[[HomeWon]:[HomeWon]], Table1[[GameIsOver]:[GameIsOver]],1,Table1[[AwayTeam]:[AwayTeam]],$A8, Table1[[HomeTeam]:[HomeTeam]], X$1, Table1[[ActualResult]:[ActualResult]], "OT") + SUMIFS(Table1[[AwayWon]:[AwayWon]], Table1[[GameIsOver]:[GameIsOver]],1,Table1[[HomeTeam]:[HomeTeam]],$A8, Table1[[AwayTeam]:[AwayTeam]], X$1, Table1[[ActualResult]:[ActualResult]], "OT") + SUMIFS(Table1[[HomeWon]:[HomeWon]], Table1[[GameIsOver]:[GameIsOver]],1,Table1[[AwayTeam]:[AwayTeam]],$A8, Table1[[HomeTeam]:[HomeTeam]], X$1, Table1[[ActualResult]:[ActualResult]], "SO") + SUMIFS(Table1[[AwayWon]:[AwayWon]], Table1[[GameIsOver]:[GameIsOver]],1,Table1[[HomeTeam]:[HomeTeam]],$A8, Table1[[AwayTeam]:[AwayTeam]], X$1, Table1[[ActualResult]:[ActualResult]], "SO"),0))</f>
        <v>0-0-0</v>
      </c>
      <c r="Y8" s="45" t="str">
        <f>_xlfn.CONCAT(TEXT(SUMIFS(Table1[[AwayWon]:[AwayWon]], Table1[[GameIsOver]:[GameIsOver]],1,Table1[[AwayTeam]:[AwayTeam]],$A8, Table1[[HomeTeam]:[HomeTeam]], Y$1) + SUMIFS(Table1[[HomeWon]:[HomeWon]], Table1[[GameIsOver]:[GameIsOver]],1,Table1[[HomeTeam]:[HomeTeam]],$A8, Table1[[AwayTeam]:[AwayTeam]], Y$1),0), "-", TEXT(SUMIFS(Table1[[HomeWon]:[HomeWon]], Table1[[GameIsOver]:[GameIsOver]],1,Table1[[AwayTeam]:[AwayTeam]],$A8, Table1[[HomeTeam]:[HomeTeam]], Y$1, Table1[[ActualResult]:[ActualResult]], "REG") + SUMIFS(Table1[[AwayWon]:[AwayWon]], Table1[[GameIsOver]:[GameIsOver]],1,Table1[[HomeTeam]:[HomeTeam]],$A8, Table1[[AwayTeam]:[AwayTeam]], Y$1, Table1[[ActualResult]:[ActualResult]], "REG"),0), "-", TEXT(SUMIFS(Table1[[HomeWon]:[HomeWon]], Table1[[GameIsOver]:[GameIsOver]],1,Table1[[AwayTeam]:[AwayTeam]],$A8, Table1[[HomeTeam]:[HomeTeam]], Y$1, Table1[[ActualResult]:[ActualResult]], "OT") + SUMIFS(Table1[[AwayWon]:[AwayWon]], Table1[[GameIsOver]:[GameIsOver]],1,Table1[[HomeTeam]:[HomeTeam]],$A8, Table1[[AwayTeam]:[AwayTeam]], Y$1, Table1[[ActualResult]:[ActualResult]], "OT") + SUMIFS(Table1[[HomeWon]:[HomeWon]], Table1[[GameIsOver]:[GameIsOver]],1,Table1[[AwayTeam]:[AwayTeam]],$A8, Table1[[HomeTeam]:[HomeTeam]], Y$1, Table1[[ActualResult]:[ActualResult]], "SO") + SUMIFS(Table1[[AwayWon]:[AwayWon]], Table1[[GameIsOver]:[GameIsOver]],1,Table1[[HomeTeam]:[HomeTeam]],$A8, Table1[[AwayTeam]:[AwayTeam]], Y$1, Table1[[ActualResult]:[ActualResult]], "SO"),0))</f>
        <v>0-0-0</v>
      </c>
      <c r="Z8" s="43" t="str">
        <f>_xlfn.CONCAT(TEXT(SUMIFS(Table1[[AwayWon]:[AwayWon]], Table1[[GameIsOver]:[GameIsOver]],1,Table1[[AwayTeam]:[AwayTeam]],$A8, Table1[[HomeTeam]:[HomeTeam]], Z$1) + SUMIFS(Table1[[HomeWon]:[HomeWon]], Table1[[GameIsOver]:[GameIsOver]],1,Table1[[HomeTeam]:[HomeTeam]],$A8, Table1[[AwayTeam]:[AwayTeam]], Z$1),0), "-", TEXT(SUMIFS(Table1[[HomeWon]:[HomeWon]], Table1[[GameIsOver]:[GameIsOver]],1,Table1[[AwayTeam]:[AwayTeam]],$A8, Table1[[HomeTeam]:[HomeTeam]], Z$1, Table1[[ActualResult]:[ActualResult]], "REG") + SUMIFS(Table1[[AwayWon]:[AwayWon]], Table1[[GameIsOver]:[GameIsOver]],1,Table1[[HomeTeam]:[HomeTeam]],$A8, Table1[[AwayTeam]:[AwayTeam]], Z$1, Table1[[ActualResult]:[ActualResult]], "REG"),0), "-", TEXT(SUMIFS(Table1[[HomeWon]:[HomeWon]], Table1[[GameIsOver]:[GameIsOver]],1,Table1[[AwayTeam]:[AwayTeam]],$A8, Table1[[HomeTeam]:[HomeTeam]], Z$1, Table1[[ActualResult]:[ActualResult]], "OT") + SUMIFS(Table1[[AwayWon]:[AwayWon]], Table1[[GameIsOver]:[GameIsOver]],1,Table1[[HomeTeam]:[HomeTeam]],$A8, Table1[[AwayTeam]:[AwayTeam]], Z$1, Table1[[ActualResult]:[ActualResult]], "OT") + SUMIFS(Table1[[HomeWon]:[HomeWon]], Table1[[GameIsOver]:[GameIsOver]],1,Table1[[AwayTeam]:[AwayTeam]],$A8, Table1[[HomeTeam]:[HomeTeam]], Z$1, Table1[[ActualResult]:[ActualResult]], "SO") + SUMIFS(Table1[[AwayWon]:[AwayWon]], Table1[[GameIsOver]:[GameIsOver]],1,Table1[[HomeTeam]:[HomeTeam]],$A8, Table1[[AwayTeam]:[AwayTeam]], Z$1, Table1[[ActualResult]:[ActualResult]], "SO"),0))</f>
        <v>0-0-0</v>
      </c>
      <c r="AA8" s="43" t="str">
        <f>_xlfn.CONCAT(TEXT(SUMIFS(Table1[[AwayWon]:[AwayWon]], Table1[[GameIsOver]:[GameIsOver]],1,Table1[[AwayTeam]:[AwayTeam]],$A8, Table1[[HomeTeam]:[HomeTeam]], AA$1) + SUMIFS(Table1[[HomeWon]:[HomeWon]], Table1[[GameIsOver]:[GameIsOver]],1,Table1[[HomeTeam]:[HomeTeam]],$A8, Table1[[AwayTeam]:[AwayTeam]], AA$1),0), "-", TEXT(SUMIFS(Table1[[HomeWon]:[HomeWon]], Table1[[GameIsOver]:[GameIsOver]],1,Table1[[AwayTeam]:[AwayTeam]],$A8, Table1[[HomeTeam]:[HomeTeam]], AA$1, Table1[[ActualResult]:[ActualResult]], "REG") + SUMIFS(Table1[[AwayWon]:[AwayWon]], Table1[[GameIsOver]:[GameIsOver]],1,Table1[[HomeTeam]:[HomeTeam]],$A8, Table1[[AwayTeam]:[AwayTeam]], AA$1, Table1[[ActualResult]:[ActualResult]], "REG"),0), "-", TEXT(SUMIFS(Table1[[HomeWon]:[HomeWon]], Table1[[GameIsOver]:[GameIsOver]],1,Table1[[AwayTeam]:[AwayTeam]],$A8, Table1[[HomeTeam]:[HomeTeam]], AA$1, Table1[[ActualResult]:[ActualResult]], "OT") + SUMIFS(Table1[[AwayWon]:[AwayWon]], Table1[[GameIsOver]:[GameIsOver]],1,Table1[[HomeTeam]:[HomeTeam]],$A8, Table1[[AwayTeam]:[AwayTeam]], AA$1, Table1[[ActualResult]:[ActualResult]], "OT") + SUMIFS(Table1[[HomeWon]:[HomeWon]], Table1[[GameIsOver]:[GameIsOver]],1,Table1[[AwayTeam]:[AwayTeam]],$A8, Table1[[HomeTeam]:[HomeTeam]], AA$1, Table1[[ActualResult]:[ActualResult]], "SO") + SUMIFS(Table1[[AwayWon]:[AwayWon]], Table1[[GameIsOver]:[GameIsOver]],1,Table1[[HomeTeam]:[HomeTeam]],$A8, Table1[[AwayTeam]:[AwayTeam]], AA$1, Table1[[ActualResult]:[ActualResult]], "SO"),0))</f>
        <v>0-0-0</v>
      </c>
      <c r="AB8" s="43" t="str">
        <f>_xlfn.CONCAT(TEXT(SUMIFS(Table1[[AwayWon]:[AwayWon]], Table1[[GameIsOver]:[GameIsOver]],1,Table1[[AwayTeam]:[AwayTeam]],$A8, Table1[[HomeTeam]:[HomeTeam]], AB$1) + SUMIFS(Table1[[HomeWon]:[HomeWon]], Table1[[GameIsOver]:[GameIsOver]],1,Table1[[HomeTeam]:[HomeTeam]],$A8, Table1[[AwayTeam]:[AwayTeam]], AB$1),0), "-", TEXT(SUMIFS(Table1[[HomeWon]:[HomeWon]], Table1[[GameIsOver]:[GameIsOver]],1,Table1[[AwayTeam]:[AwayTeam]],$A8, Table1[[HomeTeam]:[HomeTeam]], AB$1, Table1[[ActualResult]:[ActualResult]], "REG") + SUMIFS(Table1[[AwayWon]:[AwayWon]], Table1[[GameIsOver]:[GameIsOver]],1,Table1[[HomeTeam]:[HomeTeam]],$A8, Table1[[AwayTeam]:[AwayTeam]], AB$1, Table1[[ActualResult]:[ActualResult]], "REG"),0), "-", TEXT(SUMIFS(Table1[[HomeWon]:[HomeWon]], Table1[[GameIsOver]:[GameIsOver]],1,Table1[[AwayTeam]:[AwayTeam]],$A8, Table1[[HomeTeam]:[HomeTeam]], AB$1, Table1[[ActualResult]:[ActualResult]], "OT") + SUMIFS(Table1[[AwayWon]:[AwayWon]], Table1[[GameIsOver]:[GameIsOver]],1,Table1[[HomeTeam]:[HomeTeam]],$A8, Table1[[AwayTeam]:[AwayTeam]], AB$1, Table1[[ActualResult]:[ActualResult]], "OT") + SUMIFS(Table1[[HomeWon]:[HomeWon]], Table1[[GameIsOver]:[GameIsOver]],1,Table1[[AwayTeam]:[AwayTeam]],$A8, Table1[[HomeTeam]:[HomeTeam]], AB$1, Table1[[ActualResult]:[ActualResult]], "SO") + SUMIFS(Table1[[AwayWon]:[AwayWon]], Table1[[GameIsOver]:[GameIsOver]],1,Table1[[HomeTeam]:[HomeTeam]],$A8, Table1[[AwayTeam]:[AwayTeam]], AB$1, Table1[[ActualResult]:[ActualResult]], "SO"),0))</f>
        <v>0-0-0</v>
      </c>
      <c r="AC8" s="43" t="str">
        <f>_xlfn.CONCAT(TEXT(SUMIFS(Table1[[AwayWon]:[AwayWon]], Table1[[GameIsOver]:[GameIsOver]],1,Table1[[AwayTeam]:[AwayTeam]],$A8, Table1[[HomeTeam]:[HomeTeam]], AC$1) + SUMIFS(Table1[[HomeWon]:[HomeWon]], Table1[[GameIsOver]:[GameIsOver]],1,Table1[[HomeTeam]:[HomeTeam]],$A8, Table1[[AwayTeam]:[AwayTeam]], AC$1),0), "-", TEXT(SUMIFS(Table1[[HomeWon]:[HomeWon]], Table1[[GameIsOver]:[GameIsOver]],1,Table1[[AwayTeam]:[AwayTeam]],$A8, Table1[[HomeTeam]:[HomeTeam]], AC$1, Table1[[ActualResult]:[ActualResult]], "REG") + SUMIFS(Table1[[AwayWon]:[AwayWon]], Table1[[GameIsOver]:[GameIsOver]],1,Table1[[HomeTeam]:[HomeTeam]],$A8, Table1[[AwayTeam]:[AwayTeam]], AC$1, Table1[[ActualResult]:[ActualResult]], "REG"),0), "-", TEXT(SUMIFS(Table1[[HomeWon]:[HomeWon]], Table1[[GameIsOver]:[GameIsOver]],1,Table1[[AwayTeam]:[AwayTeam]],$A8, Table1[[HomeTeam]:[HomeTeam]], AC$1, Table1[[ActualResult]:[ActualResult]], "OT") + SUMIFS(Table1[[AwayWon]:[AwayWon]], Table1[[GameIsOver]:[GameIsOver]],1,Table1[[HomeTeam]:[HomeTeam]],$A8, Table1[[AwayTeam]:[AwayTeam]], AC$1, Table1[[ActualResult]:[ActualResult]], "OT") + SUMIFS(Table1[[HomeWon]:[HomeWon]], Table1[[GameIsOver]:[GameIsOver]],1,Table1[[AwayTeam]:[AwayTeam]],$A8, Table1[[HomeTeam]:[HomeTeam]], AC$1, Table1[[ActualResult]:[ActualResult]], "SO") + SUMIFS(Table1[[AwayWon]:[AwayWon]], Table1[[GameIsOver]:[GameIsOver]],1,Table1[[HomeTeam]:[HomeTeam]],$A8, Table1[[AwayTeam]:[AwayTeam]], AC$1, Table1[[ActualResult]:[ActualResult]], "SO"),0))</f>
        <v>0-0-0</v>
      </c>
      <c r="AD8" s="43" t="str">
        <f>_xlfn.CONCAT(TEXT(SUMIFS(Table1[[AwayWon]:[AwayWon]], Table1[[GameIsOver]:[GameIsOver]],1,Table1[[AwayTeam]:[AwayTeam]],$A8, Table1[[HomeTeam]:[HomeTeam]], AD$1) + SUMIFS(Table1[[HomeWon]:[HomeWon]], Table1[[GameIsOver]:[GameIsOver]],1,Table1[[HomeTeam]:[HomeTeam]],$A8, Table1[[AwayTeam]:[AwayTeam]], AD$1),0), "-", TEXT(SUMIFS(Table1[[HomeWon]:[HomeWon]], Table1[[GameIsOver]:[GameIsOver]],1,Table1[[AwayTeam]:[AwayTeam]],$A8, Table1[[HomeTeam]:[HomeTeam]], AD$1, Table1[[ActualResult]:[ActualResult]], "REG") + SUMIFS(Table1[[AwayWon]:[AwayWon]], Table1[[GameIsOver]:[GameIsOver]],1,Table1[[HomeTeam]:[HomeTeam]],$A8, Table1[[AwayTeam]:[AwayTeam]], AD$1, Table1[[ActualResult]:[ActualResult]], "REG"),0), "-", TEXT(SUMIFS(Table1[[HomeWon]:[HomeWon]], Table1[[GameIsOver]:[GameIsOver]],1,Table1[[AwayTeam]:[AwayTeam]],$A8, Table1[[HomeTeam]:[HomeTeam]], AD$1, Table1[[ActualResult]:[ActualResult]], "OT") + SUMIFS(Table1[[AwayWon]:[AwayWon]], Table1[[GameIsOver]:[GameIsOver]],1,Table1[[HomeTeam]:[HomeTeam]],$A8, Table1[[AwayTeam]:[AwayTeam]], AD$1, Table1[[ActualResult]:[ActualResult]], "OT") + SUMIFS(Table1[[HomeWon]:[HomeWon]], Table1[[GameIsOver]:[GameIsOver]],1,Table1[[AwayTeam]:[AwayTeam]],$A8, Table1[[HomeTeam]:[HomeTeam]], AD$1, Table1[[ActualResult]:[ActualResult]], "SO") + SUMIFS(Table1[[AwayWon]:[AwayWon]], Table1[[GameIsOver]:[GameIsOver]],1,Table1[[HomeTeam]:[HomeTeam]],$A8, Table1[[AwayTeam]:[AwayTeam]], AD$1, Table1[[ActualResult]:[ActualResult]], "SO"),0))</f>
        <v>0-0-0</v>
      </c>
      <c r="AE8" s="43" t="str">
        <f>_xlfn.CONCAT(TEXT(SUMIFS(Table1[[AwayWon]:[AwayWon]], Table1[[GameIsOver]:[GameIsOver]],1,Table1[[AwayTeam]:[AwayTeam]],$A8, Table1[[HomeTeam]:[HomeTeam]], AE$1) + SUMIFS(Table1[[HomeWon]:[HomeWon]], Table1[[GameIsOver]:[GameIsOver]],1,Table1[[HomeTeam]:[HomeTeam]],$A8, Table1[[AwayTeam]:[AwayTeam]], AE$1),0), "-", TEXT(SUMIFS(Table1[[HomeWon]:[HomeWon]], Table1[[GameIsOver]:[GameIsOver]],1,Table1[[AwayTeam]:[AwayTeam]],$A8, Table1[[HomeTeam]:[HomeTeam]], AE$1, Table1[[ActualResult]:[ActualResult]], "REG") + SUMIFS(Table1[[AwayWon]:[AwayWon]], Table1[[GameIsOver]:[GameIsOver]],1,Table1[[HomeTeam]:[HomeTeam]],$A8, Table1[[AwayTeam]:[AwayTeam]], AE$1, Table1[[ActualResult]:[ActualResult]], "REG"),0), "-", TEXT(SUMIFS(Table1[[HomeWon]:[HomeWon]], Table1[[GameIsOver]:[GameIsOver]],1,Table1[[AwayTeam]:[AwayTeam]],$A8, Table1[[HomeTeam]:[HomeTeam]], AE$1, Table1[[ActualResult]:[ActualResult]], "OT") + SUMIFS(Table1[[AwayWon]:[AwayWon]], Table1[[GameIsOver]:[GameIsOver]],1,Table1[[HomeTeam]:[HomeTeam]],$A8, Table1[[AwayTeam]:[AwayTeam]], AE$1, Table1[[ActualResult]:[ActualResult]], "OT") + SUMIFS(Table1[[HomeWon]:[HomeWon]], Table1[[GameIsOver]:[GameIsOver]],1,Table1[[AwayTeam]:[AwayTeam]],$A8, Table1[[HomeTeam]:[HomeTeam]], AE$1, Table1[[ActualResult]:[ActualResult]], "SO") + SUMIFS(Table1[[AwayWon]:[AwayWon]], Table1[[GameIsOver]:[GameIsOver]],1,Table1[[HomeTeam]:[HomeTeam]],$A8, Table1[[AwayTeam]:[AwayTeam]], AE$1, Table1[[ActualResult]:[ActualResult]], "SO"),0))</f>
        <v>0-0-0</v>
      </c>
      <c r="AF8" s="43" t="str">
        <f>_xlfn.CONCAT(TEXT(SUMIFS(Table1[[AwayWon]:[AwayWon]], Table1[[GameIsOver]:[GameIsOver]],1,Table1[[AwayTeam]:[AwayTeam]],$A8, Table1[[HomeTeam]:[HomeTeam]], AF$1) + SUMIFS(Table1[[HomeWon]:[HomeWon]], Table1[[GameIsOver]:[GameIsOver]],1,Table1[[HomeTeam]:[HomeTeam]],$A8, Table1[[AwayTeam]:[AwayTeam]], AF$1),0), "-", TEXT(SUMIFS(Table1[[HomeWon]:[HomeWon]], Table1[[GameIsOver]:[GameIsOver]],1,Table1[[AwayTeam]:[AwayTeam]],$A8, Table1[[HomeTeam]:[HomeTeam]], AF$1, Table1[[ActualResult]:[ActualResult]], "REG") + SUMIFS(Table1[[AwayWon]:[AwayWon]], Table1[[GameIsOver]:[GameIsOver]],1,Table1[[HomeTeam]:[HomeTeam]],$A8, Table1[[AwayTeam]:[AwayTeam]], AF$1, Table1[[ActualResult]:[ActualResult]], "REG"),0), "-", TEXT(SUMIFS(Table1[[HomeWon]:[HomeWon]], Table1[[GameIsOver]:[GameIsOver]],1,Table1[[AwayTeam]:[AwayTeam]],$A8, Table1[[HomeTeam]:[HomeTeam]], AF$1, Table1[[ActualResult]:[ActualResult]], "OT") + SUMIFS(Table1[[AwayWon]:[AwayWon]], Table1[[GameIsOver]:[GameIsOver]],1,Table1[[HomeTeam]:[HomeTeam]],$A8, Table1[[AwayTeam]:[AwayTeam]], AF$1, Table1[[ActualResult]:[ActualResult]], "OT") + SUMIFS(Table1[[HomeWon]:[HomeWon]], Table1[[GameIsOver]:[GameIsOver]],1,Table1[[AwayTeam]:[AwayTeam]],$A8, Table1[[HomeTeam]:[HomeTeam]], AF$1, Table1[[ActualResult]:[ActualResult]], "SO") + SUMIFS(Table1[[AwayWon]:[AwayWon]], Table1[[GameIsOver]:[GameIsOver]],1,Table1[[HomeTeam]:[HomeTeam]],$A8, Table1[[AwayTeam]:[AwayTeam]], AF$1, Table1[[ActualResult]:[ActualResult]], "SO"),0))</f>
        <v>0-0-0</v>
      </c>
      <c r="AG8" s="43" t="str">
        <f>_xlfn.CONCAT(TEXT(SUMIFS(Table1[[AwayWon]:[AwayWon]], Table1[[GameIsOver]:[GameIsOver]],1,Table1[[AwayTeam]:[AwayTeam]],$A8, Table1[[HomeTeam]:[HomeTeam]], AG$1) + SUMIFS(Table1[[HomeWon]:[HomeWon]], Table1[[GameIsOver]:[GameIsOver]],1,Table1[[HomeTeam]:[HomeTeam]],$A8, Table1[[AwayTeam]:[AwayTeam]], AG$1),0), "-", TEXT(SUMIFS(Table1[[HomeWon]:[HomeWon]], Table1[[GameIsOver]:[GameIsOver]],1,Table1[[AwayTeam]:[AwayTeam]],$A8, Table1[[HomeTeam]:[HomeTeam]], AG$1, Table1[[ActualResult]:[ActualResult]], "REG") + SUMIFS(Table1[[AwayWon]:[AwayWon]], Table1[[GameIsOver]:[GameIsOver]],1,Table1[[HomeTeam]:[HomeTeam]],$A8, Table1[[AwayTeam]:[AwayTeam]], AG$1, Table1[[ActualResult]:[ActualResult]], "REG"),0), "-", TEXT(SUMIFS(Table1[[HomeWon]:[HomeWon]], Table1[[GameIsOver]:[GameIsOver]],1,Table1[[AwayTeam]:[AwayTeam]],$A8, Table1[[HomeTeam]:[HomeTeam]], AG$1, Table1[[ActualResult]:[ActualResult]], "OT") + SUMIFS(Table1[[AwayWon]:[AwayWon]], Table1[[GameIsOver]:[GameIsOver]],1,Table1[[HomeTeam]:[HomeTeam]],$A8, Table1[[AwayTeam]:[AwayTeam]], AG$1, Table1[[ActualResult]:[ActualResult]], "OT") + SUMIFS(Table1[[HomeWon]:[HomeWon]], Table1[[GameIsOver]:[GameIsOver]],1,Table1[[AwayTeam]:[AwayTeam]],$A8, Table1[[HomeTeam]:[HomeTeam]], AG$1, Table1[[ActualResult]:[ActualResult]], "SO") + SUMIFS(Table1[[AwayWon]:[AwayWon]], Table1[[GameIsOver]:[GameIsOver]],1,Table1[[HomeTeam]:[HomeTeam]],$A8, Table1[[AwayTeam]:[AwayTeam]], AG$1, Table1[[ActualResult]:[ActualResult]], "SO"),0))</f>
        <v>0-0-0</v>
      </c>
    </row>
    <row r="9" spans="1:33" ht="15.75" thickBot="1" x14ac:dyDescent="0.3">
      <c r="A9" s="18" t="s">
        <v>25</v>
      </c>
      <c r="B9" s="46" t="str">
        <f>_xlfn.CONCAT(TEXT(SUMIFS(Table1[[AwayWon]:[AwayWon]], Table1[[GameIsOver]:[GameIsOver]],1,Table1[[AwayTeam]:[AwayTeam]],$A9, Table1[[HomeTeam]:[HomeTeam]], B$1) + SUMIFS(Table1[[HomeWon]:[HomeWon]], Table1[[GameIsOver]:[GameIsOver]],1,Table1[[HomeTeam]:[HomeTeam]],$A9, Table1[[AwayTeam]:[AwayTeam]], B$1),0), "-", TEXT(SUMIFS(Table1[[HomeWon]:[HomeWon]], Table1[[GameIsOver]:[GameIsOver]],1,Table1[[AwayTeam]:[AwayTeam]],$A9, Table1[[HomeTeam]:[HomeTeam]], B$1, Table1[[ActualResult]:[ActualResult]], "REG") + SUMIFS(Table1[[AwayWon]:[AwayWon]], Table1[[GameIsOver]:[GameIsOver]],1,Table1[[HomeTeam]:[HomeTeam]],$A9, Table1[[AwayTeam]:[AwayTeam]], B$1, Table1[[ActualResult]:[ActualResult]], "REG"),0), "-", TEXT(SUMIFS(Table1[[HomeWon]:[HomeWon]], Table1[[GameIsOver]:[GameIsOver]],1,Table1[[AwayTeam]:[AwayTeam]],$A9, Table1[[HomeTeam]:[HomeTeam]], B$1, Table1[[ActualResult]:[ActualResult]], "OT") + SUMIFS(Table1[[AwayWon]:[AwayWon]], Table1[[GameIsOver]:[GameIsOver]],1,Table1[[HomeTeam]:[HomeTeam]],$A9, Table1[[AwayTeam]:[AwayTeam]], B$1, Table1[[ActualResult]:[ActualResult]], "OT") + SUMIFS(Table1[[HomeWon]:[HomeWon]], Table1[[GameIsOver]:[GameIsOver]],1,Table1[[AwayTeam]:[AwayTeam]],$A9, Table1[[HomeTeam]:[HomeTeam]], B$1, Table1[[ActualResult]:[ActualResult]], "SO") + SUMIFS(Table1[[AwayWon]:[AwayWon]], Table1[[GameIsOver]:[GameIsOver]],1,Table1[[HomeTeam]:[HomeTeam]],$A9, Table1[[AwayTeam]:[AwayTeam]], B$1, Table1[[ActualResult]:[ActualResult]], "SO"),0))</f>
        <v>0-0-0</v>
      </c>
      <c r="C9" s="47" t="str">
        <f>_xlfn.CONCAT(TEXT(SUMIFS(Table1[[AwayWon]:[AwayWon]], Table1[[GameIsOver]:[GameIsOver]],1,Table1[[AwayTeam]:[AwayTeam]],$A9, Table1[[HomeTeam]:[HomeTeam]], C$1) + SUMIFS(Table1[[HomeWon]:[HomeWon]], Table1[[GameIsOver]:[GameIsOver]],1,Table1[[HomeTeam]:[HomeTeam]],$A9, Table1[[AwayTeam]:[AwayTeam]], C$1),0), "-", TEXT(SUMIFS(Table1[[HomeWon]:[HomeWon]], Table1[[GameIsOver]:[GameIsOver]],1,Table1[[AwayTeam]:[AwayTeam]],$A9, Table1[[HomeTeam]:[HomeTeam]], C$1, Table1[[ActualResult]:[ActualResult]], "REG") + SUMIFS(Table1[[AwayWon]:[AwayWon]], Table1[[GameIsOver]:[GameIsOver]],1,Table1[[HomeTeam]:[HomeTeam]],$A9, Table1[[AwayTeam]:[AwayTeam]], C$1, Table1[[ActualResult]:[ActualResult]], "REG"),0), "-", TEXT(SUMIFS(Table1[[HomeWon]:[HomeWon]], Table1[[GameIsOver]:[GameIsOver]],1,Table1[[AwayTeam]:[AwayTeam]],$A9, Table1[[HomeTeam]:[HomeTeam]], C$1, Table1[[ActualResult]:[ActualResult]], "OT") + SUMIFS(Table1[[AwayWon]:[AwayWon]], Table1[[GameIsOver]:[GameIsOver]],1,Table1[[HomeTeam]:[HomeTeam]],$A9, Table1[[AwayTeam]:[AwayTeam]], C$1, Table1[[ActualResult]:[ActualResult]], "OT") + SUMIFS(Table1[[HomeWon]:[HomeWon]], Table1[[GameIsOver]:[GameIsOver]],1,Table1[[AwayTeam]:[AwayTeam]],$A9, Table1[[HomeTeam]:[HomeTeam]], C$1, Table1[[ActualResult]:[ActualResult]], "SO") + SUMIFS(Table1[[AwayWon]:[AwayWon]], Table1[[GameIsOver]:[GameIsOver]],1,Table1[[HomeTeam]:[HomeTeam]],$A9, Table1[[AwayTeam]:[AwayTeam]], C$1, Table1[[ActualResult]:[ActualResult]], "SO"),0))</f>
        <v>0-0-0</v>
      </c>
      <c r="D9" s="47" t="str">
        <f>_xlfn.CONCAT(TEXT(SUMIFS(Table1[[AwayWon]:[AwayWon]], Table1[[GameIsOver]:[GameIsOver]],1,Table1[[AwayTeam]:[AwayTeam]],$A9, Table1[[HomeTeam]:[HomeTeam]], D$1) + SUMIFS(Table1[[HomeWon]:[HomeWon]], Table1[[GameIsOver]:[GameIsOver]],1,Table1[[HomeTeam]:[HomeTeam]],$A9, Table1[[AwayTeam]:[AwayTeam]], D$1),0), "-", TEXT(SUMIFS(Table1[[HomeWon]:[HomeWon]], Table1[[GameIsOver]:[GameIsOver]],1,Table1[[AwayTeam]:[AwayTeam]],$A9, Table1[[HomeTeam]:[HomeTeam]], D$1, Table1[[ActualResult]:[ActualResult]], "REG") + SUMIFS(Table1[[AwayWon]:[AwayWon]], Table1[[GameIsOver]:[GameIsOver]],1,Table1[[HomeTeam]:[HomeTeam]],$A9, Table1[[AwayTeam]:[AwayTeam]], D$1, Table1[[ActualResult]:[ActualResult]], "REG"),0), "-", TEXT(SUMIFS(Table1[[HomeWon]:[HomeWon]], Table1[[GameIsOver]:[GameIsOver]],1,Table1[[AwayTeam]:[AwayTeam]],$A9, Table1[[HomeTeam]:[HomeTeam]], D$1, Table1[[ActualResult]:[ActualResult]], "OT") + SUMIFS(Table1[[AwayWon]:[AwayWon]], Table1[[GameIsOver]:[GameIsOver]],1,Table1[[HomeTeam]:[HomeTeam]],$A9, Table1[[AwayTeam]:[AwayTeam]], D$1, Table1[[ActualResult]:[ActualResult]], "OT") + SUMIFS(Table1[[HomeWon]:[HomeWon]], Table1[[GameIsOver]:[GameIsOver]],1,Table1[[AwayTeam]:[AwayTeam]],$A9, Table1[[HomeTeam]:[HomeTeam]], D$1, Table1[[ActualResult]:[ActualResult]], "SO") + SUMIFS(Table1[[AwayWon]:[AwayWon]], Table1[[GameIsOver]:[GameIsOver]],1,Table1[[HomeTeam]:[HomeTeam]],$A9, Table1[[AwayTeam]:[AwayTeam]], D$1, Table1[[ActualResult]:[ActualResult]], "SO"),0))</f>
        <v>0-0-0</v>
      </c>
      <c r="E9" s="47" t="str">
        <f>_xlfn.CONCAT(TEXT(SUMIFS(Table1[[AwayWon]:[AwayWon]], Table1[[GameIsOver]:[GameIsOver]],1,Table1[[AwayTeam]:[AwayTeam]],$A9, Table1[[HomeTeam]:[HomeTeam]], E$1) + SUMIFS(Table1[[HomeWon]:[HomeWon]], Table1[[GameIsOver]:[GameIsOver]],1,Table1[[HomeTeam]:[HomeTeam]],$A9, Table1[[AwayTeam]:[AwayTeam]], E$1),0), "-", TEXT(SUMIFS(Table1[[HomeWon]:[HomeWon]], Table1[[GameIsOver]:[GameIsOver]],1,Table1[[AwayTeam]:[AwayTeam]],$A9, Table1[[HomeTeam]:[HomeTeam]], E$1, Table1[[ActualResult]:[ActualResult]], "REG") + SUMIFS(Table1[[AwayWon]:[AwayWon]], Table1[[GameIsOver]:[GameIsOver]],1,Table1[[HomeTeam]:[HomeTeam]],$A9, Table1[[AwayTeam]:[AwayTeam]], E$1, Table1[[ActualResult]:[ActualResult]], "REG"),0), "-", TEXT(SUMIFS(Table1[[HomeWon]:[HomeWon]], Table1[[GameIsOver]:[GameIsOver]],1,Table1[[AwayTeam]:[AwayTeam]],$A9, Table1[[HomeTeam]:[HomeTeam]], E$1, Table1[[ActualResult]:[ActualResult]], "OT") + SUMIFS(Table1[[AwayWon]:[AwayWon]], Table1[[GameIsOver]:[GameIsOver]],1,Table1[[HomeTeam]:[HomeTeam]],$A9, Table1[[AwayTeam]:[AwayTeam]], E$1, Table1[[ActualResult]:[ActualResult]], "OT") + SUMIFS(Table1[[HomeWon]:[HomeWon]], Table1[[GameIsOver]:[GameIsOver]],1,Table1[[AwayTeam]:[AwayTeam]],$A9, Table1[[HomeTeam]:[HomeTeam]], E$1, Table1[[ActualResult]:[ActualResult]], "SO") + SUMIFS(Table1[[AwayWon]:[AwayWon]], Table1[[GameIsOver]:[GameIsOver]],1,Table1[[HomeTeam]:[HomeTeam]],$A9, Table1[[AwayTeam]:[AwayTeam]], E$1, Table1[[ActualResult]:[ActualResult]], "SO"),0))</f>
        <v>0-0-0</v>
      </c>
      <c r="F9" s="47" t="str">
        <f>_xlfn.CONCAT(TEXT(SUMIFS(Table1[[AwayWon]:[AwayWon]], Table1[[GameIsOver]:[GameIsOver]],1,Table1[[AwayTeam]:[AwayTeam]],$A9, Table1[[HomeTeam]:[HomeTeam]], F$1) + SUMIFS(Table1[[HomeWon]:[HomeWon]], Table1[[GameIsOver]:[GameIsOver]],1,Table1[[HomeTeam]:[HomeTeam]],$A9, Table1[[AwayTeam]:[AwayTeam]], F$1),0), "-", TEXT(SUMIFS(Table1[[HomeWon]:[HomeWon]], Table1[[GameIsOver]:[GameIsOver]],1,Table1[[AwayTeam]:[AwayTeam]],$A9, Table1[[HomeTeam]:[HomeTeam]], F$1, Table1[[ActualResult]:[ActualResult]], "REG") + SUMIFS(Table1[[AwayWon]:[AwayWon]], Table1[[GameIsOver]:[GameIsOver]],1,Table1[[HomeTeam]:[HomeTeam]],$A9, Table1[[AwayTeam]:[AwayTeam]], F$1, Table1[[ActualResult]:[ActualResult]], "REG"),0), "-", TEXT(SUMIFS(Table1[[HomeWon]:[HomeWon]], Table1[[GameIsOver]:[GameIsOver]],1,Table1[[AwayTeam]:[AwayTeam]],$A9, Table1[[HomeTeam]:[HomeTeam]], F$1, Table1[[ActualResult]:[ActualResult]], "OT") + SUMIFS(Table1[[AwayWon]:[AwayWon]], Table1[[GameIsOver]:[GameIsOver]],1,Table1[[HomeTeam]:[HomeTeam]],$A9, Table1[[AwayTeam]:[AwayTeam]], F$1, Table1[[ActualResult]:[ActualResult]], "OT") + SUMIFS(Table1[[HomeWon]:[HomeWon]], Table1[[GameIsOver]:[GameIsOver]],1,Table1[[AwayTeam]:[AwayTeam]],$A9, Table1[[HomeTeam]:[HomeTeam]], F$1, Table1[[ActualResult]:[ActualResult]], "SO") + SUMIFS(Table1[[AwayWon]:[AwayWon]], Table1[[GameIsOver]:[GameIsOver]],1,Table1[[HomeTeam]:[HomeTeam]],$A9, Table1[[AwayTeam]:[AwayTeam]], F$1, Table1[[ActualResult]:[ActualResult]], "SO"),0))</f>
        <v>0-0-0</v>
      </c>
      <c r="G9" s="47" t="str">
        <f>_xlfn.CONCAT(TEXT(SUMIFS(Table1[[AwayWon]:[AwayWon]], Table1[[GameIsOver]:[GameIsOver]],1,Table1[[AwayTeam]:[AwayTeam]],$A9, Table1[[HomeTeam]:[HomeTeam]], G$1) + SUMIFS(Table1[[HomeWon]:[HomeWon]], Table1[[GameIsOver]:[GameIsOver]],1,Table1[[HomeTeam]:[HomeTeam]],$A9, Table1[[AwayTeam]:[AwayTeam]], G$1),0), "-", TEXT(SUMIFS(Table1[[HomeWon]:[HomeWon]], Table1[[GameIsOver]:[GameIsOver]],1,Table1[[AwayTeam]:[AwayTeam]],$A9, Table1[[HomeTeam]:[HomeTeam]], G$1, Table1[[ActualResult]:[ActualResult]], "REG") + SUMIFS(Table1[[AwayWon]:[AwayWon]], Table1[[GameIsOver]:[GameIsOver]],1,Table1[[HomeTeam]:[HomeTeam]],$A9, Table1[[AwayTeam]:[AwayTeam]], G$1, Table1[[ActualResult]:[ActualResult]], "REG"),0), "-", TEXT(SUMIFS(Table1[[HomeWon]:[HomeWon]], Table1[[GameIsOver]:[GameIsOver]],1,Table1[[AwayTeam]:[AwayTeam]],$A9, Table1[[HomeTeam]:[HomeTeam]], G$1, Table1[[ActualResult]:[ActualResult]], "OT") + SUMIFS(Table1[[AwayWon]:[AwayWon]], Table1[[GameIsOver]:[GameIsOver]],1,Table1[[HomeTeam]:[HomeTeam]],$A9, Table1[[AwayTeam]:[AwayTeam]], G$1, Table1[[ActualResult]:[ActualResult]], "OT") + SUMIFS(Table1[[HomeWon]:[HomeWon]], Table1[[GameIsOver]:[GameIsOver]],1,Table1[[AwayTeam]:[AwayTeam]],$A9, Table1[[HomeTeam]:[HomeTeam]], G$1, Table1[[ActualResult]:[ActualResult]], "SO") + SUMIFS(Table1[[AwayWon]:[AwayWon]], Table1[[GameIsOver]:[GameIsOver]],1,Table1[[HomeTeam]:[HomeTeam]],$A9, Table1[[AwayTeam]:[AwayTeam]], G$1, Table1[[ActualResult]:[ActualResult]], "SO"),0))</f>
        <v>0-0-0</v>
      </c>
      <c r="H9" s="47" t="str">
        <f>_xlfn.CONCAT(TEXT(SUMIFS(Table1[[AwayWon]:[AwayWon]], Table1[[GameIsOver]:[GameIsOver]],1,Table1[[AwayTeam]:[AwayTeam]],$A9, Table1[[HomeTeam]:[HomeTeam]], H$1) + SUMIFS(Table1[[HomeWon]:[HomeWon]], Table1[[GameIsOver]:[GameIsOver]],1,Table1[[HomeTeam]:[HomeTeam]],$A9, Table1[[AwayTeam]:[AwayTeam]], H$1),0), "-", TEXT(SUMIFS(Table1[[HomeWon]:[HomeWon]], Table1[[GameIsOver]:[GameIsOver]],1,Table1[[AwayTeam]:[AwayTeam]],$A9, Table1[[HomeTeam]:[HomeTeam]], H$1, Table1[[ActualResult]:[ActualResult]], "REG") + SUMIFS(Table1[[AwayWon]:[AwayWon]], Table1[[GameIsOver]:[GameIsOver]],1,Table1[[HomeTeam]:[HomeTeam]],$A9, Table1[[AwayTeam]:[AwayTeam]], H$1, Table1[[ActualResult]:[ActualResult]], "REG"),0), "-", TEXT(SUMIFS(Table1[[HomeWon]:[HomeWon]], Table1[[GameIsOver]:[GameIsOver]],1,Table1[[AwayTeam]:[AwayTeam]],$A9, Table1[[HomeTeam]:[HomeTeam]], H$1, Table1[[ActualResult]:[ActualResult]], "OT") + SUMIFS(Table1[[AwayWon]:[AwayWon]], Table1[[GameIsOver]:[GameIsOver]],1,Table1[[HomeTeam]:[HomeTeam]],$A9, Table1[[AwayTeam]:[AwayTeam]], H$1, Table1[[ActualResult]:[ActualResult]], "OT") + SUMIFS(Table1[[HomeWon]:[HomeWon]], Table1[[GameIsOver]:[GameIsOver]],1,Table1[[AwayTeam]:[AwayTeam]],$A9, Table1[[HomeTeam]:[HomeTeam]], H$1, Table1[[ActualResult]:[ActualResult]], "SO") + SUMIFS(Table1[[AwayWon]:[AwayWon]], Table1[[GameIsOver]:[GameIsOver]],1,Table1[[HomeTeam]:[HomeTeam]],$A9, Table1[[AwayTeam]:[AwayTeam]], H$1, Table1[[ActualResult]:[ActualResult]], "SO"),0))</f>
        <v>0-0-0</v>
      </c>
      <c r="I9" s="48" t="str">
        <f>_xlfn.CONCAT(TEXT(SUMIFS(Table1[[AwayWon]:[AwayWon]], Table1[[GameIsOver]:[GameIsOver]],1,Table1[[AwayTeam]:[AwayTeam]],$A9, Table1[[HomeTeam]:[HomeTeam]], I$1) + SUMIFS(Table1[[HomeWon]:[HomeWon]], Table1[[GameIsOver]:[GameIsOver]],1,Table1[[HomeTeam]:[HomeTeam]],$A9, Table1[[AwayTeam]:[AwayTeam]], I$1),0), "-", TEXT(SUMIFS(Table1[[HomeWon]:[HomeWon]], Table1[[GameIsOver]:[GameIsOver]],1,Table1[[AwayTeam]:[AwayTeam]],$A9, Table1[[HomeTeam]:[HomeTeam]], I$1, Table1[[ActualResult]:[ActualResult]], "REG") + SUMIFS(Table1[[AwayWon]:[AwayWon]], Table1[[GameIsOver]:[GameIsOver]],1,Table1[[HomeTeam]:[HomeTeam]],$A9, Table1[[AwayTeam]:[AwayTeam]], I$1, Table1[[ActualResult]:[ActualResult]], "REG"),0), "-", TEXT(SUMIFS(Table1[[HomeWon]:[HomeWon]], Table1[[GameIsOver]:[GameIsOver]],1,Table1[[AwayTeam]:[AwayTeam]],$A9, Table1[[HomeTeam]:[HomeTeam]], I$1, Table1[[ActualResult]:[ActualResult]], "OT") + SUMIFS(Table1[[AwayWon]:[AwayWon]], Table1[[GameIsOver]:[GameIsOver]],1,Table1[[HomeTeam]:[HomeTeam]],$A9, Table1[[AwayTeam]:[AwayTeam]], I$1, Table1[[ActualResult]:[ActualResult]], "OT") + SUMIFS(Table1[[HomeWon]:[HomeWon]], Table1[[GameIsOver]:[GameIsOver]],1,Table1[[AwayTeam]:[AwayTeam]],$A9, Table1[[HomeTeam]:[HomeTeam]], I$1, Table1[[ActualResult]:[ActualResult]], "SO") + SUMIFS(Table1[[AwayWon]:[AwayWon]], Table1[[GameIsOver]:[GameIsOver]],1,Table1[[HomeTeam]:[HomeTeam]],$A9, Table1[[AwayTeam]:[AwayTeam]], I$1, Table1[[ActualResult]:[ActualResult]], "SO"),0))</f>
        <v>0-0-0</v>
      </c>
      <c r="J9" s="47" t="str">
        <f>_xlfn.CONCAT(TEXT(SUMIFS(Table1[[AwayWon]:[AwayWon]], Table1[[GameIsOver]:[GameIsOver]],1,Table1[[AwayTeam]:[AwayTeam]],$A9, Table1[[HomeTeam]:[HomeTeam]], J$1) + SUMIFS(Table1[[HomeWon]:[HomeWon]], Table1[[GameIsOver]:[GameIsOver]],1,Table1[[HomeTeam]:[HomeTeam]],$A9, Table1[[AwayTeam]:[AwayTeam]], J$1),0), "-", TEXT(SUMIFS(Table1[[HomeWon]:[HomeWon]], Table1[[GameIsOver]:[GameIsOver]],1,Table1[[AwayTeam]:[AwayTeam]],$A9, Table1[[HomeTeam]:[HomeTeam]], J$1, Table1[[ActualResult]:[ActualResult]], "REG") + SUMIFS(Table1[[AwayWon]:[AwayWon]], Table1[[GameIsOver]:[GameIsOver]],1,Table1[[HomeTeam]:[HomeTeam]],$A9, Table1[[AwayTeam]:[AwayTeam]], J$1, Table1[[ActualResult]:[ActualResult]], "REG"),0), "-", TEXT(SUMIFS(Table1[[HomeWon]:[HomeWon]], Table1[[GameIsOver]:[GameIsOver]],1,Table1[[AwayTeam]:[AwayTeam]],$A9, Table1[[HomeTeam]:[HomeTeam]], J$1, Table1[[ActualResult]:[ActualResult]], "OT") + SUMIFS(Table1[[AwayWon]:[AwayWon]], Table1[[GameIsOver]:[GameIsOver]],1,Table1[[HomeTeam]:[HomeTeam]],$A9, Table1[[AwayTeam]:[AwayTeam]], J$1, Table1[[ActualResult]:[ActualResult]], "OT") + SUMIFS(Table1[[HomeWon]:[HomeWon]], Table1[[GameIsOver]:[GameIsOver]],1,Table1[[AwayTeam]:[AwayTeam]],$A9, Table1[[HomeTeam]:[HomeTeam]], J$1, Table1[[ActualResult]:[ActualResult]], "SO") + SUMIFS(Table1[[AwayWon]:[AwayWon]], Table1[[GameIsOver]:[GameIsOver]],1,Table1[[HomeTeam]:[HomeTeam]],$A9, Table1[[AwayTeam]:[AwayTeam]], J$1, Table1[[ActualResult]:[ActualResult]], "SO"),0))</f>
        <v>0-0-1</v>
      </c>
      <c r="K9" s="47" t="str">
        <f>_xlfn.CONCAT(TEXT(SUMIFS(Table1[[AwayWon]:[AwayWon]], Table1[[GameIsOver]:[GameIsOver]],1,Table1[[AwayTeam]:[AwayTeam]],$A9, Table1[[HomeTeam]:[HomeTeam]], K$1) + SUMIFS(Table1[[HomeWon]:[HomeWon]], Table1[[GameIsOver]:[GameIsOver]],1,Table1[[HomeTeam]:[HomeTeam]],$A9, Table1[[AwayTeam]:[AwayTeam]], K$1),0), "-", TEXT(SUMIFS(Table1[[HomeWon]:[HomeWon]], Table1[[GameIsOver]:[GameIsOver]],1,Table1[[AwayTeam]:[AwayTeam]],$A9, Table1[[HomeTeam]:[HomeTeam]], K$1, Table1[[ActualResult]:[ActualResult]], "REG") + SUMIFS(Table1[[AwayWon]:[AwayWon]], Table1[[GameIsOver]:[GameIsOver]],1,Table1[[HomeTeam]:[HomeTeam]],$A9, Table1[[AwayTeam]:[AwayTeam]], K$1, Table1[[ActualResult]:[ActualResult]], "REG"),0), "-", TEXT(SUMIFS(Table1[[HomeWon]:[HomeWon]], Table1[[GameIsOver]:[GameIsOver]],1,Table1[[AwayTeam]:[AwayTeam]],$A9, Table1[[HomeTeam]:[HomeTeam]], K$1, Table1[[ActualResult]:[ActualResult]], "OT") + SUMIFS(Table1[[AwayWon]:[AwayWon]], Table1[[GameIsOver]:[GameIsOver]],1,Table1[[HomeTeam]:[HomeTeam]],$A9, Table1[[AwayTeam]:[AwayTeam]], K$1, Table1[[ActualResult]:[ActualResult]], "OT") + SUMIFS(Table1[[HomeWon]:[HomeWon]], Table1[[GameIsOver]:[GameIsOver]],1,Table1[[AwayTeam]:[AwayTeam]],$A9, Table1[[HomeTeam]:[HomeTeam]], K$1, Table1[[ActualResult]:[ActualResult]], "SO") + SUMIFS(Table1[[AwayWon]:[AwayWon]], Table1[[GameIsOver]:[GameIsOver]],1,Table1[[HomeTeam]:[HomeTeam]],$A9, Table1[[AwayTeam]:[AwayTeam]], K$1, Table1[[ActualResult]:[ActualResult]], "SO"),0))</f>
        <v>0-0-0</v>
      </c>
      <c r="L9" s="47" t="str">
        <f>_xlfn.CONCAT(TEXT(SUMIFS(Table1[[AwayWon]:[AwayWon]], Table1[[GameIsOver]:[GameIsOver]],1,Table1[[AwayTeam]:[AwayTeam]],$A9, Table1[[HomeTeam]:[HomeTeam]], L$1) + SUMIFS(Table1[[HomeWon]:[HomeWon]], Table1[[GameIsOver]:[GameIsOver]],1,Table1[[HomeTeam]:[HomeTeam]],$A9, Table1[[AwayTeam]:[AwayTeam]], L$1),0), "-", TEXT(SUMIFS(Table1[[HomeWon]:[HomeWon]], Table1[[GameIsOver]:[GameIsOver]],1,Table1[[AwayTeam]:[AwayTeam]],$A9, Table1[[HomeTeam]:[HomeTeam]], L$1, Table1[[ActualResult]:[ActualResult]], "REG") + SUMIFS(Table1[[AwayWon]:[AwayWon]], Table1[[GameIsOver]:[GameIsOver]],1,Table1[[HomeTeam]:[HomeTeam]],$A9, Table1[[AwayTeam]:[AwayTeam]], L$1, Table1[[ActualResult]:[ActualResult]], "REG"),0), "-", TEXT(SUMIFS(Table1[[HomeWon]:[HomeWon]], Table1[[GameIsOver]:[GameIsOver]],1,Table1[[AwayTeam]:[AwayTeam]],$A9, Table1[[HomeTeam]:[HomeTeam]], L$1, Table1[[ActualResult]:[ActualResult]], "OT") + SUMIFS(Table1[[AwayWon]:[AwayWon]], Table1[[GameIsOver]:[GameIsOver]],1,Table1[[HomeTeam]:[HomeTeam]],$A9, Table1[[AwayTeam]:[AwayTeam]], L$1, Table1[[ActualResult]:[ActualResult]], "OT") + SUMIFS(Table1[[HomeWon]:[HomeWon]], Table1[[GameIsOver]:[GameIsOver]],1,Table1[[AwayTeam]:[AwayTeam]],$A9, Table1[[HomeTeam]:[HomeTeam]], L$1, Table1[[ActualResult]:[ActualResult]], "SO") + SUMIFS(Table1[[AwayWon]:[AwayWon]], Table1[[GameIsOver]:[GameIsOver]],1,Table1[[HomeTeam]:[HomeTeam]],$A9, Table1[[AwayTeam]:[AwayTeam]], L$1, Table1[[ActualResult]:[ActualResult]], "SO"),0))</f>
        <v>0-0-0</v>
      </c>
      <c r="M9" s="47" t="str">
        <f>_xlfn.CONCAT(TEXT(SUMIFS(Table1[[AwayWon]:[AwayWon]], Table1[[GameIsOver]:[GameIsOver]],1,Table1[[AwayTeam]:[AwayTeam]],$A9, Table1[[HomeTeam]:[HomeTeam]], M$1) + SUMIFS(Table1[[HomeWon]:[HomeWon]], Table1[[GameIsOver]:[GameIsOver]],1,Table1[[HomeTeam]:[HomeTeam]],$A9, Table1[[AwayTeam]:[AwayTeam]], M$1),0), "-", TEXT(SUMIFS(Table1[[HomeWon]:[HomeWon]], Table1[[GameIsOver]:[GameIsOver]],1,Table1[[AwayTeam]:[AwayTeam]],$A9, Table1[[HomeTeam]:[HomeTeam]], M$1, Table1[[ActualResult]:[ActualResult]], "REG") + SUMIFS(Table1[[AwayWon]:[AwayWon]], Table1[[GameIsOver]:[GameIsOver]],1,Table1[[HomeTeam]:[HomeTeam]],$A9, Table1[[AwayTeam]:[AwayTeam]], M$1, Table1[[ActualResult]:[ActualResult]], "REG"),0), "-", TEXT(SUMIFS(Table1[[HomeWon]:[HomeWon]], Table1[[GameIsOver]:[GameIsOver]],1,Table1[[AwayTeam]:[AwayTeam]],$A9, Table1[[HomeTeam]:[HomeTeam]], M$1, Table1[[ActualResult]:[ActualResult]], "OT") + SUMIFS(Table1[[AwayWon]:[AwayWon]], Table1[[GameIsOver]:[GameIsOver]],1,Table1[[HomeTeam]:[HomeTeam]],$A9, Table1[[AwayTeam]:[AwayTeam]], M$1, Table1[[ActualResult]:[ActualResult]], "OT") + SUMIFS(Table1[[HomeWon]:[HomeWon]], Table1[[GameIsOver]:[GameIsOver]],1,Table1[[AwayTeam]:[AwayTeam]],$A9, Table1[[HomeTeam]:[HomeTeam]], M$1, Table1[[ActualResult]:[ActualResult]], "SO") + SUMIFS(Table1[[AwayWon]:[AwayWon]], Table1[[GameIsOver]:[GameIsOver]],1,Table1[[HomeTeam]:[HomeTeam]],$A9, Table1[[AwayTeam]:[AwayTeam]], M$1, Table1[[ActualResult]:[ActualResult]], "SO"),0))</f>
        <v>0-0-0</v>
      </c>
      <c r="N9" s="47" t="str">
        <f>_xlfn.CONCAT(TEXT(SUMIFS(Table1[[AwayWon]:[AwayWon]], Table1[[GameIsOver]:[GameIsOver]],1,Table1[[AwayTeam]:[AwayTeam]],$A9, Table1[[HomeTeam]:[HomeTeam]], N$1) + SUMIFS(Table1[[HomeWon]:[HomeWon]], Table1[[GameIsOver]:[GameIsOver]],1,Table1[[HomeTeam]:[HomeTeam]],$A9, Table1[[AwayTeam]:[AwayTeam]], N$1),0), "-", TEXT(SUMIFS(Table1[[HomeWon]:[HomeWon]], Table1[[GameIsOver]:[GameIsOver]],1,Table1[[AwayTeam]:[AwayTeam]],$A9, Table1[[HomeTeam]:[HomeTeam]], N$1, Table1[[ActualResult]:[ActualResult]], "REG") + SUMIFS(Table1[[AwayWon]:[AwayWon]], Table1[[GameIsOver]:[GameIsOver]],1,Table1[[HomeTeam]:[HomeTeam]],$A9, Table1[[AwayTeam]:[AwayTeam]], N$1, Table1[[ActualResult]:[ActualResult]], "REG"),0), "-", TEXT(SUMIFS(Table1[[HomeWon]:[HomeWon]], Table1[[GameIsOver]:[GameIsOver]],1,Table1[[AwayTeam]:[AwayTeam]],$A9, Table1[[HomeTeam]:[HomeTeam]], N$1, Table1[[ActualResult]:[ActualResult]], "OT") + SUMIFS(Table1[[AwayWon]:[AwayWon]], Table1[[GameIsOver]:[GameIsOver]],1,Table1[[HomeTeam]:[HomeTeam]],$A9, Table1[[AwayTeam]:[AwayTeam]], N$1, Table1[[ActualResult]:[ActualResult]], "OT") + SUMIFS(Table1[[HomeWon]:[HomeWon]], Table1[[GameIsOver]:[GameIsOver]],1,Table1[[AwayTeam]:[AwayTeam]],$A9, Table1[[HomeTeam]:[HomeTeam]], N$1, Table1[[ActualResult]:[ActualResult]], "SO") + SUMIFS(Table1[[AwayWon]:[AwayWon]], Table1[[GameIsOver]:[GameIsOver]],1,Table1[[HomeTeam]:[HomeTeam]],$A9, Table1[[AwayTeam]:[AwayTeam]], N$1, Table1[[ActualResult]:[ActualResult]], "SO"),0))</f>
        <v>0-0-0</v>
      </c>
      <c r="O9" s="47" t="str">
        <f>_xlfn.CONCAT(TEXT(SUMIFS(Table1[[AwayWon]:[AwayWon]], Table1[[GameIsOver]:[GameIsOver]],1,Table1[[AwayTeam]:[AwayTeam]],$A9, Table1[[HomeTeam]:[HomeTeam]], O$1) + SUMIFS(Table1[[HomeWon]:[HomeWon]], Table1[[GameIsOver]:[GameIsOver]],1,Table1[[HomeTeam]:[HomeTeam]],$A9, Table1[[AwayTeam]:[AwayTeam]], O$1),0), "-", TEXT(SUMIFS(Table1[[HomeWon]:[HomeWon]], Table1[[GameIsOver]:[GameIsOver]],1,Table1[[AwayTeam]:[AwayTeam]],$A9, Table1[[HomeTeam]:[HomeTeam]], O$1, Table1[[ActualResult]:[ActualResult]], "REG") + SUMIFS(Table1[[AwayWon]:[AwayWon]], Table1[[GameIsOver]:[GameIsOver]],1,Table1[[HomeTeam]:[HomeTeam]],$A9, Table1[[AwayTeam]:[AwayTeam]], O$1, Table1[[ActualResult]:[ActualResult]], "REG"),0), "-", TEXT(SUMIFS(Table1[[HomeWon]:[HomeWon]], Table1[[GameIsOver]:[GameIsOver]],1,Table1[[AwayTeam]:[AwayTeam]],$A9, Table1[[HomeTeam]:[HomeTeam]], O$1, Table1[[ActualResult]:[ActualResult]], "OT") + SUMIFS(Table1[[AwayWon]:[AwayWon]], Table1[[GameIsOver]:[GameIsOver]],1,Table1[[HomeTeam]:[HomeTeam]],$A9, Table1[[AwayTeam]:[AwayTeam]], O$1, Table1[[ActualResult]:[ActualResult]], "OT") + SUMIFS(Table1[[HomeWon]:[HomeWon]], Table1[[GameIsOver]:[GameIsOver]],1,Table1[[AwayTeam]:[AwayTeam]],$A9, Table1[[HomeTeam]:[HomeTeam]], O$1, Table1[[ActualResult]:[ActualResult]], "SO") + SUMIFS(Table1[[AwayWon]:[AwayWon]], Table1[[GameIsOver]:[GameIsOver]],1,Table1[[HomeTeam]:[HomeTeam]],$A9, Table1[[AwayTeam]:[AwayTeam]], O$1, Table1[[ActualResult]:[ActualResult]], "SO"),0))</f>
        <v>0-0-0</v>
      </c>
      <c r="P9" s="47" t="str">
        <f>_xlfn.CONCAT(TEXT(SUMIFS(Table1[[AwayWon]:[AwayWon]], Table1[[GameIsOver]:[GameIsOver]],1,Table1[[AwayTeam]:[AwayTeam]],$A9, Table1[[HomeTeam]:[HomeTeam]], P$1) + SUMIFS(Table1[[HomeWon]:[HomeWon]], Table1[[GameIsOver]:[GameIsOver]],1,Table1[[HomeTeam]:[HomeTeam]],$A9, Table1[[AwayTeam]:[AwayTeam]], P$1),0), "-", TEXT(SUMIFS(Table1[[HomeWon]:[HomeWon]], Table1[[GameIsOver]:[GameIsOver]],1,Table1[[AwayTeam]:[AwayTeam]],$A9, Table1[[HomeTeam]:[HomeTeam]], P$1, Table1[[ActualResult]:[ActualResult]], "REG") + SUMIFS(Table1[[AwayWon]:[AwayWon]], Table1[[GameIsOver]:[GameIsOver]],1,Table1[[HomeTeam]:[HomeTeam]],$A9, Table1[[AwayTeam]:[AwayTeam]], P$1, Table1[[ActualResult]:[ActualResult]], "REG"),0), "-", TEXT(SUMIFS(Table1[[HomeWon]:[HomeWon]], Table1[[GameIsOver]:[GameIsOver]],1,Table1[[AwayTeam]:[AwayTeam]],$A9, Table1[[HomeTeam]:[HomeTeam]], P$1, Table1[[ActualResult]:[ActualResult]], "OT") + SUMIFS(Table1[[AwayWon]:[AwayWon]], Table1[[GameIsOver]:[GameIsOver]],1,Table1[[HomeTeam]:[HomeTeam]],$A9, Table1[[AwayTeam]:[AwayTeam]], P$1, Table1[[ActualResult]:[ActualResult]], "OT") + SUMIFS(Table1[[HomeWon]:[HomeWon]], Table1[[GameIsOver]:[GameIsOver]],1,Table1[[AwayTeam]:[AwayTeam]],$A9, Table1[[HomeTeam]:[HomeTeam]], P$1, Table1[[ActualResult]:[ActualResult]], "SO") + SUMIFS(Table1[[AwayWon]:[AwayWon]], Table1[[GameIsOver]:[GameIsOver]],1,Table1[[HomeTeam]:[HomeTeam]],$A9, Table1[[AwayTeam]:[AwayTeam]], P$1, Table1[[ActualResult]:[ActualResult]], "SO"),0))</f>
        <v>0-0-0</v>
      </c>
      <c r="Q9" s="48" t="str">
        <f>_xlfn.CONCAT(TEXT(SUMIFS(Table1[[AwayWon]:[AwayWon]], Table1[[GameIsOver]:[GameIsOver]],1,Table1[[AwayTeam]:[AwayTeam]],$A9, Table1[[HomeTeam]:[HomeTeam]], Q$1) + SUMIFS(Table1[[HomeWon]:[HomeWon]], Table1[[GameIsOver]:[GameIsOver]],1,Table1[[HomeTeam]:[HomeTeam]],$A9, Table1[[AwayTeam]:[AwayTeam]], Q$1),0), "-", TEXT(SUMIFS(Table1[[HomeWon]:[HomeWon]], Table1[[GameIsOver]:[GameIsOver]],1,Table1[[AwayTeam]:[AwayTeam]],$A9, Table1[[HomeTeam]:[HomeTeam]], Q$1, Table1[[ActualResult]:[ActualResult]], "REG") + SUMIFS(Table1[[AwayWon]:[AwayWon]], Table1[[GameIsOver]:[GameIsOver]],1,Table1[[HomeTeam]:[HomeTeam]],$A9, Table1[[AwayTeam]:[AwayTeam]], Q$1, Table1[[ActualResult]:[ActualResult]], "REG"),0), "-", TEXT(SUMIFS(Table1[[HomeWon]:[HomeWon]], Table1[[GameIsOver]:[GameIsOver]],1,Table1[[AwayTeam]:[AwayTeam]],$A9, Table1[[HomeTeam]:[HomeTeam]], Q$1, Table1[[ActualResult]:[ActualResult]], "OT") + SUMIFS(Table1[[AwayWon]:[AwayWon]], Table1[[GameIsOver]:[GameIsOver]],1,Table1[[HomeTeam]:[HomeTeam]],$A9, Table1[[AwayTeam]:[AwayTeam]], Q$1, Table1[[ActualResult]:[ActualResult]], "OT") + SUMIFS(Table1[[HomeWon]:[HomeWon]], Table1[[GameIsOver]:[GameIsOver]],1,Table1[[AwayTeam]:[AwayTeam]],$A9, Table1[[HomeTeam]:[HomeTeam]], Q$1, Table1[[ActualResult]:[ActualResult]], "SO") + SUMIFS(Table1[[AwayWon]:[AwayWon]], Table1[[GameIsOver]:[GameIsOver]],1,Table1[[HomeTeam]:[HomeTeam]],$A9, Table1[[AwayTeam]:[AwayTeam]], Q$1, Table1[[ActualResult]:[ActualResult]], "SO"),0))</f>
        <v>0-0-0</v>
      </c>
      <c r="R9" s="47" t="str">
        <f>_xlfn.CONCAT(TEXT(SUMIFS(Table1[[AwayWon]:[AwayWon]], Table1[[GameIsOver]:[GameIsOver]],1,Table1[[AwayTeam]:[AwayTeam]],$A9, Table1[[HomeTeam]:[HomeTeam]], R$1) + SUMIFS(Table1[[HomeWon]:[HomeWon]], Table1[[GameIsOver]:[GameIsOver]],1,Table1[[HomeTeam]:[HomeTeam]],$A9, Table1[[AwayTeam]:[AwayTeam]], R$1),0), "-", TEXT(SUMIFS(Table1[[HomeWon]:[HomeWon]], Table1[[GameIsOver]:[GameIsOver]],1,Table1[[AwayTeam]:[AwayTeam]],$A9, Table1[[HomeTeam]:[HomeTeam]], R$1, Table1[[ActualResult]:[ActualResult]], "REG") + SUMIFS(Table1[[AwayWon]:[AwayWon]], Table1[[GameIsOver]:[GameIsOver]],1,Table1[[HomeTeam]:[HomeTeam]],$A9, Table1[[AwayTeam]:[AwayTeam]], R$1, Table1[[ActualResult]:[ActualResult]], "REG"),0), "-", TEXT(SUMIFS(Table1[[HomeWon]:[HomeWon]], Table1[[GameIsOver]:[GameIsOver]],1,Table1[[AwayTeam]:[AwayTeam]],$A9, Table1[[HomeTeam]:[HomeTeam]], R$1, Table1[[ActualResult]:[ActualResult]], "OT") + SUMIFS(Table1[[AwayWon]:[AwayWon]], Table1[[GameIsOver]:[GameIsOver]],1,Table1[[HomeTeam]:[HomeTeam]],$A9, Table1[[AwayTeam]:[AwayTeam]], R$1, Table1[[ActualResult]:[ActualResult]], "OT") + SUMIFS(Table1[[HomeWon]:[HomeWon]], Table1[[GameIsOver]:[GameIsOver]],1,Table1[[AwayTeam]:[AwayTeam]],$A9, Table1[[HomeTeam]:[HomeTeam]], R$1, Table1[[ActualResult]:[ActualResult]], "SO") + SUMIFS(Table1[[AwayWon]:[AwayWon]], Table1[[GameIsOver]:[GameIsOver]],1,Table1[[HomeTeam]:[HomeTeam]],$A9, Table1[[AwayTeam]:[AwayTeam]], R$1, Table1[[ActualResult]:[ActualResult]], "SO"),0))</f>
        <v>0-0-0</v>
      </c>
      <c r="S9" s="47" t="str">
        <f>_xlfn.CONCAT(TEXT(SUMIFS(Table1[[AwayWon]:[AwayWon]], Table1[[GameIsOver]:[GameIsOver]],1,Table1[[AwayTeam]:[AwayTeam]],$A9, Table1[[HomeTeam]:[HomeTeam]], S$1) + SUMIFS(Table1[[HomeWon]:[HomeWon]], Table1[[GameIsOver]:[GameIsOver]],1,Table1[[HomeTeam]:[HomeTeam]],$A9, Table1[[AwayTeam]:[AwayTeam]], S$1),0), "-", TEXT(SUMIFS(Table1[[HomeWon]:[HomeWon]], Table1[[GameIsOver]:[GameIsOver]],1,Table1[[AwayTeam]:[AwayTeam]],$A9, Table1[[HomeTeam]:[HomeTeam]], S$1, Table1[[ActualResult]:[ActualResult]], "REG") + SUMIFS(Table1[[AwayWon]:[AwayWon]], Table1[[GameIsOver]:[GameIsOver]],1,Table1[[HomeTeam]:[HomeTeam]],$A9, Table1[[AwayTeam]:[AwayTeam]], S$1, Table1[[ActualResult]:[ActualResult]], "REG"),0), "-", TEXT(SUMIFS(Table1[[HomeWon]:[HomeWon]], Table1[[GameIsOver]:[GameIsOver]],1,Table1[[AwayTeam]:[AwayTeam]],$A9, Table1[[HomeTeam]:[HomeTeam]], S$1, Table1[[ActualResult]:[ActualResult]], "OT") + SUMIFS(Table1[[AwayWon]:[AwayWon]], Table1[[GameIsOver]:[GameIsOver]],1,Table1[[HomeTeam]:[HomeTeam]],$A9, Table1[[AwayTeam]:[AwayTeam]], S$1, Table1[[ActualResult]:[ActualResult]], "OT") + SUMIFS(Table1[[HomeWon]:[HomeWon]], Table1[[GameIsOver]:[GameIsOver]],1,Table1[[AwayTeam]:[AwayTeam]],$A9, Table1[[HomeTeam]:[HomeTeam]], S$1, Table1[[ActualResult]:[ActualResult]], "SO") + SUMIFS(Table1[[AwayWon]:[AwayWon]], Table1[[GameIsOver]:[GameIsOver]],1,Table1[[HomeTeam]:[HomeTeam]],$A9, Table1[[AwayTeam]:[AwayTeam]], S$1, Table1[[ActualResult]:[ActualResult]], "SO"),0))</f>
        <v>0-0-0</v>
      </c>
      <c r="T9" s="47" t="str">
        <f>_xlfn.CONCAT(TEXT(SUMIFS(Table1[[AwayWon]:[AwayWon]], Table1[[GameIsOver]:[GameIsOver]],1,Table1[[AwayTeam]:[AwayTeam]],$A9, Table1[[HomeTeam]:[HomeTeam]], T$1) + SUMIFS(Table1[[HomeWon]:[HomeWon]], Table1[[GameIsOver]:[GameIsOver]],1,Table1[[HomeTeam]:[HomeTeam]],$A9, Table1[[AwayTeam]:[AwayTeam]], T$1),0), "-", TEXT(SUMIFS(Table1[[HomeWon]:[HomeWon]], Table1[[GameIsOver]:[GameIsOver]],1,Table1[[AwayTeam]:[AwayTeam]],$A9, Table1[[HomeTeam]:[HomeTeam]], T$1, Table1[[ActualResult]:[ActualResult]], "REG") + SUMIFS(Table1[[AwayWon]:[AwayWon]], Table1[[GameIsOver]:[GameIsOver]],1,Table1[[HomeTeam]:[HomeTeam]],$A9, Table1[[AwayTeam]:[AwayTeam]], T$1, Table1[[ActualResult]:[ActualResult]], "REG"),0), "-", TEXT(SUMIFS(Table1[[HomeWon]:[HomeWon]], Table1[[GameIsOver]:[GameIsOver]],1,Table1[[AwayTeam]:[AwayTeam]],$A9, Table1[[HomeTeam]:[HomeTeam]], T$1, Table1[[ActualResult]:[ActualResult]], "OT") + SUMIFS(Table1[[AwayWon]:[AwayWon]], Table1[[GameIsOver]:[GameIsOver]],1,Table1[[HomeTeam]:[HomeTeam]],$A9, Table1[[AwayTeam]:[AwayTeam]], T$1, Table1[[ActualResult]:[ActualResult]], "OT") + SUMIFS(Table1[[HomeWon]:[HomeWon]], Table1[[GameIsOver]:[GameIsOver]],1,Table1[[AwayTeam]:[AwayTeam]],$A9, Table1[[HomeTeam]:[HomeTeam]], T$1, Table1[[ActualResult]:[ActualResult]], "SO") + SUMIFS(Table1[[AwayWon]:[AwayWon]], Table1[[GameIsOver]:[GameIsOver]],1,Table1[[HomeTeam]:[HomeTeam]],$A9, Table1[[AwayTeam]:[AwayTeam]], T$1, Table1[[ActualResult]:[ActualResult]], "SO"),0))</f>
        <v>0-0-0</v>
      </c>
      <c r="U9" s="47" t="str">
        <f>_xlfn.CONCAT(TEXT(SUMIFS(Table1[[AwayWon]:[AwayWon]], Table1[[GameIsOver]:[GameIsOver]],1,Table1[[AwayTeam]:[AwayTeam]],$A9, Table1[[HomeTeam]:[HomeTeam]], U$1) + SUMIFS(Table1[[HomeWon]:[HomeWon]], Table1[[GameIsOver]:[GameIsOver]],1,Table1[[HomeTeam]:[HomeTeam]],$A9, Table1[[AwayTeam]:[AwayTeam]], U$1),0), "-", TEXT(SUMIFS(Table1[[HomeWon]:[HomeWon]], Table1[[GameIsOver]:[GameIsOver]],1,Table1[[AwayTeam]:[AwayTeam]],$A9, Table1[[HomeTeam]:[HomeTeam]], U$1, Table1[[ActualResult]:[ActualResult]], "REG") + SUMIFS(Table1[[AwayWon]:[AwayWon]], Table1[[GameIsOver]:[GameIsOver]],1,Table1[[HomeTeam]:[HomeTeam]],$A9, Table1[[AwayTeam]:[AwayTeam]], U$1, Table1[[ActualResult]:[ActualResult]], "REG"),0), "-", TEXT(SUMIFS(Table1[[HomeWon]:[HomeWon]], Table1[[GameIsOver]:[GameIsOver]],1,Table1[[AwayTeam]:[AwayTeam]],$A9, Table1[[HomeTeam]:[HomeTeam]], U$1, Table1[[ActualResult]:[ActualResult]], "OT") + SUMIFS(Table1[[AwayWon]:[AwayWon]], Table1[[GameIsOver]:[GameIsOver]],1,Table1[[HomeTeam]:[HomeTeam]],$A9, Table1[[AwayTeam]:[AwayTeam]], U$1, Table1[[ActualResult]:[ActualResult]], "OT") + SUMIFS(Table1[[HomeWon]:[HomeWon]], Table1[[GameIsOver]:[GameIsOver]],1,Table1[[AwayTeam]:[AwayTeam]],$A9, Table1[[HomeTeam]:[HomeTeam]], U$1, Table1[[ActualResult]:[ActualResult]], "SO") + SUMIFS(Table1[[AwayWon]:[AwayWon]], Table1[[GameIsOver]:[GameIsOver]],1,Table1[[HomeTeam]:[HomeTeam]],$A9, Table1[[AwayTeam]:[AwayTeam]], U$1, Table1[[ActualResult]:[ActualResult]], "SO"),0))</f>
        <v>0-0-0</v>
      </c>
      <c r="V9" s="47" t="str">
        <f>_xlfn.CONCAT(TEXT(SUMIFS(Table1[[AwayWon]:[AwayWon]], Table1[[GameIsOver]:[GameIsOver]],1,Table1[[AwayTeam]:[AwayTeam]],$A9, Table1[[HomeTeam]:[HomeTeam]], V$1) + SUMIFS(Table1[[HomeWon]:[HomeWon]], Table1[[GameIsOver]:[GameIsOver]],1,Table1[[HomeTeam]:[HomeTeam]],$A9, Table1[[AwayTeam]:[AwayTeam]], V$1),0), "-", TEXT(SUMIFS(Table1[[HomeWon]:[HomeWon]], Table1[[GameIsOver]:[GameIsOver]],1,Table1[[AwayTeam]:[AwayTeam]],$A9, Table1[[HomeTeam]:[HomeTeam]], V$1, Table1[[ActualResult]:[ActualResult]], "REG") + SUMIFS(Table1[[AwayWon]:[AwayWon]], Table1[[GameIsOver]:[GameIsOver]],1,Table1[[HomeTeam]:[HomeTeam]],$A9, Table1[[AwayTeam]:[AwayTeam]], V$1, Table1[[ActualResult]:[ActualResult]], "REG"),0), "-", TEXT(SUMIFS(Table1[[HomeWon]:[HomeWon]], Table1[[GameIsOver]:[GameIsOver]],1,Table1[[AwayTeam]:[AwayTeam]],$A9, Table1[[HomeTeam]:[HomeTeam]], V$1, Table1[[ActualResult]:[ActualResult]], "OT") + SUMIFS(Table1[[AwayWon]:[AwayWon]], Table1[[GameIsOver]:[GameIsOver]],1,Table1[[HomeTeam]:[HomeTeam]],$A9, Table1[[AwayTeam]:[AwayTeam]], V$1, Table1[[ActualResult]:[ActualResult]], "OT") + SUMIFS(Table1[[HomeWon]:[HomeWon]], Table1[[GameIsOver]:[GameIsOver]],1,Table1[[AwayTeam]:[AwayTeam]],$A9, Table1[[HomeTeam]:[HomeTeam]], V$1, Table1[[ActualResult]:[ActualResult]], "SO") + SUMIFS(Table1[[AwayWon]:[AwayWon]], Table1[[GameIsOver]:[GameIsOver]],1,Table1[[HomeTeam]:[HomeTeam]],$A9, Table1[[AwayTeam]:[AwayTeam]], V$1, Table1[[ActualResult]:[ActualResult]], "SO"),0))</f>
        <v>0-0-0</v>
      </c>
      <c r="W9" s="47" t="str">
        <f>_xlfn.CONCAT(TEXT(SUMIFS(Table1[[AwayWon]:[AwayWon]], Table1[[GameIsOver]:[GameIsOver]],1,Table1[[AwayTeam]:[AwayTeam]],$A9, Table1[[HomeTeam]:[HomeTeam]], W$1) + SUMIFS(Table1[[HomeWon]:[HomeWon]], Table1[[GameIsOver]:[GameIsOver]],1,Table1[[HomeTeam]:[HomeTeam]],$A9, Table1[[AwayTeam]:[AwayTeam]], W$1),0), "-", TEXT(SUMIFS(Table1[[HomeWon]:[HomeWon]], Table1[[GameIsOver]:[GameIsOver]],1,Table1[[AwayTeam]:[AwayTeam]],$A9, Table1[[HomeTeam]:[HomeTeam]], W$1, Table1[[ActualResult]:[ActualResult]], "REG") + SUMIFS(Table1[[AwayWon]:[AwayWon]], Table1[[GameIsOver]:[GameIsOver]],1,Table1[[HomeTeam]:[HomeTeam]],$A9, Table1[[AwayTeam]:[AwayTeam]], W$1, Table1[[ActualResult]:[ActualResult]], "REG"),0), "-", TEXT(SUMIFS(Table1[[HomeWon]:[HomeWon]], Table1[[GameIsOver]:[GameIsOver]],1,Table1[[AwayTeam]:[AwayTeam]],$A9, Table1[[HomeTeam]:[HomeTeam]], W$1, Table1[[ActualResult]:[ActualResult]], "OT") + SUMIFS(Table1[[AwayWon]:[AwayWon]], Table1[[GameIsOver]:[GameIsOver]],1,Table1[[HomeTeam]:[HomeTeam]],$A9, Table1[[AwayTeam]:[AwayTeam]], W$1, Table1[[ActualResult]:[ActualResult]], "OT") + SUMIFS(Table1[[HomeWon]:[HomeWon]], Table1[[GameIsOver]:[GameIsOver]],1,Table1[[AwayTeam]:[AwayTeam]],$A9, Table1[[HomeTeam]:[HomeTeam]], W$1, Table1[[ActualResult]:[ActualResult]], "SO") + SUMIFS(Table1[[AwayWon]:[AwayWon]], Table1[[GameIsOver]:[GameIsOver]],1,Table1[[HomeTeam]:[HomeTeam]],$A9, Table1[[AwayTeam]:[AwayTeam]], W$1, Table1[[ActualResult]:[ActualResult]], "SO"),0))</f>
        <v>0-0-0</v>
      </c>
      <c r="X9" s="47" t="str">
        <f>_xlfn.CONCAT(TEXT(SUMIFS(Table1[[AwayWon]:[AwayWon]], Table1[[GameIsOver]:[GameIsOver]],1,Table1[[AwayTeam]:[AwayTeam]],$A9, Table1[[HomeTeam]:[HomeTeam]], X$1) + SUMIFS(Table1[[HomeWon]:[HomeWon]], Table1[[GameIsOver]:[GameIsOver]],1,Table1[[HomeTeam]:[HomeTeam]],$A9, Table1[[AwayTeam]:[AwayTeam]], X$1),0), "-", TEXT(SUMIFS(Table1[[HomeWon]:[HomeWon]], Table1[[GameIsOver]:[GameIsOver]],1,Table1[[AwayTeam]:[AwayTeam]],$A9, Table1[[HomeTeam]:[HomeTeam]], X$1, Table1[[ActualResult]:[ActualResult]], "REG") + SUMIFS(Table1[[AwayWon]:[AwayWon]], Table1[[GameIsOver]:[GameIsOver]],1,Table1[[HomeTeam]:[HomeTeam]],$A9, Table1[[AwayTeam]:[AwayTeam]], X$1, Table1[[ActualResult]:[ActualResult]], "REG"),0), "-", TEXT(SUMIFS(Table1[[HomeWon]:[HomeWon]], Table1[[GameIsOver]:[GameIsOver]],1,Table1[[AwayTeam]:[AwayTeam]],$A9, Table1[[HomeTeam]:[HomeTeam]], X$1, Table1[[ActualResult]:[ActualResult]], "OT") + SUMIFS(Table1[[AwayWon]:[AwayWon]], Table1[[GameIsOver]:[GameIsOver]],1,Table1[[HomeTeam]:[HomeTeam]],$A9, Table1[[AwayTeam]:[AwayTeam]], X$1, Table1[[ActualResult]:[ActualResult]], "OT") + SUMIFS(Table1[[HomeWon]:[HomeWon]], Table1[[GameIsOver]:[GameIsOver]],1,Table1[[AwayTeam]:[AwayTeam]],$A9, Table1[[HomeTeam]:[HomeTeam]], X$1, Table1[[ActualResult]:[ActualResult]], "SO") + SUMIFS(Table1[[AwayWon]:[AwayWon]], Table1[[GameIsOver]:[GameIsOver]],1,Table1[[HomeTeam]:[HomeTeam]],$A9, Table1[[AwayTeam]:[AwayTeam]], X$1, Table1[[ActualResult]:[ActualResult]], "SO"),0))</f>
        <v>0-0-0</v>
      </c>
      <c r="Y9" s="48" t="str">
        <f>_xlfn.CONCAT(TEXT(SUMIFS(Table1[[AwayWon]:[AwayWon]], Table1[[GameIsOver]:[GameIsOver]],1,Table1[[AwayTeam]:[AwayTeam]],$A9, Table1[[HomeTeam]:[HomeTeam]], Y$1) + SUMIFS(Table1[[HomeWon]:[HomeWon]], Table1[[GameIsOver]:[GameIsOver]],1,Table1[[HomeTeam]:[HomeTeam]],$A9, Table1[[AwayTeam]:[AwayTeam]], Y$1),0), "-", TEXT(SUMIFS(Table1[[HomeWon]:[HomeWon]], Table1[[GameIsOver]:[GameIsOver]],1,Table1[[AwayTeam]:[AwayTeam]],$A9, Table1[[HomeTeam]:[HomeTeam]], Y$1, Table1[[ActualResult]:[ActualResult]], "REG") + SUMIFS(Table1[[AwayWon]:[AwayWon]], Table1[[GameIsOver]:[GameIsOver]],1,Table1[[HomeTeam]:[HomeTeam]],$A9, Table1[[AwayTeam]:[AwayTeam]], Y$1, Table1[[ActualResult]:[ActualResult]], "REG"),0), "-", TEXT(SUMIFS(Table1[[HomeWon]:[HomeWon]], Table1[[GameIsOver]:[GameIsOver]],1,Table1[[AwayTeam]:[AwayTeam]],$A9, Table1[[HomeTeam]:[HomeTeam]], Y$1, Table1[[ActualResult]:[ActualResult]], "OT") + SUMIFS(Table1[[AwayWon]:[AwayWon]], Table1[[GameIsOver]:[GameIsOver]],1,Table1[[HomeTeam]:[HomeTeam]],$A9, Table1[[AwayTeam]:[AwayTeam]], Y$1, Table1[[ActualResult]:[ActualResult]], "OT") + SUMIFS(Table1[[HomeWon]:[HomeWon]], Table1[[GameIsOver]:[GameIsOver]],1,Table1[[AwayTeam]:[AwayTeam]],$A9, Table1[[HomeTeam]:[HomeTeam]], Y$1, Table1[[ActualResult]:[ActualResult]], "SO") + SUMIFS(Table1[[AwayWon]:[AwayWon]], Table1[[GameIsOver]:[GameIsOver]],1,Table1[[HomeTeam]:[HomeTeam]],$A9, Table1[[AwayTeam]:[AwayTeam]], Y$1, Table1[[ActualResult]:[ActualResult]], "SO"),0))</f>
        <v>0-0-0</v>
      </c>
      <c r="Z9" s="47" t="str">
        <f>_xlfn.CONCAT(TEXT(SUMIFS(Table1[[AwayWon]:[AwayWon]], Table1[[GameIsOver]:[GameIsOver]],1,Table1[[AwayTeam]:[AwayTeam]],$A9, Table1[[HomeTeam]:[HomeTeam]], Z$1) + SUMIFS(Table1[[HomeWon]:[HomeWon]], Table1[[GameIsOver]:[GameIsOver]],1,Table1[[HomeTeam]:[HomeTeam]],$A9, Table1[[AwayTeam]:[AwayTeam]], Z$1),0), "-", TEXT(SUMIFS(Table1[[HomeWon]:[HomeWon]], Table1[[GameIsOver]:[GameIsOver]],1,Table1[[AwayTeam]:[AwayTeam]],$A9, Table1[[HomeTeam]:[HomeTeam]], Z$1, Table1[[ActualResult]:[ActualResult]], "REG") + SUMIFS(Table1[[AwayWon]:[AwayWon]], Table1[[GameIsOver]:[GameIsOver]],1,Table1[[HomeTeam]:[HomeTeam]],$A9, Table1[[AwayTeam]:[AwayTeam]], Z$1, Table1[[ActualResult]:[ActualResult]], "REG"),0), "-", TEXT(SUMIFS(Table1[[HomeWon]:[HomeWon]], Table1[[GameIsOver]:[GameIsOver]],1,Table1[[AwayTeam]:[AwayTeam]],$A9, Table1[[HomeTeam]:[HomeTeam]], Z$1, Table1[[ActualResult]:[ActualResult]], "OT") + SUMIFS(Table1[[AwayWon]:[AwayWon]], Table1[[GameIsOver]:[GameIsOver]],1,Table1[[HomeTeam]:[HomeTeam]],$A9, Table1[[AwayTeam]:[AwayTeam]], Z$1, Table1[[ActualResult]:[ActualResult]], "OT") + SUMIFS(Table1[[HomeWon]:[HomeWon]], Table1[[GameIsOver]:[GameIsOver]],1,Table1[[AwayTeam]:[AwayTeam]],$A9, Table1[[HomeTeam]:[HomeTeam]], Z$1, Table1[[ActualResult]:[ActualResult]], "SO") + SUMIFS(Table1[[AwayWon]:[AwayWon]], Table1[[GameIsOver]:[GameIsOver]],1,Table1[[HomeTeam]:[HomeTeam]],$A9, Table1[[AwayTeam]:[AwayTeam]], Z$1, Table1[[ActualResult]:[ActualResult]], "SO"),0))</f>
        <v>0-0-0</v>
      </c>
      <c r="AA9" s="47" t="str">
        <f>_xlfn.CONCAT(TEXT(SUMIFS(Table1[[AwayWon]:[AwayWon]], Table1[[GameIsOver]:[GameIsOver]],1,Table1[[AwayTeam]:[AwayTeam]],$A9, Table1[[HomeTeam]:[HomeTeam]], AA$1) + SUMIFS(Table1[[HomeWon]:[HomeWon]], Table1[[GameIsOver]:[GameIsOver]],1,Table1[[HomeTeam]:[HomeTeam]],$A9, Table1[[AwayTeam]:[AwayTeam]], AA$1),0), "-", TEXT(SUMIFS(Table1[[HomeWon]:[HomeWon]], Table1[[GameIsOver]:[GameIsOver]],1,Table1[[AwayTeam]:[AwayTeam]],$A9, Table1[[HomeTeam]:[HomeTeam]], AA$1, Table1[[ActualResult]:[ActualResult]], "REG") + SUMIFS(Table1[[AwayWon]:[AwayWon]], Table1[[GameIsOver]:[GameIsOver]],1,Table1[[HomeTeam]:[HomeTeam]],$A9, Table1[[AwayTeam]:[AwayTeam]], AA$1, Table1[[ActualResult]:[ActualResult]], "REG"),0), "-", TEXT(SUMIFS(Table1[[HomeWon]:[HomeWon]], Table1[[GameIsOver]:[GameIsOver]],1,Table1[[AwayTeam]:[AwayTeam]],$A9, Table1[[HomeTeam]:[HomeTeam]], AA$1, Table1[[ActualResult]:[ActualResult]], "OT") + SUMIFS(Table1[[AwayWon]:[AwayWon]], Table1[[GameIsOver]:[GameIsOver]],1,Table1[[HomeTeam]:[HomeTeam]],$A9, Table1[[AwayTeam]:[AwayTeam]], AA$1, Table1[[ActualResult]:[ActualResult]], "OT") + SUMIFS(Table1[[HomeWon]:[HomeWon]], Table1[[GameIsOver]:[GameIsOver]],1,Table1[[AwayTeam]:[AwayTeam]],$A9, Table1[[HomeTeam]:[HomeTeam]], AA$1, Table1[[ActualResult]:[ActualResult]], "SO") + SUMIFS(Table1[[AwayWon]:[AwayWon]], Table1[[GameIsOver]:[GameIsOver]],1,Table1[[HomeTeam]:[HomeTeam]],$A9, Table1[[AwayTeam]:[AwayTeam]], AA$1, Table1[[ActualResult]:[ActualResult]], "SO"),0))</f>
        <v>0-0-0</v>
      </c>
      <c r="AB9" s="47" t="str">
        <f>_xlfn.CONCAT(TEXT(SUMIFS(Table1[[AwayWon]:[AwayWon]], Table1[[GameIsOver]:[GameIsOver]],1,Table1[[AwayTeam]:[AwayTeam]],$A9, Table1[[HomeTeam]:[HomeTeam]], AB$1) + SUMIFS(Table1[[HomeWon]:[HomeWon]], Table1[[GameIsOver]:[GameIsOver]],1,Table1[[HomeTeam]:[HomeTeam]],$A9, Table1[[AwayTeam]:[AwayTeam]], AB$1),0), "-", TEXT(SUMIFS(Table1[[HomeWon]:[HomeWon]], Table1[[GameIsOver]:[GameIsOver]],1,Table1[[AwayTeam]:[AwayTeam]],$A9, Table1[[HomeTeam]:[HomeTeam]], AB$1, Table1[[ActualResult]:[ActualResult]], "REG") + SUMIFS(Table1[[AwayWon]:[AwayWon]], Table1[[GameIsOver]:[GameIsOver]],1,Table1[[HomeTeam]:[HomeTeam]],$A9, Table1[[AwayTeam]:[AwayTeam]], AB$1, Table1[[ActualResult]:[ActualResult]], "REG"),0), "-", TEXT(SUMIFS(Table1[[HomeWon]:[HomeWon]], Table1[[GameIsOver]:[GameIsOver]],1,Table1[[AwayTeam]:[AwayTeam]],$A9, Table1[[HomeTeam]:[HomeTeam]], AB$1, Table1[[ActualResult]:[ActualResult]], "OT") + SUMIFS(Table1[[AwayWon]:[AwayWon]], Table1[[GameIsOver]:[GameIsOver]],1,Table1[[HomeTeam]:[HomeTeam]],$A9, Table1[[AwayTeam]:[AwayTeam]], AB$1, Table1[[ActualResult]:[ActualResult]], "OT") + SUMIFS(Table1[[HomeWon]:[HomeWon]], Table1[[GameIsOver]:[GameIsOver]],1,Table1[[AwayTeam]:[AwayTeam]],$A9, Table1[[HomeTeam]:[HomeTeam]], AB$1, Table1[[ActualResult]:[ActualResult]], "SO") + SUMIFS(Table1[[AwayWon]:[AwayWon]], Table1[[GameIsOver]:[GameIsOver]],1,Table1[[HomeTeam]:[HomeTeam]],$A9, Table1[[AwayTeam]:[AwayTeam]], AB$1, Table1[[ActualResult]:[ActualResult]], "SO"),0))</f>
        <v>0-0-0</v>
      </c>
      <c r="AC9" s="47" t="str">
        <f>_xlfn.CONCAT(TEXT(SUMIFS(Table1[[AwayWon]:[AwayWon]], Table1[[GameIsOver]:[GameIsOver]],1,Table1[[AwayTeam]:[AwayTeam]],$A9, Table1[[HomeTeam]:[HomeTeam]], AC$1) + SUMIFS(Table1[[HomeWon]:[HomeWon]], Table1[[GameIsOver]:[GameIsOver]],1,Table1[[HomeTeam]:[HomeTeam]],$A9, Table1[[AwayTeam]:[AwayTeam]], AC$1),0), "-", TEXT(SUMIFS(Table1[[HomeWon]:[HomeWon]], Table1[[GameIsOver]:[GameIsOver]],1,Table1[[AwayTeam]:[AwayTeam]],$A9, Table1[[HomeTeam]:[HomeTeam]], AC$1, Table1[[ActualResult]:[ActualResult]], "REG") + SUMIFS(Table1[[AwayWon]:[AwayWon]], Table1[[GameIsOver]:[GameIsOver]],1,Table1[[HomeTeam]:[HomeTeam]],$A9, Table1[[AwayTeam]:[AwayTeam]], AC$1, Table1[[ActualResult]:[ActualResult]], "REG"),0), "-", TEXT(SUMIFS(Table1[[HomeWon]:[HomeWon]], Table1[[GameIsOver]:[GameIsOver]],1,Table1[[AwayTeam]:[AwayTeam]],$A9, Table1[[HomeTeam]:[HomeTeam]], AC$1, Table1[[ActualResult]:[ActualResult]], "OT") + SUMIFS(Table1[[AwayWon]:[AwayWon]], Table1[[GameIsOver]:[GameIsOver]],1,Table1[[HomeTeam]:[HomeTeam]],$A9, Table1[[AwayTeam]:[AwayTeam]], AC$1, Table1[[ActualResult]:[ActualResult]], "OT") + SUMIFS(Table1[[HomeWon]:[HomeWon]], Table1[[GameIsOver]:[GameIsOver]],1,Table1[[AwayTeam]:[AwayTeam]],$A9, Table1[[HomeTeam]:[HomeTeam]], AC$1, Table1[[ActualResult]:[ActualResult]], "SO") + SUMIFS(Table1[[AwayWon]:[AwayWon]], Table1[[GameIsOver]:[GameIsOver]],1,Table1[[HomeTeam]:[HomeTeam]],$A9, Table1[[AwayTeam]:[AwayTeam]], AC$1, Table1[[ActualResult]:[ActualResult]], "SO"),0))</f>
        <v>0-0-0</v>
      </c>
      <c r="AD9" s="47" t="str">
        <f>_xlfn.CONCAT(TEXT(SUMIFS(Table1[[AwayWon]:[AwayWon]], Table1[[GameIsOver]:[GameIsOver]],1,Table1[[AwayTeam]:[AwayTeam]],$A9, Table1[[HomeTeam]:[HomeTeam]], AD$1) + SUMIFS(Table1[[HomeWon]:[HomeWon]], Table1[[GameIsOver]:[GameIsOver]],1,Table1[[HomeTeam]:[HomeTeam]],$A9, Table1[[AwayTeam]:[AwayTeam]], AD$1),0), "-", TEXT(SUMIFS(Table1[[HomeWon]:[HomeWon]], Table1[[GameIsOver]:[GameIsOver]],1,Table1[[AwayTeam]:[AwayTeam]],$A9, Table1[[HomeTeam]:[HomeTeam]], AD$1, Table1[[ActualResult]:[ActualResult]], "REG") + SUMIFS(Table1[[AwayWon]:[AwayWon]], Table1[[GameIsOver]:[GameIsOver]],1,Table1[[HomeTeam]:[HomeTeam]],$A9, Table1[[AwayTeam]:[AwayTeam]], AD$1, Table1[[ActualResult]:[ActualResult]], "REG"),0), "-", TEXT(SUMIFS(Table1[[HomeWon]:[HomeWon]], Table1[[GameIsOver]:[GameIsOver]],1,Table1[[AwayTeam]:[AwayTeam]],$A9, Table1[[HomeTeam]:[HomeTeam]], AD$1, Table1[[ActualResult]:[ActualResult]], "OT") + SUMIFS(Table1[[AwayWon]:[AwayWon]], Table1[[GameIsOver]:[GameIsOver]],1,Table1[[HomeTeam]:[HomeTeam]],$A9, Table1[[AwayTeam]:[AwayTeam]], AD$1, Table1[[ActualResult]:[ActualResult]], "OT") + SUMIFS(Table1[[HomeWon]:[HomeWon]], Table1[[GameIsOver]:[GameIsOver]],1,Table1[[AwayTeam]:[AwayTeam]],$A9, Table1[[HomeTeam]:[HomeTeam]], AD$1, Table1[[ActualResult]:[ActualResult]], "SO") + SUMIFS(Table1[[AwayWon]:[AwayWon]], Table1[[GameIsOver]:[GameIsOver]],1,Table1[[HomeTeam]:[HomeTeam]],$A9, Table1[[AwayTeam]:[AwayTeam]], AD$1, Table1[[ActualResult]:[ActualResult]], "SO"),0))</f>
        <v>0-0-0</v>
      </c>
      <c r="AE9" s="47" t="str">
        <f>_xlfn.CONCAT(TEXT(SUMIFS(Table1[[AwayWon]:[AwayWon]], Table1[[GameIsOver]:[GameIsOver]],1,Table1[[AwayTeam]:[AwayTeam]],$A9, Table1[[HomeTeam]:[HomeTeam]], AE$1) + SUMIFS(Table1[[HomeWon]:[HomeWon]], Table1[[GameIsOver]:[GameIsOver]],1,Table1[[HomeTeam]:[HomeTeam]],$A9, Table1[[AwayTeam]:[AwayTeam]], AE$1),0), "-", TEXT(SUMIFS(Table1[[HomeWon]:[HomeWon]], Table1[[GameIsOver]:[GameIsOver]],1,Table1[[AwayTeam]:[AwayTeam]],$A9, Table1[[HomeTeam]:[HomeTeam]], AE$1, Table1[[ActualResult]:[ActualResult]], "REG") + SUMIFS(Table1[[AwayWon]:[AwayWon]], Table1[[GameIsOver]:[GameIsOver]],1,Table1[[HomeTeam]:[HomeTeam]],$A9, Table1[[AwayTeam]:[AwayTeam]], AE$1, Table1[[ActualResult]:[ActualResult]], "REG"),0), "-", TEXT(SUMIFS(Table1[[HomeWon]:[HomeWon]], Table1[[GameIsOver]:[GameIsOver]],1,Table1[[AwayTeam]:[AwayTeam]],$A9, Table1[[HomeTeam]:[HomeTeam]], AE$1, Table1[[ActualResult]:[ActualResult]], "OT") + SUMIFS(Table1[[AwayWon]:[AwayWon]], Table1[[GameIsOver]:[GameIsOver]],1,Table1[[HomeTeam]:[HomeTeam]],$A9, Table1[[AwayTeam]:[AwayTeam]], AE$1, Table1[[ActualResult]:[ActualResult]], "OT") + SUMIFS(Table1[[HomeWon]:[HomeWon]], Table1[[GameIsOver]:[GameIsOver]],1,Table1[[AwayTeam]:[AwayTeam]],$A9, Table1[[HomeTeam]:[HomeTeam]], AE$1, Table1[[ActualResult]:[ActualResult]], "SO") + SUMIFS(Table1[[AwayWon]:[AwayWon]], Table1[[GameIsOver]:[GameIsOver]],1,Table1[[HomeTeam]:[HomeTeam]],$A9, Table1[[AwayTeam]:[AwayTeam]], AE$1, Table1[[ActualResult]:[ActualResult]], "SO"),0))</f>
        <v>0-0-0</v>
      </c>
      <c r="AF9" s="47" t="str">
        <f>_xlfn.CONCAT(TEXT(SUMIFS(Table1[[AwayWon]:[AwayWon]], Table1[[GameIsOver]:[GameIsOver]],1,Table1[[AwayTeam]:[AwayTeam]],$A9, Table1[[HomeTeam]:[HomeTeam]], AF$1) + SUMIFS(Table1[[HomeWon]:[HomeWon]], Table1[[GameIsOver]:[GameIsOver]],1,Table1[[HomeTeam]:[HomeTeam]],$A9, Table1[[AwayTeam]:[AwayTeam]], AF$1),0), "-", TEXT(SUMIFS(Table1[[HomeWon]:[HomeWon]], Table1[[GameIsOver]:[GameIsOver]],1,Table1[[AwayTeam]:[AwayTeam]],$A9, Table1[[HomeTeam]:[HomeTeam]], AF$1, Table1[[ActualResult]:[ActualResult]], "REG") + SUMIFS(Table1[[AwayWon]:[AwayWon]], Table1[[GameIsOver]:[GameIsOver]],1,Table1[[HomeTeam]:[HomeTeam]],$A9, Table1[[AwayTeam]:[AwayTeam]], AF$1, Table1[[ActualResult]:[ActualResult]], "REG"),0), "-", TEXT(SUMIFS(Table1[[HomeWon]:[HomeWon]], Table1[[GameIsOver]:[GameIsOver]],1,Table1[[AwayTeam]:[AwayTeam]],$A9, Table1[[HomeTeam]:[HomeTeam]], AF$1, Table1[[ActualResult]:[ActualResult]], "OT") + SUMIFS(Table1[[AwayWon]:[AwayWon]], Table1[[GameIsOver]:[GameIsOver]],1,Table1[[HomeTeam]:[HomeTeam]],$A9, Table1[[AwayTeam]:[AwayTeam]], AF$1, Table1[[ActualResult]:[ActualResult]], "OT") + SUMIFS(Table1[[HomeWon]:[HomeWon]], Table1[[GameIsOver]:[GameIsOver]],1,Table1[[AwayTeam]:[AwayTeam]],$A9, Table1[[HomeTeam]:[HomeTeam]], AF$1, Table1[[ActualResult]:[ActualResult]], "SO") + SUMIFS(Table1[[AwayWon]:[AwayWon]], Table1[[GameIsOver]:[GameIsOver]],1,Table1[[HomeTeam]:[HomeTeam]],$A9, Table1[[AwayTeam]:[AwayTeam]], AF$1, Table1[[ActualResult]:[ActualResult]], "SO"),0))</f>
        <v>0-0-0</v>
      </c>
      <c r="AG9" s="47" t="str">
        <f>_xlfn.CONCAT(TEXT(SUMIFS(Table1[[AwayWon]:[AwayWon]], Table1[[GameIsOver]:[GameIsOver]],1,Table1[[AwayTeam]:[AwayTeam]],$A9, Table1[[HomeTeam]:[HomeTeam]], AG$1) + SUMIFS(Table1[[HomeWon]:[HomeWon]], Table1[[GameIsOver]:[GameIsOver]],1,Table1[[HomeTeam]:[HomeTeam]],$A9, Table1[[AwayTeam]:[AwayTeam]], AG$1),0), "-", TEXT(SUMIFS(Table1[[HomeWon]:[HomeWon]], Table1[[GameIsOver]:[GameIsOver]],1,Table1[[AwayTeam]:[AwayTeam]],$A9, Table1[[HomeTeam]:[HomeTeam]], AG$1, Table1[[ActualResult]:[ActualResult]], "REG") + SUMIFS(Table1[[AwayWon]:[AwayWon]], Table1[[GameIsOver]:[GameIsOver]],1,Table1[[HomeTeam]:[HomeTeam]],$A9, Table1[[AwayTeam]:[AwayTeam]], AG$1, Table1[[ActualResult]:[ActualResult]], "REG"),0), "-", TEXT(SUMIFS(Table1[[HomeWon]:[HomeWon]], Table1[[GameIsOver]:[GameIsOver]],1,Table1[[AwayTeam]:[AwayTeam]],$A9, Table1[[HomeTeam]:[HomeTeam]], AG$1, Table1[[ActualResult]:[ActualResult]], "OT") + SUMIFS(Table1[[AwayWon]:[AwayWon]], Table1[[GameIsOver]:[GameIsOver]],1,Table1[[HomeTeam]:[HomeTeam]],$A9, Table1[[AwayTeam]:[AwayTeam]], AG$1, Table1[[ActualResult]:[ActualResult]], "OT") + SUMIFS(Table1[[HomeWon]:[HomeWon]], Table1[[GameIsOver]:[GameIsOver]],1,Table1[[AwayTeam]:[AwayTeam]],$A9, Table1[[HomeTeam]:[HomeTeam]], AG$1, Table1[[ActualResult]:[ActualResult]], "SO") + SUMIFS(Table1[[AwayWon]:[AwayWon]], Table1[[GameIsOver]:[GameIsOver]],1,Table1[[HomeTeam]:[HomeTeam]],$A9, Table1[[AwayTeam]:[AwayTeam]], AG$1, Table1[[ActualResult]:[ActualResult]], "SO"),0))</f>
        <v>0-0-0</v>
      </c>
    </row>
    <row r="10" spans="1:33" ht="15.75" thickTop="1" x14ac:dyDescent="0.25">
      <c r="A10" s="17" t="s">
        <v>16</v>
      </c>
      <c r="B10" s="43" t="str">
        <f>_xlfn.CONCAT(TEXT(SUMIFS(Table1[[AwayWon]:[AwayWon]], Table1[[GameIsOver]:[GameIsOver]],1,Table1[[AwayTeam]:[AwayTeam]],$A10, Table1[[HomeTeam]:[HomeTeam]], B$1) + SUMIFS(Table1[[HomeWon]:[HomeWon]], Table1[[GameIsOver]:[GameIsOver]],1,Table1[[HomeTeam]:[HomeTeam]],$A10, Table1[[AwayTeam]:[AwayTeam]], B$1),0), "-", TEXT(SUMIFS(Table1[[HomeWon]:[HomeWon]], Table1[[GameIsOver]:[GameIsOver]],1,Table1[[AwayTeam]:[AwayTeam]],$A10, Table1[[HomeTeam]:[HomeTeam]], B$1, Table1[[ActualResult]:[ActualResult]], "REG") + SUMIFS(Table1[[AwayWon]:[AwayWon]], Table1[[GameIsOver]:[GameIsOver]],1,Table1[[HomeTeam]:[HomeTeam]],$A10, Table1[[AwayTeam]:[AwayTeam]], B$1, Table1[[ActualResult]:[ActualResult]], "REG"),0), "-", TEXT(SUMIFS(Table1[[HomeWon]:[HomeWon]], Table1[[GameIsOver]:[GameIsOver]],1,Table1[[AwayTeam]:[AwayTeam]],$A10, Table1[[HomeTeam]:[HomeTeam]], B$1, Table1[[ActualResult]:[ActualResult]], "OT") + SUMIFS(Table1[[AwayWon]:[AwayWon]], Table1[[GameIsOver]:[GameIsOver]],1,Table1[[HomeTeam]:[HomeTeam]],$A10, Table1[[AwayTeam]:[AwayTeam]], B$1, Table1[[ActualResult]:[ActualResult]], "OT") + SUMIFS(Table1[[HomeWon]:[HomeWon]], Table1[[GameIsOver]:[GameIsOver]],1,Table1[[AwayTeam]:[AwayTeam]],$A10, Table1[[HomeTeam]:[HomeTeam]], B$1, Table1[[ActualResult]:[ActualResult]], "SO") + SUMIFS(Table1[[AwayWon]:[AwayWon]], Table1[[GameIsOver]:[GameIsOver]],1,Table1[[HomeTeam]:[HomeTeam]],$A10, Table1[[AwayTeam]:[AwayTeam]], B$1, Table1[[ActualResult]:[ActualResult]], "SO"),0))</f>
        <v>0-0-0</v>
      </c>
      <c r="C10" s="43" t="str">
        <f>_xlfn.CONCAT(TEXT(SUMIFS(Table1[[AwayWon]:[AwayWon]], Table1[[GameIsOver]:[GameIsOver]],1,Table1[[AwayTeam]:[AwayTeam]],$A10, Table1[[HomeTeam]:[HomeTeam]], C$1) + SUMIFS(Table1[[HomeWon]:[HomeWon]], Table1[[GameIsOver]:[GameIsOver]],1,Table1[[HomeTeam]:[HomeTeam]],$A10, Table1[[AwayTeam]:[AwayTeam]], C$1),0), "-", TEXT(SUMIFS(Table1[[HomeWon]:[HomeWon]], Table1[[GameIsOver]:[GameIsOver]],1,Table1[[AwayTeam]:[AwayTeam]],$A10, Table1[[HomeTeam]:[HomeTeam]], C$1, Table1[[ActualResult]:[ActualResult]], "REG") + SUMIFS(Table1[[AwayWon]:[AwayWon]], Table1[[GameIsOver]:[GameIsOver]],1,Table1[[HomeTeam]:[HomeTeam]],$A10, Table1[[AwayTeam]:[AwayTeam]], C$1, Table1[[ActualResult]:[ActualResult]], "REG"),0), "-", TEXT(SUMIFS(Table1[[HomeWon]:[HomeWon]], Table1[[GameIsOver]:[GameIsOver]],1,Table1[[AwayTeam]:[AwayTeam]],$A10, Table1[[HomeTeam]:[HomeTeam]], C$1, Table1[[ActualResult]:[ActualResult]], "OT") + SUMIFS(Table1[[AwayWon]:[AwayWon]], Table1[[GameIsOver]:[GameIsOver]],1,Table1[[HomeTeam]:[HomeTeam]],$A10, Table1[[AwayTeam]:[AwayTeam]], C$1, Table1[[ActualResult]:[ActualResult]], "OT") + SUMIFS(Table1[[HomeWon]:[HomeWon]], Table1[[GameIsOver]:[GameIsOver]],1,Table1[[AwayTeam]:[AwayTeam]],$A10, Table1[[HomeTeam]:[HomeTeam]], C$1, Table1[[ActualResult]:[ActualResult]], "SO") + SUMIFS(Table1[[AwayWon]:[AwayWon]], Table1[[GameIsOver]:[GameIsOver]],1,Table1[[HomeTeam]:[HomeTeam]],$A10, Table1[[AwayTeam]:[AwayTeam]], C$1, Table1[[ActualResult]:[ActualResult]], "SO"),0))</f>
        <v>0-0-0</v>
      </c>
      <c r="D10" s="43" t="str">
        <f>_xlfn.CONCAT(TEXT(SUMIFS(Table1[[AwayWon]:[AwayWon]], Table1[[GameIsOver]:[GameIsOver]],1,Table1[[AwayTeam]:[AwayTeam]],$A10, Table1[[HomeTeam]:[HomeTeam]], D$1) + SUMIFS(Table1[[HomeWon]:[HomeWon]], Table1[[GameIsOver]:[GameIsOver]],1,Table1[[HomeTeam]:[HomeTeam]],$A10, Table1[[AwayTeam]:[AwayTeam]], D$1),0), "-", TEXT(SUMIFS(Table1[[HomeWon]:[HomeWon]], Table1[[GameIsOver]:[GameIsOver]],1,Table1[[AwayTeam]:[AwayTeam]],$A10, Table1[[HomeTeam]:[HomeTeam]], D$1, Table1[[ActualResult]:[ActualResult]], "REG") + SUMIFS(Table1[[AwayWon]:[AwayWon]], Table1[[GameIsOver]:[GameIsOver]],1,Table1[[HomeTeam]:[HomeTeam]],$A10, Table1[[AwayTeam]:[AwayTeam]], D$1, Table1[[ActualResult]:[ActualResult]], "REG"),0), "-", TEXT(SUMIFS(Table1[[HomeWon]:[HomeWon]], Table1[[GameIsOver]:[GameIsOver]],1,Table1[[AwayTeam]:[AwayTeam]],$A10, Table1[[HomeTeam]:[HomeTeam]], D$1, Table1[[ActualResult]:[ActualResult]], "OT") + SUMIFS(Table1[[AwayWon]:[AwayWon]], Table1[[GameIsOver]:[GameIsOver]],1,Table1[[HomeTeam]:[HomeTeam]],$A10, Table1[[AwayTeam]:[AwayTeam]], D$1, Table1[[ActualResult]:[ActualResult]], "OT") + SUMIFS(Table1[[HomeWon]:[HomeWon]], Table1[[GameIsOver]:[GameIsOver]],1,Table1[[AwayTeam]:[AwayTeam]],$A10, Table1[[HomeTeam]:[HomeTeam]], D$1, Table1[[ActualResult]:[ActualResult]], "SO") + SUMIFS(Table1[[AwayWon]:[AwayWon]], Table1[[GameIsOver]:[GameIsOver]],1,Table1[[HomeTeam]:[HomeTeam]],$A10, Table1[[AwayTeam]:[AwayTeam]], D$1, Table1[[ActualResult]:[ActualResult]], "SO"),0))</f>
        <v>0-0-0</v>
      </c>
      <c r="E10" s="43" t="str">
        <f>_xlfn.CONCAT(TEXT(SUMIFS(Table1[[AwayWon]:[AwayWon]], Table1[[GameIsOver]:[GameIsOver]],1,Table1[[AwayTeam]:[AwayTeam]],$A10, Table1[[HomeTeam]:[HomeTeam]], E$1) + SUMIFS(Table1[[HomeWon]:[HomeWon]], Table1[[GameIsOver]:[GameIsOver]],1,Table1[[HomeTeam]:[HomeTeam]],$A10, Table1[[AwayTeam]:[AwayTeam]], E$1),0), "-", TEXT(SUMIFS(Table1[[HomeWon]:[HomeWon]], Table1[[GameIsOver]:[GameIsOver]],1,Table1[[AwayTeam]:[AwayTeam]],$A10, Table1[[HomeTeam]:[HomeTeam]], E$1, Table1[[ActualResult]:[ActualResult]], "REG") + SUMIFS(Table1[[AwayWon]:[AwayWon]], Table1[[GameIsOver]:[GameIsOver]],1,Table1[[HomeTeam]:[HomeTeam]],$A10, Table1[[AwayTeam]:[AwayTeam]], E$1, Table1[[ActualResult]:[ActualResult]], "REG"),0), "-", TEXT(SUMIFS(Table1[[HomeWon]:[HomeWon]], Table1[[GameIsOver]:[GameIsOver]],1,Table1[[AwayTeam]:[AwayTeam]],$A10, Table1[[HomeTeam]:[HomeTeam]], E$1, Table1[[ActualResult]:[ActualResult]], "OT") + SUMIFS(Table1[[AwayWon]:[AwayWon]], Table1[[GameIsOver]:[GameIsOver]],1,Table1[[HomeTeam]:[HomeTeam]],$A10, Table1[[AwayTeam]:[AwayTeam]], E$1, Table1[[ActualResult]:[ActualResult]], "OT") + SUMIFS(Table1[[HomeWon]:[HomeWon]], Table1[[GameIsOver]:[GameIsOver]],1,Table1[[AwayTeam]:[AwayTeam]],$A10, Table1[[HomeTeam]:[HomeTeam]], E$1, Table1[[ActualResult]:[ActualResult]], "SO") + SUMIFS(Table1[[AwayWon]:[AwayWon]], Table1[[GameIsOver]:[GameIsOver]],1,Table1[[HomeTeam]:[HomeTeam]],$A10, Table1[[AwayTeam]:[AwayTeam]], E$1, Table1[[ActualResult]:[ActualResult]], "SO"),0))</f>
        <v>0-0-0</v>
      </c>
      <c r="F10" s="43" t="str">
        <f>_xlfn.CONCAT(TEXT(SUMIFS(Table1[[AwayWon]:[AwayWon]], Table1[[GameIsOver]:[GameIsOver]],1,Table1[[AwayTeam]:[AwayTeam]],$A10, Table1[[HomeTeam]:[HomeTeam]], F$1) + SUMIFS(Table1[[HomeWon]:[HomeWon]], Table1[[GameIsOver]:[GameIsOver]],1,Table1[[HomeTeam]:[HomeTeam]],$A10, Table1[[AwayTeam]:[AwayTeam]], F$1),0), "-", TEXT(SUMIFS(Table1[[HomeWon]:[HomeWon]], Table1[[GameIsOver]:[GameIsOver]],1,Table1[[AwayTeam]:[AwayTeam]],$A10, Table1[[HomeTeam]:[HomeTeam]], F$1, Table1[[ActualResult]:[ActualResult]], "REG") + SUMIFS(Table1[[AwayWon]:[AwayWon]], Table1[[GameIsOver]:[GameIsOver]],1,Table1[[HomeTeam]:[HomeTeam]],$A10, Table1[[AwayTeam]:[AwayTeam]], F$1, Table1[[ActualResult]:[ActualResult]], "REG"),0), "-", TEXT(SUMIFS(Table1[[HomeWon]:[HomeWon]], Table1[[GameIsOver]:[GameIsOver]],1,Table1[[AwayTeam]:[AwayTeam]],$A10, Table1[[HomeTeam]:[HomeTeam]], F$1, Table1[[ActualResult]:[ActualResult]], "OT") + SUMIFS(Table1[[AwayWon]:[AwayWon]], Table1[[GameIsOver]:[GameIsOver]],1,Table1[[HomeTeam]:[HomeTeam]],$A10, Table1[[AwayTeam]:[AwayTeam]], F$1, Table1[[ActualResult]:[ActualResult]], "OT") + SUMIFS(Table1[[HomeWon]:[HomeWon]], Table1[[GameIsOver]:[GameIsOver]],1,Table1[[AwayTeam]:[AwayTeam]],$A10, Table1[[HomeTeam]:[HomeTeam]], F$1, Table1[[ActualResult]:[ActualResult]], "SO") + SUMIFS(Table1[[AwayWon]:[AwayWon]], Table1[[GameIsOver]:[GameIsOver]],1,Table1[[HomeTeam]:[HomeTeam]],$A10, Table1[[AwayTeam]:[AwayTeam]], F$1, Table1[[ActualResult]:[ActualResult]], "SO"),0))</f>
        <v>0-0-0</v>
      </c>
      <c r="G10" s="43" t="str">
        <f>_xlfn.CONCAT(TEXT(SUMIFS(Table1[[AwayWon]:[AwayWon]], Table1[[GameIsOver]:[GameIsOver]],1,Table1[[AwayTeam]:[AwayTeam]],$A10, Table1[[HomeTeam]:[HomeTeam]], G$1) + SUMIFS(Table1[[HomeWon]:[HomeWon]], Table1[[GameIsOver]:[GameIsOver]],1,Table1[[HomeTeam]:[HomeTeam]],$A10, Table1[[AwayTeam]:[AwayTeam]], G$1),0), "-", TEXT(SUMIFS(Table1[[HomeWon]:[HomeWon]], Table1[[GameIsOver]:[GameIsOver]],1,Table1[[AwayTeam]:[AwayTeam]],$A10, Table1[[HomeTeam]:[HomeTeam]], G$1, Table1[[ActualResult]:[ActualResult]], "REG") + SUMIFS(Table1[[AwayWon]:[AwayWon]], Table1[[GameIsOver]:[GameIsOver]],1,Table1[[HomeTeam]:[HomeTeam]],$A10, Table1[[AwayTeam]:[AwayTeam]], G$1, Table1[[ActualResult]:[ActualResult]], "REG"),0), "-", TEXT(SUMIFS(Table1[[HomeWon]:[HomeWon]], Table1[[GameIsOver]:[GameIsOver]],1,Table1[[AwayTeam]:[AwayTeam]],$A10, Table1[[HomeTeam]:[HomeTeam]], G$1, Table1[[ActualResult]:[ActualResult]], "OT") + SUMIFS(Table1[[AwayWon]:[AwayWon]], Table1[[GameIsOver]:[GameIsOver]],1,Table1[[HomeTeam]:[HomeTeam]],$A10, Table1[[AwayTeam]:[AwayTeam]], G$1, Table1[[ActualResult]:[ActualResult]], "OT") + SUMIFS(Table1[[HomeWon]:[HomeWon]], Table1[[GameIsOver]:[GameIsOver]],1,Table1[[AwayTeam]:[AwayTeam]],$A10, Table1[[HomeTeam]:[HomeTeam]], G$1, Table1[[ActualResult]:[ActualResult]], "SO") + SUMIFS(Table1[[AwayWon]:[AwayWon]], Table1[[GameIsOver]:[GameIsOver]],1,Table1[[HomeTeam]:[HomeTeam]],$A10, Table1[[AwayTeam]:[AwayTeam]], G$1, Table1[[ActualResult]:[ActualResult]], "SO"),0))</f>
        <v>0-0-0</v>
      </c>
      <c r="H10" s="43" t="str">
        <f>_xlfn.CONCAT(TEXT(SUMIFS(Table1[[AwayWon]:[AwayWon]], Table1[[GameIsOver]:[GameIsOver]],1,Table1[[AwayTeam]:[AwayTeam]],$A10, Table1[[HomeTeam]:[HomeTeam]], H$1) + SUMIFS(Table1[[HomeWon]:[HomeWon]], Table1[[GameIsOver]:[GameIsOver]],1,Table1[[HomeTeam]:[HomeTeam]],$A10, Table1[[AwayTeam]:[AwayTeam]], H$1),0), "-", TEXT(SUMIFS(Table1[[HomeWon]:[HomeWon]], Table1[[GameIsOver]:[GameIsOver]],1,Table1[[AwayTeam]:[AwayTeam]],$A10, Table1[[HomeTeam]:[HomeTeam]], H$1, Table1[[ActualResult]:[ActualResult]], "REG") + SUMIFS(Table1[[AwayWon]:[AwayWon]], Table1[[GameIsOver]:[GameIsOver]],1,Table1[[HomeTeam]:[HomeTeam]],$A10, Table1[[AwayTeam]:[AwayTeam]], H$1, Table1[[ActualResult]:[ActualResult]], "REG"),0), "-", TEXT(SUMIFS(Table1[[HomeWon]:[HomeWon]], Table1[[GameIsOver]:[GameIsOver]],1,Table1[[AwayTeam]:[AwayTeam]],$A10, Table1[[HomeTeam]:[HomeTeam]], H$1, Table1[[ActualResult]:[ActualResult]], "OT") + SUMIFS(Table1[[AwayWon]:[AwayWon]], Table1[[GameIsOver]:[GameIsOver]],1,Table1[[HomeTeam]:[HomeTeam]],$A10, Table1[[AwayTeam]:[AwayTeam]], H$1, Table1[[ActualResult]:[ActualResult]], "OT") + SUMIFS(Table1[[HomeWon]:[HomeWon]], Table1[[GameIsOver]:[GameIsOver]],1,Table1[[AwayTeam]:[AwayTeam]],$A10, Table1[[HomeTeam]:[HomeTeam]], H$1, Table1[[ActualResult]:[ActualResult]], "SO") + SUMIFS(Table1[[AwayWon]:[AwayWon]], Table1[[GameIsOver]:[GameIsOver]],1,Table1[[HomeTeam]:[HomeTeam]],$A10, Table1[[AwayTeam]:[AwayTeam]], H$1, Table1[[ActualResult]:[ActualResult]], "SO"),0))</f>
        <v>0-0-0</v>
      </c>
      <c r="I10" s="45" t="str">
        <f>_xlfn.CONCAT(TEXT(SUMIFS(Table1[[AwayWon]:[AwayWon]], Table1[[GameIsOver]:[GameIsOver]],1,Table1[[AwayTeam]:[AwayTeam]],$A10, Table1[[HomeTeam]:[HomeTeam]], I$1) + SUMIFS(Table1[[HomeWon]:[HomeWon]], Table1[[GameIsOver]:[GameIsOver]],1,Table1[[HomeTeam]:[HomeTeam]],$A10, Table1[[AwayTeam]:[AwayTeam]], I$1),0), "-", TEXT(SUMIFS(Table1[[HomeWon]:[HomeWon]], Table1[[GameIsOver]:[GameIsOver]],1,Table1[[AwayTeam]:[AwayTeam]],$A10, Table1[[HomeTeam]:[HomeTeam]], I$1, Table1[[ActualResult]:[ActualResult]], "REG") + SUMIFS(Table1[[AwayWon]:[AwayWon]], Table1[[GameIsOver]:[GameIsOver]],1,Table1[[HomeTeam]:[HomeTeam]],$A10, Table1[[AwayTeam]:[AwayTeam]], I$1, Table1[[ActualResult]:[ActualResult]], "REG"),0), "-", TEXT(SUMIFS(Table1[[HomeWon]:[HomeWon]], Table1[[GameIsOver]:[GameIsOver]],1,Table1[[AwayTeam]:[AwayTeam]],$A10, Table1[[HomeTeam]:[HomeTeam]], I$1, Table1[[ActualResult]:[ActualResult]], "OT") + SUMIFS(Table1[[AwayWon]:[AwayWon]], Table1[[GameIsOver]:[GameIsOver]],1,Table1[[HomeTeam]:[HomeTeam]],$A10, Table1[[AwayTeam]:[AwayTeam]], I$1, Table1[[ActualResult]:[ActualResult]], "OT") + SUMIFS(Table1[[HomeWon]:[HomeWon]], Table1[[GameIsOver]:[GameIsOver]],1,Table1[[AwayTeam]:[AwayTeam]],$A10, Table1[[HomeTeam]:[HomeTeam]], I$1, Table1[[ActualResult]:[ActualResult]], "SO") + SUMIFS(Table1[[AwayWon]:[AwayWon]], Table1[[GameIsOver]:[GameIsOver]],1,Table1[[HomeTeam]:[HomeTeam]],$A10, Table1[[AwayTeam]:[AwayTeam]], I$1, Table1[[ActualResult]:[ActualResult]], "SO"),0))</f>
        <v>1-0-0</v>
      </c>
      <c r="J10" s="43" t="str">
        <f>_xlfn.CONCAT(TEXT(SUMIFS(Table1[[AwayWon]:[AwayWon]], Table1[[GameIsOver]:[GameIsOver]],1,Table1[[AwayTeam]:[AwayTeam]],$A10, Table1[[HomeTeam]:[HomeTeam]], J$1) + SUMIFS(Table1[[HomeWon]:[HomeWon]], Table1[[GameIsOver]:[GameIsOver]],1,Table1[[HomeTeam]:[HomeTeam]],$A10, Table1[[AwayTeam]:[AwayTeam]], J$1),0), "-", TEXT(SUMIFS(Table1[[HomeWon]:[HomeWon]], Table1[[GameIsOver]:[GameIsOver]],1,Table1[[AwayTeam]:[AwayTeam]],$A10, Table1[[HomeTeam]:[HomeTeam]], J$1, Table1[[ActualResult]:[ActualResult]], "REG") + SUMIFS(Table1[[AwayWon]:[AwayWon]], Table1[[GameIsOver]:[GameIsOver]],1,Table1[[HomeTeam]:[HomeTeam]],$A10, Table1[[AwayTeam]:[AwayTeam]], J$1, Table1[[ActualResult]:[ActualResult]], "REG"),0), "-", TEXT(SUMIFS(Table1[[HomeWon]:[HomeWon]], Table1[[GameIsOver]:[GameIsOver]],1,Table1[[AwayTeam]:[AwayTeam]],$A10, Table1[[HomeTeam]:[HomeTeam]], J$1, Table1[[ActualResult]:[ActualResult]], "OT") + SUMIFS(Table1[[AwayWon]:[AwayWon]], Table1[[GameIsOver]:[GameIsOver]],1,Table1[[HomeTeam]:[HomeTeam]],$A10, Table1[[AwayTeam]:[AwayTeam]], J$1, Table1[[ActualResult]:[ActualResult]], "OT") + SUMIFS(Table1[[HomeWon]:[HomeWon]], Table1[[GameIsOver]:[GameIsOver]],1,Table1[[AwayTeam]:[AwayTeam]],$A10, Table1[[HomeTeam]:[HomeTeam]], J$1, Table1[[ActualResult]:[ActualResult]], "SO") + SUMIFS(Table1[[AwayWon]:[AwayWon]], Table1[[GameIsOver]:[GameIsOver]],1,Table1[[HomeTeam]:[HomeTeam]],$A10, Table1[[AwayTeam]:[AwayTeam]], J$1, Table1[[ActualResult]:[ActualResult]], "SO"),0))</f>
        <v>0-0-0</v>
      </c>
      <c r="K10" s="43" t="str">
        <f>_xlfn.CONCAT(TEXT(SUMIFS(Table1[[AwayWon]:[AwayWon]], Table1[[GameIsOver]:[GameIsOver]],1,Table1[[AwayTeam]:[AwayTeam]],$A10, Table1[[HomeTeam]:[HomeTeam]], K$1) + SUMIFS(Table1[[HomeWon]:[HomeWon]], Table1[[GameIsOver]:[GameIsOver]],1,Table1[[HomeTeam]:[HomeTeam]],$A10, Table1[[AwayTeam]:[AwayTeam]], K$1),0), "-", TEXT(SUMIFS(Table1[[HomeWon]:[HomeWon]], Table1[[GameIsOver]:[GameIsOver]],1,Table1[[AwayTeam]:[AwayTeam]],$A10, Table1[[HomeTeam]:[HomeTeam]], K$1, Table1[[ActualResult]:[ActualResult]], "REG") + SUMIFS(Table1[[AwayWon]:[AwayWon]], Table1[[GameIsOver]:[GameIsOver]],1,Table1[[HomeTeam]:[HomeTeam]],$A10, Table1[[AwayTeam]:[AwayTeam]], K$1, Table1[[ActualResult]:[ActualResult]], "REG"),0), "-", TEXT(SUMIFS(Table1[[HomeWon]:[HomeWon]], Table1[[GameIsOver]:[GameIsOver]],1,Table1[[AwayTeam]:[AwayTeam]],$A10, Table1[[HomeTeam]:[HomeTeam]], K$1, Table1[[ActualResult]:[ActualResult]], "OT") + SUMIFS(Table1[[AwayWon]:[AwayWon]], Table1[[GameIsOver]:[GameIsOver]],1,Table1[[HomeTeam]:[HomeTeam]],$A10, Table1[[AwayTeam]:[AwayTeam]], K$1, Table1[[ActualResult]:[ActualResult]], "OT") + SUMIFS(Table1[[HomeWon]:[HomeWon]], Table1[[GameIsOver]:[GameIsOver]],1,Table1[[AwayTeam]:[AwayTeam]],$A10, Table1[[HomeTeam]:[HomeTeam]], K$1, Table1[[ActualResult]:[ActualResult]], "SO") + SUMIFS(Table1[[AwayWon]:[AwayWon]], Table1[[GameIsOver]:[GameIsOver]],1,Table1[[HomeTeam]:[HomeTeam]],$A10, Table1[[AwayTeam]:[AwayTeam]], K$1, Table1[[ActualResult]:[ActualResult]], "SO"),0))</f>
        <v>0-0-0</v>
      </c>
      <c r="L10" s="43" t="str">
        <f>_xlfn.CONCAT(TEXT(SUMIFS(Table1[[AwayWon]:[AwayWon]], Table1[[GameIsOver]:[GameIsOver]],1,Table1[[AwayTeam]:[AwayTeam]],$A10, Table1[[HomeTeam]:[HomeTeam]], L$1) + SUMIFS(Table1[[HomeWon]:[HomeWon]], Table1[[GameIsOver]:[GameIsOver]],1,Table1[[HomeTeam]:[HomeTeam]],$A10, Table1[[AwayTeam]:[AwayTeam]], L$1),0), "-", TEXT(SUMIFS(Table1[[HomeWon]:[HomeWon]], Table1[[GameIsOver]:[GameIsOver]],1,Table1[[AwayTeam]:[AwayTeam]],$A10, Table1[[HomeTeam]:[HomeTeam]], L$1, Table1[[ActualResult]:[ActualResult]], "REG") + SUMIFS(Table1[[AwayWon]:[AwayWon]], Table1[[GameIsOver]:[GameIsOver]],1,Table1[[HomeTeam]:[HomeTeam]],$A10, Table1[[AwayTeam]:[AwayTeam]], L$1, Table1[[ActualResult]:[ActualResult]], "REG"),0), "-", TEXT(SUMIFS(Table1[[HomeWon]:[HomeWon]], Table1[[GameIsOver]:[GameIsOver]],1,Table1[[AwayTeam]:[AwayTeam]],$A10, Table1[[HomeTeam]:[HomeTeam]], L$1, Table1[[ActualResult]:[ActualResult]], "OT") + SUMIFS(Table1[[AwayWon]:[AwayWon]], Table1[[GameIsOver]:[GameIsOver]],1,Table1[[HomeTeam]:[HomeTeam]],$A10, Table1[[AwayTeam]:[AwayTeam]], L$1, Table1[[ActualResult]:[ActualResult]], "OT") + SUMIFS(Table1[[HomeWon]:[HomeWon]], Table1[[GameIsOver]:[GameIsOver]],1,Table1[[AwayTeam]:[AwayTeam]],$A10, Table1[[HomeTeam]:[HomeTeam]], L$1, Table1[[ActualResult]:[ActualResult]], "SO") + SUMIFS(Table1[[AwayWon]:[AwayWon]], Table1[[GameIsOver]:[GameIsOver]],1,Table1[[HomeTeam]:[HomeTeam]],$A10, Table1[[AwayTeam]:[AwayTeam]], L$1, Table1[[ActualResult]:[ActualResult]], "SO"),0))</f>
        <v>0-0-0</v>
      </c>
      <c r="M10" s="43" t="str">
        <f>_xlfn.CONCAT(TEXT(SUMIFS(Table1[[AwayWon]:[AwayWon]], Table1[[GameIsOver]:[GameIsOver]],1,Table1[[AwayTeam]:[AwayTeam]],$A10, Table1[[HomeTeam]:[HomeTeam]], M$1) + SUMIFS(Table1[[HomeWon]:[HomeWon]], Table1[[GameIsOver]:[GameIsOver]],1,Table1[[HomeTeam]:[HomeTeam]],$A10, Table1[[AwayTeam]:[AwayTeam]], M$1),0), "-", TEXT(SUMIFS(Table1[[HomeWon]:[HomeWon]], Table1[[GameIsOver]:[GameIsOver]],1,Table1[[AwayTeam]:[AwayTeam]],$A10, Table1[[HomeTeam]:[HomeTeam]], M$1, Table1[[ActualResult]:[ActualResult]], "REG") + SUMIFS(Table1[[AwayWon]:[AwayWon]], Table1[[GameIsOver]:[GameIsOver]],1,Table1[[HomeTeam]:[HomeTeam]],$A10, Table1[[AwayTeam]:[AwayTeam]], M$1, Table1[[ActualResult]:[ActualResult]], "REG"),0), "-", TEXT(SUMIFS(Table1[[HomeWon]:[HomeWon]], Table1[[GameIsOver]:[GameIsOver]],1,Table1[[AwayTeam]:[AwayTeam]],$A10, Table1[[HomeTeam]:[HomeTeam]], M$1, Table1[[ActualResult]:[ActualResult]], "OT") + SUMIFS(Table1[[AwayWon]:[AwayWon]], Table1[[GameIsOver]:[GameIsOver]],1,Table1[[HomeTeam]:[HomeTeam]],$A10, Table1[[AwayTeam]:[AwayTeam]], M$1, Table1[[ActualResult]:[ActualResult]], "OT") + SUMIFS(Table1[[HomeWon]:[HomeWon]], Table1[[GameIsOver]:[GameIsOver]],1,Table1[[AwayTeam]:[AwayTeam]],$A10, Table1[[HomeTeam]:[HomeTeam]], M$1, Table1[[ActualResult]:[ActualResult]], "SO") + SUMIFS(Table1[[AwayWon]:[AwayWon]], Table1[[GameIsOver]:[GameIsOver]],1,Table1[[HomeTeam]:[HomeTeam]],$A10, Table1[[AwayTeam]:[AwayTeam]], M$1, Table1[[ActualResult]:[ActualResult]], "SO"),0))</f>
        <v>0-0-0</v>
      </c>
      <c r="N10" s="43" t="str">
        <f>_xlfn.CONCAT(TEXT(SUMIFS(Table1[[AwayWon]:[AwayWon]], Table1[[GameIsOver]:[GameIsOver]],1,Table1[[AwayTeam]:[AwayTeam]],$A10, Table1[[HomeTeam]:[HomeTeam]], N$1) + SUMIFS(Table1[[HomeWon]:[HomeWon]], Table1[[GameIsOver]:[GameIsOver]],1,Table1[[HomeTeam]:[HomeTeam]],$A10, Table1[[AwayTeam]:[AwayTeam]], N$1),0), "-", TEXT(SUMIFS(Table1[[HomeWon]:[HomeWon]], Table1[[GameIsOver]:[GameIsOver]],1,Table1[[AwayTeam]:[AwayTeam]],$A10, Table1[[HomeTeam]:[HomeTeam]], N$1, Table1[[ActualResult]:[ActualResult]], "REG") + SUMIFS(Table1[[AwayWon]:[AwayWon]], Table1[[GameIsOver]:[GameIsOver]],1,Table1[[HomeTeam]:[HomeTeam]],$A10, Table1[[AwayTeam]:[AwayTeam]], N$1, Table1[[ActualResult]:[ActualResult]], "REG"),0), "-", TEXT(SUMIFS(Table1[[HomeWon]:[HomeWon]], Table1[[GameIsOver]:[GameIsOver]],1,Table1[[AwayTeam]:[AwayTeam]],$A10, Table1[[HomeTeam]:[HomeTeam]], N$1, Table1[[ActualResult]:[ActualResult]], "OT") + SUMIFS(Table1[[AwayWon]:[AwayWon]], Table1[[GameIsOver]:[GameIsOver]],1,Table1[[HomeTeam]:[HomeTeam]],$A10, Table1[[AwayTeam]:[AwayTeam]], N$1, Table1[[ActualResult]:[ActualResult]], "OT") + SUMIFS(Table1[[HomeWon]:[HomeWon]], Table1[[GameIsOver]:[GameIsOver]],1,Table1[[AwayTeam]:[AwayTeam]],$A10, Table1[[HomeTeam]:[HomeTeam]], N$1, Table1[[ActualResult]:[ActualResult]], "SO") + SUMIFS(Table1[[AwayWon]:[AwayWon]], Table1[[GameIsOver]:[GameIsOver]],1,Table1[[HomeTeam]:[HomeTeam]],$A10, Table1[[AwayTeam]:[AwayTeam]], N$1, Table1[[ActualResult]:[ActualResult]], "SO"),0))</f>
        <v>0-0-0</v>
      </c>
      <c r="O10" s="43" t="str">
        <f>_xlfn.CONCAT(TEXT(SUMIFS(Table1[[AwayWon]:[AwayWon]], Table1[[GameIsOver]:[GameIsOver]],1,Table1[[AwayTeam]:[AwayTeam]],$A10, Table1[[HomeTeam]:[HomeTeam]], O$1) + SUMIFS(Table1[[HomeWon]:[HomeWon]], Table1[[GameIsOver]:[GameIsOver]],1,Table1[[HomeTeam]:[HomeTeam]],$A10, Table1[[AwayTeam]:[AwayTeam]], O$1),0), "-", TEXT(SUMIFS(Table1[[HomeWon]:[HomeWon]], Table1[[GameIsOver]:[GameIsOver]],1,Table1[[AwayTeam]:[AwayTeam]],$A10, Table1[[HomeTeam]:[HomeTeam]], O$1, Table1[[ActualResult]:[ActualResult]], "REG") + SUMIFS(Table1[[AwayWon]:[AwayWon]], Table1[[GameIsOver]:[GameIsOver]],1,Table1[[HomeTeam]:[HomeTeam]],$A10, Table1[[AwayTeam]:[AwayTeam]], O$1, Table1[[ActualResult]:[ActualResult]], "REG"),0), "-", TEXT(SUMIFS(Table1[[HomeWon]:[HomeWon]], Table1[[GameIsOver]:[GameIsOver]],1,Table1[[AwayTeam]:[AwayTeam]],$A10, Table1[[HomeTeam]:[HomeTeam]], O$1, Table1[[ActualResult]:[ActualResult]], "OT") + SUMIFS(Table1[[AwayWon]:[AwayWon]], Table1[[GameIsOver]:[GameIsOver]],1,Table1[[HomeTeam]:[HomeTeam]],$A10, Table1[[AwayTeam]:[AwayTeam]], O$1, Table1[[ActualResult]:[ActualResult]], "OT") + SUMIFS(Table1[[HomeWon]:[HomeWon]], Table1[[GameIsOver]:[GameIsOver]],1,Table1[[AwayTeam]:[AwayTeam]],$A10, Table1[[HomeTeam]:[HomeTeam]], O$1, Table1[[ActualResult]:[ActualResult]], "SO") + SUMIFS(Table1[[AwayWon]:[AwayWon]], Table1[[GameIsOver]:[GameIsOver]],1,Table1[[HomeTeam]:[HomeTeam]],$A10, Table1[[AwayTeam]:[AwayTeam]], O$1, Table1[[ActualResult]:[ActualResult]], "SO"),0))</f>
        <v>0-0-0</v>
      </c>
      <c r="P10" s="43" t="str">
        <f>_xlfn.CONCAT(TEXT(SUMIFS(Table1[[AwayWon]:[AwayWon]], Table1[[GameIsOver]:[GameIsOver]],1,Table1[[AwayTeam]:[AwayTeam]],$A10, Table1[[HomeTeam]:[HomeTeam]], P$1) + SUMIFS(Table1[[HomeWon]:[HomeWon]], Table1[[GameIsOver]:[GameIsOver]],1,Table1[[HomeTeam]:[HomeTeam]],$A10, Table1[[AwayTeam]:[AwayTeam]], P$1),0), "-", TEXT(SUMIFS(Table1[[HomeWon]:[HomeWon]], Table1[[GameIsOver]:[GameIsOver]],1,Table1[[AwayTeam]:[AwayTeam]],$A10, Table1[[HomeTeam]:[HomeTeam]], P$1, Table1[[ActualResult]:[ActualResult]], "REG") + SUMIFS(Table1[[AwayWon]:[AwayWon]], Table1[[GameIsOver]:[GameIsOver]],1,Table1[[HomeTeam]:[HomeTeam]],$A10, Table1[[AwayTeam]:[AwayTeam]], P$1, Table1[[ActualResult]:[ActualResult]], "REG"),0), "-", TEXT(SUMIFS(Table1[[HomeWon]:[HomeWon]], Table1[[GameIsOver]:[GameIsOver]],1,Table1[[AwayTeam]:[AwayTeam]],$A10, Table1[[HomeTeam]:[HomeTeam]], P$1, Table1[[ActualResult]:[ActualResult]], "OT") + SUMIFS(Table1[[AwayWon]:[AwayWon]], Table1[[GameIsOver]:[GameIsOver]],1,Table1[[HomeTeam]:[HomeTeam]],$A10, Table1[[AwayTeam]:[AwayTeam]], P$1, Table1[[ActualResult]:[ActualResult]], "OT") + SUMIFS(Table1[[HomeWon]:[HomeWon]], Table1[[GameIsOver]:[GameIsOver]],1,Table1[[AwayTeam]:[AwayTeam]],$A10, Table1[[HomeTeam]:[HomeTeam]], P$1, Table1[[ActualResult]:[ActualResult]], "SO") + SUMIFS(Table1[[AwayWon]:[AwayWon]], Table1[[GameIsOver]:[GameIsOver]],1,Table1[[HomeTeam]:[HomeTeam]],$A10, Table1[[AwayTeam]:[AwayTeam]], P$1, Table1[[ActualResult]:[ActualResult]], "SO"),0))</f>
        <v>0-0-1</v>
      </c>
      <c r="Q10" s="45" t="str">
        <f>_xlfn.CONCAT(TEXT(SUMIFS(Table1[[AwayWon]:[AwayWon]], Table1[[GameIsOver]:[GameIsOver]],1,Table1[[AwayTeam]:[AwayTeam]],$A10, Table1[[HomeTeam]:[HomeTeam]], Q$1) + SUMIFS(Table1[[HomeWon]:[HomeWon]], Table1[[GameIsOver]:[GameIsOver]],1,Table1[[HomeTeam]:[HomeTeam]],$A10, Table1[[AwayTeam]:[AwayTeam]], Q$1),0), "-", TEXT(SUMIFS(Table1[[HomeWon]:[HomeWon]], Table1[[GameIsOver]:[GameIsOver]],1,Table1[[AwayTeam]:[AwayTeam]],$A10, Table1[[HomeTeam]:[HomeTeam]], Q$1, Table1[[ActualResult]:[ActualResult]], "REG") + SUMIFS(Table1[[AwayWon]:[AwayWon]], Table1[[GameIsOver]:[GameIsOver]],1,Table1[[HomeTeam]:[HomeTeam]],$A10, Table1[[AwayTeam]:[AwayTeam]], Q$1, Table1[[ActualResult]:[ActualResult]], "REG"),0), "-", TEXT(SUMIFS(Table1[[HomeWon]:[HomeWon]], Table1[[GameIsOver]:[GameIsOver]],1,Table1[[AwayTeam]:[AwayTeam]],$A10, Table1[[HomeTeam]:[HomeTeam]], Q$1, Table1[[ActualResult]:[ActualResult]], "OT") + SUMIFS(Table1[[AwayWon]:[AwayWon]], Table1[[GameIsOver]:[GameIsOver]],1,Table1[[HomeTeam]:[HomeTeam]],$A10, Table1[[AwayTeam]:[AwayTeam]], Q$1, Table1[[ActualResult]:[ActualResult]], "OT") + SUMIFS(Table1[[HomeWon]:[HomeWon]], Table1[[GameIsOver]:[GameIsOver]],1,Table1[[AwayTeam]:[AwayTeam]],$A10, Table1[[HomeTeam]:[HomeTeam]], Q$1, Table1[[ActualResult]:[ActualResult]], "SO") + SUMIFS(Table1[[AwayWon]:[AwayWon]], Table1[[GameIsOver]:[GameIsOver]],1,Table1[[HomeTeam]:[HomeTeam]],$A10, Table1[[AwayTeam]:[AwayTeam]], Q$1, Table1[[ActualResult]:[ActualResult]], "SO"),0))</f>
        <v>0-0-0</v>
      </c>
      <c r="R10" s="43" t="str">
        <f>_xlfn.CONCAT(TEXT(SUMIFS(Table1[[AwayWon]:[AwayWon]], Table1[[GameIsOver]:[GameIsOver]],1,Table1[[AwayTeam]:[AwayTeam]],$A10, Table1[[HomeTeam]:[HomeTeam]], R$1) + SUMIFS(Table1[[HomeWon]:[HomeWon]], Table1[[GameIsOver]:[GameIsOver]],1,Table1[[HomeTeam]:[HomeTeam]],$A10, Table1[[AwayTeam]:[AwayTeam]], R$1),0), "-", TEXT(SUMIFS(Table1[[HomeWon]:[HomeWon]], Table1[[GameIsOver]:[GameIsOver]],1,Table1[[AwayTeam]:[AwayTeam]],$A10, Table1[[HomeTeam]:[HomeTeam]], R$1, Table1[[ActualResult]:[ActualResult]], "REG") + SUMIFS(Table1[[AwayWon]:[AwayWon]], Table1[[GameIsOver]:[GameIsOver]],1,Table1[[HomeTeam]:[HomeTeam]],$A10, Table1[[AwayTeam]:[AwayTeam]], R$1, Table1[[ActualResult]:[ActualResult]], "REG"),0), "-", TEXT(SUMIFS(Table1[[HomeWon]:[HomeWon]], Table1[[GameIsOver]:[GameIsOver]],1,Table1[[AwayTeam]:[AwayTeam]],$A10, Table1[[HomeTeam]:[HomeTeam]], R$1, Table1[[ActualResult]:[ActualResult]], "OT") + SUMIFS(Table1[[AwayWon]:[AwayWon]], Table1[[GameIsOver]:[GameIsOver]],1,Table1[[HomeTeam]:[HomeTeam]],$A10, Table1[[AwayTeam]:[AwayTeam]], R$1, Table1[[ActualResult]:[ActualResult]], "OT") + SUMIFS(Table1[[HomeWon]:[HomeWon]], Table1[[GameIsOver]:[GameIsOver]],1,Table1[[AwayTeam]:[AwayTeam]],$A10, Table1[[HomeTeam]:[HomeTeam]], R$1, Table1[[ActualResult]:[ActualResult]], "SO") + SUMIFS(Table1[[AwayWon]:[AwayWon]], Table1[[GameIsOver]:[GameIsOver]],1,Table1[[HomeTeam]:[HomeTeam]],$A10, Table1[[AwayTeam]:[AwayTeam]], R$1, Table1[[ActualResult]:[ActualResult]], "SO"),0))</f>
        <v>0-0-0</v>
      </c>
      <c r="S10" s="43" t="str">
        <f>_xlfn.CONCAT(TEXT(SUMIFS(Table1[[AwayWon]:[AwayWon]], Table1[[GameIsOver]:[GameIsOver]],1,Table1[[AwayTeam]:[AwayTeam]],$A10, Table1[[HomeTeam]:[HomeTeam]], S$1) + SUMIFS(Table1[[HomeWon]:[HomeWon]], Table1[[GameIsOver]:[GameIsOver]],1,Table1[[HomeTeam]:[HomeTeam]],$A10, Table1[[AwayTeam]:[AwayTeam]], S$1),0), "-", TEXT(SUMIFS(Table1[[HomeWon]:[HomeWon]], Table1[[GameIsOver]:[GameIsOver]],1,Table1[[AwayTeam]:[AwayTeam]],$A10, Table1[[HomeTeam]:[HomeTeam]], S$1, Table1[[ActualResult]:[ActualResult]], "REG") + SUMIFS(Table1[[AwayWon]:[AwayWon]], Table1[[GameIsOver]:[GameIsOver]],1,Table1[[HomeTeam]:[HomeTeam]],$A10, Table1[[AwayTeam]:[AwayTeam]], S$1, Table1[[ActualResult]:[ActualResult]], "REG"),0), "-", TEXT(SUMIFS(Table1[[HomeWon]:[HomeWon]], Table1[[GameIsOver]:[GameIsOver]],1,Table1[[AwayTeam]:[AwayTeam]],$A10, Table1[[HomeTeam]:[HomeTeam]], S$1, Table1[[ActualResult]:[ActualResult]], "OT") + SUMIFS(Table1[[AwayWon]:[AwayWon]], Table1[[GameIsOver]:[GameIsOver]],1,Table1[[HomeTeam]:[HomeTeam]],$A10, Table1[[AwayTeam]:[AwayTeam]], S$1, Table1[[ActualResult]:[ActualResult]], "OT") + SUMIFS(Table1[[HomeWon]:[HomeWon]], Table1[[GameIsOver]:[GameIsOver]],1,Table1[[AwayTeam]:[AwayTeam]],$A10, Table1[[HomeTeam]:[HomeTeam]], S$1, Table1[[ActualResult]:[ActualResult]], "SO") + SUMIFS(Table1[[AwayWon]:[AwayWon]], Table1[[GameIsOver]:[GameIsOver]],1,Table1[[HomeTeam]:[HomeTeam]],$A10, Table1[[AwayTeam]:[AwayTeam]], S$1, Table1[[ActualResult]:[ActualResult]], "SO"),0))</f>
        <v>0-0-0</v>
      </c>
      <c r="T10" s="43" t="str">
        <f>_xlfn.CONCAT(TEXT(SUMIFS(Table1[[AwayWon]:[AwayWon]], Table1[[GameIsOver]:[GameIsOver]],1,Table1[[AwayTeam]:[AwayTeam]],$A10, Table1[[HomeTeam]:[HomeTeam]], T$1) + SUMIFS(Table1[[HomeWon]:[HomeWon]], Table1[[GameIsOver]:[GameIsOver]],1,Table1[[HomeTeam]:[HomeTeam]],$A10, Table1[[AwayTeam]:[AwayTeam]], T$1),0), "-", TEXT(SUMIFS(Table1[[HomeWon]:[HomeWon]], Table1[[GameIsOver]:[GameIsOver]],1,Table1[[AwayTeam]:[AwayTeam]],$A10, Table1[[HomeTeam]:[HomeTeam]], T$1, Table1[[ActualResult]:[ActualResult]], "REG") + SUMIFS(Table1[[AwayWon]:[AwayWon]], Table1[[GameIsOver]:[GameIsOver]],1,Table1[[HomeTeam]:[HomeTeam]],$A10, Table1[[AwayTeam]:[AwayTeam]], T$1, Table1[[ActualResult]:[ActualResult]], "REG"),0), "-", TEXT(SUMIFS(Table1[[HomeWon]:[HomeWon]], Table1[[GameIsOver]:[GameIsOver]],1,Table1[[AwayTeam]:[AwayTeam]],$A10, Table1[[HomeTeam]:[HomeTeam]], T$1, Table1[[ActualResult]:[ActualResult]], "OT") + SUMIFS(Table1[[AwayWon]:[AwayWon]], Table1[[GameIsOver]:[GameIsOver]],1,Table1[[HomeTeam]:[HomeTeam]],$A10, Table1[[AwayTeam]:[AwayTeam]], T$1, Table1[[ActualResult]:[ActualResult]], "OT") + SUMIFS(Table1[[HomeWon]:[HomeWon]], Table1[[GameIsOver]:[GameIsOver]],1,Table1[[AwayTeam]:[AwayTeam]],$A10, Table1[[HomeTeam]:[HomeTeam]], T$1, Table1[[ActualResult]:[ActualResult]], "SO") + SUMIFS(Table1[[AwayWon]:[AwayWon]], Table1[[GameIsOver]:[GameIsOver]],1,Table1[[HomeTeam]:[HomeTeam]],$A10, Table1[[AwayTeam]:[AwayTeam]], T$1, Table1[[ActualResult]:[ActualResult]], "SO"),0))</f>
        <v>0-0-0</v>
      </c>
      <c r="U10" s="43" t="str">
        <f>_xlfn.CONCAT(TEXT(SUMIFS(Table1[[AwayWon]:[AwayWon]], Table1[[GameIsOver]:[GameIsOver]],1,Table1[[AwayTeam]:[AwayTeam]],$A10, Table1[[HomeTeam]:[HomeTeam]], U$1) + SUMIFS(Table1[[HomeWon]:[HomeWon]], Table1[[GameIsOver]:[GameIsOver]],1,Table1[[HomeTeam]:[HomeTeam]],$A10, Table1[[AwayTeam]:[AwayTeam]], U$1),0), "-", TEXT(SUMIFS(Table1[[HomeWon]:[HomeWon]], Table1[[GameIsOver]:[GameIsOver]],1,Table1[[AwayTeam]:[AwayTeam]],$A10, Table1[[HomeTeam]:[HomeTeam]], U$1, Table1[[ActualResult]:[ActualResult]], "REG") + SUMIFS(Table1[[AwayWon]:[AwayWon]], Table1[[GameIsOver]:[GameIsOver]],1,Table1[[HomeTeam]:[HomeTeam]],$A10, Table1[[AwayTeam]:[AwayTeam]], U$1, Table1[[ActualResult]:[ActualResult]], "REG"),0), "-", TEXT(SUMIFS(Table1[[HomeWon]:[HomeWon]], Table1[[GameIsOver]:[GameIsOver]],1,Table1[[AwayTeam]:[AwayTeam]],$A10, Table1[[HomeTeam]:[HomeTeam]], U$1, Table1[[ActualResult]:[ActualResult]], "OT") + SUMIFS(Table1[[AwayWon]:[AwayWon]], Table1[[GameIsOver]:[GameIsOver]],1,Table1[[HomeTeam]:[HomeTeam]],$A10, Table1[[AwayTeam]:[AwayTeam]], U$1, Table1[[ActualResult]:[ActualResult]], "OT") + SUMIFS(Table1[[HomeWon]:[HomeWon]], Table1[[GameIsOver]:[GameIsOver]],1,Table1[[AwayTeam]:[AwayTeam]],$A10, Table1[[HomeTeam]:[HomeTeam]], U$1, Table1[[ActualResult]:[ActualResult]], "SO") + SUMIFS(Table1[[AwayWon]:[AwayWon]], Table1[[GameIsOver]:[GameIsOver]],1,Table1[[HomeTeam]:[HomeTeam]],$A10, Table1[[AwayTeam]:[AwayTeam]], U$1, Table1[[ActualResult]:[ActualResult]], "SO"),0))</f>
        <v>0-0-0</v>
      </c>
      <c r="V10" s="43" t="str">
        <f>_xlfn.CONCAT(TEXT(SUMIFS(Table1[[AwayWon]:[AwayWon]], Table1[[GameIsOver]:[GameIsOver]],1,Table1[[AwayTeam]:[AwayTeam]],$A10, Table1[[HomeTeam]:[HomeTeam]], V$1) + SUMIFS(Table1[[HomeWon]:[HomeWon]], Table1[[GameIsOver]:[GameIsOver]],1,Table1[[HomeTeam]:[HomeTeam]],$A10, Table1[[AwayTeam]:[AwayTeam]], V$1),0), "-", TEXT(SUMIFS(Table1[[HomeWon]:[HomeWon]], Table1[[GameIsOver]:[GameIsOver]],1,Table1[[AwayTeam]:[AwayTeam]],$A10, Table1[[HomeTeam]:[HomeTeam]], V$1, Table1[[ActualResult]:[ActualResult]], "REG") + SUMIFS(Table1[[AwayWon]:[AwayWon]], Table1[[GameIsOver]:[GameIsOver]],1,Table1[[HomeTeam]:[HomeTeam]],$A10, Table1[[AwayTeam]:[AwayTeam]], V$1, Table1[[ActualResult]:[ActualResult]], "REG"),0), "-", TEXT(SUMIFS(Table1[[HomeWon]:[HomeWon]], Table1[[GameIsOver]:[GameIsOver]],1,Table1[[AwayTeam]:[AwayTeam]],$A10, Table1[[HomeTeam]:[HomeTeam]], V$1, Table1[[ActualResult]:[ActualResult]], "OT") + SUMIFS(Table1[[AwayWon]:[AwayWon]], Table1[[GameIsOver]:[GameIsOver]],1,Table1[[HomeTeam]:[HomeTeam]],$A10, Table1[[AwayTeam]:[AwayTeam]], V$1, Table1[[ActualResult]:[ActualResult]], "OT") + SUMIFS(Table1[[HomeWon]:[HomeWon]], Table1[[GameIsOver]:[GameIsOver]],1,Table1[[AwayTeam]:[AwayTeam]],$A10, Table1[[HomeTeam]:[HomeTeam]], V$1, Table1[[ActualResult]:[ActualResult]], "SO") + SUMIFS(Table1[[AwayWon]:[AwayWon]], Table1[[GameIsOver]:[GameIsOver]],1,Table1[[HomeTeam]:[HomeTeam]],$A10, Table1[[AwayTeam]:[AwayTeam]], V$1, Table1[[ActualResult]:[ActualResult]], "SO"),0))</f>
        <v>0-0-0</v>
      </c>
      <c r="W10" s="43" t="str">
        <f>_xlfn.CONCAT(TEXT(SUMIFS(Table1[[AwayWon]:[AwayWon]], Table1[[GameIsOver]:[GameIsOver]],1,Table1[[AwayTeam]:[AwayTeam]],$A10, Table1[[HomeTeam]:[HomeTeam]], W$1) + SUMIFS(Table1[[HomeWon]:[HomeWon]], Table1[[GameIsOver]:[GameIsOver]],1,Table1[[HomeTeam]:[HomeTeam]],$A10, Table1[[AwayTeam]:[AwayTeam]], W$1),0), "-", TEXT(SUMIFS(Table1[[HomeWon]:[HomeWon]], Table1[[GameIsOver]:[GameIsOver]],1,Table1[[AwayTeam]:[AwayTeam]],$A10, Table1[[HomeTeam]:[HomeTeam]], W$1, Table1[[ActualResult]:[ActualResult]], "REG") + SUMIFS(Table1[[AwayWon]:[AwayWon]], Table1[[GameIsOver]:[GameIsOver]],1,Table1[[HomeTeam]:[HomeTeam]],$A10, Table1[[AwayTeam]:[AwayTeam]], W$1, Table1[[ActualResult]:[ActualResult]], "REG"),0), "-", TEXT(SUMIFS(Table1[[HomeWon]:[HomeWon]], Table1[[GameIsOver]:[GameIsOver]],1,Table1[[AwayTeam]:[AwayTeam]],$A10, Table1[[HomeTeam]:[HomeTeam]], W$1, Table1[[ActualResult]:[ActualResult]], "OT") + SUMIFS(Table1[[AwayWon]:[AwayWon]], Table1[[GameIsOver]:[GameIsOver]],1,Table1[[HomeTeam]:[HomeTeam]],$A10, Table1[[AwayTeam]:[AwayTeam]], W$1, Table1[[ActualResult]:[ActualResult]], "OT") + SUMIFS(Table1[[HomeWon]:[HomeWon]], Table1[[GameIsOver]:[GameIsOver]],1,Table1[[AwayTeam]:[AwayTeam]],$A10, Table1[[HomeTeam]:[HomeTeam]], W$1, Table1[[ActualResult]:[ActualResult]], "SO") + SUMIFS(Table1[[AwayWon]:[AwayWon]], Table1[[GameIsOver]:[GameIsOver]],1,Table1[[HomeTeam]:[HomeTeam]],$A10, Table1[[AwayTeam]:[AwayTeam]], W$1, Table1[[ActualResult]:[ActualResult]], "SO"),0))</f>
        <v>0-0-0</v>
      </c>
      <c r="X10" s="43" t="str">
        <f>_xlfn.CONCAT(TEXT(SUMIFS(Table1[[AwayWon]:[AwayWon]], Table1[[GameIsOver]:[GameIsOver]],1,Table1[[AwayTeam]:[AwayTeam]],$A10, Table1[[HomeTeam]:[HomeTeam]], X$1) + SUMIFS(Table1[[HomeWon]:[HomeWon]], Table1[[GameIsOver]:[GameIsOver]],1,Table1[[HomeTeam]:[HomeTeam]],$A10, Table1[[AwayTeam]:[AwayTeam]], X$1),0), "-", TEXT(SUMIFS(Table1[[HomeWon]:[HomeWon]], Table1[[GameIsOver]:[GameIsOver]],1,Table1[[AwayTeam]:[AwayTeam]],$A10, Table1[[HomeTeam]:[HomeTeam]], X$1, Table1[[ActualResult]:[ActualResult]], "REG") + SUMIFS(Table1[[AwayWon]:[AwayWon]], Table1[[GameIsOver]:[GameIsOver]],1,Table1[[HomeTeam]:[HomeTeam]],$A10, Table1[[AwayTeam]:[AwayTeam]], X$1, Table1[[ActualResult]:[ActualResult]], "REG"),0), "-", TEXT(SUMIFS(Table1[[HomeWon]:[HomeWon]], Table1[[GameIsOver]:[GameIsOver]],1,Table1[[AwayTeam]:[AwayTeam]],$A10, Table1[[HomeTeam]:[HomeTeam]], X$1, Table1[[ActualResult]:[ActualResult]], "OT") + SUMIFS(Table1[[AwayWon]:[AwayWon]], Table1[[GameIsOver]:[GameIsOver]],1,Table1[[HomeTeam]:[HomeTeam]],$A10, Table1[[AwayTeam]:[AwayTeam]], X$1, Table1[[ActualResult]:[ActualResult]], "OT") + SUMIFS(Table1[[HomeWon]:[HomeWon]], Table1[[GameIsOver]:[GameIsOver]],1,Table1[[AwayTeam]:[AwayTeam]],$A10, Table1[[HomeTeam]:[HomeTeam]], X$1, Table1[[ActualResult]:[ActualResult]], "SO") + SUMIFS(Table1[[AwayWon]:[AwayWon]], Table1[[GameIsOver]:[GameIsOver]],1,Table1[[HomeTeam]:[HomeTeam]],$A10, Table1[[AwayTeam]:[AwayTeam]], X$1, Table1[[ActualResult]:[ActualResult]], "SO"),0))</f>
        <v>0-0-0</v>
      </c>
      <c r="Y10" s="45" t="str">
        <f>_xlfn.CONCAT(TEXT(SUMIFS(Table1[[AwayWon]:[AwayWon]], Table1[[GameIsOver]:[GameIsOver]],1,Table1[[AwayTeam]:[AwayTeam]],$A10, Table1[[HomeTeam]:[HomeTeam]], Y$1) + SUMIFS(Table1[[HomeWon]:[HomeWon]], Table1[[GameIsOver]:[GameIsOver]],1,Table1[[HomeTeam]:[HomeTeam]],$A10, Table1[[AwayTeam]:[AwayTeam]], Y$1),0), "-", TEXT(SUMIFS(Table1[[HomeWon]:[HomeWon]], Table1[[GameIsOver]:[GameIsOver]],1,Table1[[AwayTeam]:[AwayTeam]],$A10, Table1[[HomeTeam]:[HomeTeam]], Y$1, Table1[[ActualResult]:[ActualResult]], "REG") + SUMIFS(Table1[[AwayWon]:[AwayWon]], Table1[[GameIsOver]:[GameIsOver]],1,Table1[[HomeTeam]:[HomeTeam]],$A10, Table1[[AwayTeam]:[AwayTeam]], Y$1, Table1[[ActualResult]:[ActualResult]], "REG"),0), "-", TEXT(SUMIFS(Table1[[HomeWon]:[HomeWon]], Table1[[GameIsOver]:[GameIsOver]],1,Table1[[AwayTeam]:[AwayTeam]],$A10, Table1[[HomeTeam]:[HomeTeam]], Y$1, Table1[[ActualResult]:[ActualResult]], "OT") + SUMIFS(Table1[[AwayWon]:[AwayWon]], Table1[[GameIsOver]:[GameIsOver]],1,Table1[[HomeTeam]:[HomeTeam]],$A10, Table1[[AwayTeam]:[AwayTeam]], Y$1, Table1[[ActualResult]:[ActualResult]], "OT") + SUMIFS(Table1[[HomeWon]:[HomeWon]], Table1[[GameIsOver]:[GameIsOver]],1,Table1[[AwayTeam]:[AwayTeam]],$A10, Table1[[HomeTeam]:[HomeTeam]], Y$1, Table1[[ActualResult]:[ActualResult]], "SO") + SUMIFS(Table1[[AwayWon]:[AwayWon]], Table1[[GameIsOver]:[GameIsOver]],1,Table1[[HomeTeam]:[HomeTeam]],$A10, Table1[[AwayTeam]:[AwayTeam]], Y$1, Table1[[ActualResult]:[ActualResult]], "SO"),0))</f>
        <v>0-0-0</v>
      </c>
      <c r="Z10" s="43" t="str">
        <f>_xlfn.CONCAT(TEXT(SUMIFS(Table1[[AwayWon]:[AwayWon]], Table1[[GameIsOver]:[GameIsOver]],1,Table1[[AwayTeam]:[AwayTeam]],$A10, Table1[[HomeTeam]:[HomeTeam]], Z$1) + SUMIFS(Table1[[HomeWon]:[HomeWon]], Table1[[GameIsOver]:[GameIsOver]],1,Table1[[HomeTeam]:[HomeTeam]],$A10, Table1[[AwayTeam]:[AwayTeam]], Z$1),0), "-", TEXT(SUMIFS(Table1[[HomeWon]:[HomeWon]], Table1[[GameIsOver]:[GameIsOver]],1,Table1[[AwayTeam]:[AwayTeam]],$A10, Table1[[HomeTeam]:[HomeTeam]], Z$1, Table1[[ActualResult]:[ActualResult]], "REG") + SUMIFS(Table1[[AwayWon]:[AwayWon]], Table1[[GameIsOver]:[GameIsOver]],1,Table1[[HomeTeam]:[HomeTeam]],$A10, Table1[[AwayTeam]:[AwayTeam]], Z$1, Table1[[ActualResult]:[ActualResult]], "REG"),0), "-", TEXT(SUMIFS(Table1[[HomeWon]:[HomeWon]], Table1[[GameIsOver]:[GameIsOver]],1,Table1[[AwayTeam]:[AwayTeam]],$A10, Table1[[HomeTeam]:[HomeTeam]], Z$1, Table1[[ActualResult]:[ActualResult]], "OT") + SUMIFS(Table1[[AwayWon]:[AwayWon]], Table1[[GameIsOver]:[GameIsOver]],1,Table1[[HomeTeam]:[HomeTeam]],$A10, Table1[[AwayTeam]:[AwayTeam]], Z$1, Table1[[ActualResult]:[ActualResult]], "OT") + SUMIFS(Table1[[HomeWon]:[HomeWon]], Table1[[GameIsOver]:[GameIsOver]],1,Table1[[AwayTeam]:[AwayTeam]],$A10, Table1[[HomeTeam]:[HomeTeam]], Z$1, Table1[[ActualResult]:[ActualResult]], "SO") + SUMIFS(Table1[[AwayWon]:[AwayWon]], Table1[[GameIsOver]:[GameIsOver]],1,Table1[[HomeTeam]:[HomeTeam]],$A10, Table1[[AwayTeam]:[AwayTeam]], Z$1, Table1[[ActualResult]:[ActualResult]], "SO"),0))</f>
        <v>0-0-0</v>
      </c>
      <c r="AA10" s="43" t="str">
        <f>_xlfn.CONCAT(TEXT(SUMIFS(Table1[[AwayWon]:[AwayWon]], Table1[[GameIsOver]:[GameIsOver]],1,Table1[[AwayTeam]:[AwayTeam]],$A10, Table1[[HomeTeam]:[HomeTeam]], AA$1) + SUMIFS(Table1[[HomeWon]:[HomeWon]], Table1[[GameIsOver]:[GameIsOver]],1,Table1[[HomeTeam]:[HomeTeam]],$A10, Table1[[AwayTeam]:[AwayTeam]], AA$1),0), "-", TEXT(SUMIFS(Table1[[HomeWon]:[HomeWon]], Table1[[GameIsOver]:[GameIsOver]],1,Table1[[AwayTeam]:[AwayTeam]],$A10, Table1[[HomeTeam]:[HomeTeam]], AA$1, Table1[[ActualResult]:[ActualResult]], "REG") + SUMIFS(Table1[[AwayWon]:[AwayWon]], Table1[[GameIsOver]:[GameIsOver]],1,Table1[[HomeTeam]:[HomeTeam]],$A10, Table1[[AwayTeam]:[AwayTeam]], AA$1, Table1[[ActualResult]:[ActualResult]], "REG"),0), "-", TEXT(SUMIFS(Table1[[HomeWon]:[HomeWon]], Table1[[GameIsOver]:[GameIsOver]],1,Table1[[AwayTeam]:[AwayTeam]],$A10, Table1[[HomeTeam]:[HomeTeam]], AA$1, Table1[[ActualResult]:[ActualResult]], "OT") + SUMIFS(Table1[[AwayWon]:[AwayWon]], Table1[[GameIsOver]:[GameIsOver]],1,Table1[[HomeTeam]:[HomeTeam]],$A10, Table1[[AwayTeam]:[AwayTeam]], AA$1, Table1[[ActualResult]:[ActualResult]], "OT") + SUMIFS(Table1[[HomeWon]:[HomeWon]], Table1[[GameIsOver]:[GameIsOver]],1,Table1[[AwayTeam]:[AwayTeam]],$A10, Table1[[HomeTeam]:[HomeTeam]], AA$1, Table1[[ActualResult]:[ActualResult]], "SO") + SUMIFS(Table1[[AwayWon]:[AwayWon]], Table1[[GameIsOver]:[GameIsOver]],1,Table1[[HomeTeam]:[HomeTeam]],$A10, Table1[[AwayTeam]:[AwayTeam]], AA$1, Table1[[ActualResult]:[ActualResult]], "SO"),0))</f>
        <v>0-0-0</v>
      </c>
      <c r="AB10" s="43" t="str">
        <f>_xlfn.CONCAT(TEXT(SUMIFS(Table1[[AwayWon]:[AwayWon]], Table1[[GameIsOver]:[GameIsOver]],1,Table1[[AwayTeam]:[AwayTeam]],$A10, Table1[[HomeTeam]:[HomeTeam]], AB$1) + SUMIFS(Table1[[HomeWon]:[HomeWon]], Table1[[GameIsOver]:[GameIsOver]],1,Table1[[HomeTeam]:[HomeTeam]],$A10, Table1[[AwayTeam]:[AwayTeam]], AB$1),0), "-", TEXT(SUMIFS(Table1[[HomeWon]:[HomeWon]], Table1[[GameIsOver]:[GameIsOver]],1,Table1[[AwayTeam]:[AwayTeam]],$A10, Table1[[HomeTeam]:[HomeTeam]], AB$1, Table1[[ActualResult]:[ActualResult]], "REG") + SUMIFS(Table1[[AwayWon]:[AwayWon]], Table1[[GameIsOver]:[GameIsOver]],1,Table1[[HomeTeam]:[HomeTeam]],$A10, Table1[[AwayTeam]:[AwayTeam]], AB$1, Table1[[ActualResult]:[ActualResult]], "REG"),0), "-", TEXT(SUMIFS(Table1[[HomeWon]:[HomeWon]], Table1[[GameIsOver]:[GameIsOver]],1,Table1[[AwayTeam]:[AwayTeam]],$A10, Table1[[HomeTeam]:[HomeTeam]], AB$1, Table1[[ActualResult]:[ActualResult]], "OT") + SUMIFS(Table1[[AwayWon]:[AwayWon]], Table1[[GameIsOver]:[GameIsOver]],1,Table1[[HomeTeam]:[HomeTeam]],$A10, Table1[[AwayTeam]:[AwayTeam]], AB$1, Table1[[ActualResult]:[ActualResult]], "OT") + SUMIFS(Table1[[HomeWon]:[HomeWon]], Table1[[GameIsOver]:[GameIsOver]],1,Table1[[AwayTeam]:[AwayTeam]],$A10, Table1[[HomeTeam]:[HomeTeam]], AB$1, Table1[[ActualResult]:[ActualResult]], "SO") + SUMIFS(Table1[[AwayWon]:[AwayWon]], Table1[[GameIsOver]:[GameIsOver]],1,Table1[[HomeTeam]:[HomeTeam]],$A10, Table1[[AwayTeam]:[AwayTeam]], AB$1, Table1[[ActualResult]:[ActualResult]], "SO"),0))</f>
        <v>0-0-0</v>
      </c>
      <c r="AC10" s="43" t="str">
        <f>_xlfn.CONCAT(TEXT(SUMIFS(Table1[[AwayWon]:[AwayWon]], Table1[[GameIsOver]:[GameIsOver]],1,Table1[[AwayTeam]:[AwayTeam]],$A10, Table1[[HomeTeam]:[HomeTeam]], AC$1) + SUMIFS(Table1[[HomeWon]:[HomeWon]], Table1[[GameIsOver]:[GameIsOver]],1,Table1[[HomeTeam]:[HomeTeam]],$A10, Table1[[AwayTeam]:[AwayTeam]], AC$1),0), "-", TEXT(SUMIFS(Table1[[HomeWon]:[HomeWon]], Table1[[GameIsOver]:[GameIsOver]],1,Table1[[AwayTeam]:[AwayTeam]],$A10, Table1[[HomeTeam]:[HomeTeam]], AC$1, Table1[[ActualResult]:[ActualResult]], "REG") + SUMIFS(Table1[[AwayWon]:[AwayWon]], Table1[[GameIsOver]:[GameIsOver]],1,Table1[[HomeTeam]:[HomeTeam]],$A10, Table1[[AwayTeam]:[AwayTeam]], AC$1, Table1[[ActualResult]:[ActualResult]], "REG"),0), "-", TEXT(SUMIFS(Table1[[HomeWon]:[HomeWon]], Table1[[GameIsOver]:[GameIsOver]],1,Table1[[AwayTeam]:[AwayTeam]],$A10, Table1[[HomeTeam]:[HomeTeam]], AC$1, Table1[[ActualResult]:[ActualResult]], "OT") + SUMIFS(Table1[[AwayWon]:[AwayWon]], Table1[[GameIsOver]:[GameIsOver]],1,Table1[[HomeTeam]:[HomeTeam]],$A10, Table1[[AwayTeam]:[AwayTeam]], AC$1, Table1[[ActualResult]:[ActualResult]], "OT") + SUMIFS(Table1[[HomeWon]:[HomeWon]], Table1[[GameIsOver]:[GameIsOver]],1,Table1[[AwayTeam]:[AwayTeam]],$A10, Table1[[HomeTeam]:[HomeTeam]], AC$1, Table1[[ActualResult]:[ActualResult]], "SO") + SUMIFS(Table1[[AwayWon]:[AwayWon]], Table1[[GameIsOver]:[GameIsOver]],1,Table1[[HomeTeam]:[HomeTeam]],$A10, Table1[[AwayTeam]:[AwayTeam]], AC$1, Table1[[ActualResult]:[ActualResult]], "SO"),0))</f>
        <v>0-0-0</v>
      </c>
      <c r="AD10" s="43" t="str">
        <f>_xlfn.CONCAT(TEXT(SUMIFS(Table1[[AwayWon]:[AwayWon]], Table1[[GameIsOver]:[GameIsOver]],1,Table1[[AwayTeam]:[AwayTeam]],$A10, Table1[[HomeTeam]:[HomeTeam]], AD$1) + SUMIFS(Table1[[HomeWon]:[HomeWon]], Table1[[GameIsOver]:[GameIsOver]],1,Table1[[HomeTeam]:[HomeTeam]],$A10, Table1[[AwayTeam]:[AwayTeam]], AD$1),0), "-", TEXT(SUMIFS(Table1[[HomeWon]:[HomeWon]], Table1[[GameIsOver]:[GameIsOver]],1,Table1[[AwayTeam]:[AwayTeam]],$A10, Table1[[HomeTeam]:[HomeTeam]], AD$1, Table1[[ActualResult]:[ActualResult]], "REG") + SUMIFS(Table1[[AwayWon]:[AwayWon]], Table1[[GameIsOver]:[GameIsOver]],1,Table1[[HomeTeam]:[HomeTeam]],$A10, Table1[[AwayTeam]:[AwayTeam]], AD$1, Table1[[ActualResult]:[ActualResult]], "REG"),0), "-", TEXT(SUMIFS(Table1[[HomeWon]:[HomeWon]], Table1[[GameIsOver]:[GameIsOver]],1,Table1[[AwayTeam]:[AwayTeam]],$A10, Table1[[HomeTeam]:[HomeTeam]], AD$1, Table1[[ActualResult]:[ActualResult]], "OT") + SUMIFS(Table1[[AwayWon]:[AwayWon]], Table1[[GameIsOver]:[GameIsOver]],1,Table1[[HomeTeam]:[HomeTeam]],$A10, Table1[[AwayTeam]:[AwayTeam]], AD$1, Table1[[ActualResult]:[ActualResult]], "OT") + SUMIFS(Table1[[HomeWon]:[HomeWon]], Table1[[GameIsOver]:[GameIsOver]],1,Table1[[AwayTeam]:[AwayTeam]],$A10, Table1[[HomeTeam]:[HomeTeam]], AD$1, Table1[[ActualResult]:[ActualResult]], "SO") + SUMIFS(Table1[[AwayWon]:[AwayWon]], Table1[[GameIsOver]:[GameIsOver]],1,Table1[[HomeTeam]:[HomeTeam]],$A10, Table1[[AwayTeam]:[AwayTeam]], AD$1, Table1[[ActualResult]:[ActualResult]], "SO"),0))</f>
        <v>0-0-0</v>
      </c>
      <c r="AE10" s="43" t="str">
        <f>_xlfn.CONCAT(TEXT(SUMIFS(Table1[[AwayWon]:[AwayWon]], Table1[[GameIsOver]:[GameIsOver]],1,Table1[[AwayTeam]:[AwayTeam]],$A10, Table1[[HomeTeam]:[HomeTeam]], AE$1) + SUMIFS(Table1[[HomeWon]:[HomeWon]], Table1[[GameIsOver]:[GameIsOver]],1,Table1[[HomeTeam]:[HomeTeam]],$A10, Table1[[AwayTeam]:[AwayTeam]], AE$1),0), "-", TEXT(SUMIFS(Table1[[HomeWon]:[HomeWon]], Table1[[GameIsOver]:[GameIsOver]],1,Table1[[AwayTeam]:[AwayTeam]],$A10, Table1[[HomeTeam]:[HomeTeam]], AE$1, Table1[[ActualResult]:[ActualResult]], "REG") + SUMIFS(Table1[[AwayWon]:[AwayWon]], Table1[[GameIsOver]:[GameIsOver]],1,Table1[[HomeTeam]:[HomeTeam]],$A10, Table1[[AwayTeam]:[AwayTeam]], AE$1, Table1[[ActualResult]:[ActualResult]], "REG"),0), "-", TEXT(SUMIFS(Table1[[HomeWon]:[HomeWon]], Table1[[GameIsOver]:[GameIsOver]],1,Table1[[AwayTeam]:[AwayTeam]],$A10, Table1[[HomeTeam]:[HomeTeam]], AE$1, Table1[[ActualResult]:[ActualResult]], "OT") + SUMIFS(Table1[[AwayWon]:[AwayWon]], Table1[[GameIsOver]:[GameIsOver]],1,Table1[[HomeTeam]:[HomeTeam]],$A10, Table1[[AwayTeam]:[AwayTeam]], AE$1, Table1[[ActualResult]:[ActualResult]], "OT") + SUMIFS(Table1[[HomeWon]:[HomeWon]], Table1[[GameIsOver]:[GameIsOver]],1,Table1[[AwayTeam]:[AwayTeam]],$A10, Table1[[HomeTeam]:[HomeTeam]], AE$1, Table1[[ActualResult]:[ActualResult]], "SO") + SUMIFS(Table1[[AwayWon]:[AwayWon]], Table1[[GameIsOver]:[GameIsOver]],1,Table1[[HomeTeam]:[HomeTeam]],$A10, Table1[[AwayTeam]:[AwayTeam]], AE$1, Table1[[ActualResult]:[ActualResult]], "SO"),0))</f>
        <v>0-0-0</v>
      </c>
      <c r="AF10" s="43" t="str">
        <f>_xlfn.CONCAT(TEXT(SUMIFS(Table1[[AwayWon]:[AwayWon]], Table1[[GameIsOver]:[GameIsOver]],1,Table1[[AwayTeam]:[AwayTeam]],$A10, Table1[[HomeTeam]:[HomeTeam]], AF$1) + SUMIFS(Table1[[HomeWon]:[HomeWon]], Table1[[GameIsOver]:[GameIsOver]],1,Table1[[HomeTeam]:[HomeTeam]],$A10, Table1[[AwayTeam]:[AwayTeam]], AF$1),0), "-", TEXT(SUMIFS(Table1[[HomeWon]:[HomeWon]], Table1[[GameIsOver]:[GameIsOver]],1,Table1[[AwayTeam]:[AwayTeam]],$A10, Table1[[HomeTeam]:[HomeTeam]], AF$1, Table1[[ActualResult]:[ActualResult]], "REG") + SUMIFS(Table1[[AwayWon]:[AwayWon]], Table1[[GameIsOver]:[GameIsOver]],1,Table1[[HomeTeam]:[HomeTeam]],$A10, Table1[[AwayTeam]:[AwayTeam]], AF$1, Table1[[ActualResult]:[ActualResult]], "REG"),0), "-", TEXT(SUMIFS(Table1[[HomeWon]:[HomeWon]], Table1[[GameIsOver]:[GameIsOver]],1,Table1[[AwayTeam]:[AwayTeam]],$A10, Table1[[HomeTeam]:[HomeTeam]], AF$1, Table1[[ActualResult]:[ActualResult]], "OT") + SUMIFS(Table1[[AwayWon]:[AwayWon]], Table1[[GameIsOver]:[GameIsOver]],1,Table1[[HomeTeam]:[HomeTeam]],$A10, Table1[[AwayTeam]:[AwayTeam]], AF$1, Table1[[ActualResult]:[ActualResult]], "OT") + SUMIFS(Table1[[HomeWon]:[HomeWon]], Table1[[GameIsOver]:[GameIsOver]],1,Table1[[AwayTeam]:[AwayTeam]],$A10, Table1[[HomeTeam]:[HomeTeam]], AF$1, Table1[[ActualResult]:[ActualResult]], "SO") + SUMIFS(Table1[[AwayWon]:[AwayWon]], Table1[[GameIsOver]:[GameIsOver]],1,Table1[[HomeTeam]:[HomeTeam]],$A10, Table1[[AwayTeam]:[AwayTeam]], AF$1, Table1[[ActualResult]:[ActualResult]], "SO"),0))</f>
        <v>0-0-0</v>
      </c>
      <c r="AG10" s="43" t="str">
        <f>_xlfn.CONCAT(TEXT(SUMIFS(Table1[[AwayWon]:[AwayWon]], Table1[[GameIsOver]:[GameIsOver]],1,Table1[[AwayTeam]:[AwayTeam]],$A10, Table1[[HomeTeam]:[HomeTeam]], AG$1) + SUMIFS(Table1[[HomeWon]:[HomeWon]], Table1[[GameIsOver]:[GameIsOver]],1,Table1[[HomeTeam]:[HomeTeam]],$A10, Table1[[AwayTeam]:[AwayTeam]], AG$1),0), "-", TEXT(SUMIFS(Table1[[HomeWon]:[HomeWon]], Table1[[GameIsOver]:[GameIsOver]],1,Table1[[AwayTeam]:[AwayTeam]],$A10, Table1[[HomeTeam]:[HomeTeam]], AG$1, Table1[[ActualResult]:[ActualResult]], "REG") + SUMIFS(Table1[[AwayWon]:[AwayWon]], Table1[[GameIsOver]:[GameIsOver]],1,Table1[[HomeTeam]:[HomeTeam]],$A10, Table1[[AwayTeam]:[AwayTeam]], AG$1, Table1[[ActualResult]:[ActualResult]], "REG"),0), "-", TEXT(SUMIFS(Table1[[HomeWon]:[HomeWon]], Table1[[GameIsOver]:[GameIsOver]],1,Table1[[AwayTeam]:[AwayTeam]],$A10, Table1[[HomeTeam]:[HomeTeam]], AG$1, Table1[[ActualResult]:[ActualResult]], "OT") + SUMIFS(Table1[[AwayWon]:[AwayWon]], Table1[[GameIsOver]:[GameIsOver]],1,Table1[[HomeTeam]:[HomeTeam]],$A10, Table1[[AwayTeam]:[AwayTeam]], AG$1, Table1[[ActualResult]:[ActualResult]], "OT") + SUMIFS(Table1[[HomeWon]:[HomeWon]], Table1[[GameIsOver]:[GameIsOver]],1,Table1[[AwayTeam]:[AwayTeam]],$A10, Table1[[HomeTeam]:[HomeTeam]], AG$1, Table1[[ActualResult]:[ActualResult]], "SO") + SUMIFS(Table1[[AwayWon]:[AwayWon]], Table1[[GameIsOver]:[GameIsOver]],1,Table1[[HomeTeam]:[HomeTeam]],$A10, Table1[[AwayTeam]:[AwayTeam]], AG$1, Table1[[ActualResult]:[ActualResult]], "SO"),0))</f>
        <v>0-0-0</v>
      </c>
    </row>
    <row r="11" spans="1:33" x14ac:dyDescent="0.25">
      <c r="A11" s="17" t="s">
        <v>41</v>
      </c>
      <c r="B11" s="43" t="str">
        <f>_xlfn.CONCAT(TEXT(SUMIFS(Table1[[AwayWon]:[AwayWon]], Table1[[GameIsOver]:[GameIsOver]],1,Table1[[AwayTeam]:[AwayTeam]],$A11, Table1[[HomeTeam]:[HomeTeam]], B$1) + SUMIFS(Table1[[HomeWon]:[HomeWon]], Table1[[GameIsOver]:[GameIsOver]],1,Table1[[HomeTeam]:[HomeTeam]],$A11, Table1[[AwayTeam]:[AwayTeam]], B$1),0), "-", TEXT(SUMIFS(Table1[[HomeWon]:[HomeWon]], Table1[[GameIsOver]:[GameIsOver]],1,Table1[[AwayTeam]:[AwayTeam]],$A11, Table1[[HomeTeam]:[HomeTeam]], B$1, Table1[[ActualResult]:[ActualResult]], "REG") + SUMIFS(Table1[[AwayWon]:[AwayWon]], Table1[[GameIsOver]:[GameIsOver]],1,Table1[[HomeTeam]:[HomeTeam]],$A11, Table1[[AwayTeam]:[AwayTeam]], B$1, Table1[[ActualResult]:[ActualResult]], "REG"),0), "-", TEXT(SUMIFS(Table1[[HomeWon]:[HomeWon]], Table1[[GameIsOver]:[GameIsOver]],1,Table1[[AwayTeam]:[AwayTeam]],$A11, Table1[[HomeTeam]:[HomeTeam]], B$1, Table1[[ActualResult]:[ActualResult]], "OT") + SUMIFS(Table1[[AwayWon]:[AwayWon]], Table1[[GameIsOver]:[GameIsOver]],1,Table1[[HomeTeam]:[HomeTeam]],$A11, Table1[[AwayTeam]:[AwayTeam]], B$1, Table1[[ActualResult]:[ActualResult]], "OT") + SUMIFS(Table1[[HomeWon]:[HomeWon]], Table1[[GameIsOver]:[GameIsOver]],1,Table1[[AwayTeam]:[AwayTeam]],$A11, Table1[[HomeTeam]:[HomeTeam]], B$1, Table1[[ActualResult]:[ActualResult]], "SO") + SUMIFS(Table1[[AwayWon]:[AwayWon]], Table1[[GameIsOver]:[GameIsOver]],1,Table1[[HomeTeam]:[HomeTeam]],$A11, Table1[[AwayTeam]:[AwayTeam]], B$1, Table1[[ActualResult]:[ActualResult]], "SO"),0))</f>
        <v>0-0-0</v>
      </c>
      <c r="C11" s="43" t="str">
        <f>_xlfn.CONCAT(TEXT(SUMIFS(Table1[[AwayWon]:[AwayWon]], Table1[[GameIsOver]:[GameIsOver]],1,Table1[[AwayTeam]:[AwayTeam]],$A11, Table1[[HomeTeam]:[HomeTeam]], C$1) + SUMIFS(Table1[[HomeWon]:[HomeWon]], Table1[[GameIsOver]:[GameIsOver]],1,Table1[[HomeTeam]:[HomeTeam]],$A11, Table1[[AwayTeam]:[AwayTeam]], C$1),0), "-", TEXT(SUMIFS(Table1[[HomeWon]:[HomeWon]], Table1[[GameIsOver]:[GameIsOver]],1,Table1[[AwayTeam]:[AwayTeam]],$A11, Table1[[HomeTeam]:[HomeTeam]], C$1, Table1[[ActualResult]:[ActualResult]], "REG") + SUMIFS(Table1[[AwayWon]:[AwayWon]], Table1[[GameIsOver]:[GameIsOver]],1,Table1[[HomeTeam]:[HomeTeam]],$A11, Table1[[AwayTeam]:[AwayTeam]], C$1, Table1[[ActualResult]:[ActualResult]], "REG"),0), "-", TEXT(SUMIFS(Table1[[HomeWon]:[HomeWon]], Table1[[GameIsOver]:[GameIsOver]],1,Table1[[AwayTeam]:[AwayTeam]],$A11, Table1[[HomeTeam]:[HomeTeam]], C$1, Table1[[ActualResult]:[ActualResult]], "OT") + SUMIFS(Table1[[AwayWon]:[AwayWon]], Table1[[GameIsOver]:[GameIsOver]],1,Table1[[HomeTeam]:[HomeTeam]],$A11, Table1[[AwayTeam]:[AwayTeam]], C$1, Table1[[ActualResult]:[ActualResult]], "OT") + SUMIFS(Table1[[HomeWon]:[HomeWon]], Table1[[GameIsOver]:[GameIsOver]],1,Table1[[AwayTeam]:[AwayTeam]],$A11, Table1[[HomeTeam]:[HomeTeam]], C$1, Table1[[ActualResult]:[ActualResult]], "SO") + SUMIFS(Table1[[AwayWon]:[AwayWon]], Table1[[GameIsOver]:[GameIsOver]],1,Table1[[HomeTeam]:[HomeTeam]],$A11, Table1[[AwayTeam]:[AwayTeam]], C$1, Table1[[ActualResult]:[ActualResult]], "SO"),0))</f>
        <v>0-0-0</v>
      </c>
      <c r="D11" s="43" t="str">
        <f>_xlfn.CONCAT(TEXT(SUMIFS(Table1[[AwayWon]:[AwayWon]], Table1[[GameIsOver]:[GameIsOver]],1,Table1[[AwayTeam]:[AwayTeam]],$A11, Table1[[HomeTeam]:[HomeTeam]], D$1) + SUMIFS(Table1[[HomeWon]:[HomeWon]], Table1[[GameIsOver]:[GameIsOver]],1,Table1[[HomeTeam]:[HomeTeam]],$A11, Table1[[AwayTeam]:[AwayTeam]], D$1),0), "-", TEXT(SUMIFS(Table1[[HomeWon]:[HomeWon]], Table1[[GameIsOver]:[GameIsOver]],1,Table1[[AwayTeam]:[AwayTeam]],$A11, Table1[[HomeTeam]:[HomeTeam]], D$1, Table1[[ActualResult]:[ActualResult]], "REG") + SUMIFS(Table1[[AwayWon]:[AwayWon]], Table1[[GameIsOver]:[GameIsOver]],1,Table1[[HomeTeam]:[HomeTeam]],$A11, Table1[[AwayTeam]:[AwayTeam]], D$1, Table1[[ActualResult]:[ActualResult]], "REG"),0), "-", TEXT(SUMIFS(Table1[[HomeWon]:[HomeWon]], Table1[[GameIsOver]:[GameIsOver]],1,Table1[[AwayTeam]:[AwayTeam]],$A11, Table1[[HomeTeam]:[HomeTeam]], D$1, Table1[[ActualResult]:[ActualResult]], "OT") + SUMIFS(Table1[[AwayWon]:[AwayWon]], Table1[[GameIsOver]:[GameIsOver]],1,Table1[[HomeTeam]:[HomeTeam]],$A11, Table1[[AwayTeam]:[AwayTeam]], D$1, Table1[[ActualResult]:[ActualResult]], "OT") + SUMIFS(Table1[[HomeWon]:[HomeWon]], Table1[[GameIsOver]:[GameIsOver]],1,Table1[[AwayTeam]:[AwayTeam]],$A11, Table1[[HomeTeam]:[HomeTeam]], D$1, Table1[[ActualResult]:[ActualResult]], "SO") + SUMIFS(Table1[[AwayWon]:[AwayWon]], Table1[[GameIsOver]:[GameIsOver]],1,Table1[[HomeTeam]:[HomeTeam]],$A11, Table1[[AwayTeam]:[AwayTeam]], D$1, Table1[[ActualResult]:[ActualResult]], "SO"),0))</f>
        <v>0-0-0</v>
      </c>
      <c r="E11" s="43" t="str">
        <f>_xlfn.CONCAT(TEXT(SUMIFS(Table1[[AwayWon]:[AwayWon]], Table1[[GameIsOver]:[GameIsOver]],1,Table1[[AwayTeam]:[AwayTeam]],$A11, Table1[[HomeTeam]:[HomeTeam]], E$1) + SUMIFS(Table1[[HomeWon]:[HomeWon]], Table1[[GameIsOver]:[GameIsOver]],1,Table1[[HomeTeam]:[HomeTeam]],$A11, Table1[[AwayTeam]:[AwayTeam]], E$1),0), "-", TEXT(SUMIFS(Table1[[HomeWon]:[HomeWon]], Table1[[GameIsOver]:[GameIsOver]],1,Table1[[AwayTeam]:[AwayTeam]],$A11, Table1[[HomeTeam]:[HomeTeam]], E$1, Table1[[ActualResult]:[ActualResult]], "REG") + SUMIFS(Table1[[AwayWon]:[AwayWon]], Table1[[GameIsOver]:[GameIsOver]],1,Table1[[HomeTeam]:[HomeTeam]],$A11, Table1[[AwayTeam]:[AwayTeam]], E$1, Table1[[ActualResult]:[ActualResult]], "REG"),0), "-", TEXT(SUMIFS(Table1[[HomeWon]:[HomeWon]], Table1[[GameIsOver]:[GameIsOver]],1,Table1[[AwayTeam]:[AwayTeam]],$A11, Table1[[HomeTeam]:[HomeTeam]], E$1, Table1[[ActualResult]:[ActualResult]], "OT") + SUMIFS(Table1[[AwayWon]:[AwayWon]], Table1[[GameIsOver]:[GameIsOver]],1,Table1[[HomeTeam]:[HomeTeam]],$A11, Table1[[AwayTeam]:[AwayTeam]], E$1, Table1[[ActualResult]:[ActualResult]], "OT") + SUMIFS(Table1[[HomeWon]:[HomeWon]], Table1[[GameIsOver]:[GameIsOver]],1,Table1[[AwayTeam]:[AwayTeam]],$A11, Table1[[HomeTeam]:[HomeTeam]], E$1, Table1[[ActualResult]:[ActualResult]], "SO") + SUMIFS(Table1[[AwayWon]:[AwayWon]], Table1[[GameIsOver]:[GameIsOver]],1,Table1[[HomeTeam]:[HomeTeam]],$A11, Table1[[AwayTeam]:[AwayTeam]], E$1, Table1[[ActualResult]:[ActualResult]], "SO"),0))</f>
        <v>0-0-1</v>
      </c>
      <c r="F11" s="43" t="str">
        <f>_xlfn.CONCAT(TEXT(SUMIFS(Table1[[AwayWon]:[AwayWon]], Table1[[GameIsOver]:[GameIsOver]],1,Table1[[AwayTeam]:[AwayTeam]],$A11, Table1[[HomeTeam]:[HomeTeam]], F$1) + SUMIFS(Table1[[HomeWon]:[HomeWon]], Table1[[GameIsOver]:[GameIsOver]],1,Table1[[HomeTeam]:[HomeTeam]],$A11, Table1[[AwayTeam]:[AwayTeam]], F$1),0), "-", TEXT(SUMIFS(Table1[[HomeWon]:[HomeWon]], Table1[[GameIsOver]:[GameIsOver]],1,Table1[[AwayTeam]:[AwayTeam]],$A11, Table1[[HomeTeam]:[HomeTeam]], F$1, Table1[[ActualResult]:[ActualResult]], "REG") + SUMIFS(Table1[[AwayWon]:[AwayWon]], Table1[[GameIsOver]:[GameIsOver]],1,Table1[[HomeTeam]:[HomeTeam]],$A11, Table1[[AwayTeam]:[AwayTeam]], F$1, Table1[[ActualResult]:[ActualResult]], "REG"),0), "-", TEXT(SUMIFS(Table1[[HomeWon]:[HomeWon]], Table1[[GameIsOver]:[GameIsOver]],1,Table1[[AwayTeam]:[AwayTeam]],$A11, Table1[[HomeTeam]:[HomeTeam]], F$1, Table1[[ActualResult]:[ActualResult]], "OT") + SUMIFS(Table1[[AwayWon]:[AwayWon]], Table1[[GameIsOver]:[GameIsOver]],1,Table1[[HomeTeam]:[HomeTeam]],$A11, Table1[[AwayTeam]:[AwayTeam]], F$1, Table1[[ActualResult]:[ActualResult]], "OT") + SUMIFS(Table1[[HomeWon]:[HomeWon]], Table1[[GameIsOver]:[GameIsOver]],1,Table1[[AwayTeam]:[AwayTeam]],$A11, Table1[[HomeTeam]:[HomeTeam]], F$1, Table1[[ActualResult]:[ActualResult]], "SO") + SUMIFS(Table1[[AwayWon]:[AwayWon]], Table1[[GameIsOver]:[GameIsOver]],1,Table1[[HomeTeam]:[HomeTeam]],$A11, Table1[[AwayTeam]:[AwayTeam]], F$1, Table1[[ActualResult]:[ActualResult]], "SO"),0))</f>
        <v>0-0-0</v>
      </c>
      <c r="G11" s="43" t="str">
        <f>_xlfn.CONCAT(TEXT(SUMIFS(Table1[[AwayWon]:[AwayWon]], Table1[[GameIsOver]:[GameIsOver]],1,Table1[[AwayTeam]:[AwayTeam]],$A11, Table1[[HomeTeam]:[HomeTeam]], G$1) + SUMIFS(Table1[[HomeWon]:[HomeWon]], Table1[[GameIsOver]:[GameIsOver]],1,Table1[[HomeTeam]:[HomeTeam]],$A11, Table1[[AwayTeam]:[AwayTeam]], G$1),0), "-", TEXT(SUMIFS(Table1[[HomeWon]:[HomeWon]], Table1[[GameIsOver]:[GameIsOver]],1,Table1[[AwayTeam]:[AwayTeam]],$A11, Table1[[HomeTeam]:[HomeTeam]], G$1, Table1[[ActualResult]:[ActualResult]], "REG") + SUMIFS(Table1[[AwayWon]:[AwayWon]], Table1[[GameIsOver]:[GameIsOver]],1,Table1[[HomeTeam]:[HomeTeam]],$A11, Table1[[AwayTeam]:[AwayTeam]], G$1, Table1[[ActualResult]:[ActualResult]], "REG"),0), "-", TEXT(SUMIFS(Table1[[HomeWon]:[HomeWon]], Table1[[GameIsOver]:[GameIsOver]],1,Table1[[AwayTeam]:[AwayTeam]],$A11, Table1[[HomeTeam]:[HomeTeam]], G$1, Table1[[ActualResult]:[ActualResult]], "OT") + SUMIFS(Table1[[AwayWon]:[AwayWon]], Table1[[GameIsOver]:[GameIsOver]],1,Table1[[HomeTeam]:[HomeTeam]],$A11, Table1[[AwayTeam]:[AwayTeam]], G$1, Table1[[ActualResult]:[ActualResult]], "OT") + SUMIFS(Table1[[HomeWon]:[HomeWon]], Table1[[GameIsOver]:[GameIsOver]],1,Table1[[AwayTeam]:[AwayTeam]],$A11, Table1[[HomeTeam]:[HomeTeam]], G$1, Table1[[ActualResult]:[ActualResult]], "SO") + SUMIFS(Table1[[AwayWon]:[AwayWon]], Table1[[GameIsOver]:[GameIsOver]],1,Table1[[HomeTeam]:[HomeTeam]],$A11, Table1[[AwayTeam]:[AwayTeam]], G$1, Table1[[ActualResult]:[ActualResult]], "SO"),0))</f>
        <v>0-0-0</v>
      </c>
      <c r="H11" s="43" t="str">
        <f>_xlfn.CONCAT(TEXT(SUMIFS(Table1[[AwayWon]:[AwayWon]], Table1[[GameIsOver]:[GameIsOver]],1,Table1[[AwayTeam]:[AwayTeam]],$A11, Table1[[HomeTeam]:[HomeTeam]], H$1) + SUMIFS(Table1[[HomeWon]:[HomeWon]], Table1[[GameIsOver]:[GameIsOver]],1,Table1[[HomeTeam]:[HomeTeam]],$A11, Table1[[AwayTeam]:[AwayTeam]], H$1),0), "-", TEXT(SUMIFS(Table1[[HomeWon]:[HomeWon]], Table1[[GameIsOver]:[GameIsOver]],1,Table1[[AwayTeam]:[AwayTeam]],$A11, Table1[[HomeTeam]:[HomeTeam]], H$1, Table1[[ActualResult]:[ActualResult]], "REG") + SUMIFS(Table1[[AwayWon]:[AwayWon]], Table1[[GameIsOver]:[GameIsOver]],1,Table1[[HomeTeam]:[HomeTeam]],$A11, Table1[[AwayTeam]:[AwayTeam]], H$1, Table1[[ActualResult]:[ActualResult]], "REG"),0), "-", TEXT(SUMIFS(Table1[[HomeWon]:[HomeWon]], Table1[[GameIsOver]:[GameIsOver]],1,Table1[[AwayTeam]:[AwayTeam]],$A11, Table1[[HomeTeam]:[HomeTeam]], H$1, Table1[[ActualResult]:[ActualResult]], "OT") + SUMIFS(Table1[[AwayWon]:[AwayWon]], Table1[[GameIsOver]:[GameIsOver]],1,Table1[[HomeTeam]:[HomeTeam]],$A11, Table1[[AwayTeam]:[AwayTeam]], H$1, Table1[[ActualResult]:[ActualResult]], "OT") + SUMIFS(Table1[[HomeWon]:[HomeWon]], Table1[[GameIsOver]:[GameIsOver]],1,Table1[[AwayTeam]:[AwayTeam]],$A11, Table1[[HomeTeam]:[HomeTeam]], H$1, Table1[[ActualResult]:[ActualResult]], "SO") + SUMIFS(Table1[[AwayWon]:[AwayWon]], Table1[[GameIsOver]:[GameIsOver]],1,Table1[[HomeTeam]:[HomeTeam]],$A11, Table1[[AwayTeam]:[AwayTeam]], H$1, Table1[[ActualResult]:[ActualResult]], "SO"),0))</f>
        <v>0-0-0</v>
      </c>
      <c r="I11" s="45" t="str">
        <f>_xlfn.CONCAT(TEXT(SUMIFS(Table1[[AwayWon]:[AwayWon]], Table1[[GameIsOver]:[GameIsOver]],1,Table1[[AwayTeam]:[AwayTeam]],$A11, Table1[[HomeTeam]:[HomeTeam]], I$1) + SUMIFS(Table1[[HomeWon]:[HomeWon]], Table1[[GameIsOver]:[GameIsOver]],1,Table1[[HomeTeam]:[HomeTeam]],$A11, Table1[[AwayTeam]:[AwayTeam]], I$1),0), "-", TEXT(SUMIFS(Table1[[HomeWon]:[HomeWon]], Table1[[GameIsOver]:[GameIsOver]],1,Table1[[AwayTeam]:[AwayTeam]],$A11, Table1[[HomeTeam]:[HomeTeam]], I$1, Table1[[ActualResult]:[ActualResult]], "REG") + SUMIFS(Table1[[AwayWon]:[AwayWon]], Table1[[GameIsOver]:[GameIsOver]],1,Table1[[HomeTeam]:[HomeTeam]],$A11, Table1[[AwayTeam]:[AwayTeam]], I$1, Table1[[ActualResult]:[ActualResult]], "REG"),0), "-", TEXT(SUMIFS(Table1[[HomeWon]:[HomeWon]], Table1[[GameIsOver]:[GameIsOver]],1,Table1[[AwayTeam]:[AwayTeam]],$A11, Table1[[HomeTeam]:[HomeTeam]], I$1, Table1[[ActualResult]:[ActualResult]], "OT") + SUMIFS(Table1[[AwayWon]:[AwayWon]], Table1[[GameIsOver]:[GameIsOver]],1,Table1[[HomeTeam]:[HomeTeam]],$A11, Table1[[AwayTeam]:[AwayTeam]], I$1, Table1[[ActualResult]:[ActualResult]], "OT") + SUMIFS(Table1[[HomeWon]:[HomeWon]], Table1[[GameIsOver]:[GameIsOver]],1,Table1[[AwayTeam]:[AwayTeam]],$A11, Table1[[HomeTeam]:[HomeTeam]], I$1, Table1[[ActualResult]:[ActualResult]], "SO") + SUMIFS(Table1[[AwayWon]:[AwayWon]], Table1[[GameIsOver]:[GameIsOver]],1,Table1[[HomeTeam]:[HomeTeam]],$A11, Table1[[AwayTeam]:[AwayTeam]], I$1, Table1[[ActualResult]:[ActualResult]], "SO"),0))</f>
        <v>0-0-0</v>
      </c>
      <c r="J11" s="43" t="str">
        <f>_xlfn.CONCAT(TEXT(SUMIFS(Table1[[AwayWon]:[AwayWon]], Table1[[GameIsOver]:[GameIsOver]],1,Table1[[AwayTeam]:[AwayTeam]],$A11, Table1[[HomeTeam]:[HomeTeam]], J$1) + SUMIFS(Table1[[HomeWon]:[HomeWon]], Table1[[GameIsOver]:[GameIsOver]],1,Table1[[HomeTeam]:[HomeTeam]],$A11, Table1[[AwayTeam]:[AwayTeam]], J$1),0), "-", TEXT(SUMIFS(Table1[[HomeWon]:[HomeWon]], Table1[[GameIsOver]:[GameIsOver]],1,Table1[[AwayTeam]:[AwayTeam]],$A11, Table1[[HomeTeam]:[HomeTeam]], J$1, Table1[[ActualResult]:[ActualResult]], "REG") + SUMIFS(Table1[[AwayWon]:[AwayWon]], Table1[[GameIsOver]:[GameIsOver]],1,Table1[[HomeTeam]:[HomeTeam]],$A11, Table1[[AwayTeam]:[AwayTeam]], J$1, Table1[[ActualResult]:[ActualResult]], "REG"),0), "-", TEXT(SUMIFS(Table1[[HomeWon]:[HomeWon]], Table1[[GameIsOver]:[GameIsOver]],1,Table1[[AwayTeam]:[AwayTeam]],$A11, Table1[[HomeTeam]:[HomeTeam]], J$1, Table1[[ActualResult]:[ActualResult]], "OT") + SUMIFS(Table1[[AwayWon]:[AwayWon]], Table1[[GameIsOver]:[GameIsOver]],1,Table1[[HomeTeam]:[HomeTeam]],$A11, Table1[[AwayTeam]:[AwayTeam]], J$1, Table1[[ActualResult]:[ActualResult]], "OT") + SUMIFS(Table1[[HomeWon]:[HomeWon]], Table1[[GameIsOver]:[GameIsOver]],1,Table1[[AwayTeam]:[AwayTeam]],$A11, Table1[[HomeTeam]:[HomeTeam]], J$1, Table1[[ActualResult]:[ActualResult]], "SO") + SUMIFS(Table1[[AwayWon]:[AwayWon]], Table1[[GameIsOver]:[GameIsOver]],1,Table1[[HomeTeam]:[HomeTeam]],$A11, Table1[[AwayTeam]:[AwayTeam]], J$1, Table1[[ActualResult]:[ActualResult]], "SO"),0))</f>
        <v>0-0-0</v>
      </c>
      <c r="K11" s="43" t="str">
        <f>_xlfn.CONCAT(TEXT(SUMIFS(Table1[[AwayWon]:[AwayWon]], Table1[[GameIsOver]:[GameIsOver]],1,Table1[[AwayTeam]:[AwayTeam]],$A11, Table1[[HomeTeam]:[HomeTeam]], K$1) + SUMIFS(Table1[[HomeWon]:[HomeWon]], Table1[[GameIsOver]:[GameIsOver]],1,Table1[[HomeTeam]:[HomeTeam]],$A11, Table1[[AwayTeam]:[AwayTeam]], K$1),0), "-", TEXT(SUMIFS(Table1[[HomeWon]:[HomeWon]], Table1[[GameIsOver]:[GameIsOver]],1,Table1[[AwayTeam]:[AwayTeam]],$A11, Table1[[HomeTeam]:[HomeTeam]], K$1, Table1[[ActualResult]:[ActualResult]], "REG") + SUMIFS(Table1[[AwayWon]:[AwayWon]], Table1[[GameIsOver]:[GameIsOver]],1,Table1[[HomeTeam]:[HomeTeam]],$A11, Table1[[AwayTeam]:[AwayTeam]], K$1, Table1[[ActualResult]:[ActualResult]], "REG"),0), "-", TEXT(SUMIFS(Table1[[HomeWon]:[HomeWon]], Table1[[GameIsOver]:[GameIsOver]],1,Table1[[AwayTeam]:[AwayTeam]],$A11, Table1[[HomeTeam]:[HomeTeam]], K$1, Table1[[ActualResult]:[ActualResult]], "OT") + SUMIFS(Table1[[AwayWon]:[AwayWon]], Table1[[GameIsOver]:[GameIsOver]],1,Table1[[HomeTeam]:[HomeTeam]],$A11, Table1[[AwayTeam]:[AwayTeam]], K$1, Table1[[ActualResult]:[ActualResult]], "OT") + SUMIFS(Table1[[HomeWon]:[HomeWon]], Table1[[GameIsOver]:[GameIsOver]],1,Table1[[AwayTeam]:[AwayTeam]],$A11, Table1[[HomeTeam]:[HomeTeam]], K$1, Table1[[ActualResult]:[ActualResult]], "SO") + SUMIFS(Table1[[AwayWon]:[AwayWon]], Table1[[GameIsOver]:[GameIsOver]],1,Table1[[HomeTeam]:[HomeTeam]],$A11, Table1[[AwayTeam]:[AwayTeam]], K$1, Table1[[ActualResult]:[ActualResult]], "SO"),0))</f>
        <v>0-0-0</v>
      </c>
      <c r="L11" s="43" t="str">
        <f>_xlfn.CONCAT(TEXT(SUMIFS(Table1[[AwayWon]:[AwayWon]], Table1[[GameIsOver]:[GameIsOver]],1,Table1[[AwayTeam]:[AwayTeam]],$A11, Table1[[HomeTeam]:[HomeTeam]], L$1) + SUMIFS(Table1[[HomeWon]:[HomeWon]], Table1[[GameIsOver]:[GameIsOver]],1,Table1[[HomeTeam]:[HomeTeam]],$A11, Table1[[AwayTeam]:[AwayTeam]], L$1),0), "-", TEXT(SUMIFS(Table1[[HomeWon]:[HomeWon]], Table1[[GameIsOver]:[GameIsOver]],1,Table1[[AwayTeam]:[AwayTeam]],$A11, Table1[[HomeTeam]:[HomeTeam]], L$1, Table1[[ActualResult]:[ActualResult]], "REG") + SUMIFS(Table1[[AwayWon]:[AwayWon]], Table1[[GameIsOver]:[GameIsOver]],1,Table1[[HomeTeam]:[HomeTeam]],$A11, Table1[[AwayTeam]:[AwayTeam]], L$1, Table1[[ActualResult]:[ActualResult]], "REG"),0), "-", TEXT(SUMIFS(Table1[[HomeWon]:[HomeWon]], Table1[[GameIsOver]:[GameIsOver]],1,Table1[[AwayTeam]:[AwayTeam]],$A11, Table1[[HomeTeam]:[HomeTeam]], L$1, Table1[[ActualResult]:[ActualResult]], "OT") + SUMIFS(Table1[[AwayWon]:[AwayWon]], Table1[[GameIsOver]:[GameIsOver]],1,Table1[[HomeTeam]:[HomeTeam]],$A11, Table1[[AwayTeam]:[AwayTeam]], L$1, Table1[[ActualResult]:[ActualResult]], "OT") + SUMIFS(Table1[[HomeWon]:[HomeWon]], Table1[[GameIsOver]:[GameIsOver]],1,Table1[[AwayTeam]:[AwayTeam]],$A11, Table1[[HomeTeam]:[HomeTeam]], L$1, Table1[[ActualResult]:[ActualResult]], "SO") + SUMIFS(Table1[[AwayWon]:[AwayWon]], Table1[[GameIsOver]:[GameIsOver]],1,Table1[[HomeTeam]:[HomeTeam]],$A11, Table1[[AwayTeam]:[AwayTeam]], L$1, Table1[[ActualResult]:[ActualResult]], "SO"),0))</f>
        <v>0-0-0</v>
      </c>
      <c r="M11" s="43" t="str">
        <f>_xlfn.CONCAT(TEXT(SUMIFS(Table1[[AwayWon]:[AwayWon]], Table1[[GameIsOver]:[GameIsOver]],1,Table1[[AwayTeam]:[AwayTeam]],$A11, Table1[[HomeTeam]:[HomeTeam]], M$1) + SUMIFS(Table1[[HomeWon]:[HomeWon]], Table1[[GameIsOver]:[GameIsOver]],1,Table1[[HomeTeam]:[HomeTeam]],$A11, Table1[[AwayTeam]:[AwayTeam]], M$1),0), "-", TEXT(SUMIFS(Table1[[HomeWon]:[HomeWon]], Table1[[GameIsOver]:[GameIsOver]],1,Table1[[AwayTeam]:[AwayTeam]],$A11, Table1[[HomeTeam]:[HomeTeam]], M$1, Table1[[ActualResult]:[ActualResult]], "REG") + SUMIFS(Table1[[AwayWon]:[AwayWon]], Table1[[GameIsOver]:[GameIsOver]],1,Table1[[HomeTeam]:[HomeTeam]],$A11, Table1[[AwayTeam]:[AwayTeam]], M$1, Table1[[ActualResult]:[ActualResult]], "REG"),0), "-", TEXT(SUMIFS(Table1[[HomeWon]:[HomeWon]], Table1[[GameIsOver]:[GameIsOver]],1,Table1[[AwayTeam]:[AwayTeam]],$A11, Table1[[HomeTeam]:[HomeTeam]], M$1, Table1[[ActualResult]:[ActualResult]], "OT") + SUMIFS(Table1[[AwayWon]:[AwayWon]], Table1[[GameIsOver]:[GameIsOver]],1,Table1[[HomeTeam]:[HomeTeam]],$A11, Table1[[AwayTeam]:[AwayTeam]], M$1, Table1[[ActualResult]:[ActualResult]], "OT") + SUMIFS(Table1[[HomeWon]:[HomeWon]], Table1[[GameIsOver]:[GameIsOver]],1,Table1[[AwayTeam]:[AwayTeam]],$A11, Table1[[HomeTeam]:[HomeTeam]], M$1, Table1[[ActualResult]:[ActualResult]], "SO") + SUMIFS(Table1[[AwayWon]:[AwayWon]], Table1[[GameIsOver]:[GameIsOver]],1,Table1[[HomeTeam]:[HomeTeam]],$A11, Table1[[AwayTeam]:[AwayTeam]], M$1, Table1[[ActualResult]:[ActualResult]], "SO"),0))</f>
        <v>0-0-0</v>
      </c>
      <c r="N11" s="43" t="str">
        <f>_xlfn.CONCAT(TEXT(SUMIFS(Table1[[AwayWon]:[AwayWon]], Table1[[GameIsOver]:[GameIsOver]],1,Table1[[AwayTeam]:[AwayTeam]],$A11, Table1[[HomeTeam]:[HomeTeam]], N$1) + SUMIFS(Table1[[HomeWon]:[HomeWon]], Table1[[GameIsOver]:[GameIsOver]],1,Table1[[HomeTeam]:[HomeTeam]],$A11, Table1[[AwayTeam]:[AwayTeam]], N$1),0), "-", TEXT(SUMIFS(Table1[[HomeWon]:[HomeWon]], Table1[[GameIsOver]:[GameIsOver]],1,Table1[[AwayTeam]:[AwayTeam]],$A11, Table1[[HomeTeam]:[HomeTeam]], N$1, Table1[[ActualResult]:[ActualResult]], "REG") + SUMIFS(Table1[[AwayWon]:[AwayWon]], Table1[[GameIsOver]:[GameIsOver]],1,Table1[[HomeTeam]:[HomeTeam]],$A11, Table1[[AwayTeam]:[AwayTeam]], N$1, Table1[[ActualResult]:[ActualResult]], "REG"),0), "-", TEXT(SUMIFS(Table1[[HomeWon]:[HomeWon]], Table1[[GameIsOver]:[GameIsOver]],1,Table1[[AwayTeam]:[AwayTeam]],$A11, Table1[[HomeTeam]:[HomeTeam]], N$1, Table1[[ActualResult]:[ActualResult]], "OT") + SUMIFS(Table1[[AwayWon]:[AwayWon]], Table1[[GameIsOver]:[GameIsOver]],1,Table1[[HomeTeam]:[HomeTeam]],$A11, Table1[[AwayTeam]:[AwayTeam]], N$1, Table1[[ActualResult]:[ActualResult]], "OT") + SUMIFS(Table1[[HomeWon]:[HomeWon]], Table1[[GameIsOver]:[GameIsOver]],1,Table1[[AwayTeam]:[AwayTeam]],$A11, Table1[[HomeTeam]:[HomeTeam]], N$1, Table1[[ActualResult]:[ActualResult]], "SO") + SUMIFS(Table1[[AwayWon]:[AwayWon]], Table1[[GameIsOver]:[GameIsOver]],1,Table1[[HomeTeam]:[HomeTeam]],$A11, Table1[[AwayTeam]:[AwayTeam]], N$1, Table1[[ActualResult]:[ActualResult]], "SO"),0))</f>
        <v>0-0-0</v>
      </c>
      <c r="O11" s="43" t="str">
        <f>_xlfn.CONCAT(TEXT(SUMIFS(Table1[[AwayWon]:[AwayWon]], Table1[[GameIsOver]:[GameIsOver]],1,Table1[[AwayTeam]:[AwayTeam]],$A11, Table1[[HomeTeam]:[HomeTeam]], O$1) + SUMIFS(Table1[[HomeWon]:[HomeWon]], Table1[[GameIsOver]:[GameIsOver]],1,Table1[[HomeTeam]:[HomeTeam]],$A11, Table1[[AwayTeam]:[AwayTeam]], O$1),0), "-", TEXT(SUMIFS(Table1[[HomeWon]:[HomeWon]], Table1[[GameIsOver]:[GameIsOver]],1,Table1[[AwayTeam]:[AwayTeam]],$A11, Table1[[HomeTeam]:[HomeTeam]], O$1, Table1[[ActualResult]:[ActualResult]], "REG") + SUMIFS(Table1[[AwayWon]:[AwayWon]], Table1[[GameIsOver]:[GameIsOver]],1,Table1[[HomeTeam]:[HomeTeam]],$A11, Table1[[AwayTeam]:[AwayTeam]], O$1, Table1[[ActualResult]:[ActualResult]], "REG"),0), "-", TEXT(SUMIFS(Table1[[HomeWon]:[HomeWon]], Table1[[GameIsOver]:[GameIsOver]],1,Table1[[AwayTeam]:[AwayTeam]],$A11, Table1[[HomeTeam]:[HomeTeam]], O$1, Table1[[ActualResult]:[ActualResult]], "OT") + SUMIFS(Table1[[AwayWon]:[AwayWon]], Table1[[GameIsOver]:[GameIsOver]],1,Table1[[HomeTeam]:[HomeTeam]],$A11, Table1[[AwayTeam]:[AwayTeam]], O$1, Table1[[ActualResult]:[ActualResult]], "OT") + SUMIFS(Table1[[HomeWon]:[HomeWon]], Table1[[GameIsOver]:[GameIsOver]],1,Table1[[AwayTeam]:[AwayTeam]],$A11, Table1[[HomeTeam]:[HomeTeam]], O$1, Table1[[ActualResult]:[ActualResult]], "SO") + SUMIFS(Table1[[AwayWon]:[AwayWon]], Table1[[GameIsOver]:[GameIsOver]],1,Table1[[HomeTeam]:[HomeTeam]],$A11, Table1[[AwayTeam]:[AwayTeam]], O$1, Table1[[ActualResult]:[ActualResult]], "SO"),0))</f>
        <v>0-0-0</v>
      </c>
      <c r="P11" s="43" t="str">
        <f>_xlfn.CONCAT(TEXT(SUMIFS(Table1[[AwayWon]:[AwayWon]], Table1[[GameIsOver]:[GameIsOver]],1,Table1[[AwayTeam]:[AwayTeam]],$A11, Table1[[HomeTeam]:[HomeTeam]], P$1) + SUMIFS(Table1[[HomeWon]:[HomeWon]], Table1[[GameIsOver]:[GameIsOver]],1,Table1[[HomeTeam]:[HomeTeam]],$A11, Table1[[AwayTeam]:[AwayTeam]], P$1),0), "-", TEXT(SUMIFS(Table1[[HomeWon]:[HomeWon]], Table1[[GameIsOver]:[GameIsOver]],1,Table1[[AwayTeam]:[AwayTeam]],$A11, Table1[[HomeTeam]:[HomeTeam]], P$1, Table1[[ActualResult]:[ActualResult]], "REG") + SUMIFS(Table1[[AwayWon]:[AwayWon]], Table1[[GameIsOver]:[GameIsOver]],1,Table1[[HomeTeam]:[HomeTeam]],$A11, Table1[[AwayTeam]:[AwayTeam]], P$1, Table1[[ActualResult]:[ActualResult]], "REG"),0), "-", TEXT(SUMIFS(Table1[[HomeWon]:[HomeWon]], Table1[[GameIsOver]:[GameIsOver]],1,Table1[[AwayTeam]:[AwayTeam]],$A11, Table1[[HomeTeam]:[HomeTeam]], P$1, Table1[[ActualResult]:[ActualResult]], "OT") + SUMIFS(Table1[[AwayWon]:[AwayWon]], Table1[[GameIsOver]:[GameIsOver]],1,Table1[[HomeTeam]:[HomeTeam]],$A11, Table1[[AwayTeam]:[AwayTeam]], P$1, Table1[[ActualResult]:[ActualResult]], "OT") + SUMIFS(Table1[[HomeWon]:[HomeWon]], Table1[[GameIsOver]:[GameIsOver]],1,Table1[[AwayTeam]:[AwayTeam]],$A11, Table1[[HomeTeam]:[HomeTeam]], P$1, Table1[[ActualResult]:[ActualResult]], "SO") + SUMIFS(Table1[[AwayWon]:[AwayWon]], Table1[[GameIsOver]:[GameIsOver]],1,Table1[[HomeTeam]:[HomeTeam]],$A11, Table1[[AwayTeam]:[AwayTeam]], P$1, Table1[[ActualResult]:[ActualResult]], "SO"),0))</f>
        <v>0-0-0</v>
      </c>
      <c r="Q11" s="45" t="str">
        <f>_xlfn.CONCAT(TEXT(SUMIFS(Table1[[AwayWon]:[AwayWon]], Table1[[GameIsOver]:[GameIsOver]],1,Table1[[AwayTeam]:[AwayTeam]],$A11, Table1[[HomeTeam]:[HomeTeam]], Q$1) + SUMIFS(Table1[[HomeWon]:[HomeWon]], Table1[[GameIsOver]:[GameIsOver]],1,Table1[[HomeTeam]:[HomeTeam]],$A11, Table1[[AwayTeam]:[AwayTeam]], Q$1),0), "-", TEXT(SUMIFS(Table1[[HomeWon]:[HomeWon]], Table1[[GameIsOver]:[GameIsOver]],1,Table1[[AwayTeam]:[AwayTeam]],$A11, Table1[[HomeTeam]:[HomeTeam]], Q$1, Table1[[ActualResult]:[ActualResult]], "REG") + SUMIFS(Table1[[AwayWon]:[AwayWon]], Table1[[GameIsOver]:[GameIsOver]],1,Table1[[HomeTeam]:[HomeTeam]],$A11, Table1[[AwayTeam]:[AwayTeam]], Q$1, Table1[[ActualResult]:[ActualResult]], "REG"),0), "-", TEXT(SUMIFS(Table1[[HomeWon]:[HomeWon]], Table1[[GameIsOver]:[GameIsOver]],1,Table1[[AwayTeam]:[AwayTeam]],$A11, Table1[[HomeTeam]:[HomeTeam]], Q$1, Table1[[ActualResult]:[ActualResult]], "OT") + SUMIFS(Table1[[AwayWon]:[AwayWon]], Table1[[GameIsOver]:[GameIsOver]],1,Table1[[HomeTeam]:[HomeTeam]],$A11, Table1[[AwayTeam]:[AwayTeam]], Q$1, Table1[[ActualResult]:[ActualResult]], "OT") + SUMIFS(Table1[[HomeWon]:[HomeWon]], Table1[[GameIsOver]:[GameIsOver]],1,Table1[[AwayTeam]:[AwayTeam]],$A11, Table1[[HomeTeam]:[HomeTeam]], Q$1, Table1[[ActualResult]:[ActualResult]], "SO") + SUMIFS(Table1[[AwayWon]:[AwayWon]], Table1[[GameIsOver]:[GameIsOver]],1,Table1[[HomeTeam]:[HomeTeam]],$A11, Table1[[AwayTeam]:[AwayTeam]], Q$1, Table1[[ActualResult]:[ActualResult]], "SO"),0))</f>
        <v>0-0-0</v>
      </c>
      <c r="R11" s="43" t="str">
        <f>_xlfn.CONCAT(TEXT(SUMIFS(Table1[[AwayWon]:[AwayWon]], Table1[[GameIsOver]:[GameIsOver]],1,Table1[[AwayTeam]:[AwayTeam]],$A11, Table1[[HomeTeam]:[HomeTeam]], R$1) + SUMIFS(Table1[[HomeWon]:[HomeWon]], Table1[[GameIsOver]:[GameIsOver]],1,Table1[[HomeTeam]:[HomeTeam]],$A11, Table1[[AwayTeam]:[AwayTeam]], R$1),0), "-", TEXT(SUMIFS(Table1[[HomeWon]:[HomeWon]], Table1[[GameIsOver]:[GameIsOver]],1,Table1[[AwayTeam]:[AwayTeam]],$A11, Table1[[HomeTeam]:[HomeTeam]], R$1, Table1[[ActualResult]:[ActualResult]], "REG") + SUMIFS(Table1[[AwayWon]:[AwayWon]], Table1[[GameIsOver]:[GameIsOver]],1,Table1[[HomeTeam]:[HomeTeam]],$A11, Table1[[AwayTeam]:[AwayTeam]], R$1, Table1[[ActualResult]:[ActualResult]], "REG"),0), "-", TEXT(SUMIFS(Table1[[HomeWon]:[HomeWon]], Table1[[GameIsOver]:[GameIsOver]],1,Table1[[AwayTeam]:[AwayTeam]],$A11, Table1[[HomeTeam]:[HomeTeam]], R$1, Table1[[ActualResult]:[ActualResult]], "OT") + SUMIFS(Table1[[AwayWon]:[AwayWon]], Table1[[GameIsOver]:[GameIsOver]],1,Table1[[HomeTeam]:[HomeTeam]],$A11, Table1[[AwayTeam]:[AwayTeam]], R$1, Table1[[ActualResult]:[ActualResult]], "OT") + SUMIFS(Table1[[HomeWon]:[HomeWon]], Table1[[GameIsOver]:[GameIsOver]],1,Table1[[AwayTeam]:[AwayTeam]],$A11, Table1[[HomeTeam]:[HomeTeam]], R$1, Table1[[ActualResult]:[ActualResult]], "SO") + SUMIFS(Table1[[AwayWon]:[AwayWon]], Table1[[GameIsOver]:[GameIsOver]],1,Table1[[HomeTeam]:[HomeTeam]],$A11, Table1[[AwayTeam]:[AwayTeam]], R$1, Table1[[ActualResult]:[ActualResult]], "SO"),0))</f>
        <v>0-0-0</v>
      </c>
      <c r="S11" s="43" t="str">
        <f>_xlfn.CONCAT(TEXT(SUMIFS(Table1[[AwayWon]:[AwayWon]], Table1[[GameIsOver]:[GameIsOver]],1,Table1[[AwayTeam]:[AwayTeam]],$A11, Table1[[HomeTeam]:[HomeTeam]], S$1) + SUMIFS(Table1[[HomeWon]:[HomeWon]], Table1[[GameIsOver]:[GameIsOver]],1,Table1[[HomeTeam]:[HomeTeam]],$A11, Table1[[AwayTeam]:[AwayTeam]], S$1),0), "-", TEXT(SUMIFS(Table1[[HomeWon]:[HomeWon]], Table1[[GameIsOver]:[GameIsOver]],1,Table1[[AwayTeam]:[AwayTeam]],$A11, Table1[[HomeTeam]:[HomeTeam]], S$1, Table1[[ActualResult]:[ActualResult]], "REG") + SUMIFS(Table1[[AwayWon]:[AwayWon]], Table1[[GameIsOver]:[GameIsOver]],1,Table1[[HomeTeam]:[HomeTeam]],$A11, Table1[[AwayTeam]:[AwayTeam]], S$1, Table1[[ActualResult]:[ActualResult]], "REG"),0), "-", TEXT(SUMIFS(Table1[[HomeWon]:[HomeWon]], Table1[[GameIsOver]:[GameIsOver]],1,Table1[[AwayTeam]:[AwayTeam]],$A11, Table1[[HomeTeam]:[HomeTeam]], S$1, Table1[[ActualResult]:[ActualResult]], "OT") + SUMIFS(Table1[[AwayWon]:[AwayWon]], Table1[[GameIsOver]:[GameIsOver]],1,Table1[[HomeTeam]:[HomeTeam]],$A11, Table1[[AwayTeam]:[AwayTeam]], S$1, Table1[[ActualResult]:[ActualResult]], "OT") + SUMIFS(Table1[[HomeWon]:[HomeWon]], Table1[[GameIsOver]:[GameIsOver]],1,Table1[[AwayTeam]:[AwayTeam]],$A11, Table1[[HomeTeam]:[HomeTeam]], S$1, Table1[[ActualResult]:[ActualResult]], "SO") + SUMIFS(Table1[[AwayWon]:[AwayWon]], Table1[[GameIsOver]:[GameIsOver]],1,Table1[[HomeTeam]:[HomeTeam]],$A11, Table1[[AwayTeam]:[AwayTeam]], S$1, Table1[[ActualResult]:[ActualResult]], "SO"),0))</f>
        <v>0-0-0</v>
      </c>
      <c r="T11" s="43" t="str">
        <f>_xlfn.CONCAT(TEXT(SUMIFS(Table1[[AwayWon]:[AwayWon]], Table1[[GameIsOver]:[GameIsOver]],1,Table1[[AwayTeam]:[AwayTeam]],$A11, Table1[[HomeTeam]:[HomeTeam]], T$1) + SUMIFS(Table1[[HomeWon]:[HomeWon]], Table1[[GameIsOver]:[GameIsOver]],1,Table1[[HomeTeam]:[HomeTeam]],$A11, Table1[[AwayTeam]:[AwayTeam]], T$1),0), "-", TEXT(SUMIFS(Table1[[HomeWon]:[HomeWon]], Table1[[GameIsOver]:[GameIsOver]],1,Table1[[AwayTeam]:[AwayTeam]],$A11, Table1[[HomeTeam]:[HomeTeam]], T$1, Table1[[ActualResult]:[ActualResult]], "REG") + SUMIFS(Table1[[AwayWon]:[AwayWon]], Table1[[GameIsOver]:[GameIsOver]],1,Table1[[HomeTeam]:[HomeTeam]],$A11, Table1[[AwayTeam]:[AwayTeam]], T$1, Table1[[ActualResult]:[ActualResult]], "REG"),0), "-", TEXT(SUMIFS(Table1[[HomeWon]:[HomeWon]], Table1[[GameIsOver]:[GameIsOver]],1,Table1[[AwayTeam]:[AwayTeam]],$A11, Table1[[HomeTeam]:[HomeTeam]], T$1, Table1[[ActualResult]:[ActualResult]], "OT") + SUMIFS(Table1[[AwayWon]:[AwayWon]], Table1[[GameIsOver]:[GameIsOver]],1,Table1[[HomeTeam]:[HomeTeam]],$A11, Table1[[AwayTeam]:[AwayTeam]], T$1, Table1[[ActualResult]:[ActualResult]], "OT") + SUMIFS(Table1[[HomeWon]:[HomeWon]], Table1[[GameIsOver]:[GameIsOver]],1,Table1[[AwayTeam]:[AwayTeam]],$A11, Table1[[HomeTeam]:[HomeTeam]], T$1, Table1[[ActualResult]:[ActualResult]], "SO") + SUMIFS(Table1[[AwayWon]:[AwayWon]], Table1[[GameIsOver]:[GameIsOver]],1,Table1[[HomeTeam]:[HomeTeam]],$A11, Table1[[AwayTeam]:[AwayTeam]], T$1, Table1[[ActualResult]:[ActualResult]], "SO"),0))</f>
        <v>0-0-0</v>
      </c>
      <c r="U11" s="43" t="str">
        <f>_xlfn.CONCAT(TEXT(SUMIFS(Table1[[AwayWon]:[AwayWon]], Table1[[GameIsOver]:[GameIsOver]],1,Table1[[AwayTeam]:[AwayTeam]],$A11, Table1[[HomeTeam]:[HomeTeam]], U$1) + SUMIFS(Table1[[HomeWon]:[HomeWon]], Table1[[GameIsOver]:[GameIsOver]],1,Table1[[HomeTeam]:[HomeTeam]],$A11, Table1[[AwayTeam]:[AwayTeam]], U$1),0), "-", TEXT(SUMIFS(Table1[[HomeWon]:[HomeWon]], Table1[[GameIsOver]:[GameIsOver]],1,Table1[[AwayTeam]:[AwayTeam]],$A11, Table1[[HomeTeam]:[HomeTeam]], U$1, Table1[[ActualResult]:[ActualResult]], "REG") + SUMIFS(Table1[[AwayWon]:[AwayWon]], Table1[[GameIsOver]:[GameIsOver]],1,Table1[[HomeTeam]:[HomeTeam]],$A11, Table1[[AwayTeam]:[AwayTeam]], U$1, Table1[[ActualResult]:[ActualResult]], "REG"),0), "-", TEXT(SUMIFS(Table1[[HomeWon]:[HomeWon]], Table1[[GameIsOver]:[GameIsOver]],1,Table1[[AwayTeam]:[AwayTeam]],$A11, Table1[[HomeTeam]:[HomeTeam]], U$1, Table1[[ActualResult]:[ActualResult]], "OT") + SUMIFS(Table1[[AwayWon]:[AwayWon]], Table1[[GameIsOver]:[GameIsOver]],1,Table1[[HomeTeam]:[HomeTeam]],$A11, Table1[[AwayTeam]:[AwayTeam]], U$1, Table1[[ActualResult]:[ActualResult]], "OT") + SUMIFS(Table1[[HomeWon]:[HomeWon]], Table1[[GameIsOver]:[GameIsOver]],1,Table1[[AwayTeam]:[AwayTeam]],$A11, Table1[[HomeTeam]:[HomeTeam]], U$1, Table1[[ActualResult]:[ActualResult]], "SO") + SUMIFS(Table1[[AwayWon]:[AwayWon]], Table1[[GameIsOver]:[GameIsOver]],1,Table1[[HomeTeam]:[HomeTeam]],$A11, Table1[[AwayTeam]:[AwayTeam]], U$1, Table1[[ActualResult]:[ActualResult]], "SO"),0))</f>
        <v>0-0-0</v>
      </c>
      <c r="V11" s="43" t="str">
        <f>_xlfn.CONCAT(TEXT(SUMIFS(Table1[[AwayWon]:[AwayWon]], Table1[[GameIsOver]:[GameIsOver]],1,Table1[[AwayTeam]:[AwayTeam]],$A11, Table1[[HomeTeam]:[HomeTeam]], V$1) + SUMIFS(Table1[[HomeWon]:[HomeWon]], Table1[[GameIsOver]:[GameIsOver]],1,Table1[[HomeTeam]:[HomeTeam]],$A11, Table1[[AwayTeam]:[AwayTeam]], V$1),0), "-", TEXT(SUMIFS(Table1[[HomeWon]:[HomeWon]], Table1[[GameIsOver]:[GameIsOver]],1,Table1[[AwayTeam]:[AwayTeam]],$A11, Table1[[HomeTeam]:[HomeTeam]], V$1, Table1[[ActualResult]:[ActualResult]], "REG") + SUMIFS(Table1[[AwayWon]:[AwayWon]], Table1[[GameIsOver]:[GameIsOver]],1,Table1[[HomeTeam]:[HomeTeam]],$A11, Table1[[AwayTeam]:[AwayTeam]], V$1, Table1[[ActualResult]:[ActualResult]], "REG"),0), "-", TEXT(SUMIFS(Table1[[HomeWon]:[HomeWon]], Table1[[GameIsOver]:[GameIsOver]],1,Table1[[AwayTeam]:[AwayTeam]],$A11, Table1[[HomeTeam]:[HomeTeam]], V$1, Table1[[ActualResult]:[ActualResult]], "OT") + SUMIFS(Table1[[AwayWon]:[AwayWon]], Table1[[GameIsOver]:[GameIsOver]],1,Table1[[HomeTeam]:[HomeTeam]],$A11, Table1[[AwayTeam]:[AwayTeam]], V$1, Table1[[ActualResult]:[ActualResult]], "OT") + SUMIFS(Table1[[HomeWon]:[HomeWon]], Table1[[GameIsOver]:[GameIsOver]],1,Table1[[AwayTeam]:[AwayTeam]],$A11, Table1[[HomeTeam]:[HomeTeam]], V$1, Table1[[ActualResult]:[ActualResult]], "SO") + SUMIFS(Table1[[AwayWon]:[AwayWon]], Table1[[GameIsOver]:[GameIsOver]],1,Table1[[HomeTeam]:[HomeTeam]],$A11, Table1[[AwayTeam]:[AwayTeam]], V$1, Table1[[ActualResult]:[ActualResult]], "SO"),0))</f>
        <v>0-0-0</v>
      </c>
      <c r="W11" s="43" t="str">
        <f>_xlfn.CONCAT(TEXT(SUMIFS(Table1[[AwayWon]:[AwayWon]], Table1[[GameIsOver]:[GameIsOver]],1,Table1[[AwayTeam]:[AwayTeam]],$A11, Table1[[HomeTeam]:[HomeTeam]], W$1) + SUMIFS(Table1[[HomeWon]:[HomeWon]], Table1[[GameIsOver]:[GameIsOver]],1,Table1[[HomeTeam]:[HomeTeam]],$A11, Table1[[AwayTeam]:[AwayTeam]], W$1),0), "-", TEXT(SUMIFS(Table1[[HomeWon]:[HomeWon]], Table1[[GameIsOver]:[GameIsOver]],1,Table1[[AwayTeam]:[AwayTeam]],$A11, Table1[[HomeTeam]:[HomeTeam]], W$1, Table1[[ActualResult]:[ActualResult]], "REG") + SUMIFS(Table1[[AwayWon]:[AwayWon]], Table1[[GameIsOver]:[GameIsOver]],1,Table1[[HomeTeam]:[HomeTeam]],$A11, Table1[[AwayTeam]:[AwayTeam]], W$1, Table1[[ActualResult]:[ActualResult]], "REG"),0), "-", TEXT(SUMIFS(Table1[[HomeWon]:[HomeWon]], Table1[[GameIsOver]:[GameIsOver]],1,Table1[[AwayTeam]:[AwayTeam]],$A11, Table1[[HomeTeam]:[HomeTeam]], W$1, Table1[[ActualResult]:[ActualResult]], "OT") + SUMIFS(Table1[[AwayWon]:[AwayWon]], Table1[[GameIsOver]:[GameIsOver]],1,Table1[[HomeTeam]:[HomeTeam]],$A11, Table1[[AwayTeam]:[AwayTeam]], W$1, Table1[[ActualResult]:[ActualResult]], "OT") + SUMIFS(Table1[[HomeWon]:[HomeWon]], Table1[[GameIsOver]:[GameIsOver]],1,Table1[[AwayTeam]:[AwayTeam]],$A11, Table1[[HomeTeam]:[HomeTeam]], W$1, Table1[[ActualResult]:[ActualResult]], "SO") + SUMIFS(Table1[[AwayWon]:[AwayWon]], Table1[[GameIsOver]:[GameIsOver]],1,Table1[[HomeTeam]:[HomeTeam]],$A11, Table1[[AwayTeam]:[AwayTeam]], W$1, Table1[[ActualResult]:[ActualResult]], "SO"),0))</f>
        <v>0-0-0</v>
      </c>
      <c r="X11" s="43" t="str">
        <f>_xlfn.CONCAT(TEXT(SUMIFS(Table1[[AwayWon]:[AwayWon]], Table1[[GameIsOver]:[GameIsOver]],1,Table1[[AwayTeam]:[AwayTeam]],$A11, Table1[[HomeTeam]:[HomeTeam]], X$1) + SUMIFS(Table1[[HomeWon]:[HomeWon]], Table1[[GameIsOver]:[GameIsOver]],1,Table1[[HomeTeam]:[HomeTeam]],$A11, Table1[[AwayTeam]:[AwayTeam]], X$1),0), "-", TEXT(SUMIFS(Table1[[HomeWon]:[HomeWon]], Table1[[GameIsOver]:[GameIsOver]],1,Table1[[AwayTeam]:[AwayTeam]],$A11, Table1[[HomeTeam]:[HomeTeam]], X$1, Table1[[ActualResult]:[ActualResult]], "REG") + SUMIFS(Table1[[AwayWon]:[AwayWon]], Table1[[GameIsOver]:[GameIsOver]],1,Table1[[HomeTeam]:[HomeTeam]],$A11, Table1[[AwayTeam]:[AwayTeam]], X$1, Table1[[ActualResult]:[ActualResult]], "REG"),0), "-", TEXT(SUMIFS(Table1[[HomeWon]:[HomeWon]], Table1[[GameIsOver]:[GameIsOver]],1,Table1[[AwayTeam]:[AwayTeam]],$A11, Table1[[HomeTeam]:[HomeTeam]], X$1, Table1[[ActualResult]:[ActualResult]], "OT") + SUMIFS(Table1[[AwayWon]:[AwayWon]], Table1[[GameIsOver]:[GameIsOver]],1,Table1[[HomeTeam]:[HomeTeam]],$A11, Table1[[AwayTeam]:[AwayTeam]], X$1, Table1[[ActualResult]:[ActualResult]], "OT") + SUMIFS(Table1[[HomeWon]:[HomeWon]], Table1[[GameIsOver]:[GameIsOver]],1,Table1[[AwayTeam]:[AwayTeam]],$A11, Table1[[HomeTeam]:[HomeTeam]], X$1, Table1[[ActualResult]:[ActualResult]], "SO") + SUMIFS(Table1[[AwayWon]:[AwayWon]], Table1[[GameIsOver]:[GameIsOver]],1,Table1[[HomeTeam]:[HomeTeam]],$A11, Table1[[AwayTeam]:[AwayTeam]], X$1, Table1[[ActualResult]:[ActualResult]], "SO"),0))</f>
        <v>0-0-0</v>
      </c>
      <c r="Y11" s="45" t="str">
        <f>_xlfn.CONCAT(TEXT(SUMIFS(Table1[[AwayWon]:[AwayWon]], Table1[[GameIsOver]:[GameIsOver]],1,Table1[[AwayTeam]:[AwayTeam]],$A11, Table1[[HomeTeam]:[HomeTeam]], Y$1) + SUMIFS(Table1[[HomeWon]:[HomeWon]], Table1[[GameIsOver]:[GameIsOver]],1,Table1[[HomeTeam]:[HomeTeam]],$A11, Table1[[AwayTeam]:[AwayTeam]], Y$1),0), "-", TEXT(SUMIFS(Table1[[HomeWon]:[HomeWon]], Table1[[GameIsOver]:[GameIsOver]],1,Table1[[AwayTeam]:[AwayTeam]],$A11, Table1[[HomeTeam]:[HomeTeam]], Y$1, Table1[[ActualResult]:[ActualResult]], "REG") + SUMIFS(Table1[[AwayWon]:[AwayWon]], Table1[[GameIsOver]:[GameIsOver]],1,Table1[[HomeTeam]:[HomeTeam]],$A11, Table1[[AwayTeam]:[AwayTeam]], Y$1, Table1[[ActualResult]:[ActualResult]], "REG"),0), "-", TEXT(SUMIFS(Table1[[HomeWon]:[HomeWon]], Table1[[GameIsOver]:[GameIsOver]],1,Table1[[AwayTeam]:[AwayTeam]],$A11, Table1[[HomeTeam]:[HomeTeam]], Y$1, Table1[[ActualResult]:[ActualResult]], "OT") + SUMIFS(Table1[[AwayWon]:[AwayWon]], Table1[[GameIsOver]:[GameIsOver]],1,Table1[[HomeTeam]:[HomeTeam]],$A11, Table1[[AwayTeam]:[AwayTeam]], Y$1, Table1[[ActualResult]:[ActualResult]], "OT") + SUMIFS(Table1[[HomeWon]:[HomeWon]], Table1[[GameIsOver]:[GameIsOver]],1,Table1[[AwayTeam]:[AwayTeam]],$A11, Table1[[HomeTeam]:[HomeTeam]], Y$1, Table1[[ActualResult]:[ActualResult]], "SO") + SUMIFS(Table1[[AwayWon]:[AwayWon]], Table1[[GameIsOver]:[GameIsOver]],1,Table1[[HomeTeam]:[HomeTeam]],$A11, Table1[[AwayTeam]:[AwayTeam]], Y$1, Table1[[ActualResult]:[ActualResult]], "SO"),0))</f>
        <v>0-0-0</v>
      </c>
      <c r="Z11" s="43" t="str">
        <f>_xlfn.CONCAT(TEXT(SUMIFS(Table1[[AwayWon]:[AwayWon]], Table1[[GameIsOver]:[GameIsOver]],1,Table1[[AwayTeam]:[AwayTeam]],$A11, Table1[[HomeTeam]:[HomeTeam]], Z$1) + SUMIFS(Table1[[HomeWon]:[HomeWon]], Table1[[GameIsOver]:[GameIsOver]],1,Table1[[HomeTeam]:[HomeTeam]],$A11, Table1[[AwayTeam]:[AwayTeam]], Z$1),0), "-", TEXT(SUMIFS(Table1[[HomeWon]:[HomeWon]], Table1[[GameIsOver]:[GameIsOver]],1,Table1[[AwayTeam]:[AwayTeam]],$A11, Table1[[HomeTeam]:[HomeTeam]], Z$1, Table1[[ActualResult]:[ActualResult]], "REG") + SUMIFS(Table1[[AwayWon]:[AwayWon]], Table1[[GameIsOver]:[GameIsOver]],1,Table1[[HomeTeam]:[HomeTeam]],$A11, Table1[[AwayTeam]:[AwayTeam]], Z$1, Table1[[ActualResult]:[ActualResult]], "REG"),0), "-", TEXT(SUMIFS(Table1[[HomeWon]:[HomeWon]], Table1[[GameIsOver]:[GameIsOver]],1,Table1[[AwayTeam]:[AwayTeam]],$A11, Table1[[HomeTeam]:[HomeTeam]], Z$1, Table1[[ActualResult]:[ActualResult]], "OT") + SUMIFS(Table1[[AwayWon]:[AwayWon]], Table1[[GameIsOver]:[GameIsOver]],1,Table1[[HomeTeam]:[HomeTeam]],$A11, Table1[[AwayTeam]:[AwayTeam]], Z$1, Table1[[ActualResult]:[ActualResult]], "OT") + SUMIFS(Table1[[HomeWon]:[HomeWon]], Table1[[GameIsOver]:[GameIsOver]],1,Table1[[AwayTeam]:[AwayTeam]],$A11, Table1[[HomeTeam]:[HomeTeam]], Z$1, Table1[[ActualResult]:[ActualResult]], "SO") + SUMIFS(Table1[[AwayWon]:[AwayWon]], Table1[[GameIsOver]:[GameIsOver]],1,Table1[[HomeTeam]:[HomeTeam]],$A11, Table1[[AwayTeam]:[AwayTeam]], Z$1, Table1[[ActualResult]:[ActualResult]], "SO"),0))</f>
        <v>0-0-0</v>
      </c>
      <c r="AA11" s="43" t="str">
        <f>_xlfn.CONCAT(TEXT(SUMIFS(Table1[[AwayWon]:[AwayWon]], Table1[[GameIsOver]:[GameIsOver]],1,Table1[[AwayTeam]:[AwayTeam]],$A11, Table1[[HomeTeam]:[HomeTeam]], AA$1) + SUMIFS(Table1[[HomeWon]:[HomeWon]], Table1[[GameIsOver]:[GameIsOver]],1,Table1[[HomeTeam]:[HomeTeam]],$A11, Table1[[AwayTeam]:[AwayTeam]], AA$1),0), "-", TEXT(SUMIFS(Table1[[HomeWon]:[HomeWon]], Table1[[GameIsOver]:[GameIsOver]],1,Table1[[AwayTeam]:[AwayTeam]],$A11, Table1[[HomeTeam]:[HomeTeam]], AA$1, Table1[[ActualResult]:[ActualResult]], "REG") + SUMIFS(Table1[[AwayWon]:[AwayWon]], Table1[[GameIsOver]:[GameIsOver]],1,Table1[[HomeTeam]:[HomeTeam]],$A11, Table1[[AwayTeam]:[AwayTeam]], AA$1, Table1[[ActualResult]:[ActualResult]], "REG"),0), "-", TEXT(SUMIFS(Table1[[HomeWon]:[HomeWon]], Table1[[GameIsOver]:[GameIsOver]],1,Table1[[AwayTeam]:[AwayTeam]],$A11, Table1[[HomeTeam]:[HomeTeam]], AA$1, Table1[[ActualResult]:[ActualResult]], "OT") + SUMIFS(Table1[[AwayWon]:[AwayWon]], Table1[[GameIsOver]:[GameIsOver]],1,Table1[[HomeTeam]:[HomeTeam]],$A11, Table1[[AwayTeam]:[AwayTeam]], AA$1, Table1[[ActualResult]:[ActualResult]], "OT") + SUMIFS(Table1[[HomeWon]:[HomeWon]], Table1[[GameIsOver]:[GameIsOver]],1,Table1[[AwayTeam]:[AwayTeam]],$A11, Table1[[HomeTeam]:[HomeTeam]], AA$1, Table1[[ActualResult]:[ActualResult]], "SO") + SUMIFS(Table1[[AwayWon]:[AwayWon]], Table1[[GameIsOver]:[GameIsOver]],1,Table1[[HomeTeam]:[HomeTeam]],$A11, Table1[[AwayTeam]:[AwayTeam]], AA$1, Table1[[ActualResult]:[ActualResult]], "SO"),0))</f>
        <v>0-0-0</v>
      </c>
      <c r="AB11" s="43" t="str">
        <f>_xlfn.CONCAT(TEXT(SUMIFS(Table1[[AwayWon]:[AwayWon]], Table1[[GameIsOver]:[GameIsOver]],1,Table1[[AwayTeam]:[AwayTeam]],$A11, Table1[[HomeTeam]:[HomeTeam]], AB$1) + SUMIFS(Table1[[HomeWon]:[HomeWon]], Table1[[GameIsOver]:[GameIsOver]],1,Table1[[HomeTeam]:[HomeTeam]],$A11, Table1[[AwayTeam]:[AwayTeam]], AB$1),0), "-", TEXT(SUMIFS(Table1[[HomeWon]:[HomeWon]], Table1[[GameIsOver]:[GameIsOver]],1,Table1[[AwayTeam]:[AwayTeam]],$A11, Table1[[HomeTeam]:[HomeTeam]], AB$1, Table1[[ActualResult]:[ActualResult]], "REG") + SUMIFS(Table1[[AwayWon]:[AwayWon]], Table1[[GameIsOver]:[GameIsOver]],1,Table1[[HomeTeam]:[HomeTeam]],$A11, Table1[[AwayTeam]:[AwayTeam]], AB$1, Table1[[ActualResult]:[ActualResult]], "REG"),0), "-", TEXT(SUMIFS(Table1[[HomeWon]:[HomeWon]], Table1[[GameIsOver]:[GameIsOver]],1,Table1[[AwayTeam]:[AwayTeam]],$A11, Table1[[HomeTeam]:[HomeTeam]], AB$1, Table1[[ActualResult]:[ActualResult]], "OT") + SUMIFS(Table1[[AwayWon]:[AwayWon]], Table1[[GameIsOver]:[GameIsOver]],1,Table1[[HomeTeam]:[HomeTeam]],$A11, Table1[[AwayTeam]:[AwayTeam]], AB$1, Table1[[ActualResult]:[ActualResult]], "OT") + SUMIFS(Table1[[HomeWon]:[HomeWon]], Table1[[GameIsOver]:[GameIsOver]],1,Table1[[AwayTeam]:[AwayTeam]],$A11, Table1[[HomeTeam]:[HomeTeam]], AB$1, Table1[[ActualResult]:[ActualResult]], "SO") + SUMIFS(Table1[[AwayWon]:[AwayWon]], Table1[[GameIsOver]:[GameIsOver]],1,Table1[[HomeTeam]:[HomeTeam]],$A11, Table1[[AwayTeam]:[AwayTeam]], AB$1, Table1[[ActualResult]:[ActualResult]], "SO"),0))</f>
        <v>0-0-0</v>
      </c>
      <c r="AC11" s="43" t="str">
        <f>_xlfn.CONCAT(TEXT(SUMIFS(Table1[[AwayWon]:[AwayWon]], Table1[[GameIsOver]:[GameIsOver]],1,Table1[[AwayTeam]:[AwayTeam]],$A11, Table1[[HomeTeam]:[HomeTeam]], AC$1) + SUMIFS(Table1[[HomeWon]:[HomeWon]], Table1[[GameIsOver]:[GameIsOver]],1,Table1[[HomeTeam]:[HomeTeam]],$A11, Table1[[AwayTeam]:[AwayTeam]], AC$1),0), "-", TEXT(SUMIFS(Table1[[HomeWon]:[HomeWon]], Table1[[GameIsOver]:[GameIsOver]],1,Table1[[AwayTeam]:[AwayTeam]],$A11, Table1[[HomeTeam]:[HomeTeam]], AC$1, Table1[[ActualResult]:[ActualResult]], "REG") + SUMIFS(Table1[[AwayWon]:[AwayWon]], Table1[[GameIsOver]:[GameIsOver]],1,Table1[[HomeTeam]:[HomeTeam]],$A11, Table1[[AwayTeam]:[AwayTeam]], AC$1, Table1[[ActualResult]:[ActualResult]], "REG"),0), "-", TEXT(SUMIFS(Table1[[HomeWon]:[HomeWon]], Table1[[GameIsOver]:[GameIsOver]],1,Table1[[AwayTeam]:[AwayTeam]],$A11, Table1[[HomeTeam]:[HomeTeam]], AC$1, Table1[[ActualResult]:[ActualResult]], "OT") + SUMIFS(Table1[[AwayWon]:[AwayWon]], Table1[[GameIsOver]:[GameIsOver]],1,Table1[[HomeTeam]:[HomeTeam]],$A11, Table1[[AwayTeam]:[AwayTeam]], AC$1, Table1[[ActualResult]:[ActualResult]], "OT") + SUMIFS(Table1[[HomeWon]:[HomeWon]], Table1[[GameIsOver]:[GameIsOver]],1,Table1[[AwayTeam]:[AwayTeam]],$A11, Table1[[HomeTeam]:[HomeTeam]], AC$1, Table1[[ActualResult]:[ActualResult]], "SO") + SUMIFS(Table1[[AwayWon]:[AwayWon]], Table1[[GameIsOver]:[GameIsOver]],1,Table1[[HomeTeam]:[HomeTeam]],$A11, Table1[[AwayTeam]:[AwayTeam]], AC$1, Table1[[ActualResult]:[ActualResult]], "SO"),0))</f>
        <v>0-0-0</v>
      </c>
      <c r="AD11" s="43" t="str">
        <f>_xlfn.CONCAT(TEXT(SUMIFS(Table1[[AwayWon]:[AwayWon]], Table1[[GameIsOver]:[GameIsOver]],1,Table1[[AwayTeam]:[AwayTeam]],$A11, Table1[[HomeTeam]:[HomeTeam]], AD$1) + SUMIFS(Table1[[HomeWon]:[HomeWon]], Table1[[GameIsOver]:[GameIsOver]],1,Table1[[HomeTeam]:[HomeTeam]],$A11, Table1[[AwayTeam]:[AwayTeam]], AD$1),0), "-", TEXT(SUMIFS(Table1[[HomeWon]:[HomeWon]], Table1[[GameIsOver]:[GameIsOver]],1,Table1[[AwayTeam]:[AwayTeam]],$A11, Table1[[HomeTeam]:[HomeTeam]], AD$1, Table1[[ActualResult]:[ActualResult]], "REG") + SUMIFS(Table1[[AwayWon]:[AwayWon]], Table1[[GameIsOver]:[GameIsOver]],1,Table1[[HomeTeam]:[HomeTeam]],$A11, Table1[[AwayTeam]:[AwayTeam]], AD$1, Table1[[ActualResult]:[ActualResult]], "REG"),0), "-", TEXT(SUMIFS(Table1[[HomeWon]:[HomeWon]], Table1[[GameIsOver]:[GameIsOver]],1,Table1[[AwayTeam]:[AwayTeam]],$A11, Table1[[HomeTeam]:[HomeTeam]], AD$1, Table1[[ActualResult]:[ActualResult]], "OT") + SUMIFS(Table1[[AwayWon]:[AwayWon]], Table1[[GameIsOver]:[GameIsOver]],1,Table1[[HomeTeam]:[HomeTeam]],$A11, Table1[[AwayTeam]:[AwayTeam]], AD$1, Table1[[ActualResult]:[ActualResult]], "OT") + SUMIFS(Table1[[HomeWon]:[HomeWon]], Table1[[GameIsOver]:[GameIsOver]],1,Table1[[AwayTeam]:[AwayTeam]],$A11, Table1[[HomeTeam]:[HomeTeam]], AD$1, Table1[[ActualResult]:[ActualResult]], "SO") + SUMIFS(Table1[[AwayWon]:[AwayWon]], Table1[[GameIsOver]:[GameIsOver]],1,Table1[[HomeTeam]:[HomeTeam]],$A11, Table1[[AwayTeam]:[AwayTeam]], AD$1, Table1[[ActualResult]:[ActualResult]], "SO"),0))</f>
        <v>0-0-0</v>
      </c>
      <c r="AE11" s="43" t="str">
        <f>_xlfn.CONCAT(TEXT(SUMIFS(Table1[[AwayWon]:[AwayWon]], Table1[[GameIsOver]:[GameIsOver]],1,Table1[[AwayTeam]:[AwayTeam]],$A11, Table1[[HomeTeam]:[HomeTeam]], AE$1) + SUMIFS(Table1[[HomeWon]:[HomeWon]], Table1[[GameIsOver]:[GameIsOver]],1,Table1[[HomeTeam]:[HomeTeam]],$A11, Table1[[AwayTeam]:[AwayTeam]], AE$1),0), "-", TEXT(SUMIFS(Table1[[HomeWon]:[HomeWon]], Table1[[GameIsOver]:[GameIsOver]],1,Table1[[AwayTeam]:[AwayTeam]],$A11, Table1[[HomeTeam]:[HomeTeam]], AE$1, Table1[[ActualResult]:[ActualResult]], "REG") + SUMIFS(Table1[[AwayWon]:[AwayWon]], Table1[[GameIsOver]:[GameIsOver]],1,Table1[[HomeTeam]:[HomeTeam]],$A11, Table1[[AwayTeam]:[AwayTeam]], AE$1, Table1[[ActualResult]:[ActualResult]], "REG"),0), "-", TEXT(SUMIFS(Table1[[HomeWon]:[HomeWon]], Table1[[GameIsOver]:[GameIsOver]],1,Table1[[AwayTeam]:[AwayTeam]],$A11, Table1[[HomeTeam]:[HomeTeam]], AE$1, Table1[[ActualResult]:[ActualResult]], "OT") + SUMIFS(Table1[[AwayWon]:[AwayWon]], Table1[[GameIsOver]:[GameIsOver]],1,Table1[[HomeTeam]:[HomeTeam]],$A11, Table1[[AwayTeam]:[AwayTeam]], AE$1, Table1[[ActualResult]:[ActualResult]], "OT") + SUMIFS(Table1[[HomeWon]:[HomeWon]], Table1[[GameIsOver]:[GameIsOver]],1,Table1[[AwayTeam]:[AwayTeam]],$A11, Table1[[HomeTeam]:[HomeTeam]], AE$1, Table1[[ActualResult]:[ActualResult]], "SO") + SUMIFS(Table1[[AwayWon]:[AwayWon]], Table1[[GameIsOver]:[GameIsOver]],1,Table1[[HomeTeam]:[HomeTeam]],$A11, Table1[[AwayTeam]:[AwayTeam]], AE$1, Table1[[ActualResult]:[ActualResult]], "SO"),0))</f>
        <v>0-0-0</v>
      </c>
      <c r="AF11" s="43" t="str">
        <f>_xlfn.CONCAT(TEXT(SUMIFS(Table1[[AwayWon]:[AwayWon]], Table1[[GameIsOver]:[GameIsOver]],1,Table1[[AwayTeam]:[AwayTeam]],$A11, Table1[[HomeTeam]:[HomeTeam]], AF$1) + SUMIFS(Table1[[HomeWon]:[HomeWon]], Table1[[GameIsOver]:[GameIsOver]],1,Table1[[HomeTeam]:[HomeTeam]],$A11, Table1[[AwayTeam]:[AwayTeam]], AF$1),0), "-", TEXT(SUMIFS(Table1[[HomeWon]:[HomeWon]], Table1[[GameIsOver]:[GameIsOver]],1,Table1[[AwayTeam]:[AwayTeam]],$A11, Table1[[HomeTeam]:[HomeTeam]], AF$1, Table1[[ActualResult]:[ActualResult]], "REG") + SUMIFS(Table1[[AwayWon]:[AwayWon]], Table1[[GameIsOver]:[GameIsOver]],1,Table1[[HomeTeam]:[HomeTeam]],$A11, Table1[[AwayTeam]:[AwayTeam]], AF$1, Table1[[ActualResult]:[ActualResult]], "REG"),0), "-", TEXT(SUMIFS(Table1[[HomeWon]:[HomeWon]], Table1[[GameIsOver]:[GameIsOver]],1,Table1[[AwayTeam]:[AwayTeam]],$A11, Table1[[HomeTeam]:[HomeTeam]], AF$1, Table1[[ActualResult]:[ActualResult]], "OT") + SUMIFS(Table1[[AwayWon]:[AwayWon]], Table1[[GameIsOver]:[GameIsOver]],1,Table1[[HomeTeam]:[HomeTeam]],$A11, Table1[[AwayTeam]:[AwayTeam]], AF$1, Table1[[ActualResult]:[ActualResult]], "OT") + SUMIFS(Table1[[HomeWon]:[HomeWon]], Table1[[GameIsOver]:[GameIsOver]],1,Table1[[AwayTeam]:[AwayTeam]],$A11, Table1[[HomeTeam]:[HomeTeam]], AF$1, Table1[[ActualResult]:[ActualResult]], "SO") + SUMIFS(Table1[[AwayWon]:[AwayWon]], Table1[[GameIsOver]:[GameIsOver]],1,Table1[[HomeTeam]:[HomeTeam]],$A11, Table1[[AwayTeam]:[AwayTeam]], AF$1, Table1[[ActualResult]:[ActualResult]], "SO"),0))</f>
        <v>0-0-0</v>
      </c>
      <c r="AG11" s="43" t="str">
        <f>_xlfn.CONCAT(TEXT(SUMIFS(Table1[[AwayWon]:[AwayWon]], Table1[[GameIsOver]:[GameIsOver]],1,Table1[[AwayTeam]:[AwayTeam]],$A11, Table1[[HomeTeam]:[HomeTeam]], AG$1) + SUMIFS(Table1[[HomeWon]:[HomeWon]], Table1[[GameIsOver]:[GameIsOver]],1,Table1[[HomeTeam]:[HomeTeam]],$A11, Table1[[AwayTeam]:[AwayTeam]], AG$1),0), "-", TEXT(SUMIFS(Table1[[HomeWon]:[HomeWon]], Table1[[GameIsOver]:[GameIsOver]],1,Table1[[AwayTeam]:[AwayTeam]],$A11, Table1[[HomeTeam]:[HomeTeam]], AG$1, Table1[[ActualResult]:[ActualResult]], "REG") + SUMIFS(Table1[[AwayWon]:[AwayWon]], Table1[[GameIsOver]:[GameIsOver]],1,Table1[[HomeTeam]:[HomeTeam]],$A11, Table1[[AwayTeam]:[AwayTeam]], AG$1, Table1[[ActualResult]:[ActualResult]], "REG"),0), "-", TEXT(SUMIFS(Table1[[HomeWon]:[HomeWon]], Table1[[GameIsOver]:[GameIsOver]],1,Table1[[AwayTeam]:[AwayTeam]],$A11, Table1[[HomeTeam]:[HomeTeam]], AG$1, Table1[[ActualResult]:[ActualResult]], "OT") + SUMIFS(Table1[[AwayWon]:[AwayWon]], Table1[[GameIsOver]:[GameIsOver]],1,Table1[[HomeTeam]:[HomeTeam]],$A11, Table1[[AwayTeam]:[AwayTeam]], AG$1, Table1[[ActualResult]:[ActualResult]], "OT") + SUMIFS(Table1[[HomeWon]:[HomeWon]], Table1[[GameIsOver]:[GameIsOver]],1,Table1[[AwayTeam]:[AwayTeam]],$A11, Table1[[HomeTeam]:[HomeTeam]], AG$1, Table1[[ActualResult]:[ActualResult]], "SO") + SUMIFS(Table1[[AwayWon]:[AwayWon]], Table1[[GameIsOver]:[GameIsOver]],1,Table1[[HomeTeam]:[HomeTeam]],$A11, Table1[[AwayTeam]:[AwayTeam]], AG$1, Table1[[ActualResult]:[ActualResult]], "SO"),0))</f>
        <v>0-0-0</v>
      </c>
    </row>
    <row r="12" spans="1:33" x14ac:dyDescent="0.25">
      <c r="A12" s="17" t="s">
        <v>43</v>
      </c>
      <c r="B12" s="43" t="str">
        <f>_xlfn.CONCAT(TEXT(SUMIFS(Table1[[AwayWon]:[AwayWon]], Table1[[GameIsOver]:[GameIsOver]],1,Table1[[AwayTeam]:[AwayTeam]],$A12, Table1[[HomeTeam]:[HomeTeam]], B$1) + SUMIFS(Table1[[HomeWon]:[HomeWon]], Table1[[GameIsOver]:[GameIsOver]],1,Table1[[HomeTeam]:[HomeTeam]],$A12, Table1[[AwayTeam]:[AwayTeam]], B$1),0), "-", TEXT(SUMIFS(Table1[[HomeWon]:[HomeWon]], Table1[[GameIsOver]:[GameIsOver]],1,Table1[[AwayTeam]:[AwayTeam]],$A12, Table1[[HomeTeam]:[HomeTeam]], B$1, Table1[[ActualResult]:[ActualResult]], "REG") + SUMIFS(Table1[[AwayWon]:[AwayWon]], Table1[[GameIsOver]:[GameIsOver]],1,Table1[[HomeTeam]:[HomeTeam]],$A12, Table1[[AwayTeam]:[AwayTeam]], B$1, Table1[[ActualResult]:[ActualResult]], "REG"),0), "-", TEXT(SUMIFS(Table1[[HomeWon]:[HomeWon]], Table1[[GameIsOver]:[GameIsOver]],1,Table1[[AwayTeam]:[AwayTeam]],$A12, Table1[[HomeTeam]:[HomeTeam]], B$1, Table1[[ActualResult]:[ActualResult]], "OT") + SUMIFS(Table1[[AwayWon]:[AwayWon]], Table1[[GameIsOver]:[GameIsOver]],1,Table1[[HomeTeam]:[HomeTeam]],$A12, Table1[[AwayTeam]:[AwayTeam]], B$1, Table1[[ActualResult]:[ActualResult]], "OT") + SUMIFS(Table1[[HomeWon]:[HomeWon]], Table1[[GameIsOver]:[GameIsOver]],1,Table1[[AwayTeam]:[AwayTeam]],$A12, Table1[[HomeTeam]:[HomeTeam]], B$1, Table1[[ActualResult]:[ActualResult]], "SO") + SUMIFS(Table1[[AwayWon]:[AwayWon]], Table1[[GameIsOver]:[GameIsOver]],1,Table1[[HomeTeam]:[HomeTeam]],$A12, Table1[[AwayTeam]:[AwayTeam]], B$1, Table1[[ActualResult]:[ActualResult]], "SO"),0))</f>
        <v>0-0-0</v>
      </c>
      <c r="C12" s="43" t="str">
        <f>_xlfn.CONCAT(TEXT(SUMIFS(Table1[[AwayWon]:[AwayWon]], Table1[[GameIsOver]:[GameIsOver]],1,Table1[[AwayTeam]:[AwayTeam]],$A12, Table1[[HomeTeam]:[HomeTeam]], C$1) + SUMIFS(Table1[[HomeWon]:[HomeWon]], Table1[[GameIsOver]:[GameIsOver]],1,Table1[[HomeTeam]:[HomeTeam]],$A12, Table1[[AwayTeam]:[AwayTeam]], C$1),0), "-", TEXT(SUMIFS(Table1[[HomeWon]:[HomeWon]], Table1[[GameIsOver]:[GameIsOver]],1,Table1[[AwayTeam]:[AwayTeam]],$A12, Table1[[HomeTeam]:[HomeTeam]], C$1, Table1[[ActualResult]:[ActualResult]], "REG") + SUMIFS(Table1[[AwayWon]:[AwayWon]], Table1[[GameIsOver]:[GameIsOver]],1,Table1[[HomeTeam]:[HomeTeam]],$A12, Table1[[AwayTeam]:[AwayTeam]], C$1, Table1[[ActualResult]:[ActualResult]], "REG"),0), "-", TEXT(SUMIFS(Table1[[HomeWon]:[HomeWon]], Table1[[GameIsOver]:[GameIsOver]],1,Table1[[AwayTeam]:[AwayTeam]],$A12, Table1[[HomeTeam]:[HomeTeam]], C$1, Table1[[ActualResult]:[ActualResult]], "OT") + SUMIFS(Table1[[AwayWon]:[AwayWon]], Table1[[GameIsOver]:[GameIsOver]],1,Table1[[HomeTeam]:[HomeTeam]],$A12, Table1[[AwayTeam]:[AwayTeam]], C$1, Table1[[ActualResult]:[ActualResult]], "OT") + SUMIFS(Table1[[HomeWon]:[HomeWon]], Table1[[GameIsOver]:[GameIsOver]],1,Table1[[AwayTeam]:[AwayTeam]],$A12, Table1[[HomeTeam]:[HomeTeam]], C$1, Table1[[ActualResult]:[ActualResult]], "SO") + SUMIFS(Table1[[AwayWon]:[AwayWon]], Table1[[GameIsOver]:[GameIsOver]],1,Table1[[HomeTeam]:[HomeTeam]],$A12, Table1[[AwayTeam]:[AwayTeam]], C$1, Table1[[ActualResult]:[ActualResult]], "SO"),0))</f>
        <v>0-0-0</v>
      </c>
      <c r="D12" s="43" t="str">
        <f>_xlfn.CONCAT(TEXT(SUMIFS(Table1[[AwayWon]:[AwayWon]], Table1[[GameIsOver]:[GameIsOver]],1,Table1[[AwayTeam]:[AwayTeam]],$A12, Table1[[HomeTeam]:[HomeTeam]], D$1) + SUMIFS(Table1[[HomeWon]:[HomeWon]], Table1[[GameIsOver]:[GameIsOver]],1,Table1[[HomeTeam]:[HomeTeam]],$A12, Table1[[AwayTeam]:[AwayTeam]], D$1),0), "-", TEXT(SUMIFS(Table1[[HomeWon]:[HomeWon]], Table1[[GameIsOver]:[GameIsOver]],1,Table1[[AwayTeam]:[AwayTeam]],$A12, Table1[[HomeTeam]:[HomeTeam]], D$1, Table1[[ActualResult]:[ActualResult]], "REG") + SUMIFS(Table1[[AwayWon]:[AwayWon]], Table1[[GameIsOver]:[GameIsOver]],1,Table1[[HomeTeam]:[HomeTeam]],$A12, Table1[[AwayTeam]:[AwayTeam]], D$1, Table1[[ActualResult]:[ActualResult]], "REG"),0), "-", TEXT(SUMIFS(Table1[[HomeWon]:[HomeWon]], Table1[[GameIsOver]:[GameIsOver]],1,Table1[[AwayTeam]:[AwayTeam]],$A12, Table1[[HomeTeam]:[HomeTeam]], D$1, Table1[[ActualResult]:[ActualResult]], "OT") + SUMIFS(Table1[[AwayWon]:[AwayWon]], Table1[[GameIsOver]:[GameIsOver]],1,Table1[[HomeTeam]:[HomeTeam]],$A12, Table1[[AwayTeam]:[AwayTeam]], D$1, Table1[[ActualResult]:[ActualResult]], "OT") + SUMIFS(Table1[[HomeWon]:[HomeWon]], Table1[[GameIsOver]:[GameIsOver]],1,Table1[[AwayTeam]:[AwayTeam]],$A12, Table1[[HomeTeam]:[HomeTeam]], D$1, Table1[[ActualResult]:[ActualResult]], "SO") + SUMIFS(Table1[[AwayWon]:[AwayWon]], Table1[[GameIsOver]:[GameIsOver]],1,Table1[[HomeTeam]:[HomeTeam]],$A12, Table1[[AwayTeam]:[AwayTeam]], D$1, Table1[[ActualResult]:[ActualResult]], "SO"),0))</f>
        <v>0-0-0</v>
      </c>
      <c r="E12" s="43" t="str">
        <f>_xlfn.CONCAT(TEXT(SUMIFS(Table1[[AwayWon]:[AwayWon]], Table1[[GameIsOver]:[GameIsOver]],1,Table1[[AwayTeam]:[AwayTeam]],$A12, Table1[[HomeTeam]:[HomeTeam]], E$1) + SUMIFS(Table1[[HomeWon]:[HomeWon]], Table1[[GameIsOver]:[GameIsOver]],1,Table1[[HomeTeam]:[HomeTeam]],$A12, Table1[[AwayTeam]:[AwayTeam]], E$1),0), "-", TEXT(SUMIFS(Table1[[HomeWon]:[HomeWon]], Table1[[GameIsOver]:[GameIsOver]],1,Table1[[AwayTeam]:[AwayTeam]],$A12, Table1[[HomeTeam]:[HomeTeam]], E$1, Table1[[ActualResult]:[ActualResult]], "REG") + SUMIFS(Table1[[AwayWon]:[AwayWon]], Table1[[GameIsOver]:[GameIsOver]],1,Table1[[HomeTeam]:[HomeTeam]],$A12, Table1[[AwayTeam]:[AwayTeam]], E$1, Table1[[ActualResult]:[ActualResult]], "REG"),0), "-", TEXT(SUMIFS(Table1[[HomeWon]:[HomeWon]], Table1[[GameIsOver]:[GameIsOver]],1,Table1[[AwayTeam]:[AwayTeam]],$A12, Table1[[HomeTeam]:[HomeTeam]], E$1, Table1[[ActualResult]:[ActualResult]], "OT") + SUMIFS(Table1[[AwayWon]:[AwayWon]], Table1[[GameIsOver]:[GameIsOver]],1,Table1[[HomeTeam]:[HomeTeam]],$A12, Table1[[AwayTeam]:[AwayTeam]], E$1, Table1[[ActualResult]:[ActualResult]], "OT") + SUMIFS(Table1[[HomeWon]:[HomeWon]], Table1[[GameIsOver]:[GameIsOver]],1,Table1[[AwayTeam]:[AwayTeam]],$A12, Table1[[HomeTeam]:[HomeTeam]], E$1, Table1[[ActualResult]:[ActualResult]], "SO") + SUMIFS(Table1[[AwayWon]:[AwayWon]], Table1[[GameIsOver]:[GameIsOver]],1,Table1[[HomeTeam]:[HomeTeam]],$A12, Table1[[AwayTeam]:[AwayTeam]], E$1, Table1[[ActualResult]:[ActualResult]], "SO"),0))</f>
        <v>0-0-0</v>
      </c>
      <c r="F12" s="43" t="str">
        <f>_xlfn.CONCAT(TEXT(SUMIFS(Table1[[AwayWon]:[AwayWon]], Table1[[GameIsOver]:[GameIsOver]],1,Table1[[AwayTeam]:[AwayTeam]],$A12, Table1[[HomeTeam]:[HomeTeam]], F$1) + SUMIFS(Table1[[HomeWon]:[HomeWon]], Table1[[GameIsOver]:[GameIsOver]],1,Table1[[HomeTeam]:[HomeTeam]],$A12, Table1[[AwayTeam]:[AwayTeam]], F$1),0), "-", TEXT(SUMIFS(Table1[[HomeWon]:[HomeWon]], Table1[[GameIsOver]:[GameIsOver]],1,Table1[[AwayTeam]:[AwayTeam]],$A12, Table1[[HomeTeam]:[HomeTeam]], F$1, Table1[[ActualResult]:[ActualResult]], "REG") + SUMIFS(Table1[[AwayWon]:[AwayWon]], Table1[[GameIsOver]:[GameIsOver]],1,Table1[[HomeTeam]:[HomeTeam]],$A12, Table1[[AwayTeam]:[AwayTeam]], F$1, Table1[[ActualResult]:[ActualResult]], "REG"),0), "-", TEXT(SUMIFS(Table1[[HomeWon]:[HomeWon]], Table1[[GameIsOver]:[GameIsOver]],1,Table1[[AwayTeam]:[AwayTeam]],$A12, Table1[[HomeTeam]:[HomeTeam]], F$1, Table1[[ActualResult]:[ActualResult]], "OT") + SUMIFS(Table1[[AwayWon]:[AwayWon]], Table1[[GameIsOver]:[GameIsOver]],1,Table1[[HomeTeam]:[HomeTeam]],$A12, Table1[[AwayTeam]:[AwayTeam]], F$1, Table1[[ActualResult]:[ActualResult]], "OT") + SUMIFS(Table1[[HomeWon]:[HomeWon]], Table1[[GameIsOver]:[GameIsOver]],1,Table1[[AwayTeam]:[AwayTeam]],$A12, Table1[[HomeTeam]:[HomeTeam]], F$1, Table1[[ActualResult]:[ActualResult]], "SO") + SUMIFS(Table1[[AwayWon]:[AwayWon]], Table1[[GameIsOver]:[GameIsOver]],1,Table1[[HomeTeam]:[HomeTeam]],$A12, Table1[[AwayTeam]:[AwayTeam]], F$1, Table1[[ActualResult]:[ActualResult]], "SO"),0))</f>
        <v>0-0-0</v>
      </c>
      <c r="G12" s="43" t="str">
        <f>_xlfn.CONCAT(TEXT(SUMIFS(Table1[[AwayWon]:[AwayWon]], Table1[[GameIsOver]:[GameIsOver]],1,Table1[[AwayTeam]:[AwayTeam]],$A12, Table1[[HomeTeam]:[HomeTeam]], G$1) + SUMIFS(Table1[[HomeWon]:[HomeWon]], Table1[[GameIsOver]:[GameIsOver]],1,Table1[[HomeTeam]:[HomeTeam]],$A12, Table1[[AwayTeam]:[AwayTeam]], G$1),0), "-", TEXT(SUMIFS(Table1[[HomeWon]:[HomeWon]], Table1[[GameIsOver]:[GameIsOver]],1,Table1[[AwayTeam]:[AwayTeam]],$A12, Table1[[HomeTeam]:[HomeTeam]], G$1, Table1[[ActualResult]:[ActualResult]], "REG") + SUMIFS(Table1[[AwayWon]:[AwayWon]], Table1[[GameIsOver]:[GameIsOver]],1,Table1[[HomeTeam]:[HomeTeam]],$A12, Table1[[AwayTeam]:[AwayTeam]], G$1, Table1[[ActualResult]:[ActualResult]], "REG"),0), "-", TEXT(SUMIFS(Table1[[HomeWon]:[HomeWon]], Table1[[GameIsOver]:[GameIsOver]],1,Table1[[AwayTeam]:[AwayTeam]],$A12, Table1[[HomeTeam]:[HomeTeam]], G$1, Table1[[ActualResult]:[ActualResult]], "OT") + SUMIFS(Table1[[AwayWon]:[AwayWon]], Table1[[GameIsOver]:[GameIsOver]],1,Table1[[HomeTeam]:[HomeTeam]],$A12, Table1[[AwayTeam]:[AwayTeam]], G$1, Table1[[ActualResult]:[ActualResult]], "OT") + SUMIFS(Table1[[HomeWon]:[HomeWon]], Table1[[GameIsOver]:[GameIsOver]],1,Table1[[AwayTeam]:[AwayTeam]],$A12, Table1[[HomeTeam]:[HomeTeam]], G$1, Table1[[ActualResult]:[ActualResult]], "SO") + SUMIFS(Table1[[AwayWon]:[AwayWon]], Table1[[GameIsOver]:[GameIsOver]],1,Table1[[HomeTeam]:[HomeTeam]],$A12, Table1[[AwayTeam]:[AwayTeam]], G$1, Table1[[ActualResult]:[ActualResult]], "SO"),0))</f>
        <v>0-0-0</v>
      </c>
      <c r="H12" s="43" t="str">
        <f>_xlfn.CONCAT(TEXT(SUMIFS(Table1[[AwayWon]:[AwayWon]], Table1[[GameIsOver]:[GameIsOver]],1,Table1[[AwayTeam]:[AwayTeam]],$A12, Table1[[HomeTeam]:[HomeTeam]], H$1) + SUMIFS(Table1[[HomeWon]:[HomeWon]], Table1[[GameIsOver]:[GameIsOver]],1,Table1[[HomeTeam]:[HomeTeam]],$A12, Table1[[AwayTeam]:[AwayTeam]], H$1),0), "-", TEXT(SUMIFS(Table1[[HomeWon]:[HomeWon]], Table1[[GameIsOver]:[GameIsOver]],1,Table1[[AwayTeam]:[AwayTeam]],$A12, Table1[[HomeTeam]:[HomeTeam]], H$1, Table1[[ActualResult]:[ActualResult]], "REG") + SUMIFS(Table1[[AwayWon]:[AwayWon]], Table1[[GameIsOver]:[GameIsOver]],1,Table1[[HomeTeam]:[HomeTeam]],$A12, Table1[[AwayTeam]:[AwayTeam]], H$1, Table1[[ActualResult]:[ActualResult]], "REG"),0), "-", TEXT(SUMIFS(Table1[[HomeWon]:[HomeWon]], Table1[[GameIsOver]:[GameIsOver]],1,Table1[[AwayTeam]:[AwayTeam]],$A12, Table1[[HomeTeam]:[HomeTeam]], H$1, Table1[[ActualResult]:[ActualResult]], "OT") + SUMIFS(Table1[[AwayWon]:[AwayWon]], Table1[[GameIsOver]:[GameIsOver]],1,Table1[[HomeTeam]:[HomeTeam]],$A12, Table1[[AwayTeam]:[AwayTeam]], H$1, Table1[[ActualResult]:[ActualResult]], "OT") + SUMIFS(Table1[[HomeWon]:[HomeWon]], Table1[[GameIsOver]:[GameIsOver]],1,Table1[[AwayTeam]:[AwayTeam]],$A12, Table1[[HomeTeam]:[HomeTeam]], H$1, Table1[[ActualResult]:[ActualResult]], "SO") + SUMIFS(Table1[[AwayWon]:[AwayWon]], Table1[[GameIsOver]:[GameIsOver]],1,Table1[[HomeTeam]:[HomeTeam]],$A12, Table1[[AwayTeam]:[AwayTeam]], H$1, Table1[[ActualResult]:[ActualResult]], "SO"),0))</f>
        <v>0-0-0</v>
      </c>
      <c r="I12" s="45" t="str">
        <f>_xlfn.CONCAT(TEXT(SUMIFS(Table1[[AwayWon]:[AwayWon]], Table1[[GameIsOver]:[GameIsOver]],1,Table1[[AwayTeam]:[AwayTeam]],$A12, Table1[[HomeTeam]:[HomeTeam]], I$1) + SUMIFS(Table1[[HomeWon]:[HomeWon]], Table1[[GameIsOver]:[GameIsOver]],1,Table1[[HomeTeam]:[HomeTeam]],$A12, Table1[[AwayTeam]:[AwayTeam]], I$1),0), "-", TEXT(SUMIFS(Table1[[HomeWon]:[HomeWon]], Table1[[GameIsOver]:[GameIsOver]],1,Table1[[AwayTeam]:[AwayTeam]],$A12, Table1[[HomeTeam]:[HomeTeam]], I$1, Table1[[ActualResult]:[ActualResult]], "REG") + SUMIFS(Table1[[AwayWon]:[AwayWon]], Table1[[GameIsOver]:[GameIsOver]],1,Table1[[HomeTeam]:[HomeTeam]],$A12, Table1[[AwayTeam]:[AwayTeam]], I$1, Table1[[ActualResult]:[ActualResult]], "REG"),0), "-", TEXT(SUMIFS(Table1[[HomeWon]:[HomeWon]], Table1[[GameIsOver]:[GameIsOver]],1,Table1[[AwayTeam]:[AwayTeam]],$A12, Table1[[HomeTeam]:[HomeTeam]], I$1, Table1[[ActualResult]:[ActualResult]], "OT") + SUMIFS(Table1[[AwayWon]:[AwayWon]], Table1[[GameIsOver]:[GameIsOver]],1,Table1[[HomeTeam]:[HomeTeam]],$A12, Table1[[AwayTeam]:[AwayTeam]], I$1, Table1[[ActualResult]:[ActualResult]], "OT") + SUMIFS(Table1[[HomeWon]:[HomeWon]], Table1[[GameIsOver]:[GameIsOver]],1,Table1[[AwayTeam]:[AwayTeam]],$A12, Table1[[HomeTeam]:[HomeTeam]], I$1, Table1[[ActualResult]:[ActualResult]], "SO") + SUMIFS(Table1[[AwayWon]:[AwayWon]], Table1[[GameIsOver]:[GameIsOver]],1,Table1[[HomeTeam]:[HomeTeam]],$A12, Table1[[AwayTeam]:[AwayTeam]], I$1, Table1[[ActualResult]:[ActualResult]], "SO"),0))</f>
        <v>0-0-0</v>
      </c>
      <c r="J12" s="43" t="str">
        <f>_xlfn.CONCAT(TEXT(SUMIFS(Table1[[AwayWon]:[AwayWon]], Table1[[GameIsOver]:[GameIsOver]],1,Table1[[AwayTeam]:[AwayTeam]],$A12, Table1[[HomeTeam]:[HomeTeam]], J$1) + SUMIFS(Table1[[HomeWon]:[HomeWon]], Table1[[GameIsOver]:[GameIsOver]],1,Table1[[HomeTeam]:[HomeTeam]],$A12, Table1[[AwayTeam]:[AwayTeam]], J$1),0), "-", TEXT(SUMIFS(Table1[[HomeWon]:[HomeWon]], Table1[[GameIsOver]:[GameIsOver]],1,Table1[[AwayTeam]:[AwayTeam]],$A12, Table1[[HomeTeam]:[HomeTeam]], J$1, Table1[[ActualResult]:[ActualResult]], "REG") + SUMIFS(Table1[[AwayWon]:[AwayWon]], Table1[[GameIsOver]:[GameIsOver]],1,Table1[[HomeTeam]:[HomeTeam]],$A12, Table1[[AwayTeam]:[AwayTeam]], J$1, Table1[[ActualResult]:[ActualResult]], "REG"),0), "-", TEXT(SUMIFS(Table1[[HomeWon]:[HomeWon]], Table1[[GameIsOver]:[GameIsOver]],1,Table1[[AwayTeam]:[AwayTeam]],$A12, Table1[[HomeTeam]:[HomeTeam]], J$1, Table1[[ActualResult]:[ActualResult]], "OT") + SUMIFS(Table1[[AwayWon]:[AwayWon]], Table1[[GameIsOver]:[GameIsOver]],1,Table1[[HomeTeam]:[HomeTeam]],$A12, Table1[[AwayTeam]:[AwayTeam]], J$1, Table1[[ActualResult]:[ActualResult]], "OT") + SUMIFS(Table1[[HomeWon]:[HomeWon]], Table1[[GameIsOver]:[GameIsOver]],1,Table1[[AwayTeam]:[AwayTeam]],$A12, Table1[[HomeTeam]:[HomeTeam]], J$1, Table1[[ActualResult]:[ActualResult]], "SO") + SUMIFS(Table1[[AwayWon]:[AwayWon]], Table1[[GameIsOver]:[GameIsOver]],1,Table1[[HomeTeam]:[HomeTeam]],$A12, Table1[[AwayTeam]:[AwayTeam]], J$1, Table1[[ActualResult]:[ActualResult]], "SO"),0))</f>
        <v>0-0-0</v>
      </c>
      <c r="K12" s="43" t="str">
        <f>_xlfn.CONCAT(TEXT(SUMIFS(Table1[[AwayWon]:[AwayWon]], Table1[[GameIsOver]:[GameIsOver]],1,Table1[[AwayTeam]:[AwayTeam]],$A12, Table1[[HomeTeam]:[HomeTeam]], K$1) + SUMIFS(Table1[[HomeWon]:[HomeWon]], Table1[[GameIsOver]:[GameIsOver]],1,Table1[[HomeTeam]:[HomeTeam]],$A12, Table1[[AwayTeam]:[AwayTeam]], K$1),0), "-", TEXT(SUMIFS(Table1[[HomeWon]:[HomeWon]], Table1[[GameIsOver]:[GameIsOver]],1,Table1[[AwayTeam]:[AwayTeam]],$A12, Table1[[HomeTeam]:[HomeTeam]], K$1, Table1[[ActualResult]:[ActualResult]], "REG") + SUMIFS(Table1[[AwayWon]:[AwayWon]], Table1[[GameIsOver]:[GameIsOver]],1,Table1[[HomeTeam]:[HomeTeam]],$A12, Table1[[AwayTeam]:[AwayTeam]], K$1, Table1[[ActualResult]:[ActualResult]], "REG"),0), "-", TEXT(SUMIFS(Table1[[HomeWon]:[HomeWon]], Table1[[GameIsOver]:[GameIsOver]],1,Table1[[AwayTeam]:[AwayTeam]],$A12, Table1[[HomeTeam]:[HomeTeam]], K$1, Table1[[ActualResult]:[ActualResult]], "OT") + SUMIFS(Table1[[AwayWon]:[AwayWon]], Table1[[GameIsOver]:[GameIsOver]],1,Table1[[HomeTeam]:[HomeTeam]],$A12, Table1[[AwayTeam]:[AwayTeam]], K$1, Table1[[ActualResult]:[ActualResult]], "OT") + SUMIFS(Table1[[HomeWon]:[HomeWon]], Table1[[GameIsOver]:[GameIsOver]],1,Table1[[AwayTeam]:[AwayTeam]],$A12, Table1[[HomeTeam]:[HomeTeam]], K$1, Table1[[ActualResult]:[ActualResult]], "SO") + SUMIFS(Table1[[AwayWon]:[AwayWon]], Table1[[GameIsOver]:[GameIsOver]],1,Table1[[HomeTeam]:[HomeTeam]],$A12, Table1[[AwayTeam]:[AwayTeam]], K$1, Table1[[ActualResult]:[ActualResult]], "SO"),0))</f>
        <v>0-0-0</v>
      </c>
      <c r="L12" s="43" t="str">
        <f>_xlfn.CONCAT(TEXT(SUMIFS(Table1[[AwayWon]:[AwayWon]], Table1[[GameIsOver]:[GameIsOver]],1,Table1[[AwayTeam]:[AwayTeam]],$A12, Table1[[HomeTeam]:[HomeTeam]], L$1) + SUMIFS(Table1[[HomeWon]:[HomeWon]], Table1[[GameIsOver]:[GameIsOver]],1,Table1[[HomeTeam]:[HomeTeam]],$A12, Table1[[AwayTeam]:[AwayTeam]], L$1),0), "-", TEXT(SUMIFS(Table1[[HomeWon]:[HomeWon]], Table1[[GameIsOver]:[GameIsOver]],1,Table1[[AwayTeam]:[AwayTeam]],$A12, Table1[[HomeTeam]:[HomeTeam]], L$1, Table1[[ActualResult]:[ActualResult]], "REG") + SUMIFS(Table1[[AwayWon]:[AwayWon]], Table1[[GameIsOver]:[GameIsOver]],1,Table1[[HomeTeam]:[HomeTeam]],$A12, Table1[[AwayTeam]:[AwayTeam]], L$1, Table1[[ActualResult]:[ActualResult]], "REG"),0), "-", TEXT(SUMIFS(Table1[[HomeWon]:[HomeWon]], Table1[[GameIsOver]:[GameIsOver]],1,Table1[[AwayTeam]:[AwayTeam]],$A12, Table1[[HomeTeam]:[HomeTeam]], L$1, Table1[[ActualResult]:[ActualResult]], "OT") + SUMIFS(Table1[[AwayWon]:[AwayWon]], Table1[[GameIsOver]:[GameIsOver]],1,Table1[[HomeTeam]:[HomeTeam]],$A12, Table1[[AwayTeam]:[AwayTeam]], L$1, Table1[[ActualResult]:[ActualResult]], "OT") + SUMIFS(Table1[[HomeWon]:[HomeWon]], Table1[[GameIsOver]:[GameIsOver]],1,Table1[[AwayTeam]:[AwayTeam]],$A12, Table1[[HomeTeam]:[HomeTeam]], L$1, Table1[[ActualResult]:[ActualResult]], "SO") + SUMIFS(Table1[[AwayWon]:[AwayWon]], Table1[[GameIsOver]:[GameIsOver]],1,Table1[[HomeTeam]:[HomeTeam]],$A12, Table1[[AwayTeam]:[AwayTeam]], L$1, Table1[[ActualResult]:[ActualResult]], "SO"),0))</f>
        <v>0-0-0</v>
      </c>
      <c r="M12" s="43" t="str">
        <f>_xlfn.CONCAT(TEXT(SUMIFS(Table1[[AwayWon]:[AwayWon]], Table1[[GameIsOver]:[GameIsOver]],1,Table1[[AwayTeam]:[AwayTeam]],$A12, Table1[[HomeTeam]:[HomeTeam]], M$1) + SUMIFS(Table1[[HomeWon]:[HomeWon]], Table1[[GameIsOver]:[GameIsOver]],1,Table1[[HomeTeam]:[HomeTeam]],$A12, Table1[[AwayTeam]:[AwayTeam]], M$1),0), "-", TEXT(SUMIFS(Table1[[HomeWon]:[HomeWon]], Table1[[GameIsOver]:[GameIsOver]],1,Table1[[AwayTeam]:[AwayTeam]],$A12, Table1[[HomeTeam]:[HomeTeam]], M$1, Table1[[ActualResult]:[ActualResult]], "REG") + SUMIFS(Table1[[AwayWon]:[AwayWon]], Table1[[GameIsOver]:[GameIsOver]],1,Table1[[HomeTeam]:[HomeTeam]],$A12, Table1[[AwayTeam]:[AwayTeam]], M$1, Table1[[ActualResult]:[ActualResult]], "REG"),0), "-", TEXT(SUMIFS(Table1[[HomeWon]:[HomeWon]], Table1[[GameIsOver]:[GameIsOver]],1,Table1[[AwayTeam]:[AwayTeam]],$A12, Table1[[HomeTeam]:[HomeTeam]], M$1, Table1[[ActualResult]:[ActualResult]], "OT") + SUMIFS(Table1[[AwayWon]:[AwayWon]], Table1[[GameIsOver]:[GameIsOver]],1,Table1[[HomeTeam]:[HomeTeam]],$A12, Table1[[AwayTeam]:[AwayTeam]], M$1, Table1[[ActualResult]:[ActualResult]], "OT") + SUMIFS(Table1[[HomeWon]:[HomeWon]], Table1[[GameIsOver]:[GameIsOver]],1,Table1[[AwayTeam]:[AwayTeam]],$A12, Table1[[HomeTeam]:[HomeTeam]], M$1, Table1[[ActualResult]:[ActualResult]], "SO") + SUMIFS(Table1[[AwayWon]:[AwayWon]], Table1[[GameIsOver]:[GameIsOver]],1,Table1[[HomeTeam]:[HomeTeam]],$A12, Table1[[AwayTeam]:[AwayTeam]], M$1, Table1[[ActualResult]:[ActualResult]], "SO"),0))</f>
        <v>0-0-0</v>
      </c>
      <c r="N12" s="43" t="str">
        <f>_xlfn.CONCAT(TEXT(SUMIFS(Table1[[AwayWon]:[AwayWon]], Table1[[GameIsOver]:[GameIsOver]],1,Table1[[AwayTeam]:[AwayTeam]],$A12, Table1[[HomeTeam]:[HomeTeam]], N$1) + SUMIFS(Table1[[HomeWon]:[HomeWon]], Table1[[GameIsOver]:[GameIsOver]],1,Table1[[HomeTeam]:[HomeTeam]],$A12, Table1[[AwayTeam]:[AwayTeam]], N$1),0), "-", TEXT(SUMIFS(Table1[[HomeWon]:[HomeWon]], Table1[[GameIsOver]:[GameIsOver]],1,Table1[[AwayTeam]:[AwayTeam]],$A12, Table1[[HomeTeam]:[HomeTeam]], N$1, Table1[[ActualResult]:[ActualResult]], "REG") + SUMIFS(Table1[[AwayWon]:[AwayWon]], Table1[[GameIsOver]:[GameIsOver]],1,Table1[[HomeTeam]:[HomeTeam]],$A12, Table1[[AwayTeam]:[AwayTeam]], N$1, Table1[[ActualResult]:[ActualResult]], "REG"),0), "-", TEXT(SUMIFS(Table1[[HomeWon]:[HomeWon]], Table1[[GameIsOver]:[GameIsOver]],1,Table1[[AwayTeam]:[AwayTeam]],$A12, Table1[[HomeTeam]:[HomeTeam]], N$1, Table1[[ActualResult]:[ActualResult]], "OT") + SUMIFS(Table1[[AwayWon]:[AwayWon]], Table1[[GameIsOver]:[GameIsOver]],1,Table1[[HomeTeam]:[HomeTeam]],$A12, Table1[[AwayTeam]:[AwayTeam]], N$1, Table1[[ActualResult]:[ActualResult]], "OT") + SUMIFS(Table1[[HomeWon]:[HomeWon]], Table1[[GameIsOver]:[GameIsOver]],1,Table1[[AwayTeam]:[AwayTeam]],$A12, Table1[[HomeTeam]:[HomeTeam]], N$1, Table1[[ActualResult]:[ActualResult]], "SO") + SUMIFS(Table1[[AwayWon]:[AwayWon]], Table1[[GameIsOver]:[GameIsOver]],1,Table1[[HomeTeam]:[HomeTeam]],$A12, Table1[[AwayTeam]:[AwayTeam]], N$1, Table1[[ActualResult]:[ActualResult]], "SO"),0))</f>
        <v>0-0-0</v>
      </c>
      <c r="O12" s="43" t="str">
        <f>_xlfn.CONCAT(TEXT(SUMIFS(Table1[[AwayWon]:[AwayWon]], Table1[[GameIsOver]:[GameIsOver]],1,Table1[[AwayTeam]:[AwayTeam]],$A12, Table1[[HomeTeam]:[HomeTeam]], O$1) + SUMIFS(Table1[[HomeWon]:[HomeWon]], Table1[[GameIsOver]:[GameIsOver]],1,Table1[[HomeTeam]:[HomeTeam]],$A12, Table1[[AwayTeam]:[AwayTeam]], O$1),0), "-", TEXT(SUMIFS(Table1[[HomeWon]:[HomeWon]], Table1[[GameIsOver]:[GameIsOver]],1,Table1[[AwayTeam]:[AwayTeam]],$A12, Table1[[HomeTeam]:[HomeTeam]], O$1, Table1[[ActualResult]:[ActualResult]], "REG") + SUMIFS(Table1[[AwayWon]:[AwayWon]], Table1[[GameIsOver]:[GameIsOver]],1,Table1[[HomeTeam]:[HomeTeam]],$A12, Table1[[AwayTeam]:[AwayTeam]], O$1, Table1[[ActualResult]:[ActualResult]], "REG"),0), "-", TEXT(SUMIFS(Table1[[HomeWon]:[HomeWon]], Table1[[GameIsOver]:[GameIsOver]],1,Table1[[AwayTeam]:[AwayTeam]],$A12, Table1[[HomeTeam]:[HomeTeam]], O$1, Table1[[ActualResult]:[ActualResult]], "OT") + SUMIFS(Table1[[AwayWon]:[AwayWon]], Table1[[GameIsOver]:[GameIsOver]],1,Table1[[HomeTeam]:[HomeTeam]],$A12, Table1[[AwayTeam]:[AwayTeam]], O$1, Table1[[ActualResult]:[ActualResult]], "OT") + SUMIFS(Table1[[HomeWon]:[HomeWon]], Table1[[GameIsOver]:[GameIsOver]],1,Table1[[AwayTeam]:[AwayTeam]],$A12, Table1[[HomeTeam]:[HomeTeam]], O$1, Table1[[ActualResult]:[ActualResult]], "SO") + SUMIFS(Table1[[AwayWon]:[AwayWon]], Table1[[GameIsOver]:[GameIsOver]],1,Table1[[HomeTeam]:[HomeTeam]],$A12, Table1[[AwayTeam]:[AwayTeam]], O$1, Table1[[ActualResult]:[ActualResult]], "SO"),0))</f>
        <v>0-0-0</v>
      </c>
      <c r="P12" s="43" t="str">
        <f>_xlfn.CONCAT(TEXT(SUMIFS(Table1[[AwayWon]:[AwayWon]], Table1[[GameIsOver]:[GameIsOver]],1,Table1[[AwayTeam]:[AwayTeam]],$A12, Table1[[HomeTeam]:[HomeTeam]], P$1) + SUMIFS(Table1[[HomeWon]:[HomeWon]], Table1[[GameIsOver]:[GameIsOver]],1,Table1[[HomeTeam]:[HomeTeam]],$A12, Table1[[AwayTeam]:[AwayTeam]], P$1),0), "-", TEXT(SUMIFS(Table1[[HomeWon]:[HomeWon]], Table1[[GameIsOver]:[GameIsOver]],1,Table1[[AwayTeam]:[AwayTeam]],$A12, Table1[[HomeTeam]:[HomeTeam]], P$1, Table1[[ActualResult]:[ActualResult]], "REG") + SUMIFS(Table1[[AwayWon]:[AwayWon]], Table1[[GameIsOver]:[GameIsOver]],1,Table1[[HomeTeam]:[HomeTeam]],$A12, Table1[[AwayTeam]:[AwayTeam]], P$1, Table1[[ActualResult]:[ActualResult]], "REG"),0), "-", TEXT(SUMIFS(Table1[[HomeWon]:[HomeWon]], Table1[[GameIsOver]:[GameIsOver]],1,Table1[[AwayTeam]:[AwayTeam]],$A12, Table1[[HomeTeam]:[HomeTeam]], P$1, Table1[[ActualResult]:[ActualResult]], "OT") + SUMIFS(Table1[[AwayWon]:[AwayWon]], Table1[[GameIsOver]:[GameIsOver]],1,Table1[[HomeTeam]:[HomeTeam]],$A12, Table1[[AwayTeam]:[AwayTeam]], P$1, Table1[[ActualResult]:[ActualResult]], "OT") + SUMIFS(Table1[[HomeWon]:[HomeWon]], Table1[[GameIsOver]:[GameIsOver]],1,Table1[[AwayTeam]:[AwayTeam]],$A12, Table1[[HomeTeam]:[HomeTeam]], P$1, Table1[[ActualResult]:[ActualResult]], "SO") + SUMIFS(Table1[[AwayWon]:[AwayWon]], Table1[[GameIsOver]:[GameIsOver]],1,Table1[[HomeTeam]:[HomeTeam]],$A12, Table1[[AwayTeam]:[AwayTeam]], P$1, Table1[[ActualResult]:[ActualResult]], "SO"),0))</f>
        <v>0-0-0</v>
      </c>
      <c r="Q12" s="45" t="str">
        <f>_xlfn.CONCAT(TEXT(SUMIFS(Table1[[AwayWon]:[AwayWon]], Table1[[GameIsOver]:[GameIsOver]],1,Table1[[AwayTeam]:[AwayTeam]],$A12, Table1[[HomeTeam]:[HomeTeam]], Q$1) + SUMIFS(Table1[[HomeWon]:[HomeWon]], Table1[[GameIsOver]:[GameIsOver]],1,Table1[[HomeTeam]:[HomeTeam]],$A12, Table1[[AwayTeam]:[AwayTeam]], Q$1),0), "-", TEXT(SUMIFS(Table1[[HomeWon]:[HomeWon]], Table1[[GameIsOver]:[GameIsOver]],1,Table1[[AwayTeam]:[AwayTeam]],$A12, Table1[[HomeTeam]:[HomeTeam]], Q$1, Table1[[ActualResult]:[ActualResult]], "REG") + SUMIFS(Table1[[AwayWon]:[AwayWon]], Table1[[GameIsOver]:[GameIsOver]],1,Table1[[HomeTeam]:[HomeTeam]],$A12, Table1[[AwayTeam]:[AwayTeam]], Q$1, Table1[[ActualResult]:[ActualResult]], "REG"),0), "-", TEXT(SUMIFS(Table1[[HomeWon]:[HomeWon]], Table1[[GameIsOver]:[GameIsOver]],1,Table1[[AwayTeam]:[AwayTeam]],$A12, Table1[[HomeTeam]:[HomeTeam]], Q$1, Table1[[ActualResult]:[ActualResult]], "OT") + SUMIFS(Table1[[AwayWon]:[AwayWon]], Table1[[GameIsOver]:[GameIsOver]],1,Table1[[HomeTeam]:[HomeTeam]],$A12, Table1[[AwayTeam]:[AwayTeam]], Q$1, Table1[[ActualResult]:[ActualResult]], "OT") + SUMIFS(Table1[[HomeWon]:[HomeWon]], Table1[[GameIsOver]:[GameIsOver]],1,Table1[[AwayTeam]:[AwayTeam]],$A12, Table1[[HomeTeam]:[HomeTeam]], Q$1, Table1[[ActualResult]:[ActualResult]], "SO") + SUMIFS(Table1[[AwayWon]:[AwayWon]], Table1[[GameIsOver]:[GameIsOver]],1,Table1[[HomeTeam]:[HomeTeam]],$A12, Table1[[AwayTeam]:[AwayTeam]], Q$1, Table1[[ActualResult]:[ActualResult]], "SO"),0))</f>
        <v>0-0-0</v>
      </c>
      <c r="R12" s="43" t="str">
        <f>_xlfn.CONCAT(TEXT(SUMIFS(Table1[[AwayWon]:[AwayWon]], Table1[[GameIsOver]:[GameIsOver]],1,Table1[[AwayTeam]:[AwayTeam]],$A12, Table1[[HomeTeam]:[HomeTeam]], R$1) + SUMIFS(Table1[[HomeWon]:[HomeWon]], Table1[[GameIsOver]:[GameIsOver]],1,Table1[[HomeTeam]:[HomeTeam]],$A12, Table1[[AwayTeam]:[AwayTeam]], R$1),0), "-", TEXT(SUMIFS(Table1[[HomeWon]:[HomeWon]], Table1[[GameIsOver]:[GameIsOver]],1,Table1[[AwayTeam]:[AwayTeam]],$A12, Table1[[HomeTeam]:[HomeTeam]], R$1, Table1[[ActualResult]:[ActualResult]], "REG") + SUMIFS(Table1[[AwayWon]:[AwayWon]], Table1[[GameIsOver]:[GameIsOver]],1,Table1[[HomeTeam]:[HomeTeam]],$A12, Table1[[AwayTeam]:[AwayTeam]], R$1, Table1[[ActualResult]:[ActualResult]], "REG"),0), "-", TEXT(SUMIFS(Table1[[HomeWon]:[HomeWon]], Table1[[GameIsOver]:[GameIsOver]],1,Table1[[AwayTeam]:[AwayTeam]],$A12, Table1[[HomeTeam]:[HomeTeam]], R$1, Table1[[ActualResult]:[ActualResult]], "OT") + SUMIFS(Table1[[AwayWon]:[AwayWon]], Table1[[GameIsOver]:[GameIsOver]],1,Table1[[HomeTeam]:[HomeTeam]],$A12, Table1[[AwayTeam]:[AwayTeam]], R$1, Table1[[ActualResult]:[ActualResult]], "OT") + SUMIFS(Table1[[HomeWon]:[HomeWon]], Table1[[GameIsOver]:[GameIsOver]],1,Table1[[AwayTeam]:[AwayTeam]],$A12, Table1[[HomeTeam]:[HomeTeam]], R$1, Table1[[ActualResult]:[ActualResult]], "SO") + SUMIFS(Table1[[AwayWon]:[AwayWon]], Table1[[GameIsOver]:[GameIsOver]],1,Table1[[HomeTeam]:[HomeTeam]],$A12, Table1[[AwayTeam]:[AwayTeam]], R$1, Table1[[ActualResult]:[ActualResult]], "SO"),0))</f>
        <v>0-0-0</v>
      </c>
      <c r="S12" s="43" t="str">
        <f>_xlfn.CONCAT(TEXT(SUMIFS(Table1[[AwayWon]:[AwayWon]], Table1[[GameIsOver]:[GameIsOver]],1,Table1[[AwayTeam]:[AwayTeam]],$A12, Table1[[HomeTeam]:[HomeTeam]], S$1) + SUMIFS(Table1[[HomeWon]:[HomeWon]], Table1[[GameIsOver]:[GameIsOver]],1,Table1[[HomeTeam]:[HomeTeam]],$A12, Table1[[AwayTeam]:[AwayTeam]], S$1),0), "-", TEXT(SUMIFS(Table1[[HomeWon]:[HomeWon]], Table1[[GameIsOver]:[GameIsOver]],1,Table1[[AwayTeam]:[AwayTeam]],$A12, Table1[[HomeTeam]:[HomeTeam]], S$1, Table1[[ActualResult]:[ActualResult]], "REG") + SUMIFS(Table1[[AwayWon]:[AwayWon]], Table1[[GameIsOver]:[GameIsOver]],1,Table1[[HomeTeam]:[HomeTeam]],$A12, Table1[[AwayTeam]:[AwayTeam]], S$1, Table1[[ActualResult]:[ActualResult]], "REG"),0), "-", TEXT(SUMIFS(Table1[[HomeWon]:[HomeWon]], Table1[[GameIsOver]:[GameIsOver]],1,Table1[[AwayTeam]:[AwayTeam]],$A12, Table1[[HomeTeam]:[HomeTeam]], S$1, Table1[[ActualResult]:[ActualResult]], "OT") + SUMIFS(Table1[[AwayWon]:[AwayWon]], Table1[[GameIsOver]:[GameIsOver]],1,Table1[[HomeTeam]:[HomeTeam]],$A12, Table1[[AwayTeam]:[AwayTeam]], S$1, Table1[[ActualResult]:[ActualResult]], "OT") + SUMIFS(Table1[[HomeWon]:[HomeWon]], Table1[[GameIsOver]:[GameIsOver]],1,Table1[[AwayTeam]:[AwayTeam]],$A12, Table1[[HomeTeam]:[HomeTeam]], S$1, Table1[[ActualResult]:[ActualResult]], "SO") + SUMIFS(Table1[[AwayWon]:[AwayWon]], Table1[[GameIsOver]:[GameIsOver]],1,Table1[[HomeTeam]:[HomeTeam]],$A12, Table1[[AwayTeam]:[AwayTeam]], S$1, Table1[[ActualResult]:[ActualResult]], "SO"),0))</f>
        <v>0-0-0</v>
      </c>
      <c r="T12" s="43" t="str">
        <f>_xlfn.CONCAT(TEXT(SUMIFS(Table1[[AwayWon]:[AwayWon]], Table1[[GameIsOver]:[GameIsOver]],1,Table1[[AwayTeam]:[AwayTeam]],$A12, Table1[[HomeTeam]:[HomeTeam]], T$1) + SUMIFS(Table1[[HomeWon]:[HomeWon]], Table1[[GameIsOver]:[GameIsOver]],1,Table1[[HomeTeam]:[HomeTeam]],$A12, Table1[[AwayTeam]:[AwayTeam]], T$1),0), "-", TEXT(SUMIFS(Table1[[HomeWon]:[HomeWon]], Table1[[GameIsOver]:[GameIsOver]],1,Table1[[AwayTeam]:[AwayTeam]],$A12, Table1[[HomeTeam]:[HomeTeam]], T$1, Table1[[ActualResult]:[ActualResult]], "REG") + SUMIFS(Table1[[AwayWon]:[AwayWon]], Table1[[GameIsOver]:[GameIsOver]],1,Table1[[HomeTeam]:[HomeTeam]],$A12, Table1[[AwayTeam]:[AwayTeam]], T$1, Table1[[ActualResult]:[ActualResult]], "REG"),0), "-", TEXT(SUMIFS(Table1[[HomeWon]:[HomeWon]], Table1[[GameIsOver]:[GameIsOver]],1,Table1[[AwayTeam]:[AwayTeam]],$A12, Table1[[HomeTeam]:[HomeTeam]], T$1, Table1[[ActualResult]:[ActualResult]], "OT") + SUMIFS(Table1[[AwayWon]:[AwayWon]], Table1[[GameIsOver]:[GameIsOver]],1,Table1[[HomeTeam]:[HomeTeam]],$A12, Table1[[AwayTeam]:[AwayTeam]], T$1, Table1[[ActualResult]:[ActualResult]], "OT") + SUMIFS(Table1[[HomeWon]:[HomeWon]], Table1[[GameIsOver]:[GameIsOver]],1,Table1[[AwayTeam]:[AwayTeam]],$A12, Table1[[HomeTeam]:[HomeTeam]], T$1, Table1[[ActualResult]:[ActualResult]], "SO") + SUMIFS(Table1[[AwayWon]:[AwayWon]], Table1[[GameIsOver]:[GameIsOver]],1,Table1[[HomeTeam]:[HomeTeam]],$A12, Table1[[AwayTeam]:[AwayTeam]], T$1, Table1[[ActualResult]:[ActualResult]], "SO"),0))</f>
        <v>0-0-0</v>
      </c>
      <c r="U12" s="43" t="str">
        <f>_xlfn.CONCAT(TEXT(SUMIFS(Table1[[AwayWon]:[AwayWon]], Table1[[GameIsOver]:[GameIsOver]],1,Table1[[AwayTeam]:[AwayTeam]],$A12, Table1[[HomeTeam]:[HomeTeam]], U$1) + SUMIFS(Table1[[HomeWon]:[HomeWon]], Table1[[GameIsOver]:[GameIsOver]],1,Table1[[HomeTeam]:[HomeTeam]],$A12, Table1[[AwayTeam]:[AwayTeam]], U$1),0), "-", TEXT(SUMIFS(Table1[[HomeWon]:[HomeWon]], Table1[[GameIsOver]:[GameIsOver]],1,Table1[[AwayTeam]:[AwayTeam]],$A12, Table1[[HomeTeam]:[HomeTeam]], U$1, Table1[[ActualResult]:[ActualResult]], "REG") + SUMIFS(Table1[[AwayWon]:[AwayWon]], Table1[[GameIsOver]:[GameIsOver]],1,Table1[[HomeTeam]:[HomeTeam]],$A12, Table1[[AwayTeam]:[AwayTeam]], U$1, Table1[[ActualResult]:[ActualResult]], "REG"),0), "-", TEXT(SUMIFS(Table1[[HomeWon]:[HomeWon]], Table1[[GameIsOver]:[GameIsOver]],1,Table1[[AwayTeam]:[AwayTeam]],$A12, Table1[[HomeTeam]:[HomeTeam]], U$1, Table1[[ActualResult]:[ActualResult]], "OT") + SUMIFS(Table1[[AwayWon]:[AwayWon]], Table1[[GameIsOver]:[GameIsOver]],1,Table1[[HomeTeam]:[HomeTeam]],$A12, Table1[[AwayTeam]:[AwayTeam]], U$1, Table1[[ActualResult]:[ActualResult]], "OT") + SUMIFS(Table1[[HomeWon]:[HomeWon]], Table1[[GameIsOver]:[GameIsOver]],1,Table1[[AwayTeam]:[AwayTeam]],$A12, Table1[[HomeTeam]:[HomeTeam]], U$1, Table1[[ActualResult]:[ActualResult]], "SO") + SUMIFS(Table1[[AwayWon]:[AwayWon]], Table1[[GameIsOver]:[GameIsOver]],1,Table1[[HomeTeam]:[HomeTeam]],$A12, Table1[[AwayTeam]:[AwayTeam]], U$1, Table1[[ActualResult]:[ActualResult]], "SO"),0))</f>
        <v>0-0-0</v>
      </c>
      <c r="V12" s="43" t="str">
        <f>_xlfn.CONCAT(TEXT(SUMIFS(Table1[[AwayWon]:[AwayWon]], Table1[[GameIsOver]:[GameIsOver]],1,Table1[[AwayTeam]:[AwayTeam]],$A12, Table1[[HomeTeam]:[HomeTeam]], V$1) + SUMIFS(Table1[[HomeWon]:[HomeWon]], Table1[[GameIsOver]:[GameIsOver]],1,Table1[[HomeTeam]:[HomeTeam]],$A12, Table1[[AwayTeam]:[AwayTeam]], V$1),0), "-", TEXT(SUMIFS(Table1[[HomeWon]:[HomeWon]], Table1[[GameIsOver]:[GameIsOver]],1,Table1[[AwayTeam]:[AwayTeam]],$A12, Table1[[HomeTeam]:[HomeTeam]], V$1, Table1[[ActualResult]:[ActualResult]], "REG") + SUMIFS(Table1[[AwayWon]:[AwayWon]], Table1[[GameIsOver]:[GameIsOver]],1,Table1[[HomeTeam]:[HomeTeam]],$A12, Table1[[AwayTeam]:[AwayTeam]], V$1, Table1[[ActualResult]:[ActualResult]], "REG"),0), "-", TEXT(SUMIFS(Table1[[HomeWon]:[HomeWon]], Table1[[GameIsOver]:[GameIsOver]],1,Table1[[AwayTeam]:[AwayTeam]],$A12, Table1[[HomeTeam]:[HomeTeam]], V$1, Table1[[ActualResult]:[ActualResult]], "OT") + SUMIFS(Table1[[AwayWon]:[AwayWon]], Table1[[GameIsOver]:[GameIsOver]],1,Table1[[HomeTeam]:[HomeTeam]],$A12, Table1[[AwayTeam]:[AwayTeam]], V$1, Table1[[ActualResult]:[ActualResult]], "OT") + SUMIFS(Table1[[HomeWon]:[HomeWon]], Table1[[GameIsOver]:[GameIsOver]],1,Table1[[AwayTeam]:[AwayTeam]],$A12, Table1[[HomeTeam]:[HomeTeam]], V$1, Table1[[ActualResult]:[ActualResult]], "SO") + SUMIFS(Table1[[AwayWon]:[AwayWon]], Table1[[GameIsOver]:[GameIsOver]],1,Table1[[HomeTeam]:[HomeTeam]],$A12, Table1[[AwayTeam]:[AwayTeam]], V$1, Table1[[ActualResult]:[ActualResult]], "SO"),0))</f>
        <v>0-0-0</v>
      </c>
      <c r="W12" s="43" t="str">
        <f>_xlfn.CONCAT(TEXT(SUMIFS(Table1[[AwayWon]:[AwayWon]], Table1[[GameIsOver]:[GameIsOver]],1,Table1[[AwayTeam]:[AwayTeam]],$A12, Table1[[HomeTeam]:[HomeTeam]], W$1) + SUMIFS(Table1[[HomeWon]:[HomeWon]], Table1[[GameIsOver]:[GameIsOver]],1,Table1[[HomeTeam]:[HomeTeam]],$A12, Table1[[AwayTeam]:[AwayTeam]], W$1),0), "-", TEXT(SUMIFS(Table1[[HomeWon]:[HomeWon]], Table1[[GameIsOver]:[GameIsOver]],1,Table1[[AwayTeam]:[AwayTeam]],$A12, Table1[[HomeTeam]:[HomeTeam]], W$1, Table1[[ActualResult]:[ActualResult]], "REG") + SUMIFS(Table1[[AwayWon]:[AwayWon]], Table1[[GameIsOver]:[GameIsOver]],1,Table1[[HomeTeam]:[HomeTeam]],$A12, Table1[[AwayTeam]:[AwayTeam]], W$1, Table1[[ActualResult]:[ActualResult]], "REG"),0), "-", TEXT(SUMIFS(Table1[[HomeWon]:[HomeWon]], Table1[[GameIsOver]:[GameIsOver]],1,Table1[[AwayTeam]:[AwayTeam]],$A12, Table1[[HomeTeam]:[HomeTeam]], W$1, Table1[[ActualResult]:[ActualResult]], "OT") + SUMIFS(Table1[[AwayWon]:[AwayWon]], Table1[[GameIsOver]:[GameIsOver]],1,Table1[[HomeTeam]:[HomeTeam]],$A12, Table1[[AwayTeam]:[AwayTeam]], W$1, Table1[[ActualResult]:[ActualResult]], "OT") + SUMIFS(Table1[[HomeWon]:[HomeWon]], Table1[[GameIsOver]:[GameIsOver]],1,Table1[[AwayTeam]:[AwayTeam]],$A12, Table1[[HomeTeam]:[HomeTeam]], W$1, Table1[[ActualResult]:[ActualResult]], "SO") + SUMIFS(Table1[[AwayWon]:[AwayWon]], Table1[[GameIsOver]:[GameIsOver]],1,Table1[[HomeTeam]:[HomeTeam]],$A12, Table1[[AwayTeam]:[AwayTeam]], W$1, Table1[[ActualResult]:[ActualResult]], "SO"),0))</f>
        <v>0-0-0</v>
      </c>
      <c r="X12" s="43" t="str">
        <f>_xlfn.CONCAT(TEXT(SUMIFS(Table1[[AwayWon]:[AwayWon]], Table1[[GameIsOver]:[GameIsOver]],1,Table1[[AwayTeam]:[AwayTeam]],$A12, Table1[[HomeTeam]:[HomeTeam]], X$1) + SUMIFS(Table1[[HomeWon]:[HomeWon]], Table1[[GameIsOver]:[GameIsOver]],1,Table1[[HomeTeam]:[HomeTeam]],$A12, Table1[[AwayTeam]:[AwayTeam]], X$1),0), "-", TEXT(SUMIFS(Table1[[HomeWon]:[HomeWon]], Table1[[GameIsOver]:[GameIsOver]],1,Table1[[AwayTeam]:[AwayTeam]],$A12, Table1[[HomeTeam]:[HomeTeam]], X$1, Table1[[ActualResult]:[ActualResult]], "REG") + SUMIFS(Table1[[AwayWon]:[AwayWon]], Table1[[GameIsOver]:[GameIsOver]],1,Table1[[HomeTeam]:[HomeTeam]],$A12, Table1[[AwayTeam]:[AwayTeam]], X$1, Table1[[ActualResult]:[ActualResult]], "REG"),0), "-", TEXT(SUMIFS(Table1[[HomeWon]:[HomeWon]], Table1[[GameIsOver]:[GameIsOver]],1,Table1[[AwayTeam]:[AwayTeam]],$A12, Table1[[HomeTeam]:[HomeTeam]], X$1, Table1[[ActualResult]:[ActualResult]], "OT") + SUMIFS(Table1[[AwayWon]:[AwayWon]], Table1[[GameIsOver]:[GameIsOver]],1,Table1[[HomeTeam]:[HomeTeam]],$A12, Table1[[AwayTeam]:[AwayTeam]], X$1, Table1[[ActualResult]:[ActualResult]], "OT") + SUMIFS(Table1[[HomeWon]:[HomeWon]], Table1[[GameIsOver]:[GameIsOver]],1,Table1[[AwayTeam]:[AwayTeam]],$A12, Table1[[HomeTeam]:[HomeTeam]], X$1, Table1[[ActualResult]:[ActualResult]], "SO") + SUMIFS(Table1[[AwayWon]:[AwayWon]], Table1[[GameIsOver]:[GameIsOver]],1,Table1[[HomeTeam]:[HomeTeam]],$A12, Table1[[AwayTeam]:[AwayTeam]], X$1, Table1[[ActualResult]:[ActualResult]], "SO"),0))</f>
        <v>0-0-0</v>
      </c>
      <c r="Y12" s="45" t="str">
        <f>_xlfn.CONCAT(TEXT(SUMIFS(Table1[[AwayWon]:[AwayWon]], Table1[[GameIsOver]:[GameIsOver]],1,Table1[[AwayTeam]:[AwayTeam]],$A12, Table1[[HomeTeam]:[HomeTeam]], Y$1) + SUMIFS(Table1[[HomeWon]:[HomeWon]], Table1[[GameIsOver]:[GameIsOver]],1,Table1[[HomeTeam]:[HomeTeam]],$A12, Table1[[AwayTeam]:[AwayTeam]], Y$1),0), "-", TEXT(SUMIFS(Table1[[HomeWon]:[HomeWon]], Table1[[GameIsOver]:[GameIsOver]],1,Table1[[AwayTeam]:[AwayTeam]],$A12, Table1[[HomeTeam]:[HomeTeam]], Y$1, Table1[[ActualResult]:[ActualResult]], "REG") + SUMIFS(Table1[[AwayWon]:[AwayWon]], Table1[[GameIsOver]:[GameIsOver]],1,Table1[[HomeTeam]:[HomeTeam]],$A12, Table1[[AwayTeam]:[AwayTeam]], Y$1, Table1[[ActualResult]:[ActualResult]], "REG"),0), "-", TEXT(SUMIFS(Table1[[HomeWon]:[HomeWon]], Table1[[GameIsOver]:[GameIsOver]],1,Table1[[AwayTeam]:[AwayTeam]],$A12, Table1[[HomeTeam]:[HomeTeam]], Y$1, Table1[[ActualResult]:[ActualResult]], "OT") + SUMIFS(Table1[[AwayWon]:[AwayWon]], Table1[[GameIsOver]:[GameIsOver]],1,Table1[[HomeTeam]:[HomeTeam]],$A12, Table1[[AwayTeam]:[AwayTeam]], Y$1, Table1[[ActualResult]:[ActualResult]], "OT") + SUMIFS(Table1[[HomeWon]:[HomeWon]], Table1[[GameIsOver]:[GameIsOver]],1,Table1[[AwayTeam]:[AwayTeam]],$A12, Table1[[HomeTeam]:[HomeTeam]], Y$1, Table1[[ActualResult]:[ActualResult]], "SO") + SUMIFS(Table1[[AwayWon]:[AwayWon]], Table1[[GameIsOver]:[GameIsOver]],1,Table1[[HomeTeam]:[HomeTeam]],$A12, Table1[[AwayTeam]:[AwayTeam]], Y$1, Table1[[ActualResult]:[ActualResult]], "SO"),0))</f>
        <v>0-0-0</v>
      </c>
      <c r="Z12" s="43" t="str">
        <f>_xlfn.CONCAT(TEXT(SUMIFS(Table1[[AwayWon]:[AwayWon]], Table1[[GameIsOver]:[GameIsOver]],1,Table1[[AwayTeam]:[AwayTeam]],$A12, Table1[[HomeTeam]:[HomeTeam]], Z$1) + SUMIFS(Table1[[HomeWon]:[HomeWon]], Table1[[GameIsOver]:[GameIsOver]],1,Table1[[HomeTeam]:[HomeTeam]],$A12, Table1[[AwayTeam]:[AwayTeam]], Z$1),0), "-", TEXT(SUMIFS(Table1[[HomeWon]:[HomeWon]], Table1[[GameIsOver]:[GameIsOver]],1,Table1[[AwayTeam]:[AwayTeam]],$A12, Table1[[HomeTeam]:[HomeTeam]], Z$1, Table1[[ActualResult]:[ActualResult]], "REG") + SUMIFS(Table1[[AwayWon]:[AwayWon]], Table1[[GameIsOver]:[GameIsOver]],1,Table1[[HomeTeam]:[HomeTeam]],$A12, Table1[[AwayTeam]:[AwayTeam]], Z$1, Table1[[ActualResult]:[ActualResult]], "REG"),0), "-", TEXT(SUMIFS(Table1[[HomeWon]:[HomeWon]], Table1[[GameIsOver]:[GameIsOver]],1,Table1[[AwayTeam]:[AwayTeam]],$A12, Table1[[HomeTeam]:[HomeTeam]], Z$1, Table1[[ActualResult]:[ActualResult]], "OT") + SUMIFS(Table1[[AwayWon]:[AwayWon]], Table1[[GameIsOver]:[GameIsOver]],1,Table1[[HomeTeam]:[HomeTeam]],$A12, Table1[[AwayTeam]:[AwayTeam]], Z$1, Table1[[ActualResult]:[ActualResult]], "OT") + SUMIFS(Table1[[HomeWon]:[HomeWon]], Table1[[GameIsOver]:[GameIsOver]],1,Table1[[AwayTeam]:[AwayTeam]],$A12, Table1[[HomeTeam]:[HomeTeam]], Z$1, Table1[[ActualResult]:[ActualResult]], "SO") + SUMIFS(Table1[[AwayWon]:[AwayWon]], Table1[[GameIsOver]:[GameIsOver]],1,Table1[[HomeTeam]:[HomeTeam]],$A12, Table1[[AwayTeam]:[AwayTeam]], Z$1, Table1[[ActualResult]:[ActualResult]], "SO"),0))</f>
        <v>0-0-0</v>
      </c>
      <c r="AA12" s="43" t="str">
        <f>_xlfn.CONCAT(TEXT(SUMIFS(Table1[[AwayWon]:[AwayWon]], Table1[[GameIsOver]:[GameIsOver]],1,Table1[[AwayTeam]:[AwayTeam]],$A12, Table1[[HomeTeam]:[HomeTeam]], AA$1) + SUMIFS(Table1[[HomeWon]:[HomeWon]], Table1[[GameIsOver]:[GameIsOver]],1,Table1[[HomeTeam]:[HomeTeam]],$A12, Table1[[AwayTeam]:[AwayTeam]], AA$1),0), "-", TEXT(SUMIFS(Table1[[HomeWon]:[HomeWon]], Table1[[GameIsOver]:[GameIsOver]],1,Table1[[AwayTeam]:[AwayTeam]],$A12, Table1[[HomeTeam]:[HomeTeam]], AA$1, Table1[[ActualResult]:[ActualResult]], "REG") + SUMIFS(Table1[[AwayWon]:[AwayWon]], Table1[[GameIsOver]:[GameIsOver]],1,Table1[[HomeTeam]:[HomeTeam]],$A12, Table1[[AwayTeam]:[AwayTeam]], AA$1, Table1[[ActualResult]:[ActualResult]], "REG"),0), "-", TEXT(SUMIFS(Table1[[HomeWon]:[HomeWon]], Table1[[GameIsOver]:[GameIsOver]],1,Table1[[AwayTeam]:[AwayTeam]],$A12, Table1[[HomeTeam]:[HomeTeam]], AA$1, Table1[[ActualResult]:[ActualResult]], "OT") + SUMIFS(Table1[[AwayWon]:[AwayWon]], Table1[[GameIsOver]:[GameIsOver]],1,Table1[[HomeTeam]:[HomeTeam]],$A12, Table1[[AwayTeam]:[AwayTeam]], AA$1, Table1[[ActualResult]:[ActualResult]], "OT") + SUMIFS(Table1[[HomeWon]:[HomeWon]], Table1[[GameIsOver]:[GameIsOver]],1,Table1[[AwayTeam]:[AwayTeam]],$A12, Table1[[HomeTeam]:[HomeTeam]], AA$1, Table1[[ActualResult]:[ActualResult]], "SO") + SUMIFS(Table1[[AwayWon]:[AwayWon]], Table1[[GameIsOver]:[GameIsOver]],1,Table1[[HomeTeam]:[HomeTeam]],$A12, Table1[[AwayTeam]:[AwayTeam]], AA$1, Table1[[ActualResult]:[ActualResult]], "SO"),0))</f>
        <v>0-0-0</v>
      </c>
      <c r="AB12" s="43" t="str">
        <f>_xlfn.CONCAT(TEXT(SUMIFS(Table1[[AwayWon]:[AwayWon]], Table1[[GameIsOver]:[GameIsOver]],1,Table1[[AwayTeam]:[AwayTeam]],$A12, Table1[[HomeTeam]:[HomeTeam]], AB$1) + SUMIFS(Table1[[HomeWon]:[HomeWon]], Table1[[GameIsOver]:[GameIsOver]],1,Table1[[HomeTeam]:[HomeTeam]],$A12, Table1[[AwayTeam]:[AwayTeam]], AB$1),0), "-", TEXT(SUMIFS(Table1[[HomeWon]:[HomeWon]], Table1[[GameIsOver]:[GameIsOver]],1,Table1[[AwayTeam]:[AwayTeam]],$A12, Table1[[HomeTeam]:[HomeTeam]], AB$1, Table1[[ActualResult]:[ActualResult]], "REG") + SUMIFS(Table1[[AwayWon]:[AwayWon]], Table1[[GameIsOver]:[GameIsOver]],1,Table1[[HomeTeam]:[HomeTeam]],$A12, Table1[[AwayTeam]:[AwayTeam]], AB$1, Table1[[ActualResult]:[ActualResult]], "REG"),0), "-", TEXT(SUMIFS(Table1[[HomeWon]:[HomeWon]], Table1[[GameIsOver]:[GameIsOver]],1,Table1[[AwayTeam]:[AwayTeam]],$A12, Table1[[HomeTeam]:[HomeTeam]], AB$1, Table1[[ActualResult]:[ActualResult]], "OT") + SUMIFS(Table1[[AwayWon]:[AwayWon]], Table1[[GameIsOver]:[GameIsOver]],1,Table1[[HomeTeam]:[HomeTeam]],$A12, Table1[[AwayTeam]:[AwayTeam]], AB$1, Table1[[ActualResult]:[ActualResult]], "OT") + SUMIFS(Table1[[HomeWon]:[HomeWon]], Table1[[GameIsOver]:[GameIsOver]],1,Table1[[AwayTeam]:[AwayTeam]],$A12, Table1[[HomeTeam]:[HomeTeam]], AB$1, Table1[[ActualResult]:[ActualResult]], "SO") + SUMIFS(Table1[[AwayWon]:[AwayWon]], Table1[[GameIsOver]:[GameIsOver]],1,Table1[[HomeTeam]:[HomeTeam]],$A12, Table1[[AwayTeam]:[AwayTeam]], AB$1, Table1[[ActualResult]:[ActualResult]], "SO"),0))</f>
        <v>0-0-0</v>
      </c>
      <c r="AC12" s="43" t="str">
        <f>_xlfn.CONCAT(TEXT(SUMIFS(Table1[[AwayWon]:[AwayWon]], Table1[[GameIsOver]:[GameIsOver]],1,Table1[[AwayTeam]:[AwayTeam]],$A12, Table1[[HomeTeam]:[HomeTeam]], AC$1) + SUMIFS(Table1[[HomeWon]:[HomeWon]], Table1[[GameIsOver]:[GameIsOver]],1,Table1[[HomeTeam]:[HomeTeam]],$A12, Table1[[AwayTeam]:[AwayTeam]], AC$1),0), "-", TEXT(SUMIFS(Table1[[HomeWon]:[HomeWon]], Table1[[GameIsOver]:[GameIsOver]],1,Table1[[AwayTeam]:[AwayTeam]],$A12, Table1[[HomeTeam]:[HomeTeam]], AC$1, Table1[[ActualResult]:[ActualResult]], "REG") + SUMIFS(Table1[[AwayWon]:[AwayWon]], Table1[[GameIsOver]:[GameIsOver]],1,Table1[[HomeTeam]:[HomeTeam]],$A12, Table1[[AwayTeam]:[AwayTeam]], AC$1, Table1[[ActualResult]:[ActualResult]], "REG"),0), "-", TEXT(SUMIFS(Table1[[HomeWon]:[HomeWon]], Table1[[GameIsOver]:[GameIsOver]],1,Table1[[AwayTeam]:[AwayTeam]],$A12, Table1[[HomeTeam]:[HomeTeam]], AC$1, Table1[[ActualResult]:[ActualResult]], "OT") + SUMIFS(Table1[[AwayWon]:[AwayWon]], Table1[[GameIsOver]:[GameIsOver]],1,Table1[[HomeTeam]:[HomeTeam]],$A12, Table1[[AwayTeam]:[AwayTeam]], AC$1, Table1[[ActualResult]:[ActualResult]], "OT") + SUMIFS(Table1[[HomeWon]:[HomeWon]], Table1[[GameIsOver]:[GameIsOver]],1,Table1[[AwayTeam]:[AwayTeam]],$A12, Table1[[HomeTeam]:[HomeTeam]], AC$1, Table1[[ActualResult]:[ActualResult]], "SO") + SUMIFS(Table1[[AwayWon]:[AwayWon]], Table1[[GameIsOver]:[GameIsOver]],1,Table1[[HomeTeam]:[HomeTeam]],$A12, Table1[[AwayTeam]:[AwayTeam]], AC$1, Table1[[ActualResult]:[ActualResult]], "SO"),0))</f>
        <v>0-0-0</v>
      </c>
      <c r="AD12" s="43" t="str">
        <f>_xlfn.CONCAT(TEXT(SUMIFS(Table1[[AwayWon]:[AwayWon]], Table1[[GameIsOver]:[GameIsOver]],1,Table1[[AwayTeam]:[AwayTeam]],$A12, Table1[[HomeTeam]:[HomeTeam]], AD$1) + SUMIFS(Table1[[HomeWon]:[HomeWon]], Table1[[GameIsOver]:[GameIsOver]],1,Table1[[HomeTeam]:[HomeTeam]],$A12, Table1[[AwayTeam]:[AwayTeam]], AD$1),0), "-", TEXT(SUMIFS(Table1[[HomeWon]:[HomeWon]], Table1[[GameIsOver]:[GameIsOver]],1,Table1[[AwayTeam]:[AwayTeam]],$A12, Table1[[HomeTeam]:[HomeTeam]], AD$1, Table1[[ActualResult]:[ActualResult]], "REG") + SUMIFS(Table1[[AwayWon]:[AwayWon]], Table1[[GameIsOver]:[GameIsOver]],1,Table1[[HomeTeam]:[HomeTeam]],$A12, Table1[[AwayTeam]:[AwayTeam]], AD$1, Table1[[ActualResult]:[ActualResult]], "REG"),0), "-", TEXT(SUMIFS(Table1[[HomeWon]:[HomeWon]], Table1[[GameIsOver]:[GameIsOver]],1,Table1[[AwayTeam]:[AwayTeam]],$A12, Table1[[HomeTeam]:[HomeTeam]], AD$1, Table1[[ActualResult]:[ActualResult]], "OT") + SUMIFS(Table1[[AwayWon]:[AwayWon]], Table1[[GameIsOver]:[GameIsOver]],1,Table1[[HomeTeam]:[HomeTeam]],$A12, Table1[[AwayTeam]:[AwayTeam]], AD$1, Table1[[ActualResult]:[ActualResult]], "OT") + SUMIFS(Table1[[HomeWon]:[HomeWon]], Table1[[GameIsOver]:[GameIsOver]],1,Table1[[AwayTeam]:[AwayTeam]],$A12, Table1[[HomeTeam]:[HomeTeam]], AD$1, Table1[[ActualResult]:[ActualResult]], "SO") + SUMIFS(Table1[[AwayWon]:[AwayWon]], Table1[[GameIsOver]:[GameIsOver]],1,Table1[[HomeTeam]:[HomeTeam]],$A12, Table1[[AwayTeam]:[AwayTeam]], AD$1, Table1[[ActualResult]:[ActualResult]], "SO"),0))</f>
        <v>0-0-0</v>
      </c>
      <c r="AE12" s="43" t="str">
        <f>_xlfn.CONCAT(TEXT(SUMIFS(Table1[[AwayWon]:[AwayWon]], Table1[[GameIsOver]:[GameIsOver]],1,Table1[[AwayTeam]:[AwayTeam]],$A12, Table1[[HomeTeam]:[HomeTeam]], AE$1) + SUMIFS(Table1[[HomeWon]:[HomeWon]], Table1[[GameIsOver]:[GameIsOver]],1,Table1[[HomeTeam]:[HomeTeam]],$A12, Table1[[AwayTeam]:[AwayTeam]], AE$1),0), "-", TEXT(SUMIFS(Table1[[HomeWon]:[HomeWon]], Table1[[GameIsOver]:[GameIsOver]],1,Table1[[AwayTeam]:[AwayTeam]],$A12, Table1[[HomeTeam]:[HomeTeam]], AE$1, Table1[[ActualResult]:[ActualResult]], "REG") + SUMIFS(Table1[[AwayWon]:[AwayWon]], Table1[[GameIsOver]:[GameIsOver]],1,Table1[[HomeTeam]:[HomeTeam]],$A12, Table1[[AwayTeam]:[AwayTeam]], AE$1, Table1[[ActualResult]:[ActualResult]], "REG"),0), "-", TEXT(SUMIFS(Table1[[HomeWon]:[HomeWon]], Table1[[GameIsOver]:[GameIsOver]],1,Table1[[AwayTeam]:[AwayTeam]],$A12, Table1[[HomeTeam]:[HomeTeam]], AE$1, Table1[[ActualResult]:[ActualResult]], "OT") + SUMIFS(Table1[[AwayWon]:[AwayWon]], Table1[[GameIsOver]:[GameIsOver]],1,Table1[[HomeTeam]:[HomeTeam]],$A12, Table1[[AwayTeam]:[AwayTeam]], AE$1, Table1[[ActualResult]:[ActualResult]], "OT") + SUMIFS(Table1[[HomeWon]:[HomeWon]], Table1[[GameIsOver]:[GameIsOver]],1,Table1[[AwayTeam]:[AwayTeam]],$A12, Table1[[HomeTeam]:[HomeTeam]], AE$1, Table1[[ActualResult]:[ActualResult]], "SO") + SUMIFS(Table1[[AwayWon]:[AwayWon]], Table1[[GameIsOver]:[GameIsOver]],1,Table1[[HomeTeam]:[HomeTeam]],$A12, Table1[[AwayTeam]:[AwayTeam]], AE$1, Table1[[ActualResult]:[ActualResult]], "SO"),0))</f>
        <v>0-0-0</v>
      </c>
      <c r="AF12" s="43" t="str">
        <f>_xlfn.CONCAT(TEXT(SUMIFS(Table1[[AwayWon]:[AwayWon]], Table1[[GameIsOver]:[GameIsOver]],1,Table1[[AwayTeam]:[AwayTeam]],$A12, Table1[[HomeTeam]:[HomeTeam]], AF$1) + SUMIFS(Table1[[HomeWon]:[HomeWon]], Table1[[GameIsOver]:[GameIsOver]],1,Table1[[HomeTeam]:[HomeTeam]],$A12, Table1[[AwayTeam]:[AwayTeam]], AF$1),0), "-", TEXT(SUMIFS(Table1[[HomeWon]:[HomeWon]], Table1[[GameIsOver]:[GameIsOver]],1,Table1[[AwayTeam]:[AwayTeam]],$A12, Table1[[HomeTeam]:[HomeTeam]], AF$1, Table1[[ActualResult]:[ActualResult]], "REG") + SUMIFS(Table1[[AwayWon]:[AwayWon]], Table1[[GameIsOver]:[GameIsOver]],1,Table1[[HomeTeam]:[HomeTeam]],$A12, Table1[[AwayTeam]:[AwayTeam]], AF$1, Table1[[ActualResult]:[ActualResult]], "REG"),0), "-", TEXT(SUMIFS(Table1[[HomeWon]:[HomeWon]], Table1[[GameIsOver]:[GameIsOver]],1,Table1[[AwayTeam]:[AwayTeam]],$A12, Table1[[HomeTeam]:[HomeTeam]], AF$1, Table1[[ActualResult]:[ActualResult]], "OT") + SUMIFS(Table1[[AwayWon]:[AwayWon]], Table1[[GameIsOver]:[GameIsOver]],1,Table1[[HomeTeam]:[HomeTeam]],$A12, Table1[[AwayTeam]:[AwayTeam]], AF$1, Table1[[ActualResult]:[ActualResult]], "OT") + SUMIFS(Table1[[HomeWon]:[HomeWon]], Table1[[GameIsOver]:[GameIsOver]],1,Table1[[AwayTeam]:[AwayTeam]],$A12, Table1[[HomeTeam]:[HomeTeam]], AF$1, Table1[[ActualResult]:[ActualResult]], "SO") + SUMIFS(Table1[[AwayWon]:[AwayWon]], Table1[[GameIsOver]:[GameIsOver]],1,Table1[[HomeTeam]:[HomeTeam]],$A12, Table1[[AwayTeam]:[AwayTeam]], AF$1, Table1[[ActualResult]:[ActualResult]], "SO"),0))</f>
        <v>0-0-0</v>
      </c>
      <c r="AG12" s="43" t="str">
        <f>_xlfn.CONCAT(TEXT(SUMIFS(Table1[[AwayWon]:[AwayWon]], Table1[[GameIsOver]:[GameIsOver]],1,Table1[[AwayTeam]:[AwayTeam]],$A12, Table1[[HomeTeam]:[HomeTeam]], AG$1) + SUMIFS(Table1[[HomeWon]:[HomeWon]], Table1[[GameIsOver]:[GameIsOver]],1,Table1[[HomeTeam]:[HomeTeam]],$A12, Table1[[AwayTeam]:[AwayTeam]], AG$1),0), "-", TEXT(SUMIFS(Table1[[HomeWon]:[HomeWon]], Table1[[GameIsOver]:[GameIsOver]],1,Table1[[AwayTeam]:[AwayTeam]],$A12, Table1[[HomeTeam]:[HomeTeam]], AG$1, Table1[[ActualResult]:[ActualResult]], "REG") + SUMIFS(Table1[[AwayWon]:[AwayWon]], Table1[[GameIsOver]:[GameIsOver]],1,Table1[[HomeTeam]:[HomeTeam]],$A12, Table1[[AwayTeam]:[AwayTeam]], AG$1, Table1[[ActualResult]:[ActualResult]], "REG"),0), "-", TEXT(SUMIFS(Table1[[HomeWon]:[HomeWon]], Table1[[GameIsOver]:[GameIsOver]],1,Table1[[AwayTeam]:[AwayTeam]],$A12, Table1[[HomeTeam]:[HomeTeam]], AG$1, Table1[[ActualResult]:[ActualResult]], "OT") + SUMIFS(Table1[[AwayWon]:[AwayWon]], Table1[[GameIsOver]:[GameIsOver]],1,Table1[[HomeTeam]:[HomeTeam]],$A12, Table1[[AwayTeam]:[AwayTeam]], AG$1, Table1[[ActualResult]:[ActualResult]], "OT") + SUMIFS(Table1[[HomeWon]:[HomeWon]], Table1[[GameIsOver]:[GameIsOver]],1,Table1[[AwayTeam]:[AwayTeam]],$A12, Table1[[HomeTeam]:[HomeTeam]], AG$1, Table1[[ActualResult]:[ActualResult]], "SO") + SUMIFS(Table1[[AwayWon]:[AwayWon]], Table1[[GameIsOver]:[GameIsOver]],1,Table1[[HomeTeam]:[HomeTeam]],$A12, Table1[[AwayTeam]:[AwayTeam]], AG$1, Table1[[ActualResult]:[ActualResult]], "SO"),0))</f>
        <v>0-0-0</v>
      </c>
    </row>
    <row r="13" spans="1:33" x14ac:dyDescent="0.25">
      <c r="A13" s="17" t="s">
        <v>22</v>
      </c>
      <c r="B13" s="43" t="str">
        <f>_xlfn.CONCAT(TEXT(SUMIFS(Table1[[AwayWon]:[AwayWon]], Table1[[GameIsOver]:[GameIsOver]],1,Table1[[AwayTeam]:[AwayTeam]],$A13, Table1[[HomeTeam]:[HomeTeam]], B$1) + SUMIFS(Table1[[HomeWon]:[HomeWon]], Table1[[GameIsOver]:[GameIsOver]],1,Table1[[HomeTeam]:[HomeTeam]],$A13, Table1[[AwayTeam]:[AwayTeam]], B$1),0), "-", TEXT(SUMIFS(Table1[[HomeWon]:[HomeWon]], Table1[[GameIsOver]:[GameIsOver]],1,Table1[[AwayTeam]:[AwayTeam]],$A13, Table1[[HomeTeam]:[HomeTeam]], B$1, Table1[[ActualResult]:[ActualResult]], "REG") + SUMIFS(Table1[[AwayWon]:[AwayWon]], Table1[[GameIsOver]:[GameIsOver]],1,Table1[[HomeTeam]:[HomeTeam]],$A13, Table1[[AwayTeam]:[AwayTeam]], B$1, Table1[[ActualResult]:[ActualResult]], "REG"),0), "-", TEXT(SUMIFS(Table1[[HomeWon]:[HomeWon]], Table1[[GameIsOver]:[GameIsOver]],1,Table1[[AwayTeam]:[AwayTeam]],$A13, Table1[[HomeTeam]:[HomeTeam]], B$1, Table1[[ActualResult]:[ActualResult]], "OT") + SUMIFS(Table1[[AwayWon]:[AwayWon]], Table1[[GameIsOver]:[GameIsOver]],1,Table1[[HomeTeam]:[HomeTeam]],$A13, Table1[[AwayTeam]:[AwayTeam]], B$1, Table1[[ActualResult]:[ActualResult]], "OT") + SUMIFS(Table1[[HomeWon]:[HomeWon]], Table1[[GameIsOver]:[GameIsOver]],1,Table1[[AwayTeam]:[AwayTeam]],$A13, Table1[[HomeTeam]:[HomeTeam]], B$1, Table1[[ActualResult]:[ActualResult]], "SO") + SUMIFS(Table1[[AwayWon]:[AwayWon]], Table1[[GameIsOver]:[GameIsOver]],1,Table1[[HomeTeam]:[HomeTeam]],$A13, Table1[[AwayTeam]:[AwayTeam]], B$1, Table1[[ActualResult]:[ActualResult]], "SO"),0))</f>
        <v>0-0-0</v>
      </c>
      <c r="C13" s="43" t="str">
        <f>_xlfn.CONCAT(TEXT(SUMIFS(Table1[[AwayWon]:[AwayWon]], Table1[[GameIsOver]:[GameIsOver]],1,Table1[[AwayTeam]:[AwayTeam]],$A13, Table1[[HomeTeam]:[HomeTeam]], C$1) + SUMIFS(Table1[[HomeWon]:[HomeWon]], Table1[[GameIsOver]:[GameIsOver]],1,Table1[[HomeTeam]:[HomeTeam]],$A13, Table1[[AwayTeam]:[AwayTeam]], C$1),0), "-", TEXT(SUMIFS(Table1[[HomeWon]:[HomeWon]], Table1[[GameIsOver]:[GameIsOver]],1,Table1[[AwayTeam]:[AwayTeam]],$A13, Table1[[HomeTeam]:[HomeTeam]], C$1, Table1[[ActualResult]:[ActualResult]], "REG") + SUMIFS(Table1[[AwayWon]:[AwayWon]], Table1[[GameIsOver]:[GameIsOver]],1,Table1[[HomeTeam]:[HomeTeam]],$A13, Table1[[AwayTeam]:[AwayTeam]], C$1, Table1[[ActualResult]:[ActualResult]], "REG"),0), "-", TEXT(SUMIFS(Table1[[HomeWon]:[HomeWon]], Table1[[GameIsOver]:[GameIsOver]],1,Table1[[AwayTeam]:[AwayTeam]],$A13, Table1[[HomeTeam]:[HomeTeam]], C$1, Table1[[ActualResult]:[ActualResult]], "OT") + SUMIFS(Table1[[AwayWon]:[AwayWon]], Table1[[GameIsOver]:[GameIsOver]],1,Table1[[HomeTeam]:[HomeTeam]],$A13, Table1[[AwayTeam]:[AwayTeam]], C$1, Table1[[ActualResult]:[ActualResult]], "OT") + SUMIFS(Table1[[HomeWon]:[HomeWon]], Table1[[GameIsOver]:[GameIsOver]],1,Table1[[AwayTeam]:[AwayTeam]],$A13, Table1[[HomeTeam]:[HomeTeam]], C$1, Table1[[ActualResult]:[ActualResult]], "SO") + SUMIFS(Table1[[AwayWon]:[AwayWon]], Table1[[GameIsOver]:[GameIsOver]],1,Table1[[HomeTeam]:[HomeTeam]],$A13, Table1[[AwayTeam]:[AwayTeam]], C$1, Table1[[ActualResult]:[ActualResult]], "SO"),0))</f>
        <v>0-0-0</v>
      </c>
      <c r="D13" s="43" t="str">
        <f>_xlfn.CONCAT(TEXT(SUMIFS(Table1[[AwayWon]:[AwayWon]], Table1[[GameIsOver]:[GameIsOver]],1,Table1[[AwayTeam]:[AwayTeam]],$A13, Table1[[HomeTeam]:[HomeTeam]], D$1) + SUMIFS(Table1[[HomeWon]:[HomeWon]], Table1[[GameIsOver]:[GameIsOver]],1,Table1[[HomeTeam]:[HomeTeam]],$A13, Table1[[AwayTeam]:[AwayTeam]], D$1),0), "-", TEXT(SUMIFS(Table1[[HomeWon]:[HomeWon]], Table1[[GameIsOver]:[GameIsOver]],1,Table1[[AwayTeam]:[AwayTeam]],$A13, Table1[[HomeTeam]:[HomeTeam]], D$1, Table1[[ActualResult]:[ActualResult]], "REG") + SUMIFS(Table1[[AwayWon]:[AwayWon]], Table1[[GameIsOver]:[GameIsOver]],1,Table1[[HomeTeam]:[HomeTeam]],$A13, Table1[[AwayTeam]:[AwayTeam]], D$1, Table1[[ActualResult]:[ActualResult]], "REG"),0), "-", TEXT(SUMIFS(Table1[[HomeWon]:[HomeWon]], Table1[[GameIsOver]:[GameIsOver]],1,Table1[[AwayTeam]:[AwayTeam]],$A13, Table1[[HomeTeam]:[HomeTeam]], D$1, Table1[[ActualResult]:[ActualResult]], "OT") + SUMIFS(Table1[[AwayWon]:[AwayWon]], Table1[[GameIsOver]:[GameIsOver]],1,Table1[[HomeTeam]:[HomeTeam]],$A13, Table1[[AwayTeam]:[AwayTeam]], D$1, Table1[[ActualResult]:[ActualResult]], "OT") + SUMIFS(Table1[[HomeWon]:[HomeWon]], Table1[[GameIsOver]:[GameIsOver]],1,Table1[[AwayTeam]:[AwayTeam]],$A13, Table1[[HomeTeam]:[HomeTeam]], D$1, Table1[[ActualResult]:[ActualResult]], "SO") + SUMIFS(Table1[[AwayWon]:[AwayWon]], Table1[[GameIsOver]:[GameIsOver]],1,Table1[[HomeTeam]:[HomeTeam]],$A13, Table1[[AwayTeam]:[AwayTeam]], D$1, Table1[[ActualResult]:[ActualResult]], "SO"),0))</f>
        <v>0-0-0</v>
      </c>
      <c r="E13" s="43" t="str">
        <f>_xlfn.CONCAT(TEXT(SUMIFS(Table1[[AwayWon]:[AwayWon]], Table1[[GameIsOver]:[GameIsOver]],1,Table1[[AwayTeam]:[AwayTeam]],$A13, Table1[[HomeTeam]:[HomeTeam]], E$1) + SUMIFS(Table1[[HomeWon]:[HomeWon]], Table1[[GameIsOver]:[GameIsOver]],1,Table1[[HomeTeam]:[HomeTeam]],$A13, Table1[[AwayTeam]:[AwayTeam]], E$1),0), "-", TEXT(SUMIFS(Table1[[HomeWon]:[HomeWon]], Table1[[GameIsOver]:[GameIsOver]],1,Table1[[AwayTeam]:[AwayTeam]],$A13, Table1[[HomeTeam]:[HomeTeam]], E$1, Table1[[ActualResult]:[ActualResult]], "REG") + SUMIFS(Table1[[AwayWon]:[AwayWon]], Table1[[GameIsOver]:[GameIsOver]],1,Table1[[HomeTeam]:[HomeTeam]],$A13, Table1[[AwayTeam]:[AwayTeam]], E$1, Table1[[ActualResult]:[ActualResult]], "REG"),0), "-", TEXT(SUMIFS(Table1[[HomeWon]:[HomeWon]], Table1[[GameIsOver]:[GameIsOver]],1,Table1[[AwayTeam]:[AwayTeam]],$A13, Table1[[HomeTeam]:[HomeTeam]], E$1, Table1[[ActualResult]:[ActualResult]], "OT") + SUMIFS(Table1[[AwayWon]:[AwayWon]], Table1[[GameIsOver]:[GameIsOver]],1,Table1[[HomeTeam]:[HomeTeam]],$A13, Table1[[AwayTeam]:[AwayTeam]], E$1, Table1[[ActualResult]:[ActualResult]], "OT") + SUMIFS(Table1[[HomeWon]:[HomeWon]], Table1[[GameIsOver]:[GameIsOver]],1,Table1[[AwayTeam]:[AwayTeam]],$A13, Table1[[HomeTeam]:[HomeTeam]], E$1, Table1[[ActualResult]:[ActualResult]], "SO") + SUMIFS(Table1[[AwayWon]:[AwayWon]], Table1[[GameIsOver]:[GameIsOver]],1,Table1[[HomeTeam]:[HomeTeam]],$A13, Table1[[AwayTeam]:[AwayTeam]], E$1, Table1[[ActualResult]:[ActualResult]], "SO"),0))</f>
        <v>0-0-0</v>
      </c>
      <c r="F13" s="43" t="str">
        <f>_xlfn.CONCAT(TEXT(SUMIFS(Table1[[AwayWon]:[AwayWon]], Table1[[GameIsOver]:[GameIsOver]],1,Table1[[AwayTeam]:[AwayTeam]],$A13, Table1[[HomeTeam]:[HomeTeam]], F$1) + SUMIFS(Table1[[HomeWon]:[HomeWon]], Table1[[GameIsOver]:[GameIsOver]],1,Table1[[HomeTeam]:[HomeTeam]],$A13, Table1[[AwayTeam]:[AwayTeam]], F$1),0), "-", TEXT(SUMIFS(Table1[[HomeWon]:[HomeWon]], Table1[[GameIsOver]:[GameIsOver]],1,Table1[[AwayTeam]:[AwayTeam]],$A13, Table1[[HomeTeam]:[HomeTeam]], F$1, Table1[[ActualResult]:[ActualResult]], "REG") + SUMIFS(Table1[[AwayWon]:[AwayWon]], Table1[[GameIsOver]:[GameIsOver]],1,Table1[[HomeTeam]:[HomeTeam]],$A13, Table1[[AwayTeam]:[AwayTeam]], F$1, Table1[[ActualResult]:[ActualResult]], "REG"),0), "-", TEXT(SUMIFS(Table1[[HomeWon]:[HomeWon]], Table1[[GameIsOver]:[GameIsOver]],1,Table1[[AwayTeam]:[AwayTeam]],$A13, Table1[[HomeTeam]:[HomeTeam]], F$1, Table1[[ActualResult]:[ActualResult]], "OT") + SUMIFS(Table1[[AwayWon]:[AwayWon]], Table1[[GameIsOver]:[GameIsOver]],1,Table1[[HomeTeam]:[HomeTeam]],$A13, Table1[[AwayTeam]:[AwayTeam]], F$1, Table1[[ActualResult]:[ActualResult]], "OT") + SUMIFS(Table1[[HomeWon]:[HomeWon]], Table1[[GameIsOver]:[GameIsOver]],1,Table1[[AwayTeam]:[AwayTeam]],$A13, Table1[[HomeTeam]:[HomeTeam]], F$1, Table1[[ActualResult]:[ActualResult]], "SO") + SUMIFS(Table1[[AwayWon]:[AwayWon]], Table1[[GameIsOver]:[GameIsOver]],1,Table1[[HomeTeam]:[HomeTeam]],$A13, Table1[[AwayTeam]:[AwayTeam]], F$1, Table1[[ActualResult]:[ActualResult]], "SO"),0))</f>
        <v>0-0-0</v>
      </c>
      <c r="G13" s="43" t="str">
        <f>_xlfn.CONCAT(TEXT(SUMIFS(Table1[[AwayWon]:[AwayWon]], Table1[[GameIsOver]:[GameIsOver]],1,Table1[[AwayTeam]:[AwayTeam]],$A13, Table1[[HomeTeam]:[HomeTeam]], G$1) + SUMIFS(Table1[[HomeWon]:[HomeWon]], Table1[[GameIsOver]:[GameIsOver]],1,Table1[[HomeTeam]:[HomeTeam]],$A13, Table1[[AwayTeam]:[AwayTeam]], G$1),0), "-", TEXT(SUMIFS(Table1[[HomeWon]:[HomeWon]], Table1[[GameIsOver]:[GameIsOver]],1,Table1[[AwayTeam]:[AwayTeam]],$A13, Table1[[HomeTeam]:[HomeTeam]], G$1, Table1[[ActualResult]:[ActualResult]], "REG") + SUMIFS(Table1[[AwayWon]:[AwayWon]], Table1[[GameIsOver]:[GameIsOver]],1,Table1[[HomeTeam]:[HomeTeam]],$A13, Table1[[AwayTeam]:[AwayTeam]], G$1, Table1[[ActualResult]:[ActualResult]], "REG"),0), "-", TEXT(SUMIFS(Table1[[HomeWon]:[HomeWon]], Table1[[GameIsOver]:[GameIsOver]],1,Table1[[AwayTeam]:[AwayTeam]],$A13, Table1[[HomeTeam]:[HomeTeam]], G$1, Table1[[ActualResult]:[ActualResult]], "OT") + SUMIFS(Table1[[AwayWon]:[AwayWon]], Table1[[GameIsOver]:[GameIsOver]],1,Table1[[HomeTeam]:[HomeTeam]],$A13, Table1[[AwayTeam]:[AwayTeam]], G$1, Table1[[ActualResult]:[ActualResult]], "OT") + SUMIFS(Table1[[HomeWon]:[HomeWon]], Table1[[GameIsOver]:[GameIsOver]],1,Table1[[AwayTeam]:[AwayTeam]],$A13, Table1[[HomeTeam]:[HomeTeam]], G$1, Table1[[ActualResult]:[ActualResult]], "SO") + SUMIFS(Table1[[AwayWon]:[AwayWon]], Table1[[GameIsOver]:[GameIsOver]],1,Table1[[HomeTeam]:[HomeTeam]],$A13, Table1[[AwayTeam]:[AwayTeam]], G$1, Table1[[ActualResult]:[ActualResult]], "SO"),0))</f>
        <v>0-0-0</v>
      </c>
      <c r="H13" s="43" t="str">
        <f>_xlfn.CONCAT(TEXT(SUMIFS(Table1[[AwayWon]:[AwayWon]], Table1[[GameIsOver]:[GameIsOver]],1,Table1[[AwayTeam]:[AwayTeam]],$A13, Table1[[HomeTeam]:[HomeTeam]], H$1) + SUMIFS(Table1[[HomeWon]:[HomeWon]], Table1[[GameIsOver]:[GameIsOver]],1,Table1[[HomeTeam]:[HomeTeam]],$A13, Table1[[AwayTeam]:[AwayTeam]], H$1),0), "-", TEXT(SUMIFS(Table1[[HomeWon]:[HomeWon]], Table1[[GameIsOver]:[GameIsOver]],1,Table1[[AwayTeam]:[AwayTeam]],$A13, Table1[[HomeTeam]:[HomeTeam]], H$1, Table1[[ActualResult]:[ActualResult]], "REG") + SUMIFS(Table1[[AwayWon]:[AwayWon]], Table1[[GameIsOver]:[GameIsOver]],1,Table1[[HomeTeam]:[HomeTeam]],$A13, Table1[[AwayTeam]:[AwayTeam]], H$1, Table1[[ActualResult]:[ActualResult]], "REG"),0), "-", TEXT(SUMIFS(Table1[[HomeWon]:[HomeWon]], Table1[[GameIsOver]:[GameIsOver]],1,Table1[[AwayTeam]:[AwayTeam]],$A13, Table1[[HomeTeam]:[HomeTeam]], H$1, Table1[[ActualResult]:[ActualResult]], "OT") + SUMIFS(Table1[[AwayWon]:[AwayWon]], Table1[[GameIsOver]:[GameIsOver]],1,Table1[[HomeTeam]:[HomeTeam]],$A13, Table1[[AwayTeam]:[AwayTeam]], H$1, Table1[[ActualResult]:[ActualResult]], "OT") + SUMIFS(Table1[[HomeWon]:[HomeWon]], Table1[[GameIsOver]:[GameIsOver]],1,Table1[[AwayTeam]:[AwayTeam]],$A13, Table1[[HomeTeam]:[HomeTeam]], H$1, Table1[[ActualResult]:[ActualResult]], "SO") + SUMIFS(Table1[[AwayWon]:[AwayWon]], Table1[[GameIsOver]:[GameIsOver]],1,Table1[[HomeTeam]:[HomeTeam]],$A13, Table1[[AwayTeam]:[AwayTeam]], H$1, Table1[[ActualResult]:[ActualResult]], "SO"),0))</f>
        <v>0-0-0</v>
      </c>
      <c r="I13" s="45" t="str">
        <f>_xlfn.CONCAT(TEXT(SUMIFS(Table1[[AwayWon]:[AwayWon]], Table1[[GameIsOver]:[GameIsOver]],1,Table1[[AwayTeam]:[AwayTeam]],$A13, Table1[[HomeTeam]:[HomeTeam]], I$1) + SUMIFS(Table1[[HomeWon]:[HomeWon]], Table1[[GameIsOver]:[GameIsOver]],1,Table1[[HomeTeam]:[HomeTeam]],$A13, Table1[[AwayTeam]:[AwayTeam]], I$1),0), "-", TEXT(SUMIFS(Table1[[HomeWon]:[HomeWon]], Table1[[GameIsOver]:[GameIsOver]],1,Table1[[AwayTeam]:[AwayTeam]],$A13, Table1[[HomeTeam]:[HomeTeam]], I$1, Table1[[ActualResult]:[ActualResult]], "REG") + SUMIFS(Table1[[AwayWon]:[AwayWon]], Table1[[GameIsOver]:[GameIsOver]],1,Table1[[HomeTeam]:[HomeTeam]],$A13, Table1[[AwayTeam]:[AwayTeam]], I$1, Table1[[ActualResult]:[ActualResult]], "REG"),0), "-", TEXT(SUMIFS(Table1[[HomeWon]:[HomeWon]], Table1[[GameIsOver]:[GameIsOver]],1,Table1[[AwayTeam]:[AwayTeam]],$A13, Table1[[HomeTeam]:[HomeTeam]], I$1, Table1[[ActualResult]:[ActualResult]], "OT") + SUMIFS(Table1[[AwayWon]:[AwayWon]], Table1[[GameIsOver]:[GameIsOver]],1,Table1[[HomeTeam]:[HomeTeam]],$A13, Table1[[AwayTeam]:[AwayTeam]], I$1, Table1[[ActualResult]:[ActualResult]], "OT") + SUMIFS(Table1[[HomeWon]:[HomeWon]], Table1[[GameIsOver]:[GameIsOver]],1,Table1[[AwayTeam]:[AwayTeam]],$A13, Table1[[HomeTeam]:[HomeTeam]], I$1, Table1[[ActualResult]:[ActualResult]], "SO") + SUMIFS(Table1[[AwayWon]:[AwayWon]], Table1[[GameIsOver]:[GameIsOver]],1,Table1[[HomeTeam]:[HomeTeam]],$A13, Table1[[AwayTeam]:[AwayTeam]], I$1, Table1[[ActualResult]:[ActualResult]], "SO"),0))</f>
        <v>0-0-0</v>
      </c>
      <c r="J13" s="43" t="str">
        <f>_xlfn.CONCAT(TEXT(SUMIFS(Table1[[AwayWon]:[AwayWon]], Table1[[GameIsOver]:[GameIsOver]],1,Table1[[AwayTeam]:[AwayTeam]],$A13, Table1[[HomeTeam]:[HomeTeam]], J$1) + SUMIFS(Table1[[HomeWon]:[HomeWon]], Table1[[GameIsOver]:[GameIsOver]],1,Table1[[HomeTeam]:[HomeTeam]],$A13, Table1[[AwayTeam]:[AwayTeam]], J$1),0), "-", TEXT(SUMIFS(Table1[[HomeWon]:[HomeWon]], Table1[[GameIsOver]:[GameIsOver]],1,Table1[[AwayTeam]:[AwayTeam]],$A13, Table1[[HomeTeam]:[HomeTeam]], J$1, Table1[[ActualResult]:[ActualResult]], "REG") + SUMIFS(Table1[[AwayWon]:[AwayWon]], Table1[[GameIsOver]:[GameIsOver]],1,Table1[[HomeTeam]:[HomeTeam]],$A13, Table1[[AwayTeam]:[AwayTeam]], J$1, Table1[[ActualResult]:[ActualResult]], "REG"),0), "-", TEXT(SUMIFS(Table1[[HomeWon]:[HomeWon]], Table1[[GameIsOver]:[GameIsOver]],1,Table1[[AwayTeam]:[AwayTeam]],$A13, Table1[[HomeTeam]:[HomeTeam]], J$1, Table1[[ActualResult]:[ActualResult]], "OT") + SUMIFS(Table1[[AwayWon]:[AwayWon]], Table1[[GameIsOver]:[GameIsOver]],1,Table1[[HomeTeam]:[HomeTeam]],$A13, Table1[[AwayTeam]:[AwayTeam]], J$1, Table1[[ActualResult]:[ActualResult]], "OT") + SUMIFS(Table1[[HomeWon]:[HomeWon]], Table1[[GameIsOver]:[GameIsOver]],1,Table1[[AwayTeam]:[AwayTeam]],$A13, Table1[[HomeTeam]:[HomeTeam]], J$1, Table1[[ActualResult]:[ActualResult]], "SO") + SUMIFS(Table1[[AwayWon]:[AwayWon]], Table1[[GameIsOver]:[GameIsOver]],1,Table1[[HomeTeam]:[HomeTeam]],$A13, Table1[[AwayTeam]:[AwayTeam]], J$1, Table1[[ActualResult]:[ActualResult]], "SO"),0))</f>
        <v>0-0-0</v>
      </c>
      <c r="K13" s="43" t="str">
        <f>_xlfn.CONCAT(TEXT(SUMIFS(Table1[[AwayWon]:[AwayWon]], Table1[[GameIsOver]:[GameIsOver]],1,Table1[[AwayTeam]:[AwayTeam]],$A13, Table1[[HomeTeam]:[HomeTeam]], K$1) + SUMIFS(Table1[[HomeWon]:[HomeWon]], Table1[[GameIsOver]:[GameIsOver]],1,Table1[[HomeTeam]:[HomeTeam]],$A13, Table1[[AwayTeam]:[AwayTeam]], K$1),0), "-", TEXT(SUMIFS(Table1[[HomeWon]:[HomeWon]], Table1[[GameIsOver]:[GameIsOver]],1,Table1[[AwayTeam]:[AwayTeam]],$A13, Table1[[HomeTeam]:[HomeTeam]], K$1, Table1[[ActualResult]:[ActualResult]], "REG") + SUMIFS(Table1[[AwayWon]:[AwayWon]], Table1[[GameIsOver]:[GameIsOver]],1,Table1[[HomeTeam]:[HomeTeam]],$A13, Table1[[AwayTeam]:[AwayTeam]], K$1, Table1[[ActualResult]:[ActualResult]], "REG"),0), "-", TEXT(SUMIFS(Table1[[HomeWon]:[HomeWon]], Table1[[GameIsOver]:[GameIsOver]],1,Table1[[AwayTeam]:[AwayTeam]],$A13, Table1[[HomeTeam]:[HomeTeam]], K$1, Table1[[ActualResult]:[ActualResult]], "OT") + SUMIFS(Table1[[AwayWon]:[AwayWon]], Table1[[GameIsOver]:[GameIsOver]],1,Table1[[HomeTeam]:[HomeTeam]],$A13, Table1[[AwayTeam]:[AwayTeam]], K$1, Table1[[ActualResult]:[ActualResult]], "OT") + SUMIFS(Table1[[HomeWon]:[HomeWon]], Table1[[GameIsOver]:[GameIsOver]],1,Table1[[AwayTeam]:[AwayTeam]],$A13, Table1[[HomeTeam]:[HomeTeam]], K$1, Table1[[ActualResult]:[ActualResult]], "SO") + SUMIFS(Table1[[AwayWon]:[AwayWon]], Table1[[GameIsOver]:[GameIsOver]],1,Table1[[HomeTeam]:[HomeTeam]],$A13, Table1[[AwayTeam]:[AwayTeam]], K$1, Table1[[ActualResult]:[ActualResult]], "SO"),0))</f>
        <v>0-0-0</v>
      </c>
      <c r="L13" s="43" t="str">
        <f>_xlfn.CONCAT(TEXT(SUMIFS(Table1[[AwayWon]:[AwayWon]], Table1[[GameIsOver]:[GameIsOver]],1,Table1[[AwayTeam]:[AwayTeam]],$A13, Table1[[HomeTeam]:[HomeTeam]], L$1) + SUMIFS(Table1[[HomeWon]:[HomeWon]], Table1[[GameIsOver]:[GameIsOver]],1,Table1[[HomeTeam]:[HomeTeam]],$A13, Table1[[AwayTeam]:[AwayTeam]], L$1),0), "-", TEXT(SUMIFS(Table1[[HomeWon]:[HomeWon]], Table1[[GameIsOver]:[GameIsOver]],1,Table1[[AwayTeam]:[AwayTeam]],$A13, Table1[[HomeTeam]:[HomeTeam]], L$1, Table1[[ActualResult]:[ActualResult]], "REG") + SUMIFS(Table1[[AwayWon]:[AwayWon]], Table1[[GameIsOver]:[GameIsOver]],1,Table1[[HomeTeam]:[HomeTeam]],$A13, Table1[[AwayTeam]:[AwayTeam]], L$1, Table1[[ActualResult]:[ActualResult]], "REG"),0), "-", TEXT(SUMIFS(Table1[[HomeWon]:[HomeWon]], Table1[[GameIsOver]:[GameIsOver]],1,Table1[[AwayTeam]:[AwayTeam]],$A13, Table1[[HomeTeam]:[HomeTeam]], L$1, Table1[[ActualResult]:[ActualResult]], "OT") + SUMIFS(Table1[[AwayWon]:[AwayWon]], Table1[[GameIsOver]:[GameIsOver]],1,Table1[[HomeTeam]:[HomeTeam]],$A13, Table1[[AwayTeam]:[AwayTeam]], L$1, Table1[[ActualResult]:[ActualResult]], "OT") + SUMIFS(Table1[[HomeWon]:[HomeWon]], Table1[[GameIsOver]:[GameIsOver]],1,Table1[[AwayTeam]:[AwayTeam]],$A13, Table1[[HomeTeam]:[HomeTeam]], L$1, Table1[[ActualResult]:[ActualResult]], "SO") + SUMIFS(Table1[[AwayWon]:[AwayWon]], Table1[[GameIsOver]:[GameIsOver]],1,Table1[[HomeTeam]:[HomeTeam]],$A13, Table1[[AwayTeam]:[AwayTeam]], L$1, Table1[[ActualResult]:[ActualResult]], "SO"),0))</f>
        <v>0-0-0</v>
      </c>
      <c r="M13" s="43" t="str">
        <f>_xlfn.CONCAT(TEXT(SUMIFS(Table1[[AwayWon]:[AwayWon]], Table1[[GameIsOver]:[GameIsOver]],1,Table1[[AwayTeam]:[AwayTeam]],$A13, Table1[[HomeTeam]:[HomeTeam]], M$1) + SUMIFS(Table1[[HomeWon]:[HomeWon]], Table1[[GameIsOver]:[GameIsOver]],1,Table1[[HomeTeam]:[HomeTeam]],$A13, Table1[[AwayTeam]:[AwayTeam]], M$1),0), "-", TEXT(SUMIFS(Table1[[HomeWon]:[HomeWon]], Table1[[GameIsOver]:[GameIsOver]],1,Table1[[AwayTeam]:[AwayTeam]],$A13, Table1[[HomeTeam]:[HomeTeam]], M$1, Table1[[ActualResult]:[ActualResult]], "REG") + SUMIFS(Table1[[AwayWon]:[AwayWon]], Table1[[GameIsOver]:[GameIsOver]],1,Table1[[HomeTeam]:[HomeTeam]],$A13, Table1[[AwayTeam]:[AwayTeam]], M$1, Table1[[ActualResult]:[ActualResult]], "REG"),0), "-", TEXT(SUMIFS(Table1[[HomeWon]:[HomeWon]], Table1[[GameIsOver]:[GameIsOver]],1,Table1[[AwayTeam]:[AwayTeam]],$A13, Table1[[HomeTeam]:[HomeTeam]], M$1, Table1[[ActualResult]:[ActualResult]], "OT") + SUMIFS(Table1[[AwayWon]:[AwayWon]], Table1[[GameIsOver]:[GameIsOver]],1,Table1[[HomeTeam]:[HomeTeam]],$A13, Table1[[AwayTeam]:[AwayTeam]], M$1, Table1[[ActualResult]:[ActualResult]], "OT") + SUMIFS(Table1[[HomeWon]:[HomeWon]], Table1[[GameIsOver]:[GameIsOver]],1,Table1[[AwayTeam]:[AwayTeam]],$A13, Table1[[HomeTeam]:[HomeTeam]], M$1, Table1[[ActualResult]:[ActualResult]], "SO") + SUMIFS(Table1[[AwayWon]:[AwayWon]], Table1[[GameIsOver]:[GameIsOver]],1,Table1[[HomeTeam]:[HomeTeam]],$A13, Table1[[AwayTeam]:[AwayTeam]], M$1, Table1[[ActualResult]:[ActualResult]], "SO"),0))</f>
        <v>0-0-0</v>
      </c>
      <c r="N13" s="43" t="str">
        <f>_xlfn.CONCAT(TEXT(SUMIFS(Table1[[AwayWon]:[AwayWon]], Table1[[GameIsOver]:[GameIsOver]],1,Table1[[AwayTeam]:[AwayTeam]],$A13, Table1[[HomeTeam]:[HomeTeam]], N$1) + SUMIFS(Table1[[HomeWon]:[HomeWon]], Table1[[GameIsOver]:[GameIsOver]],1,Table1[[HomeTeam]:[HomeTeam]],$A13, Table1[[AwayTeam]:[AwayTeam]], N$1),0), "-", TEXT(SUMIFS(Table1[[HomeWon]:[HomeWon]], Table1[[GameIsOver]:[GameIsOver]],1,Table1[[AwayTeam]:[AwayTeam]],$A13, Table1[[HomeTeam]:[HomeTeam]], N$1, Table1[[ActualResult]:[ActualResult]], "REG") + SUMIFS(Table1[[AwayWon]:[AwayWon]], Table1[[GameIsOver]:[GameIsOver]],1,Table1[[HomeTeam]:[HomeTeam]],$A13, Table1[[AwayTeam]:[AwayTeam]], N$1, Table1[[ActualResult]:[ActualResult]], "REG"),0), "-", TEXT(SUMIFS(Table1[[HomeWon]:[HomeWon]], Table1[[GameIsOver]:[GameIsOver]],1,Table1[[AwayTeam]:[AwayTeam]],$A13, Table1[[HomeTeam]:[HomeTeam]], N$1, Table1[[ActualResult]:[ActualResult]], "OT") + SUMIFS(Table1[[AwayWon]:[AwayWon]], Table1[[GameIsOver]:[GameIsOver]],1,Table1[[HomeTeam]:[HomeTeam]],$A13, Table1[[AwayTeam]:[AwayTeam]], N$1, Table1[[ActualResult]:[ActualResult]], "OT") + SUMIFS(Table1[[HomeWon]:[HomeWon]], Table1[[GameIsOver]:[GameIsOver]],1,Table1[[AwayTeam]:[AwayTeam]],$A13, Table1[[HomeTeam]:[HomeTeam]], N$1, Table1[[ActualResult]:[ActualResult]], "SO") + SUMIFS(Table1[[AwayWon]:[AwayWon]], Table1[[GameIsOver]:[GameIsOver]],1,Table1[[HomeTeam]:[HomeTeam]],$A13, Table1[[AwayTeam]:[AwayTeam]], N$1, Table1[[ActualResult]:[ActualResult]], "SO"),0))</f>
        <v>0-0-1</v>
      </c>
      <c r="O13" s="43" t="str">
        <f>_xlfn.CONCAT(TEXT(SUMIFS(Table1[[AwayWon]:[AwayWon]], Table1[[GameIsOver]:[GameIsOver]],1,Table1[[AwayTeam]:[AwayTeam]],$A13, Table1[[HomeTeam]:[HomeTeam]], O$1) + SUMIFS(Table1[[HomeWon]:[HomeWon]], Table1[[GameIsOver]:[GameIsOver]],1,Table1[[HomeTeam]:[HomeTeam]],$A13, Table1[[AwayTeam]:[AwayTeam]], O$1),0), "-", TEXT(SUMIFS(Table1[[HomeWon]:[HomeWon]], Table1[[GameIsOver]:[GameIsOver]],1,Table1[[AwayTeam]:[AwayTeam]],$A13, Table1[[HomeTeam]:[HomeTeam]], O$1, Table1[[ActualResult]:[ActualResult]], "REG") + SUMIFS(Table1[[AwayWon]:[AwayWon]], Table1[[GameIsOver]:[GameIsOver]],1,Table1[[HomeTeam]:[HomeTeam]],$A13, Table1[[AwayTeam]:[AwayTeam]], O$1, Table1[[ActualResult]:[ActualResult]], "REG"),0), "-", TEXT(SUMIFS(Table1[[HomeWon]:[HomeWon]], Table1[[GameIsOver]:[GameIsOver]],1,Table1[[AwayTeam]:[AwayTeam]],$A13, Table1[[HomeTeam]:[HomeTeam]], O$1, Table1[[ActualResult]:[ActualResult]], "OT") + SUMIFS(Table1[[AwayWon]:[AwayWon]], Table1[[GameIsOver]:[GameIsOver]],1,Table1[[HomeTeam]:[HomeTeam]],$A13, Table1[[AwayTeam]:[AwayTeam]], O$1, Table1[[ActualResult]:[ActualResult]], "OT") + SUMIFS(Table1[[HomeWon]:[HomeWon]], Table1[[GameIsOver]:[GameIsOver]],1,Table1[[AwayTeam]:[AwayTeam]],$A13, Table1[[HomeTeam]:[HomeTeam]], O$1, Table1[[ActualResult]:[ActualResult]], "SO") + SUMIFS(Table1[[AwayWon]:[AwayWon]], Table1[[GameIsOver]:[GameIsOver]],1,Table1[[HomeTeam]:[HomeTeam]],$A13, Table1[[AwayTeam]:[AwayTeam]], O$1, Table1[[ActualResult]:[ActualResult]], "SO"),0))</f>
        <v>0-0-0</v>
      </c>
      <c r="P13" s="43" t="str">
        <f>_xlfn.CONCAT(TEXT(SUMIFS(Table1[[AwayWon]:[AwayWon]], Table1[[GameIsOver]:[GameIsOver]],1,Table1[[AwayTeam]:[AwayTeam]],$A13, Table1[[HomeTeam]:[HomeTeam]], P$1) + SUMIFS(Table1[[HomeWon]:[HomeWon]], Table1[[GameIsOver]:[GameIsOver]],1,Table1[[HomeTeam]:[HomeTeam]],$A13, Table1[[AwayTeam]:[AwayTeam]], P$1),0), "-", TEXT(SUMIFS(Table1[[HomeWon]:[HomeWon]], Table1[[GameIsOver]:[GameIsOver]],1,Table1[[AwayTeam]:[AwayTeam]],$A13, Table1[[HomeTeam]:[HomeTeam]], P$1, Table1[[ActualResult]:[ActualResult]], "REG") + SUMIFS(Table1[[AwayWon]:[AwayWon]], Table1[[GameIsOver]:[GameIsOver]],1,Table1[[HomeTeam]:[HomeTeam]],$A13, Table1[[AwayTeam]:[AwayTeam]], P$1, Table1[[ActualResult]:[ActualResult]], "REG"),0), "-", TEXT(SUMIFS(Table1[[HomeWon]:[HomeWon]], Table1[[GameIsOver]:[GameIsOver]],1,Table1[[AwayTeam]:[AwayTeam]],$A13, Table1[[HomeTeam]:[HomeTeam]], P$1, Table1[[ActualResult]:[ActualResult]], "OT") + SUMIFS(Table1[[AwayWon]:[AwayWon]], Table1[[GameIsOver]:[GameIsOver]],1,Table1[[HomeTeam]:[HomeTeam]],$A13, Table1[[AwayTeam]:[AwayTeam]], P$1, Table1[[ActualResult]:[ActualResult]], "OT") + SUMIFS(Table1[[HomeWon]:[HomeWon]], Table1[[GameIsOver]:[GameIsOver]],1,Table1[[AwayTeam]:[AwayTeam]],$A13, Table1[[HomeTeam]:[HomeTeam]], P$1, Table1[[ActualResult]:[ActualResult]], "SO") + SUMIFS(Table1[[AwayWon]:[AwayWon]], Table1[[GameIsOver]:[GameIsOver]],1,Table1[[HomeTeam]:[HomeTeam]],$A13, Table1[[AwayTeam]:[AwayTeam]], P$1, Table1[[ActualResult]:[ActualResult]], "SO"),0))</f>
        <v>0-0-0</v>
      </c>
      <c r="Q13" s="45" t="str">
        <f>_xlfn.CONCAT(TEXT(SUMIFS(Table1[[AwayWon]:[AwayWon]], Table1[[GameIsOver]:[GameIsOver]],1,Table1[[AwayTeam]:[AwayTeam]],$A13, Table1[[HomeTeam]:[HomeTeam]], Q$1) + SUMIFS(Table1[[HomeWon]:[HomeWon]], Table1[[GameIsOver]:[GameIsOver]],1,Table1[[HomeTeam]:[HomeTeam]],$A13, Table1[[AwayTeam]:[AwayTeam]], Q$1),0), "-", TEXT(SUMIFS(Table1[[HomeWon]:[HomeWon]], Table1[[GameIsOver]:[GameIsOver]],1,Table1[[AwayTeam]:[AwayTeam]],$A13, Table1[[HomeTeam]:[HomeTeam]], Q$1, Table1[[ActualResult]:[ActualResult]], "REG") + SUMIFS(Table1[[AwayWon]:[AwayWon]], Table1[[GameIsOver]:[GameIsOver]],1,Table1[[HomeTeam]:[HomeTeam]],$A13, Table1[[AwayTeam]:[AwayTeam]], Q$1, Table1[[ActualResult]:[ActualResult]], "REG"),0), "-", TEXT(SUMIFS(Table1[[HomeWon]:[HomeWon]], Table1[[GameIsOver]:[GameIsOver]],1,Table1[[AwayTeam]:[AwayTeam]],$A13, Table1[[HomeTeam]:[HomeTeam]], Q$1, Table1[[ActualResult]:[ActualResult]], "OT") + SUMIFS(Table1[[AwayWon]:[AwayWon]], Table1[[GameIsOver]:[GameIsOver]],1,Table1[[HomeTeam]:[HomeTeam]],$A13, Table1[[AwayTeam]:[AwayTeam]], Q$1, Table1[[ActualResult]:[ActualResult]], "OT") + SUMIFS(Table1[[HomeWon]:[HomeWon]], Table1[[GameIsOver]:[GameIsOver]],1,Table1[[AwayTeam]:[AwayTeam]],$A13, Table1[[HomeTeam]:[HomeTeam]], Q$1, Table1[[ActualResult]:[ActualResult]], "SO") + SUMIFS(Table1[[AwayWon]:[AwayWon]], Table1[[GameIsOver]:[GameIsOver]],1,Table1[[HomeTeam]:[HomeTeam]],$A13, Table1[[AwayTeam]:[AwayTeam]], Q$1, Table1[[ActualResult]:[ActualResult]], "SO"),0))</f>
        <v>0-0-0</v>
      </c>
      <c r="R13" s="43" t="str">
        <f>_xlfn.CONCAT(TEXT(SUMIFS(Table1[[AwayWon]:[AwayWon]], Table1[[GameIsOver]:[GameIsOver]],1,Table1[[AwayTeam]:[AwayTeam]],$A13, Table1[[HomeTeam]:[HomeTeam]], R$1) + SUMIFS(Table1[[HomeWon]:[HomeWon]], Table1[[GameIsOver]:[GameIsOver]],1,Table1[[HomeTeam]:[HomeTeam]],$A13, Table1[[AwayTeam]:[AwayTeam]], R$1),0), "-", TEXT(SUMIFS(Table1[[HomeWon]:[HomeWon]], Table1[[GameIsOver]:[GameIsOver]],1,Table1[[AwayTeam]:[AwayTeam]],$A13, Table1[[HomeTeam]:[HomeTeam]], R$1, Table1[[ActualResult]:[ActualResult]], "REG") + SUMIFS(Table1[[AwayWon]:[AwayWon]], Table1[[GameIsOver]:[GameIsOver]],1,Table1[[HomeTeam]:[HomeTeam]],$A13, Table1[[AwayTeam]:[AwayTeam]], R$1, Table1[[ActualResult]:[ActualResult]], "REG"),0), "-", TEXT(SUMIFS(Table1[[HomeWon]:[HomeWon]], Table1[[GameIsOver]:[GameIsOver]],1,Table1[[AwayTeam]:[AwayTeam]],$A13, Table1[[HomeTeam]:[HomeTeam]], R$1, Table1[[ActualResult]:[ActualResult]], "OT") + SUMIFS(Table1[[AwayWon]:[AwayWon]], Table1[[GameIsOver]:[GameIsOver]],1,Table1[[HomeTeam]:[HomeTeam]],$A13, Table1[[AwayTeam]:[AwayTeam]], R$1, Table1[[ActualResult]:[ActualResult]], "OT") + SUMIFS(Table1[[HomeWon]:[HomeWon]], Table1[[GameIsOver]:[GameIsOver]],1,Table1[[AwayTeam]:[AwayTeam]],$A13, Table1[[HomeTeam]:[HomeTeam]], R$1, Table1[[ActualResult]:[ActualResult]], "SO") + SUMIFS(Table1[[AwayWon]:[AwayWon]], Table1[[GameIsOver]:[GameIsOver]],1,Table1[[HomeTeam]:[HomeTeam]],$A13, Table1[[AwayTeam]:[AwayTeam]], R$1, Table1[[ActualResult]:[ActualResult]], "SO"),0))</f>
        <v>0-0-0</v>
      </c>
      <c r="S13" s="43" t="str">
        <f>_xlfn.CONCAT(TEXT(SUMIFS(Table1[[AwayWon]:[AwayWon]], Table1[[GameIsOver]:[GameIsOver]],1,Table1[[AwayTeam]:[AwayTeam]],$A13, Table1[[HomeTeam]:[HomeTeam]], S$1) + SUMIFS(Table1[[HomeWon]:[HomeWon]], Table1[[GameIsOver]:[GameIsOver]],1,Table1[[HomeTeam]:[HomeTeam]],$A13, Table1[[AwayTeam]:[AwayTeam]], S$1),0), "-", TEXT(SUMIFS(Table1[[HomeWon]:[HomeWon]], Table1[[GameIsOver]:[GameIsOver]],1,Table1[[AwayTeam]:[AwayTeam]],$A13, Table1[[HomeTeam]:[HomeTeam]], S$1, Table1[[ActualResult]:[ActualResult]], "REG") + SUMIFS(Table1[[AwayWon]:[AwayWon]], Table1[[GameIsOver]:[GameIsOver]],1,Table1[[HomeTeam]:[HomeTeam]],$A13, Table1[[AwayTeam]:[AwayTeam]], S$1, Table1[[ActualResult]:[ActualResult]], "REG"),0), "-", TEXT(SUMIFS(Table1[[HomeWon]:[HomeWon]], Table1[[GameIsOver]:[GameIsOver]],1,Table1[[AwayTeam]:[AwayTeam]],$A13, Table1[[HomeTeam]:[HomeTeam]], S$1, Table1[[ActualResult]:[ActualResult]], "OT") + SUMIFS(Table1[[AwayWon]:[AwayWon]], Table1[[GameIsOver]:[GameIsOver]],1,Table1[[HomeTeam]:[HomeTeam]],$A13, Table1[[AwayTeam]:[AwayTeam]], S$1, Table1[[ActualResult]:[ActualResult]], "OT") + SUMIFS(Table1[[HomeWon]:[HomeWon]], Table1[[GameIsOver]:[GameIsOver]],1,Table1[[AwayTeam]:[AwayTeam]],$A13, Table1[[HomeTeam]:[HomeTeam]], S$1, Table1[[ActualResult]:[ActualResult]], "SO") + SUMIFS(Table1[[AwayWon]:[AwayWon]], Table1[[GameIsOver]:[GameIsOver]],1,Table1[[HomeTeam]:[HomeTeam]],$A13, Table1[[AwayTeam]:[AwayTeam]], S$1, Table1[[ActualResult]:[ActualResult]], "SO"),0))</f>
        <v>0-0-0</v>
      </c>
      <c r="T13" s="43" t="str">
        <f>_xlfn.CONCAT(TEXT(SUMIFS(Table1[[AwayWon]:[AwayWon]], Table1[[GameIsOver]:[GameIsOver]],1,Table1[[AwayTeam]:[AwayTeam]],$A13, Table1[[HomeTeam]:[HomeTeam]], T$1) + SUMIFS(Table1[[HomeWon]:[HomeWon]], Table1[[GameIsOver]:[GameIsOver]],1,Table1[[HomeTeam]:[HomeTeam]],$A13, Table1[[AwayTeam]:[AwayTeam]], T$1),0), "-", TEXT(SUMIFS(Table1[[HomeWon]:[HomeWon]], Table1[[GameIsOver]:[GameIsOver]],1,Table1[[AwayTeam]:[AwayTeam]],$A13, Table1[[HomeTeam]:[HomeTeam]], T$1, Table1[[ActualResult]:[ActualResult]], "REG") + SUMIFS(Table1[[AwayWon]:[AwayWon]], Table1[[GameIsOver]:[GameIsOver]],1,Table1[[HomeTeam]:[HomeTeam]],$A13, Table1[[AwayTeam]:[AwayTeam]], T$1, Table1[[ActualResult]:[ActualResult]], "REG"),0), "-", TEXT(SUMIFS(Table1[[HomeWon]:[HomeWon]], Table1[[GameIsOver]:[GameIsOver]],1,Table1[[AwayTeam]:[AwayTeam]],$A13, Table1[[HomeTeam]:[HomeTeam]], T$1, Table1[[ActualResult]:[ActualResult]], "OT") + SUMIFS(Table1[[AwayWon]:[AwayWon]], Table1[[GameIsOver]:[GameIsOver]],1,Table1[[HomeTeam]:[HomeTeam]],$A13, Table1[[AwayTeam]:[AwayTeam]], T$1, Table1[[ActualResult]:[ActualResult]], "OT") + SUMIFS(Table1[[HomeWon]:[HomeWon]], Table1[[GameIsOver]:[GameIsOver]],1,Table1[[AwayTeam]:[AwayTeam]],$A13, Table1[[HomeTeam]:[HomeTeam]], T$1, Table1[[ActualResult]:[ActualResult]], "SO") + SUMIFS(Table1[[AwayWon]:[AwayWon]], Table1[[GameIsOver]:[GameIsOver]],1,Table1[[HomeTeam]:[HomeTeam]],$A13, Table1[[AwayTeam]:[AwayTeam]], T$1, Table1[[ActualResult]:[ActualResult]], "SO"),0))</f>
        <v>0-0-0</v>
      </c>
      <c r="U13" s="43" t="str">
        <f>_xlfn.CONCAT(TEXT(SUMIFS(Table1[[AwayWon]:[AwayWon]], Table1[[GameIsOver]:[GameIsOver]],1,Table1[[AwayTeam]:[AwayTeam]],$A13, Table1[[HomeTeam]:[HomeTeam]], U$1) + SUMIFS(Table1[[HomeWon]:[HomeWon]], Table1[[GameIsOver]:[GameIsOver]],1,Table1[[HomeTeam]:[HomeTeam]],$A13, Table1[[AwayTeam]:[AwayTeam]], U$1),0), "-", TEXT(SUMIFS(Table1[[HomeWon]:[HomeWon]], Table1[[GameIsOver]:[GameIsOver]],1,Table1[[AwayTeam]:[AwayTeam]],$A13, Table1[[HomeTeam]:[HomeTeam]], U$1, Table1[[ActualResult]:[ActualResult]], "REG") + SUMIFS(Table1[[AwayWon]:[AwayWon]], Table1[[GameIsOver]:[GameIsOver]],1,Table1[[HomeTeam]:[HomeTeam]],$A13, Table1[[AwayTeam]:[AwayTeam]], U$1, Table1[[ActualResult]:[ActualResult]], "REG"),0), "-", TEXT(SUMIFS(Table1[[HomeWon]:[HomeWon]], Table1[[GameIsOver]:[GameIsOver]],1,Table1[[AwayTeam]:[AwayTeam]],$A13, Table1[[HomeTeam]:[HomeTeam]], U$1, Table1[[ActualResult]:[ActualResult]], "OT") + SUMIFS(Table1[[AwayWon]:[AwayWon]], Table1[[GameIsOver]:[GameIsOver]],1,Table1[[HomeTeam]:[HomeTeam]],$A13, Table1[[AwayTeam]:[AwayTeam]], U$1, Table1[[ActualResult]:[ActualResult]], "OT") + SUMIFS(Table1[[HomeWon]:[HomeWon]], Table1[[GameIsOver]:[GameIsOver]],1,Table1[[AwayTeam]:[AwayTeam]],$A13, Table1[[HomeTeam]:[HomeTeam]], U$1, Table1[[ActualResult]:[ActualResult]], "SO") + SUMIFS(Table1[[AwayWon]:[AwayWon]], Table1[[GameIsOver]:[GameIsOver]],1,Table1[[HomeTeam]:[HomeTeam]],$A13, Table1[[AwayTeam]:[AwayTeam]], U$1, Table1[[ActualResult]:[ActualResult]], "SO"),0))</f>
        <v>0-0-0</v>
      </c>
      <c r="V13" s="43" t="str">
        <f>_xlfn.CONCAT(TEXT(SUMIFS(Table1[[AwayWon]:[AwayWon]], Table1[[GameIsOver]:[GameIsOver]],1,Table1[[AwayTeam]:[AwayTeam]],$A13, Table1[[HomeTeam]:[HomeTeam]], V$1) + SUMIFS(Table1[[HomeWon]:[HomeWon]], Table1[[GameIsOver]:[GameIsOver]],1,Table1[[HomeTeam]:[HomeTeam]],$A13, Table1[[AwayTeam]:[AwayTeam]], V$1),0), "-", TEXT(SUMIFS(Table1[[HomeWon]:[HomeWon]], Table1[[GameIsOver]:[GameIsOver]],1,Table1[[AwayTeam]:[AwayTeam]],$A13, Table1[[HomeTeam]:[HomeTeam]], V$1, Table1[[ActualResult]:[ActualResult]], "REG") + SUMIFS(Table1[[AwayWon]:[AwayWon]], Table1[[GameIsOver]:[GameIsOver]],1,Table1[[HomeTeam]:[HomeTeam]],$A13, Table1[[AwayTeam]:[AwayTeam]], V$1, Table1[[ActualResult]:[ActualResult]], "REG"),0), "-", TEXT(SUMIFS(Table1[[HomeWon]:[HomeWon]], Table1[[GameIsOver]:[GameIsOver]],1,Table1[[AwayTeam]:[AwayTeam]],$A13, Table1[[HomeTeam]:[HomeTeam]], V$1, Table1[[ActualResult]:[ActualResult]], "OT") + SUMIFS(Table1[[AwayWon]:[AwayWon]], Table1[[GameIsOver]:[GameIsOver]],1,Table1[[HomeTeam]:[HomeTeam]],$A13, Table1[[AwayTeam]:[AwayTeam]], V$1, Table1[[ActualResult]:[ActualResult]], "OT") + SUMIFS(Table1[[HomeWon]:[HomeWon]], Table1[[GameIsOver]:[GameIsOver]],1,Table1[[AwayTeam]:[AwayTeam]],$A13, Table1[[HomeTeam]:[HomeTeam]], V$1, Table1[[ActualResult]:[ActualResult]], "SO") + SUMIFS(Table1[[AwayWon]:[AwayWon]], Table1[[GameIsOver]:[GameIsOver]],1,Table1[[HomeTeam]:[HomeTeam]],$A13, Table1[[AwayTeam]:[AwayTeam]], V$1, Table1[[ActualResult]:[ActualResult]], "SO"),0))</f>
        <v>0-0-0</v>
      </c>
      <c r="W13" s="43" t="str">
        <f>_xlfn.CONCAT(TEXT(SUMIFS(Table1[[AwayWon]:[AwayWon]], Table1[[GameIsOver]:[GameIsOver]],1,Table1[[AwayTeam]:[AwayTeam]],$A13, Table1[[HomeTeam]:[HomeTeam]], W$1) + SUMIFS(Table1[[HomeWon]:[HomeWon]], Table1[[GameIsOver]:[GameIsOver]],1,Table1[[HomeTeam]:[HomeTeam]],$A13, Table1[[AwayTeam]:[AwayTeam]], W$1),0), "-", TEXT(SUMIFS(Table1[[HomeWon]:[HomeWon]], Table1[[GameIsOver]:[GameIsOver]],1,Table1[[AwayTeam]:[AwayTeam]],$A13, Table1[[HomeTeam]:[HomeTeam]], W$1, Table1[[ActualResult]:[ActualResult]], "REG") + SUMIFS(Table1[[AwayWon]:[AwayWon]], Table1[[GameIsOver]:[GameIsOver]],1,Table1[[HomeTeam]:[HomeTeam]],$A13, Table1[[AwayTeam]:[AwayTeam]], W$1, Table1[[ActualResult]:[ActualResult]], "REG"),0), "-", TEXT(SUMIFS(Table1[[HomeWon]:[HomeWon]], Table1[[GameIsOver]:[GameIsOver]],1,Table1[[AwayTeam]:[AwayTeam]],$A13, Table1[[HomeTeam]:[HomeTeam]], W$1, Table1[[ActualResult]:[ActualResult]], "OT") + SUMIFS(Table1[[AwayWon]:[AwayWon]], Table1[[GameIsOver]:[GameIsOver]],1,Table1[[HomeTeam]:[HomeTeam]],$A13, Table1[[AwayTeam]:[AwayTeam]], W$1, Table1[[ActualResult]:[ActualResult]], "OT") + SUMIFS(Table1[[HomeWon]:[HomeWon]], Table1[[GameIsOver]:[GameIsOver]],1,Table1[[AwayTeam]:[AwayTeam]],$A13, Table1[[HomeTeam]:[HomeTeam]], W$1, Table1[[ActualResult]:[ActualResult]], "SO") + SUMIFS(Table1[[AwayWon]:[AwayWon]], Table1[[GameIsOver]:[GameIsOver]],1,Table1[[HomeTeam]:[HomeTeam]],$A13, Table1[[AwayTeam]:[AwayTeam]], W$1, Table1[[ActualResult]:[ActualResult]], "SO"),0))</f>
        <v>0-0-0</v>
      </c>
      <c r="X13" s="43" t="str">
        <f>_xlfn.CONCAT(TEXT(SUMIFS(Table1[[AwayWon]:[AwayWon]], Table1[[GameIsOver]:[GameIsOver]],1,Table1[[AwayTeam]:[AwayTeam]],$A13, Table1[[HomeTeam]:[HomeTeam]], X$1) + SUMIFS(Table1[[HomeWon]:[HomeWon]], Table1[[GameIsOver]:[GameIsOver]],1,Table1[[HomeTeam]:[HomeTeam]],$A13, Table1[[AwayTeam]:[AwayTeam]], X$1),0), "-", TEXT(SUMIFS(Table1[[HomeWon]:[HomeWon]], Table1[[GameIsOver]:[GameIsOver]],1,Table1[[AwayTeam]:[AwayTeam]],$A13, Table1[[HomeTeam]:[HomeTeam]], X$1, Table1[[ActualResult]:[ActualResult]], "REG") + SUMIFS(Table1[[AwayWon]:[AwayWon]], Table1[[GameIsOver]:[GameIsOver]],1,Table1[[HomeTeam]:[HomeTeam]],$A13, Table1[[AwayTeam]:[AwayTeam]], X$1, Table1[[ActualResult]:[ActualResult]], "REG"),0), "-", TEXT(SUMIFS(Table1[[HomeWon]:[HomeWon]], Table1[[GameIsOver]:[GameIsOver]],1,Table1[[AwayTeam]:[AwayTeam]],$A13, Table1[[HomeTeam]:[HomeTeam]], X$1, Table1[[ActualResult]:[ActualResult]], "OT") + SUMIFS(Table1[[AwayWon]:[AwayWon]], Table1[[GameIsOver]:[GameIsOver]],1,Table1[[HomeTeam]:[HomeTeam]],$A13, Table1[[AwayTeam]:[AwayTeam]], X$1, Table1[[ActualResult]:[ActualResult]], "OT") + SUMIFS(Table1[[HomeWon]:[HomeWon]], Table1[[GameIsOver]:[GameIsOver]],1,Table1[[AwayTeam]:[AwayTeam]],$A13, Table1[[HomeTeam]:[HomeTeam]], X$1, Table1[[ActualResult]:[ActualResult]], "SO") + SUMIFS(Table1[[AwayWon]:[AwayWon]], Table1[[GameIsOver]:[GameIsOver]],1,Table1[[HomeTeam]:[HomeTeam]],$A13, Table1[[AwayTeam]:[AwayTeam]], X$1, Table1[[ActualResult]:[ActualResult]], "SO"),0))</f>
        <v>0-0-0</v>
      </c>
      <c r="Y13" s="45" t="str">
        <f>_xlfn.CONCAT(TEXT(SUMIFS(Table1[[AwayWon]:[AwayWon]], Table1[[GameIsOver]:[GameIsOver]],1,Table1[[AwayTeam]:[AwayTeam]],$A13, Table1[[HomeTeam]:[HomeTeam]], Y$1) + SUMIFS(Table1[[HomeWon]:[HomeWon]], Table1[[GameIsOver]:[GameIsOver]],1,Table1[[HomeTeam]:[HomeTeam]],$A13, Table1[[AwayTeam]:[AwayTeam]], Y$1),0), "-", TEXT(SUMIFS(Table1[[HomeWon]:[HomeWon]], Table1[[GameIsOver]:[GameIsOver]],1,Table1[[AwayTeam]:[AwayTeam]],$A13, Table1[[HomeTeam]:[HomeTeam]], Y$1, Table1[[ActualResult]:[ActualResult]], "REG") + SUMIFS(Table1[[AwayWon]:[AwayWon]], Table1[[GameIsOver]:[GameIsOver]],1,Table1[[HomeTeam]:[HomeTeam]],$A13, Table1[[AwayTeam]:[AwayTeam]], Y$1, Table1[[ActualResult]:[ActualResult]], "REG"),0), "-", TEXT(SUMIFS(Table1[[HomeWon]:[HomeWon]], Table1[[GameIsOver]:[GameIsOver]],1,Table1[[AwayTeam]:[AwayTeam]],$A13, Table1[[HomeTeam]:[HomeTeam]], Y$1, Table1[[ActualResult]:[ActualResult]], "OT") + SUMIFS(Table1[[AwayWon]:[AwayWon]], Table1[[GameIsOver]:[GameIsOver]],1,Table1[[HomeTeam]:[HomeTeam]],$A13, Table1[[AwayTeam]:[AwayTeam]], Y$1, Table1[[ActualResult]:[ActualResult]], "OT") + SUMIFS(Table1[[HomeWon]:[HomeWon]], Table1[[GameIsOver]:[GameIsOver]],1,Table1[[AwayTeam]:[AwayTeam]],$A13, Table1[[HomeTeam]:[HomeTeam]], Y$1, Table1[[ActualResult]:[ActualResult]], "SO") + SUMIFS(Table1[[AwayWon]:[AwayWon]], Table1[[GameIsOver]:[GameIsOver]],1,Table1[[HomeTeam]:[HomeTeam]],$A13, Table1[[AwayTeam]:[AwayTeam]], Y$1, Table1[[ActualResult]:[ActualResult]], "SO"),0))</f>
        <v>0-0-0</v>
      </c>
      <c r="Z13" s="43" t="str">
        <f>_xlfn.CONCAT(TEXT(SUMIFS(Table1[[AwayWon]:[AwayWon]], Table1[[GameIsOver]:[GameIsOver]],1,Table1[[AwayTeam]:[AwayTeam]],$A13, Table1[[HomeTeam]:[HomeTeam]], Z$1) + SUMIFS(Table1[[HomeWon]:[HomeWon]], Table1[[GameIsOver]:[GameIsOver]],1,Table1[[HomeTeam]:[HomeTeam]],$A13, Table1[[AwayTeam]:[AwayTeam]], Z$1),0), "-", TEXT(SUMIFS(Table1[[HomeWon]:[HomeWon]], Table1[[GameIsOver]:[GameIsOver]],1,Table1[[AwayTeam]:[AwayTeam]],$A13, Table1[[HomeTeam]:[HomeTeam]], Z$1, Table1[[ActualResult]:[ActualResult]], "REG") + SUMIFS(Table1[[AwayWon]:[AwayWon]], Table1[[GameIsOver]:[GameIsOver]],1,Table1[[HomeTeam]:[HomeTeam]],$A13, Table1[[AwayTeam]:[AwayTeam]], Z$1, Table1[[ActualResult]:[ActualResult]], "REG"),0), "-", TEXT(SUMIFS(Table1[[HomeWon]:[HomeWon]], Table1[[GameIsOver]:[GameIsOver]],1,Table1[[AwayTeam]:[AwayTeam]],$A13, Table1[[HomeTeam]:[HomeTeam]], Z$1, Table1[[ActualResult]:[ActualResult]], "OT") + SUMIFS(Table1[[AwayWon]:[AwayWon]], Table1[[GameIsOver]:[GameIsOver]],1,Table1[[HomeTeam]:[HomeTeam]],$A13, Table1[[AwayTeam]:[AwayTeam]], Z$1, Table1[[ActualResult]:[ActualResult]], "OT") + SUMIFS(Table1[[HomeWon]:[HomeWon]], Table1[[GameIsOver]:[GameIsOver]],1,Table1[[AwayTeam]:[AwayTeam]],$A13, Table1[[HomeTeam]:[HomeTeam]], Z$1, Table1[[ActualResult]:[ActualResult]], "SO") + SUMIFS(Table1[[AwayWon]:[AwayWon]], Table1[[GameIsOver]:[GameIsOver]],1,Table1[[HomeTeam]:[HomeTeam]],$A13, Table1[[AwayTeam]:[AwayTeam]], Z$1, Table1[[ActualResult]:[ActualResult]], "SO"),0))</f>
        <v>0-0-0</v>
      </c>
      <c r="AA13" s="43" t="str">
        <f>_xlfn.CONCAT(TEXT(SUMIFS(Table1[[AwayWon]:[AwayWon]], Table1[[GameIsOver]:[GameIsOver]],1,Table1[[AwayTeam]:[AwayTeam]],$A13, Table1[[HomeTeam]:[HomeTeam]], AA$1) + SUMIFS(Table1[[HomeWon]:[HomeWon]], Table1[[GameIsOver]:[GameIsOver]],1,Table1[[HomeTeam]:[HomeTeam]],$A13, Table1[[AwayTeam]:[AwayTeam]], AA$1),0), "-", TEXT(SUMIFS(Table1[[HomeWon]:[HomeWon]], Table1[[GameIsOver]:[GameIsOver]],1,Table1[[AwayTeam]:[AwayTeam]],$A13, Table1[[HomeTeam]:[HomeTeam]], AA$1, Table1[[ActualResult]:[ActualResult]], "REG") + SUMIFS(Table1[[AwayWon]:[AwayWon]], Table1[[GameIsOver]:[GameIsOver]],1,Table1[[HomeTeam]:[HomeTeam]],$A13, Table1[[AwayTeam]:[AwayTeam]], AA$1, Table1[[ActualResult]:[ActualResult]], "REG"),0), "-", TEXT(SUMIFS(Table1[[HomeWon]:[HomeWon]], Table1[[GameIsOver]:[GameIsOver]],1,Table1[[AwayTeam]:[AwayTeam]],$A13, Table1[[HomeTeam]:[HomeTeam]], AA$1, Table1[[ActualResult]:[ActualResult]], "OT") + SUMIFS(Table1[[AwayWon]:[AwayWon]], Table1[[GameIsOver]:[GameIsOver]],1,Table1[[HomeTeam]:[HomeTeam]],$A13, Table1[[AwayTeam]:[AwayTeam]], AA$1, Table1[[ActualResult]:[ActualResult]], "OT") + SUMIFS(Table1[[HomeWon]:[HomeWon]], Table1[[GameIsOver]:[GameIsOver]],1,Table1[[AwayTeam]:[AwayTeam]],$A13, Table1[[HomeTeam]:[HomeTeam]], AA$1, Table1[[ActualResult]:[ActualResult]], "SO") + SUMIFS(Table1[[AwayWon]:[AwayWon]], Table1[[GameIsOver]:[GameIsOver]],1,Table1[[HomeTeam]:[HomeTeam]],$A13, Table1[[AwayTeam]:[AwayTeam]], AA$1, Table1[[ActualResult]:[ActualResult]], "SO"),0))</f>
        <v>0-0-0</v>
      </c>
      <c r="AB13" s="43" t="str">
        <f>_xlfn.CONCAT(TEXT(SUMIFS(Table1[[AwayWon]:[AwayWon]], Table1[[GameIsOver]:[GameIsOver]],1,Table1[[AwayTeam]:[AwayTeam]],$A13, Table1[[HomeTeam]:[HomeTeam]], AB$1) + SUMIFS(Table1[[HomeWon]:[HomeWon]], Table1[[GameIsOver]:[GameIsOver]],1,Table1[[HomeTeam]:[HomeTeam]],$A13, Table1[[AwayTeam]:[AwayTeam]], AB$1),0), "-", TEXT(SUMIFS(Table1[[HomeWon]:[HomeWon]], Table1[[GameIsOver]:[GameIsOver]],1,Table1[[AwayTeam]:[AwayTeam]],$A13, Table1[[HomeTeam]:[HomeTeam]], AB$1, Table1[[ActualResult]:[ActualResult]], "REG") + SUMIFS(Table1[[AwayWon]:[AwayWon]], Table1[[GameIsOver]:[GameIsOver]],1,Table1[[HomeTeam]:[HomeTeam]],$A13, Table1[[AwayTeam]:[AwayTeam]], AB$1, Table1[[ActualResult]:[ActualResult]], "REG"),0), "-", TEXT(SUMIFS(Table1[[HomeWon]:[HomeWon]], Table1[[GameIsOver]:[GameIsOver]],1,Table1[[AwayTeam]:[AwayTeam]],$A13, Table1[[HomeTeam]:[HomeTeam]], AB$1, Table1[[ActualResult]:[ActualResult]], "OT") + SUMIFS(Table1[[AwayWon]:[AwayWon]], Table1[[GameIsOver]:[GameIsOver]],1,Table1[[HomeTeam]:[HomeTeam]],$A13, Table1[[AwayTeam]:[AwayTeam]], AB$1, Table1[[ActualResult]:[ActualResult]], "OT") + SUMIFS(Table1[[HomeWon]:[HomeWon]], Table1[[GameIsOver]:[GameIsOver]],1,Table1[[AwayTeam]:[AwayTeam]],$A13, Table1[[HomeTeam]:[HomeTeam]], AB$1, Table1[[ActualResult]:[ActualResult]], "SO") + SUMIFS(Table1[[AwayWon]:[AwayWon]], Table1[[GameIsOver]:[GameIsOver]],1,Table1[[HomeTeam]:[HomeTeam]],$A13, Table1[[AwayTeam]:[AwayTeam]], AB$1, Table1[[ActualResult]:[ActualResult]], "SO"),0))</f>
        <v>0-0-0</v>
      </c>
      <c r="AC13" s="43" t="str">
        <f>_xlfn.CONCAT(TEXT(SUMIFS(Table1[[AwayWon]:[AwayWon]], Table1[[GameIsOver]:[GameIsOver]],1,Table1[[AwayTeam]:[AwayTeam]],$A13, Table1[[HomeTeam]:[HomeTeam]], AC$1) + SUMIFS(Table1[[HomeWon]:[HomeWon]], Table1[[GameIsOver]:[GameIsOver]],1,Table1[[HomeTeam]:[HomeTeam]],$A13, Table1[[AwayTeam]:[AwayTeam]], AC$1),0), "-", TEXT(SUMIFS(Table1[[HomeWon]:[HomeWon]], Table1[[GameIsOver]:[GameIsOver]],1,Table1[[AwayTeam]:[AwayTeam]],$A13, Table1[[HomeTeam]:[HomeTeam]], AC$1, Table1[[ActualResult]:[ActualResult]], "REG") + SUMIFS(Table1[[AwayWon]:[AwayWon]], Table1[[GameIsOver]:[GameIsOver]],1,Table1[[HomeTeam]:[HomeTeam]],$A13, Table1[[AwayTeam]:[AwayTeam]], AC$1, Table1[[ActualResult]:[ActualResult]], "REG"),0), "-", TEXT(SUMIFS(Table1[[HomeWon]:[HomeWon]], Table1[[GameIsOver]:[GameIsOver]],1,Table1[[AwayTeam]:[AwayTeam]],$A13, Table1[[HomeTeam]:[HomeTeam]], AC$1, Table1[[ActualResult]:[ActualResult]], "OT") + SUMIFS(Table1[[AwayWon]:[AwayWon]], Table1[[GameIsOver]:[GameIsOver]],1,Table1[[HomeTeam]:[HomeTeam]],$A13, Table1[[AwayTeam]:[AwayTeam]], AC$1, Table1[[ActualResult]:[ActualResult]], "OT") + SUMIFS(Table1[[HomeWon]:[HomeWon]], Table1[[GameIsOver]:[GameIsOver]],1,Table1[[AwayTeam]:[AwayTeam]],$A13, Table1[[HomeTeam]:[HomeTeam]], AC$1, Table1[[ActualResult]:[ActualResult]], "SO") + SUMIFS(Table1[[AwayWon]:[AwayWon]], Table1[[GameIsOver]:[GameIsOver]],1,Table1[[HomeTeam]:[HomeTeam]],$A13, Table1[[AwayTeam]:[AwayTeam]], AC$1, Table1[[ActualResult]:[ActualResult]], "SO"),0))</f>
        <v>0-0-0</v>
      </c>
      <c r="AD13" s="43" t="str">
        <f>_xlfn.CONCAT(TEXT(SUMIFS(Table1[[AwayWon]:[AwayWon]], Table1[[GameIsOver]:[GameIsOver]],1,Table1[[AwayTeam]:[AwayTeam]],$A13, Table1[[HomeTeam]:[HomeTeam]], AD$1) + SUMIFS(Table1[[HomeWon]:[HomeWon]], Table1[[GameIsOver]:[GameIsOver]],1,Table1[[HomeTeam]:[HomeTeam]],$A13, Table1[[AwayTeam]:[AwayTeam]], AD$1),0), "-", TEXT(SUMIFS(Table1[[HomeWon]:[HomeWon]], Table1[[GameIsOver]:[GameIsOver]],1,Table1[[AwayTeam]:[AwayTeam]],$A13, Table1[[HomeTeam]:[HomeTeam]], AD$1, Table1[[ActualResult]:[ActualResult]], "REG") + SUMIFS(Table1[[AwayWon]:[AwayWon]], Table1[[GameIsOver]:[GameIsOver]],1,Table1[[HomeTeam]:[HomeTeam]],$A13, Table1[[AwayTeam]:[AwayTeam]], AD$1, Table1[[ActualResult]:[ActualResult]], "REG"),0), "-", TEXT(SUMIFS(Table1[[HomeWon]:[HomeWon]], Table1[[GameIsOver]:[GameIsOver]],1,Table1[[AwayTeam]:[AwayTeam]],$A13, Table1[[HomeTeam]:[HomeTeam]], AD$1, Table1[[ActualResult]:[ActualResult]], "OT") + SUMIFS(Table1[[AwayWon]:[AwayWon]], Table1[[GameIsOver]:[GameIsOver]],1,Table1[[HomeTeam]:[HomeTeam]],$A13, Table1[[AwayTeam]:[AwayTeam]], AD$1, Table1[[ActualResult]:[ActualResult]], "OT") + SUMIFS(Table1[[HomeWon]:[HomeWon]], Table1[[GameIsOver]:[GameIsOver]],1,Table1[[AwayTeam]:[AwayTeam]],$A13, Table1[[HomeTeam]:[HomeTeam]], AD$1, Table1[[ActualResult]:[ActualResult]], "SO") + SUMIFS(Table1[[AwayWon]:[AwayWon]], Table1[[GameIsOver]:[GameIsOver]],1,Table1[[HomeTeam]:[HomeTeam]],$A13, Table1[[AwayTeam]:[AwayTeam]], AD$1, Table1[[ActualResult]:[ActualResult]], "SO"),0))</f>
        <v>0-0-0</v>
      </c>
      <c r="AE13" s="43" t="str">
        <f>_xlfn.CONCAT(TEXT(SUMIFS(Table1[[AwayWon]:[AwayWon]], Table1[[GameIsOver]:[GameIsOver]],1,Table1[[AwayTeam]:[AwayTeam]],$A13, Table1[[HomeTeam]:[HomeTeam]], AE$1) + SUMIFS(Table1[[HomeWon]:[HomeWon]], Table1[[GameIsOver]:[GameIsOver]],1,Table1[[HomeTeam]:[HomeTeam]],$A13, Table1[[AwayTeam]:[AwayTeam]], AE$1),0), "-", TEXT(SUMIFS(Table1[[HomeWon]:[HomeWon]], Table1[[GameIsOver]:[GameIsOver]],1,Table1[[AwayTeam]:[AwayTeam]],$A13, Table1[[HomeTeam]:[HomeTeam]], AE$1, Table1[[ActualResult]:[ActualResult]], "REG") + SUMIFS(Table1[[AwayWon]:[AwayWon]], Table1[[GameIsOver]:[GameIsOver]],1,Table1[[HomeTeam]:[HomeTeam]],$A13, Table1[[AwayTeam]:[AwayTeam]], AE$1, Table1[[ActualResult]:[ActualResult]], "REG"),0), "-", TEXT(SUMIFS(Table1[[HomeWon]:[HomeWon]], Table1[[GameIsOver]:[GameIsOver]],1,Table1[[AwayTeam]:[AwayTeam]],$A13, Table1[[HomeTeam]:[HomeTeam]], AE$1, Table1[[ActualResult]:[ActualResult]], "OT") + SUMIFS(Table1[[AwayWon]:[AwayWon]], Table1[[GameIsOver]:[GameIsOver]],1,Table1[[HomeTeam]:[HomeTeam]],$A13, Table1[[AwayTeam]:[AwayTeam]], AE$1, Table1[[ActualResult]:[ActualResult]], "OT") + SUMIFS(Table1[[HomeWon]:[HomeWon]], Table1[[GameIsOver]:[GameIsOver]],1,Table1[[AwayTeam]:[AwayTeam]],$A13, Table1[[HomeTeam]:[HomeTeam]], AE$1, Table1[[ActualResult]:[ActualResult]], "SO") + SUMIFS(Table1[[AwayWon]:[AwayWon]], Table1[[GameIsOver]:[GameIsOver]],1,Table1[[HomeTeam]:[HomeTeam]],$A13, Table1[[AwayTeam]:[AwayTeam]], AE$1, Table1[[ActualResult]:[ActualResult]], "SO"),0))</f>
        <v>0-0-0</v>
      </c>
      <c r="AF13" s="43" t="str">
        <f>_xlfn.CONCAT(TEXT(SUMIFS(Table1[[AwayWon]:[AwayWon]], Table1[[GameIsOver]:[GameIsOver]],1,Table1[[AwayTeam]:[AwayTeam]],$A13, Table1[[HomeTeam]:[HomeTeam]], AF$1) + SUMIFS(Table1[[HomeWon]:[HomeWon]], Table1[[GameIsOver]:[GameIsOver]],1,Table1[[HomeTeam]:[HomeTeam]],$A13, Table1[[AwayTeam]:[AwayTeam]], AF$1),0), "-", TEXT(SUMIFS(Table1[[HomeWon]:[HomeWon]], Table1[[GameIsOver]:[GameIsOver]],1,Table1[[AwayTeam]:[AwayTeam]],$A13, Table1[[HomeTeam]:[HomeTeam]], AF$1, Table1[[ActualResult]:[ActualResult]], "REG") + SUMIFS(Table1[[AwayWon]:[AwayWon]], Table1[[GameIsOver]:[GameIsOver]],1,Table1[[HomeTeam]:[HomeTeam]],$A13, Table1[[AwayTeam]:[AwayTeam]], AF$1, Table1[[ActualResult]:[ActualResult]], "REG"),0), "-", TEXT(SUMIFS(Table1[[HomeWon]:[HomeWon]], Table1[[GameIsOver]:[GameIsOver]],1,Table1[[AwayTeam]:[AwayTeam]],$A13, Table1[[HomeTeam]:[HomeTeam]], AF$1, Table1[[ActualResult]:[ActualResult]], "OT") + SUMIFS(Table1[[AwayWon]:[AwayWon]], Table1[[GameIsOver]:[GameIsOver]],1,Table1[[HomeTeam]:[HomeTeam]],$A13, Table1[[AwayTeam]:[AwayTeam]], AF$1, Table1[[ActualResult]:[ActualResult]], "OT") + SUMIFS(Table1[[HomeWon]:[HomeWon]], Table1[[GameIsOver]:[GameIsOver]],1,Table1[[AwayTeam]:[AwayTeam]],$A13, Table1[[HomeTeam]:[HomeTeam]], AF$1, Table1[[ActualResult]:[ActualResult]], "SO") + SUMIFS(Table1[[AwayWon]:[AwayWon]], Table1[[GameIsOver]:[GameIsOver]],1,Table1[[HomeTeam]:[HomeTeam]],$A13, Table1[[AwayTeam]:[AwayTeam]], AF$1, Table1[[ActualResult]:[ActualResult]], "SO"),0))</f>
        <v>0-0-0</v>
      </c>
      <c r="AG13" s="43" t="str">
        <f>_xlfn.CONCAT(TEXT(SUMIFS(Table1[[AwayWon]:[AwayWon]], Table1[[GameIsOver]:[GameIsOver]],1,Table1[[AwayTeam]:[AwayTeam]],$A13, Table1[[HomeTeam]:[HomeTeam]], AG$1) + SUMIFS(Table1[[HomeWon]:[HomeWon]], Table1[[GameIsOver]:[GameIsOver]],1,Table1[[HomeTeam]:[HomeTeam]],$A13, Table1[[AwayTeam]:[AwayTeam]], AG$1),0), "-", TEXT(SUMIFS(Table1[[HomeWon]:[HomeWon]], Table1[[GameIsOver]:[GameIsOver]],1,Table1[[AwayTeam]:[AwayTeam]],$A13, Table1[[HomeTeam]:[HomeTeam]], AG$1, Table1[[ActualResult]:[ActualResult]], "REG") + SUMIFS(Table1[[AwayWon]:[AwayWon]], Table1[[GameIsOver]:[GameIsOver]],1,Table1[[HomeTeam]:[HomeTeam]],$A13, Table1[[AwayTeam]:[AwayTeam]], AG$1, Table1[[ActualResult]:[ActualResult]], "REG"),0), "-", TEXT(SUMIFS(Table1[[HomeWon]:[HomeWon]], Table1[[GameIsOver]:[GameIsOver]],1,Table1[[AwayTeam]:[AwayTeam]],$A13, Table1[[HomeTeam]:[HomeTeam]], AG$1, Table1[[ActualResult]:[ActualResult]], "OT") + SUMIFS(Table1[[AwayWon]:[AwayWon]], Table1[[GameIsOver]:[GameIsOver]],1,Table1[[HomeTeam]:[HomeTeam]],$A13, Table1[[AwayTeam]:[AwayTeam]], AG$1, Table1[[ActualResult]:[ActualResult]], "OT") + SUMIFS(Table1[[HomeWon]:[HomeWon]], Table1[[GameIsOver]:[GameIsOver]],1,Table1[[AwayTeam]:[AwayTeam]],$A13, Table1[[HomeTeam]:[HomeTeam]], AG$1, Table1[[ActualResult]:[ActualResult]], "SO") + SUMIFS(Table1[[AwayWon]:[AwayWon]], Table1[[GameIsOver]:[GameIsOver]],1,Table1[[HomeTeam]:[HomeTeam]],$A13, Table1[[AwayTeam]:[AwayTeam]], AG$1, Table1[[ActualResult]:[ActualResult]], "SO"),0))</f>
        <v>0-0-0</v>
      </c>
    </row>
    <row r="14" spans="1:33" x14ac:dyDescent="0.25">
      <c r="A14" s="17" t="s">
        <v>48</v>
      </c>
      <c r="B14" s="43" t="str">
        <f>_xlfn.CONCAT(TEXT(SUMIFS(Table1[[AwayWon]:[AwayWon]], Table1[[GameIsOver]:[GameIsOver]],1,Table1[[AwayTeam]:[AwayTeam]],$A14, Table1[[HomeTeam]:[HomeTeam]], B$1) + SUMIFS(Table1[[HomeWon]:[HomeWon]], Table1[[GameIsOver]:[GameIsOver]],1,Table1[[HomeTeam]:[HomeTeam]],$A14, Table1[[AwayTeam]:[AwayTeam]], B$1),0), "-", TEXT(SUMIFS(Table1[[HomeWon]:[HomeWon]], Table1[[GameIsOver]:[GameIsOver]],1,Table1[[AwayTeam]:[AwayTeam]],$A14, Table1[[HomeTeam]:[HomeTeam]], B$1, Table1[[ActualResult]:[ActualResult]], "REG") + SUMIFS(Table1[[AwayWon]:[AwayWon]], Table1[[GameIsOver]:[GameIsOver]],1,Table1[[HomeTeam]:[HomeTeam]],$A14, Table1[[AwayTeam]:[AwayTeam]], B$1, Table1[[ActualResult]:[ActualResult]], "REG"),0), "-", TEXT(SUMIFS(Table1[[HomeWon]:[HomeWon]], Table1[[GameIsOver]:[GameIsOver]],1,Table1[[AwayTeam]:[AwayTeam]],$A14, Table1[[HomeTeam]:[HomeTeam]], B$1, Table1[[ActualResult]:[ActualResult]], "OT") + SUMIFS(Table1[[AwayWon]:[AwayWon]], Table1[[GameIsOver]:[GameIsOver]],1,Table1[[HomeTeam]:[HomeTeam]],$A14, Table1[[AwayTeam]:[AwayTeam]], B$1, Table1[[ActualResult]:[ActualResult]], "OT") + SUMIFS(Table1[[HomeWon]:[HomeWon]], Table1[[GameIsOver]:[GameIsOver]],1,Table1[[AwayTeam]:[AwayTeam]],$A14, Table1[[HomeTeam]:[HomeTeam]], B$1, Table1[[ActualResult]:[ActualResult]], "SO") + SUMIFS(Table1[[AwayWon]:[AwayWon]], Table1[[GameIsOver]:[GameIsOver]],1,Table1[[HomeTeam]:[HomeTeam]],$A14, Table1[[AwayTeam]:[AwayTeam]], B$1, Table1[[ActualResult]:[ActualResult]], "SO"),0))</f>
        <v>0-0-0</v>
      </c>
      <c r="C14" s="43" t="str">
        <f>_xlfn.CONCAT(TEXT(SUMIFS(Table1[[AwayWon]:[AwayWon]], Table1[[GameIsOver]:[GameIsOver]],1,Table1[[AwayTeam]:[AwayTeam]],$A14, Table1[[HomeTeam]:[HomeTeam]], C$1) + SUMIFS(Table1[[HomeWon]:[HomeWon]], Table1[[GameIsOver]:[GameIsOver]],1,Table1[[HomeTeam]:[HomeTeam]],$A14, Table1[[AwayTeam]:[AwayTeam]], C$1),0), "-", TEXT(SUMIFS(Table1[[HomeWon]:[HomeWon]], Table1[[GameIsOver]:[GameIsOver]],1,Table1[[AwayTeam]:[AwayTeam]],$A14, Table1[[HomeTeam]:[HomeTeam]], C$1, Table1[[ActualResult]:[ActualResult]], "REG") + SUMIFS(Table1[[AwayWon]:[AwayWon]], Table1[[GameIsOver]:[GameIsOver]],1,Table1[[HomeTeam]:[HomeTeam]],$A14, Table1[[AwayTeam]:[AwayTeam]], C$1, Table1[[ActualResult]:[ActualResult]], "REG"),0), "-", TEXT(SUMIFS(Table1[[HomeWon]:[HomeWon]], Table1[[GameIsOver]:[GameIsOver]],1,Table1[[AwayTeam]:[AwayTeam]],$A14, Table1[[HomeTeam]:[HomeTeam]], C$1, Table1[[ActualResult]:[ActualResult]], "OT") + SUMIFS(Table1[[AwayWon]:[AwayWon]], Table1[[GameIsOver]:[GameIsOver]],1,Table1[[HomeTeam]:[HomeTeam]],$A14, Table1[[AwayTeam]:[AwayTeam]], C$1, Table1[[ActualResult]:[ActualResult]], "OT") + SUMIFS(Table1[[HomeWon]:[HomeWon]], Table1[[GameIsOver]:[GameIsOver]],1,Table1[[AwayTeam]:[AwayTeam]],$A14, Table1[[HomeTeam]:[HomeTeam]], C$1, Table1[[ActualResult]:[ActualResult]], "SO") + SUMIFS(Table1[[AwayWon]:[AwayWon]], Table1[[GameIsOver]:[GameIsOver]],1,Table1[[HomeTeam]:[HomeTeam]],$A14, Table1[[AwayTeam]:[AwayTeam]], C$1, Table1[[ActualResult]:[ActualResult]], "SO"),0))</f>
        <v>0-0-0</v>
      </c>
      <c r="D14" s="43" t="str">
        <f>_xlfn.CONCAT(TEXT(SUMIFS(Table1[[AwayWon]:[AwayWon]], Table1[[GameIsOver]:[GameIsOver]],1,Table1[[AwayTeam]:[AwayTeam]],$A14, Table1[[HomeTeam]:[HomeTeam]], D$1) + SUMIFS(Table1[[HomeWon]:[HomeWon]], Table1[[GameIsOver]:[GameIsOver]],1,Table1[[HomeTeam]:[HomeTeam]],$A14, Table1[[AwayTeam]:[AwayTeam]], D$1),0), "-", TEXT(SUMIFS(Table1[[HomeWon]:[HomeWon]], Table1[[GameIsOver]:[GameIsOver]],1,Table1[[AwayTeam]:[AwayTeam]],$A14, Table1[[HomeTeam]:[HomeTeam]], D$1, Table1[[ActualResult]:[ActualResult]], "REG") + SUMIFS(Table1[[AwayWon]:[AwayWon]], Table1[[GameIsOver]:[GameIsOver]],1,Table1[[HomeTeam]:[HomeTeam]],$A14, Table1[[AwayTeam]:[AwayTeam]], D$1, Table1[[ActualResult]:[ActualResult]], "REG"),0), "-", TEXT(SUMIFS(Table1[[HomeWon]:[HomeWon]], Table1[[GameIsOver]:[GameIsOver]],1,Table1[[AwayTeam]:[AwayTeam]],$A14, Table1[[HomeTeam]:[HomeTeam]], D$1, Table1[[ActualResult]:[ActualResult]], "OT") + SUMIFS(Table1[[AwayWon]:[AwayWon]], Table1[[GameIsOver]:[GameIsOver]],1,Table1[[HomeTeam]:[HomeTeam]],$A14, Table1[[AwayTeam]:[AwayTeam]], D$1, Table1[[ActualResult]:[ActualResult]], "OT") + SUMIFS(Table1[[HomeWon]:[HomeWon]], Table1[[GameIsOver]:[GameIsOver]],1,Table1[[AwayTeam]:[AwayTeam]],$A14, Table1[[HomeTeam]:[HomeTeam]], D$1, Table1[[ActualResult]:[ActualResult]], "SO") + SUMIFS(Table1[[AwayWon]:[AwayWon]], Table1[[GameIsOver]:[GameIsOver]],1,Table1[[HomeTeam]:[HomeTeam]],$A14, Table1[[AwayTeam]:[AwayTeam]], D$1, Table1[[ActualResult]:[ActualResult]], "SO"),0))</f>
        <v>0-0-0</v>
      </c>
      <c r="E14" s="43" t="str">
        <f>_xlfn.CONCAT(TEXT(SUMIFS(Table1[[AwayWon]:[AwayWon]], Table1[[GameIsOver]:[GameIsOver]],1,Table1[[AwayTeam]:[AwayTeam]],$A14, Table1[[HomeTeam]:[HomeTeam]], E$1) + SUMIFS(Table1[[HomeWon]:[HomeWon]], Table1[[GameIsOver]:[GameIsOver]],1,Table1[[HomeTeam]:[HomeTeam]],$A14, Table1[[AwayTeam]:[AwayTeam]], E$1),0), "-", TEXT(SUMIFS(Table1[[HomeWon]:[HomeWon]], Table1[[GameIsOver]:[GameIsOver]],1,Table1[[AwayTeam]:[AwayTeam]],$A14, Table1[[HomeTeam]:[HomeTeam]], E$1, Table1[[ActualResult]:[ActualResult]], "REG") + SUMIFS(Table1[[AwayWon]:[AwayWon]], Table1[[GameIsOver]:[GameIsOver]],1,Table1[[HomeTeam]:[HomeTeam]],$A14, Table1[[AwayTeam]:[AwayTeam]], E$1, Table1[[ActualResult]:[ActualResult]], "REG"),0), "-", TEXT(SUMIFS(Table1[[HomeWon]:[HomeWon]], Table1[[GameIsOver]:[GameIsOver]],1,Table1[[AwayTeam]:[AwayTeam]],$A14, Table1[[HomeTeam]:[HomeTeam]], E$1, Table1[[ActualResult]:[ActualResult]], "OT") + SUMIFS(Table1[[AwayWon]:[AwayWon]], Table1[[GameIsOver]:[GameIsOver]],1,Table1[[HomeTeam]:[HomeTeam]],$A14, Table1[[AwayTeam]:[AwayTeam]], E$1, Table1[[ActualResult]:[ActualResult]], "OT") + SUMIFS(Table1[[HomeWon]:[HomeWon]], Table1[[GameIsOver]:[GameIsOver]],1,Table1[[AwayTeam]:[AwayTeam]],$A14, Table1[[HomeTeam]:[HomeTeam]], E$1, Table1[[ActualResult]:[ActualResult]], "SO") + SUMIFS(Table1[[AwayWon]:[AwayWon]], Table1[[GameIsOver]:[GameIsOver]],1,Table1[[HomeTeam]:[HomeTeam]],$A14, Table1[[AwayTeam]:[AwayTeam]], E$1, Table1[[ActualResult]:[ActualResult]], "SO"),0))</f>
        <v>0-0-0</v>
      </c>
      <c r="F14" s="43" t="str">
        <f>_xlfn.CONCAT(TEXT(SUMIFS(Table1[[AwayWon]:[AwayWon]], Table1[[GameIsOver]:[GameIsOver]],1,Table1[[AwayTeam]:[AwayTeam]],$A14, Table1[[HomeTeam]:[HomeTeam]], F$1) + SUMIFS(Table1[[HomeWon]:[HomeWon]], Table1[[GameIsOver]:[GameIsOver]],1,Table1[[HomeTeam]:[HomeTeam]],$A14, Table1[[AwayTeam]:[AwayTeam]], F$1),0), "-", TEXT(SUMIFS(Table1[[HomeWon]:[HomeWon]], Table1[[GameIsOver]:[GameIsOver]],1,Table1[[AwayTeam]:[AwayTeam]],$A14, Table1[[HomeTeam]:[HomeTeam]], F$1, Table1[[ActualResult]:[ActualResult]], "REG") + SUMIFS(Table1[[AwayWon]:[AwayWon]], Table1[[GameIsOver]:[GameIsOver]],1,Table1[[HomeTeam]:[HomeTeam]],$A14, Table1[[AwayTeam]:[AwayTeam]], F$1, Table1[[ActualResult]:[ActualResult]], "REG"),0), "-", TEXT(SUMIFS(Table1[[HomeWon]:[HomeWon]], Table1[[GameIsOver]:[GameIsOver]],1,Table1[[AwayTeam]:[AwayTeam]],$A14, Table1[[HomeTeam]:[HomeTeam]], F$1, Table1[[ActualResult]:[ActualResult]], "OT") + SUMIFS(Table1[[AwayWon]:[AwayWon]], Table1[[GameIsOver]:[GameIsOver]],1,Table1[[HomeTeam]:[HomeTeam]],$A14, Table1[[AwayTeam]:[AwayTeam]], F$1, Table1[[ActualResult]:[ActualResult]], "OT") + SUMIFS(Table1[[HomeWon]:[HomeWon]], Table1[[GameIsOver]:[GameIsOver]],1,Table1[[AwayTeam]:[AwayTeam]],$A14, Table1[[HomeTeam]:[HomeTeam]], F$1, Table1[[ActualResult]:[ActualResult]], "SO") + SUMIFS(Table1[[AwayWon]:[AwayWon]], Table1[[GameIsOver]:[GameIsOver]],1,Table1[[HomeTeam]:[HomeTeam]],$A14, Table1[[AwayTeam]:[AwayTeam]], F$1, Table1[[ActualResult]:[ActualResult]], "SO"),0))</f>
        <v>0-0-0</v>
      </c>
      <c r="G14" s="43" t="str">
        <f>_xlfn.CONCAT(TEXT(SUMIFS(Table1[[AwayWon]:[AwayWon]], Table1[[GameIsOver]:[GameIsOver]],1,Table1[[AwayTeam]:[AwayTeam]],$A14, Table1[[HomeTeam]:[HomeTeam]], G$1) + SUMIFS(Table1[[HomeWon]:[HomeWon]], Table1[[GameIsOver]:[GameIsOver]],1,Table1[[HomeTeam]:[HomeTeam]],$A14, Table1[[AwayTeam]:[AwayTeam]], G$1),0), "-", TEXT(SUMIFS(Table1[[HomeWon]:[HomeWon]], Table1[[GameIsOver]:[GameIsOver]],1,Table1[[AwayTeam]:[AwayTeam]],$A14, Table1[[HomeTeam]:[HomeTeam]], G$1, Table1[[ActualResult]:[ActualResult]], "REG") + SUMIFS(Table1[[AwayWon]:[AwayWon]], Table1[[GameIsOver]:[GameIsOver]],1,Table1[[HomeTeam]:[HomeTeam]],$A14, Table1[[AwayTeam]:[AwayTeam]], G$1, Table1[[ActualResult]:[ActualResult]], "REG"),0), "-", TEXT(SUMIFS(Table1[[HomeWon]:[HomeWon]], Table1[[GameIsOver]:[GameIsOver]],1,Table1[[AwayTeam]:[AwayTeam]],$A14, Table1[[HomeTeam]:[HomeTeam]], G$1, Table1[[ActualResult]:[ActualResult]], "OT") + SUMIFS(Table1[[AwayWon]:[AwayWon]], Table1[[GameIsOver]:[GameIsOver]],1,Table1[[HomeTeam]:[HomeTeam]],$A14, Table1[[AwayTeam]:[AwayTeam]], G$1, Table1[[ActualResult]:[ActualResult]], "OT") + SUMIFS(Table1[[HomeWon]:[HomeWon]], Table1[[GameIsOver]:[GameIsOver]],1,Table1[[AwayTeam]:[AwayTeam]],$A14, Table1[[HomeTeam]:[HomeTeam]], G$1, Table1[[ActualResult]:[ActualResult]], "SO") + SUMIFS(Table1[[AwayWon]:[AwayWon]], Table1[[GameIsOver]:[GameIsOver]],1,Table1[[HomeTeam]:[HomeTeam]],$A14, Table1[[AwayTeam]:[AwayTeam]], G$1, Table1[[ActualResult]:[ActualResult]], "SO"),0))</f>
        <v>0-0-0</v>
      </c>
      <c r="H14" s="43" t="str">
        <f>_xlfn.CONCAT(TEXT(SUMIFS(Table1[[AwayWon]:[AwayWon]], Table1[[GameIsOver]:[GameIsOver]],1,Table1[[AwayTeam]:[AwayTeam]],$A14, Table1[[HomeTeam]:[HomeTeam]], H$1) + SUMIFS(Table1[[HomeWon]:[HomeWon]], Table1[[GameIsOver]:[GameIsOver]],1,Table1[[HomeTeam]:[HomeTeam]],$A14, Table1[[AwayTeam]:[AwayTeam]], H$1),0), "-", TEXT(SUMIFS(Table1[[HomeWon]:[HomeWon]], Table1[[GameIsOver]:[GameIsOver]],1,Table1[[AwayTeam]:[AwayTeam]],$A14, Table1[[HomeTeam]:[HomeTeam]], H$1, Table1[[ActualResult]:[ActualResult]], "REG") + SUMIFS(Table1[[AwayWon]:[AwayWon]], Table1[[GameIsOver]:[GameIsOver]],1,Table1[[HomeTeam]:[HomeTeam]],$A14, Table1[[AwayTeam]:[AwayTeam]], H$1, Table1[[ActualResult]:[ActualResult]], "REG"),0), "-", TEXT(SUMIFS(Table1[[HomeWon]:[HomeWon]], Table1[[GameIsOver]:[GameIsOver]],1,Table1[[AwayTeam]:[AwayTeam]],$A14, Table1[[HomeTeam]:[HomeTeam]], H$1, Table1[[ActualResult]:[ActualResult]], "OT") + SUMIFS(Table1[[AwayWon]:[AwayWon]], Table1[[GameIsOver]:[GameIsOver]],1,Table1[[HomeTeam]:[HomeTeam]],$A14, Table1[[AwayTeam]:[AwayTeam]], H$1, Table1[[ActualResult]:[ActualResult]], "OT") + SUMIFS(Table1[[HomeWon]:[HomeWon]], Table1[[GameIsOver]:[GameIsOver]],1,Table1[[AwayTeam]:[AwayTeam]],$A14, Table1[[HomeTeam]:[HomeTeam]], H$1, Table1[[ActualResult]:[ActualResult]], "SO") + SUMIFS(Table1[[AwayWon]:[AwayWon]], Table1[[GameIsOver]:[GameIsOver]],1,Table1[[HomeTeam]:[HomeTeam]],$A14, Table1[[AwayTeam]:[AwayTeam]], H$1, Table1[[ActualResult]:[ActualResult]], "SO"),0))</f>
        <v>0-0-0</v>
      </c>
      <c r="I14" s="45" t="str">
        <f>_xlfn.CONCAT(TEXT(SUMIFS(Table1[[AwayWon]:[AwayWon]], Table1[[GameIsOver]:[GameIsOver]],1,Table1[[AwayTeam]:[AwayTeam]],$A14, Table1[[HomeTeam]:[HomeTeam]], I$1) + SUMIFS(Table1[[HomeWon]:[HomeWon]], Table1[[GameIsOver]:[GameIsOver]],1,Table1[[HomeTeam]:[HomeTeam]],$A14, Table1[[AwayTeam]:[AwayTeam]], I$1),0), "-", TEXT(SUMIFS(Table1[[HomeWon]:[HomeWon]], Table1[[GameIsOver]:[GameIsOver]],1,Table1[[AwayTeam]:[AwayTeam]],$A14, Table1[[HomeTeam]:[HomeTeam]], I$1, Table1[[ActualResult]:[ActualResult]], "REG") + SUMIFS(Table1[[AwayWon]:[AwayWon]], Table1[[GameIsOver]:[GameIsOver]],1,Table1[[HomeTeam]:[HomeTeam]],$A14, Table1[[AwayTeam]:[AwayTeam]], I$1, Table1[[ActualResult]:[ActualResult]], "REG"),0), "-", TEXT(SUMIFS(Table1[[HomeWon]:[HomeWon]], Table1[[GameIsOver]:[GameIsOver]],1,Table1[[AwayTeam]:[AwayTeam]],$A14, Table1[[HomeTeam]:[HomeTeam]], I$1, Table1[[ActualResult]:[ActualResult]], "OT") + SUMIFS(Table1[[AwayWon]:[AwayWon]], Table1[[GameIsOver]:[GameIsOver]],1,Table1[[HomeTeam]:[HomeTeam]],$A14, Table1[[AwayTeam]:[AwayTeam]], I$1, Table1[[ActualResult]:[ActualResult]], "OT") + SUMIFS(Table1[[HomeWon]:[HomeWon]], Table1[[GameIsOver]:[GameIsOver]],1,Table1[[AwayTeam]:[AwayTeam]],$A14, Table1[[HomeTeam]:[HomeTeam]], I$1, Table1[[ActualResult]:[ActualResult]], "SO") + SUMIFS(Table1[[AwayWon]:[AwayWon]], Table1[[GameIsOver]:[GameIsOver]],1,Table1[[HomeTeam]:[HomeTeam]],$A14, Table1[[AwayTeam]:[AwayTeam]], I$1, Table1[[ActualResult]:[ActualResult]], "SO"),0))</f>
        <v>0-0-0</v>
      </c>
      <c r="J14" s="43" t="str">
        <f>_xlfn.CONCAT(TEXT(SUMIFS(Table1[[AwayWon]:[AwayWon]], Table1[[GameIsOver]:[GameIsOver]],1,Table1[[AwayTeam]:[AwayTeam]],$A14, Table1[[HomeTeam]:[HomeTeam]], J$1) + SUMIFS(Table1[[HomeWon]:[HomeWon]], Table1[[GameIsOver]:[GameIsOver]],1,Table1[[HomeTeam]:[HomeTeam]],$A14, Table1[[AwayTeam]:[AwayTeam]], J$1),0), "-", TEXT(SUMIFS(Table1[[HomeWon]:[HomeWon]], Table1[[GameIsOver]:[GameIsOver]],1,Table1[[AwayTeam]:[AwayTeam]],$A14, Table1[[HomeTeam]:[HomeTeam]], J$1, Table1[[ActualResult]:[ActualResult]], "REG") + SUMIFS(Table1[[AwayWon]:[AwayWon]], Table1[[GameIsOver]:[GameIsOver]],1,Table1[[HomeTeam]:[HomeTeam]],$A14, Table1[[AwayTeam]:[AwayTeam]], J$1, Table1[[ActualResult]:[ActualResult]], "REG"),0), "-", TEXT(SUMIFS(Table1[[HomeWon]:[HomeWon]], Table1[[GameIsOver]:[GameIsOver]],1,Table1[[AwayTeam]:[AwayTeam]],$A14, Table1[[HomeTeam]:[HomeTeam]], J$1, Table1[[ActualResult]:[ActualResult]], "OT") + SUMIFS(Table1[[AwayWon]:[AwayWon]], Table1[[GameIsOver]:[GameIsOver]],1,Table1[[HomeTeam]:[HomeTeam]],$A14, Table1[[AwayTeam]:[AwayTeam]], J$1, Table1[[ActualResult]:[ActualResult]], "OT") + SUMIFS(Table1[[HomeWon]:[HomeWon]], Table1[[GameIsOver]:[GameIsOver]],1,Table1[[AwayTeam]:[AwayTeam]],$A14, Table1[[HomeTeam]:[HomeTeam]], J$1, Table1[[ActualResult]:[ActualResult]], "SO") + SUMIFS(Table1[[AwayWon]:[AwayWon]], Table1[[GameIsOver]:[GameIsOver]],1,Table1[[HomeTeam]:[HomeTeam]],$A14, Table1[[AwayTeam]:[AwayTeam]], J$1, Table1[[ActualResult]:[ActualResult]], "SO"),0))</f>
        <v>0-0-0</v>
      </c>
      <c r="K14" s="43" t="str">
        <f>_xlfn.CONCAT(TEXT(SUMIFS(Table1[[AwayWon]:[AwayWon]], Table1[[GameIsOver]:[GameIsOver]],1,Table1[[AwayTeam]:[AwayTeam]],$A14, Table1[[HomeTeam]:[HomeTeam]], K$1) + SUMIFS(Table1[[HomeWon]:[HomeWon]], Table1[[GameIsOver]:[GameIsOver]],1,Table1[[HomeTeam]:[HomeTeam]],$A14, Table1[[AwayTeam]:[AwayTeam]], K$1),0), "-", TEXT(SUMIFS(Table1[[HomeWon]:[HomeWon]], Table1[[GameIsOver]:[GameIsOver]],1,Table1[[AwayTeam]:[AwayTeam]],$A14, Table1[[HomeTeam]:[HomeTeam]], K$1, Table1[[ActualResult]:[ActualResult]], "REG") + SUMIFS(Table1[[AwayWon]:[AwayWon]], Table1[[GameIsOver]:[GameIsOver]],1,Table1[[HomeTeam]:[HomeTeam]],$A14, Table1[[AwayTeam]:[AwayTeam]], K$1, Table1[[ActualResult]:[ActualResult]], "REG"),0), "-", TEXT(SUMIFS(Table1[[HomeWon]:[HomeWon]], Table1[[GameIsOver]:[GameIsOver]],1,Table1[[AwayTeam]:[AwayTeam]],$A14, Table1[[HomeTeam]:[HomeTeam]], K$1, Table1[[ActualResult]:[ActualResult]], "OT") + SUMIFS(Table1[[AwayWon]:[AwayWon]], Table1[[GameIsOver]:[GameIsOver]],1,Table1[[HomeTeam]:[HomeTeam]],$A14, Table1[[AwayTeam]:[AwayTeam]], K$1, Table1[[ActualResult]:[ActualResult]], "OT") + SUMIFS(Table1[[HomeWon]:[HomeWon]], Table1[[GameIsOver]:[GameIsOver]],1,Table1[[AwayTeam]:[AwayTeam]],$A14, Table1[[HomeTeam]:[HomeTeam]], K$1, Table1[[ActualResult]:[ActualResult]], "SO") + SUMIFS(Table1[[AwayWon]:[AwayWon]], Table1[[GameIsOver]:[GameIsOver]],1,Table1[[HomeTeam]:[HomeTeam]],$A14, Table1[[AwayTeam]:[AwayTeam]], K$1, Table1[[ActualResult]:[ActualResult]], "SO"),0))</f>
        <v>0-0-0</v>
      </c>
      <c r="L14" s="43" t="str">
        <f>_xlfn.CONCAT(TEXT(SUMIFS(Table1[[AwayWon]:[AwayWon]], Table1[[GameIsOver]:[GameIsOver]],1,Table1[[AwayTeam]:[AwayTeam]],$A14, Table1[[HomeTeam]:[HomeTeam]], L$1) + SUMIFS(Table1[[HomeWon]:[HomeWon]], Table1[[GameIsOver]:[GameIsOver]],1,Table1[[HomeTeam]:[HomeTeam]],$A14, Table1[[AwayTeam]:[AwayTeam]], L$1),0), "-", TEXT(SUMIFS(Table1[[HomeWon]:[HomeWon]], Table1[[GameIsOver]:[GameIsOver]],1,Table1[[AwayTeam]:[AwayTeam]],$A14, Table1[[HomeTeam]:[HomeTeam]], L$1, Table1[[ActualResult]:[ActualResult]], "REG") + SUMIFS(Table1[[AwayWon]:[AwayWon]], Table1[[GameIsOver]:[GameIsOver]],1,Table1[[HomeTeam]:[HomeTeam]],$A14, Table1[[AwayTeam]:[AwayTeam]], L$1, Table1[[ActualResult]:[ActualResult]], "REG"),0), "-", TEXT(SUMIFS(Table1[[HomeWon]:[HomeWon]], Table1[[GameIsOver]:[GameIsOver]],1,Table1[[AwayTeam]:[AwayTeam]],$A14, Table1[[HomeTeam]:[HomeTeam]], L$1, Table1[[ActualResult]:[ActualResult]], "OT") + SUMIFS(Table1[[AwayWon]:[AwayWon]], Table1[[GameIsOver]:[GameIsOver]],1,Table1[[HomeTeam]:[HomeTeam]],$A14, Table1[[AwayTeam]:[AwayTeam]], L$1, Table1[[ActualResult]:[ActualResult]], "OT") + SUMIFS(Table1[[HomeWon]:[HomeWon]], Table1[[GameIsOver]:[GameIsOver]],1,Table1[[AwayTeam]:[AwayTeam]],$A14, Table1[[HomeTeam]:[HomeTeam]], L$1, Table1[[ActualResult]:[ActualResult]], "SO") + SUMIFS(Table1[[AwayWon]:[AwayWon]], Table1[[GameIsOver]:[GameIsOver]],1,Table1[[HomeTeam]:[HomeTeam]],$A14, Table1[[AwayTeam]:[AwayTeam]], L$1, Table1[[ActualResult]:[ActualResult]], "SO"),0))</f>
        <v>0-0-0</v>
      </c>
      <c r="M14" s="43" t="str">
        <f>_xlfn.CONCAT(TEXT(SUMIFS(Table1[[AwayWon]:[AwayWon]], Table1[[GameIsOver]:[GameIsOver]],1,Table1[[AwayTeam]:[AwayTeam]],$A14, Table1[[HomeTeam]:[HomeTeam]], M$1) + SUMIFS(Table1[[HomeWon]:[HomeWon]], Table1[[GameIsOver]:[GameIsOver]],1,Table1[[HomeTeam]:[HomeTeam]],$A14, Table1[[AwayTeam]:[AwayTeam]], M$1),0), "-", TEXT(SUMIFS(Table1[[HomeWon]:[HomeWon]], Table1[[GameIsOver]:[GameIsOver]],1,Table1[[AwayTeam]:[AwayTeam]],$A14, Table1[[HomeTeam]:[HomeTeam]], M$1, Table1[[ActualResult]:[ActualResult]], "REG") + SUMIFS(Table1[[AwayWon]:[AwayWon]], Table1[[GameIsOver]:[GameIsOver]],1,Table1[[HomeTeam]:[HomeTeam]],$A14, Table1[[AwayTeam]:[AwayTeam]], M$1, Table1[[ActualResult]:[ActualResult]], "REG"),0), "-", TEXT(SUMIFS(Table1[[HomeWon]:[HomeWon]], Table1[[GameIsOver]:[GameIsOver]],1,Table1[[AwayTeam]:[AwayTeam]],$A14, Table1[[HomeTeam]:[HomeTeam]], M$1, Table1[[ActualResult]:[ActualResult]], "OT") + SUMIFS(Table1[[AwayWon]:[AwayWon]], Table1[[GameIsOver]:[GameIsOver]],1,Table1[[HomeTeam]:[HomeTeam]],$A14, Table1[[AwayTeam]:[AwayTeam]], M$1, Table1[[ActualResult]:[ActualResult]], "OT") + SUMIFS(Table1[[HomeWon]:[HomeWon]], Table1[[GameIsOver]:[GameIsOver]],1,Table1[[AwayTeam]:[AwayTeam]],$A14, Table1[[HomeTeam]:[HomeTeam]], M$1, Table1[[ActualResult]:[ActualResult]], "SO") + SUMIFS(Table1[[AwayWon]:[AwayWon]], Table1[[GameIsOver]:[GameIsOver]],1,Table1[[HomeTeam]:[HomeTeam]],$A14, Table1[[AwayTeam]:[AwayTeam]], M$1, Table1[[ActualResult]:[ActualResult]], "SO"),0))</f>
        <v>1-0-0</v>
      </c>
      <c r="N14" s="43" t="str">
        <f>_xlfn.CONCAT(TEXT(SUMIFS(Table1[[AwayWon]:[AwayWon]], Table1[[GameIsOver]:[GameIsOver]],1,Table1[[AwayTeam]:[AwayTeam]],$A14, Table1[[HomeTeam]:[HomeTeam]], N$1) + SUMIFS(Table1[[HomeWon]:[HomeWon]], Table1[[GameIsOver]:[GameIsOver]],1,Table1[[HomeTeam]:[HomeTeam]],$A14, Table1[[AwayTeam]:[AwayTeam]], N$1),0), "-", TEXT(SUMIFS(Table1[[HomeWon]:[HomeWon]], Table1[[GameIsOver]:[GameIsOver]],1,Table1[[AwayTeam]:[AwayTeam]],$A14, Table1[[HomeTeam]:[HomeTeam]], N$1, Table1[[ActualResult]:[ActualResult]], "REG") + SUMIFS(Table1[[AwayWon]:[AwayWon]], Table1[[GameIsOver]:[GameIsOver]],1,Table1[[HomeTeam]:[HomeTeam]],$A14, Table1[[AwayTeam]:[AwayTeam]], N$1, Table1[[ActualResult]:[ActualResult]], "REG"),0), "-", TEXT(SUMIFS(Table1[[HomeWon]:[HomeWon]], Table1[[GameIsOver]:[GameIsOver]],1,Table1[[AwayTeam]:[AwayTeam]],$A14, Table1[[HomeTeam]:[HomeTeam]], N$1, Table1[[ActualResult]:[ActualResult]], "OT") + SUMIFS(Table1[[AwayWon]:[AwayWon]], Table1[[GameIsOver]:[GameIsOver]],1,Table1[[HomeTeam]:[HomeTeam]],$A14, Table1[[AwayTeam]:[AwayTeam]], N$1, Table1[[ActualResult]:[ActualResult]], "OT") + SUMIFS(Table1[[HomeWon]:[HomeWon]], Table1[[GameIsOver]:[GameIsOver]],1,Table1[[AwayTeam]:[AwayTeam]],$A14, Table1[[HomeTeam]:[HomeTeam]], N$1, Table1[[ActualResult]:[ActualResult]], "SO") + SUMIFS(Table1[[AwayWon]:[AwayWon]], Table1[[GameIsOver]:[GameIsOver]],1,Table1[[HomeTeam]:[HomeTeam]],$A14, Table1[[AwayTeam]:[AwayTeam]], N$1, Table1[[ActualResult]:[ActualResult]], "SO"),0))</f>
        <v>0-0-0</v>
      </c>
      <c r="O14" s="43" t="str">
        <f>_xlfn.CONCAT(TEXT(SUMIFS(Table1[[AwayWon]:[AwayWon]], Table1[[GameIsOver]:[GameIsOver]],1,Table1[[AwayTeam]:[AwayTeam]],$A14, Table1[[HomeTeam]:[HomeTeam]], O$1) + SUMIFS(Table1[[HomeWon]:[HomeWon]], Table1[[GameIsOver]:[GameIsOver]],1,Table1[[HomeTeam]:[HomeTeam]],$A14, Table1[[AwayTeam]:[AwayTeam]], O$1),0), "-", TEXT(SUMIFS(Table1[[HomeWon]:[HomeWon]], Table1[[GameIsOver]:[GameIsOver]],1,Table1[[AwayTeam]:[AwayTeam]],$A14, Table1[[HomeTeam]:[HomeTeam]], O$1, Table1[[ActualResult]:[ActualResult]], "REG") + SUMIFS(Table1[[AwayWon]:[AwayWon]], Table1[[GameIsOver]:[GameIsOver]],1,Table1[[HomeTeam]:[HomeTeam]],$A14, Table1[[AwayTeam]:[AwayTeam]], O$1, Table1[[ActualResult]:[ActualResult]], "REG"),0), "-", TEXT(SUMIFS(Table1[[HomeWon]:[HomeWon]], Table1[[GameIsOver]:[GameIsOver]],1,Table1[[AwayTeam]:[AwayTeam]],$A14, Table1[[HomeTeam]:[HomeTeam]], O$1, Table1[[ActualResult]:[ActualResult]], "OT") + SUMIFS(Table1[[AwayWon]:[AwayWon]], Table1[[GameIsOver]:[GameIsOver]],1,Table1[[HomeTeam]:[HomeTeam]],$A14, Table1[[AwayTeam]:[AwayTeam]], O$1, Table1[[ActualResult]:[ActualResult]], "OT") + SUMIFS(Table1[[HomeWon]:[HomeWon]], Table1[[GameIsOver]:[GameIsOver]],1,Table1[[AwayTeam]:[AwayTeam]],$A14, Table1[[HomeTeam]:[HomeTeam]], O$1, Table1[[ActualResult]:[ActualResult]], "SO") + SUMIFS(Table1[[AwayWon]:[AwayWon]], Table1[[GameIsOver]:[GameIsOver]],1,Table1[[HomeTeam]:[HomeTeam]],$A14, Table1[[AwayTeam]:[AwayTeam]], O$1, Table1[[ActualResult]:[ActualResult]], "SO"),0))</f>
        <v>0-0-0</v>
      </c>
      <c r="P14" s="43" t="str">
        <f>_xlfn.CONCAT(TEXT(SUMIFS(Table1[[AwayWon]:[AwayWon]], Table1[[GameIsOver]:[GameIsOver]],1,Table1[[AwayTeam]:[AwayTeam]],$A14, Table1[[HomeTeam]:[HomeTeam]], P$1) + SUMIFS(Table1[[HomeWon]:[HomeWon]], Table1[[GameIsOver]:[GameIsOver]],1,Table1[[HomeTeam]:[HomeTeam]],$A14, Table1[[AwayTeam]:[AwayTeam]], P$1),0), "-", TEXT(SUMIFS(Table1[[HomeWon]:[HomeWon]], Table1[[GameIsOver]:[GameIsOver]],1,Table1[[AwayTeam]:[AwayTeam]],$A14, Table1[[HomeTeam]:[HomeTeam]], P$1, Table1[[ActualResult]:[ActualResult]], "REG") + SUMIFS(Table1[[AwayWon]:[AwayWon]], Table1[[GameIsOver]:[GameIsOver]],1,Table1[[HomeTeam]:[HomeTeam]],$A14, Table1[[AwayTeam]:[AwayTeam]], P$1, Table1[[ActualResult]:[ActualResult]], "REG"),0), "-", TEXT(SUMIFS(Table1[[HomeWon]:[HomeWon]], Table1[[GameIsOver]:[GameIsOver]],1,Table1[[AwayTeam]:[AwayTeam]],$A14, Table1[[HomeTeam]:[HomeTeam]], P$1, Table1[[ActualResult]:[ActualResult]], "OT") + SUMIFS(Table1[[AwayWon]:[AwayWon]], Table1[[GameIsOver]:[GameIsOver]],1,Table1[[HomeTeam]:[HomeTeam]],$A14, Table1[[AwayTeam]:[AwayTeam]], P$1, Table1[[ActualResult]:[ActualResult]], "OT") + SUMIFS(Table1[[HomeWon]:[HomeWon]], Table1[[GameIsOver]:[GameIsOver]],1,Table1[[AwayTeam]:[AwayTeam]],$A14, Table1[[HomeTeam]:[HomeTeam]], P$1, Table1[[ActualResult]:[ActualResult]], "SO") + SUMIFS(Table1[[AwayWon]:[AwayWon]], Table1[[GameIsOver]:[GameIsOver]],1,Table1[[HomeTeam]:[HomeTeam]],$A14, Table1[[AwayTeam]:[AwayTeam]], P$1, Table1[[ActualResult]:[ActualResult]], "SO"),0))</f>
        <v>0-0-0</v>
      </c>
      <c r="Q14" s="45" t="str">
        <f>_xlfn.CONCAT(TEXT(SUMIFS(Table1[[AwayWon]:[AwayWon]], Table1[[GameIsOver]:[GameIsOver]],1,Table1[[AwayTeam]:[AwayTeam]],$A14, Table1[[HomeTeam]:[HomeTeam]], Q$1) + SUMIFS(Table1[[HomeWon]:[HomeWon]], Table1[[GameIsOver]:[GameIsOver]],1,Table1[[HomeTeam]:[HomeTeam]],$A14, Table1[[AwayTeam]:[AwayTeam]], Q$1),0), "-", TEXT(SUMIFS(Table1[[HomeWon]:[HomeWon]], Table1[[GameIsOver]:[GameIsOver]],1,Table1[[AwayTeam]:[AwayTeam]],$A14, Table1[[HomeTeam]:[HomeTeam]], Q$1, Table1[[ActualResult]:[ActualResult]], "REG") + SUMIFS(Table1[[AwayWon]:[AwayWon]], Table1[[GameIsOver]:[GameIsOver]],1,Table1[[HomeTeam]:[HomeTeam]],$A14, Table1[[AwayTeam]:[AwayTeam]], Q$1, Table1[[ActualResult]:[ActualResult]], "REG"),0), "-", TEXT(SUMIFS(Table1[[HomeWon]:[HomeWon]], Table1[[GameIsOver]:[GameIsOver]],1,Table1[[AwayTeam]:[AwayTeam]],$A14, Table1[[HomeTeam]:[HomeTeam]], Q$1, Table1[[ActualResult]:[ActualResult]], "OT") + SUMIFS(Table1[[AwayWon]:[AwayWon]], Table1[[GameIsOver]:[GameIsOver]],1,Table1[[HomeTeam]:[HomeTeam]],$A14, Table1[[AwayTeam]:[AwayTeam]], Q$1, Table1[[ActualResult]:[ActualResult]], "OT") + SUMIFS(Table1[[HomeWon]:[HomeWon]], Table1[[GameIsOver]:[GameIsOver]],1,Table1[[AwayTeam]:[AwayTeam]],$A14, Table1[[HomeTeam]:[HomeTeam]], Q$1, Table1[[ActualResult]:[ActualResult]], "SO") + SUMIFS(Table1[[AwayWon]:[AwayWon]], Table1[[GameIsOver]:[GameIsOver]],1,Table1[[HomeTeam]:[HomeTeam]],$A14, Table1[[AwayTeam]:[AwayTeam]], Q$1, Table1[[ActualResult]:[ActualResult]], "SO"),0))</f>
        <v>0-0-0</v>
      </c>
      <c r="R14" s="43" t="str">
        <f>_xlfn.CONCAT(TEXT(SUMIFS(Table1[[AwayWon]:[AwayWon]], Table1[[GameIsOver]:[GameIsOver]],1,Table1[[AwayTeam]:[AwayTeam]],$A14, Table1[[HomeTeam]:[HomeTeam]], R$1) + SUMIFS(Table1[[HomeWon]:[HomeWon]], Table1[[GameIsOver]:[GameIsOver]],1,Table1[[HomeTeam]:[HomeTeam]],$A14, Table1[[AwayTeam]:[AwayTeam]], R$1),0), "-", TEXT(SUMIFS(Table1[[HomeWon]:[HomeWon]], Table1[[GameIsOver]:[GameIsOver]],1,Table1[[AwayTeam]:[AwayTeam]],$A14, Table1[[HomeTeam]:[HomeTeam]], R$1, Table1[[ActualResult]:[ActualResult]], "REG") + SUMIFS(Table1[[AwayWon]:[AwayWon]], Table1[[GameIsOver]:[GameIsOver]],1,Table1[[HomeTeam]:[HomeTeam]],$A14, Table1[[AwayTeam]:[AwayTeam]], R$1, Table1[[ActualResult]:[ActualResult]], "REG"),0), "-", TEXT(SUMIFS(Table1[[HomeWon]:[HomeWon]], Table1[[GameIsOver]:[GameIsOver]],1,Table1[[AwayTeam]:[AwayTeam]],$A14, Table1[[HomeTeam]:[HomeTeam]], R$1, Table1[[ActualResult]:[ActualResult]], "OT") + SUMIFS(Table1[[AwayWon]:[AwayWon]], Table1[[GameIsOver]:[GameIsOver]],1,Table1[[HomeTeam]:[HomeTeam]],$A14, Table1[[AwayTeam]:[AwayTeam]], R$1, Table1[[ActualResult]:[ActualResult]], "OT") + SUMIFS(Table1[[HomeWon]:[HomeWon]], Table1[[GameIsOver]:[GameIsOver]],1,Table1[[AwayTeam]:[AwayTeam]],$A14, Table1[[HomeTeam]:[HomeTeam]], R$1, Table1[[ActualResult]:[ActualResult]], "SO") + SUMIFS(Table1[[AwayWon]:[AwayWon]], Table1[[GameIsOver]:[GameIsOver]],1,Table1[[HomeTeam]:[HomeTeam]],$A14, Table1[[AwayTeam]:[AwayTeam]], R$1, Table1[[ActualResult]:[ActualResult]], "SO"),0))</f>
        <v>0-0-0</v>
      </c>
      <c r="S14" s="43" t="str">
        <f>_xlfn.CONCAT(TEXT(SUMIFS(Table1[[AwayWon]:[AwayWon]], Table1[[GameIsOver]:[GameIsOver]],1,Table1[[AwayTeam]:[AwayTeam]],$A14, Table1[[HomeTeam]:[HomeTeam]], S$1) + SUMIFS(Table1[[HomeWon]:[HomeWon]], Table1[[GameIsOver]:[GameIsOver]],1,Table1[[HomeTeam]:[HomeTeam]],$A14, Table1[[AwayTeam]:[AwayTeam]], S$1),0), "-", TEXT(SUMIFS(Table1[[HomeWon]:[HomeWon]], Table1[[GameIsOver]:[GameIsOver]],1,Table1[[AwayTeam]:[AwayTeam]],$A14, Table1[[HomeTeam]:[HomeTeam]], S$1, Table1[[ActualResult]:[ActualResult]], "REG") + SUMIFS(Table1[[AwayWon]:[AwayWon]], Table1[[GameIsOver]:[GameIsOver]],1,Table1[[HomeTeam]:[HomeTeam]],$A14, Table1[[AwayTeam]:[AwayTeam]], S$1, Table1[[ActualResult]:[ActualResult]], "REG"),0), "-", TEXT(SUMIFS(Table1[[HomeWon]:[HomeWon]], Table1[[GameIsOver]:[GameIsOver]],1,Table1[[AwayTeam]:[AwayTeam]],$A14, Table1[[HomeTeam]:[HomeTeam]], S$1, Table1[[ActualResult]:[ActualResult]], "OT") + SUMIFS(Table1[[AwayWon]:[AwayWon]], Table1[[GameIsOver]:[GameIsOver]],1,Table1[[HomeTeam]:[HomeTeam]],$A14, Table1[[AwayTeam]:[AwayTeam]], S$1, Table1[[ActualResult]:[ActualResult]], "OT") + SUMIFS(Table1[[HomeWon]:[HomeWon]], Table1[[GameIsOver]:[GameIsOver]],1,Table1[[AwayTeam]:[AwayTeam]],$A14, Table1[[HomeTeam]:[HomeTeam]], S$1, Table1[[ActualResult]:[ActualResult]], "SO") + SUMIFS(Table1[[AwayWon]:[AwayWon]], Table1[[GameIsOver]:[GameIsOver]],1,Table1[[HomeTeam]:[HomeTeam]],$A14, Table1[[AwayTeam]:[AwayTeam]], S$1, Table1[[ActualResult]:[ActualResult]], "SO"),0))</f>
        <v>0-0-0</v>
      </c>
      <c r="T14" s="43" t="str">
        <f>_xlfn.CONCAT(TEXT(SUMIFS(Table1[[AwayWon]:[AwayWon]], Table1[[GameIsOver]:[GameIsOver]],1,Table1[[AwayTeam]:[AwayTeam]],$A14, Table1[[HomeTeam]:[HomeTeam]], T$1) + SUMIFS(Table1[[HomeWon]:[HomeWon]], Table1[[GameIsOver]:[GameIsOver]],1,Table1[[HomeTeam]:[HomeTeam]],$A14, Table1[[AwayTeam]:[AwayTeam]], T$1),0), "-", TEXT(SUMIFS(Table1[[HomeWon]:[HomeWon]], Table1[[GameIsOver]:[GameIsOver]],1,Table1[[AwayTeam]:[AwayTeam]],$A14, Table1[[HomeTeam]:[HomeTeam]], T$1, Table1[[ActualResult]:[ActualResult]], "REG") + SUMIFS(Table1[[AwayWon]:[AwayWon]], Table1[[GameIsOver]:[GameIsOver]],1,Table1[[HomeTeam]:[HomeTeam]],$A14, Table1[[AwayTeam]:[AwayTeam]], T$1, Table1[[ActualResult]:[ActualResult]], "REG"),0), "-", TEXT(SUMIFS(Table1[[HomeWon]:[HomeWon]], Table1[[GameIsOver]:[GameIsOver]],1,Table1[[AwayTeam]:[AwayTeam]],$A14, Table1[[HomeTeam]:[HomeTeam]], T$1, Table1[[ActualResult]:[ActualResult]], "OT") + SUMIFS(Table1[[AwayWon]:[AwayWon]], Table1[[GameIsOver]:[GameIsOver]],1,Table1[[HomeTeam]:[HomeTeam]],$A14, Table1[[AwayTeam]:[AwayTeam]], T$1, Table1[[ActualResult]:[ActualResult]], "OT") + SUMIFS(Table1[[HomeWon]:[HomeWon]], Table1[[GameIsOver]:[GameIsOver]],1,Table1[[AwayTeam]:[AwayTeam]],$A14, Table1[[HomeTeam]:[HomeTeam]], T$1, Table1[[ActualResult]:[ActualResult]], "SO") + SUMIFS(Table1[[AwayWon]:[AwayWon]], Table1[[GameIsOver]:[GameIsOver]],1,Table1[[HomeTeam]:[HomeTeam]],$A14, Table1[[AwayTeam]:[AwayTeam]], T$1, Table1[[ActualResult]:[ActualResult]], "SO"),0))</f>
        <v>0-0-0</v>
      </c>
      <c r="U14" s="43" t="str">
        <f>_xlfn.CONCAT(TEXT(SUMIFS(Table1[[AwayWon]:[AwayWon]], Table1[[GameIsOver]:[GameIsOver]],1,Table1[[AwayTeam]:[AwayTeam]],$A14, Table1[[HomeTeam]:[HomeTeam]], U$1) + SUMIFS(Table1[[HomeWon]:[HomeWon]], Table1[[GameIsOver]:[GameIsOver]],1,Table1[[HomeTeam]:[HomeTeam]],$A14, Table1[[AwayTeam]:[AwayTeam]], U$1),0), "-", TEXT(SUMIFS(Table1[[HomeWon]:[HomeWon]], Table1[[GameIsOver]:[GameIsOver]],1,Table1[[AwayTeam]:[AwayTeam]],$A14, Table1[[HomeTeam]:[HomeTeam]], U$1, Table1[[ActualResult]:[ActualResult]], "REG") + SUMIFS(Table1[[AwayWon]:[AwayWon]], Table1[[GameIsOver]:[GameIsOver]],1,Table1[[HomeTeam]:[HomeTeam]],$A14, Table1[[AwayTeam]:[AwayTeam]], U$1, Table1[[ActualResult]:[ActualResult]], "REG"),0), "-", TEXT(SUMIFS(Table1[[HomeWon]:[HomeWon]], Table1[[GameIsOver]:[GameIsOver]],1,Table1[[AwayTeam]:[AwayTeam]],$A14, Table1[[HomeTeam]:[HomeTeam]], U$1, Table1[[ActualResult]:[ActualResult]], "OT") + SUMIFS(Table1[[AwayWon]:[AwayWon]], Table1[[GameIsOver]:[GameIsOver]],1,Table1[[HomeTeam]:[HomeTeam]],$A14, Table1[[AwayTeam]:[AwayTeam]], U$1, Table1[[ActualResult]:[ActualResult]], "OT") + SUMIFS(Table1[[HomeWon]:[HomeWon]], Table1[[GameIsOver]:[GameIsOver]],1,Table1[[AwayTeam]:[AwayTeam]],$A14, Table1[[HomeTeam]:[HomeTeam]], U$1, Table1[[ActualResult]:[ActualResult]], "SO") + SUMIFS(Table1[[AwayWon]:[AwayWon]], Table1[[GameIsOver]:[GameIsOver]],1,Table1[[HomeTeam]:[HomeTeam]],$A14, Table1[[AwayTeam]:[AwayTeam]], U$1, Table1[[ActualResult]:[ActualResult]], "SO"),0))</f>
        <v>0-0-0</v>
      </c>
      <c r="V14" s="43" t="str">
        <f>_xlfn.CONCAT(TEXT(SUMIFS(Table1[[AwayWon]:[AwayWon]], Table1[[GameIsOver]:[GameIsOver]],1,Table1[[AwayTeam]:[AwayTeam]],$A14, Table1[[HomeTeam]:[HomeTeam]], V$1) + SUMIFS(Table1[[HomeWon]:[HomeWon]], Table1[[GameIsOver]:[GameIsOver]],1,Table1[[HomeTeam]:[HomeTeam]],$A14, Table1[[AwayTeam]:[AwayTeam]], V$1),0), "-", TEXT(SUMIFS(Table1[[HomeWon]:[HomeWon]], Table1[[GameIsOver]:[GameIsOver]],1,Table1[[AwayTeam]:[AwayTeam]],$A14, Table1[[HomeTeam]:[HomeTeam]], V$1, Table1[[ActualResult]:[ActualResult]], "REG") + SUMIFS(Table1[[AwayWon]:[AwayWon]], Table1[[GameIsOver]:[GameIsOver]],1,Table1[[HomeTeam]:[HomeTeam]],$A14, Table1[[AwayTeam]:[AwayTeam]], V$1, Table1[[ActualResult]:[ActualResult]], "REG"),0), "-", TEXT(SUMIFS(Table1[[HomeWon]:[HomeWon]], Table1[[GameIsOver]:[GameIsOver]],1,Table1[[AwayTeam]:[AwayTeam]],$A14, Table1[[HomeTeam]:[HomeTeam]], V$1, Table1[[ActualResult]:[ActualResult]], "OT") + SUMIFS(Table1[[AwayWon]:[AwayWon]], Table1[[GameIsOver]:[GameIsOver]],1,Table1[[HomeTeam]:[HomeTeam]],$A14, Table1[[AwayTeam]:[AwayTeam]], V$1, Table1[[ActualResult]:[ActualResult]], "OT") + SUMIFS(Table1[[HomeWon]:[HomeWon]], Table1[[GameIsOver]:[GameIsOver]],1,Table1[[AwayTeam]:[AwayTeam]],$A14, Table1[[HomeTeam]:[HomeTeam]], V$1, Table1[[ActualResult]:[ActualResult]], "SO") + SUMIFS(Table1[[AwayWon]:[AwayWon]], Table1[[GameIsOver]:[GameIsOver]],1,Table1[[HomeTeam]:[HomeTeam]],$A14, Table1[[AwayTeam]:[AwayTeam]], V$1, Table1[[ActualResult]:[ActualResult]], "SO"),0))</f>
        <v>0-0-0</v>
      </c>
      <c r="W14" s="43" t="str">
        <f>_xlfn.CONCAT(TEXT(SUMIFS(Table1[[AwayWon]:[AwayWon]], Table1[[GameIsOver]:[GameIsOver]],1,Table1[[AwayTeam]:[AwayTeam]],$A14, Table1[[HomeTeam]:[HomeTeam]], W$1) + SUMIFS(Table1[[HomeWon]:[HomeWon]], Table1[[GameIsOver]:[GameIsOver]],1,Table1[[HomeTeam]:[HomeTeam]],$A14, Table1[[AwayTeam]:[AwayTeam]], W$1),0), "-", TEXT(SUMIFS(Table1[[HomeWon]:[HomeWon]], Table1[[GameIsOver]:[GameIsOver]],1,Table1[[AwayTeam]:[AwayTeam]],$A14, Table1[[HomeTeam]:[HomeTeam]], W$1, Table1[[ActualResult]:[ActualResult]], "REG") + SUMIFS(Table1[[AwayWon]:[AwayWon]], Table1[[GameIsOver]:[GameIsOver]],1,Table1[[HomeTeam]:[HomeTeam]],$A14, Table1[[AwayTeam]:[AwayTeam]], W$1, Table1[[ActualResult]:[ActualResult]], "REG"),0), "-", TEXT(SUMIFS(Table1[[HomeWon]:[HomeWon]], Table1[[GameIsOver]:[GameIsOver]],1,Table1[[AwayTeam]:[AwayTeam]],$A14, Table1[[HomeTeam]:[HomeTeam]], W$1, Table1[[ActualResult]:[ActualResult]], "OT") + SUMIFS(Table1[[AwayWon]:[AwayWon]], Table1[[GameIsOver]:[GameIsOver]],1,Table1[[HomeTeam]:[HomeTeam]],$A14, Table1[[AwayTeam]:[AwayTeam]], W$1, Table1[[ActualResult]:[ActualResult]], "OT") + SUMIFS(Table1[[HomeWon]:[HomeWon]], Table1[[GameIsOver]:[GameIsOver]],1,Table1[[AwayTeam]:[AwayTeam]],$A14, Table1[[HomeTeam]:[HomeTeam]], W$1, Table1[[ActualResult]:[ActualResult]], "SO") + SUMIFS(Table1[[AwayWon]:[AwayWon]], Table1[[GameIsOver]:[GameIsOver]],1,Table1[[HomeTeam]:[HomeTeam]],$A14, Table1[[AwayTeam]:[AwayTeam]], W$1, Table1[[ActualResult]:[ActualResult]], "SO"),0))</f>
        <v>0-0-0</v>
      </c>
      <c r="X14" s="43" t="str">
        <f>_xlfn.CONCAT(TEXT(SUMIFS(Table1[[AwayWon]:[AwayWon]], Table1[[GameIsOver]:[GameIsOver]],1,Table1[[AwayTeam]:[AwayTeam]],$A14, Table1[[HomeTeam]:[HomeTeam]], X$1) + SUMIFS(Table1[[HomeWon]:[HomeWon]], Table1[[GameIsOver]:[GameIsOver]],1,Table1[[HomeTeam]:[HomeTeam]],$A14, Table1[[AwayTeam]:[AwayTeam]], X$1),0), "-", TEXT(SUMIFS(Table1[[HomeWon]:[HomeWon]], Table1[[GameIsOver]:[GameIsOver]],1,Table1[[AwayTeam]:[AwayTeam]],$A14, Table1[[HomeTeam]:[HomeTeam]], X$1, Table1[[ActualResult]:[ActualResult]], "REG") + SUMIFS(Table1[[AwayWon]:[AwayWon]], Table1[[GameIsOver]:[GameIsOver]],1,Table1[[HomeTeam]:[HomeTeam]],$A14, Table1[[AwayTeam]:[AwayTeam]], X$1, Table1[[ActualResult]:[ActualResult]], "REG"),0), "-", TEXT(SUMIFS(Table1[[HomeWon]:[HomeWon]], Table1[[GameIsOver]:[GameIsOver]],1,Table1[[AwayTeam]:[AwayTeam]],$A14, Table1[[HomeTeam]:[HomeTeam]], X$1, Table1[[ActualResult]:[ActualResult]], "OT") + SUMIFS(Table1[[AwayWon]:[AwayWon]], Table1[[GameIsOver]:[GameIsOver]],1,Table1[[HomeTeam]:[HomeTeam]],$A14, Table1[[AwayTeam]:[AwayTeam]], X$1, Table1[[ActualResult]:[ActualResult]], "OT") + SUMIFS(Table1[[HomeWon]:[HomeWon]], Table1[[GameIsOver]:[GameIsOver]],1,Table1[[AwayTeam]:[AwayTeam]],$A14, Table1[[HomeTeam]:[HomeTeam]], X$1, Table1[[ActualResult]:[ActualResult]], "SO") + SUMIFS(Table1[[AwayWon]:[AwayWon]], Table1[[GameIsOver]:[GameIsOver]],1,Table1[[HomeTeam]:[HomeTeam]],$A14, Table1[[AwayTeam]:[AwayTeam]], X$1, Table1[[ActualResult]:[ActualResult]], "SO"),0))</f>
        <v>0-0-0</v>
      </c>
      <c r="Y14" s="45" t="str">
        <f>_xlfn.CONCAT(TEXT(SUMIFS(Table1[[AwayWon]:[AwayWon]], Table1[[GameIsOver]:[GameIsOver]],1,Table1[[AwayTeam]:[AwayTeam]],$A14, Table1[[HomeTeam]:[HomeTeam]], Y$1) + SUMIFS(Table1[[HomeWon]:[HomeWon]], Table1[[GameIsOver]:[GameIsOver]],1,Table1[[HomeTeam]:[HomeTeam]],$A14, Table1[[AwayTeam]:[AwayTeam]], Y$1),0), "-", TEXT(SUMIFS(Table1[[HomeWon]:[HomeWon]], Table1[[GameIsOver]:[GameIsOver]],1,Table1[[AwayTeam]:[AwayTeam]],$A14, Table1[[HomeTeam]:[HomeTeam]], Y$1, Table1[[ActualResult]:[ActualResult]], "REG") + SUMIFS(Table1[[AwayWon]:[AwayWon]], Table1[[GameIsOver]:[GameIsOver]],1,Table1[[HomeTeam]:[HomeTeam]],$A14, Table1[[AwayTeam]:[AwayTeam]], Y$1, Table1[[ActualResult]:[ActualResult]], "REG"),0), "-", TEXT(SUMIFS(Table1[[HomeWon]:[HomeWon]], Table1[[GameIsOver]:[GameIsOver]],1,Table1[[AwayTeam]:[AwayTeam]],$A14, Table1[[HomeTeam]:[HomeTeam]], Y$1, Table1[[ActualResult]:[ActualResult]], "OT") + SUMIFS(Table1[[AwayWon]:[AwayWon]], Table1[[GameIsOver]:[GameIsOver]],1,Table1[[HomeTeam]:[HomeTeam]],$A14, Table1[[AwayTeam]:[AwayTeam]], Y$1, Table1[[ActualResult]:[ActualResult]], "OT") + SUMIFS(Table1[[HomeWon]:[HomeWon]], Table1[[GameIsOver]:[GameIsOver]],1,Table1[[AwayTeam]:[AwayTeam]],$A14, Table1[[HomeTeam]:[HomeTeam]], Y$1, Table1[[ActualResult]:[ActualResult]], "SO") + SUMIFS(Table1[[AwayWon]:[AwayWon]], Table1[[GameIsOver]:[GameIsOver]],1,Table1[[HomeTeam]:[HomeTeam]],$A14, Table1[[AwayTeam]:[AwayTeam]], Y$1, Table1[[ActualResult]:[ActualResult]], "SO"),0))</f>
        <v>0-0-0</v>
      </c>
      <c r="Z14" s="43" t="str">
        <f>_xlfn.CONCAT(TEXT(SUMIFS(Table1[[AwayWon]:[AwayWon]], Table1[[GameIsOver]:[GameIsOver]],1,Table1[[AwayTeam]:[AwayTeam]],$A14, Table1[[HomeTeam]:[HomeTeam]], Z$1) + SUMIFS(Table1[[HomeWon]:[HomeWon]], Table1[[GameIsOver]:[GameIsOver]],1,Table1[[HomeTeam]:[HomeTeam]],$A14, Table1[[AwayTeam]:[AwayTeam]], Z$1),0), "-", TEXT(SUMIFS(Table1[[HomeWon]:[HomeWon]], Table1[[GameIsOver]:[GameIsOver]],1,Table1[[AwayTeam]:[AwayTeam]],$A14, Table1[[HomeTeam]:[HomeTeam]], Z$1, Table1[[ActualResult]:[ActualResult]], "REG") + SUMIFS(Table1[[AwayWon]:[AwayWon]], Table1[[GameIsOver]:[GameIsOver]],1,Table1[[HomeTeam]:[HomeTeam]],$A14, Table1[[AwayTeam]:[AwayTeam]], Z$1, Table1[[ActualResult]:[ActualResult]], "REG"),0), "-", TEXT(SUMIFS(Table1[[HomeWon]:[HomeWon]], Table1[[GameIsOver]:[GameIsOver]],1,Table1[[AwayTeam]:[AwayTeam]],$A14, Table1[[HomeTeam]:[HomeTeam]], Z$1, Table1[[ActualResult]:[ActualResult]], "OT") + SUMIFS(Table1[[AwayWon]:[AwayWon]], Table1[[GameIsOver]:[GameIsOver]],1,Table1[[HomeTeam]:[HomeTeam]],$A14, Table1[[AwayTeam]:[AwayTeam]], Z$1, Table1[[ActualResult]:[ActualResult]], "OT") + SUMIFS(Table1[[HomeWon]:[HomeWon]], Table1[[GameIsOver]:[GameIsOver]],1,Table1[[AwayTeam]:[AwayTeam]],$A14, Table1[[HomeTeam]:[HomeTeam]], Z$1, Table1[[ActualResult]:[ActualResult]], "SO") + SUMIFS(Table1[[AwayWon]:[AwayWon]], Table1[[GameIsOver]:[GameIsOver]],1,Table1[[HomeTeam]:[HomeTeam]],$A14, Table1[[AwayTeam]:[AwayTeam]], Z$1, Table1[[ActualResult]:[ActualResult]], "SO"),0))</f>
        <v>0-0-0</v>
      </c>
      <c r="AA14" s="43" t="str">
        <f>_xlfn.CONCAT(TEXT(SUMIFS(Table1[[AwayWon]:[AwayWon]], Table1[[GameIsOver]:[GameIsOver]],1,Table1[[AwayTeam]:[AwayTeam]],$A14, Table1[[HomeTeam]:[HomeTeam]], AA$1) + SUMIFS(Table1[[HomeWon]:[HomeWon]], Table1[[GameIsOver]:[GameIsOver]],1,Table1[[HomeTeam]:[HomeTeam]],$A14, Table1[[AwayTeam]:[AwayTeam]], AA$1),0), "-", TEXT(SUMIFS(Table1[[HomeWon]:[HomeWon]], Table1[[GameIsOver]:[GameIsOver]],1,Table1[[AwayTeam]:[AwayTeam]],$A14, Table1[[HomeTeam]:[HomeTeam]], AA$1, Table1[[ActualResult]:[ActualResult]], "REG") + SUMIFS(Table1[[AwayWon]:[AwayWon]], Table1[[GameIsOver]:[GameIsOver]],1,Table1[[HomeTeam]:[HomeTeam]],$A14, Table1[[AwayTeam]:[AwayTeam]], AA$1, Table1[[ActualResult]:[ActualResult]], "REG"),0), "-", TEXT(SUMIFS(Table1[[HomeWon]:[HomeWon]], Table1[[GameIsOver]:[GameIsOver]],1,Table1[[AwayTeam]:[AwayTeam]],$A14, Table1[[HomeTeam]:[HomeTeam]], AA$1, Table1[[ActualResult]:[ActualResult]], "OT") + SUMIFS(Table1[[AwayWon]:[AwayWon]], Table1[[GameIsOver]:[GameIsOver]],1,Table1[[HomeTeam]:[HomeTeam]],$A14, Table1[[AwayTeam]:[AwayTeam]], AA$1, Table1[[ActualResult]:[ActualResult]], "OT") + SUMIFS(Table1[[HomeWon]:[HomeWon]], Table1[[GameIsOver]:[GameIsOver]],1,Table1[[AwayTeam]:[AwayTeam]],$A14, Table1[[HomeTeam]:[HomeTeam]], AA$1, Table1[[ActualResult]:[ActualResult]], "SO") + SUMIFS(Table1[[AwayWon]:[AwayWon]], Table1[[GameIsOver]:[GameIsOver]],1,Table1[[HomeTeam]:[HomeTeam]],$A14, Table1[[AwayTeam]:[AwayTeam]], AA$1, Table1[[ActualResult]:[ActualResult]], "SO"),0))</f>
        <v>0-0-0</v>
      </c>
      <c r="AB14" s="43" t="str">
        <f>_xlfn.CONCAT(TEXT(SUMIFS(Table1[[AwayWon]:[AwayWon]], Table1[[GameIsOver]:[GameIsOver]],1,Table1[[AwayTeam]:[AwayTeam]],$A14, Table1[[HomeTeam]:[HomeTeam]], AB$1) + SUMIFS(Table1[[HomeWon]:[HomeWon]], Table1[[GameIsOver]:[GameIsOver]],1,Table1[[HomeTeam]:[HomeTeam]],$A14, Table1[[AwayTeam]:[AwayTeam]], AB$1),0), "-", TEXT(SUMIFS(Table1[[HomeWon]:[HomeWon]], Table1[[GameIsOver]:[GameIsOver]],1,Table1[[AwayTeam]:[AwayTeam]],$A14, Table1[[HomeTeam]:[HomeTeam]], AB$1, Table1[[ActualResult]:[ActualResult]], "REG") + SUMIFS(Table1[[AwayWon]:[AwayWon]], Table1[[GameIsOver]:[GameIsOver]],1,Table1[[HomeTeam]:[HomeTeam]],$A14, Table1[[AwayTeam]:[AwayTeam]], AB$1, Table1[[ActualResult]:[ActualResult]], "REG"),0), "-", TEXT(SUMIFS(Table1[[HomeWon]:[HomeWon]], Table1[[GameIsOver]:[GameIsOver]],1,Table1[[AwayTeam]:[AwayTeam]],$A14, Table1[[HomeTeam]:[HomeTeam]], AB$1, Table1[[ActualResult]:[ActualResult]], "OT") + SUMIFS(Table1[[AwayWon]:[AwayWon]], Table1[[GameIsOver]:[GameIsOver]],1,Table1[[HomeTeam]:[HomeTeam]],$A14, Table1[[AwayTeam]:[AwayTeam]], AB$1, Table1[[ActualResult]:[ActualResult]], "OT") + SUMIFS(Table1[[HomeWon]:[HomeWon]], Table1[[GameIsOver]:[GameIsOver]],1,Table1[[AwayTeam]:[AwayTeam]],$A14, Table1[[HomeTeam]:[HomeTeam]], AB$1, Table1[[ActualResult]:[ActualResult]], "SO") + SUMIFS(Table1[[AwayWon]:[AwayWon]], Table1[[GameIsOver]:[GameIsOver]],1,Table1[[HomeTeam]:[HomeTeam]],$A14, Table1[[AwayTeam]:[AwayTeam]], AB$1, Table1[[ActualResult]:[ActualResult]], "SO"),0))</f>
        <v>0-0-0</v>
      </c>
      <c r="AC14" s="43" t="str">
        <f>_xlfn.CONCAT(TEXT(SUMIFS(Table1[[AwayWon]:[AwayWon]], Table1[[GameIsOver]:[GameIsOver]],1,Table1[[AwayTeam]:[AwayTeam]],$A14, Table1[[HomeTeam]:[HomeTeam]], AC$1) + SUMIFS(Table1[[HomeWon]:[HomeWon]], Table1[[GameIsOver]:[GameIsOver]],1,Table1[[HomeTeam]:[HomeTeam]],$A14, Table1[[AwayTeam]:[AwayTeam]], AC$1),0), "-", TEXT(SUMIFS(Table1[[HomeWon]:[HomeWon]], Table1[[GameIsOver]:[GameIsOver]],1,Table1[[AwayTeam]:[AwayTeam]],$A14, Table1[[HomeTeam]:[HomeTeam]], AC$1, Table1[[ActualResult]:[ActualResult]], "REG") + SUMIFS(Table1[[AwayWon]:[AwayWon]], Table1[[GameIsOver]:[GameIsOver]],1,Table1[[HomeTeam]:[HomeTeam]],$A14, Table1[[AwayTeam]:[AwayTeam]], AC$1, Table1[[ActualResult]:[ActualResult]], "REG"),0), "-", TEXT(SUMIFS(Table1[[HomeWon]:[HomeWon]], Table1[[GameIsOver]:[GameIsOver]],1,Table1[[AwayTeam]:[AwayTeam]],$A14, Table1[[HomeTeam]:[HomeTeam]], AC$1, Table1[[ActualResult]:[ActualResult]], "OT") + SUMIFS(Table1[[AwayWon]:[AwayWon]], Table1[[GameIsOver]:[GameIsOver]],1,Table1[[HomeTeam]:[HomeTeam]],$A14, Table1[[AwayTeam]:[AwayTeam]], AC$1, Table1[[ActualResult]:[ActualResult]], "OT") + SUMIFS(Table1[[HomeWon]:[HomeWon]], Table1[[GameIsOver]:[GameIsOver]],1,Table1[[AwayTeam]:[AwayTeam]],$A14, Table1[[HomeTeam]:[HomeTeam]], AC$1, Table1[[ActualResult]:[ActualResult]], "SO") + SUMIFS(Table1[[AwayWon]:[AwayWon]], Table1[[GameIsOver]:[GameIsOver]],1,Table1[[HomeTeam]:[HomeTeam]],$A14, Table1[[AwayTeam]:[AwayTeam]], AC$1, Table1[[ActualResult]:[ActualResult]], "SO"),0))</f>
        <v>0-0-0</v>
      </c>
      <c r="AD14" s="43" t="str">
        <f>_xlfn.CONCAT(TEXT(SUMIFS(Table1[[AwayWon]:[AwayWon]], Table1[[GameIsOver]:[GameIsOver]],1,Table1[[AwayTeam]:[AwayTeam]],$A14, Table1[[HomeTeam]:[HomeTeam]], AD$1) + SUMIFS(Table1[[HomeWon]:[HomeWon]], Table1[[GameIsOver]:[GameIsOver]],1,Table1[[HomeTeam]:[HomeTeam]],$A14, Table1[[AwayTeam]:[AwayTeam]], AD$1),0), "-", TEXT(SUMIFS(Table1[[HomeWon]:[HomeWon]], Table1[[GameIsOver]:[GameIsOver]],1,Table1[[AwayTeam]:[AwayTeam]],$A14, Table1[[HomeTeam]:[HomeTeam]], AD$1, Table1[[ActualResult]:[ActualResult]], "REG") + SUMIFS(Table1[[AwayWon]:[AwayWon]], Table1[[GameIsOver]:[GameIsOver]],1,Table1[[HomeTeam]:[HomeTeam]],$A14, Table1[[AwayTeam]:[AwayTeam]], AD$1, Table1[[ActualResult]:[ActualResult]], "REG"),0), "-", TEXT(SUMIFS(Table1[[HomeWon]:[HomeWon]], Table1[[GameIsOver]:[GameIsOver]],1,Table1[[AwayTeam]:[AwayTeam]],$A14, Table1[[HomeTeam]:[HomeTeam]], AD$1, Table1[[ActualResult]:[ActualResult]], "OT") + SUMIFS(Table1[[AwayWon]:[AwayWon]], Table1[[GameIsOver]:[GameIsOver]],1,Table1[[HomeTeam]:[HomeTeam]],$A14, Table1[[AwayTeam]:[AwayTeam]], AD$1, Table1[[ActualResult]:[ActualResult]], "OT") + SUMIFS(Table1[[HomeWon]:[HomeWon]], Table1[[GameIsOver]:[GameIsOver]],1,Table1[[AwayTeam]:[AwayTeam]],$A14, Table1[[HomeTeam]:[HomeTeam]], AD$1, Table1[[ActualResult]:[ActualResult]], "SO") + SUMIFS(Table1[[AwayWon]:[AwayWon]], Table1[[GameIsOver]:[GameIsOver]],1,Table1[[HomeTeam]:[HomeTeam]],$A14, Table1[[AwayTeam]:[AwayTeam]], AD$1, Table1[[ActualResult]:[ActualResult]], "SO"),0))</f>
        <v>0-0-0</v>
      </c>
      <c r="AE14" s="43" t="str">
        <f>_xlfn.CONCAT(TEXT(SUMIFS(Table1[[AwayWon]:[AwayWon]], Table1[[GameIsOver]:[GameIsOver]],1,Table1[[AwayTeam]:[AwayTeam]],$A14, Table1[[HomeTeam]:[HomeTeam]], AE$1) + SUMIFS(Table1[[HomeWon]:[HomeWon]], Table1[[GameIsOver]:[GameIsOver]],1,Table1[[HomeTeam]:[HomeTeam]],$A14, Table1[[AwayTeam]:[AwayTeam]], AE$1),0), "-", TEXT(SUMIFS(Table1[[HomeWon]:[HomeWon]], Table1[[GameIsOver]:[GameIsOver]],1,Table1[[AwayTeam]:[AwayTeam]],$A14, Table1[[HomeTeam]:[HomeTeam]], AE$1, Table1[[ActualResult]:[ActualResult]], "REG") + SUMIFS(Table1[[AwayWon]:[AwayWon]], Table1[[GameIsOver]:[GameIsOver]],1,Table1[[HomeTeam]:[HomeTeam]],$A14, Table1[[AwayTeam]:[AwayTeam]], AE$1, Table1[[ActualResult]:[ActualResult]], "REG"),0), "-", TEXT(SUMIFS(Table1[[HomeWon]:[HomeWon]], Table1[[GameIsOver]:[GameIsOver]],1,Table1[[AwayTeam]:[AwayTeam]],$A14, Table1[[HomeTeam]:[HomeTeam]], AE$1, Table1[[ActualResult]:[ActualResult]], "OT") + SUMIFS(Table1[[AwayWon]:[AwayWon]], Table1[[GameIsOver]:[GameIsOver]],1,Table1[[HomeTeam]:[HomeTeam]],$A14, Table1[[AwayTeam]:[AwayTeam]], AE$1, Table1[[ActualResult]:[ActualResult]], "OT") + SUMIFS(Table1[[HomeWon]:[HomeWon]], Table1[[GameIsOver]:[GameIsOver]],1,Table1[[AwayTeam]:[AwayTeam]],$A14, Table1[[HomeTeam]:[HomeTeam]], AE$1, Table1[[ActualResult]:[ActualResult]], "SO") + SUMIFS(Table1[[AwayWon]:[AwayWon]], Table1[[GameIsOver]:[GameIsOver]],1,Table1[[HomeTeam]:[HomeTeam]],$A14, Table1[[AwayTeam]:[AwayTeam]], AE$1, Table1[[ActualResult]:[ActualResult]], "SO"),0))</f>
        <v>0-0-0</v>
      </c>
      <c r="AF14" s="43" t="str">
        <f>_xlfn.CONCAT(TEXT(SUMIFS(Table1[[AwayWon]:[AwayWon]], Table1[[GameIsOver]:[GameIsOver]],1,Table1[[AwayTeam]:[AwayTeam]],$A14, Table1[[HomeTeam]:[HomeTeam]], AF$1) + SUMIFS(Table1[[HomeWon]:[HomeWon]], Table1[[GameIsOver]:[GameIsOver]],1,Table1[[HomeTeam]:[HomeTeam]],$A14, Table1[[AwayTeam]:[AwayTeam]], AF$1),0), "-", TEXT(SUMIFS(Table1[[HomeWon]:[HomeWon]], Table1[[GameIsOver]:[GameIsOver]],1,Table1[[AwayTeam]:[AwayTeam]],$A14, Table1[[HomeTeam]:[HomeTeam]], AF$1, Table1[[ActualResult]:[ActualResult]], "REG") + SUMIFS(Table1[[AwayWon]:[AwayWon]], Table1[[GameIsOver]:[GameIsOver]],1,Table1[[HomeTeam]:[HomeTeam]],$A14, Table1[[AwayTeam]:[AwayTeam]], AF$1, Table1[[ActualResult]:[ActualResult]], "REG"),0), "-", TEXT(SUMIFS(Table1[[HomeWon]:[HomeWon]], Table1[[GameIsOver]:[GameIsOver]],1,Table1[[AwayTeam]:[AwayTeam]],$A14, Table1[[HomeTeam]:[HomeTeam]], AF$1, Table1[[ActualResult]:[ActualResult]], "OT") + SUMIFS(Table1[[AwayWon]:[AwayWon]], Table1[[GameIsOver]:[GameIsOver]],1,Table1[[HomeTeam]:[HomeTeam]],$A14, Table1[[AwayTeam]:[AwayTeam]], AF$1, Table1[[ActualResult]:[ActualResult]], "OT") + SUMIFS(Table1[[HomeWon]:[HomeWon]], Table1[[GameIsOver]:[GameIsOver]],1,Table1[[AwayTeam]:[AwayTeam]],$A14, Table1[[HomeTeam]:[HomeTeam]], AF$1, Table1[[ActualResult]:[ActualResult]], "SO") + SUMIFS(Table1[[AwayWon]:[AwayWon]], Table1[[GameIsOver]:[GameIsOver]],1,Table1[[HomeTeam]:[HomeTeam]],$A14, Table1[[AwayTeam]:[AwayTeam]], AF$1, Table1[[ActualResult]:[ActualResult]], "SO"),0))</f>
        <v>0-0-0</v>
      </c>
      <c r="AG14" s="43" t="str">
        <f>_xlfn.CONCAT(TEXT(SUMIFS(Table1[[AwayWon]:[AwayWon]], Table1[[GameIsOver]:[GameIsOver]],1,Table1[[AwayTeam]:[AwayTeam]],$A14, Table1[[HomeTeam]:[HomeTeam]], AG$1) + SUMIFS(Table1[[HomeWon]:[HomeWon]], Table1[[GameIsOver]:[GameIsOver]],1,Table1[[HomeTeam]:[HomeTeam]],$A14, Table1[[AwayTeam]:[AwayTeam]], AG$1),0), "-", TEXT(SUMIFS(Table1[[HomeWon]:[HomeWon]], Table1[[GameIsOver]:[GameIsOver]],1,Table1[[AwayTeam]:[AwayTeam]],$A14, Table1[[HomeTeam]:[HomeTeam]], AG$1, Table1[[ActualResult]:[ActualResult]], "REG") + SUMIFS(Table1[[AwayWon]:[AwayWon]], Table1[[GameIsOver]:[GameIsOver]],1,Table1[[HomeTeam]:[HomeTeam]],$A14, Table1[[AwayTeam]:[AwayTeam]], AG$1, Table1[[ActualResult]:[ActualResult]], "REG"),0), "-", TEXT(SUMIFS(Table1[[HomeWon]:[HomeWon]], Table1[[GameIsOver]:[GameIsOver]],1,Table1[[AwayTeam]:[AwayTeam]],$A14, Table1[[HomeTeam]:[HomeTeam]], AG$1, Table1[[ActualResult]:[ActualResult]], "OT") + SUMIFS(Table1[[AwayWon]:[AwayWon]], Table1[[GameIsOver]:[GameIsOver]],1,Table1[[HomeTeam]:[HomeTeam]],$A14, Table1[[AwayTeam]:[AwayTeam]], AG$1, Table1[[ActualResult]:[ActualResult]], "OT") + SUMIFS(Table1[[HomeWon]:[HomeWon]], Table1[[GameIsOver]:[GameIsOver]],1,Table1[[AwayTeam]:[AwayTeam]],$A14, Table1[[HomeTeam]:[HomeTeam]], AG$1, Table1[[ActualResult]:[ActualResult]], "SO") + SUMIFS(Table1[[AwayWon]:[AwayWon]], Table1[[GameIsOver]:[GameIsOver]],1,Table1[[HomeTeam]:[HomeTeam]],$A14, Table1[[AwayTeam]:[AwayTeam]], AG$1, Table1[[ActualResult]:[ActualResult]], "SO"),0))</f>
        <v>0-0-0</v>
      </c>
    </row>
    <row r="15" spans="1:33" x14ac:dyDescent="0.25">
      <c r="A15" s="17" t="s">
        <v>61</v>
      </c>
      <c r="B15" s="43" t="str">
        <f>_xlfn.CONCAT(TEXT(SUMIFS(Table1[[AwayWon]:[AwayWon]], Table1[[GameIsOver]:[GameIsOver]],1,Table1[[AwayTeam]:[AwayTeam]],$A15, Table1[[HomeTeam]:[HomeTeam]], B$1) + SUMIFS(Table1[[HomeWon]:[HomeWon]], Table1[[GameIsOver]:[GameIsOver]],1,Table1[[HomeTeam]:[HomeTeam]],$A15, Table1[[AwayTeam]:[AwayTeam]], B$1),0), "-", TEXT(SUMIFS(Table1[[HomeWon]:[HomeWon]], Table1[[GameIsOver]:[GameIsOver]],1,Table1[[AwayTeam]:[AwayTeam]],$A15, Table1[[HomeTeam]:[HomeTeam]], B$1, Table1[[ActualResult]:[ActualResult]], "REG") + SUMIFS(Table1[[AwayWon]:[AwayWon]], Table1[[GameIsOver]:[GameIsOver]],1,Table1[[HomeTeam]:[HomeTeam]],$A15, Table1[[AwayTeam]:[AwayTeam]], B$1, Table1[[ActualResult]:[ActualResult]], "REG"),0), "-", TEXT(SUMIFS(Table1[[HomeWon]:[HomeWon]], Table1[[GameIsOver]:[GameIsOver]],1,Table1[[AwayTeam]:[AwayTeam]],$A15, Table1[[HomeTeam]:[HomeTeam]], B$1, Table1[[ActualResult]:[ActualResult]], "OT") + SUMIFS(Table1[[AwayWon]:[AwayWon]], Table1[[GameIsOver]:[GameIsOver]],1,Table1[[HomeTeam]:[HomeTeam]],$A15, Table1[[AwayTeam]:[AwayTeam]], B$1, Table1[[ActualResult]:[ActualResult]], "OT") + SUMIFS(Table1[[HomeWon]:[HomeWon]], Table1[[GameIsOver]:[GameIsOver]],1,Table1[[AwayTeam]:[AwayTeam]],$A15, Table1[[HomeTeam]:[HomeTeam]], B$1, Table1[[ActualResult]:[ActualResult]], "SO") + SUMIFS(Table1[[AwayWon]:[AwayWon]], Table1[[GameIsOver]:[GameIsOver]],1,Table1[[HomeTeam]:[HomeTeam]],$A15, Table1[[AwayTeam]:[AwayTeam]], B$1, Table1[[ActualResult]:[ActualResult]], "SO"),0))</f>
        <v>0-0-0</v>
      </c>
      <c r="C15" s="43" t="str">
        <f>_xlfn.CONCAT(TEXT(SUMIFS(Table1[[AwayWon]:[AwayWon]], Table1[[GameIsOver]:[GameIsOver]],1,Table1[[AwayTeam]:[AwayTeam]],$A15, Table1[[HomeTeam]:[HomeTeam]], C$1) + SUMIFS(Table1[[HomeWon]:[HomeWon]], Table1[[GameIsOver]:[GameIsOver]],1,Table1[[HomeTeam]:[HomeTeam]],$A15, Table1[[AwayTeam]:[AwayTeam]], C$1),0), "-", TEXT(SUMIFS(Table1[[HomeWon]:[HomeWon]], Table1[[GameIsOver]:[GameIsOver]],1,Table1[[AwayTeam]:[AwayTeam]],$A15, Table1[[HomeTeam]:[HomeTeam]], C$1, Table1[[ActualResult]:[ActualResult]], "REG") + SUMIFS(Table1[[AwayWon]:[AwayWon]], Table1[[GameIsOver]:[GameIsOver]],1,Table1[[HomeTeam]:[HomeTeam]],$A15, Table1[[AwayTeam]:[AwayTeam]], C$1, Table1[[ActualResult]:[ActualResult]], "REG"),0), "-", TEXT(SUMIFS(Table1[[HomeWon]:[HomeWon]], Table1[[GameIsOver]:[GameIsOver]],1,Table1[[AwayTeam]:[AwayTeam]],$A15, Table1[[HomeTeam]:[HomeTeam]], C$1, Table1[[ActualResult]:[ActualResult]], "OT") + SUMIFS(Table1[[AwayWon]:[AwayWon]], Table1[[GameIsOver]:[GameIsOver]],1,Table1[[HomeTeam]:[HomeTeam]],$A15, Table1[[AwayTeam]:[AwayTeam]], C$1, Table1[[ActualResult]:[ActualResult]], "OT") + SUMIFS(Table1[[HomeWon]:[HomeWon]], Table1[[GameIsOver]:[GameIsOver]],1,Table1[[AwayTeam]:[AwayTeam]],$A15, Table1[[HomeTeam]:[HomeTeam]], C$1, Table1[[ActualResult]:[ActualResult]], "SO") + SUMIFS(Table1[[AwayWon]:[AwayWon]], Table1[[GameIsOver]:[GameIsOver]],1,Table1[[HomeTeam]:[HomeTeam]],$A15, Table1[[AwayTeam]:[AwayTeam]], C$1, Table1[[ActualResult]:[ActualResult]], "SO"),0))</f>
        <v>0-0-0</v>
      </c>
      <c r="D15" s="43" t="str">
        <f>_xlfn.CONCAT(TEXT(SUMIFS(Table1[[AwayWon]:[AwayWon]], Table1[[GameIsOver]:[GameIsOver]],1,Table1[[AwayTeam]:[AwayTeam]],$A15, Table1[[HomeTeam]:[HomeTeam]], D$1) + SUMIFS(Table1[[HomeWon]:[HomeWon]], Table1[[GameIsOver]:[GameIsOver]],1,Table1[[HomeTeam]:[HomeTeam]],$A15, Table1[[AwayTeam]:[AwayTeam]], D$1),0), "-", TEXT(SUMIFS(Table1[[HomeWon]:[HomeWon]], Table1[[GameIsOver]:[GameIsOver]],1,Table1[[AwayTeam]:[AwayTeam]],$A15, Table1[[HomeTeam]:[HomeTeam]], D$1, Table1[[ActualResult]:[ActualResult]], "REG") + SUMIFS(Table1[[AwayWon]:[AwayWon]], Table1[[GameIsOver]:[GameIsOver]],1,Table1[[HomeTeam]:[HomeTeam]],$A15, Table1[[AwayTeam]:[AwayTeam]], D$1, Table1[[ActualResult]:[ActualResult]], "REG"),0), "-", TEXT(SUMIFS(Table1[[HomeWon]:[HomeWon]], Table1[[GameIsOver]:[GameIsOver]],1,Table1[[AwayTeam]:[AwayTeam]],$A15, Table1[[HomeTeam]:[HomeTeam]], D$1, Table1[[ActualResult]:[ActualResult]], "OT") + SUMIFS(Table1[[AwayWon]:[AwayWon]], Table1[[GameIsOver]:[GameIsOver]],1,Table1[[HomeTeam]:[HomeTeam]],$A15, Table1[[AwayTeam]:[AwayTeam]], D$1, Table1[[ActualResult]:[ActualResult]], "OT") + SUMIFS(Table1[[HomeWon]:[HomeWon]], Table1[[GameIsOver]:[GameIsOver]],1,Table1[[AwayTeam]:[AwayTeam]],$A15, Table1[[HomeTeam]:[HomeTeam]], D$1, Table1[[ActualResult]:[ActualResult]], "SO") + SUMIFS(Table1[[AwayWon]:[AwayWon]], Table1[[GameIsOver]:[GameIsOver]],1,Table1[[HomeTeam]:[HomeTeam]],$A15, Table1[[AwayTeam]:[AwayTeam]], D$1, Table1[[ActualResult]:[ActualResult]], "SO"),0))</f>
        <v>0-0-0</v>
      </c>
      <c r="E15" s="43" t="str">
        <f>_xlfn.CONCAT(TEXT(SUMIFS(Table1[[AwayWon]:[AwayWon]], Table1[[GameIsOver]:[GameIsOver]],1,Table1[[AwayTeam]:[AwayTeam]],$A15, Table1[[HomeTeam]:[HomeTeam]], E$1) + SUMIFS(Table1[[HomeWon]:[HomeWon]], Table1[[GameIsOver]:[GameIsOver]],1,Table1[[HomeTeam]:[HomeTeam]],$A15, Table1[[AwayTeam]:[AwayTeam]], E$1),0), "-", TEXT(SUMIFS(Table1[[HomeWon]:[HomeWon]], Table1[[GameIsOver]:[GameIsOver]],1,Table1[[AwayTeam]:[AwayTeam]],$A15, Table1[[HomeTeam]:[HomeTeam]], E$1, Table1[[ActualResult]:[ActualResult]], "REG") + SUMIFS(Table1[[AwayWon]:[AwayWon]], Table1[[GameIsOver]:[GameIsOver]],1,Table1[[HomeTeam]:[HomeTeam]],$A15, Table1[[AwayTeam]:[AwayTeam]], E$1, Table1[[ActualResult]:[ActualResult]], "REG"),0), "-", TEXT(SUMIFS(Table1[[HomeWon]:[HomeWon]], Table1[[GameIsOver]:[GameIsOver]],1,Table1[[AwayTeam]:[AwayTeam]],$A15, Table1[[HomeTeam]:[HomeTeam]], E$1, Table1[[ActualResult]:[ActualResult]], "OT") + SUMIFS(Table1[[AwayWon]:[AwayWon]], Table1[[GameIsOver]:[GameIsOver]],1,Table1[[HomeTeam]:[HomeTeam]],$A15, Table1[[AwayTeam]:[AwayTeam]], E$1, Table1[[ActualResult]:[ActualResult]], "OT") + SUMIFS(Table1[[HomeWon]:[HomeWon]], Table1[[GameIsOver]:[GameIsOver]],1,Table1[[AwayTeam]:[AwayTeam]],$A15, Table1[[HomeTeam]:[HomeTeam]], E$1, Table1[[ActualResult]:[ActualResult]], "SO") + SUMIFS(Table1[[AwayWon]:[AwayWon]], Table1[[GameIsOver]:[GameIsOver]],1,Table1[[HomeTeam]:[HomeTeam]],$A15, Table1[[AwayTeam]:[AwayTeam]], E$1, Table1[[ActualResult]:[ActualResult]], "SO"),0))</f>
        <v>0-0-0</v>
      </c>
      <c r="F15" s="43" t="str">
        <f>_xlfn.CONCAT(TEXT(SUMIFS(Table1[[AwayWon]:[AwayWon]], Table1[[GameIsOver]:[GameIsOver]],1,Table1[[AwayTeam]:[AwayTeam]],$A15, Table1[[HomeTeam]:[HomeTeam]], F$1) + SUMIFS(Table1[[HomeWon]:[HomeWon]], Table1[[GameIsOver]:[GameIsOver]],1,Table1[[HomeTeam]:[HomeTeam]],$A15, Table1[[AwayTeam]:[AwayTeam]], F$1),0), "-", TEXT(SUMIFS(Table1[[HomeWon]:[HomeWon]], Table1[[GameIsOver]:[GameIsOver]],1,Table1[[AwayTeam]:[AwayTeam]],$A15, Table1[[HomeTeam]:[HomeTeam]], F$1, Table1[[ActualResult]:[ActualResult]], "REG") + SUMIFS(Table1[[AwayWon]:[AwayWon]], Table1[[GameIsOver]:[GameIsOver]],1,Table1[[HomeTeam]:[HomeTeam]],$A15, Table1[[AwayTeam]:[AwayTeam]], F$1, Table1[[ActualResult]:[ActualResult]], "REG"),0), "-", TEXT(SUMIFS(Table1[[HomeWon]:[HomeWon]], Table1[[GameIsOver]:[GameIsOver]],1,Table1[[AwayTeam]:[AwayTeam]],$A15, Table1[[HomeTeam]:[HomeTeam]], F$1, Table1[[ActualResult]:[ActualResult]], "OT") + SUMIFS(Table1[[AwayWon]:[AwayWon]], Table1[[GameIsOver]:[GameIsOver]],1,Table1[[HomeTeam]:[HomeTeam]],$A15, Table1[[AwayTeam]:[AwayTeam]], F$1, Table1[[ActualResult]:[ActualResult]], "OT") + SUMIFS(Table1[[HomeWon]:[HomeWon]], Table1[[GameIsOver]:[GameIsOver]],1,Table1[[AwayTeam]:[AwayTeam]],$A15, Table1[[HomeTeam]:[HomeTeam]], F$1, Table1[[ActualResult]:[ActualResult]], "SO") + SUMIFS(Table1[[AwayWon]:[AwayWon]], Table1[[GameIsOver]:[GameIsOver]],1,Table1[[HomeTeam]:[HomeTeam]],$A15, Table1[[AwayTeam]:[AwayTeam]], F$1, Table1[[ActualResult]:[ActualResult]], "SO"),0))</f>
        <v>0-0-0</v>
      </c>
      <c r="G15" s="43" t="str">
        <f>_xlfn.CONCAT(TEXT(SUMIFS(Table1[[AwayWon]:[AwayWon]], Table1[[GameIsOver]:[GameIsOver]],1,Table1[[AwayTeam]:[AwayTeam]],$A15, Table1[[HomeTeam]:[HomeTeam]], G$1) + SUMIFS(Table1[[HomeWon]:[HomeWon]], Table1[[GameIsOver]:[GameIsOver]],1,Table1[[HomeTeam]:[HomeTeam]],$A15, Table1[[AwayTeam]:[AwayTeam]], G$1),0), "-", TEXT(SUMIFS(Table1[[HomeWon]:[HomeWon]], Table1[[GameIsOver]:[GameIsOver]],1,Table1[[AwayTeam]:[AwayTeam]],$A15, Table1[[HomeTeam]:[HomeTeam]], G$1, Table1[[ActualResult]:[ActualResult]], "REG") + SUMIFS(Table1[[AwayWon]:[AwayWon]], Table1[[GameIsOver]:[GameIsOver]],1,Table1[[HomeTeam]:[HomeTeam]],$A15, Table1[[AwayTeam]:[AwayTeam]], G$1, Table1[[ActualResult]:[ActualResult]], "REG"),0), "-", TEXT(SUMIFS(Table1[[HomeWon]:[HomeWon]], Table1[[GameIsOver]:[GameIsOver]],1,Table1[[AwayTeam]:[AwayTeam]],$A15, Table1[[HomeTeam]:[HomeTeam]], G$1, Table1[[ActualResult]:[ActualResult]], "OT") + SUMIFS(Table1[[AwayWon]:[AwayWon]], Table1[[GameIsOver]:[GameIsOver]],1,Table1[[HomeTeam]:[HomeTeam]],$A15, Table1[[AwayTeam]:[AwayTeam]], G$1, Table1[[ActualResult]:[ActualResult]], "OT") + SUMIFS(Table1[[HomeWon]:[HomeWon]], Table1[[GameIsOver]:[GameIsOver]],1,Table1[[AwayTeam]:[AwayTeam]],$A15, Table1[[HomeTeam]:[HomeTeam]], G$1, Table1[[ActualResult]:[ActualResult]], "SO") + SUMIFS(Table1[[AwayWon]:[AwayWon]], Table1[[GameIsOver]:[GameIsOver]],1,Table1[[HomeTeam]:[HomeTeam]],$A15, Table1[[AwayTeam]:[AwayTeam]], G$1, Table1[[ActualResult]:[ActualResult]], "SO"),0))</f>
        <v>0-0-0</v>
      </c>
      <c r="H15" s="43" t="str">
        <f>_xlfn.CONCAT(TEXT(SUMIFS(Table1[[AwayWon]:[AwayWon]], Table1[[GameIsOver]:[GameIsOver]],1,Table1[[AwayTeam]:[AwayTeam]],$A15, Table1[[HomeTeam]:[HomeTeam]], H$1) + SUMIFS(Table1[[HomeWon]:[HomeWon]], Table1[[GameIsOver]:[GameIsOver]],1,Table1[[HomeTeam]:[HomeTeam]],$A15, Table1[[AwayTeam]:[AwayTeam]], H$1),0), "-", TEXT(SUMIFS(Table1[[HomeWon]:[HomeWon]], Table1[[GameIsOver]:[GameIsOver]],1,Table1[[AwayTeam]:[AwayTeam]],$A15, Table1[[HomeTeam]:[HomeTeam]], H$1, Table1[[ActualResult]:[ActualResult]], "REG") + SUMIFS(Table1[[AwayWon]:[AwayWon]], Table1[[GameIsOver]:[GameIsOver]],1,Table1[[HomeTeam]:[HomeTeam]],$A15, Table1[[AwayTeam]:[AwayTeam]], H$1, Table1[[ActualResult]:[ActualResult]], "REG"),0), "-", TEXT(SUMIFS(Table1[[HomeWon]:[HomeWon]], Table1[[GameIsOver]:[GameIsOver]],1,Table1[[AwayTeam]:[AwayTeam]],$A15, Table1[[HomeTeam]:[HomeTeam]], H$1, Table1[[ActualResult]:[ActualResult]], "OT") + SUMIFS(Table1[[AwayWon]:[AwayWon]], Table1[[GameIsOver]:[GameIsOver]],1,Table1[[HomeTeam]:[HomeTeam]],$A15, Table1[[AwayTeam]:[AwayTeam]], H$1, Table1[[ActualResult]:[ActualResult]], "OT") + SUMIFS(Table1[[HomeWon]:[HomeWon]], Table1[[GameIsOver]:[GameIsOver]],1,Table1[[AwayTeam]:[AwayTeam]],$A15, Table1[[HomeTeam]:[HomeTeam]], H$1, Table1[[ActualResult]:[ActualResult]], "SO") + SUMIFS(Table1[[AwayWon]:[AwayWon]], Table1[[GameIsOver]:[GameIsOver]],1,Table1[[HomeTeam]:[HomeTeam]],$A15, Table1[[AwayTeam]:[AwayTeam]], H$1, Table1[[ActualResult]:[ActualResult]], "SO"),0))</f>
        <v>0-0-0</v>
      </c>
      <c r="I15" s="45" t="str">
        <f>_xlfn.CONCAT(TEXT(SUMIFS(Table1[[AwayWon]:[AwayWon]], Table1[[GameIsOver]:[GameIsOver]],1,Table1[[AwayTeam]:[AwayTeam]],$A15, Table1[[HomeTeam]:[HomeTeam]], I$1) + SUMIFS(Table1[[HomeWon]:[HomeWon]], Table1[[GameIsOver]:[GameIsOver]],1,Table1[[HomeTeam]:[HomeTeam]],$A15, Table1[[AwayTeam]:[AwayTeam]], I$1),0), "-", TEXT(SUMIFS(Table1[[HomeWon]:[HomeWon]], Table1[[GameIsOver]:[GameIsOver]],1,Table1[[AwayTeam]:[AwayTeam]],$A15, Table1[[HomeTeam]:[HomeTeam]], I$1, Table1[[ActualResult]:[ActualResult]], "REG") + SUMIFS(Table1[[AwayWon]:[AwayWon]], Table1[[GameIsOver]:[GameIsOver]],1,Table1[[HomeTeam]:[HomeTeam]],$A15, Table1[[AwayTeam]:[AwayTeam]], I$1, Table1[[ActualResult]:[ActualResult]], "REG"),0), "-", TEXT(SUMIFS(Table1[[HomeWon]:[HomeWon]], Table1[[GameIsOver]:[GameIsOver]],1,Table1[[AwayTeam]:[AwayTeam]],$A15, Table1[[HomeTeam]:[HomeTeam]], I$1, Table1[[ActualResult]:[ActualResult]], "OT") + SUMIFS(Table1[[AwayWon]:[AwayWon]], Table1[[GameIsOver]:[GameIsOver]],1,Table1[[HomeTeam]:[HomeTeam]],$A15, Table1[[AwayTeam]:[AwayTeam]], I$1, Table1[[ActualResult]:[ActualResult]], "OT") + SUMIFS(Table1[[HomeWon]:[HomeWon]], Table1[[GameIsOver]:[GameIsOver]],1,Table1[[AwayTeam]:[AwayTeam]],$A15, Table1[[HomeTeam]:[HomeTeam]], I$1, Table1[[ActualResult]:[ActualResult]], "SO") + SUMIFS(Table1[[AwayWon]:[AwayWon]], Table1[[GameIsOver]:[GameIsOver]],1,Table1[[HomeTeam]:[HomeTeam]],$A15, Table1[[AwayTeam]:[AwayTeam]], I$1, Table1[[ActualResult]:[ActualResult]], "SO"),0))</f>
        <v>0-0-0</v>
      </c>
      <c r="J15" s="43" t="str">
        <f>_xlfn.CONCAT(TEXT(SUMIFS(Table1[[AwayWon]:[AwayWon]], Table1[[GameIsOver]:[GameIsOver]],1,Table1[[AwayTeam]:[AwayTeam]],$A15, Table1[[HomeTeam]:[HomeTeam]], J$1) + SUMIFS(Table1[[HomeWon]:[HomeWon]], Table1[[GameIsOver]:[GameIsOver]],1,Table1[[HomeTeam]:[HomeTeam]],$A15, Table1[[AwayTeam]:[AwayTeam]], J$1),0), "-", TEXT(SUMIFS(Table1[[HomeWon]:[HomeWon]], Table1[[GameIsOver]:[GameIsOver]],1,Table1[[AwayTeam]:[AwayTeam]],$A15, Table1[[HomeTeam]:[HomeTeam]], J$1, Table1[[ActualResult]:[ActualResult]], "REG") + SUMIFS(Table1[[AwayWon]:[AwayWon]], Table1[[GameIsOver]:[GameIsOver]],1,Table1[[HomeTeam]:[HomeTeam]],$A15, Table1[[AwayTeam]:[AwayTeam]], J$1, Table1[[ActualResult]:[ActualResult]], "REG"),0), "-", TEXT(SUMIFS(Table1[[HomeWon]:[HomeWon]], Table1[[GameIsOver]:[GameIsOver]],1,Table1[[AwayTeam]:[AwayTeam]],$A15, Table1[[HomeTeam]:[HomeTeam]], J$1, Table1[[ActualResult]:[ActualResult]], "OT") + SUMIFS(Table1[[AwayWon]:[AwayWon]], Table1[[GameIsOver]:[GameIsOver]],1,Table1[[HomeTeam]:[HomeTeam]],$A15, Table1[[AwayTeam]:[AwayTeam]], J$1, Table1[[ActualResult]:[ActualResult]], "OT") + SUMIFS(Table1[[HomeWon]:[HomeWon]], Table1[[GameIsOver]:[GameIsOver]],1,Table1[[AwayTeam]:[AwayTeam]],$A15, Table1[[HomeTeam]:[HomeTeam]], J$1, Table1[[ActualResult]:[ActualResult]], "SO") + SUMIFS(Table1[[AwayWon]:[AwayWon]], Table1[[GameIsOver]:[GameIsOver]],1,Table1[[HomeTeam]:[HomeTeam]],$A15, Table1[[AwayTeam]:[AwayTeam]], J$1, Table1[[ActualResult]:[ActualResult]], "SO"),0))</f>
        <v>0-0-0</v>
      </c>
      <c r="K15" s="43" t="str">
        <f>_xlfn.CONCAT(TEXT(SUMIFS(Table1[[AwayWon]:[AwayWon]], Table1[[GameIsOver]:[GameIsOver]],1,Table1[[AwayTeam]:[AwayTeam]],$A15, Table1[[HomeTeam]:[HomeTeam]], K$1) + SUMIFS(Table1[[HomeWon]:[HomeWon]], Table1[[GameIsOver]:[GameIsOver]],1,Table1[[HomeTeam]:[HomeTeam]],$A15, Table1[[AwayTeam]:[AwayTeam]], K$1),0), "-", TEXT(SUMIFS(Table1[[HomeWon]:[HomeWon]], Table1[[GameIsOver]:[GameIsOver]],1,Table1[[AwayTeam]:[AwayTeam]],$A15, Table1[[HomeTeam]:[HomeTeam]], K$1, Table1[[ActualResult]:[ActualResult]], "REG") + SUMIFS(Table1[[AwayWon]:[AwayWon]], Table1[[GameIsOver]:[GameIsOver]],1,Table1[[HomeTeam]:[HomeTeam]],$A15, Table1[[AwayTeam]:[AwayTeam]], K$1, Table1[[ActualResult]:[ActualResult]], "REG"),0), "-", TEXT(SUMIFS(Table1[[HomeWon]:[HomeWon]], Table1[[GameIsOver]:[GameIsOver]],1,Table1[[AwayTeam]:[AwayTeam]],$A15, Table1[[HomeTeam]:[HomeTeam]], K$1, Table1[[ActualResult]:[ActualResult]], "OT") + SUMIFS(Table1[[AwayWon]:[AwayWon]], Table1[[GameIsOver]:[GameIsOver]],1,Table1[[HomeTeam]:[HomeTeam]],$A15, Table1[[AwayTeam]:[AwayTeam]], K$1, Table1[[ActualResult]:[ActualResult]], "OT") + SUMIFS(Table1[[HomeWon]:[HomeWon]], Table1[[GameIsOver]:[GameIsOver]],1,Table1[[AwayTeam]:[AwayTeam]],$A15, Table1[[HomeTeam]:[HomeTeam]], K$1, Table1[[ActualResult]:[ActualResult]], "SO") + SUMIFS(Table1[[AwayWon]:[AwayWon]], Table1[[GameIsOver]:[GameIsOver]],1,Table1[[HomeTeam]:[HomeTeam]],$A15, Table1[[AwayTeam]:[AwayTeam]], K$1, Table1[[ActualResult]:[ActualResult]], "SO"),0))</f>
        <v>0-0-0</v>
      </c>
      <c r="L15" s="43" t="str">
        <f>_xlfn.CONCAT(TEXT(SUMIFS(Table1[[AwayWon]:[AwayWon]], Table1[[GameIsOver]:[GameIsOver]],1,Table1[[AwayTeam]:[AwayTeam]],$A15, Table1[[HomeTeam]:[HomeTeam]], L$1) + SUMIFS(Table1[[HomeWon]:[HomeWon]], Table1[[GameIsOver]:[GameIsOver]],1,Table1[[HomeTeam]:[HomeTeam]],$A15, Table1[[AwayTeam]:[AwayTeam]], L$1),0), "-", TEXT(SUMIFS(Table1[[HomeWon]:[HomeWon]], Table1[[GameIsOver]:[GameIsOver]],1,Table1[[AwayTeam]:[AwayTeam]],$A15, Table1[[HomeTeam]:[HomeTeam]], L$1, Table1[[ActualResult]:[ActualResult]], "REG") + SUMIFS(Table1[[AwayWon]:[AwayWon]], Table1[[GameIsOver]:[GameIsOver]],1,Table1[[HomeTeam]:[HomeTeam]],$A15, Table1[[AwayTeam]:[AwayTeam]], L$1, Table1[[ActualResult]:[ActualResult]], "REG"),0), "-", TEXT(SUMIFS(Table1[[HomeWon]:[HomeWon]], Table1[[GameIsOver]:[GameIsOver]],1,Table1[[AwayTeam]:[AwayTeam]],$A15, Table1[[HomeTeam]:[HomeTeam]], L$1, Table1[[ActualResult]:[ActualResult]], "OT") + SUMIFS(Table1[[AwayWon]:[AwayWon]], Table1[[GameIsOver]:[GameIsOver]],1,Table1[[HomeTeam]:[HomeTeam]],$A15, Table1[[AwayTeam]:[AwayTeam]], L$1, Table1[[ActualResult]:[ActualResult]], "OT") + SUMIFS(Table1[[HomeWon]:[HomeWon]], Table1[[GameIsOver]:[GameIsOver]],1,Table1[[AwayTeam]:[AwayTeam]],$A15, Table1[[HomeTeam]:[HomeTeam]], L$1, Table1[[ActualResult]:[ActualResult]], "SO") + SUMIFS(Table1[[AwayWon]:[AwayWon]], Table1[[GameIsOver]:[GameIsOver]],1,Table1[[HomeTeam]:[HomeTeam]],$A15, Table1[[AwayTeam]:[AwayTeam]], L$1, Table1[[ActualResult]:[ActualResult]], "SO"),0))</f>
        <v>0-0-0</v>
      </c>
      <c r="M15" s="43" t="str">
        <f>_xlfn.CONCAT(TEXT(SUMIFS(Table1[[AwayWon]:[AwayWon]], Table1[[GameIsOver]:[GameIsOver]],1,Table1[[AwayTeam]:[AwayTeam]],$A15, Table1[[HomeTeam]:[HomeTeam]], M$1) + SUMIFS(Table1[[HomeWon]:[HomeWon]], Table1[[GameIsOver]:[GameIsOver]],1,Table1[[HomeTeam]:[HomeTeam]],$A15, Table1[[AwayTeam]:[AwayTeam]], M$1),0), "-", TEXT(SUMIFS(Table1[[HomeWon]:[HomeWon]], Table1[[GameIsOver]:[GameIsOver]],1,Table1[[AwayTeam]:[AwayTeam]],$A15, Table1[[HomeTeam]:[HomeTeam]], M$1, Table1[[ActualResult]:[ActualResult]], "REG") + SUMIFS(Table1[[AwayWon]:[AwayWon]], Table1[[GameIsOver]:[GameIsOver]],1,Table1[[HomeTeam]:[HomeTeam]],$A15, Table1[[AwayTeam]:[AwayTeam]], M$1, Table1[[ActualResult]:[ActualResult]], "REG"),0), "-", TEXT(SUMIFS(Table1[[HomeWon]:[HomeWon]], Table1[[GameIsOver]:[GameIsOver]],1,Table1[[AwayTeam]:[AwayTeam]],$A15, Table1[[HomeTeam]:[HomeTeam]], M$1, Table1[[ActualResult]:[ActualResult]], "OT") + SUMIFS(Table1[[AwayWon]:[AwayWon]], Table1[[GameIsOver]:[GameIsOver]],1,Table1[[HomeTeam]:[HomeTeam]],$A15, Table1[[AwayTeam]:[AwayTeam]], M$1, Table1[[ActualResult]:[ActualResult]], "OT") + SUMIFS(Table1[[HomeWon]:[HomeWon]], Table1[[GameIsOver]:[GameIsOver]],1,Table1[[AwayTeam]:[AwayTeam]],$A15, Table1[[HomeTeam]:[HomeTeam]], M$1, Table1[[ActualResult]:[ActualResult]], "SO") + SUMIFS(Table1[[AwayWon]:[AwayWon]], Table1[[GameIsOver]:[GameIsOver]],1,Table1[[HomeTeam]:[HomeTeam]],$A15, Table1[[AwayTeam]:[AwayTeam]], M$1, Table1[[ActualResult]:[ActualResult]], "SO"),0))</f>
        <v>0-0-0</v>
      </c>
      <c r="N15" s="43" t="str">
        <f>_xlfn.CONCAT(TEXT(SUMIFS(Table1[[AwayWon]:[AwayWon]], Table1[[GameIsOver]:[GameIsOver]],1,Table1[[AwayTeam]:[AwayTeam]],$A15, Table1[[HomeTeam]:[HomeTeam]], N$1) + SUMIFS(Table1[[HomeWon]:[HomeWon]], Table1[[GameIsOver]:[GameIsOver]],1,Table1[[HomeTeam]:[HomeTeam]],$A15, Table1[[AwayTeam]:[AwayTeam]], N$1),0), "-", TEXT(SUMIFS(Table1[[HomeWon]:[HomeWon]], Table1[[GameIsOver]:[GameIsOver]],1,Table1[[AwayTeam]:[AwayTeam]],$A15, Table1[[HomeTeam]:[HomeTeam]], N$1, Table1[[ActualResult]:[ActualResult]], "REG") + SUMIFS(Table1[[AwayWon]:[AwayWon]], Table1[[GameIsOver]:[GameIsOver]],1,Table1[[HomeTeam]:[HomeTeam]],$A15, Table1[[AwayTeam]:[AwayTeam]], N$1, Table1[[ActualResult]:[ActualResult]], "REG"),0), "-", TEXT(SUMIFS(Table1[[HomeWon]:[HomeWon]], Table1[[GameIsOver]:[GameIsOver]],1,Table1[[AwayTeam]:[AwayTeam]],$A15, Table1[[HomeTeam]:[HomeTeam]], N$1, Table1[[ActualResult]:[ActualResult]], "OT") + SUMIFS(Table1[[AwayWon]:[AwayWon]], Table1[[GameIsOver]:[GameIsOver]],1,Table1[[HomeTeam]:[HomeTeam]],$A15, Table1[[AwayTeam]:[AwayTeam]], N$1, Table1[[ActualResult]:[ActualResult]], "OT") + SUMIFS(Table1[[HomeWon]:[HomeWon]], Table1[[GameIsOver]:[GameIsOver]],1,Table1[[AwayTeam]:[AwayTeam]],$A15, Table1[[HomeTeam]:[HomeTeam]], N$1, Table1[[ActualResult]:[ActualResult]], "SO") + SUMIFS(Table1[[AwayWon]:[AwayWon]], Table1[[GameIsOver]:[GameIsOver]],1,Table1[[HomeTeam]:[HomeTeam]],$A15, Table1[[AwayTeam]:[AwayTeam]], N$1, Table1[[ActualResult]:[ActualResult]], "SO"),0))</f>
        <v>0-0-0</v>
      </c>
      <c r="O15" s="43" t="str">
        <f>_xlfn.CONCAT(TEXT(SUMIFS(Table1[[AwayWon]:[AwayWon]], Table1[[GameIsOver]:[GameIsOver]],1,Table1[[AwayTeam]:[AwayTeam]],$A15, Table1[[HomeTeam]:[HomeTeam]], O$1) + SUMIFS(Table1[[HomeWon]:[HomeWon]], Table1[[GameIsOver]:[GameIsOver]],1,Table1[[HomeTeam]:[HomeTeam]],$A15, Table1[[AwayTeam]:[AwayTeam]], O$1),0), "-", TEXT(SUMIFS(Table1[[HomeWon]:[HomeWon]], Table1[[GameIsOver]:[GameIsOver]],1,Table1[[AwayTeam]:[AwayTeam]],$A15, Table1[[HomeTeam]:[HomeTeam]], O$1, Table1[[ActualResult]:[ActualResult]], "REG") + SUMIFS(Table1[[AwayWon]:[AwayWon]], Table1[[GameIsOver]:[GameIsOver]],1,Table1[[HomeTeam]:[HomeTeam]],$A15, Table1[[AwayTeam]:[AwayTeam]], O$1, Table1[[ActualResult]:[ActualResult]], "REG"),0), "-", TEXT(SUMIFS(Table1[[HomeWon]:[HomeWon]], Table1[[GameIsOver]:[GameIsOver]],1,Table1[[AwayTeam]:[AwayTeam]],$A15, Table1[[HomeTeam]:[HomeTeam]], O$1, Table1[[ActualResult]:[ActualResult]], "OT") + SUMIFS(Table1[[AwayWon]:[AwayWon]], Table1[[GameIsOver]:[GameIsOver]],1,Table1[[HomeTeam]:[HomeTeam]],$A15, Table1[[AwayTeam]:[AwayTeam]], O$1, Table1[[ActualResult]:[ActualResult]], "OT") + SUMIFS(Table1[[HomeWon]:[HomeWon]], Table1[[GameIsOver]:[GameIsOver]],1,Table1[[AwayTeam]:[AwayTeam]],$A15, Table1[[HomeTeam]:[HomeTeam]], O$1, Table1[[ActualResult]:[ActualResult]], "SO") + SUMIFS(Table1[[AwayWon]:[AwayWon]], Table1[[GameIsOver]:[GameIsOver]],1,Table1[[HomeTeam]:[HomeTeam]],$A15, Table1[[AwayTeam]:[AwayTeam]], O$1, Table1[[ActualResult]:[ActualResult]], "SO"),0))</f>
        <v>0-0-0</v>
      </c>
      <c r="P15" s="43" t="str">
        <f>_xlfn.CONCAT(TEXT(SUMIFS(Table1[[AwayWon]:[AwayWon]], Table1[[GameIsOver]:[GameIsOver]],1,Table1[[AwayTeam]:[AwayTeam]],$A15, Table1[[HomeTeam]:[HomeTeam]], P$1) + SUMIFS(Table1[[HomeWon]:[HomeWon]], Table1[[GameIsOver]:[GameIsOver]],1,Table1[[HomeTeam]:[HomeTeam]],$A15, Table1[[AwayTeam]:[AwayTeam]], P$1),0), "-", TEXT(SUMIFS(Table1[[HomeWon]:[HomeWon]], Table1[[GameIsOver]:[GameIsOver]],1,Table1[[AwayTeam]:[AwayTeam]],$A15, Table1[[HomeTeam]:[HomeTeam]], P$1, Table1[[ActualResult]:[ActualResult]], "REG") + SUMIFS(Table1[[AwayWon]:[AwayWon]], Table1[[GameIsOver]:[GameIsOver]],1,Table1[[HomeTeam]:[HomeTeam]],$A15, Table1[[AwayTeam]:[AwayTeam]], P$1, Table1[[ActualResult]:[ActualResult]], "REG"),0), "-", TEXT(SUMIFS(Table1[[HomeWon]:[HomeWon]], Table1[[GameIsOver]:[GameIsOver]],1,Table1[[AwayTeam]:[AwayTeam]],$A15, Table1[[HomeTeam]:[HomeTeam]], P$1, Table1[[ActualResult]:[ActualResult]], "OT") + SUMIFS(Table1[[AwayWon]:[AwayWon]], Table1[[GameIsOver]:[GameIsOver]],1,Table1[[HomeTeam]:[HomeTeam]],$A15, Table1[[AwayTeam]:[AwayTeam]], P$1, Table1[[ActualResult]:[ActualResult]], "OT") + SUMIFS(Table1[[HomeWon]:[HomeWon]], Table1[[GameIsOver]:[GameIsOver]],1,Table1[[AwayTeam]:[AwayTeam]],$A15, Table1[[HomeTeam]:[HomeTeam]], P$1, Table1[[ActualResult]:[ActualResult]], "SO") + SUMIFS(Table1[[AwayWon]:[AwayWon]], Table1[[GameIsOver]:[GameIsOver]],1,Table1[[HomeTeam]:[HomeTeam]],$A15, Table1[[AwayTeam]:[AwayTeam]], P$1, Table1[[ActualResult]:[ActualResult]], "SO"),0))</f>
        <v>0-0-0</v>
      </c>
      <c r="Q15" s="45" t="str">
        <f>_xlfn.CONCAT(TEXT(SUMIFS(Table1[[AwayWon]:[AwayWon]], Table1[[GameIsOver]:[GameIsOver]],1,Table1[[AwayTeam]:[AwayTeam]],$A15, Table1[[HomeTeam]:[HomeTeam]], Q$1) + SUMIFS(Table1[[HomeWon]:[HomeWon]], Table1[[GameIsOver]:[GameIsOver]],1,Table1[[HomeTeam]:[HomeTeam]],$A15, Table1[[AwayTeam]:[AwayTeam]], Q$1),0), "-", TEXT(SUMIFS(Table1[[HomeWon]:[HomeWon]], Table1[[GameIsOver]:[GameIsOver]],1,Table1[[AwayTeam]:[AwayTeam]],$A15, Table1[[HomeTeam]:[HomeTeam]], Q$1, Table1[[ActualResult]:[ActualResult]], "REG") + SUMIFS(Table1[[AwayWon]:[AwayWon]], Table1[[GameIsOver]:[GameIsOver]],1,Table1[[HomeTeam]:[HomeTeam]],$A15, Table1[[AwayTeam]:[AwayTeam]], Q$1, Table1[[ActualResult]:[ActualResult]], "REG"),0), "-", TEXT(SUMIFS(Table1[[HomeWon]:[HomeWon]], Table1[[GameIsOver]:[GameIsOver]],1,Table1[[AwayTeam]:[AwayTeam]],$A15, Table1[[HomeTeam]:[HomeTeam]], Q$1, Table1[[ActualResult]:[ActualResult]], "OT") + SUMIFS(Table1[[AwayWon]:[AwayWon]], Table1[[GameIsOver]:[GameIsOver]],1,Table1[[HomeTeam]:[HomeTeam]],$A15, Table1[[AwayTeam]:[AwayTeam]], Q$1, Table1[[ActualResult]:[ActualResult]], "OT") + SUMIFS(Table1[[HomeWon]:[HomeWon]], Table1[[GameIsOver]:[GameIsOver]],1,Table1[[AwayTeam]:[AwayTeam]],$A15, Table1[[HomeTeam]:[HomeTeam]], Q$1, Table1[[ActualResult]:[ActualResult]], "SO") + SUMIFS(Table1[[AwayWon]:[AwayWon]], Table1[[GameIsOver]:[GameIsOver]],1,Table1[[HomeTeam]:[HomeTeam]],$A15, Table1[[AwayTeam]:[AwayTeam]], Q$1, Table1[[ActualResult]:[ActualResult]], "SO"),0))</f>
        <v>0-0-0</v>
      </c>
      <c r="R15" s="43" t="str">
        <f>_xlfn.CONCAT(TEXT(SUMIFS(Table1[[AwayWon]:[AwayWon]], Table1[[GameIsOver]:[GameIsOver]],1,Table1[[AwayTeam]:[AwayTeam]],$A15, Table1[[HomeTeam]:[HomeTeam]], R$1) + SUMIFS(Table1[[HomeWon]:[HomeWon]], Table1[[GameIsOver]:[GameIsOver]],1,Table1[[HomeTeam]:[HomeTeam]],$A15, Table1[[AwayTeam]:[AwayTeam]], R$1),0), "-", TEXT(SUMIFS(Table1[[HomeWon]:[HomeWon]], Table1[[GameIsOver]:[GameIsOver]],1,Table1[[AwayTeam]:[AwayTeam]],$A15, Table1[[HomeTeam]:[HomeTeam]], R$1, Table1[[ActualResult]:[ActualResult]], "REG") + SUMIFS(Table1[[AwayWon]:[AwayWon]], Table1[[GameIsOver]:[GameIsOver]],1,Table1[[HomeTeam]:[HomeTeam]],$A15, Table1[[AwayTeam]:[AwayTeam]], R$1, Table1[[ActualResult]:[ActualResult]], "REG"),0), "-", TEXT(SUMIFS(Table1[[HomeWon]:[HomeWon]], Table1[[GameIsOver]:[GameIsOver]],1,Table1[[AwayTeam]:[AwayTeam]],$A15, Table1[[HomeTeam]:[HomeTeam]], R$1, Table1[[ActualResult]:[ActualResult]], "OT") + SUMIFS(Table1[[AwayWon]:[AwayWon]], Table1[[GameIsOver]:[GameIsOver]],1,Table1[[HomeTeam]:[HomeTeam]],$A15, Table1[[AwayTeam]:[AwayTeam]], R$1, Table1[[ActualResult]:[ActualResult]], "OT") + SUMIFS(Table1[[HomeWon]:[HomeWon]], Table1[[GameIsOver]:[GameIsOver]],1,Table1[[AwayTeam]:[AwayTeam]],$A15, Table1[[HomeTeam]:[HomeTeam]], R$1, Table1[[ActualResult]:[ActualResult]], "SO") + SUMIFS(Table1[[AwayWon]:[AwayWon]], Table1[[GameIsOver]:[GameIsOver]],1,Table1[[HomeTeam]:[HomeTeam]],$A15, Table1[[AwayTeam]:[AwayTeam]], R$1, Table1[[ActualResult]:[ActualResult]], "SO"),0))</f>
        <v>0-0-0</v>
      </c>
      <c r="S15" s="43" t="str">
        <f>_xlfn.CONCAT(TEXT(SUMIFS(Table1[[AwayWon]:[AwayWon]], Table1[[GameIsOver]:[GameIsOver]],1,Table1[[AwayTeam]:[AwayTeam]],$A15, Table1[[HomeTeam]:[HomeTeam]], S$1) + SUMIFS(Table1[[HomeWon]:[HomeWon]], Table1[[GameIsOver]:[GameIsOver]],1,Table1[[HomeTeam]:[HomeTeam]],$A15, Table1[[AwayTeam]:[AwayTeam]], S$1),0), "-", TEXT(SUMIFS(Table1[[HomeWon]:[HomeWon]], Table1[[GameIsOver]:[GameIsOver]],1,Table1[[AwayTeam]:[AwayTeam]],$A15, Table1[[HomeTeam]:[HomeTeam]], S$1, Table1[[ActualResult]:[ActualResult]], "REG") + SUMIFS(Table1[[AwayWon]:[AwayWon]], Table1[[GameIsOver]:[GameIsOver]],1,Table1[[HomeTeam]:[HomeTeam]],$A15, Table1[[AwayTeam]:[AwayTeam]], S$1, Table1[[ActualResult]:[ActualResult]], "REG"),0), "-", TEXT(SUMIFS(Table1[[HomeWon]:[HomeWon]], Table1[[GameIsOver]:[GameIsOver]],1,Table1[[AwayTeam]:[AwayTeam]],$A15, Table1[[HomeTeam]:[HomeTeam]], S$1, Table1[[ActualResult]:[ActualResult]], "OT") + SUMIFS(Table1[[AwayWon]:[AwayWon]], Table1[[GameIsOver]:[GameIsOver]],1,Table1[[HomeTeam]:[HomeTeam]],$A15, Table1[[AwayTeam]:[AwayTeam]], S$1, Table1[[ActualResult]:[ActualResult]], "OT") + SUMIFS(Table1[[HomeWon]:[HomeWon]], Table1[[GameIsOver]:[GameIsOver]],1,Table1[[AwayTeam]:[AwayTeam]],$A15, Table1[[HomeTeam]:[HomeTeam]], S$1, Table1[[ActualResult]:[ActualResult]], "SO") + SUMIFS(Table1[[AwayWon]:[AwayWon]], Table1[[GameIsOver]:[GameIsOver]],1,Table1[[HomeTeam]:[HomeTeam]],$A15, Table1[[AwayTeam]:[AwayTeam]], S$1, Table1[[ActualResult]:[ActualResult]], "SO"),0))</f>
        <v>0-0-0</v>
      </c>
      <c r="T15" s="43" t="str">
        <f>_xlfn.CONCAT(TEXT(SUMIFS(Table1[[AwayWon]:[AwayWon]], Table1[[GameIsOver]:[GameIsOver]],1,Table1[[AwayTeam]:[AwayTeam]],$A15, Table1[[HomeTeam]:[HomeTeam]], T$1) + SUMIFS(Table1[[HomeWon]:[HomeWon]], Table1[[GameIsOver]:[GameIsOver]],1,Table1[[HomeTeam]:[HomeTeam]],$A15, Table1[[AwayTeam]:[AwayTeam]], T$1),0), "-", TEXT(SUMIFS(Table1[[HomeWon]:[HomeWon]], Table1[[GameIsOver]:[GameIsOver]],1,Table1[[AwayTeam]:[AwayTeam]],$A15, Table1[[HomeTeam]:[HomeTeam]], T$1, Table1[[ActualResult]:[ActualResult]], "REG") + SUMIFS(Table1[[AwayWon]:[AwayWon]], Table1[[GameIsOver]:[GameIsOver]],1,Table1[[HomeTeam]:[HomeTeam]],$A15, Table1[[AwayTeam]:[AwayTeam]], T$1, Table1[[ActualResult]:[ActualResult]], "REG"),0), "-", TEXT(SUMIFS(Table1[[HomeWon]:[HomeWon]], Table1[[GameIsOver]:[GameIsOver]],1,Table1[[AwayTeam]:[AwayTeam]],$A15, Table1[[HomeTeam]:[HomeTeam]], T$1, Table1[[ActualResult]:[ActualResult]], "OT") + SUMIFS(Table1[[AwayWon]:[AwayWon]], Table1[[GameIsOver]:[GameIsOver]],1,Table1[[HomeTeam]:[HomeTeam]],$A15, Table1[[AwayTeam]:[AwayTeam]], T$1, Table1[[ActualResult]:[ActualResult]], "OT") + SUMIFS(Table1[[HomeWon]:[HomeWon]], Table1[[GameIsOver]:[GameIsOver]],1,Table1[[AwayTeam]:[AwayTeam]],$A15, Table1[[HomeTeam]:[HomeTeam]], T$1, Table1[[ActualResult]:[ActualResult]], "SO") + SUMIFS(Table1[[AwayWon]:[AwayWon]], Table1[[GameIsOver]:[GameIsOver]],1,Table1[[HomeTeam]:[HomeTeam]],$A15, Table1[[AwayTeam]:[AwayTeam]], T$1, Table1[[ActualResult]:[ActualResult]], "SO"),0))</f>
        <v>0-0-0</v>
      </c>
      <c r="U15" s="43" t="str">
        <f>_xlfn.CONCAT(TEXT(SUMIFS(Table1[[AwayWon]:[AwayWon]], Table1[[GameIsOver]:[GameIsOver]],1,Table1[[AwayTeam]:[AwayTeam]],$A15, Table1[[HomeTeam]:[HomeTeam]], U$1) + SUMIFS(Table1[[HomeWon]:[HomeWon]], Table1[[GameIsOver]:[GameIsOver]],1,Table1[[HomeTeam]:[HomeTeam]],$A15, Table1[[AwayTeam]:[AwayTeam]], U$1),0), "-", TEXT(SUMIFS(Table1[[HomeWon]:[HomeWon]], Table1[[GameIsOver]:[GameIsOver]],1,Table1[[AwayTeam]:[AwayTeam]],$A15, Table1[[HomeTeam]:[HomeTeam]], U$1, Table1[[ActualResult]:[ActualResult]], "REG") + SUMIFS(Table1[[AwayWon]:[AwayWon]], Table1[[GameIsOver]:[GameIsOver]],1,Table1[[HomeTeam]:[HomeTeam]],$A15, Table1[[AwayTeam]:[AwayTeam]], U$1, Table1[[ActualResult]:[ActualResult]], "REG"),0), "-", TEXT(SUMIFS(Table1[[HomeWon]:[HomeWon]], Table1[[GameIsOver]:[GameIsOver]],1,Table1[[AwayTeam]:[AwayTeam]],$A15, Table1[[HomeTeam]:[HomeTeam]], U$1, Table1[[ActualResult]:[ActualResult]], "OT") + SUMIFS(Table1[[AwayWon]:[AwayWon]], Table1[[GameIsOver]:[GameIsOver]],1,Table1[[HomeTeam]:[HomeTeam]],$A15, Table1[[AwayTeam]:[AwayTeam]], U$1, Table1[[ActualResult]:[ActualResult]], "OT") + SUMIFS(Table1[[HomeWon]:[HomeWon]], Table1[[GameIsOver]:[GameIsOver]],1,Table1[[AwayTeam]:[AwayTeam]],$A15, Table1[[HomeTeam]:[HomeTeam]], U$1, Table1[[ActualResult]:[ActualResult]], "SO") + SUMIFS(Table1[[AwayWon]:[AwayWon]], Table1[[GameIsOver]:[GameIsOver]],1,Table1[[HomeTeam]:[HomeTeam]],$A15, Table1[[AwayTeam]:[AwayTeam]], U$1, Table1[[ActualResult]:[ActualResult]], "SO"),0))</f>
        <v>0-0-0</v>
      </c>
      <c r="V15" s="43" t="str">
        <f>_xlfn.CONCAT(TEXT(SUMIFS(Table1[[AwayWon]:[AwayWon]], Table1[[GameIsOver]:[GameIsOver]],1,Table1[[AwayTeam]:[AwayTeam]],$A15, Table1[[HomeTeam]:[HomeTeam]], V$1) + SUMIFS(Table1[[HomeWon]:[HomeWon]], Table1[[GameIsOver]:[GameIsOver]],1,Table1[[HomeTeam]:[HomeTeam]],$A15, Table1[[AwayTeam]:[AwayTeam]], V$1),0), "-", TEXT(SUMIFS(Table1[[HomeWon]:[HomeWon]], Table1[[GameIsOver]:[GameIsOver]],1,Table1[[AwayTeam]:[AwayTeam]],$A15, Table1[[HomeTeam]:[HomeTeam]], V$1, Table1[[ActualResult]:[ActualResult]], "REG") + SUMIFS(Table1[[AwayWon]:[AwayWon]], Table1[[GameIsOver]:[GameIsOver]],1,Table1[[HomeTeam]:[HomeTeam]],$A15, Table1[[AwayTeam]:[AwayTeam]], V$1, Table1[[ActualResult]:[ActualResult]], "REG"),0), "-", TEXT(SUMIFS(Table1[[HomeWon]:[HomeWon]], Table1[[GameIsOver]:[GameIsOver]],1,Table1[[AwayTeam]:[AwayTeam]],$A15, Table1[[HomeTeam]:[HomeTeam]], V$1, Table1[[ActualResult]:[ActualResult]], "OT") + SUMIFS(Table1[[AwayWon]:[AwayWon]], Table1[[GameIsOver]:[GameIsOver]],1,Table1[[HomeTeam]:[HomeTeam]],$A15, Table1[[AwayTeam]:[AwayTeam]], V$1, Table1[[ActualResult]:[ActualResult]], "OT") + SUMIFS(Table1[[HomeWon]:[HomeWon]], Table1[[GameIsOver]:[GameIsOver]],1,Table1[[AwayTeam]:[AwayTeam]],$A15, Table1[[HomeTeam]:[HomeTeam]], V$1, Table1[[ActualResult]:[ActualResult]], "SO") + SUMIFS(Table1[[AwayWon]:[AwayWon]], Table1[[GameIsOver]:[GameIsOver]],1,Table1[[HomeTeam]:[HomeTeam]],$A15, Table1[[AwayTeam]:[AwayTeam]], V$1, Table1[[ActualResult]:[ActualResult]], "SO"),0))</f>
        <v>0-0-0</v>
      </c>
      <c r="W15" s="43" t="str">
        <f>_xlfn.CONCAT(TEXT(SUMIFS(Table1[[AwayWon]:[AwayWon]], Table1[[GameIsOver]:[GameIsOver]],1,Table1[[AwayTeam]:[AwayTeam]],$A15, Table1[[HomeTeam]:[HomeTeam]], W$1) + SUMIFS(Table1[[HomeWon]:[HomeWon]], Table1[[GameIsOver]:[GameIsOver]],1,Table1[[HomeTeam]:[HomeTeam]],$A15, Table1[[AwayTeam]:[AwayTeam]], W$1),0), "-", TEXT(SUMIFS(Table1[[HomeWon]:[HomeWon]], Table1[[GameIsOver]:[GameIsOver]],1,Table1[[AwayTeam]:[AwayTeam]],$A15, Table1[[HomeTeam]:[HomeTeam]], W$1, Table1[[ActualResult]:[ActualResult]], "REG") + SUMIFS(Table1[[AwayWon]:[AwayWon]], Table1[[GameIsOver]:[GameIsOver]],1,Table1[[HomeTeam]:[HomeTeam]],$A15, Table1[[AwayTeam]:[AwayTeam]], W$1, Table1[[ActualResult]:[ActualResult]], "REG"),0), "-", TEXT(SUMIFS(Table1[[HomeWon]:[HomeWon]], Table1[[GameIsOver]:[GameIsOver]],1,Table1[[AwayTeam]:[AwayTeam]],$A15, Table1[[HomeTeam]:[HomeTeam]], W$1, Table1[[ActualResult]:[ActualResult]], "OT") + SUMIFS(Table1[[AwayWon]:[AwayWon]], Table1[[GameIsOver]:[GameIsOver]],1,Table1[[HomeTeam]:[HomeTeam]],$A15, Table1[[AwayTeam]:[AwayTeam]], W$1, Table1[[ActualResult]:[ActualResult]], "OT") + SUMIFS(Table1[[HomeWon]:[HomeWon]], Table1[[GameIsOver]:[GameIsOver]],1,Table1[[AwayTeam]:[AwayTeam]],$A15, Table1[[HomeTeam]:[HomeTeam]], W$1, Table1[[ActualResult]:[ActualResult]], "SO") + SUMIFS(Table1[[AwayWon]:[AwayWon]], Table1[[GameIsOver]:[GameIsOver]],1,Table1[[HomeTeam]:[HomeTeam]],$A15, Table1[[AwayTeam]:[AwayTeam]], W$1, Table1[[ActualResult]:[ActualResult]], "SO"),0))</f>
        <v>0-0-0</v>
      </c>
      <c r="X15" s="43" t="str">
        <f>_xlfn.CONCAT(TEXT(SUMIFS(Table1[[AwayWon]:[AwayWon]], Table1[[GameIsOver]:[GameIsOver]],1,Table1[[AwayTeam]:[AwayTeam]],$A15, Table1[[HomeTeam]:[HomeTeam]], X$1) + SUMIFS(Table1[[HomeWon]:[HomeWon]], Table1[[GameIsOver]:[GameIsOver]],1,Table1[[HomeTeam]:[HomeTeam]],$A15, Table1[[AwayTeam]:[AwayTeam]], X$1),0), "-", TEXT(SUMIFS(Table1[[HomeWon]:[HomeWon]], Table1[[GameIsOver]:[GameIsOver]],1,Table1[[AwayTeam]:[AwayTeam]],$A15, Table1[[HomeTeam]:[HomeTeam]], X$1, Table1[[ActualResult]:[ActualResult]], "REG") + SUMIFS(Table1[[AwayWon]:[AwayWon]], Table1[[GameIsOver]:[GameIsOver]],1,Table1[[HomeTeam]:[HomeTeam]],$A15, Table1[[AwayTeam]:[AwayTeam]], X$1, Table1[[ActualResult]:[ActualResult]], "REG"),0), "-", TEXT(SUMIFS(Table1[[HomeWon]:[HomeWon]], Table1[[GameIsOver]:[GameIsOver]],1,Table1[[AwayTeam]:[AwayTeam]],$A15, Table1[[HomeTeam]:[HomeTeam]], X$1, Table1[[ActualResult]:[ActualResult]], "OT") + SUMIFS(Table1[[AwayWon]:[AwayWon]], Table1[[GameIsOver]:[GameIsOver]],1,Table1[[HomeTeam]:[HomeTeam]],$A15, Table1[[AwayTeam]:[AwayTeam]], X$1, Table1[[ActualResult]:[ActualResult]], "OT") + SUMIFS(Table1[[HomeWon]:[HomeWon]], Table1[[GameIsOver]:[GameIsOver]],1,Table1[[AwayTeam]:[AwayTeam]],$A15, Table1[[HomeTeam]:[HomeTeam]], X$1, Table1[[ActualResult]:[ActualResult]], "SO") + SUMIFS(Table1[[AwayWon]:[AwayWon]], Table1[[GameIsOver]:[GameIsOver]],1,Table1[[HomeTeam]:[HomeTeam]],$A15, Table1[[AwayTeam]:[AwayTeam]], X$1, Table1[[ActualResult]:[ActualResult]], "SO"),0))</f>
        <v>0-0-0</v>
      </c>
      <c r="Y15" s="45" t="str">
        <f>_xlfn.CONCAT(TEXT(SUMIFS(Table1[[AwayWon]:[AwayWon]], Table1[[GameIsOver]:[GameIsOver]],1,Table1[[AwayTeam]:[AwayTeam]],$A15, Table1[[HomeTeam]:[HomeTeam]], Y$1) + SUMIFS(Table1[[HomeWon]:[HomeWon]], Table1[[GameIsOver]:[GameIsOver]],1,Table1[[HomeTeam]:[HomeTeam]],$A15, Table1[[AwayTeam]:[AwayTeam]], Y$1),0), "-", TEXT(SUMIFS(Table1[[HomeWon]:[HomeWon]], Table1[[GameIsOver]:[GameIsOver]],1,Table1[[AwayTeam]:[AwayTeam]],$A15, Table1[[HomeTeam]:[HomeTeam]], Y$1, Table1[[ActualResult]:[ActualResult]], "REG") + SUMIFS(Table1[[AwayWon]:[AwayWon]], Table1[[GameIsOver]:[GameIsOver]],1,Table1[[HomeTeam]:[HomeTeam]],$A15, Table1[[AwayTeam]:[AwayTeam]], Y$1, Table1[[ActualResult]:[ActualResult]], "REG"),0), "-", TEXT(SUMIFS(Table1[[HomeWon]:[HomeWon]], Table1[[GameIsOver]:[GameIsOver]],1,Table1[[AwayTeam]:[AwayTeam]],$A15, Table1[[HomeTeam]:[HomeTeam]], Y$1, Table1[[ActualResult]:[ActualResult]], "OT") + SUMIFS(Table1[[AwayWon]:[AwayWon]], Table1[[GameIsOver]:[GameIsOver]],1,Table1[[HomeTeam]:[HomeTeam]],$A15, Table1[[AwayTeam]:[AwayTeam]], Y$1, Table1[[ActualResult]:[ActualResult]], "OT") + SUMIFS(Table1[[HomeWon]:[HomeWon]], Table1[[GameIsOver]:[GameIsOver]],1,Table1[[AwayTeam]:[AwayTeam]],$A15, Table1[[HomeTeam]:[HomeTeam]], Y$1, Table1[[ActualResult]:[ActualResult]], "SO") + SUMIFS(Table1[[AwayWon]:[AwayWon]], Table1[[GameIsOver]:[GameIsOver]],1,Table1[[HomeTeam]:[HomeTeam]],$A15, Table1[[AwayTeam]:[AwayTeam]], Y$1, Table1[[ActualResult]:[ActualResult]], "SO"),0))</f>
        <v>0-0-0</v>
      </c>
      <c r="Z15" s="43" t="str">
        <f>_xlfn.CONCAT(TEXT(SUMIFS(Table1[[AwayWon]:[AwayWon]], Table1[[GameIsOver]:[GameIsOver]],1,Table1[[AwayTeam]:[AwayTeam]],$A15, Table1[[HomeTeam]:[HomeTeam]], Z$1) + SUMIFS(Table1[[HomeWon]:[HomeWon]], Table1[[GameIsOver]:[GameIsOver]],1,Table1[[HomeTeam]:[HomeTeam]],$A15, Table1[[AwayTeam]:[AwayTeam]], Z$1),0), "-", TEXT(SUMIFS(Table1[[HomeWon]:[HomeWon]], Table1[[GameIsOver]:[GameIsOver]],1,Table1[[AwayTeam]:[AwayTeam]],$A15, Table1[[HomeTeam]:[HomeTeam]], Z$1, Table1[[ActualResult]:[ActualResult]], "REG") + SUMIFS(Table1[[AwayWon]:[AwayWon]], Table1[[GameIsOver]:[GameIsOver]],1,Table1[[HomeTeam]:[HomeTeam]],$A15, Table1[[AwayTeam]:[AwayTeam]], Z$1, Table1[[ActualResult]:[ActualResult]], "REG"),0), "-", TEXT(SUMIFS(Table1[[HomeWon]:[HomeWon]], Table1[[GameIsOver]:[GameIsOver]],1,Table1[[AwayTeam]:[AwayTeam]],$A15, Table1[[HomeTeam]:[HomeTeam]], Z$1, Table1[[ActualResult]:[ActualResult]], "OT") + SUMIFS(Table1[[AwayWon]:[AwayWon]], Table1[[GameIsOver]:[GameIsOver]],1,Table1[[HomeTeam]:[HomeTeam]],$A15, Table1[[AwayTeam]:[AwayTeam]], Z$1, Table1[[ActualResult]:[ActualResult]], "OT") + SUMIFS(Table1[[HomeWon]:[HomeWon]], Table1[[GameIsOver]:[GameIsOver]],1,Table1[[AwayTeam]:[AwayTeam]],$A15, Table1[[HomeTeam]:[HomeTeam]], Z$1, Table1[[ActualResult]:[ActualResult]], "SO") + SUMIFS(Table1[[AwayWon]:[AwayWon]], Table1[[GameIsOver]:[GameIsOver]],1,Table1[[HomeTeam]:[HomeTeam]],$A15, Table1[[AwayTeam]:[AwayTeam]], Z$1, Table1[[ActualResult]:[ActualResult]], "SO"),0))</f>
        <v>0-0-0</v>
      </c>
      <c r="AA15" s="43" t="str">
        <f>_xlfn.CONCAT(TEXT(SUMIFS(Table1[[AwayWon]:[AwayWon]], Table1[[GameIsOver]:[GameIsOver]],1,Table1[[AwayTeam]:[AwayTeam]],$A15, Table1[[HomeTeam]:[HomeTeam]], AA$1) + SUMIFS(Table1[[HomeWon]:[HomeWon]], Table1[[GameIsOver]:[GameIsOver]],1,Table1[[HomeTeam]:[HomeTeam]],$A15, Table1[[AwayTeam]:[AwayTeam]], AA$1),0), "-", TEXT(SUMIFS(Table1[[HomeWon]:[HomeWon]], Table1[[GameIsOver]:[GameIsOver]],1,Table1[[AwayTeam]:[AwayTeam]],$A15, Table1[[HomeTeam]:[HomeTeam]], AA$1, Table1[[ActualResult]:[ActualResult]], "REG") + SUMIFS(Table1[[AwayWon]:[AwayWon]], Table1[[GameIsOver]:[GameIsOver]],1,Table1[[HomeTeam]:[HomeTeam]],$A15, Table1[[AwayTeam]:[AwayTeam]], AA$1, Table1[[ActualResult]:[ActualResult]], "REG"),0), "-", TEXT(SUMIFS(Table1[[HomeWon]:[HomeWon]], Table1[[GameIsOver]:[GameIsOver]],1,Table1[[AwayTeam]:[AwayTeam]],$A15, Table1[[HomeTeam]:[HomeTeam]], AA$1, Table1[[ActualResult]:[ActualResult]], "OT") + SUMIFS(Table1[[AwayWon]:[AwayWon]], Table1[[GameIsOver]:[GameIsOver]],1,Table1[[HomeTeam]:[HomeTeam]],$A15, Table1[[AwayTeam]:[AwayTeam]], AA$1, Table1[[ActualResult]:[ActualResult]], "OT") + SUMIFS(Table1[[HomeWon]:[HomeWon]], Table1[[GameIsOver]:[GameIsOver]],1,Table1[[AwayTeam]:[AwayTeam]],$A15, Table1[[HomeTeam]:[HomeTeam]], AA$1, Table1[[ActualResult]:[ActualResult]], "SO") + SUMIFS(Table1[[AwayWon]:[AwayWon]], Table1[[GameIsOver]:[GameIsOver]],1,Table1[[HomeTeam]:[HomeTeam]],$A15, Table1[[AwayTeam]:[AwayTeam]], AA$1, Table1[[ActualResult]:[ActualResult]], "SO"),0))</f>
        <v>0-0-0</v>
      </c>
      <c r="AB15" s="43" t="str">
        <f>_xlfn.CONCAT(TEXT(SUMIFS(Table1[[AwayWon]:[AwayWon]], Table1[[GameIsOver]:[GameIsOver]],1,Table1[[AwayTeam]:[AwayTeam]],$A15, Table1[[HomeTeam]:[HomeTeam]], AB$1) + SUMIFS(Table1[[HomeWon]:[HomeWon]], Table1[[GameIsOver]:[GameIsOver]],1,Table1[[HomeTeam]:[HomeTeam]],$A15, Table1[[AwayTeam]:[AwayTeam]], AB$1),0), "-", TEXT(SUMIFS(Table1[[HomeWon]:[HomeWon]], Table1[[GameIsOver]:[GameIsOver]],1,Table1[[AwayTeam]:[AwayTeam]],$A15, Table1[[HomeTeam]:[HomeTeam]], AB$1, Table1[[ActualResult]:[ActualResult]], "REG") + SUMIFS(Table1[[AwayWon]:[AwayWon]], Table1[[GameIsOver]:[GameIsOver]],1,Table1[[HomeTeam]:[HomeTeam]],$A15, Table1[[AwayTeam]:[AwayTeam]], AB$1, Table1[[ActualResult]:[ActualResult]], "REG"),0), "-", TEXT(SUMIFS(Table1[[HomeWon]:[HomeWon]], Table1[[GameIsOver]:[GameIsOver]],1,Table1[[AwayTeam]:[AwayTeam]],$A15, Table1[[HomeTeam]:[HomeTeam]], AB$1, Table1[[ActualResult]:[ActualResult]], "OT") + SUMIFS(Table1[[AwayWon]:[AwayWon]], Table1[[GameIsOver]:[GameIsOver]],1,Table1[[HomeTeam]:[HomeTeam]],$A15, Table1[[AwayTeam]:[AwayTeam]], AB$1, Table1[[ActualResult]:[ActualResult]], "OT") + SUMIFS(Table1[[HomeWon]:[HomeWon]], Table1[[GameIsOver]:[GameIsOver]],1,Table1[[AwayTeam]:[AwayTeam]],$A15, Table1[[HomeTeam]:[HomeTeam]], AB$1, Table1[[ActualResult]:[ActualResult]], "SO") + SUMIFS(Table1[[AwayWon]:[AwayWon]], Table1[[GameIsOver]:[GameIsOver]],1,Table1[[HomeTeam]:[HomeTeam]],$A15, Table1[[AwayTeam]:[AwayTeam]], AB$1, Table1[[ActualResult]:[ActualResult]], "SO"),0))</f>
        <v>0-0-0</v>
      </c>
      <c r="AC15" s="43" t="str">
        <f>_xlfn.CONCAT(TEXT(SUMIFS(Table1[[AwayWon]:[AwayWon]], Table1[[GameIsOver]:[GameIsOver]],1,Table1[[AwayTeam]:[AwayTeam]],$A15, Table1[[HomeTeam]:[HomeTeam]], AC$1) + SUMIFS(Table1[[HomeWon]:[HomeWon]], Table1[[GameIsOver]:[GameIsOver]],1,Table1[[HomeTeam]:[HomeTeam]],$A15, Table1[[AwayTeam]:[AwayTeam]], AC$1),0), "-", TEXT(SUMIFS(Table1[[HomeWon]:[HomeWon]], Table1[[GameIsOver]:[GameIsOver]],1,Table1[[AwayTeam]:[AwayTeam]],$A15, Table1[[HomeTeam]:[HomeTeam]], AC$1, Table1[[ActualResult]:[ActualResult]], "REG") + SUMIFS(Table1[[AwayWon]:[AwayWon]], Table1[[GameIsOver]:[GameIsOver]],1,Table1[[HomeTeam]:[HomeTeam]],$A15, Table1[[AwayTeam]:[AwayTeam]], AC$1, Table1[[ActualResult]:[ActualResult]], "REG"),0), "-", TEXT(SUMIFS(Table1[[HomeWon]:[HomeWon]], Table1[[GameIsOver]:[GameIsOver]],1,Table1[[AwayTeam]:[AwayTeam]],$A15, Table1[[HomeTeam]:[HomeTeam]], AC$1, Table1[[ActualResult]:[ActualResult]], "OT") + SUMIFS(Table1[[AwayWon]:[AwayWon]], Table1[[GameIsOver]:[GameIsOver]],1,Table1[[HomeTeam]:[HomeTeam]],$A15, Table1[[AwayTeam]:[AwayTeam]], AC$1, Table1[[ActualResult]:[ActualResult]], "OT") + SUMIFS(Table1[[HomeWon]:[HomeWon]], Table1[[GameIsOver]:[GameIsOver]],1,Table1[[AwayTeam]:[AwayTeam]],$A15, Table1[[HomeTeam]:[HomeTeam]], AC$1, Table1[[ActualResult]:[ActualResult]], "SO") + SUMIFS(Table1[[AwayWon]:[AwayWon]], Table1[[GameIsOver]:[GameIsOver]],1,Table1[[HomeTeam]:[HomeTeam]],$A15, Table1[[AwayTeam]:[AwayTeam]], AC$1, Table1[[ActualResult]:[ActualResult]], "SO"),0))</f>
        <v>0-0-0</v>
      </c>
      <c r="AD15" s="43" t="str">
        <f>_xlfn.CONCAT(TEXT(SUMIFS(Table1[[AwayWon]:[AwayWon]], Table1[[GameIsOver]:[GameIsOver]],1,Table1[[AwayTeam]:[AwayTeam]],$A15, Table1[[HomeTeam]:[HomeTeam]], AD$1) + SUMIFS(Table1[[HomeWon]:[HomeWon]], Table1[[GameIsOver]:[GameIsOver]],1,Table1[[HomeTeam]:[HomeTeam]],$A15, Table1[[AwayTeam]:[AwayTeam]], AD$1),0), "-", TEXT(SUMIFS(Table1[[HomeWon]:[HomeWon]], Table1[[GameIsOver]:[GameIsOver]],1,Table1[[AwayTeam]:[AwayTeam]],$A15, Table1[[HomeTeam]:[HomeTeam]], AD$1, Table1[[ActualResult]:[ActualResult]], "REG") + SUMIFS(Table1[[AwayWon]:[AwayWon]], Table1[[GameIsOver]:[GameIsOver]],1,Table1[[HomeTeam]:[HomeTeam]],$A15, Table1[[AwayTeam]:[AwayTeam]], AD$1, Table1[[ActualResult]:[ActualResult]], "REG"),0), "-", TEXT(SUMIFS(Table1[[HomeWon]:[HomeWon]], Table1[[GameIsOver]:[GameIsOver]],1,Table1[[AwayTeam]:[AwayTeam]],$A15, Table1[[HomeTeam]:[HomeTeam]], AD$1, Table1[[ActualResult]:[ActualResult]], "OT") + SUMIFS(Table1[[AwayWon]:[AwayWon]], Table1[[GameIsOver]:[GameIsOver]],1,Table1[[HomeTeam]:[HomeTeam]],$A15, Table1[[AwayTeam]:[AwayTeam]], AD$1, Table1[[ActualResult]:[ActualResult]], "OT") + SUMIFS(Table1[[HomeWon]:[HomeWon]], Table1[[GameIsOver]:[GameIsOver]],1,Table1[[AwayTeam]:[AwayTeam]],$A15, Table1[[HomeTeam]:[HomeTeam]], AD$1, Table1[[ActualResult]:[ActualResult]], "SO") + SUMIFS(Table1[[AwayWon]:[AwayWon]], Table1[[GameIsOver]:[GameIsOver]],1,Table1[[HomeTeam]:[HomeTeam]],$A15, Table1[[AwayTeam]:[AwayTeam]], AD$1, Table1[[ActualResult]:[ActualResult]], "SO"),0))</f>
        <v>0-0-0</v>
      </c>
      <c r="AE15" s="43" t="str">
        <f>_xlfn.CONCAT(TEXT(SUMIFS(Table1[[AwayWon]:[AwayWon]], Table1[[GameIsOver]:[GameIsOver]],1,Table1[[AwayTeam]:[AwayTeam]],$A15, Table1[[HomeTeam]:[HomeTeam]], AE$1) + SUMIFS(Table1[[HomeWon]:[HomeWon]], Table1[[GameIsOver]:[GameIsOver]],1,Table1[[HomeTeam]:[HomeTeam]],$A15, Table1[[AwayTeam]:[AwayTeam]], AE$1),0), "-", TEXT(SUMIFS(Table1[[HomeWon]:[HomeWon]], Table1[[GameIsOver]:[GameIsOver]],1,Table1[[AwayTeam]:[AwayTeam]],$A15, Table1[[HomeTeam]:[HomeTeam]], AE$1, Table1[[ActualResult]:[ActualResult]], "REG") + SUMIFS(Table1[[AwayWon]:[AwayWon]], Table1[[GameIsOver]:[GameIsOver]],1,Table1[[HomeTeam]:[HomeTeam]],$A15, Table1[[AwayTeam]:[AwayTeam]], AE$1, Table1[[ActualResult]:[ActualResult]], "REG"),0), "-", TEXT(SUMIFS(Table1[[HomeWon]:[HomeWon]], Table1[[GameIsOver]:[GameIsOver]],1,Table1[[AwayTeam]:[AwayTeam]],$A15, Table1[[HomeTeam]:[HomeTeam]], AE$1, Table1[[ActualResult]:[ActualResult]], "OT") + SUMIFS(Table1[[AwayWon]:[AwayWon]], Table1[[GameIsOver]:[GameIsOver]],1,Table1[[HomeTeam]:[HomeTeam]],$A15, Table1[[AwayTeam]:[AwayTeam]], AE$1, Table1[[ActualResult]:[ActualResult]], "OT") + SUMIFS(Table1[[HomeWon]:[HomeWon]], Table1[[GameIsOver]:[GameIsOver]],1,Table1[[AwayTeam]:[AwayTeam]],$A15, Table1[[HomeTeam]:[HomeTeam]], AE$1, Table1[[ActualResult]:[ActualResult]], "SO") + SUMIFS(Table1[[AwayWon]:[AwayWon]], Table1[[GameIsOver]:[GameIsOver]],1,Table1[[HomeTeam]:[HomeTeam]],$A15, Table1[[AwayTeam]:[AwayTeam]], AE$1, Table1[[ActualResult]:[ActualResult]], "SO"),0))</f>
        <v>0-0-0</v>
      </c>
      <c r="AF15" s="43" t="str">
        <f>_xlfn.CONCAT(TEXT(SUMIFS(Table1[[AwayWon]:[AwayWon]], Table1[[GameIsOver]:[GameIsOver]],1,Table1[[AwayTeam]:[AwayTeam]],$A15, Table1[[HomeTeam]:[HomeTeam]], AF$1) + SUMIFS(Table1[[HomeWon]:[HomeWon]], Table1[[GameIsOver]:[GameIsOver]],1,Table1[[HomeTeam]:[HomeTeam]],$A15, Table1[[AwayTeam]:[AwayTeam]], AF$1),0), "-", TEXT(SUMIFS(Table1[[HomeWon]:[HomeWon]], Table1[[GameIsOver]:[GameIsOver]],1,Table1[[AwayTeam]:[AwayTeam]],$A15, Table1[[HomeTeam]:[HomeTeam]], AF$1, Table1[[ActualResult]:[ActualResult]], "REG") + SUMIFS(Table1[[AwayWon]:[AwayWon]], Table1[[GameIsOver]:[GameIsOver]],1,Table1[[HomeTeam]:[HomeTeam]],$A15, Table1[[AwayTeam]:[AwayTeam]], AF$1, Table1[[ActualResult]:[ActualResult]], "REG"),0), "-", TEXT(SUMIFS(Table1[[HomeWon]:[HomeWon]], Table1[[GameIsOver]:[GameIsOver]],1,Table1[[AwayTeam]:[AwayTeam]],$A15, Table1[[HomeTeam]:[HomeTeam]], AF$1, Table1[[ActualResult]:[ActualResult]], "OT") + SUMIFS(Table1[[AwayWon]:[AwayWon]], Table1[[GameIsOver]:[GameIsOver]],1,Table1[[HomeTeam]:[HomeTeam]],$A15, Table1[[AwayTeam]:[AwayTeam]], AF$1, Table1[[ActualResult]:[ActualResult]], "OT") + SUMIFS(Table1[[HomeWon]:[HomeWon]], Table1[[GameIsOver]:[GameIsOver]],1,Table1[[AwayTeam]:[AwayTeam]],$A15, Table1[[HomeTeam]:[HomeTeam]], AF$1, Table1[[ActualResult]:[ActualResult]], "SO") + SUMIFS(Table1[[AwayWon]:[AwayWon]], Table1[[GameIsOver]:[GameIsOver]],1,Table1[[HomeTeam]:[HomeTeam]],$A15, Table1[[AwayTeam]:[AwayTeam]], AF$1, Table1[[ActualResult]:[ActualResult]], "SO"),0))</f>
        <v>0-0-0</v>
      </c>
      <c r="AG15" s="43" t="str">
        <f>_xlfn.CONCAT(TEXT(SUMIFS(Table1[[AwayWon]:[AwayWon]], Table1[[GameIsOver]:[GameIsOver]],1,Table1[[AwayTeam]:[AwayTeam]],$A15, Table1[[HomeTeam]:[HomeTeam]], AG$1) + SUMIFS(Table1[[HomeWon]:[HomeWon]], Table1[[GameIsOver]:[GameIsOver]],1,Table1[[HomeTeam]:[HomeTeam]],$A15, Table1[[AwayTeam]:[AwayTeam]], AG$1),0), "-", TEXT(SUMIFS(Table1[[HomeWon]:[HomeWon]], Table1[[GameIsOver]:[GameIsOver]],1,Table1[[AwayTeam]:[AwayTeam]],$A15, Table1[[HomeTeam]:[HomeTeam]], AG$1, Table1[[ActualResult]:[ActualResult]], "REG") + SUMIFS(Table1[[AwayWon]:[AwayWon]], Table1[[GameIsOver]:[GameIsOver]],1,Table1[[HomeTeam]:[HomeTeam]],$A15, Table1[[AwayTeam]:[AwayTeam]], AG$1, Table1[[ActualResult]:[ActualResult]], "REG"),0), "-", TEXT(SUMIFS(Table1[[HomeWon]:[HomeWon]], Table1[[GameIsOver]:[GameIsOver]],1,Table1[[AwayTeam]:[AwayTeam]],$A15, Table1[[HomeTeam]:[HomeTeam]], AG$1, Table1[[ActualResult]:[ActualResult]], "OT") + SUMIFS(Table1[[AwayWon]:[AwayWon]], Table1[[GameIsOver]:[GameIsOver]],1,Table1[[HomeTeam]:[HomeTeam]],$A15, Table1[[AwayTeam]:[AwayTeam]], AG$1, Table1[[ActualResult]:[ActualResult]], "OT") + SUMIFS(Table1[[HomeWon]:[HomeWon]], Table1[[GameIsOver]:[GameIsOver]],1,Table1[[AwayTeam]:[AwayTeam]],$A15, Table1[[HomeTeam]:[HomeTeam]], AG$1, Table1[[ActualResult]:[ActualResult]], "SO") + SUMIFS(Table1[[AwayWon]:[AwayWon]], Table1[[GameIsOver]:[GameIsOver]],1,Table1[[HomeTeam]:[HomeTeam]],$A15, Table1[[AwayTeam]:[AwayTeam]], AG$1, Table1[[ActualResult]:[ActualResult]], "SO"),0))</f>
        <v>0-0-0</v>
      </c>
    </row>
    <row r="16" spans="1:33" x14ac:dyDescent="0.25">
      <c r="A16" s="17" t="s">
        <v>58</v>
      </c>
      <c r="B16" s="43" t="str">
        <f>_xlfn.CONCAT(TEXT(SUMIFS(Table1[[AwayWon]:[AwayWon]], Table1[[GameIsOver]:[GameIsOver]],1,Table1[[AwayTeam]:[AwayTeam]],$A16, Table1[[HomeTeam]:[HomeTeam]], B$1) + SUMIFS(Table1[[HomeWon]:[HomeWon]], Table1[[GameIsOver]:[GameIsOver]],1,Table1[[HomeTeam]:[HomeTeam]],$A16, Table1[[AwayTeam]:[AwayTeam]], B$1),0), "-", TEXT(SUMIFS(Table1[[HomeWon]:[HomeWon]], Table1[[GameIsOver]:[GameIsOver]],1,Table1[[AwayTeam]:[AwayTeam]],$A16, Table1[[HomeTeam]:[HomeTeam]], B$1, Table1[[ActualResult]:[ActualResult]], "REG") + SUMIFS(Table1[[AwayWon]:[AwayWon]], Table1[[GameIsOver]:[GameIsOver]],1,Table1[[HomeTeam]:[HomeTeam]],$A16, Table1[[AwayTeam]:[AwayTeam]], B$1, Table1[[ActualResult]:[ActualResult]], "REG"),0), "-", TEXT(SUMIFS(Table1[[HomeWon]:[HomeWon]], Table1[[GameIsOver]:[GameIsOver]],1,Table1[[AwayTeam]:[AwayTeam]],$A16, Table1[[HomeTeam]:[HomeTeam]], B$1, Table1[[ActualResult]:[ActualResult]], "OT") + SUMIFS(Table1[[AwayWon]:[AwayWon]], Table1[[GameIsOver]:[GameIsOver]],1,Table1[[HomeTeam]:[HomeTeam]],$A16, Table1[[AwayTeam]:[AwayTeam]], B$1, Table1[[ActualResult]:[ActualResult]], "OT") + SUMIFS(Table1[[HomeWon]:[HomeWon]], Table1[[GameIsOver]:[GameIsOver]],1,Table1[[AwayTeam]:[AwayTeam]],$A16, Table1[[HomeTeam]:[HomeTeam]], B$1, Table1[[ActualResult]:[ActualResult]], "SO") + SUMIFS(Table1[[AwayWon]:[AwayWon]], Table1[[GameIsOver]:[GameIsOver]],1,Table1[[HomeTeam]:[HomeTeam]],$A16, Table1[[AwayTeam]:[AwayTeam]], B$1, Table1[[ActualResult]:[ActualResult]], "SO"),0))</f>
        <v>0-0-0</v>
      </c>
      <c r="C16" s="43" t="str">
        <f>_xlfn.CONCAT(TEXT(SUMIFS(Table1[[AwayWon]:[AwayWon]], Table1[[GameIsOver]:[GameIsOver]],1,Table1[[AwayTeam]:[AwayTeam]],$A16, Table1[[HomeTeam]:[HomeTeam]], C$1) + SUMIFS(Table1[[HomeWon]:[HomeWon]], Table1[[GameIsOver]:[GameIsOver]],1,Table1[[HomeTeam]:[HomeTeam]],$A16, Table1[[AwayTeam]:[AwayTeam]], C$1),0), "-", TEXT(SUMIFS(Table1[[HomeWon]:[HomeWon]], Table1[[GameIsOver]:[GameIsOver]],1,Table1[[AwayTeam]:[AwayTeam]],$A16, Table1[[HomeTeam]:[HomeTeam]], C$1, Table1[[ActualResult]:[ActualResult]], "REG") + SUMIFS(Table1[[AwayWon]:[AwayWon]], Table1[[GameIsOver]:[GameIsOver]],1,Table1[[HomeTeam]:[HomeTeam]],$A16, Table1[[AwayTeam]:[AwayTeam]], C$1, Table1[[ActualResult]:[ActualResult]], "REG"),0), "-", TEXT(SUMIFS(Table1[[HomeWon]:[HomeWon]], Table1[[GameIsOver]:[GameIsOver]],1,Table1[[AwayTeam]:[AwayTeam]],$A16, Table1[[HomeTeam]:[HomeTeam]], C$1, Table1[[ActualResult]:[ActualResult]], "OT") + SUMIFS(Table1[[AwayWon]:[AwayWon]], Table1[[GameIsOver]:[GameIsOver]],1,Table1[[HomeTeam]:[HomeTeam]],$A16, Table1[[AwayTeam]:[AwayTeam]], C$1, Table1[[ActualResult]:[ActualResult]], "OT") + SUMIFS(Table1[[HomeWon]:[HomeWon]], Table1[[GameIsOver]:[GameIsOver]],1,Table1[[AwayTeam]:[AwayTeam]],$A16, Table1[[HomeTeam]:[HomeTeam]], C$1, Table1[[ActualResult]:[ActualResult]], "SO") + SUMIFS(Table1[[AwayWon]:[AwayWon]], Table1[[GameIsOver]:[GameIsOver]],1,Table1[[HomeTeam]:[HomeTeam]],$A16, Table1[[AwayTeam]:[AwayTeam]], C$1, Table1[[ActualResult]:[ActualResult]], "SO"),0))</f>
        <v>0-0-0</v>
      </c>
      <c r="D16" s="43" t="str">
        <f>_xlfn.CONCAT(TEXT(SUMIFS(Table1[[AwayWon]:[AwayWon]], Table1[[GameIsOver]:[GameIsOver]],1,Table1[[AwayTeam]:[AwayTeam]],$A16, Table1[[HomeTeam]:[HomeTeam]], D$1) + SUMIFS(Table1[[HomeWon]:[HomeWon]], Table1[[GameIsOver]:[GameIsOver]],1,Table1[[HomeTeam]:[HomeTeam]],$A16, Table1[[AwayTeam]:[AwayTeam]], D$1),0), "-", TEXT(SUMIFS(Table1[[HomeWon]:[HomeWon]], Table1[[GameIsOver]:[GameIsOver]],1,Table1[[AwayTeam]:[AwayTeam]],$A16, Table1[[HomeTeam]:[HomeTeam]], D$1, Table1[[ActualResult]:[ActualResult]], "REG") + SUMIFS(Table1[[AwayWon]:[AwayWon]], Table1[[GameIsOver]:[GameIsOver]],1,Table1[[HomeTeam]:[HomeTeam]],$A16, Table1[[AwayTeam]:[AwayTeam]], D$1, Table1[[ActualResult]:[ActualResult]], "REG"),0), "-", TEXT(SUMIFS(Table1[[HomeWon]:[HomeWon]], Table1[[GameIsOver]:[GameIsOver]],1,Table1[[AwayTeam]:[AwayTeam]],$A16, Table1[[HomeTeam]:[HomeTeam]], D$1, Table1[[ActualResult]:[ActualResult]], "OT") + SUMIFS(Table1[[AwayWon]:[AwayWon]], Table1[[GameIsOver]:[GameIsOver]],1,Table1[[HomeTeam]:[HomeTeam]],$A16, Table1[[AwayTeam]:[AwayTeam]], D$1, Table1[[ActualResult]:[ActualResult]], "OT") + SUMIFS(Table1[[HomeWon]:[HomeWon]], Table1[[GameIsOver]:[GameIsOver]],1,Table1[[AwayTeam]:[AwayTeam]],$A16, Table1[[HomeTeam]:[HomeTeam]], D$1, Table1[[ActualResult]:[ActualResult]], "SO") + SUMIFS(Table1[[AwayWon]:[AwayWon]], Table1[[GameIsOver]:[GameIsOver]],1,Table1[[HomeTeam]:[HomeTeam]],$A16, Table1[[AwayTeam]:[AwayTeam]], D$1, Table1[[ActualResult]:[ActualResult]], "SO"),0))</f>
        <v>0-0-0</v>
      </c>
      <c r="E16" s="43" t="str">
        <f>_xlfn.CONCAT(TEXT(SUMIFS(Table1[[AwayWon]:[AwayWon]], Table1[[GameIsOver]:[GameIsOver]],1,Table1[[AwayTeam]:[AwayTeam]],$A16, Table1[[HomeTeam]:[HomeTeam]], E$1) + SUMIFS(Table1[[HomeWon]:[HomeWon]], Table1[[GameIsOver]:[GameIsOver]],1,Table1[[HomeTeam]:[HomeTeam]],$A16, Table1[[AwayTeam]:[AwayTeam]], E$1),0), "-", TEXT(SUMIFS(Table1[[HomeWon]:[HomeWon]], Table1[[GameIsOver]:[GameIsOver]],1,Table1[[AwayTeam]:[AwayTeam]],$A16, Table1[[HomeTeam]:[HomeTeam]], E$1, Table1[[ActualResult]:[ActualResult]], "REG") + SUMIFS(Table1[[AwayWon]:[AwayWon]], Table1[[GameIsOver]:[GameIsOver]],1,Table1[[HomeTeam]:[HomeTeam]],$A16, Table1[[AwayTeam]:[AwayTeam]], E$1, Table1[[ActualResult]:[ActualResult]], "REG"),0), "-", TEXT(SUMIFS(Table1[[HomeWon]:[HomeWon]], Table1[[GameIsOver]:[GameIsOver]],1,Table1[[AwayTeam]:[AwayTeam]],$A16, Table1[[HomeTeam]:[HomeTeam]], E$1, Table1[[ActualResult]:[ActualResult]], "OT") + SUMIFS(Table1[[AwayWon]:[AwayWon]], Table1[[GameIsOver]:[GameIsOver]],1,Table1[[HomeTeam]:[HomeTeam]],$A16, Table1[[AwayTeam]:[AwayTeam]], E$1, Table1[[ActualResult]:[ActualResult]], "OT") + SUMIFS(Table1[[HomeWon]:[HomeWon]], Table1[[GameIsOver]:[GameIsOver]],1,Table1[[AwayTeam]:[AwayTeam]],$A16, Table1[[HomeTeam]:[HomeTeam]], E$1, Table1[[ActualResult]:[ActualResult]], "SO") + SUMIFS(Table1[[AwayWon]:[AwayWon]], Table1[[GameIsOver]:[GameIsOver]],1,Table1[[HomeTeam]:[HomeTeam]],$A16, Table1[[AwayTeam]:[AwayTeam]], E$1, Table1[[ActualResult]:[ActualResult]], "SO"),0))</f>
        <v>0-0-0</v>
      </c>
      <c r="F16" s="43" t="str">
        <f>_xlfn.CONCAT(TEXT(SUMIFS(Table1[[AwayWon]:[AwayWon]], Table1[[GameIsOver]:[GameIsOver]],1,Table1[[AwayTeam]:[AwayTeam]],$A16, Table1[[HomeTeam]:[HomeTeam]], F$1) + SUMIFS(Table1[[HomeWon]:[HomeWon]], Table1[[GameIsOver]:[GameIsOver]],1,Table1[[HomeTeam]:[HomeTeam]],$A16, Table1[[AwayTeam]:[AwayTeam]], F$1),0), "-", TEXT(SUMIFS(Table1[[HomeWon]:[HomeWon]], Table1[[GameIsOver]:[GameIsOver]],1,Table1[[AwayTeam]:[AwayTeam]],$A16, Table1[[HomeTeam]:[HomeTeam]], F$1, Table1[[ActualResult]:[ActualResult]], "REG") + SUMIFS(Table1[[AwayWon]:[AwayWon]], Table1[[GameIsOver]:[GameIsOver]],1,Table1[[HomeTeam]:[HomeTeam]],$A16, Table1[[AwayTeam]:[AwayTeam]], F$1, Table1[[ActualResult]:[ActualResult]], "REG"),0), "-", TEXT(SUMIFS(Table1[[HomeWon]:[HomeWon]], Table1[[GameIsOver]:[GameIsOver]],1,Table1[[AwayTeam]:[AwayTeam]],$A16, Table1[[HomeTeam]:[HomeTeam]], F$1, Table1[[ActualResult]:[ActualResult]], "OT") + SUMIFS(Table1[[AwayWon]:[AwayWon]], Table1[[GameIsOver]:[GameIsOver]],1,Table1[[HomeTeam]:[HomeTeam]],$A16, Table1[[AwayTeam]:[AwayTeam]], F$1, Table1[[ActualResult]:[ActualResult]], "OT") + SUMIFS(Table1[[HomeWon]:[HomeWon]], Table1[[GameIsOver]:[GameIsOver]],1,Table1[[AwayTeam]:[AwayTeam]],$A16, Table1[[HomeTeam]:[HomeTeam]], F$1, Table1[[ActualResult]:[ActualResult]], "SO") + SUMIFS(Table1[[AwayWon]:[AwayWon]], Table1[[GameIsOver]:[GameIsOver]],1,Table1[[HomeTeam]:[HomeTeam]],$A16, Table1[[AwayTeam]:[AwayTeam]], F$1, Table1[[ActualResult]:[ActualResult]], "SO"),0))</f>
        <v>0-0-0</v>
      </c>
      <c r="G16" s="43" t="str">
        <f>_xlfn.CONCAT(TEXT(SUMIFS(Table1[[AwayWon]:[AwayWon]], Table1[[GameIsOver]:[GameIsOver]],1,Table1[[AwayTeam]:[AwayTeam]],$A16, Table1[[HomeTeam]:[HomeTeam]], G$1) + SUMIFS(Table1[[HomeWon]:[HomeWon]], Table1[[GameIsOver]:[GameIsOver]],1,Table1[[HomeTeam]:[HomeTeam]],$A16, Table1[[AwayTeam]:[AwayTeam]], G$1),0), "-", TEXT(SUMIFS(Table1[[HomeWon]:[HomeWon]], Table1[[GameIsOver]:[GameIsOver]],1,Table1[[AwayTeam]:[AwayTeam]],$A16, Table1[[HomeTeam]:[HomeTeam]], G$1, Table1[[ActualResult]:[ActualResult]], "REG") + SUMIFS(Table1[[AwayWon]:[AwayWon]], Table1[[GameIsOver]:[GameIsOver]],1,Table1[[HomeTeam]:[HomeTeam]],$A16, Table1[[AwayTeam]:[AwayTeam]], G$1, Table1[[ActualResult]:[ActualResult]], "REG"),0), "-", TEXT(SUMIFS(Table1[[HomeWon]:[HomeWon]], Table1[[GameIsOver]:[GameIsOver]],1,Table1[[AwayTeam]:[AwayTeam]],$A16, Table1[[HomeTeam]:[HomeTeam]], G$1, Table1[[ActualResult]:[ActualResult]], "OT") + SUMIFS(Table1[[AwayWon]:[AwayWon]], Table1[[GameIsOver]:[GameIsOver]],1,Table1[[HomeTeam]:[HomeTeam]],$A16, Table1[[AwayTeam]:[AwayTeam]], G$1, Table1[[ActualResult]:[ActualResult]], "OT") + SUMIFS(Table1[[HomeWon]:[HomeWon]], Table1[[GameIsOver]:[GameIsOver]],1,Table1[[AwayTeam]:[AwayTeam]],$A16, Table1[[HomeTeam]:[HomeTeam]], G$1, Table1[[ActualResult]:[ActualResult]], "SO") + SUMIFS(Table1[[AwayWon]:[AwayWon]], Table1[[GameIsOver]:[GameIsOver]],1,Table1[[HomeTeam]:[HomeTeam]],$A16, Table1[[AwayTeam]:[AwayTeam]], G$1, Table1[[ActualResult]:[ActualResult]], "SO"),0))</f>
        <v>0-0-0</v>
      </c>
      <c r="H16" s="43" t="str">
        <f>_xlfn.CONCAT(TEXT(SUMIFS(Table1[[AwayWon]:[AwayWon]], Table1[[GameIsOver]:[GameIsOver]],1,Table1[[AwayTeam]:[AwayTeam]],$A16, Table1[[HomeTeam]:[HomeTeam]], H$1) + SUMIFS(Table1[[HomeWon]:[HomeWon]], Table1[[GameIsOver]:[GameIsOver]],1,Table1[[HomeTeam]:[HomeTeam]],$A16, Table1[[AwayTeam]:[AwayTeam]], H$1),0), "-", TEXT(SUMIFS(Table1[[HomeWon]:[HomeWon]], Table1[[GameIsOver]:[GameIsOver]],1,Table1[[AwayTeam]:[AwayTeam]],$A16, Table1[[HomeTeam]:[HomeTeam]], H$1, Table1[[ActualResult]:[ActualResult]], "REG") + SUMIFS(Table1[[AwayWon]:[AwayWon]], Table1[[GameIsOver]:[GameIsOver]],1,Table1[[HomeTeam]:[HomeTeam]],$A16, Table1[[AwayTeam]:[AwayTeam]], H$1, Table1[[ActualResult]:[ActualResult]], "REG"),0), "-", TEXT(SUMIFS(Table1[[HomeWon]:[HomeWon]], Table1[[GameIsOver]:[GameIsOver]],1,Table1[[AwayTeam]:[AwayTeam]],$A16, Table1[[HomeTeam]:[HomeTeam]], H$1, Table1[[ActualResult]:[ActualResult]], "OT") + SUMIFS(Table1[[AwayWon]:[AwayWon]], Table1[[GameIsOver]:[GameIsOver]],1,Table1[[HomeTeam]:[HomeTeam]],$A16, Table1[[AwayTeam]:[AwayTeam]], H$1, Table1[[ActualResult]:[ActualResult]], "OT") + SUMIFS(Table1[[HomeWon]:[HomeWon]], Table1[[GameIsOver]:[GameIsOver]],1,Table1[[AwayTeam]:[AwayTeam]],$A16, Table1[[HomeTeam]:[HomeTeam]], H$1, Table1[[ActualResult]:[ActualResult]], "SO") + SUMIFS(Table1[[AwayWon]:[AwayWon]], Table1[[GameIsOver]:[GameIsOver]],1,Table1[[HomeTeam]:[HomeTeam]],$A16, Table1[[AwayTeam]:[AwayTeam]], H$1, Table1[[ActualResult]:[ActualResult]], "SO"),0))</f>
        <v>0-0-0</v>
      </c>
      <c r="I16" s="45" t="str">
        <f>_xlfn.CONCAT(TEXT(SUMIFS(Table1[[AwayWon]:[AwayWon]], Table1[[GameIsOver]:[GameIsOver]],1,Table1[[AwayTeam]:[AwayTeam]],$A16, Table1[[HomeTeam]:[HomeTeam]], I$1) + SUMIFS(Table1[[HomeWon]:[HomeWon]], Table1[[GameIsOver]:[GameIsOver]],1,Table1[[HomeTeam]:[HomeTeam]],$A16, Table1[[AwayTeam]:[AwayTeam]], I$1),0), "-", TEXT(SUMIFS(Table1[[HomeWon]:[HomeWon]], Table1[[GameIsOver]:[GameIsOver]],1,Table1[[AwayTeam]:[AwayTeam]],$A16, Table1[[HomeTeam]:[HomeTeam]], I$1, Table1[[ActualResult]:[ActualResult]], "REG") + SUMIFS(Table1[[AwayWon]:[AwayWon]], Table1[[GameIsOver]:[GameIsOver]],1,Table1[[HomeTeam]:[HomeTeam]],$A16, Table1[[AwayTeam]:[AwayTeam]], I$1, Table1[[ActualResult]:[ActualResult]], "REG"),0), "-", TEXT(SUMIFS(Table1[[HomeWon]:[HomeWon]], Table1[[GameIsOver]:[GameIsOver]],1,Table1[[AwayTeam]:[AwayTeam]],$A16, Table1[[HomeTeam]:[HomeTeam]], I$1, Table1[[ActualResult]:[ActualResult]], "OT") + SUMIFS(Table1[[AwayWon]:[AwayWon]], Table1[[GameIsOver]:[GameIsOver]],1,Table1[[HomeTeam]:[HomeTeam]],$A16, Table1[[AwayTeam]:[AwayTeam]], I$1, Table1[[ActualResult]:[ActualResult]], "OT") + SUMIFS(Table1[[HomeWon]:[HomeWon]], Table1[[GameIsOver]:[GameIsOver]],1,Table1[[AwayTeam]:[AwayTeam]],$A16, Table1[[HomeTeam]:[HomeTeam]], I$1, Table1[[ActualResult]:[ActualResult]], "SO") + SUMIFS(Table1[[AwayWon]:[AwayWon]], Table1[[GameIsOver]:[GameIsOver]],1,Table1[[HomeTeam]:[HomeTeam]],$A16, Table1[[AwayTeam]:[AwayTeam]], I$1, Table1[[ActualResult]:[ActualResult]], "SO"),0))</f>
        <v>0-0-0</v>
      </c>
      <c r="J16" s="43" t="str">
        <f>_xlfn.CONCAT(TEXT(SUMIFS(Table1[[AwayWon]:[AwayWon]], Table1[[GameIsOver]:[GameIsOver]],1,Table1[[AwayTeam]:[AwayTeam]],$A16, Table1[[HomeTeam]:[HomeTeam]], J$1) + SUMIFS(Table1[[HomeWon]:[HomeWon]], Table1[[GameIsOver]:[GameIsOver]],1,Table1[[HomeTeam]:[HomeTeam]],$A16, Table1[[AwayTeam]:[AwayTeam]], J$1),0), "-", TEXT(SUMIFS(Table1[[HomeWon]:[HomeWon]], Table1[[GameIsOver]:[GameIsOver]],1,Table1[[AwayTeam]:[AwayTeam]],$A16, Table1[[HomeTeam]:[HomeTeam]], J$1, Table1[[ActualResult]:[ActualResult]], "REG") + SUMIFS(Table1[[AwayWon]:[AwayWon]], Table1[[GameIsOver]:[GameIsOver]],1,Table1[[HomeTeam]:[HomeTeam]],$A16, Table1[[AwayTeam]:[AwayTeam]], J$1, Table1[[ActualResult]:[ActualResult]], "REG"),0), "-", TEXT(SUMIFS(Table1[[HomeWon]:[HomeWon]], Table1[[GameIsOver]:[GameIsOver]],1,Table1[[AwayTeam]:[AwayTeam]],$A16, Table1[[HomeTeam]:[HomeTeam]], J$1, Table1[[ActualResult]:[ActualResult]], "OT") + SUMIFS(Table1[[AwayWon]:[AwayWon]], Table1[[GameIsOver]:[GameIsOver]],1,Table1[[HomeTeam]:[HomeTeam]],$A16, Table1[[AwayTeam]:[AwayTeam]], J$1, Table1[[ActualResult]:[ActualResult]], "OT") + SUMIFS(Table1[[HomeWon]:[HomeWon]], Table1[[GameIsOver]:[GameIsOver]],1,Table1[[AwayTeam]:[AwayTeam]],$A16, Table1[[HomeTeam]:[HomeTeam]], J$1, Table1[[ActualResult]:[ActualResult]], "SO") + SUMIFS(Table1[[AwayWon]:[AwayWon]], Table1[[GameIsOver]:[GameIsOver]],1,Table1[[HomeTeam]:[HomeTeam]],$A16, Table1[[AwayTeam]:[AwayTeam]], J$1, Table1[[ActualResult]:[ActualResult]], "SO"),0))</f>
        <v>1-0-0</v>
      </c>
      <c r="K16" s="43" t="str">
        <f>_xlfn.CONCAT(TEXT(SUMIFS(Table1[[AwayWon]:[AwayWon]], Table1[[GameIsOver]:[GameIsOver]],1,Table1[[AwayTeam]:[AwayTeam]],$A16, Table1[[HomeTeam]:[HomeTeam]], K$1) + SUMIFS(Table1[[HomeWon]:[HomeWon]], Table1[[GameIsOver]:[GameIsOver]],1,Table1[[HomeTeam]:[HomeTeam]],$A16, Table1[[AwayTeam]:[AwayTeam]], K$1),0), "-", TEXT(SUMIFS(Table1[[HomeWon]:[HomeWon]], Table1[[GameIsOver]:[GameIsOver]],1,Table1[[AwayTeam]:[AwayTeam]],$A16, Table1[[HomeTeam]:[HomeTeam]], K$1, Table1[[ActualResult]:[ActualResult]], "REG") + SUMIFS(Table1[[AwayWon]:[AwayWon]], Table1[[GameIsOver]:[GameIsOver]],1,Table1[[HomeTeam]:[HomeTeam]],$A16, Table1[[AwayTeam]:[AwayTeam]], K$1, Table1[[ActualResult]:[ActualResult]], "REG"),0), "-", TEXT(SUMIFS(Table1[[HomeWon]:[HomeWon]], Table1[[GameIsOver]:[GameIsOver]],1,Table1[[AwayTeam]:[AwayTeam]],$A16, Table1[[HomeTeam]:[HomeTeam]], K$1, Table1[[ActualResult]:[ActualResult]], "OT") + SUMIFS(Table1[[AwayWon]:[AwayWon]], Table1[[GameIsOver]:[GameIsOver]],1,Table1[[HomeTeam]:[HomeTeam]],$A16, Table1[[AwayTeam]:[AwayTeam]], K$1, Table1[[ActualResult]:[ActualResult]], "OT") + SUMIFS(Table1[[HomeWon]:[HomeWon]], Table1[[GameIsOver]:[GameIsOver]],1,Table1[[AwayTeam]:[AwayTeam]],$A16, Table1[[HomeTeam]:[HomeTeam]], K$1, Table1[[ActualResult]:[ActualResult]], "SO") + SUMIFS(Table1[[AwayWon]:[AwayWon]], Table1[[GameIsOver]:[GameIsOver]],1,Table1[[HomeTeam]:[HomeTeam]],$A16, Table1[[AwayTeam]:[AwayTeam]], K$1, Table1[[ActualResult]:[ActualResult]], "SO"),0))</f>
        <v>0-0-0</v>
      </c>
      <c r="L16" s="43" t="str">
        <f>_xlfn.CONCAT(TEXT(SUMIFS(Table1[[AwayWon]:[AwayWon]], Table1[[GameIsOver]:[GameIsOver]],1,Table1[[AwayTeam]:[AwayTeam]],$A16, Table1[[HomeTeam]:[HomeTeam]], L$1) + SUMIFS(Table1[[HomeWon]:[HomeWon]], Table1[[GameIsOver]:[GameIsOver]],1,Table1[[HomeTeam]:[HomeTeam]],$A16, Table1[[AwayTeam]:[AwayTeam]], L$1),0), "-", TEXT(SUMIFS(Table1[[HomeWon]:[HomeWon]], Table1[[GameIsOver]:[GameIsOver]],1,Table1[[AwayTeam]:[AwayTeam]],$A16, Table1[[HomeTeam]:[HomeTeam]], L$1, Table1[[ActualResult]:[ActualResult]], "REG") + SUMIFS(Table1[[AwayWon]:[AwayWon]], Table1[[GameIsOver]:[GameIsOver]],1,Table1[[HomeTeam]:[HomeTeam]],$A16, Table1[[AwayTeam]:[AwayTeam]], L$1, Table1[[ActualResult]:[ActualResult]], "REG"),0), "-", TEXT(SUMIFS(Table1[[HomeWon]:[HomeWon]], Table1[[GameIsOver]:[GameIsOver]],1,Table1[[AwayTeam]:[AwayTeam]],$A16, Table1[[HomeTeam]:[HomeTeam]], L$1, Table1[[ActualResult]:[ActualResult]], "OT") + SUMIFS(Table1[[AwayWon]:[AwayWon]], Table1[[GameIsOver]:[GameIsOver]],1,Table1[[HomeTeam]:[HomeTeam]],$A16, Table1[[AwayTeam]:[AwayTeam]], L$1, Table1[[ActualResult]:[ActualResult]], "OT") + SUMIFS(Table1[[HomeWon]:[HomeWon]], Table1[[GameIsOver]:[GameIsOver]],1,Table1[[AwayTeam]:[AwayTeam]],$A16, Table1[[HomeTeam]:[HomeTeam]], L$1, Table1[[ActualResult]:[ActualResult]], "SO") + SUMIFS(Table1[[AwayWon]:[AwayWon]], Table1[[GameIsOver]:[GameIsOver]],1,Table1[[HomeTeam]:[HomeTeam]],$A16, Table1[[AwayTeam]:[AwayTeam]], L$1, Table1[[ActualResult]:[ActualResult]], "SO"),0))</f>
        <v>0-0-0</v>
      </c>
      <c r="M16" s="43" t="str">
        <f>_xlfn.CONCAT(TEXT(SUMIFS(Table1[[AwayWon]:[AwayWon]], Table1[[GameIsOver]:[GameIsOver]],1,Table1[[AwayTeam]:[AwayTeam]],$A16, Table1[[HomeTeam]:[HomeTeam]], M$1) + SUMIFS(Table1[[HomeWon]:[HomeWon]], Table1[[GameIsOver]:[GameIsOver]],1,Table1[[HomeTeam]:[HomeTeam]],$A16, Table1[[AwayTeam]:[AwayTeam]], M$1),0), "-", TEXT(SUMIFS(Table1[[HomeWon]:[HomeWon]], Table1[[GameIsOver]:[GameIsOver]],1,Table1[[AwayTeam]:[AwayTeam]],$A16, Table1[[HomeTeam]:[HomeTeam]], M$1, Table1[[ActualResult]:[ActualResult]], "REG") + SUMIFS(Table1[[AwayWon]:[AwayWon]], Table1[[GameIsOver]:[GameIsOver]],1,Table1[[HomeTeam]:[HomeTeam]],$A16, Table1[[AwayTeam]:[AwayTeam]], M$1, Table1[[ActualResult]:[ActualResult]], "REG"),0), "-", TEXT(SUMIFS(Table1[[HomeWon]:[HomeWon]], Table1[[GameIsOver]:[GameIsOver]],1,Table1[[AwayTeam]:[AwayTeam]],$A16, Table1[[HomeTeam]:[HomeTeam]], M$1, Table1[[ActualResult]:[ActualResult]], "OT") + SUMIFS(Table1[[AwayWon]:[AwayWon]], Table1[[GameIsOver]:[GameIsOver]],1,Table1[[HomeTeam]:[HomeTeam]],$A16, Table1[[AwayTeam]:[AwayTeam]], M$1, Table1[[ActualResult]:[ActualResult]], "OT") + SUMIFS(Table1[[HomeWon]:[HomeWon]], Table1[[GameIsOver]:[GameIsOver]],1,Table1[[AwayTeam]:[AwayTeam]],$A16, Table1[[HomeTeam]:[HomeTeam]], M$1, Table1[[ActualResult]:[ActualResult]], "SO") + SUMIFS(Table1[[AwayWon]:[AwayWon]], Table1[[GameIsOver]:[GameIsOver]],1,Table1[[HomeTeam]:[HomeTeam]],$A16, Table1[[AwayTeam]:[AwayTeam]], M$1, Table1[[ActualResult]:[ActualResult]], "SO"),0))</f>
        <v>0-0-0</v>
      </c>
      <c r="N16" s="43" t="str">
        <f>_xlfn.CONCAT(TEXT(SUMIFS(Table1[[AwayWon]:[AwayWon]], Table1[[GameIsOver]:[GameIsOver]],1,Table1[[AwayTeam]:[AwayTeam]],$A16, Table1[[HomeTeam]:[HomeTeam]], N$1) + SUMIFS(Table1[[HomeWon]:[HomeWon]], Table1[[GameIsOver]:[GameIsOver]],1,Table1[[HomeTeam]:[HomeTeam]],$A16, Table1[[AwayTeam]:[AwayTeam]], N$1),0), "-", TEXT(SUMIFS(Table1[[HomeWon]:[HomeWon]], Table1[[GameIsOver]:[GameIsOver]],1,Table1[[AwayTeam]:[AwayTeam]],$A16, Table1[[HomeTeam]:[HomeTeam]], N$1, Table1[[ActualResult]:[ActualResult]], "REG") + SUMIFS(Table1[[AwayWon]:[AwayWon]], Table1[[GameIsOver]:[GameIsOver]],1,Table1[[HomeTeam]:[HomeTeam]],$A16, Table1[[AwayTeam]:[AwayTeam]], N$1, Table1[[ActualResult]:[ActualResult]], "REG"),0), "-", TEXT(SUMIFS(Table1[[HomeWon]:[HomeWon]], Table1[[GameIsOver]:[GameIsOver]],1,Table1[[AwayTeam]:[AwayTeam]],$A16, Table1[[HomeTeam]:[HomeTeam]], N$1, Table1[[ActualResult]:[ActualResult]], "OT") + SUMIFS(Table1[[AwayWon]:[AwayWon]], Table1[[GameIsOver]:[GameIsOver]],1,Table1[[HomeTeam]:[HomeTeam]],$A16, Table1[[AwayTeam]:[AwayTeam]], N$1, Table1[[ActualResult]:[ActualResult]], "OT") + SUMIFS(Table1[[HomeWon]:[HomeWon]], Table1[[GameIsOver]:[GameIsOver]],1,Table1[[AwayTeam]:[AwayTeam]],$A16, Table1[[HomeTeam]:[HomeTeam]], N$1, Table1[[ActualResult]:[ActualResult]], "SO") + SUMIFS(Table1[[AwayWon]:[AwayWon]], Table1[[GameIsOver]:[GameIsOver]],1,Table1[[HomeTeam]:[HomeTeam]],$A16, Table1[[AwayTeam]:[AwayTeam]], N$1, Table1[[ActualResult]:[ActualResult]], "SO"),0))</f>
        <v>0-0-0</v>
      </c>
      <c r="O16" s="43" t="str">
        <f>_xlfn.CONCAT(TEXT(SUMIFS(Table1[[AwayWon]:[AwayWon]], Table1[[GameIsOver]:[GameIsOver]],1,Table1[[AwayTeam]:[AwayTeam]],$A16, Table1[[HomeTeam]:[HomeTeam]], O$1) + SUMIFS(Table1[[HomeWon]:[HomeWon]], Table1[[GameIsOver]:[GameIsOver]],1,Table1[[HomeTeam]:[HomeTeam]],$A16, Table1[[AwayTeam]:[AwayTeam]], O$1),0), "-", TEXT(SUMIFS(Table1[[HomeWon]:[HomeWon]], Table1[[GameIsOver]:[GameIsOver]],1,Table1[[AwayTeam]:[AwayTeam]],$A16, Table1[[HomeTeam]:[HomeTeam]], O$1, Table1[[ActualResult]:[ActualResult]], "REG") + SUMIFS(Table1[[AwayWon]:[AwayWon]], Table1[[GameIsOver]:[GameIsOver]],1,Table1[[HomeTeam]:[HomeTeam]],$A16, Table1[[AwayTeam]:[AwayTeam]], O$1, Table1[[ActualResult]:[ActualResult]], "REG"),0), "-", TEXT(SUMIFS(Table1[[HomeWon]:[HomeWon]], Table1[[GameIsOver]:[GameIsOver]],1,Table1[[AwayTeam]:[AwayTeam]],$A16, Table1[[HomeTeam]:[HomeTeam]], O$1, Table1[[ActualResult]:[ActualResult]], "OT") + SUMIFS(Table1[[AwayWon]:[AwayWon]], Table1[[GameIsOver]:[GameIsOver]],1,Table1[[HomeTeam]:[HomeTeam]],$A16, Table1[[AwayTeam]:[AwayTeam]], O$1, Table1[[ActualResult]:[ActualResult]], "OT") + SUMIFS(Table1[[HomeWon]:[HomeWon]], Table1[[GameIsOver]:[GameIsOver]],1,Table1[[AwayTeam]:[AwayTeam]],$A16, Table1[[HomeTeam]:[HomeTeam]], O$1, Table1[[ActualResult]:[ActualResult]], "SO") + SUMIFS(Table1[[AwayWon]:[AwayWon]], Table1[[GameIsOver]:[GameIsOver]],1,Table1[[HomeTeam]:[HomeTeam]],$A16, Table1[[AwayTeam]:[AwayTeam]], O$1, Table1[[ActualResult]:[ActualResult]], "SO"),0))</f>
        <v>0-0-0</v>
      </c>
      <c r="P16" s="43" t="str">
        <f>_xlfn.CONCAT(TEXT(SUMIFS(Table1[[AwayWon]:[AwayWon]], Table1[[GameIsOver]:[GameIsOver]],1,Table1[[AwayTeam]:[AwayTeam]],$A16, Table1[[HomeTeam]:[HomeTeam]], P$1) + SUMIFS(Table1[[HomeWon]:[HomeWon]], Table1[[GameIsOver]:[GameIsOver]],1,Table1[[HomeTeam]:[HomeTeam]],$A16, Table1[[AwayTeam]:[AwayTeam]], P$1),0), "-", TEXT(SUMIFS(Table1[[HomeWon]:[HomeWon]], Table1[[GameIsOver]:[GameIsOver]],1,Table1[[AwayTeam]:[AwayTeam]],$A16, Table1[[HomeTeam]:[HomeTeam]], P$1, Table1[[ActualResult]:[ActualResult]], "REG") + SUMIFS(Table1[[AwayWon]:[AwayWon]], Table1[[GameIsOver]:[GameIsOver]],1,Table1[[HomeTeam]:[HomeTeam]],$A16, Table1[[AwayTeam]:[AwayTeam]], P$1, Table1[[ActualResult]:[ActualResult]], "REG"),0), "-", TEXT(SUMIFS(Table1[[HomeWon]:[HomeWon]], Table1[[GameIsOver]:[GameIsOver]],1,Table1[[AwayTeam]:[AwayTeam]],$A16, Table1[[HomeTeam]:[HomeTeam]], P$1, Table1[[ActualResult]:[ActualResult]], "OT") + SUMIFS(Table1[[AwayWon]:[AwayWon]], Table1[[GameIsOver]:[GameIsOver]],1,Table1[[HomeTeam]:[HomeTeam]],$A16, Table1[[AwayTeam]:[AwayTeam]], P$1, Table1[[ActualResult]:[ActualResult]], "OT") + SUMIFS(Table1[[HomeWon]:[HomeWon]], Table1[[GameIsOver]:[GameIsOver]],1,Table1[[AwayTeam]:[AwayTeam]],$A16, Table1[[HomeTeam]:[HomeTeam]], P$1, Table1[[ActualResult]:[ActualResult]], "SO") + SUMIFS(Table1[[AwayWon]:[AwayWon]], Table1[[GameIsOver]:[GameIsOver]],1,Table1[[HomeTeam]:[HomeTeam]],$A16, Table1[[AwayTeam]:[AwayTeam]], P$1, Table1[[ActualResult]:[ActualResult]], "SO"),0))</f>
        <v>0-0-0</v>
      </c>
      <c r="Q16" s="45" t="str">
        <f>_xlfn.CONCAT(TEXT(SUMIFS(Table1[[AwayWon]:[AwayWon]], Table1[[GameIsOver]:[GameIsOver]],1,Table1[[AwayTeam]:[AwayTeam]],$A16, Table1[[HomeTeam]:[HomeTeam]], Q$1) + SUMIFS(Table1[[HomeWon]:[HomeWon]], Table1[[GameIsOver]:[GameIsOver]],1,Table1[[HomeTeam]:[HomeTeam]],$A16, Table1[[AwayTeam]:[AwayTeam]], Q$1),0), "-", TEXT(SUMIFS(Table1[[HomeWon]:[HomeWon]], Table1[[GameIsOver]:[GameIsOver]],1,Table1[[AwayTeam]:[AwayTeam]],$A16, Table1[[HomeTeam]:[HomeTeam]], Q$1, Table1[[ActualResult]:[ActualResult]], "REG") + SUMIFS(Table1[[AwayWon]:[AwayWon]], Table1[[GameIsOver]:[GameIsOver]],1,Table1[[HomeTeam]:[HomeTeam]],$A16, Table1[[AwayTeam]:[AwayTeam]], Q$1, Table1[[ActualResult]:[ActualResult]], "REG"),0), "-", TEXT(SUMIFS(Table1[[HomeWon]:[HomeWon]], Table1[[GameIsOver]:[GameIsOver]],1,Table1[[AwayTeam]:[AwayTeam]],$A16, Table1[[HomeTeam]:[HomeTeam]], Q$1, Table1[[ActualResult]:[ActualResult]], "OT") + SUMIFS(Table1[[AwayWon]:[AwayWon]], Table1[[GameIsOver]:[GameIsOver]],1,Table1[[HomeTeam]:[HomeTeam]],$A16, Table1[[AwayTeam]:[AwayTeam]], Q$1, Table1[[ActualResult]:[ActualResult]], "OT") + SUMIFS(Table1[[HomeWon]:[HomeWon]], Table1[[GameIsOver]:[GameIsOver]],1,Table1[[AwayTeam]:[AwayTeam]],$A16, Table1[[HomeTeam]:[HomeTeam]], Q$1, Table1[[ActualResult]:[ActualResult]], "SO") + SUMIFS(Table1[[AwayWon]:[AwayWon]], Table1[[GameIsOver]:[GameIsOver]],1,Table1[[HomeTeam]:[HomeTeam]],$A16, Table1[[AwayTeam]:[AwayTeam]], Q$1, Table1[[ActualResult]:[ActualResult]], "SO"),0))</f>
        <v>0-0-0</v>
      </c>
      <c r="R16" s="43" t="str">
        <f>_xlfn.CONCAT(TEXT(SUMIFS(Table1[[AwayWon]:[AwayWon]], Table1[[GameIsOver]:[GameIsOver]],1,Table1[[AwayTeam]:[AwayTeam]],$A16, Table1[[HomeTeam]:[HomeTeam]], R$1) + SUMIFS(Table1[[HomeWon]:[HomeWon]], Table1[[GameIsOver]:[GameIsOver]],1,Table1[[HomeTeam]:[HomeTeam]],$A16, Table1[[AwayTeam]:[AwayTeam]], R$1),0), "-", TEXT(SUMIFS(Table1[[HomeWon]:[HomeWon]], Table1[[GameIsOver]:[GameIsOver]],1,Table1[[AwayTeam]:[AwayTeam]],$A16, Table1[[HomeTeam]:[HomeTeam]], R$1, Table1[[ActualResult]:[ActualResult]], "REG") + SUMIFS(Table1[[AwayWon]:[AwayWon]], Table1[[GameIsOver]:[GameIsOver]],1,Table1[[HomeTeam]:[HomeTeam]],$A16, Table1[[AwayTeam]:[AwayTeam]], R$1, Table1[[ActualResult]:[ActualResult]], "REG"),0), "-", TEXT(SUMIFS(Table1[[HomeWon]:[HomeWon]], Table1[[GameIsOver]:[GameIsOver]],1,Table1[[AwayTeam]:[AwayTeam]],$A16, Table1[[HomeTeam]:[HomeTeam]], R$1, Table1[[ActualResult]:[ActualResult]], "OT") + SUMIFS(Table1[[AwayWon]:[AwayWon]], Table1[[GameIsOver]:[GameIsOver]],1,Table1[[HomeTeam]:[HomeTeam]],$A16, Table1[[AwayTeam]:[AwayTeam]], R$1, Table1[[ActualResult]:[ActualResult]], "OT") + SUMIFS(Table1[[HomeWon]:[HomeWon]], Table1[[GameIsOver]:[GameIsOver]],1,Table1[[AwayTeam]:[AwayTeam]],$A16, Table1[[HomeTeam]:[HomeTeam]], R$1, Table1[[ActualResult]:[ActualResult]], "SO") + SUMIFS(Table1[[AwayWon]:[AwayWon]], Table1[[GameIsOver]:[GameIsOver]],1,Table1[[HomeTeam]:[HomeTeam]],$A16, Table1[[AwayTeam]:[AwayTeam]], R$1, Table1[[ActualResult]:[ActualResult]], "SO"),0))</f>
        <v>0-0-0</v>
      </c>
      <c r="S16" s="43" t="str">
        <f>_xlfn.CONCAT(TEXT(SUMIFS(Table1[[AwayWon]:[AwayWon]], Table1[[GameIsOver]:[GameIsOver]],1,Table1[[AwayTeam]:[AwayTeam]],$A16, Table1[[HomeTeam]:[HomeTeam]], S$1) + SUMIFS(Table1[[HomeWon]:[HomeWon]], Table1[[GameIsOver]:[GameIsOver]],1,Table1[[HomeTeam]:[HomeTeam]],$A16, Table1[[AwayTeam]:[AwayTeam]], S$1),0), "-", TEXT(SUMIFS(Table1[[HomeWon]:[HomeWon]], Table1[[GameIsOver]:[GameIsOver]],1,Table1[[AwayTeam]:[AwayTeam]],$A16, Table1[[HomeTeam]:[HomeTeam]], S$1, Table1[[ActualResult]:[ActualResult]], "REG") + SUMIFS(Table1[[AwayWon]:[AwayWon]], Table1[[GameIsOver]:[GameIsOver]],1,Table1[[HomeTeam]:[HomeTeam]],$A16, Table1[[AwayTeam]:[AwayTeam]], S$1, Table1[[ActualResult]:[ActualResult]], "REG"),0), "-", TEXT(SUMIFS(Table1[[HomeWon]:[HomeWon]], Table1[[GameIsOver]:[GameIsOver]],1,Table1[[AwayTeam]:[AwayTeam]],$A16, Table1[[HomeTeam]:[HomeTeam]], S$1, Table1[[ActualResult]:[ActualResult]], "OT") + SUMIFS(Table1[[AwayWon]:[AwayWon]], Table1[[GameIsOver]:[GameIsOver]],1,Table1[[HomeTeam]:[HomeTeam]],$A16, Table1[[AwayTeam]:[AwayTeam]], S$1, Table1[[ActualResult]:[ActualResult]], "OT") + SUMIFS(Table1[[HomeWon]:[HomeWon]], Table1[[GameIsOver]:[GameIsOver]],1,Table1[[AwayTeam]:[AwayTeam]],$A16, Table1[[HomeTeam]:[HomeTeam]], S$1, Table1[[ActualResult]:[ActualResult]], "SO") + SUMIFS(Table1[[AwayWon]:[AwayWon]], Table1[[GameIsOver]:[GameIsOver]],1,Table1[[HomeTeam]:[HomeTeam]],$A16, Table1[[AwayTeam]:[AwayTeam]], S$1, Table1[[ActualResult]:[ActualResult]], "SO"),0))</f>
        <v>0-0-0</v>
      </c>
      <c r="T16" s="43" t="str">
        <f>_xlfn.CONCAT(TEXT(SUMIFS(Table1[[AwayWon]:[AwayWon]], Table1[[GameIsOver]:[GameIsOver]],1,Table1[[AwayTeam]:[AwayTeam]],$A16, Table1[[HomeTeam]:[HomeTeam]], T$1) + SUMIFS(Table1[[HomeWon]:[HomeWon]], Table1[[GameIsOver]:[GameIsOver]],1,Table1[[HomeTeam]:[HomeTeam]],$A16, Table1[[AwayTeam]:[AwayTeam]], T$1),0), "-", TEXT(SUMIFS(Table1[[HomeWon]:[HomeWon]], Table1[[GameIsOver]:[GameIsOver]],1,Table1[[AwayTeam]:[AwayTeam]],$A16, Table1[[HomeTeam]:[HomeTeam]], T$1, Table1[[ActualResult]:[ActualResult]], "REG") + SUMIFS(Table1[[AwayWon]:[AwayWon]], Table1[[GameIsOver]:[GameIsOver]],1,Table1[[HomeTeam]:[HomeTeam]],$A16, Table1[[AwayTeam]:[AwayTeam]], T$1, Table1[[ActualResult]:[ActualResult]], "REG"),0), "-", TEXT(SUMIFS(Table1[[HomeWon]:[HomeWon]], Table1[[GameIsOver]:[GameIsOver]],1,Table1[[AwayTeam]:[AwayTeam]],$A16, Table1[[HomeTeam]:[HomeTeam]], T$1, Table1[[ActualResult]:[ActualResult]], "OT") + SUMIFS(Table1[[AwayWon]:[AwayWon]], Table1[[GameIsOver]:[GameIsOver]],1,Table1[[HomeTeam]:[HomeTeam]],$A16, Table1[[AwayTeam]:[AwayTeam]], T$1, Table1[[ActualResult]:[ActualResult]], "OT") + SUMIFS(Table1[[HomeWon]:[HomeWon]], Table1[[GameIsOver]:[GameIsOver]],1,Table1[[AwayTeam]:[AwayTeam]],$A16, Table1[[HomeTeam]:[HomeTeam]], T$1, Table1[[ActualResult]:[ActualResult]], "SO") + SUMIFS(Table1[[AwayWon]:[AwayWon]], Table1[[GameIsOver]:[GameIsOver]],1,Table1[[HomeTeam]:[HomeTeam]],$A16, Table1[[AwayTeam]:[AwayTeam]], T$1, Table1[[ActualResult]:[ActualResult]], "SO"),0))</f>
        <v>0-0-0</v>
      </c>
      <c r="U16" s="43" t="str">
        <f>_xlfn.CONCAT(TEXT(SUMIFS(Table1[[AwayWon]:[AwayWon]], Table1[[GameIsOver]:[GameIsOver]],1,Table1[[AwayTeam]:[AwayTeam]],$A16, Table1[[HomeTeam]:[HomeTeam]], U$1) + SUMIFS(Table1[[HomeWon]:[HomeWon]], Table1[[GameIsOver]:[GameIsOver]],1,Table1[[HomeTeam]:[HomeTeam]],$A16, Table1[[AwayTeam]:[AwayTeam]], U$1),0), "-", TEXT(SUMIFS(Table1[[HomeWon]:[HomeWon]], Table1[[GameIsOver]:[GameIsOver]],1,Table1[[AwayTeam]:[AwayTeam]],$A16, Table1[[HomeTeam]:[HomeTeam]], U$1, Table1[[ActualResult]:[ActualResult]], "REG") + SUMIFS(Table1[[AwayWon]:[AwayWon]], Table1[[GameIsOver]:[GameIsOver]],1,Table1[[HomeTeam]:[HomeTeam]],$A16, Table1[[AwayTeam]:[AwayTeam]], U$1, Table1[[ActualResult]:[ActualResult]], "REG"),0), "-", TEXT(SUMIFS(Table1[[HomeWon]:[HomeWon]], Table1[[GameIsOver]:[GameIsOver]],1,Table1[[AwayTeam]:[AwayTeam]],$A16, Table1[[HomeTeam]:[HomeTeam]], U$1, Table1[[ActualResult]:[ActualResult]], "OT") + SUMIFS(Table1[[AwayWon]:[AwayWon]], Table1[[GameIsOver]:[GameIsOver]],1,Table1[[HomeTeam]:[HomeTeam]],$A16, Table1[[AwayTeam]:[AwayTeam]], U$1, Table1[[ActualResult]:[ActualResult]], "OT") + SUMIFS(Table1[[HomeWon]:[HomeWon]], Table1[[GameIsOver]:[GameIsOver]],1,Table1[[AwayTeam]:[AwayTeam]],$A16, Table1[[HomeTeam]:[HomeTeam]], U$1, Table1[[ActualResult]:[ActualResult]], "SO") + SUMIFS(Table1[[AwayWon]:[AwayWon]], Table1[[GameIsOver]:[GameIsOver]],1,Table1[[HomeTeam]:[HomeTeam]],$A16, Table1[[AwayTeam]:[AwayTeam]], U$1, Table1[[ActualResult]:[ActualResult]], "SO"),0))</f>
        <v>0-0-0</v>
      </c>
      <c r="V16" s="43" t="str">
        <f>_xlfn.CONCAT(TEXT(SUMIFS(Table1[[AwayWon]:[AwayWon]], Table1[[GameIsOver]:[GameIsOver]],1,Table1[[AwayTeam]:[AwayTeam]],$A16, Table1[[HomeTeam]:[HomeTeam]], V$1) + SUMIFS(Table1[[HomeWon]:[HomeWon]], Table1[[GameIsOver]:[GameIsOver]],1,Table1[[HomeTeam]:[HomeTeam]],$A16, Table1[[AwayTeam]:[AwayTeam]], V$1),0), "-", TEXT(SUMIFS(Table1[[HomeWon]:[HomeWon]], Table1[[GameIsOver]:[GameIsOver]],1,Table1[[AwayTeam]:[AwayTeam]],$A16, Table1[[HomeTeam]:[HomeTeam]], V$1, Table1[[ActualResult]:[ActualResult]], "REG") + SUMIFS(Table1[[AwayWon]:[AwayWon]], Table1[[GameIsOver]:[GameIsOver]],1,Table1[[HomeTeam]:[HomeTeam]],$A16, Table1[[AwayTeam]:[AwayTeam]], V$1, Table1[[ActualResult]:[ActualResult]], "REG"),0), "-", TEXT(SUMIFS(Table1[[HomeWon]:[HomeWon]], Table1[[GameIsOver]:[GameIsOver]],1,Table1[[AwayTeam]:[AwayTeam]],$A16, Table1[[HomeTeam]:[HomeTeam]], V$1, Table1[[ActualResult]:[ActualResult]], "OT") + SUMIFS(Table1[[AwayWon]:[AwayWon]], Table1[[GameIsOver]:[GameIsOver]],1,Table1[[HomeTeam]:[HomeTeam]],$A16, Table1[[AwayTeam]:[AwayTeam]], V$1, Table1[[ActualResult]:[ActualResult]], "OT") + SUMIFS(Table1[[HomeWon]:[HomeWon]], Table1[[GameIsOver]:[GameIsOver]],1,Table1[[AwayTeam]:[AwayTeam]],$A16, Table1[[HomeTeam]:[HomeTeam]], V$1, Table1[[ActualResult]:[ActualResult]], "SO") + SUMIFS(Table1[[AwayWon]:[AwayWon]], Table1[[GameIsOver]:[GameIsOver]],1,Table1[[HomeTeam]:[HomeTeam]],$A16, Table1[[AwayTeam]:[AwayTeam]], V$1, Table1[[ActualResult]:[ActualResult]], "SO"),0))</f>
        <v>0-0-0</v>
      </c>
      <c r="W16" s="43" t="str">
        <f>_xlfn.CONCAT(TEXT(SUMIFS(Table1[[AwayWon]:[AwayWon]], Table1[[GameIsOver]:[GameIsOver]],1,Table1[[AwayTeam]:[AwayTeam]],$A16, Table1[[HomeTeam]:[HomeTeam]], W$1) + SUMIFS(Table1[[HomeWon]:[HomeWon]], Table1[[GameIsOver]:[GameIsOver]],1,Table1[[HomeTeam]:[HomeTeam]],$A16, Table1[[AwayTeam]:[AwayTeam]], W$1),0), "-", TEXT(SUMIFS(Table1[[HomeWon]:[HomeWon]], Table1[[GameIsOver]:[GameIsOver]],1,Table1[[AwayTeam]:[AwayTeam]],$A16, Table1[[HomeTeam]:[HomeTeam]], W$1, Table1[[ActualResult]:[ActualResult]], "REG") + SUMIFS(Table1[[AwayWon]:[AwayWon]], Table1[[GameIsOver]:[GameIsOver]],1,Table1[[HomeTeam]:[HomeTeam]],$A16, Table1[[AwayTeam]:[AwayTeam]], W$1, Table1[[ActualResult]:[ActualResult]], "REG"),0), "-", TEXT(SUMIFS(Table1[[HomeWon]:[HomeWon]], Table1[[GameIsOver]:[GameIsOver]],1,Table1[[AwayTeam]:[AwayTeam]],$A16, Table1[[HomeTeam]:[HomeTeam]], W$1, Table1[[ActualResult]:[ActualResult]], "OT") + SUMIFS(Table1[[AwayWon]:[AwayWon]], Table1[[GameIsOver]:[GameIsOver]],1,Table1[[HomeTeam]:[HomeTeam]],$A16, Table1[[AwayTeam]:[AwayTeam]], W$1, Table1[[ActualResult]:[ActualResult]], "OT") + SUMIFS(Table1[[HomeWon]:[HomeWon]], Table1[[GameIsOver]:[GameIsOver]],1,Table1[[AwayTeam]:[AwayTeam]],$A16, Table1[[HomeTeam]:[HomeTeam]], W$1, Table1[[ActualResult]:[ActualResult]], "SO") + SUMIFS(Table1[[AwayWon]:[AwayWon]], Table1[[GameIsOver]:[GameIsOver]],1,Table1[[HomeTeam]:[HomeTeam]],$A16, Table1[[AwayTeam]:[AwayTeam]], W$1, Table1[[ActualResult]:[ActualResult]], "SO"),0))</f>
        <v>0-0-0</v>
      </c>
      <c r="X16" s="43" t="str">
        <f>_xlfn.CONCAT(TEXT(SUMIFS(Table1[[AwayWon]:[AwayWon]], Table1[[GameIsOver]:[GameIsOver]],1,Table1[[AwayTeam]:[AwayTeam]],$A16, Table1[[HomeTeam]:[HomeTeam]], X$1) + SUMIFS(Table1[[HomeWon]:[HomeWon]], Table1[[GameIsOver]:[GameIsOver]],1,Table1[[HomeTeam]:[HomeTeam]],$A16, Table1[[AwayTeam]:[AwayTeam]], X$1),0), "-", TEXT(SUMIFS(Table1[[HomeWon]:[HomeWon]], Table1[[GameIsOver]:[GameIsOver]],1,Table1[[AwayTeam]:[AwayTeam]],$A16, Table1[[HomeTeam]:[HomeTeam]], X$1, Table1[[ActualResult]:[ActualResult]], "REG") + SUMIFS(Table1[[AwayWon]:[AwayWon]], Table1[[GameIsOver]:[GameIsOver]],1,Table1[[HomeTeam]:[HomeTeam]],$A16, Table1[[AwayTeam]:[AwayTeam]], X$1, Table1[[ActualResult]:[ActualResult]], "REG"),0), "-", TEXT(SUMIFS(Table1[[HomeWon]:[HomeWon]], Table1[[GameIsOver]:[GameIsOver]],1,Table1[[AwayTeam]:[AwayTeam]],$A16, Table1[[HomeTeam]:[HomeTeam]], X$1, Table1[[ActualResult]:[ActualResult]], "OT") + SUMIFS(Table1[[AwayWon]:[AwayWon]], Table1[[GameIsOver]:[GameIsOver]],1,Table1[[HomeTeam]:[HomeTeam]],$A16, Table1[[AwayTeam]:[AwayTeam]], X$1, Table1[[ActualResult]:[ActualResult]], "OT") + SUMIFS(Table1[[HomeWon]:[HomeWon]], Table1[[GameIsOver]:[GameIsOver]],1,Table1[[AwayTeam]:[AwayTeam]],$A16, Table1[[HomeTeam]:[HomeTeam]], X$1, Table1[[ActualResult]:[ActualResult]], "SO") + SUMIFS(Table1[[AwayWon]:[AwayWon]], Table1[[GameIsOver]:[GameIsOver]],1,Table1[[HomeTeam]:[HomeTeam]],$A16, Table1[[AwayTeam]:[AwayTeam]], X$1, Table1[[ActualResult]:[ActualResult]], "SO"),0))</f>
        <v>0-0-0</v>
      </c>
      <c r="Y16" s="45" t="str">
        <f>_xlfn.CONCAT(TEXT(SUMIFS(Table1[[AwayWon]:[AwayWon]], Table1[[GameIsOver]:[GameIsOver]],1,Table1[[AwayTeam]:[AwayTeam]],$A16, Table1[[HomeTeam]:[HomeTeam]], Y$1) + SUMIFS(Table1[[HomeWon]:[HomeWon]], Table1[[GameIsOver]:[GameIsOver]],1,Table1[[HomeTeam]:[HomeTeam]],$A16, Table1[[AwayTeam]:[AwayTeam]], Y$1),0), "-", TEXT(SUMIFS(Table1[[HomeWon]:[HomeWon]], Table1[[GameIsOver]:[GameIsOver]],1,Table1[[AwayTeam]:[AwayTeam]],$A16, Table1[[HomeTeam]:[HomeTeam]], Y$1, Table1[[ActualResult]:[ActualResult]], "REG") + SUMIFS(Table1[[AwayWon]:[AwayWon]], Table1[[GameIsOver]:[GameIsOver]],1,Table1[[HomeTeam]:[HomeTeam]],$A16, Table1[[AwayTeam]:[AwayTeam]], Y$1, Table1[[ActualResult]:[ActualResult]], "REG"),0), "-", TEXT(SUMIFS(Table1[[HomeWon]:[HomeWon]], Table1[[GameIsOver]:[GameIsOver]],1,Table1[[AwayTeam]:[AwayTeam]],$A16, Table1[[HomeTeam]:[HomeTeam]], Y$1, Table1[[ActualResult]:[ActualResult]], "OT") + SUMIFS(Table1[[AwayWon]:[AwayWon]], Table1[[GameIsOver]:[GameIsOver]],1,Table1[[HomeTeam]:[HomeTeam]],$A16, Table1[[AwayTeam]:[AwayTeam]], Y$1, Table1[[ActualResult]:[ActualResult]], "OT") + SUMIFS(Table1[[HomeWon]:[HomeWon]], Table1[[GameIsOver]:[GameIsOver]],1,Table1[[AwayTeam]:[AwayTeam]],$A16, Table1[[HomeTeam]:[HomeTeam]], Y$1, Table1[[ActualResult]:[ActualResult]], "SO") + SUMIFS(Table1[[AwayWon]:[AwayWon]], Table1[[GameIsOver]:[GameIsOver]],1,Table1[[HomeTeam]:[HomeTeam]],$A16, Table1[[AwayTeam]:[AwayTeam]], Y$1, Table1[[ActualResult]:[ActualResult]], "SO"),0))</f>
        <v>0-0-0</v>
      </c>
      <c r="Z16" s="43" t="str">
        <f>_xlfn.CONCAT(TEXT(SUMIFS(Table1[[AwayWon]:[AwayWon]], Table1[[GameIsOver]:[GameIsOver]],1,Table1[[AwayTeam]:[AwayTeam]],$A16, Table1[[HomeTeam]:[HomeTeam]], Z$1) + SUMIFS(Table1[[HomeWon]:[HomeWon]], Table1[[GameIsOver]:[GameIsOver]],1,Table1[[HomeTeam]:[HomeTeam]],$A16, Table1[[AwayTeam]:[AwayTeam]], Z$1),0), "-", TEXT(SUMIFS(Table1[[HomeWon]:[HomeWon]], Table1[[GameIsOver]:[GameIsOver]],1,Table1[[AwayTeam]:[AwayTeam]],$A16, Table1[[HomeTeam]:[HomeTeam]], Z$1, Table1[[ActualResult]:[ActualResult]], "REG") + SUMIFS(Table1[[AwayWon]:[AwayWon]], Table1[[GameIsOver]:[GameIsOver]],1,Table1[[HomeTeam]:[HomeTeam]],$A16, Table1[[AwayTeam]:[AwayTeam]], Z$1, Table1[[ActualResult]:[ActualResult]], "REG"),0), "-", TEXT(SUMIFS(Table1[[HomeWon]:[HomeWon]], Table1[[GameIsOver]:[GameIsOver]],1,Table1[[AwayTeam]:[AwayTeam]],$A16, Table1[[HomeTeam]:[HomeTeam]], Z$1, Table1[[ActualResult]:[ActualResult]], "OT") + SUMIFS(Table1[[AwayWon]:[AwayWon]], Table1[[GameIsOver]:[GameIsOver]],1,Table1[[HomeTeam]:[HomeTeam]],$A16, Table1[[AwayTeam]:[AwayTeam]], Z$1, Table1[[ActualResult]:[ActualResult]], "OT") + SUMIFS(Table1[[HomeWon]:[HomeWon]], Table1[[GameIsOver]:[GameIsOver]],1,Table1[[AwayTeam]:[AwayTeam]],$A16, Table1[[HomeTeam]:[HomeTeam]], Z$1, Table1[[ActualResult]:[ActualResult]], "SO") + SUMIFS(Table1[[AwayWon]:[AwayWon]], Table1[[GameIsOver]:[GameIsOver]],1,Table1[[HomeTeam]:[HomeTeam]],$A16, Table1[[AwayTeam]:[AwayTeam]], Z$1, Table1[[ActualResult]:[ActualResult]], "SO"),0))</f>
        <v>0-0-0</v>
      </c>
      <c r="AA16" s="43" t="str">
        <f>_xlfn.CONCAT(TEXT(SUMIFS(Table1[[AwayWon]:[AwayWon]], Table1[[GameIsOver]:[GameIsOver]],1,Table1[[AwayTeam]:[AwayTeam]],$A16, Table1[[HomeTeam]:[HomeTeam]], AA$1) + SUMIFS(Table1[[HomeWon]:[HomeWon]], Table1[[GameIsOver]:[GameIsOver]],1,Table1[[HomeTeam]:[HomeTeam]],$A16, Table1[[AwayTeam]:[AwayTeam]], AA$1),0), "-", TEXT(SUMIFS(Table1[[HomeWon]:[HomeWon]], Table1[[GameIsOver]:[GameIsOver]],1,Table1[[AwayTeam]:[AwayTeam]],$A16, Table1[[HomeTeam]:[HomeTeam]], AA$1, Table1[[ActualResult]:[ActualResult]], "REG") + SUMIFS(Table1[[AwayWon]:[AwayWon]], Table1[[GameIsOver]:[GameIsOver]],1,Table1[[HomeTeam]:[HomeTeam]],$A16, Table1[[AwayTeam]:[AwayTeam]], AA$1, Table1[[ActualResult]:[ActualResult]], "REG"),0), "-", TEXT(SUMIFS(Table1[[HomeWon]:[HomeWon]], Table1[[GameIsOver]:[GameIsOver]],1,Table1[[AwayTeam]:[AwayTeam]],$A16, Table1[[HomeTeam]:[HomeTeam]], AA$1, Table1[[ActualResult]:[ActualResult]], "OT") + SUMIFS(Table1[[AwayWon]:[AwayWon]], Table1[[GameIsOver]:[GameIsOver]],1,Table1[[HomeTeam]:[HomeTeam]],$A16, Table1[[AwayTeam]:[AwayTeam]], AA$1, Table1[[ActualResult]:[ActualResult]], "OT") + SUMIFS(Table1[[HomeWon]:[HomeWon]], Table1[[GameIsOver]:[GameIsOver]],1,Table1[[AwayTeam]:[AwayTeam]],$A16, Table1[[HomeTeam]:[HomeTeam]], AA$1, Table1[[ActualResult]:[ActualResult]], "SO") + SUMIFS(Table1[[AwayWon]:[AwayWon]], Table1[[GameIsOver]:[GameIsOver]],1,Table1[[HomeTeam]:[HomeTeam]],$A16, Table1[[AwayTeam]:[AwayTeam]], AA$1, Table1[[ActualResult]:[ActualResult]], "SO"),0))</f>
        <v>0-0-0</v>
      </c>
      <c r="AB16" s="43" t="str">
        <f>_xlfn.CONCAT(TEXT(SUMIFS(Table1[[AwayWon]:[AwayWon]], Table1[[GameIsOver]:[GameIsOver]],1,Table1[[AwayTeam]:[AwayTeam]],$A16, Table1[[HomeTeam]:[HomeTeam]], AB$1) + SUMIFS(Table1[[HomeWon]:[HomeWon]], Table1[[GameIsOver]:[GameIsOver]],1,Table1[[HomeTeam]:[HomeTeam]],$A16, Table1[[AwayTeam]:[AwayTeam]], AB$1),0), "-", TEXT(SUMIFS(Table1[[HomeWon]:[HomeWon]], Table1[[GameIsOver]:[GameIsOver]],1,Table1[[AwayTeam]:[AwayTeam]],$A16, Table1[[HomeTeam]:[HomeTeam]], AB$1, Table1[[ActualResult]:[ActualResult]], "REG") + SUMIFS(Table1[[AwayWon]:[AwayWon]], Table1[[GameIsOver]:[GameIsOver]],1,Table1[[HomeTeam]:[HomeTeam]],$A16, Table1[[AwayTeam]:[AwayTeam]], AB$1, Table1[[ActualResult]:[ActualResult]], "REG"),0), "-", TEXT(SUMIFS(Table1[[HomeWon]:[HomeWon]], Table1[[GameIsOver]:[GameIsOver]],1,Table1[[AwayTeam]:[AwayTeam]],$A16, Table1[[HomeTeam]:[HomeTeam]], AB$1, Table1[[ActualResult]:[ActualResult]], "OT") + SUMIFS(Table1[[AwayWon]:[AwayWon]], Table1[[GameIsOver]:[GameIsOver]],1,Table1[[HomeTeam]:[HomeTeam]],$A16, Table1[[AwayTeam]:[AwayTeam]], AB$1, Table1[[ActualResult]:[ActualResult]], "OT") + SUMIFS(Table1[[HomeWon]:[HomeWon]], Table1[[GameIsOver]:[GameIsOver]],1,Table1[[AwayTeam]:[AwayTeam]],$A16, Table1[[HomeTeam]:[HomeTeam]], AB$1, Table1[[ActualResult]:[ActualResult]], "SO") + SUMIFS(Table1[[AwayWon]:[AwayWon]], Table1[[GameIsOver]:[GameIsOver]],1,Table1[[HomeTeam]:[HomeTeam]],$A16, Table1[[AwayTeam]:[AwayTeam]], AB$1, Table1[[ActualResult]:[ActualResult]], "SO"),0))</f>
        <v>0-0-0</v>
      </c>
      <c r="AC16" s="43" t="str">
        <f>_xlfn.CONCAT(TEXT(SUMIFS(Table1[[AwayWon]:[AwayWon]], Table1[[GameIsOver]:[GameIsOver]],1,Table1[[AwayTeam]:[AwayTeam]],$A16, Table1[[HomeTeam]:[HomeTeam]], AC$1) + SUMIFS(Table1[[HomeWon]:[HomeWon]], Table1[[GameIsOver]:[GameIsOver]],1,Table1[[HomeTeam]:[HomeTeam]],$A16, Table1[[AwayTeam]:[AwayTeam]], AC$1),0), "-", TEXT(SUMIFS(Table1[[HomeWon]:[HomeWon]], Table1[[GameIsOver]:[GameIsOver]],1,Table1[[AwayTeam]:[AwayTeam]],$A16, Table1[[HomeTeam]:[HomeTeam]], AC$1, Table1[[ActualResult]:[ActualResult]], "REG") + SUMIFS(Table1[[AwayWon]:[AwayWon]], Table1[[GameIsOver]:[GameIsOver]],1,Table1[[HomeTeam]:[HomeTeam]],$A16, Table1[[AwayTeam]:[AwayTeam]], AC$1, Table1[[ActualResult]:[ActualResult]], "REG"),0), "-", TEXT(SUMIFS(Table1[[HomeWon]:[HomeWon]], Table1[[GameIsOver]:[GameIsOver]],1,Table1[[AwayTeam]:[AwayTeam]],$A16, Table1[[HomeTeam]:[HomeTeam]], AC$1, Table1[[ActualResult]:[ActualResult]], "OT") + SUMIFS(Table1[[AwayWon]:[AwayWon]], Table1[[GameIsOver]:[GameIsOver]],1,Table1[[HomeTeam]:[HomeTeam]],$A16, Table1[[AwayTeam]:[AwayTeam]], AC$1, Table1[[ActualResult]:[ActualResult]], "OT") + SUMIFS(Table1[[HomeWon]:[HomeWon]], Table1[[GameIsOver]:[GameIsOver]],1,Table1[[AwayTeam]:[AwayTeam]],$A16, Table1[[HomeTeam]:[HomeTeam]], AC$1, Table1[[ActualResult]:[ActualResult]], "SO") + SUMIFS(Table1[[AwayWon]:[AwayWon]], Table1[[GameIsOver]:[GameIsOver]],1,Table1[[HomeTeam]:[HomeTeam]],$A16, Table1[[AwayTeam]:[AwayTeam]], AC$1, Table1[[ActualResult]:[ActualResult]], "SO"),0))</f>
        <v>0-0-0</v>
      </c>
      <c r="AD16" s="43" t="str">
        <f>_xlfn.CONCAT(TEXT(SUMIFS(Table1[[AwayWon]:[AwayWon]], Table1[[GameIsOver]:[GameIsOver]],1,Table1[[AwayTeam]:[AwayTeam]],$A16, Table1[[HomeTeam]:[HomeTeam]], AD$1) + SUMIFS(Table1[[HomeWon]:[HomeWon]], Table1[[GameIsOver]:[GameIsOver]],1,Table1[[HomeTeam]:[HomeTeam]],$A16, Table1[[AwayTeam]:[AwayTeam]], AD$1),0), "-", TEXT(SUMIFS(Table1[[HomeWon]:[HomeWon]], Table1[[GameIsOver]:[GameIsOver]],1,Table1[[AwayTeam]:[AwayTeam]],$A16, Table1[[HomeTeam]:[HomeTeam]], AD$1, Table1[[ActualResult]:[ActualResult]], "REG") + SUMIFS(Table1[[AwayWon]:[AwayWon]], Table1[[GameIsOver]:[GameIsOver]],1,Table1[[HomeTeam]:[HomeTeam]],$A16, Table1[[AwayTeam]:[AwayTeam]], AD$1, Table1[[ActualResult]:[ActualResult]], "REG"),0), "-", TEXT(SUMIFS(Table1[[HomeWon]:[HomeWon]], Table1[[GameIsOver]:[GameIsOver]],1,Table1[[AwayTeam]:[AwayTeam]],$A16, Table1[[HomeTeam]:[HomeTeam]], AD$1, Table1[[ActualResult]:[ActualResult]], "OT") + SUMIFS(Table1[[AwayWon]:[AwayWon]], Table1[[GameIsOver]:[GameIsOver]],1,Table1[[HomeTeam]:[HomeTeam]],$A16, Table1[[AwayTeam]:[AwayTeam]], AD$1, Table1[[ActualResult]:[ActualResult]], "OT") + SUMIFS(Table1[[HomeWon]:[HomeWon]], Table1[[GameIsOver]:[GameIsOver]],1,Table1[[AwayTeam]:[AwayTeam]],$A16, Table1[[HomeTeam]:[HomeTeam]], AD$1, Table1[[ActualResult]:[ActualResult]], "SO") + SUMIFS(Table1[[AwayWon]:[AwayWon]], Table1[[GameIsOver]:[GameIsOver]],1,Table1[[HomeTeam]:[HomeTeam]],$A16, Table1[[AwayTeam]:[AwayTeam]], AD$1, Table1[[ActualResult]:[ActualResult]], "SO"),0))</f>
        <v>0-0-0</v>
      </c>
      <c r="AE16" s="43" t="str">
        <f>_xlfn.CONCAT(TEXT(SUMIFS(Table1[[AwayWon]:[AwayWon]], Table1[[GameIsOver]:[GameIsOver]],1,Table1[[AwayTeam]:[AwayTeam]],$A16, Table1[[HomeTeam]:[HomeTeam]], AE$1) + SUMIFS(Table1[[HomeWon]:[HomeWon]], Table1[[GameIsOver]:[GameIsOver]],1,Table1[[HomeTeam]:[HomeTeam]],$A16, Table1[[AwayTeam]:[AwayTeam]], AE$1),0), "-", TEXT(SUMIFS(Table1[[HomeWon]:[HomeWon]], Table1[[GameIsOver]:[GameIsOver]],1,Table1[[AwayTeam]:[AwayTeam]],$A16, Table1[[HomeTeam]:[HomeTeam]], AE$1, Table1[[ActualResult]:[ActualResult]], "REG") + SUMIFS(Table1[[AwayWon]:[AwayWon]], Table1[[GameIsOver]:[GameIsOver]],1,Table1[[HomeTeam]:[HomeTeam]],$A16, Table1[[AwayTeam]:[AwayTeam]], AE$1, Table1[[ActualResult]:[ActualResult]], "REG"),0), "-", TEXT(SUMIFS(Table1[[HomeWon]:[HomeWon]], Table1[[GameIsOver]:[GameIsOver]],1,Table1[[AwayTeam]:[AwayTeam]],$A16, Table1[[HomeTeam]:[HomeTeam]], AE$1, Table1[[ActualResult]:[ActualResult]], "OT") + SUMIFS(Table1[[AwayWon]:[AwayWon]], Table1[[GameIsOver]:[GameIsOver]],1,Table1[[HomeTeam]:[HomeTeam]],$A16, Table1[[AwayTeam]:[AwayTeam]], AE$1, Table1[[ActualResult]:[ActualResult]], "OT") + SUMIFS(Table1[[HomeWon]:[HomeWon]], Table1[[GameIsOver]:[GameIsOver]],1,Table1[[AwayTeam]:[AwayTeam]],$A16, Table1[[HomeTeam]:[HomeTeam]], AE$1, Table1[[ActualResult]:[ActualResult]], "SO") + SUMIFS(Table1[[AwayWon]:[AwayWon]], Table1[[GameIsOver]:[GameIsOver]],1,Table1[[HomeTeam]:[HomeTeam]],$A16, Table1[[AwayTeam]:[AwayTeam]], AE$1, Table1[[ActualResult]:[ActualResult]], "SO"),0))</f>
        <v>0-0-0</v>
      </c>
      <c r="AF16" s="43" t="str">
        <f>_xlfn.CONCAT(TEXT(SUMIFS(Table1[[AwayWon]:[AwayWon]], Table1[[GameIsOver]:[GameIsOver]],1,Table1[[AwayTeam]:[AwayTeam]],$A16, Table1[[HomeTeam]:[HomeTeam]], AF$1) + SUMIFS(Table1[[HomeWon]:[HomeWon]], Table1[[GameIsOver]:[GameIsOver]],1,Table1[[HomeTeam]:[HomeTeam]],$A16, Table1[[AwayTeam]:[AwayTeam]], AF$1),0), "-", TEXT(SUMIFS(Table1[[HomeWon]:[HomeWon]], Table1[[GameIsOver]:[GameIsOver]],1,Table1[[AwayTeam]:[AwayTeam]],$A16, Table1[[HomeTeam]:[HomeTeam]], AF$1, Table1[[ActualResult]:[ActualResult]], "REG") + SUMIFS(Table1[[AwayWon]:[AwayWon]], Table1[[GameIsOver]:[GameIsOver]],1,Table1[[HomeTeam]:[HomeTeam]],$A16, Table1[[AwayTeam]:[AwayTeam]], AF$1, Table1[[ActualResult]:[ActualResult]], "REG"),0), "-", TEXT(SUMIFS(Table1[[HomeWon]:[HomeWon]], Table1[[GameIsOver]:[GameIsOver]],1,Table1[[AwayTeam]:[AwayTeam]],$A16, Table1[[HomeTeam]:[HomeTeam]], AF$1, Table1[[ActualResult]:[ActualResult]], "OT") + SUMIFS(Table1[[AwayWon]:[AwayWon]], Table1[[GameIsOver]:[GameIsOver]],1,Table1[[HomeTeam]:[HomeTeam]],$A16, Table1[[AwayTeam]:[AwayTeam]], AF$1, Table1[[ActualResult]:[ActualResult]], "OT") + SUMIFS(Table1[[HomeWon]:[HomeWon]], Table1[[GameIsOver]:[GameIsOver]],1,Table1[[AwayTeam]:[AwayTeam]],$A16, Table1[[HomeTeam]:[HomeTeam]], AF$1, Table1[[ActualResult]:[ActualResult]], "SO") + SUMIFS(Table1[[AwayWon]:[AwayWon]], Table1[[GameIsOver]:[GameIsOver]],1,Table1[[HomeTeam]:[HomeTeam]],$A16, Table1[[AwayTeam]:[AwayTeam]], AF$1, Table1[[ActualResult]:[ActualResult]], "SO"),0))</f>
        <v>0-0-0</v>
      </c>
      <c r="AG16" s="43" t="str">
        <f>_xlfn.CONCAT(TEXT(SUMIFS(Table1[[AwayWon]:[AwayWon]], Table1[[GameIsOver]:[GameIsOver]],1,Table1[[AwayTeam]:[AwayTeam]],$A16, Table1[[HomeTeam]:[HomeTeam]], AG$1) + SUMIFS(Table1[[HomeWon]:[HomeWon]], Table1[[GameIsOver]:[GameIsOver]],1,Table1[[HomeTeam]:[HomeTeam]],$A16, Table1[[AwayTeam]:[AwayTeam]], AG$1),0), "-", TEXT(SUMIFS(Table1[[HomeWon]:[HomeWon]], Table1[[GameIsOver]:[GameIsOver]],1,Table1[[AwayTeam]:[AwayTeam]],$A16, Table1[[HomeTeam]:[HomeTeam]], AG$1, Table1[[ActualResult]:[ActualResult]], "REG") + SUMIFS(Table1[[AwayWon]:[AwayWon]], Table1[[GameIsOver]:[GameIsOver]],1,Table1[[HomeTeam]:[HomeTeam]],$A16, Table1[[AwayTeam]:[AwayTeam]], AG$1, Table1[[ActualResult]:[ActualResult]], "REG"),0), "-", TEXT(SUMIFS(Table1[[HomeWon]:[HomeWon]], Table1[[GameIsOver]:[GameIsOver]],1,Table1[[AwayTeam]:[AwayTeam]],$A16, Table1[[HomeTeam]:[HomeTeam]], AG$1, Table1[[ActualResult]:[ActualResult]], "OT") + SUMIFS(Table1[[AwayWon]:[AwayWon]], Table1[[GameIsOver]:[GameIsOver]],1,Table1[[HomeTeam]:[HomeTeam]],$A16, Table1[[AwayTeam]:[AwayTeam]], AG$1, Table1[[ActualResult]:[ActualResult]], "OT") + SUMIFS(Table1[[HomeWon]:[HomeWon]], Table1[[GameIsOver]:[GameIsOver]],1,Table1[[AwayTeam]:[AwayTeam]],$A16, Table1[[HomeTeam]:[HomeTeam]], AG$1, Table1[[ActualResult]:[ActualResult]], "SO") + SUMIFS(Table1[[AwayWon]:[AwayWon]], Table1[[GameIsOver]:[GameIsOver]],1,Table1[[HomeTeam]:[HomeTeam]],$A16, Table1[[AwayTeam]:[AwayTeam]], AG$1, Table1[[ActualResult]:[ActualResult]], "SO"),0))</f>
        <v>0-0-0</v>
      </c>
    </row>
    <row r="17" spans="1:33" ht="15.75" thickBot="1" x14ac:dyDescent="0.3">
      <c r="A17" s="18" t="s">
        <v>60</v>
      </c>
      <c r="B17" s="46" t="str">
        <f>_xlfn.CONCAT(TEXT(SUMIFS(Table1[[AwayWon]:[AwayWon]], Table1[[GameIsOver]:[GameIsOver]],1,Table1[[AwayTeam]:[AwayTeam]],$A17, Table1[[HomeTeam]:[HomeTeam]], B$1) + SUMIFS(Table1[[HomeWon]:[HomeWon]], Table1[[GameIsOver]:[GameIsOver]],1,Table1[[HomeTeam]:[HomeTeam]],$A17, Table1[[AwayTeam]:[AwayTeam]], B$1),0), "-", TEXT(SUMIFS(Table1[[HomeWon]:[HomeWon]], Table1[[GameIsOver]:[GameIsOver]],1,Table1[[AwayTeam]:[AwayTeam]],$A17, Table1[[HomeTeam]:[HomeTeam]], B$1, Table1[[ActualResult]:[ActualResult]], "REG") + SUMIFS(Table1[[AwayWon]:[AwayWon]], Table1[[GameIsOver]:[GameIsOver]],1,Table1[[HomeTeam]:[HomeTeam]],$A17, Table1[[AwayTeam]:[AwayTeam]], B$1, Table1[[ActualResult]:[ActualResult]], "REG"),0), "-", TEXT(SUMIFS(Table1[[HomeWon]:[HomeWon]], Table1[[GameIsOver]:[GameIsOver]],1,Table1[[AwayTeam]:[AwayTeam]],$A17, Table1[[HomeTeam]:[HomeTeam]], B$1, Table1[[ActualResult]:[ActualResult]], "OT") + SUMIFS(Table1[[AwayWon]:[AwayWon]], Table1[[GameIsOver]:[GameIsOver]],1,Table1[[HomeTeam]:[HomeTeam]],$A17, Table1[[AwayTeam]:[AwayTeam]], B$1, Table1[[ActualResult]:[ActualResult]], "OT") + SUMIFS(Table1[[HomeWon]:[HomeWon]], Table1[[GameIsOver]:[GameIsOver]],1,Table1[[AwayTeam]:[AwayTeam]],$A17, Table1[[HomeTeam]:[HomeTeam]], B$1, Table1[[ActualResult]:[ActualResult]], "SO") + SUMIFS(Table1[[AwayWon]:[AwayWon]], Table1[[GameIsOver]:[GameIsOver]],1,Table1[[HomeTeam]:[HomeTeam]],$A17, Table1[[AwayTeam]:[AwayTeam]], B$1, Table1[[ActualResult]:[ActualResult]], "SO"),0))</f>
        <v>0-0-0</v>
      </c>
      <c r="C17" s="47" t="str">
        <f>_xlfn.CONCAT(TEXT(SUMIFS(Table1[[AwayWon]:[AwayWon]], Table1[[GameIsOver]:[GameIsOver]],1,Table1[[AwayTeam]:[AwayTeam]],$A17, Table1[[HomeTeam]:[HomeTeam]], C$1) + SUMIFS(Table1[[HomeWon]:[HomeWon]], Table1[[GameIsOver]:[GameIsOver]],1,Table1[[HomeTeam]:[HomeTeam]],$A17, Table1[[AwayTeam]:[AwayTeam]], C$1),0), "-", TEXT(SUMIFS(Table1[[HomeWon]:[HomeWon]], Table1[[GameIsOver]:[GameIsOver]],1,Table1[[AwayTeam]:[AwayTeam]],$A17, Table1[[HomeTeam]:[HomeTeam]], C$1, Table1[[ActualResult]:[ActualResult]], "REG") + SUMIFS(Table1[[AwayWon]:[AwayWon]], Table1[[GameIsOver]:[GameIsOver]],1,Table1[[HomeTeam]:[HomeTeam]],$A17, Table1[[AwayTeam]:[AwayTeam]], C$1, Table1[[ActualResult]:[ActualResult]], "REG"),0), "-", TEXT(SUMIFS(Table1[[HomeWon]:[HomeWon]], Table1[[GameIsOver]:[GameIsOver]],1,Table1[[AwayTeam]:[AwayTeam]],$A17, Table1[[HomeTeam]:[HomeTeam]], C$1, Table1[[ActualResult]:[ActualResult]], "OT") + SUMIFS(Table1[[AwayWon]:[AwayWon]], Table1[[GameIsOver]:[GameIsOver]],1,Table1[[HomeTeam]:[HomeTeam]],$A17, Table1[[AwayTeam]:[AwayTeam]], C$1, Table1[[ActualResult]:[ActualResult]], "OT") + SUMIFS(Table1[[HomeWon]:[HomeWon]], Table1[[GameIsOver]:[GameIsOver]],1,Table1[[AwayTeam]:[AwayTeam]],$A17, Table1[[HomeTeam]:[HomeTeam]], C$1, Table1[[ActualResult]:[ActualResult]], "SO") + SUMIFS(Table1[[AwayWon]:[AwayWon]], Table1[[GameIsOver]:[GameIsOver]],1,Table1[[HomeTeam]:[HomeTeam]],$A17, Table1[[AwayTeam]:[AwayTeam]], C$1, Table1[[ActualResult]:[ActualResult]], "SO"),0))</f>
        <v>0-0-0</v>
      </c>
      <c r="D17" s="47" t="str">
        <f>_xlfn.CONCAT(TEXT(SUMIFS(Table1[[AwayWon]:[AwayWon]], Table1[[GameIsOver]:[GameIsOver]],1,Table1[[AwayTeam]:[AwayTeam]],$A17, Table1[[HomeTeam]:[HomeTeam]], D$1) + SUMIFS(Table1[[HomeWon]:[HomeWon]], Table1[[GameIsOver]:[GameIsOver]],1,Table1[[HomeTeam]:[HomeTeam]],$A17, Table1[[AwayTeam]:[AwayTeam]], D$1),0), "-", TEXT(SUMIFS(Table1[[HomeWon]:[HomeWon]], Table1[[GameIsOver]:[GameIsOver]],1,Table1[[AwayTeam]:[AwayTeam]],$A17, Table1[[HomeTeam]:[HomeTeam]], D$1, Table1[[ActualResult]:[ActualResult]], "REG") + SUMIFS(Table1[[AwayWon]:[AwayWon]], Table1[[GameIsOver]:[GameIsOver]],1,Table1[[HomeTeam]:[HomeTeam]],$A17, Table1[[AwayTeam]:[AwayTeam]], D$1, Table1[[ActualResult]:[ActualResult]], "REG"),0), "-", TEXT(SUMIFS(Table1[[HomeWon]:[HomeWon]], Table1[[GameIsOver]:[GameIsOver]],1,Table1[[AwayTeam]:[AwayTeam]],$A17, Table1[[HomeTeam]:[HomeTeam]], D$1, Table1[[ActualResult]:[ActualResult]], "OT") + SUMIFS(Table1[[AwayWon]:[AwayWon]], Table1[[GameIsOver]:[GameIsOver]],1,Table1[[HomeTeam]:[HomeTeam]],$A17, Table1[[AwayTeam]:[AwayTeam]], D$1, Table1[[ActualResult]:[ActualResult]], "OT") + SUMIFS(Table1[[HomeWon]:[HomeWon]], Table1[[GameIsOver]:[GameIsOver]],1,Table1[[AwayTeam]:[AwayTeam]],$A17, Table1[[HomeTeam]:[HomeTeam]], D$1, Table1[[ActualResult]:[ActualResult]], "SO") + SUMIFS(Table1[[AwayWon]:[AwayWon]], Table1[[GameIsOver]:[GameIsOver]],1,Table1[[HomeTeam]:[HomeTeam]],$A17, Table1[[AwayTeam]:[AwayTeam]], D$1, Table1[[ActualResult]:[ActualResult]], "SO"),0))</f>
        <v>0-0-0</v>
      </c>
      <c r="E17" s="47" t="str">
        <f>_xlfn.CONCAT(TEXT(SUMIFS(Table1[[AwayWon]:[AwayWon]], Table1[[GameIsOver]:[GameIsOver]],1,Table1[[AwayTeam]:[AwayTeam]],$A17, Table1[[HomeTeam]:[HomeTeam]], E$1) + SUMIFS(Table1[[HomeWon]:[HomeWon]], Table1[[GameIsOver]:[GameIsOver]],1,Table1[[HomeTeam]:[HomeTeam]],$A17, Table1[[AwayTeam]:[AwayTeam]], E$1),0), "-", TEXT(SUMIFS(Table1[[HomeWon]:[HomeWon]], Table1[[GameIsOver]:[GameIsOver]],1,Table1[[AwayTeam]:[AwayTeam]],$A17, Table1[[HomeTeam]:[HomeTeam]], E$1, Table1[[ActualResult]:[ActualResult]], "REG") + SUMIFS(Table1[[AwayWon]:[AwayWon]], Table1[[GameIsOver]:[GameIsOver]],1,Table1[[HomeTeam]:[HomeTeam]],$A17, Table1[[AwayTeam]:[AwayTeam]], E$1, Table1[[ActualResult]:[ActualResult]], "REG"),0), "-", TEXT(SUMIFS(Table1[[HomeWon]:[HomeWon]], Table1[[GameIsOver]:[GameIsOver]],1,Table1[[AwayTeam]:[AwayTeam]],$A17, Table1[[HomeTeam]:[HomeTeam]], E$1, Table1[[ActualResult]:[ActualResult]], "OT") + SUMIFS(Table1[[AwayWon]:[AwayWon]], Table1[[GameIsOver]:[GameIsOver]],1,Table1[[HomeTeam]:[HomeTeam]],$A17, Table1[[AwayTeam]:[AwayTeam]], E$1, Table1[[ActualResult]:[ActualResult]], "OT") + SUMIFS(Table1[[HomeWon]:[HomeWon]], Table1[[GameIsOver]:[GameIsOver]],1,Table1[[AwayTeam]:[AwayTeam]],$A17, Table1[[HomeTeam]:[HomeTeam]], E$1, Table1[[ActualResult]:[ActualResult]], "SO") + SUMIFS(Table1[[AwayWon]:[AwayWon]], Table1[[GameIsOver]:[GameIsOver]],1,Table1[[HomeTeam]:[HomeTeam]],$A17, Table1[[AwayTeam]:[AwayTeam]], E$1, Table1[[ActualResult]:[ActualResult]], "SO"),0))</f>
        <v>0-0-0</v>
      </c>
      <c r="F17" s="47" t="str">
        <f>_xlfn.CONCAT(TEXT(SUMIFS(Table1[[AwayWon]:[AwayWon]], Table1[[GameIsOver]:[GameIsOver]],1,Table1[[AwayTeam]:[AwayTeam]],$A17, Table1[[HomeTeam]:[HomeTeam]], F$1) + SUMIFS(Table1[[HomeWon]:[HomeWon]], Table1[[GameIsOver]:[GameIsOver]],1,Table1[[HomeTeam]:[HomeTeam]],$A17, Table1[[AwayTeam]:[AwayTeam]], F$1),0), "-", TEXT(SUMIFS(Table1[[HomeWon]:[HomeWon]], Table1[[GameIsOver]:[GameIsOver]],1,Table1[[AwayTeam]:[AwayTeam]],$A17, Table1[[HomeTeam]:[HomeTeam]], F$1, Table1[[ActualResult]:[ActualResult]], "REG") + SUMIFS(Table1[[AwayWon]:[AwayWon]], Table1[[GameIsOver]:[GameIsOver]],1,Table1[[HomeTeam]:[HomeTeam]],$A17, Table1[[AwayTeam]:[AwayTeam]], F$1, Table1[[ActualResult]:[ActualResult]], "REG"),0), "-", TEXT(SUMIFS(Table1[[HomeWon]:[HomeWon]], Table1[[GameIsOver]:[GameIsOver]],1,Table1[[AwayTeam]:[AwayTeam]],$A17, Table1[[HomeTeam]:[HomeTeam]], F$1, Table1[[ActualResult]:[ActualResult]], "OT") + SUMIFS(Table1[[AwayWon]:[AwayWon]], Table1[[GameIsOver]:[GameIsOver]],1,Table1[[HomeTeam]:[HomeTeam]],$A17, Table1[[AwayTeam]:[AwayTeam]], F$1, Table1[[ActualResult]:[ActualResult]], "OT") + SUMIFS(Table1[[HomeWon]:[HomeWon]], Table1[[GameIsOver]:[GameIsOver]],1,Table1[[AwayTeam]:[AwayTeam]],$A17, Table1[[HomeTeam]:[HomeTeam]], F$1, Table1[[ActualResult]:[ActualResult]], "SO") + SUMIFS(Table1[[AwayWon]:[AwayWon]], Table1[[GameIsOver]:[GameIsOver]],1,Table1[[HomeTeam]:[HomeTeam]],$A17, Table1[[AwayTeam]:[AwayTeam]], F$1, Table1[[ActualResult]:[ActualResult]], "SO"),0))</f>
        <v>0-0-0</v>
      </c>
      <c r="G17" s="47" t="str">
        <f>_xlfn.CONCAT(TEXT(SUMIFS(Table1[[AwayWon]:[AwayWon]], Table1[[GameIsOver]:[GameIsOver]],1,Table1[[AwayTeam]:[AwayTeam]],$A17, Table1[[HomeTeam]:[HomeTeam]], G$1) + SUMIFS(Table1[[HomeWon]:[HomeWon]], Table1[[GameIsOver]:[GameIsOver]],1,Table1[[HomeTeam]:[HomeTeam]],$A17, Table1[[AwayTeam]:[AwayTeam]], G$1),0), "-", TEXT(SUMIFS(Table1[[HomeWon]:[HomeWon]], Table1[[GameIsOver]:[GameIsOver]],1,Table1[[AwayTeam]:[AwayTeam]],$A17, Table1[[HomeTeam]:[HomeTeam]], G$1, Table1[[ActualResult]:[ActualResult]], "REG") + SUMIFS(Table1[[AwayWon]:[AwayWon]], Table1[[GameIsOver]:[GameIsOver]],1,Table1[[HomeTeam]:[HomeTeam]],$A17, Table1[[AwayTeam]:[AwayTeam]], G$1, Table1[[ActualResult]:[ActualResult]], "REG"),0), "-", TEXT(SUMIFS(Table1[[HomeWon]:[HomeWon]], Table1[[GameIsOver]:[GameIsOver]],1,Table1[[AwayTeam]:[AwayTeam]],$A17, Table1[[HomeTeam]:[HomeTeam]], G$1, Table1[[ActualResult]:[ActualResult]], "OT") + SUMIFS(Table1[[AwayWon]:[AwayWon]], Table1[[GameIsOver]:[GameIsOver]],1,Table1[[HomeTeam]:[HomeTeam]],$A17, Table1[[AwayTeam]:[AwayTeam]], G$1, Table1[[ActualResult]:[ActualResult]], "OT") + SUMIFS(Table1[[HomeWon]:[HomeWon]], Table1[[GameIsOver]:[GameIsOver]],1,Table1[[AwayTeam]:[AwayTeam]],$A17, Table1[[HomeTeam]:[HomeTeam]], G$1, Table1[[ActualResult]:[ActualResult]], "SO") + SUMIFS(Table1[[AwayWon]:[AwayWon]], Table1[[GameIsOver]:[GameIsOver]],1,Table1[[HomeTeam]:[HomeTeam]],$A17, Table1[[AwayTeam]:[AwayTeam]], G$1, Table1[[ActualResult]:[ActualResult]], "SO"),0))</f>
        <v>0-0-0</v>
      </c>
      <c r="H17" s="47" t="str">
        <f>_xlfn.CONCAT(TEXT(SUMIFS(Table1[[AwayWon]:[AwayWon]], Table1[[GameIsOver]:[GameIsOver]],1,Table1[[AwayTeam]:[AwayTeam]],$A17, Table1[[HomeTeam]:[HomeTeam]], H$1) + SUMIFS(Table1[[HomeWon]:[HomeWon]], Table1[[GameIsOver]:[GameIsOver]],1,Table1[[HomeTeam]:[HomeTeam]],$A17, Table1[[AwayTeam]:[AwayTeam]], H$1),0), "-", TEXT(SUMIFS(Table1[[HomeWon]:[HomeWon]], Table1[[GameIsOver]:[GameIsOver]],1,Table1[[AwayTeam]:[AwayTeam]],$A17, Table1[[HomeTeam]:[HomeTeam]], H$1, Table1[[ActualResult]:[ActualResult]], "REG") + SUMIFS(Table1[[AwayWon]:[AwayWon]], Table1[[GameIsOver]:[GameIsOver]],1,Table1[[HomeTeam]:[HomeTeam]],$A17, Table1[[AwayTeam]:[AwayTeam]], H$1, Table1[[ActualResult]:[ActualResult]], "REG"),0), "-", TEXT(SUMIFS(Table1[[HomeWon]:[HomeWon]], Table1[[GameIsOver]:[GameIsOver]],1,Table1[[AwayTeam]:[AwayTeam]],$A17, Table1[[HomeTeam]:[HomeTeam]], H$1, Table1[[ActualResult]:[ActualResult]], "OT") + SUMIFS(Table1[[AwayWon]:[AwayWon]], Table1[[GameIsOver]:[GameIsOver]],1,Table1[[HomeTeam]:[HomeTeam]],$A17, Table1[[AwayTeam]:[AwayTeam]], H$1, Table1[[ActualResult]:[ActualResult]], "OT") + SUMIFS(Table1[[HomeWon]:[HomeWon]], Table1[[GameIsOver]:[GameIsOver]],1,Table1[[AwayTeam]:[AwayTeam]],$A17, Table1[[HomeTeam]:[HomeTeam]], H$1, Table1[[ActualResult]:[ActualResult]], "SO") + SUMIFS(Table1[[AwayWon]:[AwayWon]], Table1[[GameIsOver]:[GameIsOver]],1,Table1[[HomeTeam]:[HomeTeam]],$A17, Table1[[AwayTeam]:[AwayTeam]], H$1, Table1[[ActualResult]:[ActualResult]], "SO"),0))</f>
        <v>0-0-0</v>
      </c>
      <c r="I17" s="48" t="str">
        <f>_xlfn.CONCAT(TEXT(SUMIFS(Table1[[AwayWon]:[AwayWon]], Table1[[GameIsOver]:[GameIsOver]],1,Table1[[AwayTeam]:[AwayTeam]],$A17, Table1[[HomeTeam]:[HomeTeam]], I$1) + SUMIFS(Table1[[HomeWon]:[HomeWon]], Table1[[GameIsOver]:[GameIsOver]],1,Table1[[HomeTeam]:[HomeTeam]],$A17, Table1[[AwayTeam]:[AwayTeam]], I$1),0), "-", TEXT(SUMIFS(Table1[[HomeWon]:[HomeWon]], Table1[[GameIsOver]:[GameIsOver]],1,Table1[[AwayTeam]:[AwayTeam]],$A17, Table1[[HomeTeam]:[HomeTeam]], I$1, Table1[[ActualResult]:[ActualResult]], "REG") + SUMIFS(Table1[[AwayWon]:[AwayWon]], Table1[[GameIsOver]:[GameIsOver]],1,Table1[[HomeTeam]:[HomeTeam]],$A17, Table1[[AwayTeam]:[AwayTeam]], I$1, Table1[[ActualResult]:[ActualResult]], "REG"),0), "-", TEXT(SUMIFS(Table1[[HomeWon]:[HomeWon]], Table1[[GameIsOver]:[GameIsOver]],1,Table1[[AwayTeam]:[AwayTeam]],$A17, Table1[[HomeTeam]:[HomeTeam]], I$1, Table1[[ActualResult]:[ActualResult]], "OT") + SUMIFS(Table1[[AwayWon]:[AwayWon]], Table1[[GameIsOver]:[GameIsOver]],1,Table1[[HomeTeam]:[HomeTeam]],$A17, Table1[[AwayTeam]:[AwayTeam]], I$1, Table1[[ActualResult]:[ActualResult]], "OT") + SUMIFS(Table1[[HomeWon]:[HomeWon]], Table1[[GameIsOver]:[GameIsOver]],1,Table1[[AwayTeam]:[AwayTeam]],$A17, Table1[[HomeTeam]:[HomeTeam]], I$1, Table1[[ActualResult]:[ActualResult]], "SO") + SUMIFS(Table1[[AwayWon]:[AwayWon]], Table1[[GameIsOver]:[GameIsOver]],1,Table1[[HomeTeam]:[HomeTeam]],$A17, Table1[[AwayTeam]:[AwayTeam]], I$1, Table1[[ActualResult]:[ActualResult]], "SO"),0))</f>
        <v>0-0-0</v>
      </c>
      <c r="J17" s="47" t="str">
        <f>_xlfn.CONCAT(TEXT(SUMIFS(Table1[[AwayWon]:[AwayWon]], Table1[[GameIsOver]:[GameIsOver]],1,Table1[[AwayTeam]:[AwayTeam]],$A17, Table1[[HomeTeam]:[HomeTeam]], J$1) + SUMIFS(Table1[[HomeWon]:[HomeWon]], Table1[[GameIsOver]:[GameIsOver]],1,Table1[[HomeTeam]:[HomeTeam]],$A17, Table1[[AwayTeam]:[AwayTeam]], J$1),0), "-", TEXT(SUMIFS(Table1[[HomeWon]:[HomeWon]], Table1[[GameIsOver]:[GameIsOver]],1,Table1[[AwayTeam]:[AwayTeam]],$A17, Table1[[HomeTeam]:[HomeTeam]], J$1, Table1[[ActualResult]:[ActualResult]], "REG") + SUMIFS(Table1[[AwayWon]:[AwayWon]], Table1[[GameIsOver]:[GameIsOver]],1,Table1[[HomeTeam]:[HomeTeam]],$A17, Table1[[AwayTeam]:[AwayTeam]], J$1, Table1[[ActualResult]:[ActualResult]], "REG"),0), "-", TEXT(SUMIFS(Table1[[HomeWon]:[HomeWon]], Table1[[GameIsOver]:[GameIsOver]],1,Table1[[AwayTeam]:[AwayTeam]],$A17, Table1[[HomeTeam]:[HomeTeam]], J$1, Table1[[ActualResult]:[ActualResult]], "OT") + SUMIFS(Table1[[AwayWon]:[AwayWon]], Table1[[GameIsOver]:[GameIsOver]],1,Table1[[HomeTeam]:[HomeTeam]],$A17, Table1[[AwayTeam]:[AwayTeam]], J$1, Table1[[ActualResult]:[ActualResult]], "OT") + SUMIFS(Table1[[HomeWon]:[HomeWon]], Table1[[GameIsOver]:[GameIsOver]],1,Table1[[AwayTeam]:[AwayTeam]],$A17, Table1[[HomeTeam]:[HomeTeam]], J$1, Table1[[ActualResult]:[ActualResult]], "SO") + SUMIFS(Table1[[AwayWon]:[AwayWon]], Table1[[GameIsOver]:[GameIsOver]],1,Table1[[HomeTeam]:[HomeTeam]],$A17, Table1[[AwayTeam]:[AwayTeam]], J$1, Table1[[ActualResult]:[ActualResult]], "SO"),0))</f>
        <v>0-0-0</v>
      </c>
      <c r="K17" s="47" t="str">
        <f>_xlfn.CONCAT(TEXT(SUMIFS(Table1[[AwayWon]:[AwayWon]], Table1[[GameIsOver]:[GameIsOver]],1,Table1[[AwayTeam]:[AwayTeam]],$A17, Table1[[HomeTeam]:[HomeTeam]], K$1) + SUMIFS(Table1[[HomeWon]:[HomeWon]], Table1[[GameIsOver]:[GameIsOver]],1,Table1[[HomeTeam]:[HomeTeam]],$A17, Table1[[AwayTeam]:[AwayTeam]], K$1),0), "-", TEXT(SUMIFS(Table1[[HomeWon]:[HomeWon]], Table1[[GameIsOver]:[GameIsOver]],1,Table1[[AwayTeam]:[AwayTeam]],$A17, Table1[[HomeTeam]:[HomeTeam]], K$1, Table1[[ActualResult]:[ActualResult]], "REG") + SUMIFS(Table1[[AwayWon]:[AwayWon]], Table1[[GameIsOver]:[GameIsOver]],1,Table1[[HomeTeam]:[HomeTeam]],$A17, Table1[[AwayTeam]:[AwayTeam]], K$1, Table1[[ActualResult]:[ActualResult]], "REG"),0), "-", TEXT(SUMIFS(Table1[[HomeWon]:[HomeWon]], Table1[[GameIsOver]:[GameIsOver]],1,Table1[[AwayTeam]:[AwayTeam]],$A17, Table1[[HomeTeam]:[HomeTeam]], K$1, Table1[[ActualResult]:[ActualResult]], "OT") + SUMIFS(Table1[[AwayWon]:[AwayWon]], Table1[[GameIsOver]:[GameIsOver]],1,Table1[[HomeTeam]:[HomeTeam]],$A17, Table1[[AwayTeam]:[AwayTeam]], K$1, Table1[[ActualResult]:[ActualResult]], "OT") + SUMIFS(Table1[[HomeWon]:[HomeWon]], Table1[[GameIsOver]:[GameIsOver]],1,Table1[[AwayTeam]:[AwayTeam]],$A17, Table1[[HomeTeam]:[HomeTeam]], K$1, Table1[[ActualResult]:[ActualResult]], "SO") + SUMIFS(Table1[[AwayWon]:[AwayWon]], Table1[[GameIsOver]:[GameIsOver]],1,Table1[[HomeTeam]:[HomeTeam]],$A17, Table1[[AwayTeam]:[AwayTeam]], K$1, Table1[[ActualResult]:[ActualResult]], "SO"),0))</f>
        <v>0-0-0</v>
      </c>
      <c r="L17" s="47" t="str">
        <f>_xlfn.CONCAT(TEXT(SUMIFS(Table1[[AwayWon]:[AwayWon]], Table1[[GameIsOver]:[GameIsOver]],1,Table1[[AwayTeam]:[AwayTeam]],$A17, Table1[[HomeTeam]:[HomeTeam]], L$1) + SUMIFS(Table1[[HomeWon]:[HomeWon]], Table1[[GameIsOver]:[GameIsOver]],1,Table1[[HomeTeam]:[HomeTeam]],$A17, Table1[[AwayTeam]:[AwayTeam]], L$1),0), "-", TEXT(SUMIFS(Table1[[HomeWon]:[HomeWon]], Table1[[GameIsOver]:[GameIsOver]],1,Table1[[AwayTeam]:[AwayTeam]],$A17, Table1[[HomeTeam]:[HomeTeam]], L$1, Table1[[ActualResult]:[ActualResult]], "REG") + SUMIFS(Table1[[AwayWon]:[AwayWon]], Table1[[GameIsOver]:[GameIsOver]],1,Table1[[HomeTeam]:[HomeTeam]],$A17, Table1[[AwayTeam]:[AwayTeam]], L$1, Table1[[ActualResult]:[ActualResult]], "REG"),0), "-", TEXT(SUMIFS(Table1[[HomeWon]:[HomeWon]], Table1[[GameIsOver]:[GameIsOver]],1,Table1[[AwayTeam]:[AwayTeam]],$A17, Table1[[HomeTeam]:[HomeTeam]], L$1, Table1[[ActualResult]:[ActualResult]], "OT") + SUMIFS(Table1[[AwayWon]:[AwayWon]], Table1[[GameIsOver]:[GameIsOver]],1,Table1[[HomeTeam]:[HomeTeam]],$A17, Table1[[AwayTeam]:[AwayTeam]], L$1, Table1[[ActualResult]:[ActualResult]], "OT") + SUMIFS(Table1[[HomeWon]:[HomeWon]], Table1[[GameIsOver]:[GameIsOver]],1,Table1[[AwayTeam]:[AwayTeam]],$A17, Table1[[HomeTeam]:[HomeTeam]], L$1, Table1[[ActualResult]:[ActualResult]], "SO") + SUMIFS(Table1[[AwayWon]:[AwayWon]], Table1[[GameIsOver]:[GameIsOver]],1,Table1[[HomeTeam]:[HomeTeam]],$A17, Table1[[AwayTeam]:[AwayTeam]], L$1, Table1[[ActualResult]:[ActualResult]], "SO"),0))</f>
        <v>0-0-0</v>
      </c>
      <c r="M17" s="47" t="str">
        <f>_xlfn.CONCAT(TEXT(SUMIFS(Table1[[AwayWon]:[AwayWon]], Table1[[GameIsOver]:[GameIsOver]],1,Table1[[AwayTeam]:[AwayTeam]],$A17, Table1[[HomeTeam]:[HomeTeam]], M$1) + SUMIFS(Table1[[HomeWon]:[HomeWon]], Table1[[GameIsOver]:[GameIsOver]],1,Table1[[HomeTeam]:[HomeTeam]],$A17, Table1[[AwayTeam]:[AwayTeam]], M$1),0), "-", TEXT(SUMIFS(Table1[[HomeWon]:[HomeWon]], Table1[[GameIsOver]:[GameIsOver]],1,Table1[[AwayTeam]:[AwayTeam]],$A17, Table1[[HomeTeam]:[HomeTeam]], M$1, Table1[[ActualResult]:[ActualResult]], "REG") + SUMIFS(Table1[[AwayWon]:[AwayWon]], Table1[[GameIsOver]:[GameIsOver]],1,Table1[[HomeTeam]:[HomeTeam]],$A17, Table1[[AwayTeam]:[AwayTeam]], M$1, Table1[[ActualResult]:[ActualResult]], "REG"),0), "-", TEXT(SUMIFS(Table1[[HomeWon]:[HomeWon]], Table1[[GameIsOver]:[GameIsOver]],1,Table1[[AwayTeam]:[AwayTeam]],$A17, Table1[[HomeTeam]:[HomeTeam]], M$1, Table1[[ActualResult]:[ActualResult]], "OT") + SUMIFS(Table1[[AwayWon]:[AwayWon]], Table1[[GameIsOver]:[GameIsOver]],1,Table1[[HomeTeam]:[HomeTeam]],$A17, Table1[[AwayTeam]:[AwayTeam]], M$1, Table1[[ActualResult]:[ActualResult]], "OT") + SUMIFS(Table1[[HomeWon]:[HomeWon]], Table1[[GameIsOver]:[GameIsOver]],1,Table1[[AwayTeam]:[AwayTeam]],$A17, Table1[[HomeTeam]:[HomeTeam]], M$1, Table1[[ActualResult]:[ActualResult]], "SO") + SUMIFS(Table1[[AwayWon]:[AwayWon]], Table1[[GameIsOver]:[GameIsOver]],1,Table1[[HomeTeam]:[HomeTeam]],$A17, Table1[[AwayTeam]:[AwayTeam]], M$1, Table1[[ActualResult]:[ActualResult]], "SO"),0))</f>
        <v>0-0-0</v>
      </c>
      <c r="N17" s="47" t="str">
        <f>_xlfn.CONCAT(TEXT(SUMIFS(Table1[[AwayWon]:[AwayWon]], Table1[[GameIsOver]:[GameIsOver]],1,Table1[[AwayTeam]:[AwayTeam]],$A17, Table1[[HomeTeam]:[HomeTeam]], N$1) + SUMIFS(Table1[[HomeWon]:[HomeWon]], Table1[[GameIsOver]:[GameIsOver]],1,Table1[[HomeTeam]:[HomeTeam]],$A17, Table1[[AwayTeam]:[AwayTeam]], N$1),0), "-", TEXT(SUMIFS(Table1[[HomeWon]:[HomeWon]], Table1[[GameIsOver]:[GameIsOver]],1,Table1[[AwayTeam]:[AwayTeam]],$A17, Table1[[HomeTeam]:[HomeTeam]], N$1, Table1[[ActualResult]:[ActualResult]], "REG") + SUMIFS(Table1[[AwayWon]:[AwayWon]], Table1[[GameIsOver]:[GameIsOver]],1,Table1[[HomeTeam]:[HomeTeam]],$A17, Table1[[AwayTeam]:[AwayTeam]], N$1, Table1[[ActualResult]:[ActualResult]], "REG"),0), "-", TEXT(SUMIFS(Table1[[HomeWon]:[HomeWon]], Table1[[GameIsOver]:[GameIsOver]],1,Table1[[AwayTeam]:[AwayTeam]],$A17, Table1[[HomeTeam]:[HomeTeam]], N$1, Table1[[ActualResult]:[ActualResult]], "OT") + SUMIFS(Table1[[AwayWon]:[AwayWon]], Table1[[GameIsOver]:[GameIsOver]],1,Table1[[HomeTeam]:[HomeTeam]],$A17, Table1[[AwayTeam]:[AwayTeam]], N$1, Table1[[ActualResult]:[ActualResult]], "OT") + SUMIFS(Table1[[HomeWon]:[HomeWon]], Table1[[GameIsOver]:[GameIsOver]],1,Table1[[AwayTeam]:[AwayTeam]],$A17, Table1[[HomeTeam]:[HomeTeam]], N$1, Table1[[ActualResult]:[ActualResult]], "SO") + SUMIFS(Table1[[AwayWon]:[AwayWon]], Table1[[GameIsOver]:[GameIsOver]],1,Table1[[HomeTeam]:[HomeTeam]],$A17, Table1[[AwayTeam]:[AwayTeam]], N$1, Table1[[ActualResult]:[ActualResult]], "SO"),0))</f>
        <v>0-0-0</v>
      </c>
      <c r="O17" s="47" t="str">
        <f>_xlfn.CONCAT(TEXT(SUMIFS(Table1[[AwayWon]:[AwayWon]], Table1[[GameIsOver]:[GameIsOver]],1,Table1[[AwayTeam]:[AwayTeam]],$A17, Table1[[HomeTeam]:[HomeTeam]], O$1) + SUMIFS(Table1[[HomeWon]:[HomeWon]], Table1[[GameIsOver]:[GameIsOver]],1,Table1[[HomeTeam]:[HomeTeam]],$A17, Table1[[AwayTeam]:[AwayTeam]], O$1),0), "-", TEXT(SUMIFS(Table1[[HomeWon]:[HomeWon]], Table1[[GameIsOver]:[GameIsOver]],1,Table1[[AwayTeam]:[AwayTeam]],$A17, Table1[[HomeTeam]:[HomeTeam]], O$1, Table1[[ActualResult]:[ActualResult]], "REG") + SUMIFS(Table1[[AwayWon]:[AwayWon]], Table1[[GameIsOver]:[GameIsOver]],1,Table1[[HomeTeam]:[HomeTeam]],$A17, Table1[[AwayTeam]:[AwayTeam]], O$1, Table1[[ActualResult]:[ActualResult]], "REG"),0), "-", TEXT(SUMIFS(Table1[[HomeWon]:[HomeWon]], Table1[[GameIsOver]:[GameIsOver]],1,Table1[[AwayTeam]:[AwayTeam]],$A17, Table1[[HomeTeam]:[HomeTeam]], O$1, Table1[[ActualResult]:[ActualResult]], "OT") + SUMIFS(Table1[[AwayWon]:[AwayWon]], Table1[[GameIsOver]:[GameIsOver]],1,Table1[[HomeTeam]:[HomeTeam]],$A17, Table1[[AwayTeam]:[AwayTeam]], O$1, Table1[[ActualResult]:[ActualResult]], "OT") + SUMIFS(Table1[[HomeWon]:[HomeWon]], Table1[[GameIsOver]:[GameIsOver]],1,Table1[[AwayTeam]:[AwayTeam]],$A17, Table1[[HomeTeam]:[HomeTeam]], O$1, Table1[[ActualResult]:[ActualResult]], "SO") + SUMIFS(Table1[[AwayWon]:[AwayWon]], Table1[[GameIsOver]:[GameIsOver]],1,Table1[[HomeTeam]:[HomeTeam]],$A17, Table1[[AwayTeam]:[AwayTeam]], O$1, Table1[[ActualResult]:[ActualResult]], "SO"),0))</f>
        <v>0-0-0</v>
      </c>
      <c r="P17" s="47" t="str">
        <f>_xlfn.CONCAT(TEXT(SUMIFS(Table1[[AwayWon]:[AwayWon]], Table1[[GameIsOver]:[GameIsOver]],1,Table1[[AwayTeam]:[AwayTeam]],$A17, Table1[[HomeTeam]:[HomeTeam]], P$1) + SUMIFS(Table1[[HomeWon]:[HomeWon]], Table1[[GameIsOver]:[GameIsOver]],1,Table1[[HomeTeam]:[HomeTeam]],$A17, Table1[[AwayTeam]:[AwayTeam]], P$1),0), "-", TEXT(SUMIFS(Table1[[HomeWon]:[HomeWon]], Table1[[GameIsOver]:[GameIsOver]],1,Table1[[AwayTeam]:[AwayTeam]],$A17, Table1[[HomeTeam]:[HomeTeam]], P$1, Table1[[ActualResult]:[ActualResult]], "REG") + SUMIFS(Table1[[AwayWon]:[AwayWon]], Table1[[GameIsOver]:[GameIsOver]],1,Table1[[HomeTeam]:[HomeTeam]],$A17, Table1[[AwayTeam]:[AwayTeam]], P$1, Table1[[ActualResult]:[ActualResult]], "REG"),0), "-", TEXT(SUMIFS(Table1[[HomeWon]:[HomeWon]], Table1[[GameIsOver]:[GameIsOver]],1,Table1[[AwayTeam]:[AwayTeam]],$A17, Table1[[HomeTeam]:[HomeTeam]], P$1, Table1[[ActualResult]:[ActualResult]], "OT") + SUMIFS(Table1[[AwayWon]:[AwayWon]], Table1[[GameIsOver]:[GameIsOver]],1,Table1[[HomeTeam]:[HomeTeam]],$A17, Table1[[AwayTeam]:[AwayTeam]], P$1, Table1[[ActualResult]:[ActualResult]], "OT") + SUMIFS(Table1[[HomeWon]:[HomeWon]], Table1[[GameIsOver]:[GameIsOver]],1,Table1[[AwayTeam]:[AwayTeam]],$A17, Table1[[HomeTeam]:[HomeTeam]], P$1, Table1[[ActualResult]:[ActualResult]], "SO") + SUMIFS(Table1[[AwayWon]:[AwayWon]], Table1[[GameIsOver]:[GameIsOver]],1,Table1[[HomeTeam]:[HomeTeam]],$A17, Table1[[AwayTeam]:[AwayTeam]], P$1, Table1[[ActualResult]:[ActualResult]], "SO"),0))</f>
        <v>0-0-0</v>
      </c>
      <c r="Q17" s="48" t="str">
        <f>_xlfn.CONCAT(TEXT(SUMIFS(Table1[[AwayWon]:[AwayWon]], Table1[[GameIsOver]:[GameIsOver]],1,Table1[[AwayTeam]:[AwayTeam]],$A17, Table1[[HomeTeam]:[HomeTeam]], Q$1) + SUMIFS(Table1[[HomeWon]:[HomeWon]], Table1[[GameIsOver]:[GameIsOver]],1,Table1[[HomeTeam]:[HomeTeam]],$A17, Table1[[AwayTeam]:[AwayTeam]], Q$1),0), "-", TEXT(SUMIFS(Table1[[HomeWon]:[HomeWon]], Table1[[GameIsOver]:[GameIsOver]],1,Table1[[AwayTeam]:[AwayTeam]],$A17, Table1[[HomeTeam]:[HomeTeam]], Q$1, Table1[[ActualResult]:[ActualResult]], "REG") + SUMIFS(Table1[[AwayWon]:[AwayWon]], Table1[[GameIsOver]:[GameIsOver]],1,Table1[[HomeTeam]:[HomeTeam]],$A17, Table1[[AwayTeam]:[AwayTeam]], Q$1, Table1[[ActualResult]:[ActualResult]], "REG"),0), "-", TEXT(SUMIFS(Table1[[HomeWon]:[HomeWon]], Table1[[GameIsOver]:[GameIsOver]],1,Table1[[AwayTeam]:[AwayTeam]],$A17, Table1[[HomeTeam]:[HomeTeam]], Q$1, Table1[[ActualResult]:[ActualResult]], "OT") + SUMIFS(Table1[[AwayWon]:[AwayWon]], Table1[[GameIsOver]:[GameIsOver]],1,Table1[[HomeTeam]:[HomeTeam]],$A17, Table1[[AwayTeam]:[AwayTeam]], Q$1, Table1[[ActualResult]:[ActualResult]], "OT") + SUMIFS(Table1[[HomeWon]:[HomeWon]], Table1[[GameIsOver]:[GameIsOver]],1,Table1[[AwayTeam]:[AwayTeam]],$A17, Table1[[HomeTeam]:[HomeTeam]], Q$1, Table1[[ActualResult]:[ActualResult]], "SO") + SUMIFS(Table1[[AwayWon]:[AwayWon]], Table1[[GameIsOver]:[GameIsOver]],1,Table1[[HomeTeam]:[HomeTeam]],$A17, Table1[[AwayTeam]:[AwayTeam]], Q$1, Table1[[ActualResult]:[ActualResult]], "SO"),0))</f>
        <v>0-0-0</v>
      </c>
      <c r="R17" s="47" t="str">
        <f>_xlfn.CONCAT(TEXT(SUMIFS(Table1[[AwayWon]:[AwayWon]], Table1[[GameIsOver]:[GameIsOver]],1,Table1[[AwayTeam]:[AwayTeam]],$A17, Table1[[HomeTeam]:[HomeTeam]], R$1) + SUMIFS(Table1[[HomeWon]:[HomeWon]], Table1[[GameIsOver]:[GameIsOver]],1,Table1[[HomeTeam]:[HomeTeam]],$A17, Table1[[AwayTeam]:[AwayTeam]], R$1),0), "-", TEXT(SUMIFS(Table1[[HomeWon]:[HomeWon]], Table1[[GameIsOver]:[GameIsOver]],1,Table1[[AwayTeam]:[AwayTeam]],$A17, Table1[[HomeTeam]:[HomeTeam]], R$1, Table1[[ActualResult]:[ActualResult]], "REG") + SUMIFS(Table1[[AwayWon]:[AwayWon]], Table1[[GameIsOver]:[GameIsOver]],1,Table1[[HomeTeam]:[HomeTeam]],$A17, Table1[[AwayTeam]:[AwayTeam]], R$1, Table1[[ActualResult]:[ActualResult]], "REG"),0), "-", TEXT(SUMIFS(Table1[[HomeWon]:[HomeWon]], Table1[[GameIsOver]:[GameIsOver]],1,Table1[[AwayTeam]:[AwayTeam]],$A17, Table1[[HomeTeam]:[HomeTeam]], R$1, Table1[[ActualResult]:[ActualResult]], "OT") + SUMIFS(Table1[[AwayWon]:[AwayWon]], Table1[[GameIsOver]:[GameIsOver]],1,Table1[[HomeTeam]:[HomeTeam]],$A17, Table1[[AwayTeam]:[AwayTeam]], R$1, Table1[[ActualResult]:[ActualResult]], "OT") + SUMIFS(Table1[[HomeWon]:[HomeWon]], Table1[[GameIsOver]:[GameIsOver]],1,Table1[[AwayTeam]:[AwayTeam]],$A17, Table1[[HomeTeam]:[HomeTeam]], R$1, Table1[[ActualResult]:[ActualResult]], "SO") + SUMIFS(Table1[[AwayWon]:[AwayWon]], Table1[[GameIsOver]:[GameIsOver]],1,Table1[[HomeTeam]:[HomeTeam]],$A17, Table1[[AwayTeam]:[AwayTeam]], R$1, Table1[[ActualResult]:[ActualResult]], "SO"),0))</f>
        <v>0-0-0</v>
      </c>
      <c r="S17" s="47" t="str">
        <f>_xlfn.CONCAT(TEXT(SUMIFS(Table1[[AwayWon]:[AwayWon]], Table1[[GameIsOver]:[GameIsOver]],1,Table1[[AwayTeam]:[AwayTeam]],$A17, Table1[[HomeTeam]:[HomeTeam]], S$1) + SUMIFS(Table1[[HomeWon]:[HomeWon]], Table1[[GameIsOver]:[GameIsOver]],1,Table1[[HomeTeam]:[HomeTeam]],$A17, Table1[[AwayTeam]:[AwayTeam]], S$1),0), "-", TEXT(SUMIFS(Table1[[HomeWon]:[HomeWon]], Table1[[GameIsOver]:[GameIsOver]],1,Table1[[AwayTeam]:[AwayTeam]],$A17, Table1[[HomeTeam]:[HomeTeam]], S$1, Table1[[ActualResult]:[ActualResult]], "REG") + SUMIFS(Table1[[AwayWon]:[AwayWon]], Table1[[GameIsOver]:[GameIsOver]],1,Table1[[HomeTeam]:[HomeTeam]],$A17, Table1[[AwayTeam]:[AwayTeam]], S$1, Table1[[ActualResult]:[ActualResult]], "REG"),0), "-", TEXT(SUMIFS(Table1[[HomeWon]:[HomeWon]], Table1[[GameIsOver]:[GameIsOver]],1,Table1[[AwayTeam]:[AwayTeam]],$A17, Table1[[HomeTeam]:[HomeTeam]], S$1, Table1[[ActualResult]:[ActualResult]], "OT") + SUMIFS(Table1[[AwayWon]:[AwayWon]], Table1[[GameIsOver]:[GameIsOver]],1,Table1[[HomeTeam]:[HomeTeam]],$A17, Table1[[AwayTeam]:[AwayTeam]], S$1, Table1[[ActualResult]:[ActualResult]], "OT") + SUMIFS(Table1[[HomeWon]:[HomeWon]], Table1[[GameIsOver]:[GameIsOver]],1,Table1[[AwayTeam]:[AwayTeam]],$A17, Table1[[HomeTeam]:[HomeTeam]], S$1, Table1[[ActualResult]:[ActualResult]], "SO") + SUMIFS(Table1[[AwayWon]:[AwayWon]], Table1[[GameIsOver]:[GameIsOver]],1,Table1[[HomeTeam]:[HomeTeam]],$A17, Table1[[AwayTeam]:[AwayTeam]], S$1, Table1[[ActualResult]:[ActualResult]], "SO"),0))</f>
        <v>0-0-0</v>
      </c>
      <c r="T17" s="47" t="str">
        <f>_xlfn.CONCAT(TEXT(SUMIFS(Table1[[AwayWon]:[AwayWon]], Table1[[GameIsOver]:[GameIsOver]],1,Table1[[AwayTeam]:[AwayTeam]],$A17, Table1[[HomeTeam]:[HomeTeam]], T$1) + SUMIFS(Table1[[HomeWon]:[HomeWon]], Table1[[GameIsOver]:[GameIsOver]],1,Table1[[HomeTeam]:[HomeTeam]],$A17, Table1[[AwayTeam]:[AwayTeam]], T$1),0), "-", TEXT(SUMIFS(Table1[[HomeWon]:[HomeWon]], Table1[[GameIsOver]:[GameIsOver]],1,Table1[[AwayTeam]:[AwayTeam]],$A17, Table1[[HomeTeam]:[HomeTeam]], T$1, Table1[[ActualResult]:[ActualResult]], "REG") + SUMIFS(Table1[[AwayWon]:[AwayWon]], Table1[[GameIsOver]:[GameIsOver]],1,Table1[[HomeTeam]:[HomeTeam]],$A17, Table1[[AwayTeam]:[AwayTeam]], T$1, Table1[[ActualResult]:[ActualResult]], "REG"),0), "-", TEXT(SUMIFS(Table1[[HomeWon]:[HomeWon]], Table1[[GameIsOver]:[GameIsOver]],1,Table1[[AwayTeam]:[AwayTeam]],$A17, Table1[[HomeTeam]:[HomeTeam]], T$1, Table1[[ActualResult]:[ActualResult]], "OT") + SUMIFS(Table1[[AwayWon]:[AwayWon]], Table1[[GameIsOver]:[GameIsOver]],1,Table1[[HomeTeam]:[HomeTeam]],$A17, Table1[[AwayTeam]:[AwayTeam]], T$1, Table1[[ActualResult]:[ActualResult]], "OT") + SUMIFS(Table1[[HomeWon]:[HomeWon]], Table1[[GameIsOver]:[GameIsOver]],1,Table1[[AwayTeam]:[AwayTeam]],$A17, Table1[[HomeTeam]:[HomeTeam]], T$1, Table1[[ActualResult]:[ActualResult]], "SO") + SUMIFS(Table1[[AwayWon]:[AwayWon]], Table1[[GameIsOver]:[GameIsOver]],1,Table1[[HomeTeam]:[HomeTeam]],$A17, Table1[[AwayTeam]:[AwayTeam]], T$1, Table1[[ActualResult]:[ActualResult]], "SO"),0))</f>
        <v>0-0-0</v>
      </c>
      <c r="U17" s="47" t="str">
        <f>_xlfn.CONCAT(TEXT(SUMIFS(Table1[[AwayWon]:[AwayWon]], Table1[[GameIsOver]:[GameIsOver]],1,Table1[[AwayTeam]:[AwayTeam]],$A17, Table1[[HomeTeam]:[HomeTeam]], U$1) + SUMIFS(Table1[[HomeWon]:[HomeWon]], Table1[[GameIsOver]:[GameIsOver]],1,Table1[[HomeTeam]:[HomeTeam]],$A17, Table1[[AwayTeam]:[AwayTeam]], U$1),0), "-", TEXT(SUMIFS(Table1[[HomeWon]:[HomeWon]], Table1[[GameIsOver]:[GameIsOver]],1,Table1[[AwayTeam]:[AwayTeam]],$A17, Table1[[HomeTeam]:[HomeTeam]], U$1, Table1[[ActualResult]:[ActualResult]], "REG") + SUMIFS(Table1[[AwayWon]:[AwayWon]], Table1[[GameIsOver]:[GameIsOver]],1,Table1[[HomeTeam]:[HomeTeam]],$A17, Table1[[AwayTeam]:[AwayTeam]], U$1, Table1[[ActualResult]:[ActualResult]], "REG"),0), "-", TEXT(SUMIFS(Table1[[HomeWon]:[HomeWon]], Table1[[GameIsOver]:[GameIsOver]],1,Table1[[AwayTeam]:[AwayTeam]],$A17, Table1[[HomeTeam]:[HomeTeam]], U$1, Table1[[ActualResult]:[ActualResult]], "OT") + SUMIFS(Table1[[AwayWon]:[AwayWon]], Table1[[GameIsOver]:[GameIsOver]],1,Table1[[HomeTeam]:[HomeTeam]],$A17, Table1[[AwayTeam]:[AwayTeam]], U$1, Table1[[ActualResult]:[ActualResult]], "OT") + SUMIFS(Table1[[HomeWon]:[HomeWon]], Table1[[GameIsOver]:[GameIsOver]],1,Table1[[AwayTeam]:[AwayTeam]],$A17, Table1[[HomeTeam]:[HomeTeam]], U$1, Table1[[ActualResult]:[ActualResult]], "SO") + SUMIFS(Table1[[AwayWon]:[AwayWon]], Table1[[GameIsOver]:[GameIsOver]],1,Table1[[HomeTeam]:[HomeTeam]],$A17, Table1[[AwayTeam]:[AwayTeam]], U$1, Table1[[ActualResult]:[ActualResult]], "SO"),0))</f>
        <v>0-0-0</v>
      </c>
      <c r="V17" s="47" t="str">
        <f>_xlfn.CONCAT(TEXT(SUMIFS(Table1[[AwayWon]:[AwayWon]], Table1[[GameIsOver]:[GameIsOver]],1,Table1[[AwayTeam]:[AwayTeam]],$A17, Table1[[HomeTeam]:[HomeTeam]], V$1) + SUMIFS(Table1[[HomeWon]:[HomeWon]], Table1[[GameIsOver]:[GameIsOver]],1,Table1[[HomeTeam]:[HomeTeam]],$A17, Table1[[AwayTeam]:[AwayTeam]], V$1),0), "-", TEXT(SUMIFS(Table1[[HomeWon]:[HomeWon]], Table1[[GameIsOver]:[GameIsOver]],1,Table1[[AwayTeam]:[AwayTeam]],$A17, Table1[[HomeTeam]:[HomeTeam]], V$1, Table1[[ActualResult]:[ActualResult]], "REG") + SUMIFS(Table1[[AwayWon]:[AwayWon]], Table1[[GameIsOver]:[GameIsOver]],1,Table1[[HomeTeam]:[HomeTeam]],$A17, Table1[[AwayTeam]:[AwayTeam]], V$1, Table1[[ActualResult]:[ActualResult]], "REG"),0), "-", TEXT(SUMIFS(Table1[[HomeWon]:[HomeWon]], Table1[[GameIsOver]:[GameIsOver]],1,Table1[[AwayTeam]:[AwayTeam]],$A17, Table1[[HomeTeam]:[HomeTeam]], V$1, Table1[[ActualResult]:[ActualResult]], "OT") + SUMIFS(Table1[[AwayWon]:[AwayWon]], Table1[[GameIsOver]:[GameIsOver]],1,Table1[[HomeTeam]:[HomeTeam]],$A17, Table1[[AwayTeam]:[AwayTeam]], V$1, Table1[[ActualResult]:[ActualResult]], "OT") + SUMIFS(Table1[[HomeWon]:[HomeWon]], Table1[[GameIsOver]:[GameIsOver]],1,Table1[[AwayTeam]:[AwayTeam]],$A17, Table1[[HomeTeam]:[HomeTeam]], V$1, Table1[[ActualResult]:[ActualResult]], "SO") + SUMIFS(Table1[[AwayWon]:[AwayWon]], Table1[[GameIsOver]:[GameIsOver]],1,Table1[[HomeTeam]:[HomeTeam]],$A17, Table1[[AwayTeam]:[AwayTeam]], V$1, Table1[[ActualResult]:[ActualResult]], "SO"),0))</f>
        <v>0-0-0</v>
      </c>
      <c r="W17" s="47" t="str">
        <f>_xlfn.CONCAT(TEXT(SUMIFS(Table1[[AwayWon]:[AwayWon]], Table1[[GameIsOver]:[GameIsOver]],1,Table1[[AwayTeam]:[AwayTeam]],$A17, Table1[[HomeTeam]:[HomeTeam]], W$1) + SUMIFS(Table1[[HomeWon]:[HomeWon]], Table1[[GameIsOver]:[GameIsOver]],1,Table1[[HomeTeam]:[HomeTeam]],$A17, Table1[[AwayTeam]:[AwayTeam]], W$1),0), "-", TEXT(SUMIFS(Table1[[HomeWon]:[HomeWon]], Table1[[GameIsOver]:[GameIsOver]],1,Table1[[AwayTeam]:[AwayTeam]],$A17, Table1[[HomeTeam]:[HomeTeam]], W$1, Table1[[ActualResult]:[ActualResult]], "REG") + SUMIFS(Table1[[AwayWon]:[AwayWon]], Table1[[GameIsOver]:[GameIsOver]],1,Table1[[HomeTeam]:[HomeTeam]],$A17, Table1[[AwayTeam]:[AwayTeam]], W$1, Table1[[ActualResult]:[ActualResult]], "REG"),0), "-", TEXT(SUMIFS(Table1[[HomeWon]:[HomeWon]], Table1[[GameIsOver]:[GameIsOver]],1,Table1[[AwayTeam]:[AwayTeam]],$A17, Table1[[HomeTeam]:[HomeTeam]], W$1, Table1[[ActualResult]:[ActualResult]], "OT") + SUMIFS(Table1[[AwayWon]:[AwayWon]], Table1[[GameIsOver]:[GameIsOver]],1,Table1[[HomeTeam]:[HomeTeam]],$A17, Table1[[AwayTeam]:[AwayTeam]], W$1, Table1[[ActualResult]:[ActualResult]], "OT") + SUMIFS(Table1[[HomeWon]:[HomeWon]], Table1[[GameIsOver]:[GameIsOver]],1,Table1[[AwayTeam]:[AwayTeam]],$A17, Table1[[HomeTeam]:[HomeTeam]], W$1, Table1[[ActualResult]:[ActualResult]], "SO") + SUMIFS(Table1[[AwayWon]:[AwayWon]], Table1[[GameIsOver]:[GameIsOver]],1,Table1[[HomeTeam]:[HomeTeam]],$A17, Table1[[AwayTeam]:[AwayTeam]], W$1, Table1[[ActualResult]:[ActualResult]], "SO"),0))</f>
        <v>0-0-0</v>
      </c>
      <c r="X17" s="47" t="str">
        <f>_xlfn.CONCAT(TEXT(SUMIFS(Table1[[AwayWon]:[AwayWon]], Table1[[GameIsOver]:[GameIsOver]],1,Table1[[AwayTeam]:[AwayTeam]],$A17, Table1[[HomeTeam]:[HomeTeam]], X$1) + SUMIFS(Table1[[HomeWon]:[HomeWon]], Table1[[GameIsOver]:[GameIsOver]],1,Table1[[HomeTeam]:[HomeTeam]],$A17, Table1[[AwayTeam]:[AwayTeam]], X$1),0), "-", TEXT(SUMIFS(Table1[[HomeWon]:[HomeWon]], Table1[[GameIsOver]:[GameIsOver]],1,Table1[[AwayTeam]:[AwayTeam]],$A17, Table1[[HomeTeam]:[HomeTeam]], X$1, Table1[[ActualResult]:[ActualResult]], "REG") + SUMIFS(Table1[[AwayWon]:[AwayWon]], Table1[[GameIsOver]:[GameIsOver]],1,Table1[[HomeTeam]:[HomeTeam]],$A17, Table1[[AwayTeam]:[AwayTeam]], X$1, Table1[[ActualResult]:[ActualResult]], "REG"),0), "-", TEXT(SUMIFS(Table1[[HomeWon]:[HomeWon]], Table1[[GameIsOver]:[GameIsOver]],1,Table1[[AwayTeam]:[AwayTeam]],$A17, Table1[[HomeTeam]:[HomeTeam]], X$1, Table1[[ActualResult]:[ActualResult]], "OT") + SUMIFS(Table1[[AwayWon]:[AwayWon]], Table1[[GameIsOver]:[GameIsOver]],1,Table1[[HomeTeam]:[HomeTeam]],$A17, Table1[[AwayTeam]:[AwayTeam]], X$1, Table1[[ActualResult]:[ActualResult]], "OT") + SUMIFS(Table1[[HomeWon]:[HomeWon]], Table1[[GameIsOver]:[GameIsOver]],1,Table1[[AwayTeam]:[AwayTeam]],$A17, Table1[[HomeTeam]:[HomeTeam]], X$1, Table1[[ActualResult]:[ActualResult]], "SO") + SUMIFS(Table1[[AwayWon]:[AwayWon]], Table1[[GameIsOver]:[GameIsOver]],1,Table1[[HomeTeam]:[HomeTeam]],$A17, Table1[[AwayTeam]:[AwayTeam]], X$1, Table1[[ActualResult]:[ActualResult]], "SO"),0))</f>
        <v>0-0-0</v>
      </c>
      <c r="Y17" s="48" t="str">
        <f>_xlfn.CONCAT(TEXT(SUMIFS(Table1[[AwayWon]:[AwayWon]], Table1[[GameIsOver]:[GameIsOver]],1,Table1[[AwayTeam]:[AwayTeam]],$A17, Table1[[HomeTeam]:[HomeTeam]], Y$1) + SUMIFS(Table1[[HomeWon]:[HomeWon]], Table1[[GameIsOver]:[GameIsOver]],1,Table1[[HomeTeam]:[HomeTeam]],$A17, Table1[[AwayTeam]:[AwayTeam]], Y$1),0), "-", TEXT(SUMIFS(Table1[[HomeWon]:[HomeWon]], Table1[[GameIsOver]:[GameIsOver]],1,Table1[[AwayTeam]:[AwayTeam]],$A17, Table1[[HomeTeam]:[HomeTeam]], Y$1, Table1[[ActualResult]:[ActualResult]], "REG") + SUMIFS(Table1[[AwayWon]:[AwayWon]], Table1[[GameIsOver]:[GameIsOver]],1,Table1[[HomeTeam]:[HomeTeam]],$A17, Table1[[AwayTeam]:[AwayTeam]], Y$1, Table1[[ActualResult]:[ActualResult]], "REG"),0), "-", TEXT(SUMIFS(Table1[[HomeWon]:[HomeWon]], Table1[[GameIsOver]:[GameIsOver]],1,Table1[[AwayTeam]:[AwayTeam]],$A17, Table1[[HomeTeam]:[HomeTeam]], Y$1, Table1[[ActualResult]:[ActualResult]], "OT") + SUMIFS(Table1[[AwayWon]:[AwayWon]], Table1[[GameIsOver]:[GameIsOver]],1,Table1[[HomeTeam]:[HomeTeam]],$A17, Table1[[AwayTeam]:[AwayTeam]], Y$1, Table1[[ActualResult]:[ActualResult]], "OT") + SUMIFS(Table1[[HomeWon]:[HomeWon]], Table1[[GameIsOver]:[GameIsOver]],1,Table1[[AwayTeam]:[AwayTeam]],$A17, Table1[[HomeTeam]:[HomeTeam]], Y$1, Table1[[ActualResult]:[ActualResult]], "SO") + SUMIFS(Table1[[AwayWon]:[AwayWon]], Table1[[GameIsOver]:[GameIsOver]],1,Table1[[HomeTeam]:[HomeTeam]],$A17, Table1[[AwayTeam]:[AwayTeam]], Y$1, Table1[[ActualResult]:[ActualResult]], "SO"),0))</f>
        <v>0-0-0</v>
      </c>
      <c r="Z17" s="47" t="str">
        <f>_xlfn.CONCAT(TEXT(SUMIFS(Table1[[AwayWon]:[AwayWon]], Table1[[GameIsOver]:[GameIsOver]],1,Table1[[AwayTeam]:[AwayTeam]],$A17, Table1[[HomeTeam]:[HomeTeam]], Z$1) + SUMIFS(Table1[[HomeWon]:[HomeWon]], Table1[[GameIsOver]:[GameIsOver]],1,Table1[[HomeTeam]:[HomeTeam]],$A17, Table1[[AwayTeam]:[AwayTeam]], Z$1),0), "-", TEXT(SUMIFS(Table1[[HomeWon]:[HomeWon]], Table1[[GameIsOver]:[GameIsOver]],1,Table1[[AwayTeam]:[AwayTeam]],$A17, Table1[[HomeTeam]:[HomeTeam]], Z$1, Table1[[ActualResult]:[ActualResult]], "REG") + SUMIFS(Table1[[AwayWon]:[AwayWon]], Table1[[GameIsOver]:[GameIsOver]],1,Table1[[HomeTeam]:[HomeTeam]],$A17, Table1[[AwayTeam]:[AwayTeam]], Z$1, Table1[[ActualResult]:[ActualResult]], "REG"),0), "-", TEXT(SUMIFS(Table1[[HomeWon]:[HomeWon]], Table1[[GameIsOver]:[GameIsOver]],1,Table1[[AwayTeam]:[AwayTeam]],$A17, Table1[[HomeTeam]:[HomeTeam]], Z$1, Table1[[ActualResult]:[ActualResult]], "OT") + SUMIFS(Table1[[AwayWon]:[AwayWon]], Table1[[GameIsOver]:[GameIsOver]],1,Table1[[HomeTeam]:[HomeTeam]],$A17, Table1[[AwayTeam]:[AwayTeam]], Z$1, Table1[[ActualResult]:[ActualResult]], "OT") + SUMIFS(Table1[[HomeWon]:[HomeWon]], Table1[[GameIsOver]:[GameIsOver]],1,Table1[[AwayTeam]:[AwayTeam]],$A17, Table1[[HomeTeam]:[HomeTeam]], Z$1, Table1[[ActualResult]:[ActualResult]], "SO") + SUMIFS(Table1[[AwayWon]:[AwayWon]], Table1[[GameIsOver]:[GameIsOver]],1,Table1[[HomeTeam]:[HomeTeam]],$A17, Table1[[AwayTeam]:[AwayTeam]], Z$1, Table1[[ActualResult]:[ActualResult]], "SO"),0))</f>
        <v>1-0-0</v>
      </c>
      <c r="AA17" s="47" t="str">
        <f>_xlfn.CONCAT(TEXT(SUMIFS(Table1[[AwayWon]:[AwayWon]], Table1[[GameIsOver]:[GameIsOver]],1,Table1[[AwayTeam]:[AwayTeam]],$A17, Table1[[HomeTeam]:[HomeTeam]], AA$1) + SUMIFS(Table1[[HomeWon]:[HomeWon]], Table1[[GameIsOver]:[GameIsOver]],1,Table1[[HomeTeam]:[HomeTeam]],$A17, Table1[[AwayTeam]:[AwayTeam]], AA$1),0), "-", TEXT(SUMIFS(Table1[[HomeWon]:[HomeWon]], Table1[[GameIsOver]:[GameIsOver]],1,Table1[[AwayTeam]:[AwayTeam]],$A17, Table1[[HomeTeam]:[HomeTeam]], AA$1, Table1[[ActualResult]:[ActualResult]], "REG") + SUMIFS(Table1[[AwayWon]:[AwayWon]], Table1[[GameIsOver]:[GameIsOver]],1,Table1[[HomeTeam]:[HomeTeam]],$A17, Table1[[AwayTeam]:[AwayTeam]], AA$1, Table1[[ActualResult]:[ActualResult]], "REG"),0), "-", TEXT(SUMIFS(Table1[[HomeWon]:[HomeWon]], Table1[[GameIsOver]:[GameIsOver]],1,Table1[[AwayTeam]:[AwayTeam]],$A17, Table1[[HomeTeam]:[HomeTeam]], AA$1, Table1[[ActualResult]:[ActualResult]], "OT") + SUMIFS(Table1[[AwayWon]:[AwayWon]], Table1[[GameIsOver]:[GameIsOver]],1,Table1[[HomeTeam]:[HomeTeam]],$A17, Table1[[AwayTeam]:[AwayTeam]], AA$1, Table1[[ActualResult]:[ActualResult]], "OT") + SUMIFS(Table1[[HomeWon]:[HomeWon]], Table1[[GameIsOver]:[GameIsOver]],1,Table1[[AwayTeam]:[AwayTeam]],$A17, Table1[[HomeTeam]:[HomeTeam]], AA$1, Table1[[ActualResult]:[ActualResult]], "SO") + SUMIFS(Table1[[AwayWon]:[AwayWon]], Table1[[GameIsOver]:[GameIsOver]],1,Table1[[HomeTeam]:[HomeTeam]],$A17, Table1[[AwayTeam]:[AwayTeam]], AA$1, Table1[[ActualResult]:[ActualResult]], "SO"),0))</f>
        <v>0-0-0</v>
      </c>
      <c r="AB17" s="47" t="str">
        <f>_xlfn.CONCAT(TEXT(SUMIFS(Table1[[AwayWon]:[AwayWon]], Table1[[GameIsOver]:[GameIsOver]],1,Table1[[AwayTeam]:[AwayTeam]],$A17, Table1[[HomeTeam]:[HomeTeam]], AB$1) + SUMIFS(Table1[[HomeWon]:[HomeWon]], Table1[[GameIsOver]:[GameIsOver]],1,Table1[[HomeTeam]:[HomeTeam]],$A17, Table1[[AwayTeam]:[AwayTeam]], AB$1),0), "-", TEXT(SUMIFS(Table1[[HomeWon]:[HomeWon]], Table1[[GameIsOver]:[GameIsOver]],1,Table1[[AwayTeam]:[AwayTeam]],$A17, Table1[[HomeTeam]:[HomeTeam]], AB$1, Table1[[ActualResult]:[ActualResult]], "REG") + SUMIFS(Table1[[AwayWon]:[AwayWon]], Table1[[GameIsOver]:[GameIsOver]],1,Table1[[HomeTeam]:[HomeTeam]],$A17, Table1[[AwayTeam]:[AwayTeam]], AB$1, Table1[[ActualResult]:[ActualResult]], "REG"),0), "-", TEXT(SUMIFS(Table1[[HomeWon]:[HomeWon]], Table1[[GameIsOver]:[GameIsOver]],1,Table1[[AwayTeam]:[AwayTeam]],$A17, Table1[[HomeTeam]:[HomeTeam]], AB$1, Table1[[ActualResult]:[ActualResult]], "OT") + SUMIFS(Table1[[AwayWon]:[AwayWon]], Table1[[GameIsOver]:[GameIsOver]],1,Table1[[HomeTeam]:[HomeTeam]],$A17, Table1[[AwayTeam]:[AwayTeam]], AB$1, Table1[[ActualResult]:[ActualResult]], "OT") + SUMIFS(Table1[[HomeWon]:[HomeWon]], Table1[[GameIsOver]:[GameIsOver]],1,Table1[[AwayTeam]:[AwayTeam]],$A17, Table1[[HomeTeam]:[HomeTeam]], AB$1, Table1[[ActualResult]:[ActualResult]], "SO") + SUMIFS(Table1[[AwayWon]:[AwayWon]], Table1[[GameIsOver]:[GameIsOver]],1,Table1[[HomeTeam]:[HomeTeam]],$A17, Table1[[AwayTeam]:[AwayTeam]], AB$1, Table1[[ActualResult]:[ActualResult]], "SO"),0))</f>
        <v>0-0-0</v>
      </c>
      <c r="AC17" s="47" t="str">
        <f>_xlfn.CONCAT(TEXT(SUMIFS(Table1[[AwayWon]:[AwayWon]], Table1[[GameIsOver]:[GameIsOver]],1,Table1[[AwayTeam]:[AwayTeam]],$A17, Table1[[HomeTeam]:[HomeTeam]], AC$1) + SUMIFS(Table1[[HomeWon]:[HomeWon]], Table1[[GameIsOver]:[GameIsOver]],1,Table1[[HomeTeam]:[HomeTeam]],$A17, Table1[[AwayTeam]:[AwayTeam]], AC$1),0), "-", TEXT(SUMIFS(Table1[[HomeWon]:[HomeWon]], Table1[[GameIsOver]:[GameIsOver]],1,Table1[[AwayTeam]:[AwayTeam]],$A17, Table1[[HomeTeam]:[HomeTeam]], AC$1, Table1[[ActualResult]:[ActualResult]], "REG") + SUMIFS(Table1[[AwayWon]:[AwayWon]], Table1[[GameIsOver]:[GameIsOver]],1,Table1[[HomeTeam]:[HomeTeam]],$A17, Table1[[AwayTeam]:[AwayTeam]], AC$1, Table1[[ActualResult]:[ActualResult]], "REG"),0), "-", TEXT(SUMIFS(Table1[[HomeWon]:[HomeWon]], Table1[[GameIsOver]:[GameIsOver]],1,Table1[[AwayTeam]:[AwayTeam]],$A17, Table1[[HomeTeam]:[HomeTeam]], AC$1, Table1[[ActualResult]:[ActualResult]], "OT") + SUMIFS(Table1[[AwayWon]:[AwayWon]], Table1[[GameIsOver]:[GameIsOver]],1,Table1[[HomeTeam]:[HomeTeam]],$A17, Table1[[AwayTeam]:[AwayTeam]], AC$1, Table1[[ActualResult]:[ActualResult]], "OT") + SUMIFS(Table1[[HomeWon]:[HomeWon]], Table1[[GameIsOver]:[GameIsOver]],1,Table1[[AwayTeam]:[AwayTeam]],$A17, Table1[[HomeTeam]:[HomeTeam]], AC$1, Table1[[ActualResult]:[ActualResult]], "SO") + SUMIFS(Table1[[AwayWon]:[AwayWon]], Table1[[GameIsOver]:[GameIsOver]],1,Table1[[HomeTeam]:[HomeTeam]],$A17, Table1[[AwayTeam]:[AwayTeam]], AC$1, Table1[[ActualResult]:[ActualResult]], "SO"),0))</f>
        <v>0-0-0</v>
      </c>
      <c r="AD17" s="47" t="str">
        <f>_xlfn.CONCAT(TEXT(SUMIFS(Table1[[AwayWon]:[AwayWon]], Table1[[GameIsOver]:[GameIsOver]],1,Table1[[AwayTeam]:[AwayTeam]],$A17, Table1[[HomeTeam]:[HomeTeam]], AD$1) + SUMIFS(Table1[[HomeWon]:[HomeWon]], Table1[[GameIsOver]:[GameIsOver]],1,Table1[[HomeTeam]:[HomeTeam]],$A17, Table1[[AwayTeam]:[AwayTeam]], AD$1),0), "-", TEXT(SUMIFS(Table1[[HomeWon]:[HomeWon]], Table1[[GameIsOver]:[GameIsOver]],1,Table1[[AwayTeam]:[AwayTeam]],$A17, Table1[[HomeTeam]:[HomeTeam]], AD$1, Table1[[ActualResult]:[ActualResult]], "REG") + SUMIFS(Table1[[AwayWon]:[AwayWon]], Table1[[GameIsOver]:[GameIsOver]],1,Table1[[HomeTeam]:[HomeTeam]],$A17, Table1[[AwayTeam]:[AwayTeam]], AD$1, Table1[[ActualResult]:[ActualResult]], "REG"),0), "-", TEXT(SUMIFS(Table1[[HomeWon]:[HomeWon]], Table1[[GameIsOver]:[GameIsOver]],1,Table1[[AwayTeam]:[AwayTeam]],$A17, Table1[[HomeTeam]:[HomeTeam]], AD$1, Table1[[ActualResult]:[ActualResult]], "OT") + SUMIFS(Table1[[AwayWon]:[AwayWon]], Table1[[GameIsOver]:[GameIsOver]],1,Table1[[HomeTeam]:[HomeTeam]],$A17, Table1[[AwayTeam]:[AwayTeam]], AD$1, Table1[[ActualResult]:[ActualResult]], "OT") + SUMIFS(Table1[[HomeWon]:[HomeWon]], Table1[[GameIsOver]:[GameIsOver]],1,Table1[[AwayTeam]:[AwayTeam]],$A17, Table1[[HomeTeam]:[HomeTeam]], AD$1, Table1[[ActualResult]:[ActualResult]], "SO") + SUMIFS(Table1[[AwayWon]:[AwayWon]], Table1[[GameIsOver]:[GameIsOver]],1,Table1[[HomeTeam]:[HomeTeam]],$A17, Table1[[AwayTeam]:[AwayTeam]], AD$1, Table1[[ActualResult]:[ActualResult]], "SO"),0))</f>
        <v>0-0-0</v>
      </c>
      <c r="AE17" s="47" t="str">
        <f>_xlfn.CONCAT(TEXT(SUMIFS(Table1[[AwayWon]:[AwayWon]], Table1[[GameIsOver]:[GameIsOver]],1,Table1[[AwayTeam]:[AwayTeam]],$A17, Table1[[HomeTeam]:[HomeTeam]], AE$1) + SUMIFS(Table1[[HomeWon]:[HomeWon]], Table1[[GameIsOver]:[GameIsOver]],1,Table1[[HomeTeam]:[HomeTeam]],$A17, Table1[[AwayTeam]:[AwayTeam]], AE$1),0), "-", TEXT(SUMIFS(Table1[[HomeWon]:[HomeWon]], Table1[[GameIsOver]:[GameIsOver]],1,Table1[[AwayTeam]:[AwayTeam]],$A17, Table1[[HomeTeam]:[HomeTeam]], AE$1, Table1[[ActualResult]:[ActualResult]], "REG") + SUMIFS(Table1[[AwayWon]:[AwayWon]], Table1[[GameIsOver]:[GameIsOver]],1,Table1[[HomeTeam]:[HomeTeam]],$A17, Table1[[AwayTeam]:[AwayTeam]], AE$1, Table1[[ActualResult]:[ActualResult]], "REG"),0), "-", TEXT(SUMIFS(Table1[[HomeWon]:[HomeWon]], Table1[[GameIsOver]:[GameIsOver]],1,Table1[[AwayTeam]:[AwayTeam]],$A17, Table1[[HomeTeam]:[HomeTeam]], AE$1, Table1[[ActualResult]:[ActualResult]], "OT") + SUMIFS(Table1[[AwayWon]:[AwayWon]], Table1[[GameIsOver]:[GameIsOver]],1,Table1[[HomeTeam]:[HomeTeam]],$A17, Table1[[AwayTeam]:[AwayTeam]], AE$1, Table1[[ActualResult]:[ActualResult]], "OT") + SUMIFS(Table1[[HomeWon]:[HomeWon]], Table1[[GameIsOver]:[GameIsOver]],1,Table1[[AwayTeam]:[AwayTeam]],$A17, Table1[[HomeTeam]:[HomeTeam]], AE$1, Table1[[ActualResult]:[ActualResult]], "SO") + SUMIFS(Table1[[AwayWon]:[AwayWon]], Table1[[GameIsOver]:[GameIsOver]],1,Table1[[HomeTeam]:[HomeTeam]],$A17, Table1[[AwayTeam]:[AwayTeam]], AE$1, Table1[[ActualResult]:[ActualResult]], "SO"),0))</f>
        <v>0-0-0</v>
      </c>
      <c r="AF17" s="47" t="str">
        <f>_xlfn.CONCAT(TEXT(SUMIFS(Table1[[AwayWon]:[AwayWon]], Table1[[GameIsOver]:[GameIsOver]],1,Table1[[AwayTeam]:[AwayTeam]],$A17, Table1[[HomeTeam]:[HomeTeam]], AF$1) + SUMIFS(Table1[[HomeWon]:[HomeWon]], Table1[[GameIsOver]:[GameIsOver]],1,Table1[[HomeTeam]:[HomeTeam]],$A17, Table1[[AwayTeam]:[AwayTeam]], AF$1),0), "-", TEXT(SUMIFS(Table1[[HomeWon]:[HomeWon]], Table1[[GameIsOver]:[GameIsOver]],1,Table1[[AwayTeam]:[AwayTeam]],$A17, Table1[[HomeTeam]:[HomeTeam]], AF$1, Table1[[ActualResult]:[ActualResult]], "REG") + SUMIFS(Table1[[AwayWon]:[AwayWon]], Table1[[GameIsOver]:[GameIsOver]],1,Table1[[HomeTeam]:[HomeTeam]],$A17, Table1[[AwayTeam]:[AwayTeam]], AF$1, Table1[[ActualResult]:[ActualResult]], "REG"),0), "-", TEXT(SUMIFS(Table1[[HomeWon]:[HomeWon]], Table1[[GameIsOver]:[GameIsOver]],1,Table1[[AwayTeam]:[AwayTeam]],$A17, Table1[[HomeTeam]:[HomeTeam]], AF$1, Table1[[ActualResult]:[ActualResult]], "OT") + SUMIFS(Table1[[AwayWon]:[AwayWon]], Table1[[GameIsOver]:[GameIsOver]],1,Table1[[HomeTeam]:[HomeTeam]],$A17, Table1[[AwayTeam]:[AwayTeam]], AF$1, Table1[[ActualResult]:[ActualResult]], "OT") + SUMIFS(Table1[[HomeWon]:[HomeWon]], Table1[[GameIsOver]:[GameIsOver]],1,Table1[[AwayTeam]:[AwayTeam]],$A17, Table1[[HomeTeam]:[HomeTeam]], AF$1, Table1[[ActualResult]:[ActualResult]], "SO") + SUMIFS(Table1[[AwayWon]:[AwayWon]], Table1[[GameIsOver]:[GameIsOver]],1,Table1[[HomeTeam]:[HomeTeam]],$A17, Table1[[AwayTeam]:[AwayTeam]], AF$1, Table1[[ActualResult]:[ActualResult]], "SO"),0))</f>
        <v>0-0-0</v>
      </c>
      <c r="AG17" s="47" t="str">
        <f>_xlfn.CONCAT(TEXT(SUMIFS(Table1[[AwayWon]:[AwayWon]], Table1[[GameIsOver]:[GameIsOver]],1,Table1[[AwayTeam]:[AwayTeam]],$A17, Table1[[HomeTeam]:[HomeTeam]], AG$1) + SUMIFS(Table1[[HomeWon]:[HomeWon]], Table1[[GameIsOver]:[GameIsOver]],1,Table1[[HomeTeam]:[HomeTeam]],$A17, Table1[[AwayTeam]:[AwayTeam]], AG$1),0), "-", TEXT(SUMIFS(Table1[[HomeWon]:[HomeWon]], Table1[[GameIsOver]:[GameIsOver]],1,Table1[[AwayTeam]:[AwayTeam]],$A17, Table1[[HomeTeam]:[HomeTeam]], AG$1, Table1[[ActualResult]:[ActualResult]], "REG") + SUMIFS(Table1[[AwayWon]:[AwayWon]], Table1[[GameIsOver]:[GameIsOver]],1,Table1[[HomeTeam]:[HomeTeam]],$A17, Table1[[AwayTeam]:[AwayTeam]], AG$1, Table1[[ActualResult]:[ActualResult]], "REG"),0), "-", TEXT(SUMIFS(Table1[[HomeWon]:[HomeWon]], Table1[[GameIsOver]:[GameIsOver]],1,Table1[[AwayTeam]:[AwayTeam]],$A17, Table1[[HomeTeam]:[HomeTeam]], AG$1, Table1[[ActualResult]:[ActualResult]], "OT") + SUMIFS(Table1[[AwayWon]:[AwayWon]], Table1[[GameIsOver]:[GameIsOver]],1,Table1[[HomeTeam]:[HomeTeam]],$A17, Table1[[AwayTeam]:[AwayTeam]], AG$1, Table1[[ActualResult]:[ActualResult]], "OT") + SUMIFS(Table1[[HomeWon]:[HomeWon]], Table1[[GameIsOver]:[GameIsOver]],1,Table1[[AwayTeam]:[AwayTeam]],$A17, Table1[[HomeTeam]:[HomeTeam]], AG$1, Table1[[ActualResult]:[ActualResult]], "SO") + SUMIFS(Table1[[AwayWon]:[AwayWon]], Table1[[GameIsOver]:[GameIsOver]],1,Table1[[HomeTeam]:[HomeTeam]],$A17, Table1[[AwayTeam]:[AwayTeam]], AG$1, Table1[[ActualResult]:[ActualResult]], "SO"),0))</f>
        <v>0-0-0</v>
      </c>
    </row>
    <row r="18" spans="1:33" ht="15.75" thickTop="1" x14ac:dyDescent="0.25">
      <c r="A18" s="17" t="s">
        <v>40</v>
      </c>
      <c r="B18" s="43" t="str">
        <f>_xlfn.CONCAT(TEXT(SUMIFS(Table1[[AwayWon]:[AwayWon]], Table1[[GameIsOver]:[GameIsOver]],1,Table1[[AwayTeam]:[AwayTeam]],$A18, Table1[[HomeTeam]:[HomeTeam]], B$1) + SUMIFS(Table1[[HomeWon]:[HomeWon]], Table1[[GameIsOver]:[GameIsOver]],1,Table1[[HomeTeam]:[HomeTeam]],$A18, Table1[[AwayTeam]:[AwayTeam]], B$1),0), "-", TEXT(SUMIFS(Table1[[HomeWon]:[HomeWon]], Table1[[GameIsOver]:[GameIsOver]],1,Table1[[AwayTeam]:[AwayTeam]],$A18, Table1[[HomeTeam]:[HomeTeam]], B$1, Table1[[ActualResult]:[ActualResult]], "REG") + SUMIFS(Table1[[AwayWon]:[AwayWon]], Table1[[GameIsOver]:[GameIsOver]],1,Table1[[HomeTeam]:[HomeTeam]],$A18, Table1[[AwayTeam]:[AwayTeam]], B$1, Table1[[ActualResult]:[ActualResult]], "REG"),0), "-", TEXT(SUMIFS(Table1[[HomeWon]:[HomeWon]], Table1[[GameIsOver]:[GameIsOver]],1,Table1[[AwayTeam]:[AwayTeam]],$A18, Table1[[HomeTeam]:[HomeTeam]], B$1, Table1[[ActualResult]:[ActualResult]], "OT") + SUMIFS(Table1[[AwayWon]:[AwayWon]], Table1[[GameIsOver]:[GameIsOver]],1,Table1[[HomeTeam]:[HomeTeam]],$A18, Table1[[AwayTeam]:[AwayTeam]], B$1, Table1[[ActualResult]:[ActualResult]], "OT") + SUMIFS(Table1[[HomeWon]:[HomeWon]], Table1[[GameIsOver]:[GameIsOver]],1,Table1[[AwayTeam]:[AwayTeam]],$A18, Table1[[HomeTeam]:[HomeTeam]], B$1, Table1[[ActualResult]:[ActualResult]], "SO") + SUMIFS(Table1[[AwayWon]:[AwayWon]], Table1[[GameIsOver]:[GameIsOver]],1,Table1[[HomeTeam]:[HomeTeam]],$A18, Table1[[AwayTeam]:[AwayTeam]], B$1, Table1[[ActualResult]:[ActualResult]], "SO"),0))</f>
        <v>0-0-0</v>
      </c>
      <c r="C18" s="43" t="str">
        <f>_xlfn.CONCAT(TEXT(SUMIFS(Table1[[AwayWon]:[AwayWon]], Table1[[GameIsOver]:[GameIsOver]],1,Table1[[AwayTeam]:[AwayTeam]],$A18, Table1[[HomeTeam]:[HomeTeam]], C$1) + SUMIFS(Table1[[HomeWon]:[HomeWon]], Table1[[GameIsOver]:[GameIsOver]],1,Table1[[HomeTeam]:[HomeTeam]],$A18, Table1[[AwayTeam]:[AwayTeam]], C$1),0), "-", TEXT(SUMIFS(Table1[[HomeWon]:[HomeWon]], Table1[[GameIsOver]:[GameIsOver]],1,Table1[[AwayTeam]:[AwayTeam]],$A18, Table1[[HomeTeam]:[HomeTeam]], C$1, Table1[[ActualResult]:[ActualResult]], "REG") + SUMIFS(Table1[[AwayWon]:[AwayWon]], Table1[[GameIsOver]:[GameIsOver]],1,Table1[[HomeTeam]:[HomeTeam]],$A18, Table1[[AwayTeam]:[AwayTeam]], C$1, Table1[[ActualResult]:[ActualResult]], "REG"),0), "-", TEXT(SUMIFS(Table1[[HomeWon]:[HomeWon]], Table1[[GameIsOver]:[GameIsOver]],1,Table1[[AwayTeam]:[AwayTeam]],$A18, Table1[[HomeTeam]:[HomeTeam]], C$1, Table1[[ActualResult]:[ActualResult]], "OT") + SUMIFS(Table1[[AwayWon]:[AwayWon]], Table1[[GameIsOver]:[GameIsOver]],1,Table1[[HomeTeam]:[HomeTeam]],$A18, Table1[[AwayTeam]:[AwayTeam]], C$1, Table1[[ActualResult]:[ActualResult]], "OT") + SUMIFS(Table1[[HomeWon]:[HomeWon]], Table1[[GameIsOver]:[GameIsOver]],1,Table1[[AwayTeam]:[AwayTeam]],$A18, Table1[[HomeTeam]:[HomeTeam]], C$1, Table1[[ActualResult]:[ActualResult]], "SO") + SUMIFS(Table1[[AwayWon]:[AwayWon]], Table1[[GameIsOver]:[GameIsOver]],1,Table1[[HomeTeam]:[HomeTeam]],$A18, Table1[[AwayTeam]:[AwayTeam]], C$1, Table1[[ActualResult]:[ActualResult]], "SO"),0))</f>
        <v>0-0-0</v>
      </c>
      <c r="D18" s="43" t="str">
        <f>_xlfn.CONCAT(TEXT(SUMIFS(Table1[[AwayWon]:[AwayWon]], Table1[[GameIsOver]:[GameIsOver]],1,Table1[[AwayTeam]:[AwayTeam]],$A18, Table1[[HomeTeam]:[HomeTeam]], D$1) + SUMIFS(Table1[[HomeWon]:[HomeWon]], Table1[[GameIsOver]:[GameIsOver]],1,Table1[[HomeTeam]:[HomeTeam]],$A18, Table1[[AwayTeam]:[AwayTeam]], D$1),0), "-", TEXT(SUMIFS(Table1[[HomeWon]:[HomeWon]], Table1[[GameIsOver]:[GameIsOver]],1,Table1[[AwayTeam]:[AwayTeam]],$A18, Table1[[HomeTeam]:[HomeTeam]], D$1, Table1[[ActualResult]:[ActualResult]], "REG") + SUMIFS(Table1[[AwayWon]:[AwayWon]], Table1[[GameIsOver]:[GameIsOver]],1,Table1[[HomeTeam]:[HomeTeam]],$A18, Table1[[AwayTeam]:[AwayTeam]], D$1, Table1[[ActualResult]:[ActualResult]], "REG"),0), "-", TEXT(SUMIFS(Table1[[HomeWon]:[HomeWon]], Table1[[GameIsOver]:[GameIsOver]],1,Table1[[AwayTeam]:[AwayTeam]],$A18, Table1[[HomeTeam]:[HomeTeam]], D$1, Table1[[ActualResult]:[ActualResult]], "OT") + SUMIFS(Table1[[AwayWon]:[AwayWon]], Table1[[GameIsOver]:[GameIsOver]],1,Table1[[HomeTeam]:[HomeTeam]],$A18, Table1[[AwayTeam]:[AwayTeam]], D$1, Table1[[ActualResult]:[ActualResult]], "OT") + SUMIFS(Table1[[HomeWon]:[HomeWon]], Table1[[GameIsOver]:[GameIsOver]],1,Table1[[AwayTeam]:[AwayTeam]],$A18, Table1[[HomeTeam]:[HomeTeam]], D$1, Table1[[ActualResult]:[ActualResult]], "SO") + SUMIFS(Table1[[AwayWon]:[AwayWon]], Table1[[GameIsOver]:[GameIsOver]],1,Table1[[HomeTeam]:[HomeTeam]],$A18, Table1[[AwayTeam]:[AwayTeam]], D$1, Table1[[ActualResult]:[ActualResult]], "SO"),0))</f>
        <v>0-0-0</v>
      </c>
      <c r="E18" s="43" t="str">
        <f>_xlfn.CONCAT(TEXT(SUMIFS(Table1[[AwayWon]:[AwayWon]], Table1[[GameIsOver]:[GameIsOver]],1,Table1[[AwayTeam]:[AwayTeam]],$A18, Table1[[HomeTeam]:[HomeTeam]], E$1) + SUMIFS(Table1[[HomeWon]:[HomeWon]], Table1[[GameIsOver]:[GameIsOver]],1,Table1[[HomeTeam]:[HomeTeam]],$A18, Table1[[AwayTeam]:[AwayTeam]], E$1),0), "-", TEXT(SUMIFS(Table1[[HomeWon]:[HomeWon]], Table1[[GameIsOver]:[GameIsOver]],1,Table1[[AwayTeam]:[AwayTeam]],$A18, Table1[[HomeTeam]:[HomeTeam]], E$1, Table1[[ActualResult]:[ActualResult]], "REG") + SUMIFS(Table1[[AwayWon]:[AwayWon]], Table1[[GameIsOver]:[GameIsOver]],1,Table1[[HomeTeam]:[HomeTeam]],$A18, Table1[[AwayTeam]:[AwayTeam]], E$1, Table1[[ActualResult]:[ActualResult]], "REG"),0), "-", TEXT(SUMIFS(Table1[[HomeWon]:[HomeWon]], Table1[[GameIsOver]:[GameIsOver]],1,Table1[[AwayTeam]:[AwayTeam]],$A18, Table1[[HomeTeam]:[HomeTeam]], E$1, Table1[[ActualResult]:[ActualResult]], "OT") + SUMIFS(Table1[[AwayWon]:[AwayWon]], Table1[[GameIsOver]:[GameIsOver]],1,Table1[[HomeTeam]:[HomeTeam]],$A18, Table1[[AwayTeam]:[AwayTeam]], E$1, Table1[[ActualResult]:[ActualResult]], "OT") + SUMIFS(Table1[[HomeWon]:[HomeWon]], Table1[[GameIsOver]:[GameIsOver]],1,Table1[[AwayTeam]:[AwayTeam]],$A18, Table1[[HomeTeam]:[HomeTeam]], E$1, Table1[[ActualResult]:[ActualResult]], "SO") + SUMIFS(Table1[[AwayWon]:[AwayWon]], Table1[[GameIsOver]:[GameIsOver]],1,Table1[[HomeTeam]:[HomeTeam]],$A18, Table1[[AwayTeam]:[AwayTeam]], E$1, Table1[[ActualResult]:[ActualResult]], "SO"),0))</f>
        <v>0-0-0</v>
      </c>
      <c r="F18" s="43" t="str">
        <f>_xlfn.CONCAT(TEXT(SUMIFS(Table1[[AwayWon]:[AwayWon]], Table1[[GameIsOver]:[GameIsOver]],1,Table1[[AwayTeam]:[AwayTeam]],$A18, Table1[[HomeTeam]:[HomeTeam]], F$1) + SUMIFS(Table1[[HomeWon]:[HomeWon]], Table1[[GameIsOver]:[GameIsOver]],1,Table1[[HomeTeam]:[HomeTeam]],$A18, Table1[[AwayTeam]:[AwayTeam]], F$1),0), "-", TEXT(SUMIFS(Table1[[HomeWon]:[HomeWon]], Table1[[GameIsOver]:[GameIsOver]],1,Table1[[AwayTeam]:[AwayTeam]],$A18, Table1[[HomeTeam]:[HomeTeam]], F$1, Table1[[ActualResult]:[ActualResult]], "REG") + SUMIFS(Table1[[AwayWon]:[AwayWon]], Table1[[GameIsOver]:[GameIsOver]],1,Table1[[HomeTeam]:[HomeTeam]],$A18, Table1[[AwayTeam]:[AwayTeam]], F$1, Table1[[ActualResult]:[ActualResult]], "REG"),0), "-", TEXT(SUMIFS(Table1[[HomeWon]:[HomeWon]], Table1[[GameIsOver]:[GameIsOver]],1,Table1[[AwayTeam]:[AwayTeam]],$A18, Table1[[HomeTeam]:[HomeTeam]], F$1, Table1[[ActualResult]:[ActualResult]], "OT") + SUMIFS(Table1[[AwayWon]:[AwayWon]], Table1[[GameIsOver]:[GameIsOver]],1,Table1[[HomeTeam]:[HomeTeam]],$A18, Table1[[AwayTeam]:[AwayTeam]], F$1, Table1[[ActualResult]:[ActualResult]], "OT") + SUMIFS(Table1[[HomeWon]:[HomeWon]], Table1[[GameIsOver]:[GameIsOver]],1,Table1[[AwayTeam]:[AwayTeam]],$A18, Table1[[HomeTeam]:[HomeTeam]], F$1, Table1[[ActualResult]:[ActualResult]], "SO") + SUMIFS(Table1[[AwayWon]:[AwayWon]], Table1[[GameIsOver]:[GameIsOver]],1,Table1[[HomeTeam]:[HomeTeam]],$A18, Table1[[AwayTeam]:[AwayTeam]], F$1, Table1[[ActualResult]:[ActualResult]], "SO"),0))</f>
        <v>0-0-0</v>
      </c>
      <c r="G18" s="43" t="str">
        <f>_xlfn.CONCAT(TEXT(SUMIFS(Table1[[AwayWon]:[AwayWon]], Table1[[GameIsOver]:[GameIsOver]],1,Table1[[AwayTeam]:[AwayTeam]],$A18, Table1[[HomeTeam]:[HomeTeam]], G$1) + SUMIFS(Table1[[HomeWon]:[HomeWon]], Table1[[GameIsOver]:[GameIsOver]],1,Table1[[HomeTeam]:[HomeTeam]],$A18, Table1[[AwayTeam]:[AwayTeam]], G$1),0), "-", TEXT(SUMIFS(Table1[[HomeWon]:[HomeWon]], Table1[[GameIsOver]:[GameIsOver]],1,Table1[[AwayTeam]:[AwayTeam]],$A18, Table1[[HomeTeam]:[HomeTeam]], G$1, Table1[[ActualResult]:[ActualResult]], "REG") + SUMIFS(Table1[[AwayWon]:[AwayWon]], Table1[[GameIsOver]:[GameIsOver]],1,Table1[[HomeTeam]:[HomeTeam]],$A18, Table1[[AwayTeam]:[AwayTeam]], G$1, Table1[[ActualResult]:[ActualResult]], "REG"),0), "-", TEXT(SUMIFS(Table1[[HomeWon]:[HomeWon]], Table1[[GameIsOver]:[GameIsOver]],1,Table1[[AwayTeam]:[AwayTeam]],$A18, Table1[[HomeTeam]:[HomeTeam]], G$1, Table1[[ActualResult]:[ActualResult]], "OT") + SUMIFS(Table1[[AwayWon]:[AwayWon]], Table1[[GameIsOver]:[GameIsOver]],1,Table1[[HomeTeam]:[HomeTeam]],$A18, Table1[[AwayTeam]:[AwayTeam]], G$1, Table1[[ActualResult]:[ActualResult]], "OT") + SUMIFS(Table1[[HomeWon]:[HomeWon]], Table1[[GameIsOver]:[GameIsOver]],1,Table1[[AwayTeam]:[AwayTeam]],$A18, Table1[[HomeTeam]:[HomeTeam]], G$1, Table1[[ActualResult]:[ActualResult]], "SO") + SUMIFS(Table1[[AwayWon]:[AwayWon]], Table1[[GameIsOver]:[GameIsOver]],1,Table1[[HomeTeam]:[HomeTeam]],$A18, Table1[[AwayTeam]:[AwayTeam]], G$1, Table1[[ActualResult]:[ActualResult]], "SO"),0))</f>
        <v>0-0-0</v>
      </c>
      <c r="H18" s="43" t="str">
        <f>_xlfn.CONCAT(TEXT(SUMIFS(Table1[[AwayWon]:[AwayWon]], Table1[[GameIsOver]:[GameIsOver]],1,Table1[[AwayTeam]:[AwayTeam]],$A18, Table1[[HomeTeam]:[HomeTeam]], H$1) + SUMIFS(Table1[[HomeWon]:[HomeWon]], Table1[[GameIsOver]:[GameIsOver]],1,Table1[[HomeTeam]:[HomeTeam]],$A18, Table1[[AwayTeam]:[AwayTeam]], H$1),0), "-", TEXT(SUMIFS(Table1[[HomeWon]:[HomeWon]], Table1[[GameIsOver]:[GameIsOver]],1,Table1[[AwayTeam]:[AwayTeam]],$A18, Table1[[HomeTeam]:[HomeTeam]], H$1, Table1[[ActualResult]:[ActualResult]], "REG") + SUMIFS(Table1[[AwayWon]:[AwayWon]], Table1[[GameIsOver]:[GameIsOver]],1,Table1[[HomeTeam]:[HomeTeam]],$A18, Table1[[AwayTeam]:[AwayTeam]], H$1, Table1[[ActualResult]:[ActualResult]], "REG"),0), "-", TEXT(SUMIFS(Table1[[HomeWon]:[HomeWon]], Table1[[GameIsOver]:[GameIsOver]],1,Table1[[AwayTeam]:[AwayTeam]],$A18, Table1[[HomeTeam]:[HomeTeam]], H$1, Table1[[ActualResult]:[ActualResult]], "OT") + SUMIFS(Table1[[AwayWon]:[AwayWon]], Table1[[GameIsOver]:[GameIsOver]],1,Table1[[HomeTeam]:[HomeTeam]],$A18, Table1[[AwayTeam]:[AwayTeam]], H$1, Table1[[ActualResult]:[ActualResult]], "OT") + SUMIFS(Table1[[HomeWon]:[HomeWon]], Table1[[GameIsOver]:[GameIsOver]],1,Table1[[AwayTeam]:[AwayTeam]],$A18, Table1[[HomeTeam]:[HomeTeam]], H$1, Table1[[ActualResult]:[ActualResult]], "SO") + SUMIFS(Table1[[AwayWon]:[AwayWon]], Table1[[GameIsOver]:[GameIsOver]],1,Table1[[HomeTeam]:[HomeTeam]],$A18, Table1[[AwayTeam]:[AwayTeam]], H$1, Table1[[ActualResult]:[ActualResult]], "SO"),0))</f>
        <v>0-0-0</v>
      </c>
      <c r="I18" s="45" t="str">
        <f>_xlfn.CONCAT(TEXT(SUMIFS(Table1[[AwayWon]:[AwayWon]], Table1[[GameIsOver]:[GameIsOver]],1,Table1[[AwayTeam]:[AwayTeam]],$A18, Table1[[HomeTeam]:[HomeTeam]], I$1) + SUMIFS(Table1[[HomeWon]:[HomeWon]], Table1[[GameIsOver]:[GameIsOver]],1,Table1[[HomeTeam]:[HomeTeam]],$A18, Table1[[AwayTeam]:[AwayTeam]], I$1),0), "-", TEXT(SUMIFS(Table1[[HomeWon]:[HomeWon]], Table1[[GameIsOver]:[GameIsOver]],1,Table1[[AwayTeam]:[AwayTeam]],$A18, Table1[[HomeTeam]:[HomeTeam]], I$1, Table1[[ActualResult]:[ActualResult]], "REG") + SUMIFS(Table1[[AwayWon]:[AwayWon]], Table1[[GameIsOver]:[GameIsOver]],1,Table1[[HomeTeam]:[HomeTeam]],$A18, Table1[[AwayTeam]:[AwayTeam]], I$1, Table1[[ActualResult]:[ActualResult]], "REG"),0), "-", TEXT(SUMIFS(Table1[[HomeWon]:[HomeWon]], Table1[[GameIsOver]:[GameIsOver]],1,Table1[[AwayTeam]:[AwayTeam]],$A18, Table1[[HomeTeam]:[HomeTeam]], I$1, Table1[[ActualResult]:[ActualResult]], "OT") + SUMIFS(Table1[[AwayWon]:[AwayWon]], Table1[[GameIsOver]:[GameIsOver]],1,Table1[[HomeTeam]:[HomeTeam]],$A18, Table1[[AwayTeam]:[AwayTeam]], I$1, Table1[[ActualResult]:[ActualResult]], "OT") + SUMIFS(Table1[[HomeWon]:[HomeWon]], Table1[[GameIsOver]:[GameIsOver]],1,Table1[[AwayTeam]:[AwayTeam]],$A18, Table1[[HomeTeam]:[HomeTeam]], I$1, Table1[[ActualResult]:[ActualResult]], "SO") + SUMIFS(Table1[[AwayWon]:[AwayWon]], Table1[[GameIsOver]:[GameIsOver]],1,Table1[[HomeTeam]:[HomeTeam]],$A18, Table1[[AwayTeam]:[AwayTeam]], I$1, Table1[[ActualResult]:[ActualResult]], "SO"),0))</f>
        <v>0-0-0</v>
      </c>
      <c r="J18" s="43" t="str">
        <f>_xlfn.CONCAT(TEXT(SUMIFS(Table1[[AwayWon]:[AwayWon]], Table1[[GameIsOver]:[GameIsOver]],1,Table1[[AwayTeam]:[AwayTeam]],$A18, Table1[[HomeTeam]:[HomeTeam]], J$1) + SUMIFS(Table1[[HomeWon]:[HomeWon]], Table1[[GameIsOver]:[GameIsOver]],1,Table1[[HomeTeam]:[HomeTeam]],$A18, Table1[[AwayTeam]:[AwayTeam]], J$1),0), "-", TEXT(SUMIFS(Table1[[HomeWon]:[HomeWon]], Table1[[GameIsOver]:[GameIsOver]],1,Table1[[AwayTeam]:[AwayTeam]],$A18, Table1[[HomeTeam]:[HomeTeam]], J$1, Table1[[ActualResult]:[ActualResult]], "REG") + SUMIFS(Table1[[AwayWon]:[AwayWon]], Table1[[GameIsOver]:[GameIsOver]],1,Table1[[HomeTeam]:[HomeTeam]],$A18, Table1[[AwayTeam]:[AwayTeam]], J$1, Table1[[ActualResult]:[ActualResult]], "REG"),0), "-", TEXT(SUMIFS(Table1[[HomeWon]:[HomeWon]], Table1[[GameIsOver]:[GameIsOver]],1,Table1[[AwayTeam]:[AwayTeam]],$A18, Table1[[HomeTeam]:[HomeTeam]], J$1, Table1[[ActualResult]:[ActualResult]], "OT") + SUMIFS(Table1[[AwayWon]:[AwayWon]], Table1[[GameIsOver]:[GameIsOver]],1,Table1[[HomeTeam]:[HomeTeam]],$A18, Table1[[AwayTeam]:[AwayTeam]], J$1, Table1[[ActualResult]:[ActualResult]], "OT") + SUMIFS(Table1[[HomeWon]:[HomeWon]], Table1[[GameIsOver]:[GameIsOver]],1,Table1[[AwayTeam]:[AwayTeam]],$A18, Table1[[HomeTeam]:[HomeTeam]], J$1, Table1[[ActualResult]:[ActualResult]], "SO") + SUMIFS(Table1[[AwayWon]:[AwayWon]], Table1[[GameIsOver]:[GameIsOver]],1,Table1[[HomeTeam]:[HomeTeam]],$A18, Table1[[AwayTeam]:[AwayTeam]], J$1, Table1[[ActualResult]:[ActualResult]], "SO"),0))</f>
        <v>0-0-0</v>
      </c>
      <c r="K18" s="43" t="str">
        <f>_xlfn.CONCAT(TEXT(SUMIFS(Table1[[AwayWon]:[AwayWon]], Table1[[GameIsOver]:[GameIsOver]],1,Table1[[AwayTeam]:[AwayTeam]],$A18, Table1[[HomeTeam]:[HomeTeam]], K$1) + SUMIFS(Table1[[HomeWon]:[HomeWon]], Table1[[GameIsOver]:[GameIsOver]],1,Table1[[HomeTeam]:[HomeTeam]],$A18, Table1[[AwayTeam]:[AwayTeam]], K$1),0), "-", TEXT(SUMIFS(Table1[[HomeWon]:[HomeWon]], Table1[[GameIsOver]:[GameIsOver]],1,Table1[[AwayTeam]:[AwayTeam]],$A18, Table1[[HomeTeam]:[HomeTeam]], K$1, Table1[[ActualResult]:[ActualResult]], "REG") + SUMIFS(Table1[[AwayWon]:[AwayWon]], Table1[[GameIsOver]:[GameIsOver]],1,Table1[[HomeTeam]:[HomeTeam]],$A18, Table1[[AwayTeam]:[AwayTeam]], K$1, Table1[[ActualResult]:[ActualResult]], "REG"),0), "-", TEXT(SUMIFS(Table1[[HomeWon]:[HomeWon]], Table1[[GameIsOver]:[GameIsOver]],1,Table1[[AwayTeam]:[AwayTeam]],$A18, Table1[[HomeTeam]:[HomeTeam]], K$1, Table1[[ActualResult]:[ActualResult]], "OT") + SUMIFS(Table1[[AwayWon]:[AwayWon]], Table1[[GameIsOver]:[GameIsOver]],1,Table1[[HomeTeam]:[HomeTeam]],$A18, Table1[[AwayTeam]:[AwayTeam]], K$1, Table1[[ActualResult]:[ActualResult]], "OT") + SUMIFS(Table1[[HomeWon]:[HomeWon]], Table1[[GameIsOver]:[GameIsOver]],1,Table1[[AwayTeam]:[AwayTeam]],$A18, Table1[[HomeTeam]:[HomeTeam]], K$1, Table1[[ActualResult]:[ActualResult]], "SO") + SUMIFS(Table1[[AwayWon]:[AwayWon]], Table1[[GameIsOver]:[GameIsOver]],1,Table1[[HomeTeam]:[HomeTeam]],$A18, Table1[[AwayTeam]:[AwayTeam]], K$1, Table1[[ActualResult]:[ActualResult]], "SO"),0))</f>
        <v>0-0-0</v>
      </c>
      <c r="L18" s="43" t="str">
        <f>_xlfn.CONCAT(TEXT(SUMIFS(Table1[[AwayWon]:[AwayWon]], Table1[[GameIsOver]:[GameIsOver]],1,Table1[[AwayTeam]:[AwayTeam]],$A18, Table1[[HomeTeam]:[HomeTeam]], L$1) + SUMIFS(Table1[[HomeWon]:[HomeWon]], Table1[[GameIsOver]:[GameIsOver]],1,Table1[[HomeTeam]:[HomeTeam]],$A18, Table1[[AwayTeam]:[AwayTeam]], L$1),0), "-", TEXT(SUMIFS(Table1[[HomeWon]:[HomeWon]], Table1[[GameIsOver]:[GameIsOver]],1,Table1[[AwayTeam]:[AwayTeam]],$A18, Table1[[HomeTeam]:[HomeTeam]], L$1, Table1[[ActualResult]:[ActualResult]], "REG") + SUMIFS(Table1[[AwayWon]:[AwayWon]], Table1[[GameIsOver]:[GameIsOver]],1,Table1[[HomeTeam]:[HomeTeam]],$A18, Table1[[AwayTeam]:[AwayTeam]], L$1, Table1[[ActualResult]:[ActualResult]], "REG"),0), "-", TEXT(SUMIFS(Table1[[HomeWon]:[HomeWon]], Table1[[GameIsOver]:[GameIsOver]],1,Table1[[AwayTeam]:[AwayTeam]],$A18, Table1[[HomeTeam]:[HomeTeam]], L$1, Table1[[ActualResult]:[ActualResult]], "OT") + SUMIFS(Table1[[AwayWon]:[AwayWon]], Table1[[GameIsOver]:[GameIsOver]],1,Table1[[HomeTeam]:[HomeTeam]],$A18, Table1[[AwayTeam]:[AwayTeam]], L$1, Table1[[ActualResult]:[ActualResult]], "OT") + SUMIFS(Table1[[HomeWon]:[HomeWon]], Table1[[GameIsOver]:[GameIsOver]],1,Table1[[AwayTeam]:[AwayTeam]],$A18, Table1[[HomeTeam]:[HomeTeam]], L$1, Table1[[ActualResult]:[ActualResult]], "SO") + SUMIFS(Table1[[AwayWon]:[AwayWon]], Table1[[GameIsOver]:[GameIsOver]],1,Table1[[HomeTeam]:[HomeTeam]],$A18, Table1[[AwayTeam]:[AwayTeam]], L$1, Table1[[ActualResult]:[ActualResult]], "SO"),0))</f>
        <v>0-0-0</v>
      </c>
      <c r="M18" s="43" t="str">
        <f>_xlfn.CONCAT(TEXT(SUMIFS(Table1[[AwayWon]:[AwayWon]], Table1[[GameIsOver]:[GameIsOver]],1,Table1[[AwayTeam]:[AwayTeam]],$A18, Table1[[HomeTeam]:[HomeTeam]], M$1) + SUMIFS(Table1[[HomeWon]:[HomeWon]], Table1[[GameIsOver]:[GameIsOver]],1,Table1[[HomeTeam]:[HomeTeam]],$A18, Table1[[AwayTeam]:[AwayTeam]], M$1),0), "-", TEXT(SUMIFS(Table1[[HomeWon]:[HomeWon]], Table1[[GameIsOver]:[GameIsOver]],1,Table1[[AwayTeam]:[AwayTeam]],$A18, Table1[[HomeTeam]:[HomeTeam]], M$1, Table1[[ActualResult]:[ActualResult]], "REG") + SUMIFS(Table1[[AwayWon]:[AwayWon]], Table1[[GameIsOver]:[GameIsOver]],1,Table1[[HomeTeam]:[HomeTeam]],$A18, Table1[[AwayTeam]:[AwayTeam]], M$1, Table1[[ActualResult]:[ActualResult]], "REG"),0), "-", TEXT(SUMIFS(Table1[[HomeWon]:[HomeWon]], Table1[[GameIsOver]:[GameIsOver]],1,Table1[[AwayTeam]:[AwayTeam]],$A18, Table1[[HomeTeam]:[HomeTeam]], M$1, Table1[[ActualResult]:[ActualResult]], "OT") + SUMIFS(Table1[[AwayWon]:[AwayWon]], Table1[[GameIsOver]:[GameIsOver]],1,Table1[[HomeTeam]:[HomeTeam]],$A18, Table1[[AwayTeam]:[AwayTeam]], M$1, Table1[[ActualResult]:[ActualResult]], "OT") + SUMIFS(Table1[[HomeWon]:[HomeWon]], Table1[[GameIsOver]:[GameIsOver]],1,Table1[[AwayTeam]:[AwayTeam]],$A18, Table1[[HomeTeam]:[HomeTeam]], M$1, Table1[[ActualResult]:[ActualResult]], "SO") + SUMIFS(Table1[[AwayWon]:[AwayWon]], Table1[[GameIsOver]:[GameIsOver]],1,Table1[[HomeTeam]:[HomeTeam]],$A18, Table1[[AwayTeam]:[AwayTeam]], M$1, Table1[[ActualResult]:[ActualResult]], "SO"),0))</f>
        <v>0-0-0</v>
      </c>
      <c r="N18" s="43" t="str">
        <f>_xlfn.CONCAT(TEXT(SUMIFS(Table1[[AwayWon]:[AwayWon]], Table1[[GameIsOver]:[GameIsOver]],1,Table1[[AwayTeam]:[AwayTeam]],$A18, Table1[[HomeTeam]:[HomeTeam]], N$1) + SUMIFS(Table1[[HomeWon]:[HomeWon]], Table1[[GameIsOver]:[GameIsOver]],1,Table1[[HomeTeam]:[HomeTeam]],$A18, Table1[[AwayTeam]:[AwayTeam]], N$1),0), "-", TEXT(SUMIFS(Table1[[HomeWon]:[HomeWon]], Table1[[GameIsOver]:[GameIsOver]],1,Table1[[AwayTeam]:[AwayTeam]],$A18, Table1[[HomeTeam]:[HomeTeam]], N$1, Table1[[ActualResult]:[ActualResult]], "REG") + SUMIFS(Table1[[AwayWon]:[AwayWon]], Table1[[GameIsOver]:[GameIsOver]],1,Table1[[HomeTeam]:[HomeTeam]],$A18, Table1[[AwayTeam]:[AwayTeam]], N$1, Table1[[ActualResult]:[ActualResult]], "REG"),0), "-", TEXT(SUMIFS(Table1[[HomeWon]:[HomeWon]], Table1[[GameIsOver]:[GameIsOver]],1,Table1[[AwayTeam]:[AwayTeam]],$A18, Table1[[HomeTeam]:[HomeTeam]], N$1, Table1[[ActualResult]:[ActualResult]], "OT") + SUMIFS(Table1[[AwayWon]:[AwayWon]], Table1[[GameIsOver]:[GameIsOver]],1,Table1[[HomeTeam]:[HomeTeam]],$A18, Table1[[AwayTeam]:[AwayTeam]], N$1, Table1[[ActualResult]:[ActualResult]], "OT") + SUMIFS(Table1[[HomeWon]:[HomeWon]], Table1[[GameIsOver]:[GameIsOver]],1,Table1[[AwayTeam]:[AwayTeam]],$A18, Table1[[HomeTeam]:[HomeTeam]], N$1, Table1[[ActualResult]:[ActualResult]], "SO") + SUMIFS(Table1[[AwayWon]:[AwayWon]], Table1[[GameIsOver]:[GameIsOver]],1,Table1[[HomeTeam]:[HomeTeam]],$A18, Table1[[AwayTeam]:[AwayTeam]], N$1, Table1[[ActualResult]:[ActualResult]], "SO"),0))</f>
        <v>0-0-0</v>
      </c>
      <c r="O18" s="43" t="str">
        <f>_xlfn.CONCAT(TEXT(SUMIFS(Table1[[AwayWon]:[AwayWon]], Table1[[GameIsOver]:[GameIsOver]],1,Table1[[AwayTeam]:[AwayTeam]],$A18, Table1[[HomeTeam]:[HomeTeam]], O$1) + SUMIFS(Table1[[HomeWon]:[HomeWon]], Table1[[GameIsOver]:[GameIsOver]],1,Table1[[HomeTeam]:[HomeTeam]],$A18, Table1[[AwayTeam]:[AwayTeam]], O$1),0), "-", TEXT(SUMIFS(Table1[[HomeWon]:[HomeWon]], Table1[[GameIsOver]:[GameIsOver]],1,Table1[[AwayTeam]:[AwayTeam]],$A18, Table1[[HomeTeam]:[HomeTeam]], O$1, Table1[[ActualResult]:[ActualResult]], "REG") + SUMIFS(Table1[[AwayWon]:[AwayWon]], Table1[[GameIsOver]:[GameIsOver]],1,Table1[[HomeTeam]:[HomeTeam]],$A18, Table1[[AwayTeam]:[AwayTeam]], O$1, Table1[[ActualResult]:[ActualResult]], "REG"),0), "-", TEXT(SUMIFS(Table1[[HomeWon]:[HomeWon]], Table1[[GameIsOver]:[GameIsOver]],1,Table1[[AwayTeam]:[AwayTeam]],$A18, Table1[[HomeTeam]:[HomeTeam]], O$1, Table1[[ActualResult]:[ActualResult]], "OT") + SUMIFS(Table1[[AwayWon]:[AwayWon]], Table1[[GameIsOver]:[GameIsOver]],1,Table1[[HomeTeam]:[HomeTeam]],$A18, Table1[[AwayTeam]:[AwayTeam]], O$1, Table1[[ActualResult]:[ActualResult]], "OT") + SUMIFS(Table1[[HomeWon]:[HomeWon]], Table1[[GameIsOver]:[GameIsOver]],1,Table1[[AwayTeam]:[AwayTeam]],$A18, Table1[[HomeTeam]:[HomeTeam]], O$1, Table1[[ActualResult]:[ActualResult]], "SO") + SUMIFS(Table1[[AwayWon]:[AwayWon]], Table1[[GameIsOver]:[GameIsOver]],1,Table1[[HomeTeam]:[HomeTeam]],$A18, Table1[[AwayTeam]:[AwayTeam]], O$1, Table1[[ActualResult]:[ActualResult]], "SO"),0))</f>
        <v>0-0-0</v>
      </c>
      <c r="P18" s="43" t="str">
        <f>_xlfn.CONCAT(TEXT(SUMIFS(Table1[[AwayWon]:[AwayWon]], Table1[[GameIsOver]:[GameIsOver]],1,Table1[[AwayTeam]:[AwayTeam]],$A18, Table1[[HomeTeam]:[HomeTeam]], P$1) + SUMIFS(Table1[[HomeWon]:[HomeWon]], Table1[[GameIsOver]:[GameIsOver]],1,Table1[[HomeTeam]:[HomeTeam]],$A18, Table1[[AwayTeam]:[AwayTeam]], P$1),0), "-", TEXT(SUMIFS(Table1[[HomeWon]:[HomeWon]], Table1[[GameIsOver]:[GameIsOver]],1,Table1[[AwayTeam]:[AwayTeam]],$A18, Table1[[HomeTeam]:[HomeTeam]], P$1, Table1[[ActualResult]:[ActualResult]], "REG") + SUMIFS(Table1[[AwayWon]:[AwayWon]], Table1[[GameIsOver]:[GameIsOver]],1,Table1[[HomeTeam]:[HomeTeam]],$A18, Table1[[AwayTeam]:[AwayTeam]], P$1, Table1[[ActualResult]:[ActualResult]], "REG"),0), "-", TEXT(SUMIFS(Table1[[HomeWon]:[HomeWon]], Table1[[GameIsOver]:[GameIsOver]],1,Table1[[AwayTeam]:[AwayTeam]],$A18, Table1[[HomeTeam]:[HomeTeam]], P$1, Table1[[ActualResult]:[ActualResult]], "OT") + SUMIFS(Table1[[AwayWon]:[AwayWon]], Table1[[GameIsOver]:[GameIsOver]],1,Table1[[HomeTeam]:[HomeTeam]],$A18, Table1[[AwayTeam]:[AwayTeam]], P$1, Table1[[ActualResult]:[ActualResult]], "OT") + SUMIFS(Table1[[HomeWon]:[HomeWon]], Table1[[GameIsOver]:[GameIsOver]],1,Table1[[AwayTeam]:[AwayTeam]],$A18, Table1[[HomeTeam]:[HomeTeam]], P$1, Table1[[ActualResult]:[ActualResult]], "SO") + SUMIFS(Table1[[AwayWon]:[AwayWon]], Table1[[GameIsOver]:[GameIsOver]],1,Table1[[HomeTeam]:[HomeTeam]],$A18, Table1[[AwayTeam]:[AwayTeam]], P$1, Table1[[ActualResult]:[ActualResult]], "SO"),0))</f>
        <v>0-0-0</v>
      </c>
      <c r="Q18" s="45" t="str">
        <f>_xlfn.CONCAT(TEXT(SUMIFS(Table1[[AwayWon]:[AwayWon]], Table1[[GameIsOver]:[GameIsOver]],1,Table1[[AwayTeam]:[AwayTeam]],$A18, Table1[[HomeTeam]:[HomeTeam]], Q$1) + SUMIFS(Table1[[HomeWon]:[HomeWon]], Table1[[GameIsOver]:[GameIsOver]],1,Table1[[HomeTeam]:[HomeTeam]],$A18, Table1[[AwayTeam]:[AwayTeam]], Q$1),0), "-", TEXT(SUMIFS(Table1[[HomeWon]:[HomeWon]], Table1[[GameIsOver]:[GameIsOver]],1,Table1[[AwayTeam]:[AwayTeam]],$A18, Table1[[HomeTeam]:[HomeTeam]], Q$1, Table1[[ActualResult]:[ActualResult]], "REG") + SUMIFS(Table1[[AwayWon]:[AwayWon]], Table1[[GameIsOver]:[GameIsOver]],1,Table1[[HomeTeam]:[HomeTeam]],$A18, Table1[[AwayTeam]:[AwayTeam]], Q$1, Table1[[ActualResult]:[ActualResult]], "REG"),0), "-", TEXT(SUMIFS(Table1[[HomeWon]:[HomeWon]], Table1[[GameIsOver]:[GameIsOver]],1,Table1[[AwayTeam]:[AwayTeam]],$A18, Table1[[HomeTeam]:[HomeTeam]], Q$1, Table1[[ActualResult]:[ActualResult]], "OT") + SUMIFS(Table1[[AwayWon]:[AwayWon]], Table1[[GameIsOver]:[GameIsOver]],1,Table1[[HomeTeam]:[HomeTeam]],$A18, Table1[[AwayTeam]:[AwayTeam]], Q$1, Table1[[ActualResult]:[ActualResult]], "OT") + SUMIFS(Table1[[HomeWon]:[HomeWon]], Table1[[GameIsOver]:[GameIsOver]],1,Table1[[AwayTeam]:[AwayTeam]],$A18, Table1[[HomeTeam]:[HomeTeam]], Q$1, Table1[[ActualResult]:[ActualResult]], "SO") + SUMIFS(Table1[[AwayWon]:[AwayWon]], Table1[[GameIsOver]:[GameIsOver]],1,Table1[[HomeTeam]:[HomeTeam]],$A18, Table1[[AwayTeam]:[AwayTeam]], Q$1, Table1[[ActualResult]:[ActualResult]], "SO"),0))</f>
        <v>0-0-0</v>
      </c>
      <c r="R18" s="43" t="str">
        <f>_xlfn.CONCAT(TEXT(SUMIFS(Table1[[AwayWon]:[AwayWon]], Table1[[GameIsOver]:[GameIsOver]],1,Table1[[AwayTeam]:[AwayTeam]],$A18, Table1[[HomeTeam]:[HomeTeam]], R$1) + SUMIFS(Table1[[HomeWon]:[HomeWon]], Table1[[GameIsOver]:[GameIsOver]],1,Table1[[HomeTeam]:[HomeTeam]],$A18, Table1[[AwayTeam]:[AwayTeam]], R$1),0), "-", TEXT(SUMIFS(Table1[[HomeWon]:[HomeWon]], Table1[[GameIsOver]:[GameIsOver]],1,Table1[[AwayTeam]:[AwayTeam]],$A18, Table1[[HomeTeam]:[HomeTeam]], R$1, Table1[[ActualResult]:[ActualResult]], "REG") + SUMIFS(Table1[[AwayWon]:[AwayWon]], Table1[[GameIsOver]:[GameIsOver]],1,Table1[[HomeTeam]:[HomeTeam]],$A18, Table1[[AwayTeam]:[AwayTeam]], R$1, Table1[[ActualResult]:[ActualResult]], "REG"),0), "-", TEXT(SUMIFS(Table1[[HomeWon]:[HomeWon]], Table1[[GameIsOver]:[GameIsOver]],1,Table1[[AwayTeam]:[AwayTeam]],$A18, Table1[[HomeTeam]:[HomeTeam]], R$1, Table1[[ActualResult]:[ActualResult]], "OT") + SUMIFS(Table1[[AwayWon]:[AwayWon]], Table1[[GameIsOver]:[GameIsOver]],1,Table1[[HomeTeam]:[HomeTeam]],$A18, Table1[[AwayTeam]:[AwayTeam]], R$1, Table1[[ActualResult]:[ActualResult]], "OT") + SUMIFS(Table1[[HomeWon]:[HomeWon]], Table1[[GameIsOver]:[GameIsOver]],1,Table1[[AwayTeam]:[AwayTeam]],$A18, Table1[[HomeTeam]:[HomeTeam]], R$1, Table1[[ActualResult]:[ActualResult]], "SO") + SUMIFS(Table1[[AwayWon]:[AwayWon]], Table1[[GameIsOver]:[GameIsOver]],1,Table1[[HomeTeam]:[HomeTeam]],$A18, Table1[[AwayTeam]:[AwayTeam]], R$1, Table1[[ActualResult]:[ActualResult]], "SO"),0))</f>
        <v>0-0-0</v>
      </c>
      <c r="S18" s="43" t="str">
        <f>_xlfn.CONCAT(TEXT(SUMIFS(Table1[[AwayWon]:[AwayWon]], Table1[[GameIsOver]:[GameIsOver]],1,Table1[[AwayTeam]:[AwayTeam]],$A18, Table1[[HomeTeam]:[HomeTeam]], S$1) + SUMIFS(Table1[[HomeWon]:[HomeWon]], Table1[[GameIsOver]:[GameIsOver]],1,Table1[[HomeTeam]:[HomeTeam]],$A18, Table1[[AwayTeam]:[AwayTeam]], S$1),0), "-", TEXT(SUMIFS(Table1[[HomeWon]:[HomeWon]], Table1[[GameIsOver]:[GameIsOver]],1,Table1[[AwayTeam]:[AwayTeam]],$A18, Table1[[HomeTeam]:[HomeTeam]], S$1, Table1[[ActualResult]:[ActualResult]], "REG") + SUMIFS(Table1[[AwayWon]:[AwayWon]], Table1[[GameIsOver]:[GameIsOver]],1,Table1[[HomeTeam]:[HomeTeam]],$A18, Table1[[AwayTeam]:[AwayTeam]], S$1, Table1[[ActualResult]:[ActualResult]], "REG"),0), "-", TEXT(SUMIFS(Table1[[HomeWon]:[HomeWon]], Table1[[GameIsOver]:[GameIsOver]],1,Table1[[AwayTeam]:[AwayTeam]],$A18, Table1[[HomeTeam]:[HomeTeam]], S$1, Table1[[ActualResult]:[ActualResult]], "OT") + SUMIFS(Table1[[AwayWon]:[AwayWon]], Table1[[GameIsOver]:[GameIsOver]],1,Table1[[HomeTeam]:[HomeTeam]],$A18, Table1[[AwayTeam]:[AwayTeam]], S$1, Table1[[ActualResult]:[ActualResult]], "OT") + SUMIFS(Table1[[HomeWon]:[HomeWon]], Table1[[GameIsOver]:[GameIsOver]],1,Table1[[AwayTeam]:[AwayTeam]],$A18, Table1[[HomeTeam]:[HomeTeam]], S$1, Table1[[ActualResult]:[ActualResult]], "SO") + SUMIFS(Table1[[AwayWon]:[AwayWon]], Table1[[GameIsOver]:[GameIsOver]],1,Table1[[HomeTeam]:[HomeTeam]],$A18, Table1[[AwayTeam]:[AwayTeam]], S$1, Table1[[ActualResult]:[ActualResult]], "SO"),0))</f>
        <v>0-0-0</v>
      </c>
      <c r="T18" s="43" t="str">
        <f>_xlfn.CONCAT(TEXT(SUMIFS(Table1[[AwayWon]:[AwayWon]], Table1[[GameIsOver]:[GameIsOver]],1,Table1[[AwayTeam]:[AwayTeam]],$A18, Table1[[HomeTeam]:[HomeTeam]], T$1) + SUMIFS(Table1[[HomeWon]:[HomeWon]], Table1[[GameIsOver]:[GameIsOver]],1,Table1[[HomeTeam]:[HomeTeam]],$A18, Table1[[AwayTeam]:[AwayTeam]], T$1),0), "-", TEXT(SUMIFS(Table1[[HomeWon]:[HomeWon]], Table1[[GameIsOver]:[GameIsOver]],1,Table1[[AwayTeam]:[AwayTeam]],$A18, Table1[[HomeTeam]:[HomeTeam]], T$1, Table1[[ActualResult]:[ActualResult]], "REG") + SUMIFS(Table1[[AwayWon]:[AwayWon]], Table1[[GameIsOver]:[GameIsOver]],1,Table1[[HomeTeam]:[HomeTeam]],$A18, Table1[[AwayTeam]:[AwayTeam]], T$1, Table1[[ActualResult]:[ActualResult]], "REG"),0), "-", TEXT(SUMIFS(Table1[[HomeWon]:[HomeWon]], Table1[[GameIsOver]:[GameIsOver]],1,Table1[[AwayTeam]:[AwayTeam]],$A18, Table1[[HomeTeam]:[HomeTeam]], T$1, Table1[[ActualResult]:[ActualResult]], "OT") + SUMIFS(Table1[[AwayWon]:[AwayWon]], Table1[[GameIsOver]:[GameIsOver]],1,Table1[[HomeTeam]:[HomeTeam]],$A18, Table1[[AwayTeam]:[AwayTeam]], T$1, Table1[[ActualResult]:[ActualResult]], "OT") + SUMIFS(Table1[[HomeWon]:[HomeWon]], Table1[[GameIsOver]:[GameIsOver]],1,Table1[[AwayTeam]:[AwayTeam]],$A18, Table1[[HomeTeam]:[HomeTeam]], T$1, Table1[[ActualResult]:[ActualResult]], "SO") + SUMIFS(Table1[[AwayWon]:[AwayWon]], Table1[[GameIsOver]:[GameIsOver]],1,Table1[[HomeTeam]:[HomeTeam]],$A18, Table1[[AwayTeam]:[AwayTeam]], T$1, Table1[[ActualResult]:[ActualResult]], "SO"),0))</f>
        <v>0-0-0</v>
      </c>
      <c r="U18" s="43" t="str">
        <f>_xlfn.CONCAT(TEXT(SUMIFS(Table1[[AwayWon]:[AwayWon]], Table1[[GameIsOver]:[GameIsOver]],1,Table1[[AwayTeam]:[AwayTeam]],$A18, Table1[[HomeTeam]:[HomeTeam]], U$1) + SUMIFS(Table1[[HomeWon]:[HomeWon]], Table1[[GameIsOver]:[GameIsOver]],1,Table1[[HomeTeam]:[HomeTeam]],$A18, Table1[[AwayTeam]:[AwayTeam]], U$1),0), "-", TEXT(SUMIFS(Table1[[HomeWon]:[HomeWon]], Table1[[GameIsOver]:[GameIsOver]],1,Table1[[AwayTeam]:[AwayTeam]],$A18, Table1[[HomeTeam]:[HomeTeam]], U$1, Table1[[ActualResult]:[ActualResult]], "REG") + SUMIFS(Table1[[AwayWon]:[AwayWon]], Table1[[GameIsOver]:[GameIsOver]],1,Table1[[HomeTeam]:[HomeTeam]],$A18, Table1[[AwayTeam]:[AwayTeam]], U$1, Table1[[ActualResult]:[ActualResult]], "REG"),0), "-", TEXT(SUMIFS(Table1[[HomeWon]:[HomeWon]], Table1[[GameIsOver]:[GameIsOver]],1,Table1[[AwayTeam]:[AwayTeam]],$A18, Table1[[HomeTeam]:[HomeTeam]], U$1, Table1[[ActualResult]:[ActualResult]], "OT") + SUMIFS(Table1[[AwayWon]:[AwayWon]], Table1[[GameIsOver]:[GameIsOver]],1,Table1[[HomeTeam]:[HomeTeam]],$A18, Table1[[AwayTeam]:[AwayTeam]], U$1, Table1[[ActualResult]:[ActualResult]], "OT") + SUMIFS(Table1[[HomeWon]:[HomeWon]], Table1[[GameIsOver]:[GameIsOver]],1,Table1[[AwayTeam]:[AwayTeam]],$A18, Table1[[HomeTeam]:[HomeTeam]], U$1, Table1[[ActualResult]:[ActualResult]], "SO") + SUMIFS(Table1[[AwayWon]:[AwayWon]], Table1[[GameIsOver]:[GameIsOver]],1,Table1[[HomeTeam]:[HomeTeam]],$A18, Table1[[AwayTeam]:[AwayTeam]], U$1, Table1[[ActualResult]:[ActualResult]], "SO"),0))</f>
        <v>0-0-0</v>
      </c>
      <c r="V18" s="43" t="str">
        <f>_xlfn.CONCAT(TEXT(SUMIFS(Table1[[AwayWon]:[AwayWon]], Table1[[GameIsOver]:[GameIsOver]],1,Table1[[AwayTeam]:[AwayTeam]],$A18, Table1[[HomeTeam]:[HomeTeam]], V$1) + SUMIFS(Table1[[HomeWon]:[HomeWon]], Table1[[GameIsOver]:[GameIsOver]],1,Table1[[HomeTeam]:[HomeTeam]],$A18, Table1[[AwayTeam]:[AwayTeam]], V$1),0), "-", TEXT(SUMIFS(Table1[[HomeWon]:[HomeWon]], Table1[[GameIsOver]:[GameIsOver]],1,Table1[[AwayTeam]:[AwayTeam]],$A18, Table1[[HomeTeam]:[HomeTeam]], V$1, Table1[[ActualResult]:[ActualResult]], "REG") + SUMIFS(Table1[[AwayWon]:[AwayWon]], Table1[[GameIsOver]:[GameIsOver]],1,Table1[[HomeTeam]:[HomeTeam]],$A18, Table1[[AwayTeam]:[AwayTeam]], V$1, Table1[[ActualResult]:[ActualResult]], "REG"),0), "-", TEXT(SUMIFS(Table1[[HomeWon]:[HomeWon]], Table1[[GameIsOver]:[GameIsOver]],1,Table1[[AwayTeam]:[AwayTeam]],$A18, Table1[[HomeTeam]:[HomeTeam]], V$1, Table1[[ActualResult]:[ActualResult]], "OT") + SUMIFS(Table1[[AwayWon]:[AwayWon]], Table1[[GameIsOver]:[GameIsOver]],1,Table1[[HomeTeam]:[HomeTeam]],$A18, Table1[[AwayTeam]:[AwayTeam]], V$1, Table1[[ActualResult]:[ActualResult]], "OT") + SUMIFS(Table1[[HomeWon]:[HomeWon]], Table1[[GameIsOver]:[GameIsOver]],1,Table1[[AwayTeam]:[AwayTeam]],$A18, Table1[[HomeTeam]:[HomeTeam]], V$1, Table1[[ActualResult]:[ActualResult]], "SO") + SUMIFS(Table1[[AwayWon]:[AwayWon]], Table1[[GameIsOver]:[GameIsOver]],1,Table1[[HomeTeam]:[HomeTeam]],$A18, Table1[[AwayTeam]:[AwayTeam]], V$1, Table1[[ActualResult]:[ActualResult]], "SO"),0))</f>
        <v>0-0-0</v>
      </c>
      <c r="W18" s="43" t="str">
        <f>_xlfn.CONCAT(TEXT(SUMIFS(Table1[[AwayWon]:[AwayWon]], Table1[[GameIsOver]:[GameIsOver]],1,Table1[[AwayTeam]:[AwayTeam]],$A18, Table1[[HomeTeam]:[HomeTeam]], W$1) + SUMIFS(Table1[[HomeWon]:[HomeWon]], Table1[[GameIsOver]:[GameIsOver]],1,Table1[[HomeTeam]:[HomeTeam]],$A18, Table1[[AwayTeam]:[AwayTeam]], W$1),0), "-", TEXT(SUMIFS(Table1[[HomeWon]:[HomeWon]], Table1[[GameIsOver]:[GameIsOver]],1,Table1[[AwayTeam]:[AwayTeam]],$A18, Table1[[HomeTeam]:[HomeTeam]], W$1, Table1[[ActualResult]:[ActualResult]], "REG") + SUMIFS(Table1[[AwayWon]:[AwayWon]], Table1[[GameIsOver]:[GameIsOver]],1,Table1[[HomeTeam]:[HomeTeam]],$A18, Table1[[AwayTeam]:[AwayTeam]], W$1, Table1[[ActualResult]:[ActualResult]], "REG"),0), "-", TEXT(SUMIFS(Table1[[HomeWon]:[HomeWon]], Table1[[GameIsOver]:[GameIsOver]],1,Table1[[AwayTeam]:[AwayTeam]],$A18, Table1[[HomeTeam]:[HomeTeam]], W$1, Table1[[ActualResult]:[ActualResult]], "OT") + SUMIFS(Table1[[AwayWon]:[AwayWon]], Table1[[GameIsOver]:[GameIsOver]],1,Table1[[HomeTeam]:[HomeTeam]],$A18, Table1[[AwayTeam]:[AwayTeam]], W$1, Table1[[ActualResult]:[ActualResult]], "OT") + SUMIFS(Table1[[HomeWon]:[HomeWon]], Table1[[GameIsOver]:[GameIsOver]],1,Table1[[AwayTeam]:[AwayTeam]],$A18, Table1[[HomeTeam]:[HomeTeam]], W$1, Table1[[ActualResult]:[ActualResult]], "SO") + SUMIFS(Table1[[AwayWon]:[AwayWon]], Table1[[GameIsOver]:[GameIsOver]],1,Table1[[HomeTeam]:[HomeTeam]],$A18, Table1[[AwayTeam]:[AwayTeam]], W$1, Table1[[ActualResult]:[ActualResult]], "SO"),0))</f>
        <v>0-0-0</v>
      </c>
      <c r="X18" s="43" t="str">
        <f>_xlfn.CONCAT(TEXT(SUMIFS(Table1[[AwayWon]:[AwayWon]], Table1[[GameIsOver]:[GameIsOver]],1,Table1[[AwayTeam]:[AwayTeam]],$A18, Table1[[HomeTeam]:[HomeTeam]], X$1) + SUMIFS(Table1[[HomeWon]:[HomeWon]], Table1[[GameIsOver]:[GameIsOver]],1,Table1[[HomeTeam]:[HomeTeam]],$A18, Table1[[AwayTeam]:[AwayTeam]], X$1),0), "-", TEXT(SUMIFS(Table1[[HomeWon]:[HomeWon]], Table1[[GameIsOver]:[GameIsOver]],1,Table1[[AwayTeam]:[AwayTeam]],$A18, Table1[[HomeTeam]:[HomeTeam]], X$1, Table1[[ActualResult]:[ActualResult]], "REG") + SUMIFS(Table1[[AwayWon]:[AwayWon]], Table1[[GameIsOver]:[GameIsOver]],1,Table1[[HomeTeam]:[HomeTeam]],$A18, Table1[[AwayTeam]:[AwayTeam]], X$1, Table1[[ActualResult]:[ActualResult]], "REG"),0), "-", TEXT(SUMIFS(Table1[[HomeWon]:[HomeWon]], Table1[[GameIsOver]:[GameIsOver]],1,Table1[[AwayTeam]:[AwayTeam]],$A18, Table1[[HomeTeam]:[HomeTeam]], X$1, Table1[[ActualResult]:[ActualResult]], "OT") + SUMIFS(Table1[[AwayWon]:[AwayWon]], Table1[[GameIsOver]:[GameIsOver]],1,Table1[[HomeTeam]:[HomeTeam]],$A18, Table1[[AwayTeam]:[AwayTeam]], X$1, Table1[[ActualResult]:[ActualResult]], "OT") + SUMIFS(Table1[[HomeWon]:[HomeWon]], Table1[[GameIsOver]:[GameIsOver]],1,Table1[[AwayTeam]:[AwayTeam]],$A18, Table1[[HomeTeam]:[HomeTeam]], X$1, Table1[[ActualResult]:[ActualResult]], "SO") + SUMIFS(Table1[[AwayWon]:[AwayWon]], Table1[[GameIsOver]:[GameIsOver]],1,Table1[[HomeTeam]:[HomeTeam]],$A18, Table1[[AwayTeam]:[AwayTeam]], X$1, Table1[[ActualResult]:[ActualResult]], "SO"),0))</f>
        <v>0-0-0</v>
      </c>
      <c r="Y18" s="45" t="str">
        <f>_xlfn.CONCAT(TEXT(SUMIFS(Table1[[AwayWon]:[AwayWon]], Table1[[GameIsOver]:[GameIsOver]],1,Table1[[AwayTeam]:[AwayTeam]],$A18, Table1[[HomeTeam]:[HomeTeam]], Y$1) + SUMIFS(Table1[[HomeWon]:[HomeWon]], Table1[[GameIsOver]:[GameIsOver]],1,Table1[[HomeTeam]:[HomeTeam]],$A18, Table1[[AwayTeam]:[AwayTeam]], Y$1),0), "-", TEXT(SUMIFS(Table1[[HomeWon]:[HomeWon]], Table1[[GameIsOver]:[GameIsOver]],1,Table1[[AwayTeam]:[AwayTeam]],$A18, Table1[[HomeTeam]:[HomeTeam]], Y$1, Table1[[ActualResult]:[ActualResult]], "REG") + SUMIFS(Table1[[AwayWon]:[AwayWon]], Table1[[GameIsOver]:[GameIsOver]],1,Table1[[HomeTeam]:[HomeTeam]],$A18, Table1[[AwayTeam]:[AwayTeam]], Y$1, Table1[[ActualResult]:[ActualResult]], "REG"),0), "-", TEXT(SUMIFS(Table1[[HomeWon]:[HomeWon]], Table1[[GameIsOver]:[GameIsOver]],1,Table1[[AwayTeam]:[AwayTeam]],$A18, Table1[[HomeTeam]:[HomeTeam]], Y$1, Table1[[ActualResult]:[ActualResult]], "OT") + SUMIFS(Table1[[AwayWon]:[AwayWon]], Table1[[GameIsOver]:[GameIsOver]],1,Table1[[HomeTeam]:[HomeTeam]],$A18, Table1[[AwayTeam]:[AwayTeam]], Y$1, Table1[[ActualResult]:[ActualResult]], "OT") + SUMIFS(Table1[[HomeWon]:[HomeWon]], Table1[[GameIsOver]:[GameIsOver]],1,Table1[[AwayTeam]:[AwayTeam]],$A18, Table1[[HomeTeam]:[HomeTeam]], Y$1, Table1[[ActualResult]:[ActualResult]], "SO") + SUMIFS(Table1[[AwayWon]:[AwayWon]], Table1[[GameIsOver]:[GameIsOver]],1,Table1[[HomeTeam]:[HomeTeam]],$A18, Table1[[AwayTeam]:[AwayTeam]], Y$1, Table1[[ActualResult]:[ActualResult]], "SO"),0))</f>
        <v>1-0-0</v>
      </c>
      <c r="Z18" s="43" t="str">
        <f>_xlfn.CONCAT(TEXT(SUMIFS(Table1[[AwayWon]:[AwayWon]], Table1[[GameIsOver]:[GameIsOver]],1,Table1[[AwayTeam]:[AwayTeam]],$A18, Table1[[HomeTeam]:[HomeTeam]], Z$1) + SUMIFS(Table1[[HomeWon]:[HomeWon]], Table1[[GameIsOver]:[GameIsOver]],1,Table1[[HomeTeam]:[HomeTeam]],$A18, Table1[[AwayTeam]:[AwayTeam]], Z$1),0), "-", TEXT(SUMIFS(Table1[[HomeWon]:[HomeWon]], Table1[[GameIsOver]:[GameIsOver]],1,Table1[[AwayTeam]:[AwayTeam]],$A18, Table1[[HomeTeam]:[HomeTeam]], Z$1, Table1[[ActualResult]:[ActualResult]], "REG") + SUMIFS(Table1[[AwayWon]:[AwayWon]], Table1[[GameIsOver]:[GameIsOver]],1,Table1[[HomeTeam]:[HomeTeam]],$A18, Table1[[AwayTeam]:[AwayTeam]], Z$1, Table1[[ActualResult]:[ActualResult]], "REG"),0), "-", TEXT(SUMIFS(Table1[[HomeWon]:[HomeWon]], Table1[[GameIsOver]:[GameIsOver]],1,Table1[[AwayTeam]:[AwayTeam]],$A18, Table1[[HomeTeam]:[HomeTeam]], Z$1, Table1[[ActualResult]:[ActualResult]], "OT") + SUMIFS(Table1[[AwayWon]:[AwayWon]], Table1[[GameIsOver]:[GameIsOver]],1,Table1[[HomeTeam]:[HomeTeam]],$A18, Table1[[AwayTeam]:[AwayTeam]], Z$1, Table1[[ActualResult]:[ActualResult]], "OT") + SUMIFS(Table1[[HomeWon]:[HomeWon]], Table1[[GameIsOver]:[GameIsOver]],1,Table1[[AwayTeam]:[AwayTeam]],$A18, Table1[[HomeTeam]:[HomeTeam]], Z$1, Table1[[ActualResult]:[ActualResult]], "SO") + SUMIFS(Table1[[AwayWon]:[AwayWon]], Table1[[GameIsOver]:[GameIsOver]],1,Table1[[HomeTeam]:[HomeTeam]],$A18, Table1[[AwayTeam]:[AwayTeam]], Z$1, Table1[[ActualResult]:[ActualResult]], "SO"),0))</f>
        <v>0-0-0</v>
      </c>
      <c r="AA18" s="43" t="str">
        <f>_xlfn.CONCAT(TEXT(SUMIFS(Table1[[AwayWon]:[AwayWon]], Table1[[GameIsOver]:[GameIsOver]],1,Table1[[AwayTeam]:[AwayTeam]],$A18, Table1[[HomeTeam]:[HomeTeam]], AA$1) + SUMIFS(Table1[[HomeWon]:[HomeWon]], Table1[[GameIsOver]:[GameIsOver]],1,Table1[[HomeTeam]:[HomeTeam]],$A18, Table1[[AwayTeam]:[AwayTeam]], AA$1),0), "-", TEXT(SUMIFS(Table1[[HomeWon]:[HomeWon]], Table1[[GameIsOver]:[GameIsOver]],1,Table1[[AwayTeam]:[AwayTeam]],$A18, Table1[[HomeTeam]:[HomeTeam]], AA$1, Table1[[ActualResult]:[ActualResult]], "REG") + SUMIFS(Table1[[AwayWon]:[AwayWon]], Table1[[GameIsOver]:[GameIsOver]],1,Table1[[HomeTeam]:[HomeTeam]],$A18, Table1[[AwayTeam]:[AwayTeam]], AA$1, Table1[[ActualResult]:[ActualResult]], "REG"),0), "-", TEXT(SUMIFS(Table1[[HomeWon]:[HomeWon]], Table1[[GameIsOver]:[GameIsOver]],1,Table1[[AwayTeam]:[AwayTeam]],$A18, Table1[[HomeTeam]:[HomeTeam]], AA$1, Table1[[ActualResult]:[ActualResult]], "OT") + SUMIFS(Table1[[AwayWon]:[AwayWon]], Table1[[GameIsOver]:[GameIsOver]],1,Table1[[HomeTeam]:[HomeTeam]],$A18, Table1[[AwayTeam]:[AwayTeam]], AA$1, Table1[[ActualResult]:[ActualResult]], "OT") + SUMIFS(Table1[[HomeWon]:[HomeWon]], Table1[[GameIsOver]:[GameIsOver]],1,Table1[[AwayTeam]:[AwayTeam]],$A18, Table1[[HomeTeam]:[HomeTeam]], AA$1, Table1[[ActualResult]:[ActualResult]], "SO") + SUMIFS(Table1[[AwayWon]:[AwayWon]], Table1[[GameIsOver]:[GameIsOver]],1,Table1[[HomeTeam]:[HomeTeam]],$A18, Table1[[AwayTeam]:[AwayTeam]], AA$1, Table1[[ActualResult]:[ActualResult]], "SO"),0))</f>
        <v>0-0-0</v>
      </c>
      <c r="AB18" s="43" t="str">
        <f>_xlfn.CONCAT(TEXT(SUMIFS(Table1[[AwayWon]:[AwayWon]], Table1[[GameIsOver]:[GameIsOver]],1,Table1[[AwayTeam]:[AwayTeam]],$A18, Table1[[HomeTeam]:[HomeTeam]], AB$1) + SUMIFS(Table1[[HomeWon]:[HomeWon]], Table1[[GameIsOver]:[GameIsOver]],1,Table1[[HomeTeam]:[HomeTeam]],$A18, Table1[[AwayTeam]:[AwayTeam]], AB$1),0), "-", TEXT(SUMIFS(Table1[[HomeWon]:[HomeWon]], Table1[[GameIsOver]:[GameIsOver]],1,Table1[[AwayTeam]:[AwayTeam]],$A18, Table1[[HomeTeam]:[HomeTeam]], AB$1, Table1[[ActualResult]:[ActualResult]], "REG") + SUMIFS(Table1[[AwayWon]:[AwayWon]], Table1[[GameIsOver]:[GameIsOver]],1,Table1[[HomeTeam]:[HomeTeam]],$A18, Table1[[AwayTeam]:[AwayTeam]], AB$1, Table1[[ActualResult]:[ActualResult]], "REG"),0), "-", TEXT(SUMIFS(Table1[[HomeWon]:[HomeWon]], Table1[[GameIsOver]:[GameIsOver]],1,Table1[[AwayTeam]:[AwayTeam]],$A18, Table1[[HomeTeam]:[HomeTeam]], AB$1, Table1[[ActualResult]:[ActualResult]], "OT") + SUMIFS(Table1[[AwayWon]:[AwayWon]], Table1[[GameIsOver]:[GameIsOver]],1,Table1[[HomeTeam]:[HomeTeam]],$A18, Table1[[AwayTeam]:[AwayTeam]], AB$1, Table1[[ActualResult]:[ActualResult]], "OT") + SUMIFS(Table1[[HomeWon]:[HomeWon]], Table1[[GameIsOver]:[GameIsOver]],1,Table1[[AwayTeam]:[AwayTeam]],$A18, Table1[[HomeTeam]:[HomeTeam]], AB$1, Table1[[ActualResult]:[ActualResult]], "SO") + SUMIFS(Table1[[AwayWon]:[AwayWon]], Table1[[GameIsOver]:[GameIsOver]],1,Table1[[HomeTeam]:[HomeTeam]],$A18, Table1[[AwayTeam]:[AwayTeam]], AB$1, Table1[[ActualResult]:[ActualResult]], "SO"),0))</f>
        <v>0-0-0</v>
      </c>
      <c r="AC18" s="43" t="str">
        <f>_xlfn.CONCAT(TEXT(SUMIFS(Table1[[AwayWon]:[AwayWon]], Table1[[GameIsOver]:[GameIsOver]],1,Table1[[AwayTeam]:[AwayTeam]],$A18, Table1[[HomeTeam]:[HomeTeam]], AC$1) + SUMIFS(Table1[[HomeWon]:[HomeWon]], Table1[[GameIsOver]:[GameIsOver]],1,Table1[[HomeTeam]:[HomeTeam]],$A18, Table1[[AwayTeam]:[AwayTeam]], AC$1),0), "-", TEXT(SUMIFS(Table1[[HomeWon]:[HomeWon]], Table1[[GameIsOver]:[GameIsOver]],1,Table1[[AwayTeam]:[AwayTeam]],$A18, Table1[[HomeTeam]:[HomeTeam]], AC$1, Table1[[ActualResult]:[ActualResult]], "REG") + SUMIFS(Table1[[AwayWon]:[AwayWon]], Table1[[GameIsOver]:[GameIsOver]],1,Table1[[HomeTeam]:[HomeTeam]],$A18, Table1[[AwayTeam]:[AwayTeam]], AC$1, Table1[[ActualResult]:[ActualResult]], "REG"),0), "-", TEXT(SUMIFS(Table1[[HomeWon]:[HomeWon]], Table1[[GameIsOver]:[GameIsOver]],1,Table1[[AwayTeam]:[AwayTeam]],$A18, Table1[[HomeTeam]:[HomeTeam]], AC$1, Table1[[ActualResult]:[ActualResult]], "OT") + SUMIFS(Table1[[AwayWon]:[AwayWon]], Table1[[GameIsOver]:[GameIsOver]],1,Table1[[HomeTeam]:[HomeTeam]],$A18, Table1[[AwayTeam]:[AwayTeam]], AC$1, Table1[[ActualResult]:[ActualResult]], "OT") + SUMIFS(Table1[[HomeWon]:[HomeWon]], Table1[[GameIsOver]:[GameIsOver]],1,Table1[[AwayTeam]:[AwayTeam]],$A18, Table1[[HomeTeam]:[HomeTeam]], AC$1, Table1[[ActualResult]:[ActualResult]], "SO") + SUMIFS(Table1[[AwayWon]:[AwayWon]], Table1[[GameIsOver]:[GameIsOver]],1,Table1[[HomeTeam]:[HomeTeam]],$A18, Table1[[AwayTeam]:[AwayTeam]], AC$1, Table1[[ActualResult]:[ActualResult]], "SO"),0))</f>
        <v>0-1-0</v>
      </c>
      <c r="AD18" s="43" t="str">
        <f>_xlfn.CONCAT(TEXT(SUMIFS(Table1[[AwayWon]:[AwayWon]], Table1[[GameIsOver]:[GameIsOver]],1,Table1[[AwayTeam]:[AwayTeam]],$A18, Table1[[HomeTeam]:[HomeTeam]], AD$1) + SUMIFS(Table1[[HomeWon]:[HomeWon]], Table1[[GameIsOver]:[GameIsOver]],1,Table1[[HomeTeam]:[HomeTeam]],$A18, Table1[[AwayTeam]:[AwayTeam]], AD$1),0), "-", TEXT(SUMIFS(Table1[[HomeWon]:[HomeWon]], Table1[[GameIsOver]:[GameIsOver]],1,Table1[[AwayTeam]:[AwayTeam]],$A18, Table1[[HomeTeam]:[HomeTeam]], AD$1, Table1[[ActualResult]:[ActualResult]], "REG") + SUMIFS(Table1[[AwayWon]:[AwayWon]], Table1[[GameIsOver]:[GameIsOver]],1,Table1[[HomeTeam]:[HomeTeam]],$A18, Table1[[AwayTeam]:[AwayTeam]], AD$1, Table1[[ActualResult]:[ActualResult]], "REG"),0), "-", TEXT(SUMIFS(Table1[[HomeWon]:[HomeWon]], Table1[[GameIsOver]:[GameIsOver]],1,Table1[[AwayTeam]:[AwayTeam]],$A18, Table1[[HomeTeam]:[HomeTeam]], AD$1, Table1[[ActualResult]:[ActualResult]], "OT") + SUMIFS(Table1[[AwayWon]:[AwayWon]], Table1[[GameIsOver]:[GameIsOver]],1,Table1[[HomeTeam]:[HomeTeam]],$A18, Table1[[AwayTeam]:[AwayTeam]], AD$1, Table1[[ActualResult]:[ActualResult]], "OT") + SUMIFS(Table1[[HomeWon]:[HomeWon]], Table1[[GameIsOver]:[GameIsOver]],1,Table1[[AwayTeam]:[AwayTeam]],$A18, Table1[[HomeTeam]:[HomeTeam]], AD$1, Table1[[ActualResult]:[ActualResult]], "SO") + SUMIFS(Table1[[AwayWon]:[AwayWon]], Table1[[GameIsOver]:[GameIsOver]],1,Table1[[HomeTeam]:[HomeTeam]],$A18, Table1[[AwayTeam]:[AwayTeam]], AD$1, Table1[[ActualResult]:[ActualResult]], "SO"),0))</f>
        <v>0-0-0</v>
      </c>
      <c r="AE18" s="43" t="str">
        <f>_xlfn.CONCAT(TEXT(SUMIFS(Table1[[AwayWon]:[AwayWon]], Table1[[GameIsOver]:[GameIsOver]],1,Table1[[AwayTeam]:[AwayTeam]],$A18, Table1[[HomeTeam]:[HomeTeam]], AE$1) + SUMIFS(Table1[[HomeWon]:[HomeWon]], Table1[[GameIsOver]:[GameIsOver]],1,Table1[[HomeTeam]:[HomeTeam]],$A18, Table1[[AwayTeam]:[AwayTeam]], AE$1),0), "-", TEXT(SUMIFS(Table1[[HomeWon]:[HomeWon]], Table1[[GameIsOver]:[GameIsOver]],1,Table1[[AwayTeam]:[AwayTeam]],$A18, Table1[[HomeTeam]:[HomeTeam]], AE$1, Table1[[ActualResult]:[ActualResult]], "REG") + SUMIFS(Table1[[AwayWon]:[AwayWon]], Table1[[GameIsOver]:[GameIsOver]],1,Table1[[HomeTeam]:[HomeTeam]],$A18, Table1[[AwayTeam]:[AwayTeam]], AE$1, Table1[[ActualResult]:[ActualResult]], "REG"),0), "-", TEXT(SUMIFS(Table1[[HomeWon]:[HomeWon]], Table1[[GameIsOver]:[GameIsOver]],1,Table1[[AwayTeam]:[AwayTeam]],$A18, Table1[[HomeTeam]:[HomeTeam]], AE$1, Table1[[ActualResult]:[ActualResult]], "OT") + SUMIFS(Table1[[AwayWon]:[AwayWon]], Table1[[GameIsOver]:[GameIsOver]],1,Table1[[HomeTeam]:[HomeTeam]],$A18, Table1[[AwayTeam]:[AwayTeam]], AE$1, Table1[[ActualResult]:[ActualResult]], "OT") + SUMIFS(Table1[[HomeWon]:[HomeWon]], Table1[[GameIsOver]:[GameIsOver]],1,Table1[[AwayTeam]:[AwayTeam]],$A18, Table1[[HomeTeam]:[HomeTeam]], AE$1, Table1[[ActualResult]:[ActualResult]], "SO") + SUMIFS(Table1[[AwayWon]:[AwayWon]], Table1[[GameIsOver]:[GameIsOver]],1,Table1[[HomeTeam]:[HomeTeam]],$A18, Table1[[AwayTeam]:[AwayTeam]], AE$1, Table1[[ActualResult]:[ActualResult]], "SO"),0))</f>
        <v>0-0-0</v>
      </c>
      <c r="AF18" s="43" t="str">
        <f>_xlfn.CONCAT(TEXT(SUMIFS(Table1[[AwayWon]:[AwayWon]], Table1[[GameIsOver]:[GameIsOver]],1,Table1[[AwayTeam]:[AwayTeam]],$A18, Table1[[HomeTeam]:[HomeTeam]], AF$1) + SUMIFS(Table1[[HomeWon]:[HomeWon]], Table1[[GameIsOver]:[GameIsOver]],1,Table1[[HomeTeam]:[HomeTeam]],$A18, Table1[[AwayTeam]:[AwayTeam]], AF$1),0), "-", TEXT(SUMIFS(Table1[[HomeWon]:[HomeWon]], Table1[[GameIsOver]:[GameIsOver]],1,Table1[[AwayTeam]:[AwayTeam]],$A18, Table1[[HomeTeam]:[HomeTeam]], AF$1, Table1[[ActualResult]:[ActualResult]], "REG") + SUMIFS(Table1[[AwayWon]:[AwayWon]], Table1[[GameIsOver]:[GameIsOver]],1,Table1[[HomeTeam]:[HomeTeam]],$A18, Table1[[AwayTeam]:[AwayTeam]], AF$1, Table1[[ActualResult]:[ActualResult]], "REG"),0), "-", TEXT(SUMIFS(Table1[[HomeWon]:[HomeWon]], Table1[[GameIsOver]:[GameIsOver]],1,Table1[[AwayTeam]:[AwayTeam]],$A18, Table1[[HomeTeam]:[HomeTeam]], AF$1, Table1[[ActualResult]:[ActualResult]], "OT") + SUMIFS(Table1[[AwayWon]:[AwayWon]], Table1[[GameIsOver]:[GameIsOver]],1,Table1[[HomeTeam]:[HomeTeam]],$A18, Table1[[AwayTeam]:[AwayTeam]], AF$1, Table1[[ActualResult]:[ActualResult]], "OT") + SUMIFS(Table1[[HomeWon]:[HomeWon]], Table1[[GameIsOver]:[GameIsOver]],1,Table1[[AwayTeam]:[AwayTeam]],$A18, Table1[[HomeTeam]:[HomeTeam]], AF$1, Table1[[ActualResult]:[ActualResult]], "SO") + SUMIFS(Table1[[AwayWon]:[AwayWon]], Table1[[GameIsOver]:[GameIsOver]],1,Table1[[HomeTeam]:[HomeTeam]],$A18, Table1[[AwayTeam]:[AwayTeam]], AF$1, Table1[[ActualResult]:[ActualResult]], "SO"),0))</f>
        <v>0-0-0</v>
      </c>
      <c r="AG18" s="43" t="str">
        <f>_xlfn.CONCAT(TEXT(SUMIFS(Table1[[AwayWon]:[AwayWon]], Table1[[GameIsOver]:[GameIsOver]],1,Table1[[AwayTeam]:[AwayTeam]],$A18, Table1[[HomeTeam]:[HomeTeam]], AG$1) + SUMIFS(Table1[[HomeWon]:[HomeWon]], Table1[[GameIsOver]:[GameIsOver]],1,Table1[[HomeTeam]:[HomeTeam]],$A18, Table1[[AwayTeam]:[AwayTeam]], AG$1),0), "-", TEXT(SUMIFS(Table1[[HomeWon]:[HomeWon]], Table1[[GameIsOver]:[GameIsOver]],1,Table1[[AwayTeam]:[AwayTeam]],$A18, Table1[[HomeTeam]:[HomeTeam]], AG$1, Table1[[ActualResult]:[ActualResult]], "REG") + SUMIFS(Table1[[AwayWon]:[AwayWon]], Table1[[GameIsOver]:[GameIsOver]],1,Table1[[HomeTeam]:[HomeTeam]],$A18, Table1[[AwayTeam]:[AwayTeam]], AG$1, Table1[[ActualResult]:[ActualResult]], "REG"),0), "-", TEXT(SUMIFS(Table1[[HomeWon]:[HomeWon]], Table1[[GameIsOver]:[GameIsOver]],1,Table1[[AwayTeam]:[AwayTeam]],$A18, Table1[[HomeTeam]:[HomeTeam]], AG$1, Table1[[ActualResult]:[ActualResult]], "OT") + SUMIFS(Table1[[AwayWon]:[AwayWon]], Table1[[GameIsOver]:[GameIsOver]],1,Table1[[HomeTeam]:[HomeTeam]],$A18, Table1[[AwayTeam]:[AwayTeam]], AG$1, Table1[[ActualResult]:[ActualResult]], "OT") + SUMIFS(Table1[[HomeWon]:[HomeWon]], Table1[[GameIsOver]:[GameIsOver]],1,Table1[[AwayTeam]:[AwayTeam]],$A18, Table1[[HomeTeam]:[HomeTeam]], AG$1, Table1[[ActualResult]:[ActualResult]], "SO") + SUMIFS(Table1[[AwayWon]:[AwayWon]], Table1[[GameIsOver]:[GameIsOver]],1,Table1[[HomeTeam]:[HomeTeam]],$A18, Table1[[AwayTeam]:[AwayTeam]], AG$1, Table1[[ActualResult]:[ActualResult]], "SO"),0))</f>
        <v>0-0-0</v>
      </c>
    </row>
    <row r="19" spans="1:33" x14ac:dyDescent="0.25">
      <c r="A19" s="17" t="s">
        <v>42</v>
      </c>
      <c r="B19" s="43" t="str">
        <f>_xlfn.CONCAT(TEXT(SUMIFS(Table1[[AwayWon]:[AwayWon]], Table1[[GameIsOver]:[GameIsOver]],1,Table1[[AwayTeam]:[AwayTeam]],$A19, Table1[[HomeTeam]:[HomeTeam]], B$1) + SUMIFS(Table1[[HomeWon]:[HomeWon]], Table1[[GameIsOver]:[GameIsOver]],1,Table1[[HomeTeam]:[HomeTeam]],$A19, Table1[[AwayTeam]:[AwayTeam]], B$1),0), "-", TEXT(SUMIFS(Table1[[HomeWon]:[HomeWon]], Table1[[GameIsOver]:[GameIsOver]],1,Table1[[AwayTeam]:[AwayTeam]],$A19, Table1[[HomeTeam]:[HomeTeam]], B$1, Table1[[ActualResult]:[ActualResult]], "REG") + SUMIFS(Table1[[AwayWon]:[AwayWon]], Table1[[GameIsOver]:[GameIsOver]],1,Table1[[HomeTeam]:[HomeTeam]],$A19, Table1[[AwayTeam]:[AwayTeam]], B$1, Table1[[ActualResult]:[ActualResult]], "REG"),0), "-", TEXT(SUMIFS(Table1[[HomeWon]:[HomeWon]], Table1[[GameIsOver]:[GameIsOver]],1,Table1[[AwayTeam]:[AwayTeam]],$A19, Table1[[HomeTeam]:[HomeTeam]], B$1, Table1[[ActualResult]:[ActualResult]], "OT") + SUMIFS(Table1[[AwayWon]:[AwayWon]], Table1[[GameIsOver]:[GameIsOver]],1,Table1[[HomeTeam]:[HomeTeam]],$A19, Table1[[AwayTeam]:[AwayTeam]], B$1, Table1[[ActualResult]:[ActualResult]], "OT") + SUMIFS(Table1[[HomeWon]:[HomeWon]], Table1[[GameIsOver]:[GameIsOver]],1,Table1[[AwayTeam]:[AwayTeam]],$A19, Table1[[HomeTeam]:[HomeTeam]], B$1, Table1[[ActualResult]:[ActualResult]], "SO") + SUMIFS(Table1[[AwayWon]:[AwayWon]], Table1[[GameIsOver]:[GameIsOver]],1,Table1[[HomeTeam]:[HomeTeam]],$A19, Table1[[AwayTeam]:[AwayTeam]], B$1, Table1[[ActualResult]:[ActualResult]], "SO"),0))</f>
        <v>0-0-0</v>
      </c>
      <c r="C19" s="43" t="str">
        <f>_xlfn.CONCAT(TEXT(SUMIFS(Table1[[AwayWon]:[AwayWon]], Table1[[GameIsOver]:[GameIsOver]],1,Table1[[AwayTeam]:[AwayTeam]],$A19, Table1[[HomeTeam]:[HomeTeam]], C$1) + SUMIFS(Table1[[HomeWon]:[HomeWon]], Table1[[GameIsOver]:[GameIsOver]],1,Table1[[HomeTeam]:[HomeTeam]],$A19, Table1[[AwayTeam]:[AwayTeam]], C$1),0), "-", TEXT(SUMIFS(Table1[[HomeWon]:[HomeWon]], Table1[[GameIsOver]:[GameIsOver]],1,Table1[[AwayTeam]:[AwayTeam]],$A19, Table1[[HomeTeam]:[HomeTeam]], C$1, Table1[[ActualResult]:[ActualResult]], "REG") + SUMIFS(Table1[[AwayWon]:[AwayWon]], Table1[[GameIsOver]:[GameIsOver]],1,Table1[[HomeTeam]:[HomeTeam]],$A19, Table1[[AwayTeam]:[AwayTeam]], C$1, Table1[[ActualResult]:[ActualResult]], "REG"),0), "-", TEXT(SUMIFS(Table1[[HomeWon]:[HomeWon]], Table1[[GameIsOver]:[GameIsOver]],1,Table1[[AwayTeam]:[AwayTeam]],$A19, Table1[[HomeTeam]:[HomeTeam]], C$1, Table1[[ActualResult]:[ActualResult]], "OT") + SUMIFS(Table1[[AwayWon]:[AwayWon]], Table1[[GameIsOver]:[GameIsOver]],1,Table1[[HomeTeam]:[HomeTeam]],$A19, Table1[[AwayTeam]:[AwayTeam]], C$1, Table1[[ActualResult]:[ActualResult]], "OT") + SUMIFS(Table1[[HomeWon]:[HomeWon]], Table1[[GameIsOver]:[GameIsOver]],1,Table1[[AwayTeam]:[AwayTeam]],$A19, Table1[[HomeTeam]:[HomeTeam]], C$1, Table1[[ActualResult]:[ActualResult]], "SO") + SUMIFS(Table1[[AwayWon]:[AwayWon]], Table1[[GameIsOver]:[GameIsOver]],1,Table1[[HomeTeam]:[HomeTeam]],$A19, Table1[[AwayTeam]:[AwayTeam]], C$1, Table1[[ActualResult]:[ActualResult]], "SO"),0))</f>
        <v>0-0-0</v>
      </c>
      <c r="D19" s="43" t="str">
        <f>_xlfn.CONCAT(TEXT(SUMIFS(Table1[[AwayWon]:[AwayWon]], Table1[[GameIsOver]:[GameIsOver]],1,Table1[[AwayTeam]:[AwayTeam]],$A19, Table1[[HomeTeam]:[HomeTeam]], D$1) + SUMIFS(Table1[[HomeWon]:[HomeWon]], Table1[[GameIsOver]:[GameIsOver]],1,Table1[[HomeTeam]:[HomeTeam]],$A19, Table1[[AwayTeam]:[AwayTeam]], D$1),0), "-", TEXT(SUMIFS(Table1[[HomeWon]:[HomeWon]], Table1[[GameIsOver]:[GameIsOver]],1,Table1[[AwayTeam]:[AwayTeam]],$A19, Table1[[HomeTeam]:[HomeTeam]], D$1, Table1[[ActualResult]:[ActualResult]], "REG") + SUMIFS(Table1[[AwayWon]:[AwayWon]], Table1[[GameIsOver]:[GameIsOver]],1,Table1[[HomeTeam]:[HomeTeam]],$A19, Table1[[AwayTeam]:[AwayTeam]], D$1, Table1[[ActualResult]:[ActualResult]], "REG"),0), "-", TEXT(SUMIFS(Table1[[HomeWon]:[HomeWon]], Table1[[GameIsOver]:[GameIsOver]],1,Table1[[AwayTeam]:[AwayTeam]],$A19, Table1[[HomeTeam]:[HomeTeam]], D$1, Table1[[ActualResult]:[ActualResult]], "OT") + SUMIFS(Table1[[AwayWon]:[AwayWon]], Table1[[GameIsOver]:[GameIsOver]],1,Table1[[HomeTeam]:[HomeTeam]],$A19, Table1[[AwayTeam]:[AwayTeam]], D$1, Table1[[ActualResult]:[ActualResult]], "OT") + SUMIFS(Table1[[HomeWon]:[HomeWon]], Table1[[GameIsOver]:[GameIsOver]],1,Table1[[AwayTeam]:[AwayTeam]],$A19, Table1[[HomeTeam]:[HomeTeam]], D$1, Table1[[ActualResult]:[ActualResult]], "SO") + SUMIFS(Table1[[AwayWon]:[AwayWon]], Table1[[GameIsOver]:[GameIsOver]],1,Table1[[HomeTeam]:[HomeTeam]],$A19, Table1[[AwayTeam]:[AwayTeam]], D$1, Table1[[ActualResult]:[ActualResult]], "SO"),0))</f>
        <v>0-0-0</v>
      </c>
      <c r="E19" s="43" t="str">
        <f>_xlfn.CONCAT(TEXT(SUMIFS(Table1[[AwayWon]:[AwayWon]], Table1[[GameIsOver]:[GameIsOver]],1,Table1[[AwayTeam]:[AwayTeam]],$A19, Table1[[HomeTeam]:[HomeTeam]], E$1) + SUMIFS(Table1[[HomeWon]:[HomeWon]], Table1[[GameIsOver]:[GameIsOver]],1,Table1[[HomeTeam]:[HomeTeam]],$A19, Table1[[AwayTeam]:[AwayTeam]], E$1),0), "-", TEXT(SUMIFS(Table1[[HomeWon]:[HomeWon]], Table1[[GameIsOver]:[GameIsOver]],1,Table1[[AwayTeam]:[AwayTeam]],$A19, Table1[[HomeTeam]:[HomeTeam]], E$1, Table1[[ActualResult]:[ActualResult]], "REG") + SUMIFS(Table1[[AwayWon]:[AwayWon]], Table1[[GameIsOver]:[GameIsOver]],1,Table1[[HomeTeam]:[HomeTeam]],$A19, Table1[[AwayTeam]:[AwayTeam]], E$1, Table1[[ActualResult]:[ActualResult]], "REG"),0), "-", TEXT(SUMIFS(Table1[[HomeWon]:[HomeWon]], Table1[[GameIsOver]:[GameIsOver]],1,Table1[[AwayTeam]:[AwayTeam]],$A19, Table1[[HomeTeam]:[HomeTeam]], E$1, Table1[[ActualResult]:[ActualResult]], "OT") + SUMIFS(Table1[[AwayWon]:[AwayWon]], Table1[[GameIsOver]:[GameIsOver]],1,Table1[[HomeTeam]:[HomeTeam]],$A19, Table1[[AwayTeam]:[AwayTeam]], E$1, Table1[[ActualResult]:[ActualResult]], "OT") + SUMIFS(Table1[[HomeWon]:[HomeWon]], Table1[[GameIsOver]:[GameIsOver]],1,Table1[[AwayTeam]:[AwayTeam]],$A19, Table1[[HomeTeam]:[HomeTeam]], E$1, Table1[[ActualResult]:[ActualResult]], "SO") + SUMIFS(Table1[[AwayWon]:[AwayWon]], Table1[[GameIsOver]:[GameIsOver]],1,Table1[[HomeTeam]:[HomeTeam]],$A19, Table1[[AwayTeam]:[AwayTeam]], E$1, Table1[[ActualResult]:[ActualResult]], "SO"),0))</f>
        <v>0-0-0</v>
      </c>
      <c r="F19" s="43" t="str">
        <f>_xlfn.CONCAT(TEXT(SUMIFS(Table1[[AwayWon]:[AwayWon]], Table1[[GameIsOver]:[GameIsOver]],1,Table1[[AwayTeam]:[AwayTeam]],$A19, Table1[[HomeTeam]:[HomeTeam]], F$1) + SUMIFS(Table1[[HomeWon]:[HomeWon]], Table1[[GameIsOver]:[GameIsOver]],1,Table1[[HomeTeam]:[HomeTeam]],$A19, Table1[[AwayTeam]:[AwayTeam]], F$1),0), "-", TEXT(SUMIFS(Table1[[HomeWon]:[HomeWon]], Table1[[GameIsOver]:[GameIsOver]],1,Table1[[AwayTeam]:[AwayTeam]],$A19, Table1[[HomeTeam]:[HomeTeam]], F$1, Table1[[ActualResult]:[ActualResult]], "REG") + SUMIFS(Table1[[AwayWon]:[AwayWon]], Table1[[GameIsOver]:[GameIsOver]],1,Table1[[HomeTeam]:[HomeTeam]],$A19, Table1[[AwayTeam]:[AwayTeam]], F$1, Table1[[ActualResult]:[ActualResult]], "REG"),0), "-", TEXT(SUMIFS(Table1[[HomeWon]:[HomeWon]], Table1[[GameIsOver]:[GameIsOver]],1,Table1[[AwayTeam]:[AwayTeam]],$A19, Table1[[HomeTeam]:[HomeTeam]], F$1, Table1[[ActualResult]:[ActualResult]], "OT") + SUMIFS(Table1[[AwayWon]:[AwayWon]], Table1[[GameIsOver]:[GameIsOver]],1,Table1[[HomeTeam]:[HomeTeam]],$A19, Table1[[AwayTeam]:[AwayTeam]], F$1, Table1[[ActualResult]:[ActualResult]], "OT") + SUMIFS(Table1[[HomeWon]:[HomeWon]], Table1[[GameIsOver]:[GameIsOver]],1,Table1[[AwayTeam]:[AwayTeam]],$A19, Table1[[HomeTeam]:[HomeTeam]], F$1, Table1[[ActualResult]:[ActualResult]], "SO") + SUMIFS(Table1[[AwayWon]:[AwayWon]], Table1[[GameIsOver]:[GameIsOver]],1,Table1[[HomeTeam]:[HomeTeam]],$A19, Table1[[AwayTeam]:[AwayTeam]], F$1, Table1[[ActualResult]:[ActualResult]], "SO"),0))</f>
        <v>0-0-0</v>
      </c>
      <c r="G19" s="43" t="str">
        <f>_xlfn.CONCAT(TEXT(SUMIFS(Table1[[AwayWon]:[AwayWon]], Table1[[GameIsOver]:[GameIsOver]],1,Table1[[AwayTeam]:[AwayTeam]],$A19, Table1[[HomeTeam]:[HomeTeam]], G$1) + SUMIFS(Table1[[HomeWon]:[HomeWon]], Table1[[GameIsOver]:[GameIsOver]],1,Table1[[HomeTeam]:[HomeTeam]],$A19, Table1[[AwayTeam]:[AwayTeam]], G$1),0), "-", TEXT(SUMIFS(Table1[[HomeWon]:[HomeWon]], Table1[[GameIsOver]:[GameIsOver]],1,Table1[[AwayTeam]:[AwayTeam]],$A19, Table1[[HomeTeam]:[HomeTeam]], G$1, Table1[[ActualResult]:[ActualResult]], "REG") + SUMIFS(Table1[[AwayWon]:[AwayWon]], Table1[[GameIsOver]:[GameIsOver]],1,Table1[[HomeTeam]:[HomeTeam]],$A19, Table1[[AwayTeam]:[AwayTeam]], G$1, Table1[[ActualResult]:[ActualResult]], "REG"),0), "-", TEXT(SUMIFS(Table1[[HomeWon]:[HomeWon]], Table1[[GameIsOver]:[GameIsOver]],1,Table1[[AwayTeam]:[AwayTeam]],$A19, Table1[[HomeTeam]:[HomeTeam]], G$1, Table1[[ActualResult]:[ActualResult]], "OT") + SUMIFS(Table1[[AwayWon]:[AwayWon]], Table1[[GameIsOver]:[GameIsOver]],1,Table1[[HomeTeam]:[HomeTeam]],$A19, Table1[[AwayTeam]:[AwayTeam]], G$1, Table1[[ActualResult]:[ActualResult]], "OT") + SUMIFS(Table1[[HomeWon]:[HomeWon]], Table1[[GameIsOver]:[GameIsOver]],1,Table1[[AwayTeam]:[AwayTeam]],$A19, Table1[[HomeTeam]:[HomeTeam]], G$1, Table1[[ActualResult]:[ActualResult]], "SO") + SUMIFS(Table1[[AwayWon]:[AwayWon]], Table1[[GameIsOver]:[GameIsOver]],1,Table1[[HomeTeam]:[HomeTeam]],$A19, Table1[[AwayTeam]:[AwayTeam]], G$1, Table1[[ActualResult]:[ActualResult]], "SO"),0))</f>
        <v>0-0-0</v>
      </c>
      <c r="H19" s="43" t="str">
        <f>_xlfn.CONCAT(TEXT(SUMIFS(Table1[[AwayWon]:[AwayWon]], Table1[[GameIsOver]:[GameIsOver]],1,Table1[[AwayTeam]:[AwayTeam]],$A19, Table1[[HomeTeam]:[HomeTeam]], H$1) + SUMIFS(Table1[[HomeWon]:[HomeWon]], Table1[[GameIsOver]:[GameIsOver]],1,Table1[[HomeTeam]:[HomeTeam]],$A19, Table1[[AwayTeam]:[AwayTeam]], H$1),0), "-", TEXT(SUMIFS(Table1[[HomeWon]:[HomeWon]], Table1[[GameIsOver]:[GameIsOver]],1,Table1[[AwayTeam]:[AwayTeam]],$A19, Table1[[HomeTeam]:[HomeTeam]], H$1, Table1[[ActualResult]:[ActualResult]], "REG") + SUMIFS(Table1[[AwayWon]:[AwayWon]], Table1[[GameIsOver]:[GameIsOver]],1,Table1[[HomeTeam]:[HomeTeam]],$A19, Table1[[AwayTeam]:[AwayTeam]], H$1, Table1[[ActualResult]:[ActualResult]], "REG"),0), "-", TEXT(SUMIFS(Table1[[HomeWon]:[HomeWon]], Table1[[GameIsOver]:[GameIsOver]],1,Table1[[AwayTeam]:[AwayTeam]],$A19, Table1[[HomeTeam]:[HomeTeam]], H$1, Table1[[ActualResult]:[ActualResult]], "OT") + SUMIFS(Table1[[AwayWon]:[AwayWon]], Table1[[GameIsOver]:[GameIsOver]],1,Table1[[HomeTeam]:[HomeTeam]],$A19, Table1[[AwayTeam]:[AwayTeam]], H$1, Table1[[ActualResult]:[ActualResult]], "OT") + SUMIFS(Table1[[HomeWon]:[HomeWon]], Table1[[GameIsOver]:[GameIsOver]],1,Table1[[AwayTeam]:[AwayTeam]],$A19, Table1[[HomeTeam]:[HomeTeam]], H$1, Table1[[ActualResult]:[ActualResult]], "SO") + SUMIFS(Table1[[AwayWon]:[AwayWon]], Table1[[GameIsOver]:[GameIsOver]],1,Table1[[HomeTeam]:[HomeTeam]],$A19, Table1[[AwayTeam]:[AwayTeam]], H$1, Table1[[ActualResult]:[ActualResult]], "SO"),0))</f>
        <v>0-0-0</v>
      </c>
      <c r="I19" s="45" t="str">
        <f>_xlfn.CONCAT(TEXT(SUMIFS(Table1[[AwayWon]:[AwayWon]], Table1[[GameIsOver]:[GameIsOver]],1,Table1[[AwayTeam]:[AwayTeam]],$A19, Table1[[HomeTeam]:[HomeTeam]], I$1) + SUMIFS(Table1[[HomeWon]:[HomeWon]], Table1[[GameIsOver]:[GameIsOver]],1,Table1[[HomeTeam]:[HomeTeam]],$A19, Table1[[AwayTeam]:[AwayTeam]], I$1),0), "-", TEXT(SUMIFS(Table1[[HomeWon]:[HomeWon]], Table1[[GameIsOver]:[GameIsOver]],1,Table1[[AwayTeam]:[AwayTeam]],$A19, Table1[[HomeTeam]:[HomeTeam]], I$1, Table1[[ActualResult]:[ActualResult]], "REG") + SUMIFS(Table1[[AwayWon]:[AwayWon]], Table1[[GameIsOver]:[GameIsOver]],1,Table1[[HomeTeam]:[HomeTeam]],$A19, Table1[[AwayTeam]:[AwayTeam]], I$1, Table1[[ActualResult]:[ActualResult]], "REG"),0), "-", TEXT(SUMIFS(Table1[[HomeWon]:[HomeWon]], Table1[[GameIsOver]:[GameIsOver]],1,Table1[[AwayTeam]:[AwayTeam]],$A19, Table1[[HomeTeam]:[HomeTeam]], I$1, Table1[[ActualResult]:[ActualResult]], "OT") + SUMIFS(Table1[[AwayWon]:[AwayWon]], Table1[[GameIsOver]:[GameIsOver]],1,Table1[[HomeTeam]:[HomeTeam]],$A19, Table1[[AwayTeam]:[AwayTeam]], I$1, Table1[[ActualResult]:[ActualResult]], "OT") + SUMIFS(Table1[[HomeWon]:[HomeWon]], Table1[[GameIsOver]:[GameIsOver]],1,Table1[[AwayTeam]:[AwayTeam]],$A19, Table1[[HomeTeam]:[HomeTeam]], I$1, Table1[[ActualResult]:[ActualResult]], "SO") + SUMIFS(Table1[[AwayWon]:[AwayWon]], Table1[[GameIsOver]:[GameIsOver]],1,Table1[[HomeTeam]:[HomeTeam]],$A19, Table1[[AwayTeam]:[AwayTeam]], I$1, Table1[[ActualResult]:[ActualResult]], "SO"),0))</f>
        <v>0-0-0</v>
      </c>
      <c r="J19" s="43" t="str">
        <f>_xlfn.CONCAT(TEXT(SUMIFS(Table1[[AwayWon]:[AwayWon]], Table1[[GameIsOver]:[GameIsOver]],1,Table1[[AwayTeam]:[AwayTeam]],$A19, Table1[[HomeTeam]:[HomeTeam]], J$1) + SUMIFS(Table1[[HomeWon]:[HomeWon]], Table1[[GameIsOver]:[GameIsOver]],1,Table1[[HomeTeam]:[HomeTeam]],$A19, Table1[[AwayTeam]:[AwayTeam]], J$1),0), "-", TEXT(SUMIFS(Table1[[HomeWon]:[HomeWon]], Table1[[GameIsOver]:[GameIsOver]],1,Table1[[AwayTeam]:[AwayTeam]],$A19, Table1[[HomeTeam]:[HomeTeam]], J$1, Table1[[ActualResult]:[ActualResult]], "REG") + SUMIFS(Table1[[AwayWon]:[AwayWon]], Table1[[GameIsOver]:[GameIsOver]],1,Table1[[HomeTeam]:[HomeTeam]],$A19, Table1[[AwayTeam]:[AwayTeam]], J$1, Table1[[ActualResult]:[ActualResult]], "REG"),0), "-", TEXT(SUMIFS(Table1[[HomeWon]:[HomeWon]], Table1[[GameIsOver]:[GameIsOver]],1,Table1[[AwayTeam]:[AwayTeam]],$A19, Table1[[HomeTeam]:[HomeTeam]], J$1, Table1[[ActualResult]:[ActualResult]], "OT") + SUMIFS(Table1[[AwayWon]:[AwayWon]], Table1[[GameIsOver]:[GameIsOver]],1,Table1[[HomeTeam]:[HomeTeam]],$A19, Table1[[AwayTeam]:[AwayTeam]], J$1, Table1[[ActualResult]:[ActualResult]], "OT") + SUMIFS(Table1[[HomeWon]:[HomeWon]], Table1[[GameIsOver]:[GameIsOver]],1,Table1[[AwayTeam]:[AwayTeam]],$A19, Table1[[HomeTeam]:[HomeTeam]], J$1, Table1[[ActualResult]:[ActualResult]], "SO") + SUMIFS(Table1[[AwayWon]:[AwayWon]], Table1[[GameIsOver]:[GameIsOver]],1,Table1[[HomeTeam]:[HomeTeam]],$A19, Table1[[AwayTeam]:[AwayTeam]], J$1, Table1[[ActualResult]:[ActualResult]], "SO"),0))</f>
        <v>0-0-0</v>
      </c>
      <c r="K19" s="43" t="str">
        <f>_xlfn.CONCAT(TEXT(SUMIFS(Table1[[AwayWon]:[AwayWon]], Table1[[GameIsOver]:[GameIsOver]],1,Table1[[AwayTeam]:[AwayTeam]],$A19, Table1[[HomeTeam]:[HomeTeam]], K$1) + SUMIFS(Table1[[HomeWon]:[HomeWon]], Table1[[GameIsOver]:[GameIsOver]],1,Table1[[HomeTeam]:[HomeTeam]],$A19, Table1[[AwayTeam]:[AwayTeam]], K$1),0), "-", TEXT(SUMIFS(Table1[[HomeWon]:[HomeWon]], Table1[[GameIsOver]:[GameIsOver]],1,Table1[[AwayTeam]:[AwayTeam]],$A19, Table1[[HomeTeam]:[HomeTeam]], K$1, Table1[[ActualResult]:[ActualResult]], "REG") + SUMIFS(Table1[[AwayWon]:[AwayWon]], Table1[[GameIsOver]:[GameIsOver]],1,Table1[[HomeTeam]:[HomeTeam]],$A19, Table1[[AwayTeam]:[AwayTeam]], K$1, Table1[[ActualResult]:[ActualResult]], "REG"),0), "-", TEXT(SUMIFS(Table1[[HomeWon]:[HomeWon]], Table1[[GameIsOver]:[GameIsOver]],1,Table1[[AwayTeam]:[AwayTeam]],$A19, Table1[[HomeTeam]:[HomeTeam]], K$1, Table1[[ActualResult]:[ActualResult]], "OT") + SUMIFS(Table1[[AwayWon]:[AwayWon]], Table1[[GameIsOver]:[GameIsOver]],1,Table1[[HomeTeam]:[HomeTeam]],$A19, Table1[[AwayTeam]:[AwayTeam]], K$1, Table1[[ActualResult]:[ActualResult]], "OT") + SUMIFS(Table1[[HomeWon]:[HomeWon]], Table1[[GameIsOver]:[GameIsOver]],1,Table1[[AwayTeam]:[AwayTeam]],$A19, Table1[[HomeTeam]:[HomeTeam]], K$1, Table1[[ActualResult]:[ActualResult]], "SO") + SUMIFS(Table1[[AwayWon]:[AwayWon]], Table1[[GameIsOver]:[GameIsOver]],1,Table1[[HomeTeam]:[HomeTeam]],$A19, Table1[[AwayTeam]:[AwayTeam]], K$1, Table1[[ActualResult]:[ActualResult]], "SO"),0))</f>
        <v>0-0-0</v>
      </c>
      <c r="L19" s="43" t="str">
        <f>_xlfn.CONCAT(TEXT(SUMIFS(Table1[[AwayWon]:[AwayWon]], Table1[[GameIsOver]:[GameIsOver]],1,Table1[[AwayTeam]:[AwayTeam]],$A19, Table1[[HomeTeam]:[HomeTeam]], L$1) + SUMIFS(Table1[[HomeWon]:[HomeWon]], Table1[[GameIsOver]:[GameIsOver]],1,Table1[[HomeTeam]:[HomeTeam]],$A19, Table1[[AwayTeam]:[AwayTeam]], L$1),0), "-", TEXT(SUMIFS(Table1[[HomeWon]:[HomeWon]], Table1[[GameIsOver]:[GameIsOver]],1,Table1[[AwayTeam]:[AwayTeam]],$A19, Table1[[HomeTeam]:[HomeTeam]], L$1, Table1[[ActualResult]:[ActualResult]], "REG") + SUMIFS(Table1[[AwayWon]:[AwayWon]], Table1[[GameIsOver]:[GameIsOver]],1,Table1[[HomeTeam]:[HomeTeam]],$A19, Table1[[AwayTeam]:[AwayTeam]], L$1, Table1[[ActualResult]:[ActualResult]], "REG"),0), "-", TEXT(SUMIFS(Table1[[HomeWon]:[HomeWon]], Table1[[GameIsOver]:[GameIsOver]],1,Table1[[AwayTeam]:[AwayTeam]],$A19, Table1[[HomeTeam]:[HomeTeam]], L$1, Table1[[ActualResult]:[ActualResult]], "OT") + SUMIFS(Table1[[AwayWon]:[AwayWon]], Table1[[GameIsOver]:[GameIsOver]],1,Table1[[HomeTeam]:[HomeTeam]],$A19, Table1[[AwayTeam]:[AwayTeam]], L$1, Table1[[ActualResult]:[ActualResult]], "OT") + SUMIFS(Table1[[HomeWon]:[HomeWon]], Table1[[GameIsOver]:[GameIsOver]],1,Table1[[AwayTeam]:[AwayTeam]],$A19, Table1[[HomeTeam]:[HomeTeam]], L$1, Table1[[ActualResult]:[ActualResult]], "SO") + SUMIFS(Table1[[AwayWon]:[AwayWon]], Table1[[GameIsOver]:[GameIsOver]],1,Table1[[HomeTeam]:[HomeTeam]],$A19, Table1[[AwayTeam]:[AwayTeam]], L$1, Table1[[ActualResult]:[ActualResult]], "SO"),0))</f>
        <v>0-0-0</v>
      </c>
      <c r="M19" s="43" t="str">
        <f>_xlfn.CONCAT(TEXT(SUMIFS(Table1[[AwayWon]:[AwayWon]], Table1[[GameIsOver]:[GameIsOver]],1,Table1[[AwayTeam]:[AwayTeam]],$A19, Table1[[HomeTeam]:[HomeTeam]], M$1) + SUMIFS(Table1[[HomeWon]:[HomeWon]], Table1[[GameIsOver]:[GameIsOver]],1,Table1[[HomeTeam]:[HomeTeam]],$A19, Table1[[AwayTeam]:[AwayTeam]], M$1),0), "-", TEXT(SUMIFS(Table1[[HomeWon]:[HomeWon]], Table1[[GameIsOver]:[GameIsOver]],1,Table1[[AwayTeam]:[AwayTeam]],$A19, Table1[[HomeTeam]:[HomeTeam]], M$1, Table1[[ActualResult]:[ActualResult]], "REG") + SUMIFS(Table1[[AwayWon]:[AwayWon]], Table1[[GameIsOver]:[GameIsOver]],1,Table1[[HomeTeam]:[HomeTeam]],$A19, Table1[[AwayTeam]:[AwayTeam]], M$1, Table1[[ActualResult]:[ActualResult]], "REG"),0), "-", TEXT(SUMIFS(Table1[[HomeWon]:[HomeWon]], Table1[[GameIsOver]:[GameIsOver]],1,Table1[[AwayTeam]:[AwayTeam]],$A19, Table1[[HomeTeam]:[HomeTeam]], M$1, Table1[[ActualResult]:[ActualResult]], "OT") + SUMIFS(Table1[[AwayWon]:[AwayWon]], Table1[[GameIsOver]:[GameIsOver]],1,Table1[[HomeTeam]:[HomeTeam]],$A19, Table1[[AwayTeam]:[AwayTeam]], M$1, Table1[[ActualResult]:[ActualResult]], "OT") + SUMIFS(Table1[[HomeWon]:[HomeWon]], Table1[[GameIsOver]:[GameIsOver]],1,Table1[[AwayTeam]:[AwayTeam]],$A19, Table1[[HomeTeam]:[HomeTeam]], M$1, Table1[[ActualResult]:[ActualResult]], "SO") + SUMIFS(Table1[[AwayWon]:[AwayWon]], Table1[[GameIsOver]:[GameIsOver]],1,Table1[[HomeTeam]:[HomeTeam]],$A19, Table1[[AwayTeam]:[AwayTeam]], M$1, Table1[[ActualResult]:[ActualResult]], "SO"),0))</f>
        <v>0-0-0</v>
      </c>
      <c r="N19" s="43" t="str">
        <f>_xlfn.CONCAT(TEXT(SUMIFS(Table1[[AwayWon]:[AwayWon]], Table1[[GameIsOver]:[GameIsOver]],1,Table1[[AwayTeam]:[AwayTeam]],$A19, Table1[[HomeTeam]:[HomeTeam]], N$1) + SUMIFS(Table1[[HomeWon]:[HomeWon]], Table1[[GameIsOver]:[GameIsOver]],1,Table1[[HomeTeam]:[HomeTeam]],$A19, Table1[[AwayTeam]:[AwayTeam]], N$1),0), "-", TEXT(SUMIFS(Table1[[HomeWon]:[HomeWon]], Table1[[GameIsOver]:[GameIsOver]],1,Table1[[AwayTeam]:[AwayTeam]],$A19, Table1[[HomeTeam]:[HomeTeam]], N$1, Table1[[ActualResult]:[ActualResult]], "REG") + SUMIFS(Table1[[AwayWon]:[AwayWon]], Table1[[GameIsOver]:[GameIsOver]],1,Table1[[HomeTeam]:[HomeTeam]],$A19, Table1[[AwayTeam]:[AwayTeam]], N$1, Table1[[ActualResult]:[ActualResult]], "REG"),0), "-", TEXT(SUMIFS(Table1[[HomeWon]:[HomeWon]], Table1[[GameIsOver]:[GameIsOver]],1,Table1[[AwayTeam]:[AwayTeam]],$A19, Table1[[HomeTeam]:[HomeTeam]], N$1, Table1[[ActualResult]:[ActualResult]], "OT") + SUMIFS(Table1[[AwayWon]:[AwayWon]], Table1[[GameIsOver]:[GameIsOver]],1,Table1[[HomeTeam]:[HomeTeam]],$A19, Table1[[AwayTeam]:[AwayTeam]], N$1, Table1[[ActualResult]:[ActualResult]], "OT") + SUMIFS(Table1[[HomeWon]:[HomeWon]], Table1[[GameIsOver]:[GameIsOver]],1,Table1[[AwayTeam]:[AwayTeam]],$A19, Table1[[HomeTeam]:[HomeTeam]], N$1, Table1[[ActualResult]:[ActualResult]], "SO") + SUMIFS(Table1[[AwayWon]:[AwayWon]], Table1[[GameIsOver]:[GameIsOver]],1,Table1[[HomeTeam]:[HomeTeam]],$A19, Table1[[AwayTeam]:[AwayTeam]], N$1, Table1[[ActualResult]:[ActualResult]], "SO"),0))</f>
        <v>0-0-0</v>
      </c>
      <c r="O19" s="43" t="str">
        <f>_xlfn.CONCAT(TEXT(SUMIFS(Table1[[AwayWon]:[AwayWon]], Table1[[GameIsOver]:[GameIsOver]],1,Table1[[AwayTeam]:[AwayTeam]],$A19, Table1[[HomeTeam]:[HomeTeam]], O$1) + SUMIFS(Table1[[HomeWon]:[HomeWon]], Table1[[GameIsOver]:[GameIsOver]],1,Table1[[HomeTeam]:[HomeTeam]],$A19, Table1[[AwayTeam]:[AwayTeam]], O$1),0), "-", TEXT(SUMIFS(Table1[[HomeWon]:[HomeWon]], Table1[[GameIsOver]:[GameIsOver]],1,Table1[[AwayTeam]:[AwayTeam]],$A19, Table1[[HomeTeam]:[HomeTeam]], O$1, Table1[[ActualResult]:[ActualResult]], "REG") + SUMIFS(Table1[[AwayWon]:[AwayWon]], Table1[[GameIsOver]:[GameIsOver]],1,Table1[[HomeTeam]:[HomeTeam]],$A19, Table1[[AwayTeam]:[AwayTeam]], O$1, Table1[[ActualResult]:[ActualResult]], "REG"),0), "-", TEXT(SUMIFS(Table1[[HomeWon]:[HomeWon]], Table1[[GameIsOver]:[GameIsOver]],1,Table1[[AwayTeam]:[AwayTeam]],$A19, Table1[[HomeTeam]:[HomeTeam]], O$1, Table1[[ActualResult]:[ActualResult]], "OT") + SUMIFS(Table1[[AwayWon]:[AwayWon]], Table1[[GameIsOver]:[GameIsOver]],1,Table1[[HomeTeam]:[HomeTeam]],$A19, Table1[[AwayTeam]:[AwayTeam]], O$1, Table1[[ActualResult]:[ActualResult]], "OT") + SUMIFS(Table1[[HomeWon]:[HomeWon]], Table1[[GameIsOver]:[GameIsOver]],1,Table1[[AwayTeam]:[AwayTeam]],$A19, Table1[[HomeTeam]:[HomeTeam]], O$1, Table1[[ActualResult]:[ActualResult]], "SO") + SUMIFS(Table1[[AwayWon]:[AwayWon]], Table1[[GameIsOver]:[GameIsOver]],1,Table1[[HomeTeam]:[HomeTeam]],$A19, Table1[[AwayTeam]:[AwayTeam]], O$1, Table1[[ActualResult]:[ActualResult]], "SO"),0))</f>
        <v>0-0-0</v>
      </c>
      <c r="P19" s="43" t="str">
        <f>_xlfn.CONCAT(TEXT(SUMIFS(Table1[[AwayWon]:[AwayWon]], Table1[[GameIsOver]:[GameIsOver]],1,Table1[[AwayTeam]:[AwayTeam]],$A19, Table1[[HomeTeam]:[HomeTeam]], P$1) + SUMIFS(Table1[[HomeWon]:[HomeWon]], Table1[[GameIsOver]:[GameIsOver]],1,Table1[[HomeTeam]:[HomeTeam]],$A19, Table1[[AwayTeam]:[AwayTeam]], P$1),0), "-", TEXT(SUMIFS(Table1[[HomeWon]:[HomeWon]], Table1[[GameIsOver]:[GameIsOver]],1,Table1[[AwayTeam]:[AwayTeam]],$A19, Table1[[HomeTeam]:[HomeTeam]], P$1, Table1[[ActualResult]:[ActualResult]], "REG") + SUMIFS(Table1[[AwayWon]:[AwayWon]], Table1[[GameIsOver]:[GameIsOver]],1,Table1[[HomeTeam]:[HomeTeam]],$A19, Table1[[AwayTeam]:[AwayTeam]], P$1, Table1[[ActualResult]:[ActualResult]], "REG"),0), "-", TEXT(SUMIFS(Table1[[HomeWon]:[HomeWon]], Table1[[GameIsOver]:[GameIsOver]],1,Table1[[AwayTeam]:[AwayTeam]],$A19, Table1[[HomeTeam]:[HomeTeam]], P$1, Table1[[ActualResult]:[ActualResult]], "OT") + SUMIFS(Table1[[AwayWon]:[AwayWon]], Table1[[GameIsOver]:[GameIsOver]],1,Table1[[HomeTeam]:[HomeTeam]],$A19, Table1[[AwayTeam]:[AwayTeam]], P$1, Table1[[ActualResult]:[ActualResult]], "OT") + SUMIFS(Table1[[HomeWon]:[HomeWon]], Table1[[GameIsOver]:[GameIsOver]],1,Table1[[AwayTeam]:[AwayTeam]],$A19, Table1[[HomeTeam]:[HomeTeam]], P$1, Table1[[ActualResult]:[ActualResult]], "SO") + SUMIFS(Table1[[AwayWon]:[AwayWon]], Table1[[GameIsOver]:[GameIsOver]],1,Table1[[HomeTeam]:[HomeTeam]],$A19, Table1[[AwayTeam]:[AwayTeam]], P$1, Table1[[ActualResult]:[ActualResult]], "SO"),0))</f>
        <v>0-0-0</v>
      </c>
      <c r="Q19" s="45" t="str">
        <f>_xlfn.CONCAT(TEXT(SUMIFS(Table1[[AwayWon]:[AwayWon]], Table1[[GameIsOver]:[GameIsOver]],1,Table1[[AwayTeam]:[AwayTeam]],$A19, Table1[[HomeTeam]:[HomeTeam]], Q$1) + SUMIFS(Table1[[HomeWon]:[HomeWon]], Table1[[GameIsOver]:[GameIsOver]],1,Table1[[HomeTeam]:[HomeTeam]],$A19, Table1[[AwayTeam]:[AwayTeam]], Q$1),0), "-", TEXT(SUMIFS(Table1[[HomeWon]:[HomeWon]], Table1[[GameIsOver]:[GameIsOver]],1,Table1[[AwayTeam]:[AwayTeam]],$A19, Table1[[HomeTeam]:[HomeTeam]], Q$1, Table1[[ActualResult]:[ActualResult]], "REG") + SUMIFS(Table1[[AwayWon]:[AwayWon]], Table1[[GameIsOver]:[GameIsOver]],1,Table1[[HomeTeam]:[HomeTeam]],$A19, Table1[[AwayTeam]:[AwayTeam]], Q$1, Table1[[ActualResult]:[ActualResult]], "REG"),0), "-", TEXT(SUMIFS(Table1[[HomeWon]:[HomeWon]], Table1[[GameIsOver]:[GameIsOver]],1,Table1[[AwayTeam]:[AwayTeam]],$A19, Table1[[HomeTeam]:[HomeTeam]], Q$1, Table1[[ActualResult]:[ActualResult]], "OT") + SUMIFS(Table1[[AwayWon]:[AwayWon]], Table1[[GameIsOver]:[GameIsOver]],1,Table1[[HomeTeam]:[HomeTeam]],$A19, Table1[[AwayTeam]:[AwayTeam]], Q$1, Table1[[ActualResult]:[ActualResult]], "OT") + SUMIFS(Table1[[HomeWon]:[HomeWon]], Table1[[GameIsOver]:[GameIsOver]],1,Table1[[AwayTeam]:[AwayTeam]],$A19, Table1[[HomeTeam]:[HomeTeam]], Q$1, Table1[[ActualResult]:[ActualResult]], "SO") + SUMIFS(Table1[[AwayWon]:[AwayWon]], Table1[[GameIsOver]:[GameIsOver]],1,Table1[[HomeTeam]:[HomeTeam]],$A19, Table1[[AwayTeam]:[AwayTeam]], Q$1, Table1[[ActualResult]:[ActualResult]], "SO"),0))</f>
        <v>0-0-0</v>
      </c>
      <c r="R19" s="43" t="str">
        <f>_xlfn.CONCAT(TEXT(SUMIFS(Table1[[AwayWon]:[AwayWon]], Table1[[GameIsOver]:[GameIsOver]],1,Table1[[AwayTeam]:[AwayTeam]],$A19, Table1[[HomeTeam]:[HomeTeam]], R$1) + SUMIFS(Table1[[HomeWon]:[HomeWon]], Table1[[GameIsOver]:[GameIsOver]],1,Table1[[HomeTeam]:[HomeTeam]],$A19, Table1[[AwayTeam]:[AwayTeam]], R$1),0), "-", TEXT(SUMIFS(Table1[[HomeWon]:[HomeWon]], Table1[[GameIsOver]:[GameIsOver]],1,Table1[[AwayTeam]:[AwayTeam]],$A19, Table1[[HomeTeam]:[HomeTeam]], R$1, Table1[[ActualResult]:[ActualResult]], "REG") + SUMIFS(Table1[[AwayWon]:[AwayWon]], Table1[[GameIsOver]:[GameIsOver]],1,Table1[[HomeTeam]:[HomeTeam]],$A19, Table1[[AwayTeam]:[AwayTeam]], R$1, Table1[[ActualResult]:[ActualResult]], "REG"),0), "-", TEXT(SUMIFS(Table1[[HomeWon]:[HomeWon]], Table1[[GameIsOver]:[GameIsOver]],1,Table1[[AwayTeam]:[AwayTeam]],$A19, Table1[[HomeTeam]:[HomeTeam]], R$1, Table1[[ActualResult]:[ActualResult]], "OT") + SUMIFS(Table1[[AwayWon]:[AwayWon]], Table1[[GameIsOver]:[GameIsOver]],1,Table1[[HomeTeam]:[HomeTeam]],$A19, Table1[[AwayTeam]:[AwayTeam]], R$1, Table1[[ActualResult]:[ActualResult]], "OT") + SUMIFS(Table1[[HomeWon]:[HomeWon]], Table1[[GameIsOver]:[GameIsOver]],1,Table1[[AwayTeam]:[AwayTeam]],$A19, Table1[[HomeTeam]:[HomeTeam]], R$1, Table1[[ActualResult]:[ActualResult]], "SO") + SUMIFS(Table1[[AwayWon]:[AwayWon]], Table1[[GameIsOver]:[GameIsOver]],1,Table1[[HomeTeam]:[HomeTeam]],$A19, Table1[[AwayTeam]:[AwayTeam]], R$1, Table1[[ActualResult]:[ActualResult]], "SO"),0))</f>
        <v>0-0-0</v>
      </c>
      <c r="S19" s="43" t="str">
        <f>_xlfn.CONCAT(TEXT(SUMIFS(Table1[[AwayWon]:[AwayWon]], Table1[[GameIsOver]:[GameIsOver]],1,Table1[[AwayTeam]:[AwayTeam]],$A19, Table1[[HomeTeam]:[HomeTeam]], S$1) + SUMIFS(Table1[[HomeWon]:[HomeWon]], Table1[[GameIsOver]:[GameIsOver]],1,Table1[[HomeTeam]:[HomeTeam]],$A19, Table1[[AwayTeam]:[AwayTeam]], S$1),0), "-", TEXT(SUMIFS(Table1[[HomeWon]:[HomeWon]], Table1[[GameIsOver]:[GameIsOver]],1,Table1[[AwayTeam]:[AwayTeam]],$A19, Table1[[HomeTeam]:[HomeTeam]], S$1, Table1[[ActualResult]:[ActualResult]], "REG") + SUMIFS(Table1[[AwayWon]:[AwayWon]], Table1[[GameIsOver]:[GameIsOver]],1,Table1[[HomeTeam]:[HomeTeam]],$A19, Table1[[AwayTeam]:[AwayTeam]], S$1, Table1[[ActualResult]:[ActualResult]], "REG"),0), "-", TEXT(SUMIFS(Table1[[HomeWon]:[HomeWon]], Table1[[GameIsOver]:[GameIsOver]],1,Table1[[AwayTeam]:[AwayTeam]],$A19, Table1[[HomeTeam]:[HomeTeam]], S$1, Table1[[ActualResult]:[ActualResult]], "OT") + SUMIFS(Table1[[AwayWon]:[AwayWon]], Table1[[GameIsOver]:[GameIsOver]],1,Table1[[HomeTeam]:[HomeTeam]],$A19, Table1[[AwayTeam]:[AwayTeam]], S$1, Table1[[ActualResult]:[ActualResult]], "OT") + SUMIFS(Table1[[HomeWon]:[HomeWon]], Table1[[GameIsOver]:[GameIsOver]],1,Table1[[AwayTeam]:[AwayTeam]],$A19, Table1[[HomeTeam]:[HomeTeam]], S$1, Table1[[ActualResult]:[ActualResult]], "SO") + SUMIFS(Table1[[AwayWon]:[AwayWon]], Table1[[GameIsOver]:[GameIsOver]],1,Table1[[HomeTeam]:[HomeTeam]],$A19, Table1[[AwayTeam]:[AwayTeam]], S$1, Table1[[ActualResult]:[ActualResult]], "SO"),0))</f>
        <v>0-0-0</v>
      </c>
      <c r="T19" s="43" t="str">
        <f>_xlfn.CONCAT(TEXT(SUMIFS(Table1[[AwayWon]:[AwayWon]], Table1[[GameIsOver]:[GameIsOver]],1,Table1[[AwayTeam]:[AwayTeam]],$A19, Table1[[HomeTeam]:[HomeTeam]], T$1) + SUMIFS(Table1[[HomeWon]:[HomeWon]], Table1[[GameIsOver]:[GameIsOver]],1,Table1[[HomeTeam]:[HomeTeam]],$A19, Table1[[AwayTeam]:[AwayTeam]], T$1),0), "-", TEXT(SUMIFS(Table1[[HomeWon]:[HomeWon]], Table1[[GameIsOver]:[GameIsOver]],1,Table1[[AwayTeam]:[AwayTeam]],$A19, Table1[[HomeTeam]:[HomeTeam]], T$1, Table1[[ActualResult]:[ActualResult]], "REG") + SUMIFS(Table1[[AwayWon]:[AwayWon]], Table1[[GameIsOver]:[GameIsOver]],1,Table1[[HomeTeam]:[HomeTeam]],$A19, Table1[[AwayTeam]:[AwayTeam]], T$1, Table1[[ActualResult]:[ActualResult]], "REG"),0), "-", TEXT(SUMIFS(Table1[[HomeWon]:[HomeWon]], Table1[[GameIsOver]:[GameIsOver]],1,Table1[[AwayTeam]:[AwayTeam]],$A19, Table1[[HomeTeam]:[HomeTeam]], T$1, Table1[[ActualResult]:[ActualResult]], "OT") + SUMIFS(Table1[[AwayWon]:[AwayWon]], Table1[[GameIsOver]:[GameIsOver]],1,Table1[[HomeTeam]:[HomeTeam]],$A19, Table1[[AwayTeam]:[AwayTeam]], T$1, Table1[[ActualResult]:[ActualResult]], "OT") + SUMIFS(Table1[[HomeWon]:[HomeWon]], Table1[[GameIsOver]:[GameIsOver]],1,Table1[[AwayTeam]:[AwayTeam]],$A19, Table1[[HomeTeam]:[HomeTeam]], T$1, Table1[[ActualResult]:[ActualResult]], "SO") + SUMIFS(Table1[[AwayWon]:[AwayWon]], Table1[[GameIsOver]:[GameIsOver]],1,Table1[[HomeTeam]:[HomeTeam]],$A19, Table1[[AwayTeam]:[AwayTeam]], T$1, Table1[[ActualResult]:[ActualResult]], "SO"),0))</f>
        <v>0-0-0</v>
      </c>
      <c r="U19" s="43" t="str">
        <f>_xlfn.CONCAT(TEXT(SUMIFS(Table1[[AwayWon]:[AwayWon]], Table1[[GameIsOver]:[GameIsOver]],1,Table1[[AwayTeam]:[AwayTeam]],$A19, Table1[[HomeTeam]:[HomeTeam]], U$1) + SUMIFS(Table1[[HomeWon]:[HomeWon]], Table1[[GameIsOver]:[GameIsOver]],1,Table1[[HomeTeam]:[HomeTeam]],$A19, Table1[[AwayTeam]:[AwayTeam]], U$1),0), "-", TEXT(SUMIFS(Table1[[HomeWon]:[HomeWon]], Table1[[GameIsOver]:[GameIsOver]],1,Table1[[AwayTeam]:[AwayTeam]],$A19, Table1[[HomeTeam]:[HomeTeam]], U$1, Table1[[ActualResult]:[ActualResult]], "REG") + SUMIFS(Table1[[AwayWon]:[AwayWon]], Table1[[GameIsOver]:[GameIsOver]],1,Table1[[HomeTeam]:[HomeTeam]],$A19, Table1[[AwayTeam]:[AwayTeam]], U$1, Table1[[ActualResult]:[ActualResult]], "REG"),0), "-", TEXT(SUMIFS(Table1[[HomeWon]:[HomeWon]], Table1[[GameIsOver]:[GameIsOver]],1,Table1[[AwayTeam]:[AwayTeam]],$A19, Table1[[HomeTeam]:[HomeTeam]], U$1, Table1[[ActualResult]:[ActualResult]], "OT") + SUMIFS(Table1[[AwayWon]:[AwayWon]], Table1[[GameIsOver]:[GameIsOver]],1,Table1[[HomeTeam]:[HomeTeam]],$A19, Table1[[AwayTeam]:[AwayTeam]], U$1, Table1[[ActualResult]:[ActualResult]], "OT") + SUMIFS(Table1[[HomeWon]:[HomeWon]], Table1[[GameIsOver]:[GameIsOver]],1,Table1[[AwayTeam]:[AwayTeam]],$A19, Table1[[HomeTeam]:[HomeTeam]], U$1, Table1[[ActualResult]:[ActualResult]], "SO") + SUMIFS(Table1[[AwayWon]:[AwayWon]], Table1[[GameIsOver]:[GameIsOver]],1,Table1[[HomeTeam]:[HomeTeam]],$A19, Table1[[AwayTeam]:[AwayTeam]], U$1, Table1[[ActualResult]:[ActualResult]], "SO"),0))</f>
        <v>0-0-0</v>
      </c>
      <c r="V19" s="43" t="str">
        <f>_xlfn.CONCAT(TEXT(SUMIFS(Table1[[AwayWon]:[AwayWon]], Table1[[GameIsOver]:[GameIsOver]],1,Table1[[AwayTeam]:[AwayTeam]],$A19, Table1[[HomeTeam]:[HomeTeam]], V$1) + SUMIFS(Table1[[HomeWon]:[HomeWon]], Table1[[GameIsOver]:[GameIsOver]],1,Table1[[HomeTeam]:[HomeTeam]],$A19, Table1[[AwayTeam]:[AwayTeam]], V$1),0), "-", TEXT(SUMIFS(Table1[[HomeWon]:[HomeWon]], Table1[[GameIsOver]:[GameIsOver]],1,Table1[[AwayTeam]:[AwayTeam]],$A19, Table1[[HomeTeam]:[HomeTeam]], V$1, Table1[[ActualResult]:[ActualResult]], "REG") + SUMIFS(Table1[[AwayWon]:[AwayWon]], Table1[[GameIsOver]:[GameIsOver]],1,Table1[[HomeTeam]:[HomeTeam]],$A19, Table1[[AwayTeam]:[AwayTeam]], V$1, Table1[[ActualResult]:[ActualResult]], "REG"),0), "-", TEXT(SUMIFS(Table1[[HomeWon]:[HomeWon]], Table1[[GameIsOver]:[GameIsOver]],1,Table1[[AwayTeam]:[AwayTeam]],$A19, Table1[[HomeTeam]:[HomeTeam]], V$1, Table1[[ActualResult]:[ActualResult]], "OT") + SUMIFS(Table1[[AwayWon]:[AwayWon]], Table1[[GameIsOver]:[GameIsOver]],1,Table1[[HomeTeam]:[HomeTeam]],$A19, Table1[[AwayTeam]:[AwayTeam]], V$1, Table1[[ActualResult]:[ActualResult]], "OT") + SUMIFS(Table1[[HomeWon]:[HomeWon]], Table1[[GameIsOver]:[GameIsOver]],1,Table1[[AwayTeam]:[AwayTeam]],$A19, Table1[[HomeTeam]:[HomeTeam]], V$1, Table1[[ActualResult]:[ActualResult]], "SO") + SUMIFS(Table1[[AwayWon]:[AwayWon]], Table1[[GameIsOver]:[GameIsOver]],1,Table1[[HomeTeam]:[HomeTeam]],$A19, Table1[[AwayTeam]:[AwayTeam]], V$1, Table1[[ActualResult]:[ActualResult]], "SO"),0))</f>
        <v>0-0-0</v>
      </c>
      <c r="W19" s="43" t="str">
        <f>_xlfn.CONCAT(TEXT(SUMIFS(Table1[[AwayWon]:[AwayWon]], Table1[[GameIsOver]:[GameIsOver]],1,Table1[[AwayTeam]:[AwayTeam]],$A19, Table1[[HomeTeam]:[HomeTeam]], W$1) + SUMIFS(Table1[[HomeWon]:[HomeWon]], Table1[[GameIsOver]:[GameIsOver]],1,Table1[[HomeTeam]:[HomeTeam]],$A19, Table1[[AwayTeam]:[AwayTeam]], W$1),0), "-", TEXT(SUMIFS(Table1[[HomeWon]:[HomeWon]], Table1[[GameIsOver]:[GameIsOver]],1,Table1[[AwayTeam]:[AwayTeam]],$A19, Table1[[HomeTeam]:[HomeTeam]], W$1, Table1[[ActualResult]:[ActualResult]], "REG") + SUMIFS(Table1[[AwayWon]:[AwayWon]], Table1[[GameIsOver]:[GameIsOver]],1,Table1[[HomeTeam]:[HomeTeam]],$A19, Table1[[AwayTeam]:[AwayTeam]], W$1, Table1[[ActualResult]:[ActualResult]], "REG"),0), "-", TEXT(SUMIFS(Table1[[HomeWon]:[HomeWon]], Table1[[GameIsOver]:[GameIsOver]],1,Table1[[AwayTeam]:[AwayTeam]],$A19, Table1[[HomeTeam]:[HomeTeam]], W$1, Table1[[ActualResult]:[ActualResult]], "OT") + SUMIFS(Table1[[AwayWon]:[AwayWon]], Table1[[GameIsOver]:[GameIsOver]],1,Table1[[HomeTeam]:[HomeTeam]],$A19, Table1[[AwayTeam]:[AwayTeam]], W$1, Table1[[ActualResult]:[ActualResult]], "OT") + SUMIFS(Table1[[HomeWon]:[HomeWon]], Table1[[GameIsOver]:[GameIsOver]],1,Table1[[AwayTeam]:[AwayTeam]],$A19, Table1[[HomeTeam]:[HomeTeam]], W$1, Table1[[ActualResult]:[ActualResult]], "SO") + SUMIFS(Table1[[AwayWon]:[AwayWon]], Table1[[GameIsOver]:[GameIsOver]],1,Table1[[HomeTeam]:[HomeTeam]],$A19, Table1[[AwayTeam]:[AwayTeam]], W$1, Table1[[ActualResult]:[ActualResult]], "SO"),0))</f>
        <v>0-0-0</v>
      </c>
      <c r="X19" s="43" t="str">
        <f>_xlfn.CONCAT(TEXT(SUMIFS(Table1[[AwayWon]:[AwayWon]], Table1[[GameIsOver]:[GameIsOver]],1,Table1[[AwayTeam]:[AwayTeam]],$A19, Table1[[HomeTeam]:[HomeTeam]], X$1) + SUMIFS(Table1[[HomeWon]:[HomeWon]], Table1[[GameIsOver]:[GameIsOver]],1,Table1[[HomeTeam]:[HomeTeam]],$A19, Table1[[AwayTeam]:[AwayTeam]], X$1),0), "-", TEXT(SUMIFS(Table1[[HomeWon]:[HomeWon]], Table1[[GameIsOver]:[GameIsOver]],1,Table1[[AwayTeam]:[AwayTeam]],$A19, Table1[[HomeTeam]:[HomeTeam]], X$1, Table1[[ActualResult]:[ActualResult]], "REG") + SUMIFS(Table1[[AwayWon]:[AwayWon]], Table1[[GameIsOver]:[GameIsOver]],1,Table1[[HomeTeam]:[HomeTeam]],$A19, Table1[[AwayTeam]:[AwayTeam]], X$1, Table1[[ActualResult]:[ActualResult]], "REG"),0), "-", TEXT(SUMIFS(Table1[[HomeWon]:[HomeWon]], Table1[[GameIsOver]:[GameIsOver]],1,Table1[[AwayTeam]:[AwayTeam]],$A19, Table1[[HomeTeam]:[HomeTeam]], X$1, Table1[[ActualResult]:[ActualResult]], "OT") + SUMIFS(Table1[[AwayWon]:[AwayWon]], Table1[[GameIsOver]:[GameIsOver]],1,Table1[[HomeTeam]:[HomeTeam]],$A19, Table1[[AwayTeam]:[AwayTeam]], X$1, Table1[[ActualResult]:[ActualResult]], "OT") + SUMIFS(Table1[[HomeWon]:[HomeWon]], Table1[[GameIsOver]:[GameIsOver]],1,Table1[[AwayTeam]:[AwayTeam]],$A19, Table1[[HomeTeam]:[HomeTeam]], X$1, Table1[[ActualResult]:[ActualResult]], "SO") + SUMIFS(Table1[[AwayWon]:[AwayWon]], Table1[[GameIsOver]:[GameIsOver]],1,Table1[[HomeTeam]:[HomeTeam]],$A19, Table1[[AwayTeam]:[AwayTeam]], X$1, Table1[[ActualResult]:[ActualResult]], "SO"),0))</f>
        <v>0-0-0</v>
      </c>
      <c r="Y19" s="45" t="str">
        <f>_xlfn.CONCAT(TEXT(SUMIFS(Table1[[AwayWon]:[AwayWon]], Table1[[GameIsOver]:[GameIsOver]],1,Table1[[AwayTeam]:[AwayTeam]],$A19, Table1[[HomeTeam]:[HomeTeam]], Y$1) + SUMIFS(Table1[[HomeWon]:[HomeWon]], Table1[[GameIsOver]:[GameIsOver]],1,Table1[[HomeTeam]:[HomeTeam]],$A19, Table1[[AwayTeam]:[AwayTeam]], Y$1),0), "-", TEXT(SUMIFS(Table1[[HomeWon]:[HomeWon]], Table1[[GameIsOver]:[GameIsOver]],1,Table1[[AwayTeam]:[AwayTeam]],$A19, Table1[[HomeTeam]:[HomeTeam]], Y$1, Table1[[ActualResult]:[ActualResult]], "REG") + SUMIFS(Table1[[AwayWon]:[AwayWon]], Table1[[GameIsOver]:[GameIsOver]],1,Table1[[HomeTeam]:[HomeTeam]],$A19, Table1[[AwayTeam]:[AwayTeam]], Y$1, Table1[[ActualResult]:[ActualResult]], "REG"),0), "-", TEXT(SUMIFS(Table1[[HomeWon]:[HomeWon]], Table1[[GameIsOver]:[GameIsOver]],1,Table1[[AwayTeam]:[AwayTeam]],$A19, Table1[[HomeTeam]:[HomeTeam]], Y$1, Table1[[ActualResult]:[ActualResult]], "OT") + SUMIFS(Table1[[AwayWon]:[AwayWon]], Table1[[GameIsOver]:[GameIsOver]],1,Table1[[HomeTeam]:[HomeTeam]],$A19, Table1[[AwayTeam]:[AwayTeam]], Y$1, Table1[[ActualResult]:[ActualResult]], "OT") + SUMIFS(Table1[[HomeWon]:[HomeWon]], Table1[[GameIsOver]:[GameIsOver]],1,Table1[[AwayTeam]:[AwayTeam]],$A19, Table1[[HomeTeam]:[HomeTeam]], Y$1, Table1[[ActualResult]:[ActualResult]], "SO") + SUMIFS(Table1[[AwayWon]:[AwayWon]], Table1[[GameIsOver]:[GameIsOver]],1,Table1[[HomeTeam]:[HomeTeam]],$A19, Table1[[AwayTeam]:[AwayTeam]], Y$1, Table1[[ActualResult]:[ActualResult]], "SO"),0))</f>
        <v>0-0-0</v>
      </c>
      <c r="Z19" s="43" t="str">
        <f>_xlfn.CONCAT(TEXT(SUMIFS(Table1[[AwayWon]:[AwayWon]], Table1[[GameIsOver]:[GameIsOver]],1,Table1[[AwayTeam]:[AwayTeam]],$A19, Table1[[HomeTeam]:[HomeTeam]], Z$1) + SUMIFS(Table1[[HomeWon]:[HomeWon]], Table1[[GameIsOver]:[GameIsOver]],1,Table1[[HomeTeam]:[HomeTeam]],$A19, Table1[[AwayTeam]:[AwayTeam]], Z$1),0), "-", TEXT(SUMIFS(Table1[[HomeWon]:[HomeWon]], Table1[[GameIsOver]:[GameIsOver]],1,Table1[[AwayTeam]:[AwayTeam]],$A19, Table1[[HomeTeam]:[HomeTeam]], Z$1, Table1[[ActualResult]:[ActualResult]], "REG") + SUMIFS(Table1[[AwayWon]:[AwayWon]], Table1[[GameIsOver]:[GameIsOver]],1,Table1[[HomeTeam]:[HomeTeam]],$A19, Table1[[AwayTeam]:[AwayTeam]], Z$1, Table1[[ActualResult]:[ActualResult]], "REG"),0), "-", TEXT(SUMIFS(Table1[[HomeWon]:[HomeWon]], Table1[[GameIsOver]:[GameIsOver]],1,Table1[[AwayTeam]:[AwayTeam]],$A19, Table1[[HomeTeam]:[HomeTeam]], Z$1, Table1[[ActualResult]:[ActualResult]], "OT") + SUMIFS(Table1[[AwayWon]:[AwayWon]], Table1[[GameIsOver]:[GameIsOver]],1,Table1[[HomeTeam]:[HomeTeam]],$A19, Table1[[AwayTeam]:[AwayTeam]], Z$1, Table1[[ActualResult]:[ActualResult]], "OT") + SUMIFS(Table1[[HomeWon]:[HomeWon]], Table1[[GameIsOver]:[GameIsOver]],1,Table1[[AwayTeam]:[AwayTeam]],$A19, Table1[[HomeTeam]:[HomeTeam]], Z$1, Table1[[ActualResult]:[ActualResult]], "SO") + SUMIFS(Table1[[AwayWon]:[AwayWon]], Table1[[GameIsOver]:[GameIsOver]],1,Table1[[HomeTeam]:[HomeTeam]],$A19, Table1[[AwayTeam]:[AwayTeam]], Z$1, Table1[[ActualResult]:[ActualResult]], "SO"),0))</f>
        <v>0-0-0</v>
      </c>
      <c r="AA19" s="43" t="str">
        <f>_xlfn.CONCAT(TEXT(SUMIFS(Table1[[AwayWon]:[AwayWon]], Table1[[GameIsOver]:[GameIsOver]],1,Table1[[AwayTeam]:[AwayTeam]],$A19, Table1[[HomeTeam]:[HomeTeam]], AA$1) + SUMIFS(Table1[[HomeWon]:[HomeWon]], Table1[[GameIsOver]:[GameIsOver]],1,Table1[[HomeTeam]:[HomeTeam]],$A19, Table1[[AwayTeam]:[AwayTeam]], AA$1),0), "-", TEXT(SUMIFS(Table1[[HomeWon]:[HomeWon]], Table1[[GameIsOver]:[GameIsOver]],1,Table1[[AwayTeam]:[AwayTeam]],$A19, Table1[[HomeTeam]:[HomeTeam]], AA$1, Table1[[ActualResult]:[ActualResult]], "REG") + SUMIFS(Table1[[AwayWon]:[AwayWon]], Table1[[GameIsOver]:[GameIsOver]],1,Table1[[HomeTeam]:[HomeTeam]],$A19, Table1[[AwayTeam]:[AwayTeam]], AA$1, Table1[[ActualResult]:[ActualResult]], "REG"),0), "-", TEXT(SUMIFS(Table1[[HomeWon]:[HomeWon]], Table1[[GameIsOver]:[GameIsOver]],1,Table1[[AwayTeam]:[AwayTeam]],$A19, Table1[[HomeTeam]:[HomeTeam]], AA$1, Table1[[ActualResult]:[ActualResult]], "OT") + SUMIFS(Table1[[AwayWon]:[AwayWon]], Table1[[GameIsOver]:[GameIsOver]],1,Table1[[HomeTeam]:[HomeTeam]],$A19, Table1[[AwayTeam]:[AwayTeam]], AA$1, Table1[[ActualResult]:[ActualResult]], "OT") + SUMIFS(Table1[[HomeWon]:[HomeWon]], Table1[[GameIsOver]:[GameIsOver]],1,Table1[[AwayTeam]:[AwayTeam]],$A19, Table1[[HomeTeam]:[HomeTeam]], AA$1, Table1[[ActualResult]:[ActualResult]], "SO") + SUMIFS(Table1[[AwayWon]:[AwayWon]], Table1[[GameIsOver]:[GameIsOver]],1,Table1[[HomeTeam]:[HomeTeam]],$A19, Table1[[AwayTeam]:[AwayTeam]], AA$1, Table1[[ActualResult]:[ActualResult]], "SO"),0))</f>
        <v>1-0-0</v>
      </c>
      <c r="AB19" s="43" t="str">
        <f>_xlfn.CONCAT(TEXT(SUMIFS(Table1[[AwayWon]:[AwayWon]], Table1[[GameIsOver]:[GameIsOver]],1,Table1[[AwayTeam]:[AwayTeam]],$A19, Table1[[HomeTeam]:[HomeTeam]], AB$1) + SUMIFS(Table1[[HomeWon]:[HomeWon]], Table1[[GameIsOver]:[GameIsOver]],1,Table1[[HomeTeam]:[HomeTeam]],$A19, Table1[[AwayTeam]:[AwayTeam]], AB$1),0), "-", TEXT(SUMIFS(Table1[[HomeWon]:[HomeWon]], Table1[[GameIsOver]:[GameIsOver]],1,Table1[[AwayTeam]:[AwayTeam]],$A19, Table1[[HomeTeam]:[HomeTeam]], AB$1, Table1[[ActualResult]:[ActualResult]], "REG") + SUMIFS(Table1[[AwayWon]:[AwayWon]], Table1[[GameIsOver]:[GameIsOver]],1,Table1[[HomeTeam]:[HomeTeam]],$A19, Table1[[AwayTeam]:[AwayTeam]], AB$1, Table1[[ActualResult]:[ActualResult]], "REG"),0), "-", TEXT(SUMIFS(Table1[[HomeWon]:[HomeWon]], Table1[[GameIsOver]:[GameIsOver]],1,Table1[[AwayTeam]:[AwayTeam]],$A19, Table1[[HomeTeam]:[HomeTeam]], AB$1, Table1[[ActualResult]:[ActualResult]], "OT") + SUMIFS(Table1[[AwayWon]:[AwayWon]], Table1[[GameIsOver]:[GameIsOver]],1,Table1[[HomeTeam]:[HomeTeam]],$A19, Table1[[AwayTeam]:[AwayTeam]], AB$1, Table1[[ActualResult]:[ActualResult]], "OT") + SUMIFS(Table1[[HomeWon]:[HomeWon]], Table1[[GameIsOver]:[GameIsOver]],1,Table1[[AwayTeam]:[AwayTeam]],$A19, Table1[[HomeTeam]:[HomeTeam]], AB$1, Table1[[ActualResult]:[ActualResult]], "SO") + SUMIFS(Table1[[AwayWon]:[AwayWon]], Table1[[GameIsOver]:[GameIsOver]],1,Table1[[HomeTeam]:[HomeTeam]],$A19, Table1[[AwayTeam]:[AwayTeam]], AB$1, Table1[[ActualResult]:[ActualResult]], "SO"),0))</f>
        <v>0-0-0</v>
      </c>
      <c r="AC19" s="43" t="str">
        <f>_xlfn.CONCAT(TEXT(SUMIFS(Table1[[AwayWon]:[AwayWon]], Table1[[GameIsOver]:[GameIsOver]],1,Table1[[AwayTeam]:[AwayTeam]],$A19, Table1[[HomeTeam]:[HomeTeam]], AC$1) + SUMIFS(Table1[[HomeWon]:[HomeWon]], Table1[[GameIsOver]:[GameIsOver]],1,Table1[[HomeTeam]:[HomeTeam]],$A19, Table1[[AwayTeam]:[AwayTeam]], AC$1),0), "-", TEXT(SUMIFS(Table1[[HomeWon]:[HomeWon]], Table1[[GameIsOver]:[GameIsOver]],1,Table1[[AwayTeam]:[AwayTeam]],$A19, Table1[[HomeTeam]:[HomeTeam]], AC$1, Table1[[ActualResult]:[ActualResult]], "REG") + SUMIFS(Table1[[AwayWon]:[AwayWon]], Table1[[GameIsOver]:[GameIsOver]],1,Table1[[HomeTeam]:[HomeTeam]],$A19, Table1[[AwayTeam]:[AwayTeam]], AC$1, Table1[[ActualResult]:[ActualResult]], "REG"),0), "-", TEXT(SUMIFS(Table1[[HomeWon]:[HomeWon]], Table1[[GameIsOver]:[GameIsOver]],1,Table1[[AwayTeam]:[AwayTeam]],$A19, Table1[[HomeTeam]:[HomeTeam]], AC$1, Table1[[ActualResult]:[ActualResult]], "OT") + SUMIFS(Table1[[AwayWon]:[AwayWon]], Table1[[GameIsOver]:[GameIsOver]],1,Table1[[HomeTeam]:[HomeTeam]],$A19, Table1[[AwayTeam]:[AwayTeam]], AC$1, Table1[[ActualResult]:[ActualResult]], "OT") + SUMIFS(Table1[[HomeWon]:[HomeWon]], Table1[[GameIsOver]:[GameIsOver]],1,Table1[[AwayTeam]:[AwayTeam]],$A19, Table1[[HomeTeam]:[HomeTeam]], AC$1, Table1[[ActualResult]:[ActualResult]], "SO") + SUMIFS(Table1[[AwayWon]:[AwayWon]], Table1[[GameIsOver]:[GameIsOver]],1,Table1[[HomeTeam]:[HomeTeam]],$A19, Table1[[AwayTeam]:[AwayTeam]], AC$1, Table1[[ActualResult]:[ActualResult]], "SO"),0))</f>
        <v>0-0-0</v>
      </c>
      <c r="AD19" s="43" t="str">
        <f>_xlfn.CONCAT(TEXT(SUMIFS(Table1[[AwayWon]:[AwayWon]], Table1[[GameIsOver]:[GameIsOver]],1,Table1[[AwayTeam]:[AwayTeam]],$A19, Table1[[HomeTeam]:[HomeTeam]], AD$1) + SUMIFS(Table1[[HomeWon]:[HomeWon]], Table1[[GameIsOver]:[GameIsOver]],1,Table1[[HomeTeam]:[HomeTeam]],$A19, Table1[[AwayTeam]:[AwayTeam]], AD$1),0), "-", TEXT(SUMIFS(Table1[[HomeWon]:[HomeWon]], Table1[[GameIsOver]:[GameIsOver]],1,Table1[[AwayTeam]:[AwayTeam]],$A19, Table1[[HomeTeam]:[HomeTeam]], AD$1, Table1[[ActualResult]:[ActualResult]], "REG") + SUMIFS(Table1[[AwayWon]:[AwayWon]], Table1[[GameIsOver]:[GameIsOver]],1,Table1[[HomeTeam]:[HomeTeam]],$A19, Table1[[AwayTeam]:[AwayTeam]], AD$1, Table1[[ActualResult]:[ActualResult]], "REG"),0), "-", TEXT(SUMIFS(Table1[[HomeWon]:[HomeWon]], Table1[[GameIsOver]:[GameIsOver]],1,Table1[[AwayTeam]:[AwayTeam]],$A19, Table1[[HomeTeam]:[HomeTeam]], AD$1, Table1[[ActualResult]:[ActualResult]], "OT") + SUMIFS(Table1[[AwayWon]:[AwayWon]], Table1[[GameIsOver]:[GameIsOver]],1,Table1[[HomeTeam]:[HomeTeam]],$A19, Table1[[AwayTeam]:[AwayTeam]], AD$1, Table1[[ActualResult]:[ActualResult]], "OT") + SUMIFS(Table1[[HomeWon]:[HomeWon]], Table1[[GameIsOver]:[GameIsOver]],1,Table1[[AwayTeam]:[AwayTeam]],$A19, Table1[[HomeTeam]:[HomeTeam]], AD$1, Table1[[ActualResult]:[ActualResult]], "SO") + SUMIFS(Table1[[AwayWon]:[AwayWon]], Table1[[GameIsOver]:[GameIsOver]],1,Table1[[HomeTeam]:[HomeTeam]],$A19, Table1[[AwayTeam]:[AwayTeam]], AD$1, Table1[[ActualResult]:[ActualResult]], "SO"),0))</f>
        <v>0-0-0</v>
      </c>
      <c r="AE19" s="43" t="str">
        <f>_xlfn.CONCAT(TEXT(SUMIFS(Table1[[AwayWon]:[AwayWon]], Table1[[GameIsOver]:[GameIsOver]],1,Table1[[AwayTeam]:[AwayTeam]],$A19, Table1[[HomeTeam]:[HomeTeam]], AE$1) + SUMIFS(Table1[[HomeWon]:[HomeWon]], Table1[[GameIsOver]:[GameIsOver]],1,Table1[[HomeTeam]:[HomeTeam]],$A19, Table1[[AwayTeam]:[AwayTeam]], AE$1),0), "-", TEXT(SUMIFS(Table1[[HomeWon]:[HomeWon]], Table1[[GameIsOver]:[GameIsOver]],1,Table1[[AwayTeam]:[AwayTeam]],$A19, Table1[[HomeTeam]:[HomeTeam]], AE$1, Table1[[ActualResult]:[ActualResult]], "REG") + SUMIFS(Table1[[AwayWon]:[AwayWon]], Table1[[GameIsOver]:[GameIsOver]],1,Table1[[HomeTeam]:[HomeTeam]],$A19, Table1[[AwayTeam]:[AwayTeam]], AE$1, Table1[[ActualResult]:[ActualResult]], "REG"),0), "-", TEXT(SUMIFS(Table1[[HomeWon]:[HomeWon]], Table1[[GameIsOver]:[GameIsOver]],1,Table1[[AwayTeam]:[AwayTeam]],$A19, Table1[[HomeTeam]:[HomeTeam]], AE$1, Table1[[ActualResult]:[ActualResult]], "OT") + SUMIFS(Table1[[AwayWon]:[AwayWon]], Table1[[GameIsOver]:[GameIsOver]],1,Table1[[HomeTeam]:[HomeTeam]],$A19, Table1[[AwayTeam]:[AwayTeam]], AE$1, Table1[[ActualResult]:[ActualResult]], "OT") + SUMIFS(Table1[[HomeWon]:[HomeWon]], Table1[[GameIsOver]:[GameIsOver]],1,Table1[[AwayTeam]:[AwayTeam]],$A19, Table1[[HomeTeam]:[HomeTeam]], AE$1, Table1[[ActualResult]:[ActualResult]], "SO") + SUMIFS(Table1[[AwayWon]:[AwayWon]], Table1[[GameIsOver]:[GameIsOver]],1,Table1[[HomeTeam]:[HomeTeam]],$A19, Table1[[AwayTeam]:[AwayTeam]], AE$1, Table1[[ActualResult]:[ActualResult]], "SO"),0))</f>
        <v>0-0-0</v>
      </c>
      <c r="AF19" s="43" t="str">
        <f>_xlfn.CONCAT(TEXT(SUMIFS(Table1[[AwayWon]:[AwayWon]], Table1[[GameIsOver]:[GameIsOver]],1,Table1[[AwayTeam]:[AwayTeam]],$A19, Table1[[HomeTeam]:[HomeTeam]], AF$1) + SUMIFS(Table1[[HomeWon]:[HomeWon]], Table1[[GameIsOver]:[GameIsOver]],1,Table1[[HomeTeam]:[HomeTeam]],$A19, Table1[[AwayTeam]:[AwayTeam]], AF$1),0), "-", TEXT(SUMIFS(Table1[[HomeWon]:[HomeWon]], Table1[[GameIsOver]:[GameIsOver]],1,Table1[[AwayTeam]:[AwayTeam]],$A19, Table1[[HomeTeam]:[HomeTeam]], AF$1, Table1[[ActualResult]:[ActualResult]], "REG") + SUMIFS(Table1[[AwayWon]:[AwayWon]], Table1[[GameIsOver]:[GameIsOver]],1,Table1[[HomeTeam]:[HomeTeam]],$A19, Table1[[AwayTeam]:[AwayTeam]], AF$1, Table1[[ActualResult]:[ActualResult]], "REG"),0), "-", TEXT(SUMIFS(Table1[[HomeWon]:[HomeWon]], Table1[[GameIsOver]:[GameIsOver]],1,Table1[[AwayTeam]:[AwayTeam]],$A19, Table1[[HomeTeam]:[HomeTeam]], AF$1, Table1[[ActualResult]:[ActualResult]], "OT") + SUMIFS(Table1[[AwayWon]:[AwayWon]], Table1[[GameIsOver]:[GameIsOver]],1,Table1[[HomeTeam]:[HomeTeam]],$A19, Table1[[AwayTeam]:[AwayTeam]], AF$1, Table1[[ActualResult]:[ActualResult]], "OT") + SUMIFS(Table1[[HomeWon]:[HomeWon]], Table1[[GameIsOver]:[GameIsOver]],1,Table1[[AwayTeam]:[AwayTeam]],$A19, Table1[[HomeTeam]:[HomeTeam]], AF$1, Table1[[ActualResult]:[ActualResult]], "SO") + SUMIFS(Table1[[AwayWon]:[AwayWon]], Table1[[GameIsOver]:[GameIsOver]],1,Table1[[HomeTeam]:[HomeTeam]],$A19, Table1[[AwayTeam]:[AwayTeam]], AF$1, Table1[[ActualResult]:[ActualResult]], "SO"),0))</f>
        <v>0-0-0</v>
      </c>
      <c r="AG19" s="43" t="str">
        <f>_xlfn.CONCAT(TEXT(SUMIFS(Table1[[AwayWon]:[AwayWon]], Table1[[GameIsOver]:[GameIsOver]],1,Table1[[AwayTeam]:[AwayTeam]],$A19, Table1[[HomeTeam]:[HomeTeam]], AG$1) + SUMIFS(Table1[[HomeWon]:[HomeWon]], Table1[[GameIsOver]:[GameIsOver]],1,Table1[[HomeTeam]:[HomeTeam]],$A19, Table1[[AwayTeam]:[AwayTeam]], AG$1),0), "-", TEXT(SUMIFS(Table1[[HomeWon]:[HomeWon]], Table1[[GameIsOver]:[GameIsOver]],1,Table1[[AwayTeam]:[AwayTeam]],$A19, Table1[[HomeTeam]:[HomeTeam]], AG$1, Table1[[ActualResult]:[ActualResult]], "REG") + SUMIFS(Table1[[AwayWon]:[AwayWon]], Table1[[GameIsOver]:[GameIsOver]],1,Table1[[HomeTeam]:[HomeTeam]],$A19, Table1[[AwayTeam]:[AwayTeam]], AG$1, Table1[[ActualResult]:[ActualResult]], "REG"),0), "-", TEXT(SUMIFS(Table1[[HomeWon]:[HomeWon]], Table1[[GameIsOver]:[GameIsOver]],1,Table1[[AwayTeam]:[AwayTeam]],$A19, Table1[[HomeTeam]:[HomeTeam]], AG$1, Table1[[ActualResult]:[ActualResult]], "OT") + SUMIFS(Table1[[AwayWon]:[AwayWon]], Table1[[GameIsOver]:[GameIsOver]],1,Table1[[HomeTeam]:[HomeTeam]],$A19, Table1[[AwayTeam]:[AwayTeam]], AG$1, Table1[[ActualResult]:[ActualResult]], "OT") + SUMIFS(Table1[[HomeWon]:[HomeWon]], Table1[[GameIsOver]:[GameIsOver]],1,Table1[[AwayTeam]:[AwayTeam]],$A19, Table1[[HomeTeam]:[HomeTeam]], AG$1, Table1[[ActualResult]:[ActualResult]], "SO") + SUMIFS(Table1[[AwayWon]:[AwayWon]], Table1[[GameIsOver]:[GameIsOver]],1,Table1[[HomeTeam]:[HomeTeam]],$A19, Table1[[AwayTeam]:[AwayTeam]], AG$1, Table1[[ActualResult]:[ActualResult]], "SO"),0))</f>
        <v>0-0-0</v>
      </c>
    </row>
    <row r="20" spans="1:33" x14ac:dyDescent="0.25">
      <c r="A20" s="17" t="s">
        <v>49</v>
      </c>
      <c r="B20" s="43" t="str">
        <f>_xlfn.CONCAT(TEXT(SUMIFS(Table1[[AwayWon]:[AwayWon]], Table1[[GameIsOver]:[GameIsOver]],1,Table1[[AwayTeam]:[AwayTeam]],$A20, Table1[[HomeTeam]:[HomeTeam]], B$1) + SUMIFS(Table1[[HomeWon]:[HomeWon]], Table1[[GameIsOver]:[GameIsOver]],1,Table1[[HomeTeam]:[HomeTeam]],$A20, Table1[[AwayTeam]:[AwayTeam]], B$1),0), "-", TEXT(SUMIFS(Table1[[HomeWon]:[HomeWon]], Table1[[GameIsOver]:[GameIsOver]],1,Table1[[AwayTeam]:[AwayTeam]],$A20, Table1[[HomeTeam]:[HomeTeam]], B$1, Table1[[ActualResult]:[ActualResult]], "REG") + SUMIFS(Table1[[AwayWon]:[AwayWon]], Table1[[GameIsOver]:[GameIsOver]],1,Table1[[HomeTeam]:[HomeTeam]],$A20, Table1[[AwayTeam]:[AwayTeam]], B$1, Table1[[ActualResult]:[ActualResult]], "REG"),0), "-", TEXT(SUMIFS(Table1[[HomeWon]:[HomeWon]], Table1[[GameIsOver]:[GameIsOver]],1,Table1[[AwayTeam]:[AwayTeam]],$A20, Table1[[HomeTeam]:[HomeTeam]], B$1, Table1[[ActualResult]:[ActualResult]], "OT") + SUMIFS(Table1[[AwayWon]:[AwayWon]], Table1[[GameIsOver]:[GameIsOver]],1,Table1[[HomeTeam]:[HomeTeam]],$A20, Table1[[AwayTeam]:[AwayTeam]], B$1, Table1[[ActualResult]:[ActualResult]], "OT") + SUMIFS(Table1[[HomeWon]:[HomeWon]], Table1[[GameIsOver]:[GameIsOver]],1,Table1[[AwayTeam]:[AwayTeam]],$A20, Table1[[HomeTeam]:[HomeTeam]], B$1, Table1[[ActualResult]:[ActualResult]], "SO") + SUMIFS(Table1[[AwayWon]:[AwayWon]], Table1[[GameIsOver]:[GameIsOver]],1,Table1[[HomeTeam]:[HomeTeam]],$A20, Table1[[AwayTeam]:[AwayTeam]], B$1, Table1[[ActualResult]:[ActualResult]], "SO"),0))</f>
        <v>0-0-0</v>
      </c>
      <c r="C20" s="43" t="str">
        <f>_xlfn.CONCAT(TEXT(SUMIFS(Table1[[AwayWon]:[AwayWon]], Table1[[GameIsOver]:[GameIsOver]],1,Table1[[AwayTeam]:[AwayTeam]],$A20, Table1[[HomeTeam]:[HomeTeam]], C$1) + SUMIFS(Table1[[HomeWon]:[HomeWon]], Table1[[GameIsOver]:[GameIsOver]],1,Table1[[HomeTeam]:[HomeTeam]],$A20, Table1[[AwayTeam]:[AwayTeam]], C$1),0), "-", TEXT(SUMIFS(Table1[[HomeWon]:[HomeWon]], Table1[[GameIsOver]:[GameIsOver]],1,Table1[[AwayTeam]:[AwayTeam]],$A20, Table1[[HomeTeam]:[HomeTeam]], C$1, Table1[[ActualResult]:[ActualResult]], "REG") + SUMIFS(Table1[[AwayWon]:[AwayWon]], Table1[[GameIsOver]:[GameIsOver]],1,Table1[[HomeTeam]:[HomeTeam]],$A20, Table1[[AwayTeam]:[AwayTeam]], C$1, Table1[[ActualResult]:[ActualResult]], "REG"),0), "-", TEXT(SUMIFS(Table1[[HomeWon]:[HomeWon]], Table1[[GameIsOver]:[GameIsOver]],1,Table1[[AwayTeam]:[AwayTeam]],$A20, Table1[[HomeTeam]:[HomeTeam]], C$1, Table1[[ActualResult]:[ActualResult]], "OT") + SUMIFS(Table1[[AwayWon]:[AwayWon]], Table1[[GameIsOver]:[GameIsOver]],1,Table1[[HomeTeam]:[HomeTeam]],$A20, Table1[[AwayTeam]:[AwayTeam]], C$1, Table1[[ActualResult]:[ActualResult]], "OT") + SUMIFS(Table1[[HomeWon]:[HomeWon]], Table1[[GameIsOver]:[GameIsOver]],1,Table1[[AwayTeam]:[AwayTeam]],$A20, Table1[[HomeTeam]:[HomeTeam]], C$1, Table1[[ActualResult]:[ActualResult]], "SO") + SUMIFS(Table1[[AwayWon]:[AwayWon]], Table1[[GameIsOver]:[GameIsOver]],1,Table1[[HomeTeam]:[HomeTeam]],$A20, Table1[[AwayTeam]:[AwayTeam]], C$1, Table1[[ActualResult]:[ActualResult]], "SO"),0))</f>
        <v>0-0-0</v>
      </c>
      <c r="D20" s="43" t="str">
        <f>_xlfn.CONCAT(TEXT(SUMIFS(Table1[[AwayWon]:[AwayWon]], Table1[[GameIsOver]:[GameIsOver]],1,Table1[[AwayTeam]:[AwayTeam]],$A20, Table1[[HomeTeam]:[HomeTeam]], D$1) + SUMIFS(Table1[[HomeWon]:[HomeWon]], Table1[[GameIsOver]:[GameIsOver]],1,Table1[[HomeTeam]:[HomeTeam]],$A20, Table1[[AwayTeam]:[AwayTeam]], D$1),0), "-", TEXT(SUMIFS(Table1[[HomeWon]:[HomeWon]], Table1[[GameIsOver]:[GameIsOver]],1,Table1[[AwayTeam]:[AwayTeam]],$A20, Table1[[HomeTeam]:[HomeTeam]], D$1, Table1[[ActualResult]:[ActualResult]], "REG") + SUMIFS(Table1[[AwayWon]:[AwayWon]], Table1[[GameIsOver]:[GameIsOver]],1,Table1[[HomeTeam]:[HomeTeam]],$A20, Table1[[AwayTeam]:[AwayTeam]], D$1, Table1[[ActualResult]:[ActualResult]], "REG"),0), "-", TEXT(SUMIFS(Table1[[HomeWon]:[HomeWon]], Table1[[GameIsOver]:[GameIsOver]],1,Table1[[AwayTeam]:[AwayTeam]],$A20, Table1[[HomeTeam]:[HomeTeam]], D$1, Table1[[ActualResult]:[ActualResult]], "OT") + SUMIFS(Table1[[AwayWon]:[AwayWon]], Table1[[GameIsOver]:[GameIsOver]],1,Table1[[HomeTeam]:[HomeTeam]],$A20, Table1[[AwayTeam]:[AwayTeam]], D$1, Table1[[ActualResult]:[ActualResult]], "OT") + SUMIFS(Table1[[HomeWon]:[HomeWon]], Table1[[GameIsOver]:[GameIsOver]],1,Table1[[AwayTeam]:[AwayTeam]],$A20, Table1[[HomeTeam]:[HomeTeam]], D$1, Table1[[ActualResult]:[ActualResult]], "SO") + SUMIFS(Table1[[AwayWon]:[AwayWon]], Table1[[GameIsOver]:[GameIsOver]],1,Table1[[HomeTeam]:[HomeTeam]],$A20, Table1[[AwayTeam]:[AwayTeam]], D$1, Table1[[ActualResult]:[ActualResult]], "SO"),0))</f>
        <v>0-0-0</v>
      </c>
      <c r="E20" s="43" t="str">
        <f>_xlfn.CONCAT(TEXT(SUMIFS(Table1[[AwayWon]:[AwayWon]], Table1[[GameIsOver]:[GameIsOver]],1,Table1[[AwayTeam]:[AwayTeam]],$A20, Table1[[HomeTeam]:[HomeTeam]], E$1) + SUMIFS(Table1[[HomeWon]:[HomeWon]], Table1[[GameIsOver]:[GameIsOver]],1,Table1[[HomeTeam]:[HomeTeam]],$A20, Table1[[AwayTeam]:[AwayTeam]], E$1),0), "-", TEXT(SUMIFS(Table1[[HomeWon]:[HomeWon]], Table1[[GameIsOver]:[GameIsOver]],1,Table1[[AwayTeam]:[AwayTeam]],$A20, Table1[[HomeTeam]:[HomeTeam]], E$1, Table1[[ActualResult]:[ActualResult]], "REG") + SUMIFS(Table1[[AwayWon]:[AwayWon]], Table1[[GameIsOver]:[GameIsOver]],1,Table1[[HomeTeam]:[HomeTeam]],$A20, Table1[[AwayTeam]:[AwayTeam]], E$1, Table1[[ActualResult]:[ActualResult]], "REG"),0), "-", TEXT(SUMIFS(Table1[[HomeWon]:[HomeWon]], Table1[[GameIsOver]:[GameIsOver]],1,Table1[[AwayTeam]:[AwayTeam]],$A20, Table1[[HomeTeam]:[HomeTeam]], E$1, Table1[[ActualResult]:[ActualResult]], "OT") + SUMIFS(Table1[[AwayWon]:[AwayWon]], Table1[[GameIsOver]:[GameIsOver]],1,Table1[[HomeTeam]:[HomeTeam]],$A20, Table1[[AwayTeam]:[AwayTeam]], E$1, Table1[[ActualResult]:[ActualResult]], "OT") + SUMIFS(Table1[[HomeWon]:[HomeWon]], Table1[[GameIsOver]:[GameIsOver]],1,Table1[[AwayTeam]:[AwayTeam]],$A20, Table1[[HomeTeam]:[HomeTeam]], E$1, Table1[[ActualResult]:[ActualResult]], "SO") + SUMIFS(Table1[[AwayWon]:[AwayWon]], Table1[[GameIsOver]:[GameIsOver]],1,Table1[[HomeTeam]:[HomeTeam]],$A20, Table1[[AwayTeam]:[AwayTeam]], E$1, Table1[[ActualResult]:[ActualResult]], "SO"),0))</f>
        <v>0-0-0</v>
      </c>
      <c r="F20" s="43" t="str">
        <f>_xlfn.CONCAT(TEXT(SUMIFS(Table1[[AwayWon]:[AwayWon]], Table1[[GameIsOver]:[GameIsOver]],1,Table1[[AwayTeam]:[AwayTeam]],$A20, Table1[[HomeTeam]:[HomeTeam]], F$1) + SUMIFS(Table1[[HomeWon]:[HomeWon]], Table1[[GameIsOver]:[GameIsOver]],1,Table1[[HomeTeam]:[HomeTeam]],$A20, Table1[[AwayTeam]:[AwayTeam]], F$1),0), "-", TEXT(SUMIFS(Table1[[HomeWon]:[HomeWon]], Table1[[GameIsOver]:[GameIsOver]],1,Table1[[AwayTeam]:[AwayTeam]],$A20, Table1[[HomeTeam]:[HomeTeam]], F$1, Table1[[ActualResult]:[ActualResult]], "REG") + SUMIFS(Table1[[AwayWon]:[AwayWon]], Table1[[GameIsOver]:[GameIsOver]],1,Table1[[HomeTeam]:[HomeTeam]],$A20, Table1[[AwayTeam]:[AwayTeam]], F$1, Table1[[ActualResult]:[ActualResult]], "REG"),0), "-", TEXT(SUMIFS(Table1[[HomeWon]:[HomeWon]], Table1[[GameIsOver]:[GameIsOver]],1,Table1[[AwayTeam]:[AwayTeam]],$A20, Table1[[HomeTeam]:[HomeTeam]], F$1, Table1[[ActualResult]:[ActualResult]], "OT") + SUMIFS(Table1[[AwayWon]:[AwayWon]], Table1[[GameIsOver]:[GameIsOver]],1,Table1[[HomeTeam]:[HomeTeam]],$A20, Table1[[AwayTeam]:[AwayTeam]], F$1, Table1[[ActualResult]:[ActualResult]], "OT") + SUMIFS(Table1[[HomeWon]:[HomeWon]], Table1[[GameIsOver]:[GameIsOver]],1,Table1[[AwayTeam]:[AwayTeam]],$A20, Table1[[HomeTeam]:[HomeTeam]], F$1, Table1[[ActualResult]:[ActualResult]], "SO") + SUMIFS(Table1[[AwayWon]:[AwayWon]], Table1[[GameIsOver]:[GameIsOver]],1,Table1[[HomeTeam]:[HomeTeam]],$A20, Table1[[AwayTeam]:[AwayTeam]], F$1, Table1[[ActualResult]:[ActualResult]], "SO"),0))</f>
        <v>0-0-0</v>
      </c>
      <c r="G20" s="43" t="str">
        <f>_xlfn.CONCAT(TEXT(SUMIFS(Table1[[AwayWon]:[AwayWon]], Table1[[GameIsOver]:[GameIsOver]],1,Table1[[AwayTeam]:[AwayTeam]],$A20, Table1[[HomeTeam]:[HomeTeam]], G$1) + SUMIFS(Table1[[HomeWon]:[HomeWon]], Table1[[GameIsOver]:[GameIsOver]],1,Table1[[HomeTeam]:[HomeTeam]],$A20, Table1[[AwayTeam]:[AwayTeam]], G$1),0), "-", TEXT(SUMIFS(Table1[[HomeWon]:[HomeWon]], Table1[[GameIsOver]:[GameIsOver]],1,Table1[[AwayTeam]:[AwayTeam]],$A20, Table1[[HomeTeam]:[HomeTeam]], G$1, Table1[[ActualResult]:[ActualResult]], "REG") + SUMIFS(Table1[[AwayWon]:[AwayWon]], Table1[[GameIsOver]:[GameIsOver]],1,Table1[[HomeTeam]:[HomeTeam]],$A20, Table1[[AwayTeam]:[AwayTeam]], G$1, Table1[[ActualResult]:[ActualResult]], "REG"),0), "-", TEXT(SUMIFS(Table1[[HomeWon]:[HomeWon]], Table1[[GameIsOver]:[GameIsOver]],1,Table1[[AwayTeam]:[AwayTeam]],$A20, Table1[[HomeTeam]:[HomeTeam]], G$1, Table1[[ActualResult]:[ActualResult]], "OT") + SUMIFS(Table1[[AwayWon]:[AwayWon]], Table1[[GameIsOver]:[GameIsOver]],1,Table1[[HomeTeam]:[HomeTeam]],$A20, Table1[[AwayTeam]:[AwayTeam]], G$1, Table1[[ActualResult]:[ActualResult]], "OT") + SUMIFS(Table1[[HomeWon]:[HomeWon]], Table1[[GameIsOver]:[GameIsOver]],1,Table1[[AwayTeam]:[AwayTeam]],$A20, Table1[[HomeTeam]:[HomeTeam]], G$1, Table1[[ActualResult]:[ActualResult]], "SO") + SUMIFS(Table1[[AwayWon]:[AwayWon]], Table1[[GameIsOver]:[GameIsOver]],1,Table1[[HomeTeam]:[HomeTeam]],$A20, Table1[[AwayTeam]:[AwayTeam]], G$1, Table1[[ActualResult]:[ActualResult]], "SO"),0))</f>
        <v>0-0-0</v>
      </c>
      <c r="H20" s="43" t="str">
        <f>_xlfn.CONCAT(TEXT(SUMIFS(Table1[[AwayWon]:[AwayWon]], Table1[[GameIsOver]:[GameIsOver]],1,Table1[[AwayTeam]:[AwayTeam]],$A20, Table1[[HomeTeam]:[HomeTeam]], H$1) + SUMIFS(Table1[[HomeWon]:[HomeWon]], Table1[[GameIsOver]:[GameIsOver]],1,Table1[[HomeTeam]:[HomeTeam]],$A20, Table1[[AwayTeam]:[AwayTeam]], H$1),0), "-", TEXT(SUMIFS(Table1[[HomeWon]:[HomeWon]], Table1[[GameIsOver]:[GameIsOver]],1,Table1[[AwayTeam]:[AwayTeam]],$A20, Table1[[HomeTeam]:[HomeTeam]], H$1, Table1[[ActualResult]:[ActualResult]], "REG") + SUMIFS(Table1[[AwayWon]:[AwayWon]], Table1[[GameIsOver]:[GameIsOver]],1,Table1[[HomeTeam]:[HomeTeam]],$A20, Table1[[AwayTeam]:[AwayTeam]], H$1, Table1[[ActualResult]:[ActualResult]], "REG"),0), "-", TEXT(SUMIFS(Table1[[HomeWon]:[HomeWon]], Table1[[GameIsOver]:[GameIsOver]],1,Table1[[AwayTeam]:[AwayTeam]],$A20, Table1[[HomeTeam]:[HomeTeam]], H$1, Table1[[ActualResult]:[ActualResult]], "OT") + SUMIFS(Table1[[AwayWon]:[AwayWon]], Table1[[GameIsOver]:[GameIsOver]],1,Table1[[HomeTeam]:[HomeTeam]],$A20, Table1[[AwayTeam]:[AwayTeam]], H$1, Table1[[ActualResult]:[ActualResult]], "OT") + SUMIFS(Table1[[HomeWon]:[HomeWon]], Table1[[GameIsOver]:[GameIsOver]],1,Table1[[AwayTeam]:[AwayTeam]],$A20, Table1[[HomeTeam]:[HomeTeam]], H$1, Table1[[ActualResult]:[ActualResult]], "SO") + SUMIFS(Table1[[AwayWon]:[AwayWon]], Table1[[GameIsOver]:[GameIsOver]],1,Table1[[HomeTeam]:[HomeTeam]],$A20, Table1[[AwayTeam]:[AwayTeam]], H$1, Table1[[ActualResult]:[ActualResult]], "SO"),0))</f>
        <v>0-0-0</v>
      </c>
      <c r="I20" s="45" t="str">
        <f>_xlfn.CONCAT(TEXT(SUMIFS(Table1[[AwayWon]:[AwayWon]], Table1[[GameIsOver]:[GameIsOver]],1,Table1[[AwayTeam]:[AwayTeam]],$A20, Table1[[HomeTeam]:[HomeTeam]], I$1) + SUMIFS(Table1[[HomeWon]:[HomeWon]], Table1[[GameIsOver]:[GameIsOver]],1,Table1[[HomeTeam]:[HomeTeam]],$A20, Table1[[AwayTeam]:[AwayTeam]], I$1),0), "-", TEXT(SUMIFS(Table1[[HomeWon]:[HomeWon]], Table1[[GameIsOver]:[GameIsOver]],1,Table1[[AwayTeam]:[AwayTeam]],$A20, Table1[[HomeTeam]:[HomeTeam]], I$1, Table1[[ActualResult]:[ActualResult]], "REG") + SUMIFS(Table1[[AwayWon]:[AwayWon]], Table1[[GameIsOver]:[GameIsOver]],1,Table1[[HomeTeam]:[HomeTeam]],$A20, Table1[[AwayTeam]:[AwayTeam]], I$1, Table1[[ActualResult]:[ActualResult]], "REG"),0), "-", TEXT(SUMIFS(Table1[[HomeWon]:[HomeWon]], Table1[[GameIsOver]:[GameIsOver]],1,Table1[[AwayTeam]:[AwayTeam]],$A20, Table1[[HomeTeam]:[HomeTeam]], I$1, Table1[[ActualResult]:[ActualResult]], "OT") + SUMIFS(Table1[[AwayWon]:[AwayWon]], Table1[[GameIsOver]:[GameIsOver]],1,Table1[[HomeTeam]:[HomeTeam]],$A20, Table1[[AwayTeam]:[AwayTeam]], I$1, Table1[[ActualResult]:[ActualResult]], "OT") + SUMIFS(Table1[[HomeWon]:[HomeWon]], Table1[[GameIsOver]:[GameIsOver]],1,Table1[[AwayTeam]:[AwayTeam]],$A20, Table1[[HomeTeam]:[HomeTeam]], I$1, Table1[[ActualResult]:[ActualResult]], "SO") + SUMIFS(Table1[[AwayWon]:[AwayWon]], Table1[[GameIsOver]:[GameIsOver]],1,Table1[[HomeTeam]:[HomeTeam]],$A20, Table1[[AwayTeam]:[AwayTeam]], I$1, Table1[[ActualResult]:[ActualResult]], "SO"),0))</f>
        <v>0-0-0</v>
      </c>
      <c r="J20" s="43" t="str">
        <f>_xlfn.CONCAT(TEXT(SUMIFS(Table1[[AwayWon]:[AwayWon]], Table1[[GameIsOver]:[GameIsOver]],1,Table1[[AwayTeam]:[AwayTeam]],$A20, Table1[[HomeTeam]:[HomeTeam]], J$1) + SUMIFS(Table1[[HomeWon]:[HomeWon]], Table1[[GameIsOver]:[GameIsOver]],1,Table1[[HomeTeam]:[HomeTeam]],$A20, Table1[[AwayTeam]:[AwayTeam]], J$1),0), "-", TEXT(SUMIFS(Table1[[HomeWon]:[HomeWon]], Table1[[GameIsOver]:[GameIsOver]],1,Table1[[AwayTeam]:[AwayTeam]],$A20, Table1[[HomeTeam]:[HomeTeam]], J$1, Table1[[ActualResult]:[ActualResult]], "REG") + SUMIFS(Table1[[AwayWon]:[AwayWon]], Table1[[GameIsOver]:[GameIsOver]],1,Table1[[HomeTeam]:[HomeTeam]],$A20, Table1[[AwayTeam]:[AwayTeam]], J$1, Table1[[ActualResult]:[ActualResult]], "REG"),0), "-", TEXT(SUMIFS(Table1[[HomeWon]:[HomeWon]], Table1[[GameIsOver]:[GameIsOver]],1,Table1[[AwayTeam]:[AwayTeam]],$A20, Table1[[HomeTeam]:[HomeTeam]], J$1, Table1[[ActualResult]:[ActualResult]], "OT") + SUMIFS(Table1[[AwayWon]:[AwayWon]], Table1[[GameIsOver]:[GameIsOver]],1,Table1[[HomeTeam]:[HomeTeam]],$A20, Table1[[AwayTeam]:[AwayTeam]], J$1, Table1[[ActualResult]:[ActualResult]], "OT") + SUMIFS(Table1[[HomeWon]:[HomeWon]], Table1[[GameIsOver]:[GameIsOver]],1,Table1[[AwayTeam]:[AwayTeam]],$A20, Table1[[HomeTeam]:[HomeTeam]], J$1, Table1[[ActualResult]:[ActualResult]], "SO") + SUMIFS(Table1[[AwayWon]:[AwayWon]], Table1[[GameIsOver]:[GameIsOver]],1,Table1[[HomeTeam]:[HomeTeam]],$A20, Table1[[AwayTeam]:[AwayTeam]], J$1, Table1[[ActualResult]:[ActualResult]], "SO"),0))</f>
        <v>0-0-0</v>
      </c>
      <c r="K20" s="43" t="str">
        <f>_xlfn.CONCAT(TEXT(SUMIFS(Table1[[AwayWon]:[AwayWon]], Table1[[GameIsOver]:[GameIsOver]],1,Table1[[AwayTeam]:[AwayTeam]],$A20, Table1[[HomeTeam]:[HomeTeam]], K$1) + SUMIFS(Table1[[HomeWon]:[HomeWon]], Table1[[GameIsOver]:[GameIsOver]],1,Table1[[HomeTeam]:[HomeTeam]],$A20, Table1[[AwayTeam]:[AwayTeam]], K$1),0), "-", TEXT(SUMIFS(Table1[[HomeWon]:[HomeWon]], Table1[[GameIsOver]:[GameIsOver]],1,Table1[[AwayTeam]:[AwayTeam]],$A20, Table1[[HomeTeam]:[HomeTeam]], K$1, Table1[[ActualResult]:[ActualResult]], "REG") + SUMIFS(Table1[[AwayWon]:[AwayWon]], Table1[[GameIsOver]:[GameIsOver]],1,Table1[[HomeTeam]:[HomeTeam]],$A20, Table1[[AwayTeam]:[AwayTeam]], K$1, Table1[[ActualResult]:[ActualResult]], "REG"),0), "-", TEXT(SUMIFS(Table1[[HomeWon]:[HomeWon]], Table1[[GameIsOver]:[GameIsOver]],1,Table1[[AwayTeam]:[AwayTeam]],$A20, Table1[[HomeTeam]:[HomeTeam]], K$1, Table1[[ActualResult]:[ActualResult]], "OT") + SUMIFS(Table1[[AwayWon]:[AwayWon]], Table1[[GameIsOver]:[GameIsOver]],1,Table1[[HomeTeam]:[HomeTeam]],$A20, Table1[[AwayTeam]:[AwayTeam]], K$1, Table1[[ActualResult]:[ActualResult]], "OT") + SUMIFS(Table1[[HomeWon]:[HomeWon]], Table1[[GameIsOver]:[GameIsOver]],1,Table1[[AwayTeam]:[AwayTeam]],$A20, Table1[[HomeTeam]:[HomeTeam]], K$1, Table1[[ActualResult]:[ActualResult]], "SO") + SUMIFS(Table1[[AwayWon]:[AwayWon]], Table1[[GameIsOver]:[GameIsOver]],1,Table1[[HomeTeam]:[HomeTeam]],$A20, Table1[[AwayTeam]:[AwayTeam]], K$1, Table1[[ActualResult]:[ActualResult]], "SO"),0))</f>
        <v>0-0-0</v>
      </c>
      <c r="L20" s="43" t="str">
        <f>_xlfn.CONCAT(TEXT(SUMIFS(Table1[[AwayWon]:[AwayWon]], Table1[[GameIsOver]:[GameIsOver]],1,Table1[[AwayTeam]:[AwayTeam]],$A20, Table1[[HomeTeam]:[HomeTeam]], L$1) + SUMIFS(Table1[[HomeWon]:[HomeWon]], Table1[[GameIsOver]:[GameIsOver]],1,Table1[[HomeTeam]:[HomeTeam]],$A20, Table1[[AwayTeam]:[AwayTeam]], L$1),0), "-", TEXT(SUMIFS(Table1[[HomeWon]:[HomeWon]], Table1[[GameIsOver]:[GameIsOver]],1,Table1[[AwayTeam]:[AwayTeam]],$A20, Table1[[HomeTeam]:[HomeTeam]], L$1, Table1[[ActualResult]:[ActualResult]], "REG") + SUMIFS(Table1[[AwayWon]:[AwayWon]], Table1[[GameIsOver]:[GameIsOver]],1,Table1[[HomeTeam]:[HomeTeam]],$A20, Table1[[AwayTeam]:[AwayTeam]], L$1, Table1[[ActualResult]:[ActualResult]], "REG"),0), "-", TEXT(SUMIFS(Table1[[HomeWon]:[HomeWon]], Table1[[GameIsOver]:[GameIsOver]],1,Table1[[AwayTeam]:[AwayTeam]],$A20, Table1[[HomeTeam]:[HomeTeam]], L$1, Table1[[ActualResult]:[ActualResult]], "OT") + SUMIFS(Table1[[AwayWon]:[AwayWon]], Table1[[GameIsOver]:[GameIsOver]],1,Table1[[HomeTeam]:[HomeTeam]],$A20, Table1[[AwayTeam]:[AwayTeam]], L$1, Table1[[ActualResult]:[ActualResult]], "OT") + SUMIFS(Table1[[HomeWon]:[HomeWon]], Table1[[GameIsOver]:[GameIsOver]],1,Table1[[AwayTeam]:[AwayTeam]],$A20, Table1[[HomeTeam]:[HomeTeam]], L$1, Table1[[ActualResult]:[ActualResult]], "SO") + SUMIFS(Table1[[AwayWon]:[AwayWon]], Table1[[GameIsOver]:[GameIsOver]],1,Table1[[HomeTeam]:[HomeTeam]],$A20, Table1[[AwayTeam]:[AwayTeam]], L$1, Table1[[ActualResult]:[ActualResult]], "SO"),0))</f>
        <v>0-0-0</v>
      </c>
      <c r="M20" s="43" t="str">
        <f>_xlfn.CONCAT(TEXT(SUMIFS(Table1[[AwayWon]:[AwayWon]], Table1[[GameIsOver]:[GameIsOver]],1,Table1[[AwayTeam]:[AwayTeam]],$A20, Table1[[HomeTeam]:[HomeTeam]], M$1) + SUMIFS(Table1[[HomeWon]:[HomeWon]], Table1[[GameIsOver]:[GameIsOver]],1,Table1[[HomeTeam]:[HomeTeam]],$A20, Table1[[AwayTeam]:[AwayTeam]], M$1),0), "-", TEXT(SUMIFS(Table1[[HomeWon]:[HomeWon]], Table1[[GameIsOver]:[GameIsOver]],1,Table1[[AwayTeam]:[AwayTeam]],$A20, Table1[[HomeTeam]:[HomeTeam]], M$1, Table1[[ActualResult]:[ActualResult]], "REG") + SUMIFS(Table1[[AwayWon]:[AwayWon]], Table1[[GameIsOver]:[GameIsOver]],1,Table1[[HomeTeam]:[HomeTeam]],$A20, Table1[[AwayTeam]:[AwayTeam]], M$1, Table1[[ActualResult]:[ActualResult]], "REG"),0), "-", TEXT(SUMIFS(Table1[[HomeWon]:[HomeWon]], Table1[[GameIsOver]:[GameIsOver]],1,Table1[[AwayTeam]:[AwayTeam]],$A20, Table1[[HomeTeam]:[HomeTeam]], M$1, Table1[[ActualResult]:[ActualResult]], "OT") + SUMIFS(Table1[[AwayWon]:[AwayWon]], Table1[[GameIsOver]:[GameIsOver]],1,Table1[[HomeTeam]:[HomeTeam]],$A20, Table1[[AwayTeam]:[AwayTeam]], M$1, Table1[[ActualResult]:[ActualResult]], "OT") + SUMIFS(Table1[[HomeWon]:[HomeWon]], Table1[[GameIsOver]:[GameIsOver]],1,Table1[[AwayTeam]:[AwayTeam]],$A20, Table1[[HomeTeam]:[HomeTeam]], M$1, Table1[[ActualResult]:[ActualResult]], "SO") + SUMIFS(Table1[[AwayWon]:[AwayWon]], Table1[[GameIsOver]:[GameIsOver]],1,Table1[[HomeTeam]:[HomeTeam]],$A20, Table1[[AwayTeam]:[AwayTeam]], M$1, Table1[[ActualResult]:[ActualResult]], "SO"),0))</f>
        <v>0-0-0</v>
      </c>
      <c r="N20" s="43" t="str">
        <f>_xlfn.CONCAT(TEXT(SUMIFS(Table1[[AwayWon]:[AwayWon]], Table1[[GameIsOver]:[GameIsOver]],1,Table1[[AwayTeam]:[AwayTeam]],$A20, Table1[[HomeTeam]:[HomeTeam]], N$1) + SUMIFS(Table1[[HomeWon]:[HomeWon]], Table1[[GameIsOver]:[GameIsOver]],1,Table1[[HomeTeam]:[HomeTeam]],$A20, Table1[[AwayTeam]:[AwayTeam]], N$1),0), "-", TEXT(SUMIFS(Table1[[HomeWon]:[HomeWon]], Table1[[GameIsOver]:[GameIsOver]],1,Table1[[AwayTeam]:[AwayTeam]],$A20, Table1[[HomeTeam]:[HomeTeam]], N$1, Table1[[ActualResult]:[ActualResult]], "REG") + SUMIFS(Table1[[AwayWon]:[AwayWon]], Table1[[GameIsOver]:[GameIsOver]],1,Table1[[HomeTeam]:[HomeTeam]],$A20, Table1[[AwayTeam]:[AwayTeam]], N$1, Table1[[ActualResult]:[ActualResult]], "REG"),0), "-", TEXT(SUMIFS(Table1[[HomeWon]:[HomeWon]], Table1[[GameIsOver]:[GameIsOver]],1,Table1[[AwayTeam]:[AwayTeam]],$A20, Table1[[HomeTeam]:[HomeTeam]], N$1, Table1[[ActualResult]:[ActualResult]], "OT") + SUMIFS(Table1[[AwayWon]:[AwayWon]], Table1[[GameIsOver]:[GameIsOver]],1,Table1[[HomeTeam]:[HomeTeam]],$A20, Table1[[AwayTeam]:[AwayTeam]], N$1, Table1[[ActualResult]:[ActualResult]], "OT") + SUMIFS(Table1[[HomeWon]:[HomeWon]], Table1[[GameIsOver]:[GameIsOver]],1,Table1[[AwayTeam]:[AwayTeam]],$A20, Table1[[HomeTeam]:[HomeTeam]], N$1, Table1[[ActualResult]:[ActualResult]], "SO") + SUMIFS(Table1[[AwayWon]:[AwayWon]], Table1[[GameIsOver]:[GameIsOver]],1,Table1[[HomeTeam]:[HomeTeam]],$A20, Table1[[AwayTeam]:[AwayTeam]], N$1, Table1[[ActualResult]:[ActualResult]], "SO"),0))</f>
        <v>0-0-0</v>
      </c>
      <c r="O20" s="43" t="str">
        <f>_xlfn.CONCAT(TEXT(SUMIFS(Table1[[AwayWon]:[AwayWon]], Table1[[GameIsOver]:[GameIsOver]],1,Table1[[AwayTeam]:[AwayTeam]],$A20, Table1[[HomeTeam]:[HomeTeam]], O$1) + SUMIFS(Table1[[HomeWon]:[HomeWon]], Table1[[GameIsOver]:[GameIsOver]],1,Table1[[HomeTeam]:[HomeTeam]],$A20, Table1[[AwayTeam]:[AwayTeam]], O$1),0), "-", TEXT(SUMIFS(Table1[[HomeWon]:[HomeWon]], Table1[[GameIsOver]:[GameIsOver]],1,Table1[[AwayTeam]:[AwayTeam]],$A20, Table1[[HomeTeam]:[HomeTeam]], O$1, Table1[[ActualResult]:[ActualResult]], "REG") + SUMIFS(Table1[[AwayWon]:[AwayWon]], Table1[[GameIsOver]:[GameIsOver]],1,Table1[[HomeTeam]:[HomeTeam]],$A20, Table1[[AwayTeam]:[AwayTeam]], O$1, Table1[[ActualResult]:[ActualResult]], "REG"),0), "-", TEXT(SUMIFS(Table1[[HomeWon]:[HomeWon]], Table1[[GameIsOver]:[GameIsOver]],1,Table1[[AwayTeam]:[AwayTeam]],$A20, Table1[[HomeTeam]:[HomeTeam]], O$1, Table1[[ActualResult]:[ActualResult]], "OT") + SUMIFS(Table1[[AwayWon]:[AwayWon]], Table1[[GameIsOver]:[GameIsOver]],1,Table1[[HomeTeam]:[HomeTeam]],$A20, Table1[[AwayTeam]:[AwayTeam]], O$1, Table1[[ActualResult]:[ActualResult]], "OT") + SUMIFS(Table1[[HomeWon]:[HomeWon]], Table1[[GameIsOver]:[GameIsOver]],1,Table1[[AwayTeam]:[AwayTeam]],$A20, Table1[[HomeTeam]:[HomeTeam]], O$1, Table1[[ActualResult]:[ActualResult]], "SO") + SUMIFS(Table1[[AwayWon]:[AwayWon]], Table1[[GameIsOver]:[GameIsOver]],1,Table1[[HomeTeam]:[HomeTeam]],$A20, Table1[[AwayTeam]:[AwayTeam]], O$1, Table1[[ActualResult]:[ActualResult]], "SO"),0))</f>
        <v>0-0-0</v>
      </c>
      <c r="P20" s="43" t="str">
        <f>_xlfn.CONCAT(TEXT(SUMIFS(Table1[[AwayWon]:[AwayWon]], Table1[[GameIsOver]:[GameIsOver]],1,Table1[[AwayTeam]:[AwayTeam]],$A20, Table1[[HomeTeam]:[HomeTeam]], P$1) + SUMIFS(Table1[[HomeWon]:[HomeWon]], Table1[[GameIsOver]:[GameIsOver]],1,Table1[[HomeTeam]:[HomeTeam]],$A20, Table1[[AwayTeam]:[AwayTeam]], P$1),0), "-", TEXT(SUMIFS(Table1[[HomeWon]:[HomeWon]], Table1[[GameIsOver]:[GameIsOver]],1,Table1[[AwayTeam]:[AwayTeam]],$A20, Table1[[HomeTeam]:[HomeTeam]], P$1, Table1[[ActualResult]:[ActualResult]], "REG") + SUMIFS(Table1[[AwayWon]:[AwayWon]], Table1[[GameIsOver]:[GameIsOver]],1,Table1[[HomeTeam]:[HomeTeam]],$A20, Table1[[AwayTeam]:[AwayTeam]], P$1, Table1[[ActualResult]:[ActualResult]], "REG"),0), "-", TEXT(SUMIFS(Table1[[HomeWon]:[HomeWon]], Table1[[GameIsOver]:[GameIsOver]],1,Table1[[AwayTeam]:[AwayTeam]],$A20, Table1[[HomeTeam]:[HomeTeam]], P$1, Table1[[ActualResult]:[ActualResult]], "OT") + SUMIFS(Table1[[AwayWon]:[AwayWon]], Table1[[GameIsOver]:[GameIsOver]],1,Table1[[HomeTeam]:[HomeTeam]],$A20, Table1[[AwayTeam]:[AwayTeam]], P$1, Table1[[ActualResult]:[ActualResult]], "OT") + SUMIFS(Table1[[HomeWon]:[HomeWon]], Table1[[GameIsOver]:[GameIsOver]],1,Table1[[AwayTeam]:[AwayTeam]],$A20, Table1[[HomeTeam]:[HomeTeam]], P$1, Table1[[ActualResult]:[ActualResult]], "SO") + SUMIFS(Table1[[AwayWon]:[AwayWon]], Table1[[GameIsOver]:[GameIsOver]],1,Table1[[HomeTeam]:[HomeTeam]],$A20, Table1[[AwayTeam]:[AwayTeam]], P$1, Table1[[ActualResult]:[ActualResult]], "SO"),0))</f>
        <v>0-0-0</v>
      </c>
      <c r="Q20" s="45" t="str">
        <f>_xlfn.CONCAT(TEXT(SUMIFS(Table1[[AwayWon]:[AwayWon]], Table1[[GameIsOver]:[GameIsOver]],1,Table1[[AwayTeam]:[AwayTeam]],$A20, Table1[[HomeTeam]:[HomeTeam]], Q$1) + SUMIFS(Table1[[HomeWon]:[HomeWon]], Table1[[GameIsOver]:[GameIsOver]],1,Table1[[HomeTeam]:[HomeTeam]],$A20, Table1[[AwayTeam]:[AwayTeam]], Q$1),0), "-", TEXT(SUMIFS(Table1[[HomeWon]:[HomeWon]], Table1[[GameIsOver]:[GameIsOver]],1,Table1[[AwayTeam]:[AwayTeam]],$A20, Table1[[HomeTeam]:[HomeTeam]], Q$1, Table1[[ActualResult]:[ActualResult]], "REG") + SUMIFS(Table1[[AwayWon]:[AwayWon]], Table1[[GameIsOver]:[GameIsOver]],1,Table1[[HomeTeam]:[HomeTeam]],$A20, Table1[[AwayTeam]:[AwayTeam]], Q$1, Table1[[ActualResult]:[ActualResult]], "REG"),0), "-", TEXT(SUMIFS(Table1[[HomeWon]:[HomeWon]], Table1[[GameIsOver]:[GameIsOver]],1,Table1[[AwayTeam]:[AwayTeam]],$A20, Table1[[HomeTeam]:[HomeTeam]], Q$1, Table1[[ActualResult]:[ActualResult]], "OT") + SUMIFS(Table1[[AwayWon]:[AwayWon]], Table1[[GameIsOver]:[GameIsOver]],1,Table1[[HomeTeam]:[HomeTeam]],$A20, Table1[[AwayTeam]:[AwayTeam]], Q$1, Table1[[ActualResult]:[ActualResult]], "OT") + SUMIFS(Table1[[HomeWon]:[HomeWon]], Table1[[GameIsOver]:[GameIsOver]],1,Table1[[AwayTeam]:[AwayTeam]],$A20, Table1[[HomeTeam]:[HomeTeam]], Q$1, Table1[[ActualResult]:[ActualResult]], "SO") + SUMIFS(Table1[[AwayWon]:[AwayWon]], Table1[[GameIsOver]:[GameIsOver]],1,Table1[[HomeTeam]:[HomeTeam]],$A20, Table1[[AwayTeam]:[AwayTeam]], Q$1, Table1[[ActualResult]:[ActualResult]], "SO"),0))</f>
        <v>0-0-0</v>
      </c>
      <c r="R20" s="43" t="str">
        <f>_xlfn.CONCAT(TEXT(SUMIFS(Table1[[AwayWon]:[AwayWon]], Table1[[GameIsOver]:[GameIsOver]],1,Table1[[AwayTeam]:[AwayTeam]],$A20, Table1[[HomeTeam]:[HomeTeam]], R$1) + SUMIFS(Table1[[HomeWon]:[HomeWon]], Table1[[GameIsOver]:[GameIsOver]],1,Table1[[HomeTeam]:[HomeTeam]],$A20, Table1[[AwayTeam]:[AwayTeam]], R$1),0), "-", TEXT(SUMIFS(Table1[[HomeWon]:[HomeWon]], Table1[[GameIsOver]:[GameIsOver]],1,Table1[[AwayTeam]:[AwayTeam]],$A20, Table1[[HomeTeam]:[HomeTeam]], R$1, Table1[[ActualResult]:[ActualResult]], "REG") + SUMIFS(Table1[[AwayWon]:[AwayWon]], Table1[[GameIsOver]:[GameIsOver]],1,Table1[[HomeTeam]:[HomeTeam]],$A20, Table1[[AwayTeam]:[AwayTeam]], R$1, Table1[[ActualResult]:[ActualResult]], "REG"),0), "-", TEXT(SUMIFS(Table1[[HomeWon]:[HomeWon]], Table1[[GameIsOver]:[GameIsOver]],1,Table1[[AwayTeam]:[AwayTeam]],$A20, Table1[[HomeTeam]:[HomeTeam]], R$1, Table1[[ActualResult]:[ActualResult]], "OT") + SUMIFS(Table1[[AwayWon]:[AwayWon]], Table1[[GameIsOver]:[GameIsOver]],1,Table1[[HomeTeam]:[HomeTeam]],$A20, Table1[[AwayTeam]:[AwayTeam]], R$1, Table1[[ActualResult]:[ActualResult]], "OT") + SUMIFS(Table1[[HomeWon]:[HomeWon]], Table1[[GameIsOver]:[GameIsOver]],1,Table1[[AwayTeam]:[AwayTeam]],$A20, Table1[[HomeTeam]:[HomeTeam]], R$1, Table1[[ActualResult]:[ActualResult]], "SO") + SUMIFS(Table1[[AwayWon]:[AwayWon]], Table1[[GameIsOver]:[GameIsOver]],1,Table1[[HomeTeam]:[HomeTeam]],$A20, Table1[[AwayTeam]:[AwayTeam]], R$1, Table1[[ActualResult]:[ActualResult]], "SO"),0))</f>
        <v>0-0-0</v>
      </c>
      <c r="S20" s="43" t="str">
        <f>_xlfn.CONCAT(TEXT(SUMIFS(Table1[[AwayWon]:[AwayWon]], Table1[[GameIsOver]:[GameIsOver]],1,Table1[[AwayTeam]:[AwayTeam]],$A20, Table1[[HomeTeam]:[HomeTeam]], S$1) + SUMIFS(Table1[[HomeWon]:[HomeWon]], Table1[[GameIsOver]:[GameIsOver]],1,Table1[[HomeTeam]:[HomeTeam]],$A20, Table1[[AwayTeam]:[AwayTeam]], S$1),0), "-", TEXT(SUMIFS(Table1[[HomeWon]:[HomeWon]], Table1[[GameIsOver]:[GameIsOver]],1,Table1[[AwayTeam]:[AwayTeam]],$A20, Table1[[HomeTeam]:[HomeTeam]], S$1, Table1[[ActualResult]:[ActualResult]], "REG") + SUMIFS(Table1[[AwayWon]:[AwayWon]], Table1[[GameIsOver]:[GameIsOver]],1,Table1[[HomeTeam]:[HomeTeam]],$A20, Table1[[AwayTeam]:[AwayTeam]], S$1, Table1[[ActualResult]:[ActualResult]], "REG"),0), "-", TEXT(SUMIFS(Table1[[HomeWon]:[HomeWon]], Table1[[GameIsOver]:[GameIsOver]],1,Table1[[AwayTeam]:[AwayTeam]],$A20, Table1[[HomeTeam]:[HomeTeam]], S$1, Table1[[ActualResult]:[ActualResult]], "OT") + SUMIFS(Table1[[AwayWon]:[AwayWon]], Table1[[GameIsOver]:[GameIsOver]],1,Table1[[HomeTeam]:[HomeTeam]],$A20, Table1[[AwayTeam]:[AwayTeam]], S$1, Table1[[ActualResult]:[ActualResult]], "OT") + SUMIFS(Table1[[HomeWon]:[HomeWon]], Table1[[GameIsOver]:[GameIsOver]],1,Table1[[AwayTeam]:[AwayTeam]],$A20, Table1[[HomeTeam]:[HomeTeam]], S$1, Table1[[ActualResult]:[ActualResult]], "SO") + SUMIFS(Table1[[AwayWon]:[AwayWon]], Table1[[GameIsOver]:[GameIsOver]],1,Table1[[HomeTeam]:[HomeTeam]],$A20, Table1[[AwayTeam]:[AwayTeam]], S$1, Table1[[ActualResult]:[ActualResult]], "SO"),0))</f>
        <v>0-0-0</v>
      </c>
      <c r="T20" s="43" t="str">
        <f>_xlfn.CONCAT(TEXT(SUMIFS(Table1[[AwayWon]:[AwayWon]], Table1[[GameIsOver]:[GameIsOver]],1,Table1[[AwayTeam]:[AwayTeam]],$A20, Table1[[HomeTeam]:[HomeTeam]], T$1) + SUMIFS(Table1[[HomeWon]:[HomeWon]], Table1[[GameIsOver]:[GameIsOver]],1,Table1[[HomeTeam]:[HomeTeam]],$A20, Table1[[AwayTeam]:[AwayTeam]], T$1),0), "-", TEXT(SUMIFS(Table1[[HomeWon]:[HomeWon]], Table1[[GameIsOver]:[GameIsOver]],1,Table1[[AwayTeam]:[AwayTeam]],$A20, Table1[[HomeTeam]:[HomeTeam]], T$1, Table1[[ActualResult]:[ActualResult]], "REG") + SUMIFS(Table1[[AwayWon]:[AwayWon]], Table1[[GameIsOver]:[GameIsOver]],1,Table1[[HomeTeam]:[HomeTeam]],$A20, Table1[[AwayTeam]:[AwayTeam]], T$1, Table1[[ActualResult]:[ActualResult]], "REG"),0), "-", TEXT(SUMIFS(Table1[[HomeWon]:[HomeWon]], Table1[[GameIsOver]:[GameIsOver]],1,Table1[[AwayTeam]:[AwayTeam]],$A20, Table1[[HomeTeam]:[HomeTeam]], T$1, Table1[[ActualResult]:[ActualResult]], "OT") + SUMIFS(Table1[[AwayWon]:[AwayWon]], Table1[[GameIsOver]:[GameIsOver]],1,Table1[[HomeTeam]:[HomeTeam]],$A20, Table1[[AwayTeam]:[AwayTeam]], T$1, Table1[[ActualResult]:[ActualResult]], "OT") + SUMIFS(Table1[[HomeWon]:[HomeWon]], Table1[[GameIsOver]:[GameIsOver]],1,Table1[[AwayTeam]:[AwayTeam]],$A20, Table1[[HomeTeam]:[HomeTeam]], T$1, Table1[[ActualResult]:[ActualResult]], "SO") + SUMIFS(Table1[[AwayWon]:[AwayWon]], Table1[[GameIsOver]:[GameIsOver]],1,Table1[[HomeTeam]:[HomeTeam]],$A20, Table1[[AwayTeam]:[AwayTeam]], T$1, Table1[[ActualResult]:[ActualResult]], "SO"),0))</f>
        <v>0-0-0</v>
      </c>
      <c r="U20" s="43" t="str">
        <f>_xlfn.CONCAT(TEXT(SUMIFS(Table1[[AwayWon]:[AwayWon]], Table1[[GameIsOver]:[GameIsOver]],1,Table1[[AwayTeam]:[AwayTeam]],$A20, Table1[[HomeTeam]:[HomeTeam]], U$1) + SUMIFS(Table1[[HomeWon]:[HomeWon]], Table1[[GameIsOver]:[GameIsOver]],1,Table1[[HomeTeam]:[HomeTeam]],$A20, Table1[[AwayTeam]:[AwayTeam]], U$1),0), "-", TEXT(SUMIFS(Table1[[HomeWon]:[HomeWon]], Table1[[GameIsOver]:[GameIsOver]],1,Table1[[AwayTeam]:[AwayTeam]],$A20, Table1[[HomeTeam]:[HomeTeam]], U$1, Table1[[ActualResult]:[ActualResult]], "REG") + SUMIFS(Table1[[AwayWon]:[AwayWon]], Table1[[GameIsOver]:[GameIsOver]],1,Table1[[HomeTeam]:[HomeTeam]],$A20, Table1[[AwayTeam]:[AwayTeam]], U$1, Table1[[ActualResult]:[ActualResult]], "REG"),0), "-", TEXT(SUMIFS(Table1[[HomeWon]:[HomeWon]], Table1[[GameIsOver]:[GameIsOver]],1,Table1[[AwayTeam]:[AwayTeam]],$A20, Table1[[HomeTeam]:[HomeTeam]], U$1, Table1[[ActualResult]:[ActualResult]], "OT") + SUMIFS(Table1[[AwayWon]:[AwayWon]], Table1[[GameIsOver]:[GameIsOver]],1,Table1[[HomeTeam]:[HomeTeam]],$A20, Table1[[AwayTeam]:[AwayTeam]], U$1, Table1[[ActualResult]:[ActualResult]], "OT") + SUMIFS(Table1[[HomeWon]:[HomeWon]], Table1[[GameIsOver]:[GameIsOver]],1,Table1[[AwayTeam]:[AwayTeam]],$A20, Table1[[HomeTeam]:[HomeTeam]], U$1, Table1[[ActualResult]:[ActualResult]], "SO") + SUMIFS(Table1[[AwayWon]:[AwayWon]], Table1[[GameIsOver]:[GameIsOver]],1,Table1[[HomeTeam]:[HomeTeam]],$A20, Table1[[AwayTeam]:[AwayTeam]], U$1, Table1[[ActualResult]:[ActualResult]], "SO"),0))</f>
        <v>0-0-0</v>
      </c>
      <c r="V20" s="43" t="str">
        <f>_xlfn.CONCAT(TEXT(SUMIFS(Table1[[AwayWon]:[AwayWon]], Table1[[GameIsOver]:[GameIsOver]],1,Table1[[AwayTeam]:[AwayTeam]],$A20, Table1[[HomeTeam]:[HomeTeam]], V$1) + SUMIFS(Table1[[HomeWon]:[HomeWon]], Table1[[GameIsOver]:[GameIsOver]],1,Table1[[HomeTeam]:[HomeTeam]],$A20, Table1[[AwayTeam]:[AwayTeam]], V$1),0), "-", TEXT(SUMIFS(Table1[[HomeWon]:[HomeWon]], Table1[[GameIsOver]:[GameIsOver]],1,Table1[[AwayTeam]:[AwayTeam]],$A20, Table1[[HomeTeam]:[HomeTeam]], V$1, Table1[[ActualResult]:[ActualResult]], "REG") + SUMIFS(Table1[[AwayWon]:[AwayWon]], Table1[[GameIsOver]:[GameIsOver]],1,Table1[[HomeTeam]:[HomeTeam]],$A20, Table1[[AwayTeam]:[AwayTeam]], V$1, Table1[[ActualResult]:[ActualResult]], "REG"),0), "-", TEXT(SUMIFS(Table1[[HomeWon]:[HomeWon]], Table1[[GameIsOver]:[GameIsOver]],1,Table1[[AwayTeam]:[AwayTeam]],$A20, Table1[[HomeTeam]:[HomeTeam]], V$1, Table1[[ActualResult]:[ActualResult]], "OT") + SUMIFS(Table1[[AwayWon]:[AwayWon]], Table1[[GameIsOver]:[GameIsOver]],1,Table1[[HomeTeam]:[HomeTeam]],$A20, Table1[[AwayTeam]:[AwayTeam]], V$1, Table1[[ActualResult]:[ActualResult]], "OT") + SUMIFS(Table1[[HomeWon]:[HomeWon]], Table1[[GameIsOver]:[GameIsOver]],1,Table1[[AwayTeam]:[AwayTeam]],$A20, Table1[[HomeTeam]:[HomeTeam]], V$1, Table1[[ActualResult]:[ActualResult]], "SO") + SUMIFS(Table1[[AwayWon]:[AwayWon]], Table1[[GameIsOver]:[GameIsOver]],1,Table1[[HomeTeam]:[HomeTeam]],$A20, Table1[[AwayTeam]:[AwayTeam]], V$1, Table1[[ActualResult]:[ActualResult]], "SO"),0))</f>
        <v>0-0-0</v>
      </c>
      <c r="W20" s="43" t="str">
        <f>_xlfn.CONCAT(TEXT(SUMIFS(Table1[[AwayWon]:[AwayWon]], Table1[[GameIsOver]:[GameIsOver]],1,Table1[[AwayTeam]:[AwayTeam]],$A20, Table1[[HomeTeam]:[HomeTeam]], W$1) + SUMIFS(Table1[[HomeWon]:[HomeWon]], Table1[[GameIsOver]:[GameIsOver]],1,Table1[[HomeTeam]:[HomeTeam]],$A20, Table1[[AwayTeam]:[AwayTeam]], W$1),0), "-", TEXT(SUMIFS(Table1[[HomeWon]:[HomeWon]], Table1[[GameIsOver]:[GameIsOver]],1,Table1[[AwayTeam]:[AwayTeam]],$A20, Table1[[HomeTeam]:[HomeTeam]], W$1, Table1[[ActualResult]:[ActualResult]], "REG") + SUMIFS(Table1[[AwayWon]:[AwayWon]], Table1[[GameIsOver]:[GameIsOver]],1,Table1[[HomeTeam]:[HomeTeam]],$A20, Table1[[AwayTeam]:[AwayTeam]], W$1, Table1[[ActualResult]:[ActualResult]], "REG"),0), "-", TEXT(SUMIFS(Table1[[HomeWon]:[HomeWon]], Table1[[GameIsOver]:[GameIsOver]],1,Table1[[AwayTeam]:[AwayTeam]],$A20, Table1[[HomeTeam]:[HomeTeam]], W$1, Table1[[ActualResult]:[ActualResult]], "OT") + SUMIFS(Table1[[AwayWon]:[AwayWon]], Table1[[GameIsOver]:[GameIsOver]],1,Table1[[HomeTeam]:[HomeTeam]],$A20, Table1[[AwayTeam]:[AwayTeam]], W$1, Table1[[ActualResult]:[ActualResult]], "OT") + SUMIFS(Table1[[HomeWon]:[HomeWon]], Table1[[GameIsOver]:[GameIsOver]],1,Table1[[AwayTeam]:[AwayTeam]],$A20, Table1[[HomeTeam]:[HomeTeam]], W$1, Table1[[ActualResult]:[ActualResult]], "SO") + SUMIFS(Table1[[AwayWon]:[AwayWon]], Table1[[GameIsOver]:[GameIsOver]],1,Table1[[HomeTeam]:[HomeTeam]],$A20, Table1[[AwayTeam]:[AwayTeam]], W$1, Table1[[ActualResult]:[ActualResult]], "SO"),0))</f>
        <v>1-0-0</v>
      </c>
      <c r="X20" s="43" t="str">
        <f>_xlfn.CONCAT(TEXT(SUMIFS(Table1[[AwayWon]:[AwayWon]], Table1[[GameIsOver]:[GameIsOver]],1,Table1[[AwayTeam]:[AwayTeam]],$A20, Table1[[HomeTeam]:[HomeTeam]], X$1) + SUMIFS(Table1[[HomeWon]:[HomeWon]], Table1[[GameIsOver]:[GameIsOver]],1,Table1[[HomeTeam]:[HomeTeam]],$A20, Table1[[AwayTeam]:[AwayTeam]], X$1),0), "-", TEXT(SUMIFS(Table1[[HomeWon]:[HomeWon]], Table1[[GameIsOver]:[GameIsOver]],1,Table1[[AwayTeam]:[AwayTeam]],$A20, Table1[[HomeTeam]:[HomeTeam]], X$1, Table1[[ActualResult]:[ActualResult]], "REG") + SUMIFS(Table1[[AwayWon]:[AwayWon]], Table1[[GameIsOver]:[GameIsOver]],1,Table1[[HomeTeam]:[HomeTeam]],$A20, Table1[[AwayTeam]:[AwayTeam]], X$1, Table1[[ActualResult]:[ActualResult]], "REG"),0), "-", TEXT(SUMIFS(Table1[[HomeWon]:[HomeWon]], Table1[[GameIsOver]:[GameIsOver]],1,Table1[[AwayTeam]:[AwayTeam]],$A20, Table1[[HomeTeam]:[HomeTeam]], X$1, Table1[[ActualResult]:[ActualResult]], "OT") + SUMIFS(Table1[[AwayWon]:[AwayWon]], Table1[[GameIsOver]:[GameIsOver]],1,Table1[[HomeTeam]:[HomeTeam]],$A20, Table1[[AwayTeam]:[AwayTeam]], X$1, Table1[[ActualResult]:[ActualResult]], "OT") + SUMIFS(Table1[[HomeWon]:[HomeWon]], Table1[[GameIsOver]:[GameIsOver]],1,Table1[[AwayTeam]:[AwayTeam]],$A20, Table1[[HomeTeam]:[HomeTeam]], X$1, Table1[[ActualResult]:[ActualResult]], "SO") + SUMIFS(Table1[[AwayWon]:[AwayWon]], Table1[[GameIsOver]:[GameIsOver]],1,Table1[[HomeTeam]:[HomeTeam]],$A20, Table1[[AwayTeam]:[AwayTeam]], X$1, Table1[[ActualResult]:[ActualResult]], "SO"),0))</f>
        <v>0-0-0</v>
      </c>
      <c r="Y20" s="45" t="str">
        <f>_xlfn.CONCAT(TEXT(SUMIFS(Table1[[AwayWon]:[AwayWon]], Table1[[GameIsOver]:[GameIsOver]],1,Table1[[AwayTeam]:[AwayTeam]],$A20, Table1[[HomeTeam]:[HomeTeam]], Y$1) + SUMIFS(Table1[[HomeWon]:[HomeWon]], Table1[[GameIsOver]:[GameIsOver]],1,Table1[[HomeTeam]:[HomeTeam]],$A20, Table1[[AwayTeam]:[AwayTeam]], Y$1),0), "-", TEXT(SUMIFS(Table1[[HomeWon]:[HomeWon]], Table1[[GameIsOver]:[GameIsOver]],1,Table1[[AwayTeam]:[AwayTeam]],$A20, Table1[[HomeTeam]:[HomeTeam]], Y$1, Table1[[ActualResult]:[ActualResult]], "REG") + SUMIFS(Table1[[AwayWon]:[AwayWon]], Table1[[GameIsOver]:[GameIsOver]],1,Table1[[HomeTeam]:[HomeTeam]],$A20, Table1[[AwayTeam]:[AwayTeam]], Y$1, Table1[[ActualResult]:[ActualResult]], "REG"),0), "-", TEXT(SUMIFS(Table1[[HomeWon]:[HomeWon]], Table1[[GameIsOver]:[GameIsOver]],1,Table1[[AwayTeam]:[AwayTeam]],$A20, Table1[[HomeTeam]:[HomeTeam]], Y$1, Table1[[ActualResult]:[ActualResult]], "OT") + SUMIFS(Table1[[AwayWon]:[AwayWon]], Table1[[GameIsOver]:[GameIsOver]],1,Table1[[HomeTeam]:[HomeTeam]],$A20, Table1[[AwayTeam]:[AwayTeam]], Y$1, Table1[[ActualResult]:[ActualResult]], "OT") + SUMIFS(Table1[[HomeWon]:[HomeWon]], Table1[[GameIsOver]:[GameIsOver]],1,Table1[[AwayTeam]:[AwayTeam]],$A20, Table1[[HomeTeam]:[HomeTeam]], Y$1, Table1[[ActualResult]:[ActualResult]], "SO") + SUMIFS(Table1[[AwayWon]:[AwayWon]], Table1[[GameIsOver]:[GameIsOver]],1,Table1[[HomeTeam]:[HomeTeam]],$A20, Table1[[AwayTeam]:[AwayTeam]], Y$1, Table1[[ActualResult]:[ActualResult]], "SO"),0))</f>
        <v>0-0-0</v>
      </c>
      <c r="Z20" s="43" t="str">
        <f>_xlfn.CONCAT(TEXT(SUMIFS(Table1[[AwayWon]:[AwayWon]], Table1[[GameIsOver]:[GameIsOver]],1,Table1[[AwayTeam]:[AwayTeam]],$A20, Table1[[HomeTeam]:[HomeTeam]], Z$1) + SUMIFS(Table1[[HomeWon]:[HomeWon]], Table1[[GameIsOver]:[GameIsOver]],1,Table1[[HomeTeam]:[HomeTeam]],$A20, Table1[[AwayTeam]:[AwayTeam]], Z$1),0), "-", TEXT(SUMIFS(Table1[[HomeWon]:[HomeWon]], Table1[[GameIsOver]:[GameIsOver]],1,Table1[[AwayTeam]:[AwayTeam]],$A20, Table1[[HomeTeam]:[HomeTeam]], Z$1, Table1[[ActualResult]:[ActualResult]], "REG") + SUMIFS(Table1[[AwayWon]:[AwayWon]], Table1[[GameIsOver]:[GameIsOver]],1,Table1[[HomeTeam]:[HomeTeam]],$A20, Table1[[AwayTeam]:[AwayTeam]], Z$1, Table1[[ActualResult]:[ActualResult]], "REG"),0), "-", TEXT(SUMIFS(Table1[[HomeWon]:[HomeWon]], Table1[[GameIsOver]:[GameIsOver]],1,Table1[[AwayTeam]:[AwayTeam]],$A20, Table1[[HomeTeam]:[HomeTeam]], Z$1, Table1[[ActualResult]:[ActualResult]], "OT") + SUMIFS(Table1[[AwayWon]:[AwayWon]], Table1[[GameIsOver]:[GameIsOver]],1,Table1[[HomeTeam]:[HomeTeam]],$A20, Table1[[AwayTeam]:[AwayTeam]], Z$1, Table1[[ActualResult]:[ActualResult]], "OT") + SUMIFS(Table1[[HomeWon]:[HomeWon]], Table1[[GameIsOver]:[GameIsOver]],1,Table1[[AwayTeam]:[AwayTeam]],$A20, Table1[[HomeTeam]:[HomeTeam]], Z$1, Table1[[ActualResult]:[ActualResult]], "SO") + SUMIFS(Table1[[AwayWon]:[AwayWon]], Table1[[GameIsOver]:[GameIsOver]],1,Table1[[HomeTeam]:[HomeTeam]],$A20, Table1[[AwayTeam]:[AwayTeam]], Z$1, Table1[[ActualResult]:[ActualResult]], "SO"),0))</f>
        <v>0-0-0</v>
      </c>
      <c r="AA20" s="43" t="str">
        <f>_xlfn.CONCAT(TEXT(SUMIFS(Table1[[AwayWon]:[AwayWon]], Table1[[GameIsOver]:[GameIsOver]],1,Table1[[AwayTeam]:[AwayTeam]],$A20, Table1[[HomeTeam]:[HomeTeam]], AA$1) + SUMIFS(Table1[[HomeWon]:[HomeWon]], Table1[[GameIsOver]:[GameIsOver]],1,Table1[[HomeTeam]:[HomeTeam]],$A20, Table1[[AwayTeam]:[AwayTeam]], AA$1),0), "-", TEXT(SUMIFS(Table1[[HomeWon]:[HomeWon]], Table1[[GameIsOver]:[GameIsOver]],1,Table1[[AwayTeam]:[AwayTeam]],$A20, Table1[[HomeTeam]:[HomeTeam]], AA$1, Table1[[ActualResult]:[ActualResult]], "REG") + SUMIFS(Table1[[AwayWon]:[AwayWon]], Table1[[GameIsOver]:[GameIsOver]],1,Table1[[HomeTeam]:[HomeTeam]],$A20, Table1[[AwayTeam]:[AwayTeam]], AA$1, Table1[[ActualResult]:[ActualResult]], "REG"),0), "-", TEXT(SUMIFS(Table1[[HomeWon]:[HomeWon]], Table1[[GameIsOver]:[GameIsOver]],1,Table1[[AwayTeam]:[AwayTeam]],$A20, Table1[[HomeTeam]:[HomeTeam]], AA$1, Table1[[ActualResult]:[ActualResult]], "OT") + SUMIFS(Table1[[AwayWon]:[AwayWon]], Table1[[GameIsOver]:[GameIsOver]],1,Table1[[HomeTeam]:[HomeTeam]],$A20, Table1[[AwayTeam]:[AwayTeam]], AA$1, Table1[[ActualResult]:[ActualResult]], "OT") + SUMIFS(Table1[[HomeWon]:[HomeWon]], Table1[[GameIsOver]:[GameIsOver]],1,Table1[[AwayTeam]:[AwayTeam]],$A20, Table1[[HomeTeam]:[HomeTeam]], AA$1, Table1[[ActualResult]:[ActualResult]], "SO") + SUMIFS(Table1[[AwayWon]:[AwayWon]], Table1[[GameIsOver]:[GameIsOver]],1,Table1[[HomeTeam]:[HomeTeam]],$A20, Table1[[AwayTeam]:[AwayTeam]], AA$1, Table1[[ActualResult]:[ActualResult]], "SO"),0))</f>
        <v>0-0-0</v>
      </c>
      <c r="AB20" s="43" t="str">
        <f>_xlfn.CONCAT(TEXT(SUMIFS(Table1[[AwayWon]:[AwayWon]], Table1[[GameIsOver]:[GameIsOver]],1,Table1[[AwayTeam]:[AwayTeam]],$A20, Table1[[HomeTeam]:[HomeTeam]], AB$1) + SUMIFS(Table1[[HomeWon]:[HomeWon]], Table1[[GameIsOver]:[GameIsOver]],1,Table1[[HomeTeam]:[HomeTeam]],$A20, Table1[[AwayTeam]:[AwayTeam]], AB$1),0), "-", TEXT(SUMIFS(Table1[[HomeWon]:[HomeWon]], Table1[[GameIsOver]:[GameIsOver]],1,Table1[[AwayTeam]:[AwayTeam]],$A20, Table1[[HomeTeam]:[HomeTeam]], AB$1, Table1[[ActualResult]:[ActualResult]], "REG") + SUMIFS(Table1[[AwayWon]:[AwayWon]], Table1[[GameIsOver]:[GameIsOver]],1,Table1[[HomeTeam]:[HomeTeam]],$A20, Table1[[AwayTeam]:[AwayTeam]], AB$1, Table1[[ActualResult]:[ActualResult]], "REG"),0), "-", TEXT(SUMIFS(Table1[[HomeWon]:[HomeWon]], Table1[[GameIsOver]:[GameIsOver]],1,Table1[[AwayTeam]:[AwayTeam]],$A20, Table1[[HomeTeam]:[HomeTeam]], AB$1, Table1[[ActualResult]:[ActualResult]], "OT") + SUMIFS(Table1[[AwayWon]:[AwayWon]], Table1[[GameIsOver]:[GameIsOver]],1,Table1[[HomeTeam]:[HomeTeam]],$A20, Table1[[AwayTeam]:[AwayTeam]], AB$1, Table1[[ActualResult]:[ActualResult]], "OT") + SUMIFS(Table1[[HomeWon]:[HomeWon]], Table1[[GameIsOver]:[GameIsOver]],1,Table1[[AwayTeam]:[AwayTeam]],$A20, Table1[[HomeTeam]:[HomeTeam]], AB$1, Table1[[ActualResult]:[ActualResult]], "SO") + SUMIFS(Table1[[AwayWon]:[AwayWon]], Table1[[GameIsOver]:[GameIsOver]],1,Table1[[HomeTeam]:[HomeTeam]],$A20, Table1[[AwayTeam]:[AwayTeam]], AB$1, Table1[[ActualResult]:[ActualResult]], "SO"),0))</f>
        <v>0-0-0</v>
      </c>
      <c r="AC20" s="43" t="str">
        <f>_xlfn.CONCAT(TEXT(SUMIFS(Table1[[AwayWon]:[AwayWon]], Table1[[GameIsOver]:[GameIsOver]],1,Table1[[AwayTeam]:[AwayTeam]],$A20, Table1[[HomeTeam]:[HomeTeam]], AC$1) + SUMIFS(Table1[[HomeWon]:[HomeWon]], Table1[[GameIsOver]:[GameIsOver]],1,Table1[[HomeTeam]:[HomeTeam]],$A20, Table1[[AwayTeam]:[AwayTeam]], AC$1),0), "-", TEXT(SUMIFS(Table1[[HomeWon]:[HomeWon]], Table1[[GameIsOver]:[GameIsOver]],1,Table1[[AwayTeam]:[AwayTeam]],$A20, Table1[[HomeTeam]:[HomeTeam]], AC$1, Table1[[ActualResult]:[ActualResult]], "REG") + SUMIFS(Table1[[AwayWon]:[AwayWon]], Table1[[GameIsOver]:[GameIsOver]],1,Table1[[HomeTeam]:[HomeTeam]],$A20, Table1[[AwayTeam]:[AwayTeam]], AC$1, Table1[[ActualResult]:[ActualResult]], "REG"),0), "-", TEXT(SUMIFS(Table1[[HomeWon]:[HomeWon]], Table1[[GameIsOver]:[GameIsOver]],1,Table1[[AwayTeam]:[AwayTeam]],$A20, Table1[[HomeTeam]:[HomeTeam]], AC$1, Table1[[ActualResult]:[ActualResult]], "OT") + SUMIFS(Table1[[AwayWon]:[AwayWon]], Table1[[GameIsOver]:[GameIsOver]],1,Table1[[HomeTeam]:[HomeTeam]],$A20, Table1[[AwayTeam]:[AwayTeam]], AC$1, Table1[[ActualResult]:[ActualResult]], "OT") + SUMIFS(Table1[[HomeWon]:[HomeWon]], Table1[[GameIsOver]:[GameIsOver]],1,Table1[[AwayTeam]:[AwayTeam]],$A20, Table1[[HomeTeam]:[HomeTeam]], AC$1, Table1[[ActualResult]:[ActualResult]], "SO") + SUMIFS(Table1[[AwayWon]:[AwayWon]], Table1[[GameIsOver]:[GameIsOver]],1,Table1[[HomeTeam]:[HomeTeam]],$A20, Table1[[AwayTeam]:[AwayTeam]], AC$1, Table1[[ActualResult]:[ActualResult]], "SO"),0))</f>
        <v>0-0-0</v>
      </c>
      <c r="AD20" s="43" t="str">
        <f>_xlfn.CONCAT(TEXT(SUMIFS(Table1[[AwayWon]:[AwayWon]], Table1[[GameIsOver]:[GameIsOver]],1,Table1[[AwayTeam]:[AwayTeam]],$A20, Table1[[HomeTeam]:[HomeTeam]], AD$1) + SUMIFS(Table1[[HomeWon]:[HomeWon]], Table1[[GameIsOver]:[GameIsOver]],1,Table1[[HomeTeam]:[HomeTeam]],$A20, Table1[[AwayTeam]:[AwayTeam]], AD$1),0), "-", TEXT(SUMIFS(Table1[[HomeWon]:[HomeWon]], Table1[[GameIsOver]:[GameIsOver]],1,Table1[[AwayTeam]:[AwayTeam]],$A20, Table1[[HomeTeam]:[HomeTeam]], AD$1, Table1[[ActualResult]:[ActualResult]], "REG") + SUMIFS(Table1[[AwayWon]:[AwayWon]], Table1[[GameIsOver]:[GameIsOver]],1,Table1[[HomeTeam]:[HomeTeam]],$A20, Table1[[AwayTeam]:[AwayTeam]], AD$1, Table1[[ActualResult]:[ActualResult]], "REG"),0), "-", TEXT(SUMIFS(Table1[[HomeWon]:[HomeWon]], Table1[[GameIsOver]:[GameIsOver]],1,Table1[[AwayTeam]:[AwayTeam]],$A20, Table1[[HomeTeam]:[HomeTeam]], AD$1, Table1[[ActualResult]:[ActualResult]], "OT") + SUMIFS(Table1[[AwayWon]:[AwayWon]], Table1[[GameIsOver]:[GameIsOver]],1,Table1[[HomeTeam]:[HomeTeam]],$A20, Table1[[AwayTeam]:[AwayTeam]], AD$1, Table1[[ActualResult]:[ActualResult]], "OT") + SUMIFS(Table1[[HomeWon]:[HomeWon]], Table1[[GameIsOver]:[GameIsOver]],1,Table1[[AwayTeam]:[AwayTeam]],$A20, Table1[[HomeTeam]:[HomeTeam]], AD$1, Table1[[ActualResult]:[ActualResult]], "SO") + SUMIFS(Table1[[AwayWon]:[AwayWon]], Table1[[GameIsOver]:[GameIsOver]],1,Table1[[HomeTeam]:[HomeTeam]],$A20, Table1[[AwayTeam]:[AwayTeam]], AD$1, Table1[[ActualResult]:[ActualResult]], "SO"),0))</f>
        <v>0-0-0</v>
      </c>
      <c r="AE20" s="43" t="str">
        <f>_xlfn.CONCAT(TEXT(SUMIFS(Table1[[AwayWon]:[AwayWon]], Table1[[GameIsOver]:[GameIsOver]],1,Table1[[AwayTeam]:[AwayTeam]],$A20, Table1[[HomeTeam]:[HomeTeam]], AE$1) + SUMIFS(Table1[[HomeWon]:[HomeWon]], Table1[[GameIsOver]:[GameIsOver]],1,Table1[[HomeTeam]:[HomeTeam]],$A20, Table1[[AwayTeam]:[AwayTeam]], AE$1),0), "-", TEXT(SUMIFS(Table1[[HomeWon]:[HomeWon]], Table1[[GameIsOver]:[GameIsOver]],1,Table1[[AwayTeam]:[AwayTeam]],$A20, Table1[[HomeTeam]:[HomeTeam]], AE$1, Table1[[ActualResult]:[ActualResult]], "REG") + SUMIFS(Table1[[AwayWon]:[AwayWon]], Table1[[GameIsOver]:[GameIsOver]],1,Table1[[HomeTeam]:[HomeTeam]],$A20, Table1[[AwayTeam]:[AwayTeam]], AE$1, Table1[[ActualResult]:[ActualResult]], "REG"),0), "-", TEXT(SUMIFS(Table1[[HomeWon]:[HomeWon]], Table1[[GameIsOver]:[GameIsOver]],1,Table1[[AwayTeam]:[AwayTeam]],$A20, Table1[[HomeTeam]:[HomeTeam]], AE$1, Table1[[ActualResult]:[ActualResult]], "OT") + SUMIFS(Table1[[AwayWon]:[AwayWon]], Table1[[GameIsOver]:[GameIsOver]],1,Table1[[HomeTeam]:[HomeTeam]],$A20, Table1[[AwayTeam]:[AwayTeam]], AE$1, Table1[[ActualResult]:[ActualResult]], "OT") + SUMIFS(Table1[[HomeWon]:[HomeWon]], Table1[[GameIsOver]:[GameIsOver]],1,Table1[[AwayTeam]:[AwayTeam]],$A20, Table1[[HomeTeam]:[HomeTeam]], AE$1, Table1[[ActualResult]:[ActualResult]], "SO") + SUMIFS(Table1[[AwayWon]:[AwayWon]], Table1[[GameIsOver]:[GameIsOver]],1,Table1[[HomeTeam]:[HomeTeam]],$A20, Table1[[AwayTeam]:[AwayTeam]], AE$1, Table1[[ActualResult]:[ActualResult]], "SO"),0))</f>
        <v>0-0-0</v>
      </c>
      <c r="AF20" s="43" t="str">
        <f>_xlfn.CONCAT(TEXT(SUMIFS(Table1[[AwayWon]:[AwayWon]], Table1[[GameIsOver]:[GameIsOver]],1,Table1[[AwayTeam]:[AwayTeam]],$A20, Table1[[HomeTeam]:[HomeTeam]], AF$1) + SUMIFS(Table1[[HomeWon]:[HomeWon]], Table1[[GameIsOver]:[GameIsOver]],1,Table1[[HomeTeam]:[HomeTeam]],$A20, Table1[[AwayTeam]:[AwayTeam]], AF$1),0), "-", TEXT(SUMIFS(Table1[[HomeWon]:[HomeWon]], Table1[[GameIsOver]:[GameIsOver]],1,Table1[[AwayTeam]:[AwayTeam]],$A20, Table1[[HomeTeam]:[HomeTeam]], AF$1, Table1[[ActualResult]:[ActualResult]], "REG") + SUMIFS(Table1[[AwayWon]:[AwayWon]], Table1[[GameIsOver]:[GameIsOver]],1,Table1[[HomeTeam]:[HomeTeam]],$A20, Table1[[AwayTeam]:[AwayTeam]], AF$1, Table1[[ActualResult]:[ActualResult]], "REG"),0), "-", TEXT(SUMIFS(Table1[[HomeWon]:[HomeWon]], Table1[[GameIsOver]:[GameIsOver]],1,Table1[[AwayTeam]:[AwayTeam]],$A20, Table1[[HomeTeam]:[HomeTeam]], AF$1, Table1[[ActualResult]:[ActualResult]], "OT") + SUMIFS(Table1[[AwayWon]:[AwayWon]], Table1[[GameIsOver]:[GameIsOver]],1,Table1[[HomeTeam]:[HomeTeam]],$A20, Table1[[AwayTeam]:[AwayTeam]], AF$1, Table1[[ActualResult]:[ActualResult]], "OT") + SUMIFS(Table1[[HomeWon]:[HomeWon]], Table1[[GameIsOver]:[GameIsOver]],1,Table1[[AwayTeam]:[AwayTeam]],$A20, Table1[[HomeTeam]:[HomeTeam]], AF$1, Table1[[ActualResult]:[ActualResult]], "SO") + SUMIFS(Table1[[AwayWon]:[AwayWon]], Table1[[GameIsOver]:[GameIsOver]],1,Table1[[HomeTeam]:[HomeTeam]],$A20, Table1[[AwayTeam]:[AwayTeam]], AF$1, Table1[[ActualResult]:[ActualResult]], "SO"),0))</f>
        <v>0-0-0</v>
      </c>
      <c r="AG20" s="43" t="str">
        <f>_xlfn.CONCAT(TEXT(SUMIFS(Table1[[AwayWon]:[AwayWon]], Table1[[GameIsOver]:[GameIsOver]],1,Table1[[AwayTeam]:[AwayTeam]],$A20, Table1[[HomeTeam]:[HomeTeam]], AG$1) + SUMIFS(Table1[[HomeWon]:[HomeWon]], Table1[[GameIsOver]:[GameIsOver]],1,Table1[[HomeTeam]:[HomeTeam]],$A20, Table1[[AwayTeam]:[AwayTeam]], AG$1),0), "-", TEXT(SUMIFS(Table1[[HomeWon]:[HomeWon]], Table1[[GameIsOver]:[GameIsOver]],1,Table1[[AwayTeam]:[AwayTeam]],$A20, Table1[[HomeTeam]:[HomeTeam]], AG$1, Table1[[ActualResult]:[ActualResult]], "REG") + SUMIFS(Table1[[AwayWon]:[AwayWon]], Table1[[GameIsOver]:[GameIsOver]],1,Table1[[HomeTeam]:[HomeTeam]],$A20, Table1[[AwayTeam]:[AwayTeam]], AG$1, Table1[[ActualResult]:[ActualResult]], "REG"),0), "-", TEXT(SUMIFS(Table1[[HomeWon]:[HomeWon]], Table1[[GameIsOver]:[GameIsOver]],1,Table1[[AwayTeam]:[AwayTeam]],$A20, Table1[[HomeTeam]:[HomeTeam]], AG$1, Table1[[ActualResult]:[ActualResult]], "OT") + SUMIFS(Table1[[AwayWon]:[AwayWon]], Table1[[GameIsOver]:[GameIsOver]],1,Table1[[HomeTeam]:[HomeTeam]],$A20, Table1[[AwayTeam]:[AwayTeam]], AG$1, Table1[[ActualResult]:[ActualResult]], "OT") + SUMIFS(Table1[[HomeWon]:[HomeWon]], Table1[[GameIsOver]:[GameIsOver]],1,Table1[[AwayTeam]:[AwayTeam]],$A20, Table1[[HomeTeam]:[HomeTeam]], AG$1, Table1[[ActualResult]:[ActualResult]], "SO") + SUMIFS(Table1[[AwayWon]:[AwayWon]], Table1[[GameIsOver]:[GameIsOver]],1,Table1[[HomeTeam]:[HomeTeam]],$A20, Table1[[AwayTeam]:[AwayTeam]], AG$1, Table1[[ActualResult]:[ActualResult]], "SO"),0))</f>
        <v>0-0-0</v>
      </c>
    </row>
    <row r="21" spans="1:33" x14ac:dyDescent="0.25">
      <c r="A21" s="17" t="s">
        <v>50</v>
      </c>
      <c r="B21" s="43" t="str">
        <f>_xlfn.CONCAT(TEXT(SUMIFS(Table1[[AwayWon]:[AwayWon]], Table1[[GameIsOver]:[GameIsOver]],1,Table1[[AwayTeam]:[AwayTeam]],$A21, Table1[[HomeTeam]:[HomeTeam]], B$1) + SUMIFS(Table1[[HomeWon]:[HomeWon]], Table1[[GameIsOver]:[GameIsOver]],1,Table1[[HomeTeam]:[HomeTeam]],$A21, Table1[[AwayTeam]:[AwayTeam]], B$1),0), "-", TEXT(SUMIFS(Table1[[HomeWon]:[HomeWon]], Table1[[GameIsOver]:[GameIsOver]],1,Table1[[AwayTeam]:[AwayTeam]],$A21, Table1[[HomeTeam]:[HomeTeam]], B$1, Table1[[ActualResult]:[ActualResult]], "REG") + SUMIFS(Table1[[AwayWon]:[AwayWon]], Table1[[GameIsOver]:[GameIsOver]],1,Table1[[HomeTeam]:[HomeTeam]],$A21, Table1[[AwayTeam]:[AwayTeam]], B$1, Table1[[ActualResult]:[ActualResult]], "REG"),0), "-", TEXT(SUMIFS(Table1[[HomeWon]:[HomeWon]], Table1[[GameIsOver]:[GameIsOver]],1,Table1[[AwayTeam]:[AwayTeam]],$A21, Table1[[HomeTeam]:[HomeTeam]], B$1, Table1[[ActualResult]:[ActualResult]], "OT") + SUMIFS(Table1[[AwayWon]:[AwayWon]], Table1[[GameIsOver]:[GameIsOver]],1,Table1[[HomeTeam]:[HomeTeam]],$A21, Table1[[AwayTeam]:[AwayTeam]], B$1, Table1[[ActualResult]:[ActualResult]], "OT") + SUMIFS(Table1[[HomeWon]:[HomeWon]], Table1[[GameIsOver]:[GameIsOver]],1,Table1[[AwayTeam]:[AwayTeam]],$A21, Table1[[HomeTeam]:[HomeTeam]], B$1, Table1[[ActualResult]:[ActualResult]], "SO") + SUMIFS(Table1[[AwayWon]:[AwayWon]], Table1[[GameIsOver]:[GameIsOver]],1,Table1[[HomeTeam]:[HomeTeam]],$A21, Table1[[AwayTeam]:[AwayTeam]], B$1, Table1[[ActualResult]:[ActualResult]], "SO"),0))</f>
        <v>0-0-0</v>
      </c>
      <c r="C21" s="43" t="str">
        <f>_xlfn.CONCAT(TEXT(SUMIFS(Table1[[AwayWon]:[AwayWon]], Table1[[GameIsOver]:[GameIsOver]],1,Table1[[AwayTeam]:[AwayTeam]],$A21, Table1[[HomeTeam]:[HomeTeam]], C$1) + SUMIFS(Table1[[HomeWon]:[HomeWon]], Table1[[GameIsOver]:[GameIsOver]],1,Table1[[HomeTeam]:[HomeTeam]],$A21, Table1[[AwayTeam]:[AwayTeam]], C$1),0), "-", TEXT(SUMIFS(Table1[[HomeWon]:[HomeWon]], Table1[[GameIsOver]:[GameIsOver]],1,Table1[[AwayTeam]:[AwayTeam]],$A21, Table1[[HomeTeam]:[HomeTeam]], C$1, Table1[[ActualResult]:[ActualResult]], "REG") + SUMIFS(Table1[[AwayWon]:[AwayWon]], Table1[[GameIsOver]:[GameIsOver]],1,Table1[[HomeTeam]:[HomeTeam]],$A21, Table1[[AwayTeam]:[AwayTeam]], C$1, Table1[[ActualResult]:[ActualResult]], "REG"),0), "-", TEXT(SUMIFS(Table1[[HomeWon]:[HomeWon]], Table1[[GameIsOver]:[GameIsOver]],1,Table1[[AwayTeam]:[AwayTeam]],$A21, Table1[[HomeTeam]:[HomeTeam]], C$1, Table1[[ActualResult]:[ActualResult]], "OT") + SUMIFS(Table1[[AwayWon]:[AwayWon]], Table1[[GameIsOver]:[GameIsOver]],1,Table1[[HomeTeam]:[HomeTeam]],$A21, Table1[[AwayTeam]:[AwayTeam]], C$1, Table1[[ActualResult]:[ActualResult]], "OT") + SUMIFS(Table1[[HomeWon]:[HomeWon]], Table1[[GameIsOver]:[GameIsOver]],1,Table1[[AwayTeam]:[AwayTeam]],$A21, Table1[[HomeTeam]:[HomeTeam]], C$1, Table1[[ActualResult]:[ActualResult]], "SO") + SUMIFS(Table1[[AwayWon]:[AwayWon]], Table1[[GameIsOver]:[GameIsOver]],1,Table1[[HomeTeam]:[HomeTeam]],$A21, Table1[[AwayTeam]:[AwayTeam]], C$1, Table1[[ActualResult]:[ActualResult]], "SO"),0))</f>
        <v>0-0-0</v>
      </c>
      <c r="D21" s="43" t="str">
        <f>_xlfn.CONCAT(TEXT(SUMIFS(Table1[[AwayWon]:[AwayWon]], Table1[[GameIsOver]:[GameIsOver]],1,Table1[[AwayTeam]:[AwayTeam]],$A21, Table1[[HomeTeam]:[HomeTeam]], D$1) + SUMIFS(Table1[[HomeWon]:[HomeWon]], Table1[[GameIsOver]:[GameIsOver]],1,Table1[[HomeTeam]:[HomeTeam]],$A21, Table1[[AwayTeam]:[AwayTeam]], D$1),0), "-", TEXT(SUMIFS(Table1[[HomeWon]:[HomeWon]], Table1[[GameIsOver]:[GameIsOver]],1,Table1[[AwayTeam]:[AwayTeam]],$A21, Table1[[HomeTeam]:[HomeTeam]], D$1, Table1[[ActualResult]:[ActualResult]], "REG") + SUMIFS(Table1[[AwayWon]:[AwayWon]], Table1[[GameIsOver]:[GameIsOver]],1,Table1[[HomeTeam]:[HomeTeam]],$A21, Table1[[AwayTeam]:[AwayTeam]], D$1, Table1[[ActualResult]:[ActualResult]], "REG"),0), "-", TEXT(SUMIFS(Table1[[HomeWon]:[HomeWon]], Table1[[GameIsOver]:[GameIsOver]],1,Table1[[AwayTeam]:[AwayTeam]],$A21, Table1[[HomeTeam]:[HomeTeam]], D$1, Table1[[ActualResult]:[ActualResult]], "OT") + SUMIFS(Table1[[AwayWon]:[AwayWon]], Table1[[GameIsOver]:[GameIsOver]],1,Table1[[HomeTeam]:[HomeTeam]],$A21, Table1[[AwayTeam]:[AwayTeam]], D$1, Table1[[ActualResult]:[ActualResult]], "OT") + SUMIFS(Table1[[HomeWon]:[HomeWon]], Table1[[GameIsOver]:[GameIsOver]],1,Table1[[AwayTeam]:[AwayTeam]],$A21, Table1[[HomeTeam]:[HomeTeam]], D$1, Table1[[ActualResult]:[ActualResult]], "SO") + SUMIFS(Table1[[AwayWon]:[AwayWon]], Table1[[GameIsOver]:[GameIsOver]],1,Table1[[HomeTeam]:[HomeTeam]],$A21, Table1[[AwayTeam]:[AwayTeam]], D$1, Table1[[ActualResult]:[ActualResult]], "SO"),0))</f>
        <v>0-0-0</v>
      </c>
      <c r="E21" s="43" t="str">
        <f>_xlfn.CONCAT(TEXT(SUMIFS(Table1[[AwayWon]:[AwayWon]], Table1[[GameIsOver]:[GameIsOver]],1,Table1[[AwayTeam]:[AwayTeam]],$A21, Table1[[HomeTeam]:[HomeTeam]], E$1) + SUMIFS(Table1[[HomeWon]:[HomeWon]], Table1[[GameIsOver]:[GameIsOver]],1,Table1[[HomeTeam]:[HomeTeam]],$A21, Table1[[AwayTeam]:[AwayTeam]], E$1),0), "-", TEXT(SUMIFS(Table1[[HomeWon]:[HomeWon]], Table1[[GameIsOver]:[GameIsOver]],1,Table1[[AwayTeam]:[AwayTeam]],$A21, Table1[[HomeTeam]:[HomeTeam]], E$1, Table1[[ActualResult]:[ActualResult]], "REG") + SUMIFS(Table1[[AwayWon]:[AwayWon]], Table1[[GameIsOver]:[GameIsOver]],1,Table1[[HomeTeam]:[HomeTeam]],$A21, Table1[[AwayTeam]:[AwayTeam]], E$1, Table1[[ActualResult]:[ActualResult]], "REG"),0), "-", TEXT(SUMIFS(Table1[[HomeWon]:[HomeWon]], Table1[[GameIsOver]:[GameIsOver]],1,Table1[[AwayTeam]:[AwayTeam]],$A21, Table1[[HomeTeam]:[HomeTeam]], E$1, Table1[[ActualResult]:[ActualResult]], "OT") + SUMIFS(Table1[[AwayWon]:[AwayWon]], Table1[[GameIsOver]:[GameIsOver]],1,Table1[[HomeTeam]:[HomeTeam]],$A21, Table1[[AwayTeam]:[AwayTeam]], E$1, Table1[[ActualResult]:[ActualResult]], "OT") + SUMIFS(Table1[[HomeWon]:[HomeWon]], Table1[[GameIsOver]:[GameIsOver]],1,Table1[[AwayTeam]:[AwayTeam]],$A21, Table1[[HomeTeam]:[HomeTeam]], E$1, Table1[[ActualResult]:[ActualResult]], "SO") + SUMIFS(Table1[[AwayWon]:[AwayWon]], Table1[[GameIsOver]:[GameIsOver]],1,Table1[[HomeTeam]:[HomeTeam]],$A21, Table1[[AwayTeam]:[AwayTeam]], E$1, Table1[[ActualResult]:[ActualResult]], "SO"),0))</f>
        <v>0-0-0</v>
      </c>
      <c r="F21" s="43" t="str">
        <f>_xlfn.CONCAT(TEXT(SUMIFS(Table1[[AwayWon]:[AwayWon]], Table1[[GameIsOver]:[GameIsOver]],1,Table1[[AwayTeam]:[AwayTeam]],$A21, Table1[[HomeTeam]:[HomeTeam]], F$1) + SUMIFS(Table1[[HomeWon]:[HomeWon]], Table1[[GameIsOver]:[GameIsOver]],1,Table1[[HomeTeam]:[HomeTeam]],$A21, Table1[[AwayTeam]:[AwayTeam]], F$1),0), "-", TEXT(SUMIFS(Table1[[HomeWon]:[HomeWon]], Table1[[GameIsOver]:[GameIsOver]],1,Table1[[AwayTeam]:[AwayTeam]],$A21, Table1[[HomeTeam]:[HomeTeam]], F$1, Table1[[ActualResult]:[ActualResult]], "REG") + SUMIFS(Table1[[AwayWon]:[AwayWon]], Table1[[GameIsOver]:[GameIsOver]],1,Table1[[HomeTeam]:[HomeTeam]],$A21, Table1[[AwayTeam]:[AwayTeam]], F$1, Table1[[ActualResult]:[ActualResult]], "REG"),0), "-", TEXT(SUMIFS(Table1[[HomeWon]:[HomeWon]], Table1[[GameIsOver]:[GameIsOver]],1,Table1[[AwayTeam]:[AwayTeam]],$A21, Table1[[HomeTeam]:[HomeTeam]], F$1, Table1[[ActualResult]:[ActualResult]], "OT") + SUMIFS(Table1[[AwayWon]:[AwayWon]], Table1[[GameIsOver]:[GameIsOver]],1,Table1[[HomeTeam]:[HomeTeam]],$A21, Table1[[AwayTeam]:[AwayTeam]], F$1, Table1[[ActualResult]:[ActualResult]], "OT") + SUMIFS(Table1[[HomeWon]:[HomeWon]], Table1[[GameIsOver]:[GameIsOver]],1,Table1[[AwayTeam]:[AwayTeam]],$A21, Table1[[HomeTeam]:[HomeTeam]], F$1, Table1[[ActualResult]:[ActualResult]], "SO") + SUMIFS(Table1[[AwayWon]:[AwayWon]], Table1[[GameIsOver]:[GameIsOver]],1,Table1[[HomeTeam]:[HomeTeam]],$A21, Table1[[AwayTeam]:[AwayTeam]], F$1, Table1[[ActualResult]:[ActualResult]], "SO"),0))</f>
        <v>0-0-0</v>
      </c>
      <c r="G21" s="43" t="str">
        <f>_xlfn.CONCAT(TEXT(SUMIFS(Table1[[AwayWon]:[AwayWon]], Table1[[GameIsOver]:[GameIsOver]],1,Table1[[AwayTeam]:[AwayTeam]],$A21, Table1[[HomeTeam]:[HomeTeam]], G$1) + SUMIFS(Table1[[HomeWon]:[HomeWon]], Table1[[GameIsOver]:[GameIsOver]],1,Table1[[HomeTeam]:[HomeTeam]],$A21, Table1[[AwayTeam]:[AwayTeam]], G$1),0), "-", TEXT(SUMIFS(Table1[[HomeWon]:[HomeWon]], Table1[[GameIsOver]:[GameIsOver]],1,Table1[[AwayTeam]:[AwayTeam]],$A21, Table1[[HomeTeam]:[HomeTeam]], G$1, Table1[[ActualResult]:[ActualResult]], "REG") + SUMIFS(Table1[[AwayWon]:[AwayWon]], Table1[[GameIsOver]:[GameIsOver]],1,Table1[[HomeTeam]:[HomeTeam]],$A21, Table1[[AwayTeam]:[AwayTeam]], G$1, Table1[[ActualResult]:[ActualResult]], "REG"),0), "-", TEXT(SUMIFS(Table1[[HomeWon]:[HomeWon]], Table1[[GameIsOver]:[GameIsOver]],1,Table1[[AwayTeam]:[AwayTeam]],$A21, Table1[[HomeTeam]:[HomeTeam]], G$1, Table1[[ActualResult]:[ActualResult]], "OT") + SUMIFS(Table1[[AwayWon]:[AwayWon]], Table1[[GameIsOver]:[GameIsOver]],1,Table1[[HomeTeam]:[HomeTeam]],$A21, Table1[[AwayTeam]:[AwayTeam]], G$1, Table1[[ActualResult]:[ActualResult]], "OT") + SUMIFS(Table1[[HomeWon]:[HomeWon]], Table1[[GameIsOver]:[GameIsOver]],1,Table1[[AwayTeam]:[AwayTeam]],$A21, Table1[[HomeTeam]:[HomeTeam]], G$1, Table1[[ActualResult]:[ActualResult]], "SO") + SUMIFS(Table1[[AwayWon]:[AwayWon]], Table1[[GameIsOver]:[GameIsOver]],1,Table1[[HomeTeam]:[HomeTeam]],$A21, Table1[[AwayTeam]:[AwayTeam]], G$1, Table1[[ActualResult]:[ActualResult]], "SO"),0))</f>
        <v>0-0-0</v>
      </c>
      <c r="H21" s="43" t="str">
        <f>_xlfn.CONCAT(TEXT(SUMIFS(Table1[[AwayWon]:[AwayWon]], Table1[[GameIsOver]:[GameIsOver]],1,Table1[[AwayTeam]:[AwayTeam]],$A21, Table1[[HomeTeam]:[HomeTeam]], H$1) + SUMIFS(Table1[[HomeWon]:[HomeWon]], Table1[[GameIsOver]:[GameIsOver]],1,Table1[[HomeTeam]:[HomeTeam]],$A21, Table1[[AwayTeam]:[AwayTeam]], H$1),0), "-", TEXT(SUMIFS(Table1[[HomeWon]:[HomeWon]], Table1[[GameIsOver]:[GameIsOver]],1,Table1[[AwayTeam]:[AwayTeam]],$A21, Table1[[HomeTeam]:[HomeTeam]], H$1, Table1[[ActualResult]:[ActualResult]], "REG") + SUMIFS(Table1[[AwayWon]:[AwayWon]], Table1[[GameIsOver]:[GameIsOver]],1,Table1[[HomeTeam]:[HomeTeam]],$A21, Table1[[AwayTeam]:[AwayTeam]], H$1, Table1[[ActualResult]:[ActualResult]], "REG"),0), "-", TEXT(SUMIFS(Table1[[HomeWon]:[HomeWon]], Table1[[GameIsOver]:[GameIsOver]],1,Table1[[AwayTeam]:[AwayTeam]],$A21, Table1[[HomeTeam]:[HomeTeam]], H$1, Table1[[ActualResult]:[ActualResult]], "OT") + SUMIFS(Table1[[AwayWon]:[AwayWon]], Table1[[GameIsOver]:[GameIsOver]],1,Table1[[HomeTeam]:[HomeTeam]],$A21, Table1[[AwayTeam]:[AwayTeam]], H$1, Table1[[ActualResult]:[ActualResult]], "OT") + SUMIFS(Table1[[HomeWon]:[HomeWon]], Table1[[GameIsOver]:[GameIsOver]],1,Table1[[AwayTeam]:[AwayTeam]],$A21, Table1[[HomeTeam]:[HomeTeam]], H$1, Table1[[ActualResult]:[ActualResult]], "SO") + SUMIFS(Table1[[AwayWon]:[AwayWon]], Table1[[GameIsOver]:[GameIsOver]],1,Table1[[HomeTeam]:[HomeTeam]],$A21, Table1[[AwayTeam]:[AwayTeam]], H$1, Table1[[ActualResult]:[ActualResult]], "SO"),0))</f>
        <v>0-0-0</v>
      </c>
      <c r="I21" s="45" t="str">
        <f>_xlfn.CONCAT(TEXT(SUMIFS(Table1[[AwayWon]:[AwayWon]], Table1[[GameIsOver]:[GameIsOver]],1,Table1[[AwayTeam]:[AwayTeam]],$A21, Table1[[HomeTeam]:[HomeTeam]], I$1) + SUMIFS(Table1[[HomeWon]:[HomeWon]], Table1[[GameIsOver]:[GameIsOver]],1,Table1[[HomeTeam]:[HomeTeam]],$A21, Table1[[AwayTeam]:[AwayTeam]], I$1),0), "-", TEXT(SUMIFS(Table1[[HomeWon]:[HomeWon]], Table1[[GameIsOver]:[GameIsOver]],1,Table1[[AwayTeam]:[AwayTeam]],$A21, Table1[[HomeTeam]:[HomeTeam]], I$1, Table1[[ActualResult]:[ActualResult]], "REG") + SUMIFS(Table1[[AwayWon]:[AwayWon]], Table1[[GameIsOver]:[GameIsOver]],1,Table1[[HomeTeam]:[HomeTeam]],$A21, Table1[[AwayTeam]:[AwayTeam]], I$1, Table1[[ActualResult]:[ActualResult]], "REG"),0), "-", TEXT(SUMIFS(Table1[[HomeWon]:[HomeWon]], Table1[[GameIsOver]:[GameIsOver]],1,Table1[[AwayTeam]:[AwayTeam]],$A21, Table1[[HomeTeam]:[HomeTeam]], I$1, Table1[[ActualResult]:[ActualResult]], "OT") + SUMIFS(Table1[[AwayWon]:[AwayWon]], Table1[[GameIsOver]:[GameIsOver]],1,Table1[[HomeTeam]:[HomeTeam]],$A21, Table1[[AwayTeam]:[AwayTeam]], I$1, Table1[[ActualResult]:[ActualResult]], "OT") + SUMIFS(Table1[[HomeWon]:[HomeWon]], Table1[[GameIsOver]:[GameIsOver]],1,Table1[[AwayTeam]:[AwayTeam]],$A21, Table1[[HomeTeam]:[HomeTeam]], I$1, Table1[[ActualResult]:[ActualResult]], "SO") + SUMIFS(Table1[[AwayWon]:[AwayWon]], Table1[[GameIsOver]:[GameIsOver]],1,Table1[[HomeTeam]:[HomeTeam]],$A21, Table1[[AwayTeam]:[AwayTeam]], I$1, Table1[[ActualResult]:[ActualResult]], "SO"),0))</f>
        <v>0-0-0</v>
      </c>
      <c r="J21" s="43" t="str">
        <f>_xlfn.CONCAT(TEXT(SUMIFS(Table1[[AwayWon]:[AwayWon]], Table1[[GameIsOver]:[GameIsOver]],1,Table1[[AwayTeam]:[AwayTeam]],$A21, Table1[[HomeTeam]:[HomeTeam]], J$1) + SUMIFS(Table1[[HomeWon]:[HomeWon]], Table1[[GameIsOver]:[GameIsOver]],1,Table1[[HomeTeam]:[HomeTeam]],$A21, Table1[[AwayTeam]:[AwayTeam]], J$1),0), "-", TEXT(SUMIFS(Table1[[HomeWon]:[HomeWon]], Table1[[GameIsOver]:[GameIsOver]],1,Table1[[AwayTeam]:[AwayTeam]],$A21, Table1[[HomeTeam]:[HomeTeam]], J$1, Table1[[ActualResult]:[ActualResult]], "REG") + SUMIFS(Table1[[AwayWon]:[AwayWon]], Table1[[GameIsOver]:[GameIsOver]],1,Table1[[HomeTeam]:[HomeTeam]],$A21, Table1[[AwayTeam]:[AwayTeam]], J$1, Table1[[ActualResult]:[ActualResult]], "REG"),0), "-", TEXT(SUMIFS(Table1[[HomeWon]:[HomeWon]], Table1[[GameIsOver]:[GameIsOver]],1,Table1[[AwayTeam]:[AwayTeam]],$A21, Table1[[HomeTeam]:[HomeTeam]], J$1, Table1[[ActualResult]:[ActualResult]], "OT") + SUMIFS(Table1[[AwayWon]:[AwayWon]], Table1[[GameIsOver]:[GameIsOver]],1,Table1[[HomeTeam]:[HomeTeam]],$A21, Table1[[AwayTeam]:[AwayTeam]], J$1, Table1[[ActualResult]:[ActualResult]], "OT") + SUMIFS(Table1[[HomeWon]:[HomeWon]], Table1[[GameIsOver]:[GameIsOver]],1,Table1[[AwayTeam]:[AwayTeam]],$A21, Table1[[HomeTeam]:[HomeTeam]], J$1, Table1[[ActualResult]:[ActualResult]], "SO") + SUMIFS(Table1[[AwayWon]:[AwayWon]], Table1[[GameIsOver]:[GameIsOver]],1,Table1[[HomeTeam]:[HomeTeam]],$A21, Table1[[AwayTeam]:[AwayTeam]], J$1, Table1[[ActualResult]:[ActualResult]], "SO"),0))</f>
        <v>0-0-0</v>
      </c>
      <c r="K21" s="43" t="str">
        <f>_xlfn.CONCAT(TEXT(SUMIFS(Table1[[AwayWon]:[AwayWon]], Table1[[GameIsOver]:[GameIsOver]],1,Table1[[AwayTeam]:[AwayTeam]],$A21, Table1[[HomeTeam]:[HomeTeam]], K$1) + SUMIFS(Table1[[HomeWon]:[HomeWon]], Table1[[GameIsOver]:[GameIsOver]],1,Table1[[HomeTeam]:[HomeTeam]],$A21, Table1[[AwayTeam]:[AwayTeam]], K$1),0), "-", TEXT(SUMIFS(Table1[[HomeWon]:[HomeWon]], Table1[[GameIsOver]:[GameIsOver]],1,Table1[[AwayTeam]:[AwayTeam]],$A21, Table1[[HomeTeam]:[HomeTeam]], K$1, Table1[[ActualResult]:[ActualResult]], "REG") + SUMIFS(Table1[[AwayWon]:[AwayWon]], Table1[[GameIsOver]:[GameIsOver]],1,Table1[[HomeTeam]:[HomeTeam]],$A21, Table1[[AwayTeam]:[AwayTeam]], K$1, Table1[[ActualResult]:[ActualResult]], "REG"),0), "-", TEXT(SUMIFS(Table1[[HomeWon]:[HomeWon]], Table1[[GameIsOver]:[GameIsOver]],1,Table1[[AwayTeam]:[AwayTeam]],$A21, Table1[[HomeTeam]:[HomeTeam]], K$1, Table1[[ActualResult]:[ActualResult]], "OT") + SUMIFS(Table1[[AwayWon]:[AwayWon]], Table1[[GameIsOver]:[GameIsOver]],1,Table1[[HomeTeam]:[HomeTeam]],$A21, Table1[[AwayTeam]:[AwayTeam]], K$1, Table1[[ActualResult]:[ActualResult]], "OT") + SUMIFS(Table1[[HomeWon]:[HomeWon]], Table1[[GameIsOver]:[GameIsOver]],1,Table1[[AwayTeam]:[AwayTeam]],$A21, Table1[[HomeTeam]:[HomeTeam]], K$1, Table1[[ActualResult]:[ActualResult]], "SO") + SUMIFS(Table1[[AwayWon]:[AwayWon]], Table1[[GameIsOver]:[GameIsOver]],1,Table1[[HomeTeam]:[HomeTeam]],$A21, Table1[[AwayTeam]:[AwayTeam]], K$1, Table1[[ActualResult]:[ActualResult]], "SO"),0))</f>
        <v>0-0-0</v>
      </c>
      <c r="L21" s="43" t="str">
        <f>_xlfn.CONCAT(TEXT(SUMIFS(Table1[[AwayWon]:[AwayWon]], Table1[[GameIsOver]:[GameIsOver]],1,Table1[[AwayTeam]:[AwayTeam]],$A21, Table1[[HomeTeam]:[HomeTeam]], L$1) + SUMIFS(Table1[[HomeWon]:[HomeWon]], Table1[[GameIsOver]:[GameIsOver]],1,Table1[[HomeTeam]:[HomeTeam]],$A21, Table1[[AwayTeam]:[AwayTeam]], L$1),0), "-", TEXT(SUMIFS(Table1[[HomeWon]:[HomeWon]], Table1[[GameIsOver]:[GameIsOver]],1,Table1[[AwayTeam]:[AwayTeam]],$A21, Table1[[HomeTeam]:[HomeTeam]], L$1, Table1[[ActualResult]:[ActualResult]], "REG") + SUMIFS(Table1[[AwayWon]:[AwayWon]], Table1[[GameIsOver]:[GameIsOver]],1,Table1[[HomeTeam]:[HomeTeam]],$A21, Table1[[AwayTeam]:[AwayTeam]], L$1, Table1[[ActualResult]:[ActualResult]], "REG"),0), "-", TEXT(SUMIFS(Table1[[HomeWon]:[HomeWon]], Table1[[GameIsOver]:[GameIsOver]],1,Table1[[AwayTeam]:[AwayTeam]],$A21, Table1[[HomeTeam]:[HomeTeam]], L$1, Table1[[ActualResult]:[ActualResult]], "OT") + SUMIFS(Table1[[AwayWon]:[AwayWon]], Table1[[GameIsOver]:[GameIsOver]],1,Table1[[HomeTeam]:[HomeTeam]],$A21, Table1[[AwayTeam]:[AwayTeam]], L$1, Table1[[ActualResult]:[ActualResult]], "OT") + SUMIFS(Table1[[HomeWon]:[HomeWon]], Table1[[GameIsOver]:[GameIsOver]],1,Table1[[AwayTeam]:[AwayTeam]],$A21, Table1[[HomeTeam]:[HomeTeam]], L$1, Table1[[ActualResult]:[ActualResult]], "SO") + SUMIFS(Table1[[AwayWon]:[AwayWon]], Table1[[GameIsOver]:[GameIsOver]],1,Table1[[HomeTeam]:[HomeTeam]],$A21, Table1[[AwayTeam]:[AwayTeam]], L$1, Table1[[ActualResult]:[ActualResult]], "SO"),0))</f>
        <v>0-0-0</v>
      </c>
      <c r="M21" s="43" t="str">
        <f>_xlfn.CONCAT(TEXT(SUMIFS(Table1[[AwayWon]:[AwayWon]], Table1[[GameIsOver]:[GameIsOver]],1,Table1[[AwayTeam]:[AwayTeam]],$A21, Table1[[HomeTeam]:[HomeTeam]], M$1) + SUMIFS(Table1[[HomeWon]:[HomeWon]], Table1[[GameIsOver]:[GameIsOver]],1,Table1[[HomeTeam]:[HomeTeam]],$A21, Table1[[AwayTeam]:[AwayTeam]], M$1),0), "-", TEXT(SUMIFS(Table1[[HomeWon]:[HomeWon]], Table1[[GameIsOver]:[GameIsOver]],1,Table1[[AwayTeam]:[AwayTeam]],$A21, Table1[[HomeTeam]:[HomeTeam]], M$1, Table1[[ActualResult]:[ActualResult]], "REG") + SUMIFS(Table1[[AwayWon]:[AwayWon]], Table1[[GameIsOver]:[GameIsOver]],1,Table1[[HomeTeam]:[HomeTeam]],$A21, Table1[[AwayTeam]:[AwayTeam]], M$1, Table1[[ActualResult]:[ActualResult]], "REG"),0), "-", TEXT(SUMIFS(Table1[[HomeWon]:[HomeWon]], Table1[[GameIsOver]:[GameIsOver]],1,Table1[[AwayTeam]:[AwayTeam]],$A21, Table1[[HomeTeam]:[HomeTeam]], M$1, Table1[[ActualResult]:[ActualResult]], "OT") + SUMIFS(Table1[[AwayWon]:[AwayWon]], Table1[[GameIsOver]:[GameIsOver]],1,Table1[[HomeTeam]:[HomeTeam]],$A21, Table1[[AwayTeam]:[AwayTeam]], M$1, Table1[[ActualResult]:[ActualResult]], "OT") + SUMIFS(Table1[[HomeWon]:[HomeWon]], Table1[[GameIsOver]:[GameIsOver]],1,Table1[[AwayTeam]:[AwayTeam]],$A21, Table1[[HomeTeam]:[HomeTeam]], M$1, Table1[[ActualResult]:[ActualResult]], "SO") + SUMIFS(Table1[[AwayWon]:[AwayWon]], Table1[[GameIsOver]:[GameIsOver]],1,Table1[[HomeTeam]:[HomeTeam]],$A21, Table1[[AwayTeam]:[AwayTeam]], M$1, Table1[[ActualResult]:[ActualResult]], "SO"),0))</f>
        <v>0-0-0</v>
      </c>
      <c r="N21" s="43" t="str">
        <f>_xlfn.CONCAT(TEXT(SUMIFS(Table1[[AwayWon]:[AwayWon]], Table1[[GameIsOver]:[GameIsOver]],1,Table1[[AwayTeam]:[AwayTeam]],$A21, Table1[[HomeTeam]:[HomeTeam]], N$1) + SUMIFS(Table1[[HomeWon]:[HomeWon]], Table1[[GameIsOver]:[GameIsOver]],1,Table1[[HomeTeam]:[HomeTeam]],$A21, Table1[[AwayTeam]:[AwayTeam]], N$1),0), "-", TEXT(SUMIFS(Table1[[HomeWon]:[HomeWon]], Table1[[GameIsOver]:[GameIsOver]],1,Table1[[AwayTeam]:[AwayTeam]],$A21, Table1[[HomeTeam]:[HomeTeam]], N$1, Table1[[ActualResult]:[ActualResult]], "REG") + SUMIFS(Table1[[AwayWon]:[AwayWon]], Table1[[GameIsOver]:[GameIsOver]],1,Table1[[HomeTeam]:[HomeTeam]],$A21, Table1[[AwayTeam]:[AwayTeam]], N$1, Table1[[ActualResult]:[ActualResult]], "REG"),0), "-", TEXT(SUMIFS(Table1[[HomeWon]:[HomeWon]], Table1[[GameIsOver]:[GameIsOver]],1,Table1[[AwayTeam]:[AwayTeam]],$A21, Table1[[HomeTeam]:[HomeTeam]], N$1, Table1[[ActualResult]:[ActualResult]], "OT") + SUMIFS(Table1[[AwayWon]:[AwayWon]], Table1[[GameIsOver]:[GameIsOver]],1,Table1[[HomeTeam]:[HomeTeam]],$A21, Table1[[AwayTeam]:[AwayTeam]], N$1, Table1[[ActualResult]:[ActualResult]], "OT") + SUMIFS(Table1[[HomeWon]:[HomeWon]], Table1[[GameIsOver]:[GameIsOver]],1,Table1[[AwayTeam]:[AwayTeam]],$A21, Table1[[HomeTeam]:[HomeTeam]], N$1, Table1[[ActualResult]:[ActualResult]], "SO") + SUMIFS(Table1[[AwayWon]:[AwayWon]], Table1[[GameIsOver]:[GameIsOver]],1,Table1[[HomeTeam]:[HomeTeam]],$A21, Table1[[AwayTeam]:[AwayTeam]], N$1, Table1[[ActualResult]:[ActualResult]], "SO"),0))</f>
        <v>0-0-0</v>
      </c>
      <c r="O21" s="43" t="str">
        <f>_xlfn.CONCAT(TEXT(SUMIFS(Table1[[AwayWon]:[AwayWon]], Table1[[GameIsOver]:[GameIsOver]],1,Table1[[AwayTeam]:[AwayTeam]],$A21, Table1[[HomeTeam]:[HomeTeam]], O$1) + SUMIFS(Table1[[HomeWon]:[HomeWon]], Table1[[GameIsOver]:[GameIsOver]],1,Table1[[HomeTeam]:[HomeTeam]],$A21, Table1[[AwayTeam]:[AwayTeam]], O$1),0), "-", TEXT(SUMIFS(Table1[[HomeWon]:[HomeWon]], Table1[[GameIsOver]:[GameIsOver]],1,Table1[[AwayTeam]:[AwayTeam]],$A21, Table1[[HomeTeam]:[HomeTeam]], O$1, Table1[[ActualResult]:[ActualResult]], "REG") + SUMIFS(Table1[[AwayWon]:[AwayWon]], Table1[[GameIsOver]:[GameIsOver]],1,Table1[[HomeTeam]:[HomeTeam]],$A21, Table1[[AwayTeam]:[AwayTeam]], O$1, Table1[[ActualResult]:[ActualResult]], "REG"),0), "-", TEXT(SUMIFS(Table1[[HomeWon]:[HomeWon]], Table1[[GameIsOver]:[GameIsOver]],1,Table1[[AwayTeam]:[AwayTeam]],$A21, Table1[[HomeTeam]:[HomeTeam]], O$1, Table1[[ActualResult]:[ActualResult]], "OT") + SUMIFS(Table1[[AwayWon]:[AwayWon]], Table1[[GameIsOver]:[GameIsOver]],1,Table1[[HomeTeam]:[HomeTeam]],$A21, Table1[[AwayTeam]:[AwayTeam]], O$1, Table1[[ActualResult]:[ActualResult]], "OT") + SUMIFS(Table1[[HomeWon]:[HomeWon]], Table1[[GameIsOver]:[GameIsOver]],1,Table1[[AwayTeam]:[AwayTeam]],$A21, Table1[[HomeTeam]:[HomeTeam]], O$1, Table1[[ActualResult]:[ActualResult]], "SO") + SUMIFS(Table1[[AwayWon]:[AwayWon]], Table1[[GameIsOver]:[GameIsOver]],1,Table1[[HomeTeam]:[HomeTeam]],$A21, Table1[[AwayTeam]:[AwayTeam]], O$1, Table1[[ActualResult]:[ActualResult]], "SO"),0))</f>
        <v>0-0-0</v>
      </c>
      <c r="P21" s="43" t="str">
        <f>_xlfn.CONCAT(TEXT(SUMIFS(Table1[[AwayWon]:[AwayWon]], Table1[[GameIsOver]:[GameIsOver]],1,Table1[[AwayTeam]:[AwayTeam]],$A21, Table1[[HomeTeam]:[HomeTeam]], P$1) + SUMIFS(Table1[[HomeWon]:[HomeWon]], Table1[[GameIsOver]:[GameIsOver]],1,Table1[[HomeTeam]:[HomeTeam]],$A21, Table1[[AwayTeam]:[AwayTeam]], P$1),0), "-", TEXT(SUMIFS(Table1[[HomeWon]:[HomeWon]], Table1[[GameIsOver]:[GameIsOver]],1,Table1[[AwayTeam]:[AwayTeam]],$A21, Table1[[HomeTeam]:[HomeTeam]], P$1, Table1[[ActualResult]:[ActualResult]], "REG") + SUMIFS(Table1[[AwayWon]:[AwayWon]], Table1[[GameIsOver]:[GameIsOver]],1,Table1[[HomeTeam]:[HomeTeam]],$A21, Table1[[AwayTeam]:[AwayTeam]], P$1, Table1[[ActualResult]:[ActualResult]], "REG"),0), "-", TEXT(SUMIFS(Table1[[HomeWon]:[HomeWon]], Table1[[GameIsOver]:[GameIsOver]],1,Table1[[AwayTeam]:[AwayTeam]],$A21, Table1[[HomeTeam]:[HomeTeam]], P$1, Table1[[ActualResult]:[ActualResult]], "OT") + SUMIFS(Table1[[AwayWon]:[AwayWon]], Table1[[GameIsOver]:[GameIsOver]],1,Table1[[HomeTeam]:[HomeTeam]],$A21, Table1[[AwayTeam]:[AwayTeam]], P$1, Table1[[ActualResult]:[ActualResult]], "OT") + SUMIFS(Table1[[HomeWon]:[HomeWon]], Table1[[GameIsOver]:[GameIsOver]],1,Table1[[AwayTeam]:[AwayTeam]],$A21, Table1[[HomeTeam]:[HomeTeam]], P$1, Table1[[ActualResult]:[ActualResult]], "SO") + SUMIFS(Table1[[AwayWon]:[AwayWon]], Table1[[GameIsOver]:[GameIsOver]],1,Table1[[HomeTeam]:[HomeTeam]],$A21, Table1[[AwayTeam]:[AwayTeam]], P$1, Table1[[ActualResult]:[ActualResult]], "SO"),0))</f>
        <v>0-0-0</v>
      </c>
      <c r="Q21" s="45" t="str">
        <f>_xlfn.CONCAT(TEXT(SUMIFS(Table1[[AwayWon]:[AwayWon]], Table1[[GameIsOver]:[GameIsOver]],1,Table1[[AwayTeam]:[AwayTeam]],$A21, Table1[[HomeTeam]:[HomeTeam]], Q$1) + SUMIFS(Table1[[HomeWon]:[HomeWon]], Table1[[GameIsOver]:[GameIsOver]],1,Table1[[HomeTeam]:[HomeTeam]],$A21, Table1[[AwayTeam]:[AwayTeam]], Q$1),0), "-", TEXT(SUMIFS(Table1[[HomeWon]:[HomeWon]], Table1[[GameIsOver]:[GameIsOver]],1,Table1[[AwayTeam]:[AwayTeam]],$A21, Table1[[HomeTeam]:[HomeTeam]], Q$1, Table1[[ActualResult]:[ActualResult]], "REG") + SUMIFS(Table1[[AwayWon]:[AwayWon]], Table1[[GameIsOver]:[GameIsOver]],1,Table1[[HomeTeam]:[HomeTeam]],$A21, Table1[[AwayTeam]:[AwayTeam]], Q$1, Table1[[ActualResult]:[ActualResult]], "REG"),0), "-", TEXT(SUMIFS(Table1[[HomeWon]:[HomeWon]], Table1[[GameIsOver]:[GameIsOver]],1,Table1[[AwayTeam]:[AwayTeam]],$A21, Table1[[HomeTeam]:[HomeTeam]], Q$1, Table1[[ActualResult]:[ActualResult]], "OT") + SUMIFS(Table1[[AwayWon]:[AwayWon]], Table1[[GameIsOver]:[GameIsOver]],1,Table1[[HomeTeam]:[HomeTeam]],$A21, Table1[[AwayTeam]:[AwayTeam]], Q$1, Table1[[ActualResult]:[ActualResult]], "OT") + SUMIFS(Table1[[HomeWon]:[HomeWon]], Table1[[GameIsOver]:[GameIsOver]],1,Table1[[AwayTeam]:[AwayTeam]],$A21, Table1[[HomeTeam]:[HomeTeam]], Q$1, Table1[[ActualResult]:[ActualResult]], "SO") + SUMIFS(Table1[[AwayWon]:[AwayWon]], Table1[[GameIsOver]:[GameIsOver]],1,Table1[[HomeTeam]:[HomeTeam]],$A21, Table1[[AwayTeam]:[AwayTeam]], Q$1, Table1[[ActualResult]:[ActualResult]], "SO"),0))</f>
        <v>0-0-0</v>
      </c>
      <c r="R21" s="43" t="str">
        <f>_xlfn.CONCAT(TEXT(SUMIFS(Table1[[AwayWon]:[AwayWon]], Table1[[GameIsOver]:[GameIsOver]],1,Table1[[AwayTeam]:[AwayTeam]],$A21, Table1[[HomeTeam]:[HomeTeam]], R$1) + SUMIFS(Table1[[HomeWon]:[HomeWon]], Table1[[GameIsOver]:[GameIsOver]],1,Table1[[HomeTeam]:[HomeTeam]],$A21, Table1[[AwayTeam]:[AwayTeam]], R$1),0), "-", TEXT(SUMIFS(Table1[[HomeWon]:[HomeWon]], Table1[[GameIsOver]:[GameIsOver]],1,Table1[[AwayTeam]:[AwayTeam]],$A21, Table1[[HomeTeam]:[HomeTeam]], R$1, Table1[[ActualResult]:[ActualResult]], "REG") + SUMIFS(Table1[[AwayWon]:[AwayWon]], Table1[[GameIsOver]:[GameIsOver]],1,Table1[[HomeTeam]:[HomeTeam]],$A21, Table1[[AwayTeam]:[AwayTeam]], R$1, Table1[[ActualResult]:[ActualResult]], "REG"),0), "-", TEXT(SUMIFS(Table1[[HomeWon]:[HomeWon]], Table1[[GameIsOver]:[GameIsOver]],1,Table1[[AwayTeam]:[AwayTeam]],$A21, Table1[[HomeTeam]:[HomeTeam]], R$1, Table1[[ActualResult]:[ActualResult]], "OT") + SUMIFS(Table1[[AwayWon]:[AwayWon]], Table1[[GameIsOver]:[GameIsOver]],1,Table1[[HomeTeam]:[HomeTeam]],$A21, Table1[[AwayTeam]:[AwayTeam]], R$1, Table1[[ActualResult]:[ActualResult]], "OT") + SUMIFS(Table1[[HomeWon]:[HomeWon]], Table1[[GameIsOver]:[GameIsOver]],1,Table1[[AwayTeam]:[AwayTeam]],$A21, Table1[[HomeTeam]:[HomeTeam]], R$1, Table1[[ActualResult]:[ActualResult]], "SO") + SUMIFS(Table1[[AwayWon]:[AwayWon]], Table1[[GameIsOver]:[GameIsOver]],1,Table1[[HomeTeam]:[HomeTeam]],$A21, Table1[[AwayTeam]:[AwayTeam]], R$1, Table1[[ActualResult]:[ActualResult]], "SO"),0))</f>
        <v>0-0-0</v>
      </c>
      <c r="S21" s="43" t="str">
        <f>_xlfn.CONCAT(TEXT(SUMIFS(Table1[[AwayWon]:[AwayWon]], Table1[[GameIsOver]:[GameIsOver]],1,Table1[[AwayTeam]:[AwayTeam]],$A21, Table1[[HomeTeam]:[HomeTeam]], S$1) + SUMIFS(Table1[[HomeWon]:[HomeWon]], Table1[[GameIsOver]:[GameIsOver]],1,Table1[[HomeTeam]:[HomeTeam]],$A21, Table1[[AwayTeam]:[AwayTeam]], S$1),0), "-", TEXT(SUMIFS(Table1[[HomeWon]:[HomeWon]], Table1[[GameIsOver]:[GameIsOver]],1,Table1[[AwayTeam]:[AwayTeam]],$A21, Table1[[HomeTeam]:[HomeTeam]], S$1, Table1[[ActualResult]:[ActualResult]], "REG") + SUMIFS(Table1[[AwayWon]:[AwayWon]], Table1[[GameIsOver]:[GameIsOver]],1,Table1[[HomeTeam]:[HomeTeam]],$A21, Table1[[AwayTeam]:[AwayTeam]], S$1, Table1[[ActualResult]:[ActualResult]], "REG"),0), "-", TEXT(SUMIFS(Table1[[HomeWon]:[HomeWon]], Table1[[GameIsOver]:[GameIsOver]],1,Table1[[AwayTeam]:[AwayTeam]],$A21, Table1[[HomeTeam]:[HomeTeam]], S$1, Table1[[ActualResult]:[ActualResult]], "OT") + SUMIFS(Table1[[AwayWon]:[AwayWon]], Table1[[GameIsOver]:[GameIsOver]],1,Table1[[HomeTeam]:[HomeTeam]],$A21, Table1[[AwayTeam]:[AwayTeam]], S$1, Table1[[ActualResult]:[ActualResult]], "OT") + SUMIFS(Table1[[HomeWon]:[HomeWon]], Table1[[GameIsOver]:[GameIsOver]],1,Table1[[AwayTeam]:[AwayTeam]],$A21, Table1[[HomeTeam]:[HomeTeam]], S$1, Table1[[ActualResult]:[ActualResult]], "SO") + SUMIFS(Table1[[AwayWon]:[AwayWon]], Table1[[GameIsOver]:[GameIsOver]],1,Table1[[HomeTeam]:[HomeTeam]],$A21, Table1[[AwayTeam]:[AwayTeam]], S$1, Table1[[ActualResult]:[ActualResult]], "SO"),0))</f>
        <v>0-0-0</v>
      </c>
      <c r="T21" s="43" t="str">
        <f>_xlfn.CONCAT(TEXT(SUMIFS(Table1[[AwayWon]:[AwayWon]], Table1[[GameIsOver]:[GameIsOver]],1,Table1[[AwayTeam]:[AwayTeam]],$A21, Table1[[HomeTeam]:[HomeTeam]], T$1) + SUMIFS(Table1[[HomeWon]:[HomeWon]], Table1[[GameIsOver]:[GameIsOver]],1,Table1[[HomeTeam]:[HomeTeam]],$A21, Table1[[AwayTeam]:[AwayTeam]], T$1),0), "-", TEXT(SUMIFS(Table1[[HomeWon]:[HomeWon]], Table1[[GameIsOver]:[GameIsOver]],1,Table1[[AwayTeam]:[AwayTeam]],$A21, Table1[[HomeTeam]:[HomeTeam]], T$1, Table1[[ActualResult]:[ActualResult]], "REG") + SUMIFS(Table1[[AwayWon]:[AwayWon]], Table1[[GameIsOver]:[GameIsOver]],1,Table1[[HomeTeam]:[HomeTeam]],$A21, Table1[[AwayTeam]:[AwayTeam]], T$1, Table1[[ActualResult]:[ActualResult]], "REG"),0), "-", TEXT(SUMIFS(Table1[[HomeWon]:[HomeWon]], Table1[[GameIsOver]:[GameIsOver]],1,Table1[[AwayTeam]:[AwayTeam]],$A21, Table1[[HomeTeam]:[HomeTeam]], T$1, Table1[[ActualResult]:[ActualResult]], "OT") + SUMIFS(Table1[[AwayWon]:[AwayWon]], Table1[[GameIsOver]:[GameIsOver]],1,Table1[[HomeTeam]:[HomeTeam]],$A21, Table1[[AwayTeam]:[AwayTeam]], T$1, Table1[[ActualResult]:[ActualResult]], "OT") + SUMIFS(Table1[[HomeWon]:[HomeWon]], Table1[[GameIsOver]:[GameIsOver]],1,Table1[[AwayTeam]:[AwayTeam]],$A21, Table1[[HomeTeam]:[HomeTeam]], T$1, Table1[[ActualResult]:[ActualResult]], "SO") + SUMIFS(Table1[[AwayWon]:[AwayWon]], Table1[[GameIsOver]:[GameIsOver]],1,Table1[[HomeTeam]:[HomeTeam]],$A21, Table1[[AwayTeam]:[AwayTeam]], T$1, Table1[[ActualResult]:[ActualResult]], "SO"),0))</f>
        <v>0-0-0</v>
      </c>
      <c r="U21" s="43" t="str">
        <f>_xlfn.CONCAT(TEXT(SUMIFS(Table1[[AwayWon]:[AwayWon]], Table1[[GameIsOver]:[GameIsOver]],1,Table1[[AwayTeam]:[AwayTeam]],$A21, Table1[[HomeTeam]:[HomeTeam]], U$1) + SUMIFS(Table1[[HomeWon]:[HomeWon]], Table1[[GameIsOver]:[GameIsOver]],1,Table1[[HomeTeam]:[HomeTeam]],$A21, Table1[[AwayTeam]:[AwayTeam]], U$1),0), "-", TEXT(SUMIFS(Table1[[HomeWon]:[HomeWon]], Table1[[GameIsOver]:[GameIsOver]],1,Table1[[AwayTeam]:[AwayTeam]],$A21, Table1[[HomeTeam]:[HomeTeam]], U$1, Table1[[ActualResult]:[ActualResult]], "REG") + SUMIFS(Table1[[AwayWon]:[AwayWon]], Table1[[GameIsOver]:[GameIsOver]],1,Table1[[HomeTeam]:[HomeTeam]],$A21, Table1[[AwayTeam]:[AwayTeam]], U$1, Table1[[ActualResult]:[ActualResult]], "REG"),0), "-", TEXT(SUMIFS(Table1[[HomeWon]:[HomeWon]], Table1[[GameIsOver]:[GameIsOver]],1,Table1[[AwayTeam]:[AwayTeam]],$A21, Table1[[HomeTeam]:[HomeTeam]], U$1, Table1[[ActualResult]:[ActualResult]], "OT") + SUMIFS(Table1[[AwayWon]:[AwayWon]], Table1[[GameIsOver]:[GameIsOver]],1,Table1[[HomeTeam]:[HomeTeam]],$A21, Table1[[AwayTeam]:[AwayTeam]], U$1, Table1[[ActualResult]:[ActualResult]], "OT") + SUMIFS(Table1[[HomeWon]:[HomeWon]], Table1[[GameIsOver]:[GameIsOver]],1,Table1[[AwayTeam]:[AwayTeam]],$A21, Table1[[HomeTeam]:[HomeTeam]], U$1, Table1[[ActualResult]:[ActualResult]], "SO") + SUMIFS(Table1[[AwayWon]:[AwayWon]], Table1[[GameIsOver]:[GameIsOver]],1,Table1[[HomeTeam]:[HomeTeam]],$A21, Table1[[AwayTeam]:[AwayTeam]], U$1, Table1[[ActualResult]:[ActualResult]], "SO"),0))</f>
        <v>0-0-0</v>
      </c>
      <c r="V21" s="43" t="str">
        <f>_xlfn.CONCAT(TEXT(SUMIFS(Table1[[AwayWon]:[AwayWon]], Table1[[GameIsOver]:[GameIsOver]],1,Table1[[AwayTeam]:[AwayTeam]],$A21, Table1[[HomeTeam]:[HomeTeam]], V$1) + SUMIFS(Table1[[HomeWon]:[HomeWon]], Table1[[GameIsOver]:[GameIsOver]],1,Table1[[HomeTeam]:[HomeTeam]],$A21, Table1[[AwayTeam]:[AwayTeam]], V$1),0), "-", TEXT(SUMIFS(Table1[[HomeWon]:[HomeWon]], Table1[[GameIsOver]:[GameIsOver]],1,Table1[[AwayTeam]:[AwayTeam]],$A21, Table1[[HomeTeam]:[HomeTeam]], V$1, Table1[[ActualResult]:[ActualResult]], "REG") + SUMIFS(Table1[[AwayWon]:[AwayWon]], Table1[[GameIsOver]:[GameIsOver]],1,Table1[[HomeTeam]:[HomeTeam]],$A21, Table1[[AwayTeam]:[AwayTeam]], V$1, Table1[[ActualResult]:[ActualResult]], "REG"),0), "-", TEXT(SUMIFS(Table1[[HomeWon]:[HomeWon]], Table1[[GameIsOver]:[GameIsOver]],1,Table1[[AwayTeam]:[AwayTeam]],$A21, Table1[[HomeTeam]:[HomeTeam]], V$1, Table1[[ActualResult]:[ActualResult]], "OT") + SUMIFS(Table1[[AwayWon]:[AwayWon]], Table1[[GameIsOver]:[GameIsOver]],1,Table1[[HomeTeam]:[HomeTeam]],$A21, Table1[[AwayTeam]:[AwayTeam]], V$1, Table1[[ActualResult]:[ActualResult]], "OT") + SUMIFS(Table1[[HomeWon]:[HomeWon]], Table1[[GameIsOver]:[GameIsOver]],1,Table1[[AwayTeam]:[AwayTeam]],$A21, Table1[[HomeTeam]:[HomeTeam]], V$1, Table1[[ActualResult]:[ActualResult]], "SO") + SUMIFS(Table1[[AwayWon]:[AwayWon]], Table1[[GameIsOver]:[GameIsOver]],1,Table1[[HomeTeam]:[HomeTeam]],$A21, Table1[[AwayTeam]:[AwayTeam]], V$1, Table1[[ActualResult]:[ActualResult]], "SO"),0))</f>
        <v>0-0-0</v>
      </c>
      <c r="W21" s="43" t="str">
        <f>_xlfn.CONCAT(TEXT(SUMIFS(Table1[[AwayWon]:[AwayWon]], Table1[[GameIsOver]:[GameIsOver]],1,Table1[[AwayTeam]:[AwayTeam]],$A21, Table1[[HomeTeam]:[HomeTeam]], W$1) + SUMIFS(Table1[[HomeWon]:[HomeWon]], Table1[[GameIsOver]:[GameIsOver]],1,Table1[[HomeTeam]:[HomeTeam]],$A21, Table1[[AwayTeam]:[AwayTeam]], W$1),0), "-", TEXT(SUMIFS(Table1[[HomeWon]:[HomeWon]], Table1[[GameIsOver]:[GameIsOver]],1,Table1[[AwayTeam]:[AwayTeam]],$A21, Table1[[HomeTeam]:[HomeTeam]], W$1, Table1[[ActualResult]:[ActualResult]], "REG") + SUMIFS(Table1[[AwayWon]:[AwayWon]], Table1[[GameIsOver]:[GameIsOver]],1,Table1[[HomeTeam]:[HomeTeam]],$A21, Table1[[AwayTeam]:[AwayTeam]], W$1, Table1[[ActualResult]:[ActualResult]], "REG"),0), "-", TEXT(SUMIFS(Table1[[HomeWon]:[HomeWon]], Table1[[GameIsOver]:[GameIsOver]],1,Table1[[AwayTeam]:[AwayTeam]],$A21, Table1[[HomeTeam]:[HomeTeam]], W$1, Table1[[ActualResult]:[ActualResult]], "OT") + SUMIFS(Table1[[AwayWon]:[AwayWon]], Table1[[GameIsOver]:[GameIsOver]],1,Table1[[HomeTeam]:[HomeTeam]],$A21, Table1[[AwayTeam]:[AwayTeam]], W$1, Table1[[ActualResult]:[ActualResult]], "OT") + SUMIFS(Table1[[HomeWon]:[HomeWon]], Table1[[GameIsOver]:[GameIsOver]],1,Table1[[AwayTeam]:[AwayTeam]],$A21, Table1[[HomeTeam]:[HomeTeam]], W$1, Table1[[ActualResult]:[ActualResult]], "SO") + SUMIFS(Table1[[AwayWon]:[AwayWon]], Table1[[GameIsOver]:[GameIsOver]],1,Table1[[HomeTeam]:[HomeTeam]],$A21, Table1[[AwayTeam]:[AwayTeam]], W$1, Table1[[ActualResult]:[ActualResult]], "SO"),0))</f>
        <v>0-0-0</v>
      </c>
      <c r="X21" s="43" t="str">
        <f>_xlfn.CONCAT(TEXT(SUMIFS(Table1[[AwayWon]:[AwayWon]], Table1[[GameIsOver]:[GameIsOver]],1,Table1[[AwayTeam]:[AwayTeam]],$A21, Table1[[HomeTeam]:[HomeTeam]], X$1) + SUMIFS(Table1[[HomeWon]:[HomeWon]], Table1[[GameIsOver]:[GameIsOver]],1,Table1[[HomeTeam]:[HomeTeam]],$A21, Table1[[AwayTeam]:[AwayTeam]], X$1),0), "-", TEXT(SUMIFS(Table1[[HomeWon]:[HomeWon]], Table1[[GameIsOver]:[GameIsOver]],1,Table1[[AwayTeam]:[AwayTeam]],$A21, Table1[[HomeTeam]:[HomeTeam]], X$1, Table1[[ActualResult]:[ActualResult]], "REG") + SUMIFS(Table1[[AwayWon]:[AwayWon]], Table1[[GameIsOver]:[GameIsOver]],1,Table1[[HomeTeam]:[HomeTeam]],$A21, Table1[[AwayTeam]:[AwayTeam]], X$1, Table1[[ActualResult]:[ActualResult]], "REG"),0), "-", TEXT(SUMIFS(Table1[[HomeWon]:[HomeWon]], Table1[[GameIsOver]:[GameIsOver]],1,Table1[[AwayTeam]:[AwayTeam]],$A21, Table1[[HomeTeam]:[HomeTeam]], X$1, Table1[[ActualResult]:[ActualResult]], "OT") + SUMIFS(Table1[[AwayWon]:[AwayWon]], Table1[[GameIsOver]:[GameIsOver]],1,Table1[[HomeTeam]:[HomeTeam]],$A21, Table1[[AwayTeam]:[AwayTeam]], X$1, Table1[[ActualResult]:[ActualResult]], "OT") + SUMIFS(Table1[[HomeWon]:[HomeWon]], Table1[[GameIsOver]:[GameIsOver]],1,Table1[[AwayTeam]:[AwayTeam]],$A21, Table1[[HomeTeam]:[HomeTeam]], X$1, Table1[[ActualResult]:[ActualResult]], "SO") + SUMIFS(Table1[[AwayWon]:[AwayWon]], Table1[[GameIsOver]:[GameIsOver]],1,Table1[[HomeTeam]:[HomeTeam]],$A21, Table1[[AwayTeam]:[AwayTeam]], X$1, Table1[[ActualResult]:[ActualResult]], "SO"),0))</f>
        <v>0-0-0</v>
      </c>
      <c r="Y21" s="45" t="str">
        <f>_xlfn.CONCAT(TEXT(SUMIFS(Table1[[AwayWon]:[AwayWon]], Table1[[GameIsOver]:[GameIsOver]],1,Table1[[AwayTeam]:[AwayTeam]],$A21, Table1[[HomeTeam]:[HomeTeam]], Y$1) + SUMIFS(Table1[[HomeWon]:[HomeWon]], Table1[[GameIsOver]:[GameIsOver]],1,Table1[[HomeTeam]:[HomeTeam]],$A21, Table1[[AwayTeam]:[AwayTeam]], Y$1),0), "-", TEXT(SUMIFS(Table1[[HomeWon]:[HomeWon]], Table1[[GameIsOver]:[GameIsOver]],1,Table1[[AwayTeam]:[AwayTeam]],$A21, Table1[[HomeTeam]:[HomeTeam]], Y$1, Table1[[ActualResult]:[ActualResult]], "REG") + SUMIFS(Table1[[AwayWon]:[AwayWon]], Table1[[GameIsOver]:[GameIsOver]],1,Table1[[HomeTeam]:[HomeTeam]],$A21, Table1[[AwayTeam]:[AwayTeam]], Y$1, Table1[[ActualResult]:[ActualResult]], "REG"),0), "-", TEXT(SUMIFS(Table1[[HomeWon]:[HomeWon]], Table1[[GameIsOver]:[GameIsOver]],1,Table1[[AwayTeam]:[AwayTeam]],$A21, Table1[[HomeTeam]:[HomeTeam]], Y$1, Table1[[ActualResult]:[ActualResult]], "OT") + SUMIFS(Table1[[AwayWon]:[AwayWon]], Table1[[GameIsOver]:[GameIsOver]],1,Table1[[HomeTeam]:[HomeTeam]],$A21, Table1[[AwayTeam]:[AwayTeam]], Y$1, Table1[[ActualResult]:[ActualResult]], "OT") + SUMIFS(Table1[[HomeWon]:[HomeWon]], Table1[[GameIsOver]:[GameIsOver]],1,Table1[[AwayTeam]:[AwayTeam]],$A21, Table1[[HomeTeam]:[HomeTeam]], Y$1, Table1[[ActualResult]:[ActualResult]], "SO") + SUMIFS(Table1[[AwayWon]:[AwayWon]], Table1[[GameIsOver]:[GameIsOver]],1,Table1[[HomeTeam]:[HomeTeam]],$A21, Table1[[AwayTeam]:[AwayTeam]], Y$1, Table1[[ActualResult]:[ActualResult]], "SO"),0))</f>
        <v>0-0-0</v>
      </c>
      <c r="Z21" s="43" t="str">
        <f>_xlfn.CONCAT(TEXT(SUMIFS(Table1[[AwayWon]:[AwayWon]], Table1[[GameIsOver]:[GameIsOver]],1,Table1[[AwayTeam]:[AwayTeam]],$A21, Table1[[HomeTeam]:[HomeTeam]], Z$1) + SUMIFS(Table1[[HomeWon]:[HomeWon]], Table1[[GameIsOver]:[GameIsOver]],1,Table1[[HomeTeam]:[HomeTeam]],$A21, Table1[[AwayTeam]:[AwayTeam]], Z$1),0), "-", TEXT(SUMIFS(Table1[[HomeWon]:[HomeWon]], Table1[[GameIsOver]:[GameIsOver]],1,Table1[[AwayTeam]:[AwayTeam]],$A21, Table1[[HomeTeam]:[HomeTeam]], Z$1, Table1[[ActualResult]:[ActualResult]], "REG") + SUMIFS(Table1[[AwayWon]:[AwayWon]], Table1[[GameIsOver]:[GameIsOver]],1,Table1[[HomeTeam]:[HomeTeam]],$A21, Table1[[AwayTeam]:[AwayTeam]], Z$1, Table1[[ActualResult]:[ActualResult]], "REG"),0), "-", TEXT(SUMIFS(Table1[[HomeWon]:[HomeWon]], Table1[[GameIsOver]:[GameIsOver]],1,Table1[[AwayTeam]:[AwayTeam]],$A21, Table1[[HomeTeam]:[HomeTeam]], Z$1, Table1[[ActualResult]:[ActualResult]], "OT") + SUMIFS(Table1[[AwayWon]:[AwayWon]], Table1[[GameIsOver]:[GameIsOver]],1,Table1[[HomeTeam]:[HomeTeam]],$A21, Table1[[AwayTeam]:[AwayTeam]], Z$1, Table1[[ActualResult]:[ActualResult]], "OT") + SUMIFS(Table1[[HomeWon]:[HomeWon]], Table1[[GameIsOver]:[GameIsOver]],1,Table1[[AwayTeam]:[AwayTeam]],$A21, Table1[[HomeTeam]:[HomeTeam]], Z$1, Table1[[ActualResult]:[ActualResult]], "SO") + SUMIFS(Table1[[AwayWon]:[AwayWon]], Table1[[GameIsOver]:[GameIsOver]],1,Table1[[HomeTeam]:[HomeTeam]],$A21, Table1[[AwayTeam]:[AwayTeam]], Z$1, Table1[[ActualResult]:[ActualResult]], "SO"),0))</f>
        <v>0-0-0</v>
      </c>
      <c r="AA21" s="43" t="str">
        <f>_xlfn.CONCAT(TEXT(SUMIFS(Table1[[AwayWon]:[AwayWon]], Table1[[GameIsOver]:[GameIsOver]],1,Table1[[AwayTeam]:[AwayTeam]],$A21, Table1[[HomeTeam]:[HomeTeam]], AA$1) + SUMIFS(Table1[[HomeWon]:[HomeWon]], Table1[[GameIsOver]:[GameIsOver]],1,Table1[[HomeTeam]:[HomeTeam]],$A21, Table1[[AwayTeam]:[AwayTeam]], AA$1),0), "-", TEXT(SUMIFS(Table1[[HomeWon]:[HomeWon]], Table1[[GameIsOver]:[GameIsOver]],1,Table1[[AwayTeam]:[AwayTeam]],$A21, Table1[[HomeTeam]:[HomeTeam]], AA$1, Table1[[ActualResult]:[ActualResult]], "REG") + SUMIFS(Table1[[AwayWon]:[AwayWon]], Table1[[GameIsOver]:[GameIsOver]],1,Table1[[HomeTeam]:[HomeTeam]],$A21, Table1[[AwayTeam]:[AwayTeam]], AA$1, Table1[[ActualResult]:[ActualResult]], "REG"),0), "-", TEXT(SUMIFS(Table1[[HomeWon]:[HomeWon]], Table1[[GameIsOver]:[GameIsOver]],1,Table1[[AwayTeam]:[AwayTeam]],$A21, Table1[[HomeTeam]:[HomeTeam]], AA$1, Table1[[ActualResult]:[ActualResult]], "OT") + SUMIFS(Table1[[AwayWon]:[AwayWon]], Table1[[GameIsOver]:[GameIsOver]],1,Table1[[HomeTeam]:[HomeTeam]],$A21, Table1[[AwayTeam]:[AwayTeam]], AA$1, Table1[[ActualResult]:[ActualResult]], "OT") + SUMIFS(Table1[[HomeWon]:[HomeWon]], Table1[[GameIsOver]:[GameIsOver]],1,Table1[[AwayTeam]:[AwayTeam]],$A21, Table1[[HomeTeam]:[HomeTeam]], AA$1, Table1[[ActualResult]:[ActualResult]], "SO") + SUMIFS(Table1[[AwayWon]:[AwayWon]], Table1[[GameIsOver]:[GameIsOver]],1,Table1[[HomeTeam]:[HomeTeam]],$A21, Table1[[AwayTeam]:[AwayTeam]], AA$1, Table1[[ActualResult]:[ActualResult]], "SO"),0))</f>
        <v>0-0-0</v>
      </c>
      <c r="AB21" s="43" t="str">
        <f>_xlfn.CONCAT(TEXT(SUMIFS(Table1[[AwayWon]:[AwayWon]], Table1[[GameIsOver]:[GameIsOver]],1,Table1[[AwayTeam]:[AwayTeam]],$A21, Table1[[HomeTeam]:[HomeTeam]], AB$1) + SUMIFS(Table1[[HomeWon]:[HomeWon]], Table1[[GameIsOver]:[GameIsOver]],1,Table1[[HomeTeam]:[HomeTeam]],$A21, Table1[[AwayTeam]:[AwayTeam]], AB$1),0), "-", TEXT(SUMIFS(Table1[[HomeWon]:[HomeWon]], Table1[[GameIsOver]:[GameIsOver]],1,Table1[[AwayTeam]:[AwayTeam]],$A21, Table1[[HomeTeam]:[HomeTeam]], AB$1, Table1[[ActualResult]:[ActualResult]], "REG") + SUMIFS(Table1[[AwayWon]:[AwayWon]], Table1[[GameIsOver]:[GameIsOver]],1,Table1[[HomeTeam]:[HomeTeam]],$A21, Table1[[AwayTeam]:[AwayTeam]], AB$1, Table1[[ActualResult]:[ActualResult]], "REG"),0), "-", TEXT(SUMIFS(Table1[[HomeWon]:[HomeWon]], Table1[[GameIsOver]:[GameIsOver]],1,Table1[[AwayTeam]:[AwayTeam]],$A21, Table1[[HomeTeam]:[HomeTeam]], AB$1, Table1[[ActualResult]:[ActualResult]], "OT") + SUMIFS(Table1[[AwayWon]:[AwayWon]], Table1[[GameIsOver]:[GameIsOver]],1,Table1[[HomeTeam]:[HomeTeam]],$A21, Table1[[AwayTeam]:[AwayTeam]], AB$1, Table1[[ActualResult]:[ActualResult]], "OT") + SUMIFS(Table1[[HomeWon]:[HomeWon]], Table1[[GameIsOver]:[GameIsOver]],1,Table1[[AwayTeam]:[AwayTeam]],$A21, Table1[[HomeTeam]:[HomeTeam]], AB$1, Table1[[ActualResult]:[ActualResult]], "SO") + SUMIFS(Table1[[AwayWon]:[AwayWon]], Table1[[GameIsOver]:[GameIsOver]],1,Table1[[HomeTeam]:[HomeTeam]],$A21, Table1[[AwayTeam]:[AwayTeam]], AB$1, Table1[[ActualResult]:[ActualResult]], "SO"),0))</f>
        <v>0-0-0</v>
      </c>
      <c r="AC21" s="43" t="str">
        <f>_xlfn.CONCAT(TEXT(SUMIFS(Table1[[AwayWon]:[AwayWon]], Table1[[GameIsOver]:[GameIsOver]],1,Table1[[AwayTeam]:[AwayTeam]],$A21, Table1[[HomeTeam]:[HomeTeam]], AC$1) + SUMIFS(Table1[[HomeWon]:[HomeWon]], Table1[[GameIsOver]:[GameIsOver]],1,Table1[[HomeTeam]:[HomeTeam]],$A21, Table1[[AwayTeam]:[AwayTeam]], AC$1),0), "-", TEXT(SUMIFS(Table1[[HomeWon]:[HomeWon]], Table1[[GameIsOver]:[GameIsOver]],1,Table1[[AwayTeam]:[AwayTeam]],$A21, Table1[[HomeTeam]:[HomeTeam]], AC$1, Table1[[ActualResult]:[ActualResult]], "REG") + SUMIFS(Table1[[AwayWon]:[AwayWon]], Table1[[GameIsOver]:[GameIsOver]],1,Table1[[HomeTeam]:[HomeTeam]],$A21, Table1[[AwayTeam]:[AwayTeam]], AC$1, Table1[[ActualResult]:[ActualResult]], "REG"),0), "-", TEXT(SUMIFS(Table1[[HomeWon]:[HomeWon]], Table1[[GameIsOver]:[GameIsOver]],1,Table1[[AwayTeam]:[AwayTeam]],$A21, Table1[[HomeTeam]:[HomeTeam]], AC$1, Table1[[ActualResult]:[ActualResult]], "OT") + SUMIFS(Table1[[AwayWon]:[AwayWon]], Table1[[GameIsOver]:[GameIsOver]],1,Table1[[HomeTeam]:[HomeTeam]],$A21, Table1[[AwayTeam]:[AwayTeam]], AC$1, Table1[[ActualResult]:[ActualResult]], "OT") + SUMIFS(Table1[[HomeWon]:[HomeWon]], Table1[[GameIsOver]:[GameIsOver]],1,Table1[[AwayTeam]:[AwayTeam]],$A21, Table1[[HomeTeam]:[HomeTeam]], AC$1, Table1[[ActualResult]:[ActualResult]], "SO") + SUMIFS(Table1[[AwayWon]:[AwayWon]], Table1[[GameIsOver]:[GameIsOver]],1,Table1[[HomeTeam]:[HomeTeam]],$A21, Table1[[AwayTeam]:[AwayTeam]], AC$1, Table1[[ActualResult]:[ActualResult]], "SO"),0))</f>
        <v>0-0-0</v>
      </c>
      <c r="AD21" s="43" t="str">
        <f>_xlfn.CONCAT(TEXT(SUMIFS(Table1[[AwayWon]:[AwayWon]], Table1[[GameIsOver]:[GameIsOver]],1,Table1[[AwayTeam]:[AwayTeam]],$A21, Table1[[HomeTeam]:[HomeTeam]], AD$1) + SUMIFS(Table1[[HomeWon]:[HomeWon]], Table1[[GameIsOver]:[GameIsOver]],1,Table1[[HomeTeam]:[HomeTeam]],$A21, Table1[[AwayTeam]:[AwayTeam]], AD$1),0), "-", TEXT(SUMIFS(Table1[[HomeWon]:[HomeWon]], Table1[[GameIsOver]:[GameIsOver]],1,Table1[[AwayTeam]:[AwayTeam]],$A21, Table1[[HomeTeam]:[HomeTeam]], AD$1, Table1[[ActualResult]:[ActualResult]], "REG") + SUMIFS(Table1[[AwayWon]:[AwayWon]], Table1[[GameIsOver]:[GameIsOver]],1,Table1[[HomeTeam]:[HomeTeam]],$A21, Table1[[AwayTeam]:[AwayTeam]], AD$1, Table1[[ActualResult]:[ActualResult]], "REG"),0), "-", TEXT(SUMIFS(Table1[[HomeWon]:[HomeWon]], Table1[[GameIsOver]:[GameIsOver]],1,Table1[[AwayTeam]:[AwayTeam]],$A21, Table1[[HomeTeam]:[HomeTeam]], AD$1, Table1[[ActualResult]:[ActualResult]], "OT") + SUMIFS(Table1[[AwayWon]:[AwayWon]], Table1[[GameIsOver]:[GameIsOver]],1,Table1[[HomeTeam]:[HomeTeam]],$A21, Table1[[AwayTeam]:[AwayTeam]], AD$1, Table1[[ActualResult]:[ActualResult]], "OT") + SUMIFS(Table1[[HomeWon]:[HomeWon]], Table1[[GameIsOver]:[GameIsOver]],1,Table1[[AwayTeam]:[AwayTeam]],$A21, Table1[[HomeTeam]:[HomeTeam]], AD$1, Table1[[ActualResult]:[ActualResult]], "SO") + SUMIFS(Table1[[AwayWon]:[AwayWon]], Table1[[GameIsOver]:[GameIsOver]],1,Table1[[HomeTeam]:[HomeTeam]],$A21, Table1[[AwayTeam]:[AwayTeam]], AD$1, Table1[[ActualResult]:[ActualResult]], "SO"),0))</f>
        <v>0-0-0</v>
      </c>
      <c r="AE21" s="43" t="str">
        <f>_xlfn.CONCAT(TEXT(SUMIFS(Table1[[AwayWon]:[AwayWon]], Table1[[GameIsOver]:[GameIsOver]],1,Table1[[AwayTeam]:[AwayTeam]],$A21, Table1[[HomeTeam]:[HomeTeam]], AE$1) + SUMIFS(Table1[[HomeWon]:[HomeWon]], Table1[[GameIsOver]:[GameIsOver]],1,Table1[[HomeTeam]:[HomeTeam]],$A21, Table1[[AwayTeam]:[AwayTeam]], AE$1),0), "-", TEXT(SUMIFS(Table1[[HomeWon]:[HomeWon]], Table1[[GameIsOver]:[GameIsOver]],1,Table1[[AwayTeam]:[AwayTeam]],$A21, Table1[[HomeTeam]:[HomeTeam]], AE$1, Table1[[ActualResult]:[ActualResult]], "REG") + SUMIFS(Table1[[AwayWon]:[AwayWon]], Table1[[GameIsOver]:[GameIsOver]],1,Table1[[HomeTeam]:[HomeTeam]],$A21, Table1[[AwayTeam]:[AwayTeam]], AE$1, Table1[[ActualResult]:[ActualResult]], "REG"),0), "-", TEXT(SUMIFS(Table1[[HomeWon]:[HomeWon]], Table1[[GameIsOver]:[GameIsOver]],1,Table1[[AwayTeam]:[AwayTeam]],$A21, Table1[[HomeTeam]:[HomeTeam]], AE$1, Table1[[ActualResult]:[ActualResult]], "OT") + SUMIFS(Table1[[AwayWon]:[AwayWon]], Table1[[GameIsOver]:[GameIsOver]],1,Table1[[HomeTeam]:[HomeTeam]],$A21, Table1[[AwayTeam]:[AwayTeam]], AE$1, Table1[[ActualResult]:[ActualResult]], "OT") + SUMIFS(Table1[[HomeWon]:[HomeWon]], Table1[[GameIsOver]:[GameIsOver]],1,Table1[[AwayTeam]:[AwayTeam]],$A21, Table1[[HomeTeam]:[HomeTeam]], AE$1, Table1[[ActualResult]:[ActualResult]], "SO") + SUMIFS(Table1[[AwayWon]:[AwayWon]], Table1[[GameIsOver]:[GameIsOver]],1,Table1[[HomeTeam]:[HomeTeam]],$A21, Table1[[AwayTeam]:[AwayTeam]], AE$1, Table1[[ActualResult]:[ActualResult]], "SO"),0))</f>
        <v>0-0-0</v>
      </c>
      <c r="AF21" s="43" t="str">
        <f>_xlfn.CONCAT(TEXT(SUMIFS(Table1[[AwayWon]:[AwayWon]], Table1[[GameIsOver]:[GameIsOver]],1,Table1[[AwayTeam]:[AwayTeam]],$A21, Table1[[HomeTeam]:[HomeTeam]], AF$1) + SUMIFS(Table1[[HomeWon]:[HomeWon]], Table1[[GameIsOver]:[GameIsOver]],1,Table1[[HomeTeam]:[HomeTeam]],$A21, Table1[[AwayTeam]:[AwayTeam]], AF$1),0), "-", TEXT(SUMIFS(Table1[[HomeWon]:[HomeWon]], Table1[[GameIsOver]:[GameIsOver]],1,Table1[[AwayTeam]:[AwayTeam]],$A21, Table1[[HomeTeam]:[HomeTeam]], AF$1, Table1[[ActualResult]:[ActualResult]], "REG") + SUMIFS(Table1[[AwayWon]:[AwayWon]], Table1[[GameIsOver]:[GameIsOver]],1,Table1[[HomeTeam]:[HomeTeam]],$A21, Table1[[AwayTeam]:[AwayTeam]], AF$1, Table1[[ActualResult]:[ActualResult]], "REG"),0), "-", TEXT(SUMIFS(Table1[[HomeWon]:[HomeWon]], Table1[[GameIsOver]:[GameIsOver]],1,Table1[[AwayTeam]:[AwayTeam]],$A21, Table1[[HomeTeam]:[HomeTeam]], AF$1, Table1[[ActualResult]:[ActualResult]], "OT") + SUMIFS(Table1[[AwayWon]:[AwayWon]], Table1[[GameIsOver]:[GameIsOver]],1,Table1[[HomeTeam]:[HomeTeam]],$A21, Table1[[AwayTeam]:[AwayTeam]], AF$1, Table1[[ActualResult]:[ActualResult]], "OT") + SUMIFS(Table1[[HomeWon]:[HomeWon]], Table1[[GameIsOver]:[GameIsOver]],1,Table1[[AwayTeam]:[AwayTeam]],$A21, Table1[[HomeTeam]:[HomeTeam]], AF$1, Table1[[ActualResult]:[ActualResult]], "SO") + SUMIFS(Table1[[AwayWon]:[AwayWon]], Table1[[GameIsOver]:[GameIsOver]],1,Table1[[HomeTeam]:[HomeTeam]],$A21, Table1[[AwayTeam]:[AwayTeam]], AF$1, Table1[[ActualResult]:[ActualResult]], "SO"),0))</f>
        <v>0-0-0</v>
      </c>
      <c r="AG21" s="43" t="str">
        <f>_xlfn.CONCAT(TEXT(SUMIFS(Table1[[AwayWon]:[AwayWon]], Table1[[GameIsOver]:[GameIsOver]],1,Table1[[AwayTeam]:[AwayTeam]],$A21, Table1[[HomeTeam]:[HomeTeam]], AG$1) + SUMIFS(Table1[[HomeWon]:[HomeWon]], Table1[[GameIsOver]:[GameIsOver]],1,Table1[[HomeTeam]:[HomeTeam]],$A21, Table1[[AwayTeam]:[AwayTeam]], AG$1),0), "-", TEXT(SUMIFS(Table1[[HomeWon]:[HomeWon]], Table1[[GameIsOver]:[GameIsOver]],1,Table1[[AwayTeam]:[AwayTeam]],$A21, Table1[[HomeTeam]:[HomeTeam]], AG$1, Table1[[ActualResult]:[ActualResult]], "REG") + SUMIFS(Table1[[AwayWon]:[AwayWon]], Table1[[GameIsOver]:[GameIsOver]],1,Table1[[HomeTeam]:[HomeTeam]],$A21, Table1[[AwayTeam]:[AwayTeam]], AG$1, Table1[[ActualResult]:[ActualResult]], "REG"),0), "-", TEXT(SUMIFS(Table1[[HomeWon]:[HomeWon]], Table1[[GameIsOver]:[GameIsOver]],1,Table1[[AwayTeam]:[AwayTeam]],$A21, Table1[[HomeTeam]:[HomeTeam]], AG$1, Table1[[ActualResult]:[ActualResult]], "OT") + SUMIFS(Table1[[AwayWon]:[AwayWon]], Table1[[GameIsOver]:[GameIsOver]],1,Table1[[HomeTeam]:[HomeTeam]],$A21, Table1[[AwayTeam]:[AwayTeam]], AG$1, Table1[[ActualResult]:[ActualResult]], "OT") + SUMIFS(Table1[[HomeWon]:[HomeWon]], Table1[[GameIsOver]:[GameIsOver]],1,Table1[[AwayTeam]:[AwayTeam]],$A21, Table1[[HomeTeam]:[HomeTeam]], AG$1, Table1[[ActualResult]:[ActualResult]], "SO") + SUMIFS(Table1[[AwayWon]:[AwayWon]], Table1[[GameIsOver]:[GameIsOver]],1,Table1[[HomeTeam]:[HomeTeam]],$A21, Table1[[AwayTeam]:[AwayTeam]], AG$1, Table1[[ActualResult]:[ActualResult]], "SO"),0))</f>
        <v>1-0-0</v>
      </c>
    </row>
    <row r="22" spans="1:33" x14ac:dyDescent="0.25">
      <c r="A22" s="17" t="s">
        <v>51</v>
      </c>
      <c r="B22" s="43" t="str">
        <f>_xlfn.CONCAT(TEXT(SUMIFS(Table1[[AwayWon]:[AwayWon]], Table1[[GameIsOver]:[GameIsOver]],1,Table1[[AwayTeam]:[AwayTeam]],$A22, Table1[[HomeTeam]:[HomeTeam]], B$1) + SUMIFS(Table1[[HomeWon]:[HomeWon]], Table1[[GameIsOver]:[GameIsOver]],1,Table1[[HomeTeam]:[HomeTeam]],$A22, Table1[[AwayTeam]:[AwayTeam]], B$1),0), "-", TEXT(SUMIFS(Table1[[HomeWon]:[HomeWon]], Table1[[GameIsOver]:[GameIsOver]],1,Table1[[AwayTeam]:[AwayTeam]],$A22, Table1[[HomeTeam]:[HomeTeam]], B$1, Table1[[ActualResult]:[ActualResult]], "REG") + SUMIFS(Table1[[AwayWon]:[AwayWon]], Table1[[GameIsOver]:[GameIsOver]],1,Table1[[HomeTeam]:[HomeTeam]],$A22, Table1[[AwayTeam]:[AwayTeam]], B$1, Table1[[ActualResult]:[ActualResult]], "REG"),0), "-", TEXT(SUMIFS(Table1[[HomeWon]:[HomeWon]], Table1[[GameIsOver]:[GameIsOver]],1,Table1[[AwayTeam]:[AwayTeam]],$A22, Table1[[HomeTeam]:[HomeTeam]], B$1, Table1[[ActualResult]:[ActualResult]], "OT") + SUMIFS(Table1[[AwayWon]:[AwayWon]], Table1[[GameIsOver]:[GameIsOver]],1,Table1[[HomeTeam]:[HomeTeam]],$A22, Table1[[AwayTeam]:[AwayTeam]], B$1, Table1[[ActualResult]:[ActualResult]], "OT") + SUMIFS(Table1[[HomeWon]:[HomeWon]], Table1[[GameIsOver]:[GameIsOver]],1,Table1[[AwayTeam]:[AwayTeam]],$A22, Table1[[HomeTeam]:[HomeTeam]], B$1, Table1[[ActualResult]:[ActualResult]], "SO") + SUMIFS(Table1[[AwayWon]:[AwayWon]], Table1[[GameIsOver]:[GameIsOver]],1,Table1[[HomeTeam]:[HomeTeam]],$A22, Table1[[AwayTeam]:[AwayTeam]], B$1, Table1[[ActualResult]:[ActualResult]], "SO"),0))</f>
        <v>0-0-0</v>
      </c>
      <c r="C22" s="43" t="str">
        <f>_xlfn.CONCAT(TEXT(SUMIFS(Table1[[AwayWon]:[AwayWon]], Table1[[GameIsOver]:[GameIsOver]],1,Table1[[AwayTeam]:[AwayTeam]],$A22, Table1[[HomeTeam]:[HomeTeam]], C$1) + SUMIFS(Table1[[HomeWon]:[HomeWon]], Table1[[GameIsOver]:[GameIsOver]],1,Table1[[HomeTeam]:[HomeTeam]],$A22, Table1[[AwayTeam]:[AwayTeam]], C$1),0), "-", TEXT(SUMIFS(Table1[[HomeWon]:[HomeWon]], Table1[[GameIsOver]:[GameIsOver]],1,Table1[[AwayTeam]:[AwayTeam]],$A22, Table1[[HomeTeam]:[HomeTeam]], C$1, Table1[[ActualResult]:[ActualResult]], "REG") + SUMIFS(Table1[[AwayWon]:[AwayWon]], Table1[[GameIsOver]:[GameIsOver]],1,Table1[[HomeTeam]:[HomeTeam]],$A22, Table1[[AwayTeam]:[AwayTeam]], C$1, Table1[[ActualResult]:[ActualResult]], "REG"),0), "-", TEXT(SUMIFS(Table1[[HomeWon]:[HomeWon]], Table1[[GameIsOver]:[GameIsOver]],1,Table1[[AwayTeam]:[AwayTeam]],$A22, Table1[[HomeTeam]:[HomeTeam]], C$1, Table1[[ActualResult]:[ActualResult]], "OT") + SUMIFS(Table1[[AwayWon]:[AwayWon]], Table1[[GameIsOver]:[GameIsOver]],1,Table1[[HomeTeam]:[HomeTeam]],$A22, Table1[[AwayTeam]:[AwayTeam]], C$1, Table1[[ActualResult]:[ActualResult]], "OT") + SUMIFS(Table1[[HomeWon]:[HomeWon]], Table1[[GameIsOver]:[GameIsOver]],1,Table1[[AwayTeam]:[AwayTeam]],$A22, Table1[[HomeTeam]:[HomeTeam]], C$1, Table1[[ActualResult]:[ActualResult]], "SO") + SUMIFS(Table1[[AwayWon]:[AwayWon]], Table1[[GameIsOver]:[GameIsOver]],1,Table1[[HomeTeam]:[HomeTeam]],$A22, Table1[[AwayTeam]:[AwayTeam]], C$1, Table1[[ActualResult]:[ActualResult]], "SO"),0))</f>
        <v>0-0-0</v>
      </c>
      <c r="D22" s="43" t="str">
        <f>_xlfn.CONCAT(TEXT(SUMIFS(Table1[[AwayWon]:[AwayWon]], Table1[[GameIsOver]:[GameIsOver]],1,Table1[[AwayTeam]:[AwayTeam]],$A22, Table1[[HomeTeam]:[HomeTeam]], D$1) + SUMIFS(Table1[[HomeWon]:[HomeWon]], Table1[[GameIsOver]:[GameIsOver]],1,Table1[[HomeTeam]:[HomeTeam]],$A22, Table1[[AwayTeam]:[AwayTeam]], D$1),0), "-", TEXT(SUMIFS(Table1[[HomeWon]:[HomeWon]], Table1[[GameIsOver]:[GameIsOver]],1,Table1[[AwayTeam]:[AwayTeam]],$A22, Table1[[HomeTeam]:[HomeTeam]], D$1, Table1[[ActualResult]:[ActualResult]], "REG") + SUMIFS(Table1[[AwayWon]:[AwayWon]], Table1[[GameIsOver]:[GameIsOver]],1,Table1[[HomeTeam]:[HomeTeam]],$A22, Table1[[AwayTeam]:[AwayTeam]], D$1, Table1[[ActualResult]:[ActualResult]], "REG"),0), "-", TEXT(SUMIFS(Table1[[HomeWon]:[HomeWon]], Table1[[GameIsOver]:[GameIsOver]],1,Table1[[AwayTeam]:[AwayTeam]],$A22, Table1[[HomeTeam]:[HomeTeam]], D$1, Table1[[ActualResult]:[ActualResult]], "OT") + SUMIFS(Table1[[AwayWon]:[AwayWon]], Table1[[GameIsOver]:[GameIsOver]],1,Table1[[HomeTeam]:[HomeTeam]],$A22, Table1[[AwayTeam]:[AwayTeam]], D$1, Table1[[ActualResult]:[ActualResult]], "OT") + SUMIFS(Table1[[HomeWon]:[HomeWon]], Table1[[GameIsOver]:[GameIsOver]],1,Table1[[AwayTeam]:[AwayTeam]],$A22, Table1[[HomeTeam]:[HomeTeam]], D$1, Table1[[ActualResult]:[ActualResult]], "SO") + SUMIFS(Table1[[AwayWon]:[AwayWon]], Table1[[GameIsOver]:[GameIsOver]],1,Table1[[HomeTeam]:[HomeTeam]],$A22, Table1[[AwayTeam]:[AwayTeam]], D$1, Table1[[ActualResult]:[ActualResult]], "SO"),0))</f>
        <v>0-0-0</v>
      </c>
      <c r="E22" s="43" t="str">
        <f>_xlfn.CONCAT(TEXT(SUMIFS(Table1[[AwayWon]:[AwayWon]], Table1[[GameIsOver]:[GameIsOver]],1,Table1[[AwayTeam]:[AwayTeam]],$A22, Table1[[HomeTeam]:[HomeTeam]], E$1) + SUMIFS(Table1[[HomeWon]:[HomeWon]], Table1[[GameIsOver]:[GameIsOver]],1,Table1[[HomeTeam]:[HomeTeam]],$A22, Table1[[AwayTeam]:[AwayTeam]], E$1),0), "-", TEXT(SUMIFS(Table1[[HomeWon]:[HomeWon]], Table1[[GameIsOver]:[GameIsOver]],1,Table1[[AwayTeam]:[AwayTeam]],$A22, Table1[[HomeTeam]:[HomeTeam]], E$1, Table1[[ActualResult]:[ActualResult]], "REG") + SUMIFS(Table1[[AwayWon]:[AwayWon]], Table1[[GameIsOver]:[GameIsOver]],1,Table1[[HomeTeam]:[HomeTeam]],$A22, Table1[[AwayTeam]:[AwayTeam]], E$1, Table1[[ActualResult]:[ActualResult]], "REG"),0), "-", TEXT(SUMIFS(Table1[[HomeWon]:[HomeWon]], Table1[[GameIsOver]:[GameIsOver]],1,Table1[[AwayTeam]:[AwayTeam]],$A22, Table1[[HomeTeam]:[HomeTeam]], E$1, Table1[[ActualResult]:[ActualResult]], "OT") + SUMIFS(Table1[[AwayWon]:[AwayWon]], Table1[[GameIsOver]:[GameIsOver]],1,Table1[[HomeTeam]:[HomeTeam]],$A22, Table1[[AwayTeam]:[AwayTeam]], E$1, Table1[[ActualResult]:[ActualResult]], "OT") + SUMIFS(Table1[[HomeWon]:[HomeWon]], Table1[[GameIsOver]:[GameIsOver]],1,Table1[[AwayTeam]:[AwayTeam]],$A22, Table1[[HomeTeam]:[HomeTeam]], E$1, Table1[[ActualResult]:[ActualResult]], "SO") + SUMIFS(Table1[[AwayWon]:[AwayWon]], Table1[[GameIsOver]:[GameIsOver]],1,Table1[[HomeTeam]:[HomeTeam]],$A22, Table1[[AwayTeam]:[AwayTeam]], E$1, Table1[[ActualResult]:[ActualResult]], "SO"),0))</f>
        <v>0-0-0</v>
      </c>
      <c r="F22" s="43" t="str">
        <f>_xlfn.CONCAT(TEXT(SUMIFS(Table1[[AwayWon]:[AwayWon]], Table1[[GameIsOver]:[GameIsOver]],1,Table1[[AwayTeam]:[AwayTeam]],$A22, Table1[[HomeTeam]:[HomeTeam]], F$1) + SUMIFS(Table1[[HomeWon]:[HomeWon]], Table1[[GameIsOver]:[GameIsOver]],1,Table1[[HomeTeam]:[HomeTeam]],$A22, Table1[[AwayTeam]:[AwayTeam]], F$1),0), "-", TEXT(SUMIFS(Table1[[HomeWon]:[HomeWon]], Table1[[GameIsOver]:[GameIsOver]],1,Table1[[AwayTeam]:[AwayTeam]],$A22, Table1[[HomeTeam]:[HomeTeam]], F$1, Table1[[ActualResult]:[ActualResult]], "REG") + SUMIFS(Table1[[AwayWon]:[AwayWon]], Table1[[GameIsOver]:[GameIsOver]],1,Table1[[HomeTeam]:[HomeTeam]],$A22, Table1[[AwayTeam]:[AwayTeam]], F$1, Table1[[ActualResult]:[ActualResult]], "REG"),0), "-", TEXT(SUMIFS(Table1[[HomeWon]:[HomeWon]], Table1[[GameIsOver]:[GameIsOver]],1,Table1[[AwayTeam]:[AwayTeam]],$A22, Table1[[HomeTeam]:[HomeTeam]], F$1, Table1[[ActualResult]:[ActualResult]], "OT") + SUMIFS(Table1[[AwayWon]:[AwayWon]], Table1[[GameIsOver]:[GameIsOver]],1,Table1[[HomeTeam]:[HomeTeam]],$A22, Table1[[AwayTeam]:[AwayTeam]], F$1, Table1[[ActualResult]:[ActualResult]], "OT") + SUMIFS(Table1[[HomeWon]:[HomeWon]], Table1[[GameIsOver]:[GameIsOver]],1,Table1[[AwayTeam]:[AwayTeam]],$A22, Table1[[HomeTeam]:[HomeTeam]], F$1, Table1[[ActualResult]:[ActualResult]], "SO") + SUMIFS(Table1[[AwayWon]:[AwayWon]], Table1[[GameIsOver]:[GameIsOver]],1,Table1[[HomeTeam]:[HomeTeam]],$A22, Table1[[AwayTeam]:[AwayTeam]], F$1, Table1[[ActualResult]:[ActualResult]], "SO"),0))</f>
        <v>0-0-0</v>
      </c>
      <c r="G22" s="43" t="str">
        <f>_xlfn.CONCAT(TEXT(SUMIFS(Table1[[AwayWon]:[AwayWon]], Table1[[GameIsOver]:[GameIsOver]],1,Table1[[AwayTeam]:[AwayTeam]],$A22, Table1[[HomeTeam]:[HomeTeam]], G$1) + SUMIFS(Table1[[HomeWon]:[HomeWon]], Table1[[GameIsOver]:[GameIsOver]],1,Table1[[HomeTeam]:[HomeTeam]],$A22, Table1[[AwayTeam]:[AwayTeam]], G$1),0), "-", TEXT(SUMIFS(Table1[[HomeWon]:[HomeWon]], Table1[[GameIsOver]:[GameIsOver]],1,Table1[[AwayTeam]:[AwayTeam]],$A22, Table1[[HomeTeam]:[HomeTeam]], G$1, Table1[[ActualResult]:[ActualResult]], "REG") + SUMIFS(Table1[[AwayWon]:[AwayWon]], Table1[[GameIsOver]:[GameIsOver]],1,Table1[[HomeTeam]:[HomeTeam]],$A22, Table1[[AwayTeam]:[AwayTeam]], G$1, Table1[[ActualResult]:[ActualResult]], "REG"),0), "-", TEXT(SUMIFS(Table1[[HomeWon]:[HomeWon]], Table1[[GameIsOver]:[GameIsOver]],1,Table1[[AwayTeam]:[AwayTeam]],$A22, Table1[[HomeTeam]:[HomeTeam]], G$1, Table1[[ActualResult]:[ActualResult]], "OT") + SUMIFS(Table1[[AwayWon]:[AwayWon]], Table1[[GameIsOver]:[GameIsOver]],1,Table1[[HomeTeam]:[HomeTeam]],$A22, Table1[[AwayTeam]:[AwayTeam]], G$1, Table1[[ActualResult]:[ActualResult]], "OT") + SUMIFS(Table1[[HomeWon]:[HomeWon]], Table1[[GameIsOver]:[GameIsOver]],1,Table1[[AwayTeam]:[AwayTeam]],$A22, Table1[[HomeTeam]:[HomeTeam]], G$1, Table1[[ActualResult]:[ActualResult]], "SO") + SUMIFS(Table1[[AwayWon]:[AwayWon]], Table1[[GameIsOver]:[GameIsOver]],1,Table1[[HomeTeam]:[HomeTeam]],$A22, Table1[[AwayTeam]:[AwayTeam]], G$1, Table1[[ActualResult]:[ActualResult]], "SO"),0))</f>
        <v>0-0-0</v>
      </c>
      <c r="H22" s="43" t="str">
        <f>_xlfn.CONCAT(TEXT(SUMIFS(Table1[[AwayWon]:[AwayWon]], Table1[[GameIsOver]:[GameIsOver]],1,Table1[[AwayTeam]:[AwayTeam]],$A22, Table1[[HomeTeam]:[HomeTeam]], H$1) + SUMIFS(Table1[[HomeWon]:[HomeWon]], Table1[[GameIsOver]:[GameIsOver]],1,Table1[[HomeTeam]:[HomeTeam]],$A22, Table1[[AwayTeam]:[AwayTeam]], H$1),0), "-", TEXT(SUMIFS(Table1[[HomeWon]:[HomeWon]], Table1[[GameIsOver]:[GameIsOver]],1,Table1[[AwayTeam]:[AwayTeam]],$A22, Table1[[HomeTeam]:[HomeTeam]], H$1, Table1[[ActualResult]:[ActualResult]], "REG") + SUMIFS(Table1[[AwayWon]:[AwayWon]], Table1[[GameIsOver]:[GameIsOver]],1,Table1[[HomeTeam]:[HomeTeam]],$A22, Table1[[AwayTeam]:[AwayTeam]], H$1, Table1[[ActualResult]:[ActualResult]], "REG"),0), "-", TEXT(SUMIFS(Table1[[HomeWon]:[HomeWon]], Table1[[GameIsOver]:[GameIsOver]],1,Table1[[AwayTeam]:[AwayTeam]],$A22, Table1[[HomeTeam]:[HomeTeam]], H$1, Table1[[ActualResult]:[ActualResult]], "OT") + SUMIFS(Table1[[AwayWon]:[AwayWon]], Table1[[GameIsOver]:[GameIsOver]],1,Table1[[HomeTeam]:[HomeTeam]],$A22, Table1[[AwayTeam]:[AwayTeam]], H$1, Table1[[ActualResult]:[ActualResult]], "OT") + SUMIFS(Table1[[HomeWon]:[HomeWon]], Table1[[GameIsOver]:[GameIsOver]],1,Table1[[AwayTeam]:[AwayTeam]],$A22, Table1[[HomeTeam]:[HomeTeam]], H$1, Table1[[ActualResult]:[ActualResult]], "SO") + SUMIFS(Table1[[AwayWon]:[AwayWon]], Table1[[GameIsOver]:[GameIsOver]],1,Table1[[HomeTeam]:[HomeTeam]],$A22, Table1[[AwayTeam]:[AwayTeam]], H$1, Table1[[ActualResult]:[ActualResult]], "SO"),0))</f>
        <v>0-0-0</v>
      </c>
      <c r="I22" s="45" t="str">
        <f>_xlfn.CONCAT(TEXT(SUMIFS(Table1[[AwayWon]:[AwayWon]], Table1[[GameIsOver]:[GameIsOver]],1,Table1[[AwayTeam]:[AwayTeam]],$A22, Table1[[HomeTeam]:[HomeTeam]], I$1) + SUMIFS(Table1[[HomeWon]:[HomeWon]], Table1[[GameIsOver]:[GameIsOver]],1,Table1[[HomeTeam]:[HomeTeam]],$A22, Table1[[AwayTeam]:[AwayTeam]], I$1),0), "-", TEXT(SUMIFS(Table1[[HomeWon]:[HomeWon]], Table1[[GameIsOver]:[GameIsOver]],1,Table1[[AwayTeam]:[AwayTeam]],$A22, Table1[[HomeTeam]:[HomeTeam]], I$1, Table1[[ActualResult]:[ActualResult]], "REG") + SUMIFS(Table1[[AwayWon]:[AwayWon]], Table1[[GameIsOver]:[GameIsOver]],1,Table1[[HomeTeam]:[HomeTeam]],$A22, Table1[[AwayTeam]:[AwayTeam]], I$1, Table1[[ActualResult]:[ActualResult]], "REG"),0), "-", TEXT(SUMIFS(Table1[[HomeWon]:[HomeWon]], Table1[[GameIsOver]:[GameIsOver]],1,Table1[[AwayTeam]:[AwayTeam]],$A22, Table1[[HomeTeam]:[HomeTeam]], I$1, Table1[[ActualResult]:[ActualResult]], "OT") + SUMIFS(Table1[[AwayWon]:[AwayWon]], Table1[[GameIsOver]:[GameIsOver]],1,Table1[[HomeTeam]:[HomeTeam]],$A22, Table1[[AwayTeam]:[AwayTeam]], I$1, Table1[[ActualResult]:[ActualResult]], "OT") + SUMIFS(Table1[[HomeWon]:[HomeWon]], Table1[[GameIsOver]:[GameIsOver]],1,Table1[[AwayTeam]:[AwayTeam]],$A22, Table1[[HomeTeam]:[HomeTeam]], I$1, Table1[[ActualResult]:[ActualResult]], "SO") + SUMIFS(Table1[[AwayWon]:[AwayWon]], Table1[[GameIsOver]:[GameIsOver]],1,Table1[[HomeTeam]:[HomeTeam]],$A22, Table1[[AwayTeam]:[AwayTeam]], I$1, Table1[[ActualResult]:[ActualResult]], "SO"),0))</f>
        <v>0-0-0</v>
      </c>
      <c r="J22" s="43" t="str">
        <f>_xlfn.CONCAT(TEXT(SUMIFS(Table1[[AwayWon]:[AwayWon]], Table1[[GameIsOver]:[GameIsOver]],1,Table1[[AwayTeam]:[AwayTeam]],$A22, Table1[[HomeTeam]:[HomeTeam]], J$1) + SUMIFS(Table1[[HomeWon]:[HomeWon]], Table1[[GameIsOver]:[GameIsOver]],1,Table1[[HomeTeam]:[HomeTeam]],$A22, Table1[[AwayTeam]:[AwayTeam]], J$1),0), "-", TEXT(SUMIFS(Table1[[HomeWon]:[HomeWon]], Table1[[GameIsOver]:[GameIsOver]],1,Table1[[AwayTeam]:[AwayTeam]],$A22, Table1[[HomeTeam]:[HomeTeam]], J$1, Table1[[ActualResult]:[ActualResult]], "REG") + SUMIFS(Table1[[AwayWon]:[AwayWon]], Table1[[GameIsOver]:[GameIsOver]],1,Table1[[HomeTeam]:[HomeTeam]],$A22, Table1[[AwayTeam]:[AwayTeam]], J$1, Table1[[ActualResult]:[ActualResult]], "REG"),0), "-", TEXT(SUMIFS(Table1[[HomeWon]:[HomeWon]], Table1[[GameIsOver]:[GameIsOver]],1,Table1[[AwayTeam]:[AwayTeam]],$A22, Table1[[HomeTeam]:[HomeTeam]], J$1, Table1[[ActualResult]:[ActualResult]], "OT") + SUMIFS(Table1[[AwayWon]:[AwayWon]], Table1[[GameIsOver]:[GameIsOver]],1,Table1[[HomeTeam]:[HomeTeam]],$A22, Table1[[AwayTeam]:[AwayTeam]], J$1, Table1[[ActualResult]:[ActualResult]], "OT") + SUMIFS(Table1[[HomeWon]:[HomeWon]], Table1[[GameIsOver]:[GameIsOver]],1,Table1[[AwayTeam]:[AwayTeam]],$A22, Table1[[HomeTeam]:[HomeTeam]], J$1, Table1[[ActualResult]:[ActualResult]], "SO") + SUMIFS(Table1[[AwayWon]:[AwayWon]], Table1[[GameIsOver]:[GameIsOver]],1,Table1[[HomeTeam]:[HomeTeam]],$A22, Table1[[AwayTeam]:[AwayTeam]], J$1, Table1[[ActualResult]:[ActualResult]], "SO"),0))</f>
        <v>0-0-0</v>
      </c>
      <c r="K22" s="43" t="str">
        <f>_xlfn.CONCAT(TEXT(SUMIFS(Table1[[AwayWon]:[AwayWon]], Table1[[GameIsOver]:[GameIsOver]],1,Table1[[AwayTeam]:[AwayTeam]],$A22, Table1[[HomeTeam]:[HomeTeam]], K$1) + SUMIFS(Table1[[HomeWon]:[HomeWon]], Table1[[GameIsOver]:[GameIsOver]],1,Table1[[HomeTeam]:[HomeTeam]],$A22, Table1[[AwayTeam]:[AwayTeam]], K$1),0), "-", TEXT(SUMIFS(Table1[[HomeWon]:[HomeWon]], Table1[[GameIsOver]:[GameIsOver]],1,Table1[[AwayTeam]:[AwayTeam]],$A22, Table1[[HomeTeam]:[HomeTeam]], K$1, Table1[[ActualResult]:[ActualResult]], "REG") + SUMIFS(Table1[[AwayWon]:[AwayWon]], Table1[[GameIsOver]:[GameIsOver]],1,Table1[[HomeTeam]:[HomeTeam]],$A22, Table1[[AwayTeam]:[AwayTeam]], K$1, Table1[[ActualResult]:[ActualResult]], "REG"),0), "-", TEXT(SUMIFS(Table1[[HomeWon]:[HomeWon]], Table1[[GameIsOver]:[GameIsOver]],1,Table1[[AwayTeam]:[AwayTeam]],$A22, Table1[[HomeTeam]:[HomeTeam]], K$1, Table1[[ActualResult]:[ActualResult]], "OT") + SUMIFS(Table1[[AwayWon]:[AwayWon]], Table1[[GameIsOver]:[GameIsOver]],1,Table1[[HomeTeam]:[HomeTeam]],$A22, Table1[[AwayTeam]:[AwayTeam]], K$1, Table1[[ActualResult]:[ActualResult]], "OT") + SUMIFS(Table1[[HomeWon]:[HomeWon]], Table1[[GameIsOver]:[GameIsOver]],1,Table1[[AwayTeam]:[AwayTeam]],$A22, Table1[[HomeTeam]:[HomeTeam]], K$1, Table1[[ActualResult]:[ActualResult]], "SO") + SUMIFS(Table1[[AwayWon]:[AwayWon]], Table1[[GameIsOver]:[GameIsOver]],1,Table1[[HomeTeam]:[HomeTeam]],$A22, Table1[[AwayTeam]:[AwayTeam]], K$1, Table1[[ActualResult]:[ActualResult]], "SO"),0))</f>
        <v>0-0-0</v>
      </c>
      <c r="L22" s="43" t="str">
        <f>_xlfn.CONCAT(TEXT(SUMIFS(Table1[[AwayWon]:[AwayWon]], Table1[[GameIsOver]:[GameIsOver]],1,Table1[[AwayTeam]:[AwayTeam]],$A22, Table1[[HomeTeam]:[HomeTeam]], L$1) + SUMIFS(Table1[[HomeWon]:[HomeWon]], Table1[[GameIsOver]:[GameIsOver]],1,Table1[[HomeTeam]:[HomeTeam]],$A22, Table1[[AwayTeam]:[AwayTeam]], L$1),0), "-", TEXT(SUMIFS(Table1[[HomeWon]:[HomeWon]], Table1[[GameIsOver]:[GameIsOver]],1,Table1[[AwayTeam]:[AwayTeam]],$A22, Table1[[HomeTeam]:[HomeTeam]], L$1, Table1[[ActualResult]:[ActualResult]], "REG") + SUMIFS(Table1[[AwayWon]:[AwayWon]], Table1[[GameIsOver]:[GameIsOver]],1,Table1[[HomeTeam]:[HomeTeam]],$A22, Table1[[AwayTeam]:[AwayTeam]], L$1, Table1[[ActualResult]:[ActualResult]], "REG"),0), "-", TEXT(SUMIFS(Table1[[HomeWon]:[HomeWon]], Table1[[GameIsOver]:[GameIsOver]],1,Table1[[AwayTeam]:[AwayTeam]],$A22, Table1[[HomeTeam]:[HomeTeam]], L$1, Table1[[ActualResult]:[ActualResult]], "OT") + SUMIFS(Table1[[AwayWon]:[AwayWon]], Table1[[GameIsOver]:[GameIsOver]],1,Table1[[HomeTeam]:[HomeTeam]],$A22, Table1[[AwayTeam]:[AwayTeam]], L$1, Table1[[ActualResult]:[ActualResult]], "OT") + SUMIFS(Table1[[HomeWon]:[HomeWon]], Table1[[GameIsOver]:[GameIsOver]],1,Table1[[AwayTeam]:[AwayTeam]],$A22, Table1[[HomeTeam]:[HomeTeam]], L$1, Table1[[ActualResult]:[ActualResult]], "SO") + SUMIFS(Table1[[AwayWon]:[AwayWon]], Table1[[GameIsOver]:[GameIsOver]],1,Table1[[HomeTeam]:[HomeTeam]],$A22, Table1[[AwayTeam]:[AwayTeam]], L$1, Table1[[ActualResult]:[ActualResult]], "SO"),0))</f>
        <v>0-0-0</v>
      </c>
      <c r="M22" s="43" t="str">
        <f>_xlfn.CONCAT(TEXT(SUMIFS(Table1[[AwayWon]:[AwayWon]], Table1[[GameIsOver]:[GameIsOver]],1,Table1[[AwayTeam]:[AwayTeam]],$A22, Table1[[HomeTeam]:[HomeTeam]], M$1) + SUMIFS(Table1[[HomeWon]:[HomeWon]], Table1[[GameIsOver]:[GameIsOver]],1,Table1[[HomeTeam]:[HomeTeam]],$A22, Table1[[AwayTeam]:[AwayTeam]], M$1),0), "-", TEXT(SUMIFS(Table1[[HomeWon]:[HomeWon]], Table1[[GameIsOver]:[GameIsOver]],1,Table1[[AwayTeam]:[AwayTeam]],$A22, Table1[[HomeTeam]:[HomeTeam]], M$1, Table1[[ActualResult]:[ActualResult]], "REG") + SUMIFS(Table1[[AwayWon]:[AwayWon]], Table1[[GameIsOver]:[GameIsOver]],1,Table1[[HomeTeam]:[HomeTeam]],$A22, Table1[[AwayTeam]:[AwayTeam]], M$1, Table1[[ActualResult]:[ActualResult]], "REG"),0), "-", TEXT(SUMIFS(Table1[[HomeWon]:[HomeWon]], Table1[[GameIsOver]:[GameIsOver]],1,Table1[[AwayTeam]:[AwayTeam]],$A22, Table1[[HomeTeam]:[HomeTeam]], M$1, Table1[[ActualResult]:[ActualResult]], "OT") + SUMIFS(Table1[[AwayWon]:[AwayWon]], Table1[[GameIsOver]:[GameIsOver]],1,Table1[[HomeTeam]:[HomeTeam]],$A22, Table1[[AwayTeam]:[AwayTeam]], M$1, Table1[[ActualResult]:[ActualResult]], "OT") + SUMIFS(Table1[[HomeWon]:[HomeWon]], Table1[[GameIsOver]:[GameIsOver]],1,Table1[[AwayTeam]:[AwayTeam]],$A22, Table1[[HomeTeam]:[HomeTeam]], M$1, Table1[[ActualResult]:[ActualResult]], "SO") + SUMIFS(Table1[[AwayWon]:[AwayWon]], Table1[[GameIsOver]:[GameIsOver]],1,Table1[[HomeTeam]:[HomeTeam]],$A22, Table1[[AwayTeam]:[AwayTeam]], M$1, Table1[[ActualResult]:[ActualResult]], "SO"),0))</f>
        <v>0-0-0</v>
      </c>
      <c r="N22" s="43" t="str">
        <f>_xlfn.CONCAT(TEXT(SUMIFS(Table1[[AwayWon]:[AwayWon]], Table1[[GameIsOver]:[GameIsOver]],1,Table1[[AwayTeam]:[AwayTeam]],$A22, Table1[[HomeTeam]:[HomeTeam]], N$1) + SUMIFS(Table1[[HomeWon]:[HomeWon]], Table1[[GameIsOver]:[GameIsOver]],1,Table1[[HomeTeam]:[HomeTeam]],$A22, Table1[[AwayTeam]:[AwayTeam]], N$1),0), "-", TEXT(SUMIFS(Table1[[HomeWon]:[HomeWon]], Table1[[GameIsOver]:[GameIsOver]],1,Table1[[AwayTeam]:[AwayTeam]],$A22, Table1[[HomeTeam]:[HomeTeam]], N$1, Table1[[ActualResult]:[ActualResult]], "REG") + SUMIFS(Table1[[AwayWon]:[AwayWon]], Table1[[GameIsOver]:[GameIsOver]],1,Table1[[HomeTeam]:[HomeTeam]],$A22, Table1[[AwayTeam]:[AwayTeam]], N$1, Table1[[ActualResult]:[ActualResult]], "REG"),0), "-", TEXT(SUMIFS(Table1[[HomeWon]:[HomeWon]], Table1[[GameIsOver]:[GameIsOver]],1,Table1[[AwayTeam]:[AwayTeam]],$A22, Table1[[HomeTeam]:[HomeTeam]], N$1, Table1[[ActualResult]:[ActualResult]], "OT") + SUMIFS(Table1[[AwayWon]:[AwayWon]], Table1[[GameIsOver]:[GameIsOver]],1,Table1[[HomeTeam]:[HomeTeam]],$A22, Table1[[AwayTeam]:[AwayTeam]], N$1, Table1[[ActualResult]:[ActualResult]], "OT") + SUMIFS(Table1[[HomeWon]:[HomeWon]], Table1[[GameIsOver]:[GameIsOver]],1,Table1[[AwayTeam]:[AwayTeam]],$A22, Table1[[HomeTeam]:[HomeTeam]], N$1, Table1[[ActualResult]:[ActualResult]], "SO") + SUMIFS(Table1[[AwayWon]:[AwayWon]], Table1[[GameIsOver]:[GameIsOver]],1,Table1[[HomeTeam]:[HomeTeam]],$A22, Table1[[AwayTeam]:[AwayTeam]], N$1, Table1[[ActualResult]:[ActualResult]], "SO"),0))</f>
        <v>0-0-0</v>
      </c>
      <c r="O22" s="43" t="str">
        <f>_xlfn.CONCAT(TEXT(SUMIFS(Table1[[AwayWon]:[AwayWon]], Table1[[GameIsOver]:[GameIsOver]],1,Table1[[AwayTeam]:[AwayTeam]],$A22, Table1[[HomeTeam]:[HomeTeam]], O$1) + SUMIFS(Table1[[HomeWon]:[HomeWon]], Table1[[GameIsOver]:[GameIsOver]],1,Table1[[HomeTeam]:[HomeTeam]],$A22, Table1[[AwayTeam]:[AwayTeam]], O$1),0), "-", TEXT(SUMIFS(Table1[[HomeWon]:[HomeWon]], Table1[[GameIsOver]:[GameIsOver]],1,Table1[[AwayTeam]:[AwayTeam]],$A22, Table1[[HomeTeam]:[HomeTeam]], O$1, Table1[[ActualResult]:[ActualResult]], "REG") + SUMIFS(Table1[[AwayWon]:[AwayWon]], Table1[[GameIsOver]:[GameIsOver]],1,Table1[[HomeTeam]:[HomeTeam]],$A22, Table1[[AwayTeam]:[AwayTeam]], O$1, Table1[[ActualResult]:[ActualResult]], "REG"),0), "-", TEXT(SUMIFS(Table1[[HomeWon]:[HomeWon]], Table1[[GameIsOver]:[GameIsOver]],1,Table1[[AwayTeam]:[AwayTeam]],$A22, Table1[[HomeTeam]:[HomeTeam]], O$1, Table1[[ActualResult]:[ActualResult]], "OT") + SUMIFS(Table1[[AwayWon]:[AwayWon]], Table1[[GameIsOver]:[GameIsOver]],1,Table1[[HomeTeam]:[HomeTeam]],$A22, Table1[[AwayTeam]:[AwayTeam]], O$1, Table1[[ActualResult]:[ActualResult]], "OT") + SUMIFS(Table1[[HomeWon]:[HomeWon]], Table1[[GameIsOver]:[GameIsOver]],1,Table1[[AwayTeam]:[AwayTeam]],$A22, Table1[[HomeTeam]:[HomeTeam]], O$1, Table1[[ActualResult]:[ActualResult]], "SO") + SUMIFS(Table1[[AwayWon]:[AwayWon]], Table1[[GameIsOver]:[GameIsOver]],1,Table1[[HomeTeam]:[HomeTeam]],$A22, Table1[[AwayTeam]:[AwayTeam]], O$1, Table1[[ActualResult]:[ActualResult]], "SO"),0))</f>
        <v>0-0-0</v>
      </c>
      <c r="P22" s="43" t="str">
        <f>_xlfn.CONCAT(TEXT(SUMIFS(Table1[[AwayWon]:[AwayWon]], Table1[[GameIsOver]:[GameIsOver]],1,Table1[[AwayTeam]:[AwayTeam]],$A22, Table1[[HomeTeam]:[HomeTeam]], P$1) + SUMIFS(Table1[[HomeWon]:[HomeWon]], Table1[[GameIsOver]:[GameIsOver]],1,Table1[[HomeTeam]:[HomeTeam]],$A22, Table1[[AwayTeam]:[AwayTeam]], P$1),0), "-", TEXT(SUMIFS(Table1[[HomeWon]:[HomeWon]], Table1[[GameIsOver]:[GameIsOver]],1,Table1[[AwayTeam]:[AwayTeam]],$A22, Table1[[HomeTeam]:[HomeTeam]], P$1, Table1[[ActualResult]:[ActualResult]], "REG") + SUMIFS(Table1[[AwayWon]:[AwayWon]], Table1[[GameIsOver]:[GameIsOver]],1,Table1[[HomeTeam]:[HomeTeam]],$A22, Table1[[AwayTeam]:[AwayTeam]], P$1, Table1[[ActualResult]:[ActualResult]], "REG"),0), "-", TEXT(SUMIFS(Table1[[HomeWon]:[HomeWon]], Table1[[GameIsOver]:[GameIsOver]],1,Table1[[AwayTeam]:[AwayTeam]],$A22, Table1[[HomeTeam]:[HomeTeam]], P$1, Table1[[ActualResult]:[ActualResult]], "OT") + SUMIFS(Table1[[AwayWon]:[AwayWon]], Table1[[GameIsOver]:[GameIsOver]],1,Table1[[HomeTeam]:[HomeTeam]],$A22, Table1[[AwayTeam]:[AwayTeam]], P$1, Table1[[ActualResult]:[ActualResult]], "OT") + SUMIFS(Table1[[HomeWon]:[HomeWon]], Table1[[GameIsOver]:[GameIsOver]],1,Table1[[AwayTeam]:[AwayTeam]],$A22, Table1[[HomeTeam]:[HomeTeam]], P$1, Table1[[ActualResult]:[ActualResult]], "SO") + SUMIFS(Table1[[AwayWon]:[AwayWon]], Table1[[GameIsOver]:[GameIsOver]],1,Table1[[HomeTeam]:[HomeTeam]],$A22, Table1[[AwayTeam]:[AwayTeam]], P$1, Table1[[ActualResult]:[ActualResult]], "SO"),0))</f>
        <v>0-0-0</v>
      </c>
      <c r="Q22" s="45" t="str">
        <f>_xlfn.CONCAT(TEXT(SUMIFS(Table1[[AwayWon]:[AwayWon]], Table1[[GameIsOver]:[GameIsOver]],1,Table1[[AwayTeam]:[AwayTeam]],$A22, Table1[[HomeTeam]:[HomeTeam]], Q$1) + SUMIFS(Table1[[HomeWon]:[HomeWon]], Table1[[GameIsOver]:[GameIsOver]],1,Table1[[HomeTeam]:[HomeTeam]],$A22, Table1[[AwayTeam]:[AwayTeam]], Q$1),0), "-", TEXT(SUMIFS(Table1[[HomeWon]:[HomeWon]], Table1[[GameIsOver]:[GameIsOver]],1,Table1[[AwayTeam]:[AwayTeam]],$A22, Table1[[HomeTeam]:[HomeTeam]], Q$1, Table1[[ActualResult]:[ActualResult]], "REG") + SUMIFS(Table1[[AwayWon]:[AwayWon]], Table1[[GameIsOver]:[GameIsOver]],1,Table1[[HomeTeam]:[HomeTeam]],$A22, Table1[[AwayTeam]:[AwayTeam]], Q$1, Table1[[ActualResult]:[ActualResult]], "REG"),0), "-", TEXT(SUMIFS(Table1[[HomeWon]:[HomeWon]], Table1[[GameIsOver]:[GameIsOver]],1,Table1[[AwayTeam]:[AwayTeam]],$A22, Table1[[HomeTeam]:[HomeTeam]], Q$1, Table1[[ActualResult]:[ActualResult]], "OT") + SUMIFS(Table1[[AwayWon]:[AwayWon]], Table1[[GameIsOver]:[GameIsOver]],1,Table1[[HomeTeam]:[HomeTeam]],$A22, Table1[[AwayTeam]:[AwayTeam]], Q$1, Table1[[ActualResult]:[ActualResult]], "OT") + SUMIFS(Table1[[HomeWon]:[HomeWon]], Table1[[GameIsOver]:[GameIsOver]],1,Table1[[AwayTeam]:[AwayTeam]],$A22, Table1[[HomeTeam]:[HomeTeam]], Q$1, Table1[[ActualResult]:[ActualResult]], "SO") + SUMIFS(Table1[[AwayWon]:[AwayWon]], Table1[[GameIsOver]:[GameIsOver]],1,Table1[[HomeTeam]:[HomeTeam]],$A22, Table1[[AwayTeam]:[AwayTeam]], Q$1, Table1[[ActualResult]:[ActualResult]], "SO"),0))</f>
        <v>0-0-0</v>
      </c>
      <c r="R22" s="43" t="str">
        <f>_xlfn.CONCAT(TEXT(SUMIFS(Table1[[AwayWon]:[AwayWon]], Table1[[GameIsOver]:[GameIsOver]],1,Table1[[AwayTeam]:[AwayTeam]],$A22, Table1[[HomeTeam]:[HomeTeam]], R$1) + SUMIFS(Table1[[HomeWon]:[HomeWon]], Table1[[GameIsOver]:[GameIsOver]],1,Table1[[HomeTeam]:[HomeTeam]],$A22, Table1[[AwayTeam]:[AwayTeam]], R$1),0), "-", TEXT(SUMIFS(Table1[[HomeWon]:[HomeWon]], Table1[[GameIsOver]:[GameIsOver]],1,Table1[[AwayTeam]:[AwayTeam]],$A22, Table1[[HomeTeam]:[HomeTeam]], R$1, Table1[[ActualResult]:[ActualResult]], "REG") + SUMIFS(Table1[[AwayWon]:[AwayWon]], Table1[[GameIsOver]:[GameIsOver]],1,Table1[[HomeTeam]:[HomeTeam]],$A22, Table1[[AwayTeam]:[AwayTeam]], R$1, Table1[[ActualResult]:[ActualResult]], "REG"),0), "-", TEXT(SUMIFS(Table1[[HomeWon]:[HomeWon]], Table1[[GameIsOver]:[GameIsOver]],1,Table1[[AwayTeam]:[AwayTeam]],$A22, Table1[[HomeTeam]:[HomeTeam]], R$1, Table1[[ActualResult]:[ActualResult]], "OT") + SUMIFS(Table1[[AwayWon]:[AwayWon]], Table1[[GameIsOver]:[GameIsOver]],1,Table1[[HomeTeam]:[HomeTeam]],$A22, Table1[[AwayTeam]:[AwayTeam]], R$1, Table1[[ActualResult]:[ActualResult]], "OT") + SUMIFS(Table1[[HomeWon]:[HomeWon]], Table1[[GameIsOver]:[GameIsOver]],1,Table1[[AwayTeam]:[AwayTeam]],$A22, Table1[[HomeTeam]:[HomeTeam]], R$1, Table1[[ActualResult]:[ActualResult]], "SO") + SUMIFS(Table1[[AwayWon]:[AwayWon]], Table1[[GameIsOver]:[GameIsOver]],1,Table1[[HomeTeam]:[HomeTeam]],$A22, Table1[[AwayTeam]:[AwayTeam]], R$1, Table1[[ActualResult]:[ActualResult]], "SO"),0))</f>
        <v>0-0-0</v>
      </c>
      <c r="S22" s="43" t="str">
        <f>_xlfn.CONCAT(TEXT(SUMIFS(Table1[[AwayWon]:[AwayWon]], Table1[[GameIsOver]:[GameIsOver]],1,Table1[[AwayTeam]:[AwayTeam]],$A22, Table1[[HomeTeam]:[HomeTeam]], S$1) + SUMIFS(Table1[[HomeWon]:[HomeWon]], Table1[[GameIsOver]:[GameIsOver]],1,Table1[[HomeTeam]:[HomeTeam]],$A22, Table1[[AwayTeam]:[AwayTeam]], S$1),0), "-", TEXT(SUMIFS(Table1[[HomeWon]:[HomeWon]], Table1[[GameIsOver]:[GameIsOver]],1,Table1[[AwayTeam]:[AwayTeam]],$A22, Table1[[HomeTeam]:[HomeTeam]], S$1, Table1[[ActualResult]:[ActualResult]], "REG") + SUMIFS(Table1[[AwayWon]:[AwayWon]], Table1[[GameIsOver]:[GameIsOver]],1,Table1[[HomeTeam]:[HomeTeam]],$A22, Table1[[AwayTeam]:[AwayTeam]], S$1, Table1[[ActualResult]:[ActualResult]], "REG"),0), "-", TEXT(SUMIFS(Table1[[HomeWon]:[HomeWon]], Table1[[GameIsOver]:[GameIsOver]],1,Table1[[AwayTeam]:[AwayTeam]],$A22, Table1[[HomeTeam]:[HomeTeam]], S$1, Table1[[ActualResult]:[ActualResult]], "OT") + SUMIFS(Table1[[AwayWon]:[AwayWon]], Table1[[GameIsOver]:[GameIsOver]],1,Table1[[HomeTeam]:[HomeTeam]],$A22, Table1[[AwayTeam]:[AwayTeam]], S$1, Table1[[ActualResult]:[ActualResult]], "OT") + SUMIFS(Table1[[HomeWon]:[HomeWon]], Table1[[GameIsOver]:[GameIsOver]],1,Table1[[AwayTeam]:[AwayTeam]],$A22, Table1[[HomeTeam]:[HomeTeam]], S$1, Table1[[ActualResult]:[ActualResult]], "SO") + SUMIFS(Table1[[AwayWon]:[AwayWon]], Table1[[GameIsOver]:[GameIsOver]],1,Table1[[HomeTeam]:[HomeTeam]],$A22, Table1[[AwayTeam]:[AwayTeam]], S$1, Table1[[ActualResult]:[ActualResult]], "SO"),0))</f>
        <v>0-0-0</v>
      </c>
      <c r="T22" s="43" t="str">
        <f>_xlfn.CONCAT(TEXT(SUMIFS(Table1[[AwayWon]:[AwayWon]], Table1[[GameIsOver]:[GameIsOver]],1,Table1[[AwayTeam]:[AwayTeam]],$A22, Table1[[HomeTeam]:[HomeTeam]], T$1) + SUMIFS(Table1[[HomeWon]:[HomeWon]], Table1[[GameIsOver]:[GameIsOver]],1,Table1[[HomeTeam]:[HomeTeam]],$A22, Table1[[AwayTeam]:[AwayTeam]], T$1),0), "-", TEXT(SUMIFS(Table1[[HomeWon]:[HomeWon]], Table1[[GameIsOver]:[GameIsOver]],1,Table1[[AwayTeam]:[AwayTeam]],$A22, Table1[[HomeTeam]:[HomeTeam]], T$1, Table1[[ActualResult]:[ActualResult]], "REG") + SUMIFS(Table1[[AwayWon]:[AwayWon]], Table1[[GameIsOver]:[GameIsOver]],1,Table1[[HomeTeam]:[HomeTeam]],$A22, Table1[[AwayTeam]:[AwayTeam]], T$1, Table1[[ActualResult]:[ActualResult]], "REG"),0), "-", TEXT(SUMIFS(Table1[[HomeWon]:[HomeWon]], Table1[[GameIsOver]:[GameIsOver]],1,Table1[[AwayTeam]:[AwayTeam]],$A22, Table1[[HomeTeam]:[HomeTeam]], T$1, Table1[[ActualResult]:[ActualResult]], "OT") + SUMIFS(Table1[[AwayWon]:[AwayWon]], Table1[[GameIsOver]:[GameIsOver]],1,Table1[[HomeTeam]:[HomeTeam]],$A22, Table1[[AwayTeam]:[AwayTeam]], T$1, Table1[[ActualResult]:[ActualResult]], "OT") + SUMIFS(Table1[[HomeWon]:[HomeWon]], Table1[[GameIsOver]:[GameIsOver]],1,Table1[[AwayTeam]:[AwayTeam]],$A22, Table1[[HomeTeam]:[HomeTeam]], T$1, Table1[[ActualResult]:[ActualResult]], "SO") + SUMIFS(Table1[[AwayWon]:[AwayWon]], Table1[[GameIsOver]:[GameIsOver]],1,Table1[[HomeTeam]:[HomeTeam]],$A22, Table1[[AwayTeam]:[AwayTeam]], T$1, Table1[[ActualResult]:[ActualResult]], "SO"),0))</f>
        <v>0-0-0</v>
      </c>
      <c r="U22" s="43" t="str">
        <f>_xlfn.CONCAT(TEXT(SUMIFS(Table1[[AwayWon]:[AwayWon]], Table1[[GameIsOver]:[GameIsOver]],1,Table1[[AwayTeam]:[AwayTeam]],$A22, Table1[[HomeTeam]:[HomeTeam]], U$1) + SUMIFS(Table1[[HomeWon]:[HomeWon]], Table1[[GameIsOver]:[GameIsOver]],1,Table1[[HomeTeam]:[HomeTeam]],$A22, Table1[[AwayTeam]:[AwayTeam]], U$1),0), "-", TEXT(SUMIFS(Table1[[HomeWon]:[HomeWon]], Table1[[GameIsOver]:[GameIsOver]],1,Table1[[AwayTeam]:[AwayTeam]],$A22, Table1[[HomeTeam]:[HomeTeam]], U$1, Table1[[ActualResult]:[ActualResult]], "REG") + SUMIFS(Table1[[AwayWon]:[AwayWon]], Table1[[GameIsOver]:[GameIsOver]],1,Table1[[HomeTeam]:[HomeTeam]],$A22, Table1[[AwayTeam]:[AwayTeam]], U$1, Table1[[ActualResult]:[ActualResult]], "REG"),0), "-", TEXT(SUMIFS(Table1[[HomeWon]:[HomeWon]], Table1[[GameIsOver]:[GameIsOver]],1,Table1[[AwayTeam]:[AwayTeam]],$A22, Table1[[HomeTeam]:[HomeTeam]], U$1, Table1[[ActualResult]:[ActualResult]], "OT") + SUMIFS(Table1[[AwayWon]:[AwayWon]], Table1[[GameIsOver]:[GameIsOver]],1,Table1[[HomeTeam]:[HomeTeam]],$A22, Table1[[AwayTeam]:[AwayTeam]], U$1, Table1[[ActualResult]:[ActualResult]], "OT") + SUMIFS(Table1[[HomeWon]:[HomeWon]], Table1[[GameIsOver]:[GameIsOver]],1,Table1[[AwayTeam]:[AwayTeam]],$A22, Table1[[HomeTeam]:[HomeTeam]], U$1, Table1[[ActualResult]:[ActualResult]], "SO") + SUMIFS(Table1[[AwayWon]:[AwayWon]], Table1[[GameIsOver]:[GameIsOver]],1,Table1[[HomeTeam]:[HomeTeam]],$A22, Table1[[AwayTeam]:[AwayTeam]], U$1, Table1[[ActualResult]:[ActualResult]], "SO"),0))</f>
        <v>0-0-0</v>
      </c>
      <c r="V22" s="43" t="str">
        <f>_xlfn.CONCAT(TEXT(SUMIFS(Table1[[AwayWon]:[AwayWon]], Table1[[GameIsOver]:[GameIsOver]],1,Table1[[AwayTeam]:[AwayTeam]],$A22, Table1[[HomeTeam]:[HomeTeam]], V$1) + SUMIFS(Table1[[HomeWon]:[HomeWon]], Table1[[GameIsOver]:[GameIsOver]],1,Table1[[HomeTeam]:[HomeTeam]],$A22, Table1[[AwayTeam]:[AwayTeam]], V$1),0), "-", TEXT(SUMIFS(Table1[[HomeWon]:[HomeWon]], Table1[[GameIsOver]:[GameIsOver]],1,Table1[[AwayTeam]:[AwayTeam]],$A22, Table1[[HomeTeam]:[HomeTeam]], V$1, Table1[[ActualResult]:[ActualResult]], "REG") + SUMIFS(Table1[[AwayWon]:[AwayWon]], Table1[[GameIsOver]:[GameIsOver]],1,Table1[[HomeTeam]:[HomeTeam]],$A22, Table1[[AwayTeam]:[AwayTeam]], V$1, Table1[[ActualResult]:[ActualResult]], "REG"),0), "-", TEXT(SUMIFS(Table1[[HomeWon]:[HomeWon]], Table1[[GameIsOver]:[GameIsOver]],1,Table1[[AwayTeam]:[AwayTeam]],$A22, Table1[[HomeTeam]:[HomeTeam]], V$1, Table1[[ActualResult]:[ActualResult]], "OT") + SUMIFS(Table1[[AwayWon]:[AwayWon]], Table1[[GameIsOver]:[GameIsOver]],1,Table1[[HomeTeam]:[HomeTeam]],$A22, Table1[[AwayTeam]:[AwayTeam]], V$1, Table1[[ActualResult]:[ActualResult]], "OT") + SUMIFS(Table1[[HomeWon]:[HomeWon]], Table1[[GameIsOver]:[GameIsOver]],1,Table1[[AwayTeam]:[AwayTeam]],$A22, Table1[[HomeTeam]:[HomeTeam]], V$1, Table1[[ActualResult]:[ActualResult]], "SO") + SUMIFS(Table1[[AwayWon]:[AwayWon]], Table1[[GameIsOver]:[GameIsOver]],1,Table1[[HomeTeam]:[HomeTeam]],$A22, Table1[[AwayTeam]:[AwayTeam]], V$1, Table1[[ActualResult]:[ActualResult]], "SO"),0))</f>
        <v>0-0-0</v>
      </c>
      <c r="W22" s="43" t="str">
        <f>_xlfn.CONCAT(TEXT(SUMIFS(Table1[[AwayWon]:[AwayWon]], Table1[[GameIsOver]:[GameIsOver]],1,Table1[[AwayTeam]:[AwayTeam]],$A22, Table1[[HomeTeam]:[HomeTeam]], W$1) + SUMIFS(Table1[[HomeWon]:[HomeWon]], Table1[[GameIsOver]:[GameIsOver]],1,Table1[[HomeTeam]:[HomeTeam]],$A22, Table1[[AwayTeam]:[AwayTeam]], W$1),0), "-", TEXT(SUMIFS(Table1[[HomeWon]:[HomeWon]], Table1[[GameIsOver]:[GameIsOver]],1,Table1[[AwayTeam]:[AwayTeam]],$A22, Table1[[HomeTeam]:[HomeTeam]], W$1, Table1[[ActualResult]:[ActualResult]], "REG") + SUMIFS(Table1[[AwayWon]:[AwayWon]], Table1[[GameIsOver]:[GameIsOver]],1,Table1[[HomeTeam]:[HomeTeam]],$A22, Table1[[AwayTeam]:[AwayTeam]], W$1, Table1[[ActualResult]:[ActualResult]], "REG"),0), "-", TEXT(SUMIFS(Table1[[HomeWon]:[HomeWon]], Table1[[GameIsOver]:[GameIsOver]],1,Table1[[AwayTeam]:[AwayTeam]],$A22, Table1[[HomeTeam]:[HomeTeam]], W$1, Table1[[ActualResult]:[ActualResult]], "OT") + SUMIFS(Table1[[AwayWon]:[AwayWon]], Table1[[GameIsOver]:[GameIsOver]],1,Table1[[HomeTeam]:[HomeTeam]],$A22, Table1[[AwayTeam]:[AwayTeam]], W$1, Table1[[ActualResult]:[ActualResult]], "OT") + SUMIFS(Table1[[HomeWon]:[HomeWon]], Table1[[GameIsOver]:[GameIsOver]],1,Table1[[AwayTeam]:[AwayTeam]],$A22, Table1[[HomeTeam]:[HomeTeam]], W$1, Table1[[ActualResult]:[ActualResult]], "SO") + SUMIFS(Table1[[AwayWon]:[AwayWon]], Table1[[GameIsOver]:[GameIsOver]],1,Table1[[HomeTeam]:[HomeTeam]],$A22, Table1[[AwayTeam]:[AwayTeam]], W$1, Table1[[ActualResult]:[ActualResult]], "SO"),0))</f>
        <v>0-0-0</v>
      </c>
      <c r="X22" s="43" t="str">
        <f>_xlfn.CONCAT(TEXT(SUMIFS(Table1[[AwayWon]:[AwayWon]], Table1[[GameIsOver]:[GameIsOver]],1,Table1[[AwayTeam]:[AwayTeam]],$A22, Table1[[HomeTeam]:[HomeTeam]], X$1) + SUMIFS(Table1[[HomeWon]:[HomeWon]], Table1[[GameIsOver]:[GameIsOver]],1,Table1[[HomeTeam]:[HomeTeam]],$A22, Table1[[AwayTeam]:[AwayTeam]], X$1),0), "-", TEXT(SUMIFS(Table1[[HomeWon]:[HomeWon]], Table1[[GameIsOver]:[GameIsOver]],1,Table1[[AwayTeam]:[AwayTeam]],$A22, Table1[[HomeTeam]:[HomeTeam]], X$1, Table1[[ActualResult]:[ActualResult]], "REG") + SUMIFS(Table1[[AwayWon]:[AwayWon]], Table1[[GameIsOver]:[GameIsOver]],1,Table1[[HomeTeam]:[HomeTeam]],$A22, Table1[[AwayTeam]:[AwayTeam]], X$1, Table1[[ActualResult]:[ActualResult]], "REG"),0), "-", TEXT(SUMIFS(Table1[[HomeWon]:[HomeWon]], Table1[[GameIsOver]:[GameIsOver]],1,Table1[[AwayTeam]:[AwayTeam]],$A22, Table1[[HomeTeam]:[HomeTeam]], X$1, Table1[[ActualResult]:[ActualResult]], "OT") + SUMIFS(Table1[[AwayWon]:[AwayWon]], Table1[[GameIsOver]:[GameIsOver]],1,Table1[[HomeTeam]:[HomeTeam]],$A22, Table1[[AwayTeam]:[AwayTeam]], X$1, Table1[[ActualResult]:[ActualResult]], "OT") + SUMIFS(Table1[[HomeWon]:[HomeWon]], Table1[[GameIsOver]:[GameIsOver]],1,Table1[[AwayTeam]:[AwayTeam]],$A22, Table1[[HomeTeam]:[HomeTeam]], X$1, Table1[[ActualResult]:[ActualResult]], "SO") + SUMIFS(Table1[[AwayWon]:[AwayWon]], Table1[[GameIsOver]:[GameIsOver]],1,Table1[[HomeTeam]:[HomeTeam]],$A22, Table1[[AwayTeam]:[AwayTeam]], X$1, Table1[[ActualResult]:[ActualResult]], "SO"),0))</f>
        <v>0-0-0</v>
      </c>
      <c r="Y22" s="45" t="str">
        <f>_xlfn.CONCAT(TEXT(SUMIFS(Table1[[AwayWon]:[AwayWon]], Table1[[GameIsOver]:[GameIsOver]],1,Table1[[AwayTeam]:[AwayTeam]],$A22, Table1[[HomeTeam]:[HomeTeam]], Y$1) + SUMIFS(Table1[[HomeWon]:[HomeWon]], Table1[[GameIsOver]:[GameIsOver]],1,Table1[[HomeTeam]:[HomeTeam]],$A22, Table1[[AwayTeam]:[AwayTeam]], Y$1),0), "-", TEXT(SUMIFS(Table1[[HomeWon]:[HomeWon]], Table1[[GameIsOver]:[GameIsOver]],1,Table1[[AwayTeam]:[AwayTeam]],$A22, Table1[[HomeTeam]:[HomeTeam]], Y$1, Table1[[ActualResult]:[ActualResult]], "REG") + SUMIFS(Table1[[AwayWon]:[AwayWon]], Table1[[GameIsOver]:[GameIsOver]],1,Table1[[HomeTeam]:[HomeTeam]],$A22, Table1[[AwayTeam]:[AwayTeam]], Y$1, Table1[[ActualResult]:[ActualResult]], "REG"),0), "-", TEXT(SUMIFS(Table1[[HomeWon]:[HomeWon]], Table1[[GameIsOver]:[GameIsOver]],1,Table1[[AwayTeam]:[AwayTeam]],$A22, Table1[[HomeTeam]:[HomeTeam]], Y$1, Table1[[ActualResult]:[ActualResult]], "OT") + SUMIFS(Table1[[AwayWon]:[AwayWon]], Table1[[GameIsOver]:[GameIsOver]],1,Table1[[HomeTeam]:[HomeTeam]],$A22, Table1[[AwayTeam]:[AwayTeam]], Y$1, Table1[[ActualResult]:[ActualResult]], "OT") + SUMIFS(Table1[[HomeWon]:[HomeWon]], Table1[[GameIsOver]:[GameIsOver]],1,Table1[[AwayTeam]:[AwayTeam]],$A22, Table1[[HomeTeam]:[HomeTeam]], Y$1, Table1[[ActualResult]:[ActualResult]], "SO") + SUMIFS(Table1[[AwayWon]:[AwayWon]], Table1[[GameIsOver]:[GameIsOver]],1,Table1[[HomeTeam]:[HomeTeam]],$A22, Table1[[AwayTeam]:[AwayTeam]], Y$1, Table1[[ActualResult]:[ActualResult]], "SO"),0))</f>
        <v>0-0-0</v>
      </c>
      <c r="Z22" s="43" t="str">
        <f>_xlfn.CONCAT(TEXT(SUMIFS(Table1[[AwayWon]:[AwayWon]], Table1[[GameIsOver]:[GameIsOver]],1,Table1[[AwayTeam]:[AwayTeam]],$A22, Table1[[HomeTeam]:[HomeTeam]], Z$1) + SUMIFS(Table1[[HomeWon]:[HomeWon]], Table1[[GameIsOver]:[GameIsOver]],1,Table1[[HomeTeam]:[HomeTeam]],$A22, Table1[[AwayTeam]:[AwayTeam]], Z$1),0), "-", TEXT(SUMIFS(Table1[[HomeWon]:[HomeWon]], Table1[[GameIsOver]:[GameIsOver]],1,Table1[[AwayTeam]:[AwayTeam]],$A22, Table1[[HomeTeam]:[HomeTeam]], Z$1, Table1[[ActualResult]:[ActualResult]], "REG") + SUMIFS(Table1[[AwayWon]:[AwayWon]], Table1[[GameIsOver]:[GameIsOver]],1,Table1[[HomeTeam]:[HomeTeam]],$A22, Table1[[AwayTeam]:[AwayTeam]], Z$1, Table1[[ActualResult]:[ActualResult]], "REG"),0), "-", TEXT(SUMIFS(Table1[[HomeWon]:[HomeWon]], Table1[[GameIsOver]:[GameIsOver]],1,Table1[[AwayTeam]:[AwayTeam]],$A22, Table1[[HomeTeam]:[HomeTeam]], Z$1, Table1[[ActualResult]:[ActualResult]], "OT") + SUMIFS(Table1[[AwayWon]:[AwayWon]], Table1[[GameIsOver]:[GameIsOver]],1,Table1[[HomeTeam]:[HomeTeam]],$A22, Table1[[AwayTeam]:[AwayTeam]], Z$1, Table1[[ActualResult]:[ActualResult]], "OT") + SUMIFS(Table1[[HomeWon]:[HomeWon]], Table1[[GameIsOver]:[GameIsOver]],1,Table1[[AwayTeam]:[AwayTeam]],$A22, Table1[[HomeTeam]:[HomeTeam]], Z$1, Table1[[ActualResult]:[ActualResult]], "SO") + SUMIFS(Table1[[AwayWon]:[AwayWon]], Table1[[GameIsOver]:[GameIsOver]],1,Table1[[HomeTeam]:[HomeTeam]],$A22, Table1[[AwayTeam]:[AwayTeam]], Z$1, Table1[[ActualResult]:[ActualResult]], "SO"),0))</f>
        <v>1-0-0</v>
      </c>
      <c r="AA22" s="43" t="str">
        <f>_xlfn.CONCAT(TEXT(SUMIFS(Table1[[AwayWon]:[AwayWon]], Table1[[GameIsOver]:[GameIsOver]],1,Table1[[AwayTeam]:[AwayTeam]],$A22, Table1[[HomeTeam]:[HomeTeam]], AA$1) + SUMIFS(Table1[[HomeWon]:[HomeWon]], Table1[[GameIsOver]:[GameIsOver]],1,Table1[[HomeTeam]:[HomeTeam]],$A22, Table1[[AwayTeam]:[AwayTeam]], AA$1),0), "-", TEXT(SUMIFS(Table1[[HomeWon]:[HomeWon]], Table1[[GameIsOver]:[GameIsOver]],1,Table1[[AwayTeam]:[AwayTeam]],$A22, Table1[[HomeTeam]:[HomeTeam]], AA$1, Table1[[ActualResult]:[ActualResult]], "REG") + SUMIFS(Table1[[AwayWon]:[AwayWon]], Table1[[GameIsOver]:[GameIsOver]],1,Table1[[HomeTeam]:[HomeTeam]],$A22, Table1[[AwayTeam]:[AwayTeam]], AA$1, Table1[[ActualResult]:[ActualResult]], "REG"),0), "-", TEXT(SUMIFS(Table1[[HomeWon]:[HomeWon]], Table1[[GameIsOver]:[GameIsOver]],1,Table1[[AwayTeam]:[AwayTeam]],$A22, Table1[[HomeTeam]:[HomeTeam]], AA$1, Table1[[ActualResult]:[ActualResult]], "OT") + SUMIFS(Table1[[AwayWon]:[AwayWon]], Table1[[GameIsOver]:[GameIsOver]],1,Table1[[HomeTeam]:[HomeTeam]],$A22, Table1[[AwayTeam]:[AwayTeam]], AA$1, Table1[[ActualResult]:[ActualResult]], "OT") + SUMIFS(Table1[[HomeWon]:[HomeWon]], Table1[[GameIsOver]:[GameIsOver]],1,Table1[[AwayTeam]:[AwayTeam]],$A22, Table1[[HomeTeam]:[HomeTeam]], AA$1, Table1[[ActualResult]:[ActualResult]], "SO") + SUMIFS(Table1[[AwayWon]:[AwayWon]], Table1[[GameIsOver]:[GameIsOver]],1,Table1[[HomeTeam]:[HomeTeam]],$A22, Table1[[AwayTeam]:[AwayTeam]], AA$1, Table1[[ActualResult]:[ActualResult]], "SO"),0))</f>
        <v>0-0-0</v>
      </c>
      <c r="AB22" s="43" t="str">
        <f>_xlfn.CONCAT(TEXT(SUMIFS(Table1[[AwayWon]:[AwayWon]], Table1[[GameIsOver]:[GameIsOver]],1,Table1[[AwayTeam]:[AwayTeam]],$A22, Table1[[HomeTeam]:[HomeTeam]], AB$1) + SUMIFS(Table1[[HomeWon]:[HomeWon]], Table1[[GameIsOver]:[GameIsOver]],1,Table1[[HomeTeam]:[HomeTeam]],$A22, Table1[[AwayTeam]:[AwayTeam]], AB$1),0), "-", TEXT(SUMIFS(Table1[[HomeWon]:[HomeWon]], Table1[[GameIsOver]:[GameIsOver]],1,Table1[[AwayTeam]:[AwayTeam]],$A22, Table1[[HomeTeam]:[HomeTeam]], AB$1, Table1[[ActualResult]:[ActualResult]], "REG") + SUMIFS(Table1[[AwayWon]:[AwayWon]], Table1[[GameIsOver]:[GameIsOver]],1,Table1[[HomeTeam]:[HomeTeam]],$A22, Table1[[AwayTeam]:[AwayTeam]], AB$1, Table1[[ActualResult]:[ActualResult]], "REG"),0), "-", TEXT(SUMIFS(Table1[[HomeWon]:[HomeWon]], Table1[[GameIsOver]:[GameIsOver]],1,Table1[[AwayTeam]:[AwayTeam]],$A22, Table1[[HomeTeam]:[HomeTeam]], AB$1, Table1[[ActualResult]:[ActualResult]], "OT") + SUMIFS(Table1[[AwayWon]:[AwayWon]], Table1[[GameIsOver]:[GameIsOver]],1,Table1[[HomeTeam]:[HomeTeam]],$A22, Table1[[AwayTeam]:[AwayTeam]], AB$1, Table1[[ActualResult]:[ActualResult]], "OT") + SUMIFS(Table1[[HomeWon]:[HomeWon]], Table1[[GameIsOver]:[GameIsOver]],1,Table1[[AwayTeam]:[AwayTeam]],$A22, Table1[[HomeTeam]:[HomeTeam]], AB$1, Table1[[ActualResult]:[ActualResult]], "SO") + SUMIFS(Table1[[AwayWon]:[AwayWon]], Table1[[GameIsOver]:[GameIsOver]],1,Table1[[HomeTeam]:[HomeTeam]],$A22, Table1[[AwayTeam]:[AwayTeam]], AB$1, Table1[[ActualResult]:[ActualResult]], "SO"),0))</f>
        <v>1-0-0</v>
      </c>
      <c r="AC22" s="43" t="str">
        <f>_xlfn.CONCAT(TEXT(SUMIFS(Table1[[AwayWon]:[AwayWon]], Table1[[GameIsOver]:[GameIsOver]],1,Table1[[AwayTeam]:[AwayTeam]],$A22, Table1[[HomeTeam]:[HomeTeam]], AC$1) + SUMIFS(Table1[[HomeWon]:[HomeWon]], Table1[[GameIsOver]:[GameIsOver]],1,Table1[[HomeTeam]:[HomeTeam]],$A22, Table1[[AwayTeam]:[AwayTeam]], AC$1),0), "-", TEXT(SUMIFS(Table1[[HomeWon]:[HomeWon]], Table1[[GameIsOver]:[GameIsOver]],1,Table1[[AwayTeam]:[AwayTeam]],$A22, Table1[[HomeTeam]:[HomeTeam]], AC$1, Table1[[ActualResult]:[ActualResult]], "REG") + SUMIFS(Table1[[AwayWon]:[AwayWon]], Table1[[GameIsOver]:[GameIsOver]],1,Table1[[HomeTeam]:[HomeTeam]],$A22, Table1[[AwayTeam]:[AwayTeam]], AC$1, Table1[[ActualResult]:[ActualResult]], "REG"),0), "-", TEXT(SUMIFS(Table1[[HomeWon]:[HomeWon]], Table1[[GameIsOver]:[GameIsOver]],1,Table1[[AwayTeam]:[AwayTeam]],$A22, Table1[[HomeTeam]:[HomeTeam]], AC$1, Table1[[ActualResult]:[ActualResult]], "OT") + SUMIFS(Table1[[AwayWon]:[AwayWon]], Table1[[GameIsOver]:[GameIsOver]],1,Table1[[HomeTeam]:[HomeTeam]],$A22, Table1[[AwayTeam]:[AwayTeam]], AC$1, Table1[[ActualResult]:[ActualResult]], "OT") + SUMIFS(Table1[[HomeWon]:[HomeWon]], Table1[[GameIsOver]:[GameIsOver]],1,Table1[[AwayTeam]:[AwayTeam]],$A22, Table1[[HomeTeam]:[HomeTeam]], AC$1, Table1[[ActualResult]:[ActualResult]], "SO") + SUMIFS(Table1[[AwayWon]:[AwayWon]], Table1[[GameIsOver]:[GameIsOver]],1,Table1[[HomeTeam]:[HomeTeam]],$A22, Table1[[AwayTeam]:[AwayTeam]], AC$1, Table1[[ActualResult]:[ActualResult]], "SO"),0))</f>
        <v>0-0-0</v>
      </c>
      <c r="AD22" s="43" t="str">
        <f>_xlfn.CONCAT(TEXT(SUMIFS(Table1[[AwayWon]:[AwayWon]], Table1[[GameIsOver]:[GameIsOver]],1,Table1[[AwayTeam]:[AwayTeam]],$A22, Table1[[HomeTeam]:[HomeTeam]], AD$1) + SUMIFS(Table1[[HomeWon]:[HomeWon]], Table1[[GameIsOver]:[GameIsOver]],1,Table1[[HomeTeam]:[HomeTeam]],$A22, Table1[[AwayTeam]:[AwayTeam]], AD$1),0), "-", TEXT(SUMIFS(Table1[[HomeWon]:[HomeWon]], Table1[[GameIsOver]:[GameIsOver]],1,Table1[[AwayTeam]:[AwayTeam]],$A22, Table1[[HomeTeam]:[HomeTeam]], AD$1, Table1[[ActualResult]:[ActualResult]], "REG") + SUMIFS(Table1[[AwayWon]:[AwayWon]], Table1[[GameIsOver]:[GameIsOver]],1,Table1[[HomeTeam]:[HomeTeam]],$A22, Table1[[AwayTeam]:[AwayTeam]], AD$1, Table1[[ActualResult]:[ActualResult]], "REG"),0), "-", TEXT(SUMIFS(Table1[[HomeWon]:[HomeWon]], Table1[[GameIsOver]:[GameIsOver]],1,Table1[[AwayTeam]:[AwayTeam]],$A22, Table1[[HomeTeam]:[HomeTeam]], AD$1, Table1[[ActualResult]:[ActualResult]], "OT") + SUMIFS(Table1[[AwayWon]:[AwayWon]], Table1[[GameIsOver]:[GameIsOver]],1,Table1[[HomeTeam]:[HomeTeam]],$A22, Table1[[AwayTeam]:[AwayTeam]], AD$1, Table1[[ActualResult]:[ActualResult]], "OT") + SUMIFS(Table1[[HomeWon]:[HomeWon]], Table1[[GameIsOver]:[GameIsOver]],1,Table1[[AwayTeam]:[AwayTeam]],$A22, Table1[[HomeTeam]:[HomeTeam]], AD$1, Table1[[ActualResult]:[ActualResult]], "SO") + SUMIFS(Table1[[AwayWon]:[AwayWon]], Table1[[GameIsOver]:[GameIsOver]],1,Table1[[HomeTeam]:[HomeTeam]],$A22, Table1[[AwayTeam]:[AwayTeam]], AD$1, Table1[[ActualResult]:[ActualResult]], "SO"),0))</f>
        <v>0-0-0</v>
      </c>
      <c r="AE22" s="43" t="str">
        <f>_xlfn.CONCAT(TEXT(SUMIFS(Table1[[AwayWon]:[AwayWon]], Table1[[GameIsOver]:[GameIsOver]],1,Table1[[AwayTeam]:[AwayTeam]],$A22, Table1[[HomeTeam]:[HomeTeam]], AE$1) + SUMIFS(Table1[[HomeWon]:[HomeWon]], Table1[[GameIsOver]:[GameIsOver]],1,Table1[[HomeTeam]:[HomeTeam]],$A22, Table1[[AwayTeam]:[AwayTeam]], AE$1),0), "-", TEXT(SUMIFS(Table1[[HomeWon]:[HomeWon]], Table1[[GameIsOver]:[GameIsOver]],1,Table1[[AwayTeam]:[AwayTeam]],$A22, Table1[[HomeTeam]:[HomeTeam]], AE$1, Table1[[ActualResult]:[ActualResult]], "REG") + SUMIFS(Table1[[AwayWon]:[AwayWon]], Table1[[GameIsOver]:[GameIsOver]],1,Table1[[HomeTeam]:[HomeTeam]],$A22, Table1[[AwayTeam]:[AwayTeam]], AE$1, Table1[[ActualResult]:[ActualResult]], "REG"),0), "-", TEXT(SUMIFS(Table1[[HomeWon]:[HomeWon]], Table1[[GameIsOver]:[GameIsOver]],1,Table1[[AwayTeam]:[AwayTeam]],$A22, Table1[[HomeTeam]:[HomeTeam]], AE$1, Table1[[ActualResult]:[ActualResult]], "OT") + SUMIFS(Table1[[AwayWon]:[AwayWon]], Table1[[GameIsOver]:[GameIsOver]],1,Table1[[HomeTeam]:[HomeTeam]],$A22, Table1[[AwayTeam]:[AwayTeam]], AE$1, Table1[[ActualResult]:[ActualResult]], "OT") + SUMIFS(Table1[[HomeWon]:[HomeWon]], Table1[[GameIsOver]:[GameIsOver]],1,Table1[[AwayTeam]:[AwayTeam]],$A22, Table1[[HomeTeam]:[HomeTeam]], AE$1, Table1[[ActualResult]:[ActualResult]], "SO") + SUMIFS(Table1[[AwayWon]:[AwayWon]], Table1[[GameIsOver]:[GameIsOver]],1,Table1[[HomeTeam]:[HomeTeam]],$A22, Table1[[AwayTeam]:[AwayTeam]], AE$1, Table1[[ActualResult]:[ActualResult]], "SO"),0))</f>
        <v>0-0-0</v>
      </c>
      <c r="AF22" s="43" t="str">
        <f>_xlfn.CONCAT(TEXT(SUMIFS(Table1[[AwayWon]:[AwayWon]], Table1[[GameIsOver]:[GameIsOver]],1,Table1[[AwayTeam]:[AwayTeam]],$A22, Table1[[HomeTeam]:[HomeTeam]], AF$1) + SUMIFS(Table1[[HomeWon]:[HomeWon]], Table1[[GameIsOver]:[GameIsOver]],1,Table1[[HomeTeam]:[HomeTeam]],$A22, Table1[[AwayTeam]:[AwayTeam]], AF$1),0), "-", TEXT(SUMIFS(Table1[[HomeWon]:[HomeWon]], Table1[[GameIsOver]:[GameIsOver]],1,Table1[[AwayTeam]:[AwayTeam]],$A22, Table1[[HomeTeam]:[HomeTeam]], AF$1, Table1[[ActualResult]:[ActualResult]], "REG") + SUMIFS(Table1[[AwayWon]:[AwayWon]], Table1[[GameIsOver]:[GameIsOver]],1,Table1[[HomeTeam]:[HomeTeam]],$A22, Table1[[AwayTeam]:[AwayTeam]], AF$1, Table1[[ActualResult]:[ActualResult]], "REG"),0), "-", TEXT(SUMIFS(Table1[[HomeWon]:[HomeWon]], Table1[[GameIsOver]:[GameIsOver]],1,Table1[[AwayTeam]:[AwayTeam]],$A22, Table1[[HomeTeam]:[HomeTeam]], AF$1, Table1[[ActualResult]:[ActualResult]], "OT") + SUMIFS(Table1[[AwayWon]:[AwayWon]], Table1[[GameIsOver]:[GameIsOver]],1,Table1[[HomeTeam]:[HomeTeam]],$A22, Table1[[AwayTeam]:[AwayTeam]], AF$1, Table1[[ActualResult]:[ActualResult]], "OT") + SUMIFS(Table1[[HomeWon]:[HomeWon]], Table1[[GameIsOver]:[GameIsOver]],1,Table1[[AwayTeam]:[AwayTeam]],$A22, Table1[[HomeTeam]:[HomeTeam]], AF$1, Table1[[ActualResult]:[ActualResult]], "SO") + SUMIFS(Table1[[AwayWon]:[AwayWon]], Table1[[GameIsOver]:[GameIsOver]],1,Table1[[HomeTeam]:[HomeTeam]],$A22, Table1[[AwayTeam]:[AwayTeam]], AF$1, Table1[[ActualResult]:[ActualResult]], "SO"),0))</f>
        <v>1-0-0</v>
      </c>
      <c r="AG22" s="43" t="str">
        <f>_xlfn.CONCAT(TEXT(SUMIFS(Table1[[AwayWon]:[AwayWon]], Table1[[GameIsOver]:[GameIsOver]],1,Table1[[AwayTeam]:[AwayTeam]],$A22, Table1[[HomeTeam]:[HomeTeam]], AG$1) + SUMIFS(Table1[[HomeWon]:[HomeWon]], Table1[[GameIsOver]:[GameIsOver]],1,Table1[[HomeTeam]:[HomeTeam]],$A22, Table1[[AwayTeam]:[AwayTeam]], AG$1),0), "-", TEXT(SUMIFS(Table1[[HomeWon]:[HomeWon]], Table1[[GameIsOver]:[GameIsOver]],1,Table1[[AwayTeam]:[AwayTeam]],$A22, Table1[[HomeTeam]:[HomeTeam]], AG$1, Table1[[ActualResult]:[ActualResult]], "REG") + SUMIFS(Table1[[AwayWon]:[AwayWon]], Table1[[GameIsOver]:[GameIsOver]],1,Table1[[HomeTeam]:[HomeTeam]],$A22, Table1[[AwayTeam]:[AwayTeam]], AG$1, Table1[[ActualResult]:[ActualResult]], "REG"),0), "-", TEXT(SUMIFS(Table1[[HomeWon]:[HomeWon]], Table1[[GameIsOver]:[GameIsOver]],1,Table1[[AwayTeam]:[AwayTeam]],$A22, Table1[[HomeTeam]:[HomeTeam]], AG$1, Table1[[ActualResult]:[ActualResult]], "OT") + SUMIFS(Table1[[AwayWon]:[AwayWon]], Table1[[GameIsOver]:[GameIsOver]],1,Table1[[HomeTeam]:[HomeTeam]],$A22, Table1[[AwayTeam]:[AwayTeam]], AG$1, Table1[[ActualResult]:[ActualResult]], "OT") + SUMIFS(Table1[[HomeWon]:[HomeWon]], Table1[[GameIsOver]:[GameIsOver]],1,Table1[[AwayTeam]:[AwayTeam]],$A22, Table1[[HomeTeam]:[HomeTeam]], AG$1, Table1[[ActualResult]:[ActualResult]], "SO") + SUMIFS(Table1[[AwayWon]:[AwayWon]], Table1[[GameIsOver]:[GameIsOver]],1,Table1[[HomeTeam]:[HomeTeam]],$A22, Table1[[AwayTeam]:[AwayTeam]], AG$1, Table1[[ActualResult]:[ActualResult]], "SO"),0))</f>
        <v>0-0-0</v>
      </c>
    </row>
    <row r="23" spans="1:33" x14ac:dyDescent="0.25">
      <c r="A23" s="17" t="s">
        <v>53</v>
      </c>
      <c r="B23" s="43" t="str">
        <f>_xlfn.CONCAT(TEXT(SUMIFS(Table1[[AwayWon]:[AwayWon]], Table1[[GameIsOver]:[GameIsOver]],1,Table1[[AwayTeam]:[AwayTeam]],$A23, Table1[[HomeTeam]:[HomeTeam]], B$1) + SUMIFS(Table1[[HomeWon]:[HomeWon]], Table1[[GameIsOver]:[GameIsOver]],1,Table1[[HomeTeam]:[HomeTeam]],$A23, Table1[[AwayTeam]:[AwayTeam]], B$1),0), "-", TEXT(SUMIFS(Table1[[HomeWon]:[HomeWon]], Table1[[GameIsOver]:[GameIsOver]],1,Table1[[AwayTeam]:[AwayTeam]],$A23, Table1[[HomeTeam]:[HomeTeam]], B$1, Table1[[ActualResult]:[ActualResult]], "REG") + SUMIFS(Table1[[AwayWon]:[AwayWon]], Table1[[GameIsOver]:[GameIsOver]],1,Table1[[HomeTeam]:[HomeTeam]],$A23, Table1[[AwayTeam]:[AwayTeam]], B$1, Table1[[ActualResult]:[ActualResult]], "REG"),0), "-", TEXT(SUMIFS(Table1[[HomeWon]:[HomeWon]], Table1[[GameIsOver]:[GameIsOver]],1,Table1[[AwayTeam]:[AwayTeam]],$A23, Table1[[HomeTeam]:[HomeTeam]], B$1, Table1[[ActualResult]:[ActualResult]], "OT") + SUMIFS(Table1[[AwayWon]:[AwayWon]], Table1[[GameIsOver]:[GameIsOver]],1,Table1[[HomeTeam]:[HomeTeam]],$A23, Table1[[AwayTeam]:[AwayTeam]], B$1, Table1[[ActualResult]:[ActualResult]], "OT") + SUMIFS(Table1[[HomeWon]:[HomeWon]], Table1[[GameIsOver]:[GameIsOver]],1,Table1[[AwayTeam]:[AwayTeam]],$A23, Table1[[HomeTeam]:[HomeTeam]], B$1, Table1[[ActualResult]:[ActualResult]], "SO") + SUMIFS(Table1[[AwayWon]:[AwayWon]], Table1[[GameIsOver]:[GameIsOver]],1,Table1[[HomeTeam]:[HomeTeam]],$A23, Table1[[AwayTeam]:[AwayTeam]], B$1, Table1[[ActualResult]:[ActualResult]], "SO"),0))</f>
        <v>0-0-0</v>
      </c>
      <c r="C23" s="43" t="str">
        <f>_xlfn.CONCAT(TEXT(SUMIFS(Table1[[AwayWon]:[AwayWon]], Table1[[GameIsOver]:[GameIsOver]],1,Table1[[AwayTeam]:[AwayTeam]],$A23, Table1[[HomeTeam]:[HomeTeam]], C$1) + SUMIFS(Table1[[HomeWon]:[HomeWon]], Table1[[GameIsOver]:[GameIsOver]],1,Table1[[HomeTeam]:[HomeTeam]],$A23, Table1[[AwayTeam]:[AwayTeam]], C$1),0), "-", TEXT(SUMIFS(Table1[[HomeWon]:[HomeWon]], Table1[[GameIsOver]:[GameIsOver]],1,Table1[[AwayTeam]:[AwayTeam]],$A23, Table1[[HomeTeam]:[HomeTeam]], C$1, Table1[[ActualResult]:[ActualResult]], "REG") + SUMIFS(Table1[[AwayWon]:[AwayWon]], Table1[[GameIsOver]:[GameIsOver]],1,Table1[[HomeTeam]:[HomeTeam]],$A23, Table1[[AwayTeam]:[AwayTeam]], C$1, Table1[[ActualResult]:[ActualResult]], "REG"),0), "-", TEXT(SUMIFS(Table1[[HomeWon]:[HomeWon]], Table1[[GameIsOver]:[GameIsOver]],1,Table1[[AwayTeam]:[AwayTeam]],$A23, Table1[[HomeTeam]:[HomeTeam]], C$1, Table1[[ActualResult]:[ActualResult]], "OT") + SUMIFS(Table1[[AwayWon]:[AwayWon]], Table1[[GameIsOver]:[GameIsOver]],1,Table1[[HomeTeam]:[HomeTeam]],$A23, Table1[[AwayTeam]:[AwayTeam]], C$1, Table1[[ActualResult]:[ActualResult]], "OT") + SUMIFS(Table1[[HomeWon]:[HomeWon]], Table1[[GameIsOver]:[GameIsOver]],1,Table1[[AwayTeam]:[AwayTeam]],$A23, Table1[[HomeTeam]:[HomeTeam]], C$1, Table1[[ActualResult]:[ActualResult]], "SO") + SUMIFS(Table1[[AwayWon]:[AwayWon]], Table1[[GameIsOver]:[GameIsOver]],1,Table1[[HomeTeam]:[HomeTeam]],$A23, Table1[[AwayTeam]:[AwayTeam]], C$1, Table1[[ActualResult]:[ActualResult]], "SO"),0))</f>
        <v>0-0-0</v>
      </c>
      <c r="D23" s="43" t="str">
        <f>_xlfn.CONCAT(TEXT(SUMIFS(Table1[[AwayWon]:[AwayWon]], Table1[[GameIsOver]:[GameIsOver]],1,Table1[[AwayTeam]:[AwayTeam]],$A23, Table1[[HomeTeam]:[HomeTeam]], D$1) + SUMIFS(Table1[[HomeWon]:[HomeWon]], Table1[[GameIsOver]:[GameIsOver]],1,Table1[[HomeTeam]:[HomeTeam]],$A23, Table1[[AwayTeam]:[AwayTeam]], D$1),0), "-", TEXT(SUMIFS(Table1[[HomeWon]:[HomeWon]], Table1[[GameIsOver]:[GameIsOver]],1,Table1[[AwayTeam]:[AwayTeam]],$A23, Table1[[HomeTeam]:[HomeTeam]], D$1, Table1[[ActualResult]:[ActualResult]], "REG") + SUMIFS(Table1[[AwayWon]:[AwayWon]], Table1[[GameIsOver]:[GameIsOver]],1,Table1[[HomeTeam]:[HomeTeam]],$A23, Table1[[AwayTeam]:[AwayTeam]], D$1, Table1[[ActualResult]:[ActualResult]], "REG"),0), "-", TEXT(SUMIFS(Table1[[HomeWon]:[HomeWon]], Table1[[GameIsOver]:[GameIsOver]],1,Table1[[AwayTeam]:[AwayTeam]],$A23, Table1[[HomeTeam]:[HomeTeam]], D$1, Table1[[ActualResult]:[ActualResult]], "OT") + SUMIFS(Table1[[AwayWon]:[AwayWon]], Table1[[GameIsOver]:[GameIsOver]],1,Table1[[HomeTeam]:[HomeTeam]],$A23, Table1[[AwayTeam]:[AwayTeam]], D$1, Table1[[ActualResult]:[ActualResult]], "OT") + SUMIFS(Table1[[HomeWon]:[HomeWon]], Table1[[GameIsOver]:[GameIsOver]],1,Table1[[AwayTeam]:[AwayTeam]],$A23, Table1[[HomeTeam]:[HomeTeam]], D$1, Table1[[ActualResult]:[ActualResult]], "SO") + SUMIFS(Table1[[AwayWon]:[AwayWon]], Table1[[GameIsOver]:[GameIsOver]],1,Table1[[HomeTeam]:[HomeTeam]],$A23, Table1[[AwayTeam]:[AwayTeam]], D$1, Table1[[ActualResult]:[ActualResult]], "SO"),0))</f>
        <v>0-0-0</v>
      </c>
      <c r="E23" s="43" t="str">
        <f>_xlfn.CONCAT(TEXT(SUMIFS(Table1[[AwayWon]:[AwayWon]], Table1[[GameIsOver]:[GameIsOver]],1,Table1[[AwayTeam]:[AwayTeam]],$A23, Table1[[HomeTeam]:[HomeTeam]], E$1) + SUMIFS(Table1[[HomeWon]:[HomeWon]], Table1[[GameIsOver]:[GameIsOver]],1,Table1[[HomeTeam]:[HomeTeam]],$A23, Table1[[AwayTeam]:[AwayTeam]], E$1),0), "-", TEXT(SUMIFS(Table1[[HomeWon]:[HomeWon]], Table1[[GameIsOver]:[GameIsOver]],1,Table1[[AwayTeam]:[AwayTeam]],$A23, Table1[[HomeTeam]:[HomeTeam]], E$1, Table1[[ActualResult]:[ActualResult]], "REG") + SUMIFS(Table1[[AwayWon]:[AwayWon]], Table1[[GameIsOver]:[GameIsOver]],1,Table1[[HomeTeam]:[HomeTeam]],$A23, Table1[[AwayTeam]:[AwayTeam]], E$1, Table1[[ActualResult]:[ActualResult]], "REG"),0), "-", TEXT(SUMIFS(Table1[[HomeWon]:[HomeWon]], Table1[[GameIsOver]:[GameIsOver]],1,Table1[[AwayTeam]:[AwayTeam]],$A23, Table1[[HomeTeam]:[HomeTeam]], E$1, Table1[[ActualResult]:[ActualResult]], "OT") + SUMIFS(Table1[[AwayWon]:[AwayWon]], Table1[[GameIsOver]:[GameIsOver]],1,Table1[[HomeTeam]:[HomeTeam]],$A23, Table1[[AwayTeam]:[AwayTeam]], E$1, Table1[[ActualResult]:[ActualResult]], "OT") + SUMIFS(Table1[[HomeWon]:[HomeWon]], Table1[[GameIsOver]:[GameIsOver]],1,Table1[[AwayTeam]:[AwayTeam]],$A23, Table1[[HomeTeam]:[HomeTeam]], E$1, Table1[[ActualResult]:[ActualResult]], "SO") + SUMIFS(Table1[[AwayWon]:[AwayWon]], Table1[[GameIsOver]:[GameIsOver]],1,Table1[[HomeTeam]:[HomeTeam]],$A23, Table1[[AwayTeam]:[AwayTeam]], E$1, Table1[[ActualResult]:[ActualResult]], "SO"),0))</f>
        <v>0-0-0</v>
      </c>
      <c r="F23" s="43" t="str">
        <f>_xlfn.CONCAT(TEXT(SUMIFS(Table1[[AwayWon]:[AwayWon]], Table1[[GameIsOver]:[GameIsOver]],1,Table1[[AwayTeam]:[AwayTeam]],$A23, Table1[[HomeTeam]:[HomeTeam]], F$1) + SUMIFS(Table1[[HomeWon]:[HomeWon]], Table1[[GameIsOver]:[GameIsOver]],1,Table1[[HomeTeam]:[HomeTeam]],$A23, Table1[[AwayTeam]:[AwayTeam]], F$1),0), "-", TEXT(SUMIFS(Table1[[HomeWon]:[HomeWon]], Table1[[GameIsOver]:[GameIsOver]],1,Table1[[AwayTeam]:[AwayTeam]],$A23, Table1[[HomeTeam]:[HomeTeam]], F$1, Table1[[ActualResult]:[ActualResult]], "REG") + SUMIFS(Table1[[AwayWon]:[AwayWon]], Table1[[GameIsOver]:[GameIsOver]],1,Table1[[HomeTeam]:[HomeTeam]],$A23, Table1[[AwayTeam]:[AwayTeam]], F$1, Table1[[ActualResult]:[ActualResult]], "REG"),0), "-", TEXT(SUMIFS(Table1[[HomeWon]:[HomeWon]], Table1[[GameIsOver]:[GameIsOver]],1,Table1[[AwayTeam]:[AwayTeam]],$A23, Table1[[HomeTeam]:[HomeTeam]], F$1, Table1[[ActualResult]:[ActualResult]], "OT") + SUMIFS(Table1[[AwayWon]:[AwayWon]], Table1[[GameIsOver]:[GameIsOver]],1,Table1[[HomeTeam]:[HomeTeam]],$A23, Table1[[AwayTeam]:[AwayTeam]], F$1, Table1[[ActualResult]:[ActualResult]], "OT") + SUMIFS(Table1[[HomeWon]:[HomeWon]], Table1[[GameIsOver]:[GameIsOver]],1,Table1[[AwayTeam]:[AwayTeam]],$A23, Table1[[HomeTeam]:[HomeTeam]], F$1, Table1[[ActualResult]:[ActualResult]], "SO") + SUMIFS(Table1[[AwayWon]:[AwayWon]], Table1[[GameIsOver]:[GameIsOver]],1,Table1[[HomeTeam]:[HomeTeam]],$A23, Table1[[AwayTeam]:[AwayTeam]], F$1, Table1[[ActualResult]:[ActualResult]], "SO"),0))</f>
        <v>0-0-0</v>
      </c>
      <c r="G23" s="43" t="str">
        <f>_xlfn.CONCAT(TEXT(SUMIFS(Table1[[AwayWon]:[AwayWon]], Table1[[GameIsOver]:[GameIsOver]],1,Table1[[AwayTeam]:[AwayTeam]],$A23, Table1[[HomeTeam]:[HomeTeam]], G$1) + SUMIFS(Table1[[HomeWon]:[HomeWon]], Table1[[GameIsOver]:[GameIsOver]],1,Table1[[HomeTeam]:[HomeTeam]],$A23, Table1[[AwayTeam]:[AwayTeam]], G$1),0), "-", TEXT(SUMIFS(Table1[[HomeWon]:[HomeWon]], Table1[[GameIsOver]:[GameIsOver]],1,Table1[[AwayTeam]:[AwayTeam]],$A23, Table1[[HomeTeam]:[HomeTeam]], G$1, Table1[[ActualResult]:[ActualResult]], "REG") + SUMIFS(Table1[[AwayWon]:[AwayWon]], Table1[[GameIsOver]:[GameIsOver]],1,Table1[[HomeTeam]:[HomeTeam]],$A23, Table1[[AwayTeam]:[AwayTeam]], G$1, Table1[[ActualResult]:[ActualResult]], "REG"),0), "-", TEXT(SUMIFS(Table1[[HomeWon]:[HomeWon]], Table1[[GameIsOver]:[GameIsOver]],1,Table1[[AwayTeam]:[AwayTeam]],$A23, Table1[[HomeTeam]:[HomeTeam]], G$1, Table1[[ActualResult]:[ActualResult]], "OT") + SUMIFS(Table1[[AwayWon]:[AwayWon]], Table1[[GameIsOver]:[GameIsOver]],1,Table1[[HomeTeam]:[HomeTeam]],$A23, Table1[[AwayTeam]:[AwayTeam]], G$1, Table1[[ActualResult]:[ActualResult]], "OT") + SUMIFS(Table1[[HomeWon]:[HomeWon]], Table1[[GameIsOver]:[GameIsOver]],1,Table1[[AwayTeam]:[AwayTeam]],$A23, Table1[[HomeTeam]:[HomeTeam]], G$1, Table1[[ActualResult]:[ActualResult]], "SO") + SUMIFS(Table1[[AwayWon]:[AwayWon]], Table1[[GameIsOver]:[GameIsOver]],1,Table1[[HomeTeam]:[HomeTeam]],$A23, Table1[[AwayTeam]:[AwayTeam]], G$1, Table1[[ActualResult]:[ActualResult]], "SO"),0))</f>
        <v>0-0-0</v>
      </c>
      <c r="H23" s="43" t="str">
        <f>_xlfn.CONCAT(TEXT(SUMIFS(Table1[[AwayWon]:[AwayWon]], Table1[[GameIsOver]:[GameIsOver]],1,Table1[[AwayTeam]:[AwayTeam]],$A23, Table1[[HomeTeam]:[HomeTeam]], H$1) + SUMIFS(Table1[[HomeWon]:[HomeWon]], Table1[[GameIsOver]:[GameIsOver]],1,Table1[[HomeTeam]:[HomeTeam]],$A23, Table1[[AwayTeam]:[AwayTeam]], H$1),0), "-", TEXT(SUMIFS(Table1[[HomeWon]:[HomeWon]], Table1[[GameIsOver]:[GameIsOver]],1,Table1[[AwayTeam]:[AwayTeam]],$A23, Table1[[HomeTeam]:[HomeTeam]], H$1, Table1[[ActualResult]:[ActualResult]], "REG") + SUMIFS(Table1[[AwayWon]:[AwayWon]], Table1[[GameIsOver]:[GameIsOver]],1,Table1[[HomeTeam]:[HomeTeam]],$A23, Table1[[AwayTeam]:[AwayTeam]], H$1, Table1[[ActualResult]:[ActualResult]], "REG"),0), "-", TEXT(SUMIFS(Table1[[HomeWon]:[HomeWon]], Table1[[GameIsOver]:[GameIsOver]],1,Table1[[AwayTeam]:[AwayTeam]],$A23, Table1[[HomeTeam]:[HomeTeam]], H$1, Table1[[ActualResult]:[ActualResult]], "OT") + SUMIFS(Table1[[AwayWon]:[AwayWon]], Table1[[GameIsOver]:[GameIsOver]],1,Table1[[HomeTeam]:[HomeTeam]],$A23, Table1[[AwayTeam]:[AwayTeam]], H$1, Table1[[ActualResult]:[ActualResult]], "OT") + SUMIFS(Table1[[HomeWon]:[HomeWon]], Table1[[GameIsOver]:[GameIsOver]],1,Table1[[AwayTeam]:[AwayTeam]],$A23, Table1[[HomeTeam]:[HomeTeam]], H$1, Table1[[ActualResult]:[ActualResult]], "SO") + SUMIFS(Table1[[AwayWon]:[AwayWon]], Table1[[GameIsOver]:[GameIsOver]],1,Table1[[HomeTeam]:[HomeTeam]],$A23, Table1[[AwayTeam]:[AwayTeam]], H$1, Table1[[ActualResult]:[ActualResult]], "SO"),0))</f>
        <v>0-0-0</v>
      </c>
      <c r="I23" s="45" t="str">
        <f>_xlfn.CONCAT(TEXT(SUMIFS(Table1[[AwayWon]:[AwayWon]], Table1[[GameIsOver]:[GameIsOver]],1,Table1[[AwayTeam]:[AwayTeam]],$A23, Table1[[HomeTeam]:[HomeTeam]], I$1) + SUMIFS(Table1[[HomeWon]:[HomeWon]], Table1[[GameIsOver]:[GameIsOver]],1,Table1[[HomeTeam]:[HomeTeam]],$A23, Table1[[AwayTeam]:[AwayTeam]], I$1),0), "-", TEXT(SUMIFS(Table1[[HomeWon]:[HomeWon]], Table1[[GameIsOver]:[GameIsOver]],1,Table1[[AwayTeam]:[AwayTeam]],$A23, Table1[[HomeTeam]:[HomeTeam]], I$1, Table1[[ActualResult]:[ActualResult]], "REG") + SUMIFS(Table1[[AwayWon]:[AwayWon]], Table1[[GameIsOver]:[GameIsOver]],1,Table1[[HomeTeam]:[HomeTeam]],$A23, Table1[[AwayTeam]:[AwayTeam]], I$1, Table1[[ActualResult]:[ActualResult]], "REG"),0), "-", TEXT(SUMIFS(Table1[[HomeWon]:[HomeWon]], Table1[[GameIsOver]:[GameIsOver]],1,Table1[[AwayTeam]:[AwayTeam]],$A23, Table1[[HomeTeam]:[HomeTeam]], I$1, Table1[[ActualResult]:[ActualResult]], "OT") + SUMIFS(Table1[[AwayWon]:[AwayWon]], Table1[[GameIsOver]:[GameIsOver]],1,Table1[[HomeTeam]:[HomeTeam]],$A23, Table1[[AwayTeam]:[AwayTeam]], I$1, Table1[[ActualResult]:[ActualResult]], "OT") + SUMIFS(Table1[[HomeWon]:[HomeWon]], Table1[[GameIsOver]:[GameIsOver]],1,Table1[[AwayTeam]:[AwayTeam]],$A23, Table1[[HomeTeam]:[HomeTeam]], I$1, Table1[[ActualResult]:[ActualResult]], "SO") + SUMIFS(Table1[[AwayWon]:[AwayWon]], Table1[[GameIsOver]:[GameIsOver]],1,Table1[[HomeTeam]:[HomeTeam]],$A23, Table1[[AwayTeam]:[AwayTeam]], I$1, Table1[[ActualResult]:[ActualResult]], "SO"),0))</f>
        <v>0-0-0</v>
      </c>
      <c r="J23" s="43" t="str">
        <f>_xlfn.CONCAT(TEXT(SUMIFS(Table1[[AwayWon]:[AwayWon]], Table1[[GameIsOver]:[GameIsOver]],1,Table1[[AwayTeam]:[AwayTeam]],$A23, Table1[[HomeTeam]:[HomeTeam]], J$1) + SUMIFS(Table1[[HomeWon]:[HomeWon]], Table1[[GameIsOver]:[GameIsOver]],1,Table1[[HomeTeam]:[HomeTeam]],$A23, Table1[[AwayTeam]:[AwayTeam]], J$1),0), "-", TEXT(SUMIFS(Table1[[HomeWon]:[HomeWon]], Table1[[GameIsOver]:[GameIsOver]],1,Table1[[AwayTeam]:[AwayTeam]],$A23, Table1[[HomeTeam]:[HomeTeam]], J$1, Table1[[ActualResult]:[ActualResult]], "REG") + SUMIFS(Table1[[AwayWon]:[AwayWon]], Table1[[GameIsOver]:[GameIsOver]],1,Table1[[HomeTeam]:[HomeTeam]],$A23, Table1[[AwayTeam]:[AwayTeam]], J$1, Table1[[ActualResult]:[ActualResult]], "REG"),0), "-", TEXT(SUMIFS(Table1[[HomeWon]:[HomeWon]], Table1[[GameIsOver]:[GameIsOver]],1,Table1[[AwayTeam]:[AwayTeam]],$A23, Table1[[HomeTeam]:[HomeTeam]], J$1, Table1[[ActualResult]:[ActualResult]], "OT") + SUMIFS(Table1[[AwayWon]:[AwayWon]], Table1[[GameIsOver]:[GameIsOver]],1,Table1[[HomeTeam]:[HomeTeam]],$A23, Table1[[AwayTeam]:[AwayTeam]], J$1, Table1[[ActualResult]:[ActualResult]], "OT") + SUMIFS(Table1[[HomeWon]:[HomeWon]], Table1[[GameIsOver]:[GameIsOver]],1,Table1[[AwayTeam]:[AwayTeam]],$A23, Table1[[HomeTeam]:[HomeTeam]], J$1, Table1[[ActualResult]:[ActualResult]], "SO") + SUMIFS(Table1[[AwayWon]:[AwayWon]], Table1[[GameIsOver]:[GameIsOver]],1,Table1[[HomeTeam]:[HomeTeam]],$A23, Table1[[AwayTeam]:[AwayTeam]], J$1, Table1[[ActualResult]:[ActualResult]], "SO"),0))</f>
        <v>0-0-0</v>
      </c>
      <c r="K23" s="43" t="str">
        <f>_xlfn.CONCAT(TEXT(SUMIFS(Table1[[AwayWon]:[AwayWon]], Table1[[GameIsOver]:[GameIsOver]],1,Table1[[AwayTeam]:[AwayTeam]],$A23, Table1[[HomeTeam]:[HomeTeam]], K$1) + SUMIFS(Table1[[HomeWon]:[HomeWon]], Table1[[GameIsOver]:[GameIsOver]],1,Table1[[HomeTeam]:[HomeTeam]],$A23, Table1[[AwayTeam]:[AwayTeam]], K$1),0), "-", TEXT(SUMIFS(Table1[[HomeWon]:[HomeWon]], Table1[[GameIsOver]:[GameIsOver]],1,Table1[[AwayTeam]:[AwayTeam]],$A23, Table1[[HomeTeam]:[HomeTeam]], K$1, Table1[[ActualResult]:[ActualResult]], "REG") + SUMIFS(Table1[[AwayWon]:[AwayWon]], Table1[[GameIsOver]:[GameIsOver]],1,Table1[[HomeTeam]:[HomeTeam]],$A23, Table1[[AwayTeam]:[AwayTeam]], K$1, Table1[[ActualResult]:[ActualResult]], "REG"),0), "-", TEXT(SUMIFS(Table1[[HomeWon]:[HomeWon]], Table1[[GameIsOver]:[GameIsOver]],1,Table1[[AwayTeam]:[AwayTeam]],$A23, Table1[[HomeTeam]:[HomeTeam]], K$1, Table1[[ActualResult]:[ActualResult]], "OT") + SUMIFS(Table1[[AwayWon]:[AwayWon]], Table1[[GameIsOver]:[GameIsOver]],1,Table1[[HomeTeam]:[HomeTeam]],$A23, Table1[[AwayTeam]:[AwayTeam]], K$1, Table1[[ActualResult]:[ActualResult]], "OT") + SUMIFS(Table1[[HomeWon]:[HomeWon]], Table1[[GameIsOver]:[GameIsOver]],1,Table1[[AwayTeam]:[AwayTeam]],$A23, Table1[[HomeTeam]:[HomeTeam]], K$1, Table1[[ActualResult]:[ActualResult]], "SO") + SUMIFS(Table1[[AwayWon]:[AwayWon]], Table1[[GameIsOver]:[GameIsOver]],1,Table1[[HomeTeam]:[HomeTeam]],$A23, Table1[[AwayTeam]:[AwayTeam]], K$1, Table1[[ActualResult]:[ActualResult]], "SO"),0))</f>
        <v>0-0-0</v>
      </c>
      <c r="L23" s="43" t="str">
        <f>_xlfn.CONCAT(TEXT(SUMIFS(Table1[[AwayWon]:[AwayWon]], Table1[[GameIsOver]:[GameIsOver]],1,Table1[[AwayTeam]:[AwayTeam]],$A23, Table1[[HomeTeam]:[HomeTeam]], L$1) + SUMIFS(Table1[[HomeWon]:[HomeWon]], Table1[[GameIsOver]:[GameIsOver]],1,Table1[[HomeTeam]:[HomeTeam]],$A23, Table1[[AwayTeam]:[AwayTeam]], L$1),0), "-", TEXT(SUMIFS(Table1[[HomeWon]:[HomeWon]], Table1[[GameIsOver]:[GameIsOver]],1,Table1[[AwayTeam]:[AwayTeam]],$A23, Table1[[HomeTeam]:[HomeTeam]], L$1, Table1[[ActualResult]:[ActualResult]], "REG") + SUMIFS(Table1[[AwayWon]:[AwayWon]], Table1[[GameIsOver]:[GameIsOver]],1,Table1[[HomeTeam]:[HomeTeam]],$A23, Table1[[AwayTeam]:[AwayTeam]], L$1, Table1[[ActualResult]:[ActualResult]], "REG"),0), "-", TEXT(SUMIFS(Table1[[HomeWon]:[HomeWon]], Table1[[GameIsOver]:[GameIsOver]],1,Table1[[AwayTeam]:[AwayTeam]],$A23, Table1[[HomeTeam]:[HomeTeam]], L$1, Table1[[ActualResult]:[ActualResult]], "OT") + SUMIFS(Table1[[AwayWon]:[AwayWon]], Table1[[GameIsOver]:[GameIsOver]],1,Table1[[HomeTeam]:[HomeTeam]],$A23, Table1[[AwayTeam]:[AwayTeam]], L$1, Table1[[ActualResult]:[ActualResult]], "OT") + SUMIFS(Table1[[HomeWon]:[HomeWon]], Table1[[GameIsOver]:[GameIsOver]],1,Table1[[AwayTeam]:[AwayTeam]],$A23, Table1[[HomeTeam]:[HomeTeam]], L$1, Table1[[ActualResult]:[ActualResult]], "SO") + SUMIFS(Table1[[AwayWon]:[AwayWon]], Table1[[GameIsOver]:[GameIsOver]],1,Table1[[HomeTeam]:[HomeTeam]],$A23, Table1[[AwayTeam]:[AwayTeam]], L$1, Table1[[ActualResult]:[ActualResult]], "SO"),0))</f>
        <v>0-0-0</v>
      </c>
      <c r="M23" s="43" t="str">
        <f>_xlfn.CONCAT(TEXT(SUMIFS(Table1[[AwayWon]:[AwayWon]], Table1[[GameIsOver]:[GameIsOver]],1,Table1[[AwayTeam]:[AwayTeam]],$A23, Table1[[HomeTeam]:[HomeTeam]], M$1) + SUMIFS(Table1[[HomeWon]:[HomeWon]], Table1[[GameIsOver]:[GameIsOver]],1,Table1[[HomeTeam]:[HomeTeam]],$A23, Table1[[AwayTeam]:[AwayTeam]], M$1),0), "-", TEXT(SUMIFS(Table1[[HomeWon]:[HomeWon]], Table1[[GameIsOver]:[GameIsOver]],1,Table1[[AwayTeam]:[AwayTeam]],$A23, Table1[[HomeTeam]:[HomeTeam]], M$1, Table1[[ActualResult]:[ActualResult]], "REG") + SUMIFS(Table1[[AwayWon]:[AwayWon]], Table1[[GameIsOver]:[GameIsOver]],1,Table1[[HomeTeam]:[HomeTeam]],$A23, Table1[[AwayTeam]:[AwayTeam]], M$1, Table1[[ActualResult]:[ActualResult]], "REG"),0), "-", TEXT(SUMIFS(Table1[[HomeWon]:[HomeWon]], Table1[[GameIsOver]:[GameIsOver]],1,Table1[[AwayTeam]:[AwayTeam]],$A23, Table1[[HomeTeam]:[HomeTeam]], M$1, Table1[[ActualResult]:[ActualResult]], "OT") + SUMIFS(Table1[[AwayWon]:[AwayWon]], Table1[[GameIsOver]:[GameIsOver]],1,Table1[[HomeTeam]:[HomeTeam]],$A23, Table1[[AwayTeam]:[AwayTeam]], M$1, Table1[[ActualResult]:[ActualResult]], "OT") + SUMIFS(Table1[[HomeWon]:[HomeWon]], Table1[[GameIsOver]:[GameIsOver]],1,Table1[[AwayTeam]:[AwayTeam]],$A23, Table1[[HomeTeam]:[HomeTeam]], M$1, Table1[[ActualResult]:[ActualResult]], "SO") + SUMIFS(Table1[[AwayWon]:[AwayWon]], Table1[[GameIsOver]:[GameIsOver]],1,Table1[[HomeTeam]:[HomeTeam]],$A23, Table1[[AwayTeam]:[AwayTeam]], M$1, Table1[[ActualResult]:[ActualResult]], "SO"),0))</f>
        <v>0-0-0</v>
      </c>
      <c r="N23" s="43" t="str">
        <f>_xlfn.CONCAT(TEXT(SUMIFS(Table1[[AwayWon]:[AwayWon]], Table1[[GameIsOver]:[GameIsOver]],1,Table1[[AwayTeam]:[AwayTeam]],$A23, Table1[[HomeTeam]:[HomeTeam]], N$1) + SUMIFS(Table1[[HomeWon]:[HomeWon]], Table1[[GameIsOver]:[GameIsOver]],1,Table1[[HomeTeam]:[HomeTeam]],$A23, Table1[[AwayTeam]:[AwayTeam]], N$1),0), "-", TEXT(SUMIFS(Table1[[HomeWon]:[HomeWon]], Table1[[GameIsOver]:[GameIsOver]],1,Table1[[AwayTeam]:[AwayTeam]],$A23, Table1[[HomeTeam]:[HomeTeam]], N$1, Table1[[ActualResult]:[ActualResult]], "REG") + SUMIFS(Table1[[AwayWon]:[AwayWon]], Table1[[GameIsOver]:[GameIsOver]],1,Table1[[HomeTeam]:[HomeTeam]],$A23, Table1[[AwayTeam]:[AwayTeam]], N$1, Table1[[ActualResult]:[ActualResult]], "REG"),0), "-", TEXT(SUMIFS(Table1[[HomeWon]:[HomeWon]], Table1[[GameIsOver]:[GameIsOver]],1,Table1[[AwayTeam]:[AwayTeam]],$A23, Table1[[HomeTeam]:[HomeTeam]], N$1, Table1[[ActualResult]:[ActualResult]], "OT") + SUMIFS(Table1[[AwayWon]:[AwayWon]], Table1[[GameIsOver]:[GameIsOver]],1,Table1[[HomeTeam]:[HomeTeam]],$A23, Table1[[AwayTeam]:[AwayTeam]], N$1, Table1[[ActualResult]:[ActualResult]], "OT") + SUMIFS(Table1[[HomeWon]:[HomeWon]], Table1[[GameIsOver]:[GameIsOver]],1,Table1[[AwayTeam]:[AwayTeam]],$A23, Table1[[HomeTeam]:[HomeTeam]], N$1, Table1[[ActualResult]:[ActualResult]], "SO") + SUMIFS(Table1[[AwayWon]:[AwayWon]], Table1[[GameIsOver]:[GameIsOver]],1,Table1[[HomeTeam]:[HomeTeam]],$A23, Table1[[AwayTeam]:[AwayTeam]], N$1, Table1[[ActualResult]:[ActualResult]], "SO"),0))</f>
        <v>0-0-0</v>
      </c>
      <c r="O23" s="43" t="str">
        <f>_xlfn.CONCAT(TEXT(SUMIFS(Table1[[AwayWon]:[AwayWon]], Table1[[GameIsOver]:[GameIsOver]],1,Table1[[AwayTeam]:[AwayTeam]],$A23, Table1[[HomeTeam]:[HomeTeam]], O$1) + SUMIFS(Table1[[HomeWon]:[HomeWon]], Table1[[GameIsOver]:[GameIsOver]],1,Table1[[HomeTeam]:[HomeTeam]],$A23, Table1[[AwayTeam]:[AwayTeam]], O$1),0), "-", TEXT(SUMIFS(Table1[[HomeWon]:[HomeWon]], Table1[[GameIsOver]:[GameIsOver]],1,Table1[[AwayTeam]:[AwayTeam]],$A23, Table1[[HomeTeam]:[HomeTeam]], O$1, Table1[[ActualResult]:[ActualResult]], "REG") + SUMIFS(Table1[[AwayWon]:[AwayWon]], Table1[[GameIsOver]:[GameIsOver]],1,Table1[[HomeTeam]:[HomeTeam]],$A23, Table1[[AwayTeam]:[AwayTeam]], O$1, Table1[[ActualResult]:[ActualResult]], "REG"),0), "-", TEXT(SUMIFS(Table1[[HomeWon]:[HomeWon]], Table1[[GameIsOver]:[GameIsOver]],1,Table1[[AwayTeam]:[AwayTeam]],$A23, Table1[[HomeTeam]:[HomeTeam]], O$1, Table1[[ActualResult]:[ActualResult]], "OT") + SUMIFS(Table1[[AwayWon]:[AwayWon]], Table1[[GameIsOver]:[GameIsOver]],1,Table1[[HomeTeam]:[HomeTeam]],$A23, Table1[[AwayTeam]:[AwayTeam]], O$1, Table1[[ActualResult]:[ActualResult]], "OT") + SUMIFS(Table1[[HomeWon]:[HomeWon]], Table1[[GameIsOver]:[GameIsOver]],1,Table1[[AwayTeam]:[AwayTeam]],$A23, Table1[[HomeTeam]:[HomeTeam]], O$1, Table1[[ActualResult]:[ActualResult]], "SO") + SUMIFS(Table1[[AwayWon]:[AwayWon]], Table1[[GameIsOver]:[GameIsOver]],1,Table1[[HomeTeam]:[HomeTeam]],$A23, Table1[[AwayTeam]:[AwayTeam]], O$1, Table1[[ActualResult]:[ActualResult]], "SO"),0))</f>
        <v>0-0-0</v>
      </c>
      <c r="P23" s="43" t="str">
        <f>_xlfn.CONCAT(TEXT(SUMIFS(Table1[[AwayWon]:[AwayWon]], Table1[[GameIsOver]:[GameIsOver]],1,Table1[[AwayTeam]:[AwayTeam]],$A23, Table1[[HomeTeam]:[HomeTeam]], P$1) + SUMIFS(Table1[[HomeWon]:[HomeWon]], Table1[[GameIsOver]:[GameIsOver]],1,Table1[[HomeTeam]:[HomeTeam]],$A23, Table1[[AwayTeam]:[AwayTeam]], P$1),0), "-", TEXT(SUMIFS(Table1[[HomeWon]:[HomeWon]], Table1[[GameIsOver]:[GameIsOver]],1,Table1[[AwayTeam]:[AwayTeam]],$A23, Table1[[HomeTeam]:[HomeTeam]], P$1, Table1[[ActualResult]:[ActualResult]], "REG") + SUMIFS(Table1[[AwayWon]:[AwayWon]], Table1[[GameIsOver]:[GameIsOver]],1,Table1[[HomeTeam]:[HomeTeam]],$A23, Table1[[AwayTeam]:[AwayTeam]], P$1, Table1[[ActualResult]:[ActualResult]], "REG"),0), "-", TEXT(SUMIFS(Table1[[HomeWon]:[HomeWon]], Table1[[GameIsOver]:[GameIsOver]],1,Table1[[AwayTeam]:[AwayTeam]],$A23, Table1[[HomeTeam]:[HomeTeam]], P$1, Table1[[ActualResult]:[ActualResult]], "OT") + SUMIFS(Table1[[AwayWon]:[AwayWon]], Table1[[GameIsOver]:[GameIsOver]],1,Table1[[HomeTeam]:[HomeTeam]],$A23, Table1[[AwayTeam]:[AwayTeam]], P$1, Table1[[ActualResult]:[ActualResult]], "OT") + SUMIFS(Table1[[HomeWon]:[HomeWon]], Table1[[GameIsOver]:[GameIsOver]],1,Table1[[AwayTeam]:[AwayTeam]],$A23, Table1[[HomeTeam]:[HomeTeam]], P$1, Table1[[ActualResult]:[ActualResult]], "SO") + SUMIFS(Table1[[AwayWon]:[AwayWon]], Table1[[GameIsOver]:[GameIsOver]],1,Table1[[HomeTeam]:[HomeTeam]],$A23, Table1[[AwayTeam]:[AwayTeam]], P$1, Table1[[ActualResult]:[ActualResult]], "SO"),0))</f>
        <v>0-0-0</v>
      </c>
      <c r="Q23" s="45" t="str">
        <f>_xlfn.CONCAT(TEXT(SUMIFS(Table1[[AwayWon]:[AwayWon]], Table1[[GameIsOver]:[GameIsOver]],1,Table1[[AwayTeam]:[AwayTeam]],$A23, Table1[[HomeTeam]:[HomeTeam]], Q$1) + SUMIFS(Table1[[HomeWon]:[HomeWon]], Table1[[GameIsOver]:[GameIsOver]],1,Table1[[HomeTeam]:[HomeTeam]],$A23, Table1[[AwayTeam]:[AwayTeam]], Q$1),0), "-", TEXT(SUMIFS(Table1[[HomeWon]:[HomeWon]], Table1[[GameIsOver]:[GameIsOver]],1,Table1[[AwayTeam]:[AwayTeam]],$A23, Table1[[HomeTeam]:[HomeTeam]], Q$1, Table1[[ActualResult]:[ActualResult]], "REG") + SUMIFS(Table1[[AwayWon]:[AwayWon]], Table1[[GameIsOver]:[GameIsOver]],1,Table1[[HomeTeam]:[HomeTeam]],$A23, Table1[[AwayTeam]:[AwayTeam]], Q$1, Table1[[ActualResult]:[ActualResult]], "REG"),0), "-", TEXT(SUMIFS(Table1[[HomeWon]:[HomeWon]], Table1[[GameIsOver]:[GameIsOver]],1,Table1[[AwayTeam]:[AwayTeam]],$A23, Table1[[HomeTeam]:[HomeTeam]], Q$1, Table1[[ActualResult]:[ActualResult]], "OT") + SUMIFS(Table1[[AwayWon]:[AwayWon]], Table1[[GameIsOver]:[GameIsOver]],1,Table1[[HomeTeam]:[HomeTeam]],$A23, Table1[[AwayTeam]:[AwayTeam]], Q$1, Table1[[ActualResult]:[ActualResult]], "OT") + SUMIFS(Table1[[HomeWon]:[HomeWon]], Table1[[GameIsOver]:[GameIsOver]],1,Table1[[AwayTeam]:[AwayTeam]],$A23, Table1[[HomeTeam]:[HomeTeam]], Q$1, Table1[[ActualResult]:[ActualResult]], "SO") + SUMIFS(Table1[[AwayWon]:[AwayWon]], Table1[[GameIsOver]:[GameIsOver]],1,Table1[[HomeTeam]:[HomeTeam]],$A23, Table1[[AwayTeam]:[AwayTeam]], Q$1, Table1[[ActualResult]:[ActualResult]], "SO"),0))</f>
        <v>0-0-0</v>
      </c>
      <c r="R23" s="43" t="str">
        <f>_xlfn.CONCAT(TEXT(SUMIFS(Table1[[AwayWon]:[AwayWon]], Table1[[GameIsOver]:[GameIsOver]],1,Table1[[AwayTeam]:[AwayTeam]],$A23, Table1[[HomeTeam]:[HomeTeam]], R$1) + SUMIFS(Table1[[HomeWon]:[HomeWon]], Table1[[GameIsOver]:[GameIsOver]],1,Table1[[HomeTeam]:[HomeTeam]],$A23, Table1[[AwayTeam]:[AwayTeam]], R$1),0), "-", TEXT(SUMIFS(Table1[[HomeWon]:[HomeWon]], Table1[[GameIsOver]:[GameIsOver]],1,Table1[[AwayTeam]:[AwayTeam]],$A23, Table1[[HomeTeam]:[HomeTeam]], R$1, Table1[[ActualResult]:[ActualResult]], "REG") + SUMIFS(Table1[[AwayWon]:[AwayWon]], Table1[[GameIsOver]:[GameIsOver]],1,Table1[[HomeTeam]:[HomeTeam]],$A23, Table1[[AwayTeam]:[AwayTeam]], R$1, Table1[[ActualResult]:[ActualResult]], "REG"),0), "-", TEXT(SUMIFS(Table1[[HomeWon]:[HomeWon]], Table1[[GameIsOver]:[GameIsOver]],1,Table1[[AwayTeam]:[AwayTeam]],$A23, Table1[[HomeTeam]:[HomeTeam]], R$1, Table1[[ActualResult]:[ActualResult]], "OT") + SUMIFS(Table1[[AwayWon]:[AwayWon]], Table1[[GameIsOver]:[GameIsOver]],1,Table1[[HomeTeam]:[HomeTeam]],$A23, Table1[[AwayTeam]:[AwayTeam]], R$1, Table1[[ActualResult]:[ActualResult]], "OT") + SUMIFS(Table1[[HomeWon]:[HomeWon]], Table1[[GameIsOver]:[GameIsOver]],1,Table1[[AwayTeam]:[AwayTeam]],$A23, Table1[[HomeTeam]:[HomeTeam]], R$1, Table1[[ActualResult]:[ActualResult]], "SO") + SUMIFS(Table1[[AwayWon]:[AwayWon]], Table1[[GameIsOver]:[GameIsOver]],1,Table1[[HomeTeam]:[HomeTeam]],$A23, Table1[[AwayTeam]:[AwayTeam]], R$1, Table1[[ActualResult]:[ActualResult]], "SO"),0))</f>
        <v>0-0-0</v>
      </c>
      <c r="S23" s="43" t="str">
        <f>_xlfn.CONCAT(TEXT(SUMIFS(Table1[[AwayWon]:[AwayWon]], Table1[[GameIsOver]:[GameIsOver]],1,Table1[[AwayTeam]:[AwayTeam]],$A23, Table1[[HomeTeam]:[HomeTeam]], S$1) + SUMIFS(Table1[[HomeWon]:[HomeWon]], Table1[[GameIsOver]:[GameIsOver]],1,Table1[[HomeTeam]:[HomeTeam]],$A23, Table1[[AwayTeam]:[AwayTeam]], S$1),0), "-", TEXT(SUMIFS(Table1[[HomeWon]:[HomeWon]], Table1[[GameIsOver]:[GameIsOver]],1,Table1[[AwayTeam]:[AwayTeam]],$A23, Table1[[HomeTeam]:[HomeTeam]], S$1, Table1[[ActualResult]:[ActualResult]], "REG") + SUMIFS(Table1[[AwayWon]:[AwayWon]], Table1[[GameIsOver]:[GameIsOver]],1,Table1[[HomeTeam]:[HomeTeam]],$A23, Table1[[AwayTeam]:[AwayTeam]], S$1, Table1[[ActualResult]:[ActualResult]], "REG"),0), "-", TEXT(SUMIFS(Table1[[HomeWon]:[HomeWon]], Table1[[GameIsOver]:[GameIsOver]],1,Table1[[AwayTeam]:[AwayTeam]],$A23, Table1[[HomeTeam]:[HomeTeam]], S$1, Table1[[ActualResult]:[ActualResult]], "OT") + SUMIFS(Table1[[AwayWon]:[AwayWon]], Table1[[GameIsOver]:[GameIsOver]],1,Table1[[HomeTeam]:[HomeTeam]],$A23, Table1[[AwayTeam]:[AwayTeam]], S$1, Table1[[ActualResult]:[ActualResult]], "OT") + SUMIFS(Table1[[HomeWon]:[HomeWon]], Table1[[GameIsOver]:[GameIsOver]],1,Table1[[AwayTeam]:[AwayTeam]],$A23, Table1[[HomeTeam]:[HomeTeam]], S$1, Table1[[ActualResult]:[ActualResult]], "SO") + SUMIFS(Table1[[AwayWon]:[AwayWon]], Table1[[GameIsOver]:[GameIsOver]],1,Table1[[HomeTeam]:[HomeTeam]],$A23, Table1[[AwayTeam]:[AwayTeam]], S$1, Table1[[ActualResult]:[ActualResult]], "SO"),0))</f>
        <v>0-0-0</v>
      </c>
      <c r="T23" s="43" t="str">
        <f>_xlfn.CONCAT(TEXT(SUMIFS(Table1[[AwayWon]:[AwayWon]], Table1[[GameIsOver]:[GameIsOver]],1,Table1[[AwayTeam]:[AwayTeam]],$A23, Table1[[HomeTeam]:[HomeTeam]], T$1) + SUMIFS(Table1[[HomeWon]:[HomeWon]], Table1[[GameIsOver]:[GameIsOver]],1,Table1[[HomeTeam]:[HomeTeam]],$A23, Table1[[AwayTeam]:[AwayTeam]], T$1),0), "-", TEXT(SUMIFS(Table1[[HomeWon]:[HomeWon]], Table1[[GameIsOver]:[GameIsOver]],1,Table1[[AwayTeam]:[AwayTeam]],$A23, Table1[[HomeTeam]:[HomeTeam]], T$1, Table1[[ActualResult]:[ActualResult]], "REG") + SUMIFS(Table1[[AwayWon]:[AwayWon]], Table1[[GameIsOver]:[GameIsOver]],1,Table1[[HomeTeam]:[HomeTeam]],$A23, Table1[[AwayTeam]:[AwayTeam]], T$1, Table1[[ActualResult]:[ActualResult]], "REG"),0), "-", TEXT(SUMIFS(Table1[[HomeWon]:[HomeWon]], Table1[[GameIsOver]:[GameIsOver]],1,Table1[[AwayTeam]:[AwayTeam]],$A23, Table1[[HomeTeam]:[HomeTeam]], T$1, Table1[[ActualResult]:[ActualResult]], "OT") + SUMIFS(Table1[[AwayWon]:[AwayWon]], Table1[[GameIsOver]:[GameIsOver]],1,Table1[[HomeTeam]:[HomeTeam]],$A23, Table1[[AwayTeam]:[AwayTeam]], T$1, Table1[[ActualResult]:[ActualResult]], "OT") + SUMIFS(Table1[[HomeWon]:[HomeWon]], Table1[[GameIsOver]:[GameIsOver]],1,Table1[[AwayTeam]:[AwayTeam]],$A23, Table1[[HomeTeam]:[HomeTeam]], T$1, Table1[[ActualResult]:[ActualResult]], "SO") + SUMIFS(Table1[[AwayWon]:[AwayWon]], Table1[[GameIsOver]:[GameIsOver]],1,Table1[[HomeTeam]:[HomeTeam]],$A23, Table1[[AwayTeam]:[AwayTeam]], T$1, Table1[[ActualResult]:[ActualResult]], "SO"),0))</f>
        <v>0-1-0</v>
      </c>
      <c r="U23" s="43" t="str">
        <f>_xlfn.CONCAT(TEXT(SUMIFS(Table1[[AwayWon]:[AwayWon]], Table1[[GameIsOver]:[GameIsOver]],1,Table1[[AwayTeam]:[AwayTeam]],$A23, Table1[[HomeTeam]:[HomeTeam]], U$1) + SUMIFS(Table1[[HomeWon]:[HomeWon]], Table1[[GameIsOver]:[GameIsOver]],1,Table1[[HomeTeam]:[HomeTeam]],$A23, Table1[[AwayTeam]:[AwayTeam]], U$1),0), "-", TEXT(SUMIFS(Table1[[HomeWon]:[HomeWon]], Table1[[GameIsOver]:[GameIsOver]],1,Table1[[AwayTeam]:[AwayTeam]],$A23, Table1[[HomeTeam]:[HomeTeam]], U$1, Table1[[ActualResult]:[ActualResult]], "REG") + SUMIFS(Table1[[AwayWon]:[AwayWon]], Table1[[GameIsOver]:[GameIsOver]],1,Table1[[HomeTeam]:[HomeTeam]],$A23, Table1[[AwayTeam]:[AwayTeam]], U$1, Table1[[ActualResult]:[ActualResult]], "REG"),0), "-", TEXT(SUMIFS(Table1[[HomeWon]:[HomeWon]], Table1[[GameIsOver]:[GameIsOver]],1,Table1[[AwayTeam]:[AwayTeam]],$A23, Table1[[HomeTeam]:[HomeTeam]], U$1, Table1[[ActualResult]:[ActualResult]], "OT") + SUMIFS(Table1[[AwayWon]:[AwayWon]], Table1[[GameIsOver]:[GameIsOver]],1,Table1[[HomeTeam]:[HomeTeam]],$A23, Table1[[AwayTeam]:[AwayTeam]], U$1, Table1[[ActualResult]:[ActualResult]], "OT") + SUMIFS(Table1[[HomeWon]:[HomeWon]], Table1[[GameIsOver]:[GameIsOver]],1,Table1[[AwayTeam]:[AwayTeam]],$A23, Table1[[HomeTeam]:[HomeTeam]], U$1, Table1[[ActualResult]:[ActualResult]], "SO") + SUMIFS(Table1[[AwayWon]:[AwayWon]], Table1[[GameIsOver]:[GameIsOver]],1,Table1[[HomeTeam]:[HomeTeam]],$A23, Table1[[AwayTeam]:[AwayTeam]], U$1, Table1[[ActualResult]:[ActualResult]], "SO"),0))</f>
        <v>0-0-0</v>
      </c>
      <c r="V23" s="43" t="str">
        <f>_xlfn.CONCAT(TEXT(SUMIFS(Table1[[AwayWon]:[AwayWon]], Table1[[GameIsOver]:[GameIsOver]],1,Table1[[AwayTeam]:[AwayTeam]],$A23, Table1[[HomeTeam]:[HomeTeam]], V$1) + SUMIFS(Table1[[HomeWon]:[HomeWon]], Table1[[GameIsOver]:[GameIsOver]],1,Table1[[HomeTeam]:[HomeTeam]],$A23, Table1[[AwayTeam]:[AwayTeam]], V$1),0), "-", TEXT(SUMIFS(Table1[[HomeWon]:[HomeWon]], Table1[[GameIsOver]:[GameIsOver]],1,Table1[[AwayTeam]:[AwayTeam]],$A23, Table1[[HomeTeam]:[HomeTeam]], V$1, Table1[[ActualResult]:[ActualResult]], "REG") + SUMIFS(Table1[[AwayWon]:[AwayWon]], Table1[[GameIsOver]:[GameIsOver]],1,Table1[[HomeTeam]:[HomeTeam]],$A23, Table1[[AwayTeam]:[AwayTeam]], V$1, Table1[[ActualResult]:[ActualResult]], "REG"),0), "-", TEXT(SUMIFS(Table1[[HomeWon]:[HomeWon]], Table1[[GameIsOver]:[GameIsOver]],1,Table1[[AwayTeam]:[AwayTeam]],$A23, Table1[[HomeTeam]:[HomeTeam]], V$1, Table1[[ActualResult]:[ActualResult]], "OT") + SUMIFS(Table1[[AwayWon]:[AwayWon]], Table1[[GameIsOver]:[GameIsOver]],1,Table1[[HomeTeam]:[HomeTeam]],$A23, Table1[[AwayTeam]:[AwayTeam]], V$1, Table1[[ActualResult]:[ActualResult]], "OT") + SUMIFS(Table1[[HomeWon]:[HomeWon]], Table1[[GameIsOver]:[GameIsOver]],1,Table1[[AwayTeam]:[AwayTeam]],$A23, Table1[[HomeTeam]:[HomeTeam]], V$1, Table1[[ActualResult]:[ActualResult]], "SO") + SUMIFS(Table1[[AwayWon]:[AwayWon]], Table1[[GameIsOver]:[GameIsOver]],1,Table1[[HomeTeam]:[HomeTeam]],$A23, Table1[[AwayTeam]:[AwayTeam]], V$1, Table1[[ActualResult]:[ActualResult]], "SO"),0))</f>
        <v>0-0-0</v>
      </c>
      <c r="W23" s="43" t="str">
        <f>_xlfn.CONCAT(TEXT(SUMIFS(Table1[[AwayWon]:[AwayWon]], Table1[[GameIsOver]:[GameIsOver]],1,Table1[[AwayTeam]:[AwayTeam]],$A23, Table1[[HomeTeam]:[HomeTeam]], W$1) + SUMIFS(Table1[[HomeWon]:[HomeWon]], Table1[[GameIsOver]:[GameIsOver]],1,Table1[[HomeTeam]:[HomeTeam]],$A23, Table1[[AwayTeam]:[AwayTeam]], W$1),0), "-", TEXT(SUMIFS(Table1[[HomeWon]:[HomeWon]], Table1[[GameIsOver]:[GameIsOver]],1,Table1[[AwayTeam]:[AwayTeam]],$A23, Table1[[HomeTeam]:[HomeTeam]], W$1, Table1[[ActualResult]:[ActualResult]], "REG") + SUMIFS(Table1[[AwayWon]:[AwayWon]], Table1[[GameIsOver]:[GameIsOver]],1,Table1[[HomeTeam]:[HomeTeam]],$A23, Table1[[AwayTeam]:[AwayTeam]], W$1, Table1[[ActualResult]:[ActualResult]], "REG"),0), "-", TEXT(SUMIFS(Table1[[HomeWon]:[HomeWon]], Table1[[GameIsOver]:[GameIsOver]],1,Table1[[AwayTeam]:[AwayTeam]],$A23, Table1[[HomeTeam]:[HomeTeam]], W$1, Table1[[ActualResult]:[ActualResult]], "OT") + SUMIFS(Table1[[AwayWon]:[AwayWon]], Table1[[GameIsOver]:[GameIsOver]],1,Table1[[HomeTeam]:[HomeTeam]],$A23, Table1[[AwayTeam]:[AwayTeam]], W$1, Table1[[ActualResult]:[ActualResult]], "OT") + SUMIFS(Table1[[HomeWon]:[HomeWon]], Table1[[GameIsOver]:[GameIsOver]],1,Table1[[AwayTeam]:[AwayTeam]],$A23, Table1[[HomeTeam]:[HomeTeam]], W$1, Table1[[ActualResult]:[ActualResult]], "SO") + SUMIFS(Table1[[AwayWon]:[AwayWon]], Table1[[GameIsOver]:[GameIsOver]],1,Table1[[HomeTeam]:[HomeTeam]],$A23, Table1[[AwayTeam]:[AwayTeam]], W$1, Table1[[ActualResult]:[ActualResult]], "SO"),0))</f>
        <v>0-0-0</v>
      </c>
      <c r="X23" s="43" t="str">
        <f>_xlfn.CONCAT(TEXT(SUMIFS(Table1[[AwayWon]:[AwayWon]], Table1[[GameIsOver]:[GameIsOver]],1,Table1[[AwayTeam]:[AwayTeam]],$A23, Table1[[HomeTeam]:[HomeTeam]], X$1) + SUMIFS(Table1[[HomeWon]:[HomeWon]], Table1[[GameIsOver]:[GameIsOver]],1,Table1[[HomeTeam]:[HomeTeam]],$A23, Table1[[AwayTeam]:[AwayTeam]], X$1),0), "-", TEXT(SUMIFS(Table1[[HomeWon]:[HomeWon]], Table1[[GameIsOver]:[GameIsOver]],1,Table1[[AwayTeam]:[AwayTeam]],$A23, Table1[[HomeTeam]:[HomeTeam]], X$1, Table1[[ActualResult]:[ActualResult]], "REG") + SUMIFS(Table1[[AwayWon]:[AwayWon]], Table1[[GameIsOver]:[GameIsOver]],1,Table1[[HomeTeam]:[HomeTeam]],$A23, Table1[[AwayTeam]:[AwayTeam]], X$1, Table1[[ActualResult]:[ActualResult]], "REG"),0), "-", TEXT(SUMIFS(Table1[[HomeWon]:[HomeWon]], Table1[[GameIsOver]:[GameIsOver]],1,Table1[[AwayTeam]:[AwayTeam]],$A23, Table1[[HomeTeam]:[HomeTeam]], X$1, Table1[[ActualResult]:[ActualResult]], "OT") + SUMIFS(Table1[[AwayWon]:[AwayWon]], Table1[[GameIsOver]:[GameIsOver]],1,Table1[[HomeTeam]:[HomeTeam]],$A23, Table1[[AwayTeam]:[AwayTeam]], X$1, Table1[[ActualResult]:[ActualResult]], "OT") + SUMIFS(Table1[[HomeWon]:[HomeWon]], Table1[[GameIsOver]:[GameIsOver]],1,Table1[[AwayTeam]:[AwayTeam]],$A23, Table1[[HomeTeam]:[HomeTeam]], X$1, Table1[[ActualResult]:[ActualResult]], "SO") + SUMIFS(Table1[[AwayWon]:[AwayWon]], Table1[[GameIsOver]:[GameIsOver]],1,Table1[[HomeTeam]:[HomeTeam]],$A23, Table1[[AwayTeam]:[AwayTeam]], X$1, Table1[[ActualResult]:[ActualResult]], "SO"),0))</f>
        <v>1-0-0</v>
      </c>
      <c r="Y23" s="45" t="str">
        <f>_xlfn.CONCAT(TEXT(SUMIFS(Table1[[AwayWon]:[AwayWon]], Table1[[GameIsOver]:[GameIsOver]],1,Table1[[AwayTeam]:[AwayTeam]],$A23, Table1[[HomeTeam]:[HomeTeam]], Y$1) + SUMIFS(Table1[[HomeWon]:[HomeWon]], Table1[[GameIsOver]:[GameIsOver]],1,Table1[[HomeTeam]:[HomeTeam]],$A23, Table1[[AwayTeam]:[AwayTeam]], Y$1),0), "-", TEXT(SUMIFS(Table1[[HomeWon]:[HomeWon]], Table1[[GameIsOver]:[GameIsOver]],1,Table1[[AwayTeam]:[AwayTeam]],$A23, Table1[[HomeTeam]:[HomeTeam]], Y$1, Table1[[ActualResult]:[ActualResult]], "REG") + SUMIFS(Table1[[AwayWon]:[AwayWon]], Table1[[GameIsOver]:[GameIsOver]],1,Table1[[HomeTeam]:[HomeTeam]],$A23, Table1[[AwayTeam]:[AwayTeam]], Y$1, Table1[[ActualResult]:[ActualResult]], "REG"),0), "-", TEXT(SUMIFS(Table1[[HomeWon]:[HomeWon]], Table1[[GameIsOver]:[GameIsOver]],1,Table1[[AwayTeam]:[AwayTeam]],$A23, Table1[[HomeTeam]:[HomeTeam]], Y$1, Table1[[ActualResult]:[ActualResult]], "OT") + SUMIFS(Table1[[AwayWon]:[AwayWon]], Table1[[GameIsOver]:[GameIsOver]],1,Table1[[HomeTeam]:[HomeTeam]],$A23, Table1[[AwayTeam]:[AwayTeam]], Y$1, Table1[[ActualResult]:[ActualResult]], "OT") + SUMIFS(Table1[[HomeWon]:[HomeWon]], Table1[[GameIsOver]:[GameIsOver]],1,Table1[[AwayTeam]:[AwayTeam]],$A23, Table1[[HomeTeam]:[HomeTeam]], Y$1, Table1[[ActualResult]:[ActualResult]], "SO") + SUMIFS(Table1[[AwayWon]:[AwayWon]], Table1[[GameIsOver]:[GameIsOver]],1,Table1[[HomeTeam]:[HomeTeam]],$A23, Table1[[AwayTeam]:[AwayTeam]], Y$1, Table1[[ActualResult]:[ActualResult]], "SO"),0))</f>
        <v>0-0-0</v>
      </c>
      <c r="Z23" s="43" t="str">
        <f>_xlfn.CONCAT(TEXT(SUMIFS(Table1[[AwayWon]:[AwayWon]], Table1[[GameIsOver]:[GameIsOver]],1,Table1[[AwayTeam]:[AwayTeam]],$A23, Table1[[HomeTeam]:[HomeTeam]], Z$1) + SUMIFS(Table1[[HomeWon]:[HomeWon]], Table1[[GameIsOver]:[GameIsOver]],1,Table1[[HomeTeam]:[HomeTeam]],$A23, Table1[[AwayTeam]:[AwayTeam]], Z$1),0), "-", TEXT(SUMIFS(Table1[[HomeWon]:[HomeWon]], Table1[[GameIsOver]:[GameIsOver]],1,Table1[[AwayTeam]:[AwayTeam]],$A23, Table1[[HomeTeam]:[HomeTeam]], Z$1, Table1[[ActualResult]:[ActualResult]], "REG") + SUMIFS(Table1[[AwayWon]:[AwayWon]], Table1[[GameIsOver]:[GameIsOver]],1,Table1[[HomeTeam]:[HomeTeam]],$A23, Table1[[AwayTeam]:[AwayTeam]], Z$1, Table1[[ActualResult]:[ActualResult]], "REG"),0), "-", TEXT(SUMIFS(Table1[[HomeWon]:[HomeWon]], Table1[[GameIsOver]:[GameIsOver]],1,Table1[[AwayTeam]:[AwayTeam]],$A23, Table1[[HomeTeam]:[HomeTeam]], Z$1, Table1[[ActualResult]:[ActualResult]], "OT") + SUMIFS(Table1[[AwayWon]:[AwayWon]], Table1[[GameIsOver]:[GameIsOver]],1,Table1[[HomeTeam]:[HomeTeam]],$A23, Table1[[AwayTeam]:[AwayTeam]], Z$1, Table1[[ActualResult]:[ActualResult]], "OT") + SUMIFS(Table1[[HomeWon]:[HomeWon]], Table1[[GameIsOver]:[GameIsOver]],1,Table1[[AwayTeam]:[AwayTeam]],$A23, Table1[[HomeTeam]:[HomeTeam]], Z$1, Table1[[ActualResult]:[ActualResult]], "SO") + SUMIFS(Table1[[AwayWon]:[AwayWon]], Table1[[GameIsOver]:[GameIsOver]],1,Table1[[HomeTeam]:[HomeTeam]],$A23, Table1[[AwayTeam]:[AwayTeam]], Z$1, Table1[[ActualResult]:[ActualResult]], "SO"),0))</f>
        <v>0-0-0</v>
      </c>
      <c r="AA23" s="43" t="str">
        <f>_xlfn.CONCAT(TEXT(SUMIFS(Table1[[AwayWon]:[AwayWon]], Table1[[GameIsOver]:[GameIsOver]],1,Table1[[AwayTeam]:[AwayTeam]],$A23, Table1[[HomeTeam]:[HomeTeam]], AA$1) + SUMIFS(Table1[[HomeWon]:[HomeWon]], Table1[[GameIsOver]:[GameIsOver]],1,Table1[[HomeTeam]:[HomeTeam]],$A23, Table1[[AwayTeam]:[AwayTeam]], AA$1),0), "-", TEXT(SUMIFS(Table1[[HomeWon]:[HomeWon]], Table1[[GameIsOver]:[GameIsOver]],1,Table1[[AwayTeam]:[AwayTeam]],$A23, Table1[[HomeTeam]:[HomeTeam]], AA$1, Table1[[ActualResult]:[ActualResult]], "REG") + SUMIFS(Table1[[AwayWon]:[AwayWon]], Table1[[GameIsOver]:[GameIsOver]],1,Table1[[HomeTeam]:[HomeTeam]],$A23, Table1[[AwayTeam]:[AwayTeam]], AA$1, Table1[[ActualResult]:[ActualResult]], "REG"),0), "-", TEXT(SUMIFS(Table1[[HomeWon]:[HomeWon]], Table1[[GameIsOver]:[GameIsOver]],1,Table1[[AwayTeam]:[AwayTeam]],$A23, Table1[[HomeTeam]:[HomeTeam]], AA$1, Table1[[ActualResult]:[ActualResult]], "OT") + SUMIFS(Table1[[AwayWon]:[AwayWon]], Table1[[GameIsOver]:[GameIsOver]],1,Table1[[HomeTeam]:[HomeTeam]],$A23, Table1[[AwayTeam]:[AwayTeam]], AA$1, Table1[[ActualResult]:[ActualResult]], "OT") + SUMIFS(Table1[[HomeWon]:[HomeWon]], Table1[[GameIsOver]:[GameIsOver]],1,Table1[[AwayTeam]:[AwayTeam]],$A23, Table1[[HomeTeam]:[HomeTeam]], AA$1, Table1[[ActualResult]:[ActualResult]], "SO") + SUMIFS(Table1[[AwayWon]:[AwayWon]], Table1[[GameIsOver]:[GameIsOver]],1,Table1[[HomeTeam]:[HomeTeam]],$A23, Table1[[AwayTeam]:[AwayTeam]], AA$1, Table1[[ActualResult]:[ActualResult]], "SO"),0))</f>
        <v>0-0-0</v>
      </c>
      <c r="AB23" s="43" t="str">
        <f>_xlfn.CONCAT(TEXT(SUMIFS(Table1[[AwayWon]:[AwayWon]], Table1[[GameIsOver]:[GameIsOver]],1,Table1[[AwayTeam]:[AwayTeam]],$A23, Table1[[HomeTeam]:[HomeTeam]], AB$1) + SUMIFS(Table1[[HomeWon]:[HomeWon]], Table1[[GameIsOver]:[GameIsOver]],1,Table1[[HomeTeam]:[HomeTeam]],$A23, Table1[[AwayTeam]:[AwayTeam]], AB$1),0), "-", TEXT(SUMIFS(Table1[[HomeWon]:[HomeWon]], Table1[[GameIsOver]:[GameIsOver]],1,Table1[[AwayTeam]:[AwayTeam]],$A23, Table1[[HomeTeam]:[HomeTeam]], AB$1, Table1[[ActualResult]:[ActualResult]], "REG") + SUMIFS(Table1[[AwayWon]:[AwayWon]], Table1[[GameIsOver]:[GameIsOver]],1,Table1[[HomeTeam]:[HomeTeam]],$A23, Table1[[AwayTeam]:[AwayTeam]], AB$1, Table1[[ActualResult]:[ActualResult]], "REG"),0), "-", TEXT(SUMIFS(Table1[[HomeWon]:[HomeWon]], Table1[[GameIsOver]:[GameIsOver]],1,Table1[[AwayTeam]:[AwayTeam]],$A23, Table1[[HomeTeam]:[HomeTeam]], AB$1, Table1[[ActualResult]:[ActualResult]], "OT") + SUMIFS(Table1[[AwayWon]:[AwayWon]], Table1[[GameIsOver]:[GameIsOver]],1,Table1[[HomeTeam]:[HomeTeam]],$A23, Table1[[AwayTeam]:[AwayTeam]], AB$1, Table1[[ActualResult]:[ActualResult]], "OT") + SUMIFS(Table1[[HomeWon]:[HomeWon]], Table1[[GameIsOver]:[GameIsOver]],1,Table1[[AwayTeam]:[AwayTeam]],$A23, Table1[[HomeTeam]:[HomeTeam]], AB$1, Table1[[ActualResult]:[ActualResult]], "SO") + SUMIFS(Table1[[AwayWon]:[AwayWon]], Table1[[GameIsOver]:[GameIsOver]],1,Table1[[HomeTeam]:[HomeTeam]],$A23, Table1[[AwayTeam]:[AwayTeam]], AB$1, Table1[[ActualResult]:[ActualResult]], "SO"),0))</f>
        <v>0-0-0</v>
      </c>
      <c r="AC23" s="43" t="str">
        <f>_xlfn.CONCAT(TEXT(SUMIFS(Table1[[AwayWon]:[AwayWon]], Table1[[GameIsOver]:[GameIsOver]],1,Table1[[AwayTeam]:[AwayTeam]],$A23, Table1[[HomeTeam]:[HomeTeam]], AC$1) + SUMIFS(Table1[[HomeWon]:[HomeWon]], Table1[[GameIsOver]:[GameIsOver]],1,Table1[[HomeTeam]:[HomeTeam]],$A23, Table1[[AwayTeam]:[AwayTeam]], AC$1),0), "-", TEXT(SUMIFS(Table1[[HomeWon]:[HomeWon]], Table1[[GameIsOver]:[GameIsOver]],1,Table1[[AwayTeam]:[AwayTeam]],$A23, Table1[[HomeTeam]:[HomeTeam]], AC$1, Table1[[ActualResult]:[ActualResult]], "REG") + SUMIFS(Table1[[AwayWon]:[AwayWon]], Table1[[GameIsOver]:[GameIsOver]],1,Table1[[HomeTeam]:[HomeTeam]],$A23, Table1[[AwayTeam]:[AwayTeam]], AC$1, Table1[[ActualResult]:[ActualResult]], "REG"),0), "-", TEXT(SUMIFS(Table1[[HomeWon]:[HomeWon]], Table1[[GameIsOver]:[GameIsOver]],1,Table1[[AwayTeam]:[AwayTeam]],$A23, Table1[[HomeTeam]:[HomeTeam]], AC$1, Table1[[ActualResult]:[ActualResult]], "OT") + SUMIFS(Table1[[AwayWon]:[AwayWon]], Table1[[GameIsOver]:[GameIsOver]],1,Table1[[HomeTeam]:[HomeTeam]],$A23, Table1[[AwayTeam]:[AwayTeam]], AC$1, Table1[[ActualResult]:[ActualResult]], "OT") + SUMIFS(Table1[[HomeWon]:[HomeWon]], Table1[[GameIsOver]:[GameIsOver]],1,Table1[[AwayTeam]:[AwayTeam]],$A23, Table1[[HomeTeam]:[HomeTeam]], AC$1, Table1[[ActualResult]:[ActualResult]], "SO") + SUMIFS(Table1[[AwayWon]:[AwayWon]], Table1[[GameIsOver]:[GameIsOver]],1,Table1[[HomeTeam]:[HomeTeam]],$A23, Table1[[AwayTeam]:[AwayTeam]], AC$1, Table1[[ActualResult]:[ActualResult]], "SO"),0))</f>
        <v>0-0-0</v>
      </c>
      <c r="AD23" s="43" t="str">
        <f>_xlfn.CONCAT(TEXT(SUMIFS(Table1[[AwayWon]:[AwayWon]], Table1[[GameIsOver]:[GameIsOver]],1,Table1[[AwayTeam]:[AwayTeam]],$A23, Table1[[HomeTeam]:[HomeTeam]], AD$1) + SUMIFS(Table1[[HomeWon]:[HomeWon]], Table1[[GameIsOver]:[GameIsOver]],1,Table1[[HomeTeam]:[HomeTeam]],$A23, Table1[[AwayTeam]:[AwayTeam]], AD$1),0), "-", TEXT(SUMIFS(Table1[[HomeWon]:[HomeWon]], Table1[[GameIsOver]:[GameIsOver]],1,Table1[[AwayTeam]:[AwayTeam]],$A23, Table1[[HomeTeam]:[HomeTeam]], AD$1, Table1[[ActualResult]:[ActualResult]], "REG") + SUMIFS(Table1[[AwayWon]:[AwayWon]], Table1[[GameIsOver]:[GameIsOver]],1,Table1[[HomeTeam]:[HomeTeam]],$A23, Table1[[AwayTeam]:[AwayTeam]], AD$1, Table1[[ActualResult]:[ActualResult]], "REG"),0), "-", TEXT(SUMIFS(Table1[[HomeWon]:[HomeWon]], Table1[[GameIsOver]:[GameIsOver]],1,Table1[[AwayTeam]:[AwayTeam]],$A23, Table1[[HomeTeam]:[HomeTeam]], AD$1, Table1[[ActualResult]:[ActualResult]], "OT") + SUMIFS(Table1[[AwayWon]:[AwayWon]], Table1[[GameIsOver]:[GameIsOver]],1,Table1[[HomeTeam]:[HomeTeam]],$A23, Table1[[AwayTeam]:[AwayTeam]], AD$1, Table1[[ActualResult]:[ActualResult]], "OT") + SUMIFS(Table1[[HomeWon]:[HomeWon]], Table1[[GameIsOver]:[GameIsOver]],1,Table1[[AwayTeam]:[AwayTeam]],$A23, Table1[[HomeTeam]:[HomeTeam]], AD$1, Table1[[ActualResult]:[ActualResult]], "SO") + SUMIFS(Table1[[AwayWon]:[AwayWon]], Table1[[GameIsOver]:[GameIsOver]],1,Table1[[HomeTeam]:[HomeTeam]],$A23, Table1[[AwayTeam]:[AwayTeam]], AD$1, Table1[[ActualResult]:[ActualResult]], "SO"),0))</f>
        <v>0-0-0</v>
      </c>
      <c r="AE23" s="43" t="str">
        <f>_xlfn.CONCAT(TEXT(SUMIFS(Table1[[AwayWon]:[AwayWon]], Table1[[GameIsOver]:[GameIsOver]],1,Table1[[AwayTeam]:[AwayTeam]],$A23, Table1[[HomeTeam]:[HomeTeam]], AE$1) + SUMIFS(Table1[[HomeWon]:[HomeWon]], Table1[[GameIsOver]:[GameIsOver]],1,Table1[[HomeTeam]:[HomeTeam]],$A23, Table1[[AwayTeam]:[AwayTeam]], AE$1),0), "-", TEXT(SUMIFS(Table1[[HomeWon]:[HomeWon]], Table1[[GameIsOver]:[GameIsOver]],1,Table1[[AwayTeam]:[AwayTeam]],$A23, Table1[[HomeTeam]:[HomeTeam]], AE$1, Table1[[ActualResult]:[ActualResult]], "REG") + SUMIFS(Table1[[AwayWon]:[AwayWon]], Table1[[GameIsOver]:[GameIsOver]],1,Table1[[HomeTeam]:[HomeTeam]],$A23, Table1[[AwayTeam]:[AwayTeam]], AE$1, Table1[[ActualResult]:[ActualResult]], "REG"),0), "-", TEXT(SUMIFS(Table1[[HomeWon]:[HomeWon]], Table1[[GameIsOver]:[GameIsOver]],1,Table1[[AwayTeam]:[AwayTeam]],$A23, Table1[[HomeTeam]:[HomeTeam]], AE$1, Table1[[ActualResult]:[ActualResult]], "OT") + SUMIFS(Table1[[AwayWon]:[AwayWon]], Table1[[GameIsOver]:[GameIsOver]],1,Table1[[HomeTeam]:[HomeTeam]],$A23, Table1[[AwayTeam]:[AwayTeam]], AE$1, Table1[[ActualResult]:[ActualResult]], "OT") + SUMIFS(Table1[[HomeWon]:[HomeWon]], Table1[[GameIsOver]:[GameIsOver]],1,Table1[[AwayTeam]:[AwayTeam]],$A23, Table1[[HomeTeam]:[HomeTeam]], AE$1, Table1[[ActualResult]:[ActualResult]], "SO") + SUMIFS(Table1[[AwayWon]:[AwayWon]], Table1[[GameIsOver]:[GameIsOver]],1,Table1[[HomeTeam]:[HomeTeam]],$A23, Table1[[AwayTeam]:[AwayTeam]], AE$1, Table1[[ActualResult]:[ActualResult]], "SO"),0))</f>
        <v>0-0-0</v>
      </c>
      <c r="AF23" s="43" t="str">
        <f>_xlfn.CONCAT(TEXT(SUMIFS(Table1[[AwayWon]:[AwayWon]], Table1[[GameIsOver]:[GameIsOver]],1,Table1[[AwayTeam]:[AwayTeam]],$A23, Table1[[HomeTeam]:[HomeTeam]], AF$1) + SUMIFS(Table1[[HomeWon]:[HomeWon]], Table1[[GameIsOver]:[GameIsOver]],1,Table1[[HomeTeam]:[HomeTeam]],$A23, Table1[[AwayTeam]:[AwayTeam]], AF$1),0), "-", TEXT(SUMIFS(Table1[[HomeWon]:[HomeWon]], Table1[[GameIsOver]:[GameIsOver]],1,Table1[[AwayTeam]:[AwayTeam]],$A23, Table1[[HomeTeam]:[HomeTeam]], AF$1, Table1[[ActualResult]:[ActualResult]], "REG") + SUMIFS(Table1[[AwayWon]:[AwayWon]], Table1[[GameIsOver]:[GameIsOver]],1,Table1[[HomeTeam]:[HomeTeam]],$A23, Table1[[AwayTeam]:[AwayTeam]], AF$1, Table1[[ActualResult]:[ActualResult]], "REG"),0), "-", TEXT(SUMIFS(Table1[[HomeWon]:[HomeWon]], Table1[[GameIsOver]:[GameIsOver]],1,Table1[[AwayTeam]:[AwayTeam]],$A23, Table1[[HomeTeam]:[HomeTeam]], AF$1, Table1[[ActualResult]:[ActualResult]], "OT") + SUMIFS(Table1[[AwayWon]:[AwayWon]], Table1[[GameIsOver]:[GameIsOver]],1,Table1[[HomeTeam]:[HomeTeam]],$A23, Table1[[AwayTeam]:[AwayTeam]], AF$1, Table1[[ActualResult]:[ActualResult]], "OT") + SUMIFS(Table1[[HomeWon]:[HomeWon]], Table1[[GameIsOver]:[GameIsOver]],1,Table1[[AwayTeam]:[AwayTeam]],$A23, Table1[[HomeTeam]:[HomeTeam]], AF$1, Table1[[ActualResult]:[ActualResult]], "SO") + SUMIFS(Table1[[AwayWon]:[AwayWon]], Table1[[GameIsOver]:[GameIsOver]],1,Table1[[HomeTeam]:[HomeTeam]],$A23, Table1[[AwayTeam]:[AwayTeam]], AF$1, Table1[[ActualResult]:[ActualResult]], "SO"),0))</f>
        <v>0-0-0</v>
      </c>
      <c r="AG23" s="43" t="str">
        <f>_xlfn.CONCAT(TEXT(SUMIFS(Table1[[AwayWon]:[AwayWon]], Table1[[GameIsOver]:[GameIsOver]],1,Table1[[AwayTeam]:[AwayTeam]],$A23, Table1[[HomeTeam]:[HomeTeam]], AG$1) + SUMIFS(Table1[[HomeWon]:[HomeWon]], Table1[[GameIsOver]:[GameIsOver]],1,Table1[[HomeTeam]:[HomeTeam]],$A23, Table1[[AwayTeam]:[AwayTeam]], AG$1),0), "-", TEXT(SUMIFS(Table1[[HomeWon]:[HomeWon]], Table1[[GameIsOver]:[GameIsOver]],1,Table1[[AwayTeam]:[AwayTeam]],$A23, Table1[[HomeTeam]:[HomeTeam]], AG$1, Table1[[ActualResult]:[ActualResult]], "REG") + SUMIFS(Table1[[AwayWon]:[AwayWon]], Table1[[GameIsOver]:[GameIsOver]],1,Table1[[HomeTeam]:[HomeTeam]],$A23, Table1[[AwayTeam]:[AwayTeam]], AG$1, Table1[[ActualResult]:[ActualResult]], "REG"),0), "-", TEXT(SUMIFS(Table1[[HomeWon]:[HomeWon]], Table1[[GameIsOver]:[GameIsOver]],1,Table1[[AwayTeam]:[AwayTeam]],$A23, Table1[[HomeTeam]:[HomeTeam]], AG$1, Table1[[ActualResult]:[ActualResult]], "OT") + SUMIFS(Table1[[AwayWon]:[AwayWon]], Table1[[GameIsOver]:[GameIsOver]],1,Table1[[HomeTeam]:[HomeTeam]],$A23, Table1[[AwayTeam]:[AwayTeam]], AG$1, Table1[[ActualResult]:[ActualResult]], "OT") + SUMIFS(Table1[[HomeWon]:[HomeWon]], Table1[[GameIsOver]:[GameIsOver]],1,Table1[[AwayTeam]:[AwayTeam]],$A23, Table1[[HomeTeam]:[HomeTeam]], AG$1, Table1[[ActualResult]:[ActualResult]], "SO") + SUMIFS(Table1[[AwayWon]:[AwayWon]], Table1[[GameIsOver]:[GameIsOver]],1,Table1[[HomeTeam]:[HomeTeam]],$A23, Table1[[AwayTeam]:[AwayTeam]], AG$1, Table1[[ActualResult]:[ActualResult]], "SO"),0))</f>
        <v>0-0-0</v>
      </c>
    </row>
    <row r="24" spans="1:33" x14ac:dyDescent="0.25">
      <c r="A24" s="17" t="s">
        <v>54</v>
      </c>
      <c r="B24" s="43" t="str">
        <f>_xlfn.CONCAT(TEXT(SUMIFS(Table1[[AwayWon]:[AwayWon]], Table1[[GameIsOver]:[GameIsOver]],1,Table1[[AwayTeam]:[AwayTeam]],$A24, Table1[[HomeTeam]:[HomeTeam]], B$1) + SUMIFS(Table1[[HomeWon]:[HomeWon]], Table1[[GameIsOver]:[GameIsOver]],1,Table1[[HomeTeam]:[HomeTeam]],$A24, Table1[[AwayTeam]:[AwayTeam]], B$1),0), "-", TEXT(SUMIFS(Table1[[HomeWon]:[HomeWon]], Table1[[GameIsOver]:[GameIsOver]],1,Table1[[AwayTeam]:[AwayTeam]],$A24, Table1[[HomeTeam]:[HomeTeam]], B$1, Table1[[ActualResult]:[ActualResult]], "REG") + SUMIFS(Table1[[AwayWon]:[AwayWon]], Table1[[GameIsOver]:[GameIsOver]],1,Table1[[HomeTeam]:[HomeTeam]],$A24, Table1[[AwayTeam]:[AwayTeam]], B$1, Table1[[ActualResult]:[ActualResult]], "REG"),0), "-", TEXT(SUMIFS(Table1[[HomeWon]:[HomeWon]], Table1[[GameIsOver]:[GameIsOver]],1,Table1[[AwayTeam]:[AwayTeam]],$A24, Table1[[HomeTeam]:[HomeTeam]], B$1, Table1[[ActualResult]:[ActualResult]], "OT") + SUMIFS(Table1[[AwayWon]:[AwayWon]], Table1[[GameIsOver]:[GameIsOver]],1,Table1[[HomeTeam]:[HomeTeam]],$A24, Table1[[AwayTeam]:[AwayTeam]], B$1, Table1[[ActualResult]:[ActualResult]], "OT") + SUMIFS(Table1[[HomeWon]:[HomeWon]], Table1[[GameIsOver]:[GameIsOver]],1,Table1[[AwayTeam]:[AwayTeam]],$A24, Table1[[HomeTeam]:[HomeTeam]], B$1, Table1[[ActualResult]:[ActualResult]], "SO") + SUMIFS(Table1[[AwayWon]:[AwayWon]], Table1[[GameIsOver]:[GameIsOver]],1,Table1[[HomeTeam]:[HomeTeam]],$A24, Table1[[AwayTeam]:[AwayTeam]], B$1, Table1[[ActualResult]:[ActualResult]], "SO"),0))</f>
        <v>0-0-0</v>
      </c>
      <c r="C24" s="43" t="str">
        <f>_xlfn.CONCAT(TEXT(SUMIFS(Table1[[AwayWon]:[AwayWon]], Table1[[GameIsOver]:[GameIsOver]],1,Table1[[AwayTeam]:[AwayTeam]],$A24, Table1[[HomeTeam]:[HomeTeam]], C$1) + SUMIFS(Table1[[HomeWon]:[HomeWon]], Table1[[GameIsOver]:[GameIsOver]],1,Table1[[HomeTeam]:[HomeTeam]],$A24, Table1[[AwayTeam]:[AwayTeam]], C$1),0), "-", TEXT(SUMIFS(Table1[[HomeWon]:[HomeWon]], Table1[[GameIsOver]:[GameIsOver]],1,Table1[[AwayTeam]:[AwayTeam]],$A24, Table1[[HomeTeam]:[HomeTeam]], C$1, Table1[[ActualResult]:[ActualResult]], "REG") + SUMIFS(Table1[[AwayWon]:[AwayWon]], Table1[[GameIsOver]:[GameIsOver]],1,Table1[[HomeTeam]:[HomeTeam]],$A24, Table1[[AwayTeam]:[AwayTeam]], C$1, Table1[[ActualResult]:[ActualResult]], "REG"),0), "-", TEXT(SUMIFS(Table1[[HomeWon]:[HomeWon]], Table1[[GameIsOver]:[GameIsOver]],1,Table1[[AwayTeam]:[AwayTeam]],$A24, Table1[[HomeTeam]:[HomeTeam]], C$1, Table1[[ActualResult]:[ActualResult]], "OT") + SUMIFS(Table1[[AwayWon]:[AwayWon]], Table1[[GameIsOver]:[GameIsOver]],1,Table1[[HomeTeam]:[HomeTeam]],$A24, Table1[[AwayTeam]:[AwayTeam]], C$1, Table1[[ActualResult]:[ActualResult]], "OT") + SUMIFS(Table1[[HomeWon]:[HomeWon]], Table1[[GameIsOver]:[GameIsOver]],1,Table1[[AwayTeam]:[AwayTeam]],$A24, Table1[[HomeTeam]:[HomeTeam]], C$1, Table1[[ActualResult]:[ActualResult]], "SO") + SUMIFS(Table1[[AwayWon]:[AwayWon]], Table1[[GameIsOver]:[GameIsOver]],1,Table1[[HomeTeam]:[HomeTeam]],$A24, Table1[[AwayTeam]:[AwayTeam]], C$1, Table1[[ActualResult]:[ActualResult]], "SO"),0))</f>
        <v>0-0-0</v>
      </c>
      <c r="D24" s="43" t="str">
        <f>_xlfn.CONCAT(TEXT(SUMIFS(Table1[[AwayWon]:[AwayWon]], Table1[[GameIsOver]:[GameIsOver]],1,Table1[[AwayTeam]:[AwayTeam]],$A24, Table1[[HomeTeam]:[HomeTeam]], D$1) + SUMIFS(Table1[[HomeWon]:[HomeWon]], Table1[[GameIsOver]:[GameIsOver]],1,Table1[[HomeTeam]:[HomeTeam]],$A24, Table1[[AwayTeam]:[AwayTeam]], D$1),0), "-", TEXT(SUMIFS(Table1[[HomeWon]:[HomeWon]], Table1[[GameIsOver]:[GameIsOver]],1,Table1[[AwayTeam]:[AwayTeam]],$A24, Table1[[HomeTeam]:[HomeTeam]], D$1, Table1[[ActualResult]:[ActualResult]], "REG") + SUMIFS(Table1[[AwayWon]:[AwayWon]], Table1[[GameIsOver]:[GameIsOver]],1,Table1[[HomeTeam]:[HomeTeam]],$A24, Table1[[AwayTeam]:[AwayTeam]], D$1, Table1[[ActualResult]:[ActualResult]], "REG"),0), "-", TEXT(SUMIFS(Table1[[HomeWon]:[HomeWon]], Table1[[GameIsOver]:[GameIsOver]],1,Table1[[AwayTeam]:[AwayTeam]],$A24, Table1[[HomeTeam]:[HomeTeam]], D$1, Table1[[ActualResult]:[ActualResult]], "OT") + SUMIFS(Table1[[AwayWon]:[AwayWon]], Table1[[GameIsOver]:[GameIsOver]],1,Table1[[HomeTeam]:[HomeTeam]],$A24, Table1[[AwayTeam]:[AwayTeam]], D$1, Table1[[ActualResult]:[ActualResult]], "OT") + SUMIFS(Table1[[HomeWon]:[HomeWon]], Table1[[GameIsOver]:[GameIsOver]],1,Table1[[AwayTeam]:[AwayTeam]],$A24, Table1[[HomeTeam]:[HomeTeam]], D$1, Table1[[ActualResult]:[ActualResult]], "SO") + SUMIFS(Table1[[AwayWon]:[AwayWon]], Table1[[GameIsOver]:[GameIsOver]],1,Table1[[HomeTeam]:[HomeTeam]],$A24, Table1[[AwayTeam]:[AwayTeam]], D$1, Table1[[ActualResult]:[ActualResult]], "SO"),0))</f>
        <v>0-0-0</v>
      </c>
      <c r="E24" s="43" t="str">
        <f>_xlfn.CONCAT(TEXT(SUMIFS(Table1[[AwayWon]:[AwayWon]], Table1[[GameIsOver]:[GameIsOver]],1,Table1[[AwayTeam]:[AwayTeam]],$A24, Table1[[HomeTeam]:[HomeTeam]], E$1) + SUMIFS(Table1[[HomeWon]:[HomeWon]], Table1[[GameIsOver]:[GameIsOver]],1,Table1[[HomeTeam]:[HomeTeam]],$A24, Table1[[AwayTeam]:[AwayTeam]], E$1),0), "-", TEXT(SUMIFS(Table1[[HomeWon]:[HomeWon]], Table1[[GameIsOver]:[GameIsOver]],1,Table1[[AwayTeam]:[AwayTeam]],$A24, Table1[[HomeTeam]:[HomeTeam]], E$1, Table1[[ActualResult]:[ActualResult]], "REG") + SUMIFS(Table1[[AwayWon]:[AwayWon]], Table1[[GameIsOver]:[GameIsOver]],1,Table1[[HomeTeam]:[HomeTeam]],$A24, Table1[[AwayTeam]:[AwayTeam]], E$1, Table1[[ActualResult]:[ActualResult]], "REG"),0), "-", TEXT(SUMIFS(Table1[[HomeWon]:[HomeWon]], Table1[[GameIsOver]:[GameIsOver]],1,Table1[[AwayTeam]:[AwayTeam]],$A24, Table1[[HomeTeam]:[HomeTeam]], E$1, Table1[[ActualResult]:[ActualResult]], "OT") + SUMIFS(Table1[[AwayWon]:[AwayWon]], Table1[[GameIsOver]:[GameIsOver]],1,Table1[[HomeTeam]:[HomeTeam]],$A24, Table1[[AwayTeam]:[AwayTeam]], E$1, Table1[[ActualResult]:[ActualResult]], "OT") + SUMIFS(Table1[[HomeWon]:[HomeWon]], Table1[[GameIsOver]:[GameIsOver]],1,Table1[[AwayTeam]:[AwayTeam]],$A24, Table1[[HomeTeam]:[HomeTeam]], E$1, Table1[[ActualResult]:[ActualResult]], "SO") + SUMIFS(Table1[[AwayWon]:[AwayWon]], Table1[[GameIsOver]:[GameIsOver]],1,Table1[[HomeTeam]:[HomeTeam]],$A24, Table1[[AwayTeam]:[AwayTeam]], E$1, Table1[[ActualResult]:[ActualResult]], "SO"),0))</f>
        <v>0-0-0</v>
      </c>
      <c r="F24" s="43" t="str">
        <f>_xlfn.CONCAT(TEXT(SUMIFS(Table1[[AwayWon]:[AwayWon]], Table1[[GameIsOver]:[GameIsOver]],1,Table1[[AwayTeam]:[AwayTeam]],$A24, Table1[[HomeTeam]:[HomeTeam]], F$1) + SUMIFS(Table1[[HomeWon]:[HomeWon]], Table1[[GameIsOver]:[GameIsOver]],1,Table1[[HomeTeam]:[HomeTeam]],$A24, Table1[[AwayTeam]:[AwayTeam]], F$1),0), "-", TEXT(SUMIFS(Table1[[HomeWon]:[HomeWon]], Table1[[GameIsOver]:[GameIsOver]],1,Table1[[AwayTeam]:[AwayTeam]],$A24, Table1[[HomeTeam]:[HomeTeam]], F$1, Table1[[ActualResult]:[ActualResult]], "REG") + SUMIFS(Table1[[AwayWon]:[AwayWon]], Table1[[GameIsOver]:[GameIsOver]],1,Table1[[HomeTeam]:[HomeTeam]],$A24, Table1[[AwayTeam]:[AwayTeam]], F$1, Table1[[ActualResult]:[ActualResult]], "REG"),0), "-", TEXT(SUMIFS(Table1[[HomeWon]:[HomeWon]], Table1[[GameIsOver]:[GameIsOver]],1,Table1[[AwayTeam]:[AwayTeam]],$A24, Table1[[HomeTeam]:[HomeTeam]], F$1, Table1[[ActualResult]:[ActualResult]], "OT") + SUMIFS(Table1[[AwayWon]:[AwayWon]], Table1[[GameIsOver]:[GameIsOver]],1,Table1[[HomeTeam]:[HomeTeam]],$A24, Table1[[AwayTeam]:[AwayTeam]], F$1, Table1[[ActualResult]:[ActualResult]], "OT") + SUMIFS(Table1[[HomeWon]:[HomeWon]], Table1[[GameIsOver]:[GameIsOver]],1,Table1[[AwayTeam]:[AwayTeam]],$A24, Table1[[HomeTeam]:[HomeTeam]], F$1, Table1[[ActualResult]:[ActualResult]], "SO") + SUMIFS(Table1[[AwayWon]:[AwayWon]], Table1[[GameIsOver]:[GameIsOver]],1,Table1[[HomeTeam]:[HomeTeam]],$A24, Table1[[AwayTeam]:[AwayTeam]], F$1, Table1[[ActualResult]:[ActualResult]], "SO"),0))</f>
        <v>0-0-0</v>
      </c>
      <c r="G24" s="43" t="str">
        <f>_xlfn.CONCAT(TEXT(SUMIFS(Table1[[AwayWon]:[AwayWon]], Table1[[GameIsOver]:[GameIsOver]],1,Table1[[AwayTeam]:[AwayTeam]],$A24, Table1[[HomeTeam]:[HomeTeam]], G$1) + SUMIFS(Table1[[HomeWon]:[HomeWon]], Table1[[GameIsOver]:[GameIsOver]],1,Table1[[HomeTeam]:[HomeTeam]],$A24, Table1[[AwayTeam]:[AwayTeam]], G$1),0), "-", TEXT(SUMIFS(Table1[[HomeWon]:[HomeWon]], Table1[[GameIsOver]:[GameIsOver]],1,Table1[[AwayTeam]:[AwayTeam]],$A24, Table1[[HomeTeam]:[HomeTeam]], G$1, Table1[[ActualResult]:[ActualResult]], "REG") + SUMIFS(Table1[[AwayWon]:[AwayWon]], Table1[[GameIsOver]:[GameIsOver]],1,Table1[[HomeTeam]:[HomeTeam]],$A24, Table1[[AwayTeam]:[AwayTeam]], G$1, Table1[[ActualResult]:[ActualResult]], "REG"),0), "-", TEXT(SUMIFS(Table1[[HomeWon]:[HomeWon]], Table1[[GameIsOver]:[GameIsOver]],1,Table1[[AwayTeam]:[AwayTeam]],$A24, Table1[[HomeTeam]:[HomeTeam]], G$1, Table1[[ActualResult]:[ActualResult]], "OT") + SUMIFS(Table1[[AwayWon]:[AwayWon]], Table1[[GameIsOver]:[GameIsOver]],1,Table1[[HomeTeam]:[HomeTeam]],$A24, Table1[[AwayTeam]:[AwayTeam]], G$1, Table1[[ActualResult]:[ActualResult]], "OT") + SUMIFS(Table1[[HomeWon]:[HomeWon]], Table1[[GameIsOver]:[GameIsOver]],1,Table1[[AwayTeam]:[AwayTeam]],$A24, Table1[[HomeTeam]:[HomeTeam]], G$1, Table1[[ActualResult]:[ActualResult]], "SO") + SUMIFS(Table1[[AwayWon]:[AwayWon]], Table1[[GameIsOver]:[GameIsOver]],1,Table1[[HomeTeam]:[HomeTeam]],$A24, Table1[[AwayTeam]:[AwayTeam]], G$1, Table1[[ActualResult]:[ActualResult]], "SO"),0))</f>
        <v>0-0-0</v>
      </c>
      <c r="H24" s="43" t="str">
        <f>_xlfn.CONCAT(TEXT(SUMIFS(Table1[[AwayWon]:[AwayWon]], Table1[[GameIsOver]:[GameIsOver]],1,Table1[[AwayTeam]:[AwayTeam]],$A24, Table1[[HomeTeam]:[HomeTeam]], H$1) + SUMIFS(Table1[[HomeWon]:[HomeWon]], Table1[[GameIsOver]:[GameIsOver]],1,Table1[[HomeTeam]:[HomeTeam]],$A24, Table1[[AwayTeam]:[AwayTeam]], H$1),0), "-", TEXT(SUMIFS(Table1[[HomeWon]:[HomeWon]], Table1[[GameIsOver]:[GameIsOver]],1,Table1[[AwayTeam]:[AwayTeam]],$A24, Table1[[HomeTeam]:[HomeTeam]], H$1, Table1[[ActualResult]:[ActualResult]], "REG") + SUMIFS(Table1[[AwayWon]:[AwayWon]], Table1[[GameIsOver]:[GameIsOver]],1,Table1[[HomeTeam]:[HomeTeam]],$A24, Table1[[AwayTeam]:[AwayTeam]], H$1, Table1[[ActualResult]:[ActualResult]], "REG"),0), "-", TEXT(SUMIFS(Table1[[HomeWon]:[HomeWon]], Table1[[GameIsOver]:[GameIsOver]],1,Table1[[AwayTeam]:[AwayTeam]],$A24, Table1[[HomeTeam]:[HomeTeam]], H$1, Table1[[ActualResult]:[ActualResult]], "OT") + SUMIFS(Table1[[AwayWon]:[AwayWon]], Table1[[GameIsOver]:[GameIsOver]],1,Table1[[HomeTeam]:[HomeTeam]],$A24, Table1[[AwayTeam]:[AwayTeam]], H$1, Table1[[ActualResult]:[ActualResult]], "OT") + SUMIFS(Table1[[HomeWon]:[HomeWon]], Table1[[GameIsOver]:[GameIsOver]],1,Table1[[AwayTeam]:[AwayTeam]],$A24, Table1[[HomeTeam]:[HomeTeam]], H$1, Table1[[ActualResult]:[ActualResult]], "SO") + SUMIFS(Table1[[AwayWon]:[AwayWon]], Table1[[GameIsOver]:[GameIsOver]],1,Table1[[HomeTeam]:[HomeTeam]],$A24, Table1[[AwayTeam]:[AwayTeam]], H$1, Table1[[ActualResult]:[ActualResult]], "SO"),0))</f>
        <v>0-0-0</v>
      </c>
      <c r="I24" s="45" t="str">
        <f>_xlfn.CONCAT(TEXT(SUMIFS(Table1[[AwayWon]:[AwayWon]], Table1[[GameIsOver]:[GameIsOver]],1,Table1[[AwayTeam]:[AwayTeam]],$A24, Table1[[HomeTeam]:[HomeTeam]], I$1) + SUMIFS(Table1[[HomeWon]:[HomeWon]], Table1[[GameIsOver]:[GameIsOver]],1,Table1[[HomeTeam]:[HomeTeam]],$A24, Table1[[AwayTeam]:[AwayTeam]], I$1),0), "-", TEXT(SUMIFS(Table1[[HomeWon]:[HomeWon]], Table1[[GameIsOver]:[GameIsOver]],1,Table1[[AwayTeam]:[AwayTeam]],$A24, Table1[[HomeTeam]:[HomeTeam]], I$1, Table1[[ActualResult]:[ActualResult]], "REG") + SUMIFS(Table1[[AwayWon]:[AwayWon]], Table1[[GameIsOver]:[GameIsOver]],1,Table1[[HomeTeam]:[HomeTeam]],$A24, Table1[[AwayTeam]:[AwayTeam]], I$1, Table1[[ActualResult]:[ActualResult]], "REG"),0), "-", TEXT(SUMIFS(Table1[[HomeWon]:[HomeWon]], Table1[[GameIsOver]:[GameIsOver]],1,Table1[[AwayTeam]:[AwayTeam]],$A24, Table1[[HomeTeam]:[HomeTeam]], I$1, Table1[[ActualResult]:[ActualResult]], "OT") + SUMIFS(Table1[[AwayWon]:[AwayWon]], Table1[[GameIsOver]:[GameIsOver]],1,Table1[[HomeTeam]:[HomeTeam]],$A24, Table1[[AwayTeam]:[AwayTeam]], I$1, Table1[[ActualResult]:[ActualResult]], "OT") + SUMIFS(Table1[[HomeWon]:[HomeWon]], Table1[[GameIsOver]:[GameIsOver]],1,Table1[[AwayTeam]:[AwayTeam]],$A24, Table1[[HomeTeam]:[HomeTeam]], I$1, Table1[[ActualResult]:[ActualResult]], "SO") + SUMIFS(Table1[[AwayWon]:[AwayWon]], Table1[[GameIsOver]:[GameIsOver]],1,Table1[[HomeTeam]:[HomeTeam]],$A24, Table1[[AwayTeam]:[AwayTeam]], I$1, Table1[[ActualResult]:[ActualResult]], "SO"),0))</f>
        <v>0-0-0</v>
      </c>
      <c r="J24" s="43" t="str">
        <f>_xlfn.CONCAT(TEXT(SUMIFS(Table1[[AwayWon]:[AwayWon]], Table1[[GameIsOver]:[GameIsOver]],1,Table1[[AwayTeam]:[AwayTeam]],$A24, Table1[[HomeTeam]:[HomeTeam]], J$1) + SUMIFS(Table1[[HomeWon]:[HomeWon]], Table1[[GameIsOver]:[GameIsOver]],1,Table1[[HomeTeam]:[HomeTeam]],$A24, Table1[[AwayTeam]:[AwayTeam]], J$1),0), "-", TEXT(SUMIFS(Table1[[HomeWon]:[HomeWon]], Table1[[GameIsOver]:[GameIsOver]],1,Table1[[AwayTeam]:[AwayTeam]],$A24, Table1[[HomeTeam]:[HomeTeam]], J$1, Table1[[ActualResult]:[ActualResult]], "REG") + SUMIFS(Table1[[AwayWon]:[AwayWon]], Table1[[GameIsOver]:[GameIsOver]],1,Table1[[HomeTeam]:[HomeTeam]],$A24, Table1[[AwayTeam]:[AwayTeam]], J$1, Table1[[ActualResult]:[ActualResult]], "REG"),0), "-", TEXT(SUMIFS(Table1[[HomeWon]:[HomeWon]], Table1[[GameIsOver]:[GameIsOver]],1,Table1[[AwayTeam]:[AwayTeam]],$A24, Table1[[HomeTeam]:[HomeTeam]], J$1, Table1[[ActualResult]:[ActualResult]], "OT") + SUMIFS(Table1[[AwayWon]:[AwayWon]], Table1[[GameIsOver]:[GameIsOver]],1,Table1[[HomeTeam]:[HomeTeam]],$A24, Table1[[AwayTeam]:[AwayTeam]], J$1, Table1[[ActualResult]:[ActualResult]], "OT") + SUMIFS(Table1[[HomeWon]:[HomeWon]], Table1[[GameIsOver]:[GameIsOver]],1,Table1[[AwayTeam]:[AwayTeam]],$A24, Table1[[HomeTeam]:[HomeTeam]], J$1, Table1[[ActualResult]:[ActualResult]], "SO") + SUMIFS(Table1[[AwayWon]:[AwayWon]], Table1[[GameIsOver]:[GameIsOver]],1,Table1[[HomeTeam]:[HomeTeam]],$A24, Table1[[AwayTeam]:[AwayTeam]], J$1, Table1[[ActualResult]:[ActualResult]], "SO"),0))</f>
        <v>0-0-0</v>
      </c>
      <c r="K24" s="43" t="str">
        <f>_xlfn.CONCAT(TEXT(SUMIFS(Table1[[AwayWon]:[AwayWon]], Table1[[GameIsOver]:[GameIsOver]],1,Table1[[AwayTeam]:[AwayTeam]],$A24, Table1[[HomeTeam]:[HomeTeam]], K$1) + SUMIFS(Table1[[HomeWon]:[HomeWon]], Table1[[GameIsOver]:[GameIsOver]],1,Table1[[HomeTeam]:[HomeTeam]],$A24, Table1[[AwayTeam]:[AwayTeam]], K$1),0), "-", TEXT(SUMIFS(Table1[[HomeWon]:[HomeWon]], Table1[[GameIsOver]:[GameIsOver]],1,Table1[[AwayTeam]:[AwayTeam]],$A24, Table1[[HomeTeam]:[HomeTeam]], K$1, Table1[[ActualResult]:[ActualResult]], "REG") + SUMIFS(Table1[[AwayWon]:[AwayWon]], Table1[[GameIsOver]:[GameIsOver]],1,Table1[[HomeTeam]:[HomeTeam]],$A24, Table1[[AwayTeam]:[AwayTeam]], K$1, Table1[[ActualResult]:[ActualResult]], "REG"),0), "-", TEXT(SUMIFS(Table1[[HomeWon]:[HomeWon]], Table1[[GameIsOver]:[GameIsOver]],1,Table1[[AwayTeam]:[AwayTeam]],$A24, Table1[[HomeTeam]:[HomeTeam]], K$1, Table1[[ActualResult]:[ActualResult]], "OT") + SUMIFS(Table1[[AwayWon]:[AwayWon]], Table1[[GameIsOver]:[GameIsOver]],1,Table1[[HomeTeam]:[HomeTeam]],$A24, Table1[[AwayTeam]:[AwayTeam]], K$1, Table1[[ActualResult]:[ActualResult]], "OT") + SUMIFS(Table1[[HomeWon]:[HomeWon]], Table1[[GameIsOver]:[GameIsOver]],1,Table1[[AwayTeam]:[AwayTeam]],$A24, Table1[[HomeTeam]:[HomeTeam]], K$1, Table1[[ActualResult]:[ActualResult]], "SO") + SUMIFS(Table1[[AwayWon]:[AwayWon]], Table1[[GameIsOver]:[GameIsOver]],1,Table1[[HomeTeam]:[HomeTeam]],$A24, Table1[[AwayTeam]:[AwayTeam]], K$1, Table1[[ActualResult]:[ActualResult]], "SO"),0))</f>
        <v>0-0-0</v>
      </c>
      <c r="L24" s="43" t="str">
        <f>_xlfn.CONCAT(TEXT(SUMIFS(Table1[[AwayWon]:[AwayWon]], Table1[[GameIsOver]:[GameIsOver]],1,Table1[[AwayTeam]:[AwayTeam]],$A24, Table1[[HomeTeam]:[HomeTeam]], L$1) + SUMIFS(Table1[[HomeWon]:[HomeWon]], Table1[[GameIsOver]:[GameIsOver]],1,Table1[[HomeTeam]:[HomeTeam]],$A24, Table1[[AwayTeam]:[AwayTeam]], L$1),0), "-", TEXT(SUMIFS(Table1[[HomeWon]:[HomeWon]], Table1[[GameIsOver]:[GameIsOver]],1,Table1[[AwayTeam]:[AwayTeam]],$A24, Table1[[HomeTeam]:[HomeTeam]], L$1, Table1[[ActualResult]:[ActualResult]], "REG") + SUMIFS(Table1[[AwayWon]:[AwayWon]], Table1[[GameIsOver]:[GameIsOver]],1,Table1[[HomeTeam]:[HomeTeam]],$A24, Table1[[AwayTeam]:[AwayTeam]], L$1, Table1[[ActualResult]:[ActualResult]], "REG"),0), "-", TEXT(SUMIFS(Table1[[HomeWon]:[HomeWon]], Table1[[GameIsOver]:[GameIsOver]],1,Table1[[AwayTeam]:[AwayTeam]],$A24, Table1[[HomeTeam]:[HomeTeam]], L$1, Table1[[ActualResult]:[ActualResult]], "OT") + SUMIFS(Table1[[AwayWon]:[AwayWon]], Table1[[GameIsOver]:[GameIsOver]],1,Table1[[HomeTeam]:[HomeTeam]],$A24, Table1[[AwayTeam]:[AwayTeam]], L$1, Table1[[ActualResult]:[ActualResult]], "OT") + SUMIFS(Table1[[HomeWon]:[HomeWon]], Table1[[GameIsOver]:[GameIsOver]],1,Table1[[AwayTeam]:[AwayTeam]],$A24, Table1[[HomeTeam]:[HomeTeam]], L$1, Table1[[ActualResult]:[ActualResult]], "SO") + SUMIFS(Table1[[AwayWon]:[AwayWon]], Table1[[GameIsOver]:[GameIsOver]],1,Table1[[HomeTeam]:[HomeTeam]],$A24, Table1[[AwayTeam]:[AwayTeam]], L$1, Table1[[ActualResult]:[ActualResult]], "SO"),0))</f>
        <v>0-0-0</v>
      </c>
      <c r="M24" s="43" t="str">
        <f>_xlfn.CONCAT(TEXT(SUMIFS(Table1[[AwayWon]:[AwayWon]], Table1[[GameIsOver]:[GameIsOver]],1,Table1[[AwayTeam]:[AwayTeam]],$A24, Table1[[HomeTeam]:[HomeTeam]], M$1) + SUMIFS(Table1[[HomeWon]:[HomeWon]], Table1[[GameIsOver]:[GameIsOver]],1,Table1[[HomeTeam]:[HomeTeam]],$A24, Table1[[AwayTeam]:[AwayTeam]], M$1),0), "-", TEXT(SUMIFS(Table1[[HomeWon]:[HomeWon]], Table1[[GameIsOver]:[GameIsOver]],1,Table1[[AwayTeam]:[AwayTeam]],$A24, Table1[[HomeTeam]:[HomeTeam]], M$1, Table1[[ActualResult]:[ActualResult]], "REG") + SUMIFS(Table1[[AwayWon]:[AwayWon]], Table1[[GameIsOver]:[GameIsOver]],1,Table1[[HomeTeam]:[HomeTeam]],$A24, Table1[[AwayTeam]:[AwayTeam]], M$1, Table1[[ActualResult]:[ActualResult]], "REG"),0), "-", TEXT(SUMIFS(Table1[[HomeWon]:[HomeWon]], Table1[[GameIsOver]:[GameIsOver]],1,Table1[[AwayTeam]:[AwayTeam]],$A24, Table1[[HomeTeam]:[HomeTeam]], M$1, Table1[[ActualResult]:[ActualResult]], "OT") + SUMIFS(Table1[[AwayWon]:[AwayWon]], Table1[[GameIsOver]:[GameIsOver]],1,Table1[[HomeTeam]:[HomeTeam]],$A24, Table1[[AwayTeam]:[AwayTeam]], M$1, Table1[[ActualResult]:[ActualResult]], "OT") + SUMIFS(Table1[[HomeWon]:[HomeWon]], Table1[[GameIsOver]:[GameIsOver]],1,Table1[[AwayTeam]:[AwayTeam]],$A24, Table1[[HomeTeam]:[HomeTeam]], M$1, Table1[[ActualResult]:[ActualResult]], "SO") + SUMIFS(Table1[[AwayWon]:[AwayWon]], Table1[[GameIsOver]:[GameIsOver]],1,Table1[[HomeTeam]:[HomeTeam]],$A24, Table1[[AwayTeam]:[AwayTeam]], M$1, Table1[[ActualResult]:[ActualResult]], "SO"),0))</f>
        <v>0-0-0</v>
      </c>
      <c r="N24" s="43" t="str">
        <f>_xlfn.CONCAT(TEXT(SUMIFS(Table1[[AwayWon]:[AwayWon]], Table1[[GameIsOver]:[GameIsOver]],1,Table1[[AwayTeam]:[AwayTeam]],$A24, Table1[[HomeTeam]:[HomeTeam]], N$1) + SUMIFS(Table1[[HomeWon]:[HomeWon]], Table1[[GameIsOver]:[GameIsOver]],1,Table1[[HomeTeam]:[HomeTeam]],$A24, Table1[[AwayTeam]:[AwayTeam]], N$1),0), "-", TEXT(SUMIFS(Table1[[HomeWon]:[HomeWon]], Table1[[GameIsOver]:[GameIsOver]],1,Table1[[AwayTeam]:[AwayTeam]],$A24, Table1[[HomeTeam]:[HomeTeam]], N$1, Table1[[ActualResult]:[ActualResult]], "REG") + SUMIFS(Table1[[AwayWon]:[AwayWon]], Table1[[GameIsOver]:[GameIsOver]],1,Table1[[HomeTeam]:[HomeTeam]],$A24, Table1[[AwayTeam]:[AwayTeam]], N$1, Table1[[ActualResult]:[ActualResult]], "REG"),0), "-", TEXT(SUMIFS(Table1[[HomeWon]:[HomeWon]], Table1[[GameIsOver]:[GameIsOver]],1,Table1[[AwayTeam]:[AwayTeam]],$A24, Table1[[HomeTeam]:[HomeTeam]], N$1, Table1[[ActualResult]:[ActualResult]], "OT") + SUMIFS(Table1[[AwayWon]:[AwayWon]], Table1[[GameIsOver]:[GameIsOver]],1,Table1[[HomeTeam]:[HomeTeam]],$A24, Table1[[AwayTeam]:[AwayTeam]], N$1, Table1[[ActualResult]:[ActualResult]], "OT") + SUMIFS(Table1[[HomeWon]:[HomeWon]], Table1[[GameIsOver]:[GameIsOver]],1,Table1[[AwayTeam]:[AwayTeam]],$A24, Table1[[HomeTeam]:[HomeTeam]], N$1, Table1[[ActualResult]:[ActualResult]], "SO") + SUMIFS(Table1[[AwayWon]:[AwayWon]], Table1[[GameIsOver]:[GameIsOver]],1,Table1[[HomeTeam]:[HomeTeam]],$A24, Table1[[AwayTeam]:[AwayTeam]], N$1, Table1[[ActualResult]:[ActualResult]], "SO"),0))</f>
        <v>0-0-0</v>
      </c>
      <c r="O24" s="43" t="str">
        <f>_xlfn.CONCAT(TEXT(SUMIFS(Table1[[AwayWon]:[AwayWon]], Table1[[GameIsOver]:[GameIsOver]],1,Table1[[AwayTeam]:[AwayTeam]],$A24, Table1[[HomeTeam]:[HomeTeam]], O$1) + SUMIFS(Table1[[HomeWon]:[HomeWon]], Table1[[GameIsOver]:[GameIsOver]],1,Table1[[HomeTeam]:[HomeTeam]],$A24, Table1[[AwayTeam]:[AwayTeam]], O$1),0), "-", TEXT(SUMIFS(Table1[[HomeWon]:[HomeWon]], Table1[[GameIsOver]:[GameIsOver]],1,Table1[[AwayTeam]:[AwayTeam]],$A24, Table1[[HomeTeam]:[HomeTeam]], O$1, Table1[[ActualResult]:[ActualResult]], "REG") + SUMIFS(Table1[[AwayWon]:[AwayWon]], Table1[[GameIsOver]:[GameIsOver]],1,Table1[[HomeTeam]:[HomeTeam]],$A24, Table1[[AwayTeam]:[AwayTeam]], O$1, Table1[[ActualResult]:[ActualResult]], "REG"),0), "-", TEXT(SUMIFS(Table1[[HomeWon]:[HomeWon]], Table1[[GameIsOver]:[GameIsOver]],1,Table1[[AwayTeam]:[AwayTeam]],$A24, Table1[[HomeTeam]:[HomeTeam]], O$1, Table1[[ActualResult]:[ActualResult]], "OT") + SUMIFS(Table1[[AwayWon]:[AwayWon]], Table1[[GameIsOver]:[GameIsOver]],1,Table1[[HomeTeam]:[HomeTeam]],$A24, Table1[[AwayTeam]:[AwayTeam]], O$1, Table1[[ActualResult]:[ActualResult]], "OT") + SUMIFS(Table1[[HomeWon]:[HomeWon]], Table1[[GameIsOver]:[GameIsOver]],1,Table1[[AwayTeam]:[AwayTeam]],$A24, Table1[[HomeTeam]:[HomeTeam]], O$1, Table1[[ActualResult]:[ActualResult]], "SO") + SUMIFS(Table1[[AwayWon]:[AwayWon]], Table1[[GameIsOver]:[GameIsOver]],1,Table1[[HomeTeam]:[HomeTeam]],$A24, Table1[[AwayTeam]:[AwayTeam]], O$1, Table1[[ActualResult]:[ActualResult]], "SO"),0))</f>
        <v>0-0-0</v>
      </c>
      <c r="P24" s="43" t="str">
        <f>_xlfn.CONCAT(TEXT(SUMIFS(Table1[[AwayWon]:[AwayWon]], Table1[[GameIsOver]:[GameIsOver]],1,Table1[[AwayTeam]:[AwayTeam]],$A24, Table1[[HomeTeam]:[HomeTeam]], P$1) + SUMIFS(Table1[[HomeWon]:[HomeWon]], Table1[[GameIsOver]:[GameIsOver]],1,Table1[[HomeTeam]:[HomeTeam]],$A24, Table1[[AwayTeam]:[AwayTeam]], P$1),0), "-", TEXT(SUMIFS(Table1[[HomeWon]:[HomeWon]], Table1[[GameIsOver]:[GameIsOver]],1,Table1[[AwayTeam]:[AwayTeam]],$A24, Table1[[HomeTeam]:[HomeTeam]], P$1, Table1[[ActualResult]:[ActualResult]], "REG") + SUMIFS(Table1[[AwayWon]:[AwayWon]], Table1[[GameIsOver]:[GameIsOver]],1,Table1[[HomeTeam]:[HomeTeam]],$A24, Table1[[AwayTeam]:[AwayTeam]], P$1, Table1[[ActualResult]:[ActualResult]], "REG"),0), "-", TEXT(SUMIFS(Table1[[HomeWon]:[HomeWon]], Table1[[GameIsOver]:[GameIsOver]],1,Table1[[AwayTeam]:[AwayTeam]],$A24, Table1[[HomeTeam]:[HomeTeam]], P$1, Table1[[ActualResult]:[ActualResult]], "OT") + SUMIFS(Table1[[AwayWon]:[AwayWon]], Table1[[GameIsOver]:[GameIsOver]],1,Table1[[HomeTeam]:[HomeTeam]],$A24, Table1[[AwayTeam]:[AwayTeam]], P$1, Table1[[ActualResult]:[ActualResult]], "OT") + SUMIFS(Table1[[HomeWon]:[HomeWon]], Table1[[GameIsOver]:[GameIsOver]],1,Table1[[AwayTeam]:[AwayTeam]],$A24, Table1[[HomeTeam]:[HomeTeam]], P$1, Table1[[ActualResult]:[ActualResult]], "SO") + SUMIFS(Table1[[AwayWon]:[AwayWon]], Table1[[GameIsOver]:[GameIsOver]],1,Table1[[HomeTeam]:[HomeTeam]],$A24, Table1[[AwayTeam]:[AwayTeam]], P$1, Table1[[ActualResult]:[ActualResult]], "SO"),0))</f>
        <v>0-0-0</v>
      </c>
      <c r="Q24" s="45" t="str">
        <f>_xlfn.CONCAT(TEXT(SUMIFS(Table1[[AwayWon]:[AwayWon]], Table1[[GameIsOver]:[GameIsOver]],1,Table1[[AwayTeam]:[AwayTeam]],$A24, Table1[[HomeTeam]:[HomeTeam]], Q$1) + SUMIFS(Table1[[HomeWon]:[HomeWon]], Table1[[GameIsOver]:[GameIsOver]],1,Table1[[HomeTeam]:[HomeTeam]],$A24, Table1[[AwayTeam]:[AwayTeam]], Q$1),0), "-", TEXT(SUMIFS(Table1[[HomeWon]:[HomeWon]], Table1[[GameIsOver]:[GameIsOver]],1,Table1[[AwayTeam]:[AwayTeam]],$A24, Table1[[HomeTeam]:[HomeTeam]], Q$1, Table1[[ActualResult]:[ActualResult]], "REG") + SUMIFS(Table1[[AwayWon]:[AwayWon]], Table1[[GameIsOver]:[GameIsOver]],1,Table1[[HomeTeam]:[HomeTeam]],$A24, Table1[[AwayTeam]:[AwayTeam]], Q$1, Table1[[ActualResult]:[ActualResult]], "REG"),0), "-", TEXT(SUMIFS(Table1[[HomeWon]:[HomeWon]], Table1[[GameIsOver]:[GameIsOver]],1,Table1[[AwayTeam]:[AwayTeam]],$A24, Table1[[HomeTeam]:[HomeTeam]], Q$1, Table1[[ActualResult]:[ActualResult]], "OT") + SUMIFS(Table1[[AwayWon]:[AwayWon]], Table1[[GameIsOver]:[GameIsOver]],1,Table1[[HomeTeam]:[HomeTeam]],$A24, Table1[[AwayTeam]:[AwayTeam]], Q$1, Table1[[ActualResult]:[ActualResult]], "OT") + SUMIFS(Table1[[HomeWon]:[HomeWon]], Table1[[GameIsOver]:[GameIsOver]],1,Table1[[AwayTeam]:[AwayTeam]],$A24, Table1[[HomeTeam]:[HomeTeam]], Q$1, Table1[[ActualResult]:[ActualResult]], "SO") + SUMIFS(Table1[[AwayWon]:[AwayWon]], Table1[[GameIsOver]:[GameIsOver]],1,Table1[[HomeTeam]:[HomeTeam]],$A24, Table1[[AwayTeam]:[AwayTeam]], Q$1, Table1[[ActualResult]:[ActualResult]], "SO"),0))</f>
        <v>0-0-0</v>
      </c>
      <c r="R24" s="43" t="str">
        <f>_xlfn.CONCAT(TEXT(SUMIFS(Table1[[AwayWon]:[AwayWon]], Table1[[GameIsOver]:[GameIsOver]],1,Table1[[AwayTeam]:[AwayTeam]],$A24, Table1[[HomeTeam]:[HomeTeam]], R$1) + SUMIFS(Table1[[HomeWon]:[HomeWon]], Table1[[GameIsOver]:[GameIsOver]],1,Table1[[HomeTeam]:[HomeTeam]],$A24, Table1[[AwayTeam]:[AwayTeam]], R$1),0), "-", TEXT(SUMIFS(Table1[[HomeWon]:[HomeWon]], Table1[[GameIsOver]:[GameIsOver]],1,Table1[[AwayTeam]:[AwayTeam]],$A24, Table1[[HomeTeam]:[HomeTeam]], R$1, Table1[[ActualResult]:[ActualResult]], "REG") + SUMIFS(Table1[[AwayWon]:[AwayWon]], Table1[[GameIsOver]:[GameIsOver]],1,Table1[[HomeTeam]:[HomeTeam]],$A24, Table1[[AwayTeam]:[AwayTeam]], R$1, Table1[[ActualResult]:[ActualResult]], "REG"),0), "-", TEXT(SUMIFS(Table1[[HomeWon]:[HomeWon]], Table1[[GameIsOver]:[GameIsOver]],1,Table1[[AwayTeam]:[AwayTeam]],$A24, Table1[[HomeTeam]:[HomeTeam]], R$1, Table1[[ActualResult]:[ActualResult]], "OT") + SUMIFS(Table1[[AwayWon]:[AwayWon]], Table1[[GameIsOver]:[GameIsOver]],1,Table1[[HomeTeam]:[HomeTeam]],$A24, Table1[[AwayTeam]:[AwayTeam]], R$1, Table1[[ActualResult]:[ActualResult]], "OT") + SUMIFS(Table1[[HomeWon]:[HomeWon]], Table1[[GameIsOver]:[GameIsOver]],1,Table1[[AwayTeam]:[AwayTeam]],$A24, Table1[[HomeTeam]:[HomeTeam]], R$1, Table1[[ActualResult]:[ActualResult]], "SO") + SUMIFS(Table1[[AwayWon]:[AwayWon]], Table1[[GameIsOver]:[GameIsOver]],1,Table1[[HomeTeam]:[HomeTeam]],$A24, Table1[[AwayTeam]:[AwayTeam]], R$1, Table1[[ActualResult]:[ActualResult]], "SO"),0))</f>
        <v>0-0-0</v>
      </c>
      <c r="S24" s="43" t="str">
        <f>_xlfn.CONCAT(TEXT(SUMIFS(Table1[[AwayWon]:[AwayWon]], Table1[[GameIsOver]:[GameIsOver]],1,Table1[[AwayTeam]:[AwayTeam]],$A24, Table1[[HomeTeam]:[HomeTeam]], S$1) + SUMIFS(Table1[[HomeWon]:[HomeWon]], Table1[[GameIsOver]:[GameIsOver]],1,Table1[[HomeTeam]:[HomeTeam]],$A24, Table1[[AwayTeam]:[AwayTeam]], S$1),0), "-", TEXT(SUMIFS(Table1[[HomeWon]:[HomeWon]], Table1[[GameIsOver]:[GameIsOver]],1,Table1[[AwayTeam]:[AwayTeam]],$A24, Table1[[HomeTeam]:[HomeTeam]], S$1, Table1[[ActualResult]:[ActualResult]], "REG") + SUMIFS(Table1[[AwayWon]:[AwayWon]], Table1[[GameIsOver]:[GameIsOver]],1,Table1[[HomeTeam]:[HomeTeam]],$A24, Table1[[AwayTeam]:[AwayTeam]], S$1, Table1[[ActualResult]:[ActualResult]], "REG"),0), "-", TEXT(SUMIFS(Table1[[HomeWon]:[HomeWon]], Table1[[GameIsOver]:[GameIsOver]],1,Table1[[AwayTeam]:[AwayTeam]],$A24, Table1[[HomeTeam]:[HomeTeam]], S$1, Table1[[ActualResult]:[ActualResult]], "OT") + SUMIFS(Table1[[AwayWon]:[AwayWon]], Table1[[GameIsOver]:[GameIsOver]],1,Table1[[HomeTeam]:[HomeTeam]],$A24, Table1[[AwayTeam]:[AwayTeam]], S$1, Table1[[ActualResult]:[ActualResult]], "OT") + SUMIFS(Table1[[HomeWon]:[HomeWon]], Table1[[GameIsOver]:[GameIsOver]],1,Table1[[AwayTeam]:[AwayTeam]],$A24, Table1[[HomeTeam]:[HomeTeam]], S$1, Table1[[ActualResult]:[ActualResult]], "SO") + SUMIFS(Table1[[AwayWon]:[AwayWon]], Table1[[GameIsOver]:[GameIsOver]],1,Table1[[HomeTeam]:[HomeTeam]],$A24, Table1[[AwayTeam]:[AwayTeam]], S$1, Table1[[ActualResult]:[ActualResult]], "SO"),0))</f>
        <v>0-0-0</v>
      </c>
      <c r="T24" s="43" t="str">
        <f>_xlfn.CONCAT(TEXT(SUMIFS(Table1[[AwayWon]:[AwayWon]], Table1[[GameIsOver]:[GameIsOver]],1,Table1[[AwayTeam]:[AwayTeam]],$A24, Table1[[HomeTeam]:[HomeTeam]], T$1) + SUMIFS(Table1[[HomeWon]:[HomeWon]], Table1[[GameIsOver]:[GameIsOver]],1,Table1[[HomeTeam]:[HomeTeam]],$A24, Table1[[AwayTeam]:[AwayTeam]], T$1),0), "-", TEXT(SUMIFS(Table1[[HomeWon]:[HomeWon]], Table1[[GameIsOver]:[GameIsOver]],1,Table1[[AwayTeam]:[AwayTeam]],$A24, Table1[[HomeTeam]:[HomeTeam]], T$1, Table1[[ActualResult]:[ActualResult]], "REG") + SUMIFS(Table1[[AwayWon]:[AwayWon]], Table1[[GameIsOver]:[GameIsOver]],1,Table1[[HomeTeam]:[HomeTeam]],$A24, Table1[[AwayTeam]:[AwayTeam]], T$1, Table1[[ActualResult]:[ActualResult]], "REG"),0), "-", TEXT(SUMIFS(Table1[[HomeWon]:[HomeWon]], Table1[[GameIsOver]:[GameIsOver]],1,Table1[[AwayTeam]:[AwayTeam]],$A24, Table1[[HomeTeam]:[HomeTeam]], T$1, Table1[[ActualResult]:[ActualResult]], "OT") + SUMIFS(Table1[[AwayWon]:[AwayWon]], Table1[[GameIsOver]:[GameIsOver]],1,Table1[[HomeTeam]:[HomeTeam]],$A24, Table1[[AwayTeam]:[AwayTeam]], T$1, Table1[[ActualResult]:[ActualResult]], "OT") + SUMIFS(Table1[[HomeWon]:[HomeWon]], Table1[[GameIsOver]:[GameIsOver]],1,Table1[[AwayTeam]:[AwayTeam]],$A24, Table1[[HomeTeam]:[HomeTeam]], T$1, Table1[[ActualResult]:[ActualResult]], "SO") + SUMIFS(Table1[[AwayWon]:[AwayWon]], Table1[[GameIsOver]:[GameIsOver]],1,Table1[[HomeTeam]:[HomeTeam]],$A24, Table1[[AwayTeam]:[AwayTeam]], T$1, Table1[[ActualResult]:[ActualResult]], "SO"),0))</f>
        <v>0-0-0</v>
      </c>
      <c r="U24" s="43" t="str">
        <f>_xlfn.CONCAT(TEXT(SUMIFS(Table1[[AwayWon]:[AwayWon]], Table1[[GameIsOver]:[GameIsOver]],1,Table1[[AwayTeam]:[AwayTeam]],$A24, Table1[[HomeTeam]:[HomeTeam]], U$1) + SUMIFS(Table1[[HomeWon]:[HomeWon]], Table1[[GameIsOver]:[GameIsOver]],1,Table1[[HomeTeam]:[HomeTeam]],$A24, Table1[[AwayTeam]:[AwayTeam]], U$1),0), "-", TEXT(SUMIFS(Table1[[HomeWon]:[HomeWon]], Table1[[GameIsOver]:[GameIsOver]],1,Table1[[AwayTeam]:[AwayTeam]],$A24, Table1[[HomeTeam]:[HomeTeam]], U$1, Table1[[ActualResult]:[ActualResult]], "REG") + SUMIFS(Table1[[AwayWon]:[AwayWon]], Table1[[GameIsOver]:[GameIsOver]],1,Table1[[HomeTeam]:[HomeTeam]],$A24, Table1[[AwayTeam]:[AwayTeam]], U$1, Table1[[ActualResult]:[ActualResult]], "REG"),0), "-", TEXT(SUMIFS(Table1[[HomeWon]:[HomeWon]], Table1[[GameIsOver]:[GameIsOver]],1,Table1[[AwayTeam]:[AwayTeam]],$A24, Table1[[HomeTeam]:[HomeTeam]], U$1, Table1[[ActualResult]:[ActualResult]], "OT") + SUMIFS(Table1[[AwayWon]:[AwayWon]], Table1[[GameIsOver]:[GameIsOver]],1,Table1[[HomeTeam]:[HomeTeam]],$A24, Table1[[AwayTeam]:[AwayTeam]], U$1, Table1[[ActualResult]:[ActualResult]], "OT") + SUMIFS(Table1[[HomeWon]:[HomeWon]], Table1[[GameIsOver]:[GameIsOver]],1,Table1[[AwayTeam]:[AwayTeam]],$A24, Table1[[HomeTeam]:[HomeTeam]], U$1, Table1[[ActualResult]:[ActualResult]], "SO") + SUMIFS(Table1[[AwayWon]:[AwayWon]], Table1[[GameIsOver]:[GameIsOver]],1,Table1[[HomeTeam]:[HomeTeam]],$A24, Table1[[AwayTeam]:[AwayTeam]], U$1, Table1[[ActualResult]:[ActualResult]], "SO"),0))</f>
        <v>0-0-0</v>
      </c>
      <c r="V24" s="43" t="str">
        <f>_xlfn.CONCAT(TEXT(SUMIFS(Table1[[AwayWon]:[AwayWon]], Table1[[GameIsOver]:[GameIsOver]],1,Table1[[AwayTeam]:[AwayTeam]],$A24, Table1[[HomeTeam]:[HomeTeam]], V$1) + SUMIFS(Table1[[HomeWon]:[HomeWon]], Table1[[GameIsOver]:[GameIsOver]],1,Table1[[HomeTeam]:[HomeTeam]],$A24, Table1[[AwayTeam]:[AwayTeam]], V$1),0), "-", TEXT(SUMIFS(Table1[[HomeWon]:[HomeWon]], Table1[[GameIsOver]:[GameIsOver]],1,Table1[[AwayTeam]:[AwayTeam]],$A24, Table1[[HomeTeam]:[HomeTeam]], V$1, Table1[[ActualResult]:[ActualResult]], "REG") + SUMIFS(Table1[[AwayWon]:[AwayWon]], Table1[[GameIsOver]:[GameIsOver]],1,Table1[[HomeTeam]:[HomeTeam]],$A24, Table1[[AwayTeam]:[AwayTeam]], V$1, Table1[[ActualResult]:[ActualResult]], "REG"),0), "-", TEXT(SUMIFS(Table1[[HomeWon]:[HomeWon]], Table1[[GameIsOver]:[GameIsOver]],1,Table1[[AwayTeam]:[AwayTeam]],$A24, Table1[[HomeTeam]:[HomeTeam]], V$1, Table1[[ActualResult]:[ActualResult]], "OT") + SUMIFS(Table1[[AwayWon]:[AwayWon]], Table1[[GameIsOver]:[GameIsOver]],1,Table1[[HomeTeam]:[HomeTeam]],$A24, Table1[[AwayTeam]:[AwayTeam]], V$1, Table1[[ActualResult]:[ActualResult]], "OT") + SUMIFS(Table1[[HomeWon]:[HomeWon]], Table1[[GameIsOver]:[GameIsOver]],1,Table1[[AwayTeam]:[AwayTeam]],$A24, Table1[[HomeTeam]:[HomeTeam]], V$1, Table1[[ActualResult]:[ActualResult]], "SO") + SUMIFS(Table1[[AwayWon]:[AwayWon]], Table1[[GameIsOver]:[GameIsOver]],1,Table1[[HomeTeam]:[HomeTeam]],$A24, Table1[[AwayTeam]:[AwayTeam]], V$1, Table1[[ActualResult]:[ActualResult]], "SO"),0))</f>
        <v>0-0-0</v>
      </c>
      <c r="W24" s="43" t="str">
        <f>_xlfn.CONCAT(TEXT(SUMIFS(Table1[[AwayWon]:[AwayWon]], Table1[[GameIsOver]:[GameIsOver]],1,Table1[[AwayTeam]:[AwayTeam]],$A24, Table1[[HomeTeam]:[HomeTeam]], W$1) + SUMIFS(Table1[[HomeWon]:[HomeWon]], Table1[[GameIsOver]:[GameIsOver]],1,Table1[[HomeTeam]:[HomeTeam]],$A24, Table1[[AwayTeam]:[AwayTeam]], W$1),0), "-", TEXT(SUMIFS(Table1[[HomeWon]:[HomeWon]], Table1[[GameIsOver]:[GameIsOver]],1,Table1[[AwayTeam]:[AwayTeam]],$A24, Table1[[HomeTeam]:[HomeTeam]], W$1, Table1[[ActualResult]:[ActualResult]], "REG") + SUMIFS(Table1[[AwayWon]:[AwayWon]], Table1[[GameIsOver]:[GameIsOver]],1,Table1[[HomeTeam]:[HomeTeam]],$A24, Table1[[AwayTeam]:[AwayTeam]], W$1, Table1[[ActualResult]:[ActualResult]], "REG"),0), "-", TEXT(SUMIFS(Table1[[HomeWon]:[HomeWon]], Table1[[GameIsOver]:[GameIsOver]],1,Table1[[AwayTeam]:[AwayTeam]],$A24, Table1[[HomeTeam]:[HomeTeam]], W$1, Table1[[ActualResult]:[ActualResult]], "OT") + SUMIFS(Table1[[AwayWon]:[AwayWon]], Table1[[GameIsOver]:[GameIsOver]],1,Table1[[HomeTeam]:[HomeTeam]],$A24, Table1[[AwayTeam]:[AwayTeam]], W$1, Table1[[ActualResult]:[ActualResult]], "OT") + SUMIFS(Table1[[HomeWon]:[HomeWon]], Table1[[GameIsOver]:[GameIsOver]],1,Table1[[AwayTeam]:[AwayTeam]],$A24, Table1[[HomeTeam]:[HomeTeam]], W$1, Table1[[ActualResult]:[ActualResult]], "SO") + SUMIFS(Table1[[AwayWon]:[AwayWon]], Table1[[GameIsOver]:[GameIsOver]],1,Table1[[HomeTeam]:[HomeTeam]],$A24, Table1[[AwayTeam]:[AwayTeam]], W$1, Table1[[ActualResult]:[ActualResult]], "SO"),0))</f>
        <v>0-0-1</v>
      </c>
      <c r="X24" s="43" t="str">
        <f>_xlfn.CONCAT(TEXT(SUMIFS(Table1[[AwayWon]:[AwayWon]], Table1[[GameIsOver]:[GameIsOver]],1,Table1[[AwayTeam]:[AwayTeam]],$A24, Table1[[HomeTeam]:[HomeTeam]], X$1) + SUMIFS(Table1[[HomeWon]:[HomeWon]], Table1[[GameIsOver]:[GameIsOver]],1,Table1[[HomeTeam]:[HomeTeam]],$A24, Table1[[AwayTeam]:[AwayTeam]], X$1),0), "-", TEXT(SUMIFS(Table1[[HomeWon]:[HomeWon]], Table1[[GameIsOver]:[GameIsOver]],1,Table1[[AwayTeam]:[AwayTeam]],$A24, Table1[[HomeTeam]:[HomeTeam]], X$1, Table1[[ActualResult]:[ActualResult]], "REG") + SUMIFS(Table1[[AwayWon]:[AwayWon]], Table1[[GameIsOver]:[GameIsOver]],1,Table1[[HomeTeam]:[HomeTeam]],$A24, Table1[[AwayTeam]:[AwayTeam]], X$1, Table1[[ActualResult]:[ActualResult]], "REG"),0), "-", TEXT(SUMIFS(Table1[[HomeWon]:[HomeWon]], Table1[[GameIsOver]:[GameIsOver]],1,Table1[[AwayTeam]:[AwayTeam]],$A24, Table1[[HomeTeam]:[HomeTeam]], X$1, Table1[[ActualResult]:[ActualResult]], "OT") + SUMIFS(Table1[[AwayWon]:[AwayWon]], Table1[[GameIsOver]:[GameIsOver]],1,Table1[[HomeTeam]:[HomeTeam]],$A24, Table1[[AwayTeam]:[AwayTeam]], X$1, Table1[[ActualResult]:[ActualResult]], "OT") + SUMIFS(Table1[[HomeWon]:[HomeWon]], Table1[[GameIsOver]:[GameIsOver]],1,Table1[[AwayTeam]:[AwayTeam]],$A24, Table1[[HomeTeam]:[HomeTeam]], X$1, Table1[[ActualResult]:[ActualResult]], "SO") + SUMIFS(Table1[[AwayWon]:[AwayWon]], Table1[[GameIsOver]:[GameIsOver]],1,Table1[[HomeTeam]:[HomeTeam]],$A24, Table1[[AwayTeam]:[AwayTeam]], X$1, Table1[[ActualResult]:[ActualResult]], "SO"),0))</f>
        <v>0-0-0</v>
      </c>
      <c r="Y24" s="45" t="str">
        <f>_xlfn.CONCAT(TEXT(SUMIFS(Table1[[AwayWon]:[AwayWon]], Table1[[GameIsOver]:[GameIsOver]],1,Table1[[AwayTeam]:[AwayTeam]],$A24, Table1[[HomeTeam]:[HomeTeam]], Y$1) + SUMIFS(Table1[[HomeWon]:[HomeWon]], Table1[[GameIsOver]:[GameIsOver]],1,Table1[[HomeTeam]:[HomeTeam]],$A24, Table1[[AwayTeam]:[AwayTeam]], Y$1),0), "-", TEXT(SUMIFS(Table1[[HomeWon]:[HomeWon]], Table1[[GameIsOver]:[GameIsOver]],1,Table1[[AwayTeam]:[AwayTeam]],$A24, Table1[[HomeTeam]:[HomeTeam]], Y$1, Table1[[ActualResult]:[ActualResult]], "REG") + SUMIFS(Table1[[AwayWon]:[AwayWon]], Table1[[GameIsOver]:[GameIsOver]],1,Table1[[HomeTeam]:[HomeTeam]],$A24, Table1[[AwayTeam]:[AwayTeam]], Y$1, Table1[[ActualResult]:[ActualResult]], "REG"),0), "-", TEXT(SUMIFS(Table1[[HomeWon]:[HomeWon]], Table1[[GameIsOver]:[GameIsOver]],1,Table1[[AwayTeam]:[AwayTeam]],$A24, Table1[[HomeTeam]:[HomeTeam]], Y$1, Table1[[ActualResult]:[ActualResult]], "OT") + SUMIFS(Table1[[AwayWon]:[AwayWon]], Table1[[GameIsOver]:[GameIsOver]],1,Table1[[HomeTeam]:[HomeTeam]],$A24, Table1[[AwayTeam]:[AwayTeam]], Y$1, Table1[[ActualResult]:[ActualResult]], "OT") + SUMIFS(Table1[[HomeWon]:[HomeWon]], Table1[[GameIsOver]:[GameIsOver]],1,Table1[[AwayTeam]:[AwayTeam]],$A24, Table1[[HomeTeam]:[HomeTeam]], Y$1, Table1[[ActualResult]:[ActualResult]], "SO") + SUMIFS(Table1[[AwayWon]:[AwayWon]], Table1[[GameIsOver]:[GameIsOver]],1,Table1[[HomeTeam]:[HomeTeam]],$A24, Table1[[AwayTeam]:[AwayTeam]], Y$1, Table1[[ActualResult]:[ActualResult]], "SO"),0))</f>
        <v>0-0-0</v>
      </c>
      <c r="Z24" s="43" t="str">
        <f>_xlfn.CONCAT(TEXT(SUMIFS(Table1[[AwayWon]:[AwayWon]], Table1[[GameIsOver]:[GameIsOver]],1,Table1[[AwayTeam]:[AwayTeam]],$A24, Table1[[HomeTeam]:[HomeTeam]], Z$1) + SUMIFS(Table1[[HomeWon]:[HomeWon]], Table1[[GameIsOver]:[GameIsOver]],1,Table1[[HomeTeam]:[HomeTeam]],$A24, Table1[[AwayTeam]:[AwayTeam]], Z$1),0), "-", TEXT(SUMIFS(Table1[[HomeWon]:[HomeWon]], Table1[[GameIsOver]:[GameIsOver]],1,Table1[[AwayTeam]:[AwayTeam]],$A24, Table1[[HomeTeam]:[HomeTeam]], Z$1, Table1[[ActualResult]:[ActualResult]], "REG") + SUMIFS(Table1[[AwayWon]:[AwayWon]], Table1[[GameIsOver]:[GameIsOver]],1,Table1[[HomeTeam]:[HomeTeam]],$A24, Table1[[AwayTeam]:[AwayTeam]], Z$1, Table1[[ActualResult]:[ActualResult]], "REG"),0), "-", TEXT(SUMIFS(Table1[[HomeWon]:[HomeWon]], Table1[[GameIsOver]:[GameIsOver]],1,Table1[[AwayTeam]:[AwayTeam]],$A24, Table1[[HomeTeam]:[HomeTeam]], Z$1, Table1[[ActualResult]:[ActualResult]], "OT") + SUMIFS(Table1[[AwayWon]:[AwayWon]], Table1[[GameIsOver]:[GameIsOver]],1,Table1[[HomeTeam]:[HomeTeam]],$A24, Table1[[AwayTeam]:[AwayTeam]], Z$1, Table1[[ActualResult]:[ActualResult]], "OT") + SUMIFS(Table1[[HomeWon]:[HomeWon]], Table1[[GameIsOver]:[GameIsOver]],1,Table1[[AwayTeam]:[AwayTeam]],$A24, Table1[[HomeTeam]:[HomeTeam]], Z$1, Table1[[ActualResult]:[ActualResult]], "SO") + SUMIFS(Table1[[AwayWon]:[AwayWon]], Table1[[GameIsOver]:[GameIsOver]],1,Table1[[HomeTeam]:[HomeTeam]],$A24, Table1[[AwayTeam]:[AwayTeam]], Z$1, Table1[[ActualResult]:[ActualResult]], "SO"),0))</f>
        <v>0-0-0</v>
      </c>
      <c r="AA24" s="43" t="str">
        <f>_xlfn.CONCAT(TEXT(SUMIFS(Table1[[AwayWon]:[AwayWon]], Table1[[GameIsOver]:[GameIsOver]],1,Table1[[AwayTeam]:[AwayTeam]],$A24, Table1[[HomeTeam]:[HomeTeam]], AA$1) + SUMIFS(Table1[[HomeWon]:[HomeWon]], Table1[[GameIsOver]:[GameIsOver]],1,Table1[[HomeTeam]:[HomeTeam]],$A24, Table1[[AwayTeam]:[AwayTeam]], AA$1),0), "-", TEXT(SUMIFS(Table1[[HomeWon]:[HomeWon]], Table1[[GameIsOver]:[GameIsOver]],1,Table1[[AwayTeam]:[AwayTeam]],$A24, Table1[[HomeTeam]:[HomeTeam]], AA$1, Table1[[ActualResult]:[ActualResult]], "REG") + SUMIFS(Table1[[AwayWon]:[AwayWon]], Table1[[GameIsOver]:[GameIsOver]],1,Table1[[HomeTeam]:[HomeTeam]],$A24, Table1[[AwayTeam]:[AwayTeam]], AA$1, Table1[[ActualResult]:[ActualResult]], "REG"),0), "-", TEXT(SUMIFS(Table1[[HomeWon]:[HomeWon]], Table1[[GameIsOver]:[GameIsOver]],1,Table1[[AwayTeam]:[AwayTeam]],$A24, Table1[[HomeTeam]:[HomeTeam]], AA$1, Table1[[ActualResult]:[ActualResult]], "OT") + SUMIFS(Table1[[AwayWon]:[AwayWon]], Table1[[GameIsOver]:[GameIsOver]],1,Table1[[HomeTeam]:[HomeTeam]],$A24, Table1[[AwayTeam]:[AwayTeam]], AA$1, Table1[[ActualResult]:[ActualResult]], "OT") + SUMIFS(Table1[[HomeWon]:[HomeWon]], Table1[[GameIsOver]:[GameIsOver]],1,Table1[[AwayTeam]:[AwayTeam]],$A24, Table1[[HomeTeam]:[HomeTeam]], AA$1, Table1[[ActualResult]:[ActualResult]], "SO") + SUMIFS(Table1[[AwayWon]:[AwayWon]], Table1[[GameIsOver]:[GameIsOver]],1,Table1[[HomeTeam]:[HomeTeam]],$A24, Table1[[AwayTeam]:[AwayTeam]], AA$1, Table1[[ActualResult]:[ActualResult]], "SO"),0))</f>
        <v>0-0-0</v>
      </c>
      <c r="AB24" s="43" t="str">
        <f>_xlfn.CONCAT(TEXT(SUMIFS(Table1[[AwayWon]:[AwayWon]], Table1[[GameIsOver]:[GameIsOver]],1,Table1[[AwayTeam]:[AwayTeam]],$A24, Table1[[HomeTeam]:[HomeTeam]], AB$1) + SUMIFS(Table1[[HomeWon]:[HomeWon]], Table1[[GameIsOver]:[GameIsOver]],1,Table1[[HomeTeam]:[HomeTeam]],$A24, Table1[[AwayTeam]:[AwayTeam]], AB$1),0), "-", TEXT(SUMIFS(Table1[[HomeWon]:[HomeWon]], Table1[[GameIsOver]:[GameIsOver]],1,Table1[[AwayTeam]:[AwayTeam]],$A24, Table1[[HomeTeam]:[HomeTeam]], AB$1, Table1[[ActualResult]:[ActualResult]], "REG") + SUMIFS(Table1[[AwayWon]:[AwayWon]], Table1[[GameIsOver]:[GameIsOver]],1,Table1[[HomeTeam]:[HomeTeam]],$A24, Table1[[AwayTeam]:[AwayTeam]], AB$1, Table1[[ActualResult]:[ActualResult]], "REG"),0), "-", TEXT(SUMIFS(Table1[[HomeWon]:[HomeWon]], Table1[[GameIsOver]:[GameIsOver]],1,Table1[[AwayTeam]:[AwayTeam]],$A24, Table1[[HomeTeam]:[HomeTeam]], AB$1, Table1[[ActualResult]:[ActualResult]], "OT") + SUMIFS(Table1[[AwayWon]:[AwayWon]], Table1[[GameIsOver]:[GameIsOver]],1,Table1[[HomeTeam]:[HomeTeam]],$A24, Table1[[AwayTeam]:[AwayTeam]], AB$1, Table1[[ActualResult]:[ActualResult]], "OT") + SUMIFS(Table1[[HomeWon]:[HomeWon]], Table1[[GameIsOver]:[GameIsOver]],1,Table1[[AwayTeam]:[AwayTeam]],$A24, Table1[[HomeTeam]:[HomeTeam]], AB$1, Table1[[ActualResult]:[ActualResult]], "SO") + SUMIFS(Table1[[AwayWon]:[AwayWon]], Table1[[GameIsOver]:[GameIsOver]],1,Table1[[HomeTeam]:[HomeTeam]],$A24, Table1[[AwayTeam]:[AwayTeam]], AB$1, Table1[[ActualResult]:[ActualResult]], "SO"),0))</f>
        <v>0-0-0</v>
      </c>
      <c r="AC24" s="43" t="str">
        <f>_xlfn.CONCAT(TEXT(SUMIFS(Table1[[AwayWon]:[AwayWon]], Table1[[GameIsOver]:[GameIsOver]],1,Table1[[AwayTeam]:[AwayTeam]],$A24, Table1[[HomeTeam]:[HomeTeam]], AC$1) + SUMIFS(Table1[[HomeWon]:[HomeWon]], Table1[[GameIsOver]:[GameIsOver]],1,Table1[[HomeTeam]:[HomeTeam]],$A24, Table1[[AwayTeam]:[AwayTeam]], AC$1),0), "-", TEXT(SUMIFS(Table1[[HomeWon]:[HomeWon]], Table1[[GameIsOver]:[GameIsOver]],1,Table1[[AwayTeam]:[AwayTeam]],$A24, Table1[[HomeTeam]:[HomeTeam]], AC$1, Table1[[ActualResult]:[ActualResult]], "REG") + SUMIFS(Table1[[AwayWon]:[AwayWon]], Table1[[GameIsOver]:[GameIsOver]],1,Table1[[HomeTeam]:[HomeTeam]],$A24, Table1[[AwayTeam]:[AwayTeam]], AC$1, Table1[[ActualResult]:[ActualResult]], "REG"),0), "-", TEXT(SUMIFS(Table1[[HomeWon]:[HomeWon]], Table1[[GameIsOver]:[GameIsOver]],1,Table1[[AwayTeam]:[AwayTeam]],$A24, Table1[[HomeTeam]:[HomeTeam]], AC$1, Table1[[ActualResult]:[ActualResult]], "OT") + SUMIFS(Table1[[AwayWon]:[AwayWon]], Table1[[GameIsOver]:[GameIsOver]],1,Table1[[HomeTeam]:[HomeTeam]],$A24, Table1[[AwayTeam]:[AwayTeam]], AC$1, Table1[[ActualResult]:[ActualResult]], "OT") + SUMIFS(Table1[[HomeWon]:[HomeWon]], Table1[[GameIsOver]:[GameIsOver]],1,Table1[[AwayTeam]:[AwayTeam]],$A24, Table1[[HomeTeam]:[HomeTeam]], AC$1, Table1[[ActualResult]:[ActualResult]], "SO") + SUMIFS(Table1[[AwayWon]:[AwayWon]], Table1[[GameIsOver]:[GameIsOver]],1,Table1[[HomeTeam]:[HomeTeam]],$A24, Table1[[AwayTeam]:[AwayTeam]], AC$1, Table1[[ActualResult]:[ActualResult]], "SO"),0))</f>
        <v>0-0-0</v>
      </c>
      <c r="AD24" s="43" t="str">
        <f>_xlfn.CONCAT(TEXT(SUMIFS(Table1[[AwayWon]:[AwayWon]], Table1[[GameIsOver]:[GameIsOver]],1,Table1[[AwayTeam]:[AwayTeam]],$A24, Table1[[HomeTeam]:[HomeTeam]], AD$1) + SUMIFS(Table1[[HomeWon]:[HomeWon]], Table1[[GameIsOver]:[GameIsOver]],1,Table1[[HomeTeam]:[HomeTeam]],$A24, Table1[[AwayTeam]:[AwayTeam]], AD$1),0), "-", TEXT(SUMIFS(Table1[[HomeWon]:[HomeWon]], Table1[[GameIsOver]:[GameIsOver]],1,Table1[[AwayTeam]:[AwayTeam]],$A24, Table1[[HomeTeam]:[HomeTeam]], AD$1, Table1[[ActualResult]:[ActualResult]], "REG") + SUMIFS(Table1[[AwayWon]:[AwayWon]], Table1[[GameIsOver]:[GameIsOver]],1,Table1[[HomeTeam]:[HomeTeam]],$A24, Table1[[AwayTeam]:[AwayTeam]], AD$1, Table1[[ActualResult]:[ActualResult]], "REG"),0), "-", TEXT(SUMIFS(Table1[[HomeWon]:[HomeWon]], Table1[[GameIsOver]:[GameIsOver]],1,Table1[[AwayTeam]:[AwayTeam]],$A24, Table1[[HomeTeam]:[HomeTeam]], AD$1, Table1[[ActualResult]:[ActualResult]], "OT") + SUMIFS(Table1[[AwayWon]:[AwayWon]], Table1[[GameIsOver]:[GameIsOver]],1,Table1[[HomeTeam]:[HomeTeam]],$A24, Table1[[AwayTeam]:[AwayTeam]], AD$1, Table1[[ActualResult]:[ActualResult]], "OT") + SUMIFS(Table1[[HomeWon]:[HomeWon]], Table1[[GameIsOver]:[GameIsOver]],1,Table1[[AwayTeam]:[AwayTeam]],$A24, Table1[[HomeTeam]:[HomeTeam]], AD$1, Table1[[ActualResult]:[ActualResult]], "SO") + SUMIFS(Table1[[AwayWon]:[AwayWon]], Table1[[GameIsOver]:[GameIsOver]],1,Table1[[HomeTeam]:[HomeTeam]],$A24, Table1[[AwayTeam]:[AwayTeam]], AD$1, Table1[[ActualResult]:[ActualResult]], "SO"),0))</f>
        <v>0-0-0</v>
      </c>
      <c r="AE24" s="43" t="str">
        <f>_xlfn.CONCAT(TEXT(SUMIFS(Table1[[AwayWon]:[AwayWon]], Table1[[GameIsOver]:[GameIsOver]],1,Table1[[AwayTeam]:[AwayTeam]],$A24, Table1[[HomeTeam]:[HomeTeam]], AE$1) + SUMIFS(Table1[[HomeWon]:[HomeWon]], Table1[[GameIsOver]:[GameIsOver]],1,Table1[[HomeTeam]:[HomeTeam]],$A24, Table1[[AwayTeam]:[AwayTeam]], AE$1),0), "-", TEXT(SUMIFS(Table1[[HomeWon]:[HomeWon]], Table1[[GameIsOver]:[GameIsOver]],1,Table1[[AwayTeam]:[AwayTeam]],$A24, Table1[[HomeTeam]:[HomeTeam]], AE$1, Table1[[ActualResult]:[ActualResult]], "REG") + SUMIFS(Table1[[AwayWon]:[AwayWon]], Table1[[GameIsOver]:[GameIsOver]],1,Table1[[HomeTeam]:[HomeTeam]],$A24, Table1[[AwayTeam]:[AwayTeam]], AE$1, Table1[[ActualResult]:[ActualResult]], "REG"),0), "-", TEXT(SUMIFS(Table1[[HomeWon]:[HomeWon]], Table1[[GameIsOver]:[GameIsOver]],1,Table1[[AwayTeam]:[AwayTeam]],$A24, Table1[[HomeTeam]:[HomeTeam]], AE$1, Table1[[ActualResult]:[ActualResult]], "OT") + SUMIFS(Table1[[AwayWon]:[AwayWon]], Table1[[GameIsOver]:[GameIsOver]],1,Table1[[HomeTeam]:[HomeTeam]],$A24, Table1[[AwayTeam]:[AwayTeam]], AE$1, Table1[[ActualResult]:[ActualResult]], "OT") + SUMIFS(Table1[[HomeWon]:[HomeWon]], Table1[[GameIsOver]:[GameIsOver]],1,Table1[[AwayTeam]:[AwayTeam]],$A24, Table1[[HomeTeam]:[HomeTeam]], AE$1, Table1[[ActualResult]:[ActualResult]], "SO") + SUMIFS(Table1[[AwayWon]:[AwayWon]], Table1[[GameIsOver]:[GameIsOver]],1,Table1[[HomeTeam]:[HomeTeam]],$A24, Table1[[AwayTeam]:[AwayTeam]], AE$1, Table1[[ActualResult]:[ActualResult]], "SO"),0))</f>
        <v>0-0-0</v>
      </c>
      <c r="AF24" s="43" t="str">
        <f>_xlfn.CONCAT(TEXT(SUMIFS(Table1[[AwayWon]:[AwayWon]], Table1[[GameIsOver]:[GameIsOver]],1,Table1[[AwayTeam]:[AwayTeam]],$A24, Table1[[HomeTeam]:[HomeTeam]], AF$1) + SUMIFS(Table1[[HomeWon]:[HomeWon]], Table1[[GameIsOver]:[GameIsOver]],1,Table1[[HomeTeam]:[HomeTeam]],$A24, Table1[[AwayTeam]:[AwayTeam]], AF$1),0), "-", TEXT(SUMIFS(Table1[[HomeWon]:[HomeWon]], Table1[[GameIsOver]:[GameIsOver]],1,Table1[[AwayTeam]:[AwayTeam]],$A24, Table1[[HomeTeam]:[HomeTeam]], AF$1, Table1[[ActualResult]:[ActualResult]], "REG") + SUMIFS(Table1[[AwayWon]:[AwayWon]], Table1[[GameIsOver]:[GameIsOver]],1,Table1[[HomeTeam]:[HomeTeam]],$A24, Table1[[AwayTeam]:[AwayTeam]], AF$1, Table1[[ActualResult]:[ActualResult]], "REG"),0), "-", TEXT(SUMIFS(Table1[[HomeWon]:[HomeWon]], Table1[[GameIsOver]:[GameIsOver]],1,Table1[[AwayTeam]:[AwayTeam]],$A24, Table1[[HomeTeam]:[HomeTeam]], AF$1, Table1[[ActualResult]:[ActualResult]], "OT") + SUMIFS(Table1[[AwayWon]:[AwayWon]], Table1[[GameIsOver]:[GameIsOver]],1,Table1[[HomeTeam]:[HomeTeam]],$A24, Table1[[AwayTeam]:[AwayTeam]], AF$1, Table1[[ActualResult]:[ActualResult]], "OT") + SUMIFS(Table1[[HomeWon]:[HomeWon]], Table1[[GameIsOver]:[GameIsOver]],1,Table1[[AwayTeam]:[AwayTeam]],$A24, Table1[[HomeTeam]:[HomeTeam]], AF$1, Table1[[ActualResult]:[ActualResult]], "SO") + SUMIFS(Table1[[AwayWon]:[AwayWon]], Table1[[GameIsOver]:[GameIsOver]],1,Table1[[HomeTeam]:[HomeTeam]],$A24, Table1[[AwayTeam]:[AwayTeam]], AF$1, Table1[[ActualResult]:[ActualResult]], "SO"),0))</f>
        <v>0-0-0</v>
      </c>
      <c r="AG24" s="43" t="str">
        <f>_xlfn.CONCAT(TEXT(SUMIFS(Table1[[AwayWon]:[AwayWon]], Table1[[GameIsOver]:[GameIsOver]],1,Table1[[AwayTeam]:[AwayTeam]],$A24, Table1[[HomeTeam]:[HomeTeam]], AG$1) + SUMIFS(Table1[[HomeWon]:[HomeWon]], Table1[[GameIsOver]:[GameIsOver]],1,Table1[[HomeTeam]:[HomeTeam]],$A24, Table1[[AwayTeam]:[AwayTeam]], AG$1),0), "-", TEXT(SUMIFS(Table1[[HomeWon]:[HomeWon]], Table1[[GameIsOver]:[GameIsOver]],1,Table1[[AwayTeam]:[AwayTeam]],$A24, Table1[[HomeTeam]:[HomeTeam]], AG$1, Table1[[ActualResult]:[ActualResult]], "REG") + SUMIFS(Table1[[AwayWon]:[AwayWon]], Table1[[GameIsOver]:[GameIsOver]],1,Table1[[HomeTeam]:[HomeTeam]],$A24, Table1[[AwayTeam]:[AwayTeam]], AG$1, Table1[[ActualResult]:[ActualResult]], "REG"),0), "-", TEXT(SUMIFS(Table1[[HomeWon]:[HomeWon]], Table1[[GameIsOver]:[GameIsOver]],1,Table1[[AwayTeam]:[AwayTeam]],$A24, Table1[[HomeTeam]:[HomeTeam]], AG$1, Table1[[ActualResult]:[ActualResult]], "OT") + SUMIFS(Table1[[AwayWon]:[AwayWon]], Table1[[GameIsOver]:[GameIsOver]],1,Table1[[HomeTeam]:[HomeTeam]],$A24, Table1[[AwayTeam]:[AwayTeam]], AG$1, Table1[[ActualResult]:[ActualResult]], "OT") + SUMIFS(Table1[[HomeWon]:[HomeWon]], Table1[[GameIsOver]:[GameIsOver]],1,Table1[[AwayTeam]:[AwayTeam]],$A24, Table1[[HomeTeam]:[HomeTeam]], AG$1, Table1[[ActualResult]:[ActualResult]], "SO") + SUMIFS(Table1[[AwayWon]:[AwayWon]], Table1[[GameIsOver]:[GameIsOver]],1,Table1[[HomeTeam]:[HomeTeam]],$A24, Table1[[AwayTeam]:[AwayTeam]], AG$1, Table1[[ActualResult]:[ActualResult]], "SO"),0))</f>
        <v>0-0-0</v>
      </c>
    </row>
    <row r="25" spans="1:33" ht="15.75" thickBot="1" x14ac:dyDescent="0.3">
      <c r="A25" s="18" t="s">
        <v>59</v>
      </c>
      <c r="B25" s="46" t="str">
        <f>_xlfn.CONCAT(TEXT(SUMIFS(Table1[[AwayWon]:[AwayWon]], Table1[[GameIsOver]:[GameIsOver]],1,Table1[[AwayTeam]:[AwayTeam]],$A25, Table1[[HomeTeam]:[HomeTeam]], B$1) + SUMIFS(Table1[[HomeWon]:[HomeWon]], Table1[[GameIsOver]:[GameIsOver]],1,Table1[[HomeTeam]:[HomeTeam]],$A25, Table1[[AwayTeam]:[AwayTeam]], B$1),0), "-", TEXT(SUMIFS(Table1[[HomeWon]:[HomeWon]], Table1[[GameIsOver]:[GameIsOver]],1,Table1[[AwayTeam]:[AwayTeam]],$A25, Table1[[HomeTeam]:[HomeTeam]], B$1, Table1[[ActualResult]:[ActualResult]], "REG") + SUMIFS(Table1[[AwayWon]:[AwayWon]], Table1[[GameIsOver]:[GameIsOver]],1,Table1[[HomeTeam]:[HomeTeam]],$A25, Table1[[AwayTeam]:[AwayTeam]], B$1, Table1[[ActualResult]:[ActualResult]], "REG"),0), "-", TEXT(SUMIFS(Table1[[HomeWon]:[HomeWon]], Table1[[GameIsOver]:[GameIsOver]],1,Table1[[AwayTeam]:[AwayTeam]],$A25, Table1[[HomeTeam]:[HomeTeam]], B$1, Table1[[ActualResult]:[ActualResult]], "OT") + SUMIFS(Table1[[AwayWon]:[AwayWon]], Table1[[GameIsOver]:[GameIsOver]],1,Table1[[HomeTeam]:[HomeTeam]],$A25, Table1[[AwayTeam]:[AwayTeam]], B$1, Table1[[ActualResult]:[ActualResult]], "OT") + SUMIFS(Table1[[HomeWon]:[HomeWon]], Table1[[GameIsOver]:[GameIsOver]],1,Table1[[AwayTeam]:[AwayTeam]],$A25, Table1[[HomeTeam]:[HomeTeam]], B$1, Table1[[ActualResult]:[ActualResult]], "SO") + SUMIFS(Table1[[AwayWon]:[AwayWon]], Table1[[GameIsOver]:[GameIsOver]],1,Table1[[HomeTeam]:[HomeTeam]],$A25, Table1[[AwayTeam]:[AwayTeam]], B$1, Table1[[ActualResult]:[ActualResult]], "SO"),0))</f>
        <v>0-0-0</v>
      </c>
      <c r="C25" s="47" t="str">
        <f>_xlfn.CONCAT(TEXT(SUMIFS(Table1[[AwayWon]:[AwayWon]], Table1[[GameIsOver]:[GameIsOver]],1,Table1[[AwayTeam]:[AwayTeam]],$A25, Table1[[HomeTeam]:[HomeTeam]], C$1) + SUMIFS(Table1[[HomeWon]:[HomeWon]], Table1[[GameIsOver]:[GameIsOver]],1,Table1[[HomeTeam]:[HomeTeam]],$A25, Table1[[AwayTeam]:[AwayTeam]], C$1),0), "-", TEXT(SUMIFS(Table1[[HomeWon]:[HomeWon]], Table1[[GameIsOver]:[GameIsOver]],1,Table1[[AwayTeam]:[AwayTeam]],$A25, Table1[[HomeTeam]:[HomeTeam]], C$1, Table1[[ActualResult]:[ActualResult]], "REG") + SUMIFS(Table1[[AwayWon]:[AwayWon]], Table1[[GameIsOver]:[GameIsOver]],1,Table1[[HomeTeam]:[HomeTeam]],$A25, Table1[[AwayTeam]:[AwayTeam]], C$1, Table1[[ActualResult]:[ActualResult]], "REG"),0), "-", TEXT(SUMIFS(Table1[[HomeWon]:[HomeWon]], Table1[[GameIsOver]:[GameIsOver]],1,Table1[[AwayTeam]:[AwayTeam]],$A25, Table1[[HomeTeam]:[HomeTeam]], C$1, Table1[[ActualResult]:[ActualResult]], "OT") + SUMIFS(Table1[[AwayWon]:[AwayWon]], Table1[[GameIsOver]:[GameIsOver]],1,Table1[[HomeTeam]:[HomeTeam]],$A25, Table1[[AwayTeam]:[AwayTeam]], C$1, Table1[[ActualResult]:[ActualResult]], "OT") + SUMIFS(Table1[[HomeWon]:[HomeWon]], Table1[[GameIsOver]:[GameIsOver]],1,Table1[[AwayTeam]:[AwayTeam]],$A25, Table1[[HomeTeam]:[HomeTeam]], C$1, Table1[[ActualResult]:[ActualResult]], "SO") + SUMIFS(Table1[[AwayWon]:[AwayWon]], Table1[[GameIsOver]:[GameIsOver]],1,Table1[[HomeTeam]:[HomeTeam]],$A25, Table1[[AwayTeam]:[AwayTeam]], C$1, Table1[[ActualResult]:[ActualResult]], "SO"),0))</f>
        <v>0-0-0</v>
      </c>
      <c r="D25" s="47" t="str">
        <f>_xlfn.CONCAT(TEXT(SUMIFS(Table1[[AwayWon]:[AwayWon]], Table1[[GameIsOver]:[GameIsOver]],1,Table1[[AwayTeam]:[AwayTeam]],$A25, Table1[[HomeTeam]:[HomeTeam]], D$1) + SUMIFS(Table1[[HomeWon]:[HomeWon]], Table1[[GameIsOver]:[GameIsOver]],1,Table1[[HomeTeam]:[HomeTeam]],$A25, Table1[[AwayTeam]:[AwayTeam]], D$1),0), "-", TEXT(SUMIFS(Table1[[HomeWon]:[HomeWon]], Table1[[GameIsOver]:[GameIsOver]],1,Table1[[AwayTeam]:[AwayTeam]],$A25, Table1[[HomeTeam]:[HomeTeam]], D$1, Table1[[ActualResult]:[ActualResult]], "REG") + SUMIFS(Table1[[AwayWon]:[AwayWon]], Table1[[GameIsOver]:[GameIsOver]],1,Table1[[HomeTeam]:[HomeTeam]],$A25, Table1[[AwayTeam]:[AwayTeam]], D$1, Table1[[ActualResult]:[ActualResult]], "REG"),0), "-", TEXT(SUMIFS(Table1[[HomeWon]:[HomeWon]], Table1[[GameIsOver]:[GameIsOver]],1,Table1[[AwayTeam]:[AwayTeam]],$A25, Table1[[HomeTeam]:[HomeTeam]], D$1, Table1[[ActualResult]:[ActualResult]], "OT") + SUMIFS(Table1[[AwayWon]:[AwayWon]], Table1[[GameIsOver]:[GameIsOver]],1,Table1[[HomeTeam]:[HomeTeam]],$A25, Table1[[AwayTeam]:[AwayTeam]], D$1, Table1[[ActualResult]:[ActualResult]], "OT") + SUMIFS(Table1[[HomeWon]:[HomeWon]], Table1[[GameIsOver]:[GameIsOver]],1,Table1[[AwayTeam]:[AwayTeam]],$A25, Table1[[HomeTeam]:[HomeTeam]], D$1, Table1[[ActualResult]:[ActualResult]], "SO") + SUMIFS(Table1[[AwayWon]:[AwayWon]], Table1[[GameIsOver]:[GameIsOver]],1,Table1[[HomeTeam]:[HomeTeam]],$A25, Table1[[AwayTeam]:[AwayTeam]], D$1, Table1[[ActualResult]:[ActualResult]], "SO"),0))</f>
        <v>0-0-0</v>
      </c>
      <c r="E25" s="47" t="str">
        <f>_xlfn.CONCAT(TEXT(SUMIFS(Table1[[AwayWon]:[AwayWon]], Table1[[GameIsOver]:[GameIsOver]],1,Table1[[AwayTeam]:[AwayTeam]],$A25, Table1[[HomeTeam]:[HomeTeam]], E$1) + SUMIFS(Table1[[HomeWon]:[HomeWon]], Table1[[GameIsOver]:[GameIsOver]],1,Table1[[HomeTeam]:[HomeTeam]],$A25, Table1[[AwayTeam]:[AwayTeam]], E$1),0), "-", TEXT(SUMIFS(Table1[[HomeWon]:[HomeWon]], Table1[[GameIsOver]:[GameIsOver]],1,Table1[[AwayTeam]:[AwayTeam]],$A25, Table1[[HomeTeam]:[HomeTeam]], E$1, Table1[[ActualResult]:[ActualResult]], "REG") + SUMIFS(Table1[[AwayWon]:[AwayWon]], Table1[[GameIsOver]:[GameIsOver]],1,Table1[[HomeTeam]:[HomeTeam]],$A25, Table1[[AwayTeam]:[AwayTeam]], E$1, Table1[[ActualResult]:[ActualResult]], "REG"),0), "-", TEXT(SUMIFS(Table1[[HomeWon]:[HomeWon]], Table1[[GameIsOver]:[GameIsOver]],1,Table1[[AwayTeam]:[AwayTeam]],$A25, Table1[[HomeTeam]:[HomeTeam]], E$1, Table1[[ActualResult]:[ActualResult]], "OT") + SUMIFS(Table1[[AwayWon]:[AwayWon]], Table1[[GameIsOver]:[GameIsOver]],1,Table1[[HomeTeam]:[HomeTeam]],$A25, Table1[[AwayTeam]:[AwayTeam]], E$1, Table1[[ActualResult]:[ActualResult]], "OT") + SUMIFS(Table1[[HomeWon]:[HomeWon]], Table1[[GameIsOver]:[GameIsOver]],1,Table1[[AwayTeam]:[AwayTeam]],$A25, Table1[[HomeTeam]:[HomeTeam]], E$1, Table1[[ActualResult]:[ActualResult]], "SO") + SUMIFS(Table1[[AwayWon]:[AwayWon]], Table1[[GameIsOver]:[GameIsOver]],1,Table1[[HomeTeam]:[HomeTeam]],$A25, Table1[[AwayTeam]:[AwayTeam]], E$1, Table1[[ActualResult]:[ActualResult]], "SO"),0))</f>
        <v>0-0-0</v>
      </c>
      <c r="F25" s="47" t="str">
        <f>_xlfn.CONCAT(TEXT(SUMIFS(Table1[[AwayWon]:[AwayWon]], Table1[[GameIsOver]:[GameIsOver]],1,Table1[[AwayTeam]:[AwayTeam]],$A25, Table1[[HomeTeam]:[HomeTeam]], F$1) + SUMIFS(Table1[[HomeWon]:[HomeWon]], Table1[[GameIsOver]:[GameIsOver]],1,Table1[[HomeTeam]:[HomeTeam]],$A25, Table1[[AwayTeam]:[AwayTeam]], F$1),0), "-", TEXT(SUMIFS(Table1[[HomeWon]:[HomeWon]], Table1[[GameIsOver]:[GameIsOver]],1,Table1[[AwayTeam]:[AwayTeam]],$A25, Table1[[HomeTeam]:[HomeTeam]], F$1, Table1[[ActualResult]:[ActualResult]], "REG") + SUMIFS(Table1[[AwayWon]:[AwayWon]], Table1[[GameIsOver]:[GameIsOver]],1,Table1[[HomeTeam]:[HomeTeam]],$A25, Table1[[AwayTeam]:[AwayTeam]], F$1, Table1[[ActualResult]:[ActualResult]], "REG"),0), "-", TEXT(SUMIFS(Table1[[HomeWon]:[HomeWon]], Table1[[GameIsOver]:[GameIsOver]],1,Table1[[AwayTeam]:[AwayTeam]],$A25, Table1[[HomeTeam]:[HomeTeam]], F$1, Table1[[ActualResult]:[ActualResult]], "OT") + SUMIFS(Table1[[AwayWon]:[AwayWon]], Table1[[GameIsOver]:[GameIsOver]],1,Table1[[HomeTeam]:[HomeTeam]],$A25, Table1[[AwayTeam]:[AwayTeam]], F$1, Table1[[ActualResult]:[ActualResult]], "OT") + SUMIFS(Table1[[HomeWon]:[HomeWon]], Table1[[GameIsOver]:[GameIsOver]],1,Table1[[AwayTeam]:[AwayTeam]],$A25, Table1[[HomeTeam]:[HomeTeam]], F$1, Table1[[ActualResult]:[ActualResult]], "SO") + SUMIFS(Table1[[AwayWon]:[AwayWon]], Table1[[GameIsOver]:[GameIsOver]],1,Table1[[HomeTeam]:[HomeTeam]],$A25, Table1[[AwayTeam]:[AwayTeam]], F$1, Table1[[ActualResult]:[ActualResult]], "SO"),0))</f>
        <v>0-0-0</v>
      </c>
      <c r="G25" s="47" t="str">
        <f>_xlfn.CONCAT(TEXT(SUMIFS(Table1[[AwayWon]:[AwayWon]], Table1[[GameIsOver]:[GameIsOver]],1,Table1[[AwayTeam]:[AwayTeam]],$A25, Table1[[HomeTeam]:[HomeTeam]], G$1) + SUMIFS(Table1[[HomeWon]:[HomeWon]], Table1[[GameIsOver]:[GameIsOver]],1,Table1[[HomeTeam]:[HomeTeam]],$A25, Table1[[AwayTeam]:[AwayTeam]], G$1),0), "-", TEXT(SUMIFS(Table1[[HomeWon]:[HomeWon]], Table1[[GameIsOver]:[GameIsOver]],1,Table1[[AwayTeam]:[AwayTeam]],$A25, Table1[[HomeTeam]:[HomeTeam]], G$1, Table1[[ActualResult]:[ActualResult]], "REG") + SUMIFS(Table1[[AwayWon]:[AwayWon]], Table1[[GameIsOver]:[GameIsOver]],1,Table1[[HomeTeam]:[HomeTeam]],$A25, Table1[[AwayTeam]:[AwayTeam]], G$1, Table1[[ActualResult]:[ActualResult]], "REG"),0), "-", TEXT(SUMIFS(Table1[[HomeWon]:[HomeWon]], Table1[[GameIsOver]:[GameIsOver]],1,Table1[[AwayTeam]:[AwayTeam]],$A25, Table1[[HomeTeam]:[HomeTeam]], G$1, Table1[[ActualResult]:[ActualResult]], "OT") + SUMIFS(Table1[[AwayWon]:[AwayWon]], Table1[[GameIsOver]:[GameIsOver]],1,Table1[[HomeTeam]:[HomeTeam]],$A25, Table1[[AwayTeam]:[AwayTeam]], G$1, Table1[[ActualResult]:[ActualResult]], "OT") + SUMIFS(Table1[[HomeWon]:[HomeWon]], Table1[[GameIsOver]:[GameIsOver]],1,Table1[[AwayTeam]:[AwayTeam]],$A25, Table1[[HomeTeam]:[HomeTeam]], G$1, Table1[[ActualResult]:[ActualResult]], "SO") + SUMIFS(Table1[[AwayWon]:[AwayWon]], Table1[[GameIsOver]:[GameIsOver]],1,Table1[[HomeTeam]:[HomeTeam]],$A25, Table1[[AwayTeam]:[AwayTeam]], G$1, Table1[[ActualResult]:[ActualResult]], "SO"),0))</f>
        <v>0-0-0</v>
      </c>
      <c r="H25" s="47" t="str">
        <f>_xlfn.CONCAT(TEXT(SUMIFS(Table1[[AwayWon]:[AwayWon]], Table1[[GameIsOver]:[GameIsOver]],1,Table1[[AwayTeam]:[AwayTeam]],$A25, Table1[[HomeTeam]:[HomeTeam]], H$1) + SUMIFS(Table1[[HomeWon]:[HomeWon]], Table1[[GameIsOver]:[GameIsOver]],1,Table1[[HomeTeam]:[HomeTeam]],$A25, Table1[[AwayTeam]:[AwayTeam]], H$1),0), "-", TEXT(SUMIFS(Table1[[HomeWon]:[HomeWon]], Table1[[GameIsOver]:[GameIsOver]],1,Table1[[AwayTeam]:[AwayTeam]],$A25, Table1[[HomeTeam]:[HomeTeam]], H$1, Table1[[ActualResult]:[ActualResult]], "REG") + SUMIFS(Table1[[AwayWon]:[AwayWon]], Table1[[GameIsOver]:[GameIsOver]],1,Table1[[HomeTeam]:[HomeTeam]],$A25, Table1[[AwayTeam]:[AwayTeam]], H$1, Table1[[ActualResult]:[ActualResult]], "REG"),0), "-", TEXT(SUMIFS(Table1[[HomeWon]:[HomeWon]], Table1[[GameIsOver]:[GameIsOver]],1,Table1[[AwayTeam]:[AwayTeam]],$A25, Table1[[HomeTeam]:[HomeTeam]], H$1, Table1[[ActualResult]:[ActualResult]], "OT") + SUMIFS(Table1[[AwayWon]:[AwayWon]], Table1[[GameIsOver]:[GameIsOver]],1,Table1[[HomeTeam]:[HomeTeam]],$A25, Table1[[AwayTeam]:[AwayTeam]], H$1, Table1[[ActualResult]:[ActualResult]], "OT") + SUMIFS(Table1[[HomeWon]:[HomeWon]], Table1[[GameIsOver]:[GameIsOver]],1,Table1[[AwayTeam]:[AwayTeam]],$A25, Table1[[HomeTeam]:[HomeTeam]], H$1, Table1[[ActualResult]:[ActualResult]], "SO") + SUMIFS(Table1[[AwayWon]:[AwayWon]], Table1[[GameIsOver]:[GameIsOver]],1,Table1[[HomeTeam]:[HomeTeam]],$A25, Table1[[AwayTeam]:[AwayTeam]], H$1, Table1[[ActualResult]:[ActualResult]], "SO"),0))</f>
        <v>0-0-0</v>
      </c>
      <c r="I25" s="48" t="str">
        <f>_xlfn.CONCAT(TEXT(SUMIFS(Table1[[AwayWon]:[AwayWon]], Table1[[GameIsOver]:[GameIsOver]],1,Table1[[AwayTeam]:[AwayTeam]],$A25, Table1[[HomeTeam]:[HomeTeam]], I$1) + SUMIFS(Table1[[HomeWon]:[HomeWon]], Table1[[GameIsOver]:[GameIsOver]],1,Table1[[HomeTeam]:[HomeTeam]],$A25, Table1[[AwayTeam]:[AwayTeam]], I$1),0), "-", TEXT(SUMIFS(Table1[[HomeWon]:[HomeWon]], Table1[[GameIsOver]:[GameIsOver]],1,Table1[[AwayTeam]:[AwayTeam]],$A25, Table1[[HomeTeam]:[HomeTeam]], I$1, Table1[[ActualResult]:[ActualResult]], "REG") + SUMIFS(Table1[[AwayWon]:[AwayWon]], Table1[[GameIsOver]:[GameIsOver]],1,Table1[[HomeTeam]:[HomeTeam]],$A25, Table1[[AwayTeam]:[AwayTeam]], I$1, Table1[[ActualResult]:[ActualResult]], "REG"),0), "-", TEXT(SUMIFS(Table1[[HomeWon]:[HomeWon]], Table1[[GameIsOver]:[GameIsOver]],1,Table1[[AwayTeam]:[AwayTeam]],$A25, Table1[[HomeTeam]:[HomeTeam]], I$1, Table1[[ActualResult]:[ActualResult]], "OT") + SUMIFS(Table1[[AwayWon]:[AwayWon]], Table1[[GameIsOver]:[GameIsOver]],1,Table1[[HomeTeam]:[HomeTeam]],$A25, Table1[[AwayTeam]:[AwayTeam]], I$1, Table1[[ActualResult]:[ActualResult]], "OT") + SUMIFS(Table1[[HomeWon]:[HomeWon]], Table1[[GameIsOver]:[GameIsOver]],1,Table1[[AwayTeam]:[AwayTeam]],$A25, Table1[[HomeTeam]:[HomeTeam]], I$1, Table1[[ActualResult]:[ActualResult]], "SO") + SUMIFS(Table1[[AwayWon]:[AwayWon]], Table1[[GameIsOver]:[GameIsOver]],1,Table1[[HomeTeam]:[HomeTeam]],$A25, Table1[[AwayTeam]:[AwayTeam]], I$1, Table1[[ActualResult]:[ActualResult]], "SO"),0))</f>
        <v>0-0-0</v>
      </c>
      <c r="J25" s="47" t="str">
        <f>_xlfn.CONCAT(TEXT(SUMIFS(Table1[[AwayWon]:[AwayWon]], Table1[[GameIsOver]:[GameIsOver]],1,Table1[[AwayTeam]:[AwayTeam]],$A25, Table1[[HomeTeam]:[HomeTeam]], J$1) + SUMIFS(Table1[[HomeWon]:[HomeWon]], Table1[[GameIsOver]:[GameIsOver]],1,Table1[[HomeTeam]:[HomeTeam]],$A25, Table1[[AwayTeam]:[AwayTeam]], J$1),0), "-", TEXT(SUMIFS(Table1[[HomeWon]:[HomeWon]], Table1[[GameIsOver]:[GameIsOver]],1,Table1[[AwayTeam]:[AwayTeam]],$A25, Table1[[HomeTeam]:[HomeTeam]], J$1, Table1[[ActualResult]:[ActualResult]], "REG") + SUMIFS(Table1[[AwayWon]:[AwayWon]], Table1[[GameIsOver]:[GameIsOver]],1,Table1[[HomeTeam]:[HomeTeam]],$A25, Table1[[AwayTeam]:[AwayTeam]], J$1, Table1[[ActualResult]:[ActualResult]], "REG"),0), "-", TEXT(SUMIFS(Table1[[HomeWon]:[HomeWon]], Table1[[GameIsOver]:[GameIsOver]],1,Table1[[AwayTeam]:[AwayTeam]],$A25, Table1[[HomeTeam]:[HomeTeam]], J$1, Table1[[ActualResult]:[ActualResult]], "OT") + SUMIFS(Table1[[AwayWon]:[AwayWon]], Table1[[GameIsOver]:[GameIsOver]],1,Table1[[HomeTeam]:[HomeTeam]],$A25, Table1[[AwayTeam]:[AwayTeam]], J$1, Table1[[ActualResult]:[ActualResult]], "OT") + SUMIFS(Table1[[HomeWon]:[HomeWon]], Table1[[GameIsOver]:[GameIsOver]],1,Table1[[AwayTeam]:[AwayTeam]],$A25, Table1[[HomeTeam]:[HomeTeam]], J$1, Table1[[ActualResult]:[ActualResult]], "SO") + SUMIFS(Table1[[AwayWon]:[AwayWon]], Table1[[GameIsOver]:[GameIsOver]],1,Table1[[HomeTeam]:[HomeTeam]],$A25, Table1[[AwayTeam]:[AwayTeam]], J$1, Table1[[ActualResult]:[ActualResult]], "SO"),0))</f>
        <v>0-0-0</v>
      </c>
      <c r="K25" s="47" t="str">
        <f>_xlfn.CONCAT(TEXT(SUMIFS(Table1[[AwayWon]:[AwayWon]], Table1[[GameIsOver]:[GameIsOver]],1,Table1[[AwayTeam]:[AwayTeam]],$A25, Table1[[HomeTeam]:[HomeTeam]], K$1) + SUMIFS(Table1[[HomeWon]:[HomeWon]], Table1[[GameIsOver]:[GameIsOver]],1,Table1[[HomeTeam]:[HomeTeam]],$A25, Table1[[AwayTeam]:[AwayTeam]], K$1),0), "-", TEXT(SUMIFS(Table1[[HomeWon]:[HomeWon]], Table1[[GameIsOver]:[GameIsOver]],1,Table1[[AwayTeam]:[AwayTeam]],$A25, Table1[[HomeTeam]:[HomeTeam]], K$1, Table1[[ActualResult]:[ActualResult]], "REG") + SUMIFS(Table1[[AwayWon]:[AwayWon]], Table1[[GameIsOver]:[GameIsOver]],1,Table1[[HomeTeam]:[HomeTeam]],$A25, Table1[[AwayTeam]:[AwayTeam]], K$1, Table1[[ActualResult]:[ActualResult]], "REG"),0), "-", TEXT(SUMIFS(Table1[[HomeWon]:[HomeWon]], Table1[[GameIsOver]:[GameIsOver]],1,Table1[[AwayTeam]:[AwayTeam]],$A25, Table1[[HomeTeam]:[HomeTeam]], K$1, Table1[[ActualResult]:[ActualResult]], "OT") + SUMIFS(Table1[[AwayWon]:[AwayWon]], Table1[[GameIsOver]:[GameIsOver]],1,Table1[[HomeTeam]:[HomeTeam]],$A25, Table1[[AwayTeam]:[AwayTeam]], K$1, Table1[[ActualResult]:[ActualResult]], "OT") + SUMIFS(Table1[[HomeWon]:[HomeWon]], Table1[[GameIsOver]:[GameIsOver]],1,Table1[[AwayTeam]:[AwayTeam]],$A25, Table1[[HomeTeam]:[HomeTeam]], K$1, Table1[[ActualResult]:[ActualResult]], "SO") + SUMIFS(Table1[[AwayWon]:[AwayWon]], Table1[[GameIsOver]:[GameIsOver]],1,Table1[[HomeTeam]:[HomeTeam]],$A25, Table1[[AwayTeam]:[AwayTeam]], K$1, Table1[[ActualResult]:[ActualResult]], "SO"),0))</f>
        <v>0-0-0</v>
      </c>
      <c r="L25" s="47" t="str">
        <f>_xlfn.CONCAT(TEXT(SUMIFS(Table1[[AwayWon]:[AwayWon]], Table1[[GameIsOver]:[GameIsOver]],1,Table1[[AwayTeam]:[AwayTeam]],$A25, Table1[[HomeTeam]:[HomeTeam]], L$1) + SUMIFS(Table1[[HomeWon]:[HomeWon]], Table1[[GameIsOver]:[GameIsOver]],1,Table1[[HomeTeam]:[HomeTeam]],$A25, Table1[[AwayTeam]:[AwayTeam]], L$1),0), "-", TEXT(SUMIFS(Table1[[HomeWon]:[HomeWon]], Table1[[GameIsOver]:[GameIsOver]],1,Table1[[AwayTeam]:[AwayTeam]],$A25, Table1[[HomeTeam]:[HomeTeam]], L$1, Table1[[ActualResult]:[ActualResult]], "REG") + SUMIFS(Table1[[AwayWon]:[AwayWon]], Table1[[GameIsOver]:[GameIsOver]],1,Table1[[HomeTeam]:[HomeTeam]],$A25, Table1[[AwayTeam]:[AwayTeam]], L$1, Table1[[ActualResult]:[ActualResult]], "REG"),0), "-", TEXT(SUMIFS(Table1[[HomeWon]:[HomeWon]], Table1[[GameIsOver]:[GameIsOver]],1,Table1[[AwayTeam]:[AwayTeam]],$A25, Table1[[HomeTeam]:[HomeTeam]], L$1, Table1[[ActualResult]:[ActualResult]], "OT") + SUMIFS(Table1[[AwayWon]:[AwayWon]], Table1[[GameIsOver]:[GameIsOver]],1,Table1[[HomeTeam]:[HomeTeam]],$A25, Table1[[AwayTeam]:[AwayTeam]], L$1, Table1[[ActualResult]:[ActualResult]], "OT") + SUMIFS(Table1[[HomeWon]:[HomeWon]], Table1[[GameIsOver]:[GameIsOver]],1,Table1[[AwayTeam]:[AwayTeam]],$A25, Table1[[HomeTeam]:[HomeTeam]], L$1, Table1[[ActualResult]:[ActualResult]], "SO") + SUMIFS(Table1[[AwayWon]:[AwayWon]], Table1[[GameIsOver]:[GameIsOver]],1,Table1[[HomeTeam]:[HomeTeam]],$A25, Table1[[AwayTeam]:[AwayTeam]], L$1, Table1[[ActualResult]:[ActualResult]], "SO"),0))</f>
        <v>0-0-0</v>
      </c>
      <c r="M25" s="47" t="str">
        <f>_xlfn.CONCAT(TEXT(SUMIFS(Table1[[AwayWon]:[AwayWon]], Table1[[GameIsOver]:[GameIsOver]],1,Table1[[AwayTeam]:[AwayTeam]],$A25, Table1[[HomeTeam]:[HomeTeam]], M$1) + SUMIFS(Table1[[HomeWon]:[HomeWon]], Table1[[GameIsOver]:[GameIsOver]],1,Table1[[HomeTeam]:[HomeTeam]],$A25, Table1[[AwayTeam]:[AwayTeam]], M$1),0), "-", TEXT(SUMIFS(Table1[[HomeWon]:[HomeWon]], Table1[[GameIsOver]:[GameIsOver]],1,Table1[[AwayTeam]:[AwayTeam]],$A25, Table1[[HomeTeam]:[HomeTeam]], M$1, Table1[[ActualResult]:[ActualResult]], "REG") + SUMIFS(Table1[[AwayWon]:[AwayWon]], Table1[[GameIsOver]:[GameIsOver]],1,Table1[[HomeTeam]:[HomeTeam]],$A25, Table1[[AwayTeam]:[AwayTeam]], M$1, Table1[[ActualResult]:[ActualResult]], "REG"),0), "-", TEXT(SUMIFS(Table1[[HomeWon]:[HomeWon]], Table1[[GameIsOver]:[GameIsOver]],1,Table1[[AwayTeam]:[AwayTeam]],$A25, Table1[[HomeTeam]:[HomeTeam]], M$1, Table1[[ActualResult]:[ActualResult]], "OT") + SUMIFS(Table1[[AwayWon]:[AwayWon]], Table1[[GameIsOver]:[GameIsOver]],1,Table1[[HomeTeam]:[HomeTeam]],$A25, Table1[[AwayTeam]:[AwayTeam]], M$1, Table1[[ActualResult]:[ActualResult]], "OT") + SUMIFS(Table1[[HomeWon]:[HomeWon]], Table1[[GameIsOver]:[GameIsOver]],1,Table1[[AwayTeam]:[AwayTeam]],$A25, Table1[[HomeTeam]:[HomeTeam]], M$1, Table1[[ActualResult]:[ActualResult]], "SO") + SUMIFS(Table1[[AwayWon]:[AwayWon]], Table1[[GameIsOver]:[GameIsOver]],1,Table1[[HomeTeam]:[HomeTeam]],$A25, Table1[[AwayTeam]:[AwayTeam]], M$1, Table1[[ActualResult]:[ActualResult]], "SO"),0))</f>
        <v>0-0-0</v>
      </c>
      <c r="N25" s="47" t="str">
        <f>_xlfn.CONCAT(TEXT(SUMIFS(Table1[[AwayWon]:[AwayWon]], Table1[[GameIsOver]:[GameIsOver]],1,Table1[[AwayTeam]:[AwayTeam]],$A25, Table1[[HomeTeam]:[HomeTeam]], N$1) + SUMIFS(Table1[[HomeWon]:[HomeWon]], Table1[[GameIsOver]:[GameIsOver]],1,Table1[[HomeTeam]:[HomeTeam]],$A25, Table1[[AwayTeam]:[AwayTeam]], N$1),0), "-", TEXT(SUMIFS(Table1[[HomeWon]:[HomeWon]], Table1[[GameIsOver]:[GameIsOver]],1,Table1[[AwayTeam]:[AwayTeam]],$A25, Table1[[HomeTeam]:[HomeTeam]], N$1, Table1[[ActualResult]:[ActualResult]], "REG") + SUMIFS(Table1[[AwayWon]:[AwayWon]], Table1[[GameIsOver]:[GameIsOver]],1,Table1[[HomeTeam]:[HomeTeam]],$A25, Table1[[AwayTeam]:[AwayTeam]], N$1, Table1[[ActualResult]:[ActualResult]], "REG"),0), "-", TEXT(SUMIFS(Table1[[HomeWon]:[HomeWon]], Table1[[GameIsOver]:[GameIsOver]],1,Table1[[AwayTeam]:[AwayTeam]],$A25, Table1[[HomeTeam]:[HomeTeam]], N$1, Table1[[ActualResult]:[ActualResult]], "OT") + SUMIFS(Table1[[AwayWon]:[AwayWon]], Table1[[GameIsOver]:[GameIsOver]],1,Table1[[HomeTeam]:[HomeTeam]],$A25, Table1[[AwayTeam]:[AwayTeam]], N$1, Table1[[ActualResult]:[ActualResult]], "OT") + SUMIFS(Table1[[HomeWon]:[HomeWon]], Table1[[GameIsOver]:[GameIsOver]],1,Table1[[AwayTeam]:[AwayTeam]],$A25, Table1[[HomeTeam]:[HomeTeam]], N$1, Table1[[ActualResult]:[ActualResult]], "SO") + SUMIFS(Table1[[AwayWon]:[AwayWon]], Table1[[GameIsOver]:[GameIsOver]],1,Table1[[HomeTeam]:[HomeTeam]],$A25, Table1[[AwayTeam]:[AwayTeam]], N$1, Table1[[ActualResult]:[ActualResult]], "SO"),0))</f>
        <v>0-0-0</v>
      </c>
      <c r="O25" s="47" t="str">
        <f>_xlfn.CONCAT(TEXT(SUMIFS(Table1[[AwayWon]:[AwayWon]], Table1[[GameIsOver]:[GameIsOver]],1,Table1[[AwayTeam]:[AwayTeam]],$A25, Table1[[HomeTeam]:[HomeTeam]], O$1) + SUMIFS(Table1[[HomeWon]:[HomeWon]], Table1[[GameIsOver]:[GameIsOver]],1,Table1[[HomeTeam]:[HomeTeam]],$A25, Table1[[AwayTeam]:[AwayTeam]], O$1),0), "-", TEXT(SUMIFS(Table1[[HomeWon]:[HomeWon]], Table1[[GameIsOver]:[GameIsOver]],1,Table1[[AwayTeam]:[AwayTeam]],$A25, Table1[[HomeTeam]:[HomeTeam]], O$1, Table1[[ActualResult]:[ActualResult]], "REG") + SUMIFS(Table1[[AwayWon]:[AwayWon]], Table1[[GameIsOver]:[GameIsOver]],1,Table1[[HomeTeam]:[HomeTeam]],$A25, Table1[[AwayTeam]:[AwayTeam]], O$1, Table1[[ActualResult]:[ActualResult]], "REG"),0), "-", TEXT(SUMIFS(Table1[[HomeWon]:[HomeWon]], Table1[[GameIsOver]:[GameIsOver]],1,Table1[[AwayTeam]:[AwayTeam]],$A25, Table1[[HomeTeam]:[HomeTeam]], O$1, Table1[[ActualResult]:[ActualResult]], "OT") + SUMIFS(Table1[[AwayWon]:[AwayWon]], Table1[[GameIsOver]:[GameIsOver]],1,Table1[[HomeTeam]:[HomeTeam]],$A25, Table1[[AwayTeam]:[AwayTeam]], O$1, Table1[[ActualResult]:[ActualResult]], "OT") + SUMIFS(Table1[[HomeWon]:[HomeWon]], Table1[[GameIsOver]:[GameIsOver]],1,Table1[[AwayTeam]:[AwayTeam]],$A25, Table1[[HomeTeam]:[HomeTeam]], O$1, Table1[[ActualResult]:[ActualResult]], "SO") + SUMIFS(Table1[[AwayWon]:[AwayWon]], Table1[[GameIsOver]:[GameIsOver]],1,Table1[[HomeTeam]:[HomeTeam]],$A25, Table1[[AwayTeam]:[AwayTeam]], O$1, Table1[[ActualResult]:[ActualResult]], "SO"),0))</f>
        <v>0-0-0</v>
      </c>
      <c r="P25" s="47" t="str">
        <f>_xlfn.CONCAT(TEXT(SUMIFS(Table1[[AwayWon]:[AwayWon]], Table1[[GameIsOver]:[GameIsOver]],1,Table1[[AwayTeam]:[AwayTeam]],$A25, Table1[[HomeTeam]:[HomeTeam]], P$1) + SUMIFS(Table1[[HomeWon]:[HomeWon]], Table1[[GameIsOver]:[GameIsOver]],1,Table1[[HomeTeam]:[HomeTeam]],$A25, Table1[[AwayTeam]:[AwayTeam]], P$1),0), "-", TEXT(SUMIFS(Table1[[HomeWon]:[HomeWon]], Table1[[GameIsOver]:[GameIsOver]],1,Table1[[AwayTeam]:[AwayTeam]],$A25, Table1[[HomeTeam]:[HomeTeam]], P$1, Table1[[ActualResult]:[ActualResult]], "REG") + SUMIFS(Table1[[AwayWon]:[AwayWon]], Table1[[GameIsOver]:[GameIsOver]],1,Table1[[HomeTeam]:[HomeTeam]],$A25, Table1[[AwayTeam]:[AwayTeam]], P$1, Table1[[ActualResult]:[ActualResult]], "REG"),0), "-", TEXT(SUMIFS(Table1[[HomeWon]:[HomeWon]], Table1[[GameIsOver]:[GameIsOver]],1,Table1[[AwayTeam]:[AwayTeam]],$A25, Table1[[HomeTeam]:[HomeTeam]], P$1, Table1[[ActualResult]:[ActualResult]], "OT") + SUMIFS(Table1[[AwayWon]:[AwayWon]], Table1[[GameIsOver]:[GameIsOver]],1,Table1[[HomeTeam]:[HomeTeam]],$A25, Table1[[AwayTeam]:[AwayTeam]], P$1, Table1[[ActualResult]:[ActualResult]], "OT") + SUMIFS(Table1[[HomeWon]:[HomeWon]], Table1[[GameIsOver]:[GameIsOver]],1,Table1[[AwayTeam]:[AwayTeam]],$A25, Table1[[HomeTeam]:[HomeTeam]], P$1, Table1[[ActualResult]:[ActualResult]], "SO") + SUMIFS(Table1[[AwayWon]:[AwayWon]], Table1[[GameIsOver]:[GameIsOver]],1,Table1[[HomeTeam]:[HomeTeam]],$A25, Table1[[AwayTeam]:[AwayTeam]], P$1, Table1[[ActualResult]:[ActualResult]], "SO"),0))</f>
        <v>0-0-0</v>
      </c>
      <c r="Q25" s="48" t="str">
        <f>_xlfn.CONCAT(TEXT(SUMIFS(Table1[[AwayWon]:[AwayWon]], Table1[[GameIsOver]:[GameIsOver]],1,Table1[[AwayTeam]:[AwayTeam]],$A25, Table1[[HomeTeam]:[HomeTeam]], Q$1) + SUMIFS(Table1[[HomeWon]:[HomeWon]], Table1[[GameIsOver]:[GameIsOver]],1,Table1[[HomeTeam]:[HomeTeam]],$A25, Table1[[AwayTeam]:[AwayTeam]], Q$1),0), "-", TEXT(SUMIFS(Table1[[HomeWon]:[HomeWon]], Table1[[GameIsOver]:[GameIsOver]],1,Table1[[AwayTeam]:[AwayTeam]],$A25, Table1[[HomeTeam]:[HomeTeam]], Q$1, Table1[[ActualResult]:[ActualResult]], "REG") + SUMIFS(Table1[[AwayWon]:[AwayWon]], Table1[[GameIsOver]:[GameIsOver]],1,Table1[[HomeTeam]:[HomeTeam]],$A25, Table1[[AwayTeam]:[AwayTeam]], Q$1, Table1[[ActualResult]:[ActualResult]], "REG"),0), "-", TEXT(SUMIFS(Table1[[HomeWon]:[HomeWon]], Table1[[GameIsOver]:[GameIsOver]],1,Table1[[AwayTeam]:[AwayTeam]],$A25, Table1[[HomeTeam]:[HomeTeam]], Q$1, Table1[[ActualResult]:[ActualResult]], "OT") + SUMIFS(Table1[[AwayWon]:[AwayWon]], Table1[[GameIsOver]:[GameIsOver]],1,Table1[[HomeTeam]:[HomeTeam]],$A25, Table1[[AwayTeam]:[AwayTeam]], Q$1, Table1[[ActualResult]:[ActualResult]], "OT") + SUMIFS(Table1[[HomeWon]:[HomeWon]], Table1[[GameIsOver]:[GameIsOver]],1,Table1[[AwayTeam]:[AwayTeam]],$A25, Table1[[HomeTeam]:[HomeTeam]], Q$1, Table1[[ActualResult]:[ActualResult]], "SO") + SUMIFS(Table1[[AwayWon]:[AwayWon]], Table1[[GameIsOver]:[GameIsOver]],1,Table1[[HomeTeam]:[HomeTeam]],$A25, Table1[[AwayTeam]:[AwayTeam]], Q$1, Table1[[ActualResult]:[ActualResult]], "SO"),0))</f>
        <v>0-0-0</v>
      </c>
      <c r="R25" s="47" t="str">
        <f>_xlfn.CONCAT(TEXT(SUMIFS(Table1[[AwayWon]:[AwayWon]], Table1[[GameIsOver]:[GameIsOver]],1,Table1[[AwayTeam]:[AwayTeam]],$A25, Table1[[HomeTeam]:[HomeTeam]], R$1) + SUMIFS(Table1[[HomeWon]:[HomeWon]], Table1[[GameIsOver]:[GameIsOver]],1,Table1[[HomeTeam]:[HomeTeam]],$A25, Table1[[AwayTeam]:[AwayTeam]], R$1),0), "-", TEXT(SUMIFS(Table1[[HomeWon]:[HomeWon]], Table1[[GameIsOver]:[GameIsOver]],1,Table1[[AwayTeam]:[AwayTeam]],$A25, Table1[[HomeTeam]:[HomeTeam]], R$1, Table1[[ActualResult]:[ActualResult]], "REG") + SUMIFS(Table1[[AwayWon]:[AwayWon]], Table1[[GameIsOver]:[GameIsOver]],1,Table1[[HomeTeam]:[HomeTeam]],$A25, Table1[[AwayTeam]:[AwayTeam]], R$1, Table1[[ActualResult]:[ActualResult]], "REG"),0), "-", TEXT(SUMIFS(Table1[[HomeWon]:[HomeWon]], Table1[[GameIsOver]:[GameIsOver]],1,Table1[[AwayTeam]:[AwayTeam]],$A25, Table1[[HomeTeam]:[HomeTeam]], R$1, Table1[[ActualResult]:[ActualResult]], "OT") + SUMIFS(Table1[[AwayWon]:[AwayWon]], Table1[[GameIsOver]:[GameIsOver]],1,Table1[[HomeTeam]:[HomeTeam]],$A25, Table1[[AwayTeam]:[AwayTeam]], R$1, Table1[[ActualResult]:[ActualResult]], "OT") + SUMIFS(Table1[[HomeWon]:[HomeWon]], Table1[[GameIsOver]:[GameIsOver]],1,Table1[[AwayTeam]:[AwayTeam]],$A25, Table1[[HomeTeam]:[HomeTeam]], R$1, Table1[[ActualResult]:[ActualResult]], "SO") + SUMIFS(Table1[[AwayWon]:[AwayWon]], Table1[[GameIsOver]:[GameIsOver]],1,Table1[[HomeTeam]:[HomeTeam]],$A25, Table1[[AwayTeam]:[AwayTeam]], R$1, Table1[[ActualResult]:[ActualResult]], "SO"),0))</f>
        <v>0-1-0</v>
      </c>
      <c r="S25" s="47" t="str">
        <f>_xlfn.CONCAT(TEXT(SUMIFS(Table1[[AwayWon]:[AwayWon]], Table1[[GameIsOver]:[GameIsOver]],1,Table1[[AwayTeam]:[AwayTeam]],$A25, Table1[[HomeTeam]:[HomeTeam]], S$1) + SUMIFS(Table1[[HomeWon]:[HomeWon]], Table1[[GameIsOver]:[GameIsOver]],1,Table1[[HomeTeam]:[HomeTeam]],$A25, Table1[[AwayTeam]:[AwayTeam]], S$1),0), "-", TEXT(SUMIFS(Table1[[HomeWon]:[HomeWon]], Table1[[GameIsOver]:[GameIsOver]],1,Table1[[AwayTeam]:[AwayTeam]],$A25, Table1[[HomeTeam]:[HomeTeam]], S$1, Table1[[ActualResult]:[ActualResult]], "REG") + SUMIFS(Table1[[AwayWon]:[AwayWon]], Table1[[GameIsOver]:[GameIsOver]],1,Table1[[HomeTeam]:[HomeTeam]],$A25, Table1[[AwayTeam]:[AwayTeam]], S$1, Table1[[ActualResult]:[ActualResult]], "REG"),0), "-", TEXT(SUMIFS(Table1[[HomeWon]:[HomeWon]], Table1[[GameIsOver]:[GameIsOver]],1,Table1[[AwayTeam]:[AwayTeam]],$A25, Table1[[HomeTeam]:[HomeTeam]], S$1, Table1[[ActualResult]:[ActualResult]], "OT") + SUMIFS(Table1[[AwayWon]:[AwayWon]], Table1[[GameIsOver]:[GameIsOver]],1,Table1[[HomeTeam]:[HomeTeam]],$A25, Table1[[AwayTeam]:[AwayTeam]], S$1, Table1[[ActualResult]:[ActualResult]], "OT") + SUMIFS(Table1[[HomeWon]:[HomeWon]], Table1[[GameIsOver]:[GameIsOver]],1,Table1[[AwayTeam]:[AwayTeam]],$A25, Table1[[HomeTeam]:[HomeTeam]], S$1, Table1[[ActualResult]:[ActualResult]], "SO") + SUMIFS(Table1[[AwayWon]:[AwayWon]], Table1[[GameIsOver]:[GameIsOver]],1,Table1[[HomeTeam]:[HomeTeam]],$A25, Table1[[AwayTeam]:[AwayTeam]], S$1, Table1[[ActualResult]:[ActualResult]], "SO"),0))</f>
        <v>0-0-0</v>
      </c>
      <c r="T25" s="47" t="str">
        <f>_xlfn.CONCAT(TEXT(SUMIFS(Table1[[AwayWon]:[AwayWon]], Table1[[GameIsOver]:[GameIsOver]],1,Table1[[AwayTeam]:[AwayTeam]],$A25, Table1[[HomeTeam]:[HomeTeam]], T$1) + SUMIFS(Table1[[HomeWon]:[HomeWon]], Table1[[GameIsOver]:[GameIsOver]],1,Table1[[HomeTeam]:[HomeTeam]],$A25, Table1[[AwayTeam]:[AwayTeam]], T$1),0), "-", TEXT(SUMIFS(Table1[[HomeWon]:[HomeWon]], Table1[[GameIsOver]:[GameIsOver]],1,Table1[[AwayTeam]:[AwayTeam]],$A25, Table1[[HomeTeam]:[HomeTeam]], T$1, Table1[[ActualResult]:[ActualResult]], "REG") + SUMIFS(Table1[[AwayWon]:[AwayWon]], Table1[[GameIsOver]:[GameIsOver]],1,Table1[[HomeTeam]:[HomeTeam]],$A25, Table1[[AwayTeam]:[AwayTeam]], T$1, Table1[[ActualResult]:[ActualResult]], "REG"),0), "-", TEXT(SUMIFS(Table1[[HomeWon]:[HomeWon]], Table1[[GameIsOver]:[GameIsOver]],1,Table1[[AwayTeam]:[AwayTeam]],$A25, Table1[[HomeTeam]:[HomeTeam]], T$1, Table1[[ActualResult]:[ActualResult]], "OT") + SUMIFS(Table1[[AwayWon]:[AwayWon]], Table1[[GameIsOver]:[GameIsOver]],1,Table1[[HomeTeam]:[HomeTeam]],$A25, Table1[[AwayTeam]:[AwayTeam]], T$1, Table1[[ActualResult]:[ActualResult]], "OT") + SUMIFS(Table1[[HomeWon]:[HomeWon]], Table1[[GameIsOver]:[GameIsOver]],1,Table1[[AwayTeam]:[AwayTeam]],$A25, Table1[[HomeTeam]:[HomeTeam]], T$1, Table1[[ActualResult]:[ActualResult]], "SO") + SUMIFS(Table1[[AwayWon]:[AwayWon]], Table1[[GameIsOver]:[GameIsOver]],1,Table1[[HomeTeam]:[HomeTeam]],$A25, Table1[[AwayTeam]:[AwayTeam]], T$1, Table1[[ActualResult]:[ActualResult]], "SO"),0))</f>
        <v>0-0-0</v>
      </c>
      <c r="U25" s="47" t="str">
        <f>_xlfn.CONCAT(TEXT(SUMIFS(Table1[[AwayWon]:[AwayWon]], Table1[[GameIsOver]:[GameIsOver]],1,Table1[[AwayTeam]:[AwayTeam]],$A25, Table1[[HomeTeam]:[HomeTeam]], U$1) + SUMIFS(Table1[[HomeWon]:[HomeWon]], Table1[[GameIsOver]:[GameIsOver]],1,Table1[[HomeTeam]:[HomeTeam]],$A25, Table1[[AwayTeam]:[AwayTeam]], U$1),0), "-", TEXT(SUMIFS(Table1[[HomeWon]:[HomeWon]], Table1[[GameIsOver]:[GameIsOver]],1,Table1[[AwayTeam]:[AwayTeam]],$A25, Table1[[HomeTeam]:[HomeTeam]], U$1, Table1[[ActualResult]:[ActualResult]], "REG") + SUMIFS(Table1[[AwayWon]:[AwayWon]], Table1[[GameIsOver]:[GameIsOver]],1,Table1[[HomeTeam]:[HomeTeam]],$A25, Table1[[AwayTeam]:[AwayTeam]], U$1, Table1[[ActualResult]:[ActualResult]], "REG"),0), "-", TEXT(SUMIFS(Table1[[HomeWon]:[HomeWon]], Table1[[GameIsOver]:[GameIsOver]],1,Table1[[AwayTeam]:[AwayTeam]],$A25, Table1[[HomeTeam]:[HomeTeam]], U$1, Table1[[ActualResult]:[ActualResult]], "OT") + SUMIFS(Table1[[AwayWon]:[AwayWon]], Table1[[GameIsOver]:[GameIsOver]],1,Table1[[HomeTeam]:[HomeTeam]],$A25, Table1[[AwayTeam]:[AwayTeam]], U$1, Table1[[ActualResult]:[ActualResult]], "OT") + SUMIFS(Table1[[HomeWon]:[HomeWon]], Table1[[GameIsOver]:[GameIsOver]],1,Table1[[AwayTeam]:[AwayTeam]],$A25, Table1[[HomeTeam]:[HomeTeam]], U$1, Table1[[ActualResult]:[ActualResult]], "SO") + SUMIFS(Table1[[AwayWon]:[AwayWon]], Table1[[GameIsOver]:[GameIsOver]],1,Table1[[HomeTeam]:[HomeTeam]],$A25, Table1[[AwayTeam]:[AwayTeam]], U$1, Table1[[ActualResult]:[ActualResult]], "SO"),0))</f>
        <v>0-0-0</v>
      </c>
      <c r="V25" s="47" t="str">
        <f>_xlfn.CONCAT(TEXT(SUMIFS(Table1[[AwayWon]:[AwayWon]], Table1[[GameIsOver]:[GameIsOver]],1,Table1[[AwayTeam]:[AwayTeam]],$A25, Table1[[HomeTeam]:[HomeTeam]], V$1) + SUMIFS(Table1[[HomeWon]:[HomeWon]], Table1[[GameIsOver]:[GameIsOver]],1,Table1[[HomeTeam]:[HomeTeam]],$A25, Table1[[AwayTeam]:[AwayTeam]], V$1),0), "-", TEXT(SUMIFS(Table1[[HomeWon]:[HomeWon]], Table1[[GameIsOver]:[GameIsOver]],1,Table1[[AwayTeam]:[AwayTeam]],$A25, Table1[[HomeTeam]:[HomeTeam]], V$1, Table1[[ActualResult]:[ActualResult]], "REG") + SUMIFS(Table1[[AwayWon]:[AwayWon]], Table1[[GameIsOver]:[GameIsOver]],1,Table1[[HomeTeam]:[HomeTeam]],$A25, Table1[[AwayTeam]:[AwayTeam]], V$1, Table1[[ActualResult]:[ActualResult]], "REG"),0), "-", TEXT(SUMIFS(Table1[[HomeWon]:[HomeWon]], Table1[[GameIsOver]:[GameIsOver]],1,Table1[[AwayTeam]:[AwayTeam]],$A25, Table1[[HomeTeam]:[HomeTeam]], V$1, Table1[[ActualResult]:[ActualResult]], "OT") + SUMIFS(Table1[[AwayWon]:[AwayWon]], Table1[[GameIsOver]:[GameIsOver]],1,Table1[[HomeTeam]:[HomeTeam]],$A25, Table1[[AwayTeam]:[AwayTeam]], V$1, Table1[[ActualResult]:[ActualResult]], "OT") + SUMIFS(Table1[[HomeWon]:[HomeWon]], Table1[[GameIsOver]:[GameIsOver]],1,Table1[[AwayTeam]:[AwayTeam]],$A25, Table1[[HomeTeam]:[HomeTeam]], V$1, Table1[[ActualResult]:[ActualResult]], "SO") + SUMIFS(Table1[[AwayWon]:[AwayWon]], Table1[[GameIsOver]:[GameIsOver]],1,Table1[[HomeTeam]:[HomeTeam]],$A25, Table1[[AwayTeam]:[AwayTeam]], V$1, Table1[[ActualResult]:[ActualResult]], "SO"),0))</f>
        <v>0-0-0</v>
      </c>
      <c r="W25" s="47" t="str">
        <f>_xlfn.CONCAT(TEXT(SUMIFS(Table1[[AwayWon]:[AwayWon]], Table1[[GameIsOver]:[GameIsOver]],1,Table1[[AwayTeam]:[AwayTeam]],$A25, Table1[[HomeTeam]:[HomeTeam]], W$1) + SUMIFS(Table1[[HomeWon]:[HomeWon]], Table1[[GameIsOver]:[GameIsOver]],1,Table1[[HomeTeam]:[HomeTeam]],$A25, Table1[[AwayTeam]:[AwayTeam]], W$1),0), "-", TEXT(SUMIFS(Table1[[HomeWon]:[HomeWon]], Table1[[GameIsOver]:[GameIsOver]],1,Table1[[AwayTeam]:[AwayTeam]],$A25, Table1[[HomeTeam]:[HomeTeam]], W$1, Table1[[ActualResult]:[ActualResult]], "REG") + SUMIFS(Table1[[AwayWon]:[AwayWon]], Table1[[GameIsOver]:[GameIsOver]],1,Table1[[HomeTeam]:[HomeTeam]],$A25, Table1[[AwayTeam]:[AwayTeam]], W$1, Table1[[ActualResult]:[ActualResult]], "REG"),0), "-", TEXT(SUMIFS(Table1[[HomeWon]:[HomeWon]], Table1[[GameIsOver]:[GameIsOver]],1,Table1[[AwayTeam]:[AwayTeam]],$A25, Table1[[HomeTeam]:[HomeTeam]], W$1, Table1[[ActualResult]:[ActualResult]], "OT") + SUMIFS(Table1[[AwayWon]:[AwayWon]], Table1[[GameIsOver]:[GameIsOver]],1,Table1[[HomeTeam]:[HomeTeam]],$A25, Table1[[AwayTeam]:[AwayTeam]], W$1, Table1[[ActualResult]:[ActualResult]], "OT") + SUMIFS(Table1[[HomeWon]:[HomeWon]], Table1[[GameIsOver]:[GameIsOver]],1,Table1[[AwayTeam]:[AwayTeam]],$A25, Table1[[HomeTeam]:[HomeTeam]], W$1, Table1[[ActualResult]:[ActualResult]], "SO") + SUMIFS(Table1[[AwayWon]:[AwayWon]], Table1[[GameIsOver]:[GameIsOver]],1,Table1[[HomeTeam]:[HomeTeam]],$A25, Table1[[AwayTeam]:[AwayTeam]], W$1, Table1[[ActualResult]:[ActualResult]], "SO"),0))</f>
        <v>0-0-0</v>
      </c>
      <c r="X25" s="47" t="str">
        <f>_xlfn.CONCAT(TEXT(SUMIFS(Table1[[AwayWon]:[AwayWon]], Table1[[GameIsOver]:[GameIsOver]],1,Table1[[AwayTeam]:[AwayTeam]],$A25, Table1[[HomeTeam]:[HomeTeam]], X$1) + SUMIFS(Table1[[HomeWon]:[HomeWon]], Table1[[GameIsOver]:[GameIsOver]],1,Table1[[HomeTeam]:[HomeTeam]],$A25, Table1[[AwayTeam]:[AwayTeam]], X$1),0), "-", TEXT(SUMIFS(Table1[[HomeWon]:[HomeWon]], Table1[[GameIsOver]:[GameIsOver]],1,Table1[[AwayTeam]:[AwayTeam]],$A25, Table1[[HomeTeam]:[HomeTeam]], X$1, Table1[[ActualResult]:[ActualResult]], "REG") + SUMIFS(Table1[[AwayWon]:[AwayWon]], Table1[[GameIsOver]:[GameIsOver]],1,Table1[[HomeTeam]:[HomeTeam]],$A25, Table1[[AwayTeam]:[AwayTeam]], X$1, Table1[[ActualResult]:[ActualResult]], "REG"),0), "-", TEXT(SUMIFS(Table1[[HomeWon]:[HomeWon]], Table1[[GameIsOver]:[GameIsOver]],1,Table1[[AwayTeam]:[AwayTeam]],$A25, Table1[[HomeTeam]:[HomeTeam]], X$1, Table1[[ActualResult]:[ActualResult]], "OT") + SUMIFS(Table1[[AwayWon]:[AwayWon]], Table1[[GameIsOver]:[GameIsOver]],1,Table1[[HomeTeam]:[HomeTeam]],$A25, Table1[[AwayTeam]:[AwayTeam]], X$1, Table1[[ActualResult]:[ActualResult]], "OT") + SUMIFS(Table1[[HomeWon]:[HomeWon]], Table1[[GameIsOver]:[GameIsOver]],1,Table1[[AwayTeam]:[AwayTeam]],$A25, Table1[[HomeTeam]:[HomeTeam]], X$1, Table1[[ActualResult]:[ActualResult]], "SO") + SUMIFS(Table1[[AwayWon]:[AwayWon]], Table1[[GameIsOver]:[GameIsOver]],1,Table1[[HomeTeam]:[HomeTeam]],$A25, Table1[[AwayTeam]:[AwayTeam]], X$1, Table1[[ActualResult]:[ActualResult]], "SO"),0))</f>
        <v>0-0-0</v>
      </c>
      <c r="Y25" s="48" t="str">
        <f>_xlfn.CONCAT(TEXT(SUMIFS(Table1[[AwayWon]:[AwayWon]], Table1[[GameIsOver]:[GameIsOver]],1,Table1[[AwayTeam]:[AwayTeam]],$A25, Table1[[HomeTeam]:[HomeTeam]], Y$1) + SUMIFS(Table1[[HomeWon]:[HomeWon]], Table1[[GameIsOver]:[GameIsOver]],1,Table1[[HomeTeam]:[HomeTeam]],$A25, Table1[[AwayTeam]:[AwayTeam]], Y$1),0), "-", TEXT(SUMIFS(Table1[[HomeWon]:[HomeWon]], Table1[[GameIsOver]:[GameIsOver]],1,Table1[[AwayTeam]:[AwayTeam]],$A25, Table1[[HomeTeam]:[HomeTeam]], Y$1, Table1[[ActualResult]:[ActualResult]], "REG") + SUMIFS(Table1[[AwayWon]:[AwayWon]], Table1[[GameIsOver]:[GameIsOver]],1,Table1[[HomeTeam]:[HomeTeam]],$A25, Table1[[AwayTeam]:[AwayTeam]], Y$1, Table1[[ActualResult]:[ActualResult]], "REG"),0), "-", TEXT(SUMIFS(Table1[[HomeWon]:[HomeWon]], Table1[[GameIsOver]:[GameIsOver]],1,Table1[[AwayTeam]:[AwayTeam]],$A25, Table1[[HomeTeam]:[HomeTeam]], Y$1, Table1[[ActualResult]:[ActualResult]], "OT") + SUMIFS(Table1[[AwayWon]:[AwayWon]], Table1[[GameIsOver]:[GameIsOver]],1,Table1[[HomeTeam]:[HomeTeam]],$A25, Table1[[AwayTeam]:[AwayTeam]], Y$1, Table1[[ActualResult]:[ActualResult]], "OT") + SUMIFS(Table1[[HomeWon]:[HomeWon]], Table1[[GameIsOver]:[GameIsOver]],1,Table1[[AwayTeam]:[AwayTeam]],$A25, Table1[[HomeTeam]:[HomeTeam]], Y$1, Table1[[ActualResult]:[ActualResult]], "SO") + SUMIFS(Table1[[AwayWon]:[AwayWon]], Table1[[GameIsOver]:[GameIsOver]],1,Table1[[HomeTeam]:[HomeTeam]],$A25, Table1[[AwayTeam]:[AwayTeam]], Y$1, Table1[[ActualResult]:[ActualResult]], "SO"),0))</f>
        <v>0-0-0</v>
      </c>
      <c r="Z25" s="47" t="str">
        <f>_xlfn.CONCAT(TEXT(SUMIFS(Table1[[AwayWon]:[AwayWon]], Table1[[GameIsOver]:[GameIsOver]],1,Table1[[AwayTeam]:[AwayTeam]],$A25, Table1[[HomeTeam]:[HomeTeam]], Z$1) + SUMIFS(Table1[[HomeWon]:[HomeWon]], Table1[[GameIsOver]:[GameIsOver]],1,Table1[[HomeTeam]:[HomeTeam]],$A25, Table1[[AwayTeam]:[AwayTeam]], Z$1),0), "-", TEXT(SUMIFS(Table1[[HomeWon]:[HomeWon]], Table1[[GameIsOver]:[GameIsOver]],1,Table1[[AwayTeam]:[AwayTeam]],$A25, Table1[[HomeTeam]:[HomeTeam]], Z$1, Table1[[ActualResult]:[ActualResult]], "REG") + SUMIFS(Table1[[AwayWon]:[AwayWon]], Table1[[GameIsOver]:[GameIsOver]],1,Table1[[HomeTeam]:[HomeTeam]],$A25, Table1[[AwayTeam]:[AwayTeam]], Z$1, Table1[[ActualResult]:[ActualResult]], "REG"),0), "-", TEXT(SUMIFS(Table1[[HomeWon]:[HomeWon]], Table1[[GameIsOver]:[GameIsOver]],1,Table1[[AwayTeam]:[AwayTeam]],$A25, Table1[[HomeTeam]:[HomeTeam]], Z$1, Table1[[ActualResult]:[ActualResult]], "OT") + SUMIFS(Table1[[AwayWon]:[AwayWon]], Table1[[GameIsOver]:[GameIsOver]],1,Table1[[HomeTeam]:[HomeTeam]],$A25, Table1[[AwayTeam]:[AwayTeam]], Z$1, Table1[[ActualResult]:[ActualResult]], "OT") + SUMIFS(Table1[[HomeWon]:[HomeWon]], Table1[[GameIsOver]:[GameIsOver]],1,Table1[[AwayTeam]:[AwayTeam]],$A25, Table1[[HomeTeam]:[HomeTeam]], Z$1, Table1[[ActualResult]:[ActualResult]], "SO") + SUMIFS(Table1[[AwayWon]:[AwayWon]], Table1[[GameIsOver]:[GameIsOver]],1,Table1[[HomeTeam]:[HomeTeam]],$A25, Table1[[AwayTeam]:[AwayTeam]], Z$1, Table1[[ActualResult]:[ActualResult]], "SO"),0))</f>
        <v>0-0-0</v>
      </c>
      <c r="AA25" s="47" t="str">
        <f>_xlfn.CONCAT(TEXT(SUMIFS(Table1[[AwayWon]:[AwayWon]], Table1[[GameIsOver]:[GameIsOver]],1,Table1[[AwayTeam]:[AwayTeam]],$A25, Table1[[HomeTeam]:[HomeTeam]], AA$1) + SUMIFS(Table1[[HomeWon]:[HomeWon]], Table1[[GameIsOver]:[GameIsOver]],1,Table1[[HomeTeam]:[HomeTeam]],$A25, Table1[[AwayTeam]:[AwayTeam]], AA$1),0), "-", TEXT(SUMIFS(Table1[[HomeWon]:[HomeWon]], Table1[[GameIsOver]:[GameIsOver]],1,Table1[[AwayTeam]:[AwayTeam]],$A25, Table1[[HomeTeam]:[HomeTeam]], AA$1, Table1[[ActualResult]:[ActualResult]], "REG") + SUMIFS(Table1[[AwayWon]:[AwayWon]], Table1[[GameIsOver]:[GameIsOver]],1,Table1[[HomeTeam]:[HomeTeam]],$A25, Table1[[AwayTeam]:[AwayTeam]], AA$1, Table1[[ActualResult]:[ActualResult]], "REG"),0), "-", TEXT(SUMIFS(Table1[[HomeWon]:[HomeWon]], Table1[[GameIsOver]:[GameIsOver]],1,Table1[[AwayTeam]:[AwayTeam]],$A25, Table1[[HomeTeam]:[HomeTeam]], AA$1, Table1[[ActualResult]:[ActualResult]], "OT") + SUMIFS(Table1[[AwayWon]:[AwayWon]], Table1[[GameIsOver]:[GameIsOver]],1,Table1[[HomeTeam]:[HomeTeam]],$A25, Table1[[AwayTeam]:[AwayTeam]], AA$1, Table1[[ActualResult]:[ActualResult]], "OT") + SUMIFS(Table1[[HomeWon]:[HomeWon]], Table1[[GameIsOver]:[GameIsOver]],1,Table1[[AwayTeam]:[AwayTeam]],$A25, Table1[[HomeTeam]:[HomeTeam]], AA$1, Table1[[ActualResult]:[ActualResult]], "SO") + SUMIFS(Table1[[AwayWon]:[AwayWon]], Table1[[GameIsOver]:[GameIsOver]],1,Table1[[HomeTeam]:[HomeTeam]],$A25, Table1[[AwayTeam]:[AwayTeam]], AA$1, Table1[[ActualResult]:[ActualResult]], "SO"),0))</f>
        <v>0-0-0</v>
      </c>
      <c r="AB25" s="47" t="str">
        <f>_xlfn.CONCAT(TEXT(SUMIFS(Table1[[AwayWon]:[AwayWon]], Table1[[GameIsOver]:[GameIsOver]],1,Table1[[AwayTeam]:[AwayTeam]],$A25, Table1[[HomeTeam]:[HomeTeam]], AB$1) + SUMIFS(Table1[[HomeWon]:[HomeWon]], Table1[[GameIsOver]:[GameIsOver]],1,Table1[[HomeTeam]:[HomeTeam]],$A25, Table1[[AwayTeam]:[AwayTeam]], AB$1),0), "-", TEXT(SUMIFS(Table1[[HomeWon]:[HomeWon]], Table1[[GameIsOver]:[GameIsOver]],1,Table1[[AwayTeam]:[AwayTeam]],$A25, Table1[[HomeTeam]:[HomeTeam]], AB$1, Table1[[ActualResult]:[ActualResult]], "REG") + SUMIFS(Table1[[AwayWon]:[AwayWon]], Table1[[GameIsOver]:[GameIsOver]],1,Table1[[HomeTeam]:[HomeTeam]],$A25, Table1[[AwayTeam]:[AwayTeam]], AB$1, Table1[[ActualResult]:[ActualResult]], "REG"),0), "-", TEXT(SUMIFS(Table1[[HomeWon]:[HomeWon]], Table1[[GameIsOver]:[GameIsOver]],1,Table1[[AwayTeam]:[AwayTeam]],$A25, Table1[[HomeTeam]:[HomeTeam]], AB$1, Table1[[ActualResult]:[ActualResult]], "OT") + SUMIFS(Table1[[AwayWon]:[AwayWon]], Table1[[GameIsOver]:[GameIsOver]],1,Table1[[HomeTeam]:[HomeTeam]],$A25, Table1[[AwayTeam]:[AwayTeam]], AB$1, Table1[[ActualResult]:[ActualResult]], "OT") + SUMIFS(Table1[[HomeWon]:[HomeWon]], Table1[[GameIsOver]:[GameIsOver]],1,Table1[[AwayTeam]:[AwayTeam]],$A25, Table1[[HomeTeam]:[HomeTeam]], AB$1, Table1[[ActualResult]:[ActualResult]], "SO") + SUMIFS(Table1[[AwayWon]:[AwayWon]], Table1[[GameIsOver]:[GameIsOver]],1,Table1[[HomeTeam]:[HomeTeam]],$A25, Table1[[AwayTeam]:[AwayTeam]], AB$1, Table1[[ActualResult]:[ActualResult]], "SO"),0))</f>
        <v>0-0-0</v>
      </c>
      <c r="AC25" s="47" t="str">
        <f>_xlfn.CONCAT(TEXT(SUMIFS(Table1[[AwayWon]:[AwayWon]], Table1[[GameIsOver]:[GameIsOver]],1,Table1[[AwayTeam]:[AwayTeam]],$A25, Table1[[HomeTeam]:[HomeTeam]], AC$1) + SUMIFS(Table1[[HomeWon]:[HomeWon]], Table1[[GameIsOver]:[GameIsOver]],1,Table1[[HomeTeam]:[HomeTeam]],$A25, Table1[[AwayTeam]:[AwayTeam]], AC$1),0), "-", TEXT(SUMIFS(Table1[[HomeWon]:[HomeWon]], Table1[[GameIsOver]:[GameIsOver]],1,Table1[[AwayTeam]:[AwayTeam]],$A25, Table1[[HomeTeam]:[HomeTeam]], AC$1, Table1[[ActualResult]:[ActualResult]], "REG") + SUMIFS(Table1[[AwayWon]:[AwayWon]], Table1[[GameIsOver]:[GameIsOver]],1,Table1[[HomeTeam]:[HomeTeam]],$A25, Table1[[AwayTeam]:[AwayTeam]], AC$1, Table1[[ActualResult]:[ActualResult]], "REG"),0), "-", TEXT(SUMIFS(Table1[[HomeWon]:[HomeWon]], Table1[[GameIsOver]:[GameIsOver]],1,Table1[[AwayTeam]:[AwayTeam]],$A25, Table1[[HomeTeam]:[HomeTeam]], AC$1, Table1[[ActualResult]:[ActualResult]], "OT") + SUMIFS(Table1[[AwayWon]:[AwayWon]], Table1[[GameIsOver]:[GameIsOver]],1,Table1[[HomeTeam]:[HomeTeam]],$A25, Table1[[AwayTeam]:[AwayTeam]], AC$1, Table1[[ActualResult]:[ActualResult]], "OT") + SUMIFS(Table1[[HomeWon]:[HomeWon]], Table1[[GameIsOver]:[GameIsOver]],1,Table1[[AwayTeam]:[AwayTeam]],$A25, Table1[[HomeTeam]:[HomeTeam]], AC$1, Table1[[ActualResult]:[ActualResult]], "SO") + SUMIFS(Table1[[AwayWon]:[AwayWon]], Table1[[GameIsOver]:[GameIsOver]],1,Table1[[HomeTeam]:[HomeTeam]],$A25, Table1[[AwayTeam]:[AwayTeam]], AC$1, Table1[[ActualResult]:[ActualResult]], "SO"),0))</f>
        <v>0-0-0</v>
      </c>
      <c r="AD25" s="47" t="str">
        <f>_xlfn.CONCAT(TEXT(SUMIFS(Table1[[AwayWon]:[AwayWon]], Table1[[GameIsOver]:[GameIsOver]],1,Table1[[AwayTeam]:[AwayTeam]],$A25, Table1[[HomeTeam]:[HomeTeam]], AD$1) + SUMIFS(Table1[[HomeWon]:[HomeWon]], Table1[[GameIsOver]:[GameIsOver]],1,Table1[[HomeTeam]:[HomeTeam]],$A25, Table1[[AwayTeam]:[AwayTeam]], AD$1),0), "-", TEXT(SUMIFS(Table1[[HomeWon]:[HomeWon]], Table1[[GameIsOver]:[GameIsOver]],1,Table1[[AwayTeam]:[AwayTeam]],$A25, Table1[[HomeTeam]:[HomeTeam]], AD$1, Table1[[ActualResult]:[ActualResult]], "REG") + SUMIFS(Table1[[AwayWon]:[AwayWon]], Table1[[GameIsOver]:[GameIsOver]],1,Table1[[HomeTeam]:[HomeTeam]],$A25, Table1[[AwayTeam]:[AwayTeam]], AD$1, Table1[[ActualResult]:[ActualResult]], "REG"),0), "-", TEXT(SUMIFS(Table1[[HomeWon]:[HomeWon]], Table1[[GameIsOver]:[GameIsOver]],1,Table1[[AwayTeam]:[AwayTeam]],$A25, Table1[[HomeTeam]:[HomeTeam]], AD$1, Table1[[ActualResult]:[ActualResult]], "OT") + SUMIFS(Table1[[AwayWon]:[AwayWon]], Table1[[GameIsOver]:[GameIsOver]],1,Table1[[HomeTeam]:[HomeTeam]],$A25, Table1[[AwayTeam]:[AwayTeam]], AD$1, Table1[[ActualResult]:[ActualResult]], "OT") + SUMIFS(Table1[[HomeWon]:[HomeWon]], Table1[[GameIsOver]:[GameIsOver]],1,Table1[[AwayTeam]:[AwayTeam]],$A25, Table1[[HomeTeam]:[HomeTeam]], AD$1, Table1[[ActualResult]:[ActualResult]], "SO") + SUMIFS(Table1[[AwayWon]:[AwayWon]], Table1[[GameIsOver]:[GameIsOver]],1,Table1[[HomeTeam]:[HomeTeam]],$A25, Table1[[AwayTeam]:[AwayTeam]], AD$1, Table1[[ActualResult]:[ActualResult]], "SO"),0))</f>
        <v>0-0-0</v>
      </c>
      <c r="AE25" s="47" t="str">
        <f>_xlfn.CONCAT(TEXT(SUMIFS(Table1[[AwayWon]:[AwayWon]], Table1[[GameIsOver]:[GameIsOver]],1,Table1[[AwayTeam]:[AwayTeam]],$A25, Table1[[HomeTeam]:[HomeTeam]], AE$1) + SUMIFS(Table1[[HomeWon]:[HomeWon]], Table1[[GameIsOver]:[GameIsOver]],1,Table1[[HomeTeam]:[HomeTeam]],$A25, Table1[[AwayTeam]:[AwayTeam]], AE$1),0), "-", TEXT(SUMIFS(Table1[[HomeWon]:[HomeWon]], Table1[[GameIsOver]:[GameIsOver]],1,Table1[[AwayTeam]:[AwayTeam]],$A25, Table1[[HomeTeam]:[HomeTeam]], AE$1, Table1[[ActualResult]:[ActualResult]], "REG") + SUMIFS(Table1[[AwayWon]:[AwayWon]], Table1[[GameIsOver]:[GameIsOver]],1,Table1[[HomeTeam]:[HomeTeam]],$A25, Table1[[AwayTeam]:[AwayTeam]], AE$1, Table1[[ActualResult]:[ActualResult]], "REG"),0), "-", TEXT(SUMIFS(Table1[[HomeWon]:[HomeWon]], Table1[[GameIsOver]:[GameIsOver]],1,Table1[[AwayTeam]:[AwayTeam]],$A25, Table1[[HomeTeam]:[HomeTeam]], AE$1, Table1[[ActualResult]:[ActualResult]], "OT") + SUMIFS(Table1[[AwayWon]:[AwayWon]], Table1[[GameIsOver]:[GameIsOver]],1,Table1[[HomeTeam]:[HomeTeam]],$A25, Table1[[AwayTeam]:[AwayTeam]], AE$1, Table1[[ActualResult]:[ActualResult]], "OT") + SUMIFS(Table1[[HomeWon]:[HomeWon]], Table1[[GameIsOver]:[GameIsOver]],1,Table1[[AwayTeam]:[AwayTeam]],$A25, Table1[[HomeTeam]:[HomeTeam]], AE$1, Table1[[ActualResult]:[ActualResult]], "SO") + SUMIFS(Table1[[AwayWon]:[AwayWon]], Table1[[GameIsOver]:[GameIsOver]],1,Table1[[HomeTeam]:[HomeTeam]],$A25, Table1[[AwayTeam]:[AwayTeam]], AE$1, Table1[[ActualResult]:[ActualResult]], "SO"),0))</f>
        <v>0-0-0</v>
      </c>
      <c r="AF25" s="47" t="str">
        <f>_xlfn.CONCAT(TEXT(SUMIFS(Table1[[AwayWon]:[AwayWon]], Table1[[GameIsOver]:[GameIsOver]],1,Table1[[AwayTeam]:[AwayTeam]],$A25, Table1[[HomeTeam]:[HomeTeam]], AF$1) + SUMIFS(Table1[[HomeWon]:[HomeWon]], Table1[[GameIsOver]:[GameIsOver]],1,Table1[[HomeTeam]:[HomeTeam]],$A25, Table1[[AwayTeam]:[AwayTeam]], AF$1),0), "-", TEXT(SUMIFS(Table1[[HomeWon]:[HomeWon]], Table1[[GameIsOver]:[GameIsOver]],1,Table1[[AwayTeam]:[AwayTeam]],$A25, Table1[[HomeTeam]:[HomeTeam]], AF$1, Table1[[ActualResult]:[ActualResult]], "REG") + SUMIFS(Table1[[AwayWon]:[AwayWon]], Table1[[GameIsOver]:[GameIsOver]],1,Table1[[HomeTeam]:[HomeTeam]],$A25, Table1[[AwayTeam]:[AwayTeam]], AF$1, Table1[[ActualResult]:[ActualResult]], "REG"),0), "-", TEXT(SUMIFS(Table1[[HomeWon]:[HomeWon]], Table1[[GameIsOver]:[GameIsOver]],1,Table1[[AwayTeam]:[AwayTeam]],$A25, Table1[[HomeTeam]:[HomeTeam]], AF$1, Table1[[ActualResult]:[ActualResult]], "OT") + SUMIFS(Table1[[AwayWon]:[AwayWon]], Table1[[GameIsOver]:[GameIsOver]],1,Table1[[HomeTeam]:[HomeTeam]],$A25, Table1[[AwayTeam]:[AwayTeam]], AF$1, Table1[[ActualResult]:[ActualResult]], "OT") + SUMIFS(Table1[[HomeWon]:[HomeWon]], Table1[[GameIsOver]:[GameIsOver]],1,Table1[[AwayTeam]:[AwayTeam]],$A25, Table1[[HomeTeam]:[HomeTeam]], AF$1, Table1[[ActualResult]:[ActualResult]], "SO") + SUMIFS(Table1[[AwayWon]:[AwayWon]], Table1[[GameIsOver]:[GameIsOver]],1,Table1[[HomeTeam]:[HomeTeam]],$A25, Table1[[AwayTeam]:[AwayTeam]], AF$1, Table1[[ActualResult]:[ActualResult]], "SO"),0))</f>
        <v>0-0-0</v>
      </c>
      <c r="AG25" s="47" t="str">
        <f>_xlfn.CONCAT(TEXT(SUMIFS(Table1[[AwayWon]:[AwayWon]], Table1[[GameIsOver]:[GameIsOver]],1,Table1[[AwayTeam]:[AwayTeam]],$A25, Table1[[HomeTeam]:[HomeTeam]], AG$1) + SUMIFS(Table1[[HomeWon]:[HomeWon]], Table1[[GameIsOver]:[GameIsOver]],1,Table1[[HomeTeam]:[HomeTeam]],$A25, Table1[[AwayTeam]:[AwayTeam]], AG$1),0), "-", TEXT(SUMIFS(Table1[[HomeWon]:[HomeWon]], Table1[[GameIsOver]:[GameIsOver]],1,Table1[[AwayTeam]:[AwayTeam]],$A25, Table1[[HomeTeam]:[HomeTeam]], AG$1, Table1[[ActualResult]:[ActualResult]], "REG") + SUMIFS(Table1[[AwayWon]:[AwayWon]], Table1[[GameIsOver]:[GameIsOver]],1,Table1[[HomeTeam]:[HomeTeam]],$A25, Table1[[AwayTeam]:[AwayTeam]], AG$1, Table1[[ActualResult]:[ActualResult]], "REG"),0), "-", TEXT(SUMIFS(Table1[[HomeWon]:[HomeWon]], Table1[[GameIsOver]:[GameIsOver]],1,Table1[[AwayTeam]:[AwayTeam]],$A25, Table1[[HomeTeam]:[HomeTeam]], AG$1, Table1[[ActualResult]:[ActualResult]], "OT") + SUMIFS(Table1[[AwayWon]:[AwayWon]], Table1[[GameIsOver]:[GameIsOver]],1,Table1[[HomeTeam]:[HomeTeam]],$A25, Table1[[AwayTeam]:[AwayTeam]], AG$1, Table1[[ActualResult]:[ActualResult]], "OT") + SUMIFS(Table1[[HomeWon]:[HomeWon]], Table1[[GameIsOver]:[GameIsOver]],1,Table1[[AwayTeam]:[AwayTeam]],$A25, Table1[[HomeTeam]:[HomeTeam]], AG$1, Table1[[ActualResult]:[ActualResult]], "SO") + SUMIFS(Table1[[AwayWon]:[AwayWon]], Table1[[GameIsOver]:[GameIsOver]],1,Table1[[HomeTeam]:[HomeTeam]],$A25, Table1[[AwayTeam]:[AwayTeam]], AG$1, Table1[[ActualResult]:[ActualResult]], "SO"),0))</f>
        <v>0-0-0</v>
      </c>
    </row>
    <row r="26" spans="1:33" ht="15.75" thickTop="1" x14ac:dyDescent="0.25">
      <c r="A26" s="17" t="s">
        <v>37</v>
      </c>
      <c r="B26" s="43" t="str">
        <f>_xlfn.CONCAT(TEXT(SUMIFS(Table1[[AwayWon]:[AwayWon]], Table1[[GameIsOver]:[GameIsOver]],1,Table1[[AwayTeam]:[AwayTeam]],$A26, Table1[[HomeTeam]:[HomeTeam]], B$1) + SUMIFS(Table1[[HomeWon]:[HomeWon]], Table1[[GameIsOver]:[GameIsOver]],1,Table1[[HomeTeam]:[HomeTeam]],$A26, Table1[[AwayTeam]:[AwayTeam]], B$1),0), "-", TEXT(SUMIFS(Table1[[HomeWon]:[HomeWon]], Table1[[GameIsOver]:[GameIsOver]],1,Table1[[AwayTeam]:[AwayTeam]],$A26, Table1[[HomeTeam]:[HomeTeam]], B$1, Table1[[ActualResult]:[ActualResult]], "REG") + SUMIFS(Table1[[AwayWon]:[AwayWon]], Table1[[GameIsOver]:[GameIsOver]],1,Table1[[HomeTeam]:[HomeTeam]],$A26, Table1[[AwayTeam]:[AwayTeam]], B$1, Table1[[ActualResult]:[ActualResult]], "REG"),0), "-", TEXT(SUMIFS(Table1[[HomeWon]:[HomeWon]], Table1[[GameIsOver]:[GameIsOver]],1,Table1[[AwayTeam]:[AwayTeam]],$A26, Table1[[HomeTeam]:[HomeTeam]], B$1, Table1[[ActualResult]:[ActualResult]], "OT") + SUMIFS(Table1[[AwayWon]:[AwayWon]], Table1[[GameIsOver]:[GameIsOver]],1,Table1[[HomeTeam]:[HomeTeam]],$A26, Table1[[AwayTeam]:[AwayTeam]], B$1, Table1[[ActualResult]:[ActualResult]], "OT") + SUMIFS(Table1[[HomeWon]:[HomeWon]], Table1[[GameIsOver]:[GameIsOver]],1,Table1[[AwayTeam]:[AwayTeam]],$A26, Table1[[HomeTeam]:[HomeTeam]], B$1, Table1[[ActualResult]:[ActualResult]], "SO") + SUMIFS(Table1[[AwayWon]:[AwayWon]], Table1[[GameIsOver]:[GameIsOver]],1,Table1[[HomeTeam]:[HomeTeam]],$A26, Table1[[AwayTeam]:[AwayTeam]], B$1, Table1[[ActualResult]:[ActualResult]], "SO"),0))</f>
        <v>0-0-0</v>
      </c>
      <c r="C26" s="43" t="str">
        <f>_xlfn.CONCAT(TEXT(SUMIFS(Table1[[AwayWon]:[AwayWon]], Table1[[GameIsOver]:[GameIsOver]],1,Table1[[AwayTeam]:[AwayTeam]],$A26, Table1[[HomeTeam]:[HomeTeam]], C$1) + SUMIFS(Table1[[HomeWon]:[HomeWon]], Table1[[GameIsOver]:[GameIsOver]],1,Table1[[HomeTeam]:[HomeTeam]],$A26, Table1[[AwayTeam]:[AwayTeam]], C$1),0), "-", TEXT(SUMIFS(Table1[[HomeWon]:[HomeWon]], Table1[[GameIsOver]:[GameIsOver]],1,Table1[[AwayTeam]:[AwayTeam]],$A26, Table1[[HomeTeam]:[HomeTeam]], C$1, Table1[[ActualResult]:[ActualResult]], "REG") + SUMIFS(Table1[[AwayWon]:[AwayWon]], Table1[[GameIsOver]:[GameIsOver]],1,Table1[[HomeTeam]:[HomeTeam]],$A26, Table1[[AwayTeam]:[AwayTeam]], C$1, Table1[[ActualResult]:[ActualResult]], "REG"),0), "-", TEXT(SUMIFS(Table1[[HomeWon]:[HomeWon]], Table1[[GameIsOver]:[GameIsOver]],1,Table1[[AwayTeam]:[AwayTeam]],$A26, Table1[[HomeTeam]:[HomeTeam]], C$1, Table1[[ActualResult]:[ActualResult]], "OT") + SUMIFS(Table1[[AwayWon]:[AwayWon]], Table1[[GameIsOver]:[GameIsOver]],1,Table1[[HomeTeam]:[HomeTeam]],$A26, Table1[[AwayTeam]:[AwayTeam]], C$1, Table1[[ActualResult]:[ActualResult]], "OT") + SUMIFS(Table1[[HomeWon]:[HomeWon]], Table1[[GameIsOver]:[GameIsOver]],1,Table1[[AwayTeam]:[AwayTeam]],$A26, Table1[[HomeTeam]:[HomeTeam]], C$1, Table1[[ActualResult]:[ActualResult]], "SO") + SUMIFS(Table1[[AwayWon]:[AwayWon]], Table1[[GameIsOver]:[GameIsOver]],1,Table1[[HomeTeam]:[HomeTeam]],$A26, Table1[[AwayTeam]:[AwayTeam]], C$1, Table1[[ActualResult]:[ActualResult]], "SO"),0))</f>
        <v>0-0-0</v>
      </c>
      <c r="D26" s="43" t="str">
        <f>_xlfn.CONCAT(TEXT(SUMIFS(Table1[[AwayWon]:[AwayWon]], Table1[[GameIsOver]:[GameIsOver]],1,Table1[[AwayTeam]:[AwayTeam]],$A26, Table1[[HomeTeam]:[HomeTeam]], D$1) + SUMIFS(Table1[[HomeWon]:[HomeWon]], Table1[[GameIsOver]:[GameIsOver]],1,Table1[[HomeTeam]:[HomeTeam]],$A26, Table1[[AwayTeam]:[AwayTeam]], D$1),0), "-", TEXT(SUMIFS(Table1[[HomeWon]:[HomeWon]], Table1[[GameIsOver]:[GameIsOver]],1,Table1[[AwayTeam]:[AwayTeam]],$A26, Table1[[HomeTeam]:[HomeTeam]], D$1, Table1[[ActualResult]:[ActualResult]], "REG") + SUMIFS(Table1[[AwayWon]:[AwayWon]], Table1[[GameIsOver]:[GameIsOver]],1,Table1[[HomeTeam]:[HomeTeam]],$A26, Table1[[AwayTeam]:[AwayTeam]], D$1, Table1[[ActualResult]:[ActualResult]], "REG"),0), "-", TEXT(SUMIFS(Table1[[HomeWon]:[HomeWon]], Table1[[GameIsOver]:[GameIsOver]],1,Table1[[AwayTeam]:[AwayTeam]],$A26, Table1[[HomeTeam]:[HomeTeam]], D$1, Table1[[ActualResult]:[ActualResult]], "OT") + SUMIFS(Table1[[AwayWon]:[AwayWon]], Table1[[GameIsOver]:[GameIsOver]],1,Table1[[HomeTeam]:[HomeTeam]],$A26, Table1[[AwayTeam]:[AwayTeam]], D$1, Table1[[ActualResult]:[ActualResult]], "OT") + SUMIFS(Table1[[HomeWon]:[HomeWon]], Table1[[GameIsOver]:[GameIsOver]],1,Table1[[AwayTeam]:[AwayTeam]],$A26, Table1[[HomeTeam]:[HomeTeam]], D$1, Table1[[ActualResult]:[ActualResult]], "SO") + SUMIFS(Table1[[AwayWon]:[AwayWon]], Table1[[GameIsOver]:[GameIsOver]],1,Table1[[HomeTeam]:[HomeTeam]],$A26, Table1[[AwayTeam]:[AwayTeam]], D$1, Table1[[ActualResult]:[ActualResult]], "SO"),0))</f>
        <v>0-0-0</v>
      </c>
      <c r="E26" s="43" t="str">
        <f>_xlfn.CONCAT(TEXT(SUMIFS(Table1[[AwayWon]:[AwayWon]], Table1[[GameIsOver]:[GameIsOver]],1,Table1[[AwayTeam]:[AwayTeam]],$A26, Table1[[HomeTeam]:[HomeTeam]], E$1) + SUMIFS(Table1[[HomeWon]:[HomeWon]], Table1[[GameIsOver]:[GameIsOver]],1,Table1[[HomeTeam]:[HomeTeam]],$A26, Table1[[AwayTeam]:[AwayTeam]], E$1),0), "-", TEXT(SUMIFS(Table1[[HomeWon]:[HomeWon]], Table1[[GameIsOver]:[GameIsOver]],1,Table1[[AwayTeam]:[AwayTeam]],$A26, Table1[[HomeTeam]:[HomeTeam]], E$1, Table1[[ActualResult]:[ActualResult]], "REG") + SUMIFS(Table1[[AwayWon]:[AwayWon]], Table1[[GameIsOver]:[GameIsOver]],1,Table1[[HomeTeam]:[HomeTeam]],$A26, Table1[[AwayTeam]:[AwayTeam]], E$1, Table1[[ActualResult]:[ActualResult]], "REG"),0), "-", TEXT(SUMIFS(Table1[[HomeWon]:[HomeWon]], Table1[[GameIsOver]:[GameIsOver]],1,Table1[[AwayTeam]:[AwayTeam]],$A26, Table1[[HomeTeam]:[HomeTeam]], E$1, Table1[[ActualResult]:[ActualResult]], "OT") + SUMIFS(Table1[[AwayWon]:[AwayWon]], Table1[[GameIsOver]:[GameIsOver]],1,Table1[[HomeTeam]:[HomeTeam]],$A26, Table1[[AwayTeam]:[AwayTeam]], E$1, Table1[[ActualResult]:[ActualResult]], "OT") + SUMIFS(Table1[[HomeWon]:[HomeWon]], Table1[[GameIsOver]:[GameIsOver]],1,Table1[[AwayTeam]:[AwayTeam]],$A26, Table1[[HomeTeam]:[HomeTeam]], E$1, Table1[[ActualResult]:[ActualResult]], "SO") + SUMIFS(Table1[[AwayWon]:[AwayWon]], Table1[[GameIsOver]:[GameIsOver]],1,Table1[[HomeTeam]:[HomeTeam]],$A26, Table1[[AwayTeam]:[AwayTeam]], E$1, Table1[[ActualResult]:[ActualResult]], "SO"),0))</f>
        <v>0-0-0</v>
      </c>
      <c r="F26" s="43" t="str">
        <f>_xlfn.CONCAT(TEXT(SUMIFS(Table1[[AwayWon]:[AwayWon]], Table1[[GameIsOver]:[GameIsOver]],1,Table1[[AwayTeam]:[AwayTeam]],$A26, Table1[[HomeTeam]:[HomeTeam]], F$1) + SUMIFS(Table1[[HomeWon]:[HomeWon]], Table1[[GameIsOver]:[GameIsOver]],1,Table1[[HomeTeam]:[HomeTeam]],$A26, Table1[[AwayTeam]:[AwayTeam]], F$1),0), "-", TEXT(SUMIFS(Table1[[HomeWon]:[HomeWon]], Table1[[GameIsOver]:[GameIsOver]],1,Table1[[AwayTeam]:[AwayTeam]],$A26, Table1[[HomeTeam]:[HomeTeam]], F$1, Table1[[ActualResult]:[ActualResult]], "REG") + SUMIFS(Table1[[AwayWon]:[AwayWon]], Table1[[GameIsOver]:[GameIsOver]],1,Table1[[HomeTeam]:[HomeTeam]],$A26, Table1[[AwayTeam]:[AwayTeam]], F$1, Table1[[ActualResult]:[ActualResult]], "REG"),0), "-", TEXT(SUMIFS(Table1[[HomeWon]:[HomeWon]], Table1[[GameIsOver]:[GameIsOver]],1,Table1[[AwayTeam]:[AwayTeam]],$A26, Table1[[HomeTeam]:[HomeTeam]], F$1, Table1[[ActualResult]:[ActualResult]], "OT") + SUMIFS(Table1[[AwayWon]:[AwayWon]], Table1[[GameIsOver]:[GameIsOver]],1,Table1[[HomeTeam]:[HomeTeam]],$A26, Table1[[AwayTeam]:[AwayTeam]], F$1, Table1[[ActualResult]:[ActualResult]], "OT") + SUMIFS(Table1[[HomeWon]:[HomeWon]], Table1[[GameIsOver]:[GameIsOver]],1,Table1[[AwayTeam]:[AwayTeam]],$A26, Table1[[HomeTeam]:[HomeTeam]], F$1, Table1[[ActualResult]:[ActualResult]], "SO") + SUMIFS(Table1[[AwayWon]:[AwayWon]], Table1[[GameIsOver]:[GameIsOver]],1,Table1[[HomeTeam]:[HomeTeam]],$A26, Table1[[AwayTeam]:[AwayTeam]], F$1, Table1[[ActualResult]:[ActualResult]], "SO"),0))</f>
        <v>0-0-0</v>
      </c>
      <c r="G26" s="43" t="str">
        <f>_xlfn.CONCAT(TEXT(SUMIFS(Table1[[AwayWon]:[AwayWon]], Table1[[GameIsOver]:[GameIsOver]],1,Table1[[AwayTeam]:[AwayTeam]],$A26, Table1[[HomeTeam]:[HomeTeam]], G$1) + SUMIFS(Table1[[HomeWon]:[HomeWon]], Table1[[GameIsOver]:[GameIsOver]],1,Table1[[HomeTeam]:[HomeTeam]],$A26, Table1[[AwayTeam]:[AwayTeam]], G$1),0), "-", TEXT(SUMIFS(Table1[[HomeWon]:[HomeWon]], Table1[[GameIsOver]:[GameIsOver]],1,Table1[[AwayTeam]:[AwayTeam]],$A26, Table1[[HomeTeam]:[HomeTeam]], G$1, Table1[[ActualResult]:[ActualResult]], "REG") + SUMIFS(Table1[[AwayWon]:[AwayWon]], Table1[[GameIsOver]:[GameIsOver]],1,Table1[[HomeTeam]:[HomeTeam]],$A26, Table1[[AwayTeam]:[AwayTeam]], G$1, Table1[[ActualResult]:[ActualResult]], "REG"),0), "-", TEXT(SUMIFS(Table1[[HomeWon]:[HomeWon]], Table1[[GameIsOver]:[GameIsOver]],1,Table1[[AwayTeam]:[AwayTeam]],$A26, Table1[[HomeTeam]:[HomeTeam]], G$1, Table1[[ActualResult]:[ActualResult]], "OT") + SUMIFS(Table1[[AwayWon]:[AwayWon]], Table1[[GameIsOver]:[GameIsOver]],1,Table1[[HomeTeam]:[HomeTeam]],$A26, Table1[[AwayTeam]:[AwayTeam]], G$1, Table1[[ActualResult]:[ActualResult]], "OT") + SUMIFS(Table1[[HomeWon]:[HomeWon]], Table1[[GameIsOver]:[GameIsOver]],1,Table1[[AwayTeam]:[AwayTeam]],$A26, Table1[[HomeTeam]:[HomeTeam]], G$1, Table1[[ActualResult]:[ActualResult]], "SO") + SUMIFS(Table1[[AwayWon]:[AwayWon]], Table1[[GameIsOver]:[GameIsOver]],1,Table1[[HomeTeam]:[HomeTeam]],$A26, Table1[[AwayTeam]:[AwayTeam]], G$1, Table1[[ActualResult]:[ActualResult]], "SO"),0))</f>
        <v>0-0-0</v>
      </c>
      <c r="H26" s="43" t="str">
        <f>_xlfn.CONCAT(TEXT(SUMIFS(Table1[[AwayWon]:[AwayWon]], Table1[[GameIsOver]:[GameIsOver]],1,Table1[[AwayTeam]:[AwayTeam]],$A26, Table1[[HomeTeam]:[HomeTeam]], H$1) + SUMIFS(Table1[[HomeWon]:[HomeWon]], Table1[[GameIsOver]:[GameIsOver]],1,Table1[[HomeTeam]:[HomeTeam]],$A26, Table1[[AwayTeam]:[AwayTeam]], H$1),0), "-", TEXT(SUMIFS(Table1[[HomeWon]:[HomeWon]], Table1[[GameIsOver]:[GameIsOver]],1,Table1[[AwayTeam]:[AwayTeam]],$A26, Table1[[HomeTeam]:[HomeTeam]], H$1, Table1[[ActualResult]:[ActualResult]], "REG") + SUMIFS(Table1[[AwayWon]:[AwayWon]], Table1[[GameIsOver]:[GameIsOver]],1,Table1[[HomeTeam]:[HomeTeam]],$A26, Table1[[AwayTeam]:[AwayTeam]], H$1, Table1[[ActualResult]:[ActualResult]], "REG"),0), "-", TEXT(SUMIFS(Table1[[HomeWon]:[HomeWon]], Table1[[GameIsOver]:[GameIsOver]],1,Table1[[AwayTeam]:[AwayTeam]],$A26, Table1[[HomeTeam]:[HomeTeam]], H$1, Table1[[ActualResult]:[ActualResult]], "OT") + SUMIFS(Table1[[AwayWon]:[AwayWon]], Table1[[GameIsOver]:[GameIsOver]],1,Table1[[HomeTeam]:[HomeTeam]],$A26, Table1[[AwayTeam]:[AwayTeam]], H$1, Table1[[ActualResult]:[ActualResult]], "OT") + SUMIFS(Table1[[HomeWon]:[HomeWon]], Table1[[GameIsOver]:[GameIsOver]],1,Table1[[AwayTeam]:[AwayTeam]],$A26, Table1[[HomeTeam]:[HomeTeam]], H$1, Table1[[ActualResult]:[ActualResult]], "SO") + SUMIFS(Table1[[AwayWon]:[AwayWon]], Table1[[GameIsOver]:[GameIsOver]],1,Table1[[HomeTeam]:[HomeTeam]],$A26, Table1[[AwayTeam]:[AwayTeam]], H$1, Table1[[ActualResult]:[ActualResult]], "SO"),0))</f>
        <v>0-0-0</v>
      </c>
      <c r="I26" s="45" t="str">
        <f>_xlfn.CONCAT(TEXT(SUMIFS(Table1[[AwayWon]:[AwayWon]], Table1[[GameIsOver]:[GameIsOver]],1,Table1[[AwayTeam]:[AwayTeam]],$A26, Table1[[HomeTeam]:[HomeTeam]], I$1) + SUMIFS(Table1[[HomeWon]:[HomeWon]], Table1[[GameIsOver]:[GameIsOver]],1,Table1[[HomeTeam]:[HomeTeam]],$A26, Table1[[AwayTeam]:[AwayTeam]], I$1),0), "-", TEXT(SUMIFS(Table1[[HomeWon]:[HomeWon]], Table1[[GameIsOver]:[GameIsOver]],1,Table1[[AwayTeam]:[AwayTeam]],$A26, Table1[[HomeTeam]:[HomeTeam]], I$1, Table1[[ActualResult]:[ActualResult]], "REG") + SUMIFS(Table1[[AwayWon]:[AwayWon]], Table1[[GameIsOver]:[GameIsOver]],1,Table1[[HomeTeam]:[HomeTeam]],$A26, Table1[[AwayTeam]:[AwayTeam]], I$1, Table1[[ActualResult]:[ActualResult]], "REG"),0), "-", TEXT(SUMIFS(Table1[[HomeWon]:[HomeWon]], Table1[[GameIsOver]:[GameIsOver]],1,Table1[[AwayTeam]:[AwayTeam]],$A26, Table1[[HomeTeam]:[HomeTeam]], I$1, Table1[[ActualResult]:[ActualResult]], "OT") + SUMIFS(Table1[[AwayWon]:[AwayWon]], Table1[[GameIsOver]:[GameIsOver]],1,Table1[[HomeTeam]:[HomeTeam]],$A26, Table1[[AwayTeam]:[AwayTeam]], I$1, Table1[[ActualResult]:[ActualResult]], "OT") + SUMIFS(Table1[[HomeWon]:[HomeWon]], Table1[[GameIsOver]:[GameIsOver]],1,Table1[[AwayTeam]:[AwayTeam]],$A26, Table1[[HomeTeam]:[HomeTeam]], I$1, Table1[[ActualResult]:[ActualResult]], "SO") + SUMIFS(Table1[[AwayWon]:[AwayWon]], Table1[[GameIsOver]:[GameIsOver]],1,Table1[[HomeTeam]:[HomeTeam]],$A26, Table1[[AwayTeam]:[AwayTeam]], I$1, Table1[[ActualResult]:[ActualResult]], "SO"),0))</f>
        <v>0-0-0</v>
      </c>
      <c r="J26" s="43" t="str">
        <f>_xlfn.CONCAT(TEXT(SUMIFS(Table1[[AwayWon]:[AwayWon]], Table1[[GameIsOver]:[GameIsOver]],1,Table1[[AwayTeam]:[AwayTeam]],$A26, Table1[[HomeTeam]:[HomeTeam]], J$1) + SUMIFS(Table1[[HomeWon]:[HomeWon]], Table1[[GameIsOver]:[GameIsOver]],1,Table1[[HomeTeam]:[HomeTeam]],$A26, Table1[[AwayTeam]:[AwayTeam]], J$1),0), "-", TEXT(SUMIFS(Table1[[HomeWon]:[HomeWon]], Table1[[GameIsOver]:[GameIsOver]],1,Table1[[AwayTeam]:[AwayTeam]],$A26, Table1[[HomeTeam]:[HomeTeam]], J$1, Table1[[ActualResult]:[ActualResult]], "REG") + SUMIFS(Table1[[AwayWon]:[AwayWon]], Table1[[GameIsOver]:[GameIsOver]],1,Table1[[HomeTeam]:[HomeTeam]],$A26, Table1[[AwayTeam]:[AwayTeam]], J$1, Table1[[ActualResult]:[ActualResult]], "REG"),0), "-", TEXT(SUMIFS(Table1[[HomeWon]:[HomeWon]], Table1[[GameIsOver]:[GameIsOver]],1,Table1[[AwayTeam]:[AwayTeam]],$A26, Table1[[HomeTeam]:[HomeTeam]], J$1, Table1[[ActualResult]:[ActualResult]], "OT") + SUMIFS(Table1[[AwayWon]:[AwayWon]], Table1[[GameIsOver]:[GameIsOver]],1,Table1[[HomeTeam]:[HomeTeam]],$A26, Table1[[AwayTeam]:[AwayTeam]], J$1, Table1[[ActualResult]:[ActualResult]], "OT") + SUMIFS(Table1[[HomeWon]:[HomeWon]], Table1[[GameIsOver]:[GameIsOver]],1,Table1[[AwayTeam]:[AwayTeam]],$A26, Table1[[HomeTeam]:[HomeTeam]], J$1, Table1[[ActualResult]:[ActualResult]], "SO") + SUMIFS(Table1[[AwayWon]:[AwayWon]], Table1[[GameIsOver]:[GameIsOver]],1,Table1[[HomeTeam]:[HomeTeam]],$A26, Table1[[AwayTeam]:[AwayTeam]], J$1, Table1[[ActualResult]:[ActualResult]], "SO"),0))</f>
        <v>0-0-0</v>
      </c>
      <c r="K26" s="43" t="str">
        <f>_xlfn.CONCAT(TEXT(SUMIFS(Table1[[AwayWon]:[AwayWon]], Table1[[GameIsOver]:[GameIsOver]],1,Table1[[AwayTeam]:[AwayTeam]],$A26, Table1[[HomeTeam]:[HomeTeam]], K$1) + SUMIFS(Table1[[HomeWon]:[HomeWon]], Table1[[GameIsOver]:[GameIsOver]],1,Table1[[HomeTeam]:[HomeTeam]],$A26, Table1[[AwayTeam]:[AwayTeam]], K$1),0), "-", TEXT(SUMIFS(Table1[[HomeWon]:[HomeWon]], Table1[[GameIsOver]:[GameIsOver]],1,Table1[[AwayTeam]:[AwayTeam]],$A26, Table1[[HomeTeam]:[HomeTeam]], K$1, Table1[[ActualResult]:[ActualResult]], "REG") + SUMIFS(Table1[[AwayWon]:[AwayWon]], Table1[[GameIsOver]:[GameIsOver]],1,Table1[[HomeTeam]:[HomeTeam]],$A26, Table1[[AwayTeam]:[AwayTeam]], K$1, Table1[[ActualResult]:[ActualResult]], "REG"),0), "-", TEXT(SUMIFS(Table1[[HomeWon]:[HomeWon]], Table1[[GameIsOver]:[GameIsOver]],1,Table1[[AwayTeam]:[AwayTeam]],$A26, Table1[[HomeTeam]:[HomeTeam]], K$1, Table1[[ActualResult]:[ActualResult]], "OT") + SUMIFS(Table1[[AwayWon]:[AwayWon]], Table1[[GameIsOver]:[GameIsOver]],1,Table1[[HomeTeam]:[HomeTeam]],$A26, Table1[[AwayTeam]:[AwayTeam]], K$1, Table1[[ActualResult]:[ActualResult]], "OT") + SUMIFS(Table1[[HomeWon]:[HomeWon]], Table1[[GameIsOver]:[GameIsOver]],1,Table1[[AwayTeam]:[AwayTeam]],$A26, Table1[[HomeTeam]:[HomeTeam]], K$1, Table1[[ActualResult]:[ActualResult]], "SO") + SUMIFS(Table1[[AwayWon]:[AwayWon]], Table1[[GameIsOver]:[GameIsOver]],1,Table1[[HomeTeam]:[HomeTeam]],$A26, Table1[[AwayTeam]:[AwayTeam]], K$1, Table1[[ActualResult]:[ActualResult]], "SO"),0))</f>
        <v>0-0-0</v>
      </c>
      <c r="L26" s="43" t="str">
        <f>_xlfn.CONCAT(TEXT(SUMIFS(Table1[[AwayWon]:[AwayWon]], Table1[[GameIsOver]:[GameIsOver]],1,Table1[[AwayTeam]:[AwayTeam]],$A26, Table1[[HomeTeam]:[HomeTeam]], L$1) + SUMIFS(Table1[[HomeWon]:[HomeWon]], Table1[[GameIsOver]:[GameIsOver]],1,Table1[[HomeTeam]:[HomeTeam]],$A26, Table1[[AwayTeam]:[AwayTeam]], L$1),0), "-", TEXT(SUMIFS(Table1[[HomeWon]:[HomeWon]], Table1[[GameIsOver]:[GameIsOver]],1,Table1[[AwayTeam]:[AwayTeam]],$A26, Table1[[HomeTeam]:[HomeTeam]], L$1, Table1[[ActualResult]:[ActualResult]], "REG") + SUMIFS(Table1[[AwayWon]:[AwayWon]], Table1[[GameIsOver]:[GameIsOver]],1,Table1[[HomeTeam]:[HomeTeam]],$A26, Table1[[AwayTeam]:[AwayTeam]], L$1, Table1[[ActualResult]:[ActualResult]], "REG"),0), "-", TEXT(SUMIFS(Table1[[HomeWon]:[HomeWon]], Table1[[GameIsOver]:[GameIsOver]],1,Table1[[AwayTeam]:[AwayTeam]],$A26, Table1[[HomeTeam]:[HomeTeam]], L$1, Table1[[ActualResult]:[ActualResult]], "OT") + SUMIFS(Table1[[AwayWon]:[AwayWon]], Table1[[GameIsOver]:[GameIsOver]],1,Table1[[HomeTeam]:[HomeTeam]],$A26, Table1[[AwayTeam]:[AwayTeam]], L$1, Table1[[ActualResult]:[ActualResult]], "OT") + SUMIFS(Table1[[HomeWon]:[HomeWon]], Table1[[GameIsOver]:[GameIsOver]],1,Table1[[AwayTeam]:[AwayTeam]],$A26, Table1[[HomeTeam]:[HomeTeam]], L$1, Table1[[ActualResult]:[ActualResult]], "SO") + SUMIFS(Table1[[AwayWon]:[AwayWon]], Table1[[GameIsOver]:[GameIsOver]],1,Table1[[HomeTeam]:[HomeTeam]],$A26, Table1[[AwayTeam]:[AwayTeam]], L$1, Table1[[ActualResult]:[ActualResult]], "SO"),0))</f>
        <v>0-0-0</v>
      </c>
      <c r="M26" s="43" t="str">
        <f>_xlfn.CONCAT(TEXT(SUMIFS(Table1[[AwayWon]:[AwayWon]], Table1[[GameIsOver]:[GameIsOver]],1,Table1[[AwayTeam]:[AwayTeam]],$A26, Table1[[HomeTeam]:[HomeTeam]], M$1) + SUMIFS(Table1[[HomeWon]:[HomeWon]], Table1[[GameIsOver]:[GameIsOver]],1,Table1[[HomeTeam]:[HomeTeam]],$A26, Table1[[AwayTeam]:[AwayTeam]], M$1),0), "-", TEXT(SUMIFS(Table1[[HomeWon]:[HomeWon]], Table1[[GameIsOver]:[GameIsOver]],1,Table1[[AwayTeam]:[AwayTeam]],$A26, Table1[[HomeTeam]:[HomeTeam]], M$1, Table1[[ActualResult]:[ActualResult]], "REG") + SUMIFS(Table1[[AwayWon]:[AwayWon]], Table1[[GameIsOver]:[GameIsOver]],1,Table1[[HomeTeam]:[HomeTeam]],$A26, Table1[[AwayTeam]:[AwayTeam]], M$1, Table1[[ActualResult]:[ActualResult]], "REG"),0), "-", TEXT(SUMIFS(Table1[[HomeWon]:[HomeWon]], Table1[[GameIsOver]:[GameIsOver]],1,Table1[[AwayTeam]:[AwayTeam]],$A26, Table1[[HomeTeam]:[HomeTeam]], M$1, Table1[[ActualResult]:[ActualResult]], "OT") + SUMIFS(Table1[[AwayWon]:[AwayWon]], Table1[[GameIsOver]:[GameIsOver]],1,Table1[[HomeTeam]:[HomeTeam]],$A26, Table1[[AwayTeam]:[AwayTeam]], M$1, Table1[[ActualResult]:[ActualResult]], "OT") + SUMIFS(Table1[[HomeWon]:[HomeWon]], Table1[[GameIsOver]:[GameIsOver]],1,Table1[[AwayTeam]:[AwayTeam]],$A26, Table1[[HomeTeam]:[HomeTeam]], M$1, Table1[[ActualResult]:[ActualResult]], "SO") + SUMIFS(Table1[[AwayWon]:[AwayWon]], Table1[[GameIsOver]:[GameIsOver]],1,Table1[[HomeTeam]:[HomeTeam]],$A26, Table1[[AwayTeam]:[AwayTeam]], M$1, Table1[[ActualResult]:[ActualResult]], "SO"),0))</f>
        <v>0-0-0</v>
      </c>
      <c r="N26" s="43" t="str">
        <f>_xlfn.CONCAT(TEXT(SUMIFS(Table1[[AwayWon]:[AwayWon]], Table1[[GameIsOver]:[GameIsOver]],1,Table1[[AwayTeam]:[AwayTeam]],$A26, Table1[[HomeTeam]:[HomeTeam]], N$1) + SUMIFS(Table1[[HomeWon]:[HomeWon]], Table1[[GameIsOver]:[GameIsOver]],1,Table1[[HomeTeam]:[HomeTeam]],$A26, Table1[[AwayTeam]:[AwayTeam]], N$1),0), "-", TEXT(SUMIFS(Table1[[HomeWon]:[HomeWon]], Table1[[GameIsOver]:[GameIsOver]],1,Table1[[AwayTeam]:[AwayTeam]],$A26, Table1[[HomeTeam]:[HomeTeam]], N$1, Table1[[ActualResult]:[ActualResult]], "REG") + SUMIFS(Table1[[AwayWon]:[AwayWon]], Table1[[GameIsOver]:[GameIsOver]],1,Table1[[HomeTeam]:[HomeTeam]],$A26, Table1[[AwayTeam]:[AwayTeam]], N$1, Table1[[ActualResult]:[ActualResult]], "REG"),0), "-", TEXT(SUMIFS(Table1[[HomeWon]:[HomeWon]], Table1[[GameIsOver]:[GameIsOver]],1,Table1[[AwayTeam]:[AwayTeam]],$A26, Table1[[HomeTeam]:[HomeTeam]], N$1, Table1[[ActualResult]:[ActualResult]], "OT") + SUMIFS(Table1[[AwayWon]:[AwayWon]], Table1[[GameIsOver]:[GameIsOver]],1,Table1[[HomeTeam]:[HomeTeam]],$A26, Table1[[AwayTeam]:[AwayTeam]], N$1, Table1[[ActualResult]:[ActualResult]], "OT") + SUMIFS(Table1[[HomeWon]:[HomeWon]], Table1[[GameIsOver]:[GameIsOver]],1,Table1[[AwayTeam]:[AwayTeam]],$A26, Table1[[HomeTeam]:[HomeTeam]], N$1, Table1[[ActualResult]:[ActualResult]], "SO") + SUMIFS(Table1[[AwayWon]:[AwayWon]], Table1[[GameIsOver]:[GameIsOver]],1,Table1[[HomeTeam]:[HomeTeam]],$A26, Table1[[AwayTeam]:[AwayTeam]], N$1, Table1[[ActualResult]:[ActualResult]], "SO"),0))</f>
        <v>0-0-0</v>
      </c>
      <c r="O26" s="43" t="str">
        <f>_xlfn.CONCAT(TEXT(SUMIFS(Table1[[AwayWon]:[AwayWon]], Table1[[GameIsOver]:[GameIsOver]],1,Table1[[AwayTeam]:[AwayTeam]],$A26, Table1[[HomeTeam]:[HomeTeam]], O$1) + SUMIFS(Table1[[HomeWon]:[HomeWon]], Table1[[GameIsOver]:[GameIsOver]],1,Table1[[HomeTeam]:[HomeTeam]],$A26, Table1[[AwayTeam]:[AwayTeam]], O$1),0), "-", TEXT(SUMIFS(Table1[[HomeWon]:[HomeWon]], Table1[[GameIsOver]:[GameIsOver]],1,Table1[[AwayTeam]:[AwayTeam]],$A26, Table1[[HomeTeam]:[HomeTeam]], O$1, Table1[[ActualResult]:[ActualResult]], "REG") + SUMIFS(Table1[[AwayWon]:[AwayWon]], Table1[[GameIsOver]:[GameIsOver]],1,Table1[[HomeTeam]:[HomeTeam]],$A26, Table1[[AwayTeam]:[AwayTeam]], O$1, Table1[[ActualResult]:[ActualResult]], "REG"),0), "-", TEXT(SUMIFS(Table1[[HomeWon]:[HomeWon]], Table1[[GameIsOver]:[GameIsOver]],1,Table1[[AwayTeam]:[AwayTeam]],$A26, Table1[[HomeTeam]:[HomeTeam]], O$1, Table1[[ActualResult]:[ActualResult]], "OT") + SUMIFS(Table1[[AwayWon]:[AwayWon]], Table1[[GameIsOver]:[GameIsOver]],1,Table1[[HomeTeam]:[HomeTeam]],$A26, Table1[[AwayTeam]:[AwayTeam]], O$1, Table1[[ActualResult]:[ActualResult]], "OT") + SUMIFS(Table1[[HomeWon]:[HomeWon]], Table1[[GameIsOver]:[GameIsOver]],1,Table1[[AwayTeam]:[AwayTeam]],$A26, Table1[[HomeTeam]:[HomeTeam]], O$1, Table1[[ActualResult]:[ActualResult]], "SO") + SUMIFS(Table1[[AwayWon]:[AwayWon]], Table1[[GameIsOver]:[GameIsOver]],1,Table1[[HomeTeam]:[HomeTeam]],$A26, Table1[[AwayTeam]:[AwayTeam]], O$1, Table1[[ActualResult]:[ActualResult]], "SO"),0))</f>
        <v>0-0-0</v>
      </c>
      <c r="P26" s="43" t="str">
        <f>_xlfn.CONCAT(TEXT(SUMIFS(Table1[[AwayWon]:[AwayWon]], Table1[[GameIsOver]:[GameIsOver]],1,Table1[[AwayTeam]:[AwayTeam]],$A26, Table1[[HomeTeam]:[HomeTeam]], P$1) + SUMIFS(Table1[[HomeWon]:[HomeWon]], Table1[[GameIsOver]:[GameIsOver]],1,Table1[[HomeTeam]:[HomeTeam]],$A26, Table1[[AwayTeam]:[AwayTeam]], P$1),0), "-", TEXT(SUMIFS(Table1[[HomeWon]:[HomeWon]], Table1[[GameIsOver]:[GameIsOver]],1,Table1[[AwayTeam]:[AwayTeam]],$A26, Table1[[HomeTeam]:[HomeTeam]], P$1, Table1[[ActualResult]:[ActualResult]], "REG") + SUMIFS(Table1[[AwayWon]:[AwayWon]], Table1[[GameIsOver]:[GameIsOver]],1,Table1[[HomeTeam]:[HomeTeam]],$A26, Table1[[AwayTeam]:[AwayTeam]], P$1, Table1[[ActualResult]:[ActualResult]], "REG"),0), "-", TEXT(SUMIFS(Table1[[HomeWon]:[HomeWon]], Table1[[GameIsOver]:[GameIsOver]],1,Table1[[AwayTeam]:[AwayTeam]],$A26, Table1[[HomeTeam]:[HomeTeam]], P$1, Table1[[ActualResult]:[ActualResult]], "OT") + SUMIFS(Table1[[AwayWon]:[AwayWon]], Table1[[GameIsOver]:[GameIsOver]],1,Table1[[HomeTeam]:[HomeTeam]],$A26, Table1[[AwayTeam]:[AwayTeam]], P$1, Table1[[ActualResult]:[ActualResult]], "OT") + SUMIFS(Table1[[HomeWon]:[HomeWon]], Table1[[GameIsOver]:[GameIsOver]],1,Table1[[AwayTeam]:[AwayTeam]],$A26, Table1[[HomeTeam]:[HomeTeam]], P$1, Table1[[ActualResult]:[ActualResult]], "SO") + SUMIFS(Table1[[AwayWon]:[AwayWon]], Table1[[GameIsOver]:[GameIsOver]],1,Table1[[HomeTeam]:[HomeTeam]],$A26, Table1[[AwayTeam]:[AwayTeam]], P$1, Table1[[ActualResult]:[ActualResult]], "SO"),0))</f>
        <v>0-0-0</v>
      </c>
      <c r="Q26" s="45" t="str">
        <f>_xlfn.CONCAT(TEXT(SUMIFS(Table1[[AwayWon]:[AwayWon]], Table1[[GameIsOver]:[GameIsOver]],1,Table1[[AwayTeam]:[AwayTeam]],$A26, Table1[[HomeTeam]:[HomeTeam]], Q$1) + SUMIFS(Table1[[HomeWon]:[HomeWon]], Table1[[GameIsOver]:[GameIsOver]],1,Table1[[HomeTeam]:[HomeTeam]],$A26, Table1[[AwayTeam]:[AwayTeam]], Q$1),0), "-", TEXT(SUMIFS(Table1[[HomeWon]:[HomeWon]], Table1[[GameIsOver]:[GameIsOver]],1,Table1[[AwayTeam]:[AwayTeam]],$A26, Table1[[HomeTeam]:[HomeTeam]], Q$1, Table1[[ActualResult]:[ActualResult]], "REG") + SUMIFS(Table1[[AwayWon]:[AwayWon]], Table1[[GameIsOver]:[GameIsOver]],1,Table1[[HomeTeam]:[HomeTeam]],$A26, Table1[[AwayTeam]:[AwayTeam]], Q$1, Table1[[ActualResult]:[ActualResult]], "REG"),0), "-", TEXT(SUMIFS(Table1[[HomeWon]:[HomeWon]], Table1[[GameIsOver]:[GameIsOver]],1,Table1[[AwayTeam]:[AwayTeam]],$A26, Table1[[HomeTeam]:[HomeTeam]], Q$1, Table1[[ActualResult]:[ActualResult]], "OT") + SUMIFS(Table1[[AwayWon]:[AwayWon]], Table1[[GameIsOver]:[GameIsOver]],1,Table1[[HomeTeam]:[HomeTeam]],$A26, Table1[[AwayTeam]:[AwayTeam]], Q$1, Table1[[ActualResult]:[ActualResult]], "OT") + SUMIFS(Table1[[HomeWon]:[HomeWon]], Table1[[GameIsOver]:[GameIsOver]],1,Table1[[AwayTeam]:[AwayTeam]],$A26, Table1[[HomeTeam]:[HomeTeam]], Q$1, Table1[[ActualResult]:[ActualResult]], "SO") + SUMIFS(Table1[[AwayWon]:[AwayWon]], Table1[[GameIsOver]:[GameIsOver]],1,Table1[[HomeTeam]:[HomeTeam]],$A26, Table1[[AwayTeam]:[AwayTeam]], Q$1, Table1[[ActualResult]:[ActualResult]], "SO"),0))</f>
        <v>0-0-1</v>
      </c>
      <c r="R26" s="43" t="str">
        <f>_xlfn.CONCAT(TEXT(SUMIFS(Table1[[AwayWon]:[AwayWon]], Table1[[GameIsOver]:[GameIsOver]],1,Table1[[AwayTeam]:[AwayTeam]],$A26, Table1[[HomeTeam]:[HomeTeam]], R$1) + SUMIFS(Table1[[HomeWon]:[HomeWon]], Table1[[GameIsOver]:[GameIsOver]],1,Table1[[HomeTeam]:[HomeTeam]],$A26, Table1[[AwayTeam]:[AwayTeam]], R$1),0), "-", TEXT(SUMIFS(Table1[[HomeWon]:[HomeWon]], Table1[[GameIsOver]:[GameIsOver]],1,Table1[[AwayTeam]:[AwayTeam]],$A26, Table1[[HomeTeam]:[HomeTeam]], R$1, Table1[[ActualResult]:[ActualResult]], "REG") + SUMIFS(Table1[[AwayWon]:[AwayWon]], Table1[[GameIsOver]:[GameIsOver]],1,Table1[[HomeTeam]:[HomeTeam]],$A26, Table1[[AwayTeam]:[AwayTeam]], R$1, Table1[[ActualResult]:[ActualResult]], "REG"),0), "-", TEXT(SUMIFS(Table1[[HomeWon]:[HomeWon]], Table1[[GameIsOver]:[GameIsOver]],1,Table1[[AwayTeam]:[AwayTeam]],$A26, Table1[[HomeTeam]:[HomeTeam]], R$1, Table1[[ActualResult]:[ActualResult]], "OT") + SUMIFS(Table1[[AwayWon]:[AwayWon]], Table1[[GameIsOver]:[GameIsOver]],1,Table1[[HomeTeam]:[HomeTeam]],$A26, Table1[[AwayTeam]:[AwayTeam]], R$1, Table1[[ActualResult]:[ActualResult]], "OT") + SUMIFS(Table1[[HomeWon]:[HomeWon]], Table1[[GameIsOver]:[GameIsOver]],1,Table1[[AwayTeam]:[AwayTeam]],$A26, Table1[[HomeTeam]:[HomeTeam]], R$1, Table1[[ActualResult]:[ActualResult]], "SO") + SUMIFS(Table1[[AwayWon]:[AwayWon]], Table1[[GameIsOver]:[GameIsOver]],1,Table1[[HomeTeam]:[HomeTeam]],$A26, Table1[[AwayTeam]:[AwayTeam]], R$1, Table1[[ActualResult]:[ActualResult]], "SO"),0))</f>
        <v>0-0-0</v>
      </c>
      <c r="S26" s="43" t="str">
        <f>_xlfn.CONCAT(TEXT(SUMIFS(Table1[[AwayWon]:[AwayWon]], Table1[[GameIsOver]:[GameIsOver]],1,Table1[[AwayTeam]:[AwayTeam]],$A26, Table1[[HomeTeam]:[HomeTeam]], S$1) + SUMIFS(Table1[[HomeWon]:[HomeWon]], Table1[[GameIsOver]:[GameIsOver]],1,Table1[[HomeTeam]:[HomeTeam]],$A26, Table1[[AwayTeam]:[AwayTeam]], S$1),0), "-", TEXT(SUMIFS(Table1[[HomeWon]:[HomeWon]], Table1[[GameIsOver]:[GameIsOver]],1,Table1[[AwayTeam]:[AwayTeam]],$A26, Table1[[HomeTeam]:[HomeTeam]], S$1, Table1[[ActualResult]:[ActualResult]], "REG") + SUMIFS(Table1[[AwayWon]:[AwayWon]], Table1[[GameIsOver]:[GameIsOver]],1,Table1[[HomeTeam]:[HomeTeam]],$A26, Table1[[AwayTeam]:[AwayTeam]], S$1, Table1[[ActualResult]:[ActualResult]], "REG"),0), "-", TEXT(SUMIFS(Table1[[HomeWon]:[HomeWon]], Table1[[GameIsOver]:[GameIsOver]],1,Table1[[AwayTeam]:[AwayTeam]],$A26, Table1[[HomeTeam]:[HomeTeam]], S$1, Table1[[ActualResult]:[ActualResult]], "OT") + SUMIFS(Table1[[AwayWon]:[AwayWon]], Table1[[GameIsOver]:[GameIsOver]],1,Table1[[HomeTeam]:[HomeTeam]],$A26, Table1[[AwayTeam]:[AwayTeam]], S$1, Table1[[ActualResult]:[ActualResult]], "OT") + SUMIFS(Table1[[HomeWon]:[HomeWon]], Table1[[GameIsOver]:[GameIsOver]],1,Table1[[AwayTeam]:[AwayTeam]],$A26, Table1[[HomeTeam]:[HomeTeam]], S$1, Table1[[ActualResult]:[ActualResult]], "SO") + SUMIFS(Table1[[AwayWon]:[AwayWon]], Table1[[GameIsOver]:[GameIsOver]],1,Table1[[HomeTeam]:[HomeTeam]],$A26, Table1[[AwayTeam]:[AwayTeam]], S$1, Table1[[ActualResult]:[ActualResult]], "SO"),0))</f>
        <v>0-0-0</v>
      </c>
      <c r="T26" s="43" t="str">
        <f>_xlfn.CONCAT(TEXT(SUMIFS(Table1[[AwayWon]:[AwayWon]], Table1[[GameIsOver]:[GameIsOver]],1,Table1[[AwayTeam]:[AwayTeam]],$A26, Table1[[HomeTeam]:[HomeTeam]], T$1) + SUMIFS(Table1[[HomeWon]:[HomeWon]], Table1[[GameIsOver]:[GameIsOver]],1,Table1[[HomeTeam]:[HomeTeam]],$A26, Table1[[AwayTeam]:[AwayTeam]], T$1),0), "-", TEXT(SUMIFS(Table1[[HomeWon]:[HomeWon]], Table1[[GameIsOver]:[GameIsOver]],1,Table1[[AwayTeam]:[AwayTeam]],$A26, Table1[[HomeTeam]:[HomeTeam]], T$1, Table1[[ActualResult]:[ActualResult]], "REG") + SUMIFS(Table1[[AwayWon]:[AwayWon]], Table1[[GameIsOver]:[GameIsOver]],1,Table1[[HomeTeam]:[HomeTeam]],$A26, Table1[[AwayTeam]:[AwayTeam]], T$1, Table1[[ActualResult]:[ActualResult]], "REG"),0), "-", TEXT(SUMIFS(Table1[[HomeWon]:[HomeWon]], Table1[[GameIsOver]:[GameIsOver]],1,Table1[[AwayTeam]:[AwayTeam]],$A26, Table1[[HomeTeam]:[HomeTeam]], T$1, Table1[[ActualResult]:[ActualResult]], "OT") + SUMIFS(Table1[[AwayWon]:[AwayWon]], Table1[[GameIsOver]:[GameIsOver]],1,Table1[[HomeTeam]:[HomeTeam]],$A26, Table1[[AwayTeam]:[AwayTeam]], T$1, Table1[[ActualResult]:[ActualResult]], "OT") + SUMIFS(Table1[[HomeWon]:[HomeWon]], Table1[[GameIsOver]:[GameIsOver]],1,Table1[[AwayTeam]:[AwayTeam]],$A26, Table1[[HomeTeam]:[HomeTeam]], T$1, Table1[[ActualResult]:[ActualResult]], "SO") + SUMIFS(Table1[[AwayWon]:[AwayWon]], Table1[[GameIsOver]:[GameIsOver]],1,Table1[[HomeTeam]:[HomeTeam]],$A26, Table1[[AwayTeam]:[AwayTeam]], T$1, Table1[[ActualResult]:[ActualResult]], "SO"),0))</f>
        <v>0-0-0</v>
      </c>
      <c r="U26" s="43" t="str">
        <f>_xlfn.CONCAT(TEXT(SUMIFS(Table1[[AwayWon]:[AwayWon]], Table1[[GameIsOver]:[GameIsOver]],1,Table1[[AwayTeam]:[AwayTeam]],$A26, Table1[[HomeTeam]:[HomeTeam]], U$1) + SUMIFS(Table1[[HomeWon]:[HomeWon]], Table1[[GameIsOver]:[GameIsOver]],1,Table1[[HomeTeam]:[HomeTeam]],$A26, Table1[[AwayTeam]:[AwayTeam]], U$1),0), "-", TEXT(SUMIFS(Table1[[HomeWon]:[HomeWon]], Table1[[GameIsOver]:[GameIsOver]],1,Table1[[AwayTeam]:[AwayTeam]],$A26, Table1[[HomeTeam]:[HomeTeam]], U$1, Table1[[ActualResult]:[ActualResult]], "REG") + SUMIFS(Table1[[AwayWon]:[AwayWon]], Table1[[GameIsOver]:[GameIsOver]],1,Table1[[HomeTeam]:[HomeTeam]],$A26, Table1[[AwayTeam]:[AwayTeam]], U$1, Table1[[ActualResult]:[ActualResult]], "REG"),0), "-", TEXT(SUMIFS(Table1[[HomeWon]:[HomeWon]], Table1[[GameIsOver]:[GameIsOver]],1,Table1[[AwayTeam]:[AwayTeam]],$A26, Table1[[HomeTeam]:[HomeTeam]], U$1, Table1[[ActualResult]:[ActualResult]], "OT") + SUMIFS(Table1[[AwayWon]:[AwayWon]], Table1[[GameIsOver]:[GameIsOver]],1,Table1[[HomeTeam]:[HomeTeam]],$A26, Table1[[AwayTeam]:[AwayTeam]], U$1, Table1[[ActualResult]:[ActualResult]], "OT") + SUMIFS(Table1[[HomeWon]:[HomeWon]], Table1[[GameIsOver]:[GameIsOver]],1,Table1[[AwayTeam]:[AwayTeam]],$A26, Table1[[HomeTeam]:[HomeTeam]], U$1, Table1[[ActualResult]:[ActualResult]], "SO") + SUMIFS(Table1[[AwayWon]:[AwayWon]], Table1[[GameIsOver]:[GameIsOver]],1,Table1[[HomeTeam]:[HomeTeam]],$A26, Table1[[AwayTeam]:[AwayTeam]], U$1, Table1[[ActualResult]:[ActualResult]], "SO"),0))</f>
        <v>0-0-0</v>
      </c>
      <c r="V26" s="43" t="str">
        <f>_xlfn.CONCAT(TEXT(SUMIFS(Table1[[AwayWon]:[AwayWon]], Table1[[GameIsOver]:[GameIsOver]],1,Table1[[AwayTeam]:[AwayTeam]],$A26, Table1[[HomeTeam]:[HomeTeam]], V$1) + SUMIFS(Table1[[HomeWon]:[HomeWon]], Table1[[GameIsOver]:[GameIsOver]],1,Table1[[HomeTeam]:[HomeTeam]],$A26, Table1[[AwayTeam]:[AwayTeam]], V$1),0), "-", TEXT(SUMIFS(Table1[[HomeWon]:[HomeWon]], Table1[[GameIsOver]:[GameIsOver]],1,Table1[[AwayTeam]:[AwayTeam]],$A26, Table1[[HomeTeam]:[HomeTeam]], V$1, Table1[[ActualResult]:[ActualResult]], "REG") + SUMIFS(Table1[[AwayWon]:[AwayWon]], Table1[[GameIsOver]:[GameIsOver]],1,Table1[[HomeTeam]:[HomeTeam]],$A26, Table1[[AwayTeam]:[AwayTeam]], V$1, Table1[[ActualResult]:[ActualResult]], "REG"),0), "-", TEXT(SUMIFS(Table1[[HomeWon]:[HomeWon]], Table1[[GameIsOver]:[GameIsOver]],1,Table1[[AwayTeam]:[AwayTeam]],$A26, Table1[[HomeTeam]:[HomeTeam]], V$1, Table1[[ActualResult]:[ActualResult]], "OT") + SUMIFS(Table1[[AwayWon]:[AwayWon]], Table1[[GameIsOver]:[GameIsOver]],1,Table1[[HomeTeam]:[HomeTeam]],$A26, Table1[[AwayTeam]:[AwayTeam]], V$1, Table1[[ActualResult]:[ActualResult]], "OT") + SUMIFS(Table1[[HomeWon]:[HomeWon]], Table1[[GameIsOver]:[GameIsOver]],1,Table1[[AwayTeam]:[AwayTeam]],$A26, Table1[[HomeTeam]:[HomeTeam]], V$1, Table1[[ActualResult]:[ActualResult]], "SO") + SUMIFS(Table1[[AwayWon]:[AwayWon]], Table1[[GameIsOver]:[GameIsOver]],1,Table1[[HomeTeam]:[HomeTeam]],$A26, Table1[[AwayTeam]:[AwayTeam]], V$1, Table1[[ActualResult]:[ActualResult]], "SO"),0))</f>
        <v>0-1-0</v>
      </c>
      <c r="W26" s="43" t="str">
        <f>_xlfn.CONCAT(TEXT(SUMIFS(Table1[[AwayWon]:[AwayWon]], Table1[[GameIsOver]:[GameIsOver]],1,Table1[[AwayTeam]:[AwayTeam]],$A26, Table1[[HomeTeam]:[HomeTeam]], W$1) + SUMIFS(Table1[[HomeWon]:[HomeWon]], Table1[[GameIsOver]:[GameIsOver]],1,Table1[[HomeTeam]:[HomeTeam]],$A26, Table1[[AwayTeam]:[AwayTeam]], W$1),0), "-", TEXT(SUMIFS(Table1[[HomeWon]:[HomeWon]], Table1[[GameIsOver]:[GameIsOver]],1,Table1[[AwayTeam]:[AwayTeam]],$A26, Table1[[HomeTeam]:[HomeTeam]], W$1, Table1[[ActualResult]:[ActualResult]], "REG") + SUMIFS(Table1[[AwayWon]:[AwayWon]], Table1[[GameIsOver]:[GameIsOver]],1,Table1[[HomeTeam]:[HomeTeam]],$A26, Table1[[AwayTeam]:[AwayTeam]], W$1, Table1[[ActualResult]:[ActualResult]], "REG"),0), "-", TEXT(SUMIFS(Table1[[HomeWon]:[HomeWon]], Table1[[GameIsOver]:[GameIsOver]],1,Table1[[AwayTeam]:[AwayTeam]],$A26, Table1[[HomeTeam]:[HomeTeam]], W$1, Table1[[ActualResult]:[ActualResult]], "OT") + SUMIFS(Table1[[AwayWon]:[AwayWon]], Table1[[GameIsOver]:[GameIsOver]],1,Table1[[HomeTeam]:[HomeTeam]],$A26, Table1[[AwayTeam]:[AwayTeam]], W$1, Table1[[ActualResult]:[ActualResult]], "OT") + SUMIFS(Table1[[HomeWon]:[HomeWon]], Table1[[GameIsOver]:[GameIsOver]],1,Table1[[AwayTeam]:[AwayTeam]],$A26, Table1[[HomeTeam]:[HomeTeam]], W$1, Table1[[ActualResult]:[ActualResult]], "SO") + SUMIFS(Table1[[AwayWon]:[AwayWon]], Table1[[GameIsOver]:[GameIsOver]],1,Table1[[HomeTeam]:[HomeTeam]],$A26, Table1[[AwayTeam]:[AwayTeam]], W$1, Table1[[ActualResult]:[ActualResult]], "SO"),0))</f>
        <v>0-0-0</v>
      </c>
      <c r="X26" s="43" t="str">
        <f>_xlfn.CONCAT(TEXT(SUMIFS(Table1[[AwayWon]:[AwayWon]], Table1[[GameIsOver]:[GameIsOver]],1,Table1[[AwayTeam]:[AwayTeam]],$A26, Table1[[HomeTeam]:[HomeTeam]], X$1) + SUMIFS(Table1[[HomeWon]:[HomeWon]], Table1[[GameIsOver]:[GameIsOver]],1,Table1[[HomeTeam]:[HomeTeam]],$A26, Table1[[AwayTeam]:[AwayTeam]], X$1),0), "-", TEXT(SUMIFS(Table1[[HomeWon]:[HomeWon]], Table1[[GameIsOver]:[GameIsOver]],1,Table1[[AwayTeam]:[AwayTeam]],$A26, Table1[[HomeTeam]:[HomeTeam]], X$1, Table1[[ActualResult]:[ActualResult]], "REG") + SUMIFS(Table1[[AwayWon]:[AwayWon]], Table1[[GameIsOver]:[GameIsOver]],1,Table1[[HomeTeam]:[HomeTeam]],$A26, Table1[[AwayTeam]:[AwayTeam]], X$1, Table1[[ActualResult]:[ActualResult]], "REG"),0), "-", TEXT(SUMIFS(Table1[[HomeWon]:[HomeWon]], Table1[[GameIsOver]:[GameIsOver]],1,Table1[[AwayTeam]:[AwayTeam]],$A26, Table1[[HomeTeam]:[HomeTeam]], X$1, Table1[[ActualResult]:[ActualResult]], "OT") + SUMIFS(Table1[[AwayWon]:[AwayWon]], Table1[[GameIsOver]:[GameIsOver]],1,Table1[[HomeTeam]:[HomeTeam]],$A26, Table1[[AwayTeam]:[AwayTeam]], X$1, Table1[[ActualResult]:[ActualResult]], "OT") + SUMIFS(Table1[[HomeWon]:[HomeWon]], Table1[[GameIsOver]:[GameIsOver]],1,Table1[[AwayTeam]:[AwayTeam]],$A26, Table1[[HomeTeam]:[HomeTeam]], X$1, Table1[[ActualResult]:[ActualResult]], "SO") + SUMIFS(Table1[[AwayWon]:[AwayWon]], Table1[[GameIsOver]:[GameIsOver]],1,Table1[[HomeTeam]:[HomeTeam]],$A26, Table1[[AwayTeam]:[AwayTeam]], X$1, Table1[[ActualResult]:[ActualResult]], "SO"),0))</f>
        <v>0-0-0</v>
      </c>
      <c r="Y26" s="45" t="str">
        <f>_xlfn.CONCAT(TEXT(SUMIFS(Table1[[AwayWon]:[AwayWon]], Table1[[GameIsOver]:[GameIsOver]],1,Table1[[AwayTeam]:[AwayTeam]],$A26, Table1[[HomeTeam]:[HomeTeam]], Y$1) + SUMIFS(Table1[[HomeWon]:[HomeWon]], Table1[[GameIsOver]:[GameIsOver]],1,Table1[[HomeTeam]:[HomeTeam]],$A26, Table1[[AwayTeam]:[AwayTeam]], Y$1),0), "-", TEXT(SUMIFS(Table1[[HomeWon]:[HomeWon]], Table1[[GameIsOver]:[GameIsOver]],1,Table1[[AwayTeam]:[AwayTeam]],$A26, Table1[[HomeTeam]:[HomeTeam]], Y$1, Table1[[ActualResult]:[ActualResult]], "REG") + SUMIFS(Table1[[AwayWon]:[AwayWon]], Table1[[GameIsOver]:[GameIsOver]],1,Table1[[HomeTeam]:[HomeTeam]],$A26, Table1[[AwayTeam]:[AwayTeam]], Y$1, Table1[[ActualResult]:[ActualResult]], "REG"),0), "-", TEXT(SUMIFS(Table1[[HomeWon]:[HomeWon]], Table1[[GameIsOver]:[GameIsOver]],1,Table1[[AwayTeam]:[AwayTeam]],$A26, Table1[[HomeTeam]:[HomeTeam]], Y$1, Table1[[ActualResult]:[ActualResult]], "OT") + SUMIFS(Table1[[AwayWon]:[AwayWon]], Table1[[GameIsOver]:[GameIsOver]],1,Table1[[HomeTeam]:[HomeTeam]],$A26, Table1[[AwayTeam]:[AwayTeam]], Y$1, Table1[[ActualResult]:[ActualResult]], "OT") + SUMIFS(Table1[[HomeWon]:[HomeWon]], Table1[[GameIsOver]:[GameIsOver]],1,Table1[[AwayTeam]:[AwayTeam]],$A26, Table1[[HomeTeam]:[HomeTeam]], Y$1, Table1[[ActualResult]:[ActualResult]], "SO") + SUMIFS(Table1[[AwayWon]:[AwayWon]], Table1[[GameIsOver]:[GameIsOver]],1,Table1[[HomeTeam]:[HomeTeam]],$A26, Table1[[AwayTeam]:[AwayTeam]], Y$1, Table1[[ActualResult]:[ActualResult]], "SO"),0))</f>
        <v>0-0-0</v>
      </c>
      <c r="Z26" s="43" t="str">
        <f>_xlfn.CONCAT(TEXT(SUMIFS(Table1[[AwayWon]:[AwayWon]], Table1[[GameIsOver]:[GameIsOver]],1,Table1[[AwayTeam]:[AwayTeam]],$A26, Table1[[HomeTeam]:[HomeTeam]], Z$1) + SUMIFS(Table1[[HomeWon]:[HomeWon]], Table1[[GameIsOver]:[GameIsOver]],1,Table1[[HomeTeam]:[HomeTeam]],$A26, Table1[[AwayTeam]:[AwayTeam]], Z$1),0), "-", TEXT(SUMIFS(Table1[[HomeWon]:[HomeWon]], Table1[[GameIsOver]:[GameIsOver]],1,Table1[[AwayTeam]:[AwayTeam]],$A26, Table1[[HomeTeam]:[HomeTeam]], Z$1, Table1[[ActualResult]:[ActualResult]], "REG") + SUMIFS(Table1[[AwayWon]:[AwayWon]], Table1[[GameIsOver]:[GameIsOver]],1,Table1[[HomeTeam]:[HomeTeam]],$A26, Table1[[AwayTeam]:[AwayTeam]], Z$1, Table1[[ActualResult]:[ActualResult]], "REG"),0), "-", TEXT(SUMIFS(Table1[[HomeWon]:[HomeWon]], Table1[[GameIsOver]:[GameIsOver]],1,Table1[[AwayTeam]:[AwayTeam]],$A26, Table1[[HomeTeam]:[HomeTeam]], Z$1, Table1[[ActualResult]:[ActualResult]], "OT") + SUMIFS(Table1[[AwayWon]:[AwayWon]], Table1[[GameIsOver]:[GameIsOver]],1,Table1[[HomeTeam]:[HomeTeam]],$A26, Table1[[AwayTeam]:[AwayTeam]], Z$1, Table1[[ActualResult]:[ActualResult]], "OT") + SUMIFS(Table1[[HomeWon]:[HomeWon]], Table1[[GameIsOver]:[GameIsOver]],1,Table1[[AwayTeam]:[AwayTeam]],$A26, Table1[[HomeTeam]:[HomeTeam]], Z$1, Table1[[ActualResult]:[ActualResult]], "SO") + SUMIFS(Table1[[AwayWon]:[AwayWon]], Table1[[GameIsOver]:[GameIsOver]],1,Table1[[HomeTeam]:[HomeTeam]],$A26, Table1[[AwayTeam]:[AwayTeam]], Z$1, Table1[[ActualResult]:[ActualResult]], "SO"),0))</f>
        <v>0-0-0</v>
      </c>
      <c r="AA26" s="43" t="str">
        <f>_xlfn.CONCAT(TEXT(SUMIFS(Table1[[AwayWon]:[AwayWon]], Table1[[GameIsOver]:[GameIsOver]],1,Table1[[AwayTeam]:[AwayTeam]],$A26, Table1[[HomeTeam]:[HomeTeam]], AA$1) + SUMIFS(Table1[[HomeWon]:[HomeWon]], Table1[[GameIsOver]:[GameIsOver]],1,Table1[[HomeTeam]:[HomeTeam]],$A26, Table1[[AwayTeam]:[AwayTeam]], AA$1),0), "-", TEXT(SUMIFS(Table1[[HomeWon]:[HomeWon]], Table1[[GameIsOver]:[GameIsOver]],1,Table1[[AwayTeam]:[AwayTeam]],$A26, Table1[[HomeTeam]:[HomeTeam]], AA$1, Table1[[ActualResult]:[ActualResult]], "REG") + SUMIFS(Table1[[AwayWon]:[AwayWon]], Table1[[GameIsOver]:[GameIsOver]],1,Table1[[HomeTeam]:[HomeTeam]],$A26, Table1[[AwayTeam]:[AwayTeam]], AA$1, Table1[[ActualResult]:[ActualResult]], "REG"),0), "-", TEXT(SUMIFS(Table1[[HomeWon]:[HomeWon]], Table1[[GameIsOver]:[GameIsOver]],1,Table1[[AwayTeam]:[AwayTeam]],$A26, Table1[[HomeTeam]:[HomeTeam]], AA$1, Table1[[ActualResult]:[ActualResult]], "OT") + SUMIFS(Table1[[AwayWon]:[AwayWon]], Table1[[GameIsOver]:[GameIsOver]],1,Table1[[HomeTeam]:[HomeTeam]],$A26, Table1[[AwayTeam]:[AwayTeam]], AA$1, Table1[[ActualResult]:[ActualResult]], "OT") + SUMIFS(Table1[[HomeWon]:[HomeWon]], Table1[[GameIsOver]:[GameIsOver]],1,Table1[[AwayTeam]:[AwayTeam]],$A26, Table1[[HomeTeam]:[HomeTeam]], AA$1, Table1[[ActualResult]:[ActualResult]], "SO") + SUMIFS(Table1[[AwayWon]:[AwayWon]], Table1[[GameIsOver]:[GameIsOver]],1,Table1[[HomeTeam]:[HomeTeam]],$A26, Table1[[AwayTeam]:[AwayTeam]], AA$1, Table1[[ActualResult]:[ActualResult]], "SO"),0))</f>
        <v>0-0-0</v>
      </c>
      <c r="AB26" s="43" t="str">
        <f>_xlfn.CONCAT(TEXT(SUMIFS(Table1[[AwayWon]:[AwayWon]], Table1[[GameIsOver]:[GameIsOver]],1,Table1[[AwayTeam]:[AwayTeam]],$A26, Table1[[HomeTeam]:[HomeTeam]], AB$1) + SUMIFS(Table1[[HomeWon]:[HomeWon]], Table1[[GameIsOver]:[GameIsOver]],1,Table1[[HomeTeam]:[HomeTeam]],$A26, Table1[[AwayTeam]:[AwayTeam]], AB$1),0), "-", TEXT(SUMIFS(Table1[[HomeWon]:[HomeWon]], Table1[[GameIsOver]:[GameIsOver]],1,Table1[[AwayTeam]:[AwayTeam]],$A26, Table1[[HomeTeam]:[HomeTeam]], AB$1, Table1[[ActualResult]:[ActualResult]], "REG") + SUMIFS(Table1[[AwayWon]:[AwayWon]], Table1[[GameIsOver]:[GameIsOver]],1,Table1[[HomeTeam]:[HomeTeam]],$A26, Table1[[AwayTeam]:[AwayTeam]], AB$1, Table1[[ActualResult]:[ActualResult]], "REG"),0), "-", TEXT(SUMIFS(Table1[[HomeWon]:[HomeWon]], Table1[[GameIsOver]:[GameIsOver]],1,Table1[[AwayTeam]:[AwayTeam]],$A26, Table1[[HomeTeam]:[HomeTeam]], AB$1, Table1[[ActualResult]:[ActualResult]], "OT") + SUMIFS(Table1[[AwayWon]:[AwayWon]], Table1[[GameIsOver]:[GameIsOver]],1,Table1[[HomeTeam]:[HomeTeam]],$A26, Table1[[AwayTeam]:[AwayTeam]], AB$1, Table1[[ActualResult]:[ActualResult]], "OT") + SUMIFS(Table1[[HomeWon]:[HomeWon]], Table1[[GameIsOver]:[GameIsOver]],1,Table1[[AwayTeam]:[AwayTeam]],$A26, Table1[[HomeTeam]:[HomeTeam]], AB$1, Table1[[ActualResult]:[ActualResult]], "SO") + SUMIFS(Table1[[AwayWon]:[AwayWon]], Table1[[GameIsOver]:[GameIsOver]],1,Table1[[HomeTeam]:[HomeTeam]],$A26, Table1[[AwayTeam]:[AwayTeam]], AB$1, Table1[[ActualResult]:[ActualResult]], "SO"),0))</f>
        <v>0-0-0</v>
      </c>
      <c r="AC26" s="43" t="str">
        <f>_xlfn.CONCAT(TEXT(SUMIFS(Table1[[AwayWon]:[AwayWon]], Table1[[GameIsOver]:[GameIsOver]],1,Table1[[AwayTeam]:[AwayTeam]],$A26, Table1[[HomeTeam]:[HomeTeam]], AC$1) + SUMIFS(Table1[[HomeWon]:[HomeWon]], Table1[[GameIsOver]:[GameIsOver]],1,Table1[[HomeTeam]:[HomeTeam]],$A26, Table1[[AwayTeam]:[AwayTeam]], AC$1),0), "-", TEXT(SUMIFS(Table1[[HomeWon]:[HomeWon]], Table1[[GameIsOver]:[GameIsOver]],1,Table1[[AwayTeam]:[AwayTeam]],$A26, Table1[[HomeTeam]:[HomeTeam]], AC$1, Table1[[ActualResult]:[ActualResult]], "REG") + SUMIFS(Table1[[AwayWon]:[AwayWon]], Table1[[GameIsOver]:[GameIsOver]],1,Table1[[HomeTeam]:[HomeTeam]],$A26, Table1[[AwayTeam]:[AwayTeam]], AC$1, Table1[[ActualResult]:[ActualResult]], "REG"),0), "-", TEXT(SUMIFS(Table1[[HomeWon]:[HomeWon]], Table1[[GameIsOver]:[GameIsOver]],1,Table1[[AwayTeam]:[AwayTeam]],$A26, Table1[[HomeTeam]:[HomeTeam]], AC$1, Table1[[ActualResult]:[ActualResult]], "OT") + SUMIFS(Table1[[AwayWon]:[AwayWon]], Table1[[GameIsOver]:[GameIsOver]],1,Table1[[HomeTeam]:[HomeTeam]],$A26, Table1[[AwayTeam]:[AwayTeam]], AC$1, Table1[[ActualResult]:[ActualResult]], "OT") + SUMIFS(Table1[[HomeWon]:[HomeWon]], Table1[[GameIsOver]:[GameIsOver]],1,Table1[[AwayTeam]:[AwayTeam]],$A26, Table1[[HomeTeam]:[HomeTeam]], AC$1, Table1[[ActualResult]:[ActualResult]], "SO") + SUMIFS(Table1[[AwayWon]:[AwayWon]], Table1[[GameIsOver]:[GameIsOver]],1,Table1[[HomeTeam]:[HomeTeam]],$A26, Table1[[AwayTeam]:[AwayTeam]], AC$1, Table1[[ActualResult]:[ActualResult]], "SO"),0))</f>
        <v>0-0-0</v>
      </c>
      <c r="AD26" s="43" t="str">
        <f>_xlfn.CONCAT(TEXT(SUMIFS(Table1[[AwayWon]:[AwayWon]], Table1[[GameIsOver]:[GameIsOver]],1,Table1[[AwayTeam]:[AwayTeam]],$A26, Table1[[HomeTeam]:[HomeTeam]], AD$1) + SUMIFS(Table1[[HomeWon]:[HomeWon]], Table1[[GameIsOver]:[GameIsOver]],1,Table1[[HomeTeam]:[HomeTeam]],$A26, Table1[[AwayTeam]:[AwayTeam]], AD$1),0), "-", TEXT(SUMIFS(Table1[[HomeWon]:[HomeWon]], Table1[[GameIsOver]:[GameIsOver]],1,Table1[[AwayTeam]:[AwayTeam]],$A26, Table1[[HomeTeam]:[HomeTeam]], AD$1, Table1[[ActualResult]:[ActualResult]], "REG") + SUMIFS(Table1[[AwayWon]:[AwayWon]], Table1[[GameIsOver]:[GameIsOver]],1,Table1[[HomeTeam]:[HomeTeam]],$A26, Table1[[AwayTeam]:[AwayTeam]], AD$1, Table1[[ActualResult]:[ActualResult]], "REG"),0), "-", TEXT(SUMIFS(Table1[[HomeWon]:[HomeWon]], Table1[[GameIsOver]:[GameIsOver]],1,Table1[[AwayTeam]:[AwayTeam]],$A26, Table1[[HomeTeam]:[HomeTeam]], AD$1, Table1[[ActualResult]:[ActualResult]], "OT") + SUMIFS(Table1[[AwayWon]:[AwayWon]], Table1[[GameIsOver]:[GameIsOver]],1,Table1[[HomeTeam]:[HomeTeam]],$A26, Table1[[AwayTeam]:[AwayTeam]], AD$1, Table1[[ActualResult]:[ActualResult]], "OT") + SUMIFS(Table1[[HomeWon]:[HomeWon]], Table1[[GameIsOver]:[GameIsOver]],1,Table1[[AwayTeam]:[AwayTeam]],$A26, Table1[[HomeTeam]:[HomeTeam]], AD$1, Table1[[ActualResult]:[ActualResult]], "SO") + SUMIFS(Table1[[AwayWon]:[AwayWon]], Table1[[GameIsOver]:[GameIsOver]],1,Table1[[HomeTeam]:[HomeTeam]],$A26, Table1[[AwayTeam]:[AwayTeam]], AD$1, Table1[[ActualResult]:[ActualResult]], "SO"),0))</f>
        <v>0-0-0</v>
      </c>
      <c r="AE26" s="43" t="str">
        <f>_xlfn.CONCAT(TEXT(SUMIFS(Table1[[AwayWon]:[AwayWon]], Table1[[GameIsOver]:[GameIsOver]],1,Table1[[AwayTeam]:[AwayTeam]],$A26, Table1[[HomeTeam]:[HomeTeam]], AE$1) + SUMIFS(Table1[[HomeWon]:[HomeWon]], Table1[[GameIsOver]:[GameIsOver]],1,Table1[[HomeTeam]:[HomeTeam]],$A26, Table1[[AwayTeam]:[AwayTeam]], AE$1),0), "-", TEXT(SUMIFS(Table1[[HomeWon]:[HomeWon]], Table1[[GameIsOver]:[GameIsOver]],1,Table1[[AwayTeam]:[AwayTeam]],$A26, Table1[[HomeTeam]:[HomeTeam]], AE$1, Table1[[ActualResult]:[ActualResult]], "REG") + SUMIFS(Table1[[AwayWon]:[AwayWon]], Table1[[GameIsOver]:[GameIsOver]],1,Table1[[HomeTeam]:[HomeTeam]],$A26, Table1[[AwayTeam]:[AwayTeam]], AE$1, Table1[[ActualResult]:[ActualResult]], "REG"),0), "-", TEXT(SUMIFS(Table1[[HomeWon]:[HomeWon]], Table1[[GameIsOver]:[GameIsOver]],1,Table1[[AwayTeam]:[AwayTeam]],$A26, Table1[[HomeTeam]:[HomeTeam]], AE$1, Table1[[ActualResult]:[ActualResult]], "OT") + SUMIFS(Table1[[AwayWon]:[AwayWon]], Table1[[GameIsOver]:[GameIsOver]],1,Table1[[HomeTeam]:[HomeTeam]],$A26, Table1[[AwayTeam]:[AwayTeam]], AE$1, Table1[[ActualResult]:[ActualResult]], "OT") + SUMIFS(Table1[[HomeWon]:[HomeWon]], Table1[[GameIsOver]:[GameIsOver]],1,Table1[[AwayTeam]:[AwayTeam]],$A26, Table1[[HomeTeam]:[HomeTeam]], AE$1, Table1[[ActualResult]:[ActualResult]], "SO") + SUMIFS(Table1[[AwayWon]:[AwayWon]], Table1[[GameIsOver]:[GameIsOver]],1,Table1[[HomeTeam]:[HomeTeam]],$A26, Table1[[AwayTeam]:[AwayTeam]], AE$1, Table1[[ActualResult]:[ActualResult]], "SO"),0))</f>
        <v>0-0-0</v>
      </c>
      <c r="AF26" s="43" t="str">
        <f>_xlfn.CONCAT(TEXT(SUMIFS(Table1[[AwayWon]:[AwayWon]], Table1[[GameIsOver]:[GameIsOver]],1,Table1[[AwayTeam]:[AwayTeam]],$A26, Table1[[HomeTeam]:[HomeTeam]], AF$1) + SUMIFS(Table1[[HomeWon]:[HomeWon]], Table1[[GameIsOver]:[GameIsOver]],1,Table1[[HomeTeam]:[HomeTeam]],$A26, Table1[[AwayTeam]:[AwayTeam]], AF$1),0), "-", TEXT(SUMIFS(Table1[[HomeWon]:[HomeWon]], Table1[[GameIsOver]:[GameIsOver]],1,Table1[[AwayTeam]:[AwayTeam]],$A26, Table1[[HomeTeam]:[HomeTeam]], AF$1, Table1[[ActualResult]:[ActualResult]], "REG") + SUMIFS(Table1[[AwayWon]:[AwayWon]], Table1[[GameIsOver]:[GameIsOver]],1,Table1[[HomeTeam]:[HomeTeam]],$A26, Table1[[AwayTeam]:[AwayTeam]], AF$1, Table1[[ActualResult]:[ActualResult]], "REG"),0), "-", TEXT(SUMIFS(Table1[[HomeWon]:[HomeWon]], Table1[[GameIsOver]:[GameIsOver]],1,Table1[[AwayTeam]:[AwayTeam]],$A26, Table1[[HomeTeam]:[HomeTeam]], AF$1, Table1[[ActualResult]:[ActualResult]], "OT") + SUMIFS(Table1[[AwayWon]:[AwayWon]], Table1[[GameIsOver]:[GameIsOver]],1,Table1[[HomeTeam]:[HomeTeam]],$A26, Table1[[AwayTeam]:[AwayTeam]], AF$1, Table1[[ActualResult]:[ActualResult]], "OT") + SUMIFS(Table1[[HomeWon]:[HomeWon]], Table1[[GameIsOver]:[GameIsOver]],1,Table1[[AwayTeam]:[AwayTeam]],$A26, Table1[[HomeTeam]:[HomeTeam]], AF$1, Table1[[ActualResult]:[ActualResult]], "SO") + SUMIFS(Table1[[AwayWon]:[AwayWon]], Table1[[GameIsOver]:[GameIsOver]],1,Table1[[HomeTeam]:[HomeTeam]],$A26, Table1[[AwayTeam]:[AwayTeam]], AF$1, Table1[[ActualResult]:[ActualResult]], "SO"),0))</f>
        <v>0-0-0</v>
      </c>
      <c r="AG26" s="43" t="str">
        <f>_xlfn.CONCAT(TEXT(SUMIFS(Table1[[AwayWon]:[AwayWon]], Table1[[GameIsOver]:[GameIsOver]],1,Table1[[AwayTeam]:[AwayTeam]],$A26, Table1[[HomeTeam]:[HomeTeam]], AG$1) + SUMIFS(Table1[[HomeWon]:[HomeWon]], Table1[[GameIsOver]:[GameIsOver]],1,Table1[[HomeTeam]:[HomeTeam]],$A26, Table1[[AwayTeam]:[AwayTeam]], AG$1),0), "-", TEXT(SUMIFS(Table1[[HomeWon]:[HomeWon]], Table1[[GameIsOver]:[GameIsOver]],1,Table1[[AwayTeam]:[AwayTeam]],$A26, Table1[[HomeTeam]:[HomeTeam]], AG$1, Table1[[ActualResult]:[ActualResult]], "REG") + SUMIFS(Table1[[AwayWon]:[AwayWon]], Table1[[GameIsOver]:[GameIsOver]],1,Table1[[HomeTeam]:[HomeTeam]],$A26, Table1[[AwayTeam]:[AwayTeam]], AG$1, Table1[[ActualResult]:[ActualResult]], "REG"),0), "-", TEXT(SUMIFS(Table1[[HomeWon]:[HomeWon]], Table1[[GameIsOver]:[GameIsOver]],1,Table1[[AwayTeam]:[AwayTeam]],$A26, Table1[[HomeTeam]:[HomeTeam]], AG$1, Table1[[ActualResult]:[ActualResult]], "OT") + SUMIFS(Table1[[AwayWon]:[AwayWon]], Table1[[GameIsOver]:[GameIsOver]],1,Table1[[HomeTeam]:[HomeTeam]],$A26, Table1[[AwayTeam]:[AwayTeam]], AG$1, Table1[[ActualResult]:[ActualResult]], "OT") + SUMIFS(Table1[[HomeWon]:[HomeWon]], Table1[[GameIsOver]:[GameIsOver]],1,Table1[[AwayTeam]:[AwayTeam]],$A26, Table1[[HomeTeam]:[HomeTeam]], AG$1, Table1[[ActualResult]:[ActualResult]], "SO") + SUMIFS(Table1[[AwayWon]:[AwayWon]], Table1[[GameIsOver]:[GameIsOver]],1,Table1[[HomeTeam]:[HomeTeam]],$A26, Table1[[AwayTeam]:[AwayTeam]], AG$1, Table1[[ActualResult]:[ActualResult]], "SO"),0))</f>
        <v>0-0-0</v>
      </c>
    </row>
    <row r="27" spans="1:33" x14ac:dyDescent="0.25">
      <c r="A27" s="17" t="s">
        <v>38</v>
      </c>
      <c r="B27" s="43" t="str">
        <f>_xlfn.CONCAT(TEXT(SUMIFS(Table1[[AwayWon]:[AwayWon]], Table1[[GameIsOver]:[GameIsOver]],1,Table1[[AwayTeam]:[AwayTeam]],$A27, Table1[[HomeTeam]:[HomeTeam]], B$1) + SUMIFS(Table1[[HomeWon]:[HomeWon]], Table1[[GameIsOver]:[GameIsOver]],1,Table1[[HomeTeam]:[HomeTeam]],$A27, Table1[[AwayTeam]:[AwayTeam]], B$1),0), "-", TEXT(SUMIFS(Table1[[HomeWon]:[HomeWon]], Table1[[GameIsOver]:[GameIsOver]],1,Table1[[AwayTeam]:[AwayTeam]],$A27, Table1[[HomeTeam]:[HomeTeam]], B$1, Table1[[ActualResult]:[ActualResult]], "REG") + SUMIFS(Table1[[AwayWon]:[AwayWon]], Table1[[GameIsOver]:[GameIsOver]],1,Table1[[HomeTeam]:[HomeTeam]],$A27, Table1[[AwayTeam]:[AwayTeam]], B$1, Table1[[ActualResult]:[ActualResult]], "REG"),0), "-", TEXT(SUMIFS(Table1[[HomeWon]:[HomeWon]], Table1[[GameIsOver]:[GameIsOver]],1,Table1[[AwayTeam]:[AwayTeam]],$A27, Table1[[HomeTeam]:[HomeTeam]], B$1, Table1[[ActualResult]:[ActualResult]], "OT") + SUMIFS(Table1[[AwayWon]:[AwayWon]], Table1[[GameIsOver]:[GameIsOver]],1,Table1[[HomeTeam]:[HomeTeam]],$A27, Table1[[AwayTeam]:[AwayTeam]], B$1, Table1[[ActualResult]:[ActualResult]], "OT") + SUMIFS(Table1[[HomeWon]:[HomeWon]], Table1[[GameIsOver]:[GameIsOver]],1,Table1[[AwayTeam]:[AwayTeam]],$A27, Table1[[HomeTeam]:[HomeTeam]], B$1, Table1[[ActualResult]:[ActualResult]], "SO") + SUMIFS(Table1[[AwayWon]:[AwayWon]], Table1[[GameIsOver]:[GameIsOver]],1,Table1[[HomeTeam]:[HomeTeam]],$A27, Table1[[AwayTeam]:[AwayTeam]], B$1, Table1[[ActualResult]:[ActualResult]], "SO"),0))</f>
        <v>0-0-0</v>
      </c>
      <c r="C27" s="43" t="str">
        <f>_xlfn.CONCAT(TEXT(SUMIFS(Table1[[AwayWon]:[AwayWon]], Table1[[GameIsOver]:[GameIsOver]],1,Table1[[AwayTeam]:[AwayTeam]],$A27, Table1[[HomeTeam]:[HomeTeam]], C$1) + SUMIFS(Table1[[HomeWon]:[HomeWon]], Table1[[GameIsOver]:[GameIsOver]],1,Table1[[HomeTeam]:[HomeTeam]],$A27, Table1[[AwayTeam]:[AwayTeam]], C$1),0), "-", TEXT(SUMIFS(Table1[[HomeWon]:[HomeWon]], Table1[[GameIsOver]:[GameIsOver]],1,Table1[[AwayTeam]:[AwayTeam]],$A27, Table1[[HomeTeam]:[HomeTeam]], C$1, Table1[[ActualResult]:[ActualResult]], "REG") + SUMIFS(Table1[[AwayWon]:[AwayWon]], Table1[[GameIsOver]:[GameIsOver]],1,Table1[[HomeTeam]:[HomeTeam]],$A27, Table1[[AwayTeam]:[AwayTeam]], C$1, Table1[[ActualResult]:[ActualResult]], "REG"),0), "-", TEXT(SUMIFS(Table1[[HomeWon]:[HomeWon]], Table1[[GameIsOver]:[GameIsOver]],1,Table1[[AwayTeam]:[AwayTeam]],$A27, Table1[[HomeTeam]:[HomeTeam]], C$1, Table1[[ActualResult]:[ActualResult]], "OT") + SUMIFS(Table1[[AwayWon]:[AwayWon]], Table1[[GameIsOver]:[GameIsOver]],1,Table1[[HomeTeam]:[HomeTeam]],$A27, Table1[[AwayTeam]:[AwayTeam]], C$1, Table1[[ActualResult]:[ActualResult]], "OT") + SUMIFS(Table1[[HomeWon]:[HomeWon]], Table1[[GameIsOver]:[GameIsOver]],1,Table1[[AwayTeam]:[AwayTeam]],$A27, Table1[[HomeTeam]:[HomeTeam]], C$1, Table1[[ActualResult]:[ActualResult]], "SO") + SUMIFS(Table1[[AwayWon]:[AwayWon]], Table1[[GameIsOver]:[GameIsOver]],1,Table1[[HomeTeam]:[HomeTeam]],$A27, Table1[[AwayTeam]:[AwayTeam]], C$1, Table1[[ActualResult]:[ActualResult]], "SO"),0))</f>
        <v>0-0-0</v>
      </c>
      <c r="D27" s="43" t="str">
        <f>_xlfn.CONCAT(TEXT(SUMIFS(Table1[[AwayWon]:[AwayWon]], Table1[[GameIsOver]:[GameIsOver]],1,Table1[[AwayTeam]:[AwayTeam]],$A27, Table1[[HomeTeam]:[HomeTeam]], D$1) + SUMIFS(Table1[[HomeWon]:[HomeWon]], Table1[[GameIsOver]:[GameIsOver]],1,Table1[[HomeTeam]:[HomeTeam]],$A27, Table1[[AwayTeam]:[AwayTeam]], D$1),0), "-", TEXT(SUMIFS(Table1[[HomeWon]:[HomeWon]], Table1[[GameIsOver]:[GameIsOver]],1,Table1[[AwayTeam]:[AwayTeam]],$A27, Table1[[HomeTeam]:[HomeTeam]], D$1, Table1[[ActualResult]:[ActualResult]], "REG") + SUMIFS(Table1[[AwayWon]:[AwayWon]], Table1[[GameIsOver]:[GameIsOver]],1,Table1[[HomeTeam]:[HomeTeam]],$A27, Table1[[AwayTeam]:[AwayTeam]], D$1, Table1[[ActualResult]:[ActualResult]], "REG"),0), "-", TEXT(SUMIFS(Table1[[HomeWon]:[HomeWon]], Table1[[GameIsOver]:[GameIsOver]],1,Table1[[AwayTeam]:[AwayTeam]],$A27, Table1[[HomeTeam]:[HomeTeam]], D$1, Table1[[ActualResult]:[ActualResult]], "OT") + SUMIFS(Table1[[AwayWon]:[AwayWon]], Table1[[GameIsOver]:[GameIsOver]],1,Table1[[HomeTeam]:[HomeTeam]],$A27, Table1[[AwayTeam]:[AwayTeam]], D$1, Table1[[ActualResult]:[ActualResult]], "OT") + SUMIFS(Table1[[HomeWon]:[HomeWon]], Table1[[GameIsOver]:[GameIsOver]],1,Table1[[AwayTeam]:[AwayTeam]],$A27, Table1[[HomeTeam]:[HomeTeam]], D$1, Table1[[ActualResult]:[ActualResult]], "SO") + SUMIFS(Table1[[AwayWon]:[AwayWon]], Table1[[GameIsOver]:[GameIsOver]],1,Table1[[HomeTeam]:[HomeTeam]],$A27, Table1[[AwayTeam]:[AwayTeam]], D$1, Table1[[ActualResult]:[ActualResult]], "SO"),0))</f>
        <v>0-0-0</v>
      </c>
      <c r="E27" s="43" t="str">
        <f>_xlfn.CONCAT(TEXT(SUMIFS(Table1[[AwayWon]:[AwayWon]], Table1[[GameIsOver]:[GameIsOver]],1,Table1[[AwayTeam]:[AwayTeam]],$A27, Table1[[HomeTeam]:[HomeTeam]], E$1) + SUMIFS(Table1[[HomeWon]:[HomeWon]], Table1[[GameIsOver]:[GameIsOver]],1,Table1[[HomeTeam]:[HomeTeam]],$A27, Table1[[AwayTeam]:[AwayTeam]], E$1),0), "-", TEXT(SUMIFS(Table1[[HomeWon]:[HomeWon]], Table1[[GameIsOver]:[GameIsOver]],1,Table1[[AwayTeam]:[AwayTeam]],$A27, Table1[[HomeTeam]:[HomeTeam]], E$1, Table1[[ActualResult]:[ActualResult]], "REG") + SUMIFS(Table1[[AwayWon]:[AwayWon]], Table1[[GameIsOver]:[GameIsOver]],1,Table1[[HomeTeam]:[HomeTeam]],$A27, Table1[[AwayTeam]:[AwayTeam]], E$1, Table1[[ActualResult]:[ActualResult]], "REG"),0), "-", TEXT(SUMIFS(Table1[[HomeWon]:[HomeWon]], Table1[[GameIsOver]:[GameIsOver]],1,Table1[[AwayTeam]:[AwayTeam]],$A27, Table1[[HomeTeam]:[HomeTeam]], E$1, Table1[[ActualResult]:[ActualResult]], "OT") + SUMIFS(Table1[[AwayWon]:[AwayWon]], Table1[[GameIsOver]:[GameIsOver]],1,Table1[[HomeTeam]:[HomeTeam]],$A27, Table1[[AwayTeam]:[AwayTeam]], E$1, Table1[[ActualResult]:[ActualResult]], "OT") + SUMIFS(Table1[[HomeWon]:[HomeWon]], Table1[[GameIsOver]:[GameIsOver]],1,Table1[[AwayTeam]:[AwayTeam]],$A27, Table1[[HomeTeam]:[HomeTeam]], E$1, Table1[[ActualResult]:[ActualResult]], "SO") + SUMIFS(Table1[[AwayWon]:[AwayWon]], Table1[[GameIsOver]:[GameIsOver]],1,Table1[[HomeTeam]:[HomeTeam]],$A27, Table1[[AwayTeam]:[AwayTeam]], E$1, Table1[[ActualResult]:[ActualResult]], "SO"),0))</f>
        <v>0-0-0</v>
      </c>
      <c r="F27" s="43" t="str">
        <f>_xlfn.CONCAT(TEXT(SUMIFS(Table1[[AwayWon]:[AwayWon]], Table1[[GameIsOver]:[GameIsOver]],1,Table1[[AwayTeam]:[AwayTeam]],$A27, Table1[[HomeTeam]:[HomeTeam]], F$1) + SUMIFS(Table1[[HomeWon]:[HomeWon]], Table1[[GameIsOver]:[GameIsOver]],1,Table1[[HomeTeam]:[HomeTeam]],$A27, Table1[[AwayTeam]:[AwayTeam]], F$1),0), "-", TEXT(SUMIFS(Table1[[HomeWon]:[HomeWon]], Table1[[GameIsOver]:[GameIsOver]],1,Table1[[AwayTeam]:[AwayTeam]],$A27, Table1[[HomeTeam]:[HomeTeam]], F$1, Table1[[ActualResult]:[ActualResult]], "REG") + SUMIFS(Table1[[AwayWon]:[AwayWon]], Table1[[GameIsOver]:[GameIsOver]],1,Table1[[HomeTeam]:[HomeTeam]],$A27, Table1[[AwayTeam]:[AwayTeam]], F$1, Table1[[ActualResult]:[ActualResult]], "REG"),0), "-", TEXT(SUMIFS(Table1[[HomeWon]:[HomeWon]], Table1[[GameIsOver]:[GameIsOver]],1,Table1[[AwayTeam]:[AwayTeam]],$A27, Table1[[HomeTeam]:[HomeTeam]], F$1, Table1[[ActualResult]:[ActualResult]], "OT") + SUMIFS(Table1[[AwayWon]:[AwayWon]], Table1[[GameIsOver]:[GameIsOver]],1,Table1[[HomeTeam]:[HomeTeam]],$A27, Table1[[AwayTeam]:[AwayTeam]], F$1, Table1[[ActualResult]:[ActualResult]], "OT") + SUMIFS(Table1[[HomeWon]:[HomeWon]], Table1[[GameIsOver]:[GameIsOver]],1,Table1[[AwayTeam]:[AwayTeam]],$A27, Table1[[HomeTeam]:[HomeTeam]], F$1, Table1[[ActualResult]:[ActualResult]], "SO") + SUMIFS(Table1[[AwayWon]:[AwayWon]], Table1[[GameIsOver]:[GameIsOver]],1,Table1[[HomeTeam]:[HomeTeam]],$A27, Table1[[AwayTeam]:[AwayTeam]], F$1, Table1[[ActualResult]:[ActualResult]], "SO"),0))</f>
        <v>0-0-0</v>
      </c>
      <c r="G27" s="43" t="str">
        <f>_xlfn.CONCAT(TEXT(SUMIFS(Table1[[AwayWon]:[AwayWon]], Table1[[GameIsOver]:[GameIsOver]],1,Table1[[AwayTeam]:[AwayTeam]],$A27, Table1[[HomeTeam]:[HomeTeam]], G$1) + SUMIFS(Table1[[HomeWon]:[HomeWon]], Table1[[GameIsOver]:[GameIsOver]],1,Table1[[HomeTeam]:[HomeTeam]],$A27, Table1[[AwayTeam]:[AwayTeam]], G$1),0), "-", TEXT(SUMIFS(Table1[[HomeWon]:[HomeWon]], Table1[[GameIsOver]:[GameIsOver]],1,Table1[[AwayTeam]:[AwayTeam]],$A27, Table1[[HomeTeam]:[HomeTeam]], G$1, Table1[[ActualResult]:[ActualResult]], "REG") + SUMIFS(Table1[[AwayWon]:[AwayWon]], Table1[[GameIsOver]:[GameIsOver]],1,Table1[[HomeTeam]:[HomeTeam]],$A27, Table1[[AwayTeam]:[AwayTeam]], G$1, Table1[[ActualResult]:[ActualResult]], "REG"),0), "-", TEXT(SUMIFS(Table1[[HomeWon]:[HomeWon]], Table1[[GameIsOver]:[GameIsOver]],1,Table1[[AwayTeam]:[AwayTeam]],$A27, Table1[[HomeTeam]:[HomeTeam]], G$1, Table1[[ActualResult]:[ActualResult]], "OT") + SUMIFS(Table1[[AwayWon]:[AwayWon]], Table1[[GameIsOver]:[GameIsOver]],1,Table1[[HomeTeam]:[HomeTeam]],$A27, Table1[[AwayTeam]:[AwayTeam]], G$1, Table1[[ActualResult]:[ActualResult]], "OT") + SUMIFS(Table1[[HomeWon]:[HomeWon]], Table1[[GameIsOver]:[GameIsOver]],1,Table1[[AwayTeam]:[AwayTeam]],$A27, Table1[[HomeTeam]:[HomeTeam]], G$1, Table1[[ActualResult]:[ActualResult]], "SO") + SUMIFS(Table1[[AwayWon]:[AwayWon]], Table1[[GameIsOver]:[GameIsOver]],1,Table1[[HomeTeam]:[HomeTeam]],$A27, Table1[[AwayTeam]:[AwayTeam]], G$1, Table1[[ActualResult]:[ActualResult]], "SO"),0))</f>
        <v>0-0-0</v>
      </c>
      <c r="H27" s="43" t="str">
        <f>_xlfn.CONCAT(TEXT(SUMIFS(Table1[[AwayWon]:[AwayWon]], Table1[[GameIsOver]:[GameIsOver]],1,Table1[[AwayTeam]:[AwayTeam]],$A27, Table1[[HomeTeam]:[HomeTeam]], H$1) + SUMIFS(Table1[[HomeWon]:[HomeWon]], Table1[[GameIsOver]:[GameIsOver]],1,Table1[[HomeTeam]:[HomeTeam]],$A27, Table1[[AwayTeam]:[AwayTeam]], H$1),0), "-", TEXT(SUMIFS(Table1[[HomeWon]:[HomeWon]], Table1[[GameIsOver]:[GameIsOver]],1,Table1[[AwayTeam]:[AwayTeam]],$A27, Table1[[HomeTeam]:[HomeTeam]], H$1, Table1[[ActualResult]:[ActualResult]], "REG") + SUMIFS(Table1[[AwayWon]:[AwayWon]], Table1[[GameIsOver]:[GameIsOver]],1,Table1[[HomeTeam]:[HomeTeam]],$A27, Table1[[AwayTeam]:[AwayTeam]], H$1, Table1[[ActualResult]:[ActualResult]], "REG"),0), "-", TEXT(SUMIFS(Table1[[HomeWon]:[HomeWon]], Table1[[GameIsOver]:[GameIsOver]],1,Table1[[AwayTeam]:[AwayTeam]],$A27, Table1[[HomeTeam]:[HomeTeam]], H$1, Table1[[ActualResult]:[ActualResult]], "OT") + SUMIFS(Table1[[AwayWon]:[AwayWon]], Table1[[GameIsOver]:[GameIsOver]],1,Table1[[HomeTeam]:[HomeTeam]],$A27, Table1[[AwayTeam]:[AwayTeam]], H$1, Table1[[ActualResult]:[ActualResult]], "OT") + SUMIFS(Table1[[HomeWon]:[HomeWon]], Table1[[GameIsOver]:[GameIsOver]],1,Table1[[AwayTeam]:[AwayTeam]],$A27, Table1[[HomeTeam]:[HomeTeam]], H$1, Table1[[ActualResult]:[ActualResult]], "SO") + SUMIFS(Table1[[AwayWon]:[AwayWon]], Table1[[GameIsOver]:[GameIsOver]],1,Table1[[HomeTeam]:[HomeTeam]],$A27, Table1[[AwayTeam]:[AwayTeam]], H$1, Table1[[ActualResult]:[ActualResult]], "SO"),0))</f>
        <v>0-0-0</v>
      </c>
      <c r="I27" s="45" t="str">
        <f>_xlfn.CONCAT(TEXT(SUMIFS(Table1[[AwayWon]:[AwayWon]], Table1[[GameIsOver]:[GameIsOver]],1,Table1[[AwayTeam]:[AwayTeam]],$A27, Table1[[HomeTeam]:[HomeTeam]], I$1) + SUMIFS(Table1[[HomeWon]:[HomeWon]], Table1[[GameIsOver]:[GameIsOver]],1,Table1[[HomeTeam]:[HomeTeam]],$A27, Table1[[AwayTeam]:[AwayTeam]], I$1),0), "-", TEXT(SUMIFS(Table1[[HomeWon]:[HomeWon]], Table1[[GameIsOver]:[GameIsOver]],1,Table1[[AwayTeam]:[AwayTeam]],$A27, Table1[[HomeTeam]:[HomeTeam]], I$1, Table1[[ActualResult]:[ActualResult]], "REG") + SUMIFS(Table1[[AwayWon]:[AwayWon]], Table1[[GameIsOver]:[GameIsOver]],1,Table1[[HomeTeam]:[HomeTeam]],$A27, Table1[[AwayTeam]:[AwayTeam]], I$1, Table1[[ActualResult]:[ActualResult]], "REG"),0), "-", TEXT(SUMIFS(Table1[[HomeWon]:[HomeWon]], Table1[[GameIsOver]:[GameIsOver]],1,Table1[[AwayTeam]:[AwayTeam]],$A27, Table1[[HomeTeam]:[HomeTeam]], I$1, Table1[[ActualResult]:[ActualResult]], "OT") + SUMIFS(Table1[[AwayWon]:[AwayWon]], Table1[[GameIsOver]:[GameIsOver]],1,Table1[[HomeTeam]:[HomeTeam]],$A27, Table1[[AwayTeam]:[AwayTeam]], I$1, Table1[[ActualResult]:[ActualResult]], "OT") + SUMIFS(Table1[[HomeWon]:[HomeWon]], Table1[[GameIsOver]:[GameIsOver]],1,Table1[[AwayTeam]:[AwayTeam]],$A27, Table1[[HomeTeam]:[HomeTeam]], I$1, Table1[[ActualResult]:[ActualResult]], "SO") + SUMIFS(Table1[[AwayWon]:[AwayWon]], Table1[[GameIsOver]:[GameIsOver]],1,Table1[[HomeTeam]:[HomeTeam]],$A27, Table1[[AwayTeam]:[AwayTeam]], I$1, Table1[[ActualResult]:[ActualResult]], "SO"),0))</f>
        <v>0-0-0</v>
      </c>
      <c r="J27" s="43" t="str">
        <f>_xlfn.CONCAT(TEXT(SUMIFS(Table1[[AwayWon]:[AwayWon]], Table1[[GameIsOver]:[GameIsOver]],1,Table1[[AwayTeam]:[AwayTeam]],$A27, Table1[[HomeTeam]:[HomeTeam]], J$1) + SUMIFS(Table1[[HomeWon]:[HomeWon]], Table1[[GameIsOver]:[GameIsOver]],1,Table1[[HomeTeam]:[HomeTeam]],$A27, Table1[[AwayTeam]:[AwayTeam]], J$1),0), "-", TEXT(SUMIFS(Table1[[HomeWon]:[HomeWon]], Table1[[GameIsOver]:[GameIsOver]],1,Table1[[AwayTeam]:[AwayTeam]],$A27, Table1[[HomeTeam]:[HomeTeam]], J$1, Table1[[ActualResult]:[ActualResult]], "REG") + SUMIFS(Table1[[AwayWon]:[AwayWon]], Table1[[GameIsOver]:[GameIsOver]],1,Table1[[HomeTeam]:[HomeTeam]],$A27, Table1[[AwayTeam]:[AwayTeam]], J$1, Table1[[ActualResult]:[ActualResult]], "REG"),0), "-", TEXT(SUMIFS(Table1[[HomeWon]:[HomeWon]], Table1[[GameIsOver]:[GameIsOver]],1,Table1[[AwayTeam]:[AwayTeam]],$A27, Table1[[HomeTeam]:[HomeTeam]], J$1, Table1[[ActualResult]:[ActualResult]], "OT") + SUMIFS(Table1[[AwayWon]:[AwayWon]], Table1[[GameIsOver]:[GameIsOver]],1,Table1[[HomeTeam]:[HomeTeam]],$A27, Table1[[AwayTeam]:[AwayTeam]], J$1, Table1[[ActualResult]:[ActualResult]], "OT") + SUMIFS(Table1[[HomeWon]:[HomeWon]], Table1[[GameIsOver]:[GameIsOver]],1,Table1[[AwayTeam]:[AwayTeam]],$A27, Table1[[HomeTeam]:[HomeTeam]], J$1, Table1[[ActualResult]:[ActualResult]], "SO") + SUMIFS(Table1[[AwayWon]:[AwayWon]], Table1[[GameIsOver]:[GameIsOver]],1,Table1[[HomeTeam]:[HomeTeam]],$A27, Table1[[AwayTeam]:[AwayTeam]], J$1, Table1[[ActualResult]:[ActualResult]], "SO"),0))</f>
        <v>0-0-0</v>
      </c>
      <c r="K27" s="43" t="str">
        <f>_xlfn.CONCAT(TEXT(SUMIFS(Table1[[AwayWon]:[AwayWon]], Table1[[GameIsOver]:[GameIsOver]],1,Table1[[AwayTeam]:[AwayTeam]],$A27, Table1[[HomeTeam]:[HomeTeam]], K$1) + SUMIFS(Table1[[HomeWon]:[HomeWon]], Table1[[GameIsOver]:[GameIsOver]],1,Table1[[HomeTeam]:[HomeTeam]],$A27, Table1[[AwayTeam]:[AwayTeam]], K$1),0), "-", TEXT(SUMIFS(Table1[[HomeWon]:[HomeWon]], Table1[[GameIsOver]:[GameIsOver]],1,Table1[[AwayTeam]:[AwayTeam]],$A27, Table1[[HomeTeam]:[HomeTeam]], K$1, Table1[[ActualResult]:[ActualResult]], "REG") + SUMIFS(Table1[[AwayWon]:[AwayWon]], Table1[[GameIsOver]:[GameIsOver]],1,Table1[[HomeTeam]:[HomeTeam]],$A27, Table1[[AwayTeam]:[AwayTeam]], K$1, Table1[[ActualResult]:[ActualResult]], "REG"),0), "-", TEXT(SUMIFS(Table1[[HomeWon]:[HomeWon]], Table1[[GameIsOver]:[GameIsOver]],1,Table1[[AwayTeam]:[AwayTeam]],$A27, Table1[[HomeTeam]:[HomeTeam]], K$1, Table1[[ActualResult]:[ActualResult]], "OT") + SUMIFS(Table1[[AwayWon]:[AwayWon]], Table1[[GameIsOver]:[GameIsOver]],1,Table1[[HomeTeam]:[HomeTeam]],$A27, Table1[[AwayTeam]:[AwayTeam]], K$1, Table1[[ActualResult]:[ActualResult]], "OT") + SUMIFS(Table1[[HomeWon]:[HomeWon]], Table1[[GameIsOver]:[GameIsOver]],1,Table1[[AwayTeam]:[AwayTeam]],$A27, Table1[[HomeTeam]:[HomeTeam]], K$1, Table1[[ActualResult]:[ActualResult]], "SO") + SUMIFS(Table1[[AwayWon]:[AwayWon]], Table1[[GameIsOver]:[GameIsOver]],1,Table1[[HomeTeam]:[HomeTeam]],$A27, Table1[[AwayTeam]:[AwayTeam]], K$1, Table1[[ActualResult]:[ActualResult]], "SO"),0))</f>
        <v>0-0-0</v>
      </c>
      <c r="L27" s="43" t="str">
        <f>_xlfn.CONCAT(TEXT(SUMIFS(Table1[[AwayWon]:[AwayWon]], Table1[[GameIsOver]:[GameIsOver]],1,Table1[[AwayTeam]:[AwayTeam]],$A27, Table1[[HomeTeam]:[HomeTeam]], L$1) + SUMIFS(Table1[[HomeWon]:[HomeWon]], Table1[[GameIsOver]:[GameIsOver]],1,Table1[[HomeTeam]:[HomeTeam]],$A27, Table1[[AwayTeam]:[AwayTeam]], L$1),0), "-", TEXT(SUMIFS(Table1[[HomeWon]:[HomeWon]], Table1[[GameIsOver]:[GameIsOver]],1,Table1[[AwayTeam]:[AwayTeam]],$A27, Table1[[HomeTeam]:[HomeTeam]], L$1, Table1[[ActualResult]:[ActualResult]], "REG") + SUMIFS(Table1[[AwayWon]:[AwayWon]], Table1[[GameIsOver]:[GameIsOver]],1,Table1[[HomeTeam]:[HomeTeam]],$A27, Table1[[AwayTeam]:[AwayTeam]], L$1, Table1[[ActualResult]:[ActualResult]], "REG"),0), "-", TEXT(SUMIFS(Table1[[HomeWon]:[HomeWon]], Table1[[GameIsOver]:[GameIsOver]],1,Table1[[AwayTeam]:[AwayTeam]],$A27, Table1[[HomeTeam]:[HomeTeam]], L$1, Table1[[ActualResult]:[ActualResult]], "OT") + SUMIFS(Table1[[AwayWon]:[AwayWon]], Table1[[GameIsOver]:[GameIsOver]],1,Table1[[HomeTeam]:[HomeTeam]],$A27, Table1[[AwayTeam]:[AwayTeam]], L$1, Table1[[ActualResult]:[ActualResult]], "OT") + SUMIFS(Table1[[HomeWon]:[HomeWon]], Table1[[GameIsOver]:[GameIsOver]],1,Table1[[AwayTeam]:[AwayTeam]],$A27, Table1[[HomeTeam]:[HomeTeam]], L$1, Table1[[ActualResult]:[ActualResult]], "SO") + SUMIFS(Table1[[AwayWon]:[AwayWon]], Table1[[GameIsOver]:[GameIsOver]],1,Table1[[HomeTeam]:[HomeTeam]],$A27, Table1[[AwayTeam]:[AwayTeam]], L$1, Table1[[ActualResult]:[ActualResult]], "SO"),0))</f>
        <v>0-0-0</v>
      </c>
      <c r="M27" s="43" t="str">
        <f>_xlfn.CONCAT(TEXT(SUMIFS(Table1[[AwayWon]:[AwayWon]], Table1[[GameIsOver]:[GameIsOver]],1,Table1[[AwayTeam]:[AwayTeam]],$A27, Table1[[HomeTeam]:[HomeTeam]], M$1) + SUMIFS(Table1[[HomeWon]:[HomeWon]], Table1[[GameIsOver]:[GameIsOver]],1,Table1[[HomeTeam]:[HomeTeam]],$A27, Table1[[AwayTeam]:[AwayTeam]], M$1),0), "-", TEXT(SUMIFS(Table1[[HomeWon]:[HomeWon]], Table1[[GameIsOver]:[GameIsOver]],1,Table1[[AwayTeam]:[AwayTeam]],$A27, Table1[[HomeTeam]:[HomeTeam]], M$1, Table1[[ActualResult]:[ActualResult]], "REG") + SUMIFS(Table1[[AwayWon]:[AwayWon]], Table1[[GameIsOver]:[GameIsOver]],1,Table1[[HomeTeam]:[HomeTeam]],$A27, Table1[[AwayTeam]:[AwayTeam]], M$1, Table1[[ActualResult]:[ActualResult]], "REG"),0), "-", TEXT(SUMIFS(Table1[[HomeWon]:[HomeWon]], Table1[[GameIsOver]:[GameIsOver]],1,Table1[[AwayTeam]:[AwayTeam]],$A27, Table1[[HomeTeam]:[HomeTeam]], M$1, Table1[[ActualResult]:[ActualResult]], "OT") + SUMIFS(Table1[[AwayWon]:[AwayWon]], Table1[[GameIsOver]:[GameIsOver]],1,Table1[[HomeTeam]:[HomeTeam]],$A27, Table1[[AwayTeam]:[AwayTeam]], M$1, Table1[[ActualResult]:[ActualResult]], "OT") + SUMIFS(Table1[[HomeWon]:[HomeWon]], Table1[[GameIsOver]:[GameIsOver]],1,Table1[[AwayTeam]:[AwayTeam]],$A27, Table1[[HomeTeam]:[HomeTeam]], M$1, Table1[[ActualResult]:[ActualResult]], "SO") + SUMIFS(Table1[[AwayWon]:[AwayWon]], Table1[[GameIsOver]:[GameIsOver]],1,Table1[[HomeTeam]:[HomeTeam]],$A27, Table1[[AwayTeam]:[AwayTeam]], M$1, Table1[[ActualResult]:[ActualResult]], "SO"),0))</f>
        <v>0-0-0</v>
      </c>
      <c r="N27" s="43" t="str">
        <f>_xlfn.CONCAT(TEXT(SUMIFS(Table1[[AwayWon]:[AwayWon]], Table1[[GameIsOver]:[GameIsOver]],1,Table1[[AwayTeam]:[AwayTeam]],$A27, Table1[[HomeTeam]:[HomeTeam]], N$1) + SUMIFS(Table1[[HomeWon]:[HomeWon]], Table1[[GameIsOver]:[GameIsOver]],1,Table1[[HomeTeam]:[HomeTeam]],$A27, Table1[[AwayTeam]:[AwayTeam]], N$1),0), "-", TEXT(SUMIFS(Table1[[HomeWon]:[HomeWon]], Table1[[GameIsOver]:[GameIsOver]],1,Table1[[AwayTeam]:[AwayTeam]],$A27, Table1[[HomeTeam]:[HomeTeam]], N$1, Table1[[ActualResult]:[ActualResult]], "REG") + SUMIFS(Table1[[AwayWon]:[AwayWon]], Table1[[GameIsOver]:[GameIsOver]],1,Table1[[HomeTeam]:[HomeTeam]],$A27, Table1[[AwayTeam]:[AwayTeam]], N$1, Table1[[ActualResult]:[ActualResult]], "REG"),0), "-", TEXT(SUMIFS(Table1[[HomeWon]:[HomeWon]], Table1[[GameIsOver]:[GameIsOver]],1,Table1[[AwayTeam]:[AwayTeam]],$A27, Table1[[HomeTeam]:[HomeTeam]], N$1, Table1[[ActualResult]:[ActualResult]], "OT") + SUMIFS(Table1[[AwayWon]:[AwayWon]], Table1[[GameIsOver]:[GameIsOver]],1,Table1[[HomeTeam]:[HomeTeam]],$A27, Table1[[AwayTeam]:[AwayTeam]], N$1, Table1[[ActualResult]:[ActualResult]], "OT") + SUMIFS(Table1[[HomeWon]:[HomeWon]], Table1[[GameIsOver]:[GameIsOver]],1,Table1[[AwayTeam]:[AwayTeam]],$A27, Table1[[HomeTeam]:[HomeTeam]], N$1, Table1[[ActualResult]:[ActualResult]], "SO") + SUMIFS(Table1[[AwayWon]:[AwayWon]], Table1[[GameIsOver]:[GameIsOver]],1,Table1[[HomeTeam]:[HomeTeam]],$A27, Table1[[AwayTeam]:[AwayTeam]], N$1, Table1[[ActualResult]:[ActualResult]], "SO"),0))</f>
        <v>0-0-0</v>
      </c>
      <c r="O27" s="43" t="str">
        <f>_xlfn.CONCAT(TEXT(SUMIFS(Table1[[AwayWon]:[AwayWon]], Table1[[GameIsOver]:[GameIsOver]],1,Table1[[AwayTeam]:[AwayTeam]],$A27, Table1[[HomeTeam]:[HomeTeam]], O$1) + SUMIFS(Table1[[HomeWon]:[HomeWon]], Table1[[GameIsOver]:[GameIsOver]],1,Table1[[HomeTeam]:[HomeTeam]],$A27, Table1[[AwayTeam]:[AwayTeam]], O$1),0), "-", TEXT(SUMIFS(Table1[[HomeWon]:[HomeWon]], Table1[[GameIsOver]:[GameIsOver]],1,Table1[[AwayTeam]:[AwayTeam]],$A27, Table1[[HomeTeam]:[HomeTeam]], O$1, Table1[[ActualResult]:[ActualResult]], "REG") + SUMIFS(Table1[[AwayWon]:[AwayWon]], Table1[[GameIsOver]:[GameIsOver]],1,Table1[[HomeTeam]:[HomeTeam]],$A27, Table1[[AwayTeam]:[AwayTeam]], O$1, Table1[[ActualResult]:[ActualResult]], "REG"),0), "-", TEXT(SUMIFS(Table1[[HomeWon]:[HomeWon]], Table1[[GameIsOver]:[GameIsOver]],1,Table1[[AwayTeam]:[AwayTeam]],$A27, Table1[[HomeTeam]:[HomeTeam]], O$1, Table1[[ActualResult]:[ActualResult]], "OT") + SUMIFS(Table1[[AwayWon]:[AwayWon]], Table1[[GameIsOver]:[GameIsOver]],1,Table1[[HomeTeam]:[HomeTeam]],$A27, Table1[[AwayTeam]:[AwayTeam]], O$1, Table1[[ActualResult]:[ActualResult]], "OT") + SUMIFS(Table1[[HomeWon]:[HomeWon]], Table1[[GameIsOver]:[GameIsOver]],1,Table1[[AwayTeam]:[AwayTeam]],$A27, Table1[[HomeTeam]:[HomeTeam]], O$1, Table1[[ActualResult]:[ActualResult]], "SO") + SUMIFS(Table1[[AwayWon]:[AwayWon]], Table1[[GameIsOver]:[GameIsOver]],1,Table1[[HomeTeam]:[HomeTeam]],$A27, Table1[[AwayTeam]:[AwayTeam]], O$1, Table1[[ActualResult]:[ActualResult]], "SO"),0))</f>
        <v>0-0-0</v>
      </c>
      <c r="P27" s="43" t="str">
        <f>_xlfn.CONCAT(TEXT(SUMIFS(Table1[[AwayWon]:[AwayWon]], Table1[[GameIsOver]:[GameIsOver]],1,Table1[[AwayTeam]:[AwayTeam]],$A27, Table1[[HomeTeam]:[HomeTeam]], P$1) + SUMIFS(Table1[[HomeWon]:[HomeWon]], Table1[[GameIsOver]:[GameIsOver]],1,Table1[[HomeTeam]:[HomeTeam]],$A27, Table1[[AwayTeam]:[AwayTeam]], P$1),0), "-", TEXT(SUMIFS(Table1[[HomeWon]:[HomeWon]], Table1[[GameIsOver]:[GameIsOver]],1,Table1[[AwayTeam]:[AwayTeam]],$A27, Table1[[HomeTeam]:[HomeTeam]], P$1, Table1[[ActualResult]:[ActualResult]], "REG") + SUMIFS(Table1[[AwayWon]:[AwayWon]], Table1[[GameIsOver]:[GameIsOver]],1,Table1[[HomeTeam]:[HomeTeam]],$A27, Table1[[AwayTeam]:[AwayTeam]], P$1, Table1[[ActualResult]:[ActualResult]], "REG"),0), "-", TEXT(SUMIFS(Table1[[HomeWon]:[HomeWon]], Table1[[GameIsOver]:[GameIsOver]],1,Table1[[AwayTeam]:[AwayTeam]],$A27, Table1[[HomeTeam]:[HomeTeam]], P$1, Table1[[ActualResult]:[ActualResult]], "OT") + SUMIFS(Table1[[AwayWon]:[AwayWon]], Table1[[GameIsOver]:[GameIsOver]],1,Table1[[HomeTeam]:[HomeTeam]],$A27, Table1[[AwayTeam]:[AwayTeam]], P$1, Table1[[ActualResult]:[ActualResult]], "OT") + SUMIFS(Table1[[HomeWon]:[HomeWon]], Table1[[GameIsOver]:[GameIsOver]],1,Table1[[AwayTeam]:[AwayTeam]],$A27, Table1[[HomeTeam]:[HomeTeam]], P$1, Table1[[ActualResult]:[ActualResult]], "SO") + SUMIFS(Table1[[AwayWon]:[AwayWon]], Table1[[GameIsOver]:[GameIsOver]],1,Table1[[HomeTeam]:[HomeTeam]],$A27, Table1[[AwayTeam]:[AwayTeam]], P$1, Table1[[ActualResult]:[ActualResult]], "SO"),0))</f>
        <v>0-0-0</v>
      </c>
      <c r="Q27" s="45" t="str">
        <f>_xlfn.CONCAT(TEXT(SUMIFS(Table1[[AwayWon]:[AwayWon]], Table1[[GameIsOver]:[GameIsOver]],1,Table1[[AwayTeam]:[AwayTeam]],$A27, Table1[[HomeTeam]:[HomeTeam]], Q$1) + SUMIFS(Table1[[HomeWon]:[HomeWon]], Table1[[GameIsOver]:[GameIsOver]],1,Table1[[HomeTeam]:[HomeTeam]],$A27, Table1[[AwayTeam]:[AwayTeam]], Q$1),0), "-", TEXT(SUMIFS(Table1[[HomeWon]:[HomeWon]], Table1[[GameIsOver]:[GameIsOver]],1,Table1[[AwayTeam]:[AwayTeam]],$A27, Table1[[HomeTeam]:[HomeTeam]], Q$1, Table1[[ActualResult]:[ActualResult]], "REG") + SUMIFS(Table1[[AwayWon]:[AwayWon]], Table1[[GameIsOver]:[GameIsOver]],1,Table1[[HomeTeam]:[HomeTeam]],$A27, Table1[[AwayTeam]:[AwayTeam]], Q$1, Table1[[ActualResult]:[ActualResult]], "REG"),0), "-", TEXT(SUMIFS(Table1[[HomeWon]:[HomeWon]], Table1[[GameIsOver]:[GameIsOver]],1,Table1[[AwayTeam]:[AwayTeam]],$A27, Table1[[HomeTeam]:[HomeTeam]], Q$1, Table1[[ActualResult]:[ActualResult]], "OT") + SUMIFS(Table1[[AwayWon]:[AwayWon]], Table1[[GameIsOver]:[GameIsOver]],1,Table1[[HomeTeam]:[HomeTeam]],$A27, Table1[[AwayTeam]:[AwayTeam]], Q$1, Table1[[ActualResult]:[ActualResult]], "OT") + SUMIFS(Table1[[HomeWon]:[HomeWon]], Table1[[GameIsOver]:[GameIsOver]],1,Table1[[AwayTeam]:[AwayTeam]],$A27, Table1[[HomeTeam]:[HomeTeam]], Q$1, Table1[[ActualResult]:[ActualResult]], "SO") + SUMIFS(Table1[[AwayWon]:[AwayWon]], Table1[[GameIsOver]:[GameIsOver]],1,Table1[[HomeTeam]:[HomeTeam]],$A27, Table1[[AwayTeam]:[AwayTeam]], Q$1, Table1[[ActualResult]:[ActualResult]], "SO"),0))</f>
        <v>0-0-0</v>
      </c>
      <c r="R27" s="43" t="str">
        <f>_xlfn.CONCAT(TEXT(SUMIFS(Table1[[AwayWon]:[AwayWon]], Table1[[GameIsOver]:[GameIsOver]],1,Table1[[AwayTeam]:[AwayTeam]],$A27, Table1[[HomeTeam]:[HomeTeam]], R$1) + SUMIFS(Table1[[HomeWon]:[HomeWon]], Table1[[GameIsOver]:[GameIsOver]],1,Table1[[HomeTeam]:[HomeTeam]],$A27, Table1[[AwayTeam]:[AwayTeam]], R$1),0), "-", TEXT(SUMIFS(Table1[[HomeWon]:[HomeWon]], Table1[[GameIsOver]:[GameIsOver]],1,Table1[[AwayTeam]:[AwayTeam]],$A27, Table1[[HomeTeam]:[HomeTeam]], R$1, Table1[[ActualResult]:[ActualResult]], "REG") + SUMIFS(Table1[[AwayWon]:[AwayWon]], Table1[[GameIsOver]:[GameIsOver]],1,Table1[[HomeTeam]:[HomeTeam]],$A27, Table1[[AwayTeam]:[AwayTeam]], R$1, Table1[[ActualResult]:[ActualResult]], "REG"),0), "-", TEXT(SUMIFS(Table1[[HomeWon]:[HomeWon]], Table1[[GameIsOver]:[GameIsOver]],1,Table1[[AwayTeam]:[AwayTeam]],$A27, Table1[[HomeTeam]:[HomeTeam]], R$1, Table1[[ActualResult]:[ActualResult]], "OT") + SUMIFS(Table1[[AwayWon]:[AwayWon]], Table1[[GameIsOver]:[GameIsOver]],1,Table1[[HomeTeam]:[HomeTeam]],$A27, Table1[[AwayTeam]:[AwayTeam]], R$1, Table1[[ActualResult]:[ActualResult]], "OT") + SUMIFS(Table1[[HomeWon]:[HomeWon]], Table1[[GameIsOver]:[GameIsOver]],1,Table1[[AwayTeam]:[AwayTeam]],$A27, Table1[[HomeTeam]:[HomeTeam]], R$1, Table1[[ActualResult]:[ActualResult]], "SO") + SUMIFS(Table1[[AwayWon]:[AwayWon]], Table1[[GameIsOver]:[GameIsOver]],1,Table1[[HomeTeam]:[HomeTeam]],$A27, Table1[[AwayTeam]:[AwayTeam]], R$1, Table1[[ActualResult]:[ActualResult]], "SO"),0))</f>
        <v>0-0-0</v>
      </c>
      <c r="S27" s="43" t="str">
        <f>_xlfn.CONCAT(TEXT(SUMIFS(Table1[[AwayWon]:[AwayWon]], Table1[[GameIsOver]:[GameIsOver]],1,Table1[[AwayTeam]:[AwayTeam]],$A27, Table1[[HomeTeam]:[HomeTeam]], S$1) + SUMIFS(Table1[[HomeWon]:[HomeWon]], Table1[[GameIsOver]:[GameIsOver]],1,Table1[[HomeTeam]:[HomeTeam]],$A27, Table1[[AwayTeam]:[AwayTeam]], S$1),0), "-", TEXT(SUMIFS(Table1[[HomeWon]:[HomeWon]], Table1[[GameIsOver]:[GameIsOver]],1,Table1[[AwayTeam]:[AwayTeam]],$A27, Table1[[HomeTeam]:[HomeTeam]], S$1, Table1[[ActualResult]:[ActualResult]], "REG") + SUMIFS(Table1[[AwayWon]:[AwayWon]], Table1[[GameIsOver]:[GameIsOver]],1,Table1[[HomeTeam]:[HomeTeam]],$A27, Table1[[AwayTeam]:[AwayTeam]], S$1, Table1[[ActualResult]:[ActualResult]], "REG"),0), "-", TEXT(SUMIFS(Table1[[HomeWon]:[HomeWon]], Table1[[GameIsOver]:[GameIsOver]],1,Table1[[AwayTeam]:[AwayTeam]],$A27, Table1[[HomeTeam]:[HomeTeam]], S$1, Table1[[ActualResult]:[ActualResult]], "OT") + SUMIFS(Table1[[AwayWon]:[AwayWon]], Table1[[GameIsOver]:[GameIsOver]],1,Table1[[HomeTeam]:[HomeTeam]],$A27, Table1[[AwayTeam]:[AwayTeam]], S$1, Table1[[ActualResult]:[ActualResult]], "OT") + SUMIFS(Table1[[HomeWon]:[HomeWon]], Table1[[GameIsOver]:[GameIsOver]],1,Table1[[AwayTeam]:[AwayTeam]],$A27, Table1[[HomeTeam]:[HomeTeam]], S$1, Table1[[ActualResult]:[ActualResult]], "SO") + SUMIFS(Table1[[AwayWon]:[AwayWon]], Table1[[GameIsOver]:[GameIsOver]],1,Table1[[HomeTeam]:[HomeTeam]],$A27, Table1[[AwayTeam]:[AwayTeam]], S$1, Table1[[ActualResult]:[ActualResult]], "SO"),0))</f>
        <v>0-0-1</v>
      </c>
      <c r="T27" s="43" t="str">
        <f>_xlfn.CONCAT(TEXT(SUMIFS(Table1[[AwayWon]:[AwayWon]], Table1[[GameIsOver]:[GameIsOver]],1,Table1[[AwayTeam]:[AwayTeam]],$A27, Table1[[HomeTeam]:[HomeTeam]], T$1) + SUMIFS(Table1[[HomeWon]:[HomeWon]], Table1[[GameIsOver]:[GameIsOver]],1,Table1[[HomeTeam]:[HomeTeam]],$A27, Table1[[AwayTeam]:[AwayTeam]], T$1),0), "-", TEXT(SUMIFS(Table1[[HomeWon]:[HomeWon]], Table1[[GameIsOver]:[GameIsOver]],1,Table1[[AwayTeam]:[AwayTeam]],$A27, Table1[[HomeTeam]:[HomeTeam]], T$1, Table1[[ActualResult]:[ActualResult]], "REG") + SUMIFS(Table1[[AwayWon]:[AwayWon]], Table1[[GameIsOver]:[GameIsOver]],1,Table1[[HomeTeam]:[HomeTeam]],$A27, Table1[[AwayTeam]:[AwayTeam]], T$1, Table1[[ActualResult]:[ActualResult]], "REG"),0), "-", TEXT(SUMIFS(Table1[[HomeWon]:[HomeWon]], Table1[[GameIsOver]:[GameIsOver]],1,Table1[[AwayTeam]:[AwayTeam]],$A27, Table1[[HomeTeam]:[HomeTeam]], T$1, Table1[[ActualResult]:[ActualResult]], "OT") + SUMIFS(Table1[[AwayWon]:[AwayWon]], Table1[[GameIsOver]:[GameIsOver]],1,Table1[[HomeTeam]:[HomeTeam]],$A27, Table1[[AwayTeam]:[AwayTeam]], T$1, Table1[[ActualResult]:[ActualResult]], "OT") + SUMIFS(Table1[[HomeWon]:[HomeWon]], Table1[[GameIsOver]:[GameIsOver]],1,Table1[[AwayTeam]:[AwayTeam]],$A27, Table1[[HomeTeam]:[HomeTeam]], T$1, Table1[[ActualResult]:[ActualResult]], "SO") + SUMIFS(Table1[[AwayWon]:[AwayWon]], Table1[[GameIsOver]:[GameIsOver]],1,Table1[[HomeTeam]:[HomeTeam]],$A27, Table1[[AwayTeam]:[AwayTeam]], T$1, Table1[[ActualResult]:[ActualResult]], "SO"),0))</f>
        <v>0-0-0</v>
      </c>
      <c r="U27" s="43" t="str">
        <f>_xlfn.CONCAT(TEXT(SUMIFS(Table1[[AwayWon]:[AwayWon]], Table1[[GameIsOver]:[GameIsOver]],1,Table1[[AwayTeam]:[AwayTeam]],$A27, Table1[[HomeTeam]:[HomeTeam]], U$1) + SUMIFS(Table1[[HomeWon]:[HomeWon]], Table1[[GameIsOver]:[GameIsOver]],1,Table1[[HomeTeam]:[HomeTeam]],$A27, Table1[[AwayTeam]:[AwayTeam]], U$1),0), "-", TEXT(SUMIFS(Table1[[HomeWon]:[HomeWon]], Table1[[GameIsOver]:[GameIsOver]],1,Table1[[AwayTeam]:[AwayTeam]],$A27, Table1[[HomeTeam]:[HomeTeam]], U$1, Table1[[ActualResult]:[ActualResult]], "REG") + SUMIFS(Table1[[AwayWon]:[AwayWon]], Table1[[GameIsOver]:[GameIsOver]],1,Table1[[HomeTeam]:[HomeTeam]],$A27, Table1[[AwayTeam]:[AwayTeam]], U$1, Table1[[ActualResult]:[ActualResult]], "REG"),0), "-", TEXT(SUMIFS(Table1[[HomeWon]:[HomeWon]], Table1[[GameIsOver]:[GameIsOver]],1,Table1[[AwayTeam]:[AwayTeam]],$A27, Table1[[HomeTeam]:[HomeTeam]], U$1, Table1[[ActualResult]:[ActualResult]], "OT") + SUMIFS(Table1[[AwayWon]:[AwayWon]], Table1[[GameIsOver]:[GameIsOver]],1,Table1[[HomeTeam]:[HomeTeam]],$A27, Table1[[AwayTeam]:[AwayTeam]], U$1, Table1[[ActualResult]:[ActualResult]], "OT") + SUMIFS(Table1[[HomeWon]:[HomeWon]], Table1[[GameIsOver]:[GameIsOver]],1,Table1[[AwayTeam]:[AwayTeam]],$A27, Table1[[HomeTeam]:[HomeTeam]], U$1, Table1[[ActualResult]:[ActualResult]], "SO") + SUMIFS(Table1[[AwayWon]:[AwayWon]], Table1[[GameIsOver]:[GameIsOver]],1,Table1[[HomeTeam]:[HomeTeam]],$A27, Table1[[AwayTeam]:[AwayTeam]], U$1, Table1[[ActualResult]:[ActualResult]], "SO"),0))</f>
        <v>0-0-0</v>
      </c>
      <c r="V27" s="43" t="str">
        <f>_xlfn.CONCAT(TEXT(SUMIFS(Table1[[AwayWon]:[AwayWon]], Table1[[GameIsOver]:[GameIsOver]],1,Table1[[AwayTeam]:[AwayTeam]],$A27, Table1[[HomeTeam]:[HomeTeam]], V$1) + SUMIFS(Table1[[HomeWon]:[HomeWon]], Table1[[GameIsOver]:[GameIsOver]],1,Table1[[HomeTeam]:[HomeTeam]],$A27, Table1[[AwayTeam]:[AwayTeam]], V$1),0), "-", TEXT(SUMIFS(Table1[[HomeWon]:[HomeWon]], Table1[[GameIsOver]:[GameIsOver]],1,Table1[[AwayTeam]:[AwayTeam]],$A27, Table1[[HomeTeam]:[HomeTeam]], V$1, Table1[[ActualResult]:[ActualResult]], "REG") + SUMIFS(Table1[[AwayWon]:[AwayWon]], Table1[[GameIsOver]:[GameIsOver]],1,Table1[[HomeTeam]:[HomeTeam]],$A27, Table1[[AwayTeam]:[AwayTeam]], V$1, Table1[[ActualResult]:[ActualResult]], "REG"),0), "-", TEXT(SUMIFS(Table1[[HomeWon]:[HomeWon]], Table1[[GameIsOver]:[GameIsOver]],1,Table1[[AwayTeam]:[AwayTeam]],$A27, Table1[[HomeTeam]:[HomeTeam]], V$1, Table1[[ActualResult]:[ActualResult]], "OT") + SUMIFS(Table1[[AwayWon]:[AwayWon]], Table1[[GameIsOver]:[GameIsOver]],1,Table1[[HomeTeam]:[HomeTeam]],$A27, Table1[[AwayTeam]:[AwayTeam]], V$1, Table1[[ActualResult]:[ActualResult]], "OT") + SUMIFS(Table1[[HomeWon]:[HomeWon]], Table1[[GameIsOver]:[GameIsOver]],1,Table1[[AwayTeam]:[AwayTeam]],$A27, Table1[[HomeTeam]:[HomeTeam]], V$1, Table1[[ActualResult]:[ActualResult]], "SO") + SUMIFS(Table1[[AwayWon]:[AwayWon]], Table1[[GameIsOver]:[GameIsOver]],1,Table1[[HomeTeam]:[HomeTeam]],$A27, Table1[[AwayTeam]:[AwayTeam]], V$1, Table1[[ActualResult]:[ActualResult]], "SO"),0))</f>
        <v>0-0-0</v>
      </c>
      <c r="W27" s="43" t="str">
        <f>_xlfn.CONCAT(TEXT(SUMIFS(Table1[[AwayWon]:[AwayWon]], Table1[[GameIsOver]:[GameIsOver]],1,Table1[[AwayTeam]:[AwayTeam]],$A27, Table1[[HomeTeam]:[HomeTeam]], W$1) + SUMIFS(Table1[[HomeWon]:[HomeWon]], Table1[[GameIsOver]:[GameIsOver]],1,Table1[[HomeTeam]:[HomeTeam]],$A27, Table1[[AwayTeam]:[AwayTeam]], W$1),0), "-", TEXT(SUMIFS(Table1[[HomeWon]:[HomeWon]], Table1[[GameIsOver]:[GameIsOver]],1,Table1[[AwayTeam]:[AwayTeam]],$A27, Table1[[HomeTeam]:[HomeTeam]], W$1, Table1[[ActualResult]:[ActualResult]], "REG") + SUMIFS(Table1[[AwayWon]:[AwayWon]], Table1[[GameIsOver]:[GameIsOver]],1,Table1[[HomeTeam]:[HomeTeam]],$A27, Table1[[AwayTeam]:[AwayTeam]], W$1, Table1[[ActualResult]:[ActualResult]], "REG"),0), "-", TEXT(SUMIFS(Table1[[HomeWon]:[HomeWon]], Table1[[GameIsOver]:[GameIsOver]],1,Table1[[AwayTeam]:[AwayTeam]],$A27, Table1[[HomeTeam]:[HomeTeam]], W$1, Table1[[ActualResult]:[ActualResult]], "OT") + SUMIFS(Table1[[AwayWon]:[AwayWon]], Table1[[GameIsOver]:[GameIsOver]],1,Table1[[HomeTeam]:[HomeTeam]],$A27, Table1[[AwayTeam]:[AwayTeam]], W$1, Table1[[ActualResult]:[ActualResult]], "OT") + SUMIFS(Table1[[HomeWon]:[HomeWon]], Table1[[GameIsOver]:[GameIsOver]],1,Table1[[AwayTeam]:[AwayTeam]],$A27, Table1[[HomeTeam]:[HomeTeam]], W$1, Table1[[ActualResult]:[ActualResult]], "SO") + SUMIFS(Table1[[AwayWon]:[AwayWon]], Table1[[GameIsOver]:[GameIsOver]],1,Table1[[HomeTeam]:[HomeTeam]],$A27, Table1[[AwayTeam]:[AwayTeam]], W$1, Table1[[ActualResult]:[ActualResult]], "SO"),0))</f>
        <v>0-0-0</v>
      </c>
      <c r="X27" s="43" t="str">
        <f>_xlfn.CONCAT(TEXT(SUMIFS(Table1[[AwayWon]:[AwayWon]], Table1[[GameIsOver]:[GameIsOver]],1,Table1[[AwayTeam]:[AwayTeam]],$A27, Table1[[HomeTeam]:[HomeTeam]], X$1) + SUMIFS(Table1[[HomeWon]:[HomeWon]], Table1[[GameIsOver]:[GameIsOver]],1,Table1[[HomeTeam]:[HomeTeam]],$A27, Table1[[AwayTeam]:[AwayTeam]], X$1),0), "-", TEXT(SUMIFS(Table1[[HomeWon]:[HomeWon]], Table1[[GameIsOver]:[GameIsOver]],1,Table1[[AwayTeam]:[AwayTeam]],$A27, Table1[[HomeTeam]:[HomeTeam]], X$1, Table1[[ActualResult]:[ActualResult]], "REG") + SUMIFS(Table1[[AwayWon]:[AwayWon]], Table1[[GameIsOver]:[GameIsOver]],1,Table1[[HomeTeam]:[HomeTeam]],$A27, Table1[[AwayTeam]:[AwayTeam]], X$1, Table1[[ActualResult]:[ActualResult]], "REG"),0), "-", TEXT(SUMIFS(Table1[[HomeWon]:[HomeWon]], Table1[[GameIsOver]:[GameIsOver]],1,Table1[[AwayTeam]:[AwayTeam]],$A27, Table1[[HomeTeam]:[HomeTeam]], X$1, Table1[[ActualResult]:[ActualResult]], "OT") + SUMIFS(Table1[[AwayWon]:[AwayWon]], Table1[[GameIsOver]:[GameIsOver]],1,Table1[[HomeTeam]:[HomeTeam]],$A27, Table1[[AwayTeam]:[AwayTeam]], X$1, Table1[[ActualResult]:[ActualResult]], "OT") + SUMIFS(Table1[[HomeWon]:[HomeWon]], Table1[[GameIsOver]:[GameIsOver]],1,Table1[[AwayTeam]:[AwayTeam]],$A27, Table1[[HomeTeam]:[HomeTeam]], X$1, Table1[[ActualResult]:[ActualResult]], "SO") + SUMIFS(Table1[[AwayWon]:[AwayWon]], Table1[[GameIsOver]:[GameIsOver]],1,Table1[[HomeTeam]:[HomeTeam]],$A27, Table1[[AwayTeam]:[AwayTeam]], X$1, Table1[[ActualResult]:[ActualResult]], "SO"),0))</f>
        <v>0-0-0</v>
      </c>
      <c r="Y27" s="45" t="str">
        <f>_xlfn.CONCAT(TEXT(SUMIFS(Table1[[AwayWon]:[AwayWon]], Table1[[GameIsOver]:[GameIsOver]],1,Table1[[AwayTeam]:[AwayTeam]],$A27, Table1[[HomeTeam]:[HomeTeam]], Y$1) + SUMIFS(Table1[[HomeWon]:[HomeWon]], Table1[[GameIsOver]:[GameIsOver]],1,Table1[[HomeTeam]:[HomeTeam]],$A27, Table1[[AwayTeam]:[AwayTeam]], Y$1),0), "-", TEXT(SUMIFS(Table1[[HomeWon]:[HomeWon]], Table1[[GameIsOver]:[GameIsOver]],1,Table1[[AwayTeam]:[AwayTeam]],$A27, Table1[[HomeTeam]:[HomeTeam]], Y$1, Table1[[ActualResult]:[ActualResult]], "REG") + SUMIFS(Table1[[AwayWon]:[AwayWon]], Table1[[GameIsOver]:[GameIsOver]],1,Table1[[HomeTeam]:[HomeTeam]],$A27, Table1[[AwayTeam]:[AwayTeam]], Y$1, Table1[[ActualResult]:[ActualResult]], "REG"),0), "-", TEXT(SUMIFS(Table1[[HomeWon]:[HomeWon]], Table1[[GameIsOver]:[GameIsOver]],1,Table1[[AwayTeam]:[AwayTeam]],$A27, Table1[[HomeTeam]:[HomeTeam]], Y$1, Table1[[ActualResult]:[ActualResult]], "OT") + SUMIFS(Table1[[AwayWon]:[AwayWon]], Table1[[GameIsOver]:[GameIsOver]],1,Table1[[HomeTeam]:[HomeTeam]],$A27, Table1[[AwayTeam]:[AwayTeam]], Y$1, Table1[[ActualResult]:[ActualResult]], "OT") + SUMIFS(Table1[[HomeWon]:[HomeWon]], Table1[[GameIsOver]:[GameIsOver]],1,Table1[[AwayTeam]:[AwayTeam]],$A27, Table1[[HomeTeam]:[HomeTeam]], Y$1, Table1[[ActualResult]:[ActualResult]], "SO") + SUMIFS(Table1[[AwayWon]:[AwayWon]], Table1[[GameIsOver]:[GameIsOver]],1,Table1[[HomeTeam]:[HomeTeam]],$A27, Table1[[AwayTeam]:[AwayTeam]], Y$1, Table1[[ActualResult]:[ActualResult]], "SO"),0))</f>
        <v>0-0-0</v>
      </c>
      <c r="Z27" s="43" t="str">
        <f>_xlfn.CONCAT(TEXT(SUMIFS(Table1[[AwayWon]:[AwayWon]], Table1[[GameIsOver]:[GameIsOver]],1,Table1[[AwayTeam]:[AwayTeam]],$A27, Table1[[HomeTeam]:[HomeTeam]], Z$1) + SUMIFS(Table1[[HomeWon]:[HomeWon]], Table1[[GameIsOver]:[GameIsOver]],1,Table1[[HomeTeam]:[HomeTeam]],$A27, Table1[[AwayTeam]:[AwayTeam]], Z$1),0), "-", TEXT(SUMIFS(Table1[[HomeWon]:[HomeWon]], Table1[[GameIsOver]:[GameIsOver]],1,Table1[[AwayTeam]:[AwayTeam]],$A27, Table1[[HomeTeam]:[HomeTeam]], Z$1, Table1[[ActualResult]:[ActualResult]], "REG") + SUMIFS(Table1[[AwayWon]:[AwayWon]], Table1[[GameIsOver]:[GameIsOver]],1,Table1[[HomeTeam]:[HomeTeam]],$A27, Table1[[AwayTeam]:[AwayTeam]], Z$1, Table1[[ActualResult]:[ActualResult]], "REG"),0), "-", TEXT(SUMIFS(Table1[[HomeWon]:[HomeWon]], Table1[[GameIsOver]:[GameIsOver]],1,Table1[[AwayTeam]:[AwayTeam]],$A27, Table1[[HomeTeam]:[HomeTeam]], Z$1, Table1[[ActualResult]:[ActualResult]], "OT") + SUMIFS(Table1[[AwayWon]:[AwayWon]], Table1[[GameIsOver]:[GameIsOver]],1,Table1[[HomeTeam]:[HomeTeam]],$A27, Table1[[AwayTeam]:[AwayTeam]], Z$1, Table1[[ActualResult]:[ActualResult]], "OT") + SUMIFS(Table1[[HomeWon]:[HomeWon]], Table1[[GameIsOver]:[GameIsOver]],1,Table1[[AwayTeam]:[AwayTeam]],$A27, Table1[[HomeTeam]:[HomeTeam]], Z$1, Table1[[ActualResult]:[ActualResult]], "SO") + SUMIFS(Table1[[AwayWon]:[AwayWon]], Table1[[GameIsOver]:[GameIsOver]],1,Table1[[HomeTeam]:[HomeTeam]],$A27, Table1[[AwayTeam]:[AwayTeam]], Z$1, Table1[[ActualResult]:[ActualResult]], "SO"),0))</f>
        <v>0-0-0</v>
      </c>
      <c r="AA27" s="43" t="str">
        <f>_xlfn.CONCAT(TEXT(SUMIFS(Table1[[AwayWon]:[AwayWon]], Table1[[GameIsOver]:[GameIsOver]],1,Table1[[AwayTeam]:[AwayTeam]],$A27, Table1[[HomeTeam]:[HomeTeam]], AA$1) + SUMIFS(Table1[[HomeWon]:[HomeWon]], Table1[[GameIsOver]:[GameIsOver]],1,Table1[[HomeTeam]:[HomeTeam]],$A27, Table1[[AwayTeam]:[AwayTeam]], AA$1),0), "-", TEXT(SUMIFS(Table1[[HomeWon]:[HomeWon]], Table1[[GameIsOver]:[GameIsOver]],1,Table1[[AwayTeam]:[AwayTeam]],$A27, Table1[[HomeTeam]:[HomeTeam]], AA$1, Table1[[ActualResult]:[ActualResult]], "REG") + SUMIFS(Table1[[AwayWon]:[AwayWon]], Table1[[GameIsOver]:[GameIsOver]],1,Table1[[HomeTeam]:[HomeTeam]],$A27, Table1[[AwayTeam]:[AwayTeam]], AA$1, Table1[[ActualResult]:[ActualResult]], "REG"),0), "-", TEXT(SUMIFS(Table1[[HomeWon]:[HomeWon]], Table1[[GameIsOver]:[GameIsOver]],1,Table1[[AwayTeam]:[AwayTeam]],$A27, Table1[[HomeTeam]:[HomeTeam]], AA$1, Table1[[ActualResult]:[ActualResult]], "OT") + SUMIFS(Table1[[AwayWon]:[AwayWon]], Table1[[GameIsOver]:[GameIsOver]],1,Table1[[HomeTeam]:[HomeTeam]],$A27, Table1[[AwayTeam]:[AwayTeam]], AA$1, Table1[[ActualResult]:[ActualResult]], "OT") + SUMIFS(Table1[[HomeWon]:[HomeWon]], Table1[[GameIsOver]:[GameIsOver]],1,Table1[[AwayTeam]:[AwayTeam]],$A27, Table1[[HomeTeam]:[HomeTeam]], AA$1, Table1[[ActualResult]:[ActualResult]], "SO") + SUMIFS(Table1[[AwayWon]:[AwayWon]], Table1[[GameIsOver]:[GameIsOver]],1,Table1[[HomeTeam]:[HomeTeam]],$A27, Table1[[AwayTeam]:[AwayTeam]], AA$1, Table1[[ActualResult]:[ActualResult]], "SO"),0))</f>
        <v>0-0-0</v>
      </c>
      <c r="AB27" s="43" t="str">
        <f>_xlfn.CONCAT(TEXT(SUMIFS(Table1[[AwayWon]:[AwayWon]], Table1[[GameIsOver]:[GameIsOver]],1,Table1[[AwayTeam]:[AwayTeam]],$A27, Table1[[HomeTeam]:[HomeTeam]], AB$1) + SUMIFS(Table1[[HomeWon]:[HomeWon]], Table1[[GameIsOver]:[GameIsOver]],1,Table1[[HomeTeam]:[HomeTeam]],$A27, Table1[[AwayTeam]:[AwayTeam]], AB$1),0), "-", TEXT(SUMIFS(Table1[[HomeWon]:[HomeWon]], Table1[[GameIsOver]:[GameIsOver]],1,Table1[[AwayTeam]:[AwayTeam]],$A27, Table1[[HomeTeam]:[HomeTeam]], AB$1, Table1[[ActualResult]:[ActualResult]], "REG") + SUMIFS(Table1[[AwayWon]:[AwayWon]], Table1[[GameIsOver]:[GameIsOver]],1,Table1[[HomeTeam]:[HomeTeam]],$A27, Table1[[AwayTeam]:[AwayTeam]], AB$1, Table1[[ActualResult]:[ActualResult]], "REG"),0), "-", TEXT(SUMIFS(Table1[[HomeWon]:[HomeWon]], Table1[[GameIsOver]:[GameIsOver]],1,Table1[[AwayTeam]:[AwayTeam]],$A27, Table1[[HomeTeam]:[HomeTeam]], AB$1, Table1[[ActualResult]:[ActualResult]], "OT") + SUMIFS(Table1[[AwayWon]:[AwayWon]], Table1[[GameIsOver]:[GameIsOver]],1,Table1[[HomeTeam]:[HomeTeam]],$A27, Table1[[AwayTeam]:[AwayTeam]], AB$1, Table1[[ActualResult]:[ActualResult]], "OT") + SUMIFS(Table1[[HomeWon]:[HomeWon]], Table1[[GameIsOver]:[GameIsOver]],1,Table1[[AwayTeam]:[AwayTeam]],$A27, Table1[[HomeTeam]:[HomeTeam]], AB$1, Table1[[ActualResult]:[ActualResult]], "SO") + SUMIFS(Table1[[AwayWon]:[AwayWon]], Table1[[GameIsOver]:[GameIsOver]],1,Table1[[HomeTeam]:[HomeTeam]],$A27, Table1[[AwayTeam]:[AwayTeam]], AB$1, Table1[[ActualResult]:[ActualResult]], "SO"),0))</f>
        <v>0-0-0</v>
      </c>
      <c r="AC27" s="43" t="str">
        <f>_xlfn.CONCAT(TEXT(SUMIFS(Table1[[AwayWon]:[AwayWon]], Table1[[GameIsOver]:[GameIsOver]],1,Table1[[AwayTeam]:[AwayTeam]],$A27, Table1[[HomeTeam]:[HomeTeam]], AC$1) + SUMIFS(Table1[[HomeWon]:[HomeWon]], Table1[[GameIsOver]:[GameIsOver]],1,Table1[[HomeTeam]:[HomeTeam]],$A27, Table1[[AwayTeam]:[AwayTeam]], AC$1),0), "-", TEXT(SUMIFS(Table1[[HomeWon]:[HomeWon]], Table1[[GameIsOver]:[GameIsOver]],1,Table1[[AwayTeam]:[AwayTeam]],$A27, Table1[[HomeTeam]:[HomeTeam]], AC$1, Table1[[ActualResult]:[ActualResult]], "REG") + SUMIFS(Table1[[AwayWon]:[AwayWon]], Table1[[GameIsOver]:[GameIsOver]],1,Table1[[HomeTeam]:[HomeTeam]],$A27, Table1[[AwayTeam]:[AwayTeam]], AC$1, Table1[[ActualResult]:[ActualResult]], "REG"),0), "-", TEXT(SUMIFS(Table1[[HomeWon]:[HomeWon]], Table1[[GameIsOver]:[GameIsOver]],1,Table1[[AwayTeam]:[AwayTeam]],$A27, Table1[[HomeTeam]:[HomeTeam]], AC$1, Table1[[ActualResult]:[ActualResult]], "OT") + SUMIFS(Table1[[AwayWon]:[AwayWon]], Table1[[GameIsOver]:[GameIsOver]],1,Table1[[HomeTeam]:[HomeTeam]],$A27, Table1[[AwayTeam]:[AwayTeam]], AC$1, Table1[[ActualResult]:[ActualResult]], "OT") + SUMIFS(Table1[[HomeWon]:[HomeWon]], Table1[[GameIsOver]:[GameIsOver]],1,Table1[[AwayTeam]:[AwayTeam]],$A27, Table1[[HomeTeam]:[HomeTeam]], AC$1, Table1[[ActualResult]:[ActualResult]], "SO") + SUMIFS(Table1[[AwayWon]:[AwayWon]], Table1[[GameIsOver]:[GameIsOver]],1,Table1[[HomeTeam]:[HomeTeam]],$A27, Table1[[AwayTeam]:[AwayTeam]], AC$1, Table1[[ActualResult]:[ActualResult]], "SO"),0))</f>
        <v>0-0-0</v>
      </c>
      <c r="AD27" s="43" t="str">
        <f>_xlfn.CONCAT(TEXT(SUMIFS(Table1[[AwayWon]:[AwayWon]], Table1[[GameIsOver]:[GameIsOver]],1,Table1[[AwayTeam]:[AwayTeam]],$A27, Table1[[HomeTeam]:[HomeTeam]], AD$1) + SUMIFS(Table1[[HomeWon]:[HomeWon]], Table1[[GameIsOver]:[GameIsOver]],1,Table1[[HomeTeam]:[HomeTeam]],$A27, Table1[[AwayTeam]:[AwayTeam]], AD$1),0), "-", TEXT(SUMIFS(Table1[[HomeWon]:[HomeWon]], Table1[[GameIsOver]:[GameIsOver]],1,Table1[[AwayTeam]:[AwayTeam]],$A27, Table1[[HomeTeam]:[HomeTeam]], AD$1, Table1[[ActualResult]:[ActualResult]], "REG") + SUMIFS(Table1[[AwayWon]:[AwayWon]], Table1[[GameIsOver]:[GameIsOver]],1,Table1[[HomeTeam]:[HomeTeam]],$A27, Table1[[AwayTeam]:[AwayTeam]], AD$1, Table1[[ActualResult]:[ActualResult]], "REG"),0), "-", TEXT(SUMIFS(Table1[[HomeWon]:[HomeWon]], Table1[[GameIsOver]:[GameIsOver]],1,Table1[[AwayTeam]:[AwayTeam]],$A27, Table1[[HomeTeam]:[HomeTeam]], AD$1, Table1[[ActualResult]:[ActualResult]], "OT") + SUMIFS(Table1[[AwayWon]:[AwayWon]], Table1[[GameIsOver]:[GameIsOver]],1,Table1[[HomeTeam]:[HomeTeam]],$A27, Table1[[AwayTeam]:[AwayTeam]], AD$1, Table1[[ActualResult]:[ActualResult]], "OT") + SUMIFS(Table1[[HomeWon]:[HomeWon]], Table1[[GameIsOver]:[GameIsOver]],1,Table1[[AwayTeam]:[AwayTeam]],$A27, Table1[[HomeTeam]:[HomeTeam]], AD$1, Table1[[ActualResult]:[ActualResult]], "SO") + SUMIFS(Table1[[AwayWon]:[AwayWon]], Table1[[GameIsOver]:[GameIsOver]],1,Table1[[HomeTeam]:[HomeTeam]],$A27, Table1[[AwayTeam]:[AwayTeam]], AD$1, Table1[[ActualResult]:[ActualResult]], "SO"),0))</f>
        <v>0-0-0</v>
      </c>
      <c r="AE27" s="43" t="str">
        <f>_xlfn.CONCAT(TEXT(SUMIFS(Table1[[AwayWon]:[AwayWon]], Table1[[GameIsOver]:[GameIsOver]],1,Table1[[AwayTeam]:[AwayTeam]],$A27, Table1[[HomeTeam]:[HomeTeam]], AE$1) + SUMIFS(Table1[[HomeWon]:[HomeWon]], Table1[[GameIsOver]:[GameIsOver]],1,Table1[[HomeTeam]:[HomeTeam]],$A27, Table1[[AwayTeam]:[AwayTeam]], AE$1),0), "-", TEXT(SUMIFS(Table1[[HomeWon]:[HomeWon]], Table1[[GameIsOver]:[GameIsOver]],1,Table1[[AwayTeam]:[AwayTeam]],$A27, Table1[[HomeTeam]:[HomeTeam]], AE$1, Table1[[ActualResult]:[ActualResult]], "REG") + SUMIFS(Table1[[AwayWon]:[AwayWon]], Table1[[GameIsOver]:[GameIsOver]],1,Table1[[HomeTeam]:[HomeTeam]],$A27, Table1[[AwayTeam]:[AwayTeam]], AE$1, Table1[[ActualResult]:[ActualResult]], "REG"),0), "-", TEXT(SUMIFS(Table1[[HomeWon]:[HomeWon]], Table1[[GameIsOver]:[GameIsOver]],1,Table1[[AwayTeam]:[AwayTeam]],$A27, Table1[[HomeTeam]:[HomeTeam]], AE$1, Table1[[ActualResult]:[ActualResult]], "OT") + SUMIFS(Table1[[AwayWon]:[AwayWon]], Table1[[GameIsOver]:[GameIsOver]],1,Table1[[HomeTeam]:[HomeTeam]],$A27, Table1[[AwayTeam]:[AwayTeam]], AE$1, Table1[[ActualResult]:[ActualResult]], "OT") + SUMIFS(Table1[[HomeWon]:[HomeWon]], Table1[[GameIsOver]:[GameIsOver]],1,Table1[[AwayTeam]:[AwayTeam]],$A27, Table1[[HomeTeam]:[HomeTeam]], AE$1, Table1[[ActualResult]:[ActualResult]], "SO") + SUMIFS(Table1[[AwayWon]:[AwayWon]], Table1[[GameIsOver]:[GameIsOver]],1,Table1[[HomeTeam]:[HomeTeam]],$A27, Table1[[AwayTeam]:[AwayTeam]], AE$1, Table1[[ActualResult]:[ActualResult]], "SO"),0))</f>
        <v>0-0-0</v>
      </c>
      <c r="AF27" s="43" t="str">
        <f>_xlfn.CONCAT(TEXT(SUMIFS(Table1[[AwayWon]:[AwayWon]], Table1[[GameIsOver]:[GameIsOver]],1,Table1[[AwayTeam]:[AwayTeam]],$A27, Table1[[HomeTeam]:[HomeTeam]], AF$1) + SUMIFS(Table1[[HomeWon]:[HomeWon]], Table1[[GameIsOver]:[GameIsOver]],1,Table1[[HomeTeam]:[HomeTeam]],$A27, Table1[[AwayTeam]:[AwayTeam]], AF$1),0), "-", TEXT(SUMIFS(Table1[[HomeWon]:[HomeWon]], Table1[[GameIsOver]:[GameIsOver]],1,Table1[[AwayTeam]:[AwayTeam]],$A27, Table1[[HomeTeam]:[HomeTeam]], AF$1, Table1[[ActualResult]:[ActualResult]], "REG") + SUMIFS(Table1[[AwayWon]:[AwayWon]], Table1[[GameIsOver]:[GameIsOver]],1,Table1[[HomeTeam]:[HomeTeam]],$A27, Table1[[AwayTeam]:[AwayTeam]], AF$1, Table1[[ActualResult]:[ActualResult]], "REG"),0), "-", TEXT(SUMIFS(Table1[[HomeWon]:[HomeWon]], Table1[[GameIsOver]:[GameIsOver]],1,Table1[[AwayTeam]:[AwayTeam]],$A27, Table1[[HomeTeam]:[HomeTeam]], AF$1, Table1[[ActualResult]:[ActualResult]], "OT") + SUMIFS(Table1[[AwayWon]:[AwayWon]], Table1[[GameIsOver]:[GameIsOver]],1,Table1[[HomeTeam]:[HomeTeam]],$A27, Table1[[AwayTeam]:[AwayTeam]], AF$1, Table1[[ActualResult]:[ActualResult]], "OT") + SUMIFS(Table1[[HomeWon]:[HomeWon]], Table1[[GameIsOver]:[GameIsOver]],1,Table1[[AwayTeam]:[AwayTeam]],$A27, Table1[[HomeTeam]:[HomeTeam]], AF$1, Table1[[ActualResult]:[ActualResult]], "SO") + SUMIFS(Table1[[AwayWon]:[AwayWon]], Table1[[GameIsOver]:[GameIsOver]],1,Table1[[HomeTeam]:[HomeTeam]],$A27, Table1[[AwayTeam]:[AwayTeam]], AF$1, Table1[[ActualResult]:[ActualResult]], "SO"),0))</f>
        <v>0-0-0</v>
      </c>
      <c r="AG27" s="43" t="str">
        <f>_xlfn.CONCAT(TEXT(SUMIFS(Table1[[AwayWon]:[AwayWon]], Table1[[GameIsOver]:[GameIsOver]],1,Table1[[AwayTeam]:[AwayTeam]],$A27, Table1[[HomeTeam]:[HomeTeam]], AG$1) + SUMIFS(Table1[[HomeWon]:[HomeWon]], Table1[[GameIsOver]:[GameIsOver]],1,Table1[[HomeTeam]:[HomeTeam]],$A27, Table1[[AwayTeam]:[AwayTeam]], AG$1),0), "-", TEXT(SUMIFS(Table1[[HomeWon]:[HomeWon]], Table1[[GameIsOver]:[GameIsOver]],1,Table1[[AwayTeam]:[AwayTeam]],$A27, Table1[[HomeTeam]:[HomeTeam]], AG$1, Table1[[ActualResult]:[ActualResult]], "REG") + SUMIFS(Table1[[AwayWon]:[AwayWon]], Table1[[GameIsOver]:[GameIsOver]],1,Table1[[HomeTeam]:[HomeTeam]],$A27, Table1[[AwayTeam]:[AwayTeam]], AG$1, Table1[[ActualResult]:[ActualResult]], "REG"),0), "-", TEXT(SUMIFS(Table1[[HomeWon]:[HomeWon]], Table1[[GameIsOver]:[GameIsOver]],1,Table1[[AwayTeam]:[AwayTeam]],$A27, Table1[[HomeTeam]:[HomeTeam]], AG$1, Table1[[ActualResult]:[ActualResult]], "OT") + SUMIFS(Table1[[AwayWon]:[AwayWon]], Table1[[GameIsOver]:[GameIsOver]],1,Table1[[HomeTeam]:[HomeTeam]],$A27, Table1[[AwayTeam]:[AwayTeam]], AG$1, Table1[[ActualResult]:[ActualResult]], "OT") + SUMIFS(Table1[[HomeWon]:[HomeWon]], Table1[[GameIsOver]:[GameIsOver]],1,Table1[[AwayTeam]:[AwayTeam]],$A27, Table1[[HomeTeam]:[HomeTeam]], AG$1, Table1[[ActualResult]:[ActualResult]], "SO") + SUMIFS(Table1[[AwayWon]:[AwayWon]], Table1[[GameIsOver]:[GameIsOver]],1,Table1[[HomeTeam]:[HomeTeam]],$A27, Table1[[AwayTeam]:[AwayTeam]], AG$1, Table1[[ActualResult]:[ActualResult]], "SO"),0))</f>
        <v>0-0-0</v>
      </c>
    </row>
    <row r="28" spans="1:33" x14ac:dyDescent="0.25">
      <c r="A28" s="17" t="s">
        <v>44</v>
      </c>
      <c r="B28" s="43" t="str">
        <f>_xlfn.CONCAT(TEXT(SUMIFS(Table1[[AwayWon]:[AwayWon]], Table1[[GameIsOver]:[GameIsOver]],1,Table1[[AwayTeam]:[AwayTeam]],$A28, Table1[[HomeTeam]:[HomeTeam]], B$1) + SUMIFS(Table1[[HomeWon]:[HomeWon]], Table1[[GameIsOver]:[GameIsOver]],1,Table1[[HomeTeam]:[HomeTeam]],$A28, Table1[[AwayTeam]:[AwayTeam]], B$1),0), "-", TEXT(SUMIFS(Table1[[HomeWon]:[HomeWon]], Table1[[GameIsOver]:[GameIsOver]],1,Table1[[AwayTeam]:[AwayTeam]],$A28, Table1[[HomeTeam]:[HomeTeam]], B$1, Table1[[ActualResult]:[ActualResult]], "REG") + SUMIFS(Table1[[AwayWon]:[AwayWon]], Table1[[GameIsOver]:[GameIsOver]],1,Table1[[HomeTeam]:[HomeTeam]],$A28, Table1[[AwayTeam]:[AwayTeam]], B$1, Table1[[ActualResult]:[ActualResult]], "REG"),0), "-", TEXT(SUMIFS(Table1[[HomeWon]:[HomeWon]], Table1[[GameIsOver]:[GameIsOver]],1,Table1[[AwayTeam]:[AwayTeam]],$A28, Table1[[HomeTeam]:[HomeTeam]], B$1, Table1[[ActualResult]:[ActualResult]], "OT") + SUMIFS(Table1[[AwayWon]:[AwayWon]], Table1[[GameIsOver]:[GameIsOver]],1,Table1[[HomeTeam]:[HomeTeam]],$A28, Table1[[AwayTeam]:[AwayTeam]], B$1, Table1[[ActualResult]:[ActualResult]], "OT") + SUMIFS(Table1[[HomeWon]:[HomeWon]], Table1[[GameIsOver]:[GameIsOver]],1,Table1[[AwayTeam]:[AwayTeam]],$A28, Table1[[HomeTeam]:[HomeTeam]], B$1, Table1[[ActualResult]:[ActualResult]], "SO") + SUMIFS(Table1[[AwayWon]:[AwayWon]], Table1[[GameIsOver]:[GameIsOver]],1,Table1[[HomeTeam]:[HomeTeam]],$A28, Table1[[AwayTeam]:[AwayTeam]], B$1, Table1[[ActualResult]:[ActualResult]], "SO"),0))</f>
        <v>0-0-0</v>
      </c>
      <c r="C28" s="43" t="str">
        <f>_xlfn.CONCAT(TEXT(SUMIFS(Table1[[AwayWon]:[AwayWon]], Table1[[GameIsOver]:[GameIsOver]],1,Table1[[AwayTeam]:[AwayTeam]],$A28, Table1[[HomeTeam]:[HomeTeam]], C$1) + SUMIFS(Table1[[HomeWon]:[HomeWon]], Table1[[GameIsOver]:[GameIsOver]],1,Table1[[HomeTeam]:[HomeTeam]],$A28, Table1[[AwayTeam]:[AwayTeam]], C$1),0), "-", TEXT(SUMIFS(Table1[[HomeWon]:[HomeWon]], Table1[[GameIsOver]:[GameIsOver]],1,Table1[[AwayTeam]:[AwayTeam]],$A28, Table1[[HomeTeam]:[HomeTeam]], C$1, Table1[[ActualResult]:[ActualResult]], "REG") + SUMIFS(Table1[[AwayWon]:[AwayWon]], Table1[[GameIsOver]:[GameIsOver]],1,Table1[[HomeTeam]:[HomeTeam]],$A28, Table1[[AwayTeam]:[AwayTeam]], C$1, Table1[[ActualResult]:[ActualResult]], "REG"),0), "-", TEXT(SUMIFS(Table1[[HomeWon]:[HomeWon]], Table1[[GameIsOver]:[GameIsOver]],1,Table1[[AwayTeam]:[AwayTeam]],$A28, Table1[[HomeTeam]:[HomeTeam]], C$1, Table1[[ActualResult]:[ActualResult]], "OT") + SUMIFS(Table1[[AwayWon]:[AwayWon]], Table1[[GameIsOver]:[GameIsOver]],1,Table1[[HomeTeam]:[HomeTeam]],$A28, Table1[[AwayTeam]:[AwayTeam]], C$1, Table1[[ActualResult]:[ActualResult]], "OT") + SUMIFS(Table1[[HomeWon]:[HomeWon]], Table1[[GameIsOver]:[GameIsOver]],1,Table1[[AwayTeam]:[AwayTeam]],$A28, Table1[[HomeTeam]:[HomeTeam]], C$1, Table1[[ActualResult]:[ActualResult]], "SO") + SUMIFS(Table1[[AwayWon]:[AwayWon]], Table1[[GameIsOver]:[GameIsOver]],1,Table1[[HomeTeam]:[HomeTeam]],$A28, Table1[[AwayTeam]:[AwayTeam]], C$1, Table1[[ActualResult]:[ActualResult]], "SO"),0))</f>
        <v>0-0-0</v>
      </c>
      <c r="D28" s="43" t="str">
        <f>_xlfn.CONCAT(TEXT(SUMIFS(Table1[[AwayWon]:[AwayWon]], Table1[[GameIsOver]:[GameIsOver]],1,Table1[[AwayTeam]:[AwayTeam]],$A28, Table1[[HomeTeam]:[HomeTeam]], D$1) + SUMIFS(Table1[[HomeWon]:[HomeWon]], Table1[[GameIsOver]:[GameIsOver]],1,Table1[[HomeTeam]:[HomeTeam]],$A28, Table1[[AwayTeam]:[AwayTeam]], D$1),0), "-", TEXT(SUMIFS(Table1[[HomeWon]:[HomeWon]], Table1[[GameIsOver]:[GameIsOver]],1,Table1[[AwayTeam]:[AwayTeam]],$A28, Table1[[HomeTeam]:[HomeTeam]], D$1, Table1[[ActualResult]:[ActualResult]], "REG") + SUMIFS(Table1[[AwayWon]:[AwayWon]], Table1[[GameIsOver]:[GameIsOver]],1,Table1[[HomeTeam]:[HomeTeam]],$A28, Table1[[AwayTeam]:[AwayTeam]], D$1, Table1[[ActualResult]:[ActualResult]], "REG"),0), "-", TEXT(SUMIFS(Table1[[HomeWon]:[HomeWon]], Table1[[GameIsOver]:[GameIsOver]],1,Table1[[AwayTeam]:[AwayTeam]],$A28, Table1[[HomeTeam]:[HomeTeam]], D$1, Table1[[ActualResult]:[ActualResult]], "OT") + SUMIFS(Table1[[AwayWon]:[AwayWon]], Table1[[GameIsOver]:[GameIsOver]],1,Table1[[HomeTeam]:[HomeTeam]],$A28, Table1[[AwayTeam]:[AwayTeam]], D$1, Table1[[ActualResult]:[ActualResult]], "OT") + SUMIFS(Table1[[HomeWon]:[HomeWon]], Table1[[GameIsOver]:[GameIsOver]],1,Table1[[AwayTeam]:[AwayTeam]],$A28, Table1[[HomeTeam]:[HomeTeam]], D$1, Table1[[ActualResult]:[ActualResult]], "SO") + SUMIFS(Table1[[AwayWon]:[AwayWon]], Table1[[GameIsOver]:[GameIsOver]],1,Table1[[HomeTeam]:[HomeTeam]],$A28, Table1[[AwayTeam]:[AwayTeam]], D$1, Table1[[ActualResult]:[ActualResult]], "SO"),0))</f>
        <v>0-0-0</v>
      </c>
      <c r="E28" s="43" t="str">
        <f>_xlfn.CONCAT(TEXT(SUMIFS(Table1[[AwayWon]:[AwayWon]], Table1[[GameIsOver]:[GameIsOver]],1,Table1[[AwayTeam]:[AwayTeam]],$A28, Table1[[HomeTeam]:[HomeTeam]], E$1) + SUMIFS(Table1[[HomeWon]:[HomeWon]], Table1[[GameIsOver]:[GameIsOver]],1,Table1[[HomeTeam]:[HomeTeam]],$A28, Table1[[AwayTeam]:[AwayTeam]], E$1),0), "-", TEXT(SUMIFS(Table1[[HomeWon]:[HomeWon]], Table1[[GameIsOver]:[GameIsOver]],1,Table1[[AwayTeam]:[AwayTeam]],$A28, Table1[[HomeTeam]:[HomeTeam]], E$1, Table1[[ActualResult]:[ActualResult]], "REG") + SUMIFS(Table1[[AwayWon]:[AwayWon]], Table1[[GameIsOver]:[GameIsOver]],1,Table1[[HomeTeam]:[HomeTeam]],$A28, Table1[[AwayTeam]:[AwayTeam]], E$1, Table1[[ActualResult]:[ActualResult]], "REG"),0), "-", TEXT(SUMIFS(Table1[[HomeWon]:[HomeWon]], Table1[[GameIsOver]:[GameIsOver]],1,Table1[[AwayTeam]:[AwayTeam]],$A28, Table1[[HomeTeam]:[HomeTeam]], E$1, Table1[[ActualResult]:[ActualResult]], "OT") + SUMIFS(Table1[[AwayWon]:[AwayWon]], Table1[[GameIsOver]:[GameIsOver]],1,Table1[[HomeTeam]:[HomeTeam]],$A28, Table1[[AwayTeam]:[AwayTeam]], E$1, Table1[[ActualResult]:[ActualResult]], "OT") + SUMIFS(Table1[[HomeWon]:[HomeWon]], Table1[[GameIsOver]:[GameIsOver]],1,Table1[[AwayTeam]:[AwayTeam]],$A28, Table1[[HomeTeam]:[HomeTeam]], E$1, Table1[[ActualResult]:[ActualResult]], "SO") + SUMIFS(Table1[[AwayWon]:[AwayWon]], Table1[[GameIsOver]:[GameIsOver]],1,Table1[[HomeTeam]:[HomeTeam]],$A28, Table1[[AwayTeam]:[AwayTeam]], E$1, Table1[[ActualResult]:[ActualResult]], "SO"),0))</f>
        <v>0-0-0</v>
      </c>
      <c r="F28" s="43" t="str">
        <f>_xlfn.CONCAT(TEXT(SUMIFS(Table1[[AwayWon]:[AwayWon]], Table1[[GameIsOver]:[GameIsOver]],1,Table1[[AwayTeam]:[AwayTeam]],$A28, Table1[[HomeTeam]:[HomeTeam]], F$1) + SUMIFS(Table1[[HomeWon]:[HomeWon]], Table1[[GameIsOver]:[GameIsOver]],1,Table1[[HomeTeam]:[HomeTeam]],$A28, Table1[[AwayTeam]:[AwayTeam]], F$1),0), "-", TEXT(SUMIFS(Table1[[HomeWon]:[HomeWon]], Table1[[GameIsOver]:[GameIsOver]],1,Table1[[AwayTeam]:[AwayTeam]],$A28, Table1[[HomeTeam]:[HomeTeam]], F$1, Table1[[ActualResult]:[ActualResult]], "REG") + SUMIFS(Table1[[AwayWon]:[AwayWon]], Table1[[GameIsOver]:[GameIsOver]],1,Table1[[HomeTeam]:[HomeTeam]],$A28, Table1[[AwayTeam]:[AwayTeam]], F$1, Table1[[ActualResult]:[ActualResult]], "REG"),0), "-", TEXT(SUMIFS(Table1[[HomeWon]:[HomeWon]], Table1[[GameIsOver]:[GameIsOver]],1,Table1[[AwayTeam]:[AwayTeam]],$A28, Table1[[HomeTeam]:[HomeTeam]], F$1, Table1[[ActualResult]:[ActualResult]], "OT") + SUMIFS(Table1[[AwayWon]:[AwayWon]], Table1[[GameIsOver]:[GameIsOver]],1,Table1[[HomeTeam]:[HomeTeam]],$A28, Table1[[AwayTeam]:[AwayTeam]], F$1, Table1[[ActualResult]:[ActualResult]], "OT") + SUMIFS(Table1[[HomeWon]:[HomeWon]], Table1[[GameIsOver]:[GameIsOver]],1,Table1[[AwayTeam]:[AwayTeam]],$A28, Table1[[HomeTeam]:[HomeTeam]], F$1, Table1[[ActualResult]:[ActualResult]], "SO") + SUMIFS(Table1[[AwayWon]:[AwayWon]], Table1[[GameIsOver]:[GameIsOver]],1,Table1[[HomeTeam]:[HomeTeam]],$A28, Table1[[AwayTeam]:[AwayTeam]], F$1, Table1[[ActualResult]:[ActualResult]], "SO"),0))</f>
        <v>0-0-0</v>
      </c>
      <c r="G28" s="43" t="str">
        <f>_xlfn.CONCAT(TEXT(SUMIFS(Table1[[AwayWon]:[AwayWon]], Table1[[GameIsOver]:[GameIsOver]],1,Table1[[AwayTeam]:[AwayTeam]],$A28, Table1[[HomeTeam]:[HomeTeam]], G$1) + SUMIFS(Table1[[HomeWon]:[HomeWon]], Table1[[GameIsOver]:[GameIsOver]],1,Table1[[HomeTeam]:[HomeTeam]],$A28, Table1[[AwayTeam]:[AwayTeam]], G$1),0), "-", TEXT(SUMIFS(Table1[[HomeWon]:[HomeWon]], Table1[[GameIsOver]:[GameIsOver]],1,Table1[[AwayTeam]:[AwayTeam]],$A28, Table1[[HomeTeam]:[HomeTeam]], G$1, Table1[[ActualResult]:[ActualResult]], "REG") + SUMIFS(Table1[[AwayWon]:[AwayWon]], Table1[[GameIsOver]:[GameIsOver]],1,Table1[[HomeTeam]:[HomeTeam]],$A28, Table1[[AwayTeam]:[AwayTeam]], G$1, Table1[[ActualResult]:[ActualResult]], "REG"),0), "-", TEXT(SUMIFS(Table1[[HomeWon]:[HomeWon]], Table1[[GameIsOver]:[GameIsOver]],1,Table1[[AwayTeam]:[AwayTeam]],$A28, Table1[[HomeTeam]:[HomeTeam]], G$1, Table1[[ActualResult]:[ActualResult]], "OT") + SUMIFS(Table1[[AwayWon]:[AwayWon]], Table1[[GameIsOver]:[GameIsOver]],1,Table1[[HomeTeam]:[HomeTeam]],$A28, Table1[[AwayTeam]:[AwayTeam]], G$1, Table1[[ActualResult]:[ActualResult]], "OT") + SUMIFS(Table1[[HomeWon]:[HomeWon]], Table1[[GameIsOver]:[GameIsOver]],1,Table1[[AwayTeam]:[AwayTeam]],$A28, Table1[[HomeTeam]:[HomeTeam]], G$1, Table1[[ActualResult]:[ActualResult]], "SO") + SUMIFS(Table1[[AwayWon]:[AwayWon]], Table1[[GameIsOver]:[GameIsOver]],1,Table1[[HomeTeam]:[HomeTeam]],$A28, Table1[[AwayTeam]:[AwayTeam]], G$1, Table1[[ActualResult]:[ActualResult]], "SO"),0))</f>
        <v>0-0-0</v>
      </c>
      <c r="H28" s="43" t="str">
        <f>_xlfn.CONCAT(TEXT(SUMIFS(Table1[[AwayWon]:[AwayWon]], Table1[[GameIsOver]:[GameIsOver]],1,Table1[[AwayTeam]:[AwayTeam]],$A28, Table1[[HomeTeam]:[HomeTeam]], H$1) + SUMIFS(Table1[[HomeWon]:[HomeWon]], Table1[[GameIsOver]:[GameIsOver]],1,Table1[[HomeTeam]:[HomeTeam]],$A28, Table1[[AwayTeam]:[AwayTeam]], H$1),0), "-", TEXT(SUMIFS(Table1[[HomeWon]:[HomeWon]], Table1[[GameIsOver]:[GameIsOver]],1,Table1[[AwayTeam]:[AwayTeam]],$A28, Table1[[HomeTeam]:[HomeTeam]], H$1, Table1[[ActualResult]:[ActualResult]], "REG") + SUMIFS(Table1[[AwayWon]:[AwayWon]], Table1[[GameIsOver]:[GameIsOver]],1,Table1[[HomeTeam]:[HomeTeam]],$A28, Table1[[AwayTeam]:[AwayTeam]], H$1, Table1[[ActualResult]:[ActualResult]], "REG"),0), "-", TEXT(SUMIFS(Table1[[HomeWon]:[HomeWon]], Table1[[GameIsOver]:[GameIsOver]],1,Table1[[AwayTeam]:[AwayTeam]],$A28, Table1[[HomeTeam]:[HomeTeam]], H$1, Table1[[ActualResult]:[ActualResult]], "OT") + SUMIFS(Table1[[AwayWon]:[AwayWon]], Table1[[GameIsOver]:[GameIsOver]],1,Table1[[HomeTeam]:[HomeTeam]],$A28, Table1[[AwayTeam]:[AwayTeam]], H$1, Table1[[ActualResult]:[ActualResult]], "OT") + SUMIFS(Table1[[HomeWon]:[HomeWon]], Table1[[GameIsOver]:[GameIsOver]],1,Table1[[AwayTeam]:[AwayTeam]],$A28, Table1[[HomeTeam]:[HomeTeam]], H$1, Table1[[ActualResult]:[ActualResult]], "SO") + SUMIFS(Table1[[AwayWon]:[AwayWon]], Table1[[GameIsOver]:[GameIsOver]],1,Table1[[HomeTeam]:[HomeTeam]],$A28, Table1[[AwayTeam]:[AwayTeam]], H$1, Table1[[ActualResult]:[ActualResult]], "SO"),0))</f>
        <v>0-0-0</v>
      </c>
      <c r="I28" s="45" t="str">
        <f>_xlfn.CONCAT(TEXT(SUMIFS(Table1[[AwayWon]:[AwayWon]], Table1[[GameIsOver]:[GameIsOver]],1,Table1[[AwayTeam]:[AwayTeam]],$A28, Table1[[HomeTeam]:[HomeTeam]], I$1) + SUMIFS(Table1[[HomeWon]:[HomeWon]], Table1[[GameIsOver]:[GameIsOver]],1,Table1[[HomeTeam]:[HomeTeam]],$A28, Table1[[AwayTeam]:[AwayTeam]], I$1),0), "-", TEXT(SUMIFS(Table1[[HomeWon]:[HomeWon]], Table1[[GameIsOver]:[GameIsOver]],1,Table1[[AwayTeam]:[AwayTeam]],$A28, Table1[[HomeTeam]:[HomeTeam]], I$1, Table1[[ActualResult]:[ActualResult]], "REG") + SUMIFS(Table1[[AwayWon]:[AwayWon]], Table1[[GameIsOver]:[GameIsOver]],1,Table1[[HomeTeam]:[HomeTeam]],$A28, Table1[[AwayTeam]:[AwayTeam]], I$1, Table1[[ActualResult]:[ActualResult]], "REG"),0), "-", TEXT(SUMIFS(Table1[[HomeWon]:[HomeWon]], Table1[[GameIsOver]:[GameIsOver]],1,Table1[[AwayTeam]:[AwayTeam]],$A28, Table1[[HomeTeam]:[HomeTeam]], I$1, Table1[[ActualResult]:[ActualResult]], "OT") + SUMIFS(Table1[[AwayWon]:[AwayWon]], Table1[[GameIsOver]:[GameIsOver]],1,Table1[[HomeTeam]:[HomeTeam]],$A28, Table1[[AwayTeam]:[AwayTeam]], I$1, Table1[[ActualResult]:[ActualResult]], "OT") + SUMIFS(Table1[[HomeWon]:[HomeWon]], Table1[[GameIsOver]:[GameIsOver]],1,Table1[[AwayTeam]:[AwayTeam]],$A28, Table1[[HomeTeam]:[HomeTeam]], I$1, Table1[[ActualResult]:[ActualResult]], "SO") + SUMIFS(Table1[[AwayWon]:[AwayWon]], Table1[[GameIsOver]:[GameIsOver]],1,Table1[[HomeTeam]:[HomeTeam]],$A28, Table1[[AwayTeam]:[AwayTeam]], I$1, Table1[[ActualResult]:[ActualResult]], "SO"),0))</f>
        <v>0-0-0</v>
      </c>
      <c r="J28" s="43" t="str">
        <f>_xlfn.CONCAT(TEXT(SUMIFS(Table1[[AwayWon]:[AwayWon]], Table1[[GameIsOver]:[GameIsOver]],1,Table1[[AwayTeam]:[AwayTeam]],$A28, Table1[[HomeTeam]:[HomeTeam]], J$1) + SUMIFS(Table1[[HomeWon]:[HomeWon]], Table1[[GameIsOver]:[GameIsOver]],1,Table1[[HomeTeam]:[HomeTeam]],$A28, Table1[[AwayTeam]:[AwayTeam]], J$1),0), "-", TEXT(SUMIFS(Table1[[HomeWon]:[HomeWon]], Table1[[GameIsOver]:[GameIsOver]],1,Table1[[AwayTeam]:[AwayTeam]],$A28, Table1[[HomeTeam]:[HomeTeam]], J$1, Table1[[ActualResult]:[ActualResult]], "REG") + SUMIFS(Table1[[AwayWon]:[AwayWon]], Table1[[GameIsOver]:[GameIsOver]],1,Table1[[HomeTeam]:[HomeTeam]],$A28, Table1[[AwayTeam]:[AwayTeam]], J$1, Table1[[ActualResult]:[ActualResult]], "REG"),0), "-", TEXT(SUMIFS(Table1[[HomeWon]:[HomeWon]], Table1[[GameIsOver]:[GameIsOver]],1,Table1[[AwayTeam]:[AwayTeam]],$A28, Table1[[HomeTeam]:[HomeTeam]], J$1, Table1[[ActualResult]:[ActualResult]], "OT") + SUMIFS(Table1[[AwayWon]:[AwayWon]], Table1[[GameIsOver]:[GameIsOver]],1,Table1[[HomeTeam]:[HomeTeam]],$A28, Table1[[AwayTeam]:[AwayTeam]], J$1, Table1[[ActualResult]:[ActualResult]], "OT") + SUMIFS(Table1[[HomeWon]:[HomeWon]], Table1[[GameIsOver]:[GameIsOver]],1,Table1[[AwayTeam]:[AwayTeam]],$A28, Table1[[HomeTeam]:[HomeTeam]], J$1, Table1[[ActualResult]:[ActualResult]], "SO") + SUMIFS(Table1[[AwayWon]:[AwayWon]], Table1[[GameIsOver]:[GameIsOver]],1,Table1[[HomeTeam]:[HomeTeam]],$A28, Table1[[AwayTeam]:[AwayTeam]], J$1, Table1[[ActualResult]:[ActualResult]], "SO"),0))</f>
        <v>0-0-0</v>
      </c>
      <c r="K28" s="43" t="str">
        <f>_xlfn.CONCAT(TEXT(SUMIFS(Table1[[AwayWon]:[AwayWon]], Table1[[GameIsOver]:[GameIsOver]],1,Table1[[AwayTeam]:[AwayTeam]],$A28, Table1[[HomeTeam]:[HomeTeam]], K$1) + SUMIFS(Table1[[HomeWon]:[HomeWon]], Table1[[GameIsOver]:[GameIsOver]],1,Table1[[HomeTeam]:[HomeTeam]],$A28, Table1[[AwayTeam]:[AwayTeam]], K$1),0), "-", TEXT(SUMIFS(Table1[[HomeWon]:[HomeWon]], Table1[[GameIsOver]:[GameIsOver]],1,Table1[[AwayTeam]:[AwayTeam]],$A28, Table1[[HomeTeam]:[HomeTeam]], K$1, Table1[[ActualResult]:[ActualResult]], "REG") + SUMIFS(Table1[[AwayWon]:[AwayWon]], Table1[[GameIsOver]:[GameIsOver]],1,Table1[[HomeTeam]:[HomeTeam]],$A28, Table1[[AwayTeam]:[AwayTeam]], K$1, Table1[[ActualResult]:[ActualResult]], "REG"),0), "-", TEXT(SUMIFS(Table1[[HomeWon]:[HomeWon]], Table1[[GameIsOver]:[GameIsOver]],1,Table1[[AwayTeam]:[AwayTeam]],$A28, Table1[[HomeTeam]:[HomeTeam]], K$1, Table1[[ActualResult]:[ActualResult]], "OT") + SUMIFS(Table1[[AwayWon]:[AwayWon]], Table1[[GameIsOver]:[GameIsOver]],1,Table1[[HomeTeam]:[HomeTeam]],$A28, Table1[[AwayTeam]:[AwayTeam]], K$1, Table1[[ActualResult]:[ActualResult]], "OT") + SUMIFS(Table1[[HomeWon]:[HomeWon]], Table1[[GameIsOver]:[GameIsOver]],1,Table1[[AwayTeam]:[AwayTeam]],$A28, Table1[[HomeTeam]:[HomeTeam]], K$1, Table1[[ActualResult]:[ActualResult]], "SO") + SUMIFS(Table1[[AwayWon]:[AwayWon]], Table1[[GameIsOver]:[GameIsOver]],1,Table1[[HomeTeam]:[HomeTeam]],$A28, Table1[[AwayTeam]:[AwayTeam]], K$1, Table1[[ActualResult]:[ActualResult]], "SO"),0))</f>
        <v>0-0-0</v>
      </c>
      <c r="L28" s="43" t="str">
        <f>_xlfn.CONCAT(TEXT(SUMIFS(Table1[[AwayWon]:[AwayWon]], Table1[[GameIsOver]:[GameIsOver]],1,Table1[[AwayTeam]:[AwayTeam]],$A28, Table1[[HomeTeam]:[HomeTeam]], L$1) + SUMIFS(Table1[[HomeWon]:[HomeWon]], Table1[[GameIsOver]:[GameIsOver]],1,Table1[[HomeTeam]:[HomeTeam]],$A28, Table1[[AwayTeam]:[AwayTeam]], L$1),0), "-", TEXT(SUMIFS(Table1[[HomeWon]:[HomeWon]], Table1[[GameIsOver]:[GameIsOver]],1,Table1[[AwayTeam]:[AwayTeam]],$A28, Table1[[HomeTeam]:[HomeTeam]], L$1, Table1[[ActualResult]:[ActualResult]], "REG") + SUMIFS(Table1[[AwayWon]:[AwayWon]], Table1[[GameIsOver]:[GameIsOver]],1,Table1[[HomeTeam]:[HomeTeam]],$A28, Table1[[AwayTeam]:[AwayTeam]], L$1, Table1[[ActualResult]:[ActualResult]], "REG"),0), "-", TEXT(SUMIFS(Table1[[HomeWon]:[HomeWon]], Table1[[GameIsOver]:[GameIsOver]],1,Table1[[AwayTeam]:[AwayTeam]],$A28, Table1[[HomeTeam]:[HomeTeam]], L$1, Table1[[ActualResult]:[ActualResult]], "OT") + SUMIFS(Table1[[AwayWon]:[AwayWon]], Table1[[GameIsOver]:[GameIsOver]],1,Table1[[HomeTeam]:[HomeTeam]],$A28, Table1[[AwayTeam]:[AwayTeam]], L$1, Table1[[ActualResult]:[ActualResult]], "OT") + SUMIFS(Table1[[HomeWon]:[HomeWon]], Table1[[GameIsOver]:[GameIsOver]],1,Table1[[AwayTeam]:[AwayTeam]],$A28, Table1[[HomeTeam]:[HomeTeam]], L$1, Table1[[ActualResult]:[ActualResult]], "SO") + SUMIFS(Table1[[AwayWon]:[AwayWon]], Table1[[GameIsOver]:[GameIsOver]],1,Table1[[HomeTeam]:[HomeTeam]],$A28, Table1[[AwayTeam]:[AwayTeam]], L$1, Table1[[ActualResult]:[ActualResult]], "SO"),0))</f>
        <v>0-0-0</v>
      </c>
      <c r="M28" s="43" t="str">
        <f>_xlfn.CONCAT(TEXT(SUMIFS(Table1[[AwayWon]:[AwayWon]], Table1[[GameIsOver]:[GameIsOver]],1,Table1[[AwayTeam]:[AwayTeam]],$A28, Table1[[HomeTeam]:[HomeTeam]], M$1) + SUMIFS(Table1[[HomeWon]:[HomeWon]], Table1[[GameIsOver]:[GameIsOver]],1,Table1[[HomeTeam]:[HomeTeam]],$A28, Table1[[AwayTeam]:[AwayTeam]], M$1),0), "-", TEXT(SUMIFS(Table1[[HomeWon]:[HomeWon]], Table1[[GameIsOver]:[GameIsOver]],1,Table1[[AwayTeam]:[AwayTeam]],$A28, Table1[[HomeTeam]:[HomeTeam]], M$1, Table1[[ActualResult]:[ActualResult]], "REG") + SUMIFS(Table1[[AwayWon]:[AwayWon]], Table1[[GameIsOver]:[GameIsOver]],1,Table1[[HomeTeam]:[HomeTeam]],$A28, Table1[[AwayTeam]:[AwayTeam]], M$1, Table1[[ActualResult]:[ActualResult]], "REG"),0), "-", TEXT(SUMIFS(Table1[[HomeWon]:[HomeWon]], Table1[[GameIsOver]:[GameIsOver]],1,Table1[[AwayTeam]:[AwayTeam]],$A28, Table1[[HomeTeam]:[HomeTeam]], M$1, Table1[[ActualResult]:[ActualResult]], "OT") + SUMIFS(Table1[[AwayWon]:[AwayWon]], Table1[[GameIsOver]:[GameIsOver]],1,Table1[[HomeTeam]:[HomeTeam]],$A28, Table1[[AwayTeam]:[AwayTeam]], M$1, Table1[[ActualResult]:[ActualResult]], "OT") + SUMIFS(Table1[[HomeWon]:[HomeWon]], Table1[[GameIsOver]:[GameIsOver]],1,Table1[[AwayTeam]:[AwayTeam]],$A28, Table1[[HomeTeam]:[HomeTeam]], M$1, Table1[[ActualResult]:[ActualResult]], "SO") + SUMIFS(Table1[[AwayWon]:[AwayWon]], Table1[[GameIsOver]:[GameIsOver]],1,Table1[[HomeTeam]:[HomeTeam]],$A28, Table1[[AwayTeam]:[AwayTeam]], M$1, Table1[[ActualResult]:[ActualResult]], "SO"),0))</f>
        <v>0-0-0</v>
      </c>
      <c r="N28" s="43" t="str">
        <f>_xlfn.CONCAT(TEXT(SUMIFS(Table1[[AwayWon]:[AwayWon]], Table1[[GameIsOver]:[GameIsOver]],1,Table1[[AwayTeam]:[AwayTeam]],$A28, Table1[[HomeTeam]:[HomeTeam]], N$1) + SUMIFS(Table1[[HomeWon]:[HomeWon]], Table1[[GameIsOver]:[GameIsOver]],1,Table1[[HomeTeam]:[HomeTeam]],$A28, Table1[[AwayTeam]:[AwayTeam]], N$1),0), "-", TEXT(SUMIFS(Table1[[HomeWon]:[HomeWon]], Table1[[GameIsOver]:[GameIsOver]],1,Table1[[AwayTeam]:[AwayTeam]],$A28, Table1[[HomeTeam]:[HomeTeam]], N$1, Table1[[ActualResult]:[ActualResult]], "REG") + SUMIFS(Table1[[AwayWon]:[AwayWon]], Table1[[GameIsOver]:[GameIsOver]],1,Table1[[HomeTeam]:[HomeTeam]],$A28, Table1[[AwayTeam]:[AwayTeam]], N$1, Table1[[ActualResult]:[ActualResult]], "REG"),0), "-", TEXT(SUMIFS(Table1[[HomeWon]:[HomeWon]], Table1[[GameIsOver]:[GameIsOver]],1,Table1[[AwayTeam]:[AwayTeam]],$A28, Table1[[HomeTeam]:[HomeTeam]], N$1, Table1[[ActualResult]:[ActualResult]], "OT") + SUMIFS(Table1[[AwayWon]:[AwayWon]], Table1[[GameIsOver]:[GameIsOver]],1,Table1[[HomeTeam]:[HomeTeam]],$A28, Table1[[AwayTeam]:[AwayTeam]], N$1, Table1[[ActualResult]:[ActualResult]], "OT") + SUMIFS(Table1[[HomeWon]:[HomeWon]], Table1[[GameIsOver]:[GameIsOver]],1,Table1[[AwayTeam]:[AwayTeam]],$A28, Table1[[HomeTeam]:[HomeTeam]], N$1, Table1[[ActualResult]:[ActualResult]], "SO") + SUMIFS(Table1[[AwayWon]:[AwayWon]], Table1[[GameIsOver]:[GameIsOver]],1,Table1[[HomeTeam]:[HomeTeam]],$A28, Table1[[AwayTeam]:[AwayTeam]], N$1, Table1[[ActualResult]:[ActualResult]], "SO"),0))</f>
        <v>0-0-0</v>
      </c>
      <c r="O28" s="43" t="str">
        <f>_xlfn.CONCAT(TEXT(SUMIFS(Table1[[AwayWon]:[AwayWon]], Table1[[GameIsOver]:[GameIsOver]],1,Table1[[AwayTeam]:[AwayTeam]],$A28, Table1[[HomeTeam]:[HomeTeam]], O$1) + SUMIFS(Table1[[HomeWon]:[HomeWon]], Table1[[GameIsOver]:[GameIsOver]],1,Table1[[HomeTeam]:[HomeTeam]],$A28, Table1[[AwayTeam]:[AwayTeam]], O$1),0), "-", TEXT(SUMIFS(Table1[[HomeWon]:[HomeWon]], Table1[[GameIsOver]:[GameIsOver]],1,Table1[[AwayTeam]:[AwayTeam]],$A28, Table1[[HomeTeam]:[HomeTeam]], O$1, Table1[[ActualResult]:[ActualResult]], "REG") + SUMIFS(Table1[[AwayWon]:[AwayWon]], Table1[[GameIsOver]:[GameIsOver]],1,Table1[[HomeTeam]:[HomeTeam]],$A28, Table1[[AwayTeam]:[AwayTeam]], O$1, Table1[[ActualResult]:[ActualResult]], "REG"),0), "-", TEXT(SUMIFS(Table1[[HomeWon]:[HomeWon]], Table1[[GameIsOver]:[GameIsOver]],1,Table1[[AwayTeam]:[AwayTeam]],$A28, Table1[[HomeTeam]:[HomeTeam]], O$1, Table1[[ActualResult]:[ActualResult]], "OT") + SUMIFS(Table1[[AwayWon]:[AwayWon]], Table1[[GameIsOver]:[GameIsOver]],1,Table1[[HomeTeam]:[HomeTeam]],$A28, Table1[[AwayTeam]:[AwayTeam]], O$1, Table1[[ActualResult]:[ActualResult]], "OT") + SUMIFS(Table1[[HomeWon]:[HomeWon]], Table1[[GameIsOver]:[GameIsOver]],1,Table1[[AwayTeam]:[AwayTeam]],$A28, Table1[[HomeTeam]:[HomeTeam]], O$1, Table1[[ActualResult]:[ActualResult]], "SO") + SUMIFS(Table1[[AwayWon]:[AwayWon]], Table1[[GameIsOver]:[GameIsOver]],1,Table1[[HomeTeam]:[HomeTeam]],$A28, Table1[[AwayTeam]:[AwayTeam]], O$1, Table1[[ActualResult]:[ActualResult]], "SO"),0))</f>
        <v>0-0-0</v>
      </c>
      <c r="P28" s="43" t="str">
        <f>_xlfn.CONCAT(TEXT(SUMIFS(Table1[[AwayWon]:[AwayWon]], Table1[[GameIsOver]:[GameIsOver]],1,Table1[[AwayTeam]:[AwayTeam]],$A28, Table1[[HomeTeam]:[HomeTeam]], P$1) + SUMIFS(Table1[[HomeWon]:[HomeWon]], Table1[[GameIsOver]:[GameIsOver]],1,Table1[[HomeTeam]:[HomeTeam]],$A28, Table1[[AwayTeam]:[AwayTeam]], P$1),0), "-", TEXT(SUMIFS(Table1[[HomeWon]:[HomeWon]], Table1[[GameIsOver]:[GameIsOver]],1,Table1[[AwayTeam]:[AwayTeam]],$A28, Table1[[HomeTeam]:[HomeTeam]], P$1, Table1[[ActualResult]:[ActualResult]], "REG") + SUMIFS(Table1[[AwayWon]:[AwayWon]], Table1[[GameIsOver]:[GameIsOver]],1,Table1[[HomeTeam]:[HomeTeam]],$A28, Table1[[AwayTeam]:[AwayTeam]], P$1, Table1[[ActualResult]:[ActualResult]], "REG"),0), "-", TEXT(SUMIFS(Table1[[HomeWon]:[HomeWon]], Table1[[GameIsOver]:[GameIsOver]],1,Table1[[AwayTeam]:[AwayTeam]],$A28, Table1[[HomeTeam]:[HomeTeam]], P$1, Table1[[ActualResult]:[ActualResult]], "OT") + SUMIFS(Table1[[AwayWon]:[AwayWon]], Table1[[GameIsOver]:[GameIsOver]],1,Table1[[HomeTeam]:[HomeTeam]],$A28, Table1[[AwayTeam]:[AwayTeam]], P$1, Table1[[ActualResult]:[ActualResult]], "OT") + SUMIFS(Table1[[HomeWon]:[HomeWon]], Table1[[GameIsOver]:[GameIsOver]],1,Table1[[AwayTeam]:[AwayTeam]],$A28, Table1[[HomeTeam]:[HomeTeam]], P$1, Table1[[ActualResult]:[ActualResult]], "SO") + SUMIFS(Table1[[AwayWon]:[AwayWon]], Table1[[GameIsOver]:[GameIsOver]],1,Table1[[HomeTeam]:[HomeTeam]],$A28, Table1[[AwayTeam]:[AwayTeam]], P$1, Table1[[ActualResult]:[ActualResult]], "SO"),0))</f>
        <v>0-0-0</v>
      </c>
      <c r="Q28" s="45" t="str">
        <f>_xlfn.CONCAT(TEXT(SUMIFS(Table1[[AwayWon]:[AwayWon]], Table1[[GameIsOver]:[GameIsOver]],1,Table1[[AwayTeam]:[AwayTeam]],$A28, Table1[[HomeTeam]:[HomeTeam]], Q$1) + SUMIFS(Table1[[HomeWon]:[HomeWon]], Table1[[GameIsOver]:[GameIsOver]],1,Table1[[HomeTeam]:[HomeTeam]],$A28, Table1[[AwayTeam]:[AwayTeam]], Q$1),0), "-", TEXT(SUMIFS(Table1[[HomeWon]:[HomeWon]], Table1[[GameIsOver]:[GameIsOver]],1,Table1[[AwayTeam]:[AwayTeam]],$A28, Table1[[HomeTeam]:[HomeTeam]], Q$1, Table1[[ActualResult]:[ActualResult]], "REG") + SUMIFS(Table1[[AwayWon]:[AwayWon]], Table1[[GameIsOver]:[GameIsOver]],1,Table1[[HomeTeam]:[HomeTeam]],$A28, Table1[[AwayTeam]:[AwayTeam]], Q$1, Table1[[ActualResult]:[ActualResult]], "REG"),0), "-", TEXT(SUMIFS(Table1[[HomeWon]:[HomeWon]], Table1[[GameIsOver]:[GameIsOver]],1,Table1[[AwayTeam]:[AwayTeam]],$A28, Table1[[HomeTeam]:[HomeTeam]], Q$1, Table1[[ActualResult]:[ActualResult]], "OT") + SUMIFS(Table1[[AwayWon]:[AwayWon]], Table1[[GameIsOver]:[GameIsOver]],1,Table1[[HomeTeam]:[HomeTeam]],$A28, Table1[[AwayTeam]:[AwayTeam]], Q$1, Table1[[ActualResult]:[ActualResult]], "OT") + SUMIFS(Table1[[HomeWon]:[HomeWon]], Table1[[GameIsOver]:[GameIsOver]],1,Table1[[AwayTeam]:[AwayTeam]],$A28, Table1[[HomeTeam]:[HomeTeam]], Q$1, Table1[[ActualResult]:[ActualResult]], "SO") + SUMIFS(Table1[[AwayWon]:[AwayWon]], Table1[[GameIsOver]:[GameIsOver]],1,Table1[[HomeTeam]:[HomeTeam]],$A28, Table1[[AwayTeam]:[AwayTeam]], Q$1, Table1[[ActualResult]:[ActualResult]], "SO"),0))</f>
        <v>0-0-0</v>
      </c>
      <c r="R28" s="43" t="str">
        <f>_xlfn.CONCAT(TEXT(SUMIFS(Table1[[AwayWon]:[AwayWon]], Table1[[GameIsOver]:[GameIsOver]],1,Table1[[AwayTeam]:[AwayTeam]],$A28, Table1[[HomeTeam]:[HomeTeam]], R$1) + SUMIFS(Table1[[HomeWon]:[HomeWon]], Table1[[GameIsOver]:[GameIsOver]],1,Table1[[HomeTeam]:[HomeTeam]],$A28, Table1[[AwayTeam]:[AwayTeam]], R$1),0), "-", TEXT(SUMIFS(Table1[[HomeWon]:[HomeWon]], Table1[[GameIsOver]:[GameIsOver]],1,Table1[[AwayTeam]:[AwayTeam]],$A28, Table1[[HomeTeam]:[HomeTeam]], R$1, Table1[[ActualResult]:[ActualResult]], "REG") + SUMIFS(Table1[[AwayWon]:[AwayWon]], Table1[[GameIsOver]:[GameIsOver]],1,Table1[[HomeTeam]:[HomeTeam]],$A28, Table1[[AwayTeam]:[AwayTeam]], R$1, Table1[[ActualResult]:[ActualResult]], "REG"),0), "-", TEXT(SUMIFS(Table1[[HomeWon]:[HomeWon]], Table1[[GameIsOver]:[GameIsOver]],1,Table1[[AwayTeam]:[AwayTeam]],$A28, Table1[[HomeTeam]:[HomeTeam]], R$1, Table1[[ActualResult]:[ActualResult]], "OT") + SUMIFS(Table1[[AwayWon]:[AwayWon]], Table1[[GameIsOver]:[GameIsOver]],1,Table1[[HomeTeam]:[HomeTeam]],$A28, Table1[[AwayTeam]:[AwayTeam]], R$1, Table1[[ActualResult]:[ActualResult]], "OT") + SUMIFS(Table1[[HomeWon]:[HomeWon]], Table1[[GameIsOver]:[GameIsOver]],1,Table1[[AwayTeam]:[AwayTeam]],$A28, Table1[[HomeTeam]:[HomeTeam]], R$1, Table1[[ActualResult]:[ActualResult]], "SO") + SUMIFS(Table1[[AwayWon]:[AwayWon]], Table1[[GameIsOver]:[GameIsOver]],1,Table1[[HomeTeam]:[HomeTeam]],$A28, Table1[[AwayTeam]:[AwayTeam]], R$1, Table1[[ActualResult]:[ActualResult]], "SO"),0))</f>
        <v>0-0-0</v>
      </c>
      <c r="S28" s="43" t="str">
        <f>_xlfn.CONCAT(TEXT(SUMIFS(Table1[[AwayWon]:[AwayWon]], Table1[[GameIsOver]:[GameIsOver]],1,Table1[[AwayTeam]:[AwayTeam]],$A28, Table1[[HomeTeam]:[HomeTeam]], S$1) + SUMIFS(Table1[[HomeWon]:[HomeWon]], Table1[[GameIsOver]:[GameIsOver]],1,Table1[[HomeTeam]:[HomeTeam]],$A28, Table1[[AwayTeam]:[AwayTeam]], S$1),0), "-", TEXT(SUMIFS(Table1[[HomeWon]:[HomeWon]], Table1[[GameIsOver]:[GameIsOver]],1,Table1[[AwayTeam]:[AwayTeam]],$A28, Table1[[HomeTeam]:[HomeTeam]], S$1, Table1[[ActualResult]:[ActualResult]], "REG") + SUMIFS(Table1[[AwayWon]:[AwayWon]], Table1[[GameIsOver]:[GameIsOver]],1,Table1[[HomeTeam]:[HomeTeam]],$A28, Table1[[AwayTeam]:[AwayTeam]], S$1, Table1[[ActualResult]:[ActualResult]], "REG"),0), "-", TEXT(SUMIFS(Table1[[HomeWon]:[HomeWon]], Table1[[GameIsOver]:[GameIsOver]],1,Table1[[AwayTeam]:[AwayTeam]],$A28, Table1[[HomeTeam]:[HomeTeam]], S$1, Table1[[ActualResult]:[ActualResult]], "OT") + SUMIFS(Table1[[AwayWon]:[AwayWon]], Table1[[GameIsOver]:[GameIsOver]],1,Table1[[HomeTeam]:[HomeTeam]],$A28, Table1[[AwayTeam]:[AwayTeam]], S$1, Table1[[ActualResult]:[ActualResult]], "OT") + SUMIFS(Table1[[HomeWon]:[HomeWon]], Table1[[GameIsOver]:[GameIsOver]],1,Table1[[AwayTeam]:[AwayTeam]],$A28, Table1[[HomeTeam]:[HomeTeam]], S$1, Table1[[ActualResult]:[ActualResult]], "SO") + SUMIFS(Table1[[AwayWon]:[AwayWon]], Table1[[GameIsOver]:[GameIsOver]],1,Table1[[HomeTeam]:[HomeTeam]],$A28, Table1[[AwayTeam]:[AwayTeam]], S$1, Table1[[ActualResult]:[ActualResult]], "SO"),0))</f>
        <v>0-0-0</v>
      </c>
      <c r="T28" s="43" t="str">
        <f>_xlfn.CONCAT(TEXT(SUMIFS(Table1[[AwayWon]:[AwayWon]], Table1[[GameIsOver]:[GameIsOver]],1,Table1[[AwayTeam]:[AwayTeam]],$A28, Table1[[HomeTeam]:[HomeTeam]], T$1) + SUMIFS(Table1[[HomeWon]:[HomeWon]], Table1[[GameIsOver]:[GameIsOver]],1,Table1[[HomeTeam]:[HomeTeam]],$A28, Table1[[AwayTeam]:[AwayTeam]], T$1),0), "-", TEXT(SUMIFS(Table1[[HomeWon]:[HomeWon]], Table1[[GameIsOver]:[GameIsOver]],1,Table1[[AwayTeam]:[AwayTeam]],$A28, Table1[[HomeTeam]:[HomeTeam]], T$1, Table1[[ActualResult]:[ActualResult]], "REG") + SUMIFS(Table1[[AwayWon]:[AwayWon]], Table1[[GameIsOver]:[GameIsOver]],1,Table1[[HomeTeam]:[HomeTeam]],$A28, Table1[[AwayTeam]:[AwayTeam]], T$1, Table1[[ActualResult]:[ActualResult]], "REG"),0), "-", TEXT(SUMIFS(Table1[[HomeWon]:[HomeWon]], Table1[[GameIsOver]:[GameIsOver]],1,Table1[[AwayTeam]:[AwayTeam]],$A28, Table1[[HomeTeam]:[HomeTeam]], T$1, Table1[[ActualResult]:[ActualResult]], "OT") + SUMIFS(Table1[[AwayWon]:[AwayWon]], Table1[[GameIsOver]:[GameIsOver]],1,Table1[[HomeTeam]:[HomeTeam]],$A28, Table1[[AwayTeam]:[AwayTeam]], T$1, Table1[[ActualResult]:[ActualResult]], "OT") + SUMIFS(Table1[[HomeWon]:[HomeWon]], Table1[[GameIsOver]:[GameIsOver]],1,Table1[[AwayTeam]:[AwayTeam]],$A28, Table1[[HomeTeam]:[HomeTeam]], T$1, Table1[[ActualResult]:[ActualResult]], "SO") + SUMIFS(Table1[[AwayWon]:[AwayWon]], Table1[[GameIsOver]:[GameIsOver]],1,Table1[[HomeTeam]:[HomeTeam]],$A28, Table1[[AwayTeam]:[AwayTeam]], T$1, Table1[[ActualResult]:[ActualResult]], "SO"),0))</f>
        <v>0-0-0</v>
      </c>
      <c r="U28" s="43" t="str">
        <f>_xlfn.CONCAT(TEXT(SUMIFS(Table1[[AwayWon]:[AwayWon]], Table1[[GameIsOver]:[GameIsOver]],1,Table1[[AwayTeam]:[AwayTeam]],$A28, Table1[[HomeTeam]:[HomeTeam]], U$1) + SUMIFS(Table1[[HomeWon]:[HomeWon]], Table1[[GameIsOver]:[GameIsOver]],1,Table1[[HomeTeam]:[HomeTeam]],$A28, Table1[[AwayTeam]:[AwayTeam]], U$1),0), "-", TEXT(SUMIFS(Table1[[HomeWon]:[HomeWon]], Table1[[GameIsOver]:[GameIsOver]],1,Table1[[AwayTeam]:[AwayTeam]],$A28, Table1[[HomeTeam]:[HomeTeam]], U$1, Table1[[ActualResult]:[ActualResult]], "REG") + SUMIFS(Table1[[AwayWon]:[AwayWon]], Table1[[GameIsOver]:[GameIsOver]],1,Table1[[HomeTeam]:[HomeTeam]],$A28, Table1[[AwayTeam]:[AwayTeam]], U$1, Table1[[ActualResult]:[ActualResult]], "REG"),0), "-", TEXT(SUMIFS(Table1[[HomeWon]:[HomeWon]], Table1[[GameIsOver]:[GameIsOver]],1,Table1[[AwayTeam]:[AwayTeam]],$A28, Table1[[HomeTeam]:[HomeTeam]], U$1, Table1[[ActualResult]:[ActualResult]], "OT") + SUMIFS(Table1[[AwayWon]:[AwayWon]], Table1[[GameIsOver]:[GameIsOver]],1,Table1[[HomeTeam]:[HomeTeam]],$A28, Table1[[AwayTeam]:[AwayTeam]], U$1, Table1[[ActualResult]:[ActualResult]], "OT") + SUMIFS(Table1[[HomeWon]:[HomeWon]], Table1[[GameIsOver]:[GameIsOver]],1,Table1[[AwayTeam]:[AwayTeam]],$A28, Table1[[HomeTeam]:[HomeTeam]], U$1, Table1[[ActualResult]:[ActualResult]], "SO") + SUMIFS(Table1[[AwayWon]:[AwayWon]], Table1[[GameIsOver]:[GameIsOver]],1,Table1[[HomeTeam]:[HomeTeam]],$A28, Table1[[AwayTeam]:[AwayTeam]], U$1, Table1[[ActualResult]:[ActualResult]], "SO"),0))</f>
        <v>0-0-0</v>
      </c>
      <c r="V28" s="43" t="str">
        <f>_xlfn.CONCAT(TEXT(SUMIFS(Table1[[AwayWon]:[AwayWon]], Table1[[GameIsOver]:[GameIsOver]],1,Table1[[AwayTeam]:[AwayTeam]],$A28, Table1[[HomeTeam]:[HomeTeam]], V$1) + SUMIFS(Table1[[HomeWon]:[HomeWon]], Table1[[GameIsOver]:[GameIsOver]],1,Table1[[HomeTeam]:[HomeTeam]],$A28, Table1[[AwayTeam]:[AwayTeam]], V$1),0), "-", TEXT(SUMIFS(Table1[[HomeWon]:[HomeWon]], Table1[[GameIsOver]:[GameIsOver]],1,Table1[[AwayTeam]:[AwayTeam]],$A28, Table1[[HomeTeam]:[HomeTeam]], V$1, Table1[[ActualResult]:[ActualResult]], "REG") + SUMIFS(Table1[[AwayWon]:[AwayWon]], Table1[[GameIsOver]:[GameIsOver]],1,Table1[[HomeTeam]:[HomeTeam]],$A28, Table1[[AwayTeam]:[AwayTeam]], V$1, Table1[[ActualResult]:[ActualResult]], "REG"),0), "-", TEXT(SUMIFS(Table1[[HomeWon]:[HomeWon]], Table1[[GameIsOver]:[GameIsOver]],1,Table1[[AwayTeam]:[AwayTeam]],$A28, Table1[[HomeTeam]:[HomeTeam]], V$1, Table1[[ActualResult]:[ActualResult]], "OT") + SUMIFS(Table1[[AwayWon]:[AwayWon]], Table1[[GameIsOver]:[GameIsOver]],1,Table1[[HomeTeam]:[HomeTeam]],$A28, Table1[[AwayTeam]:[AwayTeam]], V$1, Table1[[ActualResult]:[ActualResult]], "OT") + SUMIFS(Table1[[HomeWon]:[HomeWon]], Table1[[GameIsOver]:[GameIsOver]],1,Table1[[AwayTeam]:[AwayTeam]],$A28, Table1[[HomeTeam]:[HomeTeam]], V$1, Table1[[ActualResult]:[ActualResult]], "SO") + SUMIFS(Table1[[AwayWon]:[AwayWon]], Table1[[GameIsOver]:[GameIsOver]],1,Table1[[HomeTeam]:[HomeTeam]],$A28, Table1[[AwayTeam]:[AwayTeam]], V$1, Table1[[ActualResult]:[ActualResult]], "SO"),0))</f>
        <v>0-0-1</v>
      </c>
      <c r="W28" s="43" t="str">
        <f>_xlfn.CONCAT(TEXT(SUMIFS(Table1[[AwayWon]:[AwayWon]], Table1[[GameIsOver]:[GameIsOver]],1,Table1[[AwayTeam]:[AwayTeam]],$A28, Table1[[HomeTeam]:[HomeTeam]], W$1) + SUMIFS(Table1[[HomeWon]:[HomeWon]], Table1[[GameIsOver]:[GameIsOver]],1,Table1[[HomeTeam]:[HomeTeam]],$A28, Table1[[AwayTeam]:[AwayTeam]], W$1),0), "-", TEXT(SUMIFS(Table1[[HomeWon]:[HomeWon]], Table1[[GameIsOver]:[GameIsOver]],1,Table1[[AwayTeam]:[AwayTeam]],$A28, Table1[[HomeTeam]:[HomeTeam]], W$1, Table1[[ActualResult]:[ActualResult]], "REG") + SUMIFS(Table1[[AwayWon]:[AwayWon]], Table1[[GameIsOver]:[GameIsOver]],1,Table1[[HomeTeam]:[HomeTeam]],$A28, Table1[[AwayTeam]:[AwayTeam]], W$1, Table1[[ActualResult]:[ActualResult]], "REG"),0), "-", TEXT(SUMIFS(Table1[[HomeWon]:[HomeWon]], Table1[[GameIsOver]:[GameIsOver]],1,Table1[[AwayTeam]:[AwayTeam]],$A28, Table1[[HomeTeam]:[HomeTeam]], W$1, Table1[[ActualResult]:[ActualResult]], "OT") + SUMIFS(Table1[[AwayWon]:[AwayWon]], Table1[[GameIsOver]:[GameIsOver]],1,Table1[[HomeTeam]:[HomeTeam]],$A28, Table1[[AwayTeam]:[AwayTeam]], W$1, Table1[[ActualResult]:[ActualResult]], "OT") + SUMIFS(Table1[[HomeWon]:[HomeWon]], Table1[[GameIsOver]:[GameIsOver]],1,Table1[[AwayTeam]:[AwayTeam]],$A28, Table1[[HomeTeam]:[HomeTeam]], W$1, Table1[[ActualResult]:[ActualResult]], "SO") + SUMIFS(Table1[[AwayWon]:[AwayWon]], Table1[[GameIsOver]:[GameIsOver]],1,Table1[[HomeTeam]:[HomeTeam]],$A28, Table1[[AwayTeam]:[AwayTeam]], W$1, Table1[[ActualResult]:[ActualResult]], "SO"),0))</f>
        <v>0-0-0</v>
      </c>
      <c r="X28" s="43" t="str">
        <f>_xlfn.CONCAT(TEXT(SUMIFS(Table1[[AwayWon]:[AwayWon]], Table1[[GameIsOver]:[GameIsOver]],1,Table1[[AwayTeam]:[AwayTeam]],$A28, Table1[[HomeTeam]:[HomeTeam]], X$1) + SUMIFS(Table1[[HomeWon]:[HomeWon]], Table1[[GameIsOver]:[GameIsOver]],1,Table1[[HomeTeam]:[HomeTeam]],$A28, Table1[[AwayTeam]:[AwayTeam]], X$1),0), "-", TEXT(SUMIFS(Table1[[HomeWon]:[HomeWon]], Table1[[GameIsOver]:[GameIsOver]],1,Table1[[AwayTeam]:[AwayTeam]],$A28, Table1[[HomeTeam]:[HomeTeam]], X$1, Table1[[ActualResult]:[ActualResult]], "REG") + SUMIFS(Table1[[AwayWon]:[AwayWon]], Table1[[GameIsOver]:[GameIsOver]],1,Table1[[HomeTeam]:[HomeTeam]],$A28, Table1[[AwayTeam]:[AwayTeam]], X$1, Table1[[ActualResult]:[ActualResult]], "REG"),0), "-", TEXT(SUMIFS(Table1[[HomeWon]:[HomeWon]], Table1[[GameIsOver]:[GameIsOver]],1,Table1[[AwayTeam]:[AwayTeam]],$A28, Table1[[HomeTeam]:[HomeTeam]], X$1, Table1[[ActualResult]:[ActualResult]], "OT") + SUMIFS(Table1[[AwayWon]:[AwayWon]], Table1[[GameIsOver]:[GameIsOver]],1,Table1[[HomeTeam]:[HomeTeam]],$A28, Table1[[AwayTeam]:[AwayTeam]], X$1, Table1[[ActualResult]:[ActualResult]], "OT") + SUMIFS(Table1[[HomeWon]:[HomeWon]], Table1[[GameIsOver]:[GameIsOver]],1,Table1[[AwayTeam]:[AwayTeam]],$A28, Table1[[HomeTeam]:[HomeTeam]], X$1, Table1[[ActualResult]:[ActualResult]], "SO") + SUMIFS(Table1[[AwayWon]:[AwayWon]], Table1[[GameIsOver]:[GameIsOver]],1,Table1[[HomeTeam]:[HomeTeam]],$A28, Table1[[AwayTeam]:[AwayTeam]], X$1, Table1[[ActualResult]:[ActualResult]], "SO"),0))</f>
        <v>0-0-0</v>
      </c>
      <c r="Y28" s="45" t="str">
        <f>_xlfn.CONCAT(TEXT(SUMIFS(Table1[[AwayWon]:[AwayWon]], Table1[[GameIsOver]:[GameIsOver]],1,Table1[[AwayTeam]:[AwayTeam]],$A28, Table1[[HomeTeam]:[HomeTeam]], Y$1) + SUMIFS(Table1[[HomeWon]:[HomeWon]], Table1[[GameIsOver]:[GameIsOver]],1,Table1[[HomeTeam]:[HomeTeam]],$A28, Table1[[AwayTeam]:[AwayTeam]], Y$1),0), "-", TEXT(SUMIFS(Table1[[HomeWon]:[HomeWon]], Table1[[GameIsOver]:[GameIsOver]],1,Table1[[AwayTeam]:[AwayTeam]],$A28, Table1[[HomeTeam]:[HomeTeam]], Y$1, Table1[[ActualResult]:[ActualResult]], "REG") + SUMIFS(Table1[[AwayWon]:[AwayWon]], Table1[[GameIsOver]:[GameIsOver]],1,Table1[[HomeTeam]:[HomeTeam]],$A28, Table1[[AwayTeam]:[AwayTeam]], Y$1, Table1[[ActualResult]:[ActualResult]], "REG"),0), "-", TEXT(SUMIFS(Table1[[HomeWon]:[HomeWon]], Table1[[GameIsOver]:[GameIsOver]],1,Table1[[AwayTeam]:[AwayTeam]],$A28, Table1[[HomeTeam]:[HomeTeam]], Y$1, Table1[[ActualResult]:[ActualResult]], "OT") + SUMIFS(Table1[[AwayWon]:[AwayWon]], Table1[[GameIsOver]:[GameIsOver]],1,Table1[[HomeTeam]:[HomeTeam]],$A28, Table1[[AwayTeam]:[AwayTeam]], Y$1, Table1[[ActualResult]:[ActualResult]], "OT") + SUMIFS(Table1[[HomeWon]:[HomeWon]], Table1[[GameIsOver]:[GameIsOver]],1,Table1[[AwayTeam]:[AwayTeam]],$A28, Table1[[HomeTeam]:[HomeTeam]], Y$1, Table1[[ActualResult]:[ActualResult]], "SO") + SUMIFS(Table1[[AwayWon]:[AwayWon]], Table1[[GameIsOver]:[GameIsOver]],1,Table1[[HomeTeam]:[HomeTeam]],$A28, Table1[[AwayTeam]:[AwayTeam]], Y$1, Table1[[ActualResult]:[ActualResult]], "SO"),0))</f>
        <v>0-0-0</v>
      </c>
      <c r="Z28" s="43" t="str">
        <f>_xlfn.CONCAT(TEXT(SUMIFS(Table1[[AwayWon]:[AwayWon]], Table1[[GameIsOver]:[GameIsOver]],1,Table1[[AwayTeam]:[AwayTeam]],$A28, Table1[[HomeTeam]:[HomeTeam]], Z$1) + SUMIFS(Table1[[HomeWon]:[HomeWon]], Table1[[GameIsOver]:[GameIsOver]],1,Table1[[HomeTeam]:[HomeTeam]],$A28, Table1[[AwayTeam]:[AwayTeam]], Z$1),0), "-", TEXT(SUMIFS(Table1[[HomeWon]:[HomeWon]], Table1[[GameIsOver]:[GameIsOver]],1,Table1[[AwayTeam]:[AwayTeam]],$A28, Table1[[HomeTeam]:[HomeTeam]], Z$1, Table1[[ActualResult]:[ActualResult]], "REG") + SUMIFS(Table1[[AwayWon]:[AwayWon]], Table1[[GameIsOver]:[GameIsOver]],1,Table1[[HomeTeam]:[HomeTeam]],$A28, Table1[[AwayTeam]:[AwayTeam]], Z$1, Table1[[ActualResult]:[ActualResult]], "REG"),0), "-", TEXT(SUMIFS(Table1[[HomeWon]:[HomeWon]], Table1[[GameIsOver]:[GameIsOver]],1,Table1[[AwayTeam]:[AwayTeam]],$A28, Table1[[HomeTeam]:[HomeTeam]], Z$1, Table1[[ActualResult]:[ActualResult]], "OT") + SUMIFS(Table1[[AwayWon]:[AwayWon]], Table1[[GameIsOver]:[GameIsOver]],1,Table1[[HomeTeam]:[HomeTeam]],$A28, Table1[[AwayTeam]:[AwayTeam]], Z$1, Table1[[ActualResult]:[ActualResult]], "OT") + SUMIFS(Table1[[HomeWon]:[HomeWon]], Table1[[GameIsOver]:[GameIsOver]],1,Table1[[AwayTeam]:[AwayTeam]],$A28, Table1[[HomeTeam]:[HomeTeam]], Z$1, Table1[[ActualResult]:[ActualResult]], "SO") + SUMIFS(Table1[[AwayWon]:[AwayWon]], Table1[[GameIsOver]:[GameIsOver]],1,Table1[[HomeTeam]:[HomeTeam]],$A28, Table1[[AwayTeam]:[AwayTeam]], Z$1, Table1[[ActualResult]:[ActualResult]], "SO"),0))</f>
        <v>0-0-0</v>
      </c>
      <c r="AA28" s="43" t="str">
        <f>_xlfn.CONCAT(TEXT(SUMIFS(Table1[[AwayWon]:[AwayWon]], Table1[[GameIsOver]:[GameIsOver]],1,Table1[[AwayTeam]:[AwayTeam]],$A28, Table1[[HomeTeam]:[HomeTeam]], AA$1) + SUMIFS(Table1[[HomeWon]:[HomeWon]], Table1[[GameIsOver]:[GameIsOver]],1,Table1[[HomeTeam]:[HomeTeam]],$A28, Table1[[AwayTeam]:[AwayTeam]], AA$1),0), "-", TEXT(SUMIFS(Table1[[HomeWon]:[HomeWon]], Table1[[GameIsOver]:[GameIsOver]],1,Table1[[AwayTeam]:[AwayTeam]],$A28, Table1[[HomeTeam]:[HomeTeam]], AA$1, Table1[[ActualResult]:[ActualResult]], "REG") + SUMIFS(Table1[[AwayWon]:[AwayWon]], Table1[[GameIsOver]:[GameIsOver]],1,Table1[[HomeTeam]:[HomeTeam]],$A28, Table1[[AwayTeam]:[AwayTeam]], AA$1, Table1[[ActualResult]:[ActualResult]], "REG"),0), "-", TEXT(SUMIFS(Table1[[HomeWon]:[HomeWon]], Table1[[GameIsOver]:[GameIsOver]],1,Table1[[AwayTeam]:[AwayTeam]],$A28, Table1[[HomeTeam]:[HomeTeam]], AA$1, Table1[[ActualResult]:[ActualResult]], "OT") + SUMIFS(Table1[[AwayWon]:[AwayWon]], Table1[[GameIsOver]:[GameIsOver]],1,Table1[[HomeTeam]:[HomeTeam]],$A28, Table1[[AwayTeam]:[AwayTeam]], AA$1, Table1[[ActualResult]:[ActualResult]], "OT") + SUMIFS(Table1[[HomeWon]:[HomeWon]], Table1[[GameIsOver]:[GameIsOver]],1,Table1[[AwayTeam]:[AwayTeam]],$A28, Table1[[HomeTeam]:[HomeTeam]], AA$1, Table1[[ActualResult]:[ActualResult]], "SO") + SUMIFS(Table1[[AwayWon]:[AwayWon]], Table1[[GameIsOver]:[GameIsOver]],1,Table1[[HomeTeam]:[HomeTeam]],$A28, Table1[[AwayTeam]:[AwayTeam]], AA$1, Table1[[ActualResult]:[ActualResult]], "SO"),0))</f>
        <v>0-0-0</v>
      </c>
      <c r="AB28" s="43" t="str">
        <f>_xlfn.CONCAT(TEXT(SUMIFS(Table1[[AwayWon]:[AwayWon]], Table1[[GameIsOver]:[GameIsOver]],1,Table1[[AwayTeam]:[AwayTeam]],$A28, Table1[[HomeTeam]:[HomeTeam]], AB$1) + SUMIFS(Table1[[HomeWon]:[HomeWon]], Table1[[GameIsOver]:[GameIsOver]],1,Table1[[HomeTeam]:[HomeTeam]],$A28, Table1[[AwayTeam]:[AwayTeam]], AB$1),0), "-", TEXT(SUMIFS(Table1[[HomeWon]:[HomeWon]], Table1[[GameIsOver]:[GameIsOver]],1,Table1[[AwayTeam]:[AwayTeam]],$A28, Table1[[HomeTeam]:[HomeTeam]], AB$1, Table1[[ActualResult]:[ActualResult]], "REG") + SUMIFS(Table1[[AwayWon]:[AwayWon]], Table1[[GameIsOver]:[GameIsOver]],1,Table1[[HomeTeam]:[HomeTeam]],$A28, Table1[[AwayTeam]:[AwayTeam]], AB$1, Table1[[ActualResult]:[ActualResult]], "REG"),0), "-", TEXT(SUMIFS(Table1[[HomeWon]:[HomeWon]], Table1[[GameIsOver]:[GameIsOver]],1,Table1[[AwayTeam]:[AwayTeam]],$A28, Table1[[HomeTeam]:[HomeTeam]], AB$1, Table1[[ActualResult]:[ActualResult]], "OT") + SUMIFS(Table1[[AwayWon]:[AwayWon]], Table1[[GameIsOver]:[GameIsOver]],1,Table1[[HomeTeam]:[HomeTeam]],$A28, Table1[[AwayTeam]:[AwayTeam]], AB$1, Table1[[ActualResult]:[ActualResult]], "OT") + SUMIFS(Table1[[HomeWon]:[HomeWon]], Table1[[GameIsOver]:[GameIsOver]],1,Table1[[AwayTeam]:[AwayTeam]],$A28, Table1[[HomeTeam]:[HomeTeam]], AB$1, Table1[[ActualResult]:[ActualResult]], "SO") + SUMIFS(Table1[[AwayWon]:[AwayWon]], Table1[[GameIsOver]:[GameIsOver]],1,Table1[[HomeTeam]:[HomeTeam]],$A28, Table1[[AwayTeam]:[AwayTeam]], AB$1, Table1[[ActualResult]:[ActualResult]], "SO"),0))</f>
        <v>0-0-0</v>
      </c>
      <c r="AC28" s="43" t="str">
        <f>_xlfn.CONCAT(TEXT(SUMIFS(Table1[[AwayWon]:[AwayWon]], Table1[[GameIsOver]:[GameIsOver]],1,Table1[[AwayTeam]:[AwayTeam]],$A28, Table1[[HomeTeam]:[HomeTeam]], AC$1) + SUMIFS(Table1[[HomeWon]:[HomeWon]], Table1[[GameIsOver]:[GameIsOver]],1,Table1[[HomeTeam]:[HomeTeam]],$A28, Table1[[AwayTeam]:[AwayTeam]], AC$1),0), "-", TEXT(SUMIFS(Table1[[HomeWon]:[HomeWon]], Table1[[GameIsOver]:[GameIsOver]],1,Table1[[AwayTeam]:[AwayTeam]],$A28, Table1[[HomeTeam]:[HomeTeam]], AC$1, Table1[[ActualResult]:[ActualResult]], "REG") + SUMIFS(Table1[[AwayWon]:[AwayWon]], Table1[[GameIsOver]:[GameIsOver]],1,Table1[[HomeTeam]:[HomeTeam]],$A28, Table1[[AwayTeam]:[AwayTeam]], AC$1, Table1[[ActualResult]:[ActualResult]], "REG"),0), "-", TEXT(SUMIFS(Table1[[HomeWon]:[HomeWon]], Table1[[GameIsOver]:[GameIsOver]],1,Table1[[AwayTeam]:[AwayTeam]],$A28, Table1[[HomeTeam]:[HomeTeam]], AC$1, Table1[[ActualResult]:[ActualResult]], "OT") + SUMIFS(Table1[[AwayWon]:[AwayWon]], Table1[[GameIsOver]:[GameIsOver]],1,Table1[[HomeTeam]:[HomeTeam]],$A28, Table1[[AwayTeam]:[AwayTeam]], AC$1, Table1[[ActualResult]:[ActualResult]], "OT") + SUMIFS(Table1[[HomeWon]:[HomeWon]], Table1[[GameIsOver]:[GameIsOver]],1,Table1[[AwayTeam]:[AwayTeam]],$A28, Table1[[HomeTeam]:[HomeTeam]], AC$1, Table1[[ActualResult]:[ActualResult]], "SO") + SUMIFS(Table1[[AwayWon]:[AwayWon]], Table1[[GameIsOver]:[GameIsOver]],1,Table1[[HomeTeam]:[HomeTeam]],$A28, Table1[[AwayTeam]:[AwayTeam]], AC$1, Table1[[ActualResult]:[ActualResult]], "SO"),0))</f>
        <v>0-0-0</v>
      </c>
      <c r="AD28" s="43" t="str">
        <f>_xlfn.CONCAT(TEXT(SUMIFS(Table1[[AwayWon]:[AwayWon]], Table1[[GameIsOver]:[GameIsOver]],1,Table1[[AwayTeam]:[AwayTeam]],$A28, Table1[[HomeTeam]:[HomeTeam]], AD$1) + SUMIFS(Table1[[HomeWon]:[HomeWon]], Table1[[GameIsOver]:[GameIsOver]],1,Table1[[HomeTeam]:[HomeTeam]],$A28, Table1[[AwayTeam]:[AwayTeam]], AD$1),0), "-", TEXT(SUMIFS(Table1[[HomeWon]:[HomeWon]], Table1[[GameIsOver]:[GameIsOver]],1,Table1[[AwayTeam]:[AwayTeam]],$A28, Table1[[HomeTeam]:[HomeTeam]], AD$1, Table1[[ActualResult]:[ActualResult]], "REG") + SUMIFS(Table1[[AwayWon]:[AwayWon]], Table1[[GameIsOver]:[GameIsOver]],1,Table1[[HomeTeam]:[HomeTeam]],$A28, Table1[[AwayTeam]:[AwayTeam]], AD$1, Table1[[ActualResult]:[ActualResult]], "REG"),0), "-", TEXT(SUMIFS(Table1[[HomeWon]:[HomeWon]], Table1[[GameIsOver]:[GameIsOver]],1,Table1[[AwayTeam]:[AwayTeam]],$A28, Table1[[HomeTeam]:[HomeTeam]], AD$1, Table1[[ActualResult]:[ActualResult]], "OT") + SUMIFS(Table1[[AwayWon]:[AwayWon]], Table1[[GameIsOver]:[GameIsOver]],1,Table1[[HomeTeam]:[HomeTeam]],$A28, Table1[[AwayTeam]:[AwayTeam]], AD$1, Table1[[ActualResult]:[ActualResult]], "OT") + SUMIFS(Table1[[HomeWon]:[HomeWon]], Table1[[GameIsOver]:[GameIsOver]],1,Table1[[AwayTeam]:[AwayTeam]],$A28, Table1[[HomeTeam]:[HomeTeam]], AD$1, Table1[[ActualResult]:[ActualResult]], "SO") + SUMIFS(Table1[[AwayWon]:[AwayWon]], Table1[[GameIsOver]:[GameIsOver]],1,Table1[[HomeTeam]:[HomeTeam]],$A28, Table1[[AwayTeam]:[AwayTeam]], AD$1, Table1[[ActualResult]:[ActualResult]], "SO"),0))</f>
        <v>0-0-0</v>
      </c>
      <c r="AE28" s="43" t="str">
        <f>_xlfn.CONCAT(TEXT(SUMIFS(Table1[[AwayWon]:[AwayWon]], Table1[[GameIsOver]:[GameIsOver]],1,Table1[[AwayTeam]:[AwayTeam]],$A28, Table1[[HomeTeam]:[HomeTeam]], AE$1) + SUMIFS(Table1[[HomeWon]:[HomeWon]], Table1[[GameIsOver]:[GameIsOver]],1,Table1[[HomeTeam]:[HomeTeam]],$A28, Table1[[AwayTeam]:[AwayTeam]], AE$1),0), "-", TEXT(SUMIFS(Table1[[HomeWon]:[HomeWon]], Table1[[GameIsOver]:[GameIsOver]],1,Table1[[AwayTeam]:[AwayTeam]],$A28, Table1[[HomeTeam]:[HomeTeam]], AE$1, Table1[[ActualResult]:[ActualResult]], "REG") + SUMIFS(Table1[[AwayWon]:[AwayWon]], Table1[[GameIsOver]:[GameIsOver]],1,Table1[[HomeTeam]:[HomeTeam]],$A28, Table1[[AwayTeam]:[AwayTeam]], AE$1, Table1[[ActualResult]:[ActualResult]], "REG"),0), "-", TEXT(SUMIFS(Table1[[HomeWon]:[HomeWon]], Table1[[GameIsOver]:[GameIsOver]],1,Table1[[AwayTeam]:[AwayTeam]],$A28, Table1[[HomeTeam]:[HomeTeam]], AE$1, Table1[[ActualResult]:[ActualResult]], "OT") + SUMIFS(Table1[[AwayWon]:[AwayWon]], Table1[[GameIsOver]:[GameIsOver]],1,Table1[[HomeTeam]:[HomeTeam]],$A28, Table1[[AwayTeam]:[AwayTeam]], AE$1, Table1[[ActualResult]:[ActualResult]], "OT") + SUMIFS(Table1[[HomeWon]:[HomeWon]], Table1[[GameIsOver]:[GameIsOver]],1,Table1[[AwayTeam]:[AwayTeam]],$A28, Table1[[HomeTeam]:[HomeTeam]], AE$1, Table1[[ActualResult]:[ActualResult]], "SO") + SUMIFS(Table1[[AwayWon]:[AwayWon]], Table1[[GameIsOver]:[GameIsOver]],1,Table1[[HomeTeam]:[HomeTeam]],$A28, Table1[[AwayTeam]:[AwayTeam]], AE$1, Table1[[ActualResult]:[ActualResult]], "SO"),0))</f>
        <v>0-0-0</v>
      </c>
      <c r="AF28" s="43" t="str">
        <f>_xlfn.CONCAT(TEXT(SUMIFS(Table1[[AwayWon]:[AwayWon]], Table1[[GameIsOver]:[GameIsOver]],1,Table1[[AwayTeam]:[AwayTeam]],$A28, Table1[[HomeTeam]:[HomeTeam]], AF$1) + SUMIFS(Table1[[HomeWon]:[HomeWon]], Table1[[GameIsOver]:[GameIsOver]],1,Table1[[HomeTeam]:[HomeTeam]],$A28, Table1[[AwayTeam]:[AwayTeam]], AF$1),0), "-", TEXT(SUMIFS(Table1[[HomeWon]:[HomeWon]], Table1[[GameIsOver]:[GameIsOver]],1,Table1[[AwayTeam]:[AwayTeam]],$A28, Table1[[HomeTeam]:[HomeTeam]], AF$1, Table1[[ActualResult]:[ActualResult]], "REG") + SUMIFS(Table1[[AwayWon]:[AwayWon]], Table1[[GameIsOver]:[GameIsOver]],1,Table1[[HomeTeam]:[HomeTeam]],$A28, Table1[[AwayTeam]:[AwayTeam]], AF$1, Table1[[ActualResult]:[ActualResult]], "REG"),0), "-", TEXT(SUMIFS(Table1[[HomeWon]:[HomeWon]], Table1[[GameIsOver]:[GameIsOver]],1,Table1[[AwayTeam]:[AwayTeam]],$A28, Table1[[HomeTeam]:[HomeTeam]], AF$1, Table1[[ActualResult]:[ActualResult]], "OT") + SUMIFS(Table1[[AwayWon]:[AwayWon]], Table1[[GameIsOver]:[GameIsOver]],1,Table1[[HomeTeam]:[HomeTeam]],$A28, Table1[[AwayTeam]:[AwayTeam]], AF$1, Table1[[ActualResult]:[ActualResult]], "OT") + SUMIFS(Table1[[HomeWon]:[HomeWon]], Table1[[GameIsOver]:[GameIsOver]],1,Table1[[AwayTeam]:[AwayTeam]],$A28, Table1[[HomeTeam]:[HomeTeam]], AF$1, Table1[[ActualResult]:[ActualResult]], "SO") + SUMIFS(Table1[[AwayWon]:[AwayWon]], Table1[[GameIsOver]:[GameIsOver]],1,Table1[[HomeTeam]:[HomeTeam]],$A28, Table1[[AwayTeam]:[AwayTeam]], AF$1, Table1[[ActualResult]:[ActualResult]], "SO"),0))</f>
        <v>0-0-0</v>
      </c>
      <c r="AG28" s="43" t="str">
        <f>_xlfn.CONCAT(TEXT(SUMIFS(Table1[[AwayWon]:[AwayWon]], Table1[[GameIsOver]:[GameIsOver]],1,Table1[[AwayTeam]:[AwayTeam]],$A28, Table1[[HomeTeam]:[HomeTeam]], AG$1) + SUMIFS(Table1[[HomeWon]:[HomeWon]], Table1[[GameIsOver]:[GameIsOver]],1,Table1[[HomeTeam]:[HomeTeam]],$A28, Table1[[AwayTeam]:[AwayTeam]], AG$1),0), "-", TEXT(SUMIFS(Table1[[HomeWon]:[HomeWon]], Table1[[GameIsOver]:[GameIsOver]],1,Table1[[AwayTeam]:[AwayTeam]],$A28, Table1[[HomeTeam]:[HomeTeam]], AG$1, Table1[[ActualResult]:[ActualResult]], "REG") + SUMIFS(Table1[[AwayWon]:[AwayWon]], Table1[[GameIsOver]:[GameIsOver]],1,Table1[[HomeTeam]:[HomeTeam]],$A28, Table1[[AwayTeam]:[AwayTeam]], AG$1, Table1[[ActualResult]:[ActualResult]], "REG"),0), "-", TEXT(SUMIFS(Table1[[HomeWon]:[HomeWon]], Table1[[GameIsOver]:[GameIsOver]],1,Table1[[AwayTeam]:[AwayTeam]],$A28, Table1[[HomeTeam]:[HomeTeam]], AG$1, Table1[[ActualResult]:[ActualResult]], "OT") + SUMIFS(Table1[[AwayWon]:[AwayWon]], Table1[[GameIsOver]:[GameIsOver]],1,Table1[[HomeTeam]:[HomeTeam]],$A28, Table1[[AwayTeam]:[AwayTeam]], AG$1, Table1[[ActualResult]:[ActualResult]], "OT") + SUMIFS(Table1[[HomeWon]:[HomeWon]], Table1[[GameIsOver]:[GameIsOver]],1,Table1[[AwayTeam]:[AwayTeam]],$A28, Table1[[HomeTeam]:[HomeTeam]], AG$1, Table1[[ActualResult]:[ActualResult]], "SO") + SUMIFS(Table1[[AwayWon]:[AwayWon]], Table1[[GameIsOver]:[GameIsOver]],1,Table1[[HomeTeam]:[HomeTeam]],$A28, Table1[[AwayTeam]:[AwayTeam]], AG$1, Table1[[ActualResult]:[ActualResult]], "SO"),0))</f>
        <v>0-0-0</v>
      </c>
    </row>
    <row r="29" spans="1:33" x14ac:dyDescent="0.25">
      <c r="A29" s="17" t="s">
        <v>17</v>
      </c>
      <c r="B29" s="43" t="str">
        <f>_xlfn.CONCAT(TEXT(SUMIFS(Table1[[AwayWon]:[AwayWon]], Table1[[GameIsOver]:[GameIsOver]],1,Table1[[AwayTeam]:[AwayTeam]],$A29, Table1[[HomeTeam]:[HomeTeam]], B$1) + SUMIFS(Table1[[HomeWon]:[HomeWon]], Table1[[GameIsOver]:[GameIsOver]],1,Table1[[HomeTeam]:[HomeTeam]],$A29, Table1[[AwayTeam]:[AwayTeam]], B$1),0), "-", TEXT(SUMIFS(Table1[[HomeWon]:[HomeWon]], Table1[[GameIsOver]:[GameIsOver]],1,Table1[[AwayTeam]:[AwayTeam]],$A29, Table1[[HomeTeam]:[HomeTeam]], B$1, Table1[[ActualResult]:[ActualResult]], "REG") + SUMIFS(Table1[[AwayWon]:[AwayWon]], Table1[[GameIsOver]:[GameIsOver]],1,Table1[[HomeTeam]:[HomeTeam]],$A29, Table1[[AwayTeam]:[AwayTeam]], B$1, Table1[[ActualResult]:[ActualResult]], "REG"),0), "-", TEXT(SUMIFS(Table1[[HomeWon]:[HomeWon]], Table1[[GameIsOver]:[GameIsOver]],1,Table1[[AwayTeam]:[AwayTeam]],$A29, Table1[[HomeTeam]:[HomeTeam]], B$1, Table1[[ActualResult]:[ActualResult]], "OT") + SUMIFS(Table1[[AwayWon]:[AwayWon]], Table1[[GameIsOver]:[GameIsOver]],1,Table1[[HomeTeam]:[HomeTeam]],$A29, Table1[[AwayTeam]:[AwayTeam]], B$1, Table1[[ActualResult]:[ActualResult]], "OT") + SUMIFS(Table1[[HomeWon]:[HomeWon]], Table1[[GameIsOver]:[GameIsOver]],1,Table1[[AwayTeam]:[AwayTeam]],$A29, Table1[[HomeTeam]:[HomeTeam]], B$1, Table1[[ActualResult]:[ActualResult]], "SO") + SUMIFS(Table1[[AwayWon]:[AwayWon]], Table1[[GameIsOver]:[GameIsOver]],1,Table1[[HomeTeam]:[HomeTeam]],$A29, Table1[[AwayTeam]:[AwayTeam]], B$1, Table1[[ActualResult]:[ActualResult]], "SO"),0))</f>
        <v>0-0-0</v>
      </c>
      <c r="C29" s="43" t="str">
        <f>_xlfn.CONCAT(TEXT(SUMIFS(Table1[[AwayWon]:[AwayWon]], Table1[[GameIsOver]:[GameIsOver]],1,Table1[[AwayTeam]:[AwayTeam]],$A29, Table1[[HomeTeam]:[HomeTeam]], C$1) + SUMIFS(Table1[[HomeWon]:[HomeWon]], Table1[[GameIsOver]:[GameIsOver]],1,Table1[[HomeTeam]:[HomeTeam]],$A29, Table1[[AwayTeam]:[AwayTeam]], C$1),0), "-", TEXT(SUMIFS(Table1[[HomeWon]:[HomeWon]], Table1[[GameIsOver]:[GameIsOver]],1,Table1[[AwayTeam]:[AwayTeam]],$A29, Table1[[HomeTeam]:[HomeTeam]], C$1, Table1[[ActualResult]:[ActualResult]], "REG") + SUMIFS(Table1[[AwayWon]:[AwayWon]], Table1[[GameIsOver]:[GameIsOver]],1,Table1[[HomeTeam]:[HomeTeam]],$A29, Table1[[AwayTeam]:[AwayTeam]], C$1, Table1[[ActualResult]:[ActualResult]], "REG"),0), "-", TEXT(SUMIFS(Table1[[HomeWon]:[HomeWon]], Table1[[GameIsOver]:[GameIsOver]],1,Table1[[AwayTeam]:[AwayTeam]],$A29, Table1[[HomeTeam]:[HomeTeam]], C$1, Table1[[ActualResult]:[ActualResult]], "OT") + SUMIFS(Table1[[AwayWon]:[AwayWon]], Table1[[GameIsOver]:[GameIsOver]],1,Table1[[HomeTeam]:[HomeTeam]],$A29, Table1[[AwayTeam]:[AwayTeam]], C$1, Table1[[ActualResult]:[ActualResult]], "OT") + SUMIFS(Table1[[HomeWon]:[HomeWon]], Table1[[GameIsOver]:[GameIsOver]],1,Table1[[AwayTeam]:[AwayTeam]],$A29, Table1[[HomeTeam]:[HomeTeam]], C$1, Table1[[ActualResult]:[ActualResult]], "SO") + SUMIFS(Table1[[AwayWon]:[AwayWon]], Table1[[GameIsOver]:[GameIsOver]],1,Table1[[HomeTeam]:[HomeTeam]],$A29, Table1[[AwayTeam]:[AwayTeam]], C$1, Table1[[ActualResult]:[ActualResult]], "SO"),0))</f>
        <v>0-0-0</v>
      </c>
      <c r="D29" s="43" t="str">
        <f>_xlfn.CONCAT(TEXT(SUMIFS(Table1[[AwayWon]:[AwayWon]], Table1[[GameIsOver]:[GameIsOver]],1,Table1[[AwayTeam]:[AwayTeam]],$A29, Table1[[HomeTeam]:[HomeTeam]], D$1) + SUMIFS(Table1[[HomeWon]:[HomeWon]], Table1[[GameIsOver]:[GameIsOver]],1,Table1[[HomeTeam]:[HomeTeam]],$A29, Table1[[AwayTeam]:[AwayTeam]], D$1),0), "-", TEXT(SUMIFS(Table1[[HomeWon]:[HomeWon]], Table1[[GameIsOver]:[GameIsOver]],1,Table1[[AwayTeam]:[AwayTeam]],$A29, Table1[[HomeTeam]:[HomeTeam]], D$1, Table1[[ActualResult]:[ActualResult]], "REG") + SUMIFS(Table1[[AwayWon]:[AwayWon]], Table1[[GameIsOver]:[GameIsOver]],1,Table1[[HomeTeam]:[HomeTeam]],$A29, Table1[[AwayTeam]:[AwayTeam]], D$1, Table1[[ActualResult]:[ActualResult]], "REG"),0), "-", TEXT(SUMIFS(Table1[[HomeWon]:[HomeWon]], Table1[[GameIsOver]:[GameIsOver]],1,Table1[[AwayTeam]:[AwayTeam]],$A29, Table1[[HomeTeam]:[HomeTeam]], D$1, Table1[[ActualResult]:[ActualResult]], "OT") + SUMIFS(Table1[[AwayWon]:[AwayWon]], Table1[[GameIsOver]:[GameIsOver]],1,Table1[[HomeTeam]:[HomeTeam]],$A29, Table1[[AwayTeam]:[AwayTeam]], D$1, Table1[[ActualResult]:[ActualResult]], "OT") + SUMIFS(Table1[[HomeWon]:[HomeWon]], Table1[[GameIsOver]:[GameIsOver]],1,Table1[[AwayTeam]:[AwayTeam]],$A29, Table1[[HomeTeam]:[HomeTeam]], D$1, Table1[[ActualResult]:[ActualResult]], "SO") + SUMIFS(Table1[[AwayWon]:[AwayWon]], Table1[[GameIsOver]:[GameIsOver]],1,Table1[[HomeTeam]:[HomeTeam]],$A29, Table1[[AwayTeam]:[AwayTeam]], D$1, Table1[[ActualResult]:[ActualResult]], "SO"),0))</f>
        <v>0-0-0</v>
      </c>
      <c r="E29" s="43" t="str">
        <f>_xlfn.CONCAT(TEXT(SUMIFS(Table1[[AwayWon]:[AwayWon]], Table1[[GameIsOver]:[GameIsOver]],1,Table1[[AwayTeam]:[AwayTeam]],$A29, Table1[[HomeTeam]:[HomeTeam]], E$1) + SUMIFS(Table1[[HomeWon]:[HomeWon]], Table1[[GameIsOver]:[GameIsOver]],1,Table1[[HomeTeam]:[HomeTeam]],$A29, Table1[[AwayTeam]:[AwayTeam]], E$1),0), "-", TEXT(SUMIFS(Table1[[HomeWon]:[HomeWon]], Table1[[GameIsOver]:[GameIsOver]],1,Table1[[AwayTeam]:[AwayTeam]],$A29, Table1[[HomeTeam]:[HomeTeam]], E$1, Table1[[ActualResult]:[ActualResult]], "REG") + SUMIFS(Table1[[AwayWon]:[AwayWon]], Table1[[GameIsOver]:[GameIsOver]],1,Table1[[HomeTeam]:[HomeTeam]],$A29, Table1[[AwayTeam]:[AwayTeam]], E$1, Table1[[ActualResult]:[ActualResult]], "REG"),0), "-", TEXT(SUMIFS(Table1[[HomeWon]:[HomeWon]], Table1[[GameIsOver]:[GameIsOver]],1,Table1[[AwayTeam]:[AwayTeam]],$A29, Table1[[HomeTeam]:[HomeTeam]], E$1, Table1[[ActualResult]:[ActualResult]], "OT") + SUMIFS(Table1[[AwayWon]:[AwayWon]], Table1[[GameIsOver]:[GameIsOver]],1,Table1[[HomeTeam]:[HomeTeam]],$A29, Table1[[AwayTeam]:[AwayTeam]], E$1, Table1[[ActualResult]:[ActualResult]], "OT") + SUMIFS(Table1[[HomeWon]:[HomeWon]], Table1[[GameIsOver]:[GameIsOver]],1,Table1[[AwayTeam]:[AwayTeam]],$A29, Table1[[HomeTeam]:[HomeTeam]], E$1, Table1[[ActualResult]:[ActualResult]], "SO") + SUMIFS(Table1[[AwayWon]:[AwayWon]], Table1[[GameIsOver]:[GameIsOver]],1,Table1[[HomeTeam]:[HomeTeam]],$A29, Table1[[AwayTeam]:[AwayTeam]], E$1, Table1[[ActualResult]:[ActualResult]], "SO"),0))</f>
        <v>0-0-0</v>
      </c>
      <c r="F29" s="43" t="str">
        <f>_xlfn.CONCAT(TEXT(SUMIFS(Table1[[AwayWon]:[AwayWon]], Table1[[GameIsOver]:[GameIsOver]],1,Table1[[AwayTeam]:[AwayTeam]],$A29, Table1[[HomeTeam]:[HomeTeam]], F$1) + SUMIFS(Table1[[HomeWon]:[HomeWon]], Table1[[GameIsOver]:[GameIsOver]],1,Table1[[HomeTeam]:[HomeTeam]],$A29, Table1[[AwayTeam]:[AwayTeam]], F$1),0), "-", TEXT(SUMIFS(Table1[[HomeWon]:[HomeWon]], Table1[[GameIsOver]:[GameIsOver]],1,Table1[[AwayTeam]:[AwayTeam]],$A29, Table1[[HomeTeam]:[HomeTeam]], F$1, Table1[[ActualResult]:[ActualResult]], "REG") + SUMIFS(Table1[[AwayWon]:[AwayWon]], Table1[[GameIsOver]:[GameIsOver]],1,Table1[[HomeTeam]:[HomeTeam]],$A29, Table1[[AwayTeam]:[AwayTeam]], F$1, Table1[[ActualResult]:[ActualResult]], "REG"),0), "-", TEXT(SUMIFS(Table1[[HomeWon]:[HomeWon]], Table1[[GameIsOver]:[GameIsOver]],1,Table1[[AwayTeam]:[AwayTeam]],$A29, Table1[[HomeTeam]:[HomeTeam]], F$1, Table1[[ActualResult]:[ActualResult]], "OT") + SUMIFS(Table1[[AwayWon]:[AwayWon]], Table1[[GameIsOver]:[GameIsOver]],1,Table1[[HomeTeam]:[HomeTeam]],$A29, Table1[[AwayTeam]:[AwayTeam]], F$1, Table1[[ActualResult]:[ActualResult]], "OT") + SUMIFS(Table1[[HomeWon]:[HomeWon]], Table1[[GameIsOver]:[GameIsOver]],1,Table1[[AwayTeam]:[AwayTeam]],$A29, Table1[[HomeTeam]:[HomeTeam]], F$1, Table1[[ActualResult]:[ActualResult]], "SO") + SUMIFS(Table1[[AwayWon]:[AwayWon]], Table1[[GameIsOver]:[GameIsOver]],1,Table1[[HomeTeam]:[HomeTeam]],$A29, Table1[[AwayTeam]:[AwayTeam]], F$1, Table1[[ActualResult]:[ActualResult]], "SO"),0))</f>
        <v>0-0-0</v>
      </c>
      <c r="G29" s="43" t="str">
        <f>_xlfn.CONCAT(TEXT(SUMIFS(Table1[[AwayWon]:[AwayWon]], Table1[[GameIsOver]:[GameIsOver]],1,Table1[[AwayTeam]:[AwayTeam]],$A29, Table1[[HomeTeam]:[HomeTeam]], G$1) + SUMIFS(Table1[[HomeWon]:[HomeWon]], Table1[[GameIsOver]:[GameIsOver]],1,Table1[[HomeTeam]:[HomeTeam]],$A29, Table1[[AwayTeam]:[AwayTeam]], G$1),0), "-", TEXT(SUMIFS(Table1[[HomeWon]:[HomeWon]], Table1[[GameIsOver]:[GameIsOver]],1,Table1[[AwayTeam]:[AwayTeam]],$A29, Table1[[HomeTeam]:[HomeTeam]], G$1, Table1[[ActualResult]:[ActualResult]], "REG") + SUMIFS(Table1[[AwayWon]:[AwayWon]], Table1[[GameIsOver]:[GameIsOver]],1,Table1[[HomeTeam]:[HomeTeam]],$A29, Table1[[AwayTeam]:[AwayTeam]], G$1, Table1[[ActualResult]:[ActualResult]], "REG"),0), "-", TEXT(SUMIFS(Table1[[HomeWon]:[HomeWon]], Table1[[GameIsOver]:[GameIsOver]],1,Table1[[AwayTeam]:[AwayTeam]],$A29, Table1[[HomeTeam]:[HomeTeam]], G$1, Table1[[ActualResult]:[ActualResult]], "OT") + SUMIFS(Table1[[AwayWon]:[AwayWon]], Table1[[GameIsOver]:[GameIsOver]],1,Table1[[HomeTeam]:[HomeTeam]],$A29, Table1[[AwayTeam]:[AwayTeam]], G$1, Table1[[ActualResult]:[ActualResult]], "OT") + SUMIFS(Table1[[HomeWon]:[HomeWon]], Table1[[GameIsOver]:[GameIsOver]],1,Table1[[AwayTeam]:[AwayTeam]],$A29, Table1[[HomeTeam]:[HomeTeam]], G$1, Table1[[ActualResult]:[ActualResult]], "SO") + SUMIFS(Table1[[AwayWon]:[AwayWon]], Table1[[GameIsOver]:[GameIsOver]],1,Table1[[HomeTeam]:[HomeTeam]],$A29, Table1[[AwayTeam]:[AwayTeam]], G$1, Table1[[ActualResult]:[ActualResult]], "SO"),0))</f>
        <v>1-0-0</v>
      </c>
      <c r="H29" s="43" t="str">
        <f>_xlfn.CONCAT(TEXT(SUMIFS(Table1[[AwayWon]:[AwayWon]], Table1[[GameIsOver]:[GameIsOver]],1,Table1[[AwayTeam]:[AwayTeam]],$A29, Table1[[HomeTeam]:[HomeTeam]], H$1) + SUMIFS(Table1[[HomeWon]:[HomeWon]], Table1[[GameIsOver]:[GameIsOver]],1,Table1[[HomeTeam]:[HomeTeam]],$A29, Table1[[AwayTeam]:[AwayTeam]], H$1),0), "-", TEXT(SUMIFS(Table1[[HomeWon]:[HomeWon]], Table1[[GameIsOver]:[GameIsOver]],1,Table1[[AwayTeam]:[AwayTeam]],$A29, Table1[[HomeTeam]:[HomeTeam]], H$1, Table1[[ActualResult]:[ActualResult]], "REG") + SUMIFS(Table1[[AwayWon]:[AwayWon]], Table1[[GameIsOver]:[GameIsOver]],1,Table1[[HomeTeam]:[HomeTeam]],$A29, Table1[[AwayTeam]:[AwayTeam]], H$1, Table1[[ActualResult]:[ActualResult]], "REG"),0), "-", TEXT(SUMIFS(Table1[[HomeWon]:[HomeWon]], Table1[[GameIsOver]:[GameIsOver]],1,Table1[[AwayTeam]:[AwayTeam]],$A29, Table1[[HomeTeam]:[HomeTeam]], H$1, Table1[[ActualResult]:[ActualResult]], "OT") + SUMIFS(Table1[[AwayWon]:[AwayWon]], Table1[[GameIsOver]:[GameIsOver]],1,Table1[[HomeTeam]:[HomeTeam]],$A29, Table1[[AwayTeam]:[AwayTeam]], H$1, Table1[[ActualResult]:[ActualResult]], "OT") + SUMIFS(Table1[[HomeWon]:[HomeWon]], Table1[[GameIsOver]:[GameIsOver]],1,Table1[[AwayTeam]:[AwayTeam]],$A29, Table1[[HomeTeam]:[HomeTeam]], H$1, Table1[[ActualResult]:[ActualResult]], "SO") + SUMIFS(Table1[[AwayWon]:[AwayWon]], Table1[[GameIsOver]:[GameIsOver]],1,Table1[[HomeTeam]:[HomeTeam]],$A29, Table1[[AwayTeam]:[AwayTeam]], H$1, Table1[[ActualResult]:[ActualResult]], "SO"),0))</f>
        <v>0-0-0</v>
      </c>
      <c r="I29" s="45" t="str">
        <f>_xlfn.CONCAT(TEXT(SUMIFS(Table1[[AwayWon]:[AwayWon]], Table1[[GameIsOver]:[GameIsOver]],1,Table1[[AwayTeam]:[AwayTeam]],$A29, Table1[[HomeTeam]:[HomeTeam]], I$1) + SUMIFS(Table1[[HomeWon]:[HomeWon]], Table1[[GameIsOver]:[GameIsOver]],1,Table1[[HomeTeam]:[HomeTeam]],$A29, Table1[[AwayTeam]:[AwayTeam]], I$1),0), "-", TEXT(SUMIFS(Table1[[HomeWon]:[HomeWon]], Table1[[GameIsOver]:[GameIsOver]],1,Table1[[AwayTeam]:[AwayTeam]],$A29, Table1[[HomeTeam]:[HomeTeam]], I$1, Table1[[ActualResult]:[ActualResult]], "REG") + SUMIFS(Table1[[AwayWon]:[AwayWon]], Table1[[GameIsOver]:[GameIsOver]],1,Table1[[HomeTeam]:[HomeTeam]],$A29, Table1[[AwayTeam]:[AwayTeam]], I$1, Table1[[ActualResult]:[ActualResult]], "REG"),0), "-", TEXT(SUMIFS(Table1[[HomeWon]:[HomeWon]], Table1[[GameIsOver]:[GameIsOver]],1,Table1[[AwayTeam]:[AwayTeam]],$A29, Table1[[HomeTeam]:[HomeTeam]], I$1, Table1[[ActualResult]:[ActualResult]], "OT") + SUMIFS(Table1[[AwayWon]:[AwayWon]], Table1[[GameIsOver]:[GameIsOver]],1,Table1[[HomeTeam]:[HomeTeam]],$A29, Table1[[AwayTeam]:[AwayTeam]], I$1, Table1[[ActualResult]:[ActualResult]], "OT") + SUMIFS(Table1[[HomeWon]:[HomeWon]], Table1[[GameIsOver]:[GameIsOver]],1,Table1[[AwayTeam]:[AwayTeam]],$A29, Table1[[HomeTeam]:[HomeTeam]], I$1, Table1[[ActualResult]:[ActualResult]], "SO") + SUMIFS(Table1[[AwayWon]:[AwayWon]], Table1[[GameIsOver]:[GameIsOver]],1,Table1[[HomeTeam]:[HomeTeam]],$A29, Table1[[AwayTeam]:[AwayTeam]], I$1, Table1[[ActualResult]:[ActualResult]], "SO"),0))</f>
        <v>0-0-0</v>
      </c>
      <c r="J29" s="43" t="str">
        <f>_xlfn.CONCAT(TEXT(SUMIFS(Table1[[AwayWon]:[AwayWon]], Table1[[GameIsOver]:[GameIsOver]],1,Table1[[AwayTeam]:[AwayTeam]],$A29, Table1[[HomeTeam]:[HomeTeam]], J$1) + SUMIFS(Table1[[HomeWon]:[HomeWon]], Table1[[GameIsOver]:[GameIsOver]],1,Table1[[HomeTeam]:[HomeTeam]],$A29, Table1[[AwayTeam]:[AwayTeam]], J$1),0), "-", TEXT(SUMIFS(Table1[[HomeWon]:[HomeWon]], Table1[[GameIsOver]:[GameIsOver]],1,Table1[[AwayTeam]:[AwayTeam]],$A29, Table1[[HomeTeam]:[HomeTeam]], J$1, Table1[[ActualResult]:[ActualResult]], "REG") + SUMIFS(Table1[[AwayWon]:[AwayWon]], Table1[[GameIsOver]:[GameIsOver]],1,Table1[[HomeTeam]:[HomeTeam]],$A29, Table1[[AwayTeam]:[AwayTeam]], J$1, Table1[[ActualResult]:[ActualResult]], "REG"),0), "-", TEXT(SUMIFS(Table1[[HomeWon]:[HomeWon]], Table1[[GameIsOver]:[GameIsOver]],1,Table1[[AwayTeam]:[AwayTeam]],$A29, Table1[[HomeTeam]:[HomeTeam]], J$1, Table1[[ActualResult]:[ActualResult]], "OT") + SUMIFS(Table1[[AwayWon]:[AwayWon]], Table1[[GameIsOver]:[GameIsOver]],1,Table1[[HomeTeam]:[HomeTeam]],$A29, Table1[[AwayTeam]:[AwayTeam]], J$1, Table1[[ActualResult]:[ActualResult]], "OT") + SUMIFS(Table1[[HomeWon]:[HomeWon]], Table1[[GameIsOver]:[GameIsOver]],1,Table1[[AwayTeam]:[AwayTeam]],$A29, Table1[[HomeTeam]:[HomeTeam]], J$1, Table1[[ActualResult]:[ActualResult]], "SO") + SUMIFS(Table1[[AwayWon]:[AwayWon]], Table1[[GameIsOver]:[GameIsOver]],1,Table1[[HomeTeam]:[HomeTeam]],$A29, Table1[[AwayTeam]:[AwayTeam]], J$1, Table1[[ActualResult]:[ActualResult]], "SO"),0))</f>
        <v>0-0-0</v>
      </c>
      <c r="K29" s="43" t="str">
        <f>_xlfn.CONCAT(TEXT(SUMIFS(Table1[[AwayWon]:[AwayWon]], Table1[[GameIsOver]:[GameIsOver]],1,Table1[[AwayTeam]:[AwayTeam]],$A29, Table1[[HomeTeam]:[HomeTeam]], K$1) + SUMIFS(Table1[[HomeWon]:[HomeWon]], Table1[[GameIsOver]:[GameIsOver]],1,Table1[[HomeTeam]:[HomeTeam]],$A29, Table1[[AwayTeam]:[AwayTeam]], K$1),0), "-", TEXT(SUMIFS(Table1[[HomeWon]:[HomeWon]], Table1[[GameIsOver]:[GameIsOver]],1,Table1[[AwayTeam]:[AwayTeam]],$A29, Table1[[HomeTeam]:[HomeTeam]], K$1, Table1[[ActualResult]:[ActualResult]], "REG") + SUMIFS(Table1[[AwayWon]:[AwayWon]], Table1[[GameIsOver]:[GameIsOver]],1,Table1[[HomeTeam]:[HomeTeam]],$A29, Table1[[AwayTeam]:[AwayTeam]], K$1, Table1[[ActualResult]:[ActualResult]], "REG"),0), "-", TEXT(SUMIFS(Table1[[HomeWon]:[HomeWon]], Table1[[GameIsOver]:[GameIsOver]],1,Table1[[AwayTeam]:[AwayTeam]],$A29, Table1[[HomeTeam]:[HomeTeam]], K$1, Table1[[ActualResult]:[ActualResult]], "OT") + SUMIFS(Table1[[AwayWon]:[AwayWon]], Table1[[GameIsOver]:[GameIsOver]],1,Table1[[HomeTeam]:[HomeTeam]],$A29, Table1[[AwayTeam]:[AwayTeam]], K$1, Table1[[ActualResult]:[ActualResult]], "OT") + SUMIFS(Table1[[HomeWon]:[HomeWon]], Table1[[GameIsOver]:[GameIsOver]],1,Table1[[AwayTeam]:[AwayTeam]],$A29, Table1[[HomeTeam]:[HomeTeam]], K$1, Table1[[ActualResult]:[ActualResult]], "SO") + SUMIFS(Table1[[AwayWon]:[AwayWon]], Table1[[GameIsOver]:[GameIsOver]],1,Table1[[HomeTeam]:[HomeTeam]],$A29, Table1[[AwayTeam]:[AwayTeam]], K$1, Table1[[ActualResult]:[ActualResult]], "SO"),0))</f>
        <v>0-0-0</v>
      </c>
      <c r="L29" s="43" t="str">
        <f>_xlfn.CONCAT(TEXT(SUMIFS(Table1[[AwayWon]:[AwayWon]], Table1[[GameIsOver]:[GameIsOver]],1,Table1[[AwayTeam]:[AwayTeam]],$A29, Table1[[HomeTeam]:[HomeTeam]], L$1) + SUMIFS(Table1[[HomeWon]:[HomeWon]], Table1[[GameIsOver]:[GameIsOver]],1,Table1[[HomeTeam]:[HomeTeam]],$A29, Table1[[AwayTeam]:[AwayTeam]], L$1),0), "-", TEXT(SUMIFS(Table1[[HomeWon]:[HomeWon]], Table1[[GameIsOver]:[GameIsOver]],1,Table1[[AwayTeam]:[AwayTeam]],$A29, Table1[[HomeTeam]:[HomeTeam]], L$1, Table1[[ActualResult]:[ActualResult]], "REG") + SUMIFS(Table1[[AwayWon]:[AwayWon]], Table1[[GameIsOver]:[GameIsOver]],1,Table1[[HomeTeam]:[HomeTeam]],$A29, Table1[[AwayTeam]:[AwayTeam]], L$1, Table1[[ActualResult]:[ActualResult]], "REG"),0), "-", TEXT(SUMIFS(Table1[[HomeWon]:[HomeWon]], Table1[[GameIsOver]:[GameIsOver]],1,Table1[[AwayTeam]:[AwayTeam]],$A29, Table1[[HomeTeam]:[HomeTeam]], L$1, Table1[[ActualResult]:[ActualResult]], "OT") + SUMIFS(Table1[[AwayWon]:[AwayWon]], Table1[[GameIsOver]:[GameIsOver]],1,Table1[[HomeTeam]:[HomeTeam]],$A29, Table1[[AwayTeam]:[AwayTeam]], L$1, Table1[[ActualResult]:[ActualResult]], "OT") + SUMIFS(Table1[[HomeWon]:[HomeWon]], Table1[[GameIsOver]:[GameIsOver]],1,Table1[[AwayTeam]:[AwayTeam]],$A29, Table1[[HomeTeam]:[HomeTeam]], L$1, Table1[[ActualResult]:[ActualResult]], "SO") + SUMIFS(Table1[[AwayWon]:[AwayWon]], Table1[[GameIsOver]:[GameIsOver]],1,Table1[[HomeTeam]:[HomeTeam]],$A29, Table1[[AwayTeam]:[AwayTeam]], L$1, Table1[[ActualResult]:[ActualResult]], "SO"),0))</f>
        <v>0-0-0</v>
      </c>
      <c r="M29" s="43" t="str">
        <f>_xlfn.CONCAT(TEXT(SUMIFS(Table1[[AwayWon]:[AwayWon]], Table1[[GameIsOver]:[GameIsOver]],1,Table1[[AwayTeam]:[AwayTeam]],$A29, Table1[[HomeTeam]:[HomeTeam]], M$1) + SUMIFS(Table1[[HomeWon]:[HomeWon]], Table1[[GameIsOver]:[GameIsOver]],1,Table1[[HomeTeam]:[HomeTeam]],$A29, Table1[[AwayTeam]:[AwayTeam]], M$1),0), "-", TEXT(SUMIFS(Table1[[HomeWon]:[HomeWon]], Table1[[GameIsOver]:[GameIsOver]],1,Table1[[AwayTeam]:[AwayTeam]],$A29, Table1[[HomeTeam]:[HomeTeam]], M$1, Table1[[ActualResult]:[ActualResult]], "REG") + SUMIFS(Table1[[AwayWon]:[AwayWon]], Table1[[GameIsOver]:[GameIsOver]],1,Table1[[HomeTeam]:[HomeTeam]],$A29, Table1[[AwayTeam]:[AwayTeam]], M$1, Table1[[ActualResult]:[ActualResult]], "REG"),0), "-", TEXT(SUMIFS(Table1[[HomeWon]:[HomeWon]], Table1[[GameIsOver]:[GameIsOver]],1,Table1[[AwayTeam]:[AwayTeam]],$A29, Table1[[HomeTeam]:[HomeTeam]], M$1, Table1[[ActualResult]:[ActualResult]], "OT") + SUMIFS(Table1[[AwayWon]:[AwayWon]], Table1[[GameIsOver]:[GameIsOver]],1,Table1[[HomeTeam]:[HomeTeam]],$A29, Table1[[AwayTeam]:[AwayTeam]], M$1, Table1[[ActualResult]:[ActualResult]], "OT") + SUMIFS(Table1[[HomeWon]:[HomeWon]], Table1[[GameIsOver]:[GameIsOver]],1,Table1[[AwayTeam]:[AwayTeam]],$A29, Table1[[HomeTeam]:[HomeTeam]], M$1, Table1[[ActualResult]:[ActualResult]], "SO") + SUMIFS(Table1[[AwayWon]:[AwayWon]], Table1[[GameIsOver]:[GameIsOver]],1,Table1[[HomeTeam]:[HomeTeam]],$A29, Table1[[AwayTeam]:[AwayTeam]], M$1, Table1[[ActualResult]:[ActualResult]], "SO"),0))</f>
        <v>0-0-0</v>
      </c>
      <c r="N29" s="43" t="str">
        <f>_xlfn.CONCAT(TEXT(SUMIFS(Table1[[AwayWon]:[AwayWon]], Table1[[GameIsOver]:[GameIsOver]],1,Table1[[AwayTeam]:[AwayTeam]],$A29, Table1[[HomeTeam]:[HomeTeam]], N$1) + SUMIFS(Table1[[HomeWon]:[HomeWon]], Table1[[GameIsOver]:[GameIsOver]],1,Table1[[HomeTeam]:[HomeTeam]],$A29, Table1[[AwayTeam]:[AwayTeam]], N$1),0), "-", TEXT(SUMIFS(Table1[[HomeWon]:[HomeWon]], Table1[[GameIsOver]:[GameIsOver]],1,Table1[[AwayTeam]:[AwayTeam]],$A29, Table1[[HomeTeam]:[HomeTeam]], N$1, Table1[[ActualResult]:[ActualResult]], "REG") + SUMIFS(Table1[[AwayWon]:[AwayWon]], Table1[[GameIsOver]:[GameIsOver]],1,Table1[[HomeTeam]:[HomeTeam]],$A29, Table1[[AwayTeam]:[AwayTeam]], N$1, Table1[[ActualResult]:[ActualResult]], "REG"),0), "-", TEXT(SUMIFS(Table1[[HomeWon]:[HomeWon]], Table1[[GameIsOver]:[GameIsOver]],1,Table1[[AwayTeam]:[AwayTeam]],$A29, Table1[[HomeTeam]:[HomeTeam]], N$1, Table1[[ActualResult]:[ActualResult]], "OT") + SUMIFS(Table1[[AwayWon]:[AwayWon]], Table1[[GameIsOver]:[GameIsOver]],1,Table1[[HomeTeam]:[HomeTeam]],$A29, Table1[[AwayTeam]:[AwayTeam]], N$1, Table1[[ActualResult]:[ActualResult]], "OT") + SUMIFS(Table1[[HomeWon]:[HomeWon]], Table1[[GameIsOver]:[GameIsOver]],1,Table1[[AwayTeam]:[AwayTeam]],$A29, Table1[[HomeTeam]:[HomeTeam]], N$1, Table1[[ActualResult]:[ActualResult]], "SO") + SUMIFS(Table1[[AwayWon]:[AwayWon]], Table1[[GameIsOver]:[GameIsOver]],1,Table1[[HomeTeam]:[HomeTeam]],$A29, Table1[[AwayTeam]:[AwayTeam]], N$1, Table1[[ActualResult]:[ActualResult]], "SO"),0))</f>
        <v>0-0-0</v>
      </c>
      <c r="O29" s="43" t="str">
        <f>_xlfn.CONCAT(TEXT(SUMIFS(Table1[[AwayWon]:[AwayWon]], Table1[[GameIsOver]:[GameIsOver]],1,Table1[[AwayTeam]:[AwayTeam]],$A29, Table1[[HomeTeam]:[HomeTeam]], O$1) + SUMIFS(Table1[[HomeWon]:[HomeWon]], Table1[[GameIsOver]:[GameIsOver]],1,Table1[[HomeTeam]:[HomeTeam]],$A29, Table1[[AwayTeam]:[AwayTeam]], O$1),0), "-", TEXT(SUMIFS(Table1[[HomeWon]:[HomeWon]], Table1[[GameIsOver]:[GameIsOver]],1,Table1[[AwayTeam]:[AwayTeam]],$A29, Table1[[HomeTeam]:[HomeTeam]], O$1, Table1[[ActualResult]:[ActualResult]], "REG") + SUMIFS(Table1[[AwayWon]:[AwayWon]], Table1[[GameIsOver]:[GameIsOver]],1,Table1[[HomeTeam]:[HomeTeam]],$A29, Table1[[AwayTeam]:[AwayTeam]], O$1, Table1[[ActualResult]:[ActualResult]], "REG"),0), "-", TEXT(SUMIFS(Table1[[HomeWon]:[HomeWon]], Table1[[GameIsOver]:[GameIsOver]],1,Table1[[AwayTeam]:[AwayTeam]],$A29, Table1[[HomeTeam]:[HomeTeam]], O$1, Table1[[ActualResult]:[ActualResult]], "OT") + SUMIFS(Table1[[AwayWon]:[AwayWon]], Table1[[GameIsOver]:[GameIsOver]],1,Table1[[HomeTeam]:[HomeTeam]],$A29, Table1[[AwayTeam]:[AwayTeam]], O$1, Table1[[ActualResult]:[ActualResult]], "OT") + SUMIFS(Table1[[HomeWon]:[HomeWon]], Table1[[GameIsOver]:[GameIsOver]],1,Table1[[AwayTeam]:[AwayTeam]],$A29, Table1[[HomeTeam]:[HomeTeam]], O$1, Table1[[ActualResult]:[ActualResult]], "SO") + SUMIFS(Table1[[AwayWon]:[AwayWon]], Table1[[GameIsOver]:[GameIsOver]],1,Table1[[HomeTeam]:[HomeTeam]],$A29, Table1[[AwayTeam]:[AwayTeam]], O$1, Table1[[ActualResult]:[ActualResult]], "SO"),0))</f>
        <v>0-0-0</v>
      </c>
      <c r="P29" s="43" t="str">
        <f>_xlfn.CONCAT(TEXT(SUMIFS(Table1[[AwayWon]:[AwayWon]], Table1[[GameIsOver]:[GameIsOver]],1,Table1[[AwayTeam]:[AwayTeam]],$A29, Table1[[HomeTeam]:[HomeTeam]], P$1) + SUMIFS(Table1[[HomeWon]:[HomeWon]], Table1[[GameIsOver]:[GameIsOver]],1,Table1[[HomeTeam]:[HomeTeam]],$A29, Table1[[AwayTeam]:[AwayTeam]], P$1),0), "-", TEXT(SUMIFS(Table1[[HomeWon]:[HomeWon]], Table1[[GameIsOver]:[GameIsOver]],1,Table1[[AwayTeam]:[AwayTeam]],$A29, Table1[[HomeTeam]:[HomeTeam]], P$1, Table1[[ActualResult]:[ActualResult]], "REG") + SUMIFS(Table1[[AwayWon]:[AwayWon]], Table1[[GameIsOver]:[GameIsOver]],1,Table1[[HomeTeam]:[HomeTeam]],$A29, Table1[[AwayTeam]:[AwayTeam]], P$1, Table1[[ActualResult]:[ActualResult]], "REG"),0), "-", TEXT(SUMIFS(Table1[[HomeWon]:[HomeWon]], Table1[[GameIsOver]:[GameIsOver]],1,Table1[[AwayTeam]:[AwayTeam]],$A29, Table1[[HomeTeam]:[HomeTeam]], P$1, Table1[[ActualResult]:[ActualResult]], "OT") + SUMIFS(Table1[[AwayWon]:[AwayWon]], Table1[[GameIsOver]:[GameIsOver]],1,Table1[[HomeTeam]:[HomeTeam]],$A29, Table1[[AwayTeam]:[AwayTeam]], P$1, Table1[[ActualResult]:[ActualResult]], "OT") + SUMIFS(Table1[[HomeWon]:[HomeWon]], Table1[[GameIsOver]:[GameIsOver]],1,Table1[[AwayTeam]:[AwayTeam]],$A29, Table1[[HomeTeam]:[HomeTeam]], P$1, Table1[[ActualResult]:[ActualResult]], "SO") + SUMIFS(Table1[[AwayWon]:[AwayWon]], Table1[[GameIsOver]:[GameIsOver]],1,Table1[[HomeTeam]:[HomeTeam]],$A29, Table1[[AwayTeam]:[AwayTeam]], P$1, Table1[[ActualResult]:[ActualResult]], "SO"),0))</f>
        <v>0-0-0</v>
      </c>
      <c r="Q29" s="45" t="str">
        <f>_xlfn.CONCAT(TEXT(SUMIFS(Table1[[AwayWon]:[AwayWon]], Table1[[GameIsOver]:[GameIsOver]],1,Table1[[AwayTeam]:[AwayTeam]],$A29, Table1[[HomeTeam]:[HomeTeam]], Q$1) + SUMIFS(Table1[[HomeWon]:[HomeWon]], Table1[[GameIsOver]:[GameIsOver]],1,Table1[[HomeTeam]:[HomeTeam]],$A29, Table1[[AwayTeam]:[AwayTeam]], Q$1),0), "-", TEXT(SUMIFS(Table1[[HomeWon]:[HomeWon]], Table1[[GameIsOver]:[GameIsOver]],1,Table1[[AwayTeam]:[AwayTeam]],$A29, Table1[[HomeTeam]:[HomeTeam]], Q$1, Table1[[ActualResult]:[ActualResult]], "REG") + SUMIFS(Table1[[AwayWon]:[AwayWon]], Table1[[GameIsOver]:[GameIsOver]],1,Table1[[HomeTeam]:[HomeTeam]],$A29, Table1[[AwayTeam]:[AwayTeam]], Q$1, Table1[[ActualResult]:[ActualResult]], "REG"),0), "-", TEXT(SUMIFS(Table1[[HomeWon]:[HomeWon]], Table1[[GameIsOver]:[GameIsOver]],1,Table1[[AwayTeam]:[AwayTeam]],$A29, Table1[[HomeTeam]:[HomeTeam]], Q$1, Table1[[ActualResult]:[ActualResult]], "OT") + SUMIFS(Table1[[AwayWon]:[AwayWon]], Table1[[GameIsOver]:[GameIsOver]],1,Table1[[HomeTeam]:[HomeTeam]],$A29, Table1[[AwayTeam]:[AwayTeam]], Q$1, Table1[[ActualResult]:[ActualResult]], "OT") + SUMIFS(Table1[[HomeWon]:[HomeWon]], Table1[[GameIsOver]:[GameIsOver]],1,Table1[[AwayTeam]:[AwayTeam]],$A29, Table1[[HomeTeam]:[HomeTeam]], Q$1, Table1[[ActualResult]:[ActualResult]], "SO") + SUMIFS(Table1[[AwayWon]:[AwayWon]], Table1[[GameIsOver]:[GameIsOver]],1,Table1[[HomeTeam]:[HomeTeam]],$A29, Table1[[AwayTeam]:[AwayTeam]], Q$1, Table1[[ActualResult]:[ActualResult]], "SO"),0))</f>
        <v>0-0-0</v>
      </c>
      <c r="R29" s="43" t="str">
        <f>_xlfn.CONCAT(TEXT(SUMIFS(Table1[[AwayWon]:[AwayWon]], Table1[[GameIsOver]:[GameIsOver]],1,Table1[[AwayTeam]:[AwayTeam]],$A29, Table1[[HomeTeam]:[HomeTeam]], R$1) + SUMIFS(Table1[[HomeWon]:[HomeWon]], Table1[[GameIsOver]:[GameIsOver]],1,Table1[[HomeTeam]:[HomeTeam]],$A29, Table1[[AwayTeam]:[AwayTeam]], R$1),0), "-", TEXT(SUMIFS(Table1[[HomeWon]:[HomeWon]], Table1[[GameIsOver]:[GameIsOver]],1,Table1[[AwayTeam]:[AwayTeam]],$A29, Table1[[HomeTeam]:[HomeTeam]], R$1, Table1[[ActualResult]:[ActualResult]], "REG") + SUMIFS(Table1[[AwayWon]:[AwayWon]], Table1[[GameIsOver]:[GameIsOver]],1,Table1[[HomeTeam]:[HomeTeam]],$A29, Table1[[AwayTeam]:[AwayTeam]], R$1, Table1[[ActualResult]:[ActualResult]], "REG"),0), "-", TEXT(SUMIFS(Table1[[HomeWon]:[HomeWon]], Table1[[GameIsOver]:[GameIsOver]],1,Table1[[AwayTeam]:[AwayTeam]],$A29, Table1[[HomeTeam]:[HomeTeam]], R$1, Table1[[ActualResult]:[ActualResult]], "OT") + SUMIFS(Table1[[AwayWon]:[AwayWon]], Table1[[GameIsOver]:[GameIsOver]],1,Table1[[HomeTeam]:[HomeTeam]],$A29, Table1[[AwayTeam]:[AwayTeam]], R$1, Table1[[ActualResult]:[ActualResult]], "OT") + SUMIFS(Table1[[HomeWon]:[HomeWon]], Table1[[GameIsOver]:[GameIsOver]],1,Table1[[AwayTeam]:[AwayTeam]],$A29, Table1[[HomeTeam]:[HomeTeam]], R$1, Table1[[ActualResult]:[ActualResult]], "SO") + SUMIFS(Table1[[AwayWon]:[AwayWon]], Table1[[GameIsOver]:[GameIsOver]],1,Table1[[HomeTeam]:[HomeTeam]],$A29, Table1[[AwayTeam]:[AwayTeam]], R$1, Table1[[ActualResult]:[ActualResult]], "SO"),0))</f>
        <v>1-0-0</v>
      </c>
      <c r="S29" s="43" t="str">
        <f>_xlfn.CONCAT(TEXT(SUMIFS(Table1[[AwayWon]:[AwayWon]], Table1[[GameIsOver]:[GameIsOver]],1,Table1[[AwayTeam]:[AwayTeam]],$A29, Table1[[HomeTeam]:[HomeTeam]], S$1) + SUMIFS(Table1[[HomeWon]:[HomeWon]], Table1[[GameIsOver]:[GameIsOver]],1,Table1[[HomeTeam]:[HomeTeam]],$A29, Table1[[AwayTeam]:[AwayTeam]], S$1),0), "-", TEXT(SUMIFS(Table1[[HomeWon]:[HomeWon]], Table1[[GameIsOver]:[GameIsOver]],1,Table1[[AwayTeam]:[AwayTeam]],$A29, Table1[[HomeTeam]:[HomeTeam]], S$1, Table1[[ActualResult]:[ActualResult]], "REG") + SUMIFS(Table1[[AwayWon]:[AwayWon]], Table1[[GameIsOver]:[GameIsOver]],1,Table1[[HomeTeam]:[HomeTeam]],$A29, Table1[[AwayTeam]:[AwayTeam]], S$1, Table1[[ActualResult]:[ActualResult]], "REG"),0), "-", TEXT(SUMIFS(Table1[[HomeWon]:[HomeWon]], Table1[[GameIsOver]:[GameIsOver]],1,Table1[[AwayTeam]:[AwayTeam]],$A29, Table1[[HomeTeam]:[HomeTeam]], S$1, Table1[[ActualResult]:[ActualResult]], "OT") + SUMIFS(Table1[[AwayWon]:[AwayWon]], Table1[[GameIsOver]:[GameIsOver]],1,Table1[[HomeTeam]:[HomeTeam]],$A29, Table1[[AwayTeam]:[AwayTeam]], S$1, Table1[[ActualResult]:[ActualResult]], "OT") + SUMIFS(Table1[[HomeWon]:[HomeWon]], Table1[[GameIsOver]:[GameIsOver]],1,Table1[[AwayTeam]:[AwayTeam]],$A29, Table1[[HomeTeam]:[HomeTeam]], S$1, Table1[[ActualResult]:[ActualResult]], "SO") + SUMIFS(Table1[[AwayWon]:[AwayWon]], Table1[[GameIsOver]:[GameIsOver]],1,Table1[[HomeTeam]:[HomeTeam]],$A29, Table1[[AwayTeam]:[AwayTeam]], S$1, Table1[[ActualResult]:[ActualResult]], "SO"),0))</f>
        <v>0-0-0</v>
      </c>
      <c r="T29" s="43" t="str">
        <f>_xlfn.CONCAT(TEXT(SUMIFS(Table1[[AwayWon]:[AwayWon]], Table1[[GameIsOver]:[GameIsOver]],1,Table1[[AwayTeam]:[AwayTeam]],$A29, Table1[[HomeTeam]:[HomeTeam]], T$1) + SUMIFS(Table1[[HomeWon]:[HomeWon]], Table1[[GameIsOver]:[GameIsOver]],1,Table1[[HomeTeam]:[HomeTeam]],$A29, Table1[[AwayTeam]:[AwayTeam]], T$1),0), "-", TEXT(SUMIFS(Table1[[HomeWon]:[HomeWon]], Table1[[GameIsOver]:[GameIsOver]],1,Table1[[AwayTeam]:[AwayTeam]],$A29, Table1[[HomeTeam]:[HomeTeam]], T$1, Table1[[ActualResult]:[ActualResult]], "REG") + SUMIFS(Table1[[AwayWon]:[AwayWon]], Table1[[GameIsOver]:[GameIsOver]],1,Table1[[HomeTeam]:[HomeTeam]],$A29, Table1[[AwayTeam]:[AwayTeam]], T$1, Table1[[ActualResult]:[ActualResult]], "REG"),0), "-", TEXT(SUMIFS(Table1[[HomeWon]:[HomeWon]], Table1[[GameIsOver]:[GameIsOver]],1,Table1[[AwayTeam]:[AwayTeam]],$A29, Table1[[HomeTeam]:[HomeTeam]], T$1, Table1[[ActualResult]:[ActualResult]], "OT") + SUMIFS(Table1[[AwayWon]:[AwayWon]], Table1[[GameIsOver]:[GameIsOver]],1,Table1[[HomeTeam]:[HomeTeam]],$A29, Table1[[AwayTeam]:[AwayTeam]], T$1, Table1[[ActualResult]:[ActualResult]], "OT") + SUMIFS(Table1[[HomeWon]:[HomeWon]], Table1[[GameIsOver]:[GameIsOver]],1,Table1[[AwayTeam]:[AwayTeam]],$A29, Table1[[HomeTeam]:[HomeTeam]], T$1, Table1[[ActualResult]:[ActualResult]], "SO") + SUMIFS(Table1[[AwayWon]:[AwayWon]], Table1[[GameIsOver]:[GameIsOver]],1,Table1[[HomeTeam]:[HomeTeam]],$A29, Table1[[AwayTeam]:[AwayTeam]], T$1, Table1[[ActualResult]:[ActualResult]], "SO"),0))</f>
        <v>0-0-0</v>
      </c>
      <c r="U29" s="43" t="str">
        <f>_xlfn.CONCAT(TEXT(SUMIFS(Table1[[AwayWon]:[AwayWon]], Table1[[GameIsOver]:[GameIsOver]],1,Table1[[AwayTeam]:[AwayTeam]],$A29, Table1[[HomeTeam]:[HomeTeam]], U$1) + SUMIFS(Table1[[HomeWon]:[HomeWon]], Table1[[GameIsOver]:[GameIsOver]],1,Table1[[HomeTeam]:[HomeTeam]],$A29, Table1[[AwayTeam]:[AwayTeam]], U$1),0), "-", TEXT(SUMIFS(Table1[[HomeWon]:[HomeWon]], Table1[[GameIsOver]:[GameIsOver]],1,Table1[[AwayTeam]:[AwayTeam]],$A29, Table1[[HomeTeam]:[HomeTeam]], U$1, Table1[[ActualResult]:[ActualResult]], "REG") + SUMIFS(Table1[[AwayWon]:[AwayWon]], Table1[[GameIsOver]:[GameIsOver]],1,Table1[[HomeTeam]:[HomeTeam]],$A29, Table1[[AwayTeam]:[AwayTeam]], U$1, Table1[[ActualResult]:[ActualResult]], "REG"),0), "-", TEXT(SUMIFS(Table1[[HomeWon]:[HomeWon]], Table1[[GameIsOver]:[GameIsOver]],1,Table1[[AwayTeam]:[AwayTeam]],$A29, Table1[[HomeTeam]:[HomeTeam]], U$1, Table1[[ActualResult]:[ActualResult]], "OT") + SUMIFS(Table1[[AwayWon]:[AwayWon]], Table1[[GameIsOver]:[GameIsOver]],1,Table1[[HomeTeam]:[HomeTeam]],$A29, Table1[[AwayTeam]:[AwayTeam]], U$1, Table1[[ActualResult]:[ActualResult]], "OT") + SUMIFS(Table1[[HomeWon]:[HomeWon]], Table1[[GameIsOver]:[GameIsOver]],1,Table1[[AwayTeam]:[AwayTeam]],$A29, Table1[[HomeTeam]:[HomeTeam]], U$1, Table1[[ActualResult]:[ActualResult]], "SO") + SUMIFS(Table1[[AwayWon]:[AwayWon]], Table1[[GameIsOver]:[GameIsOver]],1,Table1[[HomeTeam]:[HomeTeam]],$A29, Table1[[AwayTeam]:[AwayTeam]], U$1, Table1[[ActualResult]:[ActualResult]], "SO"),0))</f>
        <v>0-0-0</v>
      </c>
      <c r="V29" s="43" t="str">
        <f>_xlfn.CONCAT(TEXT(SUMIFS(Table1[[AwayWon]:[AwayWon]], Table1[[GameIsOver]:[GameIsOver]],1,Table1[[AwayTeam]:[AwayTeam]],$A29, Table1[[HomeTeam]:[HomeTeam]], V$1) + SUMIFS(Table1[[HomeWon]:[HomeWon]], Table1[[GameIsOver]:[GameIsOver]],1,Table1[[HomeTeam]:[HomeTeam]],$A29, Table1[[AwayTeam]:[AwayTeam]], V$1),0), "-", TEXT(SUMIFS(Table1[[HomeWon]:[HomeWon]], Table1[[GameIsOver]:[GameIsOver]],1,Table1[[AwayTeam]:[AwayTeam]],$A29, Table1[[HomeTeam]:[HomeTeam]], V$1, Table1[[ActualResult]:[ActualResult]], "REG") + SUMIFS(Table1[[AwayWon]:[AwayWon]], Table1[[GameIsOver]:[GameIsOver]],1,Table1[[HomeTeam]:[HomeTeam]],$A29, Table1[[AwayTeam]:[AwayTeam]], V$1, Table1[[ActualResult]:[ActualResult]], "REG"),0), "-", TEXT(SUMIFS(Table1[[HomeWon]:[HomeWon]], Table1[[GameIsOver]:[GameIsOver]],1,Table1[[AwayTeam]:[AwayTeam]],$A29, Table1[[HomeTeam]:[HomeTeam]], V$1, Table1[[ActualResult]:[ActualResult]], "OT") + SUMIFS(Table1[[AwayWon]:[AwayWon]], Table1[[GameIsOver]:[GameIsOver]],1,Table1[[HomeTeam]:[HomeTeam]],$A29, Table1[[AwayTeam]:[AwayTeam]], V$1, Table1[[ActualResult]:[ActualResult]], "OT") + SUMIFS(Table1[[HomeWon]:[HomeWon]], Table1[[GameIsOver]:[GameIsOver]],1,Table1[[AwayTeam]:[AwayTeam]],$A29, Table1[[HomeTeam]:[HomeTeam]], V$1, Table1[[ActualResult]:[ActualResult]], "SO") + SUMIFS(Table1[[AwayWon]:[AwayWon]], Table1[[GameIsOver]:[GameIsOver]],1,Table1[[HomeTeam]:[HomeTeam]],$A29, Table1[[AwayTeam]:[AwayTeam]], V$1, Table1[[ActualResult]:[ActualResult]], "SO"),0))</f>
        <v>0-0-0</v>
      </c>
      <c r="W29" s="43" t="str">
        <f>_xlfn.CONCAT(TEXT(SUMIFS(Table1[[AwayWon]:[AwayWon]], Table1[[GameIsOver]:[GameIsOver]],1,Table1[[AwayTeam]:[AwayTeam]],$A29, Table1[[HomeTeam]:[HomeTeam]], W$1) + SUMIFS(Table1[[HomeWon]:[HomeWon]], Table1[[GameIsOver]:[GameIsOver]],1,Table1[[HomeTeam]:[HomeTeam]],$A29, Table1[[AwayTeam]:[AwayTeam]], W$1),0), "-", TEXT(SUMIFS(Table1[[HomeWon]:[HomeWon]], Table1[[GameIsOver]:[GameIsOver]],1,Table1[[AwayTeam]:[AwayTeam]],$A29, Table1[[HomeTeam]:[HomeTeam]], W$1, Table1[[ActualResult]:[ActualResult]], "REG") + SUMIFS(Table1[[AwayWon]:[AwayWon]], Table1[[GameIsOver]:[GameIsOver]],1,Table1[[HomeTeam]:[HomeTeam]],$A29, Table1[[AwayTeam]:[AwayTeam]], W$1, Table1[[ActualResult]:[ActualResult]], "REG"),0), "-", TEXT(SUMIFS(Table1[[HomeWon]:[HomeWon]], Table1[[GameIsOver]:[GameIsOver]],1,Table1[[AwayTeam]:[AwayTeam]],$A29, Table1[[HomeTeam]:[HomeTeam]], W$1, Table1[[ActualResult]:[ActualResult]], "OT") + SUMIFS(Table1[[AwayWon]:[AwayWon]], Table1[[GameIsOver]:[GameIsOver]],1,Table1[[HomeTeam]:[HomeTeam]],$A29, Table1[[AwayTeam]:[AwayTeam]], W$1, Table1[[ActualResult]:[ActualResult]], "OT") + SUMIFS(Table1[[HomeWon]:[HomeWon]], Table1[[GameIsOver]:[GameIsOver]],1,Table1[[AwayTeam]:[AwayTeam]],$A29, Table1[[HomeTeam]:[HomeTeam]], W$1, Table1[[ActualResult]:[ActualResult]], "SO") + SUMIFS(Table1[[AwayWon]:[AwayWon]], Table1[[GameIsOver]:[GameIsOver]],1,Table1[[HomeTeam]:[HomeTeam]],$A29, Table1[[AwayTeam]:[AwayTeam]], W$1, Table1[[ActualResult]:[ActualResult]], "SO"),0))</f>
        <v>0-0-0</v>
      </c>
      <c r="X29" s="43" t="str">
        <f>_xlfn.CONCAT(TEXT(SUMIFS(Table1[[AwayWon]:[AwayWon]], Table1[[GameIsOver]:[GameIsOver]],1,Table1[[AwayTeam]:[AwayTeam]],$A29, Table1[[HomeTeam]:[HomeTeam]], X$1) + SUMIFS(Table1[[HomeWon]:[HomeWon]], Table1[[GameIsOver]:[GameIsOver]],1,Table1[[HomeTeam]:[HomeTeam]],$A29, Table1[[AwayTeam]:[AwayTeam]], X$1),0), "-", TEXT(SUMIFS(Table1[[HomeWon]:[HomeWon]], Table1[[GameIsOver]:[GameIsOver]],1,Table1[[AwayTeam]:[AwayTeam]],$A29, Table1[[HomeTeam]:[HomeTeam]], X$1, Table1[[ActualResult]:[ActualResult]], "REG") + SUMIFS(Table1[[AwayWon]:[AwayWon]], Table1[[GameIsOver]:[GameIsOver]],1,Table1[[HomeTeam]:[HomeTeam]],$A29, Table1[[AwayTeam]:[AwayTeam]], X$1, Table1[[ActualResult]:[ActualResult]], "REG"),0), "-", TEXT(SUMIFS(Table1[[HomeWon]:[HomeWon]], Table1[[GameIsOver]:[GameIsOver]],1,Table1[[AwayTeam]:[AwayTeam]],$A29, Table1[[HomeTeam]:[HomeTeam]], X$1, Table1[[ActualResult]:[ActualResult]], "OT") + SUMIFS(Table1[[AwayWon]:[AwayWon]], Table1[[GameIsOver]:[GameIsOver]],1,Table1[[HomeTeam]:[HomeTeam]],$A29, Table1[[AwayTeam]:[AwayTeam]], X$1, Table1[[ActualResult]:[ActualResult]], "OT") + SUMIFS(Table1[[HomeWon]:[HomeWon]], Table1[[GameIsOver]:[GameIsOver]],1,Table1[[AwayTeam]:[AwayTeam]],$A29, Table1[[HomeTeam]:[HomeTeam]], X$1, Table1[[ActualResult]:[ActualResult]], "SO") + SUMIFS(Table1[[AwayWon]:[AwayWon]], Table1[[GameIsOver]:[GameIsOver]],1,Table1[[HomeTeam]:[HomeTeam]],$A29, Table1[[AwayTeam]:[AwayTeam]], X$1, Table1[[ActualResult]:[ActualResult]], "SO"),0))</f>
        <v>0-0-0</v>
      </c>
      <c r="Y29" s="45" t="str">
        <f>_xlfn.CONCAT(TEXT(SUMIFS(Table1[[AwayWon]:[AwayWon]], Table1[[GameIsOver]:[GameIsOver]],1,Table1[[AwayTeam]:[AwayTeam]],$A29, Table1[[HomeTeam]:[HomeTeam]], Y$1) + SUMIFS(Table1[[HomeWon]:[HomeWon]], Table1[[GameIsOver]:[GameIsOver]],1,Table1[[HomeTeam]:[HomeTeam]],$A29, Table1[[AwayTeam]:[AwayTeam]], Y$1),0), "-", TEXT(SUMIFS(Table1[[HomeWon]:[HomeWon]], Table1[[GameIsOver]:[GameIsOver]],1,Table1[[AwayTeam]:[AwayTeam]],$A29, Table1[[HomeTeam]:[HomeTeam]], Y$1, Table1[[ActualResult]:[ActualResult]], "REG") + SUMIFS(Table1[[AwayWon]:[AwayWon]], Table1[[GameIsOver]:[GameIsOver]],1,Table1[[HomeTeam]:[HomeTeam]],$A29, Table1[[AwayTeam]:[AwayTeam]], Y$1, Table1[[ActualResult]:[ActualResult]], "REG"),0), "-", TEXT(SUMIFS(Table1[[HomeWon]:[HomeWon]], Table1[[GameIsOver]:[GameIsOver]],1,Table1[[AwayTeam]:[AwayTeam]],$A29, Table1[[HomeTeam]:[HomeTeam]], Y$1, Table1[[ActualResult]:[ActualResult]], "OT") + SUMIFS(Table1[[AwayWon]:[AwayWon]], Table1[[GameIsOver]:[GameIsOver]],1,Table1[[HomeTeam]:[HomeTeam]],$A29, Table1[[AwayTeam]:[AwayTeam]], Y$1, Table1[[ActualResult]:[ActualResult]], "OT") + SUMIFS(Table1[[HomeWon]:[HomeWon]], Table1[[GameIsOver]:[GameIsOver]],1,Table1[[AwayTeam]:[AwayTeam]],$A29, Table1[[HomeTeam]:[HomeTeam]], Y$1, Table1[[ActualResult]:[ActualResult]], "SO") + SUMIFS(Table1[[AwayWon]:[AwayWon]], Table1[[GameIsOver]:[GameIsOver]],1,Table1[[HomeTeam]:[HomeTeam]],$A29, Table1[[AwayTeam]:[AwayTeam]], Y$1, Table1[[ActualResult]:[ActualResult]], "SO"),0))</f>
        <v>0-0-0</v>
      </c>
      <c r="Z29" s="43" t="str">
        <f>_xlfn.CONCAT(TEXT(SUMIFS(Table1[[AwayWon]:[AwayWon]], Table1[[GameIsOver]:[GameIsOver]],1,Table1[[AwayTeam]:[AwayTeam]],$A29, Table1[[HomeTeam]:[HomeTeam]], Z$1) + SUMIFS(Table1[[HomeWon]:[HomeWon]], Table1[[GameIsOver]:[GameIsOver]],1,Table1[[HomeTeam]:[HomeTeam]],$A29, Table1[[AwayTeam]:[AwayTeam]], Z$1),0), "-", TEXT(SUMIFS(Table1[[HomeWon]:[HomeWon]], Table1[[GameIsOver]:[GameIsOver]],1,Table1[[AwayTeam]:[AwayTeam]],$A29, Table1[[HomeTeam]:[HomeTeam]], Z$1, Table1[[ActualResult]:[ActualResult]], "REG") + SUMIFS(Table1[[AwayWon]:[AwayWon]], Table1[[GameIsOver]:[GameIsOver]],1,Table1[[HomeTeam]:[HomeTeam]],$A29, Table1[[AwayTeam]:[AwayTeam]], Z$1, Table1[[ActualResult]:[ActualResult]], "REG"),0), "-", TEXT(SUMIFS(Table1[[HomeWon]:[HomeWon]], Table1[[GameIsOver]:[GameIsOver]],1,Table1[[AwayTeam]:[AwayTeam]],$A29, Table1[[HomeTeam]:[HomeTeam]], Z$1, Table1[[ActualResult]:[ActualResult]], "OT") + SUMIFS(Table1[[AwayWon]:[AwayWon]], Table1[[GameIsOver]:[GameIsOver]],1,Table1[[HomeTeam]:[HomeTeam]],$A29, Table1[[AwayTeam]:[AwayTeam]], Z$1, Table1[[ActualResult]:[ActualResult]], "OT") + SUMIFS(Table1[[HomeWon]:[HomeWon]], Table1[[GameIsOver]:[GameIsOver]],1,Table1[[AwayTeam]:[AwayTeam]],$A29, Table1[[HomeTeam]:[HomeTeam]], Z$1, Table1[[ActualResult]:[ActualResult]], "SO") + SUMIFS(Table1[[AwayWon]:[AwayWon]], Table1[[GameIsOver]:[GameIsOver]],1,Table1[[HomeTeam]:[HomeTeam]],$A29, Table1[[AwayTeam]:[AwayTeam]], Z$1, Table1[[ActualResult]:[ActualResult]], "SO"),0))</f>
        <v>0-0-0</v>
      </c>
      <c r="AA29" s="43" t="str">
        <f>_xlfn.CONCAT(TEXT(SUMIFS(Table1[[AwayWon]:[AwayWon]], Table1[[GameIsOver]:[GameIsOver]],1,Table1[[AwayTeam]:[AwayTeam]],$A29, Table1[[HomeTeam]:[HomeTeam]], AA$1) + SUMIFS(Table1[[HomeWon]:[HomeWon]], Table1[[GameIsOver]:[GameIsOver]],1,Table1[[HomeTeam]:[HomeTeam]],$A29, Table1[[AwayTeam]:[AwayTeam]], AA$1),0), "-", TEXT(SUMIFS(Table1[[HomeWon]:[HomeWon]], Table1[[GameIsOver]:[GameIsOver]],1,Table1[[AwayTeam]:[AwayTeam]],$A29, Table1[[HomeTeam]:[HomeTeam]], AA$1, Table1[[ActualResult]:[ActualResult]], "REG") + SUMIFS(Table1[[AwayWon]:[AwayWon]], Table1[[GameIsOver]:[GameIsOver]],1,Table1[[HomeTeam]:[HomeTeam]],$A29, Table1[[AwayTeam]:[AwayTeam]], AA$1, Table1[[ActualResult]:[ActualResult]], "REG"),0), "-", TEXT(SUMIFS(Table1[[HomeWon]:[HomeWon]], Table1[[GameIsOver]:[GameIsOver]],1,Table1[[AwayTeam]:[AwayTeam]],$A29, Table1[[HomeTeam]:[HomeTeam]], AA$1, Table1[[ActualResult]:[ActualResult]], "OT") + SUMIFS(Table1[[AwayWon]:[AwayWon]], Table1[[GameIsOver]:[GameIsOver]],1,Table1[[HomeTeam]:[HomeTeam]],$A29, Table1[[AwayTeam]:[AwayTeam]], AA$1, Table1[[ActualResult]:[ActualResult]], "OT") + SUMIFS(Table1[[HomeWon]:[HomeWon]], Table1[[GameIsOver]:[GameIsOver]],1,Table1[[AwayTeam]:[AwayTeam]],$A29, Table1[[HomeTeam]:[HomeTeam]], AA$1, Table1[[ActualResult]:[ActualResult]], "SO") + SUMIFS(Table1[[AwayWon]:[AwayWon]], Table1[[GameIsOver]:[GameIsOver]],1,Table1[[HomeTeam]:[HomeTeam]],$A29, Table1[[AwayTeam]:[AwayTeam]], AA$1, Table1[[ActualResult]:[ActualResult]], "SO"),0))</f>
        <v>0-0-0</v>
      </c>
      <c r="AB29" s="43" t="str">
        <f>_xlfn.CONCAT(TEXT(SUMIFS(Table1[[AwayWon]:[AwayWon]], Table1[[GameIsOver]:[GameIsOver]],1,Table1[[AwayTeam]:[AwayTeam]],$A29, Table1[[HomeTeam]:[HomeTeam]], AB$1) + SUMIFS(Table1[[HomeWon]:[HomeWon]], Table1[[GameIsOver]:[GameIsOver]],1,Table1[[HomeTeam]:[HomeTeam]],$A29, Table1[[AwayTeam]:[AwayTeam]], AB$1),0), "-", TEXT(SUMIFS(Table1[[HomeWon]:[HomeWon]], Table1[[GameIsOver]:[GameIsOver]],1,Table1[[AwayTeam]:[AwayTeam]],$A29, Table1[[HomeTeam]:[HomeTeam]], AB$1, Table1[[ActualResult]:[ActualResult]], "REG") + SUMIFS(Table1[[AwayWon]:[AwayWon]], Table1[[GameIsOver]:[GameIsOver]],1,Table1[[HomeTeam]:[HomeTeam]],$A29, Table1[[AwayTeam]:[AwayTeam]], AB$1, Table1[[ActualResult]:[ActualResult]], "REG"),0), "-", TEXT(SUMIFS(Table1[[HomeWon]:[HomeWon]], Table1[[GameIsOver]:[GameIsOver]],1,Table1[[AwayTeam]:[AwayTeam]],$A29, Table1[[HomeTeam]:[HomeTeam]], AB$1, Table1[[ActualResult]:[ActualResult]], "OT") + SUMIFS(Table1[[AwayWon]:[AwayWon]], Table1[[GameIsOver]:[GameIsOver]],1,Table1[[HomeTeam]:[HomeTeam]],$A29, Table1[[AwayTeam]:[AwayTeam]], AB$1, Table1[[ActualResult]:[ActualResult]], "OT") + SUMIFS(Table1[[HomeWon]:[HomeWon]], Table1[[GameIsOver]:[GameIsOver]],1,Table1[[AwayTeam]:[AwayTeam]],$A29, Table1[[HomeTeam]:[HomeTeam]], AB$1, Table1[[ActualResult]:[ActualResult]], "SO") + SUMIFS(Table1[[AwayWon]:[AwayWon]], Table1[[GameIsOver]:[GameIsOver]],1,Table1[[HomeTeam]:[HomeTeam]],$A29, Table1[[AwayTeam]:[AwayTeam]], AB$1, Table1[[ActualResult]:[ActualResult]], "SO"),0))</f>
        <v>0-0-0</v>
      </c>
      <c r="AC29" s="43" t="str">
        <f>_xlfn.CONCAT(TEXT(SUMIFS(Table1[[AwayWon]:[AwayWon]], Table1[[GameIsOver]:[GameIsOver]],1,Table1[[AwayTeam]:[AwayTeam]],$A29, Table1[[HomeTeam]:[HomeTeam]], AC$1) + SUMIFS(Table1[[HomeWon]:[HomeWon]], Table1[[GameIsOver]:[GameIsOver]],1,Table1[[HomeTeam]:[HomeTeam]],$A29, Table1[[AwayTeam]:[AwayTeam]], AC$1),0), "-", TEXT(SUMIFS(Table1[[HomeWon]:[HomeWon]], Table1[[GameIsOver]:[GameIsOver]],1,Table1[[AwayTeam]:[AwayTeam]],$A29, Table1[[HomeTeam]:[HomeTeam]], AC$1, Table1[[ActualResult]:[ActualResult]], "REG") + SUMIFS(Table1[[AwayWon]:[AwayWon]], Table1[[GameIsOver]:[GameIsOver]],1,Table1[[HomeTeam]:[HomeTeam]],$A29, Table1[[AwayTeam]:[AwayTeam]], AC$1, Table1[[ActualResult]:[ActualResult]], "REG"),0), "-", TEXT(SUMIFS(Table1[[HomeWon]:[HomeWon]], Table1[[GameIsOver]:[GameIsOver]],1,Table1[[AwayTeam]:[AwayTeam]],$A29, Table1[[HomeTeam]:[HomeTeam]], AC$1, Table1[[ActualResult]:[ActualResult]], "OT") + SUMIFS(Table1[[AwayWon]:[AwayWon]], Table1[[GameIsOver]:[GameIsOver]],1,Table1[[HomeTeam]:[HomeTeam]],$A29, Table1[[AwayTeam]:[AwayTeam]], AC$1, Table1[[ActualResult]:[ActualResult]], "OT") + SUMIFS(Table1[[HomeWon]:[HomeWon]], Table1[[GameIsOver]:[GameIsOver]],1,Table1[[AwayTeam]:[AwayTeam]],$A29, Table1[[HomeTeam]:[HomeTeam]], AC$1, Table1[[ActualResult]:[ActualResult]], "SO") + SUMIFS(Table1[[AwayWon]:[AwayWon]], Table1[[GameIsOver]:[GameIsOver]],1,Table1[[HomeTeam]:[HomeTeam]],$A29, Table1[[AwayTeam]:[AwayTeam]], AC$1, Table1[[ActualResult]:[ActualResult]], "SO"),0))</f>
        <v>0-0-0</v>
      </c>
      <c r="AD29" s="43" t="str">
        <f>_xlfn.CONCAT(TEXT(SUMIFS(Table1[[AwayWon]:[AwayWon]], Table1[[GameIsOver]:[GameIsOver]],1,Table1[[AwayTeam]:[AwayTeam]],$A29, Table1[[HomeTeam]:[HomeTeam]], AD$1) + SUMIFS(Table1[[HomeWon]:[HomeWon]], Table1[[GameIsOver]:[GameIsOver]],1,Table1[[HomeTeam]:[HomeTeam]],$A29, Table1[[AwayTeam]:[AwayTeam]], AD$1),0), "-", TEXT(SUMIFS(Table1[[HomeWon]:[HomeWon]], Table1[[GameIsOver]:[GameIsOver]],1,Table1[[AwayTeam]:[AwayTeam]],$A29, Table1[[HomeTeam]:[HomeTeam]], AD$1, Table1[[ActualResult]:[ActualResult]], "REG") + SUMIFS(Table1[[AwayWon]:[AwayWon]], Table1[[GameIsOver]:[GameIsOver]],1,Table1[[HomeTeam]:[HomeTeam]],$A29, Table1[[AwayTeam]:[AwayTeam]], AD$1, Table1[[ActualResult]:[ActualResult]], "REG"),0), "-", TEXT(SUMIFS(Table1[[HomeWon]:[HomeWon]], Table1[[GameIsOver]:[GameIsOver]],1,Table1[[AwayTeam]:[AwayTeam]],$A29, Table1[[HomeTeam]:[HomeTeam]], AD$1, Table1[[ActualResult]:[ActualResult]], "OT") + SUMIFS(Table1[[AwayWon]:[AwayWon]], Table1[[GameIsOver]:[GameIsOver]],1,Table1[[HomeTeam]:[HomeTeam]],$A29, Table1[[AwayTeam]:[AwayTeam]], AD$1, Table1[[ActualResult]:[ActualResult]], "OT") + SUMIFS(Table1[[HomeWon]:[HomeWon]], Table1[[GameIsOver]:[GameIsOver]],1,Table1[[AwayTeam]:[AwayTeam]],$A29, Table1[[HomeTeam]:[HomeTeam]], AD$1, Table1[[ActualResult]:[ActualResult]], "SO") + SUMIFS(Table1[[AwayWon]:[AwayWon]], Table1[[GameIsOver]:[GameIsOver]],1,Table1[[HomeTeam]:[HomeTeam]],$A29, Table1[[AwayTeam]:[AwayTeam]], AD$1, Table1[[ActualResult]:[ActualResult]], "SO"),0))</f>
        <v>0-0-0</v>
      </c>
      <c r="AE29" s="43" t="str">
        <f>_xlfn.CONCAT(TEXT(SUMIFS(Table1[[AwayWon]:[AwayWon]], Table1[[GameIsOver]:[GameIsOver]],1,Table1[[AwayTeam]:[AwayTeam]],$A29, Table1[[HomeTeam]:[HomeTeam]], AE$1) + SUMIFS(Table1[[HomeWon]:[HomeWon]], Table1[[GameIsOver]:[GameIsOver]],1,Table1[[HomeTeam]:[HomeTeam]],$A29, Table1[[AwayTeam]:[AwayTeam]], AE$1),0), "-", TEXT(SUMIFS(Table1[[HomeWon]:[HomeWon]], Table1[[GameIsOver]:[GameIsOver]],1,Table1[[AwayTeam]:[AwayTeam]],$A29, Table1[[HomeTeam]:[HomeTeam]], AE$1, Table1[[ActualResult]:[ActualResult]], "REG") + SUMIFS(Table1[[AwayWon]:[AwayWon]], Table1[[GameIsOver]:[GameIsOver]],1,Table1[[HomeTeam]:[HomeTeam]],$A29, Table1[[AwayTeam]:[AwayTeam]], AE$1, Table1[[ActualResult]:[ActualResult]], "REG"),0), "-", TEXT(SUMIFS(Table1[[HomeWon]:[HomeWon]], Table1[[GameIsOver]:[GameIsOver]],1,Table1[[AwayTeam]:[AwayTeam]],$A29, Table1[[HomeTeam]:[HomeTeam]], AE$1, Table1[[ActualResult]:[ActualResult]], "OT") + SUMIFS(Table1[[AwayWon]:[AwayWon]], Table1[[GameIsOver]:[GameIsOver]],1,Table1[[HomeTeam]:[HomeTeam]],$A29, Table1[[AwayTeam]:[AwayTeam]], AE$1, Table1[[ActualResult]:[ActualResult]], "OT") + SUMIFS(Table1[[HomeWon]:[HomeWon]], Table1[[GameIsOver]:[GameIsOver]],1,Table1[[AwayTeam]:[AwayTeam]],$A29, Table1[[HomeTeam]:[HomeTeam]], AE$1, Table1[[ActualResult]:[ActualResult]], "SO") + SUMIFS(Table1[[AwayWon]:[AwayWon]], Table1[[GameIsOver]:[GameIsOver]],1,Table1[[HomeTeam]:[HomeTeam]],$A29, Table1[[AwayTeam]:[AwayTeam]], AE$1, Table1[[ActualResult]:[ActualResult]], "SO"),0))</f>
        <v>0-0-0</v>
      </c>
      <c r="AF29" s="43" t="str">
        <f>_xlfn.CONCAT(TEXT(SUMIFS(Table1[[AwayWon]:[AwayWon]], Table1[[GameIsOver]:[GameIsOver]],1,Table1[[AwayTeam]:[AwayTeam]],$A29, Table1[[HomeTeam]:[HomeTeam]], AF$1) + SUMIFS(Table1[[HomeWon]:[HomeWon]], Table1[[GameIsOver]:[GameIsOver]],1,Table1[[HomeTeam]:[HomeTeam]],$A29, Table1[[AwayTeam]:[AwayTeam]], AF$1),0), "-", TEXT(SUMIFS(Table1[[HomeWon]:[HomeWon]], Table1[[GameIsOver]:[GameIsOver]],1,Table1[[AwayTeam]:[AwayTeam]],$A29, Table1[[HomeTeam]:[HomeTeam]], AF$1, Table1[[ActualResult]:[ActualResult]], "REG") + SUMIFS(Table1[[AwayWon]:[AwayWon]], Table1[[GameIsOver]:[GameIsOver]],1,Table1[[HomeTeam]:[HomeTeam]],$A29, Table1[[AwayTeam]:[AwayTeam]], AF$1, Table1[[ActualResult]:[ActualResult]], "REG"),0), "-", TEXT(SUMIFS(Table1[[HomeWon]:[HomeWon]], Table1[[GameIsOver]:[GameIsOver]],1,Table1[[AwayTeam]:[AwayTeam]],$A29, Table1[[HomeTeam]:[HomeTeam]], AF$1, Table1[[ActualResult]:[ActualResult]], "OT") + SUMIFS(Table1[[AwayWon]:[AwayWon]], Table1[[GameIsOver]:[GameIsOver]],1,Table1[[HomeTeam]:[HomeTeam]],$A29, Table1[[AwayTeam]:[AwayTeam]], AF$1, Table1[[ActualResult]:[ActualResult]], "OT") + SUMIFS(Table1[[HomeWon]:[HomeWon]], Table1[[GameIsOver]:[GameIsOver]],1,Table1[[AwayTeam]:[AwayTeam]],$A29, Table1[[HomeTeam]:[HomeTeam]], AF$1, Table1[[ActualResult]:[ActualResult]], "SO") + SUMIFS(Table1[[AwayWon]:[AwayWon]], Table1[[GameIsOver]:[GameIsOver]],1,Table1[[HomeTeam]:[HomeTeam]],$A29, Table1[[AwayTeam]:[AwayTeam]], AF$1, Table1[[ActualResult]:[ActualResult]], "SO"),0))</f>
        <v>0-0-0</v>
      </c>
      <c r="AG29" s="43" t="str">
        <f>_xlfn.CONCAT(TEXT(SUMIFS(Table1[[AwayWon]:[AwayWon]], Table1[[GameIsOver]:[GameIsOver]],1,Table1[[AwayTeam]:[AwayTeam]],$A29, Table1[[HomeTeam]:[HomeTeam]], AG$1) + SUMIFS(Table1[[HomeWon]:[HomeWon]], Table1[[GameIsOver]:[GameIsOver]],1,Table1[[HomeTeam]:[HomeTeam]],$A29, Table1[[AwayTeam]:[AwayTeam]], AG$1),0), "-", TEXT(SUMIFS(Table1[[HomeWon]:[HomeWon]], Table1[[GameIsOver]:[GameIsOver]],1,Table1[[AwayTeam]:[AwayTeam]],$A29, Table1[[HomeTeam]:[HomeTeam]], AG$1, Table1[[ActualResult]:[ActualResult]], "REG") + SUMIFS(Table1[[AwayWon]:[AwayWon]], Table1[[GameIsOver]:[GameIsOver]],1,Table1[[HomeTeam]:[HomeTeam]],$A29, Table1[[AwayTeam]:[AwayTeam]], AG$1, Table1[[ActualResult]:[ActualResult]], "REG"),0), "-", TEXT(SUMIFS(Table1[[HomeWon]:[HomeWon]], Table1[[GameIsOver]:[GameIsOver]],1,Table1[[AwayTeam]:[AwayTeam]],$A29, Table1[[HomeTeam]:[HomeTeam]], AG$1, Table1[[ActualResult]:[ActualResult]], "OT") + SUMIFS(Table1[[AwayWon]:[AwayWon]], Table1[[GameIsOver]:[GameIsOver]],1,Table1[[HomeTeam]:[HomeTeam]],$A29, Table1[[AwayTeam]:[AwayTeam]], AG$1, Table1[[ActualResult]:[ActualResult]], "OT") + SUMIFS(Table1[[HomeWon]:[HomeWon]], Table1[[GameIsOver]:[GameIsOver]],1,Table1[[AwayTeam]:[AwayTeam]],$A29, Table1[[HomeTeam]:[HomeTeam]], AG$1, Table1[[ActualResult]:[ActualResult]], "SO") + SUMIFS(Table1[[AwayWon]:[AwayWon]], Table1[[GameIsOver]:[GameIsOver]],1,Table1[[HomeTeam]:[HomeTeam]],$A29, Table1[[AwayTeam]:[AwayTeam]], AG$1, Table1[[ActualResult]:[ActualResult]], "SO"),0))</f>
        <v>0-0-0</v>
      </c>
    </row>
    <row r="30" spans="1:33" x14ac:dyDescent="0.25">
      <c r="A30" s="17" t="s">
        <v>47</v>
      </c>
      <c r="B30" s="43" t="str">
        <f>_xlfn.CONCAT(TEXT(SUMIFS(Table1[[AwayWon]:[AwayWon]], Table1[[GameIsOver]:[GameIsOver]],1,Table1[[AwayTeam]:[AwayTeam]],$A30, Table1[[HomeTeam]:[HomeTeam]], B$1) + SUMIFS(Table1[[HomeWon]:[HomeWon]], Table1[[GameIsOver]:[GameIsOver]],1,Table1[[HomeTeam]:[HomeTeam]],$A30, Table1[[AwayTeam]:[AwayTeam]], B$1),0), "-", TEXT(SUMIFS(Table1[[HomeWon]:[HomeWon]], Table1[[GameIsOver]:[GameIsOver]],1,Table1[[AwayTeam]:[AwayTeam]],$A30, Table1[[HomeTeam]:[HomeTeam]], B$1, Table1[[ActualResult]:[ActualResult]], "REG") + SUMIFS(Table1[[AwayWon]:[AwayWon]], Table1[[GameIsOver]:[GameIsOver]],1,Table1[[HomeTeam]:[HomeTeam]],$A30, Table1[[AwayTeam]:[AwayTeam]], B$1, Table1[[ActualResult]:[ActualResult]], "REG"),0), "-", TEXT(SUMIFS(Table1[[HomeWon]:[HomeWon]], Table1[[GameIsOver]:[GameIsOver]],1,Table1[[AwayTeam]:[AwayTeam]],$A30, Table1[[HomeTeam]:[HomeTeam]], B$1, Table1[[ActualResult]:[ActualResult]], "OT") + SUMIFS(Table1[[AwayWon]:[AwayWon]], Table1[[GameIsOver]:[GameIsOver]],1,Table1[[HomeTeam]:[HomeTeam]],$A30, Table1[[AwayTeam]:[AwayTeam]], B$1, Table1[[ActualResult]:[ActualResult]], "OT") + SUMIFS(Table1[[HomeWon]:[HomeWon]], Table1[[GameIsOver]:[GameIsOver]],1,Table1[[AwayTeam]:[AwayTeam]],$A30, Table1[[HomeTeam]:[HomeTeam]], B$1, Table1[[ActualResult]:[ActualResult]], "SO") + SUMIFS(Table1[[AwayWon]:[AwayWon]], Table1[[GameIsOver]:[GameIsOver]],1,Table1[[HomeTeam]:[HomeTeam]],$A30, Table1[[AwayTeam]:[AwayTeam]], B$1, Table1[[ActualResult]:[ActualResult]], "SO"),0))</f>
        <v>0-0-0</v>
      </c>
      <c r="C30" s="43" t="str">
        <f>_xlfn.CONCAT(TEXT(SUMIFS(Table1[[AwayWon]:[AwayWon]], Table1[[GameIsOver]:[GameIsOver]],1,Table1[[AwayTeam]:[AwayTeam]],$A30, Table1[[HomeTeam]:[HomeTeam]], C$1) + SUMIFS(Table1[[HomeWon]:[HomeWon]], Table1[[GameIsOver]:[GameIsOver]],1,Table1[[HomeTeam]:[HomeTeam]],$A30, Table1[[AwayTeam]:[AwayTeam]], C$1),0), "-", TEXT(SUMIFS(Table1[[HomeWon]:[HomeWon]], Table1[[GameIsOver]:[GameIsOver]],1,Table1[[AwayTeam]:[AwayTeam]],$A30, Table1[[HomeTeam]:[HomeTeam]], C$1, Table1[[ActualResult]:[ActualResult]], "REG") + SUMIFS(Table1[[AwayWon]:[AwayWon]], Table1[[GameIsOver]:[GameIsOver]],1,Table1[[HomeTeam]:[HomeTeam]],$A30, Table1[[AwayTeam]:[AwayTeam]], C$1, Table1[[ActualResult]:[ActualResult]], "REG"),0), "-", TEXT(SUMIFS(Table1[[HomeWon]:[HomeWon]], Table1[[GameIsOver]:[GameIsOver]],1,Table1[[AwayTeam]:[AwayTeam]],$A30, Table1[[HomeTeam]:[HomeTeam]], C$1, Table1[[ActualResult]:[ActualResult]], "OT") + SUMIFS(Table1[[AwayWon]:[AwayWon]], Table1[[GameIsOver]:[GameIsOver]],1,Table1[[HomeTeam]:[HomeTeam]],$A30, Table1[[AwayTeam]:[AwayTeam]], C$1, Table1[[ActualResult]:[ActualResult]], "OT") + SUMIFS(Table1[[HomeWon]:[HomeWon]], Table1[[GameIsOver]:[GameIsOver]],1,Table1[[AwayTeam]:[AwayTeam]],$A30, Table1[[HomeTeam]:[HomeTeam]], C$1, Table1[[ActualResult]:[ActualResult]], "SO") + SUMIFS(Table1[[AwayWon]:[AwayWon]], Table1[[GameIsOver]:[GameIsOver]],1,Table1[[HomeTeam]:[HomeTeam]],$A30, Table1[[AwayTeam]:[AwayTeam]], C$1, Table1[[ActualResult]:[ActualResult]], "SO"),0))</f>
        <v>0-0-0</v>
      </c>
      <c r="D30" s="43" t="str">
        <f>_xlfn.CONCAT(TEXT(SUMIFS(Table1[[AwayWon]:[AwayWon]], Table1[[GameIsOver]:[GameIsOver]],1,Table1[[AwayTeam]:[AwayTeam]],$A30, Table1[[HomeTeam]:[HomeTeam]], D$1) + SUMIFS(Table1[[HomeWon]:[HomeWon]], Table1[[GameIsOver]:[GameIsOver]],1,Table1[[HomeTeam]:[HomeTeam]],$A30, Table1[[AwayTeam]:[AwayTeam]], D$1),0), "-", TEXT(SUMIFS(Table1[[HomeWon]:[HomeWon]], Table1[[GameIsOver]:[GameIsOver]],1,Table1[[AwayTeam]:[AwayTeam]],$A30, Table1[[HomeTeam]:[HomeTeam]], D$1, Table1[[ActualResult]:[ActualResult]], "REG") + SUMIFS(Table1[[AwayWon]:[AwayWon]], Table1[[GameIsOver]:[GameIsOver]],1,Table1[[HomeTeam]:[HomeTeam]],$A30, Table1[[AwayTeam]:[AwayTeam]], D$1, Table1[[ActualResult]:[ActualResult]], "REG"),0), "-", TEXT(SUMIFS(Table1[[HomeWon]:[HomeWon]], Table1[[GameIsOver]:[GameIsOver]],1,Table1[[AwayTeam]:[AwayTeam]],$A30, Table1[[HomeTeam]:[HomeTeam]], D$1, Table1[[ActualResult]:[ActualResult]], "OT") + SUMIFS(Table1[[AwayWon]:[AwayWon]], Table1[[GameIsOver]:[GameIsOver]],1,Table1[[HomeTeam]:[HomeTeam]],$A30, Table1[[AwayTeam]:[AwayTeam]], D$1, Table1[[ActualResult]:[ActualResult]], "OT") + SUMIFS(Table1[[HomeWon]:[HomeWon]], Table1[[GameIsOver]:[GameIsOver]],1,Table1[[AwayTeam]:[AwayTeam]],$A30, Table1[[HomeTeam]:[HomeTeam]], D$1, Table1[[ActualResult]:[ActualResult]], "SO") + SUMIFS(Table1[[AwayWon]:[AwayWon]], Table1[[GameIsOver]:[GameIsOver]],1,Table1[[HomeTeam]:[HomeTeam]],$A30, Table1[[AwayTeam]:[AwayTeam]], D$1, Table1[[ActualResult]:[ActualResult]], "SO"),0))</f>
        <v>0-0-0</v>
      </c>
      <c r="E30" s="43" t="str">
        <f>_xlfn.CONCAT(TEXT(SUMIFS(Table1[[AwayWon]:[AwayWon]], Table1[[GameIsOver]:[GameIsOver]],1,Table1[[AwayTeam]:[AwayTeam]],$A30, Table1[[HomeTeam]:[HomeTeam]], E$1) + SUMIFS(Table1[[HomeWon]:[HomeWon]], Table1[[GameIsOver]:[GameIsOver]],1,Table1[[HomeTeam]:[HomeTeam]],$A30, Table1[[AwayTeam]:[AwayTeam]], E$1),0), "-", TEXT(SUMIFS(Table1[[HomeWon]:[HomeWon]], Table1[[GameIsOver]:[GameIsOver]],1,Table1[[AwayTeam]:[AwayTeam]],$A30, Table1[[HomeTeam]:[HomeTeam]], E$1, Table1[[ActualResult]:[ActualResult]], "REG") + SUMIFS(Table1[[AwayWon]:[AwayWon]], Table1[[GameIsOver]:[GameIsOver]],1,Table1[[HomeTeam]:[HomeTeam]],$A30, Table1[[AwayTeam]:[AwayTeam]], E$1, Table1[[ActualResult]:[ActualResult]], "REG"),0), "-", TEXT(SUMIFS(Table1[[HomeWon]:[HomeWon]], Table1[[GameIsOver]:[GameIsOver]],1,Table1[[AwayTeam]:[AwayTeam]],$A30, Table1[[HomeTeam]:[HomeTeam]], E$1, Table1[[ActualResult]:[ActualResult]], "OT") + SUMIFS(Table1[[AwayWon]:[AwayWon]], Table1[[GameIsOver]:[GameIsOver]],1,Table1[[HomeTeam]:[HomeTeam]],$A30, Table1[[AwayTeam]:[AwayTeam]], E$1, Table1[[ActualResult]:[ActualResult]], "OT") + SUMIFS(Table1[[HomeWon]:[HomeWon]], Table1[[GameIsOver]:[GameIsOver]],1,Table1[[AwayTeam]:[AwayTeam]],$A30, Table1[[HomeTeam]:[HomeTeam]], E$1, Table1[[ActualResult]:[ActualResult]], "SO") + SUMIFS(Table1[[AwayWon]:[AwayWon]], Table1[[GameIsOver]:[GameIsOver]],1,Table1[[HomeTeam]:[HomeTeam]],$A30, Table1[[AwayTeam]:[AwayTeam]], E$1, Table1[[ActualResult]:[ActualResult]], "SO"),0))</f>
        <v>0-0-0</v>
      </c>
      <c r="F30" s="43" t="str">
        <f>_xlfn.CONCAT(TEXT(SUMIFS(Table1[[AwayWon]:[AwayWon]], Table1[[GameIsOver]:[GameIsOver]],1,Table1[[AwayTeam]:[AwayTeam]],$A30, Table1[[HomeTeam]:[HomeTeam]], F$1) + SUMIFS(Table1[[HomeWon]:[HomeWon]], Table1[[GameIsOver]:[GameIsOver]],1,Table1[[HomeTeam]:[HomeTeam]],$A30, Table1[[AwayTeam]:[AwayTeam]], F$1),0), "-", TEXT(SUMIFS(Table1[[HomeWon]:[HomeWon]], Table1[[GameIsOver]:[GameIsOver]],1,Table1[[AwayTeam]:[AwayTeam]],$A30, Table1[[HomeTeam]:[HomeTeam]], F$1, Table1[[ActualResult]:[ActualResult]], "REG") + SUMIFS(Table1[[AwayWon]:[AwayWon]], Table1[[GameIsOver]:[GameIsOver]],1,Table1[[HomeTeam]:[HomeTeam]],$A30, Table1[[AwayTeam]:[AwayTeam]], F$1, Table1[[ActualResult]:[ActualResult]], "REG"),0), "-", TEXT(SUMIFS(Table1[[HomeWon]:[HomeWon]], Table1[[GameIsOver]:[GameIsOver]],1,Table1[[AwayTeam]:[AwayTeam]],$A30, Table1[[HomeTeam]:[HomeTeam]], F$1, Table1[[ActualResult]:[ActualResult]], "OT") + SUMIFS(Table1[[AwayWon]:[AwayWon]], Table1[[GameIsOver]:[GameIsOver]],1,Table1[[HomeTeam]:[HomeTeam]],$A30, Table1[[AwayTeam]:[AwayTeam]], F$1, Table1[[ActualResult]:[ActualResult]], "OT") + SUMIFS(Table1[[HomeWon]:[HomeWon]], Table1[[GameIsOver]:[GameIsOver]],1,Table1[[AwayTeam]:[AwayTeam]],$A30, Table1[[HomeTeam]:[HomeTeam]], F$1, Table1[[ActualResult]:[ActualResult]], "SO") + SUMIFS(Table1[[AwayWon]:[AwayWon]], Table1[[GameIsOver]:[GameIsOver]],1,Table1[[HomeTeam]:[HomeTeam]],$A30, Table1[[AwayTeam]:[AwayTeam]], F$1, Table1[[ActualResult]:[ActualResult]], "SO"),0))</f>
        <v>0-0-0</v>
      </c>
      <c r="G30" s="43" t="str">
        <f>_xlfn.CONCAT(TEXT(SUMIFS(Table1[[AwayWon]:[AwayWon]], Table1[[GameIsOver]:[GameIsOver]],1,Table1[[AwayTeam]:[AwayTeam]],$A30, Table1[[HomeTeam]:[HomeTeam]], G$1) + SUMIFS(Table1[[HomeWon]:[HomeWon]], Table1[[GameIsOver]:[GameIsOver]],1,Table1[[HomeTeam]:[HomeTeam]],$A30, Table1[[AwayTeam]:[AwayTeam]], G$1),0), "-", TEXT(SUMIFS(Table1[[HomeWon]:[HomeWon]], Table1[[GameIsOver]:[GameIsOver]],1,Table1[[AwayTeam]:[AwayTeam]],$A30, Table1[[HomeTeam]:[HomeTeam]], G$1, Table1[[ActualResult]:[ActualResult]], "REG") + SUMIFS(Table1[[AwayWon]:[AwayWon]], Table1[[GameIsOver]:[GameIsOver]],1,Table1[[HomeTeam]:[HomeTeam]],$A30, Table1[[AwayTeam]:[AwayTeam]], G$1, Table1[[ActualResult]:[ActualResult]], "REG"),0), "-", TEXT(SUMIFS(Table1[[HomeWon]:[HomeWon]], Table1[[GameIsOver]:[GameIsOver]],1,Table1[[AwayTeam]:[AwayTeam]],$A30, Table1[[HomeTeam]:[HomeTeam]], G$1, Table1[[ActualResult]:[ActualResult]], "OT") + SUMIFS(Table1[[AwayWon]:[AwayWon]], Table1[[GameIsOver]:[GameIsOver]],1,Table1[[HomeTeam]:[HomeTeam]],$A30, Table1[[AwayTeam]:[AwayTeam]], G$1, Table1[[ActualResult]:[ActualResult]], "OT") + SUMIFS(Table1[[HomeWon]:[HomeWon]], Table1[[GameIsOver]:[GameIsOver]],1,Table1[[AwayTeam]:[AwayTeam]],$A30, Table1[[HomeTeam]:[HomeTeam]], G$1, Table1[[ActualResult]:[ActualResult]], "SO") + SUMIFS(Table1[[AwayWon]:[AwayWon]], Table1[[GameIsOver]:[GameIsOver]],1,Table1[[HomeTeam]:[HomeTeam]],$A30, Table1[[AwayTeam]:[AwayTeam]], G$1, Table1[[ActualResult]:[ActualResult]], "SO"),0))</f>
        <v>0-0-0</v>
      </c>
      <c r="H30" s="43" t="str">
        <f>_xlfn.CONCAT(TEXT(SUMIFS(Table1[[AwayWon]:[AwayWon]], Table1[[GameIsOver]:[GameIsOver]],1,Table1[[AwayTeam]:[AwayTeam]],$A30, Table1[[HomeTeam]:[HomeTeam]], H$1) + SUMIFS(Table1[[HomeWon]:[HomeWon]], Table1[[GameIsOver]:[GameIsOver]],1,Table1[[HomeTeam]:[HomeTeam]],$A30, Table1[[AwayTeam]:[AwayTeam]], H$1),0), "-", TEXT(SUMIFS(Table1[[HomeWon]:[HomeWon]], Table1[[GameIsOver]:[GameIsOver]],1,Table1[[AwayTeam]:[AwayTeam]],$A30, Table1[[HomeTeam]:[HomeTeam]], H$1, Table1[[ActualResult]:[ActualResult]], "REG") + SUMIFS(Table1[[AwayWon]:[AwayWon]], Table1[[GameIsOver]:[GameIsOver]],1,Table1[[HomeTeam]:[HomeTeam]],$A30, Table1[[AwayTeam]:[AwayTeam]], H$1, Table1[[ActualResult]:[ActualResult]], "REG"),0), "-", TEXT(SUMIFS(Table1[[HomeWon]:[HomeWon]], Table1[[GameIsOver]:[GameIsOver]],1,Table1[[AwayTeam]:[AwayTeam]],$A30, Table1[[HomeTeam]:[HomeTeam]], H$1, Table1[[ActualResult]:[ActualResult]], "OT") + SUMIFS(Table1[[AwayWon]:[AwayWon]], Table1[[GameIsOver]:[GameIsOver]],1,Table1[[HomeTeam]:[HomeTeam]],$A30, Table1[[AwayTeam]:[AwayTeam]], H$1, Table1[[ActualResult]:[ActualResult]], "OT") + SUMIFS(Table1[[HomeWon]:[HomeWon]], Table1[[GameIsOver]:[GameIsOver]],1,Table1[[AwayTeam]:[AwayTeam]],$A30, Table1[[HomeTeam]:[HomeTeam]], H$1, Table1[[ActualResult]:[ActualResult]], "SO") + SUMIFS(Table1[[AwayWon]:[AwayWon]], Table1[[GameIsOver]:[GameIsOver]],1,Table1[[HomeTeam]:[HomeTeam]],$A30, Table1[[AwayTeam]:[AwayTeam]], H$1, Table1[[ActualResult]:[ActualResult]], "SO"),0))</f>
        <v>0-0-0</v>
      </c>
      <c r="I30" s="45" t="str">
        <f>_xlfn.CONCAT(TEXT(SUMIFS(Table1[[AwayWon]:[AwayWon]], Table1[[GameIsOver]:[GameIsOver]],1,Table1[[AwayTeam]:[AwayTeam]],$A30, Table1[[HomeTeam]:[HomeTeam]], I$1) + SUMIFS(Table1[[HomeWon]:[HomeWon]], Table1[[GameIsOver]:[GameIsOver]],1,Table1[[HomeTeam]:[HomeTeam]],$A30, Table1[[AwayTeam]:[AwayTeam]], I$1),0), "-", TEXT(SUMIFS(Table1[[HomeWon]:[HomeWon]], Table1[[GameIsOver]:[GameIsOver]],1,Table1[[AwayTeam]:[AwayTeam]],$A30, Table1[[HomeTeam]:[HomeTeam]], I$1, Table1[[ActualResult]:[ActualResult]], "REG") + SUMIFS(Table1[[AwayWon]:[AwayWon]], Table1[[GameIsOver]:[GameIsOver]],1,Table1[[HomeTeam]:[HomeTeam]],$A30, Table1[[AwayTeam]:[AwayTeam]], I$1, Table1[[ActualResult]:[ActualResult]], "REG"),0), "-", TEXT(SUMIFS(Table1[[HomeWon]:[HomeWon]], Table1[[GameIsOver]:[GameIsOver]],1,Table1[[AwayTeam]:[AwayTeam]],$A30, Table1[[HomeTeam]:[HomeTeam]], I$1, Table1[[ActualResult]:[ActualResult]], "OT") + SUMIFS(Table1[[AwayWon]:[AwayWon]], Table1[[GameIsOver]:[GameIsOver]],1,Table1[[HomeTeam]:[HomeTeam]],$A30, Table1[[AwayTeam]:[AwayTeam]], I$1, Table1[[ActualResult]:[ActualResult]], "OT") + SUMIFS(Table1[[HomeWon]:[HomeWon]], Table1[[GameIsOver]:[GameIsOver]],1,Table1[[AwayTeam]:[AwayTeam]],$A30, Table1[[HomeTeam]:[HomeTeam]], I$1, Table1[[ActualResult]:[ActualResult]], "SO") + SUMIFS(Table1[[AwayWon]:[AwayWon]], Table1[[GameIsOver]:[GameIsOver]],1,Table1[[HomeTeam]:[HomeTeam]],$A30, Table1[[AwayTeam]:[AwayTeam]], I$1, Table1[[ActualResult]:[ActualResult]], "SO"),0))</f>
        <v>0-0-0</v>
      </c>
      <c r="J30" s="43" t="str">
        <f>_xlfn.CONCAT(TEXT(SUMIFS(Table1[[AwayWon]:[AwayWon]], Table1[[GameIsOver]:[GameIsOver]],1,Table1[[AwayTeam]:[AwayTeam]],$A30, Table1[[HomeTeam]:[HomeTeam]], J$1) + SUMIFS(Table1[[HomeWon]:[HomeWon]], Table1[[GameIsOver]:[GameIsOver]],1,Table1[[HomeTeam]:[HomeTeam]],$A30, Table1[[AwayTeam]:[AwayTeam]], J$1),0), "-", TEXT(SUMIFS(Table1[[HomeWon]:[HomeWon]], Table1[[GameIsOver]:[GameIsOver]],1,Table1[[AwayTeam]:[AwayTeam]],$A30, Table1[[HomeTeam]:[HomeTeam]], J$1, Table1[[ActualResult]:[ActualResult]], "REG") + SUMIFS(Table1[[AwayWon]:[AwayWon]], Table1[[GameIsOver]:[GameIsOver]],1,Table1[[HomeTeam]:[HomeTeam]],$A30, Table1[[AwayTeam]:[AwayTeam]], J$1, Table1[[ActualResult]:[ActualResult]], "REG"),0), "-", TEXT(SUMIFS(Table1[[HomeWon]:[HomeWon]], Table1[[GameIsOver]:[GameIsOver]],1,Table1[[AwayTeam]:[AwayTeam]],$A30, Table1[[HomeTeam]:[HomeTeam]], J$1, Table1[[ActualResult]:[ActualResult]], "OT") + SUMIFS(Table1[[AwayWon]:[AwayWon]], Table1[[GameIsOver]:[GameIsOver]],1,Table1[[HomeTeam]:[HomeTeam]],$A30, Table1[[AwayTeam]:[AwayTeam]], J$1, Table1[[ActualResult]:[ActualResult]], "OT") + SUMIFS(Table1[[HomeWon]:[HomeWon]], Table1[[GameIsOver]:[GameIsOver]],1,Table1[[AwayTeam]:[AwayTeam]],$A30, Table1[[HomeTeam]:[HomeTeam]], J$1, Table1[[ActualResult]:[ActualResult]], "SO") + SUMIFS(Table1[[AwayWon]:[AwayWon]], Table1[[GameIsOver]:[GameIsOver]],1,Table1[[HomeTeam]:[HomeTeam]],$A30, Table1[[AwayTeam]:[AwayTeam]], J$1, Table1[[ActualResult]:[ActualResult]], "SO"),0))</f>
        <v>0-0-0</v>
      </c>
      <c r="K30" s="43" t="str">
        <f>_xlfn.CONCAT(TEXT(SUMIFS(Table1[[AwayWon]:[AwayWon]], Table1[[GameIsOver]:[GameIsOver]],1,Table1[[AwayTeam]:[AwayTeam]],$A30, Table1[[HomeTeam]:[HomeTeam]], K$1) + SUMIFS(Table1[[HomeWon]:[HomeWon]], Table1[[GameIsOver]:[GameIsOver]],1,Table1[[HomeTeam]:[HomeTeam]],$A30, Table1[[AwayTeam]:[AwayTeam]], K$1),0), "-", TEXT(SUMIFS(Table1[[HomeWon]:[HomeWon]], Table1[[GameIsOver]:[GameIsOver]],1,Table1[[AwayTeam]:[AwayTeam]],$A30, Table1[[HomeTeam]:[HomeTeam]], K$1, Table1[[ActualResult]:[ActualResult]], "REG") + SUMIFS(Table1[[AwayWon]:[AwayWon]], Table1[[GameIsOver]:[GameIsOver]],1,Table1[[HomeTeam]:[HomeTeam]],$A30, Table1[[AwayTeam]:[AwayTeam]], K$1, Table1[[ActualResult]:[ActualResult]], "REG"),0), "-", TEXT(SUMIFS(Table1[[HomeWon]:[HomeWon]], Table1[[GameIsOver]:[GameIsOver]],1,Table1[[AwayTeam]:[AwayTeam]],$A30, Table1[[HomeTeam]:[HomeTeam]], K$1, Table1[[ActualResult]:[ActualResult]], "OT") + SUMIFS(Table1[[AwayWon]:[AwayWon]], Table1[[GameIsOver]:[GameIsOver]],1,Table1[[HomeTeam]:[HomeTeam]],$A30, Table1[[AwayTeam]:[AwayTeam]], K$1, Table1[[ActualResult]:[ActualResult]], "OT") + SUMIFS(Table1[[HomeWon]:[HomeWon]], Table1[[GameIsOver]:[GameIsOver]],1,Table1[[AwayTeam]:[AwayTeam]],$A30, Table1[[HomeTeam]:[HomeTeam]], K$1, Table1[[ActualResult]:[ActualResult]], "SO") + SUMIFS(Table1[[AwayWon]:[AwayWon]], Table1[[GameIsOver]:[GameIsOver]],1,Table1[[HomeTeam]:[HomeTeam]],$A30, Table1[[AwayTeam]:[AwayTeam]], K$1, Table1[[ActualResult]:[ActualResult]], "SO"),0))</f>
        <v>0-0-0</v>
      </c>
      <c r="L30" s="43" t="str">
        <f>_xlfn.CONCAT(TEXT(SUMIFS(Table1[[AwayWon]:[AwayWon]], Table1[[GameIsOver]:[GameIsOver]],1,Table1[[AwayTeam]:[AwayTeam]],$A30, Table1[[HomeTeam]:[HomeTeam]], L$1) + SUMIFS(Table1[[HomeWon]:[HomeWon]], Table1[[GameIsOver]:[GameIsOver]],1,Table1[[HomeTeam]:[HomeTeam]],$A30, Table1[[AwayTeam]:[AwayTeam]], L$1),0), "-", TEXT(SUMIFS(Table1[[HomeWon]:[HomeWon]], Table1[[GameIsOver]:[GameIsOver]],1,Table1[[AwayTeam]:[AwayTeam]],$A30, Table1[[HomeTeam]:[HomeTeam]], L$1, Table1[[ActualResult]:[ActualResult]], "REG") + SUMIFS(Table1[[AwayWon]:[AwayWon]], Table1[[GameIsOver]:[GameIsOver]],1,Table1[[HomeTeam]:[HomeTeam]],$A30, Table1[[AwayTeam]:[AwayTeam]], L$1, Table1[[ActualResult]:[ActualResult]], "REG"),0), "-", TEXT(SUMIFS(Table1[[HomeWon]:[HomeWon]], Table1[[GameIsOver]:[GameIsOver]],1,Table1[[AwayTeam]:[AwayTeam]],$A30, Table1[[HomeTeam]:[HomeTeam]], L$1, Table1[[ActualResult]:[ActualResult]], "OT") + SUMIFS(Table1[[AwayWon]:[AwayWon]], Table1[[GameIsOver]:[GameIsOver]],1,Table1[[HomeTeam]:[HomeTeam]],$A30, Table1[[AwayTeam]:[AwayTeam]], L$1, Table1[[ActualResult]:[ActualResult]], "OT") + SUMIFS(Table1[[HomeWon]:[HomeWon]], Table1[[GameIsOver]:[GameIsOver]],1,Table1[[AwayTeam]:[AwayTeam]],$A30, Table1[[HomeTeam]:[HomeTeam]], L$1, Table1[[ActualResult]:[ActualResult]], "SO") + SUMIFS(Table1[[AwayWon]:[AwayWon]], Table1[[GameIsOver]:[GameIsOver]],1,Table1[[HomeTeam]:[HomeTeam]],$A30, Table1[[AwayTeam]:[AwayTeam]], L$1, Table1[[ActualResult]:[ActualResult]], "SO"),0))</f>
        <v>0-0-0</v>
      </c>
      <c r="M30" s="43" t="str">
        <f>_xlfn.CONCAT(TEXT(SUMIFS(Table1[[AwayWon]:[AwayWon]], Table1[[GameIsOver]:[GameIsOver]],1,Table1[[AwayTeam]:[AwayTeam]],$A30, Table1[[HomeTeam]:[HomeTeam]], M$1) + SUMIFS(Table1[[HomeWon]:[HomeWon]], Table1[[GameIsOver]:[GameIsOver]],1,Table1[[HomeTeam]:[HomeTeam]],$A30, Table1[[AwayTeam]:[AwayTeam]], M$1),0), "-", TEXT(SUMIFS(Table1[[HomeWon]:[HomeWon]], Table1[[GameIsOver]:[GameIsOver]],1,Table1[[AwayTeam]:[AwayTeam]],$A30, Table1[[HomeTeam]:[HomeTeam]], M$1, Table1[[ActualResult]:[ActualResult]], "REG") + SUMIFS(Table1[[AwayWon]:[AwayWon]], Table1[[GameIsOver]:[GameIsOver]],1,Table1[[HomeTeam]:[HomeTeam]],$A30, Table1[[AwayTeam]:[AwayTeam]], M$1, Table1[[ActualResult]:[ActualResult]], "REG"),0), "-", TEXT(SUMIFS(Table1[[HomeWon]:[HomeWon]], Table1[[GameIsOver]:[GameIsOver]],1,Table1[[AwayTeam]:[AwayTeam]],$A30, Table1[[HomeTeam]:[HomeTeam]], M$1, Table1[[ActualResult]:[ActualResult]], "OT") + SUMIFS(Table1[[AwayWon]:[AwayWon]], Table1[[GameIsOver]:[GameIsOver]],1,Table1[[HomeTeam]:[HomeTeam]],$A30, Table1[[AwayTeam]:[AwayTeam]], M$1, Table1[[ActualResult]:[ActualResult]], "OT") + SUMIFS(Table1[[HomeWon]:[HomeWon]], Table1[[GameIsOver]:[GameIsOver]],1,Table1[[AwayTeam]:[AwayTeam]],$A30, Table1[[HomeTeam]:[HomeTeam]], M$1, Table1[[ActualResult]:[ActualResult]], "SO") + SUMIFS(Table1[[AwayWon]:[AwayWon]], Table1[[GameIsOver]:[GameIsOver]],1,Table1[[HomeTeam]:[HomeTeam]],$A30, Table1[[AwayTeam]:[AwayTeam]], M$1, Table1[[ActualResult]:[ActualResult]], "SO"),0))</f>
        <v>0-0-0</v>
      </c>
      <c r="N30" s="43" t="str">
        <f>_xlfn.CONCAT(TEXT(SUMIFS(Table1[[AwayWon]:[AwayWon]], Table1[[GameIsOver]:[GameIsOver]],1,Table1[[AwayTeam]:[AwayTeam]],$A30, Table1[[HomeTeam]:[HomeTeam]], N$1) + SUMIFS(Table1[[HomeWon]:[HomeWon]], Table1[[GameIsOver]:[GameIsOver]],1,Table1[[HomeTeam]:[HomeTeam]],$A30, Table1[[AwayTeam]:[AwayTeam]], N$1),0), "-", TEXT(SUMIFS(Table1[[HomeWon]:[HomeWon]], Table1[[GameIsOver]:[GameIsOver]],1,Table1[[AwayTeam]:[AwayTeam]],$A30, Table1[[HomeTeam]:[HomeTeam]], N$1, Table1[[ActualResult]:[ActualResult]], "REG") + SUMIFS(Table1[[AwayWon]:[AwayWon]], Table1[[GameIsOver]:[GameIsOver]],1,Table1[[HomeTeam]:[HomeTeam]],$A30, Table1[[AwayTeam]:[AwayTeam]], N$1, Table1[[ActualResult]:[ActualResult]], "REG"),0), "-", TEXT(SUMIFS(Table1[[HomeWon]:[HomeWon]], Table1[[GameIsOver]:[GameIsOver]],1,Table1[[AwayTeam]:[AwayTeam]],$A30, Table1[[HomeTeam]:[HomeTeam]], N$1, Table1[[ActualResult]:[ActualResult]], "OT") + SUMIFS(Table1[[AwayWon]:[AwayWon]], Table1[[GameIsOver]:[GameIsOver]],1,Table1[[HomeTeam]:[HomeTeam]],$A30, Table1[[AwayTeam]:[AwayTeam]], N$1, Table1[[ActualResult]:[ActualResult]], "OT") + SUMIFS(Table1[[HomeWon]:[HomeWon]], Table1[[GameIsOver]:[GameIsOver]],1,Table1[[AwayTeam]:[AwayTeam]],$A30, Table1[[HomeTeam]:[HomeTeam]], N$1, Table1[[ActualResult]:[ActualResult]], "SO") + SUMIFS(Table1[[AwayWon]:[AwayWon]], Table1[[GameIsOver]:[GameIsOver]],1,Table1[[HomeTeam]:[HomeTeam]],$A30, Table1[[AwayTeam]:[AwayTeam]], N$1, Table1[[ActualResult]:[ActualResult]], "SO"),0))</f>
        <v>0-0-0</v>
      </c>
      <c r="O30" s="43" t="str">
        <f>_xlfn.CONCAT(TEXT(SUMIFS(Table1[[AwayWon]:[AwayWon]], Table1[[GameIsOver]:[GameIsOver]],1,Table1[[AwayTeam]:[AwayTeam]],$A30, Table1[[HomeTeam]:[HomeTeam]], O$1) + SUMIFS(Table1[[HomeWon]:[HomeWon]], Table1[[GameIsOver]:[GameIsOver]],1,Table1[[HomeTeam]:[HomeTeam]],$A30, Table1[[AwayTeam]:[AwayTeam]], O$1),0), "-", TEXT(SUMIFS(Table1[[HomeWon]:[HomeWon]], Table1[[GameIsOver]:[GameIsOver]],1,Table1[[AwayTeam]:[AwayTeam]],$A30, Table1[[HomeTeam]:[HomeTeam]], O$1, Table1[[ActualResult]:[ActualResult]], "REG") + SUMIFS(Table1[[AwayWon]:[AwayWon]], Table1[[GameIsOver]:[GameIsOver]],1,Table1[[HomeTeam]:[HomeTeam]],$A30, Table1[[AwayTeam]:[AwayTeam]], O$1, Table1[[ActualResult]:[ActualResult]], "REG"),0), "-", TEXT(SUMIFS(Table1[[HomeWon]:[HomeWon]], Table1[[GameIsOver]:[GameIsOver]],1,Table1[[AwayTeam]:[AwayTeam]],$A30, Table1[[HomeTeam]:[HomeTeam]], O$1, Table1[[ActualResult]:[ActualResult]], "OT") + SUMIFS(Table1[[AwayWon]:[AwayWon]], Table1[[GameIsOver]:[GameIsOver]],1,Table1[[HomeTeam]:[HomeTeam]],$A30, Table1[[AwayTeam]:[AwayTeam]], O$1, Table1[[ActualResult]:[ActualResult]], "OT") + SUMIFS(Table1[[HomeWon]:[HomeWon]], Table1[[GameIsOver]:[GameIsOver]],1,Table1[[AwayTeam]:[AwayTeam]],$A30, Table1[[HomeTeam]:[HomeTeam]], O$1, Table1[[ActualResult]:[ActualResult]], "SO") + SUMIFS(Table1[[AwayWon]:[AwayWon]], Table1[[GameIsOver]:[GameIsOver]],1,Table1[[HomeTeam]:[HomeTeam]],$A30, Table1[[AwayTeam]:[AwayTeam]], O$1, Table1[[ActualResult]:[ActualResult]], "SO"),0))</f>
        <v>0-0-0</v>
      </c>
      <c r="P30" s="43" t="str">
        <f>_xlfn.CONCAT(TEXT(SUMIFS(Table1[[AwayWon]:[AwayWon]], Table1[[GameIsOver]:[GameIsOver]],1,Table1[[AwayTeam]:[AwayTeam]],$A30, Table1[[HomeTeam]:[HomeTeam]], P$1) + SUMIFS(Table1[[HomeWon]:[HomeWon]], Table1[[GameIsOver]:[GameIsOver]],1,Table1[[HomeTeam]:[HomeTeam]],$A30, Table1[[AwayTeam]:[AwayTeam]], P$1),0), "-", TEXT(SUMIFS(Table1[[HomeWon]:[HomeWon]], Table1[[GameIsOver]:[GameIsOver]],1,Table1[[AwayTeam]:[AwayTeam]],$A30, Table1[[HomeTeam]:[HomeTeam]], P$1, Table1[[ActualResult]:[ActualResult]], "REG") + SUMIFS(Table1[[AwayWon]:[AwayWon]], Table1[[GameIsOver]:[GameIsOver]],1,Table1[[HomeTeam]:[HomeTeam]],$A30, Table1[[AwayTeam]:[AwayTeam]], P$1, Table1[[ActualResult]:[ActualResult]], "REG"),0), "-", TEXT(SUMIFS(Table1[[HomeWon]:[HomeWon]], Table1[[GameIsOver]:[GameIsOver]],1,Table1[[AwayTeam]:[AwayTeam]],$A30, Table1[[HomeTeam]:[HomeTeam]], P$1, Table1[[ActualResult]:[ActualResult]], "OT") + SUMIFS(Table1[[AwayWon]:[AwayWon]], Table1[[GameIsOver]:[GameIsOver]],1,Table1[[HomeTeam]:[HomeTeam]],$A30, Table1[[AwayTeam]:[AwayTeam]], P$1, Table1[[ActualResult]:[ActualResult]], "OT") + SUMIFS(Table1[[HomeWon]:[HomeWon]], Table1[[GameIsOver]:[GameIsOver]],1,Table1[[AwayTeam]:[AwayTeam]],$A30, Table1[[HomeTeam]:[HomeTeam]], P$1, Table1[[ActualResult]:[ActualResult]], "SO") + SUMIFS(Table1[[AwayWon]:[AwayWon]], Table1[[GameIsOver]:[GameIsOver]],1,Table1[[HomeTeam]:[HomeTeam]],$A30, Table1[[AwayTeam]:[AwayTeam]], P$1, Table1[[ActualResult]:[ActualResult]], "SO"),0))</f>
        <v>0-0-0</v>
      </c>
      <c r="Q30" s="45" t="str">
        <f>_xlfn.CONCAT(TEXT(SUMIFS(Table1[[AwayWon]:[AwayWon]], Table1[[GameIsOver]:[GameIsOver]],1,Table1[[AwayTeam]:[AwayTeam]],$A30, Table1[[HomeTeam]:[HomeTeam]], Q$1) + SUMIFS(Table1[[HomeWon]:[HomeWon]], Table1[[GameIsOver]:[GameIsOver]],1,Table1[[HomeTeam]:[HomeTeam]],$A30, Table1[[AwayTeam]:[AwayTeam]], Q$1),0), "-", TEXT(SUMIFS(Table1[[HomeWon]:[HomeWon]], Table1[[GameIsOver]:[GameIsOver]],1,Table1[[AwayTeam]:[AwayTeam]],$A30, Table1[[HomeTeam]:[HomeTeam]], Q$1, Table1[[ActualResult]:[ActualResult]], "REG") + SUMIFS(Table1[[AwayWon]:[AwayWon]], Table1[[GameIsOver]:[GameIsOver]],1,Table1[[HomeTeam]:[HomeTeam]],$A30, Table1[[AwayTeam]:[AwayTeam]], Q$1, Table1[[ActualResult]:[ActualResult]], "REG"),0), "-", TEXT(SUMIFS(Table1[[HomeWon]:[HomeWon]], Table1[[GameIsOver]:[GameIsOver]],1,Table1[[AwayTeam]:[AwayTeam]],$A30, Table1[[HomeTeam]:[HomeTeam]], Q$1, Table1[[ActualResult]:[ActualResult]], "OT") + SUMIFS(Table1[[AwayWon]:[AwayWon]], Table1[[GameIsOver]:[GameIsOver]],1,Table1[[HomeTeam]:[HomeTeam]],$A30, Table1[[AwayTeam]:[AwayTeam]], Q$1, Table1[[ActualResult]:[ActualResult]], "OT") + SUMIFS(Table1[[HomeWon]:[HomeWon]], Table1[[GameIsOver]:[GameIsOver]],1,Table1[[AwayTeam]:[AwayTeam]],$A30, Table1[[HomeTeam]:[HomeTeam]], Q$1, Table1[[ActualResult]:[ActualResult]], "SO") + SUMIFS(Table1[[AwayWon]:[AwayWon]], Table1[[GameIsOver]:[GameIsOver]],1,Table1[[HomeTeam]:[HomeTeam]],$A30, Table1[[AwayTeam]:[AwayTeam]], Q$1, Table1[[ActualResult]:[ActualResult]], "SO"),0))</f>
        <v>0-0-0</v>
      </c>
      <c r="R30" s="43" t="str">
        <f>_xlfn.CONCAT(TEXT(SUMIFS(Table1[[AwayWon]:[AwayWon]], Table1[[GameIsOver]:[GameIsOver]],1,Table1[[AwayTeam]:[AwayTeam]],$A30, Table1[[HomeTeam]:[HomeTeam]], R$1) + SUMIFS(Table1[[HomeWon]:[HomeWon]], Table1[[GameIsOver]:[GameIsOver]],1,Table1[[HomeTeam]:[HomeTeam]],$A30, Table1[[AwayTeam]:[AwayTeam]], R$1),0), "-", TEXT(SUMIFS(Table1[[HomeWon]:[HomeWon]], Table1[[GameIsOver]:[GameIsOver]],1,Table1[[AwayTeam]:[AwayTeam]],$A30, Table1[[HomeTeam]:[HomeTeam]], R$1, Table1[[ActualResult]:[ActualResult]], "REG") + SUMIFS(Table1[[AwayWon]:[AwayWon]], Table1[[GameIsOver]:[GameIsOver]],1,Table1[[HomeTeam]:[HomeTeam]],$A30, Table1[[AwayTeam]:[AwayTeam]], R$1, Table1[[ActualResult]:[ActualResult]], "REG"),0), "-", TEXT(SUMIFS(Table1[[HomeWon]:[HomeWon]], Table1[[GameIsOver]:[GameIsOver]],1,Table1[[AwayTeam]:[AwayTeam]],$A30, Table1[[HomeTeam]:[HomeTeam]], R$1, Table1[[ActualResult]:[ActualResult]], "OT") + SUMIFS(Table1[[AwayWon]:[AwayWon]], Table1[[GameIsOver]:[GameIsOver]],1,Table1[[HomeTeam]:[HomeTeam]],$A30, Table1[[AwayTeam]:[AwayTeam]], R$1, Table1[[ActualResult]:[ActualResult]], "OT") + SUMIFS(Table1[[HomeWon]:[HomeWon]], Table1[[GameIsOver]:[GameIsOver]],1,Table1[[AwayTeam]:[AwayTeam]],$A30, Table1[[HomeTeam]:[HomeTeam]], R$1, Table1[[ActualResult]:[ActualResult]], "SO") + SUMIFS(Table1[[AwayWon]:[AwayWon]], Table1[[GameIsOver]:[GameIsOver]],1,Table1[[HomeTeam]:[HomeTeam]],$A30, Table1[[AwayTeam]:[AwayTeam]], R$1, Table1[[ActualResult]:[ActualResult]], "SO"),0))</f>
        <v>0-0-0</v>
      </c>
      <c r="S30" s="43" t="str">
        <f>_xlfn.CONCAT(TEXT(SUMIFS(Table1[[AwayWon]:[AwayWon]], Table1[[GameIsOver]:[GameIsOver]],1,Table1[[AwayTeam]:[AwayTeam]],$A30, Table1[[HomeTeam]:[HomeTeam]], S$1) + SUMIFS(Table1[[HomeWon]:[HomeWon]], Table1[[GameIsOver]:[GameIsOver]],1,Table1[[HomeTeam]:[HomeTeam]],$A30, Table1[[AwayTeam]:[AwayTeam]], S$1),0), "-", TEXT(SUMIFS(Table1[[HomeWon]:[HomeWon]], Table1[[GameIsOver]:[GameIsOver]],1,Table1[[AwayTeam]:[AwayTeam]],$A30, Table1[[HomeTeam]:[HomeTeam]], S$1, Table1[[ActualResult]:[ActualResult]], "REG") + SUMIFS(Table1[[AwayWon]:[AwayWon]], Table1[[GameIsOver]:[GameIsOver]],1,Table1[[HomeTeam]:[HomeTeam]],$A30, Table1[[AwayTeam]:[AwayTeam]], S$1, Table1[[ActualResult]:[ActualResult]], "REG"),0), "-", TEXT(SUMIFS(Table1[[HomeWon]:[HomeWon]], Table1[[GameIsOver]:[GameIsOver]],1,Table1[[AwayTeam]:[AwayTeam]],$A30, Table1[[HomeTeam]:[HomeTeam]], S$1, Table1[[ActualResult]:[ActualResult]], "OT") + SUMIFS(Table1[[AwayWon]:[AwayWon]], Table1[[GameIsOver]:[GameIsOver]],1,Table1[[HomeTeam]:[HomeTeam]],$A30, Table1[[AwayTeam]:[AwayTeam]], S$1, Table1[[ActualResult]:[ActualResult]], "OT") + SUMIFS(Table1[[HomeWon]:[HomeWon]], Table1[[GameIsOver]:[GameIsOver]],1,Table1[[AwayTeam]:[AwayTeam]],$A30, Table1[[HomeTeam]:[HomeTeam]], S$1, Table1[[ActualResult]:[ActualResult]], "SO") + SUMIFS(Table1[[AwayWon]:[AwayWon]], Table1[[GameIsOver]:[GameIsOver]],1,Table1[[HomeTeam]:[HomeTeam]],$A30, Table1[[AwayTeam]:[AwayTeam]], S$1, Table1[[ActualResult]:[ActualResult]], "SO"),0))</f>
        <v>0-0-0</v>
      </c>
      <c r="T30" s="43" t="str">
        <f>_xlfn.CONCAT(TEXT(SUMIFS(Table1[[AwayWon]:[AwayWon]], Table1[[GameIsOver]:[GameIsOver]],1,Table1[[AwayTeam]:[AwayTeam]],$A30, Table1[[HomeTeam]:[HomeTeam]], T$1) + SUMIFS(Table1[[HomeWon]:[HomeWon]], Table1[[GameIsOver]:[GameIsOver]],1,Table1[[HomeTeam]:[HomeTeam]],$A30, Table1[[AwayTeam]:[AwayTeam]], T$1),0), "-", TEXT(SUMIFS(Table1[[HomeWon]:[HomeWon]], Table1[[GameIsOver]:[GameIsOver]],1,Table1[[AwayTeam]:[AwayTeam]],$A30, Table1[[HomeTeam]:[HomeTeam]], T$1, Table1[[ActualResult]:[ActualResult]], "REG") + SUMIFS(Table1[[AwayWon]:[AwayWon]], Table1[[GameIsOver]:[GameIsOver]],1,Table1[[HomeTeam]:[HomeTeam]],$A30, Table1[[AwayTeam]:[AwayTeam]], T$1, Table1[[ActualResult]:[ActualResult]], "REG"),0), "-", TEXT(SUMIFS(Table1[[HomeWon]:[HomeWon]], Table1[[GameIsOver]:[GameIsOver]],1,Table1[[AwayTeam]:[AwayTeam]],$A30, Table1[[HomeTeam]:[HomeTeam]], T$1, Table1[[ActualResult]:[ActualResult]], "OT") + SUMIFS(Table1[[AwayWon]:[AwayWon]], Table1[[GameIsOver]:[GameIsOver]],1,Table1[[HomeTeam]:[HomeTeam]],$A30, Table1[[AwayTeam]:[AwayTeam]], T$1, Table1[[ActualResult]:[ActualResult]], "OT") + SUMIFS(Table1[[HomeWon]:[HomeWon]], Table1[[GameIsOver]:[GameIsOver]],1,Table1[[AwayTeam]:[AwayTeam]],$A30, Table1[[HomeTeam]:[HomeTeam]], T$1, Table1[[ActualResult]:[ActualResult]], "SO") + SUMIFS(Table1[[AwayWon]:[AwayWon]], Table1[[GameIsOver]:[GameIsOver]],1,Table1[[HomeTeam]:[HomeTeam]],$A30, Table1[[AwayTeam]:[AwayTeam]], T$1, Table1[[ActualResult]:[ActualResult]], "SO"),0))</f>
        <v>0-0-0</v>
      </c>
      <c r="U30" s="43" t="str">
        <f>_xlfn.CONCAT(TEXT(SUMIFS(Table1[[AwayWon]:[AwayWon]], Table1[[GameIsOver]:[GameIsOver]],1,Table1[[AwayTeam]:[AwayTeam]],$A30, Table1[[HomeTeam]:[HomeTeam]], U$1) + SUMIFS(Table1[[HomeWon]:[HomeWon]], Table1[[GameIsOver]:[GameIsOver]],1,Table1[[HomeTeam]:[HomeTeam]],$A30, Table1[[AwayTeam]:[AwayTeam]], U$1),0), "-", TEXT(SUMIFS(Table1[[HomeWon]:[HomeWon]], Table1[[GameIsOver]:[GameIsOver]],1,Table1[[AwayTeam]:[AwayTeam]],$A30, Table1[[HomeTeam]:[HomeTeam]], U$1, Table1[[ActualResult]:[ActualResult]], "REG") + SUMIFS(Table1[[AwayWon]:[AwayWon]], Table1[[GameIsOver]:[GameIsOver]],1,Table1[[HomeTeam]:[HomeTeam]],$A30, Table1[[AwayTeam]:[AwayTeam]], U$1, Table1[[ActualResult]:[ActualResult]], "REG"),0), "-", TEXT(SUMIFS(Table1[[HomeWon]:[HomeWon]], Table1[[GameIsOver]:[GameIsOver]],1,Table1[[AwayTeam]:[AwayTeam]],$A30, Table1[[HomeTeam]:[HomeTeam]], U$1, Table1[[ActualResult]:[ActualResult]], "OT") + SUMIFS(Table1[[AwayWon]:[AwayWon]], Table1[[GameIsOver]:[GameIsOver]],1,Table1[[HomeTeam]:[HomeTeam]],$A30, Table1[[AwayTeam]:[AwayTeam]], U$1, Table1[[ActualResult]:[ActualResult]], "OT") + SUMIFS(Table1[[HomeWon]:[HomeWon]], Table1[[GameIsOver]:[GameIsOver]],1,Table1[[AwayTeam]:[AwayTeam]],$A30, Table1[[HomeTeam]:[HomeTeam]], U$1, Table1[[ActualResult]:[ActualResult]], "SO") + SUMIFS(Table1[[AwayWon]:[AwayWon]], Table1[[GameIsOver]:[GameIsOver]],1,Table1[[HomeTeam]:[HomeTeam]],$A30, Table1[[AwayTeam]:[AwayTeam]], U$1, Table1[[ActualResult]:[ActualResult]], "SO"),0))</f>
        <v>0-0-0</v>
      </c>
      <c r="V30" s="43" t="str">
        <f>_xlfn.CONCAT(TEXT(SUMIFS(Table1[[AwayWon]:[AwayWon]], Table1[[GameIsOver]:[GameIsOver]],1,Table1[[AwayTeam]:[AwayTeam]],$A30, Table1[[HomeTeam]:[HomeTeam]], V$1) + SUMIFS(Table1[[HomeWon]:[HomeWon]], Table1[[GameIsOver]:[GameIsOver]],1,Table1[[HomeTeam]:[HomeTeam]],$A30, Table1[[AwayTeam]:[AwayTeam]], V$1),0), "-", TEXT(SUMIFS(Table1[[HomeWon]:[HomeWon]], Table1[[GameIsOver]:[GameIsOver]],1,Table1[[AwayTeam]:[AwayTeam]],$A30, Table1[[HomeTeam]:[HomeTeam]], V$1, Table1[[ActualResult]:[ActualResult]], "REG") + SUMIFS(Table1[[AwayWon]:[AwayWon]], Table1[[GameIsOver]:[GameIsOver]],1,Table1[[HomeTeam]:[HomeTeam]],$A30, Table1[[AwayTeam]:[AwayTeam]], V$1, Table1[[ActualResult]:[ActualResult]], "REG"),0), "-", TEXT(SUMIFS(Table1[[HomeWon]:[HomeWon]], Table1[[GameIsOver]:[GameIsOver]],1,Table1[[AwayTeam]:[AwayTeam]],$A30, Table1[[HomeTeam]:[HomeTeam]], V$1, Table1[[ActualResult]:[ActualResult]], "OT") + SUMIFS(Table1[[AwayWon]:[AwayWon]], Table1[[GameIsOver]:[GameIsOver]],1,Table1[[HomeTeam]:[HomeTeam]],$A30, Table1[[AwayTeam]:[AwayTeam]], V$1, Table1[[ActualResult]:[ActualResult]], "OT") + SUMIFS(Table1[[HomeWon]:[HomeWon]], Table1[[GameIsOver]:[GameIsOver]],1,Table1[[AwayTeam]:[AwayTeam]],$A30, Table1[[HomeTeam]:[HomeTeam]], V$1, Table1[[ActualResult]:[ActualResult]], "SO") + SUMIFS(Table1[[AwayWon]:[AwayWon]], Table1[[GameIsOver]:[GameIsOver]],1,Table1[[HomeTeam]:[HomeTeam]],$A30, Table1[[AwayTeam]:[AwayTeam]], V$1, Table1[[ActualResult]:[ActualResult]], "SO"),0))</f>
        <v>0-0-0</v>
      </c>
      <c r="W30" s="43" t="str">
        <f>_xlfn.CONCAT(TEXT(SUMIFS(Table1[[AwayWon]:[AwayWon]], Table1[[GameIsOver]:[GameIsOver]],1,Table1[[AwayTeam]:[AwayTeam]],$A30, Table1[[HomeTeam]:[HomeTeam]], W$1) + SUMIFS(Table1[[HomeWon]:[HomeWon]], Table1[[GameIsOver]:[GameIsOver]],1,Table1[[HomeTeam]:[HomeTeam]],$A30, Table1[[AwayTeam]:[AwayTeam]], W$1),0), "-", TEXT(SUMIFS(Table1[[HomeWon]:[HomeWon]], Table1[[GameIsOver]:[GameIsOver]],1,Table1[[AwayTeam]:[AwayTeam]],$A30, Table1[[HomeTeam]:[HomeTeam]], W$1, Table1[[ActualResult]:[ActualResult]], "REG") + SUMIFS(Table1[[AwayWon]:[AwayWon]], Table1[[GameIsOver]:[GameIsOver]],1,Table1[[HomeTeam]:[HomeTeam]],$A30, Table1[[AwayTeam]:[AwayTeam]], W$1, Table1[[ActualResult]:[ActualResult]], "REG"),0), "-", TEXT(SUMIFS(Table1[[HomeWon]:[HomeWon]], Table1[[GameIsOver]:[GameIsOver]],1,Table1[[AwayTeam]:[AwayTeam]],$A30, Table1[[HomeTeam]:[HomeTeam]], W$1, Table1[[ActualResult]:[ActualResult]], "OT") + SUMIFS(Table1[[AwayWon]:[AwayWon]], Table1[[GameIsOver]:[GameIsOver]],1,Table1[[HomeTeam]:[HomeTeam]],$A30, Table1[[AwayTeam]:[AwayTeam]], W$1, Table1[[ActualResult]:[ActualResult]], "OT") + SUMIFS(Table1[[HomeWon]:[HomeWon]], Table1[[GameIsOver]:[GameIsOver]],1,Table1[[AwayTeam]:[AwayTeam]],$A30, Table1[[HomeTeam]:[HomeTeam]], W$1, Table1[[ActualResult]:[ActualResult]], "SO") + SUMIFS(Table1[[AwayWon]:[AwayWon]], Table1[[GameIsOver]:[GameIsOver]],1,Table1[[HomeTeam]:[HomeTeam]],$A30, Table1[[AwayTeam]:[AwayTeam]], W$1, Table1[[ActualResult]:[ActualResult]], "SO"),0))</f>
        <v>0-0-0</v>
      </c>
      <c r="X30" s="43" t="str">
        <f>_xlfn.CONCAT(TEXT(SUMIFS(Table1[[AwayWon]:[AwayWon]], Table1[[GameIsOver]:[GameIsOver]],1,Table1[[AwayTeam]:[AwayTeam]],$A30, Table1[[HomeTeam]:[HomeTeam]], X$1) + SUMIFS(Table1[[HomeWon]:[HomeWon]], Table1[[GameIsOver]:[GameIsOver]],1,Table1[[HomeTeam]:[HomeTeam]],$A30, Table1[[AwayTeam]:[AwayTeam]], X$1),0), "-", TEXT(SUMIFS(Table1[[HomeWon]:[HomeWon]], Table1[[GameIsOver]:[GameIsOver]],1,Table1[[AwayTeam]:[AwayTeam]],$A30, Table1[[HomeTeam]:[HomeTeam]], X$1, Table1[[ActualResult]:[ActualResult]], "REG") + SUMIFS(Table1[[AwayWon]:[AwayWon]], Table1[[GameIsOver]:[GameIsOver]],1,Table1[[HomeTeam]:[HomeTeam]],$A30, Table1[[AwayTeam]:[AwayTeam]], X$1, Table1[[ActualResult]:[ActualResult]], "REG"),0), "-", TEXT(SUMIFS(Table1[[HomeWon]:[HomeWon]], Table1[[GameIsOver]:[GameIsOver]],1,Table1[[AwayTeam]:[AwayTeam]],$A30, Table1[[HomeTeam]:[HomeTeam]], X$1, Table1[[ActualResult]:[ActualResult]], "OT") + SUMIFS(Table1[[AwayWon]:[AwayWon]], Table1[[GameIsOver]:[GameIsOver]],1,Table1[[HomeTeam]:[HomeTeam]],$A30, Table1[[AwayTeam]:[AwayTeam]], X$1, Table1[[ActualResult]:[ActualResult]], "OT") + SUMIFS(Table1[[HomeWon]:[HomeWon]], Table1[[GameIsOver]:[GameIsOver]],1,Table1[[AwayTeam]:[AwayTeam]],$A30, Table1[[HomeTeam]:[HomeTeam]], X$1, Table1[[ActualResult]:[ActualResult]], "SO") + SUMIFS(Table1[[AwayWon]:[AwayWon]], Table1[[GameIsOver]:[GameIsOver]],1,Table1[[HomeTeam]:[HomeTeam]],$A30, Table1[[AwayTeam]:[AwayTeam]], X$1, Table1[[ActualResult]:[ActualResult]], "SO"),0))</f>
        <v>0-0-0</v>
      </c>
      <c r="Y30" s="45" t="str">
        <f>_xlfn.CONCAT(TEXT(SUMIFS(Table1[[AwayWon]:[AwayWon]], Table1[[GameIsOver]:[GameIsOver]],1,Table1[[AwayTeam]:[AwayTeam]],$A30, Table1[[HomeTeam]:[HomeTeam]], Y$1) + SUMIFS(Table1[[HomeWon]:[HomeWon]], Table1[[GameIsOver]:[GameIsOver]],1,Table1[[HomeTeam]:[HomeTeam]],$A30, Table1[[AwayTeam]:[AwayTeam]], Y$1),0), "-", TEXT(SUMIFS(Table1[[HomeWon]:[HomeWon]], Table1[[GameIsOver]:[GameIsOver]],1,Table1[[AwayTeam]:[AwayTeam]],$A30, Table1[[HomeTeam]:[HomeTeam]], Y$1, Table1[[ActualResult]:[ActualResult]], "REG") + SUMIFS(Table1[[AwayWon]:[AwayWon]], Table1[[GameIsOver]:[GameIsOver]],1,Table1[[HomeTeam]:[HomeTeam]],$A30, Table1[[AwayTeam]:[AwayTeam]], Y$1, Table1[[ActualResult]:[ActualResult]], "REG"),0), "-", TEXT(SUMIFS(Table1[[HomeWon]:[HomeWon]], Table1[[GameIsOver]:[GameIsOver]],1,Table1[[AwayTeam]:[AwayTeam]],$A30, Table1[[HomeTeam]:[HomeTeam]], Y$1, Table1[[ActualResult]:[ActualResult]], "OT") + SUMIFS(Table1[[AwayWon]:[AwayWon]], Table1[[GameIsOver]:[GameIsOver]],1,Table1[[HomeTeam]:[HomeTeam]],$A30, Table1[[AwayTeam]:[AwayTeam]], Y$1, Table1[[ActualResult]:[ActualResult]], "OT") + SUMIFS(Table1[[HomeWon]:[HomeWon]], Table1[[GameIsOver]:[GameIsOver]],1,Table1[[AwayTeam]:[AwayTeam]],$A30, Table1[[HomeTeam]:[HomeTeam]], Y$1, Table1[[ActualResult]:[ActualResult]], "SO") + SUMIFS(Table1[[AwayWon]:[AwayWon]], Table1[[GameIsOver]:[GameIsOver]],1,Table1[[HomeTeam]:[HomeTeam]],$A30, Table1[[AwayTeam]:[AwayTeam]], Y$1, Table1[[ActualResult]:[ActualResult]], "SO"),0))</f>
        <v>0-0-0</v>
      </c>
      <c r="Z30" s="43" t="str">
        <f>_xlfn.CONCAT(TEXT(SUMIFS(Table1[[AwayWon]:[AwayWon]], Table1[[GameIsOver]:[GameIsOver]],1,Table1[[AwayTeam]:[AwayTeam]],$A30, Table1[[HomeTeam]:[HomeTeam]], Z$1) + SUMIFS(Table1[[HomeWon]:[HomeWon]], Table1[[GameIsOver]:[GameIsOver]],1,Table1[[HomeTeam]:[HomeTeam]],$A30, Table1[[AwayTeam]:[AwayTeam]], Z$1),0), "-", TEXT(SUMIFS(Table1[[HomeWon]:[HomeWon]], Table1[[GameIsOver]:[GameIsOver]],1,Table1[[AwayTeam]:[AwayTeam]],$A30, Table1[[HomeTeam]:[HomeTeam]], Z$1, Table1[[ActualResult]:[ActualResult]], "REG") + SUMIFS(Table1[[AwayWon]:[AwayWon]], Table1[[GameIsOver]:[GameIsOver]],1,Table1[[HomeTeam]:[HomeTeam]],$A30, Table1[[AwayTeam]:[AwayTeam]], Z$1, Table1[[ActualResult]:[ActualResult]], "REG"),0), "-", TEXT(SUMIFS(Table1[[HomeWon]:[HomeWon]], Table1[[GameIsOver]:[GameIsOver]],1,Table1[[AwayTeam]:[AwayTeam]],$A30, Table1[[HomeTeam]:[HomeTeam]], Z$1, Table1[[ActualResult]:[ActualResult]], "OT") + SUMIFS(Table1[[AwayWon]:[AwayWon]], Table1[[GameIsOver]:[GameIsOver]],1,Table1[[HomeTeam]:[HomeTeam]],$A30, Table1[[AwayTeam]:[AwayTeam]], Z$1, Table1[[ActualResult]:[ActualResult]], "OT") + SUMIFS(Table1[[HomeWon]:[HomeWon]], Table1[[GameIsOver]:[GameIsOver]],1,Table1[[AwayTeam]:[AwayTeam]],$A30, Table1[[HomeTeam]:[HomeTeam]], Z$1, Table1[[ActualResult]:[ActualResult]], "SO") + SUMIFS(Table1[[AwayWon]:[AwayWon]], Table1[[GameIsOver]:[GameIsOver]],1,Table1[[HomeTeam]:[HomeTeam]],$A30, Table1[[AwayTeam]:[AwayTeam]], Z$1, Table1[[ActualResult]:[ActualResult]], "SO"),0))</f>
        <v>0-0-0</v>
      </c>
      <c r="AA30" s="43" t="str">
        <f>_xlfn.CONCAT(TEXT(SUMIFS(Table1[[AwayWon]:[AwayWon]], Table1[[GameIsOver]:[GameIsOver]],1,Table1[[AwayTeam]:[AwayTeam]],$A30, Table1[[HomeTeam]:[HomeTeam]], AA$1) + SUMIFS(Table1[[HomeWon]:[HomeWon]], Table1[[GameIsOver]:[GameIsOver]],1,Table1[[HomeTeam]:[HomeTeam]],$A30, Table1[[AwayTeam]:[AwayTeam]], AA$1),0), "-", TEXT(SUMIFS(Table1[[HomeWon]:[HomeWon]], Table1[[GameIsOver]:[GameIsOver]],1,Table1[[AwayTeam]:[AwayTeam]],$A30, Table1[[HomeTeam]:[HomeTeam]], AA$1, Table1[[ActualResult]:[ActualResult]], "REG") + SUMIFS(Table1[[AwayWon]:[AwayWon]], Table1[[GameIsOver]:[GameIsOver]],1,Table1[[HomeTeam]:[HomeTeam]],$A30, Table1[[AwayTeam]:[AwayTeam]], AA$1, Table1[[ActualResult]:[ActualResult]], "REG"),0), "-", TEXT(SUMIFS(Table1[[HomeWon]:[HomeWon]], Table1[[GameIsOver]:[GameIsOver]],1,Table1[[AwayTeam]:[AwayTeam]],$A30, Table1[[HomeTeam]:[HomeTeam]], AA$1, Table1[[ActualResult]:[ActualResult]], "OT") + SUMIFS(Table1[[AwayWon]:[AwayWon]], Table1[[GameIsOver]:[GameIsOver]],1,Table1[[HomeTeam]:[HomeTeam]],$A30, Table1[[AwayTeam]:[AwayTeam]], AA$1, Table1[[ActualResult]:[ActualResult]], "OT") + SUMIFS(Table1[[HomeWon]:[HomeWon]], Table1[[GameIsOver]:[GameIsOver]],1,Table1[[AwayTeam]:[AwayTeam]],$A30, Table1[[HomeTeam]:[HomeTeam]], AA$1, Table1[[ActualResult]:[ActualResult]], "SO") + SUMIFS(Table1[[AwayWon]:[AwayWon]], Table1[[GameIsOver]:[GameIsOver]],1,Table1[[HomeTeam]:[HomeTeam]],$A30, Table1[[AwayTeam]:[AwayTeam]], AA$1, Table1[[ActualResult]:[ActualResult]], "SO"),0))</f>
        <v>0-0-0</v>
      </c>
      <c r="AB30" s="43" t="str">
        <f>_xlfn.CONCAT(TEXT(SUMIFS(Table1[[AwayWon]:[AwayWon]], Table1[[GameIsOver]:[GameIsOver]],1,Table1[[AwayTeam]:[AwayTeam]],$A30, Table1[[HomeTeam]:[HomeTeam]], AB$1) + SUMIFS(Table1[[HomeWon]:[HomeWon]], Table1[[GameIsOver]:[GameIsOver]],1,Table1[[HomeTeam]:[HomeTeam]],$A30, Table1[[AwayTeam]:[AwayTeam]], AB$1),0), "-", TEXT(SUMIFS(Table1[[HomeWon]:[HomeWon]], Table1[[GameIsOver]:[GameIsOver]],1,Table1[[AwayTeam]:[AwayTeam]],$A30, Table1[[HomeTeam]:[HomeTeam]], AB$1, Table1[[ActualResult]:[ActualResult]], "REG") + SUMIFS(Table1[[AwayWon]:[AwayWon]], Table1[[GameIsOver]:[GameIsOver]],1,Table1[[HomeTeam]:[HomeTeam]],$A30, Table1[[AwayTeam]:[AwayTeam]], AB$1, Table1[[ActualResult]:[ActualResult]], "REG"),0), "-", TEXT(SUMIFS(Table1[[HomeWon]:[HomeWon]], Table1[[GameIsOver]:[GameIsOver]],1,Table1[[AwayTeam]:[AwayTeam]],$A30, Table1[[HomeTeam]:[HomeTeam]], AB$1, Table1[[ActualResult]:[ActualResult]], "OT") + SUMIFS(Table1[[AwayWon]:[AwayWon]], Table1[[GameIsOver]:[GameIsOver]],1,Table1[[HomeTeam]:[HomeTeam]],$A30, Table1[[AwayTeam]:[AwayTeam]], AB$1, Table1[[ActualResult]:[ActualResult]], "OT") + SUMIFS(Table1[[HomeWon]:[HomeWon]], Table1[[GameIsOver]:[GameIsOver]],1,Table1[[AwayTeam]:[AwayTeam]],$A30, Table1[[HomeTeam]:[HomeTeam]], AB$1, Table1[[ActualResult]:[ActualResult]], "SO") + SUMIFS(Table1[[AwayWon]:[AwayWon]], Table1[[GameIsOver]:[GameIsOver]],1,Table1[[HomeTeam]:[HomeTeam]],$A30, Table1[[AwayTeam]:[AwayTeam]], AB$1, Table1[[ActualResult]:[ActualResult]], "SO"),0))</f>
        <v>0-0-0</v>
      </c>
      <c r="AC30" s="43" t="str">
        <f>_xlfn.CONCAT(TEXT(SUMIFS(Table1[[AwayWon]:[AwayWon]], Table1[[GameIsOver]:[GameIsOver]],1,Table1[[AwayTeam]:[AwayTeam]],$A30, Table1[[HomeTeam]:[HomeTeam]], AC$1) + SUMIFS(Table1[[HomeWon]:[HomeWon]], Table1[[GameIsOver]:[GameIsOver]],1,Table1[[HomeTeam]:[HomeTeam]],$A30, Table1[[AwayTeam]:[AwayTeam]], AC$1),0), "-", TEXT(SUMIFS(Table1[[HomeWon]:[HomeWon]], Table1[[GameIsOver]:[GameIsOver]],1,Table1[[AwayTeam]:[AwayTeam]],$A30, Table1[[HomeTeam]:[HomeTeam]], AC$1, Table1[[ActualResult]:[ActualResult]], "REG") + SUMIFS(Table1[[AwayWon]:[AwayWon]], Table1[[GameIsOver]:[GameIsOver]],1,Table1[[HomeTeam]:[HomeTeam]],$A30, Table1[[AwayTeam]:[AwayTeam]], AC$1, Table1[[ActualResult]:[ActualResult]], "REG"),0), "-", TEXT(SUMIFS(Table1[[HomeWon]:[HomeWon]], Table1[[GameIsOver]:[GameIsOver]],1,Table1[[AwayTeam]:[AwayTeam]],$A30, Table1[[HomeTeam]:[HomeTeam]], AC$1, Table1[[ActualResult]:[ActualResult]], "OT") + SUMIFS(Table1[[AwayWon]:[AwayWon]], Table1[[GameIsOver]:[GameIsOver]],1,Table1[[HomeTeam]:[HomeTeam]],$A30, Table1[[AwayTeam]:[AwayTeam]], AC$1, Table1[[ActualResult]:[ActualResult]], "OT") + SUMIFS(Table1[[HomeWon]:[HomeWon]], Table1[[GameIsOver]:[GameIsOver]],1,Table1[[AwayTeam]:[AwayTeam]],$A30, Table1[[HomeTeam]:[HomeTeam]], AC$1, Table1[[ActualResult]:[ActualResult]], "SO") + SUMIFS(Table1[[AwayWon]:[AwayWon]], Table1[[GameIsOver]:[GameIsOver]],1,Table1[[HomeTeam]:[HomeTeam]],$A30, Table1[[AwayTeam]:[AwayTeam]], AC$1, Table1[[ActualResult]:[ActualResult]], "SO"),0))</f>
        <v>0-0-0</v>
      </c>
      <c r="AD30" s="43" t="str">
        <f>_xlfn.CONCAT(TEXT(SUMIFS(Table1[[AwayWon]:[AwayWon]], Table1[[GameIsOver]:[GameIsOver]],1,Table1[[AwayTeam]:[AwayTeam]],$A30, Table1[[HomeTeam]:[HomeTeam]], AD$1) + SUMIFS(Table1[[HomeWon]:[HomeWon]], Table1[[GameIsOver]:[GameIsOver]],1,Table1[[HomeTeam]:[HomeTeam]],$A30, Table1[[AwayTeam]:[AwayTeam]], AD$1),0), "-", TEXT(SUMIFS(Table1[[HomeWon]:[HomeWon]], Table1[[GameIsOver]:[GameIsOver]],1,Table1[[AwayTeam]:[AwayTeam]],$A30, Table1[[HomeTeam]:[HomeTeam]], AD$1, Table1[[ActualResult]:[ActualResult]], "REG") + SUMIFS(Table1[[AwayWon]:[AwayWon]], Table1[[GameIsOver]:[GameIsOver]],1,Table1[[HomeTeam]:[HomeTeam]],$A30, Table1[[AwayTeam]:[AwayTeam]], AD$1, Table1[[ActualResult]:[ActualResult]], "REG"),0), "-", TEXT(SUMIFS(Table1[[HomeWon]:[HomeWon]], Table1[[GameIsOver]:[GameIsOver]],1,Table1[[AwayTeam]:[AwayTeam]],$A30, Table1[[HomeTeam]:[HomeTeam]], AD$1, Table1[[ActualResult]:[ActualResult]], "OT") + SUMIFS(Table1[[AwayWon]:[AwayWon]], Table1[[GameIsOver]:[GameIsOver]],1,Table1[[HomeTeam]:[HomeTeam]],$A30, Table1[[AwayTeam]:[AwayTeam]], AD$1, Table1[[ActualResult]:[ActualResult]], "OT") + SUMIFS(Table1[[HomeWon]:[HomeWon]], Table1[[GameIsOver]:[GameIsOver]],1,Table1[[AwayTeam]:[AwayTeam]],$A30, Table1[[HomeTeam]:[HomeTeam]], AD$1, Table1[[ActualResult]:[ActualResult]], "SO") + SUMIFS(Table1[[AwayWon]:[AwayWon]], Table1[[GameIsOver]:[GameIsOver]],1,Table1[[HomeTeam]:[HomeTeam]],$A30, Table1[[AwayTeam]:[AwayTeam]], AD$1, Table1[[ActualResult]:[ActualResult]], "SO"),0))</f>
        <v>0-0-0</v>
      </c>
      <c r="AE30" s="43" t="str">
        <f>_xlfn.CONCAT(TEXT(SUMIFS(Table1[[AwayWon]:[AwayWon]], Table1[[GameIsOver]:[GameIsOver]],1,Table1[[AwayTeam]:[AwayTeam]],$A30, Table1[[HomeTeam]:[HomeTeam]], AE$1) + SUMIFS(Table1[[HomeWon]:[HomeWon]], Table1[[GameIsOver]:[GameIsOver]],1,Table1[[HomeTeam]:[HomeTeam]],$A30, Table1[[AwayTeam]:[AwayTeam]], AE$1),0), "-", TEXT(SUMIFS(Table1[[HomeWon]:[HomeWon]], Table1[[GameIsOver]:[GameIsOver]],1,Table1[[AwayTeam]:[AwayTeam]],$A30, Table1[[HomeTeam]:[HomeTeam]], AE$1, Table1[[ActualResult]:[ActualResult]], "REG") + SUMIFS(Table1[[AwayWon]:[AwayWon]], Table1[[GameIsOver]:[GameIsOver]],1,Table1[[HomeTeam]:[HomeTeam]],$A30, Table1[[AwayTeam]:[AwayTeam]], AE$1, Table1[[ActualResult]:[ActualResult]], "REG"),0), "-", TEXT(SUMIFS(Table1[[HomeWon]:[HomeWon]], Table1[[GameIsOver]:[GameIsOver]],1,Table1[[AwayTeam]:[AwayTeam]],$A30, Table1[[HomeTeam]:[HomeTeam]], AE$1, Table1[[ActualResult]:[ActualResult]], "OT") + SUMIFS(Table1[[AwayWon]:[AwayWon]], Table1[[GameIsOver]:[GameIsOver]],1,Table1[[HomeTeam]:[HomeTeam]],$A30, Table1[[AwayTeam]:[AwayTeam]], AE$1, Table1[[ActualResult]:[ActualResult]], "OT") + SUMIFS(Table1[[HomeWon]:[HomeWon]], Table1[[GameIsOver]:[GameIsOver]],1,Table1[[AwayTeam]:[AwayTeam]],$A30, Table1[[HomeTeam]:[HomeTeam]], AE$1, Table1[[ActualResult]:[ActualResult]], "SO") + SUMIFS(Table1[[AwayWon]:[AwayWon]], Table1[[GameIsOver]:[GameIsOver]],1,Table1[[HomeTeam]:[HomeTeam]],$A30, Table1[[AwayTeam]:[AwayTeam]], AE$1, Table1[[ActualResult]:[ActualResult]], "SO"),0))</f>
        <v>0-0-0</v>
      </c>
      <c r="AF30" s="43" t="str">
        <f>_xlfn.CONCAT(TEXT(SUMIFS(Table1[[AwayWon]:[AwayWon]], Table1[[GameIsOver]:[GameIsOver]],1,Table1[[AwayTeam]:[AwayTeam]],$A30, Table1[[HomeTeam]:[HomeTeam]], AF$1) + SUMIFS(Table1[[HomeWon]:[HomeWon]], Table1[[GameIsOver]:[GameIsOver]],1,Table1[[HomeTeam]:[HomeTeam]],$A30, Table1[[AwayTeam]:[AwayTeam]], AF$1),0), "-", TEXT(SUMIFS(Table1[[HomeWon]:[HomeWon]], Table1[[GameIsOver]:[GameIsOver]],1,Table1[[AwayTeam]:[AwayTeam]],$A30, Table1[[HomeTeam]:[HomeTeam]], AF$1, Table1[[ActualResult]:[ActualResult]], "REG") + SUMIFS(Table1[[AwayWon]:[AwayWon]], Table1[[GameIsOver]:[GameIsOver]],1,Table1[[HomeTeam]:[HomeTeam]],$A30, Table1[[AwayTeam]:[AwayTeam]], AF$1, Table1[[ActualResult]:[ActualResult]], "REG"),0), "-", TEXT(SUMIFS(Table1[[HomeWon]:[HomeWon]], Table1[[GameIsOver]:[GameIsOver]],1,Table1[[AwayTeam]:[AwayTeam]],$A30, Table1[[HomeTeam]:[HomeTeam]], AF$1, Table1[[ActualResult]:[ActualResult]], "OT") + SUMIFS(Table1[[AwayWon]:[AwayWon]], Table1[[GameIsOver]:[GameIsOver]],1,Table1[[HomeTeam]:[HomeTeam]],$A30, Table1[[AwayTeam]:[AwayTeam]], AF$1, Table1[[ActualResult]:[ActualResult]], "OT") + SUMIFS(Table1[[HomeWon]:[HomeWon]], Table1[[GameIsOver]:[GameIsOver]],1,Table1[[AwayTeam]:[AwayTeam]],$A30, Table1[[HomeTeam]:[HomeTeam]], AF$1, Table1[[ActualResult]:[ActualResult]], "SO") + SUMIFS(Table1[[AwayWon]:[AwayWon]], Table1[[GameIsOver]:[GameIsOver]],1,Table1[[HomeTeam]:[HomeTeam]],$A30, Table1[[AwayTeam]:[AwayTeam]], AF$1, Table1[[ActualResult]:[ActualResult]], "SO"),0))</f>
        <v>0-0-0</v>
      </c>
      <c r="AG30" s="43" t="str">
        <f>_xlfn.CONCAT(TEXT(SUMIFS(Table1[[AwayWon]:[AwayWon]], Table1[[GameIsOver]:[GameIsOver]],1,Table1[[AwayTeam]:[AwayTeam]],$A30, Table1[[HomeTeam]:[HomeTeam]], AG$1) + SUMIFS(Table1[[HomeWon]:[HomeWon]], Table1[[GameIsOver]:[GameIsOver]],1,Table1[[HomeTeam]:[HomeTeam]],$A30, Table1[[AwayTeam]:[AwayTeam]], AG$1),0), "-", TEXT(SUMIFS(Table1[[HomeWon]:[HomeWon]], Table1[[GameIsOver]:[GameIsOver]],1,Table1[[AwayTeam]:[AwayTeam]],$A30, Table1[[HomeTeam]:[HomeTeam]], AG$1, Table1[[ActualResult]:[ActualResult]], "REG") + SUMIFS(Table1[[AwayWon]:[AwayWon]], Table1[[GameIsOver]:[GameIsOver]],1,Table1[[HomeTeam]:[HomeTeam]],$A30, Table1[[AwayTeam]:[AwayTeam]], AG$1, Table1[[ActualResult]:[ActualResult]], "REG"),0), "-", TEXT(SUMIFS(Table1[[HomeWon]:[HomeWon]], Table1[[GameIsOver]:[GameIsOver]],1,Table1[[AwayTeam]:[AwayTeam]],$A30, Table1[[HomeTeam]:[HomeTeam]], AG$1, Table1[[ActualResult]:[ActualResult]], "OT") + SUMIFS(Table1[[AwayWon]:[AwayWon]], Table1[[GameIsOver]:[GameIsOver]],1,Table1[[HomeTeam]:[HomeTeam]],$A30, Table1[[AwayTeam]:[AwayTeam]], AG$1, Table1[[ActualResult]:[ActualResult]], "OT") + SUMIFS(Table1[[HomeWon]:[HomeWon]], Table1[[GameIsOver]:[GameIsOver]],1,Table1[[AwayTeam]:[AwayTeam]],$A30, Table1[[HomeTeam]:[HomeTeam]], AG$1, Table1[[ActualResult]:[ActualResult]], "SO") + SUMIFS(Table1[[AwayWon]:[AwayWon]], Table1[[GameIsOver]:[GameIsOver]],1,Table1[[HomeTeam]:[HomeTeam]],$A30, Table1[[AwayTeam]:[AwayTeam]], AG$1, Table1[[ActualResult]:[ActualResult]], "SO"),0))</f>
        <v>1-0-0</v>
      </c>
    </row>
    <row r="31" spans="1:33" x14ac:dyDescent="0.25">
      <c r="A31" s="17" t="s">
        <v>52</v>
      </c>
      <c r="B31" s="43" t="str">
        <f>_xlfn.CONCAT(TEXT(SUMIFS(Table1[[AwayWon]:[AwayWon]], Table1[[GameIsOver]:[GameIsOver]],1,Table1[[AwayTeam]:[AwayTeam]],$A31, Table1[[HomeTeam]:[HomeTeam]], B$1) + SUMIFS(Table1[[HomeWon]:[HomeWon]], Table1[[GameIsOver]:[GameIsOver]],1,Table1[[HomeTeam]:[HomeTeam]],$A31, Table1[[AwayTeam]:[AwayTeam]], B$1),0), "-", TEXT(SUMIFS(Table1[[HomeWon]:[HomeWon]], Table1[[GameIsOver]:[GameIsOver]],1,Table1[[AwayTeam]:[AwayTeam]],$A31, Table1[[HomeTeam]:[HomeTeam]], B$1, Table1[[ActualResult]:[ActualResult]], "REG") + SUMIFS(Table1[[AwayWon]:[AwayWon]], Table1[[GameIsOver]:[GameIsOver]],1,Table1[[HomeTeam]:[HomeTeam]],$A31, Table1[[AwayTeam]:[AwayTeam]], B$1, Table1[[ActualResult]:[ActualResult]], "REG"),0), "-", TEXT(SUMIFS(Table1[[HomeWon]:[HomeWon]], Table1[[GameIsOver]:[GameIsOver]],1,Table1[[AwayTeam]:[AwayTeam]],$A31, Table1[[HomeTeam]:[HomeTeam]], B$1, Table1[[ActualResult]:[ActualResult]], "OT") + SUMIFS(Table1[[AwayWon]:[AwayWon]], Table1[[GameIsOver]:[GameIsOver]],1,Table1[[HomeTeam]:[HomeTeam]],$A31, Table1[[AwayTeam]:[AwayTeam]], B$1, Table1[[ActualResult]:[ActualResult]], "OT") + SUMIFS(Table1[[HomeWon]:[HomeWon]], Table1[[GameIsOver]:[GameIsOver]],1,Table1[[AwayTeam]:[AwayTeam]],$A31, Table1[[HomeTeam]:[HomeTeam]], B$1, Table1[[ActualResult]:[ActualResult]], "SO") + SUMIFS(Table1[[AwayWon]:[AwayWon]], Table1[[GameIsOver]:[GameIsOver]],1,Table1[[HomeTeam]:[HomeTeam]],$A31, Table1[[AwayTeam]:[AwayTeam]], B$1, Table1[[ActualResult]:[ActualResult]], "SO"),0))</f>
        <v>0-0-0</v>
      </c>
      <c r="C31" s="43" t="str">
        <f>_xlfn.CONCAT(TEXT(SUMIFS(Table1[[AwayWon]:[AwayWon]], Table1[[GameIsOver]:[GameIsOver]],1,Table1[[AwayTeam]:[AwayTeam]],$A31, Table1[[HomeTeam]:[HomeTeam]], C$1) + SUMIFS(Table1[[HomeWon]:[HomeWon]], Table1[[GameIsOver]:[GameIsOver]],1,Table1[[HomeTeam]:[HomeTeam]],$A31, Table1[[AwayTeam]:[AwayTeam]], C$1),0), "-", TEXT(SUMIFS(Table1[[HomeWon]:[HomeWon]], Table1[[GameIsOver]:[GameIsOver]],1,Table1[[AwayTeam]:[AwayTeam]],$A31, Table1[[HomeTeam]:[HomeTeam]], C$1, Table1[[ActualResult]:[ActualResult]], "REG") + SUMIFS(Table1[[AwayWon]:[AwayWon]], Table1[[GameIsOver]:[GameIsOver]],1,Table1[[HomeTeam]:[HomeTeam]],$A31, Table1[[AwayTeam]:[AwayTeam]], C$1, Table1[[ActualResult]:[ActualResult]], "REG"),0), "-", TEXT(SUMIFS(Table1[[HomeWon]:[HomeWon]], Table1[[GameIsOver]:[GameIsOver]],1,Table1[[AwayTeam]:[AwayTeam]],$A31, Table1[[HomeTeam]:[HomeTeam]], C$1, Table1[[ActualResult]:[ActualResult]], "OT") + SUMIFS(Table1[[AwayWon]:[AwayWon]], Table1[[GameIsOver]:[GameIsOver]],1,Table1[[HomeTeam]:[HomeTeam]],$A31, Table1[[AwayTeam]:[AwayTeam]], C$1, Table1[[ActualResult]:[ActualResult]], "OT") + SUMIFS(Table1[[HomeWon]:[HomeWon]], Table1[[GameIsOver]:[GameIsOver]],1,Table1[[AwayTeam]:[AwayTeam]],$A31, Table1[[HomeTeam]:[HomeTeam]], C$1, Table1[[ActualResult]:[ActualResult]], "SO") + SUMIFS(Table1[[AwayWon]:[AwayWon]], Table1[[GameIsOver]:[GameIsOver]],1,Table1[[HomeTeam]:[HomeTeam]],$A31, Table1[[AwayTeam]:[AwayTeam]], C$1, Table1[[ActualResult]:[ActualResult]], "SO"),0))</f>
        <v>0-0-0</v>
      </c>
      <c r="D31" s="43" t="str">
        <f>_xlfn.CONCAT(TEXT(SUMIFS(Table1[[AwayWon]:[AwayWon]], Table1[[GameIsOver]:[GameIsOver]],1,Table1[[AwayTeam]:[AwayTeam]],$A31, Table1[[HomeTeam]:[HomeTeam]], D$1) + SUMIFS(Table1[[HomeWon]:[HomeWon]], Table1[[GameIsOver]:[GameIsOver]],1,Table1[[HomeTeam]:[HomeTeam]],$A31, Table1[[AwayTeam]:[AwayTeam]], D$1),0), "-", TEXT(SUMIFS(Table1[[HomeWon]:[HomeWon]], Table1[[GameIsOver]:[GameIsOver]],1,Table1[[AwayTeam]:[AwayTeam]],$A31, Table1[[HomeTeam]:[HomeTeam]], D$1, Table1[[ActualResult]:[ActualResult]], "REG") + SUMIFS(Table1[[AwayWon]:[AwayWon]], Table1[[GameIsOver]:[GameIsOver]],1,Table1[[HomeTeam]:[HomeTeam]],$A31, Table1[[AwayTeam]:[AwayTeam]], D$1, Table1[[ActualResult]:[ActualResult]], "REG"),0), "-", TEXT(SUMIFS(Table1[[HomeWon]:[HomeWon]], Table1[[GameIsOver]:[GameIsOver]],1,Table1[[AwayTeam]:[AwayTeam]],$A31, Table1[[HomeTeam]:[HomeTeam]], D$1, Table1[[ActualResult]:[ActualResult]], "OT") + SUMIFS(Table1[[AwayWon]:[AwayWon]], Table1[[GameIsOver]:[GameIsOver]],1,Table1[[HomeTeam]:[HomeTeam]],$A31, Table1[[AwayTeam]:[AwayTeam]], D$1, Table1[[ActualResult]:[ActualResult]], "OT") + SUMIFS(Table1[[HomeWon]:[HomeWon]], Table1[[GameIsOver]:[GameIsOver]],1,Table1[[AwayTeam]:[AwayTeam]],$A31, Table1[[HomeTeam]:[HomeTeam]], D$1, Table1[[ActualResult]:[ActualResult]], "SO") + SUMIFS(Table1[[AwayWon]:[AwayWon]], Table1[[GameIsOver]:[GameIsOver]],1,Table1[[HomeTeam]:[HomeTeam]],$A31, Table1[[AwayTeam]:[AwayTeam]], D$1, Table1[[ActualResult]:[ActualResult]], "SO"),0))</f>
        <v>0-0-0</v>
      </c>
      <c r="E31" s="43" t="str">
        <f>_xlfn.CONCAT(TEXT(SUMIFS(Table1[[AwayWon]:[AwayWon]], Table1[[GameIsOver]:[GameIsOver]],1,Table1[[AwayTeam]:[AwayTeam]],$A31, Table1[[HomeTeam]:[HomeTeam]], E$1) + SUMIFS(Table1[[HomeWon]:[HomeWon]], Table1[[GameIsOver]:[GameIsOver]],1,Table1[[HomeTeam]:[HomeTeam]],$A31, Table1[[AwayTeam]:[AwayTeam]], E$1),0), "-", TEXT(SUMIFS(Table1[[HomeWon]:[HomeWon]], Table1[[GameIsOver]:[GameIsOver]],1,Table1[[AwayTeam]:[AwayTeam]],$A31, Table1[[HomeTeam]:[HomeTeam]], E$1, Table1[[ActualResult]:[ActualResult]], "REG") + SUMIFS(Table1[[AwayWon]:[AwayWon]], Table1[[GameIsOver]:[GameIsOver]],1,Table1[[HomeTeam]:[HomeTeam]],$A31, Table1[[AwayTeam]:[AwayTeam]], E$1, Table1[[ActualResult]:[ActualResult]], "REG"),0), "-", TEXT(SUMIFS(Table1[[HomeWon]:[HomeWon]], Table1[[GameIsOver]:[GameIsOver]],1,Table1[[AwayTeam]:[AwayTeam]],$A31, Table1[[HomeTeam]:[HomeTeam]], E$1, Table1[[ActualResult]:[ActualResult]], "OT") + SUMIFS(Table1[[AwayWon]:[AwayWon]], Table1[[GameIsOver]:[GameIsOver]],1,Table1[[HomeTeam]:[HomeTeam]],$A31, Table1[[AwayTeam]:[AwayTeam]], E$1, Table1[[ActualResult]:[ActualResult]], "OT") + SUMIFS(Table1[[HomeWon]:[HomeWon]], Table1[[GameIsOver]:[GameIsOver]],1,Table1[[AwayTeam]:[AwayTeam]],$A31, Table1[[HomeTeam]:[HomeTeam]], E$1, Table1[[ActualResult]:[ActualResult]], "SO") + SUMIFS(Table1[[AwayWon]:[AwayWon]], Table1[[GameIsOver]:[GameIsOver]],1,Table1[[HomeTeam]:[HomeTeam]],$A31, Table1[[AwayTeam]:[AwayTeam]], E$1, Table1[[ActualResult]:[ActualResult]], "SO"),0))</f>
        <v>0-0-0</v>
      </c>
      <c r="F31" s="43" t="str">
        <f>_xlfn.CONCAT(TEXT(SUMIFS(Table1[[AwayWon]:[AwayWon]], Table1[[GameIsOver]:[GameIsOver]],1,Table1[[AwayTeam]:[AwayTeam]],$A31, Table1[[HomeTeam]:[HomeTeam]], F$1) + SUMIFS(Table1[[HomeWon]:[HomeWon]], Table1[[GameIsOver]:[GameIsOver]],1,Table1[[HomeTeam]:[HomeTeam]],$A31, Table1[[AwayTeam]:[AwayTeam]], F$1),0), "-", TEXT(SUMIFS(Table1[[HomeWon]:[HomeWon]], Table1[[GameIsOver]:[GameIsOver]],1,Table1[[AwayTeam]:[AwayTeam]],$A31, Table1[[HomeTeam]:[HomeTeam]], F$1, Table1[[ActualResult]:[ActualResult]], "REG") + SUMIFS(Table1[[AwayWon]:[AwayWon]], Table1[[GameIsOver]:[GameIsOver]],1,Table1[[HomeTeam]:[HomeTeam]],$A31, Table1[[AwayTeam]:[AwayTeam]], F$1, Table1[[ActualResult]:[ActualResult]], "REG"),0), "-", TEXT(SUMIFS(Table1[[HomeWon]:[HomeWon]], Table1[[GameIsOver]:[GameIsOver]],1,Table1[[AwayTeam]:[AwayTeam]],$A31, Table1[[HomeTeam]:[HomeTeam]], F$1, Table1[[ActualResult]:[ActualResult]], "OT") + SUMIFS(Table1[[AwayWon]:[AwayWon]], Table1[[GameIsOver]:[GameIsOver]],1,Table1[[HomeTeam]:[HomeTeam]],$A31, Table1[[AwayTeam]:[AwayTeam]], F$1, Table1[[ActualResult]:[ActualResult]], "OT") + SUMIFS(Table1[[HomeWon]:[HomeWon]], Table1[[GameIsOver]:[GameIsOver]],1,Table1[[AwayTeam]:[AwayTeam]],$A31, Table1[[HomeTeam]:[HomeTeam]], F$1, Table1[[ActualResult]:[ActualResult]], "SO") + SUMIFS(Table1[[AwayWon]:[AwayWon]], Table1[[GameIsOver]:[GameIsOver]],1,Table1[[HomeTeam]:[HomeTeam]],$A31, Table1[[AwayTeam]:[AwayTeam]], F$1, Table1[[ActualResult]:[ActualResult]], "SO"),0))</f>
        <v>0-0-0</v>
      </c>
      <c r="G31" s="43" t="str">
        <f>_xlfn.CONCAT(TEXT(SUMIFS(Table1[[AwayWon]:[AwayWon]], Table1[[GameIsOver]:[GameIsOver]],1,Table1[[AwayTeam]:[AwayTeam]],$A31, Table1[[HomeTeam]:[HomeTeam]], G$1) + SUMIFS(Table1[[HomeWon]:[HomeWon]], Table1[[GameIsOver]:[GameIsOver]],1,Table1[[HomeTeam]:[HomeTeam]],$A31, Table1[[AwayTeam]:[AwayTeam]], G$1),0), "-", TEXT(SUMIFS(Table1[[HomeWon]:[HomeWon]], Table1[[GameIsOver]:[GameIsOver]],1,Table1[[AwayTeam]:[AwayTeam]],$A31, Table1[[HomeTeam]:[HomeTeam]], G$1, Table1[[ActualResult]:[ActualResult]], "REG") + SUMIFS(Table1[[AwayWon]:[AwayWon]], Table1[[GameIsOver]:[GameIsOver]],1,Table1[[HomeTeam]:[HomeTeam]],$A31, Table1[[AwayTeam]:[AwayTeam]], G$1, Table1[[ActualResult]:[ActualResult]], "REG"),0), "-", TEXT(SUMIFS(Table1[[HomeWon]:[HomeWon]], Table1[[GameIsOver]:[GameIsOver]],1,Table1[[AwayTeam]:[AwayTeam]],$A31, Table1[[HomeTeam]:[HomeTeam]], G$1, Table1[[ActualResult]:[ActualResult]], "OT") + SUMIFS(Table1[[AwayWon]:[AwayWon]], Table1[[GameIsOver]:[GameIsOver]],1,Table1[[HomeTeam]:[HomeTeam]],$A31, Table1[[AwayTeam]:[AwayTeam]], G$1, Table1[[ActualResult]:[ActualResult]], "OT") + SUMIFS(Table1[[HomeWon]:[HomeWon]], Table1[[GameIsOver]:[GameIsOver]],1,Table1[[AwayTeam]:[AwayTeam]],$A31, Table1[[HomeTeam]:[HomeTeam]], G$1, Table1[[ActualResult]:[ActualResult]], "SO") + SUMIFS(Table1[[AwayWon]:[AwayWon]], Table1[[GameIsOver]:[GameIsOver]],1,Table1[[HomeTeam]:[HomeTeam]],$A31, Table1[[AwayTeam]:[AwayTeam]], G$1, Table1[[ActualResult]:[ActualResult]], "SO"),0))</f>
        <v>0-0-0</v>
      </c>
      <c r="H31" s="43" t="str">
        <f>_xlfn.CONCAT(TEXT(SUMIFS(Table1[[AwayWon]:[AwayWon]], Table1[[GameIsOver]:[GameIsOver]],1,Table1[[AwayTeam]:[AwayTeam]],$A31, Table1[[HomeTeam]:[HomeTeam]], H$1) + SUMIFS(Table1[[HomeWon]:[HomeWon]], Table1[[GameIsOver]:[GameIsOver]],1,Table1[[HomeTeam]:[HomeTeam]],$A31, Table1[[AwayTeam]:[AwayTeam]], H$1),0), "-", TEXT(SUMIFS(Table1[[HomeWon]:[HomeWon]], Table1[[GameIsOver]:[GameIsOver]],1,Table1[[AwayTeam]:[AwayTeam]],$A31, Table1[[HomeTeam]:[HomeTeam]], H$1, Table1[[ActualResult]:[ActualResult]], "REG") + SUMIFS(Table1[[AwayWon]:[AwayWon]], Table1[[GameIsOver]:[GameIsOver]],1,Table1[[HomeTeam]:[HomeTeam]],$A31, Table1[[AwayTeam]:[AwayTeam]], H$1, Table1[[ActualResult]:[ActualResult]], "REG"),0), "-", TEXT(SUMIFS(Table1[[HomeWon]:[HomeWon]], Table1[[GameIsOver]:[GameIsOver]],1,Table1[[AwayTeam]:[AwayTeam]],$A31, Table1[[HomeTeam]:[HomeTeam]], H$1, Table1[[ActualResult]:[ActualResult]], "OT") + SUMIFS(Table1[[AwayWon]:[AwayWon]], Table1[[GameIsOver]:[GameIsOver]],1,Table1[[HomeTeam]:[HomeTeam]],$A31, Table1[[AwayTeam]:[AwayTeam]], H$1, Table1[[ActualResult]:[ActualResult]], "OT") + SUMIFS(Table1[[HomeWon]:[HomeWon]], Table1[[GameIsOver]:[GameIsOver]],1,Table1[[AwayTeam]:[AwayTeam]],$A31, Table1[[HomeTeam]:[HomeTeam]], H$1, Table1[[ActualResult]:[ActualResult]], "SO") + SUMIFS(Table1[[AwayWon]:[AwayWon]], Table1[[GameIsOver]:[GameIsOver]],1,Table1[[HomeTeam]:[HomeTeam]],$A31, Table1[[AwayTeam]:[AwayTeam]], H$1, Table1[[ActualResult]:[ActualResult]], "SO"),0))</f>
        <v>0-0-0</v>
      </c>
      <c r="I31" s="45" t="str">
        <f>_xlfn.CONCAT(TEXT(SUMIFS(Table1[[AwayWon]:[AwayWon]], Table1[[GameIsOver]:[GameIsOver]],1,Table1[[AwayTeam]:[AwayTeam]],$A31, Table1[[HomeTeam]:[HomeTeam]], I$1) + SUMIFS(Table1[[HomeWon]:[HomeWon]], Table1[[GameIsOver]:[GameIsOver]],1,Table1[[HomeTeam]:[HomeTeam]],$A31, Table1[[AwayTeam]:[AwayTeam]], I$1),0), "-", TEXT(SUMIFS(Table1[[HomeWon]:[HomeWon]], Table1[[GameIsOver]:[GameIsOver]],1,Table1[[AwayTeam]:[AwayTeam]],$A31, Table1[[HomeTeam]:[HomeTeam]], I$1, Table1[[ActualResult]:[ActualResult]], "REG") + SUMIFS(Table1[[AwayWon]:[AwayWon]], Table1[[GameIsOver]:[GameIsOver]],1,Table1[[HomeTeam]:[HomeTeam]],$A31, Table1[[AwayTeam]:[AwayTeam]], I$1, Table1[[ActualResult]:[ActualResult]], "REG"),0), "-", TEXT(SUMIFS(Table1[[HomeWon]:[HomeWon]], Table1[[GameIsOver]:[GameIsOver]],1,Table1[[AwayTeam]:[AwayTeam]],$A31, Table1[[HomeTeam]:[HomeTeam]], I$1, Table1[[ActualResult]:[ActualResult]], "OT") + SUMIFS(Table1[[AwayWon]:[AwayWon]], Table1[[GameIsOver]:[GameIsOver]],1,Table1[[HomeTeam]:[HomeTeam]],$A31, Table1[[AwayTeam]:[AwayTeam]], I$1, Table1[[ActualResult]:[ActualResult]], "OT") + SUMIFS(Table1[[HomeWon]:[HomeWon]], Table1[[GameIsOver]:[GameIsOver]],1,Table1[[AwayTeam]:[AwayTeam]],$A31, Table1[[HomeTeam]:[HomeTeam]], I$1, Table1[[ActualResult]:[ActualResult]], "SO") + SUMIFS(Table1[[AwayWon]:[AwayWon]], Table1[[GameIsOver]:[GameIsOver]],1,Table1[[HomeTeam]:[HomeTeam]],$A31, Table1[[AwayTeam]:[AwayTeam]], I$1, Table1[[ActualResult]:[ActualResult]], "SO"),0))</f>
        <v>0-0-0</v>
      </c>
      <c r="J31" s="43" t="str">
        <f>_xlfn.CONCAT(TEXT(SUMIFS(Table1[[AwayWon]:[AwayWon]], Table1[[GameIsOver]:[GameIsOver]],1,Table1[[AwayTeam]:[AwayTeam]],$A31, Table1[[HomeTeam]:[HomeTeam]], J$1) + SUMIFS(Table1[[HomeWon]:[HomeWon]], Table1[[GameIsOver]:[GameIsOver]],1,Table1[[HomeTeam]:[HomeTeam]],$A31, Table1[[AwayTeam]:[AwayTeam]], J$1),0), "-", TEXT(SUMIFS(Table1[[HomeWon]:[HomeWon]], Table1[[GameIsOver]:[GameIsOver]],1,Table1[[AwayTeam]:[AwayTeam]],$A31, Table1[[HomeTeam]:[HomeTeam]], J$1, Table1[[ActualResult]:[ActualResult]], "REG") + SUMIFS(Table1[[AwayWon]:[AwayWon]], Table1[[GameIsOver]:[GameIsOver]],1,Table1[[HomeTeam]:[HomeTeam]],$A31, Table1[[AwayTeam]:[AwayTeam]], J$1, Table1[[ActualResult]:[ActualResult]], "REG"),0), "-", TEXT(SUMIFS(Table1[[HomeWon]:[HomeWon]], Table1[[GameIsOver]:[GameIsOver]],1,Table1[[AwayTeam]:[AwayTeam]],$A31, Table1[[HomeTeam]:[HomeTeam]], J$1, Table1[[ActualResult]:[ActualResult]], "OT") + SUMIFS(Table1[[AwayWon]:[AwayWon]], Table1[[GameIsOver]:[GameIsOver]],1,Table1[[HomeTeam]:[HomeTeam]],$A31, Table1[[AwayTeam]:[AwayTeam]], J$1, Table1[[ActualResult]:[ActualResult]], "OT") + SUMIFS(Table1[[HomeWon]:[HomeWon]], Table1[[GameIsOver]:[GameIsOver]],1,Table1[[AwayTeam]:[AwayTeam]],$A31, Table1[[HomeTeam]:[HomeTeam]], J$1, Table1[[ActualResult]:[ActualResult]], "SO") + SUMIFS(Table1[[AwayWon]:[AwayWon]], Table1[[GameIsOver]:[GameIsOver]],1,Table1[[HomeTeam]:[HomeTeam]],$A31, Table1[[AwayTeam]:[AwayTeam]], J$1, Table1[[ActualResult]:[ActualResult]], "SO"),0))</f>
        <v>0-0-0</v>
      </c>
      <c r="K31" s="43" t="str">
        <f>_xlfn.CONCAT(TEXT(SUMIFS(Table1[[AwayWon]:[AwayWon]], Table1[[GameIsOver]:[GameIsOver]],1,Table1[[AwayTeam]:[AwayTeam]],$A31, Table1[[HomeTeam]:[HomeTeam]], K$1) + SUMIFS(Table1[[HomeWon]:[HomeWon]], Table1[[GameIsOver]:[GameIsOver]],1,Table1[[HomeTeam]:[HomeTeam]],$A31, Table1[[AwayTeam]:[AwayTeam]], K$1),0), "-", TEXT(SUMIFS(Table1[[HomeWon]:[HomeWon]], Table1[[GameIsOver]:[GameIsOver]],1,Table1[[AwayTeam]:[AwayTeam]],$A31, Table1[[HomeTeam]:[HomeTeam]], K$1, Table1[[ActualResult]:[ActualResult]], "REG") + SUMIFS(Table1[[AwayWon]:[AwayWon]], Table1[[GameIsOver]:[GameIsOver]],1,Table1[[HomeTeam]:[HomeTeam]],$A31, Table1[[AwayTeam]:[AwayTeam]], K$1, Table1[[ActualResult]:[ActualResult]], "REG"),0), "-", TEXT(SUMIFS(Table1[[HomeWon]:[HomeWon]], Table1[[GameIsOver]:[GameIsOver]],1,Table1[[AwayTeam]:[AwayTeam]],$A31, Table1[[HomeTeam]:[HomeTeam]], K$1, Table1[[ActualResult]:[ActualResult]], "OT") + SUMIFS(Table1[[AwayWon]:[AwayWon]], Table1[[GameIsOver]:[GameIsOver]],1,Table1[[HomeTeam]:[HomeTeam]],$A31, Table1[[AwayTeam]:[AwayTeam]], K$1, Table1[[ActualResult]:[ActualResult]], "OT") + SUMIFS(Table1[[HomeWon]:[HomeWon]], Table1[[GameIsOver]:[GameIsOver]],1,Table1[[AwayTeam]:[AwayTeam]],$A31, Table1[[HomeTeam]:[HomeTeam]], K$1, Table1[[ActualResult]:[ActualResult]], "SO") + SUMIFS(Table1[[AwayWon]:[AwayWon]], Table1[[GameIsOver]:[GameIsOver]],1,Table1[[HomeTeam]:[HomeTeam]],$A31, Table1[[AwayTeam]:[AwayTeam]], K$1, Table1[[ActualResult]:[ActualResult]], "SO"),0))</f>
        <v>0-0-0</v>
      </c>
      <c r="L31" s="43" t="str">
        <f>_xlfn.CONCAT(TEXT(SUMIFS(Table1[[AwayWon]:[AwayWon]], Table1[[GameIsOver]:[GameIsOver]],1,Table1[[AwayTeam]:[AwayTeam]],$A31, Table1[[HomeTeam]:[HomeTeam]], L$1) + SUMIFS(Table1[[HomeWon]:[HomeWon]], Table1[[GameIsOver]:[GameIsOver]],1,Table1[[HomeTeam]:[HomeTeam]],$A31, Table1[[AwayTeam]:[AwayTeam]], L$1),0), "-", TEXT(SUMIFS(Table1[[HomeWon]:[HomeWon]], Table1[[GameIsOver]:[GameIsOver]],1,Table1[[AwayTeam]:[AwayTeam]],$A31, Table1[[HomeTeam]:[HomeTeam]], L$1, Table1[[ActualResult]:[ActualResult]], "REG") + SUMIFS(Table1[[AwayWon]:[AwayWon]], Table1[[GameIsOver]:[GameIsOver]],1,Table1[[HomeTeam]:[HomeTeam]],$A31, Table1[[AwayTeam]:[AwayTeam]], L$1, Table1[[ActualResult]:[ActualResult]], "REG"),0), "-", TEXT(SUMIFS(Table1[[HomeWon]:[HomeWon]], Table1[[GameIsOver]:[GameIsOver]],1,Table1[[AwayTeam]:[AwayTeam]],$A31, Table1[[HomeTeam]:[HomeTeam]], L$1, Table1[[ActualResult]:[ActualResult]], "OT") + SUMIFS(Table1[[AwayWon]:[AwayWon]], Table1[[GameIsOver]:[GameIsOver]],1,Table1[[HomeTeam]:[HomeTeam]],$A31, Table1[[AwayTeam]:[AwayTeam]], L$1, Table1[[ActualResult]:[ActualResult]], "OT") + SUMIFS(Table1[[HomeWon]:[HomeWon]], Table1[[GameIsOver]:[GameIsOver]],1,Table1[[AwayTeam]:[AwayTeam]],$A31, Table1[[HomeTeam]:[HomeTeam]], L$1, Table1[[ActualResult]:[ActualResult]], "SO") + SUMIFS(Table1[[AwayWon]:[AwayWon]], Table1[[GameIsOver]:[GameIsOver]],1,Table1[[HomeTeam]:[HomeTeam]],$A31, Table1[[AwayTeam]:[AwayTeam]], L$1, Table1[[ActualResult]:[ActualResult]], "SO"),0))</f>
        <v>0-0-0</v>
      </c>
      <c r="M31" s="43" t="str">
        <f>_xlfn.CONCAT(TEXT(SUMIFS(Table1[[AwayWon]:[AwayWon]], Table1[[GameIsOver]:[GameIsOver]],1,Table1[[AwayTeam]:[AwayTeam]],$A31, Table1[[HomeTeam]:[HomeTeam]], M$1) + SUMIFS(Table1[[HomeWon]:[HomeWon]], Table1[[GameIsOver]:[GameIsOver]],1,Table1[[HomeTeam]:[HomeTeam]],$A31, Table1[[AwayTeam]:[AwayTeam]], M$1),0), "-", TEXT(SUMIFS(Table1[[HomeWon]:[HomeWon]], Table1[[GameIsOver]:[GameIsOver]],1,Table1[[AwayTeam]:[AwayTeam]],$A31, Table1[[HomeTeam]:[HomeTeam]], M$1, Table1[[ActualResult]:[ActualResult]], "REG") + SUMIFS(Table1[[AwayWon]:[AwayWon]], Table1[[GameIsOver]:[GameIsOver]],1,Table1[[HomeTeam]:[HomeTeam]],$A31, Table1[[AwayTeam]:[AwayTeam]], M$1, Table1[[ActualResult]:[ActualResult]], "REG"),0), "-", TEXT(SUMIFS(Table1[[HomeWon]:[HomeWon]], Table1[[GameIsOver]:[GameIsOver]],1,Table1[[AwayTeam]:[AwayTeam]],$A31, Table1[[HomeTeam]:[HomeTeam]], M$1, Table1[[ActualResult]:[ActualResult]], "OT") + SUMIFS(Table1[[AwayWon]:[AwayWon]], Table1[[GameIsOver]:[GameIsOver]],1,Table1[[HomeTeam]:[HomeTeam]],$A31, Table1[[AwayTeam]:[AwayTeam]], M$1, Table1[[ActualResult]:[ActualResult]], "OT") + SUMIFS(Table1[[HomeWon]:[HomeWon]], Table1[[GameIsOver]:[GameIsOver]],1,Table1[[AwayTeam]:[AwayTeam]],$A31, Table1[[HomeTeam]:[HomeTeam]], M$1, Table1[[ActualResult]:[ActualResult]], "SO") + SUMIFS(Table1[[AwayWon]:[AwayWon]], Table1[[GameIsOver]:[GameIsOver]],1,Table1[[HomeTeam]:[HomeTeam]],$A31, Table1[[AwayTeam]:[AwayTeam]], M$1, Table1[[ActualResult]:[ActualResult]], "SO"),0))</f>
        <v>0-0-0</v>
      </c>
      <c r="N31" s="43" t="str">
        <f>_xlfn.CONCAT(TEXT(SUMIFS(Table1[[AwayWon]:[AwayWon]], Table1[[GameIsOver]:[GameIsOver]],1,Table1[[AwayTeam]:[AwayTeam]],$A31, Table1[[HomeTeam]:[HomeTeam]], N$1) + SUMIFS(Table1[[HomeWon]:[HomeWon]], Table1[[GameIsOver]:[GameIsOver]],1,Table1[[HomeTeam]:[HomeTeam]],$A31, Table1[[AwayTeam]:[AwayTeam]], N$1),0), "-", TEXT(SUMIFS(Table1[[HomeWon]:[HomeWon]], Table1[[GameIsOver]:[GameIsOver]],1,Table1[[AwayTeam]:[AwayTeam]],$A31, Table1[[HomeTeam]:[HomeTeam]], N$1, Table1[[ActualResult]:[ActualResult]], "REG") + SUMIFS(Table1[[AwayWon]:[AwayWon]], Table1[[GameIsOver]:[GameIsOver]],1,Table1[[HomeTeam]:[HomeTeam]],$A31, Table1[[AwayTeam]:[AwayTeam]], N$1, Table1[[ActualResult]:[ActualResult]], "REG"),0), "-", TEXT(SUMIFS(Table1[[HomeWon]:[HomeWon]], Table1[[GameIsOver]:[GameIsOver]],1,Table1[[AwayTeam]:[AwayTeam]],$A31, Table1[[HomeTeam]:[HomeTeam]], N$1, Table1[[ActualResult]:[ActualResult]], "OT") + SUMIFS(Table1[[AwayWon]:[AwayWon]], Table1[[GameIsOver]:[GameIsOver]],1,Table1[[HomeTeam]:[HomeTeam]],$A31, Table1[[AwayTeam]:[AwayTeam]], N$1, Table1[[ActualResult]:[ActualResult]], "OT") + SUMIFS(Table1[[HomeWon]:[HomeWon]], Table1[[GameIsOver]:[GameIsOver]],1,Table1[[AwayTeam]:[AwayTeam]],$A31, Table1[[HomeTeam]:[HomeTeam]], N$1, Table1[[ActualResult]:[ActualResult]], "SO") + SUMIFS(Table1[[AwayWon]:[AwayWon]], Table1[[GameIsOver]:[GameIsOver]],1,Table1[[HomeTeam]:[HomeTeam]],$A31, Table1[[AwayTeam]:[AwayTeam]], N$1, Table1[[ActualResult]:[ActualResult]], "SO"),0))</f>
        <v>0-0-0</v>
      </c>
      <c r="O31" s="43" t="str">
        <f>_xlfn.CONCAT(TEXT(SUMIFS(Table1[[AwayWon]:[AwayWon]], Table1[[GameIsOver]:[GameIsOver]],1,Table1[[AwayTeam]:[AwayTeam]],$A31, Table1[[HomeTeam]:[HomeTeam]], O$1) + SUMIFS(Table1[[HomeWon]:[HomeWon]], Table1[[GameIsOver]:[GameIsOver]],1,Table1[[HomeTeam]:[HomeTeam]],$A31, Table1[[AwayTeam]:[AwayTeam]], O$1),0), "-", TEXT(SUMIFS(Table1[[HomeWon]:[HomeWon]], Table1[[GameIsOver]:[GameIsOver]],1,Table1[[AwayTeam]:[AwayTeam]],$A31, Table1[[HomeTeam]:[HomeTeam]], O$1, Table1[[ActualResult]:[ActualResult]], "REG") + SUMIFS(Table1[[AwayWon]:[AwayWon]], Table1[[GameIsOver]:[GameIsOver]],1,Table1[[HomeTeam]:[HomeTeam]],$A31, Table1[[AwayTeam]:[AwayTeam]], O$1, Table1[[ActualResult]:[ActualResult]], "REG"),0), "-", TEXT(SUMIFS(Table1[[HomeWon]:[HomeWon]], Table1[[GameIsOver]:[GameIsOver]],1,Table1[[AwayTeam]:[AwayTeam]],$A31, Table1[[HomeTeam]:[HomeTeam]], O$1, Table1[[ActualResult]:[ActualResult]], "OT") + SUMIFS(Table1[[AwayWon]:[AwayWon]], Table1[[GameIsOver]:[GameIsOver]],1,Table1[[HomeTeam]:[HomeTeam]],$A31, Table1[[AwayTeam]:[AwayTeam]], O$1, Table1[[ActualResult]:[ActualResult]], "OT") + SUMIFS(Table1[[HomeWon]:[HomeWon]], Table1[[GameIsOver]:[GameIsOver]],1,Table1[[AwayTeam]:[AwayTeam]],$A31, Table1[[HomeTeam]:[HomeTeam]], O$1, Table1[[ActualResult]:[ActualResult]], "SO") + SUMIFS(Table1[[AwayWon]:[AwayWon]], Table1[[GameIsOver]:[GameIsOver]],1,Table1[[HomeTeam]:[HomeTeam]],$A31, Table1[[AwayTeam]:[AwayTeam]], O$1, Table1[[ActualResult]:[ActualResult]], "SO"),0))</f>
        <v>0-0-0</v>
      </c>
      <c r="P31" s="43" t="str">
        <f>_xlfn.CONCAT(TEXT(SUMIFS(Table1[[AwayWon]:[AwayWon]], Table1[[GameIsOver]:[GameIsOver]],1,Table1[[AwayTeam]:[AwayTeam]],$A31, Table1[[HomeTeam]:[HomeTeam]], P$1) + SUMIFS(Table1[[HomeWon]:[HomeWon]], Table1[[GameIsOver]:[GameIsOver]],1,Table1[[HomeTeam]:[HomeTeam]],$A31, Table1[[AwayTeam]:[AwayTeam]], P$1),0), "-", TEXT(SUMIFS(Table1[[HomeWon]:[HomeWon]], Table1[[GameIsOver]:[GameIsOver]],1,Table1[[AwayTeam]:[AwayTeam]],$A31, Table1[[HomeTeam]:[HomeTeam]], P$1, Table1[[ActualResult]:[ActualResult]], "REG") + SUMIFS(Table1[[AwayWon]:[AwayWon]], Table1[[GameIsOver]:[GameIsOver]],1,Table1[[HomeTeam]:[HomeTeam]],$A31, Table1[[AwayTeam]:[AwayTeam]], P$1, Table1[[ActualResult]:[ActualResult]], "REG"),0), "-", TEXT(SUMIFS(Table1[[HomeWon]:[HomeWon]], Table1[[GameIsOver]:[GameIsOver]],1,Table1[[AwayTeam]:[AwayTeam]],$A31, Table1[[HomeTeam]:[HomeTeam]], P$1, Table1[[ActualResult]:[ActualResult]], "OT") + SUMIFS(Table1[[AwayWon]:[AwayWon]], Table1[[GameIsOver]:[GameIsOver]],1,Table1[[HomeTeam]:[HomeTeam]],$A31, Table1[[AwayTeam]:[AwayTeam]], P$1, Table1[[ActualResult]:[ActualResult]], "OT") + SUMIFS(Table1[[HomeWon]:[HomeWon]], Table1[[GameIsOver]:[GameIsOver]],1,Table1[[AwayTeam]:[AwayTeam]],$A31, Table1[[HomeTeam]:[HomeTeam]], P$1, Table1[[ActualResult]:[ActualResult]], "SO") + SUMIFS(Table1[[AwayWon]:[AwayWon]], Table1[[GameIsOver]:[GameIsOver]],1,Table1[[HomeTeam]:[HomeTeam]],$A31, Table1[[AwayTeam]:[AwayTeam]], P$1, Table1[[ActualResult]:[ActualResult]], "SO"),0))</f>
        <v>0-0-0</v>
      </c>
      <c r="Q31" s="45" t="str">
        <f>_xlfn.CONCAT(TEXT(SUMIFS(Table1[[AwayWon]:[AwayWon]], Table1[[GameIsOver]:[GameIsOver]],1,Table1[[AwayTeam]:[AwayTeam]],$A31, Table1[[HomeTeam]:[HomeTeam]], Q$1) + SUMIFS(Table1[[HomeWon]:[HomeWon]], Table1[[GameIsOver]:[GameIsOver]],1,Table1[[HomeTeam]:[HomeTeam]],$A31, Table1[[AwayTeam]:[AwayTeam]], Q$1),0), "-", TEXT(SUMIFS(Table1[[HomeWon]:[HomeWon]], Table1[[GameIsOver]:[GameIsOver]],1,Table1[[AwayTeam]:[AwayTeam]],$A31, Table1[[HomeTeam]:[HomeTeam]], Q$1, Table1[[ActualResult]:[ActualResult]], "REG") + SUMIFS(Table1[[AwayWon]:[AwayWon]], Table1[[GameIsOver]:[GameIsOver]],1,Table1[[HomeTeam]:[HomeTeam]],$A31, Table1[[AwayTeam]:[AwayTeam]], Q$1, Table1[[ActualResult]:[ActualResult]], "REG"),0), "-", TEXT(SUMIFS(Table1[[HomeWon]:[HomeWon]], Table1[[GameIsOver]:[GameIsOver]],1,Table1[[AwayTeam]:[AwayTeam]],$A31, Table1[[HomeTeam]:[HomeTeam]], Q$1, Table1[[ActualResult]:[ActualResult]], "OT") + SUMIFS(Table1[[AwayWon]:[AwayWon]], Table1[[GameIsOver]:[GameIsOver]],1,Table1[[HomeTeam]:[HomeTeam]],$A31, Table1[[AwayTeam]:[AwayTeam]], Q$1, Table1[[ActualResult]:[ActualResult]], "OT") + SUMIFS(Table1[[HomeWon]:[HomeWon]], Table1[[GameIsOver]:[GameIsOver]],1,Table1[[AwayTeam]:[AwayTeam]],$A31, Table1[[HomeTeam]:[HomeTeam]], Q$1, Table1[[ActualResult]:[ActualResult]], "SO") + SUMIFS(Table1[[AwayWon]:[AwayWon]], Table1[[GameIsOver]:[GameIsOver]],1,Table1[[HomeTeam]:[HomeTeam]],$A31, Table1[[AwayTeam]:[AwayTeam]], Q$1, Table1[[ActualResult]:[ActualResult]], "SO"),0))</f>
        <v>0-0-0</v>
      </c>
      <c r="R31" s="43" t="str">
        <f>_xlfn.CONCAT(TEXT(SUMIFS(Table1[[AwayWon]:[AwayWon]], Table1[[GameIsOver]:[GameIsOver]],1,Table1[[AwayTeam]:[AwayTeam]],$A31, Table1[[HomeTeam]:[HomeTeam]], R$1) + SUMIFS(Table1[[HomeWon]:[HomeWon]], Table1[[GameIsOver]:[GameIsOver]],1,Table1[[HomeTeam]:[HomeTeam]],$A31, Table1[[AwayTeam]:[AwayTeam]], R$1),0), "-", TEXT(SUMIFS(Table1[[HomeWon]:[HomeWon]], Table1[[GameIsOver]:[GameIsOver]],1,Table1[[AwayTeam]:[AwayTeam]],$A31, Table1[[HomeTeam]:[HomeTeam]], R$1, Table1[[ActualResult]:[ActualResult]], "REG") + SUMIFS(Table1[[AwayWon]:[AwayWon]], Table1[[GameIsOver]:[GameIsOver]],1,Table1[[HomeTeam]:[HomeTeam]],$A31, Table1[[AwayTeam]:[AwayTeam]], R$1, Table1[[ActualResult]:[ActualResult]], "REG"),0), "-", TEXT(SUMIFS(Table1[[HomeWon]:[HomeWon]], Table1[[GameIsOver]:[GameIsOver]],1,Table1[[AwayTeam]:[AwayTeam]],$A31, Table1[[HomeTeam]:[HomeTeam]], R$1, Table1[[ActualResult]:[ActualResult]], "OT") + SUMIFS(Table1[[AwayWon]:[AwayWon]], Table1[[GameIsOver]:[GameIsOver]],1,Table1[[HomeTeam]:[HomeTeam]],$A31, Table1[[AwayTeam]:[AwayTeam]], R$1, Table1[[ActualResult]:[ActualResult]], "OT") + SUMIFS(Table1[[HomeWon]:[HomeWon]], Table1[[GameIsOver]:[GameIsOver]],1,Table1[[AwayTeam]:[AwayTeam]],$A31, Table1[[HomeTeam]:[HomeTeam]], R$1, Table1[[ActualResult]:[ActualResult]], "SO") + SUMIFS(Table1[[AwayWon]:[AwayWon]], Table1[[GameIsOver]:[GameIsOver]],1,Table1[[HomeTeam]:[HomeTeam]],$A31, Table1[[AwayTeam]:[AwayTeam]], R$1, Table1[[ActualResult]:[ActualResult]], "SO"),0))</f>
        <v>0-0-0</v>
      </c>
      <c r="S31" s="43" t="str">
        <f>_xlfn.CONCAT(TEXT(SUMIFS(Table1[[AwayWon]:[AwayWon]], Table1[[GameIsOver]:[GameIsOver]],1,Table1[[AwayTeam]:[AwayTeam]],$A31, Table1[[HomeTeam]:[HomeTeam]], S$1) + SUMIFS(Table1[[HomeWon]:[HomeWon]], Table1[[GameIsOver]:[GameIsOver]],1,Table1[[HomeTeam]:[HomeTeam]],$A31, Table1[[AwayTeam]:[AwayTeam]], S$1),0), "-", TEXT(SUMIFS(Table1[[HomeWon]:[HomeWon]], Table1[[GameIsOver]:[GameIsOver]],1,Table1[[AwayTeam]:[AwayTeam]],$A31, Table1[[HomeTeam]:[HomeTeam]], S$1, Table1[[ActualResult]:[ActualResult]], "REG") + SUMIFS(Table1[[AwayWon]:[AwayWon]], Table1[[GameIsOver]:[GameIsOver]],1,Table1[[HomeTeam]:[HomeTeam]],$A31, Table1[[AwayTeam]:[AwayTeam]], S$1, Table1[[ActualResult]:[ActualResult]], "REG"),0), "-", TEXT(SUMIFS(Table1[[HomeWon]:[HomeWon]], Table1[[GameIsOver]:[GameIsOver]],1,Table1[[AwayTeam]:[AwayTeam]],$A31, Table1[[HomeTeam]:[HomeTeam]], S$1, Table1[[ActualResult]:[ActualResult]], "OT") + SUMIFS(Table1[[AwayWon]:[AwayWon]], Table1[[GameIsOver]:[GameIsOver]],1,Table1[[HomeTeam]:[HomeTeam]],$A31, Table1[[AwayTeam]:[AwayTeam]], S$1, Table1[[ActualResult]:[ActualResult]], "OT") + SUMIFS(Table1[[HomeWon]:[HomeWon]], Table1[[GameIsOver]:[GameIsOver]],1,Table1[[AwayTeam]:[AwayTeam]],$A31, Table1[[HomeTeam]:[HomeTeam]], S$1, Table1[[ActualResult]:[ActualResult]], "SO") + SUMIFS(Table1[[AwayWon]:[AwayWon]], Table1[[GameIsOver]:[GameIsOver]],1,Table1[[HomeTeam]:[HomeTeam]],$A31, Table1[[AwayTeam]:[AwayTeam]], S$1, Table1[[ActualResult]:[ActualResult]], "SO"),0))</f>
        <v>0-0-0</v>
      </c>
      <c r="T31" s="43" t="str">
        <f>_xlfn.CONCAT(TEXT(SUMIFS(Table1[[AwayWon]:[AwayWon]], Table1[[GameIsOver]:[GameIsOver]],1,Table1[[AwayTeam]:[AwayTeam]],$A31, Table1[[HomeTeam]:[HomeTeam]], T$1) + SUMIFS(Table1[[HomeWon]:[HomeWon]], Table1[[GameIsOver]:[GameIsOver]],1,Table1[[HomeTeam]:[HomeTeam]],$A31, Table1[[AwayTeam]:[AwayTeam]], T$1),0), "-", TEXT(SUMIFS(Table1[[HomeWon]:[HomeWon]], Table1[[GameIsOver]:[GameIsOver]],1,Table1[[AwayTeam]:[AwayTeam]],$A31, Table1[[HomeTeam]:[HomeTeam]], T$1, Table1[[ActualResult]:[ActualResult]], "REG") + SUMIFS(Table1[[AwayWon]:[AwayWon]], Table1[[GameIsOver]:[GameIsOver]],1,Table1[[HomeTeam]:[HomeTeam]],$A31, Table1[[AwayTeam]:[AwayTeam]], T$1, Table1[[ActualResult]:[ActualResult]], "REG"),0), "-", TEXT(SUMIFS(Table1[[HomeWon]:[HomeWon]], Table1[[GameIsOver]:[GameIsOver]],1,Table1[[AwayTeam]:[AwayTeam]],$A31, Table1[[HomeTeam]:[HomeTeam]], T$1, Table1[[ActualResult]:[ActualResult]], "OT") + SUMIFS(Table1[[AwayWon]:[AwayWon]], Table1[[GameIsOver]:[GameIsOver]],1,Table1[[HomeTeam]:[HomeTeam]],$A31, Table1[[AwayTeam]:[AwayTeam]], T$1, Table1[[ActualResult]:[ActualResult]], "OT") + SUMIFS(Table1[[HomeWon]:[HomeWon]], Table1[[GameIsOver]:[GameIsOver]],1,Table1[[AwayTeam]:[AwayTeam]],$A31, Table1[[HomeTeam]:[HomeTeam]], T$1, Table1[[ActualResult]:[ActualResult]], "SO") + SUMIFS(Table1[[AwayWon]:[AwayWon]], Table1[[GameIsOver]:[GameIsOver]],1,Table1[[HomeTeam]:[HomeTeam]],$A31, Table1[[AwayTeam]:[AwayTeam]], T$1, Table1[[ActualResult]:[ActualResult]], "SO"),0))</f>
        <v>0-0-0</v>
      </c>
      <c r="U31" s="43" t="str">
        <f>_xlfn.CONCAT(TEXT(SUMIFS(Table1[[AwayWon]:[AwayWon]], Table1[[GameIsOver]:[GameIsOver]],1,Table1[[AwayTeam]:[AwayTeam]],$A31, Table1[[HomeTeam]:[HomeTeam]], U$1) + SUMIFS(Table1[[HomeWon]:[HomeWon]], Table1[[GameIsOver]:[GameIsOver]],1,Table1[[HomeTeam]:[HomeTeam]],$A31, Table1[[AwayTeam]:[AwayTeam]], U$1),0), "-", TEXT(SUMIFS(Table1[[HomeWon]:[HomeWon]], Table1[[GameIsOver]:[GameIsOver]],1,Table1[[AwayTeam]:[AwayTeam]],$A31, Table1[[HomeTeam]:[HomeTeam]], U$1, Table1[[ActualResult]:[ActualResult]], "REG") + SUMIFS(Table1[[AwayWon]:[AwayWon]], Table1[[GameIsOver]:[GameIsOver]],1,Table1[[HomeTeam]:[HomeTeam]],$A31, Table1[[AwayTeam]:[AwayTeam]], U$1, Table1[[ActualResult]:[ActualResult]], "REG"),0), "-", TEXT(SUMIFS(Table1[[HomeWon]:[HomeWon]], Table1[[GameIsOver]:[GameIsOver]],1,Table1[[AwayTeam]:[AwayTeam]],$A31, Table1[[HomeTeam]:[HomeTeam]], U$1, Table1[[ActualResult]:[ActualResult]], "OT") + SUMIFS(Table1[[AwayWon]:[AwayWon]], Table1[[GameIsOver]:[GameIsOver]],1,Table1[[HomeTeam]:[HomeTeam]],$A31, Table1[[AwayTeam]:[AwayTeam]], U$1, Table1[[ActualResult]:[ActualResult]], "OT") + SUMIFS(Table1[[HomeWon]:[HomeWon]], Table1[[GameIsOver]:[GameIsOver]],1,Table1[[AwayTeam]:[AwayTeam]],$A31, Table1[[HomeTeam]:[HomeTeam]], U$1, Table1[[ActualResult]:[ActualResult]], "SO") + SUMIFS(Table1[[AwayWon]:[AwayWon]], Table1[[GameIsOver]:[GameIsOver]],1,Table1[[HomeTeam]:[HomeTeam]],$A31, Table1[[AwayTeam]:[AwayTeam]], U$1, Table1[[ActualResult]:[ActualResult]], "SO"),0))</f>
        <v>0-0-0</v>
      </c>
      <c r="V31" s="43" t="str">
        <f>_xlfn.CONCAT(TEXT(SUMIFS(Table1[[AwayWon]:[AwayWon]], Table1[[GameIsOver]:[GameIsOver]],1,Table1[[AwayTeam]:[AwayTeam]],$A31, Table1[[HomeTeam]:[HomeTeam]], V$1) + SUMIFS(Table1[[HomeWon]:[HomeWon]], Table1[[GameIsOver]:[GameIsOver]],1,Table1[[HomeTeam]:[HomeTeam]],$A31, Table1[[AwayTeam]:[AwayTeam]], V$1),0), "-", TEXT(SUMIFS(Table1[[HomeWon]:[HomeWon]], Table1[[GameIsOver]:[GameIsOver]],1,Table1[[AwayTeam]:[AwayTeam]],$A31, Table1[[HomeTeam]:[HomeTeam]], V$1, Table1[[ActualResult]:[ActualResult]], "REG") + SUMIFS(Table1[[AwayWon]:[AwayWon]], Table1[[GameIsOver]:[GameIsOver]],1,Table1[[HomeTeam]:[HomeTeam]],$A31, Table1[[AwayTeam]:[AwayTeam]], V$1, Table1[[ActualResult]:[ActualResult]], "REG"),0), "-", TEXT(SUMIFS(Table1[[HomeWon]:[HomeWon]], Table1[[GameIsOver]:[GameIsOver]],1,Table1[[AwayTeam]:[AwayTeam]],$A31, Table1[[HomeTeam]:[HomeTeam]], V$1, Table1[[ActualResult]:[ActualResult]], "OT") + SUMIFS(Table1[[AwayWon]:[AwayWon]], Table1[[GameIsOver]:[GameIsOver]],1,Table1[[HomeTeam]:[HomeTeam]],$A31, Table1[[AwayTeam]:[AwayTeam]], V$1, Table1[[ActualResult]:[ActualResult]], "OT") + SUMIFS(Table1[[HomeWon]:[HomeWon]], Table1[[GameIsOver]:[GameIsOver]],1,Table1[[AwayTeam]:[AwayTeam]],$A31, Table1[[HomeTeam]:[HomeTeam]], V$1, Table1[[ActualResult]:[ActualResult]], "SO") + SUMIFS(Table1[[AwayWon]:[AwayWon]], Table1[[GameIsOver]:[GameIsOver]],1,Table1[[HomeTeam]:[HomeTeam]],$A31, Table1[[AwayTeam]:[AwayTeam]], V$1, Table1[[ActualResult]:[ActualResult]], "SO"),0))</f>
        <v>0-0-0</v>
      </c>
      <c r="W31" s="43" t="str">
        <f>_xlfn.CONCAT(TEXT(SUMIFS(Table1[[AwayWon]:[AwayWon]], Table1[[GameIsOver]:[GameIsOver]],1,Table1[[AwayTeam]:[AwayTeam]],$A31, Table1[[HomeTeam]:[HomeTeam]], W$1) + SUMIFS(Table1[[HomeWon]:[HomeWon]], Table1[[GameIsOver]:[GameIsOver]],1,Table1[[HomeTeam]:[HomeTeam]],$A31, Table1[[AwayTeam]:[AwayTeam]], W$1),0), "-", TEXT(SUMIFS(Table1[[HomeWon]:[HomeWon]], Table1[[GameIsOver]:[GameIsOver]],1,Table1[[AwayTeam]:[AwayTeam]],$A31, Table1[[HomeTeam]:[HomeTeam]], W$1, Table1[[ActualResult]:[ActualResult]], "REG") + SUMIFS(Table1[[AwayWon]:[AwayWon]], Table1[[GameIsOver]:[GameIsOver]],1,Table1[[HomeTeam]:[HomeTeam]],$A31, Table1[[AwayTeam]:[AwayTeam]], W$1, Table1[[ActualResult]:[ActualResult]], "REG"),0), "-", TEXT(SUMIFS(Table1[[HomeWon]:[HomeWon]], Table1[[GameIsOver]:[GameIsOver]],1,Table1[[AwayTeam]:[AwayTeam]],$A31, Table1[[HomeTeam]:[HomeTeam]], W$1, Table1[[ActualResult]:[ActualResult]], "OT") + SUMIFS(Table1[[AwayWon]:[AwayWon]], Table1[[GameIsOver]:[GameIsOver]],1,Table1[[HomeTeam]:[HomeTeam]],$A31, Table1[[AwayTeam]:[AwayTeam]], W$1, Table1[[ActualResult]:[ActualResult]], "OT") + SUMIFS(Table1[[HomeWon]:[HomeWon]], Table1[[GameIsOver]:[GameIsOver]],1,Table1[[AwayTeam]:[AwayTeam]],$A31, Table1[[HomeTeam]:[HomeTeam]], W$1, Table1[[ActualResult]:[ActualResult]], "SO") + SUMIFS(Table1[[AwayWon]:[AwayWon]], Table1[[GameIsOver]:[GameIsOver]],1,Table1[[HomeTeam]:[HomeTeam]],$A31, Table1[[AwayTeam]:[AwayTeam]], W$1, Table1[[ActualResult]:[ActualResult]], "SO"),0))</f>
        <v>0-0-0</v>
      </c>
      <c r="X31" s="43" t="str">
        <f>_xlfn.CONCAT(TEXT(SUMIFS(Table1[[AwayWon]:[AwayWon]], Table1[[GameIsOver]:[GameIsOver]],1,Table1[[AwayTeam]:[AwayTeam]],$A31, Table1[[HomeTeam]:[HomeTeam]], X$1) + SUMIFS(Table1[[HomeWon]:[HomeWon]], Table1[[GameIsOver]:[GameIsOver]],1,Table1[[HomeTeam]:[HomeTeam]],$A31, Table1[[AwayTeam]:[AwayTeam]], X$1),0), "-", TEXT(SUMIFS(Table1[[HomeWon]:[HomeWon]], Table1[[GameIsOver]:[GameIsOver]],1,Table1[[AwayTeam]:[AwayTeam]],$A31, Table1[[HomeTeam]:[HomeTeam]], X$1, Table1[[ActualResult]:[ActualResult]], "REG") + SUMIFS(Table1[[AwayWon]:[AwayWon]], Table1[[GameIsOver]:[GameIsOver]],1,Table1[[HomeTeam]:[HomeTeam]],$A31, Table1[[AwayTeam]:[AwayTeam]], X$1, Table1[[ActualResult]:[ActualResult]], "REG"),0), "-", TEXT(SUMIFS(Table1[[HomeWon]:[HomeWon]], Table1[[GameIsOver]:[GameIsOver]],1,Table1[[AwayTeam]:[AwayTeam]],$A31, Table1[[HomeTeam]:[HomeTeam]], X$1, Table1[[ActualResult]:[ActualResult]], "OT") + SUMIFS(Table1[[AwayWon]:[AwayWon]], Table1[[GameIsOver]:[GameIsOver]],1,Table1[[HomeTeam]:[HomeTeam]],$A31, Table1[[AwayTeam]:[AwayTeam]], X$1, Table1[[ActualResult]:[ActualResult]], "OT") + SUMIFS(Table1[[HomeWon]:[HomeWon]], Table1[[GameIsOver]:[GameIsOver]],1,Table1[[AwayTeam]:[AwayTeam]],$A31, Table1[[HomeTeam]:[HomeTeam]], X$1, Table1[[ActualResult]:[ActualResult]], "SO") + SUMIFS(Table1[[AwayWon]:[AwayWon]], Table1[[GameIsOver]:[GameIsOver]],1,Table1[[HomeTeam]:[HomeTeam]],$A31, Table1[[AwayTeam]:[AwayTeam]], X$1, Table1[[ActualResult]:[ActualResult]], "SO"),0))</f>
        <v>0-0-0</v>
      </c>
      <c r="Y31" s="45" t="str">
        <f>_xlfn.CONCAT(TEXT(SUMIFS(Table1[[AwayWon]:[AwayWon]], Table1[[GameIsOver]:[GameIsOver]],1,Table1[[AwayTeam]:[AwayTeam]],$A31, Table1[[HomeTeam]:[HomeTeam]], Y$1) + SUMIFS(Table1[[HomeWon]:[HomeWon]], Table1[[GameIsOver]:[GameIsOver]],1,Table1[[HomeTeam]:[HomeTeam]],$A31, Table1[[AwayTeam]:[AwayTeam]], Y$1),0), "-", TEXT(SUMIFS(Table1[[HomeWon]:[HomeWon]], Table1[[GameIsOver]:[GameIsOver]],1,Table1[[AwayTeam]:[AwayTeam]],$A31, Table1[[HomeTeam]:[HomeTeam]], Y$1, Table1[[ActualResult]:[ActualResult]], "REG") + SUMIFS(Table1[[AwayWon]:[AwayWon]], Table1[[GameIsOver]:[GameIsOver]],1,Table1[[HomeTeam]:[HomeTeam]],$A31, Table1[[AwayTeam]:[AwayTeam]], Y$1, Table1[[ActualResult]:[ActualResult]], "REG"),0), "-", TEXT(SUMIFS(Table1[[HomeWon]:[HomeWon]], Table1[[GameIsOver]:[GameIsOver]],1,Table1[[AwayTeam]:[AwayTeam]],$A31, Table1[[HomeTeam]:[HomeTeam]], Y$1, Table1[[ActualResult]:[ActualResult]], "OT") + SUMIFS(Table1[[AwayWon]:[AwayWon]], Table1[[GameIsOver]:[GameIsOver]],1,Table1[[HomeTeam]:[HomeTeam]],$A31, Table1[[AwayTeam]:[AwayTeam]], Y$1, Table1[[ActualResult]:[ActualResult]], "OT") + SUMIFS(Table1[[HomeWon]:[HomeWon]], Table1[[GameIsOver]:[GameIsOver]],1,Table1[[AwayTeam]:[AwayTeam]],$A31, Table1[[HomeTeam]:[HomeTeam]], Y$1, Table1[[ActualResult]:[ActualResult]], "SO") + SUMIFS(Table1[[AwayWon]:[AwayWon]], Table1[[GameIsOver]:[GameIsOver]],1,Table1[[HomeTeam]:[HomeTeam]],$A31, Table1[[AwayTeam]:[AwayTeam]], Y$1, Table1[[ActualResult]:[ActualResult]], "SO"),0))</f>
        <v>0-0-0</v>
      </c>
      <c r="Z31" s="43" t="str">
        <f>_xlfn.CONCAT(TEXT(SUMIFS(Table1[[AwayWon]:[AwayWon]], Table1[[GameIsOver]:[GameIsOver]],1,Table1[[AwayTeam]:[AwayTeam]],$A31, Table1[[HomeTeam]:[HomeTeam]], Z$1) + SUMIFS(Table1[[HomeWon]:[HomeWon]], Table1[[GameIsOver]:[GameIsOver]],1,Table1[[HomeTeam]:[HomeTeam]],$A31, Table1[[AwayTeam]:[AwayTeam]], Z$1),0), "-", TEXT(SUMIFS(Table1[[HomeWon]:[HomeWon]], Table1[[GameIsOver]:[GameIsOver]],1,Table1[[AwayTeam]:[AwayTeam]],$A31, Table1[[HomeTeam]:[HomeTeam]], Z$1, Table1[[ActualResult]:[ActualResult]], "REG") + SUMIFS(Table1[[AwayWon]:[AwayWon]], Table1[[GameIsOver]:[GameIsOver]],1,Table1[[HomeTeam]:[HomeTeam]],$A31, Table1[[AwayTeam]:[AwayTeam]], Z$1, Table1[[ActualResult]:[ActualResult]], "REG"),0), "-", TEXT(SUMIFS(Table1[[HomeWon]:[HomeWon]], Table1[[GameIsOver]:[GameIsOver]],1,Table1[[AwayTeam]:[AwayTeam]],$A31, Table1[[HomeTeam]:[HomeTeam]], Z$1, Table1[[ActualResult]:[ActualResult]], "OT") + SUMIFS(Table1[[AwayWon]:[AwayWon]], Table1[[GameIsOver]:[GameIsOver]],1,Table1[[HomeTeam]:[HomeTeam]],$A31, Table1[[AwayTeam]:[AwayTeam]], Z$1, Table1[[ActualResult]:[ActualResult]], "OT") + SUMIFS(Table1[[HomeWon]:[HomeWon]], Table1[[GameIsOver]:[GameIsOver]],1,Table1[[AwayTeam]:[AwayTeam]],$A31, Table1[[HomeTeam]:[HomeTeam]], Z$1, Table1[[ActualResult]:[ActualResult]], "SO") + SUMIFS(Table1[[AwayWon]:[AwayWon]], Table1[[GameIsOver]:[GameIsOver]],1,Table1[[HomeTeam]:[HomeTeam]],$A31, Table1[[AwayTeam]:[AwayTeam]], Z$1, Table1[[ActualResult]:[ActualResult]], "SO"),0))</f>
        <v>0-0-0</v>
      </c>
      <c r="AA31" s="43" t="str">
        <f>_xlfn.CONCAT(TEXT(SUMIFS(Table1[[AwayWon]:[AwayWon]], Table1[[GameIsOver]:[GameIsOver]],1,Table1[[AwayTeam]:[AwayTeam]],$A31, Table1[[HomeTeam]:[HomeTeam]], AA$1) + SUMIFS(Table1[[HomeWon]:[HomeWon]], Table1[[GameIsOver]:[GameIsOver]],1,Table1[[HomeTeam]:[HomeTeam]],$A31, Table1[[AwayTeam]:[AwayTeam]], AA$1),0), "-", TEXT(SUMIFS(Table1[[HomeWon]:[HomeWon]], Table1[[GameIsOver]:[GameIsOver]],1,Table1[[AwayTeam]:[AwayTeam]],$A31, Table1[[HomeTeam]:[HomeTeam]], AA$1, Table1[[ActualResult]:[ActualResult]], "REG") + SUMIFS(Table1[[AwayWon]:[AwayWon]], Table1[[GameIsOver]:[GameIsOver]],1,Table1[[HomeTeam]:[HomeTeam]],$A31, Table1[[AwayTeam]:[AwayTeam]], AA$1, Table1[[ActualResult]:[ActualResult]], "REG"),0), "-", TEXT(SUMIFS(Table1[[HomeWon]:[HomeWon]], Table1[[GameIsOver]:[GameIsOver]],1,Table1[[AwayTeam]:[AwayTeam]],$A31, Table1[[HomeTeam]:[HomeTeam]], AA$1, Table1[[ActualResult]:[ActualResult]], "OT") + SUMIFS(Table1[[AwayWon]:[AwayWon]], Table1[[GameIsOver]:[GameIsOver]],1,Table1[[HomeTeam]:[HomeTeam]],$A31, Table1[[AwayTeam]:[AwayTeam]], AA$1, Table1[[ActualResult]:[ActualResult]], "OT") + SUMIFS(Table1[[HomeWon]:[HomeWon]], Table1[[GameIsOver]:[GameIsOver]],1,Table1[[AwayTeam]:[AwayTeam]],$A31, Table1[[HomeTeam]:[HomeTeam]], AA$1, Table1[[ActualResult]:[ActualResult]], "SO") + SUMIFS(Table1[[AwayWon]:[AwayWon]], Table1[[GameIsOver]:[GameIsOver]],1,Table1[[HomeTeam]:[HomeTeam]],$A31, Table1[[AwayTeam]:[AwayTeam]], AA$1, Table1[[ActualResult]:[ActualResult]], "SO"),0))</f>
        <v>0-0-0</v>
      </c>
      <c r="AB31" s="43" t="str">
        <f>_xlfn.CONCAT(TEXT(SUMIFS(Table1[[AwayWon]:[AwayWon]], Table1[[GameIsOver]:[GameIsOver]],1,Table1[[AwayTeam]:[AwayTeam]],$A31, Table1[[HomeTeam]:[HomeTeam]], AB$1) + SUMIFS(Table1[[HomeWon]:[HomeWon]], Table1[[GameIsOver]:[GameIsOver]],1,Table1[[HomeTeam]:[HomeTeam]],$A31, Table1[[AwayTeam]:[AwayTeam]], AB$1),0), "-", TEXT(SUMIFS(Table1[[HomeWon]:[HomeWon]], Table1[[GameIsOver]:[GameIsOver]],1,Table1[[AwayTeam]:[AwayTeam]],$A31, Table1[[HomeTeam]:[HomeTeam]], AB$1, Table1[[ActualResult]:[ActualResult]], "REG") + SUMIFS(Table1[[AwayWon]:[AwayWon]], Table1[[GameIsOver]:[GameIsOver]],1,Table1[[HomeTeam]:[HomeTeam]],$A31, Table1[[AwayTeam]:[AwayTeam]], AB$1, Table1[[ActualResult]:[ActualResult]], "REG"),0), "-", TEXT(SUMIFS(Table1[[HomeWon]:[HomeWon]], Table1[[GameIsOver]:[GameIsOver]],1,Table1[[AwayTeam]:[AwayTeam]],$A31, Table1[[HomeTeam]:[HomeTeam]], AB$1, Table1[[ActualResult]:[ActualResult]], "OT") + SUMIFS(Table1[[AwayWon]:[AwayWon]], Table1[[GameIsOver]:[GameIsOver]],1,Table1[[HomeTeam]:[HomeTeam]],$A31, Table1[[AwayTeam]:[AwayTeam]], AB$1, Table1[[ActualResult]:[ActualResult]], "OT") + SUMIFS(Table1[[HomeWon]:[HomeWon]], Table1[[GameIsOver]:[GameIsOver]],1,Table1[[AwayTeam]:[AwayTeam]],$A31, Table1[[HomeTeam]:[HomeTeam]], AB$1, Table1[[ActualResult]:[ActualResult]], "SO") + SUMIFS(Table1[[AwayWon]:[AwayWon]], Table1[[GameIsOver]:[GameIsOver]],1,Table1[[HomeTeam]:[HomeTeam]],$A31, Table1[[AwayTeam]:[AwayTeam]], AB$1, Table1[[ActualResult]:[ActualResult]], "SO"),0))</f>
        <v>0-0-0</v>
      </c>
      <c r="AC31" s="43" t="str">
        <f>_xlfn.CONCAT(TEXT(SUMIFS(Table1[[AwayWon]:[AwayWon]], Table1[[GameIsOver]:[GameIsOver]],1,Table1[[AwayTeam]:[AwayTeam]],$A31, Table1[[HomeTeam]:[HomeTeam]], AC$1) + SUMIFS(Table1[[HomeWon]:[HomeWon]], Table1[[GameIsOver]:[GameIsOver]],1,Table1[[HomeTeam]:[HomeTeam]],$A31, Table1[[AwayTeam]:[AwayTeam]], AC$1),0), "-", TEXT(SUMIFS(Table1[[HomeWon]:[HomeWon]], Table1[[GameIsOver]:[GameIsOver]],1,Table1[[AwayTeam]:[AwayTeam]],$A31, Table1[[HomeTeam]:[HomeTeam]], AC$1, Table1[[ActualResult]:[ActualResult]], "REG") + SUMIFS(Table1[[AwayWon]:[AwayWon]], Table1[[GameIsOver]:[GameIsOver]],1,Table1[[HomeTeam]:[HomeTeam]],$A31, Table1[[AwayTeam]:[AwayTeam]], AC$1, Table1[[ActualResult]:[ActualResult]], "REG"),0), "-", TEXT(SUMIFS(Table1[[HomeWon]:[HomeWon]], Table1[[GameIsOver]:[GameIsOver]],1,Table1[[AwayTeam]:[AwayTeam]],$A31, Table1[[HomeTeam]:[HomeTeam]], AC$1, Table1[[ActualResult]:[ActualResult]], "OT") + SUMIFS(Table1[[AwayWon]:[AwayWon]], Table1[[GameIsOver]:[GameIsOver]],1,Table1[[HomeTeam]:[HomeTeam]],$A31, Table1[[AwayTeam]:[AwayTeam]], AC$1, Table1[[ActualResult]:[ActualResult]], "OT") + SUMIFS(Table1[[HomeWon]:[HomeWon]], Table1[[GameIsOver]:[GameIsOver]],1,Table1[[AwayTeam]:[AwayTeam]],$A31, Table1[[HomeTeam]:[HomeTeam]], AC$1, Table1[[ActualResult]:[ActualResult]], "SO") + SUMIFS(Table1[[AwayWon]:[AwayWon]], Table1[[GameIsOver]:[GameIsOver]],1,Table1[[HomeTeam]:[HomeTeam]],$A31, Table1[[AwayTeam]:[AwayTeam]], AC$1, Table1[[ActualResult]:[ActualResult]], "SO"),0))</f>
        <v>0-0-0</v>
      </c>
      <c r="AD31" s="43" t="str">
        <f>_xlfn.CONCAT(TEXT(SUMIFS(Table1[[AwayWon]:[AwayWon]], Table1[[GameIsOver]:[GameIsOver]],1,Table1[[AwayTeam]:[AwayTeam]],$A31, Table1[[HomeTeam]:[HomeTeam]], AD$1) + SUMIFS(Table1[[HomeWon]:[HomeWon]], Table1[[GameIsOver]:[GameIsOver]],1,Table1[[HomeTeam]:[HomeTeam]],$A31, Table1[[AwayTeam]:[AwayTeam]], AD$1),0), "-", TEXT(SUMIFS(Table1[[HomeWon]:[HomeWon]], Table1[[GameIsOver]:[GameIsOver]],1,Table1[[AwayTeam]:[AwayTeam]],$A31, Table1[[HomeTeam]:[HomeTeam]], AD$1, Table1[[ActualResult]:[ActualResult]], "REG") + SUMIFS(Table1[[AwayWon]:[AwayWon]], Table1[[GameIsOver]:[GameIsOver]],1,Table1[[HomeTeam]:[HomeTeam]],$A31, Table1[[AwayTeam]:[AwayTeam]], AD$1, Table1[[ActualResult]:[ActualResult]], "REG"),0), "-", TEXT(SUMIFS(Table1[[HomeWon]:[HomeWon]], Table1[[GameIsOver]:[GameIsOver]],1,Table1[[AwayTeam]:[AwayTeam]],$A31, Table1[[HomeTeam]:[HomeTeam]], AD$1, Table1[[ActualResult]:[ActualResult]], "OT") + SUMIFS(Table1[[AwayWon]:[AwayWon]], Table1[[GameIsOver]:[GameIsOver]],1,Table1[[HomeTeam]:[HomeTeam]],$A31, Table1[[AwayTeam]:[AwayTeam]], AD$1, Table1[[ActualResult]:[ActualResult]], "OT") + SUMIFS(Table1[[HomeWon]:[HomeWon]], Table1[[GameIsOver]:[GameIsOver]],1,Table1[[AwayTeam]:[AwayTeam]],$A31, Table1[[HomeTeam]:[HomeTeam]], AD$1, Table1[[ActualResult]:[ActualResult]], "SO") + SUMIFS(Table1[[AwayWon]:[AwayWon]], Table1[[GameIsOver]:[GameIsOver]],1,Table1[[HomeTeam]:[HomeTeam]],$A31, Table1[[AwayTeam]:[AwayTeam]], AD$1, Table1[[ActualResult]:[ActualResult]], "SO"),0))</f>
        <v>0-0-0</v>
      </c>
      <c r="AE31" s="43" t="str">
        <f>_xlfn.CONCAT(TEXT(SUMIFS(Table1[[AwayWon]:[AwayWon]], Table1[[GameIsOver]:[GameIsOver]],1,Table1[[AwayTeam]:[AwayTeam]],$A31, Table1[[HomeTeam]:[HomeTeam]], AE$1) + SUMIFS(Table1[[HomeWon]:[HomeWon]], Table1[[GameIsOver]:[GameIsOver]],1,Table1[[HomeTeam]:[HomeTeam]],$A31, Table1[[AwayTeam]:[AwayTeam]], AE$1),0), "-", TEXT(SUMIFS(Table1[[HomeWon]:[HomeWon]], Table1[[GameIsOver]:[GameIsOver]],1,Table1[[AwayTeam]:[AwayTeam]],$A31, Table1[[HomeTeam]:[HomeTeam]], AE$1, Table1[[ActualResult]:[ActualResult]], "REG") + SUMIFS(Table1[[AwayWon]:[AwayWon]], Table1[[GameIsOver]:[GameIsOver]],1,Table1[[HomeTeam]:[HomeTeam]],$A31, Table1[[AwayTeam]:[AwayTeam]], AE$1, Table1[[ActualResult]:[ActualResult]], "REG"),0), "-", TEXT(SUMIFS(Table1[[HomeWon]:[HomeWon]], Table1[[GameIsOver]:[GameIsOver]],1,Table1[[AwayTeam]:[AwayTeam]],$A31, Table1[[HomeTeam]:[HomeTeam]], AE$1, Table1[[ActualResult]:[ActualResult]], "OT") + SUMIFS(Table1[[AwayWon]:[AwayWon]], Table1[[GameIsOver]:[GameIsOver]],1,Table1[[HomeTeam]:[HomeTeam]],$A31, Table1[[AwayTeam]:[AwayTeam]], AE$1, Table1[[ActualResult]:[ActualResult]], "OT") + SUMIFS(Table1[[HomeWon]:[HomeWon]], Table1[[GameIsOver]:[GameIsOver]],1,Table1[[AwayTeam]:[AwayTeam]],$A31, Table1[[HomeTeam]:[HomeTeam]], AE$1, Table1[[ActualResult]:[ActualResult]], "SO") + SUMIFS(Table1[[AwayWon]:[AwayWon]], Table1[[GameIsOver]:[GameIsOver]],1,Table1[[HomeTeam]:[HomeTeam]],$A31, Table1[[AwayTeam]:[AwayTeam]], AE$1, Table1[[ActualResult]:[ActualResult]], "SO"),0))</f>
        <v>0-0-0</v>
      </c>
      <c r="AF31" s="43" t="str">
        <f>_xlfn.CONCAT(TEXT(SUMIFS(Table1[[AwayWon]:[AwayWon]], Table1[[GameIsOver]:[GameIsOver]],1,Table1[[AwayTeam]:[AwayTeam]],$A31, Table1[[HomeTeam]:[HomeTeam]], AF$1) + SUMIFS(Table1[[HomeWon]:[HomeWon]], Table1[[GameIsOver]:[GameIsOver]],1,Table1[[HomeTeam]:[HomeTeam]],$A31, Table1[[AwayTeam]:[AwayTeam]], AF$1),0), "-", TEXT(SUMIFS(Table1[[HomeWon]:[HomeWon]], Table1[[GameIsOver]:[GameIsOver]],1,Table1[[AwayTeam]:[AwayTeam]],$A31, Table1[[HomeTeam]:[HomeTeam]], AF$1, Table1[[ActualResult]:[ActualResult]], "REG") + SUMIFS(Table1[[AwayWon]:[AwayWon]], Table1[[GameIsOver]:[GameIsOver]],1,Table1[[HomeTeam]:[HomeTeam]],$A31, Table1[[AwayTeam]:[AwayTeam]], AF$1, Table1[[ActualResult]:[ActualResult]], "REG"),0), "-", TEXT(SUMIFS(Table1[[HomeWon]:[HomeWon]], Table1[[GameIsOver]:[GameIsOver]],1,Table1[[AwayTeam]:[AwayTeam]],$A31, Table1[[HomeTeam]:[HomeTeam]], AF$1, Table1[[ActualResult]:[ActualResult]], "OT") + SUMIFS(Table1[[AwayWon]:[AwayWon]], Table1[[GameIsOver]:[GameIsOver]],1,Table1[[HomeTeam]:[HomeTeam]],$A31, Table1[[AwayTeam]:[AwayTeam]], AF$1, Table1[[ActualResult]:[ActualResult]], "OT") + SUMIFS(Table1[[HomeWon]:[HomeWon]], Table1[[GameIsOver]:[GameIsOver]],1,Table1[[AwayTeam]:[AwayTeam]],$A31, Table1[[HomeTeam]:[HomeTeam]], AF$1, Table1[[ActualResult]:[ActualResult]], "SO") + SUMIFS(Table1[[AwayWon]:[AwayWon]], Table1[[GameIsOver]:[GameIsOver]],1,Table1[[HomeTeam]:[HomeTeam]],$A31, Table1[[AwayTeam]:[AwayTeam]], AF$1, Table1[[ActualResult]:[ActualResult]], "SO"),0))</f>
        <v>0-0-0</v>
      </c>
      <c r="AG31" s="43" t="str">
        <f>_xlfn.CONCAT(TEXT(SUMIFS(Table1[[AwayWon]:[AwayWon]], Table1[[GameIsOver]:[GameIsOver]],1,Table1[[AwayTeam]:[AwayTeam]],$A31, Table1[[HomeTeam]:[HomeTeam]], AG$1) + SUMIFS(Table1[[HomeWon]:[HomeWon]], Table1[[GameIsOver]:[GameIsOver]],1,Table1[[HomeTeam]:[HomeTeam]],$A31, Table1[[AwayTeam]:[AwayTeam]], AG$1),0), "-", TEXT(SUMIFS(Table1[[HomeWon]:[HomeWon]], Table1[[GameIsOver]:[GameIsOver]],1,Table1[[AwayTeam]:[AwayTeam]],$A31, Table1[[HomeTeam]:[HomeTeam]], AG$1, Table1[[ActualResult]:[ActualResult]], "REG") + SUMIFS(Table1[[AwayWon]:[AwayWon]], Table1[[GameIsOver]:[GameIsOver]],1,Table1[[HomeTeam]:[HomeTeam]],$A31, Table1[[AwayTeam]:[AwayTeam]], AG$1, Table1[[ActualResult]:[ActualResult]], "REG"),0), "-", TEXT(SUMIFS(Table1[[HomeWon]:[HomeWon]], Table1[[GameIsOver]:[GameIsOver]],1,Table1[[AwayTeam]:[AwayTeam]],$A31, Table1[[HomeTeam]:[HomeTeam]], AG$1, Table1[[ActualResult]:[ActualResult]], "OT") + SUMIFS(Table1[[AwayWon]:[AwayWon]], Table1[[GameIsOver]:[GameIsOver]],1,Table1[[HomeTeam]:[HomeTeam]],$A31, Table1[[AwayTeam]:[AwayTeam]], AG$1, Table1[[ActualResult]:[ActualResult]], "OT") + SUMIFS(Table1[[HomeWon]:[HomeWon]], Table1[[GameIsOver]:[GameIsOver]],1,Table1[[AwayTeam]:[AwayTeam]],$A31, Table1[[HomeTeam]:[HomeTeam]], AG$1, Table1[[ActualResult]:[ActualResult]], "SO") + SUMIFS(Table1[[AwayWon]:[AwayWon]], Table1[[GameIsOver]:[GameIsOver]],1,Table1[[HomeTeam]:[HomeTeam]],$A31, Table1[[AwayTeam]:[AwayTeam]], AG$1, Table1[[ActualResult]:[ActualResult]], "SO"),0))</f>
        <v>0-0-0</v>
      </c>
    </row>
    <row r="32" spans="1:33" x14ac:dyDescent="0.25">
      <c r="A32" s="17" t="s">
        <v>57</v>
      </c>
      <c r="B32" s="43" t="str">
        <f>_xlfn.CONCAT(TEXT(SUMIFS(Table1[[AwayWon]:[AwayWon]], Table1[[GameIsOver]:[GameIsOver]],1,Table1[[AwayTeam]:[AwayTeam]],$A32, Table1[[HomeTeam]:[HomeTeam]], B$1) + SUMIFS(Table1[[HomeWon]:[HomeWon]], Table1[[GameIsOver]:[GameIsOver]],1,Table1[[HomeTeam]:[HomeTeam]],$A32, Table1[[AwayTeam]:[AwayTeam]], B$1),0), "-", TEXT(SUMIFS(Table1[[HomeWon]:[HomeWon]], Table1[[GameIsOver]:[GameIsOver]],1,Table1[[AwayTeam]:[AwayTeam]],$A32, Table1[[HomeTeam]:[HomeTeam]], B$1, Table1[[ActualResult]:[ActualResult]], "REG") + SUMIFS(Table1[[AwayWon]:[AwayWon]], Table1[[GameIsOver]:[GameIsOver]],1,Table1[[HomeTeam]:[HomeTeam]],$A32, Table1[[AwayTeam]:[AwayTeam]], B$1, Table1[[ActualResult]:[ActualResult]], "REG"),0), "-", TEXT(SUMIFS(Table1[[HomeWon]:[HomeWon]], Table1[[GameIsOver]:[GameIsOver]],1,Table1[[AwayTeam]:[AwayTeam]],$A32, Table1[[HomeTeam]:[HomeTeam]], B$1, Table1[[ActualResult]:[ActualResult]], "OT") + SUMIFS(Table1[[AwayWon]:[AwayWon]], Table1[[GameIsOver]:[GameIsOver]],1,Table1[[HomeTeam]:[HomeTeam]],$A32, Table1[[AwayTeam]:[AwayTeam]], B$1, Table1[[ActualResult]:[ActualResult]], "OT") + SUMIFS(Table1[[HomeWon]:[HomeWon]], Table1[[GameIsOver]:[GameIsOver]],1,Table1[[AwayTeam]:[AwayTeam]],$A32, Table1[[HomeTeam]:[HomeTeam]], B$1, Table1[[ActualResult]:[ActualResult]], "SO") + SUMIFS(Table1[[AwayWon]:[AwayWon]], Table1[[GameIsOver]:[GameIsOver]],1,Table1[[HomeTeam]:[HomeTeam]],$A32, Table1[[AwayTeam]:[AwayTeam]], B$1, Table1[[ActualResult]:[ActualResult]], "SO"),0))</f>
        <v>0-0-0</v>
      </c>
      <c r="C32" s="43" t="str">
        <f>_xlfn.CONCAT(TEXT(SUMIFS(Table1[[AwayWon]:[AwayWon]], Table1[[GameIsOver]:[GameIsOver]],1,Table1[[AwayTeam]:[AwayTeam]],$A32, Table1[[HomeTeam]:[HomeTeam]], C$1) + SUMIFS(Table1[[HomeWon]:[HomeWon]], Table1[[GameIsOver]:[GameIsOver]],1,Table1[[HomeTeam]:[HomeTeam]],$A32, Table1[[AwayTeam]:[AwayTeam]], C$1),0), "-", TEXT(SUMIFS(Table1[[HomeWon]:[HomeWon]], Table1[[GameIsOver]:[GameIsOver]],1,Table1[[AwayTeam]:[AwayTeam]],$A32, Table1[[HomeTeam]:[HomeTeam]], C$1, Table1[[ActualResult]:[ActualResult]], "REG") + SUMIFS(Table1[[AwayWon]:[AwayWon]], Table1[[GameIsOver]:[GameIsOver]],1,Table1[[HomeTeam]:[HomeTeam]],$A32, Table1[[AwayTeam]:[AwayTeam]], C$1, Table1[[ActualResult]:[ActualResult]], "REG"),0), "-", TEXT(SUMIFS(Table1[[HomeWon]:[HomeWon]], Table1[[GameIsOver]:[GameIsOver]],1,Table1[[AwayTeam]:[AwayTeam]],$A32, Table1[[HomeTeam]:[HomeTeam]], C$1, Table1[[ActualResult]:[ActualResult]], "OT") + SUMIFS(Table1[[AwayWon]:[AwayWon]], Table1[[GameIsOver]:[GameIsOver]],1,Table1[[HomeTeam]:[HomeTeam]],$A32, Table1[[AwayTeam]:[AwayTeam]], C$1, Table1[[ActualResult]:[ActualResult]], "OT") + SUMIFS(Table1[[HomeWon]:[HomeWon]], Table1[[GameIsOver]:[GameIsOver]],1,Table1[[AwayTeam]:[AwayTeam]],$A32, Table1[[HomeTeam]:[HomeTeam]], C$1, Table1[[ActualResult]:[ActualResult]], "SO") + SUMIFS(Table1[[AwayWon]:[AwayWon]], Table1[[GameIsOver]:[GameIsOver]],1,Table1[[HomeTeam]:[HomeTeam]],$A32, Table1[[AwayTeam]:[AwayTeam]], C$1, Table1[[ActualResult]:[ActualResult]], "SO"),0))</f>
        <v>0-0-0</v>
      </c>
      <c r="D32" s="43" t="str">
        <f>_xlfn.CONCAT(TEXT(SUMIFS(Table1[[AwayWon]:[AwayWon]], Table1[[GameIsOver]:[GameIsOver]],1,Table1[[AwayTeam]:[AwayTeam]],$A32, Table1[[HomeTeam]:[HomeTeam]], D$1) + SUMIFS(Table1[[HomeWon]:[HomeWon]], Table1[[GameIsOver]:[GameIsOver]],1,Table1[[HomeTeam]:[HomeTeam]],$A32, Table1[[AwayTeam]:[AwayTeam]], D$1),0), "-", TEXT(SUMIFS(Table1[[HomeWon]:[HomeWon]], Table1[[GameIsOver]:[GameIsOver]],1,Table1[[AwayTeam]:[AwayTeam]],$A32, Table1[[HomeTeam]:[HomeTeam]], D$1, Table1[[ActualResult]:[ActualResult]], "REG") + SUMIFS(Table1[[AwayWon]:[AwayWon]], Table1[[GameIsOver]:[GameIsOver]],1,Table1[[HomeTeam]:[HomeTeam]],$A32, Table1[[AwayTeam]:[AwayTeam]], D$1, Table1[[ActualResult]:[ActualResult]], "REG"),0), "-", TEXT(SUMIFS(Table1[[HomeWon]:[HomeWon]], Table1[[GameIsOver]:[GameIsOver]],1,Table1[[AwayTeam]:[AwayTeam]],$A32, Table1[[HomeTeam]:[HomeTeam]], D$1, Table1[[ActualResult]:[ActualResult]], "OT") + SUMIFS(Table1[[AwayWon]:[AwayWon]], Table1[[GameIsOver]:[GameIsOver]],1,Table1[[HomeTeam]:[HomeTeam]],$A32, Table1[[AwayTeam]:[AwayTeam]], D$1, Table1[[ActualResult]:[ActualResult]], "OT") + SUMIFS(Table1[[HomeWon]:[HomeWon]], Table1[[GameIsOver]:[GameIsOver]],1,Table1[[AwayTeam]:[AwayTeam]],$A32, Table1[[HomeTeam]:[HomeTeam]], D$1, Table1[[ActualResult]:[ActualResult]], "SO") + SUMIFS(Table1[[AwayWon]:[AwayWon]], Table1[[GameIsOver]:[GameIsOver]],1,Table1[[HomeTeam]:[HomeTeam]],$A32, Table1[[AwayTeam]:[AwayTeam]], D$1, Table1[[ActualResult]:[ActualResult]], "SO"),0))</f>
        <v>0-0-0</v>
      </c>
      <c r="E32" s="43" t="str">
        <f>_xlfn.CONCAT(TEXT(SUMIFS(Table1[[AwayWon]:[AwayWon]], Table1[[GameIsOver]:[GameIsOver]],1,Table1[[AwayTeam]:[AwayTeam]],$A32, Table1[[HomeTeam]:[HomeTeam]], E$1) + SUMIFS(Table1[[HomeWon]:[HomeWon]], Table1[[GameIsOver]:[GameIsOver]],1,Table1[[HomeTeam]:[HomeTeam]],$A32, Table1[[AwayTeam]:[AwayTeam]], E$1),0), "-", TEXT(SUMIFS(Table1[[HomeWon]:[HomeWon]], Table1[[GameIsOver]:[GameIsOver]],1,Table1[[AwayTeam]:[AwayTeam]],$A32, Table1[[HomeTeam]:[HomeTeam]], E$1, Table1[[ActualResult]:[ActualResult]], "REG") + SUMIFS(Table1[[AwayWon]:[AwayWon]], Table1[[GameIsOver]:[GameIsOver]],1,Table1[[HomeTeam]:[HomeTeam]],$A32, Table1[[AwayTeam]:[AwayTeam]], E$1, Table1[[ActualResult]:[ActualResult]], "REG"),0), "-", TEXT(SUMIFS(Table1[[HomeWon]:[HomeWon]], Table1[[GameIsOver]:[GameIsOver]],1,Table1[[AwayTeam]:[AwayTeam]],$A32, Table1[[HomeTeam]:[HomeTeam]], E$1, Table1[[ActualResult]:[ActualResult]], "OT") + SUMIFS(Table1[[AwayWon]:[AwayWon]], Table1[[GameIsOver]:[GameIsOver]],1,Table1[[HomeTeam]:[HomeTeam]],$A32, Table1[[AwayTeam]:[AwayTeam]], E$1, Table1[[ActualResult]:[ActualResult]], "OT") + SUMIFS(Table1[[HomeWon]:[HomeWon]], Table1[[GameIsOver]:[GameIsOver]],1,Table1[[AwayTeam]:[AwayTeam]],$A32, Table1[[HomeTeam]:[HomeTeam]], E$1, Table1[[ActualResult]:[ActualResult]], "SO") + SUMIFS(Table1[[AwayWon]:[AwayWon]], Table1[[GameIsOver]:[GameIsOver]],1,Table1[[HomeTeam]:[HomeTeam]],$A32, Table1[[AwayTeam]:[AwayTeam]], E$1, Table1[[ActualResult]:[ActualResult]], "SO"),0))</f>
        <v>0-0-0</v>
      </c>
      <c r="F32" s="43" t="str">
        <f>_xlfn.CONCAT(TEXT(SUMIFS(Table1[[AwayWon]:[AwayWon]], Table1[[GameIsOver]:[GameIsOver]],1,Table1[[AwayTeam]:[AwayTeam]],$A32, Table1[[HomeTeam]:[HomeTeam]], F$1) + SUMIFS(Table1[[HomeWon]:[HomeWon]], Table1[[GameIsOver]:[GameIsOver]],1,Table1[[HomeTeam]:[HomeTeam]],$A32, Table1[[AwayTeam]:[AwayTeam]], F$1),0), "-", TEXT(SUMIFS(Table1[[HomeWon]:[HomeWon]], Table1[[GameIsOver]:[GameIsOver]],1,Table1[[AwayTeam]:[AwayTeam]],$A32, Table1[[HomeTeam]:[HomeTeam]], F$1, Table1[[ActualResult]:[ActualResult]], "REG") + SUMIFS(Table1[[AwayWon]:[AwayWon]], Table1[[GameIsOver]:[GameIsOver]],1,Table1[[HomeTeam]:[HomeTeam]],$A32, Table1[[AwayTeam]:[AwayTeam]], F$1, Table1[[ActualResult]:[ActualResult]], "REG"),0), "-", TEXT(SUMIFS(Table1[[HomeWon]:[HomeWon]], Table1[[GameIsOver]:[GameIsOver]],1,Table1[[AwayTeam]:[AwayTeam]],$A32, Table1[[HomeTeam]:[HomeTeam]], F$1, Table1[[ActualResult]:[ActualResult]], "OT") + SUMIFS(Table1[[AwayWon]:[AwayWon]], Table1[[GameIsOver]:[GameIsOver]],1,Table1[[HomeTeam]:[HomeTeam]],$A32, Table1[[AwayTeam]:[AwayTeam]], F$1, Table1[[ActualResult]:[ActualResult]], "OT") + SUMIFS(Table1[[HomeWon]:[HomeWon]], Table1[[GameIsOver]:[GameIsOver]],1,Table1[[AwayTeam]:[AwayTeam]],$A32, Table1[[HomeTeam]:[HomeTeam]], F$1, Table1[[ActualResult]:[ActualResult]], "SO") + SUMIFS(Table1[[AwayWon]:[AwayWon]], Table1[[GameIsOver]:[GameIsOver]],1,Table1[[HomeTeam]:[HomeTeam]],$A32, Table1[[AwayTeam]:[AwayTeam]], F$1, Table1[[ActualResult]:[ActualResult]], "SO"),0))</f>
        <v>0-0-0</v>
      </c>
      <c r="G32" s="43" t="str">
        <f>_xlfn.CONCAT(TEXT(SUMIFS(Table1[[AwayWon]:[AwayWon]], Table1[[GameIsOver]:[GameIsOver]],1,Table1[[AwayTeam]:[AwayTeam]],$A32, Table1[[HomeTeam]:[HomeTeam]], G$1) + SUMIFS(Table1[[HomeWon]:[HomeWon]], Table1[[GameIsOver]:[GameIsOver]],1,Table1[[HomeTeam]:[HomeTeam]],$A32, Table1[[AwayTeam]:[AwayTeam]], G$1),0), "-", TEXT(SUMIFS(Table1[[HomeWon]:[HomeWon]], Table1[[GameIsOver]:[GameIsOver]],1,Table1[[AwayTeam]:[AwayTeam]],$A32, Table1[[HomeTeam]:[HomeTeam]], G$1, Table1[[ActualResult]:[ActualResult]], "REG") + SUMIFS(Table1[[AwayWon]:[AwayWon]], Table1[[GameIsOver]:[GameIsOver]],1,Table1[[HomeTeam]:[HomeTeam]],$A32, Table1[[AwayTeam]:[AwayTeam]], G$1, Table1[[ActualResult]:[ActualResult]], "REG"),0), "-", TEXT(SUMIFS(Table1[[HomeWon]:[HomeWon]], Table1[[GameIsOver]:[GameIsOver]],1,Table1[[AwayTeam]:[AwayTeam]],$A32, Table1[[HomeTeam]:[HomeTeam]], G$1, Table1[[ActualResult]:[ActualResult]], "OT") + SUMIFS(Table1[[AwayWon]:[AwayWon]], Table1[[GameIsOver]:[GameIsOver]],1,Table1[[HomeTeam]:[HomeTeam]],$A32, Table1[[AwayTeam]:[AwayTeam]], G$1, Table1[[ActualResult]:[ActualResult]], "OT") + SUMIFS(Table1[[HomeWon]:[HomeWon]], Table1[[GameIsOver]:[GameIsOver]],1,Table1[[AwayTeam]:[AwayTeam]],$A32, Table1[[HomeTeam]:[HomeTeam]], G$1, Table1[[ActualResult]:[ActualResult]], "SO") + SUMIFS(Table1[[AwayWon]:[AwayWon]], Table1[[GameIsOver]:[GameIsOver]],1,Table1[[HomeTeam]:[HomeTeam]],$A32, Table1[[AwayTeam]:[AwayTeam]], G$1, Table1[[ActualResult]:[ActualResult]], "SO"),0))</f>
        <v>0-0-0</v>
      </c>
      <c r="H32" s="43" t="str">
        <f>_xlfn.CONCAT(TEXT(SUMIFS(Table1[[AwayWon]:[AwayWon]], Table1[[GameIsOver]:[GameIsOver]],1,Table1[[AwayTeam]:[AwayTeam]],$A32, Table1[[HomeTeam]:[HomeTeam]], H$1) + SUMIFS(Table1[[HomeWon]:[HomeWon]], Table1[[GameIsOver]:[GameIsOver]],1,Table1[[HomeTeam]:[HomeTeam]],$A32, Table1[[AwayTeam]:[AwayTeam]], H$1),0), "-", TEXT(SUMIFS(Table1[[HomeWon]:[HomeWon]], Table1[[GameIsOver]:[GameIsOver]],1,Table1[[AwayTeam]:[AwayTeam]],$A32, Table1[[HomeTeam]:[HomeTeam]], H$1, Table1[[ActualResult]:[ActualResult]], "REG") + SUMIFS(Table1[[AwayWon]:[AwayWon]], Table1[[GameIsOver]:[GameIsOver]],1,Table1[[HomeTeam]:[HomeTeam]],$A32, Table1[[AwayTeam]:[AwayTeam]], H$1, Table1[[ActualResult]:[ActualResult]], "REG"),0), "-", TEXT(SUMIFS(Table1[[HomeWon]:[HomeWon]], Table1[[GameIsOver]:[GameIsOver]],1,Table1[[AwayTeam]:[AwayTeam]],$A32, Table1[[HomeTeam]:[HomeTeam]], H$1, Table1[[ActualResult]:[ActualResult]], "OT") + SUMIFS(Table1[[AwayWon]:[AwayWon]], Table1[[GameIsOver]:[GameIsOver]],1,Table1[[HomeTeam]:[HomeTeam]],$A32, Table1[[AwayTeam]:[AwayTeam]], H$1, Table1[[ActualResult]:[ActualResult]], "OT") + SUMIFS(Table1[[HomeWon]:[HomeWon]], Table1[[GameIsOver]:[GameIsOver]],1,Table1[[AwayTeam]:[AwayTeam]],$A32, Table1[[HomeTeam]:[HomeTeam]], H$1, Table1[[ActualResult]:[ActualResult]], "SO") + SUMIFS(Table1[[AwayWon]:[AwayWon]], Table1[[GameIsOver]:[GameIsOver]],1,Table1[[HomeTeam]:[HomeTeam]],$A32, Table1[[AwayTeam]:[AwayTeam]], H$1, Table1[[ActualResult]:[ActualResult]], "SO"),0))</f>
        <v>0-0-0</v>
      </c>
      <c r="I32" s="45" t="str">
        <f>_xlfn.CONCAT(TEXT(SUMIFS(Table1[[AwayWon]:[AwayWon]], Table1[[GameIsOver]:[GameIsOver]],1,Table1[[AwayTeam]:[AwayTeam]],$A32, Table1[[HomeTeam]:[HomeTeam]], I$1) + SUMIFS(Table1[[HomeWon]:[HomeWon]], Table1[[GameIsOver]:[GameIsOver]],1,Table1[[HomeTeam]:[HomeTeam]],$A32, Table1[[AwayTeam]:[AwayTeam]], I$1),0), "-", TEXT(SUMIFS(Table1[[HomeWon]:[HomeWon]], Table1[[GameIsOver]:[GameIsOver]],1,Table1[[AwayTeam]:[AwayTeam]],$A32, Table1[[HomeTeam]:[HomeTeam]], I$1, Table1[[ActualResult]:[ActualResult]], "REG") + SUMIFS(Table1[[AwayWon]:[AwayWon]], Table1[[GameIsOver]:[GameIsOver]],1,Table1[[HomeTeam]:[HomeTeam]],$A32, Table1[[AwayTeam]:[AwayTeam]], I$1, Table1[[ActualResult]:[ActualResult]], "REG"),0), "-", TEXT(SUMIFS(Table1[[HomeWon]:[HomeWon]], Table1[[GameIsOver]:[GameIsOver]],1,Table1[[AwayTeam]:[AwayTeam]],$A32, Table1[[HomeTeam]:[HomeTeam]], I$1, Table1[[ActualResult]:[ActualResult]], "OT") + SUMIFS(Table1[[AwayWon]:[AwayWon]], Table1[[GameIsOver]:[GameIsOver]],1,Table1[[HomeTeam]:[HomeTeam]],$A32, Table1[[AwayTeam]:[AwayTeam]], I$1, Table1[[ActualResult]:[ActualResult]], "OT") + SUMIFS(Table1[[HomeWon]:[HomeWon]], Table1[[GameIsOver]:[GameIsOver]],1,Table1[[AwayTeam]:[AwayTeam]],$A32, Table1[[HomeTeam]:[HomeTeam]], I$1, Table1[[ActualResult]:[ActualResult]], "SO") + SUMIFS(Table1[[AwayWon]:[AwayWon]], Table1[[GameIsOver]:[GameIsOver]],1,Table1[[HomeTeam]:[HomeTeam]],$A32, Table1[[AwayTeam]:[AwayTeam]], I$1, Table1[[ActualResult]:[ActualResult]], "SO"),0))</f>
        <v>0-0-0</v>
      </c>
      <c r="J32" s="43" t="str">
        <f>_xlfn.CONCAT(TEXT(SUMIFS(Table1[[AwayWon]:[AwayWon]], Table1[[GameIsOver]:[GameIsOver]],1,Table1[[AwayTeam]:[AwayTeam]],$A32, Table1[[HomeTeam]:[HomeTeam]], J$1) + SUMIFS(Table1[[HomeWon]:[HomeWon]], Table1[[GameIsOver]:[GameIsOver]],1,Table1[[HomeTeam]:[HomeTeam]],$A32, Table1[[AwayTeam]:[AwayTeam]], J$1),0), "-", TEXT(SUMIFS(Table1[[HomeWon]:[HomeWon]], Table1[[GameIsOver]:[GameIsOver]],1,Table1[[AwayTeam]:[AwayTeam]],$A32, Table1[[HomeTeam]:[HomeTeam]], J$1, Table1[[ActualResult]:[ActualResult]], "REG") + SUMIFS(Table1[[AwayWon]:[AwayWon]], Table1[[GameIsOver]:[GameIsOver]],1,Table1[[HomeTeam]:[HomeTeam]],$A32, Table1[[AwayTeam]:[AwayTeam]], J$1, Table1[[ActualResult]:[ActualResult]], "REG"),0), "-", TEXT(SUMIFS(Table1[[HomeWon]:[HomeWon]], Table1[[GameIsOver]:[GameIsOver]],1,Table1[[AwayTeam]:[AwayTeam]],$A32, Table1[[HomeTeam]:[HomeTeam]], J$1, Table1[[ActualResult]:[ActualResult]], "OT") + SUMIFS(Table1[[AwayWon]:[AwayWon]], Table1[[GameIsOver]:[GameIsOver]],1,Table1[[HomeTeam]:[HomeTeam]],$A32, Table1[[AwayTeam]:[AwayTeam]], J$1, Table1[[ActualResult]:[ActualResult]], "OT") + SUMIFS(Table1[[HomeWon]:[HomeWon]], Table1[[GameIsOver]:[GameIsOver]],1,Table1[[AwayTeam]:[AwayTeam]],$A32, Table1[[HomeTeam]:[HomeTeam]], J$1, Table1[[ActualResult]:[ActualResult]], "SO") + SUMIFS(Table1[[AwayWon]:[AwayWon]], Table1[[GameIsOver]:[GameIsOver]],1,Table1[[HomeTeam]:[HomeTeam]],$A32, Table1[[AwayTeam]:[AwayTeam]], J$1, Table1[[ActualResult]:[ActualResult]], "SO"),0))</f>
        <v>0-0-0</v>
      </c>
      <c r="K32" s="43" t="str">
        <f>_xlfn.CONCAT(TEXT(SUMIFS(Table1[[AwayWon]:[AwayWon]], Table1[[GameIsOver]:[GameIsOver]],1,Table1[[AwayTeam]:[AwayTeam]],$A32, Table1[[HomeTeam]:[HomeTeam]], K$1) + SUMIFS(Table1[[HomeWon]:[HomeWon]], Table1[[GameIsOver]:[GameIsOver]],1,Table1[[HomeTeam]:[HomeTeam]],$A32, Table1[[AwayTeam]:[AwayTeam]], K$1),0), "-", TEXT(SUMIFS(Table1[[HomeWon]:[HomeWon]], Table1[[GameIsOver]:[GameIsOver]],1,Table1[[AwayTeam]:[AwayTeam]],$A32, Table1[[HomeTeam]:[HomeTeam]], K$1, Table1[[ActualResult]:[ActualResult]], "REG") + SUMIFS(Table1[[AwayWon]:[AwayWon]], Table1[[GameIsOver]:[GameIsOver]],1,Table1[[HomeTeam]:[HomeTeam]],$A32, Table1[[AwayTeam]:[AwayTeam]], K$1, Table1[[ActualResult]:[ActualResult]], "REG"),0), "-", TEXT(SUMIFS(Table1[[HomeWon]:[HomeWon]], Table1[[GameIsOver]:[GameIsOver]],1,Table1[[AwayTeam]:[AwayTeam]],$A32, Table1[[HomeTeam]:[HomeTeam]], K$1, Table1[[ActualResult]:[ActualResult]], "OT") + SUMIFS(Table1[[AwayWon]:[AwayWon]], Table1[[GameIsOver]:[GameIsOver]],1,Table1[[HomeTeam]:[HomeTeam]],$A32, Table1[[AwayTeam]:[AwayTeam]], K$1, Table1[[ActualResult]:[ActualResult]], "OT") + SUMIFS(Table1[[HomeWon]:[HomeWon]], Table1[[GameIsOver]:[GameIsOver]],1,Table1[[AwayTeam]:[AwayTeam]],$A32, Table1[[HomeTeam]:[HomeTeam]], K$1, Table1[[ActualResult]:[ActualResult]], "SO") + SUMIFS(Table1[[AwayWon]:[AwayWon]], Table1[[GameIsOver]:[GameIsOver]],1,Table1[[HomeTeam]:[HomeTeam]],$A32, Table1[[AwayTeam]:[AwayTeam]], K$1, Table1[[ActualResult]:[ActualResult]], "SO"),0))</f>
        <v>0-0-0</v>
      </c>
      <c r="L32" s="43" t="str">
        <f>_xlfn.CONCAT(TEXT(SUMIFS(Table1[[AwayWon]:[AwayWon]], Table1[[GameIsOver]:[GameIsOver]],1,Table1[[AwayTeam]:[AwayTeam]],$A32, Table1[[HomeTeam]:[HomeTeam]], L$1) + SUMIFS(Table1[[HomeWon]:[HomeWon]], Table1[[GameIsOver]:[GameIsOver]],1,Table1[[HomeTeam]:[HomeTeam]],$A32, Table1[[AwayTeam]:[AwayTeam]], L$1),0), "-", TEXT(SUMIFS(Table1[[HomeWon]:[HomeWon]], Table1[[GameIsOver]:[GameIsOver]],1,Table1[[AwayTeam]:[AwayTeam]],$A32, Table1[[HomeTeam]:[HomeTeam]], L$1, Table1[[ActualResult]:[ActualResult]], "REG") + SUMIFS(Table1[[AwayWon]:[AwayWon]], Table1[[GameIsOver]:[GameIsOver]],1,Table1[[HomeTeam]:[HomeTeam]],$A32, Table1[[AwayTeam]:[AwayTeam]], L$1, Table1[[ActualResult]:[ActualResult]], "REG"),0), "-", TEXT(SUMIFS(Table1[[HomeWon]:[HomeWon]], Table1[[GameIsOver]:[GameIsOver]],1,Table1[[AwayTeam]:[AwayTeam]],$A32, Table1[[HomeTeam]:[HomeTeam]], L$1, Table1[[ActualResult]:[ActualResult]], "OT") + SUMIFS(Table1[[AwayWon]:[AwayWon]], Table1[[GameIsOver]:[GameIsOver]],1,Table1[[HomeTeam]:[HomeTeam]],$A32, Table1[[AwayTeam]:[AwayTeam]], L$1, Table1[[ActualResult]:[ActualResult]], "OT") + SUMIFS(Table1[[HomeWon]:[HomeWon]], Table1[[GameIsOver]:[GameIsOver]],1,Table1[[AwayTeam]:[AwayTeam]],$A32, Table1[[HomeTeam]:[HomeTeam]], L$1, Table1[[ActualResult]:[ActualResult]], "SO") + SUMIFS(Table1[[AwayWon]:[AwayWon]], Table1[[GameIsOver]:[GameIsOver]],1,Table1[[HomeTeam]:[HomeTeam]],$A32, Table1[[AwayTeam]:[AwayTeam]], L$1, Table1[[ActualResult]:[ActualResult]], "SO"),0))</f>
        <v>0-0-0</v>
      </c>
      <c r="M32" s="43" t="str">
        <f>_xlfn.CONCAT(TEXT(SUMIFS(Table1[[AwayWon]:[AwayWon]], Table1[[GameIsOver]:[GameIsOver]],1,Table1[[AwayTeam]:[AwayTeam]],$A32, Table1[[HomeTeam]:[HomeTeam]], M$1) + SUMIFS(Table1[[HomeWon]:[HomeWon]], Table1[[GameIsOver]:[GameIsOver]],1,Table1[[HomeTeam]:[HomeTeam]],$A32, Table1[[AwayTeam]:[AwayTeam]], M$1),0), "-", TEXT(SUMIFS(Table1[[HomeWon]:[HomeWon]], Table1[[GameIsOver]:[GameIsOver]],1,Table1[[AwayTeam]:[AwayTeam]],$A32, Table1[[HomeTeam]:[HomeTeam]], M$1, Table1[[ActualResult]:[ActualResult]], "REG") + SUMIFS(Table1[[AwayWon]:[AwayWon]], Table1[[GameIsOver]:[GameIsOver]],1,Table1[[HomeTeam]:[HomeTeam]],$A32, Table1[[AwayTeam]:[AwayTeam]], M$1, Table1[[ActualResult]:[ActualResult]], "REG"),0), "-", TEXT(SUMIFS(Table1[[HomeWon]:[HomeWon]], Table1[[GameIsOver]:[GameIsOver]],1,Table1[[AwayTeam]:[AwayTeam]],$A32, Table1[[HomeTeam]:[HomeTeam]], M$1, Table1[[ActualResult]:[ActualResult]], "OT") + SUMIFS(Table1[[AwayWon]:[AwayWon]], Table1[[GameIsOver]:[GameIsOver]],1,Table1[[HomeTeam]:[HomeTeam]],$A32, Table1[[AwayTeam]:[AwayTeam]], M$1, Table1[[ActualResult]:[ActualResult]], "OT") + SUMIFS(Table1[[HomeWon]:[HomeWon]], Table1[[GameIsOver]:[GameIsOver]],1,Table1[[AwayTeam]:[AwayTeam]],$A32, Table1[[HomeTeam]:[HomeTeam]], M$1, Table1[[ActualResult]:[ActualResult]], "SO") + SUMIFS(Table1[[AwayWon]:[AwayWon]], Table1[[GameIsOver]:[GameIsOver]],1,Table1[[HomeTeam]:[HomeTeam]],$A32, Table1[[AwayTeam]:[AwayTeam]], M$1, Table1[[ActualResult]:[ActualResult]], "SO"),0))</f>
        <v>0-0-0</v>
      </c>
      <c r="N32" s="43" t="str">
        <f>_xlfn.CONCAT(TEXT(SUMIFS(Table1[[AwayWon]:[AwayWon]], Table1[[GameIsOver]:[GameIsOver]],1,Table1[[AwayTeam]:[AwayTeam]],$A32, Table1[[HomeTeam]:[HomeTeam]], N$1) + SUMIFS(Table1[[HomeWon]:[HomeWon]], Table1[[GameIsOver]:[GameIsOver]],1,Table1[[HomeTeam]:[HomeTeam]],$A32, Table1[[AwayTeam]:[AwayTeam]], N$1),0), "-", TEXT(SUMIFS(Table1[[HomeWon]:[HomeWon]], Table1[[GameIsOver]:[GameIsOver]],1,Table1[[AwayTeam]:[AwayTeam]],$A32, Table1[[HomeTeam]:[HomeTeam]], N$1, Table1[[ActualResult]:[ActualResult]], "REG") + SUMIFS(Table1[[AwayWon]:[AwayWon]], Table1[[GameIsOver]:[GameIsOver]],1,Table1[[HomeTeam]:[HomeTeam]],$A32, Table1[[AwayTeam]:[AwayTeam]], N$1, Table1[[ActualResult]:[ActualResult]], "REG"),0), "-", TEXT(SUMIFS(Table1[[HomeWon]:[HomeWon]], Table1[[GameIsOver]:[GameIsOver]],1,Table1[[AwayTeam]:[AwayTeam]],$A32, Table1[[HomeTeam]:[HomeTeam]], N$1, Table1[[ActualResult]:[ActualResult]], "OT") + SUMIFS(Table1[[AwayWon]:[AwayWon]], Table1[[GameIsOver]:[GameIsOver]],1,Table1[[HomeTeam]:[HomeTeam]],$A32, Table1[[AwayTeam]:[AwayTeam]], N$1, Table1[[ActualResult]:[ActualResult]], "OT") + SUMIFS(Table1[[HomeWon]:[HomeWon]], Table1[[GameIsOver]:[GameIsOver]],1,Table1[[AwayTeam]:[AwayTeam]],$A32, Table1[[HomeTeam]:[HomeTeam]], N$1, Table1[[ActualResult]:[ActualResult]], "SO") + SUMIFS(Table1[[AwayWon]:[AwayWon]], Table1[[GameIsOver]:[GameIsOver]],1,Table1[[HomeTeam]:[HomeTeam]],$A32, Table1[[AwayTeam]:[AwayTeam]], N$1, Table1[[ActualResult]:[ActualResult]], "SO"),0))</f>
        <v>0-0-0</v>
      </c>
      <c r="O32" s="43" t="str">
        <f>_xlfn.CONCAT(TEXT(SUMIFS(Table1[[AwayWon]:[AwayWon]], Table1[[GameIsOver]:[GameIsOver]],1,Table1[[AwayTeam]:[AwayTeam]],$A32, Table1[[HomeTeam]:[HomeTeam]], O$1) + SUMIFS(Table1[[HomeWon]:[HomeWon]], Table1[[GameIsOver]:[GameIsOver]],1,Table1[[HomeTeam]:[HomeTeam]],$A32, Table1[[AwayTeam]:[AwayTeam]], O$1),0), "-", TEXT(SUMIFS(Table1[[HomeWon]:[HomeWon]], Table1[[GameIsOver]:[GameIsOver]],1,Table1[[AwayTeam]:[AwayTeam]],$A32, Table1[[HomeTeam]:[HomeTeam]], O$1, Table1[[ActualResult]:[ActualResult]], "REG") + SUMIFS(Table1[[AwayWon]:[AwayWon]], Table1[[GameIsOver]:[GameIsOver]],1,Table1[[HomeTeam]:[HomeTeam]],$A32, Table1[[AwayTeam]:[AwayTeam]], O$1, Table1[[ActualResult]:[ActualResult]], "REG"),0), "-", TEXT(SUMIFS(Table1[[HomeWon]:[HomeWon]], Table1[[GameIsOver]:[GameIsOver]],1,Table1[[AwayTeam]:[AwayTeam]],$A32, Table1[[HomeTeam]:[HomeTeam]], O$1, Table1[[ActualResult]:[ActualResult]], "OT") + SUMIFS(Table1[[AwayWon]:[AwayWon]], Table1[[GameIsOver]:[GameIsOver]],1,Table1[[HomeTeam]:[HomeTeam]],$A32, Table1[[AwayTeam]:[AwayTeam]], O$1, Table1[[ActualResult]:[ActualResult]], "OT") + SUMIFS(Table1[[HomeWon]:[HomeWon]], Table1[[GameIsOver]:[GameIsOver]],1,Table1[[AwayTeam]:[AwayTeam]],$A32, Table1[[HomeTeam]:[HomeTeam]], O$1, Table1[[ActualResult]:[ActualResult]], "SO") + SUMIFS(Table1[[AwayWon]:[AwayWon]], Table1[[GameIsOver]:[GameIsOver]],1,Table1[[HomeTeam]:[HomeTeam]],$A32, Table1[[AwayTeam]:[AwayTeam]], O$1, Table1[[ActualResult]:[ActualResult]], "SO"),0))</f>
        <v>0-0-0</v>
      </c>
      <c r="P32" s="43" t="str">
        <f>_xlfn.CONCAT(TEXT(SUMIFS(Table1[[AwayWon]:[AwayWon]], Table1[[GameIsOver]:[GameIsOver]],1,Table1[[AwayTeam]:[AwayTeam]],$A32, Table1[[HomeTeam]:[HomeTeam]], P$1) + SUMIFS(Table1[[HomeWon]:[HomeWon]], Table1[[GameIsOver]:[GameIsOver]],1,Table1[[HomeTeam]:[HomeTeam]],$A32, Table1[[AwayTeam]:[AwayTeam]], P$1),0), "-", TEXT(SUMIFS(Table1[[HomeWon]:[HomeWon]], Table1[[GameIsOver]:[GameIsOver]],1,Table1[[AwayTeam]:[AwayTeam]],$A32, Table1[[HomeTeam]:[HomeTeam]], P$1, Table1[[ActualResult]:[ActualResult]], "REG") + SUMIFS(Table1[[AwayWon]:[AwayWon]], Table1[[GameIsOver]:[GameIsOver]],1,Table1[[HomeTeam]:[HomeTeam]],$A32, Table1[[AwayTeam]:[AwayTeam]], P$1, Table1[[ActualResult]:[ActualResult]], "REG"),0), "-", TEXT(SUMIFS(Table1[[HomeWon]:[HomeWon]], Table1[[GameIsOver]:[GameIsOver]],1,Table1[[AwayTeam]:[AwayTeam]],$A32, Table1[[HomeTeam]:[HomeTeam]], P$1, Table1[[ActualResult]:[ActualResult]], "OT") + SUMIFS(Table1[[AwayWon]:[AwayWon]], Table1[[GameIsOver]:[GameIsOver]],1,Table1[[HomeTeam]:[HomeTeam]],$A32, Table1[[AwayTeam]:[AwayTeam]], P$1, Table1[[ActualResult]:[ActualResult]], "OT") + SUMIFS(Table1[[HomeWon]:[HomeWon]], Table1[[GameIsOver]:[GameIsOver]],1,Table1[[AwayTeam]:[AwayTeam]],$A32, Table1[[HomeTeam]:[HomeTeam]], P$1, Table1[[ActualResult]:[ActualResult]], "SO") + SUMIFS(Table1[[AwayWon]:[AwayWon]], Table1[[GameIsOver]:[GameIsOver]],1,Table1[[HomeTeam]:[HomeTeam]],$A32, Table1[[AwayTeam]:[AwayTeam]], P$1, Table1[[ActualResult]:[ActualResult]], "SO"),0))</f>
        <v>0-0-0</v>
      </c>
      <c r="Q32" s="45" t="str">
        <f>_xlfn.CONCAT(TEXT(SUMIFS(Table1[[AwayWon]:[AwayWon]], Table1[[GameIsOver]:[GameIsOver]],1,Table1[[AwayTeam]:[AwayTeam]],$A32, Table1[[HomeTeam]:[HomeTeam]], Q$1) + SUMIFS(Table1[[HomeWon]:[HomeWon]], Table1[[GameIsOver]:[GameIsOver]],1,Table1[[HomeTeam]:[HomeTeam]],$A32, Table1[[AwayTeam]:[AwayTeam]], Q$1),0), "-", TEXT(SUMIFS(Table1[[HomeWon]:[HomeWon]], Table1[[GameIsOver]:[GameIsOver]],1,Table1[[AwayTeam]:[AwayTeam]],$A32, Table1[[HomeTeam]:[HomeTeam]], Q$1, Table1[[ActualResult]:[ActualResult]], "REG") + SUMIFS(Table1[[AwayWon]:[AwayWon]], Table1[[GameIsOver]:[GameIsOver]],1,Table1[[HomeTeam]:[HomeTeam]],$A32, Table1[[AwayTeam]:[AwayTeam]], Q$1, Table1[[ActualResult]:[ActualResult]], "REG"),0), "-", TEXT(SUMIFS(Table1[[HomeWon]:[HomeWon]], Table1[[GameIsOver]:[GameIsOver]],1,Table1[[AwayTeam]:[AwayTeam]],$A32, Table1[[HomeTeam]:[HomeTeam]], Q$1, Table1[[ActualResult]:[ActualResult]], "OT") + SUMIFS(Table1[[AwayWon]:[AwayWon]], Table1[[GameIsOver]:[GameIsOver]],1,Table1[[HomeTeam]:[HomeTeam]],$A32, Table1[[AwayTeam]:[AwayTeam]], Q$1, Table1[[ActualResult]:[ActualResult]], "OT") + SUMIFS(Table1[[HomeWon]:[HomeWon]], Table1[[GameIsOver]:[GameIsOver]],1,Table1[[AwayTeam]:[AwayTeam]],$A32, Table1[[HomeTeam]:[HomeTeam]], Q$1, Table1[[ActualResult]:[ActualResult]], "SO") + SUMIFS(Table1[[AwayWon]:[AwayWon]], Table1[[GameIsOver]:[GameIsOver]],1,Table1[[HomeTeam]:[HomeTeam]],$A32, Table1[[AwayTeam]:[AwayTeam]], Q$1, Table1[[ActualResult]:[ActualResult]], "SO"),0))</f>
        <v>0-0-0</v>
      </c>
      <c r="R32" s="43" t="str">
        <f>_xlfn.CONCAT(TEXT(SUMIFS(Table1[[AwayWon]:[AwayWon]], Table1[[GameIsOver]:[GameIsOver]],1,Table1[[AwayTeam]:[AwayTeam]],$A32, Table1[[HomeTeam]:[HomeTeam]], R$1) + SUMIFS(Table1[[HomeWon]:[HomeWon]], Table1[[GameIsOver]:[GameIsOver]],1,Table1[[HomeTeam]:[HomeTeam]],$A32, Table1[[AwayTeam]:[AwayTeam]], R$1),0), "-", TEXT(SUMIFS(Table1[[HomeWon]:[HomeWon]], Table1[[GameIsOver]:[GameIsOver]],1,Table1[[AwayTeam]:[AwayTeam]],$A32, Table1[[HomeTeam]:[HomeTeam]], R$1, Table1[[ActualResult]:[ActualResult]], "REG") + SUMIFS(Table1[[AwayWon]:[AwayWon]], Table1[[GameIsOver]:[GameIsOver]],1,Table1[[HomeTeam]:[HomeTeam]],$A32, Table1[[AwayTeam]:[AwayTeam]], R$1, Table1[[ActualResult]:[ActualResult]], "REG"),0), "-", TEXT(SUMIFS(Table1[[HomeWon]:[HomeWon]], Table1[[GameIsOver]:[GameIsOver]],1,Table1[[AwayTeam]:[AwayTeam]],$A32, Table1[[HomeTeam]:[HomeTeam]], R$1, Table1[[ActualResult]:[ActualResult]], "OT") + SUMIFS(Table1[[AwayWon]:[AwayWon]], Table1[[GameIsOver]:[GameIsOver]],1,Table1[[HomeTeam]:[HomeTeam]],$A32, Table1[[AwayTeam]:[AwayTeam]], R$1, Table1[[ActualResult]:[ActualResult]], "OT") + SUMIFS(Table1[[HomeWon]:[HomeWon]], Table1[[GameIsOver]:[GameIsOver]],1,Table1[[AwayTeam]:[AwayTeam]],$A32, Table1[[HomeTeam]:[HomeTeam]], R$1, Table1[[ActualResult]:[ActualResult]], "SO") + SUMIFS(Table1[[AwayWon]:[AwayWon]], Table1[[GameIsOver]:[GameIsOver]],1,Table1[[HomeTeam]:[HomeTeam]],$A32, Table1[[AwayTeam]:[AwayTeam]], R$1, Table1[[ActualResult]:[ActualResult]], "SO"),0))</f>
        <v>0-0-0</v>
      </c>
      <c r="S32" s="43" t="str">
        <f>_xlfn.CONCAT(TEXT(SUMIFS(Table1[[AwayWon]:[AwayWon]], Table1[[GameIsOver]:[GameIsOver]],1,Table1[[AwayTeam]:[AwayTeam]],$A32, Table1[[HomeTeam]:[HomeTeam]], S$1) + SUMIFS(Table1[[HomeWon]:[HomeWon]], Table1[[GameIsOver]:[GameIsOver]],1,Table1[[HomeTeam]:[HomeTeam]],$A32, Table1[[AwayTeam]:[AwayTeam]], S$1),0), "-", TEXT(SUMIFS(Table1[[HomeWon]:[HomeWon]], Table1[[GameIsOver]:[GameIsOver]],1,Table1[[AwayTeam]:[AwayTeam]],$A32, Table1[[HomeTeam]:[HomeTeam]], S$1, Table1[[ActualResult]:[ActualResult]], "REG") + SUMIFS(Table1[[AwayWon]:[AwayWon]], Table1[[GameIsOver]:[GameIsOver]],1,Table1[[HomeTeam]:[HomeTeam]],$A32, Table1[[AwayTeam]:[AwayTeam]], S$1, Table1[[ActualResult]:[ActualResult]], "REG"),0), "-", TEXT(SUMIFS(Table1[[HomeWon]:[HomeWon]], Table1[[GameIsOver]:[GameIsOver]],1,Table1[[AwayTeam]:[AwayTeam]],$A32, Table1[[HomeTeam]:[HomeTeam]], S$1, Table1[[ActualResult]:[ActualResult]], "OT") + SUMIFS(Table1[[AwayWon]:[AwayWon]], Table1[[GameIsOver]:[GameIsOver]],1,Table1[[HomeTeam]:[HomeTeam]],$A32, Table1[[AwayTeam]:[AwayTeam]], S$1, Table1[[ActualResult]:[ActualResult]], "OT") + SUMIFS(Table1[[HomeWon]:[HomeWon]], Table1[[GameIsOver]:[GameIsOver]],1,Table1[[AwayTeam]:[AwayTeam]],$A32, Table1[[HomeTeam]:[HomeTeam]], S$1, Table1[[ActualResult]:[ActualResult]], "SO") + SUMIFS(Table1[[AwayWon]:[AwayWon]], Table1[[GameIsOver]:[GameIsOver]],1,Table1[[HomeTeam]:[HomeTeam]],$A32, Table1[[AwayTeam]:[AwayTeam]], S$1, Table1[[ActualResult]:[ActualResult]], "SO"),0))</f>
        <v>0-0-0</v>
      </c>
      <c r="T32" s="43" t="str">
        <f>_xlfn.CONCAT(TEXT(SUMIFS(Table1[[AwayWon]:[AwayWon]], Table1[[GameIsOver]:[GameIsOver]],1,Table1[[AwayTeam]:[AwayTeam]],$A32, Table1[[HomeTeam]:[HomeTeam]], T$1) + SUMIFS(Table1[[HomeWon]:[HomeWon]], Table1[[GameIsOver]:[GameIsOver]],1,Table1[[HomeTeam]:[HomeTeam]],$A32, Table1[[AwayTeam]:[AwayTeam]], T$1),0), "-", TEXT(SUMIFS(Table1[[HomeWon]:[HomeWon]], Table1[[GameIsOver]:[GameIsOver]],1,Table1[[AwayTeam]:[AwayTeam]],$A32, Table1[[HomeTeam]:[HomeTeam]], T$1, Table1[[ActualResult]:[ActualResult]], "REG") + SUMIFS(Table1[[AwayWon]:[AwayWon]], Table1[[GameIsOver]:[GameIsOver]],1,Table1[[HomeTeam]:[HomeTeam]],$A32, Table1[[AwayTeam]:[AwayTeam]], T$1, Table1[[ActualResult]:[ActualResult]], "REG"),0), "-", TEXT(SUMIFS(Table1[[HomeWon]:[HomeWon]], Table1[[GameIsOver]:[GameIsOver]],1,Table1[[AwayTeam]:[AwayTeam]],$A32, Table1[[HomeTeam]:[HomeTeam]], T$1, Table1[[ActualResult]:[ActualResult]], "OT") + SUMIFS(Table1[[AwayWon]:[AwayWon]], Table1[[GameIsOver]:[GameIsOver]],1,Table1[[HomeTeam]:[HomeTeam]],$A32, Table1[[AwayTeam]:[AwayTeam]], T$1, Table1[[ActualResult]:[ActualResult]], "OT") + SUMIFS(Table1[[HomeWon]:[HomeWon]], Table1[[GameIsOver]:[GameIsOver]],1,Table1[[AwayTeam]:[AwayTeam]],$A32, Table1[[HomeTeam]:[HomeTeam]], T$1, Table1[[ActualResult]:[ActualResult]], "SO") + SUMIFS(Table1[[AwayWon]:[AwayWon]], Table1[[GameIsOver]:[GameIsOver]],1,Table1[[HomeTeam]:[HomeTeam]],$A32, Table1[[AwayTeam]:[AwayTeam]], T$1, Table1[[ActualResult]:[ActualResult]], "SO"),0))</f>
        <v>0-0-0</v>
      </c>
      <c r="U32" s="43" t="str">
        <f>_xlfn.CONCAT(TEXT(SUMIFS(Table1[[AwayWon]:[AwayWon]], Table1[[GameIsOver]:[GameIsOver]],1,Table1[[AwayTeam]:[AwayTeam]],$A32, Table1[[HomeTeam]:[HomeTeam]], U$1) + SUMIFS(Table1[[HomeWon]:[HomeWon]], Table1[[GameIsOver]:[GameIsOver]],1,Table1[[HomeTeam]:[HomeTeam]],$A32, Table1[[AwayTeam]:[AwayTeam]], U$1),0), "-", TEXT(SUMIFS(Table1[[HomeWon]:[HomeWon]], Table1[[GameIsOver]:[GameIsOver]],1,Table1[[AwayTeam]:[AwayTeam]],$A32, Table1[[HomeTeam]:[HomeTeam]], U$1, Table1[[ActualResult]:[ActualResult]], "REG") + SUMIFS(Table1[[AwayWon]:[AwayWon]], Table1[[GameIsOver]:[GameIsOver]],1,Table1[[HomeTeam]:[HomeTeam]],$A32, Table1[[AwayTeam]:[AwayTeam]], U$1, Table1[[ActualResult]:[ActualResult]], "REG"),0), "-", TEXT(SUMIFS(Table1[[HomeWon]:[HomeWon]], Table1[[GameIsOver]:[GameIsOver]],1,Table1[[AwayTeam]:[AwayTeam]],$A32, Table1[[HomeTeam]:[HomeTeam]], U$1, Table1[[ActualResult]:[ActualResult]], "OT") + SUMIFS(Table1[[AwayWon]:[AwayWon]], Table1[[GameIsOver]:[GameIsOver]],1,Table1[[HomeTeam]:[HomeTeam]],$A32, Table1[[AwayTeam]:[AwayTeam]], U$1, Table1[[ActualResult]:[ActualResult]], "OT") + SUMIFS(Table1[[HomeWon]:[HomeWon]], Table1[[GameIsOver]:[GameIsOver]],1,Table1[[AwayTeam]:[AwayTeam]],$A32, Table1[[HomeTeam]:[HomeTeam]], U$1, Table1[[ActualResult]:[ActualResult]], "SO") + SUMIFS(Table1[[AwayWon]:[AwayWon]], Table1[[GameIsOver]:[GameIsOver]],1,Table1[[HomeTeam]:[HomeTeam]],$A32, Table1[[AwayTeam]:[AwayTeam]], U$1, Table1[[ActualResult]:[ActualResult]], "SO"),0))</f>
        <v>0-0-0</v>
      </c>
      <c r="V32" s="43" t="str">
        <f>_xlfn.CONCAT(TEXT(SUMIFS(Table1[[AwayWon]:[AwayWon]], Table1[[GameIsOver]:[GameIsOver]],1,Table1[[AwayTeam]:[AwayTeam]],$A32, Table1[[HomeTeam]:[HomeTeam]], V$1) + SUMIFS(Table1[[HomeWon]:[HomeWon]], Table1[[GameIsOver]:[GameIsOver]],1,Table1[[HomeTeam]:[HomeTeam]],$A32, Table1[[AwayTeam]:[AwayTeam]], V$1),0), "-", TEXT(SUMIFS(Table1[[HomeWon]:[HomeWon]], Table1[[GameIsOver]:[GameIsOver]],1,Table1[[AwayTeam]:[AwayTeam]],$A32, Table1[[HomeTeam]:[HomeTeam]], V$1, Table1[[ActualResult]:[ActualResult]], "REG") + SUMIFS(Table1[[AwayWon]:[AwayWon]], Table1[[GameIsOver]:[GameIsOver]],1,Table1[[HomeTeam]:[HomeTeam]],$A32, Table1[[AwayTeam]:[AwayTeam]], V$1, Table1[[ActualResult]:[ActualResult]], "REG"),0), "-", TEXT(SUMIFS(Table1[[HomeWon]:[HomeWon]], Table1[[GameIsOver]:[GameIsOver]],1,Table1[[AwayTeam]:[AwayTeam]],$A32, Table1[[HomeTeam]:[HomeTeam]], V$1, Table1[[ActualResult]:[ActualResult]], "OT") + SUMIFS(Table1[[AwayWon]:[AwayWon]], Table1[[GameIsOver]:[GameIsOver]],1,Table1[[HomeTeam]:[HomeTeam]],$A32, Table1[[AwayTeam]:[AwayTeam]], V$1, Table1[[ActualResult]:[ActualResult]], "OT") + SUMIFS(Table1[[HomeWon]:[HomeWon]], Table1[[GameIsOver]:[GameIsOver]],1,Table1[[AwayTeam]:[AwayTeam]],$A32, Table1[[HomeTeam]:[HomeTeam]], V$1, Table1[[ActualResult]:[ActualResult]], "SO") + SUMIFS(Table1[[AwayWon]:[AwayWon]], Table1[[GameIsOver]:[GameIsOver]],1,Table1[[HomeTeam]:[HomeTeam]],$A32, Table1[[AwayTeam]:[AwayTeam]], V$1, Table1[[ActualResult]:[ActualResult]], "SO"),0))</f>
        <v>0-1-0</v>
      </c>
      <c r="W32" s="43" t="str">
        <f>_xlfn.CONCAT(TEXT(SUMIFS(Table1[[AwayWon]:[AwayWon]], Table1[[GameIsOver]:[GameIsOver]],1,Table1[[AwayTeam]:[AwayTeam]],$A32, Table1[[HomeTeam]:[HomeTeam]], W$1) + SUMIFS(Table1[[HomeWon]:[HomeWon]], Table1[[GameIsOver]:[GameIsOver]],1,Table1[[HomeTeam]:[HomeTeam]],$A32, Table1[[AwayTeam]:[AwayTeam]], W$1),0), "-", TEXT(SUMIFS(Table1[[HomeWon]:[HomeWon]], Table1[[GameIsOver]:[GameIsOver]],1,Table1[[AwayTeam]:[AwayTeam]],$A32, Table1[[HomeTeam]:[HomeTeam]], W$1, Table1[[ActualResult]:[ActualResult]], "REG") + SUMIFS(Table1[[AwayWon]:[AwayWon]], Table1[[GameIsOver]:[GameIsOver]],1,Table1[[HomeTeam]:[HomeTeam]],$A32, Table1[[AwayTeam]:[AwayTeam]], W$1, Table1[[ActualResult]:[ActualResult]], "REG"),0), "-", TEXT(SUMIFS(Table1[[HomeWon]:[HomeWon]], Table1[[GameIsOver]:[GameIsOver]],1,Table1[[AwayTeam]:[AwayTeam]],$A32, Table1[[HomeTeam]:[HomeTeam]], W$1, Table1[[ActualResult]:[ActualResult]], "OT") + SUMIFS(Table1[[AwayWon]:[AwayWon]], Table1[[GameIsOver]:[GameIsOver]],1,Table1[[HomeTeam]:[HomeTeam]],$A32, Table1[[AwayTeam]:[AwayTeam]], W$1, Table1[[ActualResult]:[ActualResult]], "OT") + SUMIFS(Table1[[HomeWon]:[HomeWon]], Table1[[GameIsOver]:[GameIsOver]],1,Table1[[AwayTeam]:[AwayTeam]],$A32, Table1[[HomeTeam]:[HomeTeam]], W$1, Table1[[ActualResult]:[ActualResult]], "SO") + SUMIFS(Table1[[AwayWon]:[AwayWon]], Table1[[GameIsOver]:[GameIsOver]],1,Table1[[HomeTeam]:[HomeTeam]],$A32, Table1[[AwayTeam]:[AwayTeam]], W$1, Table1[[ActualResult]:[ActualResult]], "SO"),0))</f>
        <v>0-0-0</v>
      </c>
      <c r="X32" s="43" t="str">
        <f>_xlfn.CONCAT(TEXT(SUMIFS(Table1[[AwayWon]:[AwayWon]], Table1[[GameIsOver]:[GameIsOver]],1,Table1[[AwayTeam]:[AwayTeam]],$A32, Table1[[HomeTeam]:[HomeTeam]], X$1) + SUMIFS(Table1[[HomeWon]:[HomeWon]], Table1[[GameIsOver]:[GameIsOver]],1,Table1[[HomeTeam]:[HomeTeam]],$A32, Table1[[AwayTeam]:[AwayTeam]], X$1),0), "-", TEXT(SUMIFS(Table1[[HomeWon]:[HomeWon]], Table1[[GameIsOver]:[GameIsOver]],1,Table1[[AwayTeam]:[AwayTeam]],$A32, Table1[[HomeTeam]:[HomeTeam]], X$1, Table1[[ActualResult]:[ActualResult]], "REG") + SUMIFS(Table1[[AwayWon]:[AwayWon]], Table1[[GameIsOver]:[GameIsOver]],1,Table1[[HomeTeam]:[HomeTeam]],$A32, Table1[[AwayTeam]:[AwayTeam]], X$1, Table1[[ActualResult]:[ActualResult]], "REG"),0), "-", TEXT(SUMIFS(Table1[[HomeWon]:[HomeWon]], Table1[[GameIsOver]:[GameIsOver]],1,Table1[[AwayTeam]:[AwayTeam]],$A32, Table1[[HomeTeam]:[HomeTeam]], X$1, Table1[[ActualResult]:[ActualResult]], "OT") + SUMIFS(Table1[[AwayWon]:[AwayWon]], Table1[[GameIsOver]:[GameIsOver]],1,Table1[[HomeTeam]:[HomeTeam]],$A32, Table1[[AwayTeam]:[AwayTeam]], X$1, Table1[[ActualResult]:[ActualResult]], "OT") + SUMIFS(Table1[[HomeWon]:[HomeWon]], Table1[[GameIsOver]:[GameIsOver]],1,Table1[[AwayTeam]:[AwayTeam]],$A32, Table1[[HomeTeam]:[HomeTeam]], X$1, Table1[[ActualResult]:[ActualResult]], "SO") + SUMIFS(Table1[[AwayWon]:[AwayWon]], Table1[[GameIsOver]:[GameIsOver]],1,Table1[[HomeTeam]:[HomeTeam]],$A32, Table1[[AwayTeam]:[AwayTeam]], X$1, Table1[[ActualResult]:[ActualResult]], "SO"),0))</f>
        <v>0-0-0</v>
      </c>
      <c r="Y32" s="45" t="str">
        <f>_xlfn.CONCAT(TEXT(SUMIFS(Table1[[AwayWon]:[AwayWon]], Table1[[GameIsOver]:[GameIsOver]],1,Table1[[AwayTeam]:[AwayTeam]],$A32, Table1[[HomeTeam]:[HomeTeam]], Y$1) + SUMIFS(Table1[[HomeWon]:[HomeWon]], Table1[[GameIsOver]:[GameIsOver]],1,Table1[[HomeTeam]:[HomeTeam]],$A32, Table1[[AwayTeam]:[AwayTeam]], Y$1),0), "-", TEXT(SUMIFS(Table1[[HomeWon]:[HomeWon]], Table1[[GameIsOver]:[GameIsOver]],1,Table1[[AwayTeam]:[AwayTeam]],$A32, Table1[[HomeTeam]:[HomeTeam]], Y$1, Table1[[ActualResult]:[ActualResult]], "REG") + SUMIFS(Table1[[AwayWon]:[AwayWon]], Table1[[GameIsOver]:[GameIsOver]],1,Table1[[HomeTeam]:[HomeTeam]],$A32, Table1[[AwayTeam]:[AwayTeam]], Y$1, Table1[[ActualResult]:[ActualResult]], "REG"),0), "-", TEXT(SUMIFS(Table1[[HomeWon]:[HomeWon]], Table1[[GameIsOver]:[GameIsOver]],1,Table1[[AwayTeam]:[AwayTeam]],$A32, Table1[[HomeTeam]:[HomeTeam]], Y$1, Table1[[ActualResult]:[ActualResult]], "OT") + SUMIFS(Table1[[AwayWon]:[AwayWon]], Table1[[GameIsOver]:[GameIsOver]],1,Table1[[HomeTeam]:[HomeTeam]],$A32, Table1[[AwayTeam]:[AwayTeam]], Y$1, Table1[[ActualResult]:[ActualResult]], "OT") + SUMIFS(Table1[[HomeWon]:[HomeWon]], Table1[[GameIsOver]:[GameIsOver]],1,Table1[[AwayTeam]:[AwayTeam]],$A32, Table1[[HomeTeam]:[HomeTeam]], Y$1, Table1[[ActualResult]:[ActualResult]], "SO") + SUMIFS(Table1[[AwayWon]:[AwayWon]], Table1[[GameIsOver]:[GameIsOver]],1,Table1[[HomeTeam]:[HomeTeam]],$A32, Table1[[AwayTeam]:[AwayTeam]], Y$1, Table1[[ActualResult]:[ActualResult]], "SO"),0))</f>
        <v>0-0-0</v>
      </c>
      <c r="Z32" s="43" t="str">
        <f>_xlfn.CONCAT(TEXT(SUMIFS(Table1[[AwayWon]:[AwayWon]], Table1[[GameIsOver]:[GameIsOver]],1,Table1[[AwayTeam]:[AwayTeam]],$A32, Table1[[HomeTeam]:[HomeTeam]], Z$1) + SUMIFS(Table1[[HomeWon]:[HomeWon]], Table1[[GameIsOver]:[GameIsOver]],1,Table1[[HomeTeam]:[HomeTeam]],$A32, Table1[[AwayTeam]:[AwayTeam]], Z$1),0), "-", TEXT(SUMIFS(Table1[[HomeWon]:[HomeWon]], Table1[[GameIsOver]:[GameIsOver]],1,Table1[[AwayTeam]:[AwayTeam]],$A32, Table1[[HomeTeam]:[HomeTeam]], Z$1, Table1[[ActualResult]:[ActualResult]], "REG") + SUMIFS(Table1[[AwayWon]:[AwayWon]], Table1[[GameIsOver]:[GameIsOver]],1,Table1[[HomeTeam]:[HomeTeam]],$A32, Table1[[AwayTeam]:[AwayTeam]], Z$1, Table1[[ActualResult]:[ActualResult]], "REG"),0), "-", TEXT(SUMIFS(Table1[[HomeWon]:[HomeWon]], Table1[[GameIsOver]:[GameIsOver]],1,Table1[[AwayTeam]:[AwayTeam]],$A32, Table1[[HomeTeam]:[HomeTeam]], Z$1, Table1[[ActualResult]:[ActualResult]], "OT") + SUMIFS(Table1[[AwayWon]:[AwayWon]], Table1[[GameIsOver]:[GameIsOver]],1,Table1[[HomeTeam]:[HomeTeam]],$A32, Table1[[AwayTeam]:[AwayTeam]], Z$1, Table1[[ActualResult]:[ActualResult]], "OT") + SUMIFS(Table1[[HomeWon]:[HomeWon]], Table1[[GameIsOver]:[GameIsOver]],1,Table1[[AwayTeam]:[AwayTeam]],$A32, Table1[[HomeTeam]:[HomeTeam]], Z$1, Table1[[ActualResult]:[ActualResult]], "SO") + SUMIFS(Table1[[AwayWon]:[AwayWon]], Table1[[GameIsOver]:[GameIsOver]],1,Table1[[HomeTeam]:[HomeTeam]],$A32, Table1[[AwayTeam]:[AwayTeam]], Z$1, Table1[[ActualResult]:[ActualResult]], "SO"),0))</f>
        <v>0-0-0</v>
      </c>
      <c r="AA32" s="43" t="str">
        <f>_xlfn.CONCAT(TEXT(SUMIFS(Table1[[AwayWon]:[AwayWon]], Table1[[GameIsOver]:[GameIsOver]],1,Table1[[AwayTeam]:[AwayTeam]],$A32, Table1[[HomeTeam]:[HomeTeam]], AA$1) + SUMIFS(Table1[[HomeWon]:[HomeWon]], Table1[[GameIsOver]:[GameIsOver]],1,Table1[[HomeTeam]:[HomeTeam]],$A32, Table1[[AwayTeam]:[AwayTeam]], AA$1),0), "-", TEXT(SUMIFS(Table1[[HomeWon]:[HomeWon]], Table1[[GameIsOver]:[GameIsOver]],1,Table1[[AwayTeam]:[AwayTeam]],$A32, Table1[[HomeTeam]:[HomeTeam]], AA$1, Table1[[ActualResult]:[ActualResult]], "REG") + SUMIFS(Table1[[AwayWon]:[AwayWon]], Table1[[GameIsOver]:[GameIsOver]],1,Table1[[HomeTeam]:[HomeTeam]],$A32, Table1[[AwayTeam]:[AwayTeam]], AA$1, Table1[[ActualResult]:[ActualResult]], "REG"),0), "-", TEXT(SUMIFS(Table1[[HomeWon]:[HomeWon]], Table1[[GameIsOver]:[GameIsOver]],1,Table1[[AwayTeam]:[AwayTeam]],$A32, Table1[[HomeTeam]:[HomeTeam]], AA$1, Table1[[ActualResult]:[ActualResult]], "OT") + SUMIFS(Table1[[AwayWon]:[AwayWon]], Table1[[GameIsOver]:[GameIsOver]],1,Table1[[HomeTeam]:[HomeTeam]],$A32, Table1[[AwayTeam]:[AwayTeam]], AA$1, Table1[[ActualResult]:[ActualResult]], "OT") + SUMIFS(Table1[[HomeWon]:[HomeWon]], Table1[[GameIsOver]:[GameIsOver]],1,Table1[[AwayTeam]:[AwayTeam]],$A32, Table1[[HomeTeam]:[HomeTeam]], AA$1, Table1[[ActualResult]:[ActualResult]], "SO") + SUMIFS(Table1[[AwayWon]:[AwayWon]], Table1[[GameIsOver]:[GameIsOver]],1,Table1[[HomeTeam]:[HomeTeam]],$A32, Table1[[AwayTeam]:[AwayTeam]], AA$1, Table1[[ActualResult]:[ActualResult]], "SO"),0))</f>
        <v>0-0-0</v>
      </c>
      <c r="AB32" s="43" t="str">
        <f>_xlfn.CONCAT(TEXT(SUMIFS(Table1[[AwayWon]:[AwayWon]], Table1[[GameIsOver]:[GameIsOver]],1,Table1[[AwayTeam]:[AwayTeam]],$A32, Table1[[HomeTeam]:[HomeTeam]], AB$1) + SUMIFS(Table1[[HomeWon]:[HomeWon]], Table1[[GameIsOver]:[GameIsOver]],1,Table1[[HomeTeam]:[HomeTeam]],$A32, Table1[[AwayTeam]:[AwayTeam]], AB$1),0), "-", TEXT(SUMIFS(Table1[[HomeWon]:[HomeWon]], Table1[[GameIsOver]:[GameIsOver]],1,Table1[[AwayTeam]:[AwayTeam]],$A32, Table1[[HomeTeam]:[HomeTeam]], AB$1, Table1[[ActualResult]:[ActualResult]], "REG") + SUMIFS(Table1[[AwayWon]:[AwayWon]], Table1[[GameIsOver]:[GameIsOver]],1,Table1[[HomeTeam]:[HomeTeam]],$A32, Table1[[AwayTeam]:[AwayTeam]], AB$1, Table1[[ActualResult]:[ActualResult]], "REG"),0), "-", TEXT(SUMIFS(Table1[[HomeWon]:[HomeWon]], Table1[[GameIsOver]:[GameIsOver]],1,Table1[[AwayTeam]:[AwayTeam]],$A32, Table1[[HomeTeam]:[HomeTeam]], AB$1, Table1[[ActualResult]:[ActualResult]], "OT") + SUMIFS(Table1[[AwayWon]:[AwayWon]], Table1[[GameIsOver]:[GameIsOver]],1,Table1[[HomeTeam]:[HomeTeam]],$A32, Table1[[AwayTeam]:[AwayTeam]], AB$1, Table1[[ActualResult]:[ActualResult]], "OT") + SUMIFS(Table1[[HomeWon]:[HomeWon]], Table1[[GameIsOver]:[GameIsOver]],1,Table1[[AwayTeam]:[AwayTeam]],$A32, Table1[[HomeTeam]:[HomeTeam]], AB$1, Table1[[ActualResult]:[ActualResult]], "SO") + SUMIFS(Table1[[AwayWon]:[AwayWon]], Table1[[GameIsOver]:[GameIsOver]],1,Table1[[HomeTeam]:[HomeTeam]],$A32, Table1[[AwayTeam]:[AwayTeam]], AB$1, Table1[[ActualResult]:[ActualResult]], "SO"),0))</f>
        <v>0-0-0</v>
      </c>
      <c r="AC32" s="43" t="str">
        <f>_xlfn.CONCAT(TEXT(SUMIFS(Table1[[AwayWon]:[AwayWon]], Table1[[GameIsOver]:[GameIsOver]],1,Table1[[AwayTeam]:[AwayTeam]],$A32, Table1[[HomeTeam]:[HomeTeam]], AC$1) + SUMIFS(Table1[[HomeWon]:[HomeWon]], Table1[[GameIsOver]:[GameIsOver]],1,Table1[[HomeTeam]:[HomeTeam]],$A32, Table1[[AwayTeam]:[AwayTeam]], AC$1),0), "-", TEXT(SUMIFS(Table1[[HomeWon]:[HomeWon]], Table1[[GameIsOver]:[GameIsOver]],1,Table1[[AwayTeam]:[AwayTeam]],$A32, Table1[[HomeTeam]:[HomeTeam]], AC$1, Table1[[ActualResult]:[ActualResult]], "REG") + SUMIFS(Table1[[AwayWon]:[AwayWon]], Table1[[GameIsOver]:[GameIsOver]],1,Table1[[HomeTeam]:[HomeTeam]],$A32, Table1[[AwayTeam]:[AwayTeam]], AC$1, Table1[[ActualResult]:[ActualResult]], "REG"),0), "-", TEXT(SUMIFS(Table1[[HomeWon]:[HomeWon]], Table1[[GameIsOver]:[GameIsOver]],1,Table1[[AwayTeam]:[AwayTeam]],$A32, Table1[[HomeTeam]:[HomeTeam]], AC$1, Table1[[ActualResult]:[ActualResult]], "OT") + SUMIFS(Table1[[AwayWon]:[AwayWon]], Table1[[GameIsOver]:[GameIsOver]],1,Table1[[HomeTeam]:[HomeTeam]],$A32, Table1[[AwayTeam]:[AwayTeam]], AC$1, Table1[[ActualResult]:[ActualResult]], "OT") + SUMIFS(Table1[[HomeWon]:[HomeWon]], Table1[[GameIsOver]:[GameIsOver]],1,Table1[[AwayTeam]:[AwayTeam]],$A32, Table1[[HomeTeam]:[HomeTeam]], AC$1, Table1[[ActualResult]:[ActualResult]], "SO") + SUMIFS(Table1[[AwayWon]:[AwayWon]], Table1[[GameIsOver]:[GameIsOver]],1,Table1[[HomeTeam]:[HomeTeam]],$A32, Table1[[AwayTeam]:[AwayTeam]], AC$1, Table1[[ActualResult]:[ActualResult]], "SO"),0))</f>
        <v>0-0-0</v>
      </c>
      <c r="AD32" s="43" t="str">
        <f>_xlfn.CONCAT(TEXT(SUMIFS(Table1[[AwayWon]:[AwayWon]], Table1[[GameIsOver]:[GameIsOver]],1,Table1[[AwayTeam]:[AwayTeam]],$A32, Table1[[HomeTeam]:[HomeTeam]], AD$1) + SUMIFS(Table1[[HomeWon]:[HomeWon]], Table1[[GameIsOver]:[GameIsOver]],1,Table1[[HomeTeam]:[HomeTeam]],$A32, Table1[[AwayTeam]:[AwayTeam]], AD$1),0), "-", TEXT(SUMIFS(Table1[[HomeWon]:[HomeWon]], Table1[[GameIsOver]:[GameIsOver]],1,Table1[[AwayTeam]:[AwayTeam]],$A32, Table1[[HomeTeam]:[HomeTeam]], AD$1, Table1[[ActualResult]:[ActualResult]], "REG") + SUMIFS(Table1[[AwayWon]:[AwayWon]], Table1[[GameIsOver]:[GameIsOver]],1,Table1[[HomeTeam]:[HomeTeam]],$A32, Table1[[AwayTeam]:[AwayTeam]], AD$1, Table1[[ActualResult]:[ActualResult]], "REG"),0), "-", TEXT(SUMIFS(Table1[[HomeWon]:[HomeWon]], Table1[[GameIsOver]:[GameIsOver]],1,Table1[[AwayTeam]:[AwayTeam]],$A32, Table1[[HomeTeam]:[HomeTeam]], AD$1, Table1[[ActualResult]:[ActualResult]], "OT") + SUMIFS(Table1[[AwayWon]:[AwayWon]], Table1[[GameIsOver]:[GameIsOver]],1,Table1[[HomeTeam]:[HomeTeam]],$A32, Table1[[AwayTeam]:[AwayTeam]], AD$1, Table1[[ActualResult]:[ActualResult]], "OT") + SUMIFS(Table1[[HomeWon]:[HomeWon]], Table1[[GameIsOver]:[GameIsOver]],1,Table1[[AwayTeam]:[AwayTeam]],$A32, Table1[[HomeTeam]:[HomeTeam]], AD$1, Table1[[ActualResult]:[ActualResult]], "SO") + SUMIFS(Table1[[AwayWon]:[AwayWon]], Table1[[GameIsOver]:[GameIsOver]],1,Table1[[HomeTeam]:[HomeTeam]],$A32, Table1[[AwayTeam]:[AwayTeam]], AD$1, Table1[[ActualResult]:[ActualResult]], "SO"),0))</f>
        <v>0-0-0</v>
      </c>
      <c r="AE32" s="43" t="str">
        <f>_xlfn.CONCAT(TEXT(SUMIFS(Table1[[AwayWon]:[AwayWon]], Table1[[GameIsOver]:[GameIsOver]],1,Table1[[AwayTeam]:[AwayTeam]],$A32, Table1[[HomeTeam]:[HomeTeam]], AE$1) + SUMIFS(Table1[[HomeWon]:[HomeWon]], Table1[[GameIsOver]:[GameIsOver]],1,Table1[[HomeTeam]:[HomeTeam]],$A32, Table1[[AwayTeam]:[AwayTeam]], AE$1),0), "-", TEXT(SUMIFS(Table1[[HomeWon]:[HomeWon]], Table1[[GameIsOver]:[GameIsOver]],1,Table1[[AwayTeam]:[AwayTeam]],$A32, Table1[[HomeTeam]:[HomeTeam]], AE$1, Table1[[ActualResult]:[ActualResult]], "REG") + SUMIFS(Table1[[AwayWon]:[AwayWon]], Table1[[GameIsOver]:[GameIsOver]],1,Table1[[HomeTeam]:[HomeTeam]],$A32, Table1[[AwayTeam]:[AwayTeam]], AE$1, Table1[[ActualResult]:[ActualResult]], "REG"),0), "-", TEXT(SUMIFS(Table1[[HomeWon]:[HomeWon]], Table1[[GameIsOver]:[GameIsOver]],1,Table1[[AwayTeam]:[AwayTeam]],$A32, Table1[[HomeTeam]:[HomeTeam]], AE$1, Table1[[ActualResult]:[ActualResult]], "OT") + SUMIFS(Table1[[AwayWon]:[AwayWon]], Table1[[GameIsOver]:[GameIsOver]],1,Table1[[HomeTeam]:[HomeTeam]],$A32, Table1[[AwayTeam]:[AwayTeam]], AE$1, Table1[[ActualResult]:[ActualResult]], "OT") + SUMIFS(Table1[[HomeWon]:[HomeWon]], Table1[[GameIsOver]:[GameIsOver]],1,Table1[[AwayTeam]:[AwayTeam]],$A32, Table1[[HomeTeam]:[HomeTeam]], AE$1, Table1[[ActualResult]:[ActualResult]], "SO") + SUMIFS(Table1[[AwayWon]:[AwayWon]], Table1[[GameIsOver]:[GameIsOver]],1,Table1[[HomeTeam]:[HomeTeam]],$A32, Table1[[AwayTeam]:[AwayTeam]], AE$1, Table1[[ActualResult]:[ActualResult]], "SO"),0))</f>
        <v>0-0-0</v>
      </c>
      <c r="AF32" s="43" t="str">
        <f>_xlfn.CONCAT(TEXT(SUMIFS(Table1[[AwayWon]:[AwayWon]], Table1[[GameIsOver]:[GameIsOver]],1,Table1[[AwayTeam]:[AwayTeam]],$A32, Table1[[HomeTeam]:[HomeTeam]], AF$1) + SUMIFS(Table1[[HomeWon]:[HomeWon]], Table1[[GameIsOver]:[GameIsOver]],1,Table1[[HomeTeam]:[HomeTeam]],$A32, Table1[[AwayTeam]:[AwayTeam]], AF$1),0), "-", TEXT(SUMIFS(Table1[[HomeWon]:[HomeWon]], Table1[[GameIsOver]:[GameIsOver]],1,Table1[[AwayTeam]:[AwayTeam]],$A32, Table1[[HomeTeam]:[HomeTeam]], AF$1, Table1[[ActualResult]:[ActualResult]], "REG") + SUMIFS(Table1[[AwayWon]:[AwayWon]], Table1[[GameIsOver]:[GameIsOver]],1,Table1[[HomeTeam]:[HomeTeam]],$A32, Table1[[AwayTeam]:[AwayTeam]], AF$1, Table1[[ActualResult]:[ActualResult]], "REG"),0), "-", TEXT(SUMIFS(Table1[[HomeWon]:[HomeWon]], Table1[[GameIsOver]:[GameIsOver]],1,Table1[[AwayTeam]:[AwayTeam]],$A32, Table1[[HomeTeam]:[HomeTeam]], AF$1, Table1[[ActualResult]:[ActualResult]], "OT") + SUMIFS(Table1[[AwayWon]:[AwayWon]], Table1[[GameIsOver]:[GameIsOver]],1,Table1[[HomeTeam]:[HomeTeam]],$A32, Table1[[AwayTeam]:[AwayTeam]], AF$1, Table1[[ActualResult]:[ActualResult]], "OT") + SUMIFS(Table1[[HomeWon]:[HomeWon]], Table1[[GameIsOver]:[GameIsOver]],1,Table1[[AwayTeam]:[AwayTeam]],$A32, Table1[[HomeTeam]:[HomeTeam]], AF$1, Table1[[ActualResult]:[ActualResult]], "SO") + SUMIFS(Table1[[AwayWon]:[AwayWon]], Table1[[GameIsOver]:[GameIsOver]],1,Table1[[HomeTeam]:[HomeTeam]],$A32, Table1[[AwayTeam]:[AwayTeam]], AF$1, Table1[[ActualResult]:[ActualResult]], "SO"),0))</f>
        <v>0-0-0</v>
      </c>
      <c r="AG32" s="43" t="str">
        <f>_xlfn.CONCAT(TEXT(SUMIFS(Table1[[AwayWon]:[AwayWon]], Table1[[GameIsOver]:[GameIsOver]],1,Table1[[AwayTeam]:[AwayTeam]],$A32, Table1[[HomeTeam]:[HomeTeam]], AG$1) + SUMIFS(Table1[[HomeWon]:[HomeWon]], Table1[[GameIsOver]:[GameIsOver]],1,Table1[[HomeTeam]:[HomeTeam]],$A32, Table1[[AwayTeam]:[AwayTeam]], AG$1),0), "-", TEXT(SUMIFS(Table1[[HomeWon]:[HomeWon]], Table1[[GameIsOver]:[GameIsOver]],1,Table1[[AwayTeam]:[AwayTeam]],$A32, Table1[[HomeTeam]:[HomeTeam]], AG$1, Table1[[ActualResult]:[ActualResult]], "REG") + SUMIFS(Table1[[AwayWon]:[AwayWon]], Table1[[GameIsOver]:[GameIsOver]],1,Table1[[HomeTeam]:[HomeTeam]],$A32, Table1[[AwayTeam]:[AwayTeam]], AG$1, Table1[[ActualResult]:[ActualResult]], "REG"),0), "-", TEXT(SUMIFS(Table1[[HomeWon]:[HomeWon]], Table1[[GameIsOver]:[GameIsOver]],1,Table1[[AwayTeam]:[AwayTeam]],$A32, Table1[[HomeTeam]:[HomeTeam]], AG$1, Table1[[ActualResult]:[ActualResult]], "OT") + SUMIFS(Table1[[AwayWon]:[AwayWon]], Table1[[GameIsOver]:[GameIsOver]],1,Table1[[HomeTeam]:[HomeTeam]],$A32, Table1[[AwayTeam]:[AwayTeam]], AG$1, Table1[[ActualResult]:[ActualResult]], "OT") + SUMIFS(Table1[[HomeWon]:[HomeWon]], Table1[[GameIsOver]:[GameIsOver]],1,Table1[[AwayTeam]:[AwayTeam]],$A32, Table1[[HomeTeam]:[HomeTeam]], AG$1, Table1[[ActualResult]:[ActualResult]], "SO") + SUMIFS(Table1[[AwayWon]:[AwayWon]], Table1[[GameIsOver]:[GameIsOver]],1,Table1[[HomeTeam]:[HomeTeam]],$A32, Table1[[AwayTeam]:[AwayTeam]], AG$1, Table1[[ActualResult]:[ActualResult]], "SO"),0))</f>
        <v>0-0-0</v>
      </c>
    </row>
    <row r="33" spans="1:39" x14ac:dyDescent="0.25">
      <c r="A33" s="17" t="s">
        <v>24</v>
      </c>
      <c r="B33" s="43" t="str">
        <f>_xlfn.CONCAT(TEXT(SUMIFS(Table1[[AwayWon]:[AwayWon]], Table1[[GameIsOver]:[GameIsOver]],1,Table1[[AwayTeam]:[AwayTeam]],$A33, Table1[[HomeTeam]:[HomeTeam]], B$1) + SUMIFS(Table1[[HomeWon]:[HomeWon]], Table1[[GameIsOver]:[GameIsOver]],1,Table1[[HomeTeam]:[HomeTeam]],$A33, Table1[[AwayTeam]:[AwayTeam]], B$1),0), "-", TEXT(SUMIFS(Table1[[HomeWon]:[HomeWon]], Table1[[GameIsOver]:[GameIsOver]],1,Table1[[AwayTeam]:[AwayTeam]],$A33, Table1[[HomeTeam]:[HomeTeam]], B$1, Table1[[ActualResult]:[ActualResult]], "REG") + SUMIFS(Table1[[AwayWon]:[AwayWon]], Table1[[GameIsOver]:[GameIsOver]],1,Table1[[HomeTeam]:[HomeTeam]],$A33, Table1[[AwayTeam]:[AwayTeam]], B$1, Table1[[ActualResult]:[ActualResult]], "REG"),0), "-", TEXT(SUMIFS(Table1[[HomeWon]:[HomeWon]], Table1[[GameIsOver]:[GameIsOver]],1,Table1[[AwayTeam]:[AwayTeam]],$A33, Table1[[HomeTeam]:[HomeTeam]], B$1, Table1[[ActualResult]:[ActualResult]], "OT") + SUMIFS(Table1[[AwayWon]:[AwayWon]], Table1[[GameIsOver]:[GameIsOver]],1,Table1[[HomeTeam]:[HomeTeam]],$A33, Table1[[AwayTeam]:[AwayTeam]], B$1, Table1[[ActualResult]:[ActualResult]], "OT") + SUMIFS(Table1[[HomeWon]:[HomeWon]], Table1[[GameIsOver]:[GameIsOver]],1,Table1[[AwayTeam]:[AwayTeam]],$A33, Table1[[HomeTeam]:[HomeTeam]], B$1, Table1[[ActualResult]:[ActualResult]], "SO") + SUMIFS(Table1[[AwayWon]:[AwayWon]], Table1[[GameIsOver]:[GameIsOver]],1,Table1[[HomeTeam]:[HomeTeam]],$A33, Table1[[AwayTeam]:[AwayTeam]], B$1, Table1[[ActualResult]:[ActualResult]], "SO"),0))</f>
        <v>0-0-0</v>
      </c>
      <c r="C33" s="43" t="str">
        <f>_xlfn.CONCAT(TEXT(SUMIFS(Table1[[AwayWon]:[AwayWon]], Table1[[GameIsOver]:[GameIsOver]],1,Table1[[AwayTeam]:[AwayTeam]],$A33, Table1[[HomeTeam]:[HomeTeam]], C$1) + SUMIFS(Table1[[HomeWon]:[HomeWon]], Table1[[GameIsOver]:[GameIsOver]],1,Table1[[HomeTeam]:[HomeTeam]],$A33, Table1[[AwayTeam]:[AwayTeam]], C$1),0), "-", TEXT(SUMIFS(Table1[[HomeWon]:[HomeWon]], Table1[[GameIsOver]:[GameIsOver]],1,Table1[[AwayTeam]:[AwayTeam]],$A33, Table1[[HomeTeam]:[HomeTeam]], C$1, Table1[[ActualResult]:[ActualResult]], "REG") + SUMIFS(Table1[[AwayWon]:[AwayWon]], Table1[[GameIsOver]:[GameIsOver]],1,Table1[[HomeTeam]:[HomeTeam]],$A33, Table1[[AwayTeam]:[AwayTeam]], C$1, Table1[[ActualResult]:[ActualResult]], "REG"),0), "-", TEXT(SUMIFS(Table1[[HomeWon]:[HomeWon]], Table1[[GameIsOver]:[GameIsOver]],1,Table1[[AwayTeam]:[AwayTeam]],$A33, Table1[[HomeTeam]:[HomeTeam]], C$1, Table1[[ActualResult]:[ActualResult]], "OT") + SUMIFS(Table1[[AwayWon]:[AwayWon]], Table1[[GameIsOver]:[GameIsOver]],1,Table1[[HomeTeam]:[HomeTeam]],$A33, Table1[[AwayTeam]:[AwayTeam]], C$1, Table1[[ActualResult]:[ActualResult]], "OT") + SUMIFS(Table1[[HomeWon]:[HomeWon]], Table1[[GameIsOver]:[GameIsOver]],1,Table1[[AwayTeam]:[AwayTeam]],$A33, Table1[[HomeTeam]:[HomeTeam]], C$1, Table1[[ActualResult]:[ActualResult]], "SO") + SUMIFS(Table1[[AwayWon]:[AwayWon]], Table1[[GameIsOver]:[GameIsOver]],1,Table1[[HomeTeam]:[HomeTeam]],$A33, Table1[[AwayTeam]:[AwayTeam]], C$1, Table1[[ActualResult]:[ActualResult]], "SO"),0))</f>
        <v>0-0-0</v>
      </c>
      <c r="D33" s="43" t="str">
        <f>_xlfn.CONCAT(TEXT(SUMIFS(Table1[[AwayWon]:[AwayWon]], Table1[[GameIsOver]:[GameIsOver]],1,Table1[[AwayTeam]:[AwayTeam]],$A33, Table1[[HomeTeam]:[HomeTeam]], D$1) + SUMIFS(Table1[[HomeWon]:[HomeWon]], Table1[[GameIsOver]:[GameIsOver]],1,Table1[[HomeTeam]:[HomeTeam]],$A33, Table1[[AwayTeam]:[AwayTeam]], D$1),0), "-", TEXT(SUMIFS(Table1[[HomeWon]:[HomeWon]], Table1[[GameIsOver]:[GameIsOver]],1,Table1[[AwayTeam]:[AwayTeam]],$A33, Table1[[HomeTeam]:[HomeTeam]], D$1, Table1[[ActualResult]:[ActualResult]], "REG") + SUMIFS(Table1[[AwayWon]:[AwayWon]], Table1[[GameIsOver]:[GameIsOver]],1,Table1[[HomeTeam]:[HomeTeam]],$A33, Table1[[AwayTeam]:[AwayTeam]], D$1, Table1[[ActualResult]:[ActualResult]], "REG"),0), "-", TEXT(SUMIFS(Table1[[HomeWon]:[HomeWon]], Table1[[GameIsOver]:[GameIsOver]],1,Table1[[AwayTeam]:[AwayTeam]],$A33, Table1[[HomeTeam]:[HomeTeam]], D$1, Table1[[ActualResult]:[ActualResult]], "OT") + SUMIFS(Table1[[AwayWon]:[AwayWon]], Table1[[GameIsOver]:[GameIsOver]],1,Table1[[HomeTeam]:[HomeTeam]],$A33, Table1[[AwayTeam]:[AwayTeam]], D$1, Table1[[ActualResult]:[ActualResult]], "OT") + SUMIFS(Table1[[HomeWon]:[HomeWon]], Table1[[GameIsOver]:[GameIsOver]],1,Table1[[AwayTeam]:[AwayTeam]],$A33, Table1[[HomeTeam]:[HomeTeam]], D$1, Table1[[ActualResult]:[ActualResult]], "SO") + SUMIFS(Table1[[AwayWon]:[AwayWon]], Table1[[GameIsOver]:[GameIsOver]],1,Table1[[HomeTeam]:[HomeTeam]],$A33, Table1[[AwayTeam]:[AwayTeam]], D$1, Table1[[ActualResult]:[ActualResult]], "SO"),0))</f>
        <v>0-0-0</v>
      </c>
      <c r="E33" s="43" t="str">
        <f>_xlfn.CONCAT(TEXT(SUMIFS(Table1[[AwayWon]:[AwayWon]], Table1[[GameIsOver]:[GameIsOver]],1,Table1[[AwayTeam]:[AwayTeam]],$A33, Table1[[HomeTeam]:[HomeTeam]], E$1) + SUMIFS(Table1[[HomeWon]:[HomeWon]], Table1[[GameIsOver]:[GameIsOver]],1,Table1[[HomeTeam]:[HomeTeam]],$A33, Table1[[AwayTeam]:[AwayTeam]], E$1),0), "-", TEXT(SUMIFS(Table1[[HomeWon]:[HomeWon]], Table1[[GameIsOver]:[GameIsOver]],1,Table1[[AwayTeam]:[AwayTeam]],$A33, Table1[[HomeTeam]:[HomeTeam]], E$1, Table1[[ActualResult]:[ActualResult]], "REG") + SUMIFS(Table1[[AwayWon]:[AwayWon]], Table1[[GameIsOver]:[GameIsOver]],1,Table1[[HomeTeam]:[HomeTeam]],$A33, Table1[[AwayTeam]:[AwayTeam]], E$1, Table1[[ActualResult]:[ActualResult]], "REG"),0), "-", TEXT(SUMIFS(Table1[[HomeWon]:[HomeWon]], Table1[[GameIsOver]:[GameIsOver]],1,Table1[[AwayTeam]:[AwayTeam]],$A33, Table1[[HomeTeam]:[HomeTeam]], E$1, Table1[[ActualResult]:[ActualResult]], "OT") + SUMIFS(Table1[[AwayWon]:[AwayWon]], Table1[[GameIsOver]:[GameIsOver]],1,Table1[[HomeTeam]:[HomeTeam]],$A33, Table1[[AwayTeam]:[AwayTeam]], E$1, Table1[[ActualResult]:[ActualResult]], "OT") + SUMIFS(Table1[[HomeWon]:[HomeWon]], Table1[[GameIsOver]:[GameIsOver]],1,Table1[[AwayTeam]:[AwayTeam]],$A33, Table1[[HomeTeam]:[HomeTeam]], E$1, Table1[[ActualResult]:[ActualResult]], "SO") + SUMIFS(Table1[[AwayWon]:[AwayWon]], Table1[[GameIsOver]:[GameIsOver]],1,Table1[[HomeTeam]:[HomeTeam]],$A33, Table1[[AwayTeam]:[AwayTeam]], E$1, Table1[[ActualResult]:[ActualResult]], "SO"),0))</f>
        <v>0-0-0</v>
      </c>
      <c r="F33" s="43" t="str">
        <f>_xlfn.CONCAT(TEXT(SUMIFS(Table1[[AwayWon]:[AwayWon]], Table1[[GameIsOver]:[GameIsOver]],1,Table1[[AwayTeam]:[AwayTeam]],$A33, Table1[[HomeTeam]:[HomeTeam]], F$1) + SUMIFS(Table1[[HomeWon]:[HomeWon]], Table1[[GameIsOver]:[GameIsOver]],1,Table1[[HomeTeam]:[HomeTeam]],$A33, Table1[[AwayTeam]:[AwayTeam]], F$1),0), "-", TEXT(SUMIFS(Table1[[HomeWon]:[HomeWon]], Table1[[GameIsOver]:[GameIsOver]],1,Table1[[AwayTeam]:[AwayTeam]],$A33, Table1[[HomeTeam]:[HomeTeam]], F$1, Table1[[ActualResult]:[ActualResult]], "REG") + SUMIFS(Table1[[AwayWon]:[AwayWon]], Table1[[GameIsOver]:[GameIsOver]],1,Table1[[HomeTeam]:[HomeTeam]],$A33, Table1[[AwayTeam]:[AwayTeam]], F$1, Table1[[ActualResult]:[ActualResult]], "REG"),0), "-", TEXT(SUMIFS(Table1[[HomeWon]:[HomeWon]], Table1[[GameIsOver]:[GameIsOver]],1,Table1[[AwayTeam]:[AwayTeam]],$A33, Table1[[HomeTeam]:[HomeTeam]], F$1, Table1[[ActualResult]:[ActualResult]], "OT") + SUMIFS(Table1[[AwayWon]:[AwayWon]], Table1[[GameIsOver]:[GameIsOver]],1,Table1[[HomeTeam]:[HomeTeam]],$A33, Table1[[AwayTeam]:[AwayTeam]], F$1, Table1[[ActualResult]:[ActualResult]], "OT") + SUMIFS(Table1[[HomeWon]:[HomeWon]], Table1[[GameIsOver]:[GameIsOver]],1,Table1[[AwayTeam]:[AwayTeam]],$A33, Table1[[HomeTeam]:[HomeTeam]], F$1, Table1[[ActualResult]:[ActualResult]], "SO") + SUMIFS(Table1[[AwayWon]:[AwayWon]], Table1[[GameIsOver]:[GameIsOver]],1,Table1[[HomeTeam]:[HomeTeam]],$A33, Table1[[AwayTeam]:[AwayTeam]], F$1, Table1[[ActualResult]:[ActualResult]], "SO"),0))</f>
        <v>0-0-0</v>
      </c>
      <c r="G33" s="43" t="str">
        <f>_xlfn.CONCAT(TEXT(SUMIFS(Table1[[AwayWon]:[AwayWon]], Table1[[GameIsOver]:[GameIsOver]],1,Table1[[AwayTeam]:[AwayTeam]],$A33, Table1[[HomeTeam]:[HomeTeam]], G$1) + SUMIFS(Table1[[HomeWon]:[HomeWon]], Table1[[GameIsOver]:[GameIsOver]],1,Table1[[HomeTeam]:[HomeTeam]],$A33, Table1[[AwayTeam]:[AwayTeam]], G$1),0), "-", TEXT(SUMIFS(Table1[[HomeWon]:[HomeWon]], Table1[[GameIsOver]:[GameIsOver]],1,Table1[[AwayTeam]:[AwayTeam]],$A33, Table1[[HomeTeam]:[HomeTeam]], G$1, Table1[[ActualResult]:[ActualResult]], "REG") + SUMIFS(Table1[[AwayWon]:[AwayWon]], Table1[[GameIsOver]:[GameIsOver]],1,Table1[[HomeTeam]:[HomeTeam]],$A33, Table1[[AwayTeam]:[AwayTeam]], G$1, Table1[[ActualResult]:[ActualResult]], "REG"),0), "-", TEXT(SUMIFS(Table1[[HomeWon]:[HomeWon]], Table1[[GameIsOver]:[GameIsOver]],1,Table1[[AwayTeam]:[AwayTeam]],$A33, Table1[[HomeTeam]:[HomeTeam]], G$1, Table1[[ActualResult]:[ActualResult]], "OT") + SUMIFS(Table1[[AwayWon]:[AwayWon]], Table1[[GameIsOver]:[GameIsOver]],1,Table1[[HomeTeam]:[HomeTeam]],$A33, Table1[[AwayTeam]:[AwayTeam]], G$1, Table1[[ActualResult]:[ActualResult]], "OT") + SUMIFS(Table1[[HomeWon]:[HomeWon]], Table1[[GameIsOver]:[GameIsOver]],1,Table1[[AwayTeam]:[AwayTeam]],$A33, Table1[[HomeTeam]:[HomeTeam]], G$1, Table1[[ActualResult]:[ActualResult]], "SO") + SUMIFS(Table1[[AwayWon]:[AwayWon]], Table1[[GameIsOver]:[GameIsOver]],1,Table1[[HomeTeam]:[HomeTeam]],$A33, Table1[[AwayTeam]:[AwayTeam]], G$1, Table1[[ActualResult]:[ActualResult]], "SO"),0))</f>
        <v>0-0-0</v>
      </c>
      <c r="H33" s="43" t="str">
        <f>_xlfn.CONCAT(TEXT(SUMIFS(Table1[[AwayWon]:[AwayWon]], Table1[[GameIsOver]:[GameIsOver]],1,Table1[[AwayTeam]:[AwayTeam]],$A33, Table1[[HomeTeam]:[HomeTeam]], H$1) + SUMIFS(Table1[[HomeWon]:[HomeWon]], Table1[[GameIsOver]:[GameIsOver]],1,Table1[[HomeTeam]:[HomeTeam]],$A33, Table1[[AwayTeam]:[AwayTeam]], H$1),0), "-", TEXT(SUMIFS(Table1[[HomeWon]:[HomeWon]], Table1[[GameIsOver]:[GameIsOver]],1,Table1[[AwayTeam]:[AwayTeam]],$A33, Table1[[HomeTeam]:[HomeTeam]], H$1, Table1[[ActualResult]:[ActualResult]], "REG") + SUMIFS(Table1[[AwayWon]:[AwayWon]], Table1[[GameIsOver]:[GameIsOver]],1,Table1[[HomeTeam]:[HomeTeam]],$A33, Table1[[AwayTeam]:[AwayTeam]], H$1, Table1[[ActualResult]:[ActualResult]], "REG"),0), "-", TEXT(SUMIFS(Table1[[HomeWon]:[HomeWon]], Table1[[GameIsOver]:[GameIsOver]],1,Table1[[AwayTeam]:[AwayTeam]],$A33, Table1[[HomeTeam]:[HomeTeam]], H$1, Table1[[ActualResult]:[ActualResult]], "OT") + SUMIFS(Table1[[AwayWon]:[AwayWon]], Table1[[GameIsOver]:[GameIsOver]],1,Table1[[HomeTeam]:[HomeTeam]],$A33, Table1[[AwayTeam]:[AwayTeam]], H$1, Table1[[ActualResult]:[ActualResult]], "OT") + SUMIFS(Table1[[HomeWon]:[HomeWon]], Table1[[GameIsOver]:[GameIsOver]],1,Table1[[AwayTeam]:[AwayTeam]],$A33, Table1[[HomeTeam]:[HomeTeam]], H$1, Table1[[ActualResult]:[ActualResult]], "SO") + SUMIFS(Table1[[AwayWon]:[AwayWon]], Table1[[GameIsOver]:[GameIsOver]],1,Table1[[HomeTeam]:[HomeTeam]],$A33, Table1[[AwayTeam]:[AwayTeam]], H$1, Table1[[ActualResult]:[ActualResult]], "SO"),0))</f>
        <v>0-0-0</v>
      </c>
      <c r="I33" s="45" t="str">
        <f>_xlfn.CONCAT(TEXT(SUMIFS(Table1[[AwayWon]:[AwayWon]], Table1[[GameIsOver]:[GameIsOver]],1,Table1[[AwayTeam]:[AwayTeam]],$A33, Table1[[HomeTeam]:[HomeTeam]], I$1) + SUMIFS(Table1[[HomeWon]:[HomeWon]], Table1[[GameIsOver]:[GameIsOver]],1,Table1[[HomeTeam]:[HomeTeam]],$A33, Table1[[AwayTeam]:[AwayTeam]], I$1),0), "-", TEXT(SUMIFS(Table1[[HomeWon]:[HomeWon]], Table1[[GameIsOver]:[GameIsOver]],1,Table1[[AwayTeam]:[AwayTeam]],$A33, Table1[[HomeTeam]:[HomeTeam]], I$1, Table1[[ActualResult]:[ActualResult]], "REG") + SUMIFS(Table1[[AwayWon]:[AwayWon]], Table1[[GameIsOver]:[GameIsOver]],1,Table1[[HomeTeam]:[HomeTeam]],$A33, Table1[[AwayTeam]:[AwayTeam]], I$1, Table1[[ActualResult]:[ActualResult]], "REG"),0), "-", TEXT(SUMIFS(Table1[[HomeWon]:[HomeWon]], Table1[[GameIsOver]:[GameIsOver]],1,Table1[[AwayTeam]:[AwayTeam]],$A33, Table1[[HomeTeam]:[HomeTeam]], I$1, Table1[[ActualResult]:[ActualResult]], "OT") + SUMIFS(Table1[[AwayWon]:[AwayWon]], Table1[[GameIsOver]:[GameIsOver]],1,Table1[[HomeTeam]:[HomeTeam]],$A33, Table1[[AwayTeam]:[AwayTeam]], I$1, Table1[[ActualResult]:[ActualResult]], "OT") + SUMIFS(Table1[[HomeWon]:[HomeWon]], Table1[[GameIsOver]:[GameIsOver]],1,Table1[[AwayTeam]:[AwayTeam]],$A33, Table1[[HomeTeam]:[HomeTeam]], I$1, Table1[[ActualResult]:[ActualResult]], "SO") + SUMIFS(Table1[[AwayWon]:[AwayWon]], Table1[[GameIsOver]:[GameIsOver]],1,Table1[[HomeTeam]:[HomeTeam]],$A33, Table1[[AwayTeam]:[AwayTeam]], I$1, Table1[[ActualResult]:[ActualResult]], "SO"),0))</f>
        <v>0-0-0</v>
      </c>
      <c r="J33" s="43" t="str">
        <f>_xlfn.CONCAT(TEXT(SUMIFS(Table1[[AwayWon]:[AwayWon]], Table1[[GameIsOver]:[GameIsOver]],1,Table1[[AwayTeam]:[AwayTeam]],$A33, Table1[[HomeTeam]:[HomeTeam]], J$1) + SUMIFS(Table1[[HomeWon]:[HomeWon]], Table1[[GameIsOver]:[GameIsOver]],1,Table1[[HomeTeam]:[HomeTeam]],$A33, Table1[[AwayTeam]:[AwayTeam]], J$1),0), "-", TEXT(SUMIFS(Table1[[HomeWon]:[HomeWon]], Table1[[GameIsOver]:[GameIsOver]],1,Table1[[AwayTeam]:[AwayTeam]],$A33, Table1[[HomeTeam]:[HomeTeam]], J$1, Table1[[ActualResult]:[ActualResult]], "REG") + SUMIFS(Table1[[AwayWon]:[AwayWon]], Table1[[GameIsOver]:[GameIsOver]],1,Table1[[HomeTeam]:[HomeTeam]],$A33, Table1[[AwayTeam]:[AwayTeam]], J$1, Table1[[ActualResult]:[ActualResult]], "REG"),0), "-", TEXT(SUMIFS(Table1[[HomeWon]:[HomeWon]], Table1[[GameIsOver]:[GameIsOver]],1,Table1[[AwayTeam]:[AwayTeam]],$A33, Table1[[HomeTeam]:[HomeTeam]], J$1, Table1[[ActualResult]:[ActualResult]], "OT") + SUMIFS(Table1[[AwayWon]:[AwayWon]], Table1[[GameIsOver]:[GameIsOver]],1,Table1[[HomeTeam]:[HomeTeam]],$A33, Table1[[AwayTeam]:[AwayTeam]], J$1, Table1[[ActualResult]:[ActualResult]], "OT") + SUMIFS(Table1[[HomeWon]:[HomeWon]], Table1[[GameIsOver]:[GameIsOver]],1,Table1[[AwayTeam]:[AwayTeam]],$A33, Table1[[HomeTeam]:[HomeTeam]], J$1, Table1[[ActualResult]:[ActualResult]], "SO") + SUMIFS(Table1[[AwayWon]:[AwayWon]], Table1[[GameIsOver]:[GameIsOver]],1,Table1[[HomeTeam]:[HomeTeam]],$A33, Table1[[AwayTeam]:[AwayTeam]], J$1, Table1[[ActualResult]:[ActualResult]], "SO"),0))</f>
        <v>0-0-0</v>
      </c>
      <c r="K33" s="43" t="str">
        <f>_xlfn.CONCAT(TEXT(SUMIFS(Table1[[AwayWon]:[AwayWon]], Table1[[GameIsOver]:[GameIsOver]],1,Table1[[AwayTeam]:[AwayTeam]],$A33, Table1[[HomeTeam]:[HomeTeam]], K$1) + SUMIFS(Table1[[HomeWon]:[HomeWon]], Table1[[GameIsOver]:[GameIsOver]],1,Table1[[HomeTeam]:[HomeTeam]],$A33, Table1[[AwayTeam]:[AwayTeam]], K$1),0), "-", TEXT(SUMIFS(Table1[[HomeWon]:[HomeWon]], Table1[[GameIsOver]:[GameIsOver]],1,Table1[[AwayTeam]:[AwayTeam]],$A33, Table1[[HomeTeam]:[HomeTeam]], K$1, Table1[[ActualResult]:[ActualResult]], "REG") + SUMIFS(Table1[[AwayWon]:[AwayWon]], Table1[[GameIsOver]:[GameIsOver]],1,Table1[[HomeTeam]:[HomeTeam]],$A33, Table1[[AwayTeam]:[AwayTeam]], K$1, Table1[[ActualResult]:[ActualResult]], "REG"),0), "-", TEXT(SUMIFS(Table1[[HomeWon]:[HomeWon]], Table1[[GameIsOver]:[GameIsOver]],1,Table1[[AwayTeam]:[AwayTeam]],$A33, Table1[[HomeTeam]:[HomeTeam]], K$1, Table1[[ActualResult]:[ActualResult]], "OT") + SUMIFS(Table1[[AwayWon]:[AwayWon]], Table1[[GameIsOver]:[GameIsOver]],1,Table1[[HomeTeam]:[HomeTeam]],$A33, Table1[[AwayTeam]:[AwayTeam]], K$1, Table1[[ActualResult]:[ActualResult]], "OT") + SUMIFS(Table1[[HomeWon]:[HomeWon]], Table1[[GameIsOver]:[GameIsOver]],1,Table1[[AwayTeam]:[AwayTeam]],$A33, Table1[[HomeTeam]:[HomeTeam]], K$1, Table1[[ActualResult]:[ActualResult]], "SO") + SUMIFS(Table1[[AwayWon]:[AwayWon]], Table1[[GameIsOver]:[GameIsOver]],1,Table1[[HomeTeam]:[HomeTeam]],$A33, Table1[[AwayTeam]:[AwayTeam]], K$1, Table1[[ActualResult]:[ActualResult]], "SO"),0))</f>
        <v>0-0-0</v>
      </c>
      <c r="L33" s="43" t="str">
        <f>_xlfn.CONCAT(TEXT(SUMIFS(Table1[[AwayWon]:[AwayWon]], Table1[[GameIsOver]:[GameIsOver]],1,Table1[[AwayTeam]:[AwayTeam]],$A33, Table1[[HomeTeam]:[HomeTeam]], L$1) + SUMIFS(Table1[[HomeWon]:[HomeWon]], Table1[[GameIsOver]:[GameIsOver]],1,Table1[[HomeTeam]:[HomeTeam]],$A33, Table1[[AwayTeam]:[AwayTeam]], L$1),0), "-", TEXT(SUMIFS(Table1[[HomeWon]:[HomeWon]], Table1[[GameIsOver]:[GameIsOver]],1,Table1[[AwayTeam]:[AwayTeam]],$A33, Table1[[HomeTeam]:[HomeTeam]], L$1, Table1[[ActualResult]:[ActualResult]], "REG") + SUMIFS(Table1[[AwayWon]:[AwayWon]], Table1[[GameIsOver]:[GameIsOver]],1,Table1[[HomeTeam]:[HomeTeam]],$A33, Table1[[AwayTeam]:[AwayTeam]], L$1, Table1[[ActualResult]:[ActualResult]], "REG"),0), "-", TEXT(SUMIFS(Table1[[HomeWon]:[HomeWon]], Table1[[GameIsOver]:[GameIsOver]],1,Table1[[AwayTeam]:[AwayTeam]],$A33, Table1[[HomeTeam]:[HomeTeam]], L$1, Table1[[ActualResult]:[ActualResult]], "OT") + SUMIFS(Table1[[AwayWon]:[AwayWon]], Table1[[GameIsOver]:[GameIsOver]],1,Table1[[HomeTeam]:[HomeTeam]],$A33, Table1[[AwayTeam]:[AwayTeam]], L$1, Table1[[ActualResult]:[ActualResult]], "OT") + SUMIFS(Table1[[HomeWon]:[HomeWon]], Table1[[GameIsOver]:[GameIsOver]],1,Table1[[AwayTeam]:[AwayTeam]],$A33, Table1[[HomeTeam]:[HomeTeam]], L$1, Table1[[ActualResult]:[ActualResult]], "SO") + SUMIFS(Table1[[AwayWon]:[AwayWon]], Table1[[GameIsOver]:[GameIsOver]],1,Table1[[HomeTeam]:[HomeTeam]],$A33, Table1[[AwayTeam]:[AwayTeam]], L$1, Table1[[ActualResult]:[ActualResult]], "SO"),0))</f>
        <v>0-0-0</v>
      </c>
      <c r="M33" s="43" t="str">
        <f>_xlfn.CONCAT(TEXT(SUMIFS(Table1[[AwayWon]:[AwayWon]], Table1[[GameIsOver]:[GameIsOver]],1,Table1[[AwayTeam]:[AwayTeam]],$A33, Table1[[HomeTeam]:[HomeTeam]], M$1) + SUMIFS(Table1[[HomeWon]:[HomeWon]], Table1[[GameIsOver]:[GameIsOver]],1,Table1[[HomeTeam]:[HomeTeam]],$A33, Table1[[AwayTeam]:[AwayTeam]], M$1),0), "-", TEXT(SUMIFS(Table1[[HomeWon]:[HomeWon]], Table1[[GameIsOver]:[GameIsOver]],1,Table1[[AwayTeam]:[AwayTeam]],$A33, Table1[[HomeTeam]:[HomeTeam]], M$1, Table1[[ActualResult]:[ActualResult]], "REG") + SUMIFS(Table1[[AwayWon]:[AwayWon]], Table1[[GameIsOver]:[GameIsOver]],1,Table1[[HomeTeam]:[HomeTeam]],$A33, Table1[[AwayTeam]:[AwayTeam]], M$1, Table1[[ActualResult]:[ActualResult]], "REG"),0), "-", TEXT(SUMIFS(Table1[[HomeWon]:[HomeWon]], Table1[[GameIsOver]:[GameIsOver]],1,Table1[[AwayTeam]:[AwayTeam]],$A33, Table1[[HomeTeam]:[HomeTeam]], M$1, Table1[[ActualResult]:[ActualResult]], "OT") + SUMIFS(Table1[[AwayWon]:[AwayWon]], Table1[[GameIsOver]:[GameIsOver]],1,Table1[[HomeTeam]:[HomeTeam]],$A33, Table1[[AwayTeam]:[AwayTeam]], M$1, Table1[[ActualResult]:[ActualResult]], "OT") + SUMIFS(Table1[[HomeWon]:[HomeWon]], Table1[[GameIsOver]:[GameIsOver]],1,Table1[[AwayTeam]:[AwayTeam]],$A33, Table1[[HomeTeam]:[HomeTeam]], M$1, Table1[[ActualResult]:[ActualResult]], "SO") + SUMIFS(Table1[[AwayWon]:[AwayWon]], Table1[[GameIsOver]:[GameIsOver]],1,Table1[[HomeTeam]:[HomeTeam]],$A33, Table1[[AwayTeam]:[AwayTeam]], M$1, Table1[[ActualResult]:[ActualResult]], "SO"),0))</f>
        <v>0-0-0</v>
      </c>
      <c r="N33" s="43" t="str">
        <f>_xlfn.CONCAT(TEXT(SUMIFS(Table1[[AwayWon]:[AwayWon]], Table1[[GameIsOver]:[GameIsOver]],1,Table1[[AwayTeam]:[AwayTeam]],$A33, Table1[[HomeTeam]:[HomeTeam]], N$1) + SUMIFS(Table1[[HomeWon]:[HomeWon]], Table1[[GameIsOver]:[GameIsOver]],1,Table1[[HomeTeam]:[HomeTeam]],$A33, Table1[[AwayTeam]:[AwayTeam]], N$1),0), "-", TEXT(SUMIFS(Table1[[HomeWon]:[HomeWon]], Table1[[GameIsOver]:[GameIsOver]],1,Table1[[AwayTeam]:[AwayTeam]],$A33, Table1[[HomeTeam]:[HomeTeam]], N$1, Table1[[ActualResult]:[ActualResult]], "REG") + SUMIFS(Table1[[AwayWon]:[AwayWon]], Table1[[GameIsOver]:[GameIsOver]],1,Table1[[HomeTeam]:[HomeTeam]],$A33, Table1[[AwayTeam]:[AwayTeam]], N$1, Table1[[ActualResult]:[ActualResult]], "REG"),0), "-", TEXT(SUMIFS(Table1[[HomeWon]:[HomeWon]], Table1[[GameIsOver]:[GameIsOver]],1,Table1[[AwayTeam]:[AwayTeam]],$A33, Table1[[HomeTeam]:[HomeTeam]], N$1, Table1[[ActualResult]:[ActualResult]], "OT") + SUMIFS(Table1[[AwayWon]:[AwayWon]], Table1[[GameIsOver]:[GameIsOver]],1,Table1[[HomeTeam]:[HomeTeam]],$A33, Table1[[AwayTeam]:[AwayTeam]], N$1, Table1[[ActualResult]:[ActualResult]], "OT") + SUMIFS(Table1[[HomeWon]:[HomeWon]], Table1[[GameIsOver]:[GameIsOver]],1,Table1[[AwayTeam]:[AwayTeam]],$A33, Table1[[HomeTeam]:[HomeTeam]], N$1, Table1[[ActualResult]:[ActualResult]], "SO") + SUMIFS(Table1[[AwayWon]:[AwayWon]], Table1[[GameIsOver]:[GameIsOver]],1,Table1[[HomeTeam]:[HomeTeam]],$A33, Table1[[AwayTeam]:[AwayTeam]], N$1, Table1[[ActualResult]:[ActualResult]], "SO"),0))</f>
        <v>0-0-0</v>
      </c>
      <c r="O33" s="43" t="str">
        <f>_xlfn.CONCAT(TEXT(SUMIFS(Table1[[AwayWon]:[AwayWon]], Table1[[GameIsOver]:[GameIsOver]],1,Table1[[AwayTeam]:[AwayTeam]],$A33, Table1[[HomeTeam]:[HomeTeam]], O$1) + SUMIFS(Table1[[HomeWon]:[HomeWon]], Table1[[GameIsOver]:[GameIsOver]],1,Table1[[HomeTeam]:[HomeTeam]],$A33, Table1[[AwayTeam]:[AwayTeam]], O$1),0), "-", TEXT(SUMIFS(Table1[[HomeWon]:[HomeWon]], Table1[[GameIsOver]:[GameIsOver]],1,Table1[[AwayTeam]:[AwayTeam]],$A33, Table1[[HomeTeam]:[HomeTeam]], O$1, Table1[[ActualResult]:[ActualResult]], "REG") + SUMIFS(Table1[[AwayWon]:[AwayWon]], Table1[[GameIsOver]:[GameIsOver]],1,Table1[[HomeTeam]:[HomeTeam]],$A33, Table1[[AwayTeam]:[AwayTeam]], O$1, Table1[[ActualResult]:[ActualResult]], "REG"),0), "-", TEXT(SUMIFS(Table1[[HomeWon]:[HomeWon]], Table1[[GameIsOver]:[GameIsOver]],1,Table1[[AwayTeam]:[AwayTeam]],$A33, Table1[[HomeTeam]:[HomeTeam]], O$1, Table1[[ActualResult]:[ActualResult]], "OT") + SUMIFS(Table1[[AwayWon]:[AwayWon]], Table1[[GameIsOver]:[GameIsOver]],1,Table1[[HomeTeam]:[HomeTeam]],$A33, Table1[[AwayTeam]:[AwayTeam]], O$1, Table1[[ActualResult]:[ActualResult]], "OT") + SUMIFS(Table1[[HomeWon]:[HomeWon]], Table1[[GameIsOver]:[GameIsOver]],1,Table1[[AwayTeam]:[AwayTeam]],$A33, Table1[[HomeTeam]:[HomeTeam]], O$1, Table1[[ActualResult]:[ActualResult]], "SO") + SUMIFS(Table1[[AwayWon]:[AwayWon]], Table1[[GameIsOver]:[GameIsOver]],1,Table1[[HomeTeam]:[HomeTeam]],$A33, Table1[[AwayTeam]:[AwayTeam]], O$1, Table1[[ActualResult]:[ActualResult]], "SO"),0))</f>
        <v>0-0-0</v>
      </c>
      <c r="P33" s="43" t="str">
        <f>_xlfn.CONCAT(TEXT(SUMIFS(Table1[[AwayWon]:[AwayWon]], Table1[[GameIsOver]:[GameIsOver]],1,Table1[[AwayTeam]:[AwayTeam]],$A33, Table1[[HomeTeam]:[HomeTeam]], P$1) + SUMIFS(Table1[[HomeWon]:[HomeWon]], Table1[[GameIsOver]:[GameIsOver]],1,Table1[[HomeTeam]:[HomeTeam]],$A33, Table1[[AwayTeam]:[AwayTeam]], P$1),0), "-", TEXT(SUMIFS(Table1[[HomeWon]:[HomeWon]], Table1[[GameIsOver]:[GameIsOver]],1,Table1[[AwayTeam]:[AwayTeam]],$A33, Table1[[HomeTeam]:[HomeTeam]], P$1, Table1[[ActualResult]:[ActualResult]], "REG") + SUMIFS(Table1[[AwayWon]:[AwayWon]], Table1[[GameIsOver]:[GameIsOver]],1,Table1[[HomeTeam]:[HomeTeam]],$A33, Table1[[AwayTeam]:[AwayTeam]], P$1, Table1[[ActualResult]:[ActualResult]], "REG"),0), "-", TEXT(SUMIFS(Table1[[HomeWon]:[HomeWon]], Table1[[GameIsOver]:[GameIsOver]],1,Table1[[AwayTeam]:[AwayTeam]],$A33, Table1[[HomeTeam]:[HomeTeam]], P$1, Table1[[ActualResult]:[ActualResult]], "OT") + SUMIFS(Table1[[AwayWon]:[AwayWon]], Table1[[GameIsOver]:[GameIsOver]],1,Table1[[HomeTeam]:[HomeTeam]],$A33, Table1[[AwayTeam]:[AwayTeam]], P$1, Table1[[ActualResult]:[ActualResult]], "OT") + SUMIFS(Table1[[HomeWon]:[HomeWon]], Table1[[GameIsOver]:[GameIsOver]],1,Table1[[AwayTeam]:[AwayTeam]],$A33, Table1[[HomeTeam]:[HomeTeam]], P$1, Table1[[ActualResult]:[ActualResult]], "SO") + SUMIFS(Table1[[AwayWon]:[AwayWon]], Table1[[GameIsOver]:[GameIsOver]],1,Table1[[HomeTeam]:[HomeTeam]],$A33, Table1[[AwayTeam]:[AwayTeam]], P$1, Table1[[ActualResult]:[ActualResult]], "SO"),0))</f>
        <v>0-0-0</v>
      </c>
      <c r="Q33" s="45" t="str">
        <f>_xlfn.CONCAT(TEXT(SUMIFS(Table1[[AwayWon]:[AwayWon]], Table1[[GameIsOver]:[GameIsOver]],1,Table1[[AwayTeam]:[AwayTeam]],$A33, Table1[[HomeTeam]:[HomeTeam]], Q$1) + SUMIFS(Table1[[HomeWon]:[HomeWon]], Table1[[GameIsOver]:[GameIsOver]],1,Table1[[HomeTeam]:[HomeTeam]],$A33, Table1[[AwayTeam]:[AwayTeam]], Q$1),0), "-", TEXT(SUMIFS(Table1[[HomeWon]:[HomeWon]], Table1[[GameIsOver]:[GameIsOver]],1,Table1[[AwayTeam]:[AwayTeam]],$A33, Table1[[HomeTeam]:[HomeTeam]], Q$1, Table1[[ActualResult]:[ActualResult]], "REG") + SUMIFS(Table1[[AwayWon]:[AwayWon]], Table1[[GameIsOver]:[GameIsOver]],1,Table1[[HomeTeam]:[HomeTeam]],$A33, Table1[[AwayTeam]:[AwayTeam]], Q$1, Table1[[ActualResult]:[ActualResult]], "REG"),0), "-", TEXT(SUMIFS(Table1[[HomeWon]:[HomeWon]], Table1[[GameIsOver]:[GameIsOver]],1,Table1[[AwayTeam]:[AwayTeam]],$A33, Table1[[HomeTeam]:[HomeTeam]], Q$1, Table1[[ActualResult]:[ActualResult]], "OT") + SUMIFS(Table1[[AwayWon]:[AwayWon]], Table1[[GameIsOver]:[GameIsOver]],1,Table1[[HomeTeam]:[HomeTeam]],$A33, Table1[[AwayTeam]:[AwayTeam]], Q$1, Table1[[ActualResult]:[ActualResult]], "OT") + SUMIFS(Table1[[HomeWon]:[HomeWon]], Table1[[GameIsOver]:[GameIsOver]],1,Table1[[AwayTeam]:[AwayTeam]],$A33, Table1[[HomeTeam]:[HomeTeam]], Q$1, Table1[[ActualResult]:[ActualResult]], "SO") + SUMIFS(Table1[[AwayWon]:[AwayWon]], Table1[[GameIsOver]:[GameIsOver]],1,Table1[[HomeTeam]:[HomeTeam]],$A33, Table1[[AwayTeam]:[AwayTeam]], Q$1, Table1[[ActualResult]:[ActualResult]], "SO"),0))</f>
        <v>0-0-0</v>
      </c>
      <c r="R33" s="43" t="str">
        <f>_xlfn.CONCAT(TEXT(SUMIFS(Table1[[AwayWon]:[AwayWon]], Table1[[GameIsOver]:[GameIsOver]],1,Table1[[AwayTeam]:[AwayTeam]],$A33, Table1[[HomeTeam]:[HomeTeam]], R$1) + SUMIFS(Table1[[HomeWon]:[HomeWon]], Table1[[GameIsOver]:[GameIsOver]],1,Table1[[HomeTeam]:[HomeTeam]],$A33, Table1[[AwayTeam]:[AwayTeam]], R$1),0), "-", TEXT(SUMIFS(Table1[[HomeWon]:[HomeWon]], Table1[[GameIsOver]:[GameIsOver]],1,Table1[[AwayTeam]:[AwayTeam]],$A33, Table1[[HomeTeam]:[HomeTeam]], R$1, Table1[[ActualResult]:[ActualResult]], "REG") + SUMIFS(Table1[[AwayWon]:[AwayWon]], Table1[[GameIsOver]:[GameIsOver]],1,Table1[[HomeTeam]:[HomeTeam]],$A33, Table1[[AwayTeam]:[AwayTeam]], R$1, Table1[[ActualResult]:[ActualResult]], "REG"),0), "-", TEXT(SUMIFS(Table1[[HomeWon]:[HomeWon]], Table1[[GameIsOver]:[GameIsOver]],1,Table1[[AwayTeam]:[AwayTeam]],$A33, Table1[[HomeTeam]:[HomeTeam]], R$1, Table1[[ActualResult]:[ActualResult]], "OT") + SUMIFS(Table1[[AwayWon]:[AwayWon]], Table1[[GameIsOver]:[GameIsOver]],1,Table1[[HomeTeam]:[HomeTeam]],$A33, Table1[[AwayTeam]:[AwayTeam]], R$1, Table1[[ActualResult]:[ActualResult]], "OT") + SUMIFS(Table1[[HomeWon]:[HomeWon]], Table1[[GameIsOver]:[GameIsOver]],1,Table1[[AwayTeam]:[AwayTeam]],$A33, Table1[[HomeTeam]:[HomeTeam]], R$1, Table1[[ActualResult]:[ActualResult]], "SO") + SUMIFS(Table1[[AwayWon]:[AwayWon]], Table1[[GameIsOver]:[GameIsOver]],1,Table1[[HomeTeam]:[HomeTeam]],$A33, Table1[[AwayTeam]:[AwayTeam]], R$1, Table1[[ActualResult]:[ActualResult]], "SO"),0))</f>
        <v>0-0-0</v>
      </c>
      <c r="S33" s="43" t="str">
        <f>_xlfn.CONCAT(TEXT(SUMIFS(Table1[[AwayWon]:[AwayWon]], Table1[[GameIsOver]:[GameIsOver]],1,Table1[[AwayTeam]:[AwayTeam]],$A33, Table1[[HomeTeam]:[HomeTeam]], S$1) + SUMIFS(Table1[[HomeWon]:[HomeWon]], Table1[[GameIsOver]:[GameIsOver]],1,Table1[[HomeTeam]:[HomeTeam]],$A33, Table1[[AwayTeam]:[AwayTeam]], S$1),0), "-", TEXT(SUMIFS(Table1[[HomeWon]:[HomeWon]], Table1[[GameIsOver]:[GameIsOver]],1,Table1[[AwayTeam]:[AwayTeam]],$A33, Table1[[HomeTeam]:[HomeTeam]], S$1, Table1[[ActualResult]:[ActualResult]], "REG") + SUMIFS(Table1[[AwayWon]:[AwayWon]], Table1[[GameIsOver]:[GameIsOver]],1,Table1[[HomeTeam]:[HomeTeam]],$A33, Table1[[AwayTeam]:[AwayTeam]], S$1, Table1[[ActualResult]:[ActualResult]], "REG"),0), "-", TEXT(SUMIFS(Table1[[HomeWon]:[HomeWon]], Table1[[GameIsOver]:[GameIsOver]],1,Table1[[AwayTeam]:[AwayTeam]],$A33, Table1[[HomeTeam]:[HomeTeam]], S$1, Table1[[ActualResult]:[ActualResult]], "OT") + SUMIFS(Table1[[AwayWon]:[AwayWon]], Table1[[GameIsOver]:[GameIsOver]],1,Table1[[HomeTeam]:[HomeTeam]],$A33, Table1[[AwayTeam]:[AwayTeam]], S$1, Table1[[ActualResult]:[ActualResult]], "OT") + SUMIFS(Table1[[HomeWon]:[HomeWon]], Table1[[GameIsOver]:[GameIsOver]],1,Table1[[AwayTeam]:[AwayTeam]],$A33, Table1[[HomeTeam]:[HomeTeam]], S$1, Table1[[ActualResult]:[ActualResult]], "SO") + SUMIFS(Table1[[AwayWon]:[AwayWon]], Table1[[GameIsOver]:[GameIsOver]],1,Table1[[HomeTeam]:[HomeTeam]],$A33, Table1[[AwayTeam]:[AwayTeam]], S$1, Table1[[ActualResult]:[ActualResult]], "SO"),0))</f>
        <v>0-0-0</v>
      </c>
      <c r="T33" s="43" t="str">
        <f>_xlfn.CONCAT(TEXT(SUMIFS(Table1[[AwayWon]:[AwayWon]], Table1[[GameIsOver]:[GameIsOver]],1,Table1[[AwayTeam]:[AwayTeam]],$A33, Table1[[HomeTeam]:[HomeTeam]], T$1) + SUMIFS(Table1[[HomeWon]:[HomeWon]], Table1[[GameIsOver]:[GameIsOver]],1,Table1[[HomeTeam]:[HomeTeam]],$A33, Table1[[AwayTeam]:[AwayTeam]], T$1),0), "-", TEXT(SUMIFS(Table1[[HomeWon]:[HomeWon]], Table1[[GameIsOver]:[GameIsOver]],1,Table1[[AwayTeam]:[AwayTeam]],$A33, Table1[[HomeTeam]:[HomeTeam]], T$1, Table1[[ActualResult]:[ActualResult]], "REG") + SUMIFS(Table1[[AwayWon]:[AwayWon]], Table1[[GameIsOver]:[GameIsOver]],1,Table1[[HomeTeam]:[HomeTeam]],$A33, Table1[[AwayTeam]:[AwayTeam]], T$1, Table1[[ActualResult]:[ActualResult]], "REG"),0), "-", TEXT(SUMIFS(Table1[[HomeWon]:[HomeWon]], Table1[[GameIsOver]:[GameIsOver]],1,Table1[[AwayTeam]:[AwayTeam]],$A33, Table1[[HomeTeam]:[HomeTeam]], T$1, Table1[[ActualResult]:[ActualResult]], "OT") + SUMIFS(Table1[[AwayWon]:[AwayWon]], Table1[[GameIsOver]:[GameIsOver]],1,Table1[[HomeTeam]:[HomeTeam]],$A33, Table1[[AwayTeam]:[AwayTeam]], T$1, Table1[[ActualResult]:[ActualResult]], "OT") + SUMIFS(Table1[[HomeWon]:[HomeWon]], Table1[[GameIsOver]:[GameIsOver]],1,Table1[[AwayTeam]:[AwayTeam]],$A33, Table1[[HomeTeam]:[HomeTeam]], T$1, Table1[[ActualResult]:[ActualResult]], "SO") + SUMIFS(Table1[[AwayWon]:[AwayWon]], Table1[[GameIsOver]:[GameIsOver]],1,Table1[[HomeTeam]:[HomeTeam]],$A33, Table1[[AwayTeam]:[AwayTeam]], T$1, Table1[[ActualResult]:[ActualResult]], "SO"),0))</f>
        <v>0-0-0</v>
      </c>
      <c r="U33" s="43" t="str">
        <f>_xlfn.CONCAT(TEXT(SUMIFS(Table1[[AwayWon]:[AwayWon]], Table1[[GameIsOver]:[GameIsOver]],1,Table1[[AwayTeam]:[AwayTeam]],$A33, Table1[[HomeTeam]:[HomeTeam]], U$1) + SUMIFS(Table1[[HomeWon]:[HomeWon]], Table1[[GameIsOver]:[GameIsOver]],1,Table1[[HomeTeam]:[HomeTeam]],$A33, Table1[[AwayTeam]:[AwayTeam]], U$1),0), "-", TEXT(SUMIFS(Table1[[HomeWon]:[HomeWon]], Table1[[GameIsOver]:[GameIsOver]],1,Table1[[AwayTeam]:[AwayTeam]],$A33, Table1[[HomeTeam]:[HomeTeam]], U$1, Table1[[ActualResult]:[ActualResult]], "REG") + SUMIFS(Table1[[AwayWon]:[AwayWon]], Table1[[GameIsOver]:[GameIsOver]],1,Table1[[HomeTeam]:[HomeTeam]],$A33, Table1[[AwayTeam]:[AwayTeam]], U$1, Table1[[ActualResult]:[ActualResult]], "REG"),0), "-", TEXT(SUMIFS(Table1[[HomeWon]:[HomeWon]], Table1[[GameIsOver]:[GameIsOver]],1,Table1[[AwayTeam]:[AwayTeam]],$A33, Table1[[HomeTeam]:[HomeTeam]], U$1, Table1[[ActualResult]:[ActualResult]], "OT") + SUMIFS(Table1[[AwayWon]:[AwayWon]], Table1[[GameIsOver]:[GameIsOver]],1,Table1[[HomeTeam]:[HomeTeam]],$A33, Table1[[AwayTeam]:[AwayTeam]], U$1, Table1[[ActualResult]:[ActualResult]], "OT") + SUMIFS(Table1[[HomeWon]:[HomeWon]], Table1[[GameIsOver]:[GameIsOver]],1,Table1[[AwayTeam]:[AwayTeam]],$A33, Table1[[HomeTeam]:[HomeTeam]], U$1, Table1[[ActualResult]:[ActualResult]], "SO") + SUMIFS(Table1[[AwayWon]:[AwayWon]], Table1[[GameIsOver]:[GameIsOver]],1,Table1[[HomeTeam]:[HomeTeam]],$A33, Table1[[AwayTeam]:[AwayTeam]], U$1, Table1[[ActualResult]:[ActualResult]], "SO"),0))</f>
        <v>0-1-0</v>
      </c>
      <c r="V33" s="43" t="str">
        <f>_xlfn.CONCAT(TEXT(SUMIFS(Table1[[AwayWon]:[AwayWon]], Table1[[GameIsOver]:[GameIsOver]],1,Table1[[AwayTeam]:[AwayTeam]],$A33, Table1[[HomeTeam]:[HomeTeam]], V$1) + SUMIFS(Table1[[HomeWon]:[HomeWon]], Table1[[GameIsOver]:[GameIsOver]],1,Table1[[HomeTeam]:[HomeTeam]],$A33, Table1[[AwayTeam]:[AwayTeam]], V$1),0), "-", TEXT(SUMIFS(Table1[[HomeWon]:[HomeWon]], Table1[[GameIsOver]:[GameIsOver]],1,Table1[[AwayTeam]:[AwayTeam]],$A33, Table1[[HomeTeam]:[HomeTeam]], V$1, Table1[[ActualResult]:[ActualResult]], "REG") + SUMIFS(Table1[[AwayWon]:[AwayWon]], Table1[[GameIsOver]:[GameIsOver]],1,Table1[[HomeTeam]:[HomeTeam]],$A33, Table1[[AwayTeam]:[AwayTeam]], V$1, Table1[[ActualResult]:[ActualResult]], "REG"),0), "-", TEXT(SUMIFS(Table1[[HomeWon]:[HomeWon]], Table1[[GameIsOver]:[GameIsOver]],1,Table1[[AwayTeam]:[AwayTeam]],$A33, Table1[[HomeTeam]:[HomeTeam]], V$1, Table1[[ActualResult]:[ActualResult]], "OT") + SUMIFS(Table1[[AwayWon]:[AwayWon]], Table1[[GameIsOver]:[GameIsOver]],1,Table1[[HomeTeam]:[HomeTeam]],$A33, Table1[[AwayTeam]:[AwayTeam]], V$1, Table1[[ActualResult]:[ActualResult]], "OT") + SUMIFS(Table1[[HomeWon]:[HomeWon]], Table1[[GameIsOver]:[GameIsOver]],1,Table1[[AwayTeam]:[AwayTeam]],$A33, Table1[[HomeTeam]:[HomeTeam]], V$1, Table1[[ActualResult]:[ActualResult]], "SO") + SUMIFS(Table1[[AwayWon]:[AwayWon]], Table1[[GameIsOver]:[GameIsOver]],1,Table1[[HomeTeam]:[HomeTeam]],$A33, Table1[[AwayTeam]:[AwayTeam]], V$1, Table1[[ActualResult]:[ActualResult]], "SO"),0))</f>
        <v>0-0-0</v>
      </c>
      <c r="W33" s="43" t="str">
        <f>_xlfn.CONCAT(TEXT(SUMIFS(Table1[[AwayWon]:[AwayWon]], Table1[[GameIsOver]:[GameIsOver]],1,Table1[[AwayTeam]:[AwayTeam]],$A33, Table1[[HomeTeam]:[HomeTeam]], W$1) + SUMIFS(Table1[[HomeWon]:[HomeWon]], Table1[[GameIsOver]:[GameIsOver]],1,Table1[[HomeTeam]:[HomeTeam]],$A33, Table1[[AwayTeam]:[AwayTeam]], W$1),0), "-", TEXT(SUMIFS(Table1[[HomeWon]:[HomeWon]], Table1[[GameIsOver]:[GameIsOver]],1,Table1[[AwayTeam]:[AwayTeam]],$A33, Table1[[HomeTeam]:[HomeTeam]], W$1, Table1[[ActualResult]:[ActualResult]], "REG") + SUMIFS(Table1[[AwayWon]:[AwayWon]], Table1[[GameIsOver]:[GameIsOver]],1,Table1[[HomeTeam]:[HomeTeam]],$A33, Table1[[AwayTeam]:[AwayTeam]], W$1, Table1[[ActualResult]:[ActualResult]], "REG"),0), "-", TEXT(SUMIFS(Table1[[HomeWon]:[HomeWon]], Table1[[GameIsOver]:[GameIsOver]],1,Table1[[AwayTeam]:[AwayTeam]],$A33, Table1[[HomeTeam]:[HomeTeam]], W$1, Table1[[ActualResult]:[ActualResult]], "OT") + SUMIFS(Table1[[AwayWon]:[AwayWon]], Table1[[GameIsOver]:[GameIsOver]],1,Table1[[HomeTeam]:[HomeTeam]],$A33, Table1[[AwayTeam]:[AwayTeam]], W$1, Table1[[ActualResult]:[ActualResult]], "OT") + SUMIFS(Table1[[HomeWon]:[HomeWon]], Table1[[GameIsOver]:[GameIsOver]],1,Table1[[AwayTeam]:[AwayTeam]],$A33, Table1[[HomeTeam]:[HomeTeam]], W$1, Table1[[ActualResult]:[ActualResult]], "SO") + SUMIFS(Table1[[AwayWon]:[AwayWon]], Table1[[GameIsOver]:[GameIsOver]],1,Table1[[HomeTeam]:[HomeTeam]],$A33, Table1[[AwayTeam]:[AwayTeam]], W$1, Table1[[ActualResult]:[ActualResult]], "SO"),0))</f>
        <v>0-0-0</v>
      </c>
      <c r="X33" s="43" t="str">
        <f>_xlfn.CONCAT(TEXT(SUMIFS(Table1[[AwayWon]:[AwayWon]], Table1[[GameIsOver]:[GameIsOver]],1,Table1[[AwayTeam]:[AwayTeam]],$A33, Table1[[HomeTeam]:[HomeTeam]], X$1) + SUMIFS(Table1[[HomeWon]:[HomeWon]], Table1[[GameIsOver]:[GameIsOver]],1,Table1[[HomeTeam]:[HomeTeam]],$A33, Table1[[AwayTeam]:[AwayTeam]], X$1),0), "-", TEXT(SUMIFS(Table1[[HomeWon]:[HomeWon]], Table1[[GameIsOver]:[GameIsOver]],1,Table1[[AwayTeam]:[AwayTeam]],$A33, Table1[[HomeTeam]:[HomeTeam]], X$1, Table1[[ActualResult]:[ActualResult]], "REG") + SUMIFS(Table1[[AwayWon]:[AwayWon]], Table1[[GameIsOver]:[GameIsOver]],1,Table1[[HomeTeam]:[HomeTeam]],$A33, Table1[[AwayTeam]:[AwayTeam]], X$1, Table1[[ActualResult]:[ActualResult]], "REG"),0), "-", TEXT(SUMIFS(Table1[[HomeWon]:[HomeWon]], Table1[[GameIsOver]:[GameIsOver]],1,Table1[[AwayTeam]:[AwayTeam]],$A33, Table1[[HomeTeam]:[HomeTeam]], X$1, Table1[[ActualResult]:[ActualResult]], "OT") + SUMIFS(Table1[[AwayWon]:[AwayWon]], Table1[[GameIsOver]:[GameIsOver]],1,Table1[[HomeTeam]:[HomeTeam]],$A33, Table1[[AwayTeam]:[AwayTeam]], X$1, Table1[[ActualResult]:[ActualResult]], "OT") + SUMIFS(Table1[[HomeWon]:[HomeWon]], Table1[[GameIsOver]:[GameIsOver]],1,Table1[[AwayTeam]:[AwayTeam]],$A33, Table1[[HomeTeam]:[HomeTeam]], X$1, Table1[[ActualResult]:[ActualResult]], "SO") + SUMIFS(Table1[[AwayWon]:[AwayWon]], Table1[[GameIsOver]:[GameIsOver]],1,Table1[[HomeTeam]:[HomeTeam]],$A33, Table1[[AwayTeam]:[AwayTeam]], X$1, Table1[[ActualResult]:[ActualResult]], "SO"),0))</f>
        <v>0-0-0</v>
      </c>
      <c r="Y33" s="45" t="str">
        <f>_xlfn.CONCAT(TEXT(SUMIFS(Table1[[AwayWon]:[AwayWon]], Table1[[GameIsOver]:[GameIsOver]],1,Table1[[AwayTeam]:[AwayTeam]],$A33, Table1[[HomeTeam]:[HomeTeam]], Y$1) + SUMIFS(Table1[[HomeWon]:[HomeWon]], Table1[[GameIsOver]:[GameIsOver]],1,Table1[[HomeTeam]:[HomeTeam]],$A33, Table1[[AwayTeam]:[AwayTeam]], Y$1),0), "-", TEXT(SUMIFS(Table1[[HomeWon]:[HomeWon]], Table1[[GameIsOver]:[GameIsOver]],1,Table1[[AwayTeam]:[AwayTeam]],$A33, Table1[[HomeTeam]:[HomeTeam]], Y$1, Table1[[ActualResult]:[ActualResult]], "REG") + SUMIFS(Table1[[AwayWon]:[AwayWon]], Table1[[GameIsOver]:[GameIsOver]],1,Table1[[HomeTeam]:[HomeTeam]],$A33, Table1[[AwayTeam]:[AwayTeam]], Y$1, Table1[[ActualResult]:[ActualResult]], "REG"),0), "-", TEXT(SUMIFS(Table1[[HomeWon]:[HomeWon]], Table1[[GameIsOver]:[GameIsOver]],1,Table1[[AwayTeam]:[AwayTeam]],$A33, Table1[[HomeTeam]:[HomeTeam]], Y$1, Table1[[ActualResult]:[ActualResult]], "OT") + SUMIFS(Table1[[AwayWon]:[AwayWon]], Table1[[GameIsOver]:[GameIsOver]],1,Table1[[HomeTeam]:[HomeTeam]],$A33, Table1[[AwayTeam]:[AwayTeam]], Y$1, Table1[[ActualResult]:[ActualResult]], "OT") + SUMIFS(Table1[[HomeWon]:[HomeWon]], Table1[[GameIsOver]:[GameIsOver]],1,Table1[[AwayTeam]:[AwayTeam]],$A33, Table1[[HomeTeam]:[HomeTeam]], Y$1, Table1[[ActualResult]:[ActualResult]], "SO") + SUMIFS(Table1[[AwayWon]:[AwayWon]], Table1[[GameIsOver]:[GameIsOver]],1,Table1[[HomeTeam]:[HomeTeam]],$A33, Table1[[AwayTeam]:[AwayTeam]], Y$1, Table1[[ActualResult]:[ActualResult]], "SO"),0))</f>
        <v>0-0-0</v>
      </c>
      <c r="Z33" s="43" t="str">
        <f>_xlfn.CONCAT(TEXT(SUMIFS(Table1[[AwayWon]:[AwayWon]], Table1[[GameIsOver]:[GameIsOver]],1,Table1[[AwayTeam]:[AwayTeam]],$A33, Table1[[HomeTeam]:[HomeTeam]], Z$1) + SUMIFS(Table1[[HomeWon]:[HomeWon]], Table1[[GameIsOver]:[GameIsOver]],1,Table1[[HomeTeam]:[HomeTeam]],$A33, Table1[[AwayTeam]:[AwayTeam]], Z$1),0), "-", TEXT(SUMIFS(Table1[[HomeWon]:[HomeWon]], Table1[[GameIsOver]:[GameIsOver]],1,Table1[[AwayTeam]:[AwayTeam]],$A33, Table1[[HomeTeam]:[HomeTeam]], Z$1, Table1[[ActualResult]:[ActualResult]], "REG") + SUMIFS(Table1[[AwayWon]:[AwayWon]], Table1[[GameIsOver]:[GameIsOver]],1,Table1[[HomeTeam]:[HomeTeam]],$A33, Table1[[AwayTeam]:[AwayTeam]], Z$1, Table1[[ActualResult]:[ActualResult]], "REG"),0), "-", TEXT(SUMIFS(Table1[[HomeWon]:[HomeWon]], Table1[[GameIsOver]:[GameIsOver]],1,Table1[[AwayTeam]:[AwayTeam]],$A33, Table1[[HomeTeam]:[HomeTeam]], Z$1, Table1[[ActualResult]:[ActualResult]], "OT") + SUMIFS(Table1[[AwayWon]:[AwayWon]], Table1[[GameIsOver]:[GameIsOver]],1,Table1[[HomeTeam]:[HomeTeam]],$A33, Table1[[AwayTeam]:[AwayTeam]], Z$1, Table1[[ActualResult]:[ActualResult]], "OT") + SUMIFS(Table1[[HomeWon]:[HomeWon]], Table1[[GameIsOver]:[GameIsOver]],1,Table1[[AwayTeam]:[AwayTeam]],$A33, Table1[[HomeTeam]:[HomeTeam]], Z$1, Table1[[ActualResult]:[ActualResult]], "SO") + SUMIFS(Table1[[AwayWon]:[AwayWon]], Table1[[GameIsOver]:[GameIsOver]],1,Table1[[HomeTeam]:[HomeTeam]],$A33, Table1[[AwayTeam]:[AwayTeam]], Z$1, Table1[[ActualResult]:[ActualResult]], "SO"),0))</f>
        <v>0-0-0</v>
      </c>
      <c r="AA33" s="43" t="str">
        <f>_xlfn.CONCAT(TEXT(SUMIFS(Table1[[AwayWon]:[AwayWon]], Table1[[GameIsOver]:[GameIsOver]],1,Table1[[AwayTeam]:[AwayTeam]],$A33, Table1[[HomeTeam]:[HomeTeam]], AA$1) + SUMIFS(Table1[[HomeWon]:[HomeWon]], Table1[[GameIsOver]:[GameIsOver]],1,Table1[[HomeTeam]:[HomeTeam]],$A33, Table1[[AwayTeam]:[AwayTeam]], AA$1),0), "-", TEXT(SUMIFS(Table1[[HomeWon]:[HomeWon]], Table1[[GameIsOver]:[GameIsOver]],1,Table1[[AwayTeam]:[AwayTeam]],$A33, Table1[[HomeTeam]:[HomeTeam]], AA$1, Table1[[ActualResult]:[ActualResult]], "REG") + SUMIFS(Table1[[AwayWon]:[AwayWon]], Table1[[GameIsOver]:[GameIsOver]],1,Table1[[HomeTeam]:[HomeTeam]],$A33, Table1[[AwayTeam]:[AwayTeam]], AA$1, Table1[[ActualResult]:[ActualResult]], "REG"),0), "-", TEXT(SUMIFS(Table1[[HomeWon]:[HomeWon]], Table1[[GameIsOver]:[GameIsOver]],1,Table1[[AwayTeam]:[AwayTeam]],$A33, Table1[[HomeTeam]:[HomeTeam]], AA$1, Table1[[ActualResult]:[ActualResult]], "OT") + SUMIFS(Table1[[AwayWon]:[AwayWon]], Table1[[GameIsOver]:[GameIsOver]],1,Table1[[HomeTeam]:[HomeTeam]],$A33, Table1[[AwayTeam]:[AwayTeam]], AA$1, Table1[[ActualResult]:[ActualResult]], "OT") + SUMIFS(Table1[[HomeWon]:[HomeWon]], Table1[[GameIsOver]:[GameIsOver]],1,Table1[[AwayTeam]:[AwayTeam]],$A33, Table1[[HomeTeam]:[HomeTeam]], AA$1, Table1[[ActualResult]:[ActualResult]], "SO") + SUMIFS(Table1[[AwayWon]:[AwayWon]], Table1[[GameIsOver]:[GameIsOver]],1,Table1[[HomeTeam]:[HomeTeam]],$A33, Table1[[AwayTeam]:[AwayTeam]], AA$1, Table1[[ActualResult]:[ActualResult]], "SO"),0))</f>
        <v>0-0-0</v>
      </c>
      <c r="AB33" s="43" t="str">
        <f>_xlfn.CONCAT(TEXT(SUMIFS(Table1[[AwayWon]:[AwayWon]], Table1[[GameIsOver]:[GameIsOver]],1,Table1[[AwayTeam]:[AwayTeam]],$A33, Table1[[HomeTeam]:[HomeTeam]], AB$1) + SUMIFS(Table1[[HomeWon]:[HomeWon]], Table1[[GameIsOver]:[GameIsOver]],1,Table1[[HomeTeam]:[HomeTeam]],$A33, Table1[[AwayTeam]:[AwayTeam]], AB$1),0), "-", TEXT(SUMIFS(Table1[[HomeWon]:[HomeWon]], Table1[[GameIsOver]:[GameIsOver]],1,Table1[[AwayTeam]:[AwayTeam]],$A33, Table1[[HomeTeam]:[HomeTeam]], AB$1, Table1[[ActualResult]:[ActualResult]], "REG") + SUMIFS(Table1[[AwayWon]:[AwayWon]], Table1[[GameIsOver]:[GameIsOver]],1,Table1[[HomeTeam]:[HomeTeam]],$A33, Table1[[AwayTeam]:[AwayTeam]], AB$1, Table1[[ActualResult]:[ActualResult]], "REG"),0), "-", TEXT(SUMIFS(Table1[[HomeWon]:[HomeWon]], Table1[[GameIsOver]:[GameIsOver]],1,Table1[[AwayTeam]:[AwayTeam]],$A33, Table1[[HomeTeam]:[HomeTeam]], AB$1, Table1[[ActualResult]:[ActualResult]], "OT") + SUMIFS(Table1[[AwayWon]:[AwayWon]], Table1[[GameIsOver]:[GameIsOver]],1,Table1[[HomeTeam]:[HomeTeam]],$A33, Table1[[AwayTeam]:[AwayTeam]], AB$1, Table1[[ActualResult]:[ActualResult]], "OT") + SUMIFS(Table1[[HomeWon]:[HomeWon]], Table1[[GameIsOver]:[GameIsOver]],1,Table1[[AwayTeam]:[AwayTeam]],$A33, Table1[[HomeTeam]:[HomeTeam]], AB$1, Table1[[ActualResult]:[ActualResult]], "SO") + SUMIFS(Table1[[AwayWon]:[AwayWon]], Table1[[GameIsOver]:[GameIsOver]],1,Table1[[HomeTeam]:[HomeTeam]],$A33, Table1[[AwayTeam]:[AwayTeam]], AB$1, Table1[[ActualResult]:[ActualResult]], "SO"),0))</f>
        <v>0-0-0</v>
      </c>
      <c r="AC33" s="43" t="str">
        <f>_xlfn.CONCAT(TEXT(SUMIFS(Table1[[AwayWon]:[AwayWon]], Table1[[GameIsOver]:[GameIsOver]],1,Table1[[AwayTeam]:[AwayTeam]],$A33, Table1[[HomeTeam]:[HomeTeam]], AC$1) + SUMIFS(Table1[[HomeWon]:[HomeWon]], Table1[[GameIsOver]:[GameIsOver]],1,Table1[[HomeTeam]:[HomeTeam]],$A33, Table1[[AwayTeam]:[AwayTeam]], AC$1),0), "-", TEXT(SUMIFS(Table1[[HomeWon]:[HomeWon]], Table1[[GameIsOver]:[GameIsOver]],1,Table1[[AwayTeam]:[AwayTeam]],$A33, Table1[[HomeTeam]:[HomeTeam]], AC$1, Table1[[ActualResult]:[ActualResult]], "REG") + SUMIFS(Table1[[AwayWon]:[AwayWon]], Table1[[GameIsOver]:[GameIsOver]],1,Table1[[HomeTeam]:[HomeTeam]],$A33, Table1[[AwayTeam]:[AwayTeam]], AC$1, Table1[[ActualResult]:[ActualResult]], "REG"),0), "-", TEXT(SUMIFS(Table1[[HomeWon]:[HomeWon]], Table1[[GameIsOver]:[GameIsOver]],1,Table1[[AwayTeam]:[AwayTeam]],$A33, Table1[[HomeTeam]:[HomeTeam]], AC$1, Table1[[ActualResult]:[ActualResult]], "OT") + SUMIFS(Table1[[AwayWon]:[AwayWon]], Table1[[GameIsOver]:[GameIsOver]],1,Table1[[HomeTeam]:[HomeTeam]],$A33, Table1[[AwayTeam]:[AwayTeam]], AC$1, Table1[[ActualResult]:[ActualResult]], "OT") + SUMIFS(Table1[[HomeWon]:[HomeWon]], Table1[[GameIsOver]:[GameIsOver]],1,Table1[[AwayTeam]:[AwayTeam]],$A33, Table1[[HomeTeam]:[HomeTeam]], AC$1, Table1[[ActualResult]:[ActualResult]], "SO") + SUMIFS(Table1[[AwayWon]:[AwayWon]], Table1[[GameIsOver]:[GameIsOver]],1,Table1[[HomeTeam]:[HomeTeam]],$A33, Table1[[AwayTeam]:[AwayTeam]], AC$1, Table1[[ActualResult]:[ActualResult]], "SO"),0))</f>
        <v>0-0-0</v>
      </c>
      <c r="AD33" s="43" t="str">
        <f>_xlfn.CONCAT(TEXT(SUMIFS(Table1[[AwayWon]:[AwayWon]], Table1[[GameIsOver]:[GameIsOver]],1,Table1[[AwayTeam]:[AwayTeam]],$A33, Table1[[HomeTeam]:[HomeTeam]], AD$1) + SUMIFS(Table1[[HomeWon]:[HomeWon]], Table1[[GameIsOver]:[GameIsOver]],1,Table1[[HomeTeam]:[HomeTeam]],$A33, Table1[[AwayTeam]:[AwayTeam]], AD$1),0), "-", TEXT(SUMIFS(Table1[[HomeWon]:[HomeWon]], Table1[[GameIsOver]:[GameIsOver]],1,Table1[[AwayTeam]:[AwayTeam]],$A33, Table1[[HomeTeam]:[HomeTeam]], AD$1, Table1[[ActualResult]:[ActualResult]], "REG") + SUMIFS(Table1[[AwayWon]:[AwayWon]], Table1[[GameIsOver]:[GameIsOver]],1,Table1[[HomeTeam]:[HomeTeam]],$A33, Table1[[AwayTeam]:[AwayTeam]], AD$1, Table1[[ActualResult]:[ActualResult]], "REG"),0), "-", TEXT(SUMIFS(Table1[[HomeWon]:[HomeWon]], Table1[[GameIsOver]:[GameIsOver]],1,Table1[[AwayTeam]:[AwayTeam]],$A33, Table1[[HomeTeam]:[HomeTeam]], AD$1, Table1[[ActualResult]:[ActualResult]], "OT") + SUMIFS(Table1[[AwayWon]:[AwayWon]], Table1[[GameIsOver]:[GameIsOver]],1,Table1[[HomeTeam]:[HomeTeam]],$A33, Table1[[AwayTeam]:[AwayTeam]], AD$1, Table1[[ActualResult]:[ActualResult]], "OT") + SUMIFS(Table1[[HomeWon]:[HomeWon]], Table1[[GameIsOver]:[GameIsOver]],1,Table1[[AwayTeam]:[AwayTeam]],$A33, Table1[[HomeTeam]:[HomeTeam]], AD$1, Table1[[ActualResult]:[ActualResult]], "SO") + SUMIFS(Table1[[AwayWon]:[AwayWon]], Table1[[GameIsOver]:[GameIsOver]],1,Table1[[HomeTeam]:[HomeTeam]],$A33, Table1[[AwayTeam]:[AwayTeam]], AD$1, Table1[[ActualResult]:[ActualResult]], "SO"),0))</f>
        <v>0-1-0</v>
      </c>
      <c r="AE33" s="43" t="str">
        <f>_xlfn.CONCAT(TEXT(SUMIFS(Table1[[AwayWon]:[AwayWon]], Table1[[GameIsOver]:[GameIsOver]],1,Table1[[AwayTeam]:[AwayTeam]],$A33, Table1[[HomeTeam]:[HomeTeam]], AE$1) + SUMIFS(Table1[[HomeWon]:[HomeWon]], Table1[[GameIsOver]:[GameIsOver]],1,Table1[[HomeTeam]:[HomeTeam]],$A33, Table1[[AwayTeam]:[AwayTeam]], AE$1),0), "-", TEXT(SUMIFS(Table1[[HomeWon]:[HomeWon]], Table1[[GameIsOver]:[GameIsOver]],1,Table1[[AwayTeam]:[AwayTeam]],$A33, Table1[[HomeTeam]:[HomeTeam]], AE$1, Table1[[ActualResult]:[ActualResult]], "REG") + SUMIFS(Table1[[AwayWon]:[AwayWon]], Table1[[GameIsOver]:[GameIsOver]],1,Table1[[HomeTeam]:[HomeTeam]],$A33, Table1[[AwayTeam]:[AwayTeam]], AE$1, Table1[[ActualResult]:[ActualResult]], "REG"),0), "-", TEXT(SUMIFS(Table1[[HomeWon]:[HomeWon]], Table1[[GameIsOver]:[GameIsOver]],1,Table1[[AwayTeam]:[AwayTeam]],$A33, Table1[[HomeTeam]:[HomeTeam]], AE$1, Table1[[ActualResult]:[ActualResult]], "OT") + SUMIFS(Table1[[AwayWon]:[AwayWon]], Table1[[GameIsOver]:[GameIsOver]],1,Table1[[HomeTeam]:[HomeTeam]],$A33, Table1[[AwayTeam]:[AwayTeam]], AE$1, Table1[[ActualResult]:[ActualResult]], "OT") + SUMIFS(Table1[[HomeWon]:[HomeWon]], Table1[[GameIsOver]:[GameIsOver]],1,Table1[[AwayTeam]:[AwayTeam]],$A33, Table1[[HomeTeam]:[HomeTeam]], AE$1, Table1[[ActualResult]:[ActualResult]], "SO") + SUMIFS(Table1[[AwayWon]:[AwayWon]], Table1[[GameIsOver]:[GameIsOver]],1,Table1[[HomeTeam]:[HomeTeam]],$A33, Table1[[AwayTeam]:[AwayTeam]], AE$1, Table1[[ActualResult]:[ActualResult]], "SO"),0))</f>
        <v>0-0-0</v>
      </c>
      <c r="AF33" s="43" t="str">
        <f>_xlfn.CONCAT(TEXT(SUMIFS(Table1[[AwayWon]:[AwayWon]], Table1[[GameIsOver]:[GameIsOver]],1,Table1[[AwayTeam]:[AwayTeam]],$A33, Table1[[HomeTeam]:[HomeTeam]], AF$1) + SUMIFS(Table1[[HomeWon]:[HomeWon]], Table1[[GameIsOver]:[GameIsOver]],1,Table1[[HomeTeam]:[HomeTeam]],$A33, Table1[[AwayTeam]:[AwayTeam]], AF$1),0), "-", TEXT(SUMIFS(Table1[[HomeWon]:[HomeWon]], Table1[[GameIsOver]:[GameIsOver]],1,Table1[[AwayTeam]:[AwayTeam]],$A33, Table1[[HomeTeam]:[HomeTeam]], AF$1, Table1[[ActualResult]:[ActualResult]], "REG") + SUMIFS(Table1[[AwayWon]:[AwayWon]], Table1[[GameIsOver]:[GameIsOver]],1,Table1[[HomeTeam]:[HomeTeam]],$A33, Table1[[AwayTeam]:[AwayTeam]], AF$1, Table1[[ActualResult]:[ActualResult]], "REG"),0), "-", TEXT(SUMIFS(Table1[[HomeWon]:[HomeWon]], Table1[[GameIsOver]:[GameIsOver]],1,Table1[[AwayTeam]:[AwayTeam]],$A33, Table1[[HomeTeam]:[HomeTeam]], AF$1, Table1[[ActualResult]:[ActualResult]], "OT") + SUMIFS(Table1[[AwayWon]:[AwayWon]], Table1[[GameIsOver]:[GameIsOver]],1,Table1[[HomeTeam]:[HomeTeam]],$A33, Table1[[AwayTeam]:[AwayTeam]], AF$1, Table1[[ActualResult]:[ActualResult]], "OT") + SUMIFS(Table1[[HomeWon]:[HomeWon]], Table1[[GameIsOver]:[GameIsOver]],1,Table1[[AwayTeam]:[AwayTeam]],$A33, Table1[[HomeTeam]:[HomeTeam]], AF$1, Table1[[ActualResult]:[ActualResult]], "SO") + SUMIFS(Table1[[AwayWon]:[AwayWon]], Table1[[GameIsOver]:[GameIsOver]],1,Table1[[HomeTeam]:[HomeTeam]],$A33, Table1[[AwayTeam]:[AwayTeam]], AF$1, Table1[[ActualResult]:[ActualResult]], "SO"),0))</f>
        <v>0-0-0</v>
      </c>
      <c r="AG33" s="43" t="str">
        <f>_xlfn.CONCAT(TEXT(SUMIFS(Table1[[AwayWon]:[AwayWon]], Table1[[GameIsOver]:[GameIsOver]],1,Table1[[AwayTeam]:[AwayTeam]],$A33, Table1[[HomeTeam]:[HomeTeam]], AG$1) + SUMIFS(Table1[[HomeWon]:[HomeWon]], Table1[[GameIsOver]:[GameIsOver]],1,Table1[[HomeTeam]:[HomeTeam]],$A33, Table1[[AwayTeam]:[AwayTeam]], AG$1),0), "-", TEXT(SUMIFS(Table1[[HomeWon]:[HomeWon]], Table1[[GameIsOver]:[GameIsOver]],1,Table1[[AwayTeam]:[AwayTeam]],$A33, Table1[[HomeTeam]:[HomeTeam]], AG$1, Table1[[ActualResult]:[ActualResult]], "REG") + SUMIFS(Table1[[AwayWon]:[AwayWon]], Table1[[GameIsOver]:[GameIsOver]],1,Table1[[HomeTeam]:[HomeTeam]],$A33, Table1[[AwayTeam]:[AwayTeam]], AG$1, Table1[[ActualResult]:[ActualResult]], "REG"),0), "-", TEXT(SUMIFS(Table1[[HomeWon]:[HomeWon]], Table1[[GameIsOver]:[GameIsOver]],1,Table1[[AwayTeam]:[AwayTeam]],$A33, Table1[[HomeTeam]:[HomeTeam]], AG$1, Table1[[ActualResult]:[ActualResult]], "OT") + SUMIFS(Table1[[AwayWon]:[AwayWon]], Table1[[GameIsOver]:[GameIsOver]],1,Table1[[HomeTeam]:[HomeTeam]],$A33, Table1[[AwayTeam]:[AwayTeam]], AG$1, Table1[[ActualResult]:[ActualResult]], "OT") + SUMIFS(Table1[[HomeWon]:[HomeWon]], Table1[[GameIsOver]:[GameIsOver]],1,Table1[[AwayTeam]:[AwayTeam]],$A33, Table1[[HomeTeam]:[HomeTeam]], AG$1, Table1[[ActualResult]:[ActualResult]], "SO") + SUMIFS(Table1[[AwayWon]:[AwayWon]], Table1[[GameIsOver]:[GameIsOver]],1,Table1[[HomeTeam]:[HomeTeam]],$A33, Table1[[AwayTeam]:[AwayTeam]], AG$1, Table1[[ActualResult]:[ActualResult]], "SO"),0))</f>
        <v>0-0-0</v>
      </c>
    </row>
    <row r="36" spans="1:39" ht="15.75" thickBot="1" x14ac:dyDescent="0.3">
      <c r="A36" s="18"/>
      <c r="B36" s="31" t="s">
        <v>36</v>
      </c>
      <c r="C36" s="31" t="s">
        <v>39</v>
      </c>
      <c r="D36" s="31" t="s">
        <v>45</v>
      </c>
      <c r="E36" s="31" t="s">
        <v>46</v>
      </c>
      <c r="F36" s="31" t="s">
        <v>56</v>
      </c>
      <c r="G36" s="31" t="s">
        <v>55</v>
      </c>
      <c r="H36" s="31" t="s">
        <v>23</v>
      </c>
      <c r="I36" s="32" t="s">
        <v>25</v>
      </c>
      <c r="J36" s="31" t="s">
        <v>16</v>
      </c>
      <c r="K36" s="31" t="s">
        <v>41</v>
      </c>
      <c r="L36" s="31" t="s">
        <v>43</v>
      </c>
      <c r="M36" s="31" t="s">
        <v>22</v>
      </c>
      <c r="N36" s="31" t="s">
        <v>48</v>
      </c>
      <c r="O36" s="31" t="s">
        <v>61</v>
      </c>
      <c r="P36" s="31" t="s">
        <v>58</v>
      </c>
      <c r="Q36" s="33" t="s">
        <v>60</v>
      </c>
      <c r="R36" s="31" t="s">
        <v>40</v>
      </c>
      <c r="S36" s="31" t="s">
        <v>42</v>
      </c>
      <c r="T36" s="31" t="s">
        <v>49</v>
      </c>
      <c r="U36" s="31" t="s">
        <v>50</v>
      </c>
      <c r="V36" s="31" t="s">
        <v>51</v>
      </c>
      <c r="W36" s="31" t="s">
        <v>53</v>
      </c>
      <c r="X36" s="31" t="s">
        <v>54</v>
      </c>
      <c r="Y36" s="32" t="s">
        <v>59</v>
      </c>
      <c r="Z36" s="31" t="s">
        <v>37</v>
      </c>
      <c r="AA36" s="31" t="s">
        <v>38</v>
      </c>
      <c r="AB36" s="31" t="s">
        <v>44</v>
      </c>
      <c r="AC36" s="31" t="s">
        <v>17</v>
      </c>
      <c r="AD36" s="31" t="s">
        <v>47</v>
      </c>
      <c r="AE36" s="31" t="s">
        <v>52</v>
      </c>
      <c r="AF36" s="31" t="s">
        <v>57</v>
      </c>
      <c r="AG36" s="32" t="s">
        <v>24</v>
      </c>
      <c r="AH36" s="35" t="s">
        <v>91</v>
      </c>
      <c r="AI36" s="35" t="s">
        <v>92</v>
      </c>
      <c r="AJ36" s="32" t="s">
        <v>93</v>
      </c>
      <c r="AK36" s="32" t="s">
        <v>94</v>
      </c>
      <c r="AL36" s="32" t="s">
        <v>95</v>
      </c>
      <c r="AM36" s="32" t="s">
        <v>96</v>
      </c>
    </row>
    <row r="37" spans="1:39" ht="15.75" thickTop="1" x14ac:dyDescent="0.25">
      <c r="A37" s="17" t="s">
        <v>36</v>
      </c>
      <c r="B37" s="36" t="str">
        <f>IFERROR(((2 * (SUMIFS(Table1[[AwayWon]:[AwayWon]], Table1[[GameIsOver]:[GameIsOver]], 1, Table1[[AwayTeam]:[AwayTeam]], $A37, Table1[[HomeTeam]:[HomeTeam]], B$36) + SUMIFS(Table1[[HomeWon]:[HomeWon]], Table1[[GameIsOver]:[GameIsOver]], 1, Table1[[HomeTeam]:[HomeTeam]], $A37, Table1[[AwayTeam]:[AwayTeam]], B$36))) + (SUMIFS(Table1[[HomeWon]:[HomeWon]], Table1[[GameIsOver]:[GameIsOver]], 1, Table1[[AwayTeam]:[AwayTeam]], $A37, Table1[[HomeTeam]:[HomeTeam]],  B$36, Table1[[ActualResult]:[ActualResult]], "OT") + SUMIFS(Table1[[AwayWon]:[AwayWon]], Table1[[GameIsOver]:[GameIsOver]], 1, Table1[[HomeTeam]:[HomeTeam]], $A37, Table1[[AwayTeam]:[AwayTeam]], B$36, Table1[[ActualResult]:[ActualResult]], "OT") + SUMIFS(Table1[[HomeWon]:[HomeWon]], Table1[[GameIsOver]:[GameIsOver]], 1, Table1[[AwayTeam]:[AwayTeam]], $A37, Table1[[HomeTeam]:[HomeTeam]], B$36, Table1[[ActualResult]:[ActualResult]], "SO") + SUMIFS(Table1[[AwayWon]:[AwayWon]], Table1[[GameIsOver]:[GameIsOver]], 1, Table1[[HomeTeam]:[HomeTeam]], $A37, Table1[[AwayTeam]:[AwayTeam]], B$36, Table1[[ActualResult]:[ActualResult]], "SO")))/ (2*((COUNTIFS(Table1[[GameIsOver]:[GameIsOver]],1,Table1[[AwayTeam]:[AwayTeam]],$A37, Table1[[HomeTeam]:[HomeTeam]], B$36)))+( COUNTIFS(Table1[[GameIsOver]:[GameIsOver]],1,Table1[[AwayTeam]:[AwayTeam]],B$36, Table1[[HomeTeam]:[HomeTeam]],$A37))), "")</f>
        <v/>
      </c>
      <c r="C37" s="36" t="str">
        <f>IFERROR(((2 * (SUMIFS(Table1[[AwayWon]:[AwayWon]], Table1[[GameIsOver]:[GameIsOver]], 1, Table1[[AwayTeam]:[AwayTeam]], $A37, Table1[[HomeTeam]:[HomeTeam]], C$36) + SUMIFS(Table1[[HomeWon]:[HomeWon]], Table1[[GameIsOver]:[GameIsOver]], 1, Table1[[HomeTeam]:[HomeTeam]], $A37, Table1[[AwayTeam]:[AwayTeam]], C$36))) + (SUMIFS(Table1[[HomeWon]:[HomeWon]], Table1[[GameIsOver]:[GameIsOver]], 1, Table1[[AwayTeam]:[AwayTeam]], $A37, Table1[[HomeTeam]:[HomeTeam]],  C$36, Table1[[ActualResult]:[ActualResult]], "OT") + SUMIFS(Table1[[AwayWon]:[AwayWon]], Table1[[GameIsOver]:[GameIsOver]], 1, Table1[[HomeTeam]:[HomeTeam]], $A37, Table1[[AwayTeam]:[AwayTeam]], C$36, Table1[[ActualResult]:[ActualResult]], "OT") + SUMIFS(Table1[[HomeWon]:[HomeWon]], Table1[[GameIsOver]:[GameIsOver]], 1, Table1[[AwayTeam]:[AwayTeam]], $A37, Table1[[HomeTeam]:[HomeTeam]], C$36, Table1[[ActualResult]:[ActualResult]], "SO") + SUMIFS(Table1[[AwayWon]:[AwayWon]], Table1[[GameIsOver]:[GameIsOver]], 1, Table1[[HomeTeam]:[HomeTeam]], $A37, Table1[[AwayTeam]:[AwayTeam]], C$36, Table1[[ActualResult]:[ActualResult]], "SO")))/ (2*((COUNTIFS(Table1[[GameIsOver]:[GameIsOver]],1,Table1[[AwayTeam]:[AwayTeam]],$A37, Table1[[HomeTeam]:[HomeTeam]], C$36)))+( COUNTIFS(Table1[[GameIsOver]:[GameIsOver]],1,Table1[[AwayTeam]:[AwayTeam]],C$36, Table1[[HomeTeam]:[HomeTeam]],$A37))), "")</f>
        <v/>
      </c>
      <c r="D37" s="36" t="str">
        <f>IFERROR(((2 * (SUMIFS(Table1[[AwayWon]:[AwayWon]], Table1[[GameIsOver]:[GameIsOver]], 1, Table1[[AwayTeam]:[AwayTeam]], $A37, Table1[[HomeTeam]:[HomeTeam]], D$36) + SUMIFS(Table1[[HomeWon]:[HomeWon]], Table1[[GameIsOver]:[GameIsOver]], 1, Table1[[HomeTeam]:[HomeTeam]], $A37, Table1[[AwayTeam]:[AwayTeam]], D$36))) + (SUMIFS(Table1[[HomeWon]:[HomeWon]], Table1[[GameIsOver]:[GameIsOver]], 1, Table1[[AwayTeam]:[AwayTeam]], $A37, Table1[[HomeTeam]:[HomeTeam]],  D$36, Table1[[ActualResult]:[ActualResult]], "OT") + SUMIFS(Table1[[AwayWon]:[AwayWon]], Table1[[GameIsOver]:[GameIsOver]], 1, Table1[[HomeTeam]:[HomeTeam]], $A37, Table1[[AwayTeam]:[AwayTeam]], D$36, Table1[[ActualResult]:[ActualResult]], "OT") + SUMIFS(Table1[[HomeWon]:[HomeWon]], Table1[[GameIsOver]:[GameIsOver]], 1, Table1[[AwayTeam]:[AwayTeam]], $A37, Table1[[HomeTeam]:[HomeTeam]], D$36, Table1[[ActualResult]:[ActualResult]], "SO") + SUMIFS(Table1[[AwayWon]:[AwayWon]], Table1[[GameIsOver]:[GameIsOver]], 1, Table1[[HomeTeam]:[HomeTeam]], $A37, Table1[[AwayTeam]:[AwayTeam]], D$36, Table1[[ActualResult]:[ActualResult]], "SO")))/ (2*((COUNTIFS(Table1[[GameIsOver]:[GameIsOver]],1,Table1[[AwayTeam]:[AwayTeam]],$A37, Table1[[HomeTeam]:[HomeTeam]], D$36)))+( COUNTIFS(Table1[[GameIsOver]:[GameIsOver]],1,Table1[[AwayTeam]:[AwayTeam]],D$36, Table1[[HomeTeam]:[HomeTeam]],$A37))), "")</f>
        <v/>
      </c>
      <c r="E37" s="36" t="str">
        <f>IFERROR(((2 * (SUMIFS(Table1[[AwayWon]:[AwayWon]], Table1[[GameIsOver]:[GameIsOver]], 1, Table1[[AwayTeam]:[AwayTeam]], $A37, Table1[[HomeTeam]:[HomeTeam]], E$36) + SUMIFS(Table1[[HomeWon]:[HomeWon]], Table1[[GameIsOver]:[GameIsOver]], 1, Table1[[HomeTeam]:[HomeTeam]], $A37, Table1[[AwayTeam]:[AwayTeam]], E$36))) + (SUMIFS(Table1[[HomeWon]:[HomeWon]], Table1[[GameIsOver]:[GameIsOver]], 1, Table1[[AwayTeam]:[AwayTeam]], $A37, Table1[[HomeTeam]:[HomeTeam]],  E$36, Table1[[ActualResult]:[ActualResult]], "OT") + SUMIFS(Table1[[AwayWon]:[AwayWon]], Table1[[GameIsOver]:[GameIsOver]], 1, Table1[[HomeTeam]:[HomeTeam]], $A37, Table1[[AwayTeam]:[AwayTeam]], E$36, Table1[[ActualResult]:[ActualResult]], "OT") + SUMIFS(Table1[[HomeWon]:[HomeWon]], Table1[[GameIsOver]:[GameIsOver]], 1, Table1[[AwayTeam]:[AwayTeam]], $A37, Table1[[HomeTeam]:[HomeTeam]], E$36, Table1[[ActualResult]:[ActualResult]], "SO") + SUMIFS(Table1[[AwayWon]:[AwayWon]], Table1[[GameIsOver]:[GameIsOver]], 1, Table1[[HomeTeam]:[HomeTeam]], $A37, Table1[[AwayTeam]:[AwayTeam]], E$36, Table1[[ActualResult]:[ActualResult]], "SO")))/ (2*((COUNTIFS(Table1[[GameIsOver]:[GameIsOver]],1,Table1[[AwayTeam]:[AwayTeam]],$A37, Table1[[HomeTeam]:[HomeTeam]], E$36)))+( COUNTIFS(Table1[[GameIsOver]:[GameIsOver]],1,Table1[[AwayTeam]:[AwayTeam]],E$36, Table1[[HomeTeam]:[HomeTeam]],$A37))), "")</f>
        <v/>
      </c>
      <c r="F37" s="36" t="str">
        <f>IFERROR(((2 * (SUMIFS(Table1[[AwayWon]:[AwayWon]], Table1[[GameIsOver]:[GameIsOver]], 1, Table1[[AwayTeam]:[AwayTeam]], $A37, Table1[[HomeTeam]:[HomeTeam]], F$36) + SUMIFS(Table1[[HomeWon]:[HomeWon]], Table1[[GameIsOver]:[GameIsOver]], 1, Table1[[HomeTeam]:[HomeTeam]], $A37, Table1[[AwayTeam]:[AwayTeam]], F$36))) + (SUMIFS(Table1[[HomeWon]:[HomeWon]], Table1[[GameIsOver]:[GameIsOver]], 1, Table1[[AwayTeam]:[AwayTeam]], $A37, Table1[[HomeTeam]:[HomeTeam]],  F$36, Table1[[ActualResult]:[ActualResult]], "OT") + SUMIFS(Table1[[AwayWon]:[AwayWon]], Table1[[GameIsOver]:[GameIsOver]], 1, Table1[[HomeTeam]:[HomeTeam]], $A37, Table1[[AwayTeam]:[AwayTeam]], F$36, Table1[[ActualResult]:[ActualResult]], "OT") + SUMIFS(Table1[[HomeWon]:[HomeWon]], Table1[[GameIsOver]:[GameIsOver]], 1, Table1[[AwayTeam]:[AwayTeam]], $A37, Table1[[HomeTeam]:[HomeTeam]], F$36, Table1[[ActualResult]:[ActualResult]], "SO") + SUMIFS(Table1[[AwayWon]:[AwayWon]], Table1[[GameIsOver]:[GameIsOver]], 1, Table1[[HomeTeam]:[HomeTeam]], $A37, Table1[[AwayTeam]:[AwayTeam]], F$36, Table1[[ActualResult]:[ActualResult]], "SO")))/ (2*((COUNTIFS(Table1[[GameIsOver]:[GameIsOver]],1,Table1[[AwayTeam]:[AwayTeam]],$A37, Table1[[HomeTeam]:[HomeTeam]], F$36)))+( COUNTIFS(Table1[[GameIsOver]:[GameIsOver]],1,Table1[[AwayTeam]:[AwayTeam]],F$36, Table1[[HomeTeam]:[HomeTeam]],$A37))), "")</f>
        <v/>
      </c>
      <c r="G37" s="36" t="str">
        <f>IFERROR(((2 * (SUMIFS(Table1[[AwayWon]:[AwayWon]], Table1[[GameIsOver]:[GameIsOver]], 1, Table1[[AwayTeam]:[AwayTeam]], $A37, Table1[[HomeTeam]:[HomeTeam]], G$36) + SUMIFS(Table1[[HomeWon]:[HomeWon]], Table1[[GameIsOver]:[GameIsOver]], 1, Table1[[HomeTeam]:[HomeTeam]], $A37, Table1[[AwayTeam]:[AwayTeam]], G$36))) + (SUMIFS(Table1[[HomeWon]:[HomeWon]], Table1[[GameIsOver]:[GameIsOver]], 1, Table1[[AwayTeam]:[AwayTeam]], $A37, Table1[[HomeTeam]:[HomeTeam]],  G$36, Table1[[ActualResult]:[ActualResult]], "OT") + SUMIFS(Table1[[AwayWon]:[AwayWon]], Table1[[GameIsOver]:[GameIsOver]], 1, Table1[[HomeTeam]:[HomeTeam]], $A37, Table1[[AwayTeam]:[AwayTeam]], G$36, Table1[[ActualResult]:[ActualResult]], "OT") + SUMIFS(Table1[[HomeWon]:[HomeWon]], Table1[[GameIsOver]:[GameIsOver]], 1, Table1[[AwayTeam]:[AwayTeam]], $A37, Table1[[HomeTeam]:[HomeTeam]], G$36, Table1[[ActualResult]:[ActualResult]], "SO") + SUMIFS(Table1[[AwayWon]:[AwayWon]], Table1[[GameIsOver]:[GameIsOver]], 1, Table1[[HomeTeam]:[HomeTeam]], $A37, Table1[[AwayTeam]:[AwayTeam]], G$36, Table1[[ActualResult]:[ActualResult]], "SO")))/ (2*((COUNTIFS(Table1[[GameIsOver]:[GameIsOver]],1,Table1[[AwayTeam]:[AwayTeam]],$A37, Table1[[HomeTeam]:[HomeTeam]], G$36)))+( COUNTIFS(Table1[[GameIsOver]:[GameIsOver]],1,Table1[[AwayTeam]:[AwayTeam]],G$36, Table1[[HomeTeam]:[HomeTeam]],$A37))), "")</f>
        <v/>
      </c>
      <c r="H37" s="36" t="str">
        <f>IFERROR(((2 * (SUMIFS(Table1[[AwayWon]:[AwayWon]], Table1[[GameIsOver]:[GameIsOver]], 1, Table1[[AwayTeam]:[AwayTeam]], $A37, Table1[[HomeTeam]:[HomeTeam]], H$36) + SUMIFS(Table1[[HomeWon]:[HomeWon]], Table1[[GameIsOver]:[GameIsOver]], 1, Table1[[HomeTeam]:[HomeTeam]], $A37, Table1[[AwayTeam]:[AwayTeam]], H$36))) + (SUMIFS(Table1[[HomeWon]:[HomeWon]], Table1[[GameIsOver]:[GameIsOver]], 1, Table1[[AwayTeam]:[AwayTeam]], $A37, Table1[[HomeTeam]:[HomeTeam]],  H$36, Table1[[ActualResult]:[ActualResult]], "OT") + SUMIFS(Table1[[AwayWon]:[AwayWon]], Table1[[GameIsOver]:[GameIsOver]], 1, Table1[[HomeTeam]:[HomeTeam]], $A37, Table1[[AwayTeam]:[AwayTeam]], H$36, Table1[[ActualResult]:[ActualResult]], "OT") + SUMIFS(Table1[[HomeWon]:[HomeWon]], Table1[[GameIsOver]:[GameIsOver]], 1, Table1[[AwayTeam]:[AwayTeam]], $A37, Table1[[HomeTeam]:[HomeTeam]], H$36, Table1[[ActualResult]:[ActualResult]], "SO") + SUMIFS(Table1[[AwayWon]:[AwayWon]], Table1[[GameIsOver]:[GameIsOver]], 1, Table1[[HomeTeam]:[HomeTeam]], $A37, Table1[[AwayTeam]:[AwayTeam]], H$36, Table1[[ActualResult]:[ActualResult]], "SO")))/ (2*((COUNTIFS(Table1[[GameIsOver]:[GameIsOver]],1,Table1[[AwayTeam]:[AwayTeam]],$A37, Table1[[HomeTeam]:[HomeTeam]], H$36)))+( COUNTIFS(Table1[[GameIsOver]:[GameIsOver]],1,Table1[[AwayTeam]:[AwayTeam]],H$36, Table1[[HomeTeam]:[HomeTeam]],$A37))), "")</f>
        <v/>
      </c>
      <c r="I37" s="50" t="str">
        <f>IFERROR(((2 * (SUMIFS(Table1[[AwayWon]:[AwayWon]], Table1[[GameIsOver]:[GameIsOver]], 1, Table1[[AwayTeam]:[AwayTeam]], $A37, Table1[[HomeTeam]:[HomeTeam]], I$36) + SUMIFS(Table1[[HomeWon]:[HomeWon]], Table1[[GameIsOver]:[GameIsOver]], 1, Table1[[HomeTeam]:[HomeTeam]], $A37, Table1[[AwayTeam]:[AwayTeam]], I$36))) + (SUMIFS(Table1[[HomeWon]:[HomeWon]], Table1[[GameIsOver]:[GameIsOver]], 1, Table1[[AwayTeam]:[AwayTeam]], $A37, Table1[[HomeTeam]:[HomeTeam]],  I$36, Table1[[ActualResult]:[ActualResult]], "OT") + SUMIFS(Table1[[AwayWon]:[AwayWon]], Table1[[GameIsOver]:[GameIsOver]], 1, Table1[[HomeTeam]:[HomeTeam]], $A37, Table1[[AwayTeam]:[AwayTeam]], I$36, Table1[[ActualResult]:[ActualResult]], "OT") + SUMIFS(Table1[[HomeWon]:[HomeWon]], Table1[[GameIsOver]:[GameIsOver]], 1, Table1[[AwayTeam]:[AwayTeam]], $A37, Table1[[HomeTeam]:[HomeTeam]], I$36, Table1[[ActualResult]:[ActualResult]], "SO") + SUMIFS(Table1[[AwayWon]:[AwayWon]], Table1[[GameIsOver]:[GameIsOver]], 1, Table1[[HomeTeam]:[HomeTeam]], $A37, Table1[[AwayTeam]:[AwayTeam]], I$36, Table1[[ActualResult]:[ActualResult]], "SO")))/ (2*((COUNTIFS(Table1[[GameIsOver]:[GameIsOver]],1,Table1[[AwayTeam]:[AwayTeam]],$A37, Table1[[HomeTeam]:[HomeTeam]], I$36)))+( COUNTIFS(Table1[[GameIsOver]:[GameIsOver]],1,Table1[[AwayTeam]:[AwayTeam]],I$36, Table1[[HomeTeam]:[HomeTeam]],$A37))), "")</f>
        <v/>
      </c>
      <c r="J37" s="36" t="str">
        <f>IFERROR(((2 * (SUMIFS(Table1[[AwayWon]:[AwayWon]], Table1[[GameIsOver]:[GameIsOver]], 1, Table1[[AwayTeam]:[AwayTeam]], $A37, Table1[[HomeTeam]:[HomeTeam]], J$36) + SUMIFS(Table1[[HomeWon]:[HomeWon]], Table1[[GameIsOver]:[GameIsOver]], 1, Table1[[HomeTeam]:[HomeTeam]], $A37, Table1[[AwayTeam]:[AwayTeam]], J$36))) + (SUMIFS(Table1[[HomeWon]:[HomeWon]], Table1[[GameIsOver]:[GameIsOver]], 1, Table1[[AwayTeam]:[AwayTeam]], $A37, Table1[[HomeTeam]:[HomeTeam]],  J$36, Table1[[ActualResult]:[ActualResult]], "OT") + SUMIFS(Table1[[AwayWon]:[AwayWon]], Table1[[GameIsOver]:[GameIsOver]], 1, Table1[[HomeTeam]:[HomeTeam]], $A37, Table1[[AwayTeam]:[AwayTeam]], J$36, Table1[[ActualResult]:[ActualResult]], "OT") + SUMIFS(Table1[[HomeWon]:[HomeWon]], Table1[[GameIsOver]:[GameIsOver]], 1, Table1[[AwayTeam]:[AwayTeam]], $A37, Table1[[HomeTeam]:[HomeTeam]], J$36, Table1[[ActualResult]:[ActualResult]], "SO") + SUMIFS(Table1[[AwayWon]:[AwayWon]], Table1[[GameIsOver]:[GameIsOver]], 1, Table1[[HomeTeam]:[HomeTeam]], $A37, Table1[[AwayTeam]:[AwayTeam]], J$36, Table1[[ActualResult]:[ActualResult]], "SO")))/ (2*((COUNTIFS(Table1[[GameIsOver]:[GameIsOver]],1,Table1[[AwayTeam]:[AwayTeam]],$A37, Table1[[HomeTeam]:[HomeTeam]], J$36)))+( COUNTIFS(Table1[[GameIsOver]:[GameIsOver]],1,Table1[[AwayTeam]:[AwayTeam]],J$36, Table1[[HomeTeam]:[HomeTeam]],$A37))), "")</f>
        <v/>
      </c>
      <c r="K37" s="36" t="str">
        <f>IFERROR(((2 * (SUMIFS(Table1[[AwayWon]:[AwayWon]], Table1[[GameIsOver]:[GameIsOver]], 1, Table1[[AwayTeam]:[AwayTeam]], $A37, Table1[[HomeTeam]:[HomeTeam]], K$36) + SUMIFS(Table1[[HomeWon]:[HomeWon]], Table1[[GameIsOver]:[GameIsOver]], 1, Table1[[HomeTeam]:[HomeTeam]], $A37, Table1[[AwayTeam]:[AwayTeam]], K$36))) + (SUMIFS(Table1[[HomeWon]:[HomeWon]], Table1[[GameIsOver]:[GameIsOver]], 1, Table1[[AwayTeam]:[AwayTeam]], $A37, Table1[[HomeTeam]:[HomeTeam]],  K$36, Table1[[ActualResult]:[ActualResult]], "OT") + SUMIFS(Table1[[AwayWon]:[AwayWon]], Table1[[GameIsOver]:[GameIsOver]], 1, Table1[[HomeTeam]:[HomeTeam]], $A37, Table1[[AwayTeam]:[AwayTeam]], K$36, Table1[[ActualResult]:[ActualResult]], "OT") + SUMIFS(Table1[[HomeWon]:[HomeWon]], Table1[[GameIsOver]:[GameIsOver]], 1, Table1[[AwayTeam]:[AwayTeam]], $A37, Table1[[HomeTeam]:[HomeTeam]], K$36, Table1[[ActualResult]:[ActualResult]], "SO") + SUMIFS(Table1[[AwayWon]:[AwayWon]], Table1[[GameIsOver]:[GameIsOver]], 1, Table1[[HomeTeam]:[HomeTeam]], $A37, Table1[[AwayTeam]:[AwayTeam]], K$36, Table1[[ActualResult]:[ActualResult]], "SO")))/ (2*((COUNTIFS(Table1[[GameIsOver]:[GameIsOver]],1,Table1[[AwayTeam]:[AwayTeam]],$A37, Table1[[HomeTeam]:[HomeTeam]], K$36)))+( COUNTIFS(Table1[[GameIsOver]:[GameIsOver]],1,Table1[[AwayTeam]:[AwayTeam]],K$36, Table1[[HomeTeam]:[HomeTeam]],$A37))), "")</f>
        <v/>
      </c>
      <c r="L37" s="36" t="str">
        <f>IFERROR(((2 * (SUMIFS(Table1[[AwayWon]:[AwayWon]], Table1[[GameIsOver]:[GameIsOver]], 1, Table1[[AwayTeam]:[AwayTeam]], $A37, Table1[[HomeTeam]:[HomeTeam]], L$36) + SUMIFS(Table1[[HomeWon]:[HomeWon]], Table1[[GameIsOver]:[GameIsOver]], 1, Table1[[HomeTeam]:[HomeTeam]], $A37, Table1[[AwayTeam]:[AwayTeam]], L$36))) + (SUMIFS(Table1[[HomeWon]:[HomeWon]], Table1[[GameIsOver]:[GameIsOver]], 1, Table1[[AwayTeam]:[AwayTeam]], $A37, Table1[[HomeTeam]:[HomeTeam]],  L$36, Table1[[ActualResult]:[ActualResult]], "OT") + SUMIFS(Table1[[AwayWon]:[AwayWon]], Table1[[GameIsOver]:[GameIsOver]], 1, Table1[[HomeTeam]:[HomeTeam]], $A37, Table1[[AwayTeam]:[AwayTeam]], L$36, Table1[[ActualResult]:[ActualResult]], "OT") + SUMIFS(Table1[[HomeWon]:[HomeWon]], Table1[[GameIsOver]:[GameIsOver]], 1, Table1[[AwayTeam]:[AwayTeam]], $A37, Table1[[HomeTeam]:[HomeTeam]], L$36, Table1[[ActualResult]:[ActualResult]], "SO") + SUMIFS(Table1[[AwayWon]:[AwayWon]], Table1[[GameIsOver]:[GameIsOver]], 1, Table1[[HomeTeam]:[HomeTeam]], $A37, Table1[[AwayTeam]:[AwayTeam]], L$36, Table1[[ActualResult]:[ActualResult]], "SO")))/ (2*((COUNTIFS(Table1[[GameIsOver]:[GameIsOver]],1,Table1[[AwayTeam]:[AwayTeam]],$A37, Table1[[HomeTeam]:[HomeTeam]], L$36)))+( COUNTIFS(Table1[[GameIsOver]:[GameIsOver]],1,Table1[[AwayTeam]:[AwayTeam]],L$36, Table1[[HomeTeam]:[HomeTeam]],$A37))), "")</f>
        <v/>
      </c>
      <c r="M37" s="36" t="str">
        <f>IFERROR(((2 * (SUMIFS(Table1[[AwayWon]:[AwayWon]], Table1[[GameIsOver]:[GameIsOver]], 1, Table1[[AwayTeam]:[AwayTeam]], $A37, Table1[[HomeTeam]:[HomeTeam]], M$36) + SUMIFS(Table1[[HomeWon]:[HomeWon]], Table1[[GameIsOver]:[GameIsOver]], 1, Table1[[HomeTeam]:[HomeTeam]], $A37, Table1[[AwayTeam]:[AwayTeam]], M$36))) + (SUMIFS(Table1[[HomeWon]:[HomeWon]], Table1[[GameIsOver]:[GameIsOver]], 1, Table1[[AwayTeam]:[AwayTeam]], $A37, Table1[[HomeTeam]:[HomeTeam]],  M$36, Table1[[ActualResult]:[ActualResult]], "OT") + SUMIFS(Table1[[AwayWon]:[AwayWon]], Table1[[GameIsOver]:[GameIsOver]], 1, Table1[[HomeTeam]:[HomeTeam]], $A37, Table1[[AwayTeam]:[AwayTeam]], M$36, Table1[[ActualResult]:[ActualResult]], "OT") + SUMIFS(Table1[[HomeWon]:[HomeWon]], Table1[[GameIsOver]:[GameIsOver]], 1, Table1[[AwayTeam]:[AwayTeam]], $A37, Table1[[HomeTeam]:[HomeTeam]], M$36, Table1[[ActualResult]:[ActualResult]], "SO") + SUMIFS(Table1[[AwayWon]:[AwayWon]], Table1[[GameIsOver]:[GameIsOver]], 1, Table1[[HomeTeam]:[HomeTeam]], $A37, Table1[[AwayTeam]:[AwayTeam]], M$36, Table1[[ActualResult]:[ActualResult]], "SO")))/ (2*((COUNTIFS(Table1[[GameIsOver]:[GameIsOver]],1,Table1[[AwayTeam]:[AwayTeam]],$A37, Table1[[HomeTeam]:[HomeTeam]], M$36)))+( COUNTIFS(Table1[[GameIsOver]:[GameIsOver]],1,Table1[[AwayTeam]:[AwayTeam]],M$36, Table1[[HomeTeam]:[HomeTeam]],$A37))), "")</f>
        <v/>
      </c>
      <c r="N37" s="36" t="str">
        <f>IFERROR(((2 * (SUMIFS(Table1[[AwayWon]:[AwayWon]], Table1[[GameIsOver]:[GameIsOver]], 1, Table1[[AwayTeam]:[AwayTeam]], $A37, Table1[[HomeTeam]:[HomeTeam]], N$36) + SUMIFS(Table1[[HomeWon]:[HomeWon]], Table1[[GameIsOver]:[GameIsOver]], 1, Table1[[HomeTeam]:[HomeTeam]], $A37, Table1[[AwayTeam]:[AwayTeam]], N$36))) + (SUMIFS(Table1[[HomeWon]:[HomeWon]], Table1[[GameIsOver]:[GameIsOver]], 1, Table1[[AwayTeam]:[AwayTeam]], $A37, Table1[[HomeTeam]:[HomeTeam]],  N$36, Table1[[ActualResult]:[ActualResult]], "OT") + SUMIFS(Table1[[AwayWon]:[AwayWon]], Table1[[GameIsOver]:[GameIsOver]], 1, Table1[[HomeTeam]:[HomeTeam]], $A37, Table1[[AwayTeam]:[AwayTeam]], N$36, Table1[[ActualResult]:[ActualResult]], "OT") + SUMIFS(Table1[[HomeWon]:[HomeWon]], Table1[[GameIsOver]:[GameIsOver]], 1, Table1[[AwayTeam]:[AwayTeam]], $A37, Table1[[HomeTeam]:[HomeTeam]], N$36, Table1[[ActualResult]:[ActualResult]], "SO") + SUMIFS(Table1[[AwayWon]:[AwayWon]], Table1[[GameIsOver]:[GameIsOver]], 1, Table1[[HomeTeam]:[HomeTeam]], $A37, Table1[[AwayTeam]:[AwayTeam]], N$36, Table1[[ActualResult]:[ActualResult]], "SO")))/ (2*((COUNTIFS(Table1[[GameIsOver]:[GameIsOver]],1,Table1[[AwayTeam]:[AwayTeam]],$A37, Table1[[HomeTeam]:[HomeTeam]], N$36)))+( COUNTIFS(Table1[[GameIsOver]:[GameIsOver]],1,Table1[[AwayTeam]:[AwayTeam]],N$36, Table1[[HomeTeam]:[HomeTeam]],$A37))), "")</f>
        <v/>
      </c>
      <c r="O37" s="36" t="str">
        <f>IFERROR(((2 * (SUMIFS(Table1[[AwayWon]:[AwayWon]], Table1[[GameIsOver]:[GameIsOver]], 1, Table1[[AwayTeam]:[AwayTeam]], $A37, Table1[[HomeTeam]:[HomeTeam]], O$36) + SUMIFS(Table1[[HomeWon]:[HomeWon]], Table1[[GameIsOver]:[GameIsOver]], 1, Table1[[HomeTeam]:[HomeTeam]], $A37, Table1[[AwayTeam]:[AwayTeam]], O$36))) + (SUMIFS(Table1[[HomeWon]:[HomeWon]], Table1[[GameIsOver]:[GameIsOver]], 1, Table1[[AwayTeam]:[AwayTeam]], $A37, Table1[[HomeTeam]:[HomeTeam]],  O$36, Table1[[ActualResult]:[ActualResult]], "OT") + SUMIFS(Table1[[AwayWon]:[AwayWon]], Table1[[GameIsOver]:[GameIsOver]], 1, Table1[[HomeTeam]:[HomeTeam]], $A37, Table1[[AwayTeam]:[AwayTeam]], O$36, Table1[[ActualResult]:[ActualResult]], "OT") + SUMIFS(Table1[[HomeWon]:[HomeWon]], Table1[[GameIsOver]:[GameIsOver]], 1, Table1[[AwayTeam]:[AwayTeam]], $A37, Table1[[HomeTeam]:[HomeTeam]], O$36, Table1[[ActualResult]:[ActualResult]], "SO") + SUMIFS(Table1[[AwayWon]:[AwayWon]], Table1[[GameIsOver]:[GameIsOver]], 1, Table1[[HomeTeam]:[HomeTeam]], $A37, Table1[[AwayTeam]:[AwayTeam]], O$36, Table1[[ActualResult]:[ActualResult]], "SO")))/ (2*((COUNTIFS(Table1[[GameIsOver]:[GameIsOver]],1,Table1[[AwayTeam]:[AwayTeam]],$A37, Table1[[HomeTeam]:[HomeTeam]], O$36)))+( COUNTIFS(Table1[[GameIsOver]:[GameIsOver]],1,Table1[[AwayTeam]:[AwayTeam]],O$36, Table1[[HomeTeam]:[HomeTeam]],$A37))), "")</f>
        <v/>
      </c>
      <c r="P37" s="36" t="str">
        <f>IFERROR(((2 * (SUMIFS(Table1[[AwayWon]:[AwayWon]], Table1[[GameIsOver]:[GameIsOver]], 1, Table1[[AwayTeam]:[AwayTeam]], $A37, Table1[[HomeTeam]:[HomeTeam]], P$36) + SUMIFS(Table1[[HomeWon]:[HomeWon]], Table1[[GameIsOver]:[GameIsOver]], 1, Table1[[HomeTeam]:[HomeTeam]], $A37, Table1[[AwayTeam]:[AwayTeam]], P$36))) + (SUMIFS(Table1[[HomeWon]:[HomeWon]], Table1[[GameIsOver]:[GameIsOver]], 1, Table1[[AwayTeam]:[AwayTeam]], $A37, Table1[[HomeTeam]:[HomeTeam]],  P$36, Table1[[ActualResult]:[ActualResult]], "OT") + SUMIFS(Table1[[AwayWon]:[AwayWon]], Table1[[GameIsOver]:[GameIsOver]], 1, Table1[[HomeTeam]:[HomeTeam]], $A37, Table1[[AwayTeam]:[AwayTeam]], P$36, Table1[[ActualResult]:[ActualResult]], "OT") + SUMIFS(Table1[[HomeWon]:[HomeWon]], Table1[[GameIsOver]:[GameIsOver]], 1, Table1[[AwayTeam]:[AwayTeam]], $A37, Table1[[HomeTeam]:[HomeTeam]], P$36, Table1[[ActualResult]:[ActualResult]], "SO") + SUMIFS(Table1[[AwayWon]:[AwayWon]], Table1[[GameIsOver]:[GameIsOver]], 1, Table1[[HomeTeam]:[HomeTeam]], $A37, Table1[[AwayTeam]:[AwayTeam]], P$36, Table1[[ActualResult]:[ActualResult]], "SO")))/ (2*((COUNTIFS(Table1[[GameIsOver]:[GameIsOver]],1,Table1[[AwayTeam]:[AwayTeam]],$A37, Table1[[HomeTeam]:[HomeTeam]], P$36)))+( COUNTIFS(Table1[[GameIsOver]:[GameIsOver]],1,Table1[[AwayTeam]:[AwayTeam]],P$36, Table1[[HomeTeam]:[HomeTeam]],$A37))), "")</f>
        <v/>
      </c>
      <c r="Q37" s="50" t="str">
        <f>IFERROR(((2 * (SUMIFS(Table1[[AwayWon]:[AwayWon]], Table1[[GameIsOver]:[GameIsOver]], 1, Table1[[AwayTeam]:[AwayTeam]], $A37, Table1[[HomeTeam]:[HomeTeam]], Q$36) + SUMIFS(Table1[[HomeWon]:[HomeWon]], Table1[[GameIsOver]:[GameIsOver]], 1, Table1[[HomeTeam]:[HomeTeam]], $A37, Table1[[AwayTeam]:[AwayTeam]], Q$36))) + (SUMIFS(Table1[[HomeWon]:[HomeWon]], Table1[[GameIsOver]:[GameIsOver]], 1, Table1[[AwayTeam]:[AwayTeam]], $A37, Table1[[HomeTeam]:[HomeTeam]],  Q$36, Table1[[ActualResult]:[ActualResult]], "OT") + SUMIFS(Table1[[AwayWon]:[AwayWon]], Table1[[GameIsOver]:[GameIsOver]], 1, Table1[[HomeTeam]:[HomeTeam]], $A37, Table1[[AwayTeam]:[AwayTeam]], Q$36, Table1[[ActualResult]:[ActualResult]], "OT") + SUMIFS(Table1[[HomeWon]:[HomeWon]], Table1[[GameIsOver]:[GameIsOver]], 1, Table1[[AwayTeam]:[AwayTeam]], $A37, Table1[[HomeTeam]:[HomeTeam]], Q$36, Table1[[ActualResult]:[ActualResult]], "SO") + SUMIFS(Table1[[AwayWon]:[AwayWon]], Table1[[GameIsOver]:[GameIsOver]], 1, Table1[[HomeTeam]:[HomeTeam]], $A37, Table1[[AwayTeam]:[AwayTeam]], Q$36, Table1[[ActualResult]:[ActualResult]], "SO")))/ (2*((COUNTIFS(Table1[[GameIsOver]:[GameIsOver]],1,Table1[[AwayTeam]:[AwayTeam]],$A37, Table1[[HomeTeam]:[HomeTeam]], Q$36)))+( COUNTIFS(Table1[[GameIsOver]:[GameIsOver]],1,Table1[[AwayTeam]:[AwayTeam]],Q$36, Table1[[HomeTeam]:[HomeTeam]],$A37))), "")</f>
        <v/>
      </c>
      <c r="R37" s="36" t="str">
        <f>IFERROR(((2 * (SUMIFS(Table1[[AwayWon]:[AwayWon]], Table1[[GameIsOver]:[GameIsOver]], 1, Table1[[AwayTeam]:[AwayTeam]], $A37, Table1[[HomeTeam]:[HomeTeam]], R$36) + SUMIFS(Table1[[HomeWon]:[HomeWon]], Table1[[GameIsOver]:[GameIsOver]], 1, Table1[[HomeTeam]:[HomeTeam]], $A37, Table1[[AwayTeam]:[AwayTeam]], R$36))) + (SUMIFS(Table1[[HomeWon]:[HomeWon]], Table1[[GameIsOver]:[GameIsOver]], 1, Table1[[AwayTeam]:[AwayTeam]], $A37, Table1[[HomeTeam]:[HomeTeam]],  R$36, Table1[[ActualResult]:[ActualResult]], "OT") + SUMIFS(Table1[[AwayWon]:[AwayWon]], Table1[[GameIsOver]:[GameIsOver]], 1, Table1[[HomeTeam]:[HomeTeam]], $A37, Table1[[AwayTeam]:[AwayTeam]], R$36, Table1[[ActualResult]:[ActualResult]], "OT") + SUMIFS(Table1[[HomeWon]:[HomeWon]], Table1[[GameIsOver]:[GameIsOver]], 1, Table1[[AwayTeam]:[AwayTeam]], $A37, Table1[[HomeTeam]:[HomeTeam]], R$36, Table1[[ActualResult]:[ActualResult]], "SO") + SUMIFS(Table1[[AwayWon]:[AwayWon]], Table1[[GameIsOver]:[GameIsOver]], 1, Table1[[HomeTeam]:[HomeTeam]], $A37, Table1[[AwayTeam]:[AwayTeam]], R$36, Table1[[ActualResult]:[ActualResult]], "SO")))/ (2*((COUNTIFS(Table1[[GameIsOver]:[GameIsOver]],1,Table1[[AwayTeam]:[AwayTeam]],$A37, Table1[[HomeTeam]:[HomeTeam]], R$36)))+( COUNTIFS(Table1[[GameIsOver]:[GameIsOver]],1,Table1[[AwayTeam]:[AwayTeam]],R$36, Table1[[HomeTeam]:[HomeTeam]],$A37))), "")</f>
        <v/>
      </c>
      <c r="S37" s="36" t="str">
        <f>IFERROR(((2 * (SUMIFS(Table1[[AwayWon]:[AwayWon]], Table1[[GameIsOver]:[GameIsOver]], 1, Table1[[AwayTeam]:[AwayTeam]], $A37, Table1[[HomeTeam]:[HomeTeam]], S$36) + SUMIFS(Table1[[HomeWon]:[HomeWon]], Table1[[GameIsOver]:[GameIsOver]], 1, Table1[[HomeTeam]:[HomeTeam]], $A37, Table1[[AwayTeam]:[AwayTeam]], S$36))) + (SUMIFS(Table1[[HomeWon]:[HomeWon]], Table1[[GameIsOver]:[GameIsOver]], 1, Table1[[AwayTeam]:[AwayTeam]], $A37, Table1[[HomeTeam]:[HomeTeam]],  S$36, Table1[[ActualResult]:[ActualResult]], "OT") + SUMIFS(Table1[[AwayWon]:[AwayWon]], Table1[[GameIsOver]:[GameIsOver]], 1, Table1[[HomeTeam]:[HomeTeam]], $A37, Table1[[AwayTeam]:[AwayTeam]], S$36, Table1[[ActualResult]:[ActualResult]], "OT") + SUMIFS(Table1[[HomeWon]:[HomeWon]], Table1[[GameIsOver]:[GameIsOver]], 1, Table1[[AwayTeam]:[AwayTeam]], $A37, Table1[[HomeTeam]:[HomeTeam]], S$36, Table1[[ActualResult]:[ActualResult]], "SO") + SUMIFS(Table1[[AwayWon]:[AwayWon]], Table1[[GameIsOver]:[GameIsOver]], 1, Table1[[HomeTeam]:[HomeTeam]], $A37, Table1[[AwayTeam]:[AwayTeam]], S$36, Table1[[ActualResult]:[ActualResult]], "SO")))/ (2*((COUNTIFS(Table1[[GameIsOver]:[GameIsOver]],1,Table1[[AwayTeam]:[AwayTeam]],$A37, Table1[[HomeTeam]:[HomeTeam]], S$36)))+( COUNTIFS(Table1[[GameIsOver]:[GameIsOver]],1,Table1[[AwayTeam]:[AwayTeam]],S$36, Table1[[HomeTeam]:[HomeTeam]],$A37))), "")</f>
        <v/>
      </c>
      <c r="T37" s="36" t="str">
        <f>IFERROR(((2 * (SUMIFS(Table1[[AwayWon]:[AwayWon]], Table1[[GameIsOver]:[GameIsOver]], 1, Table1[[AwayTeam]:[AwayTeam]], $A37, Table1[[HomeTeam]:[HomeTeam]], T$36) + SUMIFS(Table1[[HomeWon]:[HomeWon]], Table1[[GameIsOver]:[GameIsOver]], 1, Table1[[HomeTeam]:[HomeTeam]], $A37, Table1[[AwayTeam]:[AwayTeam]], T$36))) + (SUMIFS(Table1[[HomeWon]:[HomeWon]], Table1[[GameIsOver]:[GameIsOver]], 1, Table1[[AwayTeam]:[AwayTeam]], $A37, Table1[[HomeTeam]:[HomeTeam]],  T$36, Table1[[ActualResult]:[ActualResult]], "OT") + SUMIFS(Table1[[AwayWon]:[AwayWon]], Table1[[GameIsOver]:[GameIsOver]], 1, Table1[[HomeTeam]:[HomeTeam]], $A37, Table1[[AwayTeam]:[AwayTeam]], T$36, Table1[[ActualResult]:[ActualResult]], "OT") + SUMIFS(Table1[[HomeWon]:[HomeWon]], Table1[[GameIsOver]:[GameIsOver]], 1, Table1[[AwayTeam]:[AwayTeam]], $A37, Table1[[HomeTeam]:[HomeTeam]], T$36, Table1[[ActualResult]:[ActualResult]], "SO") + SUMIFS(Table1[[AwayWon]:[AwayWon]], Table1[[GameIsOver]:[GameIsOver]], 1, Table1[[HomeTeam]:[HomeTeam]], $A37, Table1[[AwayTeam]:[AwayTeam]], T$36, Table1[[ActualResult]:[ActualResult]], "SO")))/ (2*((COUNTIFS(Table1[[GameIsOver]:[GameIsOver]],1,Table1[[AwayTeam]:[AwayTeam]],$A37, Table1[[HomeTeam]:[HomeTeam]], T$36)))+( COUNTIFS(Table1[[GameIsOver]:[GameIsOver]],1,Table1[[AwayTeam]:[AwayTeam]],T$36, Table1[[HomeTeam]:[HomeTeam]],$A37))), "")</f>
        <v/>
      </c>
      <c r="U37" s="36" t="str">
        <f>IFERROR(((2 * (SUMIFS(Table1[[AwayWon]:[AwayWon]], Table1[[GameIsOver]:[GameIsOver]], 1, Table1[[AwayTeam]:[AwayTeam]], $A37, Table1[[HomeTeam]:[HomeTeam]], U$36) + SUMIFS(Table1[[HomeWon]:[HomeWon]], Table1[[GameIsOver]:[GameIsOver]], 1, Table1[[HomeTeam]:[HomeTeam]], $A37, Table1[[AwayTeam]:[AwayTeam]], U$36))) + (SUMIFS(Table1[[HomeWon]:[HomeWon]], Table1[[GameIsOver]:[GameIsOver]], 1, Table1[[AwayTeam]:[AwayTeam]], $A37, Table1[[HomeTeam]:[HomeTeam]],  U$36, Table1[[ActualResult]:[ActualResult]], "OT") + SUMIFS(Table1[[AwayWon]:[AwayWon]], Table1[[GameIsOver]:[GameIsOver]], 1, Table1[[HomeTeam]:[HomeTeam]], $A37, Table1[[AwayTeam]:[AwayTeam]], U$36, Table1[[ActualResult]:[ActualResult]], "OT") + SUMIFS(Table1[[HomeWon]:[HomeWon]], Table1[[GameIsOver]:[GameIsOver]], 1, Table1[[AwayTeam]:[AwayTeam]], $A37, Table1[[HomeTeam]:[HomeTeam]], U$36, Table1[[ActualResult]:[ActualResult]], "SO") + SUMIFS(Table1[[AwayWon]:[AwayWon]], Table1[[GameIsOver]:[GameIsOver]], 1, Table1[[HomeTeam]:[HomeTeam]], $A37, Table1[[AwayTeam]:[AwayTeam]], U$36, Table1[[ActualResult]:[ActualResult]], "SO")))/ (2*((COUNTIFS(Table1[[GameIsOver]:[GameIsOver]],1,Table1[[AwayTeam]:[AwayTeam]],$A37, Table1[[HomeTeam]:[HomeTeam]], U$36)))+( COUNTIFS(Table1[[GameIsOver]:[GameIsOver]],1,Table1[[AwayTeam]:[AwayTeam]],U$36, Table1[[HomeTeam]:[HomeTeam]],$A37))), "")</f>
        <v/>
      </c>
      <c r="V37" s="36" t="str">
        <f>IFERROR(((2 * (SUMIFS(Table1[[AwayWon]:[AwayWon]], Table1[[GameIsOver]:[GameIsOver]], 1, Table1[[AwayTeam]:[AwayTeam]], $A37, Table1[[HomeTeam]:[HomeTeam]], V$36) + SUMIFS(Table1[[HomeWon]:[HomeWon]], Table1[[GameIsOver]:[GameIsOver]], 1, Table1[[HomeTeam]:[HomeTeam]], $A37, Table1[[AwayTeam]:[AwayTeam]], V$36))) + (SUMIFS(Table1[[HomeWon]:[HomeWon]], Table1[[GameIsOver]:[GameIsOver]], 1, Table1[[AwayTeam]:[AwayTeam]], $A37, Table1[[HomeTeam]:[HomeTeam]],  V$36, Table1[[ActualResult]:[ActualResult]], "OT") + SUMIFS(Table1[[AwayWon]:[AwayWon]], Table1[[GameIsOver]:[GameIsOver]], 1, Table1[[HomeTeam]:[HomeTeam]], $A37, Table1[[AwayTeam]:[AwayTeam]], V$36, Table1[[ActualResult]:[ActualResult]], "OT") + SUMIFS(Table1[[HomeWon]:[HomeWon]], Table1[[GameIsOver]:[GameIsOver]], 1, Table1[[AwayTeam]:[AwayTeam]], $A37, Table1[[HomeTeam]:[HomeTeam]], V$36, Table1[[ActualResult]:[ActualResult]], "SO") + SUMIFS(Table1[[AwayWon]:[AwayWon]], Table1[[GameIsOver]:[GameIsOver]], 1, Table1[[HomeTeam]:[HomeTeam]], $A37, Table1[[AwayTeam]:[AwayTeam]], V$36, Table1[[ActualResult]:[ActualResult]], "SO")))/ (2*((COUNTIFS(Table1[[GameIsOver]:[GameIsOver]],1,Table1[[AwayTeam]:[AwayTeam]],$A37, Table1[[HomeTeam]:[HomeTeam]], V$36)))+( COUNTIFS(Table1[[GameIsOver]:[GameIsOver]],1,Table1[[AwayTeam]:[AwayTeam]],V$36, Table1[[HomeTeam]:[HomeTeam]],$A37))), "")</f>
        <v/>
      </c>
      <c r="W37" s="36" t="str">
        <f>IFERROR(((2 * (SUMIFS(Table1[[AwayWon]:[AwayWon]], Table1[[GameIsOver]:[GameIsOver]], 1, Table1[[AwayTeam]:[AwayTeam]], $A37, Table1[[HomeTeam]:[HomeTeam]], W$36) + SUMIFS(Table1[[HomeWon]:[HomeWon]], Table1[[GameIsOver]:[GameIsOver]], 1, Table1[[HomeTeam]:[HomeTeam]], $A37, Table1[[AwayTeam]:[AwayTeam]], W$36))) + (SUMIFS(Table1[[HomeWon]:[HomeWon]], Table1[[GameIsOver]:[GameIsOver]], 1, Table1[[AwayTeam]:[AwayTeam]], $A37, Table1[[HomeTeam]:[HomeTeam]],  W$36, Table1[[ActualResult]:[ActualResult]], "OT") + SUMIFS(Table1[[AwayWon]:[AwayWon]], Table1[[GameIsOver]:[GameIsOver]], 1, Table1[[HomeTeam]:[HomeTeam]], $A37, Table1[[AwayTeam]:[AwayTeam]], W$36, Table1[[ActualResult]:[ActualResult]], "OT") + SUMIFS(Table1[[HomeWon]:[HomeWon]], Table1[[GameIsOver]:[GameIsOver]], 1, Table1[[AwayTeam]:[AwayTeam]], $A37, Table1[[HomeTeam]:[HomeTeam]], W$36, Table1[[ActualResult]:[ActualResult]], "SO") + SUMIFS(Table1[[AwayWon]:[AwayWon]], Table1[[GameIsOver]:[GameIsOver]], 1, Table1[[HomeTeam]:[HomeTeam]], $A37, Table1[[AwayTeam]:[AwayTeam]], W$36, Table1[[ActualResult]:[ActualResult]], "SO")))/ (2*((COUNTIFS(Table1[[GameIsOver]:[GameIsOver]],1,Table1[[AwayTeam]:[AwayTeam]],$A37, Table1[[HomeTeam]:[HomeTeam]], W$36)))+( COUNTIFS(Table1[[GameIsOver]:[GameIsOver]],1,Table1[[AwayTeam]:[AwayTeam]],W$36, Table1[[HomeTeam]:[HomeTeam]],$A37))), "")</f>
        <v/>
      </c>
      <c r="X37" s="36" t="str">
        <f>IFERROR(((2 * (SUMIFS(Table1[[AwayWon]:[AwayWon]], Table1[[GameIsOver]:[GameIsOver]], 1, Table1[[AwayTeam]:[AwayTeam]], $A37, Table1[[HomeTeam]:[HomeTeam]], X$36) + SUMIFS(Table1[[HomeWon]:[HomeWon]], Table1[[GameIsOver]:[GameIsOver]], 1, Table1[[HomeTeam]:[HomeTeam]], $A37, Table1[[AwayTeam]:[AwayTeam]], X$36))) + (SUMIFS(Table1[[HomeWon]:[HomeWon]], Table1[[GameIsOver]:[GameIsOver]], 1, Table1[[AwayTeam]:[AwayTeam]], $A37, Table1[[HomeTeam]:[HomeTeam]],  X$36, Table1[[ActualResult]:[ActualResult]], "OT") + SUMIFS(Table1[[AwayWon]:[AwayWon]], Table1[[GameIsOver]:[GameIsOver]], 1, Table1[[HomeTeam]:[HomeTeam]], $A37, Table1[[AwayTeam]:[AwayTeam]], X$36, Table1[[ActualResult]:[ActualResult]], "OT") + SUMIFS(Table1[[HomeWon]:[HomeWon]], Table1[[GameIsOver]:[GameIsOver]], 1, Table1[[AwayTeam]:[AwayTeam]], $A37, Table1[[HomeTeam]:[HomeTeam]], X$36, Table1[[ActualResult]:[ActualResult]], "SO") + SUMIFS(Table1[[AwayWon]:[AwayWon]], Table1[[GameIsOver]:[GameIsOver]], 1, Table1[[HomeTeam]:[HomeTeam]], $A37, Table1[[AwayTeam]:[AwayTeam]], X$36, Table1[[ActualResult]:[ActualResult]], "SO")))/ (2*((COUNTIFS(Table1[[GameIsOver]:[GameIsOver]],1,Table1[[AwayTeam]:[AwayTeam]],$A37, Table1[[HomeTeam]:[HomeTeam]], X$36)))+( COUNTIFS(Table1[[GameIsOver]:[GameIsOver]],1,Table1[[AwayTeam]:[AwayTeam]],X$36, Table1[[HomeTeam]:[HomeTeam]],$A37))), "")</f>
        <v/>
      </c>
      <c r="Y37" s="50" t="str">
        <f>IFERROR(((2 * (SUMIFS(Table1[[AwayWon]:[AwayWon]], Table1[[GameIsOver]:[GameIsOver]], 1, Table1[[AwayTeam]:[AwayTeam]], $A37, Table1[[HomeTeam]:[HomeTeam]], Y$36) + SUMIFS(Table1[[HomeWon]:[HomeWon]], Table1[[GameIsOver]:[GameIsOver]], 1, Table1[[HomeTeam]:[HomeTeam]], $A37, Table1[[AwayTeam]:[AwayTeam]], Y$36))) + (SUMIFS(Table1[[HomeWon]:[HomeWon]], Table1[[GameIsOver]:[GameIsOver]], 1, Table1[[AwayTeam]:[AwayTeam]], $A37, Table1[[HomeTeam]:[HomeTeam]],  Y$36, Table1[[ActualResult]:[ActualResult]], "OT") + SUMIFS(Table1[[AwayWon]:[AwayWon]], Table1[[GameIsOver]:[GameIsOver]], 1, Table1[[HomeTeam]:[HomeTeam]], $A37, Table1[[AwayTeam]:[AwayTeam]], Y$36, Table1[[ActualResult]:[ActualResult]], "OT") + SUMIFS(Table1[[HomeWon]:[HomeWon]], Table1[[GameIsOver]:[GameIsOver]], 1, Table1[[AwayTeam]:[AwayTeam]], $A37, Table1[[HomeTeam]:[HomeTeam]], Y$36, Table1[[ActualResult]:[ActualResult]], "SO") + SUMIFS(Table1[[AwayWon]:[AwayWon]], Table1[[GameIsOver]:[GameIsOver]], 1, Table1[[HomeTeam]:[HomeTeam]], $A37, Table1[[AwayTeam]:[AwayTeam]], Y$36, Table1[[ActualResult]:[ActualResult]], "SO")))/ (2*((COUNTIFS(Table1[[GameIsOver]:[GameIsOver]],1,Table1[[AwayTeam]:[AwayTeam]],$A37, Table1[[HomeTeam]:[HomeTeam]], Y$36)))+( COUNTIFS(Table1[[GameIsOver]:[GameIsOver]],1,Table1[[AwayTeam]:[AwayTeam]],Y$36, Table1[[HomeTeam]:[HomeTeam]],$A37))), "")</f>
        <v/>
      </c>
      <c r="Z37" s="36" t="str">
        <f>IFERROR(((2 * (SUMIFS(Table1[[AwayWon]:[AwayWon]], Table1[[GameIsOver]:[GameIsOver]], 1, Table1[[AwayTeam]:[AwayTeam]], $A37, Table1[[HomeTeam]:[HomeTeam]], Z$36) + SUMIFS(Table1[[HomeWon]:[HomeWon]], Table1[[GameIsOver]:[GameIsOver]], 1, Table1[[HomeTeam]:[HomeTeam]], $A37, Table1[[AwayTeam]:[AwayTeam]], Z$36))) + (SUMIFS(Table1[[HomeWon]:[HomeWon]], Table1[[GameIsOver]:[GameIsOver]], 1, Table1[[AwayTeam]:[AwayTeam]], $A37, Table1[[HomeTeam]:[HomeTeam]],  Z$36, Table1[[ActualResult]:[ActualResult]], "OT") + SUMIFS(Table1[[AwayWon]:[AwayWon]], Table1[[GameIsOver]:[GameIsOver]], 1, Table1[[HomeTeam]:[HomeTeam]], $A37, Table1[[AwayTeam]:[AwayTeam]], Z$36, Table1[[ActualResult]:[ActualResult]], "OT") + SUMIFS(Table1[[HomeWon]:[HomeWon]], Table1[[GameIsOver]:[GameIsOver]], 1, Table1[[AwayTeam]:[AwayTeam]], $A37, Table1[[HomeTeam]:[HomeTeam]], Z$36, Table1[[ActualResult]:[ActualResult]], "SO") + SUMIFS(Table1[[AwayWon]:[AwayWon]], Table1[[GameIsOver]:[GameIsOver]], 1, Table1[[HomeTeam]:[HomeTeam]], $A37, Table1[[AwayTeam]:[AwayTeam]], Z$36, Table1[[ActualResult]:[ActualResult]], "SO")))/ (2*((COUNTIFS(Table1[[GameIsOver]:[GameIsOver]],1,Table1[[AwayTeam]:[AwayTeam]],$A37, Table1[[HomeTeam]:[HomeTeam]], Z$36)))+( COUNTIFS(Table1[[GameIsOver]:[GameIsOver]],1,Table1[[AwayTeam]:[AwayTeam]],Z$36, Table1[[HomeTeam]:[HomeTeam]],$A37))), "")</f>
        <v/>
      </c>
      <c r="AA37" s="36" t="str">
        <f>IFERROR(((2 * (SUMIFS(Table1[[AwayWon]:[AwayWon]], Table1[[GameIsOver]:[GameIsOver]], 1, Table1[[AwayTeam]:[AwayTeam]], $A37, Table1[[HomeTeam]:[HomeTeam]], AA$36) + SUMIFS(Table1[[HomeWon]:[HomeWon]], Table1[[GameIsOver]:[GameIsOver]], 1, Table1[[HomeTeam]:[HomeTeam]], $A37, Table1[[AwayTeam]:[AwayTeam]], AA$36))) + (SUMIFS(Table1[[HomeWon]:[HomeWon]], Table1[[GameIsOver]:[GameIsOver]], 1, Table1[[AwayTeam]:[AwayTeam]], $A37, Table1[[HomeTeam]:[HomeTeam]],  AA$36, Table1[[ActualResult]:[ActualResult]], "OT") + SUMIFS(Table1[[AwayWon]:[AwayWon]], Table1[[GameIsOver]:[GameIsOver]], 1, Table1[[HomeTeam]:[HomeTeam]], $A37, Table1[[AwayTeam]:[AwayTeam]], AA$36, Table1[[ActualResult]:[ActualResult]], "OT") + SUMIFS(Table1[[HomeWon]:[HomeWon]], Table1[[GameIsOver]:[GameIsOver]], 1, Table1[[AwayTeam]:[AwayTeam]], $A37, Table1[[HomeTeam]:[HomeTeam]], AA$36, Table1[[ActualResult]:[ActualResult]], "SO") + SUMIFS(Table1[[AwayWon]:[AwayWon]], Table1[[GameIsOver]:[GameIsOver]], 1, Table1[[HomeTeam]:[HomeTeam]], $A37, Table1[[AwayTeam]:[AwayTeam]], AA$36, Table1[[ActualResult]:[ActualResult]], "SO")))/ (2*((COUNTIFS(Table1[[GameIsOver]:[GameIsOver]],1,Table1[[AwayTeam]:[AwayTeam]],$A37, Table1[[HomeTeam]:[HomeTeam]], AA$36)))+( COUNTIFS(Table1[[GameIsOver]:[GameIsOver]],1,Table1[[AwayTeam]:[AwayTeam]],AA$36, Table1[[HomeTeam]:[HomeTeam]],$A37))), "")</f>
        <v/>
      </c>
      <c r="AB37" s="36" t="str">
        <f>IFERROR(((2 * (SUMIFS(Table1[[AwayWon]:[AwayWon]], Table1[[GameIsOver]:[GameIsOver]], 1, Table1[[AwayTeam]:[AwayTeam]], $A37, Table1[[HomeTeam]:[HomeTeam]], AB$36) + SUMIFS(Table1[[HomeWon]:[HomeWon]], Table1[[GameIsOver]:[GameIsOver]], 1, Table1[[HomeTeam]:[HomeTeam]], $A37, Table1[[AwayTeam]:[AwayTeam]], AB$36))) + (SUMIFS(Table1[[HomeWon]:[HomeWon]], Table1[[GameIsOver]:[GameIsOver]], 1, Table1[[AwayTeam]:[AwayTeam]], $A37, Table1[[HomeTeam]:[HomeTeam]],  AB$36, Table1[[ActualResult]:[ActualResult]], "OT") + SUMIFS(Table1[[AwayWon]:[AwayWon]], Table1[[GameIsOver]:[GameIsOver]], 1, Table1[[HomeTeam]:[HomeTeam]], $A37, Table1[[AwayTeam]:[AwayTeam]], AB$36, Table1[[ActualResult]:[ActualResult]], "OT") + SUMIFS(Table1[[HomeWon]:[HomeWon]], Table1[[GameIsOver]:[GameIsOver]], 1, Table1[[AwayTeam]:[AwayTeam]], $A37, Table1[[HomeTeam]:[HomeTeam]], AB$36, Table1[[ActualResult]:[ActualResult]], "SO") + SUMIFS(Table1[[AwayWon]:[AwayWon]], Table1[[GameIsOver]:[GameIsOver]], 1, Table1[[HomeTeam]:[HomeTeam]], $A37, Table1[[AwayTeam]:[AwayTeam]], AB$36, Table1[[ActualResult]:[ActualResult]], "SO")))/ (2*((COUNTIFS(Table1[[GameIsOver]:[GameIsOver]],1,Table1[[AwayTeam]:[AwayTeam]],$A37, Table1[[HomeTeam]:[HomeTeam]], AB$36)))+( COUNTIFS(Table1[[GameIsOver]:[GameIsOver]],1,Table1[[AwayTeam]:[AwayTeam]],AB$36, Table1[[HomeTeam]:[HomeTeam]],$A37))), "")</f>
        <v/>
      </c>
      <c r="AC37" s="36" t="str">
        <f>IFERROR(((2 * (SUMIFS(Table1[[AwayWon]:[AwayWon]], Table1[[GameIsOver]:[GameIsOver]], 1, Table1[[AwayTeam]:[AwayTeam]], $A37, Table1[[HomeTeam]:[HomeTeam]], AC$36) + SUMIFS(Table1[[HomeWon]:[HomeWon]], Table1[[GameIsOver]:[GameIsOver]], 1, Table1[[HomeTeam]:[HomeTeam]], $A37, Table1[[AwayTeam]:[AwayTeam]], AC$36))) + (SUMIFS(Table1[[HomeWon]:[HomeWon]], Table1[[GameIsOver]:[GameIsOver]], 1, Table1[[AwayTeam]:[AwayTeam]], $A37, Table1[[HomeTeam]:[HomeTeam]],  AC$36, Table1[[ActualResult]:[ActualResult]], "OT") + SUMIFS(Table1[[AwayWon]:[AwayWon]], Table1[[GameIsOver]:[GameIsOver]], 1, Table1[[HomeTeam]:[HomeTeam]], $A37, Table1[[AwayTeam]:[AwayTeam]], AC$36, Table1[[ActualResult]:[ActualResult]], "OT") + SUMIFS(Table1[[HomeWon]:[HomeWon]], Table1[[GameIsOver]:[GameIsOver]], 1, Table1[[AwayTeam]:[AwayTeam]], $A37, Table1[[HomeTeam]:[HomeTeam]], AC$36, Table1[[ActualResult]:[ActualResult]], "SO") + SUMIFS(Table1[[AwayWon]:[AwayWon]], Table1[[GameIsOver]:[GameIsOver]], 1, Table1[[HomeTeam]:[HomeTeam]], $A37, Table1[[AwayTeam]:[AwayTeam]], AC$36, Table1[[ActualResult]:[ActualResult]], "SO")))/ (2*((COUNTIFS(Table1[[GameIsOver]:[GameIsOver]],1,Table1[[AwayTeam]:[AwayTeam]],$A37, Table1[[HomeTeam]:[HomeTeam]], AC$36)))+( COUNTIFS(Table1[[GameIsOver]:[GameIsOver]],1,Table1[[AwayTeam]:[AwayTeam]],AC$36, Table1[[HomeTeam]:[HomeTeam]],$A37))), "")</f>
        <v/>
      </c>
      <c r="AD37" s="36" t="str">
        <f>IFERROR(((2 * (SUMIFS(Table1[[AwayWon]:[AwayWon]], Table1[[GameIsOver]:[GameIsOver]], 1, Table1[[AwayTeam]:[AwayTeam]], $A37, Table1[[HomeTeam]:[HomeTeam]], AD$36) + SUMIFS(Table1[[HomeWon]:[HomeWon]], Table1[[GameIsOver]:[GameIsOver]], 1, Table1[[HomeTeam]:[HomeTeam]], $A37, Table1[[AwayTeam]:[AwayTeam]], AD$36))) + (SUMIFS(Table1[[HomeWon]:[HomeWon]], Table1[[GameIsOver]:[GameIsOver]], 1, Table1[[AwayTeam]:[AwayTeam]], $A37, Table1[[HomeTeam]:[HomeTeam]],  AD$36, Table1[[ActualResult]:[ActualResult]], "OT") + SUMIFS(Table1[[AwayWon]:[AwayWon]], Table1[[GameIsOver]:[GameIsOver]], 1, Table1[[HomeTeam]:[HomeTeam]], $A37, Table1[[AwayTeam]:[AwayTeam]], AD$36, Table1[[ActualResult]:[ActualResult]], "OT") + SUMIFS(Table1[[HomeWon]:[HomeWon]], Table1[[GameIsOver]:[GameIsOver]], 1, Table1[[AwayTeam]:[AwayTeam]], $A37, Table1[[HomeTeam]:[HomeTeam]], AD$36, Table1[[ActualResult]:[ActualResult]], "SO") + SUMIFS(Table1[[AwayWon]:[AwayWon]], Table1[[GameIsOver]:[GameIsOver]], 1, Table1[[HomeTeam]:[HomeTeam]], $A37, Table1[[AwayTeam]:[AwayTeam]], AD$36, Table1[[ActualResult]:[ActualResult]], "SO")))/ (2*((COUNTIFS(Table1[[GameIsOver]:[GameIsOver]],1,Table1[[AwayTeam]:[AwayTeam]],$A37, Table1[[HomeTeam]:[HomeTeam]], AD$36)))+( COUNTIFS(Table1[[GameIsOver]:[GameIsOver]],1,Table1[[AwayTeam]:[AwayTeam]],AD$36, Table1[[HomeTeam]:[HomeTeam]],$A37))), "")</f>
        <v/>
      </c>
      <c r="AE37" s="36" t="str">
        <f>IFERROR(((2 * (SUMIFS(Table1[[AwayWon]:[AwayWon]], Table1[[GameIsOver]:[GameIsOver]], 1, Table1[[AwayTeam]:[AwayTeam]], $A37, Table1[[HomeTeam]:[HomeTeam]], AE$36) + SUMIFS(Table1[[HomeWon]:[HomeWon]], Table1[[GameIsOver]:[GameIsOver]], 1, Table1[[HomeTeam]:[HomeTeam]], $A37, Table1[[AwayTeam]:[AwayTeam]], AE$36))) + (SUMIFS(Table1[[HomeWon]:[HomeWon]], Table1[[GameIsOver]:[GameIsOver]], 1, Table1[[AwayTeam]:[AwayTeam]], $A37, Table1[[HomeTeam]:[HomeTeam]],  AE$36, Table1[[ActualResult]:[ActualResult]], "OT") + SUMIFS(Table1[[AwayWon]:[AwayWon]], Table1[[GameIsOver]:[GameIsOver]], 1, Table1[[HomeTeam]:[HomeTeam]], $A37, Table1[[AwayTeam]:[AwayTeam]], AE$36, Table1[[ActualResult]:[ActualResult]], "OT") + SUMIFS(Table1[[HomeWon]:[HomeWon]], Table1[[GameIsOver]:[GameIsOver]], 1, Table1[[AwayTeam]:[AwayTeam]], $A37, Table1[[HomeTeam]:[HomeTeam]], AE$36, Table1[[ActualResult]:[ActualResult]], "SO") + SUMIFS(Table1[[AwayWon]:[AwayWon]], Table1[[GameIsOver]:[GameIsOver]], 1, Table1[[HomeTeam]:[HomeTeam]], $A37, Table1[[AwayTeam]:[AwayTeam]], AE$36, Table1[[ActualResult]:[ActualResult]], "SO")))/ (2*((COUNTIFS(Table1[[GameIsOver]:[GameIsOver]],1,Table1[[AwayTeam]:[AwayTeam]],$A37, Table1[[HomeTeam]:[HomeTeam]], AE$36)))+( COUNTIFS(Table1[[GameIsOver]:[GameIsOver]],1,Table1[[AwayTeam]:[AwayTeam]],AE$36, Table1[[HomeTeam]:[HomeTeam]],$A37))), "")</f>
        <v/>
      </c>
      <c r="AF37" s="36" t="str">
        <f>IFERROR(((2 * (SUMIFS(Table1[[AwayWon]:[AwayWon]], Table1[[GameIsOver]:[GameIsOver]], 1, Table1[[AwayTeam]:[AwayTeam]], $A37, Table1[[HomeTeam]:[HomeTeam]], AF$36) + SUMIFS(Table1[[HomeWon]:[HomeWon]], Table1[[GameIsOver]:[GameIsOver]], 1, Table1[[HomeTeam]:[HomeTeam]], $A37, Table1[[AwayTeam]:[AwayTeam]], AF$36))) + (SUMIFS(Table1[[HomeWon]:[HomeWon]], Table1[[GameIsOver]:[GameIsOver]], 1, Table1[[AwayTeam]:[AwayTeam]], $A37, Table1[[HomeTeam]:[HomeTeam]],  AF$36, Table1[[ActualResult]:[ActualResult]], "OT") + SUMIFS(Table1[[AwayWon]:[AwayWon]], Table1[[GameIsOver]:[GameIsOver]], 1, Table1[[HomeTeam]:[HomeTeam]], $A37, Table1[[AwayTeam]:[AwayTeam]], AF$36, Table1[[ActualResult]:[ActualResult]], "OT") + SUMIFS(Table1[[HomeWon]:[HomeWon]], Table1[[GameIsOver]:[GameIsOver]], 1, Table1[[AwayTeam]:[AwayTeam]], $A37, Table1[[HomeTeam]:[HomeTeam]], AF$36, Table1[[ActualResult]:[ActualResult]], "SO") + SUMIFS(Table1[[AwayWon]:[AwayWon]], Table1[[GameIsOver]:[GameIsOver]], 1, Table1[[HomeTeam]:[HomeTeam]], $A37, Table1[[AwayTeam]:[AwayTeam]], AF$36, Table1[[ActualResult]:[ActualResult]], "SO")))/ (2*((COUNTIFS(Table1[[GameIsOver]:[GameIsOver]],1,Table1[[AwayTeam]:[AwayTeam]],$A37, Table1[[HomeTeam]:[HomeTeam]], AF$36)))+( COUNTIFS(Table1[[GameIsOver]:[GameIsOver]],1,Table1[[AwayTeam]:[AwayTeam]],AF$36, Table1[[HomeTeam]:[HomeTeam]],$A37))), "")</f>
        <v/>
      </c>
      <c r="AG37" s="36" t="str">
        <f>IFERROR(((2 * (SUMIFS(Table1[[AwayWon]:[AwayWon]], Table1[[GameIsOver]:[GameIsOver]], 1, Table1[[AwayTeam]:[AwayTeam]], $A37, Table1[[HomeTeam]:[HomeTeam]], AG$36) + SUMIFS(Table1[[HomeWon]:[HomeWon]], Table1[[GameIsOver]:[GameIsOver]], 1, Table1[[HomeTeam]:[HomeTeam]], $A37, Table1[[AwayTeam]:[AwayTeam]], AG$36))) + (SUMIFS(Table1[[HomeWon]:[HomeWon]], Table1[[GameIsOver]:[GameIsOver]], 1, Table1[[AwayTeam]:[AwayTeam]], $A37, Table1[[HomeTeam]:[HomeTeam]],  AG$36, Table1[[ActualResult]:[ActualResult]], "OT") + SUMIFS(Table1[[AwayWon]:[AwayWon]], Table1[[GameIsOver]:[GameIsOver]], 1, Table1[[HomeTeam]:[HomeTeam]], $A37, Table1[[AwayTeam]:[AwayTeam]], AG$36, Table1[[ActualResult]:[ActualResult]], "OT") + SUMIFS(Table1[[HomeWon]:[HomeWon]], Table1[[GameIsOver]:[GameIsOver]], 1, Table1[[AwayTeam]:[AwayTeam]], $A37, Table1[[HomeTeam]:[HomeTeam]], AG$36, Table1[[ActualResult]:[ActualResult]], "SO") + SUMIFS(Table1[[AwayWon]:[AwayWon]], Table1[[GameIsOver]:[GameIsOver]], 1, Table1[[HomeTeam]:[HomeTeam]], $A37, Table1[[AwayTeam]:[AwayTeam]], AG$36, Table1[[ActualResult]:[ActualResult]], "SO")))/ (2*((COUNTIFS(Table1[[GameIsOver]:[GameIsOver]],1,Table1[[AwayTeam]:[AwayTeam]],$A37, Table1[[HomeTeam]:[HomeTeam]], AG$36)))+( COUNTIFS(Table1[[GameIsOver]:[GameIsOver]],1,Table1[[AwayTeam]:[AwayTeam]],AG$36, Table1[[HomeTeam]:[HomeTeam]],$A37))), "")</f>
        <v/>
      </c>
      <c r="AH37" s="37" t="e">
        <f>AVERAGE($R37:$AG37)</f>
        <v>#DIV/0!</v>
      </c>
      <c r="AI37" s="37" t="e">
        <f>AVERAGE($B37:$Q37)</f>
        <v>#DIV/0!</v>
      </c>
      <c r="AJ37" s="38" t="e">
        <f>AVERAGE($Z37:$AG37)</f>
        <v>#DIV/0!</v>
      </c>
      <c r="AK37" s="38" t="e">
        <f>AVERAGE($R37:$Y37)</f>
        <v>#DIV/0!</v>
      </c>
      <c r="AL37" s="38" t="e">
        <f>AVERAGE($J37:$Q37)</f>
        <v>#DIV/0!</v>
      </c>
      <c r="AM37" s="38" t="e">
        <f>AVERAGE($B37:$I37)</f>
        <v>#DIV/0!</v>
      </c>
    </row>
    <row r="38" spans="1:39" x14ac:dyDescent="0.25">
      <c r="A38" s="17" t="s">
        <v>39</v>
      </c>
      <c r="B38" s="36" t="str">
        <f>IFERROR(((2 * (SUMIFS(Table1[[AwayWon]:[AwayWon]], Table1[[GameIsOver]:[GameIsOver]], 1, Table1[[AwayTeam]:[AwayTeam]], $A38, Table1[[HomeTeam]:[HomeTeam]], B$36) + SUMIFS(Table1[[HomeWon]:[HomeWon]], Table1[[GameIsOver]:[GameIsOver]], 1, Table1[[HomeTeam]:[HomeTeam]], $A38, Table1[[AwayTeam]:[AwayTeam]], B$36))) + (SUMIFS(Table1[[HomeWon]:[HomeWon]], Table1[[GameIsOver]:[GameIsOver]], 1, Table1[[AwayTeam]:[AwayTeam]], $A38, Table1[[HomeTeam]:[HomeTeam]],  B$36, Table1[[ActualResult]:[ActualResult]], "OT") + SUMIFS(Table1[[AwayWon]:[AwayWon]], Table1[[GameIsOver]:[GameIsOver]], 1, Table1[[HomeTeam]:[HomeTeam]], $A38, Table1[[AwayTeam]:[AwayTeam]], B$36, Table1[[ActualResult]:[ActualResult]], "OT") + SUMIFS(Table1[[HomeWon]:[HomeWon]], Table1[[GameIsOver]:[GameIsOver]], 1, Table1[[AwayTeam]:[AwayTeam]], $A38, Table1[[HomeTeam]:[HomeTeam]], B$36, Table1[[ActualResult]:[ActualResult]], "SO") + SUMIFS(Table1[[AwayWon]:[AwayWon]], Table1[[GameIsOver]:[GameIsOver]], 1, Table1[[HomeTeam]:[HomeTeam]], $A38, Table1[[AwayTeam]:[AwayTeam]], B$36, Table1[[ActualResult]:[ActualResult]], "SO")))/ (2*((COUNTIFS(Table1[[GameIsOver]:[GameIsOver]],1,Table1[[AwayTeam]:[AwayTeam]],$A38, Table1[[HomeTeam]:[HomeTeam]], B$36)))+( COUNTIFS(Table1[[GameIsOver]:[GameIsOver]],1,Table1[[AwayTeam]:[AwayTeam]],B$36, Table1[[HomeTeam]:[HomeTeam]],$A38))), "")</f>
        <v/>
      </c>
      <c r="C38" s="36" t="str">
        <f>IFERROR(((2 * (SUMIFS(Table1[[AwayWon]:[AwayWon]], Table1[[GameIsOver]:[GameIsOver]], 1, Table1[[AwayTeam]:[AwayTeam]], $A38, Table1[[HomeTeam]:[HomeTeam]], C$36) + SUMIFS(Table1[[HomeWon]:[HomeWon]], Table1[[GameIsOver]:[GameIsOver]], 1, Table1[[HomeTeam]:[HomeTeam]], $A38, Table1[[AwayTeam]:[AwayTeam]], C$36))) + (SUMIFS(Table1[[HomeWon]:[HomeWon]], Table1[[GameIsOver]:[GameIsOver]], 1, Table1[[AwayTeam]:[AwayTeam]], $A38, Table1[[HomeTeam]:[HomeTeam]],  C$36, Table1[[ActualResult]:[ActualResult]], "OT") + SUMIFS(Table1[[AwayWon]:[AwayWon]], Table1[[GameIsOver]:[GameIsOver]], 1, Table1[[HomeTeam]:[HomeTeam]], $A38, Table1[[AwayTeam]:[AwayTeam]], C$36, Table1[[ActualResult]:[ActualResult]], "OT") + SUMIFS(Table1[[HomeWon]:[HomeWon]], Table1[[GameIsOver]:[GameIsOver]], 1, Table1[[AwayTeam]:[AwayTeam]], $A38, Table1[[HomeTeam]:[HomeTeam]], C$36, Table1[[ActualResult]:[ActualResult]], "SO") + SUMIFS(Table1[[AwayWon]:[AwayWon]], Table1[[GameIsOver]:[GameIsOver]], 1, Table1[[HomeTeam]:[HomeTeam]], $A38, Table1[[AwayTeam]:[AwayTeam]], C$36, Table1[[ActualResult]:[ActualResult]], "SO")))/ (2*((COUNTIFS(Table1[[GameIsOver]:[GameIsOver]],1,Table1[[AwayTeam]:[AwayTeam]],$A38, Table1[[HomeTeam]:[HomeTeam]], C$36)))+( COUNTIFS(Table1[[GameIsOver]:[GameIsOver]],1,Table1[[AwayTeam]:[AwayTeam]],C$36, Table1[[HomeTeam]:[HomeTeam]],$A38))), "")</f>
        <v/>
      </c>
      <c r="D38" s="36" t="str">
        <f>IFERROR(((2 * (SUMIFS(Table1[[AwayWon]:[AwayWon]], Table1[[GameIsOver]:[GameIsOver]], 1, Table1[[AwayTeam]:[AwayTeam]], $A38, Table1[[HomeTeam]:[HomeTeam]], D$36) + SUMIFS(Table1[[HomeWon]:[HomeWon]], Table1[[GameIsOver]:[GameIsOver]], 1, Table1[[HomeTeam]:[HomeTeam]], $A38, Table1[[AwayTeam]:[AwayTeam]], D$36))) + (SUMIFS(Table1[[HomeWon]:[HomeWon]], Table1[[GameIsOver]:[GameIsOver]], 1, Table1[[AwayTeam]:[AwayTeam]], $A38, Table1[[HomeTeam]:[HomeTeam]],  D$36, Table1[[ActualResult]:[ActualResult]], "OT") + SUMIFS(Table1[[AwayWon]:[AwayWon]], Table1[[GameIsOver]:[GameIsOver]], 1, Table1[[HomeTeam]:[HomeTeam]], $A38, Table1[[AwayTeam]:[AwayTeam]], D$36, Table1[[ActualResult]:[ActualResult]], "OT") + SUMIFS(Table1[[HomeWon]:[HomeWon]], Table1[[GameIsOver]:[GameIsOver]], 1, Table1[[AwayTeam]:[AwayTeam]], $A38, Table1[[HomeTeam]:[HomeTeam]], D$36, Table1[[ActualResult]:[ActualResult]], "SO") + SUMIFS(Table1[[AwayWon]:[AwayWon]], Table1[[GameIsOver]:[GameIsOver]], 1, Table1[[HomeTeam]:[HomeTeam]], $A38, Table1[[AwayTeam]:[AwayTeam]], D$36, Table1[[ActualResult]:[ActualResult]], "SO")))/ (2*((COUNTIFS(Table1[[GameIsOver]:[GameIsOver]],1,Table1[[AwayTeam]:[AwayTeam]],$A38, Table1[[HomeTeam]:[HomeTeam]], D$36)))+( COUNTIFS(Table1[[GameIsOver]:[GameIsOver]],1,Table1[[AwayTeam]:[AwayTeam]],D$36, Table1[[HomeTeam]:[HomeTeam]],$A38))), "")</f>
        <v/>
      </c>
      <c r="E38" s="36" t="str">
        <f>IFERROR(((2 * (SUMIFS(Table1[[AwayWon]:[AwayWon]], Table1[[GameIsOver]:[GameIsOver]], 1, Table1[[AwayTeam]:[AwayTeam]], $A38, Table1[[HomeTeam]:[HomeTeam]], E$36) + SUMIFS(Table1[[HomeWon]:[HomeWon]], Table1[[GameIsOver]:[GameIsOver]], 1, Table1[[HomeTeam]:[HomeTeam]], $A38, Table1[[AwayTeam]:[AwayTeam]], E$36))) + (SUMIFS(Table1[[HomeWon]:[HomeWon]], Table1[[GameIsOver]:[GameIsOver]], 1, Table1[[AwayTeam]:[AwayTeam]], $A38, Table1[[HomeTeam]:[HomeTeam]],  E$36, Table1[[ActualResult]:[ActualResult]], "OT") + SUMIFS(Table1[[AwayWon]:[AwayWon]], Table1[[GameIsOver]:[GameIsOver]], 1, Table1[[HomeTeam]:[HomeTeam]], $A38, Table1[[AwayTeam]:[AwayTeam]], E$36, Table1[[ActualResult]:[ActualResult]], "OT") + SUMIFS(Table1[[HomeWon]:[HomeWon]], Table1[[GameIsOver]:[GameIsOver]], 1, Table1[[AwayTeam]:[AwayTeam]], $A38, Table1[[HomeTeam]:[HomeTeam]], E$36, Table1[[ActualResult]:[ActualResult]], "SO") + SUMIFS(Table1[[AwayWon]:[AwayWon]], Table1[[GameIsOver]:[GameIsOver]], 1, Table1[[HomeTeam]:[HomeTeam]], $A38, Table1[[AwayTeam]:[AwayTeam]], E$36, Table1[[ActualResult]:[ActualResult]], "SO")))/ (2*((COUNTIFS(Table1[[GameIsOver]:[GameIsOver]],1,Table1[[AwayTeam]:[AwayTeam]],$A38, Table1[[HomeTeam]:[HomeTeam]], E$36)))+( COUNTIFS(Table1[[GameIsOver]:[GameIsOver]],1,Table1[[AwayTeam]:[AwayTeam]],E$36, Table1[[HomeTeam]:[HomeTeam]],$A38))), "")</f>
        <v/>
      </c>
      <c r="F38" s="36">
        <f>IFERROR(((2 * (SUMIFS(Table1[[AwayWon]:[AwayWon]], Table1[[GameIsOver]:[GameIsOver]], 1, Table1[[AwayTeam]:[AwayTeam]], $A38, Table1[[HomeTeam]:[HomeTeam]], F$36) + SUMIFS(Table1[[HomeWon]:[HomeWon]], Table1[[GameIsOver]:[GameIsOver]], 1, Table1[[HomeTeam]:[HomeTeam]], $A38, Table1[[AwayTeam]:[AwayTeam]], F$36))) + (SUMIFS(Table1[[HomeWon]:[HomeWon]], Table1[[GameIsOver]:[GameIsOver]], 1, Table1[[AwayTeam]:[AwayTeam]], $A38, Table1[[HomeTeam]:[HomeTeam]],  F$36, Table1[[ActualResult]:[ActualResult]], "OT") + SUMIFS(Table1[[AwayWon]:[AwayWon]], Table1[[GameIsOver]:[GameIsOver]], 1, Table1[[HomeTeam]:[HomeTeam]], $A38, Table1[[AwayTeam]:[AwayTeam]], F$36, Table1[[ActualResult]:[ActualResult]], "OT") + SUMIFS(Table1[[HomeWon]:[HomeWon]], Table1[[GameIsOver]:[GameIsOver]], 1, Table1[[AwayTeam]:[AwayTeam]], $A38, Table1[[HomeTeam]:[HomeTeam]], F$36, Table1[[ActualResult]:[ActualResult]], "SO") + SUMIFS(Table1[[AwayWon]:[AwayWon]], Table1[[GameIsOver]:[GameIsOver]], 1, Table1[[HomeTeam]:[HomeTeam]], $A38, Table1[[AwayTeam]:[AwayTeam]], F$36, Table1[[ActualResult]:[ActualResult]], "SO")))/ (2*((COUNTIFS(Table1[[GameIsOver]:[GameIsOver]],1,Table1[[AwayTeam]:[AwayTeam]],$A38, Table1[[HomeTeam]:[HomeTeam]], F$36)))+( COUNTIFS(Table1[[GameIsOver]:[GameIsOver]],1,Table1[[AwayTeam]:[AwayTeam]],F$36, Table1[[HomeTeam]:[HomeTeam]],$A38))), "")</f>
        <v>0</v>
      </c>
      <c r="G38" s="36" t="str">
        <f>IFERROR(((2 * (SUMIFS(Table1[[AwayWon]:[AwayWon]], Table1[[GameIsOver]:[GameIsOver]], 1, Table1[[AwayTeam]:[AwayTeam]], $A38, Table1[[HomeTeam]:[HomeTeam]], G$36) + SUMIFS(Table1[[HomeWon]:[HomeWon]], Table1[[GameIsOver]:[GameIsOver]], 1, Table1[[HomeTeam]:[HomeTeam]], $A38, Table1[[AwayTeam]:[AwayTeam]], G$36))) + (SUMIFS(Table1[[HomeWon]:[HomeWon]], Table1[[GameIsOver]:[GameIsOver]], 1, Table1[[AwayTeam]:[AwayTeam]], $A38, Table1[[HomeTeam]:[HomeTeam]],  G$36, Table1[[ActualResult]:[ActualResult]], "OT") + SUMIFS(Table1[[AwayWon]:[AwayWon]], Table1[[GameIsOver]:[GameIsOver]], 1, Table1[[HomeTeam]:[HomeTeam]], $A38, Table1[[AwayTeam]:[AwayTeam]], G$36, Table1[[ActualResult]:[ActualResult]], "OT") + SUMIFS(Table1[[HomeWon]:[HomeWon]], Table1[[GameIsOver]:[GameIsOver]], 1, Table1[[AwayTeam]:[AwayTeam]], $A38, Table1[[HomeTeam]:[HomeTeam]], G$36, Table1[[ActualResult]:[ActualResult]], "SO") + SUMIFS(Table1[[AwayWon]:[AwayWon]], Table1[[GameIsOver]:[GameIsOver]], 1, Table1[[HomeTeam]:[HomeTeam]], $A38, Table1[[AwayTeam]:[AwayTeam]], G$36, Table1[[ActualResult]:[ActualResult]], "SO")))/ (2*((COUNTIFS(Table1[[GameIsOver]:[GameIsOver]],1,Table1[[AwayTeam]:[AwayTeam]],$A38, Table1[[HomeTeam]:[HomeTeam]], G$36)))+( COUNTIFS(Table1[[GameIsOver]:[GameIsOver]],1,Table1[[AwayTeam]:[AwayTeam]],G$36, Table1[[HomeTeam]:[HomeTeam]],$A38))), "")</f>
        <v/>
      </c>
      <c r="H38" s="36" t="str">
        <f>IFERROR(((2 * (SUMIFS(Table1[[AwayWon]:[AwayWon]], Table1[[GameIsOver]:[GameIsOver]], 1, Table1[[AwayTeam]:[AwayTeam]], $A38, Table1[[HomeTeam]:[HomeTeam]], H$36) + SUMIFS(Table1[[HomeWon]:[HomeWon]], Table1[[GameIsOver]:[GameIsOver]], 1, Table1[[HomeTeam]:[HomeTeam]], $A38, Table1[[AwayTeam]:[AwayTeam]], H$36))) + (SUMIFS(Table1[[HomeWon]:[HomeWon]], Table1[[GameIsOver]:[GameIsOver]], 1, Table1[[AwayTeam]:[AwayTeam]], $A38, Table1[[HomeTeam]:[HomeTeam]],  H$36, Table1[[ActualResult]:[ActualResult]], "OT") + SUMIFS(Table1[[AwayWon]:[AwayWon]], Table1[[GameIsOver]:[GameIsOver]], 1, Table1[[HomeTeam]:[HomeTeam]], $A38, Table1[[AwayTeam]:[AwayTeam]], H$36, Table1[[ActualResult]:[ActualResult]], "OT") + SUMIFS(Table1[[HomeWon]:[HomeWon]], Table1[[GameIsOver]:[GameIsOver]], 1, Table1[[AwayTeam]:[AwayTeam]], $A38, Table1[[HomeTeam]:[HomeTeam]], H$36, Table1[[ActualResult]:[ActualResult]], "SO") + SUMIFS(Table1[[AwayWon]:[AwayWon]], Table1[[GameIsOver]:[GameIsOver]], 1, Table1[[HomeTeam]:[HomeTeam]], $A38, Table1[[AwayTeam]:[AwayTeam]], H$36, Table1[[ActualResult]:[ActualResult]], "SO")))/ (2*((COUNTIFS(Table1[[GameIsOver]:[GameIsOver]],1,Table1[[AwayTeam]:[AwayTeam]],$A38, Table1[[HomeTeam]:[HomeTeam]], H$36)))+( COUNTIFS(Table1[[GameIsOver]:[GameIsOver]],1,Table1[[AwayTeam]:[AwayTeam]],H$36, Table1[[HomeTeam]:[HomeTeam]],$A38))), "")</f>
        <v/>
      </c>
      <c r="I38" s="38" t="str">
        <f>IFERROR(((2 * (SUMIFS(Table1[[AwayWon]:[AwayWon]], Table1[[GameIsOver]:[GameIsOver]], 1, Table1[[AwayTeam]:[AwayTeam]], $A38, Table1[[HomeTeam]:[HomeTeam]], I$36) + SUMIFS(Table1[[HomeWon]:[HomeWon]], Table1[[GameIsOver]:[GameIsOver]], 1, Table1[[HomeTeam]:[HomeTeam]], $A38, Table1[[AwayTeam]:[AwayTeam]], I$36))) + (SUMIFS(Table1[[HomeWon]:[HomeWon]], Table1[[GameIsOver]:[GameIsOver]], 1, Table1[[AwayTeam]:[AwayTeam]], $A38, Table1[[HomeTeam]:[HomeTeam]],  I$36, Table1[[ActualResult]:[ActualResult]], "OT") + SUMIFS(Table1[[AwayWon]:[AwayWon]], Table1[[GameIsOver]:[GameIsOver]], 1, Table1[[HomeTeam]:[HomeTeam]], $A38, Table1[[AwayTeam]:[AwayTeam]], I$36, Table1[[ActualResult]:[ActualResult]], "OT") + SUMIFS(Table1[[HomeWon]:[HomeWon]], Table1[[GameIsOver]:[GameIsOver]], 1, Table1[[AwayTeam]:[AwayTeam]], $A38, Table1[[HomeTeam]:[HomeTeam]], I$36, Table1[[ActualResult]:[ActualResult]], "SO") + SUMIFS(Table1[[AwayWon]:[AwayWon]], Table1[[GameIsOver]:[GameIsOver]], 1, Table1[[HomeTeam]:[HomeTeam]], $A38, Table1[[AwayTeam]:[AwayTeam]], I$36, Table1[[ActualResult]:[ActualResult]], "SO")))/ (2*((COUNTIFS(Table1[[GameIsOver]:[GameIsOver]],1,Table1[[AwayTeam]:[AwayTeam]],$A38, Table1[[HomeTeam]:[HomeTeam]], I$36)))+( COUNTIFS(Table1[[GameIsOver]:[GameIsOver]],1,Table1[[AwayTeam]:[AwayTeam]],I$36, Table1[[HomeTeam]:[HomeTeam]],$A38))), "")</f>
        <v/>
      </c>
      <c r="J38" s="36" t="str">
        <f>IFERROR(((2 * (SUMIFS(Table1[[AwayWon]:[AwayWon]], Table1[[GameIsOver]:[GameIsOver]], 1, Table1[[AwayTeam]:[AwayTeam]], $A38, Table1[[HomeTeam]:[HomeTeam]], J$36) + SUMIFS(Table1[[HomeWon]:[HomeWon]], Table1[[GameIsOver]:[GameIsOver]], 1, Table1[[HomeTeam]:[HomeTeam]], $A38, Table1[[AwayTeam]:[AwayTeam]], J$36))) + (SUMIFS(Table1[[HomeWon]:[HomeWon]], Table1[[GameIsOver]:[GameIsOver]], 1, Table1[[AwayTeam]:[AwayTeam]], $A38, Table1[[HomeTeam]:[HomeTeam]],  J$36, Table1[[ActualResult]:[ActualResult]], "OT") + SUMIFS(Table1[[AwayWon]:[AwayWon]], Table1[[GameIsOver]:[GameIsOver]], 1, Table1[[HomeTeam]:[HomeTeam]], $A38, Table1[[AwayTeam]:[AwayTeam]], J$36, Table1[[ActualResult]:[ActualResult]], "OT") + SUMIFS(Table1[[HomeWon]:[HomeWon]], Table1[[GameIsOver]:[GameIsOver]], 1, Table1[[AwayTeam]:[AwayTeam]], $A38, Table1[[HomeTeam]:[HomeTeam]], J$36, Table1[[ActualResult]:[ActualResult]], "SO") + SUMIFS(Table1[[AwayWon]:[AwayWon]], Table1[[GameIsOver]:[GameIsOver]], 1, Table1[[HomeTeam]:[HomeTeam]], $A38, Table1[[AwayTeam]:[AwayTeam]], J$36, Table1[[ActualResult]:[ActualResult]], "SO")))/ (2*((COUNTIFS(Table1[[GameIsOver]:[GameIsOver]],1,Table1[[AwayTeam]:[AwayTeam]],$A38, Table1[[HomeTeam]:[HomeTeam]], J$36)))+( COUNTIFS(Table1[[GameIsOver]:[GameIsOver]],1,Table1[[AwayTeam]:[AwayTeam]],J$36, Table1[[HomeTeam]:[HomeTeam]],$A38))), "")</f>
        <v/>
      </c>
      <c r="K38" s="36" t="str">
        <f>IFERROR(((2 * (SUMIFS(Table1[[AwayWon]:[AwayWon]], Table1[[GameIsOver]:[GameIsOver]], 1, Table1[[AwayTeam]:[AwayTeam]], $A38, Table1[[HomeTeam]:[HomeTeam]], K$36) + SUMIFS(Table1[[HomeWon]:[HomeWon]], Table1[[GameIsOver]:[GameIsOver]], 1, Table1[[HomeTeam]:[HomeTeam]], $A38, Table1[[AwayTeam]:[AwayTeam]], K$36))) + (SUMIFS(Table1[[HomeWon]:[HomeWon]], Table1[[GameIsOver]:[GameIsOver]], 1, Table1[[AwayTeam]:[AwayTeam]], $A38, Table1[[HomeTeam]:[HomeTeam]],  K$36, Table1[[ActualResult]:[ActualResult]], "OT") + SUMIFS(Table1[[AwayWon]:[AwayWon]], Table1[[GameIsOver]:[GameIsOver]], 1, Table1[[HomeTeam]:[HomeTeam]], $A38, Table1[[AwayTeam]:[AwayTeam]], K$36, Table1[[ActualResult]:[ActualResult]], "OT") + SUMIFS(Table1[[HomeWon]:[HomeWon]], Table1[[GameIsOver]:[GameIsOver]], 1, Table1[[AwayTeam]:[AwayTeam]], $A38, Table1[[HomeTeam]:[HomeTeam]], K$36, Table1[[ActualResult]:[ActualResult]], "SO") + SUMIFS(Table1[[AwayWon]:[AwayWon]], Table1[[GameIsOver]:[GameIsOver]], 1, Table1[[HomeTeam]:[HomeTeam]], $A38, Table1[[AwayTeam]:[AwayTeam]], K$36, Table1[[ActualResult]:[ActualResult]], "SO")))/ (2*((COUNTIFS(Table1[[GameIsOver]:[GameIsOver]],1,Table1[[AwayTeam]:[AwayTeam]],$A38, Table1[[HomeTeam]:[HomeTeam]], K$36)))+( COUNTIFS(Table1[[GameIsOver]:[GameIsOver]],1,Table1[[AwayTeam]:[AwayTeam]],K$36, Table1[[HomeTeam]:[HomeTeam]],$A38))), "")</f>
        <v/>
      </c>
      <c r="L38" s="36" t="str">
        <f>IFERROR(((2 * (SUMIFS(Table1[[AwayWon]:[AwayWon]], Table1[[GameIsOver]:[GameIsOver]], 1, Table1[[AwayTeam]:[AwayTeam]], $A38, Table1[[HomeTeam]:[HomeTeam]], L$36) + SUMIFS(Table1[[HomeWon]:[HomeWon]], Table1[[GameIsOver]:[GameIsOver]], 1, Table1[[HomeTeam]:[HomeTeam]], $A38, Table1[[AwayTeam]:[AwayTeam]], L$36))) + (SUMIFS(Table1[[HomeWon]:[HomeWon]], Table1[[GameIsOver]:[GameIsOver]], 1, Table1[[AwayTeam]:[AwayTeam]], $A38, Table1[[HomeTeam]:[HomeTeam]],  L$36, Table1[[ActualResult]:[ActualResult]], "OT") + SUMIFS(Table1[[AwayWon]:[AwayWon]], Table1[[GameIsOver]:[GameIsOver]], 1, Table1[[HomeTeam]:[HomeTeam]], $A38, Table1[[AwayTeam]:[AwayTeam]], L$36, Table1[[ActualResult]:[ActualResult]], "OT") + SUMIFS(Table1[[HomeWon]:[HomeWon]], Table1[[GameIsOver]:[GameIsOver]], 1, Table1[[AwayTeam]:[AwayTeam]], $A38, Table1[[HomeTeam]:[HomeTeam]], L$36, Table1[[ActualResult]:[ActualResult]], "SO") + SUMIFS(Table1[[AwayWon]:[AwayWon]], Table1[[GameIsOver]:[GameIsOver]], 1, Table1[[HomeTeam]:[HomeTeam]], $A38, Table1[[AwayTeam]:[AwayTeam]], L$36, Table1[[ActualResult]:[ActualResult]], "SO")))/ (2*((COUNTIFS(Table1[[GameIsOver]:[GameIsOver]],1,Table1[[AwayTeam]:[AwayTeam]],$A38, Table1[[HomeTeam]:[HomeTeam]], L$36)))+( COUNTIFS(Table1[[GameIsOver]:[GameIsOver]],1,Table1[[AwayTeam]:[AwayTeam]],L$36, Table1[[HomeTeam]:[HomeTeam]],$A38))), "")</f>
        <v/>
      </c>
      <c r="M38" s="36" t="str">
        <f>IFERROR(((2 * (SUMIFS(Table1[[AwayWon]:[AwayWon]], Table1[[GameIsOver]:[GameIsOver]], 1, Table1[[AwayTeam]:[AwayTeam]], $A38, Table1[[HomeTeam]:[HomeTeam]], M$36) + SUMIFS(Table1[[HomeWon]:[HomeWon]], Table1[[GameIsOver]:[GameIsOver]], 1, Table1[[HomeTeam]:[HomeTeam]], $A38, Table1[[AwayTeam]:[AwayTeam]], M$36))) + (SUMIFS(Table1[[HomeWon]:[HomeWon]], Table1[[GameIsOver]:[GameIsOver]], 1, Table1[[AwayTeam]:[AwayTeam]], $A38, Table1[[HomeTeam]:[HomeTeam]],  M$36, Table1[[ActualResult]:[ActualResult]], "OT") + SUMIFS(Table1[[AwayWon]:[AwayWon]], Table1[[GameIsOver]:[GameIsOver]], 1, Table1[[HomeTeam]:[HomeTeam]], $A38, Table1[[AwayTeam]:[AwayTeam]], M$36, Table1[[ActualResult]:[ActualResult]], "OT") + SUMIFS(Table1[[HomeWon]:[HomeWon]], Table1[[GameIsOver]:[GameIsOver]], 1, Table1[[AwayTeam]:[AwayTeam]], $A38, Table1[[HomeTeam]:[HomeTeam]], M$36, Table1[[ActualResult]:[ActualResult]], "SO") + SUMIFS(Table1[[AwayWon]:[AwayWon]], Table1[[GameIsOver]:[GameIsOver]], 1, Table1[[HomeTeam]:[HomeTeam]], $A38, Table1[[AwayTeam]:[AwayTeam]], M$36, Table1[[ActualResult]:[ActualResult]], "SO")))/ (2*((COUNTIFS(Table1[[GameIsOver]:[GameIsOver]],1,Table1[[AwayTeam]:[AwayTeam]],$A38, Table1[[HomeTeam]:[HomeTeam]], M$36)))+( COUNTIFS(Table1[[GameIsOver]:[GameIsOver]],1,Table1[[AwayTeam]:[AwayTeam]],M$36, Table1[[HomeTeam]:[HomeTeam]],$A38))), "")</f>
        <v/>
      </c>
      <c r="N38" s="36" t="str">
        <f>IFERROR(((2 * (SUMIFS(Table1[[AwayWon]:[AwayWon]], Table1[[GameIsOver]:[GameIsOver]], 1, Table1[[AwayTeam]:[AwayTeam]], $A38, Table1[[HomeTeam]:[HomeTeam]], N$36) + SUMIFS(Table1[[HomeWon]:[HomeWon]], Table1[[GameIsOver]:[GameIsOver]], 1, Table1[[HomeTeam]:[HomeTeam]], $A38, Table1[[AwayTeam]:[AwayTeam]], N$36))) + (SUMIFS(Table1[[HomeWon]:[HomeWon]], Table1[[GameIsOver]:[GameIsOver]], 1, Table1[[AwayTeam]:[AwayTeam]], $A38, Table1[[HomeTeam]:[HomeTeam]],  N$36, Table1[[ActualResult]:[ActualResult]], "OT") + SUMIFS(Table1[[AwayWon]:[AwayWon]], Table1[[GameIsOver]:[GameIsOver]], 1, Table1[[HomeTeam]:[HomeTeam]], $A38, Table1[[AwayTeam]:[AwayTeam]], N$36, Table1[[ActualResult]:[ActualResult]], "OT") + SUMIFS(Table1[[HomeWon]:[HomeWon]], Table1[[GameIsOver]:[GameIsOver]], 1, Table1[[AwayTeam]:[AwayTeam]], $A38, Table1[[HomeTeam]:[HomeTeam]], N$36, Table1[[ActualResult]:[ActualResult]], "SO") + SUMIFS(Table1[[AwayWon]:[AwayWon]], Table1[[GameIsOver]:[GameIsOver]], 1, Table1[[HomeTeam]:[HomeTeam]], $A38, Table1[[AwayTeam]:[AwayTeam]], N$36, Table1[[ActualResult]:[ActualResult]], "SO")))/ (2*((COUNTIFS(Table1[[GameIsOver]:[GameIsOver]],1,Table1[[AwayTeam]:[AwayTeam]],$A38, Table1[[HomeTeam]:[HomeTeam]], N$36)))+( COUNTIFS(Table1[[GameIsOver]:[GameIsOver]],1,Table1[[AwayTeam]:[AwayTeam]],N$36, Table1[[HomeTeam]:[HomeTeam]],$A38))), "")</f>
        <v/>
      </c>
      <c r="O38" s="36" t="str">
        <f>IFERROR(((2 * (SUMIFS(Table1[[AwayWon]:[AwayWon]], Table1[[GameIsOver]:[GameIsOver]], 1, Table1[[AwayTeam]:[AwayTeam]], $A38, Table1[[HomeTeam]:[HomeTeam]], O$36) + SUMIFS(Table1[[HomeWon]:[HomeWon]], Table1[[GameIsOver]:[GameIsOver]], 1, Table1[[HomeTeam]:[HomeTeam]], $A38, Table1[[AwayTeam]:[AwayTeam]], O$36))) + (SUMIFS(Table1[[HomeWon]:[HomeWon]], Table1[[GameIsOver]:[GameIsOver]], 1, Table1[[AwayTeam]:[AwayTeam]], $A38, Table1[[HomeTeam]:[HomeTeam]],  O$36, Table1[[ActualResult]:[ActualResult]], "OT") + SUMIFS(Table1[[AwayWon]:[AwayWon]], Table1[[GameIsOver]:[GameIsOver]], 1, Table1[[HomeTeam]:[HomeTeam]], $A38, Table1[[AwayTeam]:[AwayTeam]], O$36, Table1[[ActualResult]:[ActualResult]], "OT") + SUMIFS(Table1[[HomeWon]:[HomeWon]], Table1[[GameIsOver]:[GameIsOver]], 1, Table1[[AwayTeam]:[AwayTeam]], $A38, Table1[[HomeTeam]:[HomeTeam]], O$36, Table1[[ActualResult]:[ActualResult]], "SO") + SUMIFS(Table1[[AwayWon]:[AwayWon]], Table1[[GameIsOver]:[GameIsOver]], 1, Table1[[HomeTeam]:[HomeTeam]], $A38, Table1[[AwayTeam]:[AwayTeam]], O$36, Table1[[ActualResult]:[ActualResult]], "SO")))/ (2*((COUNTIFS(Table1[[GameIsOver]:[GameIsOver]],1,Table1[[AwayTeam]:[AwayTeam]],$A38, Table1[[HomeTeam]:[HomeTeam]], O$36)))+( COUNTIFS(Table1[[GameIsOver]:[GameIsOver]],1,Table1[[AwayTeam]:[AwayTeam]],O$36, Table1[[HomeTeam]:[HomeTeam]],$A38))), "")</f>
        <v/>
      </c>
      <c r="P38" s="36" t="str">
        <f>IFERROR(((2 * (SUMIFS(Table1[[AwayWon]:[AwayWon]], Table1[[GameIsOver]:[GameIsOver]], 1, Table1[[AwayTeam]:[AwayTeam]], $A38, Table1[[HomeTeam]:[HomeTeam]], P$36) + SUMIFS(Table1[[HomeWon]:[HomeWon]], Table1[[GameIsOver]:[GameIsOver]], 1, Table1[[HomeTeam]:[HomeTeam]], $A38, Table1[[AwayTeam]:[AwayTeam]], P$36))) + (SUMIFS(Table1[[HomeWon]:[HomeWon]], Table1[[GameIsOver]:[GameIsOver]], 1, Table1[[AwayTeam]:[AwayTeam]], $A38, Table1[[HomeTeam]:[HomeTeam]],  P$36, Table1[[ActualResult]:[ActualResult]], "OT") + SUMIFS(Table1[[AwayWon]:[AwayWon]], Table1[[GameIsOver]:[GameIsOver]], 1, Table1[[HomeTeam]:[HomeTeam]], $A38, Table1[[AwayTeam]:[AwayTeam]], P$36, Table1[[ActualResult]:[ActualResult]], "OT") + SUMIFS(Table1[[HomeWon]:[HomeWon]], Table1[[GameIsOver]:[GameIsOver]], 1, Table1[[AwayTeam]:[AwayTeam]], $A38, Table1[[HomeTeam]:[HomeTeam]], P$36, Table1[[ActualResult]:[ActualResult]], "SO") + SUMIFS(Table1[[AwayWon]:[AwayWon]], Table1[[GameIsOver]:[GameIsOver]], 1, Table1[[HomeTeam]:[HomeTeam]], $A38, Table1[[AwayTeam]:[AwayTeam]], P$36, Table1[[ActualResult]:[ActualResult]], "SO")))/ (2*((COUNTIFS(Table1[[GameIsOver]:[GameIsOver]],1,Table1[[AwayTeam]:[AwayTeam]],$A38, Table1[[HomeTeam]:[HomeTeam]], P$36)))+( COUNTIFS(Table1[[GameIsOver]:[GameIsOver]],1,Table1[[AwayTeam]:[AwayTeam]],P$36, Table1[[HomeTeam]:[HomeTeam]],$A38))), "")</f>
        <v/>
      </c>
      <c r="Q38" s="38" t="str">
        <f>IFERROR(((2 * (SUMIFS(Table1[[AwayWon]:[AwayWon]], Table1[[GameIsOver]:[GameIsOver]], 1, Table1[[AwayTeam]:[AwayTeam]], $A38, Table1[[HomeTeam]:[HomeTeam]], Q$36) + SUMIFS(Table1[[HomeWon]:[HomeWon]], Table1[[GameIsOver]:[GameIsOver]], 1, Table1[[HomeTeam]:[HomeTeam]], $A38, Table1[[AwayTeam]:[AwayTeam]], Q$36))) + (SUMIFS(Table1[[HomeWon]:[HomeWon]], Table1[[GameIsOver]:[GameIsOver]], 1, Table1[[AwayTeam]:[AwayTeam]], $A38, Table1[[HomeTeam]:[HomeTeam]],  Q$36, Table1[[ActualResult]:[ActualResult]], "OT") + SUMIFS(Table1[[AwayWon]:[AwayWon]], Table1[[GameIsOver]:[GameIsOver]], 1, Table1[[HomeTeam]:[HomeTeam]], $A38, Table1[[AwayTeam]:[AwayTeam]], Q$36, Table1[[ActualResult]:[ActualResult]], "OT") + SUMIFS(Table1[[HomeWon]:[HomeWon]], Table1[[GameIsOver]:[GameIsOver]], 1, Table1[[AwayTeam]:[AwayTeam]], $A38, Table1[[HomeTeam]:[HomeTeam]], Q$36, Table1[[ActualResult]:[ActualResult]], "SO") + SUMIFS(Table1[[AwayWon]:[AwayWon]], Table1[[GameIsOver]:[GameIsOver]], 1, Table1[[HomeTeam]:[HomeTeam]], $A38, Table1[[AwayTeam]:[AwayTeam]], Q$36, Table1[[ActualResult]:[ActualResult]], "SO")))/ (2*((COUNTIFS(Table1[[GameIsOver]:[GameIsOver]],1,Table1[[AwayTeam]:[AwayTeam]],$A38, Table1[[HomeTeam]:[HomeTeam]], Q$36)))+( COUNTIFS(Table1[[GameIsOver]:[GameIsOver]],1,Table1[[AwayTeam]:[AwayTeam]],Q$36, Table1[[HomeTeam]:[HomeTeam]],$A38))), "")</f>
        <v/>
      </c>
      <c r="R38" s="36" t="str">
        <f>IFERROR(((2 * (SUMIFS(Table1[[AwayWon]:[AwayWon]], Table1[[GameIsOver]:[GameIsOver]], 1, Table1[[AwayTeam]:[AwayTeam]], $A38, Table1[[HomeTeam]:[HomeTeam]], R$36) + SUMIFS(Table1[[HomeWon]:[HomeWon]], Table1[[GameIsOver]:[GameIsOver]], 1, Table1[[HomeTeam]:[HomeTeam]], $A38, Table1[[AwayTeam]:[AwayTeam]], R$36))) + (SUMIFS(Table1[[HomeWon]:[HomeWon]], Table1[[GameIsOver]:[GameIsOver]], 1, Table1[[AwayTeam]:[AwayTeam]], $A38, Table1[[HomeTeam]:[HomeTeam]],  R$36, Table1[[ActualResult]:[ActualResult]], "OT") + SUMIFS(Table1[[AwayWon]:[AwayWon]], Table1[[GameIsOver]:[GameIsOver]], 1, Table1[[HomeTeam]:[HomeTeam]], $A38, Table1[[AwayTeam]:[AwayTeam]], R$36, Table1[[ActualResult]:[ActualResult]], "OT") + SUMIFS(Table1[[HomeWon]:[HomeWon]], Table1[[GameIsOver]:[GameIsOver]], 1, Table1[[AwayTeam]:[AwayTeam]], $A38, Table1[[HomeTeam]:[HomeTeam]], R$36, Table1[[ActualResult]:[ActualResult]], "SO") + SUMIFS(Table1[[AwayWon]:[AwayWon]], Table1[[GameIsOver]:[GameIsOver]], 1, Table1[[HomeTeam]:[HomeTeam]], $A38, Table1[[AwayTeam]:[AwayTeam]], R$36, Table1[[ActualResult]:[ActualResult]], "SO")))/ (2*((COUNTIFS(Table1[[GameIsOver]:[GameIsOver]],1,Table1[[AwayTeam]:[AwayTeam]],$A38, Table1[[HomeTeam]:[HomeTeam]], R$36)))+( COUNTIFS(Table1[[GameIsOver]:[GameIsOver]],1,Table1[[AwayTeam]:[AwayTeam]],R$36, Table1[[HomeTeam]:[HomeTeam]],$A38))), "")</f>
        <v/>
      </c>
      <c r="S38" s="36" t="str">
        <f>IFERROR(((2 * (SUMIFS(Table1[[AwayWon]:[AwayWon]], Table1[[GameIsOver]:[GameIsOver]], 1, Table1[[AwayTeam]:[AwayTeam]], $A38, Table1[[HomeTeam]:[HomeTeam]], S$36) + SUMIFS(Table1[[HomeWon]:[HomeWon]], Table1[[GameIsOver]:[GameIsOver]], 1, Table1[[HomeTeam]:[HomeTeam]], $A38, Table1[[AwayTeam]:[AwayTeam]], S$36))) + (SUMIFS(Table1[[HomeWon]:[HomeWon]], Table1[[GameIsOver]:[GameIsOver]], 1, Table1[[AwayTeam]:[AwayTeam]], $A38, Table1[[HomeTeam]:[HomeTeam]],  S$36, Table1[[ActualResult]:[ActualResult]], "OT") + SUMIFS(Table1[[AwayWon]:[AwayWon]], Table1[[GameIsOver]:[GameIsOver]], 1, Table1[[HomeTeam]:[HomeTeam]], $A38, Table1[[AwayTeam]:[AwayTeam]], S$36, Table1[[ActualResult]:[ActualResult]], "OT") + SUMIFS(Table1[[HomeWon]:[HomeWon]], Table1[[GameIsOver]:[GameIsOver]], 1, Table1[[AwayTeam]:[AwayTeam]], $A38, Table1[[HomeTeam]:[HomeTeam]], S$36, Table1[[ActualResult]:[ActualResult]], "SO") + SUMIFS(Table1[[AwayWon]:[AwayWon]], Table1[[GameIsOver]:[GameIsOver]], 1, Table1[[HomeTeam]:[HomeTeam]], $A38, Table1[[AwayTeam]:[AwayTeam]], S$36, Table1[[ActualResult]:[ActualResult]], "SO")))/ (2*((COUNTIFS(Table1[[GameIsOver]:[GameIsOver]],1,Table1[[AwayTeam]:[AwayTeam]],$A38, Table1[[HomeTeam]:[HomeTeam]], S$36)))+( COUNTIFS(Table1[[GameIsOver]:[GameIsOver]],1,Table1[[AwayTeam]:[AwayTeam]],S$36, Table1[[HomeTeam]:[HomeTeam]],$A38))), "")</f>
        <v/>
      </c>
      <c r="T38" s="36" t="str">
        <f>IFERROR(((2 * (SUMIFS(Table1[[AwayWon]:[AwayWon]], Table1[[GameIsOver]:[GameIsOver]], 1, Table1[[AwayTeam]:[AwayTeam]], $A38, Table1[[HomeTeam]:[HomeTeam]], T$36) + SUMIFS(Table1[[HomeWon]:[HomeWon]], Table1[[GameIsOver]:[GameIsOver]], 1, Table1[[HomeTeam]:[HomeTeam]], $A38, Table1[[AwayTeam]:[AwayTeam]], T$36))) + (SUMIFS(Table1[[HomeWon]:[HomeWon]], Table1[[GameIsOver]:[GameIsOver]], 1, Table1[[AwayTeam]:[AwayTeam]], $A38, Table1[[HomeTeam]:[HomeTeam]],  T$36, Table1[[ActualResult]:[ActualResult]], "OT") + SUMIFS(Table1[[AwayWon]:[AwayWon]], Table1[[GameIsOver]:[GameIsOver]], 1, Table1[[HomeTeam]:[HomeTeam]], $A38, Table1[[AwayTeam]:[AwayTeam]], T$36, Table1[[ActualResult]:[ActualResult]], "OT") + SUMIFS(Table1[[HomeWon]:[HomeWon]], Table1[[GameIsOver]:[GameIsOver]], 1, Table1[[AwayTeam]:[AwayTeam]], $A38, Table1[[HomeTeam]:[HomeTeam]], T$36, Table1[[ActualResult]:[ActualResult]], "SO") + SUMIFS(Table1[[AwayWon]:[AwayWon]], Table1[[GameIsOver]:[GameIsOver]], 1, Table1[[HomeTeam]:[HomeTeam]], $A38, Table1[[AwayTeam]:[AwayTeam]], T$36, Table1[[ActualResult]:[ActualResult]], "SO")))/ (2*((COUNTIFS(Table1[[GameIsOver]:[GameIsOver]],1,Table1[[AwayTeam]:[AwayTeam]],$A38, Table1[[HomeTeam]:[HomeTeam]], T$36)))+( COUNTIFS(Table1[[GameIsOver]:[GameIsOver]],1,Table1[[AwayTeam]:[AwayTeam]],T$36, Table1[[HomeTeam]:[HomeTeam]],$A38))), "")</f>
        <v/>
      </c>
      <c r="U38" s="36" t="str">
        <f>IFERROR(((2 * (SUMIFS(Table1[[AwayWon]:[AwayWon]], Table1[[GameIsOver]:[GameIsOver]], 1, Table1[[AwayTeam]:[AwayTeam]], $A38, Table1[[HomeTeam]:[HomeTeam]], U$36) + SUMIFS(Table1[[HomeWon]:[HomeWon]], Table1[[GameIsOver]:[GameIsOver]], 1, Table1[[HomeTeam]:[HomeTeam]], $A38, Table1[[AwayTeam]:[AwayTeam]], U$36))) + (SUMIFS(Table1[[HomeWon]:[HomeWon]], Table1[[GameIsOver]:[GameIsOver]], 1, Table1[[AwayTeam]:[AwayTeam]], $A38, Table1[[HomeTeam]:[HomeTeam]],  U$36, Table1[[ActualResult]:[ActualResult]], "OT") + SUMIFS(Table1[[AwayWon]:[AwayWon]], Table1[[GameIsOver]:[GameIsOver]], 1, Table1[[HomeTeam]:[HomeTeam]], $A38, Table1[[AwayTeam]:[AwayTeam]], U$36, Table1[[ActualResult]:[ActualResult]], "OT") + SUMIFS(Table1[[HomeWon]:[HomeWon]], Table1[[GameIsOver]:[GameIsOver]], 1, Table1[[AwayTeam]:[AwayTeam]], $A38, Table1[[HomeTeam]:[HomeTeam]], U$36, Table1[[ActualResult]:[ActualResult]], "SO") + SUMIFS(Table1[[AwayWon]:[AwayWon]], Table1[[GameIsOver]:[GameIsOver]], 1, Table1[[HomeTeam]:[HomeTeam]], $A38, Table1[[AwayTeam]:[AwayTeam]], U$36, Table1[[ActualResult]:[ActualResult]], "SO")))/ (2*((COUNTIFS(Table1[[GameIsOver]:[GameIsOver]],1,Table1[[AwayTeam]:[AwayTeam]],$A38, Table1[[HomeTeam]:[HomeTeam]], U$36)))+( COUNTIFS(Table1[[GameIsOver]:[GameIsOver]],1,Table1[[AwayTeam]:[AwayTeam]],U$36, Table1[[HomeTeam]:[HomeTeam]],$A38))), "")</f>
        <v/>
      </c>
      <c r="V38" s="36" t="str">
        <f>IFERROR(((2 * (SUMIFS(Table1[[AwayWon]:[AwayWon]], Table1[[GameIsOver]:[GameIsOver]], 1, Table1[[AwayTeam]:[AwayTeam]], $A38, Table1[[HomeTeam]:[HomeTeam]], V$36) + SUMIFS(Table1[[HomeWon]:[HomeWon]], Table1[[GameIsOver]:[GameIsOver]], 1, Table1[[HomeTeam]:[HomeTeam]], $A38, Table1[[AwayTeam]:[AwayTeam]], V$36))) + (SUMIFS(Table1[[HomeWon]:[HomeWon]], Table1[[GameIsOver]:[GameIsOver]], 1, Table1[[AwayTeam]:[AwayTeam]], $A38, Table1[[HomeTeam]:[HomeTeam]],  V$36, Table1[[ActualResult]:[ActualResult]], "OT") + SUMIFS(Table1[[AwayWon]:[AwayWon]], Table1[[GameIsOver]:[GameIsOver]], 1, Table1[[HomeTeam]:[HomeTeam]], $A38, Table1[[AwayTeam]:[AwayTeam]], V$36, Table1[[ActualResult]:[ActualResult]], "OT") + SUMIFS(Table1[[HomeWon]:[HomeWon]], Table1[[GameIsOver]:[GameIsOver]], 1, Table1[[AwayTeam]:[AwayTeam]], $A38, Table1[[HomeTeam]:[HomeTeam]], V$36, Table1[[ActualResult]:[ActualResult]], "SO") + SUMIFS(Table1[[AwayWon]:[AwayWon]], Table1[[GameIsOver]:[GameIsOver]], 1, Table1[[HomeTeam]:[HomeTeam]], $A38, Table1[[AwayTeam]:[AwayTeam]], V$36, Table1[[ActualResult]:[ActualResult]], "SO")))/ (2*((COUNTIFS(Table1[[GameIsOver]:[GameIsOver]],1,Table1[[AwayTeam]:[AwayTeam]],$A38, Table1[[HomeTeam]:[HomeTeam]], V$36)))+( COUNTIFS(Table1[[GameIsOver]:[GameIsOver]],1,Table1[[AwayTeam]:[AwayTeam]],V$36, Table1[[HomeTeam]:[HomeTeam]],$A38))), "")</f>
        <v/>
      </c>
      <c r="W38" s="36" t="str">
        <f>IFERROR(((2 * (SUMIFS(Table1[[AwayWon]:[AwayWon]], Table1[[GameIsOver]:[GameIsOver]], 1, Table1[[AwayTeam]:[AwayTeam]], $A38, Table1[[HomeTeam]:[HomeTeam]], W$36) + SUMIFS(Table1[[HomeWon]:[HomeWon]], Table1[[GameIsOver]:[GameIsOver]], 1, Table1[[HomeTeam]:[HomeTeam]], $A38, Table1[[AwayTeam]:[AwayTeam]], W$36))) + (SUMIFS(Table1[[HomeWon]:[HomeWon]], Table1[[GameIsOver]:[GameIsOver]], 1, Table1[[AwayTeam]:[AwayTeam]], $A38, Table1[[HomeTeam]:[HomeTeam]],  W$36, Table1[[ActualResult]:[ActualResult]], "OT") + SUMIFS(Table1[[AwayWon]:[AwayWon]], Table1[[GameIsOver]:[GameIsOver]], 1, Table1[[HomeTeam]:[HomeTeam]], $A38, Table1[[AwayTeam]:[AwayTeam]], W$36, Table1[[ActualResult]:[ActualResult]], "OT") + SUMIFS(Table1[[HomeWon]:[HomeWon]], Table1[[GameIsOver]:[GameIsOver]], 1, Table1[[AwayTeam]:[AwayTeam]], $A38, Table1[[HomeTeam]:[HomeTeam]], W$36, Table1[[ActualResult]:[ActualResult]], "SO") + SUMIFS(Table1[[AwayWon]:[AwayWon]], Table1[[GameIsOver]:[GameIsOver]], 1, Table1[[HomeTeam]:[HomeTeam]], $A38, Table1[[AwayTeam]:[AwayTeam]], W$36, Table1[[ActualResult]:[ActualResult]], "SO")))/ (2*((COUNTIFS(Table1[[GameIsOver]:[GameIsOver]],1,Table1[[AwayTeam]:[AwayTeam]],$A38, Table1[[HomeTeam]:[HomeTeam]], W$36)))+( COUNTIFS(Table1[[GameIsOver]:[GameIsOver]],1,Table1[[AwayTeam]:[AwayTeam]],W$36, Table1[[HomeTeam]:[HomeTeam]],$A38))), "")</f>
        <v/>
      </c>
      <c r="X38" s="36" t="str">
        <f>IFERROR(((2 * (SUMIFS(Table1[[AwayWon]:[AwayWon]], Table1[[GameIsOver]:[GameIsOver]], 1, Table1[[AwayTeam]:[AwayTeam]], $A38, Table1[[HomeTeam]:[HomeTeam]], X$36) + SUMIFS(Table1[[HomeWon]:[HomeWon]], Table1[[GameIsOver]:[GameIsOver]], 1, Table1[[HomeTeam]:[HomeTeam]], $A38, Table1[[AwayTeam]:[AwayTeam]], X$36))) + (SUMIFS(Table1[[HomeWon]:[HomeWon]], Table1[[GameIsOver]:[GameIsOver]], 1, Table1[[AwayTeam]:[AwayTeam]], $A38, Table1[[HomeTeam]:[HomeTeam]],  X$36, Table1[[ActualResult]:[ActualResult]], "OT") + SUMIFS(Table1[[AwayWon]:[AwayWon]], Table1[[GameIsOver]:[GameIsOver]], 1, Table1[[HomeTeam]:[HomeTeam]], $A38, Table1[[AwayTeam]:[AwayTeam]], X$36, Table1[[ActualResult]:[ActualResult]], "OT") + SUMIFS(Table1[[HomeWon]:[HomeWon]], Table1[[GameIsOver]:[GameIsOver]], 1, Table1[[AwayTeam]:[AwayTeam]], $A38, Table1[[HomeTeam]:[HomeTeam]], X$36, Table1[[ActualResult]:[ActualResult]], "SO") + SUMIFS(Table1[[AwayWon]:[AwayWon]], Table1[[GameIsOver]:[GameIsOver]], 1, Table1[[HomeTeam]:[HomeTeam]], $A38, Table1[[AwayTeam]:[AwayTeam]], X$36, Table1[[ActualResult]:[ActualResult]], "SO")))/ (2*((COUNTIFS(Table1[[GameIsOver]:[GameIsOver]],1,Table1[[AwayTeam]:[AwayTeam]],$A38, Table1[[HomeTeam]:[HomeTeam]], X$36)))+( COUNTIFS(Table1[[GameIsOver]:[GameIsOver]],1,Table1[[AwayTeam]:[AwayTeam]],X$36, Table1[[HomeTeam]:[HomeTeam]],$A38))), "")</f>
        <v/>
      </c>
      <c r="Y38" s="38" t="str">
        <f>IFERROR(((2 * (SUMIFS(Table1[[AwayWon]:[AwayWon]], Table1[[GameIsOver]:[GameIsOver]], 1, Table1[[AwayTeam]:[AwayTeam]], $A38, Table1[[HomeTeam]:[HomeTeam]], Y$36) + SUMIFS(Table1[[HomeWon]:[HomeWon]], Table1[[GameIsOver]:[GameIsOver]], 1, Table1[[HomeTeam]:[HomeTeam]], $A38, Table1[[AwayTeam]:[AwayTeam]], Y$36))) + (SUMIFS(Table1[[HomeWon]:[HomeWon]], Table1[[GameIsOver]:[GameIsOver]], 1, Table1[[AwayTeam]:[AwayTeam]], $A38, Table1[[HomeTeam]:[HomeTeam]],  Y$36, Table1[[ActualResult]:[ActualResult]], "OT") + SUMIFS(Table1[[AwayWon]:[AwayWon]], Table1[[GameIsOver]:[GameIsOver]], 1, Table1[[HomeTeam]:[HomeTeam]], $A38, Table1[[AwayTeam]:[AwayTeam]], Y$36, Table1[[ActualResult]:[ActualResult]], "OT") + SUMIFS(Table1[[HomeWon]:[HomeWon]], Table1[[GameIsOver]:[GameIsOver]], 1, Table1[[AwayTeam]:[AwayTeam]], $A38, Table1[[HomeTeam]:[HomeTeam]], Y$36, Table1[[ActualResult]:[ActualResult]], "SO") + SUMIFS(Table1[[AwayWon]:[AwayWon]], Table1[[GameIsOver]:[GameIsOver]], 1, Table1[[HomeTeam]:[HomeTeam]], $A38, Table1[[AwayTeam]:[AwayTeam]], Y$36, Table1[[ActualResult]:[ActualResult]], "SO")))/ (2*((COUNTIFS(Table1[[GameIsOver]:[GameIsOver]],1,Table1[[AwayTeam]:[AwayTeam]],$A38, Table1[[HomeTeam]:[HomeTeam]], Y$36)))+( COUNTIFS(Table1[[GameIsOver]:[GameIsOver]],1,Table1[[AwayTeam]:[AwayTeam]],Y$36, Table1[[HomeTeam]:[HomeTeam]],$A38))), "")</f>
        <v/>
      </c>
      <c r="Z38" s="36" t="str">
        <f>IFERROR(((2 * (SUMIFS(Table1[[AwayWon]:[AwayWon]], Table1[[GameIsOver]:[GameIsOver]], 1, Table1[[AwayTeam]:[AwayTeam]], $A38, Table1[[HomeTeam]:[HomeTeam]], Z$36) + SUMIFS(Table1[[HomeWon]:[HomeWon]], Table1[[GameIsOver]:[GameIsOver]], 1, Table1[[HomeTeam]:[HomeTeam]], $A38, Table1[[AwayTeam]:[AwayTeam]], Z$36))) + (SUMIFS(Table1[[HomeWon]:[HomeWon]], Table1[[GameIsOver]:[GameIsOver]], 1, Table1[[AwayTeam]:[AwayTeam]], $A38, Table1[[HomeTeam]:[HomeTeam]],  Z$36, Table1[[ActualResult]:[ActualResult]], "OT") + SUMIFS(Table1[[AwayWon]:[AwayWon]], Table1[[GameIsOver]:[GameIsOver]], 1, Table1[[HomeTeam]:[HomeTeam]], $A38, Table1[[AwayTeam]:[AwayTeam]], Z$36, Table1[[ActualResult]:[ActualResult]], "OT") + SUMIFS(Table1[[HomeWon]:[HomeWon]], Table1[[GameIsOver]:[GameIsOver]], 1, Table1[[AwayTeam]:[AwayTeam]], $A38, Table1[[HomeTeam]:[HomeTeam]], Z$36, Table1[[ActualResult]:[ActualResult]], "SO") + SUMIFS(Table1[[AwayWon]:[AwayWon]], Table1[[GameIsOver]:[GameIsOver]], 1, Table1[[HomeTeam]:[HomeTeam]], $A38, Table1[[AwayTeam]:[AwayTeam]], Z$36, Table1[[ActualResult]:[ActualResult]], "SO")))/ (2*((COUNTIFS(Table1[[GameIsOver]:[GameIsOver]],1,Table1[[AwayTeam]:[AwayTeam]],$A38, Table1[[HomeTeam]:[HomeTeam]], Z$36)))+( COUNTIFS(Table1[[GameIsOver]:[GameIsOver]],1,Table1[[AwayTeam]:[AwayTeam]],Z$36, Table1[[HomeTeam]:[HomeTeam]],$A38))), "")</f>
        <v/>
      </c>
      <c r="AA38" s="36" t="str">
        <f>IFERROR(((2 * (SUMIFS(Table1[[AwayWon]:[AwayWon]], Table1[[GameIsOver]:[GameIsOver]], 1, Table1[[AwayTeam]:[AwayTeam]], $A38, Table1[[HomeTeam]:[HomeTeam]], AA$36) + SUMIFS(Table1[[HomeWon]:[HomeWon]], Table1[[GameIsOver]:[GameIsOver]], 1, Table1[[HomeTeam]:[HomeTeam]], $A38, Table1[[AwayTeam]:[AwayTeam]], AA$36))) + (SUMIFS(Table1[[HomeWon]:[HomeWon]], Table1[[GameIsOver]:[GameIsOver]], 1, Table1[[AwayTeam]:[AwayTeam]], $A38, Table1[[HomeTeam]:[HomeTeam]],  AA$36, Table1[[ActualResult]:[ActualResult]], "OT") + SUMIFS(Table1[[AwayWon]:[AwayWon]], Table1[[GameIsOver]:[GameIsOver]], 1, Table1[[HomeTeam]:[HomeTeam]], $A38, Table1[[AwayTeam]:[AwayTeam]], AA$36, Table1[[ActualResult]:[ActualResult]], "OT") + SUMIFS(Table1[[HomeWon]:[HomeWon]], Table1[[GameIsOver]:[GameIsOver]], 1, Table1[[AwayTeam]:[AwayTeam]], $A38, Table1[[HomeTeam]:[HomeTeam]], AA$36, Table1[[ActualResult]:[ActualResult]], "SO") + SUMIFS(Table1[[AwayWon]:[AwayWon]], Table1[[GameIsOver]:[GameIsOver]], 1, Table1[[HomeTeam]:[HomeTeam]], $A38, Table1[[AwayTeam]:[AwayTeam]], AA$36, Table1[[ActualResult]:[ActualResult]], "SO")))/ (2*((COUNTIFS(Table1[[GameIsOver]:[GameIsOver]],1,Table1[[AwayTeam]:[AwayTeam]],$A38, Table1[[HomeTeam]:[HomeTeam]], AA$36)))+( COUNTIFS(Table1[[GameIsOver]:[GameIsOver]],1,Table1[[AwayTeam]:[AwayTeam]],AA$36, Table1[[HomeTeam]:[HomeTeam]],$A38))), "")</f>
        <v/>
      </c>
      <c r="AB38" s="36" t="str">
        <f>IFERROR(((2 * (SUMIFS(Table1[[AwayWon]:[AwayWon]], Table1[[GameIsOver]:[GameIsOver]], 1, Table1[[AwayTeam]:[AwayTeam]], $A38, Table1[[HomeTeam]:[HomeTeam]], AB$36) + SUMIFS(Table1[[HomeWon]:[HomeWon]], Table1[[GameIsOver]:[GameIsOver]], 1, Table1[[HomeTeam]:[HomeTeam]], $A38, Table1[[AwayTeam]:[AwayTeam]], AB$36))) + (SUMIFS(Table1[[HomeWon]:[HomeWon]], Table1[[GameIsOver]:[GameIsOver]], 1, Table1[[AwayTeam]:[AwayTeam]], $A38, Table1[[HomeTeam]:[HomeTeam]],  AB$36, Table1[[ActualResult]:[ActualResult]], "OT") + SUMIFS(Table1[[AwayWon]:[AwayWon]], Table1[[GameIsOver]:[GameIsOver]], 1, Table1[[HomeTeam]:[HomeTeam]], $A38, Table1[[AwayTeam]:[AwayTeam]], AB$36, Table1[[ActualResult]:[ActualResult]], "OT") + SUMIFS(Table1[[HomeWon]:[HomeWon]], Table1[[GameIsOver]:[GameIsOver]], 1, Table1[[AwayTeam]:[AwayTeam]], $A38, Table1[[HomeTeam]:[HomeTeam]], AB$36, Table1[[ActualResult]:[ActualResult]], "SO") + SUMIFS(Table1[[AwayWon]:[AwayWon]], Table1[[GameIsOver]:[GameIsOver]], 1, Table1[[HomeTeam]:[HomeTeam]], $A38, Table1[[AwayTeam]:[AwayTeam]], AB$36, Table1[[ActualResult]:[ActualResult]], "SO")))/ (2*((COUNTIFS(Table1[[GameIsOver]:[GameIsOver]],1,Table1[[AwayTeam]:[AwayTeam]],$A38, Table1[[HomeTeam]:[HomeTeam]], AB$36)))+( COUNTIFS(Table1[[GameIsOver]:[GameIsOver]],1,Table1[[AwayTeam]:[AwayTeam]],AB$36, Table1[[HomeTeam]:[HomeTeam]],$A38))), "")</f>
        <v/>
      </c>
      <c r="AC38" s="36" t="str">
        <f>IFERROR(((2 * (SUMIFS(Table1[[AwayWon]:[AwayWon]], Table1[[GameIsOver]:[GameIsOver]], 1, Table1[[AwayTeam]:[AwayTeam]], $A38, Table1[[HomeTeam]:[HomeTeam]], AC$36) + SUMIFS(Table1[[HomeWon]:[HomeWon]], Table1[[GameIsOver]:[GameIsOver]], 1, Table1[[HomeTeam]:[HomeTeam]], $A38, Table1[[AwayTeam]:[AwayTeam]], AC$36))) + (SUMIFS(Table1[[HomeWon]:[HomeWon]], Table1[[GameIsOver]:[GameIsOver]], 1, Table1[[AwayTeam]:[AwayTeam]], $A38, Table1[[HomeTeam]:[HomeTeam]],  AC$36, Table1[[ActualResult]:[ActualResult]], "OT") + SUMIFS(Table1[[AwayWon]:[AwayWon]], Table1[[GameIsOver]:[GameIsOver]], 1, Table1[[HomeTeam]:[HomeTeam]], $A38, Table1[[AwayTeam]:[AwayTeam]], AC$36, Table1[[ActualResult]:[ActualResult]], "OT") + SUMIFS(Table1[[HomeWon]:[HomeWon]], Table1[[GameIsOver]:[GameIsOver]], 1, Table1[[AwayTeam]:[AwayTeam]], $A38, Table1[[HomeTeam]:[HomeTeam]], AC$36, Table1[[ActualResult]:[ActualResult]], "SO") + SUMIFS(Table1[[AwayWon]:[AwayWon]], Table1[[GameIsOver]:[GameIsOver]], 1, Table1[[HomeTeam]:[HomeTeam]], $A38, Table1[[AwayTeam]:[AwayTeam]], AC$36, Table1[[ActualResult]:[ActualResult]], "SO")))/ (2*((COUNTIFS(Table1[[GameIsOver]:[GameIsOver]],1,Table1[[AwayTeam]:[AwayTeam]],$A38, Table1[[HomeTeam]:[HomeTeam]], AC$36)))+( COUNTIFS(Table1[[GameIsOver]:[GameIsOver]],1,Table1[[AwayTeam]:[AwayTeam]],AC$36, Table1[[HomeTeam]:[HomeTeam]],$A38))), "")</f>
        <v/>
      </c>
      <c r="AD38" s="36" t="str">
        <f>IFERROR(((2 * (SUMIFS(Table1[[AwayWon]:[AwayWon]], Table1[[GameIsOver]:[GameIsOver]], 1, Table1[[AwayTeam]:[AwayTeam]], $A38, Table1[[HomeTeam]:[HomeTeam]], AD$36) + SUMIFS(Table1[[HomeWon]:[HomeWon]], Table1[[GameIsOver]:[GameIsOver]], 1, Table1[[HomeTeam]:[HomeTeam]], $A38, Table1[[AwayTeam]:[AwayTeam]], AD$36))) + (SUMIFS(Table1[[HomeWon]:[HomeWon]], Table1[[GameIsOver]:[GameIsOver]], 1, Table1[[AwayTeam]:[AwayTeam]], $A38, Table1[[HomeTeam]:[HomeTeam]],  AD$36, Table1[[ActualResult]:[ActualResult]], "OT") + SUMIFS(Table1[[AwayWon]:[AwayWon]], Table1[[GameIsOver]:[GameIsOver]], 1, Table1[[HomeTeam]:[HomeTeam]], $A38, Table1[[AwayTeam]:[AwayTeam]], AD$36, Table1[[ActualResult]:[ActualResult]], "OT") + SUMIFS(Table1[[HomeWon]:[HomeWon]], Table1[[GameIsOver]:[GameIsOver]], 1, Table1[[AwayTeam]:[AwayTeam]], $A38, Table1[[HomeTeam]:[HomeTeam]], AD$36, Table1[[ActualResult]:[ActualResult]], "SO") + SUMIFS(Table1[[AwayWon]:[AwayWon]], Table1[[GameIsOver]:[GameIsOver]], 1, Table1[[HomeTeam]:[HomeTeam]], $A38, Table1[[AwayTeam]:[AwayTeam]], AD$36, Table1[[ActualResult]:[ActualResult]], "SO")))/ (2*((COUNTIFS(Table1[[GameIsOver]:[GameIsOver]],1,Table1[[AwayTeam]:[AwayTeam]],$A38, Table1[[HomeTeam]:[HomeTeam]], AD$36)))+( COUNTIFS(Table1[[GameIsOver]:[GameIsOver]],1,Table1[[AwayTeam]:[AwayTeam]],AD$36, Table1[[HomeTeam]:[HomeTeam]],$A38))), "")</f>
        <v/>
      </c>
      <c r="AE38" s="36" t="str">
        <f>IFERROR(((2 * (SUMIFS(Table1[[AwayWon]:[AwayWon]], Table1[[GameIsOver]:[GameIsOver]], 1, Table1[[AwayTeam]:[AwayTeam]], $A38, Table1[[HomeTeam]:[HomeTeam]], AE$36) + SUMIFS(Table1[[HomeWon]:[HomeWon]], Table1[[GameIsOver]:[GameIsOver]], 1, Table1[[HomeTeam]:[HomeTeam]], $A38, Table1[[AwayTeam]:[AwayTeam]], AE$36))) + (SUMIFS(Table1[[HomeWon]:[HomeWon]], Table1[[GameIsOver]:[GameIsOver]], 1, Table1[[AwayTeam]:[AwayTeam]], $A38, Table1[[HomeTeam]:[HomeTeam]],  AE$36, Table1[[ActualResult]:[ActualResult]], "OT") + SUMIFS(Table1[[AwayWon]:[AwayWon]], Table1[[GameIsOver]:[GameIsOver]], 1, Table1[[HomeTeam]:[HomeTeam]], $A38, Table1[[AwayTeam]:[AwayTeam]], AE$36, Table1[[ActualResult]:[ActualResult]], "OT") + SUMIFS(Table1[[HomeWon]:[HomeWon]], Table1[[GameIsOver]:[GameIsOver]], 1, Table1[[AwayTeam]:[AwayTeam]], $A38, Table1[[HomeTeam]:[HomeTeam]], AE$36, Table1[[ActualResult]:[ActualResult]], "SO") + SUMIFS(Table1[[AwayWon]:[AwayWon]], Table1[[GameIsOver]:[GameIsOver]], 1, Table1[[HomeTeam]:[HomeTeam]], $A38, Table1[[AwayTeam]:[AwayTeam]], AE$36, Table1[[ActualResult]:[ActualResult]], "SO")))/ (2*((COUNTIFS(Table1[[GameIsOver]:[GameIsOver]],1,Table1[[AwayTeam]:[AwayTeam]],$A38, Table1[[HomeTeam]:[HomeTeam]], AE$36)))+( COUNTIFS(Table1[[GameIsOver]:[GameIsOver]],1,Table1[[AwayTeam]:[AwayTeam]],AE$36, Table1[[HomeTeam]:[HomeTeam]],$A38))), "")</f>
        <v/>
      </c>
      <c r="AF38" s="36" t="str">
        <f>IFERROR(((2 * (SUMIFS(Table1[[AwayWon]:[AwayWon]], Table1[[GameIsOver]:[GameIsOver]], 1, Table1[[AwayTeam]:[AwayTeam]], $A38, Table1[[HomeTeam]:[HomeTeam]], AF$36) + SUMIFS(Table1[[HomeWon]:[HomeWon]], Table1[[GameIsOver]:[GameIsOver]], 1, Table1[[HomeTeam]:[HomeTeam]], $A38, Table1[[AwayTeam]:[AwayTeam]], AF$36))) + (SUMIFS(Table1[[HomeWon]:[HomeWon]], Table1[[GameIsOver]:[GameIsOver]], 1, Table1[[AwayTeam]:[AwayTeam]], $A38, Table1[[HomeTeam]:[HomeTeam]],  AF$36, Table1[[ActualResult]:[ActualResult]], "OT") + SUMIFS(Table1[[AwayWon]:[AwayWon]], Table1[[GameIsOver]:[GameIsOver]], 1, Table1[[HomeTeam]:[HomeTeam]], $A38, Table1[[AwayTeam]:[AwayTeam]], AF$36, Table1[[ActualResult]:[ActualResult]], "OT") + SUMIFS(Table1[[HomeWon]:[HomeWon]], Table1[[GameIsOver]:[GameIsOver]], 1, Table1[[AwayTeam]:[AwayTeam]], $A38, Table1[[HomeTeam]:[HomeTeam]], AF$36, Table1[[ActualResult]:[ActualResult]], "SO") + SUMIFS(Table1[[AwayWon]:[AwayWon]], Table1[[GameIsOver]:[GameIsOver]], 1, Table1[[HomeTeam]:[HomeTeam]], $A38, Table1[[AwayTeam]:[AwayTeam]], AF$36, Table1[[ActualResult]:[ActualResult]], "SO")))/ (2*((COUNTIFS(Table1[[GameIsOver]:[GameIsOver]],1,Table1[[AwayTeam]:[AwayTeam]],$A38, Table1[[HomeTeam]:[HomeTeam]], AF$36)))+( COUNTIFS(Table1[[GameIsOver]:[GameIsOver]],1,Table1[[AwayTeam]:[AwayTeam]],AF$36, Table1[[HomeTeam]:[HomeTeam]],$A38))), "")</f>
        <v/>
      </c>
      <c r="AG38" s="36" t="str">
        <f>IFERROR(((2 * (SUMIFS(Table1[[AwayWon]:[AwayWon]], Table1[[GameIsOver]:[GameIsOver]], 1, Table1[[AwayTeam]:[AwayTeam]], $A38, Table1[[HomeTeam]:[HomeTeam]], AG$36) + SUMIFS(Table1[[HomeWon]:[HomeWon]], Table1[[GameIsOver]:[GameIsOver]], 1, Table1[[HomeTeam]:[HomeTeam]], $A38, Table1[[AwayTeam]:[AwayTeam]], AG$36))) + (SUMIFS(Table1[[HomeWon]:[HomeWon]], Table1[[GameIsOver]:[GameIsOver]], 1, Table1[[AwayTeam]:[AwayTeam]], $A38, Table1[[HomeTeam]:[HomeTeam]],  AG$36, Table1[[ActualResult]:[ActualResult]], "OT") + SUMIFS(Table1[[AwayWon]:[AwayWon]], Table1[[GameIsOver]:[GameIsOver]], 1, Table1[[HomeTeam]:[HomeTeam]], $A38, Table1[[AwayTeam]:[AwayTeam]], AG$36, Table1[[ActualResult]:[ActualResult]], "OT") + SUMIFS(Table1[[HomeWon]:[HomeWon]], Table1[[GameIsOver]:[GameIsOver]], 1, Table1[[AwayTeam]:[AwayTeam]], $A38, Table1[[HomeTeam]:[HomeTeam]], AG$36, Table1[[ActualResult]:[ActualResult]], "SO") + SUMIFS(Table1[[AwayWon]:[AwayWon]], Table1[[GameIsOver]:[GameIsOver]], 1, Table1[[HomeTeam]:[HomeTeam]], $A38, Table1[[AwayTeam]:[AwayTeam]], AG$36, Table1[[ActualResult]:[ActualResult]], "SO")))/ (2*((COUNTIFS(Table1[[GameIsOver]:[GameIsOver]],1,Table1[[AwayTeam]:[AwayTeam]],$A38, Table1[[HomeTeam]:[HomeTeam]], AG$36)))+( COUNTIFS(Table1[[GameIsOver]:[GameIsOver]],1,Table1[[AwayTeam]:[AwayTeam]],AG$36, Table1[[HomeTeam]:[HomeTeam]],$A38))), "")</f>
        <v/>
      </c>
      <c r="AH38" s="37" t="e">
        <f t="shared" ref="AH38:AH68" si="0">AVERAGE($R38:$AG38)</f>
        <v>#DIV/0!</v>
      </c>
      <c r="AI38" s="37">
        <f t="shared" ref="AI38:AI68" si="1">AVERAGE($B38:$Q38)</f>
        <v>0</v>
      </c>
      <c r="AJ38" s="38" t="e">
        <f t="shared" ref="AJ38:AJ68" si="2">AVERAGE($Z38:$AG38)</f>
        <v>#DIV/0!</v>
      </c>
      <c r="AK38" s="38" t="e">
        <f t="shared" ref="AK38:AK68" si="3">AVERAGE($R38:$Y38)</f>
        <v>#DIV/0!</v>
      </c>
      <c r="AL38" s="38" t="e">
        <f t="shared" ref="AL38:AL68" si="4">AVERAGE($J38:$Q38)</f>
        <v>#DIV/0!</v>
      </c>
      <c r="AM38" s="38">
        <f t="shared" ref="AM38:AM68" si="5">AVERAGE($B38:$I38)</f>
        <v>0</v>
      </c>
    </row>
    <row r="39" spans="1:39" x14ac:dyDescent="0.25">
      <c r="A39" s="17" t="s">
        <v>45</v>
      </c>
      <c r="B39" s="36" t="str">
        <f>IFERROR(((2 * (SUMIFS(Table1[[AwayWon]:[AwayWon]], Table1[[GameIsOver]:[GameIsOver]], 1, Table1[[AwayTeam]:[AwayTeam]], $A39, Table1[[HomeTeam]:[HomeTeam]], B$36) + SUMIFS(Table1[[HomeWon]:[HomeWon]], Table1[[GameIsOver]:[GameIsOver]], 1, Table1[[HomeTeam]:[HomeTeam]], $A39, Table1[[AwayTeam]:[AwayTeam]], B$36))) + (SUMIFS(Table1[[HomeWon]:[HomeWon]], Table1[[GameIsOver]:[GameIsOver]], 1, Table1[[AwayTeam]:[AwayTeam]], $A39, Table1[[HomeTeam]:[HomeTeam]],  B$36, Table1[[ActualResult]:[ActualResult]], "OT") + SUMIFS(Table1[[AwayWon]:[AwayWon]], Table1[[GameIsOver]:[GameIsOver]], 1, Table1[[HomeTeam]:[HomeTeam]], $A39, Table1[[AwayTeam]:[AwayTeam]], B$36, Table1[[ActualResult]:[ActualResult]], "OT") + SUMIFS(Table1[[HomeWon]:[HomeWon]], Table1[[GameIsOver]:[GameIsOver]], 1, Table1[[AwayTeam]:[AwayTeam]], $A39, Table1[[HomeTeam]:[HomeTeam]], B$36, Table1[[ActualResult]:[ActualResult]], "SO") + SUMIFS(Table1[[AwayWon]:[AwayWon]], Table1[[GameIsOver]:[GameIsOver]], 1, Table1[[HomeTeam]:[HomeTeam]], $A39, Table1[[AwayTeam]:[AwayTeam]], B$36, Table1[[ActualResult]:[ActualResult]], "SO")))/ (2*((COUNTIFS(Table1[[GameIsOver]:[GameIsOver]],1,Table1[[AwayTeam]:[AwayTeam]],$A39, Table1[[HomeTeam]:[HomeTeam]], B$36)))+( COUNTIFS(Table1[[GameIsOver]:[GameIsOver]],1,Table1[[AwayTeam]:[AwayTeam]],B$36, Table1[[HomeTeam]:[HomeTeam]],$A39))), "")</f>
        <v/>
      </c>
      <c r="C39" s="36" t="str">
        <f>IFERROR(((2 * (SUMIFS(Table1[[AwayWon]:[AwayWon]], Table1[[GameIsOver]:[GameIsOver]], 1, Table1[[AwayTeam]:[AwayTeam]], $A39, Table1[[HomeTeam]:[HomeTeam]], C$36) + SUMIFS(Table1[[HomeWon]:[HomeWon]], Table1[[GameIsOver]:[GameIsOver]], 1, Table1[[HomeTeam]:[HomeTeam]], $A39, Table1[[AwayTeam]:[AwayTeam]], C$36))) + (SUMIFS(Table1[[HomeWon]:[HomeWon]], Table1[[GameIsOver]:[GameIsOver]], 1, Table1[[AwayTeam]:[AwayTeam]], $A39, Table1[[HomeTeam]:[HomeTeam]],  C$36, Table1[[ActualResult]:[ActualResult]], "OT") + SUMIFS(Table1[[AwayWon]:[AwayWon]], Table1[[GameIsOver]:[GameIsOver]], 1, Table1[[HomeTeam]:[HomeTeam]], $A39, Table1[[AwayTeam]:[AwayTeam]], C$36, Table1[[ActualResult]:[ActualResult]], "OT") + SUMIFS(Table1[[HomeWon]:[HomeWon]], Table1[[GameIsOver]:[GameIsOver]], 1, Table1[[AwayTeam]:[AwayTeam]], $A39, Table1[[HomeTeam]:[HomeTeam]], C$36, Table1[[ActualResult]:[ActualResult]], "SO") + SUMIFS(Table1[[AwayWon]:[AwayWon]], Table1[[GameIsOver]:[GameIsOver]], 1, Table1[[HomeTeam]:[HomeTeam]], $A39, Table1[[AwayTeam]:[AwayTeam]], C$36, Table1[[ActualResult]:[ActualResult]], "SO")))/ (2*((COUNTIFS(Table1[[GameIsOver]:[GameIsOver]],1,Table1[[AwayTeam]:[AwayTeam]],$A39, Table1[[HomeTeam]:[HomeTeam]], C$36)))+( COUNTIFS(Table1[[GameIsOver]:[GameIsOver]],1,Table1[[AwayTeam]:[AwayTeam]],C$36, Table1[[HomeTeam]:[HomeTeam]],$A39))), "")</f>
        <v/>
      </c>
      <c r="D39" s="36" t="str">
        <f>IFERROR(((2 * (SUMIFS(Table1[[AwayWon]:[AwayWon]], Table1[[GameIsOver]:[GameIsOver]], 1, Table1[[AwayTeam]:[AwayTeam]], $A39, Table1[[HomeTeam]:[HomeTeam]], D$36) + SUMIFS(Table1[[HomeWon]:[HomeWon]], Table1[[GameIsOver]:[GameIsOver]], 1, Table1[[HomeTeam]:[HomeTeam]], $A39, Table1[[AwayTeam]:[AwayTeam]], D$36))) + (SUMIFS(Table1[[HomeWon]:[HomeWon]], Table1[[GameIsOver]:[GameIsOver]], 1, Table1[[AwayTeam]:[AwayTeam]], $A39, Table1[[HomeTeam]:[HomeTeam]],  D$36, Table1[[ActualResult]:[ActualResult]], "OT") + SUMIFS(Table1[[AwayWon]:[AwayWon]], Table1[[GameIsOver]:[GameIsOver]], 1, Table1[[HomeTeam]:[HomeTeam]], $A39, Table1[[AwayTeam]:[AwayTeam]], D$36, Table1[[ActualResult]:[ActualResult]], "OT") + SUMIFS(Table1[[HomeWon]:[HomeWon]], Table1[[GameIsOver]:[GameIsOver]], 1, Table1[[AwayTeam]:[AwayTeam]], $A39, Table1[[HomeTeam]:[HomeTeam]], D$36, Table1[[ActualResult]:[ActualResult]], "SO") + SUMIFS(Table1[[AwayWon]:[AwayWon]], Table1[[GameIsOver]:[GameIsOver]], 1, Table1[[HomeTeam]:[HomeTeam]], $A39, Table1[[AwayTeam]:[AwayTeam]], D$36, Table1[[ActualResult]:[ActualResult]], "SO")))/ (2*((COUNTIFS(Table1[[GameIsOver]:[GameIsOver]],1,Table1[[AwayTeam]:[AwayTeam]],$A39, Table1[[HomeTeam]:[HomeTeam]], D$36)))+( COUNTIFS(Table1[[GameIsOver]:[GameIsOver]],1,Table1[[AwayTeam]:[AwayTeam]],D$36, Table1[[HomeTeam]:[HomeTeam]],$A39))), "")</f>
        <v/>
      </c>
      <c r="E39" s="36" t="str">
        <f>IFERROR(((2 * (SUMIFS(Table1[[AwayWon]:[AwayWon]], Table1[[GameIsOver]:[GameIsOver]], 1, Table1[[AwayTeam]:[AwayTeam]], $A39, Table1[[HomeTeam]:[HomeTeam]], E$36) + SUMIFS(Table1[[HomeWon]:[HomeWon]], Table1[[GameIsOver]:[GameIsOver]], 1, Table1[[HomeTeam]:[HomeTeam]], $A39, Table1[[AwayTeam]:[AwayTeam]], E$36))) + (SUMIFS(Table1[[HomeWon]:[HomeWon]], Table1[[GameIsOver]:[GameIsOver]], 1, Table1[[AwayTeam]:[AwayTeam]], $A39, Table1[[HomeTeam]:[HomeTeam]],  E$36, Table1[[ActualResult]:[ActualResult]], "OT") + SUMIFS(Table1[[AwayWon]:[AwayWon]], Table1[[GameIsOver]:[GameIsOver]], 1, Table1[[HomeTeam]:[HomeTeam]], $A39, Table1[[AwayTeam]:[AwayTeam]], E$36, Table1[[ActualResult]:[ActualResult]], "OT") + SUMIFS(Table1[[HomeWon]:[HomeWon]], Table1[[GameIsOver]:[GameIsOver]], 1, Table1[[AwayTeam]:[AwayTeam]], $A39, Table1[[HomeTeam]:[HomeTeam]], E$36, Table1[[ActualResult]:[ActualResult]], "SO") + SUMIFS(Table1[[AwayWon]:[AwayWon]], Table1[[GameIsOver]:[GameIsOver]], 1, Table1[[HomeTeam]:[HomeTeam]], $A39, Table1[[AwayTeam]:[AwayTeam]], E$36, Table1[[ActualResult]:[ActualResult]], "SO")))/ (2*((COUNTIFS(Table1[[GameIsOver]:[GameIsOver]],1,Table1[[AwayTeam]:[AwayTeam]],$A39, Table1[[HomeTeam]:[HomeTeam]], E$36)))+( COUNTIFS(Table1[[GameIsOver]:[GameIsOver]],1,Table1[[AwayTeam]:[AwayTeam]],E$36, Table1[[HomeTeam]:[HomeTeam]],$A39))), "")</f>
        <v/>
      </c>
      <c r="F39" s="36" t="str">
        <f>IFERROR(((2 * (SUMIFS(Table1[[AwayWon]:[AwayWon]], Table1[[GameIsOver]:[GameIsOver]], 1, Table1[[AwayTeam]:[AwayTeam]], $A39, Table1[[HomeTeam]:[HomeTeam]], F$36) + SUMIFS(Table1[[HomeWon]:[HomeWon]], Table1[[GameIsOver]:[GameIsOver]], 1, Table1[[HomeTeam]:[HomeTeam]], $A39, Table1[[AwayTeam]:[AwayTeam]], F$36))) + (SUMIFS(Table1[[HomeWon]:[HomeWon]], Table1[[GameIsOver]:[GameIsOver]], 1, Table1[[AwayTeam]:[AwayTeam]], $A39, Table1[[HomeTeam]:[HomeTeam]],  F$36, Table1[[ActualResult]:[ActualResult]], "OT") + SUMIFS(Table1[[AwayWon]:[AwayWon]], Table1[[GameIsOver]:[GameIsOver]], 1, Table1[[HomeTeam]:[HomeTeam]], $A39, Table1[[AwayTeam]:[AwayTeam]], F$36, Table1[[ActualResult]:[ActualResult]], "OT") + SUMIFS(Table1[[HomeWon]:[HomeWon]], Table1[[GameIsOver]:[GameIsOver]], 1, Table1[[AwayTeam]:[AwayTeam]], $A39, Table1[[HomeTeam]:[HomeTeam]], F$36, Table1[[ActualResult]:[ActualResult]], "SO") + SUMIFS(Table1[[AwayWon]:[AwayWon]], Table1[[GameIsOver]:[GameIsOver]], 1, Table1[[HomeTeam]:[HomeTeam]], $A39, Table1[[AwayTeam]:[AwayTeam]], F$36, Table1[[ActualResult]:[ActualResult]], "SO")))/ (2*((COUNTIFS(Table1[[GameIsOver]:[GameIsOver]],1,Table1[[AwayTeam]:[AwayTeam]],$A39, Table1[[HomeTeam]:[HomeTeam]], F$36)))+( COUNTIFS(Table1[[GameIsOver]:[GameIsOver]],1,Table1[[AwayTeam]:[AwayTeam]],F$36, Table1[[HomeTeam]:[HomeTeam]],$A39))), "")</f>
        <v/>
      </c>
      <c r="G39" s="36" t="str">
        <f>IFERROR(((2 * (SUMIFS(Table1[[AwayWon]:[AwayWon]], Table1[[GameIsOver]:[GameIsOver]], 1, Table1[[AwayTeam]:[AwayTeam]], $A39, Table1[[HomeTeam]:[HomeTeam]], G$36) + SUMIFS(Table1[[HomeWon]:[HomeWon]], Table1[[GameIsOver]:[GameIsOver]], 1, Table1[[HomeTeam]:[HomeTeam]], $A39, Table1[[AwayTeam]:[AwayTeam]], G$36))) + (SUMIFS(Table1[[HomeWon]:[HomeWon]], Table1[[GameIsOver]:[GameIsOver]], 1, Table1[[AwayTeam]:[AwayTeam]], $A39, Table1[[HomeTeam]:[HomeTeam]],  G$36, Table1[[ActualResult]:[ActualResult]], "OT") + SUMIFS(Table1[[AwayWon]:[AwayWon]], Table1[[GameIsOver]:[GameIsOver]], 1, Table1[[HomeTeam]:[HomeTeam]], $A39, Table1[[AwayTeam]:[AwayTeam]], G$36, Table1[[ActualResult]:[ActualResult]], "OT") + SUMIFS(Table1[[HomeWon]:[HomeWon]], Table1[[GameIsOver]:[GameIsOver]], 1, Table1[[AwayTeam]:[AwayTeam]], $A39, Table1[[HomeTeam]:[HomeTeam]], G$36, Table1[[ActualResult]:[ActualResult]], "SO") + SUMIFS(Table1[[AwayWon]:[AwayWon]], Table1[[GameIsOver]:[GameIsOver]], 1, Table1[[HomeTeam]:[HomeTeam]], $A39, Table1[[AwayTeam]:[AwayTeam]], G$36, Table1[[ActualResult]:[ActualResult]], "SO")))/ (2*((COUNTIFS(Table1[[GameIsOver]:[GameIsOver]],1,Table1[[AwayTeam]:[AwayTeam]],$A39, Table1[[HomeTeam]:[HomeTeam]], G$36)))+( COUNTIFS(Table1[[GameIsOver]:[GameIsOver]],1,Table1[[AwayTeam]:[AwayTeam]],G$36, Table1[[HomeTeam]:[HomeTeam]],$A39))), "")</f>
        <v/>
      </c>
      <c r="H39" s="36">
        <f>IFERROR(((2 * (SUMIFS(Table1[[AwayWon]:[AwayWon]], Table1[[GameIsOver]:[GameIsOver]], 1, Table1[[AwayTeam]:[AwayTeam]], $A39, Table1[[HomeTeam]:[HomeTeam]], H$36) + SUMIFS(Table1[[HomeWon]:[HomeWon]], Table1[[GameIsOver]:[GameIsOver]], 1, Table1[[HomeTeam]:[HomeTeam]], $A39, Table1[[AwayTeam]:[AwayTeam]], H$36))) + (SUMIFS(Table1[[HomeWon]:[HomeWon]], Table1[[GameIsOver]:[GameIsOver]], 1, Table1[[AwayTeam]:[AwayTeam]], $A39, Table1[[HomeTeam]:[HomeTeam]],  H$36, Table1[[ActualResult]:[ActualResult]], "OT") + SUMIFS(Table1[[AwayWon]:[AwayWon]], Table1[[GameIsOver]:[GameIsOver]], 1, Table1[[HomeTeam]:[HomeTeam]], $A39, Table1[[AwayTeam]:[AwayTeam]], H$36, Table1[[ActualResult]:[ActualResult]], "OT") + SUMIFS(Table1[[HomeWon]:[HomeWon]], Table1[[GameIsOver]:[GameIsOver]], 1, Table1[[AwayTeam]:[AwayTeam]], $A39, Table1[[HomeTeam]:[HomeTeam]], H$36, Table1[[ActualResult]:[ActualResult]], "SO") + SUMIFS(Table1[[AwayWon]:[AwayWon]], Table1[[GameIsOver]:[GameIsOver]], 1, Table1[[HomeTeam]:[HomeTeam]], $A39, Table1[[AwayTeam]:[AwayTeam]], H$36, Table1[[ActualResult]:[ActualResult]], "SO")))/ (2*((COUNTIFS(Table1[[GameIsOver]:[GameIsOver]],1,Table1[[AwayTeam]:[AwayTeam]],$A39, Table1[[HomeTeam]:[HomeTeam]], H$36)))+( COUNTIFS(Table1[[GameIsOver]:[GameIsOver]],1,Table1[[AwayTeam]:[AwayTeam]],H$36, Table1[[HomeTeam]:[HomeTeam]],$A39))), "")</f>
        <v>1.3333333333333333</v>
      </c>
      <c r="I39" s="38" t="str">
        <f>IFERROR(((2 * (SUMIFS(Table1[[AwayWon]:[AwayWon]], Table1[[GameIsOver]:[GameIsOver]], 1, Table1[[AwayTeam]:[AwayTeam]], $A39, Table1[[HomeTeam]:[HomeTeam]], I$36) + SUMIFS(Table1[[HomeWon]:[HomeWon]], Table1[[GameIsOver]:[GameIsOver]], 1, Table1[[HomeTeam]:[HomeTeam]], $A39, Table1[[AwayTeam]:[AwayTeam]], I$36))) + (SUMIFS(Table1[[HomeWon]:[HomeWon]], Table1[[GameIsOver]:[GameIsOver]], 1, Table1[[AwayTeam]:[AwayTeam]], $A39, Table1[[HomeTeam]:[HomeTeam]],  I$36, Table1[[ActualResult]:[ActualResult]], "OT") + SUMIFS(Table1[[AwayWon]:[AwayWon]], Table1[[GameIsOver]:[GameIsOver]], 1, Table1[[HomeTeam]:[HomeTeam]], $A39, Table1[[AwayTeam]:[AwayTeam]], I$36, Table1[[ActualResult]:[ActualResult]], "OT") + SUMIFS(Table1[[HomeWon]:[HomeWon]], Table1[[GameIsOver]:[GameIsOver]], 1, Table1[[AwayTeam]:[AwayTeam]], $A39, Table1[[HomeTeam]:[HomeTeam]], I$36, Table1[[ActualResult]:[ActualResult]], "SO") + SUMIFS(Table1[[AwayWon]:[AwayWon]], Table1[[GameIsOver]:[GameIsOver]], 1, Table1[[HomeTeam]:[HomeTeam]], $A39, Table1[[AwayTeam]:[AwayTeam]], I$36, Table1[[ActualResult]:[ActualResult]], "SO")))/ (2*((COUNTIFS(Table1[[GameIsOver]:[GameIsOver]],1,Table1[[AwayTeam]:[AwayTeam]],$A39, Table1[[HomeTeam]:[HomeTeam]], I$36)))+( COUNTIFS(Table1[[GameIsOver]:[GameIsOver]],1,Table1[[AwayTeam]:[AwayTeam]],I$36, Table1[[HomeTeam]:[HomeTeam]],$A39))), "")</f>
        <v/>
      </c>
      <c r="J39" s="36" t="str">
        <f>IFERROR(((2 * (SUMIFS(Table1[[AwayWon]:[AwayWon]], Table1[[GameIsOver]:[GameIsOver]], 1, Table1[[AwayTeam]:[AwayTeam]], $A39, Table1[[HomeTeam]:[HomeTeam]], J$36) + SUMIFS(Table1[[HomeWon]:[HomeWon]], Table1[[GameIsOver]:[GameIsOver]], 1, Table1[[HomeTeam]:[HomeTeam]], $A39, Table1[[AwayTeam]:[AwayTeam]], J$36))) + (SUMIFS(Table1[[HomeWon]:[HomeWon]], Table1[[GameIsOver]:[GameIsOver]], 1, Table1[[AwayTeam]:[AwayTeam]], $A39, Table1[[HomeTeam]:[HomeTeam]],  J$36, Table1[[ActualResult]:[ActualResult]], "OT") + SUMIFS(Table1[[AwayWon]:[AwayWon]], Table1[[GameIsOver]:[GameIsOver]], 1, Table1[[HomeTeam]:[HomeTeam]], $A39, Table1[[AwayTeam]:[AwayTeam]], J$36, Table1[[ActualResult]:[ActualResult]], "OT") + SUMIFS(Table1[[HomeWon]:[HomeWon]], Table1[[GameIsOver]:[GameIsOver]], 1, Table1[[AwayTeam]:[AwayTeam]], $A39, Table1[[HomeTeam]:[HomeTeam]], J$36, Table1[[ActualResult]:[ActualResult]], "SO") + SUMIFS(Table1[[AwayWon]:[AwayWon]], Table1[[GameIsOver]:[GameIsOver]], 1, Table1[[HomeTeam]:[HomeTeam]], $A39, Table1[[AwayTeam]:[AwayTeam]], J$36, Table1[[ActualResult]:[ActualResult]], "SO")))/ (2*((COUNTIFS(Table1[[GameIsOver]:[GameIsOver]],1,Table1[[AwayTeam]:[AwayTeam]],$A39, Table1[[HomeTeam]:[HomeTeam]], J$36)))+( COUNTIFS(Table1[[GameIsOver]:[GameIsOver]],1,Table1[[AwayTeam]:[AwayTeam]],J$36, Table1[[HomeTeam]:[HomeTeam]],$A39))), "")</f>
        <v/>
      </c>
      <c r="K39" s="36" t="str">
        <f>IFERROR(((2 * (SUMIFS(Table1[[AwayWon]:[AwayWon]], Table1[[GameIsOver]:[GameIsOver]], 1, Table1[[AwayTeam]:[AwayTeam]], $A39, Table1[[HomeTeam]:[HomeTeam]], K$36) + SUMIFS(Table1[[HomeWon]:[HomeWon]], Table1[[GameIsOver]:[GameIsOver]], 1, Table1[[HomeTeam]:[HomeTeam]], $A39, Table1[[AwayTeam]:[AwayTeam]], K$36))) + (SUMIFS(Table1[[HomeWon]:[HomeWon]], Table1[[GameIsOver]:[GameIsOver]], 1, Table1[[AwayTeam]:[AwayTeam]], $A39, Table1[[HomeTeam]:[HomeTeam]],  K$36, Table1[[ActualResult]:[ActualResult]], "OT") + SUMIFS(Table1[[AwayWon]:[AwayWon]], Table1[[GameIsOver]:[GameIsOver]], 1, Table1[[HomeTeam]:[HomeTeam]], $A39, Table1[[AwayTeam]:[AwayTeam]], K$36, Table1[[ActualResult]:[ActualResult]], "OT") + SUMIFS(Table1[[HomeWon]:[HomeWon]], Table1[[GameIsOver]:[GameIsOver]], 1, Table1[[AwayTeam]:[AwayTeam]], $A39, Table1[[HomeTeam]:[HomeTeam]], K$36, Table1[[ActualResult]:[ActualResult]], "SO") + SUMIFS(Table1[[AwayWon]:[AwayWon]], Table1[[GameIsOver]:[GameIsOver]], 1, Table1[[HomeTeam]:[HomeTeam]], $A39, Table1[[AwayTeam]:[AwayTeam]], K$36, Table1[[ActualResult]:[ActualResult]], "SO")))/ (2*((COUNTIFS(Table1[[GameIsOver]:[GameIsOver]],1,Table1[[AwayTeam]:[AwayTeam]],$A39, Table1[[HomeTeam]:[HomeTeam]], K$36)))+( COUNTIFS(Table1[[GameIsOver]:[GameIsOver]],1,Table1[[AwayTeam]:[AwayTeam]],K$36, Table1[[HomeTeam]:[HomeTeam]],$A39))), "")</f>
        <v/>
      </c>
      <c r="L39" s="36" t="str">
        <f>IFERROR(((2 * (SUMIFS(Table1[[AwayWon]:[AwayWon]], Table1[[GameIsOver]:[GameIsOver]], 1, Table1[[AwayTeam]:[AwayTeam]], $A39, Table1[[HomeTeam]:[HomeTeam]], L$36) + SUMIFS(Table1[[HomeWon]:[HomeWon]], Table1[[GameIsOver]:[GameIsOver]], 1, Table1[[HomeTeam]:[HomeTeam]], $A39, Table1[[AwayTeam]:[AwayTeam]], L$36))) + (SUMIFS(Table1[[HomeWon]:[HomeWon]], Table1[[GameIsOver]:[GameIsOver]], 1, Table1[[AwayTeam]:[AwayTeam]], $A39, Table1[[HomeTeam]:[HomeTeam]],  L$36, Table1[[ActualResult]:[ActualResult]], "OT") + SUMIFS(Table1[[AwayWon]:[AwayWon]], Table1[[GameIsOver]:[GameIsOver]], 1, Table1[[HomeTeam]:[HomeTeam]], $A39, Table1[[AwayTeam]:[AwayTeam]], L$36, Table1[[ActualResult]:[ActualResult]], "OT") + SUMIFS(Table1[[HomeWon]:[HomeWon]], Table1[[GameIsOver]:[GameIsOver]], 1, Table1[[AwayTeam]:[AwayTeam]], $A39, Table1[[HomeTeam]:[HomeTeam]], L$36, Table1[[ActualResult]:[ActualResult]], "SO") + SUMIFS(Table1[[AwayWon]:[AwayWon]], Table1[[GameIsOver]:[GameIsOver]], 1, Table1[[HomeTeam]:[HomeTeam]], $A39, Table1[[AwayTeam]:[AwayTeam]], L$36, Table1[[ActualResult]:[ActualResult]], "SO")))/ (2*((COUNTIFS(Table1[[GameIsOver]:[GameIsOver]],1,Table1[[AwayTeam]:[AwayTeam]],$A39, Table1[[HomeTeam]:[HomeTeam]], L$36)))+( COUNTIFS(Table1[[GameIsOver]:[GameIsOver]],1,Table1[[AwayTeam]:[AwayTeam]],L$36, Table1[[HomeTeam]:[HomeTeam]],$A39))), "")</f>
        <v/>
      </c>
      <c r="M39" s="36" t="str">
        <f>IFERROR(((2 * (SUMIFS(Table1[[AwayWon]:[AwayWon]], Table1[[GameIsOver]:[GameIsOver]], 1, Table1[[AwayTeam]:[AwayTeam]], $A39, Table1[[HomeTeam]:[HomeTeam]], M$36) + SUMIFS(Table1[[HomeWon]:[HomeWon]], Table1[[GameIsOver]:[GameIsOver]], 1, Table1[[HomeTeam]:[HomeTeam]], $A39, Table1[[AwayTeam]:[AwayTeam]], M$36))) + (SUMIFS(Table1[[HomeWon]:[HomeWon]], Table1[[GameIsOver]:[GameIsOver]], 1, Table1[[AwayTeam]:[AwayTeam]], $A39, Table1[[HomeTeam]:[HomeTeam]],  M$36, Table1[[ActualResult]:[ActualResult]], "OT") + SUMIFS(Table1[[AwayWon]:[AwayWon]], Table1[[GameIsOver]:[GameIsOver]], 1, Table1[[HomeTeam]:[HomeTeam]], $A39, Table1[[AwayTeam]:[AwayTeam]], M$36, Table1[[ActualResult]:[ActualResult]], "OT") + SUMIFS(Table1[[HomeWon]:[HomeWon]], Table1[[GameIsOver]:[GameIsOver]], 1, Table1[[AwayTeam]:[AwayTeam]], $A39, Table1[[HomeTeam]:[HomeTeam]], M$36, Table1[[ActualResult]:[ActualResult]], "SO") + SUMIFS(Table1[[AwayWon]:[AwayWon]], Table1[[GameIsOver]:[GameIsOver]], 1, Table1[[HomeTeam]:[HomeTeam]], $A39, Table1[[AwayTeam]:[AwayTeam]], M$36, Table1[[ActualResult]:[ActualResult]], "SO")))/ (2*((COUNTIFS(Table1[[GameIsOver]:[GameIsOver]],1,Table1[[AwayTeam]:[AwayTeam]],$A39, Table1[[HomeTeam]:[HomeTeam]], M$36)))+( COUNTIFS(Table1[[GameIsOver]:[GameIsOver]],1,Table1[[AwayTeam]:[AwayTeam]],M$36, Table1[[HomeTeam]:[HomeTeam]],$A39))), "")</f>
        <v/>
      </c>
      <c r="N39" s="36" t="str">
        <f>IFERROR(((2 * (SUMIFS(Table1[[AwayWon]:[AwayWon]], Table1[[GameIsOver]:[GameIsOver]], 1, Table1[[AwayTeam]:[AwayTeam]], $A39, Table1[[HomeTeam]:[HomeTeam]], N$36) + SUMIFS(Table1[[HomeWon]:[HomeWon]], Table1[[GameIsOver]:[GameIsOver]], 1, Table1[[HomeTeam]:[HomeTeam]], $A39, Table1[[AwayTeam]:[AwayTeam]], N$36))) + (SUMIFS(Table1[[HomeWon]:[HomeWon]], Table1[[GameIsOver]:[GameIsOver]], 1, Table1[[AwayTeam]:[AwayTeam]], $A39, Table1[[HomeTeam]:[HomeTeam]],  N$36, Table1[[ActualResult]:[ActualResult]], "OT") + SUMIFS(Table1[[AwayWon]:[AwayWon]], Table1[[GameIsOver]:[GameIsOver]], 1, Table1[[HomeTeam]:[HomeTeam]], $A39, Table1[[AwayTeam]:[AwayTeam]], N$36, Table1[[ActualResult]:[ActualResult]], "OT") + SUMIFS(Table1[[HomeWon]:[HomeWon]], Table1[[GameIsOver]:[GameIsOver]], 1, Table1[[AwayTeam]:[AwayTeam]], $A39, Table1[[HomeTeam]:[HomeTeam]], N$36, Table1[[ActualResult]:[ActualResult]], "SO") + SUMIFS(Table1[[AwayWon]:[AwayWon]], Table1[[GameIsOver]:[GameIsOver]], 1, Table1[[HomeTeam]:[HomeTeam]], $A39, Table1[[AwayTeam]:[AwayTeam]], N$36, Table1[[ActualResult]:[ActualResult]], "SO")))/ (2*((COUNTIFS(Table1[[GameIsOver]:[GameIsOver]],1,Table1[[AwayTeam]:[AwayTeam]],$A39, Table1[[HomeTeam]:[HomeTeam]], N$36)))+( COUNTIFS(Table1[[GameIsOver]:[GameIsOver]],1,Table1[[AwayTeam]:[AwayTeam]],N$36, Table1[[HomeTeam]:[HomeTeam]],$A39))), "")</f>
        <v/>
      </c>
      <c r="O39" s="36" t="str">
        <f>IFERROR(((2 * (SUMIFS(Table1[[AwayWon]:[AwayWon]], Table1[[GameIsOver]:[GameIsOver]], 1, Table1[[AwayTeam]:[AwayTeam]], $A39, Table1[[HomeTeam]:[HomeTeam]], O$36) + SUMIFS(Table1[[HomeWon]:[HomeWon]], Table1[[GameIsOver]:[GameIsOver]], 1, Table1[[HomeTeam]:[HomeTeam]], $A39, Table1[[AwayTeam]:[AwayTeam]], O$36))) + (SUMIFS(Table1[[HomeWon]:[HomeWon]], Table1[[GameIsOver]:[GameIsOver]], 1, Table1[[AwayTeam]:[AwayTeam]], $A39, Table1[[HomeTeam]:[HomeTeam]],  O$36, Table1[[ActualResult]:[ActualResult]], "OT") + SUMIFS(Table1[[AwayWon]:[AwayWon]], Table1[[GameIsOver]:[GameIsOver]], 1, Table1[[HomeTeam]:[HomeTeam]], $A39, Table1[[AwayTeam]:[AwayTeam]], O$36, Table1[[ActualResult]:[ActualResult]], "OT") + SUMIFS(Table1[[HomeWon]:[HomeWon]], Table1[[GameIsOver]:[GameIsOver]], 1, Table1[[AwayTeam]:[AwayTeam]], $A39, Table1[[HomeTeam]:[HomeTeam]], O$36, Table1[[ActualResult]:[ActualResult]], "SO") + SUMIFS(Table1[[AwayWon]:[AwayWon]], Table1[[GameIsOver]:[GameIsOver]], 1, Table1[[HomeTeam]:[HomeTeam]], $A39, Table1[[AwayTeam]:[AwayTeam]], O$36, Table1[[ActualResult]:[ActualResult]], "SO")))/ (2*((COUNTIFS(Table1[[GameIsOver]:[GameIsOver]],1,Table1[[AwayTeam]:[AwayTeam]],$A39, Table1[[HomeTeam]:[HomeTeam]], O$36)))+( COUNTIFS(Table1[[GameIsOver]:[GameIsOver]],1,Table1[[AwayTeam]:[AwayTeam]],O$36, Table1[[HomeTeam]:[HomeTeam]],$A39))), "")</f>
        <v/>
      </c>
      <c r="P39" s="36" t="str">
        <f>IFERROR(((2 * (SUMIFS(Table1[[AwayWon]:[AwayWon]], Table1[[GameIsOver]:[GameIsOver]], 1, Table1[[AwayTeam]:[AwayTeam]], $A39, Table1[[HomeTeam]:[HomeTeam]], P$36) + SUMIFS(Table1[[HomeWon]:[HomeWon]], Table1[[GameIsOver]:[GameIsOver]], 1, Table1[[HomeTeam]:[HomeTeam]], $A39, Table1[[AwayTeam]:[AwayTeam]], P$36))) + (SUMIFS(Table1[[HomeWon]:[HomeWon]], Table1[[GameIsOver]:[GameIsOver]], 1, Table1[[AwayTeam]:[AwayTeam]], $A39, Table1[[HomeTeam]:[HomeTeam]],  P$36, Table1[[ActualResult]:[ActualResult]], "OT") + SUMIFS(Table1[[AwayWon]:[AwayWon]], Table1[[GameIsOver]:[GameIsOver]], 1, Table1[[HomeTeam]:[HomeTeam]], $A39, Table1[[AwayTeam]:[AwayTeam]], P$36, Table1[[ActualResult]:[ActualResult]], "OT") + SUMIFS(Table1[[HomeWon]:[HomeWon]], Table1[[GameIsOver]:[GameIsOver]], 1, Table1[[AwayTeam]:[AwayTeam]], $A39, Table1[[HomeTeam]:[HomeTeam]], P$36, Table1[[ActualResult]:[ActualResult]], "SO") + SUMIFS(Table1[[AwayWon]:[AwayWon]], Table1[[GameIsOver]:[GameIsOver]], 1, Table1[[HomeTeam]:[HomeTeam]], $A39, Table1[[AwayTeam]:[AwayTeam]], P$36, Table1[[ActualResult]:[ActualResult]], "SO")))/ (2*((COUNTIFS(Table1[[GameIsOver]:[GameIsOver]],1,Table1[[AwayTeam]:[AwayTeam]],$A39, Table1[[HomeTeam]:[HomeTeam]], P$36)))+( COUNTIFS(Table1[[GameIsOver]:[GameIsOver]],1,Table1[[AwayTeam]:[AwayTeam]],P$36, Table1[[HomeTeam]:[HomeTeam]],$A39))), "")</f>
        <v/>
      </c>
      <c r="Q39" s="38" t="str">
        <f>IFERROR(((2 * (SUMIFS(Table1[[AwayWon]:[AwayWon]], Table1[[GameIsOver]:[GameIsOver]], 1, Table1[[AwayTeam]:[AwayTeam]], $A39, Table1[[HomeTeam]:[HomeTeam]], Q$36) + SUMIFS(Table1[[HomeWon]:[HomeWon]], Table1[[GameIsOver]:[GameIsOver]], 1, Table1[[HomeTeam]:[HomeTeam]], $A39, Table1[[AwayTeam]:[AwayTeam]], Q$36))) + (SUMIFS(Table1[[HomeWon]:[HomeWon]], Table1[[GameIsOver]:[GameIsOver]], 1, Table1[[AwayTeam]:[AwayTeam]], $A39, Table1[[HomeTeam]:[HomeTeam]],  Q$36, Table1[[ActualResult]:[ActualResult]], "OT") + SUMIFS(Table1[[AwayWon]:[AwayWon]], Table1[[GameIsOver]:[GameIsOver]], 1, Table1[[HomeTeam]:[HomeTeam]], $A39, Table1[[AwayTeam]:[AwayTeam]], Q$36, Table1[[ActualResult]:[ActualResult]], "OT") + SUMIFS(Table1[[HomeWon]:[HomeWon]], Table1[[GameIsOver]:[GameIsOver]], 1, Table1[[AwayTeam]:[AwayTeam]], $A39, Table1[[HomeTeam]:[HomeTeam]], Q$36, Table1[[ActualResult]:[ActualResult]], "SO") + SUMIFS(Table1[[AwayWon]:[AwayWon]], Table1[[GameIsOver]:[GameIsOver]], 1, Table1[[HomeTeam]:[HomeTeam]], $A39, Table1[[AwayTeam]:[AwayTeam]], Q$36, Table1[[ActualResult]:[ActualResult]], "SO")))/ (2*((COUNTIFS(Table1[[GameIsOver]:[GameIsOver]],1,Table1[[AwayTeam]:[AwayTeam]],$A39, Table1[[HomeTeam]:[HomeTeam]], Q$36)))+( COUNTIFS(Table1[[GameIsOver]:[GameIsOver]],1,Table1[[AwayTeam]:[AwayTeam]],Q$36, Table1[[HomeTeam]:[HomeTeam]],$A39))), "")</f>
        <v/>
      </c>
      <c r="R39" s="36" t="str">
        <f>IFERROR(((2 * (SUMIFS(Table1[[AwayWon]:[AwayWon]], Table1[[GameIsOver]:[GameIsOver]], 1, Table1[[AwayTeam]:[AwayTeam]], $A39, Table1[[HomeTeam]:[HomeTeam]], R$36) + SUMIFS(Table1[[HomeWon]:[HomeWon]], Table1[[GameIsOver]:[GameIsOver]], 1, Table1[[HomeTeam]:[HomeTeam]], $A39, Table1[[AwayTeam]:[AwayTeam]], R$36))) + (SUMIFS(Table1[[HomeWon]:[HomeWon]], Table1[[GameIsOver]:[GameIsOver]], 1, Table1[[AwayTeam]:[AwayTeam]], $A39, Table1[[HomeTeam]:[HomeTeam]],  R$36, Table1[[ActualResult]:[ActualResult]], "OT") + SUMIFS(Table1[[AwayWon]:[AwayWon]], Table1[[GameIsOver]:[GameIsOver]], 1, Table1[[HomeTeam]:[HomeTeam]], $A39, Table1[[AwayTeam]:[AwayTeam]], R$36, Table1[[ActualResult]:[ActualResult]], "OT") + SUMIFS(Table1[[HomeWon]:[HomeWon]], Table1[[GameIsOver]:[GameIsOver]], 1, Table1[[AwayTeam]:[AwayTeam]], $A39, Table1[[HomeTeam]:[HomeTeam]], R$36, Table1[[ActualResult]:[ActualResult]], "SO") + SUMIFS(Table1[[AwayWon]:[AwayWon]], Table1[[GameIsOver]:[GameIsOver]], 1, Table1[[HomeTeam]:[HomeTeam]], $A39, Table1[[AwayTeam]:[AwayTeam]], R$36, Table1[[ActualResult]:[ActualResult]], "SO")))/ (2*((COUNTIFS(Table1[[GameIsOver]:[GameIsOver]],1,Table1[[AwayTeam]:[AwayTeam]],$A39, Table1[[HomeTeam]:[HomeTeam]], R$36)))+( COUNTIFS(Table1[[GameIsOver]:[GameIsOver]],1,Table1[[AwayTeam]:[AwayTeam]],R$36, Table1[[HomeTeam]:[HomeTeam]],$A39))), "")</f>
        <v/>
      </c>
      <c r="S39" s="36" t="str">
        <f>IFERROR(((2 * (SUMIFS(Table1[[AwayWon]:[AwayWon]], Table1[[GameIsOver]:[GameIsOver]], 1, Table1[[AwayTeam]:[AwayTeam]], $A39, Table1[[HomeTeam]:[HomeTeam]], S$36) + SUMIFS(Table1[[HomeWon]:[HomeWon]], Table1[[GameIsOver]:[GameIsOver]], 1, Table1[[HomeTeam]:[HomeTeam]], $A39, Table1[[AwayTeam]:[AwayTeam]], S$36))) + (SUMIFS(Table1[[HomeWon]:[HomeWon]], Table1[[GameIsOver]:[GameIsOver]], 1, Table1[[AwayTeam]:[AwayTeam]], $A39, Table1[[HomeTeam]:[HomeTeam]],  S$36, Table1[[ActualResult]:[ActualResult]], "OT") + SUMIFS(Table1[[AwayWon]:[AwayWon]], Table1[[GameIsOver]:[GameIsOver]], 1, Table1[[HomeTeam]:[HomeTeam]], $A39, Table1[[AwayTeam]:[AwayTeam]], S$36, Table1[[ActualResult]:[ActualResult]], "OT") + SUMIFS(Table1[[HomeWon]:[HomeWon]], Table1[[GameIsOver]:[GameIsOver]], 1, Table1[[AwayTeam]:[AwayTeam]], $A39, Table1[[HomeTeam]:[HomeTeam]], S$36, Table1[[ActualResult]:[ActualResult]], "SO") + SUMIFS(Table1[[AwayWon]:[AwayWon]], Table1[[GameIsOver]:[GameIsOver]], 1, Table1[[HomeTeam]:[HomeTeam]], $A39, Table1[[AwayTeam]:[AwayTeam]], S$36, Table1[[ActualResult]:[ActualResult]], "SO")))/ (2*((COUNTIFS(Table1[[GameIsOver]:[GameIsOver]],1,Table1[[AwayTeam]:[AwayTeam]],$A39, Table1[[HomeTeam]:[HomeTeam]], S$36)))+( COUNTIFS(Table1[[GameIsOver]:[GameIsOver]],1,Table1[[AwayTeam]:[AwayTeam]],S$36, Table1[[HomeTeam]:[HomeTeam]],$A39))), "")</f>
        <v/>
      </c>
      <c r="T39" s="36" t="str">
        <f>IFERROR(((2 * (SUMIFS(Table1[[AwayWon]:[AwayWon]], Table1[[GameIsOver]:[GameIsOver]], 1, Table1[[AwayTeam]:[AwayTeam]], $A39, Table1[[HomeTeam]:[HomeTeam]], T$36) + SUMIFS(Table1[[HomeWon]:[HomeWon]], Table1[[GameIsOver]:[GameIsOver]], 1, Table1[[HomeTeam]:[HomeTeam]], $A39, Table1[[AwayTeam]:[AwayTeam]], T$36))) + (SUMIFS(Table1[[HomeWon]:[HomeWon]], Table1[[GameIsOver]:[GameIsOver]], 1, Table1[[AwayTeam]:[AwayTeam]], $A39, Table1[[HomeTeam]:[HomeTeam]],  T$36, Table1[[ActualResult]:[ActualResult]], "OT") + SUMIFS(Table1[[AwayWon]:[AwayWon]], Table1[[GameIsOver]:[GameIsOver]], 1, Table1[[HomeTeam]:[HomeTeam]], $A39, Table1[[AwayTeam]:[AwayTeam]], T$36, Table1[[ActualResult]:[ActualResult]], "OT") + SUMIFS(Table1[[HomeWon]:[HomeWon]], Table1[[GameIsOver]:[GameIsOver]], 1, Table1[[AwayTeam]:[AwayTeam]], $A39, Table1[[HomeTeam]:[HomeTeam]], T$36, Table1[[ActualResult]:[ActualResult]], "SO") + SUMIFS(Table1[[AwayWon]:[AwayWon]], Table1[[GameIsOver]:[GameIsOver]], 1, Table1[[HomeTeam]:[HomeTeam]], $A39, Table1[[AwayTeam]:[AwayTeam]], T$36, Table1[[ActualResult]:[ActualResult]], "SO")))/ (2*((COUNTIFS(Table1[[GameIsOver]:[GameIsOver]],1,Table1[[AwayTeam]:[AwayTeam]],$A39, Table1[[HomeTeam]:[HomeTeam]], T$36)))+( COUNTIFS(Table1[[GameIsOver]:[GameIsOver]],1,Table1[[AwayTeam]:[AwayTeam]],T$36, Table1[[HomeTeam]:[HomeTeam]],$A39))), "")</f>
        <v/>
      </c>
      <c r="U39" s="36" t="str">
        <f>IFERROR(((2 * (SUMIFS(Table1[[AwayWon]:[AwayWon]], Table1[[GameIsOver]:[GameIsOver]], 1, Table1[[AwayTeam]:[AwayTeam]], $A39, Table1[[HomeTeam]:[HomeTeam]], U$36) + SUMIFS(Table1[[HomeWon]:[HomeWon]], Table1[[GameIsOver]:[GameIsOver]], 1, Table1[[HomeTeam]:[HomeTeam]], $A39, Table1[[AwayTeam]:[AwayTeam]], U$36))) + (SUMIFS(Table1[[HomeWon]:[HomeWon]], Table1[[GameIsOver]:[GameIsOver]], 1, Table1[[AwayTeam]:[AwayTeam]], $A39, Table1[[HomeTeam]:[HomeTeam]],  U$36, Table1[[ActualResult]:[ActualResult]], "OT") + SUMIFS(Table1[[AwayWon]:[AwayWon]], Table1[[GameIsOver]:[GameIsOver]], 1, Table1[[HomeTeam]:[HomeTeam]], $A39, Table1[[AwayTeam]:[AwayTeam]], U$36, Table1[[ActualResult]:[ActualResult]], "OT") + SUMIFS(Table1[[HomeWon]:[HomeWon]], Table1[[GameIsOver]:[GameIsOver]], 1, Table1[[AwayTeam]:[AwayTeam]], $A39, Table1[[HomeTeam]:[HomeTeam]], U$36, Table1[[ActualResult]:[ActualResult]], "SO") + SUMIFS(Table1[[AwayWon]:[AwayWon]], Table1[[GameIsOver]:[GameIsOver]], 1, Table1[[HomeTeam]:[HomeTeam]], $A39, Table1[[AwayTeam]:[AwayTeam]], U$36, Table1[[ActualResult]:[ActualResult]], "SO")))/ (2*((COUNTIFS(Table1[[GameIsOver]:[GameIsOver]],1,Table1[[AwayTeam]:[AwayTeam]],$A39, Table1[[HomeTeam]:[HomeTeam]], U$36)))+( COUNTIFS(Table1[[GameIsOver]:[GameIsOver]],1,Table1[[AwayTeam]:[AwayTeam]],U$36, Table1[[HomeTeam]:[HomeTeam]],$A39))), "")</f>
        <v/>
      </c>
      <c r="V39" s="36" t="str">
        <f>IFERROR(((2 * (SUMIFS(Table1[[AwayWon]:[AwayWon]], Table1[[GameIsOver]:[GameIsOver]], 1, Table1[[AwayTeam]:[AwayTeam]], $A39, Table1[[HomeTeam]:[HomeTeam]], V$36) + SUMIFS(Table1[[HomeWon]:[HomeWon]], Table1[[GameIsOver]:[GameIsOver]], 1, Table1[[HomeTeam]:[HomeTeam]], $A39, Table1[[AwayTeam]:[AwayTeam]], V$36))) + (SUMIFS(Table1[[HomeWon]:[HomeWon]], Table1[[GameIsOver]:[GameIsOver]], 1, Table1[[AwayTeam]:[AwayTeam]], $A39, Table1[[HomeTeam]:[HomeTeam]],  V$36, Table1[[ActualResult]:[ActualResult]], "OT") + SUMIFS(Table1[[AwayWon]:[AwayWon]], Table1[[GameIsOver]:[GameIsOver]], 1, Table1[[HomeTeam]:[HomeTeam]], $A39, Table1[[AwayTeam]:[AwayTeam]], V$36, Table1[[ActualResult]:[ActualResult]], "OT") + SUMIFS(Table1[[HomeWon]:[HomeWon]], Table1[[GameIsOver]:[GameIsOver]], 1, Table1[[AwayTeam]:[AwayTeam]], $A39, Table1[[HomeTeam]:[HomeTeam]], V$36, Table1[[ActualResult]:[ActualResult]], "SO") + SUMIFS(Table1[[AwayWon]:[AwayWon]], Table1[[GameIsOver]:[GameIsOver]], 1, Table1[[HomeTeam]:[HomeTeam]], $A39, Table1[[AwayTeam]:[AwayTeam]], V$36, Table1[[ActualResult]:[ActualResult]], "SO")))/ (2*((COUNTIFS(Table1[[GameIsOver]:[GameIsOver]],1,Table1[[AwayTeam]:[AwayTeam]],$A39, Table1[[HomeTeam]:[HomeTeam]], V$36)))+( COUNTIFS(Table1[[GameIsOver]:[GameIsOver]],1,Table1[[AwayTeam]:[AwayTeam]],V$36, Table1[[HomeTeam]:[HomeTeam]],$A39))), "")</f>
        <v/>
      </c>
      <c r="W39" s="36" t="str">
        <f>IFERROR(((2 * (SUMIFS(Table1[[AwayWon]:[AwayWon]], Table1[[GameIsOver]:[GameIsOver]], 1, Table1[[AwayTeam]:[AwayTeam]], $A39, Table1[[HomeTeam]:[HomeTeam]], W$36) + SUMIFS(Table1[[HomeWon]:[HomeWon]], Table1[[GameIsOver]:[GameIsOver]], 1, Table1[[HomeTeam]:[HomeTeam]], $A39, Table1[[AwayTeam]:[AwayTeam]], W$36))) + (SUMIFS(Table1[[HomeWon]:[HomeWon]], Table1[[GameIsOver]:[GameIsOver]], 1, Table1[[AwayTeam]:[AwayTeam]], $A39, Table1[[HomeTeam]:[HomeTeam]],  W$36, Table1[[ActualResult]:[ActualResult]], "OT") + SUMIFS(Table1[[AwayWon]:[AwayWon]], Table1[[GameIsOver]:[GameIsOver]], 1, Table1[[HomeTeam]:[HomeTeam]], $A39, Table1[[AwayTeam]:[AwayTeam]], W$36, Table1[[ActualResult]:[ActualResult]], "OT") + SUMIFS(Table1[[HomeWon]:[HomeWon]], Table1[[GameIsOver]:[GameIsOver]], 1, Table1[[AwayTeam]:[AwayTeam]], $A39, Table1[[HomeTeam]:[HomeTeam]], W$36, Table1[[ActualResult]:[ActualResult]], "SO") + SUMIFS(Table1[[AwayWon]:[AwayWon]], Table1[[GameIsOver]:[GameIsOver]], 1, Table1[[HomeTeam]:[HomeTeam]], $A39, Table1[[AwayTeam]:[AwayTeam]], W$36, Table1[[ActualResult]:[ActualResult]], "SO")))/ (2*((COUNTIFS(Table1[[GameIsOver]:[GameIsOver]],1,Table1[[AwayTeam]:[AwayTeam]],$A39, Table1[[HomeTeam]:[HomeTeam]], W$36)))+( COUNTIFS(Table1[[GameIsOver]:[GameIsOver]],1,Table1[[AwayTeam]:[AwayTeam]],W$36, Table1[[HomeTeam]:[HomeTeam]],$A39))), "")</f>
        <v/>
      </c>
      <c r="X39" s="36" t="str">
        <f>IFERROR(((2 * (SUMIFS(Table1[[AwayWon]:[AwayWon]], Table1[[GameIsOver]:[GameIsOver]], 1, Table1[[AwayTeam]:[AwayTeam]], $A39, Table1[[HomeTeam]:[HomeTeam]], X$36) + SUMIFS(Table1[[HomeWon]:[HomeWon]], Table1[[GameIsOver]:[GameIsOver]], 1, Table1[[HomeTeam]:[HomeTeam]], $A39, Table1[[AwayTeam]:[AwayTeam]], X$36))) + (SUMIFS(Table1[[HomeWon]:[HomeWon]], Table1[[GameIsOver]:[GameIsOver]], 1, Table1[[AwayTeam]:[AwayTeam]], $A39, Table1[[HomeTeam]:[HomeTeam]],  X$36, Table1[[ActualResult]:[ActualResult]], "OT") + SUMIFS(Table1[[AwayWon]:[AwayWon]], Table1[[GameIsOver]:[GameIsOver]], 1, Table1[[HomeTeam]:[HomeTeam]], $A39, Table1[[AwayTeam]:[AwayTeam]], X$36, Table1[[ActualResult]:[ActualResult]], "OT") + SUMIFS(Table1[[HomeWon]:[HomeWon]], Table1[[GameIsOver]:[GameIsOver]], 1, Table1[[AwayTeam]:[AwayTeam]], $A39, Table1[[HomeTeam]:[HomeTeam]], X$36, Table1[[ActualResult]:[ActualResult]], "SO") + SUMIFS(Table1[[AwayWon]:[AwayWon]], Table1[[GameIsOver]:[GameIsOver]], 1, Table1[[HomeTeam]:[HomeTeam]], $A39, Table1[[AwayTeam]:[AwayTeam]], X$36, Table1[[ActualResult]:[ActualResult]], "SO")))/ (2*((COUNTIFS(Table1[[GameIsOver]:[GameIsOver]],1,Table1[[AwayTeam]:[AwayTeam]],$A39, Table1[[HomeTeam]:[HomeTeam]], X$36)))+( COUNTIFS(Table1[[GameIsOver]:[GameIsOver]],1,Table1[[AwayTeam]:[AwayTeam]],X$36, Table1[[HomeTeam]:[HomeTeam]],$A39))), "")</f>
        <v/>
      </c>
      <c r="Y39" s="38" t="str">
        <f>IFERROR(((2 * (SUMIFS(Table1[[AwayWon]:[AwayWon]], Table1[[GameIsOver]:[GameIsOver]], 1, Table1[[AwayTeam]:[AwayTeam]], $A39, Table1[[HomeTeam]:[HomeTeam]], Y$36) + SUMIFS(Table1[[HomeWon]:[HomeWon]], Table1[[GameIsOver]:[GameIsOver]], 1, Table1[[HomeTeam]:[HomeTeam]], $A39, Table1[[AwayTeam]:[AwayTeam]], Y$36))) + (SUMIFS(Table1[[HomeWon]:[HomeWon]], Table1[[GameIsOver]:[GameIsOver]], 1, Table1[[AwayTeam]:[AwayTeam]], $A39, Table1[[HomeTeam]:[HomeTeam]],  Y$36, Table1[[ActualResult]:[ActualResult]], "OT") + SUMIFS(Table1[[AwayWon]:[AwayWon]], Table1[[GameIsOver]:[GameIsOver]], 1, Table1[[HomeTeam]:[HomeTeam]], $A39, Table1[[AwayTeam]:[AwayTeam]], Y$36, Table1[[ActualResult]:[ActualResult]], "OT") + SUMIFS(Table1[[HomeWon]:[HomeWon]], Table1[[GameIsOver]:[GameIsOver]], 1, Table1[[AwayTeam]:[AwayTeam]], $A39, Table1[[HomeTeam]:[HomeTeam]], Y$36, Table1[[ActualResult]:[ActualResult]], "SO") + SUMIFS(Table1[[AwayWon]:[AwayWon]], Table1[[GameIsOver]:[GameIsOver]], 1, Table1[[HomeTeam]:[HomeTeam]], $A39, Table1[[AwayTeam]:[AwayTeam]], Y$36, Table1[[ActualResult]:[ActualResult]], "SO")))/ (2*((COUNTIFS(Table1[[GameIsOver]:[GameIsOver]],1,Table1[[AwayTeam]:[AwayTeam]],$A39, Table1[[HomeTeam]:[HomeTeam]], Y$36)))+( COUNTIFS(Table1[[GameIsOver]:[GameIsOver]],1,Table1[[AwayTeam]:[AwayTeam]],Y$36, Table1[[HomeTeam]:[HomeTeam]],$A39))), "")</f>
        <v/>
      </c>
      <c r="Z39" s="36" t="str">
        <f>IFERROR(((2 * (SUMIFS(Table1[[AwayWon]:[AwayWon]], Table1[[GameIsOver]:[GameIsOver]], 1, Table1[[AwayTeam]:[AwayTeam]], $A39, Table1[[HomeTeam]:[HomeTeam]], Z$36) + SUMIFS(Table1[[HomeWon]:[HomeWon]], Table1[[GameIsOver]:[GameIsOver]], 1, Table1[[HomeTeam]:[HomeTeam]], $A39, Table1[[AwayTeam]:[AwayTeam]], Z$36))) + (SUMIFS(Table1[[HomeWon]:[HomeWon]], Table1[[GameIsOver]:[GameIsOver]], 1, Table1[[AwayTeam]:[AwayTeam]], $A39, Table1[[HomeTeam]:[HomeTeam]],  Z$36, Table1[[ActualResult]:[ActualResult]], "OT") + SUMIFS(Table1[[AwayWon]:[AwayWon]], Table1[[GameIsOver]:[GameIsOver]], 1, Table1[[HomeTeam]:[HomeTeam]], $A39, Table1[[AwayTeam]:[AwayTeam]], Z$36, Table1[[ActualResult]:[ActualResult]], "OT") + SUMIFS(Table1[[HomeWon]:[HomeWon]], Table1[[GameIsOver]:[GameIsOver]], 1, Table1[[AwayTeam]:[AwayTeam]], $A39, Table1[[HomeTeam]:[HomeTeam]], Z$36, Table1[[ActualResult]:[ActualResult]], "SO") + SUMIFS(Table1[[AwayWon]:[AwayWon]], Table1[[GameIsOver]:[GameIsOver]], 1, Table1[[HomeTeam]:[HomeTeam]], $A39, Table1[[AwayTeam]:[AwayTeam]], Z$36, Table1[[ActualResult]:[ActualResult]], "SO")))/ (2*((COUNTIFS(Table1[[GameIsOver]:[GameIsOver]],1,Table1[[AwayTeam]:[AwayTeam]],$A39, Table1[[HomeTeam]:[HomeTeam]], Z$36)))+( COUNTIFS(Table1[[GameIsOver]:[GameIsOver]],1,Table1[[AwayTeam]:[AwayTeam]],Z$36, Table1[[HomeTeam]:[HomeTeam]],$A39))), "")</f>
        <v/>
      </c>
      <c r="AA39" s="36" t="str">
        <f>IFERROR(((2 * (SUMIFS(Table1[[AwayWon]:[AwayWon]], Table1[[GameIsOver]:[GameIsOver]], 1, Table1[[AwayTeam]:[AwayTeam]], $A39, Table1[[HomeTeam]:[HomeTeam]], AA$36) + SUMIFS(Table1[[HomeWon]:[HomeWon]], Table1[[GameIsOver]:[GameIsOver]], 1, Table1[[HomeTeam]:[HomeTeam]], $A39, Table1[[AwayTeam]:[AwayTeam]], AA$36))) + (SUMIFS(Table1[[HomeWon]:[HomeWon]], Table1[[GameIsOver]:[GameIsOver]], 1, Table1[[AwayTeam]:[AwayTeam]], $A39, Table1[[HomeTeam]:[HomeTeam]],  AA$36, Table1[[ActualResult]:[ActualResult]], "OT") + SUMIFS(Table1[[AwayWon]:[AwayWon]], Table1[[GameIsOver]:[GameIsOver]], 1, Table1[[HomeTeam]:[HomeTeam]], $A39, Table1[[AwayTeam]:[AwayTeam]], AA$36, Table1[[ActualResult]:[ActualResult]], "OT") + SUMIFS(Table1[[HomeWon]:[HomeWon]], Table1[[GameIsOver]:[GameIsOver]], 1, Table1[[AwayTeam]:[AwayTeam]], $A39, Table1[[HomeTeam]:[HomeTeam]], AA$36, Table1[[ActualResult]:[ActualResult]], "SO") + SUMIFS(Table1[[AwayWon]:[AwayWon]], Table1[[GameIsOver]:[GameIsOver]], 1, Table1[[HomeTeam]:[HomeTeam]], $A39, Table1[[AwayTeam]:[AwayTeam]], AA$36, Table1[[ActualResult]:[ActualResult]], "SO")))/ (2*((COUNTIFS(Table1[[GameIsOver]:[GameIsOver]],1,Table1[[AwayTeam]:[AwayTeam]],$A39, Table1[[HomeTeam]:[HomeTeam]], AA$36)))+( COUNTIFS(Table1[[GameIsOver]:[GameIsOver]],1,Table1[[AwayTeam]:[AwayTeam]],AA$36, Table1[[HomeTeam]:[HomeTeam]],$A39))), "")</f>
        <v/>
      </c>
      <c r="AB39" s="36" t="str">
        <f>IFERROR(((2 * (SUMIFS(Table1[[AwayWon]:[AwayWon]], Table1[[GameIsOver]:[GameIsOver]], 1, Table1[[AwayTeam]:[AwayTeam]], $A39, Table1[[HomeTeam]:[HomeTeam]], AB$36) + SUMIFS(Table1[[HomeWon]:[HomeWon]], Table1[[GameIsOver]:[GameIsOver]], 1, Table1[[HomeTeam]:[HomeTeam]], $A39, Table1[[AwayTeam]:[AwayTeam]], AB$36))) + (SUMIFS(Table1[[HomeWon]:[HomeWon]], Table1[[GameIsOver]:[GameIsOver]], 1, Table1[[AwayTeam]:[AwayTeam]], $A39, Table1[[HomeTeam]:[HomeTeam]],  AB$36, Table1[[ActualResult]:[ActualResult]], "OT") + SUMIFS(Table1[[AwayWon]:[AwayWon]], Table1[[GameIsOver]:[GameIsOver]], 1, Table1[[HomeTeam]:[HomeTeam]], $A39, Table1[[AwayTeam]:[AwayTeam]], AB$36, Table1[[ActualResult]:[ActualResult]], "OT") + SUMIFS(Table1[[HomeWon]:[HomeWon]], Table1[[GameIsOver]:[GameIsOver]], 1, Table1[[AwayTeam]:[AwayTeam]], $A39, Table1[[HomeTeam]:[HomeTeam]], AB$36, Table1[[ActualResult]:[ActualResult]], "SO") + SUMIFS(Table1[[AwayWon]:[AwayWon]], Table1[[GameIsOver]:[GameIsOver]], 1, Table1[[HomeTeam]:[HomeTeam]], $A39, Table1[[AwayTeam]:[AwayTeam]], AB$36, Table1[[ActualResult]:[ActualResult]], "SO")))/ (2*((COUNTIFS(Table1[[GameIsOver]:[GameIsOver]],1,Table1[[AwayTeam]:[AwayTeam]],$A39, Table1[[HomeTeam]:[HomeTeam]], AB$36)))+( COUNTIFS(Table1[[GameIsOver]:[GameIsOver]],1,Table1[[AwayTeam]:[AwayTeam]],AB$36, Table1[[HomeTeam]:[HomeTeam]],$A39))), "")</f>
        <v/>
      </c>
      <c r="AC39" s="36" t="str">
        <f>IFERROR(((2 * (SUMIFS(Table1[[AwayWon]:[AwayWon]], Table1[[GameIsOver]:[GameIsOver]], 1, Table1[[AwayTeam]:[AwayTeam]], $A39, Table1[[HomeTeam]:[HomeTeam]], AC$36) + SUMIFS(Table1[[HomeWon]:[HomeWon]], Table1[[GameIsOver]:[GameIsOver]], 1, Table1[[HomeTeam]:[HomeTeam]], $A39, Table1[[AwayTeam]:[AwayTeam]], AC$36))) + (SUMIFS(Table1[[HomeWon]:[HomeWon]], Table1[[GameIsOver]:[GameIsOver]], 1, Table1[[AwayTeam]:[AwayTeam]], $A39, Table1[[HomeTeam]:[HomeTeam]],  AC$36, Table1[[ActualResult]:[ActualResult]], "OT") + SUMIFS(Table1[[AwayWon]:[AwayWon]], Table1[[GameIsOver]:[GameIsOver]], 1, Table1[[HomeTeam]:[HomeTeam]], $A39, Table1[[AwayTeam]:[AwayTeam]], AC$36, Table1[[ActualResult]:[ActualResult]], "OT") + SUMIFS(Table1[[HomeWon]:[HomeWon]], Table1[[GameIsOver]:[GameIsOver]], 1, Table1[[AwayTeam]:[AwayTeam]], $A39, Table1[[HomeTeam]:[HomeTeam]], AC$36, Table1[[ActualResult]:[ActualResult]], "SO") + SUMIFS(Table1[[AwayWon]:[AwayWon]], Table1[[GameIsOver]:[GameIsOver]], 1, Table1[[HomeTeam]:[HomeTeam]], $A39, Table1[[AwayTeam]:[AwayTeam]], AC$36, Table1[[ActualResult]:[ActualResult]], "SO")))/ (2*((COUNTIFS(Table1[[GameIsOver]:[GameIsOver]],1,Table1[[AwayTeam]:[AwayTeam]],$A39, Table1[[HomeTeam]:[HomeTeam]], AC$36)))+( COUNTIFS(Table1[[GameIsOver]:[GameIsOver]],1,Table1[[AwayTeam]:[AwayTeam]],AC$36, Table1[[HomeTeam]:[HomeTeam]],$A39))), "")</f>
        <v/>
      </c>
      <c r="AD39" s="36" t="str">
        <f>IFERROR(((2 * (SUMIFS(Table1[[AwayWon]:[AwayWon]], Table1[[GameIsOver]:[GameIsOver]], 1, Table1[[AwayTeam]:[AwayTeam]], $A39, Table1[[HomeTeam]:[HomeTeam]], AD$36) + SUMIFS(Table1[[HomeWon]:[HomeWon]], Table1[[GameIsOver]:[GameIsOver]], 1, Table1[[HomeTeam]:[HomeTeam]], $A39, Table1[[AwayTeam]:[AwayTeam]], AD$36))) + (SUMIFS(Table1[[HomeWon]:[HomeWon]], Table1[[GameIsOver]:[GameIsOver]], 1, Table1[[AwayTeam]:[AwayTeam]], $A39, Table1[[HomeTeam]:[HomeTeam]],  AD$36, Table1[[ActualResult]:[ActualResult]], "OT") + SUMIFS(Table1[[AwayWon]:[AwayWon]], Table1[[GameIsOver]:[GameIsOver]], 1, Table1[[HomeTeam]:[HomeTeam]], $A39, Table1[[AwayTeam]:[AwayTeam]], AD$36, Table1[[ActualResult]:[ActualResult]], "OT") + SUMIFS(Table1[[HomeWon]:[HomeWon]], Table1[[GameIsOver]:[GameIsOver]], 1, Table1[[AwayTeam]:[AwayTeam]], $A39, Table1[[HomeTeam]:[HomeTeam]], AD$36, Table1[[ActualResult]:[ActualResult]], "SO") + SUMIFS(Table1[[AwayWon]:[AwayWon]], Table1[[GameIsOver]:[GameIsOver]], 1, Table1[[HomeTeam]:[HomeTeam]], $A39, Table1[[AwayTeam]:[AwayTeam]], AD$36, Table1[[ActualResult]:[ActualResult]], "SO")))/ (2*((COUNTIFS(Table1[[GameIsOver]:[GameIsOver]],1,Table1[[AwayTeam]:[AwayTeam]],$A39, Table1[[HomeTeam]:[HomeTeam]], AD$36)))+( COUNTIFS(Table1[[GameIsOver]:[GameIsOver]],1,Table1[[AwayTeam]:[AwayTeam]],AD$36, Table1[[HomeTeam]:[HomeTeam]],$A39))), "")</f>
        <v/>
      </c>
      <c r="AE39" s="36" t="str">
        <f>IFERROR(((2 * (SUMIFS(Table1[[AwayWon]:[AwayWon]], Table1[[GameIsOver]:[GameIsOver]], 1, Table1[[AwayTeam]:[AwayTeam]], $A39, Table1[[HomeTeam]:[HomeTeam]], AE$36) + SUMIFS(Table1[[HomeWon]:[HomeWon]], Table1[[GameIsOver]:[GameIsOver]], 1, Table1[[HomeTeam]:[HomeTeam]], $A39, Table1[[AwayTeam]:[AwayTeam]], AE$36))) + (SUMIFS(Table1[[HomeWon]:[HomeWon]], Table1[[GameIsOver]:[GameIsOver]], 1, Table1[[AwayTeam]:[AwayTeam]], $A39, Table1[[HomeTeam]:[HomeTeam]],  AE$36, Table1[[ActualResult]:[ActualResult]], "OT") + SUMIFS(Table1[[AwayWon]:[AwayWon]], Table1[[GameIsOver]:[GameIsOver]], 1, Table1[[HomeTeam]:[HomeTeam]], $A39, Table1[[AwayTeam]:[AwayTeam]], AE$36, Table1[[ActualResult]:[ActualResult]], "OT") + SUMIFS(Table1[[HomeWon]:[HomeWon]], Table1[[GameIsOver]:[GameIsOver]], 1, Table1[[AwayTeam]:[AwayTeam]], $A39, Table1[[HomeTeam]:[HomeTeam]], AE$36, Table1[[ActualResult]:[ActualResult]], "SO") + SUMIFS(Table1[[AwayWon]:[AwayWon]], Table1[[GameIsOver]:[GameIsOver]], 1, Table1[[HomeTeam]:[HomeTeam]], $A39, Table1[[AwayTeam]:[AwayTeam]], AE$36, Table1[[ActualResult]:[ActualResult]], "SO")))/ (2*((COUNTIFS(Table1[[GameIsOver]:[GameIsOver]],1,Table1[[AwayTeam]:[AwayTeam]],$A39, Table1[[HomeTeam]:[HomeTeam]], AE$36)))+( COUNTIFS(Table1[[GameIsOver]:[GameIsOver]],1,Table1[[AwayTeam]:[AwayTeam]],AE$36, Table1[[HomeTeam]:[HomeTeam]],$A39))), "")</f>
        <v/>
      </c>
      <c r="AF39" s="36" t="str">
        <f>IFERROR(((2 * (SUMIFS(Table1[[AwayWon]:[AwayWon]], Table1[[GameIsOver]:[GameIsOver]], 1, Table1[[AwayTeam]:[AwayTeam]], $A39, Table1[[HomeTeam]:[HomeTeam]], AF$36) + SUMIFS(Table1[[HomeWon]:[HomeWon]], Table1[[GameIsOver]:[GameIsOver]], 1, Table1[[HomeTeam]:[HomeTeam]], $A39, Table1[[AwayTeam]:[AwayTeam]], AF$36))) + (SUMIFS(Table1[[HomeWon]:[HomeWon]], Table1[[GameIsOver]:[GameIsOver]], 1, Table1[[AwayTeam]:[AwayTeam]], $A39, Table1[[HomeTeam]:[HomeTeam]],  AF$36, Table1[[ActualResult]:[ActualResult]], "OT") + SUMIFS(Table1[[AwayWon]:[AwayWon]], Table1[[GameIsOver]:[GameIsOver]], 1, Table1[[HomeTeam]:[HomeTeam]], $A39, Table1[[AwayTeam]:[AwayTeam]], AF$36, Table1[[ActualResult]:[ActualResult]], "OT") + SUMIFS(Table1[[HomeWon]:[HomeWon]], Table1[[GameIsOver]:[GameIsOver]], 1, Table1[[AwayTeam]:[AwayTeam]], $A39, Table1[[HomeTeam]:[HomeTeam]], AF$36, Table1[[ActualResult]:[ActualResult]], "SO") + SUMIFS(Table1[[AwayWon]:[AwayWon]], Table1[[GameIsOver]:[GameIsOver]], 1, Table1[[HomeTeam]:[HomeTeam]], $A39, Table1[[AwayTeam]:[AwayTeam]], AF$36, Table1[[ActualResult]:[ActualResult]], "SO")))/ (2*((COUNTIFS(Table1[[GameIsOver]:[GameIsOver]],1,Table1[[AwayTeam]:[AwayTeam]],$A39, Table1[[HomeTeam]:[HomeTeam]], AF$36)))+( COUNTIFS(Table1[[GameIsOver]:[GameIsOver]],1,Table1[[AwayTeam]:[AwayTeam]],AF$36, Table1[[HomeTeam]:[HomeTeam]],$A39))), "")</f>
        <v/>
      </c>
      <c r="AG39" s="36" t="str">
        <f>IFERROR(((2 * (SUMIFS(Table1[[AwayWon]:[AwayWon]], Table1[[GameIsOver]:[GameIsOver]], 1, Table1[[AwayTeam]:[AwayTeam]], $A39, Table1[[HomeTeam]:[HomeTeam]], AG$36) + SUMIFS(Table1[[HomeWon]:[HomeWon]], Table1[[GameIsOver]:[GameIsOver]], 1, Table1[[HomeTeam]:[HomeTeam]], $A39, Table1[[AwayTeam]:[AwayTeam]], AG$36))) + (SUMIFS(Table1[[HomeWon]:[HomeWon]], Table1[[GameIsOver]:[GameIsOver]], 1, Table1[[AwayTeam]:[AwayTeam]], $A39, Table1[[HomeTeam]:[HomeTeam]],  AG$36, Table1[[ActualResult]:[ActualResult]], "OT") + SUMIFS(Table1[[AwayWon]:[AwayWon]], Table1[[GameIsOver]:[GameIsOver]], 1, Table1[[HomeTeam]:[HomeTeam]], $A39, Table1[[AwayTeam]:[AwayTeam]], AG$36, Table1[[ActualResult]:[ActualResult]], "OT") + SUMIFS(Table1[[HomeWon]:[HomeWon]], Table1[[GameIsOver]:[GameIsOver]], 1, Table1[[AwayTeam]:[AwayTeam]], $A39, Table1[[HomeTeam]:[HomeTeam]], AG$36, Table1[[ActualResult]:[ActualResult]], "SO") + SUMIFS(Table1[[AwayWon]:[AwayWon]], Table1[[GameIsOver]:[GameIsOver]], 1, Table1[[HomeTeam]:[HomeTeam]], $A39, Table1[[AwayTeam]:[AwayTeam]], AG$36, Table1[[ActualResult]:[ActualResult]], "SO")))/ (2*((COUNTIFS(Table1[[GameIsOver]:[GameIsOver]],1,Table1[[AwayTeam]:[AwayTeam]],$A39, Table1[[HomeTeam]:[HomeTeam]], AG$36)))+( COUNTIFS(Table1[[GameIsOver]:[GameIsOver]],1,Table1[[AwayTeam]:[AwayTeam]],AG$36, Table1[[HomeTeam]:[HomeTeam]],$A39))), "")</f>
        <v/>
      </c>
      <c r="AH39" s="37" t="e">
        <f t="shared" si="0"/>
        <v>#DIV/0!</v>
      </c>
      <c r="AI39" s="37">
        <f t="shared" si="1"/>
        <v>1.3333333333333333</v>
      </c>
      <c r="AJ39" s="38" t="e">
        <f t="shared" si="2"/>
        <v>#DIV/0!</v>
      </c>
      <c r="AK39" s="38" t="e">
        <f t="shared" si="3"/>
        <v>#DIV/0!</v>
      </c>
      <c r="AL39" s="38" t="e">
        <f t="shared" si="4"/>
        <v>#DIV/0!</v>
      </c>
      <c r="AM39" s="38">
        <f t="shared" si="5"/>
        <v>1.3333333333333333</v>
      </c>
    </row>
    <row r="40" spans="1:39" x14ac:dyDescent="0.25">
      <c r="A40" s="17" t="s">
        <v>46</v>
      </c>
      <c r="B40" s="36" t="str">
        <f>IFERROR(((2 * (SUMIFS(Table1[[AwayWon]:[AwayWon]], Table1[[GameIsOver]:[GameIsOver]], 1, Table1[[AwayTeam]:[AwayTeam]], $A40, Table1[[HomeTeam]:[HomeTeam]], B$36) + SUMIFS(Table1[[HomeWon]:[HomeWon]], Table1[[GameIsOver]:[GameIsOver]], 1, Table1[[HomeTeam]:[HomeTeam]], $A40, Table1[[AwayTeam]:[AwayTeam]], B$36))) + (SUMIFS(Table1[[HomeWon]:[HomeWon]], Table1[[GameIsOver]:[GameIsOver]], 1, Table1[[AwayTeam]:[AwayTeam]], $A40, Table1[[HomeTeam]:[HomeTeam]],  B$36, Table1[[ActualResult]:[ActualResult]], "OT") + SUMIFS(Table1[[AwayWon]:[AwayWon]], Table1[[GameIsOver]:[GameIsOver]], 1, Table1[[HomeTeam]:[HomeTeam]], $A40, Table1[[AwayTeam]:[AwayTeam]], B$36, Table1[[ActualResult]:[ActualResult]], "OT") + SUMIFS(Table1[[HomeWon]:[HomeWon]], Table1[[GameIsOver]:[GameIsOver]], 1, Table1[[AwayTeam]:[AwayTeam]], $A40, Table1[[HomeTeam]:[HomeTeam]], B$36, Table1[[ActualResult]:[ActualResult]], "SO") + SUMIFS(Table1[[AwayWon]:[AwayWon]], Table1[[GameIsOver]:[GameIsOver]], 1, Table1[[HomeTeam]:[HomeTeam]], $A40, Table1[[AwayTeam]:[AwayTeam]], B$36, Table1[[ActualResult]:[ActualResult]], "SO")))/ (2*((COUNTIFS(Table1[[GameIsOver]:[GameIsOver]],1,Table1[[AwayTeam]:[AwayTeam]],$A40, Table1[[HomeTeam]:[HomeTeam]], B$36)))+( COUNTIFS(Table1[[GameIsOver]:[GameIsOver]],1,Table1[[AwayTeam]:[AwayTeam]],B$36, Table1[[HomeTeam]:[HomeTeam]],$A40))), "")</f>
        <v/>
      </c>
      <c r="C40" s="36" t="str">
        <f>IFERROR(((2 * (SUMIFS(Table1[[AwayWon]:[AwayWon]], Table1[[GameIsOver]:[GameIsOver]], 1, Table1[[AwayTeam]:[AwayTeam]], $A40, Table1[[HomeTeam]:[HomeTeam]], C$36) + SUMIFS(Table1[[HomeWon]:[HomeWon]], Table1[[GameIsOver]:[GameIsOver]], 1, Table1[[HomeTeam]:[HomeTeam]], $A40, Table1[[AwayTeam]:[AwayTeam]], C$36))) + (SUMIFS(Table1[[HomeWon]:[HomeWon]], Table1[[GameIsOver]:[GameIsOver]], 1, Table1[[AwayTeam]:[AwayTeam]], $A40, Table1[[HomeTeam]:[HomeTeam]],  C$36, Table1[[ActualResult]:[ActualResult]], "OT") + SUMIFS(Table1[[AwayWon]:[AwayWon]], Table1[[GameIsOver]:[GameIsOver]], 1, Table1[[HomeTeam]:[HomeTeam]], $A40, Table1[[AwayTeam]:[AwayTeam]], C$36, Table1[[ActualResult]:[ActualResult]], "OT") + SUMIFS(Table1[[HomeWon]:[HomeWon]], Table1[[GameIsOver]:[GameIsOver]], 1, Table1[[AwayTeam]:[AwayTeam]], $A40, Table1[[HomeTeam]:[HomeTeam]], C$36, Table1[[ActualResult]:[ActualResult]], "SO") + SUMIFS(Table1[[AwayWon]:[AwayWon]], Table1[[GameIsOver]:[GameIsOver]], 1, Table1[[HomeTeam]:[HomeTeam]], $A40, Table1[[AwayTeam]:[AwayTeam]], C$36, Table1[[ActualResult]:[ActualResult]], "SO")))/ (2*((COUNTIFS(Table1[[GameIsOver]:[GameIsOver]],1,Table1[[AwayTeam]:[AwayTeam]],$A40, Table1[[HomeTeam]:[HomeTeam]], C$36)))+( COUNTIFS(Table1[[GameIsOver]:[GameIsOver]],1,Table1[[AwayTeam]:[AwayTeam]],C$36, Table1[[HomeTeam]:[HomeTeam]],$A40))), "")</f>
        <v/>
      </c>
      <c r="D40" s="36" t="str">
        <f>IFERROR(((2 * (SUMIFS(Table1[[AwayWon]:[AwayWon]], Table1[[GameIsOver]:[GameIsOver]], 1, Table1[[AwayTeam]:[AwayTeam]], $A40, Table1[[HomeTeam]:[HomeTeam]], D$36) + SUMIFS(Table1[[HomeWon]:[HomeWon]], Table1[[GameIsOver]:[GameIsOver]], 1, Table1[[HomeTeam]:[HomeTeam]], $A40, Table1[[AwayTeam]:[AwayTeam]], D$36))) + (SUMIFS(Table1[[HomeWon]:[HomeWon]], Table1[[GameIsOver]:[GameIsOver]], 1, Table1[[AwayTeam]:[AwayTeam]], $A40, Table1[[HomeTeam]:[HomeTeam]],  D$36, Table1[[ActualResult]:[ActualResult]], "OT") + SUMIFS(Table1[[AwayWon]:[AwayWon]], Table1[[GameIsOver]:[GameIsOver]], 1, Table1[[HomeTeam]:[HomeTeam]], $A40, Table1[[AwayTeam]:[AwayTeam]], D$36, Table1[[ActualResult]:[ActualResult]], "OT") + SUMIFS(Table1[[HomeWon]:[HomeWon]], Table1[[GameIsOver]:[GameIsOver]], 1, Table1[[AwayTeam]:[AwayTeam]], $A40, Table1[[HomeTeam]:[HomeTeam]], D$36, Table1[[ActualResult]:[ActualResult]], "SO") + SUMIFS(Table1[[AwayWon]:[AwayWon]], Table1[[GameIsOver]:[GameIsOver]], 1, Table1[[HomeTeam]:[HomeTeam]], $A40, Table1[[AwayTeam]:[AwayTeam]], D$36, Table1[[ActualResult]:[ActualResult]], "SO")))/ (2*((COUNTIFS(Table1[[GameIsOver]:[GameIsOver]],1,Table1[[AwayTeam]:[AwayTeam]],$A40, Table1[[HomeTeam]:[HomeTeam]], D$36)))+( COUNTIFS(Table1[[GameIsOver]:[GameIsOver]],1,Table1[[AwayTeam]:[AwayTeam]],D$36, Table1[[HomeTeam]:[HomeTeam]],$A40))), "")</f>
        <v/>
      </c>
      <c r="E40" s="36" t="str">
        <f>IFERROR(((2 * (SUMIFS(Table1[[AwayWon]:[AwayWon]], Table1[[GameIsOver]:[GameIsOver]], 1, Table1[[AwayTeam]:[AwayTeam]], $A40, Table1[[HomeTeam]:[HomeTeam]], E$36) + SUMIFS(Table1[[HomeWon]:[HomeWon]], Table1[[GameIsOver]:[GameIsOver]], 1, Table1[[HomeTeam]:[HomeTeam]], $A40, Table1[[AwayTeam]:[AwayTeam]], E$36))) + (SUMIFS(Table1[[HomeWon]:[HomeWon]], Table1[[GameIsOver]:[GameIsOver]], 1, Table1[[AwayTeam]:[AwayTeam]], $A40, Table1[[HomeTeam]:[HomeTeam]],  E$36, Table1[[ActualResult]:[ActualResult]], "OT") + SUMIFS(Table1[[AwayWon]:[AwayWon]], Table1[[GameIsOver]:[GameIsOver]], 1, Table1[[HomeTeam]:[HomeTeam]], $A40, Table1[[AwayTeam]:[AwayTeam]], E$36, Table1[[ActualResult]:[ActualResult]], "OT") + SUMIFS(Table1[[HomeWon]:[HomeWon]], Table1[[GameIsOver]:[GameIsOver]], 1, Table1[[AwayTeam]:[AwayTeam]], $A40, Table1[[HomeTeam]:[HomeTeam]], E$36, Table1[[ActualResult]:[ActualResult]], "SO") + SUMIFS(Table1[[AwayWon]:[AwayWon]], Table1[[GameIsOver]:[GameIsOver]], 1, Table1[[HomeTeam]:[HomeTeam]], $A40, Table1[[AwayTeam]:[AwayTeam]], E$36, Table1[[ActualResult]:[ActualResult]], "SO")))/ (2*((COUNTIFS(Table1[[GameIsOver]:[GameIsOver]],1,Table1[[AwayTeam]:[AwayTeam]],$A40, Table1[[HomeTeam]:[HomeTeam]], E$36)))+( COUNTIFS(Table1[[GameIsOver]:[GameIsOver]],1,Table1[[AwayTeam]:[AwayTeam]],E$36, Table1[[HomeTeam]:[HomeTeam]],$A40))), "")</f>
        <v/>
      </c>
      <c r="F40" s="36" t="str">
        <f>IFERROR(((2 * (SUMIFS(Table1[[AwayWon]:[AwayWon]], Table1[[GameIsOver]:[GameIsOver]], 1, Table1[[AwayTeam]:[AwayTeam]], $A40, Table1[[HomeTeam]:[HomeTeam]], F$36) + SUMIFS(Table1[[HomeWon]:[HomeWon]], Table1[[GameIsOver]:[GameIsOver]], 1, Table1[[HomeTeam]:[HomeTeam]], $A40, Table1[[AwayTeam]:[AwayTeam]], F$36))) + (SUMIFS(Table1[[HomeWon]:[HomeWon]], Table1[[GameIsOver]:[GameIsOver]], 1, Table1[[AwayTeam]:[AwayTeam]], $A40, Table1[[HomeTeam]:[HomeTeam]],  F$36, Table1[[ActualResult]:[ActualResult]], "OT") + SUMIFS(Table1[[AwayWon]:[AwayWon]], Table1[[GameIsOver]:[GameIsOver]], 1, Table1[[HomeTeam]:[HomeTeam]], $A40, Table1[[AwayTeam]:[AwayTeam]], F$36, Table1[[ActualResult]:[ActualResult]], "OT") + SUMIFS(Table1[[HomeWon]:[HomeWon]], Table1[[GameIsOver]:[GameIsOver]], 1, Table1[[AwayTeam]:[AwayTeam]], $A40, Table1[[HomeTeam]:[HomeTeam]], F$36, Table1[[ActualResult]:[ActualResult]], "SO") + SUMIFS(Table1[[AwayWon]:[AwayWon]], Table1[[GameIsOver]:[GameIsOver]], 1, Table1[[HomeTeam]:[HomeTeam]], $A40, Table1[[AwayTeam]:[AwayTeam]], F$36, Table1[[ActualResult]:[ActualResult]], "SO")))/ (2*((COUNTIFS(Table1[[GameIsOver]:[GameIsOver]],1,Table1[[AwayTeam]:[AwayTeam]],$A40, Table1[[HomeTeam]:[HomeTeam]], F$36)))+( COUNTIFS(Table1[[GameIsOver]:[GameIsOver]],1,Table1[[AwayTeam]:[AwayTeam]],F$36, Table1[[HomeTeam]:[HomeTeam]],$A40))), "")</f>
        <v/>
      </c>
      <c r="G40" s="36" t="str">
        <f>IFERROR(((2 * (SUMIFS(Table1[[AwayWon]:[AwayWon]], Table1[[GameIsOver]:[GameIsOver]], 1, Table1[[AwayTeam]:[AwayTeam]], $A40, Table1[[HomeTeam]:[HomeTeam]], G$36) + SUMIFS(Table1[[HomeWon]:[HomeWon]], Table1[[GameIsOver]:[GameIsOver]], 1, Table1[[HomeTeam]:[HomeTeam]], $A40, Table1[[AwayTeam]:[AwayTeam]], G$36))) + (SUMIFS(Table1[[HomeWon]:[HomeWon]], Table1[[GameIsOver]:[GameIsOver]], 1, Table1[[AwayTeam]:[AwayTeam]], $A40, Table1[[HomeTeam]:[HomeTeam]],  G$36, Table1[[ActualResult]:[ActualResult]], "OT") + SUMIFS(Table1[[AwayWon]:[AwayWon]], Table1[[GameIsOver]:[GameIsOver]], 1, Table1[[HomeTeam]:[HomeTeam]], $A40, Table1[[AwayTeam]:[AwayTeam]], G$36, Table1[[ActualResult]:[ActualResult]], "OT") + SUMIFS(Table1[[HomeWon]:[HomeWon]], Table1[[GameIsOver]:[GameIsOver]], 1, Table1[[AwayTeam]:[AwayTeam]], $A40, Table1[[HomeTeam]:[HomeTeam]], G$36, Table1[[ActualResult]:[ActualResult]], "SO") + SUMIFS(Table1[[AwayWon]:[AwayWon]], Table1[[GameIsOver]:[GameIsOver]], 1, Table1[[HomeTeam]:[HomeTeam]], $A40, Table1[[AwayTeam]:[AwayTeam]], G$36, Table1[[ActualResult]:[ActualResult]], "SO")))/ (2*((COUNTIFS(Table1[[GameIsOver]:[GameIsOver]],1,Table1[[AwayTeam]:[AwayTeam]],$A40, Table1[[HomeTeam]:[HomeTeam]], G$36)))+( COUNTIFS(Table1[[GameIsOver]:[GameIsOver]],1,Table1[[AwayTeam]:[AwayTeam]],G$36, Table1[[HomeTeam]:[HomeTeam]],$A40))), "")</f>
        <v/>
      </c>
      <c r="H40" s="36" t="str">
        <f>IFERROR(((2 * (SUMIFS(Table1[[AwayWon]:[AwayWon]], Table1[[GameIsOver]:[GameIsOver]], 1, Table1[[AwayTeam]:[AwayTeam]], $A40, Table1[[HomeTeam]:[HomeTeam]], H$36) + SUMIFS(Table1[[HomeWon]:[HomeWon]], Table1[[GameIsOver]:[GameIsOver]], 1, Table1[[HomeTeam]:[HomeTeam]], $A40, Table1[[AwayTeam]:[AwayTeam]], H$36))) + (SUMIFS(Table1[[HomeWon]:[HomeWon]], Table1[[GameIsOver]:[GameIsOver]], 1, Table1[[AwayTeam]:[AwayTeam]], $A40, Table1[[HomeTeam]:[HomeTeam]],  H$36, Table1[[ActualResult]:[ActualResult]], "OT") + SUMIFS(Table1[[AwayWon]:[AwayWon]], Table1[[GameIsOver]:[GameIsOver]], 1, Table1[[HomeTeam]:[HomeTeam]], $A40, Table1[[AwayTeam]:[AwayTeam]], H$36, Table1[[ActualResult]:[ActualResult]], "OT") + SUMIFS(Table1[[HomeWon]:[HomeWon]], Table1[[GameIsOver]:[GameIsOver]], 1, Table1[[AwayTeam]:[AwayTeam]], $A40, Table1[[HomeTeam]:[HomeTeam]], H$36, Table1[[ActualResult]:[ActualResult]], "SO") + SUMIFS(Table1[[AwayWon]:[AwayWon]], Table1[[GameIsOver]:[GameIsOver]], 1, Table1[[HomeTeam]:[HomeTeam]], $A40, Table1[[AwayTeam]:[AwayTeam]], H$36, Table1[[ActualResult]:[ActualResult]], "SO")))/ (2*((COUNTIFS(Table1[[GameIsOver]:[GameIsOver]],1,Table1[[AwayTeam]:[AwayTeam]],$A40, Table1[[HomeTeam]:[HomeTeam]], H$36)))+( COUNTIFS(Table1[[GameIsOver]:[GameIsOver]],1,Table1[[AwayTeam]:[AwayTeam]],H$36, Table1[[HomeTeam]:[HomeTeam]],$A40))), "")</f>
        <v/>
      </c>
      <c r="I40" s="38" t="str">
        <f>IFERROR(((2 * (SUMIFS(Table1[[AwayWon]:[AwayWon]], Table1[[GameIsOver]:[GameIsOver]], 1, Table1[[AwayTeam]:[AwayTeam]], $A40, Table1[[HomeTeam]:[HomeTeam]], I$36) + SUMIFS(Table1[[HomeWon]:[HomeWon]], Table1[[GameIsOver]:[GameIsOver]], 1, Table1[[HomeTeam]:[HomeTeam]], $A40, Table1[[AwayTeam]:[AwayTeam]], I$36))) + (SUMIFS(Table1[[HomeWon]:[HomeWon]], Table1[[GameIsOver]:[GameIsOver]], 1, Table1[[AwayTeam]:[AwayTeam]], $A40, Table1[[HomeTeam]:[HomeTeam]],  I$36, Table1[[ActualResult]:[ActualResult]], "OT") + SUMIFS(Table1[[AwayWon]:[AwayWon]], Table1[[GameIsOver]:[GameIsOver]], 1, Table1[[HomeTeam]:[HomeTeam]], $A40, Table1[[AwayTeam]:[AwayTeam]], I$36, Table1[[ActualResult]:[ActualResult]], "OT") + SUMIFS(Table1[[HomeWon]:[HomeWon]], Table1[[GameIsOver]:[GameIsOver]], 1, Table1[[AwayTeam]:[AwayTeam]], $A40, Table1[[HomeTeam]:[HomeTeam]], I$36, Table1[[ActualResult]:[ActualResult]], "SO") + SUMIFS(Table1[[AwayWon]:[AwayWon]], Table1[[GameIsOver]:[GameIsOver]], 1, Table1[[HomeTeam]:[HomeTeam]], $A40, Table1[[AwayTeam]:[AwayTeam]], I$36, Table1[[ActualResult]:[ActualResult]], "SO")))/ (2*((COUNTIFS(Table1[[GameIsOver]:[GameIsOver]],1,Table1[[AwayTeam]:[AwayTeam]],$A40, Table1[[HomeTeam]:[HomeTeam]], I$36)))+( COUNTIFS(Table1[[GameIsOver]:[GameIsOver]],1,Table1[[AwayTeam]:[AwayTeam]],I$36, Table1[[HomeTeam]:[HomeTeam]],$A40))), "")</f>
        <v/>
      </c>
      <c r="J40" s="36" t="str">
        <f>IFERROR(((2 * (SUMIFS(Table1[[AwayWon]:[AwayWon]], Table1[[GameIsOver]:[GameIsOver]], 1, Table1[[AwayTeam]:[AwayTeam]], $A40, Table1[[HomeTeam]:[HomeTeam]], J$36) + SUMIFS(Table1[[HomeWon]:[HomeWon]], Table1[[GameIsOver]:[GameIsOver]], 1, Table1[[HomeTeam]:[HomeTeam]], $A40, Table1[[AwayTeam]:[AwayTeam]], J$36))) + (SUMIFS(Table1[[HomeWon]:[HomeWon]], Table1[[GameIsOver]:[GameIsOver]], 1, Table1[[AwayTeam]:[AwayTeam]], $A40, Table1[[HomeTeam]:[HomeTeam]],  J$36, Table1[[ActualResult]:[ActualResult]], "OT") + SUMIFS(Table1[[AwayWon]:[AwayWon]], Table1[[GameIsOver]:[GameIsOver]], 1, Table1[[HomeTeam]:[HomeTeam]], $A40, Table1[[AwayTeam]:[AwayTeam]], J$36, Table1[[ActualResult]:[ActualResult]], "OT") + SUMIFS(Table1[[HomeWon]:[HomeWon]], Table1[[GameIsOver]:[GameIsOver]], 1, Table1[[AwayTeam]:[AwayTeam]], $A40, Table1[[HomeTeam]:[HomeTeam]], J$36, Table1[[ActualResult]:[ActualResult]], "SO") + SUMIFS(Table1[[AwayWon]:[AwayWon]], Table1[[GameIsOver]:[GameIsOver]], 1, Table1[[HomeTeam]:[HomeTeam]], $A40, Table1[[AwayTeam]:[AwayTeam]], J$36, Table1[[ActualResult]:[ActualResult]], "SO")))/ (2*((COUNTIFS(Table1[[GameIsOver]:[GameIsOver]],1,Table1[[AwayTeam]:[AwayTeam]],$A40, Table1[[HomeTeam]:[HomeTeam]], J$36)))+( COUNTIFS(Table1[[GameIsOver]:[GameIsOver]],1,Table1[[AwayTeam]:[AwayTeam]],J$36, Table1[[HomeTeam]:[HomeTeam]],$A40))), "")</f>
        <v/>
      </c>
      <c r="K40" s="36">
        <f>IFERROR(((2 * (SUMIFS(Table1[[AwayWon]:[AwayWon]], Table1[[GameIsOver]:[GameIsOver]], 1, Table1[[AwayTeam]:[AwayTeam]], $A40, Table1[[HomeTeam]:[HomeTeam]], K$36) + SUMIFS(Table1[[HomeWon]:[HomeWon]], Table1[[GameIsOver]:[GameIsOver]], 1, Table1[[HomeTeam]:[HomeTeam]], $A40, Table1[[AwayTeam]:[AwayTeam]], K$36))) + (SUMIFS(Table1[[HomeWon]:[HomeWon]], Table1[[GameIsOver]:[GameIsOver]], 1, Table1[[AwayTeam]:[AwayTeam]], $A40, Table1[[HomeTeam]:[HomeTeam]],  K$36, Table1[[ActualResult]:[ActualResult]], "OT") + SUMIFS(Table1[[AwayWon]:[AwayWon]], Table1[[GameIsOver]:[GameIsOver]], 1, Table1[[HomeTeam]:[HomeTeam]], $A40, Table1[[AwayTeam]:[AwayTeam]], K$36, Table1[[ActualResult]:[ActualResult]], "OT") + SUMIFS(Table1[[HomeWon]:[HomeWon]], Table1[[GameIsOver]:[GameIsOver]], 1, Table1[[AwayTeam]:[AwayTeam]], $A40, Table1[[HomeTeam]:[HomeTeam]], K$36, Table1[[ActualResult]:[ActualResult]], "SO") + SUMIFS(Table1[[AwayWon]:[AwayWon]], Table1[[GameIsOver]:[GameIsOver]], 1, Table1[[HomeTeam]:[HomeTeam]], $A40, Table1[[AwayTeam]:[AwayTeam]], K$36, Table1[[ActualResult]:[ActualResult]], "SO")))/ (2*((COUNTIFS(Table1[[GameIsOver]:[GameIsOver]],1,Table1[[AwayTeam]:[AwayTeam]],$A40, Table1[[HomeTeam]:[HomeTeam]], K$36)))+( COUNTIFS(Table1[[GameIsOver]:[GameIsOver]],1,Table1[[AwayTeam]:[AwayTeam]],K$36, Table1[[HomeTeam]:[HomeTeam]],$A40))), "")</f>
        <v>1</v>
      </c>
      <c r="L40" s="36" t="str">
        <f>IFERROR(((2 * (SUMIFS(Table1[[AwayWon]:[AwayWon]], Table1[[GameIsOver]:[GameIsOver]], 1, Table1[[AwayTeam]:[AwayTeam]], $A40, Table1[[HomeTeam]:[HomeTeam]], L$36) + SUMIFS(Table1[[HomeWon]:[HomeWon]], Table1[[GameIsOver]:[GameIsOver]], 1, Table1[[HomeTeam]:[HomeTeam]], $A40, Table1[[AwayTeam]:[AwayTeam]], L$36))) + (SUMIFS(Table1[[HomeWon]:[HomeWon]], Table1[[GameIsOver]:[GameIsOver]], 1, Table1[[AwayTeam]:[AwayTeam]], $A40, Table1[[HomeTeam]:[HomeTeam]],  L$36, Table1[[ActualResult]:[ActualResult]], "OT") + SUMIFS(Table1[[AwayWon]:[AwayWon]], Table1[[GameIsOver]:[GameIsOver]], 1, Table1[[HomeTeam]:[HomeTeam]], $A40, Table1[[AwayTeam]:[AwayTeam]], L$36, Table1[[ActualResult]:[ActualResult]], "OT") + SUMIFS(Table1[[HomeWon]:[HomeWon]], Table1[[GameIsOver]:[GameIsOver]], 1, Table1[[AwayTeam]:[AwayTeam]], $A40, Table1[[HomeTeam]:[HomeTeam]], L$36, Table1[[ActualResult]:[ActualResult]], "SO") + SUMIFS(Table1[[AwayWon]:[AwayWon]], Table1[[GameIsOver]:[GameIsOver]], 1, Table1[[HomeTeam]:[HomeTeam]], $A40, Table1[[AwayTeam]:[AwayTeam]], L$36, Table1[[ActualResult]:[ActualResult]], "SO")))/ (2*((COUNTIFS(Table1[[GameIsOver]:[GameIsOver]],1,Table1[[AwayTeam]:[AwayTeam]],$A40, Table1[[HomeTeam]:[HomeTeam]], L$36)))+( COUNTIFS(Table1[[GameIsOver]:[GameIsOver]],1,Table1[[AwayTeam]:[AwayTeam]],L$36, Table1[[HomeTeam]:[HomeTeam]],$A40))), "")</f>
        <v/>
      </c>
      <c r="M40" s="36" t="str">
        <f>IFERROR(((2 * (SUMIFS(Table1[[AwayWon]:[AwayWon]], Table1[[GameIsOver]:[GameIsOver]], 1, Table1[[AwayTeam]:[AwayTeam]], $A40, Table1[[HomeTeam]:[HomeTeam]], M$36) + SUMIFS(Table1[[HomeWon]:[HomeWon]], Table1[[GameIsOver]:[GameIsOver]], 1, Table1[[HomeTeam]:[HomeTeam]], $A40, Table1[[AwayTeam]:[AwayTeam]], M$36))) + (SUMIFS(Table1[[HomeWon]:[HomeWon]], Table1[[GameIsOver]:[GameIsOver]], 1, Table1[[AwayTeam]:[AwayTeam]], $A40, Table1[[HomeTeam]:[HomeTeam]],  M$36, Table1[[ActualResult]:[ActualResult]], "OT") + SUMIFS(Table1[[AwayWon]:[AwayWon]], Table1[[GameIsOver]:[GameIsOver]], 1, Table1[[HomeTeam]:[HomeTeam]], $A40, Table1[[AwayTeam]:[AwayTeam]], M$36, Table1[[ActualResult]:[ActualResult]], "OT") + SUMIFS(Table1[[HomeWon]:[HomeWon]], Table1[[GameIsOver]:[GameIsOver]], 1, Table1[[AwayTeam]:[AwayTeam]], $A40, Table1[[HomeTeam]:[HomeTeam]], M$36, Table1[[ActualResult]:[ActualResult]], "SO") + SUMIFS(Table1[[AwayWon]:[AwayWon]], Table1[[GameIsOver]:[GameIsOver]], 1, Table1[[HomeTeam]:[HomeTeam]], $A40, Table1[[AwayTeam]:[AwayTeam]], M$36, Table1[[ActualResult]:[ActualResult]], "SO")))/ (2*((COUNTIFS(Table1[[GameIsOver]:[GameIsOver]],1,Table1[[AwayTeam]:[AwayTeam]],$A40, Table1[[HomeTeam]:[HomeTeam]], M$36)))+( COUNTIFS(Table1[[GameIsOver]:[GameIsOver]],1,Table1[[AwayTeam]:[AwayTeam]],M$36, Table1[[HomeTeam]:[HomeTeam]],$A40))), "")</f>
        <v/>
      </c>
      <c r="N40" s="36" t="str">
        <f>IFERROR(((2 * (SUMIFS(Table1[[AwayWon]:[AwayWon]], Table1[[GameIsOver]:[GameIsOver]], 1, Table1[[AwayTeam]:[AwayTeam]], $A40, Table1[[HomeTeam]:[HomeTeam]], N$36) + SUMIFS(Table1[[HomeWon]:[HomeWon]], Table1[[GameIsOver]:[GameIsOver]], 1, Table1[[HomeTeam]:[HomeTeam]], $A40, Table1[[AwayTeam]:[AwayTeam]], N$36))) + (SUMIFS(Table1[[HomeWon]:[HomeWon]], Table1[[GameIsOver]:[GameIsOver]], 1, Table1[[AwayTeam]:[AwayTeam]], $A40, Table1[[HomeTeam]:[HomeTeam]],  N$36, Table1[[ActualResult]:[ActualResult]], "OT") + SUMIFS(Table1[[AwayWon]:[AwayWon]], Table1[[GameIsOver]:[GameIsOver]], 1, Table1[[HomeTeam]:[HomeTeam]], $A40, Table1[[AwayTeam]:[AwayTeam]], N$36, Table1[[ActualResult]:[ActualResult]], "OT") + SUMIFS(Table1[[HomeWon]:[HomeWon]], Table1[[GameIsOver]:[GameIsOver]], 1, Table1[[AwayTeam]:[AwayTeam]], $A40, Table1[[HomeTeam]:[HomeTeam]], N$36, Table1[[ActualResult]:[ActualResult]], "SO") + SUMIFS(Table1[[AwayWon]:[AwayWon]], Table1[[GameIsOver]:[GameIsOver]], 1, Table1[[HomeTeam]:[HomeTeam]], $A40, Table1[[AwayTeam]:[AwayTeam]], N$36, Table1[[ActualResult]:[ActualResult]], "SO")))/ (2*((COUNTIFS(Table1[[GameIsOver]:[GameIsOver]],1,Table1[[AwayTeam]:[AwayTeam]],$A40, Table1[[HomeTeam]:[HomeTeam]], N$36)))+( COUNTIFS(Table1[[GameIsOver]:[GameIsOver]],1,Table1[[AwayTeam]:[AwayTeam]],N$36, Table1[[HomeTeam]:[HomeTeam]],$A40))), "")</f>
        <v/>
      </c>
      <c r="O40" s="36" t="str">
        <f>IFERROR(((2 * (SUMIFS(Table1[[AwayWon]:[AwayWon]], Table1[[GameIsOver]:[GameIsOver]], 1, Table1[[AwayTeam]:[AwayTeam]], $A40, Table1[[HomeTeam]:[HomeTeam]], O$36) + SUMIFS(Table1[[HomeWon]:[HomeWon]], Table1[[GameIsOver]:[GameIsOver]], 1, Table1[[HomeTeam]:[HomeTeam]], $A40, Table1[[AwayTeam]:[AwayTeam]], O$36))) + (SUMIFS(Table1[[HomeWon]:[HomeWon]], Table1[[GameIsOver]:[GameIsOver]], 1, Table1[[AwayTeam]:[AwayTeam]], $A40, Table1[[HomeTeam]:[HomeTeam]],  O$36, Table1[[ActualResult]:[ActualResult]], "OT") + SUMIFS(Table1[[AwayWon]:[AwayWon]], Table1[[GameIsOver]:[GameIsOver]], 1, Table1[[HomeTeam]:[HomeTeam]], $A40, Table1[[AwayTeam]:[AwayTeam]], O$36, Table1[[ActualResult]:[ActualResult]], "OT") + SUMIFS(Table1[[HomeWon]:[HomeWon]], Table1[[GameIsOver]:[GameIsOver]], 1, Table1[[AwayTeam]:[AwayTeam]], $A40, Table1[[HomeTeam]:[HomeTeam]], O$36, Table1[[ActualResult]:[ActualResult]], "SO") + SUMIFS(Table1[[AwayWon]:[AwayWon]], Table1[[GameIsOver]:[GameIsOver]], 1, Table1[[HomeTeam]:[HomeTeam]], $A40, Table1[[AwayTeam]:[AwayTeam]], O$36, Table1[[ActualResult]:[ActualResult]], "SO")))/ (2*((COUNTIFS(Table1[[GameIsOver]:[GameIsOver]],1,Table1[[AwayTeam]:[AwayTeam]],$A40, Table1[[HomeTeam]:[HomeTeam]], O$36)))+( COUNTIFS(Table1[[GameIsOver]:[GameIsOver]],1,Table1[[AwayTeam]:[AwayTeam]],O$36, Table1[[HomeTeam]:[HomeTeam]],$A40))), "")</f>
        <v/>
      </c>
      <c r="P40" s="36" t="str">
        <f>IFERROR(((2 * (SUMIFS(Table1[[AwayWon]:[AwayWon]], Table1[[GameIsOver]:[GameIsOver]], 1, Table1[[AwayTeam]:[AwayTeam]], $A40, Table1[[HomeTeam]:[HomeTeam]], P$36) + SUMIFS(Table1[[HomeWon]:[HomeWon]], Table1[[GameIsOver]:[GameIsOver]], 1, Table1[[HomeTeam]:[HomeTeam]], $A40, Table1[[AwayTeam]:[AwayTeam]], P$36))) + (SUMIFS(Table1[[HomeWon]:[HomeWon]], Table1[[GameIsOver]:[GameIsOver]], 1, Table1[[AwayTeam]:[AwayTeam]], $A40, Table1[[HomeTeam]:[HomeTeam]],  P$36, Table1[[ActualResult]:[ActualResult]], "OT") + SUMIFS(Table1[[AwayWon]:[AwayWon]], Table1[[GameIsOver]:[GameIsOver]], 1, Table1[[HomeTeam]:[HomeTeam]], $A40, Table1[[AwayTeam]:[AwayTeam]], P$36, Table1[[ActualResult]:[ActualResult]], "OT") + SUMIFS(Table1[[HomeWon]:[HomeWon]], Table1[[GameIsOver]:[GameIsOver]], 1, Table1[[AwayTeam]:[AwayTeam]], $A40, Table1[[HomeTeam]:[HomeTeam]], P$36, Table1[[ActualResult]:[ActualResult]], "SO") + SUMIFS(Table1[[AwayWon]:[AwayWon]], Table1[[GameIsOver]:[GameIsOver]], 1, Table1[[HomeTeam]:[HomeTeam]], $A40, Table1[[AwayTeam]:[AwayTeam]], P$36, Table1[[ActualResult]:[ActualResult]], "SO")))/ (2*((COUNTIFS(Table1[[GameIsOver]:[GameIsOver]],1,Table1[[AwayTeam]:[AwayTeam]],$A40, Table1[[HomeTeam]:[HomeTeam]], P$36)))+( COUNTIFS(Table1[[GameIsOver]:[GameIsOver]],1,Table1[[AwayTeam]:[AwayTeam]],P$36, Table1[[HomeTeam]:[HomeTeam]],$A40))), "")</f>
        <v/>
      </c>
      <c r="Q40" s="38" t="str">
        <f>IFERROR(((2 * (SUMIFS(Table1[[AwayWon]:[AwayWon]], Table1[[GameIsOver]:[GameIsOver]], 1, Table1[[AwayTeam]:[AwayTeam]], $A40, Table1[[HomeTeam]:[HomeTeam]], Q$36) + SUMIFS(Table1[[HomeWon]:[HomeWon]], Table1[[GameIsOver]:[GameIsOver]], 1, Table1[[HomeTeam]:[HomeTeam]], $A40, Table1[[AwayTeam]:[AwayTeam]], Q$36))) + (SUMIFS(Table1[[HomeWon]:[HomeWon]], Table1[[GameIsOver]:[GameIsOver]], 1, Table1[[AwayTeam]:[AwayTeam]], $A40, Table1[[HomeTeam]:[HomeTeam]],  Q$36, Table1[[ActualResult]:[ActualResult]], "OT") + SUMIFS(Table1[[AwayWon]:[AwayWon]], Table1[[GameIsOver]:[GameIsOver]], 1, Table1[[HomeTeam]:[HomeTeam]], $A40, Table1[[AwayTeam]:[AwayTeam]], Q$36, Table1[[ActualResult]:[ActualResult]], "OT") + SUMIFS(Table1[[HomeWon]:[HomeWon]], Table1[[GameIsOver]:[GameIsOver]], 1, Table1[[AwayTeam]:[AwayTeam]], $A40, Table1[[HomeTeam]:[HomeTeam]], Q$36, Table1[[ActualResult]:[ActualResult]], "SO") + SUMIFS(Table1[[AwayWon]:[AwayWon]], Table1[[GameIsOver]:[GameIsOver]], 1, Table1[[HomeTeam]:[HomeTeam]], $A40, Table1[[AwayTeam]:[AwayTeam]], Q$36, Table1[[ActualResult]:[ActualResult]], "SO")))/ (2*((COUNTIFS(Table1[[GameIsOver]:[GameIsOver]],1,Table1[[AwayTeam]:[AwayTeam]],$A40, Table1[[HomeTeam]:[HomeTeam]], Q$36)))+( COUNTIFS(Table1[[GameIsOver]:[GameIsOver]],1,Table1[[AwayTeam]:[AwayTeam]],Q$36, Table1[[HomeTeam]:[HomeTeam]],$A40))), "")</f>
        <v/>
      </c>
      <c r="R40" s="36" t="str">
        <f>IFERROR(((2 * (SUMIFS(Table1[[AwayWon]:[AwayWon]], Table1[[GameIsOver]:[GameIsOver]], 1, Table1[[AwayTeam]:[AwayTeam]], $A40, Table1[[HomeTeam]:[HomeTeam]], R$36) + SUMIFS(Table1[[HomeWon]:[HomeWon]], Table1[[GameIsOver]:[GameIsOver]], 1, Table1[[HomeTeam]:[HomeTeam]], $A40, Table1[[AwayTeam]:[AwayTeam]], R$36))) + (SUMIFS(Table1[[HomeWon]:[HomeWon]], Table1[[GameIsOver]:[GameIsOver]], 1, Table1[[AwayTeam]:[AwayTeam]], $A40, Table1[[HomeTeam]:[HomeTeam]],  R$36, Table1[[ActualResult]:[ActualResult]], "OT") + SUMIFS(Table1[[AwayWon]:[AwayWon]], Table1[[GameIsOver]:[GameIsOver]], 1, Table1[[HomeTeam]:[HomeTeam]], $A40, Table1[[AwayTeam]:[AwayTeam]], R$36, Table1[[ActualResult]:[ActualResult]], "OT") + SUMIFS(Table1[[HomeWon]:[HomeWon]], Table1[[GameIsOver]:[GameIsOver]], 1, Table1[[AwayTeam]:[AwayTeam]], $A40, Table1[[HomeTeam]:[HomeTeam]], R$36, Table1[[ActualResult]:[ActualResult]], "SO") + SUMIFS(Table1[[AwayWon]:[AwayWon]], Table1[[GameIsOver]:[GameIsOver]], 1, Table1[[HomeTeam]:[HomeTeam]], $A40, Table1[[AwayTeam]:[AwayTeam]], R$36, Table1[[ActualResult]:[ActualResult]], "SO")))/ (2*((COUNTIFS(Table1[[GameIsOver]:[GameIsOver]],1,Table1[[AwayTeam]:[AwayTeam]],$A40, Table1[[HomeTeam]:[HomeTeam]], R$36)))+( COUNTIFS(Table1[[GameIsOver]:[GameIsOver]],1,Table1[[AwayTeam]:[AwayTeam]],R$36, Table1[[HomeTeam]:[HomeTeam]],$A40))), "")</f>
        <v/>
      </c>
      <c r="S40" s="36" t="str">
        <f>IFERROR(((2 * (SUMIFS(Table1[[AwayWon]:[AwayWon]], Table1[[GameIsOver]:[GameIsOver]], 1, Table1[[AwayTeam]:[AwayTeam]], $A40, Table1[[HomeTeam]:[HomeTeam]], S$36) + SUMIFS(Table1[[HomeWon]:[HomeWon]], Table1[[GameIsOver]:[GameIsOver]], 1, Table1[[HomeTeam]:[HomeTeam]], $A40, Table1[[AwayTeam]:[AwayTeam]], S$36))) + (SUMIFS(Table1[[HomeWon]:[HomeWon]], Table1[[GameIsOver]:[GameIsOver]], 1, Table1[[AwayTeam]:[AwayTeam]], $A40, Table1[[HomeTeam]:[HomeTeam]],  S$36, Table1[[ActualResult]:[ActualResult]], "OT") + SUMIFS(Table1[[AwayWon]:[AwayWon]], Table1[[GameIsOver]:[GameIsOver]], 1, Table1[[HomeTeam]:[HomeTeam]], $A40, Table1[[AwayTeam]:[AwayTeam]], S$36, Table1[[ActualResult]:[ActualResult]], "OT") + SUMIFS(Table1[[HomeWon]:[HomeWon]], Table1[[GameIsOver]:[GameIsOver]], 1, Table1[[AwayTeam]:[AwayTeam]], $A40, Table1[[HomeTeam]:[HomeTeam]], S$36, Table1[[ActualResult]:[ActualResult]], "SO") + SUMIFS(Table1[[AwayWon]:[AwayWon]], Table1[[GameIsOver]:[GameIsOver]], 1, Table1[[HomeTeam]:[HomeTeam]], $A40, Table1[[AwayTeam]:[AwayTeam]], S$36, Table1[[ActualResult]:[ActualResult]], "SO")))/ (2*((COUNTIFS(Table1[[GameIsOver]:[GameIsOver]],1,Table1[[AwayTeam]:[AwayTeam]],$A40, Table1[[HomeTeam]:[HomeTeam]], S$36)))+( COUNTIFS(Table1[[GameIsOver]:[GameIsOver]],1,Table1[[AwayTeam]:[AwayTeam]],S$36, Table1[[HomeTeam]:[HomeTeam]],$A40))), "")</f>
        <v/>
      </c>
      <c r="T40" s="36" t="str">
        <f>IFERROR(((2 * (SUMIFS(Table1[[AwayWon]:[AwayWon]], Table1[[GameIsOver]:[GameIsOver]], 1, Table1[[AwayTeam]:[AwayTeam]], $A40, Table1[[HomeTeam]:[HomeTeam]], T$36) + SUMIFS(Table1[[HomeWon]:[HomeWon]], Table1[[GameIsOver]:[GameIsOver]], 1, Table1[[HomeTeam]:[HomeTeam]], $A40, Table1[[AwayTeam]:[AwayTeam]], T$36))) + (SUMIFS(Table1[[HomeWon]:[HomeWon]], Table1[[GameIsOver]:[GameIsOver]], 1, Table1[[AwayTeam]:[AwayTeam]], $A40, Table1[[HomeTeam]:[HomeTeam]],  T$36, Table1[[ActualResult]:[ActualResult]], "OT") + SUMIFS(Table1[[AwayWon]:[AwayWon]], Table1[[GameIsOver]:[GameIsOver]], 1, Table1[[HomeTeam]:[HomeTeam]], $A40, Table1[[AwayTeam]:[AwayTeam]], T$36, Table1[[ActualResult]:[ActualResult]], "OT") + SUMIFS(Table1[[HomeWon]:[HomeWon]], Table1[[GameIsOver]:[GameIsOver]], 1, Table1[[AwayTeam]:[AwayTeam]], $A40, Table1[[HomeTeam]:[HomeTeam]], T$36, Table1[[ActualResult]:[ActualResult]], "SO") + SUMIFS(Table1[[AwayWon]:[AwayWon]], Table1[[GameIsOver]:[GameIsOver]], 1, Table1[[HomeTeam]:[HomeTeam]], $A40, Table1[[AwayTeam]:[AwayTeam]], T$36, Table1[[ActualResult]:[ActualResult]], "SO")))/ (2*((COUNTIFS(Table1[[GameIsOver]:[GameIsOver]],1,Table1[[AwayTeam]:[AwayTeam]],$A40, Table1[[HomeTeam]:[HomeTeam]], T$36)))+( COUNTIFS(Table1[[GameIsOver]:[GameIsOver]],1,Table1[[AwayTeam]:[AwayTeam]],T$36, Table1[[HomeTeam]:[HomeTeam]],$A40))), "")</f>
        <v/>
      </c>
      <c r="U40" s="36" t="str">
        <f>IFERROR(((2 * (SUMIFS(Table1[[AwayWon]:[AwayWon]], Table1[[GameIsOver]:[GameIsOver]], 1, Table1[[AwayTeam]:[AwayTeam]], $A40, Table1[[HomeTeam]:[HomeTeam]], U$36) + SUMIFS(Table1[[HomeWon]:[HomeWon]], Table1[[GameIsOver]:[GameIsOver]], 1, Table1[[HomeTeam]:[HomeTeam]], $A40, Table1[[AwayTeam]:[AwayTeam]], U$36))) + (SUMIFS(Table1[[HomeWon]:[HomeWon]], Table1[[GameIsOver]:[GameIsOver]], 1, Table1[[AwayTeam]:[AwayTeam]], $A40, Table1[[HomeTeam]:[HomeTeam]],  U$36, Table1[[ActualResult]:[ActualResult]], "OT") + SUMIFS(Table1[[AwayWon]:[AwayWon]], Table1[[GameIsOver]:[GameIsOver]], 1, Table1[[HomeTeam]:[HomeTeam]], $A40, Table1[[AwayTeam]:[AwayTeam]], U$36, Table1[[ActualResult]:[ActualResult]], "OT") + SUMIFS(Table1[[HomeWon]:[HomeWon]], Table1[[GameIsOver]:[GameIsOver]], 1, Table1[[AwayTeam]:[AwayTeam]], $A40, Table1[[HomeTeam]:[HomeTeam]], U$36, Table1[[ActualResult]:[ActualResult]], "SO") + SUMIFS(Table1[[AwayWon]:[AwayWon]], Table1[[GameIsOver]:[GameIsOver]], 1, Table1[[HomeTeam]:[HomeTeam]], $A40, Table1[[AwayTeam]:[AwayTeam]], U$36, Table1[[ActualResult]:[ActualResult]], "SO")))/ (2*((COUNTIFS(Table1[[GameIsOver]:[GameIsOver]],1,Table1[[AwayTeam]:[AwayTeam]],$A40, Table1[[HomeTeam]:[HomeTeam]], U$36)))+( COUNTIFS(Table1[[GameIsOver]:[GameIsOver]],1,Table1[[AwayTeam]:[AwayTeam]],U$36, Table1[[HomeTeam]:[HomeTeam]],$A40))), "")</f>
        <v/>
      </c>
      <c r="V40" s="36" t="str">
        <f>IFERROR(((2 * (SUMIFS(Table1[[AwayWon]:[AwayWon]], Table1[[GameIsOver]:[GameIsOver]], 1, Table1[[AwayTeam]:[AwayTeam]], $A40, Table1[[HomeTeam]:[HomeTeam]], V$36) + SUMIFS(Table1[[HomeWon]:[HomeWon]], Table1[[GameIsOver]:[GameIsOver]], 1, Table1[[HomeTeam]:[HomeTeam]], $A40, Table1[[AwayTeam]:[AwayTeam]], V$36))) + (SUMIFS(Table1[[HomeWon]:[HomeWon]], Table1[[GameIsOver]:[GameIsOver]], 1, Table1[[AwayTeam]:[AwayTeam]], $A40, Table1[[HomeTeam]:[HomeTeam]],  V$36, Table1[[ActualResult]:[ActualResult]], "OT") + SUMIFS(Table1[[AwayWon]:[AwayWon]], Table1[[GameIsOver]:[GameIsOver]], 1, Table1[[HomeTeam]:[HomeTeam]], $A40, Table1[[AwayTeam]:[AwayTeam]], V$36, Table1[[ActualResult]:[ActualResult]], "OT") + SUMIFS(Table1[[HomeWon]:[HomeWon]], Table1[[GameIsOver]:[GameIsOver]], 1, Table1[[AwayTeam]:[AwayTeam]], $A40, Table1[[HomeTeam]:[HomeTeam]], V$36, Table1[[ActualResult]:[ActualResult]], "SO") + SUMIFS(Table1[[AwayWon]:[AwayWon]], Table1[[GameIsOver]:[GameIsOver]], 1, Table1[[HomeTeam]:[HomeTeam]], $A40, Table1[[AwayTeam]:[AwayTeam]], V$36, Table1[[ActualResult]:[ActualResult]], "SO")))/ (2*((COUNTIFS(Table1[[GameIsOver]:[GameIsOver]],1,Table1[[AwayTeam]:[AwayTeam]],$A40, Table1[[HomeTeam]:[HomeTeam]], V$36)))+( COUNTIFS(Table1[[GameIsOver]:[GameIsOver]],1,Table1[[AwayTeam]:[AwayTeam]],V$36, Table1[[HomeTeam]:[HomeTeam]],$A40))), "")</f>
        <v/>
      </c>
      <c r="W40" s="36" t="str">
        <f>IFERROR(((2 * (SUMIFS(Table1[[AwayWon]:[AwayWon]], Table1[[GameIsOver]:[GameIsOver]], 1, Table1[[AwayTeam]:[AwayTeam]], $A40, Table1[[HomeTeam]:[HomeTeam]], W$36) + SUMIFS(Table1[[HomeWon]:[HomeWon]], Table1[[GameIsOver]:[GameIsOver]], 1, Table1[[HomeTeam]:[HomeTeam]], $A40, Table1[[AwayTeam]:[AwayTeam]], W$36))) + (SUMIFS(Table1[[HomeWon]:[HomeWon]], Table1[[GameIsOver]:[GameIsOver]], 1, Table1[[AwayTeam]:[AwayTeam]], $A40, Table1[[HomeTeam]:[HomeTeam]],  W$36, Table1[[ActualResult]:[ActualResult]], "OT") + SUMIFS(Table1[[AwayWon]:[AwayWon]], Table1[[GameIsOver]:[GameIsOver]], 1, Table1[[HomeTeam]:[HomeTeam]], $A40, Table1[[AwayTeam]:[AwayTeam]], W$36, Table1[[ActualResult]:[ActualResult]], "OT") + SUMIFS(Table1[[HomeWon]:[HomeWon]], Table1[[GameIsOver]:[GameIsOver]], 1, Table1[[AwayTeam]:[AwayTeam]], $A40, Table1[[HomeTeam]:[HomeTeam]], W$36, Table1[[ActualResult]:[ActualResult]], "SO") + SUMIFS(Table1[[AwayWon]:[AwayWon]], Table1[[GameIsOver]:[GameIsOver]], 1, Table1[[HomeTeam]:[HomeTeam]], $A40, Table1[[AwayTeam]:[AwayTeam]], W$36, Table1[[ActualResult]:[ActualResult]], "SO")))/ (2*((COUNTIFS(Table1[[GameIsOver]:[GameIsOver]],1,Table1[[AwayTeam]:[AwayTeam]],$A40, Table1[[HomeTeam]:[HomeTeam]], W$36)))+( COUNTIFS(Table1[[GameIsOver]:[GameIsOver]],1,Table1[[AwayTeam]:[AwayTeam]],W$36, Table1[[HomeTeam]:[HomeTeam]],$A40))), "")</f>
        <v/>
      </c>
      <c r="X40" s="36" t="str">
        <f>IFERROR(((2 * (SUMIFS(Table1[[AwayWon]:[AwayWon]], Table1[[GameIsOver]:[GameIsOver]], 1, Table1[[AwayTeam]:[AwayTeam]], $A40, Table1[[HomeTeam]:[HomeTeam]], X$36) + SUMIFS(Table1[[HomeWon]:[HomeWon]], Table1[[GameIsOver]:[GameIsOver]], 1, Table1[[HomeTeam]:[HomeTeam]], $A40, Table1[[AwayTeam]:[AwayTeam]], X$36))) + (SUMIFS(Table1[[HomeWon]:[HomeWon]], Table1[[GameIsOver]:[GameIsOver]], 1, Table1[[AwayTeam]:[AwayTeam]], $A40, Table1[[HomeTeam]:[HomeTeam]],  X$36, Table1[[ActualResult]:[ActualResult]], "OT") + SUMIFS(Table1[[AwayWon]:[AwayWon]], Table1[[GameIsOver]:[GameIsOver]], 1, Table1[[HomeTeam]:[HomeTeam]], $A40, Table1[[AwayTeam]:[AwayTeam]], X$36, Table1[[ActualResult]:[ActualResult]], "OT") + SUMIFS(Table1[[HomeWon]:[HomeWon]], Table1[[GameIsOver]:[GameIsOver]], 1, Table1[[AwayTeam]:[AwayTeam]], $A40, Table1[[HomeTeam]:[HomeTeam]], X$36, Table1[[ActualResult]:[ActualResult]], "SO") + SUMIFS(Table1[[AwayWon]:[AwayWon]], Table1[[GameIsOver]:[GameIsOver]], 1, Table1[[HomeTeam]:[HomeTeam]], $A40, Table1[[AwayTeam]:[AwayTeam]], X$36, Table1[[ActualResult]:[ActualResult]], "SO")))/ (2*((COUNTIFS(Table1[[GameIsOver]:[GameIsOver]],1,Table1[[AwayTeam]:[AwayTeam]],$A40, Table1[[HomeTeam]:[HomeTeam]], X$36)))+( COUNTIFS(Table1[[GameIsOver]:[GameIsOver]],1,Table1[[AwayTeam]:[AwayTeam]],X$36, Table1[[HomeTeam]:[HomeTeam]],$A40))), "")</f>
        <v/>
      </c>
      <c r="Y40" s="38" t="str">
        <f>IFERROR(((2 * (SUMIFS(Table1[[AwayWon]:[AwayWon]], Table1[[GameIsOver]:[GameIsOver]], 1, Table1[[AwayTeam]:[AwayTeam]], $A40, Table1[[HomeTeam]:[HomeTeam]], Y$36) + SUMIFS(Table1[[HomeWon]:[HomeWon]], Table1[[GameIsOver]:[GameIsOver]], 1, Table1[[HomeTeam]:[HomeTeam]], $A40, Table1[[AwayTeam]:[AwayTeam]], Y$36))) + (SUMIFS(Table1[[HomeWon]:[HomeWon]], Table1[[GameIsOver]:[GameIsOver]], 1, Table1[[AwayTeam]:[AwayTeam]], $A40, Table1[[HomeTeam]:[HomeTeam]],  Y$36, Table1[[ActualResult]:[ActualResult]], "OT") + SUMIFS(Table1[[AwayWon]:[AwayWon]], Table1[[GameIsOver]:[GameIsOver]], 1, Table1[[HomeTeam]:[HomeTeam]], $A40, Table1[[AwayTeam]:[AwayTeam]], Y$36, Table1[[ActualResult]:[ActualResult]], "OT") + SUMIFS(Table1[[HomeWon]:[HomeWon]], Table1[[GameIsOver]:[GameIsOver]], 1, Table1[[AwayTeam]:[AwayTeam]], $A40, Table1[[HomeTeam]:[HomeTeam]], Y$36, Table1[[ActualResult]:[ActualResult]], "SO") + SUMIFS(Table1[[AwayWon]:[AwayWon]], Table1[[GameIsOver]:[GameIsOver]], 1, Table1[[HomeTeam]:[HomeTeam]], $A40, Table1[[AwayTeam]:[AwayTeam]], Y$36, Table1[[ActualResult]:[ActualResult]], "SO")))/ (2*((COUNTIFS(Table1[[GameIsOver]:[GameIsOver]],1,Table1[[AwayTeam]:[AwayTeam]],$A40, Table1[[HomeTeam]:[HomeTeam]], Y$36)))+( COUNTIFS(Table1[[GameIsOver]:[GameIsOver]],1,Table1[[AwayTeam]:[AwayTeam]],Y$36, Table1[[HomeTeam]:[HomeTeam]],$A40))), "")</f>
        <v/>
      </c>
      <c r="Z40" s="36" t="str">
        <f>IFERROR(((2 * (SUMIFS(Table1[[AwayWon]:[AwayWon]], Table1[[GameIsOver]:[GameIsOver]], 1, Table1[[AwayTeam]:[AwayTeam]], $A40, Table1[[HomeTeam]:[HomeTeam]], Z$36) + SUMIFS(Table1[[HomeWon]:[HomeWon]], Table1[[GameIsOver]:[GameIsOver]], 1, Table1[[HomeTeam]:[HomeTeam]], $A40, Table1[[AwayTeam]:[AwayTeam]], Z$36))) + (SUMIFS(Table1[[HomeWon]:[HomeWon]], Table1[[GameIsOver]:[GameIsOver]], 1, Table1[[AwayTeam]:[AwayTeam]], $A40, Table1[[HomeTeam]:[HomeTeam]],  Z$36, Table1[[ActualResult]:[ActualResult]], "OT") + SUMIFS(Table1[[AwayWon]:[AwayWon]], Table1[[GameIsOver]:[GameIsOver]], 1, Table1[[HomeTeam]:[HomeTeam]], $A40, Table1[[AwayTeam]:[AwayTeam]], Z$36, Table1[[ActualResult]:[ActualResult]], "OT") + SUMIFS(Table1[[HomeWon]:[HomeWon]], Table1[[GameIsOver]:[GameIsOver]], 1, Table1[[AwayTeam]:[AwayTeam]], $A40, Table1[[HomeTeam]:[HomeTeam]], Z$36, Table1[[ActualResult]:[ActualResult]], "SO") + SUMIFS(Table1[[AwayWon]:[AwayWon]], Table1[[GameIsOver]:[GameIsOver]], 1, Table1[[HomeTeam]:[HomeTeam]], $A40, Table1[[AwayTeam]:[AwayTeam]], Z$36, Table1[[ActualResult]:[ActualResult]], "SO")))/ (2*((COUNTIFS(Table1[[GameIsOver]:[GameIsOver]],1,Table1[[AwayTeam]:[AwayTeam]],$A40, Table1[[HomeTeam]:[HomeTeam]], Z$36)))+( COUNTIFS(Table1[[GameIsOver]:[GameIsOver]],1,Table1[[AwayTeam]:[AwayTeam]],Z$36, Table1[[HomeTeam]:[HomeTeam]],$A40))), "")</f>
        <v/>
      </c>
      <c r="AA40" s="36" t="str">
        <f>IFERROR(((2 * (SUMIFS(Table1[[AwayWon]:[AwayWon]], Table1[[GameIsOver]:[GameIsOver]], 1, Table1[[AwayTeam]:[AwayTeam]], $A40, Table1[[HomeTeam]:[HomeTeam]], AA$36) + SUMIFS(Table1[[HomeWon]:[HomeWon]], Table1[[GameIsOver]:[GameIsOver]], 1, Table1[[HomeTeam]:[HomeTeam]], $A40, Table1[[AwayTeam]:[AwayTeam]], AA$36))) + (SUMIFS(Table1[[HomeWon]:[HomeWon]], Table1[[GameIsOver]:[GameIsOver]], 1, Table1[[AwayTeam]:[AwayTeam]], $A40, Table1[[HomeTeam]:[HomeTeam]],  AA$36, Table1[[ActualResult]:[ActualResult]], "OT") + SUMIFS(Table1[[AwayWon]:[AwayWon]], Table1[[GameIsOver]:[GameIsOver]], 1, Table1[[HomeTeam]:[HomeTeam]], $A40, Table1[[AwayTeam]:[AwayTeam]], AA$36, Table1[[ActualResult]:[ActualResult]], "OT") + SUMIFS(Table1[[HomeWon]:[HomeWon]], Table1[[GameIsOver]:[GameIsOver]], 1, Table1[[AwayTeam]:[AwayTeam]], $A40, Table1[[HomeTeam]:[HomeTeam]], AA$36, Table1[[ActualResult]:[ActualResult]], "SO") + SUMIFS(Table1[[AwayWon]:[AwayWon]], Table1[[GameIsOver]:[GameIsOver]], 1, Table1[[HomeTeam]:[HomeTeam]], $A40, Table1[[AwayTeam]:[AwayTeam]], AA$36, Table1[[ActualResult]:[ActualResult]], "SO")))/ (2*((COUNTIFS(Table1[[GameIsOver]:[GameIsOver]],1,Table1[[AwayTeam]:[AwayTeam]],$A40, Table1[[HomeTeam]:[HomeTeam]], AA$36)))+( COUNTIFS(Table1[[GameIsOver]:[GameIsOver]],1,Table1[[AwayTeam]:[AwayTeam]],AA$36, Table1[[HomeTeam]:[HomeTeam]],$A40))), "")</f>
        <v/>
      </c>
      <c r="AB40" s="36" t="str">
        <f>IFERROR(((2 * (SUMIFS(Table1[[AwayWon]:[AwayWon]], Table1[[GameIsOver]:[GameIsOver]], 1, Table1[[AwayTeam]:[AwayTeam]], $A40, Table1[[HomeTeam]:[HomeTeam]], AB$36) + SUMIFS(Table1[[HomeWon]:[HomeWon]], Table1[[GameIsOver]:[GameIsOver]], 1, Table1[[HomeTeam]:[HomeTeam]], $A40, Table1[[AwayTeam]:[AwayTeam]], AB$36))) + (SUMIFS(Table1[[HomeWon]:[HomeWon]], Table1[[GameIsOver]:[GameIsOver]], 1, Table1[[AwayTeam]:[AwayTeam]], $A40, Table1[[HomeTeam]:[HomeTeam]],  AB$36, Table1[[ActualResult]:[ActualResult]], "OT") + SUMIFS(Table1[[AwayWon]:[AwayWon]], Table1[[GameIsOver]:[GameIsOver]], 1, Table1[[HomeTeam]:[HomeTeam]], $A40, Table1[[AwayTeam]:[AwayTeam]], AB$36, Table1[[ActualResult]:[ActualResult]], "OT") + SUMIFS(Table1[[HomeWon]:[HomeWon]], Table1[[GameIsOver]:[GameIsOver]], 1, Table1[[AwayTeam]:[AwayTeam]], $A40, Table1[[HomeTeam]:[HomeTeam]], AB$36, Table1[[ActualResult]:[ActualResult]], "SO") + SUMIFS(Table1[[AwayWon]:[AwayWon]], Table1[[GameIsOver]:[GameIsOver]], 1, Table1[[HomeTeam]:[HomeTeam]], $A40, Table1[[AwayTeam]:[AwayTeam]], AB$36, Table1[[ActualResult]:[ActualResult]], "SO")))/ (2*((COUNTIFS(Table1[[GameIsOver]:[GameIsOver]],1,Table1[[AwayTeam]:[AwayTeam]],$A40, Table1[[HomeTeam]:[HomeTeam]], AB$36)))+( COUNTIFS(Table1[[GameIsOver]:[GameIsOver]],1,Table1[[AwayTeam]:[AwayTeam]],AB$36, Table1[[HomeTeam]:[HomeTeam]],$A40))), "")</f>
        <v/>
      </c>
      <c r="AC40" s="36" t="str">
        <f>IFERROR(((2 * (SUMIFS(Table1[[AwayWon]:[AwayWon]], Table1[[GameIsOver]:[GameIsOver]], 1, Table1[[AwayTeam]:[AwayTeam]], $A40, Table1[[HomeTeam]:[HomeTeam]], AC$36) + SUMIFS(Table1[[HomeWon]:[HomeWon]], Table1[[GameIsOver]:[GameIsOver]], 1, Table1[[HomeTeam]:[HomeTeam]], $A40, Table1[[AwayTeam]:[AwayTeam]], AC$36))) + (SUMIFS(Table1[[HomeWon]:[HomeWon]], Table1[[GameIsOver]:[GameIsOver]], 1, Table1[[AwayTeam]:[AwayTeam]], $A40, Table1[[HomeTeam]:[HomeTeam]],  AC$36, Table1[[ActualResult]:[ActualResult]], "OT") + SUMIFS(Table1[[AwayWon]:[AwayWon]], Table1[[GameIsOver]:[GameIsOver]], 1, Table1[[HomeTeam]:[HomeTeam]], $A40, Table1[[AwayTeam]:[AwayTeam]], AC$36, Table1[[ActualResult]:[ActualResult]], "OT") + SUMIFS(Table1[[HomeWon]:[HomeWon]], Table1[[GameIsOver]:[GameIsOver]], 1, Table1[[AwayTeam]:[AwayTeam]], $A40, Table1[[HomeTeam]:[HomeTeam]], AC$36, Table1[[ActualResult]:[ActualResult]], "SO") + SUMIFS(Table1[[AwayWon]:[AwayWon]], Table1[[GameIsOver]:[GameIsOver]], 1, Table1[[HomeTeam]:[HomeTeam]], $A40, Table1[[AwayTeam]:[AwayTeam]], AC$36, Table1[[ActualResult]:[ActualResult]], "SO")))/ (2*((COUNTIFS(Table1[[GameIsOver]:[GameIsOver]],1,Table1[[AwayTeam]:[AwayTeam]],$A40, Table1[[HomeTeam]:[HomeTeam]], AC$36)))+( COUNTIFS(Table1[[GameIsOver]:[GameIsOver]],1,Table1[[AwayTeam]:[AwayTeam]],AC$36, Table1[[HomeTeam]:[HomeTeam]],$A40))), "")</f>
        <v/>
      </c>
      <c r="AD40" s="36" t="str">
        <f>IFERROR(((2 * (SUMIFS(Table1[[AwayWon]:[AwayWon]], Table1[[GameIsOver]:[GameIsOver]], 1, Table1[[AwayTeam]:[AwayTeam]], $A40, Table1[[HomeTeam]:[HomeTeam]], AD$36) + SUMIFS(Table1[[HomeWon]:[HomeWon]], Table1[[GameIsOver]:[GameIsOver]], 1, Table1[[HomeTeam]:[HomeTeam]], $A40, Table1[[AwayTeam]:[AwayTeam]], AD$36))) + (SUMIFS(Table1[[HomeWon]:[HomeWon]], Table1[[GameIsOver]:[GameIsOver]], 1, Table1[[AwayTeam]:[AwayTeam]], $A40, Table1[[HomeTeam]:[HomeTeam]],  AD$36, Table1[[ActualResult]:[ActualResult]], "OT") + SUMIFS(Table1[[AwayWon]:[AwayWon]], Table1[[GameIsOver]:[GameIsOver]], 1, Table1[[HomeTeam]:[HomeTeam]], $A40, Table1[[AwayTeam]:[AwayTeam]], AD$36, Table1[[ActualResult]:[ActualResult]], "OT") + SUMIFS(Table1[[HomeWon]:[HomeWon]], Table1[[GameIsOver]:[GameIsOver]], 1, Table1[[AwayTeam]:[AwayTeam]], $A40, Table1[[HomeTeam]:[HomeTeam]], AD$36, Table1[[ActualResult]:[ActualResult]], "SO") + SUMIFS(Table1[[AwayWon]:[AwayWon]], Table1[[GameIsOver]:[GameIsOver]], 1, Table1[[HomeTeam]:[HomeTeam]], $A40, Table1[[AwayTeam]:[AwayTeam]], AD$36, Table1[[ActualResult]:[ActualResult]], "SO")))/ (2*((COUNTIFS(Table1[[GameIsOver]:[GameIsOver]],1,Table1[[AwayTeam]:[AwayTeam]],$A40, Table1[[HomeTeam]:[HomeTeam]], AD$36)))+( COUNTIFS(Table1[[GameIsOver]:[GameIsOver]],1,Table1[[AwayTeam]:[AwayTeam]],AD$36, Table1[[HomeTeam]:[HomeTeam]],$A40))), "")</f>
        <v/>
      </c>
      <c r="AE40" s="36" t="str">
        <f>IFERROR(((2 * (SUMIFS(Table1[[AwayWon]:[AwayWon]], Table1[[GameIsOver]:[GameIsOver]], 1, Table1[[AwayTeam]:[AwayTeam]], $A40, Table1[[HomeTeam]:[HomeTeam]], AE$36) + SUMIFS(Table1[[HomeWon]:[HomeWon]], Table1[[GameIsOver]:[GameIsOver]], 1, Table1[[HomeTeam]:[HomeTeam]], $A40, Table1[[AwayTeam]:[AwayTeam]], AE$36))) + (SUMIFS(Table1[[HomeWon]:[HomeWon]], Table1[[GameIsOver]:[GameIsOver]], 1, Table1[[AwayTeam]:[AwayTeam]], $A40, Table1[[HomeTeam]:[HomeTeam]],  AE$36, Table1[[ActualResult]:[ActualResult]], "OT") + SUMIFS(Table1[[AwayWon]:[AwayWon]], Table1[[GameIsOver]:[GameIsOver]], 1, Table1[[HomeTeam]:[HomeTeam]], $A40, Table1[[AwayTeam]:[AwayTeam]], AE$36, Table1[[ActualResult]:[ActualResult]], "OT") + SUMIFS(Table1[[HomeWon]:[HomeWon]], Table1[[GameIsOver]:[GameIsOver]], 1, Table1[[AwayTeam]:[AwayTeam]], $A40, Table1[[HomeTeam]:[HomeTeam]], AE$36, Table1[[ActualResult]:[ActualResult]], "SO") + SUMIFS(Table1[[AwayWon]:[AwayWon]], Table1[[GameIsOver]:[GameIsOver]], 1, Table1[[HomeTeam]:[HomeTeam]], $A40, Table1[[AwayTeam]:[AwayTeam]], AE$36, Table1[[ActualResult]:[ActualResult]], "SO")))/ (2*((COUNTIFS(Table1[[GameIsOver]:[GameIsOver]],1,Table1[[AwayTeam]:[AwayTeam]],$A40, Table1[[HomeTeam]:[HomeTeam]], AE$36)))+( COUNTIFS(Table1[[GameIsOver]:[GameIsOver]],1,Table1[[AwayTeam]:[AwayTeam]],AE$36, Table1[[HomeTeam]:[HomeTeam]],$A40))), "")</f>
        <v/>
      </c>
      <c r="AF40" s="36" t="str">
        <f>IFERROR(((2 * (SUMIFS(Table1[[AwayWon]:[AwayWon]], Table1[[GameIsOver]:[GameIsOver]], 1, Table1[[AwayTeam]:[AwayTeam]], $A40, Table1[[HomeTeam]:[HomeTeam]], AF$36) + SUMIFS(Table1[[HomeWon]:[HomeWon]], Table1[[GameIsOver]:[GameIsOver]], 1, Table1[[HomeTeam]:[HomeTeam]], $A40, Table1[[AwayTeam]:[AwayTeam]], AF$36))) + (SUMIFS(Table1[[HomeWon]:[HomeWon]], Table1[[GameIsOver]:[GameIsOver]], 1, Table1[[AwayTeam]:[AwayTeam]], $A40, Table1[[HomeTeam]:[HomeTeam]],  AF$36, Table1[[ActualResult]:[ActualResult]], "OT") + SUMIFS(Table1[[AwayWon]:[AwayWon]], Table1[[GameIsOver]:[GameIsOver]], 1, Table1[[HomeTeam]:[HomeTeam]], $A40, Table1[[AwayTeam]:[AwayTeam]], AF$36, Table1[[ActualResult]:[ActualResult]], "OT") + SUMIFS(Table1[[HomeWon]:[HomeWon]], Table1[[GameIsOver]:[GameIsOver]], 1, Table1[[AwayTeam]:[AwayTeam]], $A40, Table1[[HomeTeam]:[HomeTeam]], AF$36, Table1[[ActualResult]:[ActualResult]], "SO") + SUMIFS(Table1[[AwayWon]:[AwayWon]], Table1[[GameIsOver]:[GameIsOver]], 1, Table1[[HomeTeam]:[HomeTeam]], $A40, Table1[[AwayTeam]:[AwayTeam]], AF$36, Table1[[ActualResult]:[ActualResult]], "SO")))/ (2*((COUNTIFS(Table1[[GameIsOver]:[GameIsOver]],1,Table1[[AwayTeam]:[AwayTeam]],$A40, Table1[[HomeTeam]:[HomeTeam]], AF$36)))+( COUNTIFS(Table1[[GameIsOver]:[GameIsOver]],1,Table1[[AwayTeam]:[AwayTeam]],AF$36, Table1[[HomeTeam]:[HomeTeam]],$A40))), "")</f>
        <v/>
      </c>
      <c r="AG40" s="36" t="str">
        <f>IFERROR(((2 * (SUMIFS(Table1[[AwayWon]:[AwayWon]], Table1[[GameIsOver]:[GameIsOver]], 1, Table1[[AwayTeam]:[AwayTeam]], $A40, Table1[[HomeTeam]:[HomeTeam]], AG$36) + SUMIFS(Table1[[HomeWon]:[HomeWon]], Table1[[GameIsOver]:[GameIsOver]], 1, Table1[[HomeTeam]:[HomeTeam]], $A40, Table1[[AwayTeam]:[AwayTeam]], AG$36))) + (SUMIFS(Table1[[HomeWon]:[HomeWon]], Table1[[GameIsOver]:[GameIsOver]], 1, Table1[[AwayTeam]:[AwayTeam]], $A40, Table1[[HomeTeam]:[HomeTeam]],  AG$36, Table1[[ActualResult]:[ActualResult]], "OT") + SUMIFS(Table1[[AwayWon]:[AwayWon]], Table1[[GameIsOver]:[GameIsOver]], 1, Table1[[HomeTeam]:[HomeTeam]], $A40, Table1[[AwayTeam]:[AwayTeam]], AG$36, Table1[[ActualResult]:[ActualResult]], "OT") + SUMIFS(Table1[[HomeWon]:[HomeWon]], Table1[[GameIsOver]:[GameIsOver]], 1, Table1[[AwayTeam]:[AwayTeam]], $A40, Table1[[HomeTeam]:[HomeTeam]], AG$36, Table1[[ActualResult]:[ActualResult]], "SO") + SUMIFS(Table1[[AwayWon]:[AwayWon]], Table1[[GameIsOver]:[GameIsOver]], 1, Table1[[HomeTeam]:[HomeTeam]], $A40, Table1[[AwayTeam]:[AwayTeam]], AG$36, Table1[[ActualResult]:[ActualResult]], "SO")))/ (2*((COUNTIFS(Table1[[GameIsOver]:[GameIsOver]],1,Table1[[AwayTeam]:[AwayTeam]],$A40, Table1[[HomeTeam]:[HomeTeam]], AG$36)))+( COUNTIFS(Table1[[GameIsOver]:[GameIsOver]],1,Table1[[AwayTeam]:[AwayTeam]],AG$36, Table1[[HomeTeam]:[HomeTeam]],$A40))), "")</f>
        <v/>
      </c>
      <c r="AH40" s="37" t="e">
        <f t="shared" si="0"/>
        <v>#DIV/0!</v>
      </c>
      <c r="AI40" s="37">
        <f t="shared" si="1"/>
        <v>1</v>
      </c>
      <c r="AJ40" s="38" t="e">
        <f t="shared" si="2"/>
        <v>#DIV/0!</v>
      </c>
      <c r="AK40" s="38" t="e">
        <f t="shared" si="3"/>
        <v>#DIV/0!</v>
      </c>
      <c r="AL40" s="38">
        <f t="shared" si="4"/>
        <v>1</v>
      </c>
      <c r="AM40" s="38" t="e">
        <f t="shared" si="5"/>
        <v>#DIV/0!</v>
      </c>
    </row>
    <row r="41" spans="1:39" x14ac:dyDescent="0.25">
      <c r="A41" s="17" t="s">
        <v>56</v>
      </c>
      <c r="B41" s="36" t="str">
        <f>IFERROR(((2 * (SUMIFS(Table1[[AwayWon]:[AwayWon]], Table1[[GameIsOver]:[GameIsOver]], 1, Table1[[AwayTeam]:[AwayTeam]], $A41, Table1[[HomeTeam]:[HomeTeam]], B$36) + SUMIFS(Table1[[HomeWon]:[HomeWon]], Table1[[GameIsOver]:[GameIsOver]], 1, Table1[[HomeTeam]:[HomeTeam]], $A41, Table1[[AwayTeam]:[AwayTeam]], B$36))) + (SUMIFS(Table1[[HomeWon]:[HomeWon]], Table1[[GameIsOver]:[GameIsOver]], 1, Table1[[AwayTeam]:[AwayTeam]], $A41, Table1[[HomeTeam]:[HomeTeam]],  B$36, Table1[[ActualResult]:[ActualResult]], "OT") + SUMIFS(Table1[[AwayWon]:[AwayWon]], Table1[[GameIsOver]:[GameIsOver]], 1, Table1[[HomeTeam]:[HomeTeam]], $A41, Table1[[AwayTeam]:[AwayTeam]], B$36, Table1[[ActualResult]:[ActualResult]], "OT") + SUMIFS(Table1[[HomeWon]:[HomeWon]], Table1[[GameIsOver]:[GameIsOver]], 1, Table1[[AwayTeam]:[AwayTeam]], $A41, Table1[[HomeTeam]:[HomeTeam]], B$36, Table1[[ActualResult]:[ActualResult]], "SO") + SUMIFS(Table1[[AwayWon]:[AwayWon]], Table1[[GameIsOver]:[GameIsOver]], 1, Table1[[HomeTeam]:[HomeTeam]], $A41, Table1[[AwayTeam]:[AwayTeam]], B$36, Table1[[ActualResult]:[ActualResult]], "SO")))/ (2*((COUNTIFS(Table1[[GameIsOver]:[GameIsOver]],1,Table1[[AwayTeam]:[AwayTeam]],$A41, Table1[[HomeTeam]:[HomeTeam]], B$36)))+( COUNTIFS(Table1[[GameIsOver]:[GameIsOver]],1,Table1[[AwayTeam]:[AwayTeam]],B$36, Table1[[HomeTeam]:[HomeTeam]],$A41))), "")</f>
        <v/>
      </c>
      <c r="C41" s="36">
        <f>IFERROR(((2 * (SUMIFS(Table1[[AwayWon]:[AwayWon]], Table1[[GameIsOver]:[GameIsOver]], 1, Table1[[AwayTeam]:[AwayTeam]], $A41, Table1[[HomeTeam]:[HomeTeam]], C$36) + SUMIFS(Table1[[HomeWon]:[HomeWon]], Table1[[GameIsOver]:[GameIsOver]], 1, Table1[[HomeTeam]:[HomeTeam]], $A41, Table1[[AwayTeam]:[AwayTeam]], C$36))) + (SUMIFS(Table1[[HomeWon]:[HomeWon]], Table1[[GameIsOver]:[GameIsOver]], 1, Table1[[AwayTeam]:[AwayTeam]], $A41, Table1[[HomeTeam]:[HomeTeam]],  C$36, Table1[[ActualResult]:[ActualResult]], "OT") + SUMIFS(Table1[[AwayWon]:[AwayWon]], Table1[[GameIsOver]:[GameIsOver]], 1, Table1[[HomeTeam]:[HomeTeam]], $A41, Table1[[AwayTeam]:[AwayTeam]], C$36, Table1[[ActualResult]:[ActualResult]], "OT") + SUMIFS(Table1[[HomeWon]:[HomeWon]], Table1[[GameIsOver]:[GameIsOver]], 1, Table1[[AwayTeam]:[AwayTeam]], $A41, Table1[[HomeTeam]:[HomeTeam]], C$36, Table1[[ActualResult]:[ActualResult]], "SO") + SUMIFS(Table1[[AwayWon]:[AwayWon]], Table1[[GameIsOver]:[GameIsOver]], 1, Table1[[HomeTeam]:[HomeTeam]], $A41, Table1[[AwayTeam]:[AwayTeam]], C$36, Table1[[ActualResult]:[ActualResult]], "SO")))/ (2*((COUNTIFS(Table1[[GameIsOver]:[GameIsOver]],1,Table1[[AwayTeam]:[AwayTeam]],$A41, Table1[[HomeTeam]:[HomeTeam]], C$36)))+( COUNTIFS(Table1[[GameIsOver]:[GameIsOver]],1,Table1[[AwayTeam]:[AwayTeam]],C$36, Table1[[HomeTeam]:[HomeTeam]],$A41))), "")</f>
        <v>1</v>
      </c>
      <c r="D41" s="36" t="str">
        <f>IFERROR(((2 * (SUMIFS(Table1[[AwayWon]:[AwayWon]], Table1[[GameIsOver]:[GameIsOver]], 1, Table1[[AwayTeam]:[AwayTeam]], $A41, Table1[[HomeTeam]:[HomeTeam]], D$36) + SUMIFS(Table1[[HomeWon]:[HomeWon]], Table1[[GameIsOver]:[GameIsOver]], 1, Table1[[HomeTeam]:[HomeTeam]], $A41, Table1[[AwayTeam]:[AwayTeam]], D$36))) + (SUMIFS(Table1[[HomeWon]:[HomeWon]], Table1[[GameIsOver]:[GameIsOver]], 1, Table1[[AwayTeam]:[AwayTeam]], $A41, Table1[[HomeTeam]:[HomeTeam]],  D$36, Table1[[ActualResult]:[ActualResult]], "OT") + SUMIFS(Table1[[AwayWon]:[AwayWon]], Table1[[GameIsOver]:[GameIsOver]], 1, Table1[[HomeTeam]:[HomeTeam]], $A41, Table1[[AwayTeam]:[AwayTeam]], D$36, Table1[[ActualResult]:[ActualResult]], "OT") + SUMIFS(Table1[[HomeWon]:[HomeWon]], Table1[[GameIsOver]:[GameIsOver]], 1, Table1[[AwayTeam]:[AwayTeam]], $A41, Table1[[HomeTeam]:[HomeTeam]], D$36, Table1[[ActualResult]:[ActualResult]], "SO") + SUMIFS(Table1[[AwayWon]:[AwayWon]], Table1[[GameIsOver]:[GameIsOver]], 1, Table1[[HomeTeam]:[HomeTeam]], $A41, Table1[[AwayTeam]:[AwayTeam]], D$36, Table1[[ActualResult]:[ActualResult]], "SO")))/ (2*((COUNTIFS(Table1[[GameIsOver]:[GameIsOver]],1,Table1[[AwayTeam]:[AwayTeam]],$A41, Table1[[HomeTeam]:[HomeTeam]], D$36)))+( COUNTIFS(Table1[[GameIsOver]:[GameIsOver]],1,Table1[[AwayTeam]:[AwayTeam]],D$36, Table1[[HomeTeam]:[HomeTeam]],$A41))), "")</f>
        <v/>
      </c>
      <c r="E41" s="36" t="str">
        <f>IFERROR(((2 * (SUMIFS(Table1[[AwayWon]:[AwayWon]], Table1[[GameIsOver]:[GameIsOver]], 1, Table1[[AwayTeam]:[AwayTeam]], $A41, Table1[[HomeTeam]:[HomeTeam]], E$36) + SUMIFS(Table1[[HomeWon]:[HomeWon]], Table1[[GameIsOver]:[GameIsOver]], 1, Table1[[HomeTeam]:[HomeTeam]], $A41, Table1[[AwayTeam]:[AwayTeam]], E$36))) + (SUMIFS(Table1[[HomeWon]:[HomeWon]], Table1[[GameIsOver]:[GameIsOver]], 1, Table1[[AwayTeam]:[AwayTeam]], $A41, Table1[[HomeTeam]:[HomeTeam]],  E$36, Table1[[ActualResult]:[ActualResult]], "OT") + SUMIFS(Table1[[AwayWon]:[AwayWon]], Table1[[GameIsOver]:[GameIsOver]], 1, Table1[[HomeTeam]:[HomeTeam]], $A41, Table1[[AwayTeam]:[AwayTeam]], E$36, Table1[[ActualResult]:[ActualResult]], "OT") + SUMIFS(Table1[[HomeWon]:[HomeWon]], Table1[[GameIsOver]:[GameIsOver]], 1, Table1[[AwayTeam]:[AwayTeam]], $A41, Table1[[HomeTeam]:[HomeTeam]], E$36, Table1[[ActualResult]:[ActualResult]], "SO") + SUMIFS(Table1[[AwayWon]:[AwayWon]], Table1[[GameIsOver]:[GameIsOver]], 1, Table1[[HomeTeam]:[HomeTeam]], $A41, Table1[[AwayTeam]:[AwayTeam]], E$36, Table1[[ActualResult]:[ActualResult]], "SO")))/ (2*((COUNTIFS(Table1[[GameIsOver]:[GameIsOver]],1,Table1[[AwayTeam]:[AwayTeam]],$A41, Table1[[HomeTeam]:[HomeTeam]], E$36)))+( COUNTIFS(Table1[[GameIsOver]:[GameIsOver]],1,Table1[[AwayTeam]:[AwayTeam]],E$36, Table1[[HomeTeam]:[HomeTeam]],$A41))), "")</f>
        <v/>
      </c>
      <c r="F41" s="36" t="str">
        <f>IFERROR(((2 * (SUMIFS(Table1[[AwayWon]:[AwayWon]], Table1[[GameIsOver]:[GameIsOver]], 1, Table1[[AwayTeam]:[AwayTeam]], $A41, Table1[[HomeTeam]:[HomeTeam]], F$36) + SUMIFS(Table1[[HomeWon]:[HomeWon]], Table1[[GameIsOver]:[GameIsOver]], 1, Table1[[HomeTeam]:[HomeTeam]], $A41, Table1[[AwayTeam]:[AwayTeam]], F$36))) + (SUMIFS(Table1[[HomeWon]:[HomeWon]], Table1[[GameIsOver]:[GameIsOver]], 1, Table1[[AwayTeam]:[AwayTeam]], $A41, Table1[[HomeTeam]:[HomeTeam]],  F$36, Table1[[ActualResult]:[ActualResult]], "OT") + SUMIFS(Table1[[AwayWon]:[AwayWon]], Table1[[GameIsOver]:[GameIsOver]], 1, Table1[[HomeTeam]:[HomeTeam]], $A41, Table1[[AwayTeam]:[AwayTeam]], F$36, Table1[[ActualResult]:[ActualResult]], "OT") + SUMIFS(Table1[[HomeWon]:[HomeWon]], Table1[[GameIsOver]:[GameIsOver]], 1, Table1[[AwayTeam]:[AwayTeam]], $A41, Table1[[HomeTeam]:[HomeTeam]], F$36, Table1[[ActualResult]:[ActualResult]], "SO") + SUMIFS(Table1[[AwayWon]:[AwayWon]], Table1[[GameIsOver]:[GameIsOver]], 1, Table1[[HomeTeam]:[HomeTeam]], $A41, Table1[[AwayTeam]:[AwayTeam]], F$36, Table1[[ActualResult]:[ActualResult]], "SO")))/ (2*((COUNTIFS(Table1[[GameIsOver]:[GameIsOver]],1,Table1[[AwayTeam]:[AwayTeam]],$A41, Table1[[HomeTeam]:[HomeTeam]], F$36)))+( COUNTIFS(Table1[[GameIsOver]:[GameIsOver]],1,Table1[[AwayTeam]:[AwayTeam]],F$36, Table1[[HomeTeam]:[HomeTeam]],$A41))), "")</f>
        <v/>
      </c>
      <c r="G41" s="36" t="str">
        <f>IFERROR(((2 * (SUMIFS(Table1[[AwayWon]:[AwayWon]], Table1[[GameIsOver]:[GameIsOver]], 1, Table1[[AwayTeam]:[AwayTeam]], $A41, Table1[[HomeTeam]:[HomeTeam]], G$36) + SUMIFS(Table1[[HomeWon]:[HomeWon]], Table1[[GameIsOver]:[GameIsOver]], 1, Table1[[HomeTeam]:[HomeTeam]], $A41, Table1[[AwayTeam]:[AwayTeam]], G$36))) + (SUMIFS(Table1[[HomeWon]:[HomeWon]], Table1[[GameIsOver]:[GameIsOver]], 1, Table1[[AwayTeam]:[AwayTeam]], $A41, Table1[[HomeTeam]:[HomeTeam]],  G$36, Table1[[ActualResult]:[ActualResult]], "OT") + SUMIFS(Table1[[AwayWon]:[AwayWon]], Table1[[GameIsOver]:[GameIsOver]], 1, Table1[[HomeTeam]:[HomeTeam]], $A41, Table1[[AwayTeam]:[AwayTeam]], G$36, Table1[[ActualResult]:[ActualResult]], "OT") + SUMIFS(Table1[[HomeWon]:[HomeWon]], Table1[[GameIsOver]:[GameIsOver]], 1, Table1[[AwayTeam]:[AwayTeam]], $A41, Table1[[HomeTeam]:[HomeTeam]], G$36, Table1[[ActualResult]:[ActualResult]], "SO") + SUMIFS(Table1[[AwayWon]:[AwayWon]], Table1[[GameIsOver]:[GameIsOver]], 1, Table1[[HomeTeam]:[HomeTeam]], $A41, Table1[[AwayTeam]:[AwayTeam]], G$36, Table1[[ActualResult]:[ActualResult]], "SO")))/ (2*((COUNTIFS(Table1[[GameIsOver]:[GameIsOver]],1,Table1[[AwayTeam]:[AwayTeam]],$A41, Table1[[HomeTeam]:[HomeTeam]], G$36)))+( COUNTIFS(Table1[[GameIsOver]:[GameIsOver]],1,Table1[[AwayTeam]:[AwayTeam]],G$36, Table1[[HomeTeam]:[HomeTeam]],$A41))), "")</f>
        <v/>
      </c>
      <c r="H41" s="36" t="str">
        <f>IFERROR(((2 * (SUMIFS(Table1[[AwayWon]:[AwayWon]], Table1[[GameIsOver]:[GameIsOver]], 1, Table1[[AwayTeam]:[AwayTeam]], $A41, Table1[[HomeTeam]:[HomeTeam]], H$36) + SUMIFS(Table1[[HomeWon]:[HomeWon]], Table1[[GameIsOver]:[GameIsOver]], 1, Table1[[HomeTeam]:[HomeTeam]], $A41, Table1[[AwayTeam]:[AwayTeam]], H$36))) + (SUMIFS(Table1[[HomeWon]:[HomeWon]], Table1[[GameIsOver]:[GameIsOver]], 1, Table1[[AwayTeam]:[AwayTeam]], $A41, Table1[[HomeTeam]:[HomeTeam]],  H$36, Table1[[ActualResult]:[ActualResult]], "OT") + SUMIFS(Table1[[AwayWon]:[AwayWon]], Table1[[GameIsOver]:[GameIsOver]], 1, Table1[[HomeTeam]:[HomeTeam]], $A41, Table1[[AwayTeam]:[AwayTeam]], H$36, Table1[[ActualResult]:[ActualResult]], "OT") + SUMIFS(Table1[[HomeWon]:[HomeWon]], Table1[[GameIsOver]:[GameIsOver]], 1, Table1[[AwayTeam]:[AwayTeam]], $A41, Table1[[HomeTeam]:[HomeTeam]], H$36, Table1[[ActualResult]:[ActualResult]], "SO") + SUMIFS(Table1[[AwayWon]:[AwayWon]], Table1[[GameIsOver]:[GameIsOver]], 1, Table1[[HomeTeam]:[HomeTeam]], $A41, Table1[[AwayTeam]:[AwayTeam]], H$36, Table1[[ActualResult]:[ActualResult]], "SO")))/ (2*((COUNTIFS(Table1[[GameIsOver]:[GameIsOver]],1,Table1[[AwayTeam]:[AwayTeam]],$A41, Table1[[HomeTeam]:[HomeTeam]], H$36)))+( COUNTIFS(Table1[[GameIsOver]:[GameIsOver]],1,Table1[[AwayTeam]:[AwayTeam]],H$36, Table1[[HomeTeam]:[HomeTeam]],$A41))), "")</f>
        <v/>
      </c>
      <c r="I41" s="38" t="str">
        <f>IFERROR(((2 * (SUMIFS(Table1[[AwayWon]:[AwayWon]], Table1[[GameIsOver]:[GameIsOver]], 1, Table1[[AwayTeam]:[AwayTeam]], $A41, Table1[[HomeTeam]:[HomeTeam]], I$36) + SUMIFS(Table1[[HomeWon]:[HomeWon]], Table1[[GameIsOver]:[GameIsOver]], 1, Table1[[HomeTeam]:[HomeTeam]], $A41, Table1[[AwayTeam]:[AwayTeam]], I$36))) + (SUMIFS(Table1[[HomeWon]:[HomeWon]], Table1[[GameIsOver]:[GameIsOver]], 1, Table1[[AwayTeam]:[AwayTeam]], $A41, Table1[[HomeTeam]:[HomeTeam]],  I$36, Table1[[ActualResult]:[ActualResult]], "OT") + SUMIFS(Table1[[AwayWon]:[AwayWon]], Table1[[GameIsOver]:[GameIsOver]], 1, Table1[[HomeTeam]:[HomeTeam]], $A41, Table1[[AwayTeam]:[AwayTeam]], I$36, Table1[[ActualResult]:[ActualResult]], "OT") + SUMIFS(Table1[[HomeWon]:[HomeWon]], Table1[[GameIsOver]:[GameIsOver]], 1, Table1[[AwayTeam]:[AwayTeam]], $A41, Table1[[HomeTeam]:[HomeTeam]], I$36, Table1[[ActualResult]:[ActualResult]], "SO") + SUMIFS(Table1[[AwayWon]:[AwayWon]], Table1[[GameIsOver]:[GameIsOver]], 1, Table1[[HomeTeam]:[HomeTeam]], $A41, Table1[[AwayTeam]:[AwayTeam]], I$36, Table1[[ActualResult]:[ActualResult]], "SO")))/ (2*((COUNTIFS(Table1[[GameIsOver]:[GameIsOver]],1,Table1[[AwayTeam]:[AwayTeam]],$A41, Table1[[HomeTeam]:[HomeTeam]], I$36)))+( COUNTIFS(Table1[[GameIsOver]:[GameIsOver]],1,Table1[[AwayTeam]:[AwayTeam]],I$36, Table1[[HomeTeam]:[HomeTeam]],$A41))), "")</f>
        <v/>
      </c>
      <c r="J41" s="36" t="str">
        <f>IFERROR(((2 * (SUMIFS(Table1[[AwayWon]:[AwayWon]], Table1[[GameIsOver]:[GameIsOver]], 1, Table1[[AwayTeam]:[AwayTeam]], $A41, Table1[[HomeTeam]:[HomeTeam]], J$36) + SUMIFS(Table1[[HomeWon]:[HomeWon]], Table1[[GameIsOver]:[GameIsOver]], 1, Table1[[HomeTeam]:[HomeTeam]], $A41, Table1[[AwayTeam]:[AwayTeam]], J$36))) + (SUMIFS(Table1[[HomeWon]:[HomeWon]], Table1[[GameIsOver]:[GameIsOver]], 1, Table1[[AwayTeam]:[AwayTeam]], $A41, Table1[[HomeTeam]:[HomeTeam]],  J$36, Table1[[ActualResult]:[ActualResult]], "OT") + SUMIFS(Table1[[AwayWon]:[AwayWon]], Table1[[GameIsOver]:[GameIsOver]], 1, Table1[[HomeTeam]:[HomeTeam]], $A41, Table1[[AwayTeam]:[AwayTeam]], J$36, Table1[[ActualResult]:[ActualResult]], "OT") + SUMIFS(Table1[[HomeWon]:[HomeWon]], Table1[[GameIsOver]:[GameIsOver]], 1, Table1[[AwayTeam]:[AwayTeam]], $A41, Table1[[HomeTeam]:[HomeTeam]], J$36, Table1[[ActualResult]:[ActualResult]], "SO") + SUMIFS(Table1[[AwayWon]:[AwayWon]], Table1[[GameIsOver]:[GameIsOver]], 1, Table1[[HomeTeam]:[HomeTeam]], $A41, Table1[[AwayTeam]:[AwayTeam]], J$36, Table1[[ActualResult]:[ActualResult]], "SO")))/ (2*((COUNTIFS(Table1[[GameIsOver]:[GameIsOver]],1,Table1[[AwayTeam]:[AwayTeam]],$A41, Table1[[HomeTeam]:[HomeTeam]], J$36)))+( COUNTIFS(Table1[[GameIsOver]:[GameIsOver]],1,Table1[[AwayTeam]:[AwayTeam]],J$36, Table1[[HomeTeam]:[HomeTeam]],$A41))), "")</f>
        <v/>
      </c>
      <c r="K41" s="36" t="str">
        <f>IFERROR(((2 * (SUMIFS(Table1[[AwayWon]:[AwayWon]], Table1[[GameIsOver]:[GameIsOver]], 1, Table1[[AwayTeam]:[AwayTeam]], $A41, Table1[[HomeTeam]:[HomeTeam]], K$36) + SUMIFS(Table1[[HomeWon]:[HomeWon]], Table1[[GameIsOver]:[GameIsOver]], 1, Table1[[HomeTeam]:[HomeTeam]], $A41, Table1[[AwayTeam]:[AwayTeam]], K$36))) + (SUMIFS(Table1[[HomeWon]:[HomeWon]], Table1[[GameIsOver]:[GameIsOver]], 1, Table1[[AwayTeam]:[AwayTeam]], $A41, Table1[[HomeTeam]:[HomeTeam]],  K$36, Table1[[ActualResult]:[ActualResult]], "OT") + SUMIFS(Table1[[AwayWon]:[AwayWon]], Table1[[GameIsOver]:[GameIsOver]], 1, Table1[[HomeTeam]:[HomeTeam]], $A41, Table1[[AwayTeam]:[AwayTeam]], K$36, Table1[[ActualResult]:[ActualResult]], "OT") + SUMIFS(Table1[[HomeWon]:[HomeWon]], Table1[[GameIsOver]:[GameIsOver]], 1, Table1[[AwayTeam]:[AwayTeam]], $A41, Table1[[HomeTeam]:[HomeTeam]], K$36, Table1[[ActualResult]:[ActualResult]], "SO") + SUMIFS(Table1[[AwayWon]:[AwayWon]], Table1[[GameIsOver]:[GameIsOver]], 1, Table1[[HomeTeam]:[HomeTeam]], $A41, Table1[[AwayTeam]:[AwayTeam]], K$36, Table1[[ActualResult]:[ActualResult]], "SO")))/ (2*((COUNTIFS(Table1[[GameIsOver]:[GameIsOver]],1,Table1[[AwayTeam]:[AwayTeam]],$A41, Table1[[HomeTeam]:[HomeTeam]], K$36)))+( COUNTIFS(Table1[[GameIsOver]:[GameIsOver]],1,Table1[[AwayTeam]:[AwayTeam]],K$36, Table1[[HomeTeam]:[HomeTeam]],$A41))), "")</f>
        <v/>
      </c>
      <c r="L41" s="36" t="str">
        <f>IFERROR(((2 * (SUMIFS(Table1[[AwayWon]:[AwayWon]], Table1[[GameIsOver]:[GameIsOver]], 1, Table1[[AwayTeam]:[AwayTeam]], $A41, Table1[[HomeTeam]:[HomeTeam]], L$36) + SUMIFS(Table1[[HomeWon]:[HomeWon]], Table1[[GameIsOver]:[GameIsOver]], 1, Table1[[HomeTeam]:[HomeTeam]], $A41, Table1[[AwayTeam]:[AwayTeam]], L$36))) + (SUMIFS(Table1[[HomeWon]:[HomeWon]], Table1[[GameIsOver]:[GameIsOver]], 1, Table1[[AwayTeam]:[AwayTeam]], $A41, Table1[[HomeTeam]:[HomeTeam]],  L$36, Table1[[ActualResult]:[ActualResult]], "OT") + SUMIFS(Table1[[AwayWon]:[AwayWon]], Table1[[GameIsOver]:[GameIsOver]], 1, Table1[[HomeTeam]:[HomeTeam]], $A41, Table1[[AwayTeam]:[AwayTeam]], L$36, Table1[[ActualResult]:[ActualResult]], "OT") + SUMIFS(Table1[[HomeWon]:[HomeWon]], Table1[[GameIsOver]:[GameIsOver]], 1, Table1[[AwayTeam]:[AwayTeam]], $A41, Table1[[HomeTeam]:[HomeTeam]], L$36, Table1[[ActualResult]:[ActualResult]], "SO") + SUMIFS(Table1[[AwayWon]:[AwayWon]], Table1[[GameIsOver]:[GameIsOver]], 1, Table1[[HomeTeam]:[HomeTeam]], $A41, Table1[[AwayTeam]:[AwayTeam]], L$36, Table1[[ActualResult]:[ActualResult]], "SO")))/ (2*((COUNTIFS(Table1[[GameIsOver]:[GameIsOver]],1,Table1[[AwayTeam]:[AwayTeam]],$A41, Table1[[HomeTeam]:[HomeTeam]], L$36)))+( COUNTIFS(Table1[[GameIsOver]:[GameIsOver]],1,Table1[[AwayTeam]:[AwayTeam]],L$36, Table1[[HomeTeam]:[HomeTeam]],$A41))), "")</f>
        <v/>
      </c>
      <c r="M41" s="36" t="str">
        <f>IFERROR(((2 * (SUMIFS(Table1[[AwayWon]:[AwayWon]], Table1[[GameIsOver]:[GameIsOver]], 1, Table1[[AwayTeam]:[AwayTeam]], $A41, Table1[[HomeTeam]:[HomeTeam]], M$36) + SUMIFS(Table1[[HomeWon]:[HomeWon]], Table1[[GameIsOver]:[GameIsOver]], 1, Table1[[HomeTeam]:[HomeTeam]], $A41, Table1[[AwayTeam]:[AwayTeam]], M$36))) + (SUMIFS(Table1[[HomeWon]:[HomeWon]], Table1[[GameIsOver]:[GameIsOver]], 1, Table1[[AwayTeam]:[AwayTeam]], $A41, Table1[[HomeTeam]:[HomeTeam]],  M$36, Table1[[ActualResult]:[ActualResult]], "OT") + SUMIFS(Table1[[AwayWon]:[AwayWon]], Table1[[GameIsOver]:[GameIsOver]], 1, Table1[[HomeTeam]:[HomeTeam]], $A41, Table1[[AwayTeam]:[AwayTeam]], M$36, Table1[[ActualResult]:[ActualResult]], "OT") + SUMIFS(Table1[[HomeWon]:[HomeWon]], Table1[[GameIsOver]:[GameIsOver]], 1, Table1[[AwayTeam]:[AwayTeam]], $A41, Table1[[HomeTeam]:[HomeTeam]], M$36, Table1[[ActualResult]:[ActualResult]], "SO") + SUMIFS(Table1[[AwayWon]:[AwayWon]], Table1[[GameIsOver]:[GameIsOver]], 1, Table1[[HomeTeam]:[HomeTeam]], $A41, Table1[[AwayTeam]:[AwayTeam]], M$36, Table1[[ActualResult]:[ActualResult]], "SO")))/ (2*((COUNTIFS(Table1[[GameIsOver]:[GameIsOver]],1,Table1[[AwayTeam]:[AwayTeam]],$A41, Table1[[HomeTeam]:[HomeTeam]], M$36)))+( COUNTIFS(Table1[[GameIsOver]:[GameIsOver]],1,Table1[[AwayTeam]:[AwayTeam]],M$36, Table1[[HomeTeam]:[HomeTeam]],$A41))), "")</f>
        <v/>
      </c>
      <c r="N41" s="36" t="str">
        <f>IFERROR(((2 * (SUMIFS(Table1[[AwayWon]:[AwayWon]], Table1[[GameIsOver]:[GameIsOver]], 1, Table1[[AwayTeam]:[AwayTeam]], $A41, Table1[[HomeTeam]:[HomeTeam]], N$36) + SUMIFS(Table1[[HomeWon]:[HomeWon]], Table1[[GameIsOver]:[GameIsOver]], 1, Table1[[HomeTeam]:[HomeTeam]], $A41, Table1[[AwayTeam]:[AwayTeam]], N$36))) + (SUMIFS(Table1[[HomeWon]:[HomeWon]], Table1[[GameIsOver]:[GameIsOver]], 1, Table1[[AwayTeam]:[AwayTeam]], $A41, Table1[[HomeTeam]:[HomeTeam]],  N$36, Table1[[ActualResult]:[ActualResult]], "OT") + SUMIFS(Table1[[AwayWon]:[AwayWon]], Table1[[GameIsOver]:[GameIsOver]], 1, Table1[[HomeTeam]:[HomeTeam]], $A41, Table1[[AwayTeam]:[AwayTeam]], N$36, Table1[[ActualResult]:[ActualResult]], "OT") + SUMIFS(Table1[[HomeWon]:[HomeWon]], Table1[[GameIsOver]:[GameIsOver]], 1, Table1[[AwayTeam]:[AwayTeam]], $A41, Table1[[HomeTeam]:[HomeTeam]], N$36, Table1[[ActualResult]:[ActualResult]], "SO") + SUMIFS(Table1[[AwayWon]:[AwayWon]], Table1[[GameIsOver]:[GameIsOver]], 1, Table1[[HomeTeam]:[HomeTeam]], $A41, Table1[[AwayTeam]:[AwayTeam]], N$36, Table1[[ActualResult]:[ActualResult]], "SO")))/ (2*((COUNTIFS(Table1[[GameIsOver]:[GameIsOver]],1,Table1[[AwayTeam]:[AwayTeam]],$A41, Table1[[HomeTeam]:[HomeTeam]], N$36)))+( COUNTIFS(Table1[[GameIsOver]:[GameIsOver]],1,Table1[[AwayTeam]:[AwayTeam]],N$36, Table1[[HomeTeam]:[HomeTeam]],$A41))), "")</f>
        <v/>
      </c>
      <c r="O41" s="36" t="str">
        <f>IFERROR(((2 * (SUMIFS(Table1[[AwayWon]:[AwayWon]], Table1[[GameIsOver]:[GameIsOver]], 1, Table1[[AwayTeam]:[AwayTeam]], $A41, Table1[[HomeTeam]:[HomeTeam]], O$36) + SUMIFS(Table1[[HomeWon]:[HomeWon]], Table1[[GameIsOver]:[GameIsOver]], 1, Table1[[HomeTeam]:[HomeTeam]], $A41, Table1[[AwayTeam]:[AwayTeam]], O$36))) + (SUMIFS(Table1[[HomeWon]:[HomeWon]], Table1[[GameIsOver]:[GameIsOver]], 1, Table1[[AwayTeam]:[AwayTeam]], $A41, Table1[[HomeTeam]:[HomeTeam]],  O$36, Table1[[ActualResult]:[ActualResult]], "OT") + SUMIFS(Table1[[AwayWon]:[AwayWon]], Table1[[GameIsOver]:[GameIsOver]], 1, Table1[[HomeTeam]:[HomeTeam]], $A41, Table1[[AwayTeam]:[AwayTeam]], O$36, Table1[[ActualResult]:[ActualResult]], "OT") + SUMIFS(Table1[[HomeWon]:[HomeWon]], Table1[[GameIsOver]:[GameIsOver]], 1, Table1[[AwayTeam]:[AwayTeam]], $A41, Table1[[HomeTeam]:[HomeTeam]], O$36, Table1[[ActualResult]:[ActualResult]], "SO") + SUMIFS(Table1[[AwayWon]:[AwayWon]], Table1[[GameIsOver]:[GameIsOver]], 1, Table1[[HomeTeam]:[HomeTeam]], $A41, Table1[[AwayTeam]:[AwayTeam]], O$36, Table1[[ActualResult]:[ActualResult]], "SO")))/ (2*((COUNTIFS(Table1[[GameIsOver]:[GameIsOver]],1,Table1[[AwayTeam]:[AwayTeam]],$A41, Table1[[HomeTeam]:[HomeTeam]], O$36)))+( COUNTIFS(Table1[[GameIsOver]:[GameIsOver]],1,Table1[[AwayTeam]:[AwayTeam]],O$36, Table1[[HomeTeam]:[HomeTeam]],$A41))), "")</f>
        <v/>
      </c>
      <c r="P41" s="36" t="str">
        <f>IFERROR(((2 * (SUMIFS(Table1[[AwayWon]:[AwayWon]], Table1[[GameIsOver]:[GameIsOver]], 1, Table1[[AwayTeam]:[AwayTeam]], $A41, Table1[[HomeTeam]:[HomeTeam]], P$36) + SUMIFS(Table1[[HomeWon]:[HomeWon]], Table1[[GameIsOver]:[GameIsOver]], 1, Table1[[HomeTeam]:[HomeTeam]], $A41, Table1[[AwayTeam]:[AwayTeam]], P$36))) + (SUMIFS(Table1[[HomeWon]:[HomeWon]], Table1[[GameIsOver]:[GameIsOver]], 1, Table1[[AwayTeam]:[AwayTeam]], $A41, Table1[[HomeTeam]:[HomeTeam]],  P$36, Table1[[ActualResult]:[ActualResult]], "OT") + SUMIFS(Table1[[AwayWon]:[AwayWon]], Table1[[GameIsOver]:[GameIsOver]], 1, Table1[[HomeTeam]:[HomeTeam]], $A41, Table1[[AwayTeam]:[AwayTeam]], P$36, Table1[[ActualResult]:[ActualResult]], "OT") + SUMIFS(Table1[[HomeWon]:[HomeWon]], Table1[[GameIsOver]:[GameIsOver]], 1, Table1[[AwayTeam]:[AwayTeam]], $A41, Table1[[HomeTeam]:[HomeTeam]], P$36, Table1[[ActualResult]:[ActualResult]], "SO") + SUMIFS(Table1[[AwayWon]:[AwayWon]], Table1[[GameIsOver]:[GameIsOver]], 1, Table1[[HomeTeam]:[HomeTeam]], $A41, Table1[[AwayTeam]:[AwayTeam]], P$36, Table1[[ActualResult]:[ActualResult]], "SO")))/ (2*((COUNTIFS(Table1[[GameIsOver]:[GameIsOver]],1,Table1[[AwayTeam]:[AwayTeam]],$A41, Table1[[HomeTeam]:[HomeTeam]], P$36)))+( COUNTIFS(Table1[[GameIsOver]:[GameIsOver]],1,Table1[[AwayTeam]:[AwayTeam]],P$36, Table1[[HomeTeam]:[HomeTeam]],$A41))), "")</f>
        <v/>
      </c>
      <c r="Q41" s="38" t="str">
        <f>IFERROR(((2 * (SUMIFS(Table1[[AwayWon]:[AwayWon]], Table1[[GameIsOver]:[GameIsOver]], 1, Table1[[AwayTeam]:[AwayTeam]], $A41, Table1[[HomeTeam]:[HomeTeam]], Q$36) + SUMIFS(Table1[[HomeWon]:[HomeWon]], Table1[[GameIsOver]:[GameIsOver]], 1, Table1[[HomeTeam]:[HomeTeam]], $A41, Table1[[AwayTeam]:[AwayTeam]], Q$36))) + (SUMIFS(Table1[[HomeWon]:[HomeWon]], Table1[[GameIsOver]:[GameIsOver]], 1, Table1[[AwayTeam]:[AwayTeam]], $A41, Table1[[HomeTeam]:[HomeTeam]],  Q$36, Table1[[ActualResult]:[ActualResult]], "OT") + SUMIFS(Table1[[AwayWon]:[AwayWon]], Table1[[GameIsOver]:[GameIsOver]], 1, Table1[[HomeTeam]:[HomeTeam]], $A41, Table1[[AwayTeam]:[AwayTeam]], Q$36, Table1[[ActualResult]:[ActualResult]], "OT") + SUMIFS(Table1[[HomeWon]:[HomeWon]], Table1[[GameIsOver]:[GameIsOver]], 1, Table1[[AwayTeam]:[AwayTeam]], $A41, Table1[[HomeTeam]:[HomeTeam]], Q$36, Table1[[ActualResult]:[ActualResult]], "SO") + SUMIFS(Table1[[AwayWon]:[AwayWon]], Table1[[GameIsOver]:[GameIsOver]], 1, Table1[[HomeTeam]:[HomeTeam]], $A41, Table1[[AwayTeam]:[AwayTeam]], Q$36, Table1[[ActualResult]:[ActualResult]], "SO")))/ (2*((COUNTIFS(Table1[[GameIsOver]:[GameIsOver]],1,Table1[[AwayTeam]:[AwayTeam]],$A41, Table1[[HomeTeam]:[HomeTeam]], Q$36)))+( COUNTIFS(Table1[[GameIsOver]:[GameIsOver]],1,Table1[[AwayTeam]:[AwayTeam]],Q$36, Table1[[HomeTeam]:[HomeTeam]],$A41))), "")</f>
        <v/>
      </c>
      <c r="R41" s="36" t="str">
        <f>IFERROR(((2 * (SUMIFS(Table1[[AwayWon]:[AwayWon]], Table1[[GameIsOver]:[GameIsOver]], 1, Table1[[AwayTeam]:[AwayTeam]], $A41, Table1[[HomeTeam]:[HomeTeam]], R$36) + SUMIFS(Table1[[HomeWon]:[HomeWon]], Table1[[GameIsOver]:[GameIsOver]], 1, Table1[[HomeTeam]:[HomeTeam]], $A41, Table1[[AwayTeam]:[AwayTeam]], R$36))) + (SUMIFS(Table1[[HomeWon]:[HomeWon]], Table1[[GameIsOver]:[GameIsOver]], 1, Table1[[AwayTeam]:[AwayTeam]], $A41, Table1[[HomeTeam]:[HomeTeam]],  R$36, Table1[[ActualResult]:[ActualResult]], "OT") + SUMIFS(Table1[[AwayWon]:[AwayWon]], Table1[[GameIsOver]:[GameIsOver]], 1, Table1[[HomeTeam]:[HomeTeam]], $A41, Table1[[AwayTeam]:[AwayTeam]], R$36, Table1[[ActualResult]:[ActualResult]], "OT") + SUMIFS(Table1[[HomeWon]:[HomeWon]], Table1[[GameIsOver]:[GameIsOver]], 1, Table1[[AwayTeam]:[AwayTeam]], $A41, Table1[[HomeTeam]:[HomeTeam]], R$36, Table1[[ActualResult]:[ActualResult]], "SO") + SUMIFS(Table1[[AwayWon]:[AwayWon]], Table1[[GameIsOver]:[GameIsOver]], 1, Table1[[HomeTeam]:[HomeTeam]], $A41, Table1[[AwayTeam]:[AwayTeam]], R$36, Table1[[ActualResult]:[ActualResult]], "SO")))/ (2*((COUNTIFS(Table1[[GameIsOver]:[GameIsOver]],1,Table1[[AwayTeam]:[AwayTeam]],$A41, Table1[[HomeTeam]:[HomeTeam]], R$36)))+( COUNTIFS(Table1[[GameIsOver]:[GameIsOver]],1,Table1[[AwayTeam]:[AwayTeam]],R$36, Table1[[HomeTeam]:[HomeTeam]],$A41))), "")</f>
        <v/>
      </c>
      <c r="S41" s="36" t="str">
        <f>IFERROR(((2 * (SUMIFS(Table1[[AwayWon]:[AwayWon]], Table1[[GameIsOver]:[GameIsOver]], 1, Table1[[AwayTeam]:[AwayTeam]], $A41, Table1[[HomeTeam]:[HomeTeam]], S$36) + SUMIFS(Table1[[HomeWon]:[HomeWon]], Table1[[GameIsOver]:[GameIsOver]], 1, Table1[[HomeTeam]:[HomeTeam]], $A41, Table1[[AwayTeam]:[AwayTeam]], S$36))) + (SUMIFS(Table1[[HomeWon]:[HomeWon]], Table1[[GameIsOver]:[GameIsOver]], 1, Table1[[AwayTeam]:[AwayTeam]], $A41, Table1[[HomeTeam]:[HomeTeam]],  S$36, Table1[[ActualResult]:[ActualResult]], "OT") + SUMIFS(Table1[[AwayWon]:[AwayWon]], Table1[[GameIsOver]:[GameIsOver]], 1, Table1[[HomeTeam]:[HomeTeam]], $A41, Table1[[AwayTeam]:[AwayTeam]], S$36, Table1[[ActualResult]:[ActualResult]], "OT") + SUMIFS(Table1[[HomeWon]:[HomeWon]], Table1[[GameIsOver]:[GameIsOver]], 1, Table1[[AwayTeam]:[AwayTeam]], $A41, Table1[[HomeTeam]:[HomeTeam]], S$36, Table1[[ActualResult]:[ActualResult]], "SO") + SUMIFS(Table1[[AwayWon]:[AwayWon]], Table1[[GameIsOver]:[GameIsOver]], 1, Table1[[HomeTeam]:[HomeTeam]], $A41, Table1[[AwayTeam]:[AwayTeam]], S$36, Table1[[ActualResult]:[ActualResult]], "SO")))/ (2*((COUNTIFS(Table1[[GameIsOver]:[GameIsOver]],1,Table1[[AwayTeam]:[AwayTeam]],$A41, Table1[[HomeTeam]:[HomeTeam]], S$36)))+( COUNTIFS(Table1[[GameIsOver]:[GameIsOver]],1,Table1[[AwayTeam]:[AwayTeam]],S$36, Table1[[HomeTeam]:[HomeTeam]],$A41))), "")</f>
        <v/>
      </c>
      <c r="T41" s="36" t="str">
        <f>IFERROR(((2 * (SUMIFS(Table1[[AwayWon]:[AwayWon]], Table1[[GameIsOver]:[GameIsOver]], 1, Table1[[AwayTeam]:[AwayTeam]], $A41, Table1[[HomeTeam]:[HomeTeam]], T$36) + SUMIFS(Table1[[HomeWon]:[HomeWon]], Table1[[GameIsOver]:[GameIsOver]], 1, Table1[[HomeTeam]:[HomeTeam]], $A41, Table1[[AwayTeam]:[AwayTeam]], T$36))) + (SUMIFS(Table1[[HomeWon]:[HomeWon]], Table1[[GameIsOver]:[GameIsOver]], 1, Table1[[AwayTeam]:[AwayTeam]], $A41, Table1[[HomeTeam]:[HomeTeam]],  T$36, Table1[[ActualResult]:[ActualResult]], "OT") + SUMIFS(Table1[[AwayWon]:[AwayWon]], Table1[[GameIsOver]:[GameIsOver]], 1, Table1[[HomeTeam]:[HomeTeam]], $A41, Table1[[AwayTeam]:[AwayTeam]], T$36, Table1[[ActualResult]:[ActualResult]], "OT") + SUMIFS(Table1[[HomeWon]:[HomeWon]], Table1[[GameIsOver]:[GameIsOver]], 1, Table1[[AwayTeam]:[AwayTeam]], $A41, Table1[[HomeTeam]:[HomeTeam]], T$36, Table1[[ActualResult]:[ActualResult]], "SO") + SUMIFS(Table1[[AwayWon]:[AwayWon]], Table1[[GameIsOver]:[GameIsOver]], 1, Table1[[HomeTeam]:[HomeTeam]], $A41, Table1[[AwayTeam]:[AwayTeam]], T$36, Table1[[ActualResult]:[ActualResult]], "SO")))/ (2*((COUNTIFS(Table1[[GameIsOver]:[GameIsOver]],1,Table1[[AwayTeam]:[AwayTeam]],$A41, Table1[[HomeTeam]:[HomeTeam]], T$36)))+( COUNTIFS(Table1[[GameIsOver]:[GameIsOver]],1,Table1[[AwayTeam]:[AwayTeam]],T$36, Table1[[HomeTeam]:[HomeTeam]],$A41))), "")</f>
        <v/>
      </c>
      <c r="U41" s="36" t="str">
        <f>IFERROR(((2 * (SUMIFS(Table1[[AwayWon]:[AwayWon]], Table1[[GameIsOver]:[GameIsOver]], 1, Table1[[AwayTeam]:[AwayTeam]], $A41, Table1[[HomeTeam]:[HomeTeam]], U$36) + SUMIFS(Table1[[HomeWon]:[HomeWon]], Table1[[GameIsOver]:[GameIsOver]], 1, Table1[[HomeTeam]:[HomeTeam]], $A41, Table1[[AwayTeam]:[AwayTeam]], U$36))) + (SUMIFS(Table1[[HomeWon]:[HomeWon]], Table1[[GameIsOver]:[GameIsOver]], 1, Table1[[AwayTeam]:[AwayTeam]], $A41, Table1[[HomeTeam]:[HomeTeam]],  U$36, Table1[[ActualResult]:[ActualResult]], "OT") + SUMIFS(Table1[[AwayWon]:[AwayWon]], Table1[[GameIsOver]:[GameIsOver]], 1, Table1[[HomeTeam]:[HomeTeam]], $A41, Table1[[AwayTeam]:[AwayTeam]], U$36, Table1[[ActualResult]:[ActualResult]], "OT") + SUMIFS(Table1[[HomeWon]:[HomeWon]], Table1[[GameIsOver]:[GameIsOver]], 1, Table1[[AwayTeam]:[AwayTeam]], $A41, Table1[[HomeTeam]:[HomeTeam]], U$36, Table1[[ActualResult]:[ActualResult]], "SO") + SUMIFS(Table1[[AwayWon]:[AwayWon]], Table1[[GameIsOver]:[GameIsOver]], 1, Table1[[HomeTeam]:[HomeTeam]], $A41, Table1[[AwayTeam]:[AwayTeam]], U$36, Table1[[ActualResult]:[ActualResult]], "SO")))/ (2*((COUNTIFS(Table1[[GameIsOver]:[GameIsOver]],1,Table1[[AwayTeam]:[AwayTeam]],$A41, Table1[[HomeTeam]:[HomeTeam]], U$36)))+( COUNTIFS(Table1[[GameIsOver]:[GameIsOver]],1,Table1[[AwayTeam]:[AwayTeam]],U$36, Table1[[HomeTeam]:[HomeTeam]],$A41))), "")</f>
        <v/>
      </c>
      <c r="V41" s="36" t="str">
        <f>IFERROR(((2 * (SUMIFS(Table1[[AwayWon]:[AwayWon]], Table1[[GameIsOver]:[GameIsOver]], 1, Table1[[AwayTeam]:[AwayTeam]], $A41, Table1[[HomeTeam]:[HomeTeam]], V$36) + SUMIFS(Table1[[HomeWon]:[HomeWon]], Table1[[GameIsOver]:[GameIsOver]], 1, Table1[[HomeTeam]:[HomeTeam]], $A41, Table1[[AwayTeam]:[AwayTeam]], V$36))) + (SUMIFS(Table1[[HomeWon]:[HomeWon]], Table1[[GameIsOver]:[GameIsOver]], 1, Table1[[AwayTeam]:[AwayTeam]], $A41, Table1[[HomeTeam]:[HomeTeam]],  V$36, Table1[[ActualResult]:[ActualResult]], "OT") + SUMIFS(Table1[[AwayWon]:[AwayWon]], Table1[[GameIsOver]:[GameIsOver]], 1, Table1[[HomeTeam]:[HomeTeam]], $A41, Table1[[AwayTeam]:[AwayTeam]], V$36, Table1[[ActualResult]:[ActualResult]], "OT") + SUMIFS(Table1[[HomeWon]:[HomeWon]], Table1[[GameIsOver]:[GameIsOver]], 1, Table1[[AwayTeam]:[AwayTeam]], $A41, Table1[[HomeTeam]:[HomeTeam]], V$36, Table1[[ActualResult]:[ActualResult]], "SO") + SUMIFS(Table1[[AwayWon]:[AwayWon]], Table1[[GameIsOver]:[GameIsOver]], 1, Table1[[HomeTeam]:[HomeTeam]], $A41, Table1[[AwayTeam]:[AwayTeam]], V$36, Table1[[ActualResult]:[ActualResult]], "SO")))/ (2*((COUNTIFS(Table1[[GameIsOver]:[GameIsOver]],1,Table1[[AwayTeam]:[AwayTeam]],$A41, Table1[[HomeTeam]:[HomeTeam]], V$36)))+( COUNTIFS(Table1[[GameIsOver]:[GameIsOver]],1,Table1[[AwayTeam]:[AwayTeam]],V$36, Table1[[HomeTeam]:[HomeTeam]],$A41))), "")</f>
        <v/>
      </c>
      <c r="W41" s="36" t="str">
        <f>IFERROR(((2 * (SUMIFS(Table1[[AwayWon]:[AwayWon]], Table1[[GameIsOver]:[GameIsOver]], 1, Table1[[AwayTeam]:[AwayTeam]], $A41, Table1[[HomeTeam]:[HomeTeam]], W$36) + SUMIFS(Table1[[HomeWon]:[HomeWon]], Table1[[GameIsOver]:[GameIsOver]], 1, Table1[[HomeTeam]:[HomeTeam]], $A41, Table1[[AwayTeam]:[AwayTeam]], W$36))) + (SUMIFS(Table1[[HomeWon]:[HomeWon]], Table1[[GameIsOver]:[GameIsOver]], 1, Table1[[AwayTeam]:[AwayTeam]], $A41, Table1[[HomeTeam]:[HomeTeam]],  W$36, Table1[[ActualResult]:[ActualResult]], "OT") + SUMIFS(Table1[[AwayWon]:[AwayWon]], Table1[[GameIsOver]:[GameIsOver]], 1, Table1[[HomeTeam]:[HomeTeam]], $A41, Table1[[AwayTeam]:[AwayTeam]], W$36, Table1[[ActualResult]:[ActualResult]], "OT") + SUMIFS(Table1[[HomeWon]:[HomeWon]], Table1[[GameIsOver]:[GameIsOver]], 1, Table1[[AwayTeam]:[AwayTeam]], $A41, Table1[[HomeTeam]:[HomeTeam]], W$36, Table1[[ActualResult]:[ActualResult]], "SO") + SUMIFS(Table1[[AwayWon]:[AwayWon]], Table1[[GameIsOver]:[GameIsOver]], 1, Table1[[HomeTeam]:[HomeTeam]], $A41, Table1[[AwayTeam]:[AwayTeam]], W$36, Table1[[ActualResult]:[ActualResult]], "SO")))/ (2*((COUNTIFS(Table1[[GameIsOver]:[GameIsOver]],1,Table1[[AwayTeam]:[AwayTeam]],$A41, Table1[[HomeTeam]:[HomeTeam]], W$36)))+( COUNTIFS(Table1[[GameIsOver]:[GameIsOver]],1,Table1[[AwayTeam]:[AwayTeam]],W$36, Table1[[HomeTeam]:[HomeTeam]],$A41))), "")</f>
        <v/>
      </c>
      <c r="X41" s="36" t="str">
        <f>IFERROR(((2 * (SUMIFS(Table1[[AwayWon]:[AwayWon]], Table1[[GameIsOver]:[GameIsOver]], 1, Table1[[AwayTeam]:[AwayTeam]], $A41, Table1[[HomeTeam]:[HomeTeam]], X$36) + SUMIFS(Table1[[HomeWon]:[HomeWon]], Table1[[GameIsOver]:[GameIsOver]], 1, Table1[[HomeTeam]:[HomeTeam]], $A41, Table1[[AwayTeam]:[AwayTeam]], X$36))) + (SUMIFS(Table1[[HomeWon]:[HomeWon]], Table1[[GameIsOver]:[GameIsOver]], 1, Table1[[AwayTeam]:[AwayTeam]], $A41, Table1[[HomeTeam]:[HomeTeam]],  X$36, Table1[[ActualResult]:[ActualResult]], "OT") + SUMIFS(Table1[[AwayWon]:[AwayWon]], Table1[[GameIsOver]:[GameIsOver]], 1, Table1[[HomeTeam]:[HomeTeam]], $A41, Table1[[AwayTeam]:[AwayTeam]], X$36, Table1[[ActualResult]:[ActualResult]], "OT") + SUMIFS(Table1[[HomeWon]:[HomeWon]], Table1[[GameIsOver]:[GameIsOver]], 1, Table1[[AwayTeam]:[AwayTeam]], $A41, Table1[[HomeTeam]:[HomeTeam]], X$36, Table1[[ActualResult]:[ActualResult]], "SO") + SUMIFS(Table1[[AwayWon]:[AwayWon]], Table1[[GameIsOver]:[GameIsOver]], 1, Table1[[HomeTeam]:[HomeTeam]], $A41, Table1[[AwayTeam]:[AwayTeam]], X$36, Table1[[ActualResult]:[ActualResult]], "SO")))/ (2*((COUNTIFS(Table1[[GameIsOver]:[GameIsOver]],1,Table1[[AwayTeam]:[AwayTeam]],$A41, Table1[[HomeTeam]:[HomeTeam]], X$36)))+( COUNTIFS(Table1[[GameIsOver]:[GameIsOver]],1,Table1[[AwayTeam]:[AwayTeam]],X$36, Table1[[HomeTeam]:[HomeTeam]],$A41))), "")</f>
        <v/>
      </c>
      <c r="Y41" s="38" t="str">
        <f>IFERROR(((2 * (SUMIFS(Table1[[AwayWon]:[AwayWon]], Table1[[GameIsOver]:[GameIsOver]], 1, Table1[[AwayTeam]:[AwayTeam]], $A41, Table1[[HomeTeam]:[HomeTeam]], Y$36) + SUMIFS(Table1[[HomeWon]:[HomeWon]], Table1[[GameIsOver]:[GameIsOver]], 1, Table1[[HomeTeam]:[HomeTeam]], $A41, Table1[[AwayTeam]:[AwayTeam]], Y$36))) + (SUMIFS(Table1[[HomeWon]:[HomeWon]], Table1[[GameIsOver]:[GameIsOver]], 1, Table1[[AwayTeam]:[AwayTeam]], $A41, Table1[[HomeTeam]:[HomeTeam]],  Y$36, Table1[[ActualResult]:[ActualResult]], "OT") + SUMIFS(Table1[[AwayWon]:[AwayWon]], Table1[[GameIsOver]:[GameIsOver]], 1, Table1[[HomeTeam]:[HomeTeam]], $A41, Table1[[AwayTeam]:[AwayTeam]], Y$36, Table1[[ActualResult]:[ActualResult]], "OT") + SUMIFS(Table1[[HomeWon]:[HomeWon]], Table1[[GameIsOver]:[GameIsOver]], 1, Table1[[AwayTeam]:[AwayTeam]], $A41, Table1[[HomeTeam]:[HomeTeam]], Y$36, Table1[[ActualResult]:[ActualResult]], "SO") + SUMIFS(Table1[[AwayWon]:[AwayWon]], Table1[[GameIsOver]:[GameIsOver]], 1, Table1[[HomeTeam]:[HomeTeam]], $A41, Table1[[AwayTeam]:[AwayTeam]], Y$36, Table1[[ActualResult]:[ActualResult]], "SO")))/ (2*((COUNTIFS(Table1[[GameIsOver]:[GameIsOver]],1,Table1[[AwayTeam]:[AwayTeam]],$A41, Table1[[HomeTeam]:[HomeTeam]], Y$36)))+( COUNTIFS(Table1[[GameIsOver]:[GameIsOver]],1,Table1[[AwayTeam]:[AwayTeam]],Y$36, Table1[[HomeTeam]:[HomeTeam]],$A41))), "")</f>
        <v/>
      </c>
      <c r="Z41" s="36" t="str">
        <f>IFERROR(((2 * (SUMIFS(Table1[[AwayWon]:[AwayWon]], Table1[[GameIsOver]:[GameIsOver]], 1, Table1[[AwayTeam]:[AwayTeam]], $A41, Table1[[HomeTeam]:[HomeTeam]], Z$36) + SUMIFS(Table1[[HomeWon]:[HomeWon]], Table1[[GameIsOver]:[GameIsOver]], 1, Table1[[HomeTeam]:[HomeTeam]], $A41, Table1[[AwayTeam]:[AwayTeam]], Z$36))) + (SUMIFS(Table1[[HomeWon]:[HomeWon]], Table1[[GameIsOver]:[GameIsOver]], 1, Table1[[AwayTeam]:[AwayTeam]], $A41, Table1[[HomeTeam]:[HomeTeam]],  Z$36, Table1[[ActualResult]:[ActualResult]], "OT") + SUMIFS(Table1[[AwayWon]:[AwayWon]], Table1[[GameIsOver]:[GameIsOver]], 1, Table1[[HomeTeam]:[HomeTeam]], $A41, Table1[[AwayTeam]:[AwayTeam]], Z$36, Table1[[ActualResult]:[ActualResult]], "OT") + SUMIFS(Table1[[HomeWon]:[HomeWon]], Table1[[GameIsOver]:[GameIsOver]], 1, Table1[[AwayTeam]:[AwayTeam]], $A41, Table1[[HomeTeam]:[HomeTeam]], Z$36, Table1[[ActualResult]:[ActualResult]], "SO") + SUMIFS(Table1[[AwayWon]:[AwayWon]], Table1[[GameIsOver]:[GameIsOver]], 1, Table1[[HomeTeam]:[HomeTeam]], $A41, Table1[[AwayTeam]:[AwayTeam]], Z$36, Table1[[ActualResult]:[ActualResult]], "SO")))/ (2*((COUNTIFS(Table1[[GameIsOver]:[GameIsOver]],1,Table1[[AwayTeam]:[AwayTeam]],$A41, Table1[[HomeTeam]:[HomeTeam]], Z$36)))+( COUNTIFS(Table1[[GameIsOver]:[GameIsOver]],1,Table1[[AwayTeam]:[AwayTeam]],Z$36, Table1[[HomeTeam]:[HomeTeam]],$A41))), "")</f>
        <v/>
      </c>
      <c r="AA41" s="36" t="str">
        <f>IFERROR(((2 * (SUMIFS(Table1[[AwayWon]:[AwayWon]], Table1[[GameIsOver]:[GameIsOver]], 1, Table1[[AwayTeam]:[AwayTeam]], $A41, Table1[[HomeTeam]:[HomeTeam]], AA$36) + SUMIFS(Table1[[HomeWon]:[HomeWon]], Table1[[GameIsOver]:[GameIsOver]], 1, Table1[[HomeTeam]:[HomeTeam]], $A41, Table1[[AwayTeam]:[AwayTeam]], AA$36))) + (SUMIFS(Table1[[HomeWon]:[HomeWon]], Table1[[GameIsOver]:[GameIsOver]], 1, Table1[[AwayTeam]:[AwayTeam]], $A41, Table1[[HomeTeam]:[HomeTeam]],  AA$36, Table1[[ActualResult]:[ActualResult]], "OT") + SUMIFS(Table1[[AwayWon]:[AwayWon]], Table1[[GameIsOver]:[GameIsOver]], 1, Table1[[HomeTeam]:[HomeTeam]], $A41, Table1[[AwayTeam]:[AwayTeam]], AA$36, Table1[[ActualResult]:[ActualResult]], "OT") + SUMIFS(Table1[[HomeWon]:[HomeWon]], Table1[[GameIsOver]:[GameIsOver]], 1, Table1[[AwayTeam]:[AwayTeam]], $A41, Table1[[HomeTeam]:[HomeTeam]], AA$36, Table1[[ActualResult]:[ActualResult]], "SO") + SUMIFS(Table1[[AwayWon]:[AwayWon]], Table1[[GameIsOver]:[GameIsOver]], 1, Table1[[HomeTeam]:[HomeTeam]], $A41, Table1[[AwayTeam]:[AwayTeam]], AA$36, Table1[[ActualResult]:[ActualResult]], "SO")))/ (2*((COUNTIFS(Table1[[GameIsOver]:[GameIsOver]],1,Table1[[AwayTeam]:[AwayTeam]],$A41, Table1[[HomeTeam]:[HomeTeam]], AA$36)))+( COUNTIFS(Table1[[GameIsOver]:[GameIsOver]],1,Table1[[AwayTeam]:[AwayTeam]],AA$36, Table1[[HomeTeam]:[HomeTeam]],$A41))), "")</f>
        <v/>
      </c>
      <c r="AB41" s="36" t="str">
        <f>IFERROR(((2 * (SUMIFS(Table1[[AwayWon]:[AwayWon]], Table1[[GameIsOver]:[GameIsOver]], 1, Table1[[AwayTeam]:[AwayTeam]], $A41, Table1[[HomeTeam]:[HomeTeam]], AB$36) + SUMIFS(Table1[[HomeWon]:[HomeWon]], Table1[[GameIsOver]:[GameIsOver]], 1, Table1[[HomeTeam]:[HomeTeam]], $A41, Table1[[AwayTeam]:[AwayTeam]], AB$36))) + (SUMIFS(Table1[[HomeWon]:[HomeWon]], Table1[[GameIsOver]:[GameIsOver]], 1, Table1[[AwayTeam]:[AwayTeam]], $A41, Table1[[HomeTeam]:[HomeTeam]],  AB$36, Table1[[ActualResult]:[ActualResult]], "OT") + SUMIFS(Table1[[AwayWon]:[AwayWon]], Table1[[GameIsOver]:[GameIsOver]], 1, Table1[[HomeTeam]:[HomeTeam]], $A41, Table1[[AwayTeam]:[AwayTeam]], AB$36, Table1[[ActualResult]:[ActualResult]], "OT") + SUMIFS(Table1[[HomeWon]:[HomeWon]], Table1[[GameIsOver]:[GameIsOver]], 1, Table1[[AwayTeam]:[AwayTeam]], $A41, Table1[[HomeTeam]:[HomeTeam]], AB$36, Table1[[ActualResult]:[ActualResult]], "SO") + SUMIFS(Table1[[AwayWon]:[AwayWon]], Table1[[GameIsOver]:[GameIsOver]], 1, Table1[[HomeTeam]:[HomeTeam]], $A41, Table1[[AwayTeam]:[AwayTeam]], AB$36, Table1[[ActualResult]:[ActualResult]], "SO")))/ (2*((COUNTIFS(Table1[[GameIsOver]:[GameIsOver]],1,Table1[[AwayTeam]:[AwayTeam]],$A41, Table1[[HomeTeam]:[HomeTeam]], AB$36)))+( COUNTIFS(Table1[[GameIsOver]:[GameIsOver]],1,Table1[[AwayTeam]:[AwayTeam]],AB$36, Table1[[HomeTeam]:[HomeTeam]],$A41))), "")</f>
        <v/>
      </c>
      <c r="AC41" s="36" t="str">
        <f>IFERROR(((2 * (SUMIFS(Table1[[AwayWon]:[AwayWon]], Table1[[GameIsOver]:[GameIsOver]], 1, Table1[[AwayTeam]:[AwayTeam]], $A41, Table1[[HomeTeam]:[HomeTeam]], AC$36) + SUMIFS(Table1[[HomeWon]:[HomeWon]], Table1[[GameIsOver]:[GameIsOver]], 1, Table1[[HomeTeam]:[HomeTeam]], $A41, Table1[[AwayTeam]:[AwayTeam]], AC$36))) + (SUMIFS(Table1[[HomeWon]:[HomeWon]], Table1[[GameIsOver]:[GameIsOver]], 1, Table1[[AwayTeam]:[AwayTeam]], $A41, Table1[[HomeTeam]:[HomeTeam]],  AC$36, Table1[[ActualResult]:[ActualResult]], "OT") + SUMIFS(Table1[[AwayWon]:[AwayWon]], Table1[[GameIsOver]:[GameIsOver]], 1, Table1[[HomeTeam]:[HomeTeam]], $A41, Table1[[AwayTeam]:[AwayTeam]], AC$36, Table1[[ActualResult]:[ActualResult]], "OT") + SUMIFS(Table1[[HomeWon]:[HomeWon]], Table1[[GameIsOver]:[GameIsOver]], 1, Table1[[AwayTeam]:[AwayTeam]], $A41, Table1[[HomeTeam]:[HomeTeam]], AC$36, Table1[[ActualResult]:[ActualResult]], "SO") + SUMIFS(Table1[[AwayWon]:[AwayWon]], Table1[[GameIsOver]:[GameIsOver]], 1, Table1[[HomeTeam]:[HomeTeam]], $A41, Table1[[AwayTeam]:[AwayTeam]], AC$36, Table1[[ActualResult]:[ActualResult]], "SO")))/ (2*((COUNTIFS(Table1[[GameIsOver]:[GameIsOver]],1,Table1[[AwayTeam]:[AwayTeam]],$A41, Table1[[HomeTeam]:[HomeTeam]], AC$36)))+( COUNTIFS(Table1[[GameIsOver]:[GameIsOver]],1,Table1[[AwayTeam]:[AwayTeam]],AC$36, Table1[[HomeTeam]:[HomeTeam]],$A41))), "")</f>
        <v/>
      </c>
      <c r="AD41" s="36" t="str">
        <f>IFERROR(((2 * (SUMIFS(Table1[[AwayWon]:[AwayWon]], Table1[[GameIsOver]:[GameIsOver]], 1, Table1[[AwayTeam]:[AwayTeam]], $A41, Table1[[HomeTeam]:[HomeTeam]], AD$36) + SUMIFS(Table1[[HomeWon]:[HomeWon]], Table1[[GameIsOver]:[GameIsOver]], 1, Table1[[HomeTeam]:[HomeTeam]], $A41, Table1[[AwayTeam]:[AwayTeam]], AD$36))) + (SUMIFS(Table1[[HomeWon]:[HomeWon]], Table1[[GameIsOver]:[GameIsOver]], 1, Table1[[AwayTeam]:[AwayTeam]], $A41, Table1[[HomeTeam]:[HomeTeam]],  AD$36, Table1[[ActualResult]:[ActualResult]], "OT") + SUMIFS(Table1[[AwayWon]:[AwayWon]], Table1[[GameIsOver]:[GameIsOver]], 1, Table1[[HomeTeam]:[HomeTeam]], $A41, Table1[[AwayTeam]:[AwayTeam]], AD$36, Table1[[ActualResult]:[ActualResult]], "OT") + SUMIFS(Table1[[HomeWon]:[HomeWon]], Table1[[GameIsOver]:[GameIsOver]], 1, Table1[[AwayTeam]:[AwayTeam]], $A41, Table1[[HomeTeam]:[HomeTeam]], AD$36, Table1[[ActualResult]:[ActualResult]], "SO") + SUMIFS(Table1[[AwayWon]:[AwayWon]], Table1[[GameIsOver]:[GameIsOver]], 1, Table1[[HomeTeam]:[HomeTeam]], $A41, Table1[[AwayTeam]:[AwayTeam]], AD$36, Table1[[ActualResult]:[ActualResult]], "SO")))/ (2*((COUNTIFS(Table1[[GameIsOver]:[GameIsOver]],1,Table1[[AwayTeam]:[AwayTeam]],$A41, Table1[[HomeTeam]:[HomeTeam]], AD$36)))+( COUNTIFS(Table1[[GameIsOver]:[GameIsOver]],1,Table1[[AwayTeam]:[AwayTeam]],AD$36, Table1[[HomeTeam]:[HomeTeam]],$A41))), "")</f>
        <v/>
      </c>
      <c r="AE41" s="36" t="str">
        <f>IFERROR(((2 * (SUMIFS(Table1[[AwayWon]:[AwayWon]], Table1[[GameIsOver]:[GameIsOver]], 1, Table1[[AwayTeam]:[AwayTeam]], $A41, Table1[[HomeTeam]:[HomeTeam]], AE$36) + SUMIFS(Table1[[HomeWon]:[HomeWon]], Table1[[GameIsOver]:[GameIsOver]], 1, Table1[[HomeTeam]:[HomeTeam]], $A41, Table1[[AwayTeam]:[AwayTeam]], AE$36))) + (SUMIFS(Table1[[HomeWon]:[HomeWon]], Table1[[GameIsOver]:[GameIsOver]], 1, Table1[[AwayTeam]:[AwayTeam]], $A41, Table1[[HomeTeam]:[HomeTeam]],  AE$36, Table1[[ActualResult]:[ActualResult]], "OT") + SUMIFS(Table1[[AwayWon]:[AwayWon]], Table1[[GameIsOver]:[GameIsOver]], 1, Table1[[HomeTeam]:[HomeTeam]], $A41, Table1[[AwayTeam]:[AwayTeam]], AE$36, Table1[[ActualResult]:[ActualResult]], "OT") + SUMIFS(Table1[[HomeWon]:[HomeWon]], Table1[[GameIsOver]:[GameIsOver]], 1, Table1[[AwayTeam]:[AwayTeam]], $A41, Table1[[HomeTeam]:[HomeTeam]], AE$36, Table1[[ActualResult]:[ActualResult]], "SO") + SUMIFS(Table1[[AwayWon]:[AwayWon]], Table1[[GameIsOver]:[GameIsOver]], 1, Table1[[HomeTeam]:[HomeTeam]], $A41, Table1[[AwayTeam]:[AwayTeam]], AE$36, Table1[[ActualResult]:[ActualResult]], "SO")))/ (2*((COUNTIFS(Table1[[GameIsOver]:[GameIsOver]],1,Table1[[AwayTeam]:[AwayTeam]],$A41, Table1[[HomeTeam]:[HomeTeam]], AE$36)))+( COUNTIFS(Table1[[GameIsOver]:[GameIsOver]],1,Table1[[AwayTeam]:[AwayTeam]],AE$36, Table1[[HomeTeam]:[HomeTeam]],$A41))), "")</f>
        <v/>
      </c>
      <c r="AF41" s="36" t="str">
        <f>IFERROR(((2 * (SUMIFS(Table1[[AwayWon]:[AwayWon]], Table1[[GameIsOver]:[GameIsOver]], 1, Table1[[AwayTeam]:[AwayTeam]], $A41, Table1[[HomeTeam]:[HomeTeam]], AF$36) + SUMIFS(Table1[[HomeWon]:[HomeWon]], Table1[[GameIsOver]:[GameIsOver]], 1, Table1[[HomeTeam]:[HomeTeam]], $A41, Table1[[AwayTeam]:[AwayTeam]], AF$36))) + (SUMIFS(Table1[[HomeWon]:[HomeWon]], Table1[[GameIsOver]:[GameIsOver]], 1, Table1[[AwayTeam]:[AwayTeam]], $A41, Table1[[HomeTeam]:[HomeTeam]],  AF$36, Table1[[ActualResult]:[ActualResult]], "OT") + SUMIFS(Table1[[AwayWon]:[AwayWon]], Table1[[GameIsOver]:[GameIsOver]], 1, Table1[[HomeTeam]:[HomeTeam]], $A41, Table1[[AwayTeam]:[AwayTeam]], AF$36, Table1[[ActualResult]:[ActualResult]], "OT") + SUMIFS(Table1[[HomeWon]:[HomeWon]], Table1[[GameIsOver]:[GameIsOver]], 1, Table1[[AwayTeam]:[AwayTeam]], $A41, Table1[[HomeTeam]:[HomeTeam]], AF$36, Table1[[ActualResult]:[ActualResult]], "SO") + SUMIFS(Table1[[AwayWon]:[AwayWon]], Table1[[GameIsOver]:[GameIsOver]], 1, Table1[[HomeTeam]:[HomeTeam]], $A41, Table1[[AwayTeam]:[AwayTeam]], AF$36, Table1[[ActualResult]:[ActualResult]], "SO")))/ (2*((COUNTIFS(Table1[[GameIsOver]:[GameIsOver]],1,Table1[[AwayTeam]:[AwayTeam]],$A41, Table1[[HomeTeam]:[HomeTeam]], AF$36)))+( COUNTIFS(Table1[[GameIsOver]:[GameIsOver]],1,Table1[[AwayTeam]:[AwayTeam]],AF$36, Table1[[HomeTeam]:[HomeTeam]],$A41))), "")</f>
        <v/>
      </c>
      <c r="AG41" s="36" t="str">
        <f>IFERROR(((2 * (SUMIFS(Table1[[AwayWon]:[AwayWon]], Table1[[GameIsOver]:[GameIsOver]], 1, Table1[[AwayTeam]:[AwayTeam]], $A41, Table1[[HomeTeam]:[HomeTeam]], AG$36) + SUMIFS(Table1[[HomeWon]:[HomeWon]], Table1[[GameIsOver]:[GameIsOver]], 1, Table1[[HomeTeam]:[HomeTeam]], $A41, Table1[[AwayTeam]:[AwayTeam]], AG$36))) + (SUMIFS(Table1[[HomeWon]:[HomeWon]], Table1[[GameIsOver]:[GameIsOver]], 1, Table1[[AwayTeam]:[AwayTeam]], $A41, Table1[[HomeTeam]:[HomeTeam]],  AG$36, Table1[[ActualResult]:[ActualResult]], "OT") + SUMIFS(Table1[[AwayWon]:[AwayWon]], Table1[[GameIsOver]:[GameIsOver]], 1, Table1[[HomeTeam]:[HomeTeam]], $A41, Table1[[AwayTeam]:[AwayTeam]], AG$36, Table1[[ActualResult]:[ActualResult]], "OT") + SUMIFS(Table1[[HomeWon]:[HomeWon]], Table1[[GameIsOver]:[GameIsOver]], 1, Table1[[AwayTeam]:[AwayTeam]], $A41, Table1[[HomeTeam]:[HomeTeam]], AG$36, Table1[[ActualResult]:[ActualResult]], "SO") + SUMIFS(Table1[[AwayWon]:[AwayWon]], Table1[[GameIsOver]:[GameIsOver]], 1, Table1[[HomeTeam]:[HomeTeam]], $A41, Table1[[AwayTeam]:[AwayTeam]], AG$36, Table1[[ActualResult]:[ActualResult]], "SO")))/ (2*((COUNTIFS(Table1[[GameIsOver]:[GameIsOver]],1,Table1[[AwayTeam]:[AwayTeam]],$A41, Table1[[HomeTeam]:[HomeTeam]], AG$36)))+( COUNTIFS(Table1[[GameIsOver]:[GameIsOver]],1,Table1[[AwayTeam]:[AwayTeam]],AG$36, Table1[[HomeTeam]:[HomeTeam]],$A41))), "")</f>
        <v/>
      </c>
      <c r="AH41" s="37" t="e">
        <f t="shared" si="0"/>
        <v>#DIV/0!</v>
      </c>
      <c r="AI41" s="37">
        <f t="shared" si="1"/>
        <v>1</v>
      </c>
      <c r="AJ41" s="38" t="e">
        <f t="shared" si="2"/>
        <v>#DIV/0!</v>
      </c>
      <c r="AK41" s="38" t="e">
        <f t="shared" si="3"/>
        <v>#DIV/0!</v>
      </c>
      <c r="AL41" s="38" t="e">
        <f t="shared" si="4"/>
        <v>#DIV/0!</v>
      </c>
      <c r="AM41" s="38">
        <f t="shared" si="5"/>
        <v>1</v>
      </c>
    </row>
    <row r="42" spans="1:39" x14ac:dyDescent="0.25">
      <c r="A42" s="17" t="s">
        <v>55</v>
      </c>
      <c r="B42" s="36" t="str">
        <f>IFERROR(((2 * (SUMIFS(Table1[[AwayWon]:[AwayWon]], Table1[[GameIsOver]:[GameIsOver]], 1, Table1[[AwayTeam]:[AwayTeam]], $A42, Table1[[HomeTeam]:[HomeTeam]], B$36) + SUMIFS(Table1[[HomeWon]:[HomeWon]], Table1[[GameIsOver]:[GameIsOver]], 1, Table1[[HomeTeam]:[HomeTeam]], $A42, Table1[[AwayTeam]:[AwayTeam]], B$36))) + (SUMIFS(Table1[[HomeWon]:[HomeWon]], Table1[[GameIsOver]:[GameIsOver]], 1, Table1[[AwayTeam]:[AwayTeam]], $A42, Table1[[HomeTeam]:[HomeTeam]],  B$36, Table1[[ActualResult]:[ActualResult]], "OT") + SUMIFS(Table1[[AwayWon]:[AwayWon]], Table1[[GameIsOver]:[GameIsOver]], 1, Table1[[HomeTeam]:[HomeTeam]], $A42, Table1[[AwayTeam]:[AwayTeam]], B$36, Table1[[ActualResult]:[ActualResult]], "OT") + SUMIFS(Table1[[HomeWon]:[HomeWon]], Table1[[GameIsOver]:[GameIsOver]], 1, Table1[[AwayTeam]:[AwayTeam]], $A42, Table1[[HomeTeam]:[HomeTeam]], B$36, Table1[[ActualResult]:[ActualResult]], "SO") + SUMIFS(Table1[[AwayWon]:[AwayWon]], Table1[[GameIsOver]:[GameIsOver]], 1, Table1[[HomeTeam]:[HomeTeam]], $A42, Table1[[AwayTeam]:[AwayTeam]], B$36, Table1[[ActualResult]:[ActualResult]], "SO")))/ (2*((COUNTIFS(Table1[[GameIsOver]:[GameIsOver]],1,Table1[[AwayTeam]:[AwayTeam]],$A42, Table1[[HomeTeam]:[HomeTeam]], B$36)))+( COUNTIFS(Table1[[GameIsOver]:[GameIsOver]],1,Table1[[AwayTeam]:[AwayTeam]],B$36, Table1[[HomeTeam]:[HomeTeam]],$A42))), "")</f>
        <v/>
      </c>
      <c r="C42" s="36" t="str">
        <f>IFERROR(((2 * (SUMIFS(Table1[[AwayWon]:[AwayWon]], Table1[[GameIsOver]:[GameIsOver]], 1, Table1[[AwayTeam]:[AwayTeam]], $A42, Table1[[HomeTeam]:[HomeTeam]], C$36) + SUMIFS(Table1[[HomeWon]:[HomeWon]], Table1[[GameIsOver]:[GameIsOver]], 1, Table1[[HomeTeam]:[HomeTeam]], $A42, Table1[[AwayTeam]:[AwayTeam]], C$36))) + (SUMIFS(Table1[[HomeWon]:[HomeWon]], Table1[[GameIsOver]:[GameIsOver]], 1, Table1[[AwayTeam]:[AwayTeam]], $A42, Table1[[HomeTeam]:[HomeTeam]],  C$36, Table1[[ActualResult]:[ActualResult]], "OT") + SUMIFS(Table1[[AwayWon]:[AwayWon]], Table1[[GameIsOver]:[GameIsOver]], 1, Table1[[HomeTeam]:[HomeTeam]], $A42, Table1[[AwayTeam]:[AwayTeam]], C$36, Table1[[ActualResult]:[ActualResult]], "OT") + SUMIFS(Table1[[HomeWon]:[HomeWon]], Table1[[GameIsOver]:[GameIsOver]], 1, Table1[[AwayTeam]:[AwayTeam]], $A42, Table1[[HomeTeam]:[HomeTeam]], C$36, Table1[[ActualResult]:[ActualResult]], "SO") + SUMIFS(Table1[[AwayWon]:[AwayWon]], Table1[[GameIsOver]:[GameIsOver]], 1, Table1[[HomeTeam]:[HomeTeam]], $A42, Table1[[AwayTeam]:[AwayTeam]], C$36, Table1[[ActualResult]:[ActualResult]], "SO")))/ (2*((COUNTIFS(Table1[[GameIsOver]:[GameIsOver]],1,Table1[[AwayTeam]:[AwayTeam]],$A42, Table1[[HomeTeam]:[HomeTeam]], C$36)))+( COUNTIFS(Table1[[GameIsOver]:[GameIsOver]],1,Table1[[AwayTeam]:[AwayTeam]],C$36, Table1[[HomeTeam]:[HomeTeam]],$A42))), "")</f>
        <v/>
      </c>
      <c r="D42" s="36" t="str">
        <f>IFERROR(((2 * (SUMIFS(Table1[[AwayWon]:[AwayWon]], Table1[[GameIsOver]:[GameIsOver]], 1, Table1[[AwayTeam]:[AwayTeam]], $A42, Table1[[HomeTeam]:[HomeTeam]], D$36) + SUMIFS(Table1[[HomeWon]:[HomeWon]], Table1[[GameIsOver]:[GameIsOver]], 1, Table1[[HomeTeam]:[HomeTeam]], $A42, Table1[[AwayTeam]:[AwayTeam]], D$36))) + (SUMIFS(Table1[[HomeWon]:[HomeWon]], Table1[[GameIsOver]:[GameIsOver]], 1, Table1[[AwayTeam]:[AwayTeam]], $A42, Table1[[HomeTeam]:[HomeTeam]],  D$36, Table1[[ActualResult]:[ActualResult]], "OT") + SUMIFS(Table1[[AwayWon]:[AwayWon]], Table1[[GameIsOver]:[GameIsOver]], 1, Table1[[HomeTeam]:[HomeTeam]], $A42, Table1[[AwayTeam]:[AwayTeam]], D$36, Table1[[ActualResult]:[ActualResult]], "OT") + SUMIFS(Table1[[HomeWon]:[HomeWon]], Table1[[GameIsOver]:[GameIsOver]], 1, Table1[[AwayTeam]:[AwayTeam]], $A42, Table1[[HomeTeam]:[HomeTeam]], D$36, Table1[[ActualResult]:[ActualResult]], "SO") + SUMIFS(Table1[[AwayWon]:[AwayWon]], Table1[[GameIsOver]:[GameIsOver]], 1, Table1[[HomeTeam]:[HomeTeam]], $A42, Table1[[AwayTeam]:[AwayTeam]], D$36, Table1[[ActualResult]:[ActualResult]], "SO")))/ (2*((COUNTIFS(Table1[[GameIsOver]:[GameIsOver]],1,Table1[[AwayTeam]:[AwayTeam]],$A42, Table1[[HomeTeam]:[HomeTeam]], D$36)))+( COUNTIFS(Table1[[GameIsOver]:[GameIsOver]],1,Table1[[AwayTeam]:[AwayTeam]],D$36, Table1[[HomeTeam]:[HomeTeam]],$A42))), "")</f>
        <v/>
      </c>
      <c r="E42" s="36" t="str">
        <f>IFERROR(((2 * (SUMIFS(Table1[[AwayWon]:[AwayWon]], Table1[[GameIsOver]:[GameIsOver]], 1, Table1[[AwayTeam]:[AwayTeam]], $A42, Table1[[HomeTeam]:[HomeTeam]], E$36) + SUMIFS(Table1[[HomeWon]:[HomeWon]], Table1[[GameIsOver]:[GameIsOver]], 1, Table1[[HomeTeam]:[HomeTeam]], $A42, Table1[[AwayTeam]:[AwayTeam]], E$36))) + (SUMIFS(Table1[[HomeWon]:[HomeWon]], Table1[[GameIsOver]:[GameIsOver]], 1, Table1[[AwayTeam]:[AwayTeam]], $A42, Table1[[HomeTeam]:[HomeTeam]],  E$36, Table1[[ActualResult]:[ActualResult]], "OT") + SUMIFS(Table1[[AwayWon]:[AwayWon]], Table1[[GameIsOver]:[GameIsOver]], 1, Table1[[HomeTeam]:[HomeTeam]], $A42, Table1[[AwayTeam]:[AwayTeam]], E$36, Table1[[ActualResult]:[ActualResult]], "OT") + SUMIFS(Table1[[HomeWon]:[HomeWon]], Table1[[GameIsOver]:[GameIsOver]], 1, Table1[[AwayTeam]:[AwayTeam]], $A42, Table1[[HomeTeam]:[HomeTeam]], E$36, Table1[[ActualResult]:[ActualResult]], "SO") + SUMIFS(Table1[[AwayWon]:[AwayWon]], Table1[[GameIsOver]:[GameIsOver]], 1, Table1[[HomeTeam]:[HomeTeam]], $A42, Table1[[AwayTeam]:[AwayTeam]], E$36, Table1[[ActualResult]:[ActualResult]], "SO")))/ (2*((COUNTIFS(Table1[[GameIsOver]:[GameIsOver]],1,Table1[[AwayTeam]:[AwayTeam]],$A42, Table1[[HomeTeam]:[HomeTeam]], E$36)))+( COUNTIFS(Table1[[GameIsOver]:[GameIsOver]],1,Table1[[AwayTeam]:[AwayTeam]],E$36, Table1[[HomeTeam]:[HomeTeam]],$A42))), "")</f>
        <v/>
      </c>
      <c r="F42" s="36" t="str">
        <f>IFERROR(((2 * (SUMIFS(Table1[[AwayWon]:[AwayWon]], Table1[[GameIsOver]:[GameIsOver]], 1, Table1[[AwayTeam]:[AwayTeam]], $A42, Table1[[HomeTeam]:[HomeTeam]], F$36) + SUMIFS(Table1[[HomeWon]:[HomeWon]], Table1[[GameIsOver]:[GameIsOver]], 1, Table1[[HomeTeam]:[HomeTeam]], $A42, Table1[[AwayTeam]:[AwayTeam]], F$36))) + (SUMIFS(Table1[[HomeWon]:[HomeWon]], Table1[[GameIsOver]:[GameIsOver]], 1, Table1[[AwayTeam]:[AwayTeam]], $A42, Table1[[HomeTeam]:[HomeTeam]],  F$36, Table1[[ActualResult]:[ActualResult]], "OT") + SUMIFS(Table1[[AwayWon]:[AwayWon]], Table1[[GameIsOver]:[GameIsOver]], 1, Table1[[HomeTeam]:[HomeTeam]], $A42, Table1[[AwayTeam]:[AwayTeam]], F$36, Table1[[ActualResult]:[ActualResult]], "OT") + SUMIFS(Table1[[HomeWon]:[HomeWon]], Table1[[GameIsOver]:[GameIsOver]], 1, Table1[[AwayTeam]:[AwayTeam]], $A42, Table1[[HomeTeam]:[HomeTeam]], F$36, Table1[[ActualResult]:[ActualResult]], "SO") + SUMIFS(Table1[[AwayWon]:[AwayWon]], Table1[[GameIsOver]:[GameIsOver]], 1, Table1[[HomeTeam]:[HomeTeam]], $A42, Table1[[AwayTeam]:[AwayTeam]], F$36, Table1[[ActualResult]:[ActualResult]], "SO")))/ (2*((COUNTIFS(Table1[[GameIsOver]:[GameIsOver]],1,Table1[[AwayTeam]:[AwayTeam]],$A42, Table1[[HomeTeam]:[HomeTeam]], F$36)))+( COUNTIFS(Table1[[GameIsOver]:[GameIsOver]],1,Table1[[AwayTeam]:[AwayTeam]],F$36, Table1[[HomeTeam]:[HomeTeam]],$A42))), "")</f>
        <v/>
      </c>
      <c r="G42" s="36" t="str">
        <f>IFERROR(((2 * (SUMIFS(Table1[[AwayWon]:[AwayWon]], Table1[[GameIsOver]:[GameIsOver]], 1, Table1[[AwayTeam]:[AwayTeam]], $A42, Table1[[HomeTeam]:[HomeTeam]], G$36) + SUMIFS(Table1[[HomeWon]:[HomeWon]], Table1[[GameIsOver]:[GameIsOver]], 1, Table1[[HomeTeam]:[HomeTeam]], $A42, Table1[[AwayTeam]:[AwayTeam]], G$36))) + (SUMIFS(Table1[[HomeWon]:[HomeWon]], Table1[[GameIsOver]:[GameIsOver]], 1, Table1[[AwayTeam]:[AwayTeam]], $A42, Table1[[HomeTeam]:[HomeTeam]],  G$36, Table1[[ActualResult]:[ActualResult]], "OT") + SUMIFS(Table1[[AwayWon]:[AwayWon]], Table1[[GameIsOver]:[GameIsOver]], 1, Table1[[HomeTeam]:[HomeTeam]], $A42, Table1[[AwayTeam]:[AwayTeam]], G$36, Table1[[ActualResult]:[ActualResult]], "OT") + SUMIFS(Table1[[HomeWon]:[HomeWon]], Table1[[GameIsOver]:[GameIsOver]], 1, Table1[[AwayTeam]:[AwayTeam]], $A42, Table1[[HomeTeam]:[HomeTeam]], G$36, Table1[[ActualResult]:[ActualResult]], "SO") + SUMIFS(Table1[[AwayWon]:[AwayWon]], Table1[[GameIsOver]:[GameIsOver]], 1, Table1[[HomeTeam]:[HomeTeam]], $A42, Table1[[AwayTeam]:[AwayTeam]], G$36, Table1[[ActualResult]:[ActualResult]], "SO")))/ (2*((COUNTIFS(Table1[[GameIsOver]:[GameIsOver]],1,Table1[[AwayTeam]:[AwayTeam]],$A42, Table1[[HomeTeam]:[HomeTeam]], G$36)))+( COUNTIFS(Table1[[GameIsOver]:[GameIsOver]],1,Table1[[AwayTeam]:[AwayTeam]],G$36, Table1[[HomeTeam]:[HomeTeam]],$A42))), "")</f>
        <v/>
      </c>
      <c r="H42" s="36" t="str">
        <f>IFERROR(((2 * (SUMIFS(Table1[[AwayWon]:[AwayWon]], Table1[[GameIsOver]:[GameIsOver]], 1, Table1[[AwayTeam]:[AwayTeam]], $A42, Table1[[HomeTeam]:[HomeTeam]], H$36) + SUMIFS(Table1[[HomeWon]:[HomeWon]], Table1[[GameIsOver]:[GameIsOver]], 1, Table1[[HomeTeam]:[HomeTeam]], $A42, Table1[[AwayTeam]:[AwayTeam]], H$36))) + (SUMIFS(Table1[[HomeWon]:[HomeWon]], Table1[[GameIsOver]:[GameIsOver]], 1, Table1[[AwayTeam]:[AwayTeam]], $A42, Table1[[HomeTeam]:[HomeTeam]],  H$36, Table1[[ActualResult]:[ActualResult]], "OT") + SUMIFS(Table1[[AwayWon]:[AwayWon]], Table1[[GameIsOver]:[GameIsOver]], 1, Table1[[HomeTeam]:[HomeTeam]], $A42, Table1[[AwayTeam]:[AwayTeam]], H$36, Table1[[ActualResult]:[ActualResult]], "OT") + SUMIFS(Table1[[HomeWon]:[HomeWon]], Table1[[GameIsOver]:[GameIsOver]], 1, Table1[[AwayTeam]:[AwayTeam]], $A42, Table1[[HomeTeam]:[HomeTeam]], H$36, Table1[[ActualResult]:[ActualResult]], "SO") + SUMIFS(Table1[[AwayWon]:[AwayWon]], Table1[[GameIsOver]:[GameIsOver]], 1, Table1[[HomeTeam]:[HomeTeam]], $A42, Table1[[AwayTeam]:[AwayTeam]], H$36, Table1[[ActualResult]:[ActualResult]], "SO")))/ (2*((COUNTIFS(Table1[[GameIsOver]:[GameIsOver]],1,Table1[[AwayTeam]:[AwayTeam]],$A42, Table1[[HomeTeam]:[HomeTeam]], H$36)))+( COUNTIFS(Table1[[GameIsOver]:[GameIsOver]],1,Table1[[AwayTeam]:[AwayTeam]],H$36, Table1[[HomeTeam]:[HomeTeam]],$A42))), "")</f>
        <v/>
      </c>
      <c r="I42" s="38" t="str">
        <f>IFERROR(((2 * (SUMIFS(Table1[[AwayWon]:[AwayWon]], Table1[[GameIsOver]:[GameIsOver]], 1, Table1[[AwayTeam]:[AwayTeam]], $A42, Table1[[HomeTeam]:[HomeTeam]], I$36) + SUMIFS(Table1[[HomeWon]:[HomeWon]], Table1[[GameIsOver]:[GameIsOver]], 1, Table1[[HomeTeam]:[HomeTeam]], $A42, Table1[[AwayTeam]:[AwayTeam]], I$36))) + (SUMIFS(Table1[[HomeWon]:[HomeWon]], Table1[[GameIsOver]:[GameIsOver]], 1, Table1[[AwayTeam]:[AwayTeam]], $A42, Table1[[HomeTeam]:[HomeTeam]],  I$36, Table1[[ActualResult]:[ActualResult]], "OT") + SUMIFS(Table1[[AwayWon]:[AwayWon]], Table1[[GameIsOver]:[GameIsOver]], 1, Table1[[HomeTeam]:[HomeTeam]], $A42, Table1[[AwayTeam]:[AwayTeam]], I$36, Table1[[ActualResult]:[ActualResult]], "OT") + SUMIFS(Table1[[HomeWon]:[HomeWon]], Table1[[GameIsOver]:[GameIsOver]], 1, Table1[[AwayTeam]:[AwayTeam]], $A42, Table1[[HomeTeam]:[HomeTeam]], I$36, Table1[[ActualResult]:[ActualResult]], "SO") + SUMIFS(Table1[[AwayWon]:[AwayWon]], Table1[[GameIsOver]:[GameIsOver]], 1, Table1[[HomeTeam]:[HomeTeam]], $A42, Table1[[AwayTeam]:[AwayTeam]], I$36, Table1[[ActualResult]:[ActualResult]], "SO")))/ (2*((COUNTIFS(Table1[[GameIsOver]:[GameIsOver]],1,Table1[[AwayTeam]:[AwayTeam]],$A42, Table1[[HomeTeam]:[HomeTeam]], I$36)))+( COUNTIFS(Table1[[GameIsOver]:[GameIsOver]],1,Table1[[AwayTeam]:[AwayTeam]],I$36, Table1[[HomeTeam]:[HomeTeam]],$A42))), "")</f>
        <v/>
      </c>
      <c r="J42" s="36" t="str">
        <f>IFERROR(((2 * (SUMIFS(Table1[[AwayWon]:[AwayWon]], Table1[[GameIsOver]:[GameIsOver]], 1, Table1[[AwayTeam]:[AwayTeam]], $A42, Table1[[HomeTeam]:[HomeTeam]], J$36) + SUMIFS(Table1[[HomeWon]:[HomeWon]], Table1[[GameIsOver]:[GameIsOver]], 1, Table1[[HomeTeam]:[HomeTeam]], $A42, Table1[[AwayTeam]:[AwayTeam]], J$36))) + (SUMIFS(Table1[[HomeWon]:[HomeWon]], Table1[[GameIsOver]:[GameIsOver]], 1, Table1[[AwayTeam]:[AwayTeam]], $A42, Table1[[HomeTeam]:[HomeTeam]],  J$36, Table1[[ActualResult]:[ActualResult]], "OT") + SUMIFS(Table1[[AwayWon]:[AwayWon]], Table1[[GameIsOver]:[GameIsOver]], 1, Table1[[HomeTeam]:[HomeTeam]], $A42, Table1[[AwayTeam]:[AwayTeam]], J$36, Table1[[ActualResult]:[ActualResult]], "OT") + SUMIFS(Table1[[HomeWon]:[HomeWon]], Table1[[GameIsOver]:[GameIsOver]], 1, Table1[[AwayTeam]:[AwayTeam]], $A42, Table1[[HomeTeam]:[HomeTeam]], J$36, Table1[[ActualResult]:[ActualResult]], "SO") + SUMIFS(Table1[[AwayWon]:[AwayWon]], Table1[[GameIsOver]:[GameIsOver]], 1, Table1[[HomeTeam]:[HomeTeam]], $A42, Table1[[AwayTeam]:[AwayTeam]], J$36, Table1[[ActualResult]:[ActualResult]], "SO")))/ (2*((COUNTIFS(Table1[[GameIsOver]:[GameIsOver]],1,Table1[[AwayTeam]:[AwayTeam]],$A42, Table1[[HomeTeam]:[HomeTeam]], J$36)))+( COUNTIFS(Table1[[GameIsOver]:[GameIsOver]],1,Table1[[AwayTeam]:[AwayTeam]],J$36, Table1[[HomeTeam]:[HomeTeam]],$A42))), "")</f>
        <v/>
      </c>
      <c r="K42" s="36" t="str">
        <f>IFERROR(((2 * (SUMIFS(Table1[[AwayWon]:[AwayWon]], Table1[[GameIsOver]:[GameIsOver]], 1, Table1[[AwayTeam]:[AwayTeam]], $A42, Table1[[HomeTeam]:[HomeTeam]], K$36) + SUMIFS(Table1[[HomeWon]:[HomeWon]], Table1[[GameIsOver]:[GameIsOver]], 1, Table1[[HomeTeam]:[HomeTeam]], $A42, Table1[[AwayTeam]:[AwayTeam]], K$36))) + (SUMIFS(Table1[[HomeWon]:[HomeWon]], Table1[[GameIsOver]:[GameIsOver]], 1, Table1[[AwayTeam]:[AwayTeam]], $A42, Table1[[HomeTeam]:[HomeTeam]],  K$36, Table1[[ActualResult]:[ActualResult]], "OT") + SUMIFS(Table1[[AwayWon]:[AwayWon]], Table1[[GameIsOver]:[GameIsOver]], 1, Table1[[HomeTeam]:[HomeTeam]], $A42, Table1[[AwayTeam]:[AwayTeam]], K$36, Table1[[ActualResult]:[ActualResult]], "OT") + SUMIFS(Table1[[HomeWon]:[HomeWon]], Table1[[GameIsOver]:[GameIsOver]], 1, Table1[[AwayTeam]:[AwayTeam]], $A42, Table1[[HomeTeam]:[HomeTeam]], K$36, Table1[[ActualResult]:[ActualResult]], "SO") + SUMIFS(Table1[[AwayWon]:[AwayWon]], Table1[[GameIsOver]:[GameIsOver]], 1, Table1[[HomeTeam]:[HomeTeam]], $A42, Table1[[AwayTeam]:[AwayTeam]], K$36, Table1[[ActualResult]:[ActualResult]], "SO")))/ (2*((COUNTIFS(Table1[[GameIsOver]:[GameIsOver]],1,Table1[[AwayTeam]:[AwayTeam]],$A42, Table1[[HomeTeam]:[HomeTeam]], K$36)))+( COUNTIFS(Table1[[GameIsOver]:[GameIsOver]],1,Table1[[AwayTeam]:[AwayTeam]],K$36, Table1[[HomeTeam]:[HomeTeam]],$A42))), "")</f>
        <v/>
      </c>
      <c r="L42" s="36" t="str">
        <f>IFERROR(((2 * (SUMIFS(Table1[[AwayWon]:[AwayWon]], Table1[[GameIsOver]:[GameIsOver]], 1, Table1[[AwayTeam]:[AwayTeam]], $A42, Table1[[HomeTeam]:[HomeTeam]], L$36) + SUMIFS(Table1[[HomeWon]:[HomeWon]], Table1[[GameIsOver]:[GameIsOver]], 1, Table1[[HomeTeam]:[HomeTeam]], $A42, Table1[[AwayTeam]:[AwayTeam]], L$36))) + (SUMIFS(Table1[[HomeWon]:[HomeWon]], Table1[[GameIsOver]:[GameIsOver]], 1, Table1[[AwayTeam]:[AwayTeam]], $A42, Table1[[HomeTeam]:[HomeTeam]],  L$36, Table1[[ActualResult]:[ActualResult]], "OT") + SUMIFS(Table1[[AwayWon]:[AwayWon]], Table1[[GameIsOver]:[GameIsOver]], 1, Table1[[HomeTeam]:[HomeTeam]], $A42, Table1[[AwayTeam]:[AwayTeam]], L$36, Table1[[ActualResult]:[ActualResult]], "OT") + SUMIFS(Table1[[HomeWon]:[HomeWon]], Table1[[GameIsOver]:[GameIsOver]], 1, Table1[[AwayTeam]:[AwayTeam]], $A42, Table1[[HomeTeam]:[HomeTeam]], L$36, Table1[[ActualResult]:[ActualResult]], "SO") + SUMIFS(Table1[[AwayWon]:[AwayWon]], Table1[[GameIsOver]:[GameIsOver]], 1, Table1[[HomeTeam]:[HomeTeam]], $A42, Table1[[AwayTeam]:[AwayTeam]], L$36, Table1[[ActualResult]:[ActualResult]], "SO")))/ (2*((COUNTIFS(Table1[[GameIsOver]:[GameIsOver]],1,Table1[[AwayTeam]:[AwayTeam]],$A42, Table1[[HomeTeam]:[HomeTeam]], L$36)))+( COUNTIFS(Table1[[GameIsOver]:[GameIsOver]],1,Table1[[AwayTeam]:[AwayTeam]],L$36, Table1[[HomeTeam]:[HomeTeam]],$A42))), "")</f>
        <v/>
      </c>
      <c r="M42" s="36" t="str">
        <f>IFERROR(((2 * (SUMIFS(Table1[[AwayWon]:[AwayWon]], Table1[[GameIsOver]:[GameIsOver]], 1, Table1[[AwayTeam]:[AwayTeam]], $A42, Table1[[HomeTeam]:[HomeTeam]], M$36) + SUMIFS(Table1[[HomeWon]:[HomeWon]], Table1[[GameIsOver]:[GameIsOver]], 1, Table1[[HomeTeam]:[HomeTeam]], $A42, Table1[[AwayTeam]:[AwayTeam]], M$36))) + (SUMIFS(Table1[[HomeWon]:[HomeWon]], Table1[[GameIsOver]:[GameIsOver]], 1, Table1[[AwayTeam]:[AwayTeam]], $A42, Table1[[HomeTeam]:[HomeTeam]],  M$36, Table1[[ActualResult]:[ActualResult]], "OT") + SUMIFS(Table1[[AwayWon]:[AwayWon]], Table1[[GameIsOver]:[GameIsOver]], 1, Table1[[HomeTeam]:[HomeTeam]], $A42, Table1[[AwayTeam]:[AwayTeam]], M$36, Table1[[ActualResult]:[ActualResult]], "OT") + SUMIFS(Table1[[HomeWon]:[HomeWon]], Table1[[GameIsOver]:[GameIsOver]], 1, Table1[[AwayTeam]:[AwayTeam]], $A42, Table1[[HomeTeam]:[HomeTeam]], M$36, Table1[[ActualResult]:[ActualResult]], "SO") + SUMIFS(Table1[[AwayWon]:[AwayWon]], Table1[[GameIsOver]:[GameIsOver]], 1, Table1[[HomeTeam]:[HomeTeam]], $A42, Table1[[AwayTeam]:[AwayTeam]], M$36, Table1[[ActualResult]:[ActualResult]], "SO")))/ (2*((COUNTIFS(Table1[[GameIsOver]:[GameIsOver]],1,Table1[[AwayTeam]:[AwayTeam]],$A42, Table1[[HomeTeam]:[HomeTeam]], M$36)))+( COUNTIFS(Table1[[GameIsOver]:[GameIsOver]],1,Table1[[AwayTeam]:[AwayTeam]],M$36, Table1[[HomeTeam]:[HomeTeam]],$A42))), "")</f>
        <v/>
      </c>
      <c r="N42" s="36" t="str">
        <f>IFERROR(((2 * (SUMIFS(Table1[[AwayWon]:[AwayWon]], Table1[[GameIsOver]:[GameIsOver]], 1, Table1[[AwayTeam]:[AwayTeam]], $A42, Table1[[HomeTeam]:[HomeTeam]], N$36) + SUMIFS(Table1[[HomeWon]:[HomeWon]], Table1[[GameIsOver]:[GameIsOver]], 1, Table1[[HomeTeam]:[HomeTeam]], $A42, Table1[[AwayTeam]:[AwayTeam]], N$36))) + (SUMIFS(Table1[[HomeWon]:[HomeWon]], Table1[[GameIsOver]:[GameIsOver]], 1, Table1[[AwayTeam]:[AwayTeam]], $A42, Table1[[HomeTeam]:[HomeTeam]],  N$36, Table1[[ActualResult]:[ActualResult]], "OT") + SUMIFS(Table1[[AwayWon]:[AwayWon]], Table1[[GameIsOver]:[GameIsOver]], 1, Table1[[HomeTeam]:[HomeTeam]], $A42, Table1[[AwayTeam]:[AwayTeam]], N$36, Table1[[ActualResult]:[ActualResult]], "OT") + SUMIFS(Table1[[HomeWon]:[HomeWon]], Table1[[GameIsOver]:[GameIsOver]], 1, Table1[[AwayTeam]:[AwayTeam]], $A42, Table1[[HomeTeam]:[HomeTeam]], N$36, Table1[[ActualResult]:[ActualResult]], "SO") + SUMIFS(Table1[[AwayWon]:[AwayWon]], Table1[[GameIsOver]:[GameIsOver]], 1, Table1[[HomeTeam]:[HomeTeam]], $A42, Table1[[AwayTeam]:[AwayTeam]], N$36, Table1[[ActualResult]:[ActualResult]], "SO")))/ (2*((COUNTIFS(Table1[[GameIsOver]:[GameIsOver]],1,Table1[[AwayTeam]:[AwayTeam]],$A42, Table1[[HomeTeam]:[HomeTeam]], N$36)))+( COUNTIFS(Table1[[GameIsOver]:[GameIsOver]],1,Table1[[AwayTeam]:[AwayTeam]],N$36, Table1[[HomeTeam]:[HomeTeam]],$A42))), "")</f>
        <v/>
      </c>
      <c r="O42" s="36" t="str">
        <f>IFERROR(((2 * (SUMIFS(Table1[[AwayWon]:[AwayWon]], Table1[[GameIsOver]:[GameIsOver]], 1, Table1[[AwayTeam]:[AwayTeam]], $A42, Table1[[HomeTeam]:[HomeTeam]], O$36) + SUMIFS(Table1[[HomeWon]:[HomeWon]], Table1[[GameIsOver]:[GameIsOver]], 1, Table1[[HomeTeam]:[HomeTeam]], $A42, Table1[[AwayTeam]:[AwayTeam]], O$36))) + (SUMIFS(Table1[[HomeWon]:[HomeWon]], Table1[[GameIsOver]:[GameIsOver]], 1, Table1[[AwayTeam]:[AwayTeam]], $A42, Table1[[HomeTeam]:[HomeTeam]],  O$36, Table1[[ActualResult]:[ActualResult]], "OT") + SUMIFS(Table1[[AwayWon]:[AwayWon]], Table1[[GameIsOver]:[GameIsOver]], 1, Table1[[HomeTeam]:[HomeTeam]], $A42, Table1[[AwayTeam]:[AwayTeam]], O$36, Table1[[ActualResult]:[ActualResult]], "OT") + SUMIFS(Table1[[HomeWon]:[HomeWon]], Table1[[GameIsOver]:[GameIsOver]], 1, Table1[[AwayTeam]:[AwayTeam]], $A42, Table1[[HomeTeam]:[HomeTeam]], O$36, Table1[[ActualResult]:[ActualResult]], "SO") + SUMIFS(Table1[[AwayWon]:[AwayWon]], Table1[[GameIsOver]:[GameIsOver]], 1, Table1[[HomeTeam]:[HomeTeam]], $A42, Table1[[AwayTeam]:[AwayTeam]], O$36, Table1[[ActualResult]:[ActualResult]], "SO")))/ (2*((COUNTIFS(Table1[[GameIsOver]:[GameIsOver]],1,Table1[[AwayTeam]:[AwayTeam]],$A42, Table1[[HomeTeam]:[HomeTeam]], O$36)))+( COUNTIFS(Table1[[GameIsOver]:[GameIsOver]],1,Table1[[AwayTeam]:[AwayTeam]],O$36, Table1[[HomeTeam]:[HomeTeam]],$A42))), "")</f>
        <v/>
      </c>
      <c r="P42" s="36" t="str">
        <f>IFERROR(((2 * (SUMIFS(Table1[[AwayWon]:[AwayWon]], Table1[[GameIsOver]:[GameIsOver]], 1, Table1[[AwayTeam]:[AwayTeam]], $A42, Table1[[HomeTeam]:[HomeTeam]], P$36) + SUMIFS(Table1[[HomeWon]:[HomeWon]], Table1[[GameIsOver]:[GameIsOver]], 1, Table1[[HomeTeam]:[HomeTeam]], $A42, Table1[[AwayTeam]:[AwayTeam]], P$36))) + (SUMIFS(Table1[[HomeWon]:[HomeWon]], Table1[[GameIsOver]:[GameIsOver]], 1, Table1[[AwayTeam]:[AwayTeam]], $A42, Table1[[HomeTeam]:[HomeTeam]],  P$36, Table1[[ActualResult]:[ActualResult]], "OT") + SUMIFS(Table1[[AwayWon]:[AwayWon]], Table1[[GameIsOver]:[GameIsOver]], 1, Table1[[HomeTeam]:[HomeTeam]], $A42, Table1[[AwayTeam]:[AwayTeam]], P$36, Table1[[ActualResult]:[ActualResult]], "OT") + SUMIFS(Table1[[HomeWon]:[HomeWon]], Table1[[GameIsOver]:[GameIsOver]], 1, Table1[[AwayTeam]:[AwayTeam]], $A42, Table1[[HomeTeam]:[HomeTeam]], P$36, Table1[[ActualResult]:[ActualResult]], "SO") + SUMIFS(Table1[[AwayWon]:[AwayWon]], Table1[[GameIsOver]:[GameIsOver]], 1, Table1[[HomeTeam]:[HomeTeam]], $A42, Table1[[AwayTeam]:[AwayTeam]], P$36, Table1[[ActualResult]:[ActualResult]], "SO")))/ (2*((COUNTIFS(Table1[[GameIsOver]:[GameIsOver]],1,Table1[[AwayTeam]:[AwayTeam]],$A42, Table1[[HomeTeam]:[HomeTeam]], P$36)))+( COUNTIFS(Table1[[GameIsOver]:[GameIsOver]],1,Table1[[AwayTeam]:[AwayTeam]],P$36, Table1[[HomeTeam]:[HomeTeam]],$A42))), "")</f>
        <v/>
      </c>
      <c r="Q42" s="38" t="str">
        <f>IFERROR(((2 * (SUMIFS(Table1[[AwayWon]:[AwayWon]], Table1[[GameIsOver]:[GameIsOver]], 1, Table1[[AwayTeam]:[AwayTeam]], $A42, Table1[[HomeTeam]:[HomeTeam]], Q$36) + SUMIFS(Table1[[HomeWon]:[HomeWon]], Table1[[GameIsOver]:[GameIsOver]], 1, Table1[[HomeTeam]:[HomeTeam]], $A42, Table1[[AwayTeam]:[AwayTeam]], Q$36))) + (SUMIFS(Table1[[HomeWon]:[HomeWon]], Table1[[GameIsOver]:[GameIsOver]], 1, Table1[[AwayTeam]:[AwayTeam]], $A42, Table1[[HomeTeam]:[HomeTeam]],  Q$36, Table1[[ActualResult]:[ActualResult]], "OT") + SUMIFS(Table1[[AwayWon]:[AwayWon]], Table1[[GameIsOver]:[GameIsOver]], 1, Table1[[HomeTeam]:[HomeTeam]], $A42, Table1[[AwayTeam]:[AwayTeam]], Q$36, Table1[[ActualResult]:[ActualResult]], "OT") + SUMIFS(Table1[[HomeWon]:[HomeWon]], Table1[[GameIsOver]:[GameIsOver]], 1, Table1[[AwayTeam]:[AwayTeam]], $A42, Table1[[HomeTeam]:[HomeTeam]], Q$36, Table1[[ActualResult]:[ActualResult]], "SO") + SUMIFS(Table1[[AwayWon]:[AwayWon]], Table1[[GameIsOver]:[GameIsOver]], 1, Table1[[HomeTeam]:[HomeTeam]], $A42, Table1[[AwayTeam]:[AwayTeam]], Q$36, Table1[[ActualResult]:[ActualResult]], "SO")))/ (2*((COUNTIFS(Table1[[GameIsOver]:[GameIsOver]],1,Table1[[AwayTeam]:[AwayTeam]],$A42, Table1[[HomeTeam]:[HomeTeam]], Q$36)))+( COUNTIFS(Table1[[GameIsOver]:[GameIsOver]],1,Table1[[AwayTeam]:[AwayTeam]],Q$36, Table1[[HomeTeam]:[HomeTeam]],$A42))), "")</f>
        <v/>
      </c>
      <c r="R42" s="36" t="str">
        <f>IFERROR(((2 * (SUMIFS(Table1[[AwayWon]:[AwayWon]], Table1[[GameIsOver]:[GameIsOver]], 1, Table1[[AwayTeam]:[AwayTeam]], $A42, Table1[[HomeTeam]:[HomeTeam]], R$36) + SUMIFS(Table1[[HomeWon]:[HomeWon]], Table1[[GameIsOver]:[GameIsOver]], 1, Table1[[HomeTeam]:[HomeTeam]], $A42, Table1[[AwayTeam]:[AwayTeam]], R$36))) + (SUMIFS(Table1[[HomeWon]:[HomeWon]], Table1[[GameIsOver]:[GameIsOver]], 1, Table1[[AwayTeam]:[AwayTeam]], $A42, Table1[[HomeTeam]:[HomeTeam]],  R$36, Table1[[ActualResult]:[ActualResult]], "OT") + SUMIFS(Table1[[AwayWon]:[AwayWon]], Table1[[GameIsOver]:[GameIsOver]], 1, Table1[[HomeTeam]:[HomeTeam]], $A42, Table1[[AwayTeam]:[AwayTeam]], R$36, Table1[[ActualResult]:[ActualResult]], "OT") + SUMIFS(Table1[[HomeWon]:[HomeWon]], Table1[[GameIsOver]:[GameIsOver]], 1, Table1[[AwayTeam]:[AwayTeam]], $A42, Table1[[HomeTeam]:[HomeTeam]], R$36, Table1[[ActualResult]:[ActualResult]], "SO") + SUMIFS(Table1[[AwayWon]:[AwayWon]], Table1[[GameIsOver]:[GameIsOver]], 1, Table1[[HomeTeam]:[HomeTeam]], $A42, Table1[[AwayTeam]:[AwayTeam]], R$36, Table1[[ActualResult]:[ActualResult]], "SO")))/ (2*((COUNTIFS(Table1[[GameIsOver]:[GameIsOver]],1,Table1[[AwayTeam]:[AwayTeam]],$A42, Table1[[HomeTeam]:[HomeTeam]], R$36)))+( COUNTIFS(Table1[[GameIsOver]:[GameIsOver]],1,Table1[[AwayTeam]:[AwayTeam]],R$36, Table1[[HomeTeam]:[HomeTeam]],$A42))), "")</f>
        <v/>
      </c>
      <c r="S42" s="36" t="str">
        <f>IFERROR(((2 * (SUMIFS(Table1[[AwayWon]:[AwayWon]], Table1[[GameIsOver]:[GameIsOver]], 1, Table1[[AwayTeam]:[AwayTeam]], $A42, Table1[[HomeTeam]:[HomeTeam]], S$36) + SUMIFS(Table1[[HomeWon]:[HomeWon]], Table1[[GameIsOver]:[GameIsOver]], 1, Table1[[HomeTeam]:[HomeTeam]], $A42, Table1[[AwayTeam]:[AwayTeam]], S$36))) + (SUMIFS(Table1[[HomeWon]:[HomeWon]], Table1[[GameIsOver]:[GameIsOver]], 1, Table1[[AwayTeam]:[AwayTeam]], $A42, Table1[[HomeTeam]:[HomeTeam]],  S$36, Table1[[ActualResult]:[ActualResult]], "OT") + SUMIFS(Table1[[AwayWon]:[AwayWon]], Table1[[GameIsOver]:[GameIsOver]], 1, Table1[[HomeTeam]:[HomeTeam]], $A42, Table1[[AwayTeam]:[AwayTeam]], S$36, Table1[[ActualResult]:[ActualResult]], "OT") + SUMIFS(Table1[[HomeWon]:[HomeWon]], Table1[[GameIsOver]:[GameIsOver]], 1, Table1[[AwayTeam]:[AwayTeam]], $A42, Table1[[HomeTeam]:[HomeTeam]], S$36, Table1[[ActualResult]:[ActualResult]], "SO") + SUMIFS(Table1[[AwayWon]:[AwayWon]], Table1[[GameIsOver]:[GameIsOver]], 1, Table1[[HomeTeam]:[HomeTeam]], $A42, Table1[[AwayTeam]:[AwayTeam]], S$36, Table1[[ActualResult]:[ActualResult]], "SO")))/ (2*((COUNTIFS(Table1[[GameIsOver]:[GameIsOver]],1,Table1[[AwayTeam]:[AwayTeam]],$A42, Table1[[HomeTeam]:[HomeTeam]], S$36)))+( COUNTIFS(Table1[[GameIsOver]:[GameIsOver]],1,Table1[[AwayTeam]:[AwayTeam]],S$36, Table1[[HomeTeam]:[HomeTeam]],$A42))), "")</f>
        <v/>
      </c>
      <c r="T42" s="36" t="str">
        <f>IFERROR(((2 * (SUMIFS(Table1[[AwayWon]:[AwayWon]], Table1[[GameIsOver]:[GameIsOver]], 1, Table1[[AwayTeam]:[AwayTeam]], $A42, Table1[[HomeTeam]:[HomeTeam]], T$36) + SUMIFS(Table1[[HomeWon]:[HomeWon]], Table1[[GameIsOver]:[GameIsOver]], 1, Table1[[HomeTeam]:[HomeTeam]], $A42, Table1[[AwayTeam]:[AwayTeam]], T$36))) + (SUMIFS(Table1[[HomeWon]:[HomeWon]], Table1[[GameIsOver]:[GameIsOver]], 1, Table1[[AwayTeam]:[AwayTeam]], $A42, Table1[[HomeTeam]:[HomeTeam]],  T$36, Table1[[ActualResult]:[ActualResult]], "OT") + SUMIFS(Table1[[AwayWon]:[AwayWon]], Table1[[GameIsOver]:[GameIsOver]], 1, Table1[[HomeTeam]:[HomeTeam]], $A42, Table1[[AwayTeam]:[AwayTeam]], T$36, Table1[[ActualResult]:[ActualResult]], "OT") + SUMIFS(Table1[[HomeWon]:[HomeWon]], Table1[[GameIsOver]:[GameIsOver]], 1, Table1[[AwayTeam]:[AwayTeam]], $A42, Table1[[HomeTeam]:[HomeTeam]], T$36, Table1[[ActualResult]:[ActualResult]], "SO") + SUMIFS(Table1[[AwayWon]:[AwayWon]], Table1[[GameIsOver]:[GameIsOver]], 1, Table1[[HomeTeam]:[HomeTeam]], $A42, Table1[[AwayTeam]:[AwayTeam]], T$36, Table1[[ActualResult]:[ActualResult]], "SO")))/ (2*((COUNTIFS(Table1[[GameIsOver]:[GameIsOver]],1,Table1[[AwayTeam]:[AwayTeam]],$A42, Table1[[HomeTeam]:[HomeTeam]], T$36)))+( COUNTIFS(Table1[[GameIsOver]:[GameIsOver]],1,Table1[[AwayTeam]:[AwayTeam]],T$36, Table1[[HomeTeam]:[HomeTeam]],$A42))), "")</f>
        <v/>
      </c>
      <c r="U42" s="36" t="str">
        <f>IFERROR(((2 * (SUMIFS(Table1[[AwayWon]:[AwayWon]], Table1[[GameIsOver]:[GameIsOver]], 1, Table1[[AwayTeam]:[AwayTeam]], $A42, Table1[[HomeTeam]:[HomeTeam]], U$36) + SUMIFS(Table1[[HomeWon]:[HomeWon]], Table1[[GameIsOver]:[GameIsOver]], 1, Table1[[HomeTeam]:[HomeTeam]], $A42, Table1[[AwayTeam]:[AwayTeam]], U$36))) + (SUMIFS(Table1[[HomeWon]:[HomeWon]], Table1[[GameIsOver]:[GameIsOver]], 1, Table1[[AwayTeam]:[AwayTeam]], $A42, Table1[[HomeTeam]:[HomeTeam]],  U$36, Table1[[ActualResult]:[ActualResult]], "OT") + SUMIFS(Table1[[AwayWon]:[AwayWon]], Table1[[GameIsOver]:[GameIsOver]], 1, Table1[[HomeTeam]:[HomeTeam]], $A42, Table1[[AwayTeam]:[AwayTeam]], U$36, Table1[[ActualResult]:[ActualResult]], "OT") + SUMIFS(Table1[[HomeWon]:[HomeWon]], Table1[[GameIsOver]:[GameIsOver]], 1, Table1[[AwayTeam]:[AwayTeam]], $A42, Table1[[HomeTeam]:[HomeTeam]], U$36, Table1[[ActualResult]:[ActualResult]], "SO") + SUMIFS(Table1[[AwayWon]:[AwayWon]], Table1[[GameIsOver]:[GameIsOver]], 1, Table1[[HomeTeam]:[HomeTeam]], $A42, Table1[[AwayTeam]:[AwayTeam]], U$36, Table1[[ActualResult]:[ActualResult]], "SO")))/ (2*((COUNTIFS(Table1[[GameIsOver]:[GameIsOver]],1,Table1[[AwayTeam]:[AwayTeam]],$A42, Table1[[HomeTeam]:[HomeTeam]], U$36)))+( COUNTIFS(Table1[[GameIsOver]:[GameIsOver]],1,Table1[[AwayTeam]:[AwayTeam]],U$36, Table1[[HomeTeam]:[HomeTeam]],$A42))), "")</f>
        <v/>
      </c>
      <c r="V42" s="36" t="str">
        <f>IFERROR(((2 * (SUMIFS(Table1[[AwayWon]:[AwayWon]], Table1[[GameIsOver]:[GameIsOver]], 1, Table1[[AwayTeam]:[AwayTeam]], $A42, Table1[[HomeTeam]:[HomeTeam]], V$36) + SUMIFS(Table1[[HomeWon]:[HomeWon]], Table1[[GameIsOver]:[GameIsOver]], 1, Table1[[HomeTeam]:[HomeTeam]], $A42, Table1[[AwayTeam]:[AwayTeam]], V$36))) + (SUMIFS(Table1[[HomeWon]:[HomeWon]], Table1[[GameIsOver]:[GameIsOver]], 1, Table1[[AwayTeam]:[AwayTeam]], $A42, Table1[[HomeTeam]:[HomeTeam]],  V$36, Table1[[ActualResult]:[ActualResult]], "OT") + SUMIFS(Table1[[AwayWon]:[AwayWon]], Table1[[GameIsOver]:[GameIsOver]], 1, Table1[[HomeTeam]:[HomeTeam]], $A42, Table1[[AwayTeam]:[AwayTeam]], V$36, Table1[[ActualResult]:[ActualResult]], "OT") + SUMIFS(Table1[[HomeWon]:[HomeWon]], Table1[[GameIsOver]:[GameIsOver]], 1, Table1[[AwayTeam]:[AwayTeam]], $A42, Table1[[HomeTeam]:[HomeTeam]], V$36, Table1[[ActualResult]:[ActualResult]], "SO") + SUMIFS(Table1[[AwayWon]:[AwayWon]], Table1[[GameIsOver]:[GameIsOver]], 1, Table1[[HomeTeam]:[HomeTeam]], $A42, Table1[[AwayTeam]:[AwayTeam]], V$36, Table1[[ActualResult]:[ActualResult]], "SO")))/ (2*((COUNTIFS(Table1[[GameIsOver]:[GameIsOver]],1,Table1[[AwayTeam]:[AwayTeam]],$A42, Table1[[HomeTeam]:[HomeTeam]], V$36)))+( COUNTIFS(Table1[[GameIsOver]:[GameIsOver]],1,Table1[[AwayTeam]:[AwayTeam]],V$36, Table1[[HomeTeam]:[HomeTeam]],$A42))), "")</f>
        <v/>
      </c>
      <c r="W42" s="36" t="str">
        <f>IFERROR(((2 * (SUMIFS(Table1[[AwayWon]:[AwayWon]], Table1[[GameIsOver]:[GameIsOver]], 1, Table1[[AwayTeam]:[AwayTeam]], $A42, Table1[[HomeTeam]:[HomeTeam]], W$36) + SUMIFS(Table1[[HomeWon]:[HomeWon]], Table1[[GameIsOver]:[GameIsOver]], 1, Table1[[HomeTeam]:[HomeTeam]], $A42, Table1[[AwayTeam]:[AwayTeam]], W$36))) + (SUMIFS(Table1[[HomeWon]:[HomeWon]], Table1[[GameIsOver]:[GameIsOver]], 1, Table1[[AwayTeam]:[AwayTeam]], $A42, Table1[[HomeTeam]:[HomeTeam]],  W$36, Table1[[ActualResult]:[ActualResult]], "OT") + SUMIFS(Table1[[AwayWon]:[AwayWon]], Table1[[GameIsOver]:[GameIsOver]], 1, Table1[[HomeTeam]:[HomeTeam]], $A42, Table1[[AwayTeam]:[AwayTeam]], W$36, Table1[[ActualResult]:[ActualResult]], "OT") + SUMIFS(Table1[[HomeWon]:[HomeWon]], Table1[[GameIsOver]:[GameIsOver]], 1, Table1[[AwayTeam]:[AwayTeam]], $A42, Table1[[HomeTeam]:[HomeTeam]], W$36, Table1[[ActualResult]:[ActualResult]], "SO") + SUMIFS(Table1[[AwayWon]:[AwayWon]], Table1[[GameIsOver]:[GameIsOver]], 1, Table1[[HomeTeam]:[HomeTeam]], $A42, Table1[[AwayTeam]:[AwayTeam]], W$36, Table1[[ActualResult]:[ActualResult]], "SO")))/ (2*((COUNTIFS(Table1[[GameIsOver]:[GameIsOver]],1,Table1[[AwayTeam]:[AwayTeam]],$A42, Table1[[HomeTeam]:[HomeTeam]], W$36)))+( COUNTIFS(Table1[[GameIsOver]:[GameIsOver]],1,Table1[[AwayTeam]:[AwayTeam]],W$36, Table1[[HomeTeam]:[HomeTeam]],$A42))), "")</f>
        <v/>
      </c>
      <c r="X42" s="36" t="str">
        <f>IFERROR(((2 * (SUMIFS(Table1[[AwayWon]:[AwayWon]], Table1[[GameIsOver]:[GameIsOver]], 1, Table1[[AwayTeam]:[AwayTeam]], $A42, Table1[[HomeTeam]:[HomeTeam]], X$36) + SUMIFS(Table1[[HomeWon]:[HomeWon]], Table1[[GameIsOver]:[GameIsOver]], 1, Table1[[HomeTeam]:[HomeTeam]], $A42, Table1[[AwayTeam]:[AwayTeam]], X$36))) + (SUMIFS(Table1[[HomeWon]:[HomeWon]], Table1[[GameIsOver]:[GameIsOver]], 1, Table1[[AwayTeam]:[AwayTeam]], $A42, Table1[[HomeTeam]:[HomeTeam]],  X$36, Table1[[ActualResult]:[ActualResult]], "OT") + SUMIFS(Table1[[AwayWon]:[AwayWon]], Table1[[GameIsOver]:[GameIsOver]], 1, Table1[[HomeTeam]:[HomeTeam]], $A42, Table1[[AwayTeam]:[AwayTeam]], X$36, Table1[[ActualResult]:[ActualResult]], "OT") + SUMIFS(Table1[[HomeWon]:[HomeWon]], Table1[[GameIsOver]:[GameIsOver]], 1, Table1[[AwayTeam]:[AwayTeam]], $A42, Table1[[HomeTeam]:[HomeTeam]], X$36, Table1[[ActualResult]:[ActualResult]], "SO") + SUMIFS(Table1[[AwayWon]:[AwayWon]], Table1[[GameIsOver]:[GameIsOver]], 1, Table1[[HomeTeam]:[HomeTeam]], $A42, Table1[[AwayTeam]:[AwayTeam]], X$36, Table1[[ActualResult]:[ActualResult]], "SO")))/ (2*((COUNTIFS(Table1[[GameIsOver]:[GameIsOver]],1,Table1[[AwayTeam]:[AwayTeam]],$A42, Table1[[HomeTeam]:[HomeTeam]], X$36)))+( COUNTIFS(Table1[[GameIsOver]:[GameIsOver]],1,Table1[[AwayTeam]:[AwayTeam]],X$36, Table1[[HomeTeam]:[HomeTeam]],$A42))), "")</f>
        <v/>
      </c>
      <c r="Y42" s="38" t="str">
        <f>IFERROR(((2 * (SUMIFS(Table1[[AwayWon]:[AwayWon]], Table1[[GameIsOver]:[GameIsOver]], 1, Table1[[AwayTeam]:[AwayTeam]], $A42, Table1[[HomeTeam]:[HomeTeam]], Y$36) + SUMIFS(Table1[[HomeWon]:[HomeWon]], Table1[[GameIsOver]:[GameIsOver]], 1, Table1[[HomeTeam]:[HomeTeam]], $A42, Table1[[AwayTeam]:[AwayTeam]], Y$36))) + (SUMIFS(Table1[[HomeWon]:[HomeWon]], Table1[[GameIsOver]:[GameIsOver]], 1, Table1[[AwayTeam]:[AwayTeam]], $A42, Table1[[HomeTeam]:[HomeTeam]],  Y$36, Table1[[ActualResult]:[ActualResult]], "OT") + SUMIFS(Table1[[AwayWon]:[AwayWon]], Table1[[GameIsOver]:[GameIsOver]], 1, Table1[[HomeTeam]:[HomeTeam]], $A42, Table1[[AwayTeam]:[AwayTeam]], Y$36, Table1[[ActualResult]:[ActualResult]], "OT") + SUMIFS(Table1[[HomeWon]:[HomeWon]], Table1[[GameIsOver]:[GameIsOver]], 1, Table1[[AwayTeam]:[AwayTeam]], $A42, Table1[[HomeTeam]:[HomeTeam]], Y$36, Table1[[ActualResult]:[ActualResult]], "SO") + SUMIFS(Table1[[AwayWon]:[AwayWon]], Table1[[GameIsOver]:[GameIsOver]], 1, Table1[[HomeTeam]:[HomeTeam]], $A42, Table1[[AwayTeam]:[AwayTeam]], Y$36, Table1[[ActualResult]:[ActualResult]], "SO")))/ (2*((COUNTIFS(Table1[[GameIsOver]:[GameIsOver]],1,Table1[[AwayTeam]:[AwayTeam]],$A42, Table1[[HomeTeam]:[HomeTeam]], Y$36)))+( COUNTIFS(Table1[[GameIsOver]:[GameIsOver]],1,Table1[[AwayTeam]:[AwayTeam]],Y$36, Table1[[HomeTeam]:[HomeTeam]],$A42))), "")</f>
        <v/>
      </c>
      <c r="Z42" s="36" t="str">
        <f>IFERROR(((2 * (SUMIFS(Table1[[AwayWon]:[AwayWon]], Table1[[GameIsOver]:[GameIsOver]], 1, Table1[[AwayTeam]:[AwayTeam]], $A42, Table1[[HomeTeam]:[HomeTeam]], Z$36) + SUMIFS(Table1[[HomeWon]:[HomeWon]], Table1[[GameIsOver]:[GameIsOver]], 1, Table1[[HomeTeam]:[HomeTeam]], $A42, Table1[[AwayTeam]:[AwayTeam]], Z$36))) + (SUMIFS(Table1[[HomeWon]:[HomeWon]], Table1[[GameIsOver]:[GameIsOver]], 1, Table1[[AwayTeam]:[AwayTeam]], $A42, Table1[[HomeTeam]:[HomeTeam]],  Z$36, Table1[[ActualResult]:[ActualResult]], "OT") + SUMIFS(Table1[[AwayWon]:[AwayWon]], Table1[[GameIsOver]:[GameIsOver]], 1, Table1[[HomeTeam]:[HomeTeam]], $A42, Table1[[AwayTeam]:[AwayTeam]], Z$36, Table1[[ActualResult]:[ActualResult]], "OT") + SUMIFS(Table1[[HomeWon]:[HomeWon]], Table1[[GameIsOver]:[GameIsOver]], 1, Table1[[AwayTeam]:[AwayTeam]], $A42, Table1[[HomeTeam]:[HomeTeam]], Z$36, Table1[[ActualResult]:[ActualResult]], "SO") + SUMIFS(Table1[[AwayWon]:[AwayWon]], Table1[[GameIsOver]:[GameIsOver]], 1, Table1[[HomeTeam]:[HomeTeam]], $A42, Table1[[AwayTeam]:[AwayTeam]], Z$36, Table1[[ActualResult]:[ActualResult]], "SO")))/ (2*((COUNTIFS(Table1[[GameIsOver]:[GameIsOver]],1,Table1[[AwayTeam]:[AwayTeam]],$A42, Table1[[HomeTeam]:[HomeTeam]], Z$36)))+( COUNTIFS(Table1[[GameIsOver]:[GameIsOver]],1,Table1[[AwayTeam]:[AwayTeam]],Z$36, Table1[[HomeTeam]:[HomeTeam]],$A42))), "")</f>
        <v/>
      </c>
      <c r="AA42" s="36" t="str">
        <f>IFERROR(((2 * (SUMIFS(Table1[[AwayWon]:[AwayWon]], Table1[[GameIsOver]:[GameIsOver]], 1, Table1[[AwayTeam]:[AwayTeam]], $A42, Table1[[HomeTeam]:[HomeTeam]], AA$36) + SUMIFS(Table1[[HomeWon]:[HomeWon]], Table1[[GameIsOver]:[GameIsOver]], 1, Table1[[HomeTeam]:[HomeTeam]], $A42, Table1[[AwayTeam]:[AwayTeam]], AA$36))) + (SUMIFS(Table1[[HomeWon]:[HomeWon]], Table1[[GameIsOver]:[GameIsOver]], 1, Table1[[AwayTeam]:[AwayTeam]], $A42, Table1[[HomeTeam]:[HomeTeam]],  AA$36, Table1[[ActualResult]:[ActualResult]], "OT") + SUMIFS(Table1[[AwayWon]:[AwayWon]], Table1[[GameIsOver]:[GameIsOver]], 1, Table1[[HomeTeam]:[HomeTeam]], $A42, Table1[[AwayTeam]:[AwayTeam]], AA$36, Table1[[ActualResult]:[ActualResult]], "OT") + SUMIFS(Table1[[HomeWon]:[HomeWon]], Table1[[GameIsOver]:[GameIsOver]], 1, Table1[[AwayTeam]:[AwayTeam]], $A42, Table1[[HomeTeam]:[HomeTeam]], AA$36, Table1[[ActualResult]:[ActualResult]], "SO") + SUMIFS(Table1[[AwayWon]:[AwayWon]], Table1[[GameIsOver]:[GameIsOver]], 1, Table1[[HomeTeam]:[HomeTeam]], $A42, Table1[[AwayTeam]:[AwayTeam]], AA$36, Table1[[ActualResult]:[ActualResult]], "SO")))/ (2*((COUNTIFS(Table1[[GameIsOver]:[GameIsOver]],1,Table1[[AwayTeam]:[AwayTeam]],$A42, Table1[[HomeTeam]:[HomeTeam]], AA$36)))+( COUNTIFS(Table1[[GameIsOver]:[GameIsOver]],1,Table1[[AwayTeam]:[AwayTeam]],AA$36, Table1[[HomeTeam]:[HomeTeam]],$A42))), "")</f>
        <v/>
      </c>
      <c r="AB42" s="36" t="str">
        <f>IFERROR(((2 * (SUMIFS(Table1[[AwayWon]:[AwayWon]], Table1[[GameIsOver]:[GameIsOver]], 1, Table1[[AwayTeam]:[AwayTeam]], $A42, Table1[[HomeTeam]:[HomeTeam]], AB$36) + SUMIFS(Table1[[HomeWon]:[HomeWon]], Table1[[GameIsOver]:[GameIsOver]], 1, Table1[[HomeTeam]:[HomeTeam]], $A42, Table1[[AwayTeam]:[AwayTeam]], AB$36))) + (SUMIFS(Table1[[HomeWon]:[HomeWon]], Table1[[GameIsOver]:[GameIsOver]], 1, Table1[[AwayTeam]:[AwayTeam]], $A42, Table1[[HomeTeam]:[HomeTeam]],  AB$36, Table1[[ActualResult]:[ActualResult]], "OT") + SUMIFS(Table1[[AwayWon]:[AwayWon]], Table1[[GameIsOver]:[GameIsOver]], 1, Table1[[HomeTeam]:[HomeTeam]], $A42, Table1[[AwayTeam]:[AwayTeam]], AB$36, Table1[[ActualResult]:[ActualResult]], "OT") + SUMIFS(Table1[[HomeWon]:[HomeWon]], Table1[[GameIsOver]:[GameIsOver]], 1, Table1[[AwayTeam]:[AwayTeam]], $A42, Table1[[HomeTeam]:[HomeTeam]], AB$36, Table1[[ActualResult]:[ActualResult]], "SO") + SUMIFS(Table1[[AwayWon]:[AwayWon]], Table1[[GameIsOver]:[GameIsOver]], 1, Table1[[HomeTeam]:[HomeTeam]], $A42, Table1[[AwayTeam]:[AwayTeam]], AB$36, Table1[[ActualResult]:[ActualResult]], "SO")))/ (2*((COUNTIFS(Table1[[GameIsOver]:[GameIsOver]],1,Table1[[AwayTeam]:[AwayTeam]],$A42, Table1[[HomeTeam]:[HomeTeam]], AB$36)))+( COUNTIFS(Table1[[GameIsOver]:[GameIsOver]],1,Table1[[AwayTeam]:[AwayTeam]],AB$36, Table1[[HomeTeam]:[HomeTeam]],$A42))), "")</f>
        <v/>
      </c>
      <c r="AC42" s="36">
        <f>IFERROR(((2 * (SUMIFS(Table1[[AwayWon]:[AwayWon]], Table1[[GameIsOver]:[GameIsOver]], 1, Table1[[AwayTeam]:[AwayTeam]], $A42, Table1[[HomeTeam]:[HomeTeam]], AC$36) + SUMIFS(Table1[[HomeWon]:[HomeWon]], Table1[[GameIsOver]:[GameIsOver]], 1, Table1[[HomeTeam]:[HomeTeam]], $A42, Table1[[AwayTeam]:[AwayTeam]], AC$36))) + (SUMIFS(Table1[[HomeWon]:[HomeWon]], Table1[[GameIsOver]:[GameIsOver]], 1, Table1[[AwayTeam]:[AwayTeam]], $A42, Table1[[HomeTeam]:[HomeTeam]],  AC$36, Table1[[ActualResult]:[ActualResult]], "OT") + SUMIFS(Table1[[AwayWon]:[AwayWon]], Table1[[GameIsOver]:[GameIsOver]], 1, Table1[[HomeTeam]:[HomeTeam]], $A42, Table1[[AwayTeam]:[AwayTeam]], AC$36, Table1[[ActualResult]:[ActualResult]], "OT") + SUMIFS(Table1[[HomeWon]:[HomeWon]], Table1[[GameIsOver]:[GameIsOver]], 1, Table1[[AwayTeam]:[AwayTeam]], $A42, Table1[[HomeTeam]:[HomeTeam]], AC$36, Table1[[ActualResult]:[ActualResult]], "SO") + SUMIFS(Table1[[AwayWon]:[AwayWon]], Table1[[GameIsOver]:[GameIsOver]], 1, Table1[[HomeTeam]:[HomeTeam]], $A42, Table1[[AwayTeam]:[AwayTeam]], AC$36, Table1[[ActualResult]:[ActualResult]], "SO")))/ (2*((COUNTIFS(Table1[[GameIsOver]:[GameIsOver]],1,Table1[[AwayTeam]:[AwayTeam]],$A42, Table1[[HomeTeam]:[HomeTeam]], AC$36)))+( COUNTIFS(Table1[[GameIsOver]:[GameIsOver]],1,Table1[[AwayTeam]:[AwayTeam]],AC$36, Table1[[HomeTeam]:[HomeTeam]],$A42))), "")</f>
        <v>0</v>
      </c>
      <c r="AD42" s="36" t="str">
        <f>IFERROR(((2 * (SUMIFS(Table1[[AwayWon]:[AwayWon]], Table1[[GameIsOver]:[GameIsOver]], 1, Table1[[AwayTeam]:[AwayTeam]], $A42, Table1[[HomeTeam]:[HomeTeam]], AD$36) + SUMIFS(Table1[[HomeWon]:[HomeWon]], Table1[[GameIsOver]:[GameIsOver]], 1, Table1[[HomeTeam]:[HomeTeam]], $A42, Table1[[AwayTeam]:[AwayTeam]], AD$36))) + (SUMIFS(Table1[[HomeWon]:[HomeWon]], Table1[[GameIsOver]:[GameIsOver]], 1, Table1[[AwayTeam]:[AwayTeam]], $A42, Table1[[HomeTeam]:[HomeTeam]],  AD$36, Table1[[ActualResult]:[ActualResult]], "OT") + SUMIFS(Table1[[AwayWon]:[AwayWon]], Table1[[GameIsOver]:[GameIsOver]], 1, Table1[[HomeTeam]:[HomeTeam]], $A42, Table1[[AwayTeam]:[AwayTeam]], AD$36, Table1[[ActualResult]:[ActualResult]], "OT") + SUMIFS(Table1[[HomeWon]:[HomeWon]], Table1[[GameIsOver]:[GameIsOver]], 1, Table1[[AwayTeam]:[AwayTeam]], $A42, Table1[[HomeTeam]:[HomeTeam]], AD$36, Table1[[ActualResult]:[ActualResult]], "SO") + SUMIFS(Table1[[AwayWon]:[AwayWon]], Table1[[GameIsOver]:[GameIsOver]], 1, Table1[[HomeTeam]:[HomeTeam]], $A42, Table1[[AwayTeam]:[AwayTeam]], AD$36, Table1[[ActualResult]:[ActualResult]], "SO")))/ (2*((COUNTIFS(Table1[[GameIsOver]:[GameIsOver]],1,Table1[[AwayTeam]:[AwayTeam]],$A42, Table1[[HomeTeam]:[HomeTeam]], AD$36)))+( COUNTIFS(Table1[[GameIsOver]:[GameIsOver]],1,Table1[[AwayTeam]:[AwayTeam]],AD$36, Table1[[HomeTeam]:[HomeTeam]],$A42))), "")</f>
        <v/>
      </c>
      <c r="AE42" s="36" t="str">
        <f>IFERROR(((2 * (SUMIFS(Table1[[AwayWon]:[AwayWon]], Table1[[GameIsOver]:[GameIsOver]], 1, Table1[[AwayTeam]:[AwayTeam]], $A42, Table1[[HomeTeam]:[HomeTeam]], AE$36) + SUMIFS(Table1[[HomeWon]:[HomeWon]], Table1[[GameIsOver]:[GameIsOver]], 1, Table1[[HomeTeam]:[HomeTeam]], $A42, Table1[[AwayTeam]:[AwayTeam]], AE$36))) + (SUMIFS(Table1[[HomeWon]:[HomeWon]], Table1[[GameIsOver]:[GameIsOver]], 1, Table1[[AwayTeam]:[AwayTeam]], $A42, Table1[[HomeTeam]:[HomeTeam]],  AE$36, Table1[[ActualResult]:[ActualResult]], "OT") + SUMIFS(Table1[[AwayWon]:[AwayWon]], Table1[[GameIsOver]:[GameIsOver]], 1, Table1[[HomeTeam]:[HomeTeam]], $A42, Table1[[AwayTeam]:[AwayTeam]], AE$36, Table1[[ActualResult]:[ActualResult]], "OT") + SUMIFS(Table1[[HomeWon]:[HomeWon]], Table1[[GameIsOver]:[GameIsOver]], 1, Table1[[AwayTeam]:[AwayTeam]], $A42, Table1[[HomeTeam]:[HomeTeam]], AE$36, Table1[[ActualResult]:[ActualResult]], "SO") + SUMIFS(Table1[[AwayWon]:[AwayWon]], Table1[[GameIsOver]:[GameIsOver]], 1, Table1[[HomeTeam]:[HomeTeam]], $A42, Table1[[AwayTeam]:[AwayTeam]], AE$36, Table1[[ActualResult]:[ActualResult]], "SO")))/ (2*((COUNTIFS(Table1[[GameIsOver]:[GameIsOver]],1,Table1[[AwayTeam]:[AwayTeam]],$A42, Table1[[HomeTeam]:[HomeTeam]], AE$36)))+( COUNTIFS(Table1[[GameIsOver]:[GameIsOver]],1,Table1[[AwayTeam]:[AwayTeam]],AE$36, Table1[[HomeTeam]:[HomeTeam]],$A42))), "")</f>
        <v/>
      </c>
      <c r="AF42" s="36" t="str">
        <f>IFERROR(((2 * (SUMIFS(Table1[[AwayWon]:[AwayWon]], Table1[[GameIsOver]:[GameIsOver]], 1, Table1[[AwayTeam]:[AwayTeam]], $A42, Table1[[HomeTeam]:[HomeTeam]], AF$36) + SUMIFS(Table1[[HomeWon]:[HomeWon]], Table1[[GameIsOver]:[GameIsOver]], 1, Table1[[HomeTeam]:[HomeTeam]], $A42, Table1[[AwayTeam]:[AwayTeam]], AF$36))) + (SUMIFS(Table1[[HomeWon]:[HomeWon]], Table1[[GameIsOver]:[GameIsOver]], 1, Table1[[AwayTeam]:[AwayTeam]], $A42, Table1[[HomeTeam]:[HomeTeam]],  AF$36, Table1[[ActualResult]:[ActualResult]], "OT") + SUMIFS(Table1[[AwayWon]:[AwayWon]], Table1[[GameIsOver]:[GameIsOver]], 1, Table1[[HomeTeam]:[HomeTeam]], $A42, Table1[[AwayTeam]:[AwayTeam]], AF$36, Table1[[ActualResult]:[ActualResult]], "OT") + SUMIFS(Table1[[HomeWon]:[HomeWon]], Table1[[GameIsOver]:[GameIsOver]], 1, Table1[[AwayTeam]:[AwayTeam]], $A42, Table1[[HomeTeam]:[HomeTeam]], AF$36, Table1[[ActualResult]:[ActualResult]], "SO") + SUMIFS(Table1[[AwayWon]:[AwayWon]], Table1[[GameIsOver]:[GameIsOver]], 1, Table1[[HomeTeam]:[HomeTeam]], $A42, Table1[[AwayTeam]:[AwayTeam]], AF$36, Table1[[ActualResult]:[ActualResult]], "SO")))/ (2*((COUNTIFS(Table1[[GameIsOver]:[GameIsOver]],1,Table1[[AwayTeam]:[AwayTeam]],$A42, Table1[[HomeTeam]:[HomeTeam]], AF$36)))+( COUNTIFS(Table1[[GameIsOver]:[GameIsOver]],1,Table1[[AwayTeam]:[AwayTeam]],AF$36, Table1[[HomeTeam]:[HomeTeam]],$A42))), "")</f>
        <v/>
      </c>
      <c r="AG42" s="36" t="str">
        <f>IFERROR(((2 * (SUMIFS(Table1[[AwayWon]:[AwayWon]], Table1[[GameIsOver]:[GameIsOver]], 1, Table1[[AwayTeam]:[AwayTeam]], $A42, Table1[[HomeTeam]:[HomeTeam]], AG$36) + SUMIFS(Table1[[HomeWon]:[HomeWon]], Table1[[GameIsOver]:[GameIsOver]], 1, Table1[[HomeTeam]:[HomeTeam]], $A42, Table1[[AwayTeam]:[AwayTeam]], AG$36))) + (SUMIFS(Table1[[HomeWon]:[HomeWon]], Table1[[GameIsOver]:[GameIsOver]], 1, Table1[[AwayTeam]:[AwayTeam]], $A42, Table1[[HomeTeam]:[HomeTeam]],  AG$36, Table1[[ActualResult]:[ActualResult]], "OT") + SUMIFS(Table1[[AwayWon]:[AwayWon]], Table1[[GameIsOver]:[GameIsOver]], 1, Table1[[HomeTeam]:[HomeTeam]], $A42, Table1[[AwayTeam]:[AwayTeam]], AG$36, Table1[[ActualResult]:[ActualResult]], "OT") + SUMIFS(Table1[[HomeWon]:[HomeWon]], Table1[[GameIsOver]:[GameIsOver]], 1, Table1[[AwayTeam]:[AwayTeam]], $A42, Table1[[HomeTeam]:[HomeTeam]], AG$36, Table1[[ActualResult]:[ActualResult]], "SO") + SUMIFS(Table1[[AwayWon]:[AwayWon]], Table1[[GameIsOver]:[GameIsOver]], 1, Table1[[HomeTeam]:[HomeTeam]], $A42, Table1[[AwayTeam]:[AwayTeam]], AG$36, Table1[[ActualResult]:[ActualResult]], "SO")))/ (2*((COUNTIFS(Table1[[GameIsOver]:[GameIsOver]],1,Table1[[AwayTeam]:[AwayTeam]],$A42, Table1[[HomeTeam]:[HomeTeam]], AG$36)))+( COUNTIFS(Table1[[GameIsOver]:[GameIsOver]],1,Table1[[AwayTeam]:[AwayTeam]],AG$36, Table1[[HomeTeam]:[HomeTeam]],$A42))), "")</f>
        <v/>
      </c>
      <c r="AH42" s="37">
        <f t="shared" si="0"/>
        <v>0</v>
      </c>
      <c r="AI42" s="37" t="e">
        <f t="shared" si="1"/>
        <v>#DIV/0!</v>
      </c>
      <c r="AJ42" s="38">
        <f t="shared" si="2"/>
        <v>0</v>
      </c>
      <c r="AK42" s="38" t="e">
        <f t="shared" si="3"/>
        <v>#DIV/0!</v>
      </c>
      <c r="AL42" s="38" t="e">
        <f t="shared" si="4"/>
        <v>#DIV/0!</v>
      </c>
      <c r="AM42" s="38" t="e">
        <f t="shared" si="5"/>
        <v>#DIV/0!</v>
      </c>
    </row>
    <row r="43" spans="1:39" x14ac:dyDescent="0.25">
      <c r="A43" s="17" t="s">
        <v>23</v>
      </c>
      <c r="B43" s="36" t="str">
        <f>IFERROR(((2 * (SUMIFS(Table1[[AwayWon]:[AwayWon]], Table1[[GameIsOver]:[GameIsOver]], 1, Table1[[AwayTeam]:[AwayTeam]], $A43, Table1[[HomeTeam]:[HomeTeam]], B$36) + SUMIFS(Table1[[HomeWon]:[HomeWon]], Table1[[GameIsOver]:[GameIsOver]], 1, Table1[[HomeTeam]:[HomeTeam]], $A43, Table1[[AwayTeam]:[AwayTeam]], B$36))) + (SUMIFS(Table1[[HomeWon]:[HomeWon]], Table1[[GameIsOver]:[GameIsOver]], 1, Table1[[AwayTeam]:[AwayTeam]], $A43, Table1[[HomeTeam]:[HomeTeam]],  B$36, Table1[[ActualResult]:[ActualResult]], "OT") + SUMIFS(Table1[[AwayWon]:[AwayWon]], Table1[[GameIsOver]:[GameIsOver]], 1, Table1[[HomeTeam]:[HomeTeam]], $A43, Table1[[AwayTeam]:[AwayTeam]], B$36, Table1[[ActualResult]:[ActualResult]], "OT") + SUMIFS(Table1[[HomeWon]:[HomeWon]], Table1[[GameIsOver]:[GameIsOver]], 1, Table1[[AwayTeam]:[AwayTeam]], $A43, Table1[[HomeTeam]:[HomeTeam]], B$36, Table1[[ActualResult]:[ActualResult]], "SO") + SUMIFS(Table1[[AwayWon]:[AwayWon]], Table1[[GameIsOver]:[GameIsOver]], 1, Table1[[HomeTeam]:[HomeTeam]], $A43, Table1[[AwayTeam]:[AwayTeam]], B$36, Table1[[ActualResult]:[ActualResult]], "SO")))/ (2*((COUNTIFS(Table1[[GameIsOver]:[GameIsOver]],1,Table1[[AwayTeam]:[AwayTeam]],$A43, Table1[[HomeTeam]:[HomeTeam]], B$36)))+( COUNTIFS(Table1[[GameIsOver]:[GameIsOver]],1,Table1[[AwayTeam]:[AwayTeam]],B$36, Table1[[HomeTeam]:[HomeTeam]],$A43))), "")</f>
        <v/>
      </c>
      <c r="C43" s="36" t="str">
        <f>IFERROR(((2 * (SUMIFS(Table1[[AwayWon]:[AwayWon]], Table1[[GameIsOver]:[GameIsOver]], 1, Table1[[AwayTeam]:[AwayTeam]], $A43, Table1[[HomeTeam]:[HomeTeam]], C$36) + SUMIFS(Table1[[HomeWon]:[HomeWon]], Table1[[GameIsOver]:[GameIsOver]], 1, Table1[[HomeTeam]:[HomeTeam]], $A43, Table1[[AwayTeam]:[AwayTeam]], C$36))) + (SUMIFS(Table1[[HomeWon]:[HomeWon]], Table1[[GameIsOver]:[GameIsOver]], 1, Table1[[AwayTeam]:[AwayTeam]], $A43, Table1[[HomeTeam]:[HomeTeam]],  C$36, Table1[[ActualResult]:[ActualResult]], "OT") + SUMIFS(Table1[[AwayWon]:[AwayWon]], Table1[[GameIsOver]:[GameIsOver]], 1, Table1[[HomeTeam]:[HomeTeam]], $A43, Table1[[AwayTeam]:[AwayTeam]], C$36, Table1[[ActualResult]:[ActualResult]], "OT") + SUMIFS(Table1[[HomeWon]:[HomeWon]], Table1[[GameIsOver]:[GameIsOver]], 1, Table1[[AwayTeam]:[AwayTeam]], $A43, Table1[[HomeTeam]:[HomeTeam]], C$36, Table1[[ActualResult]:[ActualResult]], "SO") + SUMIFS(Table1[[AwayWon]:[AwayWon]], Table1[[GameIsOver]:[GameIsOver]], 1, Table1[[HomeTeam]:[HomeTeam]], $A43, Table1[[AwayTeam]:[AwayTeam]], C$36, Table1[[ActualResult]:[ActualResult]], "SO")))/ (2*((COUNTIFS(Table1[[GameIsOver]:[GameIsOver]],1,Table1[[AwayTeam]:[AwayTeam]],$A43, Table1[[HomeTeam]:[HomeTeam]], C$36)))+( COUNTIFS(Table1[[GameIsOver]:[GameIsOver]],1,Table1[[AwayTeam]:[AwayTeam]],C$36, Table1[[HomeTeam]:[HomeTeam]],$A43))), "")</f>
        <v/>
      </c>
      <c r="D43" s="36">
        <f>IFERROR(((2 * (SUMIFS(Table1[[AwayWon]:[AwayWon]], Table1[[GameIsOver]:[GameIsOver]], 1, Table1[[AwayTeam]:[AwayTeam]], $A43, Table1[[HomeTeam]:[HomeTeam]], D$36) + SUMIFS(Table1[[HomeWon]:[HomeWon]], Table1[[GameIsOver]:[GameIsOver]], 1, Table1[[HomeTeam]:[HomeTeam]], $A43, Table1[[AwayTeam]:[AwayTeam]], D$36))) + (SUMIFS(Table1[[HomeWon]:[HomeWon]], Table1[[GameIsOver]:[GameIsOver]], 1, Table1[[AwayTeam]:[AwayTeam]], $A43, Table1[[HomeTeam]:[HomeTeam]],  D$36, Table1[[ActualResult]:[ActualResult]], "OT") + SUMIFS(Table1[[AwayWon]:[AwayWon]], Table1[[GameIsOver]:[GameIsOver]], 1, Table1[[HomeTeam]:[HomeTeam]], $A43, Table1[[AwayTeam]:[AwayTeam]], D$36, Table1[[ActualResult]:[ActualResult]], "OT") + SUMIFS(Table1[[HomeWon]:[HomeWon]], Table1[[GameIsOver]:[GameIsOver]], 1, Table1[[AwayTeam]:[AwayTeam]], $A43, Table1[[HomeTeam]:[HomeTeam]], D$36, Table1[[ActualResult]:[ActualResult]], "SO") + SUMIFS(Table1[[AwayWon]:[AwayWon]], Table1[[GameIsOver]:[GameIsOver]], 1, Table1[[HomeTeam]:[HomeTeam]], $A43, Table1[[AwayTeam]:[AwayTeam]], D$36, Table1[[ActualResult]:[ActualResult]], "SO")))/ (2*((COUNTIFS(Table1[[GameIsOver]:[GameIsOver]],1,Table1[[AwayTeam]:[AwayTeam]],$A43, Table1[[HomeTeam]:[HomeTeam]], D$36)))+( COUNTIFS(Table1[[GameIsOver]:[GameIsOver]],1,Table1[[AwayTeam]:[AwayTeam]],D$36, Table1[[HomeTeam]:[HomeTeam]],$A43))), "")</f>
        <v>0.66666666666666663</v>
      </c>
      <c r="E43" s="36" t="str">
        <f>IFERROR(((2 * (SUMIFS(Table1[[AwayWon]:[AwayWon]], Table1[[GameIsOver]:[GameIsOver]], 1, Table1[[AwayTeam]:[AwayTeam]], $A43, Table1[[HomeTeam]:[HomeTeam]], E$36) + SUMIFS(Table1[[HomeWon]:[HomeWon]], Table1[[GameIsOver]:[GameIsOver]], 1, Table1[[HomeTeam]:[HomeTeam]], $A43, Table1[[AwayTeam]:[AwayTeam]], E$36))) + (SUMIFS(Table1[[HomeWon]:[HomeWon]], Table1[[GameIsOver]:[GameIsOver]], 1, Table1[[AwayTeam]:[AwayTeam]], $A43, Table1[[HomeTeam]:[HomeTeam]],  E$36, Table1[[ActualResult]:[ActualResult]], "OT") + SUMIFS(Table1[[AwayWon]:[AwayWon]], Table1[[GameIsOver]:[GameIsOver]], 1, Table1[[HomeTeam]:[HomeTeam]], $A43, Table1[[AwayTeam]:[AwayTeam]], E$36, Table1[[ActualResult]:[ActualResult]], "OT") + SUMIFS(Table1[[HomeWon]:[HomeWon]], Table1[[GameIsOver]:[GameIsOver]], 1, Table1[[AwayTeam]:[AwayTeam]], $A43, Table1[[HomeTeam]:[HomeTeam]], E$36, Table1[[ActualResult]:[ActualResult]], "SO") + SUMIFS(Table1[[AwayWon]:[AwayWon]], Table1[[GameIsOver]:[GameIsOver]], 1, Table1[[HomeTeam]:[HomeTeam]], $A43, Table1[[AwayTeam]:[AwayTeam]], E$36, Table1[[ActualResult]:[ActualResult]], "SO")))/ (2*((COUNTIFS(Table1[[GameIsOver]:[GameIsOver]],1,Table1[[AwayTeam]:[AwayTeam]],$A43, Table1[[HomeTeam]:[HomeTeam]], E$36)))+( COUNTIFS(Table1[[GameIsOver]:[GameIsOver]],1,Table1[[AwayTeam]:[AwayTeam]],E$36, Table1[[HomeTeam]:[HomeTeam]],$A43))), "")</f>
        <v/>
      </c>
      <c r="F43" s="36" t="str">
        <f>IFERROR(((2 * (SUMIFS(Table1[[AwayWon]:[AwayWon]], Table1[[GameIsOver]:[GameIsOver]], 1, Table1[[AwayTeam]:[AwayTeam]], $A43, Table1[[HomeTeam]:[HomeTeam]], F$36) + SUMIFS(Table1[[HomeWon]:[HomeWon]], Table1[[GameIsOver]:[GameIsOver]], 1, Table1[[HomeTeam]:[HomeTeam]], $A43, Table1[[AwayTeam]:[AwayTeam]], F$36))) + (SUMIFS(Table1[[HomeWon]:[HomeWon]], Table1[[GameIsOver]:[GameIsOver]], 1, Table1[[AwayTeam]:[AwayTeam]], $A43, Table1[[HomeTeam]:[HomeTeam]],  F$36, Table1[[ActualResult]:[ActualResult]], "OT") + SUMIFS(Table1[[AwayWon]:[AwayWon]], Table1[[GameIsOver]:[GameIsOver]], 1, Table1[[HomeTeam]:[HomeTeam]], $A43, Table1[[AwayTeam]:[AwayTeam]], F$36, Table1[[ActualResult]:[ActualResult]], "OT") + SUMIFS(Table1[[HomeWon]:[HomeWon]], Table1[[GameIsOver]:[GameIsOver]], 1, Table1[[AwayTeam]:[AwayTeam]], $A43, Table1[[HomeTeam]:[HomeTeam]], F$36, Table1[[ActualResult]:[ActualResult]], "SO") + SUMIFS(Table1[[AwayWon]:[AwayWon]], Table1[[GameIsOver]:[GameIsOver]], 1, Table1[[HomeTeam]:[HomeTeam]], $A43, Table1[[AwayTeam]:[AwayTeam]], F$36, Table1[[ActualResult]:[ActualResult]], "SO")))/ (2*((COUNTIFS(Table1[[GameIsOver]:[GameIsOver]],1,Table1[[AwayTeam]:[AwayTeam]],$A43, Table1[[HomeTeam]:[HomeTeam]], F$36)))+( COUNTIFS(Table1[[GameIsOver]:[GameIsOver]],1,Table1[[AwayTeam]:[AwayTeam]],F$36, Table1[[HomeTeam]:[HomeTeam]],$A43))), "")</f>
        <v/>
      </c>
      <c r="G43" s="36" t="str">
        <f>IFERROR(((2 * (SUMIFS(Table1[[AwayWon]:[AwayWon]], Table1[[GameIsOver]:[GameIsOver]], 1, Table1[[AwayTeam]:[AwayTeam]], $A43, Table1[[HomeTeam]:[HomeTeam]], G$36) + SUMIFS(Table1[[HomeWon]:[HomeWon]], Table1[[GameIsOver]:[GameIsOver]], 1, Table1[[HomeTeam]:[HomeTeam]], $A43, Table1[[AwayTeam]:[AwayTeam]], G$36))) + (SUMIFS(Table1[[HomeWon]:[HomeWon]], Table1[[GameIsOver]:[GameIsOver]], 1, Table1[[AwayTeam]:[AwayTeam]], $A43, Table1[[HomeTeam]:[HomeTeam]],  G$36, Table1[[ActualResult]:[ActualResult]], "OT") + SUMIFS(Table1[[AwayWon]:[AwayWon]], Table1[[GameIsOver]:[GameIsOver]], 1, Table1[[HomeTeam]:[HomeTeam]], $A43, Table1[[AwayTeam]:[AwayTeam]], G$36, Table1[[ActualResult]:[ActualResult]], "OT") + SUMIFS(Table1[[HomeWon]:[HomeWon]], Table1[[GameIsOver]:[GameIsOver]], 1, Table1[[AwayTeam]:[AwayTeam]], $A43, Table1[[HomeTeam]:[HomeTeam]], G$36, Table1[[ActualResult]:[ActualResult]], "SO") + SUMIFS(Table1[[AwayWon]:[AwayWon]], Table1[[GameIsOver]:[GameIsOver]], 1, Table1[[HomeTeam]:[HomeTeam]], $A43, Table1[[AwayTeam]:[AwayTeam]], G$36, Table1[[ActualResult]:[ActualResult]], "SO")))/ (2*((COUNTIFS(Table1[[GameIsOver]:[GameIsOver]],1,Table1[[AwayTeam]:[AwayTeam]],$A43, Table1[[HomeTeam]:[HomeTeam]], G$36)))+( COUNTIFS(Table1[[GameIsOver]:[GameIsOver]],1,Table1[[AwayTeam]:[AwayTeam]],G$36, Table1[[HomeTeam]:[HomeTeam]],$A43))), "")</f>
        <v/>
      </c>
      <c r="H43" s="36" t="str">
        <f>IFERROR(((2 * (SUMIFS(Table1[[AwayWon]:[AwayWon]], Table1[[GameIsOver]:[GameIsOver]], 1, Table1[[AwayTeam]:[AwayTeam]], $A43, Table1[[HomeTeam]:[HomeTeam]], H$36) + SUMIFS(Table1[[HomeWon]:[HomeWon]], Table1[[GameIsOver]:[GameIsOver]], 1, Table1[[HomeTeam]:[HomeTeam]], $A43, Table1[[AwayTeam]:[AwayTeam]], H$36))) + (SUMIFS(Table1[[HomeWon]:[HomeWon]], Table1[[GameIsOver]:[GameIsOver]], 1, Table1[[AwayTeam]:[AwayTeam]], $A43, Table1[[HomeTeam]:[HomeTeam]],  H$36, Table1[[ActualResult]:[ActualResult]], "OT") + SUMIFS(Table1[[AwayWon]:[AwayWon]], Table1[[GameIsOver]:[GameIsOver]], 1, Table1[[HomeTeam]:[HomeTeam]], $A43, Table1[[AwayTeam]:[AwayTeam]], H$36, Table1[[ActualResult]:[ActualResult]], "OT") + SUMIFS(Table1[[HomeWon]:[HomeWon]], Table1[[GameIsOver]:[GameIsOver]], 1, Table1[[AwayTeam]:[AwayTeam]], $A43, Table1[[HomeTeam]:[HomeTeam]], H$36, Table1[[ActualResult]:[ActualResult]], "SO") + SUMIFS(Table1[[AwayWon]:[AwayWon]], Table1[[GameIsOver]:[GameIsOver]], 1, Table1[[HomeTeam]:[HomeTeam]], $A43, Table1[[AwayTeam]:[AwayTeam]], H$36, Table1[[ActualResult]:[ActualResult]], "SO")))/ (2*((COUNTIFS(Table1[[GameIsOver]:[GameIsOver]],1,Table1[[AwayTeam]:[AwayTeam]],$A43, Table1[[HomeTeam]:[HomeTeam]], H$36)))+( COUNTIFS(Table1[[GameIsOver]:[GameIsOver]],1,Table1[[AwayTeam]:[AwayTeam]],H$36, Table1[[HomeTeam]:[HomeTeam]],$A43))), "")</f>
        <v/>
      </c>
      <c r="I43" s="38" t="str">
        <f>IFERROR(((2 * (SUMIFS(Table1[[AwayWon]:[AwayWon]], Table1[[GameIsOver]:[GameIsOver]], 1, Table1[[AwayTeam]:[AwayTeam]], $A43, Table1[[HomeTeam]:[HomeTeam]], I$36) + SUMIFS(Table1[[HomeWon]:[HomeWon]], Table1[[GameIsOver]:[GameIsOver]], 1, Table1[[HomeTeam]:[HomeTeam]], $A43, Table1[[AwayTeam]:[AwayTeam]], I$36))) + (SUMIFS(Table1[[HomeWon]:[HomeWon]], Table1[[GameIsOver]:[GameIsOver]], 1, Table1[[AwayTeam]:[AwayTeam]], $A43, Table1[[HomeTeam]:[HomeTeam]],  I$36, Table1[[ActualResult]:[ActualResult]], "OT") + SUMIFS(Table1[[AwayWon]:[AwayWon]], Table1[[GameIsOver]:[GameIsOver]], 1, Table1[[HomeTeam]:[HomeTeam]], $A43, Table1[[AwayTeam]:[AwayTeam]], I$36, Table1[[ActualResult]:[ActualResult]], "OT") + SUMIFS(Table1[[HomeWon]:[HomeWon]], Table1[[GameIsOver]:[GameIsOver]], 1, Table1[[AwayTeam]:[AwayTeam]], $A43, Table1[[HomeTeam]:[HomeTeam]], I$36, Table1[[ActualResult]:[ActualResult]], "SO") + SUMIFS(Table1[[AwayWon]:[AwayWon]], Table1[[GameIsOver]:[GameIsOver]], 1, Table1[[HomeTeam]:[HomeTeam]], $A43, Table1[[AwayTeam]:[AwayTeam]], I$36, Table1[[ActualResult]:[ActualResult]], "SO")))/ (2*((COUNTIFS(Table1[[GameIsOver]:[GameIsOver]],1,Table1[[AwayTeam]:[AwayTeam]],$A43, Table1[[HomeTeam]:[HomeTeam]], I$36)))+( COUNTIFS(Table1[[GameIsOver]:[GameIsOver]],1,Table1[[AwayTeam]:[AwayTeam]],I$36, Table1[[HomeTeam]:[HomeTeam]],$A43))), "")</f>
        <v/>
      </c>
      <c r="J43" s="36" t="str">
        <f>IFERROR(((2 * (SUMIFS(Table1[[AwayWon]:[AwayWon]], Table1[[GameIsOver]:[GameIsOver]], 1, Table1[[AwayTeam]:[AwayTeam]], $A43, Table1[[HomeTeam]:[HomeTeam]], J$36) + SUMIFS(Table1[[HomeWon]:[HomeWon]], Table1[[GameIsOver]:[GameIsOver]], 1, Table1[[HomeTeam]:[HomeTeam]], $A43, Table1[[AwayTeam]:[AwayTeam]], J$36))) + (SUMIFS(Table1[[HomeWon]:[HomeWon]], Table1[[GameIsOver]:[GameIsOver]], 1, Table1[[AwayTeam]:[AwayTeam]], $A43, Table1[[HomeTeam]:[HomeTeam]],  J$36, Table1[[ActualResult]:[ActualResult]], "OT") + SUMIFS(Table1[[AwayWon]:[AwayWon]], Table1[[GameIsOver]:[GameIsOver]], 1, Table1[[HomeTeam]:[HomeTeam]], $A43, Table1[[AwayTeam]:[AwayTeam]], J$36, Table1[[ActualResult]:[ActualResult]], "OT") + SUMIFS(Table1[[HomeWon]:[HomeWon]], Table1[[GameIsOver]:[GameIsOver]], 1, Table1[[AwayTeam]:[AwayTeam]], $A43, Table1[[HomeTeam]:[HomeTeam]], J$36, Table1[[ActualResult]:[ActualResult]], "SO") + SUMIFS(Table1[[AwayWon]:[AwayWon]], Table1[[GameIsOver]:[GameIsOver]], 1, Table1[[HomeTeam]:[HomeTeam]], $A43, Table1[[AwayTeam]:[AwayTeam]], J$36, Table1[[ActualResult]:[ActualResult]], "SO")))/ (2*((COUNTIFS(Table1[[GameIsOver]:[GameIsOver]],1,Table1[[AwayTeam]:[AwayTeam]],$A43, Table1[[HomeTeam]:[HomeTeam]], J$36)))+( COUNTIFS(Table1[[GameIsOver]:[GameIsOver]],1,Table1[[AwayTeam]:[AwayTeam]],J$36, Table1[[HomeTeam]:[HomeTeam]],$A43))), "")</f>
        <v/>
      </c>
      <c r="K43" s="36" t="str">
        <f>IFERROR(((2 * (SUMIFS(Table1[[AwayWon]:[AwayWon]], Table1[[GameIsOver]:[GameIsOver]], 1, Table1[[AwayTeam]:[AwayTeam]], $A43, Table1[[HomeTeam]:[HomeTeam]], K$36) + SUMIFS(Table1[[HomeWon]:[HomeWon]], Table1[[GameIsOver]:[GameIsOver]], 1, Table1[[HomeTeam]:[HomeTeam]], $A43, Table1[[AwayTeam]:[AwayTeam]], K$36))) + (SUMIFS(Table1[[HomeWon]:[HomeWon]], Table1[[GameIsOver]:[GameIsOver]], 1, Table1[[AwayTeam]:[AwayTeam]], $A43, Table1[[HomeTeam]:[HomeTeam]],  K$36, Table1[[ActualResult]:[ActualResult]], "OT") + SUMIFS(Table1[[AwayWon]:[AwayWon]], Table1[[GameIsOver]:[GameIsOver]], 1, Table1[[HomeTeam]:[HomeTeam]], $A43, Table1[[AwayTeam]:[AwayTeam]], K$36, Table1[[ActualResult]:[ActualResult]], "OT") + SUMIFS(Table1[[HomeWon]:[HomeWon]], Table1[[GameIsOver]:[GameIsOver]], 1, Table1[[AwayTeam]:[AwayTeam]], $A43, Table1[[HomeTeam]:[HomeTeam]], K$36, Table1[[ActualResult]:[ActualResult]], "SO") + SUMIFS(Table1[[AwayWon]:[AwayWon]], Table1[[GameIsOver]:[GameIsOver]], 1, Table1[[HomeTeam]:[HomeTeam]], $A43, Table1[[AwayTeam]:[AwayTeam]], K$36, Table1[[ActualResult]:[ActualResult]], "SO")))/ (2*((COUNTIFS(Table1[[GameIsOver]:[GameIsOver]],1,Table1[[AwayTeam]:[AwayTeam]],$A43, Table1[[HomeTeam]:[HomeTeam]], K$36)))+( COUNTIFS(Table1[[GameIsOver]:[GameIsOver]],1,Table1[[AwayTeam]:[AwayTeam]],K$36, Table1[[HomeTeam]:[HomeTeam]],$A43))), "")</f>
        <v/>
      </c>
      <c r="L43" s="36" t="str">
        <f>IFERROR(((2 * (SUMIFS(Table1[[AwayWon]:[AwayWon]], Table1[[GameIsOver]:[GameIsOver]], 1, Table1[[AwayTeam]:[AwayTeam]], $A43, Table1[[HomeTeam]:[HomeTeam]], L$36) + SUMIFS(Table1[[HomeWon]:[HomeWon]], Table1[[GameIsOver]:[GameIsOver]], 1, Table1[[HomeTeam]:[HomeTeam]], $A43, Table1[[AwayTeam]:[AwayTeam]], L$36))) + (SUMIFS(Table1[[HomeWon]:[HomeWon]], Table1[[GameIsOver]:[GameIsOver]], 1, Table1[[AwayTeam]:[AwayTeam]], $A43, Table1[[HomeTeam]:[HomeTeam]],  L$36, Table1[[ActualResult]:[ActualResult]], "OT") + SUMIFS(Table1[[AwayWon]:[AwayWon]], Table1[[GameIsOver]:[GameIsOver]], 1, Table1[[HomeTeam]:[HomeTeam]], $A43, Table1[[AwayTeam]:[AwayTeam]], L$36, Table1[[ActualResult]:[ActualResult]], "OT") + SUMIFS(Table1[[HomeWon]:[HomeWon]], Table1[[GameIsOver]:[GameIsOver]], 1, Table1[[AwayTeam]:[AwayTeam]], $A43, Table1[[HomeTeam]:[HomeTeam]], L$36, Table1[[ActualResult]:[ActualResult]], "SO") + SUMIFS(Table1[[AwayWon]:[AwayWon]], Table1[[GameIsOver]:[GameIsOver]], 1, Table1[[HomeTeam]:[HomeTeam]], $A43, Table1[[AwayTeam]:[AwayTeam]], L$36, Table1[[ActualResult]:[ActualResult]], "SO")))/ (2*((COUNTIFS(Table1[[GameIsOver]:[GameIsOver]],1,Table1[[AwayTeam]:[AwayTeam]],$A43, Table1[[HomeTeam]:[HomeTeam]], L$36)))+( COUNTIFS(Table1[[GameIsOver]:[GameIsOver]],1,Table1[[AwayTeam]:[AwayTeam]],L$36, Table1[[HomeTeam]:[HomeTeam]],$A43))), "")</f>
        <v/>
      </c>
      <c r="M43" s="36" t="str">
        <f>IFERROR(((2 * (SUMIFS(Table1[[AwayWon]:[AwayWon]], Table1[[GameIsOver]:[GameIsOver]], 1, Table1[[AwayTeam]:[AwayTeam]], $A43, Table1[[HomeTeam]:[HomeTeam]], M$36) + SUMIFS(Table1[[HomeWon]:[HomeWon]], Table1[[GameIsOver]:[GameIsOver]], 1, Table1[[HomeTeam]:[HomeTeam]], $A43, Table1[[AwayTeam]:[AwayTeam]], M$36))) + (SUMIFS(Table1[[HomeWon]:[HomeWon]], Table1[[GameIsOver]:[GameIsOver]], 1, Table1[[AwayTeam]:[AwayTeam]], $A43, Table1[[HomeTeam]:[HomeTeam]],  M$36, Table1[[ActualResult]:[ActualResult]], "OT") + SUMIFS(Table1[[AwayWon]:[AwayWon]], Table1[[GameIsOver]:[GameIsOver]], 1, Table1[[HomeTeam]:[HomeTeam]], $A43, Table1[[AwayTeam]:[AwayTeam]], M$36, Table1[[ActualResult]:[ActualResult]], "OT") + SUMIFS(Table1[[HomeWon]:[HomeWon]], Table1[[GameIsOver]:[GameIsOver]], 1, Table1[[AwayTeam]:[AwayTeam]], $A43, Table1[[HomeTeam]:[HomeTeam]], M$36, Table1[[ActualResult]:[ActualResult]], "SO") + SUMIFS(Table1[[AwayWon]:[AwayWon]], Table1[[GameIsOver]:[GameIsOver]], 1, Table1[[HomeTeam]:[HomeTeam]], $A43, Table1[[AwayTeam]:[AwayTeam]], M$36, Table1[[ActualResult]:[ActualResult]], "SO")))/ (2*((COUNTIFS(Table1[[GameIsOver]:[GameIsOver]],1,Table1[[AwayTeam]:[AwayTeam]],$A43, Table1[[HomeTeam]:[HomeTeam]], M$36)))+( COUNTIFS(Table1[[GameIsOver]:[GameIsOver]],1,Table1[[AwayTeam]:[AwayTeam]],M$36, Table1[[HomeTeam]:[HomeTeam]],$A43))), "")</f>
        <v/>
      </c>
      <c r="N43" s="36" t="str">
        <f>IFERROR(((2 * (SUMIFS(Table1[[AwayWon]:[AwayWon]], Table1[[GameIsOver]:[GameIsOver]], 1, Table1[[AwayTeam]:[AwayTeam]], $A43, Table1[[HomeTeam]:[HomeTeam]], N$36) + SUMIFS(Table1[[HomeWon]:[HomeWon]], Table1[[GameIsOver]:[GameIsOver]], 1, Table1[[HomeTeam]:[HomeTeam]], $A43, Table1[[AwayTeam]:[AwayTeam]], N$36))) + (SUMIFS(Table1[[HomeWon]:[HomeWon]], Table1[[GameIsOver]:[GameIsOver]], 1, Table1[[AwayTeam]:[AwayTeam]], $A43, Table1[[HomeTeam]:[HomeTeam]],  N$36, Table1[[ActualResult]:[ActualResult]], "OT") + SUMIFS(Table1[[AwayWon]:[AwayWon]], Table1[[GameIsOver]:[GameIsOver]], 1, Table1[[HomeTeam]:[HomeTeam]], $A43, Table1[[AwayTeam]:[AwayTeam]], N$36, Table1[[ActualResult]:[ActualResult]], "OT") + SUMIFS(Table1[[HomeWon]:[HomeWon]], Table1[[GameIsOver]:[GameIsOver]], 1, Table1[[AwayTeam]:[AwayTeam]], $A43, Table1[[HomeTeam]:[HomeTeam]], N$36, Table1[[ActualResult]:[ActualResult]], "SO") + SUMIFS(Table1[[AwayWon]:[AwayWon]], Table1[[GameIsOver]:[GameIsOver]], 1, Table1[[HomeTeam]:[HomeTeam]], $A43, Table1[[AwayTeam]:[AwayTeam]], N$36, Table1[[ActualResult]:[ActualResult]], "SO")))/ (2*((COUNTIFS(Table1[[GameIsOver]:[GameIsOver]],1,Table1[[AwayTeam]:[AwayTeam]],$A43, Table1[[HomeTeam]:[HomeTeam]], N$36)))+( COUNTIFS(Table1[[GameIsOver]:[GameIsOver]],1,Table1[[AwayTeam]:[AwayTeam]],N$36, Table1[[HomeTeam]:[HomeTeam]],$A43))), "")</f>
        <v/>
      </c>
      <c r="O43" s="36" t="str">
        <f>IFERROR(((2 * (SUMIFS(Table1[[AwayWon]:[AwayWon]], Table1[[GameIsOver]:[GameIsOver]], 1, Table1[[AwayTeam]:[AwayTeam]], $A43, Table1[[HomeTeam]:[HomeTeam]], O$36) + SUMIFS(Table1[[HomeWon]:[HomeWon]], Table1[[GameIsOver]:[GameIsOver]], 1, Table1[[HomeTeam]:[HomeTeam]], $A43, Table1[[AwayTeam]:[AwayTeam]], O$36))) + (SUMIFS(Table1[[HomeWon]:[HomeWon]], Table1[[GameIsOver]:[GameIsOver]], 1, Table1[[AwayTeam]:[AwayTeam]], $A43, Table1[[HomeTeam]:[HomeTeam]],  O$36, Table1[[ActualResult]:[ActualResult]], "OT") + SUMIFS(Table1[[AwayWon]:[AwayWon]], Table1[[GameIsOver]:[GameIsOver]], 1, Table1[[HomeTeam]:[HomeTeam]], $A43, Table1[[AwayTeam]:[AwayTeam]], O$36, Table1[[ActualResult]:[ActualResult]], "OT") + SUMIFS(Table1[[HomeWon]:[HomeWon]], Table1[[GameIsOver]:[GameIsOver]], 1, Table1[[AwayTeam]:[AwayTeam]], $A43, Table1[[HomeTeam]:[HomeTeam]], O$36, Table1[[ActualResult]:[ActualResult]], "SO") + SUMIFS(Table1[[AwayWon]:[AwayWon]], Table1[[GameIsOver]:[GameIsOver]], 1, Table1[[HomeTeam]:[HomeTeam]], $A43, Table1[[AwayTeam]:[AwayTeam]], O$36, Table1[[ActualResult]:[ActualResult]], "SO")))/ (2*((COUNTIFS(Table1[[GameIsOver]:[GameIsOver]],1,Table1[[AwayTeam]:[AwayTeam]],$A43, Table1[[HomeTeam]:[HomeTeam]], O$36)))+( COUNTIFS(Table1[[GameIsOver]:[GameIsOver]],1,Table1[[AwayTeam]:[AwayTeam]],O$36, Table1[[HomeTeam]:[HomeTeam]],$A43))), "")</f>
        <v/>
      </c>
      <c r="P43" s="36" t="str">
        <f>IFERROR(((2 * (SUMIFS(Table1[[AwayWon]:[AwayWon]], Table1[[GameIsOver]:[GameIsOver]], 1, Table1[[AwayTeam]:[AwayTeam]], $A43, Table1[[HomeTeam]:[HomeTeam]], P$36) + SUMIFS(Table1[[HomeWon]:[HomeWon]], Table1[[GameIsOver]:[GameIsOver]], 1, Table1[[HomeTeam]:[HomeTeam]], $A43, Table1[[AwayTeam]:[AwayTeam]], P$36))) + (SUMIFS(Table1[[HomeWon]:[HomeWon]], Table1[[GameIsOver]:[GameIsOver]], 1, Table1[[AwayTeam]:[AwayTeam]], $A43, Table1[[HomeTeam]:[HomeTeam]],  P$36, Table1[[ActualResult]:[ActualResult]], "OT") + SUMIFS(Table1[[AwayWon]:[AwayWon]], Table1[[GameIsOver]:[GameIsOver]], 1, Table1[[HomeTeam]:[HomeTeam]], $A43, Table1[[AwayTeam]:[AwayTeam]], P$36, Table1[[ActualResult]:[ActualResult]], "OT") + SUMIFS(Table1[[HomeWon]:[HomeWon]], Table1[[GameIsOver]:[GameIsOver]], 1, Table1[[AwayTeam]:[AwayTeam]], $A43, Table1[[HomeTeam]:[HomeTeam]], P$36, Table1[[ActualResult]:[ActualResult]], "SO") + SUMIFS(Table1[[AwayWon]:[AwayWon]], Table1[[GameIsOver]:[GameIsOver]], 1, Table1[[HomeTeam]:[HomeTeam]], $A43, Table1[[AwayTeam]:[AwayTeam]], P$36, Table1[[ActualResult]:[ActualResult]], "SO")))/ (2*((COUNTIFS(Table1[[GameIsOver]:[GameIsOver]],1,Table1[[AwayTeam]:[AwayTeam]],$A43, Table1[[HomeTeam]:[HomeTeam]], P$36)))+( COUNTIFS(Table1[[GameIsOver]:[GameIsOver]],1,Table1[[AwayTeam]:[AwayTeam]],P$36, Table1[[HomeTeam]:[HomeTeam]],$A43))), "")</f>
        <v/>
      </c>
      <c r="Q43" s="38" t="str">
        <f>IFERROR(((2 * (SUMIFS(Table1[[AwayWon]:[AwayWon]], Table1[[GameIsOver]:[GameIsOver]], 1, Table1[[AwayTeam]:[AwayTeam]], $A43, Table1[[HomeTeam]:[HomeTeam]], Q$36) + SUMIFS(Table1[[HomeWon]:[HomeWon]], Table1[[GameIsOver]:[GameIsOver]], 1, Table1[[HomeTeam]:[HomeTeam]], $A43, Table1[[AwayTeam]:[AwayTeam]], Q$36))) + (SUMIFS(Table1[[HomeWon]:[HomeWon]], Table1[[GameIsOver]:[GameIsOver]], 1, Table1[[AwayTeam]:[AwayTeam]], $A43, Table1[[HomeTeam]:[HomeTeam]],  Q$36, Table1[[ActualResult]:[ActualResult]], "OT") + SUMIFS(Table1[[AwayWon]:[AwayWon]], Table1[[GameIsOver]:[GameIsOver]], 1, Table1[[HomeTeam]:[HomeTeam]], $A43, Table1[[AwayTeam]:[AwayTeam]], Q$36, Table1[[ActualResult]:[ActualResult]], "OT") + SUMIFS(Table1[[HomeWon]:[HomeWon]], Table1[[GameIsOver]:[GameIsOver]], 1, Table1[[AwayTeam]:[AwayTeam]], $A43, Table1[[HomeTeam]:[HomeTeam]], Q$36, Table1[[ActualResult]:[ActualResult]], "SO") + SUMIFS(Table1[[AwayWon]:[AwayWon]], Table1[[GameIsOver]:[GameIsOver]], 1, Table1[[HomeTeam]:[HomeTeam]], $A43, Table1[[AwayTeam]:[AwayTeam]], Q$36, Table1[[ActualResult]:[ActualResult]], "SO")))/ (2*((COUNTIFS(Table1[[GameIsOver]:[GameIsOver]],1,Table1[[AwayTeam]:[AwayTeam]],$A43, Table1[[HomeTeam]:[HomeTeam]], Q$36)))+( COUNTIFS(Table1[[GameIsOver]:[GameIsOver]],1,Table1[[AwayTeam]:[AwayTeam]],Q$36, Table1[[HomeTeam]:[HomeTeam]],$A43))), "")</f>
        <v/>
      </c>
      <c r="R43" s="36" t="str">
        <f>IFERROR(((2 * (SUMIFS(Table1[[AwayWon]:[AwayWon]], Table1[[GameIsOver]:[GameIsOver]], 1, Table1[[AwayTeam]:[AwayTeam]], $A43, Table1[[HomeTeam]:[HomeTeam]], R$36) + SUMIFS(Table1[[HomeWon]:[HomeWon]], Table1[[GameIsOver]:[GameIsOver]], 1, Table1[[HomeTeam]:[HomeTeam]], $A43, Table1[[AwayTeam]:[AwayTeam]], R$36))) + (SUMIFS(Table1[[HomeWon]:[HomeWon]], Table1[[GameIsOver]:[GameIsOver]], 1, Table1[[AwayTeam]:[AwayTeam]], $A43, Table1[[HomeTeam]:[HomeTeam]],  R$36, Table1[[ActualResult]:[ActualResult]], "OT") + SUMIFS(Table1[[AwayWon]:[AwayWon]], Table1[[GameIsOver]:[GameIsOver]], 1, Table1[[HomeTeam]:[HomeTeam]], $A43, Table1[[AwayTeam]:[AwayTeam]], R$36, Table1[[ActualResult]:[ActualResult]], "OT") + SUMIFS(Table1[[HomeWon]:[HomeWon]], Table1[[GameIsOver]:[GameIsOver]], 1, Table1[[AwayTeam]:[AwayTeam]], $A43, Table1[[HomeTeam]:[HomeTeam]], R$36, Table1[[ActualResult]:[ActualResult]], "SO") + SUMIFS(Table1[[AwayWon]:[AwayWon]], Table1[[GameIsOver]:[GameIsOver]], 1, Table1[[HomeTeam]:[HomeTeam]], $A43, Table1[[AwayTeam]:[AwayTeam]], R$36, Table1[[ActualResult]:[ActualResult]], "SO")))/ (2*((COUNTIFS(Table1[[GameIsOver]:[GameIsOver]],1,Table1[[AwayTeam]:[AwayTeam]],$A43, Table1[[HomeTeam]:[HomeTeam]], R$36)))+( COUNTIFS(Table1[[GameIsOver]:[GameIsOver]],1,Table1[[AwayTeam]:[AwayTeam]],R$36, Table1[[HomeTeam]:[HomeTeam]],$A43))), "")</f>
        <v/>
      </c>
      <c r="S43" s="36" t="str">
        <f>IFERROR(((2 * (SUMIFS(Table1[[AwayWon]:[AwayWon]], Table1[[GameIsOver]:[GameIsOver]], 1, Table1[[AwayTeam]:[AwayTeam]], $A43, Table1[[HomeTeam]:[HomeTeam]], S$36) + SUMIFS(Table1[[HomeWon]:[HomeWon]], Table1[[GameIsOver]:[GameIsOver]], 1, Table1[[HomeTeam]:[HomeTeam]], $A43, Table1[[AwayTeam]:[AwayTeam]], S$36))) + (SUMIFS(Table1[[HomeWon]:[HomeWon]], Table1[[GameIsOver]:[GameIsOver]], 1, Table1[[AwayTeam]:[AwayTeam]], $A43, Table1[[HomeTeam]:[HomeTeam]],  S$36, Table1[[ActualResult]:[ActualResult]], "OT") + SUMIFS(Table1[[AwayWon]:[AwayWon]], Table1[[GameIsOver]:[GameIsOver]], 1, Table1[[HomeTeam]:[HomeTeam]], $A43, Table1[[AwayTeam]:[AwayTeam]], S$36, Table1[[ActualResult]:[ActualResult]], "OT") + SUMIFS(Table1[[HomeWon]:[HomeWon]], Table1[[GameIsOver]:[GameIsOver]], 1, Table1[[AwayTeam]:[AwayTeam]], $A43, Table1[[HomeTeam]:[HomeTeam]], S$36, Table1[[ActualResult]:[ActualResult]], "SO") + SUMIFS(Table1[[AwayWon]:[AwayWon]], Table1[[GameIsOver]:[GameIsOver]], 1, Table1[[HomeTeam]:[HomeTeam]], $A43, Table1[[AwayTeam]:[AwayTeam]], S$36, Table1[[ActualResult]:[ActualResult]], "SO")))/ (2*((COUNTIFS(Table1[[GameIsOver]:[GameIsOver]],1,Table1[[AwayTeam]:[AwayTeam]],$A43, Table1[[HomeTeam]:[HomeTeam]], S$36)))+( COUNTIFS(Table1[[GameIsOver]:[GameIsOver]],1,Table1[[AwayTeam]:[AwayTeam]],S$36, Table1[[HomeTeam]:[HomeTeam]],$A43))), "")</f>
        <v/>
      </c>
      <c r="T43" s="36" t="str">
        <f>IFERROR(((2 * (SUMIFS(Table1[[AwayWon]:[AwayWon]], Table1[[GameIsOver]:[GameIsOver]], 1, Table1[[AwayTeam]:[AwayTeam]], $A43, Table1[[HomeTeam]:[HomeTeam]], T$36) + SUMIFS(Table1[[HomeWon]:[HomeWon]], Table1[[GameIsOver]:[GameIsOver]], 1, Table1[[HomeTeam]:[HomeTeam]], $A43, Table1[[AwayTeam]:[AwayTeam]], T$36))) + (SUMIFS(Table1[[HomeWon]:[HomeWon]], Table1[[GameIsOver]:[GameIsOver]], 1, Table1[[AwayTeam]:[AwayTeam]], $A43, Table1[[HomeTeam]:[HomeTeam]],  T$36, Table1[[ActualResult]:[ActualResult]], "OT") + SUMIFS(Table1[[AwayWon]:[AwayWon]], Table1[[GameIsOver]:[GameIsOver]], 1, Table1[[HomeTeam]:[HomeTeam]], $A43, Table1[[AwayTeam]:[AwayTeam]], T$36, Table1[[ActualResult]:[ActualResult]], "OT") + SUMIFS(Table1[[HomeWon]:[HomeWon]], Table1[[GameIsOver]:[GameIsOver]], 1, Table1[[AwayTeam]:[AwayTeam]], $A43, Table1[[HomeTeam]:[HomeTeam]], T$36, Table1[[ActualResult]:[ActualResult]], "SO") + SUMIFS(Table1[[AwayWon]:[AwayWon]], Table1[[GameIsOver]:[GameIsOver]], 1, Table1[[HomeTeam]:[HomeTeam]], $A43, Table1[[AwayTeam]:[AwayTeam]], T$36, Table1[[ActualResult]:[ActualResult]], "SO")))/ (2*((COUNTIFS(Table1[[GameIsOver]:[GameIsOver]],1,Table1[[AwayTeam]:[AwayTeam]],$A43, Table1[[HomeTeam]:[HomeTeam]], T$36)))+( COUNTIFS(Table1[[GameIsOver]:[GameIsOver]],1,Table1[[AwayTeam]:[AwayTeam]],T$36, Table1[[HomeTeam]:[HomeTeam]],$A43))), "")</f>
        <v/>
      </c>
      <c r="U43" s="36" t="str">
        <f>IFERROR(((2 * (SUMIFS(Table1[[AwayWon]:[AwayWon]], Table1[[GameIsOver]:[GameIsOver]], 1, Table1[[AwayTeam]:[AwayTeam]], $A43, Table1[[HomeTeam]:[HomeTeam]], U$36) + SUMIFS(Table1[[HomeWon]:[HomeWon]], Table1[[GameIsOver]:[GameIsOver]], 1, Table1[[HomeTeam]:[HomeTeam]], $A43, Table1[[AwayTeam]:[AwayTeam]], U$36))) + (SUMIFS(Table1[[HomeWon]:[HomeWon]], Table1[[GameIsOver]:[GameIsOver]], 1, Table1[[AwayTeam]:[AwayTeam]], $A43, Table1[[HomeTeam]:[HomeTeam]],  U$36, Table1[[ActualResult]:[ActualResult]], "OT") + SUMIFS(Table1[[AwayWon]:[AwayWon]], Table1[[GameIsOver]:[GameIsOver]], 1, Table1[[HomeTeam]:[HomeTeam]], $A43, Table1[[AwayTeam]:[AwayTeam]], U$36, Table1[[ActualResult]:[ActualResult]], "OT") + SUMIFS(Table1[[HomeWon]:[HomeWon]], Table1[[GameIsOver]:[GameIsOver]], 1, Table1[[AwayTeam]:[AwayTeam]], $A43, Table1[[HomeTeam]:[HomeTeam]], U$36, Table1[[ActualResult]:[ActualResult]], "SO") + SUMIFS(Table1[[AwayWon]:[AwayWon]], Table1[[GameIsOver]:[GameIsOver]], 1, Table1[[HomeTeam]:[HomeTeam]], $A43, Table1[[AwayTeam]:[AwayTeam]], U$36, Table1[[ActualResult]:[ActualResult]], "SO")))/ (2*((COUNTIFS(Table1[[GameIsOver]:[GameIsOver]],1,Table1[[AwayTeam]:[AwayTeam]],$A43, Table1[[HomeTeam]:[HomeTeam]], U$36)))+( COUNTIFS(Table1[[GameIsOver]:[GameIsOver]],1,Table1[[AwayTeam]:[AwayTeam]],U$36, Table1[[HomeTeam]:[HomeTeam]],$A43))), "")</f>
        <v/>
      </c>
      <c r="V43" s="36" t="str">
        <f>IFERROR(((2 * (SUMIFS(Table1[[AwayWon]:[AwayWon]], Table1[[GameIsOver]:[GameIsOver]], 1, Table1[[AwayTeam]:[AwayTeam]], $A43, Table1[[HomeTeam]:[HomeTeam]], V$36) + SUMIFS(Table1[[HomeWon]:[HomeWon]], Table1[[GameIsOver]:[GameIsOver]], 1, Table1[[HomeTeam]:[HomeTeam]], $A43, Table1[[AwayTeam]:[AwayTeam]], V$36))) + (SUMIFS(Table1[[HomeWon]:[HomeWon]], Table1[[GameIsOver]:[GameIsOver]], 1, Table1[[AwayTeam]:[AwayTeam]], $A43, Table1[[HomeTeam]:[HomeTeam]],  V$36, Table1[[ActualResult]:[ActualResult]], "OT") + SUMIFS(Table1[[AwayWon]:[AwayWon]], Table1[[GameIsOver]:[GameIsOver]], 1, Table1[[HomeTeam]:[HomeTeam]], $A43, Table1[[AwayTeam]:[AwayTeam]], V$36, Table1[[ActualResult]:[ActualResult]], "OT") + SUMIFS(Table1[[HomeWon]:[HomeWon]], Table1[[GameIsOver]:[GameIsOver]], 1, Table1[[AwayTeam]:[AwayTeam]], $A43, Table1[[HomeTeam]:[HomeTeam]], V$36, Table1[[ActualResult]:[ActualResult]], "SO") + SUMIFS(Table1[[AwayWon]:[AwayWon]], Table1[[GameIsOver]:[GameIsOver]], 1, Table1[[HomeTeam]:[HomeTeam]], $A43, Table1[[AwayTeam]:[AwayTeam]], V$36, Table1[[ActualResult]:[ActualResult]], "SO")))/ (2*((COUNTIFS(Table1[[GameIsOver]:[GameIsOver]],1,Table1[[AwayTeam]:[AwayTeam]],$A43, Table1[[HomeTeam]:[HomeTeam]], V$36)))+( COUNTIFS(Table1[[GameIsOver]:[GameIsOver]],1,Table1[[AwayTeam]:[AwayTeam]],V$36, Table1[[HomeTeam]:[HomeTeam]],$A43))), "")</f>
        <v/>
      </c>
      <c r="W43" s="36" t="str">
        <f>IFERROR(((2 * (SUMIFS(Table1[[AwayWon]:[AwayWon]], Table1[[GameIsOver]:[GameIsOver]], 1, Table1[[AwayTeam]:[AwayTeam]], $A43, Table1[[HomeTeam]:[HomeTeam]], W$36) + SUMIFS(Table1[[HomeWon]:[HomeWon]], Table1[[GameIsOver]:[GameIsOver]], 1, Table1[[HomeTeam]:[HomeTeam]], $A43, Table1[[AwayTeam]:[AwayTeam]], W$36))) + (SUMIFS(Table1[[HomeWon]:[HomeWon]], Table1[[GameIsOver]:[GameIsOver]], 1, Table1[[AwayTeam]:[AwayTeam]], $A43, Table1[[HomeTeam]:[HomeTeam]],  W$36, Table1[[ActualResult]:[ActualResult]], "OT") + SUMIFS(Table1[[AwayWon]:[AwayWon]], Table1[[GameIsOver]:[GameIsOver]], 1, Table1[[HomeTeam]:[HomeTeam]], $A43, Table1[[AwayTeam]:[AwayTeam]], W$36, Table1[[ActualResult]:[ActualResult]], "OT") + SUMIFS(Table1[[HomeWon]:[HomeWon]], Table1[[GameIsOver]:[GameIsOver]], 1, Table1[[AwayTeam]:[AwayTeam]], $A43, Table1[[HomeTeam]:[HomeTeam]], W$36, Table1[[ActualResult]:[ActualResult]], "SO") + SUMIFS(Table1[[AwayWon]:[AwayWon]], Table1[[GameIsOver]:[GameIsOver]], 1, Table1[[HomeTeam]:[HomeTeam]], $A43, Table1[[AwayTeam]:[AwayTeam]], W$36, Table1[[ActualResult]:[ActualResult]], "SO")))/ (2*((COUNTIFS(Table1[[GameIsOver]:[GameIsOver]],1,Table1[[AwayTeam]:[AwayTeam]],$A43, Table1[[HomeTeam]:[HomeTeam]], W$36)))+( COUNTIFS(Table1[[GameIsOver]:[GameIsOver]],1,Table1[[AwayTeam]:[AwayTeam]],W$36, Table1[[HomeTeam]:[HomeTeam]],$A43))), "")</f>
        <v/>
      </c>
      <c r="X43" s="36" t="str">
        <f>IFERROR(((2 * (SUMIFS(Table1[[AwayWon]:[AwayWon]], Table1[[GameIsOver]:[GameIsOver]], 1, Table1[[AwayTeam]:[AwayTeam]], $A43, Table1[[HomeTeam]:[HomeTeam]], X$36) + SUMIFS(Table1[[HomeWon]:[HomeWon]], Table1[[GameIsOver]:[GameIsOver]], 1, Table1[[HomeTeam]:[HomeTeam]], $A43, Table1[[AwayTeam]:[AwayTeam]], X$36))) + (SUMIFS(Table1[[HomeWon]:[HomeWon]], Table1[[GameIsOver]:[GameIsOver]], 1, Table1[[AwayTeam]:[AwayTeam]], $A43, Table1[[HomeTeam]:[HomeTeam]],  X$36, Table1[[ActualResult]:[ActualResult]], "OT") + SUMIFS(Table1[[AwayWon]:[AwayWon]], Table1[[GameIsOver]:[GameIsOver]], 1, Table1[[HomeTeam]:[HomeTeam]], $A43, Table1[[AwayTeam]:[AwayTeam]], X$36, Table1[[ActualResult]:[ActualResult]], "OT") + SUMIFS(Table1[[HomeWon]:[HomeWon]], Table1[[GameIsOver]:[GameIsOver]], 1, Table1[[AwayTeam]:[AwayTeam]], $A43, Table1[[HomeTeam]:[HomeTeam]], X$36, Table1[[ActualResult]:[ActualResult]], "SO") + SUMIFS(Table1[[AwayWon]:[AwayWon]], Table1[[GameIsOver]:[GameIsOver]], 1, Table1[[HomeTeam]:[HomeTeam]], $A43, Table1[[AwayTeam]:[AwayTeam]], X$36, Table1[[ActualResult]:[ActualResult]], "SO")))/ (2*((COUNTIFS(Table1[[GameIsOver]:[GameIsOver]],1,Table1[[AwayTeam]:[AwayTeam]],$A43, Table1[[HomeTeam]:[HomeTeam]], X$36)))+( COUNTIFS(Table1[[GameIsOver]:[GameIsOver]],1,Table1[[AwayTeam]:[AwayTeam]],X$36, Table1[[HomeTeam]:[HomeTeam]],$A43))), "")</f>
        <v/>
      </c>
      <c r="Y43" s="38" t="str">
        <f>IFERROR(((2 * (SUMIFS(Table1[[AwayWon]:[AwayWon]], Table1[[GameIsOver]:[GameIsOver]], 1, Table1[[AwayTeam]:[AwayTeam]], $A43, Table1[[HomeTeam]:[HomeTeam]], Y$36) + SUMIFS(Table1[[HomeWon]:[HomeWon]], Table1[[GameIsOver]:[GameIsOver]], 1, Table1[[HomeTeam]:[HomeTeam]], $A43, Table1[[AwayTeam]:[AwayTeam]], Y$36))) + (SUMIFS(Table1[[HomeWon]:[HomeWon]], Table1[[GameIsOver]:[GameIsOver]], 1, Table1[[AwayTeam]:[AwayTeam]], $A43, Table1[[HomeTeam]:[HomeTeam]],  Y$36, Table1[[ActualResult]:[ActualResult]], "OT") + SUMIFS(Table1[[AwayWon]:[AwayWon]], Table1[[GameIsOver]:[GameIsOver]], 1, Table1[[HomeTeam]:[HomeTeam]], $A43, Table1[[AwayTeam]:[AwayTeam]], Y$36, Table1[[ActualResult]:[ActualResult]], "OT") + SUMIFS(Table1[[HomeWon]:[HomeWon]], Table1[[GameIsOver]:[GameIsOver]], 1, Table1[[AwayTeam]:[AwayTeam]], $A43, Table1[[HomeTeam]:[HomeTeam]], Y$36, Table1[[ActualResult]:[ActualResult]], "SO") + SUMIFS(Table1[[AwayWon]:[AwayWon]], Table1[[GameIsOver]:[GameIsOver]], 1, Table1[[HomeTeam]:[HomeTeam]], $A43, Table1[[AwayTeam]:[AwayTeam]], Y$36, Table1[[ActualResult]:[ActualResult]], "SO")))/ (2*((COUNTIFS(Table1[[GameIsOver]:[GameIsOver]],1,Table1[[AwayTeam]:[AwayTeam]],$A43, Table1[[HomeTeam]:[HomeTeam]], Y$36)))+( COUNTIFS(Table1[[GameIsOver]:[GameIsOver]],1,Table1[[AwayTeam]:[AwayTeam]],Y$36, Table1[[HomeTeam]:[HomeTeam]],$A43))), "")</f>
        <v/>
      </c>
      <c r="Z43" s="36" t="str">
        <f>IFERROR(((2 * (SUMIFS(Table1[[AwayWon]:[AwayWon]], Table1[[GameIsOver]:[GameIsOver]], 1, Table1[[AwayTeam]:[AwayTeam]], $A43, Table1[[HomeTeam]:[HomeTeam]], Z$36) + SUMIFS(Table1[[HomeWon]:[HomeWon]], Table1[[GameIsOver]:[GameIsOver]], 1, Table1[[HomeTeam]:[HomeTeam]], $A43, Table1[[AwayTeam]:[AwayTeam]], Z$36))) + (SUMIFS(Table1[[HomeWon]:[HomeWon]], Table1[[GameIsOver]:[GameIsOver]], 1, Table1[[AwayTeam]:[AwayTeam]], $A43, Table1[[HomeTeam]:[HomeTeam]],  Z$36, Table1[[ActualResult]:[ActualResult]], "OT") + SUMIFS(Table1[[AwayWon]:[AwayWon]], Table1[[GameIsOver]:[GameIsOver]], 1, Table1[[HomeTeam]:[HomeTeam]], $A43, Table1[[AwayTeam]:[AwayTeam]], Z$36, Table1[[ActualResult]:[ActualResult]], "OT") + SUMIFS(Table1[[HomeWon]:[HomeWon]], Table1[[GameIsOver]:[GameIsOver]], 1, Table1[[AwayTeam]:[AwayTeam]], $A43, Table1[[HomeTeam]:[HomeTeam]], Z$36, Table1[[ActualResult]:[ActualResult]], "SO") + SUMIFS(Table1[[AwayWon]:[AwayWon]], Table1[[GameIsOver]:[GameIsOver]], 1, Table1[[HomeTeam]:[HomeTeam]], $A43, Table1[[AwayTeam]:[AwayTeam]], Z$36, Table1[[ActualResult]:[ActualResult]], "SO")))/ (2*((COUNTIFS(Table1[[GameIsOver]:[GameIsOver]],1,Table1[[AwayTeam]:[AwayTeam]],$A43, Table1[[HomeTeam]:[HomeTeam]], Z$36)))+( COUNTIFS(Table1[[GameIsOver]:[GameIsOver]],1,Table1[[AwayTeam]:[AwayTeam]],Z$36, Table1[[HomeTeam]:[HomeTeam]],$A43))), "")</f>
        <v/>
      </c>
      <c r="AA43" s="36" t="str">
        <f>IFERROR(((2 * (SUMIFS(Table1[[AwayWon]:[AwayWon]], Table1[[GameIsOver]:[GameIsOver]], 1, Table1[[AwayTeam]:[AwayTeam]], $A43, Table1[[HomeTeam]:[HomeTeam]], AA$36) + SUMIFS(Table1[[HomeWon]:[HomeWon]], Table1[[GameIsOver]:[GameIsOver]], 1, Table1[[HomeTeam]:[HomeTeam]], $A43, Table1[[AwayTeam]:[AwayTeam]], AA$36))) + (SUMIFS(Table1[[HomeWon]:[HomeWon]], Table1[[GameIsOver]:[GameIsOver]], 1, Table1[[AwayTeam]:[AwayTeam]], $A43, Table1[[HomeTeam]:[HomeTeam]],  AA$36, Table1[[ActualResult]:[ActualResult]], "OT") + SUMIFS(Table1[[AwayWon]:[AwayWon]], Table1[[GameIsOver]:[GameIsOver]], 1, Table1[[HomeTeam]:[HomeTeam]], $A43, Table1[[AwayTeam]:[AwayTeam]], AA$36, Table1[[ActualResult]:[ActualResult]], "OT") + SUMIFS(Table1[[HomeWon]:[HomeWon]], Table1[[GameIsOver]:[GameIsOver]], 1, Table1[[AwayTeam]:[AwayTeam]], $A43, Table1[[HomeTeam]:[HomeTeam]], AA$36, Table1[[ActualResult]:[ActualResult]], "SO") + SUMIFS(Table1[[AwayWon]:[AwayWon]], Table1[[GameIsOver]:[GameIsOver]], 1, Table1[[HomeTeam]:[HomeTeam]], $A43, Table1[[AwayTeam]:[AwayTeam]], AA$36, Table1[[ActualResult]:[ActualResult]], "SO")))/ (2*((COUNTIFS(Table1[[GameIsOver]:[GameIsOver]],1,Table1[[AwayTeam]:[AwayTeam]],$A43, Table1[[HomeTeam]:[HomeTeam]], AA$36)))+( COUNTIFS(Table1[[GameIsOver]:[GameIsOver]],1,Table1[[AwayTeam]:[AwayTeam]],AA$36, Table1[[HomeTeam]:[HomeTeam]],$A43))), "")</f>
        <v/>
      </c>
      <c r="AB43" s="36" t="str">
        <f>IFERROR(((2 * (SUMIFS(Table1[[AwayWon]:[AwayWon]], Table1[[GameIsOver]:[GameIsOver]], 1, Table1[[AwayTeam]:[AwayTeam]], $A43, Table1[[HomeTeam]:[HomeTeam]], AB$36) + SUMIFS(Table1[[HomeWon]:[HomeWon]], Table1[[GameIsOver]:[GameIsOver]], 1, Table1[[HomeTeam]:[HomeTeam]], $A43, Table1[[AwayTeam]:[AwayTeam]], AB$36))) + (SUMIFS(Table1[[HomeWon]:[HomeWon]], Table1[[GameIsOver]:[GameIsOver]], 1, Table1[[AwayTeam]:[AwayTeam]], $A43, Table1[[HomeTeam]:[HomeTeam]],  AB$36, Table1[[ActualResult]:[ActualResult]], "OT") + SUMIFS(Table1[[AwayWon]:[AwayWon]], Table1[[GameIsOver]:[GameIsOver]], 1, Table1[[HomeTeam]:[HomeTeam]], $A43, Table1[[AwayTeam]:[AwayTeam]], AB$36, Table1[[ActualResult]:[ActualResult]], "OT") + SUMIFS(Table1[[HomeWon]:[HomeWon]], Table1[[GameIsOver]:[GameIsOver]], 1, Table1[[AwayTeam]:[AwayTeam]], $A43, Table1[[HomeTeam]:[HomeTeam]], AB$36, Table1[[ActualResult]:[ActualResult]], "SO") + SUMIFS(Table1[[AwayWon]:[AwayWon]], Table1[[GameIsOver]:[GameIsOver]], 1, Table1[[HomeTeam]:[HomeTeam]], $A43, Table1[[AwayTeam]:[AwayTeam]], AB$36, Table1[[ActualResult]:[ActualResult]], "SO")))/ (2*((COUNTIFS(Table1[[GameIsOver]:[GameIsOver]],1,Table1[[AwayTeam]:[AwayTeam]],$A43, Table1[[HomeTeam]:[HomeTeam]], AB$36)))+( COUNTIFS(Table1[[GameIsOver]:[GameIsOver]],1,Table1[[AwayTeam]:[AwayTeam]],AB$36, Table1[[HomeTeam]:[HomeTeam]],$A43))), "")</f>
        <v/>
      </c>
      <c r="AC43" s="36" t="str">
        <f>IFERROR(((2 * (SUMIFS(Table1[[AwayWon]:[AwayWon]], Table1[[GameIsOver]:[GameIsOver]], 1, Table1[[AwayTeam]:[AwayTeam]], $A43, Table1[[HomeTeam]:[HomeTeam]], AC$36) + SUMIFS(Table1[[HomeWon]:[HomeWon]], Table1[[GameIsOver]:[GameIsOver]], 1, Table1[[HomeTeam]:[HomeTeam]], $A43, Table1[[AwayTeam]:[AwayTeam]], AC$36))) + (SUMIFS(Table1[[HomeWon]:[HomeWon]], Table1[[GameIsOver]:[GameIsOver]], 1, Table1[[AwayTeam]:[AwayTeam]], $A43, Table1[[HomeTeam]:[HomeTeam]],  AC$36, Table1[[ActualResult]:[ActualResult]], "OT") + SUMIFS(Table1[[AwayWon]:[AwayWon]], Table1[[GameIsOver]:[GameIsOver]], 1, Table1[[HomeTeam]:[HomeTeam]], $A43, Table1[[AwayTeam]:[AwayTeam]], AC$36, Table1[[ActualResult]:[ActualResult]], "OT") + SUMIFS(Table1[[HomeWon]:[HomeWon]], Table1[[GameIsOver]:[GameIsOver]], 1, Table1[[AwayTeam]:[AwayTeam]], $A43, Table1[[HomeTeam]:[HomeTeam]], AC$36, Table1[[ActualResult]:[ActualResult]], "SO") + SUMIFS(Table1[[AwayWon]:[AwayWon]], Table1[[GameIsOver]:[GameIsOver]], 1, Table1[[HomeTeam]:[HomeTeam]], $A43, Table1[[AwayTeam]:[AwayTeam]], AC$36, Table1[[ActualResult]:[ActualResult]], "SO")))/ (2*((COUNTIFS(Table1[[GameIsOver]:[GameIsOver]],1,Table1[[AwayTeam]:[AwayTeam]],$A43, Table1[[HomeTeam]:[HomeTeam]], AC$36)))+( COUNTIFS(Table1[[GameIsOver]:[GameIsOver]],1,Table1[[AwayTeam]:[AwayTeam]],AC$36, Table1[[HomeTeam]:[HomeTeam]],$A43))), "")</f>
        <v/>
      </c>
      <c r="AD43" s="36" t="str">
        <f>IFERROR(((2 * (SUMIFS(Table1[[AwayWon]:[AwayWon]], Table1[[GameIsOver]:[GameIsOver]], 1, Table1[[AwayTeam]:[AwayTeam]], $A43, Table1[[HomeTeam]:[HomeTeam]], AD$36) + SUMIFS(Table1[[HomeWon]:[HomeWon]], Table1[[GameIsOver]:[GameIsOver]], 1, Table1[[HomeTeam]:[HomeTeam]], $A43, Table1[[AwayTeam]:[AwayTeam]], AD$36))) + (SUMIFS(Table1[[HomeWon]:[HomeWon]], Table1[[GameIsOver]:[GameIsOver]], 1, Table1[[AwayTeam]:[AwayTeam]], $A43, Table1[[HomeTeam]:[HomeTeam]],  AD$36, Table1[[ActualResult]:[ActualResult]], "OT") + SUMIFS(Table1[[AwayWon]:[AwayWon]], Table1[[GameIsOver]:[GameIsOver]], 1, Table1[[HomeTeam]:[HomeTeam]], $A43, Table1[[AwayTeam]:[AwayTeam]], AD$36, Table1[[ActualResult]:[ActualResult]], "OT") + SUMIFS(Table1[[HomeWon]:[HomeWon]], Table1[[GameIsOver]:[GameIsOver]], 1, Table1[[AwayTeam]:[AwayTeam]], $A43, Table1[[HomeTeam]:[HomeTeam]], AD$36, Table1[[ActualResult]:[ActualResult]], "SO") + SUMIFS(Table1[[AwayWon]:[AwayWon]], Table1[[GameIsOver]:[GameIsOver]], 1, Table1[[HomeTeam]:[HomeTeam]], $A43, Table1[[AwayTeam]:[AwayTeam]], AD$36, Table1[[ActualResult]:[ActualResult]], "SO")))/ (2*((COUNTIFS(Table1[[GameIsOver]:[GameIsOver]],1,Table1[[AwayTeam]:[AwayTeam]],$A43, Table1[[HomeTeam]:[HomeTeam]], AD$36)))+( COUNTIFS(Table1[[GameIsOver]:[GameIsOver]],1,Table1[[AwayTeam]:[AwayTeam]],AD$36, Table1[[HomeTeam]:[HomeTeam]],$A43))), "")</f>
        <v/>
      </c>
      <c r="AE43" s="36" t="str">
        <f>IFERROR(((2 * (SUMIFS(Table1[[AwayWon]:[AwayWon]], Table1[[GameIsOver]:[GameIsOver]], 1, Table1[[AwayTeam]:[AwayTeam]], $A43, Table1[[HomeTeam]:[HomeTeam]], AE$36) + SUMIFS(Table1[[HomeWon]:[HomeWon]], Table1[[GameIsOver]:[GameIsOver]], 1, Table1[[HomeTeam]:[HomeTeam]], $A43, Table1[[AwayTeam]:[AwayTeam]], AE$36))) + (SUMIFS(Table1[[HomeWon]:[HomeWon]], Table1[[GameIsOver]:[GameIsOver]], 1, Table1[[AwayTeam]:[AwayTeam]], $A43, Table1[[HomeTeam]:[HomeTeam]],  AE$36, Table1[[ActualResult]:[ActualResult]], "OT") + SUMIFS(Table1[[AwayWon]:[AwayWon]], Table1[[GameIsOver]:[GameIsOver]], 1, Table1[[HomeTeam]:[HomeTeam]], $A43, Table1[[AwayTeam]:[AwayTeam]], AE$36, Table1[[ActualResult]:[ActualResult]], "OT") + SUMIFS(Table1[[HomeWon]:[HomeWon]], Table1[[GameIsOver]:[GameIsOver]], 1, Table1[[AwayTeam]:[AwayTeam]], $A43, Table1[[HomeTeam]:[HomeTeam]], AE$36, Table1[[ActualResult]:[ActualResult]], "SO") + SUMIFS(Table1[[AwayWon]:[AwayWon]], Table1[[GameIsOver]:[GameIsOver]], 1, Table1[[HomeTeam]:[HomeTeam]], $A43, Table1[[AwayTeam]:[AwayTeam]], AE$36, Table1[[ActualResult]:[ActualResult]], "SO")))/ (2*((COUNTIFS(Table1[[GameIsOver]:[GameIsOver]],1,Table1[[AwayTeam]:[AwayTeam]],$A43, Table1[[HomeTeam]:[HomeTeam]], AE$36)))+( COUNTIFS(Table1[[GameIsOver]:[GameIsOver]],1,Table1[[AwayTeam]:[AwayTeam]],AE$36, Table1[[HomeTeam]:[HomeTeam]],$A43))), "")</f>
        <v/>
      </c>
      <c r="AF43" s="36" t="str">
        <f>IFERROR(((2 * (SUMIFS(Table1[[AwayWon]:[AwayWon]], Table1[[GameIsOver]:[GameIsOver]], 1, Table1[[AwayTeam]:[AwayTeam]], $A43, Table1[[HomeTeam]:[HomeTeam]], AF$36) + SUMIFS(Table1[[HomeWon]:[HomeWon]], Table1[[GameIsOver]:[GameIsOver]], 1, Table1[[HomeTeam]:[HomeTeam]], $A43, Table1[[AwayTeam]:[AwayTeam]], AF$36))) + (SUMIFS(Table1[[HomeWon]:[HomeWon]], Table1[[GameIsOver]:[GameIsOver]], 1, Table1[[AwayTeam]:[AwayTeam]], $A43, Table1[[HomeTeam]:[HomeTeam]],  AF$36, Table1[[ActualResult]:[ActualResult]], "OT") + SUMIFS(Table1[[AwayWon]:[AwayWon]], Table1[[GameIsOver]:[GameIsOver]], 1, Table1[[HomeTeam]:[HomeTeam]], $A43, Table1[[AwayTeam]:[AwayTeam]], AF$36, Table1[[ActualResult]:[ActualResult]], "OT") + SUMIFS(Table1[[HomeWon]:[HomeWon]], Table1[[GameIsOver]:[GameIsOver]], 1, Table1[[AwayTeam]:[AwayTeam]], $A43, Table1[[HomeTeam]:[HomeTeam]], AF$36, Table1[[ActualResult]:[ActualResult]], "SO") + SUMIFS(Table1[[AwayWon]:[AwayWon]], Table1[[GameIsOver]:[GameIsOver]], 1, Table1[[HomeTeam]:[HomeTeam]], $A43, Table1[[AwayTeam]:[AwayTeam]], AF$36, Table1[[ActualResult]:[ActualResult]], "SO")))/ (2*((COUNTIFS(Table1[[GameIsOver]:[GameIsOver]],1,Table1[[AwayTeam]:[AwayTeam]],$A43, Table1[[HomeTeam]:[HomeTeam]], AF$36)))+( COUNTIFS(Table1[[GameIsOver]:[GameIsOver]],1,Table1[[AwayTeam]:[AwayTeam]],AF$36, Table1[[HomeTeam]:[HomeTeam]],$A43))), "")</f>
        <v/>
      </c>
      <c r="AG43" s="36" t="str">
        <f>IFERROR(((2 * (SUMIFS(Table1[[AwayWon]:[AwayWon]], Table1[[GameIsOver]:[GameIsOver]], 1, Table1[[AwayTeam]:[AwayTeam]], $A43, Table1[[HomeTeam]:[HomeTeam]], AG$36) + SUMIFS(Table1[[HomeWon]:[HomeWon]], Table1[[GameIsOver]:[GameIsOver]], 1, Table1[[HomeTeam]:[HomeTeam]], $A43, Table1[[AwayTeam]:[AwayTeam]], AG$36))) + (SUMIFS(Table1[[HomeWon]:[HomeWon]], Table1[[GameIsOver]:[GameIsOver]], 1, Table1[[AwayTeam]:[AwayTeam]], $A43, Table1[[HomeTeam]:[HomeTeam]],  AG$36, Table1[[ActualResult]:[ActualResult]], "OT") + SUMIFS(Table1[[AwayWon]:[AwayWon]], Table1[[GameIsOver]:[GameIsOver]], 1, Table1[[HomeTeam]:[HomeTeam]], $A43, Table1[[AwayTeam]:[AwayTeam]], AG$36, Table1[[ActualResult]:[ActualResult]], "OT") + SUMIFS(Table1[[HomeWon]:[HomeWon]], Table1[[GameIsOver]:[GameIsOver]], 1, Table1[[AwayTeam]:[AwayTeam]], $A43, Table1[[HomeTeam]:[HomeTeam]], AG$36, Table1[[ActualResult]:[ActualResult]], "SO") + SUMIFS(Table1[[AwayWon]:[AwayWon]], Table1[[GameIsOver]:[GameIsOver]], 1, Table1[[HomeTeam]:[HomeTeam]], $A43, Table1[[AwayTeam]:[AwayTeam]], AG$36, Table1[[ActualResult]:[ActualResult]], "SO")))/ (2*((COUNTIFS(Table1[[GameIsOver]:[GameIsOver]],1,Table1[[AwayTeam]:[AwayTeam]],$A43, Table1[[HomeTeam]:[HomeTeam]], AG$36)))+( COUNTIFS(Table1[[GameIsOver]:[GameIsOver]],1,Table1[[AwayTeam]:[AwayTeam]],AG$36, Table1[[HomeTeam]:[HomeTeam]],$A43))), "")</f>
        <v/>
      </c>
      <c r="AH43" s="37" t="e">
        <f t="shared" si="0"/>
        <v>#DIV/0!</v>
      </c>
      <c r="AI43" s="37">
        <f t="shared" si="1"/>
        <v>0.66666666666666663</v>
      </c>
      <c r="AJ43" s="38" t="e">
        <f t="shared" si="2"/>
        <v>#DIV/0!</v>
      </c>
      <c r="AK43" s="38" t="e">
        <f t="shared" si="3"/>
        <v>#DIV/0!</v>
      </c>
      <c r="AL43" s="38" t="e">
        <f t="shared" si="4"/>
        <v>#DIV/0!</v>
      </c>
      <c r="AM43" s="38">
        <f t="shared" si="5"/>
        <v>0.66666666666666663</v>
      </c>
    </row>
    <row r="44" spans="1:39" ht="15.75" thickBot="1" x14ac:dyDescent="0.3">
      <c r="A44" s="18" t="s">
        <v>25</v>
      </c>
      <c r="B44" s="39" t="str">
        <f>IFERROR(((2 * (SUMIFS(Table1[[AwayWon]:[AwayWon]], Table1[[GameIsOver]:[GameIsOver]], 1, Table1[[AwayTeam]:[AwayTeam]], $A44, Table1[[HomeTeam]:[HomeTeam]], B$36) + SUMIFS(Table1[[HomeWon]:[HomeWon]], Table1[[GameIsOver]:[GameIsOver]], 1, Table1[[HomeTeam]:[HomeTeam]], $A44, Table1[[AwayTeam]:[AwayTeam]], B$36))) + (SUMIFS(Table1[[HomeWon]:[HomeWon]], Table1[[GameIsOver]:[GameIsOver]], 1, Table1[[AwayTeam]:[AwayTeam]], $A44, Table1[[HomeTeam]:[HomeTeam]],  B$36, Table1[[ActualResult]:[ActualResult]], "OT") + SUMIFS(Table1[[AwayWon]:[AwayWon]], Table1[[GameIsOver]:[GameIsOver]], 1, Table1[[HomeTeam]:[HomeTeam]], $A44, Table1[[AwayTeam]:[AwayTeam]], B$36, Table1[[ActualResult]:[ActualResult]], "OT") + SUMIFS(Table1[[HomeWon]:[HomeWon]], Table1[[GameIsOver]:[GameIsOver]], 1, Table1[[AwayTeam]:[AwayTeam]], $A44, Table1[[HomeTeam]:[HomeTeam]], B$36, Table1[[ActualResult]:[ActualResult]], "SO") + SUMIFS(Table1[[AwayWon]:[AwayWon]], Table1[[GameIsOver]:[GameIsOver]], 1, Table1[[HomeTeam]:[HomeTeam]], $A44, Table1[[AwayTeam]:[AwayTeam]], B$36, Table1[[ActualResult]:[ActualResult]], "SO")))/ (2*((COUNTIFS(Table1[[GameIsOver]:[GameIsOver]],1,Table1[[AwayTeam]:[AwayTeam]],$A44, Table1[[HomeTeam]:[HomeTeam]], B$36)))+( COUNTIFS(Table1[[GameIsOver]:[GameIsOver]],1,Table1[[AwayTeam]:[AwayTeam]],B$36, Table1[[HomeTeam]:[HomeTeam]],$A44))), "")</f>
        <v/>
      </c>
      <c r="C44" s="40" t="str">
        <f>IFERROR(((2 * (SUMIFS(Table1[[AwayWon]:[AwayWon]], Table1[[GameIsOver]:[GameIsOver]], 1, Table1[[AwayTeam]:[AwayTeam]], $A44, Table1[[HomeTeam]:[HomeTeam]], C$36) + SUMIFS(Table1[[HomeWon]:[HomeWon]], Table1[[GameIsOver]:[GameIsOver]], 1, Table1[[HomeTeam]:[HomeTeam]], $A44, Table1[[AwayTeam]:[AwayTeam]], C$36))) + (SUMIFS(Table1[[HomeWon]:[HomeWon]], Table1[[GameIsOver]:[GameIsOver]], 1, Table1[[AwayTeam]:[AwayTeam]], $A44, Table1[[HomeTeam]:[HomeTeam]],  C$36, Table1[[ActualResult]:[ActualResult]], "OT") + SUMIFS(Table1[[AwayWon]:[AwayWon]], Table1[[GameIsOver]:[GameIsOver]], 1, Table1[[HomeTeam]:[HomeTeam]], $A44, Table1[[AwayTeam]:[AwayTeam]], C$36, Table1[[ActualResult]:[ActualResult]], "OT") + SUMIFS(Table1[[HomeWon]:[HomeWon]], Table1[[GameIsOver]:[GameIsOver]], 1, Table1[[AwayTeam]:[AwayTeam]], $A44, Table1[[HomeTeam]:[HomeTeam]], C$36, Table1[[ActualResult]:[ActualResult]], "SO") + SUMIFS(Table1[[AwayWon]:[AwayWon]], Table1[[GameIsOver]:[GameIsOver]], 1, Table1[[HomeTeam]:[HomeTeam]], $A44, Table1[[AwayTeam]:[AwayTeam]], C$36, Table1[[ActualResult]:[ActualResult]], "SO")))/ (2*((COUNTIFS(Table1[[GameIsOver]:[GameIsOver]],1,Table1[[AwayTeam]:[AwayTeam]],$A44, Table1[[HomeTeam]:[HomeTeam]], C$36)))+( COUNTIFS(Table1[[GameIsOver]:[GameIsOver]],1,Table1[[AwayTeam]:[AwayTeam]],C$36, Table1[[HomeTeam]:[HomeTeam]],$A44))), "")</f>
        <v/>
      </c>
      <c r="D44" s="40" t="str">
        <f>IFERROR(((2 * (SUMIFS(Table1[[AwayWon]:[AwayWon]], Table1[[GameIsOver]:[GameIsOver]], 1, Table1[[AwayTeam]:[AwayTeam]], $A44, Table1[[HomeTeam]:[HomeTeam]], D$36) + SUMIFS(Table1[[HomeWon]:[HomeWon]], Table1[[GameIsOver]:[GameIsOver]], 1, Table1[[HomeTeam]:[HomeTeam]], $A44, Table1[[AwayTeam]:[AwayTeam]], D$36))) + (SUMIFS(Table1[[HomeWon]:[HomeWon]], Table1[[GameIsOver]:[GameIsOver]], 1, Table1[[AwayTeam]:[AwayTeam]], $A44, Table1[[HomeTeam]:[HomeTeam]],  D$36, Table1[[ActualResult]:[ActualResult]], "OT") + SUMIFS(Table1[[AwayWon]:[AwayWon]], Table1[[GameIsOver]:[GameIsOver]], 1, Table1[[HomeTeam]:[HomeTeam]], $A44, Table1[[AwayTeam]:[AwayTeam]], D$36, Table1[[ActualResult]:[ActualResult]], "OT") + SUMIFS(Table1[[HomeWon]:[HomeWon]], Table1[[GameIsOver]:[GameIsOver]], 1, Table1[[AwayTeam]:[AwayTeam]], $A44, Table1[[HomeTeam]:[HomeTeam]], D$36, Table1[[ActualResult]:[ActualResult]], "SO") + SUMIFS(Table1[[AwayWon]:[AwayWon]], Table1[[GameIsOver]:[GameIsOver]], 1, Table1[[HomeTeam]:[HomeTeam]], $A44, Table1[[AwayTeam]:[AwayTeam]], D$36, Table1[[ActualResult]:[ActualResult]], "SO")))/ (2*((COUNTIFS(Table1[[GameIsOver]:[GameIsOver]],1,Table1[[AwayTeam]:[AwayTeam]],$A44, Table1[[HomeTeam]:[HomeTeam]], D$36)))+( COUNTIFS(Table1[[GameIsOver]:[GameIsOver]],1,Table1[[AwayTeam]:[AwayTeam]],D$36, Table1[[HomeTeam]:[HomeTeam]],$A44))), "")</f>
        <v/>
      </c>
      <c r="E44" s="40" t="str">
        <f>IFERROR(((2 * (SUMIFS(Table1[[AwayWon]:[AwayWon]], Table1[[GameIsOver]:[GameIsOver]], 1, Table1[[AwayTeam]:[AwayTeam]], $A44, Table1[[HomeTeam]:[HomeTeam]], E$36) + SUMIFS(Table1[[HomeWon]:[HomeWon]], Table1[[GameIsOver]:[GameIsOver]], 1, Table1[[HomeTeam]:[HomeTeam]], $A44, Table1[[AwayTeam]:[AwayTeam]], E$36))) + (SUMIFS(Table1[[HomeWon]:[HomeWon]], Table1[[GameIsOver]:[GameIsOver]], 1, Table1[[AwayTeam]:[AwayTeam]], $A44, Table1[[HomeTeam]:[HomeTeam]],  E$36, Table1[[ActualResult]:[ActualResult]], "OT") + SUMIFS(Table1[[AwayWon]:[AwayWon]], Table1[[GameIsOver]:[GameIsOver]], 1, Table1[[HomeTeam]:[HomeTeam]], $A44, Table1[[AwayTeam]:[AwayTeam]], E$36, Table1[[ActualResult]:[ActualResult]], "OT") + SUMIFS(Table1[[HomeWon]:[HomeWon]], Table1[[GameIsOver]:[GameIsOver]], 1, Table1[[AwayTeam]:[AwayTeam]], $A44, Table1[[HomeTeam]:[HomeTeam]], E$36, Table1[[ActualResult]:[ActualResult]], "SO") + SUMIFS(Table1[[AwayWon]:[AwayWon]], Table1[[GameIsOver]:[GameIsOver]], 1, Table1[[HomeTeam]:[HomeTeam]], $A44, Table1[[AwayTeam]:[AwayTeam]], E$36, Table1[[ActualResult]:[ActualResult]], "SO")))/ (2*((COUNTIFS(Table1[[GameIsOver]:[GameIsOver]],1,Table1[[AwayTeam]:[AwayTeam]],$A44, Table1[[HomeTeam]:[HomeTeam]], E$36)))+( COUNTIFS(Table1[[GameIsOver]:[GameIsOver]],1,Table1[[AwayTeam]:[AwayTeam]],E$36, Table1[[HomeTeam]:[HomeTeam]],$A44))), "")</f>
        <v/>
      </c>
      <c r="F44" s="40" t="str">
        <f>IFERROR(((2 * (SUMIFS(Table1[[AwayWon]:[AwayWon]], Table1[[GameIsOver]:[GameIsOver]], 1, Table1[[AwayTeam]:[AwayTeam]], $A44, Table1[[HomeTeam]:[HomeTeam]], F$36) + SUMIFS(Table1[[HomeWon]:[HomeWon]], Table1[[GameIsOver]:[GameIsOver]], 1, Table1[[HomeTeam]:[HomeTeam]], $A44, Table1[[AwayTeam]:[AwayTeam]], F$36))) + (SUMIFS(Table1[[HomeWon]:[HomeWon]], Table1[[GameIsOver]:[GameIsOver]], 1, Table1[[AwayTeam]:[AwayTeam]], $A44, Table1[[HomeTeam]:[HomeTeam]],  F$36, Table1[[ActualResult]:[ActualResult]], "OT") + SUMIFS(Table1[[AwayWon]:[AwayWon]], Table1[[GameIsOver]:[GameIsOver]], 1, Table1[[HomeTeam]:[HomeTeam]], $A44, Table1[[AwayTeam]:[AwayTeam]], F$36, Table1[[ActualResult]:[ActualResult]], "OT") + SUMIFS(Table1[[HomeWon]:[HomeWon]], Table1[[GameIsOver]:[GameIsOver]], 1, Table1[[AwayTeam]:[AwayTeam]], $A44, Table1[[HomeTeam]:[HomeTeam]], F$36, Table1[[ActualResult]:[ActualResult]], "SO") + SUMIFS(Table1[[AwayWon]:[AwayWon]], Table1[[GameIsOver]:[GameIsOver]], 1, Table1[[HomeTeam]:[HomeTeam]], $A44, Table1[[AwayTeam]:[AwayTeam]], F$36, Table1[[ActualResult]:[ActualResult]], "SO")))/ (2*((COUNTIFS(Table1[[GameIsOver]:[GameIsOver]],1,Table1[[AwayTeam]:[AwayTeam]],$A44, Table1[[HomeTeam]:[HomeTeam]], F$36)))+( COUNTIFS(Table1[[GameIsOver]:[GameIsOver]],1,Table1[[AwayTeam]:[AwayTeam]],F$36, Table1[[HomeTeam]:[HomeTeam]],$A44))), "")</f>
        <v/>
      </c>
      <c r="G44" s="40" t="str">
        <f>IFERROR(((2 * (SUMIFS(Table1[[AwayWon]:[AwayWon]], Table1[[GameIsOver]:[GameIsOver]], 1, Table1[[AwayTeam]:[AwayTeam]], $A44, Table1[[HomeTeam]:[HomeTeam]], G$36) + SUMIFS(Table1[[HomeWon]:[HomeWon]], Table1[[GameIsOver]:[GameIsOver]], 1, Table1[[HomeTeam]:[HomeTeam]], $A44, Table1[[AwayTeam]:[AwayTeam]], G$36))) + (SUMIFS(Table1[[HomeWon]:[HomeWon]], Table1[[GameIsOver]:[GameIsOver]], 1, Table1[[AwayTeam]:[AwayTeam]], $A44, Table1[[HomeTeam]:[HomeTeam]],  G$36, Table1[[ActualResult]:[ActualResult]], "OT") + SUMIFS(Table1[[AwayWon]:[AwayWon]], Table1[[GameIsOver]:[GameIsOver]], 1, Table1[[HomeTeam]:[HomeTeam]], $A44, Table1[[AwayTeam]:[AwayTeam]], G$36, Table1[[ActualResult]:[ActualResult]], "OT") + SUMIFS(Table1[[HomeWon]:[HomeWon]], Table1[[GameIsOver]:[GameIsOver]], 1, Table1[[AwayTeam]:[AwayTeam]], $A44, Table1[[HomeTeam]:[HomeTeam]], G$36, Table1[[ActualResult]:[ActualResult]], "SO") + SUMIFS(Table1[[AwayWon]:[AwayWon]], Table1[[GameIsOver]:[GameIsOver]], 1, Table1[[HomeTeam]:[HomeTeam]], $A44, Table1[[AwayTeam]:[AwayTeam]], G$36, Table1[[ActualResult]:[ActualResult]], "SO")))/ (2*((COUNTIFS(Table1[[GameIsOver]:[GameIsOver]],1,Table1[[AwayTeam]:[AwayTeam]],$A44, Table1[[HomeTeam]:[HomeTeam]], G$36)))+( COUNTIFS(Table1[[GameIsOver]:[GameIsOver]],1,Table1[[AwayTeam]:[AwayTeam]],G$36, Table1[[HomeTeam]:[HomeTeam]],$A44))), "")</f>
        <v/>
      </c>
      <c r="H44" s="40" t="str">
        <f>IFERROR(((2 * (SUMIFS(Table1[[AwayWon]:[AwayWon]], Table1[[GameIsOver]:[GameIsOver]], 1, Table1[[AwayTeam]:[AwayTeam]], $A44, Table1[[HomeTeam]:[HomeTeam]], H$36) + SUMIFS(Table1[[HomeWon]:[HomeWon]], Table1[[GameIsOver]:[GameIsOver]], 1, Table1[[HomeTeam]:[HomeTeam]], $A44, Table1[[AwayTeam]:[AwayTeam]], H$36))) + (SUMIFS(Table1[[HomeWon]:[HomeWon]], Table1[[GameIsOver]:[GameIsOver]], 1, Table1[[AwayTeam]:[AwayTeam]], $A44, Table1[[HomeTeam]:[HomeTeam]],  H$36, Table1[[ActualResult]:[ActualResult]], "OT") + SUMIFS(Table1[[AwayWon]:[AwayWon]], Table1[[GameIsOver]:[GameIsOver]], 1, Table1[[HomeTeam]:[HomeTeam]], $A44, Table1[[AwayTeam]:[AwayTeam]], H$36, Table1[[ActualResult]:[ActualResult]], "OT") + SUMIFS(Table1[[HomeWon]:[HomeWon]], Table1[[GameIsOver]:[GameIsOver]], 1, Table1[[AwayTeam]:[AwayTeam]], $A44, Table1[[HomeTeam]:[HomeTeam]], H$36, Table1[[ActualResult]:[ActualResult]], "SO") + SUMIFS(Table1[[AwayWon]:[AwayWon]], Table1[[GameIsOver]:[GameIsOver]], 1, Table1[[HomeTeam]:[HomeTeam]], $A44, Table1[[AwayTeam]:[AwayTeam]], H$36, Table1[[ActualResult]:[ActualResult]], "SO")))/ (2*((COUNTIFS(Table1[[GameIsOver]:[GameIsOver]],1,Table1[[AwayTeam]:[AwayTeam]],$A44, Table1[[HomeTeam]:[HomeTeam]], H$36)))+( COUNTIFS(Table1[[GameIsOver]:[GameIsOver]],1,Table1[[AwayTeam]:[AwayTeam]],H$36, Table1[[HomeTeam]:[HomeTeam]],$A44))), "")</f>
        <v/>
      </c>
      <c r="I44" s="42" t="str">
        <f>IFERROR(((2 * (SUMIFS(Table1[[AwayWon]:[AwayWon]], Table1[[GameIsOver]:[GameIsOver]], 1, Table1[[AwayTeam]:[AwayTeam]], $A44, Table1[[HomeTeam]:[HomeTeam]], I$36) + SUMIFS(Table1[[HomeWon]:[HomeWon]], Table1[[GameIsOver]:[GameIsOver]], 1, Table1[[HomeTeam]:[HomeTeam]], $A44, Table1[[AwayTeam]:[AwayTeam]], I$36))) + (SUMIFS(Table1[[HomeWon]:[HomeWon]], Table1[[GameIsOver]:[GameIsOver]], 1, Table1[[AwayTeam]:[AwayTeam]], $A44, Table1[[HomeTeam]:[HomeTeam]],  I$36, Table1[[ActualResult]:[ActualResult]], "OT") + SUMIFS(Table1[[AwayWon]:[AwayWon]], Table1[[GameIsOver]:[GameIsOver]], 1, Table1[[HomeTeam]:[HomeTeam]], $A44, Table1[[AwayTeam]:[AwayTeam]], I$36, Table1[[ActualResult]:[ActualResult]], "OT") + SUMIFS(Table1[[HomeWon]:[HomeWon]], Table1[[GameIsOver]:[GameIsOver]], 1, Table1[[AwayTeam]:[AwayTeam]], $A44, Table1[[HomeTeam]:[HomeTeam]], I$36, Table1[[ActualResult]:[ActualResult]], "SO") + SUMIFS(Table1[[AwayWon]:[AwayWon]], Table1[[GameIsOver]:[GameIsOver]], 1, Table1[[HomeTeam]:[HomeTeam]], $A44, Table1[[AwayTeam]:[AwayTeam]], I$36, Table1[[ActualResult]:[ActualResult]], "SO")))/ (2*((COUNTIFS(Table1[[GameIsOver]:[GameIsOver]],1,Table1[[AwayTeam]:[AwayTeam]],$A44, Table1[[HomeTeam]:[HomeTeam]], I$36)))+( COUNTIFS(Table1[[GameIsOver]:[GameIsOver]],1,Table1[[AwayTeam]:[AwayTeam]],I$36, Table1[[HomeTeam]:[HomeTeam]],$A44))), "")</f>
        <v/>
      </c>
      <c r="J44" s="40">
        <f>IFERROR(((2 * (SUMIFS(Table1[[AwayWon]:[AwayWon]], Table1[[GameIsOver]:[GameIsOver]], 1, Table1[[AwayTeam]:[AwayTeam]], $A44, Table1[[HomeTeam]:[HomeTeam]], J$36) + SUMIFS(Table1[[HomeWon]:[HomeWon]], Table1[[GameIsOver]:[GameIsOver]], 1, Table1[[HomeTeam]:[HomeTeam]], $A44, Table1[[AwayTeam]:[AwayTeam]], J$36))) + (SUMIFS(Table1[[HomeWon]:[HomeWon]], Table1[[GameIsOver]:[GameIsOver]], 1, Table1[[AwayTeam]:[AwayTeam]], $A44, Table1[[HomeTeam]:[HomeTeam]],  J$36, Table1[[ActualResult]:[ActualResult]], "OT") + SUMIFS(Table1[[AwayWon]:[AwayWon]], Table1[[GameIsOver]:[GameIsOver]], 1, Table1[[HomeTeam]:[HomeTeam]], $A44, Table1[[AwayTeam]:[AwayTeam]], J$36, Table1[[ActualResult]:[ActualResult]], "OT") + SUMIFS(Table1[[HomeWon]:[HomeWon]], Table1[[GameIsOver]:[GameIsOver]], 1, Table1[[AwayTeam]:[AwayTeam]], $A44, Table1[[HomeTeam]:[HomeTeam]], J$36, Table1[[ActualResult]:[ActualResult]], "SO") + SUMIFS(Table1[[AwayWon]:[AwayWon]], Table1[[GameIsOver]:[GameIsOver]], 1, Table1[[HomeTeam]:[HomeTeam]], $A44, Table1[[AwayTeam]:[AwayTeam]], J$36, Table1[[ActualResult]:[ActualResult]], "SO")))/ (2*((COUNTIFS(Table1[[GameIsOver]:[GameIsOver]],1,Table1[[AwayTeam]:[AwayTeam]],$A44, Table1[[HomeTeam]:[HomeTeam]], J$36)))+( COUNTIFS(Table1[[GameIsOver]:[GameIsOver]],1,Table1[[AwayTeam]:[AwayTeam]],J$36, Table1[[HomeTeam]:[HomeTeam]],$A44))), "")</f>
        <v>1</v>
      </c>
      <c r="K44" s="40" t="str">
        <f>IFERROR(((2 * (SUMIFS(Table1[[AwayWon]:[AwayWon]], Table1[[GameIsOver]:[GameIsOver]], 1, Table1[[AwayTeam]:[AwayTeam]], $A44, Table1[[HomeTeam]:[HomeTeam]], K$36) + SUMIFS(Table1[[HomeWon]:[HomeWon]], Table1[[GameIsOver]:[GameIsOver]], 1, Table1[[HomeTeam]:[HomeTeam]], $A44, Table1[[AwayTeam]:[AwayTeam]], K$36))) + (SUMIFS(Table1[[HomeWon]:[HomeWon]], Table1[[GameIsOver]:[GameIsOver]], 1, Table1[[AwayTeam]:[AwayTeam]], $A44, Table1[[HomeTeam]:[HomeTeam]],  K$36, Table1[[ActualResult]:[ActualResult]], "OT") + SUMIFS(Table1[[AwayWon]:[AwayWon]], Table1[[GameIsOver]:[GameIsOver]], 1, Table1[[HomeTeam]:[HomeTeam]], $A44, Table1[[AwayTeam]:[AwayTeam]], K$36, Table1[[ActualResult]:[ActualResult]], "OT") + SUMIFS(Table1[[HomeWon]:[HomeWon]], Table1[[GameIsOver]:[GameIsOver]], 1, Table1[[AwayTeam]:[AwayTeam]], $A44, Table1[[HomeTeam]:[HomeTeam]], K$36, Table1[[ActualResult]:[ActualResult]], "SO") + SUMIFS(Table1[[AwayWon]:[AwayWon]], Table1[[GameIsOver]:[GameIsOver]], 1, Table1[[HomeTeam]:[HomeTeam]], $A44, Table1[[AwayTeam]:[AwayTeam]], K$36, Table1[[ActualResult]:[ActualResult]], "SO")))/ (2*((COUNTIFS(Table1[[GameIsOver]:[GameIsOver]],1,Table1[[AwayTeam]:[AwayTeam]],$A44, Table1[[HomeTeam]:[HomeTeam]], K$36)))+( COUNTIFS(Table1[[GameIsOver]:[GameIsOver]],1,Table1[[AwayTeam]:[AwayTeam]],K$36, Table1[[HomeTeam]:[HomeTeam]],$A44))), "")</f>
        <v/>
      </c>
      <c r="L44" s="40" t="str">
        <f>IFERROR(((2 * (SUMIFS(Table1[[AwayWon]:[AwayWon]], Table1[[GameIsOver]:[GameIsOver]], 1, Table1[[AwayTeam]:[AwayTeam]], $A44, Table1[[HomeTeam]:[HomeTeam]], L$36) + SUMIFS(Table1[[HomeWon]:[HomeWon]], Table1[[GameIsOver]:[GameIsOver]], 1, Table1[[HomeTeam]:[HomeTeam]], $A44, Table1[[AwayTeam]:[AwayTeam]], L$36))) + (SUMIFS(Table1[[HomeWon]:[HomeWon]], Table1[[GameIsOver]:[GameIsOver]], 1, Table1[[AwayTeam]:[AwayTeam]], $A44, Table1[[HomeTeam]:[HomeTeam]],  L$36, Table1[[ActualResult]:[ActualResult]], "OT") + SUMIFS(Table1[[AwayWon]:[AwayWon]], Table1[[GameIsOver]:[GameIsOver]], 1, Table1[[HomeTeam]:[HomeTeam]], $A44, Table1[[AwayTeam]:[AwayTeam]], L$36, Table1[[ActualResult]:[ActualResult]], "OT") + SUMIFS(Table1[[HomeWon]:[HomeWon]], Table1[[GameIsOver]:[GameIsOver]], 1, Table1[[AwayTeam]:[AwayTeam]], $A44, Table1[[HomeTeam]:[HomeTeam]], L$36, Table1[[ActualResult]:[ActualResult]], "SO") + SUMIFS(Table1[[AwayWon]:[AwayWon]], Table1[[GameIsOver]:[GameIsOver]], 1, Table1[[HomeTeam]:[HomeTeam]], $A44, Table1[[AwayTeam]:[AwayTeam]], L$36, Table1[[ActualResult]:[ActualResult]], "SO")))/ (2*((COUNTIFS(Table1[[GameIsOver]:[GameIsOver]],1,Table1[[AwayTeam]:[AwayTeam]],$A44, Table1[[HomeTeam]:[HomeTeam]], L$36)))+( COUNTIFS(Table1[[GameIsOver]:[GameIsOver]],1,Table1[[AwayTeam]:[AwayTeam]],L$36, Table1[[HomeTeam]:[HomeTeam]],$A44))), "")</f>
        <v/>
      </c>
      <c r="M44" s="40" t="str">
        <f>IFERROR(((2 * (SUMIFS(Table1[[AwayWon]:[AwayWon]], Table1[[GameIsOver]:[GameIsOver]], 1, Table1[[AwayTeam]:[AwayTeam]], $A44, Table1[[HomeTeam]:[HomeTeam]], M$36) + SUMIFS(Table1[[HomeWon]:[HomeWon]], Table1[[GameIsOver]:[GameIsOver]], 1, Table1[[HomeTeam]:[HomeTeam]], $A44, Table1[[AwayTeam]:[AwayTeam]], M$36))) + (SUMIFS(Table1[[HomeWon]:[HomeWon]], Table1[[GameIsOver]:[GameIsOver]], 1, Table1[[AwayTeam]:[AwayTeam]], $A44, Table1[[HomeTeam]:[HomeTeam]],  M$36, Table1[[ActualResult]:[ActualResult]], "OT") + SUMIFS(Table1[[AwayWon]:[AwayWon]], Table1[[GameIsOver]:[GameIsOver]], 1, Table1[[HomeTeam]:[HomeTeam]], $A44, Table1[[AwayTeam]:[AwayTeam]], M$36, Table1[[ActualResult]:[ActualResult]], "OT") + SUMIFS(Table1[[HomeWon]:[HomeWon]], Table1[[GameIsOver]:[GameIsOver]], 1, Table1[[AwayTeam]:[AwayTeam]], $A44, Table1[[HomeTeam]:[HomeTeam]], M$36, Table1[[ActualResult]:[ActualResult]], "SO") + SUMIFS(Table1[[AwayWon]:[AwayWon]], Table1[[GameIsOver]:[GameIsOver]], 1, Table1[[HomeTeam]:[HomeTeam]], $A44, Table1[[AwayTeam]:[AwayTeam]], M$36, Table1[[ActualResult]:[ActualResult]], "SO")))/ (2*((COUNTIFS(Table1[[GameIsOver]:[GameIsOver]],1,Table1[[AwayTeam]:[AwayTeam]],$A44, Table1[[HomeTeam]:[HomeTeam]], M$36)))+( COUNTIFS(Table1[[GameIsOver]:[GameIsOver]],1,Table1[[AwayTeam]:[AwayTeam]],M$36, Table1[[HomeTeam]:[HomeTeam]],$A44))), "")</f>
        <v/>
      </c>
      <c r="N44" s="40" t="str">
        <f>IFERROR(((2 * (SUMIFS(Table1[[AwayWon]:[AwayWon]], Table1[[GameIsOver]:[GameIsOver]], 1, Table1[[AwayTeam]:[AwayTeam]], $A44, Table1[[HomeTeam]:[HomeTeam]], N$36) + SUMIFS(Table1[[HomeWon]:[HomeWon]], Table1[[GameIsOver]:[GameIsOver]], 1, Table1[[HomeTeam]:[HomeTeam]], $A44, Table1[[AwayTeam]:[AwayTeam]], N$36))) + (SUMIFS(Table1[[HomeWon]:[HomeWon]], Table1[[GameIsOver]:[GameIsOver]], 1, Table1[[AwayTeam]:[AwayTeam]], $A44, Table1[[HomeTeam]:[HomeTeam]],  N$36, Table1[[ActualResult]:[ActualResult]], "OT") + SUMIFS(Table1[[AwayWon]:[AwayWon]], Table1[[GameIsOver]:[GameIsOver]], 1, Table1[[HomeTeam]:[HomeTeam]], $A44, Table1[[AwayTeam]:[AwayTeam]], N$36, Table1[[ActualResult]:[ActualResult]], "OT") + SUMIFS(Table1[[HomeWon]:[HomeWon]], Table1[[GameIsOver]:[GameIsOver]], 1, Table1[[AwayTeam]:[AwayTeam]], $A44, Table1[[HomeTeam]:[HomeTeam]], N$36, Table1[[ActualResult]:[ActualResult]], "SO") + SUMIFS(Table1[[AwayWon]:[AwayWon]], Table1[[GameIsOver]:[GameIsOver]], 1, Table1[[HomeTeam]:[HomeTeam]], $A44, Table1[[AwayTeam]:[AwayTeam]], N$36, Table1[[ActualResult]:[ActualResult]], "SO")))/ (2*((COUNTIFS(Table1[[GameIsOver]:[GameIsOver]],1,Table1[[AwayTeam]:[AwayTeam]],$A44, Table1[[HomeTeam]:[HomeTeam]], N$36)))+( COUNTIFS(Table1[[GameIsOver]:[GameIsOver]],1,Table1[[AwayTeam]:[AwayTeam]],N$36, Table1[[HomeTeam]:[HomeTeam]],$A44))), "")</f>
        <v/>
      </c>
      <c r="O44" s="40" t="str">
        <f>IFERROR(((2 * (SUMIFS(Table1[[AwayWon]:[AwayWon]], Table1[[GameIsOver]:[GameIsOver]], 1, Table1[[AwayTeam]:[AwayTeam]], $A44, Table1[[HomeTeam]:[HomeTeam]], O$36) + SUMIFS(Table1[[HomeWon]:[HomeWon]], Table1[[GameIsOver]:[GameIsOver]], 1, Table1[[HomeTeam]:[HomeTeam]], $A44, Table1[[AwayTeam]:[AwayTeam]], O$36))) + (SUMIFS(Table1[[HomeWon]:[HomeWon]], Table1[[GameIsOver]:[GameIsOver]], 1, Table1[[AwayTeam]:[AwayTeam]], $A44, Table1[[HomeTeam]:[HomeTeam]],  O$36, Table1[[ActualResult]:[ActualResult]], "OT") + SUMIFS(Table1[[AwayWon]:[AwayWon]], Table1[[GameIsOver]:[GameIsOver]], 1, Table1[[HomeTeam]:[HomeTeam]], $A44, Table1[[AwayTeam]:[AwayTeam]], O$36, Table1[[ActualResult]:[ActualResult]], "OT") + SUMIFS(Table1[[HomeWon]:[HomeWon]], Table1[[GameIsOver]:[GameIsOver]], 1, Table1[[AwayTeam]:[AwayTeam]], $A44, Table1[[HomeTeam]:[HomeTeam]], O$36, Table1[[ActualResult]:[ActualResult]], "SO") + SUMIFS(Table1[[AwayWon]:[AwayWon]], Table1[[GameIsOver]:[GameIsOver]], 1, Table1[[HomeTeam]:[HomeTeam]], $A44, Table1[[AwayTeam]:[AwayTeam]], O$36, Table1[[ActualResult]:[ActualResult]], "SO")))/ (2*((COUNTIFS(Table1[[GameIsOver]:[GameIsOver]],1,Table1[[AwayTeam]:[AwayTeam]],$A44, Table1[[HomeTeam]:[HomeTeam]], O$36)))+( COUNTIFS(Table1[[GameIsOver]:[GameIsOver]],1,Table1[[AwayTeam]:[AwayTeam]],O$36, Table1[[HomeTeam]:[HomeTeam]],$A44))), "")</f>
        <v/>
      </c>
      <c r="P44" s="40" t="str">
        <f>IFERROR(((2 * (SUMIFS(Table1[[AwayWon]:[AwayWon]], Table1[[GameIsOver]:[GameIsOver]], 1, Table1[[AwayTeam]:[AwayTeam]], $A44, Table1[[HomeTeam]:[HomeTeam]], P$36) + SUMIFS(Table1[[HomeWon]:[HomeWon]], Table1[[GameIsOver]:[GameIsOver]], 1, Table1[[HomeTeam]:[HomeTeam]], $A44, Table1[[AwayTeam]:[AwayTeam]], P$36))) + (SUMIFS(Table1[[HomeWon]:[HomeWon]], Table1[[GameIsOver]:[GameIsOver]], 1, Table1[[AwayTeam]:[AwayTeam]], $A44, Table1[[HomeTeam]:[HomeTeam]],  P$36, Table1[[ActualResult]:[ActualResult]], "OT") + SUMIFS(Table1[[AwayWon]:[AwayWon]], Table1[[GameIsOver]:[GameIsOver]], 1, Table1[[HomeTeam]:[HomeTeam]], $A44, Table1[[AwayTeam]:[AwayTeam]], P$36, Table1[[ActualResult]:[ActualResult]], "OT") + SUMIFS(Table1[[HomeWon]:[HomeWon]], Table1[[GameIsOver]:[GameIsOver]], 1, Table1[[AwayTeam]:[AwayTeam]], $A44, Table1[[HomeTeam]:[HomeTeam]], P$36, Table1[[ActualResult]:[ActualResult]], "SO") + SUMIFS(Table1[[AwayWon]:[AwayWon]], Table1[[GameIsOver]:[GameIsOver]], 1, Table1[[HomeTeam]:[HomeTeam]], $A44, Table1[[AwayTeam]:[AwayTeam]], P$36, Table1[[ActualResult]:[ActualResult]], "SO")))/ (2*((COUNTIFS(Table1[[GameIsOver]:[GameIsOver]],1,Table1[[AwayTeam]:[AwayTeam]],$A44, Table1[[HomeTeam]:[HomeTeam]], P$36)))+( COUNTIFS(Table1[[GameIsOver]:[GameIsOver]],1,Table1[[AwayTeam]:[AwayTeam]],P$36, Table1[[HomeTeam]:[HomeTeam]],$A44))), "")</f>
        <v/>
      </c>
      <c r="Q44" s="42" t="str">
        <f>IFERROR(((2 * (SUMIFS(Table1[[AwayWon]:[AwayWon]], Table1[[GameIsOver]:[GameIsOver]], 1, Table1[[AwayTeam]:[AwayTeam]], $A44, Table1[[HomeTeam]:[HomeTeam]], Q$36) + SUMIFS(Table1[[HomeWon]:[HomeWon]], Table1[[GameIsOver]:[GameIsOver]], 1, Table1[[HomeTeam]:[HomeTeam]], $A44, Table1[[AwayTeam]:[AwayTeam]], Q$36))) + (SUMIFS(Table1[[HomeWon]:[HomeWon]], Table1[[GameIsOver]:[GameIsOver]], 1, Table1[[AwayTeam]:[AwayTeam]], $A44, Table1[[HomeTeam]:[HomeTeam]],  Q$36, Table1[[ActualResult]:[ActualResult]], "OT") + SUMIFS(Table1[[AwayWon]:[AwayWon]], Table1[[GameIsOver]:[GameIsOver]], 1, Table1[[HomeTeam]:[HomeTeam]], $A44, Table1[[AwayTeam]:[AwayTeam]], Q$36, Table1[[ActualResult]:[ActualResult]], "OT") + SUMIFS(Table1[[HomeWon]:[HomeWon]], Table1[[GameIsOver]:[GameIsOver]], 1, Table1[[AwayTeam]:[AwayTeam]], $A44, Table1[[HomeTeam]:[HomeTeam]], Q$36, Table1[[ActualResult]:[ActualResult]], "SO") + SUMIFS(Table1[[AwayWon]:[AwayWon]], Table1[[GameIsOver]:[GameIsOver]], 1, Table1[[HomeTeam]:[HomeTeam]], $A44, Table1[[AwayTeam]:[AwayTeam]], Q$36, Table1[[ActualResult]:[ActualResult]], "SO")))/ (2*((COUNTIFS(Table1[[GameIsOver]:[GameIsOver]],1,Table1[[AwayTeam]:[AwayTeam]],$A44, Table1[[HomeTeam]:[HomeTeam]], Q$36)))+( COUNTIFS(Table1[[GameIsOver]:[GameIsOver]],1,Table1[[AwayTeam]:[AwayTeam]],Q$36, Table1[[HomeTeam]:[HomeTeam]],$A44))), "")</f>
        <v/>
      </c>
      <c r="R44" s="40" t="str">
        <f>IFERROR(((2 * (SUMIFS(Table1[[AwayWon]:[AwayWon]], Table1[[GameIsOver]:[GameIsOver]], 1, Table1[[AwayTeam]:[AwayTeam]], $A44, Table1[[HomeTeam]:[HomeTeam]], R$36) + SUMIFS(Table1[[HomeWon]:[HomeWon]], Table1[[GameIsOver]:[GameIsOver]], 1, Table1[[HomeTeam]:[HomeTeam]], $A44, Table1[[AwayTeam]:[AwayTeam]], R$36))) + (SUMIFS(Table1[[HomeWon]:[HomeWon]], Table1[[GameIsOver]:[GameIsOver]], 1, Table1[[AwayTeam]:[AwayTeam]], $A44, Table1[[HomeTeam]:[HomeTeam]],  R$36, Table1[[ActualResult]:[ActualResult]], "OT") + SUMIFS(Table1[[AwayWon]:[AwayWon]], Table1[[GameIsOver]:[GameIsOver]], 1, Table1[[HomeTeam]:[HomeTeam]], $A44, Table1[[AwayTeam]:[AwayTeam]], R$36, Table1[[ActualResult]:[ActualResult]], "OT") + SUMIFS(Table1[[HomeWon]:[HomeWon]], Table1[[GameIsOver]:[GameIsOver]], 1, Table1[[AwayTeam]:[AwayTeam]], $A44, Table1[[HomeTeam]:[HomeTeam]], R$36, Table1[[ActualResult]:[ActualResult]], "SO") + SUMIFS(Table1[[AwayWon]:[AwayWon]], Table1[[GameIsOver]:[GameIsOver]], 1, Table1[[HomeTeam]:[HomeTeam]], $A44, Table1[[AwayTeam]:[AwayTeam]], R$36, Table1[[ActualResult]:[ActualResult]], "SO")))/ (2*((COUNTIFS(Table1[[GameIsOver]:[GameIsOver]],1,Table1[[AwayTeam]:[AwayTeam]],$A44, Table1[[HomeTeam]:[HomeTeam]], R$36)))+( COUNTIFS(Table1[[GameIsOver]:[GameIsOver]],1,Table1[[AwayTeam]:[AwayTeam]],R$36, Table1[[HomeTeam]:[HomeTeam]],$A44))), "")</f>
        <v/>
      </c>
      <c r="S44" s="40" t="str">
        <f>IFERROR(((2 * (SUMIFS(Table1[[AwayWon]:[AwayWon]], Table1[[GameIsOver]:[GameIsOver]], 1, Table1[[AwayTeam]:[AwayTeam]], $A44, Table1[[HomeTeam]:[HomeTeam]], S$36) + SUMIFS(Table1[[HomeWon]:[HomeWon]], Table1[[GameIsOver]:[GameIsOver]], 1, Table1[[HomeTeam]:[HomeTeam]], $A44, Table1[[AwayTeam]:[AwayTeam]], S$36))) + (SUMIFS(Table1[[HomeWon]:[HomeWon]], Table1[[GameIsOver]:[GameIsOver]], 1, Table1[[AwayTeam]:[AwayTeam]], $A44, Table1[[HomeTeam]:[HomeTeam]],  S$36, Table1[[ActualResult]:[ActualResult]], "OT") + SUMIFS(Table1[[AwayWon]:[AwayWon]], Table1[[GameIsOver]:[GameIsOver]], 1, Table1[[HomeTeam]:[HomeTeam]], $A44, Table1[[AwayTeam]:[AwayTeam]], S$36, Table1[[ActualResult]:[ActualResult]], "OT") + SUMIFS(Table1[[HomeWon]:[HomeWon]], Table1[[GameIsOver]:[GameIsOver]], 1, Table1[[AwayTeam]:[AwayTeam]], $A44, Table1[[HomeTeam]:[HomeTeam]], S$36, Table1[[ActualResult]:[ActualResult]], "SO") + SUMIFS(Table1[[AwayWon]:[AwayWon]], Table1[[GameIsOver]:[GameIsOver]], 1, Table1[[HomeTeam]:[HomeTeam]], $A44, Table1[[AwayTeam]:[AwayTeam]], S$36, Table1[[ActualResult]:[ActualResult]], "SO")))/ (2*((COUNTIFS(Table1[[GameIsOver]:[GameIsOver]],1,Table1[[AwayTeam]:[AwayTeam]],$A44, Table1[[HomeTeam]:[HomeTeam]], S$36)))+( COUNTIFS(Table1[[GameIsOver]:[GameIsOver]],1,Table1[[AwayTeam]:[AwayTeam]],S$36, Table1[[HomeTeam]:[HomeTeam]],$A44))), "")</f>
        <v/>
      </c>
      <c r="T44" s="40" t="str">
        <f>IFERROR(((2 * (SUMIFS(Table1[[AwayWon]:[AwayWon]], Table1[[GameIsOver]:[GameIsOver]], 1, Table1[[AwayTeam]:[AwayTeam]], $A44, Table1[[HomeTeam]:[HomeTeam]], T$36) + SUMIFS(Table1[[HomeWon]:[HomeWon]], Table1[[GameIsOver]:[GameIsOver]], 1, Table1[[HomeTeam]:[HomeTeam]], $A44, Table1[[AwayTeam]:[AwayTeam]], T$36))) + (SUMIFS(Table1[[HomeWon]:[HomeWon]], Table1[[GameIsOver]:[GameIsOver]], 1, Table1[[AwayTeam]:[AwayTeam]], $A44, Table1[[HomeTeam]:[HomeTeam]],  T$36, Table1[[ActualResult]:[ActualResult]], "OT") + SUMIFS(Table1[[AwayWon]:[AwayWon]], Table1[[GameIsOver]:[GameIsOver]], 1, Table1[[HomeTeam]:[HomeTeam]], $A44, Table1[[AwayTeam]:[AwayTeam]], T$36, Table1[[ActualResult]:[ActualResult]], "OT") + SUMIFS(Table1[[HomeWon]:[HomeWon]], Table1[[GameIsOver]:[GameIsOver]], 1, Table1[[AwayTeam]:[AwayTeam]], $A44, Table1[[HomeTeam]:[HomeTeam]], T$36, Table1[[ActualResult]:[ActualResult]], "SO") + SUMIFS(Table1[[AwayWon]:[AwayWon]], Table1[[GameIsOver]:[GameIsOver]], 1, Table1[[HomeTeam]:[HomeTeam]], $A44, Table1[[AwayTeam]:[AwayTeam]], T$36, Table1[[ActualResult]:[ActualResult]], "SO")))/ (2*((COUNTIFS(Table1[[GameIsOver]:[GameIsOver]],1,Table1[[AwayTeam]:[AwayTeam]],$A44, Table1[[HomeTeam]:[HomeTeam]], T$36)))+( COUNTIFS(Table1[[GameIsOver]:[GameIsOver]],1,Table1[[AwayTeam]:[AwayTeam]],T$36, Table1[[HomeTeam]:[HomeTeam]],$A44))), "")</f>
        <v/>
      </c>
      <c r="U44" s="40" t="str">
        <f>IFERROR(((2 * (SUMIFS(Table1[[AwayWon]:[AwayWon]], Table1[[GameIsOver]:[GameIsOver]], 1, Table1[[AwayTeam]:[AwayTeam]], $A44, Table1[[HomeTeam]:[HomeTeam]], U$36) + SUMIFS(Table1[[HomeWon]:[HomeWon]], Table1[[GameIsOver]:[GameIsOver]], 1, Table1[[HomeTeam]:[HomeTeam]], $A44, Table1[[AwayTeam]:[AwayTeam]], U$36))) + (SUMIFS(Table1[[HomeWon]:[HomeWon]], Table1[[GameIsOver]:[GameIsOver]], 1, Table1[[AwayTeam]:[AwayTeam]], $A44, Table1[[HomeTeam]:[HomeTeam]],  U$36, Table1[[ActualResult]:[ActualResult]], "OT") + SUMIFS(Table1[[AwayWon]:[AwayWon]], Table1[[GameIsOver]:[GameIsOver]], 1, Table1[[HomeTeam]:[HomeTeam]], $A44, Table1[[AwayTeam]:[AwayTeam]], U$36, Table1[[ActualResult]:[ActualResult]], "OT") + SUMIFS(Table1[[HomeWon]:[HomeWon]], Table1[[GameIsOver]:[GameIsOver]], 1, Table1[[AwayTeam]:[AwayTeam]], $A44, Table1[[HomeTeam]:[HomeTeam]], U$36, Table1[[ActualResult]:[ActualResult]], "SO") + SUMIFS(Table1[[AwayWon]:[AwayWon]], Table1[[GameIsOver]:[GameIsOver]], 1, Table1[[HomeTeam]:[HomeTeam]], $A44, Table1[[AwayTeam]:[AwayTeam]], U$36, Table1[[ActualResult]:[ActualResult]], "SO")))/ (2*((COUNTIFS(Table1[[GameIsOver]:[GameIsOver]],1,Table1[[AwayTeam]:[AwayTeam]],$A44, Table1[[HomeTeam]:[HomeTeam]], U$36)))+( COUNTIFS(Table1[[GameIsOver]:[GameIsOver]],1,Table1[[AwayTeam]:[AwayTeam]],U$36, Table1[[HomeTeam]:[HomeTeam]],$A44))), "")</f>
        <v/>
      </c>
      <c r="V44" s="40" t="str">
        <f>IFERROR(((2 * (SUMIFS(Table1[[AwayWon]:[AwayWon]], Table1[[GameIsOver]:[GameIsOver]], 1, Table1[[AwayTeam]:[AwayTeam]], $A44, Table1[[HomeTeam]:[HomeTeam]], V$36) + SUMIFS(Table1[[HomeWon]:[HomeWon]], Table1[[GameIsOver]:[GameIsOver]], 1, Table1[[HomeTeam]:[HomeTeam]], $A44, Table1[[AwayTeam]:[AwayTeam]], V$36))) + (SUMIFS(Table1[[HomeWon]:[HomeWon]], Table1[[GameIsOver]:[GameIsOver]], 1, Table1[[AwayTeam]:[AwayTeam]], $A44, Table1[[HomeTeam]:[HomeTeam]],  V$36, Table1[[ActualResult]:[ActualResult]], "OT") + SUMIFS(Table1[[AwayWon]:[AwayWon]], Table1[[GameIsOver]:[GameIsOver]], 1, Table1[[HomeTeam]:[HomeTeam]], $A44, Table1[[AwayTeam]:[AwayTeam]], V$36, Table1[[ActualResult]:[ActualResult]], "OT") + SUMIFS(Table1[[HomeWon]:[HomeWon]], Table1[[GameIsOver]:[GameIsOver]], 1, Table1[[AwayTeam]:[AwayTeam]], $A44, Table1[[HomeTeam]:[HomeTeam]], V$36, Table1[[ActualResult]:[ActualResult]], "SO") + SUMIFS(Table1[[AwayWon]:[AwayWon]], Table1[[GameIsOver]:[GameIsOver]], 1, Table1[[HomeTeam]:[HomeTeam]], $A44, Table1[[AwayTeam]:[AwayTeam]], V$36, Table1[[ActualResult]:[ActualResult]], "SO")))/ (2*((COUNTIFS(Table1[[GameIsOver]:[GameIsOver]],1,Table1[[AwayTeam]:[AwayTeam]],$A44, Table1[[HomeTeam]:[HomeTeam]], V$36)))+( COUNTIFS(Table1[[GameIsOver]:[GameIsOver]],1,Table1[[AwayTeam]:[AwayTeam]],V$36, Table1[[HomeTeam]:[HomeTeam]],$A44))), "")</f>
        <v/>
      </c>
      <c r="W44" s="40" t="str">
        <f>IFERROR(((2 * (SUMIFS(Table1[[AwayWon]:[AwayWon]], Table1[[GameIsOver]:[GameIsOver]], 1, Table1[[AwayTeam]:[AwayTeam]], $A44, Table1[[HomeTeam]:[HomeTeam]], W$36) + SUMIFS(Table1[[HomeWon]:[HomeWon]], Table1[[GameIsOver]:[GameIsOver]], 1, Table1[[HomeTeam]:[HomeTeam]], $A44, Table1[[AwayTeam]:[AwayTeam]], W$36))) + (SUMIFS(Table1[[HomeWon]:[HomeWon]], Table1[[GameIsOver]:[GameIsOver]], 1, Table1[[AwayTeam]:[AwayTeam]], $A44, Table1[[HomeTeam]:[HomeTeam]],  W$36, Table1[[ActualResult]:[ActualResult]], "OT") + SUMIFS(Table1[[AwayWon]:[AwayWon]], Table1[[GameIsOver]:[GameIsOver]], 1, Table1[[HomeTeam]:[HomeTeam]], $A44, Table1[[AwayTeam]:[AwayTeam]], W$36, Table1[[ActualResult]:[ActualResult]], "OT") + SUMIFS(Table1[[HomeWon]:[HomeWon]], Table1[[GameIsOver]:[GameIsOver]], 1, Table1[[AwayTeam]:[AwayTeam]], $A44, Table1[[HomeTeam]:[HomeTeam]], W$36, Table1[[ActualResult]:[ActualResult]], "SO") + SUMIFS(Table1[[AwayWon]:[AwayWon]], Table1[[GameIsOver]:[GameIsOver]], 1, Table1[[HomeTeam]:[HomeTeam]], $A44, Table1[[AwayTeam]:[AwayTeam]], W$36, Table1[[ActualResult]:[ActualResult]], "SO")))/ (2*((COUNTIFS(Table1[[GameIsOver]:[GameIsOver]],1,Table1[[AwayTeam]:[AwayTeam]],$A44, Table1[[HomeTeam]:[HomeTeam]], W$36)))+( COUNTIFS(Table1[[GameIsOver]:[GameIsOver]],1,Table1[[AwayTeam]:[AwayTeam]],W$36, Table1[[HomeTeam]:[HomeTeam]],$A44))), "")</f>
        <v/>
      </c>
      <c r="X44" s="40" t="str">
        <f>IFERROR(((2 * (SUMIFS(Table1[[AwayWon]:[AwayWon]], Table1[[GameIsOver]:[GameIsOver]], 1, Table1[[AwayTeam]:[AwayTeam]], $A44, Table1[[HomeTeam]:[HomeTeam]], X$36) + SUMIFS(Table1[[HomeWon]:[HomeWon]], Table1[[GameIsOver]:[GameIsOver]], 1, Table1[[HomeTeam]:[HomeTeam]], $A44, Table1[[AwayTeam]:[AwayTeam]], X$36))) + (SUMIFS(Table1[[HomeWon]:[HomeWon]], Table1[[GameIsOver]:[GameIsOver]], 1, Table1[[AwayTeam]:[AwayTeam]], $A44, Table1[[HomeTeam]:[HomeTeam]],  X$36, Table1[[ActualResult]:[ActualResult]], "OT") + SUMIFS(Table1[[AwayWon]:[AwayWon]], Table1[[GameIsOver]:[GameIsOver]], 1, Table1[[HomeTeam]:[HomeTeam]], $A44, Table1[[AwayTeam]:[AwayTeam]], X$36, Table1[[ActualResult]:[ActualResult]], "OT") + SUMIFS(Table1[[HomeWon]:[HomeWon]], Table1[[GameIsOver]:[GameIsOver]], 1, Table1[[AwayTeam]:[AwayTeam]], $A44, Table1[[HomeTeam]:[HomeTeam]], X$36, Table1[[ActualResult]:[ActualResult]], "SO") + SUMIFS(Table1[[AwayWon]:[AwayWon]], Table1[[GameIsOver]:[GameIsOver]], 1, Table1[[HomeTeam]:[HomeTeam]], $A44, Table1[[AwayTeam]:[AwayTeam]], X$36, Table1[[ActualResult]:[ActualResult]], "SO")))/ (2*((COUNTIFS(Table1[[GameIsOver]:[GameIsOver]],1,Table1[[AwayTeam]:[AwayTeam]],$A44, Table1[[HomeTeam]:[HomeTeam]], X$36)))+( COUNTIFS(Table1[[GameIsOver]:[GameIsOver]],1,Table1[[AwayTeam]:[AwayTeam]],X$36, Table1[[HomeTeam]:[HomeTeam]],$A44))), "")</f>
        <v/>
      </c>
      <c r="Y44" s="42" t="str">
        <f>IFERROR(((2 * (SUMIFS(Table1[[AwayWon]:[AwayWon]], Table1[[GameIsOver]:[GameIsOver]], 1, Table1[[AwayTeam]:[AwayTeam]], $A44, Table1[[HomeTeam]:[HomeTeam]], Y$36) + SUMIFS(Table1[[HomeWon]:[HomeWon]], Table1[[GameIsOver]:[GameIsOver]], 1, Table1[[HomeTeam]:[HomeTeam]], $A44, Table1[[AwayTeam]:[AwayTeam]], Y$36))) + (SUMIFS(Table1[[HomeWon]:[HomeWon]], Table1[[GameIsOver]:[GameIsOver]], 1, Table1[[AwayTeam]:[AwayTeam]], $A44, Table1[[HomeTeam]:[HomeTeam]],  Y$36, Table1[[ActualResult]:[ActualResult]], "OT") + SUMIFS(Table1[[AwayWon]:[AwayWon]], Table1[[GameIsOver]:[GameIsOver]], 1, Table1[[HomeTeam]:[HomeTeam]], $A44, Table1[[AwayTeam]:[AwayTeam]], Y$36, Table1[[ActualResult]:[ActualResult]], "OT") + SUMIFS(Table1[[HomeWon]:[HomeWon]], Table1[[GameIsOver]:[GameIsOver]], 1, Table1[[AwayTeam]:[AwayTeam]], $A44, Table1[[HomeTeam]:[HomeTeam]], Y$36, Table1[[ActualResult]:[ActualResult]], "SO") + SUMIFS(Table1[[AwayWon]:[AwayWon]], Table1[[GameIsOver]:[GameIsOver]], 1, Table1[[HomeTeam]:[HomeTeam]], $A44, Table1[[AwayTeam]:[AwayTeam]], Y$36, Table1[[ActualResult]:[ActualResult]], "SO")))/ (2*((COUNTIFS(Table1[[GameIsOver]:[GameIsOver]],1,Table1[[AwayTeam]:[AwayTeam]],$A44, Table1[[HomeTeam]:[HomeTeam]], Y$36)))+( COUNTIFS(Table1[[GameIsOver]:[GameIsOver]],1,Table1[[AwayTeam]:[AwayTeam]],Y$36, Table1[[HomeTeam]:[HomeTeam]],$A44))), "")</f>
        <v/>
      </c>
      <c r="Z44" s="40" t="str">
        <f>IFERROR(((2 * (SUMIFS(Table1[[AwayWon]:[AwayWon]], Table1[[GameIsOver]:[GameIsOver]], 1, Table1[[AwayTeam]:[AwayTeam]], $A44, Table1[[HomeTeam]:[HomeTeam]], Z$36) + SUMIFS(Table1[[HomeWon]:[HomeWon]], Table1[[GameIsOver]:[GameIsOver]], 1, Table1[[HomeTeam]:[HomeTeam]], $A44, Table1[[AwayTeam]:[AwayTeam]], Z$36))) + (SUMIFS(Table1[[HomeWon]:[HomeWon]], Table1[[GameIsOver]:[GameIsOver]], 1, Table1[[AwayTeam]:[AwayTeam]], $A44, Table1[[HomeTeam]:[HomeTeam]],  Z$36, Table1[[ActualResult]:[ActualResult]], "OT") + SUMIFS(Table1[[AwayWon]:[AwayWon]], Table1[[GameIsOver]:[GameIsOver]], 1, Table1[[HomeTeam]:[HomeTeam]], $A44, Table1[[AwayTeam]:[AwayTeam]], Z$36, Table1[[ActualResult]:[ActualResult]], "OT") + SUMIFS(Table1[[HomeWon]:[HomeWon]], Table1[[GameIsOver]:[GameIsOver]], 1, Table1[[AwayTeam]:[AwayTeam]], $A44, Table1[[HomeTeam]:[HomeTeam]], Z$36, Table1[[ActualResult]:[ActualResult]], "SO") + SUMIFS(Table1[[AwayWon]:[AwayWon]], Table1[[GameIsOver]:[GameIsOver]], 1, Table1[[HomeTeam]:[HomeTeam]], $A44, Table1[[AwayTeam]:[AwayTeam]], Z$36, Table1[[ActualResult]:[ActualResult]], "SO")))/ (2*((COUNTIFS(Table1[[GameIsOver]:[GameIsOver]],1,Table1[[AwayTeam]:[AwayTeam]],$A44, Table1[[HomeTeam]:[HomeTeam]], Z$36)))+( COUNTIFS(Table1[[GameIsOver]:[GameIsOver]],1,Table1[[AwayTeam]:[AwayTeam]],Z$36, Table1[[HomeTeam]:[HomeTeam]],$A44))), "")</f>
        <v/>
      </c>
      <c r="AA44" s="40" t="str">
        <f>IFERROR(((2 * (SUMIFS(Table1[[AwayWon]:[AwayWon]], Table1[[GameIsOver]:[GameIsOver]], 1, Table1[[AwayTeam]:[AwayTeam]], $A44, Table1[[HomeTeam]:[HomeTeam]], AA$36) + SUMIFS(Table1[[HomeWon]:[HomeWon]], Table1[[GameIsOver]:[GameIsOver]], 1, Table1[[HomeTeam]:[HomeTeam]], $A44, Table1[[AwayTeam]:[AwayTeam]], AA$36))) + (SUMIFS(Table1[[HomeWon]:[HomeWon]], Table1[[GameIsOver]:[GameIsOver]], 1, Table1[[AwayTeam]:[AwayTeam]], $A44, Table1[[HomeTeam]:[HomeTeam]],  AA$36, Table1[[ActualResult]:[ActualResult]], "OT") + SUMIFS(Table1[[AwayWon]:[AwayWon]], Table1[[GameIsOver]:[GameIsOver]], 1, Table1[[HomeTeam]:[HomeTeam]], $A44, Table1[[AwayTeam]:[AwayTeam]], AA$36, Table1[[ActualResult]:[ActualResult]], "OT") + SUMIFS(Table1[[HomeWon]:[HomeWon]], Table1[[GameIsOver]:[GameIsOver]], 1, Table1[[AwayTeam]:[AwayTeam]], $A44, Table1[[HomeTeam]:[HomeTeam]], AA$36, Table1[[ActualResult]:[ActualResult]], "SO") + SUMIFS(Table1[[AwayWon]:[AwayWon]], Table1[[GameIsOver]:[GameIsOver]], 1, Table1[[HomeTeam]:[HomeTeam]], $A44, Table1[[AwayTeam]:[AwayTeam]], AA$36, Table1[[ActualResult]:[ActualResult]], "SO")))/ (2*((COUNTIFS(Table1[[GameIsOver]:[GameIsOver]],1,Table1[[AwayTeam]:[AwayTeam]],$A44, Table1[[HomeTeam]:[HomeTeam]], AA$36)))+( COUNTIFS(Table1[[GameIsOver]:[GameIsOver]],1,Table1[[AwayTeam]:[AwayTeam]],AA$36, Table1[[HomeTeam]:[HomeTeam]],$A44))), "")</f>
        <v/>
      </c>
      <c r="AB44" s="40" t="str">
        <f>IFERROR(((2 * (SUMIFS(Table1[[AwayWon]:[AwayWon]], Table1[[GameIsOver]:[GameIsOver]], 1, Table1[[AwayTeam]:[AwayTeam]], $A44, Table1[[HomeTeam]:[HomeTeam]], AB$36) + SUMIFS(Table1[[HomeWon]:[HomeWon]], Table1[[GameIsOver]:[GameIsOver]], 1, Table1[[HomeTeam]:[HomeTeam]], $A44, Table1[[AwayTeam]:[AwayTeam]], AB$36))) + (SUMIFS(Table1[[HomeWon]:[HomeWon]], Table1[[GameIsOver]:[GameIsOver]], 1, Table1[[AwayTeam]:[AwayTeam]], $A44, Table1[[HomeTeam]:[HomeTeam]],  AB$36, Table1[[ActualResult]:[ActualResult]], "OT") + SUMIFS(Table1[[AwayWon]:[AwayWon]], Table1[[GameIsOver]:[GameIsOver]], 1, Table1[[HomeTeam]:[HomeTeam]], $A44, Table1[[AwayTeam]:[AwayTeam]], AB$36, Table1[[ActualResult]:[ActualResult]], "OT") + SUMIFS(Table1[[HomeWon]:[HomeWon]], Table1[[GameIsOver]:[GameIsOver]], 1, Table1[[AwayTeam]:[AwayTeam]], $A44, Table1[[HomeTeam]:[HomeTeam]], AB$36, Table1[[ActualResult]:[ActualResult]], "SO") + SUMIFS(Table1[[AwayWon]:[AwayWon]], Table1[[GameIsOver]:[GameIsOver]], 1, Table1[[HomeTeam]:[HomeTeam]], $A44, Table1[[AwayTeam]:[AwayTeam]], AB$36, Table1[[ActualResult]:[ActualResult]], "SO")))/ (2*((COUNTIFS(Table1[[GameIsOver]:[GameIsOver]],1,Table1[[AwayTeam]:[AwayTeam]],$A44, Table1[[HomeTeam]:[HomeTeam]], AB$36)))+( COUNTIFS(Table1[[GameIsOver]:[GameIsOver]],1,Table1[[AwayTeam]:[AwayTeam]],AB$36, Table1[[HomeTeam]:[HomeTeam]],$A44))), "")</f>
        <v/>
      </c>
      <c r="AC44" s="40" t="str">
        <f>IFERROR(((2 * (SUMIFS(Table1[[AwayWon]:[AwayWon]], Table1[[GameIsOver]:[GameIsOver]], 1, Table1[[AwayTeam]:[AwayTeam]], $A44, Table1[[HomeTeam]:[HomeTeam]], AC$36) + SUMIFS(Table1[[HomeWon]:[HomeWon]], Table1[[GameIsOver]:[GameIsOver]], 1, Table1[[HomeTeam]:[HomeTeam]], $A44, Table1[[AwayTeam]:[AwayTeam]], AC$36))) + (SUMIFS(Table1[[HomeWon]:[HomeWon]], Table1[[GameIsOver]:[GameIsOver]], 1, Table1[[AwayTeam]:[AwayTeam]], $A44, Table1[[HomeTeam]:[HomeTeam]],  AC$36, Table1[[ActualResult]:[ActualResult]], "OT") + SUMIFS(Table1[[AwayWon]:[AwayWon]], Table1[[GameIsOver]:[GameIsOver]], 1, Table1[[HomeTeam]:[HomeTeam]], $A44, Table1[[AwayTeam]:[AwayTeam]], AC$36, Table1[[ActualResult]:[ActualResult]], "OT") + SUMIFS(Table1[[HomeWon]:[HomeWon]], Table1[[GameIsOver]:[GameIsOver]], 1, Table1[[AwayTeam]:[AwayTeam]], $A44, Table1[[HomeTeam]:[HomeTeam]], AC$36, Table1[[ActualResult]:[ActualResult]], "SO") + SUMIFS(Table1[[AwayWon]:[AwayWon]], Table1[[GameIsOver]:[GameIsOver]], 1, Table1[[HomeTeam]:[HomeTeam]], $A44, Table1[[AwayTeam]:[AwayTeam]], AC$36, Table1[[ActualResult]:[ActualResult]], "SO")))/ (2*((COUNTIFS(Table1[[GameIsOver]:[GameIsOver]],1,Table1[[AwayTeam]:[AwayTeam]],$A44, Table1[[HomeTeam]:[HomeTeam]], AC$36)))+( COUNTIFS(Table1[[GameIsOver]:[GameIsOver]],1,Table1[[AwayTeam]:[AwayTeam]],AC$36, Table1[[HomeTeam]:[HomeTeam]],$A44))), "")</f>
        <v/>
      </c>
      <c r="AD44" s="40" t="str">
        <f>IFERROR(((2 * (SUMIFS(Table1[[AwayWon]:[AwayWon]], Table1[[GameIsOver]:[GameIsOver]], 1, Table1[[AwayTeam]:[AwayTeam]], $A44, Table1[[HomeTeam]:[HomeTeam]], AD$36) + SUMIFS(Table1[[HomeWon]:[HomeWon]], Table1[[GameIsOver]:[GameIsOver]], 1, Table1[[HomeTeam]:[HomeTeam]], $A44, Table1[[AwayTeam]:[AwayTeam]], AD$36))) + (SUMIFS(Table1[[HomeWon]:[HomeWon]], Table1[[GameIsOver]:[GameIsOver]], 1, Table1[[AwayTeam]:[AwayTeam]], $A44, Table1[[HomeTeam]:[HomeTeam]],  AD$36, Table1[[ActualResult]:[ActualResult]], "OT") + SUMIFS(Table1[[AwayWon]:[AwayWon]], Table1[[GameIsOver]:[GameIsOver]], 1, Table1[[HomeTeam]:[HomeTeam]], $A44, Table1[[AwayTeam]:[AwayTeam]], AD$36, Table1[[ActualResult]:[ActualResult]], "OT") + SUMIFS(Table1[[HomeWon]:[HomeWon]], Table1[[GameIsOver]:[GameIsOver]], 1, Table1[[AwayTeam]:[AwayTeam]], $A44, Table1[[HomeTeam]:[HomeTeam]], AD$36, Table1[[ActualResult]:[ActualResult]], "SO") + SUMIFS(Table1[[AwayWon]:[AwayWon]], Table1[[GameIsOver]:[GameIsOver]], 1, Table1[[HomeTeam]:[HomeTeam]], $A44, Table1[[AwayTeam]:[AwayTeam]], AD$36, Table1[[ActualResult]:[ActualResult]], "SO")))/ (2*((COUNTIFS(Table1[[GameIsOver]:[GameIsOver]],1,Table1[[AwayTeam]:[AwayTeam]],$A44, Table1[[HomeTeam]:[HomeTeam]], AD$36)))+( COUNTIFS(Table1[[GameIsOver]:[GameIsOver]],1,Table1[[AwayTeam]:[AwayTeam]],AD$36, Table1[[HomeTeam]:[HomeTeam]],$A44))), "")</f>
        <v/>
      </c>
      <c r="AE44" s="40" t="str">
        <f>IFERROR(((2 * (SUMIFS(Table1[[AwayWon]:[AwayWon]], Table1[[GameIsOver]:[GameIsOver]], 1, Table1[[AwayTeam]:[AwayTeam]], $A44, Table1[[HomeTeam]:[HomeTeam]], AE$36) + SUMIFS(Table1[[HomeWon]:[HomeWon]], Table1[[GameIsOver]:[GameIsOver]], 1, Table1[[HomeTeam]:[HomeTeam]], $A44, Table1[[AwayTeam]:[AwayTeam]], AE$36))) + (SUMIFS(Table1[[HomeWon]:[HomeWon]], Table1[[GameIsOver]:[GameIsOver]], 1, Table1[[AwayTeam]:[AwayTeam]], $A44, Table1[[HomeTeam]:[HomeTeam]],  AE$36, Table1[[ActualResult]:[ActualResult]], "OT") + SUMIFS(Table1[[AwayWon]:[AwayWon]], Table1[[GameIsOver]:[GameIsOver]], 1, Table1[[HomeTeam]:[HomeTeam]], $A44, Table1[[AwayTeam]:[AwayTeam]], AE$36, Table1[[ActualResult]:[ActualResult]], "OT") + SUMIFS(Table1[[HomeWon]:[HomeWon]], Table1[[GameIsOver]:[GameIsOver]], 1, Table1[[AwayTeam]:[AwayTeam]], $A44, Table1[[HomeTeam]:[HomeTeam]], AE$36, Table1[[ActualResult]:[ActualResult]], "SO") + SUMIFS(Table1[[AwayWon]:[AwayWon]], Table1[[GameIsOver]:[GameIsOver]], 1, Table1[[HomeTeam]:[HomeTeam]], $A44, Table1[[AwayTeam]:[AwayTeam]], AE$36, Table1[[ActualResult]:[ActualResult]], "SO")))/ (2*((COUNTIFS(Table1[[GameIsOver]:[GameIsOver]],1,Table1[[AwayTeam]:[AwayTeam]],$A44, Table1[[HomeTeam]:[HomeTeam]], AE$36)))+( COUNTIFS(Table1[[GameIsOver]:[GameIsOver]],1,Table1[[AwayTeam]:[AwayTeam]],AE$36, Table1[[HomeTeam]:[HomeTeam]],$A44))), "")</f>
        <v/>
      </c>
      <c r="AF44" s="40" t="str">
        <f>IFERROR(((2 * (SUMIFS(Table1[[AwayWon]:[AwayWon]], Table1[[GameIsOver]:[GameIsOver]], 1, Table1[[AwayTeam]:[AwayTeam]], $A44, Table1[[HomeTeam]:[HomeTeam]], AF$36) + SUMIFS(Table1[[HomeWon]:[HomeWon]], Table1[[GameIsOver]:[GameIsOver]], 1, Table1[[HomeTeam]:[HomeTeam]], $A44, Table1[[AwayTeam]:[AwayTeam]], AF$36))) + (SUMIFS(Table1[[HomeWon]:[HomeWon]], Table1[[GameIsOver]:[GameIsOver]], 1, Table1[[AwayTeam]:[AwayTeam]], $A44, Table1[[HomeTeam]:[HomeTeam]],  AF$36, Table1[[ActualResult]:[ActualResult]], "OT") + SUMIFS(Table1[[AwayWon]:[AwayWon]], Table1[[GameIsOver]:[GameIsOver]], 1, Table1[[HomeTeam]:[HomeTeam]], $A44, Table1[[AwayTeam]:[AwayTeam]], AF$36, Table1[[ActualResult]:[ActualResult]], "OT") + SUMIFS(Table1[[HomeWon]:[HomeWon]], Table1[[GameIsOver]:[GameIsOver]], 1, Table1[[AwayTeam]:[AwayTeam]], $A44, Table1[[HomeTeam]:[HomeTeam]], AF$36, Table1[[ActualResult]:[ActualResult]], "SO") + SUMIFS(Table1[[AwayWon]:[AwayWon]], Table1[[GameIsOver]:[GameIsOver]], 1, Table1[[HomeTeam]:[HomeTeam]], $A44, Table1[[AwayTeam]:[AwayTeam]], AF$36, Table1[[ActualResult]:[ActualResult]], "SO")))/ (2*((COUNTIFS(Table1[[GameIsOver]:[GameIsOver]],1,Table1[[AwayTeam]:[AwayTeam]],$A44, Table1[[HomeTeam]:[HomeTeam]], AF$36)))+( COUNTIFS(Table1[[GameIsOver]:[GameIsOver]],1,Table1[[AwayTeam]:[AwayTeam]],AF$36, Table1[[HomeTeam]:[HomeTeam]],$A44))), "")</f>
        <v/>
      </c>
      <c r="AG44" s="42" t="str">
        <f>IFERROR(((2 * (SUMIFS(Table1[[AwayWon]:[AwayWon]], Table1[[GameIsOver]:[GameIsOver]], 1, Table1[[AwayTeam]:[AwayTeam]], $A44, Table1[[HomeTeam]:[HomeTeam]], AG$36) + SUMIFS(Table1[[HomeWon]:[HomeWon]], Table1[[GameIsOver]:[GameIsOver]], 1, Table1[[HomeTeam]:[HomeTeam]], $A44, Table1[[AwayTeam]:[AwayTeam]], AG$36))) + (SUMIFS(Table1[[HomeWon]:[HomeWon]], Table1[[GameIsOver]:[GameIsOver]], 1, Table1[[AwayTeam]:[AwayTeam]], $A44, Table1[[HomeTeam]:[HomeTeam]],  AG$36, Table1[[ActualResult]:[ActualResult]], "OT") + SUMIFS(Table1[[AwayWon]:[AwayWon]], Table1[[GameIsOver]:[GameIsOver]], 1, Table1[[HomeTeam]:[HomeTeam]], $A44, Table1[[AwayTeam]:[AwayTeam]], AG$36, Table1[[ActualResult]:[ActualResult]], "OT") + SUMIFS(Table1[[HomeWon]:[HomeWon]], Table1[[GameIsOver]:[GameIsOver]], 1, Table1[[AwayTeam]:[AwayTeam]], $A44, Table1[[HomeTeam]:[HomeTeam]], AG$36, Table1[[ActualResult]:[ActualResult]], "SO") + SUMIFS(Table1[[AwayWon]:[AwayWon]], Table1[[GameIsOver]:[GameIsOver]], 1, Table1[[HomeTeam]:[HomeTeam]], $A44, Table1[[AwayTeam]:[AwayTeam]], AG$36, Table1[[ActualResult]:[ActualResult]], "SO")))/ (2*((COUNTIFS(Table1[[GameIsOver]:[GameIsOver]],1,Table1[[AwayTeam]:[AwayTeam]],$A44, Table1[[HomeTeam]:[HomeTeam]], AG$36)))+( COUNTIFS(Table1[[GameIsOver]:[GameIsOver]],1,Table1[[AwayTeam]:[AwayTeam]],AG$36, Table1[[HomeTeam]:[HomeTeam]],$A44))), "")</f>
        <v/>
      </c>
      <c r="AH44" s="41" t="e">
        <f t="shared" si="0"/>
        <v>#DIV/0!</v>
      </c>
      <c r="AI44" s="41">
        <f t="shared" si="1"/>
        <v>1</v>
      </c>
      <c r="AJ44" s="42" t="e">
        <f t="shared" si="2"/>
        <v>#DIV/0!</v>
      </c>
      <c r="AK44" s="42" t="e">
        <f t="shared" si="3"/>
        <v>#DIV/0!</v>
      </c>
      <c r="AL44" s="42">
        <f t="shared" si="4"/>
        <v>1</v>
      </c>
      <c r="AM44" s="42" t="e">
        <f t="shared" si="5"/>
        <v>#DIV/0!</v>
      </c>
    </row>
    <row r="45" spans="1:39" ht="15.75" thickTop="1" x14ac:dyDescent="0.25">
      <c r="A45" s="17" t="s">
        <v>16</v>
      </c>
      <c r="B45" s="36" t="str">
        <f>IFERROR(((2 * (SUMIFS(Table1[[AwayWon]:[AwayWon]], Table1[[GameIsOver]:[GameIsOver]], 1, Table1[[AwayTeam]:[AwayTeam]], $A45, Table1[[HomeTeam]:[HomeTeam]], B$36) + SUMIFS(Table1[[HomeWon]:[HomeWon]], Table1[[GameIsOver]:[GameIsOver]], 1, Table1[[HomeTeam]:[HomeTeam]], $A45, Table1[[AwayTeam]:[AwayTeam]], B$36))) + (SUMIFS(Table1[[HomeWon]:[HomeWon]], Table1[[GameIsOver]:[GameIsOver]], 1, Table1[[AwayTeam]:[AwayTeam]], $A45, Table1[[HomeTeam]:[HomeTeam]],  B$36, Table1[[ActualResult]:[ActualResult]], "OT") + SUMIFS(Table1[[AwayWon]:[AwayWon]], Table1[[GameIsOver]:[GameIsOver]], 1, Table1[[HomeTeam]:[HomeTeam]], $A45, Table1[[AwayTeam]:[AwayTeam]], B$36, Table1[[ActualResult]:[ActualResult]], "OT") + SUMIFS(Table1[[HomeWon]:[HomeWon]], Table1[[GameIsOver]:[GameIsOver]], 1, Table1[[AwayTeam]:[AwayTeam]], $A45, Table1[[HomeTeam]:[HomeTeam]], B$36, Table1[[ActualResult]:[ActualResult]], "SO") + SUMIFS(Table1[[AwayWon]:[AwayWon]], Table1[[GameIsOver]:[GameIsOver]], 1, Table1[[HomeTeam]:[HomeTeam]], $A45, Table1[[AwayTeam]:[AwayTeam]], B$36, Table1[[ActualResult]:[ActualResult]], "SO")))/ (2*((COUNTIFS(Table1[[GameIsOver]:[GameIsOver]],1,Table1[[AwayTeam]:[AwayTeam]],$A45, Table1[[HomeTeam]:[HomeTeam]], B$36)))+( COUNTIFS(Table1[[GameIsOver]:[GameIsOver]],1,Table1[[AwayTeam]:[AwayTeam]],B$36, Table1[[HomeTeam]:[HomeTeam]],$A45))), "")</f>
        <v/>
      </c>
      <c r="C45" s="36" t="str">
        <f>IFERROR(((2 * (SUMIFS(Table1[[AwayWon]:[AwayWon]], Table1[[GameIsOver]:[GameIsOver]], 1, Table1[[AwayTeam]:[AwayTeam]], $A45, Table1[[HomeTeam]:[HomeTeam]], C$36) + SUMIFS(Table1[[HomeWon]:[HomeWon]], Table1[[GameIsOver]:[GameIsOver]], 1, Table1[[HomeTeam]:[HomeTeam]], $A45, Table1[[AwayTeam]:[AwayTeam]], C$36))) + (SUMIFS(Table1[[HomeWon]:[HomeWon]], Table1[[GameIsOver]:[GameIsOver]], 1, Table1[[AwayTeam]:[AwayTeam]], $A45, Table1[[HomeTeam]:[HomeTeam]],  C$36, Table1[[ActualResult]:[ActualResult]], "OT") + SUMIFS(Table1[[AwayWon]:[AwayWon]], Table1[[GameIsOver]:[GameIsOver]], 1, Table1[[HomeTeam]:[HomeTeam]], $A45, Table1[[AwayTeam]:[AwayTeam]], C$36, Table1[[ActualResult]:[ActualResult]], "OT") + SUMIFS(Table1[[HomeWon]:[HomeWon]], Table1[[GameIsOver]:[GameIsOver]], 1, Table1[[AwayTeam]:[AwayTeam]], $A45, Table1[[HomeTeam]:[HomeTeam]], C$36, Table1[[ActualResult]:[ActualResult]], "SO") + SUMIFS(Table1[[AwayWon]:[AwayWon]], Table1[[GameIsOver]:[GameIsOver]], 1, Table1[[HomeTeam]:[HomeTeam]], $A45, Table1[[AwayTeam]:[AwayTeam]], C$36, Table1[[ActualResult]:[ActualResult]], "SO")))/ (2*((COUNTIFS(Table1[[GameIsOver]:[GameIsOver]],1,Table1[[AwayTeam]:[AwayTeam]],$A45, Table1[[HomeTeam]:[HomeTeam]], C$36)))+( COUNTIFS(Table1[[GameIsOver]:[GameIsOver]],1,Table1[[AwayTeam]:[AwayTeam]],C$36, Table1[[HomeTeam]:[HomeTeam]],$A45))), "")</f>
        <v/>
      </c>
      <c r="D45" s="36" t="str">
        <f>IFERROR(((2 * (SUMIFS(Table1[[AwayWon]:[AwayWon]], Table1[[GameIsOver]:[GameIsOver]], 1, Table1[[AwayTeam]:[AwayTeam]], $A45, Table1[[HomeTeam]:[HomeTeam]], D$36) + SUMIFS(Table1[[HomeWon]:[HomeWon]], Table1[[GameIsOver]:[GameIsOver]], 1, Table1[[HomeTeam]:[HomeTeam]], $A45, Table1[[AwayTeam]:[AwayTeam]], D$36))) + (SUMIFS(Table1[[HomeWon]:[HomeWon]], Table1[[GameIsOver]:[GameIsOver]], 1, Table1[[AwayTeam]:[AwayTeam]], $A45, Table1[[HomeTeam]:[HomeTeam]],  D$36, Table1[[ActualResult]:[ActualResult]], "OT") + SUMIFS(Table1[[AwayWon]:[AwayWon]], Table1[[GameIsOver]:[GameIsOver]], 1, Table1[[HomeTeam]:[HomeTeam]], $A45, Table1[[AwayTeam]:[AwayTeam]], D$36, Table1[[ActualResult]:[ActualResult]], "OT") + SUMIFS(Table1[[HomeWon]:[HomeWon]], Table1[[GameIsOver]:[GameIsOver]], 1, Table1[[AwayTeam]:[AwayTeam]], $A45, Table1[[HomeTeam]:[HomeTeam]], D$36, Table1[[ActualResult]:[ActualResult]], "SO") + SUMIFS(Table1[[AwayWon]:[AwayWon]], Table1[[GameIsOver]:[GameIsOver]], 1, Table1[[HomeTeam]:[HomeTeam]], $A45, Table1[[AwayTeam]:[AwayTeam]], D$36, Table1[[ActualResult]:[ActualResult]], "SO")))/ (2*((COUNTIFS(Table1[[GameIsOver]:[GameIsOver]],1,Table1[[AwayTeam]:[AwayTeam]],$A45, Table1[[HomeTeam]:[HomeTeam]], D$36)))+( COUNTIFS(Table1[[GameIsOver]:[GameIsOver]],1,Table1[[AwayTeam]:[AwayTeam]],D$36, Table1[[HomeTeam]:[HomeTeam]],$A45))), "")</f>
        <v/>
      </c>
      <c r="E45" s="36" t="str">
        <f>IFERROR(((2 * (SUMIFS(Table1[[AwayWon]:[AwayWon]], Table1[[GameIsOver]:[GameIsOver]], 1, Table1[[AwayTeam]:[AwayTeam]], $A45, Table1[[HomeTeam]:[HomeTeam]], E$36) + SUMIFS(Table1[[HomeWon]:[HomeWon]], Table1[[GameIsOver]:[GameIsOver]], 1, Table1[[HomeTeam]:[HomeTeam]], $A45, Table1[[AwayTeam]:[AwayTeam]], E$36))) + (SUMIFS(Table1[[HomeWon]:[HomeWon]], Table1[[GameIsOver]:[GameIsOver]], 1, Table1[[AwayTeam]:[AwayTeam]], $A45, Table1[[HomeTeam]:[HomeTeam]],  E$36, Table1[[ActualResult]:[ActualResult]], "OT") + SUMIFS(Table1[[AwayWon]:[AwayWon]], Table1[[GameIsOver]:[GameIsOver]], 1, Table1[[HomeTeam]:[HomeTeam]], $A45, Table1[[AwayTeam]:[AwayTeam]], E$36, Table1[[ActualResult]:[ActualResult]], "OT") + SUMIFS(Table1[[HomeWon]:[HomeWon]], Table1[[GameIsOver]:[GameIsOver]], 1, Table1[[AwayTeam]:[AwayTeam]], $A45, Table1[[HomeTeam]:[HomeTeam]], E$36, Table1[[ActualResult]:[ActualResult]], "SO") + SUMIFS(Table1[[AwayWon]:[AwayWon]], Table1[[GameIsOver]:[GameIsOver]], 1, Table1[[HomeTeam]:[HomeTeam]], $A45, Table1[[AwayTeam]:[AwayTeam]], E$36, Table1[[ActualResult]:[ActualResult]], "SO")))/ (2*((COUNTIFS(Table1[[GameIsOver]:[GameIsOver]],1,Table1[[AwayTeam]:[AwayTeam]],$A45, Table1[[HomeTeam]:[HomeTeam]], E$36)))+( COUNTIFS(Table1[[GameIsOver]:[GameIsOver]],1,Table1[[AwayTeam]:[AwayTeam]],E$36, Table1[[HomeTeam]:[HomeTeam]],$A45))), "")</f>
        <v/>
      </c>
      <c r="F45" s="36" t="str">
        <f>IFERROR(((2 * (SUMIFS(Table1[[AwayWon]:[AwayWon]], Table1[[GameIsOver]:[GameIsOver]], 1, Table1[[AwayTeam]:[AwayTeam]], $A45, Table1[[HomeTeam]:[HomeTeam]], F$36) + SUMIFS(Table1[[HomeWon]:[HomeWon]], Table1[[GameIsOver]:[GameIsOver]], 1, Table1[[HomeTeam]:[HomeTeam]], $A45, Table1[[AwayTeam]:[AwayTeam]], F$36))) + (SUMIFS(Table1[[HomeWon]:[HomeWon]], Table1[[GameIsOver]:[GameIsOver]], 1, Table1[[AwayTeam]:[AwayTeam]], $A45, Table1[[HomeTeam]:[HomeTeam]],  F$36, Table1[[ActualResult]:[ActualResult]], "OT") + SUMIFS(Table1[[AwayWon]:[AwayWon]], Table1[[GameIsOver]:[GameIsOver]], 1, Table1[[HomeTeam]:[HomeTeam]], $A45, Table1[[AwayTeam]:[AwayTeam]], F$36, Table1[[ActualResult]:[ActualResult]], "OT") + SUMIFS(Table1[[HomeWon]:[HomeWon]], Table1[[GameIsOver]:[GameIsOver]], 1, Table1[[AwayTeam]:[AwayTeam]], $A45, Table1[[HomeTeam]:[HomeTeam]], F$36, Table1[[ActualResult]:[ActualResult]], "SO") + SUMIFS(Table1[[AwayWon]:[AwayWon]], Table1[[GameIsOver]:[GameIsOver]], 1, Table1[[HomeTeam]:[HomeTeam]], $A45, Table1[[AwayTeam]:[AwayTeam]], F$36, Table1[[ActualResult]:[ActualResult]], "SO")))/ (2*((COUNTIFS(Table1[[GameIsOver]:[GameIsOver]],1,Table1[[AwayTeam]:[AwayTeam]],$A45, Table1[[HomeTeam]:[HomeTeam]], F$36)))+( COUNTIFS(Table1[[GameIsOver]:[GameIsOver]],1,Table1[[AwayTeam]:[AwayTeam]],F$36, Table1[[HomeTeam]:[HomeTeam]],$A45))), "")</f>
        <v/>
      </c>
      <c r="G45" s="36" t="str">
        <f>IFERROR(((2 * (SUMIFS(Table1[[AwayWon]:[AwayWon]], Table1[[GameIsOver]:[GameIsOver]], 1, Table1[[AwayTeam]:[AwayTeam]], $A45, Table1[[HomeTeam]:[HomeTeam]], G$36) + SUMIFS(Table1[[HomeWon]:[HomeWon]], Table1[[GameIsOver]:[GameIsOver]], 1, Table1[[HomeTeam]:[HomeTeam]], $A45, Table1[[AwayTeam]:[AwayTeam]], G$36))) + (SUMIFS(Table1[[HomeWon]:[HomeWon]], Table1[[GameIsOver]:[GameIsOver]], 1, Table1[[AwayTeam]:[AwayTeam]], $A45, Table1[[HomeTeam]:[HomeTeam]],  G$36, Table1[[ActualResult]:[ActualResult]], "OT") + SUMIFS(Table1[[AwayWon]:[AwayWon]], Table1[[GameIsOver]:[GameIsOver]], 1, Table1[[HomeTeam]:[HomeTeam]], $A45, Table1[[AwayTeam]:[AwayTeam]], G$36, Table1[[ActualResult]:[ActualResult]], "OT") + SUMIFS(Table1[[HomeWon]:[HomeWon]], Table1[[GameIsOver]:[GameIsOver]], 1, Table1[[AwayTeam]:[AwayTeam]], $A45, Table1[[HomeTeam]:[HomeTeam]], G$36, Table1[[ActualResult]:[ActualResult]], "SO") + SUMIFS(Table1[[AwayWon]:[AwayWon]], Table1[[GameIsOver]:[GameIsOver]], 1, Table1[[HomeTeam]:[HomeTeam]], $A45, Table1[[AwayTeam]:[AwayTeam]], G$36, Table1[[ActualResult]:[ActualResult]], "SO")))/ (2*((COUNTIFS(Table1[[GameIsOver]:[GameIsOver]],1,Table1[[AwayTeam]:[AwayTeam]],$A45, Table1[[HomeTeam]:[HomeTeam]], G$36)))+( COUNTIFS(Table1[[GameIsOver]:[GameIsOver]],1,Table1[[AwayTeam]:[AwayTeam]],G$36, Table1[[HomeTeam]:[HomeTeam]],$A45))), "")</f>
        <v/>
      </c>
      <c r="H45" s="36" t="str">
        <f>IFERROR(((2 * (SUMIFS(Table1[[AwayWon]:[AwayWon]], Table1[[GameIsOver]:[GameIsOver]], 1, Table1[[AwayTeam]:[AwayTeam]], $A45, Table1[[HomeTeam]:[HomeTeam]], H$36) + SUMIFS(Table1[[HomeWon]:[HomeWon]], Table1[[GameIsOver]:[GameIsOver]], 1, Table1[[HomeTeam]:[HomeTeam]], $A45, Table1[[AwayTeam]:[AwayTeam]], H$36))) + (SUMIFS(Table1[[HomeWon]:[HomeWon]], Table1[[GameIsOver]:[GameIsOver]], 1, Table1[[AwayTeam]:[AwayTeam]], $A45, Table1[[HomeTeam]:[HomeTeam]],  H$36, Table1[[ActualResult]:[ActualResult]], "OT") + SUMIFS(Table1[[AwayWon]:[AwayWon]], Table1[[GameIsOver]:[GameIsOver]], 1, Table1[[HomeTeam]:[HomeTeam]], $A45, Table1[[AwayTeam]:[AwayTeam]], H$36, Table1[[ActualResult]:[ActualResult]], "OT") + SUMIFS(Table1[[HomeWon]:[HomeWon]], Table1[[GameIsOver]:[GameIsOver]], 1, Table1[[AwayTeam]:[AwayTeam]], $A45, Table1[[HomeTeam]:[HomeTeam]], H$36, Table1[[ActualResult]:[ActualResult]], "SO") + SUMIFS(Table1[[AwayWon]:[AwayWon]], Table1[[GameIsOver]:[GameIsOver]], 1, Table1[[HomeTeam]:[HomeTeam]], $A45, Table1[[AwayTeam]:[AwayTeam]], H$36, Table1[[ActualResult]:[ActualResult]], "SO")))/ (2*((COUNTIFS(Table1[[GameIsOver]:[GameIsOver]],1,Table1[[AwayTeam]:[AwayTeam]],$A45, Table1[[HomeTeam]:[HomeTeam]], H$36)))+( COUNTIFS(Table1[[GameIsOver]:[GameIsOver]],1,Table1[[AwayTeam]:[AwayTeam]],H$36, Table1[[HomeTeam]:[HomeTeam]],$A45))), "")</f>
        <v/>
      </c>
      <c r="I45" s="38">
        <f>IFERROR(((2 * (SUMIFS(Table1[[AwayWon]:[AwayWon]], Table1[[GameIsOver]:[GameIsOver]], 1, Table1[[AwayTeam]:[AwayTeam]], $A45, Table1[[HomeTeam]:[HomeTeam]], I$36) + SUMIFS(Table1[[HomeWon]:[HomeWon]], Table1[[GameIsOver]:[GameIsOver]], 1, Table1[[HomeTeam]:[HomeTeam]], $A45, Table1[[AwayTeam]:[AwayTeam]], I$36))) + (SUMIFS(Table1[[HomeWon]:[HomeWon]], Table1[[GameIsOver]:[GameIsOver]], 1, Table1[[AwayTeam]:[AwayTeam]], $A45, Table1[[HomeTeam]:[HomeTeam]],  I$36, Table1[[ActualResult]:[ActualResult]], "OT") + SUMIFS(Table1[[AwayWon]:[AwayWon]], Table1[[GameIsOver]:[GameIsOver]], 1, Table1[[HomeTeam]:[HomeTeam]], $A45, Table1[[AwayTeam]:[AwayTeam]], I$36, Table1[[ActualResult]:[ActualResult]], "OT") + SUMIFS(Table1[[HomeWon]:[HomeWon]], Table1[[GameIsOver]:[GameIsOver]], 1, Table1[[AwayTeam]:[AwayTeam]], $A45, Table1[[HomeTeam]:[HomeTeam]], I$36, Table1[[ActualResult]:[ActualResult]], "SO") + SUMIFS(Table1[[AwayWon]:[AwayWon]], Table1[[GameIsOver]:[GameIsOver]], 1, Table1[[HomeTeam]:[HomeTeam]], $A45, Table1[[AwayTeam]:[AwayTeam]], I$36, Table1[[ActualResult]:[ActualResult]], "SO")))/ (2*((COUNTIFS(Table1[[GameIsOver]:[GameIsOver]],1,Table1[[AwayTeam]:[AwayTeam]],$A45, Table1[[HomeTeam]:[HomeTeam]], I$36)))+( COUNTIFS(Table1[[GameIsOver]:[GameIsOver]],1,Table1[[AwayTeam]:[AwayTeam]],I$36, Table1[[HomeTeam]:[HomeTeam]],$A45))), "")</f>
        <v>1</v>
      </c>
      <c r="J45" s="36" t="str">
        <f>IFERROR(((2 * (SUMIFS(Table1[[AwayWon]:[AwayWon]], Table1[[GameIsOver]:[GameIsOver]], 1, Table1[[AwayTeam]:[AwayTeam]], $A45, Table1[[HomeTeam]:[HomeTeam]], J$36) + SUMIFS(Table1[[HomeWon]:[HomeWon]], Table1[[GameIsOver]:[GameIsOver]], 1, Table1[[HomeTeam]:[HomeTeam]], $A45, Table1[[AwayTeam]:[AwayTeam]], J$36))) + (SUMIFS(Table1[[HomeWon]:[HomeWon]], Table1[[GameIsOver]:[GameIsOver]], 1, Table1[[AwayTeam]:[AwayTeam]], $A45, Table1[[HomeTeam]:[HomeTeam]],  J$36, Table1[[ActualResult]:[ActualResult]], "OT") + SUMIFS(Table1[[AwayWon]:[AwayWon]], Table1[[GameIsOver]:[GameIsOver]], 1, Table1[[HomeTeam]:[HomeTeam]], $A45, Table1[[AwayTeam]:[AwayTeam]], J$36, Table1[[ActualResult]:[ActualResult]], "OT") + SUMIFS(Table1[[HomeWon]:[HomeWon]], Table1[[GameIsOver]:[GameIsOver]], 1, Table1[[AwayTeam]:[AwayTeam]], $A45, Table1[[HomeTeam]:[HomeTeam]], J$36, Table1[[ActualResult]:[ActualResult]], "SO") + SUMIFS(Table1[[AwayWon]:[AwayWon]], Table1[[GameIsOver]:[GameIsOver]], 1, Table1[[HomeTeam]:[HomeTeam]], $A45, Table1[[AwayTeam]:[AwayTeam]], J$36, Table1[[ActualResult]:[ActualResult]], "SO")))/ (2*((COUNTIFS(Table1[[GameIsOver]:[GameIsOver]],1,Table1[[AwayTeam]:[AwayTeam]],$A45, Table1[[HomeTeam]:[HomeTeam]], J$36)))+( COUNTIFS(Table1[[GameIsOver]:[GameIsOver]],1,Table1[[AwayTeam]:[AwayTeam]],J$36, Table1[[HomeTeam]:[HomeTeam]],$A45))), "")</f>
        <v/>
      </c>
      <c r="K45" s="36" t="str">
        <f>IFERROR(((2 * (SUMIFS(Table1[[AwayWon]:[AwayWon]], Table1[[GameIsOver]:[GameIsOver]], 1, Table1[[AwayTeam]:[AwayTeam]], $A45, Table1[[HomeTeam]:[HomeTeam]], K$36) + SUMIFS(Table1[[HomeWon]:[HomeWon]], Table1[[GameIsOver]:[GameIsOver]], 1, Table1[[HomeTeam]:[HomeTeam]], $A45, Table1[[AwayTeam]:[AwayTeam]], K$36))) + (SUMIFS(Table1[[HomeWon]:[HomeWon]], Table1[[GameIsOver]:[GameIsOver]], 1, Table1[[AwayTeam]:[AwayTeam]], $A45, Table1[[HomeTeam]:[HomeTeam]],  K$36, Table1[[ActualResult]:[ActualResult]], "OT") + SUMIFS(Table1[[AwayWon]:[AwayWon]], Table1[[GameIsOver]:[GameIsOver]], 1, Table1[[HomeTeam]:[HomeTeam]], $A45, Table1[[AwayTeam]:[AwayTeam]], K$36, Table1[[ActualResult]:[ActualResult]], "OT") + SUMIFS(Table1[[HomeWon]:[HomeWon]], Table1[[GameIsOver]:[GameIsOver]], 1, Table1[[AwayTeam]:[AwayTeam]], $A45, Table1[[HomeTeam]:[HomeTeam]], K$36, Table1[[ActualResult]:[ActualResult]], "SO") + SUMIFS(Table1[[AwayWon]:[AwayWon]], Table1[[GameIsOver]:[GameIsOver]], 1, Table1[[HomeTeam]:[HomeTeam]], $A45, Table1[[AwayTeam]:[AwayTeam]], K$36, Table1[[ActualResult]:[ActualResult]], "SO")))/ (2*((COUNTIFS(Table1[[GameIsOver]:[GameIsOver]],1,Table1[[AwayTeam]:[AwayTeam]],$A45, Table1[[HomeTeam]:[HomeTeam]], K$36)))+( COUNTIFS(Table1[[GameIsOver]:[GameIsOver]],1,Table1[[AwayTeam]:[AwayTeam]],K$36, Table1[[HomeTeam]:[HomeTeam]],$A45))), "")</f>
        <v/>
      </c>
      <c r="L45" s="36" t="str">
        <f>IFERROR(((2 * (SUMIFS(Table1[[AwayWon]:[AwayWon]], Table1[[GameIsOver]:[GameIsOver]], 1, Table1[[AwayTeam]:[AwayTeam]], $A45, Table1[[HomeTeam]:[HomeTeam]], L$36) + SUMIFS(Table1[[HomeWon]:[HomeWon]], Table1[[GameIsOver]:[GameIsOver]], 1, Table1[[HomeTeam]:[HomeTeam]], $A45, Table1[[AwayTeam]:[AwayTeam]], L$36))) + (SUMIFS(Table1[[HomeWon]:[HomeWon]], Table1[[GameIsOver]:[GameIsOver]], 1, Table1[[AwayTeam]:[AwayTeam]], $A45, Table1[[HomeTeam]:[HomeTeam]],  L$36, Table1[[ActualResult]:[ActualResult]], "OT") + SUMIFS(Table1[[AwayWon]:[AwayWon]], Table1[[GameIsOver]:[GameIsOver]], 1, Table1[[HomeTeam]:[HomeTeam]], $A45, Table1[[AwayTeam]:[AwayTeam]], L$36, Table1[[ActualResult]:[ActualResult]], "OT") + SUMIFS(Table1[[HomeWon]:[HomeWon]], Table1[[GameIsOver]:[GameIsOver]], 1, Table1[[AwayTeam]:[AwayTeam]], $A45, Table1[[HomeTeam]:[HomeTeam]], L$36, Table1[[ActualResult]:[ActualResult]], "SO") + SUMIFS(Table1[[AwayWon]:[AwayWon]], Table1[[GameIsOver]:[GameIsOver]], 1, Table1[[HomeTeam]:[HomeTeam]], $A45, Table1[[AwayTeam]:[AwayTeam]], L$36, Table1[[ActualResult]:[ActualResult]], "SO")))/ (2*((COUNTIFS(Table1[[GameIsOver]:[GameIsOver]],1,Table1[[AwayTeam]:[AwayTeam]],$A45, Table1[[HomeTeam]:[HomeTeam]], L$36)))+( COUNTIFS(Table1[[GameIsOver]:[GameIsOver]],1,Table1[[AwayTeam]:[AwayTeam]],L$36, Table1[[HomeTeam]:[HomeTeam]],$A45))), "")</f>
        <v/>
      </c>
      <c r="M45" s="36" t="str">
        <f>IFERROR(((2 * (SUMIFS(Table1[[AwayWon]:[AwayWon]], Table1[[GameIsOver]:[GameIsOver]], 1, Table1[[AwayTeam]:[AwayTeam]], $A45, Table1[[HomeTeam]:[HomeTeam]], M$36) + SUMIFS(Table1[[HomeWon]:[HomeWon]], Table1[[GameIsOver]:[GameIsOver]], 1, Table1[[HomeTeam]:[HomeTeam]], $A45, Table1[[AwayTeam]:[AwayTeam]], M$36))) + (SUMIFS(Table1[[HomeWon]:[HomeWon]], Table1[[GameIsOver]:[GameIsOver]], 1, Table1[[AwayTeam]:[AwayTeam]], $A45, Table1[[HomeTeam]:[HomeTeam]],  M$36, Table1[[ActualResult]:[ActualResult]], "OT") + SUMIFS(Table1[[AwayWon]:[AwayWon]], Table1[[GameIsOver]:[GameIsOver]], 1, Table1[[HomeTeam]:[HomeTeam]], $A45, Table1[[AwayTeam]:[AwayTeam]], M$36, Table1[[ActualResult]:[ActualResult]], "OT") + SUMIFS(Table1[[HomeWon]:[HomeWon]], Table1[[GameIsOver]:[GameIsOver]], 1, Table1[[AwayTeam]:[AwayTeam]], $A45, Table1[[HomeTeam]:[HomeTeam]], M$36, Table1[[ActualResult]:[ActualResult]], "SO") + SUMIFS(Table1[[AwayWon]:[AwayWon]], Table1[[GameIsOver]:[GameIsOver]], 1, Table1[[HomeTeam]:[HomeTeam]], $A45, Table1[[AwayTeam]:[AwayTeam]], M$36, Table1[[ActualResult]:[ActualResult]], "SO")))/ (2*((COUNTIFS(Table1[[GameIsOver]:[GameIsOver]],1,Table1[[AwayTeam]:[AwayTeam]],$A45, Table1[[HomeTeam]:[HomeTeam]], M$36)))+( COUNTIFS(Table1[[GameIsOver]:[GameIsOver]],1,Table1[[AwayTeam]:[AwayTeam]],M$36, Table1[[HomeTeam]:[HomeTeam]],$A45))), "")</f>
        <v/>
      </c>
      <c r="N45" s="36" t="str">
        <f>IFERROR(((2 * (SUMIFS(Table1[[AwayWon]:[AwayWon]], Table1[[GameIsOver]:[GameIsOver]], 1, Table1[[AwayTeam]:[AwayTeam]], $A45, Table1[[HomeTeam]:[HomeTeam]], N$36) + SUMIFS(Table1[[HomeWon]:[HomeWon]], Table1[[GameIsOver]:[GameIsOver]], 1, Table1[[HomeTeam]:[HomeTeam]], $A45, Table1[[AwayTeam]:[AwayTeam]], N$36))) + (SUMIFS(Table1[[HomeWon]:[HomeWon]], Table1[[GameIsOver]:[GameIsOver]], 1, Table1[[AwayTeam]:[AwayTeam]], $A45, Table1[[HomeTeam]:[HomeTeam]],  N$36, Table1[[ActualResult]:[ActualResult]], "OT") + SUMIFS(Table1[[AwayWon]:[AwayWon]], Table1[[GameIsOver]:[GameIsOver]], 1, Table1[[HomeTeam]:[HomeTeam]], $A45, Table1[[AwayTeam]:[AwayTeam]], N$36, Table1[[ActualResult]:[ActualResult]], "OT") + SUMIFS(Table1[[HomeWon]:[HomeWon]], Table1[[GameIsOver]:[GameIsOver]], 1, Table1[[AwayTeam]:[AwayTeam]], $A45, Table1[[HomeTeam]:[HomeTeam]], N$36, Table1[[ActualResult]:[ActualResult]], "SO") + SUMIFS(Table1[[AwayWon]:[AwayWon]], Table1[[GameIsOver]:[GameIsOver]], 1, Table1[[HomeTeam]:[HomeTeam]], $A45, Table1[[AwayTeam]:[AwayTeam]], N$36, Table1[[ActualResult]:[ActualResult]], "SO")))/ (2*((COUNTIFS(Table1[[GameIsOver]:[GameIsOver]],1,Table1[[AwayTeam]:[AwayTeam]],$A45, Table1[[HomeTeam]:[HomeTeam]], N$36)))+( COUNTIFS(Table1[[GameIsOver]:[GameIsOver]],1,Table1[[AwayTeam]:[AwayTeam]],N$36, Table1[[HomeTeam]:[HomeTeam]],$A45))), "")</f>
        <v/>
      </c>
      <c r="O45" s="36" t="str">
        <f>IFERROR(((2 * (SUMIFS(Table1[[AwayWon]:[AwayWon]], Table1[[GameIsOver]:[GameIsOver]], 1, Table1[[AwayTeam]:[AwayTeam]], $A45, Table1[[HomeTeam]:[HomeTeam]], O$36) + SUMIFS(Table1[[HomeWon]:[HomeWon]], Table1[[GameIsOver]:[GameIsOver]], 1, Table1[[HomeTeam]:[HomeTeam]], $A45, Table1[[AwayTeam]:[AwayTeam]], O$36))) + (SUMIFS(Table1[[HomeWon]:[HomeWon]], Table1[[GameIsOver]:[GameIsOver]], 1, Table1[[AwayTeam]:[AwayTeam]], $A45, Table1[[HomeTeam]:[HomeTeam]],  O$36, Table1[[ActualResult]:[ActualResult]], "OT") + SUMIFS(Table1[[AwayWon]:[AwayWon]], Table1[[GameIsOver]:[GameIsOver]], 1, Table1[[HomeTeam]:[HomeTeam]], $A45, Table1[[AwayTeam]:[AwayTeam]], O$36, Table1[[ActualResult]:[ActualResult]], "OT") + SUMIFS(Table1[[HomeWon]:[HomeWon]], Table1[[GameIsOver]:[GameIsOver]], 1, Table1[[AwayTeam]:[AwayTeam]], $A45, Table1[[HomeTeam]:[HomeTeam]], O$36, Table1[[ActualResult]:[ActualResult]], "SO") + SUMIFS(Table1[[AwayWon]:[AwayWon]], Table1[[GameIsOver]:[GameIsOver]], 1, Table1[[HomeTeam]:[HomeTeam]], $A45, Table1[[AwayTeam]:[AwayTeam]], O$36, Table1[[ActualResult]:[ActualResult]], "SO")))/ (2*((COUNTIFS(Table1[[GameIsOver]:[GameIsOver]],1,Table1[[AwayTeam]:[AwayTeam]],$A45, Table1[[HomeTeam]:[HomeTeam]], O$36)))+( COUNTIFS(Table1[[GameIsOver]:[GameIsOver]],1,Table1[[AwayTeam]:[AwayTeam]],O$36, Table1[[HomeTeam]:[HomeTeam]],$A45))), "")</f>
        <v/>
      </c>
      <c r="P45" s="36">
        <f>IFERROR(((2 * (SUMIFS(Table1[[AwayWon]:[AwayWon]], Table1[[GameIsOver]:[GameIsOver]], 1, Table1[[AwayTeam]:[AwayTeam]], $A45, Table1[[HomeTeam]:[HomeTeam]], P$36) + SUMIFS(Table1[[HomeWon]:[HomeWon]], Table1[[GameIsOver]:[GameIsOver]], 1, Table1[[HomeTeam]:[HomeTeam]], $A45, Table1[[AwayTeam]:[AwayTeam]], P$36))) + (SUMIFS(Table1[[HomeWon]:[HomeWon]], Table1[[GameIsOver]:[GameIsOver]], 1, Table1[[AwayTeam]:[AwayTeam]], $A45, Table1[[HomeTeam]:[HomeTeam]],  P$36, Table1[[ActualResult]:[ActualResult]], "OT") + SUMIFS(Table1[[AwayWon]:[AwayWon]], Table1[[GameIsOver]:[GameIsOver]], 1, Table1[[HomeTeam]:[HomeTeam]], $A45, Table1[[AwayTeam]:[AwayTeam]], P$36, Table1[[ActualResult]:[ActualResult]], "OT") + SUMIFS(Table1[[HomeWon]:[HomeWon]], Table1[[GameIsOver]:[GameIsOver]], 1, Table1[[AwayTeam]:[AwayTeam]], $A45, Table1[[HomeTeam]:[HomeTeam]], P$36, Table1[[ActualResult]:[ActualResult]], "SO") + SUMIFS(Table1[[AwayWon]:[AwayWon]], Table1[[GameIsOver]:[GameIsOver]], 1, Table1[[HomeTeam]:[HomeTeam]], $A45, Table1[[AwayTeam]:[AwayTeam]], P$36, Table1[[ActualResult]:[ActualResult]], "SO")))/ (2*((COUNTIFS(Table1[[GameIsOver]:[GameIsOver]],1,Table1[[AwayTeam]:[AwayTeam]],$A45, Table1[[HomeTeam]:[HomeTeam]], P$36)))+( COUNTIFS(Table1[[GameIsOver]:[GameIsOver]],1,Table1[[AwayTeam]:[AwayTeam]],P$36, Table1[[HomeTeam]:[HomeTeam]],$A45))), "")</f>
        <v>0.5</v>
      </c>
      <c r="Q45" s="38" t="str">
        <f>IFERROR(((2 * (SUMIFS(Table1[[AwayWon]:[AwayWon]], Table1[[GameIsOver]:[GameIsOver]], 1, Table1[[AwayTeam]:[AwayTeam]], $A45, Table1[[HomeTeam]:[HomeTeam]], Q$36) + SUMIFS(Table1[[HomeWon]:[HomeWon]], Table1[[GameIsOver]:[GameIsOver]], 1, Table1[[HomeTeam]:[HomeTeam]], $A45, Table1[[AwayTeam]:[AwayTeam]], Q$36))) + (SUMIFS(Table1[[HomeWon]:[HomeWon]], Table1[[GameIsOver]:[GameIsOver]], 1, Table1[[AwayTeam]:[AwayTeam]], $A45, Table1[[HomeTeam]:[HomeTeam]],  Q$36, Table1[[ActualResult]:[ActualResult]], "OT") + SUMIFS(Table1[[AwayWon]:[AwayWon]], Table1[[GameIsOver]:[GameIsOver]], 1, Table1[[HomeTeam]:[HomeTeam]], $A45, Table1[[AwayTeam]:[AwayTeam]], Q$36, Table1[[ActualResult]:[ActualResult]], "OT") + SUMIFS(Table1[[HomeWon]:[HomeWon]], Table1[[GameIsOver]:[GameIsOver]], 1, Table1[[AwayTeam]:[AwayTeam]], $A45, Table1[[HomeTeam]:[HomeTeam]], Q$36, Table1[[ActualResult]:[ActualResult]], "SO") + SUMIFS(Table1[[AwayWon]:[AwayWon]], Table1[[GameIsOver]:[GameIsOver]], 1, Table1[[HomeTeam]:[HomeTeam]], $A45, Table1[[AwayTeam]:[AwayTeam]], Q$36, Table1[[ActualResult]:[ActualResult]], "SO")))/ (2*((COUNTIFS(Table1[[GameIsOver]:[GameIsOver]],1,Table1[[AwayTeam]:[AwayTeam]],$A45, Table1[[HomeTeam]:[HomeTeam]], Q$36)))+( COUNTIFS(Table1[[GameIsOver]:[GameIsOver]],1,Table1[[AwayTeam]:[AwayTeam]],Q$36, Table1[[HomeTeam]:[HomeTeam]],$A45))), "")</f>
        <v/>
      </c>
      <c r="R45" s="36" t="str">
        <f>IFERROR(((2 * (SUMIFS(Table1[[AwayWon]:[AwayWon]], Table1[[GameIsOver]:[GameIsOver]], 1, Table1[[AwayTeam]:[AwayTeam]], $A45, Table1[[HomeTeam]:[HomeTeam]], R$36) + SUMIFS(Table1[[HomeWon]:[HomeWon]], Table1[[GameIsOver]:[GameIsOver]], 1, Table1[[HomeTeam]:[HomeTeam]], $A45, Table1[[AwayTeam]:[AwayTeam]], R$36))) + (SUMIFS(Table1[[HomeWon]:[HomeWon]], Table1[[GameIsOver]:[GameIsOver]], 1, Table1[[AwayTeam]:[AwayTeam]], $A45, Table1[[HomeTeam]:[HomeTeam]],  R$36, Table1[[ActualResult]:[ActualResult]], "OT") + SUMIFS(Table1[[AwayWon]:[AwayWon]], Table1[[GameIsOver]:[GameIsOver]], 1, Table1[[HomeTeam]:[HomeTeam]], $A45, Table1[[AwayTeam]:[AwayTeam]], R$36, Table1[[ActualResult]:[ActualResult]], "OT") + SUMIFS(Table1[[HomeWon]:[HomeWon]], Table1[[GameIsOver]:[GameIsOver]], 1, Table1[[AwayTeam]:[AwayTeam]], $A45, Table1[[HomeTeam]:[HomeTeam]], R$36, Table1[[ActualResult]:[ActualResult]], "SO") + SUMIFS(Table1[[AwayWon]:[AwayWon]], Table1[[GameIsOver]:[GameIsOver]], 1, Table1[[HomeTeam]:[HomeTeam]], $A45, Table1[[AwayTeam]:[AwayTeam]], R$36, Table1[[ActualResult]:[ActualResult]], "SO")))/ (2*((COUNTIFS(Table1[[GameIsOver]:[GameIsOver]],1,Table1[[AwayTeam]:[AwayTeam]],$A45, Table1[[HomeTeam]:[HomeTeam]], R$36)))+( COUNTIFS(Table1[[GameIsOver]:[GameIsOver]],1,Table1[[AwayTeam]:[AwayTeam]],R$36, Table1[[HomeTeam]:[HomeTeam]],$A45))), "")</f>
        <v/>
      </c>
      <c r="S45" s="36" t="str">
        <f>IFERROR(((2 * (SUMIFS(Table1[[AwayWon]:[AwayWon]], Table1[[GameIsOver]:[GameIsOver]], 1, Table1[[AwayTeam]:[AwayTeam]], $A45, Table1[[HomeTeam]:[HomeTeam]], S$36) + SUMIFS(Table1[[HomeWon]:[HomeWon]], Table1[[GameIsOver]:[GameIsOver]], 1, Table1[[HomeTeam]:[HomeTeam]], $A45, Table1[[AwayTeam]:[AwayTeam]], S$36))) + (SUMIFS(Table1[[HomeWon]:[HomeWon]], Table1[[GameIsOver]:[GameIsOver]], 1, Table1[[AwayTeam]:[AwayTeam]], $A45, Table1[[HomeTeam]:[HomeTeam]],  S$36, Table1[[ActualResult]:[ActualResult]], "OT") + SUMIFS(Table1[[AwayWon]:[AwayWon]], Table1[[GameIsOver]:[GameIsOver]], 1, Table1[[HomeTeam]:[HomeTeam]], $A45, Table1[[AwayTeam]:[AwayTeam]], S$36, Table1[[ActualResult]:[ActualResult]], "OT") + SUMIFS(Table1[[HomeWon]:[HomeWon]], Table1[[GameIsOver]:[GameIsOver]], 1, Table1[[AwayTeam]:[AwayTeam]], $A45, Table1[[HomeTeam]:[HomeTeam]], S$36, Table1[[ActualResult]:[ActualResult]], "SO") + SUMIFS(Table1[[AwayWon]:[AwayWon]], Table1[[GameIsOver]:[GameIsOver]], 1, Table1[[HomeTeam]:[HomeTeam]], $A45, Table1[[AwayTeam]:[AwayTeam]], S$36, Table1[[ActualResult]:[ActualResult]], "SO")))/ (2*((COUNTIFS(Table1[[GameIsOver]:[GameIsOver]],1,Table1[[AwayTeam]:[AwayTeam]],$A45, Table1[[HomeTeam]:[HomeTeam]], S$36)))+( COUNTIFS(Table1[[GameIsOver]:[GameIsOver]],1,Table1[[AwayTeam]:[AwayTeam]],S$36, Table1[[HomeTeam]:[HomeTeam]],$A45))), "")</f>
        <v/>
      </c>
      <c r="T45" s="36" t="str">
        <f>IFERROR(((2 * (SUMIFS(Table1[[AwayWon]:[AwayWon]], Table1[[GameIsOver]:[GameIsOver]], 1, Table1[[AwayTeam]:[AwayTeam]], $A45, Table1[[HomeTeam]:[HomeTeam]], T$36) + SUMIFS(Table1[[HomeWon]:[HomeWon]], Table1[[GameIsOver]:[GameIsOver]], 1, Table1[[HomeTeam]:[HomeTeam]], $A45, Table1[[AwayTeam]:[AwayTeam]], T$36))) + (SUMIFS(Table1[[HomeWon]:[HomeWon]], Table1[[GameIsOver]:[GameIsOver]], 1, Table1[[AwayTeam]:[AwayTeam]], $A45, Table1[[HomeTeam]:[HomeTeam]],  T$36, Table1[[ActualResult]:[ActualResult]], "OT") + SUMIFS(Table1[[AwayWon]:[AwayWon]], Table1[[GameIsOver]:[GameIsOver]], 1, Table1[[HomeTeam]:[HomeTeam]], $A45, Table1[[AwayTeam]:[AwayTeam]], T$36, Table1[[ActualResult]:[ActualResult]], "OT") + SUMIFS(Table1[[HomeWon]:[HomeWon]], Table1[[GameIsOver]:[GameIsOver]], 1, Table1[[AwayTeam]:[AwayTeam]], $A45, Table1[[HomeTeam]:[HomeTeam]], T$36, Table1[[ActualResult]:[ActualResult]], "SO") + SUMIFS(Table1[[AwayWon]:[AwayWon]], Table1[[GameIsOver]:[GameIsOver]], 1, Table1[[HomeTeam]:[HomeTeam]], $A45, Table1[[AwayTeam]:[AwayTeam]], T$36, Table1[[ActualResult]:[ActualResult]], "SO")))/ (2*((COUNTIFS(Table1[[GameIsOver]:[GameIsOver]],1,Table1[[AwayTeam]:[AwayTeam]],$A45, Table1[[HomeTeam]:[HomeTeam]], T$36)))+( COUNTIFS(Table1[[GameIsOver]:[GameIsOver]],1,Table1[[AwayTeam]:[AwayTeam]],T$36, Table1[[HomeTeam]:[HomeTeam]],$A45))), "")</f>
        <v/>
      </c>
      <c r="U45" s="36" t="str">
        <f>IFERROR(((2 * (SUMIFS(Table1[[AwayWon]:[AwayWon]], Table1[[GameIsOver]:[GameIsOver]], 1, Table1[[AwayTeam]:[AwayTeam]], $A45, Table1[[HomeTeam]:[HomeTeam]], U$36) + SUMIFS(Table1[[HomeWon]:[HomeWon]], Table1[[GameIsOver]:[GameIsOver]], 1, Table1[[HomeTeam]:[HomeTeam]], $A45, Table1[[AwayTeam]:[AwayTeam]], U$36))) + (SUMIFS(Table1[[HomeWon]:[HomeWon]], Table1[[GameIsOver]:[GameIsOver]], 1, Table1[[AwayTeam]:[AwayTeam]], $A45, Table1[[HomeTeam]:[HomeTeam]],  U$36, Table1[[ActualResult]:[ActualResult]], "OT") + SUMIFS(Table1[[AwayWon]:[AwayWon]], Table1[[GameIsOver]:[GameIsOver]], 1, Table1[[HomeTeam]:[HomeTeam]], $A45, Table1[[AwayTeam]:[AwayTeam]], U$36, Table1[[ActualResult]:[ActualResult]], "OT") + SUMIFS(Table1[[HomeWon]:[HomeWon]], Table1[[GameIsOver]:[GameIsOver]], 1, Table1[[AwayTeam]:[AwayTeam]], $A45, Table1[[HomeTeam]:[HomeTeam]], U$36, Table1[[ActualResult]:[ActualResult]], "SO") + SUMIFS(Table1[[AwayWon]:[AwayWon]], Table1[[GameIsOver]:[GameIsOver]], 1, Table1[[HomeTeam]:[HomeTeam]], $A45, Table1[[AwayTeam]:[AwayTeam]], U$36, Table1[[ActualResult]:[ActualResult]], "SO")))/ (2*((COUNTIFS(Table1[[GameIsOver]:[GameIsOver]],1,Table1[[AwayTeam]:[AwayTeam]],$A45, Table1[[HomeTeam]:[HomeTeam]], U$36)))+( COUNTIFS(Table1[[GameIsOver]:[GameIsOver]],1,Table1[[AwayTeam]:[AwayTeam]],U$36, Table1[[HomeTeam]:[HomeTeam]],$A45))), "")</f>
        <v/>
      </c>
      <c r="V45" s="36" t="str">
        <f>IFERROR(((2 * (SUMIFS(Table1[[AwayWon]:[AwayWon]], Table1[[GameIsOver]:[GameIsOver]], 1, Table1[[AwayTeam]:[AwayTeam]], $A45, Table1[[HomeTeam]:[HomeTeam]], V$36) + SUMIFS(Table1[[HomeWon]:[HomeWon]], Table1[[GameIsOver]:[GameIsOver]], 1, Table1[[HomeTeam]:[HomeTeam]], $A45, Table1[[AwayTeam]:[AwayTeam]], V$36))) + (SUMIFS(Table1[[HomeWon]:[HomeWon]], Table1[[GameIsOver]:[GameIsOver]], 1, Table1[[AwayTeam]:[AwayTeam]], $A45, Table1[[HomeTeam]:[HomeTeam]],  V$36, Table1[[ActualResult]:[ActualResult]], "OT") + SUMIFS(Table1[[AwayWon]:[AwayWon]], Table1[[GameIsOver]:[GameIsOver]], 1, Table1[[HomeTeam]:[HomeTeam]], $A45, Table1[[AwayTeam]:[AwayTeam]], V$36, Table1[[ActualResult]:[ActualResult]], "OT") + SUMIFS(Table1[[HomeWon]:[HomeWon]], Table1[[GameIsOver]:[GameIsOver]], 1, Table1[[AwayTeam]:[AwayTeam]], $A45, Table1[[HomeTeam]:[HomeTeam]], V$36, Table1[[ActualResult]:[ActualResult]], "SO") + SUMIFS(Table1[[AwayWon]:[AwayWon]], Table1[[GameIsOver]:[GameIsOver]], 1, Table1[[HomeTeam]:[HomeTeam]], $A45, Table1[[AwayTeam]:[AwayTeam]], V$36, Table1[[ActualResult]:[ActualResult]], "SO")))/ (2*((COUNTIFS(Table1[[GameIsOver]:[GameIsOver]],1,Table1[[AwayTeam]:[AwayTeam]],$A45, Table1[[HomeTeam]:[HomeTeam]], V$36)))+( COUNTIFS(Table1[[GameIsOver]:[GameIsOver]],1,Table1[[AwayTeam]:[AwayTeam]],V$36, Table1[[HomeTeam]:[HomeTeam]],$A45))), "")</f>
        <v/>
      </c>
      <c r="W45" s="36" t="str">
        <f>IFERROR(((2 * (SUMIFS(Table1[[AwayWon]:[AwayWon]], Table1[[GameIsOver]:[GameIsOver]], 1, Table1[[AwayTeam]:[AwayTeam]], $A45, Table1[[HomeTeam]:[HomeTeam]], W$36) + SUMIFS(Table1[[HomeWon]:[HomeWon]], Table1[[GameIsOver]:[GameIsOver]], 1, Table1[[HomeTeam]:[HomeTeam]], $A45, Table1[[AwayTeam]:[AwayTeam]], W$36))) + (SUMIFS(Table1[[HomeWon]:[HomeWon]], Table1[[GameIsOver]:[GameIsOver]], 1, Table1[[AwayTeam]:[AwayTeam]], $A45, Table1[[HomeTeam]:[HomeTeam]],  W$36, Table1[[ActualResult]:[ActualResult]], "OT") + SUMIFS(Table1[[AwayWon]:[AwayWon]], Table1[[GameIsOver]:[GameIsOver]], 1, Table1[[HomeTeam]:[HomeTeam]], $A45, Table1[[AwayTeam]:[AwayTeam]], W$36, Table1[[ActualResult]:[ActualResult]], "OT") + SUMIFS(Table1[[HomeWon]:[HomeWon]], Table1[[GameIsOver]:[GameIsOver]], 1, Table1[[AwayTeam]:[AwayTeam]], $A45, Table1[[HomeTeam]:[HomeTeam]], W$36, Table1[[ActualResult]:[ActualResult]], "SO") + SUMIFS(Table1[[AwayWon]:[AwayWon]], Table1[[GameIsOver]:[GameIsOver]], 1, Table1[[HomeTeam]:[HomeTeam]], $A45, Table1[[AwayTeam]:[AwayTeam]], W$36, Table1[[ActualResult]:[ActualResult]], "SO")))/ (2*((COUNTIFS(Table1[[GameIsOver]:[GameIsOver]],1,Table1[[AwayTeam]:[AwayTeam]],$A45, Table1[[HomeTeam]:[HomeTeam]], W$36)))+( COUNTIFS(Table1[[GameIsOver]:[GameIsOver]],1,Table1[[AwayTeam]:[AwayTeam]],W$36, Table1[[HomeTeam]:[HomeTeam]],$A45))), "")</f>
        <v/>
      </c>
      <c r="X45" s="36" t="str">
        <f>IFERROR(((2 * (SUMIFS(Table1[[AwayWon]:[AwayWon]], Table1[[GameIsOver]:[GameIsOver]], 1, Table1[[AwayTeam]:[AwayTeam]], $A45, Table1[[HomeTeam]:[HomeTeam]], X$36) + SUMIFS(Table1[[HomeWon]:[HomeWon]], Table1[[GameIsOver]:[GameIsOver]], 1, Table1[[HomeTeam]:[HomeTeam]], $A45, Table1[[AwayTeam]:[AwayTeam]], X$36))) + (SUMIFS(Table1[[HomeWon]:[HomeWon]], Table1[[GameIsOver]:[GameIsOver]], 1, Table1[[AwayTeam]:[AwayTeam]], $A45, Table1[[HomeTeam]:[HomeTeam]],  X$36, Table1[[ActualResult]:[ActualResult]], "OT") + SUMIFS(Table1[[AwayWon]:[AwayWon]], Table1[[GameIsOver]:[GameIsOver]], 1, Table1[[HomeTeam]:[HomeTeam]], $A45, Table1[[AwayTeam]:[AwayTeam]], X$36, Table1[[ActualResult]:[ActualResult]], "OT") + SUMIFS(Table1[[HomeWon]:[HomeWon]], Table1[[GameIsOver]:[GameIsOver]], 1, Table1[[AwayTeam]:[AwayTeam]], $A45, Table1[[HomeTeam]:[HomeTeam]], X$36, Table1[[ActualResult]:[ActualResult]], "SO") + SUMIFS(Table1[[AwayWon]:[AwayWon]], Table1[[GameIsOver]:[GameIsOver]], 1, Table1[[HomeTeam]:[HomeTeam]], $A45, Table1[[AwayTeam]:[AwayTeam]], X$36, Table1[[ActualResult]:[ActualResult]], "SO")))/ (2*((COUNTIFS(Table1[[GameIsOver]:[GameIsOver]],1,Table1[[AwayTeam]:[AwayTeam]],$A45, Table1[[HomeTeam]:[HomeTeam]], X$36)))+( COUNTIFS(Table1[[GameIsOver]:[GameIsOver]],1,Table1[[AwayTeam]:[AwayTeam]],X$36, Table1[[HomeTeam]:[HomeTeam]],$A45))), "")</f>
        <v/>
      </c>
      <c r="Y45" s="38" t="str">
        <f>IFERROR(((2 * (SUMIFS(Table1[[AwayWon]:[AwayWon]], Table1[[GameIsOver]:[GameIsOver]], 1, Table1[[AwayTeam]:[AwayTeam]], $A45, Table1[[HomeTeam]:[HomeTeam]], Y$36) + SUMIFS(Table1[[HomeWon]:[HomeWon]], Table1[[GameIsOver]:[GameIsOver]], 1, Table1[[HomeTeam]:[HomeTeam]], $A45, Table1[[AwayTeam]:[AwayTeam]], Y$36))) + (SUMIFS(Table1[[HomeWon]:[HomeWon]], Table1[[GameIsOver]:[GameIsOver]], 1, Table1[[AwayTeam]:[AwayTeam]], $A45, Table1[[HomeTeam]:[HomeTeam]],  Y$36, Table1[[ActualResult]:[ActualResult]], "OT") + SUMIFS(Table1[[AwayWon]:[AwayWon]], Table1[[GameIsOver]:[GameIsOver]], 1, Table1[[HomeTeam]:[HomeTeam]], $A45, Table1[[AwayTeam]:[AwayTeam]], Y$36, Table1[[ActualResult]:[ActualResult]], "OT") + SUMIFS(Table1[[HomeWon]:[HomeWon]], Table1[[GameIsOver]:[GameIsOver]], 1, Table1[[AwayTeam]:[AwayTeam]], $A45, Table1[[HomeTeam]:[HomeTeam]], Y$36, Table1[[ActualResult]:[ActualResult]], "SO") + SUMIFS(Table1[[AwayWon]:[AwayWon]], Table1[[GameIsOver]:[GameIsOver]], 1, Table1[[HomeTeam]:[HomeTeam]], $A45, Table1[[AwayTeam]:[AwayTeam]], Y$36, Table1[[ActualResult]:[ActualResult]], "SO")))/ (2*((COUNTIFS(Table1[[GameIsOver]:[GameIsOver]],1,Table1[[AwayTeam]:[AwayTeam]],$A45, Table1[[HomeTeam]:[HomeTeam]], Y$36)))+( COUNTIFS(Table1[[GameIsOver]:[GameIsOver]],1,Table1[[AwayTeam]:[AwayTeam]],Y$36, Table1[[HomeTeam]:[HomeTeam]],$A45))), "")</f>
        <v/>
      </c>
      <c r="Z45" s="36" t="str">
        <f>IFERROR(((2 * (SUMIFS(Table1[[AwayWon]:[AwayWon]], Table1[[GameIsOver]:[GameIsOver]], 1, Table1[[AwayTeam]:[AwayTeam]], $A45, Table1[[HomeTeam]:[HomeTeam]], Z$36) + SUMIFS(Table1[[HomeWon]:[HomeWon]], Table1[[GameIsOver]:[GameIsOver]], 1, Table1[[HomeTeam]:[HomeTeam]], $A45, Table1[[AwayTeam]:[AwayTeam]], Z$36))) + (SUMIFS(Table1[[HomeWon]:[HomeWon]], Table1[[GameIsOver]:[GameIsOver]], 1, Table1[[AwayTeam]:[AwayTeam]], $A45, Table1[[HomeTeam]:[HomeTeam]],  Z$36, Table1[[ActualResult]:[ActualResult]], "OT") + SUMIFS(Table1[[AwayWon]:[AwayWon]], Table1[[GameIsOver]:[GameIsOver]], 1, Table1[[HomeTeam]:[HomeTeam]], $A45, Table1[[AwayTeam]:[AwayTeam]], Z$36, Table1[[ActualResult]:[ActualResult]], "OT") + SUMIFS(Table1[[HomeWon]:[HomeWon]], Table1[[GameIsOver]:[GameIsOver]], 1, Table1[[AwayTeam]:[AwayTeam]], $A45, Table1[[HomeTeam]:[HomeTeam]], Z$36, Table1[[ActualResult]:[ActualResult]], "SO") + SUMIFS(Table1[[AwayWon]:[AwayWon]], Table1[[GameIsOver]:[GameIsOver]], 1, Table1[[HomeTeam]:[HomeTeam]], $A45, Table1[[AwayTeam]:[AwayTeam]], Z$36, Table1[[ActualResult]:[ActualResult]], "SO")))/ (2*((COUNTIFS(Table1[[GameIsOver]:[GameIsOver]],1,Table1[[AwayTeam]:[AwayTeam]],$A45, Table1[[HomeTeam]:[HomeTeam]], Z$36)))+( COUNTIFS(Table1[[GameIsOver]:[GameIsOver]],1,Table1[[AwayTeam]:[AwayTeam]],Z$36, Table1[[HomeTeam]:[HomeTeam]],$A45))), "")</f>
        <v/>
      </c>
      <c r="AA45" s="36" t="str">
        <f>IFERROR(((2 * (SUMIFS(Table1[[AwayWon]:[AwayWon]], Table1[[GameIsOver]:[GameIsOver]], 1, Table1[[AwayTeam]:[AwayTeam]], $A45, Table1[[HomeTeam]:[HomeTeam]], AA$36) + SUMIFS(Table1[[HomeWon]:[HomeWon]], Table1[[GameIsOver]:[GameIsOver]], 1, Table1[[HomeTeam]:[HomeTeam]], $A45, Table1[[AwayTeam]:[AwayTeam]], AA$36))) + (SUMIFS(Table1[[HomeWon]:[HomeWon]], Table1[[GameIsOver]:[GameIsOver]], 1, Table1[[AwayTeam]:[AwayTeam]], $A45, Table1[[HomeTeam]:[HomeTeam]],  AA$36, Table1[[ActualResult]:[ActualResult]], "OT") + SUMIFS(Table1[[AwayWon]:[AwayWon]], Table1[[GameIsOver]:[GameIsOver]], 1, Table1[[HomeTeam]:[HomeTeam]], $A45, Table1[[AwayTeam]:[AwayTeam]], AA$36, Table1[[ActualResult]:[ActualResult]], "OT") + SUMIFS(Table1[[HomeWon]:[HomeWon]], Table1[[GameIsOver]:[GameIsOver]], 1, Table1[[AwayTeam]:[AwayTeam]], $A45, Table1[[HomeTeam]:[HomeTeam]], AA$36, Table1[[ActualResult]:[ActualResult]], "SO") + SUMIFS(Table1[[AwayWon]:[AwayWon]], Table1[[GameIsOver]:[GameIsOver]], 1, Table1[[HomeTeam]:[HomeTeam]], $A45, Table1[[AwayTeam]:[AwayTeam]], AA$36, Table1[[ActualResult]:[ActualResult]], "SO")))/ (2*((COUNTIFS(Table1[[GameIsOver]:[GameIsOver]],1,Table1[[AwayTeam]:[AwayTeam]],$A45, Table1[[HomeTeam]:[HomeTeam]], AA$36)))+( COUNTIFS(Table1[[GameIsOver]:[GameIsOver]],1,Table1[[AwayTeam]:[AwayTeam]],AA$36, Table1[[HomeTeam]:[HomeTeam]],$A45))), "")</f>
        <v/>
      </c>
      <c r="AB45" s="36" t="str">
        <f>IFERROR(((2 * (SUMIFS(Table1[[AwayWon]:[AwayWon]], Table1[[GameIsOver]:[GameIsOver]], 1, Table1[[AwayTeam]:[AwayTeam]], $A45, Table1[[HomeTeam]:[HomeTeam]], AB$36) + SUMIFS(Table1[[HomeWon]:[HomeWon]], Table1[[GameIsOver]:[GameIsOver]], 1, Table1[[HomeTeam]:[HomeTeam]], $A45, Table1[[AwayTeam]:[AwayTeam]], AB$36))) + (SUMIFS(Table1[[HomeWon]:[HomeWon]], Table1[[GameIsOver]:[GameIsOver]], 1, Table1[[AwayTeam]:[AwayTeam]], $A45, Table1[[HomeTeam]:[HomeTeam]],  AB$36, Table1[[ActualResult]:[ActualResult]], "OT") + SUMIFS(Table1[[AwayWon]:[AwayWon]], Table1[[GameIsOver]:[GameIsOver]], 1, Table1[[HomeTeam]:[HomeTeam]], $A45, Table1[[AwayTeam]:[AwayTeam]], AB$36, Table1[[ActualResult]:[ActualResult]], "OT") + SUMIFS(Table1[[HomeWon]:[HomeWon]], Table1[[GameIsOver]:[GameIsOver]], 1, Table1[[AwayTeam]:[AwayTeam]], $A45, Table1[[HomeTeam]:[HomeTeam]], AB$36, Table1[[ActualResult]:[ActualResult]], "SO") + SUMIFS(Table1[[AwayWon]:[AwayWon]], Table1[[GameIsOver]:[GameIsOver]], 1, Table1[[HomeTeam]:[HomeTeam]], $A45, Table1[[AwayTeam]:[AwayTeam]], AB$36, Table1[[ActualResult]:[ActualResult]], "SO")))/ (2*((COUNTIFS(Table1[[GameIsOver]:[GameIsOver]],1,Table1[[AwayTeam]:[AwayTeam]],$A45, Table1[[HomeTeam]:[HomeTeam]], AB$36)))+( COUNTIFS(Table1[[GameIsOver]:[GameIsOver]],1,Table1[[AwayTeam]:[AwayTeam]],AB$36, Table1[[HomeTeam]:[HomeTeam]],$A45))), "")</f>
        <v/>
      </c>
      <c r="AC45" s="36" t="str">
        <f>IFERROR(((2 * (SUMIFS(Table1[[AwayWon]:[AwayWon]], Table1[[GameIsOver]:[GameIsOver]], 1, Table1[[AwayTeam]:[AwayTeam]], $A45, Table1[[HomeTeam]:[HomeTeam]], AC$36) + SUMIFS(Table1[[HomeWon]:[HomeWon]], Table1[[GameIsOver]:[GameIsOver]], 1, Table1[[HomeTeam]:[HomeTeam]], $A45, Table1[[AwayTeam]:[AwayTeam]], AC$36))) + (SUMIFS(Table1[[HomeWon]:[HomeWon]], Table1[[GameIsOver]:[GameIsOver]], 1, Table1[[AwayTeam]:[AwayTeam]], $A45, Table1[[HomeTeam]:[HomeTeam]],  AC$36, Table1[[ActualResult]:[ActualResult]], "OT") + SUMIFS(Table1[[AwayWon]:[AwayWon]], Table1[[GameIsOver]:[GameIsOver]], 1, Table1[[HomeTeam]:[HomeTeam]], $A45, Table1[[AwayTeam]:[AwayTeam]], AC$36, Table1[[ActualResult]:[ActualResult]], "OT") + SUMIFS(Table1[[HomeWon]:[HomeWon]], Table1[[GameIsOver]:[GameIsOver]], 1, Table1[[AwayTeam]:[AwayTeam]], $A45, Table1[[HomeTeam]:[HomeTeam]], AC$36, Table1[[ActualResult]:[ActualResult]], "SO") + SUMIFS(Table1[[AwayWon]:[AwayWon]], Table1[[GameIsOver]:[GameIsOver]], 1, Table1[[HomeTeam]:[HomeTeam]], $A45, Table1[[AwayTeam]:[AwayTeam]], AC$36, Table1[[ActualResult]:[ActualResult]], "SO")))/ (2*((COUNTIFS(Table1[[GameIsOver]:[GameIsOver]],1,Table1[[AwayTeam]:[AwayTeam]],$A45, Table1[[HomeTeam]:[HomeTeam]], AC$36)))+( COUNTIFS(Table1[[GameIsOver]:[GameIsOver]],1,Table1[[AwayTeam]:[AwayTeam]],AC$36, Table1[[HomeTeam]:[HomeTeam]],$A45))), "")</f>
        <v/>
      </c>
      <c r="AD45" s="36" t="str">
        <f>IFERROR(((2 * (SUMIFS(Table1[[AwayWon]:[AwayWon]], Table1[[GameIsOver]:[GameIsOver]], 1, Table1[[AwayTeam]:[AwayTeam]], $A45, Table1[[HomeTeam]:[HomeTeam]], AD$36) + SUMIFS(Table1[[HomeWon]:[HomeWon]], Table1[[GameIsOver]:[GameIsOver]], 1, Table1[[HomeTeam]:[HomeTeam]], $A45, Table1[[AwayTeam]:[AwayTeam]], AD$36))) + (SUMIFS(Table1[[HomeWon]:[HomeWon]], Table1[[GameIsOver]:[GameIsOver]], 1, Table1[[AwayTeam]:[AwayTeam]], $A45, Table1[[HomeTeam]:[HomeTeam]],  AD$36, Table1[[ActualResult]:[ActualResult]], "OT") + SUMIFS(Table1[[AwayWon]:[AwayWon]], Table1[[GameIsOver]:[GameIsOver]], 1, Table1[[HomeTeam]:[HomeTeam]], $A45, Table1[[AwayTeam]:[AwayTeam]], AD$36, Table1[[ActualResult]:[ActualResult]], "OT") + SUMIFS(Table1[[HomeWon]:[HomeWon]], Table1[[GameIsOver]:[GameIsOver]], 1, Table1[[AwayTeam]:[AwayTeam]], $A45, Table1[[HomeTeam]:[HomeTeam]], AD$36, Table1[[ActualResult]:[ActualResult]], "SO") + SUMIFS(Table1[[AwayWon]:[AwayWon]], Table1[[GameIsOver]:[GameIsOver]], 1, Table1[[HomeTeam]:[HomeTeam]], $A45, Table1[[AwayTeam]:[AwayTeam]], AD$36, Table1[[ActualResult]:[ActualResult]], "SO")))/ (2*((COUNTIFS(Table1[[GameIsOver]:[GameIsOver]],1,Table1[[AwayTeam]:[AwayTeam]],$A45, Table1[[HomeTeam]:[HomeTeam]], AD$36)))+( COUNTIFS(Table1[[GameIsOver]:[GameIsOver]],1,Table1[[AwayTeam]:[AwayTeam]],AD$36, Table1[[HomeTeam]:[HomeTeam]],$A45))), "")</f>
        <v/>
      </c>
      <c r="AE45" s="36" t="str">
        <f>IFERROR(((2 * (SUMIFS(Table1[[AwayWon]:[AwayWon]], Table1[[GameIsOver]:[GameIsOver]], 1, Table1[[AwayTeam]:[AwayTeam]], $A45, Table1[[HomeTeam]:[HomeTeam]], AE$36) + SUMIFS(Table1[[HomeWon]:[HomeWon]], Table1[[GameIsOver]:[GameIsOver]], 1, Table1[[HomeTeam]:[HomeTeam]], $A45, Table1[[AwayTeam]:[AwayTeam]], AE$36))) + (SUMIFS(Table1[[HomeWon]:[HomeWon]], Table1[[GameIsOver]:[GameIsOver]], 1, Table1[[AwayTeam]:[AwayTeam]], $A45, Table1[[HomeTeam]:[HomeTeam]],  AE$36, Table1[[ActualResult]:[ActualResult]], "OT") + SUMIFS(Table1[[AwayWon]:[AwayWon]], Table1[[GameIsOver]:[GameIsOver]], 1, Table1[[HomeTeam]:[HomeTeam]], $A45, Table1[[AwayTeam]:[AwayTeam]], AE$36, Table1[[ActualResult]:[ActualResult]], "OT") + SUMIFS(Table1[[HomeWon]:[HomeWon]], Table1[[GameIsOver]:[GameIsOver]], 1, Table1[[AwayTeam]:[AwayTeam]], $A45, Table1[[HomeTeam]:[HomeTeam]], AE$36, Table1[[ActualResult]:[ActualResult]], "SO") + SUMIFS(Table1[[AwayWon]:[AwayWon]], Table1[[GameIsOver]:[GameIsOver]], 1, Table1[[HomeTeam]:[HomeTeam]], $A45, Table1[[AwayTeam]:[AwayTeam]], AE$36, Table1[[ActualResult]:[ActualResult]], "SO")))/ (2*((COUNTIFS(Table1[[GameIsOver]:[GameIsOver]],1,Table1[[AwayTeam]:[AwayTeam]],$A45, Table1[[HomeTeam]:[HomeTeam]], AE$36)))+( COUNTIFS(Table1[[GameIsOver]:[GameIsOver]],1,Table1[[AwayTeam]:[AwayTeam]],AE$36, Table1[[HomeTeam]:[HomeTeam]],$A45))), "")</f>
        <v/>
      </c>
      <c r="AF45" s="36" t="str">
        <f>IFERROR(((2 * (SUMIFS(Table1[[AwayWon]:[AwayWon]], Table1[[GameIsOver]:[GameIsOver]], 1, Table1[[AwayTeam]:[AwayTeam]], $A45, Table1[[HomeTeam]:[HomeTeam]], AF$36) + SUMIFS(Table1[[HomeWon]:[HomeWon]], Table1[[GameIsOver]:[GameIsOver]], 1, Table1[[HomeTeam]:[HomeTeam]], $A45, Table1[[AwayTeam]:[AwayTeam]], AF$36))) + (SUMIFS(Table1[[HomeWon]:[HomeWon]], Table1[[GameIsOver]:[GameIsOver]], 1, Table1[[AwayTeam]:[AwayTeam]], $A45, Table1[[HomeTeam]:[HomeTeam]],  AF$36, Table1[[ActualResult]:[ActualResult]], "OT") + SUMIFS(Table1[[AwayWon]:[AwayWon]], Table1[[GameIsOver]:[GameIsOver]], 1, Table1[[HomeTeam]:[HomeTeam]], $A45, Table1[[AwayTeam]:[AwayTeam]], AF$36, Table1[[ActualResult]:[ActualResult]], "OT") + SUMIFS(Table1[[HomeWon]:[HomeWon]], Table1[[GameIsOver]:[GameIsOver]], 1, Table1[[AwayTeam]:[AwayTeam]], $A45, Table1[[HomeTeam]:[HomeTeam]], AF$36, Table1[[ActualResult]:[ActualResult]], "SO") + SUMIFS(Table1[[AwayWon]:[AwayWon]], Table1[[GameIsOver]:[GameIsOver]], 1, Table1[[HomeTeam]:[HomeTeam]], $A45, Table1[[AwayTeam]:[AwayTeam]], AF$36, Table1[[ActualResult]:[ActualResult]], "SO")))/ (2*((COUNTIFS(Table1[[GameIsOver]:[GameIsOver]],1,Table1[[AwayTeam]:[AwayTeam]],$A45, Table1[[HomeTeam]:[HomeTeam]], AF$36)))+( COUNTIFS(Table1[[GameIsOver]:[GameIsOver]],1,Table1[[AwayTeam]:[AwayTeam]],AF$36, Table1[[HomeTeam]:[HomeTeam]],$A45))), "")</f>
        <v/>
      </c>
      <c r="AG45" s="36" t="str">
        <f>IFERROR(((2 * (SUMIFS(Table1[[AwayWon]:[AwayWon]], Table1[[GameIsOver]:[GameIsOver]], 1, Table1[[AwayTeam]:[AwayTeam]], $A45, Table1[[HomeTeam]:[HomeTeam]], AG$36) + SUMIFS(Table1[[HomeWon]:[HomeWon]], Table1[[GameIsOver]:[GameIsOver]], 1, Table1[[HomeTeam]:[HomeTeam]], $A45, Table1[[AwayTeam]:[AwayTeam]], AG$36))) + (SUMIFS(Table1[[HomeWon]:[HomeWon]], Table1[[GameIsOver]:[GameIsOver]], 1, Table1[[AwayTeam]:[AwayTeam]], $A45, Table1[[HomeTeam]:[HomeTeam]],  AG$36, Table1[[ActualResult]:[ActualResult]], "OT") + SUMIFS(Table1[[AwayWon]:[AwayWon]], Table1[[GameIsOver]:[GameIsOver]], 1, Table1[[HomeTeam]:[HomeTeam]], $A45, Table1[[AwayTeam]:[AwayTeam]], AG$36, Table1[[ActualResult]:[ActualResult]], "OT") + SUMIFS(Table1[[HomeWon]:[HomeWon]], Table1[[GameIsOver]:[GameIsOver]], 1, Table1[[AwayTeam]:[AwayTeam]], $A45, Table1[[HomeTeam]:[HomeTeam]], AG$36, Table1[[ActualResult]:[ActualResult]], "SO") + SUMIFS(Table1[[AwayWon]:[AwayWon]], Table1[[GameIsOver]:[GameIsOver]], 1, Table1[[HomeTeam]:[HomeTeam]], $A45, Table1[[AwayTeam]:[AwayTeam]], AG$36, Table1[[ActualResult]:[ActualResult]], "SO")))/ (2*((COUNTIFS(Table1[[GameIsOver]:[GameIsOver]],1,Table1[[AwayTeam]:[AwayTeam]],$A45, Table1[[HomeTeam]:[HomeTeam]], AG$36)))+( COUNTIFS(Table1[[GameIsOver]:[GameIsOver]],1,Table1[[AwayTeam]:[AwayTeam]],AG$36, Table1[[HomeTeam]:[HomeTeam]],$A45))), "")</f>
        <v/>
      </c>
      <c r="AH45" s="37" t="e">
        <f t="shared" si="0"/>
        <v>#DIV/0!</v>
      </c>
      <c r="AI45" s="37">
        <f t="shared" si="1"/>
        <v>0.75</v>
      </c>
      <c r="AJ45" s="38" t="e">
        <f t="shared" si="2"/>
        <v>#DIV/0!</v>
      </c>
      <c r="AK45" s="38" t="e">
        <f t="shared" si="3"/>
        <v>#DIV/0!</v>
      </c>
      <c r="AL45" s="38">
        <f t="shared" si="4"/>
        <v>0.5</v>
      </c>
      <c r="AM45" s="38">
        <f t="shared" si="5"/>
        <v>1</v>
      </c>
    </row>
    <row r="46" spans="1:39" x14ac:dyDescent="0.25">
      <c r="A46" s="17" t="s">
        <v>41</v>
      </c>
      <c r="B46" s="36" t="str">
        <f>IFERROR(((2 * (SUMIFS(Table1[[AwayWon]:[AwayWon]], Table1[[GameIsOver]:[GameIsOver]], 1, Table1[[AwayTeam]:[AwayTeam]], $A46, Table1[[HomeTeam]:[HomeTeam]], B$36) + SUMIFS(Table1[[HomeWon]:[HomeWon]], Table1[[GameIsOver]:[GameIsOver]], 1, Table1[[HomeTeam]:[HomeTeam]], $A46, Table1[[AwayTeam]:[AwayTeam]], B$36))) + (SUMIFS(Table1[[HomeWon]:[HomeWon]], Table1[[GameIsOver]:[GameIsOver]], 1, Table1[[AwayTeam]:[AwayTeam]], $A46, Table1[[HomeTeam]:[HomeTeam]],  B$36, Table1[[ActualResult]:[ActualResult]], "OT") + SUMIFS(Table1[[AwayWon]:[AwayWon]], Table1[[GameIsOver]:[GameIsOver]], 1, Table1[[HomeTeam]:[HomeTeam]], $A46, Table1[[AwayTeam]:[AwayTeam]], B$36, Table1[[ActualResult]:[ActualResult]], "OT") + SUMIFS(Table1[[HomeWon]:[HomeWon]], Table1[[GameIsOver]:[GameIsOver]], 1, Table1[[AwayTeam]:[AwayTeam]], $A46, Table1[[HomeTeam]:[HomeTeam]], B$36, Table1[[ActualResult]:[ActualResult]], "SO") + SUMIFS(Table1[[AwayWon]:[AwayWon]], Table1[[GameIsOver]:[GameIsOver]], 1, Table1[[HomeTeam]:[HomeTeam]], $A46, Table1[[AwayTeam]:[AwayTeam]], B$36, Table1[[ActualResult]:[ActualResult]], "SO")))/ (2*((COUNTIFS(Table1[[GameIsOver]:[GameIsOver]],1,Table1[[AwayTeam]:[AwayTeam]],$A46, Table1[[HomeTeam]:[HomeTeam]], B$36)))+( COUNTIFS(Table1[[GameIsOver]:[GameIsOver]],1,Table1[[AwayTeam]:[AwayTeam]],B$36, Table1[[HomeTeam]:[HomeTeam]],$A46))), "")</f>
        <v/>
      </c>
      <c r="C46" s="36" t="str">
        <f>IFERROR(((2 * (SUMIFS(Table1[[AwayWon]:[AwayWon]], Table1[[GameIsOver]:[GameIsOver]], 1, Table1[[AwayTeam]:[AwayTeam]], $A46, Table1[[HomeTeam]:[HomeTeam]], C$36) + SUMIFS(Table1[[HomeWon]:[HomeWon]], Table1[[GameIsOver]:[GameIsOver]], 1, Table1[[HomeTeam]:[HomeTeam]], $A46, Table1[[AwayTeam]:[AwayTeam]], C$36))) + (SUMIFS(Table1[[HomeWon]:[HomeWon]], Table1[[GameIsOver]:[GameIsOver]], 1, Table1[[AwayTeam]:[AwayTeam]], $A46, Table1[[HomeTeam]:[HomeTeam]],  C$36, Table1[[ActualResult]:[ActualResult]], "OT") + SUMIFS(Table1[[AwayWon]:[AwayWon]], Table1[[GameIsOver]:[GameIsOver]], 1, Table1[[HomeTeam]:[HomeTeam]], $A46, Table1[[AwayTeam]:[AwayTeam]], C$36, Table1[[ActualResult]:[ActualResult]], "OT") + SUMIFS(Table1[[HomeWon]:[HomeWon]], Table1[[GameIsOver]:[GameIsOver]], 1, Table1[[AwayTeam]:[AwayTeam]], $A46, Table1[[HomeTeam]:[HomeTeam]], C$36, Table1[[ActualResult]:[ActualResult]], "SO") + SUMIFS(Table1[[AwayWon]:[AwayWon]], Table1[[GameIsOver]:[GameIsOver]], 1, Table1[[HomeTeam]:[HomeTeam]], $A46, Table1[[AwayTeam]:[AwayTeam]], C$36, Table1[[ActualResult]:[ActualResult]], "SO")))/ (2*((COUNTIFS(Table1[[GameIsOver]:[GameIsOver]],1,Table1[[AwayTeam]:[AwayTeam]],$A46, Table1[[HomeTeam]:[HomeTeam]], C$36)))+( COUNTIFS(Table1[[GameIsOver]:[GameIsOver]],1,Table1[[AwayTeam]:[AwayTeam]],C$36, Table1[[HomeTeam]:[HomeTeam]],$A46))), "")</f>
        <v/>
      </c>
      <c r="D46" s="36" t="str">
        <f>IFERROR(((2 * (SUMIFS(Table1[[AwayWon]:[AwayWon]], Table1[[GameIsOver]:[GameIsOver]], 1, Table1[[AwayTeam]:[AwayTeam]], $A46, Table1[[HomeTeam]:[HomeTeam]], D$36) + SUMIFS(Table1[[HomeWon]:[HomeWon]], Table1[[GameIsOver]:[GameIsOver]], 1, Table1[[HomeTeam]:[HomeTeam]], $A46, Table1[[AwayTeam]:[AwayTeam]], D$36))) + (SUMIFS(Table1[[HomeWon]:[HomeWon]], Table1[[GameIsOver]:[GameIsOver]], 1, Table1[[AwayTeam]:[AwayTeam]], $A46, Table1[[HomeTeam]:[HomeTeam]],  D$36, Table1[[ActualResult]:[ActualResult]], "OT") + SUMIFS(Table1[[AwayWon]:[AwayWon]], Table1[[GameIsOver]:[GameIsOver]], 1, Table1[[HomeTeam]:[HomeTeam]], $A46, Table1[[AwayTeam]:[AwayTeam]], D$36, Table1[[ActualResult]:[ActualResult]], "OT") + SUMIFS(Table1[[HomeWon]:[HomeWon]], Table1[[GameIsOver]:[GameIsOver]], 1, Table1[[AwayTeam]:[AwayTeam]], $A46, Table1[[HomeTeam]:[HomeTeam]], D$36, Table1[[ActualResult]:[ActualResult]], "SO") + SUMIFS(Table1[[AwayWon]:[AwayWon]], Table1[[GameIsOver]:[GameIsOver]], 1, Table1[[HomeTeam]:[HomeTeam]], $A46, Table1[[AwayTeam]:[AwayTeam]], D$36, Table1[[ActualResult]:[ActualResult]], "SO")))/ (2*((COUNTIFS(Table1[[GameIsOver]:[GameIsOver]],1,Table1[[AwayTeam]:[AwayTeam]],$A46, Table1[[HomeTeam]:[HomeTeam]], D$36)))+( COUNTIFS(Table1[[GameIsOver]:[GameIsOver]],1,Table1[[AwayTeam]:[AwayTeam]],D$36, Table1[[HomeTeam]:[HomeTeam]],$A46))), "")</f>
        <v/>
      </c>
      <c r="E46" s="36">
        <f>IFERROR(((2 * (SUMIFS(Table1[[AwayWon]:[AwayWon]], Table1[[GameIsOver]:[GameIsOver]], 1, Table1[[AwayTeam]:[AwayTeam]], $A46, Table1[[HomeTeam]:[HomeTeam]], E$36) + SUMIFS(Table1[[HomeWon]:[HomeWon]], Table1[[GameIsOver]:[GameIsOver]], 1, Table1[[HomeTeam]:[HomeTeam]], $A46, Table1[[AwayTeam]:[AwayTeam]], E$36))) + (SUMIFS(Table1[[HomeWon]:[HomeWon]], Table1[[GameIsOver]:[GameIsOver]], 1, Table1[[AwayTeam]:[AwayTeam]], $A46, Table1[[HomeTeam]:[HomeTeam]],  E$36, Table1[[ActualResult]:[ActualResult]], "OT") + SUMIFS(Table1[[AwayWon]:[AwayWon]], Table1[[GameIsOver]:[GameIsOver]], 1, Table1[[HomeTeam]:[HomeTeam]], $A46, Table1[[AwayTeam]:[AwayTeam]], E$36, Table1[[ActualResult]:[ActualResult]], "OT") + SUMIFS(Table1[[HomeWon]:[HomeWon]], Table1[[GameIsOver]:[GameIsOver]], 1, Table1[[AwayTeam]:[AwayTeam]], $A46, Table1[[HomeTeam]:[HomeTeam]], E$36, Table1[[ActualResult]:[ActualResult]], "SO") + SUMIFS(Table1[[AwayWon]:[AwayWon]], Table1[[GameIsOver]:[GameIsOver]], 1, Table1[[HomeTeam]:[HomeTeam]], $A46, Table1[[AwayTeam]:[AwayTeam]], E$36, Table1[[ActualResult]:[ActualResult]], "SO")))/ (2*((COUNTIFS(Table1[[GameIsOver]:[GameIsOver]],1,Table1[[AwayTeam]:[AwayTeam]],$A46, Table1[[HomeTeam]:[HomeTeam]], E$36)))+( COUNTIFS(Table1[[GameIsOver]:[GameIsOver]],1,Table1[[AwayTeam]:[AwayTeam]],E$36, Table1[[HomeTeam]:[HomeTeam]],$A46))), "")</f>
        <v>1</v>
      </c>
      <c r="F46" s="36" t="str">
        <f>IFERROR(((2 * (SUMIFS(Table1[[AwayWon]:[AwayWon]], Table1[[GameIsOver]:[GameIsOver]], 1, Table1[[AwayTeam]:[AwayTeam]], $A46, Table1[[HomeTeam]:[HomeTeam]], F$36) + SUMIFS(Table1[[HomeWon]:[HomeWon]], Table1[[GameIsOver]:[GameIsOver]], 1, Table1[[HomeTeam]:[HomeTeam]], $A46, Table1[[AwayTeam]:[AwayTeam]], F$36))) + (SUMIFS(Table1[[HomeWon]:[HomeWon]], Table1[[GameIsOver]:[GameIsOver]], 1, Table1[[AwayTeam]:[AwayTeam]], $A46, Table1[[HomeTeam]:[HomeTeam]],  F$36, Table1[[ActualResult]:[ActualResult]], "OT") + SUMIFS(Table1[[AwayWon]:[AwayWon]], Table1[[GameIsOver]:[GameIsOver]], 1, Table1[[HomeTeam]:[HomeTeam]], $A46, Table1[[AwayTeam]:[AwayTeam]], F$36, Table1[[ActualResult]:[ActualResult]], "OT") + SUMIFS(Table1[[HomeWon]:[HomeWon]], Table1[[GameIsOver]:[GameIsOver]], 1, Table1[[AwayTeam]:[AwayTeam]], $A46, Table1[[HomeTeam]:[HomeTeam]], F$36, Table1[[ActualResult]:[ActualResult]], "SO") + SUMIFS(Table1[[AwayWon]:[AwayWon]], Table1[[GameIsOver]:[GameIsOver]], 1, Table1[[HomeTeam]:[HomeTeam]], $A46, Table1[[AwayTeam]:[AwayTeam]], F$36, Table1[[ActualResult]:[ActualResult]], "SO")))/ (2*((COUNTIFS(Table1[[GameIsOver]:[GameIsOver]],1,Table1[[AwayTeam]:[AwayTeam]],$A46, Table1[[HomeTeam]:[HomeTeam]], F$36)))+( COUNTIFS(Table1[[GameIsOver]:[GameIsOver]],1,Table1[[AwayTeam]:[AwayTeam]],F$36, Table1[[HomeTeam]:[HomeTeam]],$A46))), "")</f>
        <v/>
      </c>
      <c r="G46" s="36" t="str">
        <f>IFERROR(((2 * (SUMIFS(Table1[[AwayWon]:[AwayWon]], Table1[[GameIsOver]:[GameIsOver]], 1, Table1[[AwayTeam]:[AwayTeam]], $A46, Table1[[HomeTeam]:[HomeTeam]], G$36) + SUMIFS(Table1[[HomeWon]:[HomeWon]], Table1[[GameIsOver]:[GameIsOver]], 1, Table1[[HomeTeam]:[HomeTeam]], $A46, Table1[[AwayTeam]:[AwayTeam]], G$36))) + (SUMIFS(Table1[[HomeWon]:[HomeWon]], Table1[[GameIsOver]:[GameIsOver]], 1, Table1[[AwayTeam]:[AwayTeam]], $A46, Table1[[HomeTeam]:[HomeTeam]],  G$36, Table1[[ActualResult]:[ActualResult]], "OT") + SUMIFS(Table1[[AwayWon]:[AwayWon]], Table1[[GameIsOver]:[GameIsOver]], 1, Table1[[HomeTeam]:[HomeTeam]], $A46, Table1[[AwayTeam]:[AwayTeam]], G$36, Table1[[ActualResult]:[ActualResult]], "OT") + SUMIFS(Table1[[HomeWon]:[HomeWon]], Table1[[GameIsOver]:[GameIsOver]], 1, Table1[[AwayTeam]:[AwayTeam]], $A46, Table1[[HomeTeam]:[HomeTeam]], G$36, Table1[[ActualResult]:[ActualResult]], "SO") + SUMIFS(Table1[[AwayWon]:[AwayWon]], Table1[[GameIsOver]:[GameIsOver]], 1, Table1[[HomeTeam]:[HomeTeam]], $A46, Table1[[AwayTeam]:[AwayTeam]], G$36, Table1[[ActualResult]:[ActualResult]], "SO")))/ (2*((COUNTIFS(Table1[[GameIsOver]:[GameIsOver]],1,Table1[[AwayTeam]:[AwayTeam]],$A46, Table1[[HomeTeam]:[HomeTeam]], G$36)))+( COUNTIFS(Table1[[GameIsOver]:[GameIsOver]],1,Table1[[AwayTeam]:[AwayTeam]],G$36, Table1[[HomeTeam]:[HomeTeam]],$A46))), "")</f>
        <v/>
      </c>
      <c r="H46" s="36" t="str">
        <f>IFERROR(((2 * (SUMIFS(Table1[[AwayWon]:[AwayWon]], Table1[[GameIsOver]:[GameIsOver]], 1, Table1[[AwayTeam]:[AwayTeam]], $A46, Table1[[HomeTeam]:[HomeTeam]], H$36) + SUMIFS(Table1[[HomeWon]:[HomeWon]], Table1[[GameIsOver]:[GameIsOver]], 1, Table1[[HomeTeam]:[HomeTeam]], $A46, Table1[[AwayTeam]:[AwayTeam]], H$36))) + (SUMIFS(Table1[[HomeWon]:[HomeWon]], Table1[[GameIsOver]:[GameIsOver]], 1, Table1[[AwayTeam]:[AwayTeam]], $A46, Table1[[HomeTeam]:[HomeTeam]],  H$36, Table1[[ActualResult]:[ActualResult]], "OT") + SUMIFS(Table1[[AwayWon]:[AwayWon]], Table1[[GameIsOver]:[GameIsOver]], 1, Table1[[HomeTeam]:[HomeTeam]], $A46, Table1[[AwayTeam]:[AwayTeam]], H$36, Table1[[ActualResult]:[ActualResult]], "OT") + SUMIFS(Table1[[HomeWon]:[HomeWon]], Table1[[GameIsOver]:[GameIsOver]], 1, Table1[[AwayTeam]:[AwayTeam]], $A46, Table1[[HomeTeam]:[HomeTeam]], H$36, Table1[[ActualResult]:[ActualResult]], "SO") + SUMIFS(Table1[[AwayWon]:[AwayWon]], Table1[[GameIsOver]:[GameIsOver]], 1, Table1[[HomeTeam]:[HomeTeam]], $A46, Table1[[AwayTeam]:[AwayTeam]], H$36, Table1[[ActualResult]:[ActualResult]], "SO")))/ (2*((COUNTIFS(Table1[[GameIsOver]:[GameIsOver]],1,Table1[[AwayTeam]:[AwayTeam]],$A46, Table1[[HomeTeam]:[HomeTeam]], H$36)))+( COUNTIFS(Table1[[GameIsOver]:[GameIsOver]],1,Table1[[AwayTeam]:[AwayTeam]],H$36, Table1[[HomeTeam]:[HomeTeam]],$A46))), "")</f>
        <v/>
      </c>
      <c r="I46" s="38" t="str">
        <f>IFERROR(((2 * (SUMIFS(Table1[[AwayWon]:[AwayWon]], Table1[[GameIsOver]:[GameIsOver]], 1, Table1[[AwayTeam]:[AwayTeam]], $A46, Table1[[HomeTeam]:[HomeTeam]], I$36) + SUMIFS(Table1[[HomeWon]:[HomeWon]], Table1[[GameIsOver]:[GameIsOver]], 1, Table1[[HomeTeam]:[HomeTeam]], $A46, Table1[[AwayTeam]:[AwayTeam]], I$36))) + (SUMIFS(Table1[[HomeWon]:[HomeWon]], Table1[[GameIsOver]:[GameIsOver]], 1, Table1[[AwayTeam]:[AwayTeam]], $A46, Table1[[HomeTeam]:[HomeTeam]],  I$36, Table1[[ActualResult]:[ActualResult]], "OT") + SUMIFS(Table1[[AwayWon]:[AwayWon]], Table1[[GameIsOver]:[GameIsOver]], 1, Table1[[HomeTeam]:[HomeTeam]], $A46, Table1[[AwayTeam]:[AwayTeam]], I$36, Table1[[ActualResult]:[ActualResult]], "OT") + SUMIFS(Table1[[HomeWon]:[HomeWon]], Table1[[GameIsOver]:[GameIsOver]], 1, Table1[[AwayTeam]:[AwayTeam]], $A46, Table1[[HomeTeam]:[HomeTeam]], I$36, Table1[[ActualResult]:[ActualResult]], "SO") + SUMIFS(Table1[[AwayWon]:[AwayWon]], Table1[[GameIsOver]:[GameIsOver]], 1, Table1[[HomeTeam]:[HomeTeam]], $A46, Table1[[AwayTeam]:[AwayTeam]], I$36, Table1[[ActualResult]:[ActualResult]], "SO")))/ (2*((COUNTIFS(Table1[[GameIsOver]:[GameIsOver]],1,Table1[[AwayTeam]:[AwayTeam]],$A46, Table1[[HomeTeam]:[HomeTeam]], I$36)))+( COUNTIFS(Table1[[GameIsOver]:[GameIsOver]],1,Table1[[AwayTeam]:[AwayTeam]],I$36, Table1[[HomeTeam]:[HomeTeam]],$A46))), "")</f>
        <v/>
      </c>
      <c r="J46" s="36" t="str">
        <f>IFERROR(((2 * (SUMIFS(Table1[[AwayWon]:[AwayWon]], Table1[[GameIsOver]:[GameIsOver]], 1, Table1[[AwayTeam]:[AwayTeam]], $A46, Table1[[HomeTeam]:[HomeTeam]], J$36) + SUMIFS(Table1[[HomeWon]:[HomeWon]], Table1[[GameIsOver]:[GameIsOver]], 1, Table1[[HomeTeam]:[HomeTeam]], $A46, Table1[[AwayTeam]:[AwayTeam]], J$36))) + (SUMIFS(Table1[[HomeWon]:[HomeWon]], Table1[[GameIsOver]:[GameIsOver]], 1, Table1[[AwayTeam]:[AwayTeam]], $A46, Table1[[HomeTeam]:[HomeTeam]],  J$36, Table1[[ActualResult]:[ActualResult]], "OT") + SUMIFS(Table1[[AwayWon]:[AwayWon]], Table1[[GameIsOver]:[GameIsOver]], 1, Table1[[HomeTeam]:[HomeTeam]], $A46, Table1[[AwayTeam]:[AwayTeam]], J$36, Table1[[ActualResult]:[ActualResult]], "OT") + SUMIFS(Table1[[HomeWon]:[HomeWon]], Table1[[GameIsOver]:[GameIsOver]], 1, Table1[[AwayTeam]:[AwayTeam]], $A46, Table1[[HomeTeam]:[HomeTeam]], J$36, Table1[[ActualResult]:[ActualResult]], "SO") + SUMIFS(Table1[[AwayWon]:[AwayWon]], Table1[[GameIsOver]:[GameIsOver]], 1, Table1[[HomeTeam]:[HomeTeam]], $A46, Table1[[AwayTeam]:[AwayTeam]], J$36, Table1[[ActualResult]:[ActualResult]], "SO")))/ (2*((COUNTIFS(Table1[[GameIsOver]:[GameIsOver]],1,Table1[[AwayTeam]:[AwayTeam]],$A46, Table1[[HomeTeam]:[HomeTeam]], J$36)))+( COUNTIFS(Table1[[GameIsOver]:[GameIsOver]],1,Table1[[AwayTeam]:[AwayTeam]],J$36, Table1[[HomeTeam]:[HomeTeam]],$A46))), "")</f>
        <v/>
      </c>
      <c r="K46" s="36" t="str">
        <f>IFERROR(((2 * (SUMIFS(Table1[[AwayWon]:[AwayWon]], Table1[[GameIsOver]:[GameIsOver]], 1, Table1[[AwayTeam]:[AwayTeam]], $A46, Table1[[HomeTeam]:[HomeTeam]], K$36) + SUMIFS(Table1[[HomeWon]:[HomeWon]], Table1[[GameIsOver]:[GameIsOver]], 1, Table1[[HomeTeam]:[HomeTeam]], $A46, Table1[[AwayTeam]:[AwayTeam]], K$36))) + (SUMIFS(Table1[[HomeWon]:[HomeWon]], Table1[[GameIsOver]:[GameIsOver]], 1, Table1[[AwayTeam]:[AwayTeam]], $A46, Table1[[HomeTeam]:[HomeTeam]],  K$36, Table1[[ActualResult]:[ActualResult]], "OT") + SUMIFS(Table1[[AwayWon]:[AwayWon]], Table1[[GameIsOver]:[GameIsOver]], 1, Table1[[HomeTeam]:[HomeTeam]], $A46, Table1[[AwayTeam]:[AwayTeam]], K$36, Table1[[ActualResult]:[ActualResult]], "OT") + SUMIFS(Table1[[HomeWon]:[HomeWon]], Table1[[GameIsOver]:[GameIsOver]], 1, Table1[[AwayTeam]:[AwayTeam]], $A46, Table1[[HomeTeam]:[HomeTeam]], K$36, Table1[[ActualResult]:[ActualResult]], "SO") + SUMIFS(Table1[[AwayWon]:[AwayWon]], Table1[[GameIsOver]:[GameIsOver]], 1, Table1[[HomeTeam]:[HomeTeam]], $A46, Table1[[AwayTeam]:[AwayTeam]], K$36, Table1[[ActualResult]:[ActualResult]], "SO")))/ (2*((COUNTIFS(Table1[[GameIsOver]:[GameIsOver]],1,Table1[[AwayTeam]:[AwayTeam]],$A46, Table1[[HomeTeam]:[HomeTeam]], K$36)))+( COUNTIFS(Table1[[GameIsOver]:[GameIsOver]],1,Table1[[AwayTeam]:[AwayTeam]],K$36, Table1[[HomeTeam]:[HomeTeam]],$A46))), "")</f>
        <v/>
      </c>
      <c r="L46" s="36" t="str">
        <f>IFERROR(((2 * (SUMIFS(Table1[[AwayWon]:[AwayWon]], Table1[[GameIsOver]:[GameIsOver]], 1, Table1[[AwayTeam]:[AwayTeam]], $A46, Table1[[HomeTeam]:[HomeTeam]], L$36) + SUMIFS(Table1[[HomeWon]:[HomeWon]], Table1[[GameIsOver]:[GameIsOver]], 1, Table1[[HomeTeam]:[HomeTeam]], $A46, Table1[[AwayTeam]:[AwayTeam]], L$36))) + (SUMIFS(Table1[[HomeWon]:[HomeWon]], Table1[[GameIsOver]:[GameIsOver]], 1, Table1[[AwayTeam]:[AwayTeam]], $A46, Table1[[HomeTeam]:[HomeTeam]],  L$36, Table1[[ActualResult]:[ActualResult]], "OT") + SUMIFS(Table1[[AwayWon]:[AwayWon]], Table1[[GameIsOver]:[GameIsOver]], 1, Table1[[HomeTeam]:[HomeTeam]], $A46, Table1[[AwayTeam]:[AwayTeam]], L$36, Table1[[ActualResult]:[ActualResult]], "OT") + SUMIFS(Table1[[HomeWon]:[HomeWon]], Table1[[GameIsOver]:[GameIsOver]], 1, Table1[[AwayTeam]:[AwayTeam]], $A46, Table1[[HomeTeam]:[HomeTeam]], L$36, Table1[[ActualResult]:[ActualResult]], "SO") + SUMIFS(Table1[[AwayWon]:[AwayWon]], Table1[[GameIsOver]:[GameIsOver]], 1, Table1[[HomeTeam]:[HomeTeam]], $A46, Table1[[AwayTeam]:[AwayTeam]], L$36, Table1[[ActualResult]:[ActualResult]], "SO")))/ (2*((COUNTIFS(Table1[[GameIsOver]:[GameIsOver]],1,Table1[[AwayTeam]:[AwayTeam]],$A46, Table1[[HomeTeam]:[HomeTeam]], L$36)))+( COUNTIFS(Table1[[GameIsOver]:[GameIsOver]],1,Table1[[AwayTeam]:[AwayTeam]],L$36, Table1[[HomeTeam]:[HomeTeam]],$A46))), "")</f>
        <v/>
      </c>
      <c r="M46" s="36" t="str">
        <f>IFERROR(((2 * (SUMIFS(Table1[[AwayWon]:[AwayWon]], Table1[[GameIsOver]:[GameIsOver]], 1, Table1[[AwayTeam]:[AwayTeam]], $A46, Table1[[HomeTeam]:[HomeTeam]], M$36) + SUMIFS(Table1[[HomeWon]:[HomeWon]], Table1[[GameIsOver]:[GameIsOver]], 1, Table1[[HomeTeam]:[HomeTeam]], $A46, Table1[[AwayTeam]:[AwayTeam]], M$36))) + (SUMIFS(Table1[[HomeWon]:[HomeWon]], Table1[[GameIsOver]:[GameIsOver]], 1, Table1[[AwayTeam]:[AwayTeam]], $A46, Table1[[HomeTeam]:[HomeTeam]],  M$36, Table1[[ActualResult]:[ActualResult]], "OT") + SUMIFS(Table1[[AwayWon]:[AwayWon]], Table1[[GameIsOver]:[GameIsOver]], 1, Table1[[HomeTeam]:[HomeTeam]], $A46, Table1[[AwayTeam]:[AwayTeam]], M$36, Table1[[ActualResult]:[ActualResult]], "OT") + SUMIFS(Table1[[HomeWon]:[HomeWon]], Table1[[GameIsOver]:[GameIsOver]], 1, Table1[[AwayTeam]:[AwayTeam]], $A46, Table1[[HomeTeam]:[HomeTeam]], M$36, Table1[[ActualResult]:[ActualResult]], "SO") + SUMIFS(Table1[[AwayWon]:[AwayWon]], Table1[[GameIsOver]:[GameIsOver]], 1, Table1[[HomeTeam]:[HomeTeam]], $A46, Table1[[AwayTeam]:[AwayTeam]], M$36, Table1[[ActualResult]:[ActualResult]], "SO")))/ (2*((COUNTIFS(Table1[[GameIsOver]:[GameIsOver]],1,Table1[[AwayTeam]:[AwayTeam]],$A46, Table1[[HomeTeam]:[HomeTeam]], M$36)))+( COUNTIFS(Table1[[GameIsOver]:[GameIsOver]],1,Table1[[AwayTeam]:[AwayTeam]],M$36, Table1[[HomeTeam]:[HomeTeam]],$A46))), "")</f>
        <v/>
      </c>
      <c r="N46" s="36" t="str">
        <f>IFERROR(((2 * (SUMIFS(Table1[[AwayWon]:[AwayWon]], Table1[[GameIsOver]:[GameIsOver]], 1, Table1[[AwayTeam]:[AwayTeam]], $A46, Table1[[HomeTeam]:[HomeTeam]], N$36) + SUMIFS(Table1[[HomeWon]:[HomeWon]], Table1[[GameIsOver]:[GameIsOver]], 1, Table1[[HomeTeam]:[HomeTeam]], $A46, Table1[[AwayTeam]:[AwayTeam]], N$36))) + (SUMIFS(Table1[[HomeWon]:[HomeWon]], Table1[[GameIsOver]:[GameIsOver]], 1, Table1[[AwayTeam]:[AwayTeam]], $A46, Table1[[HomeTeam]:[HomeTeam]],  N$36, Table1[[ActualResult]:[ActualResult]], "OT") + SUMIFS(Table1[[AwayWon]:[AwayWon]], Table1[[GameIsOver]:[GameIsOver]], 1, Table1[[HomeTeam]:[HomeTeam]], $A46, Table1[[AwayTeam]:[AwayTeam]], N$36, Table1[[ActualResult]:[ActualResult]], "OT") + SUMIFS(Table1[[HomeWon]:[HomeWon]], Table1[[GameIsOver]:[GameIsOver]], 1, Table1[[AwayTeam]:[AwayTeam]], $A46, Table1[[HomeTeam]:[HomeTeam]], N$36, Table1[[ActualResult]:[ActualResult]], "SO") + SUMIFS(Table1[[AwayWon]:[AwayWon]], Table1[[GameIsOver]:[GameIsOver]], 1, Table1[[HomeTeam]:[HomeTeam]], $A46, Table1[[AwayTeam]:[AwayTeam]], N$36, Table1[[ActualResult]:[ActualResult]], "SO")))/ (2*((COUNTIFS(Table1[[GameIsOver]:[GameIsOver]],1,Table1[[AwayTeam]:[AwayTeam]],$A46, Table1[[HomeTeam]:[HomeTeam]], N$36)))+( COUNTIFS(Table1[[GameIsOver]:[GameIsOver]],1,Table1[[AwayTeam]:[AwayTeam]],N$36, Table1[[HomeTeam]:[HomeTeam]],$A46))), "")</f>
        <v/>
      </c>
      <c r="O46" s="36" t="str">
        <f>IFERROR(((2 * (SUMIFS(Table1[[AwayWon]:[AwayWon]], Table1[[GameIsOver]:[GameIsOver]], 1, Table1[[AwayTeam]:[AwayTeam]], $A46, Table1[[HomeTeam]:[HomeTeam]], O$36) + SUMIFS(Table1[[HomeWon]:[HomeWon]], Table1[[GameIsOver]:[GameIsOver]], 1, Table1[[HomeTeam]:[HomeTeam]], $A46, Table1[[AwayTeam]:[AwayTeam]], O$36))) + (SUMIFS(Table1[[HomeWon]:[HomeWon]], Table1[[GameIsOver]:[GameIsOver]], 1, Table1[[AwayTeam]:[AwayTeam]], $A46, Table1[[HomeTeam]:[HomeTeam]],  O$36, Table1[[ActualResult]:[ActualResult]], "OT") + SUMIFS(Table1[[AwayWon]:[AwayWon]], Table1[[GameIsOver]:[GameIsOver]], 1, Table1[[HomeTeam]:[HomeTeam]], $A46, Table1[[AwayTeam]:[AwayTeam]], O$36, Table1[[ActualResult]:[ActualResult]], "OT") + SUMIFS(Table1[[HomeWon]:[HomeWon]], Table1[[GameIsOver]:[GameIsOver]], 1, Table1[[AwayTeam]:[AwayTeam]], $A46, Table1[[HomeTeam]:[HomeTeam]], O$36, Table1[[ActualResult]:[ActualResult]], "SO") + SUMIFS(Table1[[AwayWon]:[AwayWon]], Table1[[GameIsOver]:[GameIsOver]], 1, Table1[[HomeTeam]:[HomeTeam]], $A46, Table1[[AwayTeam]:[AwayTeam]], O$36, Table1[[ActualResult]:[ActualResult]], "SO")))/ (2*((COUNTIFS(Table1[[GameIsOver]:[GameIsOver]],1,Table1[[AwayTeam]:[AwayTeam]],$A46, Table1[[HomeTeam]:[HomeTeam]], O$36)))+( COUNTIFS(Table1[[GameIsOver]:[GameIsOver]],1,Table1[[AwayTeam]:[AwayTeam]],O$36, Table1[[HomeTeam]:[HomeTeam]],$A46))), "")</f>
        <v/>
      </c>
      <c r="P46" s="36" t="str">
        <f>IFERROR(((2 * (SUMIFS(Table1[[AwayWon]:[AwayWon]], Table1[[GameIsOver]:[GameIsOver]], 1, Table1[[AwayTeam]:[AwayTeam]], $A46, Table1[[HomeTeam]:[HomeTeam]], P$36) + SUMIFS(Table1[[HomeWon]:[HomeWon]], Table1[[GameIsOver]:[GameIsOver]], 1, Table1[[HomeTeam]:[HomeTeam]], $A46, Table1[[AwayTeam]:[AwayTeam]], P$36))) + (SUMIFS(Table1[[HomeWon]:[HomeWon]], Table1[[GameIsOver]:[GameIsOver]], 1, Table1[[AwayTeam]:[AwayTeam]], $A46, Table1[[HomeTeam]:[HomeTeam]],  P$36, Table1[[ActualResult]:[ActualResult]], "OT") + SUMIFS(Table1[[AwayWon]:[AwayWon]], Table1[[GameIsOver]:[GameIsOver]], 1, Table1[[HomeTeam]:[HomeTeam]], $A46, Table1[[AwayTeam]:[AwayTeam]], P$36, Table1[[ActualResult]:[ActualResult]], "OT") + SUMIFS(Table1[[HomeWon]:[HomeWon]], Table1[[GameIsOver]:[GameIsOver]], 1, Table1[[AwayTeam]:[AwayTeam]], $A46, Table1[[HomeTeam]:[HomeTeam]], P$36, Table1[[ActualResult]:[ActualResult]], "SO") + SUMIFS(Table1[[AwayWon]:[AwayWon]], Table1[[GameIsOver]:[GameIsOver]], 1, Table1[[HomeTeam]:[HomeTeam]], $A46, Table1[[AwayTeam]:[AwayTeam]], P$36, Table1[[ActualResult]:[ActualResult]], "SO")))/ (2*((COUNTIFS(Table1[[GameIsOver]:[GameIsOver]],1,Table1[[AwayTeam]:[AwayTeam]],$A46, Table1[[HomeTeam]:[HomeTeam]], P$36)))+( COUNTIFS(Table1[[GameIsOver]:[GameIsOver]],1,Table1[[AwayTeam]:[AwayTeam]],P$36, Table1[[HomeTeam]:[HomeTeam]],$A46))), "")</f>
        <v/>
      </c>
      <c r="Q46" s="38" t="str">
        <f>IFERROR(((2 * (SUMIFS(Table1[[AwayWon]:[AwayWon]], Table1[[GameIsOver]:[GameIsOver]], 1, Table1[[AwayTeam]:[AwayTeam]], $A46, Table1[[HomeTeam]:[HomeTeam]], Q$36) + SUMIFS(Table1[[HomeWon]:[HomeWon]], Table1[[GameIsOver]:[GameIsOver]], 1, Table1[[HomeTeam]:[HomeTeam]], $A46, Table1[[AwayTeam]:[AwayTeam]], Q$36))) + (SUMIFS(Table1[[HomeWon]:[HomeWon]], Table1[[GameIsOver]:[GameIsOver]], 1, Table1[[AwayTeam]:[AwayTeam]], $A46, Table1[[HomeTeam]:[HomeTeam]],  Q$36, Table1[[ActualResult]:[ActualResult]], "OT") + SUMIFS(Table1[[AwayWon]:[AwayWon]], Table1[[GameIsOver]:[GameIsOver]], 1, Table1[[HomeTeam]:[HomeTeam]], $A46, Table1[[AwayTeam]:[AwayTeam]], Q$36, Table1[[ActualResult]:[ActualResult]], "OT") + SUMIFS(Table1[[HomeWon]:[HomeWon]], Table1[[GameIsOver]:[GameIsOver]], 1, Table1[[AwayTeam]:[AwayTeam]], $A46, Table1[[HomeTeam]:[HomeTeam]], Q$36, Table1[[ActualResult]:[ActualResult]], "SO") + SUMIFS(Table1[[AwayWon]:[AwayWon]], Table1[[GameIsOver]:[GameIsOver]], 1, Table1[[HomeTeam]:[HomeTeam]], $A46, Table1[[AwayTeam]:[AwayTeam]], Q$36, Table1[[ActualResult]:[ActualResult]], "SO")))/ (2*((COUNTIFS(Table1[[GameIsOver]:[GameIsOver]],1,Table1[[AwayTeam]:[AwayTeam]],$A46, Table1[[HomeTeam]:[HomeTeam]], Q$36)))+( COUNTIFS(Table1[[GameIsOver]:[GameIsOver]],1,Table1[[AwayTeam]:[AwayTeam]],Q$36, Table1[[HomeTeam]:[HomeTeam]],$A46))), "")</f>
        <v/>
      </c>
      <c r="R46" s="36" t="str">
        <f>IFERROR(((2 * (SUMIFS(Table1[[AwayWon]:[AwayWon]], Table1[[GameIsOver]:[GameIsOver]], 1, Table1[[AwayTeam]:[AwayTeam]], $A46, Table1[[HomeTeam]:[HomeTeam]], R$36) + SUMIFS(Table1[[HomeWon]:[HomeWon]], Table1[[GameIsOver]:[GameIsOver]], 1, Table1[[HomeTeam]:[HomeTeam]], $A46, Table1[[AwayTeam]:[AwayTeam]], R$36))) + (SUMIFS(Table1[[HomeWon]:[HomeWon]], Table1[[GameIsOver]:[GameIsOver]], 1, Table1[[AwayTeam]:[AwayTeam]], $A46, Table1[[HomeTeam]:[HomeTeam]],  R$36, Table1[[ActualResult]:[ActualResult]], "OT") + SUMIFS(Table1[[AwayWon]:[AwayWon]], Table1[[GameIsOver]:[GameIsOver]], 1, Table1[[HomeTeam]:[HomeTeam]], $A46, Table1[[AwayTeam]:[AwayTeam]], R$36, Table1[[ActualResult]:[ActualResult]], "OT") + SUMIFS(Table1[[HomeWon]:[HomeWon]], Table1[[GameIsOver]:[GameIsOver]], 1, Table1[[AwayTeam]:[AwayTeam]], $A46, Table1[[HomeTeam]:[HomeTeam]], R$36, Table1[[ActualResult]:[ActualResult]], "SO") + SUMIFS(Table1[[AwayWon]:[AwayWon]], Table1[[GameIsOver]:[GameIsOver]], 1, Table1[[HomeTeam]:[HomeTeam]], $A46, Table1[[AwayTeam]:[AwayTeam]], R$36, Table1[[ActualResult]:[ActualResult]], "SO")))/ (2*((COUNTIFS(Table1[[GameIsOver]:[GameIsOver]],1,Table1[[AwayTeam]:[AwayTeam]],$A46, Table1[[HomeTeam]:[HomeTeam]], R$36)))+( COUNTIFS(Table1[[GameIsOver]:[GameIsOver]],1,Table1[[AwayTeam]:[AwayTeam]],R$36, Table1[[HomeTeam]:[HomeTeam]],$A46))), "")</f>
        <v/>
      </c>
      <c r="S46" s="36" t="str">
        <f>IFERROR(((2 * (SUMIFS(Table1[[AwayWon]:[AwayWon]], Table1[[GameIsOver]:[GameIsOver]], 1, Table1[[AwayTeam]:[AwayTeam]], $A46, Table1[[HomeTeam]:[HomeTeam]], S$36) + SUMIFS(Table1[[HomeWon]:[HomeWon]], Table1[[GameIsOver]:[GameIsOver]], 1, Table1[[HomeTeam]:[HomeTeam]], $A46, Table1[[AwayTeam]:[AwayTeam]], S$36))) + (SUMIFS(Table1[[HomeWon]:[HomeWon]], Table1[[GameIsOver]:[GameIsOver]], 1, Table1[[AwayTeam]:[AwayTeam]], $A46, Table1[[HomeTeam]:[HomeTeam]],  S$36, Table1[[ActualResult]:[ActualResult]], "OT") + SUMIFS(Table1[[AwayWon]:[AwayWon]], Table1[[GameIsOver]:[GameIsOver]], 1, Table1[[HomeTeam]:[HomeTeam]], $A46, Table1[[AwayTeam]:[AwayTeam]], S$36, Table1[[ActualResult]:[ActualResult]], "OT") + SUMIFS(Table1[[HomeWon]:[HomeWon]], Table1[[GameIsOver]:[GameIsOver]], 1, Table1[[AwayTeam]:[AwayTeam]], $A46, Table1[[HomeTeam]:[HomeTeam]], S$36, Table1[[ActualResult]:[ActualResult]], "SO") + SUMIFS(Table1[[AwayWon]:[AwayWon]], Table1[[GameIsOver]:[GameIsOver]], 1, Table1[[HomeTeam]:[HomeTeam]], $A46, Table1[[AwayTeam]:[AwayTeam]], S$36, Table1[[ActualResult]:[ActualResult]], "SO")))/ (2*((COUNTIFS(Table1[[GameIsOver]:[GameIsOver]],1,Table1[[AwayTeam]:[AwayTeam]],$A46, Table1[[HomeTeam]:[HomeTeam]], S$36)))+( COUNTIFS(Table1[[GameIsOver]:[GameIsOver]],1,Table1[[AwayTeam]:[AwayTeam]],S$36, Table1[[HomeTeam]:[HomeTeam]],$A46))), "")</f>
        <v/>
      </c>
      <c r="T46" s="36" t="str">
        <f>IFERROR(((2 * (SUMIFS(Table1[[AwayWon]:[AwayWon]], Table1[[GameIsOver]:[GameIsOver]], 1, Table1[[AwayTeam]:[AwayTeam]], $A46, Table1[[HomeTeam]:[HomeTeam]], T$36) + SUMIFS(Table1[[HomeWon]:[HomeWon]], Table1[[GameIsOver]:[GameIsOver]], 1, Table1[[HomeTeam]:[HomeTeam]], $A46, Table1[[AwayTeam]:[AwayTeam]], T$36))) + (SUMIFS(Table1[[HomeWon]:[HomeWon]], Table1[[GameIsOver]:[GameIsOver]], 1, Table1[[AwayTeam]:[AwayTeam]], $A46, Table1[[HomeTeam]:[HomeTeam]],  T$36, Table1[[ActualResult]:[ActualResult]], "OT") + SUMIFS(Table1[[AwayWon]:[AwayWon]], Table1[[GameIsOver]:[GameIsOver]], 1, Table1[[HomeTeam]:[HomeTeam]], $A46, Table1[[AwayTeam]:[AwayTeam]], T$36, Table1[[ActualResult]:[ActualResult]], "OT") + SUMIFS(Table1[[HomeWon]:[HomeWon]], Table1[[GameIsOver]:[GameIsOver]], 1, Table1[[AwayTeam]:[AwayTeam]], $A46, Table1[[HomeTeam]:[HomeTeam]], T$36, Table1[[ActualResult]:[ActualResult]], "SO") + SUMIFS(Table1[[AwayWon]:[AwayWon]], Table1[[GameIsOver]:[GameIsOver]], 1, Table1[[HomeTeam]:[HomeTeam]], $A46, Table1[[AwayTeam]:[AwayTeam]], T$36, Table1[[ActualResult]:[ActualResult]], "SO")))/ (2*((COUNTIFS(Table1[[GameIsOver]:[GameIsOver]],1,Table1[[AwayTeam]:[AwayTeam]],$A46, Table1[[HomeTeam]:[HomeTeam]], T$36)))+( COUNTIFS(Table1[[GameIsOver]:[GameIsOver]],1,Table1[[AwayTeam]:[AwayTeam]],T$36, Table1[[HomeTeam]:[HomeTeam]],$A46))), "")</f>
        <v/>
      </c>
      <c r="U46" s="36" t="str">
        <f>IFERROR(((2 * (SUMIFS(Table1[[AwayWon]:[AwayWon]], Table1[[GameIsOver]:[GameIsOver]], 1, Table1[[AwayTeam]:[AwayTeam]], $A46, Table1[[HomeTeam]:[HomeTeam]], U$36) + SUMIFS(Table1[[HomeWon]:[HomeWon]], Table1[[GameIsOver]:[GameIsOver]], 1, Table1[[HomeTeam]:[HomeTeam]], $A46, Table1[[AwayTeam]:[AwayTeam]], U$36))) + (SUMIFS(Table1[[HomeWon]:[HomeWon]], Table1[[GameIsOver]:[GameIsOver]], 1, Table1[[AwayTeam]:[AwayTeam]], $A46, Table1[[HomeTeam]:[HomeTeam]],  U$36, Table1[[ActualResult]:[ActualResult]], "OT") + SUMIFS(Table1[[AwayWon]:[AwayWon]], Table1[[GameIsOver]:[GameIsOver]], 1, Table1[[HomeTeam]:[HomeTeam]], $A46, Table1[[AwayTeam]:[AwayTeam]], U$36, Table1[[ActualResult]:[ActualResult]], "OT") + SUMIFS(Table1[[HomeWon]:[HomeWon]], Table1[[GameIsOver]:[GameIsOver]], 1, Table1[[AwayTeam]:[AwayTeam]], $A46, Table1[[HomeTeam]:[HomeTeam]], U$36, Table1[[ActualResult]:[ActualResult]], "SO") + SUMIFS(Table1[[AwayWon]:[AwayWon]], Table1[[GameIsOver]:[GameIsOver]], 1, Table1[[HomeTeam]:[HomeTeam]], $A46, Table1[[AwayTeam]:[AwayTeam]], U$36, Table1[[ActualResult]:[ActualResult]], "SO")))/ (2*((COUNTIFS(Table1[[GameIsOver]:[GameIsOver]],1,Table1[[AwayTeam]:[AwayTeam]],$A46, Table1[[HomeTeam]:[HomeTeam]], U$36)))+( COUNTIFS(Table1[[GameIsOver]:[GameIsOver]],1,Table1[[AwayTeam]:[AwayTeam]],U$36, Table1[[HomeTeam]:[HomeTeam]],$A46))), "")</f>
        <v/>
      </c>
      <c r="V46" s="36" t="str">
        <f>IFERROR(((2 * (SUMIFS(Table1[[AwayWon]:[AwayWon]], Table1[[GameIsOver]:[GameIsOver]], 1, Table1[[AwayTeam]:[AwayTeam]], $A46, Table1[[HomeTeam]:[HomeTeam]], V$36) + SUMIFS(Table1[[HomeWon]:[HomeWon]], Table1[[GameIsOver]:[GameIsOver]], 1, Table1[[HomeTeam]:[HomeTeam]], $A46, Table1[[AwayTeam]:[AwayTeam]], V$36))) + (SUMIFS(Table1[[HomeWon]:[HomeWon]], Table1[[GameIsOver]:[GameIsOver]], 1, Table1[[AwayTeam]:[AwayTeam]], $A46, Table1[[HomeTeam]:[HomeTeam]],  V$36, Table1[[ActualResult]:[ActualResult]], "OT") + SUMIFS(Table1[[AwayWon]:[AwayWon]], Table1[[GameIsOver]:[GameIsOver]], 1, Table1[[HomeTeam]:[HomeTeam]], $A46, Table1[[AwayTeam]:[AwayTeam]], V$36, Table1[[ActualResult]:[ActualResult]], "OT") + SUMIFS(Table1[[HomeWon]:[HomeWon]], Table1[[GameIsOver]:[GameIsOver]], 1, Table1[[AwayTeam]:[AwayTeam]], $A46, Table1[[HomeTeam]:[HomeTeam]], V$36, Table1[[ActualResult]:[ActualResult]], "SO") + SUMIFS(Table1[[AwayWon]:[AwayWon]], Table1[[GameIsOver]:[GameIsOver]], 1, Table1[[HomeTeam]:[HomeTeam]], $A46, Table1[[AwayTeam]:[AwayTeam]], V$36, Table1[[ActualResult]:[ActualResult]], "SO")))/ (2*((COUNTIFS(Table1[[GameIsOver]:[GameIsOver]],1,Table1[[AwayTeam]:[AwayTeam]],$A46, Table1[[HomeTeam]:[HomeTeam]], V$36)))+( COUNTIFS(Table1[[GameIsOver]:[GameIsOver]],1,Table1[[AwayTeam]:[AwayTeam]],V$36, Table1[[HomeTeam]:[HomeTeam]],$A46))), "")</f>
        <v/>
      </c>
      <c r="W46" s="36" t="str">
        <f>IFERROR(((2 * (SUMIFS(Table1[[AwayWon]:[AwayWon]], Table1[[GameIsOver]:[GameIsOver]], 1, Table1[[AwayTeam]:[AwayTeam]], $A46, Table1[[HomeTeam]:[HomeTeam]], W$36) + SUMIFS(Table1[[HomeWon]:[HomeWon]], Table1[[GameIsOver]:[GameIsOver]], 1, Table1[[HomeTeam]:[HomeTeam]], $A46, Table1[[AwayTeam]:[AwayTeam]], W$36))) + (SUMIFS(Table1[[HomeWon]:[HomeWon]], Table1[[GameIsOver]:[GameIsOver]], 1, Table1[[AwayTeam]:[AwayTeam]], $A46, Table1[[HomeTeam]:[HomeTeam]],  W$36, Table1[[ActualResult]:[ActualResult]], "OT") + SUMIFS(Table1[[AwayWon]:[AwayWon]], Table1[[GameIsOver]:[GameIsOver]], 1, Table1[[HomeTeam]:[HomeTeam]], $A46, Table1[[AwayTeam]:[AwayTeam]], W$36, Table1[[ActualResult]:[ActualResult]], "OT") + SUMIFS(Table1[[HomeWon]:[HomeWon]], Table1[[GameIsOver]:[GameIsOver]], 1, Table1[[AwayTeam]:[AwayTeam]], $A46, Table1[[HomeTeam]:[HomeTeam]], W$36, Table1[[ActualResult]:[ActualResult]], "SO") + SUMIFS(Table1[[AwayWon]:[AwayWon]], Table1[[GameIsOver]:[GameIsOver]], 1, Table1[[HomeTeam]:[HomeTeam]], $A46, Table1[[AwayTeam]:[AwayTeam]], W$36, Table1[[ActualResult]:[ActualResult]], "SO")))/ (2*((COUNTIFS(Table1[[GameIsOver]:[GameIsOver]],1,Table1[[AwayTeam]:[AwayTeam]],$A46, Table1[[HomeTeam]:[HomeTeam]], W$36)))+( COUNTIFS(Table1[[GameIsOver]:[GameIsOver]],1,Table1[[AwayTeam]:[AwayTeam]],W$36, Table1[[HomeTeam]:[HomeTeam]],$A46))), "")</f>
        <v/>
      </c>
      <c r="X46" s="36" t="str">
        <f>IFERROR(((2 * (SUMIFS(Table1[[AwayWon]:[AwayWon]], Table1[[GameIsOver]:[GameIsOver]], 1, Table1[[AwayTeam]:[AwayTeam]], $A46, Table1[[HomeTeam]:[HomeTeam]], X$36) + SUMIFS(Table1[[HomeWon]:[HomeWon]], Table1[[GameIsOver]:[GameIsOver]], 1, Table1[[HomeTeam]:[HomeTeam]], $A46, Table1[[AwayTeam]:[AwayTeam]], X$36))) + (SUMIFS(Table1[[HomeWon]:[HomeWon]], Table1[[GameIsOver]:[GameIsOver]], 1, Table1[[AwayTeam]:[AwayTeam]], $A46, Table1[[HomeTeam]:[HomeTeam]],  X$36, Table1[[ActualResult]:[ActualResult]], "OT") + SUMIFS(Table1[[AwayWon]:[AwayWon]], Table1[[GameIsOver]:[GameIsOver]], 1, Table1[[HomeTeam]:[HomeTeam]], $A46, Table1[[AwayTeam]:[AwayTeam]], X$36, Table1[[ActualResult]:[ActualResult]], "OT") + SUMIFS(Table1[[HomeWon]:[HomeWon]], Table1[[GameIsOver]:[GameIsOver]], 1, Table1[[AwayTeam]:[AwayTeam]], $A46, Table1[[HomeTeam]:[HomeTeam]], X$36, Table1[[ActualResult]:[ActualResult]], "SO") + SUMIFS(Table1[[AwayWon]:[AwayWon]], Table1[[GameIsOver]:[GameIsOver]], 1, Table1[[HomeTeam]:[HomeTeam]], $A46, Table1[[AwayTeam]:[AwayTeam]], X$36, Table1[[ActualResult]:[ActualResult]], "SO")))/ (2*((COUNTIFS(Table1[[GameIsOver]:[GameIsOver]],1,Table1[[AwayTeam]:[AwayTeam]],$A46, Table1[[HomeTeam]:[HomeTeam]], X$36)))+( COUNTIFS(Table1[[GameIsOver]:[GameIsOver]],1,Table1[[AwayTeam]:[AwayTeam]],X$36, Table1[[HomeTeam]:[HomeTeam]],$A46))), "")</f>
        <v/>
      </c>
      <c r="Y46" s="38" t="str">
        <f>IFERROR(((2 * (SUMIFS(Table1[[AwayWon]:[AwayWon]], Table1[[GameIsOver]:[GameIsOver]], 1, Table1[[AwayTeam]:[AwayTeam]], $A46, Table1[[HomeTeam]:[HomeTeam]], Y$36) + SUMIFS(Table1[[HomeWon]:[HomeWon]], Table1[[GameIsOver]:[GameIsOver]], 1, Table1[[HomeTeam]:[HomeTeam]], $A46, Table1[[AwayTeam]:[AwayTeam]], Y$36))) + (SUMIFS(Table1[[HomeWon]:[HomeWon]], Table1[[GameIsOver]:[GameIsOver]], 1, Table1[[AwayTeam]:[AwayTeam]], $A46, Table1[[HomeTeam]:[HomeTeam]],  Y$36, Table1[[ActualResult]:[ActualResult]], "OT") + SUMIFS(Table1[[AwayWon]:[AwayWon]], Table1[[GameIsOver]:[GameIsOver]], 1, Table1[[HomeTeam]:[HomeTeam]], $A46, Table1[[AwayTeam]:[AwayTeam]], Y$36, Table1[[ActualResult]:[ActualResult]], "OT") + SUMIFS(Table1[[HomeWon]:[HomeWon]], Table1[[GameIsOver]:[GameIsOver]], 1, Table1[[AwayTeam]:[AwayTeam]], $A46, Table1[[HomeTeam]:[HomeTeam]], Y$36, Table1[[ActualResult]:[ActualResult]], "SO") + SUMIFS(Table1[[AwayWon]:[AwayWon]], Table1[[GameIsOver]:[GameIsOver]], 1, Table1[[HomeTeam]:[HomeTeam]], $A46, Table1[[AwayTeam]:[AwayTeam]], Y$36, Table1[[ActualResult]:[ActualResult]], "SO")))/ (2*((COUNTIFS(Table1[[GameIsOver]:[GameIsOver]],1,Table1[[AwayTeam]:[AwayTeam]],$A46, Table1[[HomeTeam]:[HomeTeam]], Y$36)))+( COUNTIFS(Table1[[GameIsOver]:[GameIsOver]],1,Table1[[AwayTeam]:[AwayTeam]],Y$36, Table1[[HomeTeam]:[HomeTeam]],$A46))), "")</f>
        <v/>
      </c>
      <c r="Z46" s="36" t="str">
        <f>IFERROR(((2 * (SUMIFS(Table1[[AwayWon]:[AwayWon]], Table1[[GameIsOver]:[GameIsOver]], 1, Table1[[AwayTeam]:[AwayTeam]], $A46, Table1[[HomeTeam]:[HomeTeam]], Z$36) + SUMIFS(Table1[[HomeWon]:[HomeWon]], Table1[[GameIsOver]:[GameIsOver]], 1, Table1[[HomeTeam]:[HomeTeam]], $A46, Table1[[AwayTeam]:[AwayTeam]], Z$36))) + (SUMIFS(Table1[[HomeWon]:[HomeWon]], Table1[[GameIsOver]:[GameIsOver]], 1, Table1[[AwayTeam]:[AwayTeam]], $A46, Table1[[HomeTeam]:[HomeTeam]],  Z$36, Table1[[ActualResult]:[ActualResult]], "OT") + SUMIFS(Table1[[AwayWon]:[AwayWon]], Table1[[GameIsOver]:[GameIsOver]], 1, Table1[[HomeTeam]:[HomeTeam]], $A46, Table1[[AwayTeam]:[AwayTeam]], Z$36, Table1[[ActualResult]:[ActualResult]], "OT") + SUMIFS(Table1[[HomeWon]:[HomeWon]], Table1[[GameIsOver]:[GameIsOver]], 1, Table1[[AwayTeam]:[AwayTeam]], $A46, Table1[[HomeTeam]:[HomeTeam]], Z$36, Table1[[ActualResult]:[ActualResult]], "SO") + SUMIFS(Table1[[AwayWon]:[AwayWon]], Table1[[GameIsOver]:[GameIsOver]], 1, Table1[[HomeTeam]:[HomeTeam]], $A46, Table1[[AwayTeam]:[AwayTeam]], Z$36, Table1[[ActualResult]:[ActualResult]], "SO")))/ (2*((COUNTIFS(Table1[[GameIsOver]:[GameIsOver]],1,Table1[[AwayTeam]:[AwayTeam]],$A46, Table1[[HomeTeam]:[HomeTeam]], Z$36)))+( COUNTIFS(Table1[[GameIsOver]:[GameIsOver]],1,Table1[[AwayTeam]:[AwayTeam]],Z$36, Table1[[HomeTeam]:[HomeTeam]],$A46))), "")</f>
        <v/>
      </c>
      <c r="AA46" s="36" t="str">
        <f>IFERROR(((2 * (SUMIFS(Table1[[AwayWon]:[AwayWon]], Table1[[GameIsOver]:[GameIsOver]], 1, Table1[[AwayTeam]:[AwayTeam]], $A46, Table1[[HomeTeam]:[HomeTeam]], AA$36) + SUMIFS(Table1[[HomeWon]:[HomeWon]], Table1[[GameIsOver]:[GameIsOver]], 1, Table1[[HomeTeam]:[HomeTeam]], $A46, Table1[[AwayTeam]:[AwayTeam]], AA$36))) + (SUMIFS(Table1[[HomeWon]:[HomeWon]], Table1[[GameIsOver]:[GameIsOver]], 1, Table1[[AwayTeam]:[AwayTeam]], $A46, Table1[[HomeTeam]:[HomeTeam]],  AA$36, Table1[[ActualResult]:[ActualResult]], "OT") + SUMIFS(Table1[[AwayWon]:[AwayWon]], Table1[[GameIsOver]:[GameIsOver]], 1, Table1[[HomeTeam]:[HomeTeam]], $A46, Table1[[AwayTeam]:[AwayTeam]], AA$36, Table1[[ActualResult]:[ActualResult]], "OT") + SUMIFS(Table1[[HomeWon]:[HomeWon]], Table1[[GameIsOver]:[GameIsOver]], 1, Table1[[AwayTeam]:[AwayTeam]], $A46, Table1[[HomeTeam]:[HomeTeam]], AA$36, Table1[[ActualResult]:[ActualResult]], "SO") + SUMIFS(Table1[[AwayWon]:[AwayWon]], Table1[[GameIsOver]:[GameIsOver]], 1, Table1[[HomeTeam]:[HomeTeam]], $A46, Table1[[AwayTeam]:[AwayTeam]], AA$36, Table1[[ActualResult]:[ActualResult]], "SO")))/ (2*((COUNTIFS(Table1[[GameIsOver]:[GameIsOver]],1,Table1[[AwayTeam]:[AwayTeam]],$A46, Table1[[HomeTeam]:[HomeTeam]], AA$36)))+( COUNTIFS(Table1[[GameIsOver]:[GameIsOver]],1,Table1[[AwayTeam]:[AwayTeam]],AA$36, Table1[[HomeTeam]:[HomeTeam]],$A46))), "")</f>
        <v/>
      </c>
      <c r="AB46" s="36" t="str">
        <f>IFERROR(((2 * (SUMIFS(Table1[[AwayWon]:[AwayWon]], Table1[[GameIsOver]:[GameIsOver]], 1, Table1[[AwayTeam]:[AwayTeam]], $A46, Table1[[HomeTeam]:[HomeTeam]], AB$36) + SUMIFS(Table1[[HomeWon]:[HomeWon]], Table1[[GameIsOver]:[GameIsOver]], 1, Table1[[HomeTeam]:[HomeTeam]], $A46, Table1[[AwayTeam]:[AwayTeam]], AB$36))) + (SUMIFS(Table1[[HomeWon]:[HomeWon]], Table1[[GameIsOver]:[GameIsOver]], 1, Table1[[AwayTeam]:[AwayTeam]], $A46, Table1[[HomeTeam]:[HomeTeam]],  AB$36, Table1[[ActualResult]:[ActualResult]], "OT") + SUMIFS(Table1[[AwayWon]:[AwayWon]], Table1[[GameIsOver]:[GameIsOver]], 1, Table1[[HomeTeam]:[HomeTeam]], $A46, Table1[[AwayTeam]:[AwayTeam]], AB$36, Table1[[ActualResult]:[ActualResult]], "OT") + SUMIFS(Table1[[HomeWon]:[HomeWon]], Table1[[GameIsOver]:[GameIsOver]], 1, Table1[[AwayTeam]:[AwayTeam]], $A46, Table1[[HomeTeam]:[HomeTeam]], AB$36, Table1[[ActualResult]:[ActualResult]], "SO") + SUMIFS(Table1[[AwayWon]:[AwayWon]], Table1[[GameIsOver]:[GameIsOver]], 1, Table1[[HomeTeam]:[HomeTeam]], $A46, Table1[[AwayTeam]:[AwayTeam]], AB$36, Table1[[ActualResult]:[ActualResult]], "SO")))/ (2*((COUNTIFS(Table1[[GameIsOver]:[GameIsOver]],1,Table1[[AwayTeam]:[AwayTeam]],$A46, Table1[[HomeTeam]:[HomeTeam]], AB$36)))+( COUNTIFS(Table1[[GameIsOver]:[GameIsOver]],1,Table1[[AwayTeam]:[AwayTeam]],AB$36, Table1[[HomeTeam]:[HomeTeam]],$A46))), "")</f>
        <v/>
      </c>
      <c r="AC46" s="36" t="str">
        <f>IFERROR(((2 * (SUMIFS(Table1[[AwayWon]:[AwayWon]], Table1[[GameIsOver]:[GameIsOver]], 1, Table1[[AwayTeam]:[AwayTeam]], $A46, Table1[[HomeTeam]:[HomeTeam]], AC$36) + SUMIFS(Table1[[HomeWon]:[HomeWon]], Table1[[GameIsOver]:[GameIsOver]], 1, Table1[[HomeTeam]:[HomeTeam]], $A46, Table1[[AwayTeam]:[AwayTeam]], AC$36))) + (SUMIFS(Table1[[HomeWon]:[HomeWon]], Table1[[GameIsOver]:[GameIsOver]], 1, Table1[[AwayTeam]:[AwayTeam]], $A46, Table1[[HomeTeam]:[HomeTeam]],  AC$36, Table1[[ActualResult]:[ActualResult]], "OT") + SUMIFS(Table1[[AwayWon]:[AwayWon]], Table1[[GameIsOver]:[GameIsOver]], 1, Table1[[HomeTeam]:[HomeTeam]], $A46, Table1[[AwayTeam]:[AwayTeam]], AC$36, Table1[[ActualResult]:[ActualResult]], "OT") + SUMIFS(Table1[[HomeWon]:[HomeWon]], Table1[[GameIsOver]:[GameIsOver]], 1, Table1[[AwayTeam]:[AwayTeam]], $A46, Table1[[HomeTeam]:[HomeTeam]], AC$36, Table1[[ActualResult]:[ActualResult]], "SO") + SUMIFS(Table1[[AwayWon]:[AwayWon]], Table1[[GameIsOver]:[GameIsOver]], 1, Table1[[HomeTeam]:[HomeTeam]], $A46, Table1[[AwayTeam]:[AwayTeam]], AC$36, Table1[[ActualResult]:[ActualResult]], "SO")))/ (2*((COUNTIFS(Table1[[GameIsOver]:[GameIsOver]],1,Table1[[AwayTeam]:[AwayTeam]],$A46, Table1[[HomeTeam]:[HomeTeam]], AC$36)))+( COUNTIFS(Table1[[GameIsOver]:[GameIsOver]],1,Table1[[AwayTeam]:[AwayTeam]],AC$36, Table1[[HomeTeam]:[HomeTeam]],$A46))), "")</f>
        <v/>
      </c>
      <c r="AD46" s="36" t="str">
        <f>IFERROR(((2 * (SUMIFS(Table1[[AwayWon]:[AwayWon]], Table1[[GameIsOver]:[GameIsOver]], 1, Table1[[AwayTeam]:[AwayTeam]], $A46, Table1[[HomeTeam]:[HomeTeam]], AD$36) + SUMIFS(Table1[[HomeWon]:[HomeWon]], Table1[[GameIsOver]:[GameIsOver]], 1, Table1[[HomeTeam]:[HomeTeam]], $A46, Table1[[AwayTeam]:[AwayTeam]], AD$36))) + (SUMIFS(Table1[[HomeWon]:[HomeWon]], Table1[[GameIsOver]:[GameIsOver]], 1, Table1[[AwayTeam]:[AwayTeam]], $A46, Table1[[HomeTeam]:[HomeTeam]],  AD$36, Table1[[ActualResult]:[ActualResult]], "OT") + SUMIFS(Table1[[AwayWon]:[AwayWon]], Table1[[GameIsOver]:[GameIsOver]], 1, Table1[[HomeTeam]:[HomeTeam]], $A46, Table1[[AwayTeam]:[AwayTeam]], AD$36, Table1[[ActualResult]:[ActualResult]], "OT") + SUMIFS(Table1[[HomeWon]:[HomeWon]], Table1[[GameIsOver]:[GameIsOver]], 1, Table1[[AwayTeam]:[AwayTeam]], $A46, Table1[[HomeTeam]:[HomeTeam]], AD$36, Table1[[ActualResult]:[ActualResult]], "SO") + SUMIFS(Table1[[AwayWon]:[AwayWon]], Table1[[GameIsOver]:[GameIsOver]], 1, Table1[[HomeTeam]:[HomeTeam]], $A46, Table1[[AwayTeam]:[AwayTeam]], AD$36, Table1[[ActualResult]:[ActualResult]], "SO")))/ (2*((COUNTIFS(Table1[[GameIsOver]:[GameIsOver]],1,Table1[[AwayTeam]:[AwayTeam]],$A46, Table1[[HomeTeam]:[HomeTeam]], AD$36)))+( COUNTIFS(Table1[[GameIsOver]:[GameIsOver]],1,Table1[[AwayTeam]:[AwayTeam]],AD$36, Table1[[HomeTeam]:[HomeTeam]],$A46))), "")</f>
        <v/>
      </c>
      <c r="AE46" s="36" t="str">
        <f>IFERROR(((2 * (SUMIFS(Table1[[AwayWon]:[AwayWon]], Table1[[GameIsOver]:[GameIsOver]], 1, Table1[[AwayTeam]:[AwayTeam]], $A46, Table1[[HomeTeam]:[HomeTeam]], AE$36) + SUMIFS(Table1[[HomeWon]:[HomeWon]], Table1[[GameIsOver]:[GameIsOver]], 1, Table1[[HomeTeam]:[HomeTeam]], $A46, Table1[[AwayTeam]:[AwayTeam]], AE$36))) + (SUMIFS(Table1[[HomeWon]:[HomeWon]], Table1[[GameIsOver]:[GameIsOver]], 1, Table1[[AwayTeam]:[AwayTeam]], $A46, Table1[[HomeTeam]:[HomeTeam]],  AE$36, Table1[[ActualResult]:[ActualResult]], "OT") + SUMIFS(Table1[[AwayWon]:[AwayWon]], Table1[[GameIsOver]:[GameIsOver]], 1, Table1[[HomeTeam]:[HomeTeam]], $A46, Table1[[AwayTeam]:[AwayTeam]], AE$36, Table1[[ActualResult]:[ActualResult]], "OT") + SUMIFS(Table1[[HomeWon]:[HomeWon]], Table1[[GameIsOver]:[GameIsOver]], 1, Table1[[AwayTeam]:[AwayTeam]], $A46, Table1[[HomeTeam]:[HomeTeam]], AE$36, Table1[[ActualResult]:[ActualResult]], "SO") + SUMIFS(Table1[[AwayWon]:[AwayWon]], Table1[[GameIsOver]:[GameIsOver]], 1, Table1[[HomeTeam]:[HomeTeam]], $A46, Table1[[AwayTeam]:[AwayTeam]], AE$36, Table1[[ActualResult]:[ActualResult]], "SO")))/ (2*((COUNTIFS(Table1[[GameIsOver]:[GameIsOver]],1,Table1[[AwayTeam]:[AwayTeam]],$A46, Table1[[HomeTeam]:[HomeTeam]], AE$36)))+( COUNTIFS(Table1[[GameIsOver]:[GameIsOver]],1,Table1[[AwayTeam]:[AwayTeam]],AE$36, Table1[[HomeTeam]:[HomeTeam]],$A46))), "")</f>
        <v/>
      </c>
      <c r="AF46" s="36" t="str">
        <f>IFERROR(((2 * (SUMIFS(Table1[[AwayWon]:[AwayWon]], Table1[[GameIsOver]:[GameIsOver]], 1, Table1[[AwayTeam]:[AwayTeam]], $A46, Table1[[HomeTeam]:[HomeTeam]], AF$36) + SUMIFS(Table1[[HomeWon]:[HomeWon]], Table1[[GameIsOver]:[GameIsOver]], 1, Table1[[HomeTeam]:[HomeTeam]], $A46, Table1[[AwayTeam]:[AwayTeam]], AF$36))) + (SUMIFS(Table1[[HomeWon]:[HomeWon]], Table1[[GameIsOver]:[GameIsOver]], 1, Table1[[AwayTeam]:[AwayTeam]], $A46, Table1[[HomeTeam]:[HomeTeam]],  AF$36, Table1[[ActualResult]:[ActualResult]], "OT") + SUMIFS(Table1[[AwayWon]:[AwayWon]], Table1[[GameIsOver]:[GameIsOver]], 1, Table1[[HomeTeam]:[HomeTeam]], $A46, Table1[[AwayTeam]:[AwayTeam]], AF$36, Table1[[ActualResult]:[ActualResult]], "OT") + SUMIFS(Table1[[HomeWon]:[HomeWon]], Table1[[GameIsOver]:[GameIsOver]], 1, Table1[[AwayTeam]:[AwayTeam]], $A46, Table1[[HomeTeam]:[HomeTeam]], AF$36, Table1[[ActualResult]:[ActualResult]], "SO") + SUMIFS(Table1[[AwayWon]:[AwayWon]], Table1[[GameIsOver]:[GameIsOver]], 1, Table1[[HomeTeam]:[HomeTeam]], $A46, Table1[[AwayTeam]:[AwayTeam]], AF$36, Table1[[ActualResult]:[ActualResult]], "SO")))/ (2*((COUNTIFS(Table1[[GameIsOver]:[GameIsOver]],1,Table1[[AwayTeam]:[AwayTeam]],$A46, Table1[[HomeTeam]:[HomeTeam]], AF$36)))+( COUNTIFS(Table1[[GameIsOver]:[GameIsOver]],1,Table1[[AwayTeam]:[AwayTeam]],AF$36, Table1[[HomeTeam]:[HomeTeam]],$A46))), "")</f>
        <v/>
      </c>
      <c r="AG46" s="36" t="str">
        <f>IFERROR(((2 * (SUMIFS(Table1[[AwayWon]:[AwayWon]], Table1[[GameIsOver]:[GameIsOver]], 1, Table1[[AwayTeam]:[AwayTeam]], $A46, Table1[[HomeTeam]:[HomeTeam]], AG$36) + SUMIFS(Table1[[HomeWon]:[HomeWon]], Table1[[GameIsOver]:[GameIsOver]], 1, Table1[[HomeTeam]:[HomeTeam]], $A46, Table1[[AwayTeam]:[AwayTeam]], AG$36))) + (SUMIFS(Table1[[HomeWon]:[HomeWon]], Table1[[GameIsOver]:[GameIsOver]], 1, Table1[[AwayTeam]:[AwayTeam]], $A46, Table1[[HomeTeam]:[HomeTeam]],  AG$36, Table1[[ActualResult]:[ActualResult]], "OT") + SUMIFS(Table1[[AwayWon]:[AwayWon]], Table1[[GameIsOver]:[GameIsOver]], 1, Table1[[HomeTeam]:[HomeTeam]], $A46, Table1[[AwayTeam]:[AwayTeam]], AG$36, Table1[[ActualResult]:[ActualResult]], "OT") + SUMIFS(Table1[[HomeWon]:[HomeWon]], Table1[[GameIsOver]:[GameIsOver]], 1, Table1[[AwayTeam]:[AwayTeam]], $A46, Table1[[HomeTeam]:[HomeTeam]], AG$36, Table1[[ActualResult]:[ActualResult]], "SO") + SUMIFS(Table1[[AwayWon]:[AwayWon]], Table1[[GameIsOver]:[GameIsOver]], 1, Table1[[HomeTeam]:[HomeTeam]], $A46, Table1[[AwayTeam]:[AwayTeam]], AG$36, Table1[[ActualResult]:[ActualResult]], "SO")))/ (2*((COUNTIFS(Table1[[GameIsOver]:[GameIsOver]],1,Table1[[AwayTeam]:[AwayTeam]],$A46, Table1[[HomeTeam]:[HomeTeam]], AG$36)))+( COUNTIFS(Table1[[GameIsOver]:[GameIsOver]],1,Table1[[AwayTeam]:[AwayTeam]],AG$36, Table1[[HomeTeam]:[HomeTeam]],$A46))), "")</f>
        <v/>
      </c>
      <c r="AH46" s="37" t="e">
        <f t="shared" si="0"/>
        <v>#DIV/0!</v>
      </c>
      <c r="AI46" s="37">
        <f t="shared" si="1"/>
        <v>1</v>
      </c>
      <c r="AJ46" s="38" t="e">
        <f t="shared" si="2"/>
        <v>#DIV/0!</v>
      </c>
      <c r="AK46" s="38" t="e">
        <f t="shared" si="3"/>
        <v>#DIV/0!</v>
      </c>
      <c r="AL46" s="38" t="e">
        <f t="shared" si="4"/>
        <v>#DIV/0!</v>
      </c>
      <c r="AM46" s="38">
        <f t="shared" si="5"/>
        <v>1</v>
      </c>
    </row>
    <row r="47" spans="1:39" x14ac:dyDescent="0.25">
      <c r="A47" s="17" t="s">
        <v>43</v>
      </c>
      <c r="B47" s="36" t="str">
        <f>IFERROR(((2 * (SUMIFS(Table1[[AwayWon]:[AwayWon]], Table1[[GameIsOver]:[GameIsOver]], 1, Table1[[AwayTeam]:[AwayTeam]], $A47, Table1[[HomeTeam]:[HomeTeam]], B$36) + SUMIFS(Table1[[HomeWon]:[HomeWon]], Table1[[GameIsOver]:[GameIsOver]], 1, Table1[[HomeTeam]:[HomeTeam]], $A47, Table1[[AwayTeam]:[AwayTeam]], B$36))) + (SUMIFS(Table1[[HomeWon]:[HomeWon]], Table1[[GameIsOver]:[GameIsOver]], 1, Table1[[AwayTeam]:[AwayTeam]], $A47, Table1[[HomeTeam]:[HomeTeam]],  B$36, Table1[[ActualResult]:[ActualResult]], "OT") + SUMIFS(Table1[[AwayWon]:[AwayWon]], Table1[[GameIsOver]:[GameIsOver]], 1, Table1[[HomeTeam]:[HomeTeam]], $A47, Table1[[AwayTeam]:[AwayTeam]], B$36, Table1[[ActualResult]:[ActualResult]], "OT") + SUMIFS(Table1[[HomeWon]:[HomeWon]], Table1[[GameIsOver]:[GameIsOver]], 1, Table1[[AwayTeam]:[AwayTeam]], $A47, Table1[[HomeTeam]:[HomeTeam]], B$36, Table1[[ActualResult]:[ActualResult]], "SO") + SUMIFS(Table1[[AwayWon]:[AwayWon]], Table1[[GameIsOver]:[GameIsOver]], 1, Table1[[HomeTeam]:[HomeTeam]], $A47, Table1[[AwayTeam]:[AwayTeam]], B$36, Table1[[ActualResult]:[ActualResult]], "SO")))/ (2*((COUNTIFS(Table1[[GameIsOver]:[GameIsOver]],1,Table1[[AwayTeam]:[AwayTeam]],$A47, Table1[[HomeTeam]:[HomeTeam]], B$36)))+( COUNTIFS(Table1[[GameIsOver]:[GameIsOver]],1,Table1[[AwayTeam]:[AwayTeam]],B$36, Table1[[HomeTeam]:[HomeTeam]],$A47))), "")</f>
        <v/>
      </c>
      <c r="C47" s="36" t="str">
        <f>IFERROR(((2 * (SUMIFS(Table1[[AwayWon]:[AwayWon]], Table1[[GameIsOver]:[GameIsOver]], 1, Table1[[AwayTeam]:[AwayTeam]], $A47, Table1[[HomeTeam]:[HomeTeam]], C$36) + SUMIFS(Table1[[HomeWon]:[HomeWon]], Table1[[GameIsOver]:[GameIsOver]], 1, Table1[[HomeTeam]:[HomeTeam]], $A47, Table1[[AwayTeam]:[AwayTeam]], C$36))) + (SUMIFS(Table1[[HomeWon]:[HomeWon]], Table1[[GameIsOver]:[GameIsOver]], 1, Table1[[AwayTeam]:[AwayTeam]], $A47, Table1[[HomeTeam]:[HomeTeam]],  C$36, Table1[[ActualResult]:[ActualResult]], "OT") + SUMIFS(Table1[[AwayWon]:[AwayWon]], Table1[[GameIsOver]:[GameIsOver]], 1, Table1[[HomeTeam]:[HomeTeam]], $A47, Table1[[AwayTeam]:[AwayTeam]], C$36, Table1[[ActualResult]:[ActualResult]], "OT") + SUMIFS(Table1[[HomeWon]:[HomeWon]], Table1[[GameIsOver]:[GameIsOver]], 1, Table1[[AwayTeam]:[AwayTeam]], $A47, Table1[[HomeTeam]:[HomeTeam]], C$36, Table1[[ActualResult]:[ActualResult]], "SO") + SUMIFS(Table1[[AwayWon]:[AwayWon]], Table1[[GameIsOver]:[GameIsOver]], 1, Table1[[HomeTeam]:[HomeTeam]], $A47, Table1[[AwayTeam]:[AwayTeam]], C$36, Table1[[ActualResult]:[ActualResult]], "SO")))/ (2*((COUNTIFS(Table1[[GameIsOver]:[GameIsOver]],1,Table1[[AwayTeam]:[AwayTeam]],$A47, Table1[[HomeTeam]:[HomeTeam]], C$36)))+( COUNTIFS(Table1[[GameIsOver]:[GameIsOver]],1,Table1[[AwayTeam]:[AwayTeam]],C$36, Table1[[HomeTeam]:[HomeTeam]],$A47))), "")</f>
        <v/>
      </c>
      <c r="D47" s="36" t="str">
        <f>IFERROR(((2 * (SUMIFS(Table1[[AwayWon]:[AwayWon]], Table1[[GameIsOver]:[GameIsOver]], 1, Table1[[AwayTeam]:[AwayTeam]], $A47, Table1[[HomeTeam]:[HomeTeam]], D$36) + SUMIFS(Table1[[HomeWon]:[HomeWon]], Table1[[GameIsOver]:[GameIsOver]], 1, Table1[[HomeTeam]:[HomeTeam]], $A47, Table1[[AwayTeam]:[AwayTeam]], D$36))) + (SUMIFS(Table1[[HomeWon]:[HomeWon]], Table1[[GameIsOver]:[GameIsOver]], 1, Table1[[AwayTeam]:[AwayTeam]], $A47, Table1[[HomeTeam]:[HomeTeam]],  D$36, Table1[[ActualResult]:[ActualResult]], "OT") + SUMIFS(Table1[[AwayWon]:[AwayWon]], Table1[[GameIsOver]:[GameIsOver]], 1, Table1[[HomeTeam]:[HomeTeam]], $A47, Table1[[AwayTeam]:[AwayTeam]], D$36, Table1[[ActualResult]:[ActualResult]], "OT") + SUMIFS(Table1[[HomeWon]:[HomeWon]], Table1[[GameIsOver]:[GameIsOver]], 1, Table1[[AwayTeam]:[AwayTeam]], $A47, Table1[[HomeTeam]:[HomeTeam]], D$36, Table1[[ActualResult]:[ActualResult]], "SO") + SUMIFS(Table1[[AwayWon]:[AwayWon]], Table1[[GameIsOver]:[GameIsOver]], 1, Table1[[HomeTeam]:[HomeTeam]], $A47, Table1[[AwayTeam]:[AwayTeam]], D$36, Table1[[ActualResult]:[ActualResult]], "SO")))/ (2*((COUNTIFS(Table1[[GameIsOver]:[GameIsOver]],1,Table1[[AwayTeam]:[AwayTeam]],$A47, Table1[[HomeTeam]:[HomeTeam]], D$36)))+( COUNTIFS(Table1[[GameIsOver]:[GameIsOver]],1,Table1[[AwayTeam]:[AwayTeam]],D$36, Table1[[HomeTeam]:[HomeTeam]],$A47))), "")</f>
        <v/>
      </c>
      <c r="E47" s="36" t="str">
        <f>IFERROR(((2 * (SUMIFS(Table1[[AwayWon]:[AwayWon]], Table1[[GameIsOver]:[GameIsOver]], 1, Table1[[AwayTeam]:[AwayTeam]], $A47, Table1[[HomeTeam]:[HomeTeam]], E$36) + SUMIFS(Table1[[HomeWon]:[HomeWon]], Table1[[GameIsOver]:[GameIsOver]], 1, Table1[[HomeTeam]:[HomeTeam]], $A47, Table1[[AwayTeam]:[AwayTeam]], E$36))) + (SUMIFS(Table1[[HomeWon]:[HomeWon]], Table1[[GameIsOver]:[GameIsOver]], 1, Table1[[AwayTeam]:[AwayTeam]], $A47, Table1[[HomeTeam]:[HomeTeam]],  E$36, Table1[[ActualResult]:[ActualResult]], "OT") + SUMIFS(Table1[[AwayWon]:[AwayWon]], Table1[[GameIsOver]:[GameIsOver]], 1, Table1[[HomeTeam]:[HomeTeam]], $A47, Table1[[AwayTeam]:[AwayTeam]], E$36, Table1[[ActualResult]:[ActualResult]], "OT") + SUMIFS(Table1[[HomeWon]:[HomeWon]], Table1[[GameIsOver]:[GameIsOver]], 1, Table1[[AwayTeam]:[AwayTeam]], $A47, Table1[[HomeTeam]:[HomeTeam]], E$36, Table1[[ActualResult]:[ActualResult]], "SO") + SUMIFS(Table1[[AwayWon]:[AwayWon]], Table1[[GameIsOver]:[GameIsOver]], 1, Table1[[HomeTeam]:[HomeTeam]], $A47, Table1[[AwayTeam]:[AwayTeam]], E$36, Table1[[ActualResult]:[ActualResult]], "SO")))/ (2*((COUNTIFS(Table1[[GameIsOver]:[GameIsOver]],1,Table1[[AwayTeam]:[AwayTeam]],$A47, Table1[[HomeTeam]:[HomeTeam]], E$36)))+( COUNTIFS(Table1[[GameIsOver]:[GameIsOver]],1,Table1[[AwayTeam]:[AwayTeam]],E$36, Table1[[HomeTeam]:[HomeTeam]],$A47))), "")</f>
        <v/>
      </c>
      <c r="F47" s="36" t="str">
        <f>IFERROR(((2 * (SUMIFS(Table1[[AwayWon]:[AwayWon]], Table1[[GameIsOver]:[GameIsOver]], 1, Table1[[AwayTeam]:[AwayTeam]], $A47, Table1[[HomeTeam]:[HomeTeam]], F$36) + SUMIFS(Table1[[HomeWon]:[HomeWon]], Table1[[GameIsOver]:[GameIsOver]], 1, Table1[[HomeTeam]:[HomeTeam]], $A47, Table1[[AwayTeam]:[AwayTeam]], F$36))) + (SUMIFS(Table1[[HomeWon]:[HomeWon]], Table1[[GameIsOver]:[GameIsOver]], 1, Table1[[AwayTeam]:[AwayTeam]], $A47, Table1[[HomeTeam]:[HomeTeam]],  F$36, Table1[[ActualResult]:[ActualResult]], "OT") + SUMIFS(Table1[[AwayWon]:[AwayWon]], Table1[[GameIsOver]:[GameIsOver]], 1, Table1[[HomeTeam]:[HomeTeam]], $A47, Table1[[AwayTeam]:[AwayTeam]], F$36, Table1[[ActualResult]:[ActualResult]], "OT") + SUMIFS(Table1[[HomeWon]:[HomeWon]], Table1[[GameIsOver]:[GameIsOver]], 1, Table1[[AwayTeam]:[AwayTeam]], $A47, Table1[[HomeTeam]:[HomeTeam]], F$36, Table1[[ActualResult]:[ActualResult]], "SO") + SUMIFS(Table1[[AwayWon]:[AwayWon]], Table1[[GameIsOver]:[GameIsOver]], 1, Table1[[HomeTeam]:[HomeTeam]], $A47, Table1[[AwayTeam]:[AwayTeam]], F$36, Table1[[ActualResult]:[ActualResult]], "SO")))/ (2*((COUNTIFS(Table1[[GameIsOver]:[GameIsOver]],1,Table1[[AwayTeam]:[AwayTeam]],$A47, Table1[[HomeTeam]:[HomeTeam]], F$36)))+( COUNTIFS(Table1[[GameIsOver]:[GameIsOver]],1,Table1[[AwayTeam]:[AwayTeam]],F$36, Table1[[HomeTeam]:[HomeTeam]],$A47))), "")</f>
        <v/>
      </c>
      <c r="G47" s="36" t="str">
        <f>IFERROR(((2 * (SUMIFS(Table1[[AwayWon]:[AwayWon]], Table1[[GameIsOver]:[GameIsOver]], 1, Table1[[AwayTeam]:[AwayTeam]], $A47, Table1[[HomeTeam]:[HomeTeam]], G$36) + SUMIFS(Table1[[HomeWon]:[HomeWon]], Table1[[GameIsOver]:[GameIsOver]], 1, Table1[[HomeTeam]:[HomeTeam]], $A47, Table1[[AwayTeam]:[AwayTeam]], G$36))) + (SUMIFS(Table1[[HomeWon]:[HomeWon]], Table1[[GameIsOver]:[GameIsOver]], 1, Table1[[AwayTeam]:[AwayTeam]], $A47, Table1[[HomeTeam]:[HomeTeam]],  G$36, Table1[[ActualResult]:[ActualResult]], "OT") + SUMIFS(Table1[[AwayWon]:[AwayWon]], Table1[[GameIsOver]:[GameIsOver]], 1, Table1[[HomeTeam]:[HomeTeam]], $A47, Table1[[AwayTeam]:[AwayTeam]], G$36, Table1[[ActualResult]:[ActualResult]], "OT") + SUMIFS(Table1[[HomeWon]:[HomeWon]], Table1[[GameIsOver]:[GameIsOver]], 1, Table1[[AwayTeam]:[AwayTeam]], $A47, Table1[[HomeTeam]:[HomeTeam]], G$36, Table1[[ActualResult]:[ActualResult]], "SO") + SUMIFS(Table1[[AwayWon]:[AwayWon]], Table1[[GameIsOver]:[GameIsOver]], 1, Table1[[HomeTeam]:[HomeTeam]], $A47, Table1[[AwayTeam]:[AwayTeam]], G$36, Table1[[ActualResult]:[ActualResult]], "SO")))/ (2*((COUNTIFS(Table1[[GameIsOver]:[GameIsOver]],1,Table1[[AwayTeam]:[AwayTeam]],$A47, Table1[[HomeTeam]:[HomeTeam]], G$36)))+( COUNTIFS(Table1[[GameIsOver]:[GameIsOver]],1,Table1[[AwayTeam]:[AwayTeam]],G$36, Table1[[HomeTeam]:[HomeTeam]],$A47))), "")</f>
        <v/>
      </c>
      <c r="H47" s="36" t="str">
        <f>IFERROR(((2 * (SUMIFS(Table1[[AwayWon]:[AwayWon]], Table1[[GameIsOver]:[GameIsOver]], 1, Table1[[AwayTeam]:[AwayTeam]], $A47, Table1[[HomeTeam]:[HomeTeam]], H$36) + SUMIFS(Table1[[HomeWon]:[HomeWon]], Table1[[GameIsOver]:[GameIsOver]], 1, Table1[[HomeTeam]:[HomeTeam]], $A47, Table1[[AwayTeam]:[AwayTeam]], H$36))) + (SUMIFS(Table1[[HomeWon]:[HomeWon]], Table1[[GameIsOver]:[GameIsOver]], 1, Table1[[AwayTeam]:[AwayTeam]], $A47, Table1[[HomeTeam]:[HomeTeam]],  H$36, Table1[[ActualResult]:[ActualResult]], "OT") + SUMIFS(Table1[[AwayWon]:[AwayWon]], Table1[[GameIsOver]:[GameIsOver]], 1, Table1[[HomeTeam]:[HomeTeam]], $A47, Table1[[AwayTeam]:[AwayTeam]], H$36, Table1[[ActualResult]:[ActualResult]], "OT") + SUMIFS(Table1[[HomeWon]:[HomeWon]], Table1[[GameIsOver]:[GameIsOver]], 1, Table1[[AwayTeam]:[AwayTeam]], $A47, Table1[[HomeTeam]:[HomeTeam]], H$36, Table1[[ActualResult]:[ActualResult]], "SO") + SUMIFS(Table1[[AwayWon]:[AwayWon]], Table1[[GameIsOver]:[GameIsOver]], 1, Table1[[HomeTeam]:[HomeTeam]], $A47, Table1[[AwayTeam]:[AwayTeam]], H$36, Table1[[ActualResult]:[ActualResult]], "SO")))/ (2*((COUNTIFS(Table1[[GameIsOver]:[GameIsOver]],1,Table1[[AwayTeam]:[AwayTeam]],$A47, Table1[[HomeTeam]:[HomeTeam]], H$36)))+( COUNTIFS(Table1[[GameIsOver]:[GameIsOver]],1,Table1[[AwayTeam]:[AwayTeam]],H$36, Table1[[HomeTeam]:[HomeTeam]],$A47))), "")</f>
        <v/>
      </c>
      <c r="I47" s="38" t="str">
        <f>IFERROR(((2 * (SUMIFS(Table1[[AwayWon]:[AwayWon]], Table1[[GameIsOver]:[GameIsOver]], 1, Table1[[AwayTeam]:[AwayTeam]], $A47, Table1[[HomeTeam]:[HomeTeam]], I$36) + SUMIFS(Table1[[HomeWon]:[HomeWon]], Table1[[GameIsOver]:[GameIsOver]], 1, Table1[[HomeTeam]:[HomeTeam]], $A47, Table1[[AwayTeam]:[AwayTeam]], I$36))) + (SUMIFS(Table1[[HomeWon]:[HomeWon]], Table1[[GameIsOver]:[GameIsOver]], 1, Table1[[AwayTeam]:[AwayTeam]], $A47, Table1[[HomeTeam]:[HomeTeam]],  I$36, Table1[[ActualResult]:[ActualResult]], "OT") + SUMIFS(Table1[[AwayWon]:[AwayWon]], Table1[[GameIsOver]:[GameIsOver]], 1, Table1[[HomeTeam]:[HomeTeam]], $A47, Table1[[AwayTeam]:[AwayTeam]], I$36, Table1[[ActualResult]:[ActualResult]], "OT") + SUMIFS(Table1[[HomeWon]:[HomeWon]], Table1[[GameIsOver]:[GameIsOver]], 1, Table1[[AwayTeam]:[AwayTeam]], $A47, Table1[[HomeTeam]:[HomeTeam]], I$36, Table1[[ActualResult]:[ActualResult]], "SO") + SUMIFS(Table1[[AwayWon]:[AwayWon]], Table1[[GameIsOver]:[GameIsOver]], 1, Table1[[HomeTeam]:[HomeTeam]], $A47, Table1[[AwayTeam]:[AwayTeam]], I$36, Table1[[ActualResult]:[ActualResult]], "SO")))/ (2*((COUNTIFS(Table1[[GameIsOver]:[GameIsOver]],1,Table1[[AwayTeam]:[AwayTeam]],$A47, Table1[[HomeTeam]:[HomeTeam]], I$36)))+( COUNTIFS(Table1[[GameIsOver]:[GameIsOver]],1,Table1[[AwayTeam]:[AwayTeam]],I$36, Table1[[HomeTeam]:[HomeTeam]],$A47))), "")</f>
        <v/>
      </c>
      <c r="J47" s="36" t="str">
        <f>IFERROR(((2 * (SUMIFS(Table1[[AwayWon]:[AwayWon]], Table1[[GameIsOver]:[GameIsOver]], 1, Table1[[AwayTeam]:[AwayTeam]], $A47, Table1[[HomeTeam]:[HomeTeam]], J$36) + SUMIFS(Table1[[HomeWon]:[HomeWon]], Table1[[GameIsOver]:[GameIsOver]], 1, Table1[[HomeTeam]:[HomeTeam]], $A47, Table1[[AwayTeam]:[AwayTeam]], J$36))) + (SUMIFS(Table1[[HomeWon]:[HomeWon]], Table1[[GameIsOver]:[GameIsOver]], 1, Table1[[AwayTeam]:[AwayTeam]], $A47, Table1[[HomeTeam]:[HomeTeam]],  J$36, Table1[[ActualResult]:[ActualResult]], "OT") + SUMIFS(Table1[[AwayWon]:[AwayWon]], Table1[[GameIsOver]:[GameIsOver]], 1, Table1[[HomeTeam]:[HomeTeam]], $A47, Table1[[AwayTeam]:[AwayTeam]], J$36, Table1[[ActualResult]:[ActualResult]], "OT") + SUMIFS(Table1[[HomeWon]:[HomeWon]], Table1[[GameIsOver]:[GameIsOver]], 1, Table1[[AwayTeam]:[AwayTeam]], $A47, Table1[[HomeTeam]:[HomeTeam]], J$36, Table1[[ActualResult]:[ActualResult]], "SO") + SUMIFS(Table1[[AwayWon]:[AwayWon]], Table1[[GameIsOver]:[GameIsOver]], 1, Table1[[HomeTeam]:[HomeTeam]], $A47, Table1[[AwayTeam]:[AwayTeam]], J$36, Table1[[ActualResult]:[ActualResult]], "SO")))/ (2*((COUNTIFS(Table1[[GameIsOver]:[GameIsOver]],1,Table1[[AwayTeam]:[AwayTeam]],$A47, Table1[[HomeTeam]:[HomeTeam]], J$36)))+( COUNTIFS(Table1[[GameIsOver]:[GameIsOver]],1,Table1[[AwayTeam]:[AwayTeam]],J$36, Table1[[HomeTeam]:[HomeTeam]],$A47))), "")</f>
        <v/>
      </c>
      <c r="K47" s="36" t="str">
        <f>IFERROR(((2 * (SUMIFS(Table1[[AwayWon]:[AwayWon]], Table1[[GameIsOver]:[GameIsOver]], 1, Table1[[AwayTeam]:[AwayTeam]], $A47, Table1[[HomeTeam]:[HomeTeam]], K$36) + SUMIFS(Table1[[HomeWon]:[HomeWon]], Table1[[GameIsOver]:[GameIsOver]], 1, Table1[[HomeTeam]:[HomeTeam]], $A47, Table1[[AwayTeam]:[AwayTeam]], K$36))) + (SUMIFS(Table1[[HomeWon]:[HomeWon]], Table1[[GameIsOver]:[GameIsOver]], 1, Table1[[AwayTeam]:[AwayTeam]], $A47, Table1[[HomeTeam]:[HomeTeam]],  K$36, Table1[[ActualResult]:[ActualResult]], "OT") + SUMIFS(Table1[[AwayWon]:[AwayWon]], Table1[[GameIsOver]:[GameIsOver]], 1, Table1[[HomeTeam]:[HomeTeam]], $A47, Table1[[AwayTeam]:[AwayTeam]], K$36, Table1[[ActualResult]:[ActualResult]], "OT") + SUMIFS(Table1[[HomeWon]:[HomeWon]], Table1[[GameIsOver]:[GameIsOver]], 1, Table1[[AwayTeam]:[AwayTeam]], $A47, Table1[[HomeTeam]:[HomeTeam]], K$36, Table1[[ActualResult]:[ActualResult]], "SO") + SUMIFS(Table1[[AwayWon]:[AwayWon]], Table1[[GameIsOver]:[GameIsOver]], 1, Table1[[HomeTeam]:[HomeTeam]], $A47, Table1[[AwayTeam]:[AwayTeam]], K$36, Table1[[ActualResult]:[ActualResult]], "SO")))/ (2*((COUNTIFS(Table1[[GameIsOver]:[GameIsOver]],1,Table1[[AwayTeam]:[AwayTeam]],$A47, Table1[[HomeTeam]:[HomeTeam]], K$36)))+( COUNTIFS(Table1[[GameIsOver]:[GameIsOver]],1,Table1[[AwayTeam]:[AwayTeam]],K$36, Table1[[HomeTeam]:[HomeTeam]],$A47))), "")</f>
        <v/>
      </c>
      <c r="L47" s="36" t="str">
        <f>IFERROR(((2 * (SUMIFS(Table1[[AwayWon]:[AwayWon]], Table1[[GameIsOver]:[GameIsOver]], 1, Table1[[AwayTeam]:[AwayTeam]], $A47, Table1[[HomeTeam]:[HomeTeam]], L$36) + SUMIFS(Table1[[HomeWon]:[HomeWon]], Table1[[GameIsOver]:[GameIsOver]], 1, Table1[[HomeTeam]:[HomeTeam]], $A47, Table1[[AwayTeam]:[AwayTeam]], L$36))) + (SUMIFS(Table1[[HomeWon]:[HomeWon]], Table1[[GameIsOver]:[GameIsOver]], 1, Table1[[AwayTeam]:[AwayTeam]], $A47, Table1[[HomeTeam]:[HomeTeam]],  L$36, Table1[[ActualResult]:[ActualResult]], "OT") + SUMIFS(Table1[[AwayWon]:[AwayWon]], Table1[[GameIsOver]:[GameIsOver]], 1, Table1[[HomeTeam]:[HomeTeam]], $A47, Table1[[AwayTeam]:[AwayTeam]], L$36, Table1[[ActualResult]:[ActualResult]], "OT") + SUMIFS(Table1[[HomeWon]:[HomeWon]], Table1[[GameIsOver]:[GameIsOver]], 1, Table1[[AwayTeam]:[AwayTeam]], $A47, Table1[[HomeTeam]:[HomeTeam]], L$36, Table1[[ActualResult]:[ActualResult]], "SO") + SUMIFS(Table1[[AwayWon]:[AwayWon]], Table1[[GameIsOver]:[GameIsOver]], 1, Table1[[HomeTeam]:[HomeTeam]], $A47, Table1[[AwayTeam]:[AwayTeam]], L$36, Table1[[ActualResult]:[ActualResult]], "SO")))/ (2*((COUNTIFS(Table1[[GameIsOver]:[GameIsOver]],1,Table1[[AwayTeam]:[AwayTeam]],$A47, Table1[[HomeTeam]:[HomeTeam]], L$36)))+( COUNTIFS(Table1[[GameIsOver]:[GameIsOver]],1,Table1[[AwayTeam]:[AwayTeam]],L$36, Table1[[HomeTeam]:[HomeTeam]],$A47))), "")</f>
        <v/>
      </c>
      <c r="M47" s="36" t="str">
        <f>IFERROR(((2 * (SUMIFS(Table1[[AwayWon]:[AwayWon]], Table1[[GameIsOver]:[GameIsOver]], 1, Table1[[AwayTeam]:[AwayTeam]], $A47, Table1[[HomeTeam]:[HomeTeam]], M$36) + SUMIFS(Table1[[HomeWon]:[HomeWon]], Table1[[GameIsOver]:[GameIsOver]], 1, Table1[[HomeTeam]:[HomeTeam]], $A47, Table1[[AwayTeam]:[AwayTeam]], M$36))) + (SUMIFS(Table1[[HomeWon]:[HomeWon]], Table1[[GameIsOver]:[GameIsOver]], 1, Table1[[AwayTeam]:[AwayTeam]], $A47, Table1[[HomeTeam]:[HomeTeam]],  M$36, Table1[[ActualResult]:[ActualResult]], "OT") + SUMIFS(Table1[[AwayWon]:[AwayWon]], Table1[[GameIsOver]:[GameIsOver]], 1, Table1[[HomeTeam]:[HomeTeam]], $A47, Table1[[AwayTeam]:[AwayTeam]], M$36, Table1[[ActualResult]:[ActualResult]], "OT") + SUMIFS(Table1[[HomeWon]:[HomeWon]], Table1[[GameIsOver]:[GameIsOver]], 1, Table1[[AwayTeam]:[AwayTeam]], $A47, Table1[[HomeTeam]:[HomeTeam]], M$36, Table1[[ActualResult]:[ActualResult]], "SO") + SUMIFS(Table1[[AwayWon]:[AwayWon]], Table1[[GameIsOver]:[GameIsOver]], 1, Table1[[HomeTeam]:[HomeTeam]], $A47, Table1[[AwayTeam]:[AwayTeam]], M$36, Table1[[ActualResult]:[ActualResult]], "SO")))/ (2*((COUNTIFS(Table1[[GameIsOver]:[GameIsOver]],1,Table1[[AwayTeam]:[AwayTeam]],$A47, Table1[[HomeTeam]:[HomeTeam]], M$36)))+( COUNTIFS(Table1[[GameIsOver]:[GameIsOver]],1,Table1[[AwayTeam]:[AwayTeam]],M$36, Table1[[HomeTeam]:[HomeTeam]],$A47))), "")</f>
        <v/>
      </c>
      <c r="N47" s="36" t="str">
        <f>IFERROR(((2 * (SUMIFS(Table1[[AwayWon]:[AwayWon]], Table1[[GameIsOver]:[GameIsOver]], 1, Table1[[AwayTeam]:[AwayTeam]], $A47, Table1[[HomeTeam]:[HomeTeam]], N$36) + SUMIFS(Table1[[HomeWon]:[HomeWon]], Table1[[GameIsOver]:[GameIsOver]], 1, Table1[[HomeTeam]:[HomeTeam]], $A47, Table1[[AwayTeam]:[AwayTeam]], N$36))) + (SUMIFS(Table1[[HomeWon]:[HomeWon]], Table1[[GameIsOver]:[GameIsOver]], 1, Table1[[AwayTeam]:[AwayTeam]], $A47, Table1[[HomeTeam]:[HomeTeam]],  N$36, Table1[[ActualResult]:[ActualResult]], "OT") + SUMIFS(Table1[[AwayWon]:[AwayWon]], Table1[[GameIsOver]:[GameIsOver]], 1, Table1[[HomeTeam]:[HomeTeam]], $A47, Table1[[AwayTeam]:[AwayTeam]], N$36, Table1[[ActualResult]:[ActualResult]], "OT") + SUMIFS(Table1[[HomeWon]:[HomeWon]], Table1[[GameIsOver]:[GameIsOver]], 1, Table1[[AwayTeam]:[AwayTeam]], $A47, Table1[[HomeTeam]:[HomeTeam]], N$36, Table1[[ActualResult]:[ActualResult]], "SO") + SUMIFS(Table1[[AwayWon]:[AwayWon]], Table1[[GameIsOver]:[GameIsOver]], 1, Table1[[HomeTeam]:[HomeTeam]], $A47, Table1[[AwayTeam]:[AwayTeam]], N$36, Table1[[ActualResult]:[ActualResult]], "SO")))/ (2*((COUNTIFS(Table1[[GameIsOver]:[GameIsOver]],1,Table1[[AwayTeam]:[AwayTeam]],$A47, Table1[[HomeTeam]:[HomeTeam]], N$36)))+( COUNTIFS(Table1[[GameIsOver]:[GameIsOver]],1,Table1[[AwayTeam]:[AwayTeam]],N$36, Table1[[HomeTeam]:[HomeTeam]],$A47))), "")</f>
        <v/>
      </c>
      <c r="O47" s="36" t="str">
        <f>IFERROR(((2 * (SUMIFS(Table1[[AwayWon]:[AwayWon]], Table1[[GameIsOver]:[GameIsOver]], 1, Table1[[AwayTeam]:[AwayTeam]], $A47, Table1[[HomeTeam]:[HomeTeam]], O$36) + SUMIFS(Table1[[HomeWon]:[HomeWon]], Table1[[GameIsOver]:[GameIsOver]], 1, Table1[[HomeTeam]:[HomeTeam]], $A47, Table1[[AwayTeam]:[AwayTeam]], O$36))) + (SUMIFS(Table1[[HomeWon]:[HomeWon]], Table1[[GameIsOver]:[GameIsOver]], 1, Table1[[AwayTeam]:[AwayTeam]], $A47, Table1[[HomeTeam]:[HomeTeam]],  O$36, Table1[[ActualResult]:[ActualResult]], "OT") + SUMIFS(Table1[[AwayWon]:[AwayWon]], Table1[[GameIsOver]:[GameIsOver]], 1, Table1[[HomeTeam]:[HomeTeam]], $A47, Table1[[AwayTeam]:[AwayTeam]], O$36, Table1[[ActualResult]:[ActualResult]], "OT") + SUMIFS(Table1[[HomeWon]:[HomeWon]], Table1[[GameIsOver]:[GameIsOver]], 1, Table1[[AwayTeam]:[AwayTeam]], $A47, Table1[[HomeTeam]:[HomeTeam]], O$36, Table1[[ActualResult]:[ActualResult]], "SO") + SUMIFS(Table1[[AwayWon]:[AwayWon]], Table1[[GameIsOver]:[GameIsOver]], 1, Table1[[HomeTeam]:[HomeTeam]], $A47, Table1[[AwayTeam]:[AwayTeam]], O$36, Table1[[ActualResult]:[ActualResult]], "SO")))/ (2*((COUNTIFS(Table1[[GameIsOver]:[GameIsOver]],1,Table1[[AwayTeam]:[AwayTeam]],$A47, Table1[[HomeTeam]:[HomeTeam]], O$36)))+( COUNTIFS(Table1[[GameIsOver]:[GameIsOver]],1,Table1[[AwayTeam]:[AwayTeam]],O$36, Table1[[HomeTeam]:[HomeTeam]],$A47))), "")</f>
        <v/>
      </c>
      <c r="P47" s="36" t="str">
        <f>IFERROR(((2 * (SUMIFS(Table1[[AwayWon]:[AwayWon]], Table1[[GameIsOver]:[GameIsOver]], 1, Table1[[AwayTeam]:[AwayTeam]], $A47, Table1[[HomeTeam]:[HomeTeam]], P$36) + SUMIFS(Table1[[HomeWon]:[HomeWon]], Table1[[GameIsOver]:[GameIsOver]], 1, Table1[[HomeTeam]:[HomeTeam]], $A47, Table1[[AwayTeam]:[AwayTeam]], P$36))) + (SUMIFS(Table1[[HomeWon]:[HomeWon]], Table1[[GameIsOver]:[GameIsOver]], 1, Table1[[AwayTeam]:[AwayTeam]], $A47, Table1[[HomeTeam]:[HomeTeam]],  P$36, Table1[[ActualResult]:[ActualResult]], "OT") + SUMIFS(Table1[[AwayWon]:[AwayWon]], Table1[[GameIsOver]:[GameIsOver]], 1, Table1[[HomeTeam]:[HomeTeam]], $A47, Table1[[AwayTeam]:[AwayTeam]], P$36, Table1[[ActualResult]:[ActualResult]], "OT") + SUMIFS(Table1[[HomeWon]:[HomeWon]], Table1[[GameIsOver]:[GameIsOver]], 1, Table1[[AwayTeam]:[AwayTeam]], $A47, Table1[[HomeTeam]:[HomeTeam]], P$36, Table1[[ActualResult]:[ActualResult]], "SO") + SUMIFS(Table1[[AwayWon]:[AwayWon]], Table1[[GameIsOver]:[GameIsOver]], 1, Table1[[HomeTeam]:[HomeTeam]], $A47, Table1[[AwayTeam]:[AwayTeam]], P$36, Table1[[ActualResult]:[ActualResult]], "SO")))/ (2*((COUNTIFS(Table1[[GameIsOver]:[GameIsOver]],1,Table1[[AwayTeam]:[AwayTeam]],$A47, Table1[[HomeTeam]:[HomeTeam]], P$36)))+( COUNTIFS(Table1[[GameIsOver]:[GameIsOver]],1,Table1[[AwayTeam]:[AwayTeam]],P$36, Table1[[HomeTeam]:[HomeTeam]],$A47))), "")</f>
        <v/>
      </c>
      <c r="Q47" s="38" t="str">
        <f>IFERROR(((2 * (SUMIFS(Table1[[AwayWon]:[AwayWon]], Table1[[GameIsOver]:[GameIsOver]], 1, Table1[[AwayTeam]:[AwayTeam]], $A47, Table1[[HomeTeam]:[HomeTeam]], Q$36) + SUMIFS(Table1[[HomeWon]:[HomeWon]], Table1[[GameIsOver]:[GameIsOver]], 1, Table1[[HomeTeam]:[HomeTeam]], $A47, Table1[[AwayTeam]:[AwayTeam]], Q$36))) + (SUMIFS(Table1[[HomeWon]:[HomeWon]], Table1[[GameIsOver]:[GameIsOver]], 1, Table1[[AwayTeam]:[AwayTeam]], $A47, Table1[[HomeTeam]:[HomeTeam]],  Q$36, Table1[[ActualResult]:[ActualResult]], "OT") + SUMIFS(Table1[[AwayWon]:[AwayWon]], Table1[[GameIsOver]:[GameIsOver]], 1, Table1[[HomeTeam]:[HomeTeam]], $A47, Table1[[AwayTeam]:[AwayTeam]], Q$36, Table1[[ActualResult]:[ActualResult]], "OT") + SUMIFS(Table1[[HomeWon]:[HomeWon]], Table1[[GameIsOver]:[GameIsOver]], 1, Table1[[AwayTeam]:[AwayTeam]], $A47, Table1[[HomeTeam]:[HomeTeam]], Q$36, Table1[[ActualResult]:[ActualResult]], "SO") + SUMIFS(Table1[[AwayWon]:[AwayWon]], Table1[[GameIsOver]:[GameIsOver]], 1, Table1[[HomeTeam]:[HomeTeam]], $A47, Table1[[AwayTeam]:[AwayTeam]], Q$36, Table1[[ActualResult]:[ActualResult]], "SO")))/ (2*((COUNTIFS(Table1[[GameIsOver]:[GameIsOver]],1,Table1[[AwayTeam]:[AwayTeam]],$A47, Table1[[HomeTeam]:[HomeTeam]], Q$36)))+( COUNTIFS(Table1[[GameIsOver]:[GameIsOver]],1,Table1[[AwayTeam]:[AwayTeam]],Q$36, Table1[[HomeTeam]:[HomeTeam]],$A47))), "")</f>
        <v/>
      </c>
      <c r="R47" s="36" t="str">
        <f>IFERROR(((2 * (SUMIFS(Table1[[AwayWon]:[AwayWon]], Table1[[GameIsOver]:[GameIsOver]], 1, Table1[[AwayTeam]:[AwayTeam]], $A47, Table1[[HomeTeam]:[HomeTeam]], R$36) + SUMIFS(Table1[[HomeWon]:[HomeWon]], Table1[[GameIsOver]:[GameIsOver]], 1, Table1[[HomeTeam]:[HomeTeam]], $A47, Table1[[AwayTeam]:[AwayTeam]], R$36))) + (SUMIFS(Table1[[HomeWon]:[HomeWon]], Table1[[GameIsOver]:[GameIsOver]], 1, Table1[[AwayTeam]:[AwayTeam]], $A47, Table1[[HomeTeam]:[HomeTeam]],  R$36, Table1[[ActualResult]:[ActualResult]], "OT") + SUMIFS(Table1[[AwayWon]:[AwayWon]], Table1[[GameIsOver]:[GameIsOver]], 1, Table1[[HomeTeam]:[HomeTeam]], $A47, Table1[[AwayTeam]:[AwayTeam]], R$36, Table1[[ActualResult]:[ActualResult]], "OT") + SUMIFS(Table1[[HomeWon]:[HomeWon]], Table1[[GameIsOver]:[GameIsOver]], 1, Table1[[AwayTeam]:[AwayTeam]], $A47, Table1[[HomeTeam]:[HomeTeam]], R$36, Table1[[ActualResult]:[ActualResult]], "SO") + SUMIFS(Table1[[AwayWon]:[AwayWon]], Table1[[GameIsOver]:[GameIsOver]], 1, Table1[[HomeTeam]:[HomeTeam]], $A47, Table1[[AwayTeam]:[AwayTeam]], R$36, Table1[[ActualResult]:[ActualResult]], "SO")))/ (2*((COUNTIFS(Table1[[GameIsOver]:[GameIsOver]],1,Table1[[AwayTeam]:[AwayTeam]],$A47, Table1[[HomeTeam]:[HomeTeam]], R$36)))+( COUNTIFS(Table1[[GameIsOver]:[GameIsOver]],1,Table1[[AwayTeam]:[AwayTeam]],R$36, Table1[[HomeTeam]:[HomeTeam]],$A47))), "")</f>
        <v/>
      </c>
      <c r="S47" s="36" t="str">
        <f>IFERROR(((2 * (SUMIFS(Table1[[AwayWon]:[AwayWon]], Table1[[GameIsOver]:[GameIsOver]], 1, Table1[[AwayTeam]:[AwayTeam]], $A47, Table1[[HomeTeam]:[HomeTeam]], S$36) + SUMIFS(Table1[[HomeWon]:[HomeWon]], Table1[[GameIsOver]:[GameIsOver]], 1, Table1[[HomeTeam]:[HomeTeam]], $A47, Table1[[AwayTeam]:[AwayTeam]], S$36))) + (SUMIFS(Table1[[HomeWon]:[HomeWon]], Table1[[GameIsOver]:[GameIsOver]], 1, Table1[[AwayTeam]:[AwayTeam]], $A47, Table1[[HomeTeam]:[HomeTeam]],  S$36, Table1[[ActualResult]:[ActualResult]], "OT") + SUMIFS(Table1[[AwayWon]:[AwayWon]], Table1[[GameIsOver]:[GameIsOver]], 1, Table1[[HomeTeam]:[HomeTeam]], $A47, Table1[[AwayTeam]:[AwayTeam]], S$36, Table1[[ActualResult]:[ActualResult]], "OT") + SUMIFS(Table1[[HomeWon]:[HomeWon]], Table1[[GameIsOver]:[GameIsOver]], 1, Table1[[AwayTeam]:[AwayTeam]], $A47, Table1[[HomeTeam]:[HomeTeam]], S$36, Table1[[ActualResult]:[ActualResult]], "SO") + SUMIFS(Table1[[AwayWon]:[AwayWon]], Table1[[GameIsOver]:[GameIsOver]], 1, Table1[[HomeTeam]:[HomeTeam]], $A47, Table1[[AwayTeam]:[AwayTeam]], S$36, Table1[[ActualResult]:[ActualResult]], "SO")))/ (2*((COUNTIFS(Table1[[GameIsOver]:[GameIsOver]],1,Table1[[AwayTeam]:[AwayTeam]],$A47, Table1[[HomeTeam]:[HomeTeam]], S$36)))+( COUNTIFS(Table1[[GameIsOver]:[GameIsOver]],1,Table1[[AwayTeam]:[AwayTeam]],S$36, Table1[[HomeTeam]:[HomeTeam]],$A47))), "")</f>
        <v/>
      </c>
      <c r="T47" s="36" t="str">
        <f>IFERROR(((2 * (SUMIFS(Table1[[AwayWon]:[AwayWon]], Table1[[GameIsOver]:[GameIsOver]], 1, Table1[[AwayTeam]:[AwayTeam]], $A47, Table1[[HomeTeam]:[HomeTeam]], T$36) + SUMIFS(Table1[[HomeWon]:[HomeWon]], Table1[[GameIsOver]:[GameIsOver]], 1, Table1[[HomeTeam]:[HomeTeam]], $A47, Table1[[AwayTeam]:[AwayTeam]], T$36))) + (SUMIFS(Table1[[HomeWon]:[HomeWon]], Table1[[GameIsOver]:[GameIsOver]], 1, Table1[[AwayTeam]:[AwayTeam]], $A47, Table1[[HomeTeam]:[HomeTeam]],  T$36, Table1[[ActualResult]:[ActualResult]], "OT") + SUMIFS(Table1[[AwayWon]:[AwayWon]], Table1[[GameIsOver]:[GameIsOver]], 1, Table1[[HomeTeam]:[HomeTeam]], $A47, Table1[[AwayTeam]:[AwayTeam]], T$36, Table1[[ActualResult]:[ActualResult]], "OT") + SUMIFS(Table1[[HomeWon]:[HomeWon]], Table1[[GameIsOver]:[GameIsOver]], 1, Table1[[AwayTeam]:[AwayTeam]], $A47, Table1[[HomeTeam]:[HomeTeam]], T$36, Table1[[ActualResult]:[ActualResult]], "SO") + SUMIFS(Table1[[AwayWon]:[AwayWon]], Table1[[GameIsOver]:[GameIsOver]], 1, Table1[[HomeTeam]:[HomeTeam]], $A47, Table1[[AwayTeam]:[AwayTeam]], T$36, Table1[[ActualResult]:[ActualResult]], "SO")))/ (2*((COUNTIFS(Table1[[GameIsOver]:[GameIsOver]],1,Table1[[AwayTeam]:[AwayTeam]],$A47, Table1[[HomeTeam]:[HomeTeam]], T$36)))+( COUNTIFS(Table1[[GameIsOver]:[GameIsOver]],1,Table1[[AwayTeam]:[AwayTeam]],T$36, Table1[[HomeTeam]:[HomeTeam]],$A47))), "")</f>
        <v/>
      </c>
      <c r="U47" s="36" t="str">
        <f>IFERROR(((2 * (SUMIFS(Table1[[AwayWon]:[AwayWon]], Table1[[GameIsOver]:[GameIsOver]], 1, Table1[[AwayTeam]:[AwayTeam]], $A47, Table1[[HomeTeam]:[HomeTeam]], U$36) + SUMIFS(Table1[[HomeWon]:[HomeWon]], Table1[[GameIsOver]:[GameIsOver]], 1, Table1[[HomeTeam]:[HomeTeam]], $A47, Table1[[AwayTeam]:[AwayTeam]], U$36))) + (SUMIFS(Table1[[HomeWon]:[HomeWon]], Table1[[GameIsOver]:[GameIsOver]], 1, Table1[[AwayTeam]:[AwayTeam]], $A47, Table1[[HomeTeam]:[HomeTeam]],  U$36, Table1[[ActualResult]:[ActualResult]], "OT") + SUMIFS(Table1[[AwayWon]:[AwayWon]], Table1[[GameIsOver]:[GameIsOver]], 1, Table1[[HomeTeam]:[HomeTeam]], $A47, Table1[[AwayTeam]:[AwayTeam]], U$36, Table1[[ActualResult]:[ActualResult]], "OT") + SUMIFS(Table1[[HomeWon]:[HomeWon]], Table1[[GameIsOver]:[GameIsOver]], 1, Table1[[AwayTeam]:[AwayTeam]], $A47, Table1[[HomeTeam]:[HomeTeam]], U$36, Table1[[ActualResult]:[ActualResult]], "SO") + SUMIFS(Table1[[AwayWon]:[AwayWon]], Table1[[GameIsOver]:[GameIsOver]], 1, Table1[[HomeTeam]:[HomeTeam]], $A47, Table1[[AwayTeam]:[AwayTeam]], U$36, Table1[[ActualResult]:[ActualResult]], "SO")))/ (2*((COUNTIFS(Table1[[GameIsOver]:[GameIsOver]],1,Table1[[AwayTeam]:[AwayTeam]],$A47, Table1[[HomeTeam]:[HomeTeam]], U$36)))+( COUNTIFS(Table1[[GameIsOver]:[GameIsOver]],1,Table1[[AwayTeam]:[AwayTeam]],U$36, Table1[[HomeTeam]:[HomeTeam]],$A47))), "")</f>
        <v/>
      </c>
      <c r="V47" s="36" t="str">
        <f>IFERROR(((2 * (SUMIFS(Table1[[AwayWon]:[AwayWon]], Table1[[GameIsOver]:[GameIsOver]], 1, Table1[[AwayTeam]:[AwayTeam]], $A47, Table1[[HomeTeam]:[HomeTeam]], V$36) + SUMIFS(Table1[[HomeWon]:[HomeWon]], Table1[[GameIsOver]:[GameIsOver]], 1, Table1[[HomeTeam]:[HomeTeam]], $A47, Table1[[AwayTeam]:[AwayTeam]], V$36))) + (SUMIFS(Table1[[HomeWon]:[HomeWon]], Table1[[GameIsOver]:[GameIsOver]], 1, Table1[[AwayTeam]:[AwayTeam]], $A47, Table1[[HomeTeam]:[HomeTeam]],  V$36, Table1[[ActualResult]:[ActualResult]], "OT") + SUMIFS(Table1[[AwayWon]:[AwayWon]], Table1[[GameIsOver]:[GameIsOver]], 1, Table1[[HomeTeam]:[HomeTeam]], $A47, Table1[[AwayTeam]:[AwayTeam]], V$36, Table1[[ActualResult]:[ActualResult]], "OT") + SUMIFS(Table1[[HomeWon]:[HomeWon]], Table1[[GameIsOver]:[GameIsOver]], 1, Table1[[AwayTeam]:[AwayTeam]], $A47, Table1[[HomeTeam]:[HomeTeam]], V$36, Table1[[ActualResult]:[ActualResult]], "SO") + SUMIFS(Table1[[AwayWon]:[AwayWon]], Table1[[GameIsOver]:[GameIsOver]], 1, Table1[[HomeTeam]:[HomeTeam]], $A47, Table1[[AwayTeam]:[AwayTeam]], V$36, Table1[[ActualResult]:[ActualResult]], "SO")))/ (2*((COUNTIFS(Table1[[GameIsOver]:[GameIsOver]],1,Table1[[AwayTeam]:[AwayTeam]],$A47, Table1[[HomeTeam]:[HomeTeam]], V$36)))+( COUNTIFS(Table1[[GameIsOver]:[GameIsOver]],1,Table1[[AwayTeam]:[AwayTeam]],V$36, Table1[[HomeTeam]:[HomeTeam]],$A47))), "")</f>
        <v/>
      </c>
      <c r="W47" s="36" t="str">
        <f>IFERROR(((2 * (SUMIFS(Table1[[AwayWon]:[AwayWon]], Table1[[GameIsOver]:[GameIsOver]], 1, Table1[[AwayTeam]:[AwayTeam]], $A47, Table1[[HomeTeam]:[HomeTeam]], W$36) + SUMIFS(Table1[[HomeWon]:[HomeWon]], Table1[[GameIsOver]:[GameIsOver]], 1, Table1[[HomeTeam]:[HomeTeam]], $A47, Table1[[AwayTeam]:[AwayTeam]], W$36))) + (SUMIFS(Table1[[HomeWon]:[HomeWon]], Table1[[GameIsOver]:[GameIsOver]], 1, Table1[[AwayTeam]:[AwayTeam]], $A47, Table1[[HomeTeam]:[HomeTeam]],  W$36, Table1[[ActualResult]:[ActualResult]], "OT") + SUMIFS(Table1[[AwayWon]:[AwayWon]], Table1[[GameIsOver]:[GameIsOver]], 1, Table1[[HomeTeam]:[HomeTeam]], $A47, Table1[[AwayTeam]:[AwayTeam]], W$36, Table1[[ActualResult]:[ActualResult]], "OT") + SUMIFS(Table1[[HomeWon]:[HomeWon]], Table1[[GameIsOver]:[GameIsOver]], 1, Table1[[AwayTeam]:[AwayTeam]], $A47, Table1[[HomeTeam]:[HomeTeam]], W$36, Table1[[ActualResult]:[ActualResult]], "SO") + SUMIFS(Table1[[AwayWon]:[AwayWon]], Table1[[GameIsOver]:[GameIsOver]], 1, Table1[[HomeTeam]:[HomeTeam]], $A47, Table1[[AwayTeam]:[AwayTeam]], W$36, Table1[[ActualResult]:[ActualResult]], "SO")))/ (2*((COUNTIFS(Table1[[GameIsOver]:[GameIsOver]],1,Table1[[AwayTeam]:[AwayTeam]],$A47, Table1[[HomeTeam]:[HomeTeam]], W$36)))+( COUNTIFS(Table1[[GameIsOver]:[GameIsOver]],1,Table1[[AwayTeam]:[AwayTeam]],W$36, Table1[[HomeTeam]:[HomeTeam]],$A47))), "")</f>
        <v/>
      </c>
      <c r="X47" s="36" t="str">
        <f>IFERROR(((2 * (SUMIFS(Table1[[AwayWon]:[AwayWon]], Table1[[GameIsOver]:[GameIsOver]], 1, Table1[[AwayTeam]:[AwayTeam]], $A47, Table1[[HomeTeam]:[HomeTeam]], X$36) + SUMIFS(Table1[[HomeWon]:[HomeWon]], Table1[[GameIsOver]:[GameIsOver]], 1, Table1[[HomeTeam]:[HomeTeam]], $A47, Table1[[AwayTeam]:[AwayTeam]], X$36))) + (SUMIFS(Table1[[HomeWon]:[HomeWon]], Table1[[GameIsOver]:[GameIsOver]], 1, Table1[[AwayTeam]:[AwayTeam]], $A47, Table1[[HomeTeam]:[HomeTeam]],  X$36, Table1[[ActualResult]:[ActualResult]], "OT") + SUMIFS(Table1[[AwayWon]:[AwayWon]], Table1[[GameIsOver]:[GameIsOver]], 1, Table1[[HomeTeam]:[HomeTeam]], $A47, Table1[[AwayTeam]:[AwayTeam]], X$36, Table1[[ActualResult]:[ActualResult]], "OT") + SUMIFS(Table1[[HomeWon]:[HomeWon]], Table1[[GameIsOver]:[GameIsOver]], 1, Table1[[AwayTeam]:[AwayTeam]], $A47, Table1[[HomeTeam]:[HomeTeam]], X$36, Table1[[ActualResult]:[ActualResult]], "SO") + SUMIFS(Table1[[AwayWon]:[AwayWon]], Table1[[GameIsOver]:[GameIsOver]], 1, Table1[[HomeTeam]:[HomeTeam]], $A47, Table1[[AwayTeam]:[AwayTeam]], X$36, Table1[[ActualResult]:[ActualResult]], "SO")))/ (2*((COUNTIFS(Table1[[GameIsOver]:[GameIsOver]],1,Table1[[AwayTeam]:[AwayTeam]],$A47, Table1[[HomeTeam]:[HomeTeam]], X$36)))+( COUNTIFS(Table1[[GameIsOver]:[GameIsOver]],1,Table1[[AwayTeam]:[AwayTeam]],X$36, Table1[[HomeTeam]:[HomeTeam]],$A47))), "")</f>
        <v/>
      </c>
      <c r="Y47" s="38" t="str">
        <f>IFERROR(((2 * (SUMIFS(Table1[[AwayWon]:[AwayWon]], Table1[[GameIsOver]:[GameIsOver]], 1, Table1[[AwayTeam]:[AwayTeam]], $A47, Table1[[HomeTeam]:[HomeTeam]], Y$36) + SUMIFS(Table1[[HomeWon]:[HomeWon]], Table1[[GameIsOver]:[GameIsOver]], 1, Table1[[HomeTeam]:[HomeTeam]], $A47, Table1[[AwayTeam]:[AwayTeam]], Y$36))) + (SUMIFS(Table1[[HomeWon]:[HomeWon]], Table1[[GameIsOver]:[GameIsOver]], 1, Table1[[AwayTeam]:[AwayTeam]], $A47, Table1[[HomeTeam]:[HomeTeam]],  Y$36, Table1[[ActualResult]:[ActualResult]], "OT") + SUMIFS(Table1[[AwayWon]:[AwayWon]], Table1[[GameIsOver]:[GameIsOver]], 1, Table1[[HomeTeam]:[HomeTeam]], $A47, Table1[[AwayTeam]:[AwayTeam]], Y$36, Table1[[ActualResult]:[ActualResult]], "OT") + SUMIFS(Table1[[HomeWon]:[HomeWon]], Table1[[GameIsOver]:[GameIsOver]], 1, Table1[[AwayTeam]:[AwayTeam]], $A47, Table1[[HomeTeam]:[HomeTeam]], Y$36, Table1[[ActualResult]:[ActualResult]], "SO") + SUMIFS(Table1[[AwayWon]:[AwayWon]], Table1[[GameIsOver]:[GameIsOver]], 1, Table1[[HomeTeam]:[HomeTeam]], $A47, Table1[[AwayTeam]:[AwayTeam]], Y$36, Table1[[ActualResult]:[ActualResult]], "SO")))/ (2*((COUNTIFS(Table1[[GameIsOver]:[GameIsOver]],1,Table1[[AwayTeam]:[AwayTeam]],$A47, Table1[[HomeTeam]:[HomeTeam]], Y$36)))+( COUNTIFS(Table1[[GameIsOver]:[GameIsOver]],1,Table1[[AwayTeam]:[AwayTeam]],Y$36, Table1[[HomeTeam]:[HomeTeam]],$A47))), "")</f>
        <v/>
      </c>
      <c r="Z47" s="36" t="str">
        <f>IFERROR(((2 * (SUMIFS(Table1[[AwayWon]:[AwayWon]], Table1[[GameIsOver]:[GameIsOver]], 1, Table1[[AwayTeam]:[AwayTeam]], $A47, Table1[[HomeTeam]:[HomeTeam]], Z$36) + SUMIFS(Table1[[HomeWon]:[HomeWon]], Table1[[GameIsOver]:[GameIsOver]], 1, Table1[[HomeTeam]:[HomeTeam]], $A47, Table1[[AwayTeam]:[AwayTeam]], Z$36))) + (SUMIFS(Table1[[HomeWon]:[HomeWon]], Table1[[GameIsOver]:[GameIsOver]], 1, Table1[[AwayTeam]:[AwayTeam]], $A47, Table1[[HomeTeam]:[HomeTeam]],  Z$36, Table1[[ActualResult]:[ActualResult]], "OT") + SUMIFS(Table1[[AwayWon]:[AwayWon]], Table1[[GameIsOver]:[GameIsOver]], 1, Table1[[HomeTeam]:[HomeTeam]], $A47, Table1[[AwayTeam]:[AwayTeam]], Z$36, Table1[[ActualResult]:[ActualResult]], "OT") + SUMIFS(Table1[[HomeWon]:[HomeWon]], Table1[[GameIsOver]:[GameIsOver]], 1, Table1[[AwayTeam]:[AwayTeam]], $A47, Table1[[HomeTeam]:[HomeTeam]], Z$36, Table1[[ActualResult]:[ActualResult]], "SO") + SUMIFS(Table1[[AwayWon]:[AwayWon]], Table1[[GameIsOver]:[GameIsOver]], 1, Table1[[HomeTeam]:[HomeTeam]], $A47, Table1[[AwayTeam]:[AwayTeam]], Z$36, Table1[[ActualResult]:[ActualResult]], "SO")))/ (2*((COUNTIFS(Table1[[GameIsOver]:[GameIsOver]],1,Table1[[AwayTeam]:[AwayTeam]],$A47, Table1[[HomeTeam]:[HomeTeam]], Z$36)))+( COUNTIFS(Table1[[GameIsOver]:[GameIsOver]],1,Table1[[AwayTeam]:[AwayTeam]],Z$36, Table1[[HomeTeam]:[HomeTeam]],$A47))), "")</f>
        <v/>
      </c>
      <c r="AA47" s="36" t="str">
        <f>IFERROR(((2 * (SUMIFS(Table1[[AwayWon]:[AwayWon]], Table1[[GameIsOver]:[GameIsOver]], 1, Table1[[AwayTeam]:[AwayTeam]], $A47, Table1[[HomeTeam]:[HomeTeam]], AA$36) + SUMIFS(Table1[[HomeWon]:[HomeWon]], Table1[[GameIsOver]:[GameIsOver]], 1, Table1[[HomeTeam]:[HomeTeam]], $A47, Table1[[AwayTeam]:[AwayTeam]], AA$36))) + (SUMIFS(Table1[[HomeWon]:[HomeWon]], Table1[[GameIsOver]:[GameIsOver]], 1, Table1[[AwayTeam]:[AwayTeam]], $A47, Table1[[HomeTeam]:[HomeTeam]],  AA$36, Table1[[ActualResult]:[ActualResult]], "OT") + SUMIFS(Table1[[AwayWon]:[AwayWon]], Table1[[GameIsOver]:[GameIsOver]], 1, Table1[[HomeTeam]:[HomeTeam]], $A47, Table1[[AwayTeam]:[AwayTeam]], AA$36, Table1[[ActualResult]:[ActualResult]], "OT") + SUMIFS(Table1[[HomeWon]:[HomeWon]], Table1[[GameIsOver]:[GameIsOver]], 1, Table1[[AwayTeam]:[AwayTeam]], $A47, Table1[[HomeTeam]:[HomeTeam]], AA$36, Table1[[ActualResult]:[ActualResult]], "SO") + SUMIFS(Table1[[AwayWon]:[AwayWon]], Table1[[GameIsOver]:[GameIsOver]], 1, Table1[[HomeTeam]:[HomeTeam]], $A47, Table1[[AwayTeam]:[AwayTeam]], AA$36, Table1[[ActualResult]:[ActualResult]], "SO")))/ (2*((COUNTIFS(Table1[[GameIsOver]:[GameIsOver]],1,Table1[[AwayTeam]:[AwayTeam]],$A47, Table1[[HomeTeam]:[HomeTeam]], AA$36)))+( COUNTIFS(Table1[[GameIsOver]:[GameIsOver]],1,Table1[[AwayTeam]:[AwayTeam]],AA$36, Table1[[HomeTeam]:[HomeTeam]],$A47))), "")</f>
        <v/>
      </c>
      <c r="AB47" s="36" t="str">
        <f>IFERROR(((2 * (SUMIFS(Table1[[AwayWon]:[AwayWon]], Table1[[GameIsOver]:[GameIsOver]], 1, Table1[[AwayTeam]:[AwayTeam]], $A47, Table1[[HomeTeam]:[HomeTeam]], AB$36) + SUMIFS(Table1[[HomeWon]:[HomeWon]], Table1[[GameIsOver]:[GameIsOver]], 1, Table1[[HomeTeam]:[HomeTeam]], $A47, Table1[[AwayTeam]:[AwayTeam]], AB$36))) + (SUMIFS(Table1[[HomeWon]:[HomeWon]], Table1[[GameIsOver]:[GameIsOver]], 1, Table1[[AwayTeam]:[AwayTeam]], $A47, Table1[[HomeTeam]:[HomeTeam]],  AB$36, Table1[[ActualResult]:[ActualResult]], "OT") + SUMIFS(Table1[[AwayWon]:[AwayWon]], Table1[[GameIsOver]:[GameIsOver]], 1, Table1[[HomeTeam]:[HomeTeam]], $A47, Table1[[AwayTeam]:[AwayTeam]], AB$36, Table1[[ActualResult]:[ActualResult]], "OT") + SUMIFS(Table1[[HomeWon]:[HomeWon]], Table1[[GameIsOver]:[GameIsOver]], 1, Table1[[AwayTeam]:[AwayTeam]], $A47, Table1[[HomeTeam]:[HomeTeam]], AB$36, Table1[[ActualResult]:[ActualResult]], "SO") + SUMIFS(Table1[[AwayWon]:[AwayWon]], Table1[[GameIsOver]:[GameIsOver]], 1, Table1[[HomeTeam]:[HomeTeam]], $A47, Table1[[AwayTeam]:[AwayTeam]], AB$36, Table1[[ActualResult]:[ActualResult]], "SO")))/ (2*((COUNTIFS(Table1[[GameIsOver]:[GameIsOver]],1,Table1[[AwayTeam]:[AwayTeam]],$A47, Table1[[HomeTeam]:[HomeTeam]], AB$36)))+( COUNTIFS(Table1[[GameIsOver]:[GameIsOver]],1,Table1[[AwayTeam]:[AwayTeam]],AB$36, Table1[[HomeTeam]:[HomeTeam]],$A47))), "")</f>
        <v/>
      </c>
      <c r="AC47" s="36" t="str">
        <f>IFERROR(((2 * (SUMIFS(Table1[[AwayWon]:[AwayWon]], Table1[[GameIsOver]:[GameIsOver]], 1, Table1[[AwayTeam]:[AwayTeam]], $A47, Table1[[HomeTeam]:[HomeTeam]], AC$36) + SUMIFS(Table1[[HomeWon]:[HomeWon]], Table1[[GameIsOver]:[GameIsOver]], 1, Table1[[HomeTeam]:[HomeTeam]], $A47, Table1[[AwayTeam]:[AwayTeam]], AC$36))) + (SUMIFS(Table1[[HomeWon]:[HomeWon]], Table1[[GameIsOver]:[GameIsOver]], 1, Table1[[AwayTeam]:[AwayTeam]], $A47, Table1[[HomeTeam]:[HomeTeam]],  AC$36, Table1[[ActualResult]:[ActualResult]], "OT") + SUMIFS(Table1[[AwayWon]:[AwayWon]], Table1[[GameIsOver]:[GameIsOver]], 1, Table1[[HomeTeam]:[HomeTeam]], $A47, Table1[[AwayTeam]:[AwayTeam]], AC$36, Table1[[ActualResult]:[ActualResult]], "OT") + SUMIFS(Table1[[HomeWon]:[HomeWon]], Table1[[GameIsOver]:[GameIsOver]], 1, Table1[[AwayTeam]:[AwayTeam]], $A47, Table1[[HomeTeam]:[HomeTeam]], AC$36, Table1[[ActualResult]:[ActualResult]], "SO") + SUMIFS(Table1[[AwayWon]:[AwayWon]], Table1[[GameIsOver]:[GameIsOver]], 1, Table1[[HomeTeam]:[HomeTeam]], $A47, Table1[[AwayTeam]:[AwayTeam]], AC$36, Table1[[ActualResult]:[ActualResult]], "SO")))/ (2*((COUNTIFS(Table1[[GameIsOver]:[GameIsOver]],1,Table1[[AwayTeam]:[AwayTeam]],$A47, Table1[[HomeTeam]:[HomeTeam]], AC$36)))+( COUNTIFS(Table1[[GameIsOver]:[GameIsOver]],1,Table1[[AwayTeam]:[AwayTeam]],AC$36, Table1[[HomeTeam]:[HomeTeam]],$A47))), "")</f>
        <v/>
      </c>
      <c r="AD47" s="36" t="str">
        <f>IFERROR(((2 * (SUMIFS(Table1[[AwayWon]:[AwayWon]], Table1[[GameIsOver]:[GameIsOver]], 1, Table1[[AwayTeam]:[AwayTeam]], $A47, Table1[[HomeTeam]:[HomeTeam]], AD$36) + SUMIFS(Table1[[HomeWon]:[HomeWon]], Table1[[GameIsOver]:[GameIsOver]], 1, Table1[[HomeTeam]:[HomeTeam]], $A47, Table1[[AwayTeam]:[AwayTeam]], AD$36))) + (SUMIFS(Table1[[HomeWon]:[HomeWon]], Table1[[GameIsOver]:[GameIsOver]], 1, Table1[[AwayTeam]:[AwayTeam]], $A47, Table1[[HomeTeam]:[HomeTeam]],  AD$36, Table1[[ActualResult]:[ActualResult]], "OT") + SUMIFS(Table1[[AwayWon]:[AwayWon]], Table1[[GameIsOver]:[GameIsOver]], 1, Table1[[HomeTeam]:[HomeTeam]], $A47, Table1[[AwayTeam]:[AwayTeam]], AD$36, Table1[[ActualResult]:[ActualResult]], "OT") + SUMIFS(Table1[[HomeWon]:[HomeWon]], Table1[[GameIsOver]:[GameIsOver]], 1, Table1[[AwayTeam]:[AwayTeam]], $A47, Table1[[HomeTeam]:[HomeTeam]], AD$36, Table1[[ActualResult]:[ActualResult]], "SO") + SUMIFS(Table1[[AwayWon]:[AwayWon]], Table1[[GameIsOver]:[GameIsOver]], 1, Table1[[HomeTeam]:[HomeTeam]], $A47, Table1[[AwayTeam]:[AwayTeam]], AD$36, Table1[[ActualResult]:[ActualResult]], "SO")))/ (2*((COUNTIFS(Table1[[GameIsOver]:[GameIsOver]],1,Table1[[AwayTeam]:[AwayTeam]],$A47, Table1[[HomeTeam]:[HomeTeam]], AD$36)))+( COUNTIFS(Table1[[GameIsOver]:[GameIsOver]],1,Table1[[AwayTeam]:[AwayTeam]],AD$36, Table1[[HomeTeam]:[HomeTeam]],$A47))), "")</f>
        <v/>
      </c>
      <c r="AE47" s="36" t="str">
        <f>IFERROR(((2 * (SUMIFS(Table1[[AwayWon]:[AwayWon]], Table1[[GameIsOver]:[GameIsOver]], 1, Table1[[AwayTeam]:[AwayTeam]], $A47, Table1[[HomeTeam]:[HomeTeam]], AE$36) + SUMIFS(Table1[[HomeWon]:[HomeWon]], Table1[[GameIsOver]:[GameIsOver]], 1, Table1[[HomeTeam]:[HomeTeam]], $A47, Table1[[AwayTeam]:[AwayTeam]], AE$36))) + (SUMIFS(Table1[[HomeWon]:[HomeWon]], Table1[[GameIsOver]:[GameIsOver]], 1, Table1[[AwayTeam]:[AwayTeam]], $A47, Table1[[HomeTeam]:[HomeTeam]],  AE$36, Table1[[ActualResult]:[ActualResult]], "OT") + SUMIFS(Table1[[AwayWon]:[AwayWon]], Table1[[GameIsOver]:[GameIsOver]], 1, Table1[[HomeTeam]:[HomeTeam]], $A47, Table1[[AwayTeam]:[AwayTeam]], AE$36, Table1[[ActualResult]:[ActualResult]], "OT") + SUMIFS(Table1[[HomeWon]:[HomeWon]], Table1[[GameIsOver]:[GameIsOver]], 1, Table1[[AwayTeam]:[AwayTeam]], $A47, Table1[[HomeTeam]:[HomeTeam]], AE$36, Table1[[ActualResult]:[ActualResult]], "SO") + SUMIFS(Table1[[AwayWon]:[AwayWon]], Table1[[GameIsOver]:[GameIsOver]], 1, Table1[[HomeTeam]:[HomeTeam]], $A47, Table1[[AwayTeam]:[AwayTeam]], AE$36, Table1[[ActualResult]:[ActualResult]], "SO")))/ (2*((COUNTIFS(Table1[[GameIsOver]:[GameIsOver]],1,Table1[[AwayTeam]:[AwayTeam]],$A47, Table1[[HomeTeam]:[HomeTeam]], AE$36)))+( COUNTIFS(Table1[[GameIsOver]:[GameIsOver]],1,Table1[[AwayTeam]:[AwayTeam]],AE$36, Table1[[HomeTeam]:[HomeTeam]],$A47))), "")</f>
        <v/>
      </c>
      <c r="AF47" s="36" t="str">
        <f>IFERROR(((2 * (SUMIFS(Table1[[AwayWon]:[AwayWon]], Table1[[GameIsOver]:[GameIsOver]], 1, Table1[[AwayTeam]:[AwayTeam]], $A47, Table1[[HomeTeam]:[HomeTeam]], AF$36) + SUMIFS(Table1[[HomeWon]:[HomeWon]], Table1[[GameIsOver]:[GameIsOver]], 1, Table1[[HomeTeam]:[HomeTeam]], $A47, Table1[[AwayTeam]:[AwayTeam]], AF$36))) + (SUMIFS(Table1[[HomeWon]:[HomeWon]], Table1[[GameIsOver]:[GameIsOver]], 1, Table1[[AwayTeam]:[AwayTeam]], $A47, Table1[[HomeTeam]:[HomeTeam]],  AF$36, Table1[[ActualResult]:[ActualResult]], "OT") + SUMIFS(Table1[[AwayWon]:[AwayWon]], Table1[[GameIsOver]:[GameIsOver]], 1, Table1[[HomeTeam]:[HomeTeam]], $A47, Table1[[AwayTeam]:[AwayTeam]], AF$36, Table1[[ActualResult]:[ActualResult]], "OT") + SUMIFS(Table1[[HomeWon]:[HomeWon]], Table1[[GameIsOver]:[GameIsOver]], 1, Table1[[AwayTeam]:[AwayTeam]], $A47, Table1[[HomeTeam]:[HomeTeam]], AF$36, Table1[[ActualResult]:[ActualResult]], "SO") + SUMIFS(Table1[[AwayWon]:[AwayWon]], Table1[[GameIsOver]:[GameIsOver]], 1, Table1[[HomeTeam]:[HomeTeam]], $A47, Table1[[AwayTeam]:[AwayTeam]], AF$36, Table1[[ActualResult]:[ActualResult]], "SO")))/ (2*((COUNTIFS(Table1[[GameIsOver]:[GameIsOver]],1,Table1[[AwayTeam]:[AwayTeam]],$A47, Table1[[HomeTeam]:[HomeTeam]], AF$36)))+( COUNTIFS(Table1[[GameIsOver]:[GameIsOver]],1,Table1[[AwayTeam]:[AwayTeam]],AF$36, Table1[[HomeTeam]:[HomeTeam]],$A47))), "")</f>
        <v/>
      </c>
      <c r="AG47" s="36" t="str">
        <f>IFERROR(((2 * (SUMIFS(Table1[[AwayWon]:[AwayWon]], Table1[[GameIsOver]:[GameIsOver]], 1, Table1[[AwayTeam]:[AwayTeam]], $A47, Table1[[HomeTeam]:[HomeTeam]], AG$36) + SUMIFS(Table1[[HomeWon]:[HomeWon]], Table1[[GameIsOver]:[GameIsOver]], 1, Table1[[HomeTeam]:[HomeTeam]], $A47, Table1[[AwayTeam]:[AwayTeam]], AG$36))) + (SUMIFS(Table1[[HomeWon]:[HomeWon]], Table1[[GameIsOver]:[GameIsOver]], 1, Table1[[AwayTeam]:[AwayTeam]], $A47, Table1[[HomeTeam]:[HomeTeam]],  AG$36, Table1[[ActualResult]:[ActualResult]], "OT") + SUMIFS(Table1[[AwayWon]:[AwayWon]], Table1[[GameIsOver]:[GameIsOver]], 1, Table1[[HomeTeam]:[HomeTeam]], $A47, Table1[[AwayTeam]:[AwayTeam]], AG$36, Table1[[ActualResult]:[ActualResult]], "OT") + SUMIFS(Table1[[HomeWon]:[HomeWon]], Table1[[GameIsOver]:[GameIsOver]], 1, Table1[[AwayTeam]:[AwayTeam]], $A47, Table1[[HomeTeam]:[HomeTeam]], AG$36, Table1[[ActualResult]:[ActualResult]], "SO") + SUMIFS(Table1[[AwayWon]:[AwayWon]], Table1[[GameIsOver]:[GameIsOver]], 1, Table1[[HomeTeam]:[HomeTeam]], $A47, Table1[[AwayTeam]:[AwayTeam]], AG$36, Table1[[ActualResult]:[ActualResult]], "SO")))/ (2*((COUNTIFS(Table1[[GameIsOver]:[GameIsOver]],1,Table1[[AwayTeam]:[AwayTeam]],$A47, Table1[[HomeTeam]:[HomeTeam]], AG$36)))+( COUNTIFS(Table1[[GameIsOver]:[GameIsOver]],1,Table1[[AwayTeam]:[AwayTeam]],AG$36, Table1[[HomeTeam]:[HomeTeam]],$A47))), "")</f>
        <v/>
      </c>
      <c r="AH47" s="37" t="e">
        <f t="shared" si="0"/>
        <v>#DIV/0!</v>
      </c>
      <c r="AI47" s="37" t="e">
        <f t="shared" si="1"/>
        <v>#DIV/0!</v>
      </c>
      <c r="AJ47" s="38" t="e">
        <f t="shared" si="2"/>
        <v>#DIV/0!</v>
      </c>
      <c r="AK47" s="38" t="e">
        <f t="shared" si="3"/>
        <v>#DIV/0!</v>
      </c>
      <c r="AL47" s="38" t="e">
        <f t="shared" si="4"/>
        <v>#DIV/0!</v>
      </c>
      <c r="AM47" s="38" t="e">
        <f t="shared" si="5"/>
        <v>#DIV/0!</v>
      </c>
    </row>
    <row r="48" spans="1:39" x14ac:dyDescent="0.25">
      <c r="A48" s="17" t="s">
        <v>22</v>
      </c>
      <c r="B48" s="36" t="str">
        <f>IFERROR(((2 * (SUMIFS(Table1[[AwayWon]:[AwayWon]], Table1[[GameIsOver]:[GameIsOver]], 1, Table1[[AwayTeam]:[AwayTeam]], $A48, Table1[[HomeTeam]:[HomeTeam]], B$36) + SUMIFS(Table1[[HomeWon]:[HomeWon]], Table1[[GameIsOver]:[GameIsOver]], 1, Table1[[HomeTeam]:[HomeTeam]], $A48, Table1[[AwayTeam]:[AwayTeam]], B$36))) + (SUMIFS(Table1[[HomeWon]:[HomeWon]], Table1[[GameIsOver]:[GameIsOver]], 1, Table1[[AwayTeam]:[AwayTeam]], $A48, Table1[[HomeTeam]:[HomeTeam]],  B$36, Table1[[ActualResult]:[ActualResult]], "OT") + SUMIFS(Table1[[AwayWon]:[AwayWon]], Table1[[GameIsOver]:[GameIsOver]], 1, Table1[[HomeTeam]:[HomeTeam]], $A48, Table1[[AwayTeam]:[AwayTeam]], B$36, Table1[[ActualResult]:[ActualResult]], "OT") + SUMIFS(Table1[[HomeWon]:[HomeWon]], Table1[[GameIsOver]:[GameIsOver]], 1, Table1[[AwayTeam]:[AwayTeam]], $A48, Table1[[HomeTeam]:[HomeTeam]], B$36, Table1[[ActualResult]:[ActualResult]], "SO") + SUMIFS(Table1[[AwayWon]:[AwayWon]], Table1[[GameIsOver]:[GameIsOver]], 1, Table1[[HomeTeam]:[HomeTeam]], $A48, Table1[[AwayTeam]:[AwayTeam]], B$36, Table1[[ActualResult]:[ActualResult]], "SO")))/ (2*((COUNTIFS(Table1[[GameIsOver]:[GameIsOver]],1,Table1[[AwayTeam]:[AwayTeam]],$A48, Table1[[HomeTeam]:[HomeTeam]], B$36)))+( COUNTIFS(Table1[[GameIsOver]:[GameIsOver]],1,Table1[[AwayTeam]:[AwayTeam]],B$36, Table1[[HomeTeam]:[HomeTeam]],$A48))), "")</f>
        <v/>
      </c>
      <c r="C48" s="36" t="str">
        <f>IFERROR(((2 * (SUMIFS(Table1[[AwayWon]:[AwayWon]], Table1[[GameIsOver]:[GameIsOver]], 1, Table1[[AwayTeam]:[AwayTeam]], $A48, Table1[[HomeTeam]:[HomeTeam]], C$36) + SUMIFS(Table1[[HomeWon]:[HomeWon]], Table1[[GameIsOver]:[GameIsOver]], 1, Table1[[HomeTeam]:[HomeTeam]], $A48, Table1[[AwayTeam]:[AwayTeam]], C$36))) + (SUMIFS(Table1[[HomeWon]:[HomeWon]], Table1[[GameIsOver]:[GameIsOver]], 1, Table1[[AwayTeam]:[AwayTeam]], $A48, Table1[[HomeTeam]:[HomeTeam]],  C$36, Table1[[ActualResult]:[ActualResult]], "OT") + SUMIFS(Table1[[AwayWon]:[AwayWon]], Table1[[GameIsOver]:[GameIsOver]], 1, Table1[[HomeTeam]:[HomeTeam]], $A48, Table1[[AwayTeam]:[AwayTeam]], C$36, Table1[[ActualResult]:[ActualResult]], "OT") + SUMIFS(Table1[[HomeWon]:[HomeWon]], Table1[[GameIsOver]:[GameIsOver]], 1, Table1[[AwayTeam]:[AwayTeam]], $A48, Table1[[HomeTeam]:[HomeTeam]], C$36, Table1[[ActualResult]:[ActualResult]], "SO") + SUMIFS(Table1[[AwayWon]:[AwayWon]], Table1[[GameIsOver]:[GameIsOver]], 1, Table1[[HomeTeam]:[HomeTeam]], $A48, Table1[[AwayTeam]:[AwayTeam]], C$36, Table1[[ActualResult]:[ActualResult]], "SO")))/ (2*((COUNTIFS(Table1[[GameIsOver]:[GameIsOver]],1,Table1[[AwayTeam]:[AwayTeam]],$A48, Table1[[HomeTeam]:[HomeTeam]], C$36)))+( COUNTIFS(Table1[[GameIsOver]:[GameIsOver]],1,Table1[[AwayTeam]:[AwayTeam]],C$36, Table1[[HomeTeam]:[HomeTeam]],$A48))), "")</f>
        <v/>
      </c>
      <c r="D48" s="36" t="str">
        <f>IFERROR(((2 * (SUMIFS(Table1[[AwayWon]:[AwayWon]], Table1[[GameIsOver]:[GameIsOver]], 1, Table1[[AwayTeam]:[AwayTeam]], $A48, Table1[[HomeTeam]:[HomeTeam]], D$36) + SUMIFS(Table1[[HomeWon]:[HomeWon]], Table1[[GameIsOver]:[GameIsOver]], 1, Table1[[HomeTeam]:[HomeTeam]], $A48, Table1[[AwayTeam]:[AwayTeam]], D$36))) + (SUMIFS(Table1[[HomeWon]:[HomeWon]], Table1[[GameIsOver]:[GameIsOver]], 1, Table1[[AwayTeam]:[AwayTeam]], $A48, Table1[[HomeTeam]:[HomeTeam]],  D$36, Table1[[ActualResult]:[ActualResult]], "OT") + SUMIFS(Table1[[AwayWon]:[AwayWon]], Table1[[GameIsOver]:[GameIsOver]], 1, Table1[[HomeTeam]:[HomeTeam]], $A48, Table1[[AwayTeam]:[AwayTeam]], D$36, Table1[[ActualResult]:[ActualResult]], "OT") + SUMIFS(Table1[[HomeWon]:[HomeWon]], Table1[[GameIsOver]:[GameIsOver]], 1, Table1[[AwayTeam]:[AwayTeam]], $A48, Table1[[HomeTeam]:[HomeTeam]], D$36, Table1[[ActualResult]:[ActualResult]], "SO") + SUMIFS(Table1[[AwayWon]:[AwayWon]], Table1[[GameIsOver]:[GameIsOver]], 1, Table1[[HomeTeam]:[HomeTeam]], $A48, Table1[[AwayTeam]:[AwayTeam]], D$36, Table1[[ActualResult]:[ActualResult]], "SO")))/ (2*((COUNTIFS(Table1[[GameIsOver]:[GameIsOver]],1,Table1[[AwayTeam]:[AwayTeam]],$A48, Table1[[HomeTeam]:[HomeTeam]], D$36)))+( COUNTIFS(Table1[[GameIsOver]:[GameIsOver]],1,Table1[[AwayTeam]:[AwayTeam]],D$36, Table1[[HomeTeam]:[HomeTeam]],$A48))), "")</f>
        <v/>
      </c>
      <c r="E48" s="36" t="str">
        <f>IFERROR(((2 * (SUMIFS(Table1[[AwayWon]:[AwayWon]], Table1[[GameIsOver]:[GameIsOver]], 1, Table1[[AwayTeam]:[AwayTeam]], $A48, Table1[[HomeTeam]:[HomeTeam]], E$36) + SUMIFS(Table1[[HomeWon]:[HomeWon]], Table1[[GameIsOver]:[GameIsOver]], 1, Table1[[HomeTeam]:[HomeTeam]], $A48, Table1[[AwayTeam]:[AwayTeam]], E$36))) + (SUMIFS(Table1[[HomeWon]:[HomeWon]], Table1[[GameIsOver]:[GameIsOver]], 1, Table1[[AwayTeam]:[AwayTeam]], $A48, Table1[[HomeTeam]:[HomeTeam]],  E$36, Table1[[ActualResult]:[ActualResult]], "OT") + SUMIFS(Table1[[AwayWon]:[AwayWon]], Table1[[GameIsOver]:[GameIsOver]], 1, Table1[[HomeTeam]:[HomeTeam]], $A48, Table1[[AwayTeam]:[AwayTeam]], E$36, Table1[[ActualResult]:[ActualResult]], "OT") + SUMIFS(Table1[[HomeWon]:[HomeWon]], Table1[[GameIsOver]:[GameIsOver]], 1, Table1[[AwayTeam]:[AwayTeam]], $A48, Table1[[HomeTeam]:[HomeTeam]], E$36, Table1[[ActualResult]:[ActualResult]], "SO") + SUMIFS(Table1[[AwayWon]:[AwayWon]], Table1[[GameIsOver]:[GameIsOver]], 1, Table1[[HomeTeam]:[HomeTeam]], $A48, Table1[[AwayTeam]:[AwayTeam]], E$36, Table1[[ActualResult]:[ActualResult]], "SO")))/ (2*((COUNTIFS(Table1[[GameIsOver]:[GameIsOver]],1,Table1[[AwayTeam]:[AwayTeam]],$A48, Table1[[HomeTeam]:[HomeTeam]], E$36)))+( COUNTIFS(Table1[[GameIsOver]:[GameIsOver]],1,Table1[[AwayTeam]:[AwayTeam]],E$36, Table1[[HomeTeam]:[HomeTeam]],$A48))), "")</f>
        <v/>
      </c>
      <c r="F48" s="36" t="str">
        <f>IFERROR(((2 * (SUMIFS(Table1[[AwayWon]:[AwayWon]], Table1[[GameIsOver]:[GameIsOver]], 1, Table1[[AwayTeam]:[AwayTeam]], $A48, Table1[[HomeTeam]:[HomeTeam]], F$36) + SUMIFS(Table1[[HomeWon]:[HomeWon]], Table1[[GameIsOver]:[GameIsOver]], 1, Table1[[HomeTeam]:[HomeTeam]], $A48, Table1[[AwayTeam]:[AwayTeam]], F$36))) + (SUMIFS(Table1[[HomeWon]:[HomeWon]], Table1[[GameIsOver]:[GameIsOver]], 1, Table1[[AwayTeam]:[AwayTeam]], $A48, Table1[[HomeTeam]:[HomeTeam]],  F$36, Table1[[ActualResult]:[ActualResult]], "OT") + SUMIFS(Table1[[AwayWon]:[AwayWon]], Table1[[GameIsOver]:[GameIsOver]], 1, Table1[[HomeTeam]:[HomeTeam]], $A48, Table1[[AwayTeam]:[AwayTeam]], F$36, Table1[[ActualResult]:[ActualResult]], "OT") + SUMIFS(Table1[[HomeWon]:[HomeWon]], Table1[[GameIsOver]:[GameIsOver]], 1, Table1[[AwayTeam]:[AwayTeam]], $A48, Table1[[HomeTeam]:[HomeTeam]], F$36, Table1[[ActualResult]:[ActualResult]], "SO") + SUMIFS(Table1[[AwayWon]:[AwayWon]], Table1[[GameIsOver]:[GameIsOver]], 1, Table1[[HomeTeam]:[HomeTeam]], $A48, Table1[[AwayTeam]:[AwayTeam]], F$36, Table1[[ActualResult]:[ActualResult]], "SO")))/ (2*((COUNTIFS(Table1[[GameIsOver]:[GameIsOver]],1,Table1[[AwayTeam]:[AwayTeam]],$A48, Table1[[HomeTeam]:[HomeTeam]], F$36)))+( COUNTIFS(Table1[[GameIsOver]:[GameIsOver]],1,Table1[[AwayTeam]:[AwayTeam]],F$36, Table1[[HomeTeam]:[HomeTeam]],$A48))), "")</f>
        <v/>
      </c>
      <c r="G48" s="36" t="str">
        <f>IFERROR(((2 * (SUMIFS(Table1[[AwayWon]:[AwayWon]], Table1[[GameIsOver]:[GameIsOver]], 1, Table1[[AwayTeam]:[AwayTeam]], $A48, Table1[[HomeTeam]:[HomeTeam]], G$36) + SUMIFS(Table1[[HomeWon]:[HomeWon]], Table1[[GameIsOver]:[GameIsOver]], 1, Table1[[HomeTeam]:[HomeTeam]], $A48, Table1[[AwayTeam]:[AwayTeam]], G$36))) + (SUMIFS(Table1[[HomeWon]:[HomeWon]], Table1[[GameIsOver]:[GameIsOver]], 1, Table1[[AwayTeam]:[AwayTeam]], $A48, Table1[[HomeTeam]:[HomeTeam]],  G$36, Table1[[ActualResult]:[ActualResult]], "OT") + SUMIFS(Table1[[AwayWon]:[AwayWon]], Table1[[GameIsOver]:[GameIsOver]], 1, Table1[[HomeTeam]:[HomeTeam]], $A48, Table1[[AwayTeam]:[AwayTeam]], G$36, Table1[[ActualResult]:[ActualResult]], "OT") + SUMIFS(Table1[[HomeWon]:[HomeWon]], Table1[[GameIsOver]:[GameIsOver]], 1, Table1[[AwayTeam]:[AwayTeam]], $A48, Table1[[HomeTeam]:[HomeTeam]], G$36, Table1[[ActualResult]:[ActualResult]], "SO") + SUMIFS(Table1[[AwayWon]:[AwayWon]], Table1[[GameIsOver]:[GameIsOver]], 1, Table1[[HomeTeam]:[HomeTeam]], $A48, Table1[[AwayTeam]:[AwayTeam]], G$36, Table1[[ActualResult]:[ActualResult]], "SO")))/ (2*((COUNTIFS(Table1[[GameIsOver]:[GameIsOver]],1,Table1[[AwayTeam]:[AwayTeam]],$A48, Table1[[HomeTeam]:[HomeTeam]], G$36)))+( COUNTIFS(Table1[[GameIsOver]:[GameIsOver]],1,Table1[[AwayTeam]:[AwayTeam]],G$36, Table1[[HomeTeam]:[HomeTeam]],$A48))), "")</f>
        <v/>
      </c>
      <c r="H48" s="36" t="str">
        <f>IFERROR(((2 * (SUMIFS(Table1[[AwayWon]:[AwayWon]], Table1[[GameIsOver]:[GameIsOver]], 1, Table1[[AwayTeam]:[AwayTeam]], $A48, Table1[[HomeTeam]:[HomeTeam]], H$36) + SUMIFS(Table1[[HomeWon]:[HomeWon]], Table1[[GameIsOver]:[GameIsOver]], 1, Table1[[HomeTeam]:[HomeTeam]], $A48, Table1[[AwayTeam]:[AwayTeam]], H$36))) + (SUMIFS(Table1[[HomeWon]:[HomeWon]], Table1[[GameIsOver]:[GameIsOver]], 1, Table1[[AwayTeam]:[AwayTeam]], $A48, Table1[[HomeTeam]:[HomeTeam]],  H$36, Table1[[ActualResult]:[ActualResult]], "OT") + SUMIFS(Table1[[AwayWon]:[AwayWon]], Table1[[GameIsOver]:[GameIsOver]], 1, Table1[[HomeTeam]:[HomeTeam]], $A48, Table1[[AwayTeam]:[AwayTeam]], H$36, Table1[[ActualResult]:[ActualResult]], "OT") + SUMIFS(Table1[[HomeWon]:[HomeWon]], Table1[[GameIsOver]:[GameIsOver]], 1, Table1[[AwayTeam]:[AwayTeam]], $A48, Table1[[HomeTeam]:[HomeTeam]], H$36, Table1[[ActualResult]:[ActualResult]], "SO") + SUMIFS(Table1[[AwayWon]:[AwayWon]], Table1[[GameIsOver]:[GameIsOver]], 1, Table1[[HomeTeam]:[HomeTeam]], $A48, Table1[[AwayTeam]:[AwayTeam]], H$36, Table1[[ActualResult]:[ActualResult]], "SO")))/ (2*((COUNTIFS(Table1[[GameIsOver]:[GameIsOver]],1,Table1[[AwayTeam]:[AwayTeam]],$A48, Table1[[HomeTeam]:[HomeTeam]], H$36)))+( COUNTIFS(Table1[[GameIsOver]:[GameIsOver]],1,Table1[[AwayTeam]:[AwayTeam]],H$36, Table1[[HomeTeam]:[HomeTeam]],$A48))), "")</f>
        <v/>
      </c>
      <c r="I48" s="38" t="str">
        <f>IFERROR(((2 * (SUMIFS(Table1[[AwayWon]:[AwayWon]], Table1[[GameIsOver]:[GameIsOver]], 1, Table1[[AwayTeam]:[AwayTeam]], $A48, Table1[[HomeTeam]:[HomeTeam]], I$36) + SUMIFS(Table1[[HomeWon]:[HomeWon]], Table1[[GameIsOver]:[GameIsOver]], 1, Table1[[HomeTeam]:[HomeTeam]], $A48, Table1[[AwayTeam]:[AwayTeam]], I$36))) + (SUMIFS(Table1[[HomeWon]:[HomeWon]], Table1[[GameIsOver]:[GameIsOver]], 1, Table1[[AwayTeam]:[AwayTeam]], $A48, Table1[[HomeTeam]:[HomeTeam]],  I$36, Table1[[ActualResult]:[ActualResult]], "OT") + SUMIFS(Table1[[AwayWon]:[AwayWon]], Table1[[GameIsOver]:[GameIsOver]], 1, Table1[[HomeTeam]:[HomeTeam]], $A48, Table1[[AwayTeam]:[AwayTeam]], I$36, Table1[[ActualResult]:[ActualResult]], "OT") + SUMIFS(Table1[[HomeWon]:[HomeWon]], Table1[[GameIsOver]:[GameIsOver]], 1, Table1[[AwayTeam]:[AwayTeam]], $A48, Table1[[HomeTeam]:[HomeTeam]], I$36, Table1[[ActualResult]:[ActualResult]], "SO") + SUMIFS(Table1[[AwayWon]:[AwayWon]], Table1[[GameIsOver]:[GameIsOver]], 1, Table1[[HomeTeam]:[HomeTeam]], $A48, Table1[[AwayTeam]:[AwayTeam]], I$36, Table1[[ActualResult]:[ActualResult]], "SO")))/ (2*((COUNTIFS(Table1[[GameIsOver]:[GameIsOver]],1,Table1[[AwayTeam]:[AwayTeam]],$A48, Table1[[HomeTeam]:[HomeTeam]], I$36)))+( COUNTIFS(Table1[[GameIsOver]:[GameIsOver]],1,Table1[[AwayTeam]:[AwayTeam]],I$36, Table1[[HomeTeam]:[HomeTeam]],$A48))), "")</f>
        <v/>
      </c>
      <c r="J48" s="36" t="str">
        <f>IFERROR(((2 * (SUMIFS(Table1[[AwayWon]:[AwayWon]], Table1[[GameIsOver]:[GameIsOver]], 1, Table1[[AwayTeam]:[AwayTeam]], $A48, Table1[[HomeTeam]:[HomeTeam]], J$36) + SUMIFS(Table1[[HomeWon]:[HomeWon]], Table1[[GameIsOver]:[GameIsOver]], 1, Table1[[HomeTeam]:[HomeTeam]], $A48, Table1[[AwayTeam]:[AwayTeam]], J$36))) + (SUMIFS(Table1[[HomeWon]:[HomeWon]], Table1[[GameIsOver]:[GameIsOver]], 1, Table1[[AwayTeam]:[AwayTeam]], $A48, Table1[[HomeTeam]:[HomeTeam]],  J$36, Table1[[ActualResult]:[ActualResult]], "OT") + SUMIFS(Table1[[AwayWon]:[AwayWon]], Table1[[GameIsOver]:[GameIsOver]], 1, Table1[[HomeTeam]:[HomeTeam]], $A48, Table1[[AwayTeam]:[AwayTeam]], J$36, Table1[[ActualResult]:[ActualResult]], "OT") + SUMIFS(Table1[[HomeWon]:[HomeWon]], Table1[[GameIsOver]:[GameIsOver]], 1, Table1[[AwayTeam]:[AwayTeam]], $A48, Table1[[HomeTeam]:[HomeTeam]], J$36, Table1[[ActualResult]:[ActualResult]], "SO") + SUMIFS(Table1[[AwayWon]:[AwayWon]], Table1[[GameIsOver]:[GameIsOver]], 1, Table1[[HomeTeam]:[HomeTeam]], $A48, Table1[[AwayTeam]:[AwayTeam]], J$36, Table1[[ActualResult]:[ActualResult]], "SO")))/ (2*((COUNTIFS(Table1[[GameIsOver]:[GameIsOver]],1,Table1[[AwayTeam]:[AwayTeam]],$A48, Table1[[HomeTeam]:[HomeTeam]], J$36)))+( COUNTIFS(Table1[[GameIsOver]:[GameIsOver]],1,Table1[[AwayTeam]:[AwayTeam]],J$36, Table1[[HomeTeam]:[HomeTeam]],$A48))), "")</f>
        <v/>
      </c>
      <c r="K48" s="36" t="str">
        <f>IFERROR(((2 * (SUMIFS(Table1[[AwayWon]:[AwayWon]], Table1[[GameIsOver]:[GameIsOver]], 1, Table1[[AwayTeam]:[AwayTeam]], $A48, Table1[[HomeTeam]:[HomeTeam]], K$36) + SUMIFS(Table1[[HomeWon]:[HomeWon]], Table1[[GameIsOver]:[GameIsOver]], 1, Table1[[HomeTeam]:[HomeTeam]], $A48, Table1[[AwayTeam]:[AwayTeam]], K$36))) + (SUMIFS(Table1[[HomeWon]:[HomeWon]], Table1[[GameIsOver]:[GameIsOver]], 1, Table1[[AwayTeam]:[AwayTeam]], $A48, Table1[[HomeTeam]:[HomeTeam]],  K$36, Table1[[ActualResult]:[ActualResult]], "OT") + SUMIFS(Table1[[AwayWon]:[AwayWon]], Table1[[GameIsOver]:[GameIsOver]], 1, Table1[[HomeTeam]:[HomeTeam]], $A48, Table1[[AwayTeam]:[AwayTeam]], K$36, Table1[[ActualResult]:[ActualResult]], "OT") + SUMIFS(Table1[[HomeWon]:[HomeWon]], Table1[[GameIsOver]:[GameIsOver]], 1, Table1[[AwayTeam]:[AwayTeam]], $A48, Table1[[HomeTeam]:[HomeTeam]], K$36, Table1[[ActualResult]:[ActualResult]], "SO") + SUMIFS(Table1[[AwayWon]:[AwayWon]], Table1[[GameIsOver]:[GameIsOver]], 1, Table1[[HomeTeam]:[HomeTeam]], $A48, Table1[[AwayTeam]:[AwayTeam]], K$36, Table1[[ActualResult]:[ActualResult]], "SO")))/ (2*((COUNTIFS(Table1[[GameIsOver]:[GameIsOver]],1,Table1[[AwayTeam]:[AwayTeam]],$A48, Table1[[HomeTeam]:[HomeTeam]], K$36)))+( COUNTIFS(Table1[[GameIsOver]:[GameIsOver]],1,Table1[[AwayTeam]:[AwayTeam]],K$36, Table1[[HomeTeam]:[HomeTeam]],$A48))), "")</f>
        <v/>
      </c>
      <c r="L48" s="36" t="str">
        <f>IFERROR(((2 * (SUMIFS(Table1[[AwayWon]:[AwayWon]], Table1[[GameIsOver]:[GameIsOver]], 1, Table1[[AwayTeam]:[AwayTeam]], $A48, Table1[[HomeTeam]:[HomeTeam]], L$36) + SUMIFS(Table1[[HomeWon]:[HomeWon]], Table1[[GameIsOver]:[GameIsOver]], 1, Table1[[HomeTeam]:[HomeTeam]], $A48, Table1[[AwayTeam]:[AwayTeam]], L$36))) + (SUMIFS(Table1[[HomeWon]:[HomeWon]], Table1[[GameIsOver]:[GameIsOver]], 1, Table1[[AwayTeam]:[AwayTeam]], $A48, Table1[[HomeTeam]:[HomeTeam]],  L$36, Table1[[ActualResult]:[ActualResult]], "OT") + SUMIFS(Table1[[AwayWon]:[AwayWon]], Table1[[GameIsOver]:[GameIsOver]], 1, Table1[[HomeTeam]:[HomeTeam]], $A48, Table1[[AwayTeam]:[AwayTeam]], L$36, Table1[[ActualResult]:[ActualResult]], "OT") + SUMIFS(Table1[[HomeWon]:[HomeWon]], Table1[[GameIsOver]:[GameIsOver]], 1, Table1[[AwayTeam]:[AwayTeam]], $A48, Table1[[HomeTeam]:[HomeTeam]], L$36, Table1[[ActualResult]:[ActualResult]], "SO") + SUMIFS(Table1[[AwayWon]:[AwayWon]], Table1[[GameIsOver]:[GameIsOver]], 1, Table1[[HomeTeam]:[HomeTeam]], $A48, Table1[[AwayTeam]:[AwayTeam]], L$36, Table1[[ActualResult]:[ActualResult]], "SO")))/ (2*((COUNTIFS(Table1[[GameIsOver]:[GameIsOver]],1,Table1[[AwayTeam]:[AwayTeam]],$A48, Table1[[HomeTeam]:[HomeTeam]], L$36)))+( COUNTIFS(Table1[[GameIsOver]:[GameIsOver]],1,Table1[[AwayTeam]:[AwayTeam]],L$36, Table1[[HomeTeam]:[HomeTeam]],$A48))), "")</f>
        <v/>
      </c>
      <c r="M48" s="36" t="str">
        <f>IFERROR(((2 * (SUMIFS(Table1[[AwayWon]:[AwayWon]], Table1[[GameIsOver]:[GameIsOver]], 1, Table1[[AwayTeam]:[AwayTeam]], $A48, Table1[[HomeTeam]:[HomeTeam]], M$36) + SUMIFS(Table1[[HomeWon]:[HomeWon]], Table1[[GameIsOver]:[GameIsOver]], 1, Table1[[HomeTeam]:[HomeTeam]], $A48, Table1[[AwayTeam]:[AwayTeam]], M$36))) + (SUMIFS(Table1[[HomeWon]:[HomeWon]], Table1[[GameIsOver]:[GameIsOver]], 1, Table1[[AwayTeam]:[AwayTeam]], $A48, Table1[[HomeTeam]:[HomeTeam]],  M$36, Table1[[ActualResult]:[ActualResult]], "OT") + SUMIFS(Table1[[AwayWon]:[AwayWon]], Table1[[GameIsOver]:[GameIsOver]], 1, Table1[[HomeTeam]:[HomeTeam]], $A48, Table1[[AwayTeam]:[AwayTeam]], M$36, Table1[[ActualResult]:[ActualResult]], "OT") + SUMIFS(Table1[[HomeWon]:[HomeWon]], Table1[[GameIsOver]:[GameIsOver]], 1, Table1[[AwayTeam]:[AwayTeam]], $A48, Table1[[HomeTeam]:[HomeTeam]], M$36, Table1[[ActualResult]:[ActualResult]], "SO") + SUMIFS(Table1[[AwayWon]:[AwayWon]], Table1[[GameIsOver]:[GameIsOver]], 1, Table1[[HomeTeam]:[HomeTeam]], $A48, Table1[[AwayTeam]:[AwayTeam]], M$36, Table1[[ActualResult]:[ActualResult]], "SO")))/ (2*((COUNTIFS(Table1[[GameIsOver]:[GameIsOver]],1,Table1[[AwayTeam]:[AwayTeam]],$A48, Table1[[HomeTeam]:[HomeTeam]], M$36)))+( COUNTIFS(Table1[[GameIsOver]:[GameIsOver]],1,Table1[[AwayTeam]:[AwayTeam]],M$36, Table1[[HomeTeam]:[HomeTeam]],$A48))), "")</f>
        <v/>
      </c>
      <c r="N48" s="36">
        <f>IFERROR(((2 * (SUMIFS(Table1[[AwayWon]:[AwayWon]], Table1[[GameIsOver]:[GameIsOver]], 1, Table1[[AwayTeam]:[AwayTeam]], $A48, Table1[[HomeTeam]:[HomeTeam]], N$36) + SUMIFS(Table1[[HomeWon]:[HomeWon]], Table1[[GameIsOver]:[GameIsOver]], 1, Table1[[HomeTeam]:[HomeTeam]], $A48, Table1[[AwayTeam]:[AwayTeam]], N$36))) + (SUMIFS(Table1[[HomeWon]:[HomeWon]], Table1[[GameIsOver]:[GameIsOver]], 1, Table1[[AwayTeam]:[AwayTeam]], $A48, Table1[[HomeTeam]:[HomeTeam]],  N$36, Table1[[ActualResult]:[ActualResult]], "OT") + SUMIFS(Table1[[AwayWon]:[AwayWon]], Table1[[GameIsOver]:[GameIsOver]], 1, Table1[[HomeTeam]:[HomeTeam]], $A48, Table1[[AwayTeam]:[AwayTeam]], N$36, Table1[[ActualResult]:[ActualResult]], "OT") + SUMIFS(Table1[[HomeWon]:[HomeWon]], Table1[[GameIsOver]:[GameIsOver]], 1, Table1[[AwayTeam]:[AwayTeam]], $A48, Table1[[HomeTeam]:[HomeTeam]], N$36, Table1[[ActualResult]:[ActualResult]], "SO") + SUMIFS(Table1[[AwayWon]:[AwayWon]], Table1[[GameIsOver]:[GameIsOver]], 1, Table1[[HomeTeam]:[HomeTeam]], $A48, Table1[[AwayTeam]:[AwayTeam]], N$36, Table1[[ActualResult]:[ActualResult]], "SO")))/ (2*((COUNTIFS(Table1[[GameIsOver]:[GameIsOver]],1,Table1[[AwayTeam]:[AwayTeam]],$A48, Table1[[HomeTeam]:[HomeTeam]], N$36)))+( COUNTIFS(Table1[[GameIsOver]:[GameIsOver]],1,Table1[[AwayTeam]:[AwayTeam]],N$36, Table1[[HomeTeam]:[HomeTeam]],$A48))), "")</f>
        <v>0.5</v>
      </c>
      <c r="O48" s="36" t="str">
        <f>IFERROR(((2 * (SUMIFS(Table1[[AwayWon]:[AwayWon]], Table1[[GameIsOver]:[GameIsOver]], 1, Table1[[AwayTeam]:[AwayTeam]], $A48, Table1[[HomeTeam]:[HomeTeam]], O$36) + SUMIFS(Table1[[HomeWon]:[HomeWon]], Table1[[GameIsOver]:[GameIsOver]], 1, Table1[[HomeTeam]:[HomeTeam]], $A48, Table1[[AwayTeam]:[AwayTeam]], O$36))) + (SUMIFS(Table1[[HomeWon]:[HomeWon]], Table1[[GameIsOver]:[GameIsOver]], 1, Table1[[AwayTeam]:[AwayTeam]], $A48, Table1[[HomeTeam]:[HomeTeam]],  O$36, Table1[[ActualResult]:[ActualResult]], "OT") + SUMIFS(Table1[[AwayWon]:[AwayWon]], Table1[[GameIsOver]:[GameIsOver]], 1, Table1[[HomeTeam]:[HomeTeam]], $A48, Table1[[AwayTeam]:[AwayTeam]], O$36, Table1[[ActualResult]:[ActualResult]], "OT") + SUMIFS(Table1[[HomeWon]:[HomeWon]], Table1[[GameIsOver]:[GameIsOver]], 1, Table1[[AwayTeam]:[AwayTeam]], $A48, Table1[[HomeTeam]:[HomeTeam]], O$36, Table1[[ActualResult]:[ActualResult]], "SO") + SUMIFS(Table1[[AwayWon]:[AwayWon]], Table1[[GameIsOver]:[GameIsOver]], 1, Table1[[HomeTeam]:[HomeTeam]], $A48, Table1[[AwayTeam]:[AwayTeam]], O$36, Table1[[ActualResult]:[ActualResult]], "SO")))/ (2*((COUNTIFS(Table1[[GameIsOver]:[GameIsOver]],1,Table1[[AwayTeam]:[AwayTeam]],$A48, Table1[[HomeTeam]:[HomeTeam]], O$36)))+( COUNTIFS(Table1[[GameIsOver]:[GameIsOver]],1,Table1[[AwayTeam]:[AwayTeam]],O$36, Table1[[HomeTeam]:[HomeTeam]],$A48))), "")</f>
        <v/>
      </c>
      <c r="P48" s="36" t="str">
        <f>IFERROR(((2 * (SUMIFS(Table1[[AwayWon]:[AwayWon]], Table1[[GameIsOver]:[GameIsOver]], 1, Table1[[AwayTeam]:[AwayTeam]], $A48, Table1[[HomeTeam]:[HomeTeam]], P$36) + SUMIFS(Table1[[HomeWon]:[HomeWon]], Table1[[GameIsOver]:[GameIsOver]], 1, Table1[[HomeTeam]:[HomeTeam]], $A48, Table1[[AwayTeam]:[AwayTeam]], P$36))) + (SUMIFS(Table1[[HomeWon]:[HomeWon]], Table1[[GameIsOver]:[GameIsOver]], 1, Table1[[AwayTeam]:[AwayTeam]], $A48, Table1[[HomeTeam]:[HomeTeam]],  P$36, Table1[[ActualResult]:[ActualResult]], "OT") + SUMIFS(Table1[[AwayWon]:[AwayWon]], Table1[[GameIsOver]:[GameIsOver]], 1, Table1[[HomeTeam]:[HomeTeam]], $A48, Table1[[AwayTeam]:[AwayTeam]], P$36, Table1[[ActualResult]:[ActualResult]], "OT") + SUMIFS(Table1[[HomeWon]:[HomeWon]], Table1[[GameIsOver]:[GameIsOver]], 1, Table1[[AwayTeam]:[AwayTeam]], $A48, Table1[[HomeTeam]:[HomeTeam]], P$36, Table1[[ActualResult]:[ActualResult]], "SO") + SUMIFS(Table1[[AwayWon]:[AwayWon]], Table1[[GameIsOver]:[GameIsOver]], 1, Table1[[HomeTeam]:[HomeTeam]], $A48, Table1[[AwayTeam]:[AwayTeam]], P$36, Table1[[ActualResult]:[ActualResult]], "SO")))/ (2*((COUNTIFS(Table1[[GameIsOver]:[GameIsOver]],1,Table1[[AwayTeam]:[AwayTeam]],$A48, Table1[[HomeTeam]:[HomeTeam]], P$36)))+( COUNTIFS(Table1[[GameIsOver]:[GameIsOver]],1,Table1[[AwayTeam]:[AwayTeam]],P$36, Table1[[HomeTeam]:[HomeTeam]],$A48))), "")</f>
        <v/>
      </c>
      <c r="Q48" s="38" t="str">
        <f>IFERROR(((2 * (SUMIFS(Table1[[AwayWon]:[AwayWon]], Table1[[GameIsOver]:[GameIsOver]], 1, Table1[[AwayTeam]:[AwayTeam]], $A48, Table1[[HomeTeam]:[HomeTeam]], Q$36) + SUMIFS(Table1[[HomeWon]:[HomeWon]], Table1[[GameIsOver]:[GameIsOver]], 1, Table1[[HomeTeam]:[HomeTeam]], $A48, Table1[[AwayTeam]:[AwayTeam]], Q$36))) + (SUMIFS(Table1[[HomeWon]:[HomeWon]], Table1[[GameIsOver]:[GameIsOver]], 1, Table1[[AwayTeam]:[AwayTeam]], $A48, Table1[[HomeTeam]:[HomeTeam]],  Q$36, Table1[[ActualResult]:[ActualResult]], "OT") + SUMIFS(Table1[[AwayWon]:[AwayWon]], Table1[[GameIsOver]:[GameIsOver]], 1, Table1[[HomeTeam]:[HomeTeam]], $A48, Table1[[AwayTeam]:[AwayTeam]], Q$36, Table1[[ActualResult]:[ActualResult]], "OT") + SUMIFS(Table1[[HomeWon]:[HomeWon]], Table1[[GameIsOver]:[GameIsOver]], 1, Table1[[AwayTeam]:[AwayTeam]], $A48, Table1[[HomeTeam]:[HomeTeam]], Q$36, Table1[[ActualResult]:[ActualResult]], "SO") + SUMIFS(Table1[[AwayWon]:[AwayWon]], Table1[[GameIsOver]:[GameIsOver]], 1, Table1[[HomeTeam]:[HomeTeam]], $A48, Table1[[AwayTeam]:[AwayTeam]], Q$36, Table1[[ActualResult]:[ActualResult]], "SO")))/ (2*((COUNTIFS(Table1[[GameIsOver]:[GameIsOver]],1,Table1[[AwayTeam]:[AwayTeam]],$A48, Table1[[HomeTeam]:[HomeTeam]], Q$36)))+( COUNTIFS(Table1[[GameIsOver]:[GameIsOver]],1,Table1[[AwayTeam]:[AwayTeam]],Q$36, Table1[[HomeTeam]:[HomeTeam]],$A48))), "")</f>
        <v/>
      </c>
      <c r="R48" s="36" t="str">
        <f>IFERROR(((2 * (SUMIFS(Table1[[AwayWon]:[AwayWon]], Table1[[GameIsOver]:[GameIsOver]], 1, Table1[[AwayTeam]:[AwayTeam]], $A48, Table1[[HomeTeam]:[HomeTeam]], R$36) + SUMIFS(Table1[[HomeWon]:[HomeWon]], Table1[[GameIsOver]:[GameIsOver]], 1, Table1[[HomeTeam]:[HomeTeam]], $A48, Table1[[AwayTeam]:[AwayTeam]], R$36))) + (SUMIFS(Table1[[HomeWon]:[HomeWon]], Table1[[GameIsOver]:[GameIsOver]], 1, Table1[[AwayTeam]:[AwayTeam]], $A48, Table1[[HomeTeam]:[HomeTeam]],  R$36, Table1[[ActualResult]:[ActualResult]], "OT") + SUMIFS(Table1[[AwayWon]:[AwayWon]], Table1[[GameIsOver]:[GameIsOver]], 1, Table1[[HomeTeam]:[HomeTeam]], $A48, Table1[[AwayTeam]:[AwayTeam]], R$36, Table1[[ActualResult]:[ActualResult]], "OT") + SUMIFS(Table1[[HomeWon]:[HomeWon]], Table1[[GameIsOver]:[GameIsOver]], 1, Table1[[AwayTeam]:[AwayTeam]], $A48, Table1[[HomeTeam]:[HomeTeam]], R$36, Table1[[ActualResult]:[ActualResult]], "SO") + SUMIFS(Table1[[AwayWon]:[AwayWon]], Table1[[GameIsOver]:[GameIsOver]], 1, Table1[[HomeTeam]:[HomeTeam]], $A48, Table1[[AwayTeam]:[AwayTeam]], R$36, Table1[[ActualResult]:[ActualResult]], "SO")))/ (2*((COUNTIFS(Table1[[GameIsOver]:[GameIsOver]],1,Table1[[AwayTeam]:[AwayTeam]],$A48, Table1[[HomeTeam]:[HomeTeam]], R$36)))+( COUNTIFS(Table1[[GameIsOver]:[GameIsOver]],1,Table1[[AwayTeam]:[AwayTeam]],R$36, Table1[[HomeTeam]:[HomeTeam]],$A48))), "")</f>
        <v/>
      </c>
      <c r="S48" s="36" t="str">
        <f>IFERROR(((2 * (SUMIFS(Table1[[AwayWon]:[AwayWon]], Table1[[GameIsOver]:[GameIsOver]], 1, Table1[[AwayTeam]:[AwayTeam]], $A48, Table1[[HomeTeam]:[HomeTeam]], S$36) + SUMIFS(Table1[[HomeWon]:[HomeWon]], Table1[[GameIsOver]:[GameIsOver]], 1, Table1[[HomeTeam]:[HomeTeam]], $A48, Table1[[AwayTeam]:[AwayTeam]], S$36))) + (SUMIFS(Table1[[HomeWon]:[HomeWon]], Table1[[GameIsOver]:[GameIsOver]], 1, Table1[[AwayTeam]:[AwayTeam]], $A48, Table1[[HomeTeam]:[HomeTeam]],  S$36, Table1[[ActualResult]:[ActualResult]], "OT") + SUMIFS(Table1[[AwayWon]:[AwayWon]], Table1[[GameIsOver]:[GameIsOver]], 1, Table1[[HomeTeam]:[HomeTeam]], $A48, Table1[[AwayTeam]:[AwayTeam]], S$36, Table1[[ActualResult]:[ActualResult]], "OT") + SUMIFS(Table1[[HomeWon]:[HomeWon]], Table1[[GameIsOver]:[GameIsOver]], 1, Table1[[AwayTeam]:[AwayTeam]], $A48, Table1[[HomeTeam]:[HomeTeam]], S$36, Table1[[ActualResult]:[ActualResult]], "SO") + SUMIFS(Table1[[AwayWon]:[AwayWon]], Table1[[GameIsOver]:[GameIsOver]], 1, Table1[[HomeTeam]:[HomeTeam]], $A48, Table1[[AwayTeam]:[AwayTeam]], S$36, Table1[[ActualResult]:[ActualResult]], "SO")))/ (2*((COUNTIFS(Table1[[GameIsOver]:[GameIsOver]],1,Table1[[AwayTeam]:[AwayTeam]],$A48, Table1[[HomeTeam]:[HomeTeam]], S$36)))+( COUNTIFS(Table1[[GameIsOver]:[GameIsOver]],1,Table1[[AwayTeam]:[AwayTeam]],S$36, Table1[[HomeTeam]:[HomeTeam]],$A48))), "")</f>
        <v/>
      </c>
      <c r="T48" s="36" t="str">
        <f>IFERROR(((2 * (SUMIFS(Table1[[AwayWon]:[AwayWon]], Table1[[GameIsOver]:[GameIsOver]], 1, Table1[[AwayTeam]:[AwayTeam]], $A48, Table1[[HomeTeam]:[HomeTeam]], T$36) + SUMIFS(Table1[[HomeWon]:[HomeWon]], Table1[[GameIsOver]:[GameIsOver]], 1, Table1[[HomeTeam]:[HomeTeam]], $A48, Table1[[AwayTeam]:[AwayTeam]], T$36))) + (SUMIFS(Table1[[HomeWon]:[HomeWon]], Table1[[GameIsOver]:[GameIsOver]], 1, Table1[[AwayTeam]:[AwayTeam]], $A48, Table1[[HomeTeam]:[HomeTeam]],  T$36, Table1[[ActualResult]:[ActualResult]], "OT") + SUMIFS(Table1[[AwayWon]:[AwayWon]], Table1[[GameIsOver]:[GameIsOver]], 1, Table1[[HomeTeam]:[HomeTeam]], $A48, Table1[[AwayTeam]:[AwayTeam]], T$36, Table1[[ActualResult]:[ActualResult]], "OT") + SUMIFS(Table1[[HomeWon]:[HomeWon]], Table1[[GameIsOver]:[GameIsOver]], 1, Table1[[AwayTeam]:[AwayTeam]], $A48, Table1[[HomeTeam]:[HomeTeam]], T$36, Table1[[ActualResult]:[ActualResult]], "SO") + SUMIFS(Table1[[AwayWon]:[AwayWon]], Table1[[GameIsOver]:[GameIsOver]], 1, Table1[[HomeTeam]:[HomeTeam]], $A48, Table1[[AwayTeam]:[AwayTeam]], T$36, Table1[[ActualResult]:[ActualResult]], "SO")))/ (2*((COUNTIFS(Table1[[GameIsOver]:[GameIsOver]],1,Table1[[AwayTeam]:[AwayTeam]],$A48, Table1[[HomeTeam]:[HomeTeam]], T$36)))+( COUNTIFS(Table1[[GameIsOver]:[GameIsOver]],1,Table1[[AwayTeam]:[AwayTeam]],T$36, Table1[[HomeTeam]:[HomeTeam]],$A48))), "")</f>
        <v/>
      </c>
      <c r="U48" s="36" t="str">
        <f>IFERROR(((2 * (SUMIFS(Table1[[AwayWon]:[AwayWon]], Table1[[GameIsOver]:[GameIsOver]], 1, Table1[[AwayTeam]:[AwayTeam]], $A48, Table1[[HomeTeam]:[HomeTeam]], U$36) + SUMIFS(Table1[[HomeWon]:[HomeWon]], Table1[[GameIsOver]:[GameIsOver]], 1, Table1[[HomeTeam]:[HomeTeam]], $A48, Table1[[AwayTeam]:[AwayTeam]], U$36))) + (SUMIFS(Table1[[HomeWon]:[HomeWon]], Table1[[GameIsOver]:[GameIsOver]], 1, Table1[[AwayTeam]:[AwayTeam]], $A48, Table1[[HomeTeam]:[HomeTeam]],  U$36, Table1[[ActualResult]:[ActualResult]], "OT") + SUMIFS(Table1[[AwayWon]:[AwayWon]], Table1[[GameIsOver]:[GameIsOver]], 1, Table1[[HomeTeam]:[HomeTeam]], $A48, Table1[[AwayTeam]:[AwayTeam]], U$36, Table1[[ActualResult]:[ActualResult]], "OT") + SUMIFS(Table1[[HomeWon]:[HomeWon]], Table1[[GameIsOver]:[GameIsOver]], 1, Table1[[AwayTeam]:[AwayTeam]], $A48, Table1[[HomeTeam]:[HomeTeam]], U$36, Table1[[ActualResult]:[ActualResult]], "SO") + SUMIFS(Table1[[AwayWon]:[AwayWon]], Table1[[GameIsOver]:[GameIsOver]], 1, Table1[[HomeTeam]:[HomeTeam]], $A48, Table1[[AwayTeam]:[AwayTeam]], U$36, Table1[[ActualResult]:[ActualResult]], "SO")))/ (2*((COUNTIFS(Table1[[GameIsOver]:[GameIsOver]],1,Table1[[AwayTeam]:[AwayTeam]],$A48, Table1[[HomeTeam]:[HomeTeam]], U$36)))+( COUNTIFS(Table1[[GameIsOver]:[GameIsOver]],1,Table1[[AwayTeam]:[AwayTeam]],U$36, Table1[[HomeTeam]:[HomeTeam]],$A48))), "")</f>
        <v/>
      </c>
      <c r="V48" s="36" t="str">
        <f>IFERROR(((2 * (SUMIFS(Table1[[AwayWon]:[AwayWon]], Table1[[GameIsOver]:[GameIsOver]], 1, Table1[[AwayTeam]:[AwayTeam]], $A48, Table1[[HomeTeam]:[HomeTeam]], V$36) + SUMIFS(Table1[[HomeWon]:[HomeWon]], Table1[[GameIsOver]:[GameIsOver]], 1, Table1[[HomeTeam]:[HomeTeam]], $A48, Table1[[AwayTeam]:[AwayTeam]], V$36))) + (SUMIFS(Table1[[HomeWon]:[HomeWon]], Table1[[GameIsOver]:[GameIsOver]], 1, Table1[[AwayTeam]:[AwayTeam]], $A48, Table1[[HomeTeam]:[HomeTeam]],  V$36, Table1[[ActualResult]:[ActualResult]], "OT") + SUMIFS(Table1[[AwayWon]:[AwayWon]], Table1[[GameIsOver]:[GameIsOver]], 1, Table1[[HomeTeam]:[HomeTeam]], $A48, Table1[[AwayTeam]:[AwayTeam]], V$36, Table1[[ActualResult]:[ActualResult]], "OT") + SUMIFS(Table1[[HomeWon]:[HomeWon]], Table1[[GameIsOver]:[GameIsOver]], 1, Table1[[AwayTeam]:[AwayTeam]], $A48, Table1[[HomeTeam]:[HomeTeam]], V$36, Table1[[ActualResult]:[ActualResult]], "SO") + SUMIFS(Table1[[AwayWon]:[AwayWon]], Table1[[GameIsOver]:[GameIsOver]], 1, Table1[[HomeTeam]:[HomeTeam]], $A48, Table1[[AwayTeam]:[AwayTeam]], V$36, Table1[[ActualResult]:[ActualResult]], "SO")))/ (2*((COUNTIFS(Table1[[GameIsOver]:[GameIsOver]],1,Table1[[AwayTeam]:[AwayTeam]],$A48, Table1[[HomeTeam]:[HomeTeam]], V$36)))+( COUNTIFS(Table1[[GameIsOver]:[GameIsOver]],1,Table1[[AwayTeam]:[AwayTeam]],V$36, Table1[[HomeTeam]:[HomeTeam]],$A48))), "")</f>
        <v/>
      </c>
      <c r="W48" s="36" t="str">
        <f>IFERROR(((2 * (SUMIFS(Table1[[AwayWon]:[AwayWon]], Table1[[GameIsOver]:[GameIsOver]], 1, Table1[[AwayTeam]:[AwayTeam]], $A48, Table1[[HomeTeam]:[HomeTeam]], W$36) + SUMIFS(Table1[[HomeWon]:[HomeWon]], Table1[[GameIsOver]:[GameIsOver]], 1, Table1[[HomeTeam]:[HomeTeam]], $A48, Table1[[AwayTeam]:[AwayTeam]], W$36))) + (SUMIFS(Table1[[HomeWon]:[HomeWon]], Table1[[GameIsOver]:[GameIsOver]], 1, Table1[[AwayTeam]:[AwayTeam]], $A48, Table1[[HomeTeam]:[HomeTeam]],  W$36, Table1[[ActualResult]:[ActualResult]], "OT") + SUMIFS(Table1[[AwayWon]:[AwayWon]], Table1[[GameIsOver]:[GameIsOver]], 1, Table1[[HomeTeam]:[HomeTeam]], $A48, Table1[[AwayTeam]:[AwayTeam]], W$36, Table1[[ActualResult]:[ActualResult]], "OT") + SUMIFS(Table1[[HomeWon]:[HomeWon]], Table1[[GameIsOver]:[GameIsOver]], 1, Table1[[AwayTeam]:[AwayTeam]], $A48, Table1[[HomeTeam]:[HomeTeam]], W$36, Table1[[ActualResult]:[ActualResult]], "SO") + SUMIFS(Table1[[AwayWon]:[AwayWon]], Table1[[GameIsOver]:[GameIsOver]], 1, Table1[[HomeTeam]:[HomeTeam]], $A48, Table1[[AwayTeam]:[AwayTeam]], W$36, Table1[[ActualResult]:[ActualResult]], "SO")))/ (2*((COUNTIFS(Table1[[GameIsOver]:[GameIsOver]],1,Table1[[AwayTeam]:[AwayTeam]],$A48, Table1[[HomeTeam]:[HomeTeam]], W$36)))+( COUNTIFS(Table1[[GameIsOver]:[GameIsOver]],1,Table1[[AwayTeam]:[AwayTeam]],W$36, Table1[[HomeTeam]:[HomeTeam]],$A48))), "")</f>
        <v/>
      </c>
      <c r="X48" s="36" t="str">
        <f>IFERROR(((2 * (SUMIFS(Table1[[AwayWon]:[AwayWon]], Table1[[GameIsOver]:[GameIsOver]], 1, Table1[[AwayTeam]:[AwayTeam]], $A48, Table1[[HomeTeam]:[HomeTeam]], X$36) + SUMIFS(Table1[[HomeWon]:[HomeWon]], Table1[[GameIsOver]:[GameIsOver]], 1, Table1[[HomeTeam]:[HomeTeam]], $A48, Table1[[AwayTeam]:[AwayTeam]], X$36))) + (SUMIFS(Table1[[HomeWon]:[HomeWon]], Table1[[GameIsOver]:[GameIsOver]], 1, Table1[[AwayTeam]:[AwayTeam]], $A48, Table1[[HomeTeam]:[HomeTeam]],  X$36, Table1[[ActualResult]:[ActualResult]], "OT") + SUMIFS(Table1[[AwayWon]:[AwayWon]], Table1[[GameIsOver]:[GameIsOver]], 1, Table1[[HomeTeam]:[HomeTeam]], $A48, Table1[[AwayTeam]:[AwayTeam]], X$36, Table1[[ActualResult]:[ActualResult]], "OT") + SUMIFS(Table1[[HomeWon]:[HomeWon]], Table1[[GameIsOver]:[GameIsOver]], 1, Table1[[AwayTeam]:[AwayTeam]], $A48, Table1[[HomeTeam]:[HomeTeam]], X$36, Table1[[ActualResult]:[ActualResult]], "SO") + SUMIFS(Table1[[AwayWon]:[AwayWon]], Table1[[GameIsOver]:[GameIsOver]], 1, Table1[[HomeTeam]:[HomeTeam]], $A48, Table1[[AwayTeam]:[AwayTeam]], X$36, Table1[[ActualResult]:[ActualResult]], "SO")))/ (2*((COUNTIFS(Table1[[GameIsOver]:[GameIsOver]],1,Table1[[AwayTeam]:[AwayTeam]],$A48, Table1[[HomeTeam]:[HomeTeam]], X$36)))+( COUNTIFS(Table1[[GameIsOver]:[GameIsOver]],1,Table1[[AwayTeam]:[AwayTeam]],X$36, Table1[[HomeTeam]:[HomeTeam]],$A48))), "")</f>
        <v/>
      </c>
      <c r="Y48" s="38" t="str">
        <f>IFERROR(((2 * (SUMIFS(Table1[[AwayWon]:[AwayWon]], Table1[[GameIsOver]:[GameIsOver]], 1, Table1[[AwayTeam]:[AwayTeam]], $A48, Table1[[HomeTeam]:[HomeTeam]], Y$36) + SUMIFS(Table1[[HomeWon]:[HomeWon]], Table1[[GameIsOver]:[GameIsOver]], 1, Table1[[HomeTeam]:[HomeTeam]], $A48, Table1[[AwayTeam]:[AwayTeam]], Y$36))) + (SUMIFS(Table1[[HomeWon]:[HomeWon]], Table1[[GameIsOver]:[GameIsOver]], 1, Table1[[AwayTeam]:[AwayTeam]], $A48, Table1[[HomeTeam]:[HomeTeam]],  Y$36, Table1[[ActualResult]:[ActualResult]], "OT") + SUMIFS(Table1[[AwayWon]:[AwayWon]], Table1[[GameIsOver]:[GameIsOver]], 1, Table1[[HomeTeam]:[HomeTeam]], $A48, Table1[[AwayTeam]:[AwayTeam]], Y$36, Table1[[ActualResult]:[ActualResult]], "OT") + SUMIFS(Table1[[HomeWon]:[HomeWon]], Table1[[GameIsOver]:[GameIsOver]], 1, Table1[[AwayTeam]:[AwayTeam]], $A48, Table1[[HomeTeam]:[HomeTeam]], Y$36, Table1[[ActualResult]:[ActualResult]], "SO") + SUMIFS(Table1[[AwayWon]:[AwayWon]], Table1[[GameIsOver]:[GameIsOver]], 1, Table1[[HomeTeam]:[HomeTeam]], $A48, Table1[[AwayTeam]:[AwayTeam]], Y$36, Table1[[ActualResult]:[ActualResult]], "SO")))/ (2*((COUNTIFS(Table1[[GameIsOver]:[GameIsOver]],1,Table1[[AwayTeam]:[AwayTeam]],$A48, Table1[[HomeTeam]:[HomeTeam]], Y$36)))+( COUNTIFS(Table1[[GameIsOver]:[GameIsOver]],1,Table1[[AwayTeam]:[AwayTeam]],Y$36, Table1[[HomeTeam]:[HomeTeam]],$A48))), "")</f>
        <v/>
      </c>
      <c r="Z48" s="36" t="str">
        <f>IFERROR(((2 * (SUMIFS(Table1[[AwayWon]:[AwayWon]], Table1[[GameIsOver]:[GameIsOver]], 1, Table1[[AwayTeam]:[AwayTeam]], $A48, Table1[[HomeTeam]:[HomeTeam]], Z$36) + SUMIFS(Table1[[HomeWon]:[HomeWon]], Table1[[GameIsOver]:[GameIsOver]], 1, Table1[[HomeTeam]:[HomeTeam]], $A48, Table1[[AwayTeam]:[AwayTeam]], Z$36))) + (SUMIFS(Table1[[HomeWon]:[HomeWon]], Table1[[GameIsOver]:[GameIsOver]], 1, Table1[[AwayTeam]:[AwayTeam]], $A48, Table1[[HomeTeam]:[HomeTeam]],  Z$36, Table1[[ActualResult]:[ActualResult]], "OT") + SUMIFS(Table1[[AwayWon]:[AwayWon]], Table1[[GameIsOver]:[GameIsOver]], 1, Table1[[HomeTeam]:[HomeTeam]], $A48, Table1[[AwayTeam]:[AwayTeam]], Z$36, Table1[[ActualResult]:[ActualResult]], "OT") + SUMIFS(Table1[[HomeWon]:[HomeWon]], Table1[[GameIsOver]:[GameIsOver]], 1, Table1[[AwayTeam]:[AwayTeam]], $A48, Table1[[HomeTeam]:[HomeTeam]], Z$36, Table1[[ActualResult]:[ActualResult]], "SO") + SUMIFS(Table1[[AwayWon]:[AwayWon]], Table1[[GameIsOver]:[GameIsOver]], 1, Table1[[HomeTeam]:[HomeTeam]], $A48, Table1[[AwayTeam]:[AwayTeam]], Z$36, Table1[[ActualResult]:[ActualResult]], "SO")))/ (2*((COUNTIFS(Table1[[GameIsOver]:[GameIsOver]],1,Table1[[AwayTeam]:[AwayTeam]],$A48, Table1[[HomeTeam]:[HomeTeam]], Z$36)))+( COUNTIFS(Table1[[GameIsOver]:[GameIsOver]],1,Table1[[AwayTeam]:[AwayTeam]],Z$36, Table1[[HomeTeam]:[HomeTeam]],$A48))), "")</f>
        <v/>
      </c>
      <c r="AA48" s="36" t="str">
        <f>IFERROR(((2 * (SUMIFS(Table1[[AwayWon]:[AwayWon]], Table1[[GameIsOver]:[GameIsOver]], 1, Table1[[AwayTeam]:[AwayTeam]], $A48, Table1[[HomeTeam]:[HomeTeam]], AA$36) + SUMIFS(Table1[[HomeWon]:[HomeWon]], Table1[[GameIsOver]:[GameIsOver]], 1, Table1[[HomeTeam]:[HomeTeam]], $A48, Table1[[AwayTeam]:[AwayTeam]], AA$36))) + (SUMIFS(Table1[[HomeWon]:[HomeWon]], Table1[[GameIsOver]:[GameIsOver]], 1, Table1[[AwayTeam]:[AwayTeam]], $A48, Table1[[HomeTeam]:[HomeTeam]],  AA$36, Table1[[ActualResult]:[ActualResult]], "OT") + SUMIFS(Table1[[AwayWon]:[AwayWon]], Table1[[GameIsOver]:[GameIsOver]], 1, Table1[[HomeTeam]:[HomeTeam]], $A48, Table1[[AwayTeam]:[AwayTeam]], AA$36, Table1[[ActualResult]:[ActualResult]], "OT") + SUMIFS(Table1[[HomeWon]:[HomeWon]], Table1[[GameIsOver]:[GameIsOver]], 1, Table1[[AwayTeam]:[AwayTeam]], $A48, Table1[[HomeTeam]:[HomeTeam]], AA$36, Table1[[ActualResult]:[ActualResult]], "SO") + SUMIFS(Table1[[AwayWon]:[AwayWon]], Table1[[GameIsOver]:[GameIsOver]], 1, Table1[[HomeTeam]:[HomeTeam]], $A48, Table1[[AwayTeam]:[AwayTeam]], AA$36, Table1[[ActualResult]:[ActualResult]], "SO")))/ (2*((COUNTIFS(Table1[[GameIsOver]:[GameIsOver]],1,Table1[[AwayTeam]:[AwayTeam]],$A48, Table1[[HomeTeam]:[HomeTeam]], AA$36)))+( COUNTIFS(Table1[[GameIsOver]:[GameIsOver]],1,Table1[[AwayTeam]:[AwayTeam]],AA$36, Table1[[HomeTeam]:[HomeTeam]],$A48))), "")</f>
        <v/>
      </c>
      <c r="AB48" s="36" t="str">
        <f>IFERROR(((2 * (SUMIFS(Table1[[AwayWon]:[AwayWon]], Table1[[GameIsOver]:[GameIsOver]], 1, Table1[[AwayTeam]:[AwayTeam]], $A48, Table1[[HomeTeam]:[HomeTeam]], AB$36) + SUMIFS(Table1[[HomeWon]:[HomeWon]], Table1[[GameIsOver]:[GameIsOver]], 1, Table1[[HomeTeam]:[HomeTeam]], $A48, Table1[[AwayTeam]:[AwayTeam]], AB$36))) + (SUMIFS(Table1[[HomeWon]:[HomeWon]], Table1[[GameIsOver]:[GameIsOver]], 1, Table1[[AwayTeam]:[AwayTeam]], $A48, Table1[[HomeTeam]:[HomeTeam]],  AB$36, Table1[[ActualResult]:[ActualResult]], "OT") + SUMIFS(Table1[[AwayWon]:[AwayWon]], Table1[[GameIsOver]:[GameIsOver]], 1, Table1[[HomeTeam]:[HomeTeam]], $A48, Table1[[AwayTeam]:[AwayTeam]], AB$36, Table1[[ActualResult]:[ActualResult]], "OT") + SUMIFS(Table1[[HomeWon]:[HomeWon]], Table1[[GameIsOver]:[GameIsOver]], 1, Table1[[AwayTeam]:[AwayTeam]], $A48, Table1[[HomeTeam]:[HomeTeam]], AB$36, Table1[[ActualResult]:[ActualResult]], "SO") + SUMIFS(Table1[[AwayWon]:[AwayWon]], Table1[[GameIsOver]:[GameIsOver]], 1, Table1[[HomeTeam]:[HomeTeam]], $A48, Table1[[AwayTeam]:[AwayTeam]], AB$36, Table1[[ActualResult]:[ActualResult]], "SO")))/ (2*((COUNTIFS(Table1[[GameIsOver]:[GameIsOver]],1,Table1[[AwayTeam]:[AwayTeam]],$A48, Table1[[HomeTeam]:[HomeTeam]], AB$36)))+( COUNTIFS(Table1[[GameIsOver]:[GameIsOver]],1,Table1[[AwayTeam]:[AwayTeam]],AB$36, Table1[[HomeTeam]:[HomeTeam]],$A48))), "")</f>
        <v/>
      </c>
      <c r="AC48" s="36" t="str">
        <f>IFERROR(((2 * (SUMIFS(Table1[[AwayWon]:[AwayWon]], Table1[[GameIsOver]:[GameIsOver]], 1, Table1[[AwayTeam]:[AwayTeam]], $A48, Table1[[HomeTeam]:[HomeTeam]], AC$36) + SUMIFS(Table1[[HomeWon]:[HomeWon]], Table1[[GameIsOver]:[GameIsOver]], 1, Table1[[HomeTeam]:[HomeTeam]], $A48, Table1[[AwayTeam]:[AwayTeam]], AC$36))) + (SUMIFS(Table1[[HomeWon]:[HomeWon]], Table1[[GameIsOver]:[GameIsOver]], 1, Table1[[AwayTeam]:[AwayTeam]], $A48, Table1[[HomeTeam]:[HomeTeam]],  AC$36, Table1[[ActualResult]:[ActualResult]], "OT") + SUMIFS(Table1[[AwayWon]:[AwayWon]], Table1[[GameIsOver]:[GameIsOver]], 1, Table1[[HomeTeam]:[HomeTeam]], $A48, Table1[[AwayTeam]:[AwayTeam]], AC$36, Table1[[ActualResult]:[ActualResult]], "OT") + SUMIFS(Table1[[HomeWon]:[HomeWon]], Table1[[GameIsOver]:[GameIsOver]], 1, Table1[[AwayTeam]:[AwayTeam]], $A48, Table1[[HomeTeam]:[HomeTeam]], AC$36, Table1[[ActualResult]:[ActualResult]], "SO") + SUMIFS(Table1[[AwayWon]:[AwayWon]], Table1[[GameIsOver]:[GameIsOver]], 1, Table1[[HomeTeam]:[HomeTeam]], $A48, Table1[[AwayTeam]:[AwayTeam]], AC$36, Table1[[ActualResult]:[ActualResult]], "SO")))/ (2*((COUNTIFS(Table1[[GameIsOver]:[GameIsOver]],1,Table1[[AwayTeam]:[AwayTeam]],$A48, Table1[[HomeTeam]:[HomeTeam]], AC$36)))+( COUNTIFS(Table1[[GameIsOver]:[GameIsOver]],1,Table1[[AwayTeam]:[AwayTeam]],AC$36, Table1[[HomeTeam]:[HomeTeam]],$A48))), "")</f>
        <v/>
      </c>
      <c r="AD48" s="36" t="str">
        <f>IFERROR(((2 * (SUMIFS(Table1[[AwayWon]:[AwayWon]], Table1[[GameIsOver]:[GameIsOver]], 1, Table1[[AwayTeam]:[AwayTeam]], $A48, Table1[[HomeTeam]:[HomeTeam]], AD$36) + SUMIFS(Table1[[HomeWon]:[HomeWon]], Table1[[GameIsOver]:[GameIsOver]], 1, Table1[[HomeTeam]:[HomeTeam]], $A48, Table1[[AwayTeam]:[AwayTeam]], AD$36))) + (SUMIFS(Table1[[HomeWon]:[HomeWon]], Table1[[GameIsOver]:[GameIsOver]], 1, Table1[[AwayTeam]:[AwayTeam]], $A48, Table1[[HomeTeam]:[HomeTeam]],  AD$36, Table1[[ActualResult]:[ActualResult]], "OT") + SUMIFS(Table1[[AwayWon]:[AwayWon]], Table1[[GameIsOver]:[GameIsOver]], 1, Table1[[HomeTeam]:[HomeTeam]], $A48, Table1[[AwayTeam]:[AwayTeam]], AD$36, Table1[[ActualResult]:[ActualResult]], "OT") + SUMIFS(Table1[[HomeWon]:[HomeWon]], Table1[[GameIsOver]:[GameIsOver]], 1, Table1[[AwayTeam]:[AwayTeam]], $A48, Table1[[HomeTeam]:[HomeTeam]], AD$36, Table1[[ActualResult]:[ActualResult]], "SO") + SUMIFS(Table1[[AwayWon]:[AwayWon]], Table1[[GameIsOver]:[GameIsOver]], 1, Table1[[HomeTeam]:[HomeTeam]], $A48, Table1[[AwayTeam]:[AwayTeam]], AD$36, Table1[[ActualResult]:[ActualResult]], "SO")))/ (2*((COUNTIFS(Table1[[GameIsOver]:[GameIsOver]],1,Table1[[AwayTeam]:[AwayTeam]],$A48, Table1[[HomeTeam]:[HomeTeam]], AD$36)))+( COUNTIFS(Table1[[GameIsOver]:[GameIsOver]],1,Table1[[AwayTeam]:[AwayTeam]],AD$36, Table1[[HomeTeam]:[HomeTeam]],$A48))), "")</f>
        <v/>
      </c>
      <c r="AE48" s="36" t="str">
        <f>IFERROR(((2 * (SUMIFS(Table1[[AwayWon]:[AwayWon]], Table1[[GameIsOver]:[GameIsOver]], 1, Table1[[AwayTeam]:[AwayTeam]], $A48, Table1[[HomeTeam]:[HomeTeam]], AE$36) + SUMIFS(Table1[[HomeWon]:[HomeWon]], Table1[[GameIsOver]:[GameIsOver]], 1, Table1[[HomeTeam]:[HomeTeam]], $A48, Table1[[AwayTeam]:[AwayTeam]], AE$36))) + (SUMIFS(Table1[[HomeWon]:[HomeWon]], Table1[[GameIsOver]:[GameIsOver]], 1, Table1[[AwayTeam]:[AwayTeam]], $A48, Table1[[HomeTeam]:[HomeTeam]],  AE$36, Table1[[ActualResult]:[ActualResult]], "OT") + SUMIFS(Table1[[AwayWon]:[AwayWon]], Table1[[GameIsOver]:[GameIsOver]], 1, Table1[[HomeTeam]:[HomeTeam]], $A48, Table1[[AwayTeam]:[AwayTeam]], AE$36, Table1[[ActualResult]:[ActualResult]], "OT") + SUMIFS(Table1[[HomeWon]:[HomeWon]], Table1[[GameIsOver]:[GameIsOver]], 1, Table1[[AwayTeam]:[AwayTeam]], $A48, Table1[[HomeTeam]:[HomeTeam]], AE$36, Table1[[ActualResult]:[ActualResult]], "SO") + SUMIFS(Table1[[AwayWon]:[AwayWon]], Table1[[GameIsOver]:[GameIsOver]], 1, Table1[[HomeTeam]:[HomeTeam]], $A48, Table1[[AwayTeam]:[AwayTeam]], AE$36, Table1[[ActualResult]:[ActualResult]], "SO")))/ (2*((COUNTIFS(Table1[[GameIsOver]:[GameIsOver]],1,Table1[[AwayTeam]:[AwayTeam]],$A48, Table1[[HomeTeam]:[HomeTeam]], AE$36)))+( COUNTIFS(Table1[[GameIsOver]:[GameIsOver]],1,Table1[[AwayTeam]:[AwayTeam]],AE$36, Table1[[HomeTeam]:[HomeTeam]],$A48))), "")</f>
        <v/>
      </c>
      <c r="AF48" s="36" t="str">
        <f>IFERROR(((2 * (SUMIFS(Table1[[AwayWon]:[AwayWon]], Table1[[GameIsOver]:[GameIsOver]], 1, Table1[[AwayTeam]:[AwayTeam]], $A48, Table1[[HomeTeam]:[HomeTeam]], AF$36) + SUMIFS(Table1[[HomeWon]:[HomeWon]], Table1[[GameIsOver]:[GameIsOver]], 1, Table1[[HomeTeam]:[HomeTeam]], $A48, Table1[[AwayTeam]:[AwayTeam]], AF$36))) + (SUMIFS(Table1[[HomeWon]:[HomeWon]], Table1[[GameIsOver]:[GameIsOver]], 1, Table1[[AwayTeam]:[AwayTeam]], $A48, Table1[[HomeTeam]:[HomeTeam]],  AF$36, Table1[[ActualResult]:[ActualResult]], "OT") + SUMIFS(Table1[[AwayWon]:[AwayWon]], Table1[[GameIsOver]:[GameIsOver]], 1, Table1[[HomeTeam]:[HomeTeam]], $A48, Table1[[AwayTeam]:[AwayTeam]], AF$36, Table1[[ActualResult]:[ActualResult]], "OT") + SUMIFS(Table1[[HomeWon]:[HomeWon]], Table1[[GameIsOver]:[GameIsOver]], 1, Table1[[AwayTeam]:[AwayTeam]], $A48, Table1[[HomeTeam]:[HomeTeam]], AF$36, Table1[[ActualResult]:[ActualResult]], "SO") + SUMIFS(Table1[[AwayWon]:[AwayWon]], Table1[[GameIsOver]:[GameIsOver]], 1, Table1[[HomeTeam]:[HomeTeam]], $A48, Table1[[AwayTeam]:[AwayTeam]], AF$36, Table1[[ActualResult]:[ActualResult]], "SO")))/ (2*((COUNTIFS(Table1[[GameIsOver]:[GameIsOver]],1,Table1[[AwayTeam]:[AwayTeam]],$A48, Table1[[HomeTeam]:[HomeTeam]], AF$36)))+( COUNTIFS(Table1[[GameIsOver]:[GameIsOver]],1,Table1[[AwayTeam]:[AwayTeam]],AF$36, Table1[[HomeTeam]:[HomeTeam]],$A48))), "")</f>
        <v/>
      </c>
      <c r="AG48" s="36" t="str">
        <f>IFERROR(((2 * (SUMIFS(Table1[[AwayWon]:[AwayWon]], Table1[[GameIsOver]:[GameIsOver]], 1, Table1[[AwayTeam]:[AwayTeam]], $A48, Table1[[HomeTeam]:[HomeTeam]], AG$36) + SUMIFS(Table1[[HomeWon]:[HomeWon]], Table1[[GameIsOver]:[GameIsOver]], 1, Table1[[HomeTeam]:[HomeTeam]], $A48, Table1[[AwayTeam]:[AwayTeam]], AG$36))) + (SUMIFS(Table1[[HomeWon]:[HomeWon]], Table1[[GameIsOver]:[GameIsOver]], 1, Table1[[AwayTeam]:[AwayTeam]], $A48, Table1[[HomeTeam]:[HomeTeam]],  AG$36, Table1[[ActualResult]:[ActualResult]], "OT") + SUMIFS(Table1[[AwayWon]:[AwayWon]], Table1[[GameIsOver]:[GameIsOver]], 1, Table1[[HomeTeam]:[HomeTeam]], $A48, Table1[[AwayTeam]:[AwayTeam]], AG$36, Table1[[ActualResult]:[ActualResult]], "OT") + SUMIFS(Table1[[HomeWon]:[HomeWon]], Table1[[GameIsOver]:[GameIsOver]], 1, Table1[[AwayTeam]:[AwayTeam]], $A48, Table1[[HomeTeam]:[HomeTeam]], AG$36, Table1[[ActualResult]:[ActualResult]], "SO") + SUMIFS(Table1[[AwayWon]:[AwayWon]], Table1[[GameIsOver]:[GameIsOver]], 1, Table1[[HomeTeam]:[HomeTeam]], $A48, Table1[[AwayTeam]:[AwayTeam]], AG$36, Table1[[ActualResult]:[ActualResult]], "SO")))/ (2*((COUNTIFS(Table1[[GameIsOver]:[GameIsOver]],1,Table1[[AwayTeam]:[AwayTeam]],$A48, Table1[[HomeTeam]:[HomeTeam]], AG$36)))+( COUNTIFS(Table1[[GameIsOver]:[GameIsOver]],1,Table1[[AwayTeam]:[AwayTeam]],AG$36, Table1[[HomeTeam]:[HomeTeam]],$A48))), "")</f>
        <v/>
      </c>
      <c r="AH48" s="37" t="e">
        <f t="shared" si="0"/>
        <v>#DIV/0!</v>
      </c>
      <c r="AI48" s="37">
        <f t="shared" si="1"/>
        <v>0.5</v>
      </c>
      <c r="AJ48" s="38" t="e">
        <f t="shared" si="2"/>
        <v>#DIV/0!</v>
      </c>
      <c r="AK48" s="38" t="e">
        <f t="shared" si="3"/>
        <v>#DIV/0!</v>
      </c>
      <c r="AL48" s="38">
        <f t="shared" si="4"/>
        <v>0.5</v>
      </c>
      <c r="AM48" s="38" t="e">
        <f t="shared" si="5"/>
        <v>#DIV/0!</v>
      </c>
    </row>
    <row r="49" spans="1:39" x14ac:dyDescent="0.25">
      <c r="A49" s="17" t="s">
        <v>48</v>
      </c>
      <c r="B49" s="36" t="str">
        <f>IFERROR(((2 * (SUMIFS(Table1[[AwayWon]:[AwayWon]], Table1[[GameIsOver]:[GameIsOver]], 1, Table1[[AwayTeam]:[AwayTeam]], $A49, Table1[[HomeTeam]:[HomeTeam]], B$36) + SUMIFS(Table1[[HomeWon]:[HomeWon]], Table1[[GameIsOver]:[GameIsOver]], 1, Table1[[HomeTeam]:[HomeTeam]], $A49, Table1[[AwayTeam]:[AwayTeam]], B$36))) + (SUMIFS(Table1[[HomeWon]:[HomeWon]], Table1[[GameIsOver]:[GameIsOver]], 1, Table1[[AwayTeam]:[AwayTeam]], $A49, Table1[[HomeTeam]:[HomeTeam]],  B$36, Table1[[ActualResult]:[ActualResult]], "OT") + SUMIFS(Table1[[AwayWon]:[AwayWon]], Table1[[GameIsOver]:[GameIsOver]], 1, Table1[[HomeTeam]:[HomeTeam]], $A49, Table1[[AwayTeam]:[AwayTeam]], B$36, Table1[[ActualResult]:[ActualResult]], "OT") + SUMIFS(Table1[[HomeWon]:[HomeWon]], Table1[[GameIsOver]:[GameIsOver]], 1, Table1[[AwayTeam]:[AwayTeam]], $A49, Table1[[HomeTeam]:[HomeTeam]], B$36, Table1[[ActualResult]:[ActualResult]], "SO") + SUMIFS(Table1[[AwayWon]:[AwayWon]], Table1[[GameIsOver]:[GameIsOver]], 1, Table1[[HomeTeam]:[HomeTeam]], $A49, Table1[[AwayTeam]:[AwayTeam]], B$36, Table1[[ActualResult]:[ActualResult]], "SO")))/ (2*((COUNTIFS(Table1[[GameIsOver]:[GameIsOver]],1,Table1[[AwayTeam]:[AwayTeam]],$A49, Table1[[HomeTeam]:[HomeTeam]], B$36)))+( COUNTIFS(Table1[[GameIsOver]:[GameIsOver]],1,Table1[[AwayTeam]:[AwayTeam]],B$36, Table1[[HomeTeam]:[HomeTeam]],$A49))), "")</f>
        <v/>
      </c>
      <c r="C49" s="36" t="str">
        <f>IFERROR(((2 * (SUMIFS(Table1[[AwayWon]:[AwayWon]], Table1[[GameIsOver]:[GameIsOver]], 1, Table1[[AwayTeam]:[AwayTeam]], $A49, Table1[[HomeTeam]:[HomeTeam]], C$36) + SUMIFS(Table1[[HomeWon]:[HomeWon]], Table1[[GameIsOver]:[GameIsOver]], 1, Table1[[HomeTeam]:[HomeTeam]], $A49, Table1[[AwayTeam]:[AwayTeam]], C$36))) + (SUMIFS(Table1[[HomeWon]:[HomeWon]], Table1[[GameIsOver]:[GameIsOver]], 1, Table1[[AwayTeam]:[AwayTeam]], $A49, Table1[[HomeTeam]:[HomeTeam]],  C$36, Table1[[ActualResult]:[ActualResult]], "OT") + SUMIFS(Table1[[AwayWon]:[AwayWon]], Table1[[GameIsOver]:[GameIsOver]], 1, Table1[[HomeTeam]:[HomeTeam]], $A49, Table1[[AwayTeam]:[AwayTeam]], C$36, Table1[[ActualResult]:[ActualResult]], "OT") + SUMIFS(Table1[[HomeWon]:[HomeWon]], Table1[[GameIsOver]:[GameIsOver]], 1, Table1[[AwayTeam]:[AwayTeam]], $A49, Table1[[HomeTeam]:[HomeTeam]], C$36, Table1[[ActualResult]:[ActualResult]], "SO") + SUMIFS(Table1[[AwayWon]:[AwayWon]], Table1[[GameIsOver]:[GameIsOver]], 1, Table1[[HomeTeam]:[HomeTeam]], $A49, Table1[[AwayTeam]:[AwayTeam]], C$36, Table1[[ActualResult]:[ActualResult]], "SO")))/ (2*((COUNTIFS(Table1[[GameIsOver]:[GameIsOver]],1,Table1[[AwayTeam]:[AwayTeam]],$A49, Table1[[HomeTeam]:[HomeTeam]], C$36)))+( COUNTIFS(Table1[[GameIsOver]:[GameIsOver]],1,Table1[[AwayTeam]:[AwayTeam]],C$36, Table1[[HomeTeam]:[HomeTeam]],$A49))), "")</f>
        <v/>
      </c>
      <c r="D49" s="36" t="str">
        <f>IFERROR(((2 * (SUMIFS(Table1[[AwayWon]:[AwayWon]], Table1[[GameIsOver]:[GameIsOver]], 1, Table1[[AwayTeam]:[AwayTeam]], $A49, Table1[[HomeTeam]:[HomeTeam]], D$36) + SUMIFS(Table1[[HomeWon]:[HomeWon]], Table1[[GameIsOver]:[GameIsOver]], 1, Table1[[HomeTeam]:[HomeTeam]], $A49, Table1[[AwayTeam]:[AwayTeam]], D$36))) + (SUMIFS(Table1[[HomeWon]:[HomeWon]], Table1[[GameIsOver]:[GameIsOver]], 1, Table1[[AwayTeam]:[AwayTeam]], $A49, Table1[[HomeTeam]:[HomeTeam]],  D$36, Table1[[ActualResult]:[ActualResult]], "OT") + SUMIFS(Table1[[AwayWon]:[AwayWon]], Table1[[GameIsOver]:[GameIsOver]], 1, Table1[[HomeTeam]:[HomeTeam]], $A49, Table1[[AwayTeam]:[AwayTeam]], D$36, Table1[[ActualResult]:[ActualResult]], "OT") + SUMIFS(Table1[[HomeWon]:[HomeWon]], Table1[[GameIsOver]:[GameIsOver]], 1, Table1[[AwayTeam]:[AwayTeam]], $A49, Table1[[HomeTeam]:[HomeTeam]], D$36, Table1[[ActualResult]:[ActualResult]], "SO") + SUMIFS(Table1[[AwayWon]:[AwayWon]], Table1[[GameIsOver]:[GameIsOver]], 1, Table1[[HomeTeam]:[HomeTeam]], $A49, Table1[[AwayTeam]:[AwayTeam]], D$36, Table1[[ActualResult]:[ActualResult]], "SO")))/ (2*((COUNTIFS(Table1[[GameIsOver]:[GameIsOver]],1,Table1[[AwayTeam]:[AwayTeam]],$A49, Table1[[HomeTeam]:[HomeTeam]], D$36)))+( COUNTIFS(Table1[[GameIsOver]:[GameIsOver]],1,Table1[[AwayTeam]:[AwayTeam]],D$36, Table1[[HomeTeam]:[HomeTeam]],$A49))), "")</f>
        <v/>
      </c>
      <c r="E49" s="36" t="str">
        <f>IFERROR(((2 * (SUMIFS(Table1[[AwayWon]:[AwayWon]], Table1[[GameIsOver]:[GameIsOver]], 1, Table1[[AwayTeam]:[AwayTeam]], $A49, Table1[[HomeTeam]:[HomeTeam]], E$36) + SUMIFS(Table1[[HomeWon]:[HomeWon]], Table1[[GameIsOver]:[GameIsOver]], 1, Table1[[HomeTeam]:[HomeTeam]], $A49, Table1[[AwayTeam]:[AwayTeam]], E$36))) + (SUMIFS(Table1[[HomeWon]:[HomeWon]], Table1[[GameIsOver]:[GameIsOver]], 1, Table1[[AwayTeam]:[AwayTeam]], $A49, Table1[[HomeTeam]:[HomeTeam]],  E$36, Table1[[ActualResult]:[ActualResult]], "OT") + SUMIFS(Table1[[AwayWon]:[AwayWon]], Table1[[GameIsOver]:[GameIsOver]], 1, Table1[[HomeTeam]:[HomeTeam]], $A49, Table1[[AwayTeam]:[AwayTeam]], E$36, Table1[[ActualResult]:[ActualResult]], "OT") + SUMIFS(Table1[[HomeWon]:[HomeWon]], Table1[[GameIsOver]:[GameIsOver]], 1, Table1[[AwayTeam]:[AwayTeam]], $A49, Table1[[HomeTeam]:[HomeTeam]], E$36, Table1[[ActualResult]:[ActualResult]], "SO") + SUMIFS(Table1[[AwayWon]:[AwayWon]], Table1[[GameIsOver]:[GameIsOver]], 1, Table1[[HomeTeam]:[HomeTeam]], $A49, Table1[[AwayTeam]:[AwayTeam]], E$36, Table1[[ActualResult]:[ActualResult]], "SO")))/ (2*((COUNTIFS(Table1[[GameIsOver]:[GameIsOver]],1,Table1[[AwayTeam]:[AwayTeam]],$A49, Table1[[HomeTeam]:[HomeTeam]], E$36)))+( COUNTIFS(Table1[[GameIsOver]:[GameIsOver]],1,Table1[[AwayTeam]:[AwayTeam]],E$36, Table1[[HomeTeam]:[HomeTeam]],$A49))), "")</f>
        <v/>
      </c>
      <c r="F49" s="36" t="str">
        <f>IFERROR(((2 * (SUMIFS(Table1[[AwayWon]:[AwayWon]], Table1[[GameIsOver]:[GameIsOver]], 1, Table1[[AwayTeam]:[AwayTeam]], $A49, Table1[[HomeTeam]:[HomeTeam]], F$36) + SUMIFS(Table1[[HomeWon]:[HomeWon]], Table1[[GameIsOver]:[GameIsOver]], 1, Table1[[HomeTeam]:[HomeTeam]], $A49, Table1[[AwayTeam]:[AwayTeam]], F$36))) + (SUMIFS(Table1[[HomeWon]:[HomeWon]], Table1[[GameIsOver]:[GameIsOver]], 1, Table1[[AwayTeam]:[AwayTeam]], $A49, Table1[[HomeTeam]:[HomeTeam]],  F$36, Table1[[ActualResult]:[ActualResult]], "OT") + SUMIFS(Table1[[AwayWon]:[AwayWon]], Table1[[GameIsOver]:[GameIsOver]], 1, Table1[[HomeTeam]:[HomeTeam]], $A49, Table1[[AwayTeam]:[AwayTeam]], F$36, Table1[[ActualResult]:[ActualResult]], "OT") + SUMIFS(Table1[[HomeWon]:[HomeWon]], Table1[[GameIsOver]:[GameIsOver]], 1, Table1[[AwayTeam]:[AwayTeam]], $A49, Table1[[HomeTeam]:[HomeTeam]], F$36, Table1[[ActualResult]:[ActualResult]], "SO") + SUMIFS(Table1[[AwayWon]:[AwayWon]], Table1[[GameIsOver]:[GameIsOver]], 1, Table1[[HomeTeam]:[HomeTeam]], $A49, Table1[[AwayTeam]:[AwayTeam]], F$36, Table1[[ActualResult]:[ActualResult]], "SO")))/ (2*((COUNTIFS(Table1[[GameIsOver]:[GameIsOver]],1,Table1[[AwayTeam]:[AwayTeam]],$A49, Table1[[HomeTeam]:[HomeTeam]], F$36)))+( COUNTIFS(Table1[[GameIsOver]:[GameIsOver]],1,Table1[[AwayTeam]:[AwayTeam]],F$36, Table1[[HomeTeam]:[HomeTeam]],$A49))), "")</f>
        <v/>
      </c>
      <c r="G49" s="36" t="str">
        <f>IFERROR(((2 * (SUMIFS(Table1[[AwayWon]:[AwayWon]], Table1[[GameIsOver]:[GameIsOver]], 1, Table1[[AwayTeam]:[AwayTeam]], $A49, Table1[[HomeTeam]:[HomeTeam]], G$36) + SUMIFS(Table1[[HomeWon]:[HomeWon]], Table1[[GameIsOver]:[GameIsOver]], 1, Table1[[HomeTeam]:[HomeTeam]], $A49, Table1[[AwayTeam]:[AwayTeam]], G$36))) + (SUMIFS(Table1[[HomeWon]:[HomeWon]], Table1[[GameIsOver]:[GameIsOver]], 1, Table1[[AwayTeam]:[AwayTeam]], $A49, Table1[[HomeTeam]:[HomeTeam]],  G$36, Table1[[ActualResult]:[ActualResult]], "OT") + SUMIFS(Table1[[AwayWon]:[AwayWon]], Table1[[GameIsOver]:[GameIsOver]], 1, Table1[[HomeTeam]:[HomeTeam]], $A49, Table1[[AwayTeam]:[AwayTeam]], G$36, Table1[[ActualResult]:[ActualResult]], "OT") + SUMIFS(Table1[[HomeWon]:[HomeWon]], Table1[[GameIsOver]:[GameIsOver]], 1, Table1[[AwayTeam]:[AwayTeam]], $A49, Table1[[HomeTeam]:[HomeTeam]], G$36, Table1[[ActualResult]:[ActualResult]], "SO") + SUMIFS(Table1[[AwayWon]:[AwayWon]], Table1[[GameIsOver]:[GameIsOver]], 1, Table1[[HomeTeam]:[HomeTeam]], $A49, Table1[[AwayTeam]:[AwayTeam]], G$36, Table1[[ActualResult]:[ActualResult]], "SO")))/ (2*((COUNTIFS(Table1[[GameIsOver]:[GameIsOver]],1,Table1[[AwayTeam]:[AwayTeam]],$A49, Table1[[HomeTeam]:[HomeTeam]], G$36)))+( COUNTIFS(Table1[[GameIsOver]:[GameIsOver]],1,Table1[[AwayTeam]:[AwayTeam]],G$36, Table1[[HomeTeam]:[HomeTeam]],$A49))), "")</f>
        <v/>
      </c>
      <c r="H49" s="36" t="str">
        <f>IFERROR(((2 * (SUMIFS(Table1[[AwayWon]:[AwayWon]], Table1[[GameIsOver]:[GameIsOver]], 1, Table1[[AwayTeam]:[AwayTeam]], $A49, Table1[[HomeTeam]:[HomeTeam]], H$36) + SUMIFS(Table1[[HomeWon]:[HomeWon]], Table1[[GameIsOver]:[GameIsOver]], 1, Table1[[HomeTeam]:[HomeTeam]], $A49, Table1[[AwayTeam]:[AwayTeam]], H$36))) + (SUMIFS(Table1[[HomeWon]:[HomeWon]], Table1[[GameIsOver]:[GameIsOver]], 1, Table1[[AwayTeam]:[AwayTeam]], $A49, Table1[[HomeTeam]:[HomeTeam]],  H$36, Table1[[ActualResult]:[ActualResult]], "OT") + SUMIFS(Table1[[AwayWon]:[AwayWon]], Table1[[GameIsOver]:[GameIsOver]], 1, Table1[[HomeTeam]:[HomeTeam]], $A49, Table1[[AwayTeam]:[AwayTeam]], H$36, Table1[[ActualResult]:[ActualResult]], "OT") + SUMIFS(Table1[[HomeWon]:[HomeWon]], Table1[[GameIsOver]:[GameIsOver]], 1, Table1[[AwayTeam]:[AwayTeam]], $A49, Table1[[HomeTeam]:[HomeTeam]], H$36, Table1[[ActualResult]:[ActualResult]], "SO") + SUMIFS(Table1[[AwayWon]:[AwayWon]], Table1[[GameIsOver]:[GameIsOver]], 1, Table1[[HomeTeam]:[HomeTeam]], $A49, Table1[[AwayTeam]:[AwayTeam]], H$36, Table1[[ActualResult]:[ActualResult]], "SO")))/ (2*((COUNTIFS(Table1[[GameIsOver]:[GameIsOver]],1,Table1[[AwayTeam]:[AwayTeam]],$A49, Table1[[HomeTeam]:[HomeTeam]], H$36)))+( COUNTIFS(Table1[[GameIsOver]:[GameIsOver]],1,Table1[[AwayTeam]:[AwayTeam]],H$36, Table1[[HomeTeam]:[HomeTeam]],$A49))), "")</f>
        <v/>
      </c>
      <c r="I49" s="38" t="str">
        <f>IFERROR(((2 * (SUMIFS(Table1[[AwayWon]:[AwayWon]], Table1[[GameIsOver]:[GameIsOver]], 1, Table1[[AwayTeam]:[AwayTeam]], $A49, Table1[[HomeTeam]:[HomeTeam]], I$36) + SUMIFS(Table1[[HomeWon]:[HomeWon]], Table1[[GameIsOver]:[GameIsOver]], 1, Table1[[HomeTeam]:[HomeTeam]], $A49, Table1[[AwayTeam]:[AwayTeam]], I$36))) + (SUMIFS(Table1[[HomeWon]:[HomeWon]], Table1[[GameIsOver]:[GameIsOver]], 1, Table1[[AwayTeam]:[AwayTeam]], $A49, Table1[[HomeTeam]:[HomeTeam]],  I$36, Table1[[ActualResult]:[ActualResult]], "OT") + SUMIFS(Table1[[AwayWon]:[AwayWon]], Table1[[GameIsOver]:[GameIsOver]], 1, Table1[[HomeTeam]:[HomeTeam]], $A49, Table1[[AwayTeam]:[AwayTeam]], I$36, Table1[[ActualResult]:[ActualResult]], "OT") + SUMIFS(Table1[[HomeWon]:[HomeWon]], Table1[[GameIsOver]:[GameIsOver]], 1, Table1[[AwayTeam]:[AwayTeam]], $A49, Table1[[HomeTeam]:[HomeTeam]], I$36, Table1[[ActualResult]:[ActualResult]], "SO") + SUMIFS(Table1[[AwayWon]:[AwayWon]], Table1[[GameIsOver]:[GameIsOver]], 1, Table1[[HomeTeam]:[HomeTeam]], $A49, Table1[[AwayTeam]:[AwayTeam]], I$36, Table1[[ActualResult]:[ActualResult]], "SO")))/ (2*((COUNTIFS(Table1[[GameIsOver]:[GameIsOver]],1,Table1[[AwayTeam]:[AwayTeam]],$A49, Table1[[HomeTeam]:[HomeTeam]], I$36)))+( COUNTIFS(Table1[[GameIsOver]:[GameIsOver]],1,Table1[[AwayTeam]:[AwayTeam]],I$36, Table1[[HomeTeam]:[HomeTeam]],$A49))), "")</f>
        <v/>
      </c>
      <c r="J49" s="36" t="str">
        <f>IFERROR(((2 * (SUMIFS(Table1[[AwayWon]:[AwayWon]], Table1[[GameIsOver]:[GameIsOver]], 1, Table1[[AwayTeam]:[AwayTeam]], $A49, Table1[[HomeTeam]:[HomeTeam]], J$36) + SUMIFS(Table1[[HomeWon]:[HomeWon]], Table1[[GameIsOver]:[GameIsOver]], 1, Table1[[HomeTeam]:[HomeTeam]], $A49, Table1[[AwayTeam]:[AwayTeam]], J$36))) + (SUMIFS(Table1[[HomeWon]:[HomeWon]], Table1[[GameIsOver]:[GameIsOver]], 1, Table1[[AwayTeam]:[AwayTeam]], $A49, Table1[[HomeTeam]:[HomeTeam]],  J$36, Table1[[ActualResult]:[ActualResult]], "OT") + SUMIFS(Table1[[AwayWon]:[AwayWon]], Table1[[GameIsOver]:[GameIsOver]], 1, Table1[[HomeTeam]:[HomeTeam]], $A49, Table1[[AwayTeam]:[AwayTeam]], J$36, Table1[[ActualResult]:[ActualResult]], "OT") + SUMIFS(Table1[[HomeWon]:[HomeWon]], Table1[[GameIsOver]:[GameIsOver]], 1, Table1[[AwayTeam]:[AwayTeam]], $A49, Table1[[HomeTeam]:[HomeTeam]], J$36, Table1[[ActualResult]:[ActualResult]], "SO") + SUMIFS(Table1[[AwayWon]:[AwayWon]], Table1[[GameIsOver]:[GameIsOver]], 1, Table1[[HomeTeam]:[HomeTeam]], $A49, Table1[[AwayTeam]:[AwayTeam]], J$36, Table1[[ActualResult]:[ActualResult]], "SO")))/ (2*((COUNTIFS(Table1[[GameIsOver]:[GameIsOver]],1,Table1[[AwayTeam]:[AwayTeam]],$A49, Table1[[HomeTeam]:[HomeTeam]], J$36)))+( COUNTIFS(Table1[[GameIsOver]:[GameIsOver]],1,Table1[[AwayTeam]:[AwayTeam]],J$36, Table1[[HomeTeam]:[HomeTeam]],$A49))), "")</f>
        <v/>
      </c>
      <c r="K49" s="36" t="str">
        <f>IFERROR(((2 * (SUMIFS(Table1[[AwayWon]:[AwayWon]], Table1[[GameIsOver]:[GameIsOver]], 1, Table1[[AwayTeam]:[AwayTeam]], $A49, Table1[[HomeTeam]:[HomeTeam]], K$36) + SUMIFS(Table1[[HomeWon]:[HomeWon]], Table1[[GameIsOver]:[GameIsOver]], 1, Table1[[HomeTeam]:[HomeTeam]], $A49, Table1[[AwayTeam]:[AwayTeam]], K$36))) + (SUMIFS(Table1[[HomeWon]:[HomeWon]], Table1[[GameIsOver]:[GameIsOver]], 1, Table1[[AwayTeam]:[AwayTeam]], $A49, Table1[[HomeTeam]:[HomeTeam]],  K$36, Table1[[ActualResult]:[ActualResult]], "OT") + SUMIFS(Table1[[AwayWon]:[AwayWon]], Table1[[GameIsOver]:[GameIsOver]], 1, Table1[[HomeTeam]:[HomeTeam]], $A49, Table1[[AwayTeam]:[AwayTeam]], K$36, Table1[[ActualResult]:[ActualResult]], "OT") + SUMIFS(Table1[[HomeWon]:[HomeWon]], Table1[[GameIsOver]:[GameIsOver]], 1, Table1[[AwayTeam]:[AwayTeam]], $A49, Table1[[HomeTeam]:[HomeTeam]], K$36, Table1[[ActualResult]:[ActualResult]], "SO") + SUMIFS(Table1[[AwayWon]:[AwayWon]], Table1[[GameIsOver]:[GameIsOver]], 1, Table1[[HomeTeam]:[HomeTeam]], $A49, Table1[[AwayTeam]:[AwayTeam]], K$36, Table1[[ActualResult]:[ActualResult]], "SO")))/ (2*((COUNTIFS(Table1[[GameIsOver]:[GameIsOver]],1,Table1[[AwayTeam]:[AwayTeam]],$A49, Table1[[HomeTeam]:[HomeTeam]], K$36)))+( COUNTIFS(Table1[[GameIsOver]:[GameIsOver]],1,Table1[[AwayTeam]:[AwayTeam]],K$36, Table1[[HomeTeam]:[HomeTeam]],$A49))), "")</f>
        <v/>
      </c>
      <c r="L49" s="36" t="str">
        <f>IFERROR(((2 * (SUMIFS(Table1[[AwayWon]:[AwayWon]], Table1[[GameIsOver]:[GameIsOver]], 1, Table1[[AwayTeam]:[AwayTeam]], $A49, Table1[[HomeTeam]:[HomeTeam]], L$36) + SUMIFS(Table1[[HomeWon]:[HomeWon]], Table1[[GameIsOver]:[GameIsOver]], 1, Table1[[HomeTeam]:[HomeTeam]], $A49, Table1[[AwayTeam]:[AwayTeam]], L$36))) + (SUMIFS(Table1[[HomeWon]:[HomeWon]], Table1[[GameIsOver]:[GameIsOver]], 1, Table1[[AwayTeam]:[AwayTeam]], $A49, Table1[[HomeTeam]:[HomeTeam]],  L$36, Table1[[ActualResult]:[ActualResult]], "OT") + SUMIFS(Table1[[AwayWon]:[AwayWon]], Table1[[GameIsOver]:[GameIsOver]], 1, Table1[[HomeTeam]:[HomeTeam]], $A49, Table1[[AwayTeam]:[AwayTeam]], L$36, Table1[[ActualResult]:[ActualResult]], "OT") + SUMIFS(Table1[[HomeWon]:[HomeWon]], Table1[[GameIsOver]:[GameIsOver]], 1, Table1[[AwayTeam]:[AwayTeam]], $A49, Table1[[HomeTeam]:[HomeTeam]], L$36, Table1[[ActualResult]:[ActualResult]], "SO") + SUMIFS(Table1[[AwayWon]:[AwayWon]], Table1[[GameIsOver]:[GameIsOver]], 1, Table1[[HomeTeam]:[HomeTeam]], $A49, Table1[[AwayTeam]:[AwayTeam]], L$36, Table1[[ActualResult]:[ActualResult]], "SO")))/ (2*((COUNTIFS(Table1[[GameIsOver]:[GameIsOver]],1,Table1[[AwayTeam]:[AwayTeam]],$A49, Table1[[HomeTeam]:[HomeTeam]], L$36)))+( COUNTIFS(Table1[[GameIsOver]:[GameIsOver]],1,Table1[[AwayTeam]:[AwayTeam]],L$36, Table1[[HomeTeam]:[HomeTeam]],$A49))), "")</f>
        <v/>
      </c>
      <c r="M49" s="36">
        <f>IFERROR(((2 * (SUMIFS(Table1[[AwayWon]:[AwayWon]], Table1[[GameIsOver]:[GameIsOver]], 1, Table1[[AwayTeam]:[AwayTeam]], $A49, Table1[[HomeTeam]:[HomeTeam]], M$36) + SUMIFS(Table1[[HomeWon]:[HomeWon]], Table1[[GameIsOver]:[GameIsOver]], 1, Table1[[HomeTeam]:[HomeTeam]], $A49, Table1[[AwayTeam]:[AwayTeam]], M$36))) + (SUMIFS(Table1[[HomeWon]:[HomeWon]], Table1[[GameIsOver]:[GameIsOver]], 1, Table1[[AwayTeam]:[AwayTeam]], $A49, Table1[[HomeTeam]:[HomeTeam]],  M$36, Table1[[ActualResult]:[ActualResult]], "OT") + SUMIFS(Table1[[AwayWon]:[AwayWon]], Table1[[GameIsOver]:[GameIsOver]], 1, Table1[[HomeTeam]:[HomeTeam]], $A49, Table1[[AwayTeam]:[AwayTeam]], M$36, Table1[[ActualResult]:[ActualResult]], "OT") + SUMIFS(Table1[[HomeWon]:[HomeWon]], Table1[[GameIsOver]:[GameIsOver]], 1, Table1[[AwayTeam]:[AwayTeam]], $A49, Table1[[HomeTeam]:[HomeTeam]], M$36, Table1[[ActualResult]:[ActualResult]], "SO") + SUMIFS(Table1[[AwayWon]:[AwayWon]], Table1[[GameIsOver]:[GameIsOver]], 1, Table1[[HomeTeam]:[HomeTeam]], $A49, Table1[[AwayTeam]:[AwayTeam]], M$36, Table1[[ActualResult]:[ActualResult]], "SO")))/ (2*((COUNTIFS(Table1[[GameIsOver]:[GameIsOver]],1,Table1[[AwayTeam]:[AwayTeam]],$A49, Table1[[HomeTeam]:[HomeTeam]], M$36)))+( COUNTIFS(Table1[[GameIsOver]:[GameIsOver]],1,Table1[[AwayTeam]:[AwayTeam]],M$36, Table1[[HomeTeam]:[HomeTeam]],$A49))), "")</f>
        <v>2</v>
      </c>
      <c r="N49" s="36" t="str">
        <f>IFERROR(((2 * (SUMIFS(Table1[[AwayWon]:[AwayWon]], Table1[[GameIsOver]:[GameIsOver]], 1, Table1[[AwayTeam]:[AwayTeam]], $A49, Table1[[HomeTeam]:[HomeTeam]], N$36) + SUMIFS(Table1[[HomeWon]:[HomeWon]], Table1[[GameIsOver]:[GameIsOver]], 1, Table1[[HomeTeam]:[HomeTeam]], $A49, Table1[[AwayTeam]:[AwayTeam]], N$36))) + (SUMIFS(Table1[[HomeWon]:[HomeWon]], Table1[[GameIsOver]:[GameIsOver]], 1, Table1[[AwayTeam]:[AwayTeam]], $A49, Table1[[HomeTeam]:[HomeTeam]],  N$36, Table1[[ActualResult]:[ActualResult]], "OT") + SUMIFS(Table1[[AwayWon]:[AwayWon]], Table1[[GameIsOver]:[GameIsOver]], 1, Table1[[HomeTeam]:[HomeTeam]], $A49, Table1[[AwayTeam]:[AwayTeam]], N$36, Table1[[ActualResult]:[ActualResult]], "OT") + SUMIFS(Table1[[HomeWon]:[HomeWon]], Table1[[GameIsOver]:[GameIsOver]], 1, Table1[[AwayTeam]:[AwayTeam]], $A49, Table1[[HomeTeam]:[HomeTeam]], N$36, Table1[[ActualResult]:[ActualResult]], "SO") + SUMIFS(Table1[[AwayWon]:[AwayWon]], Table1[[GameIsOver]:[GameIsOver]], 1, Table1[[HomeTeam]:[HomeTeam]], $A49, Table1[[AwayTeam]:[AwayTeam]], N$36, Table1[[ActualResult]:[ActualResult]], "SO")))/ (2*((COUNTIFS(Table1[[GameIsOver]:[GameIsOver]],1,Table1[[AwayTeam]:[AwayTeam]],$A49, Table1[[HomeTeam]:[HomeTeam]], N$36)))+( COUNTIFS(Table1[[GameIsOver]:[GameIsOver]],1,Table1[[AwayTeam]:[AwayTeam]],N$36, Table1[[HomeTeam]:[HomeTeam]],$A49))), "")</f>
        <v/>
      </c>
      <c r="O49" s="36" t="str">
        <f>IFERROR(((2 * (SUMIFS(Table1[[AwayWon]:[AwayWon]], Table1[[GameIsOver]:[GameIsOver]], 1, Table1[[AwayTeam]:[AwayTeam]], $A49, Table1[[HomeTeam]:[HomeTeam]], O$36) + SUMIFS(Table1[[HomeWon]:[HomeWon]], Table1[[GameIsOver]:[GameIsOver]], 1, Table1[[HomeTeam]:[HomeTeam]], $A49, Table1[[AwayTeam]:[AwayTeam]], O$36))) + (SUMIFS(Table1[[HomeWon]:[HomeWon]], Table1[[GameIsOver]:[GameIsOver]], 1, Table1[[AwayTeam]:[AwayTeam]], $A49, Table1[[HomeTeam]:[HomeTeam]],  O$36, Table1[[ActualResult]:[ActualResult]], "OT") + SUMIFS(Table1[[AwayWon]:[AwayWon]], Table1[[GameIsOver]:[GameIsOver]], 1, Table1[[HomeTeam]:[HomeTeam]], $A49, Table1[[AwayTeam]:[AwayTeam]], O$36, Table1[[ActualResult]:[ActualResult]], "OT") + SUMIFS(Table1[[HomeWon]:[HomeWon]], Table1[[GameIsOver]:[GameIsOver]], 1, Table1[[AwayTeam]:[AwayTeam]], $A49, Table1[[HomeTeam]:[HomeTeam]], O$36, Table1[[ActualResult]:[ActualResult]], "SO") + SUMIFS(Table1[[AwayWon]:[AwayWon]], Table1[[GameIsOver]:[GameIsOver]], 1, Table1[[HomeTeam]:[HomeTeam]], $A49, Table1[[AwayTeam]:[AwayTeam]], O$36, Table1[[ActualResult]:[ActualResult]], "SO")))/ (2*((COUNTIFS(Table1[[GameIsOver]:[GameIsOver]],1,Table1[[AwayTeam]:[AwayTeam]],$A49, Table1[[HomeTeam]:[HomeTeam]], O$36)))+( COUNTIFS(Table1[[GameIsOver]:[GameIsOver]],1,Table1[[AwayTeam]:[AwayTeam]],O$36, Table1[[HomeTeam]:[HomeTeam]],$A49))), "")</f>
        <v/>
      </c>
      <c r="P49" s="36" t="str">
        <f>IFERROR(((2 * (SUMIFS(Table1[[AwayWon]:[AwayWon]], Table1[[GameIsOver]:[GameIsOver]], 1, Table1[[AwayTeam]:[AwayTeam]], $A49, Table1[[HomeTeam]:[HomeTeam]], P$36) + SUMIFS(Table1[[HomeWon]:[HomeWon]], Table1[[GameIsOver]:[GameIsOver]], 1, Table1[[HomeTeam]:[HomeTeam]], $A49, Table1[[AwayTeam]:[AwayTeam]], P$36))) + (SUMIFS(Table1[[HomeWon]:[HomeWon]], Table1[[GameIsOver]:[GameIsOver]], 1, Table1[[AwayTeam]:[AwayTeam]], $A49, Table1[[HomeTeam]:[HomeTeam]],  P$36, Table1[[ActualResult]:[ActualResult]], "OT") + SUMIFS(Table1[[AwayWon]:[AwayWon]], Table1[[GameIsOver]:[GameIsOver]], 1, Table1[[HomeTeam]:[HomeTeam]], $A49, Table1[[AwayTeam]:[AwayTeam]], P$36, Table1[[ActualResult]:[ActualResult]], "OT") + SUMIFS(Table1[[HomeWon]:[HomeWon]], Table1[[GameIsOver]:[GameIsOver]], 1, Table1[[AwayTeam]:[AwayTeam]], $A49, Table1[[HomeTeam]:[HomeTeam]], P$36, Table1[[ActualResult]:[ActualResult]], "SO") + SUMIFS(Table1[[AwayWon]:[AwayWon]], Table1[[GameIsOver]:[GameIsOver]], 1, Table1[[HomeTeam]:[HomeTeam]], $A49, Table1[[AwayTeam]:[AwayTeam]], P$36, Table1[[ActualResult]:[ActualResult]], "SO")))/ (2*((COUNTIFS(Table1[[GameIsOver]:[GameIsOver]],1,Table1[[AwayTeam]:[AwayTeam]],$A49, Table1[[HomeTeam]:[HomeTeam]], P$36)))+( COUNTIFS(Table1[[GameIsOver]:[GameIsOver]],1,Table1[[AwayTeam]:[AwayTeam]],P$36, Table1[[HomeTeam]:[HomeTeam]],$A49))), "")</f>
        <v/>
      </c>
      <c r="Q49" s="38" t="str">
        <f>IFERROR(((2 * (SUMIFS(Table1[[AwayWon]:[AwayWon]], Table1[[GameIsOver]:[GameIsOver]], 1, Table1[[AwayTeam]:[AwayTeam]], $A49, Table1[[HomeTeam]:[HomeTeam]], Q$36) + SUMIFS(Table1[[HomeWon]:[HomeWon]], Table1[[GameIsOver]:[GameIsOver]], 1, Table1[[HomeTeam]:[HomeTeam]], $A49, Table1[[AwayTeam]:[AwayTeam]], Q$36))) + (SUMIFS(Table1[[HomeWon]:[HomeWon]], Table1[[GameIsOver]:[GameIsOver]], 1, Table1[[AwayTeam]:[AwayTeam]], $A49, Table1[[HomeTeam]:[HomeTeam]],  Q$36, Table1[[ActualResult]:[ActualResult]], "OT") + SUMIFS(Table1[[AwayWon]:[AwayWon]], Table1[[GameIsOver]:[GameIsOver]], 1, Table1[[HomeTeam]:[HomeTeam]], $A49, Table1[[AwayTeam]:[AwayTeam]], Q$36, Table1[[ActualResult]:[ActualResult]], "OT") + SUMIFS(Table1[[HomeWon]:[HomeWon]], Table1[[GameIsOver]:[GameIsOver]], 1, Table1[[AwayTeam]:[AwayTeam]], $A49, Table1[[HomeTeam]:[HomeTeam]], Q$36, Table1[[ActualResult]:[ActualResult]], "SO") + SUMIFS(Table1[[AwayWon]:[AwayWon]], Table1[[GameIsOver]:[GameIsOver]], 1, Table1[[HomeTeam]:[HomeTeam]], $A49, Table1[[AwayTeam]:[AwayTeam]], Q$36, Table1[[ActualResult]:[ActualResult]], "SO")))/ (2*((COUNTIFS(Table1[[GameIsOver]:[GameIsOver]],1,Table1[[AwayTeam]:[AwayTeam]],$A49, Table1[[HomeTeam]:[HomeTeam]], Q$36)))+( COUNTIFS(Table1[[GameIsOver]:[GameIsOver]],1,Table1[[AwayTeam]:[AwayTeam]],Q$36, Table1[[HomeTeam]:[HomeTeam]],$A49))), "")</f>
        <v/>
      </c>
      <c r="R49" s="36" t="str">
        <f>IFERROR(((2 * (SUMIFS(Table1[[AwayWon]:[AwayWon]], Table1[[GameIsOver]:[GameIsOver]], 1, Table1[[AwayTeam]:[AwayTeam]], $A49, Table1[[HomeTeam]:[HomeTeam]], R$36) + SUMIFS(Table1[[HomeWon]:[HomeWon]], Table1[[GameIsOver]:[GameIsOver]], 1, Table1[[HomeTeam]:[HomeTeam]], $A49, Table1[[AwayTeam]:[AwayTeam]], R$36))) + (SUMIFS(Table1[[HomeWon]:[HomeWon]], Table1[[GameIsOver]:[GameIsOver]], 1, Table1[[AwayTeam]:[AwayTeam]], $A49, Table1[[HomeTeam]:[HomeTeam]],  R$36, Table1[[ActualResult]:[ActualResult]], "OT") + SUMIFS(Table1[[AwayWon]:[AwayWon]], Table1[[GameIsOver]:[GameIsOver]], 1, Table1[[HomeTeam]:[HomeTeam]], $A49, Table1[[AwayTeam]:[AwayTeam]], R$36, Table1[[ActualResult]:[ActualResult]], "OT") + SUMIFS(Table1[[HomeWon]:[HomeWon]], Table1[[GameIsOver]:[GameIsOver]], 1, Table1[[AwayTeam]:[AwayTeam]], $A49, Table1[[HomeTeam]:[HomeTeam]], R$36, Table1[[ActualResult]:[ActualResult]], "SO") + SUMIFS(Table1[[AwayWon]:[AwayWon]], Table1[[GameIsOver]:[GameIsOver]], 1, Table1[[HomeTeam]:[HomeTeam]], $A49, Table1[[AwayTeam]:[AwayTeam]], R$36, Table1[[ActualResult]:[ActualResult]], "SO")))/ (2*((COUNTIFS(Table1[[GameIsOver]:[GameIsOver]],1,Table1[[AwayTeam]:[AwayTeam]],$A49, Table1[[HomeTeam]:[HomeTeam]], R$36)))+( COUNTIFS(Table1[[GameIsOver]:[GameIsOver]],1,Table1[[AwayTeam]:[AwayTeam]],R$36, Table1[[HomeTeam]:[HomeTeam]],$A49))), "")</f>
        <v/>
      </c>
      <c r="S49" s="36" t="str">
        <f>IFERROR(((2 * (SUMIFS(Table1[[AwayWon]:[AwayWon]], Table1[[GameIsOver]:[GameIsOver]], 1, Table1[[AwayTeam]:[AwayTeam]], $A49, Table1[[HomeTeam]:[HomeTeam]], S$36) + SUMIFS(Table1[[HomeWon]:[HomeWon]], Table1[[GameIsOver]:[GameIsOver]], 1, Table1[[HomeTeam]:[HomeTeam]], $A49, Table1[[AwayTeam]:[AwayTeam]], S$36))) + (SUMIFS(Table1[[HomeWon]:[HomeWon]], Table1[[GameIsOver]:[GameIsOver]], 1, Table1[[AwayTeam]:[AwayTeam]], $A49, Table1[[HomeTeam]:[HomeTeam]],  S$36, Table1[[ActualResult]:[ActualResult]], "OT") + SUMIFS(Table1[[AwayWon]:[AwayWon]], Table1[[GameIsOver]:[GameIsOver]], 1, Table1[[HomeTeam]:[HomeTeam]], $A49, Table1[[AwayTeam]:[AwayTeam]], S$36, Table1[[ActualResult]:[ActualResult]], "OT") + SUMIFS(Table1[[HomeWon]:[HomeWon]], Table1[[GameIsOver]:[GameIsOver]], 1, Table1[[AwayTeam]:[AwayTeam]], $A49, Table1[[HomeTeam]:[HomeTeam]], S$36, Table1[[ActualResult]:[ActualResult]], "SO") + SUMIFS(Table1[[AwayWon]:[AwayWon]], Table1[[GameIsOver]:[GameIsOver]], 1, Table1[[HomeTeam]:[HomeTeam]], $A49, Table1[[AwayTeam]:[AwayTeam]], S$36, Table1[[ActualResult]:[ActualResult]], "SO")))/ (2*((COUNTIFS(Table1[[GameIsOver]:[GameIsOver]],1,Table1[[AwayTeam]:[AwayTeam]],$A49, Table1[[HomeTeam]:[HomeTeam]], S$36)))+( COUNTIFS(Table1[[GameIsOver]:[GameIsOver]],1,Table1[[AwayTeam]:[AwayTeam]],S$36, Table1[[HomeTeam]:[HomeTeam]],$A49))), "")</f>
        <v/>
      </c>
      <c r="T49" s="36" t="str">
        <f>IFERROR(((2 * (SUMIFS(Table1[[AwayWon]:[AwayWon]], Table1[[GameIsOver]:[GameIsOver]], 1, Table1[[AwayTeam]:[AwayTeam]], $A49, Table1[[HomeTeam]:[HomeTeam]], T$36) + SUMIFS(Table1[[HomeWon]:[HomeWon]], Table1[[GameIsOver]:[GameIsOver]], 1, Table1[[HomeTeam]:[HomeTeam]], $A49, Table1[[AwayTeam]:[AwayTeam]], T$36))) + (SUMIFS(Table1[[HomeWon]:[HomeWon]], Table1[[GameIsOver]:[GameIsOver]], 1, Table1[[AwayTeam]:[AwayTeam]], $A49, Table1[[HomeTeam]:[HomeTeam]],  T$36, Table1[[ActualResult]:[ActualResult]], "OT") + SUMIFS(Table1[[AwayWon]:[AwayWon]], Table1[[GameIsOver]:[GameIsOver]], 1, Table1[[HomeTeam]:[HomeTeam]], $A49, Table1[[AwayTeam]:[AwayTeam]], T$36, Table1[[ActualResult]:[ActualResult]], "OT") + SUMIFS(Table1[[HomeWon]:[HomeWon]], Table1[[GameIsOver]:[GameIsOver]], 1, Table1[[AwayTeam]:[AwayTeam]], $A49, Table1[[HomeTeam]:[HomeTeam]], T$36, Table1[[ActualResult]:[ActualResult]], "SO") + SUMIFS(Table1[[AwayWon]:[AwayWon]], Table1[[GameIsOver]:[GameIsOver]], 1, Table1[[HomeTeam]:[HomeTeam]], $A49, Table1[[AwayTeam]:[AwayTeam]], T$36, Table1[[ActualResult]:[ActualResult]], "SO")))/ (2*((COUNTIFS(Table1[[GameIsOver]:[GameIsOver]],1,Table1[[AwayTeam]:[AwayTeam]],$A49, Table1[[HomeTeam]:[HomeTeam]], T$36)))+( COUNTIFS(Table1[[GameIsOver]:[GameIsOver]],1,Table1[[AwayTeam]:[AwayTeam]],T$36, Table1[[HomeTeam]:[HomeTeam]],$A49))), "")</f>
        <v/>
      </c>
      <c r="U49" s="36" t="str">
        <f>IFERROR(((2 * (SUMIFS(Table1[[AwayWon]:[AwayWon]], Table1[[GameIsOver]:[GameIsOver]], 1, Table1[[AwayTeam]:[AwayTeam]], $A49, Table1[[HomeTeam]:[HomeTeam]], U$36) + SUMIFS(Table1[[HomeWon]:[HomeWon]], Table1[[GameIsOver]:[GameIsOver]], 1, Table1[[HomeTeam]:[HomeTeam]], $A49, Table1[[AwayTeam]:[AwayTeam]], U$36))) + (SUMIFS(Table1[[HomeWon]:[HomeWon]], Table1[[GameIsOver]:[GameIsOver]], 1, Table1[[AwayTeam]:[AwayTeam]], $A49, Table1[[HomeTeam]:[HomeTeam]],  U$36, Table1[[ActualResult]:[ActualResult]], "OT") + SUMIFS(Table1[[AwayWon]:[AwayWon]], Table1[[GameIsOver]:[GameIsOver]], 1, Table1[[HomeTeam]:[HomeTeam]], $A49, Table1[[AwayTeam]:[AwayTeam]], U$36, Table1[[ActualResult]:[ActualResult]], "OT") + SUMIFS(Table1[[HomeWon]:[HomeWon]], Table1[[GameIsOver]:[GameIsOver]], 1, Table1[[AwayTeam]:[AwayTeam]], $A49, Table1[[HomeTeam]:[HomeTeam]], U$36, Table1[[ActualResult]:[ActualResult]], "SO") + SUMIFS(Table1[[AwayWon]:[AwayWon]], Table1[[GameIsOver]:[GameIsOver]], 1, Table1[[HomeTeam]:[HomeTeam]], $A49, Table1[[AwayTeam]:[AwayTeam]], U$36, Table1[[ActualResult]:[ActualResult]], "SO")))/ (2*((COUNTIFS(Table1[[GameIsOver]:[GameIsOver]],1,Table1[[AwayTeam]:[AwayTeam]],$A49, Table1[[HomeTeam]:[HomeTeam]], U$36)))+( COUNTIFS(Table1[[GameIsOver]:[GameIsOver]],1,Table1[[AwayTeam]:[AwayTeam]],U$36, Table1[[HomeTeam]:[HomeTeam]],$A49))), "")</f>
        <v/>
      </c>
      <c r="V49" s="36" t="str">
        <f>IFERROR(((2 * (SUMIFS(Table1[[AwayWon]:[AwayWon]], Table1[[GameIsOver]:[GameIsOver]], 1, Table1[[AwayTeam]:[AwayTeam]], $A49, Table1[[HomeTeam]:[HomeTeam]], V$36) + SUMIFS(Table1[[HomeWon]:[HomeWon]], Table1[[GameIsOver]:[GameIsOver]], 1, Table1[[HomeTeam]:[HomeTeam]], $A49, Table1[[AwayTeam]:[AwayTeam]], V$36))) + (SUMIFS(Table1[[HomeWon]:[HomeWon]], Table1[[GameIsOver]:[GameIsOver]], 1, Table1[[AwayTeam]:[AwayTeam]], $A49, Table1[[HomeTeam]:[HomeTeam]],  V$36, Table1[[ActualResult]:[ActualResult]], "OT") + SUMIFS(Table1[[AwayWon]:[AwayWon]], Table1[[GameIsOver]:[GameIsOver]], 1, Table1[[HomeTeam]:[HomeTeam]], $A49, Table1[[AwayTeam]:[AwayTeam]], V$36, Table1[[ActualResult]:[ActualResult]], "OT") + SUMIFS(Table1[[HomeWon]:[HomeWon]], Table1[[GameIsOver]:[GameIsOver]], 1, Table1[[AwayTeam]:[AwayTeam]], $A49, Table1[[HomeTeam]:[HomeTeam]], V$36, Table1[[ActualResult]:[ActualResult]], "SO") + SUMIFS(Table1[[AwayWon]:[AwayWon]], Table1[[GameIsOver]:[GameIsOver]], 1, Table1[[HomeTeam]:[HomeTeam]], $A49, Table1[[AwayTeam]:[AwayTeam]], V$36, Table1[[ActualResult]:[ActualResult]], "SO")))/ (2*((COUNTIFS(Table1[[GameIsOver]:[GameIsOver]],1,Table1[[AwayTeam]:[AwayTeam]],$A49, Table1[[HomeTeam]:[HomeTeam]], V$36)))+( COUNTIFS(Table1[[GameIsOver]:[GameIsOver]],1,Table1[[AwayTeam]:[AwayTeam]],V$36, Table1[[HomeTeam]:[HomeTeam]],$A49))), "")</f>
        <v/>
      </c>
      <c r="W49" s="36" t="str">
        <f>IFERROR(((2 * (SUMIFS(Table1[[AwayWon]:[AwayWon]], Table1[[GameIsOver]:[GameIsOver]], 1, Table1[[AwayTeam]:[AwayTeam]], $A49, Table1[[HomeTeam]:[HomeTeam]], W$36) + SUMIFS(Table1[[HomeWon]:[HomeWon]], Table1[[GameIsOver]:[GameIsOver]], 1, Table1[[HomeTeam]:[HomeTeam]], $A49, Table1[[AwayTeam]:[AwayTeam]], W$36))) + (SUMIFS(Table1[[HomeWon]:[HomeWon]], Table1[[GameIsOver]:[GameIsOver]], 1, Table1[[AwayTeam]:[AwayTeam]], $A49, Table1[[HomeTeam]:[HomeTeam]],  W$36, Table1[[ActualResult]:[ActualResult]], "OT") + SUMIFS(Table1[[AwayWon]:[AwayWon]], Table1[[GameIsOver]:[GameIsOver]], 1, Table1[[HomeTeam]:[HomeTeam]], $A49, Table1[[AwayTeam]:[AwayTeam]], W$36, Table1[[ActualResult]:[ActualResult]], "OT") + SUMIFS(Table1[[HomeWon]:[HomeWon]], Table1[[GameIsOver]:[GameIsOver]], 1, Table1[[AwayTeam]:[AwayTeam]], $A49, Table1[[HomeTeam]:[HomeTeam]], W$36, Table1[[ActualResult]:[ActualResult]], "SO") + SUMIFS(Table1[[AwayWon]:[AwayWon]], Table1[[GameIsOver]:[GameIsOver]], 1, Table1[[HomeTeam]:[HomeTeam]], $A49, Table1[[AwayTeam]:[AwayTeam]], W$36, Table1[[ActualResult]:[ActualResult]], "SO")))/ (2*((COUNTIFS(Table1[[GameIsOver]:[GameIsOver]],1,Table1[[AwayTeam]:[AwayTeam]],$A49, Table1[[HomeTeam]:[HomeTeam]], W$36)))+( COUNTIFS(Table1[[GameIsOver]:[GameIsOver]],1,Table1[[AwayTeam]:[AwayTeam]],W$36, Table1[[HomeTeam]:[HomeTeam]],$A49))), "")</f>
        <v/>
      </c>
      <c r="X49" s="36" t="str">
        <f>IFERROR(((2 * (SUMIFS(Table1[[AwayWon]:[AwayWon]], Table1[[GameIsOver]:[GameIsOver]], 1, Table1[[AwayTeam]:[AwayTeam]], $A49, Table1[[HomeTeam]:[HomeTeam]], X$36) + SUMIFS(Table1[[HomeWon]:[HomeWon]], Table1[[GameIsOver]:[GameIsOver]], 1, Table1[[HomeTeam]:[HomeTeam]], $A49, Table1[[AwayTeam]:[AwayTeam]], X$36))) + (SUMIFS(Table1[[HomeWon]:[HomeWon]], Table1[[GameIsOver]:[GameIsOver]], 1, Table1[[AwayTeam]:[AwayTeam]], $A49, Table1[[HomeTeam]:[HomeTeam]],  X$36, Table1[[ActualResult]:[ActualResult]], "OT") + SUMIFS(Table1[[AwayWon]:[AwayWon]], Table1[[GameIsOver]:[GameIsOver]], 1, Table1[[HomeTeam]:[HomeTeam]], $A49, Table1[[AwayTeam]:[AwayTeam]], X$36, Table1[[ActualResult]:[ActualResult]], "OT") + SUMIFS(Table1[[HomeWon]:[HomeWon]], Table1[[GameIsOver]:[GameIsOver]], 1, Table1[[AwayTeam]:[AwayTeam]], $A49, Table1[[HomeTeam]:[HomeTeam]], X$36, Table1[[ActualResult]:[ActualResult]], "SO") + SUMIFS(Table1[[AwayWon]:[AwayWon]], Table1[[GameIsOver]:[GameIsOver]], 1, Table1[[HomeTeam]:[HomeTeam]], $A49, Table1[[AwayTeam]:[AwayTeam]], X$36, Table1[[ActualResult]:[ActualResult]], "SO")))/ (2*((COUNTIFS(Table1[[GameIsOver]:[GameIsOver]],1,Table1[[AwayTeam]:[AwayTeam]],$A49, Table1[[HomeTeam]:[HomeTeam]], X$36)))+( COUNTIFS(Table1[[GameIsOver]:[GameIsOver]],1,Table1[[AwayTeam]:[AwayTeam]],X$36, Table1[[HomeTeam]:[HomeTeam]],$A49))), "")</f>
        <v/>
      </c>
      <c r="Y49" s="38" t="str">
        <f>IFERROR(((2 * (SUMIFS(Table1[[AwayWon]:[AwayWon]], Table1[[GameIsOver]:[GameIsOver]], 1, Table1[[AwayTeam]:[AwayTeam]], $A49, Table1[[HomeTeam]:[HomeTeam]], Y$36) + SUMIFS(Table1[[HomeWon]:[HomeWon]], Table1[[GameIsOver]:[GameIsOver]], 1, Table1[[HomeTeam]:[HomeTeam]], $A49, Table1[[AwayTeam]:[AwayTeam]], Y$36))) + (SUMIFS(Table1[[HomeWon]:[HomeWon]], Table1[[GameIsOver]:[GameIsOver]], 1, Table1[[AwayTeam]:[AwayTeam]], $A49, Table1[[HomeTeam]:[HomeTeam]],  Y$36, Table1[[ActualResult]:[ActualResult]], "OT") + SUMIFS(Table1[[AwayWon]:[AwayWon]], Table1[[GameIsOver]:[GameIsOver]], 1, Table1[[HomeTeam]:[HomeTeam]], $A49, Table1[[AwayTeam]:[AwayTeam]], Y$36, Table1[[ActualResult]:[ActualResult]], "OT") + SUMIFS(Table1[[HomeWon]:[HomeWon]], Table1[[GameIsOver]:[GameIsOver]], 1, Table1[[AwayTeam]:[AwayTeam]], $A49, Table1[[HomeTeam]:[HomeTeam]], Y$36, Table1[[ActualResult]:[ActualResult]], "SO") + SUMIFS(Table1[[AwayWon]:[AwayWon]], Table1[[GameIsOver]:[GameIsOver]], 1, Table1[[HomeTeam]:[HomeTeam]], $A49, Table1[[AwayTeam]:[AwayTeam]], Y$36, Table1[[ActualResult]:[ActualResult]], "SO")))/ (2*((COUNTIFS(Table1[[GameIsOver]:[GameIsOver]],1,Table1[[AwayTeam]:[AwayTeam]],$A49, Table1[[HomeTeam]:[HomeTeam]], Y$36)))+( COUNTIFS(Table1[[GameIsOver]:[GameIsOver]],1,Table1[[AwayTeam]:[AwayTeam]],Y$36, Table1[[HomeTeam]:[HomeTeam]],$A49))), "")</f>
        <v/>
      </c>
      <c r="Z49" s="36" t="str">
        <f>IFERROR(((2 * (SUMIFS(Table1[[AwayWon]:[AwayWon]], Table1[[GameIsOver]:[GameIsOver]], 1, Table1[[AwayTeam]:[AwayTeam]], $A49, Table1[[HomeTeam]:[HomeTeam]], Z$36) + SUMIFS(Table1[[HomeWon]:[HomeWon]], Table1[[GameIsOver]:[GameIsOver]], 1, Table1[[HomeTeam]:[HomeTeam]], $A49, Table1[[AwayTeam]:[AwayTeam]], Z$36))) + (SUMIFS(Table1[[HomeWon]:[HomeWon]], Table1[[GameIsOver]:[GameIsOver]], 1, Table1[[AwayTeam]:[AwayTeam]], $A49, Table1[[HomeTeam]:[HomeTeam]],  Z$36, Table1[[ActualResult]:[ActualResult]], "OT") + SUMIFS(Table1[[AwayWon]:[AwayWon]], Table1[[GameIsOver]:[GameIsOver]], 1, Table1[[HomeTeam]:[HomeTeam]], $A49, Table1[[AwayTeam]:[AwayTeam]], Z$36, Table1[[ActualResult]:[ActualResult]], "OT") + SUMIFS(Table1[[HomeWon]:[HomeWon]], Table1[[GameIsOver]:[GameIsOver]], 1, Table1[[AwayTeam]:[AwayTeam]], $A49, Table1[[HomeTeam]:[HomeTeam]], Z$36, Table1[[ActualResult]:[ActualResult]], "SO") + SUMIFS(Table1[[AwayWon]:[AwayWon]], Table1[[GameIsOver]:[GameIsOver]], 1, Table1[[HomeTeam]:[HomeTeam]], $A49, Table1[[AwayTeam]:[AwayTeam]], Z$36, Table1[[ActualResult]:[ActualResult]], "SO")))/ (2*((COUNTIFS(Table1[[GameIsOver]:[GameIsOver]],1,Table1[[AwayTeam]:[AwayTeam]],$A49, Table1[[HomeTeam]:[HomeTeam]], Z$36)))+( COUNTIFS(Table1[[GameIsOver]:[GameIsOver]],1,Table1[[AwayTeam]:[AwayTeam]],Z$36, Table1[[HomeTeam]:[HomeTeam]],$A49))), "")</f>
        <v/>
      </c>
      <c r="AA49" s="36" t="str">
        <f>IFERROR(((2 * (SUMIFS(Table1[[AwayWon]:[AwayWon]], Table1[[GameIsOver]:[GameIsOver]], 1, Table1[[AwayTeam]:[AwayTeam]], $A49, Table1[[HomeTeam]:[HomeTeam]], AA$36) + SUMIFS(Table1[[HomeWon]:[HomeWon]], Table1[[GameIsOver]:[GameIsOver]], 1, Table1[[HomeTeam]:[HomeTeam]], $A49, Table1[[AwayTeam]:[AwayTeam]], AA$36))) + (SUMIFS(Table1[[HomeWon]:[HomeWon]], Table1[[GameIsOver]:[GameIsOver]], 1, Table1[[AwayTeam]:[AwayTeam]], $A49, Table1[[HomeTeam]:[HomeTeam]],  AA$36, Table1[[ActualResult]:[ActualResult]], "OT") + SUMIFS(Table1[[AwayWon]:[AwayWon]], Table1[[GameIsOver]:[GameIsOver]], 1, Table1[[HomeTeam]:[HomeTeam]], $A49, Table1[[AwayTeam]:[AwayTeam]], AA$36, Table1[[ActualResult]:[ActualResult]], "OT") + SUMIFS(Table1[[HomeWon]:[HomeWon]], Table1[[GameIsOver]:[GameIsOver]], 1, Table1[[AwayTeam]:[AwayTeam]], $A49, Table1[[HomeTeam]:[HomeTeam]], AA$36, Table1[[ActualResult]:[ActualResult]], "SO") + SUMIFS(Table1[[AwayWon]:[AwayWon]], Table1[[GameIsOver]:[GameIsOver]], 1, Table1[[HomeTeam]:[HomeTeam]], $A49, Table1[[AwayTeam]:[AwayTeam]], AA$36, Table1[[ActualResult]:[ActualResult]], "SO")))/ (2*((COUNTIFS(Table1[[GameIsOver]:[GameIsOver]],1,Table1[[AwayTeam]:[AwayTeam]],$A49, Table1[[HomeTeam]:[HomeTeam]], AA$36)))+( COUNTIFS(Table1[[GameIsOver]:[GameIsOver]],1,Table1[[AwayTeam]:[AwayTeam]],AA$36, Table1[[HomeTeam]:[HomeTeam]],$A49))), "")</f>
        <v/>
      </c>
      <c r="AB49" s="36" t="str">
        <f>IFERROR(((2 * (SUMIFS(Table1[[AwayWon]:[AwayWon]], Table1[[GameIsOver]:[GameIsOver]], 1, Table1[[AwayTeam]:[AwayTeam]], $A49, Table1[[HomeTeam]:[HomeTeam]], AB$36) + SUMIFS(Table1[[HomeWon]:[HomeWon]], Table1[[GameIsOver]:[GameIsOver]], 1, Table1[[HomeTeam]:[HomeTeam]], $A49, Table1[[AwayTeam]:[AwayTeam]], AB$36))) + (SUMIFS(Table1[[HomeWon]:[HomeWon]], Table1[[GameIsOver]:[GameIsOver]], 1, Table1[[AwayTeam]:[AwayTeam]], $A49, Table1[[HomeTeam]:[HomeTeam]],  AB$36, Table1[[ActualResult]:[ActualResult]], "OT") + SUMIFS(Table1[[AwayWon]:[AwayWon]], Table1[[GameIsOver]:[GameIsOver]], 1, Table1[[HomeTeam]:[HomeTeam]], $A49, Table1[[AwayTeam]:[AwayTeam]], AB$36, Table1[[ActualResult]:[ActualResult]], "OT") + SUMIFS(Table1[[HomeWon]:[HomeWon]], Table1[[GameIsOver]:[GameIsOver]], 1, Table1[[AwayTeam]:[AwayTeam]], $A49, Table1[[HomeTeam]:[HomeTeam]], AB$36, Table1[[ActualResult]:[ActualResult]], "SO") + SUMIFS(Table1[[AwayWon]:[AwayWon]], Table1[[GameIsOver]:[GameIsOver]], 1, Table1[[HomeTeam]:[HomeTeam]], $A49, Table1[[AwayTeam]:[AwayTeam]], AB$36, Table1[[ActualResult]:[ActualResult]], "SO")))/ (2*((COUNTIFS(Table1[[GameIsOver]:[GameIsOver]],1,Table1[[AwayTeam]:[AwayTeam]],$A49, Table1[[HomeTeam]:[HomeTeam]], AB$36)))+( COUNTIFS(Table1[[GameIsOver]:[GameIsOver]],1,Table1[[AwayTeam]:[AwayTeam]],AB$36, Table1[[HomeTeam]:[HomeTeam]],$A49))), "")</f>
        <v/>
      </c>
      <c r="AC49" s="36" t="str">
        <f>IFERROR(((2 * (SUMIFS(Table1[[AwayWon]:[AwayWon]], Table1[[GameIsOver]:[GameIsOver]], 1, Table1[[AwayTeam]:[AwayTeam]], $A49, Table1[[HomeTeam]:[HomeTeam]], AC$36) + SUMIFS(Table1[[HomeWon]:[HomeWon]], Table1[[GameIsOver]:[GameIsOver]], 1, Table1[[HomeTeam]:[HomeTeam]], $A49, Table1[[AwayTeam]:[AwayTeam]], AC$36))) + (SUMIFS(Table1[[HomeWon]:[HomeWon]], Table1[[GameIsOver]:[GameIsOver]], 1, Table1[[AwayTeam]:[AwayTeam]], $A49, Table1[[HomeTeam]:[HomeTeam]],  AC$36, Table1[[ActualResult]:[ActualResult]], "OT") + SUMIFS(Table1[[AwayWon]:[AwayWon]], Table1[[GameIsOver]:[GameIsOver]], 1, Table1[[HomeTeam]:[HomeTeam]], $A49, Table1[[AwayTeam]:[AwayTeam]], AC$36, Table1[[ActualResult]:[ActualResult]], "OT") + SUMIFS(Table1[[HomeWon]:[HomeWon]], Table1[[GameIsOver]:[GameIsOver]], 1, Table1[[AwayTeam]:[AwayTeam]], $A49, Table1[[HomeTeam]:[HomeTeam]], AC$36, Table1[[ActualResult]:[ActualResult]], "SO") + SUMIFS(Table1[[AwayWon]:[AwayWon]], Table1[[GameIsOver]:[GameIsOver]], 1, Table1[[HomeTeam]:[HomeTeam]], $A49, Table1[[AwayTeam]:[AwayTeam]], AC$36, Table1[[ActualResult]:[ActualResult]], "SO")))/ (2*((COUNTIFS(Table1[[GameIsOver]:[GameIsOver]],1,Table1[[AwayTeam]:[AwayTeam]],$A49, Table1[[HomeTeam]:[HomeTeam]], AC$36)))+( COUNTIFS(Table1[[GameIsOver]:[GameIsOver]],1,Table1[[AwayTeam]:[AwayTeam]],AC$36, Table1[[HomeTeam]:[HomeTeam]],$A49))), "")</f>
        <v/>
      </c>
      <c r="AD49" s="36" t="str">
        <f>IFERROR(((2 * (SUMIFS(Table1[[AwayWon]:[AwayWon]], Table1[[GameIsOver]:[GameIsOver]], 1, Table1[[AwayTeam]:[AwayTeam]], $A49, Table1[[HomeTeam]:[HomeTeam]], AD$36) + SUMIFS(Table1[[HomeWon]:[HomeWon]], Table1[[GameIsOver]:[GameIsOver]], 1, Table1[[HomeTeam]:[HomeTeam]], $A49, Table1[[AwayTeam]:[AwayTeam]], AD$36))) + (SUMIFS(Table1[[HomeWon]:[HomeWon]], Table1[[GameIsOver]:[GameIsOver]], 1, Table1[[AwayTeam]:[AwayTeam]], $A49, Table1[[HomeTeam]:[HomeTeam]],  AD$36, Table1[[ActualResult]:[ActualResult]], "OT") + SUMIFS(Table1[[AwayWon]:[AwayWon]], Table1[[GameIsOver]:[GameIsOver]], 1, Table1[[HomeTeam]:[HomeTeam]], $A49, Table1[[AwayTeam]:[AwayTeam]], AD$36, Table1[[ActualResult]:[ActualResult]], "OT") + SUMIFS(Table1[[HomeWon]:[HomeWon]], Table1[[GameIsOver]:[GameIsOver]], 1, Table1[[AwayTeam]:[AwayTeam]], $A49, Table1[[HomeTeam]:[HomeTeam]], AD$36, Table1[[ActualResult]:[ActualResult]], "SO") + SUMIFS(Table1[[AwayWon]:[AwayWon]], Table1[[GameIsOver]:[GameIsOver]], 1, Table1[[HomeTeam]:[HomeTeam]], $A49, Table1[[AwayTeam]:[AwayTeam]], AD$36, Table1[[ActualResult]:[ActualResult]], "SO")))/ (2*((COUNTIFS(Table1[[GameIsOver]:[GameIsOver]],1,Table1[[AwayTeam]:[AwayTeam]],$A49, Table1[[HomeTeam]:[HomeTeam]], AD$36)))+( COUNTIFS(Table1[[GameIsOver]:[GameIsOver]],1,Table1[[AwayTeam]:[AwayTeam]],AD$36, Table1[[HomeTeam]:[HomeTeam]],$A49))), "")</f>
        <v/>
      </c>
      <c r="AE49" s="36" t="str">
        <f>IFERROR(((2 * (SUMIFS(Table1[[AwayWon]:[AwayWon]], Table1[[GameIsOver]:[GameIsOver]], 1, Table1[[AwayTeam]:[AwayTeam]], $A49, Table1[[HomeTeam]:[HomeTeam]], AE$36) + SUMIFS(Table1[[HomeWon]:[HomeWon]], Table1[[GameIsOver]:[GameIsOver]], 1, Table1[[HomeTeam]:[HomeTeam]], $A49, Table1[[AwayTeam]:[AwayTeam]], AE$36))) + (SUMIFS(Table1[[HomeWon]:[HomeWon]], Table1[[GameIsOver]:[GameIsOver]], 1, Table1[[AwayTeam]:[AwayTeam]], $A49, Table1[[HomeTeam]:[HomeTeam]],  AE$36, Table1[[ActualResult]:[ActualResult]], "OT") + SUMIFS(Table1[[AwayWon]:[AwayWon]], Table1[[GameIsOver]:[GameIsOver]], 1, Table1[[HomeTeam]:[HomeTeam]], $A49, Table1[[AwayTeam]:[AwayTeam]], AE$36, Table1[[ActualResult]:[ActualResult]], "OT") + SUMIFS(Table1[[HomeWon]:[HomeWon]], Table1[[GameIsOver]:[GameIsOver]], 1, Table1[[AwayTeam]:[AwayTeam]], $A49, Table1[[HomeTeam]:[HomeTeam]], AE$36, Table1[[ActualResult]:[ActualResult]], "SO") + SUMIFS(Table1[[AwayWon]:[AwayWon]], Table1[[GameIsOver]:[GameIsOver]], 1, Table1[[HomeTeam]:[HomeTeam]], $A49, Table1[[AwayTeam]:[AwayTeam]], AE$36, Table1[[ActualResult]:[ActualResult]], "SO")))/ (2*((COUNTIFS(Table1[[GameIsOver]:[GameIsOver]],1,Table1[[AwayTeam]:[AwayTeam]],$A49, Table1[[HomeTeam]:[HomeTeam]], AE$36)))+( COUNTIFS(Table1[[GameIsOver]:[GameIsOver]],1,Table1[[AwayTeam]:[AwayTeam]],AE$36, Table1[[HomeTeam]:[HomeTeam]],$A49))), "")</f>
        <v/>
      </c>
      <c r="AF49" s="36" t="str">
        <f>IFERROR(((2 * (SUMIFS(Table1[[AwayWon]:[AwayWon]], Table1[[GameIsOver]:[GameIsOver]], 1, Table1[[AwayTeam]:[AwayTeam]], $A49, Table1[[HomeTeam]:[HomeTeam]], AF$36) + SUMIFS(Table1[[HomeWon]:[HomeWon]], Table1[[GameIsOver]:[GameIsOver]], 1, Table1[[HomeTeam]:[HomeTeam]], $A49, Table1[[AwayTeam]:[AwayTeam]], AF$36))) + (SUMIFS(Table1[[HomeWon]:[HomeWon]], Table1[[GameIsOver]:[GameIsOver]], 1, Table1[[AwayTeam]:[AwayTeam]], $A49, Table1[[HomeTeam]:[HomeTeam]],  AF$36, Table1[[ActualResult]:[ActualResult]], "OT") + SUMIFS(Table1[[AwayWon]:[AwayWon]], Table1[[GameIsOver]:[GameIsOver]], 1, Table1[[HomeTeam]:[HomeTeam]], $A49, Table1[[AwayTeam]:[AwayTeam]], AF$36, Table1[[ActualResult]:[ActualResult]], "OT") + SUMIFS(Table1[[HomeWon]:[HomeWon]], Table1[[GameIsOver]:[GameIsOver]], 1, Table1[[AwayTeam]:[AwayTeam]], $A49, Table1[[HomeTeam]:[HomeTeam]], AF$36, Table1[[ActualResult]:[ActualResult]], "SO") + SUMIFS(Table1[[AwayWon]:[AwayWon]], Table1[[GameIsOver]:[GameIsOver]], 1, Table1[[HomeTeam]:[HomeTeam]], $A49, Table1[[AwayTeam]:[AwayTeam]], AF$36, Table1[[ActualResult]:[ActualResult]], "SO")))/ (2*((COUNTIFS(Table1[[GameIsOver]:[GameIsOver]],1,Table1[[AwayTeam]:[AwayTeam]],$A49, Table1[[HomeTeam]:[HomeTeam]], AF$36)))+( COUNTIFS(Table1[[GameIsOver]:[GameIsOver]],1,Table1[[AwayTeam]:[AwayTeam]],AF$36, Table1[[HomeTeam]:[HomeTeam]],$A49))), "")</f>
        <v/>
      </c>
      <c r="AG49" s="36" t="str">
        <f>IFERROR(((2 * (SUMIFS(Table1[[AwayWon]:[AwayWon]], Table1[[GameIsOver]:[GameIsOver]], 1, Table1[[AwayTeam]:[AwayTeam]], $A49, Table1[[HomeTeam]:[HomeTeam]], AG$36) + SUMIFS(Table1[[HomeWon]:[HomeWon]], Table1[[GameIsOver]:[GameIsOver]], 1, Table1[[HomeTeam]:[HomeTeam]], $A49, Table1[[AwayTeam]:[AwayTeam]], AG$36))) + (SUMIFS(Table1[[HomeWon]:[HomeWon]], Table1[[GameIsOver]:[GameIsOver]], 1, Table1[[AwayTeam]:[AwayTeam]], $A49, Table1[[HomeTeam]:[HomeTeam]],  AG$36, Table1[[ActualResult]:[ActualResult]], "OT") + SUMIFS(Table1[[AwayWon]:[AwayWon]], Table1[[GameIsOver]:[GameIsOver]], 1, Table1[[HomeTeam]:[HomeTeam]], $A49, Table1[[AwayTeam]:[AwayTeam]], AG$36, Table1[[ActualResult]:[ActualResult]], "OT") + SUMIFS(Table1[[HomeWon]:[HomeWon]], Table1[[GameIsOver]:[GameIsOver]], 1, Table1[[AwayTeam]:[AwayTeam]], $A49, Table1[[HomeTeam]:[HomeTeam]], AG$36, Table1[[ActualResult]:[ActualResult]], "SO") + SUMIFS(Table1[[AwayWon]:[AwayWon]], Table1[[GameIsOver]:[GameIsOver]], 1, Table1[[HomeTeam]:[HomeTeam]], $A49, Table1[[AwayTeam]:[AwayTeam]], AG$36, Table1[[ActualResult]:[ActualResult]], "SO")))/ (2*((COUNTIFS(Table1[[GameIsOver]:[GameIsOver]],1,Table1[[AwayTeam]:[AwayTeam]],$A49, Table1[[HomeTeam]:[HomeTeam]], AG$36)))+( COUNTIFS(Table1[[GameIsOver]:[GameIsOver]],1,Table1[[AwayTeam]:[AwayTeam]],AG$36, Table1[[HomeTeam]:[HomeTeam]],$A49))), "")</f>
        <v/>
      </c>
      <c r="AH49" s="37" t="e">
        <f t="shared" si="0"/>
        <v>#DIV/0!</v>
      </c>
      <c r="AI49" s="37">
        <f t="shared" si="1"/>
        <v>2</v>
      </c>
      <c r="AJ49" s="38" t="e">
        <f t="shared" si="2"/>
        <v>#DIV/0!</v>
      </c>
      <c r="AK49" s="38" t="e">
        <f t="shared" si="3"/>
        <v>#DIV/0!</v>
      </c>
      <c r="AL49" s="38">
        <f t="shared" si="4"/>
        <v>2</v>
      </c>
      <c r="AM49" s="38" t="e">
        <f t="shared" si="5"/>
        <v>#DIV/0!</v>
      </c>
    </row>
    <row r="50" spans="1:39" x14ac:dyDescent="0.25">
      <c r="A50" s="17" t="s">
        <v>61</v>
      </c>
      <c r="B50" s="36" t="str">
        <f>IFERROR(((2 * (SUMIFS(Table1[[AwayWon]:[AwayWon]], Table1[[GameIsOver]:[GameIsOver]], 1, Table1[[AwayTeam]:[AwayTeam]], $A50, Table1[[HomeTeam]:[HomeTeam]], B$36) + SUMIFS(Table1[[HomeWon]:[HomeWon]], Table1[[GameIsOver]:[GameIsOver]], 1, Table1[[HomeTeam]:[HomeTeam]], $A50, Table1[[AwayTeam]:[AwayTeam]], B$36))) + (SUMIFS(Table1[[HomeWon]:[HomeWon]], Table1[[GameIsOver]:[GameIsOver]], 1, Table1[[AwayTeam]:[AwayTeam]], $A50, Table1[[HomeTeam]:[HomeTeam]],  B$36, Table1[[ActualResult]:[ActualResult]], "OT") + SUMIFS(Table1[[AwayWon]:[AwayWon]], Table1[[GameIsOver]:[GameIsOver]], 1, Table1[[HomeTeam]:[HomeTeam]], $A50, Table1[[AwayTeam]:[AwayTeam]], B$36, Table1[[ActualResult]:[ActualResult]], "OT") + SUMIFS(Table1[[HomeWon]:[HomeWon]], Table1[[GameIsOver]:[GameIsOver]], 1, Table1[[AwayTeam]:[AwayTeam]], $A50, Table1[[HomeTeam]:[HomeTeam]], B$36, Table1[[ActualResult]:[ActualResult]], "SO") + SUMIFS(Table1[[AwayWon]:[AwayWon]], Table1[[GameIsOver]:[GameIsOver]], 1, Table1[[HomeTeam]:[HomeTeam]], $A50, Table1[[AwayTeam]:[AwayTeam]], B$36, Table1[[ActualResult]:[ActualResult]], "SO")))/ (2*((COUNTIFS(Table1[[GameIsOver]:[GameIsOver]],1,Table1[[AwayTeam]:[AwayTeam]],$A50, Table1[[HomeTeam]:[HomeTeam]], B$36)))+( COUNTIFS(Table1[[GameIsOver]:[GameIsOver]],1,Table1[[AwayTeam]:[AwayTeam]],B$36, Table1[[HomeTeam]:[HomeTeam]],$A50))), "")</f>
        <v/>
      </c>
      <c r="C50" s="36" t="str">
        <f>IFERROR(((2 * (SUMIFS(Table1[[AwayWon]:[AwayWon]], Table1[[GameIsOver]:[GameIsOver]], 1, Table1[[AwayTeam]:[AwayTeam]], $A50, Table1[[HomeTeam]:[HomeTeam]], C$36) + SUMIFS(Table1[[HomeWon]:[HomeWon]], Table1[[GameIsOver]:[GameIsOver]], 1, Table1[[HomeTeam]:[HomeTeam]], $A50, Table1[[AwayTeam]:[AwayTeam]], C$36))) + (SUMIFS(Table1[[HomeWon]:[HomeWon]], Table1[[GameIsOver]:[GameIsOver]], 1, Table1[[AwayTeam]:[AwayTeam]], $A50, Table1[[HomeTeam]:[HomeTeam]],  C$36, Table1[[ActualResult]:[ActualResult]], "OT") + SUMIFS(Table1[[AwayWon]:[AwayWon]], Table1[[GameIsOver]:[GameIsOver]], 1, Table1[[HomeTeam]:[HomeTeam]], $A50, Table1[[AwayTeam]:[AwayTeam]], C$36, Table1[[ActualResult]:[ActualResult]], "OT") + SUMIFS(Table1[[HomeWon]:[HomeWon]], Table1[[GameIsOver]:[GameIsOver]], 1, Table1[[AwayTeam]:[AwayTeam]], $A50, Table1[[HomeTeam]:[HomeTeam]], C$36, Table1[[ActualResult]:[ActualResult]], "SO") + SUMIFS(Table1[[AwayWon]:[AwayWon]], Table1[[GameIsOver]:[GameIsOver]], 1, Table1[[HomeTeam]:[HomeTeam]], $A50, Table1[[AwayTeam]:[AwayTeam]], C$36, Table1[[ActualResult]:[ActualResult]], "SO")))/ (2*((COUNTIFS(Table1[[GameIsOver]:[GameIsOver]],1,Table1[[AwayTeam]:[AwayTeam]],$A50, Table1[[HomeTeam]:[HomeTeam]], C$36)))+( COUNTIFS(Table1[[GameIsOver]:[GameIsOver]],1,Table1[[AwayTeam]:[AwayTeam]],C$36, Table1[[HomeTeam]:[HomeTeam]],$A50))), "")</f>
        <v/>
      </c>
      <c r="D50" s="36" t="str">
        <f>IFERROR(((2 * (SUMIFS(Table1[[AwayWon]:[AwayWon]], Table1[[GameIsOver]:[GameIsOver]], 1, Table1[[AwayTeam]:[AwayTeam]], $A50, Table1[[HomeTeam]:[HomeTeam]], D$36) + SUMIFS(Table1[[HomeWon]:[HomeWon]], Table1[[GameIsOver]:[GameIsOver]], 1, Table1[[HomeTeam]:[HomeTeam]], $A50, Table1[[AwayTeam]:[AwayTeam]], D$36))) + (SUMIFS(Table1[[HomeWon]:[HomeWon]], Table1[[GameIsOver]:[GameIsOver]], 1, Table1[[AwayTeam]:[AwayTeam]], $A50, Table1[[HomeTeam]:[HomeTeam]],  D$36, Table1[[ActualResult]:[ActualResult]], "OT") + SUMIFS(Table1[[AwayWon]:[AwayWon]], Table1[[GameIsOver]:[GameIsOver]], 1, Table1[[HomeTeam]:[HomeTeam]], $A50, Table1[[AwayTeam]:[AwayTeam]], D$36, Table1[[ActualResult]:[ActualResult]], "OT") + SUMIFS(Table1[[HomeWon]:[HomeWon]], Table1[[GameIsOver]:[GameIsOver]], 1, Table1[[AwayTeam]:[AwayTeam]], $A50, Table1[[HomeTeam]:[HomeTeam]], D$36, Table1[[ActualResult]:[ActualResult]], "SO") + SUMIFS(Table1[[AwayWon]:[AwayWon]], Table1[[GameIsOver]:[GameIsOver]], 1, Table1[[HomeTeam]:[HomeTeam]], $A50, Table1[[AwayTeam]:[AwayTeam]], D$36, Table1[[ActualResult]:[ActualResult]], "SO")))/ (2*((COUNTIFS(Table1[[GameIsOver]:[GameIsOver]],1,Table1[[AwayTeam]:[AwayTeam]],$A50, Table1[[HomeTeam]:[HomeTeam]], D$36)))+( COUNTIFS(Table1[[GameIsOver]:[GameIsOver]],1,Table1[[AwayTeam]:[AwayTeam]],D$36, Table1[[HomeTeam]:[HomeTeam]],$A50))), "")</f>
        <v/>
      </c>
      <c r="E50" s="36" t="str">
        <f>IFERROR(((2 * (SUMIFS(Table1[[AwayWon]:[AwayWon]], Table1[[GameIsOver]:[GameIsOver]], 1, Table1[[AwayTeam]:[AwayTeam]], $A50, Table1[[HomeTeam]:[HomeTeam]], E$36) + SUMIFS(Table1[[HomeWon]:[HomeWon]], Table1[[GameIsOver]:[GameIsOver]], 1, Table1[[HomeTeam]:[HomeTeam]], $A50, Table1[[AwayTeam]:[AwayTeam]], E$36))) + (SUMIFS(Table1[[HomeWon]:[HomeWon]], Table1[[GameIsOver]:[GameIsOver]], 1, Table1[[AwayTeam]:[AwayTeam]], $A50, Table1[[HomeTeam]:[HomeTeam]],  E$36, Table1[[ActualResult]:[ActualResult]], "OT") + SUMIFS(Table1[[AwayWon]:[AwayWon]], Table1[[GameIsOver]:[GameIsOver]], 1, Table1[[HomeTeam]:[HomeTeam]], $A50, Table1[[AwayTeam]:[AwayTeam]], E$36, Table1[[ActualResult]:[ActualResult]], "OT") + SUMIFS(Table1[[HomeWon]:[HomeWon]], Table1[[GameIsOver]:[GameIsOver]], 1, Table1[[AwayTeam]:[AwayTeam]], $A50, Table1[[HomeTeam]:[HomeTeam]], E$36, Table1[[ActualResult]:[ActualResult]], "SO") + SUMIFS(Table1[[AwayWon]:[AwayWon]], Table1[[GameIsOver]:[GameIsOver]], 1, Table1[[HomeTeam]:[HomeTeam]], $A50, Table1[[AwayTeam]:[AwayTeam]], E$36, Table1[[ActualResult]:[ActualResult]], "SO")))/ (2*((COUNTIFS(Table1[[GameIsOver]:[GameIsOver]],1,Table1[[AwayTeam]:[AwayTeam]],$A50, Table1[[HomeTeam]:[HomeTeam]], E$36)))+( COUNTIFS(Table1[[GameIsOver]:[GameIsOver]],1,Table1[[AwayTeam]:[AwayTeam]],E$36, Table1[[HomeTeam]:[HomeTeam]],$A50))), "")</f>
        <v/>
      </c>
      <c r="F50" s="36" t="str">
        <f>IFERROR(((2 * (SUMIFS(Table1[[AwayWon]:[AwayWon]], Table1[[GameIsOver]:[GameIsOver]], 1, Table1[[AwayTeam]:[AwayTeam]], $A50, Table1[[HomeTeam]:[HomeTeam]], F$36) + SUMIFS(Table1[[HomeWon]:[HomeWon]], Table1[[GameIsOver]:[GameIsOver]], 1, Table1[[HomeTeam]:[HomeTeam]], $A50, Table1[[AwayTeam]:[AwayTeam]], F$36))) + (SUMIFS(Table1[[HomeWon]:[HomeWon]], Table1[[GameIsOver]:[GameIsOver]], 1, Table1[[AwayTeam]:[AwayTeam]], $A50, Table1[[HomeTeam]:[HomeTeam]],  F$36, Table1[[ActualResult]:[ActualResult]], "OT") + SUMIFS(Table1[[AwayWon]:[AwayWon]], Table1[[GameIsOver]:[GameIsOver]], 1, Table1[[HomeTeam]:[HomeTeam]], $A50, Table1[[AwayTeam]:[AwayTeam]], F$36, Table1[[ActualResult]:[ActualResult]], "OT") + SUMIFS(Table1[[HomeWon]:[HomeWon]], Table1[[GameIsOver]:[GameIsOver]], 1, Table1[[AwayTeam]:[AwayTeam]], $A50, Table1[[HomeTeam]:[HomeTeam]], F$36, Table1[[ActualResult]:[ActualResult]], "SO") + SUMIFS(Table1[[AwayWon]:[AwayWon]], Table1[[GameIsOver]:[GameIsOver]], 1, Table1[[HomeTeam]:[HomeTeam]], $A50, Table1[[AwayTeam]:[AwayTeam]], F$36, Table1[[ActualResult]:[ActualResult]], "SO")))/ (2*((COUNTIFS(Table1[[GameIsOver]:[GameIsOver]],1,Table1[[AwayTeam]:[AwayTeam]],$A50, Table1[[HomeTeam]:[HomeTeam]], F$36)))+( COUNTIFS(Table1[[GameIsOver]:[GameIsOver]],1,Table1[[AwayTeam]:[AwayTeam]],F$36, Table1[[HomeTeam]:[HomeTeam]],$A50))), "")</f>
        <v/>
      </c>
      <c r="G50" s="36" t="str">
        <f>IFERROR(((2 * (SUMIFS(Table1[[AwayWon]:[AwayWon]], Table1[[GameIsOver]:[GameIsOver]], 1, Table1[[AwayTeam]:[AwayTeam]], $A50, Table1[[HomeTeam]:[HomeTeam]], G$36) + SUMIFS(Table1[[HomeWon]:[HomeWon]], Table1[[GameIsOver]:[GameIsOver]], 1, Table1[[HomeTeam]:[HomeTeam]], $A50, Table1[[AwayTeam]:[AwayTeam]], G$36))) + (SUMIFS(Table1[[HomeWon]:[HomeWon]], Table1[[GameIsOver]:[GameIsOver]], 1, Table1[[AwayTeam]:[AwayTeam]], $A50, Table1[[HomeTeam]:[HomeTeam]],  G$36, Table1[[ActualResult]:[ActualResult]], "OT") + SUMIFS(Table1[[AwayWon]:[AwayWon]], Table1[[GameIsOver]:[GameIsOver]], 1, Table1[[HomeTeam]:[HomeTeam]], $A50, Table1[[AwayTeam]:[AwayTeam]], G$36, Table1[[ActualResult]:[ActualResult]], "OT") + SUMIFS(Table1[[HomeWon]:[HomeWon]], Table1[[GameIsOver]:[GameIsOver]], 1, Table1[[AwayTeam]:[AwayTeam]], $A50, Table1[[HomeTeam]:[HomeTeam]], G$36, Table1[[ActualResult]:[ActualResult]], "SO") + SUMIFS(Table1[[AwayWon]:[AwayWon]], Table1[[GameIsOver]:[GameIsOver]], 1, Table1[[HomeTeam]:[HomeTeam]], $A50, Table1[[AwayTeam]:[AwayTeam]], G$36, Table1[[ActualResult]:[ActualResult]], "SO")))/ (2*((COUNTIFS(Table1[[GameIsOver]:[GameIsOver]],1,Table1[[AwayTeam]:[AwayTeam]],$A50, Table1[[HomeTeam]:[HomeTeam]], G$36)))+( COUNTIFS(Table1[[GameIsOver]:[GameIsOver]],1,Table1[[AwayTeam]:[AwayTeam]],G$36, Table1[[HomeTeam]:[HomeTeam]],$A50))), "")</f>
        <v/>
      </c>
      <c r="H50" s="36" t="str">
        <f>IFERROR(((2 * (SUMIFS(Table1[[AwayWon]:[AwayWon]], Table1[[GameIsOver]:[GameIsOver]], 1, Table1[[AwayTeam]:[AwayTeam]], $A50, Table1[[HomeTeam]:[HomeTeam]], H$36) + SUMIFS(Table1[[HomeWon]:[HomeWon]], Table1[[GameIsOver]:[GameIsOver]], 1, Table1[[HomeTeam]:[HomeTeam]], $A50, Table1[[AwayTeam]:[AwayTeam]], H$36))) + (SUMIFS(Table1[[HomeWon]:[HomeWon]], Table1[[GameIsOver]:[GameIsOver]], 1, Table1[[AwayTeam]:[AwayTeam]], $A50, Table1[[HomeTeam]:[HomeTeam]],  H$36, Table1[[ActualResult]:[ActualResult]], "OT") + SUMIFS(Table1[[AwayWon]:[AwayWon]], Table1[[GameIsOver]:[GameIsOver]], 1, Table1[[HomeTeam]:[HomeTeam]], $A50, Table1[[AwayTeam]:[AwayTeam]], H$36, Table1[[ActualResult]:[ActualResult]], "OT") + SUMIFS(Table1[[HomeWon]:[HomeWon]], Table1[[GameIsOver]:[GameIsOver]], 1, Table1[[AwayTeam]:[AwayTeam]], $A50, Table1[[HomeTeam]:[HomeTeam]], H$36, Table1[[ActualResult]:[ActualResult]], "SO") + SUMIFS(Table1[[AwayWon]:[AwayWon]], Table1[[GameIsOver]:[GameIsOver]], 1, Table1[[HomeTeam]:[HomeTeam]], $A50, Table1[[AwayTeam]:[AwayTeam]], H$36, Table1[[ActualResult]:[ActualResult]], "SO")))/ (2*((COUNTIFS(Table1[[GameIsOver]:[GameIsOver]],1,Table1[[AwayTeam]:[AwayTeam]],$A50, Table1[[HomeTeam]:[HomeTeam]], H$36)))+( COUNTIFS(Table1[[GameIsOver]:[GameIsOver]],1,Table1[[AwayTeam]:[AwayTeam]],H$36, Table1[[HomeTeam]:[HomeTeam]],$A50))), "")</f>
        <v/>
      </c>
      <c r="I50" s="38" t="str">
        <f>IFERROR(((2 * (SUMIFS(Table1[[AwayWon]:[AwayWon]], Table1[[GameIsOver]:[GameIsOver]], 1, Table1[[AwayTeam]:[AwayTeam]], $A50, Table1[[HomeTeam]:[HomeTeam]], I$36) + SUMIFS(Table1[[HomeWon]:[HomeWon]], Table1[[GameIsOver]:[GameIsOver]], 1, Table1[[HomeTeam]:[HomeTeam]], $A50, Table1[[AwayTeam]:[AwayTeam]], I$36))) + (SUMIFS(Table1[[HomeWon]:[HomeWon]], Table1[[GameIsOver]:[GameIsOver]], 1, Table1[[AwayTeam]:[AwayTeam]], $A50, Table1[[HomeTeam]:[HomeTeam]],  I$36, Table1[[ActualResult]:[ActualResult]], "OT") + SUMIFS(Table1[[AwayWon]:[AwayWon]], Table1[[GameIsOver]:[GameIsOver]], 1, Table1[[HomeTeam]:[HomeTeam]], $A50, Table1[[AwayTeam]:[AwayTeam]], I$36, Table1[[ActualResult]:[ActualResult]], "OT") + SUMIFS(Table1[[HomeWon]:[HomeWon]], Table1[[GameIsOver]:[GameIsOver]], 1, Table1[[AwayTeam]:[AwayTeam]], $A50, Table1[[HomeTeam]:[HomeTeam]], I$36, Table1[[ActualResult]:[ActualResult]], "SO") + SUMIFS(Table1[[AwayWon]:[AwayWon]], Table1[[GameIsOver]:[GameIsOver]], 1, Table1[[HomeTeam]:[HomeTeam]], $A50, Table1[[AwayTeam]:[AwayTeam]], I$36, Table1[[ActualResult]:[ActualResult]], "SO")))/ (2*((COUNTIFS(Table1[[GameIsOver]:[GameIsOver]],1,Table1[[AwayTeam]:[AwayTeam]],$A50, Table1[[HomeTeam]:[HomeTeam]], I$36)))+( COUNTIFS(Table1[[GameIsOver]:[GameIsOver]],1,Table1[[AwayTeam]:[AwayTeam]],I$36, Table1[[HomeTeam]:[HomeTeam]],$A50))), "")</f>
        <v/>
      </c>
      <c r="J50" s="36" t="str">
        <f>IFERROR(((2 * (SUMIFS(Table1[[AwayWon]:[AwayWon]], Table1[[GameIsOver]:[GameIsOver]], 1, Table1[[AwayTeam]:[AwayTeam]], $A50, Table1[[HomeTeam]:[HomeTeam]], J$36) + SUMIFS(Table1[[HomeWon]:[HomeWon]], Table1[[GameIsOver]:[GameIsOver]], 1, Table1[[HomeTeam]:[HomeTeam]], $A50, Table1[[AwayTeam]:[AwayTeam]], J$36))) + (SUMIFS(Table1[[HomeWon]:[HomeWon]], Table1[[GameIsOver]:[GameIsOver]], 1, Table1[[AwayTeam]:[AwayTeam]], $A50, Table1[[HomeTeam]:[HomeTeam]],  J$36, Table1[[ActualResult]:[ActualResult]], "OT") + SUMIFS(Table1[[AwayWon]:[AwayWon]], Table1[[GameIsOver]:[GameIsOver]], 1, Table1[[HomeTeam]:[HomeTeam]], $A50, Table1[[AwayTeam]:[AwayTeam]], J$36, Table1[[ActualResult]:[ActualResult]], "OT") + SUMIFS(Table1[[HomeWon]:[HomeWon]], Table1[[GameIsOver]:[GameIsOver]], 1, Table1[[AwayTeam]:[AwayTeam]], $A50, Table1[[HomeTeam]:[HomeTeam]], J$36, Table1[[ActualResult]:[ActualResult]], "SO") + SUMIFS(Table1[[AwayWon]:[AwayWon]], Table1[[GameIsOver]:[GameIsOver]], 1, Table1[[HomeTeam]:[HomeTeam]], $A50, Table1[[AwayTeam]:[AwayTeam]], J$36, Table1[[ActualResult]:[ActualResult]], "SO")))/ (2*((COUNTIFS(Table1[[GameIsOver]:[GameIsOver]],1,Table1[[AwayTeam]:[AwayTeam]],$A50, Table1[[HomeTeam]:[HomeTeam]], J$36)))+( COUNTIFS(Table1[[GameIsOver]:[GameIsOver]],1,Table1[[AwayTeam]:[AwayTeam]],J$36, Table1[[HomeTeam]:[HomeTeam]],$A50))), "")</f>
        <v/>
      </c>
      <c r="K50" s="36" t="str">
        <f>IFERROR(((2 * (SUMIFS(Table1[[AwayWon]:[AwayWon]], Table1[[GameIsOver]:[GameIsOver]], 1, Table1[[AwayTeam]:[AwayTeam]], $A50, Table1[[HomeTeam]:[HomeTeam]], K$36) + SUMIFS(Table1[[HomeWon]:[HomeWon]], Table1[[GameIsOver]:[GameIsOver]], 1, Table1[[HomeTeam]:[HomeTeam]], $A50, Table1[[AwayTeam]:[AwayTeam]], K$36))) + (SUMIFS(Table1[[HomeWon]:[HomeWon]], Table1[[GameIsOver]:[GameIsOver]], 1, Table1[[AwayTeam]:[AwayTeam]], $A50, Table1[[HomeTeam]:[HomeTeam]],  K$36, Table1[[ActualResult]:[ActualResult]], "OT") + SUMIFS(Table1[[AwayWon]:[AwayWon]], Table1[[GameIsOver]:[GameIsOver]], 1, Table1[[HomeTeam]:[HomeTeam]], $A50, Table1[[AwayTeam]:[AwayTeam]], K$36, Table1[[ActualResult]:[ActualResult]], "OT") + SUMIFS(Table1[[HomeWon]:[HomeWon]], Table1[[GameIsOver]:[GameIsOver]], 1, Table1[[AwayTeam]:[AwayTeam]], $A50, Table1[[HomeTeam]:[HomeTeam]], K$36, Table1[[ActualResult]:[ActualResult]], "SO") + SUMIFS(Table1[[AwayWon]:[AwayWon]], Table1[[GameIsOver]:[GameIsOver]], 1, Table1[[HomeTeam]:[HomeTeam]], $A50, Table1[[AwayTeam]:[AwayTeam]], K$36, Table1[[ActualResult]:[ActualResult]], "SO")))/ (2*((COUNTIFS(Table1[[GameIsOver]:[GameIsOver]],1,Table1[[AwayTeam]:[AwayTeam]],$A50, Table1[[HomeTeam]:[HomeTeam]], K$36)))+( COUNTIFS(Table1[[GameIsOver]:[GameIsOver]],1,Table1[[AwayTeam]:[AwayTeam]],K$36, Table1[[HomeTeam]:[HomeTeam]],$A50))), "")</f>
        <v/>
      </c>
      <c r="L50" s="36" t="str">
        <f>IFERROR(((2 * (SUMIFS(Table1[[AwayWon]:[AwayWon]], Table1[[GameIsOver]:[GameIsOver]], 1, Table1[[AwayTeam]:[AwayTeam]], $A50, Table1[[HomeTeam]:[HomeTeam]], L$36) + SUMIFS(Table1[[HomeWon]:[HomeWon]], Table1[[GameIsOver]:[GameIsOver]], 1, Table1[[HomeTeam]:[HomeTeam]], $A50, Table1[[AwayTeam]:[AwayTeam]], L$36))) + (SUMIFS(Table1[[HomeWon]:[HomeWon]], Table1[[GameIsOver]:[GameIsOver]], 1, Table1[[AwayTeam]:[AwayTeam]], $A50, Table1[[HomeTeam]:[HomeTeam]],  L$36, Table1[[ActualResult]:[ActualResult]], "OT") + SUMIFS(Table1[[AwayWon]:[AwayWon]], Table1[[GameIsOver]:[GameIsOver]], 1, Table1[[HomeTeam]:[HomeTeam]], $A50, Table1[[AwayTeam]:[AwayTeam]], L$36, Table1[[ActualResult]:[ActualResult]], "OT") + SUMIFS(Table1[[HomeWon]:[HomeWon]], Table1[[GameIsOver]:[GameIsOver]], 1, Table1[[AwayTeam]:[AwayTeam]], $A50, Table1[[HomeTeam]:[HomeTeam]], L$36, Table1[[ActualResult]:[ActualResult]], "SO") + SUMIFS(Table1[[AwayWon]:[AwayWon]], Table1[[GameIsOver]:[GameIsOver]], 1, Table1[[HomeTeam]:[HomeTeam]], $A50, Table1[[AwayTeam]:[AwayTeam]], L$36, Table1[[ActualResult]:[ActualResult]], "SO")))/ (2*((COUNTIFS(Table1[[GameIsOver]:[GameIsOver]],1,Table1[[AwayTeam]:[AwayTeam]],$A50, Table1[[HomeTeam]:[HomeTeam]], L$36)))+( COUNTIFS(Table1[[GameIsOver]:[GameIsOver]],1,Table1[[AwayTeam]:[AwayTeam]],L$36, Table1[[HomeTeam]:[HomeTeam]],$A50))), "")</f>
        <v/>
      </c>
      <c r="M50" s="36" t="str">
        <f>IFERROR(((2 * (SUMIFS(Table1[[AwayWon]:[AwayWon]], Table1[[GameIsOver]:[GameIsOver]], 1, Table1[[AwayTeam]:[AwayTeam]], $A50, Table1[[HomeTeam]:[HomeTeam]], M$36) + SUMIFS(Table1[[HomeWon]:[HomeWon]], Table1[[GameIsOver]:[GameIsOver]], 1, Table1[[HomeTeam]:[HomeTeam]], $A50, Table1[[AwayTeam]:[AwayTeam]], M$36))) + (SUMIFS(Table1[[HomeWon]:[HomeWon]], Table1[[GameIsOver]:[GameIsOver]], 1, Table1[[AwayTeam]:[AwayTeam]], $A50, Table1[[HomeTeam]:[HomeTeam]],  M$36, Table1[[ActualResult]:[ActualResult]], "OT") + SUMIFS(Table1[[AwayWon]:[AwayWon]], Table1[[GameIsOver]:[GameIsOver]], 1, Table1[[HomeTeam]:[HomeTeam]], $A50, Table1[[AwayTeam]:[AwayTeam]], M$36, Table1[[ActualResult]:[ActualResult]], "OT") + SUMIFS(Table1[[HomeWon]:[HomeWon]], Table1[[GameIsOver]:[GameIsOver]], 1, Table1[[AwayTeam]:[AwayTeam]], $A50, Table1[[HomeTeam]:[HomeTeam]], M$36, Table1[[ActualResult]:[ActualResult]], "SO") + SUMIFS(Table1[[AwayWon]:[AwayWon]], Table1[[GameIsOver]:[GameIsOver]], 1, Table1[[HomeTeam]:[HomeTeam]], $A50, Table1[[AwayTeam]:[AwayTeam]], M$36, Table1[[ActualResult]:[ActualResult]], "SO")))/ (2*((COUNTIFS(Table1[[GameIsOver]:[GameIsOver]],1,Table1[[AwayTeam]:[AwayTeam]],$A50, Table1[[HomeTeam]:[HomeTeam]], M$36)))+( COUNTIFS(Table1[[GameIsOver]:[GameIsOver]],1,Table1[[AwayTeam]:[AwayTeam]],M$36, Table1[[HomeTeam]:[HomeTeam]],$A50))), "")</f>
        <v/>
      </c>
      <c r="N50" s="36" t="str">
        <f>IFERROR(((2 * (SUMIFS(Table1[[AwayWon]:[AwayWon]], Table1[[GameIsOver]:[GameIsOver]], 1, Table1[[AwayTeam]:[AwayTeam]], $A50, Table1[[HomeTeam]:[HomeTeam]], N$36) + SUMIFS(Table1[[HomeWon]:[HomeWon]], Table1[[GameIsOver]:[GameIsOver]], 1, Table1[[HomeTeam]:[HomeTeam]], $A50, Table1[[AwayTeam]:[AwayTeam]], N$36))) + (SUMIFS(Table1[[HomeWon]:[HomeWon]], Table1[[GameIsOver]:[GameIsOver]], 1, Table1[[AwayTeam]:[AwayTeam]], $A50, Table1[[HomeTeam]:[HomeTeam]],  N$36, Table1[[ActualResult]:[ActualResult]], "OT") + SUMIFS(Table1[[AwayWon]:[AwayWon]], Table1[[GameIsOver]:[GameIsOver]], 1, Table1[[HomeTeam]:[HomeTeam]], $A50, Table1[[AwayTeam]:[AwayTeam]], N$36, Table1[[ActualResult]:[ActualResult]], "OT") + SUMIFS(Table1[[HomeWon]:[HomeWon]], Table1[[GameIsOver]:[GameIsOver]], 1, Table1[[AwayTeam]:[AwayTeam]], $A50, Table1[[HomeTeam]:[HomeTeam]], N$36, Table1[[ActualResult]:[ActualResult]], "SO") + SUMIFS(Table1[[AwayWon]:[AwayWon]], Table1[[GameIsOver]:[GameIsOver]], 1, Table1[[HomeTeam]:[HomeTeam]], $A50, Table1[[AwayTeam]:[AwayTeam]], N$36, Table1[[ActualResult]:[ActualResult]], "SO")))/ (2*((COUNTIFS(Table1[[GameIsOver]:[GameIsOver]],1,Table1[[AwayTeam]:[AwayTeam]],$A50, Table1[[HomeTeam]:[HomeTeam]], N$36)))+( COUNTIFS(Table1[[GameIsOver]:[GameIsOver]],1,Table1[[AwayTeam]:[AwayTeam]],N$36, Table1[[HomeTeam]:[HomeTeam]],$A50))), "")</f>
        <v/>
      </c>
      <c r="O50" s="36" t="str">
        <f>IFERROR(((2 * (SUMIFS(Table1[[AwayWon]:[AwayWon]], Table1[[GameIsOver]:[GameIsOver]], 1, Table1[[AwayTeam]:[AwayTeam]], $A50, Table1[[HomeTeam]:[HomeTeam]], O$36) + SUMIFS(Table1[[HomeWon]:[HomeWon]], Table1[[GameIsOver]:[GameIsOver]], 1, Table1[[HomeTeam]:[HomeTeam]], $A50, Table1[[AwayTeam]:[AwayTeam]], O$36))) + (SUMIFS(Table1[[HomeWon]:[HomeWon]], Table1[[GameIsOver]:[GameIsOver]], 1, Table1[[AwayTeam]:[AwayTeam]], $A50, Table1[[HomeTeam]:[HomeTeam]],  O$36, Table1[[ActualResult]:[ActualResult]], "OT") + SUMIFS(Table1[[AwayWon]:[AwayWon]], Table1[[GameIsOver]:[GameIsOver]], 1, Table1[[HomeTeam]:[HomeTeam]], $A50, Table1[[AwayTeam]:[AwayTeam]], O$36, Table1[[ActualResult]:[ActualResult]], "OT") + SUMIFS(Table1[[HomeWon]:[HomeWon]], Table1[[GameIsOver]:[GameIsOver]], 1, Table1[[AwayTeam]:[AwayTeam]], $A50, Table1[[HomeTeam]:[HomeTeam]], O$36, Table1[[ActualResult]:[ActualResult]], "SO") + SUMIFS(Table1[[AwayWon]:[AwayWon]], Table1[[GameIsOver]:[GameIsOver]], 1, Table1[[HomeTeam]:[HomeTeam]], $A50, Table1[[AwayTeam]:[AwayTeam]], O$36, Table1[[ActualResult]:[ActualResult]], "SO")))/ (2*((COUNTIFS(Table1[[GameIsOver]:[GameIsOver]],1,Table1[[AwayTeam]:[AwayTeam]],$A50, Table1[[HomeTeam]:[HomeTeam]], O$36)))+( COUNTIFS(Table1[[GameIsOver]:[GameIsOver]],1,Table1[[AwayTeam]:[AwayTeam]],O$36, Table1[[HomeTeam]:[HomeTeam]],$A50))), "")</f>
        <v/>
      </c>
      <c r="P50" s="36" t="str">
        <f>IFERROR(((2 * (SUMIFS(Table1[[AwayWon]:[AwayWon]], Table1[[GameIsOver]:[GameIsOver]], 1, Table1[[AwayTeam]:[AwayTeam]], $A50, Table1[[HomeTeam]:[HomeTeam]], P$36) + SUMIFS(Table1[[HomeWon]:[HomeWon]], Table1[[GameIsOver]:[GameIsOver]], 1, Table1[[HomeTeam]:[HomeTeam]], $A50, Table1[[AwayTeam]:[AwayTeam]], P$36))) + (SUMIFS(Table1[[HomeWon]:[HomeWon]], Table1[[GameIsOver]:[GameIsOver]], 1, Table1[[AwayTeam]:[AwayTeam]], $A50, Table1[[HomeTeam]:[HomeTeam]],  P$36, Table1[[ActualResult]:[ActualResult]], "OT") + SUMIFS(Table1[[AwayWon]:[AwayWon]], Table1[[GameIsOver]:[GameIsOver]], 1, Table1[[HomeTeam]:[HomeTeam]], $A50, Table1[[AwayTeam]:[AwayTeam]], P$36, Table1[[ActualResult]:[ActualResult]], "OT") + SUMIFS(Table1[[HomeWon]:[HomeWon]], Table1[[GameIsOver]:[GameIsOver]], 1, Table1[[AwayTeam]:[AwayTeam]], $A50, Table1[[HomeTeam]:[HomeTeam]], P$36, Table1[[ActualResult]:[ActualResult]], "SO") + SUMIFS(Table1[[AwayWon]:[AwayWon]], Table1[[GameIsOver]:[GameIsOver]], 1, Table1[[HomeTeam]:[HomeTeam]], $A50, Table1[[AwayTeam]:[AwayTeam]], P$36, Table1[[ActualResult]:[ActualResult]], "SO")))/ (2*((COUNTIFS(Table1[[GameIsOver]:[GameIsOver]],1,Table1[[AwayTeam]:[AwayTeam]],$A50, Table1[[HomeTeam]:[HomeTeam]], P$36)))+( COUNTIFS(Table1[[GameIsOver]:[GameIsOver]],1,Table1[[AwayTeam]:[AwayTeam]],P$36, Table1[[HomeTeam]:[HomeTeam]],$A50))), "")</f>
        <v/>
      </c>
      <c r="Q50" s="38" t="str">
        <f>IFERROR(((2 * (SUMIFS(Table1[[AwayWon]:[AwayWon]], Table1[[GameIsOver]:[GameIsOver]], 1, Table1[[AwayTeam]:[AwayTeam]], $A50, Table1[[HomeTeam]:[HomeTeam]], Q$36) + SUMIFS(Table1[[HomeWon]:[HomeWon]], Table1[[GameIsOver]:[GameIsOver]], 1, Table1[[HomeTeam]:[HomeTeam]], $A50, Table1[[AwayTeam]:[AwayTeam]], Q$36))) + (SUMIFS(Table1[[HomeWon]:[HomeWon]], Table1[[GameIsOver]:[GameIsOver]], 1, Table1[[AwayTeam]:[AwayTeam]], $A50, Table1[[HomeTeam]:[HomeTeam]],  Q$36, Table1[[ActualResult]:[ActualResult]], "OT") + SUMIFS(Table1[[AwayWon]:[AwayWon]], Table1[[GameIsOver]:[GameIsOver]], 1, Table1[[HomeTeam]:[HomeTeam]], $A50, Table1[[AwayTeam]:[AwayTeam]], Q$36, Table1[[ActualResult]:[ActualResult]], "OT") + SUMIFS(Table1[[HomeWon]:[HomeWon]], Table1[[GameIsOver]:[GameIsOver]], 1, Table1[[AwayTeam]:[AwayTeam]], $A50, Table1[[HomeTeam]:[HomeTeam]], Q$36, Table1[[ActualResult]:[ActualResult]], "SO") + SUMIFS(Table1[[AwayWon]:[AwayWon]], Table1[[GameIsOver]:[GameIsOver]], 1, Table1[[HomeTeam]:[HomeTeam]], $A50, Table1[[AwayTeam]:[AwayTeam]], Q$36, Table1[[ActualResult]:[ActualResult]], "SO")))/ (2*((COUNTIFS(Table1[[GameIsOver]:[GameIsOver]],1,Table1[[AwayTeam]:[AwayTeam]],$A50, Table1[[HomeTeam]:[HomeTeam]], Q$36)))+( COUNTIFS(Table1[[GameIsOver]:[GameIsOver]],1,Table1[[AwayTeam]:[AwayTeam]],Q$36, Table1[[HomeTeam]:[HomeTeam]],$A50))), "")</f>
        <v/>
      </c>
      <c r="R50" s="36" t="str">
        <f>IFERROR(((2 * (SUMIFS(Table1[[AwayWon]:[AwayWon]], Table1[[GameIsOver]:[GameIsOver]], 1, Table1[[AwayTeam]:[AwayTeam]], $A50, Table1[[HomeTeam]:[HomeTeam]], R$36) + SUMIFS(Table1[[HomeWon]:[HomeWon]], Table1[[GameIsOver]:[GameIsOver]], 1, Table1[[HomeTeam]:[HomeTeam]], $A50, Table1[[AwayTeam]:[AwayTeam]], R$36))) + (SUMIFS(Table1[[HomeWon]:[HomeWon]], Table1[[GameIsOver]:[GameIsOver]], 1, Table1[[AwayTeam]:[AwayTeam]], $A50, Table1[[HomeTeam]:[HomeTeam]],  R$36, Table1[[ActualResult]:[ActualResult]], "OT") + SUMIFS(Table1[[AwayWon]:[AwayWon]], Table1[[GameIsOver]:[GameIsOver]], 1, Table1[[HomeTeam]:[HomeTeam]], $A50, Table1[[AwayTeam]:[AwayTeam]], R$36, Table1[[ActualResult]:[ActualResult]], "OT") + SUMIFS(Table1[[HomeWon]:[HomeWon]], Table1[[GameIsOver]:[GameIsOver]], 1, Table1[[AwayTeam]:[AwayTeam]], $A50, Table1[[HomeTeam]:[HomeTeam]], R$36, Table1[[ActualResult]:[ActualResult]], "SO") + SUMIFS(Table1[[AwayWon]:[AwayWon]], Table1[[GameIsOver]:[GameIsOver]], 1, Table1[[HomeTeam]:[HomeTeam]], $A50, Table1[[AwayTeam]:[AwayTeam]], R$36, Table1[[ActualResult]:[ActualResult]], "SO")))/ (2*((COUNTIFS(Table1[[GameIsOver]:[GameIsOver]],1,Table1[[AwayTeam]:[AwayTeam]],$A50, Table1[[HomeTeam]:[HomeTeam]], R$36)))+( COUNTIFS(Table1[[GameIsOver]:[GameIsOver]],1,Table1[[AwayTeam]:[AwayTeam]],R$36, Table1[[HomeTeam]:[HomeTeam]],$A50))), "")</f>
        <v/>
      </c>
      <c r="S50" s="36" t="str">
        <f>IFERROR(((2 * (SUMIFS(Table1[[AwayWon]:[AwayWon]], Table1[[GameIsOver]:[GameIsOver]], 1, Table1[[AwayTeam]:[AwayTeam]], $A50, Table1[[HomeTeam]:[HomeTeam]], S$36) + SUMIFS(Table1[[HomeWon]:[HomeWon]], Table1[[GameIsOver]:[GameIsOver]], 1, Table1[[HomeTeam]:[HomeTeam]], $A50, Table1[[AwayTeam]:[AwayTeam]], S$36))) + (SUMIFS(Table1[[HomeWon]:[HomeWon]], Table1[[GameIsOver]:[GameIsOver]], 1, Table1[[AwayTeam]:[AwayTeam]], $A50, Table1[[HomeTeam]:[HomeTeam]],  S$36, Table1[[ActualResult]:[ActualResult]], "OT") + SUMIFS(Table1[[AwayWon]:[AwayWon]], Table1[[GameIsOver]:[GameIsOver]], 1, Table1[[HomeTeam]:[HomeTeam]], $A50, Table1[[AwayTeam]:[AwayTeam]], S$36, Table1[[ActualResult]:[ActualResult]], "OT") + SUMIFS(Table1[[HomeWon]:[HomeWon]], Table1[[GameIsOver]:[GameIsOver]], 1, Table1[[AwayTeam]:[AwayTeam]], $A50, Table1[[HomeTeam]:[HomeTeam]], S$36, Table1[[ActualResult]:[ActualResult]], "SO") + SUMIFS(Table1[[AwayWon]:[AwayWon]], Table1[[GameIsOver]:[GameIsOver]], 1, Table1[[HomeTeam]:[HomeTeam]], $A50, Table1[[AwayTeam]:[AwayTeam]], S$36, Table1[[ActualResult]:[ActualResult]], "SO")))/ (2*((COUNTIFS(Table1[[GameIsOver]:[GameIsOver]],1,Table1[[AwayTeam]:[AwayTeam]],$A50, Table1[[HomeTeam]:[HomeTeam]], S$36)))+( COUNTIFS(Table1[[GameIsOver]:[GameIsOver]],1,Table1[[AwayTeam]:[AwayTeam]],S$36, Table1[[HomeTeam]:[HomeTeam]],$A50))), "")</f>
        <v/>
      </c>
      <c r="T50" s="36" t="str">
        <f>IFERROR(((2 * (SUMIFS(Table1[[AwayWon]:[AwayWon]], Table1[[GameIsOver]:[GameIsOver]], 1, Table1[[AwayTeam]:[AwayTeam]], $A50, Table1[[HomeTeam]:[HomeTeam]], T$36) + SUMIFS(Table1[[HomeWon]:[HomeWon]], Table1[[GameIsOver]:[GameIsOver]], 1, Table1[[HomeTeam]:[HomeTeam]], $A50, Table1[[AwayTeam]:[AwayTeam]], T$36))) + (SUMIFS(Table1[[HomeWon]:[HomeWon]], Table1[[GameIsOver]:[GameIsOver]], 1, Table1[[AwayTeam]:[AwayTeam]], $A50, Table1[[HomeTeam]:[HomeTeam]],  T$36, Table1[[ActualResult]:[ActualResult]], "OT") + SUMIFS(Table1[[AwayWon]:[AwayWon]], Table1[[GameIsOver]:[GameIsOver]], 1, Table1[[HomeTeam]:[HomeTeam]], $A50, Table1[[AwayTeam]:[AwayTeam]], T$36, Table1[[ActualResult]:[ActualResult]], "OT") + SUMIFS(Table1[[HomeWon]:[HomeWon]], Table1[[GameIsOver]:[GameIsOver]], 1, Table1[[AwayTeam]:[AwayTeam]], $A50, Table1[[HomeTeam]:[HomeTeam]], T$36, Table1[[ActualResult]:[ActualResult]], "SO") + SUMIFS(Table1[[AwayWon]:[AwayWon]], Table1[[GameIsOver]:[GameIsOver]], 1, Table1[[HomeTeam]:[HomeTeam]], $A50, Table1[[AwayTeam]:[AwayTeam]], T$36, Table1[[ActualResult]:[ActualResult]], "SO")))/ (2*((COUNTIFS(Table1[[GameIsOver]:[GameIsOver]],1,Table1[[AwayTeam]:[AwayTeam]],$A50, Table1[[HomeTeam]:[HomeTeam]], T$36)))+( COUNTIFS(Table1[[GameIsOver]:[GameIsOver]],1,Table1[[AwayTeam]:[AwayTeam]],T$36, Table1[[HomeTeam]:[HomeTeam]],$A50))), "")</f>
        <v/>
      </c>
      <c r="U50" s="36" t="str">
        <f>IFERROR(((2 * (SUMIFS(Table1[[AwayWon]:[AwayWon]], Table1[[GameIsOver]:[GameIsOver]], 1, Table1[[AwayTeam]:[AwayTeam]], $A50, Table1[[HomeTeam]:[HomeTeam]], U$36) + SUMIFS(Table1[[HomeWon]:[HomeWon]], Table1[[GameIsOver]:[GameIsOver]], 1, Table1[[HomeTeam]:[HomeTeam]], $A50, Table1[[AwayTeam]:[AwayTeam]], U$36))) + (SUMIFS(Table1[[HomeWon]:[HomeWon]], Table1[[GameIsOver]:[GameIsOver]], 1, Table1[[AwayTeam]:[AwayTeam]], $A50, Table1[[HomeTeam]:[HomeTeam]],  U$36, Table1[[ActualResult]:[ActualResult]], "OT") + SUMIFS(Table1[[AwayWon]:[AwayWon]], Table1[[GameIsOver]:[GameIsOver]], 1, Table1[[HomeTeam]:[HomeTeam]], $A50, Table1[[AwayTeam]:[AwayTeam]], U$36, Table1[[ActualResult]:[ActualResult]], "OT") + SUMIFS(Table1[[HomeWon]:[HomeWon]], Table1[[GameIsOver]:[GameIsOver]], 1, Table1[[AwayTeam]:[AwayTeam]], $A50, Table1[[HomeTeam]:[HomeTeam]], U$36, Table1[[ActualResult]:[ActualResult]], "SO") + SUMIFS(Table1[[AwayWon]:[AwayWon]], Table1[[GameIsOver]:[GameIsOver]], 1, Table1[[HomeTeam]:[HomeTeam]], $A50, Table1[[AwayTeam]:[AwayTeam]], U$36, Table1[[ActualResult]:[ActualResult]], "SO")))/ (2*((COUNTIFS(Table1[[GameIsOver]:[GameIsOver]],1,Table1[[AwayTeam]:[AwayTeam]],$A50, Table1[[HomeTeam]:[HomeTeam]], U$36)))+( COUNTIFS(Table1[[GameIsOver]:[GameIsOver]],1,Table1[[AwayTeam]:[AwayTeam]],U$36, Table1[[HomeTeam]:[HomeTeam]],$A50))), "")</f>
        <v/>
      </c>
      <c r="V50" s="36" t="str">
        <f>IFERROR(((2 * (SUMIFS(Table1[[AwayWon]:[AwayWon]], Table1[[GameIsOver]:[GameIsOver]], 1, Table1[[AwayTeam]:[AwayTeam]], $A50, Table1[[HomeTeam]:[HomeTeam]], V$36) + SUMIFS(Table1[[HomeWon]:[HomeWon]], Table1[[GameIsOver]:[GameIsOver]], 1, Table1[[HomeTeam]:[HomeTeam]], $A50, Table1[[AwayTeam]:[AwayTeam]], V$36))) + (SUMIFS(Table1[[HomeWon]:[HomeWon]], Table1[[GameIsOver]:[GameIsOver]], 1, Table1[[AwayTeam]:[AwayTeam]], $A50, Table1[[HomeTeam]:[HomeTeam]],  V$36, Table1[[ActualResult]:[ActualResult]], "OT") + SUMIFS(Table1[[AwayWon]:[AwayWon]], Table1[[GameIsOver]:[GameIsOver]], 1, Table1[[HomeTeam]:[HomeTeam]], $A50, Table1[[AwayTeam]:[AwayTeam]], V$36, Table1[[ActualResult]:[ActualResult]], "OT") + SUMIFS(Table1[[HomeWon]:[HomeWon]], Table1[[GameIsOver]:[GameIsOver]], 1, Table1[[AwayTeam]:[AwayTeam]], $A50, Table1[[HomeTeam]:[HomeTeam]], V$36, Table1[[ActualResult]:[ActualResult]], "SO") + SUMIFS(Table1[[AwayWon]:[AwayWon]], Table1[[GameIsOver]:[GameIsOver]], 1, Table1[[HomeTeam]:[HomeTeam]], $A50, Table1[[AwayTeam]:[AwayTeam]], V$36, Table1[[ActualResult]:[ActualResult]], "SO")))/ (2*((COUNTIFS(Table1[[GameIsOver]:[GameIsOver]],1,Table1[[AwayTeam]:[AwayTeam]],$A50, Table1[[HomeTeam]:[HomeTeam]], V$36)))+( COUNTIFS(Table1[[GameIsOver]:[GameIsOver]],1,Table1[[AwayTeam]:[AwayTeam]],V$36, Table1[[HomeTeam]:[HomeTeam]],$A50))), "")</f>
        <v/>
      </c>
      <c r="W50" s="36" t="str">
        <f>IFERROR(((2 * (SUMIFS(Table1[[AwayWon]:[AwayWon]], Table1[[GameIsOver]:[GameIsOver]], 1, Table1[[AwayTeam]:[AwayTeam]], $A50, Table1[[HomeTeam]:[HomeTeam]], W$36) + SUMIFS(Table1[[HomeWon]:[HomeWon]], Table1[[GameIsOver]:[GameIsOver]], 1, Table1[[HomeTeam]:[HomeTeam]], $A50, Table1[[AwayTeam]:[AwayTeam]], W$36))) + (SUMIFS(Table1[[HomeWon]:[HomeWon]], Table1[[GameIsOver]:[GameIsOver]], 1, Table1[[AwayTeam]:[AwayTeam]], $A50, Table1[[HomeTeam]:[HomeTeam]],  W$36, Table1[[ActualResult]:[ActualResult]], "OT") + SUMIFS(Table1[[AwayWon]:[AwayWon]], Table1[[GameIsOver]:[GameIsOver]], 1, Table1[[HomeTeam]:[HomeTeam]], $A50, Table1[[AwayTeam]:[AwayTeam]], W$36, Table1[[ActualResult]:[ActualResult]], "OT") + SUMIFS(Table1[[HomeWon]:[HomeWon]], Table1[[GameIsOver]:[GameIsOver]], 1, Table1[[AwayTeam]:[AwayTeam]], $A50, Table1[[HomeTeam]:[HomeTeam]], W$36, Table1[[ActualResult]:[ActualResult]], "SO") + SUMIFS(Table1[[AwayWon]:[AwayWon]], Table1[[GameIsOver]:[GameIsOver]], 1, Table1[[HomeTeam]:[HomeTeam]], $A50, Table1[[AwayTeam]:[AwayTeam]], W$36, Table1[[ActualResult]:[ActualResult]], "SO")))/ (2*((COUNTIFS(Table1[[GameIsOver]:[GameIsOver]],1,Table1[[AwayTeam]:[AwayTeam]],$A50, Table1[[HomeTeam]:[HomeTeam]], W$36)))+( COUNTIFS(Table1[[GameIsOver]:[GameIsOver]],1,Table1[[AwayTeam]:[AwayTeam]],W$36, Table1[[HomeTeam]:[HomeTeam]],$A50))), "")</f>
        <v/>
      </c>
      <c r="X50" s="36" t="str">
        <f>IFERROR(((2 * (SUMIFS(Table1[[AwayWon]:[AwayWon]], Table1[[GameIsOver]:[GameIsOver]], 1, Table1[[AwayTeam]:[AwayTeam]], $A50, Table1[[HomeTeam]:[HomeTeam]], X$36) + SUMIFS(Table1[[HomeWon]:[HomeWon]], Table1[[GameIsOver]:[GameIsOver]], 1, Table1[[HomeTeam]:[HomeTeam]], $A50, Table1[[AwayTeam]:[AwayTeam]], X$36))) + (SUMIFS(Table1[[HomeWon]:[HomeWon]], Table1[[GameIsOver]:[GameIsOver]], 1, Table1[[AwayTeam]:[AwayTeam]], $A50, Table1[[HomeTeam]:[HomeTeam]],  X$36, Table1[[ActualResult]:[ActualResult]], "OT") + SUMIFS(Table1[[AwayWon]:[AwayWon]], Table1[[GameIsOver]:[GameIsOver]], 1, Table1[[HomeTeam]:[HomeTeam]], $A50, Table1[[AwayTeam]:[AwayTeam]], X$36, Table1[[ActualResult]:[ActualResult]], "OT") + SUMIFS(Table1[[HomeWon]:[HomeWon]], Table1[[GameIsOver]:[GameIsOver]], 1, Table1[[AwayTeam]:[AwayTeam]], $A50, Table1[[HomeTeam]:[HomeTeam]], X$36, Table1[[ActualResult]:[ActualResult]], "SO") + SUMIFS(Table1[[AwayWon]:[AwayWon]], Table1[[GameIsOver]:[GameIsOver]], 1, Table1[[HomeTeam]:[HomeTeam]], $A50, Table1[[AwayTeam]:[AwayTeam]], X$36, Table1[[ActualResult]:[ActualResult]], "SO")))/ (2*((COUNTIFS(Table1[[GameIsOver]:[GameIsOver]],1,Table1[[AwayTeam]:[AwayTeam]],$A50, Table1[[HomeTeam]:[HomeTeam]], X$36)))+( COUNTIFS(Table1[[GameIsOver]:[GameIsOver]],1,Table1[[AwayTeam]:[AwayTeam]],X$36, Table1[[HomeTeam]:[HomeTeam]],$A50))), "")</f>
        <v/>
      </c>
      <c r="Y50" s="38" t="str">
        <f>IFERROR(((2 * (SUMIFS(Table1[[AwayWon]:[AwayWon]], Table1[[GameIsOver]:[GameIsOver]], 1, Table1[[AwayTeam]:[AwayTeam]], $A50, Table1[[HomeTeam]:[HomeTeam]], Y$36) + SUMIFS(Table1[[HomeWon]:[HomeWon]], Table1[[GameIsOver]:[GameIsOver]], 1, Table1[[HomeTeam]:[HomeTeam]], $A50, Table1[[AwayTeam]:[AwayTeam]], Y$36))) + (SUMIFS(Table1[[HomeWon]:[HomeWon]], Table1[[GameIsOver]:[GameIsOver]], 1, Table1[[AwayTeam]:[AwayTeam]], $A50, Table1[[HomeTeam]:[HomeTeam]],  Y$36, Table1[[ActualResult]:[ActualResult]], "OT") + SUMIFS(Table1[[AwayWon]:[AwayWon]], Table1[[GameIsOver]:[GameIsOver]], 1, Table1[[HomeTeam]:[HomeTeam]], $A50, Table1[[AwayTeam]:[AwayTeam]], Y$36, Table1[[ActualResult]:[ActualResult]], "OT") + SUMIFS(Table1[[HomeWon]:[HomeWon]], Table1[[GameIsOver]:[GameIsOver]], 1, Table1[[AwayTeam]:[AwayTeam]], $A50, Table1[[HomeTeam]:[HomeTeam]], Y$36, Table1[[ActualResult]:[ActualResult]], "SO") + SUMIFS(Table1[[AwayWon]:[AwayWon]], Table1[[GameIsOver]:[GameIsOver]], 1, Table1[[HomeTeam]:[HomeTeam]], $A50, Table1[[AwayTeam]:[AwayTeam]], Y$36, Table1[[ActualResult]:[ActualResult]], "SO")))/ (2*((COUNTIFS(Table1[[GameIsOver]:[GameIsOver]],1,Table1[[AwayTeam]:[AwayTeam]],$A50, Table1[[HomeTeam]:[HomeTeam]], Y$36)))+( COUNTIFS(Table1[[GameIsOver]:[GameIsOver]],1,Table1[[AwayTeam]:[AwayTeam]],Y$36, Table1[[HomeTeam]:[HomeTeam]],$A50))), "")</f>
        <v/>
      </c>
      <c r="Z50" s="36" t="str">
        <f>IFERROR(((2 * (SUMIFS(Table1[[AwayWon]:[AwayWon]], Table1[[GameIsOver]:[GameIsOver]], 1, Table1[[AwayTeam]:[AwayTeam]], $A50, Table1[[HomeTeam]:[HomeTeam]], Z$36) + SUMIFS(Table1[[HomeWon]:[HomeWon]], Table1[[GameIsOver]:[GameIsOver]], 1, Table1[[HomeTeam]:[HomeTeam]], $A50, Table1[[AwayTeam]:[AwayTeam]], Z$36))) + (SUMIFS(Table1[[HomeWon]:[HomeWon]], Table1[[GameIsOver]:[GameIsOver]], 1, Table1[[AwayTeam]:[AwayTeam]], $A50, Table1[[HomeTeam]:[HomeTeam]],  Z$36, Table1[[ActualResult]:[ActualResult]], "OT") + SUMIFS(Table1[[AwayWon]:[AwayWon]], Table1[[GameIsOver]:[GameIsOver]], 1, Table1[[HomeTeam]:[HomeTeam]], $A50, Table1[[AwayTeam]:[AwayTeam]], Z$36, Table1[[ActualResult]:[ActualResult]], "OT") + SUMIFS(Table1[[HomeWon]:[HomeWon]], Table1[[GameIsOver]:[GameIsOver]], 1, Table1[[AwayTeam]:[AwayTeam]], $A50, Table1[[HomeTeam]:[HomeTeam]], Z$36, Table1[[ActualResult]:[ActualResult]], "SO") + SUMIFS(Table1[[AwayWon]:[AwayWon]], Table1[[GameIsOver]:[GameIsOver]], 1, Table1[[HomeTeam]:[HomeTeam]], $A50, Table1[[AwayTeam]:[AwayTeam]], Z$36, Table1[[ActualResult]:[ActualResult]], "SO")))/ (2*((COUNTIFS(Table1[[GameIsOver]:[GameIsOver]],1,Table1[[AwayTeam]:[AwayTeam]],$A50, Table1[[HomeTeam]:[HomeTeam]], Z$36)))+( COUNTIFS(Table1[[GameIsOver]:[GameIsOver]],1,Table1[[AwayTeam]:[AwayTeam]],Z$36, Table1[[HomeTeam]:[HomeTeam]],$A50))), "")</f>
        <v/>
      </c>
      <c r="AA50" s="36" t="str">
        <f>IFERROR(((2 * (SUMIFS(Table1[[AwayWon]:[AwayWon]], Table1[[GameIsOver]:[GameIsOver]], 1, Table1[[AwayTeam]:[AwayTeam]], $A50, Table1[[HomeTeam]:[HomeTeam]], AA$36) + SUMIFS(Table1[[HomeWon]:[HomeWon]], Table1[[GameIsOver]:[GameIsOver]], 1, Table1[[HomeTeam]:[HomeTeam]], $A50, Table1[[AwayTeam]:[AwayTeam]], AA$36))) + (SUMIFS(Table1[[HomeWon]:[HomeWon]], Table1[[GameIsOver]:[GameIsOver]], 1, Table1[[AwayTeam]:[AwayTeam]], $A50, Table1[[HomeTeam]:[HomeTeam]],  AA$36, Table1[[ActualResult]:[ActualResult]], "OT") + SUMIFS(Table1[[AwayWon]:[AwayWon]], Table1[[GameIsOver]:[GameIsOver]], 1, Table1[[HomeTeam]:[HomeTeam]], $A50, Table1[[AwayTeam]:[AwayTeam]], AA$36, Table1[[ActualResult]:[ActualResult]], "OT") + SUMIFS(Table1[[HomeWon]:[HomeWon]], Table1[[GameIsOver]:[GameIsOver]], 1, Table1[[AwayTeam]:[AwayTeam]], $A50, Table1[[HomeTeam]:[HomeTeam]], AA$36, Table1[[ActualResult]:[ActualResult]], "SO") + SUMIFS(Table1[[AwayWon]:[AwayWon]], Table1[[GameIsOver]:[GameIsOver]], 1, Table1[[HomeTeam]:[HomeTeam]], $A50, Table1[[AwayTeam]:[AwayTeam]], AA$36, Table1[[ActualResult]:[ActualResult]], "SO")))/ (2*((COUNTIFS(Table1[[GameIsOver]:[GameIsOver]],1,Table1[[AwayTeam]:[AwayTeam]],$A50, Table1[[HomeTeam]:[HomeTeam]], AA$36)))+( COUNTIFS(Table1[[GameIsOver]:[GameIsOver]],1,Table1[[AwayTeam]:[AwayTeam]],AA$36, Table1[[HomeTeam]:[HomeTeam]],$A50))), "")</f>
        <v/>
      </c>
      <c r="AB50" s="36" t="str">
        <f>IFERROR(((2 * (SUMIFS(Table1[[AwayWon]:[AwayWon]], Table1[[GameIsOver]:[GameIsOver]], 1, Table1[[AwayTeam]:[AwayTeam]], $A50, Table1[[HomeTeam]:[HomeTeam]], AB$36) + SUMIFS(Table1[[HomeWon]:[HomeWon]], Table1[[GameIsOver]:[GameIsOver]], 1, Table1[[HomeTeam]:[HomeTeam]], $A50, Table1[[AwayTeam]:[AwayTeam]], AB$36))) + (SUMIFS(Table1[[HomeWon]:[HomeWon]], Table1[[GameIsOver]:[GameIsOver]], 1, Table1[[AwayTeam]:[AwayTeam]], $A50, Table1[[HomeTeam]:[HomeTeam]],  AB$36, Table1[[ActualResult]:[ActualResult]], "OT") + SUMIFS(Table1[[AwayWon]:[AwayWon]], Table1[[GameIsOver]:[GameIsOver]], 1, Table1[[HomeTeam]:[HomeTeam]], $A50, Table1[[AwayTeam]:[AwayTeam]], AB$36, Table1[[ActualResult]:[ActualResult]], "OT") + SUMIFS(Table1[[HomeWon]:[HomeWon]], Table1[[GameIsOver]:[GameIsOver]], 1, Table1[[AwayTeam]:[AwayTeam]], $A50, Table1[[HomeTeam]:[HomeTeam]], AB$36, Table1[[ActualResult]:[ActualResult]], "SO") + SUMIFS(Table1[[AwayWon]:[AwayWon]], Table1[[GameIsOver]:[GameIsOver]], 1, Table1[[HomeTeam]:[HomeTeam]], $A50, Table1[[AwayTeam]:[AwayTeam]], AB$36, Table1[[ActualResult]:[ActualResult]], "SO")))/ (2*((COUNTIFS(Table1[[GameIsOver]:[GameIsOver]],1,Table1[[AwayTeam]:[AwayTeam]],$A50, Table1[[HomeTeam]:[HomeTeam]], AB$36)))+( COUNTIFS(Table1[[GameIsOver]:[GameIsOver]],1,Table1[[AwayTeam]:[AwayTeam]],AB$36, Table1[[HomeTeam]:[HomeTeam]],$A50))), "")</f>
        <v/>
      </c>
      <c r="AC50" s="36" t="str">
        <f>IFERROR(((2 * (SUMIFS(Table1[[AwayWon]:[AwayWon]], Table1[[GameIsOver]:[GameIsOver]], 1, Table1[[AwayTeam]:[AwayTeam]], $A50, Table1[[HomeTeam]:[HomeTeam]], AC$36) + SUMIFS(Table1[[HomeWon]:[HomeWon]], Table1[[GameIsOver]:[GameIsOver]], 1, Table1[[HomeTeam]:[HomeTeam]], $A50, Table1[[AwayTeam]:[AwayTeam]], AC$36))) + (SUMIFS(Table1[[HomeWon]:[HomeWon]], Table1[[GameIsOver]:[GameIsOver]], 1, Table1[[AwayTeam]:[AwayTeam]], $A50, Table1[[HomeTeam]:[HomeTeam]],  AC$36, Table1[[ActualResult]:[ActualResult]], "OT") + SUMIFS(Table1[[AwayWon]:[AwayWon]], Table1[[GameIsOver]:[GameIsOver]], 1, Table1[[HomeTeam]:[HomeTeam]], $A50, Table1[[AwayTeam]:[AwayTeam]], AC$36, Table1[[ActualResult]:[ActualResult]], "OT") + SUMIFS(Table1[[HomeWon]:[HomeWon]], Table1[[GameIsOver]:[GameIsOver]], 1, Table1[[AwayTeam]:[AwayTeam]], $A50, Table1[[HomeTeam]:[HomeTeam]], AC$36, Table1[[ActualResult]:[ActualResult]], "SO") + SUMIFS(Table1[[AwayWon]:[AwayWon]], Table1[[GameIsOver]:[GameIsOver]], 1, Table1[[HomeTeam]:[HomeTeam]], $A50, Table1[[AwayTeam]:[AwayTeam]], AC$36, Table1[[ActualResult]:[ActualResult]], "SO")))/ (2*((COUNTIFS(Table1[[GameIsOver]:[GameIsOver]],1,Table1[[AwayTeam]:[AwayTeam]],$A50, Table1[[HomeTeam]:[HomeTeam]], AC$36)))+( COUNTIFS(Table1[[GameIsOver]:[GameIsOver]],1,Table1[[AwayTeam]:[AwayTeam]],AC$36, Table1[[HomeTeam]:[HomeTeam]],$A50))), "")</f>
        <v/>
      </c>
      <c r="AD50" s="36" t="str">
        <f>IFERROR(((2 * (SUMIFS(Table1[[AwayWon]:[AwayWon]], Table1[[GameIsOver]:[GameIsOver]], 1, Table1[[AwayTeam]:[AwayTeam]], $A50, Table1[[HomeTeam]:[HomeTeam]], AD$36) + SUMIFS(Table1[[HomeWon]:[HomeWon]], Table1[[GameIsOver]:[GameIsOver]], 1, Table1[[HomeTeam]:[HomeTeam]], $A50, Table1[[AwayTeam]:[AwayTeam]], AD$36))) + (SUMIFS(Table1[[HomeWon]:[HomeWon]], Table1[[GameIsOver]:[GameIsOver]], 1, Table1[[AwayTeam]:[AwayTeam]], $A50, Table1[[HomeTeam]:[HomeTeam]],  AD$36, Table1[[ActualResult]:[ActualResult]], "OT") + SUMIFS(Table1[[AwayWon]:[AwayWon]], Table1[[GameIsOver]:[GameIsOver]], 1, Table1[[HomeTeam]:[HomeTeam]], $A50, Table1[[AwayTeam]:[AwayTeam]], AD$36, Table1[[ActualResult]:[ActualResult]], "OT") + SUMIFS(Table1[[HomeWon]:[HomeWon]], Table1[[GameIsOver]:[GameIsOver]], 1, Table1[[AwayTeam]:[AwayTeam]], $A50, Table1[[HomeTeam]:[HomeTeam]], AD$36, Table1[[ActualResult]:[ActualResult]], "SO") + SUMIFS(Table1[[AwayWon]:[AwayWon]], Table1[[GameIsOver]:[GameIsOver]], 1, Table1[[HomeTeam]:[HomeTeam]], $A50, Table1[[AwayTeam]:[AwayTeam]], AD$36, Table1[[ActualResult]:[ActualResult]], "SO")))/ (2*((COUNTIFS(Table1[[GameIsOver]:[GameIsOver]],1,Table1[[AwayTeam]:[AwayTeam]],$A50, Table1[[HomeTeam]:[HomeTeam]], AD$36)))+( COUNTIFS(Table1[[GameIsOver]:[GameIsOver]],1,Table1[[AwayTeam]:[AwayTeam]],AD$36, Table1[[HomeTeam]:[HomeTeam]],$A50))), "")</f>
        <v/>
      </c>
      <c r="AE50" s="36" t="str">
        <f>IFERROR(((2 * (SUMIFS(Table1[[AwayWon]:[AwayWon]], Table1[[GameIsOver]:[GameIsOver]], 1, Table1[[AwayTeam]:[AwayTeam]], $A50, Table1[[HomeTeam]:[HomeTeam]], AE$36) + SUMIFS(Table1[[HomeWon]:[HomeWon]], Table1[[GameIsOver]:[GameIsOver]], 1, Table1[[HomeTeam]:[HomeTeam]], $A50, Table1[[AwayTeam]:[AwayTeam]], AE$36))) + (SUMIFS(Table1[[HomeWon]:[HomeWon]], Table1[[GameIsOver]:[GameIsOver]], 1, Table1[[AwayTeam]:[AwayTeam]], $A50, Table1[[HomeTeam]:[HomeTeam]],  AE$36, Table1[[ActualResult]:[ActualResult]], "OT") + SUMIFS(Table1[[AwayWon]:[AwayWon]], Table1[[GameIsOver]:[GameIsOver]], 1, Table1[[HomeTeam]:[HomeTeam]], $A50, Table1[[AwayTeam]:[AwayTeam]], AE$36, Table1[[ActualResult]:[ActualResult]], "OT") + SUMIFS(Table1[[HomeWon]:[HomeWon]], Table1[[GameIsOver]:[GameIsOver]], 1, Table1[[AwayTeam]:[AwayTeam]], $A50, Table1[[HomeTeam]:[HomeTeam]], AE$36, Table1[[ActualResult]:[ActualResult]], "SO") + SUMIFS(Table1[[AwayWon]:[AwayWon]], Table1[[GameIsOver]:[GameIsOver]], 1, Table1[[HomeTeam]:[HomeTeam]], $A50, Table1[[AwayTeam]:[AwayTeam]], AE$36, Table1[[ActualResult]:[ActualResult]], "SO")))/ (2*((COUNTIFS(Table1[[GameIsOver]:[GameIsOver]],1,Table1[[AwayTeam]:[AwayTeam]],$A50, Table1[[HomeTeam]:[HomeTeam]], AE$36)))+( COUNTIFS(Table1[[GameIsOver]:[GameIsOver]],1,Table1[[AwayTeam]:[AwayTeam]],AE$36, Table1[[HomeTeam]:[HomeTeam]],$A50))), "")</f>
        <v/>
      </c>
      <c r="AF50" s="36" t="str">
        <f>IFERROR(((2 * (SUMIFS(Table1[[AwayWon]:[AwayWon]], Table1[[GameIsOver]:[GameIsOver]], 1, Table1[[AwayTeam]:[AwayTeam]], $A50, Table1[[HomeTeam]:[HomeTeam]], AF$36) + SUMIFS(Table1[[HomeWon]:[HomeWon]], Table1[[GameIsOver]:[GameIsOver]], 1, Table1[[HomeTeam]:[HomeTeam]], $A50, Table1[[AwayTeam]:[AwayTeam]], AF$36))) + (SUMIFS(Table1[[HomeWon]:[HomeWon]], Table1[[GameIsOver]:[GameIsOver]], 1, Table1[[AwayTeam]:[AwayTeam]], $A50, Table1[[HomeTeam]:[HomeTeam]],  AF$36, Table1[[ActualResult]:[ActualResult]], "OT") + SUMIFS(Table1[[AwayWon]:[AwayWon]], Table1[[GameIsOver]:[GameIsOver]], 1, Table1[[HomeTeam]:[HomeTeam]], $A50, Table1[[AwayTeam]:[AwayTeam]], AF$36, Table1[[ActualResult]:[ActualResult]], "OT") + SUMIFS(Table1[[HomeWon]:[HomeWon]], Table1[[GameIsOver]:[GameIsOver]], 1, Table1[[AwayTeam]:[AwayTeam]], $A50, Table1[[HomeTeam]:[HomeTeam]], AF$36, Table1[[ActualResult]:[ActualResult]], "SO") + SUMIFS(Table1[[AwayWon]:[AwayWon]], Table1[[GameIsOver]:[GameIsOver]], 1, Table1[[HomeTeam]:[HomeTeam]], $A50, Table1[[AwayTeam]:[AwayTeam]], AF$36, Table1[[ActualResult]:[ActualResult]], "SO")))/ (2*((COUNTIFS(Table1[[GameIsOver]:[GameIsOver]],1,Table1[[AwayTeam]:[AwayTeam]],$A50, Table1[[HomeTeam]:[HomeTeam]], AF$36)))+( COUNTIFS(Table1[[GameIsOver]:[GameIsOver]],1,Table1[[AwayTeam]:[AwayTeam]],AF$36, Table1[[HomeTeam]:[HomeTeam]],$A50))), "")</f>
        <v/>
      </c>
      <c r="AG50" s="36" t="str">
        <f>IFERROR(((2 * (SUMIFS(Table1[[AwayWon]:[AwayWon]], Table1[[GameIsOver]:[GameIsOver]], 1, Table1[[AwayTeam]:[AwayTeam]], $A50, Table1[[HomeTeam]:[HomeTeam]], AG$36) + SUMIFS(Table1[[HomeWon]:[HomeWon]], Table1[[GameIsOver]:[GameIsOver]], 1, Table1[[HomeTeam]:[HomeTeam]], $A50, Table1[[AwayTeam]:[AwayTeam]], AG$36))) + (SUMIFS(Table1[[HomeWon]:[HomeWon]], Table1[[GameIsOver]:[GameIsOver]], 1, Table1[[AwayTeam]:[AwayTeam]], $A50, Table1[[HomeTeam]:[HomeTeam]],  AG$36, Table1[[ActualResult]:[ActualResult]], "OT") + SUMIFS(Table1[[AwayWon]:[AwayWon]], Table1[[GameIsOver]:[GameIsOver]], 1, Table1[[HomeTeam]:[HomeTeam]], $A50, Table1[[AwayTeam]:[AwayTeam]], AG$36, Table1[[ActualResult]:[ActualResult]], "OT") + SUMIFS(Table1[[HomeWon]:[HomeWon]], Table1[[GameIsOver]:[GameIsOver]], 1, Table1[[AwayTeam]:[AwayTeam]], $A50, Table1[[HomeTeam]:[HomeTeam]], AG$36, Table1[[ActualResult]:[ActualResult]], "SO") + SUMIFS(Table1[[AwayWon]:[AwayWon]], Table1[[GameIsOver]:[GameIsOver]], 1, Table1[[HomeTeam]:[HomeTeam]], $A50, Table1[[AwayTeam]:[AwayTeam]], AG$36, Table1[[ActualResult]:[ActualResult]], "SO")))/ (2*((COUNTIFS(Table1[[GameIsOver]:[GameIsOver]],1,Table1[[AwayTeam]:[AwayTeam]],$A50, Table1[[HomeTeam]:[HomeTeam]], AG$36)))+( COUNTIFS(Table1[[GameIsOver]:[GameIsOver]],1,Table1[[AwayTeam]:[AwayTeam]],AG$36, Table1[[HomeTeam]:[HomeTeam]],$A50))), "")</f>
        <v/>
      </c>
      <c r="AH50" s="37" t="e">
        <f t="shared" si="0"/>
        <v>#DIV/0!</v>
      </c>
      <c r="AI50" s="37" t="e">
        <f t="shared" si="1"/>
        <v>#DIV/0!</v>
      </c>
      <c r="AJ50" s="38" t="e">
        <f t="shared" si="2"/>
        <v>#DIV/0!</v>
      </c>
      <c r="AK50" s="38" t="e">
        <f t="shared" si="3"/>
        <v>#DIV/0!</v>
      </c>
      <c r="AL50" s="38" t="e">
        <f t="shared" si="4"/>
        <v>#DIV/0!</v>
      </c>
      <c r="AM50" s="38" t="e">
        <f t="shared" si="5"/>
        <v>#DIV/0!</v>
      </c>
    </row>
    <row r="51" spans="1:39" x14ac:dyDescent="0.25">
      <c r="A51" s="17" t="s">
        <v>58</v>
      </c>
      <c r="B51" s="36" t="str">
        <f>IFERROR(((2 * (SUMIFS(Table1[[AwayWon]:[AwayWon]], Table1[[GameIsOver]:[GameIsOver]], 1, Table1[[AwayTeam]:[AwayTeam]], $A51, Table1[[HomeTeam]:[HomeTeam]], B$36) + SUMIFS(Table1[[HomeWon]:[HomeWon]], Table1[[GameIsOver]:[GameIsOver]], 1, Table1[[HomeTeam]:[HomeTeam]], $A51, Table1[[AwayTeam]:[AwayTeam]], B$36))) + (SUMIFS(Table1[[HomeWon]:[HomeWon]], Table1[[GameIsOver]:[GameIsOver]], 1, Table1[[AwayTeam]:[AwayTeam]], $A51, Table1[[HomeTeam]:[HomeTeam]],  B$36, Table1[[ActualResult]:[ActualResult]], "OT") + SUMIFS(Table1[[AwayWon]:[AwayWon]], Table1[[GameIsOver]:[GameIsOver]], 1, Table1[[HomeTeam]:[HomeTeam]], $A51, Table1[[AwayTeam]:[AwayTeam]], B$36, Table1[[ActualResult]:[ActualResult]], "OT") + SUMIFS(Table1[[HomeWon]:[HomeWon]], Table1[[GameIsOver]:[GameIsOver]], 1, Table1[[AwayTeam]:[AwayTeam]], $A51, Table1[[HomeTeam]:[HomeTeam]], B$36, Table1[[ActualResult]:[ActualResult]], "SO") + SUMIFS(Table1[[AwayWon]:[AwayWon]], Table1[[GameIsOver]:[GameIsOver]], 1, Table1[[HomeTeam]:[HomeTeam]], $A51, Table1[[AwayTeam]:[AwayTeam]], B$36, Table1[[ActualResult]:[ActualResult]], "SO")))/ (2*((COUNTIFS(Table1[[GameIsOver]:[GameIsOver]],1,Table1[[AwayTeam]:[AwayTeam]],$A51, Table1[[HomeTeam]:[HomeTeam]], B$36)))+( COUNTIFS(Table1[[GameIsOver]:[GameIsOver]],1,Table1[[AwayTeam]:[AwayTeam]],B$36, Table1[[HomeTeam]:[HomeTeam]],$A51))), "")</f>
        <v/>
      </c>
      <c r="C51" s="36" t="str">
        <f>IFERROR(((2 * (SUMIFS(Table1[[AwayWon]:[AwayWon]], Table1[[GameIsOver]:[GameIsOver]], 1, Table1[[AwayTeam]:[AwayTeam]], $A51, Table1[[HomeTeam]:[HomeTeam]], C$36) + SUMIFS(Table1[[HomeWon]:[HomeWon]], Table1[[GameIsOver]:[GameIsOver]], 1, Table1[[HomeTeam]:[HomeTeam]], $A51, Table1[[AwayTeam]:[AwayTeam]], C$36))) + (SUMIFS(Table1[[HomeWon]:[HomeWon]], Table1[[GameIsOver]:[GameIsOver]], 1, Table1[[AwayTeam]:[AwayTeam]], $A51, Table1[[HomeTeam]:[HomeTeam]],  C$36, Table1[[ActualResult]:[ActualResult]], "OT") + SUMIFS(Table1[[AwayWon]:[AwayWon]], Table1[[GameIsOver]:[GameIsOver]], 1, Table1[[HomeTeam]:[HomeTeam]], $A51, Table1[[AwayTeam]:[AwayTeam]], C$36, Table1[[ActualResult]:[ActualResult]], "OT") + SUMIFS(Table1[[HomeWon]:[HomeWon]], Table1[[GameIsOver]:[GameIsOver]], 1, Table1[[AwayTeam]:[AwayTeam]], $A51, Table1[[HomeTeam]:[HomeTeam]], C$36, Table1[[ActualResult]:[ActualResult]], "SO") + SUMIFS(Table1[[AwayWon]:[AwayWon]], Table1[[GameIsOver]:[GameIsOver]], 1, Table1[[HomeTeam]:[HomeTeam]], $A51, Table1[[AwayTeam]:[AwayTeam]], C$36, Table1[[ActualResult]:[ActualResult]], "SO")))/ (2*((COUNTIFS(Table1[[GameIsOver]:[GameIsOver]],1,Table1[[AwayTeam]:[AwayTeam]],$A51, Table1[[HomeTeam]:[HomeTeam]], C$36)))+( COUNTIFS(Table1[[GameIsOver]:[GameIsOver]],1,Table1[[AwayTeam]:[AwayTeam]],C$36, Table1[[HomeTeam]:[HomeTeam]],$A51))), "")</f>
        <v/>
      </c>
      <c r="D51" s="36" t="str">
        <f>IFERROR(((2 * (SUMIFS(Table1[[AwayWon]:[AwayWon]], Table1[[GameIsOver]:[GameIsOver]], 1, Table1[[AwayTeam]:[AwayTeam]], $A51, Table1[[HomeTeam]:[HomeTeam]], D$36) + SUMIFS(Table1[[HomeWon]:[HomeWon]], Table1[[GameIsOver]:[GameIsOver]], 1, Table1[[HomeTeam]:[HomeTeam]], $A51, Table1[[AwayTeam]:[AwayTeam]], D$36))) + (SUMIFS(Table1[[HomeWon]:[HomeWon]], Table1[[GameIsOver]:[GameIsOver]], 1, Table1[[AwayTeam]:[AwayTeam]], $A51, Table1[[HomeTeam]:[HomeTeam]],  D$36, Table1[[ActualResult]:[ActualResult]], "OT") + SUMIFS(Table1[[AwayWon]:[AwayWon]], Table1[[GameIsOver]:[GameIsOver]], 1, Table1[[HomeTeam]:[HomeTeam]], $A51, Table1[[AwayTeam]:[AwayTeam]], D$36, Table1[[ActualResult]:[ActualResult]], "OT") + SUMIFS(Table1[[HomeWon]:[HomeWon]], Table1[[GameIsOver]:[GameIsOver]], 1, Table1[[AwayTeam]:[AwayTeam]], $A51, Table1[[HomeTeam]:[HomeTeam]], D$36, Table1[[ActualResult]:[ActualResult]], "SO") + SUMIFS(Table1[[AwayWon]:[AwayWon]], Table1[[GameIsOver]:[GameIsOver]], 1, Table1[[HomeTeam]:[HomeTeam]], $A51, Table1[[AwayTeam]:[AwayTeam]], D$36, Table1[[ActualResult]:[ActualResult]], "SO")))/ (2*((COUNTIFS(Table1[[GameIsOver]:[GameIsOver]],1,Table1[[AwayTeam]:[AwayTeam]],$A51, Table1[[HomeTeam]:[HomeTeam]], D$36)))+( COUNTIFS(Table1[[GameIsOver]:[GameIsOver]],1,Table1[[AwayTeam]:[AwayTeam]],D$36, Table1[[HomeTeam]:[HomeTeam]],$A51))), "")</f>
        <v/>
      </c>
      <c r="E51" s="36" t="str">
        <f>IFERROR(((2 * (SUMIFS(Table1[[AwayWon]:[AwayWon]], Table1[[GameIsOver]:[GameIsOver]], 1, Table1[[AwayTeam]:[AwayTeam]], $A51, Table1[[HomeTeam]:[HomeTeam]], E$36) + SUMIFS(Table1[[HomeWon]:[HomeWon]], Table1[[GameIsOver]:[GameIsOver]], 1, Table1[[HomeTeam]:[HomeTeam]], $A51, Table1[[AwayTeam]:[AwayTeam]], E$36))) + (SUMIFS(Table1[[HomeWon]:[HomeWon]], Table1[[GameIsOver]:[GameIsOver]], 1, Table1[[AwayTeam]:[AwayTeam]], $A51, Table1[[HomeTeam]:[HomeTeam]],  E$36, Table1[[ActualResult]:[ActualResult]], "OT") + SUMIFS(Table1[[AwayWon]:[AwayWon]], Table1[[GameIsOver]:[GameIsOver]], 1, Table1[[HomeTeam]:[HomeTeam]], $A51, Table1[[AwayTeam]:[AwayTeam]], E$36, Table1[[ActualResult]:[ActualResult]], "OT") + SUMIFS(Table1[[HomeWon]:[HomeWon]], Table1[[GameIsOver]:[GameIsOver]], 1, Table1[[AwayTeam]:[AwayTeam]], $A51, Table1[[HomeTeam]:[HomeTeam]], E$36, Table1[[ActualResult]:[ActualResult]], "SO") + SUMIFS(Table1[[AwayWon]:[AwayWon]], Table1[[GameIsOver]:[GameIsOver]], 1, Table1[[HomeTeam]:[HomeTeam]], $A51, Table1[[AwayTeam]:[AwayTeam]], E$36, Table1[[ActualResult]:[ActualResult]], "SO")))/ (2*((COUNTIFS(Table1[[GameIsOver]:[GameIsOver]],1,Table1[[AwayTeam]:[AwayTeam]],$A51, Table1[[HomeTeam]:[HomeTeam]], E$36)))+( COUNTIFS(Table1[[GameIsOver]:[GameIsOver]],1,Table1[[AwayTeam]:[AwayTeam]],E$36, Table1[[HomeTeam]:[HomeTeam]],$A51))), "")</f>
        <v/>
      </c>
      <c r="F51" s="36" t="str">
        <f>IFERROR(((2 * (SUMIFS(Table1[[AwayWon]:[AwayWon]], Table1[[GameIsOver]:[GameIsOver]], 1, Table1[[AwayTeam]:[AwayTeam]], $A51, Table1[[HomeTeam]:[HomeTeam]], F$36) + SUMIFS(Table1[[HomeWon]:[HomeWon]], Table1[[GameIsOver]:[GameIsOver]], 1, Table1[[HomeTeam]:[HomeTeam]], $A51, Table1[[AwayTeam]:[AwayTeam]], F$36))) + (SUMIFS(Table1[[HomeWon]:[HomeWon]], Table1[[GameIsOver]:[GameIsOver]], 1, Table1[[AwayTeam]:[AwayTeam]], $A51, Table1[[HomeTeam]:[HomeTeam]],  F$36, Table1[[ActualResult]:[ActualResult]], "OT") + SUMIFS(Table1[[AwayWon]:[AwayWon]], Table1[[GameIsOver]:[GameIsOver]], 1, Table1[[HomeTeam]:[HomeTeam]], $A51, Table1[[AwayTeam]:[AwayTeam]], F$36, Table1[[ActualResult]:[ActualResult]], "OT") + SUMIFS(Table1[[HomeWon]:[HomeWon]], Table1[[GameIsOver]:[GameIsOver]], 1, Table1[[AwayTeam]:[AwayTeam]], $A51, Table1[[HomeTeam]:[HomeTeam]], F$36, Table1[[ActualResult]:[ActualResult]], "SO") + SUMIFS(Table1[[AwayWon]:[AwayWon]], Table1[[GameIsOver]:[GameIsOver]], 1, Table1[[HomeTeam]:[HomeTeam]], $A51, Table1[[AwayTeam]:[AwayTeam]], F$36, Table1[[ActualResult]:[ActualResult]], "SO")))/ (2*((COUNTIFS(Table1[[GameIsOver]:[GameIsOver]],1,Table1[[AwayTeam]:[AwayTeam]],$A51, Table1[[HomeTeam]:[HomeTeam]], F$36)))+( COUNTIFS(Table1[[GameIsOver]:[GameIsOver]],1,Table1[[AwayTeam]:[AwayTeam]],F$36, Table1[[HomeTeam]:[HomeTeam]],$A51))), "")</f>
        <v/>
      </c>
      <c r="G51" s="36" t="str">
        <f>IFERROR(((2 * (SUMIFS(Table1[[AwayWon]:[AwayWon]], Table1[[GameIsOver]:[GameIsOver]], 1, Table1[[AwayTeam]:[AwayTeam]], $A51, Table1[[HomeTeam]:[HomeTeam]], G$36) + SUMIFS(Table1[[HomeWon]:[HomeWon]], Table1[[GameIsOver]:[GameIsOver]], 1, Table1[[HomeTeam]:[HomeTeam]], $A51, Table1[[AwayTeam]:[AwayTeam]], G$36))) + (SUMIFS(Table1[[HomeWon]:[HomeWon]], Table1[[GameIsOver]:[GameIsOver]], 1, Table1[[AwayTeam]:[AwayTeam]], $A51, Table1[[HomeTeam]:[HomeTeam]],  G$36, Table1[[ActualResult]:[ActualResult]], "OT") + SUMIFS(Table1[[AwayWon]:[AwayWon]], Table1[[GameIsOver]:[GameIsOver]], 1, Table1[[HomeTeam]:[HomeTeam]], $A51, Table1[[AwayTeam]:[AwayTeam]], G$36, Table1[[ActualResult]:[ActualResult]], "OT") + SUMIFS(Table1[[HomeWon]:[HomeWon]], Table1[[GameIsOver]:[GameIsOver]], 1, Table1[[AwayTeam]:[AwayTeam]], $A51, Table1[[HomeTeam]:[HomeTeam]], G$36, Table1[[ActualResult]:[ActualResult]], "SO") + SUMIFS(Table1[[AwayWon]:[AwayWon]], Table1[[GameIsOver]:[GameIsOver]], 1, Table1[[HomeTeam]:[HomeTeam]], $A51, Table1[[AwayTeam]:[AwayTeam]], G$36, Table1[[ActualResult]:[ActualResult]], "SO")))/ (2*((COUNTIFS(Table1[[GameIsOver]:[GameIsOver]],1,Table1[[AwayTeam]:[AwayTeam]],$A51, Table1[[HomeTeam]:[HomeTeam]], G$36)))+( COUNTIFS(Table1[[GameIsOver]:[GameIsOver]],1,Table1[[AwayTeam]:[AwayTeam]],G$36, Table1[[HomeTeam]:[HomeTeam]],$A51))), "")</f>
        <v/>
      </c>
      <c r="H51" s="36" t="str">
        <f>IFERROR(((2 * (SUMIFS(Table1[[AwayWon]:[AwayWon]], Table1[[GameIsOver]:[GameIsOver]], 1, Table1[[AwayTeam]:[AwayTeam]], $A51, Table1[[HomeTeam]:[HomeTeam]], H$36) + SUMIFS(Table1[[HomeWon]:[HomeWon]], Table1[[GameIsOver]:[GameIsOver]], 1, Table1[[HomeTeam]:[HomeTeam]], $A51, Table1[[AwayTeam]:[AwayTeam]], H$36))) + (SUMIFS(Table1[[HomeWon]:[HomeWon]], Table1[[GameIsOver]:[GameIsOver]], 1, Table1[[AwayTeam]:[AwayTeam]], $A51, Table1[[HomeTeam]:[HomeTeam]],  H$36, Table1[[ActualResult]:[ActualResult]], "OT") + SUMIFS(Table1[[AwayWon]:[AwayWon]], Table1[[GameIsOver]:[GameIsOver]], 1, Table1[[HomeTeam]:[HomeTeam]], $A51, Table1[[AwayTeam]:[AwayTeam]], H$36, Table1[[ActualResult]:[ActualResult]], "OT") + SUMIFS(Table1[[HomeWon]:[HomeWon]], Table1[[GameIsOver]:[GameIsOver]], 1, Table1[[AwayTeam]:[AwayTeam]], $A51, Table1[[HomeTeam]:[HomeTeam]], H$36, Table1[[ActualResult]:[ActualResult]], "SO") + SUMIFS(Table1[[AwayWon]:[AwayWon]], Table1[[GameIsOver]:[GameIsOver]], 1, Table1[[HomeTeam]:[HomeTeam]], $A51, Table1[[AwayTeam]:[AwayTeam]], H$36, Table1[[ActualResult]:[ActualResult]], "SO")))/ (2*((COUNTIFS(Table1[[GameIsOver]:[GameIsOver]],1,Table1[[AwayTeam]:[AwayTeam]],$A51, Table1[[HomeTeam]:[HomeTeam]], H$36)))+( COUNTIFS(Table1[[GameIsOver]:[GameIsOver]],1,Table1[[AwayTeam]:[AwayTeam]],H$36, Table1[[HomeTeam]:[HomeTeam]],$A51))), "")</f>
        <v/>
      </c>
      <c r="I51" s="38" t="str">
        <f>IFERROR(((2 * (SUMIFS(Table1[[AwayWon]:[AwayWon]], Table1[[GameIsOver]:[GameIsOver]], 1, Table1[[AwayTeam]:[AwayTeam]], $A51, Table1[[HomeTeam]:[HomeTeam]], I$36) + SUMIFS(Table1[[HomeWon]:[HomeWon]], Table1[[GameIsOver]:[GameIsOver]], 1, Table1[[HomeTeam]:[HomeTeam]], $A51, Table1[[AwayTeam]:[AwayTeam]], I$36))) + (SUMIFS(Table1[[HomeWon]:[HomeWon]], Table1[[GameIsOver]:[GameIsOver]], 1, Table1[[AwayTeam]:[AwayTeam]], $A51, Table1[[HomeTeam]:[HomeTeam]],  I$36, Table1[[ActualResult]:[ActualResult]], "OT") + SUMIFS(Table1[[AwayWon]:[AwayWon]], Table1[[GameIsOver]:[GameIsOver]], 1, Table1[[HomeTeam]:[HomeTeam]], $A51, Table1[[AwayTeam]:[AwayTeam]], I$36, Table1[[ActualResult]:[ActualResult]], "OT") + SUMIFS(Table1[[HomeWon]:[HomeWon]], Table1[[GameIsOver]:[GameIsOver]], 1, Table1[[AwayTeam]:[AwayTeam]], $A51, Table1[[HomeTeam]:[HomeTeam]], I$36, Table1[[ActualResult]:[ActualResult]], "SO") + SUMIFS(Table1[[AwayWon]:[AwayWon]], Table1[[GameIsOver]:[GameIsOver]], 1, Table1[[HomeTeam]:[HomeTeam]], $A51, Table1[[AwayTeam]:[AwayTeam]], I$36, Table1[[ActualResult]:[ActualResult]], "SO")))/ (2*((COUNTIFS(Table1[[GameIsOver]:[GameIsOver]],1,Table1[[AwayTeam]:[AwayTeam]],$A51, Table1[[HomeTeam]:[HomeTeam]], I$36)))+( COUNTIFS(Table1[[GameIsOver]:[GameIsOver]],1,Table1[[AwayTeam]:[AwayTeam]],I$36, Table1[[HomeTeam]:[HomeTeam]],$A51))), "")</f>
        <v/>
      </c>
      <c r="J51" s="36">
        <f>IFERROR(((2 * (SUMIFS(Table1[[AwayWon]:[AwayWon]], Table1[[GameIsOver]:[GameIsOver]], 1, Table1[[AwayTeam]:[AwayTeam]], $A51, Table1[[HomeTeam]:[HomeTeam]], J$36) + SUMIFS(Table1[[HomeWon]:[HomeWon]], Table1[[GameIsOver]:[GameIsOver]], 1, Table1[[HomeTeam]:[HomeTeam]], $A51, Table1[[AwayTeam]:[AwayTeam]], J$36))) + (SUMIFS(Table1[[HomeWon]:[HomeWon]], Table1[[GameIsOver]:[GameIsOver]], 1, Table1[[AwayTeam]:[AwayTeam]], $A51, Table1[[HomeTeam]:[HomeTeam]],  J$36, Table1[[ActualResult]:[ActualResult]], "OT") + SUMIFS(Table1[[AwayWon]:[AwayWon]], Table1[[GameIsOver]:[GameIsOver]], 1, Table1[[HomeTeam]:[HomeTeam]], $A51, Table1[[AwayTeam]:[AwayTeam]], J$36, Table1[[ActualResult]:[ActualResult]], "OT") + SUMIFS(Table1[[HomeWon]:[HomeWon]], Table1[[GameIsOver]:[GameIsOver]], 1, Table1[[AwayTeam]:[AwayTeam]], $A51, Table1[[HomeTeam]:[HomeTeam]], J$36, Table1[[ActualResult]:[ActualResult]], "SO") + SUMIFS(Table1[[AwayWon]:[AwayWon]], Table1[[GameIsOver]:[GameIsOver]], 1, Table1[[HomeTeam]:[HomeTeam]], $A51, Table1[[AwayTeam]:[AwayTeam]], J$36, Table1[[ActualResult]:[ActualResult]], "SO")))/ (2*((COUNTIFS(Table1[[GameIsOver]:[GameIsOver]],1,Table1[[AwayTeam]:[AwayTeam]],$A51, Table1[[HomeTeam]:[HomeTeam]], J$36)))+( COUNTIFS(Table1[[GameIsOver]:[GameIsOver]],1,Table1[[AwayTeam]:[AwayTeam]],J$36, Table1[[HomeTeam]:[HomeTeam]],$A51))), "")</f>
        <v>2</v>
      </c>
      <c r="K51" s="36" t="str">
        <f>IFERROR(((2 * (SUMIFS(Table1[[AwayWon]:[AwayWon]], Table1[[GameIsOver]:[GameIsOver]], 1, Table1[[AwayTeam]:[AwayTeam]], $A51, Table1[[HomeTeam]:[HomeTeam]], K$36) + SUMIFS(Table1[[HomeWon]:[HomeWon]], Table1[[GameIsOver]:[GameIsOver]], 1, Table1[[HomeTeam]:[HomeTeam]], $A51, Table1[[AwayTeam]:[AwayTeam]], K$36))) + (SUMIFS(Table1[[HomeWon]:[HomeWon]], Table1[[GameIsOver]:[GameIsOver]], 1, Table1[[AwayTeam]:[AwayTeam]], $A51, Table1[[HomeTeam]:[HomeTeam]],  K$36, Table1[[ActualResult]:[ActualResult]], "OT") + SUMIFS(Table1[[AwayWon]:[AwayWon]], Table1[[GameIsOver]:[GameIsOver]], 1, Table1[[HomeTeam]:[HomeTeam]], $A51, Table1[[AwayTeam]:[AwayTeam]], K$36, Table1[[ActualResult]:[ActualResult]], "OT") + SUMIFS(Table1[[HomeWon]:[HomeWon]], Table1[[GameIsOver]:[GameIsOver]], 1, Table1[[AwayTeam]:[AwayTeam]], $A51, Table1[[HomeTeam]:[HomeTeam]], K$36, Table1[[ActualResult]:[ActualResult]], "SO") + SUMIFS(Table1[[AwayWon]:[AwayWon]], Table1[[GameIsOver]:[GameIsOver]], 1, Table1[[HomeTeam]:[HomeTeam]], $A51, Table1[[AwayTeam]:[AwayTeam]], K$36, Table1[[ActualResult]:[ActualResult]], "SO")))/ (2*((COUNTIFS(Table1[[GameIsOver]:[GameIsOver]],1,Table1[[AwayTeam]:[AwayTeam]],$A51, Table1[[HomeTeam]:[HomeTeam]], K$36)))+( COUNTIFS(Table1[[GameIsOver]:[GameIsOver]],1,Table1[[AwayTeam]:[AwayTeam]],K$36, Table1[[HomeTeam]:[HomeTeam]],$A51))), "")</f>
        <v/>
      </c>
      <c r="L51" s="36" t="str">
        <f>IFERROR(((2 * (SUMIFS(Table1[[AwayWon]:[AwayWon]], Table1[[GameIsOver]:[GameIsOver]], 1, Table1[[AwayTeam]:[AwayTeam]], $A51, Table1[[HomeTeam]:[HomeTeam]], L$36) + SUMIFS(Table1[[HomeWon]:[HomeWon]], Table1[[GameIsOver]:[GameIsOver]], 1, Table1[[HomeTeam]:[HomeTeam]], $A51, Table1[[AwayTeam]:[AwayTeam]], L$36))) + (SUMIFS(Table1[[HomeWon]:[HomeWon]], Table1[[GameIsOver]:[GameIsOver]], 1, Table1[[AwayTeam]:[AwayTeam]], $A51, Table1[[HomeTeam]:[HomeTeam]],  L$36, Table1[[ActualResult]:[ActualResult]], "OT") + SUMIFS(Table1[[AwayWon]:[AwayWon]], Table1[[GameIsOver]:[GameIsOver]], 1, Table1[[HomeTeam]:[HomeTeam]], $A51, Table1[[AwayTeam]:[AwayTeam]], L$36, Table1[[ActualResult]:[ActualResult]], "OT") + SUMIFS(Table1[[HomeWon]:[HomeWon]], Table1[[GameIsOver]:[GameIsOver]], 1, Table1[[AwayTeam]:[AwayTeam]], $A51, Table1[[HomeTeam]:[HomeTeam]], L$36, Table1[[ActualResult]:[ActualResult]], "SO") + SUMIFS(Table1[[AwayWon]:[AwayWon]], Table1[[GameIsOver]:[GameIsOver]], 1, Table1[[HomeTeam]:[HomeTeam]], $A51, Table1[[AwayTeam]:[AwayTeam]], L$36, Table1[[ActualResult]:[ActualResult]], "SO")))/ (2*((COUNTIFS(Table1[[GameIsOver]:[GameIsOver]],1,Table1[[AwayTeam]:[AwayTeam]],$A51, Table1[[HomeTeam]:[HomeTeam]], L$36)))+( COUNTIFS(Table1[[GameIsOver]:[GameIsOver]],1,Table1[[AwayTeam]:[AwayTeam]],L$36, Table1[[HomeTeam]:[HomeTeam]],$A51))), "")</f>
        <v/>
      </c>
      <c r="M51" s="36" t="str">
        <f>IFERROR(((2 * (SUMIFS(Table1[[AwayWon]:[AwayWon]], Table1[[GameIsOver]:[GameIsOver]], 1, Table1[[AwayTeam]:[AwayTeam]], $A51, Table1[[HomeTeam]:[HomeTeam]], M$36) + SUMIFS(Table1[[HomeWon]:[HomeWon]], Table1[[GameIsOver]:[GameIsOver]], 1, Table1[[HomeTeam]:[HomeTeam]], $A51, Table1[[AwayTeam]:[AwayTeam]], M$36))) + (SUMIFS(Table1[[HomeWon]:[HomeWon]], Table1[[GameIsOver]:[GameIsOver]], 1, Table1[[AwayTeam]:[AwayTeam]], $A51, Table1[[HomeTeam]:[HomeTeam]],  M$36, Table1[[ActualResult]:[ActualResult]], "OT") + SUMIFS(Table1[[AwayWon]:[AwayWon]], Table1[[GameIsOver]:[GameIsOver]], 1, Table1[[HomeTeam]:[HomeTeam]], $A51, Table1[[AwayTeam]:[AwayTeam]], M$36, Table1[[ActualResult]:[ActualResult]], "OT") + SUMIFS(Table1[[HomeWon]:[HomeWon]], Table1[[GameIsOver]:[GameIsOver]], 1, Table1[[AwayTeam]:[AwayTeam]], $A51, Table1[[HomeTeam]:[HomeTeam]], M$36, Table1[[ActualResult]:[ActualResult]], "SO") + SUMIFS(Table1[[AwayWon]:[AwayWon]], Table1[[GameIsOver]:[GameIsOver]], 1, Table1[[HomeTeam]:[HomeTeam]], $A51, Table1[[AwayTeam]:[AwayTeam]], M$36, Table1[[ActualResult]:[ActualResult]], "SO")))/ (2*((COUNTIFS(Table1[[GameIsOver]:[GameIsOver]],1,Table1[[AwayTeam]:[AwayTeam]],$A51, Table1[[HomeTeam]:[HomeTeam]], M$36)))+( COUNTIFS(Table1[[GameIsOver]:[GameIsOver]],1,Table1[[AwayTeam]:[AwayTeam]],M$36, Table1[[HomeTeam]:[HomeTeam]],$A51))), "")</f>
        <v/>
      </c>
      <c r="N51" s="36" t="str">
        <f>IFERROR(((2 * (SUMIFS(Table1[[AwayWon]:[AwayWon]], Table1[[GameIsOver]:[GameIsOver]], 1, Table1[[AwayTeam]:[AwayTeam]], $A51, Table1[[HomeTeam]:[HomeTeam]], N$36) + SUMIFS(Table1[[HomeWon]:[HomeWon]], Table1[[GameIsOver]:[GameIsOver]], 1, Table1[[HomeTeam]:[HomeTeam]], $A51, Table1[[AwayTeam]:[AwayTeam]], N$36))) + (SUMIFS(Table1[[HomeWon]:[HomeWon]], Table1[[GameIsOver]:[GameIsOver]], 1, Table1[[AwayTeam]:[AwayTeam]], $A51, Table1[[HomeTeam]:[HomeTeam]],  N$36, Table1[[ActualResult]:[ActualResult]], "OT") + SUMIFS(Table1[[AwayWon]:[AwayWon]], Table1[[GameIsOver]:[GameIsOver]], 1, Table1[[HomeTeam]:[HomeTeam]], $A51, Table1[[AwayTeam]:[AwayTeam]], N$36, Table1[[ActualResult]:[ActualResult]], "OT") + SUMIFS(Table1[[HomeWon]:[HomeWon]], Table1[[GameIsOver]:[GameIsOver]], 1, Table1[[AwayTeam]:[AwayTeam]], $A51, Table1[[HomeTeam]:[HomeTeam]], N$36, Table1[[ActualResult]:[ActualResult]], "SO") + SUMIFS(Table1[[AwayWon]:[AwayWon]], Table1[[GameIsOver]:[GameIsOver]], 1, Table1[[HomeTeam]:[HomeTeam]], $A51, Table1[[AwayTeam]:[AwayTeam]], N$36, Table1[[ActualResult]:[ActualResult]], "SO")))/ (2*((COUNTIFS(Table1[[GameIsOver]:[GameIsOver]],1,Table1[[AwayTeam]:[AwayTeam]],$A51, Table1[[HomeTeam]:[HomeTeam]], N$36)))+( COUNTIFS(Table1[[GameIsOver]:[GameIsOver]],1,Table1[[AwayTeam]:[AwayTeam]],N$36, Table1[[HomeTeam]:[HomeTeam]],$A51))), "")</f>
        <v/>
      </c>
      <c r="O51" s="36" t="str">
        <f>IFERROR(((2 * (SUMIFS(Table1[[AwayWon]:[AwayWon]], Table1[[GameIsOver]:[GameIsOver]], 1, Table1[[AwayTeam]:[AwayTeam]], $A51, Table1[[HomeTeam]:[HomeTeam]], O$36) + SUMIFS(Table1[[HomeWon]:[HomeWon]], Table1[[GameIsOver]:[GameIsOver]], 1, Table1[[HomeTeam]:[HomeTeam]], $A51, Table1[[AwayTeam]:[AwayTeam]], O$36))) + (SUMIFS(Table1[[HomeWon]:[HomeWon]], Table1[[GameIsOver]:[GameIsOver]], 1, Table1[[AwayTeam]:[AwayTeam]], $A51, Table1[[HomeTeam]:[HomeTeam]],  O$36, Table1[[ActualResult]:[ActualResult]], "OT") + SUMIFS(Table1[[AwayWon]:[AwayWon]], Table1[[GameIsOver]:[GameIsOver]], 1, Table1[[HomeTeam]:[HomeTeam]], $A51, Table1[[AwayTeam]:[AwayTeam]], O$36, Table1[[ActualResult]:[ActualResult]], "OT") + SUMIFS(Table1[[HomeWon]:[HomeWon]], Table1[[GameIsOver]:[GameIsOver]], 1, Table1[[AwayTeam]:[AwayTeam]], $A51, Table1[[HomeTeam]:[HomeTeam]], O$36, Table1[[ActualResult]:[ActualResult]], "SO") + SUMIFS(Table1[[AwayWon]:[AwayWon]], Table1[[GameIsOver]:[GameIsOver]], 1, Table1[[HomeTeam]:[HomeTeam]], $A51, Table1[[AwayTeam]:[AwayTeam]], O$36, Table1[[ActualResult]:[ActualResult]], "SO")))/ (2*((COUNTIFS(Table1[[GameIsOver]:[GameIsOver]],1,Table1[[AwayTeam]:[AwayTeam]],$A51, Table1[[HomeTeam]:[HomeTeam]], O$36)))+( COUNTIFS(Table1[[GameIsOver]:[GameIsOver]],1,Table1[[AwayTeam]:[AwayTeam]],O$36, Table1[[HomeTeam]:[HomeTeam]],$A51))), "")</f>
        <v/>
      </c>
      <c r="P51" s="36" t="str">
        <f>IFERROR(((2 * (SUMIFS(Table1[[AwayWon]:[AwayWon]], Table1[[GameIsOver]:[GameIsOver]], 1, Table1[[AwayTeam]:[AwayTeam]], $A51, Table1[[HomeTeam]:[HomeTeam]], P$36) + SUMIFS(Table1[[HomeWon]:[HomeWon]], Table1[[GameIsOver]:[GameIsOver]], 1, Table1[[HomeTeam]:[HomeTeam]], $A51, Table1[[AwayTeam]:[AwayTeam]], P$36))) + (SUMIFS(Table1[[HomeWon]:[HomeWon]], Table1[[GameIsOver]:[GameIsOver]], 1, Table1[[AwayTeam]:[AwayTeam]], $A51, Table1[[HomeTeam]:[HomeTeam]],  P$36, Table1[[ActualResult]:[ActualResult]], "OT") + SUMIFS(Table1[[AwayWon]:[AwayWon]], Table1[[GameIsOver]:[GameIsOver]], 1, Table1[[HomeTeam]:[HomeTeam]], $A51, Table1[[AwayTeam]:[AwayTeam]], P$36, Table1[[ActualResult]:[ActualResult]], "OT") + SUMIFS(Table1[[HomeWon]:[HomeWon]], Table1[[GameIsOver]:[GameIsOver]], 1, Table1[[AwayTeam]:[AwayTeam]], $A51, Table1[[HomeTeam]:[HomeTeam]], P$36, Table1[[ActualResult]:[ActualResult]], "SO") + SUMIFS(Table1[[AwayWon]:[AwayWon]], Table1[[GameIsOver]:[GameIsOver]], 1, Table1[[HomeTeam]:[HomeTeam]], $A51, Table1[[AwayTeam]:[AwayTeam]], P$36, Table1[[ActualResult]:[ActualResult]], "SO")))/ (2*((COUNTIFS(Table1[[GameIsOver]:[GameIsOver]],1,Table1[[AwayTeam]:[AwayTeam]],$A51, Table1[[HomeTeam]:[HomeTeam]], P$36)))+( COUNTIFS(Table1[[GameIsOver]:[GameIsOver]],1,Table1[[AwayTeam]:[AwayTeam]],P$36, Table1[[HomeTeam]:[HomeTeam]],$A51))), "")</f>
        <v/>
      </c>
      <c r="Q51" s="38" t="str">
        <f>IFERROR(((2 * (SUMIFS(Table1[[AwayWon]:[AwayWon]], Table1[[GameIsOver]:[GameIsOver]], 1, Table1[[AwayTeam]:[AwayTeam]], $A51, Table1[[HomeTeam]:[HomeTeam]], Q$36) + SUMIFS(Table1[[HomeWon]:[HomeWon]], Table1[[GameIsOver]:[GameIsOver]], 1, Table1[[HomeTeam]:[HomeTeam]], $A51, Table1[[AwayTeam]:[AwayTeam]], Q$36))) + (SUMIFS(Table1[[HomeWon]:[HomeWon]], Table1[[GameIsOver]:[GameIsOver]], 1, Table1[[AwayTeam]:[AwayTeam]], $A51, Table1[[HomeTeam]:[HomeTeam]],  Q$36, Table1[[ActualResult]:[ActualResult]], "OT") + SUMIFS(Table1[[AwayWon]:[AwayWon]], Table1[[GameIsOver]:[GameIsOver]], 1, Table1[[HomeTeam]:[HomeTeam]], $A51, Table1[[AwayTeam]:[AwayTeam]], Q$36, Table1[[ActualResult]:[ActualResult]], "OT") + SUMIFS(Table1[[HomeWon]:[HomeWon]], Table1[[GameIsOver]:[GameIsOver]], 1, Table1[[AwayTeam]:[AwayTeam]], $A51, Table1[[HomeTeam]:[HomeTeam]], Q$36, Table1[[ActualResult]:[ActualResult]], "SO") + SUMIFS(Table1[[AwayWon]:[AwayWon]], Table1[[GameIsOver]:[GameIsOver]], 1, Table1[[HomeTeam]:[HomeTeam]], $A51, Table1[[AwayTeam]:[AwayTeam]], Q$36, Table1[[ActualResult]:[ActualResult]], "SO")))/ (2*((COUNTIFS(Table1[[GameIsOver]:[GameIsOver]],1,Table1[[AwayTeam]:[AwayTeam]],$A51, Table1[[HomeTeam]:[HomeTeam]], Q$36)))+( COUNTIFS(Table1[[GameIsOver]:[GameIsOver]],1,Table1[[AwayTeam]:[AwayTeam]],Q$36, Table1[[HomeTeam]:[HomeTeam]],$A51))), "")</f>
        <v/>
      </c>
      <c r="R51" s="36" t="str">
        <f>IFERROR(((2 * (SUMIFS(Table1[[AwayWon]:[AwayWon]], Table1[[GameIsOver]:[GameIsOver]], 1, Table1[[AwayTeam]:[AwayTeam]], $A51, Table1[[HomeTeam]:[HomeTeam]], R$36) + SUMIFS(Table1[[HomeWon]:[HomeWon]], Table1[[GameIsOver]:[GameIsOver]], 1, Table1[[HomeTeam]:[HomeTeam]], $A51, Table1[[AwayTeam]:[AwayTeam]], R$36))) + (SUMIFS(Table1[[HomeWon]:[HomeWon]], Table1[[GameIsOver]:[GameIsOver]], 1, Table1[[AwayTeam]:[AwayTeam]], $A51, Table1[[HomeTeam]:[HomeTeam]],  R$36, Table1[[ActualResult]:[ActualResult]], "OT") + SUMIFS(Table1[[AwayWon]:[AwayWon]], Table1[[GameIsOver]:[GameIsOver]], 1, Table1[[HomeTeam]:[HomeTeam]], $A51, Table1[[AwayTeam]:[AwayTeam]], R$36, Table1[[ActualResult]:[ActualResult]], "OT") + SUMIFS(Table1[[HomeWon]:[HomeWon]], Table1[[GameIsOver]:[GameIsOver]], 1, Table1[[AwayTeam]:[AwayTeam]], $A51, Table1[[HomeTeam]:[HomeTeam]], R$36, Table1[[ActualResult]:[ActualResult]], "SO") + SUMIFS(Table1[[AwayWon]:[AwayWon]], Table1[[GameIsOver]:[GameIsOver]], 1, Table1[[HomeTeam]:[HomeTeam]], $A51, Table1[[AwayTeam]:[AwayTeam]], R$36, Table1[[ActualResult]:[ActualResult]], "SO")))/ (2*((COUNTIFS(Table1[[GameIsOver]:[GameIsOver]],1,Table1[[AwayTeam]:[AwayTeam]],$A51, Table1[[HomeTeam]:[HomeTeam]], R$36)))+( COUNTIFS(Table1[[GameIsOver]:[GameIsOver]],1,Table1[[AwayTeam]:[AwayTeam]],R$36, Table1[[HomeTeam]:[HomeTeam]],$A51))), "")</f>
        <v/>
      </c>
      <c r="S51" s="36" t="str">
        <f>IFERROR(((2 * (SUMIFS(Table1[[AwayWon]:[AwayWon]], Table1[[GameIsOver]:[GameIsOver]], 1, Table1[[AwayTeam]:[AwayTeam]], $A51, Table1[[HomeTeam]:[HomeTeam]], S$36) + SUMIFS(Table1[[HomeWon]:[HomeWon]], Table1[[GameIsOver]:[GameIsOver]], 1, Table1[[HomeTeam]:[HomeTeam]], $A51, Table1[[AwayTeam]:[AwayTeam]], S$36))) + (SUMIFS(Table1[[HomeWon]:[HomeWon]], Table1[[GameIsOver]:[GameIsOver]], 1, Table1[[AwayTeam]:[AwayTeam]], $A51, Table1[[HomeTeam]:[HomeTeam]],  S$36, Table1[[ActualResult]:[ActualResult]], "OT") + SUMIFS(Table1[[AwayWon]:[AwayWon]], Table1[[GameIsOver]:[GameIsOver]], 1, Table1[[HomeTeam]:[HomeTeam]], $A51, Table1[[AwayTeam]:[AwayTeam]], S$36, Table1[[ActualResult]:[ActualResult]], "OT") + SUMIFS(Table1[[HomeWon]:[HomeWon]], Table1[[GameIsOver]:[GameIsOver]], 1, Table1[[AwayTeam]:[AwayTeam]], $A51, Table1[[HomeTeam]:[HomeTeam]], S$36, Table1[[ActualResult]:[ActualResult]], "SO") + SUMIFS(Table1[[AwayWon]:[AwayWon]], Table1[[GameIsOver]:[GameIsOver]], 1, Table1[[HomeTeam]:[HomeTeam]], $A51, Table1[[AwayTeam]:[AwayTeam]], S$36, Table1[[ActualResult]:[ActualResult]], "SO")))/ (2*((COUNTIFS(Table1[[GameIsOver]:[GameIsOver]],1,Table1[[AwayTeam]:[AwayTeam]],$A51, Table1[[HomeTeam]:[HomeTeam]], S$36)))+( COUNTIFS(Table1[[GameIsOver]:[GameIsOver]],1,Table1[[AwayTeam]:[AwayTeam]],S$36, Table1[[HomeTeam]:[HomeTeam]],$A51))), "")</f>
        <v/>
      </c>
      <c r="T51" s="36" t="str">
        <f>IFERROR(((2 * (SUMIFS(Table1[[AwayWon]:[AwayWon]], Table1[[GameIsOver]:[GameIsOver]], 1, Table1[[AwayTeam]:[AwayTeam]], $A51, Table1[[HomeTeam]:[HomeTeam]], T$36) + SUMIFS(Table1[[HomeWon]:[HomeWon]], Table1[[GameIsOver]:[GameIsOver]], 1, Table1[[HomeTeam]:[HomeTeam]], $A51, Table1[[AwayTeam]:[AwayTeam]], T$36))) + (SUMIFS(Table1[[HomeWon]:[HomeWon]], Table1[[GameIsOver]:[GameIsOver]], 1, Table1[[AwayTeam]:[AwayTeam]], $A51, Table1[[HomeTeam]:[HomeTeam]],  T$36, Table1[[ActualResult]:[ActualResult]], "OT") + SUMIFS(Table1[[AwayWon]:[AwayWon]], Table1[[GameIsOver]:[GameIsOver]], 1, Table1[[HomeTeam]:[HomeTeam]], $A51, Table1[[AwayTeam]:[AwayTeam]], T$36, Table1[[ActualResult]:[ActualResult]], "OT") + SUMIFS(Table1[[HomeWon]:[HomeWon]], Table1[[GameIsOver]:[GameIsOver]], 1, Table1[[AwayTeam]:[AwayTeam]], $A51, Table1[[HomeTeam]:[HomeTeam]], T$36, Table1[[ActualResult]:[ActualResult]], "SO") + SUMIFS(Table1[[AwayWon]:[AwayWon]], Table1[[GameIsOver]:[GameIsOver]], 1, Table1[[HomeTeam]:[HomeTeam]], $A51, Table1[[AwayTeam]:[AwayTeam]], T$36, Table1[[ActualResult]:[ActualResult]], "SO")))/ (2*((COUNTIFS(Table1[[GameIsOver]:[GameIsOver]],1,Table1[[AwayTeam]:[AwayTeam]],$A51, Table1[[HomeTeam]:[HomeTeam]], T$36)))+( COUNTIFS(Table1[[GameIsOver]:[GameIsOver]],1,Table1[[AwayTeam]:[AwayTeam]],T$36, Table1[[HomeTeam]:[HomeTeam]],$A51))), "")</f>
        <v/>
      </c>
      <c r="U51" s="36" t="str">
        <f>IFERROR(((2 * (SUMIFS(Table1[[AwayWon]:[AwayWon]], Table1[[GameIsOver]:[GameIsOver]], 1, Table1[[AwayTeam]:[AwayTeam]], $A51, Table1[[HomeTeam]:[HomeTeam]], U$36) + SUMIFS(Table1[[HomeWon]:[HomeWon]], Table1[[GameIsOver]:[GameIsOver]], 1, Table1[[HomeTeam]:[HomeTeam]], $A51, Table1[[AwayTeam]:[AwayTeam]], U$36))) + (SUMIFS(Table1[[HomeWon]:[HomeWon]], Table1[[GameIsOver]:[GameIsOver]], 1, Table1[[AwayTeam]:[AwayTeam]], $A51, Table1[[HomeTeam]:[HomeTeam]],  U$36, Table1[[ActualResult]:[ActualResult]], "OT") + SUMIFS(Table1[[AwayWon]:[AwayWon]], Table1[[GameIsOver]:[GameIsOver]], 1, Table1[[HomeTeam]:[HomeTeam]], $A51, Table1[[AwayTeam]:[AwayTeam]], U$36, Table1[[ActualResult]:[ActualResult]], "OT") + SUMIFS(Table1[[HomeWon]:[HomeWon]], Table1[[GameIsOver]:[GameIsOver]], 1, Table1[[AwayTeam]:[AwayTeam]], $A51, Table1[[HomeTeam]:[HomeTeam]], U$36, Table1[[ActualResult]:[ActualResult]], "SO") + SUMIFS(Table1[[AwayWon]:[AwayWon]], Table1[[GameIsOver]:[GameIsOver]], 1, Table1[[HomeTeam]:[HomeTeam]], $A51, Table1[[AwayTeam]:[AwayTeam]], U$36, Table1[[ActualResult]:[ActualResult]], "SO")))/ (2*((COUNTIFS(Table1[[GameIsOver]:[GameIsOver]],1,Table1[[AwayTeam]:[AwayTeam]],$A51, Table1[[HomeTeam]:[HomeTeam]], U$36)))+( COUNTIFS(Table1[[GameIsOver]:[GameIsOver]],1,Table1[[AwayTeam]:[AwayTeam]],U$36, Table1[[HomeTeam]:[HomeTeam]],$A51))), "")</f>
        <v/>
      </c>
      <c r="V51" s="36" t="str">
        <f>IFERROR(((2 * (SUMIFS(Table1[[AwayWon]:[AwayWon]], Table1[[GameIsOver]:[GameIsOver]], 1, Table1[[AwayTeam]:[AwayTeam]], $A51, Table1[[HomeTeam]:[HomeTeam]], V$36) + SUMIFS(Table1[[HomeWon]:[HomeWon]], Table1[[GameIsOver]:[GameIsOver]], 1, Table1[[HomeTeam]:[HomeTeam]], $A51, Table1[[AwayTeam]:[AwayTeam]], V$36))) + (SUMIFS(Table1[[HomeWon]:[HomeWon]], Table1[[GameIsOver]:[GameIsOver]], 1, Table1[[AwayTeam]:[AwayTeam]], $A51, Table1[[HomeTeam]:[HomeTeam]],  V$36, Table1[[ActualResult]:[ActualResult]], "OT") + SUMIFS(Table1[[AwayWon]:[AwayWon]], Table1[[GameIsOver]:[GameIsOver]], 1, Table1[[HomeTeam]:[HomeTeam]], $A51, Table1[[AwayTeam]:[AwayTeam]], V$36, Table1[[ActualResult]:[ActualResult]], "OT") + SUMIFS(Table1[[HomeWon]:[HomeWon]], Table1[[GameIsOver]:[GameIsOver]], 1, Table1[[AwayTeam]:[AwayTeam]], $A51, Table1[[HomeTeam]:[HomeTeam]], V$36, Table1[[ActualResult]:[ActualResult]], "SO") + SUMIFS(Table1[[AwayWon]:[AwayWon]], Table1[[GameIsOver]:[GameIsOver]], 1, Table1[[HomeTeam]:[HomeTeam]], $A51, Table1[[AwayTeam]:[AwayTeam]], V$36, Table1[[ActualResult]:[ActualResult]], "SO")))/ (2*((COUNTIFS(Table1[[GameIsOver]:[GameIsOver]],1,Table1[[AwayTeam]:[AwayTeam]],$A51, Table1[[HomeTeam]:[HomeTeam]], V$36)))+( COUNTIFS(Table1[[GameIsOver]:[GameIsOver]],1,Table1[[AwayTeam]:[AwayTeam]],V$36, Table1[[HomeTeam]:[HomeTeam]],$A51))), "")</f>
        <v/>
      </c>
      <c r="W51" s="36" t="str">
        <f>IFERROR(((2 * (SUMIFS(Table1[[AwayWon]:[AwayWon]], Table1[[GameIsOver]:[GameIsOver]], 1, Table1[[AwayTeam]:[AwayTeam]], $A51, Table1[[HomeTeam]:[HomeTeam]], W$36) + SUMIFS(Table1[[HomeWon]:[HomeWon]], Table1[[GameIsOver]:[GameIsOver]], 1, Table1[[HomeTeam]:[HomeTeam]], $A51, Table1[[AwayTeam]:[AwayTeam]], W$36))) + (SUMIFS(Table1[[HomeWon]:[HomeWon]], Table1[[GameIsOver]:[GameIsOver]], 1, Table1[[AwayTeam]:[AwayTeam]], $A51, Table1[[HomeTeam]:[HomeTeam]],  W$36, Table1[[ActualResult]:[ActualResult]], "OT") + SUMIFS(Table1[[AwayWon]:[AwayWon]], Table1[[GameIsOver]:[GameIsOver]], 1, Table1[[HomeTeam]:[HomeTeam]], $A51, Table1[[AwayTeam]:[AwayTeam]], W$36, Table1[[ActualResult]:[ActualResult]], "OT") + SUMIFS(Table1[[HomeWon]:[HomeWon]], Table1[[GameIsOver]:[GameIsOver]], 1, Table1[[AwayTeam]:[AwayTeam]], $A51, Table1[[HomeTeam]:[HomeTeam]], W$36, Table1[[ActualResult]:[ActualResult]], "SO") + SUMIFS(Table1[[AwayWon]:[AwayWon]], Table1[[GameIsOver]:[GameIsOver]], 1, Table1[[HomeTeam]:[HomeTeam]], $A51, Table1[[AwayTeam]:[AwayTeam]], W$36, Table1[[ActualResult]:[ActualResult]], "SO")))/ (2*((COUNTIFS(Table1[[GameIsOver]:[GameIsOver]],1,Table1[[AwayTeam]:[AwayTeam]],$A51, Table1[[HomeTeam]:[HomeTeam]], W$36)))+( COUNTIFS(Table1[[GameIsOver]:[GameIsOver]],1,Table1[[AwayTeam]:[AwayTeam]],W$36, Table1[[HomeTeam]:[HomeTeam]],$A51))), "")</f>
        <v/>
      </c>
      <c r="X51" s="36" t="str">
        <f>IFERROR(((2 * (SUMIFS(Table1[[AwayWon]:[AwayWon]], Table1[[GameIsOver]:[GameIsOver]], 1, Table1[[AwayTeam]:[AwayTeam]], $A51, Table1[[HomeTeam]:[HomeTeam]], X$36) + SUMIFS(Table1[[HomeWon]:[HomeWon]], Table1[[GameIsOver]:[GameIsOver]], 1, Table1[[HomeTeam]:[HomeTeam]], $A51, Table1[[AwayTeam]:[AwayTeam]], X$36))) + (SUMIFS(Table1[[HomeWon]:[HomeWon]], Table1[[GameIsOver]:[GameIsOver]], 1, Table1[[AwayTeam]:[AwayTeam]], $A51, Table1[[HomeTeam]:[HomeTeam]],  X$36, Table1[[ActualResult]:[ActualResult]], "OT") + SUMIFS(Table1[[AwayWon]:[AwayWon]], Table1[[GameIsOver]:[GameIsOver]], 1, Table1[[HomeTeam]:[HomeTeam]], $A51, Table1[[AwayTeam]:[AwayTeam]], X$36, Table1[[ActualResult]:[ActualResult]], "OT") + SUMIFS(Table1[[HomeWon]:[HomeWon]], Table1[[GameIsOver]:[GameIsOver]], 1, Table1[[AwayTeam]:[AwayTeam]], $A51, Table1[[HomeTeam]:[HomeTeam]], X$36, Table1[[ActualResult]:[ActualResult]], "SO") + SUMIFS(Table1[[AwayWon]:[AwayWon]], Table1[[GameIsOver]:[GameIsOver]], 1, Table1[[HomeTeam]:[HomeTeam]], $A51, Table1[[AwayTeam]:[AwayTeam]], X$36, Table1[[ActualResult]:[ActualResult]], "SO")))/ (2*((COUNTIFS(Table1[[GameIsOver]:[GameIsOver]],1,Table1[[AwayTeam]:[AwayTeam]],$A51, Table1[[HomeTeam]:[HomeTeam]], X$36)))+( COUNTIFS(Table1[[GameIsOver]:[GameIsOver]],1,Table1[[AwayTeam]:[AwayTeam]],X$36, Table1[[HomeTeam]:[HomeTeam]],$A51))), "")</f>
        <v/>
      </c>
      <c r="Y51" s="38" t="str">
        <f>IFERROR(((2 * (SUMIFS(Table1[[AwayWon]:[AwayWon]], Table1[[GameIsOver]:[GameIsOver]], 1, Table1[[AwayTeam]:[AwayTeam]], $A51, Table1[[HomeTeam]:[HomeTeam]], Y$36) + SUMIFS(Table1[[HomeWon]:[HomeWon]], Table1[[GameIsOver]:[GameIsOver]], 1, Table1[[HomeTeam]:[HomeTeam]], $A51, Table1[[AwayTeam]:[AwayTeam]], Y$36))) + (SUMIFS(Table1[[HomeWon]:[HomeWon]], Table1[[GameIsOver]:[GameIsOver]], 1, Table1[[AwayTeam]:[AwayTeam]], $A51, Table1[[HomeTeam]:[HomeTeam]],  Y$36, Table1[[ActualResult]:[ActualResult]], "OT") + SUMIFS(Table1[[AwayWon]:[AwayWon]], Table1[[GameIsOver]:[GameIsOver]], 1, Table1[[HomeTeam]:[HomeTeam]], $A51, Table1[[AwayTeam]:[AwayTeam]], Y$36, Table1[[ActualResult]:[ActualResult]], "OT") + SUMIFS(Table1[[HomeWon]:[HomeWon]], Table1[[GameIsOver]:[GameIsOver]], 1, Table1[[AwayTeam]:[AwayTeam]], $A51, Table1[[HomeTeam]:[HomeTeam]], Y$36, Table1[[ActualResult]:[ActualResult]], "SO") + SUMIFS(Table1[[AwayWon]:[AwayWon]], Table1[[GameIsOver]:[GameIsOver]], 1, Table1[[HomeTeam]:[HomeTeam]], $A51, Table1[[AwayTeam]:[AwayTeam]], Y$36, Table1[[ActualResult]:[ActualResult]], "SO")))/ (2*((COUNTIFS(Table1[[GameIsOver]:[GameIsOver]],1,Table1[[AwayTeam]:[AwayTeam]],$A51, Table1[[HomeTeam]:[HomeTeam]], Y$36)))+( COUNTIFS(Table1[[GameIsOver]:[GameIsOver]],1,Table1[[AwayTeam]:[AwayTeam]],Y$36, Table1[[HomeTeam]:[HomeTeam]],$A51))), "")</f>
        <v/>
      </c>
      <c r="Z51" s="36" t="str">
        <f>IFERROR(((2 * (SUMIFS(Table1[[AwayWon]:[AwayWon]], Table1[[GameIsOver]:[GameIsOver]], 1, Table1[[AwayTeam]:[AwayTeam]], $A51, Table1[[HomeTeam]:[HomeTeam]], Z$36) + SUMIFS(Table1[[HomeWon]:[HomeWon]], Table1[[GameIsOver]:[GameIsOver]], 1, Table1[[HomeTeam]:[HomeTeam]], $A51, Table1[[AwayTeam]:[AwayTeam]], Z$36))) + (SUMIFS(Table1[[HomeWon]:[HomeWon]], Table1[[GameIsOver]:[GameIsOver]], 1, Table1[[AwayTeam]:[AwayTeam]], $A51, Table1[[HomeTeam]:[HomeTeam]],  Z$36, Table1[[ActualResult]:[ActualResult]], "OT") + SUMIFS(Table1[[AwayWon]:[AwayWon]], Table1[[GameIsOver]:[GameIsOver]], 1, Table1[[HomeTeam]:[HomeTeam]], $A51, Table1[[AwayTeam]:[AwayTeam]], Z$36, Table1[[ActualResult]:[ActualResult]], "OT") + SUMIFS(Table1[[HomeWon]:[HomeWon]], Table1[[GameIsOver]:[GameIsOver]], 1, Table1[[AwayTeam]:[AwayTeam]], $A51, Table1[[HomeTeam]:[HomeTeam]], Z$36, Table1[[ActualResult]:[ActualResult]], "SO") + SUMIFS(Table1[[AwayWon]:[AwayWon]], Table1[[GameIsOver]:[GameIsOver]], 1, Table1[[HomeTeam]:[HomeTeam]], $A51, Table1[[AwayTeam]:[AwayTeam]], Z$36, Table1[[ActualResult]:[ActualResult]], "SO")))/ (2*((COUNTIFS(Table1[[GameIsOver]:[GameIsOver]],1,Table1[[AwayTeam]:[AwayTeam]],$A51, Table1[[HomeTeam]:[HomeTeam]], Z$36)))+( COUNTIFS(Table1[[GameIsOver]:[GameIsOver]],1,Table1[[AwayTeam]:[AwayTeam]],Z$36, Table1[[HomeTeam]:[HomeTeam]],$A51))), "")</f>
        <v/>
      </c>
      <c r="AA51" s="36" t="str">
        <f>IFERROR(((2 * (SUMIFS(Table1[[AwayWon]:[AwayWon]], Table1[[GameIsOver]:[GameIsOver]], 1, Table1[[AwayTeam]:[AwayTeam]], $A51, Table1[[HomeTeam]:[HomeTeam]], AA$36) + SUMIFS(Table1[[HomeWon]:[HomeWon]], Table1[[GameIsOver]:[GameIsOver]], 1, Table1[[HomeTeam]:[HomeTeam]], $A51, Table1[[AwayTeam]:[AwayTeam]], AA$36))) + (SUMIFS(Table1[[HomeWon]:[HomeWon]], Table1[[GameIsOver]:[GameIsOver]], 1, Table1[[AwayTeam]:[AwayTeam]], $A51, Table1[[HomeTeam]:[HomeTeam]],  AA$36, Table1[[ActualResult]:[ActualResult]], "OT") + SUMIFS(Table1[[AwayWon]:[AwayWon]], Table1[[GameIsOver]:[GameIsOver]], 1, Table1[[HomeTeam]:[HomeTeam]], $A51, Table1[[AwayTeam]:[AwayTeam]], AA$36, Table1[[ActualResult]:[ActualResult]], "OT") + SUMIFS(Table1[[HomeWon]:[HomeWon]], Table1[[GameIsOver]:[GameIsOver]], 1, Table1[[AwayTeam]:[AwayTeam]], $A51, Table1[[HomeTeam]:[HomeTeam]], AA$36, Table1[[ActualResult]:[ActualResult]], "SO") + SUMIFS(Table1[[AwayWon]:[AwayWon]], Table1[[GameIsOver]:[GameIsOver]], 1, Table1[[HomeTeam]:[HomeTeam]], $A51, Table1[[AwayTeam]:[AwayTeam]], AA$36, Table1[[ActualResult]:[ActualResult]], "SO")))/ (2*((COUNTIFS(Table1[[GameIsOver]:[GameIsOver]],1,Table1[[AwayTeam]:[AwayTeam]],$A51, Table1[[HomeTeam]:[HomeTeam]], AA$36)))+( COUNTIFS(Table1[[GameIsOver]:[GameIsOver]],1,Table1[[AwayTeam]:[AwayTeam]],AA$36, Table1[[HomeTeam]:[HomeTeam]],$A51))), "")</f>
        <v/>
      </c>
      <c r="AB51" s="36" t="str">
        <f>IFERROR(((2 * (SUMIFS(Table1[[AwayWon]:[AwayWon]], Table1[[GameIsOver]:[GameIsOver]], 1, Table1[[AwayTeam]:[AwayTeam]], $A51, Table1[[HomeTeam]:[HomeTeam]], AB$36) + SUMIFS(Table1[[HomeWon]:[HomeWon]], Table1[[GameIsOver]:[GameIsOver]], 1, Table1[[HomeTeam]:[HomeTeam]], $A51, Table1[[AwayTeam]:[AwayTeam]], AB$36))) + (SUMIFS(Table1[[HomeWon]:[HomeWon]], Table1[[GameIsOver]:[GameIsOver]], 1, Table1[[AwayTeam]:[AwayTeam]], $A51, Table1[[HomeTeam]:[HomeTeam]],  AB$36, Table1[[ActualResult]:[ActualResult]], "OT") + SUMIFS(Table1[[AwayWon]:[AwayWon]], Table1[[GameIsOver]:[GameIsOver]], 1, Table1[[HomeTeam]:[HomeTeam]], $A51, Table1[[AwayTeam]:[AwayTeam]], AB$36, Table1[[ActualResult]:[ActualResult]], "OT") + SUMIFS(Table1[[HomeWon]:[HomeWon]], Table1[[GameIsOver]:[GameIsOver]], 1, Table1[[AwayTeam]:[AwayTeam]], $A51, Table1[[HomeTeam]:[HomeTeam]], AB$36, Table1[[ActualResult]:[ActualResult]], "SO") + SUMIFS(Table1[[AwayWon]:[AwayWon]], Table1[[GameIsOver]:[GameIsOver]], 1, Table1[[HomeTeam]:[HomeTeam]], $A51, Table1[[AwayTeam]:[AwayTeam]], AB$36, Table1[[ActualResult]:[ActualResult]], "SO")))/ (2*((COUNTIFS(Table1[[GameIsOver]:[GameIsOver]],1,Table1[[AwayTeam]:[AwayTeam]],$A51, Table1[[HomeTeam]:[HomeTeam]], AB$36)))+( COUNTIFS(Table1[[GameIsOver]:[GameIsOver]],1,Table1[[AwayTeam]:[AwayTeam]],AB$36, Table1[[HomeTeam]:[HomeTeam]],$A51))), "")</f>
        <v/>
      </c>
      <c r="AC51" s="36" t="str">
        <f>IFERROR(((2 * (SUMIFS(Table1[[AwayWon]:[AwayWon]], Table1[[GameIsOver]:[GameIsOver]], 1, Table1[[AwayTeam]:[AwayTeam]], $A51, Table1[[HomeTeam]:[HomeTeam]], AC$36) + SUMIFS(Table1[[HomeWon]:[HomeWon]], Table1[[GameIsOver]:[GameIsOver]], 1, Table1[[HomeTeam]:[HomeTeam]], $A51, Table1[[AwayTeam]:[AwayTeam]], AC$36))) + (SUMIFS(Table1[[HomeWon]:[HomeWon]], Table1[[GameIsOver]:[GameIsOver]], 1, Table1[[AwayTeam]:[AwayTeam]], $A51, Table1[[HomeTeam]:[HomeTeam]],  AC$36, Table1[[ActualResult]:[ActualResult]], "OT") + SUMIFS(Table1[[AwayWon]:[AwayWon]], Table1[[GameIsOver]:[GameIsOver]], 1, Table1[[HomeTeam]:[HomeTeam]], $A51, Table1[[AwayTeam]:[AwayTeam]], AC$36, Table1[[ActualResult]:[ActualResult]], "OT") + SUMIFS(Table1[[HomeWon]:[HomeWon]], Table1[[GameIsOver]:[GameIsOver]], 1, Table1[[AwayTeam]:[AwayTeam]], $A51, Table1[[HomeTeam]:[HomeTeam]], AC$36, Table1[[ActualResult]:[ActualResult]], "SO") + SUMIFS(Table1[[AwayWon]:[AwayWon]], Table1[[GameIsOver]:[GameIsOver]], 1, Table1[[HomeTeam]:[HomeTeam]], $A51, Table1[[AwayTeam]:[AwayTeam]], AC$36, Table1[[ActualResult]:[ActualResult]], "SO")))/ (2*((COUNTIFS(Table1[[GameIsOver]:[GameIsOver]],1,Table1[[AwayTeam]:[AwayTeam]],$A51, Table1[[HomeTeam]:[HomeTeam]], AC$36)))+( COUNTIFS(Table1[[GameIsOver]:[GameIsOver]],1,Table1[[AwayTeam]:[AwayTeam]],AC$36, Table1[[HomeTeam]:[HomeTeam]],$A51))), "")</f>
        <v/>
      </c>
      <c r="AD51" s="36" t="str">
        <f>IFERROR(((2 * (SUMIFS(Table1[[AwayWon]:[AwayWon]], Table1[[GameIsOver]:[GameIsOver]], 1, Table1[[AwayTeam]:[AwayTeam]], $A51, Table1[[HomeTeam]:[HomeTeam]], AD$36) + SUMIFS(Table1[[HomeWon]:[HomeWon]], Table1[[GameIsOver]:[GameIsOver]], 1, Table1[[HomeTeam]:[HomeTeam]], $A51, Table1[[AwayTeam]:[AwayTeam]], AD$36))) + (SUMIFS(Table1[[HomeWon]:[HomeWon]], Table1[[GameIsOver]:[GameIsOver]], 1, Table1[[AwayTeam]:[AwayTeam]], $A51, Table1[[HomeTeam]:[HomeTeam]],  AD$36, Table1[[ActualResult]:[ActualResult]], "OT") + SUMIFS(Table1[[AwayWon]:[AwayWon]], Table1[[GameIsOver]:[GameIsOver]], 1, Table1[[HomeTeam]:[HomeTeam]], $A51, Table1[[AwayTeam]:[AwayTeam]], AD$36, Table1[[ActualResult]:[ActualResult]], "OT") + SUMIFS(Table1[[HomeWon]:[HomeWon]], Table1[[GameIsOver]:[GameIsOver]], 1, Table1[[AwayTeam]:[AwayTeam]], $A51, Table1[[HomeTeam]:[HomeTeam]], AD$36, Table1[[ActualResult]:[ActualResult]], "SO") + SUMIFS(Table1[[AwayWon]:[AwayWon]], Table1[[GameIsOver]:[GameIsOver]], 1, Table1[[HomeTeam]:[HomeTeam]], $A51, Table1[[AwayTeam]:[AwayTeam]], AD$36, Table1[[ActualResult]:[ActualResult]], "SO")))/ (2*((COUNTIFS(Table1[[GameIsOver]:[GameIsOver]],1,Table1[[AwayTeam]:[AwayTeam]],$A51, Table1[[HomeTeam]:[HomeTeam]], AD$36)))+( COUNTIFS(Table1[[GameIsOver]:[GameIsOver]],1,Table1[[AwayTeam]:[AwayTeam]],AD$36, Table1[[HomeTeam]:[HomeTeam]],$A51))), "")</f>
        <v/>
      </c>
      <c r="AE51" s="36" t="str">
        <f>IFERROR(((2 * (SUMIFS(Table1[[AwayWon]:[AwayWon]], Table1[[GameIsOver]:[GameIsOver]], 1, Table1[[AwayTeam]:[AwayTeam]], $A51, Table1[[HomeTeam]:[HomeTeam]], AE$36) + SUMIFS(Table1[[HomeWon]:[HomeWon]], Table1[[GameIsOver]:[GameIsOver]], 1, Table1[[HomeTeam]:[HomeTeam]], $A51, Table1[[AwayTeam]:[AwayTeam]], AE$36))) + (SUMIFS(Table1[[HomeWon]:[HomeWon]], Table1[[GameIsOver]:[GameIsOver]], 1, Table1[[AwayTeam]:[AwayTeam]], $A51, Table1[[HomeTeam]:[HomeTeam]],  AE$36, Table1[[ActualResult]:[ActualResult]], "OT") + SUMIFS(Table1[[AwayWon]:[AwayWon]], Table1[[GameIsOver]:[GameIsOver]], 1, Table1[[HomeTeam]:[HomeTeam]], $A51, Table1[[AwayTeam]:[AwayTeam]], AE$36, Table1[[ActualResult]:[ActualResult]], "OT") + SUMIFS(Table1[[HomeWon]:[HomeWon]], Table1[[GameIsOver]:[GameIsOver]], 1, Table1[[AwayTeam]:[AwayTeam]], $A51, Table1[[HomeTeam]:[HomeTeam]], AE$36, Table1[[ActualResult]:[ActualResult]], "SO") + SUMIFS(Table1[[AwayWon]:[AwayWon]], Table1[[GameIsOver]:[GameIsOver]], 1, Table1[[HomeTeam]:[HomeTeam]], $A51, Table1[[AwayTeam]:[AwayTeam]], AE$36, Table1[[ActualResult]:[ActualResult]], "SO")))/ (2*((COUNTIFS(Table1[[GameIsOver]:[GameIsOver]],1,Table1[[AwayTeam]:[AwayTeam]],$A51, Table1[[HomeTeam]:[HomeTeam]], AE$36)))+( COUNTIFS(Table1[[GameIsOver]:[GameIsOver]],1,Table1[[AwayTeam]:[AwayTeam]],AE$36, Table1[[HomeTeam]:[HomeTeam]],$A51))), "")</f>
        <v/>
      </c>
      <c r="AF51" s="36" t="str">
        <f>IFERROR(((2 * (SUMIFS(Table1[[AwayWon]:[AwayWon]], Table1[[GameIsOver]:[GameIsOver]], 1, Table1[[AwayTeam]:[AwayTeam]], $A51, Table1[[HomeTeam]:[HomeTeam]], AF$36) + SUMIFS(Table1[[HomeWon]:[HomeWon]], Table1[[GameIsOver]:[GameIsOver]], 1, Table1[[HomeTeam]:[HomeTeam]], $A51, Table1[[AwayTeam]:[AwayTeam]], AF$36))) + (SUMIFS(Table1[[HomeWon]:[HomeWon]], Table1[[GameIsOver]:[GameIsOver]], 1, Table1[[AwayTeam]:[AwayTeam]], $A51, Table1[[HomeTeam]:[HomeTeam]],  AF$36, Table1[[ActualResult]:[ActualResult]], "OT") + SUMIFS(Table1[[AwayWon]:[AwayWon]], Table1[[GameIsOver]:[GameIsOver]], 1, Table1[[HomeTeam]:[HomeTeam]], $A51, Table1[[AwayTeam]:[AwayTeam]], AF$36, Table1[[ActualResult]:[ActualResult]], "OT") + SUMIFS(Table1[[HomeWon]:[HomeWon]], Table1[[GameIsOver]:[GameIsOver]], 1, Table1[[AwayTeam]:[AwayTeam]], $A51, Table1[[HomeTeam]:[HomeTeam]], AF$36, Table1[[ActualResult]:[ActualResult]], "SO") + SUMIFS(Table1[[AwayWon]:[AwayWon]], Table1[[GameIsOver]:[GameIsOver]], 1, Table1[[HomeTeam]:[HomeTeam]], $A51, Table1[[AwayTeam]:[AwayTeam]], AF$36, Table1[[ActualResult]:[ActualResult]], "SO")))/ (2*((COUNTIFS(Table1[[GameIsOver]:[GameIsOver]],1,Table1[[AwayTeam]:[AwayTeam]],$A51, Table1[[HomeTeam]:[HomeTeam]], AF$36)))+( COUNTIFS(Table1[[GameIsOver]:[GameIsOver]],1,Table1[[AwayTeam]:[AwayTeam]],AF$36, Table1[[HomeTeam]:[HomeTeam]],$A51))), "")</f>
        <v/>
      </c>
      <c r="AG51" s="36" t="str">
        <f>IFERROR(((2 * (SUMIFS(Table1[[AwayWon]:[AwayWon]], Table1[[GameIsOver]:[GameIsOver]], 1, Table1[[AwayTeam]:[AwayTeam]], $A51, Table1[[HomeTeam]:[HomeTeam]], AG$36) + SUMIFS(Table1[[HomeWon]:[HomeWon]], Table1[[GameIsOver]:[GameIsOver]], 1, Table1[[HomeTeam]:[HomeTeam]], $A51, Table1[[AwayTeam]:[AwayTeam]], AG$36))) + (SUMIFS(Table1[[HomeWon]:[HomeWon]], Table1[[GameIsOver]:[GameIsOver]], 1, Table1[[AwayTeam]:[AwayTeam]], $A51, Table1[[HomeTeam]:[HomeTeam]],  AG$36, Table1[[ActualResult]:[ActualResult]], "OT") + SUMIFS(Table1[[AwayWon]:[AwayWon]], Table1[[GameIsOver]:[GameIsOver]], 1, Table1[[HomeTeam]:[HomeTeam]], $A51, Table1[[AwayTeam]:[AwayTeam]], AG$36, Table1[[ActualResult]:[ActualResult]], "OT") + SUMIFS(Table1[[HomeWon]:[HomeWon]], Table1[[GameIsOver]:[GameIsOver]], 1, Table1[[AwayTeam]:[AwayTeam]], $A51, Table1[[HomeTeam]:[HomeTeam]], AG$36, Table1[[ActualResult]:[ActualResult]], "SO") + SUMIFS(Table1[[AwayWon]:[AwayWon]], Table1[[GameIsOver]:[GameIsOver]], 1, Table1[[HomeTeam]:[HomeTeam]], $A51, Table1[[AwayTeam]:[AwayTeam]], AG$36, Table1[[ActualResult]:[ActualResult]], "SO")))/ (2*((COUNTIFS(Table1[[GameIsOver]:[GameIsOver]],1,Table1[[AwayTeam]:[AwayTeam]],$A51, Table1[[HomeTeam]:[HomeTeam]], AG$36)))+( COUNTIFS(Table1[[GameIsOver]:[GameIsOver]],1,Table1[[AwayTeam]:[AwayTeam]],AG$36, Table1[[HomeTeam]:[HomeTeam]],$A51))), "")</f>
        <v/>
      </c>
      <c r="AH51" s="37" t="e">
        <f t="shared" si="0"/>
        <v>#DIV/0!</v>
      </c>
      <c r="AI51" s="37">
        <f t="shared" si="1"/>
        <v>2</v>
      </c>
      <c r="AJ51" s="38" t="e">
        <f t="shared" si="2"/>
        <v>#DIV/0!</v>
      </c>
      <c r="AK51" s="38" t="e">
        <f t="shared" si="3"/>
        <v>#DIV/0!</v>
      </c>
      <c r="AL51" s="38">
        <f t="shared" si="4"/>
        <v>2</v>
      </c>
      <c r="AM51" s="38" t="e">
        <f t="shared" si="5"/>
        <v>#DIV/0!</v>
      </c>
    </row>
    <row r="52" spans="1:39" ht="15.75" thickBot="1" x14ac:dyDescent="0.3">
      <c r="A52" s="18" t="s">
        <v>60</v>
      </c>
      <c r="B52" s="39" t="str">
        <f>IFERROR(((2 * (SUMIFS(Table1[[AwayWon]:[AwayWon]], Table1[[GameIsOver]:[GameIsOver]], 1, Table1[[AwayTeam]:[AwayTeam]], $A52, Table1[[HomeTeam]:[HomeTeam]], B$36) + SUMIFS(Table1[[HomeWon]:[HomeWon]], Table1[[GameIsOver]:[GameIsOver]], 1, Table1[[HomeTeam]:[HomeTeam]], $A52, Table1[[AwayTeam]:[AwayTeam]], B$36))) + (SUMIFS(Table1[[HomeWon]:[HomeWon]], Table1[[GameIsOver]:[GameIsOver]], 1, Table1[[AwayTeam]:[AwayTeam]], $A52, Table1[[HomeTeam]:[HomeTeam]],  B$36, Table1[[ActualResult]:[ActualResult]], "OT") + SUMIFS(Table1[[AwayWon]:[AwayWon]], Table1[[GameIsOver]:[GameIsOver]], 1, Table1[[HomeTeam]:[HomeTeam]], $A52, Table1[[AwayTeam]:[AwayTeam]], B$36, Table1[[ActualResult]:[ActualResult]], "OT") + SUMIFS(Table1[[HomeWon]:[HomeWon]], Table1[[GameIsOver]:[GameIsOver]], 1, Table1[[AwayTeam]:[AwayTeam]], $A52, Table1[[HomeTeam]:[HomeTeam]], B$36, Table1[[ActualResult]:[ActualResult]], "SO") + SUMIFS(Table1[[AwayWon]:[AwayWon]], Table1[[GameIsOver]:[GameIsOver]], 1, Table1[[HomeTeam]:[HomeTeam]], $A52, Table1[[AwayTeam]:[AwayTeam]], B$36, Table1[[ActualResult]:[ActualResult]], "SO")))/ (2*((COUNTIFS(Table1[[GameIsOver]:[GameIsOver]],1,Table1[[AwayTeam]:[AwayTeam]],$A52, Table1[[HomeTeam]:[HomeTeam]], B$36)))+( COUNTIFS(Table1[[GameIsOver]:[GameIsOver]],1,Table1[[AwayTeam]:[AwayTeam]],B$36, Table1[[HomeTeam]:[HomeTeam]],$A52))), "")</f>
        <v/>
      </c>
      <c r="C52" s="40" t="str">
        <f>IFERROR(((2 * (SUMIFS(Table1[[AwayWon]:[AwayWon]], Table1[[GameIsOver]:[GameIsOver]], 1, Table1[[AwayTeam]:[AwayTeam]], $A52, Table1[[HomeTeam]:[HomeTeam]], C$36) + SUMIFS(Table1[[HomeWon]:[HomeWon]], Table1[[GameIsOver]:[GameIsOver]], 1, Table1[[HomeTeam]:[HomeTeam]], $A52, Table1[[AwayTeam]:[AwayTeam]], C$36))) + (SUMIFS(Table1[[HomeWon]:[HomeWon]], Table1[[GameIsOver]:[GameIsOver]], 1, Table1[[AwayTeam]:[AwayTeam]], $A52, Table1[[HomeTeam]:[HomeTeam]],  C$36, Table1[[ActualResult]:[ActualResult]], "OT") + SUMIFS(Table1[[AwayWon]:[AwayWon]], Table1[[GameIsOver]:[GameIsOver]], 1, Table1[[HomeTeam]:[HomeTeam]], $A52, Table1[[AwayTeam]:[AwayTeam]], C$36, Table1[[ActualResult]:[ActualResult]], "OT") + SUMIFS(Table1[[HomeWon]:[HomeWon]], Table1[[GameIsOver]:[GameIsOver]], 1, Table1[[AwayTeam]:[AwayTeam]], $A52, Table1[[HomeTeam]:[HomeTeam]], C$36, Table1[[ActualResult]:[ActualResult]], "SO") + SUMIFS(Table1[[AwayWon]:[AwayWon]], Table1[[GameIsOver]:[GameIsOver]], 1, Table1[[HomeTeam]:[HomeTeam]], $A52, Table1[[AwayTeam]:[AwayTeam]], C$36, Table1[[ActualResult]:[ActualResult]], "SO")))/ (2*((COUNTIFS(Table1[[GameIsOver]:[GameIsOver]],1,Table1[[AwayTeam]:[AwayTeam]],$A52, Table1[[HomeTeam]:[HomeTeam]], C$36)))+( COUNTIFS(Table1[[GameIsOver]:[GameIsOver]],1,Table1[[AwayTeam]:[AwayTeam]],C$36, Table1[[HomeTeam]:[HomeTeam]],$A52))), "")</f>
        <v/>
      </c>
      <c r="D52" s="40" t="str">
        <f>IFERROR(((2 * (SUMIFS(Table1[[AwayWon]:[AwayWon]], Table1[[GameIsOver]:[GameIsOver]], 1, Table1[[AwayTeam]:[AwayTeam]], $A52, Table1[[HomeTeam]:[HomeTeam]], D$36) + SUMIFS(Table1[[HomeWon]:[HomeWon]], Table1[[GameIsOver]:[GameIsOver]], 1, Table1[[HomeTeam]:[HomeTeam]], $A52, Table1[[AwayTeam]:[AwayTeam]], D$36))) + (SUMIFS(Table1[[HomeWon]:[HomeWon]], Table1[[GameIsOver]:[GameIsOver]], 1, Table1[[AwayTeam]:[AwayTeam]], $A52, Table1[[HomeTeam]:[HomeTeam]],  D$36, Table1[[ActualResult]:[ActualResult]], "OT") + SUMIFS(Table1[[AwayWon]:[AwayWon]], Table1[[GameIsOver]:[GameIsOver]], 1, Table1[[HomeTeam]:[HomeTeam]], $A52, Table1[[AwayTeam]:[AwayTeam]], D$36, Table1[[ActualResult]:[ActualResult]], "OT") + SUMIFS(Table1[[HomeWon]:[HomeWon]], Table1[[GameIsOver]:[GameIsOver]], 1, Table1[[AwayTeam]:[AwayTeam]], $A52, Table1[[HomeTeam]:[HomeTeam]], D$36, Table1[[ActualResult]:[ActualResult]], "SO") + SUMIFS(Table1[[AwayWon]:[AwayWon]], Table1[[GameIsOver]:[GameIsOver]], 1, Table1[[HomeTeam]:[HomeTeam]], $A52, Table1[[AwayTeam]:[AwayTeam]], D$36, Table1[[ActualResult]:[ActualResult]], "SO")))/ (2*((COUNTIFS(Table1[[GameIsOver]:[GameIsOver]],1,Table1[[AwayTeam]:[AwayTeam]],$A52, Table1[[HomeTeam]:[HomeTeam]], D$36)))+( COUNTIFS(Table1[[GameIsOver]:[GameIsOver]],1,Table1[[AwayTeam]:[AwayTeam]],D$36, Table1[[HomeTeam]:[HomeTeam]],$A52))), "")</f>
        <v/>
      </c>
      <c r="E52" s="40" t="str">
        <f>IFERROR(((2 * (SUMIFS(Table1[[AwayWon]:[AwayWon]], Table1[[GameIsOver]:[GameIsOver]], 1, Table1[[AwayTeam]:[AwayTeam]], $A52, Table1[[HomeTeam]:[HomeTeam]], E$36) + SUMIFS(Table1[[HomeWon]:[HomeWon]], Table1[[GameIsOver]:[GameIsOver]], 1, Table1[[HomeTeam]:[HomeTeam]], $A52, Table1[[AwayTeam]:[AwayTeam]], E$36))) + (SUMIFS(Table1[[HomeWon]:[HomeWon]], Table1[[GameIsOver]:[GameIsOver]], 1, Table1[[AwayTeam]:[AwayTeam]], $A52, Table1[[HomeTeam]:[HomeTeam]],  E$36, Table1[[ActualResult]:[ActualResult]], "OT") + SUMIFS(Table1[[AwayWon]:[AwayWon]], Table1[[GameIsOver]:[GameIsOver]], 1, Table1[[HomeTeam]:[HomeTeam]], $A52, Table1[[AwayTeam]:[AwayTeam]], E$36, Table1[[ActualResult]:[ActualResult]], "OT") + SUMIFS(Table1[[HomeWon]:[HomeWon]], Table1[[GameIsOver]:[GameIsOver]], 1, Table1[[AwayTeam]:[AwayTeam]], $A52, Table1[[HomeTeam]:[HomeTeam]], E$36, Table1[[ActualResult]:[ActualResult]], "SO") + SUMIFS(Table1[[AwayWon]:[AwayWon]], Table1[[GameIsOver]:[GameIsOver]], 1, Table1[[HomeTeam]:[HomeTeam]], $A52, Table1[[AwayTeam]:[AwayTeam]], E$36, Table1[[ActualResult]:[ActualResult]], "SO")))/ (2*((COUNTIFS(Table1[[GameIsOver]:[GameIsOver]],1,Table1[[AwayTeam]:[AwayTeam]],$A52, Table1[[HomeTeam]:[HomeTeam]], E$36)))+( COUNTIFS(Table1[[GameIsOver]:[GameIsOver]],1,Table1[[AwayTeam]:[AwayTeam]],E$36, Table1[[HomeTeam]:[HomeTeam]],$A52))), "")</f>
        <v/>
      </c>
      <c r="F52" s="40" t="str">
        <f>IFERROR(((2 * (SUMIFS(Table1[[AwayWon]:[AwayWon]], Table1[[GameIsOver]:[GameIsOver]], 1, Table1[[AwayTeam]:[AwayTeam]], $A52, Table1[[HomeTeam]:[HomeTeam]], F$36) + SUMIFS(Table1[[HomeWon]:[HomeWon]], Table1[[GameIsOver]:[GameIsOver]], 1, Table1[[HomeTeam]:[HomeTeam]], $A52, Table1[[AwayTeam]:[AwayTeam]], F$36))) + (SUMIFS(Table1[[HomeWon]:[HomeWon]], Table1[[GameIsOver]:[GameIsOver]], 1, Table1[[AwayTeam]:[AwayTeam]], $A52, Table1[[HomeTeam]:[HomeTeam]],  F$36, Table1[[ActualResult]:[ActualResult]], "OT") + SUMIFS(Table1[[AwayWon]:[AwayWon]], Table1[[GameIsOver]:[GameIsOver]], 1, Table1[[HomeTeam]:[HomeTeam]], $A52, Table1[[AwayTeam]:[AwayTeam]], F$36, Table1[[ActualResult]:[ActualResult]], "OT") + SUMIFS(Table1[[HomeWon]:[HomeWon]], Table1[[GameIsOver]:[GameIsOver]], 1, Table1[[AwayTeam]:[AwayTeam]], $A52, Table1[[HomeTeam]:[HomeTeam]], F$36, Table1[[ActualResult]:[ActualResult]], "SO") + SUMIFS(Table1[[AwayWon]:[AwayWon]], Table1[[GameIsOver]:[GameIsOver]], 1, Table1[[HomeTeam]:[HomeTeam]], $A52, Table1[[AwayTeam]:[AwayTeam]], F$36, Table1[[ActualResult]:[ActualResult]], "SO")))/ (2*((COUNTIFS(Table1[[GameIsOver]:[GameIsOver]],1,Table1[[AwayTeam]:[AwayTeam]],$A52, Table1[[HomeTeam]:[HomeTeam]], F$36)))+( COUNTIFS(Table1[[GameIsOver]:[GameIsOver]],1,Table1[[AwayTeam]:[AwayTeam]],F$36, Table1[[HomeTeam]:[HomeTeam]],$A52))), "")</f>
        <v/>
      </c>
      <c r="G52" s="40" t="str">
        <f>IFERROR(((2 * (SUMIFS(Table1[[AwayWon]:[AwayWon]], Table1[[GameIsOver]:[GameIsOver]], 1, Table1[[AwayTeam]:[AwayTeam]], $A52, Table1[[HomeTeam]:[HomeTeam]], G$36) + SUMIFS(Table1[[HomeWon]:[HomeWon]], Table1[[GameIsOver]:[GameIsOver]], 1, Table1[[HomeTeam]:[HomeTeam]], $A52, Table1[[AwayTeam]:[AwayTeam]], G$36))) + (SUMIFS(Table1[[HomeWon]:[HomeWon]], Table1[[GameIsOver]:[GameIsOver]], 1, Table1[[AwayTeam]:[AwayTeam]], $A52, Table1[[HomeTeam]:[HomeTeam]],  G$36, Table1[[ActualResult]:[ActualResult]], "OT") + SUMIFS(Table1[[AwayWon]:[AwayWon]], Table1[[GameIsOver]:[GameIsOver]], 1, Table1[[HomeTeam]:[HomeTeam]], $A52, Table1[[AwayTeam]:[AwayTeam]], G$36, Table1[[ActualResult]:[ActualResult]], "OT") + SUMIFS(Table1[[HomeWon]:[HomeWon]], Table1[[GameIsOver]:[GameIsOver]], 1, Table1[[AwayTeam]:[AwayTeam]], $A52, Table1[[HomeTeam]:[HomeTeam]], G$36, Table1[[ActualResult]:[ActualResult]], "SO") + SUMIFS(Table1[[AwayWon]:[AwayWon]], Table1[[GameIsOver]:[GameIsOver]], 1, Table1[[HomeTeam]:[HomeTeam]], $A52, Table1[[AwayTeam]:[AwayTeam]], G$36, Table1[[ActualResult]:[ActualResult]], "SO")))/ (2*((COUNTIFS(Table1[[GameIsOver]:[GameIsOver]],1,Table1[[AwayTeam]:[AwayTeam]],$A52, Table1[[HomeTeam]:[HomeTeam]], G$36)))+( COUNTIFS(Table1[[GameIsOver]:[GameIsOver]],1,Table1[[AwayTeam]:[AwayTeam]],G$36, Table1[[HomeTeam]:[HomeTeam]],$A52))), "")</f>
        <v/>
      </c>
      <c r="H52" s="40" t="str">
        <f>IFERROR(((2 * (SUMIFS(Table1[[AwayWon]:[AwayWon]], Table1[[GameIsOver]:[GameIsOver]], 1, Table1[[AwayTeam]:[AwayTeam]], $A52, Table1[[HomeTeam]:[HomeTeam]], H$36) + SUMIFS(Table1[[HomeWon]:[HomeWon]], Table1[[GameIsOver]:[GameIsOver]], 1, Table1[[HomeTeam]:[HomeTeam]], $A52, Table1[[AwayTeam]:[AwayTeam]], H$36))) + (SUMIFS(Table1[[HomeWon]:[HomeWon]], Table1[[GameIsOver]:[GameIsOver]], 1, Table1[[AwayTeam]:[AwayTeam]], $A52, Table1[[HomeTeam]:[HomeTeam]],  H$36, Table1[[ActualResult]:[ActualResult]], "OT") + SUMIFS(Table1[[AwayWon]:[AwayWon]], Table1[[GameIsOver]:[GameIsOver]], 1, Table1[[HomeTeam]:[HomeTeam]], $A52, Table1[[AwayTeam]:[AwayTeam]], H$36, Table1[[ActualResult]:[ActualResult]], "OT") + SUMIFS(Table1[[HomeWon]:[HomeWon]], Table1[[GameIsOver]:[GameIsOver]], 1, Table1[[AwayTeam]:[AwayTeam]], $A52, Table1[[HomeTeam]:[HomeTeam]], H$36, Table1[[ActualResult]:[ActualResult]], "SO") + SUMIFS(Table1[[AwayWon]:[AwayWon]], Table1[[GameIsOver]:[GameIsOver]], 1, Table1[[HomeTeam]:[HomeTeam]], $A52, Table1[[AwayTeam]:[AwayTeam]], H$36, Table1[[ActualResult]:[ActualResult]], "SO")))/ (2*((COUNTIFS(Table1[[GameIsOver]:[GameIsOver]],1,Table1[[AwayTeam]:[AwayTeam]],$A52, Table1[[HomeTeam]:[HomeTeam]], H$36)))+( COUNTIFS(Table1[[GameIsOver]:[GameIsOver]],1,Table1[[AwayTeam]:[AwayTeam]],H$36, Table1[[HomeTeam]:[HomeTeam]],$A52))), "")</f>
        <v/>
      </c>
      <c r="I52" s="42" t="str">
        <f>IFERROR(((2 * (SUMIFS(Table1[[AwayWon]:[AwayWon]], Table1[[GameIsOver]:[GameIsOver]], 1, Table1[[AwayTeam]:[AwayTeam]], $A52, Table1[[HomeTeam]:[HomeTeam]], I$36) + SUMIFS(Table1[[HomeWon]:[HomeWon]], Table1[[GameIsOver]:[GameIsOver]], 1, Table1[[HomeTeam]:[HomeTeam]], $A52, Table1[[AwayTeam]:[AwayTeam]], I$36))) + (SUMIFS(Table1[[HomeWon]:[HomeWon]], Table1[[GameIsOver]:[GameIsOver]], 1, Table1[[AwayTeam]:[AwayTeam]], $A52, Table1[[HomeTeam]:[HomeTeam]],  I$36, Table1[[ActualResult]:[ActualResult]], "OT") + SUMIFS(Table1[[AwayWon]:[AwayWon]], Table1[[GameIsOver]:[GameIsOver]], 1, Table1[[HomeTeam]:[HomeTeam]], $A52, Table1[[AwayTeam]:[AwayTeam]], I$36, Table1[[ActualResult]:[ActualResult]], "OT") + SUMIFS(Table1[[HomeWon]:[HomeWon]], Table1[[GameIsOver]:[GameIsOver]], 1, Table1[[AwayTeam]:[AwayTeam]], $A52, Table1[[HomeTeam]:[HomeTeam]], I$36, Table1[[ActualResult]:[ActualResult]], "SO") + SUMIFS(Table1[[AwayWon]:[AwayWon]], Table1[[GameIsOver]:[GameIsOver]], 1, Table1[[HomeTeam]:[HomeTeam]], $A52, Table1[[AwayTeam]:[AwayTeam]], I$36, Table1[[ActualResult]:[ActualResult]], "SO")))/ (2*((COUNTIFS(Table1[[GameIsOver]:[GameIsOver]],1,Table1[[AwayTeam]:[AwayTeam]],$A52, Table1[[HomeTeam]:[HomeTeam]], I$36)))+( COUNTIFS(Table1[[GameIsOver]:[GameIsOver]],1,Table1[[AwayTeam]:[AwayTeam]],I$36, Table1[[HomeTeam]:[HomeTeam]],$A52))), "")</f>
        <v/>
      </c>
      <c r="J52" s="40" t="str">
        <f>IFERROR(((2 * (SUMIFS(Table1[[AwayWon]:[AwayWon]], Table1[[GameIsOver]:[GameIsOver]], 1, Table1[[AwayTeam]:[AwayTeam]], $A52, Table1[[HomeTeam]:[HomeTeam]], J$36) + SUMIFS(Table1[[HomeWon]:[HomeWon]], Table1[[GameIsOver]:[GameIsOver]], 1, Table1[[HomeTeam]:[HomeTeam]], $A52, Table1[[AwayTeam]:[AwayTeam]], J$36))) + (SUMIFS(Table1[[HomeWon]:[HomeWon]], Table1[[GameIsOver]:[GameIsOver]], 1, Table1[[AwayTeam]:[AwayTeam]], $A52, Table1[[HomeTeam]:[HomeTeam]],  J$36, Table1[[ActualResult]:[ActualResult]], "OT") + SUMIFS(Table1[[AwayWon]:[AwayWon]], Table1[[GameIsOver]:[GameIsOver]], 1, Table1[[HomeTeam]:[HomeTeam]], $A52, Table1[[AwayTeam]:[AwayTeam]], J$36, Table1[[ActualResult]:[ActualResult]], "OT") + SUMIFS(Table1[[HomeWon]:[HomeWon]], Table1[[GameIsOver]:[GameIsOver]], 1, Table1[[AwayTeam]:[AwayTeam]], $A52, Table1[[HomeTeam]:[HomeTeam]], J$36, Table1[[ActualResult]:[ActualResult]], "SO") + SUMIFS(Table1[[AwayWon]:[AwayWon]], Table1[[GameIsOver]:[GameIsOver]], 1, Table1[[HomeTeam]:[HomeTeam]], $A52, Table1[[AwayTeam]:[AwayTeam]], J$36, Table1[[ActualResult]:[ActualResult]], "SO")))/ (2*((COUNTIFS(Table1[[GameIsOver]:[GameIsOver]],1,Table1[[AwayTeam]:[AwayTeam]],$A52, Table1[[HomeTeam]:[HomeTeam]], J$36)))+( COUNTIFS(Table1[[GameIsOver]:[GameIsOver]],1,Table1[[AwayTeam]:[AwayTeam]],J$36, Table1[[HomeTeam]:[HomeTeam]],$A52))), "")</f>
        <v/>
      </c>
      <c r="K52" s="40" t="str">
        <f>IFERROR(((2 * (SUMIFS(Table1[[AwayWon]:[AwayWon]], Table1[[GameIsOver]:[GameIsOver]], 1, Table1[[AwayTeam]:[AwayTeam]], $A52, Table1[[HomeTeam]:[HomeTeam]], K$36) + SUMIFS(Table1[[HomeWon]:[HomeWon]], Table1[[GameIsOver]:[GameIsOver]], 1, Table1[[HomeTeam]:[HomeTeam]], $A52, Table1[[AwayTeam]:[AwayTeam]], K$36))) + (SUMIFS(Table1[[HomeWon]:[HomeWon]], Table1[[GameIsOver]:[GameIsOver]], 1, Table1[[AwayTeam]:[AwayTeam]], $A52, Table1[[HomeTeam]:[HomeTeam]],  K$36, Table1[[ActualResult]:[ActualResult]], "OT") + SUMIFS(Table1[[AwayWon]:[AwayWon]], Table1[[GameIsOver]:[GameIsOver]], 1, Table1[[HomeTeam]:[HomeTeam]], $A52, Table1[[AwayTeam]:[AwayTeam]], K$36, Table1[[ActualResult]:[ActualResult]], "OT") + SUMIFS(Table1[[HomeWon]:[HomeWon]], Table1[[GameIsOver]:[GameIsOver]], 1, Table1[[AwayTeam]:[AwayTeam]], $A52, Table1[[HomeTeam]:[HomeTeam]], K$36, Table1[[ActualResult]:[ActualResult]], "SO") + SUMIFS(Table1[[AwayWon]:[AwayWon]], Table1[[GameIsOver]:[GameIsOver]], 1, Table1[[HomeTeam]:[HomeTeam]], $A52, Table1[[AwayTeam]:[AwayTeam]], K$36, Table1[[ActualResult]:[ActualResult]], "SO")))/ (2*((COUNTIFS(Table1[[GameIsOver]:[GameIsOver]],1,Table1[[AwayTeam]:[AwayTeam]],$A52, Table1[[HomeTeam]:[HomeTeam]], K$36)))+( COUNTIFS(Table1[[GameIsOver]:[GameIsOver]],1,Table1[[AwayTeam]:[AwayTeam]],K$36, Table1[[HomeTeam]:[HomeTeam]],$A52))), "")</f>
        <v/>
      </c>
      <c r="L52" s="40" t="str">
        <f>IFERROR(((2 * (SUMIFS(Table1[[AwayWon]:[AwayWon]], Table1[[GameIsOver]:[GameIsOver]], 1, Table1[[AwayTeam]:[AwayTeam]], $A52, Table1[[HomeTeam]:[HomeTeam]], L$36) + SUMIFS(Table1[[HomeWon]:[HomeWon]], Table1[[GameIsOver]:[GameIsOver]], 1, Table1[[HomeTeam]:[HomeTeam]], $A52, Table1[[AwayTeam]:[AwayTeam]], L$36))) + (SUMIFS(Table1[[HomeWon]:[HomeWon]], Table1[[GameIsOver]:[GameIsOver]], 1, Table1[[AwayTeam]:[AwayTeam]], $A52, Table1[[HomeTeam]:[HomeTeam]],  L$36, Table1[[ActualResult]:[ActualResult]], "OT") + SUMIFS(Table1[[AwayWon]:[AwayWon]], Table1[[GameIsOver]:[GameIsOver]], 1, Table1[[HomeTeam]:[HomeTeam]], $A52, Table1[[AwayTeam]:[AwayTeam]], L$36, Table1[[ActualResult]:[ActualResult]], "OT") + SUMIFS(Table1[[HomeWon]:[HomeWon]], Table1[[GameIsOver]:[GameIsOver]], 1, Table1[[AwayTeam]:[AwayTeam]], $A52, Table1[[HomeTeam]:[HomeTeam]], L$36, Table1[[ActualResult]:[ActualResult]], "SO") + SUMIFS(Table1[[AwayWon]:[AwayWon]], Table1[[GameIsOver]:[GameIsOver]], 1, Table1[[HomeTeam]:[HomeTeam]], $A52, Table1[[AwayTeam]:[AwayTeam]], L$36, Table1[[ActualResult]:[ActualResult]], "SO")))/ (2*((COUNTIFS(Table1[[GameIsOver]:[GameIsOver]],1,Table1[[AwayTeam]:[AwayTeam]],$A52, Table1[[HomeTeam]:[HomeTeam]], L$36)))+( COUNTIFS(Table1[[GameIsOver]:[GameIsOver]],1,Table1[[AwayTeam]:[AwayTeam]],L$36, Table1[[HomeTeam]:[HomeTeam]],$A52))), "")</f>
        <v/>
      </c>
      <c r="M52" s="40" t="str">
        <f>IFERROR(((2 * (SUMIFS(Table1[[AwayWon]:[AwayWon]], Table1[[GameIsOver]:[GameIsOver]], 1, Table1[[AwayTeam]:[AwayTeam]], $A52, Table1[[HomeTeam]:[HomeTeam]], M$36) + SUMIFS(Table1[[HomeWon]:[HomeWon]], Table1[[GameIsOver]:[GameIsOver]], 1, Table1[[HomeTeam]:[HomeTeam]], $A52, Table1[[AwayTeam]:[AwayTeam]], M$36))) + (SUMIFS(Table1[[HomeWon]:[HomeWon]], Table1[[GameIsOver]:[GameIsOver]], 1, Table1[[AwayTeam]:[AwayTeam]], $A52, Table1[[HomeTeam]:[HomeTeam]],  M$36, Table1[[ActualResult]:[ActualResult]], "OT") + SUMIFS(Table1[[AwayWon]:[AwayWon]], Table1[[GameIsOver]:[GameIsOver]], 1, Table1[[HomeTeam]:[HomeTeam]], $A52, Table1[[AwayTeam]:[AwayTeam]], M$36, Table1[[ActualResult]:[ActualResult]], "OT") + SUMIFS(Table1[[HomeWon]:[HomeWon]], Table1[[GameIsOver]:[GameIsOver]], 1, Table1[[AwayTeam]:[AwayTeam]], $A52, Table1[[HomeTeam]:[HomeTeam]], M$36, Table1[[ActualResult]:[ActualResult]], "SO") + SUMIFS(Table1[[AwayWon]:[AwayWon]], Table1[[GameIsOver]:[GameIsOver]], 1, Table1[[HomeTeam]:[HomeTeam]], $A52, Table1[[AwayTeam]:[AwayTeam]], M$36, Table1[[ActualResult]:[ActualResult]], "SO")))/ (2*((COUNTIFS(Table1[[GameIsOver]:[GameIsOver]],1,Table1[[AwayTeam]:[AwayTeam]],$A52, Table1[[HomeTeam]:[HomeTeam]], M$36)))+( COUNTIFS(Table1[[GameIsOver]:[GameIsOver]],1,Table1[[AwayTeam]:[AwayTeam]],M$36, Table1[[HomeTeam]:[HomeTeam]],$A52))), "")</f>
        <v/>
      </c>
      <c r="N52" s="40" t="str">
        <f>IFERROR(((2 * (SUMIFS(Table1[[AwayWon]:[AwayWon]], Table1[[GameIsOver]:[GameIsOver]], 1, Table1[[AwayTeam]:[AwayTeam]], $A52, Table1[[HomeTeam]:[HomeTeam]], N$36) + SUMIFS(Table1[[HomeWon]:[HomeWon]], Table1[[GameIsOver]:[GameIsOver]], 1, Table1[[HomeTeam]:[HomeTeam]], $A52, Table1[[AwayTeam]:[AwayTeam]], N$36))) + (SUMIFS(Table1[[HomeWon]:[HomeWon]], Table1[[GameIsOver]:[GameIsOver]], 1, Table1[[AwayTeam]:[AwayTeam]], $A52, Table1[[HomeTeam]:[HomeTeam]],  N$36, Table1[[ActualResult]:[ActualResult]], "OT") + SUMIFS(Table1[[AwayWon]:[AwayWon]], Table1[[GameIsOver]:[GameIsOver]], 1, Table1[[HomeTeam]:[HomeTeam]], $A52, Table1[[AwayTeam]:[AwayTeam]], N$36, Table1[[ActualResult]:[ActualResult]], "OT") + SUMIFS(Table1[[HomeWon]:[HomeWon]], Table1[[GameIsOver]:[GameIsOver]], 1, Table1[[AwayTeam]:[AwayTeam]], $A52, Table1[[HomeTeam]:[HomeTeam]], N$36, Table1[[ActualResult]:[ActualResult]], "SO") + SUMIFS(Table1[[AwayWon]:[AwayWon]], Table1[[GameIsOver]:[GameIsOver]], 1, Table1[[HomeTeam]:[HomeTeam]], $A52, Table1[[AwayTeam]:[AwayTeam]], N$36, Table1[[ActualResult]:[ActualResult]], "SO")))/ (2*((COUNTIFS(Table1[[GameIsOver]:[GameIsOver]],1,Table1[[AwayTeam]:[AwayTeam]],$A52, Table1[[HomeTeam]:[HomeTeam]], N$36)))+( COUNTIFS(Table1[[GameIsOver]:[GameIsOver]],1,Table1[[AwayTeam]:[AwayTeam]],N$36, Table1[[HomeTeam]:[HomeTeam]],$A52))), "")</f>
        <v/>
      </c>
      <c r="O52" s="40" t="str">
        <f>IFERROR(((2 * (SUMIFS(Table1[[AwayWon]:[AwayWon]], Table1[[GameIsOver]:[GameIsOver]], 1, Table1[[AwayTeam]:[AwayTeam]], $A52, Table1[[HomeTeam]:[HomeTeam]], O$36) + SUMIFS(Table1[[HomeWon]:[HomeWon]], Table1[[GameIsOver]:[GameIsOver]], 1, Table1[[HomeTeam]:[HomeTeam]], $A52, Table1[[AwayTeam]:[AwayTeam]], O$36))) + (SUMIFS(Table1[[HomeWon]:[HomeWon]], Table1[[GameIsOver]:[GameIsOver]], 1, Table1[[AwayTeam]:[AwayTeam]], $A52, Table1[[HomeTeam]:[HomeTeam]],  O$36, Table1[[ActualResult]:[ActualResult]], "OT") + SUMIFS(Table1[[AwayWon]:[AwayWon]], Table1[[GameIsOver]:[GameIsOver]], 1, Table1[[HomeTeam]:[HomeTeam]], $A52, Table1[[AwayTeam]:[AwayTeam]], O$36, Table1[[ActualResult]:[ActualResult]], "OT") + SUMIFS(Table1[[HomeWon]:[HomeWon]], Table1[[GameIsOver]:[GameIsOver]], 1, Table1[[AwayTeam]:[AwayTeam]], $A52, Table1[[HomeTeam]:[HomeTeam]], O$36, Table1[[ActualResult]:[ActualResult]], "SO") + SUMIFS(Table1[[AwayWon]:[AwayWon]], Table1[[GameIsOver]:[GameIsOver]], 1, Table1[[HomeTeam]:[HomeTeam]], $A52, Table1[[AwayTeam]:[AwayTeam]], O$36, Table1[[ActualResult]:[ActualResult]], "SO")))/ (2*((COUNTIFS(Table1[[GameIsOver]:[GameIsOver]],1,Table1[[AwayTeam]:[AwayTeam]],$A52, Table1[[HomeTeam]:[HomeTeam]], O$36)))+( COUNTIFS(Table1[[GameIsOver]:[GameIsOver]],1,Table1[[AwayTeam]:[AwayTeam]],O$36, Table1[[HomeTeam]:[HomeTeam]],$A52))), "")</f>
        <v/>
      </c>
      <c r="P52" s="40" t="str">
        <f>IFERROR(((2 * (SUMIFS(Table1[[AwayWon]:[AwayWon]], Table1[[GameIsOver]:[GameIsOver]], 1, Table1[[AwayTeam]:[AwayTeam]], $A52, Table1[[HomeTeam]:[HomeTeam]], P$36) + SUMIFS(Table1[[HomeWon]:[HomeWon]], Table1[[GameIsOver]:[GameIsOver]], 1, Table1[[HomeTeam]:[HomeTeam]], $A52, Table1[[AwayTeam]:[AwayTeam]], P$36))) + (SUMIFS(Table1[[HomeWon]:[HomeWon]], Table1[[GameIsOver]:[GameIsOver]], 1, Table1[[AwayTeam]:[AwayTeam]], $A52, Table1[[HomeTeam]:[HomeTeam]],  P$36, Table1[[ActualResult]:[ActualResult]], "OT") + SUMIFS(Table1[[AwayWon]:[AwayWon]], Table1[[GameIsOver]:[GameIsOver]], 1, Table1[[HomeTeam]:[HomeTeam]], $A52, Table1[[AwayTeam]:[AwayTeam]], P$36, Table1[[ActualResult]:[ActualResult]], "OT") + SUMIFS(Table1[[HomeWon]:[HomeWon]], Table1[[GameIsOver]:[GameIsOver]], 1, Table1[[AwayTeam]:[AwayTeam]], $A52, Table1[[HomeTeam]:[HomeTeam]], P$36, Table1[[ActualResult]:[ActualResult]], "SO") + SUMIFS(Table1[[AwayWon]:[AwayWon]], Table1[[GameIsOver]:[GameIsOver]], 1, Table1[[HomeTeam]:[HomeTeam]], $A52, Table1[[AwayTeam]:[AwayTeam]], P$36, Table1[[ActualResult]:[ActualResult]], "SO")))/ (2*((COUNTIFS(Table1[[GameIsOver]:[GameIsOver]],1,Table1[[AwayTeam]:[AwayTeam]],$A52, Table1[[HomeTeam]:[HomeTeam]], P$36)))+( COUNTIFS(Table1[[GameIsOver]:[GameIsOver]],1,Table1[[AwayTeam]:[AwayTeam]],P$36, Table1[[HomeTeam]:[HomeTeam]],$A52))), "")</f>
        <v/>
      </c>
      <c r="Q52" s="42" t="str">
        <f>IFERROR(((2 * (SUMIFS(Table1[[AwayWon]:[AwayWon]], Table1[[GameIsOver]:[GameIsOver]], 1, Table1[[AwayTeam]:[AwayTeam]], $A52, Table1[[HomeTeam]:[HomeTeam]], Q$36) + SUMIFS(Table1[[HomeWon]:[HomeWon]], Table1[[GameIsOver]:[GameIsOver]], 1, Table1[[HomeTeam]:[HomeTeam]], $A52, Table1[[AwayTeam]:[AwayTeam]], Q$36))) + (SUMIFS(Table1[[HomeWon]:[HomeWon]], Table1[[GameIsOver]:[GameIsOver]], 1, Table1[[AwayTeam]:[AwayTeam]], $A52, Table1[[HomeTeam]:[HomeTeam]],  Q$36, Table1[[ActualResult]:[ActualResult]], "OT") + SUMIFS(Table1[[AwayWon]:[AwayWon]], Table1[[GameIsOver]:[GameIsOver]], 1, Table1[[HomeTeam]:[HomeTeam]], $A52, Table1[[AwayTeam]:[AwayTeam]], Q$36, Table1[[ActualResult]:[ActualResult]], "OT") + SUMIFS(Table1[[HomeWon]:[HomeWon]], Table1[[GameIsOver]:[GameIsOver]], 1, Table1[[AwayTeam]:[AwayTeam]], $A52, Table1[[HomeTeam]:[HomeTeam]], Q$36, Table1[[ActualResult]:[ActualResult]], "SO") + SUMIFS(Table1[[AwayWon]:[AwayWon]], Table1[[GameIsOver]:[GameIsOver]], 1, Table1[[HomeTeam]:[HomeTeam]], $A52, Table1[[AwayTeam]:[AwayTeam]], Q$36, Table1[[ActualResult]:[ActualResult]], "SO")))/ (2*((COUNTIFS(Table1[[GameIsOver]:[GameIsOver]],1,Table1[[AwayTeam]:[AwayTeam]],$A52, Table1[[HomeTeam]:[HomeTeam]], Q$36)))+( COUNTIFS(Table1[[GameIsOver]:[GameIsOver]],1,Table1[[AwayTeam]:[AwayTeam]],Q$36, Table1[[HomeTeam]:[HomeTeam]],$A52))), "")</f>
        <v/>
      </c>
      <c r="R52" s="40" t="str">
        <f>IFERROR(((2 * (SUMIFS(Table1[[AwayWon]:[AwayWon]], Table1[[GameIsOver]:[GameIsOver]], 1, Table1[[AwayTeam]:[AwayTeam]], $A52, Table1[[HomeTeam]:[HomeTeam]], R$36) + SUMIFS(Table1[[HomeWon]:[HomeWon]], Table1[[GameIsOver]:[GameIsOver]], 1, Table1[[HomeTeam]:[HomeTeam]], $A52, Table1[[AwayTeam]:[AwayTeam]], R$36))) + (SUMIFS(Table1[[HomeWon]:[HomeWon]], Table1[[GameIsOver]:[GameIsOver]], 1, Table1[[AwayTeam]:[AwayTeam]], $A52, Table1[[HomeTeam]:[HomeTeam]],  R$36, Table1[[ActualResult]:[ActualResult]], "OT") + SUMIFS(Table1[[AwayWon]:[AwayWon]], Table1[[GameIsOver]:[GameIsOver]], 1, Table1[[HomeTeam]:[HomeTeam]], $A52, Table1[[AwayTeam]:[AwayTeam]], R$36, Table1[[ActualResult]:[ActualResult]], "OT") + SUMIFS(Table1[[HomeWon]:[HomeWon]], Table1[[GameIsOver]:[GameIsOver]], 1, Table1[[AwayTeam]:[AwayTeam]], $A52, Table1[[HomeTeam]:[HomeTeam]], R$36, Table1[[ActualResult]:[ActualResult]], "SO") + SUMIFS(Table1[[AwayWon]:[AwayWon]], Table1[[GameIsOver]:[GameIsOver]], 1, Table1[[HomeTeam]:[HomeTeam]], $A52, Table1[[AwayTeam]:[AwayTeam]], R$36, Table1[[ActualResult]:[ActualResult]], "SO")))/ (2*((COUNTIFS(Table1[[GameIsOver]:[GameIsOver]],1,Table1[[AwayTeam]:[AwayTeam]],$A52, Table1[[HomeTeam]:[HomeTeam]], R$36)))+( COUNTIFS(Table1[[GameIsOver]:[GameIsOver]],1,Table1[[AwayTeam]:[AwayTeam]],R$36, Table1[[HomeTeam]:[HomeTeam]],$A52))), "")</f>
        <v/>
      </c>
      <c r="S52" s="40" t="str">
        <f>IFERROR(((2 * (SUMIFS(Table1[[AwayWon]:[AwayWon]], Table1[[GameIsOver]:[GameIsOver]], 1, Table1[[AwayTeam]:[AwayTeam]], $A52, Table1[[HomeTeam]:[HomeTeam]], S$36) + SUMIFS(Table1[[HomeWon]:[HomeWon]], Table1[[GameIsOver]:[GameIsOver]], 1, Table1[[HomeTeam]:[HomeTeam]], $A52, Table1[[AwayTeam]:[AwayTeam]], S$36))) + (SUMIFS(Table1[[HomeWon]:[HomeWon]], Table1[[GameIsOver]:[GameIsOver]], 1, Table1[[AwayTeam]:[AwayTeam]], $A52, Table1[[HomeTeam]:[HomeTeam]],  S$36, Table1[[ActualResult]:[ActualResult]], "OT") + SUMIFS(Table1[[AwayWon]:[AwayWon]], Table1[[GameIsOver]:[GameIsOver]], 1, Table1[[HomeTeam]:[HomeTeam]], $A52, Table1[[AwayTeam]:[AwayTeam]], S$36, Table1[[ActualResult]:[ActualResult]], "OT") + SUMIFS(Table1[[HomeWon]:[HomeWon]], Table1[[GameIsOver]:[GameIsOver]], 1, Table1[[AwayTeam]:[AwayTeam]], $A52, Table1[[HomeTeam]:[HomeTeam]], S$36, Table1[[ActualResult]:[ActualResult]], "SO") + SUMIFS(Table1[[AwayWon]:[AwayWon]], Table1[[GameIsOver]:[GameIsOver]], 1, Table1[[HomeTeam]:[HomeTeam]], $A52, Table1[[AwayTeam]:[AwayTeam]], S$36, Table1[[ActualResult]:[ActualResult]], "SO")))/ (2*((COUNTIFS(Table1[[GameIsOver]:[GameIsOver]],1,Table1[[AwayTeam]:[AwayTeam]],$A52, Table1[[HomeTeam]:[HomeTeam]], S$36)))+( COUNTIFS(Table1[[GameIsOver]:[GameIsOver]],1,Table1[[AwayTeam]:[AwayTeam]],S$36, Table1[[HomeTeam]:[HomeTeam]],$A52))), "")</f>
        <v/>
      </c>
      <c r="T52" s="40" t="str">
        <f>IFERROR(((2 * (SUMIFS(Table1[[AwayWon]:[AwayWon]], Table1[[GameIsOver]:[GameIsOver]], 1, Table1[[AwayTeam]:[AwayTeam]], $A52, Table1[[HomeTeam]:[HomeTeam]], T$36) + SUMIFS(Table1[[HomeWon]:[HomeWon]], Table1[[GameIsOver]:[GameIsOver]], 1, Table1[[HomeTeam]:[HomeTeam]], $A52, Table1[[AwayTeam]:[AwayTeam]], T$36))) + (SUMIFS(Table1[[HomeWon]:[HomeWon]], Table1[[GameIsOver]:[GameIsOver]], 1, Table1[[AwayTeam]:[AwayTeam]], $A52, Table1[[HomeTeam]:[HomeTeam]],  T$36, Table1[[ActualResult]:[ActualResult]], "OT") + SUMIFS(Table1[[AwayWon]:[AwayWon]], Table1[[GameIsOver]:[GameIsOver]], 1, Table1[[HomeTeam]:[HomeTeam]], $A52, Table1[[AwayTeam]:[AwayTeam]], T$36, Table1[[ActualResult]:[ActualResult]], "OT") + SUMIFS(Table1[[HomeWon]:[HomeWon]], Table1[[GameIsOver]:[GameIsOver]], 1, Table1[[AwayTeam]:[AwayTeam]], $A52, Table1[[HomeTeam]:[HomeTeam]], T$36, Table1[[ActualResult]:[ActualResult]], "SO") + SUMIFS(Table1[[AwayWon]:[AwayWon]], Table1[[GameIsOver]:[GameIsOver]], 1, Table1[[HomeTeam]:[HomeTeam]], $A52, Table1[[AwayTeam]:[AwayTeam]], T$36, Table1[[ActualResult]:[ActualResult]], "SO")))/ (2*((COUNTIFS(Table1[[GameIsOver]:[GameIsOver]],1,Table1[[AwayTeam]:[AwayTeam]],$A52, Table1[[HomeTeam]:[HomeTeam]], T$36)))+( COUNTIFS(Table1[[GameIsOver]:[GameIsOver]],1,Table1[[AwayTeam]:[AwayTeam]],T$36, Table1[[HomeTeam]:[HomeTeam]],$A52))), "")</f>
        <v/>
      </c>
      <c r="U52" s="40" t="str">
        <f>IFERROR(((2 * (SUMIFS(Table1[[AwayWon]:[AwayWon]], Table1[[GameIsOver]:[GameIsOver]], 1, Table1[[AwayTeam]:[AwayTeam]], $A52, Table1[[HomeTeam]:[HomeTeam]], U$36) + SUMIFS(Table1[[HomeWon]:[HomeWon]], Table1[[GameIsOver]:[GameIsOver]], 1, Table1[[HomeTeam]:[HomeTeam]], $A52, Table1[[AwayTeam]:[AwayTeam]], U$36))) + (SUMIFS(Table1[[HomeWon]:[HomeWon]], Table1[[GameIsOver]:[GameIsOver]], 1, Table1[[AwayTeam]:[AwayTeam]], $A52, Table1[[HomeTeam]:[HomeTeam]],  U$36, Table1[[ActualResult]:[ActualResult]], "OT") + SUMIFS(Table1[[AwayWon]:[AwayWon]], Table1[[GameIsOver]:[GameIsOver]], 1, Table1[[HomeTeam]:[HomeTeam]], $A52, Table1[[AwayTeam]:[AwayTeam]], U$36, Table1[[ActualResult]:[ActualResult]], "OT") + SUMIFS(Table1[[HomeWon]:[HomeWon]], Table1[[GameIsOver]:[GameIsOver]], 1, Table1[[AwayTeam]:[AwayTeam]], $A52, Table1[[HomeTeam]:[HomeTeam]], U$36, Table1[[ActualResult]:[ActualResult]], "SO") + SUMIFS(Table1[[AwayWon]:[AwayWon]], Table1[[GameIsOver]:[GameIsOver]], 1, Table1[[HomeTeam]:[HomeTeam]], $A52, Table1[[AwayTeam]:[AwayTeam]], U$36, Table1[[ActualResult]:[ActualResult]], "SO")))/ (2*((COUNTIFS(Table1[[GameIsOver]:[GameIsOver]],1,Table1[[AwayTeam]:[AwayTeam]],$A52, Table1[[HomeTeam]:[HomeTeam]], U$36)))+( COUNTIFS(Table1[[GameIsOver]:[GameIsOver]],1,Table1[[AwayTeam]:[AwayTeam]],U$36, Table1[[HomeTeam]:[HomeTeam]],$A52))), "")</f>
        <v/>
      </c>
      <c r="V52" s="40" t="str">
        <f>IFERROR(((2 * (SUMIFS(Table1[[AwayWon]:[AwayWon]], Table1[[GameIsOver]:[GameIsOver]], 1, Table1[[AwayTeam]:[AwayTeam]], $A52, Table1[[HomeTeam]:[HomeTeam]], V$36) + SUMIFS(Table1[[HomeWon]:[HomeWon]], Table1[[GameIsOver]:[GameIsOver]], 1, Table1[[HomeTeam]:[HomeTeam]], $A52, Table1[[AwayTeam]:[AwayTeam]], V$36))) + (SUMIFS(Table1[[HomeWon]:[HomeWon]], Table1[[GameIsOver]:[GameIsOver]], 1, Table1[[AwayTeam]:[AwayTeam]], $A52, Table1[[HomeTeam]:[HomeTeam]],  V$36, Table1[[ActualResult]:[ActualResult]], "OT") + SUMIFS(Table1[[AwayWon]:[AwayWon]], Table1[[GameIsOver]:[GameIsOver]], 1, Table1[[HomeTeam]:[HomeTeam]], $A52, Table1[[AwayTeam]:[AwayTeam]], V$36, Table1[[ActualResult]:[ActualResult]], "OT") + SUMIFS(Table1[[HomeWon]:[HomeWon]], Table1[[GameIsOver]:[GameIsOver]], 1, Table1[[AwayTeam]:[AwayTeam]], $A52, Table1[[HomeTeam]:[HomeTeam]], V$36, Table1[[ActualResult]:[ActualResult]], "SO") + SUMIFS(Table1[[AwayWon]:[AwayWon]], Table1[[GameIsOver]:[GameIsOver]], 1, Table1[[HomeTeam]:[HomeTeam]], $A52, Table1[[AwayTeam]:[AwayTeam]], V$36, Table1[[ActualResult]:[ActualResult]], "SO")))/ (2*((COUNTIFS(Table1[[GameIsOver]:[GameIsOver]],1,Table1[[AwayTeam]:[AwayTeam]],$A52, Table1[[HomeTeam]:[HomeTeam]], V$36)))+( COUNTIFS(Table1[[GameIsOver]:[GameIsOver]],1,Table1[[AwayTeam]:[AwayTeam]],V$36, Table1[[HomeTeam]:[HomeTeam]],$A52))), "")</f>
        <v/>
      </c>
      <c r="W52" s="40" t="str">
        <f>IFERROR(((2 * (SUMIFS(Table1[[AwayWon]:[AwayWon]], Table1[[GameIsOver]:[GameIsOver]], 1, Table1[[AwayTeam]:[AwayTeam]], $A52, Table1[[HomeTeam]:[HomeTeam]], W$36) + SUMIFS(Table1[[HomeWon]:[HomeWon]], Table1[[GameIsOver]:[GameIsOver]], 1, Table1[[HomeTeam]:[HomeTeam]], $A52, Table1[[AwayTeam]:[AwayTeam]], W$36))) + (SUMIFS(Table1[[HomeWon]:[HomeWon]], Table1[[GameIsOver]:[GameIsOver]], 1, Table1[[AwayTeam]:[AwayTeam]], $A52, Table1[[HomeTeam]:[HomeTeam]],  W$36, Table1[[ActualResult]:[ActualResult]], "OT") + SUMIFS(Table1[[AwayWon]:[AwayWon]], Table1[[GameIsOver]:[GameIsOver]], 1, Table1[[HomeTeam]:[HomeTeam]], $A52, Table1[[AwayTeam]:[AwayTeam]], W$36, Table1[[ActualResult]:[ActualResult]], "OT") + SUMIFS(Table1[[HomeWon]:[HomeWon]], Table1[[GameIsOver]:[GameIsOver]], 1, Table1[[AwayTeam]:[AwayTeam]], $A52, Table1[[HomeTeam]:[HomeTeam]], W$36, Table1[[ActualResult]:[ActualResult]], "SO") + SUMIFS(Table1[[AwayWon]:[AwayWon]], Table1[[GameIsOver]:[GameIsOver]], 1, Table1[[HomeTeam]:[HomeTeam]], $A52, Table1[[AwayTeam]:[AwayTeam]], W$36, Table1[[ActualResult]:[ActualResult]], "SO")))/ (2*((COUNTIFS(Table1[[GameIsOver]:[GameIsOver]],1,Table1[[AwayTeam]:[AwayTeam]],$A52, Table1[[HomeTeam]:[HomeTeam]], W$36)))+( COUNTIFS(Table1[[GameIsOver]:[GameIsOver]],1,Table1[[AwayTeam]:[AwayTeam]],W$36, Table1[[HomeTeam]:[HomeTeam]],$A52))), "")</f>
        <v/>
      </c>
      <c r="X52" s="40" t="str">
        <f>IFERROR(((2 * (SUMIFS(Table1[[AwayWon]:[AwayWon]], Table1[[GameIsOver]:[GameIsOver]], 1, Table1[[AwayTeam]:[AwayTeam]], $A52, Table1[[HomeTeam]:[HomeTeam]], X$36) + SUMIFS(Table1[[HomeWon]:[HomeWon]], Table1[[GameIsOver]:[GameIsOver]], 1, Table1[[HomeTeam]:[HomeTeam]], $A52, Table1[[AwayTeam]:[AwayTeam]], X$36))) + (SUMIFS(Table1[[HomeWon]:[HomeWon]], Table1[[GameIsOver]:[GameIsOver]], 1, Table1[[AwayTeam]:[AwayTeam]], $A52, Table1[[HomeTeam]:[HomeTeam]],  X$36, Table1[[ActualResult]:[ActualResult]], "OT") + SUMIFS(Table1[[AwayWon]:[AwayWon]], Table1[[GameIsOver]:[GameIsOver]], 1, Table1[[HomeTeam]:[HomeTeam]], $A52, Table1[[AwayTeam]:[AwayTeam]], X$36, Table1[[ActualResult]:[ActualResult]], "OT") + SUMIFS(Table1[[HomeWon]:[HomeWon]], Table1[[GameIsOver]:[GameIsOver]], 1, Table1[[AwayTeam]:[AwayTeam]], $A52, Table1[[HomeTeam]:[HomeTeam]], X$36, Table1[[ActualResult]:[ActualResult]], "SO") + SUMIFS(Table1[[AwayWon]:[AwayWon]], Table1[[GameIsOver]:[GameIsOver]], 1, Table1[[HomeTeam]:[HomeTeam]], $A52, Table1[[AwayTeam]:[AwayTeam]], X$36, Table1[[ActualResult]:[ActualResult]], "SO")))/ (2*((COUNTIFS(Table1[[GameIsOver]:[GameIsOver]],1,Table1[[AwayTeam]:[AwayTeam]],$A52, Table1[[HomeTeam]:[HomeTeam]], X$36)))+( COUNTIFS(Table1[[GameIsOver]:[GameIsOver]],1,Table1[[AwayTeam]:[AwayTeam]],X$36, Table1[[HomeTeam]:[HomeTeam]],$A52))), "")</f>
        <v/>
      </c>
      <c r="Y52" s="42" t="str">
        <f>IFERROR(((2 * (SUMIFS(Table1[[AwayWon]:[AwayWon]], Table1[[GameIsOver]:[GameIsOver]], 1, Table1[[AwayTeam]:[AwayTeam]], $A52, Table1[[HomeTeam]:[HomeTeam]], Y$36) + SUMIFS(Table1[[HomeWon]:[HomeWon]], Table1[[GameIsOver]:[GameIsOver]], 1, Table1[[HomeTeam]:[HomeTeam]], $A52, Table1[[AwayTeam]:[AwayTeam]], Y$36))) + (SUMIFS(Table1[[HomeWon]:[HomeWon]], Table1[[GameIsOver]:[GameIsOver]], 1, Table1[[AwayTeam]:[AwayTeam]], $A52, Table1[[HomeTeam]:[HomeTeam]],  Y$36, Table1[[ActualResult]:[ActualResult]], "OT") + SUMIFS(Table1[[AwayWon]:[AwayWon]], Table1[[GameIsOver]:[GameIsOver]], 1, Table1[[HomeTeam]:[HomeTeam]], $A52, Table1[[AwayTeam]:[AwayTeam]], Y$36, Table1[[ActualResult]:[ActualResult]], "OT") + SUMIFS(Table1[[HomeWon]:[HomeWon]], Table1[[GameIsOver]:[GameIsOver]], 1, Table1[[AwayTeam]:[AwayTeam]], $A52, Table1[[HomeTeam]:[HomeTeam]], Y$36, Table1[[ActualResult]:[ActualResult]], "SO") + SUMIFS(Table1[[AwayWon]:[AwayWon]], Table1[[GameIsOver]:[GameIsOver]], 1, Table1[[HomeTeam]:[HomeTeam]], $A52, Table1[[AwayTeam]:[AwayTeam]], Y$36, Table1[[ActualResult]:[ActualResult]], "SO")))/ (2*((COUNTIFS(Table1[[GameIsOver]:[GameIsOver]],1,Table1[[AwayTeam]:[AwayTeam]],$A52, Table1[[HomeTeam]:[HomeTeam]], Y$36)))+( COUNTIFS(Table1[[GameIsOver]:[GameIsOver]],1,Table1[[AwayTeam]:[AwayTeam]],Y$36, Table1[[HomeTeam]:[HomeTeam]],$A52))), "")</f>
        <v/>
      </c>
      <c r="Z52" s="40">
        <f>IFERROR(((2 * (SUMIFS(Table1[[AwayWon]:[AwayWon]], Table1[[GameIsOver]:[GameIsOver]], 1, Table1[[AwayTeam]:[AwayTeam]], $A52, Table1[[HomeTeam]:[HomeTeam]], Z$36) + SUMIFS(Table1[[HomeWon]:[HomeWon]], Table1[[GameIsOver]:[GameIsOver]], 1, Table1[[HomeTeam]:[HomeTeam]], $A52, Table1[[AwayTeam]:[AwayTeam]], Z$36))) + (SUMIFS(Table1[[HomeWon]:[HomeWon]], Table1[[GameIsOver]:[GameIsOver]], 1, Table1[[AwayTeam]:[AwayTeam]], $A52, Table1[[HomeTeam]:[HomeTeam]],  Z$36, Table1[[ActualResult]:[ActualResult]], "OT") + SUMIFS(Table1[[AwayWon]:[AwayWon]], Table1[[GameIsOver]:[GameIsOver]], 1, Table1[[HomeTeam]:[HomeTeam]], $A52, Table1[[AwayTeam]:[AwayTeam]], Z$36, Table1[[ActualResult]:[ActualResult]], "OT") + SUMIFS(Table1[[HomeWon]:[HomeWon]], Table1[[GameIsOver]:[GameIsOver]], 1, Table1[[AwayTeam]:[AwayTeam]], $A52, Table1[[HomeTeam]:[HomeTeam]], Z$36, Table1[[ActualResult]:[ActualResult]], "SO") + SUMIFS(Table1[[AwayWon]:[AwayWon]], Table1[[GameIsOver]:[GameIsOver]], 1, Table1[[HomeTeam]:[HomeTeam]], $A52, Table1[[AwayTeam]:[AwayTeam]], Z$36, Table1[[ActualResult]:[ActualResult]], "SO")))/ (2*((COUNTIFS(Table1[[GameIsOver]:[GameIsOver]],1,Table1[[AwayTeam]:[AwayTeam]],$A52, Table1[[HomeTeam]:[HomeTeam]], Z$36)))+( COUNTIFS(Table1[[GameIsOver]:[GameIsOver]],1,Table1[[AwayTeam]:[AwayTeam]],Z$36, Table1[[HomeTeam]:[HomeTeam]],$A52))), "")</f>
        <v>2</v>
      </c>
      <c r="AA52" s="40" t="str">
        <f>IFERROR(((2 * (SUMIFS(Table1[[AwayWon]:[AwayWon]], Table1[[GameIsOver]:[GameIsOver]], 1, Table1[[AwayTeam]:[AwayTeam]], $A52, Table1[[HomeTeam]:[HomeTeam]], AA$36) + SUMIFS(Table1[[HomeWon]:[HomeWon]], Table1[[GameIsOver]:[GameIsOver]], 1, Table1[[HomeTeam]:[HomeTeam]], $A52, Table1[[AwayTeam]:[AwayTeam]], AA$36))) + (SUMIFS(Table1[[HomeWon]:[HomeWon]], Table1[[GameIsOver]:[GameIsOver]], 1, Table1[[AwayTeam]:[AwayTeam]], $A52, Table1[[HomeTeam]:[HomeTeam]],  AA$36, Table1[[ActualResult]:[ActualResult]], "OT") + SUMIFS(Table1[[AwayWon]:[AwayWon]], Table1[[GameIsOver]:[GameIsOver]], 1, Table1[[HomeTeam]:[HomeTeam]], $A52, Table1[[AwayTeam]:[AwayTeam]], AA$36, Table1[[ActualResult]:[ActualResult]], "OT") + SUMIFS(Table1[[HomeWon]:[HomeWon]], Table1[[GameIsOver]:[GameIsOver]], 1, Table1[[AwayTeam]:[AwayTeam]], $A52, Table1[[HomeTeam]:[HomeTeam]], AA$36, Table1[[ActualResult]:[ActualResult]], "SO") + SUMIFS(Table1[[AwayWon]:[AwayWon]], Table1[[GameIsOver]:[GameIsOver]], 1, Table1[[HomeTeam]:[HomeTeam]], $A52, Table1[[AwayTeam]:[AwayTeam]], AA$36, Table1[[ActualResult]:[ActualResult]], "SO")))/ (2*((COUNTIFS(Table1[[GameIsOver]:[GameIsOver]],1,Table1[[AwayTeam]:[AwayTeam]],$A52, Table1[[HomeTeam]:[HomeTeam]], AA$36)))+( COUNTIFS(Table1[[GameIsOver]:[GameIsOver]],1,Table1[[AwayTeam]:[AwayTeam]],AA$36, Table1[[HomeTeam]:[HomeTeam]],$A52))), "")</f>
        <v/>
      </c>
      <c r="AB52" s="40" t="str">
        <f>IFERROR(((2 * (SUMIFS(Table1[[AwayWon]:[AwayWon]], Table1[[GameIsOver]:[GameIsOver]], 1, Table1[[AwayTeam]:[AwayTeam]], $A52, Table1[[HomeTeam]:[HomeTeam]], AB$36) + SUMIFS(Table1[[HomeWon]:[HomeWon]], Table1[[GameIsOver]:[GameIsOver]], 1, Table1[[HomeTeam]:[HomeTeam]], $A52, Table1[[AwayTeam]:[AwayTeam]], AB$36))) + (SUMIFS(Table1[[HomeWon]:[HomeWon]], Table1[[GameIsOver]:[GameIsOver]], 1, Table1[[AwayTeam]:[AwayTeam]], $A52, Table1[[HomeTeam]:[HomeTeam]],  AB$36, Table1[[ActualResult]:[ActualResult]], "OT") + SUMIFS(Table1[[AwayWon]:[AwayWon]], Table1[[GameIsOver]:[GameIsOver]], 1, Table1[[HomeTeam]:[HomeTeam]], $A52, Table1[[AwayTeam]:[AwayTeam]], AB$36, Table1[[ActualResult]:[ActualResult]], "OT") + SUMIFS(Table1[[HomeWon]:[HomeWon]], Table1[[GameIsOver]:[GameIsOver]], 1, Table1[[AwayTeam]:[AwayTeam]], $A52, Table1[[HomeTeam]:[HomeTeam]], AB$36, Table1[[ActualResult]:[ActualResult]], "SO") + SUMIFS(Table1[[AwayWon]:[AwayWon]], Table1[[GameIsOver]:[GameIsOver]], 1, Table1[[HomeTeam]:[HomeTeam]], $A52, Table1[[AwayTeam]:[AwayTeam]], AB$36, Table1[[ActualResult]:[ActualResult]], "SO")))/ (2*((COUNTIFS(Table1[[GameIsOver]:[GameIsOver]],1,Table1[[AwayTeam]:[AwayTeam]],$A52, Table1[[HomeTeam]:[HomeTeam]], AB$36)))+( COUNTIFS(Table1[[GameIsOver]:[GameIsOver]],1,Table1[[AwayTeam]:[AwayTeam]],AB$36, Table1[[HomeTeam]:[HomeTeam]],$A52))), "")</f>
        <v/>
      </c>
      <c r="AC52" s="40" t="str">
        <f>IFERROR(((2 * (SUMIFS(Table1[[AwayWon]:[AwayWon]], Table1[[GameIsOver]:[GameIsOver]], 1, Table1[[AwayTeam]:[AwayTeam]], $A52, Table1[[HomeTeam]:[HomeTeam]], AC$36) + SUMIFS(Table1[[HomeWon]:[HomeWon]], Table1[[GameIsOver]:[GameIsOver]], 1, Table1[[HomeTeam]:[HomeTeam]], $A52, Table1[[AwayTeam]:[AwayTeam]], AC$36))) + (SUMIFS(Table1[[HomeWon]:[HomeWon]], Table1[[GameIsOver]:[GameIsOver]], 1, Table1[[AwayTeam]:[AwayTeam]], $A52, Table1[[HomeTeam]:[HomeTeam]],  AC$36, Table1[[ActualResult]:[ActualResult]], "OT") + SUMIFS(Table1[[AwayWon]:[AwayWon]], Table1[[GameIsOver]:[GameIsOver]], 1, Table1[[HomeTeam]:[HomeTeam]], $A52, Table1[[AwayTeam]:[AwayTeam]], AC$36, Table1[[ActualResult]:[ActualResult]], "OT") + SUMIFS(Table1[[HomeWon]:[HomeWon]], Table1[[GameIsOver]:[GameIsOver]], 1, Table1[[AwayTeam]:[AwayTeam]], $A52, Table1[[HomeTeam]:[HomeTeam]], AC$36, Table1[[ActualResult]:[ActualResult]], "SO") + SUMIFS(Table1[[AwayWon]:[AwayWon]], Table1[[GameIsOver]:[GameIsOver]], 1, Table1[[HomeTeam]:[HomeTeam]], $A52, Table1[[AwayTeam]:[AwayTeam]], AC$36, Table1[[ActualResult]:[ActualResult]], "SO")))/ (2*((COUNTIFS(Table1[[GameIsOver]:[GameIsOver]],1,Table1[[AwayTeam]:[AwayTeam]],$A52, Table1[[HomeTeam]:[HomeTeam]], AC$36)))+( COUNTIFS(Table1[[GameIsOver]:[GameIsOver]],1,Table1[[AwayTeam]:[AwayTeam]],AC$36, Table1[[HomeTeam]:[HomeTeam]],$A52))), "")</f>
        <v/>
      </c>
      <c r="AD52" s="40" t="str">
        <f>IFERROR(((2 * (SUMIFS(Table1[[AwayWon]:[AwayWon]], Table1[[GameIsOver]:[GameIsOver]], 1, Table1[[AwayTeam]:[AwayTeam]], $A52, Table1[[HomeTeam]:[HomeTeam]], AD$36) + SUMIFS(Table1[[HomeWon]:[HomeWon]], Table1[[GameIsOver]:[GameIsOver]], 1, Table1[[HomeTeam]:[HomeTeam]], $A52, Table1[[AwayTeam]:[AwayTeam]], AD$36))) + (SUMIFS(Table1[[HomeWon]:[HomeWon]], Table1[[GameIsOver]:[GameIsOver]], 1, Table1[[AwayTeam]:[AwayTeam]], $A52, Table1[[HomeTeam]:[HomeTeam]],  AD$36, Table1[[ActualResult]:[ActualResult]], "OT") + SUMIFS(Table1[[AwayWon]:[AwayWon]], Table1[[GameIsOver]:[GameIsOver]], 1, Table1[[HomeTeam]:[HomeTeam]], $A52, Table1[[AwayTeam]:[AwayTeam]], AD$36, Table1[[ActualResult]:[ActualResult]], "OT") + SUMIFS(Table1[[HomeWon]:[HomeWon]], Table1[[GameIsOver]:[GameIsOver]], 1, Table1[[AwayTeam]:[AwayTeam]], $A52, Table1[[HomeTeam]:[HomeTeam]], AD$36, Table1[[ActualResult]:[ActualResult]], "SO") + SUMIFS(Table1[[AwayWon]:[AwayWon]], Table1[[GameIsOver]:[GameIsOver]], 1, Table1[[HomeTeam]:[HomeTeam]], $A52, Table1[[AwayTeam]:[AwayTeam]], AD$36, Table1[[ActualResult]:[ActualResult]], "SO")))/ (2*((COUNTIFS(Table1[[GameIsOver]:[GameIsOver]],1,Table1[[AwayTeam]:[AwayTeam]],$A52, Table1[[HomeTeam]:[HomeTeam]], AD$36)))+( COUNTIFS(Table1[[GameIsOver]:[GameIsOver]],1,Table1[[AwayTeam]:[AwayTeam]],AD$36, Table1[[HomeTeam]:[HomeTeam]],$A52))), "")</f>
        <v/>
      </c>
      <c r="AE52" s="40" t="str">
        <f>IFERROR(((2 * (SUMIFS(Table1[[AwayWon]:[AwayWon]], Table1[[GameIsOver]:[GameIsOver]], 1, Table1[[AwayTeam]:[AwayTeam]], $A52, Table1[[HomeTeam]:[HomeTeam]], AE$36) + SUMIFS(Table1[[HomeWon]:[HomeWon]], Table1[[GameIsOver]:[GameIsOver]], 1, Table1[[HomeTeam]:[HomeTeam]], $A52, Table1[[AwayTeam]:[AwayTeam]], AE$36))) + (SUMIFS(Table1[[HomeWon]:[HomeWon]], Table1[[GameIsOver]:[GameIsOver]], 1, Table1[[AwayTeam]:[AwayTeam]], $A52, Table1[[HomeTeam]:[HomeTeam]],  AE$36, Table1[[ActualResult]:[ActualResult]], "OT") + SUMIFS(Table1[[AwayWon]:[AwayWon]], Table1[[GameIsOver]:[GameIsOver]], 1, Table1[[HomeTeam]:[HomeTeam]], $A52, Table1[[AwayTeam]:[AwayTeam]], AE$36, Table1[[ActualResult]:[ActualResult]], "OT") + SUMIFS(Table1[[HomeWon]:[HomeWon]], Table1[[GameIsOver]:[GameIsOver]], 1, Table1[[AwayTeam]:[AwayTeam]], $A52, Table1[[HomeTeam]:[HomeTeam]], AE$36, Table1[[ActualResult]:[ActualResult]], "SO") + SUMIFS(Table1[[AwayWon]:[AwayWon]], Table1[[GameIsOver]:[GameIsOver]], 1, Table1[[HomeTeam]:[HomeTeam]], $A52, Table1[[AwayTeam]:[AwayTeam]], AE$36, Table1[[ActualResult]:[ActualResult]], "SO")))/ (2*((COUNTIFS(Table1[[GameIsOver]:[GameIsOver]],1,Table1[[AwayTeam]:[AwayTeam]],$A52, Table1[[HomeTeam]:[HomeTeam]], AE$36)))+( COUNTIFS(Table1[[GameIsOver]:[GameIsOver]],1,Table1[[AwayTeam]:[AwayTeam]],AE$36, Table1[[HomeTeam]:[HomeTeam]],$A52))), "")</f>
        <v/>
      </c>
      <c r="AF52" s="40" t="str">
        <f>IFERROR(((2 * (SUMIFS(Table1[[AwayWon]:[AwayWon]], Table1[[GameIsOver]:[GameIsOver]], 1, Table1[[AwayTeam]:[AwayTeam]], $A52, Table1[[HomeTeam]:[HomeTeam]], AF$36) + SUMIFS(Table1[[HomeWon]:[HomeWon]], Table1[[GameIsOver]:[GameIsOver]], 1, Table1[[HomeTeam]:[HomeTeam]], $A52, Table1[[AwayTeam]:[AwayTeam]], AF$36))) + (SUMIFS(Table1[[HomeWon]:[HomeWon]], Table1[[GameIsOver]:[GameIsOver]], 1, Table1[[AwayTeam]:[AwayTeam]], $A52, Table1[[HomeTeam]:[HomeTeam]],  AF$36, Table1[[ActualResult]:[ActualResult]], "OT") + SUMIFS(Table1[[AwayWon]:[AwayWon]], Table1[[GameIsOver]:[GameIsOver]], 1, Table1[[HomeTeam]:[HomeTeam]], $A52, Table1[[AwayTeam]:[AwayTeam]], AF$36, Table1[[ActualResult]:[ActualResult]], "OT") + SUMIFS(Table1[[HomeWon]:[HomeWon]], Table1[[GameIsOver]:[GameIsOver]], 1, Table1[[AwayTeam]:[AwayTeam]], $A52, Table1[[HomeTeam]:[HomeTeam]], AF$36, Table1[[ActualResult]:[ActualResult]], "SO") + SUMIFS(Table1[[AwayWon]:[AwayWon]], Table1[[GameIsOver]:[GameIsOver]], 1, Table1[[HomeTeam]:[HomeTeam]], $A52, Table1[[AwayTeam]:[AwayTeam]], AF$36, Table1[[ActualResult]:[ActualResult]], "SO")))/ (2*((COUNTIFS(Table1[[GameIsOver]:[GameIsOver]],1,Table1[[AwayTeam]:[AwayTeam]],$A52, Table1[[HomeTeam]:[HomeTeam]], AF$36)))+( COUNTIFS(Table1[[GameIsOver]:[GameIsOver]],1,Table1[[AwayTeam]:[AwayTeam]],AF$36, Table1[[HomeTeam]:[HomeTeam]],$A52))), "")</f>
        <v/>
      </c>
      <c r="AG52" s="40" t="str">
        <f>IFERROR(((2 * (SUMIFS(Table1[[AwayWon]:[AwayWon]], Table1[[GameIsOver]:[GameIsOver]], 1, Table1[[AwayTeam]:[AwayTeam]], $A52, Table1[[HomeTeam]:[HomeTeam]], AG$36) + SUMIFS(Table1[[HomeWon]:[HomeWon]], Table1[[GameIsOver]:[GameIsOver]], 1, Table1[[HomeTeam]:[HomeTeam]], $A52, Table1[[AwayTeam]:[AwayTeam]], AG$36))) + (SUMIFS(Table1[[HomeWon]:[HomeWon]], Table1[[GameIsOver]:[GameIsOver]], 1, Table1[[AwayTeam]:[AwayTeam]], $A52, Table1[[HomeTeam]:[HomeTeam]],  AG$36, Table1[[ActualResult]:[ActualResult]], "OT") + SUMIFS(Table1[[AwayWon]:[AwayWon]], Table1[[GameIsOver]:[GameIsOver]], 1, Table1[[HomeTeam]:[HomeTeam]], $A52, Table1[[AwayTeam]:[AwayTeam]], AG$36, Table1[[ActualResult]:[ActualResult]], "OT") + SUMIFS(Table1[[HomeWon]:[HomeWon]], Table1[[GameIsOver]:[GameIsOver]], 1, Table1[[AwayTeam]:[AwayTeam]], $A52, Table1[[HomeTeam]:[HomeTeam]], AG$36, Table1[[ActualResult]:[ActualResult]], "SO") + SUMIFS(Table1[[AwayWon]:[AwayWon]], Table1[[GameIsOver]:[GameIsOver]], 1, Table1[[HomeTeam]:[HomeTeam]], $A52, Table1[[AwayTeam]:[AwayTeam]], AG$36, Table1[[ActualResult]:[ActualResult]], "SO")))/ (2*((COUNTIFS(Table1[[GameIsOver]:[GameIsOver]],1,Table1[[AwayTeam]:[AwayTeam]],$A52, Table1[[HomeTeam]:[HomeTeam]], AG$36)))+( COUNTIFS(Table1[[GameIsOver]:[GameIsOver]],1,Table1[[AwayTeam]:[AwayTeam]],AG$36, Table1[[HomeTeam]:[HomeTeam]],$A52))), "")</f>
        <v/>
      </c>
      <c r="AH52" s="41">
        <f t="shared" si="0"/>
        <v>2</v>
      </c>
      <c r="AI52" s="41" t="e">
        <f t="shared" si="1"/>
        <v>#DIV/0!</v>
      </c>
      <c r="AJ52" s="42">
        <f t="shared" si="2"/>
        <v>2</v>
      </c>
      <c r="AK52" s="42" t="e">
        <f t="shared" si="3"/>
        <v>#DIV/0!</v>
      </c>
      <c r="AL52" s="42" t="e">
        <f t="shared" si="4"/>
        <v>#DIV/0!</v>
      </c>
      <c r="AM52" s="42" t="e">
        <f t="shared" si="5"/>
        <v>#DIV/0!</v>
      </c>
    </row>
    <row r="53" spans="1:39" ht="15.75" thickTop="1" x14ac:dyDescent="0.25">
      <c r="A53" s="17" t="s">
        <v>40</v>
      </c>
      <c r="B53" s="36" t="str">
        <f>IFERROR(((2 * (SUMIFS(Table1[[AwayWon]:[AwayWon]], Table1[[GameIsOver]:[GameIsOver]], 1, Table1[[AwayTeam]:[AwayTeam]], $A53, Table1[[HomeTeam]:[HomeTeam]], B$36) + SUMIFS(Table1[[HomeWon]:[HomeWon]], Table1[[GameIsOver]:[GameIsOver]], 1, Table1[[HomeTeam]:[HomeTeam]], $A53, Table1[[AwayTeam]:[AwayTeam]], B$36))) + (SUMIFS(Table1[[HomeWon]:[HomeWon]], Table1[[GameIsOver]:[GameIsOver]], 1, Table1[[AwayTeam]:[AwayTeam]], $A53, Table1[[HomeTeam]:[HomeTeam]],  B$36, Table1[[ActualResult]:[ActualResult]], "OT") + SUMIFS(Table1[[AwayWon]:[AwayWon]], Table1[[GameIsOver]:[GameIsOver]], 1, Table1[[HomeTeam]:[HomeTeam]], $A53, Table1[[AwayTeam]:[AwayTeam]], B$36, Table1[[ActualResult]:[ActualResult]], "OT") + SUMIFS(Table1[[HomeWon]:[HomeWon]], Table1[[GameIsOver]:[GameIsOver]], 1, Table1[[AwayTeam]:[AwayTeam]], $A53, Table1[[HomeTeam]:[HomeTeam]], B$36, Table1[[ActualResult]:[ActualResult]], "SO") + SUMIFS(Table1[[AwayWon]:[AwayWon]], Table1[[GameIsOver]:[GameIsOver]], 1, Table1[[HomeTeam]:[HomeTeam]], $A53, Table1[[AwayTeam]:[AwayTeam]], B$36, Table1[[ActualResult]:[ActualResult]], "SO")))/ (2*((COUNTIFS(Table1[[GameIsOver]:[GameIsOver]],1,Table1[[AwayTeam]:[AwayTeam]],$A53, Table1[[HomeTeam]:[HomeTeam]], B$36)))+( COUNTIFS(Table1[[GameIsOver]:[GameIsOver]],1,Table1[[AwayTeam]:[AwayTeam]],B$36, Table1[[HomeTeam]:[HomeTeam]],$A53))), "")</f>
        <v/>
      </c>
      <c r="C53" s="36" t="str">
        <f>IFERROR(((2 * (SUMIFS(Table1[[AwayWon]:[AwayWon]], Table1[[GameIsOver]:[GameIsOver]], 1, Table1[[AwayTeam]:[AwayTeam]], $A53, Table1[[HomeTeam]:[HomeTeam]], C$36) + SUMIFS(Table1[[HomeWon]:[HomeWon]], Table1[[GameIsOver]:[GameIsOver]], 1, Table1[[HomeTeam]:[HomeTeam]], $A53, Table1[[AwayTeam]:[AwayTeam]], C$36))) + (SUMIFS(Table1[[HomeWon]:[HomeWon]], Table1[[GameIsOver]:[GameIsOver]], 1, Table1[[AwayTeam]:[AwayTeam]], $A53, Table1[[HomeTeam]:[HomeTeam]],  C$36, Table1[[ActualResult]:[ActualResult]], "OT") + SUMIFS(Table1[[AwayWon]:[AwayWon]], Table1[[GameIsOver]:[GameIsOver]], 1, Table1[[HomeTeam]:[HomeTeam]], $A53, Table1[[AwayTeam]:[AwayTeam]], C$36, Table1[[ActualResult]:[ActualResult]], "OT") + SUMIFS(Table1[[HomeWon]:[HomeWon]], Table1[[GameIsOver]:[GameIsOver]], 1, Table1[[AwayTeam]:[AwayTeam]], $A53, Table1[[HomeTeam]:[HomeTeam]], C$36, Table1[[ActualResult]:[ActualResult]], "SO") + SUMIFS(Table1[[AwayWon]:[AwayWon]], Table1[[GameIsOver]:[GameIsOver]], 1, Table1[[HomeTeam]:[HomeTeam]], $A53, Table1[[AwayTeam]:[AwayTeam]], C$36, Table1[[ActualResult]:[ActualResult]], "SO")))/ (2*((COUNTIFS(Table1[[GameIsOver]:[GameIsOver]],1,Table1[[AwayTeam]:[AwayTeam]],$A53, Table1[[HomeTeam]:[HomeTeam]], C$36)))+( COUNTIFS(Table1[[GameIsOver]:[GameIsOver]],1,Table1[[AwayTeam]:[AwayTeam]],C$36, Table1[[HomeTeam]:[HomeTeam]],$A53))), "")</f>
        <v/>
      </c>
      <c r="D53" s="36" t="str">
        <f>IFERROR(((2 * (SUMIFS(Table1[[AwayWon]:[AwayWon]], Table1[[GameIsOver]:[GameIsOver]], 1, Table1[[AwayTeam]:[AwayTeam]], $A53, Table1[[HomeTeam]:[HomeTeam]], D$36) + SUMIFS(Table1[[HomeWon]:[HomeWon]], Table1[[GameIsOver]:[GameIsOver]], 1, Table1[[HomeTeam]:[HomeTeam]], $A53, Table1[[AwayTeam]:[AwayTeam]], D$36))) + (SUMIFS(Table1[[HomeWon]:[HomeWon]], Table1[[GameIsOver]:[GameIsOver]], 1, Table1[[AwayTeam]:[AwayTeam]], $A53, Table1[[HomeTeam]:[HomeTeam]],  D$36, Table1[[ActualResult]:[ActualResult]], "OT") + SUMIFS(Table1[[AwayWon]:[AwayWon]], Table1[[GameIsOver]:[GameIsOver]], 1, Table1[[HomeTeam]:[HomeTeam]], $A53, Table1[[AwayTeam]:[AwayTeam]], D$36, Table1[[ActualResult]:[ActualResult]], "OT") + SUMIFS(Table1[[HomeWon]:[HomeWon]], Table1[[GameIsOver]:[GameIsOver]], 1, Table1[[AwayTeam]:[AwayTeam]], $A53, Table1[[HomeTeam]:[HomeTeam]], D$36, Table1[[ActualResult]:[ActualResult]], "SO") + SUMIFS(Table1[[AwayWon]:[AwayWon]], Table1[[GameIsOver]:[GameIsOver]], 1, Table1[[HomeTeam]:[HomeTeam]], $A53, Table1[[AwayTeam]:[AwayTeam]], D$36, Table1[[ActualResult]:[ActualResult]], "SO")))/ (2*((COUNTIFS(Table1[[GameIsOver]:[GameIsOver]],1,Table1[[AwayTeam]:[AwayTeam]],$A53, Table1[[HomeTeam]:[HomeTeam]], D$36)))+( COUNTIFS(Table1[[GameIsOver]:[GameIsOver]],1,Table1[[AwayTeam]:[AwayTeam]],D$36, Table1[[HomeTeam]:[HomeTeam]],$A53))), "")</f>
        <v/>
      </c>
      <c r="E53" s="36" t="str">
        <f>IFERROR(((2 * (SUMIFS(Table1[[AwayWon]:[AwayWon]], Table1[[GameIsOver]:[GameIsOver]], 1, Table1[[AwayTeam]:[AwayTeam]], $A53, Table1[[HomeTeam]:[HomeTeam]], E$36) + SUMIFS(Table1[[HomeWon]:[HomeWon]], Table1[[GameIsOver]:[GameIsOver]], 1, Table1[[HomeTeam]:[HomeTeam]], $A53, Table1[[AwayTeam]:[AwayTeam]], E$36))) + (SUMIFS(Table1[[HomeWon]:[HomeWon]], Table1[[GameIsOver]:[GameIsOver]], 1, Table1[[AwayTeam]:[AwayTeam]], $A53, Table1[[HomeTeam]:[HomeTeam]],  E$36, Table1[[ActualResult]:[ActualResult]], "OT") + SUMIFS(Table1[[AwayWon]:[AwayWon]], Table1[[GameIsOver]:[GameIsOver]], 1, Table1[[HomeTeam]:[HomeTeam]], $A53, Table1[[AwayTeam]:[AwayTeam]], E$36, Table1[[ActualResult]:[ActualResult]], "OT") + SUMIFS(Table1[[HomeWon]:[HomeWon]], Table1[[GameIsOver]:[GameIsOver]], 1, Table1[[AwayTeam]:[AwayTeam]], $A53, Table1[[HomeTeam]:[HomeTeam]], E$36, Table1[[ActualResult]:[ActualResult]], "SO") + SUMIFS(Table1[[AwayWon]:[AwayWon]], Table1[[GameIsOver]:[GameIsOver]], 1, Table1[[HomeTeam]:[HomeTeam]], $A53, Table1[[AwayTeam]:[AwayTeam]], E$36, Table1[[ActualResult]:[ActualResult]], "SO")))/ (2*((COUNTIFS(Table1[[GameIsOver]:[GameIsOver]],1,Table1[[AwayTeam]:[AwayTeam]],$A53, Table1[[HomeTeam]:[HomeTeam]], E$36)))+( COUNTIFS(Table1[[GameIsOver]:[GameIsOver]],1,Table1[[AwayTeam]:[AwayTeam]],E$36, Table1[[HomeTeam]:[HomeTeam]],$A53))), "")</f>
        <v/>
      </c>
      <c r="F53" s="36" t="str">
        <f>IFERROR(((2 * (SUMIFS(Table1[[AwayWon]:[AwayWon]], Table1[[GameIsOver]:[GameIsOver]], 1, Table1[[AwayTeam]:[AwayTeam]], $A53, Table1[[HomeTeam]:[HomeTeam]], F$36) + SUMIFS(Table1[[HomeWon]:[HomeWon]], Table1[[GameIsOver]:[GameIsOver]], 1, Table1[[HomeTeam]:[HomeTeam]], $A53, Table1[[AwayTeam]:[AwayTeam]], F$36))) + (SUMIFS(Table1[[HomeWon]:[HomeWon]], Table1[[GameIsOver]:[GameIsOver]], 1, Table1[[AwayTeam]:[AwayTeam]], $A53, Table1[[HomeTeam]:[HomeTeam]],  F$36, Table1[[ActualResult]:[ActualResult]], "OT") + SUMIFS(Table1[[AwayWon]:[AwayWon]], Table1[[GameIsOver]:[GameIsOver]], 1, Table1[[HomeTeam]:[HomeTeam]], $A53, Table1[[AwayTeam]:[AwayTeam]], F$36, Table1[[ActualResult]:[ActualResult]], "OT") + SUMIFS(Table1[[HomeWon]:[HomeWon]], Table1[[GameIsOver]:[GameIsOver]], 1, Table1[[AwayTeam]:[AwayTeam]], $A53, Table1[[HomeTeam]:[HomeTeam]], F$36, Table1[[ActualResult]:[ActualResult]], "SO") + SUMIFS(Table1[[AwayWon]:[AwayWon]], Table1[[GameIsOver]:[GameIsOver]], 1, Table1[[HomeTeam]:[HomeTeam]], $A53, Table1[[AwayTeam]:[AwayTeam]], F$36, Table1[[ActualResult]:[ActualResult]], "SO")))/ (2*((COUNTIFS(Table1[[GameIsOver]:[GameIsOver]],1,Table1[[AwayTeam]:[AwayTeam]],$A53, Table1[[HomeTeam]:[HomeTeam]], F$36)))+( COUNTIFS(Table1[[GameIsOver]:[GameIsOver]],1,Table1[[AwayTeam]:[AwayTeam]],F$36, Table1[[HomeTeam]:[HomeTeam]],$A53))), "")</f>
        <v/>
      </c>
      <c r="G53" s="36" t="str">
        <f>IFERROR(((2 * (SUMIFS(Table1[[AwayWon]:[AwayWon]], Table1[[GameIsOver]:[GameIsOver]], 1, Table1[[AwayTeam]:[AwayTeam]], $A53, Table1[[HomeTeam]:[HomeTeam]], G$36) + SUMIFS(Table1[[HomeWon]:[HomeWon]], Table1[[GameIsOver]:[GameIsOver]], 1, Table1[[HomeTeam]:[HomeTeam]], $A53, Table1[[AwayTeam]:[AwayTeam]], G$36))) + (SUMIFS(Table1[[HomeWon]:[HomeWon]], Table1[[GameIsOver]:[GameIsOver]], 1, Table1[[AwayTeam]:[AwayTeam]], $A53, Table1[[HomeTeam]:[HomeTeam]],  G$36, Table1[[ActualResult]:[ActualResult]], "OT") + SUMIFS(Table1[[AwayWon]:[AwayWon]], Table1[[GameIsOver]:[GameIsOver]], 1, Table1[[HomeTeam]:[HomeTeam]], $A53, Table1[[AwayTeam]:[AwayTeam]], G$36, Table1[[ActualResult]:[ActualResult]], "OT") + SUMIFS(Table1[[HomeWon]:[HomeWon]], Table1[[GameIsOver]:[GameIsOver]], 1, Table1[[AwayTeam]:[AwayTeam]], $A53, Table1[[HomeTeam]:[HomeTeam]], G$36, Table1[[ActualResult]:[ActualResult]], "SO") + SUMIFS(Table1[[AwayWon]:[AwayWon]], Table1[[GameIsOver]:[GameIsOver]], 1, Table1[[HomeTeam]:[HomeTeam]], $A53, Table1[[AwayTeam]:[AwayTeam]], G$36, Table1[[ActualResult]:[ActualResult]], "SO")))/ (2*((COUNTIFS(Table1[[GameIsOver]:[GameIsOver]],1,Table1[[AwayTeam]:[AwayTeam]],$A53, Table1[[HomeTeam]:[HomeTeam]], G$36)))+( COUNTIFS(Table1[[GameIsOver]:[GameIsOver]],1,Table1[[AwayTeam]:[AwayTeam]],G$36, Table1[[HomeTeam]:[HomeTeam]],$A53))), "")</f>
        <v/>
      </c>
      <c r="H53" s="36" t="str">
        <f>IFERROR(((2 * (SUMIFS(Table1[[AwayWon]:[AwayWon]], Table1[[GameIsOver]:[GameIsOver]], 1, Table1[[AwayTeam]:[AwayTeam]], $A53, Table1[[HomeTeam]:[HomeTeam]], H$36) + SUMIFS(Table1[[HomeWon]:[HomeWon]], Table1[[GameIsOver]:[GameIsOver]], 1, Table1[[HomeTeam]:[HomeTeam]], $A53, Table1[[AwayTeam]:[AwayTeam]], H$36))) + (SUMIFS(Table1[[HomeWon]:[HomeWon]], Table1[[GameIsOver]:[GameIsOver]], 1, Table1[[AwayTeam]:[AwayTeam]], $A53, Table1[[HomeTeam]:[HomeTeam]],  H$36, Table1[[ActualResult]:[ActualResult]], "OT") + SUMIFS(Table1[[AwayWon]:[AwayWon]], Table1[[GameIsOver]:[GameIsOver]], 1, Table1[[HomeTeam]:[HomeTeam]], $A53, Table1[[AwayTeam]:[AwayTeam]], H$36, Table1[[ActualResult]:[ActualResult]], "OT") + SUMIFS(Table1[[HomeWon]:[HomeWon]], Table1[[GameIsOver]:[GameIsOver]], 1, Table1[[AwayTeam]:[AwayTeam]], $A53, Table1[[HomeTeam]:[HomeTeam]], H$36, Table1[[ActualResult]:[ActualResult]], "SO") + SUMIFS(Table1[[AwayWon]:[AwayWon]], Table1[[GameIsOver]:[GameIsOver]], 1, Table1[[HomeTeam]:[HomeTeam]], $A53, Table1[[AwayTeam]:[AwayTeam]], H$36, Table1[[ActualResult]:[ActualResult]], "SO")))/ (2*((COUNTIFS(Table1[[GameIsOver]:[GameIsOver]],1,Table1[[AwayTeam]:[AwayTeam]],$A53, Table1[[HomeTeam]:[HomeTeam]], H$36)))+( COUNTIFS(Table1[[GameIsOver]:[GameIsOver]],1,Table1[[AwayTeam]:[AwayTeam]],H$36, Table1[[HomeTeam]:[HomeTeam]],$A53))), "")</f>
        <v/>
      </c>
      <c r="I53" s="38" t="str">
        <f>IFERROR(((2 * (SUMIFS(Table1[[AwayWon]:[AwayWon]], Table1[[GameIsOver]:[GameIsOver]], 1, Table1[[AwayTeam]:[AwayTeam]], $A53, Table1[[HomeTeam]:[HomeTeam]], I$36) + SUMIFS(Table1[[HomeWon]:[HomeWon]], Table1[[GameIsOver]:[GameIsOver]], 1, Table1[[HomeTeam]:[HomeTeam]], $A53, Table1[[AwayTeam]:[AwayTeam]], I$36))) + (SUMIFS(Table1[[HomeWon]:[HomeWon]], Table1[[GameIsOver]:[GameIsOver]], 1, Table1[[AwayTeam]:[AwayTeam]], $A53, Table1[[HomeTeam]:[HomeTeam]],  I$36, Table1[[ActualResult]:[ActualResult]], "OT") + SUMIFS(Table1[[AwayWon]:[AwayWon]], Table1[[GameIsOver]:[GameIsOver]], 1, Table1[[HomeTeam]:[HomeTeam]], $A53, Table1[[AwayTeam]:[AwayTeam]], I$36, Table1[[ActualResult]:[ActualResult]], "OT") + SUMIFS(Table1[[HomeWon]:[HomeWon]], Table1[[GameIsOver]:[GameIsOver]], 1, Table1[[AwayTeam]:[AwayTeam]], $A53, Table1[[HomeTeam]:[HomeTeam]], I$36, Table1[[ActualResult]:[ActualResult]], "SO") + SUMIFS(Table1[[AwayWon]:[AwayWon]], Table1[[GameIsOver]:[GameIsOver]], 1, Table1[[HomeTeam]:[HomeTeam]], $A53, Table1[[AwayTeam]:[AwayTeam]], I$36, Table1[[ActualResult]:[ActualResult]], "SO")))/ (2*((COUNTIFS(Table1[[GameIsOver]:[GameIsOver]],1,Table1[[AwayTeam]:[AwayTeam]],$A53, Table1[[HomeTeam]:[HomeTeam]], I$36)))+( COUNTIFS(Table1[[GameIsOver]:[GameIsOver]],1,Table1[[AwayTeam]:[AwayTeam]],I$36, Table1[[HomeTeam]:[HomeTeam]],$A53))), "")</f>
        <v/>
      </c>
      <c r="J53" s="36" t="str">
        <f>IFERROR(((2 * (SUMIFS(Table1[[AwayWon]:[AwayWon]], Table1[[GameIsOver]:[GameIsOver]], 1, Table1[[AwayTeam]:[AwayTeam]], $A53, Table1[[HomeTeam]:[HomeTeam]], J$36) + SUMIFS(Table1[[HomeWon]:[HomeWon]], Table1[[GameIsOver]:[GameIsOver]], 1, Table1[[HomeTeam]:[HomeTeam]], $A53, Table1[[AwayTeam]:[AwayTeam]], J$36))) + (SUMIFS(Table1[[HomeWon]:[HomeWon]], Table1[[GameIsOver]:[GameIsOver]], 1, Table1[[AwayTeam]:[AwayTeam]], $A53, Table1[[HomeTeam]:[HomeTeam]],  J$36, Table1[[ActualResult]:[ActualResult]], "OT") + SUMIFS(Table1[[AwayWon]:[AwayWon]], Table1[[GameIsOver]:[GameIsOver]], 1, Table1[[HomeTeam]:[HomeTeam]], $A53, Table1[[AwayTeam]:[AwayTeam]], J$36, Table1[[ActualResult]:[ActualResult]], "OT") + SUMIFS(Table1[[HomeWon]:[HomeWon]], Table1[[GameIsOver]:[GameIsOver]], 1, Table1[[AwayTeam]:[AwayTeam]], $A53, Table1[[HomeTeam]:[HomeTeam]], J$36, Table1[[ActualResult]:[ActualResult]], "SO") + SUMIFS(Table1[[AwayWon]:[AwayWon]], Table1[[GameIsOver]:[GameIsOver]], 1, Table1[[HomeTeam]:[HomeTeam]], $A53, Table1[[AwayTeam]:[AwayTeam]], J$36, Table1[[ActualResult]:[ActualResult]], "SO")))/ (2*((COUNTIFS(Table1[[GameIsOver]:[GameIsOver]],1,Table1[[AwayTeam]:[AwayTeam]],$A53, Table1[[HomeTeam]:[HomeTeam]], J$36)))+( COUNTIFS(Table1[[GameIsOver]:[GameIsOver]],1,Table1[[AwayTeam]:[AwayTeam]],J$36, Table1[[HomeTeam]:[HomeTeam]],$A53))), "")</f>
        <v/>
      </c>
      <c r="K53" s="36" t="str">
        <f>IFERROR(((2 * (SUMIFS(Table1[[AwayWon]:[AwayWon]], Table1[[GameIsOver]:[GameIsOver]], 1, Table1[[AwayTeam]:[AwayTeam]], $A53, Table1[[HomeTeam]:[HomeTeam]], K$36) + SUMIFS(Table1[[HomeWon]:[HomeWon]], Table1[[GameIsOver]:[GameIsOver]], 1, Table1[[HomeTeam]:[HomeTeam]], $A53, Table1[[AwayTeam]:[AwayTeam]], K$36))) + (SUMIFS(Table1[[HomeWon]:[HomeWon]], Table1[[GameIsOver]:[GameIsOver]], 1, Table1[[AwayTeam]:[AwayTeam]], $A53, Table1[[HomeTeam]:[HomeTeam]],  K$36, Table1[[ActualResult]:[ActualResult]], "OT") + SUMIFS(Table1[[AwayWon]:[AwayWon]], Table1[[GameIsOver]:[GameIsOver]], 1, Table1[[HomeTeam]:[HomeTeam]], $A53, Table1[[AwayTeam]:[AwayTeam]], K$36, Table1[[ActualResult]:[ActualResult]], "OT") + SUMIFS(Table1[[HomeWon]:[HomeWon]], Table1[[GameIsOver]:[GameIsOver]], 1, Table1[[AwayTeam]:[AwayTeam]], $A53, Table1[[HomeTeam]:[HomeTeam]], K$36, Table1[[ActualResult]:[ActualResult]], "SO") + SUMIFS(Table1[[AwayWon]:[AwayWon]], Table1[[GameIsOver]:[GameIsOver]], 1, Table1[[HomeTeam]:[HomeTeam]], $A53, Table1[[AwayTeam]:[AwayTeam]], K$36, Table1[[ActualResult]:[ActualResult]], "SO")))/ (2*((COUNTIFS(Table1[[GameIsOver]:[GameIsOver]],1,Table1[[AwayTeam]:[AwayTeam]],$A53, Table1[[HomeTeam]:[HomeTeam]], K$36)))+( COUNTIFS(Table1[[GameIsOver]:[GameIsOver]],1,Table1[[AwayTeam]:[AwayTeam]],K$36, Table1[[HomeTeam]:[HomeTeam]],$A53))), "")</f>
        <v/>
      </c>
      <c r="L53" s="36" t="str">
        <f>IFERROR(((2 * (SUMIFS(Table1[[AwayWon]:[AwayWon]], Table1[[GameIsOver]:[GameIsOver]], 1, Table1[[AwayTeam]:[AwayTeam]], $A53, Table1[[HomeTeam]:[HomeTeam]], L$36) + SUMIFS(Table1[[HomeWon]:[HomeWon]], Table1[[GameIsOver]:[GameIsOver]], 1, Table1[[HomeTeam]:[HomeTeam]], $A53, Table1[[AwayTeam]:[AwayTeam]], L$36))) + (SUMIFS(Table1[[HomeWon]:[HomeWon]], Table1[[GameIsOver]:[GameIsOver]], 1, Table1[[AwayTeam]:[AwayTeam]], $A53, Table1[[HomeTeam]:[HomeTeam]],  L$36, Table1[[ActualResult]:[ActualResult]], "OT") + SUMIFS(Table1[[AwayWon]:[AwayWon]], Table1[[GameIsOver]:[GameIsOver]], 1, Table1[[HomeTeam]:[HomeTeam]], $A53, Table1[[AwayTeam]:[AwayTeam]], L$36, Table1[[ActualResult]:[ActualResult]], "OT") + SUMIFS(Table1[[HomeWon]:[HomeWon]], Table1[[GameIsOver]:[GameIsOver]], 1, Table1[[AwayTeam]:[AwayTeam]], $A53, Table1[[HomeTeam]:[HomeTeam]], L$36, Table1[[ActualResult]:[ActualResult]], "SO") + SUMIFS(Table1[[AwayWon]:[AwayWon]], Table1[[GameIsOver]:[GameIsOver]], 1, Table1[[HomeTeam]:[HomeTeam]], $A53, Table1[[AwayTeam]:[AwayTeam]], L$36, Table1[[ActualResult]:[ActualResult]], "SO")))/ (2*((COUNTIFS(Table1[[GameIsOver]:[GameIsOver]],1,Table1[[AwayTeam]:[AwayTeam]],$A53, Table1[[HomeTeam]:[HomeTeam]], L$36)))+( COUNTIFS(Table1[[GameIsOver]:[GameIsOver]],1,Table1[[AwayTeam]:[AwayTeam]],L$36, Table1[[HomeTeam]:[HomeTeam]],$A53))), "")</f>
        <v/>
      </c>
      <c r="M53" s="36" t="str">
        <f>IFERROR(((2 * (SUMIFS(Table1[[AwayWon]:[AwayWon]], Table1[[GameIsOver]:[GameIsOver]], 1, Table1[[AwayTeam]:[AwayTeam]], $A53, Table1[[HomeTeam]:[HomeTeam]], M$36) + SUMIFS(Table1[[HomeWon]:[HomeWon]], Table1[[GameIsOver]:[GameIsOver]], 1, Table1[[HomeTeam]:[HomeTeam]], $A53, Table1[[AwayTeam]:[AwayTeam]], M$36))) + (SUMIFS(Table1[[HomeWon]:[HomeWon]], Table1[[GameIsOver]:[GameIsOver]], 1, Table1[[AwayTeam]:[AwayTeam]], $A53, Table1[[HomeTeam]:[HomeTeam]],  M$36, Table1[[ActualResult]:[ActualResult]], "OT") + SUMIFS(Table1[[AwayWon]:[AwayWon]], Table1[[GameIsOver]:[GameIsOver]], 1, Table1[[HomeTeam]:[HomeTeam]], $A53, Table1[[AwayTeam]:[AwayTeam]], M$36, Table1[[ActualResult]:[ActualResult]], "OT") + SUMIFS(Table1[[HomeWon]:[HomeWon]], Table1[[GameIsOver]:[GameIsOver]], 1, Table1[[AwayTeam]:[AwayTeam]], $A53, Table1[[HomeTeam]:[HomeTeam]], M$36, Table1[[ActualResult]:[ActualResult]], "SO") + SUMIFS(Table1[[AwayWon]:[AwayWon]], Table1[[GameIsOver]:[GameIsOver]], 1, Table1[[HomeTeam]:[HomeTeam]], $A53, Table1[[AwayTeam]:[AwayTeam]], M$36, Table1[[ActualResult]:[ActualResult]], "SO")))/ (2*((COUNTIFS(Table1[[GameIsOver]:[GameIsOver]],1,Table1[[AwayTeam]:[AwayTeam]],$A53, Table1[[HomeTeam]:[HomeTeam]], M$36)))+( COUNTIFS(Table1[[GameIsOver]:[GameIsOver]],1,Table1[[AwayTeam]:[AwayTeam]],M$36, Table1[[HomeTeam]:[HomeTeam]],$A53))), "")</f>
        <v/>
      </c>
      <c r="N53" s="36" t="str">
        <f>IFERROR(((2 * (SUMIFS(Table1[[AwayWon]:[AwayWon]], Table1[[GameIsOver]:[GameIsOver]], 1, Table1[[AwayTeam]:[AwayTeam]], $A53, Table1[[HomeTeam]:[HomeTeam]], N$36) + SUMIFS(Table1[[HomeWon]:[HomeWon]], Table1[[GameIsOver]:[GameIsOver]], 1, Table1[[HomeTeam]:[HomeTeam]], $A53, Table1[[AwayTeam]:[AwayTeam]], N$36))) + (SUMIFS(Table1[[HomeWon]:[HomeWon]], Table1[[GameIsOver]:[GameIsOver]], 1, Table1[[AwayTeam]:[AwayTeam]], $A53, Table1[[HomeTeam]:[HomeTeam]],  N$36, Table1[[ActualResult]:[ActualResult]], "OT") + SUMIFS(Table1[[AwayWon]:[AwayWon]], Table1[[GameIsOver]:[GameIsOver]], 1, Table1[[HomeTeam]:[HomeTeam]], $A53, Table1[[AwayTeam]:[AwayTeam]], N$36, Table1[[ActualResult]:[ActualResult]], "OT") + SUMIFS(Table1[[HomeWon]:[HomeWon]], Table1[[GameIsOver]:[GameIsOver]], 1, Table1[[AwayTeam]:[AwayTeam]], $A53, Table1[[HomeTeam]:[HomeTeam]], N$36, Table1[[ActualResult]:[ActualResult]], "SO") + SUMIFS(Table1[[AwayWon]:[AwayWon]], Table1[[GameIsOver]:[GameIsOver]], 1, Table1[[HomeTeam]:[HomeTeam]], $A53, Table1[[AwayTeam]:[AwayTeam]], N$36, Table1[[ActualResult]:[ActualResult]], "SO")))/ (2*((COUNTIFS(Table1[[GameIsOver]:[GameIsOver]],1,Table1[[AwayTeam]:[AwayTeam]],$A53, Table1[[HomeTeam]:[HomeTeam]], N$36)))+( COUNTIFS(Table1[[GameIsOver]:[GameIsOver]],1,Table1[[AwayTeam]:[AwayTeam]],N$36, Table1[[HomeTeam]:[HomeTeam]],$A53))), "")</f>
        <v/>
      </c>
      <c r="O53" s="36" t="str">
        <f>IFERROR(((2 * (SUMIFS(Table1[[AwayWon]:[AwayWon]], Table1[[GameIsOver]:[GameIsOver]], 1, Table1[[AwayTeam]:[AwayTeam]], $A53, Table1[[HomeTeam]:[HomeTeam]], O$36) + SUMIFS(Table1[[HomeWon]:[HomeWon]], Table1[[GameIsOver]:[GameIsOver]], 1, Table1[[HomeTeam]:[HomeTeam]], $A53, Table1[[AwayTeam]:[AwayTeam]], O$36))) + (SUMIFS(Table1[[HomeWon]:[HomeWon]], Table1[[GameIsOver]:[GameIsOver]], 1, Table1[[AwayTeam]:[AwayTeam]], $A53, Table1[[HomeTeam]:[HomeTeam]],  O$36, Table1[[ActualResult]:[ActualResult]], "OT") + SUMIFS(Table1[[AwayWon]:[AwayWon]], Table1[[GameIsOver]:[GameIsOver]], 1, Table1[[HomeTeam]:[HomeTeam]], $A53, Table1[[AwayTeam]:[AwayTeam]], O$36, Table1[[ActualResult]:[ActualResult]], "OT") + SUMIFS(Table1[[HomeWon]:[HomeWon]], Table1[[GameIsOver]:[GameIsOver]], 1, Table1[[AwayTeam]:[AwayTeam]], $A53, Table1[[HomeTeam]:[HomeTeam]], O$36, Table1[[ActualResult]:[ActualResult]], "SO") + SUMIFS(Table1[[AwayWon]:[AwayWon]], Table1[[GameIsOver]:[GameIsOver]], 1, Table1[[HomeTeam]:[HomeTeam]], $A53, Table1[[AwayTeam]:[AwayTeam]], O$36, Table1[[ActualResult]:[ActualResult]], "SO")))/ (2*((COUNTIFS(Table1[[GameIsOver]:[GameIsOver]],1,Table1[[AwayTeam]:[AwayTeam]],$A53, Table1[[HomeTeam]:[HomeTeam]], O$36)))+( COUNTIFS(Table1[[GameIsOver]:[GameIsOver]],1,Table1[[AwayTeam]:[AwayTeam]],O$36, Table1[[HomeTeam]:[HomeTeam]],$A53))), "")</f>
        <v/>
      </c>
      <c r="P53" s="36" t="str">
        <f>IFERROR(((2 * (SUMIFS(Table1[[AwayWon]:[AwayWon]], Table1[[GameIsOver]:[GameIsOver]], 1, Table1[[AwayTeam]:[AwayTeam]], $A53, Table1[[HomeTeam]:[HomeTeam]], P$36) + SUMIFS(Table1[[HomeWon]:[HomeWon]], Table1[[GameIsOver]:[GameIsOver]], 1, Table1[[HomeTeam]:[HomeTeam]], $A53, Table1[[AwayTeam]:[AwayTeam]], P$36))) + (SUMIFS(Table1[[HomeWon]:[HomeWon]], Table1[[GameIsOver]:[GameIsOver]], 1, Table1[[AwayTeam]:[AwayTeam]], $A53, Table1[[HomeTeam]:[HomeTeam]],  P$36, Table1[[ActualResult]:[ActualResult]], "OT") + SUMIFS(Table1[[AwayWon]:[AwayWon]], Table1[[GameIsOver]:[GameIsOver]], 1, Table1[[HomeTeam]:[HomeTeam]], $A53, Table1[[AwayTeam]:[AwayTeam]], P$36, Table1[[ActualResult]:[ActualResult]], "OT") + SUMIFS(Table1[[HomeWon]:[HomeWon]], Table1[[GameIsOver]:[GameIsOver]], 1, Table1[[AwayTeam]:[AwayTeam]], $A53, Table1[[HomeTeam]:[HomeTeam]], P$36, Table1[[ActualResult]:[ActualResult]], "SO") + SUMIFS(Table1[[AwayWon]:[AwayWon]], Table1[[GameIsOver]:[GameIsOver]], 1, Table1[[HomeTeam]:[HomeTeam]], $A53, Table1[[AwayTeam]:[AwayTeam]], P$36, Table1[[ActualResult]:[ActualResult]], "SO")))/ (2*((COUNTIFS(Table1[[GameIsOver]:[GameIsOver]],1,Table1[[AwayTeam]:[AwayTeam]],$A53, Table1[[HomeTeam]:[HomeTeam]], P$36)))+( COUNTIFS(Table1[[GameIsOver]:[GameIsOver]],1,Table1[[AwayTeam]:[AwayTeam]],P$36, Table1[[HomeTeam]:[HomeTeam]],$A53))), "")</f>
        <v/>
      </c>
      <c r="Q53" s="38" t="str">
        <f>IFERROR(((2 * (SUMIFS(Table1[[AwayWon]:[AwayWon]], Table1[[GameIsOver]:[GameIsOver]], 1, Table1[[AwayTeam]:[AwayTeam]], $A53, Table1[[HomeTeam]:[HomeTeam]], Q$36) + SUMIFS(Table1[[HomeWon]:[HomeWon]], Table1[[GameIsOver]:[GameIsOver]], 1, Table1[[HomeTeam]:[HomeTeam]], $A53, Table1[[AwayTeam]:[AwayTeam]], Q$36))) + (SUMIFS(Table1[[HomeWon]:[HomeWon]], Table1[[GameIsOver]:[GameIsOver]], 1, Table1[[AwayTeam]:[AwayTeam]], $A53, Table1[[HomeTeam]:[HomeTeam]],  Q$36, Table1[[ActualResult]:[ActualResult]], "OT") + SUMIFS(Table1[[AwayWon]:[AwayWon]], Table1[[GameIsOver]:[GameIsOver]], 1, Table1[[HomeTeam]:[HomeTeam]], $A53, Table1[[AwayTeam]:[AwayTeam]], Q$36, Table1[[ActualResult]:[ActualResult]], "OT") + SUMIFS(Table1[[HomeWon]:[HomeWon]], Table1[[GameIsOver]:[GameIsOver]], 1, Table1[[AwayTeam]:[AwayTeam]], $A53, Table1[[HomeTeam]:[HomeTeam]], Q$36, Table1[[ActualResult]:[ActualResult]], "SO") + SUMIFS(Table1[[AwayWon]:[AwayWon]], Table1[[GameIsOver]:[GameIsOver]], 1, Table1[[HomeTeam]:[HomeTeam]], $A53, Table1[[AwayTeam]:[AwayTeam]], Q$36, Table1[[ActualResult]:[ActualResult]], "SO")))/ (2*((COUNTIFS(Table1[[GameIsOver]:[GameIsOver]],1,Table1[[AwayTeam]:[AwayTeam]],$A53, Table1[[HomeTeam]:[HomeTeam]], Q$36)))+( COUNTIFS(Table1[[GameIsOver]:[GameIsOver]],1,Table1[[AwayTeam]:[AwayTeam]],Q$36, Table1[[HomeTeam]:[HomeTeam]],$A53))), "")</f>
        <v/>
      </c>
      <c r="R53" s="36" t="str">
        <f>IFERROR(((2 * (SUMIFS(Table1[[AwayWon]:[AwayWon]], Table1[[GameIsOver]:[GameIsOver]], 1, Table1[[AwayTeam]:[AwayTeam]], $A53, Table1[[HomeTeam]:[HomeTeam]], R$36) + SUMIFS(Table1[[HomeWon]:[HomeWon]], Table1[[GameIsOver]:[GameIsOver]], 1, Table1[[HomeTeam]:[HomeTeam]], $A53, Table1[[AwayTeam]:[AwayTeam]], R$36))) + (SUMIFS(Table1[[HomeWon]:[HomeWon]], Table1[[GameIsOver]:[GameIsOver]], 1, Table1[[AwayTeam]:[AwayTeam]], $A53, Table1[[HomeTeam]:[HomeTeam]],  R$36, Table1[[ActualResult]:[ActualResult]], "OT") + SUMIFS(Table1[[AwayWon]:[AwayWon]], Table1[[GameIsOver]:[GameIsOver]], 1, Table1[[HomeTeam]:[HomeTeam]], $A53, Table1[[AwayTeam]:[AwayTeam]], R$36, Table1[[ActualResult]:[ActualResult]], "OT") + SUMIFS(Table1[[HomeWon]:[HomeWon]], Table1[[GameIsOver]:[GameIsOver]], 1, Table1[[AwayTeam]:[AwayTeam]], $A53, Table1[[HomeTeam]:[HomeTeam]], R$36, Table1[[ActualResult]:[ActualResult]], "SO") + SUMIFS(Table1[[AwayWon]:[AwayWon]], Table1[[GameIsOver]:[GameIsOver]], 1, Table1[[HomeTeam]:[HomeTeam]], $A53, Table1[[AwayTeam]:[AwayTeam]], R$36, Table1[[ActualResult]:[ActualResult]], "SO")))/ (2*((COUNTIFS(Table1[[GameIsOver]:[GameIsOver]],1,Table1[[AwayTeam]:[AwayTeam]],$A53, Table1[[HomeTeam]:[HomeTeam]], R$36)))+( COUNTIFS(Table1[[GameIsOver]:[GameIsOver]],1,Table1[[AwayTeam]:[AwayTeam]],R$36, Table1[[HomeTeam]:[HomeTeam]],$A53))), "")</f>
        <v/>
      </c>
      <c r="S53" s="36" t="str">
        <f>IFERROR(((2 * (SUMIFS(Table1[[AwayWon]:[AwayWon]], Table1[[GameIsOver]:[GameIsOver]], 1, Table1[[AwayTeam]:[AwayTeam]], $A53, Table1[[HomeTeam]:[HomeTeam]], S$36) + SUMIFS(Table1[[HomeWon]:[HomeWon]], Table1[[GameIsOver]:[GameIsOver]], 1, Table1[[HomeTeam]:[HomeTeam]], $A53, Table1[[AwayTeam]:[AwayTeam]], S$36))) + (SUMIFS(Table1[[HomeWon]:[HomeWon]], Table1[[GameIsOver]:[GameIsOver]], 1, Table1[[AwayTeam]:[AwayTeam]], $A53, Table1[[HomeTeam]:[HomeTeam]],  S$36, Table1[[ActualResult]:[ActualResult]], "OT") + SUMIFS(Table1[[AwayWon]:[AwayWon]], Table1[[GameIsOver]:[GameIsOver]], 1, Table1[[HomeTeam]:[HomeTeam]], $A53, Table1[[AwayTeam]:[AwayTeam]], S$36, Table1[[ActualResult]:[ActualResult]], "OT") + SUMIFS(Table1[[HomeWon]:[HomeWon]], Table1[[GameIsOver]:[GameIsOver]], 1, Table1[[AwayTeam]:[AwayTeam]], $A53, Table1[[HomeTeam]:[HomeTeam]], S$36, Table1[[ActualResult]:[ActualResult]], "SO") + SUMIFS(Table1[[AwayWon]:[AwayWon]], Table1[[GameIsOver]:[GameIsOver]], 1, Table1[[HomeTeam]:[HomeTeam]], $A53, Table1[[AwayTeam]:[AwayTeam]], S$36, Table1[[ActualResult]:[ActualResult]], "SO")))/ (2*((COUNTIFS(Table1[[GameIsOver]:[GameIsOver]],1,Table1[[AwayTeam]:[AwayTeam]],$A53, Table1[[HomeTeam]:[HomeTeam]], S$36)))+( COUNTIFS(Table1[[GameIsOver]:[GameIsOver]],1,Table1[[AwayTeam]:[AwayTeam]],S$36, Table1[[HomeTeam]:[HomeTeam]],$A53))), "")</f>
        <v/>
      </c>
      <c r="T53" s="36" t="str">
        <f>IFERROR(((2 * (SUMIFS(Table1[[AwayWon]:[AwayWon]], Table1[[GameIsOver]:[GameIsOver]], 1, Table1[[AwayTeam]:[AwayTeam]], $A53, Table1[[HomeTeam]:[HomeTeam]], T$36) + SUMIFS(Table1[[HomeWon]:[HomeWon]], Table1[[GameIsOver]:[GameIsOver]], 1, Table1[[HomeTeam]:[HomeTeam]], $A53, Table1[[AwayTeam]:[AwayTeam]], T$36))) + (SUMIFS(Table1[[HomeWon]:[HomeWon]], Table1[[GameIsOver]:[GameIsOver]], 1, Table1[[AwayTeam]:[AwayTeam]], $A53, Table1[[HomeTeam]:[HomeTeam]],  T$36, Table1[[ActualResult]:[ActualResult]], "OT") + SUMIFS(Table1[[AwayWon]:[AwayWon]], Table1[[GameIsOver]:[GameIsOver]], 1, Table1[[HomeTeam]:[HomeTeam]], $A53, Table1[[AwayTeam]:[AwayTeam]], T$36, Table1[[ActualResult]:[ActualResult]], "OT") + SUMIFS(Table1[[HomeWon]:[HomeWon]], Table1[[GameIsOver]:[GameIsOver]], 1, Table1[[AwayTeam]:[AwayTeam]], $A53, Table1[[HomeTeam]:[HomeTeam]], T$36, Table1[[ActualResult]:[ActualResult]], "SO") + SUMIFS(Table1[[AwayWon]:[AwayWon]], Table1[[GameIsOver]:[GameIsOver]], 1, Table1[[HomeTeam]:[HomeTeam]], $A53, Table1[[AwayTeam]:[AwayTeam]], T$36, Table1[[ActualResult]:[ActualResult]], "SO")))/ (2*((COUNTIFS(Table1[[GameIsOver]:[GameIsOver]],1,Table1[[AwayTeam]:[AwayTeam]],$A53, Table1[[HomeTeam]:[HomeTeam]], T$36)))+( COUNTIFS(Table1[[GameIsOver]:[GameIsOver]],1,Table1[[AwayTeam]:[AwayTeam]],T$36, Table1[[HomeTeam]:[HomeTeam]],$A53))), "")</f>
        <v/>
      </c>
      <c r="U53" s="36" t="str">
        <f>IFERROR(((2 * (SUMIFS(Table1[[AwayWon]:[AwayWon]], Table1[[GameIsOver]:[GameIsOver]], 1, Table1[[AwayTeam]:[AwayTeam]], $A53, Table1[[HomeTeam]:[HomeTeam]], U$36) + SUMIFS(Table1[[HomeWon]:[HomeWon]], Table1[[GameIsOver]:[GameIsOver]], 1, Table1[[HomeTeam]:[HomeTeam]], $A53, Table1[[AwayTeam]:[AwayTeam]], U$36))) + (SUMIFS(Table1[[HomeWon]:[HomeWon]], Table1[[GameIsOver]:[GameIsOver]], 1, Table1[[AwayTeam]:[AwayTeam]], $A53, Table1[[HomeTeam]:[HomeTeam]],  U$36, Table1[[ActualResult]:[ActualResult]], "OT") + SUMIFS(Table1[[AwayWon]:[AwayWon]], Table1[[GameIsOver]:[GameIsOver]], 1, Table1[[HomeTeam]:[HomeTeam]], $A53, Table1[[AwayTeam]:[AwayTeam]], U$36, Table1[[ActualResult]:[ActualResult]], "OT") + SUMIFS(Table1[[HomeWon]:[HomeWon]], Table1[[GameIsOver]:[GameIsOver]], 1, Table1[[AwayTeam]:[AwayTeam]], $A53, Table1[[HomeTeam]:[HomeTeam]], U$36, Table1[[ActualResult]:[ActualResult]], "SO") + SUMIFS(Table1[[AwayWon]:[AwayWon]], Table1[[GameIsOver]:[GameIsOver]], 1, Table1[[HomeTeam]:[HomeTeam]], $A53, Table1[[AwayTeam]:[AwayTeam]], U$36, Table1[[ActualResult]:[ActualResult]], "SO")))/ (2*((COUNTIFS(Table1[[GameIsOver]:[GameIsOver]],1,Table1[[AwayTeam]:[AwayTeam]],$A53, Table1[[HomeTeam]:[HomeTeam]], U$36)))+( COUNTIFS(Table1[[GameIsOver]:[GameIsOver]],1,Table1[[AwayTeam]:[AwayTeam]],U$36, Table1[[HomeTeam]:[HomeTeam]],$A53))), "")</f>
        <v/>
      </c>
      <c r="V53" s="36" t="str">
        <f>IFERROR(((2 * (SUMIFS(Table1[[AwayWon]:[AwayWon]], Table1[[GameIsOver]:[GameIsOver]], 1, Table1[[AwayTeam]:[AwayTeam]], $A53, Table1[[HomeTeam]:[HomeTeam]], V$36) + SUMIFS(Table1[[HomeWon]:[HomeWon]], Table1[[GameIsOver]:[GameIsOver]], 1, Table1[[HomeTeam]:[HomeTeam]], $A53, Table1[[AwayTeam]:[AwayTeam]], V$36))) + (SUMIFS(Table1[[HomeWon]:[HomeWon]], Table1[[GameIsOver]:[GameIsOver]], 1, Table1[[AwayTeam]:[AwayTeam]], $A53, Table1[[HomeTeam]:[HomeTeam]],  V$36, Table1[[ActualResult]:[ActualResult]], "OT") + SUMIFS(Table1[[AwayWon]:[AwayWon]], Table1[[GameIsOver]:[GameIsOver]], 1, Table1[[HomeTeam]:[HomeTeam]], $A53, Table1[[AwayTeam]:[AwayTeam]], V$36, Table1[[ActualResult]:[ActualResult]], "OT") + SUMIFS(Table1[[HomeWon]:[HomeWon]], Table1[[GameIsOver]:[GameIsOver]], 1, Table1[[AwayTeam]:[AwayTeam]], $A53, Table1[[HomeTeam]:[HomeTeam]], V$36, Table1[[ActualResult]:[ActualResult]], "SO") + SUMIFS(Table1[[AwayWon]:[AwayWon]], Table1[[GameIsOver]:[GameIsOver]], 1, Table1[[HomeTeam]:[HomeTeam]], $A53, Table1[[AwayTeam]:[AwayTeam]], V$36, Table1[[ActualResult]:[ActualResult]], "SO")))/ (2*((COUNTIFS(Table1[[GameIsOver]:[GameIsOver]],1,Table1[[AwayTeam]:[AwayTeam]],$A53, Table1[[HomeTeam]:[HomeTeam]], V$36)))+( COUNTIFS(Table1[[GameIsOver]:[GameIsOver]],1,Table1[[AwayTeam]:[AwayTeam]],V$36, Table1[[HomeTeam]:[HomeTeam]],$A53))), "")</f>
        <v/>
      </c>
      <c r="W53" s="36" t="str">
        <f>IFERROR(((2 * (SUMIFS(Table1[[AwayWon]:[AwayWon]], Table1[[GameIsOver]:[GameIsOver]], 1, Table1[[AwayTeam]:[AwayTeam]], $A53, Table1[[HomeTeam]:[HomeTeam]], W$36) + SUMIFS(Table1[[HomeWon]:[HomeWon]], Table1[[GameIsOver]:[GameIsOver]], 1, Table1[[HomeTeam]:[HomeTeam]], $A53, Table1[[AwayTeam]:[AwayTeam]], W$36))) + (SUMIFS(Table1[[HomeWon]:[HomeWon]], Table1[[GameIsOver]:[GameIsOver]], 1, Table1[[AwayTeam]:[AwayTeam]], $A53, Table1[[HomeTeam]:[HomeTeam]],  W$36, Table1[[ActualResult]:[ActualResult]], "OT") + SUMIFS(Table1[[AwayWon]:[AwayWon]], Table1[[GameIsOver]:[GameIsOver]], 1, Table1[[HomeTeam]:[HomeTeam]], $A53, Table1[[AwayTeam]:[AwayTeam]], W$36, Table1[[ActualResult]:[ActualResult]], "OT") + SUMIFS(Table1[[HomeWon]:[HomeWon]], Table1[[GameIsOver]:[GameIsOver]], 1, Table1[[AwayTeam]:[AwayTeam]], $A53, Table1[[HomeTeam]:[HomeTeam]], W$36, Table1[[ActualResult]:[ActualResult]], "SO") + SUMIFS(Table1[[AwayWon]:[AwayWon]], Table1[[GameIsOver]:[GameIsOver]], 1, Table1[[HomeTeam]:[HomeTeam]], $A53, Table1[[AwayTeam]:[AwayTeam]], W$36, Table1[[ActualResult]:[ActualResult]], "SO")))/ (2*((COUNTIFS(Table1[[GameIsOver]:[GameIsOver]],1,Table1[[AwayTeam]:[AwayTeam]],$A53, Table1[[HomeTeam]:[HomeTeam]], W$36)))+( COUNTIFS(Table1[[GameIsOver]:[GameIsOver]],1,Table1[[AwayTeam]:[AwayTeam]],W$36, Table1[[HomeTeam]:[HomeTeam]],$A53))), "")</f>
        <v/>
      </c>
      <c r="X53" s="36" t="str">
        <f>IFERROR(((2 * (SUMIFS(Table1[[AwayWon]:[AwayWon]], Table1[[GameIsOver]:[GameIsOver]], 1, Table1[[AwayTeam]:[AwayTeam]], $A53, Table1[[HomeTeam]:[HomeTeam]], X$36) + SUMIFS(Table1[[HomeWon]:[HomeWon]], Table1[[GameIsOver]:[GameIsOver]], 1, Table1[[HomeTeam]:[HomeTeam]], $A53, Table1[[AwayTeam]:[AwayTeam]], X$36))) + (SUMIFS(Table1[[HomeWon]:[HomeWon]], Table1[[GameIsOver]:[GameIsOver]], 1, Table1[[AwayTeam]:[AwayTeam]], $A53, Table1[[HomeTeam]:[HomeTeam]],  X$36, Table1[[ActualResult]:[ActualResult]], "OT") + SUMIFS(Table1[[AwayWon]:[AwayWon]], Table1[[GameIsOver]:[GameIsOver]], 1, Table1[[HomeTeam]:[HomeTeam]], $A53, Table1[[AwayTeam]:[AwayTeam]], X$36, Table1[[ActualResult]:[ActualResult]], "OT") + SUMIFS(Table1[[HomeWon]:[HomeWon]], Table1[[GameIsOver]:[GameIsOver]], 1, Table1[[AwayTeam]:[AwayTeam]], $A53, Table1[[HomeTeam]:[HomeTeam]], X$36, Table1[[ActualResult]:[ActualResult]], "SO") + SUMIFS(Table1[[AwayWon]:[AwayWon]], Table1[[GameIsOver]:[GameIsOver]], 1, Table1[[HomeTeam]:[HomeTeam]], $A53, Table1[[AwayTeam]:[AwayTeam]], X$36, Table1[[ActualResult]:[ActualResult]], "SO")))/ (2*((COUNTIFS(Table1[[GameIsOver]:[GameIsOver]],1,Table1[[AwayTeam]:[AwayTeam]],$A53, Table1[[HomeTeam]:[HomeTeam]], X$36)))+( COUNTIFS(Table1[[GameIsOver]:[GameIsOver]],1,Table1[[AwayTeam]:[AwayTeam]],X$36, Table1[[HomeTeam]:[HomeTeam]],$A53))), "")</f>
        <v/>
      </c>
      <c r="Y53" s="38">
        <f>IFERROR(((2 * (SUMIFS(Table1[[AwayWon]:[AwayWon]], Table1[[GameIsOver]:[GameIsOver]], 1, Table1[[AwayTeam]:[AwayTeam]], $A53, Table1[[HomeTeam]:[HomeTeam]], Y$36) + SUMIFS(Table1[[HomeWon]:[HomeWon]], Table1[[GameIsOver]:[GameIsOver]], 1, Table1[[HomeTeam]:[HomeTeam]], $A53, Table1[[AwayTeam]:[AwayTeam]], Y$36))) + (SUMIFS(Table1[[HomeWon]:[HomeWon]], Table1[[GameIsOver]:[GameIsOver]], 1, Table1[[AwayTeam]:[AwayTeam]], $A53, Table1[[HomeTeam]:[HomeTeam]],  Y$36, Table1[[ActualResult]:[ActualResult]], "OT") + SUMIFS(Table1[[AwayWon]:[AwayWon]], Table1[[GameIsOver]:[GameIsOver]], 1, Table1[[HomeTeam]:[HomeTeam]], $A53, Table1[[AwayTeam]:[AwayTeam]], Y$36, Table1[[ActualResult]:[ActualResult]], "OT") + SUMIFS(Table1[[HomeWon]:[HomeWon]], Table1[[GameIsOver]:[GameIsOver]], 1, Table1[[AwayTeam]:[AwayTeam]], $A53, Table1[[HomeTeam]:[HomeTeam]], Y$36, Table1[[ActualResult]:[ActualResult]], "SO") + SUMIFS(Table1[[AwayWon]:[AwayWon]], Table1[[GameIsOver]:[GameIsOver]], 1, Table1[[HomeTeam]:[HomeTeam]], $A53, Table1[[AwayTeam]:[AwayTeam]], Y$36, Table1[[ActualResult]:[ActualResult]], "SO")))/ (2*((COUNTIFS(Table1[[GameIsOver]:[GameIsOver]],1,Table1[[AwayTeam]:[AwayTeam]],$A53, Table1[[HomeTeam]:[HomeTeam]], Y$36)))+( COUNTIFS(Table1[[GameIsOver]:[GameIsOver]],1,Table1[[AwayTeam]:[AwayTeam]],Y$36, Table1[[HomeTeam]:[HomeTeam]],$A53))), "")</f>
        <v>2</v>
      </c>
      <c r="Z53" s="36" t="str">
        <f>IFERROR(((2 * (SUMIFS(Table1[[AwayWon]:[AwayWon]], Table1[[GameIsOver]:[GameIsOver]], 1, Table1[[AwayTeam]:[AwayTeam]], $A53, Table1[[HomeTeam]:[HomeTeam]], Z$36) + SUMIFS(Table1[[HomeWon]:[HomeWon]], Table1[[GameIsOver]:[GameIsOver]], 1, Table1[[HomeTeam]:[HomeTeam]], $A53, Table1[[AwayTeam]:[AwayTeam]], Z$36))) + (SUMIFS(Table1[[HomeWon]:[HomeWon]], Table1[[GameIsOver]:[GameIsOver]], 1, Table1[[AwayTeam]:[AwayTeam]], $A53, Table1[[HomeTeam]:[HomeTeam]],  Z$36, Table1[[ActualResult]:[ActualResult]], "OT") + SUMIFS(Table1[[AwayWon]:[AwayWon]], Table1[[GameIsOver]:[GameIsOver]], 1, Table1[[HomeTeam]:[HomeTeam]], $A53, Table1[[AwayTeam]:[AwayTeam]], Z$36, Table1[[ActualResult]:[ActualResult]], "OT") + SUMIFS(Table1[[HomeWon]:[HomeWon]], Table1[[GameIsOver]:[GameIsOver]], 1, Table1[[AwayTeam]:[AwayTeam]], $A53, Table1[[HomeTeam]:[HomeTeam]], Z$36, Table1[[ActualResult]:[ActualResult]], "SO") + SUMIFS(Table1[[AwayWon]:[AwayWon]], Table1[[GameIsOver]:[GameIsOver]], 1, Table1[[HomeTeam]:[HomeTeam]], $A53, Table1[[AwayTeam]:[AwayTeam]], Z$36, Table1[[ActualResult]:[ActualResult]], "SO")))/ (2*((COUNTIFS(Table1[[GameIsOver]:[GameIsOver]],1,Table1[[AwayTeam]:[AwayTeam]],$A53, Table1[[HomeTeam]:[HomeTeam]], Z$36)))+( COUNTIFS(Table1[[GameIsOver]:[GameIsOver]],1,Table1[[AwayTeam]:[AwayTeam]],Z$36, Table1[[HomeTeam]:[HomeTeam]],$A53))), "")</f>
        <v/>
      </c>
      <c r="AA53" s="36" t="str">
        <f>IFERROR(((2 * (SUMIFS(Table1[[AwayWon]:[AwayWon]], Table1[[GameIsOver]:[GameIsOver]], 1, Table1[[AwayTeam]:[AwayTeam]], $A53, Table1[[HomeTeam]:[HomeTeam]], AA$36) + SUMIFS(Table1[[HomeWon]:[HomeWon]], Table1[[GameIsOver]:[GameIsOver]], 1, Table1[[HomeTeam]:[HomeTeam]], $A53, Table1[[AwayTeam]:[AwayTeam]], AA$36))) + (SUMIFS(Table1[[HomeWon]:[HomeWon]], Table1[[GameIsOver]:[GameIsOver]], 1, Table1[[AwayTeam]:[AwayTeam]], $A53, Table1[[HomeTeam]:[HomeTeam]],  AA$36, Table1[[ActualResult]:[ActualResult]], "OT") + SUMIFS(Table1[[AwayWon]:[AwayWon]], Table1[[GameIsOver]:[GameIsOver]], 1, Table1[[HomeTeam]:[HomeTeam]], $A53, Table1[[AwayTeam]:[AwayTeam]], AA$36, Table1[[ActualResult]:[ActualResult]], "OT") + SUMIFS(Table1[[HomeWon]:[HomeWon]], Table1[[GameIsOver]:[GameIsOver]], 1, Table1[[AwayTeam]:[AwayTeam]], $A53, Table1[[HomeTeam]:[HomeTeam]], AA$36, Table1[[ActualResult]:[ActualResult]], "SO") + SUMIFS(Table1[[AwayWon]:[AwayWon]], Table1[[GameIsOver]:[GameIsOver]], 1, Table1[[HomeTeam]:[HomeTeam]], $A53, Table1[[AwayTeam]:[AwayTeam]], AA$36, Table1[[ActualResult]:[ActualResult]], "SO")))/ (2*((COUNTIFS(Table1[[GameIsOver]:[GameIsOver]],1,Table1[[AwayTeam]:[AwayTeam]],$A53, Table1[[HomeTeam]:[HomeTeam]], AA$36)))+( COUNTIFS(Table1[[GameIsOver]:[GameIsOver]],1,Table1[[AwayTeam]:[AwayTeam]],AA$36, Table1[[HomeTeam]:[HomeTeam]],$A53))), "")</f>
        <v/>
      </c>
      <c r="AB53" s="36" t="str">
        <f>IFERROR(((2 * (SUMIFS(Table1[[AwayWon]:[AwayWon]], Table1[[GameIsOver]:[GameIsOver]], 1, Table1[[AwayTeam]:[AwayTeam]], $A53, Table1[[HomeTeam]:[HomeTeam]], AB$36) + SUMIFS(Table1[[HomeWon]:[HomeWon]], Table1[[GameIsOver]:[GameIsOver]], 1, Table1[[HomeTeam]:[HomeTeam]], $A53, Table1[[AwayTeam]:[AwayTeam]], AB$36))) + (SUMIFS(Table1[[HomeWon]:[HomeWon]], Table1[[GameIsOver]:[GameIsOver]], 1, Table1[[AwayTeam]:[AwayTeam]], $A53, Table1[[HomeTeam]:[HomeTeam]],  AB$36, Table1[[ActualResult]:[ActualResult]], "OT") + SUMIFS(Table1[[AwayWon]:[AwayWon]], Table1[[GameIsOver]:[GameIsOver]], 1, Table1[[HomeTeam]:[HomeTeam]], $A53, Table1[[AwayTeam]:[AwayTeam]], AB$36, Table1[[ActualResult]:[ActualResult]], "OT") + SUMIFS(Table1[[HomeWon]:[HomeWon]], Table1[[GameIsOver]:[GameIsOver]], 1, Table1[[AwayTeam]:[AwayTeam]], $A53, Table1[[HomeTeam]:[HomeTeam]], AB$36, Table1[[ActualResult]:[ActualResult]], "SO") + SUMIFS(Table1[[AwayWon]:[AwayWon]], Table1[[GameIsOver]:[GameIsOver]], 1, Table1[[HomeTeam]:[HomeTeam]], $A53, Table1[[AwayTeam]:[AwayTeam]], AB$36, Table1[[ActualResult]:[ActualResult]], "SO")))/ (2*((COUNTIFS(Table1[[GameIsOver]:[GameIsOver]],1,Table1[[AwayTeam]:[AwayTeam]],$A53, Table1[[HomeTeam]:[HomeTeam]], AB$36)))+( COUNTIFS(Table1[[GameIsOver]:[GameIsOver]],1,Table1[[AwayTeam]:[AwayTeam]],AB$36, Table1[[HomeTeam]:[HomeTeam]],$A53))), "")</f>
        <v/>
      </c>
      <c r="AC53" s="36">
        <f>IFERROR(((2 * (SUMIFS(Table1[[AwayWon]:[AwayWon]], Table1[[GameIsOver]:[GameIsOver]], 1, Table1[[AwayTeam]:[AwayTeam]], $A53, Table1[[HomeTeam]:[HomeTeam]], AC$36) + SUMIFS(Table1[[HomeWon]:[HomeWon]], Table1[[GameIsOver]:[GameIsOver]], 1, Table1[[HomeTeam]:[HomeTeam]], $A53, Table1[[AwayTeam]:[AwayTeam]], AC$36))) + (SUMIFS(Table1[[HomeWon]:[HomeWon]], Table1[[GameIsOver]:[GameIsOver]], 1, Table1[[AwayTeam]:[AwayTeam]], $A53, Table1[[HomeTeam]:[HomeTeam]],  AC$36, Table1[[ActualResult]:[ActualResult]], "OT") + SUMIFS(Table1[[AwayWon]:[AwayWon]], Table1[[GameIsOver]:[GameIsOver]], 1, Table1[[HomeTeam]:[HomeTeam]], $A53, Table1[[AwayTeam]:[AwayTeam]], AC$36, Table1[[ActualResult]:[ActualResult]], "OT") + SUMIFS(Table1[[HomeWon]:[HomeWon]], Table1[[GameIsOver]:[GameIsOver]], 1, Table1[[AwayTeam]:[AwayTeam]], $A53, Table1[[HomeTeam]:[HomeTeam]], AC$36, Table1[[ActualResult]:[ActualResult]], "SO") + SUMIFS(Table1[[AwayWon]:[AwayWon]], Table1[[GameIsOver]:[GameIsOver]], 1, Table1[[HomeTeam]:[HomeTeam]], $A53, Table1[[AwayTeam]:[AwayTeam]], AC$36, Table1[[ActualResult]:[ActualResult]], "SO")))/ (2*((COUNTIFS(Table1[[GameIsOver]:[GameIsOver]],1,Table1[[AwayTeam]:[AwayTeam]],$A53, Table1[[HomeTeam]:[HomeTeam]], AC$36)))+( COUNTIFS(Table1[[GameIsOver]:[GameIsOver]],1,Table1[[AwayTeam]:[AwayTeam]],AC$36, Table1[[HomeTeam]:[HomeTeam]],$A53))), "")</f>
        <v>0</v>
      </c>
      <c r="AD53" s="36" t="str">
        <f>IFERROR(((2 * (SUMIFS(Table1[[AwayWon]:[AwayWon]], Table1[[GameIsOver]:[GameIsOver]], 1, Table1[[AwayTeam]:[AwayTeam]], $A53, Table1[[HomeTeam]:[HomeTeam]], AD$36) + SUMIFS(Table1[[HomeWon]:[HomeWon]], Table1[[GameIsOver]:[GameIsOver]], 1, Table1[[HomeTeam]:[HomeTeam]], $A53, Table1[[AwayTeam]:[AwayTeam]], AD$36))) + (SUMIFS(Table1[[HomeWon]:[HomeWon]], Table1[[GameIsOver]:[GameIsOver]], 1, Table1[[AwayTeam]:[AwayTeam]], $A53, Table1[[HomeTeam]:[HomeTeam]],  AD$36, Table1[[ActualResult]:[ActualResult]], "OT") + SUMIFS(Table1[[AwayWon]:[AwayWon]], Table1[[GameIsOver]:[GameIsOver]], 1, Table1[[HomeTeam]:[HomeTeam]], $A53, Table1[[AwayTeam]:[AwayTeam]], AD$36, Table1[[ActualResult]:[ActualResult]], "OT") + SUMIFS(Table1[[HomeWon]:[HomeWon]], Table1[[GameIsOver]:[GameIsOver]], 1, Table1[[AwayTeam]:[AwayTeam]], $A53, Table1[[HomeTeam]:[HomeTeam]], AD$36, Table1[[ActualResult]:[ActualResult]], "SO") + SUMIFS(Table1[[AwayWon]:[AwayWon]], Table1[[GameIsOver]:[GameIsOver]], 1, Table1[[HomeTeam]:[HomeTeam]], $A53, Table1[[AwayTeam]:[AwayTeam]], AD$36, Table1[[ActualResult]:[ActualResult]], "SO")))/ (2*((COUNTIFS(Table1[[GameIsOver]:[GameIsOver]],1,Table1[[AwayTeam]:[AwayTeam]],$A53, Table1[[HomeTeam]:[HomeTeam]], AD$36)))+( COUNTIFS(Table1[[GameIsOver]:[GameIsOver]],1,Table1[[AwayTeam]:[AwayTeam]],AD$36, Table1[[HomeTeam]:[HomeTeam]],$A53))), "")</f>
        <v/>
      </c>
      <c r="AE53" s="36" t="str">
        <f>IFERROR(((2 * (SUMIFS(Table1[[AwayWon]:[AwayWon]], Table1[[GameIsOver]:[GameIsOver]], 1, Table1[[AwayTeam]:[AwayTeam]], $A53, Table1[[HomeTeam]:[HomeTeam]], AE$36) + SUMIFS(Table1[[HomeWon]:[HomeWon]], Table1[[GameIsOver]:[GameIsOver]], 1, Table1[[HomeTeam]:[HomeTeam]], $A53, Table1[[AwayTeam]:[AwayTeam]], AE$36))) + (SUMIFS(Table1[[HomeWon]:[HomeWon]], Table1[[GameIsOver]:[GameIsOver]], 1, Table1[[AwayTeam]:[AwayTeam]], $A53, Table1[[HomeTeam]:[HomeTeam]],  AE$36, Table1[[ActualResult]:[ActualResult]], "OT") + SUMIFS(Table1[[AwayWon]:[AwayWon]], Table1[[GameIsOver]:[GameIsOver]], 1, Table1[[HomeTeam]:[HomeTeam]], $A53, Table1[[AwayTeam]:[AwayTeam]], AE$36, Table1[[ActualResult]:[ActualResult]], "OT") + SUMIFS(Table1[[HomeWon]:[HomeWon]], Table1[[GameIsOver]:[GameIsOver]], 1, Table1[[AwayTeam]:[AwayTeam]], $A53, Table1[[HomeTeam]:[HomeTeam]], AE$36, Table1[[ActualResult]:[ActualResult]], "SO") + SUMIFS(Table1[[AwayWon]:[AwayWon]], Table1[[GameIsOver]:[GameIsOver]], 1, Table1[[HomeTeam]:[HomeTeam]], $A53, Table1[[AwayTeam]:[AwayTeam]], AE$36, Table1[[ActualResult]:[ActualResult]], "SO")))/ (2*((COUNTIFS(Table1[[GameIsOver]:[GameIsOver]],1,Table1[[AwayTeam]:[AwayTeam]],$A53, Table1[[HomeTeam]:[HomeTeam]], AE$36)))+( COUNTIFS(Table1[[GameIsOver]:[GameIsOver]],1,Table1[[AwayTeam]:[AwayTeam]],AE$36, Table1[[HomeTeam]:[HomeTeam]],$A53))), "")</f>
        <v/>
      </c>
      <c r="AF53" s="36" t="str">
        <f>IFERROR(((2 * (SUMIFS(Table1[[AwayWon]:[AwayWon]], Table1[[GameIsOver]:[GameIsOver]], 1, Table1[[AwayTeam]:[AwayTeam]], $A53, Table1[[HomeTeam]:[HomeTeam]], AF$36) + SUMIFS(Table1[[HomeWon]:[HomeWon]], Table1[[GameIsOver]:[GameIsOver]], 1, Table1[[HomeTeam]:[HomeTeam]], $A53, Table1[[AwayTeam]:[AwayTeam]], AF$36))) + (SUMIFS(Table1[[HomeWon]:[HomeWon]], Table1[[GameIsOver]:[GameIsOver]], 1, Table1[[AwayTeam]:[AwayTeam]], $A53, Table1[[HomeTeam]:[HomeTeam]],  AF$36, Table1[[ActualResult]:[ActualResult]], "OT") + SUMIFS(Table1[[AwayWon]:[AwayWon]], Table1[[GameIsOver]:[GameIsOver]], 1, Table1[[HomeTeam]:[HomeTeam]], $A53, Table1[[AwayTeam]:[AwayTeam]], AF$36, Table1[[ActualResult]:[ActualResult]], "OT") + SUMIFS(Table1[[HomeWon]:[HomeWon]], Table1[[GameIsOver]:[GameIsOver]], 1, Table1[[AwayTeam]:[AwayTeam]], $A53, Table1[[HomeTeam]:[HomeTeam]], AF$36, Table1[[ActualResult]:[ActualResult]], "SO") + SUMIFS(Table1[[AwayWon]:[AwayWon]], Table1[[GameIsOver]:[GameIsOver]], 1, Table1[[HomeTeam]:[HomeTeam]], $A53, Table1[[AwayTeam]:[AwayTeam]], AF$36, Table1[[ActualResult]:[ActualResult]], "SO")))/ (2*((COUNTIFS(Table1[[GameIsOver]:[GameIsOver]],1,Table1[[AwayTeam]:[AwayTeam]],$A53, Table1[[HomeTeam]:[HomeTeam]], AF$36)))+( COUNTIFS(Table1[[GameIsOver]:[GameIsOver]],1,Table1[[AwayTeam]:[AwayTeam]],AF$36, Table1[[HomeTeam]:[HomeTeam]],$A53))), "")</f>
        <v/>
      </c>
      <c r="AG53" s="36" t="str">
        <f>IFERROR(((2 * (SUMIFS(Table1[[AwayWon]:[AwayWon]], Table1[[GameIsOver]:[GameIsOver]], 1, Table1[[AwayTeam]:[AwayTeam]], $A53, Table1[[HomeTeam]:[HomeTeam]], AG$36) + SUMIFS(Table1[[HomeWon]:[HomeWon]], Table1[[GameIsOver]:[GameIsOver]], 1, Table1[[HomeTeam]:[HomeTeam]], $A53, Table1[[AwayTeam]:[AwayTeam]], AG$36))) + (SUMIFS(Table1[[HomeWon]:[HomeWon]], Table1[[GameIsOver]:[GameIsOver]], 1, Table1[[AwayTeam]:[AwayTeam]], $A53, Table1[[HomeTeam]:[HomeTeam]],  AG$36, Table1[[ActualResult]:[ActualResult]], "OT") + SUMIFS(Table1[[AwayWon]:[AwayWon]], Table1[[GameIsOver]:[GameIsOver]], 1, Table1[[HomeTeam]:[HomeTeam]], $A53, Table1[[AwayTeam]:[AwayTeam]], AG$36, Table1[[ActualResult]:[ActualResult]], "OT") + SUMIFS(Table1[[HomeWon]:[HomeWon]], Table1[[GameIsOver]:[GameIsOver]], 1, Table1[[AwayTeam]:[AwayTeam]], $A53, Table1[[HomeTeam]:[HomeTeam]], AG$36, Table1[[ActualResult]:[ActualResult]], "SO") + SUMIFS(Table1[[AwayWon]:[AwayWon]], Table1[[GameIsOver]:[GameIsOver]], 1, Table1[[HomeTeam]:[HomeTeam]], $A53, Table1[[AwayTeam]:[AwayTeam]], AG$36, Table1[[ActualResult]:[ActualResult]], "SO")))/ (2*((COUNTIFS(Table1[[GameIsOver]:[GameIsOver]],1,Table1[[AwayTeam]:[AwayTeam]],$A53, Table1[[HomeTeam]:[HomeTeam]], AG$36)))+( COUNTIFS(Table1[[GameIsOver]:[GameIsOver]],1,Table1[[AwayTeam]:[AwayTeam]],AG$36, Table1[[HomeTeam]:[HomeTeam]],$A53))), "")</f>
        <v/>
      </c>
      <c r="AH53" s="37">
        <f t="shared" si="0"/>
        <v>1</v>
      </c>
      <c r="AI53" s="37" t="e">
        <f>AVERAGE($B53:$Q53)</f>
        <v>#DIV/0!</v>
      </c>
      <c r="AJ53" s="38">
        <f t="shared" si="2"/>
        <v>0</v>
      </c>
      <c r="AK53" s="38">
        <f t="shared" si="3"/>
        <v>2</v>
      </c>
      <c r="AL53" s="38" t="e">
        <f t="shared" si="4"/>
        <v>#DIV/0!</v>
      </c>
      <c r="AM53" s="38" t="e">
        <f t="shared" si="5"/>
        <v>#DIV/0!</v>
      </c>
    </row>
    <row r="54" spans="1:39" x14ac:dyDescent="0.25">
      <c r="A54" s="17" t="s">
        <v>42</v>
      </c>
      <c r="B54" s="36" t="str">
        <f>IFERROR(((2 * (SUMIFS(Table1[[AwayWon]:[AwayWon]], Table1[[GameIsOver]:[GameIsOver]], 1, Table1[[AwayTeam]:[AwayTeam]], $A54, Table1[[HomeTeam]:[HomeTeam]], B$36) + SUMIFS(Table1[[HomeWon]:[HomeWon]], Table1[[GameIsOver]:[GameIsOver]], 1, Table1[[HomeTeam]:[HomeTeam]], $A54, Table1[[AwayTeam]:[AwayTeam]], B$36))) + (SUMIFS(Table1[[HomeWon]:[HomeWon]], Table1[[GameIsOver]:[GameIsOver]], 1, Table1[[AwayTeam]:[AwayTeam]], $A54, Table1[[HomeTeam]:[HomeTeam]],  B$36, Table1[[ActualResult]:[ActualResult]], "OT") + SUMIFS(Table1[[AwayWon]:[AwayWon]], Table1[[GameIsOver]:[GameIsOver]], 1, Table1[[HomeTeam]:[HomeTeam]], $A54, Table1[[AwayTeam]:[AwayTeam]], B$36, Table1[[ActualResult]:[ActualResult]], "OT") + SUMIFS(Table1[[HomeWon]:[HomeWon]], Table1[[GameIsOver]:[GameIsOver]], 1, Table1[[AwayTeam]:[AwayTeam]], $A54, Table1[[HomeTeam]:[HomeTeam]], B$36, Table1[[ActualResult]:[ActualResult]], "SO") + SUMIFS(Table1[[AwayWon]:[AwayWon]], Table1[[GameIsOver]:[GameIsOver]], 1, Table1[[HomeTeam]:[HomeTeam]], $A54, Table1[[AwayTeam]:[AwayTeam]], B$36, Table1[[ActualResult]:[ActualResult]], "SO")))/ (2*((COUNTIFS(Table1[[GameIsOver]:[GameIsOver]],1,Table1[[AwayTeam]:[AwayTeam]],$A54, Table1[[HomeTeam]:[HomeTeam]], B$36)))+( COUNTIFS(Table1[[GameIsOver]:[GameIsOver]],1,Table1[[AwayTeam]:[AwayTeam]],B$36, Table1[[HomeTeam]:[HomeTeam]],$A54))), "")</f>
        <v/>
      </c>
      <c r="C54" s="36" t="str">
        <f>IFERROR(((2 * (SUMIFS(Table1[[AwayWon]:[AwayWon]], Table1[[GameIsOver]:[GameIsOver]], 1, Table1[[AwayTeam]:[AwayTeam]], $A54, Table1[[HomeTeam]:[HomeTeam]], C$36) + SUMIFS(Table1[[HomeWon]:[HomeWon]], Table1[[GameIsOver]:[GameIsOver]], 1, Table1[[HomeTeam]:[HomeTeam]], $A54, Table1[[AwayTeam]:[AwayTeam]], C$36))) + (SUMIFS(Table1[[HomeWon]:[HomeWon]], Table1[[GameIsOver]:[GameIsOver]], 1, Table1[[AwayTeam]:[AwayTeam]], $A54, Table1[[HomeTeam]:[HomeTeam]],  C$36, Table1[[ActualResult]:[ActualResult]], "OT") + SUMIFS(Table1[[AwayWon]:[AwayWon]], Table1[[GameIsOver]:[GameIsOver]], 1, Table1[[HomeTeam]:[HomeTeam]], $A54, Table1[[AwayTeam]:[AwayTeam]], C$36, Table1[[ActualResult]:[ActualResult]], "OT") + SUMIFS(Table1[[HomeWon]:[HomeWon]], Table1[[GameIsOver]:[GameIsOver]], 1, Table1[[AwayTeam]:[AwayTeam]], $A54, Table1[[HomeTeam]:[HomeTeam]], C$36, Table1[[ActualResult]:[ActualResult]], "SO") + SUMIFS(Table1[[AwayWon]:[AwayWon]], Table1[[GameIsOver]:[GameIsOver]], 1, Table1[[HomeTeam]:[HomeTeam]], $A54, Table1[[AwayTeam]:[AwayTeam]], C$36, Table1[[ActualResult]:[ActualResult]], "SO")))/ (2*((COUNTIFS(Table1[[GameIsOver]:[GameIsOver]],1,Table1[[AwayTeam]:[AwayTeam]],$A54, Table1[[HomeTeam]:[HomeTeam]], C$36)))+( COUNTIFS(Table1[[GameIsOver]:[GameIsOver]],1,Table1[[AwayTeam]:[AwayTeam]],C$36, Table1[[HomeTeam]:[HomeTeam]],$A54))), "")</f>
        <v/>
      </c>
      <c r="D54" s="36" t="str">
        <f>IFERROR(((2 * (SUMIFS(Table1[[AwayWon]:[AwayWon]], Table1[[GameIsOver]:[GameIsOver]], 1, Table1[[AwayTeam]:[AwayTeam]], $A54, Table1[[HomeTeam]:[HomeTeam]], D$36) + SUMIFS(Table1[[HomeWon]:[HomeWon]], Table1[[GameIsOver]:[GameIsOver]], 1, Table1[[HomeTeam]:[HomeTeam]], $A54, Table1[[AwayTeam]:[AwayTeam]], D$36))) + (SUMIFS(Table1[[HomeWon]:[HomeWon]], Table1[[GameIsOver]:[GameIsOver]], 1, Table1[[AwayTeam]:[AwayTeam]], $A54, Table1[[HomeTeam]:[HomeTeam]],  D$36, Table1[[ActualResult]:[ActualResult]], "OT") + SUMIFS(Table1[[AwayWon]:[AwayWon]], Table1[[GameIsOver]:[GameIsOver]], 1, Table1[[HomeTeam]:[HomeTeam]], $A54, Table1[[AwayTeam]:[AwayTeam]], D$36, Table1[[ActualResult]:[ActualResult]], "OT") + SUMIFS(Table1[[HomeWon]:[HomeWon]], Table1[[GameIsOver]:[GameIsOver]], 1, Table1[[AwayTeam]:[AwayTeam]], $A54, Table1[[HomeTeam]:[HomeTeam]], D$36, Table1[[ActualResult]:[ActualResult]], "SO") + SUMIFS(Table1[[AwayWon]:[AwayWon]], Table1[[GameIsOver]:[GameIsOver]], 1, Table1[[HomeTeam]:[HomeTeam]], $A54, Table1[[AwayTeam]:[AwayTeam]], D$36, Table1[[ActualResult]:[ActualResult]], "SO")))/ (2*((COUNTIFS(Table1[[GameIsOver]:[GameIsOver]],1,Table1[[AwayTeam]:[AwayTeam]],$A54, Table1[[HomeTeam]:[HomeTeam]], D$36)))+( COUNTIFS(Table1[[GameIsOver]:[GameIsOver]],1,Table1[[AwayTeam]:[AwayTeam]],D$36, Table1[[HomeTeam]:[HomeTeam]],$A54))), "")</f>
        <v/>
      </c>
      <c r="E54" s="36" t="str">
        <f>IFERROR(((2 * (SUMIFS(Table1[[AwayWon]:[AwayWon]], Table1[[GameIsOver]:[GameIsOver]], 1, Table1[[AwayTeam]:[AwayTeam]], $A54, Table1[[HomeTeam]:[HomeTeam]], E$36) + SUMIFS(Table1[[HomeWon]:[HomeWon]], Table1[[GameIsOver]:[GameIsOver]], 1, Table1[[HomeTeam]:[HomeTeam]], $A54, Table1[[AwayTeam]:[AwayTeam]], E$36))) + (SUMIFS(Table1[[HomeWon]:[HomeWon]], Table1[[GameIsOver]:[GameIsOver]], 1, Table1[[AwayTeam]:[AwayTeam]], $A54, Table1[[HomeTeam]:[HomeTeam]],  E$36, Table1[[ActualResult]:[ActualResult]], "OT") + SUMIFS(Table1[[AwayWon]:[AwayWon]], Table1[[GameIsOver]:[GameIsOver]], 1, Table1[[HomeTeam]:[HomeTeam]], $A54, Table1[[AwayTeam]:[AwayTeam]], E$36, Table1[[ActualResult]:[ActualResult]], "OT") + SUMIFS(Table1[[HomeWon]:[HomeWon]], Table1[[GameIsOver]:[GameIsOver]], 1, Table1[[AwayTeam]:[AwayTeam]], $A54, Table1[[HomeTeam]:[HomeTeam]], E$36, Table1[[ActualResult]:[ActualResult]], "SO") + SUMIFS(Table1[[AwayWon]:[AwayWon]], Table1[[GameIsOver]:[GameIsOver]], 1, Table1[[HomeTeam]:[HomeTeam]], $A54, Table1[[AwayTeam]:[AwayTeam]], E$36, Table1[[ActualResult]:[ActualResult]], "SO")))/ (2*((COUNTIFS(Table1[[GameIsOver]:[GameIsOver]],1,Table1[[AwayTeam]:[AwayTeam]],$A54, Table1[[HomeTeam]:[HomeTeam]], E$36)))+( COUNTIFS(Table1[[GameIsOver]:[GameIsOver]],1,Table1[[AwayTeam]:[AwayTeam]],E$36, Table1[[HomeTeam]:[HomeTeam]],$A54))), "")</f>
        <v/>
      </c>
      <c r="F54" s="36" t="str">
        <f>IFERROR(((2 * (SUMIFS(Table1[[AwayWon]:[AwayWon]], Table1[[GameIsOver]:[GameIsOver]], 1, Table1[[AwayTeam]:[AwayTeam]], $A54, Table1[[HomeTeam]:[HomeTeam]], F$36) + SUMIFS(Table1[[HomeWon]:[HomeWon]], Table1[[GameIsOver]:[GameIsOver]], 1, Table1[[HomeTeam]:[HomeTeam]], $A54, Table1[[AwayTeam]:[AwayTeam]], F$36))) + (SUMIFS(Table1[[HomeWon]:[HomeWon]], Table1[[GameIsOver]:[GameIsOver]], 1, Table1[[AwayTeam]:[AwayTeam]], $A54, Table1[[HomeTeam]:[HomeTeam]],  F$36, Table1[[ActualResult]:[ActualResult]], "OT") + SUMIFS(Table1[[AwayWon]:[AwayWon]], Table1[[GameIsOver]:[GameIsOver]], 1, Table1[[HomeTeam]:[HomeTeam]], $A54, Table1[[AwayTeam]:[AwayTeam]], F$36, Table1[[ActualResult]:[ActualResult]], "OT") + SUMIFS(Table1[[HomeWon]:[HomeWon]], Table1[[GameIsOver]:[GameIsOver]], 1, Table1[[AwayTeam]:[AwayTeam]], $A54, Table1[[HomeTeam]:[HomeTeam]], F$36, Table1[[ActualResult]:[ActualResult]], "SO") + SUMIFS(Table1[[AwayWon]:[AwayWon]], Table1[[GameIsOver]:[GameIsOver]], 1, Table1[[HomeTeam]:[HomeTeam]], $A54, Table1[[AwayTeam]:[AwayTeam]], F$36, Table1[[ActualResult]:[ActualResult]], "SO")))/ (2*((COUNTIFS(Table1[[GameIsOver]:[GameIsOver]],1,Table1[[AwayTeam]:[AwayTeam]],$A54, Table1[[HomeTeam]:[HomeTeam]], F$36)))+( COUNTIFS(Table1[[GameIsOver]:[GameIsOver]],1,Table1[[AwayTeam]:[AwayTeam]],F$36, Table1[[HomeTeam]:[HomeTeam]],$A54))), "")</f>
        <v/>
      </c>
      <c r="G54" s="36" t="str">
        <f>IFERROR(((2 * (SUMIFS(Table1[[AwayWon]:[AwayWon]], Table1[[GameIsOver]:[GameIsOver]], 1, Table1[[AwayTeam]:[AwayTeam]], $A54, Table1[[HomeTeam]:[HomeTeam]], G$36) + SUMIFS(Table1[[HomeWon]:[HomeWon]], Table1[[GameIsOver]:[GameIsOver]], 1, Table1[[HomeTeam]:[HomeTeam]], $A54, Table1[[AwayTeam]:[AwayTeam]], G$36))) + (SUMIFS(Table1[[HomeWon]:[HomeWon]], Table1[[GameIsOver]:[GameIsOver]], 1, Table1[[AwayTeam]:[AwayTeam]], $A54, Table1[[HomeTeam]:[HomeTeam]],  G$36, Table1[[ActualResult]:[ActualResult]], "OT") + SUMIFS(Table1[[AwayWon]:[AwayWon]], Table1[[GameIsOver]:[GameIsOver]], 1, Table1[[HomeTeam]:[HomeTeam]], $A54, Table1[[AwayTeam]:[AwayTeam]], G$36, Table1[[ActualResult]:[ActualResult]], "OT") + SUMIFS(Table1[[HomeWon]:[HomeWon]], Table1[[GameIsOver]:[GameIsOver]], 1, Table1[[AwayTeam]:[AwayTeam]], $A54, Table1[[HomeTeam]:[HomeTeam]], G$36, Table1[[ActualResult]:[ActualResult]], "SO") + SUMIFS(Table1[[AwayWon]:[AwayWon]], Table1[[GameIsOver]:[GameIsOver]], 1, Table1[[HomeTeam]:[HomeTeam]], $A54, Table1[[AwayTeam]:[AwayTeam]], G$36, Table1[[ActualResult]:[ActualResult]], "SO")))/ (2*((COUNTIFS(Table1[[GameIsOver]:[GameIsOver]],1,Table1[[AwayTeam]:[AwayTeam]],$A54, Table1[[HomeTeam]:[HomeTeam]], G$36)))+( COUNTIFS(Table1[[GameIsOver]:[GameIsOver]],1,Table1[[AwayTeam]:[AwayTeam]],G$36, Table1[[HomeTeam]:[HomeTeam]],$A54))), "")</f>
        <v/>
      </c>
      <c r="H54" s="36" t="str">
        <f>IFERROR(((2 * (SUMIFS(Table1[[AwayWon]:[AwayWon]], Table1[[GameIsOver]:[GameIsOver]], 1, Table1[[AwayTeam]:[AwayTeam]], $A54, Table1[[HomeTeam]:[HomeTeam]], H$36) + SUMIFS(Table1[[HomeWon]:[HomeWon]], Table1[[GameIsOver]:[GameIsOver]], 1, Table1[[HomeTeam]:[HomeTeam]], $A54, Table1[[AwayTeam]:[AwayTeam]], H$36))) + (SUMIFS(Table1[[HomeWon]:[HomeWon]], Table1[[GameIsOver]:[GameIsOver]], 1, Table1[[AwayTeam]:[AwayTeam]], $A54, Table1[[HomeTeam]:[HomeTeam]],  H$36, Table1[[ActualResult]:[ActualResult]], "OT") + SUMIFS(Table1[[AwayWon]:[AwayWon]], Table1[[GameIsOver]:[GameIsOver]], 1, Table1[[HomeTeam]:[HomeTeam]], $A54, Table1[[AwayTeam]:[AwayTeam]], H$36, Table1[[ActualResult]:[ActualResult]], "OT") + SUMIFS(Table1[[HomeWon]:[HomeWon]], Table1[[GameIsOver]:[GameIsOver]], 1, Table1[[AwayTeam]:[AwayTeam]], $A54, Table1[[HomeTeam]:[HomeTeam]], H$36, Table1[[ActualResult]:[ActualResult]], "SO") + SUMIFS(Table1[[AwayWon]:[AwayWon]], Table1[[GameIsOver]:[GameIsOver]], 1, Table1[[HomeTeam]:[HomeTeam]], $A54, Table1[[AwayTeam]:[AwayTeam]], H$36, Table1[[ActualResult]:[ActualResult]], "SO")))/ (2*((COUNTIFS(Table1[[GameIsOver]:[GameIsOver]],1,Table1[[AwayTeam]:[AwayTeam]],$A54, Table1[[HomeTeam]:[HomeTeam]], H$36)))+( COUNTIFS(Table1[[GameIsOver]:[GameIsOver]],1,Table1[[AwayTeam]:[AwayTeam]],H$36, Table1[[HomeTeam]:[HomeTeam]],$A54))), "")</f>
        <v/>
      </c>
      <c r="I54" s="38" t="str">
        <f>IFERROR(((2 * (SUMIFS(Table1[[AwayWon]:[AwayWon]], Table1[[GameIsOver]:[GameIsOver]], 1, Table1[[AwayTeam]:[AwayTeam]], $A54, Table1[[HomeTeam]:[HomeTeam]], I$36) + SUMIFS(Table1[[HomeWon]:[HomeWon]], Table1[[GameIsOver]:[GameIsOver]], 1, Table1[[HomeTeam]:[HomeTeam]], $A54, Table1[[AwayTeam]:[AwayTeam]], I$36))) + (SUMIFS(Table1[[HomeWon]:[HomeWon]], Table1[[GameIsOver]:[GameIsOver]], 1, Table1[[AwayTeam]:[AwayTeam]], $A54, Table1[[HomeTeam]:[HomeTeam]],  I$36, Table1[[ActualResult]:[ActualResult]], "OT") + SUMIFS(Table1[[AwayWon]:[AwayWon]], Table1[[GameIsOver]:[GameIsOver]], 1, Table1[[HomeTeam]:[HomeTeam]], $A54, Table1[[AwayTeam]:[AwayTeam]], I$36, Table1[[ActualResult]:[ActualResult]], "OT") + SUMIFS(Table1[[HomeWon]:[HomeWon]], Table1[[GameIsOver]:[GameIsOver]], 1, Table1[[AwayTeam]:[AwayTeam]], $A54, Table1[[HomeTeam]:[HomeTeam]], I$36, Table1[[ActualResult]:[ActualResult]], "SO") + SUMIFS(Table1[[AwayWon]:[AwayWon]], Table1[[GameIsOver]:[GameIsOver]], 1, Table1[[HomeTeam]:[HomeTeam]], $A54, Table1[[AwayTeam]:[AwayTeam]], I$36, Table1[[ActualResult]:[ActualResult]], "SO")))/ (2*((COUNTIFS(Table1[[GameIsOver]:[GameIsOver]],1,Table1[[AwayTeam]:[AwayTeam]],$A54, Table1[[HomeTeam]:[HomeTeam]], I$36)))+( COUNTIFS(Table1[[GameIsOver]:[GameIsOver]],1,Table1[[AwayTeam]:[AwayTeam]],I$36, Table1[[HomeTeam]:[HomeTeam]],$A54))), "")</f>
        <v/>
      </c>
      <c r="J54" s="36" t="str">
        <f>IFERROR(((2 * (SUMIFS(Table1[[AwayWon]:[AwayWon]], Table1[[GameIsOver]:[GameIsOver]], 1, Table1[[AwayTeam]:[AwayTeam]], $A54, Table1[[HomeTeam]:[HomeTeam]], J$36) + SUMIFS(Table1[[HomeWon]:[HomeWon]], Table1[[GameIsOver]:[GameIsOver]], 1, Table1[[HomeTeam]:[HomeTeam]], $A54, Table1[[AwayTeam]:[AwayTeam]], J$36))) + (SUMIFS(Table1[[HomeWon]:[HomeWon]], Table1[[GameIsOver]:[GameIsOver]], 1, Table1[[AwayTeam]:[AwayTeam]], $A54, Table1[[HomeTeam]:[HomeTeam]],  J$36, Table1[[ActualResult]:[ActualResult]], "OT") + SUMIFS(Table1[[AwayWon]:[AwayWon]], Table1[[GameIsOver]:[GameIsOver]], 1, Table1[[HomeTeam]:[HomeTeam]], $A54, Table1[[AwayTeam]:[AwayTeam]], J$36, Table1[[ActualResult]:[ActualResult]], "OT") + SUMIFS(Table1[[HomeWon]:[HomeWon]], Table1[[GameIsOver]:[GameIsOver]], 1, Table1[[AwayTeam]:[AwayTeam]], $A54, Table1[[HomeTeam]:[HomeTeam]], J$36, Table1[[ActualResult]:[ActualResult]], "SO") + SUMIFS(Table1[[AwayWon]:[AwayWon]], Table1[[GameIsOver]:[GameIsOver]], 1, Table1[[HomeTeam]:[HomeTeam]], $A54, Table1[[AwayTeam]:[AwayTeam]], J$36, Table1[[ActualResult]:[ActualResult]], "SO")))/ (2*((COUNTIFS(Table1[[GameIsOver]:[GameIsOver]],1,Table1[[AwayTeam]:[AwayTeam]],$A54, Table1[[HomeTeam]:[HomeTeam]], J$36)))+( COUNTIFS(Table1[[GameIsOver]:[GameIsOver]],1,Table1[[AwayTeam]:[AwayTeam]],J$36, Table1[[HomeTeam]:[HomeTeam]],$A54))), "")</f>
        <v/>
      </c>
      <c r="K54" s="36" t="str">
        <f>IFERROR(((2 * (SUMIFS(Table1[[AwayWon]:[AwayWon]], Table1[[GameIsOver]:[GameIsOver]], 1, Table1[[AwayTeam]:[AwayTeam]], $A54, Table1[[HomeTeam]:[HomeTeam]], K$36) + SUMIFS(Table1[[HomeWon]:[HomeWon]], Table1[[GameIsOver]:[GameIsOver]], 1, Table1[[HomeTeam]:[HomeTeam]], $A54, Table1[[AwayTeam]:[AwayTeam]], K$36))) + (SUMIFS(Table1[[HomeWon]:[HomeWon]], Table1[[GameIsOver]:[GameIsOver]], 1, Table1[[AwayTeam]:[AwayTeam]], $A54, Table1[[HomeTeam]:[HomeTeam]],  K$36, Table1[[ActualResult]:[ActualResult]], "OT") + SUMIFS(Table1[[AwayWon]:[AwayWon]], Table1[[GameIsOver]:[GameIsOver]], 1, Table1[[HomeTeam]:[HomeTeam]], $A54, Table1[[AwayTeam]:[AwayTeam]], K$36, Table1[[ActualResult]:[ActualResult]], "OT") + SUMIFS(Table1[[HomeWon]:[HomeWon]], Table1[[GameIsOver]:[GameIsOver]], 1, Table1[[AwayTeam]:[AwayTeam]], $A54, Table1[[HomeTeam]:[HomeTeam]], K$36, Table1[[ActualResult]:[ActualResult]], "SO") + SUMIFS(Table1[[AwayWon]:[AwayWon]], Table1[[GameIsOver]:[GameIsOver]], 1, Table1[[HomeTeam]:[HomeTeam]], $A54, Table1[[AwayTeam]:[AwayTeam]], K$36, Table1[[ActualResult]:[ActualResult]], "SO")))/ (2*((COUNTIFS(Table1[[GameIsOver]:[GameIsOver]],1,Table1[[AwayTeam]:[AwayTeam]],$A54, Table1[[HomeTeam]:[HomeTeam]], K$36)))+( COUNTIFS(Table1[[GameIsOver]:[GameIsOver]],1,Table1[[AwayTeam]:[AwayTeam]],K$36, Table1[[HomeTeam]:[HomeTeam]],$A54))), "")</f>
        <v/>
      </c>
      <c r="L54" s="36" t="str">
        <f>IFERROR(((2 * (SUMIFS(Table1[[AwayWon]:[AwayWon]], Table1[[GameIsOver]:[GameIsOver]], 1, Table1[[AwayTeam]:[AwayTeam]], $A54, Table1[[HomeTeam]:[HomeTeam]], L$36) + SUMIFS(Table1[[HomeWon]:[HomeWon]], Table1[[GameIsOver]:[GameIsOver]], 1, Table1[[HomeTeam]:[HomeTeam]], $A54, Table1[[AwayTeam]:[AwayTeam]], L$36))) + (SUMIFS(Table1[[HomeWon]:[HomeWon]], Table1[[GameIsOver]:[GameIsOver]], 1, Table1[[AwayTeam]:[AwayTeam]], $A54, Table1[[HomeTeam]:[HomeTeam]],  L$36, Table1[[ActualResult]:[ActualResult]], "OT") + SUMIFS(Table1[[AwayWon]:[AwayWon]], Table1[[GameIsOver]:[GameIsOver]], 1, Table1[[HomeTeam]:[HomeTeam]], $A54, Table1[[AwayTeam]:[AwayTeam]], L$36, Table1[[ActualResult]:[ActualResult]], "OT") + SUMIFS(Table1[[HomeWon]:[HomeWon]], Table1[[GameIsOver]:[GameIsOver]], 1, Table1[[AwayTeam]:[AwayTeam]], $A54, Table1[[HomeTeam]:[HomeTeam]], L$36, Table1[[ActualResult]:[ActualResult]], "SO") + SUMIFS(Table1[[AwayWon]:[AwayWon]], Table1[[GameIsOver]:[GameIsOver]], 1, Table1[[HomeTeam]:[HomeTeam]], $A54, Table1[[AwayTeam]:[AwayTeam]], L$36, Table1[[ActualResult]:[ActualResult]], "SO")))/ (2*((COUNTIFS(Table1[[GameIsOver]:[GameIsOver]],1,Table1[[AwayTeam]:[AwayTeam]],$A54, Table1[[HomeTeam]:[HomeTeam]], L$36)))+( COUNTIFS(Table1[[GameIsOver]:[GameIsOver]],1,Table1[[AwayTeam]:[AwayTeam]],L$36, Table1[[HomeTeam]:[HomeTeam]],$A54))), "")</f>
        <v/>
      </c>
      <c r="M54" s="36" t="str">
        <f>IFERROR(((2 * (SUMIFS(Table1[[AwayWon]:[AwayWon]], Table1[[GameIsOver]:[GameIsOver]], 1, Table1[[AwayTeam]:[AwayTeam]], $A54, Table1[[HomeTeam]:[HomeTeam]], M$36) + SUMIFS(Table1[[HomeWon]:[HomeWon]], Table1[[GameIsOver]:[GameIsOver]], 1, Table1[[HomeTeam]:[HomeTeam]], $A54, Table1[[AwayTeam]:[AwayTeam]], M$36))) + (SUMIFS(Table1[[HomeWon]:[HomeWon]], Table1[[GameIsOver]:[GameIsOver]], 1, Table1[[AwayTeam]:[AwayTeam]], $A54, Table1[[HomeTeam]:[HomeTeam]],  M$36, Table1[[ActualResult]:[ActualResult]], "OT") + SUMIFS(Table1[[AwayWon]:[AwayWon]], Table1[[GameIsOver]:[GameIsOver]], 1, Table1[[HomeTeam]:[HomeTeam]], $A54, Table1[[AwayTeam]:[AwayTeam]], M$36, Table1[[ActualResult]:[ActualResult]], "OT") + SUMIFS(Table1[[HomeWon]:[HomeWon]], Table1[[GameIsOver]:[GameIsOver]], 1, Table1[[AwayTeam]:[AwayTeam]], $A54, Table1[[HomeTeam]:[HomeTeam]], M$36, Table1[[ActualResult]:[ActualResult]], "SO") + SUMIFS(Table1[[AwayWon]:[AwayWon]], Table1[[GameIsOver]:[GameIsOver]], 1, Table1[[HomeTeam]:[HomeTeam]], $A54, Table1[[AwayTeam]:[AwayTeam]], M$36, Table1[[ActualResult]:[ActualResult]], "SO")))/ (2*((COUNTIFS(Table1[[GameIsOver]:[GameIsOver]],1,Table1[[AwayTeam]:[AwayTeam]],$A54, Table1[[HomeTeam]:[HomeTeam]], M$36)))+( COUNTIFS(Table1[[GameIsOver]:[GameIsOver]],1,Table1[[AwayTeam]:[AwayTeam]],M$36, Table1[[HomeTeam]:[HomeTeam]],$A54))), "")</f>
        <v/>
      </c>
      <c r="N54" s="36" t="str">
        <f>IFERROR(((2 * (SUMIFS(Table1[[AwayWon]:[AwayWon]], Table1[[GameIsOver]:[GameIsOver]], 1, Table1[[AwayTeam]:[AwayTeam]], $A54, Table1[[HomeTeam]:[HomeTeam]], N$36) + SUMIFS(Table1[[HomeWon]:[HomeWon]], Table1[[GameIsOver]:[GameIsOver]], 1, Table1[[HomeTeam]:[HomeTeam]], $A54, Table1[[AwayTeam]:[AwayTeam]], N$36))) + (SUMIFS(Table1[[HomeWon]:[HomeWon]], Table1[[GameIsOver]:[GameIsOver]], 1, Table1[[AwayTeam]:[AwayTeam]], $A54, Table1[[HomeTeam]:[HomeTeam]],  N$36, Table1[[ActualResult]:[ActualResult]], "OT") + SUMIFS(Table1[[AwayWon]:[AwayWon]], Table1[[GameIsOver]:[GameIsOver]], 1, Table1[[HomeTeam]:[HomeTeam]], $A54, Table1[[AwayTeam]:[AwayTeam]], N$36, Table1[[ActualResult]:[ActualResult]], "OT") + SUMIFS(Table1[[HomeWon]:[HomeWon]], Table1[[GameIsOver]:[GameIsOver]], 1, Table1[[AwayTeam]:[AwayTeam]], $A54, Table1[[HomeTeam]:[HomeTeam]], N$36, Table1[[ActualResult]:[ActualResult]], "SO") + SUMIFS(Table1[[AwayWon]:[AwayWon]], Table1[[GameIsOver]:[GameIsOver]], 1, Table1[[HomeTeam]:[HomeTeam]], $A54, Table1[[AwayTeam]:[AwayTeam]], N$36, Table1[[ActualResult]:[ActualResult]], "SO")))/ (2*((COUNTIFS(Table1[[GameIsOver]:[GameIsOver]],1,Table1[[AwayTeam]:[AwayTeam]],$A54, Table1[[HomeTeam]:[HomeTeam]], N$36)))+( COUNTIFS(Table1[[GameIsOver]:[GameIsOver]],1,Table1[[AwayTeam]:[AwayTeam]],N$36, Table1[[HomeTeam]:[HomeTeam]],$A54))), "")</f>
        <v/>
      </c>
      <c r="O54" s="36" t="str">
        <f>IFERROR(((2 * (SUMIFS(Table1[[AwayWon]:[AwayWon]], Table1[[GameIsOver]:[GameIsOver]], 1, Table1[[AwayTeam]:[AwayTeam]], $A54, Table1[[HomeTeam]:[HomeTeam]], O$36) + SUMIFS(Table1[[HomeWon]:[HomeWon]], Table1[[GameIsOver]:[GameIsOver]], 1, Table1[[HomeTeam]:[HomeTeam]], $A54, Table1[[AwayTeam]:[AwayTeam]], O$36))) + (SUMIFS(Table1[[HomeWon]:[HomeWon]], Table1[[GameIsOver]:[GameIsOver]], 1, Table1[[AwayTeam]:[AwayTeam]], $A54, Table1[[HomeTeam]:[HomeTeam]],  O$36, Table1[[ActualResult]:[ActualResult]], "OT") + SUMIFS(Table1[[AwayWon]:[AwayWon]], Table1[[GameIsOver]:[GameIsOver]], 1, Table1[[HomeTeam]:[HomeTeam]], $A54, Table1[[AwayTeam]:[AwayTeam]], O$36, Table1[[ActualResult]:[ActualResult]], "OT") + SUMIFS(Table1[[HomeWon]:[HomeWon]], Table1[[GameIsOver]:[GameIsOver]], 1, Table1[[AwayTeam]:[AwayTeam]], $A54, Table1[[HomeTeam]:[HomeTeam]], O$36, Table1[[ActualResult]:[ActualResult]], "SO") + SUMIFS(Table1[[AwayWon]:[AwayWon]], Table1[[GameIsOver]:[GameIsOver]], 1, Table1[[HomeTeam]:[HomeTeam]], $A54, Table1[[AwayTeam]:[AwayTeam]], O$36, Table1[[ActualResult]:[ActualResult]], "SO")))/ (2*((COUNTIFS(Table1[[GameIsOver]:[GameIsOver]],1,Table1[[AwayTeam]:[AwayTeam]],$A54, Table1[[HomeTeam]:[HomeTeam]], O$36)))+( COUNTIFS(Table1[[GameIsOver]:[GameIsOver]],1,Table1[[AwayTeam]:[AwayTeam]],O$36, Table1[[HomeTeam]:[HomeTeam]],$A54))), "")</f>
        <v/>
      </c>
      <c r="P54" s="36" t="str">
        <f>IFERROR(((2 * (SUMIFS(Table1[[AwayWon]:[AwayWon]], Table1[[GameIsOver]:[GameIsOver]], 1, Table1[[AwayTeam]:[AwayTeam]], $A54, Table1[[HomeTeam]:[HomeTeam]], P$36) + SUMIFS(Table1[[HomeWon]:[HomeWon]], Table1[[GameIsOver]:[GameIsOver]], 1, Table1[[HomeTeam]:[HomeTeam]], $A54, Table1[[AwayTeam]:[AwayTeam]], P$36))) + (SUMIFS(Table1[[HomeWon]:[HomeWon]], Table1[[GameIsOver]:[GameIsOver]], 1, Table1[[AwayTeam]:[AwayTeam]], $A54, Table1[[HomeTeam]:[HomeTeam]],  P$36, Table1[[ActualResult]:[ActualResult]], "OT") + SUMIFS(Table1[[AwayWon]:[AwayWon]], Table1[[GameIsOver]:[GameIsOver]], 1, Table1[[HomeTeam]:[HomeTeam]], $A54, Table1[[AwayTeam]:[AwayTeam]], P$36, Table1[[ActualResult]:[ActualResult]], "OT") + SUMIFS(Table1[[HomeWon]:[HomeWon]], Table1[[GameIsOver]:[GameIsOver]], 1, Table1[[AwayTeam]:[AwayTeam]], $A54, Table1[[HomeTeam]:[HomeTeam]], P$36, Table1[[ActualResult]:[ActualResult]], "SO") + SUMIFS(Table1[[AwayWon]:[AwayWon]], Table1[[GameIsOver]:[GameIsOver]], 1, Table1[[HomeTeam]:[HomeTeam]], $A54, Table1[[AwayTeam]:[AwayTeam]], P$36, Table1[[ActualResult]:[ActualResult]], "SO")))/ (2*((COUNTIFS(Table1[[GameIsOver]:[GameIsOver]],1,Table1[[AwayTeam]:[AwayTeam]],$A54, Table1[[HomeTeam]:[HomeTeam]], P$36)))+( COUNTIFS(Table1[[GameIsOver]:[GameIsOver]],1,Table1[[AwayTeam]:[AwayTeam]],P$36, Table1[[HomeTeam]:[HomeTeam]],$A54))), "")</f>
        <v/>
      </c>
      <c r="Q54" s="38" t="str">
        <f>IFERROR(((2 * (SUMIFS(Table1[[AwayWon]:[AwayWon]], Table1[[GameIsOver]:[GameIsOver]], 1, Table1[[AwayTeam]:[AwayTeam]], $A54, Table1[[HomeTeam]:[HomeTeam]], Q$36) + SUMIFS(Table1[[HomeWon]:[HomeWon]], Table1[[GameIsOver]:[GameIsOver]], 1, Table1[[HomeTeam]:[HomeTeam]], $A54, Table1[[AwayTeam]:[AwayTeam]], Q$36))) + (SUMIFS(Table1[[HomeWon]:[HomeWon]], Table1[[GameIsOver]:[GameIsOver]], 1, Table1[[AwayTeam]:[AwayTeam]], $A54, Table1[[HomeTeam]:[HomeTeam]],  Q$36, Table1[[ActualResult]:[ActualResult]], "OT") + SUMIFS(Table1[[AwayWon]:[AwayWon]], Table1[[GameIsOver]:[GameIsOver]], 1, Table1[[HomeTeam]:[HomeTeam]], $A54, Table1[[AwayTeam]:[AwayTeam]], Q$36, Table1[[ActualResult]:[ActualResult]], "OT") + SUMIFS(Table1[[HomeWon]:[HomeWon]], Table1[[GameIsOver]:[GameIsOver]], 1, Table1[[AwayTeam]:[AwayTeam]], $A54, Table1[[HomeTeam]:[HomeTeam]], Q$36, Table1[[ActualResult]:[ActualResult]], "SO") + SUMIFS(Table1[[AwayWon]:[AwayWon]], Table1[[GameIsOver]:[GameIsOver]], 1, Table1[[HomeTeam]:[HomeTeam]], $A54, Table1[[AwayTeam]:[AwayTeam]], Q$36, Table1[[ActualResult]:[ActualResult]], "SO")))/ (2*((COUNTIFS(Table1[[GameIsOver]:[GameIsOver]],1,Table1[[AwayTeam]:[AwayTeam]],$A54, Table1[[HomeTeam]:[HomeTeam]], Q$36)))+( COUNTIFS(Table1[[GameIsOver]:[GameIsOver]],1,Table1[[AwayTeam]:[AwayTeam]],Q$36, Table1[[HomeTeam]:[HomeTeam]],$A54))), "")</f>
        <v/>
      </c>
      <c r="R54" s="36" t="str">
        <f>IFERROR(((2 * (SUMIFS(Table1[[AwayWon]:[AwayWon]], Table1[[GameIsOver]:[GameIsOver]], 1, Table1[[AwayTeam]:[AwayTeam]], $A54, Table1[[HomeTeam]:[HomeTeam]], R$36) + SUMIFS(Table1[[HomeWon]:[HomeWon]], Table1[[GameIsOver]:[GameIsOver]], 1, Table1[[HomeTeam]:[HomeTeam]], $A54, Table1[[AwayTeam]:[AwayTeam]], R$36))) + (SUMIFS(Table1[[HomeWon]:[HomeWon]], Table1[[GameIsOver]:[GameIsOver]], 1, Table1[[AwayTeam]:[AwayTeam]], $A54, Table1[[HomeTeam]:[HomeTeam]],  R$36, Table1[[ActualResult]:[ActualResult]], "OT") + SUMIFS(Table1[[AwayWon]:[AwayWon]], Table1[[GameIsOver]:[GameIsOver]], 1, Table1[[HomeTeam]:[HomeTeam]], $A54, Table1[[AwayTeam]:[AwayTeam]], R$36, Table1[[ActualResult]:[ActualResult]], "OT") + SUMIFS(Table1[[HomeWon]:[HomeWon]], Table1[[GameIsOver]:[GameIsOver]], 1, Table1[[AwayTeam]:[AwayTeam]], $A54, Table1[[HomeTeam]:[HomeTeam]], R$36, Table1[[ActualResult]:[ActualResult]], "SO") + SUMIFS(Table1[[AwayWon]:[AwayWon]], Table1[[GameIsOver]:[GameIsOver]], 1, Table1[[HomeTeam]:[HomeTeam]], $A54, Table1[[AwayTeam]:[AwayTeam]], R$36, Table1[[ActualResult]:[ActualResult]], "SO")))/ (2*((COUNTIFS(Table1[[GameIsOver]:[GameIsOver]],1,Table1[[AwayTeam]:[AwayTeam]],$A54, Table1[[HomeTeam]:[HomeTeam]], R$36)))+( COUNTIFS(Table1[[GameIsOver]:[GameIsOver]],1,Table1[[AwayTeam]:[AwayTeam]],R$36, Table1[[HomeTeam]:[HomeTeam]],$A54))), "")</f>
        <v/>
      </c>
      <c r="S54" s="36" t="str">
        <f>IFERROR(((2 * (SUMIFS(Table1[[AwayWon]:[AwayWon]], Table1[[GameIsOver]:[GameIsOver]], 1, Table1[[AwayTeam]:[AwayTeam]], $A54, Table1[[HomeTeam]:[HomeTeam]], S$36) + SUMIFS(Table1[[HomeWon]:[HomeWon]], Table1[[GameIsOver]:[GameIsOver]], 1, Table1[[HomeTeam]:[HomeTeam]], $A54, Table1[[AwayTeam]:[AwayTeam]], S$36))) + (SUMIFS(Table1[[HomeWon]:[HomeWon]], Table1[[GameIsOver]:[GameIsOver]], 1, Table1[[AwayTeam]:[AwayTeam]], $A54, Table1[[HomeTeam]:[HomeTeam]],  S$36, Table1[[ActualResult]:[ActualResult]], "OT") + SUMIFS(Table1[[AwayWon]:[AwayWon]], Table1[[GameIsOver]:[GameIsOver]], 1, Table1[[HomeTeam]:[HomeTeam]], $A54, Table1[[AwayTeam]:[AwayTeam]], S$36, Table1[[ActualResult]:[ActualResult]], "OT") + SUMIFS(Table1[[HomeWon]:[HomeWon]], Table1[[GameIsOver]:[GameIsOver]], 1, Table1[[AwayTeam]:[AwayTeam]], $A54, Table1[[HomeTeam]:[HomeTeam]], S$36, Table1[[ActualResult]:[ActualResult]], "SO") + SUMIFS(Table1[[AwayWon]:[AwayWon]], Table1[[GameIsOver]:[GameIsOver]], 1, Table1[[HomeTeam]:[HomeTeam]], $A54, Table1[[AwayTeam]:[AwayTeam]], S$36, Table1[[ActualResult]:[ActualResult]], "SO")))/ (2*((COUNTIFS(Table1[[GameIsOver]:[GameIsOver]],1,Table1[[AwayTeam]:[AwayTeam]],$A54, Table1[[HomeTeam]:[HomeTeam]], S$36)))+( COUNTIFS(Table1[[GameIsOver]:[GameIsOver]],1,Table1[[AwayTeam]:[AwayTeam]],S$36, Table1[[HomeTeam]:[HomeTeam]],$A54))), "")</f>
        <v/>
      </c>
      <c r="T54" s="36" t="str">
        <f>IFERROR(((2 * (SUMIFS(Table1[[AwayWon]:[AwayWon]], Table1[[GameIsOver]:[GameIsOver]], 1, Table1[[AwayTeam]:[AwayTeam]], $A54, Table1[[HomeTeam]:[HomeTeam]], T$36) + SUMIFS(Table1[[HomeWon]:[HomeWon]], Table1[[GameIsOver]:[GameIsOver]], 1, Table1[[HomeTeam]:[HomeTeam]], $A54, Table1[[AwayTeam]:[AwayTeam]], T$36))) + (SUMIFS(Table1[[HomeWon]:[HomeWon]], Table1[[GameIsOver]:[GameIsOver]], 1, Table1[[AwayTeam]:[AwayTeam]], $A54, Table1[[HomeTeam]:[HomeTeam]],  T$36, Table1[[ActualResult]:[ActualResult]], "OT") + SUMIFS(Table1[[AwayWon]:[AwayWon]], Table1[[GameIsOver]:[GameIsOver]], 1, Table1[[HomeTeam]:[HomeTeam]], $A54, Table1[[AwayTeam]:[AwayTeam]], T$36, Table1[[ActualResult]:[ActualResult]], "OT") + SUMIFS(Table1[[HomeWon]:[HomeWon]], Table1[[GameIsOver]:[GameIsOver]], 1, Table1[[AwayTeam]:[AwayTeam]], $A54, Table1[[HomeTeam]:[HomeTeam]], T$36, Table1[[ActualResult]:[ActualResult]], "SO") + SUMIFS(Table1[[AwayWon]:[AwayWon]], Table1[[GameIsOver]:[GameIsOver]], 1, Table1[[HomeTeam]:[HomeTeam]], $A54, Table1[[AwayTeam]:[AwayTeam]], T$36, Table1[[ActualResult]:[ActualResult]], "SO")))/ (2*((COUNTIFS(Table1[[GameIsOver]:[GameIsOver]],1,Table1[[AwayTeam]:[AwayTeam]],$A54, Table1[[HomeTeam]:[HomeTeam]], T$36)))+( COUNTIFS(Table1[[GameIsOver]:[GameIsOver]],1,Table1[[AwayTeam]:[AwayTeam]],T$36, Table1[[HomeTeam]:[HomeTeam]],$A54))), "")</f>
        <v/>
      </c>
      <c r="U54" s="36" t="str">
        <f>IFERROR(((2 * (SUMIFS(Table1[[AwayWon]:[AwayWon]], Table1[[GameIsOver]:[GameIsOver]], 1, Table1[[AwayTeam]:[AwayTeam]], $A54, Table1[[HomeTeam]:[HomeTeam]], U$36) + SUMIFS(Table1[[HomeWon]:[HomeWon]], Table1[[GameIsOver]:[GameIsOver]], 1, Table1[[HomeTeam]:[HomeTeam]], $A54, Table1[[AwayTeam]:[AwayTeam]], U$36))) + (SUMIFS(Table1[[HomeWon]:[HomeWon]], Table1[[GameIsOver]:[GameIsOver]], 1, Table1[[AwayTeam]:[AwayTeam]], $A54, Table1[[HomeTeam]:[HomeTeam]],  U$36, Table1[[ActualResult]:[ActualResult]], "OT") + SUMIFS(Table1[[AwayWon]:[AwayWon]], Table1[[GameIsOver]:[GameIsOver]], 1, Table1[[HomeTeam]:[HomeTeam]], $A54, Table1[[AwayTeam]:[AwayTeam]], U$36, Table1[[ActualResult]:[ActualResult]], "OT") + SUMIFS(Table1[[HomeWon]:[HomeWon]], Table1[[GameIsOver]:[GameIsOver]], 1, Table1[[AwayTeam]:[AwayTeam]], $A54, Table1[[HomeTeam]:[HomeTeam]], U$36, Table1[[ActualResult]:[ActualResult]], "SO") + SUMIFS(Table1[[AwayWon]:[AwayWon]], Table1[[GameIsOver]:[GameIsOver]], 1, Table1[[HomeTeam]:[HomeTeam]], $A54, Table1[[AwayTeam]:[AwayTeam]], U$36, Table1[[ActualResult]:[ActualResult]], "SO")))/ (2*((COUNTIFS(Table1[[GameIsOver]:[GameIsOver]],1,Table1[[AwayTeam]:[AwayTeam]],$A54, Table1[[HomeTeam]:[HomeTeam]], U$36)))+( COUNTIFS(Table1[[GameIsOver]:[GameIsOver]],1,Table1[[AwayTeam]:[AwayTeam]],U$36, Table1[[HomeTeam]:[HomeTeam]],$A54))), "")</f>
        <v/>
      </c>
      <c r="V54" s="36" t="str">
        <f>IFERROR(((2 * (SUMIFS(Table1[[AwayWon]:[AwayWon]], Table1[[GameIsOver]:[GameIsOver]], 1, Table1[[AwayTeam]:[AwayTeam]], $A54, Table1[[HomeTeam]:[HomeTeam]], V$36) + SUMIFS(Table1[[HomeWon]:[HomeWon]], Table1[[GameIsOver]:[GameIsOver]], 1, Table1[[HomeTeam]:[HomeTeam]], $A54, Table1[[AwayTeam]:[AwayTeam]], V$36))) + (SUMIFS(Table1[[HomeWon]:[HomeWon]], Table1[[GameIsOver]:[GameIsOver]], 1, Table1[[AwayTeam]:[AwayTeam]], $A54, Table1[[HomeTeam]:[HomeTeam]],  V$36, Table1[[ActualResult]:[ActualResult]], "OT") + SUMIFS(Table1[[AwayWon]:[AwayWon]], Table1[[GameIsOver]:[GameIsOver]], 1, Table1[[HomeTeam]:[HomeTeam]], $A54, Table1[[AwayTeam]:[AwayTeam]], V$36, Table1[[ActualResult]:[ActualResult]], "OT") + SUMIFS(Table1[[HomeWon]:[HomeWon]], Table1[[GameIsOver]:[GameIsOver]], 1, Table1[[AwayTeam]:[AwayTeam]], $A54, Table1[[HomeTeam]:[HomeTeam]], V$36, Table1[[ActualResult]:[ActualResult]], "SO") + SUMIFS(Table1[[AwayWon]:[AwayWon]], Table1[[GameIsOver]:[GameIsOver]], 1, Table1[[HomeTeam]:[HomeTeam]], $A54, Table1[[AwayTeam]:[AwayTeam]], V$36, Table1[[ActualResult]:[ActualResult]], "SO")))/ (2*((COUNTIFS(Table1[[GameIsOver]:[GameIsOver]],1,Table1[[AwayTeam]:[AwayTeam]],$A54, Table1[[HomeTeam]:[HomeTeam]], V$36)))+( COUNTIFS(Table1[[GameIsOver]:[GameIsOver]],1,Table1[[AwayTeam]:[AwayTeam]],V$36, Table1[[HomeTeam]:[HomeTeam]],$A54))), "")</f>
        <v/>
      </c>
      <c r="W54" s="36" t="str">
        <f>IFERROR(((2 * (SUMIFS(Table1[[AwayWon]:[AwayWon]], Table1[[GameIsOver]:[GameIsOver]], 1, Table1[[AwayTeam]:[AwayTeam]], $A54, Table1[[HomeTeam]:[HomeTeam]], W$36) + SUMIFS(Table1[[HomeWon]:[HomeWon]], Table1[[GameIsOver]:[GameIsOver]], 1, Table1[[HomeTeam]:[HomeTeam]], $A54, Table1[[AwayTeam]:[AwayTeam]], W$36))) + (SUMIFS(Table1[[HomeWon]:[HomeWon]], Table1[[GameIsOver]:[GameIsOver]], 1, Table1[[AwayTeam]:[AwayTeam]], $A54, Table1[[HomeTeam]:[HomeTeam]],  W$36, Table1[[ActualResult]:[ActualResult]], "OT") + SUMIFS(Table1[[AwayWon]:[AwayWon]], Table1[[GameIsOver]:[GameIsOver]], 1, Table1[[HomeTeam]:[HomeTeam]], $A54, Table1[[AwayTeam]:[AwayTeam]], W$36, Table1[[ActualResult]:[ActualResult]], "OT") + SUMIFS(Table1[[HomeWon]:[HomeWon]], Table1[[GameIsOver]:[GameIsOver]], 1, Table1[[AwayTeam]:[AwayTeam]], $A54, Table1[[HomeTeam]:[HomeTeam]], W$36, Table1[[ActualResult]:[ActualResult]], "SO") + SUMIFS(Table1[[AwayWon]:[AwayWon]], Table1[[GameIsOver]:[GameIsOver]], 1, Table1[[HomeTeam]:[HomeTeam]], $A54, Table1[[AwayTeam]:[AwayTeam]], W$36, Table1[[ActualResult]:[ActualResult]], "SO")))/ (2*((COUNTIFS(Table1[[GameIsOver]:[GameIsOver]],1,Table1[[AwayTeam]:[AwayTeam]],$A54, Table1[[HomeTeam]:[HomeTeam]], W$36)))+( COUNTIFS(Table1[[GameIsOver]:[GameIsOver]],1,Table1[[AwayTeam]:[AwayTeam]],W$36, Table1[[HomeTeam]:[HomeTeam]],$A54))), "")</f>
        <v/>
      </c>
      <c r="X54" s="36" t="str">
        <f>IFERROR(((2 * (SUMIFS(Table1[[AwayWon]:[AwayWon]], Table1[[GameIsOver]:[GameIsOver]], 1, Table1[[AwayTeam]:[AwayTeam]], $A54, Table1[[HomeTeam]:[HomeTeam]], X$36) + SUMIFS(Table1[[HomeWon]:[HomeWon]], Table1[[GameIsOver]:[GameIsOver]], 1, Table1[[HomeTeam]:[HomeTeam]], $A54, Table1[[AwayTeam]:[AwayTeam]], X$36))) + (SUMIFS(Table1[[HomeWon]:[HomeWon]], Table1[[GameIsOver]:[GameIsOver]], 1, Table1[[AwayTeam]:[AwayTeam]], $A54, Table1[[HomeTeam]:[HomeTeam]],  X$36, Table1[[ActualResult]:[ActualResult]], "OT") + SUMIFS(Table1[[AwayWon]:[AwayWon]], Table1[[GameIsOver]:[GameIsOver]], 1, Table1[[HomeTeam]:[HomeTeam]], $A54, Table1[[AwayTeam]:[AwayTeam]], X$36, Table1[[ActualResult]:[ActualResult]], "OT") + SUMIFS(Table1[[HomeWon]:[HomeWon]], Table1[[GameIsOver]:[GameIsOver]], 1, Table1[[AwayTeam]:[AwayTeam]], $A54, Table1[[HomeTeam]:[HomeTeam]], X$36, Table1[[ActualResult]:[ActualResult]], "SO") + SUMIFS(Table1[[AwayWon]:[AwayWon]], Table1[[GameIsOver]:[GameIsOver]], 1, Table1[[HomeTeam]:[HomeTeam]], $A54, Table1[[AwayTeam]:[AwayTeam]], X$36, Table1[[ActualResult]:[ActualResult]], "SO")))/ (2*((COUNTIFS(Table1[[GameIsOver]:[GameIsOver]],1,Table1[[AwayTeam]:[AwayTeam]],$A54, Table1[[HomeTeam]:[HomeTeam]], X$36)))+( COUNTIFS(Table1[[GameIsOver]:[GameIsOver]],1,Table1[[AwayTeam]:[AwayTeam]],X$36, Table1[[HomeTeam]:[HomeTeam]],$A54))), "")</f>
        <v/>
      </c>
      <c r="Y54" s="38" t="str">
        <f>IFERROR(((2 * (SUMIFS(Table1[[AwayWon]:[AwayWon]], Table1[[GameIsOver]:[GameIsOver]], 1, Table1[[AwayTeam]:[AwayTeam]], $A54, Table1[[HomeTeam]:[HomeTeam]], Y$36) + SUMIFS(Table1[[HomeWon]:[HomeWon]], Table1[[GameIsOver]:[GameIsOver]], 1, Table1[[HomeTeam]:[HomeTeam]], $A54, Table1[[AwayTeam]:[AwayTeam]], Y$36))) + (SUMIFS(Table1[[HomeWon]:[HomeWon]], Table1[[GameIsOver]:[GameIsOver]], 1, Table1[[AwayTeam]:[AwayTeam]], $A54, Table1[[HomeTeam]:[HomeTeam]],  Y$36, Table1[[ActualResult]:[ActualResult]], "OT") + SUMIFS(Table1[[AwayWon]:[AwayWon]], Table1[[GameIsOver]:[GameIsOver]], 1, Table1[[HomeTeam]:[HomeTeam]], $A54, Table1[[AwayTeam]:[AwayTeam]], Y$36, Table1[[ActualResult]:[ActualResult]], "OT") + SUMIFS(Table1[[HomeWon]:[HomeWon]], Table1[[GameIsOver]:[GameIsOver]], 1, Table1[[AwayTeam]:[AwayTeam]], $A54, Table1[[HomeTeam]:[HomeTeam]], Y$36, Table1[[ActualResult]:[ActualResult]], "SO") + SUMIFS(Table1[[AwayWon]:[AwayWon]], Table1[[GameIsOver]:[GameIsOver]], 1, Table1[[HomeTeam]:[HomeTeam]], $A54, Table1[[AwayTeam]:[AwayTeam]], Y$36, Table1[[ActualResult]:[ActualResult]], "SO")))/ (2*((COUNTIFS(Table1[[GameIsOver]:[GameIsOver]],1,Table1[[AwayTeam]:[AwayTeam]],$A54, Table1[[HomeTeam]:[HomeTeam]], Y$36)))+( COUNTIFS(Table1[[GameIsOver]:[GameIsOver]],1,Table1[[AwayTeam]:[AwayTeam]],Y$36, Table1[[HomeTeam]:[HomeTeam]],$A54))), "")</f>
        <v/>
      </c>
      <c r="Z54" s="36" t="str">
        <f>IFERROR(((2 * (SUMIFS(Table1[[AwayWon]:[AwayWon]], Table1[[GameIsOver]:[GameIsOver]], 1, Table1[[AwayTeam]:[AwayTeam]], $A54, Table1[[HomeTeam]:[HomeTeam]], Z$36) + SUMIFS(Table1[[HomeWon]:[HomeWon]], Table1[[GameIsOver]:[GameIsOver]], 1, Table1[[HomeTeam]:[HomeTeam]], $A54, Table1[[AwayTeam]:[AwayTeam]], Z$36))) + (SUMIFS(Table1[[HomeWon]:[HomeWon]], Table1[[GameIsOver]:[GameIsOver]], 1, Table1[[AwayTeam]:[AwayTeam]], $A54, Table1[[HomeTeam]:[HomeTeam]],  Z$36, Table1[[ActualResult]:[ActualResult]], "OT") + SUMIFS(Table1[[AwayWon]:[AwayWon]], Table1[[GameIsOver]:[GameIsOver]], 1, Table1[[HomeTeam]:[HomeTeam]], $A54, Table1[[AwayTeam]:[AwayTeam]], Z$36, Table1[[ActualResult]:[ActualResult]], "OT") + SUMIFS(Table1[[HomeWon]:[HomeWon]], Table1[[GameIsOver]:[GameIsOver]], 1, Table1[[AwayTeam]:[AwayTeam]], $A54, Table1[[HomeTeam]:[HomeTeam]], Z$36, Table1[[ActualResult]:[ActualResult]], "SO") + SUMIFS(Table1[[AwayWon]:[AwayWon]], Table1[[GameIsOver]:[GameIsOver]], 1, Table1[[HomeTeam]:[HomeTeam]], $A54, Table1[[AwayTeam]:[AwayTeam]], Z$36, Table1[[ActualResult]:[ActualResult]], "SO")))/ (2*((COUNTIFS(Table1[[GameIsOver]:[GameIsOver]],1,Table1[[AwayTeam]:[AwayTeam]],$A54, Table1[[HomeTeam]:[HomeTeam]], Z$36)))+( COUNTIFS(Table1[[GameIsOver]:[GameIsOver]],1,Table1[[AwayTeam]:[AwayTeam]],Z$36, Table1[[HomeTeam]:[HomeTeam]],$A54))), "")</f>
        <v/>
      </c>
      <c r="AA54" s="36">
        <f>IFERROR(((2 * (SUMIFS(Table1[[AwayWon]:[AwayWon]], Table1[[GameIsOver]:[GameIsOver]], 1, Table1[[AwayTeam]:[AwayTeam]], $A54, Table1[[HomeTeam]:[HomeTeam]], AA$36) + SUMIFS(Table1[[HomeWon]:[HomeWon]], Table1[[GameIsOver]:[GameIsOver]], 1, Table1[[HomeTeam]:[HomeTeam]], $A54, Table1[[AwayTeam]:[AwayTeam]], AA$36))) + (SUMIFS(Table1[[HomeWon]:[HomeWon]], Table1[[GameIsOver]:[GameIsOver]], 1, Table1[[AwayTeam]:[AwayTeam]], $A54, Table1[[HomeTeam]:[HomeTeam]],  AA$36, Table1[[ActualResult]:[ActualResult]], "OT") + SUMIFS(Table1[[AwayWon]:[AwayWon]], Table1[[GameIsOver]:[GameIsOver]], 1, Table1[[HomeTeam]:[HomeTeam]], $A54, Table1[[AwayTeam]:[AwayTeam]], AA$36, Table1[[ActualResult]:[ActualResult]], "OT") + SUMIFS(Table1[[HomeWon]:[HomeWon]], Table1[[GameIsOver]:[GameIsOver]], 1, Table1[[AwayTeam]:[AwayTeam]], $A54, Table1[[HomeTeam]:[HomeTeam]], AA$36, Table1[[ActualResult]:[ActualResult]], "SO") + SUMIFS(Table1[[AwayWon]:[AwayWon]], Table1[[GameIsOver]:[GameIsOver]], 1, Table1[[HomeTeam]:[HomeTeam]], $A54, Table1[[AwayTeam]:[AwayTeam]], AA$36, Table1[[ActualResult]:[ActualResult]], "SO")))/ (2*((COUNTIFS(Table1[[GameIsOver]:[GameIsOver]],1,Table1[[AwayTeam]:[AwayTeam]],$A54, Table1[[HomeTeam]:[HomeTeam]], AA$36)))+( COUNTIFS(Table1[[GameIsOver]:[GameIsOver]],1,Table1[[AwayTeam]:[AwayTeam]],AA$36, Table1[[HomeTeam]:[HomeTeam]],$A54))), "")</f>
        <v>2</v>
      </c>
      <c r="AB54" s="36" t="str">
        <f>IFERROR(((2 * (SUMIFS(Table1[[AwayWon]:[AwayWon]], Table1[[GameIsOver]:[GameIsOver]], 1, Table1[[AwayTeam]:[AwayTeam]], $A54, Table1[[HomeTeam]:[HomeTeam]], AB$36) + SUMIFS(Table1[[HomeWon]:[HomeWon]], Table1[[GameIsOver]:[GameIsOver]], 1, Table1[[HomeTeam]:[HomeTeam]], $A54, Table1[[AwayTeam]:[AwayTeam]], AB$36))) + (SUMIFS(Table1[[HomeWon]:[HomeWon]], Table1[[GameIsOver]:[GameIsOver]], 1, Table1[[AwayTeam]:[AwayTeam]], $A54, Table1[[HomeTeam]:[HomeTeam]],  AB$36, Table1[[ActualResult]:[ActualResult]], "OT") + SUMIFS(Table1[[AwayWon]:[AwayWon]], Table1[[GameIsOver]:[GameIsOver]], 1, Table1[[HomeTeam]:[HomeTeam]], $A54, Table1[[AwayTeam]:[AwayTeam]], AB$36, Table1[[ActualResult]:[ActualResult]], "OT") + SUMIFS(Table1[[HomeWon]:[HomeWon]], Table1[[GameIsOver]:[GameIsOver]], 1, Table1[[AwayTeam]:[AwayTeam]], $A54, Table1[[HomeTeam]:[HomeTeam]], AB$36, Table1[[ActualResult]:[ActualResult]], "SO") + SUMIFS(Table1[[AwayWon]:[AwayWon]], Table1[[GameIsOver]:[GameIsOver]], 1, Table1[[HomeTeam]:[HomeTeam]], $A54, Table1[[AwayTeam]:[AwayTeam]], AB$36, Table1[[ActualResult]:[ActualResult]], "SO")))/ (2*((COUNTIFS(Table1[[GameIsOver]:[GameIsOver]],1,Table1[[AwayTeam]:[AwayTeam]],$A54, Table1[[HomeTeam]:[HomeTeam]], AB$36)))+( COUNTIFS(Table1[[GameIsOver]:[GameIsOver]],1,Table1[[AwayTeam]:[AwayTeam]],AB$36, Table1[[HomeTeam]:[HomeTeam]],$A54))), "")</f>
        <v/>
      </c>
      <c r="AC54" s="36" t="str">
        <f>IFERROR(((2 * (SUMIFS(Table1[[AwayWon]:[AwayWon]], Table1[[GameIsOver]:[GameIsOver]], 1, Table1[[AwayTeam]:[AwayTeam]], $A54, Table1[[HomeTeam]:[HomeTeam]], AC$36) + SUMIFS(Table1[[HomeWon]:[HomeWon]], Table1[[GameIsOver]:[GameIsOver]], 1, Table1[[HomeTeam]:[HomeTeam]], $A54, Table1[[AwayTeam]:[AwayTeam]], AC$36))) + (SUMIFS(Table1[[HomeWon]:[HomeWon]], Table1[[GameIsOver]:[GameIsOver]], 1, Table1[[AwayTeam]:[AwayTeam]], $A54, Table1[[HomeTeam]:[HomeTeam]],  AC$36, Table1[[ActualResult]:[ActualResult]], "OT") + SUMIFS(Table1[[AwayWon]:[AwayWon]], Table1[[GameIsOver]:[GameIsOver]], 1, Table1[[HomeTeam]:[HomeTeam]], $A54, Table1[[AwayTeam]:[AwayTeam]], AC$36, Table1[[ActualResult]:[ActualResult]], "OT") + SUMIFS(Table1[[HomeWon]:[HomeWon]], Table1[[GameIsOver]:[GameIsOver]], 1, Table1[[AwayTeam]:[AwayTeam]], $A54, Table1[[HomeTeam]:[HomeTeam]], AC$36, Table1[[ActualResult]:[ActualResult]], "SO") + SUMIFS(Table1[[AwayWon]:[AwayWon]], Table1[[GameIsOver]:[GameIsOver]], 1, Table1[[HomeTeam]:[HomeTeam]], $A54, Table1[[AwayTeam]:[AwayTeam]], AC$36, Table1[[ActualResult]:[ActualResult]], "SO")))/ (2*((COUNTIFS(Table1[[GameIsOver]:[GameIsOver]],1,Table1[[AwayTeam]:[AwayTeam]],$A54, Table1[[HomeTeam]:[HomeTeam]], AC$36)))+( COUNTIFS(Table1[[GameIsOver]:[GameIsOver]],1,Table1[[AwayTeam]:[AwayTeam]],AC$36, Table1[[HomeTeam]:[HomeTeam]],$A54))), "")</f>
        <v/>
      </c>
      <c r="AD54" s="36" t="str">
        <f>IFERROR(((2 * (SUMIFS(Table1[[AwayWon]:[AwayWon]], Table1[[GameIsOver]:[GameIsOver]], 1, Table1[[AwayTeam]:[AwayTeam]], $A54, Table1[[HomeTeam]:[HomeTeam]], AD$36) + SUMIFS(Table1[[HomeWon]:[HomeWon]], Table1[[GameIsOver]:[GameIsOver]], 1, Table1[[HomeTeam]:[HomeTeam]], $A54, Table1[[AwayTeam]:[AwayTeam]], AD$36))) + (SUMIFS(Table1[[HomeWon]:[HomeWon]], Table1[[GameIsOver]:[GameIsOver]], 1, Table1[[AwayTeam]:[AwayTeam]], $A54, Table1[[HomeTeam]:[HomeTeam]],  AD$36, Table1[[ActualResult]:[ActualResult]], "OT") + SUMIFS(Table1[[AwayWon]:[AwayWon]], Table1[[GameIsOver]:[GameIsOver]], 1, Table1[[HomeTeam]:[HomeTeam]], $A54, Table1[[AwayTeam]:[AwayTeam]], AD$36, Table1[[ActualResult]:[ActualResult]], "OT") + SUMIFS(Table1[[HomeWon]:[HomeWon]], Table1[[GameIsOver]:[GameIsOver]], 1, Table1[[AwayTeam]:[AwayTeam]], $A54, Table1[[HomeTeam]:[HomeTeam]], AD$36, Table1[[ActualResult]:[ActualResult]], "SO") + SUMIFS(Table1[[AwayWon]:[AwayWon]], Table1[[GameIsOver]:[GameIsOver]], 1, Table1[[HomeTeam]:[HomeTeam]], $A54, Table1[[AwayTeam]:[AwayTeam]], AD$36, Table1[[ActualResult]:[ActualResult]], "SO")))/ (2*((COUNTIFS(Table1[[GameIsOver]:[GameIsOver]],1,Table1[[AwayTeam]:[AwayTeam]],$A54, Table1[[HomeTeam]:[HomeTeam]], AD$36)))+( COUNTIFS(Table1[[GameIsOver]:[GameIsOver]],1,Table1[[AwayTeam]:[AwayTeam]],AD$36, Table1[[HomeTeam]:[HomeTeam]],$A54))), "")</f>
        <v/>
      </c>
      <c r="AE54" s="36" t="str">
        <f>IFERROR(((2 * (SUMIFS(Table1[[AwayWon]:[AwayWon]], Table1[[GameIsOver]:[GameIsOver]], 1, Table1[[AwayTeam]:[AwayTeam]], $A54, Table1[[HomeTeam]:[HomeTeam]], AE$36) + SUMIFS(Table1[[HomeWon]:[HomeWon]], Table1[[GameIsOver]:[GameIsOver]], 1, Table1[[HomeTeam]:[HomeTeam]], $A54, Table1[[AwayTeam]:[AwayTeam]], AE$36))) + (SUMIFS(Table1[[HomeWon]:[HomeWon]], Table1[[GameIsOver]:[GameIsOver]], 1, Table1[[AwayTeam]:[AwayTeam]], $A54, Table1[[HomeTeam]:[HomeTeam]],  AE$36, Table1[[ActualResult]:[ActualResult]], "OT") + SUMIFS(Table1[[AwayWon]:[AwayWon]], Table1[[GameIsOver]:[GameIsOver]], 1, Table1[[HomeTeam]:[HomeTeam]], $A54, Table1[[AwayTeam]:[AwayTeam]], AE$36, Table1[[ActualResult]:[ActualResult]], "OT") + SUMIFS(Table1[[HomeWon]:[HomeWon]], Table1[[GameIsOver]:[GameIsOver]], 1, Table1[[AwayTeam]:[AwayTeam]], $A54, Table1[[HomeTeam]:[HomeTeam]], AE$36, Table1[[ActualResult]:[ActualResult]], "SO") + SUMIFS(Table1[[AwayWon]:[AwayWon]], Table1[[GameIsOver]:[GameIsOver]], 1, Table1[[HomeTeam]:[HomeTeam]], $A54, Table1[[AwayTeam]:[AwayTeam]], AE$36, Table1[[ActualResult]:[ActualResult]], "SO")))/ (2*((COUNTIFS(Table1[[GameIsOver]:[GameIsOver]],1,Table1[[AwayTeam]:[AwayTeam]],$A54, Table1[[HomeTeam]:[HomeTeam]], AE$36)))+( COUNTIFS(Table1[[GameIsOver]:[GameIsOver]],1,Table1[[AwayTeam]:[AwayTeam]],AE$36, Table1[[HomeTeam]:[HomeTeam]],$A54))), "")</f>
        <v/>
      </c>
      <c r="AF54" s="36" t="str">
        <f>IFERROR(((2 * (SUMIFS(Table1[[AwayWon]:[AwayWon]], Table1[[GameIsOver]:[GameIsOver]], 1, Table1[[AwayTeam]:[AwayTeam]], $A54, Table1[[HomeTeam]:[HomeTeam]], AF$36) + SUMIFS(Table1[[HomeWon]:[HomeWon]], Table1[[GameIsOver]:[GameIsOver]], 1, Table1[[HomeTeam]:[HomeTeam]], $A54, Table1[[AwayTeam]:[AwayTeam]], AF$36))) + (SUMIFS(Table1[[HomeWon]:[HomeWon]], Table1[[GameIsOver]:[GameIsOver]], 1, Table1[[AwayTeam]:[AwayTeam]], $A54, Table1[[HomeTeam]:[HomeTeam]],  AF$36, Table1[[ActualResult]:[ActualResult]], "OT") + SUMIFS(Table1[[AwayWon]:[AwayWon]], Table1[[GameIsOver]:[GameIsOver]], 1, Table1[[HomeTeam]:[HomeTeam]], $A54, Table1[[AwayTeam]:[AwayTeam]], AF$36, Table1[[ActualResult]:[ActualResult]], "OT") + SUMIFS(Table1[[HomeWon]:[HomeWon]], Table1[[GameIsOver]:[GameIsOver]], 1, Table1[[AwayTeam]:[AwayTeam]], $A54, Table1[[HomeTeam]:[HomeTeam]], AF$36, Table1[[ActualResult]:[ActualResult]], "SO") + SUMIFS(Table1[[AwayWon]:[AwayWon]], Table1[[GameIsOver]:[GameIsOver]], 1, Table1[[HomeTeam]:[HomeTeam]], $A54, Table1[[AwayTeam]:[AwayTeam]], AF$36, Table1[[ActualResult]:[ActualResult]], "SO")))/ (2*((COUNTIFS(Table1[[GameIsOver]:[GameIsOver]],1,Table1[[AwayTeam]:[AwayTeam]],$A54, Table1[[HomeTeam]:[HomeTeam]], AF$36)))+( COUNTIFS(Table1[[GameIsOver]:[GameIsOver]],1,Table1[[AwayTeam]:[AwayTeam]],AF$36, Table1[[HomeTeam]:[HomeTeam]],$A54))), "")</f>
        <v/>
      </c>
      <c r="AG54" s="36" t="str">
        <f>IFERROR(((2 * (SUMIFS(Table1[[AwayWon]:[AwayWon]], Table1[[GameIsOver]:[GameIsOver]], 1, Table1[[AwayTeam]:[AwayTeam]], $A54, Table1[[HomeTeam]:[HomeTeam]], AG$36) + SUMIFS(Table1[[HomeWon]:[HomeWon]], Table1[[GameIsOver]:[GameIsOver]], 1, Table1[[HomeTeam]:[HomeTeam]], $A54, Table1[[AwayTeam]:[AwayTeam]], AG$36))) + (SUMIFS(Table1[[HomeWon]:[HomeWon]], Table1[[GameIsOver]:[GameIsOver]], 1, Table1[[AwayTeam]:[AwayTeam]], $A54, Table1[[HomeTeam]:[HomeTeam]],  AG$36, Table1[[ActualResult]:[ActualResult]], "OT") + SUMIFS(Table1[[AwayWon]:[AwayWon]], Table1[[GameIsOver]:[GameIsOver]], 1, Table1[[HomeTeam]:[HomeTeam]], $A54, Table1[[AwayTeam]:[AwayTeam]], AG$36, Table1[[ActualResult]:[ActualResult]], "OT") + SUMIFS(Table1[[HomeWon]:[HomeWon]], Table1[[GameIsOver]:[GameIsOver]], 1, Table1[[AwayTeam]:[AwayTeam]], $A54, Table1[[HomeTeam]:[HomeTeam]], AG$36, Table1[[ActualResult]:[ActualResult]], "SO") + SUMIFS(Table1[[AwayWon]:[AwayWon]], Table1[[GameIsOver]:[GameIsOver]], 1, Table1[[HomeTeam]:[HomeTeam]], $A54, Table1[[AwayTeam]:[AwayTeam]], AG$36, Table1[[ActualResult]:[ActualResult]], "SO")))/ (2*((COUNTIFS(Table1[[GameIsOver]:[GameIsOver]],1,Table1[[AwayTeam]:[AwayTeam]],$A54, Table1[[HomeTeam]:[HomeTeam]], AG$36)))+( COUNTIFS(Table1[[GameIsOver]:[GameIsOver]],1,Table1[[AwayTeam]:[AwayTeam]],AG$36, Table1[[HomeTeam]:[HomeTeam]],$A54))), "")</f>
        <v/>
      </c>
      <c r="AH54" s="37">
        <f t="shared" si="0"/>
        <v>2</v>
      </c>
      <c r="AI54" s="37" t="e">
        <f t="shared" si="1"/>
        <v>#DIV/0!</v>
      </c>
      <c r="AJ54" s="38">
        <f t="shared" si="2"/>
        <v>2</v>
      </c>
      <c r="AK54" s="38" t="e">
        <f t="shared" si="3"/>
        <v>#DIV/0!</v>
      </c>
      <c r="AL54" s="38" t="e">
        <f t="shared" si="4"/>
        <v>#DIV/0!</v>
      </c>
      <c r="AM54" s="38" t="e">
        <f t="shared" si="5"/>
        <v>#DIV/0!</v>
      </c>
    </row>
    <row r="55" spans="1:39" x14ac:dyDescent="0.25">
      <c r="A55" s="17" t="s">
        <v>49</v>
      </c>
      <c r="B55" s="36" t="str">
        <f>IFERROR(((2 * (SUMIFS(Table1[[AwayWon]:[AwayWon]], Table1[[GameIsOver]:[GameIsOver]], 1, Table1[[AwayTeam]:[AwayTeam]], $A55, Table1[[HomeTeam]:[HomeTeam]], B$36) + SUMIFS(Table1[[HomeWon]:[HomeWon]], Table1[[GameIsOver]:[GameIsOver]], 1, Table1[[HomeTeam]:[HomeTeam]], $A55, Table1[[AwayTeam]:[AwayTeam]], B$36))) + (SUMIFS(Table1[[HomeWon]:[HomeWon]], Table1[[GameIsOver]:[GameIsOver]], 1, Table1[[AwayTeam]:[AwayTeam]], $A55, Table1[[HomeTeam]:[HomeTeam]],  B$36, Table1[[ActualResult]:[ActualResult]], "OT") + SUMIFS(Table1[[AwayWon]:[AwayWon]], Table1[[GameIsOver]:[GameIsOver]], 1, Table1[[HomeTeam]:[HomeTeam]], $A55, Table1[[AwayTeam]:[AwayTeam]], B$36, Table1[[ActualResult]:[ActualResult]], "OT") + SUMIFS(Table1[[HomeWon]:[HomeWon]], Table1[[GameIsOver]:[GameIsOver]], 1, Table1[[AwayTeam]:[AwayTeam]], $A55, Table1[[HomeTeam]:[HomeTeam]], B$36, Table1[[ActualResult]:[ActualResult]], "SO") + SUMIFS(Table1[[AwayWon]:[AwayWon]], Table1[[GameIsOver]:[GameIsOver]], 1, Table1[[HomeTeam]:[HomeTeam]], $A55, Table1[[AwayTeam]:[AwayTeam]], B$36, Table1[[ActualResult]:[ActualResult]], "SO")))/ (2*((COUNTIFS(Table1[[GameIsOver]:[GameIsOver]],1,Table1[[AwayTeam]:[AwayTeam]],$A55, Table1[[HomeTeam]:[HomeTeam]], B$36)))+( COUNTIFS(Table1[[GameIsOver]:[GameIsOver]],1,Table1[[AwayTeam]:[AwayTeam]],B$36, Table1[[HomeTeam]:[HomeTeam]],$A55))), "")</f>
        <v/>
      </c>
      <c r="C55" s="36" t="str">
        <f>IFERROR(((2 * (SUMIFS(Table1[[AwayWon]:[AwayWon]], Table1[[GameIsOver]:[GameIsOver]], 1, Table1[[AwayTeam]:[AwayTeam]], $A55, Table1[[HomeTeam]:[HomeTeam]], C$36) + SUMIFS(Table1[[HomeWon]:[HomeWon]], Table1[[GameIsOver]:[GameIsOver]], 1, Table1[[HomeTeam]:[HomeTeam]], $A55, Table1[[AwayTeam]:[AwayTeam]], C$36))) + (SUMIFS(Table1[[HomeWon]:[HomeWon]], Table1[[GameIsOver]:[GameIsOver]], 1, Table1[[AwayTeam]:[AwayTeam]], $A55, Table1[[HomeTeam]:[HomeTeam]],  C$36, Table1[[ActualResult]:[ActualResult]], "OT") + SUMIFS(Table1[[AwayWon]:[AwayWon]], Table1[[GameIsOver]:[GameIsOver]], 1, Table1[[HomeTeam]:[HomeTeam]], $A55, Table1[[AwayTeam]:[AwayTeam]], C$36, Table1[[ActualResult]:[ActualResult]], "OT") + SUMIFS(Table1[[HomeWon]:[HomeWon]], Table1[[GameIsOver]:[GameIsOver]], 1, Table1[[AwayTeam]:[AwayTeam]], $A55, Table1[[HomeTeam]:[HomeTeam]], C$36, Table1[[ActualResult]:[ActualResult]], "SO") + SUMIFS(Table1[[AwayWon]:[AwayWon]], Table1[[GameIsOver]:[GameIsOver]], 1, Table1[[HomeTeam]:[HomeTeam]], $A55, Table1[[AwayTeam]:[AwayTeam]], C$36, Table1[[ActualResult]:[ActualResult]], "SO")))/ (2*((COUNTIFS(Table1[[GameIsOver]:[GameIsOver]],1,Table1[[AwayTeam]:[AwayTeam]],$A55, Table1[[HomeTeam]:[HomeTeam]], C$36)))+( COUNTIFS(Table1[[GameIsOver]:[GameIsOver]],1,Table1[[AwayTeam]:[AwayTeam]],C$36, Table1[[HomeTeam]:[HomeTeam]],$A55))), "")</f>
        <v/>
      </c>
      <c r="D55" s="36" t="str">
        <f>IFERROR(((2 * (SUMIFS(Table1[[AwayWon]:[AwayWon]], Table1[[GameIsOver]:[GameIsOver]], 1, Table1[[AwayTeam]:[AwayTeam]], $A55, Table1[[HomeTeam]:[HomeTeam]], D$36) + SUMIFS(Table1[[HomeWon]:[HomeWon]], Table1[[GameIsOver]:[GameIsOver]], 1, Table1[[HomeTeam]:[HomeTeam]], $A55, Table1[[AwayTeam]:[AwayTeam]], D$36))) + (SUMIFS(Table1[[HomeWon]:[HomeWon]], Table1[[GameIsOver]:[GameIsOver]], 1, Table1[[AwayTeam]:[AwayTeam]], $A55, Table1[[HomeTeam]:[HomeTeam]],  D$36, Table1[[ActualResult]:[ActualResult]], "OT") + SUMIFS(Table1[[AwayWon]:[AwayWon]], Table1[[GameIsOver]:[GameIsOver]], 1, Table1[[HomeTeam]:[HomeTeam]], $A55, Table1[[AwayTeam]:[AwayTeam]], D$36, Table1[[ActualResult]:[ActualResult]], "OT") + SUMIFS(Table1[[HomeWon]:[HomeWon]], Table1[[GameIsOver]:[GameIsOver]], 1, Table1[[AwayTeam]:[AwayTeam]], $A55, Table1[[HomeTeam]:[HomeTeam]], D$36, Table1[[ActualResult]:[ActualResult]], "SO") + SUMIFS(Table1[[AwayWon]:[AwayWon]], Table1[[GameIsOver]:[GameIsOver]], 1, Table1[[HomeTeam]:[HomeTeam]], $A55, Table1[[AwayTeam]:[AwayTeam]], D$36, Table1[[ActualResult]:[ActualResult]], "SO")))/ (2*((COUNTIFS(Table1[[GameIsOver]:[GameIsOver]],1,Table1[[AwayTeam]:[AwayTeam]],$A55, Table1[[HomeTeam]:[HomeTeam]], D$36)))+( COUNTIFS(Table1[[GameIsOver]:[GameIsOver]],1,Table1[[AwayTeam]:[AwayTeam]],D$36, Table1[[HomeTeam]:[HomeTeam]],$A55))), "")</f>
        <v/>
      </c>
      <c r="E55" s="36" t="str">
        <f>IFERROR(((2 * (SUMIFS(Table1[[AwayWon]:[AwayWon]], Table1[[GameIsOver]:[GameIsOver]], 1, Table1[[AwayTeam]:[AwayTeam]], $A55, Table1[[HomeTeam]:[HomeTeam]], E$36) + SUMIFS(Table1[[HomeWon]:[HomeWon]], Table1[[GameIsOver]:[GameIsOver]], 1, Table1[[HomeTeam]:[HomeTeam]], $A55, Table1[[AwayTeam]:[AwayTeam]], E$36))) + (SUMIFS(Table1[[HomeWon]:[HomeWon]], Table1[[GameIsOver]:[GameIsOver]], 1, Table1[[AwayTeam]:[AwayTeam]], $A55, Table1[[HomeTeam]:[HomeTeam]],  E$36, Table1[[ActualResult]:[ActualResult]], "OT") + SUMIFS(Table1[[AwayWon]:[AwayWon]], Table1[[GameIsOver]:[GameIsOver]], 1, Table1[[HomeTeam]:[HomeTeam]], $A55, Table1[[AwayTeam]:[AwayTeam]], E$36, Table1[[ActualResult]:[ActualResult]], "OT") + SUMIFS(Table1[[HomeWon]:[HomeWon]], Table1[[GameIsOver]:[GameIsOver]], 1, Table1[[AwayTeam]:[AwayTeam]], $A55, Table1[[HomeTeam]:[HomeTeam]], E$36, Table1[[ActualResult]:[ActualResult]], "SO") + SUMIFS(Table1[[AwayWon]:[AwayWon]], Table1[[GameIsOver]:[GameIsOver]], 1, Table1[[HomeTeam]:[HomeTeam]], $A55, Table1[[AwayTeam]:[AwayTeam]], E$36, Table1[[ActualResult]:[ActualResult]], "SO")))/ (2*((COUNTIFS(Table1[[GameIsOver]:[GameIsOver]],1,Table1[[AwayTeam]:[AwayTeam]],$A55, Table1[[HomeTeam]:[HomeTeam]], E$36)))+( COUNTIFS(Table1[[GameIsOver]:[GameIsOver]],1,Table1[[AwayTeam]:[AwayTeam]],E$36, Table1[[HomeTeam]:[HomeTeam]],$A55))), "")</f>
        <v/>
      </c>
      <c r="F55" s="36" t="str">
        <f>IFERROR(((2 * (SUMIFS(Table1[[AwayWon]:[AwayWon]], Table1[[GameIsOver]:[GameIsOver]], 1, Table1[[AwayTeam]:[AwayTeam]], $A55, Table1[[HomeTeam]:[HomeTeam]], F$36) + SUMIFS(Table1[[HomeWon]:[HomeWon]], Table1[[GameIsOver]:[GameIsOver]], 1, Table1[[HomeTeam]:[HomeTeam]], $A55, Table1[[AwayTeam]:[AwayTeam]], F$36))) + (SUMIFS(Table1[[HomeWon]:[HomeWon]], Table1[[GameIsOver]:[GameIsOver]], 1, Table1[[AwayTeam]:[AwayTeam]], $A55, Table1[[HomeTeam]:[HomeTeam]],  F$36, Table1[[ActualResult]:[ActualResult]], "OT") + SUMIFS(Table1[[AwayWon]:[AwayWon]], Table1[[GameIsOver]:[GameIsOver]], 1, Table1[[HomeTeam]:[HomeTeam]], $A55, Table1[[AwayTeam]:[AwayTeam]], F$36, Table1[[ActualResult]:[ActualResult]], "OT") + SUMIFS(Table1[[HomeWon]:[HomeWon]], Table1[[GameIsOver]:[GameIsOver]], 1, Table1[[AwayTeam]:[AwayTeam]], $A55, Table1[[HomeTeam]:[HomeTeam]], F$36, Table1[[ActualResult]:[ActualResult]], "SO") + SUMIFS(Table1[[AwayWon]:[AwayWon]], Table1[[GameIsOver]:[GameIsOver]], 1, Table1[[HomeTeam]:[HomeTeam]], $A55, Table1[[AwayTeam]:[AwayTeam]], F$36, Table1[[ActualResult]:[ActualResult]], "SO")))/ (2*((COUNTIFS(Table1[[GameIsOver]:[GameIsOver]],1,Table1[[AwayTeam]:[AwayTeam]],$A55, Table1[[HomeTeam]:[HomeTeam]], F$36)))+( COUNTIFS(Table1[[GameIsOver]:[GameIsOver]],1,Table1[[AwayTeam]:[AwayTeam]],F$36, Table1[[HomeTeam]:[HomeTeam]],$A55))), "")</f>
        <v/>
      </c>
      <c r="G55" s="36" t="str">
        <f>IFERROR(((2 * (SUMIFS(Table1[[AwayWon]:[AwayWon]], Table1[[GameIsOver]:[GameIsOver]], 1, Table1[[AwayTeam]:[AwayTeam]], $A55, Table1[[HomeTeam]:[HomeTeam]], G$36) + SUMIFS(Table1[[HomeWon]:[HomeWon]], Table1[[GameIsOver]:[GameIsOver]], 1, Table1[[HomeTeam]:[HomeTeam]], $A55, Table1[[AwayTeam]:[AwayTeam]], G$36))) + (SUMIFS(Table1[[HomeWon]:[HomeWon]], Table1[[GameIsOver]:[GameIsOver]], 1, Table1[[AwayTeam]:[AwayTeam]], $A55, Table1[[HomeTeam]:[HomeTeam]],  G$36, Table1[[ActualResult]:[ActualResult]], "OT") + SUMIFS(Table1[[AwayWon]:[AwayWon]], Table1[[GameIsOver]:[GameIsOver]], 1, Table1[[HomeTeam]:[HomeTeam]], $A55, Table1[[AwayTeam]:[AwayTeam]], G$36, Table1[[ActualResult]:[ActualResult]], "OT") + SUMIFS(Table1[[HomeWon]:[HomeWon]], Table1[[GameIsOver]:[GameIsOver]], 1, Table1[[AwayTeam]:[AwayTeam]], $A55, Table1[[HomeTeam]:[HomeTeam]], G$36, Table1[[ActualResult]:[ActualResult]], "SO") + SUMIFS(Table1[[AwayWon]:[AwayWon]], Table1[[GameIsOver]:[GameIsOver]], 1, Table1[[HomeTeam]:[HomeTeam]], $A55, Table1[[AwayTeam]:[AwayTeam]], G$36, Table1[[ActualResult]:[ActualResult]], "SO")))/ (2*((COUNTIFS(Table1[[GameIsOver]:[GameIsOver]],1,Table1[[AwayTeam]:[AwayTeam]],$A55, Table1[[HomeTeam]:[HomeTeam]], G$36)))+( COUNTIFS(Table1[[GameIsOver]:[GameIsOver]],1,Table1[[AwayTeam]:[AwayTeam]],G$36, Table1[[HomeTeam]:[HomeTeam]],$A55))), "")</f>
        <v/>
      </c>
      <c r="H55" s="36" t="str">
        <f>IFERROR(((2 * (SUMIFS(Table1[[AwayWon]:[AwayWon]], Table1[[GameIsOver]:[GameIsOver]], 1, Table1[[AwayTeam]:[AwayTeam]], $A55, Table1[[HomeTeam]:[HomeTeam]], H$36) + SUMIFS(Table1[[HomeWon]:[HomeWon]], Table1[[GameIsOver]:[GameIsOver]], 1, Table1[[HomeTeam]:[HomeTeam]], $A55, Table1[[AwayTeam]:[AwayTeam]], H$36))) + (SUMIFS(Table1[[HomeWon]:[HomeWon]], Table1[[GameIsOver]:[GameIsOver]], 1, Table1[[AwayTeam]:[AwayTeam]], $A55, Table1[[HomeTeam]:[HomeTeam]],  H$36, Table1[[ActualResult]:[ActualResult]], "OT") + SUMIFS(Table1[[AwayWon]:[AwayWon]], Table1[[GameIsOver]:[GameIsOver]], 1, Table1[[HomeTeam]:[HomeTeam]], $A55, Table1[[AwayTeam]:[AwayTeam]], H$36, Table1[[ActualResult]:[ActualResult]], "OT") + SUMIFS(Table1[[HomeWon]:[HomeWon]], Table1[[GameIsOver]:[GameIsOver]], 1, Table1[[AwayTeam]:[AwayTeam]], $A55, Table1[[HomeTeam]:[HomeTeam]], H$36, Table1[[ActualResult]:[ActualResult]], "SO") + SUMIFS(Table1[[AwayWon]:[AwayWon]], Table1[[GameIsOver]:[GameIsOver]], 1, Table1[[HomeTeam]:[HomeTeam]], $A55, Table1[[AwayTeam]:[AwayTeam]], H$36, Table1[[ActualResult]:[ActualResult]], "SO")))/ (2*((COUNTIFS(Table1[[GameIsOver]:[GameIsOver]],1,Table1[[AwayTeam]:[AwayTeam]],$A55, Table1[[HomeTeam]:[HomeTeam]], H$36)))+( COUNTIFS(Table1[[GameIsOver]:[GameIsOver]],1,Table1[[AwayTeam]:[AwayTeam]],H$36, Table1[[HomeTeam]:[HomeTeam]],$A55))), "")</f>
        <v/>
      </c>
      <c r="I55" s="38" t="str">
        <f>IFERROR(((2 * (SUMIFS(Table1[[AwayWon]:[AwayWon]], Table1[[GameIsOver]:[GameIsOver]], 1, Table1[[AwayTeam]:[AwayTeam]], $A55, Table1[[HomeTeam]:[HomeTeam]], I$36) + SUMIFS(Table1[[HomeWon]:[HomeWon]], Table1[[GameIsOver]:[GameIsOver]], 1, Table1[[HomeTeam]:[HomeTeam]], $A55, Table1[[AwayTeam]:[AwayTeam]], I$36))) + (SUMIFS(Table1[[HomeWon]:[HomeWon]], Table1[[GameIsOver]:[GameIsOver]], 1, Table1[[AwayTeam]:[AwayTeam]], $A55, Table1[[HomeTeam]:[HomeTeam]],  I$36, Table1[[ActualResult]:[ActualResult]], "OT") + SUMIFS(Table1[[AwayWon]:[AwayWon]], Table1[[GameIsOver]:[GameIsOver]], 1, Table1[[HomeTeam]:[HomeTeam]], $A55, Table1[[AwayTeam]:[AwayTeam]], I$36, Table1[[ActualResult]:[ActualResult]], "OT") + SUMIFS(Table1[[HomeWon]:[HomeWon]], Table1[[GameIsOver]:[GameIsOver]], 1, Table1[[AwayTeam]:[AwayTeam]], $A55, Table1[[HomeTeam]:[HomeTeam]], I$36, Table1[[ActualResult]:[ActualResult]], "SO") + SUMIFS(Table1[[AwayWon]:[AwayWon]], Table1[[GameIsOver]:[GameIsOver]], 1, Table1[[HomeTeam]:[HomeTeam]], $A55, Table1[[AwayTeam]:[AwayTeam]], I$36, Table1[[ActualResult]:[ActualResult]], "SO")))/ (2*((COUNTIFS(Table1[[GameIsOver]:[GameIsOver]],1,Table1[[AwayTeam]:[AwayTeam]],$A55, Table1[[HomeTeam]:[HomeTeam]], I$36)))+( COUNTIFS(Table1[[GameIsOver]:[GameIsOver]],1,Table1[[AwayTeam]:[AwayTeam]],I$36, Table1[[HomeTeam]:[HomeTeam]],$A55))), "")</f>
        <v/>
      </c>
      <c r="J55" s="36" t="str">
        <f>IFERROR(((2 * (SUMIFS(Table1[[AwayWon]:[AwayWon]], Table1[[GameIsOver]:[GameIsOver]], 1, Table1[[AwayTeam]:[AwayTeam]], $A55, Table1[[HomeTeam]:[HomeTeam]], J$36) + SUMIFS(Table1[[HomeWon]:[HomeWon]], Table1[[GameIsOver]:[GameIsOver]], 1, Table1[[HomeTeam]:[HomeTeam]], $A55, Table1[[AwayTeam]:[AwayTeam]], J$36))) + (SUMIFS(Table1[[HomeWon]:[HomeWon]], Table1[[GameIsOver]:[GameIsOver]], 1, Table1[[AwayTeam]:[AwayTeam]], $A55, Table1[[HomeTeam]:[HomeTeam]],  J$36, Table1[[ActualResult]:[ActualResult]], "OT") + SUMIFS(Table1[[AwayWon]:[AwayWon]], Table1[[GameIsOver]:[GameIsOver]], 1, Table1[[HomeTeam]:[HomeTeam]], $A55, Table1[[AwayTeam]:[AwayTeam]], J$36, Table1[[ActualResult]:[ActualResult]], "OT") + SUMIFS(Table1[[HomeWon]:[HomeWon]], Table1[[GameIsOver]:[GameIsOver]], 1, Table1[[AwayTeam]:[AwayTeam]], $A55, Table1[[HomeTeam]:[HomeTeam]], J$36, Table1[[ActualResult]:[ActualResult]], "SO") + SUMIFS(Table1[[AwayWon]:[AwayWon]], Table1[[GameIsOver]:[GameIsOver]], 1, Table1[[HomeTeam]:[HomeTeam]], $A55, Table1[[AwayTeam]:[AwayTeam]], J$36, Table1[[ActualResult]:[ActualResult]], "SO")))/ (2*((COUNTIFS(Table1[[GameIsOver]:[GameIsOver]],1,Table1[[AwayTeam]:[AwayTeam]],$A55, Table1[[HomeTeam]:[HomeTeam]], J$36)))+( COUNTIFS(Table1[[GameIsOver]:[GameIsOver]],1,Table1[[AwayTeam]:[AwayTeam]],J$36, Table1[[HomeTeam]:[HomeTeam]],$A55))), "")</f>
        <v/>
      </c>
      <c r="K55" s="36" t="str">
        <f>IFERROR(((2 * (SUMIFS(Table1[[AwayWon]:[AwayWon]], Table1[[GameIsOver]:[GameIsOver]], 1, Table1[[AwayTeam]:[AwayTeam]], $A55, Table1[[HomeTeam]:[HomeTeam]], K$36) + SUMIFS(Table1[[HomeWon]:[HomeWon]], Table1[[GameIsOver]:[GameIsOver]], 1, Table1[[HomeTeam]:[HomeTeam]], $A55, Table1[[AwayTeam]:[AwayTeam]], K$36))) + (SUMIFS(Table1[[HomeWon]:[HomeWon]], Table1[[GameIsOver]:[GameIsOver]], 1, Table1[[AwayTeam]:[AwayTeam]], $A55, Table1[[HomeTeam]:[HomeTeam]],  K$36, Table1[[ActualResult]:[ActualResult]], "OT") + SUMIFS(Table1[[AwayWon]:[AwayWon]], Table1[[GameIsOver]:[GameIsOver]], 1, Table1[[HomeTeam]:[HomeTeam]], $A55, Table1[[AwayTeam]:[AwayTeam]], K$36, Table1[[ActualResult]:[ActualResult]], "OT") + SUMIFS(Table1[[HomeWon]:[HomeWon]], Table1[[GameIsOver]:[GameIsOver]], 1, Table1[[AwayTeam]:[AwayTeam]], $A55, Table1[[HomeTeam]:[HomeTeam]], K$36, Table1[[ActualResult]:[ActualResult]], "SO") + SUMIFS(Table1[[AwayWon]:[AwayWon]], Table1[[GameIsOver]:[GameIsOver]], 1, Table1[[HomeTeam]:[HomeTeam]], $A55, Table1[[AwayTeam]:[AwayTeam]], K$36, Table1[[ActualResult]:[ActualResult]], "SO")))/ (2*((COUNTIFS(Table1[[GameIsOver]:[GameIsOver]],1,Table1[[AwayTeam]:[AwayTeam]],$A55, Table1[[HomeTeam]:[HomeTeam]], K$36)))+( COUNTIFS(Table1[[GameIsOver]:[GameIsOver]],1,Table1[[AwayTeam]:[AwayTeam]],K$36, Table1[[HomeTeam]:[HomeTeam]],$A55))), "")</f>
        <v/>
      </c>
      <c r="L55" s="36" t="str">
        <f>IFERROR(((2 * (SUMIFS(Table1[[AwayWon]:[AwayWon]], Table1[[GameIsOver]:[GameIsOver]], 1, Table1[[AwayTeam]:[AwayTeam]], $A55, Table1[[HomeTeam]:[HomeTeam]], L$36) + SUMIFS(Table1[[HomeWon]:[HomeWon]], Table1[[GameIsOver]:[GameIsOver]], 1, Table1[[HomeTeam]:[HomeTeam]], $A55, Table1[[AwayTeam]:[AwayTeam]], L$36))) + (SUMIFS(Table1[[HomeWon]:[HomeWon]], Table1[[GameIsOver]:[GameIsOver]], 1, Table1[[AwayTeam]:[AwayTeam]], $A55, Table1[[HomeTeam]:[HomeTeam]],  L$36, Table1[[ActualResult]:[ActualResult]], "OT") + SUMIFS(Table1[[AwayWon]:[AwayWon]], Table1[[GameIsOver]:[GameIsOver]], 1, Table1[[HomeTeam]:[HomeTeam]], $A55, Table1[[AwayTeam]:[AwayTeam]], L$36, Table1[[ActualResult]:[ActualResult]], "OT") + SUMIFS(Table1[[HomeWon]:[HomeWon]], Table1[[GameIsOver]:[GameIsOver]], 1, Table1[[AwayTeam]:[AwayTeam]], $A55, Table1[[HomeTeam]:[HomeTeam]], L$36, Table1[[ActualResult]:[ActualResult]], "SO") + SUMIFS(Table1[[AwayWon]:[AwayWon]], Table1[[GameIsOver]:[GameIsOver]], 1, Table1[[HomeTeam]:[HomeTeam]], $A55, Table1[[AwayTeam]:[AwayTeam]], L$36, Table1[[ActualResult]:[ActualResult]], "SO")))/ (2*((COUNTIFS(Table1[[GameIsOver]:[GameIsOver]],1,Table1[[AwayTeam]:[AwayTeam]],$A55, Table1[[HomeTeam]:[HomeTeam]], L$36)))+( COUNTIFS(Table1[[GameIsOver]:[GameIsOver]],1,Table1[[AwayTeam]:[AwayTeam]],L$36, Table1[[HomeTeam]:[HomeTeam]],$A55))), "")</f>
        <v/>
      </c>
      <c r="M55" s="36" t="str">
        <f>IFERROR(((2 * (SUMIFS(Table1[[AwayWon]:[AwayWon]], Table1[[GameIsOver]:[GameIsOver]], 1, Table1[[AwayTeam]:[AwayTeam]], $A55, Table1[[HomeTeam]:[HomeTeam]], M$36) + SUMIFS(Table1[[HomeWon]:[HomeWon]], Table1[[GameIsOver]:[GameIsOver]], 1, Table1[[HomeTeam]:[HomeTeam]], $A55, Table1[[AwayTeam]:[AwayTeam]], M$36))) + (SUMIFS(Table1[[HomeWon]:[HomeWon]], Table1[[GameIsOver]:[GameIsOver]], 1, Table1[[AwayTeam]:[AwayTeam]], $A55, Table1[[HomeTeam]:[HomeTeam]],  M$36, Table1[[ActualResult]:[ActualResult]], "OT") + SUMIFS(Table1[[AwayWon]:[AwayWon]], Table1[[GameIsOver]:[GameIsOver]], 1, Table1[[HomeTeam]:[HomeTeam]], $A55, Table1[[AwayTeam]:[AwayTeam]], M$36, Table1[[ActualResult]:[ActualResult]], "OT") + SUMIFS(Table1[[HomeWon]:[HomeWon]], Table1[[GameIsOver]:[GameIsOver]], 1, Table1[[AwayTeam]:[AwayTeam]], $A55, Table1[[HomeTeam]:[HomeTeam]], M$36, Table1[[ActualResult]:[ActualResult]], "SO") + SUMIFS(Table1[[AwayWon]:[AwayWon]], Table1[[GameIsOver]:[GameIsOver]], 1, Table1[[HomeTeam]:[HomeTeam]], $A55, Table1[[AwayTeam]:[AwayTeam]], M$36, Table1[[ActualResult]:[ActualResult]], "SO")))/ (2*((COUNTIFS(Table1[[GameIsOver]:[GameIsOver]],1,Table1[[AwayTeam]:[AwayTeam]],$A55, Table1[[HomeTeam]:[HomeTeam]], M$36)))+( COUNTIFS(Table1[[GameIsOver]:[GameIsOver]],1,Table1[[AwayTeam]:[AwayTeam]],M$36, Table1[[HomeTeam]:[HomeTeam]],$A55))), "")</f>
        <v/>
      </c>
      <c r="N55" s="36" t="str">
        <f>IFERROR(((2 * (SUMIFS(Table1[[AwayWon]:[AwayWon]], Table1[[GameIsOver]:[GameIsOver]], 1, Table1[[AwayTeam]:[AwayTeam]], $A55, Table1[[HomeTeam]:[HomeTeam]], N$36) + SUMIFS(Table1[[HomeWon]:[HomeWon]], Table1[[GameIsOver]:[GameIsOver]], 1, Table1[[HomeTeam]:[HomeTeam]], $A55, Table1[[AwayTeam]:[AwayTeam]], N$36))) + (SUMIFS(Table1[[HomeWon]:[HomeWon]], Table1[[GameIsOver]:[GameIsOver]], 1, Table1[[AwayTeam]:[AwayTeam]], $A55, Table1[[HomeTeam]:[HomeTeam]],  N$36, Table1[[ActualResult]:[ActualResult]], "OT") + SUMIFS(Table1[[AwayWon]:[AwayWon]], Table1[[GameIsOver]:[GameIsOver]], 1, Table1[[HomeTeam]:[HomeTeam]], $A55, Table1[[AwayTeam]:[AwayTeam]], N$36, Table1[[ActualResult]:[ActualResult]], "OT") + SUMIFS(Table1[[HomeWon]:[HomeWon]], Table1[[GameIsOver]:[GameIsOver]], 1, Table1[[AwayTeam]:[AwayTeam]], $A55, Table1[[HomeTeam]:[HomeTeam]], N$36, Table1[[ActualResult]:[ActualResult]], "SO") + SUMIFS(Table1[[AwayWon]:[AwayWon]], Table1[[GameIsOver]:[GameIsOver]], 1, Table1[[HomeTeam]:[HomeTeam]], $A55, Table1[[AwayTeam]:[AwayTeam]], N$36, Table1[[ActualResult]:[ActualResult]], "SO")))/ (2*((COUNTIFS(Table1[[GameIsOver]:[GameIsOver]],1,Table1[[AwayTeam]:[AwayTeam]],$A55, Table1[[HomeTeam]:[HomeTeam]], N$36)))+( COUNTIFS(Table1[[GameIsOver]:[GameIsOver]],1,Table1[[AwayTeam]:[AwayTeam]],N$36, Table1[[HomeTeam]:[HomeTeam]],$A55))), "")</f>
        <v/>
      </c>
      <c r="O55" s="36" t="str">
        <f>IFERROR(((2 * (SUMIFS(Table1[[AwayWon]:[AwayWon]], Table1[[GameIsOver]:[GameIsOver]], 1, Table1[[AwayTeam]:[AwayTeam]], $A55, Table1[[HomeTeam]:[HomeTeam]], O$36) + SUMIFS(Table1[[HomeWon]:[HomeWon]], Table1[[GameIsOver]:[GameIsOver]], 1, Table1[[HomeTeam]:[HomeTeam]], $A55, Table1[[AwayTeam]:[AwayTeam]], O$36))) + (SUMIFS(Table1[[HomeWon]:[HomeWon]], Table1[[GameIsOver]:[GameIsOver]], 1, Table1[[AwayTeam]:[AwayTeam]], $A55, Table1[[HomeTeam]:[HomeTeam]],  O$36, Table1[[ActualResult]:[ActualResult]], "OT") + SUMIFS(Table1[[AwayWon]:[AwayWon]], Table1[[GameIsOver]:[GameIsOver]], 1, Table1[[HomeTeam]:[HomeTeam]], $A55, Table1[[AwayTeam]:[AwayTeam]], O$36, Table1[[ActualResult]:[ActualResult]], "OT") + SUMIFS(Table1[[HomeWon]:[HomeWon]], Table1[[GameIsOver]:[GameIsOver]], 1, Table1[[AwayTeam]:[AwayTeam]], $A55, Table1[[HomeTeam]:[HomeTeam]], O$36, Table1[[ActualResult]:[ActualResult]], "SO") + SUMIFS(Table1[[AwayWon]:[AwayWon]], Table1[[GameIsOver]:[GameIsOver]], 1, Table1[[HomeTeam]:[HomeTeam]], $A55, Table1[[AwayTeam]:[AwayTeam]], O$36, Table1[[ActualResult]:[ActualResult]], "SO")))/ (2*((COUNTIFS(Table1[[GameIsOver]:[GameIsOver]],1,Table1[[AwayTeam]:[AwayTeam]],$A55, Table1[[HomeTeam]:[HomeTeam]], O$36)))+( COUNTIFS(Table1[[GameIsOver]:[GameIsOver]],1,Table1[[AwayTeam]:[AwayTeam]],O$36, Table1[[HomeTeam]:[HomeTeam]],$A55))), "")</f>
        <v/>
      </c>
      <c r="P55" s="36" t="str">
        <f>IFERROR(((2 * (SUMIFS(Table1[[AwayWon]:[AwayWon]], Table1[[GameIsOver]:[GameIsOver]], 1, Table1[[AwayTeam]:[AwayTeam]], $A55, Table1[[HomeTeam]:[HomeTeam]], P$36) + SUMIFS(Table1[[HomeWon]:[HomeWon]], Table1[[GameIsOver]:[GameIsOver]], 1, Table1[[HomeTeam]:[HomeTeam]], $A55, Table1[[AwayTeam]:[AwayTeam]], P$36))) + (SUMIFS(Table1[[HomeWon]:[HomeWon]], Table1[[GameIsOver]:[GameIsOver]], 1, Table1[[AwayTeam]:[AwayTeam]], $A55, Table1[[HomeTeam]:[HomeTeam]],  P$36, Table1[[ActualResult]:[ActualResult]], "OT") + SUMIFS(Table1[[AwayWon]:[AwayWon]], Table1[[GameIsOver]:[GameIsOver]], 1, Table1[[HomeTeam]:[HomeTeam]], $A55, Table1[[AwayTeam]:[AwayTeam]], P$36, Table1[[ActualResult]:[ActualResult]], "OT") + SUMIFS(Table1[[HomeWon]:[HomeWon]], Table1[[GameIsOver]:[GameIsOver]], 1, Table1[[AwayTeam]:[AwayTeam]], $A55, Table1[[HomeTeam]:[HomeTeam]], P$36, Table1[[ActualResult]:[ActualResult]], "SO") + SUMIFS(Table1[[AwayWon]:[AwayWon]], Table1[[GameIsOver]:[GameIsOver]], 1, Table1[[HomeTeam]:[HomeTeam]], $A55, Table1[[AwayTeam]:[AwayTeam]], P$36, Table1[[ActualResult]:[ActualResult]], "SO")))/ (2*((COUNTIFS(Table1[[GameIsOver]:[GameIsOver]],1,Table1[[AwayTeam]:[AwayTeam]],$A55, Table1[[HomeTeam]:[HomeTeam]], P$36)))+( COUNTIFS(Table1[[GameIsOver]:[GameIsOver]],1,Table1[[AwayTeam]:[AwayTeam]],P$36, Table1[[HomeTeam]:[HomeTeam]],$A55))), "")</f>
        <v/>
      </c>
      <c r="Q55" s="38" t="str">
        <f>IFERROR(((2 * (SUMIFS(Table1[[AwayWon]:[AwayWon]], Table1[[GameIsOver]:[GameIsOver]], 1, Table1[[AwayTeam]:[AwayTeam]], $A55, Table1[[HomeTeam]:[HomeTeam]], Q$36) + SUMIFS(Table1[[HomeWon]:[HomeWon]], Table1[[GameIsOver]:[GameIsOver]], 1, Table1[[HomeTeam]:[HomeTeam]], $A55, Table1[[AwayTeam]:[AwayTeam]], Q$36))) + (SUMIFS(Table1[[HomeWon]:[HomeWon]], Table1[[GameIsOver]:[GameIsOver]], 1, Table1[[AwayTeam]:[AwayTeam]], $A55, Table1[[HomeTeam]:[HomeTeam]],  Q$36, Table1[[ActualResult]:[ActualResult]], "OT") + SUMIFS(Table1[[AwayWon]:[AwayWon]], Table1[[GameIsOver]:[GameIsOver]], 1, Table1[[HomeTeam]:[HomeTeam]], $A55, Table1[[AwayTeam]:[AwayTeam]], Q$36, Table1[[ActualResult]:[ActualResult]], "OT") + SUMIFS(Table1[[HomeWon]:[HomeWon]], Table1[[GameIsOver]:[GameIsOver]], 1, Table1[[AwayTeam]:[AwayTeam]], $A55, Table1[[HomeTeam]:[HomeTeam]], Q$36, Table1[[ActualResult]:[ActualResult]], "SO") + SUMIFS(Table1[[AwayWon]:[AwayWon]], Table1[[GameIsOver]:[GameIsOver]], 1, Table1[[HomeTeam]:[HomeTeam]], $A55, Table1[[AwayTeam]:[AwayTeam]], Q$36, Table1[[ActualResult]:[ActualResult]], "SO")))/ (2*((COUNTIFS(Table1[[GameIsOver]:[GameIsOver]],1,Table1[[AwayTeam]:[AwayTeam]],$A55, Table1[[HomeTeam]:[HomeTeam]], Q$36)))+( COUNTIFS(Table1[[GameIsOver]:[GameIsOver]],1,Table1[[AwayTeam]:[AwayTeam]],Q$36, Table1[[HomeTeam]:[HomeTeam]],$A55))), "")</f>
        <v/>
      </c>
      <c r="R55" s="36" t="str">
        <f>IFERROR(((2 * (SUMIFS(Table1[[AwayWon]:[AwayWon]], Table1[[GameIsOver]:[GameIsOver]], 1, Table1[[AwayTeam]:[AwayTeam]], $A55, Table1[[HomeTeam]:[HomeTeam]], R$36) + SUMIFS(Table1[[HomeWon]:[HomeWon]], Table1[[GameIsOver]:[GameIsOver]], 1, Table1[[HomeTeam]:[HomeTeam]], $A55, Table1[[AwayTeam]:[AwayTeam]], R$36))) + (SUMIFS(Table1[[HomeWon]:[HomeWon]], Table1[[GameIsOver]:[GameIsOver]], 1, Table1[[AwayTeam]:[AwayTeam]], $A55, Table1[[HomeTeam]:[HomeTeam]],  R$36, Table1[[ActualResult]:[ActualResult]], "OT") + SUMIFS(Table1[[AwayWon]:[AwayWon]], Table1[[GameIsOver]:[GameIsOver]], 1, Table1[[HomeTeam]:[HomeTeam]], $A55, Table1[[AwayTeam]:[AwayTeam]], R$36, Table1[[ActualResult]:[ActualResult]], "OT") + SUMIFS(Table1[[HomeWon]:[HomeWon]], Table1[[GameIsOver]:[GameIsOver]], 1, Table1[[AwayTeam]:[AwayTeam]], $A55, Table1[[HomeTeam]:[HomeTeam]], R$36, Table1[[ActualResult]:[ActualResult]], "SO") + SUMIFS(Table1[[AwayWon]:[AwayWon]], Table1[[GameIsOver]:[GameIsOver]], 1, Table1[[HomeTeam]:[HomeTeam]], $A55, Table1[[AwayTeam]:[AwayTeam]], R$36, Table1[[ActualResult]:[ActualResult]], "SO")))/ (2*((COUNTIFS(Table1[[GameIsOver]:[GameIsOver]],1,Table1[[AwayTeam]:[AwayTeam]],$A55, Table1[[HomeTeam]:[HomeTeam]], R$36)))+( COUNTIFS(Table1[[GameIsOver]:[GameIsOver]],1,Table1[[AwayTeam]:[AwayTeam]],R$36, Table1[[HomeTeam]:[HomeTeam]],$A55))), "")</f>
        <v/>
      </c>
      <c r="S55" s="36" t="str">
        <f>IFERROR(((2 * (SUMIFS(Table1[[AwayWon]:[AwayWon]], Table1[[GameIsOver]:[GameIsOver]], 1, Table1[[AwayTeam]:[AwayTeam]], $A55, Table1[[HomeTeam]:[HomeTeam]], S$36) + SUMIFS(Table1[[HomeWon]:[HomeWon]], Table1[[GameIsOver]:[GameIsOver]], 1, Table1[[HomeTeam]:[HomeTeam]], $A55, Table1[[AwayTeam]:[AwayTeam]], S$36))) + (SUMIFS(Table1[[HomeWon]:[HomeWon]], Table1[[GameIsOver]:[GameIsOver]], 1, Table1[[AwayTeam]:[AwayTeam]], $A55, Table1[[HomeTeam]:[HomeTeam]],  S$36, Table1[[ActualResult]:[ActualResult]], "OT") + SUMIFS(Table1[[AwayWon]:[AwayWon]], Table1[[GameIsOver]:[GameIsOver]], 1, Table1[[HomeTeam]:[HomeTeam]], $A55, Table1[[AwayTeam]:[AwayTeam]], S$36, Table1[[ActualResult]:[ActualResult]], "OT") + SUMIFS(Table1[[HomeWon]:[HomeWon]], Table1[[GameIsOver]:[GameIsOver]], 1, Table1[[AwayTeam]:[AwayTeam]], $A55, Table1[[HomeTeam]:[HomeTeam]], S$36, Table1[[ActualResult]:[ActualResult]], "SO") + SUMIFS(Table1[[AwayWon]:[AwayWon]], Table1[[GameIsOver]:[GameIsOver]], 1, Table1[[HomeTeam]:[HomeTeam]], $A55, Table1[[AwayTeam]:[AwayTeam]], S$36, Table1[[ActualResult]:[ActualResult]], "SO")))/ (2*((COUNTIFS(Table1[[GameIsOver]:[GameIsOver]],1,Table1[[AwayTeam]:[AwayTeam]],$A55, Table1[[HomeTeam]:[HomeTeam]], S$36)))+( COUNTIFS(Table1[[GameIsOver]:[GameIsOver]],1,Table1[[AwayTeam]:[AwayTeam]],S$36, Table1[[HomeTeam]:[HomeTeam]],$A55))), "")</f>
        <v/>
      </c>
      <c r="T55" s="36" t="str">
        <f>IFERROR(((2 * (SUMIFS(Table1[[AwayWon]:[AwayWon]], Table1[[GameIsOver]:[GameIsOver]], 1, Table1[[AwayTeam]:[AwayTeam]], $A55, Table1[[HomeTeam]:[HomeTeam]], T$36) + SUMIFS(Table1[[HomeWon]:[HomeWon]], Table1[[GameIsOver]:[GameIsOver]], 1, Table1[[HomeTeam]:[HomeTeam]], $A55, Table1[[AwayTeam]:[AwayTeam]], T$36))) + (SUMIFS(Table1[[HomeWon]:[HomeWon]], Table1[[GameIsOver]:[GameIsOver]], 1, Table1[[AwayTeam]:[AwayTeam]], $A55, Table1[[HomeTeam]:[HomeTeam]],  T$36, Table1[[ActualResult]:[ActualResult]], "OT") + SUMIFS(Table1[[AwayWon]:[AwayWon]], Table1[[GameIsOver]:[GameIsOver]], 1, Table1[[HomeTeam]:[HomeTeam]], $A55, Table1[[AwayTeam]:[AwayTeam]], T$36, Table1[[ActualResult]:[ActualResult]], "OT") + SUMIFS(Table1[[HomeWon]:[HomeWon]], Table1[[GameIsOver]:[GameIsOver]], 1, Table1[[AwayTeam]:[AwayTeam]], $A55, Table1[[HomeTeam]:[HomeTeam]], T$36, Table1[[ActualResult]:[ActualResult]], "SO") + SUMIFS(Table1[[AwayWon]:[AwayWon]], Table1[[GameIsOver]:[GameIsOver]], 1, Table1[[HomeTeam]:[HomeTeam]], $A55, Table1[[AwayTeam]:[AwayTeam]], T$36, Table1[[ActualResult]:[ActualResult]], "SO")))/ (2*((COUNTIFS(Table1[[GameIsOver]:[GameIsOver]],1,Table1[[AwayTeam]:[AwayTeam]],$A55, Table1[[HomeTeam]:[HomeTeam]], T$36)))+( COUNTIFS(Table1[[GameIsOver]:[GameIsOver]],1,Table1[[AwayTeam]:[AwayTeam]],T$36, Table1[[HomeTeam]:[HomeTeam]],$A55))), "")</f>
        <v/>
      </c>
      <c r="U55" s="36" t="str">
        <f>IFERROR(((2 * (SUMIFS(Table1[[AwayWon]:[AwayWon]], Table1[[GameIsOver]:[GameIsOver]], 1, Table1[[AwayTeam]:[AwayTeam]], $A55, Table1[[HomeTeam]:[HomeTeam]], U$36) + SUMIFS(Table1[[HomeWon]:[HomeWon]], Table1[[GameIsOver]:[GameIsOver]], 1, Table1[[HomeTeam]:[HomeTeam]], $A55, Table1[[AwayTeam]:[AwayTeam]], U$36))) + (SUMIFS(Table1[[HomeWon]:[HomeWon]], Table1[[GameIsOver]:[GameIsOver]], 1, Table1[[AwayTeam]:[AwayTeam]], $A55, Table1[[HomeTeam]:[HomeTeam]],  U$36, Table1[[ActualResult]:[ActualResult]], "OT") + SUMIFS(Table1[[AwayWon]:[AwayWon]], Table1[[GameIsOver]:[GameIsOver]], 1, Table1[[HomeTeam]:[HomeTeam]], $A55, Table1[[AwayTeam]:[AwayTeam]], U$36, Table1[[ActualResult]:[ActualResult]], "OT") + SUMIFS(Table1[[HomeWon]:[HomeWon]], Table1[[GameIsOver]:[GameIsOver]], 1, Table1[[AwayTeam]:[AwayTeam]], $A55, Table1[[HomeTeam]:[HomeTeam]], U$36, Table1[[ActualResult]:[ActualResult]], "SO") + SUMIFS(Table1[[AwayWon]:[AwayWon]], Table1[[GameIsOver]:[GameIsOver]], 1, Table1[[HomeTeam]:[HomeTeam]], $A55, Table1[[AwayTeam]:[AwayTeam]], U$36, Table1[[ActualResult]:[ActualResult]], "SO")))/ (2*((COUNTIFS(Table1[[GameIsOver]:[GameIsOver]],1,Table1[[AwayTeam]:[AwayTeam]],$A55, Table1[[HomeTeam]:[HomeTeam]], U$36)))+( COUNTIFS(Table1[[GameIsOver]:[GameIsOver]],1,Table1[[AwayTeam]:[AwayTeam]],U$36, Table1[[HomeTeam]:[HomeTeam]],$A55))), "")</f>
        <v/>
      </c>
      <c r="V55" s="36" t="str">
        <f>IFERROR(((2 * (SUMIFS(Table1[[AwayWon]:[AwayWon]], Table1[[GameIsOver]:[GameIsOver]], 1, Table1[[AwayTeam]:[AwayTeam]], $A55, Table1[[HomeTeam]:[HomeTeam]], V$36) + SUMIFS(Table1[[HomeWon]:[HomeWon]], Table1[[GameIsOver]:[GameIsOver]], 1, Table1[[HomeTeam]:[HomeTeam]], $A55, Table1[[AwayTeam]:[AwayTeam]], V$36))) + (SUMIFS(Table1[[HomeWon]:[HomeWon]], Table1[[GameIsOver]:[GameIsOver]], 1, Table1[[AwayTeam]:[AwayTeam]], $A55, Table1[[HomeTeam]:[HomeTeam]],  V$36, Table1[[ActualResult]:[ActualResult]], "OT") + SUMIFS(Table1[[AwayWon]:[AwayWon]], Table1[[GameIsOver]:[GameIsOver]], 1, Table1[[HomeTeam]:[HomeTeam]], $A55, Table1[[AwayTeam]:[AwayTeam]], V$36, Table1[[ActualResult]:[ActualResult]], "OT") + SUMIFS(Table1[[HomeWon]:[HomeWon]], Table1[[GameIsOver]:[GameIsOver]], 1, Table1[[AwayTeam]:[AwayTeam]], $A55, Table1[[HomeTeam]:[HomeTeam]], V$36, Table1[[ActualResult]:[ActualResult]], "SO") + SUMIFS(Table1[[AwayWon]:[AwayWon]], Table1[[GameIsOver]:[GameIsOver]], 1, Table1[[HomeTeam]:[HomeTeam]], $A55, Table1[[AwayTeam]:[AwayTeam]], V$36, Table1[[ActualResult]:[ActualResult]], "SO")))/ (2*((COUNTIFS(Table1[[GameIsOver]:[GameIsOver]],1,Table1[[AwayTeam]:[AwayTeam]],$A55, Table1[[HomeTeam]:[HomeTeam]], V$36)))+( COUNTIFS(Table1[[GameIsOver]:[GameIsOver]],1,Table1[[AwayTeam]:[AwayTeam]],V$36, Table1[[HomeTeam]:[HomeTeam]],$A55))), "")</f>
        <v/>
      </c>
      <c r="W55" s="36">
        <f>IFERROR(((2 * (SUMIFS(Table1[[AwayWon]:[AwayWon]], Table1[[GameIsOver]:[GameIsOver]], 1, Table1[[AwayTeam]:[AwayTeam]], $A55, Table1[[HomeTeam]:[HomeTeam]], W$36) + SUMIFS(Table1[[HomeWon]:[HomeWon]], Table1[[GameIsOver]:[GameIsOver]], 1, Table1[[HomeTeam]:[HomeTeam]], $A55, Table1[[AwayTeam]:[AwayTeam]], W$36))) + (SUMIFS(Table1[[HomeWon]:[HomeWon]], Table1[[GameIsOver]:[GameIsOver]], 1, Table1[[AwayTeam]:[AwayTeam]], $A55, Table1[[HomeTeam]:[HomeTeam]],  W$36, Table1[[ActualResult]:[ActualResult]], "OT") + SUMIFS(Table1[[AwayWon]:[AwayWon]], Table1[[GameIsOver]:[GameIsOver]], 1, Table1[[HomeTeam]:[HomeTeam]], $A55, Table1[[AwayTeam]:[AwayTeam]], W$36, Table1[[ActualResult]:[ActualResult]], "OT") + SUMIFS(Table1[[HomeWon]:[HomeWon]], Table1[[GameIsOver]:[GameIsOver]], 1, Table1[[AwayTeam]:[AwayTeam]], $A55, Table1[[HomeTeam]:[HomeTeam]], W$36, Table1[[ActualResult]:[ActualResult]], "SO") + SUMIFS(Table1[[AwayWon]:[AwayWon]], Table1[[GameIsOver]:[GameIsOver]], 1, Table1[[HomeTeam]:[HomeTeam]], $A55, Table1[[AwayTeam]:[AwayTeam]], W$36, Table1[[ActualResult]:[ActualResult]], "SO")))/ (2*((COUNTIFS(Table1[[GameIsOver]:[GameIsOver]],1,Table1[[AwayTeam]:[AwayTeam]],$A55, Table1[[HomeTeam]:[HomeTeam]], W$36)))+( COUNTIFS(Table1[[GameIsOver]:[GameIsOver]],1,Table1[[AwayTeam]:[AwayTeam]],W$36, Table1[[HomeTeam]:[HomeTeam]],$A55))), "")</f>
        <v>2</v>
      </c>
      <c r="X55" s="36" t="str">
        <f>IFERROR(((2 * (SUMIFS(Table1[[AwayWon]:[AwayWon]], Table1[[GameIsOver]:[GameIsOver]], 1, Table1[[AwayTeam]:[AwayTeam]], $A55, Table1[[HomeTeam]:[HomeTeam]], X$36) + SUMIFS(Table1[[HomeWon]:[HomeWon]], Table1[[GameIsOver]:[GameIsOver]], 1, Table1[[HomeTeam]:[HomeTeam]], $A55, Table1[[AwayTeam]:[AwayTeam]], X$36))) + (SUMIFS(Table1[[HomeWon]:[HomeWon]], Table1[[GameIsOver]:[GameIsOver]], 1, Table1[[AwayTeam]:[AwayTeam]], $A55, Table1[[HomeTeam]:[HomeTeam]],  X$36, Table1[[ActualResult]:[ActualResult]], "OT") + SUMIFS(Table1[[AwayWon]:[AwayWon]], Table1[[GameIsOver]:[GameIsOver]], 1, Table1[[HomeTeam]:[HomeTeam]], $A55, Table1[[AwayTeam]:[AwayTeam]], X$36, Table1[[ActualResult]:[ActualResult]], "OT") + SUMIFS(Table1[[HomeWon]:[HomeWon]], Table1[[GameIsOver]:[GameIsOver]], 1, Table1[[AwayTeam]:[AwayTeam]], $A55, Table1[[HomeTeam]:[HomeTeam]], X$36, Table1[[ActualResult]:[ActualResult]], "SO") + SUMIFS(Table1[[AwayWon]:[AwayWon]], Table1[[GameIsOver]:[GameIsOver]], 1, Table1[[HomeTeam]:[HomeTeam]], $A55, Table1[[AwayTeam]:[AwayTeam]], X$36, Table1[[ActualResult]:[ActualResult]], "SO")))/ (2*((COUNTIFS(Table1[[GameIsOver]:[GameIsOver]],1,Table1[[AwayTeam]:[AwayTeam]],$A55, Table1[[HomeTeam]:[HomeTeam]], X$36)))+( COUNTIFS(Table1[[GameIsOver]:[GameIsOver]],1,Table1[[AwayTeam]:[AwayTeam]],X$36, Table1[[HomeTeam]:[HomeTeam]],$A55))), "")</f>
        <v/>
      </c>
      <c r="Y55" s="38" t="str">
        <f>IFERROR(((2 * (SUMIFS(Table1[[AwayWon]:[AwayWon]], Table1[[GameIsOver]:[GameIsOver]], 1, Table1[[AwayTeam]:[AwayTeam]], $A55, Table1[[HomeTeam]:[HomeTeam]], Y$36) + SUMIFS(Table1[[HomeWon]:[HomeWon]], Table1[[GameIsOver]:[GameIsOver]], 1, Table1[[HomeTeam]:[HomeTeam]], $A55, Table1[[AwayTeam]:[AwayTeam]], Y$36))) + (SUMIFS(Table1[[HomeWon]:[HomeWon]], Table1[[GameIsOver]:[GameIsOver]], 1, Table1[[AwayTeam]:[AwayTeam]], $A55, Table1[[HomeTeam]:[HomeTeam]],  Y$36, Table1[[ActualResult]:[ActualResult]], "OT") + SUMIFS(Table1[[AwayWon]:[AwayWon]], Table1[[GameIsOver]:[GameIsOver]], 1, Table1[[HomeTeam]:[HomeTeam]], $A55, Table1[[AwayTeam]:[AwayTeam]], Y$36, Table1[[ActualResult]:[ActualResult]], "OT") + SUMIFS(Table1[[HomeWon]:[HomeWon]], Table1[[GameIsOver]:[GameIsOver]], 1, Table1[[AwayTeam]:[AwayTeam]], $A55, Table1[[HomeTeam]:[HomeTeam]], Y$36, Table1[[ActualResult]:[ActualResult]], "SO") + SUMIFS(Table1[[AwayWon]:[AwayWon]], Table1[[GameIsOver]:[GameIsOver]], 1, Table1[[HomeTeam]:[HomeTeam]], $A55, Table1[[AwayTeam]:[AwayTeam]], Y$36, Table1[[ActualResult]:[ActualResult]], "SO")))/ (2*((COUNTIFS(Table1[[GameIsOver]:[GameIsOver]],1,Table1[[AwayTeam]:[AwayTeam]],$A55, Table1[[HomeTeam]:[HomeTeam]], Y$36)))+( COUNTIFS(Table1[[GameIsOver]:[GameIsOver]],1,Table1[[AwayTeam]:[AwayTeam]],Y$36, Table1[[HomeTeam]:[HomeTeam]],$A55))), "")</f>
        <v/>
      </c>
      <c r="Z55" s="36" t="str">
        <f>IFERROR(((2 * (SUMIFS(Table1[[AwayWon]:[AwayWon]], Table1[[GameIsOver]:[GameIsOver]], 1, Table1[[AwayTeam]:[AwayTeam]], $A55, Table1[[HomeTeam]:[HomeTeam]], Z$36) + SUMIFS(Table1[[HomeWon]:[HomeWon]], Table1[[GameIsOver]:[GameIsOver]], 1, Table1[[HomeTeam]:[HomeTeam]], $A55, Table1[[AwayTeam]:[AwayTeam]], Z$36))) + (SUMIFS(Table1[[HomeWon]:[HomeWon]], Table1[[GameIsOver]:[GameIsOver]], 1, Table1[[AwayTeam]:[AwayTeam]], $A55, Table1[[HomeTeam]:[HomeTeam]],  Z$36, Table1[[ActualResult]:[ActualResult]], "OT") + SUMIFS(Table1[[AwayWon]:[AwayWon]], Table1[[GameIsOver]:[GameIsOver]], 1, Table1[[HomeTeam]:[HomeTeam]], $A55, Table1[[AwayTeam]:[AwayTeam]], Z$36, Table1[[ActualResult]:[ActualResult]], "OT") + SUMIFS(Table1[[HomeWon]:[HomeWon]], Table1[[GameIsOver]:[GameIsOver]], 1, Table1[[AwayTeam]:[AwayTeam]], $A55, Table1[[HomeTeam]:[HomeTeam]], Z$36, Table1[[ActualResult]:[ActualResult]], "SO") + SUMIFS(Table1[[AwayWon]:[AwayWon]], Table1[[GameIsOver]:[GameIsOver]], 1, Table1[[HomeTeam]:[HomeTeam]], $A55, Table1[[AwayTeam]:[AwayTeam]], Z$36, Table1[[ActualResult]:[ActualResult]], "SO")))/ (2*((COUNTIFS(Table1[[GameIsOver]:[GameIsOver]],1,Table1[[AwayTeam]:[AwayTeam]],$A55, Table1[[HomeTeam]:[HomeTeam]], Z$36)))+( COUNTIFS(Table1[[GameIsOver]:[GameIsOver]],1,Table1[[AwayTeam]:[AwayTeam]],Z$36, Table1[[HomeTeam]:[HomeTeam]],$A55))), "")</f>
        <v/>
      </c>
      <c r="AA55" s="36" t="str">
        <f>IFERROR(((2 * (SUMIFS(Table1[[AwayWon]:[AwayWon]], Table1[[GameIsOver]:[GameIsOver]], 1, Table1[[AwayTeam]:[AwayTeam]], $A55, Table1[[HomeTeam]:[HomeTeam]], AA$36) + SUMIFS(Table1[[HomeWon]:[HomeWon]], Table1[[GameIsOver]:[GameIsOver]], 1, Table1[[HomeTeam]:[HomeTeam]], $A55, Table1[[AwayTeam]:[AwayTeam]], AA$36))) + (SUMIFS(Table1[[HomeWon]:[HomeWon]], Table1[[GameIsOver]:[GameIsOver]], 1, Table1[[AwayTeam]:[AwayTeam]], $A55, Table1[[HomeTeam]:[HomeTeam]],  AA$36, Table1[[ActualResult]:[ActualResult]], "OT") + SUMIFS(Table1[[AwayWon]:[AwayWon]], Table1[[GameIsOver]:[GameIsOver]], 1, Table1[[HomeTeam]:[HomeTeam]], $A55, Table1[[AwayTeam]:[AwayTeam]], AA$36, Table1[[ActualResult]:[ActualResult]], "OT") + SUMIFS(Table1[[HomeWon]:[HomeWon]], Table1[[GameIsOver]:[GameIsOver]], 1, Table1[[AwayTeam]:[AwayTeam]], $A55, Table1[[HomeTeam]:[HomeTeam]], AA$36, Table1[[ActualResult]:[ActualResult]], "SO") + SUMIFS(Table1[[AwayWon]:[AwayWon]], Table1[[GameIsOver]:[GameIsOver]], 1, Table1[[HomeTeam]:[HomeTeam]], $A55, Table1[[AwayTeam]:[AwayTeam]], AA$36, Table1[[ActualResult]:[ActualResult]], "SO")))/ (2*((COUNTIFS(Table1[[GameIsOver]:[GameIsOver]],1,Table1[[AwayTeam]:[AwayTeam]],$A55, Table1[[HomeTeam]:[HomeTeam]], AA$36)))+( COUNTIFS(Table1[[GameIsOver]:[GameIsOver]],1,Table1[[AwayTeam]:[AwayTeam]],AA$36, Table1[[HomeTeam]:[HomeTeam]],$A55))), "")</f>
        <v/>
      </c>
      <c r="AB55" s="36" t="str">
        <f>IFERROR(((2 * (SUMIFS(Table1[[AwayWon]:[AwayWon]], Table1[[GameIsOver]:[GameIsOver]], 1, Table1[[AwayTeam]:[AwayTeam]], $A55, Table1[[HomeTeam]:[HomeTeam]], AB$36) + SUMIFS(Table1[[HomeWon]:[HomeWon]], Table1[[GameIsOver]:[GameIsOver]], 1, Table1[[HomeTeam]:[HomeTeam]], $A55, Table1[[AwayTeam]:[AwayTeam]], AB$36))) + (SUMIFS(Table1[[HomeWon]:[HomeWon]], Table1[[GameIsOver]:[GameIsOver]], 1, Table1[[AwayTeam]:[AwayTeam]], $A55, Table1[[HomeTeam]:[HomeTeam]],  AB$36, Table1[[ActualResult]:[ActualResult]], "OT") + SUMIFS(Table1[[AwayWon]:[AwayWon]], Table1[[GameIsOver]:[GameIsOver]], 1, Table1[[HomeTeam]:[HomeTeam]], $A55, Table1[[AwayTeam]:[AwayTeam]], AB$36, Table1[[ActualResult]:[ActualResult]], "OT") + SUMIFS(Table1[[HomeWon]:[HomeWon]], Table1[[GameIsOver]:[GameIsOver]], 1, Table1[[AwayTeam]:[AwayTeam]], $A55, Table1[[HomeTeam]:[HomeTeam]], AB$36, Table1[[ActualResult]:[ActualResult]], "SO") + SUMIFS(Table1[[AwayWon]:[AwayWon]], Table1[[GameIsOver]:[GameIsOver]], 1, Table1[[HomeTeam]:[HomeTeam]], $A55, Table1[[AwayTeam]:[AwayTeam]], AB$36, Table1[[ActualResult]:[ActualResult]], "SO")))/ (2*((COUNTIFS(Table1[[GameIsOver]:[GameIsOver]],1,Table1[[AwayTeam]:[AwayTeam]],$A55, Table1[[HomeTeam]:[HomeTeam]], AB$36)))+( COUNTIFS(Table1[[GameIsOver]:[GameIsOver]],1,Table1[[AwayTeam]:[AwayTeam]],AB$36, Table1[[HomeTeam]:[HomeTeam]],$A55))), "")</f>
        <v/>
      </c>
      <c r="AC55" s="36" t="str">
        <f>IFERROR(((2 * (SUMIFS(Table1[[AwayWon]:[AwayWon]], Table1[[GameIsOver]:[GameIsOver]], 1, Table1[[AwayTeam]:[AwayTeam]], $A55, Table1[[HomeTeam]:[HomeTeam]], AC$36) + SUMIFS(Table1[[HomeWon]:[HomeWon]], Table1[[GameIsOver]:[GameIsOver]], 1, Table1[[HomeTeam]:[HomeTeam]], $A55, Table1[[AwayTeam]:[AwayTeam]], AC$36))) + (SUMIFS(Table1[[HomeWon]:[HomeWon]], Table1[[GameIsOver]:[GameIsOver]], 1, Table1[[AwayTeam]:[AwayTeam]], $A55, Table1[[HomeTeam]:[HomeTeam]],  AC$36, Table1[[ActualResult]:[ActualResult]], "OT") + SUMIFS(Table1[[AwayWon]:[AwayWon]], Table1[[GameIsOver]:[GameIsOver]], 1, Table1[[HomeTeam]:[HomeTeam]], $A55, Table1[[AwayTeam]:[AwayTeam]], AC$36, Table1[[ActualResult]:[ActualResult]], "OT") + SUMIFS(Table1[[HomeWon]:[HomeWon]], Table1[[GameIsOver]:[GameIsOver]], 1, Table1[[AwayTeam]:[AwayTeam]], $A55, Table1[[HomeTeam]:[HomeTeam]], AC$36, Table1[[ActualResult]:[ActualResult]], "SO") + SUMIFS(Table1[[AwayWon]:[AwayWon]], Table1[[GameIsOver]:[GameIsOver]], 1, Table1[[HomeTeam]:[HomeTeam]], $A55, Table1[[AwayTeam]:[AwayTeam]], AC$36, Table1[[ActualResult]:[ActualResult]], "SO")))/ (2*((COUNTIFS(Table1[[GameIsOver]:[GameIsOver]],1,Table1[[AwayTeam]:[AwayTeam]],$A55, Table1[[HomeTeam]:[HomeTeam]], AC$36)))+( COUNTIFS(Table1[[GameIsOver]:[GameIsOver]],1,Table1[[AwayTeam]:[AwayTeam]],AC$36, Table1[[HomeTeam]:[HomeTeam]],$A55))), "")</f>
        <v/>
      </c>
      <c r="AD55" s="36" t="str">
        <f>IFERROR(((2 * (SUMIFS(Table1[[AwayWon]:[AwayWon]], Table1[[GameIsOver]:[GameIsOver]], 1, Table1[[AwayTeam]:[AwayTeam]], $A55, Table1[[HomeTeam]:[HomeTeam]], AD$36) + SUMIFS(Table1[[HomeWon]:[HomeWon]], Table1[[GameIsOver]:[GameIsOver]], 1, Table1[[HomeTeam]:[HomeTeam]], $A55, Table1[[AwayTeam]:[AwayTeam]], AD$36))) + (SUMIFS(Table1[[HomeWon]:[HomeWon]], Table1[[GameIsOver]:[GameIsOver]], 1, Table1[[AwayTeam]:[AwayTeam]], $A55, Table1[[HomeTeam]:[HomeTeam]],  AD$36, Table1[[ActualResult]:[ActualResult]], "OT") + SUMIFS(Table1[[AwayWon]:[AwayWon]], Table1[[GameIsOver]:[GameIsOver]], 1, Table1[[HomeTeam]:[HomeTeam]], $A55, Table1[[AwayTeam]:[AwayTeam]], AD$36, Table1[[ActualResult]:[ActualResult]], "OT") + SUMIFS(Table1[[HomeWon]:[HomeWon]], Table1[[GameIsOver]:[GameIsOver]], 1, Table1[[AwayTeam]:[AwayTeam]], $A55, Table1[[HomeTeam]:[HomeTeam]], AD$36, Table1[[ActualResult]:[ActualResult]], "SO") + SUMIFS(Table1[[AwayWon]:[AwayWon]], Table1[[GameIsOver]:[GameIsOver]], 1, Table1[[HomeTeam]:[HomeTeam]], $A55, Table1[[AwayTeam]:[AwayTeam]], AD$36, Table1[[ActualResult]:[ActualResult]], "SO")))/ (2*((COUNTIFS(Table1[[GameIsOver]:[GameIsOver]],1,Table1[[AwayTeam]:[AwayTeam]],$A55, Table1[[HomeTeam]:[HomeTeam]], AD$36)))+( COUNTIFS(Table1[[GameIsOver]:[GameIsOver]],1,Table1[[AwayTeam]:[AwayTeam]],AD$36, Table1[[HomeTeam]:[HomeTeam]],$A55))), "")</f>
        <v/>
      </c>
      <c r="AE55" s="36" t="str">
        <f>IFERROR(((2 * (SUMIFS(Table1[[AwayWon]:[AwayWon]], Table1[[GameIsOver]:[GameIsOver]], 1, Table1[[AwayTeam]:[AwayTeam]], $A55, Table1[[HomeTeam]:[HomeTeam]], AE$36) + SUMIFS(Table1[[HomeWon]:[HomeWon]], Table1[[GameIsOver]:[GameIsOver]], 1, Table1[[HomeTeam]:[HomeTeam]], $A55, Table1[[AwayTeam]:[AwayTeam]], AE$36))) + (SUMIFS(Table1[[HomeWon]:[HomeWon]], Table1[[GameIsOver]:[GameIsOver]], 1, Table1[[AwayTeam]:[AwayTeam]], $A55, Table1[[HomeTeam]:[HomeTeam]],  AE$36, Table1[[ActualResult]:[ActualResult]], "OT") + SUMIFS(Table1[[AwayWon]:[AwayWon]], Table1[[GameIsOver]:[GameIsOver]], 1, Table1[[HomeTeam]:[HomeTeam]], $A55, Table1[[AwayTeam]:[AwayTeam]], AE$36, Table1[[ActualResult]:[ActualResult]], "OT") + SUMIFS(Table1[[HomeWon]:[HomeWon]], Table1[[GameIsOver]:[GameIsOver]], 1, Table1[[AwayTeam]:[AwayTeam]], $A55, Table1[[HomeTeam]:[HomeTeam]], AE$36, Table1[[ActualResult]:[ActualResult]], "SO") + SUMIFS(Table1[[AwayWon]:[AwayWon]], Table1[[GameIsOver]:[GameIsOver]], 1, Table1[[HomeTeam]:[HomeTeam]], $A55, Table1[[AwayTeam]:[AwayTeam]], AE$36, Table1[[ActualResult]:[ActualResult]], "SO")))/ (2*((COUNTIFS(Table1[[GameIsOver]:[GameIsOver]],1,Table1[[AwayTeam]:[AwayTeam]],$A55, Table1[[HomeTeam]:[HomeTeam]], AE$36)))+( COUNTIFS(Table1[[GameIsOver]:[GameIsOver]],1,Table1[[AwayTeam]:[AwayTeam]],AE$36, Table1[[HomeTeam]:[HomeTeam]],$A55))), "")</f>
        <v/>
      </c>
      <c r="AF55" s="36" t="str">
        <f>IFERROR(((2 * (SUMIFS(Table1[[AwayWon]:[AwayWon]], Table1[[GameIsOver]:[GameIsOver]], 1, Table1[[AwayTeam]:[AwayTeam]], $A55, Table1[[HomeTeam]:[HomeTeam]], AF$36) + SUMIFS(Table1[[HomeWon]:[HomeWon]], Table1[[GameIsOver]:[GameIsOver]], 1, Table1[[HomeTeam]:[HomeTeam]], $A55, Table1[[AwayTeam]:[AwayTeam]], AF$36))) + (SUMIFS(Table1[[HomeWon]:[HomeWon]], Table1[[GameIsOver]:[GameIsOver]], 1, Table1[[AwayTeam]:[AwayTeam]], $A55, Table1[[HomeTeam]:[HomeTeam]],  AF$36, Table1[[ActualResult]:[ActualResult]], "OT") + SUMIFS(Table1[[AwayWon]:[AwayWon]], Table1[[GameIsOver]:[GameIsOver]], 1, Table1[[HomeTeam]:[HomeTeam]], $A55, Table1[[AwayTeam]:[AwayTeam]], AF$36, Table1[[ActualResult]:[ActualResult]], "OT") + SUMIFS(Table1[[HomeWon]:[HomeWon]], Table1[[GameIsOver]:[GameIsOver]], 1, Table1[[AwayTeam]:[AwayTeam]], $A55, Table1[[HomeTeam]:[HomeTeam]], AF$36, Table1[[ActualResult]:[ActualResult]], "SO") + SUMIFS(Table1[[AwayWon]:[AwayWon]], Table1[[GameIsOver]:[GameIsOver]], 1, Table1[[HomeTeam]:[HomeTeam]], $A55, Table1[[AwayTeam]:[AwayTeam]], AF$36, Table1[[ActualResult]:[ActualResult]], "SO")))/ (2*((COUNTIFS(Table1[[GameIsOver]:[GameIsOver]],1,Table1[[AwayTeam]:[AwayTeam]],$A55, Table1[[HomeTeam]:[HomeTeam]], AF$36)))+( COUNTIFS(Table1[[GameIsOver]:[GameIsOver]],1,Table1[[AwayTeam]:[AwayTeam]],AF$36, Table1[[HomeTeam]:[HomeTeam]],$A55))), "")</f>
        <v/>
      </c>
      <c r="AG55" s="36" t="str">
        <f>IFERROR(((2 * (SUMIFS(Table1[[AwayWon]:[AwayWon]], Table1[[GameIsOver]:[GameIsOver]], 1, Table1[[AwayTeam]:[AwayTeam]], $A55, Table1[[HomeTeam]:[HomeTeam]], AG$36) + SUMIFS(Table1[[HomeWon]:[HomeWon]], Table1[[GameIsOver]:[GameIsOver]], 1, Table1[[HomeTeam]:[HomeTeam]], $A55, Table1[[AwayTeam]:[AwayTeam]], AG$36))) + (SUMIFS(Table1[[HomeWon]:[HomeWon]], Table1[[GameIsOver]:[GameIsOver]], 1, Table1[[AwayTeam]:[AwayTeam]], $A55, Table1[[HomeTeam]:[HomeTeam]],  AG$36, Table1[[ActualResult]:[ActualResult]], "OT") + SUMIFS(Table1[[AwayWon]:[AwayWon]], Table1[[GameIsOver]:[GameIsOver]], 1, Table1[[HomeTeam]:[HomeTeam]], $A55, Table1[[AwayTeam]:[AwayTeam]], AG$36, Table1[[ActualResult]:[ActualResult]], "OT") + SUMIFS(Table1[[HomeWon]:[HomeWon]], Table1[[GameIsOver]:[GameIsOver]], 1, Table1[[AwayTeam]:[AwayTeam]], $A55, Table1[[HomeTeam]:[HomeTeam]], AG$36, Table1[[ActualResult]:[ActualResult]], "SO") + SUMIFS(Table1[[AwayWon]:[AwayWon]], Table1[[GameIsOver]:[GameIsOver]], 1, Table1[[HomeTeam]:[HomeTeam]], $A55, Table1[[AwayTeam]:[AwayTeam]], AG$36, Table1[[ActualResult]:[ActualResult]], "SO")))/ (2*((COUNTIFS(Table1[[GameIsOver]:[GameIsOver]],1,Table1[[AwayTeam]:[AwayTeam]],$A55, Table1[[HomeTeam]:[HomeTeam]], AG$36)))+( COUNTIFS(Table1[[GameIsOver]:[GameIsOver]],1,Table1[[AwayTeam]:[AwayTeam]],AG$36, Table1[[HomeTeam]:[HomeTeam]],$A55))), "")</f>
        <v/>
      </c>
      <c r="AH55" s="37">
        <f t="shared" si="0"/>
        <v>2</v>
      </c>
      <c r="AI55" s="37" t="e">
        <f t="shared" si="1"/>
        <v>#DIV/0!</v>
      </c>
      <c r="AJ55" s="38" t="e">
        <f t="shared" si="2"/>
        <v>#DIV/0!</v>
      </c>
      <c r="AK55" s="38">
        <f t="shared" si="3"/>
        <v>2</v>
      </c>
      <c r="AL55" s="38" t="e">
        <f t="shared" si="4"/>
        <v>#DIV/0!</v>
      </c>
      <c r="AM55" s="38" t="e">
        <f t="shared" si="5"/>
        <v>#DIV/0!</v>
      </c>
    </row>
    <row r="56" spans="1:39" x14ac:dyDescent="0.25">
      <c r="A56" s="17" t="s">
        <v>50</v>
      </c>
      <c r="B56" s="36" t="str">
        <f>IFERROR(((2 * (SUMIFS(Table1[[AwayWon]:[AwayWon]], Table1[[GameIsOver]:[GameIsOver]], 1, Table1[[AwayTeam]:[AwayTeam]], $A56, Table1[[HomeTeam]:[HomeTeam]], B$36) + SUMIFS(Table1[[HomeWon]:[HomeWon]], Table1[[GameIsOver]:[GameIsOver]], 1, Table1[[HomeTeam]:[HomeTeam]], $A56, Table1[[AwayTeam]:[AwayTeam]], B$36))) + (SUMIFS(Table1[[HomeWon]:[HomeWon]], Table1[[GameIsOver]:[GameIsOver]], 1, Table1[[AwayTeam]:[AwayTeam]], $A56, Table1[[HomeTeam]:[HomeTeam]],  B$36, Table1[[ActualResult]:[ActualResult]], "OT") + SUMIFS(Table1[[AwayWon]:[AwayWon]], Table1[[GameIsOver]:[GameIsOver]], 1, Table1[[HomeTeam]:[HomeTeam]], $A56, Table1[[AwayTeam]:[AwayTeam]], B$36, Table1[[ActualResult]:[ActualResult]], "OT") + SUMIFS(Table1[[HomeWon]:[HomeWon]], Table1[[GameIsOver]:[GameIsOver]], 1, Table1[[AwayTeam]:[AwayTeam]], $A56, Table1[[HomeTeam]:[HomeTeam]], B$36, Table1[[ActualResult]:[ActualResult]], "SO") + SUMIFS(Table1[[AwayWon]:[AwayWon]], Table1[[GameIsOver]:[GameIsOver]], 1, Table1[[HomeTeam]:[HomeTeam]], $A56, Table1[[AwayTeam]:[AwayTeam]], B$36, Table1[[ActualResult]:[ActualResult]], "SO")))/ (2*((COUNTIFS(Table1[[GameIsOver]:[GameIsOver]],1,Table1[[AwayTeam]:[AwayTeam]],$A56, Table1[[HomeTeam]:[HomeTeam]], B$36)))+( COUNTIFS(Table1[[GameIsOver]:[GameIsOver]],1,Table1[[AwayTeam]:[AwayTeam]],B$36, Table1[[HomeTeam]:[HomeTeam]],$A56))), "")</f>
        <v/>
      </c>
      <c r="C56" s="36" t="str">
        <f>IFERROR(((2 * (SUMIFS(Table1[[AwayWon]:[AwayWon]], Table1[[GameIsOver]:[GameIsOver]], 1, Table1[[AwayTeam]:[AwayTeam]], $A56, Table1[[HomeTeam]:[HomeTeam]], C$36) + SUMIFS(Table1[[HomeWon]:[HomeWon]], Table1[[GameIsOver]:[GameIsOver]], 1, Table1[[HomeTeam]:[HomeTeam]], $A56, Table1[[AwayTeam]:[AwayTeam]], C$36))) + (SUMIFS(Table1[[HomeWon]:[HomeWon]], Table1[[GameIsOver]:[GameIsOver]], 1, Table1[[AwayTeam]:[AwayTeam]], $A56, Table1[[HomeTeam]:[HomeTeam]],  C$36, Table1[[ActualResult]:[ActualResult]], "OT") + SUMIFS(Table1[[AwayWon]:[AwayWon]], Table1[[GameIsOver]:[GameIsOver]], 1, Table1[[HomeTeam]:[HomeTeam]], $A56, Table1[[AwayTeam]:[AwayTeam]], C$36, Table1[[ActualResult]:[ActualResult]], "OT") + SUMIFS(Table1[[HomeWon]:[HomeWon]], Table1[[GameIsOver]:[GameIsOver]], 1, Table1[[AwayTeam]:[AwayTeam]], $A56, Table1[[HomeTeam]:[HomeTeam]], C$36, Table1[[ActualResult]:[ActualResult]], "SO") + SUMIFS(Table1[[AwayWon]:[AwayWon]], Table1[[GameIsOver]:[GameIsOver]], 1, Table1[[HomeTeam]:[HomeTeam]], $A56, Table1[[AwayTeam]:[AwayTeam]], C$36, Table1[[ActualResult]:[ActualResult]], "SO")))/ (2*((COUNTIFS(Table1[[GameIsOver]:[GameIsOver]],1,Table1[[AwayTeam]:[AwayTeam]],$A56, Table1[[HomeTeam]:[HomeTeam]], C$36)))+( COUNTIFS(Table1[[GameIsOver]:[GameIsOver]],1,Table1[[AwayTeam]:[AwayTeam]],C$36, Table1[[HomeTeam]:[HomeTeam]],$A56))), "")</f>
        <v/>
      </c>
      <c r="D56" s="36" t="str">
        <f>IFERROR(((2 * (SUMIFS(Table1[[AwayWon]:[AwayWon]], Table1[[GameIsOver]:[GameIsOver]], 1, Table1[[AwayTeam]:[AwayTeam]], $A56, Table1[[HomeTeam]:[HomeTeam]], D$36) + SUMIFS(Table1[[HomeWon]:[HomeWon]], Table1[[GameIsOver]:[GameIsOver]], 1, Table1[[HomeTeam]:[HomeTeam]], $A56, Table1[[AwayTeam]:[AwayTeam]], D$36))) + (SUMIFS(Table1[[HomeWon]:[HomeWon]], Table1[[GameIsOver]:[GameIsOver]], 1, Table1[[AwayTeam]:[AwayTeam]], $A56, Table1[[HomeTeam]:[HomeTeam]],  D$36, Table1[[ActualResult]:[ActualResult]], "OT") + SUMIFS(Table1[[AwayWon]:[AwayWon]], Table1[[GameIsOver]:[GameIsOver]], 1, Table1[[HomeTeam]:[HomeTeam]], $A56, Table1[[AwayTeam]:[AwayTeam]], D$36, Table1[[ActualResult]:[ActualResult]], "OT") + SUMIFS(Table1[[HomeWon]:[HomeWon]], Table1[[GameIsOver]:[GameIsOver]], 1, Table1[[AwayTeam]:[AwayTeam]], $A56, Table1[[HomeTeam]:[HomeTeam]], D$36, Table1[[ActualResult]:[ActualResult]], "SO") + SUMIFS(Table1[[AwayWon]:[AwayWon]], Table1[[GameIsOver]:[GameIsOver]], 1, Table1[[HomeTeam]:[HomeTeam]], $A56, Table1[[AwayTeam]:[AwayTeam]], D$36, Table1[[ActualResult]:[ActualResult]], "SO")))/ (2*((COUNTIFS(Table1[[GameIsOver]:[GameIsOver]],1,Table1[[AwayTeam]:[AwayTeam]],$A56, Table1[[HomeTeam]:[HomeTeam]], D$36)))+( COUNTIFS(Table1[[GameIsOver]:[GameIsOver]],1,Table1[[AwayTeam]:[AwayTeam]],D$36, Table1[[HomeTeam]:[HomeTeam]],$A56))), "")</f>
        <v/>
      </c>
      <c r="E56" s="36" t="str">
        <f>IFERROR(((2 * (SUMIFS(Table1[[AwayWon]:[AwayWon]], Table1[[GameIsOver]:[GameIsOver]], 1, Table1[[AwayTeam]:[AwayTeam]], $A56, Table1[[HomeTeam]:[HomeTeam]], E$36) + SUMIFS(Table1[[HomeWon]:[HomeWon]], Table1[[GameIsOver]:[GameIsOver]], 1, Table1[[HomeTeam]:[HomeTeam]], $A56, Table1[[AwayTeam]:[AwayTeam]], E$36))) + (SUMIFS(Table1[[HomeWon]:[HomeWon]], Table1[[GameIsOver]:[GameIsOver]], 1, Table1[[AwayTeam]:[AwayTeam]], $A56, Table1[[HomeTeam]:[HomeTeam]],  E$36, Table1[[ActualResult]:[ActualResult]], "OT") + SUMIFS(Table1[[AwayWon]:[AwayWon]], Table1[[GameIsOver]:[GameIsOver]], 1, Table1[[HomeTeam]:[HomeTeam]], $A56, Table1[[AwayTeam]:[AwayTeam]], E$36, Table1[[ActualResult]:[ActualResult]], "OT") + SUMIFS(Table1[[HomeWon]:[HomeWon]], Table1[[GameIsOver]:[GameIsOver]], 1, Table1[[AwayTeam]:[AwayTeam]], $A56, Table1[[HomeTeam]:[HomeTeam]], E$36, Table1[[ActualResult]:[ActualResult]], "SO") + SUMIFS(Table1[[AwayWon]:[AwayWon]], Table1[[GameIsOver]:[GameIsOver]], 1, Table1[[HomeTeam]:[HomeTeam]], $A56, Table1[[AwayTeam]:[AwayTeam]], E$36, Table1[[ActualResult]:[ActualResult]], "SO")))/ (2*((COUNTIFS(Table1[[GameIsOver]:[GameIsOver]],1,Table1[[AwayTeam]:[AwayTeam]],$A56, Table1[[HomeTeam]:[HomeTeam]], E$36)))+( COUNTIFS(Table1[[GameIsOver]:[GameIsOver]],1,Table1[[AwayTeam]:[AwayTeam]],E$36, Table1[[HomeTeam]:[HomeTeam]],$A56))), "")</f>
        <v/>
      </c>
      <c r="F56" s="36" t="str">
        <f>IFERROR(((2 * (SUMIFS(Table1[[AwayWon]:[AwayWon]], Table1[[GameIsOver]:[GameIsOver]], 1, Table1[[AwayTeam]:[AwayTeam]], $A56, Table1[[HomeTeam]:[HomeTeam]], F$36) + SUMIFS(Table1[[HomeWon]:[HomeWon]], Table1[[GameIsOver]:[GameIsOver]], 1, Table1[[HomeTeam]:[HomeTeam]], $A56, Table1[[AwayTeam]:[AwayTeam]], F$36))) + (SUMIFS(Table1[[HomeWon]:[HomeWon]], Table1[[GameIsOver]:[GameIsOver]], 1, Table1[[AwayTeam]:[AwayTeam]], $A56, Table1[[HomeTeam]:[HomeTeam]],  F$36, Table1[[ActualResult]:[ActualResult]], "OT") + SUMIFS(Table1[[AwayWon]:[AwayWon]], Table1[[GameIsOver]:[GameIsOver]], 1, Table1[[HomeTeam]:[HomeTeam]], $A56, Table1[[AwayTeam]:[AwayTeam]], F$36, Table1[[ActualResult]:[ActualResult]], "OT") + SUMIFS(Table1[[HomeWon]:[HomeWon]], Table1[[GameIsOver]:[GameIsOver]], 1, Table1[[AwayTeam]:[AwayTeam]], $A56, Table1[[HomeTeam]:[HomeTeam]], F$36, Table1[[ActualResult]:[ActualResult]], "SO") + SUMIFS(Table1[[AwayWon]:[AwayWon]], Table1[[GameIsOver]:[GameIsOver]], 1, Table1[[HomeTeam]:[HomeTeam]], $A56, Table1[[AwayTeam]:[AwayTeam]], F$36, Table1[[ActualResult]:[ActualResult]], "SO")))/ (2*((COUNTIFS(Table1[[GameIsOver]:[GameIsOver]],1,Table1[[AwayTeam]:[AwayTeam]],$A56, Table1[[HomeTeam]:[HomeTeam]], F$36)))+( COUNTIFS(Table1[[GameIsOver]:[GameIsOver]],1,Table1[[AwayTeam]:[AwayTeam]],F$36, Table1[[HomeTeam]:[HomeTeam]],$A56))), "")</f>
        <v/>
      </c>
      <c r="G56" s="36" t="str">
        <f>IFERROR(((2 * (SUMIFS(Table1[[AwayWon]:[AwayWon]], Table1[[GameIsOver]:[GameIsOver]], 1, Table1[[AwayTeam]:[AwayTeam]], $A56, Table1[[HomeTeam]:[HomeTeam]], G$36) + SUMIFS(Table1[[HomeWon]:[HomeWon]], Table1[[GameIsOver]:[GameIsOver]], 1, Table1[[HomeTeam]:[HomeTeam]], $A56, Table1[[AwayTeam]:[AwayTeam]], G$36))) + (SUMIFS(Table1[[HomeWon]:[HomeWon]], Table1[[GameIsOver]:[GameIsOver]], 1, Table1[[AwayTeam]:[AwayTeam]], $A56, Table1[[HomeTeam]:[HomeTeam]],  G$36, Table1[[ActualResult]:[ActualResult]], "OT") + SUMIFS(Table1[[AwayWon]:[AwayWon]], Table1[[GameIsOver]:[GameIsOver]], 1, Table1[[HomeTeam]:[HomeTeam]], $A56, Table1[[AwayTeam]:[AwayTeam]], G$36, Table1[[ActualResult]:[ActualResult]], "OT") + SUMIFS(Table1[[HomeWon]:[HomeWon]], Table1[[GameIsOver]:[GameIsOver]], 1, Table1[[AwayTeam]:[AwayTeam]], $A56, Table1[[HomeTeam]:[HomeTeam]], G$36, Table1[[ActualResult]:[ActualResult]], "SO") + SUMIFS(Table1[[AwayWon]:[AwayWon]], Table1[[GameIsOver]:[GameIsOver]], 1, Table1[[HomeTeam]:[HomeTeam]], $A56, Table1[[AwayTeam]:[AwayTeam]], G$36, Table1[[ActualResult]:[ActualResult]], "SO")))/ (2*((COUNTIFS(Table1[[GameIsOver]:[GameIsOver]],1,Table1[[AwayTeam]:[AwayTeam]],$A56, Table1[[HomeTeam]:[HomeTeam]], G$36)))+( COUNTIFS(Table1[[GameIsOver]:[GameIsOver]],1,Table1[[AwayTeam]:[AwayTeam]],G$36, Table1[[HomeTeam]:[HomeTeam]],$A56))), "")</f>
        <v/>
      </c>
      <c r="H56" s="36" t="str">
        <f>IFERROR(((2 * (SUMIFS(Table1[[AwayWon]:[AwayWon]], Table1[[GameIsOver]:[GameIsOver]], 1, Table1[[AwayTeam]:[AwayTeam]], $A56, Table1[[HomeTeam]:[HomeTeam]], H$36) + SUMIFS(Table1[[HomeWon]:[HomeWon]], Table1[[GameIsOver]:[GameIsOver]], 1, Table1[[HomeTeam]:[HomeTeam]], $A56, Table1[[AwayTeam]:[AwayTeam]], H$36))) + (SUMIFS(Table1[[HomeWon]:[HomeWon]], Table1[[GameIsOver]:[GameIsOver]], 1, Table1[[AwayTeam]:[AwayTeam]], $A56, Table1[[HomeTeam]:[HomeTeam]],  H$36, Table1[[ActualResult]:[ActualResult]], "OT") + SUMIFS(Table1[[AwayWon]:[AwayWon]], Table1[[GameIsOver]:[GameIsOver]], 1, Table1[[HomeTeam]:[HomeTeam]], $A56, Table1[[AwayTeam]:[AwayTeam]], H$36, Table1[[ActualResult]:[ActualResult]], "OT") + SUMIFS(Table1[[HomeWon]:[HomeWon]], Table1[[GameIsOver]:[GameIsOver]], 1, Table1[[AwayTeam]:[AwayTeam]], $A56, Table1[[HomeTeam]:[HomeTeam]], H$36, Table1[[ActualResult]:[ActualResult]], "SO") + SUMIFS(Table1[[AwayWon]:[AwayWon]], Table1[[GameIsOver]:[GameIsOver]], 1, Table1[[HomeTeam]:[HomeTeam]], $A56, Table1[[AwayTeam]:[AwayTeam]], H$36, Table1[[ActualResult]:[ActualResult]], "SO")))/ (2*((COUNTIFS(Table1[[GameIsOver]:[GameIsOver]],1,Table1[[AwayTeam]:[AwayTeam]],$A56, Table1[[HomeTeam]:[HomeTeam]], H$36)))+( COUNTIFS(Table1[[GameIsOver]:[GameIsOver]],1,Table1[[AwayTeam]:[AwayTeam]],H$36, Table1[[HomeTeam]:[HomeTeam]],$A56))), "")</f>
        <v/>
      </c>
      <c r="I56" s="38" t="str">
        <f>IFERROR(((2 * (SUMIFS(Table1[[AwayWon]:[AwayWon]], Table1[[GameIsOver]:[GameIsOver]], 1, Table1[[AwayTeam]:[AwayTeam]], $A56, Table1[[HomeTeam]:[HomeTeam]], I$36) + SUMIFS(Table1[[HomeWon]:[HomeWon]], Table1[[GameIsOver]:[GameIsOver]], 1, Table1[[HomeTeam]:[HomeTeam]], $A56, Table1[[AwayTeam]:[AwayTeam]], I$36))) + (SUMIFS(Table1[[HomeWon]:[HomeWon]], Table1[[GameIsOver]:[GameIsOver]], 1, Table1[[AwayTeam]:[AwayTeam]], $A56, Table1[[HomeTeam]:[HomeTeam]],  I$36, Table1[[ActualResult]:[ActualResult]], "OT") + SUMIFS(Table1[[AwayWon]:[AwayWon]], Table1[[GameIsOver]:[GameIsOver]], 1, Table1[[HomeTeam]:[HomeTeam]], $A56, Table1[[AwayTeam]:[AwayTeam]], I$36, Table1[[ActualResult]:[ActualResult]], "OT") + SUMIFS(Table1[[HomeWon]:[HomeWon]], Table1[[GameIsOver]:[GameIsOver]], 1, Table1[[AwayTeam]:[AwayTeam]], $A56, Table1[[HomeTeam]:[HomeTeam]], I$36, Table1[[ActualResult]:[ActualResult]], "SO") + SUMIFS(Table1[[AwayWon]:[AwayWon]], Table1[[GameIsOver]:[GameIsOver]], 1, Table1[[HomeTeam]:[HomeTeam]], $A56, Table1[[AwayTeam]:[AwayTeam]], I$36, Table1[[ActualResult]:[ActualResult]], "SO")))/ (2*((COUNTIFS(Table1[[GameIsOver]:[GameIsOver]],1,Table1[[AwayTeam]:[AwayTeam]],$A56, Table1[[HomeTeam]:[HomeTeam]], I$36)))+( COUNTIFS(Table1[[GameIsOver]:[GameIsOver]],1,Table1[[AwayTeam]:[AwayTeam]],I$36, Table1[[HomeTeam]:[HomeTeam]],$A56))), "")</f>
        <v/>
      </c>
      <c r="J56" s="36" t="str">
        <f>IFERROR(((2 * (SUMIFS(Table1[[AwayWon]:[AwayWon]], Table1[[GameIsOver]:[GameIsOver]], 1, Table1[[AwayTeam]:[AwayTeam]], $A56, Table1[[HomeTeam]:[HomeTeam]], J$36) + SUMIFS(Table1[[HomeWon]:[HomeWon]], Table1[[GameIsOver]:[GameIsOver]], 1, Table1[[HomeTeam]:[HomeTeam]], $A56, Table1[[AwayTeam]:[AwayTeam]], J$36))) + (SUMIFS(Table1[[HomeWon]:[HomeWon]], Table1[[GameIsOver]:[GameIsOver]], 1, Table1[[AwayTeam]:[AwayTeam]], $A56, Table1[[HomeTeam]:[HomeTeam]],  J$36, Table1[[ActualResult]:[ActualResult]], "OT") + SUMIFS(Table1[[AwayWon]:[AwayWon]], Table1[[GameIsOver]:[GameIsOver]], 1, Table1[[HomeTeam]:[HomeTeam]], $A56, Table1[[AwayTeam]:[AwayTeam]], J$36, Table1[[ActualResult]:[ActualResult]], "OT") + SUMIFS(Table1[[HomeWon]:[HomeWon]], Table1[[GameIsOver]:[GameIsOver]], 1, Table1[[AwayTeam]:[AwayTeam]], $A56, Table1[[HomeTeam]:[HomeTeam]], J$36, Table1[[ActualResult]:[ActualResult]], "SO") + SUMIFS(Table1[[AwayWon]:[AwayWon]], Table1[[GameIsOver]:[GameIsOver]], 1, Table1[[HomeTeam]:[HomeTeam]], $A56, Table1[[AwayTeam]:[AwayTeam]], J$36, Table1[[ActualResult]:[ActualResult]], "SO")))/ (2*((COUNTIFS(Table1[[GameIsOver]:[GameIsOver]],1,Table1[[AwayTeam]:[AwayTeam]],$A56, Table1[[HomeTeam]:[HomeTeam]], J$36)))+( COUNTIFS(Table1[[GameIsOver]:[GameIsOver]],1,Table1[[AwayTeam]:[AwayTeam]],J$36, Table1[[HomeTeam]:[HomeTeam]],$A56))), "")</f>
        <v/>
      </c>
      <c r="K56" s="36" t="str">
        <f>IFERROR(((2 * (SUMIFS(Table1[[AwayWon]:[AwayWon]], Table1[[GameIsOver]:[GameIsOver]], 1, Table1[[AwayTeam]:[AwayTeam]], $A56, Table1[[HomeTeam]:[HomeTeam]], K$36) + SUMIFS(Table1[[HomeWon]:[HomeWon]], Table1[[GameIsOver]:[GameIsOver]], 1, Table1[[HomeTeam]:[HomeTeam]], $A56, Table1[[AwayTeam]:[AwayTeam]], K$36))) + (SUMIFS(Table1[[HomeWon]:[HomeWon]], Table1[[GameIsOver]:[GameIsOver]], 1, Table1[[AwayTeam]:[AwayTeam]], $A56, Table1[[HomeTeam]:[HomeTeam]],  K$36, Table1[[ActualResult]:[ActualResult]], "OT") + SUMIFS(Table1[[AwayWon]:[AwayWon]], Table1[[GameIsOver]:[GameIsOver]], 1, Table1[[HomeTeam]:[HomeTeam]], $A56, Table1[[AwayTeam]:[AwayTeam]], K$36, Table1[[ActualResult]:[ActualResult]], "OT") + SUMIFS(Table1[[HomeWon]:[HomeWon]], Table1[[GameIsOver]:[GameIsOver]], 1, Table1[[AwayTeam]:[AwayTeam]], $A56, Table1[[HomeTeam]:[HomeTeam]], K$36, Table1[[ActualResult]:[ActualResult]], "SO") + SUMIFS(Table1[[AwayWon]:[AwayWon]], Table1[[GameIsOver]:[GameIsOver]], 1, Table1[[HomeTeam]:[HomeTeam]], $A56, Table1[[AwayTeam]:[AwayTeam]], K$36, Table1[[ActualResult]:[ActualResult]], "SO")))/ (2*((COUNTIFS(Table1[[GameIsOver]:[GameIsOver]],1,Table1[[AwayTeam]:[AwayTeam]],$A56, Table1[[HomeTeam]:[HomeTeam]], K$36)))+( COUNTIFS(Table1[[GameIsOver]:[GameIsOver]],1,Table1[[AwayTeam]:[AwayTeam]],K$36, Table1[[HomeTeam]:[HomeTeam]],$A56))), "")</f>
        <v/>
      </c>
      <c r="L56" s="36" t="str">
        <f>IFERROR(((2 * (SUMIFS(Table1[[AwayWon]:[AwayWon]], Table1[[GameIsOver]:[GameIsOver]], 1, Table1[[AwayTeam]:[AwayTeam]], $A56, Table1[[HomeTeam]:[HomeTeam]], L$36) + SUMIFS(Table1[[HomeWon]:[HomeWon]], Table1[[GameIsOver]:[GameIsOver]], 1, Table1[[HomeTeam]:[HomeTeam]], $A56, Table1[[AwayTeam]:[AwayTeam]], L$36))) + (SUMIFS(Table1[[HomeWon]:[HomeWon]], Table1[[GameIsOver]:[GameIsOver]], 1, Table1[[AwayTeam]:[AwayTeam]], $A56, Table1[[HomeTeam]:[HomeTeam]],  L$36, Table1[[ActualResult]:[ActualResult]], "OT") + SUMIFS(Table1[[AwayWon]:[AwayWon]], Table1[[GameIsOver]:[GameIsOver]], 1, Table1[[HomeTeam]:[HomeTeam]], $A56, Table1[[AwayTeam]:[AwayTeam]], L$36, Table1[[ActualResult]:[ActualResult]], "OT") + SUMIFS(Table1[[HomeWon]:[HomeWon]], Table1[[GameIsOver]:[GameIsOver]], 1, Table1[[AwayTeam]:[AwayTeam]], $A56, Table1[[HomeTeam]:[HomeTeam]], L$36, Table1[[ActualResult]:[ActualResult]], "SO") + SUMIFS(Table1[[AwayWon]:[AwayWon]], Table1[[GameIsOver]:[GameIsOver]], 1, Table1[[HomeTeam]:[HomeTeam]], $A56, Table1[[AwayTeam]:[AwayTeam]], L$36, Table1[[ActualResult]:[ActualResult]], "SO")))/ (2*((COUNTIFS(Table1[[GameIsOver]:[GameIsOver]],1,Table1[[AwayTeam]:[AwayTeam]],$A56, Table1[[HomeTeam]:[HomeTeam]], L$36)))+( COUNTIFS(Table1[[GameIsOver]:[GameIsOver]],1,Table1[[AwayTeam]:[AwayTeam]],L$36, Table1[[HomeTeam]:[HomeTeam]],$A56))), "")</f>
        <v/>
      </c>
      <c r="M56" s="36" t="str">
        <f>IFERROR(((2 * (SUMIFS(Table1[[AwayWon]:[AwayWon]], Table1[[GameIsOver]:[GameIsOver]], 1, Table1[[AwayTeam]:[AwayTeam]], $A56, Table1[[HomeTeam]:[HomeTeam]], M$36) + SUMIFS(Table1[[HomeWon]:[HomeWon]], Table1[[GameIsOver]:[GameIsOver]], 1, Table1[[HomeTeam]:[HomeTeam]], $A56, Table1[[AwayTeam]:[AwayTeam]], M$36))) + (SUMIFS(Table1[[HomeWon]:[HomeWon]], Table1[[GameIsOver]:[GameIsOver]], 1, Table1[[AwayTeam]:[AwayTeam]], $A56, Table1[[HomeTeam]:[HomeTeam]],  M$36, Table1[[ActualResult]:[ActualResult]], "OT") + SUMIFS(Table1[[AwayWon]:[AwayWon]], Table1[[GameIsOver]:[GameIsOver]], 1, Table1[[HomeTeam]:[HomeTeam]], $A56, Table1[[AwayTeam]:[AwayTeam]], M$36, Table1[[ActualResult]:[ActualResult]], "OT") + SUMIFS(Table1[[HomeWon]:[HomeWon]], Table1[[GameIsOver]:[GameIsOver]], 1, Table1[[AwayTeam]:[AwayTeam]], $A56, Table1[[HomeTeam]:[HomeTeam]], M$36, Table1[[ActualResult]:[ActualResult]], "SO") + SUMIFS(Table1[[AwayWon]:[AwayWon]], Table1[[GameIsOver]:[GameIsOver]], 1, Table1[[HomeTeam]:[HomeTeam]], $A56, Table1[[AwayTeam]:[AwayTeam]], M$36, Table1[[ActualResult]:[ActualResult]], "SO")))/ (2*((COUNTIFS(Table1[[GameIsOver]:[GameIsOver]],1,Table1[[AwayTeam]:[AwayTeam]],$A56, Table1[[HomeTeam]:[HomeTeam]], M$36)))+( COUNTIFS(Table1[[GameIsOver]:[GameIsOver]],1,Table1[[AwayTeam]:[AwayTeam]],M$36, Table1[[HomeTeam]:[HomeTeam]],$A56))), "")</f>
        <v/>
      </c>
      <c r="N56" s="36" t="str">
        <f>IFERROR(((2 * (SUMIFS(Table1[[AwayWon]:[AwayWon]], Table1[[GameIsOver]:[GameIsOver]], 1, Table1[[AwayTeam]:[AwayTeam]], $A56, Table1[[HomeTeam]:[HomeTeam]], N$36) + SUMIFS(Table1[[HomeWon]:[HomeWon]], Table1[[GameIsOver]:[GameIsOver]], 1, Table1[[HomeTeam]:[HomeTeam]], $A56, Table1[[AwayTeam]:[AwayTeam]], N$36))) + (SUMIFS(Table1[[HomeWon]:[HomeWon]], Table1[[GameIsOver]:[GameIsOver]], 1, Table1[[AwayTeam]:[AwayTeam]], $A56, Table1[[HomeTeam]:[HomeTeam]],  N$36, Table1[[ActualResult]:[ActualResult]], "OT") + SUMIFS(Table1[[AwayWon]:[AwayWon]], Table1[[GameIsOver]:[GameIsOver]], 1, Table1[[HomeTeam]:[HomeTeam]], $A56, Table1[[AwayTeam]:[AwayTeam]], N$36, Table1[[ActualResult]:[ActualResult]], "OT") + SUMIFS(Table1[[HomeWon]:[HomeWon]], Table1[[GameIsOver]:[GameIsOver]], 1, Table1[[AwayTeam]:[AwayTeam]], $A56, Table1[[HomeTeam]:[HomeTeam]], N$36, Table1[[ActualResult]:[ActualResult]], "SO") + SUMIFS(Table1[[AwayWon]:[AwayWon]], Table1[[GameIsOver]:[GameIsOver]], 1, Table1[[HomeTeam]:[HomeTeam]], $A56, Table1[[AwayTeam]:[AwayTeam]], N$36, Table1[[ActualResult]:[ActualResult]], "SO")))/ (2*((COUNTIFS(Table1[[GameIsOver]:[GameIsOver]],1,Table1[[AwayTeam]:[AwayTeam]],$A56, Table1[[HomeTeam]:[HomeTeam]], N$36)))+( COUNTIFS(Table1[[GameIsOver]:[GameIsOver]],1,Table1[[AwayTeam]:[AwayTeam]],N$36, Table1[[HomeTeam]:[HomeTeam]],$A56))), "")</f>
        <v/>
      </c>
      <c r="O56" s="36" t="str">
        <f>IFERROR(((2 * (SUMIFS(Table1[[AwayWon]:[AwayWon]], Table1[[GameIsOver]:[GameIsOver]], 1, Table1[[AwayTeam]:[AwayTeam]], $A56, Table1[[HomeTeam]:[HomeTeam]], O$36) + SUMIFS(Table1[[HomeWon]:[HomeWon]], Table1[[GameIsOver]:[GameIsOver]], 1, Table1[[HomeTeam]:[HomeTeam]], $A56, Table1[[AwayTeam]:[AwayTeam]], O$36))) + (SUMIFS(Table1[[HomeWon]:[HomeWon]], Table1[[GameIsOver]:[GameIsOver]], 1, Table1[[AwayTeam]:[AwayTeam]], $A56, Table1[[HomeTeam]:[HomeTeam]],  O$36, Table1[[ActualResult]:[ActualResult]], "OT") + SUMIFS(Table1[[AwayWon]:[AwayWon]], Table1[[GameIsOver]:[GameIsOver]], 1, Table1[[HomeTeam]:[HomeTeam]], $A56, Table1[[AwayTeam]:[AwayTeam]], O$36, Table1[[ActualResult]:[ActualResult]], "OT") + SUMIFS(Table1[[HomeWon]:[HomeWon]], Table1[[GameIsOver]:[GameIsOver]], 1, Table1[[AwayTeam]:[AwayTeam]], $A56, Table1[[HomeTeam]:[HomeTeam]], O$36, Table1[[ActualResult]:[ActualResult]], "SO") + SUMIFS(Table1[[AwayWon]:[AwayWon]], Table1[[GameIsOver]:[GameIsOver]], 1, Table1[[HomeTeam]:[HomeTeam]], $A56, Table1[[AwayTeam]:[AwayTeam]], O$36, Table1[[ActualResult]:[ActualResult]], "SO")))/ (2*((COUNTIFS(Table1[[GameIsOver]:[GameIsOver]],1,Table1[[AwayTeam]:[AwayTeam]],$A56, Table1[[HomeTeam]:[HomeTeam]], O$36)))+( COUNTIFS(Table1[[GameIsOver]:[GameIsOver]],1,Table1[[AwayTeam]:[AwayTeam]],O$36, Table1[[HomeTeam]:[HomeTeam]],$A56))), "")</f>
        <v/>
      </c>
      <c r="P56" s="36" t="str">
        <f>IFERROR(((2 * (SUMIFS(Table1[[AwayWon]:[AwayWon]], Table1[[GameIsOver]:[GameIsOver]], 1, Table1[[AwayTeam]:[AwayTeam]], $A56, Table1[[HomeTeam]:[HomeTeam]], P$36) + SUMIFS(Table1[[HomeWon]:[HomeWon]], Table1[[GameIsOver]:[GameIsOver]], 1, Table1[[HomeTeam]:[HomeTeam]], $A56, Table1[[AwayTeam]:[AwayTeam]], P$36))) + (SUMIFS(Table1[[HomeWon]:[HomeWon]], Table1[[GameIsOver]:[GameIsOver]], 1, Table1[[AwayTeam]:[AwayTeam]], $A56, Table1[[HomeTeam]:[HomeTeam]],  P$36, Table1[[ActualResult]:[ActualResult]], "OT") + SUMIFS(Table1[[AwayWon]:[AwayWon]], Table1[[GameIsOver]:[GameIsOver]], 1, Table1[[HomeTeam]:[HomeTeam]], $A56, Table1[[AwayTeam]:[AwayTeam]], P$36, Table1[[ActualResult]:[ActualResult]], "OT") + SUMIFS(Table1[[HomeWon]:[HomeWon]], Table1[[GameIsOver]:[GameIsOver]], 1, Table1[[AwayTeam]:[AwayTeam]], $A56, Table1[[HomeTeam]:[HomeTeam]], P$36, Table1[[ActualResult]:[ActualResult]], "SO") + SUMIFS(Table1[[AwayWon]:[AwayWon]], Table1[[GameIsOver]:[GameIsOver]], 1, Table1[[HomeTeam]:[HomeTeam]], $A56, Table1[[AwayTeam]:[AwayTeam]], P$36, Table1[[ActualResult]:[ActualResult]], "SO")))/ (2*((COUNTIFS(Table1[[GameIsOver]:[GameIsOver]],1,Table1[[AwayTeam]:[AwayTeam]],$A56, Table1[[HomeTeam]:[HomeTeam]], P$36)))+( COUNTIFS(Table1[[GameIsOver]:[GameIsOver]],1,Table1[[AwayTeam]:[AwayTeam]],P$36, Table1[[HomeTeam]:[HomeTeam]],$A56))), "")</f>
        <v/>
      </c>
      <c r="Q56" s="38" t="str">
        <f>IFERROR(((2 * (SUMIFS(Table1[[AwayWon]:[AwayWon]], Table1[[GameIsOver]:[GameIsOver]], 1, Table1[[AwayTeam]:[AwayTeam]], $A56, Table1[[HomeTeam]:[HomeTeam]], Q$36) + SUMIFS(Table1[[HomeWon]:[HomeWon]], Table1[[GameIsOver]:[GameIsOver]], 1, Table1[[HomeTeam]:[HomeTeam]], $A56, Table1[[AwayTeam]:[AwayTeam]], Q$36))) + (SUMIFS(Table1[[HomeWon]:[HomeWon]], Table1[[GameIsOver]:[GameIsOver]], 1, Table1[[AwayTeam]:[AwayTeam]], $A56, Table1[[HomeTeam]:[HomeTeam]],  Q$36, Table1[[ActualResult]:[ActualResult]], "OT") + SUMIFS(Table1[[AwayWon]:[AwayWon]], Table1[[GameIsOver]:[GameIsOver]], 1, Table1[[HomeTeam]:[HomeTeam]], $A56, Table1[[AwayTeam]:[AwayTeam]], Q$36, Table1[[ActualResult]:[ActualResult]], "OT") + SUMIFS(Table1[[HomeWon]:[HomeWon]], Table1[[GameIsOver]:[GameIsOver]], 1, Table1[[AwayTeam]:[AwayTeam]], $A56, Table1[[HomeTeam]:[HomeTeam]], Q$36, Table1[[ActualResult]:[ActualResult]], "SO") + SUMIFS(Table1[[AwayWon]:[AwayWon]], Table1[[GameIsOver]:[GameIsOver]], 1, Table1[[HomeTeam]:[HomeTeam]], $A56, Table1[[AwayTeam]:[AwayTeam]], Q$36, Table1[[ActualResult]:[ActualResult]], "SO")))/ (2*((COUNTIFS(Table1[[GameIsOver]:[GameIsOver]],1,Table1[[AwayTeam]:[AwayTeam]],$A56, Table1[[HomeTeam]:[HomeTeam]], Q$36)))+( COUNTIFS(Table1[[GameIsOver]:[GameIsOver]],1,Table1[[AwayTeam]:[AwayTeam]],Q$36, Table1[[HomeTeam]:[HomeTeam]],$A56))), "")</f>
        <v/>
      </c>
      <c r="R56" s="36" t="str">
        <f>IFERROR(((2 * (SUMIFS(Table1[[AwayWon]:[AwayWon]], Table1[[GameIsOver]:[GameIsOver]], 1, Table1[[AwayTeam]:[AwayTeam]], $A56, Table1[[HomeTeam]:[HomeTeam]], R$36) + SUMIFS(Table1[[HomeWon]:[HomeWon]], Table1[[GameIsOver]:[GameIsOver]], 1, Table1[[HomeTeam]:[HomeTeam]], $A56, Table1[[AwayTeam]:[AwayTeam]], R$36))) + (SUMIFS(Table1[[HomeWon]:[HomeWon]], Table1[[GameIsOver]:[GameIsOver]], 1, Table1[[AwayTeam]:[AwayTeam]], $A56, Table1[[HomeTeam]:[HomeTeam]],  R$36, Table1[[ActualResult]:[ActualResult]], "OT") + SUMIFS(Table1[[AwayWon]:[AwayWon]], Table1[[GameIsOver]:[GameIsOver]], 1, Table1[[HomeTeam]:[HomeTeam]], $A56, Table1[[AwayTeam]:[AwayTeam]], R$36, Table1[[ActualResult]:[ActualResult]], "OT") + SUMIFS(Table1[[HomeWon]:[HomeWon]], Table1[[GameIsOver]:[GameIsOver]], 1, Table1[[AwayTeam]:[AwayTeam]], $A56, Table1[[HomeTeam]:[HomeTeam]], R$36, Table1[[ActualResult]:[ActualResult]], "SO") + SUMIFS(Table1[[AwayWon]:[AwayWon]], Table1[[GameIsOver]:[GameIsOver]], 1, Table1[[HomeTeam]:[HomeTeam]], $A56, Table1[[AwayTeam]:[AwayTeam]], R$36, Table1[[ActualResult]:[ActualResult]], "SO")))/ (2*((COUNTIFS(Table1[[GameIsOver]:[GameIsOver]],1,Table1[[AwayTeam]:[AwayTeam]],$A56, Table1[[HomeTeam]:[HomeTeam]], R$36)))+( COUNTIFS(Table1[[GameIsOver]:[GameIsOver]],1,Table1[[AwayTeam]:[AwayTeam]],R$36, Table1[[HomeTeam]:[HomeTeam]],$A56))), "")</f>
        <v/>
      </c>
      <c r="S56" s="36" t="str">
        <f>IFERROR(((2 * (SUMIFS(Table1[[AwayWon]:[AwayWon]], Table1[[GameIsOver]:[GameIsOver]], 1, Table1[[AwayTeam]:[AwayTeam]], $A56, Table1[[HomeTeam]:[HomeTeam]], S$36) + SUMIFS(Table1[[HomeWon]:[HomeWon]], Table1[[GameIsOver]:[GameIsOver]], 1, Table1[[HomeTeam]:[HomeTeam]], $A56, Table1[[AwayTeam]:[AwayTeam]], S$36))) + (SUMIFS(Table1[[HomeWon]:[HomeWon]], Table1[[GameIsOver]:[GameIsOver]], 1, Table1[[AwayTeam]:[AwayTeam]], $A56, Table1[[HomeTeam]:[HomeTeam]],  S$36, Table1[[ActualResult]:[ActualResult]], "OT") + SUMIFS(Table1[[AwayWon]:[AwayWon]], Table1[[GameIsOver]:[GameIsOver]], 1, Table1[[HomeTeam]:[HomeTeam]], $A56, Table1[[AwayTeam]:[AwayTeam]], S$36, Table1[[ActualResult]:[ActualResult]], "OT") + SUMIFS(Table1[[HomeWon]:[HomeWon]], Table1[[GameIsOver]:[GameIsOver]], 1, Table1[[AwayTeam]:[AwayTeam]], $A56, Table1[[HomeTeam]:[HomeTeam]], S$36, Table1[[ActualResult]:[ActualResult]], "SO") + SUMIFS(Table1[[AwayWon]:[AwayWon]], Table1[[GameIsOver]:[GameIsOver]], 1, Table1[[HomeTeam]:[HomeTeam]], $A56, Table1[[AwayTeam]:[AwayTeam]], S$36, Table1[[ActualResult]:[ActualResult]], "SO")))/ (2*((COUNTIFS(Table1[[GameIsOver]:[GameIsOver]],1,Table1[[AwayTeam]:[AwayTeam]],$A56, Table1[[HomeTeam]:[HomeTeam]], S$36)))+( COUNTIFS(Table1[[GameIsOver]:[GameIsOver]],1,Table1[[AwayTeam]:[AwayTeam]],S$36, Table1[[HomeTeam]:[HomeTeam]],$A56))), "")</f>
        <v/>
      </c>
      <c r="T56" s="36" t="str">
        <f>IFERROR(((2 * (SUMIFS(Table1[[AwayWon]:[AwayWon]], Table1[[GameIsOver]:[GameIsOver]], 1, Table1[[AwayTeam]:[AwayTeam]], $A56, Table1[[HomeTeam]:[HomeTeam]], T$36) + SUMIFS(Table1[[HomeWon]:[HomeWon]], Table1[[GameIsOver]:[GameIsOver]], 1, Table1[[HomeTeam]:[HomeTeam]], $A56, Table1[[AwayTeam]:[AwayTeam]], T$36))) + (SUMIFS(Table1[[HomeWon]:[HomeWon]], Table1[[GameIsOver]:[GameIsOver]], 1, Table1[[AwayTeam]:[AwayTeam]], $A56, Table1[[HomeTeam]:[HomeTeam]],  T$36, Table1[[ActualResult]:[ActualResult]], "OT") + SUMIFS(Table1[[AwayWon]:[AwayWon]], Table1[[GameIsOver]:[GameIsOver]], 1, Table1[[HomeTeam]:[HomeTeam]], $A56, Table1[[AwayTeam]:[AwayTeam]], T$36, Table1[[ActualResult]:[ActualResult]], "OT") + SUMIFS(Table1[[HomeWon]:[HomeWon]], Table1[[GameIsOver]:[GameIsOver]], 1, Table1[[AwayTeam]:[AwayTeam]], $A56, Table1[[HomeTeam]:[HomeTeam]], T$36, Table1[[ActualResult]:[ActualResult]], "SO") + SUMIFS(Table1[[AwayWon]:[AwayWon]], Table1[[GameIsOver]:[GameIsOver]], 1, Table1[[HomeTeam]:[HomeTeam]], $A56, Table1[[AwayTeam]:[AwayTeam]], T$36, Table1[[ActualResult]:[ActualResult]], "SO")))/ (2*((COUNTIFS(Table1[[GameIsOver]:[GameIsOver]],1,Table1[[AwayTeam]:[AwayTeam]],$A56, Table1[[HomeTeam]:[HomeTeam]], T$36)))+( COUNTIFS(Table1[[GameIsOver]:[GameIsOver]],1,Table1[[AwayTeam]:[AwayTeam]],T$36, Table1[[HomeTeam]:[HomeTeam]],$A56))), "")</f>
        <v/>
      </c>
      <c r="U56" s="36" t="str">
        <f>IFERROR(((2 * (SUMIFS(Table1[[AwayWon]:[AwayWon]], Table1[[GameIsOver]:[GameIsOver]], 1, Table1[[AwayTeam]:[AwayTeam]], $A56, Table1[[HomeTeam]:[HomeTeam]], U$36) + SUMIFS(Table1[[HomeWon]:[HomeWon]], Table1[[GameIsOver]:[GameIsOver]], 1, Table1[[HomeTeam]:[HomeTeam]], $A56, Table1[[AwayTeam]:[AwayTeam]], U$36))) + (SUMIFS(Table1[[HomeWon]:[HomeWon]], Table1[[GameIsOver]:[GameIsOver]], 1, Table1[[AwayTeam]:[AwayTeam]], $A56, Table1[[HomeTeam]:[HomeTeam]],  U$36, Table1[[ActualResult]:[ActualResult]], "OT") + SUMIFS(Table1[[AwayWon]:[AwayWon]], Table1[[GameIsOver]:[GameIsOver]], 1, Table1[[HomeTeam]:[HomeTeam]], $A56, Table1[[AwayTeam]:[AwayTeam]], U$36, Table1[[ActualResult]:[ActualResult]], "OT") + SUMIFS(Table1[[HomeWon]:[HomeWon]], Table1[[GameIsOver]:[GameIsOver]], 1, Table1[[AwayTeam]:[AwayTeam]], $A56, Table1[[HomeTeam]:[HomeTeam]], U$36, Table1[[ActualResult]:[ActualResult]], "SO") + SUMIFS(Table1[[AwayWon]:[AwayWon]], Table1[[GameIsOver]:[GameIsOver]], 1, Table1[[HomeTeam]:[HomeTeam]], $A56, Table1[[AwayTeam]:[AwayTeam]], U$36, Table1[[ActualResult]:[ActualResult]], "SO")))/ (2*((COUNTIFS(Table1[[GameIsOver]:[GameIsOver]],1,Table1[[AwayTeam]:[AwayTeam]],$A56, Table1[[HomeTeam]:[HomeTeam]], U$36)))+( COUNTIFS(Table1[[GameIsOver]:[GameIsOver]],1,Table1[[AwayTeam]:[AwayTeam]],U$36, Table1[[HomeTeam]:[HomeTeam]],$A56))), "")</f>
        <v/>
      </c>
      <c r="V56" s="36" t="str">
        <f>IFERROR(((2 * (SUMIFS(Table1[[AwayWon]:[AwayWon]], Table1[[GameIsOver]:[GameIsOver]], 1, Table1[[AwayTeam]:[AwayTeam]], $A56, Table1[[HomeTeam]:[HomeTeam]], V$36) + SUMIFS(Table1[[HomeWon]:[HomeWon]], Table1[[GameIsOver]:[GameIsOver]], 1, Table1[[HomeTeam]:[HomeTeam]], $A56, Table1[[AwayTeam]:[AwayTeam]], V$36))) + (SUMIFS(Table1[[HomeWon]:[HomeWon]], Table1[[GameIsOver]:[GameIsOver]], 1, Table1[[AwayTeam]:[AwayTeam]], $A56, Table1[[HomeTeam]:[HomeTeam]],  V$36, Table1[[ActualResult]:[ActualResult]], "OT") + SUMIFS(Table1[[AwayWon]:[AwayWon]], Table1[[GameIsOver]:[GameIsOver]], 1, Table1[[HomeTeam]:[HomeTeam]], $A56, Table1[[AwayTeam]:[AwayTeam]], V$36, Table1[[ActualResult]:[ActualResult]], "OT") + SUMIFS(Table1[[HomeWon]:[HomeWon]], Table1[[GameIsOver]:[GameIsOver]], 1, Table1[[AwayTeam]:[AwayTeam]], $A56, Table1[[HomeTeam]:[HomeTeam]], V$36, Table1[[ActualResult]:[ActualResult]], "SO") + SUMIFS(Table1[[AwayWon]:[AwayWon]], Table1[[GameIsOver]:[GameIsOver]], 1, Table1[[HomeTeam]:[HomeTeam]], $A56, Table1[[AwayTeam]:[AwayTeam]], V$36, Table1[[ActualResult]:[ActualResult]], "SO")))/ (2*((COUNTIFS(Table1[[GameIsOver]:[GameIsOver]],1,Table1[[AwayTeam]:[AwayTeam]],$A56, Table1[[HomeTeam]:[HomeTeam]], V$36)))+( COUNTIFS(Table1[[GameIsOver]:[GameIsOver]],1,Table1[[AwayTeam]:[AwayTeam]],V$36, Table1[[HomeTeam]:[HomeTeam]],$A56))), "")</f>
        <v/>
      </c>
      <c r="W56" s="36" t="str">
        <f>IFERROR(((2 * (SUMIFS(Table1[[AwayWon]:[AwayWon]], Table1[[GameIsOver]:[GameIsOver]], 1, Table1[[AwayTeam]:[AwayTeam]], $A56, Table1[[HomeTeam]:[HomeTeam]], W$36) + SUMIFS(Table1[[HomeWon]:[HomeWon]], Table1[[GameIsOver]:[GameIsOver]], 1, Table1[[HomeTeam]:[HomeTeam]], $A56, Table1[[AwayTeam]:[AwayTeam]], W$36))) + (SUMIFS(Table1[[HomeWon]:[HomeWon]], Table1[[GameIsOver]:[GameIsOver]], 1, Table1[[AwayTeam]:[AwayTeam]], $A56, Table1[[HomeTeam]:[HomeTeam]],  W$36, Table1[[ActualResult]:[ActualResult]], "OT") + SUMIFS(Table1[[AwayWon]:[AwayWon]], Table1[[GameIsOver]:[GameIsOver]], 1, Table1[[HomeTeam]:[HomeTeam]], $A56, Table1[[AwayTeam]:[AwayTeam]], W$36, Table1[[ActualResult]:[ActualResult]], "OT") + SUMIFS(Table1[[HomeWon]:[HomeWon]], Table1[[GameIsOver]:[GameIsOver]], 1, Table1[[AwayTeam]:[AwayTeam]], $A56, Table1[[HomeTeam]:[HomeTeam]], W$36, Table1[[ActualResult]:[ActualResult]], "SO") + SUMIFS(Table1[[AwayWon]:[AwayWon]], Table1[[GameIsOver]:[GameIsOver]], 1, Table1[[HomeTeam]:[HomeTeam]], $A56, Table1[[AwayTeam]:[AwayTeam]], W$36, Table1[[ActualResult]:[ActualResult]], "SO")))/ (2*((COUNTIFS(Table1[[GameIsOver]:[GameIsOver]],1,Table1[[AwayTeam]:[AwayTeam]],$A56, Table1[[HomeTeam]:[HomeTeam]], W$36)))+( COUNTIFS(Table1[[GameIsOver]:[GameIsOver]],1,Table1[[AwayTeam]:[AwayTeam]],W$36, Table1[[HomeTeam]:[HomeTeam]],$A56))), "")</f>
        <v/>
      </c>
      <c r="X56" s="36" t="str">
        <f>IFERROR(((2 * (SUMIFS(Table1[[AwayWon]:[AwayWon]], Table1[[GameIsOver]:[GameIsOver]], 1, Table1[[AwayTeam]:[AwayTeam]], $A56, Table1[[HomeTeam]:[HomeTeam]], X$36) + SUMIFS(Table1[[HomeWon]:[HomeWon]], Table1[[GameIsOver]:[GameIsOver]], 1, Table1[[HomeTeam]:[HomeTeam]], $A56, Table1[[AwayTeam]:[AwayTeam]], X$36))) + (SUMIFS(Table1[[HomeWon]:[HomeWon]], Table1[[GameIsOver]:[GameIsOver]], 1, Table1[[AwayTeam]:[AwayTeam]], $A56, Table1[[HomeTeam]:[HomeTeam]],  X$36, Table1[[ActualResult]:[ActualResult]], "OT") + SUMIFS(Table1[[AwayWon]:[AwayWon]], Table1[[GameIsOver]:[GameIsOver]], 1, Table1[[HomeTeam]:[HomeTeam]], $A56, Table1[[AwayTeam]:[AwayTeam]], X$36, Table1[[ActualResult]:[ActualResult]], "OT") + SUMIFS(Table1[[HomeWon]:[HomeWon]], Table1[[GameIsOver]:[GameIsOver]], 1, Table1[[AwayTeam]:[AwayTeam]], $A56, Table1[[HomeTeam]:[HomeTeam]], X$36, Table1[[ActualResult]:[ActualResult]], "SO") + SUMIFS(Table1[[AwayWon]:[AwayWon]], Table1[[GameIsOver]:[GameIsOver]], 1, Table1[[HomeTeam]:[HomeTeam]], $A56, Table1[[AwayTeam]:[AwayTeam]], X$36, Table1[[ActualResult]:[ActualResult]], "SO")))/ (2*((COUNTIFS(Table1[[GameIsOver]:[GameIsOver]],1,Table1[[AwayTeam]:[AwayTeam]],$A56, Table1[[HomeTeam]:[HomeTeam]], X$36)))+( COUNTIFS(Table1[[GameIsOver]:[GameIsOver]],1,Table1[[AwayTeam]:[AwayTeam]],X$36, Table1[[HomeTeam]:[HomeTeam]],$A56))), "")</f>
        <v/>
      </c>
      <c r="Y56" s="38" t="str">
        <f>IFERROR(((2 * (SUMIFS(Table1[[AwayWon]:[AwayWon]], Table1[[GameIsOver]:[GameIsOver]], 1, Table1[[AwayTeam]:[AwayTeam]], $A56, Table1[[HomeTeam]:[HomeTeam]], Y$36) + SUMIFS(Table1[[HomeWon]:[HomeWon]], Table1[[GameIsOver]:[GameIsOver]], 1, Table1[[HomeTeam]:[HomeTeam]], $A56, Table1[[AwayTeam]:[AwayTeam]], Y$36))) + (SUMIFS(Table1[[HomeWon]:[HomeWon]], Table1[[GameIsOver]:[GameIsOver]], 1, Table1[[AwayTeam]:[AwayTeam]], $A56, Table1[[HomeTeam]:[HomeTeam]],  Y$36, Table1[[ActualResult]:[ActualResult]], "OT") + SUMIFS(Table1[[AwayWon]:[AwayWon]], Table1[[GameIsOver]:[GameIsOver]], 1, Table1[[HomeTeam]:[HomeTeam]], $A56, Table1[[AwayTeam]:[AwayTeam]], Y$36, Table1[[ActualResult]:[ActualResult]], "OT") + SUMIFS(Table1[[HomeWon]:[HomeWon]], Table1[[GameIsOver]:[GameIsOver]], 1, Table1[[AwayTeam]:[AwayTeam]], $A56, Table1[[HomeTeam]:[HomeTeam]], Y$36, Table1[[ActualResult]:[ActualResult]], "SO") + SUMIFS(Table1[[AwayWon]:[AwayWon]], Table1[[GameIsOver]:[GameIsOver]], 1, Table1[[HomeTeam]:[HomeTeam]], $A56, Table1[[AwayTeam]:[AwayTeam]], Y$36, Table1[[ActualResult]:[ActualResult]], "SO")))/ (2*((COUNTIFS(Table1[[GameIsOver]:[GameIsOver]],1,Table1[[AwayTeam]:[AwayTeam]],$A56, Table1[[HomeTeam]:[HomeTeam]], Y$36)))+( COUNTIFS(Table1[[GameIsOver]:[GameIsOver]],1,Table1[[AwayTeam]:[AwayTeam]],Y$36, Table1[[HomeTeam]:[HomeTeam]],$A56))), "")</f>
        <v/>
      </c>
      <c r="Z56" s="36" t="str">
        <f>IFERROR(((2 * (SUMIFS(Table1[[AwayWon]:[AwayWon]], Table1[[GameIsOver]:[GameIsOver]], 1, Table1[[AwayTeam]:[AwayTeam]], $A56, Table1[[HomeTeam]:[HomeTeam]], Z$36) + SUMIFS(Table1[[HomeWon]:[HomeWon]], Table1[[GameIsOver]:[GameIsOver]], 1, Table1[[HomeTeam]:[HomeTeam]], $A56, Table1[[AwayTeam]:[AwayTeam]], Z$36))) + (SUMIFS(Table1[[HomeWon]:[HomeWon]], Table1[[GameIsOver]:[GameIsOver]], 1, Table1[[AwayTeam]:[AwayTeam]], $A56, Table1[[HomeTeam]:[HomeTeam]],  Z$36, Table1[[ActualResult]:[ActualResult]], "OT") + SUMIFS(Table1[[AwayWon]:[AwayWon]], Table1[[GameIsOver]:[GameIsOver]], 1, Table1[[HomeTeam]:[HomeTeam]], $A56, Table1[[AwayTeam]:[AwayTeam]], Z$36, Table1[[ActualResult]:[ActualResult]], "OT") + SUMIFS(Table1[[HomeWon]:[HomeWon]], Table1[[GameIsOver]:[GameIsOver]], 1, Table1[[AwayTeam]:[AwayTeam]], $A56, Table1[[HomeTeam]:[HomeTeam]], Z$36, Table1[[ActualResult]:[ActualResult]], "SO") + SUMIFS(Table1[[AwayWon]:[AwayWon]], Table1[[GameIsOver]:[GameIsOver]], 1, Table1[[HomeTeam]:[HomeTeam]], $A56, Table1[[AwayTeam]:[AwayTeam]], Z$36, Table1[[ActualResult]:[ActualResult]], "SO")))/ (2*((COUNTIFS(Table1[[GameIsOver]:[GameIsOver]],1,Table1[[AwayTeam]:[AwayTeam]],$A56, Table1[[HomeTeam]:[HomeTeam]], Z$36)))+( COUNTIFS(Table1[[GameIsOver]:[GameIsOver]],1,Table1[[AwayTeam]:[AwayTeam]],Z$36, Table1[[HomeTeam]:[HomeTeam]],$A56))), "")</f>
        <v/>
      </c>
      <c r="AA56" s="36" t="str">
        <f>IFERROR(((2 * (SUMIFS(Table1[[AwayWon]:[AwayWon]], Table1[[GameIsOver]:[GameIsOver]], 1, Table1[[AwayTeam]:[AwayTeam]], $A56, Table1[[HomeTeam]:[HomeTeam]], AA$36) + SUMIFS(Table1[[HomeWon]:[HomeWon]], Table1[[GameIsOver]:[GameIsOver]], 1, Table1[[HomeTeam]:[HomeTeam]], $A56, Table1[[AwayTeam]:[AwayTeam]], AA$36))) + (SUMIFS(Table1[[HomeWon]:[HomeWon]], Table1[[GameIsOver]:[GameIsOver]], 1, Table1[[AwayTeam]:[AwayTeam]], $A56, Table1[[HomeTeam]:[HomeTeam]],  AA$36, Table1[[ActualResult]:[ActualResult]], "OT") + SUMIFS(Table1[[AwayWon]:[AwayWon]], Table1[[GameIsOver]:[GameIsOver]], 1, Table1[[HomeTeam]:[HomeTeam]], $A56, Table1[[AwayTeam]:[AwayTeam]], AA$36, Table1[[ActualResult]:[ActualResult]], "OT") + SUMIFS(Table1[[HomeWon]:[HomeWon]], Table1[[GameIsOver]:[GameIsOver]], 1, Table1[[AwayTeam]:[AwayTeam]], $A56, Table1[[HomeTeam]:[HomeTeam]], AA$36, Table1[[ActualResult]:[ActualResult]], "SO") + SUMIFS(Table1[[AwayWon]:[AwayWon]], Table1[[GameIsOver]:[GameIsOver]], 1, Table1[[HomeTeam]:[HomeTeam]], $A56, Table1[[AwayTeam]:[AwayTeam]], AA$36, Table1[[ActualResult]:[ActualResult]], "SO")))/ (2*((COUNTIFS(Table1[[GameIsOver]:[GameIsOver]],1,Table1[[AwayTeam]:[AwayTeam]],$A56, Table1[[HomeTeam]:[HomeTeam]], AA$36)))+( COUNTIFS(Table1[[GameIsOver]:[GameIsOver]],1,Table1[[AwayTeam]:[AwayTeam]],AA$36, Table1[[HomeTeam]:[HomeTeam]],$A56))), "")</f>
        <v/>
      </c>
      <c r="AB56" s="36" t="str">
        <f>IFERROR(((2 * (SUMIFS(Table1[[AwayWon]:[AwayWon]], Table1[[GameIsOver]:[GameIsOver]], 1, Table1[[AwayTeam]:[AwayTeam]], $A56, Table1[[HomeTeam]:[HomeTeam]], AB$36) + SUMIFS(Table1[[HomeWon]:[HomeWon]], Table1[[GameIsOver]:[GameIsOver]], 1, Table1[[HomeTeam]:[HomeTeam]], $A56, Table1[[AwayTeam]:[AwayTeam]], AB$36))) + (SUMIFS(Table1[[HomeWon]:[HomeWon]], Table1[[GameIsOver]:[GameIsOver]], 1, Table1[[AwayTeam]:[AwayTeam]], $A56, Table1[[HomeTeam]:[HomeTeam]],  AB$36, Table1[[ActualResult]:[ActualResult]], "OT") + SUMIFS(Table1[[AwayWon]:[AwayWon]], Table1[[GameIsOver]:[GameIsOver]], 1, Table1[[HomeTeam]:[HomeTeam]], $A56, Table1[[AwayTeam]:[AwayTeam]], AB$36, Table1[[ActualResult]:[ActualResult]], "OT") + SUMIFS(Table1[[HomeWon]:[HomeWon]], Table1[[GameIsOver]:[GameIsOver]], 1, Table1[[AwayTeam]:[AwayTeam]], $A56, Table1[[HomeTeam]:[HomeTeam]], AB$36, Table1[[ActualResult]:[ActualResult]], "SO") + SUMIFS(Table1[[AwayWon]:[AwayWon]], Table1[[GameIsOver]:[GameIsOver]], 1, Table1[[HomeTeam]:[HomeTeam]], $A56, Table1[[AwayTeam]:[AwayTeam]], AB$36, Table1[[ActualResult]:[ActualResult]], "SO")))/ (2*((COUNTIFS(Table1[[GameIsOver]:[GameIsOver]],1,Table1[[AwayTeam]:[AwayTeam]],$A56, Table1[[HomeTeam]:[HomeTeam]], AB$36)))+( COUNTIFS(Table1[[GameIsOver]:[GameIsOver]],1,Table1[[AwayTeam]:[AwayTeam]],AB$36, Table1[[HomeTeam]:[HomeTeam]],$A56))), "")</f>
        <v/>
      </c>
      <c r="AC56" s="36" t="str">
        <f>IFERROR(((2 * (SUMIFS(Table1[[AwayWon]:[AwayWon]], Table1[[GameIsOver]:[GameIsOver]], 1, Table1[[AwayTeam]:[AwayTeam]], $A56, Table1[[HomeTeam]:[HomeTeam]], AC$36) + SUMIFS(Table1[[HomeWon]:[HomeWon]], Table1[[GameIsOver]:[GameIsOver]], 1, Table1[[HomeTeam]:[HomeTeam]], $A56, Table1[[AwayTeam]:[AwayTeam]], AC$36))) + (SUMIFS(Table1[[HomeWon]:[HomeWon]], Table1[[GameIsOver]:[GameIsOver]], 1, Table1[[AwayTeam]:[AwayTeam]], $A56, Table1[[HomeTeam]:[HomeTeam]],  AC$36, Table1[[ActualResult]:[ActualResult]], "OT") + SUMIFS(Table1[[AwayWon]:[AwayWon]], Table1[[GameIsOver]:[GameIsOver]], 1, Table1[[HomeTeam]:[HomeTeam]], $A56, Table1[[AwayTeam]:[AwayTeam]], AC$36, Table1[[ActualResult]:[ActualResult]], "OT") + SUMIFS(Table1[[HomeWon]:[HomeWon]], Table1[[GameIsOver]:[GameIsOver]], 1, Table1[[AwayTeam]:[AwayTeam]], $A56, Table1[[HomeTeam]:[HomeTeam]], AC$36, Table1[[ActualResult]:[ActualResult]], "SO") + SUMIFS(Table1[[AwayWon]:[AwayWon]], Table1[[GameIsOver]:[GameIsOver]], 1, Table1[[HomeTeam]:[HomeTeam]], $A56, Table1[[AwayTeam]:[AwayTeam]], AC$36, Table1[[ActualResult]:[ActualResult]], "SO")))/ (2*((COUNTIFS(Table1[[GameIsOver]:[GameIsOver]],1,Table1[[AwayTeam]:[AwayTeam]],$A56, Table1[[HomeTeam]:[HomeTeam]], AC$36)))+( COUNTIFS(Table1[[GameIsOver]:[GameIsOver]],1,Table1[[AwayTeam]:[AwayTeam]],AC$36, Table1[[HomeTeam]:[HomeTeam]],$A56))), "")</f>
        <v/>
      </c>
      <c r="AD56" s="36" t="str">
        <f>IFERROR(((2 * (SUMIFS(Table1[[AwayWon]:[AwayWon]], Table1[[GameIsOver]:[GameIsOver]], 1, Table1[[AwayTeam]:[AwayTeam]], $A56, Table1[[HomeTeam]:[HomeTeam]], AD$36) + SUMIFS(Table1[[HomeWon]:[HomeWon]], Table1[[GameIsOver]:[GameIsOver]], 1, Table1[[HomeTeam]:[HomeTeam]], $A56, Table1[[AwayTeam]:[AwayTeam]], AD$36))) + (SUMIFS(Table1[[HomeWon]:[HomeWon]], Table1[[GameIsOver]:[GameIsOver]], 1, Table1[[AwayTeam]:[AwayTeam]], $A56, Table1[[HomeTeam]:[HomeTeam]],  AD$36, Table1[[ActualResult]:[ActualResult]], "OT") + SUMIFS(Table1[[AwayWon]:[AwayWon]], Table1[[GameIsOver]:[GameIsOver]], 1, Table1[[HomeTeam]:[HomeTeam]], $A56, Table1[[AwayTeam]:[AwayTeam]], AD$36, Table1[[ActualResult]:[ActualResult]], "OT") + SUMIFS(Table1[[HomeWon]:[HomeWon]], Table1[[GameIsOver]:[GameIsOver]], 1, Table1[[AwayTeam]:[AwayTeam]], $A56, Table1[[HomeTeam]:[HomeTeam]], AD$36, Table1[[ActualResult]:[ActualResult]], "SO") + SUMIFS(Table1[[AwayWon]:[AwayWon]], Table1[[GameIsOver]:[GameIsOver]], 1, Table1[[HomeTeam]:[HomeTeam]], $A56, Table1[[AwayTeam]:[AwayTeam]], AD$36, Table1[[ActualResult]:[ActualResult]], "SO")))/ (2*((COUNTIFS(Table1[[GameIsOver]:[GameIsOver]],1,Table1[[AwayTeam]:[AwayTeam]],$A56, Table1[[HomeTeam]:[HomeTeam]], AD$36)))+( COUNTIFS(Table1[[GameIsOver]:[GameIsOver]],1,Table1[[AwayTeam]:[AwayTeam]],AD$36, Table1[[HomeTeam]:[HomeTeam]],$A56))), "")</f>
        <v/>
      </c>
      <c r="AE56" s="36" t="str">
        <f>IFERROR(((2 * (SUMIFS(Table1[[AwayWon]:[AwayWon]], Table1[[GameIsOver]:[GameIsOver]], 1, Table1[[AwayTeam]:[AwayTeam]], $A56, Table1[[HomeTeam]:[HomeTeam]], AE$36) + SUMIFS(Table1[[HomeWon]:[HomeWon]], Table1[[GameIsOver]:[GameIsOver]], 1, Table1[[HomeTeam]:[HomeTeam]], $A56, Table1[[AwayTeam]:[AwayTeam]], AE$36))) + (SUMIFS(Table1[[HomeWon]:[HomeWon]], Table1[[GameIsOver]:[GameIsOver]], 1, Table1[[AwayTeam]:[AwayTeam]], $A56, Table1[[HomeTeam]:[HomeTeam]],  AE$36, Table1[[ActualResult]:[ActualResult]], "OT") + SUMIFS(Table1[[AwayWon]:[AwayWon]], Table1[[GameIsOver]:[GameIsOver]], 1, Table1[[HomeTeam]:[HomeTeam]], $A56, Table1[[AwayTeam]:[AwayTeam]], AE$36, Table1[[ActualResult]:[ActualResult]], "OT") + SUMIFS(Table1[[HomeWon]:[HomeWon]], Table1[[GameIsOver]:[GameIsOver]], 1, Table1[[AwayTeam]:[AwayTeam]], $A56, Table1[[HomeTeam]:[HomeTeam]], AE$36, Table1[[ActualResult]:[ActualResult]], "SO") + SUMIFS(Table1[[AwayWon]:[AwayWon]], Table1[[GameIsOver]:[GameIsOver]], 1, Table1[[HomeTeam]:[HomeTeam]], $A56, Table1[[AwayTeam]:[AwayTeam]], AE$36, Table1[[ActualResult]:[ActualResult]], "SO")))/ (2*((COUNTIFS(Table1[[GameIsOver]:[GameIsOver]],1,Table1[[AwayTeam]:[AwayTeam]],$A56, Table1[[HomeTeam]:[HomeTeam]], AE$36)))+( COUNTIFS(Table1[[GameIsOver]:[GameIsOver]],1,Table1[[AwayTeam]:[AwayTeam]],AE$36, Table1[[HomeTeam]:[HomeTeam]],$A56))), "")</f>
        <v/>
      </c>
      <c r="AF56" s="36" t="str">
        <f>IFERROR(((2 * (SUMIFS(Table1[[AwayWon]:[AwayWon]], Table1[[GameIsOver]:[GameIsOver]], 1, Table1[[AwayTeam]:[AwayTeam]], $A56, Table1[[HomeTeam]:[HomeTeam]], AF$36) + SUMIFS(Table1[[HomeWon]:[HomeWon]], Table1[[GameIsOver]:[GameIsOver]], 1, Table1[[HomeTeam]:[HomeTeam]], $A56, Table1[[AwayTeam]:[AwayTeam]], AF$36))) + (SUMIFS(Table1[[HomeWon]:[HomeWon]], Table1[[GameIsOver]:[GameIsOver]], 1, Table1[[AwayTeam]:[AwayTeam]], $A56, Table1[[HomeTeam]:[HomeTeam]],  AF$36, Table1[[ActualResult]:[ActualResult]], "OT") + SUMIFS(Table1[[AwayWon]:[AwayWon]], Table1[[GameIsOver]:[GameIsOver]], 1, Table1[[HomeTeam]:[HomeTeam]], $A56, Table1[[AwayTeam]:[AwayTeam]], AF$36, Table1[[ActualResult]:[ActualResult]], "OT") + SUMIFS(Table1[[HomeWon]:[HomeWon]], Table1[[GameIsOver]:[GameIsOver]], 1, Table1[[AwayTeam]:[AwayTeam]], $A56, Table1[[HomeTeam]:[HomeTeam]], AF$36, Table1[[ActualResult]:[ActualResult]], "SO") + SUMIFS(Table1[[AwayWon]:[AwayWon]], Table1[[GameIsOver]:[GameIsOver]], 1, Table1[[HomeTeam]:[HomeTeam]], $A56, Table1[[AwayTeam]:[AwayTeam]], AF$36, Table1[[ActualResult]:[ActualResult]], "SO")))/ (2*((COUNTIFS(Table1[[GameIsOver]:[GameIsOver]],1,Table1[[AwayTeam]:[AwayTeam]],$A56, Table1[[HomeTeam]:[HomeTeam]], AF$36)))+( COUNTIFS(Table1[[GameIsOver]:[GameIsOver]],1,Table1[[AwayTeam]:[AwayTeam]],AF$36, Table1[[HomeTeam]:[HomeTeam]],$A56))), "")</f>
        <v/>
      </c>
      <c r="AG56" s="36">
        <f>IFERROR(((2 * (SUMIFS(Table1[[AwayWon]:[AwayWon]], Table1[[GameIsOver]:[GameIsOver]], 1, Table1[[AwayTeam]:[AwayTeam]], $A56, Table1[[HomeTeam]:[HomeTeam]], AG$36) + SUMIFS(Table1[[HomeWon]:[HomeWon]], Table1[[GameIsOver]:[GameIsOver]], 1, Table1[[HomeTeam]:[HomeTeam]], $A56, Table1[[AwayTeam]:[AwayTeam]], AG$36))) + (SUMIFS(Table1[[HomeWon]:[HomeWon]], Table1[[GameIsOver]:[GameIsOver]], 1, Table1[[AwayTeam]:[AwayTeam]], $A56, Table1[[HomeTeam]:[HomeTeam]],  AG$36, Table1[[ActualResult]:[ActualResult]], "OT") + SUMIFS(Table1[[AwayWon]:[AwayWon]], Table1[[GameIsOver]:[GameIsOver]], 1, Table1[[HomeTeam]:[HomeTeam]], $A56, Table1[[AwayTeam]:[AwayTeam]], AG$36, Table1[[ActualResult]:[ActualResult]], "OT") + SUMIFS(Table1[[HomeWon]:[HomeWon]], Table1[[GameIsOver]:[GameIsOver]], 1, Table1[[AwayTeam]:[AwayTeam]], $A56, Table1[[HomeTeam]:[HomeTeam]], AG$36, Table1[[ActualResult]:[ActualResult]], "SO") + SUMIFS(Table1[[AwayWon]:[AwayWon]], Table1[[GameIsOver]:[GameIsOver]], 1, Table1[[HomeTeam]:[HomeTeam]], $A56, Table1[[AwayTeam]:[AwayTeam]], AG$36, Table1[[ActualResult]:[ActualResult]], "SO")))/ (2*((COUNTIFS(Table1[[GameIsOver]:[GameIsOver]],1,Table1[[AwayTeam]:[AwayTeam]],$A56, Table1[[HomeTeam]:[HomeTeam]], AG$36)))+( COUNTIFS(Table1[[GameIsOver]:[GameIsOver]],1,Table1[[AwayTeam]:[AwayTeam]],AG$36, Table1[[HomeTeam]:[HomeTeam]],$A56))), "")</f>
        <v>1</v>
      </c>
      <c r="AH56" s="37">
        <f t="shared" si="0"/>
        <v>1</v>
      </c>
      <c r="AI56" s="37" t="e">
        <f t="shared" si="1"/>
        <v>#DIV/0!</v>
      </c>
      <c r="AJ56" s="38">
        <f t="shared" si="2"/>
        <v>1</v>
      </c>
      <c r="AK56" s="38" t="e">
        <f t="shared" si="3"/>
        <v>#DIV/0!</v>
      </c>
      <c r="AL56" s="38" t="e">
        <f t="shared" si="4"/>
        <v>#DIV/0!</v>
      </c>
      <c r="AM56" s="38" t="e">
        <f t="shared" si="5"/>
        <v>#DIV/0!</v>
      </c>
    </row>
    <row r="57" spans="1:39" x14ac:dyDescent="0.25">
      <c r="A57" s="17" t="s">
        <v>51</v>
      </c>
      <c r="B57" s="36" t="str">
        <f>IFERROR(((2 * (SUMIFS(Table1[[AwayWon]:[AwayWon]], Table1[[GameIsOver]:[GameIsOver]], 1, Table1[[AwayTeam]:[AwayTeam]], $A57, Table1[[HomeTeam]:[HomeTeam]], B$36) + SUMIFS(Table1[[HomeWon]:[HomeWon]], Table1[[GameIsOver]:[GameIsOver]], 1, Table1[[HomeTeam]:[HomeTeam]], $A57, Table1[[AwayTeam]:[AwayTeam]], B$36))) + (SUMIFS(Table1[[HomeWon]:[HomeWon]], Table1[[GameIsOver]:[GameIsOver]], 1, Table1[[AwayTeam]:[AwayTeam]], $A57, Table1[[HomeTeam]:[HomeTeam]],  B$36, Table1[[ActualResult]:[ActualResult]], "OT") + SUMIFS(Table1[[AwayWon]:[AwayWon]], Table1[[GameIsOver]:[GameIsOver]], 1, Table1[[HomeTeam]:[HomeTeam]], $A57, Table1[[AwayTeam]:[AwayTeam]], B$36, Table1[[ActualResult]:[ActualResult]], "OT") + SUMIFS(Table1[[HomeWon]:[HomeWon]], Table1[[GameIsOver]:[GameIsOver]], 1, Table1[[AwayTeam]:[AwayTeam]], $A57, Table1[[HomeTeam]:[HomeTeam]], B$36, Table1[[ActualResult]:[ActualResult]], "SO") + SUMIFS(Table1[[AwayWon]:[AwayWon]], Table1[[GameIsOver]:[GameIsOver]], 1, Table1[[HomeTeam]:[HomeTeam]], $A57, Table1[[AwayTeam]:[AwayTeam]], B$36, Table1[[ActualResult]:[ActualResult]], "SO")))/ (2*((COUNTIFS(Table1[[GameIsOver]:[GameIsOver]],1,Table1[[AwayTeam]:[AwayTeam]],$A57, Table1[[HomeTeam]:[HomeTeam]], B$36)))+( COUNTIFS(Table1[[GameIsOver]:[GameIsOver]],1,Table1[[AwayTeam]:[AwayTeam]],B$36, Table1[[HomeTeam]:[HomeTeam]],$A57))), "")</f>
        <v/>
      </c>
      <c r="C57" s="36" t="str">
        <f>IFERROR(((2 * (SUMIFS(Table1[[AwayWon]:[AwayWon]], Table1[[GameIsOver]:[GameIsOver]], 1, Table1[[AwayTeam]:[AwayTeam]], $A57, Table1[[HomeTeam]:[HomeTeam]], C$36) + SUMIFS(Table1[[HomeWon]:[HomeWon]], Table1[[GameIsOver]:[GameIsOver]], 1, Table1[[HomeTeam]:[HomeTeam]], $A57, Table1[[AwayTeam]:[AwayTeam]], C$36))) + (SUMIFS(Table1[[HomeWon]:[HomeWon]], Table1[[GameIsOver]:[GameIsOver]], 1, Table1[[AwayTeam]:[AwayTeam]], $A57, Table1[[HomeTeam]:[HomeTeam]],  C$36, Table1[[ActualResult]:[ActualResult]], "OT") + SUMIFS(Table1[[AwayWon]:[AwayWon]], Table1[[GameIsOver]:[GameIsOver]], 1, Table1[[HomeTeam]:[HomeTeam]], $A57, Table1[[AwayTeam]:[AwayTeam]], C$36, Table1[[ActualResult]:[ActualResult]], "OT") + SUMIFS(Table1[[HomeWon]:[HomeWon]], Table1[[GameIsOver]:[GameIsOver]], 1, Table1[[AwayTeam]:[AwayTeam]], $A57, Table1[[HomeTeam]:[HomeTeam]], C$36, Table1[[ActualResult]:[ActualResult]], "SO") + SUMIFS(Table1[[AwayWon]:[AwayWon]], Table1[[GameIsOver]:[GameIsOver]], 1, Table1[[HomeTeam]:[HomeTeam]], $A57, Table1[[AwayTeam]:[AwayTeam]], C$36, Table1[[ActualResult]:[ActualResult]], "SO")))/ (2*((COUNTIFS(Table1[[GameIsOver]:[GameIsOver]],1,Table1[[AwayTeam]:[AwayTeam]],$A57, Table1[[HomeTeam]:[HomeTeam]], C$36)))+( COUNTIFS(Table1[[GameIsOver]:[GameIsOver]],1,Table1[[AwayTeam]:[AwayTeam]],C$36, Table1[[HomeTeam]:[HomeTeam]],$A57))), "")</f>
        <v/>
      </c>
      <c r="D57" s="36" t="str">
        <f>IFERROR(((2 * (SUMIFS(Table1[[AwayWon]:[AwayWon]], Table1[[GameIsOver]:[GameIsOver]], 1, Table1[[AwayTeam]:[AwayTeam]], $A57, Table1[[HomeTeam]:[HomeTeam]], D$36) + SUMIFS(Table1[[HomeWon]:[HomeWon]], Table1[[GameIsOver]:[GameIsOver]], 1, Table1[[HomeTeam]:[HomeTeam]], $A57, Table1[[AwayTeam]:[AwayTeam]], D$36))) + (SUMIFS(Table1[[HomeWon]:[HomeWon]], Table1[[GameIsOver]:[GameIsOver]], 1, Table1[[AwayTeam]:[AwayTeam]], $A57, Table1[[HomeTeam]:[HomeTeam]],  D$36, Table1[[ActualResult]:[ActualResult]], "OT") + SUMIFS(Table1[[AwayWon]:[AwayWon]], Table1[[GameIsOver]:[GameIsOver]], 1, Table1[[HomeTeam]:[HomeTeam]], $A57, Table1[[AwayTeam]:[AwayTeam]], D$36, Table1[[ActualResult]:[ActualResult]], "OT") + SUMIFS(Table1[[HomeWon]:[HomeWon]], Table1[[GameIsOver]:[GameIsOver]], 1, Table1[[AwayTeam]:[AwayTeam]], $A57, Table1[[HomeTeam]:[HomeTeam]], D$36, Table1[[ActualResult]:[ActualResult]], "SO") + SUMIFS(Table1[[AwayWon]:[AwayWon]], Table1[[GameIsOver]:[GameIsOver]], 1, Table1[[HomeTeam]:[HomeTeam]], $A57, Table1[[AwayTeam]:[AwayTeam]], D$36, Table1[[ActualResult]:[ActualResult]], "SO")))/ (2*((COUNTIFS(Table1[[GameIsOver]:[GameIsOver]],1,Table1[[AwayTeam]:[AwayTeam]],$A57, Table1[[HomeTeam]:[HomeTeam]], D$36)))+( COUNTIFS(Table1[[GameIsOver]:[GameIsOver]],1,Table1[[AwayTeam]:[AwayTeam]],D$36, Table1[[HomeTeam]:[HomeTeam]],$A57))), "")</f>
        <v/>
      </c>
      <c r="E57" s="36" t="str">
        <f>IFERROR(((2 * (SUMIFS(Table1[[AwayWon]:[AwayWon]], Table1[[GameIsOver]:[GameIsOver]], 1, Table1[[AwayTeam]:[AwayTeam]], $A57, Table1[[HomeTeam]:[HomeTeam]], E$36) + SUMIFS(Table1[[HomeWon]:[HomeWon]], Table1[[GameIsOver]:[GameIsOver]], 1, Table1[[HomeTeam]:[HomeTeam]], $A57, Table1[[AwayTeam]:[AwayTeam]], E$36))) + (SUMIFS(Table1[[HomeWon]:[HomeWon]], Table1[[GameIsOver]:[GameIsOver]], 1, Table1[[AwayTeam]:[AwayTeam]], $A57, Table1[[HomeTeam]:[HomeTeam]],  E$36, Table1[[ActualResult]:[ActualResult]], "OT") + SUMIFS(Table1[[AwayWon]:[AwayWon]], Table1[[GameIsOver]:[GameIsOver]], 1, Table1[[HomeTeam]:[HomeTeam]], $A57, Table1[[AwayTeam]:[AwayTeam]], E$36, Table1[[ActualResult]:[ActualResult]], "OT") + SUMIFS(Table1[[HomeWon]:[HomeWon]], Table1[[GameIsOver]:[GameIsOver]], 1, Table1[[AwayTeam]:[AwayTeam]], $A57, Table1[[HomeTeam]:[HomeTeam]], E$36, Table1[[ActualResult]:[ActualResult]], "SO") + SUMIFS(Table1[[AwayWon]:[AwayWon]], Table1[[GameIsOver]:[GameIsOver]], 1, Table1[[HomeTeam]:[HomeTeam]], $A57, Table1[[AwayTeam]:[AwayTeam]], E$36, Table1[[ActualResult]:[ActualResult]], "SO")))/ (2*((COUNTIFS(Table1[[GameIsOver]:[GameIsOver]],1,Table1[[AwayTeam]:[AwayTeam]],$A57, Table1[[HomeTeam]:[HomeTeam]], E$36)))+( COUNTIFS(Table1[[GameIsOver]:[GameIsOver]],1,Table1[[AwayTeam]:[AwayTeam]],E$36, Table1[[HomeTeam]:[HomeTeam]],$A57))), "")</f>
        <v/>
      </c>
      <c r="F57" s="36" t="str">
        <f>IFERROR(((2 * (SUMIFS(Table1[[AwayWon]:[AwayWon]], Table1[[GameIsOver]:[GameIsOver]], 1, Table1[[AwayTeam]:[AwayTeam]], $A57, Table1[[HomeTeam]:[HomeTeam]], F$36) + SUMIFS(Table1[[HomeWon]:[HomeWon]], Table1[[GameIsOver]:[GameIsOver]], 1, Table1[[HomeTeam]:[HomeTeam]], $A57, Table1[[AwayTeam]:[AwayTeam]], F$36))) + (SUMIFS(Table1[[HomeWon]:[HomeWon]], Table1[[GameIsOver]:[GameIsOver]], 1, Table1[[AwayTeam]:[AwayTeam]], $A57, Table1[[HomeTeam]:[HomeTeam]],  F$36, Table1[[ActualResult]:[ActualResult]], "OT") + SUMIFS(Table1[[AwayWon]:[AwayWon]], Table1[[GameIsOver]:[GameIsOver]], 1, Table1[[HomeTeam]:[HomeTeam]], $A57, Table1[[AwayTeam]:[AwayTeam]], F$36, Table1[[ActualResult]:[ActualResult]], "OT") + SUMIFS(Table1[[HomeWon]:[HomeWon]], Table1[[GameIsOver]:[GameIsOver]], 1, Table1[[AwayTeam]:[AwayTeam]], $A57, Table1[[HomeTeam]:[HomeTeam]], F$36, Table1[[ActualResult]:[ActualResult]], "SO") + SUMIFS(Table1[[AwayWon]:[AwayWon]], Table1[[GameIsOver]:[GameIsOver]], 1, Table1[[HomeTeam]:[HomeTeam]], $A57, Table1[[AwayTeam]:[AwayTeam]], F$36, Table1[[ActualResult]:[ActualResult]], "SO")))/ (2*((COUNTIFS(Table1[[GameIsOver]:[GameIsOver]],1,Table1[[AwayTeam]:[AwayTeam]],$A57, Table1[[HomeTeam]:[HomeTeam]], F$36)))+( COUNTIFS(Table1[[GameIsOver]:[GameIsOver]],1,Table1[[AwayTeam]:[AwayTeam]],F$36, Table1[[HomeTeam]:[HomeTeam]],$A57))), "")</f>
        <v/>
      </c>
      <c r="G57" s="36" t="str">
        <f>IFERROR(((2 * (SUMIFS(Table1[[AwayWon]:[AwayWon]], Table1[[GameIsOver]:[GameIsOver]], 1, Table1[[AwayTeam]:[AwayTeam]], $A57, Table1[[HomeTeam]:[HomeTeam]], G$36) + SUMIFS(Table1[[HomeWon]:[HomeWon]], Table1[[GameIsOver]:[GameIsOver]], 1, Table1[[HomeTeam]:[HomeTeam]], $A57, Table1[[AwayTeam]:[AwayTeam]], G$36))) + (SUMIFS(Table1[[HomeWon]:[HomeWon]], Table1[[GameIsOver]:[GameIsOver]], 1, Table1[[AwayTeam]:[AwayTeam]], $A57, Table1[[HomeTeam]:[HomeTeam]],  G$36, Table1[[ActualResult]:[ActualResult]], "OT") + SUMIFS(Table1[[AwayWon]:[AwayWon]], Table1[[GameIsOver]:[GameIsOver]], 1, Table1[[HomeTeam]:[HomeTeam]], $A57, Table1[[AwayTeam]:[AwayTeam]], G$36, Table1[[ActualResult]:[ActualResult]], "OT") + SUMIFS(Table1[[HomeWon]:[HomeWon]], Table1[[GameIsOver]:[GameIsOver]], 1, Table1[[AwayTeam]:[AwayTeam]], $A57, Table1[[HomeTeam]:[HomeTeam]], G$36, Table1[[ActualResult]:[ActualResult]], "SO") + SUMIFS(Table1[[AwayWon]:[AwayWon]], Table1[[GameIsOver]:[GameIsOver]], 1, Table1[[HomeTeam]:[HomeTeam]], $A57, Table1[[AwayTeam]:[AwayTeam]], G$36, Table1[[ActualResult]:[ActualResult]], "SO")))/ (2*((COUNTIFS(Table1[[GameIsOver]:[GameIsOver]],1,Table1[[AwayTeam]:[AwayTeam]],$A57, Table1[[HomeTeam]:[HomeTeam]], G$36)))+( COUNTIFS(Table1[[GameIsOver]:[GameIsOver]],1,Table1[[AwayTeam]:[AwayTeam]],G$36, Table1[[HomeTeam]:[HomeTeam]],$A57))), "")</f>
        <v/>
      </c>
      <c r="H57" s="36" t="str">
        <f>IFERROR(((2 * (SUMIFS(Table1[[AwayWon]:[AwayWon]], Table1[[GameIsOver]:[GameIsOver]], 1, Table1[[AwayTeam]:[AwayTeam]], $A57, Table1[[HomeTeam]:[HomeTeam]], H$36) + SUMIFS(Table1[[HomeWon]:[HomeWon]], Table1[[GameIsOver]:[GameIsOver]], 1, Table1[[HomeTeam]:[HomeTeam]], $A57, Table1[[AwayTeam]:[AwayTeam]], H$36))) + (SUMIFS(Table1[[HomeWon]:[HomeWon]], Table1[[GameIsOver]:[GameIsOver]], 1, Table1[[AwayTeam]:[AwayTeam]], $A57, Table1[[HomeTeam]:[HomeTeam]],  H$36, Table1[[ActualResult]:[ActualResult]], "OT") + SUMIFS(Table1[[AwayWon]:[AwayWon]], Table1[[GameIsOver]:[GameIsOver]], 1, Table1[[HomeTeam]:[HomeTeam]], $A57, Table1[[AwayTeam]:[AwayTeam]], H$36, Table1[[ActualResult]:[ActualResult]], "OT") + SUMIFS(Table1[[HomeWon]:[HomeWon]], Table1[[GameIsOver]:[GameIsOver]], 1, Table1[[AwayTeam]:[AwayTeam]], $A57, Table1[[HomeTeam]:[HomeTeam]], H$36, Table1[[ActualResult]:[ActualResult]], "SO") + SUMIFS(Table1[[AwayWon]:[AwayWon]], Table1[[GameIsOver]:[GameIsOver]], 1, Table1[[HomeTeam]:[HomeTeam]], $A57, Table1[[AwayTeam]:[AwayTeam]], H$36, Table1[[ActualResult]:[ActualResult]], "SO")))/ (2*((COUNTIFS(Table1[[GameIsOver]:[GameIsOver]],1,Table1[[AwayTeam]:[AwayTeam]],$A57, Table1[[HomeTeam]:[HomeTeam]], H$36)))+( COUNTIFS(Table1[[GameIsOver]:[GameIsOver]],1,Table1[[AwayTeam]:[AwayTeam]],H$36, Table1[[HomeTeam]:[HomeTeam]],$A57))), "")</f>
        <v/>
      </c>
      <c r="I57" s="38" t="str">
        <f>IFERROR(((2 * (SUMIFS(Table1[[AwayWon]:[AwayWon]], Table1[[GameIsOver]:[GameIsOver]], 1, Table1[[AwayTeam]:[AwayTeam]], $A57, Table1[[HomeTeam]:[HomeTeam]], I$36) + SUMIFS(Table1[[HomeWon]:[HomeWon]], Table1[[GameIsOver]:[GameIsOver]], 1, Table1[[HomeTeam]:[HomeTeam]], $A57, Table1[[AwayTeam]:[AwayTeam]], I$36))) + (SUMIFS(Table1[[HomeWon]:[HomeWon]], Table1[[GameIsOver]:[GameIsOver]], 1, Table1[[AwayTeam]:[AwayTeam]], $A57, Table1[[HomeTeam]:[HomeTeam]],  I$36, Table1[[ActualResult]:[ActualResult]], "OT") + SUMIFS(Table1[[AwayWon]:[AwayWon]], Table1[[GameIsOver]:[GameIsOver]], 1, Table1[[HomeTeam]:[HomeTeam]], $A57, Table1[[AwayTeam]:[AwayTeam]], I$36, Table1[[ActualResult]:[ActualResult]], "OT") + SUMIFS(Table1[[HomeWon]:[HomeWon]], Table1[[GameIsOver]:[GameIsOver]], 1, Table1[[AwayTeam]:[AwayTeam]], $A57, Table1[[HomeTeam]:[HomeTeam]], I$36, Table1[[ActualResult]:[ActualResult]], "SO") + SUMIFS(Table1[[AwayWon]:[AwayWon]], Table1[[GameIsOver]:[GameIsOver]], 1, Table1[[HomeTeam]:[HomeTeam]], $A57, Table1[[AwayTeam]:[AwayTeam]], I$36, Table1[[ActualResult]:[ActualResult]], "SO")))/ (2*((COUNTIFS(Table1[[GameIsOver]:[GameIsOver]],1,Table1[[AwayTeam]:[AwayTeam]],$A57, Table1[[HomeTeam]:[HomeTeam]], I$36)))+( COUNTIFS(Table1[[GameIsOver]:[GameIsOver]],1,Table1[[AwayTeam]:[AwayTeam]],I$36, Table1[[HomeTeam]:[HomeTeam]],$A57))), "")</f>
        <v/>
      </c>
      <c r="J57" s="36" t="str">
        <f>IFERROR(((2 * (SUMIFS(Table1[[AwayWon]:[AwayWon]], Table1[[GameIsOver]:[GameIsOver]], 1, Table1[[AwayTeam]:[AwayTeam]], $A57, Table1[[HomeTeam]:[HomeTeam]], J$36) + SUMIFS(Table1[[HomeWon]:[HomeWon]], Table1[[GameIsOver]:[GameIsOver]], 1, Table1[[HomeTeam]:[HomeTeam]], $A57, Table1[[AwayTeam]:[AwayTeam]], J$36))) + (SUMIFS(Table1[[HomeWon]:[HomeWon]], Table1[[GameIsOver]:[GameIsOver]], 1, Table1[[AwayTeam]:[AwayTeam]], $A57, Table1[[HomeTeam]:[HomeTeam]],  J$36, Table1[[ActualResult]:[ActualResult]], "OT") + SUMIFS(Table1[[AwayWon]:[AwayWon]], Table1[[GameIsOver]:[GameIsOver]], 1, Table1[[HomeTeam]:[HomeTeam]], $A57, Table1[[AwayTeam]:[AwayTeam]], J$36, Table1[[ActualResult]:[ActualResult]], "OT") + SUMIFS(Table1[[HomeWon]:[HomeWon]], Table1[[GameIsOver]:[GameIsOver]], 1, Table1[[AwayTeam]:[AwayTeam]], $A57, Table1[[HomeTeam]:[HomeTeam]], J$36, Table1[[ActualResult]:[ActualResult]], "SO") + SUMIFS(Table1[[AwayWon]:[AwayWon]], Table1[[GameIsOver]:[GameIsOver]], 1, Table1[[HomeTeam]:[HomeTeam]], $A57, Table1[[AwayTeam]:[AwayTeam]], J$36, Table1[[ActualResult]:[ActualResult]], "SO")))/ (2*((COUNTIFS(Table1[[GameIsOver]:[GameIsOver]],1,Table1[[AwayTeam]:[AwayTeam]],$A57, Table1[[HomeTeam]:[HomeTeam]], J$36)))+( COUNTIFS(Table1[[GameIsOver]:[GameIsOver]],1,Table1[[AwayTeam]:[AwayTeam]],J$36, Table1[[HomeTeam]:[HomeTeam]],$A57))), "")</f>
        <v/>
      </c>
      <c r="K57" s="36" t="str">
        <f>IFERROR(((2 * (SUMIFS(Table1[[AwayWon]:[AwayWon]], Table1[[GameIsOver]:[GameIsOver]], 1, Table1[[AwayTeam]:[AwayTeam]], $A57, Table1[[HomeTeam]:[HomeTeam]], K$36) + SUMIFS(Table1[[HomeWon]:[HomeWon]], Table1[[GameIsOver]:[GameIsOver]], 1, Table1[[HomeTeam]:[HomeTeam]], $A57, Table1[[AwayTeam]:[AwayTeam]], K$36))) + (SUMIFS(Table1[[HomeWon]:[HomeWon]], Table1[[GameIsOver]:[GameIsOver]], 1, Table1[[AwayTeam]:[AwayTeam]], $A57, Table1[[HomeTeam]:[HomeTeam]],  K$36, Table1[[ActualResult]:[ActualResult]], "OT") + SUMIFS(Table1[[AwayWon]:[AwayWon]], Table1[[GameIsOver]:[GameIsOver]], 1, Table1[[HomeTeam]:[HomeTeam]], $A57, Table1[[AwayTeam]:[AwayTeam]], K$36, Table1[[ActualResult]:[ActualResult]], "OT") + SUMIFS(Table1[[HomeWon]:[HomeWon]], Table1[[GameIsOver]:[GameIsOver]], 1, Table1[[AwayTeam]:[AwayTeam]], $A57, Table1[[HomeTeam]:[HomeTeam]], K$36, Table1[[ActualResult]:[ActualResult]], "SO") + SUMIFS(Table1[[AwayWon]:[AwayWon]], Table1[[GameIsOver]:[GameIsOver]], 1, Table1[[HomeTeam]:[HomeTeam]], $A57, Table1[[AwayTeam]:[AwayTeam]], K$36, Table1[[ActualResult]:[ActualResult]], "SO")))/ (2*((COUNTIFS(Table1[[GameIsOver]:[GameIsOver]],1,Table1[[AwayTeam]:[AwayTeam]],$A57, Table1[[HomeTeam]:[HomeTeam]], K$36)))+( COUNTIFS(Table1[[GameIsOver]:[GameIsOver]],1,Table1[[AwayTeam]:[AwayTeam]],K$36, Table1[[HomeTeam]:[HomeTeam]],$A57))), "")</f>
        <v/>
      </c>
      <c r="L57" s="36" t="str">
        <f>IFERROR(((2 * (SUMIFS(Table1[[AwayWon]:[AwayWon]], Table1[[GameIsOver]:[GameIsOver]], 1, Table1[[AwayTeam]:[AwayTeam]], $A57, Table1[[HomeTeam]:[HomeTeam]], L$36) + SUMIFS(Table1[[HomeWon]:[HomeWon]], Table1[[GameIsOver]:[GameIsOver]], 1, Table1[[HomeTeam]:[HomeTeam]], $A57, Table1[[AwayTeam]:[AwayTeam]], L$36))) + (SUMIFS(Table1[[HomeWon]:[HomeWon]], Table1[[GameIsOver]:[GameIsOver]], 1, Table1[[AwayTeam]:[AwayTeam]], $A57, Table1[[HomeTeam]:[HomeTeam]],  L$36, Table1[[ActualResult]:[ActualResult]], "OT") + SUMIFS(Table1[[AwayWon]:[AwayWon]], Table1[[GameIsOver]:[GameIsOver]], 1, Table1[[HomeTeam]:[HomeTeam]], $A57, Table1[[AwayTeam]:[AwayTeam]], L$36, Table1[[ActualResult]:[ActualResult]], "OT") + SUMIFS(Table1[[HomeWon]:[HomeWon]], Table1[[GameIsOver]:[GameIsOver]], 1, Table1[[AwayTeam]:[AwayTeam]], $A57, Table1[[HomeTeam]:[HomeTeam]], L$36, Table1[[ActualResult]:[ActualResult]], "SO") + SUMIFS(Table1[[AwayWon]:[AwayWon]], Table1[[GameIsOver]:[GameIsOver]], 1, Table1[[HomeTeam]:[HomeTeam]], $A57, Table1[[AwayTeam]:[AwayTeam]], L$36, Table1[[ActualResult]:[ActualResult]], "SO")))/ (2*((COUNTIFS(Table1[[GameIsOver]:[GameIsOver]],1,Table1[[AwayTeam]:[AwayTeam]],$A57, Table1[[HomeTeam]:[HomeTeam]], L$36)))+( COUNTIFS(Table1[[GameIsOver]:[GameIsOver]],1,Table1[[AwayTeam]:[AwayTeam]],L$36, Table1[[HomeTeam]:[HomeTeam]],$A57))), "")</f>
        <v/>
      </c>
      <c r="M57" s="36" t="str">
        <f>IFERROR(((2 * (SUMIFS(Table1[[AwayWon]:[AwayWon]], Table1[[GameIsOver]:[GameIsOver]], 1, Table1[[AwayTeam]:[AwayTeam]], $A57, Table1[[HomeTeam]:[HomeTeam]], M$36) + SUMIFS(Table1[[HomeWon]:[HomeWon]], Table1[[GameIsOver]:[GameIsOver]], 1, Table1[[HomeTeam]:[HomeTeam]], $A57, Table1[[AwayTeam]:[AwayTeam]], M$36))) + (SUMIFS(Table1[[HomeWon]:[HomeWon]], Table1[[GameIsOver]:[GameIsOver]], 1, Table1[[AwayTeam]:[AwayTeam]], $A57, Table1[[HomeTeam]:[HomeTeam]],  M$36, Table1[[ActualResult]:[ActualResult]], "OT") + SUMIFS(Table1[[AwayWon]:[AwayWon]], Table1[[GameIsOver]:[GameIsOver]], 1, Table1[[HomeTeam]:[HomeTeam]], $A57, Table1[[AwayTeam]:[AwayTeam]], M$36, Table1[[ActualResult]:[ActualResult]], "OT") + SUMIFS(Table1[[HomeWon]:[HomeWon]], Table1[[GameIsOver]:[GameIsOver]], 1, Table1[[AwayTeam]:[AwayTeam]], $A57, Table1[[HomeTeam]:[HomeTeam]], M$36, Table1[[ActualResult]:[ActualResult]], "SO") + SUMIFS(Table1[[AwayWon]:[AwayWon]], Table1[[GameIsOver]:[GameIsOver]], 1, Table1[[HomeTeam]:[HomeTeam]], $A57, Table1[[AwayTeam]:[AwayTeam]], M$36, Table1[[ActualResult]:[ActualResult]], "SO")))/ (2*((COUNTIFS(Table1[[GameIsOver]:[GameIsOver]],1,Table1[[AwayTeam]:[AwayTeam]],$A57, Table1[[HomeTeam]:[HomeTeam]], M$36)))+( COUNTIFS(Table1[[GameIsOver]:[GameIsOver]],1,Table1[[AwayTeam]:[AwayTeam]],M$36, Table1[[HomeTeam]:[HomeTeam]],$A57))), "")</f>
        <v/>
      </c>
      <c r="N57" s="36" t="str">
        <f>IFERROR(((2 * (SUMIFS(Table1[[AwayWon]:[AwayWon]], Table1[[GameIsOver]:[GameIsOver]], 1, Table1[[AwayTeam]:[AwayTeam]], $A57, Table1[[HomeTeam]:[HomeTeam]], N$36) + SUMIFS(Table1[[HomeWon]:[HomeWon]], Table1[[GameIsOver]:[GameIsOver]], 1, Table1[[HomeTeam]:[HomeTeam]], $A57, Table1[[AwayTeam]:[AwayTeam]], N$36))) + (SUMIFS(Table1[[HomeWon]:[HomeWon]], Table1[[GameIsOver]:[GameIsOver]], 1, Table1[[AwayTeam]:[AwayTeam]], $A57, Table1[[HomeTeam]:[HomeTeam]],  N$36, Table1[[ActualResult]:[ActualResult]], "OT") + SUMIFS(Table1[[AwayWon]:[AwayWon]], Table1[[GameIsOver]:[GameIsOver]], 1, Table1[[HomeTeam]:[HomeTeam]], $A57, Table1[[AwayTeam]:[AwayTeam]], N$36, Table1[[ActualResult]:[ActualResult]], "OT") + SUMIFS(Table1[[HomeWon]:[HomeWon]], Table1[[GameIsOver]:[GameIsOver]], 1, Table1[[AwayTeam]:[AwayTeam]], $A57, Table1[[HomeTeam]:[HomeTeam]], N$36, Table1[[ActualResult]:[ActualResult]], "SO") + SUMIFS(Table1[[AwayWon]:[AwayWon]], Table1[[GameIsOver]:[GameIsOver]], 1, Table1[[HomeTeam]:[HomeTeam]], $A57, Table1[[AwayTeam]:[AwayTeam]], N$36, Table1[[ActualResult]:[ActualResult]], "SO")))/ (2*((COUNTIFS(Table1[[GameIsOver]:[GameIsOver]],1,Table1[[AwayTeam]:[AwayTeam]],$A57, Table1[[HomeTeam]:[HomeTeam]], N$36)))+( COUNTIFS(Table1[[GameIsOver]:[GameIsOver]],1,Table1[[AwayTeam]:[AwayTeam]],N$36, Table1[[HomeTeam]:[HomeTeam]],$A57))), "")</f>
        <v/>
      </c>
      <c r="O57" s="36" t="str">
        <f>IFERROR(((2 * (SUMIFS(Table1[[AwayWon]:[AwayWon]], Table1[[GameIsOver]:[GameIsOver]], 1, Table1[[AwayTeam]:[AwayTeam]], $A57, Table1[[HomeTeam]:[HomeTeam]], O$36) + SUMIFS(Table1[[HomeWon]:[HomeWon]], Table1[[GameIsOver]:[GameIsOver]], 1, Table1[[HomeTeam]:[HomeTeam]], $A57, Table1[[AwayTeam]:[AwayTeam]], O$36))) + (SUMIFS(Table1[[HomeWon]:[HomeWon]], Table1[[GameIsOver]:[GameIsOver]], 1, Table1[[AwayTeam]:[AwayTeam]], $A57, Table1[[HomeTeam]:[HomeTeam]],  O$36, Table1[[ActualResult]:[ActualResult]], "OT") + SUMIFS(Table1[[AwayWon]:[AwayWon]], Table1[[GameIsOver]:[GameIsOver]], 1, Table1[[HomeTeam]:[HomeTeam]], $A57, Table1[[AwayTeam]:[AwayTeam]], O$36, Table1[[ActualResult]:[ActualResult]], "OT") + SUMIFS(Table1[[HomeWon]:[HomeWon]], Table1[[GameIsOver]:[GameIsOver]], 1, Table1[[AwayTeam]:[AwayTeam]], $A57, Table1[[HomeTeam]:[HomeTeam]], O$36, Table1[[ActualResult]:[ActualResult]], "SO") + SUMIFS(Table1[[AwayWon]:[AwayWon]], Table1[[GameIsOver]:[GameIsOver]], 1, Table1[[HomeTeam]:[HomeTeam]], $A57, Table1[[AwayTeam]:[AwayTeam]], O$36, Table1[[ActualResult]:[ActualResult]], "SO")))/ (2*((COUNTIFS(Table1[[GameIsOver]:[GameIsOver]],1,Table1[[AwayTeam]:[AwayTeam]],$A57, Table1[[HomeTeam]:[HomeTeam]], O$36)))+( COUNTIFS(Table1[[GameIsOver]:[GameIsOver]],1,Table1[[AwayTeam]:[AwayTeam]],O$36, Table1[[HomeTeam]:[HomeTeam]],$A57))), "")</f>
        <v/>
      </c>
      <c r="P57" s="36" t="str">
        <f>IFERROR(((2 * (SUMIFS(Table1[[AwayWon]:[AwayWon]], Table1[[GameIsOver]:[GameIsOver]], 1, Table1[[AwayTeam]:[AwayTeam]], $A57, Table1[[HomeTeam]:[HomeTeam]], P$36) + SUMIFS(Table1[[HomeWon]:[HomeWon]], Table1[[GameIsOver]:[GameIsOver]], 1, Table1[[HomeTeam]:[HomeTeam]], $A57, Table1[[AwayTeam]:[AwayTeam]], P$36))) + (SUMIFS(Table1[[HomeWon]:[HomeWon]], Table1[[GameIsOver]:[GameIsOver]], 1, Table1[[AwayTeam]:[AwayTeam]], $A57, Table1[[HomeTeam]:[HomeTeam]],  P$36, Table1[[ActualResult]:[ActualResult]], "OT") + SUMIFS(Table1[[AwayWon]:[AwayWon]], Table1[[GameIsOver]:[GameIsOver]], 1, Table1[[HomeTeam]:[HomeTeam]], $A57, Table1[[AwayTeam]:[AwayTeam]], P$36, Table1[[ActualResult]:[ActualResult]], "OT") + SUMIFS(Table1[[HomeWon]:[HomeWon]], Table1[[GameIsOver]:[GameIsOver]], 1, Table1[[AwayTeam]:[AwayTeam]], $A57, Table1[[HomeTeam]:[HomeTeam]], P$36, Table1[[ActualResult]:[ActualResult]], "SO") + SUMIFS(Table1[[AwayWon]:[AwayWon]], Table1[[GameIsOver]:[GameIsOver]], 1, Table1[[HomeTeam]:[HomeTeam]], $A57, Table1[[AwayTeam]:[AwayTeam]], P$36, Table1[[ActualResult]:[ActualResult]], "SO")))/ (2*((COUNTIFS(Table1[[GameIsOver]:[GameIsOver]],1,Table1[[AwayTeam]:[AwayTeam]],$A57, Table1[[HomeTeam]:[HomeTeam]], P$36)))+( COUNTIFS(Table1[[GameIsOver]:[GameIsOver]],1,Table1[[AwayTeam]:[AwayTeam]],P$36, Table1[[HomeTeam]:[HomeTeam]],$A57))), "")</f>
        <v/>
      </c>
      <c r="Q57" s="38" t="str">
        <f>IFERROR(((2 * (SUMIFS(Table1[[AwayWon]:[AwayWon]], Table1[[GameIsOver]:[GameIsOver]], 1, Table1[[AwayTeam]:[AwayTeam]], $A57, Table1[[HomeTeam]:[HomeTeam]], Q$36) + SUMIFS(Table1[[HomeWon]:[HomeWon]], Table1[[GameIsOver]:[GameIsOver]], 1, Table1[[HomeTeam]:[HomeTeam]], $A57, Table1[[AwayTeam]:[AwayTeam]], Q$36))) + (SUMIFS(Table1[[HomeWon]:[HomeWon]], Table1[[GameIsOver]:[GameIsOver]], 1, Table1[[AwayTeam]:[AwayTeam]], $A57, Table1[[HomeTeam]:[HomeTeam]],  Q$36, Table1[[ActualResult]:[ActualResult]], "OT") + SUMIFS(Table1[[AwayWon]:[AwayWon]], Table1[[GameIsOver]:[GameIsOver]], 1, Table1[[HomeTeam]:[HomeTeam]], $A57, Table1[[AwayTeam]:[AwayTeam]], Q$36, Table1[[ActualResult]:[ActualResult]], "OT") + SUMIFS(Table1[[HomeWon]:[HomeWon]], Table1[[GameIsOver]:[GameIsOver]], 1, Table1[[AwayTeam]:[AwayTeam]], $A57, Table1[[HomeTeam]:[HomeTeam]], Q$36, Table1[[ActualResult]:[ActualResult]], "SO") + SUMIFS(Table1[[AwayWon]:[AwayWon]], Table1[[GameIsOver]:[GameIsOver]], 1, Table1[[HomeTeam]:[HomeTeam]], $A57, Table1[[AwayTeam]:[AwayTeam]], Q$36, Table1[[ActualResult]:[ActualResult]], "SO")))/ (2*((COUNTIFS(Table1[[GameIsOver]:[GameIsOver]],1,Table1[[AwayTeam]:[AwayTeam]],$A57, Table1[[HomeTeam]:[HomeTeam]], Q$36)))+( COUNTIFS(Table1[[GameIsOver]:[GameIsOver]],1,Table1[[AwayTeam]:[AwayTeam]],Q$36, Table1[[HomeTeam]:[HomeTeam]],$A57))), "")</f>
        <v/>
      </c>
      <c r="R57" s="36" t="str">
        <f>IFERROR(((2 * (SUMIFS(Table1[[AwayWon]:[AwayWon]], Table1[[GameIsOver]:[GameIsOver]], 1, Table1[[AwayTeam]:[AwayTeam]], $A57, Table1[[HomeTeam]:[HomeTeam]], R$36) + SUMIFS(Table1[[HomeWon]:[HomeWon]], Table1[[GameIsOver]:[GameIsOver]], 1, Table1[[HomeTeam]:[HomeTeam]], $A57, Table1[[AwayTeam]:[AwayTeam]], R$36))) + (SUMIFS(Table1[[HomeWon]:[HomeWon]], Table1[[GameIsOver]:[GameIsOver]], 1, Table1[[AwayTeam]:[AwayTeam]], $A57, Table1[[HomeTeam]:[HomeTeam]],  R$36, Table1[[ActualResult]:[ActualResult]], "OT") + SUMIFS(Table1[[AwayWon]:[AwayWon]], Table1[[GameIsOver]:[GameIsOver]], 1, Table1[[HomeTeam]:[HomeTeam]], $A57, Table1[[AwayTeam]:[AwayTeam]], R$36, Table1[[ActualResult]:[ActualResult]], "OT") + SUMIFS(Table1[[HomeWon]:[HomeWon]], Table1[[GameIsOver]:[GameIsOver]], 1, Table1[[AwayTeam]:[AwayTeam]], $A57, Table1[[HomeTeam]:[HomeTeam]], R$36, Table1[[ActualResult]:[ActualResult]], "SO") + SUMIFS(Table1[[AwayWon]:[AwayWon]], Table1[[GameIsOver]:[GameIsOver]], 1, Table1[[HomeTeam]:[HomeTeam]], $A57, Table1[[AwayTeam]:[AwayTeam]], R$36, Table1[[ActualResult]:[ActualResult]], "SO")))/ (2*((COUNTIFS(Table1[[GameIsOver]:[GameIsOver]],1,Table1[[AwayTeam]:[AwayTeam]],$A57, Table1[[HomeTeam]:[HomeTeam]], R$36)))+( COUNTIFS(Table1[[GameIsOver]:[GameIsOver]],1,Table1[[AwayTeam]:[AwayTeam]],R$36, Table1[[HomeTeam]:[HomeTeam]],$A57))), "")</f>
        <v/>
      </c>
      <c r="S57" s="36" t="str">
        <f>IFERROR(((2 * (SUMIFS(Table1[[AwayWon]:[AwayWon]], Table1[[GameIsOver]:[GameIsOver]], 1, Table1[[AwayTeam]:[AwayTeam]], $A57, Table1[[HomeTeam]:[HomeTeam]], S$36) + SUMIFS(Table1[[HomeWon]:[HomeWon]], Table1[[GameIsOver]:[GameIsOver]], 1, Table1[[HomeTeam]:[HomeTeam]], $A57, Table1[[AwayTeam]:[AwayTeam]], S$36))) + (SUMIFS(Table1[[HomeWon]:[HomeWon]], Table1[[GameIsOver]:[GameIsOver]], 1, Table1[[AwayTeam]:[AwayTeam]], $A57, Table1[[HomeTeam]:[HomeTeam]],  S$36, Table1[[ActualResult]:[ActualResult]], "OT") + SUMIFS(Table1[[AwayWon]:[AwayWon]], Table1[[GameIsOver]:[GameIsOver]], 1, Table1[[HomeTeam]:[HomeTeam]], $A57, Table1[[AwayTeam]:[AwayTeam]], S$36, Table1[[ActualResult]:[ActualResult]], "OT") + SUMIFS(Table1[[HomeWon]:[HomeWon]], Table1[[GameIsOver]:[GameIsOver]], 1, Table1[[AwayTeam]:[AwayTeam]], $A57, Table1[[HomeTeam]:[HomeTeam]], S$36, Table1[[ActualResult]:[ActualResult]], "SO") + SUMIFS(Table1[[AwayWon]:[AwayWon]], Table1[[GameIsOver]:[GameIsOver]], 1, Table1[[HomeTeam]:[HomeTeam]], $A57, Table1[[AwayTeam]:[AwayTeam]], S$36, Table1[[ActualResult]:[ActualResult]], "SO")))/ (2*((COUNTIFS(Table1[[GameIsOver]:[GameIsOver]],1,Table1[[AwayTeam]:[AwayTeam]],$A57, Table1[[HomeTeam]:[HomeTeam]], S$36)))+( COUNTIFS(Table1[[GameIsOver]:[GameIsOver]],1,Table1[[AwayTeam]:[AwayTeam]],S$36, Table1[[HomeTeam]:[HomeTeam]],$A57))), "")</f>
        <v/>
      </c>
      <c r="T57" s="36" t="str">
        <f>IFERROR(((2 * (SUMIFS(Table1[[AwayWon]:[AwayWon]], Table1[[GameIsOver]:[GameIsOver]], 1, Table1[[AwayTeam]:[AwayTeam]], $A57, Table1[[HomeTeam]:[HomeTeam]], T$36) + SUMIFS(Table1[[HomeWon]:[HomeWon]], Table1[[GameIsOver]:[GameIsOver]], 1, Table1[[HomeTeam]:[HomeTeam]], $A57, Table1[[AwayTeam]:[AwayTeam]], T$36))) + (SUMIFS(Table1[[HomeWon]:[HomeWon]], Table1[[GameIsOver]:[GameIsOver]], 1, Table1[[AwayTeam]:[AwayTeam]], $A57, Table1[[HomeTeam]:[HomeTeam]],  T$36, Table1[[ActualResult]:[ActualResult]], "OT") + SUMIFS(Table1[[AwayWon]:[AwayWon]], Table1[[GameIsOver]:[GameIsOver]], 1, Table1[[HomeTeam]:[HomeTeam]], $A57, Table1[[AwayTeam]:[AwayTeam]], T$36, Table1[[ActualResult]:[ActualResult]], "OT") + SUMIFS(Table1[[HomeWon]:[HomeWon]], Table1[[GameIsOver]:[GameIsOver]], 1, Table1[[AwayTeam]:[AwayTeam]], $A57, Table1[[HomeTeam]:[HomeTeam]], T$36, Table1[[ActualResult]:[ActualResult]], "SO") + SUMIFS(Table1[[AwayWon]:[AwayWon]], Table1[[GameIsOver]:[GameIsOver]], 1, Table1[[HomeTeam]:[HomeTeam]], $A57, Table1[[AwayTeam]:[AwayTeam]], T$36, Table1[[ActualResult]:[ActualResult]], "SO")))/ (2*((COUNTIFS(Table1[[GameIsOver]:[GameIsOver]],1,Table1[[AwayTeam]:[AwayTeam]],$A57, Table1[[HomeTeam]:[HomeTeam]], T$36)))+( COUNTIFS(Table1[[GameIsOver]:[GameIsOver]],1,Table1[[AwayTeam]:[AwayTeam]],T$36, Table1[[HomeTeam]:[HomeTeam]],$A57))), "")</f>
        <v/>
      </c>
      <c r="U57" s="36" t="str">
        <f>IFERROR(((2 * (SUMIFS(Table1[[AwayWon]:[AwayWon]], Table1[[GameIsOver]:[GameIsOver]], 1, Table1[[AwayTeam]:[AwayTeam]], $A57, Table1[[HomeTeam]:[HomeTeam]], U$36) + SUMIFS(Table1[[HomeWon]:[HomeWon]], Table1[[GameIsOver]:[GameIsOver]], 1, Table1[[HomeTeam]:[HomeTeam]], $A57, Table1[[AwayTeam]:[AwayTeam]], U$36))) + (SUMIFS(Table1[[HomeWon]:[HomeWon]], Table1[[GameIsOver]:[GameIsOver]], 1, Table1[[AwayTeam]:[AwayTeam]], $A57, Table1[[HomeTeam]:[HomeTeam]],  U$36, Table1[[ActualResult]:[ActualResult]], "OT") + SUMIFS(Table1[[AwayWon]:[AwayWon]], Table1[[GameIsOver]:[GameIsOver]], 1, Table1[[HomeTeam]:[HomeTeam]], $A57, Table1[[AwayTeam]:[AwayTeam]], U$36, Table1[[ActualResult]:[ActualResult]], "OT") + SUMIFS(Table1[[HomeWon]:[HomeWon]], Table1[[GameIsOver]:[GameIsOver]], 1, Table1[[AwayTeam]:[AwayTeam]], $A57, Table1[[HomeTeam]:[HomeTeam]], U$36, Table1[[ActualResult]:[ActualResult]], "SO") + SUMIFS(Table1[[AwayWon]:[AwayWon]], Table1[[GameIsOver]:[GameIsOver]], 1, Table1[[HomeTeam]:[HomeTeam]], $A57, Table1[[AwayTeam]:[AwayTeam]], U$36, Table1[[ActualResult]:[ActualResult]], "SO")))/ (2*((COUNTIFS(Table1[[GameIsOver]:[GameIsOver]],1,Table1[[AwayTeam]:[AwayTeam]],$A57, Table1[[HomeTeam]:[HomeTeam]], U$36)))+( COUNTIFS(Table1[[GameIsOver]:[GameIsOver]],1,Table1[[AwayTeam]:[AwayTeam]],U$36, Table1[[HomeTeam]:[HomeTeam]],$A57))), "")</f>
        <v/>
      </c>
      <c r="V57" s="36" t="str">
        <f>IFERROR(((2 * (SUMIFS(Table1[[AwayWon]:[AwayWon]], Table1[[GameIsOver]:[GameIsOver]], 1, Table1[[AwayTeam]:[AwayTeam]], $A57, Table1[[HomeTeam]:[HomeTeam]], V$36) + SUMIFS(Table1[[HomeWon]:[HomeWon]], Table1[[GameIsOver]:[GameIsOver]], 1, Table1[[HomeTeam]:[HomeTeam]], $A57, Table1[[AwayTeam]:[AwayTeam]], V$36))) + (SUMIFS(Table1[[HomeWon]:[HomeWon]], Table1[[GameIsOver]:[GameIsOver]], 1, Table1[[AwayTeam]:[AwayTeam]], $A57, Table1[[HomeTeam]:[HomeTeam]],  V$36, Table1[[ActualResult]:[ActualResult]], "OT") + SUMIFS(Table1[[AwayWon]:[AwayWon]], Table1[[GameIsOver]:[GameIsOver]], 1, Table1[[HomeTeam]:[HomeTeam]], $A57, Table1[[AwayTeam]:[AwayTeam]], V$36, Table1[[ActualResult]:[ActualResult]], "OT") + SUMIFS(Table1[[HomeWon]:[HomeWon]], Table1[[GameIsOver]:[GameIsOver]], 1, Table1[[AwayTeam]:[AwayTeam]], $A57, Table1[[HomeTeam]:[HomeTeam]], V$36, Table1[[ActualResult]:[ActualResult]], "SO") + SUMIFS(Table1[[AwayWon]:[AwayWon]], Table1[[GameIsOver]:[GameIsOver]], 1, Table1[[HomeTeam]:[HomeTeam]], $A57, Table1[[AwayTeam]:[AwayTeam]], V$36, Table1[[ActualResult]:[ActualResult]], "SO")))/ (2*((COUNTIFS(Table1[[GameIsOver]:[GameIsOver]],1,Table1[[AwayTeam]:[AwayTeam]],$A57, Table1[[HomeTeam]:[HomeTeam]], V$36)))+( COUNTIFS(Table1[[GameIsOver]:[GameIsOver]],1,Table1[[AwayTeam]:[AwayTeam]],V$36, Table1[[HomeTeam]:[HomeTeam]],$A57))), "")</f>
        <v/>
      </c>
      <c r="W57" s="36" t="str">
        <f>IFERROR(((2 * (SUMIFS(Table1[[AwayWon]:[AwayWon]], Table1[[GameIsOver]:[GameIsOver]], 1, Table1[[AwayTeam]:[AwayTeam]], $A57, Table1[[HomeTeam]:[HomeTeam]], W$36) + SUMIFS(Table1[[HomeWon]:[HomeWon]], Table1[[GameIsOver]:[GameIsOver]], 1, Table1[[HomeTeam]:[HomeTeam]], $A57, Table1[[AwayTeam]:[AwayTeam]], W$36))) + (SUMIFS(Table1[[HomeWon]:[HomeWon]], Table1[[GameIsOver]:[GameIsOver]], 1, Table1[[AwayTeam]:[AwayTeam]], $A57, Table1[[HomeTeam]:[HomeTeam]],  W$36, Table1[[ActualResult]:[ActualResult]], "OT") + SUMIFS(Table1[[AwayWon]:[AwayWon]], Table1[[GameIsOver]:[GameIsOver]], 1, Table1[[HomeTeam]:[HomeTeam]], $A57, Table1[[AwayTeam]:[AwayTeam]], W$36, Table1[[ActualResult]:[ActualResult]], "OT") + SUMIFS(Table1[[HomeWon]:[HomeWon]], Table1[[GameIsOver]:[GameIsOver]], 1, Table1[[AwayTeam]:[AwayTeam]], $A57, Table1[[HomeTeam]:[HomeTeam]], W$36, Table1[[ActualResult]:[ActualResult]], "SO") + SUMIFS(Table1[[AwayWon]:[AwayWon]], Table1[[GameIsOver]:[GameIsOver]], 1, Table1[[HomeTeam]:[HomeTeam]], $A57, Table1[[AwayTeam]:[AwayTeam]], W$36, Table1[[ActualResult]:[ActualResult]], "SO")))/ (2*((COUNTIFS(Table1[[GameIsOver]:[GameIsOver]],1,Table1[[AwayTeam]:[AwayTeam]],$A57, Table1[[HomeTeam]:[HomeTeam]], W$36)))+( COUNTIFS(Table1[[GameIsOver]:[GameIsOver]],1,Table1[[AwayTeam]:[AwayTeam]],W$36, Table1[[HomeTeam]:[HomeTeam]],$A57))), "")</f>
        <v/>
      </c>
      <c r="X57" s="36" t="str">
        <f>IFERROR(((2 * (SUMIFS(Table1[[AwayWon]:[AwayWon]], Table1[[GameIsOver]:[GameIsOver]], 1, Table1[[AwayTeam]:[AwayTeam]], $A57, Table1[[HomeTeam]:[HomeTeam]], X$36) + SUMIFS(Table1[[HomeWon]:[HomeWon]], Table1[[GameIsOver]:[GameIsOver]], 1, Table1[[HomeTeam]:[HomeTeam]], $A57, Table1[[AwayTeam]:[AwayTeam]], X$36))) + (SUMIFS(Table1[[HomeWon]:[HomeWon]], Table1[[GameIsOver]:[GameIsOver]], 1, Table1[[AwayTeam]:[AwayTeam]], $A57, Table1[[HomeTeam]:[HomeTeam]],  X$36, Table1[[ActualResult]:[ActualResult]], "OT") + SUMIFS(Table1[[AwayWon]:[AwayWon]], Table1[[GameIsOver]:[GameIsOver]], 1, Table1[[HomeTeam]:[HomeTeam]], $A57, Table1[[AwayTeam]:[AwayTeam]], X$36, Table1[[ActualResult]:[ActualResult]], "OT") + SUMIFS(Table1[[HomeWon]:[HomeWon]], Table1[[GameIsOver]:[GameIsOver]], 1, Table1[[AwayTeam]:[AwayTeam]], $A57, Table1[[HomeTeam]:[HomeTeam]], X$36, Table1[[ActualResult]:[ActualResult]], "SO") + SUMIFS(Table1[[AwayWon]:[AwayWon]], Table1[[GameIsOver]:[GameIsOver]], 1, Table1[[HomeTeam]:[HomeTeam]], $A57, Table1[[AwayTeam]:[AwayTeam]], X$36, Table1[[ActualResult]:[ActualResult]], "SO")))/ (2*((COUNTIFS(Table1[[GameIsOver]:[GameIsOver]],1,Table1[[AwayTeam]:[AwayTeam]],$A57, Table1[[HomeTeam]:[HomeTeam]], X$36)))+( COUNTIFS(Table1[[GameIsOver]:[GameIsOver]],1,Table1[[AwayTeam]:[AwayTeam]],X$36, Table1[[HomeTeam]:[HomeTeam]],$A57))), "")</f>
        <v/>
      </c>
      <c r="Y57" s="38" t="str">
        <f>IFERROR(((2 * (SUMIFS(Table1[[AwayWon]:[AwayWon]], Table1[[GameIsOver]:[GameIsOver]], 1, Table1[[AwayTeam]:[AwayTeam]], $A57, Table1[[HomeTeam]:[HomeTeam]], Y$36) + SUMIFS(Table1[[HomeWon]:[HomeWon]], Table1[[GameIsOver]:[GameIsOver]], 1, Table1[[HomeTeam]:[HomeTeam]], $A57, Table1[[AwayTeam]:[AwayTeam]], Y$36))) + (SUMIFS(Table1[[HomeWon]:[HomeWon]], Table1[[GameIsOver]:[GameIsOver]], 1, Table1[[AwayTeam]:[AwayTeam]], $A57, Table1[[HomeTeam]:[HomeTeam]],  Y$36, Table1[[ActualResult]:[ActualResult]], "OT") + SUMIFS(Table1[[AwayWon]:[AwayWon]], Table1[[GameIsOver]:[GameIsOver]], 1, Table1[[HomeTeam]:[HomeTeam]], $A57, Table1[[AwayTeam]:[AwayTeam]], Y$36, Table1[[ActualResult]:[ActualResult]], "OT") + SUMIFS(Table1[[HomeWon]:[HomeWon]], Table1[[GameIsOver]:[GameIsOver]], 1, Table1[[AwayTeam]:[AwayTeam]], $A57, Table1[[HomeTeam]:[HomeTeam]], Y$36, Table1[[ActualResult]:[ActualResult]], "SO") + SUMIFS(Table1[[AwayWon]:[AwayWon]], Table1[[GameIsOver]:[GameIsOver]], 1, Table1[[HomeTeam]:[HomeTeam]], $A57, Table1[[AwayTeam]:[AwayTeam]], Y$36, Table1[[ActualResult]:[ActualResult]], "SO")))/ (2*((COUNTIFS(Table1[[GameIsOver]:[GameIsOver]],1,Table1[[AwayTeam]:[AwayTeam]],$A57, Table1[[HomeTeam]:[HomeTeam]], Y$36)))+( COUNTIFS(Table1[[GameIsOver]:[GameIsOver]],1,Table1[[AwayTeam]:[AwayTeam]],Y$36, Table1[[HomeTeam]:[HomeTeam]],$A57))), "")</f>
        <v/>
      </c>
      <c r="Z57" s="36">
        <f>IFERROR(((2 * (SUMIFS(Table1[[AwayWon]:[AwayWon]], Table1[[GameIsOver]:[GameIsOver]], 1, Table1[[AwayTeam]:[AwayTeam]], $A57, Table1[[HomeTeam]:[HomeTeam]], Z$36) + SUMIFS(Table1[[HomeWon]:[HomeWon]], Table1[[GameIsOver]:[GameIsOver]], 1, Table1[[HomeTeam]:[HomeTeam]], $A57, Table1[[AwayTeam]:[AwayTeam]], Z$36))) + (SUMIFS(Table1[[HomeWon]:[HomeWon]], Table1[[GameIsOver]:[GameIsOver]], 1, Table1[[AwayTeam]:[AwayTeam]], $A57, Table1[[HomeTeam]:[HomeTeam]],  Z$36, Table1[[ActualResult]:[ActualResult]], "OT") + SUMIFS(Table1[[AwayWon]:[AwayWon]], Table1[[GameIsOver]:[GameIsOver]], 1, Table1[[HomeTeam]:[HomeTeam]], $A57, Table1[[AwayTeam]:[AwayTeam]], Z$36, Table1[[ActualResult]:[ActualResult]], "OT") + SUMIFS(Table1[[HomeWon]:[HomeWon]], Table1[[GameIsOver]:[GameIsOver]], 1, Table1[[AwayTeam]:[AwayTeam]], $A57, Table1[[HomeTeam]:[HomeTeam]], Z$36, Table1[[ActualResult]:[ActualResult]], "SO") + SUMIFS(Table1[[AwayWon]:[AwayWon]], Table1[[GameIsOver]:[GameIsOver]], 1, Table1[[HomeTeam]:[HomeTeam]], $A57, Table1[[AwayTeam]:[AwayTeam]], Z$36, Table1[[ActualResult]:[ActualResult]], "SO")))/ (2*((COUNTIFS(Table1[[GameIsOver]:[GameIsOver]],1,Table1[[AwayTeam]:[AwayTeam]],$A57, Table1[[HomeTeam]:[HomeTeam]], Z$36)))+( COUNTIFS(Table1[[GameIsOver]:[GameIsOver]],1,Table1[[AwayTeam]:[AwayTeam]],Z$36, Table1[[HomeTeam]:[HomeTeam]],$A57))), "")</f>
        <v>1</v>
      </c>
      <c r="AA57" s="36" t="str">
        <f>IFERROR(((2 * (SUMIFS(Table1[[AwayWon]:[AwayWon]], Table1[[GameIsOver]:[GameIsOver]], 1, Table1[[AwayTeam]:[AwayTeam]], $A57, Table1[[HomeTeam]:[HomeTeam]], AA$36) + SUMIFS(Table1[[HomeWon]:[HomeWon]], Table1[[GameIsOver]:[GameIsOver]], 1, Table1[[HomeTeam]:[HomeTeam]], $A57, Table1[[AwayTeam]:[AwayTeam]], AA$36))) + (SUMIFS(Table1[[HomeWon]:[HomeWon]], Table1[[GameIsOver]:[GameIsOver]], 1, Table1[[AwayTeam]:[AwayTeam]], $A57, Table1[[HomeTeam]:[HomeTeam]],  AA$36, Table1[[ActualResult]:[ActualResult]], "OT") + SUMIFS(Table1[[AwayWon]:[AwayWon]], Table1[[GameIsOver]:[GameIsOver]], 1, Table1[[HomeTeam]:[HomeTeam]], $A57, Table1[[AwayTeam]:[AwayTeam]], AA$36, Table1[[ActualResult]:[ActualResult]], "OT") + SUMIFS(Table1[[HomeWon]:[HomeWon]], Table1[[GameIsOver]:[GameIsOver]], 1, Table1[[AwayTeam]:[AwayTeam]], $A57, Table1[[HomeTeam]:[HomeTeam]], AA$36, Table1[[ActualResult]:[ActualResult]], "SO") + SUMIFS(Table1[[AwayWon]:[AwayWon]], Table1[[GameIsOver]:[GameIsOver]], 1, Table1[[HomeTeam]:[HomeTeam]], $A57, Table1[[AwayTeam]:[AwayTeam]], AA$36, Table1[[ActualResult]:[ActualResult]], "SO")))/ (2*((COUNTIFS(Table1[[GameIsOver]:[GameIsOver]],1,Table1[[AwayTeam]:[AwayTeam]],$A57, Table1[[HomeTeam]:[HomeTeam]], AA$36)))+( COUNTIFS(Table1[[GameIsOver]:[GameIsOver]],1,Table1[[AwayTeam]:[AwayTeam]],AA$36, Table1[[HomeTeam]:[HomeTeam]],$A57))), "")</f>
        <v/>
      </c>
      <c r="AB57" s="36">
        <f>IFERROR(((2 * (SUMIFS(Table1[[AwayWon]:[AwayWon]], Table1[[GameIsOver]:[GameIsOver]], 1, Table1[[AwayTeam]:[AwayTeam]], $A57, Table1[[HomeTeam]:[HomeTeam]], AB$36) + SUMIFS(Table1[[HomeWon]:[HomeWon]], Table1[[GameIsOver]:[GameIsOver]], 1, Table1[[HomeTeam]:[HomeTeam]], $A57, Table1[[AwayTeam]:[AwayTeam]], AB$36))) + (SUMIFS(Table1[[HomeWon]:[HomeWon]], Table1[[GameIsOver]:[GameIsOver]], 1, Table1[[AwayTeam]:[AwayTeam]], $A57, Table1[[HomeTeam]:[HomeTeam]],  AB$36, Table1[[ActualResult]:[ActualResult]], "OT") + SUMIFS(Table1[[AwayWon]:[AwayWon]], Table1[[GameIsOver]:[GameIsOver]], 1, Table1[[HomeTeam]:[HomeTeam]], $A57, Table1[[AwayTeam]:[AwayTeam]], AB$36, Table1[[ActualResult]:[ActualResult]], "OT") + SUMIFS(Table1[[HomeWon]:[HomeWon]], Table1[[GameIsOver]:[GameIsOver]], 1, Table1[[AwayTeam]:[AwayTeam]], $A57, Table1[[HomeTeam]:[HomeTeam]], AB$36, Table1[[ActualResult]:[ActualResult]], "SO") + SUMIFS(Table1[[AwayWon]:[AwayWon]], Table1[[GameIsOver]:[GameIsOver]], 1, Table1[[HomeTeam]:[HomeTeam]], $A57, Table1[[AwayTeam]:[AwayTeam]], AB$36, Table1[[ActualResult]:[ActualResult]], "SO")))/ (2*((COUNTIFS(Table1[[GameIsOver]:[GameIsOver]],1,Table1[[AwayTeam]:[AwayTeam]],$A57, Table1[[HomeTeam]:[HomeTeam]], AB$36)))+( COUNTIFS(Table1[[GameIsOver]:[GameIsOver]],1,Table1[[AwayTeam]:[AwayTeam]],AB$36, Table1[[HomeTeam]:[HomeTeam]],$A57))), "")</f>
        <v>1</v>
      </c>
      <c r="AC57" s="36" t="str">
        <f>IFERROR(((2 * (SUMIFS(Table1[[AwayWon]:[AwayWon]], Table1[[GameIsOver]:[GameIsOver]], 1, Table1[[AwayTeam]:[AwayTeam]], $A57, Table1[[HomeTeam]:[HomeTeam]], AC$36) + SUMIFS(Table1[[HomeWon]:[HomeWon]], Table1[[GameIsOver]:[GameIsOver]], 1, Table1[[HomeTeam]:[HomeTeam]], $A57, Table1[[AwayTeam]:[AwayTeam]], AC$36))) + (SUMIFS(Table1[[HomeWon]:[HomeWon]], Table1[[GameIsOver]:[GameIsOver]], 1, Table1[[AwayTeam]:[AwayTeam]], $A57, Table1[[HomeTeam]:[HomeTeam]],  AC$36, Table1[[ActualResult]:[ActualResult]], "OT") + SUMIFS(Table1[[AwayWon]:[AwayWon]], Table1[[GameIsOver]:[GameIsOver]], 1, Table1[[HomeTeam]:[HomeTeam]], $A57, Table1[[AwayTeam]:[AwayTeam]], AC$36, Table1[[ActualResult]:[ActualResult]], "OT") + SUMIFS(Table1[[HomeWon]:[HomeWon]], Table1[[GameIsOver]:[GameIsOver]], 1, Table1[[AwayTeam]:[AwayTeam]], $A57, Table1[[HomeTeam]:[HomeTeam]], AC$36, Table1[[ActualResult]:[ActualResult]], "SO") + SUMIFS(Table1[[AwayWon]:[AwayWon]], Table1[[GameIsOver]:[GameIsOver]], 1, Table1[[HomeTeam]:[HomeTeam]], $A57, Table1[[AwayTeam]:[AwayTeam]], AC$36, Table1[[ActualResult]:[ActualResult]], "SO")))/ (2*((COUNTIFS(Table1[[GameIsOver]:[GameIsOver]],1,Table1[[AwayTeam]:[AwayTeam]],$A57, Table1[[HomeTeam]:[HomeTeam]], AC$36)))+( COUNTIFS(Table1[[GameIsOver]:[GameIsOver]],1,Table1[[AwayTeam]:[AwayTeam]],AC$36, Table1[[HomeTeam]:[HomeTeam]],$A57))), "")</f>
        <v/>
      </c>
      <c r="AD57" s="36" t="str">
        <f>IFERROR(((2 * (SUMIFS(Table1[[AwayWon]:[AwayWon]], Table1[[GameIsOver]:[GameIsOver]], 1, Table1[[AwayTeam]:[AwayTeam]], $A57, Table1[[HomeTeam]:[HomeTeam]], AD$36) + SUMIFS(Table1[[HomeWon]:[HomeWon]], Table1[[GameIsOver]:[GameIsOver]], 1, Table1[[HomeTeam]:[HomeTeam]], $A57, Table1[[AwayTeam]:[AwayTeam]], AD$36))) + (SUMIFS(Table1[[HomeWon]:[HomeWon]], Table1[[GameIsOver]:[GameIsOver]], 1, Table1[[AwayTeam]:[AwayTeam]], $A57, Table1[[HomeTeam]:[HomeTeam]],  AD$36, Table1[[ActualResult]:[ActualResult]], "OT") + SUMIFS(Table1[[AwayWon]:[AwayWon]], Table1[[GameIsOver]:[GameIsOver]], 1, Table1[[HomeTeam]:[HomeTeam]], $A57, Table1[[AwayTeam]:[AwayTeam]], AD$36, Table1[[ActualResult]:[ActualResult]], "OT") + SUMIFS(Table1[[HomeWon]:[HomeWon]], Table1[[GameIsOver]:[GameIsOver]], 1, Table1[[AwayTeam]:[AwayTeam]], $A57, Table1[[HomeTeam]:[HomeTeam]], AD$36, Table1[[ActualResult]:[ActualResult]], "SO") + SUMIFS(Table1[[AwayWon]:[AwayWon]], Table1[[GameIsOver]:[GameIsOver]], 1, Table1[[HomeTeam]:[HomeTeam]], $A57, Table1[[AwayTeam]:[AwayTeam]], AD$36, Table1[[ActualResult]:[ActualResult]], "SO")))/ (2*((COUNTIFS(Table1[[GameIsOver]:[GameIsOver]],1,Table1[[AwayTeam]:[AwayTeam]],$A57, Table1[[HomeTeam]:[HomeTeam]], AD$36)))+( COUNTIFS(Table1[[GameIsOver]:[GameIsOver]],1,Table1[[AwayTeam]:[AwayTeam]],AD$36, Table1[[HomeTeam]:[HomeTeam]],$A57))), "")</f>
        <v/>
      </c>
      <c r="AE57" s="36" t="str">
        <f>IFERROR(((2 * (SUMIFS(Table1[[AwayWon]:[AwayWon]], Table1[[GameIsOver]:[GameIsOver]], 1, Table1[[AwayTeam]:[AwayTeam]], $A57, Table1[[HomeTeam]:[HomeTeam]], AE$36) + SUMIFS(Table1[[HomeWon]:[HomeWon]], Table1[[GameIsOver]:[GameIsOver]], 1, Table1[[HomeTeam]:[HomeTeam]], $A57, Table1[[AwayTeam]:[AwayTeam]], AE$36))) + (SUMIFS(Table1[[HomeWon]:[HomeWon]], Table1[[GameIsOver]:[GameIsOver]], 1, Table1[[AwayTeam]:[AwayTeam]], $A57, Table1[[HomeTeam]:[HomeTeam]],  AE$36, Table1[[ActualResult]:[ActualResult]], "OT") + SUMIFS(Table1[[AwayWon]:[AwayWon]], Table1[[GameIsOver]:[GameIsOver]], 1, Table1[[HomeTeam]:[HomeTeam]], $A57, Table1[[AwayTeam]:[AwayTeam]], AE$36, Table1[[ActualResult]:[ActualResult]], "OT") + SUMIFS(Table1[[HomeWon]:[HomeWon]], Table1[[GameIsOver]:[GameIsOver]], 1, Table1[[AwayTeam]:[AwayTeam]], $A57, Table1[[HomeTeam]:[HomeTeam]], AE$36, Table1[[ActualResult]:[ActualResult]], "SO") + SUMIFS(Table1[[AwayWon]:[AwayWon]], Table1[[GameIsOver]:[GameIsOver]], 1, Table1[[HomeTeam]:[HomeTeam]], $A57, Table1[[AwayTeam]:[AwayTeam]], AE$36, Table1[[ActualResult]:[ActualResult]], "SO")))/ (2*((COUNTIFS(Table1[[GameIsOver]:[GameIsOver]],1,Table1[[AwayTeam]:[AwayTeam]],$A57, Table1[[HomeTeam]:[HomeTeam]], AE$36)))+( COUNTIFS(Table1[[GameIsOver]:[GameIsOver]],1,Table1[[AwayTeam]:[AwayTeam]],AE$36, Table1[[HomeTeam]:[HomeTeam]],$A57))), "")</f>
        <v/>
      </c>
      <c r="AF57" s="36">
        <f>IFERROR(((2 * (SUMIFS(Table1[[AwayWon]:[AwayWon]], Table1[[GameIsOver]:[GameIsOver]], 1, Table1[[AwayTeam]:[AwayTeam]], $A57, Table1[[HomeTeam]:[HomeTeam]], AF$36) + SUMIFS(Table1[[HomeWon]:[HomeWon]], Table1[[GameIsOver]:[GameIsOver]], 1, Table1[[HomeTeam]:[HomeTeam]], $A57, Table1[[AwayTeam]:[AwayTeam]], AF$36))) + (SUMIFS(Table1[[HomeWon]:[HomeWon]], Table1[[GameIsOver]:[GameIsOver]], 1, Table1[[AwayTeam]:[AwayTeam]], $A57, Table1[[HomeTeam]:[HomeTeam]],  AF$36, Table1[[ActualResult]:[ActualResult]], "OT") + SUMIFS(Table1[[AwayWon]:[AwayWon]], Table1[[GameIsOver]:[GameIsOver]], 1, Table1[[HomeTeam]:[HomeTeam]], $A57, Table1[[AwayTeam]:[AwayTeam]], AF$36, Table1[[ActualResult]:[ActualResult]], "OT") + SUMIFS(Table1[[HomeWon]:[HomeWon]], Table1[[GameIsOver]:[GameIsOver]], 1, Table1[[AwayTeam]:[AwayTeam]], $A57, Table1[[HomeTeam]:[HomeTeam]], AF$36, Table1[[ActualResult]:[ActualResult]], "SO") + SUMIFS(Table1[[AwayWon]:[AwayWon]], Table1[[GameIsOver]:[GameIsOver]], 1, Table1[[HomeTeam]:[HomeTeam]], $A57, Table1[[AwayTeam]:[AwayTeam]], AF$36, Table1[[ActualResult]:[ActualResult]], "SO")))/ (2*((COUNTIFS(Table1[[GameIsOver]:[GameIsOver]],1,Table1[[AwayTeam]:[AwayTeam]],$A57, Table1[[HomeTeam]:[HomeTeam]], AF$36)))+( COUNTIFS(Table1[[GameIsOver]:[GameIsOver]],1,Table1[[AwayTeam]:[AwayTeam]],AF$36, Table1[[HomeTeam]:[HomeTeam]],$A57))), "")</f>
        <v>2</v>
      </c>
      <c r="AG57" s="36" t="str">
        <f>IFERROR(((2 * (SUMIFS(Table1[[AwayWon]:[AwayWon]], Table1[[GameIsOver]:[GameIsOver]], 1, Table1[[AwayTeam]:[AwayTeam]], $A57, Table1[[HomeTeam]:[HomeTeam]], AG$36) + SUMIFS(Table1[[HomeWon]:[HomeWon]], Table1[[GameIsOver]:[GameIsOver]], 1, Table1[[HomeTeam]:[HomeTeam]], $A57, Table1[[AwayTeam]:[AwayTeam]], AG$36))) + (SUMIFS(Table1[[HomeWon]:[HomeWon]], Table1[[GameIsOver]:[GameIsOver]], 1, Table1[[AwayTeam]:[AwayTeam]], $A57, Table1[[HomeTeam]:[HomeTeam]],  AG$36, Table1[[ActualResult]:[ActualResult]], "OT") + SUMIFS(Table1[[AwayWon]:[AwayWon]], Table1[[GameIsOver]:[GameIsOver]], 1, Table1[[HomeTeam]:[HomeTeam]], $A57, Table1[[AwayTeam]:[AwayTeam]], AG$36, Table1[[ActualResult]:[ActualResult]], "OT") + SUMIFS(Table1[[HomeWon]:[HomeWon]], Table1[[GameIsOver]:[GameIsOver]], 1, Table1[[AwayTeam]:[AwayTeam]], $A57, Table1[[HomeTeam]:[HomeTeam]], AG$36, Table1[[ActualResult]:[ActualResult]], "SO") + SUMIFS(Table1[[AwayWon]:[AwayWon]], Table1[[GameIsOver]:[GameIsOver]], 1, Table1[[HomeTeam]:[HomeTeam]], $A57, Table1[[AwayTeam]:[AwayTeam]], AG$36, Table1[[ActualResult]:[ActualResult]], "SO")))/ (2*((COUNTIFS(Table1[[GameIsOver]:[GameIsOver]],1,Table1[[AwayTeam]:[AwayTeam]],$A57, Table1[[HomeTeam]:[HomeTeam]], AG$36)))+( COUNTIFS(Table1[[GameIsOver]:[GameIsOver]],1,Table1[[AwayTeam]:[AwayTeam]],AG$36, Table1[[HomeTeam]:[HomeTeam]],$A57))), "")</f>
        <v/>
      </c>
      <c r="AH57" s="37">
        <f t="shared" si="0"/>
        <v>1.3333333333333333</v>
      </c>
      <c r="AI57" s="37" t="e">
        <f t="shared" si="1"/>
        <v>#DIV/0!</v>
      </c>
      <c r="AJ57" s="38">
        <f t="shared" si="2"/>
        <v>1.3333333333333333</v>
      </c>
      <c r="AK57" s="38" t="e">
        <f t="shared" si="3"/>
        <v>#DIV/0!</v>
      </c>
      <c r="AL57" s="38" t="e">
        <f t="shared" si="4"/>
        <v>#DIV/0!</v>
      </c>
      <c r="AM57" s="38" t="e">
        <f t="shared" si="5"/>
        <v>#DIV/0!</v>
      </c>
    </row>
    <row r="58" spans="1:39" x14ac:dyDescent="0.25">
      <c r="A58" s="17" t="s">
        <v>53</v>
      </c>
      <c r="B58" s="36" t="str">
        <f>IFERROR(((2 * (SUMIFS(Table1[[AwayWon]:[AwayWon]], Table1[[GameIsOver]:[GameIsOver]], 1, Table1[[AwayTeam]:[AwayTeam]], $A58, Table1[[HomeTeam]:[HomeTeam]], B$36) + SUMIFS(Table1[[HomeWon]:[HomeWon]], Table1[[GameIsOver]:[GameIsOver]], 1, Table1[[HomeTeam]:[HomeTeam]], $A58, Table1[[AwayTeam]:[AwayTeam]], B$36))) + (SUMIFS(Table1[[HomeWon]:[HomeWon]], Table1[[GameIsOver]:[GameIsOver]], 1, Table1[[AwayTeam]:[AwayTeam]], $A58, Table1[[HomeTeam]:[HomeTeam]],  B$36, Table1[[ActualResult]:[ActualResult]], "OT") + SUMIFS(Table1[[AwayWon]:[AwayWon]], Table1[[GameIsOver]:[GameIsOver]], 1, Table1[[HomeTeam]:[HomeTeam]], $A58, Table1[[AwayTeam]:[AwayTeam]], B$36, Table1[[ActualResult]:[ActualResult]], "OT") + SUMIFS(Table1[[HomeWon]:[HomeWon]], Table1[[GameIsOver]:[GameIsOver]], 1, Table1[[AwayTeam]:[AwayTeam]], $A58, Table1[[HomeTeam]:[HomeTeam]], B$36, Table1[[ActualResult]:[ActualResult]], "SO") + SUMIFS(Table1[[AwayWon]:[AwayWon]], Table1[[GameIsOver]:[GameIsOver]], 1, Table1[[HomeTeam]:[HomeTeam]], $A58, Table1[[AwayTeam]:[AwayTeam]], B$36, Table1[[ActualResult]:[ActualResult]], "SO")))/ (2*((COUNTIFS(Table1[[GameIsOver]:[GameIsOver]],1,Table1[[AwayTeam]:[AwayTeam]],$A58, Table1[[HomeTeam]:[HomeTeam]], B$36)))+( COUNTIFS(Table1[[GameIsOver]:[GameIsOver]],1,Table1[[AwayTeam]:[AwayTeam]],B$36, Table1[[HomeTeam]:[HomeTeam]],$A58))), "")</f>
        <v/>
      </c>
      <c r="C58" s="36" t="str">
        <f>IFERROR(((2 * (SUMIFS(Table1[[AwayWon]:[AwayWon]], Table1[[GameIsOver]:[GameIsOver]], 1, Table1[[AwayTeam]:[AwayTeam]], $A58, Table1[[HomeTeam]:[HomeTeam]], C$36) + SUMIFS(Table1[[HomeWon]:[HomeWon]], Table1[[GameIsOver]:[GameIsOver]], 1, Table1[[HomeTeam]:[HomeTeam]], $A58, Table1[[AwayTeam]:[AwayTeam]], C$36))) + (SUMIFS(Table1[[HomeWon]:[HomeWon]], Table1[[GameIsOver]:[GameIsOver]], 1, Table1[[AwayTeam]:[AwayTeam]], $A58, Table1[[HomeTeam]:[HomeTeam]],  C$36, Table1[[ActualResult]:[ActualResult]], "OT") + SUMIFS(Table1[[AwayWon]:[AwayWon]], Table1[[GameIsOver]:[GameIsOver]], 1, Table1[[HomeTeam]:[HomeTeam]], $A58, Table1[[AwayTeam]:[AwayTeam]], C$36, Table1[[ActualResult]:[ActualResult]], "OT") + SUMIFS(Table1[[HomeWon]:[HomeWon]], Table1[[GameIsOver]:[GameIsOver]], 1, Table1[[AwayTeam]:[AwayTeam]], $A58, Table1[[HomeTeam]:[HomeTeam]], C$36, Table1[[ActualResult]:[ActualResult]], "SO") + SUMIFS(Table1[[AwayWon]:[AwayWon]], Table1[[GameIsOver]:[GameIsOver]], 1, Table1[[HomeTeam]:[HomeTeam]], $A58, Table1[[AwayTeam]:[AwayTeam]], C$36, Table1[[ActualResult]:[ActualResult]], "SO")))/ (2*((COUNTIFS(Table1[[GameIsOver]:[GameIsOver]],1,Table1[[AwayTeam]:[AwayTeam]],$A58, Table1[[HomeTeam]:[HomeTeam]], C$36)))+( COUNTIFS(Table1[[GameIsOver]:[GameIsOver]],1,Table1[[AwayTeam]:[AwayTeam]],C$36, Table1[[HomeTeam]:[HomeTeam]],$A58))), "")</f>
        <v/>
      </c>
      <c r="D58" s="36" t="str">
        <f>IFERROR(((2 * (SUMIFS(Table1[[AwayWon]:[AwayWon]], Table1[[GameIsOver]:[GameIsOver]], 1, Table1[[AwayTeam]:[AwayTeam]], $A58, Table1[[HomeTeam]:[HomeTeam]], D$36) + SUMIFS(Table1[[HomeWon]:[HomeWon]], Table1[[GameIsOver]:[GameIsOver]], 1, Table1[[HomeTeam]:[HomeTeam]], $A58, Table1[[AwayTeam]:[AwayTeam]], D$36))) + (SUMIFS(Table1[[HomeWon]:[HomeWon]], Table1[[GameIsOver]:[GameIsOver]], 1, Table1[[AwayTeam]:[AwayTeam]], $A58, Table1[[HomeTeam]:[HomeTeam]],  D$36, Table1[[ActualResult]:[ActualResult]], "OT") + SUMIFS(Table1[[AwayWon]:[AwayWon]], Table1[[GameIsOver]:[GameIsOver]], 1, Table1[[HomeTeam]:[HomeTeam]], $A58, Table1[[AwayTeam]:[AwayTeam]], D$36, Table1[[ActualResult]:[ActualResult]], "OT") + SUMIFS(Table1[[HomeWon]:[HomeWon]], Table1[[GameIsOver]:[GameIsOver]], 1, Table1[[AwayTeam]:[AwayTeam]], $A58, Table1[[HomeTeam]:[HomeTeam]], D$36, Table1[[ActualResult]:[ActualResult]], "SO") + SUMIFS(Table1[[AwayWon]:[AwayWon]], Table1[[GameIsOver]:[GameIsOver]], 1, Table1[[HomeTeam]:[HomeTeam]], $A58, Table1[[AwayTeam]:[AwayTeam]], D$36, Table1[[ActualResult]:[ActualResult]], "SO")))/ (2*((COUNTIFS(Table1[[GameIsOver]:[GameIsOver]],1,Table1[[AwayTeam]:[AwayTeam]],$A58, Table1[[HomeTeam]:[HomeTeam]], D$36)))+( COUNTIFS(Table1[[GameIsOver]:[GameIsOver]],1,Table1[[AwayTeam]:[AwayTeam]],D$36, Table1[[HomeTeam]:[HomeTeam]],$A58))), "")</f>
        <v/>
      </c>
      <c r="E58" s="36" t="str">
        <f>IFERROR(((2 * (SUMIFS(Table1[[AwayWon]:[AwayWon]], Table1[[GameIsOver]:[GameIsOver]], 1, Table1[[AwayTeam]:[AwayTeam]], $A58, Table1[[HomeTeam]:[HomeTeam]], E$36) + SUMIFS(Table1[[HomeWon]:[HomeWon]], Table1[[GameIsOver]:[GameIsOver]], 1, Table1[[HomeTeam]:[HomeTeam]], $A58, Table1[[AwayTeam]:[AwayTeam]], E$36))) + (SUMIFS(Table1[[HomeWon]:[HomeWon]], Table1[[GameIsOver]:[GameIsOver]], 1, Table1[[AwayTeam]:[AwayTeam]], $A58, Table1[[HomeTeam]:[HomeTeam]],  E$36, Table1[[ActualResult]:[ActualResult]], "OT") + SUMIFS(Table1[[AwayWon]:[AwayWon]], Table1[[GameIsOver]:[GameIsOver]], 1, Table1[[HomeTeam]:[HomeTeam]], $A58, Table1[[AwayTeam]:[AwayTeam]], E$36, Table1[[ActualResult]:[ActualResult]], "OT") + SUMIFS(Table1[[HomeWon]:[HomeWon]], Table1[[GameIsOver]:[GameIsOver]], 1, Table1[[AwayTeam]:[AwayTeam]], $A58, Table1[[HomeTeam]:[HomeTeam]], E$36, Table1[[ActualResult]:[ActualResult]], "SO") + SUMIFS(Table1[[AwayWon]:[AwayWon]], Table1[[GameIsOver]:[GameIsOver]], 1, Table1[[HomeTeam]:[HomeTeam]], $A58, Table1[[AwayTeam]:[AwayTeam]], E$36, Table1[[ActualResult]:[ActualResult]], "SO")))/ (2*((COUNTIFS(Table1[[GameIsOver]:[GameIsOver]],1,Table1[[AwayTeam]:[AwayTeam]],$A58, Table1[[HomeTeam]:[HomeTeam]], E$36)))+( COUNTIFS(Table1[[GameIsOver]:[GameIsOver]],1,Table1[[AwayTeam]:[AwayTeam]],E$36, Table1[[HomeTeam]:[HomeTeam]],$A58))), "")</f>
        <v/>
      </c>
      <c r="F58" s="36" t="str">
        <f>IFERROR(((2 * (SUMIFS(Table1[[AwayWon]:[AwayWon]], Table1[[GameIsOver]:[GameIsOver]], 1, Table1[[AwayTeam]:[AwayTeam]], $A58, Table1[[HomeTeam]:[HomeTeam]], F$36) + SUMIFS(Table1[[HomeWon]:[HomeWon]], Table1[[GameIsOver]:[GameIsOver]], 1, Table1[[HomeTeam]:[HomeTeam]], $A58, Table1[[AwayTeam]:[AwayTeam]], F$36))) + (SUMIFS(Table1[[HomeWon]:[HomeWon]], Table1[[GameIsOver]:[GameIsOver]], 1, Table1[[AwayTeam]:[AwayTeam]], $A58, Table1[[HomeTeam]:[HomeTeam]],  F$36, Table1[[ActualResult]:[ActualResult]], "OT") + SUMIFS(Table1[[AwayWon]:[AwayWon]], Table1[[GameIsOver]:[GameIsOver]], 1, Table1[[HomeTeam]:[HomeTeam]], $A58, Table1[[AwayTeam]:[AwayTeam]], F$36, Table1[[ActualResult]:[ActualResult]], "OT") + SUMIFS(Table1[[HomeWon]:[HomeWon]], Table1[[GameIsOver]:[GameIsOver]], 1, Table1[[AwayTeam]:[AwayTeam]], $A58, Table1[[HomeTeam]:[HomeTeam]], F$36, Table1[[ActualResult]:[ActualResult]], "SO") + SUMIFS(Table1[[AwayWon]:[AwayWon]], Table1[[GameIsOver]:[GameIsOver]], 1, Table1[[HomeTeam]:[HomeTeam]], $A58, Table1[[AwayTeam]:[AwayTeam]], F$36, Table1[[ActualResult]:[ActualResult]], "SO")))/ (2*((COUNTIFS(Table1[[GameIsOver]:[GameIsOver]],1,Table1[[AwayTeam]:[AwayTeam]],$A58, Table1[[HomeTeam]:[HomeTeam]], F$36)))+( COUNTIFS(Table1[[GameIsOver]:[GameIsOver]],1,Table1[[AwayTeam]:[AwayTeam]],F$36, Table1[[HomeTeam]:[HomeTeam]],$A58))), "")</f>
        <v/>
      </c>
      <c r="G58" s="36" t="str">
        <f>IFERROR(((2 * (SUMIFS(Table1[[AwayWon]:[AwayWon]], Table1[[GameIsOver]:[GameIsOver]], 1, Table1[[AwayTeam]:[AwayTeam]], $A58, Table1[[HomeTeam]:[HomeTeam]], G$36) + SUMIFS(Table1[[HomeWon]:[HomeWon]], Table1[[GameIsOver]:[GameIsOver]], 1, Table1[[HomeTeam]:[HomeTeam]], $A58, Table1[[AwayTeam]:[AwayTeam]], G$36))) + (SUMIFS(Table1[[HomeWon]:[HomeWon]], Table1[[GameIsOver]:[GameIsOver]], 1, Table1[[AwayTeam]:[AwayTeam]], $A58, Table1[[HomeTeam]:[HomeTeam]],  G$36, Table1[[ActualResult]:[ActualResult]], "OT") + SUMIFS(Table1[[AwayWon]:[AwayWon]], Table1[[GameIsOver]:[GameIsOver]], 1, Table1[[HomeTeam]:[HomeTeam]], $A58, Table1[[AwayTeam]:[AwayTeam]], G$36, Table1[[ActualResult]:[ActualResult]], "OT") + SUMIFS(Table1[[HomeWon]:[HomeWon]], Table1[[GameIsOver]:[GameIsOver]], 1, Table1[[AwayTeam]:[AwayTeam]], $A58, Table1[[HomeTeam]:[HomeTeam]], G$36, Table1[[ActualResult]:[ActualResult]], "SO") + SUMIFS(Table1[[AwayWon]:[AwayWon]], Table1[[GameIsOver]:[GameIsOver]], 1, Table1[[HomeTeam]:[HomeTeam]], $A58, Table1[[AwayTeam]:[AwayTeam]], G$36, Table1[[ActualResult]:[ActualResult]], "SO")))/ (2*((COUNTIFS(Table1[[GameIsOver]:[GameIsOver]],1,Table1[[AwayTeam]:[AwayTeam]],$A58, Table1[[HomeTeam]:[HomeTeam]], G$36)))+( COUNTIFS(Table1[[GameIsOver]:[GameIsOver]],1,Table1[[AwayTeam]:[AwayTeam]],G$36, Table1[[HomeTeam]:[HomeTeam]],$A58))), "")</f>
        <v/>
      </c>
      <c r="H58" s="36" t="str">
        <f>IFERROR(((2 * (SUMIFS(Table1[[AwayWon]:[AwayWon]], Table1[[GameIsOver]:[GameIsOver]], 1, Table1[[AwayTeam]:[AwayTeam]], $A58, Table1[[HomeTeam]:[HomeTeam]], H$36) + SUMIFS(Table1[[HomeWon]:[HomeWon]], Table1[[GameIsOver]:[GameIsOver]], 1, Table1[[HomeTeam]:[HomeTeam]], $A58, Table1[[AwayTeam]:[AwayTeam]], H$36))) + (SUMIFS(Table1[[HomeWon]:[HomeWon]], Table1[[GameIsOver]:[GameIsOver]], 1, Table1[[AwayTeam]:[AwayTeam]], $A58, Table1[[HomeTeam]:[HomeTeam]],  H$36, Table1[[ActualResult]:[ActualResult]], "OT") + SUMIFS(Table1[[AwayWon]:[AwayWon]], Table1[[GameIsOver]:[GameIsOver]], 1, Table1[[HomeTeam]:[HomeTeam]], $A58, Table1[[AwayTeam]:[AwayTeam]], H$36, Table1[[ActualResult]:[ActualResult]], "OT") + SUMIFS(Table1[[HomeWon]:[HomeWon]], Table1[[GameIsOver]:[GameIsOver]], 1, Table1[[AwayTeam]:[AwayTeam]], $A58, Table1[[HomeTeam]:[HomeTeam]], H$36, Table1[[ActualResult]:[ActualResult]], "SO") + SUMIFS(Table1[[AwayWon]:[AwayWon]], Table1[[GameIsOver]:[GameIsOver]], 1, Table1[[HomeTeam]:[HomeTeam]], $A58, Table1[[AwayTeam]:[AwayTeam]], H$36, Table1[[ActualResult]:[ActualResult]], "SO")))/ (2*((COUNTIFS(Table1[[GameIsOver]:[GameIsOver]],1,Table1[[AwayTeam]:[AwayTeam]],$A58, Table1[[HomeTeam]:[HomeTeam]], H$36)))+( COUNTIFS(Table1[[GameIsOver]:[GameIsOver]],1,Table1[[AwayTeam]:[AwayTeam]],H$36, Table1[[HomeTeam]:[HomeTeam]],$A58))), "")</f>
        <v/>
      </c>
      <c r="I58" s="38" t="str">
        <f>IFERROR(((2 * (SUMIFS(Table1[[AwayWon]:[AwayWon]], Table1[[GameIsOver]:[GameIsOver]], 1, Table1[[AwayTeam]:[AwayTeam]], $A58, Table1[[HomeTeam]:[HomeTeam]], I$36) + SUMIFS(Table1[[HomeWon]:[HomeWon]], Table1[[GameIsOver]:[GameIsOver]], 1, Table1[[HomeTeam]:[HomeTeam]], $A58, Table1[[AwayTeam]:[AwayTeam]], I$36))) + (SUMIFS(Table1[[HomeWon]:[HomeWon]], Table1[[GameIsOver]:[GameIsOver]], 1, Table1[[AwayTeam]:[AwayTeam]], $A58, Table1[[HomeTeam]:[HomeTeam]],  I$36, Table1[[ActualResult]:[ActualResult]], "OT") + SUMIFS(Table1[[AwayWon]:[AwayWon]], Table1[[GameIsOver]:[GameIsOver]], 1, Table1[[HomeTeam]:[HomeTeam]], $A58, Table1[[AwayTeam]:[AwayTeam]], I$36, Table1[[ActualResult]:[ActualResult]], "OT") + SUMIFS(Table1[[HomeWon]:[HomeWon]], Table1[[GameIsOver]:[GameIsOver]], 1, Table1[[AwayTeam]:[AwayTeam]], $A58, Table1[[HomeTeam]:[HomeTeam]], I$36, Table1[[ActualResult]:[ActualResult]], "SO") + SUMIFS(Table1[[AwayWon]:[AwayWon]], Table1[[GameIsOver]:[GameIsOver]], 1, Table1[[HomeTeam]:[HomeTeam]], $A58, Table1[[AwayTeam]:[AwayTeam]], I$36, Table1[[ActualResult]:[ActualResult]], "SO")))/ (2*((COUNTIFS(Table1[[GameIsOver]:[GameIsOver]],1,Table1[[AwayTeam]:[AwayTeam]],$A58, Table1[[HomeTeam]:[HomeTeam]], I$36)))+( COUNTIFS(Table1[[GameIsOver]:[GameIsOver]],1,Table1[[AwayTeam]:[AwayTeam]],I$36, Table1[[HomeTeam]:[HomeTeam]],$A58))), "")</f>
        <v/>
      </c>
      <c r="J58" s="36" t="str">
        <f>IFERROR(((2 * (SUMIFS(Table1[[AwayWon]:[AwayWon]], Table1[[GameIsOver]:[GameIsOver]], 1, Table1[[AwayTeam]:[AwayTeam]], $A58, Table1[[HomeTeam]:[HomeTeam]], J$36) + SUMIFS(Table1[[HomeWon]:[HomeWon]], Table1[[GameIsOver]:[GameIsOver]], 1, Table1[[HomeTeam]:[HomeTeam]], $A58, Table1[[AwayTeam]:[AwayTeam]], J$36))) + (SUMIFS(Table1[[HomeWon]:[HomeWon]], Table1[[GameIsOver]:[GameIsOver]], 1, Table1[[AwayTeam]:[AwayTeam]], $A58, Table1[[HomeTeam]:[HomeTeam]],  J$36, Table1[[ActualResult]:[ActualResult]], "OT") + SUMIFS(Table1[[AwayWon]:[AwayWon]], Table1[[GameIsOver]:[GameIsOver]], 1, Table1[[HomeTeam]:[HomeTeam]], $A58, Table1[[AwayTeam]:[AwayTeam]], J$36, Table1[[ActualResult]:[ActualResult]], "OT") + SUMIFS(Table1[[HomeWon]:[HomeWon]], Table1[[GameIsOver]:[GameIsOver]], 1, Table1[[AwayTeam]:[AwayTeam]], $A58, Table1[[HomeTeam]:[HomeTeam]], J$36, Table1[[ActualResult]:[ActualResult]], "SO") + SUMIFS(Table1[[AwayWon]:[AwayWon]], Table1[[GameIsOver]:[GameIsOver]], 1, Table1[[HomeTeam]:[HomeTeam]], $A58, Table1[[AwayTeam]:[AwayTeam]], J$36, Table1[[ActualResult]:[ActualResult]], "SO")))/ (2*((COUNTIFS(Table1[[GameIsOver]:[GameIsOver]],1,Table1[[AwayTeam]:[AwayTeam]],$A58, Table1[[HomeTeam]:[HomeTeam]], J$36)))+( COUNTIFS(Table1[[GameIsOver]:[GameIsOver]],1,Table1[[AwayTeam]:[AwayTeam]],J$36, Table1[[HomeTeam]:[HomeTeam]],$A58))), "")</f>
        <v/>
      </c>
      <c r="K58" s="36" t="str">
        <f>IFERROR(((2 * (SUMIFS(Table1[[AwayWon]:[AwayWon]], Table1[[GameIsOver]:[GameIsOver]], 1, Table1[[AwayTeam]:[AwayTeam]], $A58, Table1[[HomeTeam]:[HomeTeam]], K$36) + SUMIFS(Table1[[HomeWon]:[HomeWon]], Table1[[GameIsOver]:[GameIsOver]], 1, Table1[[HomeTeam]:[HomeTeam]], $A58, Table1[[AwayTeam]:[AwayTeam]], K$36))) + (SUMIFS(Table1[[HomeWon]:[HomeWon]], Table1[[GameIsOver]:[GameIsOver]], 1, Table1[[AwayTeam]:[AwayTeam]], $A58, Table1[[HomeTeam]:[HomeTeam]],  K$36, Table1[[ActualResult]:[ActualResult]], "OT") + SUMIFS(Table1[[AwayWon]:[AwayWon]], Table1[[GameIsOver]:[GameIsOver]], 1, Table1[[HomeTeam]:[HomeTeam]], $A58, Table1[[AwayTeam]:[AwayTeam]], K$36, Table1[[ActualResult]:[ActualResult]], "OT") + SUMIFS(Table1[[HomeWon]:[HomeWon]], Table1[[GameIsOver]:[GameIsOver]], 1, Table1[[AwayTeam]:[AwayTeam]], $A58, Table1[[HomeTeam]:[HomeTeam]], K$36, Table1[[ActualResult]:[ActualResult]], "SO") + SUMIFS(Table1[[AwayWon]:[AwayWon]], Table1[[GameIsOver]:[GameIsOver]], 1, Table1[[HomeTeam]:[HomeTeam]], $A58, Table1[[AwayTeam]:[AwayTeam]], K$36, Table1[[ActualResult]:[ActualResult]], "SO")))/ (2*((COUNTIFS(Table1[[GameIsOver]:[GameIsOver]],1,Table1[[AwayTeam]:[AwayTeam]],$A58, Table1[[HomeTeam]:[HomeTeam]], K$36)))+( COUNTIFS(Table1[[GameIsOver]:[GameIsOver]],1,Table1[[AwayTeam]:[AwayTeam]],K$36, Table1[[HomeTeam]:[HomeTeam]],$A58))), "")</f>
        <v/>
      </c>
      <c r="L58" s="36" t="str">
        <f>IFERROR(((2 * (SUMIFS(Table1[[AwayWon]:[AwayWon]], Table1[[GameIsOver]:[GameIsOver]], 1, Table1[[AwayTeam]:[AwayTeam]], $A58, Table1[[HomeTeam]:[HomeTeam]], L$36) + SUMIFS(Table1[[HomeWon]:[HomeWon]], Table1[[GameIsOver]:[GameIsOver]], 1, Table1[[HomeTeam]:[HomeTeam]], $A58, Table1[[AwayTeam]:[AwayTeam]], L$36))) + (SUMIFS(Table1[[HomeWon]:[HomeWon]], Table1[[GameIsOver]:[GameIsOver]], 1, Table1[[AwayTeam]:[AwayTeam]], $A58, Table1[[HomeTeam]:[HomeTeam]],  L$36, Table1[[ActualResult]:[ActualResult]], "OT") + SUMIFS(Table1[[AwayWon]:[AwayWon]], Table1[[GameIsOver]:[GameIsOver]], 1, Table1[[HomeTeam]:[HomeTeam]], $A58, Table1[[AwayTeam]:[AwayTeam]], L$36, Table1[[ActualResult]:[ActualResult]], "OT") + SUMIFS(Table1[[HomeWon]:[HomeWon]], Table1[[GameIsOver]:[GameIsOver]], 1, Table1[[AwayTeam]:[AwayTeam]], $A58, Table1[[HomeTeam]:[HomeTeam]], L$36, Table1[[ActualResult]:[ActualResult]], "SO") + SUMIFS(Table1[[AwayWon]:[AwayWon]], Table1[[GameIsOver]:[GameIsOver]], 1, Table1[[HomeTeam]:[HomeTeam]], $A58, Table1[[AwayTeam]:[AwayTeam]], L$36, Table1[[ActualResult]:[ActualResult]], "SO")))/ (2*((COUNTIFS(Table1[[GameIsOver]:[GameIsOver]],1,Table1[[AwayTeam]:[AwayTeam]],$A58, Table1[[HomeTeam]:[HomeTeam]], L$36)))+( COUNTIFS(Table1[[GameIsOver]:[GameIsOver]],1,Table1[[AwayTeam]:[AwayTeam]],L$36, Table1[[HomeTeam]:[HomeTeam]],$A58))), "")</f>
        <v/>
      </c>
      <c r="M58" s="36" t="str">
        <f>IFERROR(((2 * (SUMIFS(Table1[[AwayWon]:[AwayWon]], Table1[[GameIsOver]:[GameIsOver]], 1, Table1[[AwayTeam]:[AwayTeam]], $A58, Table1[[HomeTeam]:[HomeTeam]], M$36) + SUMIFS(Table1[[HomeWon]:[HomeWon]], Table1[[GameIsOver]:[GameIsOver]], 1, Table1[[HomeTeam]:[HomeTeam]], $A58, Table1[[AwayTeam]:[AwayTeam]], M$36))) + (SUMIFS(Table1[[HomeWon]:[HomeWon]], Table1[[GameIsOver]:[GameIsOver]], 1, Table1[[AwayTeam]:[AwayTeam]], $A58, Table1[[HomeTeam]:[HomeTeam]],  M$36, Table1[[ActualResult]:[ActualResult]], "OT") + SUMIFS(Table1[[AwayWon]:[AwayWon]], Table1[[GameIsOver]:[GameIsOver]], 1, Table1[[HomeTeam]:[HomeTeam]], $A58, Table1[[AwayTeam]:[AwayTeam]], M$36, Table1[[ActualResult]:[ActualResult]], "OT") + SUMIFS(Table1[[HomeWon]:[HomeWon]], Table1[[GameIsOver]:[GameIsOver]], 1, Table1[[AwayTeam]:[AwayTeam]], $A58, Table1[[HomeTeam]:[HomeTeam]], M$36, Table1[[ActualResult]:[ActualResult]], "SO") + SUMIFS(Table1[[AwayWon]:[AwayWon]], Table1[[GameIsOver]:[GameIsOver]], 1, Table1[[HomeTeam]:[HomeTeam]], $A58, Table1[[AwayTeam]:[AwayTeam]], M$36, Table1[[ActualResult]:[ActualResult]], "SO")))/ (2*((COUNTIFS(Table1[[GameIsOver]:[GameIsOver]],1,Table1[[AwayTeam]:[AwayTeam]],$A58, Table1[[HomeTeam]:[HomeTeam]], M$36)))+( COUNTIFS(Table1[[GameIsOver]:[GameIsOver]],1,Table1[[AwayTeam]:[AwayTeam]],M$36, Table1[[HomeTeam]:[HomeTeam]],$A58))), "")</f>
        <v/>
      </c>
      <c r="N58" s="36" t="str">
        <f>IFERROR(((2 * (SUMIFS(Table1[[AwayWon]:[AwayWon]], Table1[[GameIsOver]:[GameIsOver]], 1, Table1[[AwayTeam]:[AwayTeam]], $A58, Table1[[HomeTeam]:[HomeTeam]], N$36) + SUMIFS(Table1[[HomeWon]:[HomeWon]], Table1[[GameIsOver]:[GameIsOver]], 1, Table1[[HomeTeam]:[HomeTeam]], $A58, Table1[[AwayTeam]:[AwayTeam]], N$36))) + (SUMIFS(Table1[[HomeWon]:[HomeWon]], Table1[[GameIsOver]:[GameIsOver]], 1, Table1[[AwayTeam]:[AwayTeam]], $A58, Table1[[HomeTeam]:[HomeTeam]],  N$36, Table1[[ActualResult]:[ActualResult]], "OT") + SUMIFS(Table1[[AwayWon]:[AwayWon]], Table1[[GameIsOver]:[GameIsOver]], 1, Table1[[HomeTeam]:[HomeTeam]], $A58, Table1[[AwayTeam]:[AwayTeam]], N$36, Table1[[ActualResult]:[ActualResult]], "OT") + SUMIFS(Table1[[HomeWon]:[HomeWon]], Table1[[GameIsOver]:[GameIsOver]], 1, Table1[[AwayTeam]:[AwayTeam]], $A58, Table1[[HomeTeam]:[HomeTeam]], N$36, Table1[[ActualResult]:[ActualResult]], "SO") + SUMIFS(Table1[[AwayWon]:[AwayWon]], Table1[[GameIsOver]:[GameIsOver]], 1, Table1[[HomeTeam]:[HomeTeam]], $A58, Table1[[AwayTeam]:[AwayTeam]], N$36, Table1[[ActualResult]:[ActualResult]], "SO")))/ (2*((COUNTIFS(Table1[[GameIsOver]:[GameIsOver]],1,Table1[[AwayTeam]:[AwayTeam]],$A58, Table1[[HomeTeam]:[HomeTeam]], N$36)))+( COUNTIFS(Table1[[GameIsOver]:[GameIsOver]],1,Table1[[AwayTeam]:[AwayTeam]],N$36, Table1[[HomeTeam]:[HomeTeam]],$A58))), "")</f>
        <v/>
      </c>
      <c r="O58" s="36" t="str">
        <f>IFERROR(((2 * (SUMIFS(Table1[[AwayWon]:[AwayWon]], Table1[[GameIsOver]:[GameIsOver]], 1, Table1[[AwayTeam]:[AwayTeam]], $A58, Table1[[HomeTeam]:[HomeTeam]], O$36) + SUMIFS(Table1[[HomeWon]:[HomeWon]], Table1[[GameIsOver]:[GameIsOver]], 1, Table1[[HomeTeam]:[HomeTeam]], $A58, Table1[[AwayTeam]:[AwayTeam]], O$36))) + (SUMIFS(Table1[[HomeWon]:[HomeWon]], Table1[[GameIsOver]:[GameIsOver]], 1, Table1[[AwayTeam]:[AwayTeam]], $A58, Table1[[HomeTeam]:[HomeTeam]],  O$36, Table1[[ActualResult]:[ActualResult]], "OT") + SUMIFS(Table1[[AwayWon]:[AwayWon]], Table1[[GameIsOver]:[GameIsOver]], 1, Table1[[HomeTeam]:[HomeTeam]], $A58, Table1[[AwayTeam]:[AwayTeam]], O$36, Table1[[ActualResult]:[ActualResult]], "OT") + SUMIFS(Table1[[HomeWon]:[HomeWon]], Table1[[GameIsOver]:[GameIsOver]], 1, Table1[[AwayTeam]:[AwayTeam]], $A58, Table1[[HomeTeam]:[HomeTeam]], O$36, Table1[[ActualResult]:[ActualResult]], "SO") + SUMIFS(Table1[[AwayWon]:[AwayWon]], Table1[[GameIsOver]:[GameIsOver]], 1, Table1[[HomeTeam]:[HomeTeam]], $A58, Table1[[AwayTeam]:[AwayTeam]], O$36, Table1[[ActualResult]:[ActualResult]], "SO")))/ (2*((COUNTIFS(Table1[[GameIsOver]:[GameIsOver]],1,Table1[[AwayTeam]:[AwayTeam]],$A58, Table1[[HomeTeam]:[HomeTeam]], O$36)))+( COUNTIFS(Table1[[GameIsOver]:[GameIsOver]],1,Table1[[AwayTeam]:[AwayTeam]],O$36, Table1[[HomeTeam]:[HomeTeam]],$A58))), "")</f>
        <v/>
      </c>
      <c r="P58" s="36" t="str">
        <f>IFERROR(((2 * (SUMIFS(Table1[[AwayWon]:[AwayWon]], Table1[[GameIsOver]:[GameIsOver]], 1, Table1[[AwayTeam]:[AwayTeam]], $A58, Table1[[HomeTeam]:[HomeTeam]], P$36) + SUMIFS(Table1[[HomeWon]:[HomeWon]], Table1[[GameIsOver]:[GameIsOver]], 1, Table1[[HomeTeam]:[HomeTeam]], $A58, Table1[[AwayTeam]:[AwayTeam]], P$36))) + (SUMIFS(Table1[[HomeWon]:[HomeWon]], Table1[[GameIsOver]:[GameIsOver]], 1, Table1[[AwayTeam]:[AwayTeam]], $A58, Table1[[HomeTeam]:[HomeTeam]],  P$36, Table1[[ActualResult]:[ActualResult]], "OT") + SUMIFS(Table1[[AwayWon]:[AwayWon]], Table1[[GameIsOver]:[GameIsOver]], 1, Table1[[HomeTeam]:[HomeTeam]], $A58, Table1[[AwayTeam]:[AwayTeam]], P$36, Table1[[ActualResult]:[ActualResult]], "OT") + SUMIFS(Table1[[HomeWon]:[HomeWon]], Table1[[GameIsOver]:[GameIsOver]], 1, Table1[[AwayTeam]:[AwayTeam]], $A58, Table1[[HomeTeam]:[HomeTeam]], P$36, Table1[[ActualResult]:[ActualResult]], "SO") + SUMIFS(Table1[[AwayWon]:[AwayWon]], Table1[[GameIsOver]:[GameIsOver]], 1, Table1[[HomeTeam]:[HomeTeam]], $A58, Table1[[AwayTeam]:[AwayTeam]], P$36, Table1[[ActualResult]:[ActualResult]], "SO")))/ (2*((COUNTIFS(Table1[[GameIsOver]:[GameIsOver]],1,Table1[[AwayTeam]:[AwayTeam]],$A58, Table1[[HomeTeam]:[HomeTeam]], P$36)))+( COUNTIFS(Table1[[GameIsOver]:[GameIsOver]],1,Table1[[AwayTeam]:[AwayTeam]],P$36, Table1[[HomeTeam]:[HomeTeam]],$A58))), "")</f>
        <v/>
      </c>
      <c r="Q58" s="38" t="str">
        <f>IFERROR(((2 * (SUMIFS(Table1[[AwayWon]:[AwayWon]], Table1[[GameIsOver]:[GameIsOver]], 1, Table1[[AwayTeam]:[AwayTeam]], $A58, Table1[[HomeTeam]:[HomeTeam]], Q$36) + SUMIFS(Table1[[HomeWon]:[HomeWon]], Table1[[GameIsOver]:[GameIsOver]], 1, Table1[[HomeTeam]:[HomeTeam]], $A58, Table1[[AwayTeam]:[AwayTeam]], Q$36))) + (SUMIFS(Table1[[HomeWon]:[HomeWon]], Table1[[GameIsOver]:[GameIsOver]], 1, Table1[[AwayTeam]:[AwayTeam]], $A58, Table1[[HomeTeam]:[HomeTeam]],  Q$36, Table1[[ActualResult]:[ActualResult]], "OT") + SUMIFS(Table1[[AwayWon]:[AwayWon]], Table1[[GameIsOver]:[GameIsOver]], 1, Table1[[HomeTeam]:[HomeTeam]], $A58, Table1[[AwayTeam]:[AwayTeam]], Q$36, Table1[[ActualResult]:[ActualResult]], "OT") + SUMIFS(Table1[[HomeWon]:[HomeWon]], Table1[[GameIsOver]:[GameIsOver]], 1, Table1[[AwayTeam]:[AwayTeam]], $A58, Table1[[HomeTeam]:[HomeTeam]], Q$36, Table1[[ActualResult]:[ActualResult]], "SO") + SUMIFS(Table1[[AwayWon]:[AwayWon]], Table1[[GameIsOver]:[GameIsOver]], 1, Table1[[HomeTeam]:[HomeTeam]], $A58, Table1[[AwayTeam]:[AwayTeam]], Q$36, Table1[[ActualResult]:[ActualResult]], "SO")))/ (2*((COUNTIFS(Table1[[GameIsOver]:[GameIsOver]],1,Table1[[AwayTeam]:[AwayTeam]],$A58, Table1[[HomeTeam]:[HomeTeam]], Q$36)))+( COUNTIFS(Table1[[GameIsOver]:[GameIsOver]],1,Table1[[AwayTeam]:[AwayTeam]],Q$36, Table1[[HomeTeam]:[HomeTeam]],$A58))), "")</f>
        <v/>
      </c>
      <c r="R58" s="36" t="str">
        <f>IFERROR(((2 * (SUMIFS(Table1[[AwayWon]:[AwayWon]], Table1[[GameIsOver]:[GameIsOver]], 1, Table1[[AwayTeam]:[AwayTeam]], $A58, Table1[[HomeTeam]:[HomeTeam]], R$36) + SUMIFS(Table1[[HomeWon]:[HomeWon]], Table1[[GameIsOver]:[GameIsOver]], 1, Table1[[HomeTeam]:[HomeTeam]], $A58, Table1[[AwayTeam]:[AwayTeam]], R$36))) + (SUMIFS(Table1[[HomeWon]:[HomeWon]], Table1[[GameIsOver]:[GameIsOver]], 1, Table1[[AwayTeam]:[AwayTeam]], $A58, Table1[[HomeTeam]:[HomeTeam]],  R$36, Table1[[ActualResult]:[ActualResult]], "OT") + SUMIFS(Table1[[AwayWon]:[AwayWon]], Table1[[GameIsOver]:[GameIsOver]], 1, Table1[[HomeTeam]:[HomeTeam]], $A58, Table1[[AwayTeam]:[AwayTeam]], R$36, Table1[[ActualResult]:[ActualResult]], "OT") + SUMIFS(Table1[[HomeWon]:[HomeWon]], Table1[[GameIsOver]:[GameIsOver]], 1, Table1[[AwayTeam]:[AwayTeam]], $A58, Table1[[HomeTeam]:[HomeTeam]], R$36, Table1[[ActualResult]:[ActualResult]], "SO") + SUMIFS(Table1[[AwayWon]:[AwayWon]], Table1[[GameIsOver]:[GameIsOver]], 1, Table1[[HomeTeam]:[HomeTeam]], $A58, Table1[[AwayTeam]:[AwayTeam]], R$36, Table1[[ActualResult]:[ActualResult]], "SO")))/ (2*((COUNTIFS(Table1[[GameIsOver]:[GameIsOver]],1,Table1[[AwayTeam]:[AwayTeam]],$A58, Table1[[HomeTeam]:[HomeTeam]], R$36)))+( COUNTIFS(Table1[[GameIsOver]:[GameIsOver]],1,Table1[[AwayTeam]:[AwayTeam]],R$36, Table1[[HomeTeam]:[HomeTeam]],$A58))), "")</f>
        <v/>
      </c>
      <c r="S58" s="36" t="str">
        <f>IFERROR(((2 * (SUMIFS(Table1[[AwayWon]:[AwayWon]], Table1[[GameIsOver]:[GameIsOver]], 1, Table1[[AwayTeam]:[AwayTeam]], $A58, Table1[[HomeTeam]:[HomeTeam]], S$36) + SUMIFS(Table1[[HomeWon]:[HomeWon]], Table1[[GameIsOver]:[GameIsOver]], 1, Table1[[HomeTeam]:[HomeTeam]], $A58, Table1[[AwayTeam]:[AwayTeam]], S$36))) + (SUMIFS(Table1[[HomeWon]:[HomeWon]], Table1[[GameIsOver]:[GameIsOver]], 1, Table1[[AwayTeam]:[AwayTeam]], $A58, Table1[[HomeTeam]:[HomeTeam]],  S$36, Table1[[ActualResult]:[ActualResult]], "OT") + SUMIFS(Table1[[AwayWon]:[AwayWon]], Table1[[GameIsOver]:[GameIsOver]], 1, Table1[[HomeTeam]:[HomeTeam]], $A58, Table1[[AwayTeam]:[AwayTeam]], S$36, Table1[[ActualResult]:[ActualResult]], "OT") + SUMIFS(Table1[[HomeWon]:[HomeWon]], Table1[[GameIsOver]:[GameIsOver]], 1, Table1[[AwayTeam]:[AwayTeam]], $A58, Table1[[HomeTeam]:[HomeTeam]], S$36, Table1[[ActualResult]:[ActualResult]], "SO") + SUMIFS(Table1[[AwayWon]:[AwayWon]], Table1[[GameIsOver]:[GameIsOver]], 1, Table1[[HomeTeam]:[HomeTeam]], $A58, Table1[[AwayTeam]:[AwayTeam]], S$36, Table1[[ActualResult]:[ActualResult]], "SO")))/ (2*((COUNTIFS(Table1[[GameIsOver]:[GameIsOver]],1,Table1[[AwayTeam]:[AwayTeam]],$A58, Table1[[HomeTeam]:[HomeTeam]], S$36)))+( COUNTIFS(Table1[[GameIsOver]:[GameIsOver]],1,Table1[[AwayTeam]:[AwayTeam]],S$36, Table1[[HomeTeam]:[HomeTeam]],$A58))), "")</f>
        <v/>
      </c>
      <c r="T58" s="36">
        <f>IFERROR(((2 * (SUMIFS(Table1[[AwayWon]:[AwayWon]], Table1[[GameIsOver]:[GameIsOver]], 1, Table1[[AwayTeam]:[AwayTeam]], $A58, Table1[[HomeTeam]:[HomeTeam]], T$36) + SUMIFS(Table1[[HomeWon]:[HomeWon]], Table1[[GameIsOver]:[GameIsOver]], 1, Table1[[HomeTeam]:[HomeTeam]], $A58, Table1[[AwayTeam]:[AwayTeam]], T$36))) + (SUMIFS(Table1[[HomeWon]:[HomeWon]], Table1[[GameIsOver]:[GameIsOver]], 1, Table1[[AwayTeam]:[AwayTeam]], $A58, Table1[[HomeTeam]:[HomeTeam]],  T$36, Table1[[ActualResult]:[ActualResult]], "OT") + SUMIFS(Table1[[AwayWon]:[AwayWon]], Table1[[GameIsOver]:[GameIsOver]], 1, Table1[[HomeTeam]:[HomeTeam]], $A58, Table1[[AwayTeam]:[AwayTeam]], T$36, Table1[[ActualResult]:[ActualResult]], "OT") + SUMIFS(Table1[[HomeWon]:[HomeWon]], Table1[[GameIsOver]:[GameIsOver]], 1, Table1[[AwayTeam]:[AwayTeam]], $A58, Table1[[HomeTeam]:[HomeTeam]], T$36, Table1[[ActualResult]:[ActualResult]], "SO") + SUMIFS(Table1[[AwayWon]:[AwayWon]], Table1[[GameIsOver]:[GameIsOver]], 1, Table1[[HomeTeam]:[HomeTeam]], $A58, Table1[[AwayTeam]:[AwayTeam]], T$36, Table1[[ActualResult]:[ActualResult]], "SO")))/ (2*((COUNTIFS(Table1[[GameIsOver]:[GameIsOver]],1,Table1[[AwayTeam]:[AwayTeam]],$A58, Table1[[HomeTeam]:[HomeTeam]], T$36)))+( COUNTIFS(Table1[[GameIsOver]:[GameIsOver]],1,Table1[[AwayTeam]:[AwayTeam]],T$36, Table1[[HomeTeam]:[HomeTeam]],$A58))), "")</f>
        <v>0</v>
      </c>
      <c r="U58" s="36" t="str">
        <f>IFERROR(((2 * (SUMIFS(Table1[[AwayWon]:[AwayWon]], Table1[[GameIsOver]:[GameIsOver]], 1, Table1[[AwayTeam]:[AwayTeam]], $A58, Table1[[HomeTeam]:[HomeTeam]], U$36) + SUMIFS(Table1[[HomeWon]:[HomeWon]], Table1[[GameIsOver]:[GameIsOver]], 1, Table1[[HomeTeam]:[HomeTeam]], $A58, Table1[[AwayTeam]:[AwayTeam]], U$36))) + (SUMIFS(Table1[[HomeWon]:[HomeWon]], Table1[[GameIsOver]:[GameIsOver]], 1, Table1[[AwayTeam]:[AwayTeam]], $A58, Table1[[HomeTeam]:[HomeTeam]],  U$36, Table1[[ActualResult]:[ActualResult]], "OT") + SUMIFS(Table1[[AwayWon]:[AwayWon]], Table1[[GameIsOver]:[GameIsOver]], 1, Table1[[HomeTeam]:[HomeTeam]], $A58, Table1[[AwayTeam]:[AwayTeam]], U$36, Table1[[ActualResult]:[ActualResult]], "OT") + SUMIFS(Table1[[HomeWon]:[HomeWon]], Table1[[GameIsOver]:[GameIsOver]], 1, Table1[[AwayTeam]:[AwayTeam]], $A58, Table1[[HomeTeam]:[HomeTeam]], U$36, Table1[[ActualResult]:[ActualResult]], "SO") + SUMIFS(Table1[[AwayWon]:[AwayWon]], Table1[[GameIsOver]:[GameIsOver]], 1, Table1[[HomeTeam]:[HomeTeam]], $A58, Table1[[AwayTeam]:[AwayTeam]], U$36, Table1[[ActualResult]:[ActualResult]], "SO")))/ (2*((COUNTIFS(Table1[[GameIsOver]:[GameIsOver]],1,Table1[[AwayTeam]:[AwayTeam]],$A58, Table1[[HomeTeam]:[HomeTeam]], U$36)))+( COUNTIFS(Table1[[GameIsOver]:[GameIsOver]],1,Table1[[AwayTeam]:[AwayTeam]],U$36, Table1[[HomeTeam]:[HomeTeam]],$A58))), "")</f>
        <v/>
      </c>
      <c r="V58" s="36" t="str">
        <f>IFERROR(((2 * (SUMIFS(Table1[[AwayWon]:[AwayWon]], Table1[[GameIsOver]:[GameIsOver]], 1, Table1[[AwayTeam]:[AwayTeam]], $A58, Table1[[HomeTeam]:[HomeTeam]], V$36) + SUMIFS(Table1[[HomeWon]:[HomeWon]], Table1[[GameIsOver]:[GameIsOver]], 1, Table1[[HomeTeam]:[HomeTeam]], $A58, Table1[[AwayTeam]:[AwayTeam]], V$36))) + (SUMIFS(Table1[[HomeWon]:[HomeWon]], Table1[[GameIsOver]:[GameIsOver]], 1, Table1[[AwayTeam]:[AwayTeam]], $A58, Table1[[HomeTeam]:[HomeTeam]],  V$36, Table1[[ActualResult]:[ActualResult]], "OT") + SUMIFS(Table1[[AwayWon]:[AwayWon]], Table1[[GameIsOver]:[GameIsOver]], 1, Table1[[HomeTeam]:[HomeTeam]], $A58, Table1[[AwayTeam]:[AwayTeam]], V$36, Table1[[ActualResult]:[ActualResult]], "OT") + SUMIFS(Table1[[HomeWon]:[HomeWon]], Table1[[GameIsOver]:[GameIsOver]], 1, Table1[[AwayTeam]:[AwayTeam]], $A58, Table1[[HomeTeam]:[HomeTeam]], V$36, Table1[[ActualResult]:[ActualResult]], "SO") + SUMIFS(Table1[[AwayWon]:[AwayWon]], Table1[[GameIsOver]:[GameIsOver]], 1, Table1[[HomeTeam]:[HomeTeam]], $A58, Table1[[AwayTeam]:[AwayTeam]], V$36, Table1[[ActualResult]:[ActualResult]], "SO")))/ (2*((COUNTIFS(Table1[[GameIsOver]:[GameIsOver]],1,Table1[[AwayTeam]:[AwayTeam]],$A58, Table1[[HomeTeam]:[HomeTeam]], V$36)))+( COUNTIFS(Table1[[GameIsOver]:[GameIsOver]],1,Table1[[AwayTeam]:[AwayTeam]],V$36, Table1[[HomeTeam]:[HomeTeam]],$A58))), "")</f>
        <v/>
      </c>
      <c r="W58" s="36" t="str">
        <f>IFERROR(((2 * (SUMIFS(Table1[[AwayWon]:[AwayWon]], Table1[[GameIsOver]:[GameIsOver]], 1, Table1[[AwayTeam]:[AwayTeam]], $A58, Table1[[HomeTeam]:[HomeTeam]], W$36) + SUMIFS(Table1[[HomeWon]:[HomeWon]], Table1[[GameIsOver]:[GameIsOver]], 1, Table1[[HomeTeam]:[HomeTeam]], $A58, Table1[[AwayTeam]:[AwayTeam]], W$36))) + (SUMIFS(Table1[[HomeWon]:[HomeWon]], Table1[[GameIsOver]:[GameIsOver]], 1, Table1[[AwayTeam]:[AwayTeam]], $A58, Table1[[HomeTeam]:[HomeTeam]],  W$36, Table1[[ActualResult]:[ActualResult]], "OT") + SUMIFS(Table1[[AwayWon]:[AwayWon]], Table1[[GameIsOver]:[GameIsOver]], 1, Table1[[HomeTeam]:[HomeTeam]], $A58, Table1[[AwayTeam]:[AwayTeam]], W$36, Table1[[ActualResult]:[ActualResult]], "OT") + SUMIFS(Table1[[HomeWon]:[HomeWon]], Table1[[GameIsOver]:[GameIsOver]], 1, Table1[[AwayTeam]:[AwayTeam]], $A58, Table1[[HomeTeam]:[HomeTeam]], W$36, Table1[[ActualResult]:[ActualResult]], "SO") + SUMIFS(Table1[[AwayWon]:[AwayWon]], Table1[[GameIsOver]:[GameIsOver]], 1, Table1[[HomeTeam]:[HomeTeam]], $A58, Table1[[AwayTeam]:[AwayTeam]], W$36, Table1[[ActualResult]:[ActualResult]], "SO")))/ (2*((COUNTIFS(Table1[[GameIsOver]:[GameIsOver]],1,Table1[[AwayTeam]:[AwayTeam]],$A58, Table1[[HomeTeam]:[HomeTeam]], W$36)))+( COUNTIFS(Table1[[GameIsOver]:[GameIsOver]],1,Table1[[AwayTeam]:[AwayTeam]],W$36, Table1[[HomeTeam]:[HomeTeam]],$A58))), "")</f>
        <v/>
      </c>
      <c r="X58" s="36">
        <f>IFERROR(((2 * (SUMIFS(Table1[[AwayWon]:[AwayWon]], Table1[[GameIsOver]:[GameIsOver]], 1, Table1[[AwayTeam]:[AwayTeam]], $A58, Table1[[HomeTeam]:[HomeTeam]], X$36) + SUMIFS(Table1[[HomeWon]:[HomeWon]], Table1[[GameIsOver]:[GameIsOver]], 1, Table1[[HomeTeam]:[HomeTeam]], $A58, Table1[[AwayTeam]:[AwayTeam]], X$36))) + (SUMIFS(Table1[[HomeWon]:[HomeWon]], Table1[[GameIsOver]:[GameIsOver]], 1, Table1[[AwayTeam]:[AwayTeam]], $A58, Table1[[HomeTeam]:[HomeTeam]],  X$36, Table1[[ActualResult]:[ActualResult]], "OT") + SUMIFS(Table1[[AwayWon]:[AwayWon]], Table1[[GameIsOver]:[GameIsOver]], 1, Table1[[HomeTeam]:[HomeTeam]], $A58, Table1[[AwayTeam]:[AwayTeam]], X$36, Table1[[ActualResult]:[ActualResult]], "OT") + SUMIFS(Table1[[HomeWon]:[HomeWon]], Table1[[GameIsOver]:[GameIsOver]], 1, Table1[[AwayTeam]:[AwayTeam]], $A58, Table1[[HomeTeam]:[HomeTeam]], X$36, Table1[[ActualResult]:[ActualResult]], "SO") + SUMIFS(Table1[[AwayWon]:[AwayWon]], Table1[[GameIsOver]:[GameIsOver]], 1, Table1[[HomeTeam]:[HomeTeam]], $A58, Table1[[AwayTeam]:[AwayTeam]], X$36, Table1[[ActualResult]:[ActualResult]], "SO")))/ (2*((COUNTIFS(Table1[[GameIsOver]:[GameIsOver]],1,Table1[[AwayTeam]:[AwayTeam]],$A58, Table1[[HomeTeam]:[HomeTeam]], X$36)))+( COUNTIFS(Table1[[GameIsOver]:[GameIsOver]],1,Table1[[AwayTeam]:[AwayTeam]],X$36, Table1[[HomeTeam]:[HomeTeam]],$A58))), "")</f>
        <v>2</v>
      </c>
      <c r="Y58" s="38" t="str">
        <f>IFERROR(((2 * (SUMIFS(Table1[[AwayWon]:[AwayWon]], Table1[[GameIsOver]:[GameIsOver]], 1, Table1[[AwayTeam]:[AwayTeam]], $A58, Table1[[HomeTeam]:[HomeTeam]], Y$36) + SUMIFS(Table1[[HomeWon]:[HomeWon]], Table1[[GameIsOver]:[GameIsOver]], 1, Table1[[HomeTeam]:[HomeTeam]], $A58, Table1[[AwayTeam]:[AwayTeam]], Y$36))) + (SUMIFS(Table1[[HomeWon]:[HomeWon]], Table1[[GameIsOver]:[GameIsOver]], 1, Table1[[AwayTeam]:[AwayTeam]], $A58, Table1[[HomeTeam]:[HomeTeam]],  Y$36, Table1[[ActualResult]:[ActualResult]], "OT") + SUMIFS(Table1[[AwayWon]:[AwayWon]], Table1[[GameIsOver]:[GameIsOver]], 1, Table1[[HomeTeam]:[HomeTeam]], $A58, Table1[[AwayTeam]:[AwayTeam]], Y$36, Table1[[ActualResult]:[ActualResult]], "OT") + SUMIFS(Table1[[HomeWon]:[HomeWon]], Table1[[GameIsOver]:[GameIsOver]], 1, Table1[[AwayTeam]:[AwayTeam]], $A58, Table1[[HomeTeam]:[HomeTeam]], Y$36, Table1[[ActualResult]:[ActualResult]], "SO") + SUMIFS(Table1[[AwayWon]:[AwayWon]], Table1[[GameIsOver]:[GameIsOver]], 1, Table1[[HomeTeam]:[HomeTeam]], $A58, Table1[[AwayTeam]:[AwayTeam]], Y$36, Table1[[ActualResult]:[ActualResult]], "SO")))/ (2*((COUNTIFS(Table1[[GameIsOver]:[GameIsOver]],1,Table1[[AwayTeam]:[AwayTeam]],$A58, Table1[[HomeTeam]:[HomeTeam]], Y$36)))+( COUNTIFS(Table1[[GameIsOver]:[GameIsOver]],1,Table1[[AwayTeam]:[AwayTeam]],Y$36, Table1[[HomeTeam]:[HomeTeam]],$A58))), "")</f>
        <v/>
      </c>
      <c r="Z58" s="36" t="str">
        <f>IFERROR(((2 * (SUMIFS(Table1[[AwayWon]:[AwayWon]], Table1[[GameIsOver]:[GameIsOver]], 1, Table1[[AwayTeam]:[AwayTeam]], $A58, Table1[[HomeTeam]:[HomeTeam]], Z$36) + SUMIFS(Table1[[HomeWon]:[HomeWon]], Table1[[GameIsOver]:[GameIsOver]], 1, Table1[[HomeTeam]:[HomeTeam]], $A58, Table1[[AwayTeam]:[AwayTeam]], Z$36))) + (SUMIFS(Table1[[HomeWon]:[HomeWon]], Table1[[GameIsOver]:[GameIsOver]], 1, Table1[[AwayTeam]:[AwayTeam]], $A58, Table1[[HomeTeam]:[HomeTeam]],  Z$36, Table1[[ActualResult]:[ActualResult]], "OT") + SUMIFS(Table1[[AwayWon]:[AwayWon]], Table1[[GameIsOver]:[GameIsOver]], 1, Table1[[HomeTeam]:[HomeTeam]], $A58, Table1[[AwayTeam]:[AwayTeam]], Z$36, Table1[[ActualResult]:[ActualResult]], "OT") + SUMIFS(Table1[[HomeWon]:[HomeWon]], Table1[[GameIsOver]:[GameIsOver]], 1, Table1[[AwayTeam]:[AwayTeam]], $A58, Table1[[HomeTeam]:[HomeTeam]], Z$36, Table1[[ActualResult]:[ActualResult]], "SO") + SUMIFS(Table1[[AwayWon]:[AwayWon]], Table1[[GameIsOver]:[GameIsOver]], 1, Table1[[HomeTeam]:[HomeTeam]], $A58, Table1[[AwayTeam]:[AwayTeam]], Z$36, Table1[[ActualResult]:[ActualResult]], "SO")))/ (2*((COUNTIFS(Table1[[GameIsOver]:[GameIsOver]],1,Table1[[AwayTeam]:[AwayTeam]],$A58, Table1[[HomeTeam]:[HomeTeam]], Z$36)))+( COUNTIFS(Table1[[GameIsOver]:[GameIsOver]],1,Table1[[AwayTeam]:[AwayTeam]],Z$36, Table1[[HomeTeam]:[HomeTeam]],$A58))), "")</f>
        <v/>
      </c>
      <c r="AA58" s="36" t="str">
        <f>IFERROR(((2 * (SUMIFS(Table1[[AwayWon]:[AwayWon]], Table1[[GameIsOver]:[GameIsOver]], 1, Table1[[AwayTeam]:[AwayTeam]], $A58, Table1[[HomeTeam]:[HomeTeam]], AA$36) + SUMIFS(Table1[[HomeWon]:[HomeWon]], Table1[[GameIsOver]:[GameIsOver]], 1, Table1[[HomeTeam]:[HomeTeam]], $A58, Table1[[AwayTeam]:[AwayTeam]], AA$36))) + (SUMIFS(Table1[[HomeWon]:[HomeWon]], Table1[[GameIsOver]:[GameIsOver]], 1, Table1[[AwayTeam]:[AwayTeam]], $A58, Table1[[HomeTeam]:[HomeTeam]],  AA$36, Table1[[ActualResult]:[ActualResult]], "OT") + SUMIFS(Table1[[AwayWon]:[AwayWon]], Table1[[GameIsOver]:[GameIsOver]], 1, Table1[[HomeTeam]:[HomeTeam]], $A58, Table1[[AwayTeam]:[AwayTeam]], AA$36, Table1[[ActualResult]:[ActualResult]], "OT") + SUMIFS(Table1[[HomeWon]:[HomeWon]], Table1[[GameIsOver]:[GameIsOver]], 1, Table1[[AwayTeam]:[AwayTeam]], $A58, Table1[[HomeTeam]:[HomeTeam]], AA$36, Table1[[ActualResult]:[ActualResult]], "SO") + SUMIFS(Table1[[AwayWon]:[AwayWon]], Table1[[GameIsOver]:[GameIsOver]], 1, Table1[[HomeTeam]:[HomeTeam]], $A58, Table1[[AwayTeam]:[AwayTeam]], AA$36, Table1[[ActualResult]:[ActualResult]], "SO")))/ (2*((COUNTIFS(Table1[[GameIsOver]:[GameIsOver]],1,Table1[[AwayTeam]:[AwayTeam]],$A58, Table1[[HomeTeam]:[HomeTeam]], AA$36)))+( COUNTIFS(Table1[[GameIsOver]:[GameIsOver]],1,Table1[[AwayTeam]:[AwayTeam]],AA$36, Table1[[HomeTeam]:[HomeTeam]],$A58))), "")</f>
        <v/>
      </c>
      <c r="AB58" s="36" t="str">
        <f>IFERROR(((2 * (SUMIFS(Table1[[AwayWon]:[AwayWon]], Table1[[GameIsOver]:[GameIsOver]], 1, Table1[[AwayTeam]:[AwayTeam]], $A58, Table1[[HomeTeam]:[HomeTeam]], AB$36) + SUMIFS(Table1[[HomeWon]:[HomeWon]], Table1[[GameIsOver]:[GameIsOver]], 1, Table1[[HomeTeam]:[HomeTeam]], $A58, Table1[[AwayTeam]:[AwayTeam]], AB$36))) + (SUMIFS(Table1[[HomeWon]:[HomeWon]], Table1[[GameIsOver]:[GameIsOver]], 1, Table1[[AwayTeam]:[AwayTeam]], $A58, Table1[[HomeTeam]:[HomeTeam]],  AB$36, Table1[[ActualResult]:[ActualResult]], "OT") + SUMIFS(Table1[[AwayWon]:[AwayWon]], Table1[[GameIsOver]:[GameIsOver]], 1, Table1[[HomeTeam]:[HomeTeam]], $A58, Table1[[AwayTeam]:[AwayTeam]], AB$36, Table1[[ActualResult]:[ActualResult]], "OT") + SUMIFS(Table1[[HomeWon]:[HomeWon]], Table1[[GameIsOver]:[GameIsOver]], 1, Table1[[AwayTeam]:[AwayTeam]], $A58, Table1[[HomeTeam]:[HomeTeam]], AB$36, Table1[[ActualResult]:[ActualResult]], "SO") + SUMIFS(Table1[[AwayWon]:[AwayWon]], Table1[[GameIsOver]:[GameIsOver]], 1, Table1[[HomeTeam]:[HomeTeam]], $A58, Table1[[AwayTeam]:[AwayTeam]], AB$36, Table1[[ActualResult]:[ActualResult]], "SO")))/ (2*((COUNTIFS(Table1[[GameIsOver]:[GameIsOver]],1,Table1[[AwayTeam]:[AwayTeam]],$A58, Table1[[HomeTeam]:[HomeTeam]], AB$36)))+( COUNTIFS(Table1[[GameIsOver]:[GameIsOver]],1,Table1[[AwayTeam]:[AwayTeam]],AB$36, Table1[[HomeTeam]:[HomeTeam]],$A58))), "")</f>
        <v/>
      </c>
      <c r="AC58" s="36" t="str">
        <f>IFERROR(((2 * (SUMIFS(Table1[[AwayWon]:[AwayWon]], Table1[[GameIsOver]:[GameIsOver]], 1, Table1[[AwayTeam]:[AwayTeam]], $A58, Table1[[HomeTeam]:[HomeTeam]], AC$36) + SUMIFS(Table1[[HomeWon]:[HomeWon]], Table1[[GameIsOver]:[GameIsOver]], 1, Table1[[HomeTeam]:[HomeTeam]], $A58, Table1[[AwayTeam]:[AwayTeam]], AC$36))) + (SUMIFS(Table1[[HomeWon]:[HomeWon]], Table1[[GameIsOver]:[GameIsOver]], 1, Table1[[AwayTeam]:[AwayTeam]], $A58, Table1[[HomeTeam]:[HomeTeam]],  AC$36, Table1[[ActualResult]:[ActualResult]], "OT") + SUMIFS(Table1[[AwayWon]:[AwayWon]], Table1[[GameIsOver]:[GameIsOver]], 1, Table1[[HomeTeam]:[HomeTeam]], $A58, Table1[[AwayTeam]:[AwayTeam]], AC$36, Table1[[ActualResult]:[ActualResult]], "OT") + SUMIFS(Table1[[HomeWon]:[HomeWon]], Table1[[GameIsOver]:[GameIsOver]], 1, Table1[[AwayTeam]:[AwayTeam]], $A58, Table1[[HomeTeam]:[HomeTeam]], AC$36, Table1[[ActualResult]:[ActualResult]], "SO") + SUMIFS(Table1[[AwayWon]:[AwayWon]], Table1[[GameIsOver]:[GameIsOver]], 1, Table1[[HomeTeam]:[HomeTeam]], $A58, Table1[[AwayTeam]:[AwayTeam]], AC$36, Table1[[ActualResult]:[ActualResult]], "SO")))/ (2*((COUNTIFS(Table1[[GameIsOver]:[GameIsOver]],1,Table1[[AwayTeam]:[AwayTeam]],$A58, Table1[[HomeTeam]:[HomeTeam]], AC$36)))+( COUNTIFS(Table1[[GameIsOver]:[GameIsOver]],1,Table1[[AwayTeam]:[AwayTeam]],AC$36, Table1[[HomeTeam]:[HomeTeam]],$A58))), "")</f>
        <v/>
      </c>
      <c r="AD58" s="36" t="str">
        <f>IFERROR(((2 * (SUMIFS(Table1[[AwayWon]:[AwayWon]], Table1[[GameIsOver]:[GameIsOver]], 1, Table1[[AwayTeam]:[AwayTeam]], $A58, Table1[[HomeTeam]:[HomeTeam]], AD$36) + SUMIFS(Table1[[HomeWon]:[HomeWon]], Table1[[GameIsOver]:[GameIsOver]], 1, Table1[[HomeTeam]:[HomeTeam]], $A58, Table1[[AwayTeam]:[AwayTeam]], AD$36))) + (SUMIFS(Table1[[HomeWon]:[HomeWon]], Table1[[GameIsOver]:[GameIsOver]], 1, Table1[[AwayTeam]:[AwayTeam]], $A58, Table1[[HomeTeam]:[HomeTeam]],  AD$36, Table1[[ActualResult]:[ActualResult]], "OT") + SUMIFS(Table1[[AwayWon]:[AwayWon]], Table1[[GameIsOver]:[GameIsOver]], 1, Table1[[HomeTeam]:[HomeTeam]], $A58, Table1[[AwayTeam]:[AwayTeam]], AD$36, Table1[[ActualResult]:[ActualResult]], "OT") + SUMIFS(Table1[[HomeWon]:[HomeWon]], Table1[[GameIsOver]:[GameIsOver]], 1, Table1[[AwayTeam]:[AwayTeam]], $A58, Table1[[HomeTeam]:[HomeTeam]], AD$36, Table1[[ActualResult]:[ActualResult]], "SO") + SUMIFS(Table1[[AwayWon]:[AwayWon]], Table1[[GameIsOver]:[GameIsOver]], 1, Table1[[HomeTeam]:[HomeTeam]], $A58, Table1[[AwayTeam]:[AwayTeam]], AD$36, Table1[[ActualResult]:[ActualResult]], "SO")))/ (2*((COUNTIFS(Table1[[GameIsOver]:[GameIsOver]],1,Table1[[AwayTeam]:[AwayTeam]],$A58, Table1[[HomeTeam]:[HomeTeam]], AD$36)))+( COUNTIFS(Table1[[GameIsOver]:[GameIsOver]],1,Table1[[AwayTeam]:[AwayTeam]],AD$36, Table1[[HomeTeam]:[HomeTeam]],$A58))), "")</f>
        <v/>
      </c>
      <c r="AE58" s="36" t="str">
        <f>IFERROR(((2 * (SUMIFS(Table1[[AwayWon]:[AwayWon]], Table1[[GameIsOver]:[GameIsOver]], 1, Table1[[AwayTeam]:[AwayTeam]], $A58, Table1[[HomeTeam]:[HomeTeam]], AE$36) + SUMIFS(Table1[[HomeWon]:[HomeWon]], Table1[[GameIsOver]:[GameIsOver]], 1, Table1[[HomeTeam]:[HomeTeam]], $A58, Table1[[AwayTeam]:[AwayTeam]], AE$36))) + (SUMIFS(Table1[[HomeWon]:[HomeWon]], Table1[[GameIsOver]:[GameIsOver]], 1, Table1[[AwayTeam]:[AwayTeam]], $A58, Table1[[HomeTeam]:[HomeTeam]],  AE$36, Table1[[ActualResult]:[ActualResult]], "OT") + SUMIFS(Table1[[AwayWon]:[AwayWon]], Table1[[GameIsOver]:[GameIsOver]], 1, Table1[[HomeTeam]:[HomeTeam]], $A58, Table1[[AwayTeam]:[AwayTeam]], AE$36, Table1[[ActualResult]:[ActualResult]], "OT") + SUMIFS(Table1[[HomeWon]:[HomeWon]], Table1[[GameIsOver]:[GameIsOver]], 1, Table1[[AwayTeam]:[AwayTeam]], $A58, Table1[[HomeTeam]:[HomeTeam]], AE$36, Table1[[ActualResult]:[ActualResult]], "SO") + SUMIFS(Table1[[AwayWon]:[AwayWon]], Table1[[GameIsOver]:[GameIsOver]], 1, Table1[[HomeTeam]:[HomeTeam]], $A58, Table1[[AwayTeam]:[AwayTeam]], AE$36, Table1[[ActualResult]:[ActualResult]], "SO")))/ (2*((COUNTIFS(Table1[[GameIsOver]:[GameIsOver]],1,Table1[[AwayTeam]:[AwayTeam]],$A58, Table1[[HomeTeam]:[HomeTeam]], AE$36)))+( COUNTIFS(Table1[[GameIsOver]:[GameIsOver]],1,Table1[[AwayTeam]:[AwayTeam]],AE$36, Table1[[HomeTeam]:[HomeTeam]],$A58))), "")</f>
        <v/>
      </c>
      <c r="AF58" s="36" t="str">
        <f>IFERROR(((2 * (SUMIFS(Table1[[AwayWon]:[AwayWon]], Table1[[GameIsOver]:[GameIsOver]], 1, Table1[[AwayTeam]:[AwayTeam]], $A58, Table1[[HomeTeam]:[HomeTeam]], AF$36) + SUMIFS(Table1[[HomeWon]:[HomeWon]], Table1[[GameIsOver]:[GameIsOver]], 1, Table1[[HomeTeam]:[HomeTeam]], $A58, Table1[[AwayTeam]:[AwayTeam]], AF$36))) + (SUMIFS(Table1[[HomeWon]:[HomeWon]], Table1[[GameIsOver]:[GameIsOver]], 1, Table1[[AwayTeam]:[AwayTeam]], $A58, Table1[[HomeTeam]:[HomeTeam]],  AF$36, Table1[[ActualResult]:[ActualResult]], "OT") + SUMIFS(Table1[[AwayWon]:[AwayWon]], Table1[[GameIsOver]:[GameIsOver]], 1, Table1[[HomeTeam]:[HomeTeam]], $A58, Table1[[AwayTeam]:[AwayTeam]], AF$36, Table1[[ActualResult]:[ActualResult]], "OT") + SUMIFS(Table1[[HomeWon]:[HomeWon]], Table1[[GameIsOver]:[GameIsOver]], 1, Table1[[AwayTeam]:[AwayTeam]], $A58, Table1[[HomeTeam]:[HomeTeam]], AF$36, Table1[[ActualResult]:[ActualResult]], "SO") + SUMIFS(Table1[[AwayWon]:[AwayWon]], Table1[[GameIsOver]:[GameIsOver]], 1, Table1[[HomeTeam]:[HomeTeam]], $A58, Table1[[AwayTeam]:[AwayTeam]], AF$36, Table1[[ActualResult]:[ActualResult]], "SO")))/ (2*((COUNTIFS(Table1[[GameIsOver]:[GameIsOver]],1,Table1[[AwayTeam]:[AwayTeam]],$A58, Table1[[HomeTeam]:[HomeTeam]], AF$36)))+( COUNTIFS(Table1[[GameIsOver]:[GameIsOver]],1,Table1[[AwayTeam]:[AwayTeam]],AF$36, Table1[[HomeTeam]:[HomeTeam]],$A58))), "")</f>
        <v/>
      </c>
      <c r="AG58" s="36" t="str">
        <f>IFERROR(((2 * (SUMIFS(Table1[[AwayWon]:[AwayWon]], Table1[[GameIsOver]:[GameIsOver]], 1, Table1[[AwayTeam]:[AwayTeam]], $A58, Table1[[HomeTeam]:[HomeTeam]], AG$36) + SUMIFS(Table1[[HomeWon]:[HomeWon]], Table1[[GameIsOver]:[GameIsOver]], 1, Table1[[HomeTeam]:[HomeTeam]], $A58, Table1[[AwayTeam]:[AwayTeam]], AG$36))) + (SUMIFS(Table1[[HomeWon]:[HomeWon]], Table1[[GameIsOver]:[GameIsOver]], 1, Table1[[AwayTeam]:[AwayTeam]], $A58, Table1[[HomeTeam]:[HomeTeam]],  AG$36, Table1[[ActualResult]:[ActualResult]], "OT") + SUMIFS(Table1[[AwayWon]:[AwayWon]], Table1[[GameIsOver]:[GameIsOver]], 1, Table1[[HomeTeam]:[HomeTeam]], $A58, Table1[[AwayTeam]:[AwayTeam]], AG$36, Table1[[ActualResult]:[ActualResult]], "OT") + SUMIFS(Table1[[HomeWon]:[HomeWon]], Table1[[GameIsOver]:[GameIsOver]], 1, Table1[[AwayTeam]:[AwayTeam]], $A58, Table1[[HomeTeam]:[HomeTeam]], AG$36, Table1[[ActualResult]:[ActualResult]], "SO") + SUMIFS(Table1[[AwayWon]:[AwayWon]], Table1[[GameIsOver]:[GameIsOver]], 1, Table1[[HomeTeam]:[HomeTeam]], $A58, Table1[[AwayTeam]:[AwayTeam]], AG$36, Table1[[ActualResult]:[ActualResult]], "SO")))/ (2*((COUNTIFS(Table1[[GameIsOver]:[GameIsOver]],1,Table1[[AwayTeam]:[AwayTeam]],$A58, Table1[[HomeTeam]:[HomeTeam]], AG$36)))+( COUNTIFS(Table1[[GameIsOver]:[GameIsOver]],1,Table1[[AwayTeam]:[AwayTeam]],AG$36, Table1[[HomeTeam]:[HomeTeam]],$A58))), "")</f>
        <v/>
      </c>
      <c r="AH58" s="37">
        <f t="shared" si="0"/>
        <v>1</v>
      </c>
      <c r="AI58" s="37" t="e">
        <f t="shared" si="1"/>
        <v>#DIV/0!</v>
      </c>
      <c r="AJ58" s="38" t="e">
        <f t="shared" si="2"/>
        <v>#DIV/0!</v>
      </c>
      <c r="AK58" s="38">
        <f t="shared" si="3"/>
        <v>1</v>
      </c>
      <c r="AL58" s="38" t="e">
        <f t="shared" si="4"/>
        <v>#DIV/0!</v>
      </c>
      <c r="AM58" s="38" t="e">
        <f t="shared" si="5"/>
        <v>#DIV/0!</v>
      </c>
    </row>
    <row r="59" spans="1:39" x14ac:dyDescent="0.25">
      <c r="A59" s="17" t="s">
        <v>54</v>
      </c>
      <c r="B59" s="36" t="str">
        <f>IFERROR(((2 * (SUMIFS(Table1[[AwayWon]:[AwayWon]], Table1[[GameIsOver]:[GameIsOver]], 1, Table1[[AwayTeam]:[AwayTeam]], $A59, Table1[[HomeTeam]:[HomeTeam]], B$36) + SUMIFS(Table1[[HomeWon]:[HomeWon]], Table1[[GameIsOver]:[GameIsOver]], 1, Table1[[HomeTeam]:[HomeTeam]], $A59, Table1[[AwayTeam]:[AwayTeam]], B$36))) + (SUMIFS(Table1[[HomeWon]:[HomeWon]], Table1[[GameIsOver]:[GameIsOver]], 1, Table1[[AwayTeam]:[AwayTeam]], $A59, Table1[[HomeTeam]:[HomeTeam]],  B$36, Table1[[ActualResult]:[ActualResult]], "OT") + SUMIFS(Table1[[AwayWon]:[AwayWon]], Table1[[GameIsOver]:[GameIsOver]], 1, Table1[[HomeTeam]:[HomeTeam]], $A59, Table1[[AwayTeam]:[AwayTeam]], B$36, Table1[[ActualResult]:[ActualResult]], "OT") + SUMIFS(Table1[[HomeWon]:[HomeWon]], Table1[[GameIsOver]:[GameIsOver]], 1, Table1[[AwayTeam]:[AwayTeam]], $A59, Table1[[HomeTeam]:[HomeTeam]], B$36, Table1[[ActualResult]:[ActualResult]], "SO") + SUMIFS(Table1[[AwayWon]:[AwayWon]], Table1[[GameIsOver]:[GameIsOver]], 1, Table1[[HomeTeam]:[HomeTeam]], $A59, Table1[[AwayTeam]:[AwayTeam]], B$36, Table1[[ActualResult]:[ActualResult]], "SO")))/ (2*((COUNTIFS(Table1[[GameIsOver]:[GameIsOver]],1,Table1[[AwayTeam]:[AwayTeam]],$A59, Table1[[HomeTeam]:[HomeTeam]], B$36)))+( COUNTIFS(Table1[[GameIsOver]:[GameIsOver]],1,Table1[[AwayTeam]:[AwayTeam]],B$36, Table1[[HomeTeam]:[HomeTeam]],$A59))), "")</f>
        <v/>
      </c>
      <c r="C59" s="36" t="str">
        <f>IFERROR(((2 * (SUMIFS(Table1[[AwayWon]:[AwayWon]], Table1[[GameIsOver]:[GameIsOver]], 1, Table1[[AwayTeam]:[AwayTeam]], $A59, Table1[[HomeTeam]:[HomeTeam]], C$36) + SUMIFS(Table1[[HomeWon]:[HomeWon]], Table1[[GameIsOver]:[GameIsOver]], 1, Table1[[HomeTeam]:[HomeTeam]], $A59, Table1[[AwayTeam]:[AwayTeam]], C$36))) + (SUMIFS(Table1[[HomeWon]:[HomeWon]], Table1[[GameIsOver]:[GameIsOver]], 1, Table1[[AwayTeam]:[AwayTeam]], $A59, Table1[[HomeTeam]:[HomeTeam]],  C$36, Table1[[ActualResult]:[ActualResult]], "OT") + SUMIFS(Table1[[AwayWon]:[AwayWon]], Table1[[GameIsOver]:[GameIsOver]], 1, Table1[[HomeTeam]:[HomeTeam]], $A59, Table1[[AwayTeam]:[AwayTeam]], C$36, Table1[[ActualResult]:[ActualResult]], "OT") + SUMIFS(Table1[[HomeWon]:[HomeWon]], Table1[[GameIsOver]:[GameIsOver]], 1, Table1[[AwayTeam]:[AwayTeam]], $A59, Table1[[HomeTeam]:[HomeTeam]], C$36, Table1[[ActualResult]:[ActualResult]], "SO") + SUMIFS(Table1[[AwayWon]:[AwayWon]], Table1[[GameIsOver]:[GameIsOver]], 1, Table1[[HomeTeam]:[HomeTeam]], $A59, Table1[[AwayTeam]:[AwayTeam]], C$36, Table1[[ActualResult]:[ActualResult]], "SO")))/ (2*((COUNTIFS(Table1[[GameIsOver]:[GameIsOver]],1,Table1[[AwayTeam]:[AwayTeam]],$A59, Table1[[HomeTeam]:[HomeTeam]], C$36)))+( COUNTIFS(Table1[[GameIsOver]:[GameIsOver]],1,Table1[[AwayTeam]:[AwayTeam]],C$36, Table1[[HomeTeam]:[HomeTeam]],$A59))), "")</f>
        <v/>
      </c>
      <c r="D59" s="36" t="str">
        <f>IFERROR(((2 * (SUMIFS(Table1[[AwayWon]:[AwayWon]], Table1[[GameIsOver]:[GameIsOver]], 1, Table1[[AwayTeam]:[AwayTeam]], $A59, Table1[[HomeTeam]:[HomeTeam]], D$36) + SUMIFS(Table1[[HomeWon]:[HomeWon]], Table1[[GameIsOver]:[GameIsOver]], 1, Table1[[HomeTeam]:[HomeTeam]], $A59, Table1[[AwayTeam]:[AwayTeam]], D$36))) + (SUMIFS(Table1[[HomeWon]:[HomeWon]], Table1[[GameIsOver]:[GameIsOver]], 1, Table1[[AwayTeam]:[AwayTeam]], $A59, Table1[[HomeTeam]:[HomeTeam]],  D$36, Table1[[ActualResult]:[ActualResult]], "OT") + SUMIFS(Table1[[AwayWon]:[AwayWon]], Table1[[GameIsOver]:[GameIsOver]], 1, Table1[[HomeTeam]:[HomeTeam]], $A59, Table1[[AwayTeam]:[AwayTeam]], D$36, Table1[[ActualResult]:[ActualResult]], "OT") + SUMIFS(Table1[[HomeWon]:[HomeWon]], Table1[[GameIsOver]:[GameIsOver]], 1, Table1[[AwayTeam]:[AwayTeam]], $A59, Table1[[HomeTeam]:[HomeTeam]], D$36, Table1[[ActualResult]:[ActualResult]], "SO") + SUMIFS(Table1[[AwayWon]:[AwayWon]], Table1[[GameIsOver]:[GameIsOver]], 1, Table1[[HomeTeam]:[HomeTeam]], $A59, Table1[[AwayTeam]:[AwayTeam]], D$36, Table1[[ActualResult]:[ActualResult]], "SO")))/ (2*((COUNTIFS(Table1[[GameIsOver]:[GameIsOver]],1,Table1[[AwayTeam]:[AwayTeam]],$A59, Table1[[HomeTeam]:[HomeTeam]], D$36)))+( COUNTIFS(Table1[[GameIsOver]:[GameIsOver]],1,Table1[[AwayTeam]:[AwayTeam]],D$36, Table1[[HomeTeam]:[HomeTeam]],$A59))), "")</f>
        <v/>
      </c>
      <c r="E59" s="36" t="str">
        <f>IFERROR(((2 * (SUMIFS(Table1[[AwayWon]:[AwayWon]], Table1[[GameIsOver]:[GameIsOver]], 1, Table1[[AwayTeam]:[AwayTeam]], $A59, Table1[[HomeTeam]:[HomeTeam]], E$36) + SUMIFS(Table1[[HomeWon]:[HomeWon]], Table1[[GameIsOver]:[GameIsOver]], 1, Table1[[HomeTeam]:[HomeTeam]], $A59, Table1[[AwayTeam]:[AwayTeam]], E$36))) + (SUMIFS(Table1[[HomeWon]:[HomeWon]], Table1[[GameIsOver]:[GameIsOver]], 1, Table1[[AwayTeam]:[AwayTeam]], $A59, Table1[[HomeTeam]:[HomeTeam]],  E$36, Table1[[ActualResult]:[ActualResult]], "OT") + SUMIFS(Table1[[AwayWon]:[AwayWon]], Table1[[GameIsOver]:[GameIsOver]], 1, Table1[[HomeTeam]:[HomeTeam]], $A59, Table1[[AwayTeam]:[AwayTeam]], E$36, Table1[[ActualResult]:[ActualResult]], "OT") + SUMIFS(Table1[[HomeWon]:[HomeWon]], Table1[[GameIsOver]:[GameIsOver]], 1, Table1[[AwayTeam]:[AwayTeam]], $A59, Table1[[HomeTeam]:[HomeTeam]], E$36, Table1[[ActualResult]:[ActualResult]], "SO") + SUMIFS(Table1[[AwayWon]:[AwayWon]], Table1[[GameIsOver]:[GameIsOver]], 1, Table1[[HomeTeam]:[HomeTeam]], $A59, Table1[[AwayTeam]:[AwayTeam]], E$36, Table1[[ActualResult]:[ActualResult]], "SO")))/ (2*((COUNTIFS(Table1[[GameIsOver]:[GameIsOver]],1,Table1[[AwayTeam]:[AwayTeam]],$A59, Table1[[HomeTeam]:[HomeTeam]], E$36)))+( COUNTIFS(Table1[[GameIsOver]:[GameIsOver]],1,Table1[[AwayTeam]:[AwayTeam]],E$36, Table1[[HomeTeam]:[HomeTeam]],$A59))), "")</f>
        <v/>
      </c>
      <c r="F59" s="36" t="str">
        <f>IFERROR(((2 * (SUMIFS(Table1[[AwayWon]:[AwayWon]], Table1[[GameIsOver]:[GameIsOver]], 1, Table1[[AwayTeam]:[AwayTeam]], $A59, Table1[[HomeTeam]:[HomeTeam]], F$36) + SUMIFS(Table1[[HomeWon]:[HomeWon]], Table1[[GameIsOver]:[GameIsOver]], 1, Table1[[HomeTeam]:[HomeTeam]], $A59, Table1[[AwayTeam]:[AwayTeam]], F$36))) + (SUMIFS(Table1[[HomeWon]:[HomeWon]], Table1[[GameIsOver]:[GameIsOver]], 1, Table1[[AwayTeam]:[AwayTeam]], $A59, Table1[[HomeTeam]:[HomeTeam]],  F$36, Table1[[ActualResult]:[ActualResult]], "OT") + SUMIFS(Table1[[AwayWon]:[AwayWon]], Table1[[GameIsOver]:[GameIsOver]], 1, Table1[[HomeTeam]:[HomeTeam]], $A59, Table1[[AwayTeam]:[AwayTeam]], F$36, Table1[[ActualResult]:[ActualResult]], "OT") + SUMIFS(Table1[[HomeWon]:[HomeWon]], Table1[[GameIsOver]:[GameIsOver]], 1, Table1[[AwayTeam]:[AwayTeam]], $A59, Table1[[HomeTeam]:[HomeTeam]], F$36, Table1[[ActualResult]:[ActualResult]], "SO") + SUMIFS(Table1[[AwayWon]:[AwayWon]], Table1[[GameIsOver]:[GameIsOver]], 1, Table1[[HomeTeam]:[HomeTeam]], $A59, Table1[[AwayTeam]:[AwayTeam]], F$36, Table1[[ActualResult]:[ActualResult]], "SO")))/ (2*((COUNTIFS(Table1[[GameIsOver]:[GameIsOver]],1,Table1[[AwayTeam]:[AwayTeam]],$A59, Table1[[HomeTeam]:[HomeTeam]], F$36)))+( COUNTIFS(Table1[[GameIsOver]:[GameIsOver]],1,Table1[[AwayTeam]:[AwayTeam]],F$36, Table1[[HomeTeam]:[HomeTeam]],$A59))), "")</f>
        <v/>
      </c>
      <c r="G59" s="36" t="str">
        <f>IFERROR(((2 * (SUMIFS(Table1[[AwayWon]:[AwayWon]], Table1[[GameIsOver]:[GameIsOver]], 1, Table1[[AwayTeam]:[AwayTeam]], $A59, Table1[[HomeTeam]:[HomeTeam]], G$36) + SUMIFS(Table1[[HomeWon]:[HomeWon]], Table1[[GameIsOver]:[GameIsOver]], 1, Table1[[HomeTeam]:[HomeTeam]], $A59, Table1[[AwayTeam]:[AwayTeam]], G$36))) + (SUMIFS(Table1[[HomeWon]:[HomeWon]], Table1[[GameIsOver]:[GameIsOver]], 1, Table1[[AwayTeam]:[AwayTeam]], $A59, Table1[[HomeTeam]:[HomeTeam]],  G$36, Table1[[ActualResult]:[ActualResult]], "OT") + SUMIFS(Table1[[AwayWon]:[AwayWon]], Table1[[GameIsOver]:[GameIsOver]], 1, Table1[[HomeTeam]:[HomeTeam]], $A59, Table1[[AwayTeam]:[AwayTeam]], G$36, Table1[[ActualResult]:[ActualResult]], "OT") + SUMIFS(Table1[[HomeWon]:[HomeWon]], Table1[[GameIsOver]:[GameIsOver]], 1, Table1[[AwayTeam]:[AwayTeam]], $A59, Table1[[HomeTeam]:[HomeTeam]], G$36, Table1[[ActualResult]:[ActualResult]], "SO") + SUMIFS(Table1[[AwayWon]:[AwayWon]], Table1[[GameIsOver]:[GameIsOver]], 1, Table1[[HomeTeam]:[HomeTeam]], $A59, Table1[[AwayTeam]:[AwayTeam]], G$36, Table1[[ActualResult]:[ActualResult]], "SO")))/ (2*((COUNTIFS(Table1[[GameIsOver]:[GameIsOver]],1,Table1[[AwayTeam]:[AwayTeam]],$A59, Table1[[HomeTeam]:[HomeTeam]], G$36)))+( COUNTIFS(Table1[[GameIsOver]:[GameIsOver]],1,Table1[[AwayTeam]:[AwayTeam]],G$36, Table1[[HomeTeam]:[HomeTeam]],$A59))), "")</f>
        <v/>
      </c>
      <c r="H59" s="36" t="str">
        <f>IFERROR(((2 * (SUMIFS(Table1[[AwayWon]:[AwayWon]], Table1[[GameIsOver]:[GameIsOver]], 1, Table1[[AwayTeam]:[AwayTeam]], $A59, Table1[[HomeTeam]:[HomeTeam]], H$36) + SUMIFS(Table1[[HomeWon]:[HomeWon]], Table1[[GameIsOver]:[GameIsOver]], 1, Table1[[HomeTeam]:[HomeTeam]], $A59, Table1[[AwayTeam]:[AwayTeam]], H$36))) + (SUMIFS(Table1[[HomeWon]:[HomeWon]], Table1[[GameIsOver]:[GameIsOver]], 1, Table1[[AwayTeam]:[AwayTeam]], $A59, Table1[[HomeTeam]:[HomeTeam]],  H$36, Table1[[ActualResult]:[ActualResult]], "OT") + SUMIFS(Table1[[AwayWon]:[AwayWon]], Table1[[GameIsOver]:[GameIsOver]], 1, Table1[[HomeTeam]:[HomeTeam]], $A59, Table1[[AwayTeam]:[AwayTeam]], H$36, Table1[[ActualResult]:[ActualResult]], "OT") + SUMIFS(Table1[[HomeWon]:[HomeWon]], Table1[[GameIsOver]:[GameIsOver]], 1, Table1[[AwayTeam]:[AwayTeam]], $A59, Table1[[HomeTeam]:[HomeTeam]], H$36, Table1[[ActualResult]:[ActualResult]], "SO") + SUMIFS(Table1[[AwayWon]:[AwayWon]], Table1[[GameIsOver]:[GameIsOver]], 1, Table1[[HomeTeam]:[HomeTeam]], $A59, Table1[[AwayTeam]:[AwayTeam]], H$36, Table1[[ActualResult]:[ActualResult]], "SO")))/ (2*((COUNTIFS(Table1[[GameIsOver]:[GameIsOver]],1,Table1[[AwayTeam]:[AwayTeam]],$A59, Table1[[HomeTeam]:[HomeTeam]], H$36)))+( COUNTIFS(Table1[[GameIsOver]:[GameIsOver]],1,Table1[[AwayTeam]:[AwayTeam]],H$36, Table1[[HomeTeam]:[HomeTeam]],$A59))), "")</f>
        <v/>
      </c>
      <c r="I59" s="38" t="str">
        <f>IFERROR(((2 * (SUMIFS(Table1[[AwayWon]:[AwayWon]], Table1[[GameIsOver]:[GameIsOver]], 1, Table1[[AwayTeam]:[AwayTeam]], $A59, Table1[[HomeTeam]:[HomeTeam]], I$36) + SUMIFS(Table1[[HomeWon]:[HomeWon]], Table1[[GameIsOver]:[GameIsOver]], 1, Table1[[HomeTeam]:[HomeTeam]], $A59, Table1[[AwayTeam]:[AwayTeam]], I$36))) + (SUMIFS(Table1[[HomeWon]:[HomeWon]], Table1[[GameIsOver]:[GameIsOver]], 1, Table1[[AwayTeam]:[AwayTeam]], $A59, Table1[[HomeTeam]:[HomeTeam]],  I$36, Table1[[ActualResult]:[ActualResult]], "OT") + SUMIFS(Table1[[AwayWon]:[AwayWon]], Table1[[GameIsOver]:[GameIsOver]], 1, Table1[[HomeTeam]:[HomeTeam]], $A59, Table1[[AwayTeam]:[AwayTeam]], I$36, Table1[[ActualResult]:[ActualResult]], "OT") + SUMIFS(Table1[[HomeWon]:[HomeWon]], Table1[[GameIsOver]:[GameIsOver]], 1, Table1[[AwayTeam]:[AwayTeam]], $A59, Table1[[HomeTeam]:[HomeTeam]], I$36, Table1[[ActualResult]:[ActualResult]], "SO") + SUMIFS(Table1[[AwayWon]:[AwayWon]], Table1[[GameIsOver]:[GameIsOver]], 1, Table1[[HomeTeam]:[HomeTeam]], $A59, Table1[[AwayTeam]:[AwayTeam]], I$36, Table1[[ActualResult]:[ActualResult]], "SO")))/ (2*((COUNTIFS(Table1[[GameIsOver]:[GameIsOver]],1,Table1[[AwayTeam]:[AwayTeam]],$A59, Table1[[HomeTeam]:[HomeTeam]], I$36)))+( COUNTIFS(Table1[[GameIsOver]:[GameIsOver]],1,Table1[[AwayTeam]:[AwayTeam]],I$36, Table1[[HomeTeam]:[HomeTeam]],$A59))), "")</f>
        <v/>
      </c>
      <c r="J59" s="36" t="str">
        <f>IFERROR(((2 * (SUMIFS(Table1[[AwayWon]:[AwayWon]], Table1[[GameIsOver]:[GameIsOver]], 1, Table1[[AwayTeam]:[AwayTeam]], $A59, Table1[[HomeTeam]:[HomeTeam]], J$36) + SUMIFS(Table1[[HomeWon]:[HomeWon]], Table1[[GameIsOver]:[GameIsOver]], 1, Table1[[HomeTeam]:[HomeTeam]], $A59, Table1[[AwayTeam]:[AwayTeam]], J$36))) + (SUMIFS(Table1[[HomeWon]:[HomeWon]], Table1[[GameIsOver]:[GameIsOver]], 1, Table1[[AwayTeam]:[AwayTeam]], $A59, Table1[[HomeTeam]:[HomeTeam]],  J$36, Table1[[ActualResult]:[ActualResult]], "OT") + SUMIFS(Table1[[AwayWon]:[AwayWon]], Table1[[GameIsOver]:[GameIsOver]], 1, Table1[[HomeTeam]:[HomeTeam]], $A59, Table1[[AwayTeam]:[AwayTeam]], J$36, Table1[[ActualResult]:[ActualResult]], "OT") + SUMIFS(Table1[[HomeWon]:[HomeWon]], Table1[[GameIsOver]:[GameIsOver]], 1, Table1[[AwayTeam]:[AwayTeam]], $A59, Table1[[HomeTeam]:[HomeTeam]], J$36, Table1[[ActualResult]:[ActualResult]], "SO") + SUMIFS(Table1[[AwayWon]:[AwayWon]], Table1[[GameIsOver]:[GameIsOver]], 1, Table1[[HomeTeam]:[HomeTeam]], $A59, Table1[[AwayTeam]:[AwayTeam]], J$36, Table1[[ActualResult]:[ActualResult]], "SO")))/ (2*((COUNTIFS(Table1[[GameIsOver]:[GameIsOver]],1,Table1[[AwayTeam]:[AwayTeam]],$A59, Table1[[HomeTeam]:[HomeTeam]], J$36)))+( COUNTIFS(Table1[[GameIsOver]:[GameIsOver]],1,Table1[[AwayTeam]:[AwayTeam]],J$36, Table1[[HomeTeam]:[HomeTeam]],$A59))), "")</f>
        <v/>
      </c>
      <c r="K59" s="36" t="str">
        <f>IFERROR(((2 * (SUMIFS(Table1[[AwayWon]:[AwayWon]], Table1[[GameIsOver]:[GameIsOver]], 1, Table1[[AwayTeam]:[AwayTeam]], $A59, Table1[[HomeTeam]:[HomeTeam]], K$36) + SUMIFS(Table1[[HomeWon]:[HomeWon]], Table1[[GameIsOver]:[GameIsOver]], 1, Table1[[HomeTeam]:[HomeTeam]], $A59, Table1[[AwayTeam]:[AwayTeam]], K$36))) + (SUMIFS(Table1[[HomeWon]:[HomeWon]], Table1[[GameIsOver]:[GameIsOver]], 1, Table1[[AwayTeam]:[AwayTeam]], $A59, Table1[[HomeTeam]:[HomeTeam]],  K$36, Table1[[ActualResult]:[ActualResult]], "OT") + SUMIFS(Table1[[AwayWon]:[AwayWon]], Table1[[GameIsOver]:[GameIsOver]], 1, Table1[[HomeTeam]:[HomeTeam]], $A59, Table1[[AwayTeam]:[AwayTeam]], K$36, Table1[[ActualResult]:[ActualResult]], "OT") + SUMIFS(Table1[[HomeWon]:[HomeWon]], Table1[[GameIsOver]:[GameIsOver]], 1, Table1[[AwayTeam]:[AwayTeam]], $A59, Table1[[HomeTeam]:[HomeTeam]], K$36, Table1[[ActualResult]:[ActualResult]], "SO") + SUMIFS(Table1[[AwayWon]:[AwayWon]], Table1[[GameIsOver]:[GameIsOver]], 1, Table1[[HomeTeam]:[HomeTeam]], $A59, Table1[[AwayTeam]:[AwayTeam]], K$36, Table1[[ActualResult]:[ActualResult]], "SO")))/ (2*((COUNTIFS(Table1[[GameIsOver]:[GameIsOver]],1,Table1[[AwayTeam]:[AwayTeam]],$A59, Table1[[HomeTeam]:[HomeTeam]], K$36)))+( COUNTIFS(Table1[[GameIsOver]:[GameIsOver]],1,Table1[[AwayTeam]:[AwayTeam]],K$36, Table1[[HomeTeam]:[HomeTeam]],$A59))), "")</f>
        <v/>
      </c>
      <c r="L59" s="36" t="str">
        <f>IFERROR(((2 * (SUMIFS(Table1[[AwayWon]:[AwayWon]], Table1[[GameIsOver]:[GameIsOver]], 1, Table1[[AwayTeam]:[AwayTeam]], $A59, Table1[[HomeTeam]:[HomeTeam]], L$36) + SUMIFS(Table1[[HomeWon]:[HomeWon]], Table1[[GameIsOver]:[GameIsOver]], 1, Table1[[HomeTeam]:[HomeTeam]], $A59, Table1[[AwayTeam]:[AwayTeam]], L$36))) + (SUMIFS(Table1[[HomeWon]:[HomeWon]], Table1[[GameIsOver]:[GameIsOver]], 1, Table1[[AwayTeam]:[AwayTeam]], $A59, Table1[[HomeTeam]:[HomeTeam]],  L$36, Table1[[ActualResult]:[ActualResult]], "OT") + SUMIFS(Table1[[AwayWon]:[AwayWon]], Table1[[GameIsOver]:[GameIsOver]], 1, Table1[[HomeTeam]:[HomeTeam]], $A59, Table1[[AwayTeam]:[AwayTeam]], L$36, Table1[[ActualResult]:[ActualResult]], "OT") + SUMIFS(Table1[[HomeWon]:[HomeWon]], Table1[[GameIsOver]:[GameIsOver]], 1, Table1[[AwayTeam]:[AwayTeam]], $A59, Table1[[HomeTeam]:[HomeTeam]], L$36, Table1[[ActualResult]:[ActualResult]], "SO") + SUMIFS(Table1[[AwayWon]:[AwayWon]], Table1[[GameIsOver]:[GameIsOver]], 1, Table1[[HomeTeam]:[HomeTeam]], $A59, Table1[[AwayTeam]:[AwayTeam]], L$36, Table1[[ActualResult]:[ActualResult]], "SO")))/ (2*((COUNTIFS(Table1[[GameIsOver]:[GameIsOver]],1,Table1[[AwayTeam]:[AwayTeam]],$A59, Table1[[HomeTeam]:[HomeTeam]], L$36)))+( COUNTIFS(Table1[[GameIsOver]:[GameIsOver]],1,Table1[[AwayTeam]:[AwayTeam]],L$36, Table1[[HomeTeam]:[HomeTeam]],$A59))), "")</f>
        <v/>
      </c>
      <c r="M59" s="36" t="str">
        <f>IFERROR(((2 * (SUMIFS(Table1[[AwayWon]:[AwayWon]], Table1[[GameIsOver]:[GameIsOver]], 1, Table1[[AwayTeam]:[AwayTeam]], $A59, Table1[[HomeTeam]:[HomeTeam]], M$36) + SUMIFS(Table1[[HomeWon]:[HomeWon]], Table1[[GameIsOver]:[GameIsOver]], 1, Table1[[HomeTeam]:[HomeTeam]], $A59, Table1[[AwayTeam]:[AwayTeam]], M$36))) + (SUMIFS(Table1[[HomeWon]:[HomeWon]], Table1[[GameIsOver]:[GameIsOver]], 1, Table1[[AwayTeam]:[AwayTeam]], $A59, Table1[[HomeTeam]:[HomeTeam]],  M$36, Table1[[ActualResult]:[ActualResult]], "OT") + SUMIFS(Table1[[AwayWon]:[AwayWon]], Table1[[GameIsOver]:[GameIsOver]], 1, Table1[[HomeTeam]:[HomeTeam]], $A59, Table1[[AwayTeam]:[AwayTeam]], M$36, Table1[[ActualResult]:[ActualResult]], "OT") + SUMIFS(Table1[[HomeWon]:[HomeWon]], Table1[[GameIsOver]:[GameIsOver]], 1, Table1[[AwayTeam]:[AwayTeam]], $A59, Table1[[HomeTeam]:[HomeTeam]], M$36, Table1[[ActualResult]:[ActualResult]], "SO") + SUMIFS(Table1[[AwayWon]:[AwayWon]], Table1[[GameIsOver]:[GameIsOver]], 1, Table1[[HomeTeam]:[HomeTeam]], $A59, Table1[[AwayTeam]:[AwayTeam]], M$36, Table1[[ActualResult]:[ActualResult]], "SO")))/ (2*((COUNTIFS(Table1[[GameIsOver]:[GameIsOver]],1,Table1[[AwayTeam]:[AwayTeam]],$A59, Table1[[HomeTeam]:[HomeTeam]], M$36)))+( COUNTIFS(Table1[[GameIsOver]:[GameIsOver]],1,Table1[[AwayTeam]:[AwayTeam]],M$36, Table1[[HomeTeam]:[HomeTeam]],$A59))), "")</f>
        <v/>
      </c>
      <c r="N59" s="36" t="str">
        <f>IFERROR(((2 * (SUMIFS(Table1[[AwayWon]:[AwayWon]], Table1[[GameIsOver]:[GameIsOver]], 1, Table1[[AwayTeam]:[AwayTeam]], $A59, Table1[[HomeTeam]:[HomeTeam]], N$36) + SUMIFS(Table1[[HomeWon]:[HomeWon]], Table1[[GameIsOver]:[GameIsOver]], 1, Table1[[HomeTeam]:[HomeTeam]], $A59, Table1[[AwayTeam]:[AwayTeam]], N$36))) + (SUMIFS(Table1[[HomeWon]:[HomeWon]], Table1[[GameIsOver]:[GameIsOver]], 1, Table1[[AwayTeam]:[AwayTeam]], $A59, Table1[[HomeTeam]:[HomeTeam]],  N$36, Table1[[ActualResult]:[ActualResult]], "OT") + SUMIFS(Table1[[AwayWon]:[AwayWon]], Table1[[GameIsOver]:[GameIsOver]], 1, Table1[[HomeTeam]:[HomeTeam]], $A59, Table1[[AwayTeam]:[AwayTeam]], N$36, Table1[[ActualResult]:[ActualResult]], "OT") + SUMIFS(Table1[[HomeWon]:[HomeWon]], Table1[[GameIsOver]:[GameIsOver]], 1, Table1[[AwayTeam]:[AwayTeam]], $A59, Table1[[HomeTeam]:[HomeTeam]], N$36, Table1[[ActualResult]:[ActualResult]], "SO") + SUMIFS(Table1[[AwayWon]:[AwayWon]], Table1[[GameIsOver]:[GameIsOver]], 1, Table1[[HomeTeam]:[HomeTeam]], $A59, Table1[[AwayTeam]:[AwayTeam]], N$36, Table1[[ActualResult]:[ActualResult]], "SO")))/ (2*((COUNTIFS(Table1[[GameIsOver]:[GameIsOver]],1,Table1[[AwayTeam]:[AwayTeam]],$A59, Table1[[HomeTeam]:[HomeTeam]], N$36)))+( COUNTIFS(Table1[[GameIsOver]:[GameIsOver]],1,Table1[[AwayTeam]:[AwayTeam]],N$36, Table1[[HomeTeam]:[HomeTeam]],$A59))), "")</f>
        <v/>
      </c>
      <c r="O59" s="36" t="str">
        <f>IFERROR(((2 * (SUMIFS(Table1[[AwayWon]:[AwayWon]], Table1[[GameIsOver]:[GameIsOver]], 1, Table1[[AwayTeam]:[AwayTeam]], $A59, Table1[[HomeTeam]:[HomeTeam]], O$36) + SUMIFS(Table1[[HomeWon]:[HomeWon]], Table1[[GameIsOver]:[GameIsOver]], 1, Table1[[HomeTeam]:[HomeTeam]], $A59, Table1[[AwayTeam]:[AwayTeam]], O$36))) + (SUMIFS(Table1[[HomeWon]:[HomeWon]], Table1[[GameIsOver]:[GameIsOver]], 1, Table1[[AwayTeam]:[AwayTeam]], $A59, Table1[[HomeTeam]:[HomeTeam]],  O$36, Table1[[ActualResult]:[ActualResult]], "OT") + SUMIFS(Table1[[AwayWon]:[AwayWon]], Table1[[GameIsOver]:[GameIsOver]], 1, Table1[[HomeTeam]:[HomeTeam]], $A59, Table1[[AwayTeam]:[AwayTeam]], O$36, Table1[[ActualResult]:[ActualResult]], "OT") + SUMIFS(Table1[[HomeWon]:[HomeWon]], Table1[[GameIsOver]:[GameIsOver]], 1, Table1[[AwayTeam]:[AwayTeam]], $A59, Table1[[HomeTeam]:[HomeTeam]], O$36, Table1[[ActualResult]:[ActualResult]], "SO") + SUMIFS(Table1[[AwayWon]:[AwayWon]], Table1[[GameIsOver]:[GameIsOver]], 1, Table1[[HomeTeam]:[HomeTeam]], $A59, Table1[[AwayTeam]:[AwayTeam]], O$36, Table1[[ActualResult]:[ActualResult]], "SO")))/ (2*((COUNTIFS(Table1[[GameIsOver]:[GameIsOver]],1,Table1[[AwayTeam]:[AwayTeam]],$A59, Table1[[HomeTeam]:[HomeTeam]], O$36)))+( COUNTIFS(Table1[[GameIsOver]:[GameIsOver]],1,Table1[[AwayTeam]:[AwayTeam]],O$36, Table1[[HomeTeam]:[HomeTeam]],$A59))), "")</f>
        <v/>
      </c>
      <c r="P59" s="36" t="str">
        <f>IFERROR(((2 * (SUMIFS(Table1[[AwayWon]:[AwayWon]], Table1[[GameIsOver]:[GameIsOver]], 1, Table1[[AwayTeam]:[AwayTeam]], $A59, Table1[[HomeTeam]:[HomeTeam]], P$36) + SUMIFS(Table1[[HomeWon]:[HomeWon]], Table1[[GameIsOver]:[GameIsOver]], 1, Table1[[HomeTeam]:[HomeTeam]], $A59, Table1[[AwayTeam]:[AwayTeam]], P$36))) + (SUMIFS(Table1[[HomeWon]:[HomeWon]], Table1[[GameIsOver]:[GameIsOver]], 1, Table1[[AwayTeam]:[AwayTeam]], $A59, Table1[[HomeTeam]:[HomeTeam]],  P$36, Table1[[ActualResult]:[ActualResult]], "OT") + SUMIFS(Table1[[AwayWon]:[AwayWon]], Table1[[GameIsOver]:[GameIsOver]], 1, Table1[[HomeTeam]:[HomeTeam]], $A59, Table1[[AwayTeam]:[AwayTeam]], P$36, Table1[[ActualResult]:[ActualResult]], "OT") + SUMIFS(Table1[[HomeWon]:[HomeWon]], Table1[[GameIsOver]:[GameIsOver]], 1, Table1[[AwayTeam]:[AwayTeam]], $A59, Table1[[HomeTeam]:[HomeTeam]], P$36, Table1[[ActualResult]:[ActualResult]], "SO") + SUMIFS(Table1[[AwayWon]:[AwayWon]], Table1[[GameIsOver]:[GameIsOver]], 1, Table1[[HomeTeam]:[HomeTeam]], $A59, Table1[[AwayTeam]:[AwayTeam]], P$36, Table1[[ActualResult]:[ActualResult]], "SO")))/ (2*((COUNTIFS(Table1[[GameIsOver]:[GameIsOver]],1,Table1[[AwayTeam]:[AwayTeam]],$A59, Table1[[HomeTeam]:[HomeTeam]], P$36)))+( COUNTIFS(Table1[[GameIsOver]:[GameIsOver]],1,Table1[[AwayTeam]:[AwayTeam]],P$36, Table1[[HomeTeam]:[HomeTeam]],$A59))), "")</f>
        <v/>
      </c>
      <c r="Q59" s="38" t="str">
        <f>IFERROR(((2 * (SUMIFS(Table1[[AwayWon]:[AwayWon]], Table1[[GameIsOver]:[GameIsOver]], 1, Table1[[AwayTeam]:[AwayTeam]], $A59, Table1[[HomeTeam]:[HomeTeam]], Q$36) + SUMIFS(Table1[[HomeWon]:[HomeWon]], Table1[[GameIsOver]:[GameIsOver]], 1, Table1[[HomeTeam]:[HomeTeam]], $A59, Table1[[AwayTeam]:[AwayTeam]], Q$36))) + (SUMIFS(Table1[[HomeWon]:[HomeWon]], Table1[[GameIsOver]:[GameIsOver]], 1, Table1[[AwayTeam]:[AwayTeam]], $A59, Table1[[HomeTeam]:[HomeTeam]],  Q$36, Table1[[ActualResult]:[ActualResult]], "OT") + SUMIFS(Table1[[AwayWon]:[AwayWon]], Table1[[GameIsOver]:[GameIsOver]], 1, Table1[[HomeTeam]:[HomeTeam]], $A59, Table1[[AwayTeam]:[AwayTeam]], Q$36, Table1[[ActualResult]:[ActualResult]], "OT") + SUMIFS(Table1[[HomeWon]:[HomeWon]], Table1[[GameIsOver]:[GameIsOver]], 1, Table1[[AwayTeam]:[AwayTeam]], $A59, Table1[[HomeTeam]:[HomeTeam]], Q$36, Table1[[ActualResult]:[ActualResult]], "SO") + SUMIFS(Table1[[AwayWon]:[AwayWon]], Table1[[GameIsOver]:[GameIsOver]], 1, Table1[[HomeTeam]:[HomeTeam]], $A59, Table1[[AwayTeam]:[AwayTeam]], Q$36, Table1[[ActualResult]:[ActualResult]], "SO")))/ (2*((COUNTIFS(Table1[[GameIsOver]:[GameIsOver]],1,Table1[[AwayTeam]:[AwayTeam]],$A59, Table1[[HomeTeam]:[HomeTeam]], Q$36)))+( COUNTIFS(Table1[[GameIsOver]:[GameIsOver]],1,Table1[[AwayTeam]:[AwayTeam]],Q$36, Table1[[HomeTeam]:[HomeTeam]],$A59))), "")</f>
        <v/>
      </c>
      <c r="R59" s="36" t="str">
        <f>IFERROR(((2 * (SUMIFS(Table1[[AwayWon]:[AwayWon]], Table1[[GameIsOver]:[GameIsOver]], 1, Table1[[AwayTeam]:[AwayTeam]], $A59, Table1[[HomeTeam]:[HomeTeam]], R$36) + SUMIFS(Table1[[HomeWon]:[HomeWon]], Table1[[GameIsOver]:[GameIsOver]], 1, Table1[[HomeTeam]:[HomeTeam]], $A59, Table1[[AwayTeam]:[AwayTeam]], R$36))) + (SUMIFS(Table1[[HomeWon]:[HomeWon]], Table1[[GameIsOver]:[GameIsOver]], 1, Table1[[AwayTeam]:[AwayTeam]], $A59, Table1[[HomeTeam]:[HomeTeam]],  R$36, Table1[[ActualResult]:[ActualResult]], "OT") + SUMIFS(Table1[[AwayWon]:[AwayWon]], Table1[[GameIsOver]:[GameIsOver]], 1, Table1[[HomeTeam]:[HomeTeam]], $A59, Table1[[AwayTeam]:[AwayTeam]], R$36, Table1[[ActualResult]:[ActualResult]], "OT") + SUMIFS(Table1[[HomeWon]:[HomeWon]], Table1[[GameIsOver]:[GameIsOver]], 1, Table1[[AwayTeam]:[AwayTeam]], $A59, Table1[[HomeTeam]:[HomeTeam]], R$36, Table1[[ActualResult]:[ActualResult]], "SO") + SUMIFS(Table1[[AwayWon]:[AwayWon]], Table1[[GameIsOver]:[GameIsOver]], 1, Table1[[HomeTeam]:[HomeTeam]], $A59, Table1[[AwayTeam]:[AwayTeam]], R$36, Table1[[ActualResult]:[ActualResult]], "SO")))/ (2*((COUNTIFS(Table1[[GameIsOver]:[GameIsOver]],1,Table1[[AwayTeam]:[AwayTeam]],$A59, Table1[[HomeTeam]:[HomeTeam]], R$36)))+( COUNTIFS(Table1[[GameIsOver]:[GameIsOver]],1,Table1[[AwayTeam]:[AwayTeam]],R$36, Table1[[HomeTeam]:[HomeTeam]],$A59))), "")</f>
        <v/>
      </c>
      <c r="S59" s="36" t="str">
        <f>IFERROR(((2 * (SUMIFS(Table1[[AwayWon]:[AwayWon]], Table1[[GameIsOver]:[GameIsOver]], 1, Table1[[AwayTeam]:[AwayTeam]], $A59, Table1[[HomeTeam]:[HomeTeam]], S$36) + SUMIFS(Table1[[HomeWon]:[HomeWon]], Table1[[GameIsOver]:[GameIsOver]], 1, Table1[[HomeTeam]:[HomeTeam]], $A59, Table1[[AwayTeam]:[AwayTeam]], S$36))) + (SUMIFS(Table1[[HomeWon]:[HomeWon]], Table1[[GameIsOver]:[GameIsOver]], 1, Table1[[AwayTeam]:[AwayTeam]], $A59, Table1[[HomeTeam]:[HomeTeam]],  S$36, Table1[[ActualResult]:[ActualResult]], "OT") + SUMIFS(Table1[[AwayWon]:[AwayWon]], Table1[[GameIsOver]:[GameIsOver]], 1, Table1[[HomeTeam]:[HomeTeam]], $A59, Table1[[AwayTeam]:[AwayTeam]], S$36, Table1[[ActualResult]:[ActualResult]], "OT") + SUMIFS(Table1[[HomeWon]:[HomeWon]], Table1[[GameIsOver]:[GameIsOver]], 1, Table1[[AwayTeam]:[AwayTeam]], $A59, Table1[[HomeTeam]:[HomeTeam]], S$36, Table1[[ActualResult]:[ActualResult]], "SO") + SUMIFS(Table1[[AwayWon]:[AwayWon]], Table1[[GameIsOver]:[GameIsOver]], 1, Table1[[HomeTeam]:[HomeTeam]], $A59, Table1[[AwayTeam]:[AwayTeam]], S$36, Table1[[ActualResult]:[ActualResult]], "SO")))/ (2*((COUNTIFS(Table1[[GameIsOver]:[GameIsOver]],1,Table1[[AwayTeam]:[AwayTeam]],$A59, Table1[[HomeTeam]:[HomeTeam]], S$36)))+( COUNTIFS(Table1[[GameIsOver]:[GameIsOver]],1,Table1[[AwayTeam]:[AwayTeam]],S$36, Table1[[HomeTeam]:[HomeTeam]],$A59))), "")</f>
        <v/>
      </c>
      <c r="T59" s="36" t="str">
        <f>IFERROR(((2 * (SUMIFS(Table1[[AwayWon]:[AwayWon]], Table1[[GameIsOver]:[GameIsOver]], 1, Table1[[AwayTeam]:[AwayTeam]], $A59, Table1[[HomeTeam]:[HomeTeam]], T$36) + SUMIFS(Table1[[HomeWon]:[HomeWon]], Table1[[GameIsOver]:[GameIsOver]], 1, Table1[[HomeTeam]:[HomeTeam]], $A59, Table1[[AwayTeam]:[AwayTeam]], T$36))) + (SUMIFS(Table1[[HomeWon]:[HomeWon]], Table1[[GameIsOver]:[GameIsOver]], 1, Table1[[AwayTeam]:[AwayTeam]], $A59, Table1[[HomeTeam]:[HomeTeam]],  T$36, Table1[[ActualResult]:[ActualResult]], "OT") + SUMIFS(Table1[[AwayWon]:[AwayWon]], Table1[[GameIsOver]:[GameIsOver]], 1, Table1[[HomeTeam]:[HomeTeam]], $A59, Table1[[AwayTeam]:[AwayTeam]], T$36, Table1[[ActualResult]:[ActualResult]], "OT") + SUMIFS(Table1[[HomeWon]:[HomeWon]], Table1[[GameIsOver]:[GameIsOver]], 1, Table1[[AwayTeam]:[AwayTeam]], $A59, Table1[[HomeTeam]:[HomeTeam]], T$36, Table1[[ActualResult]:[ActualResult]], "SO") + SUMIFS(Table1[[AwayWon]:[AwayWon]], Table1[[GameIsOver]:[GameIsOver]], 1, Table1[[HomeTeam]:[HomeTeam]], $A59, Table1[[AwayTeam]:[AwayTeam]], T$36, Table1[[ActualResult]:[ActualResult]], "SO")))/ (2*((COUNTIFS(Table1[[GameIsOver]:[GameIsOver]],1,Table1[[AwayTeam]:[AwayTeam]],$A59, Table1[[HomeTeam]:[HomeTeam]], T$36)))+( COUNTIFS(Table1[[GameIsOver]:[GameIsOver]],1,Table1[[AwayTeam]:[AwayTeam]],T$36, Table1[[HomeTeam]:[HomeTeam]],$A59))), "")</f>
        <v/>
      </c>
      <c r="U59" s="36" t="str">
        <f>IFERROR(((2 * (SUMIFS(Table1[[AwayWon]:[AwayWon]], Table1[[GameIsOver]:[GameIsOver]], 1, Table1[[AwayTeam]:[AwayTeam]], $A59, Table1[[HomeTeam]:[HomeTeam]], U$36) + SUMIFS(Table1[[HomeWon]:[HomeWon]], Table1[[GameIsOver]:[GameIsOver]], 1, Table1[[HomeTeam]:[HomeTeam]], $A59, Table1[[AwayTeam]:[AwayTeam]], U$36))) + (SUMIFS(Table1[[HomeWon]:[HomeWon]], Table1[[GameIsOver]:[GameIsOver]], 1, Table1[[AwayTeam]:[AwayTeam]], $A59, Table1[[HomeTeam]:[HomeTeam]],  U$36, Table1[[ActualResult]:[ActualResult]], "OT") + SUMIFS(Table1[[AwayWon]:[AwayWon]], Table1[[GameIsOver]:[GameIsOver]], 1, Table1[[HomeTeam]:[HomeTeam]], $A59, Table1[[AwayTeam]:[AwayTeam]], U$36, Table1[[ActualResult]:[ActualResult]], "OT") + SUMIFS(Table1[[HomeWon]:[HomeWon]], Table1[[GameIsOver]:[GameIsOver]], 1, Table1[[AwayTeam]:[AwayTeam]], $A59, Table1[[HomeTeam]:[HomeTeam]], U$36, Table1[[ActualResult]:[ActualResult]], "SO") + SUMIFS(Table1[[AwayWon]:[AwayWon]], Table1[[GameIsOver]:[GameIsOver]], 1, Table1[[HomeTeam]:[HomeTeam]], $A59, Table1[[AwayTeam]:[AwayTeam]], U$36, Table1[[ActualResult]:[ActualResult]], "SO")))/ (2*((COUNTIFS(Table1[[GameIsOver]:[GameIsOver]],1,Table1[[AwayTeam]:[AwayTeam]],$A59, Table1[[HomeTeam]:[HomeTeam]], U$36)))+( COUNTIFS(Table1[[GameIsOver]:[GameIsOver]],1,Table1[[AwayTeam]:[AwayTeam]],U$36, Table1[[HomeTeam]:[HomeTeam]],$A59))), "")</f>
        <v/>
      </c>
      <c r="V59" s="36" t="str">
        <f>IFERROR(((2 * (SUMIFS(Table1[[AwayWon]:[AwayWon]], Table1[[GameIsOver]:[GameIsOver]], 1, Table1[[AwayTeam]:[AwayTeam]], $A59, Table1[[HomeTeam]:[HomeTeam]], V$36) + SUMIFS(Table1[[HomeWon]:[HomeWon]], Table1[[GameIsOver]:[GameIsOver]], 1, Table1[[HomeTeam]:[HomeTeam]], $A59, Table1[[AwayTeam]:[AwayTeam]], V$36))) + (SUMIFS(Table1[[HomeWon]:[HomeWon]], Table1[[GameIsOver]:[GameIsOver]], 1, Table1[[AwayTeam]:[AwayTeam]], $A59, Table1[[HomeTeam]:[HomeTeam]],  V$36, Table1[[ActualResult]:[ActualResult]], "OT") + SUMIFS(Table1[[AwayWon]:[AwayWon]], Table1[[GameIsOver]:[GameIsOver]], 1, Table1[[HomeTeam]:[HomeTeam]], $A59, Table1[[AwayTeam]:[AwayTeam]], V$36, Table1[[ActualResult]:[ActualResult]], "OT") + SUMIFS(Table1[[HomeWon]:[HomeWon]], Table1[[GameIsOver]:[GameIsOver]], 1, Table1[[AwayTeam]:[AwayTeam]], $A59, Table1[[HomeTeam]:[HomeTeam]], V$36, Table1[[ActualResult]:[ActualResult]], "SO") + SUMIFS(Table1[[AwayWon]:[AwayWon]], Table1[[GameIsOver]:[GameIsOver]], 1, Table1[[HomeTeam]:[HomeTeam]], $A59, Table1[[AwayTeam]:[AwayTeam]], V$36, Table1[[ActualResult]:[ActualResult]], "SO")))/ (2*((COUNTIFS(Table1[[GameIsOver]:[GameIsOver]],1,Table1[[AwayTeam]:[AwayTeam]],$A59, Table1[[HomeTeam]:[HomeTeam]], V$36)))+( COUNTIFS(Table1[[GameIsOver]:[GameIsOver]],1,Table1[[AwayTeam]:[AwayTeam]],V$36, Table1[[HomeTeam]:[HomeTeam]],$A59))), "")</f>
        <v/>
      </c>
      <c r="W59" s="36">
        <f>IFERROR(((2 * (SUMIFS(Table1[[AwayWon]:[AwayWon]], Table1[[GameIsOver]:[GameIsOver]], 1, Table1[[AwayTeam]:[AwayTeam]], $A59, Table1[[HomeTeam]:[HomeTeam]], W$36) + SUMIFS(Table1[[HomeWon]:[HomeWon]], Table1[[GameIsOver]:[GameIsOver]], 1, Table1[[HomeTeam]:[HomeTeam]], $A59, Table1[[AwayTeam]:[AwayTeam]], W$36))) + (SUMIFS(Table1[[HomeWon]:[HomeWon]], Table1[[GameIsOver]:[GameIsOver]], 1, Table1[[AwayTeam]:[AwayTeam]], $A59, Table1[[HomeTeam]:[HomeTeam]],  W$36, Table1[[ActualResult]:[ActualResult]], "OT") + SUMIFS(Table1[[AwayWon]:[AwayWon]], Table1[[GameIsOver]:[GameIsOver]], 1, Table1[[HomeTeam]:[HomeTeam]], $A59, Table1[[AwayTeam]:[AwayTeam]], W$36, Table1[[ActualResult]:[ActualResult]], "OT") + SUMIFS(Table1[[HomeWon]:[HomeWon]], Table1[[GameIsOver]:[GameIsOver]], 1, Table1[[AwayTeam]:[AwayTeam]], $A59, Table1[[HomeTeam]:[HomeTeam]], W$36, Table1[[ActualResult]:[ActualResult]], "SO") + SUMIFS(Table1[[AwayWon]:[AwayWon]], Table1[[GameIsOver]:[GameIsOver]], 1, Table1[[HomeTeam]:[HomeTeam]], $A59, Table1[[AwayTeam]:[AwayTeam]], W$36, Table1[[ActualResult]:[ActualResult]], "SO")))/ (2*((COUNTIFS(Table1[[GameIsOver]:[GameIsOver]],1,Table1[[AwayTeam]:[AwayTeam]],$A59, Table1[[HomeTeam]:[HomeTeam]], W$36)))+( COUNTIFS(Table1[[GameIsOver]:[GameIsOver]],1,Table1[[AwayTeam]:[AwayTeam]],W$36, Table1[[HomeTeam]:[HomeTeam]],$A59))), "")</f>
        <v>0.5</v>
      </c>
      <c r="X59" s="36" t="str">
        <f>IFERROR(((2 * (SUMIFS(Table1[[AwayWon]:[AwayWon]], Table1[[GameIsOver]:[GameIsOver]], 1, Table1[[AwayTeam]:[AwayTeam]], $A59, Table1[[HomeTeam]:[HomeTeam]], X$36) + SUMIFS(Table1[[HomeWon]:[HomeWon]], Table1[[GameIsOver]:[GameIsOver]], 1, Table1[[HomeTeam]:[HomeTeam]], $A59, Table1[[AwayTeam]:[AwayTeam]], X$36))) + (SUMIFS(Table1[[HomeWon]:[HomeWon]], Table1[[GameIsOver]:[GameIsOver]], 1, Table1[[AwayTeam]:[AwayTeam]], $A59, Table1[[HomeTeam]:[HomeTeam]],  X$36, Table1[[ActualResult]:[ActualResult]], "OT") + SUMIFS(Table1[[AwayWon]:[AwayWon]], Table1[[GameIsOver]:[GameIsOver]], 1, Table1[[HomeTeam]:[HomeTeam]], $A59, Table1[[AwayTeam]:[AwayTeam]], X$36, Table1[[ActualResult]:[ActualResult]], "OT") + SUMIFS(Table1[[HomeWon]:[HomeWon]], Table1[[GameIsOver]:[GameIsOver]], 1, Table1[[AwayTeam]:[AwayTeam]], $A59, Table1[[HomeTeam]:[HomeTeam]], X$36, Table1[[ActualResult]:[ActualResult]], "SO") + SUMIFS(Table1[[AwayWon]:[AwayWon]], Table1[[GameIsOver]:[GameIsOver]], 1, Table1[[HomeTeam]:[HomeTeam]], $A59, Table1[[AwayTeam]:[AwayTeam]], X$36, Table1[[ActualResult]:[ActualResult]], "SO")))/ (2*((COUNTIFS(Table1[[GameIsOver]:[GameIsOver]],1,Table1[[AwayTeam]:[AwayTeam]],$A59, Table1[[HomeTeam]:[HomeTeam]], X$36)))+( COUNTIFS(Table1[[GameIsOver]:[GameIsOver]],1,Table1[[AwayTeam]:[AwayTeam]],X$36, Table1[[HomeTeam]:[HomeTeam]],$A59))), "")</f>
        <v/>
      </c>
      <c r="Y59" s="38" t="str">
        <f>IFERROR(((2 * (SUMIFS(Table1[[AwayWon]:[AwayWon]], Table1[[GameIsOver]:[GameIsOver]], 1, Table1[[AwayTeam]:[AwayTeam]], $A59, Table1[[HomeTeam]:[HomeTeam]], Y$36) + SUMIFS(Table1[[HomeWon]:[HomeWon]], Table1[[GameIsOver]:[GameIsOver]], 1, Table1[[HomeTeam]:[HomeTeam]], $A59, Table1[[AwayTeam]:[AwayTeam]], Y$36))) + (SUMIFS(Table1[[HomeWon]:[HomeWon]], Table1[[GameIsOver]:[GameIsOver]], 1, Table1[[AwayTeam]:[AwayTeam]], $A59, Table1[[HomeTeam]:[HomeTeam]],  Y$36, Table1[[ActualResult]:[ActualResult]], "OT") + SUMIFS(Table1[[AwayWon]:[AwayWon]], Table1[[GameIsOver]:[GameIsOver]], 1, Table1[[HomeTeam]:[HomeTeam]], $A59, Table1[[AwayTeam]:[AwayTeam]], Y$36, Table1[[ActualResult]:[ActualResult]], "OT") + SUMIFS(Table1[[HomeWon]:[HomeWon]], Table1[[GameIsOver]:[GameIsOver]], 1, Table1[[AwayTeam]:[AwayTeam]], $A59, Table1[[HomeTeam]:[HomeTeam]], Y$36, Table1[[ActualResult]:[ActualResult]], "SO") + SUMIFS(Table1[[AwayWon]:[AwayWon]], Table1[[GameIsOver]:[GameIsOver]], 1, Table1[[HomeTeam]:[HomeTeam]], $A59, Table1[[AwayTeam]:[AwayTeam]], Y$36, Table1[[ActualResult]:[ActualResult]], "SO")))/ (2*((COUNTIFS(Table1[[GameIsOver]:[GameIsOver]],1,Table1[[AwayTeam]:[AwayTeam]],$A59, Table1[[HomeTeam]:[HomeTeam]], Y$36)))+( COUNTIFS(Table1[[GameIsOver]:[GameIsOver]],1,Table1[[AwayTeam]:[AwayTeam]],Y$36, Table1[[HomeTeam]:[HomeTeam]],$A59))), "")</f>
        <v/>
      </c>
      <c r="Z59" s="36" t="str">
        <f>IFERROR(((2 * (SUMIFS(Table1[[AwayWon]:[AwayWon]], Table1[[GameIsOver]:[GameIsOver]], 1, Table1[[AwayTeam]:[AwayTeam]], $A59, Table1[[HomeTeam]:[HomeTeam]], Z$36) + SUMIFS(Table1[[HomeWon]:[HomeWon]], Table1[[GameIsOver]:[GameIsOver]], 1, Table1[[HomeTeam]:[HomeTeam]], $A59, Table1[[AwayTeam]:[AwayTeam]], Z$36))) + (SUMIFS(Table1[[HomeWon]:[HomeWon]], Table1[[GameIsOver]:[GameIsOver]], 1, Table1[[AwayTeam]:[AwayTeam]], $A59, Table1[[HomeTeam]:[HomeTeam]],  Z$36, Table1[[ActualResult]:[ActualResult]], "OT") + SUMIFS(Table1[[AwayWon]:[AwayWon]], Table1[[GameIsOver]:[GameIsOver]], 1, Table1[[HomeTeam]:[HomeTeam]], $A59, Table1[[AwayTeam]:[AwayTeam]], Z$36, Table1[[ActualResult]:[ActualResult]], "OT") + SUMIFS(Table1[[HomeWon]:[HomeWon]], Table1[[GameIsOver]:[GameIsOver]], 1, Table1[[AwayTeam]:[AwayTeam]], $A59, Table1[[HomeTeam]:[HomeTeam]], Z$36, Table1[[ActualResult]:[ActualResult]], "SO") + SUMIFS(Table1[[AwayWon]:[AwayWon]], Table1[[GameIsOver]:[GameIsOver]], 1, Table1[[HomeTeam]:[HomeTeam]], $A59, Table1[[AwayTeam]:[AwayTeam]], Z$36, Table1[[ActualResult]:[ActualResult]], "SO")))/ (2*((COUNTIFS(Table1[[GameIsOver]:[GameIsOver]],1,Table1[[AwayTeam]:[AwayTeam]],$A59, Table1[[HomeTeam]:[HomeTeam]], Z$36)))+( COUNTIFS(Table1[[GameIsOver]:[GameIsOver]],1,Table1[[AwayTeam]:[AwayTeam]],Z$36, Table1[[HomeTeam]:[HomeTeam]],$A59))), "")</f>
        <v/>
      </c>
      <c r="AA59" s="36" t="str">
        <f>IFERROR(((2 * (SUMIFS(Table1[[AwayWon]:[AwayWon]], Table1[[GameIsOver]:[GameIsOver]], 1, Table1[[AwayTeam]:[AwayTeam]], $A59, Table1[[HomeTeam]:[HomeTeam]], AA$36) + SUMIFS(Table1[[HomeWon]:[HomeWon]], Table1[[GameIsOver]:[GameIsOver]], 1, Table1[[HomeTeam]:[HomeTeam]], $A59, Table1[[AwayTeam]:[AwayTeam]], AA$36))) + (SUMIFS(Table1[[HomeWon]:[HomeWon]], Table1[[GameIsOver]:[GameIsOver]], 1, Table1[[AwayTeam]:[AwayTeam]], $A59, Table1[[HomeTeam]:[HomeTeam]],  AA$36, Table1[[ActualResult]:[ActualResult]], "OT") + SUMIFS(Table1[[AwayWon]:[AwayWon]], Table1[[GameIsOver]:[GameIsOver]], 1, Table1[[HomeTeam]:[HomeTeam]], $A59, Table1[[AwayTeam]:[AwayTeam]], AA$36, Table1[[ActualResult]:[ActualResult]], "OT") + SUMIFS(Table1[[HomeWon]:[HomeWon]], Table1[[GameIsOver]:[GameIsOver]], 1, Table1[[AwayTeam]:[AwayTeam]], $A59, Table1[[HomeTeam]:[HomeTeam]], AA$36, Table1[[ActualResult]:[ActualResult]], "SO") + SUMIFS(Table1[[AwayWon]:[AwayWon]], Table1[[GameIsOver]:[GameIsOver]], 1, Table1[[HomeTeam]:[HomeTeam]], $A59, Table1[[AwayTeam]:[AwayTeam]], AA$36, Table1[[ActualResult]:[ActualResult]], "SO")))/ (2*((COUNTIFS(Table1[[GameIsOver]:[GameIsOver]],1,Table1[[AwayTeam]:[AwayTeam]],$A59, Table1[[HomeTeam]:[HomeTeam]], AA$36)))+( COUNTIFS(Table1[[GameIsOver]:[GameIsOver]],1,Table1[[AwayTeam]:[AwayTeam]],AA$36, Table1[[HomeTeam]:[HomeTeam]],$A59))), "")</f>
        <v/>
      </c>
      <c r="AB59" s="36" t="str">
        <f>IFERROR(((2 * (SUMIFS(Table1[[AwayWon]:[AwayWon]], Table1[[GameIsOver]:[GameIsOver]], 1, Table1[[AwayTeam]:[AwayTeam]], $A59, Table1[[HomeTeam]:[HomeTeam]], AB$36) + SUMIFS(Table1[[HomeWon]:[HomeWon]], Table1[[GameIsOver]:[GameIsOver]], 1, Table1[[HomeTeam]:[HomeTeam]], $A59, Table1[[AwayTeam]:[AwayTeam]], AB$36))) + (SUMIFS(Table1[[HomeWon]:[HomeWon]], Table1[[GameIsOver]:[GameIsOver]], 1, Table1[[AwayTeam]:[AwayTeam]], $A59, Table1[[HomeTeam]:[HomeTeam]],  AB$36, Table1[[ActualResult]:[ActualResult]], "OT") + SUMIFS(Table1[[AwayWon]:[AwayWon]], Table1[[GameIsOver]:[GameIsOver]], 1, Table1[[HomeTeam]:[HomeTeam]], $A59, Table1[[AwayTeam]:[AwayTeam]], AB$36, Table1[[ActualResult]:[ActualResult]], "OT") + SUMIFS(Table1[[HomeWon]:[HomeWon]], Table1[[GameIsOver]:[GameIsOver]], 1, Table1[[AwayTeam]:[AwayTeam]], $A59, Table1[[HomeTeam]:[HomeTeam]], AB$36, Table1[[ActualResult]:[ActualResult]], "SO") + SUMIFS(Table1[[AwayWon]:[AwayWon]], Table1[[GameIsOver]:[GameIsOver]], 1, Table1[[HomeTeam]:[HomeTeam]], $A59, Table1[[AwayTeam]:[AwayTeam]], AB$36, Table1[[ActualResult]:[ActualResult]], "SO")))/ (2*((COUNTIFS(Table1[[GameIsOver]:[GameIsOver]],1,Table1[[AwayTeam]:[AwayTeam]],$A59, Table1[[HomeTeam]:[HomeTeam]], AB$36)))+( COUNTIFS(Table1[[GameIsOver]:[GameIsOver]],1,Table1[[AwayTeam]:[AwayTeam]],AB$36, Table1[[HomeTeam]:[HomeTeam]],$A59))), "")</f>
        <v/>
      </c>
      <c r="AC59" s="36" t="str">
        <f>IFERROR(((2 * (SUMIFS(Table1[[AwayWon]:[AwayWon]], Table1[[GameIsOver]:[GameIsOver]], 1, Table1[[AwayTeam]:[AwayTeam]], $A59, Table1[[HomeTeam]:[HomeTeam]], AC$36) + SUMIFS(Table1[[HomeWon]:[HomeWon]], Table1[[GameIsOver]:[GameIsOver]], 1, Table1[[HomeTeam]:[HomeTeam]], $A59, Table1[[AwayTeam]:[AwayTeam]], AC$36))) + (SUMIFS(Table1[[HomeWon]:[HomeWon]], Table1[[GameIsOver]:[GameIsOver]], 1, Table1[[AwayTeam]:[AwayTeam]], $A59, Table1[[HomeTeam]:[HomeTeam]],  AC$36, Table1[[ActualResult]:[ActualResult]], "OT") + SUMIFS(Table1[[AwayWon]:[AwayWon]], Table1[[GameIsOver]:[GameIsOver]], 1, Table1[[HomeTeam]:[HomeTeam]], $A59, Table1[[AwayTeam]:[AwayTeam]], AC$36, Table1[[ActualResult]:[ActualResult]], "OT") + SUMIFS(Table1[[HomeWon]:[HomeWon]], Table1[[GameIsOver]:[GameIsOver]], 1, Table1[[AwayTeam]:[AwayTeam]], $A59, Table1[[HomeTeam]:[HomeTeam]], AC$36, Table1[[ActualResult]:[ActualResult]], "SO") + SUMIFS(Table1[[AwayWon]:[AwayWon]], Table1[[GameIsOver]:[GameIsOver]], 1, Table1[[HomeTeam]:[HomeTeam]], $A59, Table1[[AwayTeam]:[AwayTeam]], AC$36, Table1[[ActualResult]:[ActualResult]], "SO")))/ (2*((COUNTIFS(Table1[[GameIsOver]:[GameIsOver]],1,Table1[[AwayTeam]:[AwayTeam]],$A59, Table1[[HomeTeam]:[HomeTeam]], AC$36)))+( COUNTIFS(Table1[[GameIsOver]:[GameIsOver]],1,Table1[[AwayTeam]:[AwayTeam]],AC$36, Table1[[HomeTeam]:[HomeTeam]],$A59))), "")</f>
        <v/>
      </c>
      <c r="AD59" s="36" t="str">
        <f>IFERROR(((2 * (SUMIFS(Table1[[AwayWon]:[AwayWon]], Table1[[GameIsOver]:[GameIsOver]], 1, Table1[[AwayTeam]:[AwayTeam]], $A59, Table1[[HomeTeam]:[HomeTeam]], AD$36) + SUMIFS(Table1[[HomeWon]:[HomeWon]], Table1[[GameIsOver]:[GameIsOver]], 1, Table1[[HomeTeam]:[HomeTeam]], $A59, Table1[[AwayTeam]:[AwayTeam]], AD$36))) + (SUMIFS(Table1[[HomeWon]:[HomeWon]], Table1[[GameIsOver]:[GameIsOver]], 1, Table1[[AwayTeam]:[AwayTeam]], $A59, Table1[[HomeTeam]:[HomeTeam]],  AD$36, Table1[[ActualResult]:[ActualResult]], "OT") + SUMIFS(Table1[[AwayWon]:[AwayWon]], Table1[[GameIsOver]:[GameIsOver]], 1, Table1[[HomeTeam]:[HomeTeam]], $A59, Table1[[AwayTeam]:[AwayTeam]], AD$36, Table1[[ActualResult]:[ActualResult]], "OT") + SUMIFS(Table1[[HomeWon]:[HomeWon]], Table1[[GameIsOver]:[GameIsOver]], 1, Table1[[AwayTeam]:[AwayTeam]], $A59, Table1[[HomeTeam]:[HomeTeam]], AD$36, Table1[[ActualResult]:[ActualResult]], "SO") + SUMIFS(Table1[[AwayWon]:[AwayWon]], Table1[[GameIsOver]:[GameIsOver]], 1, Table1[[HomeTeam]:[HomeTeam]], $A59, Table1[[AwayTeam]:[AwayTeam]], AD$36, Table1[[ActualResult]:[ActualResult]], "SO")))/ (2*((COUNTIFS(Table1[[GameIsOver]:[GameIsOver]],1,Table1[[AwayTeam]:[AwayTeam]],$A59, Table1[[HomeTeam]:[HomeTeam]], AD$36)))+( COUNTIFS(Table1[[GameIsOver]:[GameIsOver]],1,Table1[[AwayTeam]:[AwayTeam]],AD$36, Table1[[HomeTeam]:[HomeTeam]],$A59))), "")</f>
        <v/>
      </c>
      <c r="AE59" s="36" t="str">
        <f>IFERROR(((2 * (SUMIFS(Table1[[AwayWon]:[AwayWon]], Table1[[GameIsOver]:[GameIsOver]], 1, Table1[[AwayTeam]:[AwayTeam]], $A59, Table1[[HomeTeam]:[HomeTeam]], AE$36) + SUMIFS(Table1[[HomeWon]:[HomeWon]], Table1[[GameIsOver]:[GameIsOver]], 1, Table1[[HomeTeam]:[HomeTeam]], $A59, Table1[[AwayTeam]:[AwayTeam]], AE$36))) + (SUMIFS(Table1[[HomeWon]:[HomeWon]], Table1[[GameIsOver]:[GameIsOver]], 1, Table1[[AwayTeam]:[AwayTeam]], $A59, Table1[[HomeTeam]:[HomeTeam]],  AE$36, Table1[[ActualResult]:[ActualResult]], "OT") + SUMIFS(Table1[[AwayWon]:[AwayWon]], Table1[[GameIsOver]:[GameIsOver]], 1, Table1[[HomeTeam]:[HomeTeam]], $A59, Table1[[AwayTeam]:[AwayTeam]], AE$36, Table1[[ActualResult]:[ActualResult]], "OT") + SUMIFS(Table1[[HomeWon]:[HomeWon]], Table1[[GameIsOver]:[GameIsOver]], 1, Table1[[AwayTeam]:[AwayTeam]], $A59, Table1[[HomeTeam]:[HomeTeam]], AE$36, Table1[[ActualResult]:[ActualResult]], "SO") + SUMIFS(Table1[[AwayWon]:[AwayWon]], Table1[[GameIsOver]:[GameIsOver]], 1, Table1[[HomeTeam]:[HomeTeam]], $A59, Table1[[AwayTeam]:[AwayTeam]], AE$36, Table1[[ActualResult]:[ActualResult]], "SO")))/ (2*((COUNTIFS(Table1[[GameIsOver]:[GameIsOver]],1,Table1[[AwayTeam]:[AwayTeam]],$A59, Table1[[HomeTeam]:[HomeTeam]], AE$36)))+( COUNTIFS(Table1[[GameIsOver]:[GameIsOver]],1,Table1[[AwayTeam]:[AwayTeam]],AE$36, Table1[[HomeTeam]:[HomeTeam]],$A59))), "")</f>
        <v/>
      </c>
      <c r="AF59" s="36" t="str">
        <f>IFERROR(((2 * (SUMIFS(Table1[[AwayWon]:[AwayWon]], Table1[[GameIsOver]:[GameIsOver]], 1, Table1[[AwayTeam]:[AwayTeam]], $A59, Table1[[HomeTeam]:[HomeTeam]], AF$36) + SUMIFS(Table1[[HomeWon]:[HomeWon]], Table1[[GameIsOver]:[GameIsOver]], 1, Table1[[HomeTeam]:[HomeTeam]], $A59, Table1[[AwayTeam]:[AwayTeam]], AF$36))) + (SUMIFS(Table1[[HomeWon]:[HomeWon]], Table1[[GameIsOver]:[GameIsOver]], 1, Table1[[AwayTeam]:[AwayTeam]], $A59, Table1[[HomeTeam]:[HomeTeam]],  AF$36, Table1[[ActualResult]:[ActualResult]], "OT") + SUMIFS(Table1[[AwayWon]:[AwayWon]], Table1[[GameIsOver]:[GameIsOver]], 1, Table1[[HomeTeam]:[HomeTeam]], $A59, Table1[[AwayTeam]:[AwayTeam]], AF$36, Table1[[ActualResult]:[ActualResult]], "OT") + SUMIFS(Table1[[HomeWon]:[HomeWon]], Table1[[GameIsOver]:[GameIsOver]], 1, Table1[[AwayTeam]:[AwayTeam]], $A59, Table1[[HomeTeam]:[HomeTeam]], AF$36, Table1[[ActualResult]:[ActualResult]], "SO") + SUMIFS(Table1[[AwayWon]:[AwayWon]], Table1[[GameIsOver]:[GameIsOver]], 1, Table1[[HomeTeam]:[HomeTeam]], $A59, Table1[[AwayTeam]:[AwayTeam]], AF$36, Table1[[ActualResult]:[ActualResult]], "SO")))/ (2*((COUNTIFS(Table1[[GameIsOver]:[GameIsOver]],1,Table1[[AwayTeam]:[AwayTeam]],$A59, Table1[[HomeTeam]:[HomeTeam]], AF$36)))+( COUNTIFS(Table1[[GameIsOver]:[GameIsOver]],1,Table1[[AwayTeam]:[AwayTeam]],AF$36, Table1[[HomeTeam]:[HomeTeam]],$A59))), "")</f>
        <v/>
      </c>
      <c r="AG59" s="36" t="str">
        <f>IFERROR(((2 * (SUMIFS(Table1[[AwayWon]:[AwayWon]], Table1[[GameIsOver]:[GameIsOver]], 1, Table1[[AwayTeam]:[AwayTeam]], $A59, Table1[[HomeTeam]:[HomeTeam]], AG$36) + SUMIFS(Table1[[HomeWon]:[HomeWon]], Table1[[GameIsOver]:[GameIsOver]], 1, Table1[[HomeTeam]:[HomeTeam]], $A59, Table1[[AwayTeam]:[AwayTeam]], AG$36))) + (SUMIFS(Table1[[HomeWon]:[HomeWon]], Table1[[GameIsOver]:[GameIsOver]], 1, Table1[[AwayTeam]:[AwayTeam]], $A59, Table1[[HomeTeam]:[HomeTeam]],  AG$36, Table1[[ActualResult]:[ActualResult]], "OT") + SUMIFS(Table1[[AwayWon]:[AwayWon]], Table1[[GameIsOver]:[GameIsOver]], 1, Table1[[HomeTeam]:[HomeTeam]], $A59, Table1[[AwayTeam]:[AwayTeam]], AG$36, Table1[[ActualResult]:[ActualResult]], "OT") + SUMIFS(Table1[[HomeWon]:[HomeWon]], Table1[[GameIsOver]:[GameIsOver]], 1, Table1[[AwayTeam]:[AwayTeam]], $A59, Table1[[HomeTeam]:[HomeTeam]], AG$36, Table1[[ActualResult]:[ActualResult]], "SO") + SUMIFS(Table1[[AwayWon]:[AwayWon]], Table1[[GameIsOver]:[GameIsOver]], 1, Table1[[HomeTeam]:[HomeTeam]], $A59, Table1[[AwayTeam]:[AwayTeam]], AG$36, Table1[[ActualResult]:[ActualResult]], "SO")))/ (2*((COUNTIFS(Table1[[GameIsOver]:[GameIsOver]],1,Table1[[AwayTeam]:[AwayTeam]],$A59, Table1[[HomeTeam]:[HomeTeam]], AG$36)))+( COUNTIFS(Table1[[GameIsOver]:[GameIsOver]],1,Table1[[AwayTeam]:[AwayTeam]],AG$36, Table1[[HomeTeam]:[HomeTeam]],$A59))), "")</f>
        <v/>
      </c>
      <c r="AH59" s="37">
        <f t="shared" si="0"/>
        <v>0.5</v>
      </c>
      <c r="AI59" s="37" t="e">
        <f t="shared" si="1"/>
        <v>#DIV/0!</v>
      </c>
      <c r="AJ59" s="38" t="e">
        <f t="shared" si="2"/>
        <v>#DIV/0!</v>
      </c>
      <c r="AK59" s="38">
        <f t="shared" si="3"/>
        <v>0.5</v>
      </c>
      <c r="AL59" s="38" t="e">
        <f t="shared" si="4"/>
        <v>#DIV/0!</v>
      </c>
      <c r="AM59" s="38" t="e">
        <f t="shared" si="5"/>
        <v>#DIV/0!</v>
      </c>
    </row>
    <row r="60" spans="1:39" ht="15.75" thickBot="1" x14ac:dyDescent="0.3">
      <c r="A60" s="18" t="s">
        <v>59</v>
      </c>
      <c r="B60" s="39" t="str">
        <f>IFERROR(((2 * (SUMIFS(Table1[[AwayWon]:[AwayWon]], Table1[[GameIsOver]:[GameIsOver]], 1, Table1[[AwayTeam]:[AwayTeam]], $A60, Table1[[HomeTeam]:[HomeTeam]], B$36) + SUMIFS(Table1[[HomeWon]:[HomeWon]], Table1[[GameIsOver]:[GameIsOver]], 1, Table1[[HomeTeam]:[HomeTeam]], $A60, Table1[[AwayTeam]:[AwayTeam]], B$36))) + (SUMIFS(Table1[[HomeWon]:[HomeWon]], Table1[[GameIsOver]:[GameIsOver]], 1, Table1[[AwayTeam]:[AwayTeam]], $A60, Table1[[HomeTeam]:[HomeTeam]],  B$36, Table1[[ActualResult]:[ActualResult]], "OT") + SUMIFS(Table1[[AwayWon]:[AwayWon]], Table1[[GameIsOver]:[GameIsOver]], 1, Table1[[HomeTeam]:[HomeTeam]], $A60, Table1[[AwayTeam]:[AwayTeam]], B$36, Table1[[ActualResult]:[ActualResult]], "OT") + SUMIFS(Table1[[HomeWon]:[HomeWon]], Table1[[GameIsOver]:[GameIsOver]], 1, Table1[[AwayTeam]:[AwayTeam]], $A60, Table1[[HomeTeam]:[HomeTeam]], B$36, Table1[[ActualResult]:[ActualResult]], "SO") + SUMIFS(Table1[[AwayWon]:[AwayWon]], Table1[[GameIsOver]:[GameIsOver]], 1, Table1[[HomeTeam]:[HomeTeam]], $A60, Table1[[AwayTeam]:[AwayTeam]], B$36, Table1[[ActualResult]:[ActualResult]], "SO")))/ (2*((COUNTIFS(Table1[[GameIsOver]:[GameIsOver]],1,Table1[[AwayTeam]:[AwayTeam]],$A60, Table1[[HomeTeam]:[HomeTeam]], B$36)))+( COUNTIFS(Table1[[GameIsOver]:[GameIsOver]],1,Table1[[AwayTeam]:[AwayTeam]],B$36, Table1[[HomeTeam]:[HomeTeam]],$A60))), "")</f>
        <v/>
      </c>
      <c r="C60" s="40" t="str">
        <f>IFERROR(((2 * (SUMIFS(Table1[[AwayWon]:[AwayWon]], Table1[[GameIsOver]:[GameIsOver]], 1, Table1[[AwayTeam]:[AwayTeam]], $A60, Table1[[HomeTeam]:[HomeTeam]], C$36) + SUMIFS(Table1[[HomeWon]:[HomeWon]], Table1[[GameIsOver]:[GameIsOver]], 1, Table1[[HomeTeam]:[HomeTeam]], $A60, Table1[[AwayTeam]:[AwayTeam]], C$36))) + (SUMIFS(Table1[[HomeWon]:[HomeWon]], Table1[[GameIsOver]:[GameIsOver]], 1, Table1[[AwayTeam]:[AwayTeam]], $A60, Table1[[HomeTeam]:[HomeTeam]],  C$36, Table1[[ActualResult]:[ActualResult]], "OT") + SUMIFS(Table1[[AwayWon]:[AwayWon]], Table1[[GameIsOver]:[GameIsOver]], 1, Table1[[HomeTeam]:[HomeTeam]], $A60, Table1[[AwayTeam]:[AwayTeam]], C$36, Table1[[ActualResult]:[ActualResult]], "OT") + SUMIFS(Table1[[HomeWon]:[HomeWon]], Table1[[GameIsOver]:[GameIsOver]], 1, Table1[[AwayTeam]:[AwayTeam]], $A60, Table1[[HomeTeam]:[HomeTeam]], C$36, Table1[[ActualResult]:[ActualResult]], "SO") + SUMIFS(Table1[[AwayWon]:[AwayWon]], Table1[[GameIsOver]:[GameIsOver]], 1, Table1[[HomeTeam]:[HomeTeam]], $A60, Table1[[AwayTeam]:[AwayTeam]], C$36, Table1[[ActualResult]:[ActualResult]], "SO")))/ (2*((COUNTIFS(Table1[[GameIsOver]:[GameIsOver]],1,Table1[[AwayTeam]:[AwayTeam]],$A60, Table1[[HomeTeam]:[HomeTeam]], C$36)))+( COUNTIFS(Table1[[GameIsOver]:[GameIsOver]],1,Table1[[AwayTeam]:[AwayTeam]],C$36, Table1[[HomeTeam]:[HomeTeam]],$A60))), "")</f>
        <v/>
      </c>
      <c r="D60" s="40" t="str">
        <f>IFERROR(((2 * (SUMIFS(Table1[[AwayWon]:[AwayWon]], Table1[[GameIsOver]:[GameIsOver]], 1, Table1[[AwayTeam]:[AwayTeam]], $A60, Table1[[HomeTeam]:[HomeTeam]], D$36) + SUMIFS(Table1[[HomeWon]:[HomeWon]], Table1[[GameIsOver]:[GameIsOver]], 1, Table1[[HomeTeam]:[HomeTeam]], $A60, Table1[[AwayTeam]:[AwayTeam]], D$36))) + (SUMIFS(Table1[[HomeWon]:[HomeWon]], Table1[[GameIsOver]:[GameIsOver]], 1, Table1[[AwayTeam]:[AwayTeam]], $A60, Table1[[HomeTeam]:[HomeTeam]],  D$36, Table1[[ActualResult]:[ActualResult]], "OT") + SUMIFS(Table1[[AwayWon]:[AwayWon]], Table1[[GameIsOver]:[GameIsOver]], 1, Table1[[HomeTeam]:[HomeTeam]], $A60, Table1[[AwayTeam]:[AwayTeam]], D$36, Table1[[ActualResult]:[ActualResult]], "OT") + SUMIFS(Table1[[HomeWon]:[HomeWon]], Table1[[GameIsOver]:[GameIsOver]], 1, Table1[[AwayTeam]:[AwayTeam]], $A60, Table1[[HomeTeam]:[HomeTeam]], D$36, Table1[[ActualResult]:[ActualResult]], "SO") + SUMIFS(Table1[[AwayWon]:[AwayWon]], Table1[[GameIsOver]:[GameIsOver]], 1, Table1[[HomeTeam]:[HomeTeam]], $A60, Table1[[AwayTeam]:[AwayTeam]], D$36, Table1[[ActualResult]:[ActualResult]], "SO")))/ (2*((COUNTIFS(Table1[[GameIsOver]:[GameIsOver]],1,Table1[[AwayTeam]:[AwayTeam]],$A60, Table1[[HomeTeam]:[HomeTeam]], D$36)))+( COUNTIFS(Table1[[GameIsOver]:[GameIsOver]],1,Table1[[AwayTeam]:[AwayTeam]],D$36, Table1[[HomeTeam]:[HomeTeam]],$A60))), "")</f>
        <v/>
      </c>
      <c r="E60" s="40" t="str">
        <f>IFERROR(((2 * (SUMIFS(Table1[[AwayWon]:[AwayWon]], Table1[[GameIsOver]:[GameIsOver]], 1, Table1[[AwayTeam]:[AwayTeam]], $A60, Table1[[HomeTeam]:[HomeTeam]], E$36) + SUMIFS(Table1[[HomeWon]:[HomeWon]], Table1[[GameIsOver]:[GameIsOver]], 1, Table1[[HomeTeam]:[HomeTeam]], $A60, Table1[[AwayTeam]:[AwayTeam]], E$36))) + (SUMIFS(Table1[[HomeWon]:[HomeWon]], Table1[[GameIsOver]:[GameIsOver]], 1, Table1[[AwayTeam]:[AwayTeam]], $A60, Table1[[HomeTeam]:[HomeTeam]],  E$36, Table1[[ActualResult]:[ActualResult]], "OT") + SUMIFS(Table1[[AwayWon]:[AwayWon]], Table1[[GameIsOver]:[GameIsOver]], 1, Table1[[HomeTeam]:[HomeTeam]], $A60, Table1[[AwayTeam]:[AwayTeam]], E$36, Table1[[ActualResult]:[ActualResult]], "OT") + SUMIFS(Table1[[HomeWon]:[HomeWon]], Table1[[GameIsOver]:[GameIsOver]], 1, Table1[[AwayTeam]:[AwayTeam]], $A60, Table1[[HomeTeam]:[HomeTeam]], E$36, Table1[[ActualResult]:[ActualResult]], "SO") + SUMIFS(Table1[[AwayWon]:[AwayWon]], Table1[[GameIsOver]:[GameIsOver]], 1, Table1[[HomeTeam]:[HomeTeam]], $A60, Table1[[AwayTeam]:[AwayTeam]], E$36, Table1[[ActualResult]:[ActualResult]], "SO")))/ (2*((COUNTIFS(Table1[[GameIsOver]:[GameIsOver]],1,Table1[[AwayTeam]:[AwayTeam]],$A60, Table1[[HomeTeam]:[HomeTeam]], E$36)))+( COUNTIFS(Table1[[GameIsOver]:[GameIsOver]],1,Table1[[AwayTeam]:[AwayTeam]],E$36, Table1[[HomeTeam]:[HomeTeam]],$A60))), "")</f>
        <v/>
      </c>
      <c r="F60" s="40" t="str">
        <f>IFERROR(((2 * (SUMIFS(Table1[[AwayWon]:[AwayWon]], Table1[[GameIsOver]:[GameIsOver]], 1, Table1[[AwayTeam]:[AwayTeam]], $A60, Table1[[HomeTeam]:[HomeTeam]], F$36) + SUMIFS(Table1[[HomeWon]:[HomeWon]], Table1[[GameIsOver]:[GameIsOver]], 1, Table1[[HomeTeam]:[HomeTeam]], $A60, Table1[[AwayTeam]:[AwayTeam]], F$36))) + (SUMIFS(Table1[[HomeWon]:[HomeWon]], Table1[[GameIsOver]:[GameIsOver]], 1, Table1[[AwayTeam]:[AwayTeam]], $A60, Table1[[HomeTeam]:[HomeTeam]],  F$36, Table1[[ActualResult]:[ActualResult]], "OT") + SUMIFS(Table1[[AwayWon]:[AwayWon]], Table1[[GameIsOver]:[GameIsOver]], 1, Table1[[HomeTeam]:[HomeTeam]], $A60, Table1[[AwayTeam]:[AwayTeam]], F$36, Table1[[ActualResult]:[ActualResult]], "OT") + SUMIFS(Table1[[HomeWon]:[HomeWon]], Table1[[GameIsOver]:[GameIsOver]], 1, Table1[[AwayTeam]:[AwayTeam]], $A60, Table1[[HomeTeam]:[HomeTeam]], F$36, Table1[[ActualResult]:[ActualResult]], "SO") + SUMIFS(Table1[[AwayWon]:[AwayWon]], Table1[[GameIsOver]:[GameIsOver]], 1, Table1[[HomeTeam]:[HomeTeam]], $A60, Table1[[AwayTeam]:[AwayTeam]], F$36, Table1[[ActualResult]:[ActualResult]], "SO")))/ (2*((COUNTIFS(Table1[[GameIsOver]:[GameIsOver]],1,Table1[[AwayTeam]:[AwayTeam]],$A60, Table1[[HomeTeam]:[HomeTeam]], F$36)))+( COUNTIFS(Table1[[GameIsOver]:[GameIsOver]],1,Table1[[AwayTeam]:[AwayTeam]],F$36, Table1[[HomeTeam]:[HomeTeam]],$A60))), "")</f>
        <v/>
      </c>
      <c r="G60" s="40" t="str">
        <f>IFERROR(((2 * (SUMIFS(Table1[[AwayWon]:[AwayWon]], Table1[[GameIsOver]:[GameIsOver]], 1, Table1[[AwayTeam]:[AwayTeam]], $A60, Table1[[HomeTeam]:[HomeTeam]], G$36) + SUMIFS(Table1[[HomeWon]:[HomeWon]], Table1[[GameIsOver]:[GameIsOver]], 1, Table1[[HomeTeam]:[HomeTeam]], $A60, Table1[[AwayTeam]:[AwayTeam]], G$36))) + (SUMIFS(Table1[[HomeWon]:[HomeWon]], Table1[[GameIsOver]:[GameIsOver]], 1, Table1[[AwayTeam]:[AwayTeam]], $A60, Table1[[HomeTeam]:[HomeTeam]],  G$36, Table1[[ActualResult]:[ActualResult]], "OT") + SUMIFS(Table1[[AwayWon]:[AwayWon]], Table1[[GameIsOver]:[GameIsOver]], 1, Table1[[HomeTeam]:[HomeTeam]], $A60, Table1[[AwayTeam]:[AwayTeam]], G$36, Table1[[ActualResult]:[ActualResult]], "OT") + SUMIFS(Table1[[HomeWon]:[HomeWon]], Table1[[GameIsOver]:[GameIsOver]], 1, Table1[[AwayTeam]:[AwayTeam]], $A60, Table1[[HomeTeam]:[HomeTeam]], G$36, Table1[[ActualResult]:[ActualResult]], "SO") + SUMIFS(Table1[[AwayWon]:[AwayWon]], Table1[[GameIsOver]:[GameIsOver]], 1, Table1[[HomeTeam]:[HomeTeam]], $A60, Table1[[AwayTeam]:[AwayTeam]], G$36, Table1[[ActualResult]:[ActualResult]], "SO")))/ (2*((COUNTIFS(Table1[[GameIsOver]:[GameIsOver]],1,Table1[[AwayTeam]:[AwayTeam]],$A60, Table1[[HomeTeam]:[HomeTeam]], G$36)))+( COUNTIFS(Table1[[GameIsOver]:[GameIsOver]],1,Table1[[AwayTeam]:[AwayTeam]],G$36, Table1[[HomeTeam]:[HomeTeam]],$A60))), "")</f>
        <v/>
      </c>
      <c r="H60" s="40" t="str">
        <f>IFERROR(((2 * (SUMIFS(Table1[[AwayWon]:[AwayWon]], Table1[[GameIsOver]:[GameIsOver]], 1, Table1[[AwayTeam]:[AwayTeam]], $A60, Table1[[HomeTeam]:[HomeTeam]], H$36) + SUMIFS(Table1[[HomeWon]:[HomeWon]], Table1[[GameIsOver]:[GameIsOver]], 1, Table1[[HomeTeam]:[HomeTeam]], $A60, Table1[[AwayTeam]:[AwayTeam]], H$36))) + (SUMIFS(Table1[[HomeWon]:[HomeWon]], Table1[[GameIsOver]:[GameIsOver]], 1, Table1[[AwayTeam]:[AwayTeam]], $A60, Table1[[HomeTeam]:[HomeTeam]],  H$36, Table1[[ActualResult]:[ActualResult]], "OT") + SUMIFS(Table1[[AwayWon]:[AwayWon]], Table1[[GameIsOver]:[GameIsOver]], 1, Table1[[HomeTeam]:[HomeTeam]], $A60, Table1[[AwayTeam]:[AwayTeam]], H$36, Table1[[ActualResult]:[ActualResult]], "OT") + SUMIFS(Table1[[HomeWon]:[HomeWon]], Table1[[GameIsOver]:[GameIsOver]], 1, Table1[[AwayTeam]:[AwayTeam]], $A60, Table1[[HomeTeam]:[HomeTeam]], H$36, Table1[[ActualResult]:[ActualResult]], "SO") + SUMIFS(Table1[[AwayWon]:[AwayWon]], Table1[[GameIsOver]:[GameIsOver]], 1, Table1[[HomeTeam]:[HomeTeam]], $A60, Table1[[AwayTeam]:[AwayTeam]], H$36, Table1[[ActualResult]:[ActualResult]], "SO")))/ (2*((COUNTIFS(Table1[[GameIsOver]:[GameIsOver]],1,Table1[[AwayTeam]:[AwayTeam]],$A60, Table1[[HomeTeam]:[HomeTeam]], H$36)))+( COUNTIFS(Table1[[GameIsOver]:[GameIsOver]],1,Table1[[AwayTeam]:[AwayTeam]],H$36, Table1[[HomeTeam]:[HomeTeam]],$A60))), "")</f>
        <v/>
      </c>
      <c r="I60" s="42" t="str">
        <f>IFERROR(((2 * (SUMIFS(Table1[[AwayWon]:[AwayWon]], Table1[[GameIsOver]:[GameIsOver]], 1, Table1[[AwayTeam]:[AwayTeam]], $A60, Table1[[HomeTeam]:[HomeTeam]], I$36) + SUMIFS(Table1[[HomeWon]:[HomeWon]], Table1[[GameIsOver]:[GameIsOver]], 1, Table1[[HomeTeam]:[HomeTeam]], $A60, Table1[[AwayTeam]:[AwayTeam]], I$36))) + (SUMIFS(Table1[[HomeWon]:[HomeWon]], Table1[[GameIsOver]:[GameIsOver]], 1, Table1[[AwayTeam]:[AwayTeam]], $A60, Table1[[HomeTeam]:[HomeTeam]],  I$36, Table1[[ActualResult]:[ActualResult]], "OT") + SUMIFS(Table1[[AwayWon]:[AwayWon]], Table1[[GameIsOver]:[GameIsOver]], 1, Table1[[HomeTeam]:[HomeTeam]], $A60, Table1[[AwayTeam]:[AwayTeam]], I$36, Table1[[ActualResult]:[ActualResult]], "OT") + SUMIFS(Table1[[HomeWon]:[HomeWon]], Table1[[GameIsOver]:[GameIsOver]], 1, Table1[[AwayTeam]:[AwayTeam]], $A60, Table1[[HomeTeam]:[HomeTeam]], I$36, Table1[[ActualResult]:[ActualResult]], "SO") + SUMIFS(Table1[[AwayWon]:[AwayWon]], Table1[[GameIsOver]:[GameIsOver]], 1, Table1[[HomeTeam]:[HomeTeam]], $A60, Table1[[AwayTeam]:[AwayTeam]], I$36, Table1[[ActualResult]:[ActualResult]], "SO")))/ (2*((COUNTIFS(Table1[[GameIsOver]:[GameIsOver]],1,Table1[[AwayTeam]:[AwayTeam]],$A60, Table1[[HomeTeam]:[HomeTeam]], I$36)))+( COUNTIFS(Table1[[GameIsOver]:[GameIsOver]],1,Table1[[AwayTeam]:[AwayTeam]],I$36, Table1[[HomeTeam]:[HomeTeam]],$A60))), "")</f>
        <v/>
      </c>
      <c r="J60" s="40" t="str">
        <f>IFERROR(((2 * (SUMIFS(Table1[[AwayWon]:[AwayWon]], Table1[[GameIsOver]:[GameIsOver]], 1, Table1[[AwayTeam]:[AwayTeam]], $A60, Table1[[HomeTeam]:[HomeTeam]], J$36) + SUMIFS(Table1[[HomeWon]:[HomeWon]], Table1[[GameIsOver]:[GameIsOver]], 1, Table1[[HomeTeam]:[HomeTeam]], $A60, Table1[[AwayTeam]:[AwayTeam]], J$36))) + (SUMIFS(Table1[[HomeWon]:[HomeWon]], Table1[[GameIsOver]:[GameIsOver]], 1, Table1[[AwayTeam]:[AwayTeam]], $A60, Table1[[HomeTeam]:[HomeTeam]],  J$36, Table1[[ActualResult]:[ActualResult]], "OT") + SUMIFS(Table1[[AwayWon]:[AwayWon]], Table1[[GameIsOver]:[GameIsOver]], 1, Table1[[HomeTeam]:[HomeTeam]], $A60, Table1[[AwayTeam]:[AwayTeam]], J$36, Table1[[ActualResult]:[ActualResult]], "OT") + SUMIFS(Table1[[HomeWon]:[HomeWon]], Table1[[GameIsOver]:[GameIsOver]], 1, Table1[[AwayTeam]:[AwayTeam]], $A60, Table1[[HomeTeam]:[HomeTeam]], J$36, Table1[[ActualResult]:[ActualResult]], "SO") + SUMIFS(Table1[[AwayWon]:[AwayWon]], Table1[[GameIsOver]:[GameIsOver]], 1, Table1[[HomeTeam]:[HomeTeam]], $A60, Table1[[AwayTeam]:[AwayTeam]], J$36, Table1[[ActualResult]:[ActualResult]], "SO")))/ (2*((COUNTIFS(Table1[[GameIsOver]:[GameIsOver]],1,Table1[[AwayTeam]:[AwayTeam]],$A60, Table1[[HomeTeam]:[HomeTeam]], J$36)))+( COUNTIFS(Table1[[GameIsOver]:[GameIsOver]],1,Table1[[AwayTeam]:[AwayTeam]],J$36, Table1[[HomeTeam]:[HomeTeam]],$A60))), "")</f>
        <v/>
      </c>
      <c r="K60" s="40" t="str">
        <f>IFERROR(((2 * (SUMIFS(Table1[[AwayWon]:[AwayWon]], Table1[[GameIsOver]:[GameIsOver]], 1, Table1[[AwayTeam]:[AwayTeam]], $A60, Table1[[HomeTeam]:[HomeTeam]], K$36) + SUMIFS(Table1[[HomeWon]:[HomeWon]], Table1[[GameIsOver]:[GameIsOver]], 1, Table1[[HomeTeam]:[HomeTeam]], $A60, Table1[[AwayTeam]:[AwayTeam]], K$36))) + (SUMIFS(Table1[[HomeWon]:[HomeWon]], Table1[[GameIsOver]:[GameIsOver]], 1, Table1[[AwayTeam]:[AwayTeam]], $A60, Table1[[HomeTeam]:[HomeTeam]],  K$36, Table1[[ActualResult]:[ActualResult]], "OT") + SUMIFS(Table1[[AwayWon]:[AwayWon]], Table1[[GameIsOver]:[GameIsOver]], 1, Table1[[HomeTeam]:[HomeTeam]], $A60, Table1[[AwayTeam]:[AwayTeam]], K$36, Table1[[ActualResult]:[ActualResult]], "OT") + SUMIFS(Table1[[HomeWon]:[HomeWon]], Table1[[GameIsOver]:[GameIsOver]], 1, Table1[[AwayTeam]:[AwayTeam]], $A60, Table1[[HomeTeam]:[HomeTeam]], K$36, Table1[[ActualResult]:[ActualResult]], "SO") + SUMIFS(Table1[[AwayWon]:[AwayWon]], Table1[[GameIsOver]:[GameIsOver]], 1, Table1[[HomeTeam]:[HomeTeam]], $A60, Table1[[AwayTeam]:[AwayTeam]], K$36, Table1[[ActualResult]:[ActualResult]], "SO")))/ (2*((COUNTIFS(Table1[[GameIsOver]:[GameIsOver]],1,Table1[[AwayTeam]:[AwayTeam]],$A60, Table1[[HomeTeam]:[HomeTeam]], K$36)))+( COUNTIFS(Table1[[GameIsOver]:[GameIsOver]],1,Table1[[AwayTeam]:[AwayTeam]],K$36, Table1[[HomeTeam]:[HomeTeam]],$A60))), "")</f>
        <v/>
      </c>
      <c r="L60" s="40" t="str">
        <f>IFERROR(((2 * (SUMIFS(Table1[[AwayWon]:[AwayWon]], Table1[[GameIsOver]:[GameIsOver]], 1, Table1[[AwayTeam]:[AwayTeam]], $A60, Table1[[HomeTeam]:[HomeTeam]], L$36) + SUMIFS(Table1[[HomeWon]:[HomeWon]], Table1[[GameIsOver]:[GameIsOver]], 1, Table1[[HomeTeam]:[HomeTeam]], $A60, Table1[[AwayTeam]:[AwayTeam]], L$36))) + (SUMIFS(Table1[[HomeWon]:[HomeWon]], Table1[[GameIsOver]:[GameIsOver]], 1, Table1[[AwayTeam]:[AwayTeam]], $A60, Table1[[HomeTeam]:[HomeTeam]],  L$36, Table1[[ActualResult]:[ActualResult]], "OT") + SUMIFS(Table1[[AwayWon]:[AwayWon]], Table1[[GameIsOver]:[GameIsOver]], 1, Table1[[HomeTeam]:[HomeTeam]], $A60, Table1[[AwayTeam]:[AwayTeam]], L$36, Table1[[ActualResult]:[ActualResult]], "OT") + SUMIFS(Table1[[HomeWon]:[HomeWon]], Table1[[GameIsOver]:[GameIsOver]], 1, Table1[[AwayTeam]:[AwayTeam]], $A60, Table1[[HomeTeam]:[HomeTeam]], L$36, Table1[[ActualResult]:[ActualResult]], "SO") + SUMIFS(Table1[[AwayWon]:[AwayWon]], Table1[[GameIsOver]:[GameIsOver]], 1, Table1[[HomeTeam]:[HomeTeam]], $A60, Table1[[AwayTeam]:[AwayTeam]], L$36, Table1[[ActualResult]:[ActualResult]], "SO")))/ (2*((COUNTIFS(Table1[[GameIsOver]:[GameIsOver]],1,Table1[[AwayTeam]:[AwayTeam]],$A60, Table1[[HomeTeam]:[HomeTeam]], L$36)))+( COUNTIFS(Table1[[GameIsOver]:[GameIsOver]],1,Table1[[AwayTeam]:[AwayTeam]],L$36, Table1[[HomeTeam]:[HomeTeam]],$A60))), "")</f>
        <v/>
      </c>
      <c r="M60" s="40" t="str">
        <f>IFERROR(((2 * (SUMIFS(Table1[[AwayWon]:[AwayWon]], Table1[[GameIsOver]:[GameIsOver]], 1, Table1[[AwayTeam]:[AwayTeam]], $A60, Table1[[HomeTeam]:[HomeTeam]], M$36) + SUMIFS(Table1[[HomeWon]:[HomeWon]], Table1[[GameIsOver]:[GameIsOver]], 1, Table1[[HomeTeam]:[HomeTeam]], $A60, Table1[[AwayTeam]:[AwayTeam]], M$36))) + (SUMIFS(Table1[[HomeWon]:[HomeWon]], Table1[[GameIsOver]:[GameIsOver]], 1, Table1[[AwayTeam]:[AwayTeam]], $A60, Table1[[HomeTeam]:[HomeTeam]],  M$36, Table1[[ActualResult]:[ActualResult]], "OT") + SUMIFS(Table1[[AwayWon]:[AwayWon]], Table1[[GameIsOver]:[GameIsOver]], 1, Table1[[HomeTeam]:[HomeTeam]], $A60, Table1[[AwayTeam]:[AwayTeam]], M$36, Table1[[ActualResult]:[ActualResult]], "OT") + SUMIFS(Table1[[HomeWon]:[HomeWon]], Table1[[GameIsOver]:[GameIsOver]], 1, Table1[[AwayTeam]:[AwayTeam]], $A60, Table1[[HomeTeam]:[HomeTeam]], M$36, Table1[[ActualResult]:[ActualResult]], "SO") + SUMIFS(Table1[[AwayWon]:[AwayWon]], Table1[[GameIsOver]:[GameIsOver]], 1, Table1[[HomeTeam]:[HomeTeam]], $A60, Table1[[AwayTeam]:[AwayTeam]], M$36, Table1[[ActualResult]:[ActualResult]], "SO")))/ (2*((COUNTIFS(Table1[[GameIsOver]:[GameIsOver]],1,Table1[[AwayTeam]:[AwayTeam]],$A60, Table1[[HomeTeam]:[HomeTeam]], M$36)))+( COUNTIFS(Table1[[GameIsOver]:[GameIsOver]],1,Table1[[AwayTeam]:[AwayTeam]],M$36, Table1[[HomeTeam]:[HomeTeam]],$A60))), "")</f>
        <v/>
      </c>
      <c r="N60" s="40" t="str">
        <f>IFERROR(((2 * (SUMIFS(Table1[[AwayWon]:[AwayWon]], Table1[[GameIsOver]:[GameIsOver]], 1, Table1[[AwayTeam]:[AwayTeam]], $A60, Table1[[HomeTeam]:[HomeTeam]], N$36) + SUMIFS(Table1[[HomeWon]:[HomeWon]], Table1[[GameIsOver]:[GameIsOver]], 1, Table1[[HomeTeam]:[HomeTeam]], $A60, Table1[[AwayTeam]:[AwayTeam]], N$36))) + (SUMIFS(Table1[[HomeWon]:[HomeWon]], Table1[[GameIsOver]:[GameIsOver]], 1, Table1[[AwayTeam]:[AwayTeam]], $A60, Table1[[HomeTeam]:[HomeTeam]],  N$36, Table1[[ActualResult]:[ActualResult]], "OT") + SUMIFS(Table1[[AwayWon]:[AwayWon]], Table1[[GameIsOver]:[GameIsOver]], 1, Table1[[HomeTeam]:[HomeTeam]], $A60, Table1[[AwayTeam]:[AwayTeam]], N$36, Table1[[ActualResult]:[ActualResult]], "OT") + SUMIFS(Table1[[HomeWon]:[HomeWon]], Table1[[GameIsOver]:[GameIsOver]], 1, Table1[[AwayTeam]:[AwayTeam]], $A60, Table1[[HomeTeam]:[HomeTeam]], N$36, Table1[[ActualResult]:[ActualResult]], "SO") + SUMIFS(Table1[[AwayWon]:[AwayWon]], Table1[[GameIsOver]:[GameIsOver]], 1, Table1[[HomeTeam]:[HomeTeam]], $A60, Table1[[AwayTeam]:[AwayTeam]], N$36, Table1[[ActualResult]:[ActualResult]], "SO")))/ (2*((COUNTIFS(Table1[[GameIsOver]:[GameIsOver]],1,Table1[[AwayTeam]:[AwayTeam]],$A60, Table1[[HomeTeam]:[HomeTeam]], N$36)))+( COUNTIFS(Table1[[GameIsOver]:[GameIsOver]],1,Table1[[AwayTeam]:[AwayTeam]],N$36, Table1[[HomeTeam]:[HomeTeam]],$A60))), "")</f>
        <v/>
      </c>
      <c r="O60" s="40" t="str">
        <f>IFERROR(((2 * (SUMIFS(Table1[[AwayWon]:[AwayWon]], Table1[[GameIsOver]:[GameIsOver]], 1, Table1[[AwayTeam]:[AwayTeam]], $A60, Table1[[HomeTeam]:[HomeTeam]], O$36) + SUMIFS(Table1[[HomeWon]:[HomeWon]], Table1[[GameIsOver]:[GameIsOver]], 1, Table1[[HomeTeam]:[HomeTeam]], $A60, Table1[[AwayTeam]:[AwayTeam]], O$36))) + (SUMIFS(Table1[[HomeWon]:[HomeWon]], Table1[[GameIsOver]:[GameIsOver]], 1, Table1[[AwayTeam]:[AwayTeam]], $A60, Table1[[HomeTeam]:[HomeTeam]],  O$36, Table1[[ActualResult]:[ActualResult]], "OT") + SUMIFS(Table1[[AwayWon]:[AwayWon]], Table1[[GameIsOver]:[GameIsOver]], 1, Table1[[HomeTeam]:[HomeTeam]], $A60, Table1[[AwayTeam]:[AwayTeam]], O$36, Table1[[ActualResult]:[ActualResult]], "OT") + SUMIFS(Table1[[HomeWon]:[HomeWon]], Table1[[GameIsOver]:[GameIsOver]], 1, Table1[[AwayTeam]:[AwayTeam]], $A60, Table1[[HomeTeam]:[HomeTeam]], O$36, Table1[[ActualResult]:[ActualResult]], "SO") + SUMIFS(Table1[[AwayWon]:[AwayWon]], Table1[[GameIsOver]:[GameIsOver]], 1, Table1[[HomeTeam]:[HomeTeam]], $A60, Table1[[AwayTeam]:[AwayTeam]], O$36, Table1[[ActualResult]:[ActualResult]], "SO")))/ (2*((COUNTIFS(Table1[[GameIsOver]:[GameIsOver]],1,Table1[[AwayTeam]:[AwayTeam]],$A60, Table1[[HomeTeam]:[HomeTeam]], O$36)))+( COUNTIFS(Table1[[GameIsOver]:[GameIsOver]],1,Table1[[AwayTeam]:[AwayTeam]],O$36, Table1[[HomeTeam]:[HomeTeam]],$A60))), "")</f>
        <v/>
      </c>
      <c r="P60" s="40" t="str">
        <f>IFERROR(((2 * (SUMIFS(Table1[[AwayWon]:[AwayWon]], Table1[[GameIsOver]:[GameIsOver]], 1, Table1[[AwayTeam]:[AwayTeam]], $A60, Table1[[HomeTeam]:[HomeTeam]], P$36) + SUMIFS(Table1[[HomeWon]:[HomeWon]], Table1[[GameIsOver]:[GameIsOver]], 1, Table1[[HomeTeam]:[HomeTeam]], $A60, Table1[[AwayTeam]:[AwayTeam]], P$36))) + (SUMIFS(Table1[[HomeWon]:[HomeWon]], Table1[[GameIsOver]:[GameIsOver]], 1, Table1[[AwayTeam]:[AwayTeam]], $A60, Table1[[HomeTeam]:[HomeTeam]],  P$36, Table1[[ActualResult]:[ActualResult]], "OT") + SUMIFS(Table1[[AwayWon]:[AwayWon]], Table1[[GameIsOver]:[GameIsOver]], 1, Table1[[HomeTeam]:[HomeTeam]], $A60, Table1[[AwayTeam]:[AwayTeam]], P$36, Table1[[ActualResult]:[ActualResult]], "OT") + SUMIFS(Table1[[HomeWon]:[HomeWon]], Table1[[GameIsOver]:[GameIsOver]], 1, Table1[[AwayTeam]:[AwayTeam]], $A60, Table1[[HomeTeam]:[HomeTeam]], P$36, Table1[[ActualResult]:[ActualResult]], "SO") + SUMIFS(Table1[[AwayWon]:[AwayWon]], Table1[[GameIsOver]:[GameIsOver]], 1, Table1[[HomeTeam]:[HomeTeam]], $A60, Table1[[AwayTeam]:[AwayTeam]], P$36, Table1[[ActualResult]:[ActualResult]], "SO")))/ (2*((COUNTIFS(Table1[[GameIsOver]:[GameIsOver]],1,Table1[[AwayTeam]:[AwayTeam]],$A60, Table1[[HomeTeam]:[HomeTeam]], P$36)))+( COUNTIFS(Table1[[GameIsOver]:[GameIsOver]],1,Table1[[AwayTeam]:[AwayTeam]],P$36, Table1[[HomeTeam]:[HomeTeam]],$A60))), "")</f>
        <v/>
      </c>
      <c r="Q60" s="42" t="str">
        <f>IFERROR(((2 * (SUMIFS(Table1[[AwayWon]:[AwayWon]], Table1[[GameIsOver]:[GameIsOver]], 1, Table1[[AwayTeam]:[AwayTeam]], $A60, Table1[[HomeTeam]:[HomeTeam]], Q$36) + SUMIFS(Table1[[HomeWon]:[HomeWon]], Table1[[GameIsOver]:[GameIsOver]], 1, Table1[[HomeTeam]:[HomeTeam]], $A60, Table1[[AwayTeam]:[AwayTeam]], Q$36))) + (SUMIFS(Table1[[HomeWon]:[HomeWon]], Table1[[GameIsOver]:[GameIsOver]], 1, Table1[[AwayTeam]:[AwayTeam]], $A60, Table1[[HomeTeam]:[HomeTeam]],  Q$36, Table1[[ActualResult]:[ActualResult]], "OT") + SUMIFS(Table1[[AwayWon]:[AwayWon]], Table1[[GameIsOver]:[GameIsOver]], 1, Table1[[HomeTeam]:[HomeTeam]], $A60, Table1[[AwayTeam]:[AwayTeam]], Q$36, Table1[[ActualResult]:[ActualResult]], "OT") + SUMIFS(Table1[[HomeWon]:[HomeWon]], Table1[[GameIsOver]:[GameIsOver]], 1, Table1[[AwayTeam]:[AwayTeam]], $A60, Table1[[HomeTeam]:[HomeTeam]], Q$36, Table1[[ActualResult]:[ActualResult]], "SO") + SUMIFS(Table1[[AwayWon]:[AwayWon]], Table1[[GameIsOver]:[GameIsOver]], 1, Table1[[HomeTeam]:[HomeTeam]], $A60, Table1[[AwayTeam]:[AwayTeam]], Q$36, Table1[[ActualResult]:[ActualResult]], "SO")))/ (2*((COUNTIFS(Table1[[GameIsOver]:[GameIsOver]],1,Table1[[AwayTeam]:[AwayTeam]],$A60, Table1[[HomeTeam]:[HomeTeam]], Q$36)))+( COUNTIFS(Table1[[GameIsOver]:[GameIsOver]],1,Table1[[AwayTeam]:[AwayTeam]],Q$36, Table1[[HomeTeam]:[HomeTeam]],$A60))), "")</f>
        <v/>
      </c>
      <c r="R60" s="40">
        <f>IFERROR(((2 * (SUMIFS(Table1[[AwayWon]:[AwayWon]], Table1[[GameIsOver]:[GameIsOver]], 1, Table1[[AwayTeam]:[AwayTeam]], $A60, Table1[[HomeTeam]:[HomeTeam]], R$36) + SUMIFS(Table1[[HomeWon]:[HomeWon]], Table1[[GameIsOver]:[GameIsOver]], 1, Table1[[HomeTeam]:[HomeTeam]], $A60, Table1[[AwayTeam]:[AwayTeam]], R$36))) + (SUMIFS(Table1[[HomeWon]:[HomeWon]], Table1[[GameIsOver]:[GameIsOver]], 1, Table1[[AwayTeam]:[AwayTeam]], $A60, Table1[[HomeTeam]:[HomeTeam]],  R$36, Table1[[ActualResult]:[ActualResult]], "OT") + SUMIFS(Table1[[AwayWon]:[AwayWon]], Table1[[GameIsOver]:[GameIsOver]], 1, Table1[[HomeTeam]:[HomeTeam]], $A60, Table1[[AwayTeam]:[AwayTeam]], R$36, Table1[[ActualResult]:[ActualResult]], "OT") + SUMIFS(Table1[[HomeWon]:[HomeWon]], Table1[[GameIsOver]:[GameIsOver]], 1, Table1[[AwayTeam]:[AwayTeam]], $A60, Table1[[HomeTeam]:[HomeTeam]], R$36, Table1[[ActualResult]:[ActualResult]], "SO") + SUMIFS(Table1[[AwayWon]:[AwayWon]], Table1[[GameIsOver]:[GameIsOver]], 1, Table1[[HomeTeam]:[HomeTeam]], $A60, Table1[[AwayTeam]:[AwayTeam]], R$36, Table1[[ActualResult]:[ActualResult]], "SO")))/ (2*((COUNTIFS(Table1[[GameIsOver]:[GameIsOver]],1,Table1[[AwayTeam]:[AwayTeam]],$A60, Table1[[HomeTeam]:[HomeTeam]], R$36)))+( COUNTIFS(Table1[[GameIsOver]:[GameIsOver]],1,Table1[[AwayTeam]:[AwayTeam]],R$36, Table1[[HomeTeam]:[HomeTeam]],$A60))), "")</f>
        <v>0</v>
      </c>
      <c r="S60" s="40" t="str">
        <f>IFERROR(((2 * (SUMIFS(Table1[[AwayWon]:[AwayWon]], Table1[[GameIsOver]:[GameIsOver]], 1, Table1[[AwayTeam]:[AwayTeam]], $A60, Table1[[HomeTeam]:[HomeTeam]], S$36) + SUMIFS(Table1[[HomeWon]:[HomeWon]], Table1[[GameIsOver]:[GameIsOver]], 1, Table1[[HomeTeam]:[HomeTeam]], $A60, Table1[[AwayTeam]:[AwayTeam]], S$36))) + (SUMIFS(Table1[[HomeWon]:[HomeWon]], Table1[[GameIsOver]:[GameIsOver]], 1, Table1[[AwayTeam]:[AwayTeam]], $A60, Table1[[HomeTeam]:[HomeTeam]],  S$36, Table1[[ActualResult]:[ActualResult]], "OT") + SUMIFS(Table1[[AwayWon]:[AwayWon]], Table1[[GameIsOver]:[GameIsOver]], 1, Table1[[HomeTeam]:[HomeTeam]], $A60, Table1[[AwayTeam]:[AwayTeam]], S$36, Table1[[ActualResult]:[ActualResult]], "OT") + SUMIFS(Table1[[HomeWon]:[HomeWon]], Table1[[GameIsOver]:[GameIsOver]], 1, Table1[[AwayTeam]:[AwayTeam]], $A60, Table1[[HomeTeam]:[HomeTeam]], S$36, Table1[[ActualResult]:[ActualResult]], "SO") + SUMIFS(Table1[[AwayWon]:[AwayWon]], Table1[[GameIsOver]:[GameIsOver]], 1, Table1[[HomeTeam]:[HomeTeam]], $A60, Table1[[AwayTeam]:[AwayTeam]], S$36, Table1[[ActualResult]:[ActualResult]], "SO")))/ (2*((COUNTIFS(Table1[[GameIsOver]:[GameIsOver]],1,Table1[[AwayTeam]:[AwayTeam]],$A60, Table1[[HomeTeam]:[HomeTeam]], S$36)))+( COUNTIFS(Table1[[GameIsOver]:[GameIsOver]],1,Table1[[AwayTeam]:[AwayTeam]],S$36, Table1[[HomeTeam]:[HomeTeam]],$A60))), "")</f>
        <v/>
      </c>
      <c r="T60" s="40" t="str">
        <f>IFERROR(((2 * (SUMIFS(Table1[[AwayWon]:[AwayWon]], Table1[[GameIsOver]:[GameIsOver]], 1, Table1[[AwayTeam]:[AwayTeam]], $A60, Table1[[HomeTeam]:[HomeTeam]], T$36) + SUMIFS(Table1[[HomeWon]:[HomeWon]], Table1[[GameIsOver]:[GameIsOver]], 1, Table1[[HomeTeam]:[HomeTeam]], $A60, Table1[[AwayTeam]:[AwayTeam]], T$36))) + (SUMIFS(Table1[[HomeWon]:[HomeWon]], Table1[[GameIsOver]:[GameIsOver]], 1, Table1[[AwayTeam]:[AwayTeam]], $A60, Table1[[HomeTeam]:[HomeTeam]],  T$36, Table1[[ActualResult]:[ActualResult]], "OT") + SUMIFS(Table1[[AwayWon]:[AwayWon]], Table1[[GameIsOver]:[GameIsOver]], 1, Table1[[HomeTeam]:[HomeTeam]], $A60, Table1[[AwayTeam]:[AwayTeam]], T$36, Table1[[ActualResult]:[ActualResult]], "OT") + SUMIFS(Table1[[HomeWon]:[HomeWon]], Table1[[GameIsOver]:[GameIsOver]], 1, Table1[[AwayTeam]:[AwayTeam]], $A60, Table1[[HomeTeam]:[HomeTeam]], T$36, Table1[[ActualResult]:[ActualResult]], "SO") + SUMIFS(Table1[[AwayWon]:[AwayWon]], Table1[[GameIsOver]:[GameIsOver]], 1, Table1[[HomeTeam]:[HomeTeam]], $A60, Table1[[AwayTeam]:[AwayTeam]], T$36, Table1[[ActualResult]:[ActualResult]], "SO")))/ (2*((COUNTIFS(Table1[[GameIsOver]:[GameIsOver]],1,Table1[[AwayTeam]:[AwayTeam]],$A60, Table1[[HomeTeam]:[HomeTeam]], T$36)))+( COUNTIFS(Table1[[GameIsOver]:[GameIsOver]],1,Table1[[AwayTeam]:[AwayTeam]],T$36, Table1[[HomeTeam]:[HomeTeam]],$A60))), "")</f>
        <v/>
      </c>
      <c r="U60" s="40" t="str">
        <f>IFERROR(((2 * (SUMIFS(Table1[[AwayWon]:[AwayWon]], Table1[[GameIsOver]:[GameIsOver]], 1, Table1[[AwayTeam]:[AwayTeam]], $A60, Table1[[HomeTeam]:[HomeTeam]], U$36) + SUMIFS(Table1[[HomeWon]:[HomeWon]], Table1[[GameIsOver]:[GameIsOver]], 1, Table1[[HomeTeam]:[HomeTeam]], $A60, Table1[[AwayTeam]:[AwayTeam]], U$36))) + (SUMIFS(Table1[[HomeWon]:[HomeWon]], Table1[[GameIsOver]:[GameIsOver]], 1, Table1[[AwayTeam]:[AwayTeam]], $A60, Table1[[HomeTeam]:[HomeTeam]],  U$36, Table1[[ActualResult]:[ActualResult]], "OT") + SUMIFS(Table1[[AwayWon]:[AwayWon]], Table1[[GameIsOver]:[GameIsOver]], 1, Table1[[HomeTeam]:[HomeTeam]], $A60, Table1[[AwayTeam]:[AwayTeam]], U$36, Table1[[ActualResult]:[ActualResult]], "OT") + SUMIFS(Table1[[HomeWon]:[HomeWon]], Table1[[GameIsOver]:[GameIsOver]], 1, Table1[[AwayTeam]:[AwayTeam]], $A60, Table1[[HomeTeam]:[HomeTeam]], U$36, Table1[[ActualResult]:[ActualResult]], "SO") + SUMIFS(Table1[[AwayWon]:[AwayWon]], Table1[[GameIsOver]:[GameIsOver]], 1, Table1[[HomeTeam]:[HomeTeam]], $A60, Table1[[AwayTeam]:[AwayTeam]], U$36, Table1[[ActualResult]:[ActualResult]], "SO")))/ (2*((COUNTIFS(Table1[[GameIsOver]:[GameIsOver]],1,Table1[[AwayTeam]:[AwayTeam]],$A60, Table1[[HomeTeam]:[HomeTeam]], U$36)))+( COUNTIFS(Table1[[GameIsOver]:[GameIsOver]],1,Table1[[AwayTeam]:[AwayTeam]],U$36, Table1[[HomeTeam]:[HomeTeam]],$A60))), "")</f>
        <v/>
      </c>
      <c r="V60" s="40" t="str">
        <f>IFERROR(((2 * (SUMIFS(Table1[[AwayWon]:[AwayWon]], Table1[[GameIsOver]:[GameIsOver]], 1, Table1[[AwayTeam]:[AwayTeam]], $A60, Table1[[HomeTeam]:[HomeTeam]], V$36) + SUMIFS(Table1[[HomeWon]:[HomeWon]], Table1[[GameIsOver]:[GameIsOver]], 1, Table1[[HomeTeam]:[HomeTeam]], $A60, Table1[[AwayTeam]:[AwayTeam]], V$36))) + (SUMIFS(Table1[[HomeWon]:[HomeWon]], Table1[[GameIsOver]:[GameIsOver]], 1, Table1[[AwayTeam]:[AwayTeam]], $A60, Table1[[HomeTeam]:[HomeTeam]],  V$36, Table1[[ActualResult]:[ActualResult]], "OT") + SUMIFS(Table1[[AwayWon]:[AwayWon]], Table1[[GameIsOver]:[GameIsOver]], 1, Table1[[HomeTeam]:[HomeTeam]], $A60, Table1[[AwayTeam]:[AwayTeam]], V$36, Table1[[ActualResult]:[ActualResult]], "OT") + SUMIFS(Table1[[HomeWon]:[HomeWon]], Table1[[GameIsOver]:[GameIsOver]], 1, Table1[[AwayTeam]:[AwayTeam]], $A60, Table1[[HomeTeam]:[HomeTeam]], V$36, Table1[[ActualResult]:[ActualResult]], "SO") + SUMIFS(Table1[[AwayWon]:[AwayWon]], Table1[[GameIsOver]:[GameIsOver]], 1, Table1[[HomeTeam]:[HomeTeam]], $A60, Table1[[AwayTeam]:[AwayTeam]], V$36, Table1[[ActualResult]:[ActualResult]], "SO")))/ (2*((COUNTIFS(Table1[[GameIsOver]:[GameIsOver]],1,Table1[[AwayTeam]:[AwayTeam]],$A60, Table1[[HomeTeam]:[HomeTeam]], V$36)))+( COUNTIFS(Table1[[GameIsOver]:[GameIsOver]],1,Table1[[AwayTeam]:[AwayTeam]],V$36, Table1[[HomeTeam]:[HomeTeam]],$A60))), "")</f>
        <v/>
      </c>
      <c r="W60" s="40" t="str">
        <f>IFERROR(((2 * (SUMIFS(Table1[[AwayWon]:[AwayWon]], Table1[[GameIsOver]:[GameIsOver]], 1, Table1[[AwayTeam]:[AwayTeam]], $A60, Table1[[HomeTeam]:[HomeTeam]], W$36) + SUMIFS(Table1[[HomeWon]:[HomeWon]], Table1[[GameIsOver]:[GameIsOver]], 1, Table1[[HomeTeam]:[HomeTeam]], $A60, Table1[[AwayTeam]:[AwayTeam]], W$36))) + (SUMIFS(Table1[[HomeWon]:[HomeWon]], Table1[[GameIsOver]:[GameIsOver]], 1, Table1[[AwayTeam]:[AwayTeam]], $A60, Table1[[HomeTeam]:[HomeTeam]],  W$36, Table1[[ActualResult]:[ActualResult]], "OT") + SUMIFS(Table1[[AwayWon]:[AwayWon]], Table1[[GameIsOver]:[GameIsOver]], 1, Table1[[HomeTeam]:[HomeTeam]], $A60, Table1[[AwayTeam]:[AwayTeam]], W$36, Table1[[ActualResult]:[ActualResult]], "OT") + SUMIFS(Table1[[HomeWon]:[HomeWon]], Table1[[GameIsOver]:[GameIsOver]], 1, Table1[[AwayTeam]:[AwayTeam]], $A60, Table1[[HomeTeam]:[HomeTeam]], W$36, Table1[[ActualResult]:[ActualResult]], "SO") + SUMIFS(Table1[[AwayWon]:[AwayWon]], Table1[[GameIsOver]:[GameIsOver]], 1, Table1[[HomeTeam]:[HomeTeam]], $A60, Table1[[AwayTeam]:[AwayTeam]], W$36, Table1[[ActualResult]:[ActualResult]], "SO")))/ (2*((COUNTIFS(Table1[[GameIsOver]:[GameIsOver]],1,Table1[[AwayTeam]:[AwayTeam]],$A60, Table1[[HomeTeam]:[HomeTeam]], W$36)))+( COUNTIFS(Table1[[GameIsOver]:[GameIsOver]],1,Table1[[AwayTeam]:[AwayTeam]],W$36, Table1[[HomeTeam]:[HomeTeam]],$A60))), "")</f>
        <v/>
      </c>
      <c r="X60" s="40" t="str">
        <f>IFERROR(((2 * (SUMIFS(Table1[[AwayWon]:[AwayWon]], Table1[[GameIsOver]:[GameIsOver]], 1, Table1[[AwayTeam]:[AwayTeam]], $A60, Table1[[HomeTeam]:[HomeTeam]], X$36) + SUMIFS(Table1[[HomeWon]:[HomeWon]], Table1[[GameIsOver]:[GameIsOver]], 1, Table1[[HomeTeam]:[HomeTeam]], $A60, Table1[[AwayTeam]:[AwayTeam]], X$36))) + (SUMIFS(Table1[[HomeWon]:[HomeWon]], Table1[[GameIsOver]:[GameIsOver]], 1, Table1[[AwayTeam]:[AwayTeam]], $A60, Table1[[HomeTeam]:[HomeTeam]],  X$36, Table1[[ActualResult]:[ActualResult]], "OT") + SUMIFS(Table1[[AwayWon]:[AwayWon]], Table1[[GameIsOver]:[GameIsOver]], 1, Table1[[HomeTeam]:[HomeTeam]], $A60, Table1[[AwayTeam]:[AwayTeam]], X$36, Table1[[ActualResult]:[ActualResult]], "OT") + SUMIFS(Table1[[HomeWon]:[HomeWon]], Table1[[GameIsOver]:[GameIsOver]], 1, Table1[[AwayTeam]:[AwayTeam]], $A60, Table1[[HomeTeam]:[HomeTeam]], X$36, Table1[[ActualResult]:[ActualResult]], "SO") + SUMIFS(Table1[[AwayWon]:[AwayWon]], Table1[[GameIsOver]:[GameIsOver]], 1, Table1[[HomeTeam]:[HomeTeam]], $A60, Table1[[AwayTeam]:[AwayTeam]], X$36, Table1[[ActualResult]:[ActualResult]], "SO")))/ (2*((COUNTIFS(Table1[[GameIsOver]:[GameIsOver]],1,Table1[[AwayTeam]:[AwayTeam]],$A60, Table1[[HomeTeam]:[HomeTeam]], X$36)))+( COUNTIFS(Table1[[GameIsOver]:[GameIsOver]],1,Table1[[AwayTeam]:[AwayTeam]],X$36, Table1[[HomeTeam]:[HomeTeam]],$A60))), "")</f>
        <v/>
      </c>
      <c r="Y60" s="42" t="str">
        <f>IFERROR(((2 * (SUMIFS(Table1[[AwayWon]:[AwayWon]], Table1[[GameIsOver]:[GameIsOver]], 1, Table1[[AwayTeam]:[AwayTeam]], $A60, Table1[[HomeTeam]:[HomeTeam]], Y$36) + SUMIFS(Table1[[HomeWon]:[HomeWon]], Table1[[GameIsOver]:[GameIsOver]], 1, Table1[[HomeTeam]:[HomeTeam]], $A60, Table1[[AwayTeam]:[AwayTeam]], Y$36))) + (SUMIFS(Table1[[HomeWon]:[HomeWon]], Table1[[GameIsOver]:[GameIsOver]], 1, Table1[[AwayTeam]:[AwayTeam]], $A60, Table1[[HomeTeam]:[HomeTeam]],  Y$36, Table1[[ActualResult]:[ActualResult]], "OT") + SUMIFS(Table1[[AwayWon]:[AwayWon]], Table1[[GameIsOver]:[GameIsOver]], 1, Table1[[HomeTeam]:[HomeTeam]], $A60, Table1[[AwayTeam]:[AwayTeam]], Y$36, Table1[[ActualResult]:[ActualResult]], "OT") + SUMIFS(Table1[[HomeWon]:[HomeWon]], Table1[[GameIsOver]:[GameIsOver]], 1, Table1[[AwayTeam]:[AwayTeam]], $A60, Table1[[HomeTeam]:[HomeTeam]], Y$36, Table1[[ActualResult]:[ActualResult]], "SO") + SUMIFS(Table1[[AwayWon]:[AwayWon]], Table1[[GameIsOver]:[GameIsOver]], 1, Table1[[HomeTeam]:[HomeTeam]], $A60, Table1[[AwayTeam]:[AwayTeam]], Y$36, Table1[[ActualResult]:[ActualResult]], "SO")))/ (2*((COUNTIFS(Table1[[GameIsOver]:[GameIsOver]],1,Table1[[AwayTeam]:[AwayTeam]],$A60, Table1[[HomeTeam]:[HomeTeam]], Y$36)))+( COUNTIFS(Table1[[GameIsOver]:[GameIsOver]],1,Table1[[AwayTeam]:[AwayTeam]],Y$36, Table1[[HomeTeam]:[HomeTeam]],$A60))), "")</f>
        <v/>
      </c>
      <c r="Z60" s="40" t="str">
        <f>IFERROR(((2 * (SUMIFS(Table1[[AwayWon]:[AwayWon]], Table1[[GameIsOver]:[GameIsOver]], 1, Table1[[AwayTeam]:[AwayTeam]], $A60, Table1[[HomeTeam]:[HomeTeam]], Z$36) + SUMIFS(Table1[[HomeWon]:[HomeWon]], Table1[[GameIsOver]:[GameIsOver]], 1, Table1[[HomeTeam]:[HomeTeam]], $A60, Table1[[AwayTeam]:[AwayTeam]], Z$36))) + (SUMIFS(Table1[[HomeWon]:[HomeWon]], Table1[[GameIsOver]:[GameIsOver]], 1, Table1[[AwayTeam]:[AwayTeam]], $A60, Table1[[HomeTeam]:[HomeTeam]],  Z$36, Table1[[ActualResult]:[ActualResult]], "OT") + SUMIFS(Table1[[AwayWon]:[AwayWon]], Table1[[GameIsOver]:[GameIsOver]], 1, Table1[[HomeTeam]:[HomeTeam]], $A60, Table1[[AwayTeam]:[AwayTeam]], Z$36, Table1[[ActualResult]:[ActualResult]], "OT") + SUMIFS(Table1[[HomeWon]:[HomeWon]], Table1[[GameIsOver]:[GameIsOver]], 1, Table1[[AwayTeam]:[AwayTeam]], $A60, Table1[[HomeTeam]:[HomeTeam]], Z$36, Table1[[ActualResult]:[ActualResult]], "SO") + SUMIFS(Table1[[AwayWon]:[AwayWon]], Table1[[GameIsOver]:[GameIsOver]], 1, Table1[[HomeTeam]:[HomeTeam]], $A60, Table1[[AwayTeam]:[AwayTeam]], Z$36, Table1[[ActualResult]:[ActualResult]], "SO")))/ (2*((COUNTIFS(Table1[[GameIsOver]:[GameIsOver]],1,Table1[[AwayTeam]:[AwayTeam]],$A60, Table1[[HomeTeam]:[HomeTeam]], Z$36)))+( COUNTIFS(Table1[[GameIsOver]:[GameIsOver]],1,Table1[[AwayTeam]:[AwayTeam]],Z$36, Table1[[HomeTeam]:[HomeTeam]],$A60))), "")</f>
        <v/>
      </c>
      <c r="AA60" s="40" t="str">
        <f>IFERROR(((2 * (SUMIFS(Table1[[AwayWon]:[AwayWon]], Table1[[GameIsOver]:[GameIsOver]], 1, Table1[[AwayTeam]:[AwayTeam]], $A60, Table1[[HomeTeam]:[HomeTeam]], AA$36) + SUMIFS(Table1[[HomeWon]:[HomeWon]], Table1[[GameIsOver]:[GameIsOver]], 1, Table1[[HomeTeam]:[HomeTeam]], $A60, Table1[[AwayTeam]:[AwayTeam]], AA$36))) + (SUMIFS(Table1[[HomeWon]:[HomeWon]], Table1[[GameIsOver]:[GameIsOver]], 1, Table1[[AwayTeam]:[AwayTeam]], $A60, Table1[[HomeTeam]:[HomeTeam]],  AA$36, Table1[[ActualResult]:[ActualResult]], "OT") + SUMIFS(Table1[[AwayWon]:[AwayWon]], Table1[[GameIsOver]:[GameIsOver]], 1, Table1[[HomeTeam]:[HomeTeam]], $A60, Table1[[AwayTeam]:[AwayTeam]], AA$36, Table1[[ActualResult]:[ActualResult]], "OT") + SUMIFS(Table1[[HomeWon]:[HomeWon]], Table1[[GameIsOver]:[GameIsOver]], 1, Table1[[AwayTeam]:[AwayTeam]], $A60, Table1[[HomeTeam]:[HomeTeam]], AA$36, Table1[[ActualResult]:[ActualResult]], "SO") + SUMIFS(Table1[[AwayWon]:[AwayWon]], Table1[[GameIsOver]:[GameIsOver]], 1, Table1[[HomeTeam]:[HomeTeam]], $A60, Table1[[AwayTeam]:[AwayTeam]], AA$36, Table1[[ActualResult]:[ActualResult]], "SO")))/ (2*((COUNTIFS(Table1[[GameIsOver]:[GameIsOver]],1,Table1[[AwayTeam]:[AwayTeam]],$A60, Table1[[HomeTeam]:[HomeTeam]], AA$36)))+( COUNTIFS(Table1[[GameIsOver]:[GameIsOver]],1,Table1[[AwayTeam]:[AwayTeam]],AA$36, Table1[[HomeTeam]:[HomeTeam]],$A60))), "")</f>
        <v/>
      </c>
      <c r="AB60" s="40" t="str">
        <f>IFERROR(((2 * (SUMIFS(Table1[[AwayWon]:[AwayWon]], Table1[[GameIsOver]:[GameIsOver]], 1, Table1[[AwayTeam]:[AwayTeam]], $A60, Table1[[HomeTeam]:[HomeTeam]], AB$36) + SUMIFS(Table1[[HomeWon]:[HomeWon]], Table1[[GameIsOver]:[GameIsOver]], 1, Table1[[HomeTeam]:[HomeTeam]], $A60, Table1[[AwayTeam]:[AwayTeam]], AB$36))) + (SUMIFS(Table1[[HomeWon]:[HomeWon]], Table1[[GameIsOver]:[GameIsOver]], 1, Table1[[AwayTeam]:[AwayTeam]], $A60, Table1[[HomeTeam]:[HomeTeam]],  AB$36, Table1[[ActualResult]:[ActualResult]], "OT") + SUMIFS(Table1[[AwayWon]:[AwayWon]], Table1[[GameIsOver]:[GameIsOver]], 1, Table1[[HomeTeam]:[HomeTeam]], $A60, Table1[[AwayTeam]:[AwayTeam]], AB$36, Table1[[ActualResult]:[ActualResult]], "OT") + SUMIFS(Table1[[HomeWon]:[HomeWon]], Table1[[GameIsOver]:[GameIsOver]], 1, Table1[[AwayTeam]:[AwayTeam]], $A60, Table1[[HomeTeam]:[HomeTeam]], AB$36, Table1[[ActualResult]:[ActualResult]], "SO") + SUMIFS(Table1[[AwayWon]:[AwayWon]], Table1[[GameIsOver]:[GameIsOver]], 1, Table1[[HomeTeam]:[HomeTeam]], $A60, Table1[[AwayTeam]:[AwayTeam]], AB$36, Table1[[ActualResult]:[ActualResult]], "SO")))/ (2*((COUNTIFS(Table1[[GameIsOver]:[GameIsOver]],1,Table1[[AwayTeam]:[AwayTeam]],$A60, Table1[[HomeTeam]:[HomeTeam]], AB$36)))+( COUNTIFS(Table1[[GameIsOver]:[GameIsOver]],1,Table1[[AwayTeam]:[AwayTeam]],AB$36, Table1[[HomeTeam]:[HomeTeam]],$A60))), "")</f>
        <v/>
      </c>
      <c r="AC60" s="40" t="str">
        <f>IFERROR(((2 * (SUMIFS(Table1[[AwayWon]:[AwayWon]], Table1[[GameIsOver]:[GameIsOver]], 1, Table1[[AwayTeam]:[AwayTeam]], $A60, Table1[[HomeTeam]:[HomeTeam]], AC$36) + SUMIFS(Table1[[HomeWon]:[HomeWon]], Table1[[GameIsOver]:[GameIsOver]], 1, Table1[[HomeTeam]:[HomeTeam]], $A60, Table1[[AwayTeam]:[AwayTeam]], AC$36))) + (SUMIFS(Table1[[HomeWon]:[HomeWon]], Table1[[GameIsOver]:[GameIsOver]], 1, Table1[[AwayTeam]:[AwayTeam]], $A60, Table1[[HomeTeam]:[HomeTeam]],  AC$36, Table1[[ActualResult]:[ActualResult]], "OT") + SUMIFS(Table1[[AwayWon]:[AwayWon]], Table1[[GameIsOver]:[GameIsOver]], 1, Table1[[HomeTeam]:[HomeTeam]], $A60, Table1[[AwayTeam]:[AwayTeam]], AC$36, Table1[[ActualResult]:[ActualResult]], "OT") + SUMIFS(Table1[[HomeWon]:[HomeWon]], Table1[[GameIsOver]:[GameIsOver]], 1, Table1[[AwayTeam]:[AwayTeam]], $A60, Table1[[HomeTeam]:[HomeTeam]], AC$36, Table1[[ActualResult]:[ActualResult]], "SO") + SUMIFS(Table1[[AwayWon]:[AwayWon]], Table1[[GameIsOver]:[GameIsOver]], 1, Table1[[HomeTeam]:[HomeTeam]], $A60, Table1[[AwayTeam]:[AwayTeam]], AC$36, Table1[[ActualResult]:[ActualResult]], "SO")))/ (2*((COUNTIFS(Table1[[GameIsOver]:[GameIsOver]],1,Table1[[AwayTeam]:[AwayTeam]],$A60, Table1[[HomeTeam]:[HomeTeam]], AC$36)))+( COUNTIFS(Table1[[GameIsOver]:[GameIsOver]],1,Table1[[AwayTeam]:[AwayTeam]],AC$36, Table1[[HomeTeam]:[HomeTeam]],$A60))), "")</f>
        <v/>
      </c>
      <c r="AD60" s="40" t="str">
        <f>IFERROR(((2 * (SUMIFS(Table1[[AwayWon]:[AwayWon]], Table1[[GameIsOver]:[GameIsOver]], 1, Table1[[AwayTeam]:[AwayTeam]], $A60, Table1[[HomeTeam]:[HomeTeam]], AD$36) + SUMIFS(Table1[[HomeWon]:[HomeWon]], Table1[[GameIsOver]:[GameIsOver]], 1, Table1[[HomeTeam]:[HomeTeam]], $A60, Table1[[AwayTeam]:[AwayTeam]], AD$36))) + (SUMIFS(Table1[[HomeWon]:[HomeWon]], Table1[[GameIsOver]:[GameIsOver]], 1, Table1[[AwayTeam]:[AwayTeam]], $A60, Table1[[HomeTeam]:[HomeTeam]],  AD$36, Table1[[ActualResult]:[ActualResult]], "OT") + SUMIFS(Table1[[AwayWon]:[AwayWon]], Table1[[GameIsOver]:[GameIsOver]], 1, Table1[[HomeTeam]:[HomeTeam]], $A60, Table1[[AwayTeam]:[AwayTeam]], AD$36, Table1[[ActualResult]:[ActualResult]], "OT") + SUMIFS(Table1[[HomeWon]:[HomeWon]], Table1[[GameIsOver]:[GameIsOver]], 1, Table1[[AwayTeam]:[AwayTeam]], $A60, Table1[[HomeTeam]:[HomeTeam]], AD$36, Table1[[ActualResult]:[ActualResult]], "SO") + SUMIFS(Table1[[AwayWon]:[AwayWon]], Table1[[GameIsOver]:[GameIsOver]], 1, Table1[[HomeTeam]:[HomeTeam]], $A60, Table1[[AwayTeam]:[AwayTeam]], AD$36, Table1[[ActualResult]:[ActualResult]], "SO")))/ (2*((COUNTIFS(Table1[[GameIsOver]:[GameIsOver]],1,Table1[[AwayTeam]:[AwayTeam]],$A60, Table1[[HomeTeam]:[HomeTeam]], AD$36)))+( COUNTIFS(Table1[[GameIsOver]:[GameIsOver]],1,Table1[[AwayTeam]:[AwayTeam]],AD$36, Table1[[HomeTeam]:[HomeTeam]],$A60))), "")</f>
        <v/>
      </c>
      <c r="AE60" s="40" t="str">
        <f>IFERROR(((2 * (SUMIFS(Table1[[AwayWon]:[AwayWon]], Table1[[GameIsOver]:[GameIsOver]], 1, Table1[[AwayTeam]:[AwayTeam]], $A60, Table1[[HomeTeam]:[HomeTeam]], AE$36) + SUMIFS(Table1[[HomeWon]:[HomeWon]], Table1[[GameIsOver]:[GameIsOver]], 1, Table1[[HomeTeam]:[HomeTeam]], $A60, Table1[[AwayTeam]:[AwayTeam]], AE$36))) + (SUMIFS(Table1[[HomeWon]:[HomeWon]], Table1[[GameIsOver]:[GameIsOver]], 1, Table1[[AwayTeam]:[AwayTeam]], $A60, Table1[[HomeTeam]:[HomeTeam]],  AE$36, Table1[[ActualResult]:[ActualResult]], "OT") + SUMIFS(Table1[[AwayWon]:[AwayWon]], Table1[[GameIsOver]:[GameIsOver]], 1, Table1[[HomeTeam]:[HomeTeam]], $A60, Table1[[AwayTeam]:[AwayTeam]], AE$36, Table1[[ActualResult]:[ActualResult]], "OT") + SUMIFS(Table1[[HomeWon]:[HomeWon]], Table1[[GameIsOver]:[GameIsOver]], 1, Table1[[AwayTeam]:[AwayTeam]], $A60, Table1[[HomeTeam]:[HomeTeam]], AE$36, Table1[[ActualResult]:[ActualResult]], "SO") + SUMIFS(Table1[[AwayWon]:[AwayWon]], Table1[[GameIsOver]:[GameIsOver]], 1, Table1[[HomeTeam]:[HomeTeam]], $A60, Table1[[AwayTeam]:[AwayTeam]], AE$36, Table1[[ActualResult]:[ActualResult]], "SO")))/ (2*((COUNTIFS(Table1[[GameIsOver]:[GameIsOver]],1,Table1[[AwayTeam]:[AwayTeam]],$A60, Table1[[HomeTeam]:[HomeTeam]], AE$36)))+( COUNTIFS(Table1[[GameIsOver]:[GameIsOver]],1,Table1[[AwayTeam]:[AwayTeam]],AE$36, Table1[[HomeTeam]:[HomeTeam]],$A60))), "")</f>
        <v/>
      </c>
      <c r="AF60" s="40" t="str">
        <f>IFERROR(((2 * (SUMIFS(Table1[[AwayWon]:[AwayWon]], Table1[[GameIsOver]:[GameIsOver]], 1, Table1[[AwayTeam]:[AwayTeam]], $A60, Table1[[HomeTeam]:[HomeTeam]], AF$36) + SUMIFS(Table1[[HomeWon]:[HomeWon]], Table1[[GameIsOver]:[GameIsOver]], 1, Table1[[HomeTeam]:[HomeTeam]], $A60, Table1[[AwayTeam]:[AwayTeam]], AF$36))) + (SUMIFS(Table1[[HomeWon]:[HomeWon]], Table1[[GameIsOver]:[GameIsOver]], 1, Table1[[AwayTeam]:[AwayTeam]], $A60, Table1[[HomeTeam]:[HomeTeam]],  AF$36, Table1[[ActualResult]:[ActualResult]], "OT") + SUMIFS(Table1[[AwayWon]:[AwayWon]], Table1[[GameIsOver]:[GameIsOver]], 1, Table1[[HomeTeam]:[HomeTeam]], $A60, Table1[[AwayTeam]:[AwayTeam]], AF$36, Table1[[ActualResult]:[ActualResult]], "OT") + SUMIFS(Table1[[HomeWon]:[HomeWon]], Table1[[GameIsOver]:[GameIsOver]], 1, Table1[[AwayTeam]:[AwayTeam]], $A60, Table1[[HomeTeam]:[HomeTeam]], AF$36, Table1[[ActualResult]:[ActualResult]], "SO") + SUMIFS(Table1[[AwayWon]:[AwayWon]], Table1[[GameIsOver]:[GameIsOver]], 1, Table1[[HomeTeam]:[HomeTeam]], $A60, Table1[[AwayTeam]:[AwayTeam]], AF$36, Table1[[ActualResult]:[ActualResult]], "SO")))/ (2*((COUNTIFS(Table1[[GameIsOver]:[GameIsOver]],1,Table1[[AwayTeam]:[AwayTeam]],$A60, Table1[[HomeTeam]:[HomeTeam]], AF$36)))+( COUNTIFS(Table1[[GameIsOver]:[GameIsOver]],1,Table1[[AwayTeam]:[AwayTeam]],AF$36, Table1[[HomeTeam]:[HomeTeam]],$A60))), "")</f>
        <v/>
      </c>
      <c r="AG60" s="42" t="str">
        <f>IFERROR(((2 * (SUMIFS(Table1[[AwayWon]:[AwayWon]], Table1[[GameIsOver]:[GameIsOver]], 1, Table1[[AwayTeam]:[AwayTeam]], $A60, Table1[[HomeTeam]:[HomeTeam]], AG$36) + SUMIFS(Table1[[HomeWon]:[HomeWon]], Table1[[GameIsOver]:[GameIsOver]], 1, Table1[[HomeTeam]:[HomeTeam]], $A60, Table1[[AwayTeam]:[AwayTeam]], AG$36))) + (SUMIFS(Table1[[HomeWon]:[HomeWon]], Table1[[GameIsOver]:[GameIsOver]], 1, Table1[[AwayTeam]:[AwayTeam]], $A60, Table1[[HomeTeam]:[HomeTeam]],  AG$36, Table1[[ActualResult]:[ActualResult]], "OT") + SUMIFS(Table1[[AwayWon]:[AwayWon]], Table1[[GameIsOver]:[GameIsOver]], 1, Table1[[HomeTeam]:[HomeTeam]], $A60, Table1[[AwayTeam]:[AwayTeam]], AG$36, Table1[[ActualResult]:[ActualResult]], "OT") + SUMIFS(Table1[[HomeWon]:[HomeWon]], Table1[[GameIsOver]:[GameIsOver]], 1, Table1[[AwayTeam]:[AwayTeam]], $A60, Table1[[HomeTeam]:[HomeTeam]], AG$36, Table1[[ActualResult]:[ActualResult]], "SO") + SUMIFS(Table1[[AwayWon]:[AwayWon]], Table1[[GameIsOver]:[GameIsOver]], 1, Table1[[HomeTeam]:[HomeTeam]], $A60, Table1[[AwayTeam]:[AwayTeam]], AG$36, Table1[[ActualResult]:[ActualResult]], "SO")))/ (2*((COUNTIFS(Table1[[GameIsOver]:[GameIsOver]],1,Table1[[AwayTeam]:[AwayTeam]],$A60, Table1[[HomeTeam]:[HomeTeam]], AG$36)))+( COUNTIFS(Table1[[GameIsOver]:[GameIsOver]],1,Table1[[AwayTeam]:[AwayTeam]],AG$36, Table1[[HomeTeam]:[HomeTeam]],$A60))), "")</f>
        <v/>
      </c>
      <c r="AH60" s="41">
        <f t="shared" si="0"/>
        <v>0</v>
      </c>
      <c r="AI60" s="41" t="e">
        <f t="shared" si="1"/>
        <v>#DIV/0!</v>
      </c>
      <c r="AJ60" s="42" t="e">
        <f t="shared" si="2"/>
        <v>#DIV/0!</v>
      </c>
      <c r="AK60" s="42">
        <f t="shared" si="3"/>
        <v>0</v>
      </c>
      <c r="AL60" s="42" t="e">
        <f t="shared" si="4"/>
        <v>#DIV/0!</v>
      </c>
      <c r="AM60" s="42" t="e">
        <f t="shared" si="5"/>
        <v>#DIV/0!</v>
      </c>
    </row>
    <row r="61" spans="1:39" ht="15.75" thickTop="1" x14ac:dyDescent="0.25">
      <c r="A61" s="17" t="s">
        <v>37</v>
      </c>
      <c r="B61" s="36" t="str">
        <f>IFERROR(((2 * (SUMIFS(Table1[[AwayWon]:[AwayWon]], Table1[[GameIsOver]:[GameIsOver]], 1, Table1[[AwayTeam]:[AwayTeam]], $A61, Table1[[HomeTeam]:[HomeTeam]], B$36) + SUMIFS(Table1[[HomeWon]:[HomeWon]], Table1[[GameIsOver]:[GameIsOver]], 1, Table1[[HomeTeam]:[HomeTeam]], $A61, Table1[[AwayTeam]:[AwayTeam]], B$36))) + (SUMIFS(Table1[[HomeWon]:[HomeWon]], Table1[[GameIsOver]:[GameIsOver]], 1, Table1[[AwayTeam]:[AwayTeam]], $A61, Table1[[HomeTeam]:[HomeTeam]],  B$36, Table1[[ActualResult]:[ActualResult]], "OT") + SUMIFS(Table1[[AwayWon]:[AwayWon]], Table1[[GameIsOver]:[GameIsOver]], 1, Table1[[HomeTeam]:[HomeTeam]], $A61, Table1[[AwayTeam]:[AwayTeam]], B$36, Table1[[ActualResult]:[ActualResult]], "OT") + SUMIFS(Table1[[HomeWon]:[HomeWon]], Table1[[GameIsOver]:[GameIsOver]], 1, Table1[[AwayTeam]:[AwayTeam]], $A61, Table1[[HomeTeam]:[HomeTeam]], B$36, Table1[[ActualResult]:[ActualResult]], "SO") + SUMIFS(Table1[[AwayWon]:[AwayWon]], Table1[[GameIsOver]:[GameIsOver]], 1, Table1[[HomeTeam]:[HomeTeam]], $A61, Table1[[AwayTeam]:[AwayTeam]], B$36, Table1[[ActualResult]:[ActualResult]], "SO")))/ (2*((COUNTIFS(Table1[[GameIsOver]:[GameIsOver]],1,Table1[[AwayTeam]:[AwayTeam]],$A61, Table1[[HomeTeam]:[HomeTeam]], B$36)))+( COUNTIFS(Table1[[GameIsOver]:[GameIsOver]],1,Table1[[AwayTeam]:[AwayTeam]],B$36, Table1[[HomeTeam]:[HomeTeam]],$A61))), "")</f>
        <v/>
      </c>
      <c r="C61" s="36" t="str">
        <f>IFERROR(((2 * (SUMIFS(Table1[[AwayWon]:[AwayWon]], Table1[[GameIsOver]:[GameIsOver]], 1, Table1[[AwayTeam]:[AwayTeam]], $A61, Table1[[HomeTeam]:[HomeTeam]], C$36) + SUMIFS(Table1[[HomeWon]:[HomeWon]], Table1[[GameIsOver]:[GameIsOver]], 1, Table1[[HomeTeam]:[HomeTeam]], $A61, Table1[[AwayTeam]:[AwayTeam]], C$36))) + (SUMIFS(Table1[[HomeWon]:[HomeWon]], Table1[[GameIsOver]:[GameIsOver]], 1, Table1[[AwayTeam]:[AwayTeam]], $A61, Table1[[HomeTeam]:[HomeTeam]],  C$36, Table1[[ActualResult]:[ActualResult]], "OT") + SUMIFS(Table1[[AwayWon]:[AwayWon]], Table1[[GameIsOver]:[GameIsOver]], 1, Table1[[HomeTeam]:[HomeTeam]], $A61, Table1[[AwayTeam]:[AwayTeam]], C$36, Table1[[ActualResult]:[ActualResult]], "OT") + SUMIFS(Table1[[HomeWon]:[HomeWon]], Table1[[GameIsOver]:[GameIsOver]], 1, Table1[[AwayTeam]:[AwayTeam]], $A61, Table1[[HomeTeam]:[HomeTeam]], C$36, Table1[[ActualResult]:[ActualResult]], "SO") + SUMIFS(Table1[[AwayWon]:[AwayWon]], Table1[[GameIsOver]:[GameIsOver]], 1, Table1[[HomeTeam]:[HomeTeam]], $A61, Table1[[AwayTeam]:[AwayTeam]], C$36, Table1[[ActualResult]:[ActualResult]], "SO")))/ (2*((COUNTIFS(Table1[[GameIsOver]:[GameIsOver]],1,Table1[[AwayTeam]:[AwayTeam]],$A61, Table1[[HomeTeam]:[HomeTeam]], C$36)))+( COUNTIFS(Table1[[GameIsOver]:[GameIsOver]],1,Table1[[AwayTeam]:[AwayTeam]],C$36, Table1[[HomeTeam]:[HomeTeam]],$A61))), "")</f>
        <v/>
      </c>
      <c r="D61" s="36" t="str">
        <f>IFERROR(((2 * (SUMIFS(Table1[[AwayWon]:[AwayWon]], Table1[[GameIsOver]:[GameIsOver]], 1, Table1[[AwayTeam]:[AwayTeam]], $A61, Table1[[HomeTeam]:[HomeTeam]], D$36) + SUMIFS(Table1[[HomeWon]:[HomeWon]], Table1[[GameIsOver]:[GameIsOver]], 1, Table1[[HomeTeam]:[HomeTeam]], $A61, Table1[[AwayTeam]:[AwayTeam]], D$36))) + (SUMIFS(Table1[[HomeWon]:[HomeWon]], Table1[[GameIsOver]:[GameIsOver]], 1, Table1[[AwayTeam]:[AwayTeam]], $A61, Table1[[HomeTeam]:[HomeTeam]],  D$36, Table1[[ActualResult]:[ActualResult]], "OT") + SUMIFS(Table1[[AwayWon]:[AwayWon]], Table1[[GameIsOver]:[GameIsOver]], 1, Table1[[HomeTeam]:[HomeTeam]], $A61, Table1[[AwayTeam]:[AwayTeam]], D$36, Table1[[ActualResult]:[ActualResult]], "OT") + SUMIFS(Table1[[HomeWon]:[HomeWon]], Table1[[GameIsOver]:[GameIsOver]], 1, Table1[[AwayTeam]:[AwayTeam]], $A61, Table1[[HomeTeam]:[HomeTeam]], D$36, Table1[[ActualResult]:[ActualResult]], "SO") + SUMIFS(Table1[[AwayWon]:[AwayWon]], Table1[[GameIsOver]:[GameIsOver]], 1, Table1[[HomeTeam]:[HomeTeam]], $A61, Table1[[AwayTeam]:[AwayTeam]], D$36, Table1[[ActualResult]:[ActualResult]], "SO")))/ (2*((COUNTIFS(Table1[[GameIsOver]:[GameIsOver]],1,Table1[[AwayTeam]:[AwayTeam]],$A61, Table1[[HomeTeam]:[HomeTeam]], D$36)))+( COUNTIFS(Table1[[GameIsOver]:[GameIsOver]],1,Table1[[AwayTeam]:[AwayTeam]],D$36, Table1[[HomeTeam]:[HomeTeam]],$A61))), "")</f>
        <v/>
      </c>
      <c r="E61" s="36" t="str">
        <f>IFERROR(((2 * (SUMIFS(Table1[[AwayWon]:[AwayWon]], Table1[[GameIsOver]:[GameIsOver]], 1, Table1[[AwayTeam]:[AwayTeam]], $A61, Table1[[HomeTeam]:[HomeTeam]], E$36) + SUMIFS(Table1[[HomeWon]:[HomeWon]], Table1[[GameIsOver]:[GameIsOver]], 1, Table1[[HomeTeam]:[HomeTeam]], $A61, Table1[[AwayTeam]:[AwayTeam]], E$36))) + (SUMIFS(Table1[[HomeWon]:[HomeWon]], Table1[[GameIsOver]:[GameIsOver]], 1, Table1[[AwayTeam]:[AwayTeam]], $A61, Table1[[HomeTeam]:[HomeTeam]],  E$36, Table1[[ActualResult]:[ActualResult]], "OT") + SUMIFS(Table1[[AwayWon]:[AwayWon]], Table1[[GameIsOver]:[GameIsOver]], 1, Table1[[HomeTeam]:[HomeTeam]], $A61, Table1[[AwayTeam]:[AwayTeam]], E$36, Table1[[ActualResult]:[ActualResult]], "OT") + SUMIFS(Table1[[HomeWon]:[HomeWon]], Table1[[GameIsOver]:[GameIsOver]], 1, Table1[[AwayTeam]:[AwayTeam]], $A61, Table1[[HomeTeam]:[HomeTeam]], E$36, Table1[[ActualResult]:[ActualResult]], "SO") + SUMIFS(Table1[[AwayWon]:[AwayWon]], Table1[[GameIsOver]:[GameIsOver]], 1, Table1[[HomeTeam]:[HomeTeam]], $A61, Table1[[AwayTeam]:[AwayTeam]], E$36, Table1[[ActualResult]:[ActualResult]], "SO")))/ (2*((COUNTIFS(Table1[[GameIsOver]:[GameIsOver]],1,Table1[[AwayTeam]:[AwayTeam]],$A61, Table1[[HomeTeam]:[HomeTeam]], E$36)))+( COUNTIFS(Table1[[GameIsOver]:[GameIsOver]],1,Table1[[AwayTeam]:[AwayTeam]],E$36, Table1[[HomeTeam]:[HomeTeam]],$A61))), "")</f>
        <v/>
      </c>
      <c r="F61" s="36" t="str">
        <f>IFERROR(((2 * (SUMIFS(Table1[[AwayWon]:[AwayWon]], Table1[[GameIsOver]:[GameIsOver]], 1, Table1[[AwayTeam]:[AwayTeam]], $A61, Table1[[HomeTeam]:[HomeTeam]], F$36) + SUMIFS(Table1[[HomeWon]:[HomeWon]], Table1[[GameIsOver]:[GameIsOver]], 1, Table1[[HomeTeam]:[HomeTeam]], $A61, Table1[[AwayTeam]:[AwayTeam]], F$36))) + (SUMIFS(Table1[[HomeWon]:[HomeWon]], Table1[[GameIsOver]:[GameIsOver]], 1, Table1[[AwayTeam]:[AwayTeam]], $A61, Table1[[HomeTeam]:[HomeTeam]],  F$36, Table1[[ActualResult]:[ActualResult]], "OT") + SUMIFS(Table1[[AwayWon]:[AwayWon]], Table1[[GameIsOver]:[GameIsOver]], 1, Table1[[HomeTeam]:[HomeTeam]], $A61, Table1[[AwayTeam]:[AwayTeam]], F$36, Table1[[ActualResult]:[ActualResult]], "OT") + SUMIFS(Table1[[HomeWon]:[HomeWon]], Table1[[GameIsOver]:[GameIsOver]], 1, Table1[[AwayTeam]:[AwayTeam]], $A61, Table1[[HomeTeam]:[HomeTeam]], F$36, Table1[[ActualResult]:[ActualResult]], "SO") + SUMIFS(Table1[[AwayWon]:[AwayWon]], Table1[[GameIsOver]:[GameIsOver]], 1, Table1[[HomeTeam]:[HomeTeam]], $A61, Table1[[AwayTeam]:[AwayTeam]], F$36, Table1[[ActualResult]:[ActualResult]], "SO")))/ (2*((COUNTIFS(Table1[[GameIsOver]:[GameIsOver]],1,Table1[[AwayTeam]:[AwayTeam]],$A61, Table1[[HomeTeam]:[HomeTeam]], F$36)))+( COUNTIFS(Table1[[GameIsOver]:[GameIsOver]],1,Table1[[AwayTeam]:[AwayTeam]],F$36, Table1[[HomeTeam]:[HomeTeam]],$A61))), "")</f>
        <v/>
      </c>
      <c r="G61" s="36" t="str">
        <f>IFERROR(((2 * (SUMIFS(Table1[[AwayWon]:[AwayWon]], Table1[[GameIsOver]:[GameIsOver]], 1, Table1[[AwayTeam]:[AwayTeam]], $A61, Table1[[HomeTeam]:[HomeTeam]], G$36) + SUMIFS(Table1[[HomeWon]:[HomeWon]], Table1[[GameIsOver]:[GameIsOver]], 1, Table1[[HomeTeam]:[HomeTeam]], $A61, Table1[[AwayTeam]:[AwayTeam]], G$36))) + (SUMIFS(Table1[[HomeWon]:[HomeWon]], Table1[[GameIsOver]:[GameIsOver]], 1, Table1[[AwayTeam]:[AwayTeam]], $A61, Table1[[HomeTeam]:[HomeTeam]],  G$36, Table1[[ActualResult]:[ActualResult]], "OT") + SUMIFS(Table1[[AwayWon]:[AwayWon]], Table1[[GameIsOver]:[GameIsOver]], 1, Table1[[HomeTeam]:[HomeTeam]], $A61, Table1[[AwayTeam]:[AwayTeam]], G$36, Table1[[ActualResult]:[ActualResult]], "OT") + SUMIFS(Table1[[HomeWon]:[HomeWon]], Table1[[GameIsOver]:[GameIsOver]], 1, Table1[[AwayTeam]:[AwayTeam]], $A61, Table1[[HomeTeam]:[HomeTeam]], G$36, Table1[[ActualResult]:[ActualResult]], "SO") + SUMIFS(Table1[[AwayWon]:[AwayWon]], Table1[[GameIsOver]:[GameIsOver]], 1, Table1[[HomeTeam]:[HomeTeam]], $A61, Table1[[AwayTeam]:[AwayTeam]], G$36, Table1[[ActualResult]:[ActualResult]], "SO")))/ (2*((COUNTIFS(Table1[[GameIsOver]:[GameIsOver]],1,Table1[[AwayTeam]:[AwayTeam]],$A61, Table1[[HomeTeam]:[HomeTeam]], G$36)))+( COUNTIFS(Table1[[GameIsOver]:[GameIsOver]],1,Table1[[AwayTeam]:[AwayTeam]],G$36, Table1[[HomeTeam]:[HomeTeam]],$A61))), "")</f>
        <v/>
      </c>
      <c r="H61" s="36" t="str">
        <f>IFERROR(((2 * (SUMIFS(Table1[[AwayWon]:[AwayWon]], Table1[[GameIsOver]:[GameIsOver]], 1, Table1[[AwayTeam]:[AwayTeam]], $A61, Table1[[HomeTeam]:[HomeTeam]], H$36) + SUMIFS(Table1[[HomeWon]:[HomeWon]], Table1[[GameIsOver]:[GameIsOver]], 1, Table1[[HomeTeam]:[HomeTeam]], $A61, Table1[[AwayTeam]:[AwayTeam]], H$36))) + (SUMIFS(Table1[[HomeWon]:[HomeWon]], Table1[[GameIsOver]:[GameIsOver]], 1, Table1[[AwayTeam]:[AwayTeam]], $A61, Table1[[HomeTeam]:[HomeTeam]],  H$36, Table1[[ActualResult]:[ActualResult]], "OT") + SUMIFS(Table1[[AwayWon]:[AwayWon]], Table1[[GameIsOver]:[GameIsOver]], 1, Table1[[HomeTeam]:[HomeTeam]], $A61, Table1[[AwayTeam]:[AwayTeam]], H$36, Table1[[ActualResult]:[ActualResult]], "OT") + SUMIFS(Table1[[HomeWon]:[HomeWon]], Table1[[GameIsOver]:[GameIsOver]], 1, Table1[[AwayTeam]:[AwayTeam]], $A61, Table1[[HomeTeam]:[HomeTeam]], H$36, Table1[[ActualResult]:[ActualResult]], "SO") + SUMIFS(Table1[[AwayWon]:[AwayWon]], Table1[[GameIsOver]:[GameIsOver]], 1, Table1[[HomeTeam]:[HomeTeam]], $A61, Table1[[AwayTeam]:[AwayTeam]], H$36, Table1[[ActualResult]:[ActualResult]], "SO")))/ (2*((COUNTIFS(Table1[[GameIsOver]:[GameIsOver]],1,Table1[[AwayTeam]:[AwayTeam]],$A61, Table1[[HomeTeam]:[HomeTeam]], H$36)))+( COUNTIFS(Table1[[GameIsOver]:[GameIsOver]],1,Table1[[AwayTeam]:[AwayTeam]],H$36, Table1[[HomeTeam]:[HomeTeam]],$A61))), "")</f>
        <v/>
      </c>
      <c r="I61" s="38" t="str">
        <f>IFERROR(((2 * (SUMIFS(Table1[[AwayWon]:[AwayWon]], Table1[[GameIsOver]:[GameIsOver]], 1, Table1[[AwayTeam]:[AwayTeam]], $A61, Table1[[HomeTeam]:[HomeTeam]], I$36) + SUMIFS(Table1[[HomeWon]:[HomeWon]], Table1[[GameIsOver]:[GameIsOver]], 1, Table1[[HomeTeam]:[HomeTeam]], $A61, Table1[[AwayTeam]:[AwayTeam]], I$36))) + (SUMIFS(Table1[[HomeWon]:[HomeWon]], Table1[[GameIsOver]:[GameIsOver]], 1, Table1[[AwayTeam]:[AwayTeam]], $A61, Table1[[HomeTeam]:[HomeTeam]],  I$36, Table1[[ActualResult]:[ActualResult]], "OT") + SUMIFS(Table1[[AwayWon]:[AwayWon]], Table1[[GameIsOver]:[GameIsOver]], 1, Table1[[HomeTeam]:[HomeTeam]], $A61, Table1[[AwayTeam]:[AwayTeam]], I$36, Table1[[ActualResult]:[ActualResult]], "OT") + SUMIFS(Table1[[HomeWon]:[HomeWon]], Table1[[GameIsOver]:[GameIsOver]], 1, Table1[[AwayTeam]:[AwayTeam]], $A61, Table1[[HomeTeam]:[HomeTeam]], I$36, Table1[[ActualResult]:[ActualResult]], "SO") + SUMIFS(Table1[[AwayWon]:[AwayWon]], Table1[[GameIsOver]:[GameIsOver]], 1, Table1[[HomeTeam]:[HomeTeam]], $A61, Table1[[AwayTeam]:[AwayTeam]], I$36, Table1[[ActualResult]:[ActualResult]], "SO")))/ (2*((COUNTIFS(Table1[[GameIsOver]:[GameIsOver]],1,Table1[[AwayTeam]:[AwayTeam]],$A61, Table1[[HomeTeam]:[HomeTeam]], I$36)))+( COUNTIFS(Table1[[GameIsOver]:[GameIsOver]],1,Table1[[AwayTeam]:[AwayTeam]],I$36, Table1[[HomeTeam]:[HomeTeam]],$A61))), "")</f>
        <v/>
      </c>
      <c r="J61" s="36" t="str">
        <f>IFERROR(((2 * (SUMIFS(Table1[[AwayWon]:[AwayWon]], Table1[[GameIsOver]:[GameIsOver]], 1, Table1[[AwayTeam]:[AwayTeam]], $A61, Table1[[HomeTeam]:[HomeTeam]], J$36) + SUMIFS(Table1[[HomeWon]:[HomeWon]], Table1[[GameIsOver]:[GameIsOver]], 1, Table1[[HomeTeam]:[HomeTeam]], $A61, Table1[[AwayTeam]:[AwayTeam]], J$36))) + (SUMIFS(Table1[[HomeWon]:[HomeWon]], Table1[[GameIsOver]:[GameIsOver]], 1, Table1[[AwayTeam]:[AwayTeam]], $A61, Table1[[HomeTeam]:[HomeTeam]],  J$36, Table1[[ActualResult]:[ActualResult]], "OT") + SUMIFS(Table1[[AwayWon]:[AwayWon]], Table1[[GameIsOver]:[GameIsOver]], 1, Table1[[HomeTeam]:[HomeTeam]], $A61, Table1[[AwayTeam]:[AwayTeam]], J$36, Table1[[ActualResult]:[ActualResult]], "OT") + SUMIFS(Table1[[HomeWon]:[HomeWon]], Table1[[GameIsOver]:[GameIsOver]], 1, Table1[[AwayTeam]:[AwayTeam]], $A61, Table1[[HomeTeam]:[HomeTeam]], J$36, Table1[[ActualResult]:[ActualResult]], "SO") + SUMIFS(Table1[[AwayWon]:[AwayWon]], Table1[[GameIsOver]:[GameIsOver]], 1, Table1[[HomeTeam]:[HomeTeam]], $A61, Table1[[AwayTeam]:[AwayTeam]], J$36, Table1[[ActualResult]:[ActualResult]], "SO")))/ (2*((COUNTIFS(Table1[[GameIsOver]:[GameIsOver]],1,Table1[[AwayTeam]:[AwayTeam]],$A61, Table1[[HomeTeam]:[HomeTeam]], J$36)))+( COUNTIFS(Table1[[GameIsOver]:[GameIsOver]],1,Table1[[AwayTeam]:[AwayTeam]],J$36, Table1[[HomeTeam]:[HomeTeam]],$A61))), "")</f>
        <v/>
      </c>
      <c r="K61" s="36" t="str">
        <f>IFERROR(((2 * (SUMIFS(Table1[[AwayWon]:[AwayWon]], Table1[[GameIsOver]:[GameIsOver]], 1, Table1[[AwayTeam]:[AwayTeam]], $A61, Table1[[HomeTeam]:[HomeTeam]], K$36) + SUMIFS(Table1[[HomeWon]:[HomeWon]], Table1[[GameIsOver]:[GameIsOver]], 1, Table1[[HomeTeam]:[HomeTeam]], $A61, Table1[[AwayTeam]:[AwayTeam]], K$36))) + (SUMIFS(Table1[[HomeWon]:[HomeWon]], Table1[[GameIsOver]:[GameIsOver]], 1, Table1[[AwayTeam]:[AwayTeam]], $A61, Table1[[HomeTeam]:[HomeTeam]],  K$36, Table1[[ActualResult]:[ActualResult]], "OT") + SUMIFS(Table1[[AwayWon]:[AwayWon]], Table1[[GameIsOver]:[GameIsOver]], 1, Table1[[HomeTeam]:[HomeTeam]], $A61, Table1[[AwayTeam]:[AwayTeam]], K$36, Table1[[ActualResult]:[ActualResult]], "OT") + SUMIFS(Table1[[HomeWon]:[HomeWon]], Table1[[GameIsOver]:[GameIsOver]], 1, Table1[[AwayTeam]:[AwayTeam]], $A61, Table1[[HomeTeam]:[HomeTeam]], K$36, Table1[[ActualResult]:[ActualResult]], "SO") + SUMIFS(Table1[[AwayWon]:[AwayWon]], Table1[[GameIsOver]:[GameIsOver]], 1, Table1[[HomeTeam]:[HomeTeam]], $A61, Table1[[AwayTeam]:[AwayTeam]], K$36, Table1[[ActualResult]:[ActualResult]], "SO")))/ (2*((COUNTIFS(Table1[[GameIsOver]:[GameIsOver]],1,Table1[[AwayTeam]:[AwayTeam]],$A61, Table1[[HomeTeam]:[HomeTeam]], K$36)))+( COUNTIFS(Table1[[GameIsOver]:[GameIsOver]],1,Table1[[AwayTeam]:[AwayTeam]],K$36, Table1[[HomeTeam]:[HomeTeam]],$A61))), "")</f>
        <v/>
      </c>
      <c r="L61" s="36" t="str">
        <f>IFERROR(((2 * (SUMIFS(Table1[[AwayWon]:[AwayWon]], Table1[[GameIsOver]:[GameIsOver]], 1, Table1[[AwayTeam]:[AwayTeam]], $A61, Table1[[HomeTeam]:[HomeTeam]], L$36) + SUMIFS(Table1[[HomeWon]:[HomeWon]], Table1[[GameIsOver]:[GameIsOver]], 1, Table1[[HomeTeam]:[HomeTeam]], $A61, Table1[[AwayTeam]:[AwayTeam]], L$36))) + (SUMIFS(Table1[[HomeWon]:[HomeWon]], Table1[[GameIsOver]:[GameIsOver]], 1, Table1[[AwayTeam]:[AwayTeam]], $A61, Table1[[HomeTeam]:[HomeTeam]],  L$36, Table1[[ActualResult]:[ActualResult]], "OT") + SUMIFS(Table1[[AwayWon]:[AwayWon]], Table1[[GameIsOver]:[GameIsOver]], 1, Table1[[HomeTeam]:[HomeTeam]], $A61, Table1[[AwayTeam]:[AwayTeam]], L$36, Table1[[ActualResult]:[ActualResult]], "OT") + SUMIFS(Table1[[HomeWon]:[HomeWon]], Table1[[GameIsOver]:[GameIsOver]], 1, Table1[[AwayTeam]:[AwayTeam]], $A61, Table1[[HomeTeam]:[HomeTeam]], L$36, Table1[[ActualResult]:[ActualResult]], "SO") + SUMIFS(Table1[[AwayWon]:[AwayWon]], Table1[[GameIsOver]:[GameIsOver]], 1, Table1[[HomeTeam]:[HomeTeam]], $A61, Table1[[AwayTeam]:[AwayTeam]], L$36, Table1[[ActualResult]:[ActualResult]], "SO")))/ (2*((COUNTIFS(Table1[[GameIsOver]:[GameIsOver]],1,Table1[[AwayTeam]:[AwayTeam]],$A61, Table1[[HomeTeam]:[HomeTeam]], L$36)))+( COUNTIFS(Table1[[GameIsOver]:[GameIsOver]],1,Table1[[AwayTeam]:[AwayTeam]],L$36, Table1[[HomeTeam]:[HomeTeam]],$A61))), "")</f>
        <v/>
      </c>
      <c r="M61" s="36" t="str">
        <f>IFERROR(((2 * (SUMIFS(Table1[[AwayWon]:[AwayWon]], Table1[[GameIsOver]:[GameIsOver]], 1, Table1[[AwayTeam]:[AwayTeam]], $A61, Table1[[HomeTeam]:[HomeTeam]], M$36) + SUMIFS(Table1[[HomeWon]:[HomeWon]], Table1[[GameIsOver]:[GameIsOver]], 1, Table1[[HomeTeam]:[HomeTeam]], $A61, Table1[[AwayTeam]:[AwayTeam]], M$36))) + (SUMIFS(Table1[[HomeWon]:[HomeWon]], Table1[[GameIsOver]:[GameIsOver]], 1, Table1[[AwayTeam]:[AwayTeam]], $A61, Table1[[HomeTeam]:[HomeTeam]],  M$36, Table1[[ActualResult]:[ActualResult]], "OT") + SUMIFS(Table1[[AwayWon]:[AwayWon]], Table1[[GameIsOver]:[GameIsOver]], 1, Table1[[HomeTeam]:[HomeTeam]], $A61, Table1[[AwayTeam]:[AwayTeam]], M$36, Table1[[ActualResult]:[ActualResult]], "OT") + SUMIFS(Table1[[HomeWon]:[HomeWon]], Table1[[GameIsOver]:[GameIsOver]], 1, Table1[[AwayTeam]:[AwayTeam]], $A61, Table1[[HomeTeam]:[HomeTeam]], M$36, Table1[[ActualResult]:[ActualResult]], "SO") + SUMIFS(Table1[[AwayWon]:[AwayWon]], Table1[[GameIsOver]:[GameIsOver]], 1, Table1[[HomeTeam]:[HomeTeam]], $A61, Table1[[AwayTeam]:[AwayTeam]], M$36, Table1[[ActualResult]:[ActualResult]], "SO")))/ (2*((COUNTIFS(Table1[[GameIsOver]:[GameIsOver]],1,Table1[[AwayTeam]:[AwayTeam]],$A61, Table1[[HomeTeam]:[HomeTeam]], M$36)))+( COUNTIFS(Table1[[GameIsOver]:[GameIsOver]],1,Table1[[AwayTeam]:[AwayTeam]],M$36, Table1[[HomeTeam]:[HomeTeam]],$A61))), "")</f>
        <v/>
      </c>
      <c r="N61" s="36" t="str">
        <f>IFERROR(((2 * (SUMIFS(Table1[[AwayWon]:[AwayWon]], Table1[[GameIsOver]:[GameIsOver]], 1, Table1[[AwayTeam]:[AwayTeam]], $A61, Table1[[HomeTeam]:[HomeTeam]], N$36) + SUMIFS(Table1[[HomeWon]:[HomeWon]], Table1[[GameIsOver]:[GameIsOver]], 1, Table1[[HomeTeam]:[HomeTeam]], $A61, Table1[[AwayTeam]:[AwayTeam]], N$36))) + (SUMIFS(Table1[[HomeWon]:[HomeWon]], Table1[[GameIsOver]:[GameIsOver]], 1, Table1[[AwayTeam]:[AwayTeam]], $A61, Table1[[HomeTeam]:[HomeTeam]],  N$36, Table1[[ActualResult]:[ActualResult]], "OT") + SUMIFS(Table1[[AwayWon]:[AwayWon]], Table1[[GameIsOver]:[GameIsOver]], 1, Table1[[HomeTeam]:[HomeTeam]], $A61, Table1[[AwayTeam]:[AwayTeam]], N$36, Table1[[ActualResult]:[ActualResult]], "OT") + SUMIFS(Table1[[HomeWon]:[HomeWon]], Table1[[GameIsOver]:[GameIsOver]], 1, Table1[[AwayTeam]:[AwayTeam]], $A61, Table1[[HomeTeam]:[HomeTeam]], N$36, Table1[[ActualResult]:[ActualResult]], "SO") + SUMIFS(Table1[[AwayWon]:[AwayWon]], Table1[[GameIsOver]:[GameIsOver]], 1, Table1[[HomeTeam]:[HomeTeam]], $A61, Table1[[AwayTeam]:[AwayTeam]], N$36, Table1[[ActualResult]:[ActualResult]], "SO")))/ (2*((COUNTIFS(Table1[[GameIsOver]:[GameIsOver]],1,Table1[[AwayTeam]:[AwayTeam]],$A61, Table1[[HomeTeam]:[HomeTeam]], N$36)))+( COUNTIFS(Table1[[GameIsOver]:[GameIsOver]],1,Table1[[AwayTeam]:[AwayTeam]],N$36, Table1[[HomeTeam]:[HomeTeam]],$A61))), "")</f>
        <v/>
      </c>
      <c r="O61" s="36" t="str">
        <f>IFERROR(((2 * (SUMIFS(Table1[[AwayWon]:[AwayWon]], Table1[[GameIsOver]:[GameIsOver]], 1, Table1[[AwayTeam]:[AwayTeam]], $A61, Table1[[HomeTeam]:[HomeTeam]], O$36) + SUMIFS(Table1[[HomeWon]:[HomeWon]], Table1[[GameIsOver]:[GameIsOver]], 1, Table1[[HomeTeam]:[HomeTeam]], $A61, Table1[[AwayTeam]:[AwayTeam]], O$36))) + (SUMIFS(Table1[[HomeWon]:[HomeWon]], Table1[[GameIsOver]:[GameIsOver]], 1, Table1[[AwayTeam]:[AwayTeam]], $A61, Table1[[HomeTeam]:[HomeTeam]],  O$36, Table1[[ActualResult]:[ActualResult]], "OT") + SUMIFS(Table1[[AwayWon]:[AwayWon]], Table1[[GameIsOver]:[GameIsOver]], 1, Table1[[HomeTeam]:[HomeTeam]], $A61, Table1[[AwayTeam]:[AwayTeam]], O$36, Table1[[ActualResult]:[ActualResult]], "OT") + SUMIFS(Table1[[HomeWon]:[HomeWon]], Table1[[GameIsOver]:[GameIsOver]], 1, Table1[[AwayTeam]:[AwayTeam]], $A61, Table1[[HomeTeam]:[HomeTeam]], O$36, Table1[[ActualResult]:[ActualResult]], "SO") + SUMIFS(Table1[[AwayWon]:[AwayWon]], Table1[[GameIsOver]:[GameIsOver]], 1, Table1[[HomeTeam]:[HomeTeam]], $A61, Table1[[AwayTeam]:[AwayTeam]], O$36, Table1[[ActualResult]:[ActualResult]], "SO")))/ (2*((COUNTIFS(Table1[[GameIsOver]:[GameIsOver]],1,Table1[[AwayTeam]:[AwayTeam]],$A61, Table1[[HomeTeam]:[HomeTeam]], O$36)))+( COUNTIFS(Table1[[GameIsOver]:[GameIsOver]],1,Table1[[AwayTeam]:[AwayTeam]],O$36, Table1[[HomeTeam]:[HomeTeam]],$A61))), "")</f>
        <v/>
      </c>
      <c r="P61" s="36" t="str">
        <f>IFERROR(((2 * (SUMIFS(Table1[[AwayWon]:[AwayWon]], Table1[[GameIsOver]:[GameIsOver]], 1, Table1[[AwayTeam]:[AwayTeam]], $A61, Table1[[HomeTeam]:[HomeTeam]], P$36) + SUMIFS(Table1[[HomeWon]:[HomeWon]], Table1[[GameIsOver]:[GameIsOver]], 1, Table1[[HomeTeam]:[HomeTeam]], $A61, Table1[[AwayTeam]:[AwayTeam]], P$36))) + (SUMIFS(Table1[[HomeWon]:[HomeWon]], Table1[[GameIsOver]:[GameIsOver]], 1, Table1[[AwayTeam]:[AwayTeam]], $A61, Table1[[HomeTeam]:[HomeTeam]],  P$36, Table1[[ActualResult]:[ActualResult]], "OT") + SUMIFS(Table1[[AwayWon]:[AwayWon]], Table1[[GameIsOver]:[GameIsOver]], 1, Table1[[HomeTeam]:[HomeTeam]], $A61, Table1[[AwayTeam]:[AwayTeam]], P$36, Table1[[ActualResult]:[ActualResult]], "OT") + SUMIFS(Table1[[HomeWon]:[HomeWon]], Table1[[GameIsOver]:[GameIsOver]], 1, Table1[[AwayTeam]:[AwayTeam]], $A61, Table1[[HomeTeam]:[HomeTeam]], P$36, Table1[[ActualResult]:[ActualResult]], "SO") + SUMIFS(Table1[[AwayWon]:[AwayWon]], Table1[[GameIsOver]:[GameIsOver]], 1, Table1[[HomeTeam]:[HomeTeam]], $A61, Table1[[AwayTeam]:[AwayTeam]], P$36, Table1[[ActualResult]:[ActualResult]], "SO")))/ (2*((COUNTIFS(Table1[[GameIsOver]:[GameIsOver]],1,Table1[[AwayTeam]:[AwayTeam]],$A61, Table1[[HomeTeam]:[HomeTeam]], P$36)))+( COUNTIFS(Table1[[GameIsOver]:[GameIsOver]],1,Table1[[AwayTeam]:[AwayTeam]],P$36, Table1[[HomeTeam]:[HomeTeam]],$A61))), "")</f>
        <v/>
      </c>
      <c r="Q61" s="38">
        <f>IFERROR(((2 * (SUMIFS(Table1[[AwayWon]:[AwayWon]], Table1[[GameIsOver]:[GameIsOver]], 1, Table1[[AwayTeam]:[AwayTeam]], $A61, Table1[[HomeTeam]:[HomeTeam]], Q$36) + SUMIFS(Table1[[HomeWon]:[HomeWon]], Table1[[GameIsOver]:[GameIsOver]], 1, Table1[[HomeTeam]:[HomeTeam]], $A61, Table1[[AwayTeam]:[AwayTeam]], Q$36))) + (SUMIFS(Table1[[HomeWon]:[HomeWon]], Table1[[GameIsOver]:[GameIsOver]], 1, Table1[[AwayTeam]:[AwayTeam]], $A61, Table1[[HomeTeam]:[HomeTeam]],  Q$36, Table1[[ActualResult]:[ActualResult]], "OT") + SUMIFS(Table1[[AwayWon]:[AwayWon]], Table1[[GameIsOver]:[GameIsOver]], 1, Table1[[HomeTeam]:[HomeTeam]], $A61, Table1[[AwayTeam]:[AwayTeam]], Q$36, Table1[[ActualResult]:[ActualResult]], "OT") + SUMIFS(Table1[[HomeWon]:[HomeWon]], Table1[[GameIsOver]:[GameIsOver]], 1, Table1[[AwayTeam]:[AwayTeam]], $A61, Table1[[HomeTeam]:[HomeTeam]], Q$36, Table1[[ActualResult]:[ActualResult]], "SO") + SUMIFS(Table1[[AwayWon]:[AwayWon]], Table1[[GameIsOver]:[GameIsOver]], 1, Table1[[HomeTeam]:[HomeTeam]], $A61, Table1[[AwayTeam]:[AwayTeam]], Q$36, Table1[[ActualResult]:[ActualResult]], "SO")))/ (2*((COUNTIFS(Table1[[GameIsOver]:[GameIsOver]],1,Table1[[AwayTeam]:[AwayTeam]],$A61, Table1[[HomeTeam]:[HomeTeam]], Q$36)))+( COUNTIFS(Table1[[GameIsOver]:[GameIsOver]],1,Table1[[AwayTeam]:[AwayTeam]],Q$36, Table1[[HomeTeam]:[HomeTeam]],$A61))), "")</f>
        <v>0.5</v>
      </c>
      <c r="R61" s="36" t="str">
        <f>IFERROR(((2 * (SUMIFS(Table1[[AwayWon]:[AwayWon]], Table1[[GameIsOver]:[GameIsOver]], 1, Table1[[AwayTeam]:[AwayTeam]], $A61, Table1[[HomeTeam]:[HomeTeam]], R$36) + SUMIFS(Table1[[HomeWon]:[HomeWon]], Table1[[GameIsOver]:[GameIsOver]], 1, Table1[[HomeTeam]:[HomeTeam]], $A61, Table1[[AwayTeam]:[AwayTeam]], R$36))) + (SUMIFS(Table1[[HomeWon]:[HomeWon]], Table1[[GameIsOver]:[GameIsOver]], 1, Table1[[AwayTeam]:[AwayTeam]], $A61, Table1[[HomeTeam]:[HomeTeam]],  R$36, Table1[[ActualResult]:[ActualResult]], "OT") + SUMIFS(Table1[[AwayWon]:[AwayWon]], Table1[[GameIsOver]:[GameIsOver]], 1, Table1[[HomeTeam]:[HomeTeam]], $A61, Table1[[AwayTeam]:[AwayTeam]], R$36, Table1[[ActualResult]:[ActualResult]], "OT") + SUMIFS(Table1[[HomeWon]:[HomeWon]], Table1[[GameIsOver]:[GameIsOver]], 1, Table1[[AwayTeam]:[AwayTeam]], $A61, Table1[[HomeTeam]:[HomeTeam]], R$36, Table1[[ActualResult]:[ActualResult]], "SO") + SUMIFS(Table1[[AwayWon]:[AwayWon]], Table1[[GameIsOver]:[GameIsOver]], 1, Table1[[HomeTeam]:[HomeTeam]], $A61, Table1[[AwayTeam]:[AwayTeam]], R$36, Table1[[ActualResult]:[ActualResult]], "SO")))/ (2*((COUNTIFS(Table1[[GameIsOver]:[GameIsOver]],1,Table1[[AwayTeam]:[AwayTeam]],$A61, Table1[[HomeTeam]:[HomeTeam]], R$36)))+( COUNTIFS(Table1[[GameIsOver]:[GameIsOver]],1,Table1[[AwayTeam]:[AwayTeam]],R$36, Table1[[HomeTeam]:[HomeTeam]],$A61))), "")</f>
        <v/>
      </c>
      <c r="S61" s="36" t="str">
        <f>IFERROR(((2 * (SUMIFS(Table1[[AwayWon]:[AwayWon]], Table1[[GameIsOver]:[GameIsOver]], 1, Table1[[AwayTeam]:[AwayTeam]], $A61, Table1[[HomeTeam]:[HomeTeam]], S$36) + SUMIFS(Table1[[HomeWon]:[HomeWon]], Table1[[GameIsOver]:[GameIsOver]], 1, Table1[[HomeTeam]:[HomeTeam]], $A61, Table1[[AwayTeam]:[AwayTeam]], S$36))) + (SUMIFS(Table1[[HomeWon]:[HomeWon]], Table1[[GameIsOver]:[GameIsOver]], 1, Table1[[AwayTeam]:[AwayTeam]], $A61, Table1[[HomeTeam]:[HomeTeam]],  S$36, Table1[[ActualResult]:[ActualResult]], "OT") + SUMIFS(Table1[[AwayWon]:[AwayWon]], Table1[[GameIsOver]:[GameIsOver]], 1, Table1[[HomeTeam]:[HomeTeam]], $A61, Table1[[AwayTeam]:[AwayTeam]], S$36, Table1[[ActualResult]:[ActualResult]], "OT") + SUMIFS(Table1[[HomeWon]:[HomeWon]], Table1[[GameIsOver]:[GameIsOver]], 1, Table1[[AwayTeam]:[AwayTeam]], $A61, Table1[[HomeTeam]:[HomeTeam]], S$36, Table1[[ActualResult]:[ActualResult]], "SO") + SUMIFS(Table1[[AwayWon]:[AwayWon]], Table1[[GameIsOver]:[GameIsOver]], 1, Table1[[HomeTeam]:[HomeTeam]], $A61, Table1[[AwayTeam]:[AwayTeam]], S$36, Table1[[ActualResult]:[ActualResult]], "SO")))/ (2*((COUNTIFS(Table1[[GameIsOver]:[GameIsOver]],1,Table1[[AwayTeam]:[AwayTeam]],$A61, Table1[[HomeTeam]:[HomeTeam]], S$36)))+( COUNTIFS(Table1[[GameIsOver]:[GameIsOver]],1,Table1[[AwayTeam]:[AwayTeam]],S$36, Table1[[HomeTeam]:[HomeTeam]],$A61))), "")</f>
        <v/>
      </c>
      <c r="T61" s="36" t="str">
        <f>IFERROR(((2 * (SUMIFS(Table1[[AwayWon]:[AwayWon]], Table1[[GameIsOver]:[GameIsOver]], 1, Table1[[AwayTeam]:[AwayTeam]], $A61, Table1[[HomeTeam]:[HomeTeam]], T$36) + SUMIFS(Table1[[HomeWon]:[HomeWon]], Table1[[GameIsOver]:[GameIsOver]], 1, Table1[[HomeTeam]:[HomeTeam]], $A61, Table1[[AwayTeam]:[AwayTeam]], T$36))) + (SUMIFS(Table1[[HomeWon]:[HomeWon]], Table1[[GameIsOver]:[GameIsOver]], 1, Table1[[AwayTeam]:[AwayTeam]], $A61, Table1[[HomeTeam]:[HomeTeam]],  T$36, Table1[[ActualResult]:[ActualResult]], "OT") + SUMIFS(Table1[[AwayWon]:[AwayWon]], Table1[[GameIsOver]:[GameIsOver]], 1, Table1[[HomeTeam]:[HomeTeam]], $A61, Table1[[AwayTeam]:[AwayTeam]], T$36, Table1[[ActualResult]:[ActualResult]], "OT") + SUMIFS(Table1[[HomeWon]:[HomeWon]], Table1[[GameIsOver]:[GameIsOver]], 1, Table1[[AwayTeam]:[AwayTeam]], $A61, Table1[[HomeTeam]:[HomeTeam]], T$36, Table1[[ActualResult]:[ActualResult]], "SO") + SUMIFS(Table1[[AwayWon]:[AwayWon]], Table1[[GameIsOver]:[GameIsOver]], 1, Table1[[HomeTeam]:[HomeTeam]], $A61, Table1[[AwayTeam]:[AwayTeam]], T$36, Table1[[ActualResult]:[ActualResult]], "SO")))/ (2*((COUNTIFS(Table1[[GameIsOver]:[GameIsOver]],1,Table1[[AwayTeam]:[AwayTeam]],$A61, Table1[[HomeTeam]:[HomeTeam]], T$36)))+( COUNTIFS(Table1[[GameIsOver]:[GameIsOver]],1,Table1[[AwayTeam]:[AwayTeam]],T$36, Table1[[HomeTeam]:[HomeTeam]],$A61))), "")</f>
        <v/>
      </c>
      <c r="U61" s="36" t="str">
        <f>IFERROR(((2 * (SUMIFS(Table1[[AwayWon]:[AwayWon]], Table1[[GameIsOver]:[GameIsOver]], 1, Table1[[AwayTeam]:[AwayTeam]], $A61, Table1[[HomeTeam]:[HomeTeam]], U$36) + SUMIFS(Table1[[HomeWon]:[HomeWon]], Table1[[GameIsOver]:[GameIsOver]], 1, Table1[[HomeTeam]:[HomeTeam]], $A61, Table1[[AwayTeam]:[AwayTeam]], U$36))) + (SUMIFS(Table1[[HomeWon]:[HomeWon]], Table1[[GameIsOver]:[GameIsOver]], 1, Table1[[AwayTeam]:[AwayTeam]], $A61, Table1[[HomeTeam]:[HomeTeam]],  U$36, Table1[[ActualResult]:[ActualResult]], "OT") + SUMIFS(Table1[[AwayWon]:[AwayWon]], Table1[[GameIsOver]:[GameIsOver]], 1, Table1[[HomeTeam]:[HomeTeam]], $A61, Table1[[AwayTeam]:[AwayTeam]], U$36, Table1[[ActualResult]:[ActualResult]], "OT") + SUMIFS(Table1[[HomeWon]:[HomeWon]], Table1[[GameIsOver]:[GameIsOver]], 1, Table1[[AwayTeam]:[AwayTeam]], $A61, Table1[[HomeTeam]:[HomeTeam]], U$36, Table1[[ActualResult]:[ActualResult]], "SO") + SUMIFS(Table1[[AwayWon]:[AwayWon]], Table1[[GameIsOver]:[GameIsOver]], 1, Table1[[HomeTeam]:[HomeTeam]], $A61, Table1[[AwayTeam]:[AwayTeam]], U$36, Table1[[ActualResult]:[ActualResult]], "SO")))/ (2*((COUNTIFS(Table1[[GameIsOver]:[GameIsOver]],1,Table1[[AwayTeam]:[AwayTeam]],$A61, Table1[[HomeTeam]:[HomeTeam]], U$36)))+( COUNTIFS(Table1[[GameIsOver]:[GameIsOver]],1,Table1[[AwayTeam]:[AwayTeam]],U$36, Table1[[HomeTeam]:[HomeTeam]],$A61))), "")</f>
        <v/>
      </c>
      <c r="V61" s="36">
        <f>IFERROR(((2 * (SUMIFS(Table1[[AwayWon]:[AwayWon]], Table1[[GameIsOver]:[GameIsOver]], 1, Table1[[AwayTeam]:[AwayTeam]], $A61, Table1[[HomeTeam]:[HomeTeam]], V$36) + SUMIFS(Table1[[HomeWon]:[HomeWon]], Table1[[GameIsOver]:[GameIsOver]], 1, Table1[[HomeTeam]:[HomeTeam]], $A61, Table1[[AwayTeam]:[AwayTeam]], V$36))) + (SUMIFS(Table1[[HomeWon]:[HomeWon]], Table1[[GameIsOver]:[GameIsOver]], 1, Table1[[AwayTeam]:[AwayTeam]], $A61, Table1[[HomeTeam]:[HomeTeam]],  V$36, Table1[[ActualResult]:[ActualResult]], "OT") + SUMIFS(Table1[[AwayWon]:[AwayWon]], Table1[[GameIsOver]:[GameIsOver]], 1, Table1[[HomeTeam]:[HomeTeam]], $A61, Table1[[AwayTeam]:[AwayTeam]], V$36, Table1[[ActualResult]:[ActualResult]], "OT") + SUMIFS(Table1[[HomeWon]:[HomeWon]], Table1[[GameIsOver]:[GameIsOver]], 1, Table1[[AwayTeam]:[AwayTeam]], $A61, Table1[[HomeTeam]:[HomeTeam]], V$36, Table1[[ActualResult]:[ActualResult]], "SO") + SUMIFS(Table1[[AwayWon]:[AwayWon]], Table1[[GameIsOver]:[GameIsOver]], 1, Table1[[HomeTeam]:[HomeTeam]], $A61, Table1[[AwayTeam]:[AwayTeam]], V$36, Table1[[ActualResult]:[ActualResult]], "SO")))/ (2*((COUNTIFS(Table1[[GameIsOver]:[GameIsOver]],1,Table1[[AwayTeam]:[AwayTeam]],$A61, Table1[[HomeTeam]:[HomeTeam]], V$36)))+( COUNTIFS(Table1[[GameIsOver]:[GameIsOver]],1,Table1[[AwayTeam]:[AwayTeam]],V$36, Table1[[HomeTeam]:[HomeTeam]],$A61))), "")</f>
        <v>0</v>
      </c>
      <c r="W61" s="36" t="str">
        <f>IFERROR(((2 * (SUMIFS(Table1[[AwayWon]:[AwayWon]], Table1[[GameIsOver]:[GameIsOver]], 1, Table1[[AwayTeam]:[AwayTeam]], $A61, Table1[[HomeTeam]:[HomeTeam]], W$36) + SUMIFS(Table1[[HomeWon]:[HomeWon]], Table1[[GameIsOver]:[GameIsOver]], 1, Table1[[HomeTeam]:[HomeTeam]], $A61, Table1[[AwayTeam]:[AwayTeam]], W$36))) + (SUMIFS(Table1[[HomeWon]:[HomeWon]], Table1[[GameIsOver]:[GameIsOver]], 1, Table1[[AwayTeam]:[AwayTeam]], $A61, Table1[[HomeTeam]:[HomeTeam]],  W$36, Table1[[ActualResult]:[ActualResult]], "OT") + SUMIFS(Table1[[AwayWon]:[AwayWon]], Table1[[GameIsOver]:[GameIsOver]], 1, Table1[[HomeTeam]:[HomeTeam]], $A61, Table1[[AwayTeam]:[AwayTeam]], W$36, Table1[[ActualResult]:[ActualResult]], "OT") + SUMIFS(Table1[[HomeWon]:[HomeWon]], Table1[[GameIsOver]:[GameIsOver]], 1, Table1[[AwayTeam]:[AwayTeam]], $A61, Table1[[HomeTeam]:[HomeTeam]], W$36, Table1[[ActualResult]:[ActualResult]], "SO") + SUMIFS(Table1[[AwayWon]:[AwayWon]], Table1[[GameIsOver]:[GameIsOver]], 1, Table1[[HomeTeam]:[HomeTeam]], $A61, Table1[[AwayTeam]:[AwayTeam]], W$36, Table1[[ActualResult]:[ActualResult]], "SO")))/ (2*((COUNTIFS(Table1[[GameIsOver]:[GameIsOver]],1,Table1[[AwayTeam]:[AwayTeam]],$A61, Table1[[HomeTeam]:[HomeTeam]], W$36)))+( COUNTIFS(Table1[[GameIsOver]:[GameIsOver]],1,Table1[[AwayTeam]:[AwayTeam]],W$36, Table1[[HomeTeam]:[HomeTeam]],$A61))), "")</f>
        <v/>
      </c>
      <c r="X61" s="36" t="str">
        <f>IFERROR(((2 * (SUMIFS(Table1[[AwayWon]:[AwayWon]], Table1[[GameIsOver]:[GameIsOver]], 1, Table1[[AwayTeam]:[AwayTeam]], $A61, Table1[[HomeTeam]:[HomeTeam]], X$36) + SUMIFS(Table1[[HomeWon]:[HomeWon]], Table1[[GameIsOver]:[GameIsOver]], 1, Table1[[HomeTeam]:[HomeTeam]], $A61, Table1[[AwayTeam]:[AwayTeam]], X$36))) + (SUMIFS(Table1[[HomeWon]:[HomeWon]], Table1[[GameIsOver]:[GameIsOver]], 1, Table1[[AwayTeam]:[AwayTeam]], $A61, Table1[[HomeTeam]:[HomeTeam]],  X$36, Table1[[ActualResult]:[ActualResult]], "OT") + SUMIFS(Table1[[AwayWon]:[AwayWon]], Table1[[GameIsOver]:[GameIsOver]], 1, Table1[[HomeTeam]:[HomeTeam]], $A61, Table1[[AwayTeam]:[AwayTeam]], X$36, Table1[[ActualResult]:[ActualResult]], "OT") + SUMIFS(Table1[[HomeWon]:[HomeWon]], Table1[[GameIsOver]:[GameIsOver]], 1, Table1[[AwayTeam]:[AwayTeam]], $A61, Table1[[HomeTeam]:[HomeTeam]], X$36, Table1[[ActualResult]:[ActualResult]], "SO") + SUMIFS(Table1[[AwayWon]:[AwayWon]], Table1[[GameIsOver]:[GameIsOver]], 1, Table1[[HomeTeam]:[HomeTeam]], $A61, Table1[[AwayTeam]:[AwayTeam]], X$36, Table1[[ActualResult]:[ActualResult]], "SO")))/ (2*((COUNTIFS(Table1[[GameIsOver]:[GameIsOver]],1,Table1[[AwayTeam]:[AwayTeam]],$A61, Table1[[HomeTeam]:[HomeTeam]], X$36)))+( COUNTIFS(Table1[[GameIsOver]:[GameIsOver]],1,Table1[[AwayTeam]:[AwayTeam]],X$36, Table1[[HomeTeam]:[HomeTeam]],$A61))), "")</f>
        <v/>
      </c>
      <c r="Y61" s="38" t="str">
        <f>IFERROR(((2 * (SUMIFS(Table1[[AwayWon]:[AwayWon]], Table1[[GameIsOver]:[GameIsOver]], 1, Table1[[AwayTeam]:[AwayTeam]], $A61, Table1[[HomeTeam]:[HomeTeam]], Y$36) + SUMIFS(Table1[[HomeWon]:[HomeWon]], Table1[[GameIsOver]:[GameIsOver]], 1, Table1[[HomeTeam]:[HomeTeam]], $A61, Table1[[AwayTeam]:[AwayTeam]], Y$36))) + (SUMIFS(Table1[[HomeWon]:[HomeWon]], Table1[[GameIsOver]:[GameIsOver]], 1, Table1[[AwayTeam]:[AwayTeam]], $A61, Table1[[HomeTeam]:[HomeTeam]],  Y$36, Table1[[ActualResult]:[ActualResult]], "OT") + SUMIFS(Table1[[AwayWon]:[AwayWon]], Table1[[GameIsOver]:[GameIsOver]], 1, Table1[[HomeTeam]:[HomeTeam]], $A61, Table1[[AwayTeam]:[AwayTeam]], Y$36, Table1[[ActualResult]:[ActualResult]], "OT") + SUMIFS(Table1[[HomeWon]:[HomeWon]], Table1[[GameIsOver]:[GameIsOver]], 1, Table1[[AwayTeam]:[AwayTeam]], $A61, Table1[[HomeTeam]:[HomeTeam]], Y$36, Table1[[ActualResult]:[ActualResult]], "SO") + SUMIFS(Table1[[AwayWon]:[AwayWon]], Table1[[GameIsOver]:[GameIsOver]], 1, Table1[[HomeTeam]:[HomeTeam]], $A61, Table1[[AwayTeam]:[AwayTeam]], Y$36, Table1[[ActualResult]:[ActualResult]], "SO")))/ (2*((COUNTIFS(Table1[[GameIsOver]:[GameIsOver]],1,Table1[[AwayTeam]:[AwayTeam]],$A61, Table1[[HomeTeam]:[HomeTeam]], Y$36)))+( COUNTIFS(Table1[[GameIsOver]:[GameIsOver]],1,Table1[[AwayTeam]:[AwayTeam]],Y$36, Table1[[HomeTeam]:[HomeTeam]],$A61))), "")</f>
        <v/>
      </c>
      <c r="Z61" s="36" t="str">
        <f>IFERROR(((2 * (SUMIFS(Table1[[AwayWon]:[AwayWon]], Table1[[GameIsOver]:[GameIsOver]], 1, Table1[[AwayTeam]:[AwayTeam]], $A61, Table1[[HomeTeam]:[HomeTeam]], Z$36) + SUMIFS(Table1[[HomeWon]:[HomeWon]], Table1[[GameIsOver]:[GameIsOver]], 1, Table1[[HomeTeam]:[HomeTeam]], $A61, Table1[[AwayTeam]:[AwayTeam]], Z$36))) + (SUMIFS(Table1[[HomeWon]:[HomeWon]], Table1[[GameIsOver]:[GameIsOver]], 1, Table1[[AwayTeam]:[AwayTeam]], $A61, Table1[[HomeTeam]:[HomeTeam]],  Z$36, Table1[[ActualResult]:[ActualResult]], "OT") + SUMIFS(Table1[[AwayWon]:[AwayWon]], Table1[[GameIsOver]:[GameIsOver]], 1, Table1[[HomeTeam]:[HomeTeam]], $A61, Table1[[AwayTeam]:[AwayTeam]], Z$36, Table1[[ActualResult]:[ActualResult]], "OT") + SUMIFS(Table1[[HomeWon]:[HomeWon]], Table1[[GameIsOver]:[GameIsOver]], 1, Table1[[AwayTeam]:[AwayTeam]], $A61, Table1[[HomeTeam]:[HomeTeam]], Z$36, Table1[[ActualResult]:[ActualResult]], "SO") + SUMIFS(Table1[[AwayWon]:[AwayWon]], Table1[[GameIsOver]:[GameIsOver]], 1, Table1[[HomeTeam]:[HomeTeam]], $A61, Table1[[AwayTeam]:[AwayTeam]], Z$36, Table1[[ActualResult]:[ActualResult]], "SO")))/ (2*((COUNTIFS(Table1[[GameIsOver]:[GameIsOver]],1,Table1[[AwayTeam]:[AwayTeam]],$A61, Table1[[HomeTeam]:[HomeTeam]], Z$36)))+( COUNTIFS(Table1[[GameIsOver]:[GameIsOver]],1,Table1[[AwayTeam]:[AwayTeam]],Z$36, Table1[[HomeTeam]:[HomeTeam]],$A61))), "")</f>
        <v/>
      </c>
      <c r="AA61" s="36" t="str">
        <f>IFERROR(((2 * (SUMIFS(Table1[[AwayWon]:[AwayWon]], Table1[[GameIsOver]:[GameIsOver]], 1, Table1[[AwayTeam]:[AwayTeam]], $A61, Table1[[HomeTeam]:[HomeTeam]], AA$36) + SUMIFS(Table1[[HomeWon]:[HomeWon]], Table1[[GameIsOver]:[GameIsOver]], 1, Table1[[HomeTeam]:[HomeTeam]], $A61, Table1[[AwayTeam]:[AwayTeam]], AA$36))) + (SUMIFS(Table1[[HomeWon]:[HomeWon]], Table1[[GameIsOver]:[GameIsOver]], 1, Table1[[AwayTeam]:[AwayTeam]], $A61, Table1[[HomeTeam]:[HomeTeam]],  AA$36, Table1[[ActualResult]:[ActualResult]], "OT") + SUMIFS(Table1[[AwayWon]:[AwayWon]], Table1[[GameIsOver]:[GameIsOver]], 1, Table1[[HomeTeam]:[HomeTeam]], $A61, Table1[[AwayTeam]:[AwayTeam]], AA$36, Table1[[ActualResult]:[ActualResult]], "OT") + SUMIFS(Table1[[HomeWon]:[HomeWon]], Table1[[GameIsOver]:[GameIsOver]], 1, Table1[[AwayTeam]:[AwayTeam]], $A61, Table1[[HomeTeam]:[HomeTeam]], AA$36, Table1[[ActualResult]:[ActualResult]], "SO") + SUMIFS(Table1[[AwayWon]:[AwayWon]], Table1[[GameIsOver]:[GameIsOver]], 1, Table1[[HomeTeam]:[HomeTeam]], $A61, Table1[[AwayTeam]:[AwayTeam]], AA$36, Table1[[ActualResult]:[ActualResult]], "SO")))/ (2*((COUNTIFS(Table1[[GameIsOver]:[GameIsOver]],1,Table1[[AwayTeam]:[AwayTeam]],$A61, Table1[[HomeTeam]:[HomeTeam]], AA$36)))+( COUNTIFS(Table1[[GameIsOver]:[GameIsOver]],1,Table1[[AwayTeam]:[AwayTeam]],AA$36, Table1[[HomeTeam]:[HomeTeam]],$A61))), "")</f>
        <v/>
      </c>
      <c r="AB61" s="36" t="str">
        <f>IFERROR(((2 * (SUMIFS(Table1[[AwayWon]:[AwayWon]], Table1[[GameIsOver]:[GameIsOver]], 1, Table1[[AwayTeam]:[AwayTeam]], $A61, Table1[[HomeTeam]:[HomeTeam]], AB$36) + SUMIFS(Table1[[HomeWon]:[HomeWon]], Table1[[GameIsOver]:[GameIsOver]], 1, Table1[[HomeTeam]:[HomeTeam]], $A61, Table1[[AwayTeam]:[AwayTeam]], AB$36))) + (SUMIFS(Table1[[HomeWon]:[HomeWon]], Table1[[GameIsOver]:[GameIsOver]], 1, Table1[[AwayTeam]:[AwayTeam]], $A61, Table1[[HomeTeam]:[HomeTeam]],  AB$36, Table1[[ActualResult]:[ActualResult]], "OT") + SUMIFS(Table1[[AwayWon]:[AwayWon]], Table1[[GameIsOver]:[GameIsOver]], 1, Table1[[HomeTeam]:[HomeTeam]], $A61, Table1[[AwayTeam]:[AwayTeam]], AB$36, Table1[[ActualResult]:[ActualResult]], "OT") + SUMIFS(Table1[[HomeWon]:[HomeWon]], Table1[[GameIsOver]:[GameIsOver]], 1, Table1[[AwayTeam]:[AwayTeam]], $A61, Table1[[HomeTeam]:[HomeTeam]], AB$36, Table1[[ActualResult]:[ActualResult]], "SO") + SUMIFS(Table1[[AwayWon]:[AwayWon]], Table1[[GameIsOver]:[GameIsOver]], 1, Table1[[HomeTeam]:[HomeTeam]], $A61, Table1[[AwayTeam]:[AwayTeam]], AB$36, Table1[[ActualResult]:[ActualResult]], "SO")))/ (2*((COUNTIFS(Table1[[GameIsOver]:[GameIsOver]],1,Table1[[AwayTeam]:[AwayTeam]],$A61, Table1[[HomeTeam]:[HomeTeam]], AB$36)))+( COUNTIFS(Table1[[GameIsOver]:[GameIsOver]],1,Table1[[AwayTeam]:[AwayTeam]],AB$36, Table1[[HomeTeam]:[HomeTeam]],$A61))), "")</f>
        <v/>
      </c>
      <c r="AC61" s="36" t="str">
        <f>IFERROR(((2 * (SUMIFS(Table1[[AwayWon]:[AwayWon]], Table1[[GameIsOver]:[GameIsOver]], 1, Table1[[AwayTeam]:[AwayTeam]], $A61, Table1[[HomeTeam]:[HomeTeam]], AC$36) + SUMIFS(Table1[[HomeWon]:[HomeWon]], Table1[[GameIsOver]:[GameIsOver]], 1, Table1[[HomeTeam]:[HomeTeam]], $A61, Table1[[AwayTeam]:[AwayTeam]], AC$36))) + (SUMIFS(Table1[[HomeWon]:[HomeWon]], Table1[[GameIsOver]:[GameIsOver]], 1, Table1[[AwayTeam]:[AwayTeam]], $A61, Table1[[HomeTeam]:[HomeTeam]],  AC$36, Table1[[ActualResult]:[ActualResult]], "OT") + SUMIFS(Table1[[AwayWon]:[AwayWon]], Table1[[GameIsOver]:[GameIsOver]], 1, Table1[[HomeTeam]:[HomeTeam]], $A61, Table1[[AwayTeam]:[AwayTeam]], AC$36, Table1[[ActualResult]:[ActualResult]], "OT") + SUMIFS(Table1[[HomeWon]:[HomeWon]], Table1[[GameIsOver]:[GameIsOver]], 1, Table1[[AwayTeam]:[AwayTeam]], $A61, Table1[[HomeTeam]:[HomeTeam]], AC$36, Table1[[ActualResult]:[ActualResult]], "SO") + SUMIFS(Table1[[AwayWon]:[AwayWon]], Table1[[GameIsOver]:[GameIsOver]], 1, Table1[[HomeTeam]:[HomeTeam]], $A61, Table1[[AwayTeam]:[AwayTeam]], AC$36, Table1[[ActualResult]:[ActualResult]], "SO")))/ (2*((COUNTIFS(Table1[[GameIsOver]:[GameIsOver]],1,Table1[[AwayTeam]:[AwayTeam]],$A61, Table1[[HomeTeam]:[HomeTeam]], AC$36)))+( COUNTIFS(Table1[[GameIsOver]:[GameIsOver]],1,Table1[[AwayTeam]:[AwayTeam]],AC$36, Table1[[HomeTeam]:[HomeTeam]],$A61))), "")</f>
        <v/>
      </c>
      <c r="AD61" s="36" t="str">
        <f>IFERROR(((2 * (SUMIFS(Table1[[AwayWon]:[AwayWon]], Table1[[GameIsOver]:[GameIsOver]], 1, Table1[[AwayTeam]:[AwayTeam]], $A61, Table1[[HomeTeam]:[HomeTeam]], AD$36) + SUMIFS(Table1[[HomeWon]:[HomeWon]], Table1[[GameIsOver]:[GameIsOver]], 1, Table1[[HomeTeam]:[HomeTeam]], $A61, Table1[[AwayTeam]:[AwayTeam]], AD$36))) + (SUMIFS(Table1[[HomeWon]:[HomeWon]], Table1[[GameIsOver]:[GameIsOver]], 1, Table1[[AwayTeam]:[AwayTeam]], $A61, Table1[[HomeTeam]:[HomeTeam]],  AD$36, Table1[[ActualResult]:[ActualResult]], "OT") + SUMIFS(Table1[[AwayWon]:[AwayWon]], Table1[[GameIsOver]:[GameIsOver]], 1, Table1[[HomeTeam]:[HomeTeam]], $A61, Table1[[AwayTeam]:[AwayTeam]], AD$36, Table1[[ActualResult]:[ActualResult]], "OT") + SUMIFS(Table1[[HomeWon]:[HomeWon]], Table1[[GameIsOver]:[GameIsOver]], 1, Table1[[AwayTeam]:[AwayTeam]], $A61, Table1[[HomeTeam]:[HomeTeam]], AD$36, Table1[[ActualResult]:[ActualResult]], "SO") + SUMIFS(Table1[[AwayWon]:[AwayWon]], Table1[[GameIsOver]:[GameIsOver]], 1, Table1[[HomeTeam]:[HomeTeam]], $A61, Table1[[AwayTeam]:[AwayTeam]], AD$36, Table1[[ActualResult]:[ActualResult]], "SO")))/ (2*((COUNTIFS(Table1[[GameIsOver]:[GameIsOver]],1,Table1[[AwayTeam]:[AwayTeam]],$A61, Table1[[HomeTeam]:[HomeTeam]], AD$36)))+( COUNTIFS(Table1[[GameIsOver]:[GameIsOver]],1,Table1[[AwayTeam]:[AwayTeam]],AD$36, Table1[[HomeTeam]:[HomeTeam]],$A61))), "")</f>
        <v/>
      </c>
      <c r="AE61" s="36" t="str">
        <f>IFERROR(((2 * (SUMIFS(Table1[[AwayWon]:[AwayWon]], Table1[[GameIsOver]:[GameIsOver]], 1, Table1[[AwayTeam]:[AwayTeam]], $A61, Table1[[HomeTeam]:[HomeTeam]], AE$36) + SUMIFS(Table1[[HomeWon]:[HomeWon]], Table1[[GameIsOver]:[GameIsOver]], 1, Table1[[HomeTeam]:[HomeTeam]], $A61, Table1[[AwayTeam]:[AwayTeam]], AE$36))) + (SUMIFS(Table1[[HomeWon]:[HomeWon]], Table1[[GameIsOver]:[GameIsOver]], 1, Table1[[AwayTeam]:[AwayTeam]], $A61, Table1[[HomeTeam]:[HomeTeam]],  AE$36, Table1[[ActualResult]:[ActualResult]], "OT") + SUMIFS(Table1[[AwayWon]:[AwayWon]], Table1[[GameIsOver]:[GameIsOver]], 1, Table1[[HomeTeam]:[HomeTeam]], $A61, Table1[[AwayTeam]:[AwayTeam]], AE$36, Table1[[ActualResult]:[ActualResult]], "OT") + SUMIFS(Table1[[HomeWon]:[HomeWon]], Table1[[GameIsOver]:[GameIsOver]], 1, Table1[[AwayTeam]:[AwayTeam]], $A61, Table1[[HomeTeam]:[HomeTeam]], AE$36, Table1[[ActualResult]:[ActualResult]], "SO") + SUMIFS(Table1[[AwayWon]:[AwayWon]], Table1[[GameIsOver]:[GameIsOver]], 1, Table1[[HomeTeam]:[HomeTeam]], $A61, Table1[[AwayTeam]:[AwayTeam]], AE$36, Table1[[ActualResult]:[ActualResult]], "SO")))/ (2*((COUNTIFS(Table1[[GameIsOver]:[GameIsOver]],1,Table1[[AwayTeam]:[AwayTeam]],$A61, Table1[[HomeTeam]:[HomeTeam]], AE$36)))+( COUNTIFS(Table1[[GameIsOver]:[GameIsOver]],1,Table1[[AwayTeam]:[AwayTeam]],AE$36, Table1[[HomeTeam]:[HomeTeam]],$A61))), "")</f>
        <v/>
      </c>
      <c r="AF61" s="36" t="str">
        <f>IFERROR(((2 * (SUMIFS(Table1[[AwayWon]:[AwayWon]], Table1[[GameIsOver]:[GameIsOver]], 1, Table1[[AwayTeam]:[AwayTeam]], $A61, Table1[[HomeTeam]:[HomeTeam]], AF$36) + SUMIFS(Table1[[HomeWon]:[HomeWon]], Table1[[GameIsOver]:[GameIsOver]], 1, Table1[[HomeTeam]:[HomeTeam]], $A61, Table1[[AwayTeam]:[AwayTeam]], AF$36))) + (SUMIFS(Table1[[HomeWon]:[HomeWon]], Table1[[GameIsOver]:[GameIsOver]], 1, Table1[[AwayTeam]:[AwayTeam]], $A61, Table1[[HomeTeam]:[HomeTeam]],  AF$36, Table1[[ActualResult]:[ActualResult]], "OT") + SUMIFS(Table1[[AwayWon]:[AwayWon]], Table1[[GameIsOver]:[GameIsOver]], 1, Table1[[HomeTeam]:[HomeTeam]], $A61, Table1[[AwayTeam]:[AwayTeam]], AF$36, Table1[[ActualResult]:[ActualResult]], "OT") + SUMIFS(Table1[[HomeWon]:[HomeWon]], Table1[[GameIsOver]:[GameIsOver]], 1, Table1[[AwayTeam]:[AwayTeam]], $A61, Table1[[HomeTeam]:[HomeTeam]], AF$36, Table1[[ActualResult]:[ActualResult]], "SO") + SUMIFS(Table1[[AwayWon]:[AwayWon]], Table1[[GameIsOver]:[GameIsOver]], 1, Table1[[HomeTeam]:[HomeTeam]], $A61, Table1[[AwayTeam]:[AwayTeam]], AF$36, Table1[[ActualResult]:[ActualResult]], "SO")))/ (2*((COUNTIFS(Table1[[GameIsOver]:[GameIsOver]],1,Table1[[AwayTeam]:[AwayTeam]],$A61, Table1[[HomeTeam]:[HomeTeam]], AF$36)))+( COUNTIFS(Table1[[GameIsOver]:[GameIsOver]],1,Table1[[AwayTeam]:[AwayTeam]],AF$36, Table1[[HomeTeam]:[HomeTeam]],$A61))), "")</f>
        <v/>
      </c>
      <c r="AG61" s="36" t="str">
        <f>IFERROR(((2 * (SUMIFS(Table1[[AwayWon]:[AwayWon]], Table1[[GameIsOver]:[GameIsOver]], 1, Table1[[AwayTeam]:[AwayTeam]], $A61, Table1[[HomeTeam]:[HomeTeam]], AG$36) + SUMIFS(Table1[[HomeWon]:[HomeWon]], Table1[[GameIsOver]:[GameIsOver]], 1, Table1[[HomeTeam]:[HomeTeam]], $A61, Table1[[AwayTeam]:[AwayTeam]], AG$36))) + (SUMIFS(Table1[[HomeWon]:[HomeWon]], Table1[[GameIsOver]:[GameIsOver]], 1, Table1[[AwayTeam]:[AwayTeam]], $A61, Table1[[HomeTeam]:[HomeTeam]],  AG$36, Table1[[ActualResult]:[ActualResult]], "OT") + SUMIFS(Table1[[AwayWon]:[AwayWon]], Table1[[GameIsOver]:[GameIsOver]], 1, Table1[[HomeTeam]:[HomeTeam]], $A61, Table1[[AwayTeam]:[AwayTeam]], AG$36, Table1[[ActualResult]:[ActualResult]], "OT") + SUMIFS(Table1[[HomeWon]:[HomeWon]], Table1[[GameIsOver]:[GameIsOver]], 1, Table1[[AwayTeam]:[AwayTeam]], $A61, Table1[[HomeTeam]:[HomeTeam]], AG$36, Table1[[ActualResult]:[ActualResult]], "SO") + SUMIFS(Table1[[AwayWon]:[AwayWon]], Table1[[GameIsOver]:[GameIsOver]], 1, Table1[[HomeTeam]:[HomeTeam]], $A61, Table1[[AwayTeam]:[AwayTeam]], AG$36, Table1[[ActualResult]:[ActualResult]], "SO")))/ (2*((COUNTIFS(Table1[[GameIsOver]:[GameIsOver]],1,Table1[[AwayTeam]:[AwayTeam]],$A61, Table1[[HomeTeam]:[HomeTeam]], AG$36)))+( COUNTIFS(Table1[[GameIsOver]:[GameIsOver]],1,Table1[[AwayTeam]:[AwayTeam]],AG$36, Table1[[HomeTeam]:[HomeTeam]],$A61))), "")</f>
        <v/>
      </c>
      <c r="AH61" s="37">
        <f t="shared" si="0"/>
        <v>0</v>
      </c>
      <c r="AI61" s="37">
        <f t="shared" si="1"/>
        <v>0.5</v>
      </c>
      <c r="AJ61" s="38" t="e">
        <f t="shared" si="2"/>
        <v>#DIV/0!</v>
      </c>
      <c r="AK61" s="38">
        <f t="shared" si="3"/>
        <v>0</v>
      </c>
      <c r="AL61" s="38">
        <f t="shared" si="4"/>
        <v>0.5</v>
      </c>
      <c r="AM61" s="38" t="e">
        <f t="shared" si="5"/>
        <v>#DIV/0!</v>
      </c>
    </row>
    <row r="62" spans="1:39" x14ac:dyDescent="0.25">
      <c r="A62" s="17" t="s">
        <v>38</v>
      </c>
      <c r="B62" s="36" t="str">
        <f>IFERROR(((2 * (SUMIFS(Table1[[AwayWon]:[AwayWon]], Table1[[GameIsOver]:[GameIsOver]], 1, Table1[[AwayTeam]:[AwayTeam]], $A62, Table1[[HomeTeam]:[HomeTeam]], B$36) + SUMIFS(Table1[[HomeWon]:[HomeWon]], Table1[[GameIsOver]:[GameIsOver]], 1, Table1[[HomeTeam]:[HomeTeam]], $A62, Table1[[AwayTeam]:[AwayTeam]], B$36))) + (SUMIFS(Table1[[HomeWon]:[HomeWon]], Table1[[GameIsOver]:[GameIsOver]], 1, Table1[[AwayTeam]:[AwayTeam]], $A62, Table1[[HomeTeam]:[HomeTeam]],  B$36, Table1[[ActualResult]:[ActualResult]], "OT") + SUMIFS(Table1[[AwayWon]:[AwayWon]], Table1[[GameIsOver]:[GameIsOver]], 1, Table1[[HomeTeam]:[HomeTeam]], $A62, Table1[[AwayTeam]:[AwayTeam]], B$36, Table1[[ActualResult]:[ActualResult]], "OT") + SUMIFS(Table1[[HomeWon]:[HomeWon]], Table1[[GameIsOver]:[GameIsOver]], 1, Table1[[AwayTeam]:[AwayTeam]], $A62, Table1[[HomeTeam]:[HomeTeam]], B$36, Table1[[ActualResult]:[ActualResult]], "SO") + SUMIFS(Table1[[AwayWon]:[AwayWon]], Table1[[GameIsOver]:[GameIsOver]], 1, Table1[[HomeTeam]:[HomeTeam]], $A62, Table1[[AwayTeam]:[AwayTeam]], B$36, Table1[[ActualResult]:[ActualResult]], "SO")))/ (2*((COUNTIFS(Table1[[GameIsOver]:[GameIsOver]],1,Table1[[AwayTeam]:[AwayTeam]],$A62, Table1[[HomeTeam]:[HomeTeam]], B$36)))+( COUNTIFS(Table1[[GameIsOver]:[GameIsOver]],1,Table1[[AwayTeam]:[AwayTeam]],B$36, Table1[[HomeTeam]:[HomeTeam]],$A62))), "")</f>
        <v/>
      </c>
      <c r="C62" s="36" t="str">
        <f>IFERROR(((2 * (SUMIFS(Table1[[AwayWon]:[AwayWon]], Table1[[GameIsOver]:[GameIsOver]], 1, Table1[[AwayTeam]:[AwayTeam]], $A62, Table1[[HomeTeam]:[HomeTeam]], C$36) + SUMIFS(Table1[[HomeWon]:[HomeWon]], Table1[[GameIsOver]:[GameIsOver]], 1, Table1[[HomeTeam]:[HomeTeam]], $A62, Table1[[AwayTeam]:[AwayTeam]], C$36))) + (SUMIFS(Table1[[HomeWon]:[HomeWon]], Table1[[GameIsOver]:[GameIsOver]], 1, Table1[[AwayTeam]:[AwayTeam]], $A62, Table1[[HomeTeam]:[HomeTeam]],  C$36, Table1[[ActualResult]:[ActualResult]], "OT") + SUMIFS(Table1[[AwayWon]:[AwayWon]], Table1[[GameIsOver]:[GameIsOver]], 1, Table1[[HomeTeam]:[HomeTeam]], $A62, Table1[[AwayTeam]:[AwayTeam]], C$36, Table1[[ActualResult]:[ActualResult]], "OT") + SUMIFS(Table1[[HomeWon]:[HomeWon]], Table1[[GameIsOver]:[GameIsOver]], 1, Table1[[AwayTeam]:[AwayTeam]], $A62, Table1[[HomeTeam]:[HomeTeam]], C$36, Table1[[ActualResult]:[ActualResult]], "SO") + SUMIFS(Table1[[AwayWon]:[AwayWon]], Table1[[GameIsOver]:[GameIsOver]], 1, Table1[[HomeTeam]:[HomeTeam]], $A62, Table1[[AwayTeam]:[AwayTeam]], C$36, Table1[[ActualResult]:[ActualResult]], "SO")))/ (2*((COUNTIFS(Table1[[GameIsOver]:[GameIsOver]],1,Table1[[AwayTeam]:[AwayTeam]],$A62, Table1[[HomeTeam]:[HomeTeam]], C$36)))+( COUNTIFS(Table1[[GameIsOver]:[GameIsOver]],1,Table1[[AwayTeam]:[AwayTeam]],C$36, Table1[[HomeTeam]:[HomeTeam]],$A62))), "")</f>
        <v/>
      </c>
      <c r="D62" s="36" t="str">
        <f>IFERROR(((2 * (SUMIFS(Table1[[AwayWon]:[AwayWon]], Table1[[GameIsOver]:[GameIsOver]], 1, Table1[[AwayTeam]:[AwayTeam]], $A62, Table1[[HomeTeam]:[HomeTeam]], D$36) + SUMIFS(Table1[[HomeWon]:[HomeWon]], Table1[[GameIsOver]:[GameIsOver]], 1, Table1[[HomeTeam]:[HomeTeam]], $A62, Table1[[AwayTeam]:[AwayTeam]], D$36))) + (SUMIFS(Table1[[HomeWon]:[HomeWon]], Table1[[GameIsOver]:[GameIsOver]], 1, Table1[[AwayTeam]:[AwayTeam]], $A62, Table1[[HomeTeam]:[HomeTeam]],  D$36, Table1[[ActualResult]:[ActualResult]], "OT") + SUMIFS(Table1[[AwayWon]:[AwayWon]], Table1[[GameIsOver]:[GameIsOver]], 1, Table1[[HomeTeam]:[HomeTeam]], $A62, Table1[[AwayTeam]:[AwayTeam]], D$36, Table1[[ActualResult]:[ActualResult]], "OT") + SUMIFS(Table1[[HomeWon]:[HomeWon]], Table1[[GameIsOver]:[GameIsOver]], 1, Table1[[AwayTeam]:[AwayTeam]], $A62, Table1[[HomeTeam]:[HomeTeam]], D$36, Table1[[ActualResult]:[ActualResult]], "SO") + SUMIFS(Table1[[AwayWon]:[AwayWon]], Table1[[GameIsOver]:[GameIsOver]], 1, Table1[[HomeTeam]:[HomeTeam]], $A62, Table1[[AwayTeam]:[AwayTeam]], D$36, Table1[[ActualResult]:[ActualResult]], "SO")))/ (2*((COUNTIFS(Table1[[GameIsOver]:[GameIsOver]],1,Table1[[AwayTeam]:[AwayTeam]],$A62, Table1[[HomeTeam]:[HomeTeam]], D$36)))+( COUNTIFS(Table1[[GameIsOver]:[GameIsOver]],1,Table1[[AwayTeam]:[AwayTeam]],D$36, Table1[[HomeTeam]:[HomeTeam]],$A62))), "")</f>
        <v/>
      </c>
      <c r="E62" s="36" t="str">
        <f>IFERROR(((2 * (SUMIFS(Table1[[AwayWon]:[AwayWon]], Table1[[GameIsOver]:[GameIsOver]], 1, Table1[[AwayTeam]:[AwayTeam]], $A62, Table1[[HomeTeam]:[HomeTeam]], E$36) + SUMIFS(Table1[[HomeWon]:[HomeWon]], Table1[[GameIsOver]:[GameIsOver]], 1, Table1[[HomeTeam]:[HomeTeam]], $A62, Table1[[AwayTeam]:[AwayTeam]], E$36))) + (SUMIFS(Table1[[HomeWon]:[HomeWon]], Table1[[GameIsOver]:[GameIsOver]], 1, Table1[[AwayTeam]:[AwayTeam]], $A62, Table1[[HomeTeam]:[HomeTeam]],  E$36, Table1[[ActualResult]:[ActualResult]], "OT") + SUMIFS(Table1[[AwayWon]:[AwayWon]], Table1[[GameIsOver]:[GameIsOver]], 1, Table1[[HomeTeam]:[HomeTeam]], $A62, Table1[[AwayTeam]:[AwayTeam]], E$36, Table1[[ActualResult]:[ActualResult]], "OT") + SUMIFS(Table1[[HomeWon]:[HomeWon]], Table1[[GameIsOver]:[GameIsOver]], 1, Table1[[AwayTeam]:[AwayTeam]], $A62, Table1[[HomeTeam]:[HomeTeam]], E$36, Table1[[ActualResult]:[ActualResult]], "SO") + SUMIFS(Table1[[AwayWon]:[AwayWon]], Table1[[GameIsOver]:[GameIsOver]], 1, Table1[[HomeTeam]:[HomeTeam]], $A62, Table1[[AwayTeam]:[AwayTeam]], E$36, Table1[[ActualResult]:[ActualResult]], "SO")))/ (2*((COUNTIFS(Table1[[GameIsOver]:[GameIsOver]],1,Table1[[AwayTeam]:[AwayTeam]],$A62, Table1[[HomeTeam]:[HomeTeam]], E$36)))+( COUNTIFS(Table1[[GameIsOver]:[GameIsOver]],1,Table1[[AwayTeam]:[AwayTeam]],E$36, Table1[[HomeTeam]:[HomeTeam]],$A62))), "")</f>
        <v/>
      </c>
      <c r="F62" s="36" t="str">
        <f>IFERROR(((2 * (SUMIFS(Table1[[AwayWon]:[AwayWon]], Table1[[GameIsOver]:[GameIsOver]], 1, Table1[[AwayTeam]:[AwayTeam]], $A62, Table1[[HomeTeam]:[HomeTeam]], F$36) + SUMIFS(Table1[[HomeWon]:[HomeWon]], Table1[[GameIsOver]:[GameIsOver]], 1, Table1[[HomeTeam]:[HomeTeam]], $A62, Table1[[AwayTeam]:[AwayTeam]], F$36))) + (SUMIFS(Table1[[HomeWon]:[HomeWon]], Table1[[GameIsOver]:[GameIsOver]], 1, Table1[[AwayTeam]:[AwayTeam]], $A62, Table1[[HomeTeam]:[HomeTeam]],  F$36, Table1[[ActualResult]:[ActualResult]], "OT") + SUMIFS(Table1[[AwayWon]:[AwayWon]], Table1[[GameIsOver]:[GameIsOver]], 1, Table1[[HomeTeam]:[HomeTeam]], $A62, Table1[[AwayTeam]:[AwayTeam]], F$36, Table1[[ActualResult]:[ActualResult]], "OT") + SUMIFS(Table1[[HomeWon]:[HomeWon]], Table1[[GameIsOver]:[GameIsOver]], 1, Table1[[AwayTeam]:[AwayTeam]], $A62, Table1[[HomeTeam]:[HomeTeam]], F$36, Table1[[ActualResult]:[ActualResult]], "SO") + SUMIFS(Table1[[AwayWon]:[AwayWon]], Table1[[GameIsOver]:[GameIsOver]], 1, Table1[[HomeTeam]:[HomeTeam]], $A62, Table1[[AwayTeam]:[AwayTeam]], F$36, Table1[[ActualResult]:[ActualResult]], "SO")))/ (2*((COUNTIFS(Table1[[GameIsOver]:[GameIsOver]],1,Table1[[AwayTeam]:[AwayTeam]],$A62, Table1[[HomeTeam]:[HomeTeam]], F$36)))+( COUNTIFS(Table1[[GameIsOver]:[GameIsOver]],1,Table1[[AwayTeam]:[AwayTeam]],F$36, Table1[[HomeTeam]:[HomeTeam]],$A62))), "")</f>
        <v/>
      </c>
      <c r="G62" s="36" t="str">
        <f>IFERROR(((2 * (SUMIFS(Table1[[AwayWon]:[AwayWon]], Table1[[GameIsOver]:[GameIsOver]], 1, Table1[[AwayTeam]:[AwayTeam]], $A62, Table1[[HomeTeam]:[HomeTeam]], G$36) + SUMIFS(Table1[[HomeWon]:[HomeWon]], Table1[[GameIsOver]:[GameIsOver]], 1, Table1[[HomeTeam]:[HomeTeam]], $A62, Table1[[AwayTeam]:[AwayTeam]], G$36))) + (SUMIFS(Table1[[HomeWon]:[HomeWon]], Table1[[GameIsOver]:[GameIsOver]], 1, Table1[[AwayTeam]:[AwayTeam]], $A62, Table1[[HomeTeam]:[HomeTeam]],  G$36, Table1[[ActualResult]:[ActualResult]], "OT") + SUMIFS(Table1[[AwayWon]:[AwayWon]], Table1[[GameIsOver]:[GameIsOver]], 1, Table1[[HomeTeam]:[HomeTeam]], $A62, Table1[[AwayTeam]:[AwayTeam]], G$36, Table1[[ActualResult]:[ActualResult]], "OT") + SUMIFS(Table1[[HomeWon]:[HomeWon]], Table1[[GameIsOver]:[GameIsOver]], 1, Table1[[AwayTeam]:[AwayTeam]], $A62, Table1[[HomeTeam]:[HomeTeam]], G$36, Table1[[ActualResult]:[ActualResult]], "SO") + SUMIFS(Table1[[AwayWon]:[AwayWon]], Table1[[GameIsOver]:[GameIsOver]], 1, Table1[[HomeTeam]:[HomeTeam]], $A62, Table1[[AwayTeam]:[AwayTeam]], G$36, Table1[[ActualResult]:[ActualResult]], "SO")))/ (2*((COUNTIFS(Table1[[GameIsOver]:[GameIsOver]],1,Table1[[AwayTeam]:[AwayTeam]],$A62, Table1[[HomeTeam]:[HomeTeam]], G$36)))+( COUNTIFS(Table1[[GameIsOver]:[GameIsOver]],1,Table1[[AwayTeam]:[AwayTeam]],G$36, Table1[[HomeTeam]:[HomeTeam]],$A62))), "")</f>
        <v/>
      </c>
      <c r="H62" s="36" t="str">
        <f>IFERROR(((2 * (SUMIFS(Table1[[AwayWon]:[AwayWon]], Table1[[GameIsOver]:[GameIsOver]], 1, Table1[[AwayTeam]:[AwayTeam]], $A62, Table1[[HomeTeam]:[HomeTeam]], H$36) + SUMIFS(Table1[[HomeWon]:[HomeWon]], Table1[[GameIsOver]:[GameIsOver]], 1, Table1[[HomeTeam]:[HomeTeam]], $A62, Table1[[AwayTeam]:[AwayTeam]], H$36))) + (SUMIFS(Table1[[HomeWon]:[HomeWon]], Table1[[GameIsOver]:[GameIsOver]], 1, Table1[[AwayTeam]:[AwayTeam]], $A62, Table1[[HomeTeam]:[HomeTeam]],  H$36, Table1[[ActualResult]:[ActualResult]], "OT") + SUMIFS(Table1[[AwayWon]:[AwayWon]], Table1[[GameIsOver]:[GameIsOver]], 1, Table1[[HomeTeam]:[HomeTeam]], $A62, Table1[[AwayTeam]:[AwayTeam]], H$36, Table1[[ActualResult]:[ActualResult]], "OT") + SUMIFS(Table1[[HomeWon]:[HomeWon]], Table1[[GameIsOver]:[GameIsOver]], 1, Table1[[AwayTeam]:[AwayTeam]], $A62, Table1[[HomeTeam]:[HomeTeam]], H$36, Table1[[ActualResult]:[ActualResult]], "SO") + SUMIFS(Table1[[AwayWon]:[AwayWon]], Table1[[GameIsOver]:[GameIsOver]], 1, Table1[[HomeTeam]:[HomeTeam]], $A62, Table1[[AwayTeam]:[AwayTeam]], H$36, Table1[[ActualResult]:[ActualResult]], "SO")))/ (2*((COUNTIFS(Table1[[GameIsOver]:[GameIsOver]],1,Table1[[AwayTeam]:[AwayTeam]],$A62, Table1[[HomeTeam]:[HomeTeam]], H$36)))+( COUNTIFS(Table1[[GameIsOver]:[GameIsOver]],1,Table1[[AwayTeam]:[AwayTeam]],H$36, Table1[[HomeTeam]:[HomeTeam]],$A62))), "")</f>
        <v/>
      </c>
      <c r="I62" s="38" t="str">
        <f>IFERROR(((2 * (SUMIFS(Table1[[AwayWon]:[AwayWon]], Table1[[GameIsOver]:[GameIsOver]], 1, Table1[[AwayTeam]:[AwayTeam]], $A62, Table1[[HomeTeam]:[HomeTeam]], I$36) + SUMIFS(Table1[[HomeWon]:[HomeWon]], Table1[[GameIsOver]:[GameIsOver]], 1, Table1[[HomeTeam]:[HomeTeam]], $A62, Table1[[AwayTeam]:[AwayTeam]], I$36))) + (SUMIFS(Table1[[HomeWon]:[HomeWon]], Table1[[GameIsOver]:[GameIsOver]], 1, Table1[[AwayTeam]:[AwayTeam]], $A62, Table1[[HomeTeam]:[HomeTeam]],  I$36, Table1[[ActualResult]:[ActualResult]], "OT") + SUMIFS(Table1[[AwayWon]:[AwayWon]], Table1[[GameIsOver]:[GameIsOver]], 1, Table1[[HomeTeam]:[HomeTeam]], $A62, Table1[[AwayTeam]:[AwayTeam]], I$36, Table1[[ActualResult]:[ActualResult]], "OT") + SUMIFS(Table1[[HomeWon]:[HomeWon]], Table1[[GameIsOver]:[GameIsOver]], 1, Table1[[AwayTeam]:[AwayTeam]], $A62, Table1[[HomeTeam]:[HomeTeam]], I$36, Table1[[ActualResult]:[ActualResult]], "SO") + SUMIFS(Table1[[AwayWon]:[AwayWon]], Table1[[GameIsOver]:[GameIsOver]], 1, Table1[[HomeTeam]:[HomeTeam]], $A62, Table1[[AwayTeam]:[AwayTeam]], I$36, Table1[[ActualResult]:[ActualResult]], "SO")))/ (2*((COUNTIFS(Table1[[GameIsOver]:[GameIsOver]],1,Table1[[AwayTeam]:[AwayTeam]],$A62, Table1[[HomeTeam]:[HomeTeam]], I$36)))+( COUNTIFS(Table1[[GameIsOver]:[GameIsOver]],1,Table1[[AwayTeam]:[AwayTeam]],I$36, Table1[[HomeTeam]:[HomeTeam]],$A62))), "")</f>
        <v/>
      </c>
      <c r="J62" s="36" t="str">
        <f>IFERROR(((2 * (SUMIFS(Table1[[AwayWon]:[AwayWon]], Table1[[GameIsOver]:[GameIsOver]], 1, Table1[[AwayTeam]:[AwayTeam]], $A62, Table1[[HomeTeam]:[HomeTeam]], J$36) + SUMIFS(Table1[[HomeWon]:[HomeWon]], Table1[[GameIsOver]:[GameIsOver]], 1, Table1[[HomeTeam]:[HomeTeam]], $A62, Table1[[AwayTeam]:[AwayTeam]], J$36))) + (SUMIFS(Table1[[HomeWon]:[HomeWon]], Table1[[GameIsOver]:[GameIsOver]], 1, Table1[[AwayTeam]:[AwayTeam]], $A62, Table1[[HomeTeam]:[HomeTeam]],  J$36, Table1[[ActualResult]:[ActualResult]], "OT") + SUMIFS(Table1[[AwayWon]:[AwayWon]], Table1[[GameIsOver]:[GameIsOver]], 1, Table1[[HomeTeam]:[HomeTeam]], $A62, Table1[[AwayTeam]:[AwayTeam]], J$36, Table1[[ActualResult]:[ActualResult]], "OT") + SUMIFS(Table1[[HomeWon]:[HomeWon]], Table1[[GameIsOver]:[GameIsOver]], 1, Table1[[AwayTeam]:[AwayTeam]], $A62, Table1[[HomeTeam]:[HomeTeam]], J$36, Table1[[ActualResult]:[ActualResult]], "SO") + SUMIFS(Table1[[AwayWon]:[AwayWon]], Table1[[GameIsOver]:[GameIsOver]], 1, Table1[[HomeTeam]:[HomeTeam]], $A62, Table1[[AwayTeam]:[AwayTeam]], J$36, Table1[[ActualResult]:[ActualResult]], "SO")))/ (2*((COUNTIFS(Table1[[GameIsOver]:[GameIsOver]],1,Table1[[AwayTeam]:[AwayTeam]],$A62, Table1[[HomeTeam]:[HomeTeam]], J$36)))+( COUNTIFS(Table1[[GameIsOver]:[GameIsOver]],1,Table1[[AwayTeam]:[AwayTeam]],J$36, Table1[[HomeTeam]:[HomeTeam]],$A62))), "")</f>
        <v/>
      </c>
      <c r="K62" s="36" t="str">
        <f>IFERROR(((2 * (SUMIFS(Table1[[AwayWon]:[AwayWon]], Table1[[GameIsOver]:[GameIsOver]], 1, Table1[[AwayTeam]:[AwayTeam]], $A62, Table1[[HomeTeam]:[HomeTeam]], K$36) + SUMIFS(Table1[[HomeWon]:[HomeWon]], Table1[[GameIsOver]:[GameIsOver]], 1, Table1[[HomeTeam]:[HomeTeam]], $A62, Table1[[AwayTeam]:[AwayTeam]], K$36))) + (SUMIFS(Table1[[HomeWon]:[HomeWon]], Table1[[GameIsOver]:[GameIsOver]], 1, Table1[[AwayTeam]:[AwayTeam]], $A62, Table1[[HomeTeam]:[HomeTeam]],  K$36, Table1[[ActualResult]:[ActualResult]], "OT") + SUMIFS(Table1[[AwayWon]:[AwayWon]], Table1[[GameIsOver]:[GameIsOver]], 1, Table1[[HomeTeam]:[HomeTeam]], $A62, Table1[[AwayTeam]:[AwayTeam]], K$36, Table1[[ActualResult]:[ActualResult]], "OT") + SUMIFS(Table1[[HomeWon]:[HomeWon]], Table1[[GameIsOver]:[GameIsOver]], 1, Table1[[AwayTeam]:[AwayTeam]], $A62, Table1[[HomeTeam]:[HomeTeam]], K$36, Table1[[ActualResult]:[ActualResult]], "SO") + SUMIFS(Table1[[AwayWon]:[AwayWon]], Table1[[GameIsOver]:[GameIsOver]], 1, Table1[[HomeTeam]:[HomeTeam]], $A62, Table1[[AwayTeam]:[AwayTeam]], K$36, Table1[[ActualResult]:[ActualResult]], "SO")))/ (2*((COUNTIFS(Table1[[GameIsOver]:[GameIsOver]],1,Table1[[AwayTeam]:[AwayTeam]],$A62, Table1[[HomeTeam]:[HomeTeam]], K$36)))+( COUNTIFS(Table1[[GameIsOver]:[GameIsOver]],1,Table1[[AwayTeam]:[AwayTeam]],K$36, Table1[[HomeTeam]:[HomeTeam]],$A62))), "")</f>
        <v/>
      </c>
      <c r="L62" s="36" t="str">
        <f>IFERROR(((2 * (SUMIFS(Table1[[AwayWon]:[AwayWon]], Table1[[GameIsOver]:[GameIsOver]], 1, Table1[[AwayTeam]:[AwayTeam]], $A62, Table1[[HomeTeam]:[HomeTeam]], L$36) + SUMIFS(Table1[[HomeWon]:[HomeWon]], Table1[[GameIsOver]:[GameIsOver]], 1, Table1[[HomeTeam]:[HomeTeam]], $A62, Table1[[AwayTeam]:[AwayTeam]], L$36))) + (SUMIFS(Table1[[HomeWon]:[HomeWon]], Table1[[GameIsOver]:[GameIsOver]], 1, Table1[[AwayTeam]:[AwayTeam]], $A62, Table1[[HomeTeam]:[HomeTeam]],  L$36, Table1[[ActualResult]:[ActualResult]], "OT") + SUMIFS(Table1[[AwayWon]:[AwayWon]], Table1[[GameIsOver]:[GameIsOver]], 1, Table1[[HomeTeam]:[HomeTeam]], $A62, Table1[[AwayTeam]:[AwayTeam]], L$36, Table1[[ActualResult]:[ActualResult]], "OT") + SUMIFS(Table1[[HomeWon]:[HomeWon]], Table1[[GameIsOver]:[GameIsOver]], 1, Table1[[AwayTeam]:[AwayTeam]], $A62, Table1[[HomeTeam]:[HomeTeam]], L$36, Table1[[ActualResult]:[ActualResult]], "SO") + SUMIFS(Table1[[AwayWon]:[AwayWon]], Table1[[GameIsOver]:[GameIsOver]], 1, Table1[[HomeTeam]:[HomeTeam]], $A62, Table1[[AwayTeam]:[AwayTeam]], L$36, Table1[[ActualResult]:[ActualResult]], "SO")))/ (2*((COUNTIFS(Table1[[GameIsOver]:[GameIsOver]],1,Table1[[AwayTeam]:[AwayTeam]],$A62, Table1[[HomeTeam]:[HomeTeam]], L$36)))+( COUNTIFS(Table1[[GameIsOver]:[GameIsOver]],1,Table1[[AwayTeam]:[AwayTeam]],L$36, Table1[[HomeTeam]:[HomeTeam]],$A62))), "")</f>
        <v/>
      </c>
      <c r="M62" s="36" t="str">
        <f>IFERROR(((2 * (SUMIFS(Table1[[AwayWon]:[AwayWon]], Table1[[GameIsOver]:[GameIsOver]], 1, Table1[[AwayTeam]:[AwayTeam]], $A62, Table1[[HomeTeam]:[HomeTeam]], M$36) + SUMIFS(Table1[[HomeWon]:[HomeWon]], Table1[[GameIsOver]:[GameIsOver]], 1, Table1[[HomeTeam]:[HomeTeam]], $A62, Table1[[AwayTeam]:[AwayTeam]], M$36))) + (SUMIFS(Table1[[HomeWon]:[HomeWon]], Table1[[GameIsOver]:[GameIsOver]], 1, Table1[[AwayTeam]:[AwayTeam]], $A62, Table1[[HomeTeam]:[HomeTeam]],  M$36, Table1[[ActualResult]:[ActualResult]], "OT") + SUMIFS(Table1[[AwayWon]:[AwayWon]], Table1[[GameIsOver]:[GameIsOver]], 1, Table1[[HomeTeam]:[HomeTeam]], $A62, Table1[[AwayTeam]:[AwayTeam]], M$36, Table1[[ActualResult]:[ActualResult]], "OT") + SUMIFS(Table1[[HomeWon]:[HomeWon]], Table1[[GameIsOver]:[GameIsOver]], 1, Table1[[AwayTeam]:[AwayTeam]], $A62, Table1[[HomeTeam]:[HomeTeam]], M$36, Table1[[ActualResult]:[ActualResult]], "SO") + SUMIFS(Table1[[AwayWon]:[AwayWon]], Table1[[GameIsOver]:[GameIsOver]], 1, Table1[[HomeTeam]:[HomeTeam]], $A62, Table1[[AwayTeam]:[AwayTeam]], M$36, Table1[[ActualResult]:[ActualResult]], "SO")))/ (2*((COUNTIFS(Table1[[GameIsOver]:[GameIsOver]],1,Table1[[AwayTeam]:[AwayTeam]],$A62, Table1[[HomeTeam]:[HomeTeam]], M$36)))+( COUNTIFS(Table1[[GameIsOver]:[GameIsOver]],1,Table1[[AwayTeam]:[AwayTeam]],M$36, Table1[[HomeTeam]:[HomeTeam]],$A62))), "")</f>
        <v/>
      </c>
      <c r="N62" s="36" t="str">
        <f>IFERROR(((2 * (SUMIFS(Table1[[AwayWon]:[AwayWon]], Table1[[GameIsOver]:[GameIsOver]], 1, Table1[[AwayTeam]:[AwayTeam]], $A62, Table1[[HomeTeam]:[HomeTeam]], N$36) + SUMIFS(Table1[[HomeWon]:[HomeWon]], Table1[[GameIsOver]:[GameIsOver]], 1, Table1[[HomeTeam]:[HomeTeam]], $A62, Table1[[AwayTeam]:[AwayTeam]], N$36))) + (SUMIFS(Table1[[HomeWon]:[HomeWon]], Table1[[GameIsOver]:[GameIsOver]], 1, Table1[[AwayTeam]:[AwayTeam]], $A62, Table1[[HomeTeam]:[HomeTeam]],  N$36, Table1[[ActualResult]:[ActualResult]], "OT") + SUMIFS(Table1[[AwayWon]:[AwayWon]], Table1[[GameIsOver]:[GameIsOver]], 1, Table1[[HomeTeam]:[HomeTeam]], $A62, Table1[[AwayTeam]:[AwayTeam]], N$36, Table1[[ActualResult]:[ActualResult]], "OT") + SUMIFS(Table1[[HomeWon]:[HomeWon]], Table1[[GameIsOver]:[GameIsOver]], 1, Table1[[AwayTeam]:[AwayTeam]], $A62, Table1[[HomeTeam]:[HomeTeam]], N$36, Table1[[ActualResult]:[ActualResult]], "SO") + SUMIFS(Table1[[AwayWon]:[AwayWon]], Table1[[GameIsOver]:[GameIsOver]], 1, Table1[[HomeTeam]:[HomeTeam]], $A62, Table1[[AwayTeam]:[AwayTeam]], N$36, Table1[[ActualResult]:[ActualResult]], "SO")))/ (2*((COUNTIFS(Table1[[GameIsOver]:[GameIsOver]],1,Table1[[AwayTeam]:[AwayTeam]],$A62, Table1[[HomeTeam]:[HomeTeam]], N$36)))+( COUNTIFS(Table1[[GameIsOver]:[GameIsOver]],1,Table1[[AwayTeam]:[AwayTeam]],N$36, Table1[[HomeTeam]:[HomeTeam]],$A62))), "")</f>
        <v/>
      </c>
      <c r="O62" s="36" t="str">
        <f>IFERROR(((2 * (SUMIFS(Table1[[AwayWon]:[AwayWon]], Table1[[GameIsOver]:[GameIsOver]], 1, Table1[[AwayTeam]:[AwayTeam]], $A62, Table1[[HomeTeam]:[HomeTeam]], O$36) + SUMIFS(Table1[[HomeWon]:[HomeWon]], Table1[[GameIsOver]:[GameIsOver]], 1, Table1[[HomeTeam]:[HomeTeam]], $A62, Table1[[AwayTeam]:[AwayTeam]], O$36))) + (SUMIFS(Table1[[HomeWon]:[HomeWon]], Table1[[GameIsOver]:[GameIsOver]], 1, Table1[[AwayTeam]:[AwayTeam]], $A62, Table1[[HomeTeam]:[HomeTeam]],  O$36, Table1[[ActualResult]:[ActualResult]], "OT") + SUMIFS(Table1[[AwayWon]:[AwayWon]], Table1[[GameIsOver]:[GameIsOver]], 1, Table1[[HomeTeam]:[HomeTeam]], $A62, Table1[[AwayTeam]:[AwayTeam]], O$36, Table1[[ActualResult]:[ActualResult]], "OT") + SUMIFS(Table1[[HomeWon]:[HomeWon]], Table1[[GameIsOver]:[GameIsOver]], 1, Table1[[AwayTeam]:[AwayTeam]], $A62, Table1[[HomeTeam]:[HomeTeam]], O$36, Table1[[ActualResult]:[ActualResult]], "SO") + SUMIFS(Table1[[AwayWon]:[AwayWon]], Table1[[GameIsOver]:[GameIsOver]], 1, Table1[[HomeTeam]:[HomeTeam]], $A62, Table1[[AwayTeam]:[AwayTeam]], O$36, Table1[[ActualResult]:[ActualResult]], "SO")))/ (2*((COUNTIFS(Table1[[GameIsOver]:[GameIsOver]],1,Table1[[AwayTeam]:[AwayTeam]],$A62, Table1[[HomeTeam]:[HomeTeam]], O$36)))+( COUNTIFS(Table1[[GameIsOver]:[GameIsOver]],1,Table1[[AwayTeam]:[AwayTeam]],O$36, Table1[[HomeTeam]:[HomeTeam]],$A62))), "")</f>
        <v/>
      </c>
      <c r="P62" s="36" t="str">
        <f>IFERROR(((2 * (SUMIFS(Table1[[AwayWon]:[AwayWon]], Table1[[GameIsOver]:[GameIsOver]], 1, Table1[[AwayTeam]:[AwayTeam]], $A62, Table1[[HomeTeam]:[HomeTeam]], P$36) + SUMIFS(Table1[[HomeWon]:[HomeWon]], Table1[[GameIsOver]:[GameIsOver]], 1, Table1[[HomeTeam]:[HomeTeam]], $A62, Table1[[AwayTeam]:[AwayTeam]], P$36))) + (SUMIFS(Table1[[HomeWon]:[HomeWon]], Table1[[GameIsOver]:[GameIsOver]], 1, Table1[[AwayTeam]:[AwayTeam]], $A62, Table1[[HomeTeam]:[HomeTeam]],  P$36, Table1[[ActualResult]:[ActualResult]], "OT") + SUMIFS(Table1[[AwayWon]:[AwayWon]], Table1[[GameIsOver]:[GameIsOver]], 1, Table1[[HomeTeam]:[HomeTeam]], $A62, Table1[[AwayTeam]:[AwayTeam]], P$36, Table1[[ActualResult]:[ActualResult]], "OT") + SUMIFS(Table1[[HomeWon]:[HomeWon]], Table1[[GameIsOver]:[GameIsOver]], 1, Table1[[AwayTeam]:[AwayTeam]], $A62, Table1[[HomeTeam]:[HomeTeam]], P$36, Table1[[ActualResult]:[ActualResult]], "SO") + SUMIFS(Table1[[AwayWon]:[AwayWon]], Table1[[GameIsOver]:[GameIsOver]], 1, Table1[[HomeTeam]:[HomeTeam]], $A62, Table1[[AwayTeam]:[AwayTeam]], P$36, Table1[[ActualResult]:[ActualResult]], "SO")))/ (2*((COUNTIFS(Table1[[GameIsOver]:[GameIsOver]],1,Table1[[AwayTeam]:[AwayTeam]],$A62, Table1[[HomeTeam]:[HomeTeam]], P$36)))+( COUNTIFS(Table1[[GameIsOver]:[GameIsOver]],1,Table1[[AwayTeam]:[AwayTeam]],P$36, Table1[[HomeTeam]:[HomeTeam]],$A62))), "")</f>
        <v/>
      </c>
      <c r="Q62" s="38" t="str">
        <f>IFERROR(((2 * (SUMIFS(Table1[[AwayWon]:[AwayWon]], Table1[[GameIsOver]:[GameIsOver]], 1, Table1[[AwayTeam]:[AwayTeam]], $A62, Table1[[HomeTeam]:[HomeTeam]], Q$36) + SUMIFS(Table1[[HomeWon]:[HomeWon]], Table1[[GameIsOver]:[GameIsOver]], 1, Table1[[HomeTeam]:[HomeTeam]], $A62, Table1[[AwayTeam]:[AwayTeam]], Q$36))) + (SUMIFS(Table1[[HomeWon]:[HomeWon]], Table1[[GameIsOver]:[GameIsOver]], 1, Table1[[AwayTeam]:[AwayTeam]], $A62, Table1[[HomeTeam]:[HomeTeam]],  Q$36, Table1[[ActualResult]:[ActualResult]], "OT") + SUMIFS(Table1[[AwayWon]:[AwayWon]], Table1[[GameIsOver]:[GameIsOver]], 1, Table1[[HomeTeam]:[HomeTeam]], $A62, Table1[[AwayTeam]:[AwayTeam]], Q$36, Table1[[ActualResult]:[ActualResult]], "OT") + SUMIFS(Table1[[HomeWon]:[HomeWon]], Table1[[GameIsOver]:[GameIsOver]], 1, Table1[[AwayTeam]:[AwayTeam]], $A62, Table1[[HomeTeam]:[HomeTeam]], Q$36, Table1[[ActualResult]:[ActualResult]], "SO") + SUMIFS(Table1[[AwayWon]:[AwayWon]], Table1[[GameIsOver]:[GameIsOver]], 1, Table1[[HomeTeam]:[HomeTeam]], $A62, Table1[[AwayTeam]:[AwayTeam]], Q$36, Table1[[ActualResult]:[ActualResult]], "SO")))/ (2*((COUNTIFS(Table1[[GameIsOver]:[GameIsOver]],1,Table1[[AwayTeam]:[AwayTeam]],$A62, Table1[[HomeTeam]:[HomeTeam]], Q$36)))+( COUNTIFS(Table1[[GameIsOver]:[GameIsOver]],1,Table1[[AwayTeam]:[AwayTeam]],Q$36, Table1[[HomeTeam]:[HomeTeam]],$A62))), "")</f>
        <v/>
      </c>
      <c r="R62" s="36" t="str">
        <f>IFERROR(((2 * (SUMIFS(Table1[[AwayWon]:[AwayWon]], Table1[[GameIsOver]:[GameIsOver]], 1, Table1[[AwayTeam]:[AwayTeam]], $A62, Table1[[HomeTeam]:[HomeTeam]], R$36) + SUMIFS(Table1[[HomeWon]:[HomeWon]], Table1[[GameIsOver]:[GameIsOver]], 1, Table1[[HomeTeam]:[HomeTeam]], $A62, Table1[[AwayTeam]:[AwayTeam]], R$36))) + (SUMIFS(Table1[[HomeWon]:[HomeWon]], Table1[[GameIsOver]:[GameIsOver]], 1, Table1[[AwayTeam]:[AwayTeam]], $A62, Table1[[HomeTeam]:[HomeTeam]],  R$36, Table1[[ActualResult]:[ActualResult]], "OT") + SUMIFS(Table1[[AwayWon]:[AwayWon]], Table1[[GameIsOver]:[GameIsOver]], 1, Table1[[HomeTeam]:[HomeTeam]], $A62, Table1[[AwayTeam]:[AwayTeam]], R$36, Table1[[ActualResult]:[ActualResult]], "OT") + SUMIFS(Table1[[HomeWon]:[HomeWon]], Table1[[GameIsOver]:[GameIsOver]], 1, Table1[[AwayTeam]:[AwayTeam]], $A62, Table1[[HomeTeam]:[HomeTeam]], R$36, Table1[[ActualResult]:[ActualResult]], "SO") + SUMIFS(Table1[[AwayWon]:[AwayWon]], Table1[[GameIsOver]:[GameIsOver]], 1, Table1[[HomeTeam]:[HomeTeam]], $A62, Table1[[AwayTeam]:[AwayTeam]], R$36, Table1[[ActualResult]:[ActualResult]], "SO")))/ (2*((COUNTIFS(Table1[[GameIsOver]:[GameIsOver]],1,Table1[[AwayTeam]:[AwayTeam]],$A62, Table1[[HomeTeam]:[HomeTeam]], R$36)))+( COUNTIFS(Table1[[GameIsOver]:[GameIsOver]],1,Table1[[AwayTeam]:[AwayTeam]],R$36, Table1[[HomeTeam]:[HomeTeam]],$A62))), "")</f>
        <v/>
      </c>
      <c r="S62" s="36">
        <f>IFERROR(((2 * (SUMIFS(Table1[[AwayWon]:[AwayWon]], Table1[[GameIsOver]:[GameIsOver]], 1, Table1[[AwayTeam]:[AwayTeam]], $A62, Table1[[HomeTeam]:[HomeTeam]], S$36) + SUMIFS(Table1[[HomeWon]:[HomeWon]], Table1[[GameIsOver]:[GameIsOver]], 1, Table1[[HomeTeam]:[HomeTeam]], $A62, Table1[[AwayTeam]:[AwayTeam]], S$36))) + (SUMIFS(Table1[[HomeWon]:[HomeWon]], Table1[[GameIsOver]:[GameIsOver]], 1, Table1[[AwayTeam]:[AwayTeam]], $A62, Table1[[HomeTeam]:[HomeTeam]],  S$36, Table1[[ActualResult]:[ActualResult]], "OT") + SUMIFS(Table1[[AwayWon]:[AwayWon]], Table1[[GameIsOver]:[GameIsOver]], 1, Table1[[HomeTeam]:[HomeTeam]], $A62, Table1[[AwayTeam]:[AwayTeam]], S$36, Table1[[ActualResult]:[ActualResult]], "OT") + SUMIFS(Table1[[HomeWon]:[HomeWon]], Table1[[GameIsOver]:[GameIsOver]], 1, Table1[[AwayTeam]:[AwayTeam]], $A62, Table1[[HomeTeam]:[HomeTeam]], S$36, Table1[[ActualResult]:[ActualResult]], "SO") + SUMIFS(Table1[[AwayWon]:[AwayWon]], Table1[[GameIsOver]:[GameIsOver]], 1, Table1[[HomeTeam]:[HomeTeam]], $A62, Table1[[AwayTeam]:[AwayTeam]], S$36, Table1[[ActualResult]:[ActualResult]], "SO")))/ (2*((COUNTIFS(Table1[[GameIsOver]:[GameIsOver]],1,Table1[[AwayTeam]:[AwayTeam]],$A62, Table1[[HomeTeam]:[HomeTeam]], S$36)))+( COUNTIFS(Table1[[GameIsOver]:[GameIsOver]],1,Table1[[AwayTeam]:[AwayTeam]],S$36, Table1[[HomeTeam]:[HomeTeam]],$A62))), "")</f>
        <v>0.5</v>
      </c>
      <c r="T62" s="36" t="str">
        <f>IFERROR(((2 * (SUMIFS(Table1[[AwayWon]:[AwayWon]], Table1[[GameIsOver]:[GameIsOver]], 1, Table1[[AwayTeam]:[AwayTeam]], $A62, Table1[[HomeTeam]:[HomeTeam]], T$36) + SUMIFS(Table1[[HomeWon]:[HomeWon]], Table1[[GameIsOver]:[GameIsOver]], 1, Table1[[HomeTeam]:[HomeTeam]], $A62, Table1[[AwayTeam]:[AwayTeam]], T$36))) + (SUMIFS(Table1[[HomeWon]:[HomeWon]], Table1[[GameIsOver]:[GameIsOver]], 1, Table1[[AwayTeam]:[AwayTeam]], $A62, Table1[[HomeTeam]:[HomeTeam]],  T$36, Table1[[ActualResult]:[ActualResult]], "OT") + SUMIFS(Table1[[AwayWon]:[AwayWon]], Table1[[GameIsOver]:[GameIsOver]], 1, Table1[[HomeTeam]:[HomeTeam]], $A62, Table1[[AwayTeam]:[AwayTeam]], T$36, Table1[[ActualResult]:[ActualResult]], "OT") + SUMIFS(Table1[[HomeWon]:[HomeWon]], Table1[[GameIsOver]:[GameIsOver]], 1, Table1[[AwayTeam]:[AwayTeam]], $A62, Table1[[HomeTeam]:[HomeTeam]], T$36, Table1[[ActualResult]:[ActualResult]], "SO") + SUMIFS(Table1[[AwayWon]:[AwayWon]], Table1[[GameIsOver]:[GameIsOver]], 1, Table1[[HomeTeam]:[HomeTeam]], $A62, Table1[[AwayTeam]:[AwayTeam]], T$36, Table1[[ActualResult]:[ActualResult]], "SO")))/ (2*((COUNTIFS(Table1[[GameIsOver]:[GameIsOver]],1,Table1[[AwayTeam]:[AwayTeam]],$A62, Table1[[HomeTeam]:[HomeTeam]], T$36)))+( COUNTIFS(Table1[[GameIsOver]:[GameIsOver]],1,Table1[[AwayTeam]:[AwayTeam]],T$36, Table1[[HomeTeam]:[HomeTeam]],$A62))), "")</f>
        <v/>
      </c>
      <c r="U62" s="36" t="str">
        <f>IFERROR(((2 * (SUMIFS(Table1[[AwayWon]:[AwayWon]], Table1[[GameIsOver]:[GameIsOver]], 1, Table1[[AwayTeam]:[AwayTeam]], $A62, Table1[[HomeTeam]:[HomeTeam]], U$36) + SUMIFS(Table1[[HomeWon]:[HomeWon]], Table1[[GameIsOver]:[GameIsOver]], 1, Table1[[HomeTeam]:[HomeTeam]], $A62, Table1[[AwayTeam]:[AwayTeam]], U$36))) + (SUMIFS(Table1[[HomeWon]:[HomeWon]], Table1[[GameIsOver]:[GameIsOver]], 1, Table1[[AwayTeam]:[AwayTeam]], $A62, Table1[[HomeTeam]:[HomeTeam]],  U$36, Table1[[ActualResult]:[ActualResult]], "OT") + SUMIFS(Table1[[AwayWon]:[AwayWon]], Table1[[GameIsOver]:[GameIsOver]], 1, Table1[[HomeTeam]:[HomeTeam]], $A62, Table1[[AwayTeam]:[AwayTeam]], U$36, Table1[[ActualResult]:[ActualResult]], "OT") + SUMIFS(Table1[[HomeWon]:[HomeWon]], Table1[[GameIsOver]:[GameIsOver]], 1, Table1[[AwayTeam]:[AwayTeam]], $A62, Table1[[HomeTeam]:[HomeTeam]], U$36, Table1[[ActualResult]:[ActualResult]], "SO") + SUMIFS(Table1[[AwayWon]:[AwayWon]], Table1[[GameIsOver]:[GameIsOver]], 1, Table1[[HomeTeam]:[HomeTeam]], $A62, Table1[[AwayTeam]:[AwayTeam]], U$36, Table1[[ActualResult]:[ActualResult]], "SO")))/ (2*((COUNTIFS(Table1[[GameIsOver]:[GameIsOver]],1,Table1[[AwayTeam]:[AwayTeam]],$A62, Table1[[HomeTeam]:[HomeTeam]], U$36)))+( COUNTIFS(Table1[[GameIsOver]:[GameIsOver]],1,Table1[[AwayTeam]:[AwayTeam]],U$36, Table1[[HomeTeam]:[HomeTeam]],$A62))), "")</f>
        <v/>
      </c>
      <c r="V62" s="36" t="str">
        <f>IFERROR(((2 * (SUMIFS(Table1[[AwayWon]:[AwayWon]], Table1[[GameIsOver]:[GameIsOver]], 1, Table1[[AwayTeam]:[AwayTeam]], $A62, Table1[[HomeTeam]:[HomeTeam]], V$36) + SUMIFS(Table1[[HomeWon]:[HomeWon]], Table1[[GameIsOver]:[GameIsOver]], 1, Table1[[HomeTeam]:[HomeTeam]], $A62, Table1[[AwayTeam]:[AwayTeam]], V$36))) + (SUMIFS(Table1[[HomeWon]:[HomeWon]], Table1[[GameIsOver]:[GameIsOver]], 1, Table1[[AwayTeam]:[AwayTeam]], $A62, Table1[[HomeTeam]:[HomeTeam]],  V$36, Table1[[ActualResult]:[ActualResult]], "OT") + SUMIFS(Table1[[AwayWon]:[AwayWon]], Table1[[GameIsOver]:[GameIsOver]], 1, Table1[[HomeTeam]:[HomeTeam]], $A62, Table1[[AwayTeam]:[AwayTeam]], V$36, Table1[[ActualResult]:[ActualResult]], "OT") + SUMIFS(Table1[[HomeWon]:[HomeWon]], Table1[[GameIsOver]:[GameIsOver]], 1, Table1[[AwayTeam]:[AwayTeam]], $A62, Table1[[HomeTeam]:[HomeTeam]], V$36, Table1[[ActualResult]:[ActualResult]], "SO") + SUMIFS(Table1[[AwayWon]:[AwayWon]], Table1[[GameIsOver]:[GameIsOver]], 1, Table1[[HomeTeam]:[HomeTeam]], $A62, Table1[[AwayTeam]:[AwayTeam]], V$36, Table1[[ActualResult]:[ActualResult]], "SO")))/ (2*((COUNTIFS(Table1[[GameIsOver]:[GameIsOver]],1,Table1[[AwayTeam]:[AwayTeam]],$A62, Table1[[HomeTeam]:[HomeTeam]], V$36)))+( COUNTIFS(Table1[[GameIsOver]:[GameIsOver]],1,Table1[[AwayTeam]:[AwayTeam]],V$36, Table1[[HomeTeam]:[HomeTeam]],$A62))), "")</f>
        <v/>
      </c>
      <c r="W62" s="36" t="str">
        <f>IFERROR(((2 * (SUMIFS(Table1[[AwayWon]:[AwayWon]], Table1[[GameIsOver]:[GameIsOver]], 1, Table1[[AwayTeam]:[AwayTeam]], $A62, Table1[[HomeTeam]:[HomeTeam]], W$36) + SUMIFS(Table1[[HomeWon]:[HomeWon]], Table1[[GameIsOver]:[GameIsOver]], 1, Table1[[HomeTeam]:[HomeTeam]], $A62, Table1[[AwayTeam]:[AwayTeam]], W$36))) + (SUMIFS(Table1[[HomeWon]:[HomeWon]], Table1[[GameIsOver]:[GameIsOver]], 1, Table1[[AwayTeam]:[AwayTeam]], $A62, Table1[[HomeTeam]:[HomeTeam]],  W$36, Table1[[ActualResult]:[ActualResult]], "OT") + SUMIFS(Table1[[AwayWon]:[AwayWon]], Table1[[GameIsOver]:[GameIsOver]], 1, Table1[[HomeTeam]:[HomeTeam]], $A62, Table1[[AwayTeam]:[AwayTeam]], W$36, Table1[[ActualResult]:[ActualResult]], "OT") + SUMIFS(Table1[[HomeWon]:[HomeWon]], Table1[[GameIsOver]:[GameIsOver]], 1, Table1[[AwayTeam]:[AwayTeam]], $A62, Table1[[HomeTeam]:[HomeTeam]], W$36, Table1[[ActualResult]:[ActualResult]], "SO") + SUMIFS(Table1[[AwayWon]:[AwayWon]], Table1[[GameIsOver]:[GameIsOver]], 1, Table1[[HomeTeam]:[HomeTeam]], $A62, Table1[[AwayTeam]:[AwayTeam]], W$36, Table1[[ActualResult]:[ActualResult]], "SO")))/ (2*((COUNTIFS(Table1[[GameIsOver]:[GameIsOver]],1,Table1[[AwayTeam]:[AwayTeam]],$A62, Table1[[HomeTeam]:[HomeTeam]], W$36)))+( COUNTIFS(Table1[[GameIsOver]:[GameIsOver]],1,Table1[[AwayTeam]:[AwayTeam]],W$36, Table1[[HomeTeam]:[HomeTeam]],$A62))), "")</f>
        <v/>
      </c>
      <c r="X62" s="36" t="str">
        <f>IFERROR(((2 * (SUMIFS(Table1[[AwayWon]:[AwayWon]], Table1[[GameIsOver]:[GameIsOver]], 1, Table1[[AwayTeam]:[AwayTeam]], $A62, Table1[[HomeTeam]:[HomeTeam]], X$36) + SUMIFS(Table1[[HomeWon]:[HomeWon]], Table1[[GameIsOver]:[GameIsOver]], 1, Table1[[HomeTeam]:[HomeTeam]], $A62, Table1[[AwayTeam]:[AwayTeam]], X$36))) + (SUMIFS(Table1[[HomeWon]:[HomeWon]], Table1[[GameIsOver]:[GameIsOver]], 1, Table1[[AwayTeam]:[AwayTeam]], $A62, Table1[[HomeTeam]:[HomeTeam]],  X$36, Table1[[ActualResult]:[ActualResult]], "OT") + SUMIFS(Table1[[AwayWon]:[AwayWon]], Table1[[GameIsOver]:[GameIsOver]], 1, Table1[[HomeTeam]:[HomeTeam]], $A62, Table1[[AwayTeam]:[AwayTeam]], X$36, Table1[[ActualResult]:[ActualResult]], "OT") + SUMIFS(Table1[[HomeWon]:[HomeWon]], Table1[[GameIsOver]:[GameIsOver]], 1, Table1[[AwayTeam]:[AwayTeam]], $A62, Table1[[HomeTeam]:[HomeTeam]], X$36, Table1[[ActualResult]:[ActualResult]], "SO") + SUMIFS(Table1[[AwayWon]:[AwayWon]], Table1[[GameIsOver]:[GameIsOver]], 1, Table1[[HomeTeam]:[HomeTeam]], $A62, Table1[[AwayTeam]:[AwayTeam]], X$36, Table1[[ActualResult]:[ActualResult]], "SO")))/ (2*((COUNTIFS(Table1[[GameIsOver]:[GameIsOver]],1,Table1[[AwayTeam]:[AwayTeam]],$A62, Table1[[HomeTeam]:[HomeTeam]], X$36)))+( COUNTIFS(Table1[[GameIsOver]:[GameIsOver]],1,Table1[[AwayTeam]:[AwayTeam]],X$36, Table1[[HomeTeam]:[HomeTeam]],$A62))), "")</f>
        <v/>
      </c>
      <c r="Y62" s="38" t="str">
        <f>IFERROR(((2 * (SUMIFS(Table1[[AwayWon]:[AwayWon]], Table1[[GameIsOver]:[GameIsOver]], 1, Table1[[AwayTeam]:[AwayTeam]], $A62, Table1[[HomeTeam]:[HomeTeam]], Y$36) + SUMIFS(Table1[[HomeWon]:[HomeWon]], Table1[[GameIsOver]:[GameIsOver]], 1, Table1[[HomeTeam]:[HomeTeam]], $A62, Table1[[AwayTeam]:[AwayTeam]], Y$36))) + (SUMIFS(Table1[[HomeWon]:[HomeWon]], Table1[[GameIsOver]:[GameIsOver]], 1, Table1[[AwayTeam]:[AwayTeam]], $A62, Table1[[HomeTeam]:[HomeTeam]],  Y$36, Table1[[ActualResult]:[ActualResult]], "OT") + SUMIFS(Table1[[AwayWon]:[AwayWon]], Table1[[GameIsOver]:[GameIsOver]], 1, Table1[[HomeTeam]:[HomeTeam]], $A62, Table1[[AwayTeam]:[AwayTeam]], Y$36, Table1[[ActualResult]:[ActualResult]], "OT") + SUMIFS(Table1[[HomeWon]:[HomeWon]], Table1[[GameIsOver]:[GameIsOver]], 1, Table1[[AwayTeam]:[AwayTeam]], $A62, Table1[[HomeTeam]:[HomeTeam]], Y$36, Table1[[ActualResult]:[ActualResult]], "SO") + SUMIFS(Table1[[AwayWon]:[AwayWon]], Table1[[GameIsOver]:[GameIsOver]], 1, Table1[[HomeTeam]:[HomeTeam]], $A62, Table1[[AwayTeam]:[AwayTeam]], Y$36, Table1[[ActualResult]:[ActualResult]], "SO")))/ (2*((COUNTIFS(Table1[[GameIsOver]:[GameIsOver]],1,Table1[[AwayTeam]:[AwayTeam]],$A62, Table1[[HomeTeam]:[HomeTeam]], Y$36)))+( COUNTIFS(Table1[[GameIsOver]:[GameIsOver]],1,Table1[[AwayTeam]:[AwayTeam]],Y$36, Table1[[HomeTeam]:[HomeTeam]],$A62))), "")</f>
        <v/>
      </c>
      <c r="Z62" s="36" t="str">
        <f>IFERROR(((2 * (SUMIFS(Table1[[AwayWon]:[AwayWon]], Table1[[GameIsOver]:[GameIsOver]], 1, Table1[[AwayTeam]:[AwayTeam]], $A62, Table1[[HomeTeam]:[HomeTeam]], Z$36) + SUMIFS(Table1[[HomeWon]:[HomeWon]], Table1[[GameIsOver]:[GameIsOver]], 1, Table1[[HomeTeam]:[HomeTeam]], $A62, Table1[[AwayTeam]:[AwayTeam]], Z$36))) + (SUMIFS(Table1[[HomeWon]:[HomeWon]], Table1[[GameIsOver]:[GameIsOver]], 1, Table1[[AwayTeam]:[AwayTeam]], $A62, Table1[[HomeTeam]:[HomeTeam]],  Z$36, Table1[[ActualResult]:[ActualResult]], "OT") + SUMIFS(Table1[[AwayWon]:[AwayWon]], Table1[[GameIsOver]:[GameIsOver]], 1, Table1[[HomeTeam]:[HomeTeam]], $A62, Table1[[AwayTeam]:[AwayTeam]], Z$36, Table1[[ActualResult]:[ActualResult]], "OT") + SUMIFS(Table1[[HomeWon]:[HomeWon]], Table1[[GameIsOver]:[GameIsOver]], 1, Table1[[AwayTeam]:[AwayTeam]], $A62, Table1[[HomeTeam]:[HomeTeam]], Z$36, Table1[[ActualResult]:[ActualResult]], "SO") + SUMIFS(Table1[[AwayWon]:[AwayWon]], Table1[[GameIsOver]:[GameIsOver]], 1, Table1[[HomeTeam]:[HomeTeam]], $A62, Table1[[AwayTeam]:[AwayTeam]], Z$36, Table1[[ActualResult]:[ActualResult]], "SO")))/ (2*((COUNTIFS(Table1[[GameIsOver]:[GameIsOver]],1,Table1[[AwayTeam]:[AwayTeam]],$A62, Table1[[HomeTeam]:[HomeTeam]], Z$36)))+( COUNTIFS(Table1[[GameIsOver]:[GameIsOver]],1,Table1[[AwayTeam]:[AwayTeam]],Z$36, Table1[[HomeTeam]:[HomeTeam]],$A62))), "")</f>
        <v/>
      </c>
      <c r="AA62" s="36" t="str">
        <f>IFERROR(((2 * (SUMIFS(Table1[[AwayWon]:[AwayWon]], Table1[[GameIsOver]:[GameIsOver]], 1, Table1[[AwayTeam]:[AwayTeam]], $A62, Table1[[HomeTeam]:[HomeTeam]], AA$36) + SUMIFS(Table1[[HomeWon]:[HomeWon]], Table1[[GameIsOver]:[GameIsOver]], 1, Table1[[HomeTeam]:[HomeTeam]], $A62, Table1[[AwayTeam]:[AwayTeam]], AA$36))) + (SUMIFS(Table1[[HomeWon]:[HomeWon]], Table1[[GameIsOver]:[GameIsOver]], 1, Table1[[AwayTeam]:[AwayTeam]], $A62, Table1[[HomeTeam]:[HomeTeam]],  AA$36, Table1[[ActualResult]:[ActualResult]], "OT") + SUMIFS(Table1[[AwayWon]:[AwayWon]], Table1[[GameIsOver]:[GameIsOver]], 1, Table1[[HomeTeam]:[HomeTeam]], $A62, Table1[[AwayTeam]:[AwayTeam]], AA$36, Table1[[ActualResult]:[ActualResult]], "OT") + SUMIFS(Table1[[HomeWon]:[HomeWon]], Table1[[GameIsOver]:[GameIsOver]], 1, Table1[[AwayTeam]:[AwayTeam]], $A62, Table1[[HomeTeam]:[HomeTeam]], AA$36, Table1[[ActualResult]:[ActualResult]], "SO") + SUMIFS(Table1[[AwayWon]:[AwayWon]], Table1[[GameIsOver]:[GameIsOver]], 1, Table1[[HomeTeam]:[HomeTeam]], $A62, Table1[[AwayTeam]:[AwayTeam]], AA$36, Table1[[ActualResult]:[ActualResult]], "SO")))/ (2*((COUNTIFS(Table1[[GameIsOver]:[GameIsOver]],1,Table1[[AwayTeam]:[AwayTeam]],$A62, Table1[[HomeTeam]:[HomeTeam]], AA$36)))+( COUNTIFS(Table1[[GameIsOver]:[GameIsOver]],1,Table1[[AwayTeam]:[AwayTeam]],AA$36, Table1[[HomeTeam]:[HomeTeam]],$A62))), "")</f>
        <v/>
      </c>
      <c r="AB62" s="36" t="str">
        <f>IFERROR(((2 * (SUMIFS(Table1[[AwayWon]:[AwayWon]], Table1[[GameIsOver]:[GameIsOver]], 1, Table1[[AwayTeam]:[AwayTeam]], $A62, Table1[[HomeTeam]:[HomeTeam]], AB$36) + SUMIFS(Table1[[HomeWon]:[HomeWon]], Table1[[GameIsOver]:[GameIsOver]], 1, Table1[[HomeTeam]:[HomeTeam]], $A62, Table1[[AwayTeam]:[AwayTeam]], AB$36))) + (SUMIFS(Table1[[HomeWon]:[HomeWon]], Table1[[GameIsOver]:[GameIsOver]], 1, Table1[[AwayTeam]:[AwayTeam]], $A62, Table1[[HomeTeam]:[HomeTeam]],  AB$36, Table1[[ActualResult]:[ActualResult]], "OT") + SUMIFS(Table1[[AwayWon]:[AwayWon]], Table1[[GameIsOver]:[GameIsOver]], 1, Table1[[HomeTeam]:[HomeTeam]], $A62, Table1[[AwayTeam]:[AwayTeam]], AB$36, Table1[[ActualResult]:[ActualResult]], "OT") + SUMIFS(Table1[[HomeWon]:[HomeWon]], Table1[[GameIsOver]:[GameIsOver]], 1, Table1[[AwayTeam]:[AwayTeam]], $A62, Table1[[HomeTeam]:[HomeTeam]], AB$36, Table1[[ActualResult]:[ActualResult]], "SO") + SUMIFS(Table1[[AwayWon]:[AwayWon]], Table1[[GameIsOver]:[GameIsOver]], 1, Table1[[HomeTeam]:[HomeTeam]], $A62, Table1[[AwayTeam]:[AwayTeam]], AB$36, Table1[[ActualResult]:[ActualResult]], "SO")))/ (2*((COUNTIFS(Table1[[GameIsOver]:[GameIsOver]],1,Table1[[AwayTeam]:[AwayTeam]],$A62, Table1[[HomeTeam]:[HomeTeam]], AB$36)))+( COUNTIFS(Table1[[GameIsOver]:[GameIsOver]],1,Table1[[AwayTeam]:[AwayTeam]],AB$36, Table1[[HomeTeam]:[HomeTeam]],$A62))), "")</f>
        <v/>
      </c>
      <c r="AC62" s="36" t="str">
        <f>IFERROR(((2 * (SUMIFS(Table1[[AwayWon]:[AwayWon]], Table1[[GameIsOver]:[GameIsOver]], 1, Table1[[AwayTeam]:[AwayTeam]], $A62, Table1[[HomeTeam]:[HomeTeam]], AC$36) + SUMIFS(Table1[[HomeWon]:[HomeWon]], Table1[[GameIsOver]:[GameIsOver]], 1, Table1[[HomeTeam]:[HomeTeam]], $A62, Table1[[AwayTeam]:[AwayTeam]], AC$36))) + (SUMIFS(Table1[[HomeWon]:[HomeWon]], Table1[[GameIsOver]:[GameIsOver]], 1, Table1[[AwayTeam]:[AwayTeam]], $A62, Table1[[HomeTeam]:[HomeTeam]],  AC$36, Table1[[ActualResult]:[ActualResult]], "OT") + SUMIFS(Table1[[AwayWon]:[AwayWon]], Table1[[GameIsOver]:[GameIsOver]], 1, Table1[[HomeTeam]:[HomeTeam]], $A62, Table1[[AwayTeam]:[AwayTeam]], AC$36, Table1[[ActualResult]:[ActualResult]], "OT") + SUMIFS(Table1[[HomeWon]:[HomeWon]], Table1[[GameIsOver]:[GameIsOver]], 1, Table1[[AwayTeam]:[AwayTeam]], $A62, Table1[[HomeTeam]:[HomeTeam]], AC$36, Table1[[ActualResult]:[ActualResult]], "SO") + SUMIFS(Table1[[AwayWon]:[AwayWon]], Table1[[GameIsOver]:[GameIsOver]], 1, Table1[[HomeTeam]:[HomeTeam]], $A62, Table1[[AwayTeam]:[AwayTeam]], AC$36, Table1[[ActualResult]:[ActualResult]], "SO")))/ (2*((COUNTIFS(Table1[[GameIsOver]:[GameIsOver]],1,Table1[[AwayTeam]:[AwayTeam]],$A62, Table1[[HomeTeam]:[HomeTeam]], AC$36)))+( COUNTIFS(Table1[[GameIsOver]:[GameIsOver]],1,Table1[[AwayTeam]:[AwayTeam]],AC$36, Table1[[HomeTeam]:[HomeTeam]],$A62))), "")</f>
        <v/>
      </c>
      <c r="AD62" s="36" t="str">
        <f>IFERROR(((2 * (SUMIFS(Table1[[AwayWon]:[AwayWon]], Table1[[GameIsOver]:[GameIsOver]], 1, Table1[[AwayTeam]:[AwayTeam]], $A62, Table1[[HomeTeam]:[HomeTeam]], AD$36) + SUMIFS(Table1[[HomeWon]:[HomeWon]], Table1[[GameIsOver]:[GameIsOver]], 1, Table1[[HomeTeam]:[HomeTeam]], $A62, Table1[[AwayTeam]:[AwayTeam]], AD$36))) + (SUMIFS(Table1[[HomeWon]:[HomeWon]], Table1[[GameIsOver]:[GameIsOver]], 1, Table1[[AwayTeam]:[AwayTeam]], $A62, Table1[[HomeTeam]:[HomeTeam]],  AD$36, Table1[[ActualResult]:[ActualResult]], "OT") + SUMIFS(Table1[[AwayWon]:[AwayWon]], Table1[[GameIsOver]:[GameIsOver]], 1, Table1[[HomeTeam]:[HomeTeam]], $A62, Table1[[AwayTeam]:[AwayTeam]], AD$36, Table1[[ActualResult]:[ActualResult]], "OT") + SUMIFS(Table1[[HomeWon]:[HomeWon]], Table1[[GameIsOver]:[GameIsOver]], 1, Table1[[AwayTeam]:[AwayTeam]], $A62, Table1[[HomeTeam]:[HomeTeam]], AD$36, Table1[[ActualResult]:[ActualResult]], "SO") + SUMIFS(Table1[[AwayWon]:[AwayWon]], Table1[[GameIsOver]:[GameIsOver]], 1, Table1[[HomeTeam]:[HomeTeam]], $A62, Table1[[AwayTeam]:[AwayTeam]], AD$36, Table1[[ActualResult]:[ActualResult]], "SO")))/ (2*((COUNTIFS(Table1[[GameIsOver]:[GameIsOver]],1,Table1[[AwayTeam]:[AwayTeam]],$A62, Table1[[HomeTeam]:[HomeTeam]], AD$36)))+( COUNTIFS(Table1[[GameIsOver]:[GameIsOver]],1,Table1[[AwayTeam]:[AwayTeam]],AD$36, Table1[[HomeTeam]:[HomeTeam]],$A62))), "")</f>
        <v/>
      </c>
      <c r="AE62" s="36" t="str">
        <f>IFERROR(((2 * (SUMIFS(Table1[[AwayWon]:[AwayWon]], Table1[[GameIsOver]:[GameIsOver]], 1, Table1[[AwayTeam]:[AwayTeam]], $A62, Table1[[HomeTeam]:[HomeTeam]], AE$36) + SUMIFS(Table1[[HomeWon]:[HomeWon]], Table1[[GameIsOver]:[GameIsOver]], 1, Table1[[HomeTeam]:[HomeTeam]], $A62, Table1[[AwayTeam]:[AwayTeam]], AE$36))) + (SUMIFS(Table1[[HomeWon]:[HomeWon]], Table1[[GameIsOver]:[GameIsOver]], 1, Table1[[AwayTeam]:[AwayTeam]], $A62, Table1[[HomeTeam]:[HomeTeam]],  AE$36, Table1[[ActualResult]:[ActualResult]], "OT") + SUMIFS(Table1[[AwayWon]:[AwayWon]], Table1[[GameIsOver]:[GameIsOver]], 1, Table1[[HomeTeam]:[HomeTeam]], $A62, Table1[[AwayTeam]:[AwayTeam]], AE$36, Table1[[ActualResult]:[ActualResult]], "OT") + SUMIFS(Table1[[HomeWon]:[HomeWon]], Table1[[GameIsOver]:[GameIsOver]], 1, Table1[[AwayTeam]:[AwayTeam]], $A62, Table1[[HomeTeam]:[HomeTeam]], AE$36, Table1[[ActualResult]:[ActualResult]], "SO") + SUMIFS(Table1[[AwayWon]:[AwayWon]], Table1[[GameIsOver]:[GameIsOver]], 1, Table1[[HomeTeam]:[HomeTeam]], $A62, Table1[[AwayTeam]:[AwayTeam]], AE$36, Table1[[ActualResult]:[ActualResult]], "SO")))/ (2*((COUNTIFS(Table1[[GameIsOver]:[GameIsOver]],1,Table1[[AwayTeam]:[AwayTeam]],$A62, Table1[[HomeTeam]:[HomeTeam]], AE$36)))+( COUNTIFS(Table1[[GameIsOver]:[GameIsOver]],1,Table1[[AwayTeam]:[AwayTeam]],AE$36, Table1[[HomeTeam]:[HomeTeam]],$A62))), "")</f>
        <v/>
      </c>
      <c r="AF62" s="36" t="str">
        <f>IFERROR(((2 * (SUMIFS(Table1[[AwayWon]:[AwayWon]], Table1[[GameIsOver]:[GameIsOver]], 1, Table1[[AwayTeam]:[AwayTeam]], $A62, Table1[[HomeTeam]:[HomeTeam]], AF$36) + SUMIFS(Table1[[HomeWon]:[HomeWon]], Table1[[GameIsOver]:[GameIsOver]], 1, Table1[[HomeTeam]:[HomeTeam]], $A62, Table1[[AwayTeam]:[AwayTeam]], AF$36))) + (SUMIFS(Table1[[HomeWon]:[HomeWon]], Table1[[GameIsOver]:[GameIsOver]], 1, Table1[[AwayTeam]:[AwayTeam]], $A62, Table1[[HomeTeam]:[HomeTeam]],  AF$36, Table1[[ActualResult]:[ActualResult]], "OT") + SUMIFS(Table1[[AwayWon]:[AwayWon]], Table1[[GameIsOver]:[GameIsOver]], 1, Table1[[HomeTeam]:[HomeTeam]], $A62, Table1[[AwayTeam]:[AwayTeam]], AF$36, Table1[[ActualResult]:[ActualResult]], "OT") + SUMIFS(Table1[[HomeWon]:[HomeWon]], Table1[[GameIsOver]:[GameIsOver]], 1, Table1[[AwayTeam]:[AwayTeam]], $A62, Table1[[HomeTeam]:[HomeTeam]], AF$36, Table1[[ActualResult]:[ActualResult]], "SO") + SUMIFS(Table1[[AwayWon]:[AwayWon]], Table1[[GameIsOver]:[GameIsOver]], 1, Table1[[HomeTeam]:[HomeTeam]], $A62, Table1[[AwayTeam]:[AwayTeam]], AF$36, Table1[[ActualResult]:[ActualResult]], "SO")))/ (2*((COUNTIFS(Table1[[GameIsOver]:[GameIsOver]],1,Table1[[AwayTeam]:[AwayTeam]],$A62, Table1[[HomeTeam]:[HomeTeam]], AF$36)))+( COUNTIFS(Table1[[GameIsOver]:[GameIsOver]],1,Table1[[AwayTeam]:[AwayTeam]],AF$36, Table1[[HomeTeam]:[HomeTeam]],$A62))), "")</f>
        <v/>
      </c>
      <c r="AG62" s="36" t="str">
        <f>IFERROR(((2 * (SUMIFS(Table1[[AwayWon]:[AwayWon]], Table1[[GameIsOver]:[GameIsOver]], 1, Table1[[AwayTeam]:[AwayTeam]], $A62, Table1[[HomeTeam]:[HomeTeam]], AG$36) + SUMIFS(Table1[[HomeWon]:[HomeWon]], Table1[[GameIsOver]:[GameIsOver]], 1, Table1[[HomeTeam]:[HomeTeam]], $A62, Table1[[AwayTeam]:[AwayTeam]], AG$36))) + (SUMIFS(Table1[[HomeWon]:[HomeWon]], Table1[[GameIsOver]:[GameIsOver]], 1, Table1[[AwayTeam]:[AwayTeam]], $A62, Table1[[HomeTeam]:[HomeTeam]],  AG$36, Table1[[ActualResult]:[ActualResult]], "OT") + SUMIFS(Table1[[AwayWon]:[AwayWon]], Table1[[GameIsOver]:[GameIsOver]], 1, Table1[[HomeTeam]:[HomeTeam]], $A62, Table1[[AwayTeam]:[AwayTeam]], AG$36, Table1[[ActualResult]:[ActualResult]], "OT") + SUMIFS(Table1[[HomeWon]:[HomeWon]], Table1[[GameIsOver]:[GameIsOver]], 1, Table1[[AwayTeam]:[AwayTeam]], $A62, Table1[[HomeTeam]:[HomeTeam]], AG$36, Table1[[ActualResult]:[ActualResult]], "SO") + SUMIFS(Table1[[AwayWon]:[AwayWon]], Table1[[GameIsOver]:[GameIsOver]], 1, Table1[[HomeTeam]:[HomeTeam]], $A62, Table1[[AwayTeam]:[AwayTeam]], AG$36, Table1[[ActualResult]:[ActualResult]], "SO")))/ (2*((COUNTIFS(Table1[[GameIsOver]:[GameIsOver]],1,Table1[[AwayTeam]:[AwayTeam]],$A62, Table1[[HomeTeam]:[HomeTeam]], AG$36)))+( COUNTIFS(Table1[[GameIsOver]:[GameIsOver]],1,Table1[[AwayTeam]:[AwayTeam]],AG$36, Table1[[HomeTeam]:[HomeTeam]],$A62))), "")</f>
        <v/>
      </c>
      <c r="AH62" s="37">
        <f t="shared" si="0"/>
        <v>0.5</v>
      </c>
      <c r="AI62" s="37" t="e">
        <f t="shared" si="1"/>
        <v>#DIV/0!</v>
      </c>
      <c r="AJ62" s="38" t="e">
        <f t="shared" si="2"/>
        <v>#DIV/0!</v>
      </c>
      <c r="AK62" s="38">
        <f t="shared" si="3"/>
        <v>0.5</v>
      </c>
      <c r="AL62" s="38" t="e">
        <f t="shared" si="4"/>
        <v>#DIV/0!</v>
      </c>
      <c r="AM62" s="38" t="e">
        <f t="shared" si="5"/>
        <v>#DIV/0!</v>
      </c>
    </row>
    <row r="63" spans="1:39" x14ac:dyDescent="0.25">
      <c r="A63" s="17" t="s">
        <v>44</v>
      </c>
      <c r="B63" s="36" t="str">
        <f>IFERROR(((2 * (SUMIFS(Table1[[AwayWon]:[AwayWon]], Table1[[GameIsOver]:[GameIsOver]], 1, Table1[[AwayTeam]:[AwayTeam]], $A63, Table1[[HomeTeam]:[HomeTeam]], B$36) + SUMIFS(Table1[[HomeWon]:[HomeWon]], Table1[[GameIsOver]:[GameIsOver]], 1, Table1[[HomeTeam]:[HomeTeam]], $A63, Table1[[AwayTeam]:[AwayTeam]], B$36))) + (SUMIFS(Table1[[HomeWon]:[HomeWon]], Table1[[GameIsOver]:[GameIsOver]], 1, Table1[[AwayTeam]:[AwayTeam]], $A63, Table1[[HomeTeam]:[HomeTeam]],  B$36, Table1[[ActualResult]:[ActualResult]], "OT") + SUMIFS(Table1[[AwayWon]:[AwayWon]], Table1[[GameIsOver]:[GameIsOver]], 1, Table1[[HomeTeam]:[HomeTeam]], $A63, Table1[[AwayTeam]:[AwayTeam]], B$36, Table1[[ActualResult]:[ActualResult]], "OT") + SUMIFS(Table1[[HomeWon]:[HomeWon]], Table1[[GameIsOver]:[GameIsOver]], 1, Table1[[AwayTeam]:[AwayTeam]], $A63, Table1[[HomeTeam]:[HomeTeam]], B$36, Table1[[ActualResult]:[ActualResult]], "SO") + SUMIFS(Table1[[AwayWon]:[AwayWon]], Table1[[GameIsOver]:[GameIsOver]], 1, Table1[[HomeTeam]:[HomeTeam]], $A63, Table1[[AwayTeam]:[AwayTeam]], B$36, Table1[[ActualResult]:[ActualResult]], "SO")))/ (2*((COUNTIFS(Table1[[GameIsOver]:[GameIsOver]],1,Table1[[AwayTeam]:[AwayTeam]],$A63, Table1[[HomeTeam]:[HomeTeam]], B$36)))+( COUNTIFS(Table1[[GameIsOver]:[GameIsOver]],1,Table1[[AwayTeam]:[AwayTeam]],B$36, Table1[[HomeTeam]:[HomeTeam]],$A63))), "")</f>
        <v/>
      </c>
      <c r="C63" s="36" t="str">
        <f>IFERROR(((2 * (SUMIFS(Table1[[AwayWon]:[AwayWon]], Table1[[GameIsOver]:[GameIsOver]], 1, Table1[[AwayTeam]:[AwayTeam]], $A63, Table1[[HomeTeam]:[HomeTeam]], C$36) + SUMIFS(Table1[[HomeWon]:[HomeWon]], Table1[[GameIsOver]:[GameIsOver]], 1, Table1[[HomeTeam]:[HomeTeam]], $A63, Table1[[AwayTeam]:[AwayTeam]], C$36))) + (SUMIFS(Table1[[HomeWon]:[HomeWon]], Table1[[GameIsOver]:[GameIsOver]], 1, Table1[[AwayTeam]:[AwayTeam]], $A63, Table1[[HomeTeam]:[HomeTeam]],  C$36, Table1[[ActualResult]:[ActualResult]], "OT") + SUMIFS(Table1[[AwayWon]:[AwayWon]], Table1[[GameIsOver]:[GameIsOver]], 1, Table1[[HomeTeam]:[HomeTeam]], $A63, Table1[[AwayTeam]:[AwayTeam]], C$36, Table1[[ActualResult]:[ActualResult]], "OT") + SUMIFS(Table1[[HomeWon]:[HomeWon]], Table1[[GameIsOver]:[GameIsOver]], 1, Table1[[AwayTeam]:[AwayTeam]], $A63, Table1[[HomeTeam]:[HomeTeam]], C$36, Table1[[ActualResult]:[ActualResult]], "SO") + SUMIFS(Table1[[AwayWon]:[AwayWon]], Table1[[GameIsOver]:[GameIsOver]], 1, Table1[[HomeTeam]:[HomeTeam]], $A63, Table1[[AwayTeam]:[AwayTeam]], C$36, Table1[[ActualResult]:[ActualResult]], "SO")))/ (2*((COUNTIFS(Table1[[GameIsOver]:[GameIsOver]],1,Table1[[AwayTeam]:[AwayTeam]],$A63, Table1[[HomeTeam]:[HomeTeam]], C$36)))+( COUNTIFS(Table1[[GameIsOver]:[GameIsOver]],1,Table1[[AwayTeam]:[AwayTeam]],C$36, Table1[[HomeTeam]:[HomeTeam]],$A63))), "")</f>
        <v/>
      </c>
      <c r="D63" s="36" t="str">
        <f>IFERROR(((2 * (SUMIFS(Table1[[AwayWon]:[AwayWon]], Table1[[GameIsOver]:[GameIsOver]], 1, Table1[[AwayTeam]:[AwayTeam]], $A63, Table1[[HomeTeam]:[HomeTeam]], D$36) + SUMIFS(Table1[[HomeWon]:[HomeWon]], Table1[[GameIsOver]:[GameIsOver]], 1, Table1[[HomeTeam]:[HomeTeam]], $A63, Table1[[AwayTeam]:[AwayTeam]], D$36))) + (SUMIFS(Table1[[HomeWon]:[HomeWon]], Table1[[GameIsOver]:[GameIsOver]], 1, Table1[[AwayTeam]:[AwayTeam]], $A63, Table1[[HomeTeam]:[HomeTeam]],  D$36, Table1[[ActualResult]:[ActualResult]], "OT") + SUMIFS(Table1[[AwayWon]:[AwayWon]], Table1[[GameIsOver]:[GameIsOver]], 1, Table1[[HomeTeam]:[HomeTeam]], $A63, Table1[[AwayTeam]:[AwayTeam]], D$36, Table1[[ActualResult]:[ActualResult]], "OT") + SUMIFS(Table1[[HomeWon]:[HomeWon]], Table1[[GameIsOver]:[GameIsOver]], 1, Table1[[AwayTeam]:[AwayTeam]], $A63, Table1[[HomeTeam]:[HomeTeam]], D$36, Table1[[ActualResult]:[ActualResult]], "SO") + SUMIFS(Table1[[AwayWon]:[AwayWon]], Table1[[GameIsOver]:[GameIsOver]], 1, Table1[[HomeTeam]:[HomeTeam]], $A63, Table1[[AwayTeam]:[AwayTeam]], D$36, Table1[[ActualResult]:[ActualResult]], "SO")))/ (2*((COUNTIFS(Table1[[GameIsOver]:[GameIsOver]],1,Table1[[AwayTeam]:[AwayTeam]],$A63, Table1[[HomeTeam]:[HomeTeam]], D$36)))+( COUNTIFS(Table1[[GameIsOver]:[GameIsOver]],1,Table1[[AwayTeam]:[AwayTeam]],D$36, Table1[[HomeTeam]:[HomeTeam]],$A63))), "")</f>
        <v/>
      </c>
      <c r="E63" s="36" t="str">
        <f>IFERROR(((2 * (SUMIFS(Table1[[AwayWon]:[AwayWon]], Table1[[GameIsOver]:[GameIsOver]], 1, Table1[[AwayTeam]:[AwayTeam]], $A63, Table1[[HomeTeam]:[HomeTeam]], E$36) + SUMIFS(Table1[[HomeWon]:[HomeWon]], Table1[[GameIsOver]:[GameIsOver]], 1, Table1[[HomeTeam]:[HomeTeam]], $A63, Table1[[AwayTeam]:[AwayTeam]], E$36))) + (SUMIFS(Table1[[HomeWon]:[HomeWon]], Table1[[GameIsOver]:[GameIsOver]], 1, Table1[[AwayTeam]:[AwayTeam]], $A63, Table1[[HomeTeam]:[HomeTeam]],  E$36, Table1[[ActualResult]:[ActualResult]], "OT") + SUMIFS(Table1[[AwayWon]:[AwayWon]], Table1[[GameIsOver]:[GameIsOver]], 1, Table1[[HomeTeam]:[HomeTeam]], $A63, Table1[[AwayTeam]:[AwayTeam]], E$36, Table1[[ActualResult]:[ActualResult]], "OT") + SUMIFS(Table1[[HomeWon]:[HomeWon]], Table1[[GameIsOver]:[GameIsOver]], 1, Table1[[AwayTeam]:[AwayTeam]], $A63, Table1[[HomeTeam]:[HomeTeam]], E$36, Table1[[ActualResult]:[ActualResult]], "SO") + SUMIFS(Table1[[AwayWon]:[AwayWon]], Table1[[GameIsOver]:[GameIsOver]], 1, Table1[[HomeTeam]:[HomeTeam]], $A63, Table1[[AwayTeam]:[AwayTeam]], E$36, Table1[[ActualResult]:[ActualResult]], "SO")))/ (2*((COUNTIFS(Table1[[GameIsOver]:[GameIsOver]],1,Table1[[AwayTeam]:[AwayTeam]],$A63, Table1[[HomeTeam]:[HomeTeam]], E$36)))+( COUNTIFS(Table1[[GameIsOver]:[GameIsOver]],1,Table1[[AwayTeam]:[AwayTeam]],E$36, Table1[[HomeTeam]:[HomeTeam]],$A63))), "")</f>
        <v/>
      </c>
      <c r="F63" s="36" t="str">
        <f>IFERROR(((2 * (SUMIFS(Table1[[AwayWon]:[AwayWon]], Table1[[GameIsOver]:[GameIsOver]], 1, Table1[[AwayTeam]:[AwayTeam]], $A63, Table1[[HomeTeam]:[HomeTeam]], F$36) + SUMIFS(Table1[[HomeWon]:[HomeWon]], Table1[[GameIsOver]:[GameIsOver]], 1, Table1[[HomeTeam]:[HomeTeam]], $A63, Table1[[AwayTeam]:[AwayTeam]], F$36))) + (SUMIFS(Table1[[HomeWon]:[HomeWon]], Table1[[GameIsOver]:[GameIsOver]], 1, Table1[[AwayTeam]:[AwayTeam]], $A63, Table1[[HomeTeam]:[HomeTeam]],  F$36, Table1[[ActualResult]:[ActualResult]], "OT") + SUMIFS(Table1[[AwayWon]:[AwayWon]], Table1[[GameIsOver]:[GameIsOver]], 1, Table1[[HomeTeam]:[HomeTeam]], $A63, Table1[[AwayTeam]:[AwayTeam]], F$36, Table1[[ActualResult]:[ActualResult]], "OT") + SUMIFS(Table1[[HomeWon]:[HomeWon]], Table1[[GameIsOver]:[GameIsOver]], 1, Table1[[AwayTeam]:[AwayTeam]], $A63, Table1[[HomeTeam]:[HomeTeam]], F$36, Table1[[ActualResult]:[ActualResult]], "SO") + SUMIFS(Table1[[AwayWon]:[AwayWon]], Table1[[GameIsOver]:[GameIsOver]], 1, Table1[[HomeTeam]:[HomeTeam]], $A63, Table1[[AwayTeam]:[AwayTeam]], F$36, Table1[[ActualResult]:[ActualResult]], "SO")))/ (2*((COUNTIFS(Table1[[GameIsOver]:[GameIsOver]],1,Table1[[AwayTeam]:[AwayTeam]],$A63, Table1[[HomeTeam]:[HomeTeam]], F$36)))+( COUNTIFS(Table1[[GameIsOver]:[GameIsOver]],1,Table1[[AwayTeam]:[AwayTeam]],F$36, Table1[[HomeTeam]:[HomeTeam]],$A63))), "")</f>
        <v/>
      </c>
      <c r="G63" s="36" t="str">
        <f>IFERROR(((2 * (SUMIFS(Table1[[AwayWon]:[AwayWon]], Table1[[GameIsOver]:[GameIsOver]], 1, Table1[[AwayTeam]:[AwayTeam]], $A63, Table1[[HomeTeam]:[HomeTeam]], G$36) + SUMIFS(Table1[[HomeWon]:[HomeWon]], Table1[[GameIsOver]:[GameIsOver]], 1, Table1[[HomeTeam]:[HomeTeam]], $A63, Table1[[AwayTeam]:[AwayTeam]], G$36))) + (SUMIFS(Table1[[HomeWon]:[HomeWon]], Table1[[GameIsOver]:[GameIsOver]], 1, Table1[[AwayTeam]:[AwayTeam]], $A63, Table1[[HomeTeam]:[HomeTeam]],  G$36, Table1[[ActualResult]:[ActualResult]], "OT") + SUMIFS(Table1[[AwayWon]:[AwayWon]], Table1[[GameIsOver]:[GameIsOver]], 1, Table1[[HomeTeam]:[HomeTeam]], $A63, Table1[[AwayTeam]:[AwayTeam]], G$36, Table1[[ActualResult]:[ActualResult]], "OT") + SUMIFS(Table1[[HomeWon]:[HomeWon]], Table1[[GameIsOver]:[GameIsOver]], 1, Table1[[AwayTeam]:[AwayTeam]], $A63, Table1[[HomeTeam]:[HomeTeam]], G$36, Table1[[ActualResult]:[ActualResult]], "SO") + SUMIFS(Table1[[AwayWon]:[AwayWon]], Table1[[GameIsOver]:[GameIsOver]], 1, Table1[[HomeTeam]:[HomeTeam]], $A63, Table1[[AwayTeam]:[AwayTeam]], G$36, Table1[[ActualResult]:[ActualResult]], "SO")))/ (2*((COUNTIFS(Table1[[GameIsOver]:[GameIsOver]],1,Table1[[AwayTeam]:[AwayTeam]],$A63, Table1[[HomeTeam]:[HomeTeam]], G$36)))+( COUNTIFS(Table1[[GameIsOver]:[GameIsOver]],1,Table1[[AwayTeam]:[AwayTeam]],G$36, Table1[[HomeTeam]:[HomeTeam]],$A63))), "")</f>
        <v/>
      </c>
      <c r="H63" s="36" t="str">
        <f>IFERROR(((2 * (SUMIFS(Table1[[AwayWon]:[AwayWon]], Table1[[GameIsOver]:[GameIsOver]], 1, Table1[[AwayTeam]:[AwayTeam]], $A63, Table1[[HomeTeam]:[HomeTeam]], H$36) + SUMIFS(Table1[[HomeWon]:[HomeWon]], Table1[[GameIsOver]:[GameIsOver]], 1, Table1[[HomeTeam]:[HomeTeam]], $A63, Table1[[AwayTeam]:[AwayTeam]], H$36))) + (SUMIFS(Table1[[HomeWon]:[HomeWon]], Table1[[GameIsOver]:[GameIsOver]], 1, Table1[[AwayTeam]:[AwayTeam]], $A63, Table1[[HomeTeam]:[HomeTeam]],  H$36, Table1[[ActualResult]:[ActualResult]], "OT") + SUMIFS(Table1[[AwayWon]:[AwayWon]], Table1[[GameIsOver]:[GameIsOver]], 1, Table1[[HomeTeam]:[HomeTeam]], $A63, Table1[[AwayTeam]:[AwayTeam]], H$36, Table1[[ActualResult]:[ActualResult]], "OT") + SUMIFS(Table1[[HomeWon]:[HomeWon]], Table1[[GameIsOver]:[GameIsOver]], 1, Table1[[AwayTeam]:[AwayTeam]], $A63, Table1[[HomeTeam]:[HomeTeam]], H$36, Table1[[ActualResult]:[ActualResult]], "SO") + SUMIFS(Table1[[AwayWon]:[AwayWon]], Table1[[GameIsOver]:[GameIsOver]], 1, Table1[[HomeTeam]:[HomeTeam]], $A63, Table1[[AwayTeam]:[AwayTeam]], H$36, Table1[[ActualResult]:[ActualResult]], "SO")))/ (2*((COUNTIFS(Table1[[GameIsOver]:[GameIsOver]],1,Table1[[AwayTeam]:[AwayTeam]],$A63, Table1[[HomeTeam]:[HomeTeam]], H$36)))+( COUNTIFS(Table1[[GameIsOver]:[GameIsOver]],1,Table1[[AwayTeam]:[AwayTeam]],H$36, Table1[[HomeTeam]:[HomeTeam]],$A63))), "")</f>
        <v/>
      </c>
      <c r="I63" s="38" t="str">
        <f>IFERROR(((2 * (SUMIFS(Table1[[AwayWon]:[AwayWon]], Table1[[GameIsOver]:[GameIsOver]], 1, Table1[[AwayTeam]:[AwayTeam]], $A63, Table1[[HomeTeam]:[HomeTeam]], I$36) + SUMIFS(Table1[[HomeWon]:[HomeWon]], Table1[[GameIsOver]:[GameIsOver]], 1, Table1[[HomeTeam]:[HomeTeam]], $A63, Table1[[AwayTeam]:[AwayTeam]], I$36))) + (SUMIFS(Table1[[HomeWon]:[HomeWon]], Table1[[GameIsOver]:[GameIsOver]], 1, Table1[[AwayTeam]:[AwayTeam]], $A63, Table1[[HomeTeam]:[HomeTeam]],  I$36, Table1[[ActualResult]:[ActualResult]], "OT") + SUMIFS(Table1[[AwayWon]:[AwayWon]], Table1[[GameIsOver]:[GameIsOver]], 1, Table1[[HomeTeam]:[HomeTeam]], $A63, Table1[[AwayTeam]:[AwayTeam]], I$36, Table1[[ActualResult]:[ActualResult]], "OT") + SUMIFS(Table1[[HomeWon]:[HomeWon]], Table1[[GameIsOver]:[GameIsOver]], 1, Table1[[AwayTeam]:[AwayTeam]], $A63, Table1[[HomeTeam]:[HomeTeam]], I$36, Table1[[ActualResult]:[ActualResult]], "SO") + SUMIFS(Table1[[AwayWon]:[AwayWon]], Table1[[GameIsOver]:[GameIsOver]], 1, Table1[[HomeTeam]:[HomeTeam]], $A63, Table1[[AwayTeam]:[AwayTeam]], I$36, Table1[[ActualResult]:[ActualResult]], "SO")))/ (2*((COUNTIFS(Table1[[GameIsOver]:[GameIsOver]],1,Table1[[AwayTeam]:[AwayTeam]],$A63, Table1[[HomeTeam]:[HomeTeam]], I$36)))+( COUNTIFS(Table1[[GameIsOver]:[GameIsOver]],1,Table1[[AwayTeam]:[AwayTeam]],I$36, Table1[[HomeTeam]:[HomeTeam]],$A63))), "")</f>
        <v/>
      </c>
      <c r="J63" s="36" t="str">
        <f>IFERROR(((2 * (SUMIFS(Table1[[AwayWon]:[AwayWon]], Table1[[GameIsOver]:[GameIsOver]], 1, Table1[[AwayTeam]:[AwayTeam]], $A63, Table1[[HomeTeam]:[HomeTeam]], J$36) + SUMIFS(Table1[[HomeWon]:[HomeWon]], Table1[[GameIsOver]:[GameIsOver]], 1, Table1[[HomeTeam]:[HomeTeam]], $A63, Table1[[AwayTeam]:[AwayTeam]], J$36))) + (SUMIFS(Table1[[HomeWon]:[HomeWon]], Table1[[GameIsOver]:[GameIsOver]], 1, Table1[[AwayTeam]:[AwayTeam]], $A63, Table1[[HomeTeam]:[HomeTeam]],  J$36, Table1[[ActualResult]:[ActualResult]], "OT") + SUMIFS(Table1[[AwayWon]:[AwayWon]], Table1[[GameIsOver]:[GameIsOver]], 1, Table1[[HomeTeam]:[HomeTeam]], $A63, Table1[[AwayTeam]:[AwayTeam]], J$36, Table1[[ActualResult]:[ActualResult]], "OT") + SUMIFS(Table1[[HomeWon]:[HomeWon]], Table1[[GameIsOver]:[GameIsOver]], 1, Table1[[AwayTeam]:[AwayTeam]], $A63, Table1[[HomeTeam]:[HomeTeam]], J$36, Table1[[ActualResult]:[ActualResult]], "SO") + SUMIFS(Table1[[AwayWon]:[AwayWon]], Table1[[GameIsOver]:[GameIsOver]], 1, Table1[[HomeTeam]:[HomeTeam]], $A63, Table1[[AwayTeam]:[AwayTeam]], J$36, Table1[[ActualResult]:[ActualResult]], "SO")))/ (2*((COUNTIFS(Table1[[GameIsOver]:[GameIsOver]],1,Table1[[AwayTeam]:[AwayTeam]],$A63, Table1[[HomeTeam]:[HomeTeam]], J$36)))+( COUNTIFS(Table1[[GameIsOver]:[GameIsOver]],1,Table1[[AwayTeam]:[AwayTeam]],J$36, Table1[[HomeTeam]:[HomeTeam]],$A63))), "")</f>
        <v/>
      </c>
      <c r="K63" s="36" t="str">
        <f>IFERROR(((2 * (SUMIFS(Table1[[AwayWon]:[AwayWon]], Table1[[GameIsOver]:[GameIsOver]], 1, Table1[[AwayTeam]:[AwayTeam]], $A63, Table1[[HomeTeam]:[HomeTeam]], K$36) + SUMIFS(Table1[[HomeWon]:[HomeWon]], Table1[[GameIsOver]:[GameIsOver]], 1, Table1[[HomeTeam]:[HomeTeam]], $A63, Table1[[AwayTeam]:[AwayTeam]], K$36))) + (SUMIFS(Table1[[HomeWon]:[HomeWon]], Table1[[GameIsOver]:[GameIsOver]], 1, Table1[[AwayTeam]:[AwayTeam]], $A63, Table1[[HomeTeam]:[HomeTeam]],  K$36, Table1[[ActualResult]:[ActualResult]], "OT") + SUMIFS(Table1[[AwayWon]:[AwayWon]], Table1[[GameIsOver]:[GameIsOver]], 1, Table1[[HomeTeam]:[HomeTeam]], $A63, Table1[[AwayTeam]:[AwayTeam]], K$36, Table1[[ActualResult]:[ActualResult]], "OT") + SUMIFS(Table1[[HomeWon]:[HomeWon]], Table1[[GameIsOver]:[GameIsOver]], 1, Table1[[AwayTeam]:[AwayTeam]], $A63, Table1[[HomeTeam]:[HomeTeam]], K$36, Table1[[ActualResult]:[ActualResult]], "SO") + SUMIFS(Table1[[AwayWon]:[AwayWon]], Table1[[GameIsOver]:[GameIsOver]], 1, Table1[[HomeTeam]:[HomeTeam]], $A63, Table1[[AwayTeam]:[AwayTeam]], K$36, Table1[[ActualResult]:[ActualResult]], "SO")))/ (2*((COUNTIFS(Table1[[GameIsOver]:[GameIsOver]],1,Table1[[AwayTeam]:[AwayTeam]],$A63, Table1[[HomeTeam]:[HomeTeam]], K$36)))+( COUNTIFS(Table1[[GameIsOver]:[GameIsOver]],1,Table1[[AwayTeam]:[AwayTeam]],K$36, Table1[[HomeTeam]:[HomeTeam]],$A63))), "")</f>
        <v/>
      </c>
      <c r="L63" s="36" t="str">
        <f>IFERROR(((2 * (SUMIFS(Table1[[AwayWon]:[AwayWon]], Table1[[GameIsOver]:[GameIsOver]], 1, Table1[[AwayTeam]:[AwayTeam]], $A63, Table1[[HomeTeam]:[HomeTeam]], L$36) + SUMIFS(Table1[[HomeWon]:[HomeWon]], Table1[[GameIsOver]:[GameIsOver]], 1, Table1[[HomeTeam]:[HomeTeam]], $A63, Table1[[AwayTeam]:[AwayTeam]], L$36))) + (SUMIFS(Table1[[HomeWon]:[HomeWon]], Table1[[GameIsOver]:[GameIsOver]], 1, Table1[[AwayTeam]:[AwayTeam]], $A63, Table1[[HomeTeam]:[HomeTeam]],  L$36, Table1[[ActualResult]:[ActualResult]], "OT") + SUMIFS(Table1[[AwayWon]:[AwayWon]], Table1[[GameIsOver]:[GameIsOver]], 1, Table1[[HomeTeam]:[HomeTeam]], $A63, Table1[[AwayTeam]:[AwayTeam]], L$36, Table1[[ActualResult]:[ActualResult]], "OT") + SUMIFS(Table1[[HomeWon]:[HomeWon]], Table1[[GameIsOver]:[GameIsOver]], 1, Table1[[AwayTeam]:[AwayTeam]], $A63, Table1[[HomeTeam]:[HomeTeam]], L$36, Table1[[ActualResult]:[ActualResult]], "SO") + SUMIFS(Table1[[AwayWon]:[AwayWon]], Table1[[GameIsOver]:[GameIsOver]], 1, Table1[[HomeTeam]:[HomeTeam]], $A63, Table1[[AwayTeam]:[AwayTeam]], L$36, Table1[[ActualResult]:[ActualResult]], "SO")))/ (2*((COUNTIFS(Table1[[GameIsOver]:[GameIsOver]],1,Table1[[AwayTeam]:[AwayTeam]],$A63, Table1[[HomeTeam]:[HomeTeam]], L$36)))+( COUNTIFS(Table1[[GameIsOver]:[GameIsOver]],1,Table1[[AwayTeam]:[AwayTeam]],L$36, Table1[[HomeTeam]:[HomeTeam]],$A63))), "")</f>
        <v/>
      </c>
      <c r="M63" s="36" t="str">
        <f>IFERROR(((2 * (SUMIFS(Table1[[AwayWon]:[AwayWon]], Table1[[GameIsOver]:[GameIsOver]], 1, Table1[[AwayTeam]:[AwayTeam]], $A63, Table1[[HomeTeam]:[HomeTeam]], M$36) + SUMIFS(Table1[[HomeWon]:[HomeWon]], Table1[[GameIsOver]:[GameIsOver]], 1, Table1[[HomeTeam]:[HomeTeam]], $A63, Table1[[AwayTeam]:[AwayTeam]], M$36))) + (SUMIFS(Table1[[HomeWon]:[HomeWon]], Table1[[GameIsOver]:[GameIsOver]], 1, Table1[[AwayTeam]:[AwayTeam]], $A63, Table1[[HomeTeam]:[HomeTeam]],  M$36, Table1[[ActualResult]:[ActualResult]], "OT") + SUMIFS(Table1[[AwayWon]:[AwayWon]], Table1[[GameIsOver]:[GameIsOver]], 1, Table1[[HomeTeam]:[HomeTeam]], $A63, Table1[[AwayTeam]:[AwayTeam]], M$36, Table1[[ActualResult]:[ActualResult]], "OT") + SUMIFS(Table1[[HomeWon]:[HomeWon]], Table1[[GameIsOver]:[GameIsOver]], 1, Table1[[AwayTeam]:[AwayTeam]], $A63, Table1[[HomeTeam]:[HomeTeam]], M$36, Table1[[ActualResult]:[ActualResult]], "SO") + SUMIFS(Table1[[AwayWon]:[AwayWon]], Table1[[GameIsOver]:[GameIsOver]], 1, Table1[[HomeTeam]:[HomeTeam]], $A63, Table1[[AwayTeam]:[AwayTeam]], M$36, Table1[[ActualResult]:[ActualResult]], "SO")))/ (2*((COUNTIFS(Table1[[GameIsOver]:[GameIsOver]],1,Table1[[AwayTeam]:[AwayTeam]],$A63, Table1[[HomeTeam]:[HomeTeam]], M$36)))+( COUNTIFS(Table1[[GameIsOver]:[GameIsOver]],1,Table1[[AwayTeam]:[AwayTeam]],M$36, Table1[[HomeTeam]:[HomeTeam]],$A63))), "")</f>
        <v/>
      </c>
      <c r="N63" s="36" t="str">
        <f>IFERROR(((2 * (SUMIFS(Table1[[AwayWon]:[AwayWon]], Table1[[GameIsOver]:[GameIsOver]], 1, Table1[[AwayTeam]:[AwayTeam]], $A63, Table1[[HomeTeam]:[HomeTeam]], N$36) + SUMIFS(Table1[[HomeWon]:[HomeWon]], Table1[[GameIsOver]:[GameIsOver]], 1, Table1[[HomeTeam]:[HomeTeam]], $A63, Table1[[AwayTeam]:[AwayTeam]], N$36))) + (SUMIFS(Table1[[HomeWon]:[HomeWon]], Table1[[GameIsOver]:[GameIsOver]], 1, Table1[[AwayTeam]:[AwayTeam]], $A63, Table1[[HomeTeam]:[HomeTeam]],  N$36, Table1[[ActualResult]:[ActualResult]], "OT") + SUMIFS(Table1[[AwayWon]:[AwayWon]], Table1[[GameIsOver]:[GameIsOver]], 1, Table1[[HomeTeam]:[HomeTeam]], $A63, Table1[[AwayTeam]:[AwayTeam]], N$36, Table1[[ActualResult]:[ActualResult]], "OT") + SUMIFS(Table1[[HomeWon]:[HomeWon]], Table1[[GameIsOver]:[GameIsOver]], 1, Table1[[AwayTeam]:[AwayTeam]], $A63, Table1[[HomeTeam]:[HomeTeam]], N$36, Table1[[ActualResult]:[ActualResult]], "SO") + SUMIFS(Table1[[AwayWon]:[AwayWon]], Table1[[GameIsOver]:[GameIsOver]], 1, Table1[[HomeTeam]:[HomeTeam]], $A63, Table1[[AwayTeam]:[AwayTeam]], N$36, Table1[[ActualResult]:[ActualResult]], "SO")))/ (2*((COUNTIFS(Table1[[GameIsOver]:[GameIsOver]],1,Table1[[AwayTeam]:[AwayTeam]],$A63, Table1[[HomeTeam]:[HomeTeam]], N$36)))+( COUNTIFS(Table1[[GameIsOver]:[GameIsOver]],1,Table1[[AwayTeam]:[AwayTeam]],N$36, Table1[[HomeTeam]:[HomeTeam]],$A63))), "")</f>
        <v/>
      </c>
      <c r="O63" s="36" t="str">
        <f>IFERROR(((2 * (SUMIFS(Table1[[AwayWon]:[AwayWon]], Table1[[GameIsOver]:[GameIsOver]], 1, Table1[[AwayTeam]:[AwayTeam]], $A63, Table1[[HomeTeam]:[HomeTeam]], O$36) + SUMIFS(Table1[[HomeWon]:[HomeWon]], Table1[[GameIsOver]:[GameIsOver]], 1, Table1[[HomeTeam]:[HomeTeam]], $A63, Table1[[AwayTeam]:[AwayTeam]], O$36))) + (SUMIFS(Table1[[HomeWon]:[HomeWon]], Table1[[GameIsOver]:[GameIsOver]], 1, Table1[[AwayTeam]:[AwayTeam]], $A63, Table1[[HomeTeam]:[HomeTeam]],  O$36, Table1[[ActualResult]:[ActualResult]], "OT") + SUMIFS(Table1[[AwayWon]:[AwayWon]], Table1[[GameIsOver]:[GameIsOver]], 1, Table1[[HomeTeam]:[HomeTeam]], $A63, Table1[[AwayTeam]:[AwayTeam]], O$36, Table1[[ActualResult]:[ActualResult]], "OT") + SUMIFS(Table1[[HomeWon]:[HomeWon]], Table1[[GameIsOver]:[GameIsOver]], 1, Table1[[AwayTeam]:[AwayTeam]], $A63, Table1[[HomeTeam]:[HomeTeam]], O$36, Table1[[ActualResult]:[ActualResult]], "SO") + SUMIFS(Table1[[AwayWon]:[AwayWon]], Table1[[GameIsOver]:[GameIsOver]], 1, Table1[[HomeTeam]:[HomeTeam]], $A63, Table1[[AwayTeam]:[AwayTeam]], O$36, Table1[[ActualResult]:[ActualResult]], "SO")))/ (2*((COUNTIFS(Table1[[GameIsOver]:[GameIsOver]],1,Table1[[AwayTeam]:[AwayTeam]],$A63, Table1[[HomeTeam]:[HomeTeam]], O$36)))+( COUNTIFS(Table1[[GameIsOver]:[GameIsOver]],1,Table1[[AwayTeam]:[AwayTeam]],O$36, Table1[[HomeTeam]:[HomeTeam]],$A63))), "")</f>
        <v/>
      </c>
      <c r="P63" s="36" t="str">
        <f>IFERROR(((2 * (SUMIFS(Table1[[AwayWon]:[AwayWon]], Table1[[GameIsOver]:[GameIsOver]], 1, Table1[[AwayTeam]:[AwayTeam]], $A63, Table1[[HomeTeam]:[HomeTeam]], P$36) + SUMIFS(Table1[[HomeWon]:[HomeWon]], Table1[[GameIsOver]:[GameIsOver]], 1, Table1[[HomeTeam]:[HomeTeam]], $A63, Table1[[AwayTeam]:[AwayTeam]], P$36))) + (SUMIFS(Table1[[HomeWon]:[HomeWon]], Table1[[GameIsOver]:[GameIsOver]], 1, Table1[[AwayTeam]:[AwayTeam]], $A63, Table1[[HomeTeam]:[HomeTeam]],  P$36, Table1[[ActualResult]:[ActualResult]], "OT") + SUMIFS(Table1[[AwayWon]:[AwayWon]], Table1[[GameIsOver]:[GameIsOver]], 1, Table1[[HomeTeam]:[HomeTeam]], $A63, Table1[[AwayTeam]:[AwayTeam]], P$36, Table1[[ActualResult]:[ActualResult]], "OT") + SUMIFS(Table1[[HomeWon]:[HomeWon]], Table1[[GameIsOver]:[GameIsOver]], 1, Table1[[AwayTeam]:[AwayTeam]], $A63, Table1[[HomeTeam]:[HomeTeam]], P$36, Table1[[ActualResult]:[ActualResult]], "SO") + SUMIFS(Table1[[AwayWon]:[AwayWon]], Table1[[GameIsOver]:[GameIsOver]], 1, Table1[[HomeTeam]:[HomeTeam]], $A63, Table1[[AwayTeam]:[AwayTeam]], P$36, Table1[[ActualResult]:[ActualResult]], "SO")))/ (2*((COUNTIFS(Table1[[GameIsOver]:[GameIsOver]],1,Table1[[AwayTeam]:[AwayTeam]],$A63, Table1[[HomeTeam]:[HomeTeam]], P$36)))+( COUNTIFS(Table1[[GameIsOver]:[GameIsOver]],1,Table1[[AwayTeam]:[AwayTeam]],P$36, Table1[[HomeTeam]:[HomeTeam]],$A63))), "")</f>
        <v/>
      </c>
      <c r="Q63" s="38" t="str">
        <f>IFERROR(((2 * (SUMIFS(Table1[[AwayWon]:[AwayWon]], Table1[[GameIsOver]:[GameIsOver]], 1, Table1[[AwayTeam]:[AwayTeam]], $A63, Table1[[HomeTeam]:[HomeTeam]], Q$36) + SUMIFS(Table1[[HomeWon]:[HomeWon]], Table1[[GameIsOver]:[GameIsOver]], 1, Table1[[HomeTeam]:[HomeTeam]], $A63, Table1[[AwayTeam]:[AwayTeam]], Q$36))) + (SUMIFS(Table1[[HomeWon]:[HomeWon]], Table1[[GameIsOver]:[GameIsOver]], 1, Table1[[AwayTeam]:[AwayTeam]], $A63, Table1[[HomeTeam]:[HomeTeam]],  Q$36, Table1[[ActualResult]:[ActualResult]], "OT") + SUMIFS(Table1[[AwayWon]:[AwayWon]], Table1[[GameIsOver]:[GameIsOver]], 1, Table1[[HomeTeam]:[HomeTeam]], $A63, Table1[[AwayTeam]:[AwayTeam]], Q$36, Table1[[ActualResult]:[ActualResult]], "OT") + SUMIFS(Table1[[HomeWon]:[HomeWon]], Table1[[GameIsOver]:[GameIsOver]], 1, Table1[[AwayTeam]:[AwayTeam]], $A63, Table1[[HomeTeam]:[HomeTeam]], Q$36, Table1[[ActualResult]:[ActualResult]], "SO") + SUMIFS(Table1[[AwayWon]:[AwayWon]], Table1[[GameIsOver]:[GameIsOver]], 1, Table1[[HomeTeam]:[HomeTeam]], $A63, Table1[[AwayTeam]:[AwayTeam]], Q$36, Table1[[ActualResult]:[ActualResult]], "SO")))/ (2*((COUNTIFS(Table1[[GameIsOver]:[GameIsOver]],1,Table1[[AwayTeam]:[AwayTeam]],$A63, Table1[[HomeTeam]:[HomeTeam]], Q$36)))+( COUNTIFS(Table1[[GameIsOver]:[GameIsOver]],1,Table1[[AwayTeam]:[AwayTeam]],Q$36, Table1[[HomeTeam]:[HomeTeam]],$A63))), "")</f>
        <v/>
      </c>
      <c r="R63" s="36" t="str">
        <f>IFERROR(((2 * (SUMIFS(Table1[[AwayWon]:[AwayWon]], Table1[[GameIsOver]:[GameIsOver]], 1, Table1[[AwayTeam]:[AwayTeam]], $A63, Table1[[HomeTeam]:[HomeTeam]], R$36) + SUMIFS(Table1[[HomeWon]:[HomeWon]], Table1[[GameIsOver]:[GameIsOver]], 1, Table1[[HomeTeam]:[HomeTeam]], $A63, Table1[[AwayTeam]:[AwayTeam]], R$36))) + (SUMIFS(Table1[[HomeWon]:[HomeWon]], Table1[[GameIsOver]:[GameIsOver]], 1, Table1[[AwayTeam]:[AwayTeam]], $A63, Table1[[HomeTeam]:[HomeTeam]],  R$36, Table1[[ActualResult]:[ActualResult]], "OT") + SUMIFS(Table1[[AwayWon]:[AwayWon]], Table1[[GameIsOver]:[GameIsOver]], 1, Table1[[HomeTeam]:[HomeTeam]], $A63, Table1[[AwayTeam]:[AwayTeam]], R$36, Table1[[ActualResult]:[ActualResult]], "OT") + SUMIFS(Table1[[HomeWon]:[HomeWon]], Table1[[GameIsOver]:[GameIsOver]], 1, Table1[[AwayTeam]:[AwayTeam]], $A63, Table1[[HomeTeam]:[HomeTeam]], R$36, Table1[[ActualResult]:[ActualResult]], "SO") + SUMIFS(Table1[[AwayWon]:[AwayWon]], Table1[[GameIsOver]:[GameIsOver]], 1, Table1[[HomeTeam]:[HomeTeam]], $A63, Table1[[AwayTeam]:[AwayTeam]], R$36, Table1[[ActualResult]:[ActualResult]], "SO")))/ (2*((COUNTIFS(Table1[[GameIsOver]:[GameIsOver]],1,Table1[[AwayTeam]:[AwayTeam]],$A63, Table1[[HomeTeam]:[HomeTeam]], R$36)))+( COUNTIFS(Table1[[GameIsOver]:[GameIsOver]],1,Table1[[AwayTeam]:[AwayTeam]],R$36, Table1[[HomeTeam]:[HomeTeam]],$A63))), "")</f>
        <v/>
      </c>
      <c r="S63" s="36" t="str">
        <f>IFERROR(((2 * (SUMIFS(Table1[[AwayWon]:[AwayWon]], Table1[[GameIsOver]:[GameIsOver]], 1, Table1[[AwayTeam]:[AwayTeam]], $A63, Table1[[HomeTeam]:[HomeTeam]], S$36) + SUMIFS(Table1[[HomeWon]:[HomeWon]], Table1[[GameIsOver]:[GameIsOver]], 1, Table1[[HomeTeam]:[HomeTeam]], $A63, Table1[[AwayTeam]:[AwayTeam]], S$36))) + (SUMIFS(Table1[[HomeWon]:[HomeWon]], Table1[[GameIsOver]:[GameIsOver]], 1, Table1[[AwayTeam]:[AwayTeam]], $A63, Table1[[HomeTeam]:[HomeTeam]],  S$36, Table1[[ActualResult]:[ActualResult]], "OT") + SUMIFS(Table1[[AwayWon]:[AwayWon]], Table1[[GameIsOver]:[GameIsOver]], 1, Table1[[HomeTeam]:[HomeTeam]], $A63, Table1[[AwayTeam]:[AwayTeam]], S$36, Table1[[ActualResult]:[ActualResult]], "OT") + SUMIFS(Table1[[HomeWon]:[HomeWon]], Table1[[GameIsOver]:[GameIsOver]], 1, Table1[[AwayTeam]:[AwayTeam]], $A63, Table1[[HomeTeam]:[HomeTeam]], S$36, Table1[[ActualResult]:[ActualResult]], "SO") + SUMIFS(Table1[[AwayWon]:[AwayWon]], Table1[[GameIsOver]:[GameIsOver]], 1, Table1[[HomeTeam]:[HomeTeam]], $A63, Table1[[AwayTeam]:[AwayTeam]], S$36, Table1[[ActualResult]:[ActualResult]], "SO")))/ (2*((COUNTIFS(Table1[[GameIsOver]:[GameIsOver]],1,Table1[[AwayTeam]:[AwayTeam]],$A63, Table1[[HomeTeam]:[HomeTeam]], S$36)))+( COUNTIFS(Table1[[GameIsOver]:[GameIsOver]],1,Table1[[AwayTeam]:[AwayTeam]],S$36, Table1[[HomeTeam]:[HomeTeam]],$A63))), "")</f>
        <v/>
      </c>
      <c r="T63" s="36" t="str">
        <f>IFERROR(((2 * (SUMIFS(Table1[[AwayWon]:[AwayWon]], Table1[[GameIsOver]:[GameIsOver]], 1, Table1[[AwayTeam]:[AwayTeam]], $A63, Table1[[HomeTeam]:[HomeTeam]], T$36) + SUMIFS(Table1[[HomeWon]:[HomeWon]], Table1[[GameIsOver]:[GameIsOver]], 1, Table1[[HomeTeam]:[HomeTeam]], $A63, Table1[[AwayTeam]:[AwayTeam]], T$36))) + (SUMIFS(Table1[[HomeWon]:[HomeWon]], Table1[[GameIsOver]:[GameIsOver]], 1, Table1[[AwayTeam]:[AwayTeam]], $A63, Table1[[HomeTeam]:[HomeTeam]],  T$36, Table1[[ActualResult]:[ActualResult]], "OT") + SUMIFS(Table1[[AwayWon]:[AwayWon]], Table1[[GameIsOver]:[GameIsOver]], 1, Table1[[HomeTeam]:[HomeTeam]], $A63, Table1[[AwayTeam]:[AwayTeam]], T$36, Table1[[ActualResult]:[ActualResult]], "OT") + SUMIFS(Table1[[HomeWon]:[HomeWon]], Table1[[GameIsOver]:[GameIsOver]], 1, Table1[[AwayTeam]:[AwayTeam]], $A63, Table1[[HomeTeam]:[HomeTeam]], T$36, Table1[[ActualResult]:[ActualResult]], "SO") + SUMIFS(Table1[[AwayWon]:[AwayWon]], Table1[[GameIsOver]:[GameIsOver]], 1, Table1[[HomeTeam]:[HomeTeam]], $A63, Table1[[AwayTeam]:[AwayTeam]], T$36, Table1[[ActualResult]:[ActualResult]], "SO")))/ (2*((COUNTIFS(Table1[[GameIsOver]:[GameIsOver]],1,Table1[[AwayTeam]:[AwayTeam]],$A63, Table1[[HomeTeam]:[HomeTeam]], T$36)))+( COUNTIFS(Table1[[GameIsOver]:[GameIsOver]],1,Table1[[AwayTeam]:[AwayTeam]],T$36, Table1[[HomeTeam]:[HomeTeam]],$A63))), "")</f>
        <v/>
      </c>
      <c r="U63" s="36" t="str">
        <f>IFERROR(((2 * (SUMIFS(Table1[[AwayWon]:[AwayWon]], Table1[[GameIsOver]:[GameIsOver]], 1, Table1[[AwayTeam]:[AwayTeam]], $A63, Table1[[HomeTeam]:[HomeTeam]], U$36) + SUMIFS(Table1[[HomeWon]:[HomeWon]], Table1[[GameIsOver]:[GameIsOver]], 1, Table1[[HomeTeam]:[HomeTeam]], $A63, Table1[[AwayTeam]:[AwayTeam]], U$36))) + (SUMIFS(Table1[[HomeWon]:[HomeWon]], Table1[[GameIsOver]:[GameIsOver]], 1, Table1[[AwayTeam]:[AwayTeam]], $A63, Table1[[HomeTeam]:[HomeTeam]],  U$36, Table1[[ActualResult]:[ActualResult]], "OT") + SUMIFS(Table1[[AwayWon]:[AwayWon]], Table1[[GameIsOver]:[GameIsOver]], 1, Table1[[HomeTeam]:[HomeTeam]], $A63, Table1[[AwayTeam]:[AwayTeam]], U$36, Table1[[ActualResult]:[ActualResult]], "OT") + SUMIFS(Table1[[HomeWon]:[HomeWon]], Table1[[GameIsOver]:[GameIsOver]], 1, Table1[[AwayTeam]:[AwayTeam]], $A63, Table1[[HomeTeam]:[HomeTeam]], U$36, Table1[[ActualResult]:[ActualResult]], "SO") + SUMIFS(Table1[[AwayWon]:[AwayWon]], Table1[[GameIsOver]:[GameIsOver]], 1, Table1[[HomeTeam]:[HomeTeam]], $A63, Table1[[AwayTeam]:[AwayTeam]], U$36, Table1[[ActualResult]:[ActualResult]], "SO")))/ (2*((COUNTIFS(Table1[[GameIsOver]:[GameIsOver]],1,Table1[[AwayTeam]:[AwayTeam]],$A63, Table1[[HomeTeam]:[HomeTeam]], U$36)))+( COUNTIFS(Table1[[GameIsOver]:[GameIsOver]],1,Table1[[AwayTeam]:[AwayTeam]],U$36, Table1[[HomeTeam]:[HomeTeam]],$A63))), "")</f>
        <v/>
      </c>
      <c r="V63" s="36">
        <f>IFERROR(((2 * (SUMIFS(Table1[[AwayWon]:[AwayWon]], Table1[[GameIsOver]:[GameIsOver]], 1, Table1[[AwayTeam]:[AwayTeam]], $A63, Table1[[HomeTeam]:[HomeTeam]], V$36) + SUMIFS(Table1[[HomeWon]:[HomeWon]], Table1[[GameIsOver]:[GameIsOver]], 1, Table1[[HomeTeam]:[HomeTeam]], $A63, Table1[[AwayTeam]:[AwayTeam]], V$36))) + (SUMIFS(Table1[[HomeWon]:[HomeWon]], Table1[[GameIsOver]:[GameIsOver]], 1, Table1[[AwayTeam]:[AwayTeam]], $A63, Table1[[HomeTeam]:[HomeTeam]],  V$36, Table1[[ActualResult]:[ActualResult]], "OT") + SUMIFS(Table1[[AwayWon]:[AwayWon]], Table1[[GameIsOver]:[GameIsOver]], 1, Table1[[HomeTeam]:[HomeTeam]], $A63, Table1[[AwayTeam]:[AwayTeam]], V$36, Table1[[ActualResult]:[ActualResult]], "OT") + SUMIFS(Table1[[HomeWon]:[HomeWon]], Table1[[GameIsOver]:[GameIsOver]], 1, Table1[[AwayTeam]:[AwayTeam]], $A63, Table1[[HomeTeam]:[HomeTeam]], V$36, Table1[[ActualResult]:[ActualResult]], "SO") + SUMIFS(Table1[[AwayWon]:[AwayWon]], Table1[[GameIsOver]:[GameIsOver]], 1, Table1[[HomeTeam]:[HomeTeam]], $A63, Table1[[AwayTeam]:[AwayTeam]], V$36, Table1[[ActualResult]:[ActualResult]], "SO")))/ (2*((COUNTIFS(Table1[[GameIsOver]:[GameIsOver]],1,Table1[[AwayTeam]:[AwayTeam]],$A63, Table1[[HomeTeam]:[HomeTeam]], V$36)))+( COUNTIFS(Table1[[GameIsOver]:[GameIsOver]],1,Table1[[AwayTeam]:[AwayTeam]],V$36, Table1[[HomeTeam]:[HomeTeam]],$A63))), "")</f>
        <v>1</v>
      </c>
      <c r="W63" s="36" t="str">
        <f>IFERROR(((2 * (SUMIFS(Table1[[AwayWon]:[AwayWon]], Table1[[GameIsOver]:[GameIsOver]], 1, Table1[[AwayTeam]:[AwayTeam]], $A63, Table1[[HomeTeam]:[HomeTeam]], W$36) + SUMIFS(Table1[[HomeWon]:[HomeWon]], Table1[[GameIsOver]:[GameIsOver]], 1, Table1[[HomeTeam]:[HomeTeam]], $A63, Table1[[AwayTeam]:[AwayTeam]], W$36))) + (SUMIFS(Table1[[HomeWon]:[HomeWon]], Table1[[GameIsOver]:[GameIsOver]], 1, Table1[[AwayTeam]:[AwayTeam]], $A63, Table1[[HomeTeam]:[HomeTeam]],  W$36, Table1[[ActualResult]:[ActualResult]], "OT") + SUMIFS(Table1[[AwayWon]:[AwayWon]], Table1[[GameIsOver]:[GameIsOver]], 1, Table1[[HomeTeam]:[HomeTeam]], $A63, Table1[[AwayTeam]:[AwayTeam]], W$36, Table1[[ActualResult]:[ActualResult]], "OT") + SUMIFS(Table1[[HomeWon]:[HomeWon]], Table1[[GameIsOver]:[GameIsOver]], 1, Table1[[AwayTeam]:[AwayTeam]], $A63, Table1[[HomeTeam]:[HomeTeam]], W$36, Table1[[ActualResult]:[ActualResult]], "SO") + SUMIFS(Table1[[AwayWon]:[AwayWon]], Table1[[GameIsOver]:[GameIsOver]], 1, Table1[[HomeTeam]:[HomeTeam]], $A63, Table1[[AwayTeam]:[AwayTeam]], W$36, Table1[[ActualResult]:[ActualResult]], "SO")))/ (2*((COUNTIFS(Table1[[GameIsOver]:[GameIsOver]],1,Table1[[AwayTeam]:[AwayTeam]],$A63, Table1[[HomeTeam]:[HomeTeam]], W$36)))+( COUNTIFS(Table1[[GameIsOver]:[GameIsOver]],1,Table1[[AwayTeam]:[AwayTeam]],W$36, Table1[[HomeTeam]:[HomeTeam]],$A63))), "")</f>
        <v/>
      </c>
      <c r="X63" s="36" t="str">
        <f>IFERROR(((2 * (SUMIFS(Table1[[AwayWon]:[AwayWon]], Table1[[GameIsOver]:[GameIsOver]], 1, Table1[[AwayTeam]:[AwayTeam]], $A63, Table1[[HomeTeam]:[HomeTeam]], X$36) + SUMIFS(Table1[[HomeWon]:[HomeWon]], Table1[[GameIsOver]:[GameIsOver]], 1, Table1[[HomeTeam]:[HomeTeam]], $A63, Table1[[AwayTeam]:[AwayTeam]], X$36))) + (SUMIFS(Table1[[HomeWon]:[HomeWon]], Table1[[GameIsOver]:[GameIsOver]], 1, Table1[[AwayTeam]:[AwayTeam]], $A63, Table1[[HomeTeam]:[HomeTeam]],  X$36, Table1[[ActualResult]:[ActualResult]], "OT") + SUMIFS(Table1[[AwayWon]:[AwayWon]], Table1[[GameIsOver]:[GameIsOver]], 1, Table1[[HomeTeam]:[HomeTeam]], $A63, Table1[[AwayTeam]:[AwayTeam]], X$36, Table1[[ActualResult]:[ActualResult]], "OT") + SUMIFS(Table1[[HomeWon]:[HomeWon]], Table1[[GameIsOver]:[GameIsOver]], 1, Table1[[AwayTeam]:[AwayTeam]], $A63, Table1[[HomeTeam]:[HomeTeam]], X$36, Table1[[ActualResult]:[ActualResult]], "SO") + SUMIFS(Table1[[AwayWon]:[AwayWon]], Table1[[GameIsOver]:[GameIsOver]], 1, Table1[[HomeTeam]:[HomeTeam]], $A63, Table1[[AwayTeam]:[AwayTeam]], X$36, Table1[[ActualResult]:[ActualResult]], "SO")))/ (2*((COUNTIFS(Table1[[GameIsOver]:[GameIsOver]],1,Table1[[AwayTeam]:[AwayTeam]],$A63, Table1[[HomeTeam]:[HomeTeam]], X$36)))+( COUNTIFS(Table1[[GameIsOver]:[GameIsOver]],1,Table1[[AwayTeam]:[AwayTeam]],X$36, Table1[[HomeTeam]:[HomeTeam]],$A63))), "")</f>
        <v/>
      </c>
      <c r="Y63" s="38" t="str">
        <f>IFERROR(((2 * (SUMIFS(Table1[[AwayWon]:[AwayWon]], Table1[[GameIsOver]:[GameIsOver]], 1, Table1[[AwayTeam]:[AwayTeam]], $A63, Table1[[HomeTeam]:[HomeTeam]], Y$36) + SUMIFS(Table1[[HomeWon]:[HomeWon]], Table1[[GameIsOver]:[GameIsOver]], 1, Table1[[HomeTeam]:[HomeTeam]], $A63, Table1[[AwayTeam]:[AwayTeam]], Y$36))) + (SUMIFS(Table1[[HomeWon]:[HomeWon]], Table1[[GameIsOver]:[GameIsOver]], 1, Table1[[AwayTeam]:[AwayTeam]], $A63, Table1[[HomeTeam]:[HomeTeam]],  Y$36, Table1[[ActualResult]:[ActualResult]], "OT") + SUMIFS(Table1[[AwayWon]:[AwayWon]], Table1[[GameIsOver]:[GameIsOver]], 1, Table1[[HomeTeam]:[HomeTeam]], $A63, Table1[[AwayTeam]:[AwayTeam]], Y$36, Table1[[ActualResult]:[ActualResult]], "OT") + SUMIFS(Table1[[HomeWon]:[HomeWon]], Table1[[GameIsOver]:[GameIsOver]], 1, Table1[[AwayTeam]:[AwayTeam]], $A63, Table1[[HomeTeam]:[HomeTeam]], Y$36, Table1[[ActualResult]:[ActualResult]], "SO") + SUMIFS(Table1[[AwayWon]:[AwayWon]], Table1[[GameIsOver]:[GameIsOver]], 1, Table1[[HomeTeam]:[HomeTeam]], $A63, Table1[[AwayTeam]:[AwayTeam]], Y$36, Table1[[ActualResult]:[ActualResult]], "SO")))/ (2*((COUNTIFS(Table1[[GameIsOver]:[GameIsOver]],1,Table1[[AwayTeam]:[AwayTeam]],$A63, Table1[[HomeTeam]:[HomeTeam]], Y$36)))+( COUNTIFS(Table1[[GameIsOver]:[GameIsOver]],1,Table1[[AwayTeam]:[AwayTeam]],Y$36, Table1[[HomeTeam]:[HomeTeam]],$A63))), "")</f>
        <v/>
      </c>
      <c r="Z63" s="36" t="str">
        <f>IFERROR(((2 * (SUMIFS(Table1[[AwayWon]:[AwayWon]], Table1[[GameIsOver]:[GameIsOver]], 1, Table1[[AwayTeam]:[AwayTeam]], $A63, Table1[[HomeTeam]:[HomeTeam]], Z$36) + SUMIFS(Table1[[HomeWon]:[HomeWon]], Table1[[GameIsOver]:[GameIsOver]], 1, Table1[[HomeTeam]:[HomeTeam]], $A63, Table1[[AwayTeam]:[AwayTeam]], Z$36))) + (SUMIFS(Table1[[HomeWon]:[HomeWon]], Table1[[GameIsOver]:[GameIsOver]], 1, Table1[[AwayTeam]:[AwayTeam]], $A63, Table1[[HomeTeam]:[HomeTeam]],  Z$36, Table1[[ActualResult]:[ActualResult]], "OT") + SUMIFS(Table1[[AwayWon]:[AwayWon]], Table1[[GameIsOver]:[GameIsOver]], 1, Table1[[HomeTeam]:[HomeTeam]], $A63, Table1[[AwayTeam]:[AwayTeam]], Z$36, Table1[[ActualResult]:[ActualResult]], "OT") + SUMIFS(Table1[[HomeWon]:[HomeWon]], Table1[[GameIsOver]:[GameIsOver]], 1, Table1[[AwayTeam]:[AwayTeam]], $A63, Table1[[HomeTeam]:[HomeTeam]], Z$36, Table1[[ActualResult]:[ActualResult]], "SO") + SUMIFS(Table1[[AwayWon]:[AwayWon]], Table1[[GameIsOver]:[GameIsOver]], 1, Table1[[HomeTeam]:[HomeTeam]], $A63, Table1[[AwayTeam]:[AwayTeam]], Z$36, Table1[[ActualResult]:[ActualResult]], "SO")))/ (2*((COUNTIFS(Table1[[GameIsOver]:[GameIsOver]],1,Table1[[AwayTeam]:[AwayTeam]],$A63, Table1[[HomeTeam]:[HomeTeam]], Z$36)))+( COUNTIFS(Table1[[GameIsOver]:[GameIsOver]],1,Table1[[AwayTeam]:[AwayTeam]],Z$36, Table1[[HomeTeam]:[HomeTeam]],$A63))), "")</f>
        <v/>
      </c>
      <c r="AA63" s="36" t="str">
        <f>IFERROR(((2 * (SUMIFS(Table1[[AwayWon]:[AwayWon]], Table1[[GameIsOver]:[GameIsOver]], 1, Table1[[AwayTeam]:[AwayTeam]], $A63, Table1[[HomeTeam]:[HomeTeam]], AA$36) + SUMIFS(Table1[[HomeWon]:[HomeWon]], Table1[[GameIsOver]:[GameIsOver]], 1, Table1[[HomeTeam]:[HomeTeam]], $A63, Table1[[AwayTeam]:[AwayTeam]], AA$36))) + (SUMIFS(Table1[[HomeWon]:[HomeWon]], Table1[[GameIsOver]:[GameIsOver]], 1, Table1[[AwayTeam]:[AwayTeam]], $A63, Table1[[HomeTeam]:[HomeTeam]],  AA$36, Table1[[ActualResult]:[ActualResult]], "OT") + SUMIFS(Table1[[AwayWon]:[AwayWon]], Table1[[GameIsOver]:[GameIsOver]], 1, Table1[[HomeTeam]:[HomeTeam]], $A63, Table1[[AwayTeam]:[AwayTeam]], AA$36, Table1[[ActualResult]:[ActualResult]], "OT") + SUMIFS(Table1[[HomeWon]:[HomeWon]], Table1[[GameIsOver]:[GameIsOver]], 1, Table1[[AwayTeam]:[AwayTeam]], $A63, Table1[[HomeTeam]:[HomeTeam]], AA$36, Table1[[ActualResult]:[ActualResult]], "SO") + SUMIFS(Table1[[AwayWon]:[AwayWon]], Table1[[GameIsOver]:[GameIsOver]], 1, Table1[[HomeTeam]:[HomeTeam]], $A63, Table1[[AwayTeam]:[AwayTeam]], AA$36, Table1[[ActualResult]:[ActualResult]], "SO")))/ (2*((COUNTIFS(Table1[[GameIsOver]:[GameIsOver]],1,Table1[[AwayTeam]:[AwayTeam]],$A63, Table1[[HomeTeam]:[HomeTeam]], AA$36)))+( COUNTIFS(Table1[[GameIsOver]:[GameIsOver]],1,Table1[[AwayTeam]:[AwayTeam]],AA$36, Table1[[HomeTeam]:[HomeTeam]],$A63))), "")</f>
        <v/>
      </c>
      <c r="AB63" s="36" t="str">
        <f>IFERROR(((2 * (SUMIFS(Table1[[AwayWon]:[AwayWon]], Table1[[GameIsOver]:[GameIsOver]], 1, Table1[[AwayTeam]:[AwayTeam]], $A63, Table1[[HomeTeam]:[HomeTeam]], AB$36) + SUMIFS(Table1[[HomeWon]:[HomeWon]], Table1[[GameIsOver]:[GameIsOver]], 1, Table1[[HomeTeam]:[HomeTeam]], $A63, Table1[[AwayTeam]:[AwayTeam]], AB$36))) + (SUMIFS(Table1[[HomeWon]:[HomeWon]], Table1[[GameIsOver]:[GameIsOver]], 1, Table1[[AwayTeam]:[AwayTeam]], $A63, Table1[[HomeTeam]:[HomeTeam]],  AB$36, Table1[[ActualResult]:[ActualResult]], "OT") + SUMIFS(Table1[[AwayWon]:[AwayWon]], Table1[[GameIsOver]:[GameIsOver]], 1, Table1[[HomeTeam]:[HomeTeam]], $A63, Table1[[AwayTeam]:[AwayTeam]], AB$36, Table1[[ActualResult]:[ActualResult]], "OT") + SUMIFS(Table1[[HomeWon]:[HomeWon]], Table1[[GameIsOver]:[GameIsOver]], 1, Table1[[AwayTeam]:[AwayTeam]], $A63, Table1[[HomeTeam]:[HomeTeam]], AB$36, Table1[[ActualResult]:[ActualResult]], "SO") + SUMIFS(Table1[[AwayWon]:[AwayWon]], Table1[[GameIsOver]:[GameIsOver]], 1, Table1[[HomeTeam]:[HomeTeam]], $A63, Table1[[AwayTeam]:[AwayTeam]], AB$36, Table1[[ActualResult]:[ActualResult]], "SO")))/ (2*((COUNTIFS(Table1[[GameIsOver]:[GameIsOver]],1,Table1[[AwayTeam]:[AwayTeam]],$A63, Table1[[HomeTeam]:[HomeTeam]], AB$36)))+( COUNTIFS(Table1[[GameIsOver]:[GameIsOver]],1,Table1[[AwayTeam]:[AwayTeam]],AB$36, Table1[[HomeTeam]:[HomeTeam]],$A63))), "")</f>
        <v/>
      </c>
      <c r="AC63" s="36" t="str">
        <f>IFERROR(((2 * (SUMIFS(Table1[[AwayWon]:[AwayWon]], Table1[[GameIsOver]:[GameIsOver]], 1, Table1[[AwayTeam]:[AwayTeam]], $A63, Table1[[HomeTeam]:[HomeTeam]], AC$36) + SUMIFS(Table1[[HomeWon]:[HomeWon]], Table1[[GameIsOver]:[GameIsOver]], 1, Table1[[HomeTeam]:[HomeTeam]], $A63, Table1[[AwayTeam]:[AwayTeam]], AC$36))) + (SUMIFS(Table1[[HomeWon]:[HomeWon]], Table1[[GameIsOver]:[GameIsOver]], 1, Table1[[AwayTeam]:[AwayTeam]], $A63, Table1[[HomeTeam]:[HomeTeam]],  AC$36, Table1[[ActualResult]:[ActualResult]], "OT") + SUMIFS(Table1[[AwayWon]:[AwayWon]], Table1[[GameIsOver]:[GameIsOver]], 1, Table1[[HomeTeam]:[HomeTeam]], $A63, Table1[[AwayTeam]:[AwayTeam]], AC$36, Table1[[ActualResult]:[ActualResult]], "OT") + SUMIFS(Table1[[HomeWon]:[HomeWon]], Table1[[GameIsOver]:[GameIsOver]], 1, Table1[[AwayTeam]:[AwayTeam]], $A63, Table1[[HomeTeam]:[HomeTeam]], AC$36, Table1[[ActualResult]:[ActualResult]], "SO") + SUMIFS(Table1[[AwayWon]:[AwayWon]], Table1[[GameIsOver]:[GameIsOver]], 1, Table1[[HomeTeam]:[HomeTeam]], $A63, Table1[[AwayTeam]:[AwayTeam]], AC$36, Table1[[ActualResult]:[ActualResult]], "SO")))/ (2*((COUNTIFS(Table1[[GameIsOver]:[GameIsOver]],1,Table1[[AwayTeam]:[AwayTeam]],$A63, Table1[[HomeTeam]:[HomeTeam]], AC$36)))+( COUNTIFS(Table1[[GameIsOver]:[GameIsOver]],1,Table1[[AwayTeam]:[AwayTeam]],AC$36, Table1[[HomeTeam]:[HomeTeam]],$A63))), "")</f>
        <v/>
      </c>
      <c r="AD63" s="36" t="str">
        <f>IFERROR(((2 * (SUMIFS(Table1[[AwayWon]:[AwayWon]], Table1[[GameIsOver]:[GameIsOver]], 1, Table1[[AwayTeam]:[AwayTeam]], $A63, Table1[[HomeTeam]:[HomeTeam]], AD$36) + SUMIFS(Table1[[HomeWon]:[HomeWon]], Table1[[GameIsOver]:[GameIsOver]], 1, Table1[[HomeTeam]:[HomeTeam]], $A63, Table1[[AwayTeam]:[AwayTeam]], AD$36))) + (SUMIFS(Table1[[HomeWon]:[HomeWon]], Table1[[GameIsOver]:[GameIsOver]], 1, Table1[[AwayTeam]:[AwayTeam]], $A63, Table1[[HomeTeam]:[HomeTeam]],  AD$36, Table1[[ActualResult]:[ActualResult]], "OT") + SUMIFS(Table1[[AwayWon]:[AwayWon]], Table1[[GameIsOver]:[GameIsOver]], 1, Table1[[HomeTeam]:[HomeTeam]], $A63, Table1[[AwayTeam]:[AwayTeam]], AD$36, Table1[[ActualResult]:[ActualResult]], "OT") + SUMIFS(Table1[[HomeWon]:[HomeWon]], Table1[[GameIsOver]:[GameIsOver]], 1, Table1[[AwayTeam]:[AwayTeam]], $A63, Table1[[HomeTeam]:[HomeTeam]], AD$36, Table1[[ActualResult]:[ActualResult]], "SO") + SUMIFS(Table1[[AwayWon]:[AwayWon]], Table1[[GameIsOver]:[GameIsOver]], 1, Table1[[HomeTeam]:[HomeTeam]], $A63, Table1[[AwayTeam]:[AwayTeam]], AD$36, Table1[[ActualResult]:[ActualResult]], "SO")))/ (2*((COUNTIFS(Table1[[GameIsOver]:[GameIsOver]],1,Table1[[AwayTeam]:[AwayTeam]],$A63, Table1[[HomeTeam]:[HomeTeam]], AD$36)))+( COUNTIFS(Table1[[GameIsOver]:[GameIsOver]],1,Table1[[AwayTeam]:[AwayTeam]],AD$36, Table1[[HomeTeam]:[HomeTeam]],$A63))), "")</f>
        <v/>
      </c>
      <c r="AE63" s="36" t="str">
        <f>IFERROR(((2 * (SUMIFS(Table1[[AwayWon]:[AwayWon]], Table1[[GameIsOver]:[GameIsOver]], 1, Table1[[AwayTeam]:[AwayTeam]], $A63, Table1[[HomeTeam]:[HomeTeam]], AE$36) + SUMIFS(Table1[[HomeWon]:[HomeWon]], Table1[[GameIsOver]:[GameIsOver]], 1, Table1[[HomeTeam]:[HomeTeam]], $A63, Table1[[AwayTeam]:[AwayTeam]], AE$36))) + (SUMIFS(Table1[[HomeWon]:[HomeWon]], Table1[[GameIsOver]:[GameIsOver]], 1, Table1[[AwayTeam]:[AwayTeam]], $A63, Table1[[HomeTeam]:[HomeTeam]],  AE$36, Table1[[ActualResult]:[ActualResult]], "OT") + SUMIFS(Table1[[AwayWon]:[AwayWon]], Table1[[GameIsOver]:[GameIsOver]], 1, Table1[[HomeTeam]:[HomeTeam]], $A63, Table1[[AwayTeam]:[AwayTeam]], AE$36, Table1[[ActualResult]:[ActualResult]], "OT") + SUMIFS(Table1[[HomeWon]:[HomeWon]], Table1[[GameIsOver]:[GameIsOver]], 1, Table1[[AwayTeam]:[AwayTeam]], $A63, Table1[[HomeTeam]:[HomeTeam]], AE$36, Table1[[ActualResult]:[ActualResult]], "SO") + SUMIFS(Table1[[AwayWon]:[AwayWon]], Table1[[GameIsOver]:[GameIsOver]], 1, Table1[[HomeTeam]:[HomeTeam]], $A63, Table1[[AwayTeam]:[AwayTeam]], AE$36, Table1[[ActualResult]:[ActualResult]], "SO")))/ (2*((COUNTIFS(Table1[[GameIsOver]:[GameIsOver]],1,Table1[[AwayTeam]:[AwayTeam]],$A63, Table1[[HomeTeam]:[HomeTeam]], AE$36)))+( COUNTIFS(Table1[[GameIsOver]:[GameIsOver]],1,Table1[[AwayTeam]:[AwayTeam]],AE$36, Table1[[HomeTeam]:[HomeTeam]],$A63))), "")</f>
        <v/>
      </c>
      <c r="AF63" s="36" t="str">
        <f>IFERROR(((2 * (SUMIFS(Table1[[AwayWon]:[AwayWon]], Table1[[GameIsOver]:[GameIsOver]], 1, Table1[[AwayTeam]:[AwayTeam]], $A63, Table1[[HomeTeam]:[HomeTeam]], AF$36) + SUMIFS(Table1[[HomeWon]:[HomeWon]], Table1[[GameIsOver]:[GameIsOver]], 1, Table1[[HomeTeam]:[HomeTeam]], $A63, Table1[[AwayTeam]:[AwayTeam]], AF$36))) + (SUMIFS(Table1[[HomeWon]:[HomeWon]], Table1[[GameIsOver]:[GameIsOver]], 1, Table1[[AwayTeam]:[AwayTeam]], $A63, Table1[[HomeTeam]:[HomeTeam]],  AF$36, Table1[[ActualResult]:[ActualResult]], "OT") + SUMIFS(Table1[[AwayWon]:[AwayWon]], Table1[[GameIsOver]:[GameIsOver]], 1, Table1[[HomeTeam]:[HomeTeam]], $A63, Table1[[AwayTeam]:[AwayTeam]], AF$36, Table1[[ActualResult]:[ActualResult]], "OT") + SUMIFS(Table1[[HomeWon]:[HomeWon]], Table1[[GameIsOver]:[GameIsOver]], 1, Table1[[AwayTeam]:[AwayTeam]], $A63, Table1[[HomeTeam]:[HomeTeam]], AF$36, Table1[[ActualResult]:[ActualResult]], "SO") + SUMIFS(Table1[[AwayWon]:[AwayWon]], Table1[[GameIsOver]:[GameIsOver]], 1, Table1[[HomeTeam]:[HomeTeam]], $A63, Table1[[AwayTeam]:[AwayTeam]], AF$36, Table1[[ActualResult]:[ActualResult]], "SO")))/ (2*((COUNTIFS(Table1[[GameIsOver]:[GameIsOver]],1,Table1[[AwayTeam]:[AwayTeam]],$A63, Table1[[HomeTeam]:[HomeTeam]], AF$36)))+( COUNTIFS(Table1[[GameIsOver]:[GameIsOver]],1,Table1[[AwayTeam]:[AwayTeam]],AF$36, Table1[[HomeTeam]:[HomeTeam]],$A63))), "")</f>
        <v/>
      </c>
      <c r="AG63" s="36" t="str">
        <f>IFERROR(((2 * (SUMIFS(Table1[[AwayWon]:[AwayWon]], Table1[[GameIsOver]:[GameIsOver]], 1, Table1[[AwayTeam]:[AwayTeam]], $A63, Table1[[HomeTeam]:[HomeTeam]], AG$36) + SUMIFS(Table1[[HomeWon]:[HomeWon]], Table1[[GameIsOver]:[GameIsOver]], 1, Table1[[HomeTeam]:[HomeTeam]], $A63, Table1[[AwayTeam]:[AwayTeam]], AG$36))) + (SUMIFS(Table1[[HomeWon]:[HomeWon]], Table1[[GameIsOver]:[GameIsOver]], 1, Table1[[AwayTeam]:[AwayTeam]], $A63, Table1[[HomeTeam]:[HomeTeam]],  AG$36, Table1[[ActualResult]:[ActualResult]], "OT") + SUMIFS(Table1[[AwayWon]:[AwayWon]], Table1[[GameIsOver]:[GameIsOver]], 1, Table1[[HomeTeam]:[HomeTeam]], $A63, Table1[[AwayTeam]:[AwayTeam]], AG$36, Table1[[ActualResult]:[ActualResult]], "OT") + SUMIFS(Table1[[HomeWon]:[HomeWon]], Table1[[GameIsOver]:[GameIsOver]], 1, Table1[[AwayTeam]:[AwayTeam]], $A63, Table1[[HomeTeam]:[HomeTeam]], AG$36, Table1[[ActualResult]:[ActualResult]], "SO") + SUMIFS(Table1[[AwayWon]:[AwayWon]], Table1[[GameIsOver]:[GameIsOver]], 1, Table1[[HomeTeam]:[HomeTeam]], $A63, Table1[[AwayTeam]:[AwayTeam]], AG$36, Table1[[ActualResult]:[ActualResult]], "SO")))/ (2*((COUNTIFS(Table1[[GameIsOver]:[GameIsOver]],1,Table1[[AwayTeam]:[AwayTeam]],$A63, Table1[[HomeTeam]:[HomeTeam]], AG$36)))+( COUNTIFS(Table1[[GameIsOver]:[GameIsOver]],1,Table1[[AwayTeam]:[AwayTeam]],AG$36, Table1[[HomeTeam]:[HomeTeam]],$A63))), "")</f>
        <v/>
      </c>
      <c r="AH63" s="37">
        <f t="shared" si="0"/>
        <v>1</v>
      </c>
      <c r="AI63" s="37" t="e">
        <f t="shared" si="1"/>
        <v>#DIV/0!</v>
      </c>
      <c r="AJ63" s="38" t="e">
        <f t="shared" si="2"/>
        <v>#DIV/0!</v>
      </c>
      <c r="AK63" s="38">
        <f t="shared" si="3"/>
        <v>1</v>
      </c>
      <c r="AL63" s="38" t="e">
        <f t="shared" si="4"/>
        <v>#DIV/0!</v>
      </c>
      <c r="AM63" s="38" t="e">
        <f t="shared" si="5"/>
        <v>#DIV/0!</v>
      </c>
    </row>
    <row r="64" spans="1:39" x14ac:dyDescent="0.25">
      <c r="A64" s="17" t="s">
        <v>17</v>
      </c>
      <c r="B64" s="36" t="str">
        <f>IFERROR(((2 * (SUMIFS(Table1[[AwayWon]:[AwayWon]], Table1[[GameIsOver]:[GameIsOver]], 1, Table1[[AwayTeam]:[AwayTeam]], $A64, Table1[[HomeTeam]:[HomeTeam]], B$36) + SUMIFS(Table1[[HomeWon]:[HomeWon]], Table1[[GameIsOver]:[GameIsOver]], 1, Table1[[HomeTeam]:[HomeTeam]], $A64, Table1[[AwayTeam]:[AwayTeam]], B$36))) + (SUMIFS(Table1[[HomeWon]:[HomeWon]], Table1[[GameIsOver]:[GameIsOver]], 1, Table1[[AwayTeam]:[AwayTeam]], $A64, Table1[[HomeTeam]:[HomeTeam]],  B$36, Table1[[ActualResult]:[ActualResult]], "OT") + SUMIFS(Table1[[AwayWon]:[AwayWon]], Table1[[GameIsOver]:[GameIsOver]], 1, Table1[[HomeTeam]:[HomeTeam]], $A64, Table1[[AwayTeam]:[AwayTeam]], B$36, Table1[[ActualResult]:[ActualResult]], "OT") + SUMIFS(Table1[[HomeWon]:[HomeWon]], Table1[[GameIsOver]:[GameIsOver]], 1, Table1[[AwayTeam]:[AwayTeam]], $A64, Table1[[HomeTeam]:[HomeTeam]], B$36, Table1[[ActualResult]:[ActualResult]], "SO") + SUMIFS(Table1[[AwayWon]:[AwayWon]], Table1[[GameIsOver]:[GameIsOver]], 1, Table1[[HomeTeam]:[HomeTeam]], $A64, Table1[[AwayTeam]:[AwayTeam]], B$36, Table1[[ActualResult]:[ActualResult]], "SO")))/ (2*((COUNTIFS(Table1[[GameIsOver]:[GameIsOver]],1,Table1[[AwayTeam]:[AwayTeam]],$A64, Table1[[HomeTeam]:[HomeTeam]], B$36)))+( COUNTIFS(Table1[[GameIsOver]:[GameIsOver]],1,Table1[[AwayTeam]:[AwayTeam]],B$36, Table1[[HomeTeam]:[HomeTeam]],$A64))), "")</f>
        <v/>
      </c>
      <c r="C64" s="36" t="str">
        <f>IFERROR(((2 * (SUMIFS(Table1[[AwayWon]:[AwayWon]], Table1[[GameIsOver]:[GameIsOver]], 1, Table1[[AwayTeam]:[AwayTeam]], $A64, Table1[[HomeTeam]:[HomeTeam]], C$36) + SUMIFS(Table1[[HomeWon]:[HomeWon]], Table1[[GameIsOver]:[GameIsOver]], 1, Table1[[HomeTeam]:[HomeTeam]], $A64, Table1[[AwayTeam]:[AwayTeam]], C$36))) + (SUMIFS(Table1[[HomeWon]:[HomeWon]], Table1[[GameIsOver]:[GameIsOver]], 1, Table1[[AwayTeam]:[AwayTeam]], $A64, Table1[[HomeTeam]:[HomeTeam]],  C$36, Table1[[ActualResult]:[ActualResult]], "OT") + SUMIFS(Table1[[AwayWon]:[AwayWon]], Table1[[GameIsOver]:[GameIsOver]], 1, Table1[[HomeTeam]:[HomeTeam]], $A64, Table1[[AwayTeam]:[AwayTeam]], C$36, Table1[[ActualResult]:[ActualResult]], "OT") + SUMIFS(Table1[[HomeWon]:[HomeWon]], Table1[[GameIsOver]:[GameIsOver]], 1, Table1[[AwayTeam]:[AwayTeam]], $A64, Table1[[HomeTeam]:[HomeTeam]], C$36, Table1[[ActualResult]:[ActualResult]], "SO") + SUMIFS(Table1[[AwayWon]:[AwayWon]], Table1[[GameIsOver]:[GameIsOver]], 1, Table1[[HomeTeam]:[HomeTeam]], $A64, Table1[[AwayTeam]:[AwayTeam]], C$36, Table1[[ActualResult]:[ActualResult]], "SO")))/ (2*((COUNTIFS(Table1[[GameIsOver]:[GameIsOver]],1,Table1[[AwayTeam]:[AwayTeam]],$A64, Table1[[HomeTeam]:[HomeTeam]], C$36)))+( COUNTIFS(Table1[[GameIsOver]:[GameIsOver]],1,Table1[[AwayTeam]:[AwayTeam]],C$36, Table1[[HomeTeam]:[HomeTeam]],$A64))), "")</f>
        <v/>
      </c>
      <c r="D64" s="36" t="str">
        <f>IFERROR(((2 * (SUMIFS(Table1[[AwayWon]:[AwayWon]], Table1[[GameIsOver]:[GameIsOver]], 1, Table1[[AwayTeam]:[AwayTeam]], $A64, Table1[[HomeTeam]:[HomeTeam]], D$36) + SUMIFS(Table1[[HomeWon]:[HomeWon]], Table1[[GameIsOver]:[GameIsOver]], 1, Table1[[HomeTeam]:[HomeTeam]], $A64, Table1[[AwayTeam]:[AwayTeam]], D$36))) + (SUMIFS(Table1[[HomeWon]:[HomeWon]], Table1[[GameIsOver]:[GameIsOver]], 1, Table1[[AwayTeam]:[AwayTeam]], $A64, Table1[[HomeTeam]:[HomeTeam]],  D$36, Table1[[ActualResult]:[ActualResult]], "OT") + SUMIFS(Table1[[AwayWon]:[AwayWon]], Table1[[GameIsOver]:[GameIsOver]], 1, Table1[[HomeTeam]:[HomeTeam]], $A64, Table1[[AwayTeam]:[AwayTeam]], D$36, Table1[[ActualResult]:[ActualResult]], "OT") + SUMIFS(Table1[[HomeWon]:[HomeWon]], Table1[[GameIsOver]:[GameIsOver]], 1, Table1[[AwayTeam]:[AwayTeam]], $A64, Table1[[HomeTeam]:[HomeTeam]], D$36, Table1[[ActualResult]:[ActualResult]], "SO") + SUMIFS(Table1[[AwayWon]:[AwayWon]], Table1[[GameIsOver]:[GameIsOver]], 1, Table1[[HomeTeam]:[HomeTeam]], $A64, Table1[[AwayTeam]:[AwayTeam]], D$36, Table1[[ActualResult]:[ActualResult]], "SO")))/ (2*((COUNTIFS(Table1[[GameIsOver]:[GameIsOver]],1,Table1[[AwayTeam]:[AwayTeam]],$A64, Table1[[HomeTeam]:[HomeTeam]], D$36)))+( COUNTIFS(Table1[[GameIsOver]:[GameIsOver]],1,Table1[[AwayTeam]:[AwayTeam]],D$36, Table1[[HomeTeam]:[HomeTeam]],$A64))), "")</f>
        <v/>
      </c>
      <c r="E64" s="36" t="str">
        <f>IFERROR(((2 * (SUMIFS(Table1[[AwayWon]:[AwayWon]], Table1[[GameIsOver]:[GameIsOver]], 1, Table1[[AwayTeam]:[AwayTeam]], $A64, Table1[[HomeTeam]:[HomeTeam]], E$36) + SUMIFS(Table1[[HomeWon]:[HomeWon]], Table1[[GameIsOver]:[GameIsOver]], 1, Table1[[HomeTeam]:[HomeTeam]], $A64, Table1[[AwayTeam]:[AwayTeam]], E$36))) + (SUMIFS(Table1[[HomeWon]:[HomeWon]], Table1[[GameIsOver]:[GameIsOver]], 1, Table1[[AwayTeam]:[AwayTeam]], $A64, Table1[[HomeTeam]:[HomeTeam]],  E$36, Table1[[ActualResult]:[ActualResult]], "OT") + SUMIFS(Table1[[AwayWon]:[AwayWon]], Table1[[GameIsOver]:[GameIsOver]], 1, Table1[[HomeTeam]:[HomeTeam]], $A64, Table1[[AwayTeam]:[AwayTeam]], E$36, Table1[[ActualResult]:[ActualResult]], "OT") + SUMIFS(Table1[[HomeWon]:[HomeWon]], Table1[[GameIsOver]:[GameIsOver]], 1, Table1[[AwayTeam]:[AwayTeam]], $A64, Table1[[HomeTeam]:[HomeTeam]], E$36, Table1[[ActualResult]:[ActualResult]], "SO") + SUMIFS(Table1[[AwayWon]:[AwayWon]], Table1[[GameIsOver]:[GameIsOver]], 1, Table1[[HomeTeam]:[HomeTeam]], $A64, Table1[[AwayTeam]:[AwayTeam]], E$36, Table1[[ActualResult]:[ActualResult]], "SO")))/ (2*((COUNTIFS(Table1[[GameIsOver]:[GameIsOver]],1,Table1[[AwayTeam]:[AwayTeam]],$A64, Table1[[HomeTeam]:[HomeTeam]], E$36)))+( COUNTIFS(Table1[[GameIsOver]:[GameIsOver]],1,Table1[[AwayTeam]:[AwayTeam]],E$36, Table1[[HomeTeam]:[HomeTeam]],$A64))), "")</f>
        <v/>
      </c>
      <c r="F64" s="36" t="str">
        <f>IFERROR(((2 * (SUMIFS(Table1[[AwayWon]:[AwayWon]], Table1[[GameIsOver]:[GameIsOver]], 1, Table1[[AwayTeam]:[AwayTeam]], $A64, Table1[[HomeTeam]:[HomeTeam]], F$36) + SUMIFS(Table1[[HomeWon]:[HomeWon]], Table1[[GameIsOver]:[GameIsOver]], 1, Table1[[HomeTeam]:[HomeTeam]], $A64, Table1[[AwayTeam]:[AwayTeam]], F$36))) + (SUMIFS(Table1[[HomeWon]:[HomeWon]], Table1[[GameIsOver]:[GameIsOver]], 1, Table1[[AwayTeam]:[AwayTeam]], $A64, Table1[[HomeTeam]:[HomeTeam]],  F$36, Table1[[ActualResult]:[ActualResult]], "OT") + SUMIFS(Table1[[AwayWon]:[AwayWon]], Table1[[GameIsOver]:[GameIsOver]], 1, Table1[[HomeTeam]:[HomeTeam]], $A64, Table1[[AwayTeam]:[AwayTeam]], F$36, Table1[[ActualResult]:[ActualResult]], "OT") + SUMIFS(Table1[[HomeWon]:[HomeWon]], Table1[[GameIsOver]:[GameIsOver]], 1, Table1[[AwayTeam]:[AwayTeam]], $A64, Table1[[HomeTeam]:[HomeTeam]], F$36, Table1[[ActualResult]:[ActualResult]], "SO") + SUMIFS(Table1[[AwayWon]:[AwayWon]], Table1[[GameIsOver]:[GameIsOver]], 1, Table1[[HomeTeam]:[HomeTeam]], $A64, Table1[[AwayTeam]:[AwayTeam]], F$36, Table1[[ActualResult]:[ActualResult]], "SO")))/ (2*((COUNTIFS(Table1[[GameIsOver]:[GameIsOver]],1,Table1[[AwayTeam]:[AwayTeam]],$A64, Table1[[HomeTeam]:[HomeTeam]], F$36)))+( COUNTIFS(Table1[[GameIsOver]:[GameIsOver]],1,Table1[[AwayTeam]:[AwayTeam]],F$36, Table1[[HomeTeam]:[HomeTeam]],$A64))), "")</f>
        <v/>
      </c>
      <c r="G64" s="36">
        <f>IFERROR(((2 * (SUMIFS(Table1[[AwayWon]:[AwayWon]], Table1[[GameIsOver]:[GameIsOver]], 1, Table1[[AwayTeam]:[AwayTeam]], $A64, Table1[[HomeTeam]:[HomeTeam]], G$36) + SUMIFS(Table1[[HomeWon]:[HomeWon]], Table1[[GameIsOver]:[GameIsOver]], 1, Table1[[HomeTeam]:[HomeTeam]], $A64, Table1[[AwayTeam]:[AwayTeam]], G$36))) + (SUMIFS(Table1[[HomeWon]:[HomeWon]], Table1[[GameIsOver]:[GameIsOver]], 1, Table1[[AwayTeam]:[AwayTeam]], $A64, Table1[[HomeTeam]:[HomeTeam]],  G$36, Table1[[ActualResult]:[ActualResult]], "OT") + SUMIFS(Table1[[AwayWon]:[AwayWon]], Table1[[GameIsOver]:[GameIsOver]], 1, Table1[[HomeTeam]:[HomeTeam]], $A64, Table1[[AwayTeam]:[AwayTeam]], G$36, Table1[[ActualResult]:[ActualResult]], "OT") + SUMIFS(Table1[[HomeWon]:[HomeWon]], Table1[[GameIsOver]:[GameIsOver]], 1, Table1[[AwayTeam]:[AwayTeam]], $A64, Table1[[HomeTeam]:[HomeTeam]], G$36, Table1[[ActualResult]:[ActualResult]], "SO") + SUMIFS(Table1[[AwayWon]:[AwayWon]], Table1[[GameIsOver]:[GameIsOver]], 1, Table1[[HomeTeam]:[HomeTeam]], $A64, Table1[[AwayTeam]:[AwayTeam]], G$36, Table1[[ActualResult]:[ActualResult]], "SO")))/ (2*((COUNTIFS(Table1[[GameIsOver]:[GameIsOver]],1,Table1[[AwayTeam]:[AwayTeam]],$A64, Table1[[HomeTeam]:[HomeTeam]], G$36)))+( COUNTIFS(Table1[[GameIsOver]:[GameIsOver]],1,Table1[[AwayTeam]:[AwayTeam]],G$36, Table1[[HomeTeam]:[HomeTeam]],$A64))), "")</f>
        <v>1</v>
      </c>
      <c r="H64" s="36" t="str">
        <f>IFERROR(((2 * (SUMIFS(Table1[[AwayWon]:[AwayWon]], Table1[[GameIsOver]:[GameIsOver]], 1, Table1[[AwayTeam]:[AwayTeam]], $A64, Table1[[HomeTeam]:[HomeTeam]], H$36) + SUMIFS(Table1[[HomeWon]:[HomeWon]], Table1[[GameIsOver]:[GameIsOver]], 1, Table1[[HomeTeam]:[HomeTeam]], $A64, Table1[[AwayTeam]:[AwayTeam]], H$36))) + (SUMIFS(Table1[[HomeWon]:[HomeWon]], Table1[[GameIsOver]:[GameIsOver]], 1, Table1[[AwayTeam]:[AwayTeam]], $A64, Table1[[HomeTeam]:[HomeTeam]],  H$36, Table1[[ActualResult]:[ActualResult]], "OT") + SUMIFS(Table1[[AwayWon]:[AwayWon]], Table1[[GameIsOver]:[GameIsOver]], 1, Table1[[HomeTeam]:[HomeTeam]], $A64, Table1[[AwayTeam]:[AwayTeam]], H$36, Table1[[ActualResult]:[ActualResult]], "OT") + SUMIFS(Table1[[HomeWon]:[HomeWon]], Table1[[GameIsOver]:[GameIsOver]], 1, Table1[[AwayTeam]:[AwayTeam]], $A64, Table1[[HomeTeam]:[HomeTeam]], H$36, Table1[[ActualResult]:[ActualResult]], "SO") + SUMIFS(Table1[[AwayWon]:[AwayWon]], Table1[[GameIsOver]:[GameIsOver]], 1, Table1[[HomeTeam]:[HomeTeam]], $A64, Table1[[AwayTeam]:[AwayTeam]], H$36, Table1[[ActualResult]:[ActualResult]], "SO")))/ (2*((COUNTIFS(Table1[[GameIsOver]:[GameIsOver]],1,Table1[[AwayTeam]:[AwayTeam]],$A64, Table1[[HomeTeam]:[HomeTeam]], H$36)))+( COUNTIFS(Table1[[GameIsOver]:[GameIsOver]],1,Table1[[AwayTeam]:[AwayTeam]],H$36, Table1[[HomeTeam]:[HomeTeam]],$A64))), "")</f>
        <v/>
      </c>
      <c r="I64" s="38" t="str">
        <f>IFERROR(((2 * (SUMIFS(Table1[[AwayWon]:[AwayWon]], Table1[[GameIsOver]:[GameIsOver]], 1, Table1[[AwayTeam]:[AwayTeam]], $A64, Table1[[HomeTeam]:[HomeTeam]], I$36) + SUMIFS(Table1[[HomeWon]:[HomeWon]], Table1[[GameIsOver]:[GameIsOver]], 1, Table1[[HomeTeam]:[HomeTeam]], $A64, Table1[[AwayTeam]:[AwayTeam]], I$36))) + (SUMIFS(Table1[[HomeWon]:[HomeWon]], Table1[[GameIsOver]:[GameIsOver]], 1, Table1[[AwayTeam]:[AwayTeam]], $A64, Table1[[HomeTeam]:[HomeTeam]],  I$36, Table1[[ActualResult]:[ActualResult]], "OT") + SUMIFS(Table1[[AwayWon]:[AwayWon]], Table1[[GameIsOver]:[GameIsOver]], 1, Table1[[HomeTeam]:[HomeTeam]], $A64, Table1[[AwayTeam]:[AwayTeam]], I$36, Table1[[ActualResult]:[ActualResult]], "OT") + SUMIFS(Table1[[HomeWon]:[HomeWon]], Table1[[GameIsOver]:[GameIsOver]], 1, Table1[[AwayTeam]:[AwayTeam]], $A64, Table1[[HomeTeam]:[HomeTeam]], I$36, Table1[[ActualResult]:[ActualResult]], "SO") + SUMIFS(Table1[[AwayWon]:[AwayWon]], Table1[[GameIsOver]:[GameIsOver]], 1, Table1[[HomeTeam]:[HomeTeam]], $A64, Table1[[AwayTeam]:[AwayTeam]], I$36, Table1[[ActualResult]:[ActualResult]], "SO")))/ (2*((COUNTIFS(Table1[[GameIsOver]:[GameIsOver]],1,Table1[[AwayTeam]:[AwayTeam]],$A64, Table1[[HomeTeam]:[HomeTeam]], I$36)))+( COUNTIFS(Table1[[GameIsOver]:[GameIsOver]],1,Table1[[AwayTeam]:[AwayTeam]],I$36, Table1[[HomeTeam]:[HomeTeam]],$A64))), "")</f>
        <v/>
      </c>
      <c r="J64" s="36" t="str">
        <f>IFERROR(((2 * (SUMIFS(Table1[[AwayWon]:[AwayWon]], Table1[[GameIsOver]:[GameIsOver]], 1, Table1[[AwayTeam]:[AwayTeam]], $A64, Table1[[HomeTeam]:[HomeTeam]], J$36) + SUMIFS(Table1[[HomeWon]:[HomeWon]], Table1[[GameIsOver]:[GameIsOver]], 1, Table1[[HomeTeam]:[HomeTeam]], $A64, Table1[[AwayTeam]:[AwayTeam]], J$36))) + (SUMIFS(Table1[[HomeWon]:[HomeWon]], Table1[[GameIsOver]:[GameIsOver]], 1, Table1[[AwayTeam]:[AwayTeam]], $A64, Table1[[HomeTeam]:[HomeTeam]],  J$36, Table1[[ActualResult]:[ActualResult]], "OT") + SUMIFS(Table1[[AwayWon]:[AwayWon]], Table1[[GameIsOver]:[GameIsOver]], 1, Table1[[HomeTeam]:[HomeTeam]], $A64, Table1[[AwayTeam]:[AwayTeam]], J$36, Table1[[ActualResult]:[ActualResult]], "OT") + SUMIFS(Table1[[HomeWon]:[HomeWon]], Table1[[GameIsOver]:[GameIsOver]], 1, Table1[[AwayTeam]:[AwayTeam]], $A64, Table1[[HomeTeam]:[HomeTeam]], J$36, Table1[[ActualResult]:[ActualResult]], "SO") + SUMIFS(Table1[[AwayWon]:[AwayWon]], Table1[[GameIsOver]:[GameIsOver]], 1, Table1[[HomeTeam]:[HomeTeam]], $A64, Table1[[AwayTeam]:[AwayTeam]], J$36, Table1[[ActualResult]:[ActualResult]], "SO")))/ (2*((COUNTIFS(Table1[[GameIsOver]:[GameIsOver]],1,Table1[[AwayTeam]:[AwayTeam]],$A64, Table1[[HomeTeam]:[HomeTeam]], J$36)))+( COUNTIFS(Table1[[GameIsOver]:[GameIsOver]],1,Table1[[AwayTeam]:[AwayTeam]],J$36, Table1[[HomeTeam]:[HomeTeam]],$A64))), "")</f>
        <v/>
      </c>
      <c r="K64" s="36" t="str">
        <f>IFERROR(((2 * (SUMIFS(Table1[[AwayWon]:[AwayWon]], Table1[[GameIsOver]:[GameIsOver]], 1, Table1[[AwayTeam]:[AwayTeam]], $A64, Table1[[HomeTeam]:[HomeTeam]], K$36) + SUMIFS(Table1[[HomeWon]:[HomeWon]], Table1[[GameIsOver]:[GameIsOver]], 1, Table1[[HomeTeam]:[HomeTeam]], $A64, Table1[[AwayTeam]:[AwayTeam]], K$36))) + (SUMIFS(Table1[[HomeWon]:[HomeWon]], Table1[[GameIsOver]:[GameIsOver]], 1, Table1[[AwayTeam]:[AwayTeam]], $A64, Table1[[HomeTeam]:[HomeTeam]],  K$36, Table1[[ActualResult]:[ActualResult]], "OT") + SUMIFS(Table1[[AwayWon]:[AwayWon]], Table1[[GameIsOver]:[GameIsOver]], 1, Table1[[HomeTeam]:[HomeTeam]], $A64, Table1[[AwayTeam]:[AwayTeam]], K$36, Table1[[ActualResult]:[ActualResult]], "OT") + SUMIFS(Table1[[HomeWon]:[HomeWon]], Table1[[GameIsOver]:[GameIsOver]], 1, Table1[[AwayTeam]:[AwayTeam]], $A64, Table1[[HomeTeam]:[HomeTeam]], K$36, Table1[[ActualResult]:[ActualResult]], "SO") + SUMIFS(Table1[[AwayWon]:[AwayWon]], Table1[[GameIsOver]:[GameIsOver]], 1, Table1[[HomeTeam]:[HomeTeam]], $A64, Table1[[AwayTeam]:[AwayTeam]], K$36, Table1[[ActualResult]:[ActualResult]], "SO")))/ (2*((COUNTIFS(Table1[[GameIsOver]:[GameIsOver]],1,Table1[[AwayTeam]:[AwayTeam]],$A64, Table1[[HomeTeam]:[HomeTeam]], K$36)))+( COUNTIFS(Table1[[GameIsOver]:[GameIsOver]],1,Table1[[AwayTeam]:[AwayTeam]],K$36, Table1[[HomeTeam]:[HomeTeam]],$A64))), "")</f>
        <v/>
      </c>
      <c r="L64" s="36" t="str">
        <f>IFERROR(((2 * (SUMIFS(Table1[[AwayWon]:[AwayWon]], Table1[[GameIsOver]:[GameIsOver]], 1, Table1[[AwayTeam]:[AwayTeam]], $A64, Table1[[HomeTeam]:[HomeTeam]], L$36) + SUMIFS(Table1[[HomeWon]:[HomeWon]], Table1[[GameIsOver]:[GameIsOver]], 1, Table1[[HomeTeam]:[HomeTeam]], $A64, Table1[[AwayTeam]:[AwayTeam]], L$36))) + (SUMIFS(Table1[[HomeWon]:[HomeWon]], Table1[[GameIsOver]:[GameIsOver]], 1, Table1[[AwayTeam]:[AwayTeam]], $A64, Table1[[HomeTeam]:[HomeTeam]],  L$36, Table1[[ActualResult]:[ActualResult]], "OT") + SUMIFS(Table1[[AwayWon]:[AwayWon]], Table1[[GameIsOver]:[GameIsOver]], 1, Table1[[HomeTeam]:[HomeTeam]], $A64, Table1[[AwayTeam]:[AwayTeam]], L$36, Table1[[ActualResult]:[ActualResult]], "OT") + SUMIFS(Table1[[HomeWon]:[HomeWon]], Table1[[GameIsOver]:[GameIsOver]], 1, Table1[[AwayTeam]:[AwayTeam]], $A64, Table1[[HomeTeam]:[HomeTeam]], L$36, Table1[[ActualResult]:[ActualResult]], "SO") + SUMIFS(Table1[[AwayWon]:[AwayWon]], Table1[[GameIsOver]:[GameIsOver]], 1, Table1[[HomeTeam]:[HomeTeam]], $A64, Table1[[AwayTeam]:[AwayTeam]], L$36, Table1[[ActualResult]:[ActualResult]], "SO")))/ (2*((COUNTIFS(Table1[[GameIsOver]:[GameIsOver]],1,Table1[[AwayTeam]:[AwayTeam]],$A64, Table1[[HomeTeam]:[HomeTeam]], L$36)))+( COUNTIFS(Table1[[GameIsOver]:[GameIsOver]],1,Table1[[AwayTeam]:[AwayTeam]],L$36, Table1[[HomeTeam]:[HomeTeam]],$A64))), "")</f>
        <v/>
      </c>
      <c r="M64" s="36" t="str">
        <f>IFERROR(((2 * (SUMIFS(Table1[[AwayWon]:[AwayWon]], Table1[[GameIsOver]:[GameIsOver]], 1, Table1[[AwayTeam]:[AwayTeam]], $A64, Table1[[HomeTeam]:[HomeTeam]], M$36) + SUMIFS(Table1[[HomeWon]:[HomeWon]], Table1[[GameIsOver]:[GameIsOver]], 1, Table1[[HomeTeam]:[HomeTeam]], $A64, Table1[[AwayTeam]:[AwayTeam]], M$36))) + (SUMIFS(Table1[[HomeWon]:[HomeWon]], Table1[[GameIsOver]:[GameIsOver]], 1, Table1[[AwayTeam]:[AwayTeam]], $A64, Table1[[HomeTeam]:[HomeTeam]],  M$36, Table1[[ActualResult]:[ActualResult]], "OT") + SUMIFS(Table1[[AwayWon]:[AwayWon]], Table1[[GameIsOver]:[GameIsOver]], 1, Table1[[HomeTeam]:[HomeTeam]], $A64, Table1[[AwayTeam]:[AwayTeam]], M$36, Table1[[ActualResult]:[ActualResult]], "OT") + SUMIFS(Table1[[HomeWon]:[HomeWon]], Table1[[GameIsOver]:[GameIsOver]], 1, Table1[[AwayTeam]:[AwayTeam]], $A64, Table1[[HomeTeam]:[HomeTeam]], M$36, Table1[[ActualResult]:[ActualResult]], "SO") + SUMIFS(Table1[[AwayWon]:[AwayWon]], Table1[[GameIsOver]:[GameIsOver]], 1, Table1[[HomeTeam]:[HomeTeam]], $A64, Table1[[AwayTeam]:[AwayTeam]], M$36, Table1[[ActualResult]:[ActualResult]], "SO")))/ (2*((COUNTIFS(Table1[[GameIsOver]:[GameIsOver]],1,Table1[[AwayTeam]:[AwayTeam]],$A64, Table1[[HomeTeam]:[HomeTeam]], M$36)))+( COUNTIFS(Table1[[GameIsOver]:[GameIsOver]],1,Table1[[AwayTeam]:[AwayTeam]],M$36, Table1[[HomeTeam]:[HomeTeam]],$A64))), "")</f>
        <v/>
      </c>
      <c r="N64" s="36" t="str">
        <f>IFERROR(((2 * (SUMIFS(Table1[[AwayWon]:[AwayWon]], Table1[[GameIsOver]:[GameIsOver]], 1, Table1[[AwayTeam]:[AwayTeam]], $A64, Table1[[HomeTeam]:[HomeTeam]], N$36) + SUMIFS(Table1[[HomeWon]:[HomeWon]], Table1[[GameIsOver]:[GameIsOver]], 1, Table1[[HomeTeam]:[HomeTeam]], $A64, Table1[[AwayTeam]:[AwayTeam]], N$36))) + (SUMIFS(Table1[[HomeWon]:[HomeWon]], Table1[[GameIsOver]:[GameIsOver]], 1, Table1[[AwayTeam]:[AwayTeam]], $A64, Table1[[HomeTeam]:[HomeTeam]],  N$36, Table1[[ActualResult]:[ActualResult]], "OT") + SUMIFS(Table1[[AwayWon]:[AwayWon]], Table1[[GameIsOver]:[GameIsOver]], 1, Table1[[HomeTeam]:[HomeTeam]], $A64, Table1[[AwayTeam]:[AwayTeam]], N$36, Table1[[ActualResult]:[ActualResult]], "OT") + SUMIFS(Table1[[HomeWon]:[HomeWon]], Table1[[GameIsOver]:[GameIsOver]], 1, Table1[[AwayTeam]:[AwayTeam]], $A64, Table1[[HomeTeam]:[HomeTeam]], N$36, Table1[[ActualResult]:[ActualResult]], "SO") + SUMIFS(Table1[[AwayWon]:[AwayWon]], Table1[[GameIsOver]:[GameIsOver]], 1, Table1[[HomeTeam]:[HomeTeam]], $A64, Table1[[AwayTeam]:[AwayTeam]], N$36, Table1[[ActualResult]:[ActualResult]], "SO")))/ (2*((COUNTIFS(Table1[[GameIsOver]:[GameIsOver]],1,Table1[[AwayTeam]:[AwayTeam]],$A64, Table1[[HomeTeam]:[HomeTeam]], N$36)))+( COUNTIFS(Table1[[GameIsOver]:[GameIsOver]],1,Table1[[AwayTeam]:[AwayTeam]],N$36, Table1[[HomeTeam]:[HomeTeam]],$A64))), "")</f>
        <v/>
      </c>
      <c r="O64" s="36" t="str">
        <f>IFERROR(((2 * (SUMIFS(Table1[[AwayWon]:[AwayWon]], Table1[[GameIsOver]:[GameIsOver]], 1, Table1[[AwayTeam]:[AwayTeam]], $A64, Table1[[HomeTeam]:[HomeTeam]], O$36) + SUMIFS(Table1[[HomeWon]:[HomeWon]], Table1[[GameIsOver]:[GameIsOver]], 1, Table1[[HomeTeam]:[HomeTeam]], $A64, Table1[[AwayTeam]:[AwayTeam]], O$36))) + (SUMIFS(Table1[[HomeWon]:[HomeWon]], Table1[[GameIsOver]:[GameIsOver]], 1, Table1[[AwayTeam]:[AwayTeam]], $A64, Table1[[HomeTeam]:[HomeTeam]],  O$36, Table1[[ActualResult]:[ActualResult]], "OT") + SUMIFS(Table1[[AwayWon]:[AwayWon]], Table1[[GameIsOver]:[GameIsOver]], 1, Table1[[HomeTeam]:[HomeTeam]], $A64, Table1[[AwayTeam]:[AwayTeam]], O$36, Table1[[ActualResult]:[ActualResult]], "OT") + SUMIFS(Table1[[HomeWon]:[HomeWon]], Table1[[GameIsOver]:[GameIsOver]], 1, Table1[[AwayTeam]:[AwayTeam]], $A64, Table1[[HomeTeam]:[HomeTeam]], O$36, Table1[[ActualResult]:[ActualResult]], "SO") + SUMIFS(Table1[[AwayWon]:[AwayWon]], Table1[[GameIsOver]:[GameIsOver]], 1, Table1[[HomeTeam]:[HomeTeam]], $A64, Table1[[AwayTeam]:[AwayTeam]], O$36, Table1[[ActualResult]:[ActualResult]], "SO")))/ (2*((COUNTIFS(Table1[[GameIsOver]:[GameIsOver]],1,Table1[[AwayTeam]:[AwayTeam]],$A64, Table1[[HomeTeam]:[HomeTeam]], O$36)))+( COUNTIFS(Table1[[GameIsOver]:[GameIsOver]],1,Table1[[AwayTeam]:[AwayTeam]],O$36, Table1[[HomeTeam]:[HomeTeam]],$A64))), "")</f>
        <v/>
      </c>
      <c r="P64" s="36" t="str">
        <f>IFERROR(((2 * (SUMIFS(Table1[[AwayWon]:[AwayWon]], Table1[[GameIsOver]:[GameIsOver]], 1, Table1[[AwayTeam]:[AwayTeam]], $A64, Table1[[HomeTeam]:[HomeTeam]], P$36) + SUMIFS(Table1[[HomeWon]:[HomeWon]], Table1[[GameIsOver]:[GameIsOver]], 1, Table1[[HomeTeam]:[HomeTeam]], $A64, Table1[[AwayTeam]:[AwayTeam]], P$36))) + (SUMIFS(Table1[[HomeWon]:[HomeWon]], Table1[[GameIsOver]:[GameIsOver]], 1, Table1[[AwayTeam]:[AwayTeam]], $A64, Table1[[HomeTeam]:[HomeTeam]],  P$36, Table1[[ActualResult]:[ActualResult]], "OT") + SUMIFS(Table1[[AwayWon]:[AwayWon]], Table1[[GameIsOver]:[GameIsOver]], 1, Table1[[HomeTeam]:[HomeTeam]], $A64, Table1[[AwayTeam]:[AwayTeam]], P$36, Table1[[ActualResult]:[ActualResult]], "OT") + SUMIFS(Table1[[HomeWon]:[HomeWon]], Table1[[GameIsOver]:[GameIsOver]], 1, Table1[[AwayTeam]:[AwayTeam]], $A64, Table1[[HomeTeam]:[HomeTeam]], P$36, Table1[[ActualResult]:[ActualResult]], "SO") + SUMIFS(Table1[[AwayWon]:[AwayWon]], Table1[[GameIsOver]:[GameIsOver]], 1, Table1[[HomeTeam]:[HomeTeam]], $A64, Table1[[AwayTeam]:[AwayTeam]], P$36, Table1[[ActualResult]:[ActualResult]], "SO")))/ (2*((COUNTIFS(Table1[[GameIsOver]:[GameIsOver]],1,Table1[[AwayTeam]:[AwayTeam]],$A64, Table1[[HomeTeam]:[HomeTeam]], P$36)))+( COUNTIFS(Table1[[GameIsOver]:[GameIsOver]],1,Table1[[AwayTeam]:[AwayTeam]],P$36, Table1[[HomeTeam]:[HomeTeam]],$A64))), "")</f>
        <v/>
      </c>
      <c r="Q64" s="38" t="str">
        <f>IFERROR(((2 * (SUMIFS(Table1[[AwayWon]:[AwayWon]], Table1[[GameIsOver]:[GameIsOver]], 1, Table1[[AwayTeam]:[AwayTeam]], $A64, Table1[[HomeTeam]:[HomeTeam]], Q$36) + SUMIFS(Table1[[HomeWon]:[HomeWon]], Table1[[GameIsOver]:[GameIsOver]], 1, Table1[[HomeTeam]:[HomeTeam]], $A64, Table1[[AwayTeam]:[AwayTeam]], Q$36))) + (SUMIFS(Table1[[HomeWon]:[HomeWon]], Table1[[GameIsOver]:[GameIsOver]], 1, Table1[[AwayTeam]:[AwayTeam]], $A64, Table1[[HomeTeam]:[HomeTeam]],  Q$36, Table1[[ActualResult]:[ActualResult]], "OT") + SUMIFS(Table1[[AwayWon]:[AwayWon]], Table1[[GameIsOver]:[GameIsOver]], 1, Table1[[HomeTeam]:[HomeTeam]], $A64, Table1[[AwayTeam]:[AwayTeam]], Q$36, Table1[[ActualResult]:[ActualResult]], "OT") + SUMIFS(Table1[[HomeWon]:[HomeWon]], Table1[[GameIsOver]:[GameIsOver]], 1, Table1[[AwayTeam]:[AwayTeam]], $A64, Table1[[HomeTeam]:[HomeTeam]], Q$36, Table1[[ActualResult]:[ActualResult]], "SO") + SUMIFS(Table1[[AwayWon]:[AwayWon]], Table1[[GameIsOver]:[GameIsOver]], 1, Table1[[HomeTeam]:[HomeTeam]], $A64, Table1[[AwayTeam]:[AwayTeam]], Q$36, Table1[[ActualResult]:[ActualResult]], "SO")))/ (2*((COUNTIFS(Table1[[GameIsOver]:[GameIsOver]],1,Table1[[AwayTeam]:[AwayTeam]],$A64, Table1[[HomeTeam]:[HomeTeam]], Q$36)))+( COUNTIFS(Table1[[GameIsOver]:[GameIsOver]],1,Table1[[AwayTeam]:[AwayTeam]],Q$36, Table1[[HomeTeam]:[HomeTeam]],$A64))), "")</f>
        <v/>
      </c>
      <c r="R64" s="36">
        <f>IFERROR(((2 * (SUMIFS(Table1[[AwayWon]:[AwayWon]], Table1[[GameIsOver]:[GameIsOver]], 1, Table1[[AwayTeam]:[AwayTeam]], $A64, Table1[[HomeTeam]:[HomeTeam]], R$36) + SUMIFS(Table1[[HomeWon]:[HomeWon]], Table1[[GameIsOver]:[GameIsOver]], 1, Table1[[HomeTeam]:[HomeTeam]], $A64, Table1[[AwayTeam]:[AwayTeam]], R$36))) + (SUMIFS(Table1[[HomeWon]:[HomeWon]], Table1[[GameIsOver]:[GameIsOver]], 1, Table1[[AwayTeam]:[AwayTeam]], $A64, Table1[[HomeTeam]:[HomeTeam]],  R$36, Table1[[ActualResult]:[ActualResult]], "OT") + SUMIFS(Table1[[AwayWon]:[AwayWon]], Table1[[GameIsOver]:[GameIsOver]], 1, Table1[[HomeTeam]:[HomeTeam]], $A64, Table1[[AwayTeam]:[AwayTeam]], R$36, Table1[[ActualResult]:[ActualResult]], "OT") + SUMIFS(Table1[[HomeWon]:[HomeWon]], Table1[[GameIsOver]:[GameIsOver]], 1, Table1[[AwayTeam]:[AwayTeam]], $A64, Table1[[HomeTeam]:[HomeTeam]], R$36, Table1[[ActualResult]:[ActualResult]], "SO") + SUMIFS(Table1[[AwayWon]:[AwayWon]], Table1[[GameIsOver]:[GameIsOver]], 1, Table1[[HomeTeam]:[HomeTeam]], $A64, Table1[[AwayTeam]:[AwayTeam]], R$36, Table1[[ActualResult]:[ActualResult]], "SO")))/ (2*((COUNTIFS(Table1[[GameIsOver]:[GameIsOver]],1,Table1[[AwayTeam]:[AwayTeam]],$A64, Table1[[HomeTeam]:[HomeTeam]], R$36)))+( COUNTIFS(Table1[[GameIsOver]:[GameIsOver]],1,Table1[[AwayTeam]:[AwayTeam]],R$36, Table1[[HomeTeam]:[HomeTeam]],$A64))), "")</f>
        <v>1</v>
      </c>
      <c r="S64" s="36" t="str">
        <f>IFERROR(((2 * (SUMIFS(Table1[[AwayWon]:[AwayWon]], Table1[[GameIsOver]:[GameIsOver]], 1, Table1[[AwayTeam]:[AwayTeam]], $A64, Table1[[HomeTeam]:[HomeTeam]], S$36) + SUMIFS(Table1[[HomeWon]:[HomeWon]], Table1[[GameIsOver]:[GameIsOver]], 1, Table1[[HomeTeam]:[HomeTeam]], $A64, Table1[[AwayTeam]:[AwayTeam]], S$36))) + (SUMIFS(Table1[[HomeWon]:[HomeWon]], Table1[[GameIsOver]:[GameIsOver]], 1, Table1[[AwayTeam]:[AwayTeam]], $A64, Table1[[HomeTeam]:[HomeTeam]],  S$36, Table1[[ActualResult]:[ActualResult]], "OT") + SUMIFS(Table1[[AwayWon]:[AwayWon]], Table1[[GameIsOver]:[GameIsOver]], 1, Table1[[HomeTeam]:[HomeTeam]], $A64, Table1[[AwayTeam]:[AwayTeam]], S$36, Table1[[ActualResult]:[ActualResult]], "OT") + SUMIFS(Table1[[HomeWon]:[HomeWon]], Table1[[GameIsOver]:[GameIsOver]], 1, Table1[[AwayTeam]:[AwayTeam]], $A64, Table1[[HomeTeam]:[HomeTeam]], S$36, Table1[[ActualResult]:[ActualResult]], "SO") + SUMIFS(Table1[[AwayWon]:[AwayWon]], Table1[[GameIsOver]:[GameIsOver]], 1, Table1[[HomeTeam]:[HomeTeam]], $A64, Table1[[AwayTeam]:[AwayTeam]], S$36, Table1[[ActualResult]:[ActualResult]], "SO")))/ (2*((COUNTIFS(Table1[[GameIsOver]:[GameIsOver]],1,Table1[[AwayTeam]:[AwayTeam]],$A64, Table1[[HomeTeam]:[HomeTeam]], S$36)))+( COUNTIFS(Table1[[GameIsOver]:[GameIsOver]],1,Table1[[AwayTeam]:[AwayTeam]],S$36, Table1[[HomeTeam]:[HomeTeam]],$A64))), "")</f>
        <v/>
      </c>
      <c r="T64" s="36" t="str">
        <f>IFERROR(((2 * (SUMIFS(Table1[[AwayWon]:[AwayWon]], Table1[[GameIsOver]:[GameIsOver]], 1, Table1[[AwayTeam]:[AwayTeam]], $A64, Table1[[HomeTeam]:[HomeTeam]], T$36) + SUMIFS(Table1[[HomeWon]:[HomeWon]], Table1[[GameIsOver]:[GameIsOver]], 1, Table1[[HomeTeam]:[HomeTeam]], $A64, Table1[[AwayTeam]:[AwayTeam]], T$36))) + (SUMIFS(Table1[[HomeWon]:[HomeWon]], Table1[[GameIsOver]:[GameIsOver]], 1, Table1[[AwayTeam]:[AwayTeam]], $A64, Table1[[HomeTeam]:[HomeTeam]],  T$36, Table1[[ActualResult]:[ActualResult]], "OT") + SUMIFS(Table1[[AwayWon]:[AwayWon]], Table1[[GameIsOver]:[GameIsOver]], 1, Table1[[HomeTeam]:[HomeTeam]], $A64, Table1[[AwayTeam]:[AwayTeam]], T$36, Table1[[ActualResult]:[ActualResult]], "OT") + SUMIFS(Table1[[HomeWon]:[HomeWon]], Table1[[GameIsOver]:[GameIsOver]], 1, Table1[[AwayTeam]:[AwayTeam]], $A64, Table1[[HomeTeam]:[HomeTeam]], T$36, Table1[[ActualResult]:[ActualResult]], "SO") + SUMIFS(Table1[[AwayWon]:[AwayWon]], Table1[[GameIsOver]:[GameIsOver]], 1, Table1[[HomeTeam]:[HomeTeam]], $A64, Table1[[AwayTeam]:[AwayTeam]], T$36, Table1[[ActualResult]:[ActualResult]], "SO")))/ (2*((COUNTIFS(Table1[[GameIsOver]:[GameIsOver]],1,Table1[[AwayTeam]:[AwayTeam]],$A64, Table1[[HomeTeam]:[HomeTeam]], T$36)))+( COUNTIFS(Table1[[GameIsOver]:[GameIsOver]],1,Table1[[AwayTeam]:[AwayTeam]],T$36, Table1[[HomeTeam]:[HomeTeam]],$A64))), "")</f>
        <v/>
      </c>
      <c r="U64" s="36" t="str">
        <f>IFERROR(((2 * (SUMIFS(Table1[[AwayWon]:[AwayWon]], Table1[[GameIsOver]:[GameIsOver]], 1, Table1[[AwayTeam]:[AwayTeam]], $A64, Table1[[HomeTeam]:[HomeTeam]], U$36) + SUMIFS(Table1[[HomeWon]:[HomeWon]], Table1[[GameIsOver]:[GameIsOver]], 1, Table1[[HomeTeam]:[HomeTeam]], $A64, Table1[[AwayTeam]:[AwayTeam]], U$36))) + (SUMIFS(Table1[[HomeWon]:[HomeWon]], Table1[[GameIsOver]:[GameIsOver]], 1, Table1[[AwayTeam]:[AwayTeam]], $A64, Table1[[HomeTeam]:[HomeTeam]],  U$36, Table1[[ActualResult]:[ActualResult]], "OT") + SUMIFS(Table1[[AwayWon]:[AwayWon]], Table1[[GameIsOver]:[GameIsOver]], 1, Table1[[HomeTeam]:[HomeTeam]], $A64, Table1[[AwayTeam]:[AwayTeam]], U$36, Table1[[ActualResult]:[ActualResult]], "OT") + SUMIFS(Table1[[HomeWon]:[HomeWon]], Table1[[GameIsOver]:[GameIsOver]], 1, Table1[[AwayTeam]:[AwayTeam]], $A64, Table1[[HomeTeam]:[HomeTeam]], U$36, Table1[[ActualResult]:[ActualResult]], "SO") + SUMIFS(Table1[[AwayWon]:[AwayWon]], Table1[[GameIsOver]:[GameIsOver]], 1, Table1[[HomeTeam]:[HomeTeam]], $A64, Table1[[AwayTeam]:[AwayTeam]], U$36, Table1[[ActualResult]:[ActualResult]], "SO")))/ (2*((COUNTIFS(Table1[[GameIsOver]:[GameIsOver]],1,Table1[[AwayTeam]:[AwayTeam]],$A64, Table1[[HomeTeam]:[HomeTeam]], U$36)))+( COUNTIFS(Table1[[GameIsOver]:[GameIsOver]],1,Table1[[AwayTeam]:[AwayTeam]],U$36, Table1[[HomeTeam]:[HomeTeam]],$A64))), "")</f>
        <v/>
      </c>
      <c r="V64" s="36" t="str">
        <f>IFERROR(((2 * (SUMIFS(Table1[[AwayWon]:[AwayWon]], Table1[[GameIsOver]:[GameIsOver]], 1, Table1[[AwayTeam]:[AwayTeam]], $A64, Table1[[HomeTeam]:[HomeTeam]], V$36) + SUMIFS(Table1[[HomeWon]:[HomeWon]], Table1[[GameIsOver]:[GameIsOver]], 1, Table1[[HomeTeam]:[HomeTeam]], $A64, Table1[[AwayTeam]:[AwayTeam]], V$36))) + (SUMIFS(Table1[[HomeWon]:[HomeWon]], Table1[[GameIsOver]:[GameIsOver]], 1, Table1[[AwayTeam]:[AwayTeam]], $A64, Table1[[HomeTeam]:[HomeTeam]],  V$36, Table1[[ActualResult]:[ActualResult]], "OT") + SUMIFS(Table1[[AwayWon]:[AwayWon]], Table1[[GameIsOver]:[GameIsOver]], 1, Table1[[HomeTeam]:[HomeTeam]], $A64, Table1[[AwayTeam]:[AwayTeam]], V$36, Table1[[ActualResult]:[ActualResult]], "OT") + SUMIFS(Table1[[HomeWon]:[HomeWon]], Table1[[GameIsOver]:[GameIsOver]], 1, Table1[[AwayTeam]:[AwayTeam]], $A64, Table1[[HomeTeam]:[HomeTeam]], V$36, Table1[[ActualResult]:[ActualResult]], "SO") + SUMIFS(Table1[[AwayWon]:[AwayWon]], Table1[[GameIsOver]:[GameIsOver]], 1, Table1[[HomeTeam]:[HomeTeam]], $A64, Table1[[AwayTeam]:[AwayTeam]], V$36, Table1[[ActualResult]:[ActualResult]], "SO")))/ (2*((COUNTIFS(Table1[[GameIsOver]:[GameIsOver]],1,Table1[[AwayTeam]:[AwayTeam]],$A64, Table1[[HomeTeam]:[HomeTeam]], V$36)))+( COUNTIFS(Table1[[GameIsOver]:[GameIsOver]],1,Table1[[AwayTeam]:[AwayTeam]],V$36, Table1[[HomeTeam]:[HomeTeam]],$A64))), "")</f>
        <v/>
      </c>
      <c r="W64" s="36" t="str">
        <f>IFERROR(((2 * (SUMIFS(Table1[[AwayWon]:[AwayWon]], Table1[[GameIsOver]:[GameIsOver]], 1, Table1[[AwayTeam]:[AwayTeam]], $A64, Table1[[HomeTeam]:[HomeTeam]], W$36) + SUMIFS(Table1[[HomeWon]:[HomeWon]], Table1[[GameIsOver]:[GameIsOver]], 1, Table1[[HomeTeam]:[HomeTeam]], $A64, Table1[[AwayTeam]:[AwayTeam]], W$36))) + (SUMIFS(Table1[[HomeWon]:[HomeWon]], Table1[[GameIsOver]:[GameIsOver]], 1, Table1[[AwayTeam]:[AwayTeam]], $A64, Table1[[HomeTeam]:[HomeTeam]],  W$36, Table1[[ActualResult]:[ActualResult]], "OT") + SUMIFS(Table1[[AwayWon]:[AwayWon]], Table1[[GameIsOver]:[GameIsOver]], 1, Table1[[HomeTeam]:[HomeTeam]], $A64, Table1[[AwayTeam]:[AwayTeam]], W$36, Table1[[ActualResult]:[ActualResult]], "OT") + SUMIFS(Table1[[HomeWon]:[HomeWon]], Table1[[GameIsOver]:[GameIsOver]], 1, Table1[[AwayTeam]:[AwayTeam]], $A64, Table1[[HomeTeam]:[HomeTeam]], W$36, Table1[[ActualResult]:[ActualResult]], "SO") + SUMIFS(Table1[[AwayWon]:[AwayWon]], Table1[[GameIsOver]:[GameIsOver]], 1, Table1[[HomeTeam]:[HomeTeam]], $A64, Table1[[AwayTeam]:[AwayTeam]], W$36, Table1[[ActualResult]:[ActualResult]], "SO")))/ (2*((COUNTIFS(Table1[[GameIsOver]:[GameIsOver]],1,Table1[[AwayTeam]:[AwayTeam]],$A64, Table1[[HomeTeam]:[HomeTeam]], W$36)))+( COUNTIFS(Table1[[GameIsOver]:[GameIsOver]],1,Table1[[AwayTeam]:[AwayTeam]],W$36, Table1[[HomeTeam]:[HomeTeam]],$A64))), "")</f>
        <v/>
      </c>
      <c r="X64" s="36" t="str">
        <f>IFERROR(((2 * (SUMIFS(Table1[[AwayWon]:[AwayWon]], Table1[[GameIsOver]:[GameIsOver]], 1, Table1[[AwayTeam]:[AwayTeam]], $A64, Table1[[HomeTeam]:[HomeTeam]], X$36) + SUMIFS(Table1[[HomeWon]:[HomeWon]], Table1[[GameIsOver]:[GameIsOver]], 1, Table1[[HomeTeam]:[HomeTeam]], $A64, Table1[[AwayTeam]:[AwayTeam]], X$36))) + (SUMIFS(Table1[[HomeWon]:[HomeWon]], Table1[[GameIsOver]:[GameIsOver]], 1, Table1[[AwayTeam]:[AwayTeam]], $A64, Table1[[HomeTeam]:[HomeTeam]],  X$36, Table1[[ActualResult]:[ActualResult]], "OT") + SUMIFS(Table1[[AwayWon]:[AwayWon]], Table1[[GameIsOver]:[GameIsOver]], 1, Table1[[HomeTeam]:[HomeTeam]], $A64, Table1[[AwayTeam]:[AwayTeam]], X$36, Table1[[ActualResult]:[ActualResult]], "OT") + SUMIFS(Table1[[HomeWon]:[HomeWon]], Table1[[GameIsOver]:[GameIsOver]], 1, Table1[[AwayTeam]:[AwayTeam]], $A64, Table1[[HomeTeam]:[HomeTeam]], X$36, Table1[[ActualResult]:[ActualResult]], "SO") + SUMIFS(Table1[[AwayWon]:[AwayWon]], Table1[[GameIsOver]:[GameIsOver]], 1, Table1[[HomeTeam]:[HomeTeam]], $A64, Table1[[AwayTeam]:[AwayTeam]], X$36, Table1[[ActualResult]:[ActualResult]], "SO")))/ (2*((COUNTIFS(Table1[[GameIsOver]:[GameIsOver]],1,Table1[[AwayTeam]:[AwayTeam]],$A64, Table1[[HomeTeam]:[HomeTeam]], X$36)))+( COUNTIFS(Table1[[GameIsOver]:[GameIsOver]],1,Table1[[AwayTeam]:[AwayTeam]],X$36, Table1[[HomeTeam]:[HomeTeam]],$A64))), "")</f>
        <v/>
      </c>
      <c r="Y64" s="38" t="str">
        <f>IFERROR(((2 * (SUMIFS(Table1[[AwayWon]:[AwayWon]], Table1[[GameIsOver]:[GameIsOver]], 1, Table1[[AwayTeam]:[AwayTeam]], $A64, Table1[[HomeTeam]:[HomeTeam]], Y$36) + SUMIFS(Table1[[HomeWon]:[HomeWon]], Table1[[GameIsOver]:[GameIsOver]], 1, Table1[[HomeTeam]:[HomeTeam]], $A64, Table1[[AwayTeam]:[AwayTeam]], Y$36))) + (SUMIFS(Table1[[HomeWon]:[HomeWon]], Table1[[GameIsOver]:[GameIsOver]], 1, Table1[[AwayTeam]:[AwayTeam]], $A64, Table1[[HomeTeam]:[HomeTeam]],  Y$36, Table1[[ActualResult]:[ActualResult]], "OT") + SUMIFS(Table1[[AwayWon]:[AwayWon]], Table1[[GameIsOver]:[GameIsOver]], 1, Table1[[HomeTeam]:[HomeTeam]], $A64, Table1[[AwayTeam]:[AwayTeam]], Y$36, Table1[[ActualResult]:[ActualResult]], "OT") + SUMIFS(Table1[[HomeWon]:[HomeWon]], Table1[[GameIsOver]:[GameIsOver]], 1, Table1[[AwayTeam]:[AwayTeam]], $A64, Table1[[HomeTeam]:[HomeTeam]], Y$36, Table1[[ActualResult]:[ActualResult]], "SO") + SUMIFS(Table1[[AwayWon]:[AwayWon]], Table1[[GameIsOver]:[GameIsOver]], 1, Table1[[HomeTeam]:[HomeTeam]], $A64, Table1[[AwayTeam]:[AwayTeam]], Y$36, Table1[[ActualResult]:[ActualResult]], "SO")))/ (2*((COUNTIFS(Table1[[GameIsOver]:[GameIsOver]],1,Table1[[AwayTeam]:[AwayTeam]],$A64, Table1[[HomeTeam]:[HomeTeam]], Y$36)))+( COUNTIFS(Table1[[GameIsOver]:[GameIsOver]],1,Table1[[AwayTeam]:[AwayTeam]],Y$36, Table1[[HomeTeam]:[HomeTeam]],$A64))), "")</f>
        <v/>
      </c>
      <c r="Z64" s="36" t="str">
        <f>IFERROR(((2 * (SUMIFS(Table1[[AwayWon]:[AwayWon]], Table1[[GameIsOver]:[GameIsOver]], 1, Table1[[AwayTeam]:[AwayTeam]], $A64, Table1[[HomeTeam]:[HomeTeam]], Z$36) + SUMIFS(Table1[[HomeWon]:[HomeWon]], Table1[[GameIsOver]:[GameIsOver]], 1, Table1[[HomeTeam]:[HomeTeam]], $A64, Table1[[AwayTeam]:[AwayTeam]], Z$36))) + (SUMIFS(Table1[[HomeWon]:[HomeWon]], Table1[[GameIsOver]:[GameIsOver]], 1, Table1[[AwayTeam]:[AwayTeam]], $A64, Table1[[HomeTeam]:[HomeTeam]],  Z$36, Table1[[ActualResult]:[ActualResult]], "OT") + SUMIFS(Table1[[AwayWon]:[AwayWon]], Table1[[GameIsOver]:[GameIsOver]], 1, Table1[[HomeTeam]:[HomeTeam]], $A64, Table1[[AwayTeam]:[AwayTeam]], Z$36, Table1[[ActualResult]:[ActualResult]], "OT") + SUMIFS(Table1[[HomeWon]:[HomeWon]], Table1[[GameIsOver]:[GameIsOver]], 1, Table1[[AwayTeam]:[AwayTeam]], $A64, Table1[[HomeTeam]:[HomeTeam]], Z$36, Table1[[ActualResult]:[ActualResult]], "SO") + SUMIFS(Table1[[AwayWon]:[AwayWon]], Table1[[GameIsOver]:[GameIsOver]], 1, Table1[[HomeTeam]:[HomeTeam]], $A64, Table1[[AwayTeam]:[AwayTeam]], Z$36, Table1[[ActualResult]:[ActualResult]], "SO")))/ (2*((COUNTIFS(Table1[[GameIsOver]:[GameIsOver]],1,Table1[[AwayTeam]:[AwayTeam]],$A64, Table1[[HomeTeam]:[HomeTeam]], Z$36)))+( COUNTIFS(Table1[[GameIsOver]:[GameIsOver]],1,Table1[[AwayTeam]:[AwayTeam]],Z$36, Table1[[HomeTeam]:[HomeTeam]],$A64))), "")</f>
        <v/>
      </c>
      <c r="AA64" s="36" t="str">
        <f>IFERROR(((2 * (SUMIFS(Table1[[AwayWon]:[AwayWon]], Table1[[GameIsOver]:[GameIsOver]], 1, Table1[[AwayTeam]:[AwayTeam]], $A64, Table1[[HomeTeam]:[HomeTeam]], AA$36) + SUMIFS(Table1[[HomeWon]:[HomeWon]], Table1[[GameIsOver]:[GameIsOver]], 1, Table1[[HomeTeam]:[HomeTeam]], $A64, Table1[[AwayTeam]:[AwayTeam]], AA$36))) + (SUMIFS(Table1[[HomeWon]:[HomeWon]], Table1[[GameIsOver]:[GameIsOver]], 1, Table1[[AwayTeam]:[AwayTeam]], $A64, Table1[[HomeTeam]:[HomeTeam]],  AA$36, Table1[[ActualResult]:[ActualResult]], "OT") + SUMIFS(Table1[[AwayWon]:[AwayWon]], Table1[[GameIsOver]:[GameIsOver]], 1, Table1[[HomeTeam]:[HomeTeam]], $A64, Table1[[AwayTeam]:[AwayTeam]], AA$36, Table1[[ActualResult]:[ActualResult]], "OT") + SUMIFS(Table1[[HomeWon]:[HomeWon]], Table1[[GameIsOver]:[GameIsOver]], 1, Table1[[AwayTeam]:[AwayTeam]], $A64, Table1[[HomeTeam]:[HomeTeam]], AA$36, Table1[[ActualResult]:[ActualResult]], "SO") + SUMIFS(Table1[[AwayWon]:[AwayWon]], Table1[[GameIsOver]:[GameIsOver]], 1, Table1[[HomeTeam]:[HomeTeam]], $A64, Table1[[AwayTeam]:[AwayTeam]], AA$36, Table1[[ActualResult]:[ActualResult]], "SO")))/ (2*((COUNTIFS(Table1[[GameIsOver]:[GameIsOver]],1,Table1[[AwayTeam]:[AwayTeam]],$A64, Table1[[HomeTeam]:[HomeTeam]], AA$36)))+( COUNTIFS(Table1[[GameIsOver]:[GameIsOver]],1,Table1[[AwayTeam]:[AwayTeam]],AA$36, Table1[[HomeTeam]:[HomeTeam]],$A64))), "")</f>
        <v/>
      </c>
      <c r="AB64" s="36" t="str">
        <f>IFERROR(((2 * (SUMIFS(Table1[[AwayWon]:[AwayWon]], Table1[[GameIsOver]:[GameIsOver]], 1, Table1[[AwayTeam]:[AwayTeam]], $A64, Table1[[HomeTeam]:[HomeTeam]], AB$36) + SUMIFS(Table1[[HomeWon]:[HomeWon]], Table1[[GameIsOver]:[GameIsOver]], 1, Table1[[HomeTeam]:[HomeTeam]], $A64, Table1[[AwayTeam]:[AwayTeam]], AB$36))) + (SUMIFS(Table1[[HomeWon]:[HomeWon]], Table1[[GameIsOver]:[GameIsOver]], 1, Table1[[AwayTeam]:[AwayTeam]], $A64, Table1[[HomeTeam]:[HomeTeam]],  AB$36, Table1[[ActualResult]:[ActualResult]], "OT") + SUMIFS(Table1[[AwayWon]:[AwayWon]], Table1[[GameIsOver]:[GameIsOver]], 1, Table1[[HomeTeam]:[HomeTeam]], $A64, Table1[[AwayTeam]:[AwayTeam]], AB$36, Table1[[ActualResult]:[ActualResult]], "OT") + SUMIFS(Table1[[HomeWon]:[HomeWon]], Table1[[GameIsOver]:[GameIsOver]], 1, Table1[[AwayTeam]:[AwayTeam]], $A64, Table1[[HomeTeam]:[HomeTeam]], AB$36, Table1[[ActualResult]:[ActualResult]], "SO") + SUMIFS(Table1[[AwayWon]:[AwayWon]], Table1[[GameIsOver]:[GameIsOver]], 1, Table1[[HomeTeam]:[HomeTeam]], $A64, Table1[[AwayTeam]:[AwayTeam]], AB$36, Table1[[ActualResult]:[ActualResult]], "SO")))/ (2*((COUNTIFS(Table1[[GameIsOver]:[GameIsOver]],1,Table1[[AwayTeam]:[AwayTeam]],$A64, Table1[[HomeTeam]:[HomeTeam]], AB$36)))+( COUNTIFS(Table1[[GameIsOver]:[GameIsOver]],1,Table1[[AwayTeam]:[AwayTeam]],AB$36, Table1[[HomeTeam]:[HomeTeam]],$A64))), "")</f>
        <v/>
      </c>
      <c r="AC64" s="36" t="str">
        <f>IFERROR(((2 * (SUMIFS(Table1[[AwayWon]:[AwayWon]], Table1[[GameIsOver]:[GameIsOver]], 1, Table1[[AwayTeam]:[AwayTeam]], $A64, Table1[[HomeTeam]:[HomeTeam]], AC$36) + SUMIFS(Table1[[HomeWon]:[HomeWon]], Table1[[GameIsOver]:[GameIsOver]], 1, Table1[[HomeTeam]:[HomeTeam]], $A64, Table1[[AwayTeam]:[AwayTeam]], AC$36))) + (SUMIFS(Table1[[HomeWon]:[HomeWon]], Table1[[GameIsOver]:[GameIsOver]], 1, Table1[[AwayTeam]:[AwayTeam]], $A64, Table1[[HomeTeam]:[HomeTeam]],  AC$36, Table1[[ActualResult]:[ActualResult]], "OT") + SUMIFS(Table1[[AwayWon]:[AwayWon]], Table1[[GameIsOver]:[GameIsOver]], 1, Table1[[HomeTeam]:[HomeTeam]], $A64, Table1[[AwayTeam]:[AwayTeam]], AC$36, Table1[[ActualResult]:[ActualResult]], "OT") + SUMIFS(Table1[[HomeWon]:[HomeWon]], Table1[[GameIsOver]:[GameIsOver]], 1, Table1[[AwayTeam]:[AwayTeam]], $A64, Table1[[HomeTeam]:[HomeTeam]], AC$36, Table1[[ActualResult]:[ActualResult]], "SO") + SUMIFS(Table1[[AwayWon]:[AwayWon]], Table1[[GameIsOver]:[GameIsOver]], 1, Table1[[HomeTeam]:[HomeTeam]], $A64, Table1[[AwayTeam]:[AwayTeam]], AC$36, Table1[[ActualResult]:[ActualResult]], "SO")))/ (2*((COUNTIFS(Table1[[GameIsOver]:[GameIsOver]],1,Table1[[AwayTeam]:[AwayTeam]],$A64, Table1[[HomeTeam]:[HomeTeam]], AC$36)))+( COUNTIFS(Table1[[GameIsOver]:[GameIsOver]],1,Table1[[AwayTeam]:[AwayTeam]],AC$36, Table1[[HomeTeam]:[HomeTeam]],$A64))), "")</f>
        <v/>
      </c>
      <c r="AD64" s="36" t="str">
        <f>IFERROR(((2 * (SUMIFS(Table1[[AwayWon]:[AwayWon]], Table1[[GameIsOver]:[GameIsOver]], 1, Table1[[AwayTeam]:[AwayTeam]], $A64, Table1[[HomeTeam]:[HomeTeam]], AD$36) + SUMIFS(Table1[[HomeWon]:[HomeWon]], Table1[[GameIsOver]:[GameIsOver]], 1, Table1[[HomeTeam]:[HomeTeam]], $A64, Table1[[AwayTeam]:[AwayTeam]], AD$36))) + (SUMIFS(Table1[[HomeWon]:[HomeWon]], Table1[[GameIsOver]:[GameIsOver]], 1, Table1[[AwayTeam]:[AwayTeam]], $A64, Table1[[HomeTeam]:[HomeTeam]],  AD$36, Table1[[ActualResult]:[ActualResult]], "OT") + SUMIFS(Table1[[AwayWon]:[AwayWon]], Table1[[GameIsOver]:[GameIsOver]], 1, Table1[[HomeTeam]:[HomeTeam]], $A64, Table1[[AwayTeam]:[AwayTeam]], AD$36, Table1[[ActualResult]:[ActualResult]], "OT") + SUMIFS(Table1[[HomeWon]:[HomeWon]], Table1[[GameIsOver]:[GameIsOver]], 1, Table1[[AwayTeam]:[AwayTeam]], $A64, Table1[[HomeTeam]:[HomeTeam]], AD$36, Table1[[ActualResult]:[ActualResult]], "SO") + SUMIFS(Table1[[AwayWon]:[AwayWon]], Table1[[GameIsOver]:[GameIsOver]], 1, Table1[[HomeTeam]:[HomeTeam]], $A64, Table1[[AwayTeam]:[AwayTeam]], AD$36, Table1[[ActualResult]:[ActualResult]], "SO")))/ (2*((COUNTIFS(Table1[[GameIsOver]:[GameIsOver]],1,Table1[[AwayTeam]:[AwayTeam]],$A64, Table1[[HomeTeam]:[HomeTeam]], AD$36)))+( COUNTIFS(Table1[[GameIsOver]:[GameIsOver]],1,Table1[[AwayTeam]:[AwayTeam]],AD$36, Table1[[HomeTeam]:[HomeTeam]],$A64))), "")</f>
        <v/>
      </c>
      <c r="AE64" s="36" t="str">
        <f>IFERROR(((2 * (SUMIFS(Table1[[AwayWon]:[AwayWon]], Table1[[GameIsOver]:[GameIsOver]], 1, Table1[[AwayTeam]:[AwayTeam]], $A64, Table1[[HomeTeam]:[HomeTeam]], AE$36) + SUMIFS(Table1[[HomeWon]:[HomeWon]], Table1[[GameIsOver]:[GameIsOver]], 1, Table1[[HomeTeam]:[HomeTeam]], $A64, Table1[[AwayTeam]:[AwayTeam]], AE$36))) + (SUMIFS(Table1[[HomeWon]:[HomeWon]], Table1[[GameIsOver]:[GameIsOver]], 1, Table1[[AwayTeam]:[AwayTeam]], $A64, Table1[[HomeTeam]:[HomeTeam]],  AE$36, Table1[[ActualResult]:[ActualResult]], "OT") + SUMIFS(Table1[[AwayWon]:[AwayWon]], Table1[[GameIsOver]:[GameIsOver]], 1, Table1[[HomeTeam]:[HomeTeam]], $A64, Table1[[AwayTeam]:[AwayTeam]], AE$36, Table1[[ActualResult]:[ActualResult]], "OT") + SUMIFS(Table1[[HomeWon]:[HomeWon]], Table1[[GameIsOver]:[GameIsOver]], 1, Table1[[AwayTeam]:[AwayTeam]], $A64, Table1[[HomeTeam]:[HomeTeam]], AE$36, Table1[[ActualResult]:[ActualResult]], "SO") + SUMIFS(Table1[[AwayWon]:[AwayWon]], Table1[[GameIsOver]:[GameIsOver]], 1, Table1[[HomeTeam]:[HomeTeam]], $A64, Table1[[AwayTeam]:[AwayTeam]], AE$36, Table1[[ActualResult]:[ActualResult]], "SO")))/ (2*((COUNTIFS(Table1[[GameIsOver]:[GameIsOver]],1,Table1[[AwayTeam]:[AwayTeam]],$A64, Table1[[HomeTeam]:[HomeTeam]], AE$36)))+( COUNTIFS(Table1[[GameIsOver]:[GameIsOver]],1,Table1[[AwayTeam]:[AwayTeam]],AE$36, Table1[[HomeTeam]:[HomeTeam]],$A64))), "")</f>
        <v/>
      </c>
      <c r="AF64" s="36" t="str">
        <f>IFERROR(((2 * (SUMIFS(Table1[[AwayWon]:[AwayWon]], Table1[[GameIsOver]:[GameIsOver]], 1, Table1[[AwayTeam]:[AwayTeam]], $A64, Table1[[HomeTeam]:[HomeTeam]], AF$36) + SUMIFS(Table1[[HomeWon]:[HomeWon]], Table1[[GameIsOver]:[GameIsOver]], 1, Table1[[HomeTeam]:[HomeTeam]], $A64, Table1[[AwayTeam]:[AwayTeam]], AF$36))) + (SUMIFS(Table1[[HomeWon]:[HomeWon]], Table1[[GameIsOver]:[GameIsOver]], 1, Table1[[AwayTeam]:[AwayTeam]], $A64, Table1[[HomeTeam]:[HomeTeam]],  AF$36, Table1[[ActualResult]:[ActualResult]], "OT") + SUMIFS(Table1[[AwayWon]:[AwayWon]], Table1[[GameIsOver]:[GameIsOver]], 1, Table1[[HomeTeam]:[HomeTeam]], $A64, Table1[[AwayTeam]:[AwayTeam]], AF$36, Table1[[ActualResult]:[ActualResult]], "OT") + SUMIFS(Table1[[HomeWon]:[HomeWon]], Table1[[GameIsOver]:[GameIsOver]], 1, Table1[[AwayTeam]:[AwayTeam]], $A64, Table1[[HomeTeam]:[HomeTeam]], AF$36, Table1[[ActualResult]:[ActualResult]], "SO") + SUMIFS(Table1[[AwayWon]:[AwayWon]], Table1[[GameIsOver]:[GameIsOver]], 1, Table1[[HomeTeam]:[HomeTeam]], $A64, Table1[[AwayTeam]:[AwayTeam]], AF$36, Table1[[ActualResult]:[ActualResult]], "SO")))/ (2*((COUNTIFS(Table1[[GameIsOver]:[GameIsOver]],1,Table1[[AwayTeam]:[AwayTeam]],$A64, Table1[[HomeTeam]:[HomeTeam]], AF$36)))+( COUNTIFS(Table1[[GameIsOver]:[GameIsOver]],1,Table1[[AwayTeam]:[AwayTeam]],AF$36, Table1[[HomeTeam]:[HomeTeam]],$A64))), "")</f>
        <v/>
      </c>
      <c r="AG64" s="36" t="str">
        <f>IFERROR(((2 * (SUMIFS(Table1[[AwayWon]:[AwayWon]], Table1[[GameIsOver]:[GameIsOver]], 1, Table1[[AwayTeam]:[AwayTeam]], $A64, Table1[[HomeTeam]:[HomeTeam]], AG$36) + SUMIFS(Table1[[HomeWon]:[HomeWon]], Table1[[GameIsOver]:[GameIsOver]], 1, Table1[[HomeTeam]:[HomeTeam]], $A64, Table1[[AwayTeam]:[AwayTeam]], AG$36))) + (SUMIFS(Table1[[HomeWon]:[HomeWon]], Table1[[GameIsOver]:[GameIsOver]], 1, Table1[[AwayTeam]:[AwayTeam]], $A64, Table1[[HomeTeam]:[HomeTeam]],  AG$36, Table1[[ActualResult]:[ActualResult]], "OT") + SUMIFS(Table1[[AwayWon]:[AwayWon]], Table1[[GameIsOver]:[GameIsOver]], 1, Table1[[HomeTeam]:[HomeTeam]], $A64, Table1[[AwayTeam]:[AwayTeam]], AG$36, Table1[[ActualResult]:[ActualResult]], "OT") + SUMIFS(Table1[[HomeWon]:[HomeWon]], Table1[[GameIsOver]:[GameIsOver]], 1, Table1[[AwayTeam]:[AwayTeam]], $A64, Table1[[HomeTeam]:[HomeTeam]], AG$36, Table1[[ActualResult]:[ActualResult]], "SO") + SUMIFS(Table1[[AwayWon]:[AwayWon]], Table1[[GameIsOver]:[GameIsOver]], 1, Table1[[HomeTeam]:[HomeTeam]], $A64, Table1[[AwayTeam]:[AwayTeam]], AG$36, Table1[[ActualResult]:[ActualResult]], "SO")))/ (2*((COUNTIFS(Table1[[GameIsOver]:[GameIsOver]],1,Table1[[AwayTeam]:[AwayTeam]],$A64, Table1[[HomeTeam]:[HomeTeam]], AG$36)))+( COUNTIFS(Table1[[GameIsOver]:[GameIsOver]],1,Table1[[AwayTeam]:[AwayTeam]],AG$36, Table1[[HomeTeam]:[HomeTeam]],$A64))), "")</f>
        <v/>
      </c>
      <c r="AH64" s="37">
        <f t="shared" si="0"/>
        <v>1</v>
      </c>
      <c r="AI64" s="37">
        <f t="shared" si="1"/>
        <v>1</v>
      </c>
      <c r="AJ64" s="38" t="e">
        <f t="shared" si="2"/>
        <v>#DIV/0!</v>
      </c>
      <c r="AK64" s="38">
        <f t="shared" si="3"/>
        <v>1</v>
      </c>
      <c r="AL64" s="38" t="e">
        <f t="shared" si="4"/>
        <v>#DIV/0!</v>
      </c>
      <c r="AM64" s="38">
        <f t="shared" si="5"/>
        <v>1</v>
      </c>
    </row>
    <row r="65" spans="1:39" x14ac:dyDescent="0.25">
      <c r="A65" s="17" t="s">
        <v>47</v>
      </c>
      <c r="B65" s="36" t="str">
        <f>IFERROR(((2 * (SUMIFS(Table1[[AwayWon]:[AwayWon]], Table1[[GameIsOver]:[GameIsOver]], 1, Table1[[AwayTeam]:[AwayTeam]], $A65, Table1[[HomeTeam]:[HomeTeam]], B$36) + SUMIFS(Table1[[HomeWon]:[HomeWon]], Table1[[GameIsOver]:[GameIsOver]], 1, Table1[[HomeTeam]:[HomeTeam]], $A65, Table1[[AwayTeam]:[AwayTeam]], B$36))) + (SUMIFS(Table1[[HomeWon]:[HomeWon]], Table1[[GameIsOver]:[GameIsOver]], 1, Table1[[AwayTeam]:[AwayTeam]], $A65, Table1[[HomeTeam]:[HomeTeam]],  B$36, Table1[[ActualResult]:[ActualResult]], "OT") + SUMIFS(Table1[[AwayWon]:[AwayWon]], Table1[[GameIsOver]:[GameIsOver]], 1, Table1[[HomeTeam]:[HomeTeam]], $A65, Table1[[AwayTeam]:[AwayTeam]], B$36, Table1[[ActualResult]:[ActualResult]], "OT") + SUMIFS(Table1[[HomeWon]:[HomeWon]], Table1[[GameIsOver]:[GameIsOver]], 1, Table1[[AwayTeam]:[AwayTeam]], $A65, Table1[[HomeTeam]:[HomeTeam]], B$36, Table1[[ActualResult]:[ActualResult]], "SO") + SUMIFS(Table1[[AwayWon]:[AwayWon]], Table1[[GameIsOver]:[GameIsOver]], 1, Table1[[HomeTeam]:[HomeTeam]], $A65, Table1[[AwayTeam]:[AwayTeam]], B$36, Table1[[ActualResult]:[ActualResult]], "SO")))/ (2*((COUNTIFS(Table1[[GameIsOver]:[GameIsOver]],1,Table1[[AwayTeam]:[AwayTeam]],$A65, Table1[[HomeTeam]:[HomeTeam]], B$36)))+( COUNTIFS(Table1[[GameIsOver]:[GameIsOver]],1,Table1[[AwayTeam]:[AwayTeam]],B$36, Table1[[HomeTeam]:[HomeTeam]],$A65))), "")</f>
        <v/>
      </c>
      <c r="C65" s="36" t="str">
        <f>IFERROR(((2 * (SUMIFS(Table1[[AwayWon]:[AwayWon]], Table1[[GameIsOver]:[GameIsOver]], 1, Table1[[AwayTeam]:[AwayTeam]], $A65, Table1[[HomeTeam]:[HomeTeam]], C$36) + SUMIFS(Table1[[HomeWon]:[HomeWon]], Table1[[GameIsOver]:[GameIsOver]], 1, Table1[[HomeTeam]:[HomeTeam]], $A65, Table1[[AwayTeam]:[AwayTeam]], C$36))) + (SUMIFS(Table1[[HomeWon]:[HomeWon]], Table1[[GameIsOver]:[GameIsOver]], 1, Table1[[AwayTeam]:[AwayTeam]], $A65, Table1[[HomeTeam]:[HomeTeam]],  C$36, Table1[[ActualResult]:[ActualResult]], "OT") + SUMIFS(Table1[[AwayWon]:[AwayWon]], Table1[[GameIsOver]:[GameIsOver]], 1, Table1[[HomeTeam]:[HomeTeam]], $A65, Table1[[AwayTeam]:[AwayTeam]], C$36, Table1[[ActualResult]:[ActualResult]], "OT") + SUMIFS(Table1[[HomeWon]:[HomeWon]], Table1[[GameIsOver]:[GameIsOver]], 1, Table1[[AwayTeam]:[AwayTeam]], $A65, Table1[[HomeTeam]:[HomeTeam]], C$36, Table1[[ActualResult]:[ActualResult]], "SO") + SUMIFS(Table1[[AwayWon]:[AwayWon]], Table1[[GameIsOver]:[GameIsOver]], 1, Table1[[HomeTeam]:[HomeTeam]], $A65, Table1[[AwayTeam]:[AwayTeam]], C$36, Table1[[ActualResult]:[ActualResult]], "SO")))/ (2*((COUNTIFS(Table1[[GameIsOver]:[GameIsOver]],1,Table1[[AwayTeam]:[AwayTeam]],$A65, Table1[[HomeTeam]:[HomeTeam]], C$36)))+( COUNTIFS(Table1[[GameIsOver]:[GameIsOver]],1,Table1[[AwayTeam]:[AwayTeam]],C$36, Table1[[HomeTeam]:[HomeTeam]],$A65))), "")</f>
        <v/>
      </c>
      <c r="D65" s="36" t="str">
        <f>IFERROR(((2 * (SUMIFS(Table1[[AwayWon]:[AwayWon]], Table1[[GameIsOver]:[GameIsOver]], 1, Table1[[AwayTeam]:[AwayTeam]], $A65, Table1[[HomeTeam]:[HomeTeam]], D$36) + SUMIFS(Table1[[HomeWon]:[HomeWon]], Table1[[GameIsOver]:[GameIsOver]], 1, Table1[[HomeTeam]:[HomeTeam]], $A65, Table1[[AwayTeam]:[AwayTeam]], D$36))) + (SUMIFS(Table1[[HomeWon]:[HomeWon]], Table1[[GameIsOver]:[GameIsOver]], 1, Table1[[AwayTeam]:[AwayTeam]], $A65, Table1[[HomeTeam]:[HomeTeam]],  D$36, Table1[[ActualResult]:[ActualResult]], "OT") + SUMIFS(Table1[[AwayWon]:[AwayWon]], Table1[[GameIsOver]:[GameIsOver]], 1, Table1[[HomeTeam]:[HomeTeam]], $A65, Table1[[AwayTeam]:[AwayTeam]], D$36, Table1[[ActualResult]:[ActualResult]], "OT") + SUMIFS(Table1[[HomeWon]:[HomeWon]], Table1[[GameIsOver]:[GameIsOver]], 1, Table1[[AwayTeam]:[AwayTeam]], $A65, Table1[[HomeTeam]:[HomeTeam]], D$36, Table1[[ActualResult]:[ActualResult]], "SO") + SUMIFS(Table1[[AwayWon]:[AwayWon]], Table1[[GameIsOver]:[GameIsOver]], 1, Table1[[HomeTeam]:[HomeTeam]], $A65, Table1[[AwayTeam]:[AwayTeam]], D$36, Table1[[ActualResult]:[ActualResult]], "SO")))/ (2*((COUNTIFS(Table1[[GameIsOver]:[GameIsOver]],1,Table1[[AwayTeam]:[AwayTeam]],$A65, Table1[[HomeTeam]:[HomeTeam]], D$36)))+( COUNTIFS(Table1[[GameIsOver]:[GameIsOver]],1,Table1[[AwayTeam]:[AwayTeam]],D$36, Table1[[HomeTeam]:[HomeTeam]],$A65))), "")</f>
        <v/>
      </c>
      <c r="E65" s="36" t="str">
        <f>IFERROR(((2 * (SUMIFS(Table1[[AwayWon]:[AwayWon]], Table1[[GameIsOver]:[GameIsOver]], 1, Table1[[AwayTeam]:[AwayTeam]], $A65, Table1[[HomeTeam]:[HomeTeam]], E$36) + SUMIFS(Table1[[HomeWon]:[HomeWon]], Table1[[GameIsOver]:[GameIsOver]], 1, Table1[[HomeTeam]:[HomeTeam]], $A65, Table1[[AwayTeam]:[AwayTeam]], E$36))) + (SUMIFS(Table1[[HomeWon]:[HomeWon]], Table1[[GameIsOver]:[GameIsOver]], 1, Table1[[AwayTeam]:[AwayTeam]], $A65, Table1[[HomeTeam]:[HomeTeam]],  E$36, Table1[[ActualResult]:[ActualResult]], "OT") + SUMIFS(Table1[[AwayWon]:[AwayWon]], Table1[[GameIsOver]:[GameIsOver]], 1, Table1[[HomeTeam]:[HomeTeam]], $A65, Table1[[AwayTeam]:[AwayTeam]], E$36, Table1[[ActualResult]:[ActualResult]], "OT") + SUMIFS(Table1[[HomeWon]:[HomeWon]], Table1[[GameIsOver]:[GameIsOver]], 1, Table1[[AwayTeam]:[AwayTeam]], $A65, Table1[[HomeTeam]:[HomeTeam]], E$36, Table1[[ActualResult]:[ActualResult]], "SO") + SUMIFS(Table1[[AwayWon]:[AwayWon]], Table1[[GameIsOver]:[GameIsOver]], 1, Table1[[HomeTeam]:[HomeTeam]], $A65, Table1[[AwayTeam]:[AwayTeam]], E$36, Table1[[ActualResult]:[ActualResult]], "SO")))/ (2*((COUNTIFS(Table1[[GameIsOver]:[GameIsOver]],1,Table1[[AwayTeam]:[AwayTeam]],$A65, Table1[[HomeTeam]:[HomeTeam]], E$36)))+( COUNTIFS(Table1[[GameIsOver]:[GameIsOver]],1,Table1[[AwayTeam]:[AwayTeam]],E$36, Table1[[HomeTeam]:[HomeTeam]],$A65))), "")</f>
        <v/>
      </c>
      <c r="F65" s="36" t="str">
        <f>IFERROR(((2 * (SUMIFS(Table1[[AwayWon]:[AwayWon]], Table1[[GameIsOver]:[GameIsOver]], 1, Table1[[AwayTeam]:[AwayTeam]], $A65, Table1[[HomeTeam]:[HomeTeam]], F$36) + SUMIFS(Table1[[HomeWon]:[HomeWon]], Table1[[GameIsOver]:[GameIsOver]], 1, Table1[[HomeTeam]:[HomeTeam]], $A65, Table1[[AwayTeam]:[AwayTeam]], F$36))) + (SUMIFS(Table1[[HomeWon]:[HomeWon]], Table1[[GameIsOver]:[GameIsOver]], 1, Table1[[AwayTeam]:[AwayTeam]], $A65, Table1[[HomeTeam]:[HomeTeam]],  F$36, Table1[[ActualResult]:[ActualResult]], "OT") + SUMIFS(Table1[[AwayWon]:[AwayWon]], Table1[[GameIsOver]:[GameIsOver]], 1, Table1[[HomeTeam]:[HomeTeam]], $A65, Table1[[AwayTeam]:[AwayTeam]], F$36, Table1[[ActualResult]:[ActualResult]], "OT") + SUMIFS(Table1[[HomeWon]:[HomeWon]], Table1[[GameIsOver]:[GameIsOver]], 1, Table1[[AwayTeam]:[AwayTeam]], $A65, Table1[[HomeTeam]:[HomeTeam]], F$36, Table1[[ActualResult]:[ActualResult]], "SO") + SUMIFS(Table1[[AwayWon]:[AwayWon]], Table1[[GameIsOver]:[GameIsOver]], 1, Table1[[HomeTeam]:[HomeTeam]], $A65, Table1[[AwayTeam]:[AwayTeam]], F$36, Table1[[ActualResult]:[ActualResult]], "SO")))/ (2*((COUNTIFS(Table1[[GameIsOver]:[GameIsOver]],1,Table1[[AwayTeam]:[AwayTeam]],$A65, Table1[[HomeTeam]:[HomeTeam]], F$36)))+( COUNTIFS(Table1[[GameIsOver]:[GameIsOver]],1,Table1[[AwayTeam]:[AwayTeam]],F$36, Table1[[HomeTeam]:[HomeTeam]],$A65))), "")</f>
        <v/>
      </c>
      <c r="G65" s="36" t="str">
        <f>IFERROR(((2 * (SUMIFS(Table1[[AwayWon]:[AwayWon]], Table1[[GameIsOver]:[GameIsOver]], 1, Table1[[AwayTeam]:[AwayTeam]], $A65, Table1[[HomeTeam]:[HomeTeam]], G$36) + SUMIFS(Table1[[HomeWon]:[HomeWon]], Table1[[GameIsOver]:[GameIsOver]], 1, Table1[[HomeTeam]:[HomeTeam]], $A65, Table1[[AwayTeam]:[AwayTeam]], G$36))) + (SUMIFS(Table1[[HomeWon]:[HomeWon]], Table1[[GameIsOver]:[GameIsOver]], 1, Table1[[AwayTeam]:[AwayTeam]], $A65, Table1[[HomeTeam]:[HomeTeam]],  G$36, Table1[[ActualResult]:[ActualResult]], "OT") + SUMIFS(Table1[[AwayWon]:[AwayWon]], Table1[[GameIsOver]:[GameIsOver]], 1, Table1[[HomeTeam]:[HomeTeam]], $A65, Table1[[AwayTeam]:[AwayTeam]], G$36, Table1[[ActualResult]:[ActualResult]], "OT") + SUMIFS(Table1[[HomeWon]:[HomeWon]], Table1[[GameIsOver]:[GameIsOver]], 1, Table1[[AwayTeam]:[AwayTeam]], $A65, Table1[[HomeTeam]:[HomeTeam]], G$36, Table1[[ActualResult]:[ActualResult]], "SO") + SUMIFS(Table1[[AwayWon]:[AwayWon]], Table1[[GameIsOver]:[GameIsOver]], 1, Table1[[HomeTeam]:[HomeTeam]], $A65, Table1[[AwayTeam]:[AwayTeam]], G$36, Table1[[ActualResult]:[ActualResult]], "SO")))/ (2*((COUNTIFS(Table1[[GameIsOver]:[GameIsOver]],1,Table1[[AwayTeam]:[AwayTeam]],$A65, Table1[[HomeTeam]:[HomeTeam]], G$36)))+( COUNTIFS(Table1[[GameIsOver]:[GameIsOver]],1,Table1[[AwayTeam]:[AwayTeam]],G$36, Table1[[HomeTeam]:[HomeTeam]],$A65))), "")</f>
        <v/>
      </c>
      <c r="H65" s="36" t="str">
        <f>IFERROR(((2 * (SUMIFS(Table1[[AwayWon]:[AwayWon]], Table1[[GameIsOver]:[GameIsOver]], 1, Table1[[AwayTeam]:[AwayTeam]], $A65, Table1[[HomeTeam]:[HomeTeam]], H$36) + SUMIFS(Table1[[HomeWon]:[HomeWon]], Table1[[GameIsOver]:[GameIsOver]], 1, Table1[[HomeTeam]:[HomeTeam]], $A65, Table1[[AwayTeam]:[AwayTeam]], H$36))) + (SUMIFS(Table1[[HomeWon]:[HomeWon]], Table1[[GameIsOver]:[GameIsOver]], 1, Table1[[AwayTeam]:[AwayTeam]], $A65, Table1[[HomeTeam]:[HomeTeam]],  H$36, Table1[[ActualResult]:[ActualResult]], "OT") + SUMIFS(Table1[[AwayWon]:[AwayWon]], Table1[[GameIsOver]:[GameIsOver]], 1, Table1[[HomeTeam]:[HomeTeam]], $A65, Table1[[AwayTeam]:[AwayTeam]], H$36, Table1[[ActualResult]:[ActualResult]], "OT") + SUMIFS(Table1[[HomeWon]:[HomeWon]], Table1[[GameIsOver]:[GameIsOver]], 1, Table1[[AwayTeam]:[AwayTeam]], $A65, Table1[[HomeTeam]:[HomeTeam]], H$36, Table1[[ActualResult]:[ActualResult]], "SO") + SUMIFS(Table1[[AwayWon]:[AwayWon]], Table1[[GameIsOver]:[GameIsOver]], 1, Table1[[HomeTeam]:[HomeTeam]], $A65, Table1[[AwayTeam]:[AwayTeam]], H$36, Table1[[ActualResult]:[ActualResult]], "SO")))/ (2*((COUNTIFS(Table1[[GameIsOver]:[GameIsOver]],1,Table1[[AwayTeam]:[AwayTeam]],$A65, Table1[[HomeTeam]:[HomeTeam]], H$36)))+( COUNTIFS(Table1[[GameIsOver]:[GameIsOver]],1,Table1[[AwayTeam]:[AwayTeam]],H$36, Table1[[HomeTeam]:[HomeTeam]],$A65))), "")</f>
        <v/>
      </c>
      <c r="I65" s="38" t="str">
        <f>IFERROR(((2 * (SUMIFS(Table1[[AwayWon]:[AwayWon]], Table1[[GameIsOver]:[GameIsOver]], 1, Table1[[AwayTeam]:[AwayTeam]], $A65, Table1[[HomeTeam]:[HomeTeam]], I$36) + SUMIFS(Table1[[HomeWon]:[HomeWon]], Table1[[GameIsOver]:[GameIsOver]], 1, Table1[[HomeTeam]:[HomeTeam]], $A65, Table1[[AwayTeam]:[AwayTeam]], I$36))) + (SUMIFS(Table1[[HomeWon]:[HomeWon]], Table1[[GameIsOver]:[GameIsOver]], 1, Table1[[AwayTeam]:[AwayTeam]], $A65, Table1[[HomeTeam]:[HomeTeam]],  I$36, Table1[[ActualResult]:[ActualResult]], "OT") + SUMIFS(Table1[[AwayWon]:[AwayWon]], Table1[[GameIsOver]:[GameIsOver]], 1, Table1[[HomeTeam]:[HomeTeam]], $A65, Table1[[AwayTeam]:[AwayTeam]], I$36, Table1[[ActualResult]:[ActualResult]], "OT") + SUMIFS(Table1[[HomeWon]:[HomeWon]], Table1[[GameIsOver]:[GameIsOver]], 1, Table1[[AwayTeam]:[AwayTeam]], $A65, Table1[[HomeTeam]:[HomeTeam]], I$36, Table1[[ActualResult]:[ActualResult]], "SO") + SUMIFS(Table1[[AwayWon]:[AwayWon]], Table1[[GameIsOver]:[GameIsOver]], 1, Table1[[HomeTeam]:[HomeTeam]], $A65, Table1[[AwayTeam]:[AwayTeam]], I$36, Table1[[ActualResult]:[ActualResult]], "SO")))/ (2*((COUNTIFS(Table1[[GameIsOver]:[GameIsOver]],1,Table1[[AwayTeam]:[AwayTeam]],$A65, Table1[[HomeTeam]:[HomeTeam]], I$36)))+( COUNTIFS(Table1[[GameIsOver]:[GameIsOver]],1,Table1[[AwayTeam]:[AwayTeam]],I$36, Table1[[HomeTeam]:[HomeTeam]],$A65))), "")</f>
        <v/>
      </c>
      <c r="J65" s="36" t="str">
        <f>IFERROR(((2 * (SUMIFS(Table1[[AwayWon]:[AwayWon]], Table1[[GameIsOver]:[GameIsOver]], 1, Table1[[AwayTeam]:[AwayTeam]], $A65, Table1[[HomeTeam]:[HomeTeam]], J$36) + SUMIFS(Table1[[HomeWon]:[HomeWon]], Table1[[GameIsOver]:[GameIsOver]], 1, Table1[[HomeTeam]:[HomeTeam]], $A65, Table1[[AwayTeam]:[AwayTeam]], J$36))) + (SUMIFS(Table1[[HomeWon]:[HomeWon]], Table1[[GameIsOver]:[GameIsOver]], 1, Table1[[AwayTeam]:[AwayTeam]], $A65, Table1[[HomeTeam]:[HomeTeam]],  J$36, Table1[[ActualResult]:[ActualResult]], "OT") + SUMIFS(Table1[[AwayWon]:[AwayWon]], Table1[[GameIsOver]:[GameIsOver]], 1, Table1[[HomeTeam]:[HomeTeam]], $A65, Table1[[AwayTeam]:[AwayTeam]], J$36, Table1[[ActualResult]:[ActualResult]], "OT") + SUMIFS(Table1[[HomeWon]:[HomeWon]], Table1[[GameIsOver]:[GameIsOver]], 1, Table1[[AwayTeam]:[AwayTeam]], $A65, Table1[[HomeTeam]:[HomeTeam]], J$36, Table1[[ActualResult]:[ActualResult]], "SO") + SUMIFS(Table1[[AwayWon]:[AwayWon]], Table1[[GameIsOver]:[GameIsOver]], 1, Table1[[HomeTeam]:[HomeTeam]], $A65, Table1[[AwayTeam]:[AwayTeam]], J$36, Table1[[ActualResult]:[ActualResult]], "SO")))/ (2*((COUNTIFS(Table1[[GameIsOver]:[GameIsOver]],1,Table1[[AwayTeam]:[AwayTeam]],$A65, Table1[[HomeTeam]:[HomeTeam]], J$36)))+( COUNTIFS(Table1[[GameIsOver]:[GameIsOver]],1,Table1[[AwayTeam]:[AwayTeam]],J$36, Table1[[HomeTeam]:[HomeTeam]],$A65))), "")</f>
        <v/>
      </c>
      <c r="K65" s="36" t="str">
        <f>IFERROR(((2 * (SUMIFS(Table1[[AwayWon]:[AwayWon]], Table1[[GameIsOver]:[GameIsOver]], 1, Table1[[AwayTeam]:[AwayTeam]], $A65, Table1[[HomeTeam]:[HomeTeam]], K$36) + SUMIFS(Table1[[HomeWon]:[HomeWon]], Table1[[GameIsOver]:[GameIsOver]], 1, Table1[[HomeTeam]:[HomeTeam]], $A65, Table1[[AwayTeam]:[AwayTeam]], K$36))) + (SUMIFS(Table1[[HomeWon]:[HomeWon]], Table1[[GameIsOver]:[GameIsOver]], 1, Table1[[AwayTeam]:[AwayTeam]], $A65, Table1[[HomeTeam]:[HomeTeam]],  K$36, Table1[[ActualResult]:[ActualResult]], "OT") + SUMIFS(Table1[[AwayWon]:[AwayWon]], Table1[[GameIsOver]:[GameIsOver]], 1, Table1[[HomeTeam]:[HomeTeam]], $A65, Table1[[AwayTeam]:[AwayTeam]], K$36, Table1[[ActualResult]:[ActualResult]], "OT") + SUMIFS(Table1[[HomeWon]:[HomeWon]], Table1[[GameIsOver]:[GameIsOver]], 1, Table1[[AwayTeam]:[AwayTeam]], $A65, Table1[[HomeTeam]:[HomeTeam]], K$36, Table1[[ActualResult]:[ActualResult]], "SO") + SUMIFS(Table1[[AwayWon]:[AwayWon]], Table1[[GameIsOver]:[GameIsOver]], 1, Table1[[HomeTeam]:[HomeTeam]], $A65, Table1[[AwayTeam]:[AwayTeam]], K$36, Table1[[ActualResult]:[ActualResult]], "SO")))/ (2*((COUNTIFS(Table1[[GameIsOver]:[GameIsOver]],1,Table1[[AwayTeam]:[AwayTeam]],$A65, Table1[[HomeTeam]:[HomeTeam]], K$36)))+( COUNTIFS(Table1[[GameIsOver]:[GameIsOver]],1,Table1[[AwayTeam]:[AwayTeam]],K$36, Table1[[HomeTeam]:[HomeTeam]],$A65))), "")</f>
        <v/>
      </c>
      <c r="L65" s="36" t="str">
        <f>IFERROR(((2 * (SUMIFS(Table1[[AwayWon]:[AwayWon]], Table1[[GameIsOver]:[GameIsOver]], 1, Table1[[AwayTeam]:[AwayTeam]], $A65, Table1[[HomeTeam]:[HomeTeam]], L$36) + SUMIFS(Table1[[HomeWon]:[HomeWon]], Table1[[GameIsOver]:[GameIsOver]], 1, Table1[[HomeTeam]:[HomeTeam]], $A65, Table1[[AwayTeam]:[AwayTeam]], L$36))) + (SUMIFS(Table1[[HomeWon]:[HomeWon]], Table1[[GameIsOver]:[GameIsOver]], 1, Table1[[AwayTeam]:[AwayTeam]], $A65, Table1[[HomeTeam]:[HomeTeam]],  L$36, Table1[[ActualResult]:[ActualResult]], "OT") + SUMIFS(Table1[[AwayWon]:[AwayWon]], Table1[[GameIsOver]:[GameIsOver]], 1, Table1[[HomeTeam]:[HomeTeam]], $A65, Table1[[AwayTeam]:[AwayTeam]], L$36, Table1[[ActualResult]:[ActualResult]], "OT") + SUMIFS(Table1[[HomeWon]:[HomeWon]], Table1[[GameIsOver]:[GameIsOver]], 1, Table1[[AwayTeam]:[AwayTeam]], $A65, Table1[[HomeTeam]:[HomeTeam]], L$36, Table1[[ActualResult]:[ActualResult]], "SO") + SUMIFS(Table1[[AwayWon]:[AwayWon]], Table1[[GameIsOver]:[GameIsOver]], 1, Table1[[HomeTeam]:[HomeTeam]], $A65, Table1[[AwayTeam]:[AwayTeam]], L$36, Table1[[ActualResult]:[ActualResult]], "SO")))/ (2*((COUNTIFS(Table1[[GameIsOver]:[GameIsOver]],1,Table1[[AwayTeam]:[AwayTeam]],$A65, Table1[[HomeTeam]:[HomeTeam]], L$36)))+( COUNTIFS(Table1[[GameIsOver]:[GameIsOver]],1,Table1[[AwayTeam]:[AwayTeam]],L$36, Table1[[HomeTeam]:[HomeTeam]],$A65))), "")</f>
        <v/>
      </c>
      <c r="M65" s="36" t="str">
        <f>IFERROR(((2 * (SUMIFS(Table1[[AwayWon]:[AwayWon]], Table1[[GameIsOver]:[GameIsOver]], 1, Table1[[AwayTeam]:[AwayTeam]], $A65, Table1[[HomeTeam]:[HomeTeam]], M$36) + SUMIFS(Table1[[HomeWon]:[HomeWon]], Table1[[GameIsOver]:[GameIsOver]], 1, Table1[[HomeTeam]:[HomeTeam]], $A65, Table1[[AwayTeam]:[AwayTeam]], M$36))) + (SUMIFS(Table1[[HomeWon]:[HomeWon]], Table1[[GameIsOver]:[GameIsOver]], 1, Table1[[AwayTeam]:[AwayTeam]], $A65, Table1[[HomeTeam]:[HomeTeam]],  M$36, Table1[[ActualResult]:[ActualResult]], "OT") + SUMIFS(Table1[[AwayWon]:[AwayWon]], Table1[[GameIsOver]:[GameIsOver]], 1, Table1[[HomeTeam]:[HomeTeam]], $A65, Table1[[AwayTeam]:[AwayTeam]], M$36, Table1[[ActualResult]:[ActualResult]], "OT") + SUMIFS(Table1[[HomeWon]:[HomeWon]], Table1[[GameIsOver]:[GameIsOver]], 1, Table1[[AwayTeam]:[AwayTeam]], $A65, Table1[[HomeTeam]:[HomeTeam]], M$36, Table1[[ActualResult]:[ActualResult]], "SO") + SUMIFS(Table1[[AwayWon]:[AwayWon]], Table1[[GameIsOver]:[GameIsOver]], 1, Table1[[HomeTeam]:[HomeTeam]], $A65, Table1[[AwayTeam]:[AwayTeam]], M$36, Table1[[ActualResult]:[ActualResult]], "SO")))/ (2*((COUNTIFS(Table1[[GameIsOver]:[GameIsOver]],1,Table1[[AwayTeam]:[AwayTeam]],$A65, Table1[[HomeTeam]:[HomeTeam]], M$36)))+( COUNTIFS(Table1[[GameIsOver]:[GameIsOver]],1,Table1[[AwayTeam]:[AwayTeam]],M$36, Table1[[HomeTeam]:[HomeTeam]],$A65))), "")</f>
        <v/>
      </c>
      <c r="N65" s="36" t="str">
        <f>IFERROR(((2 * (SUMIFS(Table1[[AwayWon]:[AwayWon]], Table1[[GameIsOver]:[GameIsOver]], 1, Table1[[AwayTeam]:[AwayTeam]], $A65, Table1[[HomeTeam]:[HomeTeam]], N$36) + SUMIFS(Table1[[HomeWon]:[HomeWon]], Table1[[GameIsOver]:[GameIsOver]], 1, Table1[[HomeTeam]:[HomeTeam]], $A65, Table1[[AwayTeam]:[AwayTeam]], N$36))) + (SUMIFS(Table1[[HomeWon]:[HomeWon]], Table1[[GameIsOver]:[GameIsOver]], 1, Table1[[AwayTeam]:[AwayTeam]], $A65, Table1[[HomeTeam]:[HomeTeam]],  N$36, Table1[[ActualResult]:[ActualResult]], "OT") + SUMIFS(Table1[[AwayWon]:[AwayWon]], Table1[[GameIsOver]:[GameIsOver]], 1, Table1[[HomeTeam]:[HomeTeam]], $A65, Table1[[AwayTeam]:[AwayTeam]], N$36, Table1[[ActualResult]:[ActualResult]], "OT") + SUMIFS(Table1[[HomeWon]:[HomeWon]], Table1[[GameIsOver]:[GameIsOver]], 1, Table1[[AwayTeam]:[AwayTeam]], $A65, Table1[[HomeTeam]:[HomeTeam]], N$36, Table1[[ActualResult]:[ActualResult]], "SO") + SUMIFS(Table1[[AwayWon]:[AwayWon]], Table1[[GameIsOver]:[GameIsOver]], 1, Table1[[HomeTeam]:[HomeTeam]], $A65, Table1[[AwayTeam]:[AwayTeam]], N$36, Table1[[ActualResult]:[ActualResult]], "SO")))/ (2*((COUNTIFS(Table1[[GameIsOver]:[GameIsOver]],1,Table1[[AwayTeam]:[AwayTeam]],$A65, Table1[[HomeTeam]:[HomeTeam]], N$36)))+( COUNTIFS(Table1[[GameIsOver]:[GameIsOver]],1,Table1[[AwayTeam]:[AwayTeam]],N$36, Table1[[HomeTeam]:[HomeTeam]],$A65))), "")</f>
        <v/>
      </c>
      <c r="O65" s="36" t="str">
        <f>IFERROR(((2 * (SUMIFS(Table1[[AwayWon]:[AwayWon]], Table1[[GameIsOver]:[GameIsOver]], 1, Table1[[AwayTeam]:[AwayTeam]], $A65, Table1[[HomeTeam]:[HomeTeam]], O$36) + SUMIFS(Table1[[HomeWon]:[HomeWon]], Table1[[GameIsOver]:[GameIsOver]], 1, Table1[[HomeTeam]:[HomeTeam]], $A65, Table1[[AwayTeam]:[AwayTeam]], O$36))) + (SUMIFS(Table1[[HomeWon]:[HomeWon]], Table1[[GameIsOver]:[GameIsOver]], 1, Table1[[AwayTeam]:[AwayTeam]], $A65, Table1[[HomeTeam]:[HomeTeam]],  O$36, Table1[[ActualResult]:[ActualResult]], "OT") + SUMIFS(Table1[[AwayWon]:[AwayWon]], Table1[[GameIsOver]:[GameIsOver]], 1, Table1[[HomeTeam]:[HomeTeam]], $A65, Table1[[AwayTeam]:[AwayTeam]], O$36, Table1[[ActualResult]:[ActualResult]], "OT") + SUMIFS(Table1[[HomeWon]:[HomeWon]], Table1[[GameIsOver]:[GameIsOver]], 1, Table1[[AwayTeam]:[AwayTeam]], $A65, Table1[[HomeTeam]:[HomeTeam]], O$36, Table1[[ActualResult]:[ActualResult]], "SO") + SUMIFS(Table1[[AwayWon]:[AwayWon]], Table1[[GameIsOver]:[GameIsOver]], 1, Table1[[HomeTeam]:[HomeTeam]], $A65, Table1[[AwayTeam]:[AwayTeam]], O$36, Table1[[ActualResult]:[ActualResult]], "SO")))/ (2*((COUNTIFS(Table1[[GameIsOver]:[GameIsOver]],1,Table1[[AwayTeam]:[AwayTeam]],$A65, Table1[[HomeTeam]:[HomeTeam]], O$36)))+( COUNTIFS(Table1[[GameIsOver]:[GameIsOver]],1,Table1[[AwayTeam]:[AwayTeam]],O$36, Table1[[HomeTeam]:[HomeTeam]],$A65))), "")</f>
        <v/>
      </c>
      <c r="P65" s="36" t="str">
        <f>IFERROR(((2 * (SUMIFS(Table1[[AwayWon]:[AwayWon]], Table1[[GameIsOver]:[GameIsOver]], 1, Table1[[AwayTeam]:[AwayTeam]], $A65, Table1[[HomeTeam]:[HomeTeam]], P$36) + SUMIFS(Table1[[HomeWon]:[HomeWon]], Table1[[GameIsOver]:[GameIsOver]], 1, Table1[[HomeTeam]:[HomeTeam]], $A65, Table1[[AwayTeam]:[AwayTeam]], P$36))) + (SUMIFS(Table1[[HomeWon]:[HomeWon]], Table1[[GameIsOver]:[GameIsOver]], 1, Table1[[AwayTeam]:[AwayTeam]], $A65, Table1[[HomeTeam]:[HomeTeam]],  P$36, Table1[[ActualResult]:[ActualResult]], "OT") + SUMIFS(Table1[[AwayWon]:[AwayWon]], Table1[[GameIsOver]:[GameIsOver]], 1, Table1[[HomeTeam]:[HomeTeam]], $A65, Table1[[AwayTeam]:[AwayTeam]], P$36, Table1[[ActualResult]:[ActualResult]], "OT") + SUMIFS(Table1[[HomeWon]:[HomeWon]], Table1[[GameIsOver]:[GameIsOver]], 1, Table1[[AwayTeam]:[AwayTeam]], $A65, Table1[[HomeTeam]:[HomeTeam]], P$36, Table1[[ActualResult]:[ActualResult]], "SO") + SUMIFS(Table1[[AwayWon]:[AwayWon]], Table1[[GameIsOver]:[GameIsOver]], 1, Table1[[HomeTeam]:[HomeTeam]], $A65, Table1[[AwayTeam]:[AwayTeam]], P$36, Table1[[ActualResult]:[ActualResult]], "SO")))/ (2*((COUNTIFS(Table1[[GameIsOver]:[GameIsOver]],1,Table1[[AwayTeam]:[AwayTeam]],$A65, Table1[[HomeTeam]:[HomeTeam]], P$36)))+( COUNTIFS(Table1[[GameIsOver]:[GameIsOver]],1,Table1[[AwayTeam]:[AwayTeam]],P$36, Table1[[HomeTeam]:[HomeTeam]],$A65))), "")</f>
        <v/>
      </c>
      <c r="Q65" s="38" t="str">
        <f>IFERROR(((2 * (SUMIFS(Table1[[AwayWon]:[AwayWon]], Table1[[GameIsOver]:[GameIsOver]], 1, Table1[[AwayTeam]:[AwayTeam]], $A65, Table1[[HomeTeam]:[HomeTeam]], Q$36) + SUMIFS(Table1[[HomeWon]:[HomeWon]], Table1[[GameIsOver]:[GameIsOver]], 1, Table1[[HomeTeam]:[HomeTeam]], $A65, Table1[[AwayTeam]:[AwayTeam]], Q$36))) + (SUMIFS(Table1[[HomeWon]:[HomeWon]], Table1[[GameIsOver]:[GameIsOver]], 1, Table1[[AwayTeam]:[AwayTeam]], $A65, Table1[[HomeTeam]:[HomeTeam]],  Q$36, Table1[[ActualResult]:[ActualResult]], "OT") + SUMIFS(Table1[[AwayWon]:[AwayWon]], Table1[[GameIsOver]:[GameIsOver]], 1, Table1[[HomeTeam]:[HomeTeam]], $A65, Table1[[AwayTeam]:[AwayTeam]], Q$36, Table1[[ActualResult]:[ActualResult]], "OT") + SUMIFS(Table1[[HomeWon]:[HomeWon]], Table1[[GameIsOver]:[GameIsOver]], 1, Table1[[AwayTeam]:[AwayTeam]], $A65, Table1[[HomeTeam]:[HomeTeam]], Q$36, Table1[[ActualResult]:[ActualResult]], "SO") + SUMIFS(Table1[[AwayWon]:[AwayWon]], Table1[[GameIsOver]:[GameIsOver]], 1, Table1[[HomeTeam]:[HomeTeam]], $A65, Table1[[AwayTeam]:[AwayTeam]], Q$36, Table1[[ActualResult]:[ActualResult]], "SO")))/ (2*((COUNTIFS(Table1[[GameIsOver]:[GameIsOver]],1,Table1[[AwayTeam]:[AwayTeam]],$A65, Table1[[HomeTeam]:[HomeTeam]], Q$36)))+( COUNTIFS(Table1[[GameIsOver]:[GameIsOver]],1,Table1[[AwayTeam]:[AwayTeam]],Q$36, Table1[[HomeTeam]:[HomeTeam]],$A65))), "")</f>
        <v/>
      </c>
      <c r="R65" s="36" t="str">
        <f>IFERROR(((2 * (SUMIFS(Table1[[AwayWon]:[AwayWon]], Table1[[GameIsOver]:[GameIsOver]], 1, Table1[[AwayTeam]:[AwayTeam]], $A65, Table1[[HomeTeam]:[HomeTeam]], R$36) + SUMIFS(Table1[[HomeWon]:[HomeWon]], Table1[[GameIsOver]:[GameIsOver]], 1, Table1[[HomeTeam]:[HomeTeam]], $A65, Table1[[AwayTeam]:[AwayTeam]], R$36))) + (SUMIFS(Table1[[HomeWon]:[HomeWon]], Table1[[GameIsOver]:[GameIsOver]], 1, Table1[[AwayTeam]:[AwayTeam]], $A65, Table1[[HomeTeam]:[HomeTeam]],  R$36, Table1[[ActualResult]:[ActualResult]], "OT") + SUMIFS(Table1[[AwayWon]:[AwayWon]], Table1[[GameIsOver]:[GameIsOver]], 1, Table1[[HomeTeam]:[HomeTeam]], $A65, Table1[[AwayTeam]:[AwayTeam]], R$36, Table1[[ActualResult]:[ActualResult]], "OT") + SUMIFS(Table1[[HomeWon]:[HomeWon]], Table1[[GameIsOver]:[GameIsOver]], 1, Table1[[AwayTeam]:[AwayTeam]], $A65, Table1[[HomeTeam]:[HomeTeam]], R$36, Table1[[ActualResult]:[ActualResult]], "SO") + SUMIFS(Table1[[AwayWon]:[AwayWon]], Table1[[GameIsOver]:[GameIsOver]], 1, Table1[[HomeTeam]:[HomeTeam]], $A65, Table1[[AwayTeam]:[AwayTeam]], R$36, Table1[[ActualResult]:[ActualResult]], "SO")))/ (2*((COUNTIFS(Table1[[GameIsOver]:[GameIsOver]],1,Table1[[AwayTeam]:[AwayTeam]],$A65, Table1[[HomeTeam]:[HomeTeam]], R$36)))+( COUNTIFS(Table1[[GameIsOver]:[GameIsOver]],1,Table1[[AwayTeam]:[AwayTeam]],R$36, Table1[[HomeTeam]:[HomeTeam]],$A65))), "")</f>
        <v/>
      </c>
      <c r="S65" s="36" t="str">
        <f>IFERROR(((2 * (SUMIFS(Table1[[AwayWon]:[AwayWon]], Table1[[GameIsOver]:[GameIsOver]], 1, Table1[[AwayTeam]:[AwayTeam]], $A65, Table1[[HomeTeam]:[HomeTeam]], S$36) + SUMIFS(Table1[[HomeWon]:[HomeWon]], Table1[[GameIsOver]:[GameIsOver]], 1, Table1[[HomeTeam]:[HomeTeam]], $A65, Table1[[AwayTeam]:[AwayTeam]], S$36))) + (SUMIFS(Table1[[HomeWon]:[HomeWon]], Table1[[GameIsOver]:[GameIsOver]], 1, Table1[[AwayTeam]:[AwayTeam]], $A65, Table1[[HomeTeam]:[HomeTeam]],  S$36, Table1[[ActualResult]:[ActualResult]], "OT") + SUMIFS(Table1[[AwayWon]:[AwayWon]], Table1[[GameIsOver]:[GameIsOver]], 1, Table1[[HomeTeam]:[HomeTeam]], $A65, Table1[[AwayTeam]:[AwayTeam]], S$36, Table1[[ActualResult]:[ActualResult]], "OT") + SUMIFS(Table1[[HomeWon]:[HomeWon]], Table1[[GameIsOver]:[GameIsOver]], 1, Table1[[AwayTeam]:[AwayTeam]], $A65, Table1[[HomeTeam]:[HomeTeam]], S$36, Table1[[ActualResult]:[ActualResult]], "SO") + SUMIFS(Table1[[AwayWon]:[AwayWon]], Table1[[GameIsOver]:[GameIsOver]], 1, Table1[[HomeTeam]:[HomeTeam]], $A65, Table1[[AwayTeam]:[AwayTeam]], S$36, Table1[[ActualResult]:[ActualResult]], "SO")))/ (2*((COUNTIFS(Table1[[GameIsOver]:[GameIsOver]],1,Table1[[AwayTeam]:[AwayTeam]],$A65, Table1[[HomeTeam]:[HomeTeam]], S$36)))+( COUNTIFS(Table1[[GameIsOver]:[GameIsOver]],1,Table1[[AwayTeam]:[AwayTeam]],S$36, Table1[[HomeTeam]:[HomeTeam]],$A65))), "")</f>
        <v/>
      </c>
      <c r="T65" s="36" t="str">
        <f>IFERROR(((2 * (SUMIFS(Table1[[AwayWon]:[AwayWon]], Table1[[GameIsOver]:[GameIsOver]], 1, Table1[[AwayTeam]:[AwayTeam]], $A65, Table1[[HomeTeam]:[HomeTeam]], T$36) + SUMIFS(Table1[[HomeWon]:[HomeWon]], Table1[[GameIsOver]:[GameIsOver]], 1, Table1[[HomeTeam]:[HomeTeam]], $A65, Table1[[AwayTeam]:[AwayTeam]], T$36))) + (SUMIFS(Table1[[HomeWon]:[HomeWon]], Table1[[GameIsOver]:[GameIsOver]], 1, Table1[[AwayTeam]:[AwayTeam]], $A65, Table1[[HomeTeam]:[HomeTeam]],  T$36, Table1[[ActualResult]:[ActualResult]], "OT") + SUMIFS(Table1[[AwayWon]:[AwayWon]], Table1[[GameIsOver]:[GameIsOver]], 1, Table1[[HomeTeam]:[HomeTeam]], $A65, Table1[[AwayTeam]:[AwayTeam]], T$36, Table1[[ActualResult]:[ActualResult]], "OT") + SUMIFS(Table1[[HomeWon]:[HomeWon]], Table1[[GameIsOver]:[GameIsOver]], 1, Table1[[AwayTeam]:[AwayTeam]], $A65, Table1[[HomeTeam]:[HomeTeam]], T$36, Table1[[ActualResult]:[ActualResult]], "SO") + SUMIFS(Table1[[AwayWon]:[AwayWon]], Table1[[GameIsOver]:[GameIsOver]], 1, Table1[[HomeTeam]:[HomeTeam]], $A65, Table1[[AwayTeam]:[AwayTeam]], T$36, Table1[[ActualResult]:[ActualResult]], "SO")))/ (2*((COUNTIFS(Table1[[GameIsOver]:[GameIsOver]],1,Table1[[AwayTeam]:[AwayTeam]],$A65, Table1[[HomeTeam]:[HomeTeam]], T$36)))+( COUNTIFS(Table1[[GameIsOver]:[GameIsOver]],1,Table1[[AwayTeam]:[AwayTeam]],T$36, Table1[[HomeTeam]:[HomeTeam]],$A65))), "")</f>
        <v/>
      </c>
      <c r="U65" s="36" t="str">
        <f>IFERROR(((2 * (SUMIFS(Table1[[AwayWon]:[AwayWon]], Table1[[GameIsOver]:[GameIsOver]], 1, Table1[[AwayTeam]:[AwayTeam]], $A65, Table1[[HomeTeam]:[HomeTeam]], U$36) + SUMIFS(Table1[[HomeWon]:[HomeWon]], Table1[[GameIsOver]:[GameIsOver]], 1, Table1[[HomeTeam]:[HomeTeam]], $A65, Table1[[AwayTeam]:[AwayTeam]], U$36))) + (SUMIFS(Table1[[HomeWon]:[HomeWon]], Table1[[GameIsOver]:[GameIsOver]], 1, Table1[[AwayTeam]:[AwayTeam]], $A65, Table1[[HomeTeam]:[HomeTeam]],  U$36, Table1[[ActualResult]:[ActualResult]], "OT") + SUMIFS(Table1[[AwayWon]:[AwayWon]], Table1[[GameIsOver]:[GameIsOver]], 1, Table1[[HomeTeam]:[HomeTeam]], $A65, Table1[[AwayTeam]:[AwayTeam]], U$36, Table1[[ActualResult]:[ActualResult]], "OT") + SUMIFS(Table1[[HomeWon]:[HomeWon]], Table1[[GameIsOver]:[GameIsOver]], 1, Table1[[AwayTeam]:[AwayTeam]], $A65, Table1[[HomeTeam]:[HomeTeam]], U$36, Table1[[ActualResult]:[ActualResult]], "SO") + SUMIFS(Table1[[AwayWon]:[AwayWon]], Table1[[GameIsOver]:[GameIsOver]], 1, Table1[[HomeTeam]:[HomeTeam]], $A65, Table1[[AwayTeam]:[AwayTeam]], U$36, Table1[[ActualResult]:[ActualResult]], "SO")))/ (2*((COUNTIFS(Table1[[GameIsOver]:[GameIsOver]],1,Table1[[AwayTeam]:[AwayTeam]],$A65, Table1[[HomeTeam]:[HomeTeam]], U$36)))+( COUNTIFS(Table1[[GameIsOver]:[GameIsOver]],1,Table1[[AwayTeam]:[AwayTeam]],U$36, Table1[[HomeTeam]:[HomeTeam]],$A65))), "")</f>
        <v/>
      </c>
      <c r="V65" s="36" t="str">
        <f>IFERROR(((2 * (SUMIFS(Table1[[AwayWon]:[AwayWon]], Table1[[GameIsOver]:[GameIsOver]], 1, Table1[[AwayTeam]:[AwayTeam]], $A65, Table1[[HomeTeam]:[HomeTeam]], V$36) + SUMIFS(Table1[[HomeWon]:[HomeWon]], Table1[[GameIsOver]:[GameIsOver]], 1, Table1[[HomeTeam]:[HomeTeam]], $A65, Table1[[AwayTeam]:[AwayTeam]], V$36))) + (SUMIFS(Table1[[HomeWon]:[HomeWon]], Table1[[GameIsOver]:[GameIsOver]], 1, Table1[[AwayTeam]:[AwayTeam]], $A65, Table1[[HomeTeam]:[HomeTeam]],  V$36, Table1[[ActualResult]:[ActualResult]], "OT") + SUMIFS(Table1[[AwayWon]:[AwayWon]], Table1[[GameIsOver]:[GameIsOver]], 1, Table1[[HomeTeam]:[HomeTeam]], $A65, Table1[[AwayTeam]:[AwayTeam]], V$36, Table1[[ActualResult]:[ActualResult]], "OT") + SUMIFS(Table1[[HomeWon]:[HomeWon]], Table1[[GameIsOver]:[GameIsOver]], 1, Table1[[AwayTeam]:[AwayTeam]], $A65, Table1[[HomeTeam]:[HomeTeam]], V$36, Table1[[ActualResult]:[ActualResult]], "SO") + SUMIFS(Table1[[AwayWon]:[AwayWon]], Table1[[GameIsOver]:[GameIsOver]], 1, Table1[[HomeTeam]:[HomeTeam]], $A65, Table1[[AwayTeam]:[AwayTeam]], V$36, Table1[[ActualResult]:[ActualResult]], "SO")))/ (2*((COUNTIFS(Table1[[GameIsOver]:[GameIsOver]],1,Table1[[AwayTeam]:[AwayTeam]],$A65, Table1[[HomeTeam]:[HomeTeam]], V$36)))+( COUNTIFS(Table1[[GameIsOver]:[GameIsOver]],1,Table1[[AwayTeam]:[AwayTeam]],V$36, Table1[[HomeTeam]:[HomeTeam]],$A65))), "")</f>
        <v/>
      </c>
      <c r="W65" s="36" t="str">
        <f>IFERROR(((2 * (SUMIFS(Table1[[AwayWon]:[AwayWon]], Table1[[GameIsOver]:[GameIsOver]], 1, Table1[[AwayTeam]:[AwayTeam]], $A65, Table1[[HomeTeam]:[HomeTeam]], W$36) + SUMIFS(Table1[[HomeWon]:[HomeWon]], Table1[[GameIsOver]:[GameIsOver]], 1, Table1[[HomeTeam]:[HomeTeam]], $A65, Table1[[AwayTeam]:[AwayTeam]], W$36))) + (SUMIFS(Table1[[HomeWon]:[HomeWon]], Table1[[GameIsOver]:[GameIsOver]], 1, Table1[[AwayTeam]:[AwayTeam]], $A65, Table1[[HomeTeam]:[HomeTeam]],  W$36, Table1[[ActualResult]:[ActualResult]], "OT") + SUMIFS(Table1[[AwayWon]:[AwayWon]], Table1[[GameIsOver]:[GameIsOver]], 1, Table1[[HomeTeam]:[HomeTeam]], $A65, Table1[[AwayTeam]:[AwayTeam]], W$36, Table1[[ActualResult]:[ActualResult]], "OT") + SUMIFS(Table1[[HomeWon]:[HomeWon]], Table1[[GameIsOver]:[GameIsOver]], 1, Table1[[AwayTeam]:[AwayTeam]], $A65, Table1[[HomeTeam]:[HomeTeam]], W$36, Table1[[ActualResult]:[ActualResult]], "SO") + SUMIFS(Table1[[AwayWon]:[AwayWon]], Table1[[GameIsOver]:[GameIsOver]], 1, Table1[[HomeTeam]:[HomeTeam]], $A65, Table1[[AwayTeam]:[AwayTeam]], W$36, Table1[[ActualResult]:[ActualResult]], "SO")))/ (2*((COUNTIFS(Table1[[GameIsOver]:[GameIsOver]],1,Table1[[AwayTeam]:[AwayTeam]],$A65, Table1[[HomeTeam]:[HomeTeam]], W$36)))+( COUNTIFS(Table1[[GameIsOver]:[GameIsOver]],1,Table1[[AwayTeam]:[AwayTeam]],W$36, Table1[[HomeTeam]:[HomeTeam]],$A65))), "")</f>
        <v/>
      </c>
      <c r="X65" s="36" t="str">
        <f>IFERROR(((2 * (SUMIFS(Table1[[AwayWon]:[AwayWon]], Table1[[GameIsOver]:[GameIsOver]], 1, Table1[[AwayTeam]:[AwayTeam]], $A65, Table1[[HomeTeam]:[HomeTeam]], X$36) + SUMIFS(Table1[[HomeWon]:[HomeWon]], Table1[[GameIsOver]:[GameIsOver]], 1, Table1[[HomeTeam]:[HomeTeam]], $A65, Table1[[AwayTeam]:[AwayTeam]], X$36))) + (SUMIFS(Table1[[HomeWon]:[HomeWon]], Table1[[GameIsOver]:[GameIsOver]], 1, Table1[[AwayTeam]:[AwayTeam]], $A65, Table1[[HomeTeam]:[HomeTeam]],  X$36, Table1[[ActualResult]:[ActualResult]], "OT") + SUMIFS(Table1[[AwayWon]:[AwayWon]], Table1[[GameIsOver]:[GameIsOver]], 1, Table1[[HomeTeam]:[HomeTeam]], $A65, Table1[[AwayTeam]:[AwayTeam]], X$36, Table1[[ActualResult]:[ActualResult]], "OT") + SUMIFS(Table1[[HomeWon]:[HomeWon]], Table1[[GameIsOver]:[GameIsOver]], 1, Table1[[AwayTeam]:[AwayTeam]], $A65, Table1[[HomeTeam]:[HomeTeam]], X$36, Table1[[ActualResult]:[ActualResult]], "SO") + SUMIFS(Table1[[AwayWon]:[AwayWon]], Table1[[GameIsOver]:[GameIsOver]], 1, Table1[[HomeTeam]:[HomeTeam]], $A65, Table1[[AwayTeam]:[AwayTeam]], X$36, Table1[[ActualResult]:[ActualResult]], "SO")))/ (2*((COUNTIFS(Table1[[GameIsOver]:[GameIsOver]],1,Table1[[AwayTeam]:[AwayTeam]],$A65, Table1[[HomeTeam]:[HomeTeam]], X$36)))+( COUNTIFS(Table1[[GameIsOver]:[GameIsOver]],1,Table1[[AwayTeam]:[AwayTeam]],X$36, Table1[[HomeTeam]:[HomeTeam]],$A65))), "")</f>
        <v/>
      </c>
      <c r="Y65" s="38" t="str">
        <f>IFERROR(((2 * (SUMIFS(Table1[[AwayWon]:[AwayWon]], Table1[[GameIsOver]:[GameIsOver]], 1, Table1[[AwayTeam]:[AwayTeam]], $A65, Table1[[HomeTeam]:[HomeTeam]], Y$36) + SUMIFS(Table1[[HomeWon]:[HomeWon]], Table1[[GameIsOver]:[GameIsOver]], 1, Table1[[HomeTeam]:[HomeTeam]], $A65, Table1[[AwayTeam]:[AwayTeam]], Y$36))) + (SUMIFS(Table1[[HomeWon]:[HomeWon]], Table1[[GameIsOver]:[GameIsOver]], 1, Table1[[AwayTeam]:[AwayTeam]], $A65, Table1[[HomeTeam]:[HomeTeam]],  Y$36, Table1[[ActualResult]:[ActualResult]], "OT") + SUMIFS(Table1[[AwayWon]:[AwayWon]], Table1[[GameIsOver]:[GameIsOver]], 1, Table1[[HomeTeam]:[HomeTeam]], $A65, Table1[[AwayTeam]:[AwayTeam]], Y$36, Table1[[ActualResult]:[ActualResult]], "OT") + SUMIFS(Table1[[HomeWon]:[HomeWon]], Table1[[GameIsOver]:[GameIsOver]], 1, Table1[[AwayTeam]:[AwayTeam]], $A65, Table1[[HomeTeam]:[HomeTeam]], Y$36, Table1[[ActualResult]:[ActualResult]], "SO") + SUMIFS(Table1[[AwayWon]:[AwayWon]], Table1[[GameIsOver]:[GameIsOver]], 1, Table1[[HomeTeam]:[HomeTeam]], $A65, Table1[[AwayTeam]:[AwayTeam]], Y$36, Table1[[ActualResult]:[ActualResult]], "SO")))/ (2*((COUNTIFS(Table1[[GameIsOver]:[GameIsOver]],1,Table1[[AwayTeam]:[AwayTeam]],$A65, Table1[[HomeTeam]:[HomeTeam]], Y$36)))+( COUNTIFS(Table1[[GameIsOver]:[GameIsOver]],1,Table1[[AwayTeam]:[AwayTeam]],Y$36, Table1[[HomeTeam]:[HomeTeam]],$A65))), "")</f>
        <v/>
      </c>
      <c r="Z65" s="36" t="str">
        <f>IFERROR(((2 * (SUMIFS(Table1[[AwayWon]:[AwayWon]], Table1[[GameIsOver]:[GameIsOver]], 1, Table1[[AwayTeam]:[AwayTeam]], $A65, Table1[[HomeTeam]:[HomeTeam]], Z$36) + SUMIFS(Table1[[HomeWon]:[HomeWon]], Table1[[GameIsOver]:[GameIsOver]], 1, Table1[[HomeTeam]:[HomeTeam]], $A65, Table1[[AwayTeam]:[AwayTeam]], Z$36))) + (SUMIFS(Table1[[HomeWon]:[HomeWon]], Table1[[GameIsOver]:[GameIsOver]], 1, Table1[[AwayTeam]:[AwayTeam]], $A65, Table1[[HomeTeam]:[HomeTeam]],  Z$36, Table1[[ActualResult]:[ActualResult]], "OT") + SUMIFS(Table1[[AwayWon]:[AwayWon]], Table1[[GameIsOver]:[GameIsOver]], 1, Table1[[HomeTeam]:[HomeTeam]], $A65, Table1[[AwayTeam]:[AwayTeam]], Z$36, Table1[[ActualResult]:[ActualResult]], "OT") + SUMIFS(Table1[[HomeWon]:[HomeWon]], Table1[[GameIsOver]:[GameIsOver]], 1, Table1[[AwayTeam]:[AwayTeam]], $A65, Table1[[HomeTeam]:[HomeTeam]], Z$36, Table1[[ActualResult]:[ActualResult]], "SO") + SUMIFS(Table1[[AwayWon]:[AwayWon]], Table1[[GameIsOver]:[GameIsOver]], 1, Table1[[HomeTeam]:[HomeTeam]], $A65, Table1[[AwayTeam]:[AwayTeam]], Z$36, Table1[[ActualResult]:[ActualResult]], "SO")))/ (2*((COUNTIFS(Table1[[GameIsOver]:[GameIsOver]],1,Table1[[AwayTeam]:[AwayTeam]],$A65, Table1[[HomeTeam]:[HomeTeam]], Z$36)))+( COUNTIFS(Table1[[GameIsOver]:[GameIsOver]],1,Table1[[AwayTeam]:[AwayTeam]],Z$36, Table1[[HomeTeam]:[HomeTeam]],$A65))), "")</f>
        <v/>
      </c>
      <c r="AA65" s="36" t="str">
        <f>IFERROR(((2 * (SUMIFS(Table1[[AwayWon]:[AwayWon]], Table1[[GameIsOver]:[GameIsOver]], 1, Table1[[AwayTeam]:[AwayTeam]], $A65, Table1[[HomeTeam]:[HomeTeam]], AA$36) + SUMIFS(Table1[[HomeWon]:[HomeWon]], Table1[[GameIsOver]:[GameIsOver]], 1, Table1[[HomeTeam]:[HomeTeam]], $A65, Table1[[AwayTeam]:[AwayTeam]], AA$36))) + (SUMIFS(Table1[[HomeWon]:[HomeWon]], Table1[[GameIsOver]:[GameIsOver]], 1, Table1[[AwayTeam]:[AwayTeam]], $A65, Table1[[HomeTeam]:[HomeTeam]],  AA$36, Table1[[ActualResult]:[ActualResult]], "OT") + SUMIFS(Table1[[AwayWon]:[AwayWon]], Table1[[GameIsOver]:[GameIsOver]], 1, Table1[[HomeTeam]:[HomeTeam]], $A65, Table1[[AwayTeam]:[AwayTeam]], AA$36, Table1[[ActualResult]:[ActualResult]], "OT") + SUMIFS(Table1[[HomeWon]:[HomeWon]], Table1[[GameIsOver]:[GameIsOver]], 1, Table1[[AwayTeam]:[AwayTeam]], $A65, Table1[[HomeTeam]:[HomeTeam]], AA$36, Table1[[ActualResult]:[ActualResult]], "SO") + SUMIFS(Table1[[AwayWon]:[AwayWon]], Table1[[GameIsOver]:[GameIsOver]], 1, Table1[[HomeTeam]:[HomeTeam]], $A65, Table1[[AwayTeam]:[AwayTeam]], AA$36, Table1[[ActualResult]:[ActualResult]], "SO")))/ (2*((COUNTIFS(Table1[[GameIsOver]:[GameIsOver]],1,Table1[[AwayTeam]:[AwayTeam]],$A65, Table1[[HomeTeam]:[HomeTeam]], AA$36)))+( COUNTIFS(Table1[[GameIsOver]:[GameIsOver]],1,Table1[[AwayTeam]:[AwayTeam]],AA$36, Table1[[HomeTeam]:[HomeTeam]],$A65))), "")</f>
        <v/>
      </c>
      <c r="AB65" s="36" t="str">
        <f>IFERROR(((2 * (SUMIFS(Table1[[AwayWon]:[AwayWon]], Table1[[GameIsOver]:[GameIsOver]], 1, Table1[[AwayTeam]:[AwayTeam]], $A65, Table1[[HomeTeam]:[HomeTeam]], AB$36) + SUMIFS(Table1[[HomeWon]:[HomeWon]], Table1[[GameIsOver]:[GameIsOver]], 1, Table1[[HomeTeam]:[HomeTeam]], $A65, Table1[[AwayTeam]:[AwayTeam]], AB$36))) + (SUMIFS(Table1[[HomeWon]:[HomeWon]], Table1[[GameIsOver]:[GameIsOver]], 1, Table1[[AwayTeam]:[AwayTeam]], $A65, Table1[[HomeTeam]:[HomeTeam]],  AB$36, Table1[[ActualResult]:[ActualResult]], "OT") + SUMIFS(Table1[[AwayWon]:[AwayWon]], Table1[[GameIsOver]:[GameIsOver]], 1, Table1[[HomeTeam]:[HomeTeam]], $A65, Table1[[AwayTeam]:[AwayTeam]], AB$36, Table1[[ActualResult]:[ActualResult]], "OT") + SUMIFS(Table1[[HomeWon]:[HomeWon]], Table1[[GameIsOver]:[GameIsOver]], 1, Table1[[AwayTeam]:[AwayTeam]], $A65, Table1[[HomeTeam]:[HomeTeam]], AB$36, Table1[[ActualResult]:[ActualResult]], "SO") + SUMIFS(Table1[[AwayWon]:[AwayWon]], Table1[[GameIsOver]:[GameIsOver]], 1, Table1[[HomeTeam]:[HomeTeam]], $A65, Table1[[AwayTeam]:[AwayTeam]], AB$36, Table1[[ActualResult]:[ActualResult]], "SO")))/ (2*((COUNTIFS(Table1[[GameIsOver]:[GameIsOver]],1,Table1[[AwayTeam]:[AwayTeam]],$A65, Table1[[HomeTeam]:[HomeTeam]], AB$36)))+( COUNTIFS(Table1[[GameIsOver]:[GameIsOver]],1,Table1[[AwayTeam]:[AwayTeam]],AB$36, Table1[[HomeTeam]:[HomeTeam]],$A65))), "")</f>
        <v/>
      </c>
      <c r="AC65" s="36" t="str">
        <f>IFERROR(((2 * (SUMIFS(Table1[[AwayWon]:[AwayWon]], Table1[[GameIsOver]:[GameIsOver]], 1, Table1[[AwayTeam]:[AwayTeam]], $A65, Table1[[HomeTeam]:[HomeTeam]], AC$36) + SUMIFS(Table1[[HomeWon]:[HomeWon]], Table1[[GameIsOver]:[GameIsOver]], 1, Table1[[HomeTeam]:[HomeTeam]], $A65, Table1[[AwayTeam]:[AwayTeam]], AC$36))) + (SUMIFS(Table1[[HomeWon]:[HomeWon]], Table1[[GameIsOver]:[GameIsOver]], 1, Table1[[AwayTeam]:[AwayTeam]], $A65, Table1[[HomeTeam]:[HomeTeam]],  AC$36, Table1[[ActualResult]:[ActualResult]], "OT") + SUMIFS(Table1[[AwayWon]:[AwayWon]], Table1[[GameIsOver]:[GameIsOver]], 1, Table1[[HomeTeam]:[HomeTeam]], $A65, Table1[[AwayTeam]:[AwayTeam]], AC$36, Table1[[ActualResult]:[ActualResult]], "OT") + SUMIFS(Table1[[HomeWon]:[HomeWon]], Table1[[GameIsOver]:[GameIsOver]], 1, Table1[[AwayTeam]:[AwayTeam]], $A65, Table1[[HomeTeam]:[HomeTeam]], AC$36, Table1[[ActualResult]:[ActualResult]], "SO") + SUMIFS(Table1[[AwayWon]:[AwayWon]], Table1[[GameIsOver]:[GameIsOver]], 1, Table1[[HomeTeam]:[HomeTeam]], $A65, Table1[[AwayTeam]:[AwayTeam]], AC$36, Table1[[ActualResult]:[ActualResult]], "SO")))/ (2*((COUNTIFS(Table1[[GameIsOver]:[GameIsOver]],1,Table1[[AwayTeam]:[AwayTeam]],$A65, Table1[[HomeTeam]:[HomeTeam]], AC$36)))+( COUNTIFS(Table1[[GameIsOver]:[GameIsOver]],1,Table1[[AwayTeam]:[AwayTeam]],AC$36, Table1[[HomeTeam]:[HomeTeam]],$A65))), "")</f>
        <v/>
      </c>
      <c r="AD65" s="36" t="str">
        <f>IFERROR(((2 * (SUMIFS(Table1[[AwayWon]:[AwayWon]], Table1[[GameIsOver]:[GameIsOver]], 1, Table1[[AwayTeam]:[AwayTeam]], $A65, Table1[[HomeTeam]:[HomeTeam]], AD$36) + SUMIFS(Table1[[HomeWon]:[HomeWon]], Table1[[GameIsOver]:[GameIsOver]], 1, Table1[[HomeTeam]:[HomeTeam]], $A65, Table1[[AwayTeam]:[AwayTeam]], AD$36))) + (SUMIFS(Table1[[HomeWon]:[HomeWon]], Table1[[GameIsOver]:[GameIsOver]], 1, Table1[[AwayTeam]:[AwayTeam]], $A65, Table1[[HomeTeam]:[HomeTeam]],  AD$36, Table1[[ActualResult]:[ActualResult]], "OT") + SUMIFS(Table1[[AwayWon]:[AwayWon]], Table1[[GameIsOver]:[GameIsOver]], 1, Table1[[HomeTeam]:[HomeTeam]], $A65, Table1[[AwayTeam]:[AwayTeam]], AD$36, Table1[[ActualResult]:[ActualResult]], "OT") + SUMIFS(Table1[[HomeWon]:[HomeWon]], Table1[[GameIsOver]:[GameIsOver]], 1, Table1[[AwayTeam]:[AwayTeam]], $A65, Table1[[HomeTeam]:[HomeTeam]], AD$36, Table1[[ActualResult]:[ActualResult]], "SO") + SUMIFS(Table1[[AwayWon]:[AwayWon]], Table1[[GameIsOver]:[GameIsOver]], 1, Table1[[HomeTeam]:[HomeTeam]], $A65, Table1[[AwayTeam]:[AwayTeam]], AD$36, Table1[[ActualResult]:[ActualResult]], "SO")))/ (2*((COUNTIFS(Table1[[GameIsOver]:[GameIsOver]],1,Table1[[AwayTeam]:[AwayTeam]],$A65, Table1[[HomeTeam]:[HomeTeam]], AD$36)))+( COUNTIFS(Table1[[GameIsOver]:[GameIsOver]],1,Table1[[AwayTeam]:[AwayTeam]],AD$36, Table1[[HomeTeam]:[HomeTeam]],$A65))), "")</f>
        <v/>
      </c>
      <c r="AE65" s="36" t="str">
        <f>IFERROR(((2 * (SUMIFS(Table1[[AwayWon]:[AwayWon]], Table1[[GameIsOver]:[GameIsOver]], 1, Table1[[AwayTeam]:[AwayTeam]], $A65, Table1[[HomeTeam]:[HomeTeam]], AE$36) + SUMIFS(Table1[[HomeWon]:[HomeWon]], Table1[[GameIsOver]:[GameIsOver]], 1, Table1[[HomeTeam]:[HomeTeam]], $A65, Table1[[AwayTeam]:[AwayTeam]], AE$36))) + (SUMIFS(Table1[[HomeWon]:[HomeWon]], Table1[[GameIsOver]:[GameIsOver]], 1, Table1[[AwayTeam]:[AwayTeam]], $A65, Table1[[HomeTeam]:[HomeTeam]],  AE$36, Table1[[ActualResult]:[ActualResult]], "OT") + SUMIFS(Table1[[AwayWon]:[AwayWon]], Table1[[GameIsOver]:[GameIsOver]], 1, Table1[[HomeTeam]:[HomeTeam]], $A65, Table1[[AwayTeam]:[AwayTeam]], AE$36, Table1[[ActualResult]:[ActualResult]], "OT") + SUMIFS(Table1[[HomeWon]:[HomeWon]], Table1[[GameIsOver]:[GameIsOver]], 1, Table1[[AwayTeam]:[AwayTeam]], $A65, Table1[[HomeTeam]:[HomeTeam]], AE$36, Table1[[ActualResult]:[ActualResult]], "SO") + SUMIFS(Table1[[AwayWon]:[AwayWon]], Table1[[GameIsOver]:[GameIsOver]], 1, Table1[[HomeTeam]:[HomeTeam]], $A65, Table1[[AwayTeam]:[AwayTeam]], AE$36, Table1[[ActualResult]:[ActualResult]], "SO")))/ (2*((COUNTIFS(Table1[[GameIsOver]:[GameIsOver]],1,Table1[[AwayTeam]:[AwayTeam]],$A65, Table1[[HomeTeam]:[HomeTeam]], AE$36)))+( COUNTIFS(Table1[[GameIsOver]:[GameIsOver]],1,Table1[[AwayTeam]:[AwayTeam]],AE$36, Table1[[HomeTeam]:[HomeTeam]],$A65))), "")</f>
        <v/>
      </c>
      <c r="AF65" s="36" t="str">
        <f>IFERROR(((2 * (SUMIFS(Table1[[AwayWon]:[AwayWon]], Table1[[GameIsOver]:[GameIsOver]], 1, Table1[[AwayTeam]:[AwayTeam]], $A65, Table1[[HomeTeam]:[HomeTeam]], AF$36) + SUMIFS(Table1[[HomeWon]:[HomeWon]], Table1[[GameIsOver]:[GameIsOver]], 1, Table1[[HomeTeam]:[HomeTeam]], $A65, Table1[[AwayTeam]:[AwayTeam]], AF$36))) + (SUMIFS(Table1[[HomeWon]:[HomeWon]], Table1[[GameIsOver]:[GameIsOver]], 1, Table1[[AwayTeam]:[AwayTeam]], $A65, Table1[[HomeTeam]:[HomeTeam]],  AF$36, Table1[[ActualResult]:[ActualResult]], "OT") + SUMIFS(Table1[[AwayWon]:[AwayWon]], Table1[[GameIsOver]:[GameIsOver]], 1, Table1[[HomeTeam]:[HomeTeam]], $A65, Table1[[AwayTeam]:[AwayTeam]], AF$36, Table1[[ActualResult]:[ActualResult]], "OT") + SUMIFS(Table1[[HomeWon]:[HomeWon]], Table1[[GameIsOver]:[GameIsOver]], 1, Table1[[AwayTeam]:[AwayTeam]], $A65, Table1[[HomeTeam]:[HomeTeam]], AF$36, Table1[[ActualResult]:[ActualResult]], "SO") + SUMIFS(Table1[[AwayWon]:[AwayWon]], Table1[[GameIsOver]:[GameIsOver]], 1, Table1[[HomeTeam]:[HomeTeam]], $A65, Table1[[AwayTeam]:[AwayTeam]], AF$36, Table1[[ActualResult]:[ActualResult]], "SO")))/ (2*((COUNTIFS(Table1[[GameIsOver]:[GameIsOver]],1,Table1[[AwayTeam]:[AwayTeam]],$A65, Table1[[HomeTeam]:[HomeTeam]], AF$36)))+( COUNTIFS(Table1[[GameIsOver]:[GameIsOver]],1,Table1[[AwayTeam]:[AwayTeam]],AF$36, Table1[[HomeTeam]:[HomeTeam]],$A65))), "")</f>
        <v/>
      </c>
      <c r="AG65" s="36">
        <f>IFERROR(((2 * (SUMIFS(Table1[[AwayWon]:[AwayWon]], Table1[[GameIsOver]:[GameIsOver]], 1, Table1[[AwayTeam]:[AwayTeam]], $A65, Table1[[HomeTeam]:[HomeTeam]], AG$36) + SUMIFS(Table1[[HomeWon]:[HomeWon]], Table1[[GameIsOver]:[GameIsOver]], 1, Table1[[HomeTeam]:[HomeTeam]], $A65, Table1[[AwayTeam]:[AwayTeam]], AG$36))) + (SUMIFS(Table1[[HomeWon]:[HomeWon]], Table1[[GameIsOver]:[GameIsOver]], 1, Table1[[AwayTeam]:[AwayTeam]], $A65, Table1[[HomeTeam]:[HomeTeam]],  AG$36, Table1[[ActualResult]:[ActualResult]], "OT") + SUMIFS(Table1[[AwayWon]:[AwayWon]], Table1[[GameIsOver]:[GameIsOver]], 1, Table1[[HomeTeam]:[HomeTeam]], $A65, Table1[[AwayTeam]:[AwayTeam]], AG$36, Table1[[ActualResult]:[ActualResult]], "OT") + SUMIFS(Table1[[HomeWon]:[HomeWon]], Table1[[GameIsOver]:[GameIsOver]], 1, Table1[[AwayTeam]:[AwayTeam]], $A65, Table1[[HomeTeam]:[HomeTeam]], AG$36, Table1[[ActualResult]:[ActualResult]], "SO") + SUMIFS(Table1[[AwayWon]:[AwayWon]], Table1[[GameIsOver]:[GameIsOver]], 1, Table1[[HomeTeam]:[HomeTeam]], $A65, Table1[[AwayTeam]:[AwayTeam]], AG$36, Table1[[ActualResult]:[ActualResult]], "SO")))/ (2*((COUNTIFS(Table1[[GameIsOver]:[GameIsOver]],1,Table1[[AwayTeam]:[AwayTeam]],$A65, Table1[[HomeTeam]:[HomeTeam]], AG$36)))+( COUNTIFS(Table1[[GameIsOver]:[GameIsOver]],1,Table1[[AwayTeam]:[AwayTeam]],AG$36, Table1[[HomeTeam]:[HomeTeam]],$A65))), "")</f>
        <v>1</v>
      </c>
      <c r="AH65" s="37">
        <f t="shared" si="0"/>
        <v>1</v>
      </c>
      <c r="AI65" s="37" t="e">
        <f t="shared" si="1"/>
        <v>#DIV/0!</v>
      </c>
      <c r="AJ65" s="38">
        <f t="shared" si="2"/>
        <v>1</v>
      </c>
      <c r="AK65" s="38" t="e">
        <f t="shared" si="3"/>
        <v>#DIV/0!</v>
      </c>
      <c r="AL65" s="38" t="e">
        <f t="shared" si="4"/>
        <v>#DIV/0!</v>
      </c>
      <c r="AM65" s="38" t="e">
        <f t="shared" si="5"/>
        <v>#DIV/0!</v>
      </c>
    </row>
    <row r="66" spans="1:39" x14ac:dyDescent="0.25">
      <c r="A66" s="17" t="s">
        <v>52</v>
      </c>
      <c r="B66" s="36" t="str">
        <f>IFERROR(((2 * (SUMIFS(Table1[[AwayWon]:[AwayWon]], Table1[[GameIsOver]:[GameIsOver]], 1, Table1[[AwayTeam]:[AwayTeam]], $A66, Table1[[HomeTeam]:[HomeTeam]], B$36) + SUMIFS(Table1[[HomeWon]:[HomeWon]], Table1[[GameIsOver]:[GameIsOver]], 1, Table1[[HomeTeam]:[HomeTeam]], $A66, Table1[[AwayTeam]:[AwayTeam]], B$36))) + (SUMIFS(Table1[[HomeWon]:[HomeWon]], Table1[[GameIsOver]:[GameIsOver]], 1, Table1[[AwayTeam]:[AwayTeam]], $A66, Table1[[HomeTeam]:[HomeTeam]],  B$36, Table1[[ActualResult]:[ActualResult]], "OT") + SUMIFS(Table1[[AwayWon]:[AwayWon]], Table1[[GameIsOver]:[GameIsOver]], 1, Table1[[HomeTeam]:[HomeTeam]], $A66, Table1[[AwayTeam]:[AwayTeam]], B$36, Table1[[ActualResult]:[ActualResult]], "OT") + SUMIFS(Table1[[HomeWon]:[HomeWon]], Table1[[GameIsOver]:[GameIsOver]], 1, Table1[[AwayTeam]:[AwayTeam]], $A66, Table1[[HomeTeam]:[HomeTeam]], B$36, Table1[[ActualResult]:[ActualResult]], "SO") + SUMIFS(Table1[[AwayWon]:[AwayWon]], Table1[[GameIsOver]:[GameIsOver]], 1, Table1[[HomeTeam]:[HomeTeam]], $A66, Table1[[AwayTeam]:[AwayTeam]], B$36, Table1[[ActualResult]:[ActualResult]], "SO")))/ (2*((COUNTIFS(Table1[[GameIsOver]:[GameIsOver]],1,Table1[[AwayTeam]:[AwayTeam]],$A66, Table1[[HomeTeam]:[HomeTeam]], B$36)))+( COUNTIFS(Table1[[GameIsOver]:[GameIsOver]],1,Table1[[AwayTeam]:[AwayTeam]],B$36, Table1[[HomeTeam]:[HomeTeam]],$A66))), "")</f>
        <v/>
      </c>
      <c r="C66" s="36" t="str">
        <f>IFERROR(((2 * (SUMIFS(Table1[[AwayWon]:[AwayWon]], Table1[[GameIsOver]:[GameIsOver]], 1, Table1[[AwayTeam]:[AwayTeam]], $A66, Table1[[HomeTeam]:[HomeTeam]], C$36) + SUMIFS(Table1[[HomeWon]:[HomeWon]], Table1[[GameIsOver]:[GameIsOver]], 1, Table1[[HomeTeam]:[HomeTeam]], $A66, Table1[[AwayTeam]:[AwayTeam]], C$36))) + (SUMIFS(Table1[[HomeWon]:[HomeWon]], Table1[[GameIsOver]:[GameIsOver]], 1, Table1[[AwayTeam]:[AwayTeam]], $A66, Table1[[HomeTeam]:[HomeTeam]],  C$36, Table1[[ActualResult]:[ActualResult]], "OT") + SUMIFS(Table1[[AwayWon]:[AwayWon]], Table1[[GameIsOver]:[GameIsOver]], 1, Table1[[HomeTeam]:[HomeTeam]], $A66, Table1[[AwayTeam]:[AwayTeam]], C$36, Table1[[ActualResult]:[ActualResult]], "OT") + SUMIFS(Table1[[HomeWon]:[HomeWon]], Table1[[GameIsOver]:[GameIsOver]], 1, Table1[[AwayTeam]:[AwayTeam]], $A66, Table1[[HomeTeam]:[HomeTeam]], C$36, Table1[[ActualResult]:[ActualResult]], "SO") + SUMIFS(Table1[[AwayWon]:[AwayWon]], Table1[[GameIsOver]:[GameIsOver]], 1, Table1[[HomeTeam]:[HomeTeam]], $A66, Table1[[AwayTeam]:[AwayTeam]], C$36, Table1[[ActualResult]:[ActualResult]], "SO")))/ (2*((COUNTIFS(Table1[[GameIsOver]:[GameIsOver]],1,Table1[[AwayTeam]:[AwayTeam]],$A66, Table1[[HomeTeam]:[HomeTeam]], C$36)))+( COUNTIFS(Table1[[GameIsOver]:[GameIsOver]],1,Table1[[AwayTeam]:[AwayTeam]],C$36, Table1[[HomeTeam]:[HomeTeam]],$A66))), "")</f>
        <v/>
      </c>
      <c r="D66" s="36" t="str">
        <f>IFERROR(((2 * (SUMIFS(Table1[[AwayWon]:[AwayWon]], Table1[[GameIsOver]:[GameIsOver]], 1, Table1[[AwayTeam]:[AwayTeam]], $A66, Table1[[HomeTeam]:[HomeTeam]], D$36) + SUMIFS(Table1[[HomeWon]:[HomeWon]], Table1[[GameIsOver]:[GameIsOver]], 1, Table1[[HomeTeam]:[HomeTeam]], $A66, Table1[[AwayTeam]:[AwayTeam]], D$36))) + (SUMIFS(Table1[[HomeWon]:[HomeWon]], Table1[[GameIsOver]:[GameIsOver]], 1, Table1[[AwayTeam]:[AwayTeam]], $A66, Table1[[HomeTeam]:[HomeTeam]],  D$36, Table1[[ActualResult]:[ActualResult]], "OT") + SUMIFS(Table1[[AwayWon]:[AwayWon]], Table1[[GameIsOver]:[GameIsOver]], 1, Table1[[HomeTeam]:[HomeTeam]], $A66, Table1[[AwayTeam]:[AwayTeam]], D$36, Table1[[ActualResult]:[ActualResult]], "OT") + SUMIFS(Table1[[HomeWon]:[HomeWon]], Table1[[GameIsOver]:[GameIsOver]], 1, Table1[[AwayTeam]:[AwayTeam]], $A66, Table1[[HomeTeam]:[HomeTeam]], D$36, Table1[[ActualResult]:[ActualResult]], "SO") + SUMIFS(Table1[[AwayWon]:[AwayWon]], Table1[[GameIsOver]:[GameIsOver]], 1, Table1[[HomeTeam]:[HomeTeam]], $A66, Table1[[AwayTeam]:[AwayTeam]], D$36, Table1[[ActualResult]:[ActualResult]], "SO")))/ (2*((COUNTIFS(Table1[[GameIsOver]:[GameIsOver]],1,Table1[[AwayTeam]:[AwayTeam]],$A66, Table1[[HomeTeam]:[HomeTeam]], D$36)))+( COUNTIFS(Table1[[GameIsOver]:[GameIsOver]],1,Table1[[AwayTeam]:[AwayTeam]],D$36, Table1[[HomeTeam]:[HomeTeam]],$A66))), "")</f>
        <v/>
      </c>
      <c r="E66" s="36" t="str">
        <f>IFERROR(((2 * (SUMIFS(Table1[[AwayWon]:[AwayWon]], Table1[[GameIsOver]:[GameIsOver]], 1, Table1[[AwayTeam]:[AwayTeam]], $A66, Table1[[HomeTeam]:[HomeTeam]], E$36) + SUMIFS(Table1[[HomeWon]:[HomeWon]], Table1[[GameIsOver]:[GameIsOver]], 1, Table1[[HomeTeam]:[HomeTeam]], $A66, Table1[[AwayTeam]:[AwayTeam]], E$36))) + (SUMIFS(Table1[[HomeWon]:[HomeWon]], Table1[[GameIsOver]:[GameIsOver]], 1, Table1[[AwayTeam]:[AwayTeam]], $A66, Table1[[HomeTeam]:[HomeTeam]],  E$36, Table1[[ActualResult]:[ActualResult]], "OT") + SUMIFS(Table1[[AwayWon]:[AwayWon]], Table1[[GameIsOver]:[GameIsOver]], 1, Table1[[HomeTeam]:[HomeTeam]], $A66, Table1[[AwayTeam]:[AwayTeam]], E$36, Table1[[ActualResult]:[ActualResult]], "OT") + SUMIFS(Table1[[HomeWon]:[HomeWon]], Table1[[GameIsOver]:[GameIsOver]], 1, Table1[[AwayTeam]:[AwayTeam]], $A66, Table1[[HomeTeam]:[HomeTeam]], E$36, Table1[[ActualResult]:[ActualResult]], "SO") + SUMIFS(Table1[[AwayWon]:[AwayWon]], Table1[[GameIsOver]:[GameIsOver]], 1, Table1[[HomeTeam]:[HomeTeam]], $A66, Table1[[AwayTeam]:[AwayTeam]], E$36, Table1[[ActualResult]:[ActualResult]], "SO")))/ (2*((COUNTIFS(Table1[[GameIsOver]:[GameIsOver]],1,Table1[[AwayTeam]:[AwayTeam]],$A66, Table1[[HomeTeam]:[HomeTeam]], E$36)))+( COUNTIFS(Table1[[GameIsOver]:[GameIsOver]],1,Table1[[AwayTeam]:[AwayTeam]],E$36, Table1[[HomeTeam]:[HomeTeam]],$A66))), "")</f>
        <v/>
      </c>
      <c r="F66" s="36" t="str">
        <f>IFERROR(((2 * (SUMIFS(Table1[[AwayWon]:[AwayWon]], Table1[[GameIsOver]:[GameIsOver]], 1, Table1[[AwayTeam]:[AwayTeam]], $A66, Table1[[HomeTeam]:[HomeTeam]], F$36) + SUMIFS(Table1[[HomeWon]:[HomeWon]], Table1[[GameIsOver]:[GameIsOver]], 1, Table1[[HomeTeam]:[HomeTeam]], $A66, Table1[[AwayTeam]:[AwayTeam]], F$36))) + (SUMIFS(Table1[[HomeWon]:[HomeWon]], Table1[[GameIsOver]:[GameIsOver]], 1, Table1[[AwayTeam]:[AwayTeam]], $A66, Table1[[HomeTeam]:[HomeTeam]],  F$36, Table1[[ActualResult]:[ActualResult]], "OT") + SUMIFS(Table1[[AwayWon]:[AwayWon]], Table1[[GameIsOver]:[GameIsOver]], 1, Table1[[HomeTeam]:[HomeTeam]], $A66, Table1[[AwayTeam]:[AwayTeam]], F$36, Table1[[ActualResult]:[ActualResult]], "OT") + SUMIFS(Table1[[HomeWon]:[HomeWon]], Table1[[GameIsOver]:[GameIsOver]], 1, Table1[[AwayTeam]:[AwayTeam]], $A66, Table1[[HomeTeam]:[HomeTeam]], F$36, Table1[[ActualResult]:[ActualResult]], "SO") + SUMIFS(Table1[[AwayWon]:[AwayWon]], Table1[[GameIsOver]:[GameIsOver]], 1, Table1[[HomeTeam]:[HomeTeam]], $A66, Table1[[AwayTeam]:[AwayTeam]], F$36, Table1[[ActualResult]:[ActualResult]], "SO")))/ (2*((COUNTIFS(Table1[[GameIsOver]:[GameIsOver]],1,Table1[[AwayTeam]:[AwayTeam]],$A66, Table1[[HomeTeam]:[HomeTeam]], F$36)))+( COUNTIFS(Table1[[GameIsOver]:[GameIsOver]],1,Table1[[AwayTeam]:[AwayTeam]],F$36, Table1[[HomeTeam]:[HomeTeam]],$A66))), "")</f>
        <v/>
      </c>
      <c r="G66" s="36" t="str">
        <f>IFERROR(((2 * (SUMIFS(Table1[[AwayWon]:[AwayWon]], Table1[[GameIsOver]:[GameIsOver]], 1, Table1[[AwayTeam]:[AwayTeam]], $A66, Table1[[HomeTeam]:[HomeTeam]], G$36) + SUMIFS(Table1[[HomeWon]:[HomeWon]], Table1[[GameIsOver]:[GameIsOver]], 1, Table1[[HomeTeam]:[HomeTeam]], $A66, Table1[[AwayTeam]:[AwayTeam]], G$36))) + (SUMIFS(Table1[[HomeWon]:[HomeWon]], Table1[[GameIsOver]:[GameIsOver]], 1, Table1[[AwayTeam]:[AwayTeam]], $A66, Table1[[HomeTeam]:[HomeTeam]],  G$36, Table1[[ActualResult]:[ActualResult]], "OT") + SUMIFS(Table1[[AwayWon]:[AwayWon]], Table1[[GameIsOver]:[GameIsOver]], 1, Table1[[HomeTeam]:[HomeTeam]], $A66, Table1[[AwayTeam]:[AwayTeam]], G$36, Table1[[ActualResult]:[ActualResult]], "OT") + SUMIFS(Table1[[HomeWon]:[HomeWon]], Table1[[GameIsOver]:[GameIsOver]], 1, Table1[[AwayTeam]:[AwayTeam]], $A66, Table1[[HomeTeam]:[HomeTeam]], G$36, Table1[[ActualResult]:[ActualResult]], "SO") + SUMIFS(Table1[[AwayWon]:[AwayWon]], Table1[[GameIsOver]:[GameIsOver]], 1, Table1[[HomeTeam]:[HomeTeam]], $A66, Table1[[AwayTeam]:[AwayTeam]], G$36, Table1[[ActualResult]:[ActualResult]], "SO")))/ (2*((COUNTIFS(Table1[[GameIsOver]:[GameIsOver]],1,Table1[[AwayTeam]:[AwayTeam]],$A66, Table1[[HomeTeam]:[HomeTeam]], G$36)))+( COUNTIFS(Table1[[GameIsOver]:[GameIsOver]],1,Table1[[AwayTeam]:[AwayTeam]],G$36, Table1[[HomeTeam]:[HomeTeam]],$A66))), "")</f>
        <v/>
      </c>
      <c r="H66" s="36" t="str">
        <f>IFERROR(((2 * (SUMIFS(Table1[[AwayWon]:[AwayWon]], Table1[[GameIsOver]:[GameIsOver]], 1, Table1[[AwayTeam]:[AwayTeam]], $A66, Table1[[HomeTeam]:[HomeTeam]], H$36) + SUMIFS(Table1[[HomeWon]:[HomeWon]], Table1[[GameIsOver]:[GameIsOver]], 1, Table1[[HomeTeam]:[HomeTeam]], $A66, Table1[[AwayTeam]:[AwayTeam]], H$36))) + (SUMIFS(Table1[[HomeWon]:[HomeWon]], Table1[[GameIsOver]:[GameIsOver]], 1, Table1[[AwayTeam]:[AwayTeam]], $A66, Table1[[HomeTeam]:[HomeTeam]],  H$36, Table1[[ActualResult]:[ActualResult]], "OT") + SUMIFS(Table1[[AwayWon]:[AwayWon]], Table1[[GameIsOver]:[GameIsOver]], 1, Table1[[HomeTeam]:[HomeTeam]], $A66, Table1[[AwayTeam]:[AwayTeam]], H$36, Table1[[ActualResult]:[ActualResult]], "OT") + SUMIFS(Table1[[HomeWon]:[HomeWon]], Table1[[GameIsOver]:[GameIsOver]], 1, Table1[[AwayTeam]:[AwayTeam]], $A66, Table1[[HomeTeam]:[HomeTeam]], H$36, Table1[[ActualResult]:[ActualResult]], "SO") + SUMIFS(Table1[[AwayWon]:[AwayWon]], Table1[[GameIsOver]:[GameIsOver]], 1, Table1[[HomeTeam]:[HomeTeam]], $A66, Table1[[AwayTeam]:[AwayTeam]], H$36, Table1[[ActualResult]:[ActualResult]], "SO")))/ (2*((COUNTIFS(Table1[[GameIsOver]:[GameIsOver]],1,Table1[[AwayTeam]:[AwayTeam]],$A66, Table1[[HomeTeam]:[HomeTeam]], H$36)))+( COUNTIFS(Table1[[GameIsOver]:[GameIsOver]],1,Table1[[AwayTeam]:[AwayTeam]],H$36, Table1[[HomeTeam]:[HomeTeam]],$A66))), "")</f>
        <v/>
      </c>
      <c r="I66" s="38" t="str">
        <f>IFERROR(((2 * (SUMIFS(Table1[[AwayWon]:[AwayWon]], Table1[[GameIsOver]:[GameIsOver]], 1, Table1[[AwayTeam]:[AwayTeam]], $A66, Table1[[HomeTeam]:[HomeTeam]], I$36) + SUMIFS(Table1[[HomeWon]:[HomeWon]], Table1[[GameIsOver]:[GameIsOver]], 1, Table1[[HomeTeam]:[HomeTeam]], $A66, Table1[[AwayTeam]:[AwayTeam]], I$36))) + (SUMIFS(Table1[[HomeWon]:[HomeWon]], Table1[[GameIsOver]:[GameIsOver]], 1, Table1[[AwayTeam]:[AwayTeam]], $A66, Table1[[HomeTeam]:[HomeTeam]],  I$36, Table1[[ActualResult]:[ActualResult]], "OT") + SUMIFS(Table1[[AwayWon]:[AwayWon]], Table1[[GameIsOver]:[GameIsOver]], 1, Table1[[HomeTeam]:[HomeTeam]], $A66, Table1[[AwayTeam]:[AwayTeam]], I$36, Table1[[ActualResult]:[ActualResult]], "OT") + SUMIFS(Table1[[HomeWon]:[HomeWon]], Table1[[GameIsOver]:[GameIsOver]], 1, Table1[[AwayTeam]:[AwayTeam]], $A66, Table1[[HomeTeam]:[HomeTeam]], I$36, Table1[[ActualResult]:[ActualResult]], "SO") + SUMIFS(Table1[[AwayWon]:[AwayWon]], Table1[[GameIsOver]:[GameIsOver]], 1, Table1[[HomeTeam]:[HomeTeam]], $A66, Table1[[AwayTeam]:[AwayTeam]], I$36, Table1[[ActualResult]:[ActualResult]], "SO")))/ (2*((COUNTIFS(Table1[[GameIsOver]:[GameIsOver]],1,Table1[[AwayTeam]:[AwayTeam]],$A66, Table1[[HomeTeam]:[HomeTeam]], I$36)))+( COUNTIFS(Table1[[GameIsOver]:[GameIsOver]],1,Table1[[AwayTeam]:[AwayTeam]],I$36, Table1[[HomeTeam]:[HomeTeam]],$A66))), "")</f>
        <v/>
      </c>
      <c r="J66" s="36" t="str">
        <f>IFERROR(((2 * (SUMIFS(Table1[[AwayWon]:[AwayWon]], Table1[[GameIsOver]:[GameIsOver]], 1, Table1[[AwayTeam]:[AwayTeam]], $A66, Table1[[HomeTeam]:[HomeTeam]], J$36) + SUMIFS(Table1[[HomeWon]:[HomeWon]], Table1[[GameIsOver]:[GameIsOver]], 1, Table1[[HomeTeam]:[HomeTeam]], $A66, Table1[[AwayTeam]:[AwayTeam]], J$36))) + (SUMIFS(Table1[[HomeWon]:[HomeWon]], Table1[[GameIsOver]:[GameIsOver]], 1, Table1[[AwayTeam]:[AwayTeam]], $A66, Table1[[HomeTeam]:[HomeTeam]],  J$36, Table1[[ActualResult]:[ActualResult]], "OT") + SUMIFS(Table1[[AwayWon]:[AwayWon]], Table1[[GameIsOver]:[GameIsOver]], 1, Table1[[HomeTeam]:[HomeTeam]], $A66, Table1[[AwayTeam]:[AwayTeam]], J$36, Table1[[ActualResult]:[ActualResult]], "OT") + SUMIFS(Table1[[HomeWon]:[HomeWon]], Table1[[GameIsOver]:[GameIsOver]], 1, Table1[[AwayTeam]:[AwayTeam]], $A66, Table1[[HomeTeam]:[HomeTeam]], J$36, Table1[[ActualResult]:[ActualResult]], "SO") + SUMIFS(Table1[[AwayWon]:[AwayWon]], Table1[[GameIsOver]:[GameIsOver]], 1, Table1[[HomeTeam]:[HomeTeam]], $A66, Table1[[AwayTeam]:[AwayTeam]], J$36, Table1[[ActualResult]:[ActualResult]], "SO")))/ (2*((COUNTIFS(Table1[[GameIsOver]:[GameIsOver]],1,Table1[[AwayTeam]:[AwayTeam]],$A66, Table1[[HomeTeam]:[HomeTeam]], J$36)))+( COUNTIFS(Table1[[GameIsOver]:[GameIsOver]],1,Table1[[AwayTeam]:[AwayTeam]],J$36, Table1[[HomeTeam]:[HomeTeam]],$A66))), "")</f>
        <v/>
      </c>
      <c r="K66" s="36" t="str">
        <f>IFERROR(((2 * (SUMIFS(Table1[[AwayWon]:[AwayWon]], Table1[[GameIsOver]:[GameIsOver]], 1, Table1[[AwayTeam]:[AwayTeam]], $A66, Table1[[HomeTeam]:[HomeTeam]], K$36) + SUMIFS(Table1[[HomeWon]:[HomeWon]], Table1[[GameIsOver]:[GameIsOver]], 1, Table1[[HomeTeam]:[HomeTeam]], $A66, Table1[[AwayTeam]:[AwayTeam]], K$36))) + (SUMIFS(Table1[[HomeWon]:[HomeWon]], Table1[[GameIsOver]:[GameIsOver]], 1, Table1[[AwayTeam]:[AwayTeam]], $A66, Table1[[HomeTeam]:[HomeTeam]],  K$36, Table1[[ActualResult]:[ActualResult]], "OT") + SUMIFS(Table1[[AwayWon]:[AwayWon]], Table1[[GameIsOver]:[GameIsOver]], 1, Table1[[HomeTeam]:[HomeTeam]], $A66, Table1[[AwayTeam]:[AwayTeam]], K$36, Table1[[ActualResult]:[ActualResult]], "OT") + SUMIFS(Table1[[HomeWon]:[HomeWon]], Table1[[GameIsOver]:[GameIsOver]], 1, Table1[[AwayTeam]:[AwayTeam]], $A66, Table1[[HomeTeam]:[HomeTeam]], K$36, Table1[[ActualResult]:[ActualResult]], "SO") + SUMIFS(Table1[[AwayWon]:[AwayWon]], Table1[[GameIsOver]:[GameIsOver]], 1, Table1[[HomeTeam]:[HomeTeam]], $A66, Table1[[AwayTeam]:[AwayTeam]], K$36, Table1[[ActualResult]:[ActualResult]], "SO")))/ (2*((COUNTIFS(Table1[[GameIsOver]:[GameIsOver]],1,Table1[[AwayTeam]:[AwayTeam]],$A66, Table1[[HomeTeam]:[HomeTeam]], K$36)))+( COUNTIFS(Table1[[GameIsOver]:[GameIsOver]],1,Table1[[AwayTeam]:[AwayTeam]],K$36, Table1[[HomeTeam]:[HomeTeam]],$A66))), "")</f>
        <v/>
      </c>
      <c r="L66" s="36" t="str">
        <f>IFERROR(((2 * (SUMIFS(Table1[[AwayWon]:[AwayWon]], Table1[[GameIsOver]:[GameIsOver]], 1, Table1[[AwayTeam]:[AwayTeam]], $A66, Table1[[HomeTeam]:[HomeTeam]], L$36) + SUMIFS(Table1[[HomeWon]:[HomeWon]], Table1[[GameIsOver]:[GameIsOver]], 1, Table1[[HomeTeam]:[HomeTeam]], $A66, Table1[[AwayTeam]:[AwayTeam]], L$36))) + (SUMIFS(Table1[[HomeWon]:[HomeWon]], Table1[[GameIsOver]:[GameIsOver]], 1, Table1[[AwayTeam]:[AwayTeam]], $A66, Table1[[HomeTeam]:[HomeTeam]],  L$36, Table1[[ActualResult]:[ActualResult]], "OT") + SUMIFS(Table1[[AwayWon]:[AwayWon]], Table1[[GameIsOver]:[GameIsOver]], 1, Table1[[HomeTeam]:[HomeTeam]], $A66, Table1[[AwayTeam]:[AwayTeam]], L$36, Table1[[ActualResult]:[ActualResult]], "OT") + SUMIFS(Table1[[HomeWon]:[HomeWon]], Table1[[GameIsOver]:[GameIsOver]], 1, Table1[[AwayTeam]:[AwayTeam]], $A66, Table1[[HomeTeam]:[HomeTeam]], L$36, Table1[[ActualResult]:[ActualResult]], "SO") + SUMIFS(Table1[[AwayWon]:[AwayWon]], Table1[[GameIsOver]:[GameIsOver]], 1, Table1[[HomeTeam]:[HomeTeam]], $A66, Table1[[AwayTeam]:[AwayTeam]], L$36, Table1[[ActualResult]:[ActualResult]], "SO")))/ (2*((COUNTIFS(Table1[[GameIsOver]:[GameIsOver]],1,Table1[[AwayTeam]:[AwayTeam]],$A66, Table1[[HomeTeam]:[HomeTeam]], L$36)))+( COUNTIFS(Table1[[GameIsOver]:[GameIsOver]],1,Table1[[AwayTeam]:[AwayTeam]],L$36, Table1[[HomeTeam]:[HomeTeam]],$A66))), "")</f>
        <v/>
      </c>
      <c r="M66" s="36" t="str">
        <f>IFERROR(((2 * (SUMIFS(Table1[[AwayWon]:[AwayWon]], Table1[[GameIsOver]:[GameIsOver]], 1, Table1[[AwayTeam]:[AwayTeam]], $A66, Table1[[HomeTeam]:[HomeTeam]], M$36) + SUMIFS(Table1[[HomeWon]:[HomeWon]], Table1[[GameIsOver]:[GameIsOver]], 1, Table1[[HomeTeam]:[HomeTeam]], $A66, Table1[[AwayTeam]:[AwayTeam]], M$36))) + (SUMIFS(Table1[[HomeWon]:[HomeWon]], Table1[[GameIsOver]:[GameIsOver]], 1, Table1[[AwayTeam]:[AwayTeam]], $A66, Table1[[HomeTeam]:[HomeTeam]],  M$36, Table1[[ActualResult]:[ActualResult]], "OT") + SUMIFS(Table1[[AwayWon]:[AwayWon]], Table1[[GameIsOver]:[GameIsOver]], 1, Table1[[HomeTeam]:[HomeTeam]], $A66, Table1[[AwayTeam]:[AwayTeam]], M$36, Table1[[ActualResult]:[ActualResult]], "OT") + SUMIFS(Table1[[HomeWon]:[HomeWon]], Table1[[GameIsOver]:[GameIsOver]], 1, Table1[[AwayTeam]:[AwayTeam]], $A66, Table1[[HomeTeam]:[HomeTeam]], M$36, Table1[[ActualResult]:[ActualResult]], "SO") + SUMIFS(Table1[[AwayWon]:[AwayWon]], Table1[[GameIsOver]:[GameIsOver]], 1, Table1[[HomeTeam]:[HomeTeam]], $A66, Table1[[AwayTeam]:[AwayTeam]], M$36, Table1[[ActualResult]:[ActualResult]], "SO")))/ (2*((COUNTIFS(Table1[[GameIsOver]:[GameIsOver]],1,Table1[[AwayTeam]:[AwayTeam]],$A66, Table1[[HomeTeam]:[HomeTeam]], M$36)))+( COUNTIFS(Table1[[GameIsOver]:[GameIsOver]],1,Table1[[AwayTeam]:[AwayTeam]],M$36, Table1[[HomeTeam]:[HomeTeam]],$A66))), "")</f>
        <v/>
      </c>
      <c r="N66" s="36" t="str">
        <f>IFERROR(((2 * (SUMIFS(Table1[[AwayWon]:[AwayWon]], Table1[[GameIsOver]:[GameIsOver]], 1, Table1[[AwayTeam]:[AwayTeam]], $A66, Table1[[HomeTeam]:[HomeTeam]], N$36) + SUMIFS(Table1[[HomeWon]:[HomeWon]], Table1[[GameIsOver]:[GameIsOver]], 1, Table1[[HomeTeam]:[HomeTeam]], $A66, Table1[[AwayTeam]:[AwayTeam]], N$36))) + (SUMIFS(Table1[[HomeWon]:[HomeWon]], Table1[[GameIsOver]:[GameIsOver]], 1, Table1[[AwayTeam]:[AwayTeam]], $A66, Table1[[HomeTeam]:[HomeTeam]],  N$36, Table1[[ActualResult]:[ActualResult]], "OT") + SUMIFS(Table1[[AwayWon]:[AwayWon]], Table1[[GameIsOver]:[GameIsOver]], 1, Table1[[HomeTeam]:[HomeTeam]], $A66, Table1[[AwayTeam]:[AwayTeam]], N$36, Table1[[ActualResult]:[ActualResult]], "OT") + SUMIFS(Table1[[HomeWon]:[HomeWon]], Table1[[GameIsOver]:[GameIsOver]], 1, Table1[[AwayTeam]:[AwayTeam]], $A66, Table1[[HomeTeam]:[HomeTeam]], N$36, Table1[[ActualResult]:[ActualResult]], "SO") + SUMIFS(Table1[[AwayWon]:[AwayWon]], Table1[[GameIsOver]:[GameIsOver]], 1, Table1[[HomeTeam]:[HomeTeam]], $A66, Table1[[AwayTeam]:[AwayTeam]], N$36, Table1[[ActualResult]:[ActualResult]], "SO")))/ (2*((COUNTIFS(Table1[[GameIsOver]:[GameIsOver]],1,Table1[[AwayTeam]:[AwayTeam]],$A66, Table1[[HomeTeam]:[HomeTeam]], N$36)))+( COUNTIFS(Table1[[GameIsOver]:[GameIsOver]],1,Table1[[AwayTeam]:[AwayTeam]],N$36, Table1[[HomeTeam]:[HomeTeam]],$A66))), "")</f>
        <v/>
      </c>
      <c r="O66" s="36" t="str">
        <f>IFERROR(((2 * (SUMIFS(Table1[[AwayWon]:[AwayWon]], Table1[[GameIsOver]:[GameIsOver]], 1, Table1[[AwayTeam]:[AwayTeam]], $A66, Table1[[HomeTeam]:[HomeTeam]], O$36) + SUMIFS(Table1[[HomeWon]:[HomeWon]], Table1[[GameIsOver]:[GameIsOver]], 1, Table1[[HomeTeam]:[HomeTeam]], $A66, Table1[[AwayTeam]:[AwayTeam]], O$36))) + (SUMIFS(Table1[[HomeWon]:[HomeWon]], Table1[[GameIsOver]:[GameIsOver]], 1, Table1[[AwayTeam]:[AwayTeam]], $A66, Table1[[HomeTeam]:[HomeTeam]],  O$36, Table1[[ActualResult]:[ActualResult]], "OT") + SUMIFS(Table1[[AwayWon]:[AwayWon]], Table1[[GameIsOver]:[GameIsOver]], 1, Table1[[HomeTeam]:[HomeTeam]], $A66, Table1[[AwayTeam]:[AwayTeam]], O$36, Table1[[ActualResult]:[ActualResult]], "OT") + SUMIFS(Table1[[HomeWon]:[HomeWon]], Table1[[GameIsOver]:[GameIsOver]], 1, Table1[[AwayTeam]:[AwayTeam]], $A66, Table1[[HomeTeam]:[HomeTeam]], O$36, Table1[[ActualResult]:[ActualResult]], "SO") + SUMIFS(Table1[[AwayWon]:[AwayWon]], Table1[[GameIsOver]:[GameIsOver]], 1, Table1[[HomeTeam]:[HomeTeam]], $A66, Table1[[AwayTeam]:[AwayTeam]], O$36, Table1[[ActualResult]:[ActualResult]], "SO")))/ (2*((COUNTIFS(Table1[[GameIsOver]:[GameIsOver]],1,Table1[[AwayTeam]:[AwayTeam]],$A66, Table1[[HomeTeam]:[HomeTeam]], O$36)))+( COUNTIFS(Table1[[GameIsOver]:[GameIsOver]],1,Table1[[AwayTeam]:[AwayTeam]],O$36, Table1[[HomeTeam]:[HomeTeam]],$A66))), "")</f>
        <v/>
      </c>
      <c r="P66" s="36" t="str">
        <f>IFERROR(((2 * (SUMIFS(Table1[[AwayWon]:[AwayWon]], Table1[[GameIsOver]:[GameIsOver]], 1, Table1[[AwayTeam]:[AwayTeam]], $A66, Table1[[HomeTeam]:[HomeTeam]], P$36) + SUMIFS(Table1[[HomeWon]:[HomeWon]], Table1[[GameIsOver]:[GameIsOver]], 1, Table1[[HomeTeam]:[HomeTeam]], $A66, Table1[[AwayTeam]:[AwayTeam]], P$36))) + (SUMIFS(Table1[[HomeWon]:[HomeWon]], Table1[[GameIsOver]:[GameIsOver]], 1, Table1[[AwayTeam]:[AwayTeam]], $A66, Table1[[HomeTeam]:[HomeTeam]],  P$36, Table1[[ActualResult]:[ActualResult]], "OT") + SUMIFS(Table1[[AwayWon]:[AwayWon]], Table1[[GameIsOver]:[GameIsOver]], 1, Table1[[HomeTeam]:[HomeTeam]], $A66, Table1[[AwayTeam]:[AwayTeam]], P$36, Table1[[ActualResult]:[ActualResult]], "OT") + SUMIFS(Table1[[HomeWon]:[HomeWon]], Table1[[GameIsOver]:[GameIsOver]], 1, Table1[[AwayTeam]:[AwayTeam]], $A66, Table1[[HomeTeam]:[HomeTeam]], P$36, Table1[[ActualResult]:[ActualResult]], "SO") + SUMIFS(Table1[[AwayWon]:[AwayWon]], Table1[[GameIsOver]:[GameIsOver]], 1, Table1[[HomeTeam]:[HomeTeam]], $A66, Table1[[AwayTeam]:[AwayTeam]], P$36, Table1[[ActualResult]:[ActualResult]], "SO")))/ (2*((COUNTIFS(Table1[[GameIsOver]:[GameIsOver]],1,Table1[[AwayTeam]:[AwayTeam]],$A66, Table1[[HomeTeam]:[HomeTeam]], P$36)))+( COUNTIFS(Table1[[GameIsOver]:[GameIsOver]],1,Table1[[AwayTeam]:[AwayTeam]],P$36, Table1[[HomeTeam]:[HomeTeam]],$A66))), "")</f>
        <v/>
      </c>
      <c r="Q66" s="38" t="str">
        <f>IFERROR(((2 * (SUMIFS(Table1[[AwayWon]:[AwayWon]], Table1[[GameIsOver]:[GameIsOver]], 1, Table1[[AwayTeam]:[AwayTeam]], $A66, Table1[[HomeTeam]:[HomeTeam]], Q$36) + SUMIFS(Table1[[HomeWon]:[HomeWon]], Table1[[GameIsOver]:[GameIsOver]], 1, Table1[[HomeTeam]:[HomeTeam]], $A66, Table1[[AwayTeam]:[AwayTeam]], Q$36))) + (SUMIFS(Table1[[HomeWon]:[HomeWon]], Table1[[GameIsOver]:[GameIsOver]], 1, Table1[[AwayTeam]:[AwayTeam]], $A66, Table1[[HomeTeam]:[HomeTeam]],  Q$36, Table1[[ActualResult]:[ActualResult]], "OT") + SUMIFS(Table1[[AwayWon]:[AwayWon]], Table1[[GameIsOver]:[GameIsOver]], 1, Table1[[HomeTeam]:[HomeTeam]], $A66, Table1[[AwayTeam]:[AwayTeam]], Q$36, Table1[[ActualResult]:[ActualResult]], "OT") + SUMIFS(Table1[[HomeWon]:[HomeWon]], Table1[[GameIsOver]:[GameIsOver]], 1, Table1[[AwayTeam]:[AwayTeam]], $A66, Table1[[HomeTeam]:[HomeTeam]], Q$36, Table1[[ActualResult]:[ActualResult]], "SO") + SUMIFS(Table1[[AwayWon]:[AwayWon]], Table1[[GameIsOver]:[GameIsOver]], 1, Table1[[HomeTeam]:[HomeTeam]], $A66, Table1[[AwayTeam]:[AwayTeam]], Q$36, Table1[[ActualResult]:[ActualResult]], "SO")))/ (2*((COUNTIFS(Table1[[GameIsOver]:[GameIsOver]],1,Table1[[AwayTeam]:[AwayTeam]],$A66, Table1[[HomeTeam]:[HomeTeam]], Q$36)))+( COUNTIFS(Table1[[GameIsOver]:[GameIsOver]],1,Table1[[AwayTeam]:[AwayTeam]],Q$36, Table1[[HomeTeam]:[HomeTeam]],$A66))), "")</f>
        <v/>
      </c>
      <c r="R66" s="36" t="str">
        <f>IFERROR(((2 * (SUMIFS(Table1[[AwayWon]:[AwayWon]], Table1[[GameIsOver]:[GameIsOver]], 1, Table1[[AwayTeam]:[AwayTeam]], $A66, Table1[[HomeTeam]:[HomeTeam]], R$36) + SUMIFS(Table1[[HomeWon]:[HomeWon]], Table1[[GameIsOver]:[GameIsOver]], 1, Table1[[HomeTeam]:[HomeTeam]], $A66, Table1[[AwayTeam]:[AwayTeam]], R$36))) + (SUMIFS(Table1[[HomeWon]:[HomeWon]], Table1[[GameIsOver]:[GameIsOver]], 1, Table1[[AwayTeam]:[AwayTeam]], $A66, Table1[[HomeTeam]:[HomeTeam]],  R$36, Table1[[ActualResult]:[ActualResult]], "OT") + SUMIFS(Table1[[AwayWon]:[AwayWon]], Table1[[GameIsOver]:[GameIsOver]], 1, Table1[[HomeTeam]:[HomeTeam]], $A66, Table1[[AwayTeam]:[AwayTeam]], R$36, Table1[[ActualResult]:[ActualResult]], "OT") + SUMIFS(Table1[[HomeWon]:[HomeWon]], Table1[[GameIsOver]:[GameIsOver]], 1, Table1[[AwayTeam]:[AwayTeam]], $A66, Table1[[HomeTeam]:[HomeTeam]], R$36, Table1[[ActualResult]:[ActualResult]], "SO") + SUMIFS(Table1[[AwayWon]:[AwayWon]], Table1[[GameIsOver]:[GameIsOver]], 1, Table1[[HomeTeam]:[HomeTeam]], $A66, Table1[[AwayTeam]:[AwayTeam]], R$36, Table1[[ActualResult]:[ActualResult]], "SO")))/ (2*((COUNTIFS(Table1[[GameIsOver]:[GameIsOver]],1,Table1[[AwayTeam]:[AwayTeam]],$A66, Table1[[HomeTeam]:[HomeTeam]], R$36)))+( COUNTIFS(Table1[[GameIsOver]:[GameIsOver]],1,Table1[[AwayTeam]:[AwayTeam]],R$36, Table1[[HomeTeam]:[HomeTeam]],$A66))), "")</f>
        <v/>
      </c>
      <c r="S66" s="36" t="str">
        <f>IFERROR(((2 * (SUMIFS(Table1[[AwayWon]:[AwayWon]], Table1[[GameIsOver]:[GameIsOver]], 1, Table1[[AwayTeam]:[AwayTeam]], $A66, Table1[[HomeTeam]:[HomeTeam]], S$36) + SUMIFS(Table1[[HomeWon]:[HomeWon]], Table1[[GameIsOver]:[GameIsOver]], 1, Table1[[HomeTeam]:[HomeTeam]], $A66, Table1[[AwayTeam]:[AwayTeam]], S$36))) + (SUMIFS(Table1[[HomeWon]:[HomeWon]], Table1[[GameIsOver]:[GameIsOver]], 1, Table1[[AwayTeam]:[AwayTeam]], $A66, Table1[[HomeTeam]:[HomeTeam]],  S$36, Table1[[ActualResult]:[ActualResult]], "OT") + SUMIFS(Table1[[AwayWon]:[AwayWon]], Table1[[GameIsOver]:[GameIsOver]], 1, Table1[[HomeTeam]:[HomeTeam]], $A66, Table1[[AwayTeam]:[AwayTeam]], S$36, Table1[[ActualResult]:[ActualResult]], "OT") + SUMIFS(Table1[[HomeWon]:[HomeWon]], Table1[[GameIsOver]:[GameIsOver]], 1, Table1[[AwayTeam]:[AwayTeam]], $A66, Table1[[HomeTeam]:[HomeTeam]], S$36, Table1[[ActualResult]:[ActualResult]], "SO") + SUMIFS(Table1[[AwayWon]:[AwayWon]], Table1[[GameIsOver]:[GameIsOver]], 1, Table1[[HomeTeam]:[HomeTeam]], $A66, Table1[[AwayTeam]:[AwayTeam]], S$36, Table1[[ActualResult]:[ActualResult]], "SO")))/ (2*((COUNTIFS(Table1[[GameIsOver]:[GameIsOver]],1,Table1[[AwayTeam]:[AwayTeam]],$A66, Table1[[HomeTeam]:[HomeTeam]], S$36)))+( COUNTIFS(Table1[[GameIsOver]:[GameIsOver]],1,Table1[[AwayTeam]:[AwayTeam]],S$36, Table1[[HomeTeam]:[HomeTeam]],$A66))), "")</f>
        <v/>
      </c>
      <c r="T66" s="36" t="str">
        <f>IFERROR(((2 * (SUMIFS(Table1[[AwayWon]:[AwayWon]], Table1[[GameIsOver]:[GameIsOver]], 1, Table1[[AwayTeam]:[AwayTeam]], $A66, Table1[[HomeTeam]:[HomeTeam]], T$36) + SUMIFS(Table1[[HomeWon]:[HomeWon]], Table1[[GameIsOver]:[GameIsOver]], 1, Table1[[HomeTeam]:[HomeTeam]], $A66, Table1[[AwayTeam]:[AwayTeam]], T$36))) + (SUMIFS(Table1[[HomeWon]:[HomeWon]], Table1[[GameIsOver]:[GameIsOver]], 1, Table1[[AwayTeam]:[AwayTeam]], $A66, Table1[[HomeTeam]:[HomeTeam]],  T$36, Table1[[ActualResult]:[ActualResult]], "OT") + SUMIFS(Table1[[AwayWon]:[AwayWon]], Table1[[GameIsOver]:[GameIsOver]], 1, Table1[[HomeTeam]:[HomeTeam]], $A66, Table1[[AwayTeam]:[AwayTeam]], T$36, Table1[[ActualResult]:[ActualResult]], "OT") + SUMIFS(Table1[[HomeWon]:[HomeWon]], Table1[[GameIsOver]:[GameIsOver]], 1, Table1[[AwayTeam]:[AwayTeam]], $A66, Table1[[HomeTeam]:[HomeTeam]], T$36, Table1[[ActualResult]:[ActualResult]], "SO") + SUMIFS(Table1[[AwayWon]:[AwayWon]], Table1[[GameIsOver]:[GameIsOver]], 1, Table1[[HomeTeam]:[HomeTeam]], $A66, Table1[[AwayTeam]:[AwayTeam]], T$36, Table1[[ActualResult]:[ActualResult]], "SO")))/ (2*((COUNTIFS(Table1[[GameIsOver]:[GameIsOver]],1,Table1[[AwayTeam]:[AwayTeam]],$A66, Table1[[HomeTeam]:[HomeTeam]], T$36)))+( COUNTIFS(Table1[[GameIsOver]:[GameIsOver]],1,Table1[[AwayTeam]:[AwayTeam]],T$36, Table1[[HomeTeam]:[HomeTeam]],$A66))), "")</f>
        <v/>
      </c>
      <c r="U66" s="36" t="str">
        <f>IFERROR(((2 * (SUMIFS(Table1[[AwayWon]:[AwayWon]], Table1[[GameIsOver]:[GameIsOver]], 1, Table1[[AwayTeam]:[AwayTeam]], $A66, Table1[[HomeTeam]:[HomeTeam]], U$36) + SUMIFS(Table1[[HomeWon]:[HomeWon]], Table1[[GameIsOver]:[GameIsOver]], 1, Table1[[HomeTeam]:[HomeTeam]], $A66, Table1[[AwayTeam]:[AwayTeam]], U$36))) + (SUMIFS(Table1[[HomeWon]:[HomeWon]], Table1[[GameIsOver]:[GameIsOver]], 1, Table1[[AwayTeam]:[AwayTeam]], $A66, Table1[[HomeTeam]:[HomeTeam]],  U$36, Table1[[ActualResult]:[ActualResult]], "OT") + SUMIFS(Table1[[AwayWon]:[AwayWon]], Table1[[GameIsOver]:[GameIsOver]], 1, Table1[[HomeTeam]:[HomeTeam]], $A66, Table1[[AwayTeam]:[AwayTeam]], U$36, Table1[[ActualResult]:[ActualResult]], "OT") + SUMIFS(Table1[[HomeWon]:[HomeWon]], Table1[[GameIsOver]:[GameIsOver]], 1, Table1[[AwayTeam]:[AwayTeam]], $A66, Table1[[HomeTeam]:[HomeTeam]], U$36, Table1[[ActualResult]:[ActualResult]], "SO") + SUMIFS(Table1[[AwayWon]:[AwayWon]], Table1[[GameIsOver]:[GameIsOver]], 1, Table1[[HomeTeam]:[HomeTeam]], $A66, Table1[[AwayTeam]:[AwayTeam]], U$36, Table1[[ActualResult]:[ActualResult]], "SO")))/ (2*((COUNTIFS(Table1[[GameIsOver]:[GameIsOver]],1,Table1[[AwayTeam]:[AwayTeam]],$A66, Table1[[HomeTeam]:[HomeTeam]], U$36)))+( COUNTIFS(Table1[[GameIsOver]:[GameIsOver]],1,Table1[[AwayTeam]:[AwayTeam]],U$36, Table1[[HomeTeam]:[HomeTeam]],$A66))), "")</f>
        <v/>
      </c>
      <c r="V66" s="36" t="str">
        <f>IFERROR(((2 * (SUMIFS(Table1[[AwayWon]:[AwayWon]], Table1[[GameIsOver]:[GameIsOver]], 1, Table1[[AwayTeam]:[AwayTeam]], $A66, Table1[[HomeTeam]:[HomeTeam]], V$36) + SUMIFS(Table1[[HomeWon]:[HomeWon]], Table1[[GameIsOver]:[GameIsOver]], 1, Table1[[HomeTeam]:[HomeTeam]], $A66, Table1[[AwayTeam]:[AwayTeam]], V$36))) + (SUMIFS(Table1[[HomeWon]:[HomeWon]], Table1[[GameIsOver]:[GameIsOver]], 1, Table1[[AwayTeam]:[AwayTeam]], $A66, Table1[[HomeTeam]:[HomeTeam]],  V$36, Table1[[ActualResult]:[ActualResult]], "OT") + SUMIFS(Table1[[AwayWon]:[AwayWon]], Table1[[GameIsOver]:[GameIsOver]], 1, Table1[[HomeTeam]:[HomeTeam]], $A66, Table1[[AwayTeam]:[AwayTeam]], V$36, Table1[[ActualResult]:[ActualResult]], "OT") + SUMIFS(Table1[[HomeWon]:[HomeWon]], Table1[[GameIsOver]:[GameIsOver]], 1, Table1[[AwayTeam]:[AwayTeam]], $A66, Table1[[HomeTeam]:[HomeTeam]], V$36, Table1[[ActualResult]:[ActualResult]], "SO") + SUMIFS(Table1[[AwayWon]:[AwayWon]], Table1[[GameIsOver]:[GameIsOver]], 1, Table1[[HomeTeam]:[HomeTeam]], $A66, Table1[[AwayTeam]:[AwayTeam]], V$36, Table1[[ActualResult]:[ActualResult]], "SO")))/ (2*((COUNTIFS(Table1[[GameIsOver]:[GameIsOver]],1,Table1[[AwayTeam]:[AwayTeam]],$A66, Table1[[HomeTeam]:[HomeTeam]], V$36)))+( COUNTIFS(Table1[[GameIsOver]:[GameIsOver]],1,Table1[[AwayTeam]:[AwayTeam]],V$36, Table1[[HomeTeam]:[HomeTeam]],$A66))), "")</f>
        <v/>
      </c>
      <c r="W66" s="36" t="str">
        <f>IFERROR(((2 * (SUMIFS(Table1[[AwayWon]:[AwayWon]], Table1[[GameIsOver]:[GameIsOver]], 1, Table1[[AwayTeam]:[AwayTeam]], $A66, Table1[[HomeTeam]:[HomeTeam]], W$36) + SUMIFS(Table1[[HomeWon]:[HomeWon]], Table1[[GameIsOver]:[GameIsOver]], 1, Table1[[HomeTeam]:[HomeTeam]], $A66, Table1[[AwayTeam]:[AwayTeam]], W$36))) + (SUMIFS(Table1[[HomeWon]:[HomeWon]], Table1[[GameIsOver]:[GameIsOver]], 1, Table1[[AwayTeam]:[AwayTeam]], $A66, Table1[[HomeTeam]:[HomeTeam]],  W$36, Table1[[ActualResult]:[ActualResult]], "OT") + SUMIFS(Table1[[AwayWon]:[AwayWon]], Table1[[GameIsOver]:[GameIsOver]], 1, Table1[[HomeTeam]:[HomeTeam]], $A66, Table1[[AwayTeam]:[AwayTeam]], W$36, Table1[[ActualResult]:[ActualResult]], "OT") + SUMIFS(Table1[[HomeWon]:[HomeWon]], Table1[[GameIsOver]:[GameIsOver]], 1, Table1[[AwayTeam]:[AwayTeam]], $A66, Table1[[HomeTeam]:[HomeTeam]], W$36, Table1[[ActualResult]:[ActualResult]], "SO") + SUMIFS(Table1[[AwayWon]:[AwayWon]], Table1[[GameIsOver]:[GameIsOver]], 1, Table1[[HomeTeam]:[HomeTeam]], $A66, Table1[[AwayTeam]:[AwayTeam]], W$36, Table1[[ActualResult]:[ActualResult]], "SO")))/ (2*((COUNTIFS(Table1[[GameIsOver]:[GameIsOver]],1,Table1[[AwayTeam]:[AwayTeam]],$A66, Table1[[HomeTeam]:[HomeTeam]], W$36)))+( COUNTIFS(Table1[[GameIsOver]:[GameIsOver]],1,Table1[[AwayTeam]:[AwayTeam]],W$36, Table1[[HomeTeam]:[HomeTeam]],$A66))), "")</f>
        <v/>
      </c>
      <c r="X66" s="36" t="str">
        <f>IFERROR(((2 * (SUMIFS(Table1[[AwayWon]:[AwayWon]], Table1[[GameIsOver]:[GameIsOver]], 1, Table1[[AwayTeam]:[AwayTeam]], $A66, Table1[[HomeTeam]:[HomeTeam]], X$36) + SUMIFS(Table1[[HomeWon]:[HomeWon]], Table1[[GameIsOver]:[GameIsOver]], 1, Table1[[HomeTeam]:[HomeTeam]], $A66, Table1[[AwayTeam]:[AwayTeam]], X$36))) + (SUMIFS(Table1[[HomeWon]:[HomeWon]], Table1[[GameIsOver]:[GameIsOver]], 1, Table1[[AwayTeam]:[AwayTeam]], $A66, Table1[[HomeTeam]:[HomeTeam]],  X$36, Table1[[ActualResult]:[ActualResult]], "OT") + SUMIFS(Table1[[AwayWon]:[AwayWon]], Table1[[GameIsOver]:[GameIsOver]], 1, Table1[[HomeTeam]:[HomeTeam]], $A66, Table1[[AwayTeam]:[AwayTeam]], X$36, Table1[[ActualResult]:[ActualResult]], "OT") + SUMIFS(Table1[[HomeWon]:[HomeWon]], Table1[[GameIsOver]:[GameIsOver]], 1, Table1[[AwayTeam]:[AwayTeam]], $A66, Table1[[HomeTeam]:[HomeTeam]], X$36, Table1[[ActualResult]:[ActualResult]], "SO") + SUMIFS(Table1[[AwayWon]:[AwayWon]], Table1[[GameIsOver]:[GameIsOver]], 1, Table1[[HomeTeam]:[HomeTeam]], $A66, Table1[[AwayTeam]:[AwayTeam]], X$36, Table1[[ActualResult]:[ActualResult]], "SO")))/ (2*((COUNTIFS(Table1[[GameIsOver]:[GameIsOver]],1,Table1[[AwayTeam]:[AwayTeam]],$A66, Table1[[HomeTeam]:[HomeTeam]], X$36)))+( COUNTIFS(Table1[[GameIsOver]:[GameIsOver]],1,Table1[[AwayTeam]:[AwayTeam]],X$36, Table1[[HomeTeam]:[HomeTeam]],$A66))), "")</f>
        <v/>
      </c>
      <c r="Y66" s="38" t="str">
        <f>IFERROR(((2 * (SUMIFS(Table1[[AwayWon]:[AwayWon]], Table1[[GameIsOver]:[GameIsOver]], 1, Table1[[AwayTeam]:[AwayTeam]], $A66, Table1[[HomeTeam]:[HomeTeam]], Y$36) + SUMIFS(Table1[[HomeWon]:[HomeWon]], Table1[[GameIsOver]:[GameIsOver]], 1, Table1[[HomeTeam]:[HomeTeam]], $A66, Table1[[AwayTeam]:[AwayTeam]], Y$36))) + (SUMIFS(Table1[[HomeWon]:[HomeWon]], Table1[[GameIsOver]:[GameIsOver]], 1, Table1[[AwayTeam]:[AwayTeam]], $A66, Table1[[HomeTeam]:[HomeTeam]],  Y$36, Table1[[ActualResult]:[ActualResult]], "OT") + SUMIFS(Table1[[AwayWon]:[AwayWon]], Table1[[GameIsOver]:[GameIsOver]], 1, Table1[[HomeTeam]:[HomeTeam]], $A66, Table1[[AwayTeam]:[AwayTeam]], Y$36, Table1[[ActualResult]:[ActualResult]], "OT") + SUMIFS(Table1[[HomeWon]:[HomeWon]], Table1[[GameIsOver]:[GameIsOver]], 1, Table1[[AwayTeam]:[AwayTeam]], $A66, Table1[[HomeTeam]:[HomeTeam]], Y$36, Table1[[ActualResult]:[ActualResult]], "SO") + SUMIFS(Table1[[AwayWon]:[AwayWon]], Table1[[GameIsOver]:[GameIsOver]], 1, Table1[[HomeTeam]:[HomeTeam]], $A66, Table1[[AwayTeam]:[AwayTeam]], Y$36, Table1[[ActualResult]:[ActualResult]], "SO")))/ (2*((COUNTIFS(Table1[[GameIsOver]:[GameIsOver]],1,Table1[[AwayTeam]:[AwayTeam]],$A66, Table1[[HomeTeam]:[HomeTeam]], Y$36)))+( COUNTIFS(Table1[[GameIsOver]:[GameIsOver]],1,Table1[[AwayTeam]:[AwayTeam]],Y$36, Table1[[HomeTeam]:[HomeTeam]],$A66))), "")</f>
        <v/>
      </c>
      <c r="Z66" s="36" t="str">
        <f>IFERROR(((2 * (SUMIFS(Table1[[AwayWon]:[AwayWon]], Table1[[GameIsOver]:[GameIsOver]], 1, Table1[[AwayTeam]:[AwayTeam]], $A66, Table1[[HomeTeam]:[HomeTeam]], Z$36) + SUMIFS(Table1[[HomeWon]:[HomeWon]], Table1[[GameIsOver]:[GameIsOver]], 1, Table1[[HomeTeam]:[HomeTeam]], $A66, Table1[[AwayTeam]:[AwayTeam]], Z$36))) + (SUMIFS(Table1[[HomeWon]:[HomeWon]], Table1[[GameIsOver]:[GameIsOver]], 1, Table1[[AwayTeam]:[AwayTeam]], $A66, Table1[[HomeTeam]:[HomeTeam]],  Z$36, Table1[[ActualResult]:[ActualResult]], "OT") + SUMIFS(Table1[[AwayWon]:[AwayWon]], Table1[[GameIsOver]:[GameIsOver]], 1, Table1[[HomeTeam]:[HomeTeam]], $A66, Table1[[AwayTeam]:[AwayTeam]], Z$36, Table1[[ActualResult]:[ActualResult]], "OT") + SUMIFS(Table1[[HomeWon]:[HomeWon]], Table1[[GameIsOver]:[GameIsOver]], 1, Table1[[AwayTeam]:[AwayTeam]], $A66, Table1[[HomeTeam]:[HomeTeam]], Z$36, Table1[[ActualResult]:[ActualResult]], "SO") + SUMIFS(Table1[[AwayWon]:[AwayWon]], Table1[[GameIsOver]:[GameIsOver]], 1, Table1[[HomeTeam]:[HomeTeam]], $A66, Table1[[AwayTeam]:[AwayTeam]], Z$36, Table1[[ActualResult]:[ActualResult]], "SO")))/ (2*((COUNTIFS(Table1[[GameIsOver]:[GameIsOver]],1,Table1[[AwayTeam]:[AwayTeam]],$A66, Table1[[HomeTeam]:[HomeTeam]], Z$36)))+( COUNTIFS(Table1[[GameIsOver]:[GameIsOver]],1,Table1[[AwayTeam]:[AwayTeam]],Z$36, Table1[[HomeTeam]:[HomeTeam]],$A66))), "")</f>
        <v/>
      </c>
      <c r="AA66" s="36" t="str">
        <f>IFERROR(((2 * (SUMIFS(Table1[[AwayWon]:[AwayWon]], Table1[[GameIsOver]:[GameIsOver]], 1, Table1[[AwayTeam]:[AwayTeam]], $A66, Table1[[HomeTeam]:[HomeTeam]], AA$36) + SUMIFS(Table1[[HomeWon]:[HomeWon]], Table1[[GameIsOver]:[GameIsOver]], 1, Table1[[HomeTeam]:[HomeTeam]], $A66, Table1[[AwayTeam]:[AwayTeam]], AA$36))) + (SUMIFS(Table1[[HomeWon]:[HomeWon]], Table1[[GameIsOver]:[GameIsOver]], 1, Table1[[AwayTeam]:[AwayTeam]], $A66, Table1[[HomeTeam]:[HomeTeam]],  AA$36, Table1[[ActualResult]:[ActualResult]], "OT") + SUMIFS(Table1[[AwayWon]:[AwayWon]], Table1[[GameIsOver]:[GameIsOver]], 1, Table1[[HomeTeam]:[HomeTeam]], $A66, Table1[[AwayTeam]:[AwayTeam]], AA$36, Table1[[ActualResult]:[ActualResult]], "OT") + SUMIFS(Table1[[HomeWon]:[HomeWon]], Table1[[GameIsOver]:[GameIsOver]], 1, Table1[[AwayTeam]:[AwayTeam]], $A66, Table1[[HomeTeam]:[HomeTeam]], AA$36, Table1[[ActualResult]:[ActualResult]], "SO") + SUMIFS(Table1[[AwayWon]:[AwayWon]], Table1[[GameIsOver]:[GameIsOver]], 1, Table1[[HomeTeam]:[HomeTeam]], $A66, Table1[[AwayTeam]:[AwayTeam]], AA$36, Table1[[ActualResult]:[ActualResult]], "SO")))/ (2*((COUNTIFS(Table1[[GameIsOver]:[GameIsOver]],1,Table1[[AwayTeam]:[AwayTeam]],$A66, Table1[[HomeTeam]:[HomeTeam]], AA$36)))+( COUNTIFS(Table1[[GameIsOver]:[GameIsOver]],1,Table1[[AwayTeam]:[AwayTeam]],AA$36, Table1[[HomeTeam]:[HomeTeam]],$A66))), "")</f>
        <v/>
      </c>
      <c r="AB66" s="36" t="str">
        <f>IFERROR(((2 * (SUMIFS(Table1[[AwayWon]:[AwayWon]], Table1[[GameIsOver]:[GameIsOver]], 1, Table1[[AwayTeam]:[AwayTeam]], $A66, Table1[[HomeTeam]:[HomeTeam]], AB$36) + SUMIFS(Table1[[HomeWon]:[HomeWon]], Table1[[GameIsOver]:[GameIsOver]], 1, Table1[[HomeTeam]:[HomeTeam]], $A66, Table1[[AwayTeam]:[AwayTeam]], AB$36))) + (SUMIFS(Table1[[HomeWon]:[HomeWon]], Table1[[GameIsOver]:[GameIsOver]], 1, Table1[[AwayTeam]:[AwayTeam]], $A66, Table1[[HomeTeam]:[HomeTeam]],  AB$36, Table1[[ActualResult]:[ActualResult]], "OT") + SUMIFS(Table1[[AwayWon]:[AwayWon]], Table1[[GameIsOver]:[GameIsOver]], 1, Table1[[HomeTeam]:[HomeTeam]], $A66, Table1[[AwayTeam]:[AwayTeam]], AB$36, Table1[[ActualResult]:[ActualResult]], "OT") + SUMIFS(Table1[[HomeWon]:[HomeWon]], Table1[[GameIsOver]:[GameIsOver]], 1, Table1[[AwayTeam]:[AwayTeam]], $A66, Table1[[HomeTeam]:[HomeTeam]], AB$36, Table1[[ActualResult]:[ActualResult]], "SO") + SUMIFS(Table1[[AwayWon]:[AwayWon]], Table1[[GameIsOver]:[GameIsOver]], 1, Table1[[HomeTeam]:[HomeTeam]], $A66, Table1[[AwayTeam]:[AwayTeam]], AB$36, Table1[[ActualResult]:[ActualResult]], "SO")))/ (2*((COUNTIFS(Table1[[GameIsOver]:[GameIsOver]],1,Table1[[AwayTeam]:[AwayTeam]],$A66, Table1[[HomeTeam]:[HomeTeam]], AB$36)))+( COUNTIFS(Table1[[GameIsOver]:[GameIsOver]],1,Table1[[AwayTeam]:[AwayTeam]],AB$36, Table1[[HomeTeam]:[HomeTeam]],$A66))), "")</f>
        <v/>
      </c>
      <c r="AC66" s="36" t="str">
        <f>IFERROR(((2 * (SUMIFS(Table1[[AwayWon]:[AwayWon]], Table1[[GameIsOver]:[GameIsOver]], 1, Table1[[AwayTeam]:[AwayTeam]], $A66, Table1[[HomeTeam]:[HomeTeam]], AC$36) + SUMIFS(Table1[[HomeWon]:[HomeWon]], Table1[[GameIsOver]:[GameIsOver]], 1, Table1[[HomeTeam]:[HomeTeam]], $A66, Table1[[AwayTeam]:[AwayTeam]], AC$36))) + (SUMIFS(Table1[[HomeWon]:[HomeWon]], Table1[[GameIsOver]:[GameIsOver]], 1, Table1[[AwayTeam]:[AwayTeam]], $A66, Table1[[HomeTeam]:[HomeTeam]],  AC$36, Table1[[ActualResult]:[ActualResult]], "OT") + SUMIFS(Table1[[AwayWon]:[AwayWon]], Table1[[GameIsOver]:[GameIsOver]], 1, Table1[[HomeTeam]:[HomeTeam]], $A66, Table1[[AwayTeam]:[AwayTeam]], AC$36, Table1[[ActualResult]:[ActualResult]], "OT") + SUMIFS(Table1[[HomeWon]:[HomeWon]], Table1[[GameIsOver]:[GameIsOver]], 1, Table1[[AwayTeam]:[AwayTeam]], $A66, Table1[[HomeTeam]:[HomeTeam]], AC$36, Table1[[ActualResult]:[ActualResult]], "SO") + SUMIFS(Table1[[AwayWon]:[AwayWon]], Table1[[GameIsOver]:[GameIsOver]], 1, Table1[[HomeTeam]:[HomeTeam]], $A66, Table1[[AwayTeam]:[AwayTeam]], AC$36, Table1[[ActualResult]:[ActualResult]], "SO")))/ (2*((COUNTIFS(Table1[[GameIsOver]:[GameIsOver]],1,Table1[[AwayTeam]:[AwayTeam]],$A66, Table1[[HomeTeam]:[HomeTeam]], AC$36)))+( COUNTIFS(Table1[[GameIsOver]:[GameIsOver]],1,Table1[[AwayTeam]:[AwayTeam]],AC$36, Table1[[HomeTeam]:[HomeTeam]],$A66))), "")</f>
        <v/>
      </c>
      <c r="AD66" s="36" t="str">
        <f>IFERROR(((2 * (SUMIFS(Table1[[AwayWon]:[AwayWon]], Table1[[GameIsOver]:[GameIsOver]], 1, Table1[[AwayTeam]:[AwayTeam]], $A66, Table1[[HomeTeam]:[HomeTeam]], AD$36) + SUMIFS(Table1[[HomeWon]:[HomeWon]], Table1[[GameIsOver]:[GameIsOver]], 1, Table1[[HomeTeam]:[HomeTeam]], $A66, Table1[[AwayTeam]:[AwayTeam]], AD$36))) + (SUMIFS(Table1[[HomeWon]:[HomeWon]], Table1[[GameIsOver]:[GameIsOver]], 1, Table1[[AwayTeam]:[AwayTeam]], $A66, Table1[[HomeTeam]:[HomeTeam]],  AD$36, Table1[[ActualResult]:[ActualResult]], "OT") + SUMIFS(Table1[[AwayWon]:[AwayWon]], Table1[[GameIsOver]:[GameIsOver]], 1, Table1[[HomeTeam]:[HomeTeam]], $A66, Table1[[AwayTeam]:[AwayTeam]], AD$36, Table1[[ActualResult]:[ActualResult]], "OT") + SUMIFS(Table1[[HomeWon]:[HomeWon]], Table1[[GameIsOver]:[GameIsOver]], 1, Table1[[AwayTeam]:[AwayTeam]], $A66, Table1[[HomeTeam]:[HomeTeam]], AD$36, Table1[[ActualResult]:[ActualResult]], "SO") + SUMIFS(Table1[[AwayWon]:[AwayWon]], Table1[[GameIsOver]:[GameIsOver]], 1, Table1[[HomeTeam]:[HomeTeam]], $A66, Table1[[AwayTeam]:[AwayTeam]], AD$36, Table1[[ActualResult]:[ActualResult]], "SO")))/ (2*((COUNTIFS(Table1[[GameIsOver]:[GameIsOver]],1,Table1[[AwayTeam]:[AwayTeam]],$A66, Table1[[HomeTeam]:[HomeTeam]], AD$36)))+( COUNTIFS(Table1[[GameIsOver]:[GameIsOver]],1,Table1[[AwayTeam]:[AwayTeam]],AD$36, Table1[[HomeTeam]:[HomeTeam]],$A66))), "")</f>
        <v/>
      </c>
      <c r="AE66" s="36" t="str">
        <f>IFERROR(((2 * (SUMIFS(Table1[[AwayWon]:[AwayWon]], Table1[[GameIsOver]:[GameIsOver]], 1, Table1[[AwayTeam]:[AwayTeam]], $A66, Table1[[HomeTeam]:[HomeTeam]], AE$36) + SUMIFS(Table1[[HomeWon]:[HomeWon]], Table1[[GameIsOver]:[GameIsOver]], 1, Table1[[HomeTeam]:[HomeTeam]], $A66, Table1[[AwayTeam]:[AwayTeam]], AE$36))) + (SUMIFS(Table1[[HomeWon]:[HomeWon]], Table1[[GameIsOver]:[GameIsOver]], 1, Table1[[AwayTeam]:[AwayTeam]], $A66, Table1[[HomeTeam]:[HomeTeam]],  AE$36, Table1[[ActualResult]:[ActualResult]], "OT") + SUMIFS(Table1[[AwayWon]:[AwayWon]], Table1[[GameIsOver]:[GameIsOver]], 1, Table1[[HomeTeam]:[HomeTeam]], $A66, Table1[[AwayTeam]:[AwayTeam]], AE$36, Table1[[ActualResult]:[ActualResult]], "OT") + SUMIFS(Table1[[HomeWon]:[HomeWon]], Table1[[GameIsOver]:[GameIsOver]], 1, Table1[[AwayTeam]:[AwayTeam]], $A66, Table1[[HomeTeam]:[HomeTeam]], AE$36, Table1[[ActualResult]:[ActualResult]], "SO") + SUMIFS(Table1[[AwayWon]:[AwayWon]], Table1[[GameIsOver]:[GameIsOver]], 1, Table1[[HomeTeam]:[HomeTeam]], $A66, Table1[[AwayTeam]:[AwayTeam]], AE$36, Table1[[ActualResult]:[ActualResult]], "SO")))/ (2*((COUNTIFS(Table1[[GameIsOver]:[GameIsOver]],1,Table1[[AwayTeam]:[AwayTeam]],$A66, Table1[[HomeTeam]:[HomeTeam]], AE$36)))+( COUNTIFS(Table1[[GameIsOver]:[GameIsOver]],1,Table1[[AwayTeam]:[AwayTeam]],AE$36, Table1[[HomeTeam]:[HomeTeam]],$A66))), "")</f>
        <v/>
      </c>
      <c r="AF66" s="36" t="str">
        <f>IFERROR(((2 * (SUMIFS(Table1[[AwayWon]:[AwayWon]], Table1[[GameIsOver]:[GameIsOver]], 1, Table1[[AwayTeam]:[AwayTeam]], $A66, Table1[[HomeTeam]:[HomeTeam]], AF$36) + SUMIFS(Table1[[HomeWon]:[HomeWon]], Table1[[GameIsOver]:[GameIsOver]], 1, Table1[[HomeTeam]:[HomeTeam]], $A66, Table1[[AwayTeam]:[AwayTeam]], AF$36))) + (SUMIFS(Table1[[HomeWon]:[HomeWon]], Table1[[GameIsOver]:[GameIsOver]], 1, Table1[[AwayTeam]:[AwayTeam]], $A66, Table1[[HomeTeam]:[HomeTeam]],  AF$36, Table1[[ActualResult]:[ActualResult]], "OT") + SUMIFS(Table1[[AwayWon]:[AwayWon]], Table1[[GameIsOver]:[GameIsOver]], 1, Table1[[HomeTeam]:[HomeTeam]], $A66, Table1[[AwayTeam]:[AwayTeam]], AF$36, Table1[[ActualResult]:[ActualResult]], "OT") + SUMIFS(Table1[[HomeWon]:[HomeWon]], Table1[[GameIsOver]:[GameIsOver]], 1, Table1[[AwayTeam]:[AwayTeam]], $A66, Table1[[HomeTeam]:[HomeTeam]], AF$36, Table1[[ActualResult]:[ActualResult]], "SO") + SUMIFS(Table1[[AwayWon]:[AwayWon]], Table1[[GameIsOver]:[GameIsOver]], 1, Table1[[HomeTeam]:[HomeTeam]], $A66, Table1[[AwayTeam]:[AwayTeam]], AF$36, Table1[[ActualResult]:[ActualResult]], "SO")))/ (2*((COUNTIFS(Table1[[GameIsOver]:[GameIsOver]],1,Table1[[AwayTeam]:[AwayTeam]],$A66, Table1[[HomeTeam]:[HomeTeam]], AF$36)))+( COUNTIFS(Table1[[GameIsOver]:[GameIsOver]],1,Table1[[AwayTeam]:[AwayTeam]],AF$36, Table1[[HomeTeam]:[HomeTeam]],$A66))), "")</f>
        <v/>
      </c>
      <c r="AG66" s="36" t="str">
        <f>IFERROR(((2 * (SUMIFS(Table1[[AwayWon]:[AwayWon]], Table1[[GameIsOver]:[GameIsOver]], 1, Table1[[AwayTeam]:[AwayTeam]], $A66, Table1[[HomeTeam]:[HomeTeam]], AG$36) + SUMIFS(Table1[[HomeWon]:[HomeWon]], Table1[[GameIsOver]:[GameIsOver]], 1, Table1[[HomeTeam]:[HomeTeam]], $A66, Table1[[AwayTeam]:[AwayTeam]], AG$36))) + (SUMIFS(Table1[[HomeWon]:[HomeWon]], Table1[[GameIsOver]:[GameIsOver]], 1, Table1[[AwayTeam]:[AwayTeam]], $A66, Table1[[HomeTeam]:[HomeTeam]],  AG$36, Table1[[ActualResult]:[ActualResult]], "OT") + SUMIFS(Table1[[AwayWon]:[AwayWon]], Table1[[GameIsOver]:[GameIsOver]], 1, Table1[[HomeTeam]:[HomeTeam]], $A66, Table1[[AwayTeam]:[AwayTeam]], AG$36, Table1[[ActualResult]:[ActualResult]], "OT") + SUMIFS(Table1[[HomeWon]:[HomeWon]], Table1[[GameIsOver]:[GameIsOver]], 1, Table1[[AwayTeam]:[AwayTeam]], $A66, Table1[[HomeTeam]:[HomeTeam]], AG$36, Table1[[ActualResult]:[ActualResult]], "SO") + SUMIFS(Table1[[AwayWon]:[AwayWon]], Table1[[GameIsOver]:[GameIsOver]], 1, Table1[[HomeTeam]:[HomeTeam]], $A66, Table1[[AwayTeam]:[AwayTeam]], AG$36, Table1[[ActualResult]:[ActualResult]], "SO")))/ (2*((COUNTIFS(Table1[[GameIsOver]:[GameIsOver]],1,Table1[[AwayTeam]:[AwayTeam]],$A66, Table1[[HomeTeam]:[HomeTeam]], AG$36)))+( COUNTIFS(Table1[[GameIsOver]:[GameIsOver]],1,Table1[[AwayTeam]:[AwayTeam]],AG$36, Table1[[HomeTeam]:[HomeTeam]],$A66))), "")</f>
        <v/>
      </c>
      <c r="AH66" s="37" t="e">
        <f t="shared" si="0"/>
        <v>#DIV/0!</v>
      </c>
      <c r="AI66" s="37" t="e">
        <f t="shared" si="1"/>
        <v>#DIV/0!</v>
      </c>
      <c r="AJ66" s="38" t="e">
        <f t="shared" si="2"/>
        <v>#DIV/0!</v>
      </c>
      <c r="AK66" s="38" t="e">
        <f t="shared" si="3"/>
        <v>#DIV/0!</v>
      </c>
      <c r="AL66" s="38" t="e">
        <f t="shared" si="4"/>
        <v>#DIV/0!</v>
      </c>
      <c r="AM66" s="38" t="e">
        <f t="shared" si="5"/>
        <v>#DIV/0!</v>
      </c>
    </row>
    <row r="67" spans="1:39" x14ac:dyDescent="0.25">
      <c r="A67" s="17" t="s">
        <v>57</v>
      </c>
      <c r="B67" s="36" t="str">
        <f>IFERROR(((2 * (SUMIFS(Table1[[AwayWon]:[AwayWon]], Table1[[GameIsOver]:[GameIsOver]], 1, Table1[[AwayTeam]:[AwayTeam]], $A67, Table1[[HomeTeam]:[HomeTeam]], B$36) + SUMIFS(Table1[[HomeWon]:[HomeWon]], Table1[[GameIsOver]:[GameIsOver]], 1, Table1[[HomeTeam]:[HomeTeam]], $A67, Table1[[AwayTeam]:[AwayTeam]], B$36))) + (SUMIFS(Table1[[HomeWon]:[HomeWon]], Table1[[GameIsOver]:[GameIsOver]], 1, Table1[[AwayTeam]:[AwayTeam]], $A67, Table1[[HomeTeam]:[HomeTeam]],  B$36, Table1[[ActualResult]:[ActualResult]], "OT") + SUMIFS(Table1[[AwayWon]:[AwayWon]], Table1[[GameIsOver]:[GameIsOver]], 1, Table1[[HomeTeam]:[HomeTeam]], $A67, Table1[[AwayTeam]:[AwayTeam]], B$36, Table1[[ActualResult]:[ActualResult]], "OT") + SUMIFS(Table1[[HomeWon]:[HomeWon]], Table1[[GameIsOver]:[GameIsOver]], 1, Table1[[AwayTeam]:[AwayTeam]], $A67, Table1[[HomeTeam]:[HomeTeam]], B$36, Table1[[ActualResult]:[ActualResult]], "SO") + SUMIFS(Table1[[AwayWon]:[AwayWon]], Table1[[GameIsOver]:[GameIsOver]], 1, Table1[[HomeTeam]:[HomeTeam]], $A67, Table1[[AwayTeam]:[AwayTeam]], B$36, Table1[[ActualResult]:[ActualResult]], "SO")))/ (2*((COUNTIFS(Table1[[GameIsOver]:[GameIsOver]],1,Table1[[AwayTeam]:[AwayTeam]],$A67, Table1[[HomeTeam]:[HomeTeam]], B$36)))+( COUNTIFS(Table1[[GameIsOver]:[GameIsOver]],1,Table1[[AwayTeam]:[AwayTeam]],B$36, Table1[[HomeTeam]:[HomeTeam]],$A67))), "")</f>
        <v/>
      </c>
      <c r="C67" s="36" t="str">
        <f>IFERROR(((2 * (SUMIFS(Table1[[AwayWon]:[AwayWon]], Table1[[GameIsOver]:[GameIsOver]], 1, Table1[[AwayTeam]:[AwayTeam]], $A67, Table1[[HomeTeam]:[HomeTeam]], C$36) + SUMIFS(Table1[[HomeWon]:[HomeWon]], Table1[[GameIsOver]:[GameIsOver]], 1, Table1[[HomeTeam]:[HomeTeam]], $A67, Table1[[AwayTeam]:[AwayTeam]], C$36))) + (SUMIFS(Table1[[HomeWon]:[HomeWon]], Table1[[GameIsOver]:[GameIsOver]], 1, Table1[[AwayTeam]:[AwayTeam]], $A67, Table1[[HomeTeam]:[HomeTeam]],  C$36, Table1[[ActualResult]:[ActualResult]], "OT") + SUMIFS(Table1[[AwayWon]:[AwayWon]], Table1[[GameIsOver]:[GameIsOver]], 1, Table1[[HomeTeam]:[HomeTeam]], $A67, Table1[[AwayTeam]:[AwayTeam]], C$36, Table1[[ActualResult]:[ActualResult]], "OT") + SUMIFS(Table1[[HomeWon]:[HomeWon]], Table1[[GameIsOver]:[GameIsOver]], 1, Table1[[AwayTeam]:[AwayTeam]], $A67, Table1[[HomeTeam]:[HomeTeam]], C$36, Table1[[ActualResult]:[ActualResult]], "SO") + SUMIFS(Table1[[AwayWon]:[AwayWon]], Table1[[GameIsOver]:[GameIsOver]], 1, Table1[[HomeTeam]:[HomeTeam]], $A67, Table1[[AwayTeam]:[AwayTeam]], C$36, Table1[[ActualResult]:[ActualResult]], "SO")))/ (2*((COUNTIFS(Table1[[GameIsOver]:[GameIsOver]],1,Table1[[AwayTeam]:[AwayTeam]],$A67, Table1[[HomeTeam]:[HomeTeam]], C$36)))+( COUNTIFS(Table1[[GameIsOver]:[GameIsOver]],1,Table1[[AwayTeam]:[AwayTeam]],C$36, Table1[[HomeTeam]:[HomeTeam]],$A67))), "")</f>
        <v/>
      </c>
      <c r="D67" s="36" t="str">
        <f>IFERROR(((2 * (SUMIFS(Table1[[AwayWon]:[AwayWon]], Table1[[GameIsOver]:[GameIsOver]], 1, Table1[[AwayTeam]:[AwayTeam]], $A67, Table1[[HomeTeam]:[HomeTeam]], D$36) + SUMIFS(Table1[[HomeWon]:[HomeWon]], Table1[[GameIsOver]:[GameIsOver]], 1, Table1[[HomeTeam]:[HomeTeam]], $A67, Table1[[AwayTeam]:[AwayTeam]], D$36))) + (SUMIFS(Table1[[HomeWon]:[HomeWon]], Table1[[GameIsOver]:[GameIsOver]], 1, Table1[[AwayTeam]:[AwayTeam]], $A67, Table1[[HomeTeam]:[HomeTeam]],  D$36, Table1[[ActualResult]:[ActualResult]], "OT") + SUMIFS(Table1[[AwayWon]:[AwayWon]], Table1[[GameIsOver]:[GameIsOver]], 1, Table1[[HomeTeam]:[HomeTeam]], $A67, Table1[[AwayTeam]:[AwayTeam]], D$36, Table1[[ActualResult]:[ActualResult]], "OT") + SUMIFS(Table1[[HomeWon]:[HomeWon]], Table1[[GameIsOver]:[GameIsOver]], 1, Table1[[AwayTeam]:[AwayTeam]], $A67, Table1[[HomeTeam]:[HomeTeam]], D$36, Table1[[ActualResult]:[ActualResult]], "SO") + SUMIFS(Table1[[AwayWon]:[AwayWon]], Table1[[GameIsOver]:[GameIsOver]], 1, Table1[[HomeTeam]:[HomeTeam]], $A67, Table1[[AwayTeam]:[AwayTeam]], D$36, Table1[[ActualResult]:[ActualResult]], "SO")))/ (2*((COUNTIFS(Table1[[GameIsOver]:[GameIsOver]],1,Table1[[AwayTeam]:[AwayTeam]],$A67, Table1[[HomeTeam]:[HomeTeam]], D$36)))+( COUNTIFS(Table1[[GameIsOver]:[GameIsOver]],1,Table1[[AwayTeam]:[AwayTeam]],D$36, Table1[[HomeTeam]:[HomeTeam]],$A67))), "")</f>
        <v/>
      </c>
      <c r="E67" s="36" t="str">
        <f>IFERROR(((2 * (SUMIFS(Table1[[AwayWon]:[AwayWon]], Table1[[GameIsOver]:[GameIsOver]], 1, Table1[[AwayTeam]:[AwayTeam]], $A67, Table1[[HomeTeam]:[HomeTeam]], E$36) + SUMIFS(Table1[[HomeWon]:[HomeWon]], Table1[[GameIsOver]:[GameIsOver]], 1, Table1[[HomeTeam]:[HomeTeam]], $A67, Table1[[AwayTeam]:[AwayTeam]], E$36))) + (SUMIFS(Table1[[HomeWon]:[HomeWon]], Table1[[GameIsOver]:[GameIsOver]], 1, Table1[[AwayTeam]:[AwayTeam]], $A67, Table1[[HomeTeam]:[HomeTeam]],  E$36, Table1[[ActualResult]:[ActualResult]], "OT") + SUMIFS(Table1[[AwayWon]:[AwayWon]], Table1[[GameIsOver]:[GameIsOver]], 1, Table1[[HomeTeam]:[HomeTeam]], $A67, Table1[[AwayTeam]:[AwayTeam]], E$36, Table1[[ActualResult]:[ActualResult]], "OT") + SUMIFS(Table1[[HomeWon]:[HomeWon]], Table1[[GameIsOver]:[GameIsOver]], 1, Table1[[AwayTeam]:[AwayTeam]], $A67, Table1[[HomeTeam]:[HomeTeam]], E$36, Table1[[ActualResult]:[ActualResult]], "SO") + SUMIFS(Table1[[AwayWon]:[AwayWon]], Table1[[GameIsOver]:[GameIsOver]], 1, Table1[[HomeTeam]:[HomeTeam]], $A67, Table1[[AwayTeam]:[AwayTeam]], E$36, Table1[[ActualResult]:[ActualResult]], "SO")))/ (2*((COUNTIFS(Table1[[GameIsOver]:[GameIsOver]],1,Table1[[AwayTeam]:[AwayTeam]],$A67, Table1[[HomeTeam]:[HomeTeam]], E$36)))+( COUNTIFS(Table1[[GameIsOver]:[GameIsOver]],1,Table1[[AwayTeam]:[AwayTeam]],E$36, Table1[[HomeTeam]:[HomeTeam]],$A67))), "")</f>
        <v/>
      </c>
      <c r="F67" s="36" t="str">
        <f>IFERROR(((2 * (SUMIFS(Table1[[AwayWon]:[AwayWon]], Table1[[GameIsOver]:[GameIsOver]], 1, Table1[[AwayTeam]:[AwayTeam]], $A67, Table1[[HomeTeam]:[HomeTeam]], F$36) + SUMIFS(Table1[[HomeWon]:[HomeWon]], Table1[[GameIsOver]:[GameIsOver]], 1, Table1[[HomeTeam]:[HomeTeam]], $A67, Table1[[AwayTeam]:[AwayTeam]], F$36))) + (SUMIFS(Table1[[HomeWon]:[HomeWon]], Table1[[GameIsOver]:[GameIsOver]], 1, Table1[[AwayTeam]:[AwayTeam]], $A67, Table1[[HomeTeam]:[HomeTeam]],  F$36, Table1[[ActualResult]:[ActualResult]], "OT") + SUMIFS(Table1[[AwayWon]:[AwayWon]], Table1[[GameIsOver]:[GameIsOver]], 1, Table1[[HomeTeam]:[HomeTeam]], $A67, Table1[[AwayTeam]:[AwayTeam]], F$36, Table1[[ActualResult]:[ActualResult]], "OT") + SUMIFS(Table1[[HomeWon]:[HomeWon]], Table1[[GameIsOver]:[GameIsOver]], 1, Table1[[AwayTeam]:[AwayTeam]], $A67, Table1[[HomeTeam]:[HomeTeam]], F$36, Table1[[ActualResult]:[ActualResult]], "SO") + SUMIFS(Table1[[AwayWon]:[AwayWon]], Table1[[GameIsOver]:[GameIsOver]], 1, Table1[[HomeTeam]:[HomeTeam]], $A67, Table1[[AwayTeam]:[AwayTeam]], F$36, Table1[[ActualResult]:[ActualResult]], "SO")))/ (2*((COUNTIFS(Table1[[GameIsOver]:[GameIsOver]],1,Table1[[AwayTeam]:[AwayTeam]],$A67, Table1[[HomeTeam]:[HomeTeam]], F$36)))+( COUNTIFS(Table1[[GameIsOver]:[GameIsOver]],1,Table1[[AwayTeam]:[AwayTeam]],F$36, Table1[[HomeTeam]:[HomeTeam]],$A67))), "")</f>
        <v/>
      </c>
      <c r="G67" s="36" t="str">
        <f>IFERROR(((2 * (SUMIFS(Table1[[AwayWon]:[AwayWon]], Table1[[GameIsOver]:[GameIsOver]], 1, Table1[[AwayTeam]:[AwayTeam]], $A67, Table1[[HomeTeam]:[HomeTeam]], G$36) + SUMIFS(Table1[[HomeWon]:[HomeWon]], Table1[[GameIsOver]:[GameIsOver]], 1, Table1[[HomeTeam]:[HomeTeam]], $A67, Table1[[AwayTeam]:[AwayTeam]], G$36))) + (SUMIFS(Table1[[HomeWon]:[HomeWon]], Table1[[GameIsOver]:[GameIsOver]], 1, Table1[[AwayTeam]:[AwayTeam]], $A67, Table1[[HomeTeam]:[HomeTeam]],  G$36, Table1[[ActualResult]:[ActualResult]], "OT") + SUMIFS(Table1[[AwayWon]:[AwayWon]], Table1[[GameIsOver]:[GameIsOver]], 1, Table1[[HomeTeam]:[HomeTeam]], $A67, Table1[[AwayTeam]:[AwayTeam]], G$36, Table1[[ActualResult]:[ActualResult]], "OT") + SUMIFS(Table1[[HomeWon]:[HomeWon]], Table1[[GameIsOver]:[GameIsOver]], 1, Table1[[AwayTeam]:[AwayTeam]], $A67, Table1[[HomeTeam]:[HomeTeam]], G$36, Table1[[ActualResult]:[ActualResult]], "SO") + SUMIFS(Table1[[AwayWon]:[AwayWon]], Table1[[GameIsOver]:[GameIsOver]], 1, Table1[[HomeTeam]:[HomeTeam]], $A67, Table1[[AwayTeam]:[AwayTeam]], G$36, Table1[[ActualResult]:[ActualResult]], "SO")))/ (2*((COUNTIFS(Table1[[GameIsOver]:[GameIsOver]],1,Table1[[AwayTeam]:[AwayTeam]],$A67, Table1[[HomeTeam]:[HomeTeam]], G$36)))+( COUNTIFS(Table1[[GameIsOver]:[GameIsOver]],1,Table1[[AwayTeam]:[AwayTeam]],G$36, Table1[[HomeTeam]:[HomeTeam]],$A67))), "")</f>
        <v/>
      </c>
      <c r="H67" s="36" t="str">
        <f>IFERROR(((2 * (SUMIFS(Table1[[AwayWon]:[AwayWon]], Table1[[GameIsOver]:[GameIsOver]], 1, Table1[[AwayTeam]:[AwayTeam]], $A67, Table1[[HomeTeam]:[HomeTeam]], H$36) + SUMIFS(Table1[[HomeWon]:[HomeWon]], Table1[[GameIsOver]:[GameIsOver]], 1, Table1[[HomeTeam]:[HomeTeam]], $A67, Table1[[AwayTeam]:[AwayTeam]], H$36))) + (SUMIFS(Table1[[HomeWon]:[HomeWon]], Table1[[GameIsOver]:[GameIsOver]], 1, Table1[[AwayTeam]:[AwayTeam]], $A67, Table1[[HomeTeam]:[HomeTeam]],  H$36, Table1[[ActualResult]:[ActualResult]], "OT") + SUMIFS(Table1[[AwayWon]:[AwayWon]], Table1[[GameIsOver]:[GameIsOver]], 1, Table1[[HomeTeam]:[HomeTeam]], $A67, Table1[[AwayTeam]:[AwayTeam]], H$36, Table1[[ActualResult]:[ActualResult]], "OT") + SUMIFS(Table1[[HomeWon]:[HomeWon]], Table1[[GameIsOver]:[GameIsOver]], 1, Table1[[AwayTeam]:[AwayTeam]], $A67, Table1[[HomeTeam]:[HomeTeam]], H$36, Table1[[ActualResult]:[ActualResult]], "SO") + SUMIFS(Table1[[AwayWon]:[AwayWon]], Table1[[GameIsOver]:[GameIsOver]], 1, Table1[[HomeTeam]:[HomeTeam]], $A67, Table1[[AwayTeam]:[AwayTeam]], H$36, Table1[[ActualResult]:[ActualResult]], "SO")))/ (2*((COUNTIFS(Table1[[GameIsOver]:[GameIsOver]],1,Table1[[AwayTeam]:[AwayTeam]],$A67, Table1[[HomeTeam]:[HomeTeam]], H$36)))+( COUNTIFS(Table1[[GameIsOver]:[GameIsOver]],1,Table1[[AwayTeam]:[AwayTeam]],H$36, Table1[[HomeTeam]:[HomeTeam]],$A67))), "")</f>
        <v/>
      </c>
      <c r="I67" s="38" t="str">
        <f>IFERROR(((2 * (SUMIFS(Table1[[AwayWon]:[AwayWon]], Table1[[GameIsOver]:[GameIsOver]], 1, Table1[[AwayTeam]:[AwayTeam]], $A67, Table1[[HomeTeam]:[HomeTeam]], I$36) + SUMIFS(Table1[[HomeWon]:[HomeWon]], Table1[[GameIsOver]:[GameIsOver]], 1, Table1[[HomeTeam]:[HomeTeam]], $A67, Table1[[AwayTeam]:[AwayTeam]], I$36))) + (SUMIFS(Table1[[HomeWon]:[HomeWon]], Table1[[GameIsOver]:[GameIsOver]], 1, Table1[[AwayTeam]:[AwayTeam]], $A67, Table1[[HomeTeam]:[HomeTeam]],  I$36, Table1[[ActualResult]:[ActualResult]], "OT") + SUMIFS(Table1[[AwayWon]:[AwayWon]], Table1[[GameIsOver]:[GameIsOver]], 1, Table1[[HomeTeam]:[HomeTeam]], $A67, Table1[[AwayTeam]:[AwayTeam]], I$36, Table1[[ActualResult]:[ActualResult]], "OT") + SUMIFS(Table1[[HomeWon]:[HomeWon]], Table1[[GameIsOver]:[GameIsOver]], 1, Table1[[AwayTeam]:[AwayTeam]], $A67, Table1[[HomeTeam]:[HomeTeam]], I$36, Table1[[ActualResult]:[ActualResult]], "SO") + SUMIFS(Table1[[AwayWon]:[AwayWon]], Table1[[GameIsOver]:[GameIsOver]], 1, Table1[[HomeTeam]:[HomeTeam]], $A67, Table1[[AwayTeam]:[AwayTeam]], I$36, Table1[[ActualResult]:[ActualResult]], "SO")))/ (2*((COUNTIFS(Table1[[GameIsOver]:[GameIsOver]],1,Table1[[AwayTeam]:[AwayTeam]],$A67, Table1[[HomeTeam]:[HomeTeam]], I$36)))+( COUNTIFS(Table1[[GameIsOver]:[GameIsOver]],1,Table1[[AwayTeam]:[AwayTeam]],I$36, Table1[[HomeTeam]:[HomeTeam]],$A67))), "")</f>
        <v/>
      </c>
      <c r="J67" s="36" t="str">
        <f>IFERROR(((2 * (SUMIFS(Table1[[AwayWon]:[AwayWon]], Table1[[GameIsOver]:[GameIsOver]], 1, Table1[[AwayTeam]:[AwayTeam]], $A67, Table1[[HomeTeam]:[HomeTeam]], J$36) + SUMIFS(Table1[[HomeWon]:[HomeWon]], Table1[[GameIsOver]:[GameIsOver]], 1, Table1[[HomeTeam]:[HomeTeam]], $A67, Table1[[AwayTeam]:[AwayTeam]], J$36))) + (SUMIFS(Table1[[HomeWon]:[HomeWon]], Table1[[GameIsOver]:[GameIsOver]], 1, Table1[[AwayTeam]:[AwayTeam]], $A67, Table1[[HomeTeam]:[HomeTeam]],  J$36, Table1[[ActualResult]:[ActualResult]], "OT") + SUMIFS(Table1[[AwayWon]:[AwayWon]], Table1[[GameIsOver]:[GameIsOver]], 1, Table1[[HomeTeam]:[HomeTeam]], $A67, Table1[[AwayTeam]:[AwayTeam]], J$36, Table1[[ActualResult]:[ActualResult]], "OT") + SUMIFS(Table1[[HomeWon]:[HomeWon]], Table1[[GameIsOver]:[GameIsOver]], 1, Table1[[AwayTeam]:[AwayTeam]], $A67, Table1[[HomeTeam]:[HomeTeam]], J$36, Table1[[ActualResult]:[ActualResult]], "SO") + SUMIFS(Table1[[AwayWon]:[AwayWon]], Table1[[GameIsOver]:[GameIsOver]], 1, Table1[[HomeTeam]:[HomeTeam]], $A67, Table1[[AwayTeam]:[AwayTeam]], J$36, Table1[[ActualResult]:[ActualResult]], "SO")))/ (2*((COUNTIFS(Table1[[GameIsOver]:[GameIsOver]],1,Table1[[AwayTeam]:[AwayTeam]],$A67, Table1[[HomeTeam]:[HomeTeam]], J$36)))+( COUNTIFS(Table1[[GameIsOver]:[GameIsOver]],1,Table1[[AwayTeam]:[AwayTeam]],J$36, Table1[[HomeTeam]:[HomeTeam]],$A67))), "")</f>
        <v/>
      </c>
      <c r="K67" s="36" t="str">
        <f>IFERROR(((2 * (SUMIFS(Table1[[AwayWon]:[AwayWon]], Table1[[GameIsOver]:[GameIsOver]], 1, Table1[[AwayTeam]:[AwayTeam]], $A67, Table1[[HomeTeam]:[HomeTeam]], K$36) + SUMIFS(Table1[[HomeWon]:[HomeWon]], Table1[[GameIsOver]:[GameIsOver]], 1, Table1[[HomeTeam]:[HomeTeam]], $A67, Table1[[AwayTeam]:[AwayTeam]], K$36))) + (SUMIFS(Table1[[HomeWon]:[HomeWon]], Table1[[GameIsOver]:[GameIsOver]], 1, Table1[[AwayTeam]:[AwayTeam]], $A67, Table1[[HomeTeam]:[HomeTeam]],  K$36, Table1[[ActualResult]:[ActualResult]], "OT") + SUMIFS(Table1[[AwayWon]:[AwayWon]], Table1[[GameIsOver]:[GameIsOver]], 1, Table1[[HomeTeam]:[HomeTeam]], $A67, Table1[[AwayTeam]:[AwayTeam]], K$36, Table1[[ActualResult]:[ActualResult]], "OT") + SUMIFS(Table1[[HomeWon]:[HomeWon]], Table1[[GameIsOver]:[GameIsOver]], 1, Table1[[AwayTeam]:[AwayTeam]], $A67, Table1[[HomeTeam]:[HomeTeam]], K$36, Table1[[ActualResult]:[ActualResult]], "SO") + SUMIFS(Table1[[AwayWon]:[AwayWon]], Table1[[GameIsOver]:[GameIsOver]], 1, Table1[[HomeTeam]:[HomeTeam]], $A67, Table1[[AwayTeam]:[AwayTeam]], K$36, Table1[[ActualResult]:[ActualResult]], "SO")))/ (2*((COUNTIFS(Table1[[GameIsOver]:[GameIsOver]],1,Table1[[AwayTeam]:[AwayTeam]],$A67, Table1[[HomeTeam]:[HomeTeam]], K$36)))+( COUNTIFS(Table1[[GameIsOver]:[GameIsOver]],1,Table1[[AwayTeam]:[AwayTeam]],K$36, Table1[[HomeTeam]:[HomeTeam]],$A67))), "")</f>
        <v/>
      </c>
      <c r="L67" s="36" t="str">
        <f>IFERROR(((2 * (SUMIFS(Table1[[AwayWon]:[AwayWon]], Table1[[GameIsOver]:[GameIsOver]], 1, Table1[[AwayTeam]:[AwayTeam]], $A67, Table1[[HomeTeam]:[HomeTeam]], L$36) + SUMIFS(Table1[[HomeWon]:[HomeWon]], Table1[[GameIsOver]:[GameIsOver]], 1, Table1[[HomeTeam]:[HomeTeam]], $A67, Table1[[AwayTeam]:[AwayTeam]], L$36))) + (SUMIFS(Table1[[HomeWon]:[HomeWon]], Table1[[GameIsOver]:[GameIsOver]], 1, Table1[[AwayTeam]:[AwayTeam]], $A67, Table1[[HomeTeam]:[HomeTeam]],  L$36, Table1[[ActualResult]:[ActualResult]], "OT") + SUMIFS(Table1[[AwayWon]:[AwayWon]], Table1[[GameIsOver]:[GameIsOver]], 1, Table1[[HomeTeam]:[HomeTeam]], $A67, Table1[[AwayTeam]:[AwayTeam]], L$36, Table1[[ActualResult]:[ActualResult]], "OT") + SUMIFS(Table1[[HomeWon]:[HomeWon]], Table1[[GameIsOver]:[GameIsOver]], 1, Table1[[AwayTeam]:[AwayTeam]], $A67, Table1[[HomeTeam]:[HomeTeam]], L$36, Table1[[ActualResult]:[ActualResult]], "SO") + SUMIFS(Table1[[AwayWon]:[AwayWon]], Table1[[GameIsOver]:[GameIsOver]], 1, Table1[[HomeTeam]:[HomeTeam]], $A67, Table1[[AwayTeam]:[AwayTeam]], L$36, Table1[[ActualResult]:[ActualResult]], "SO")))/ (2*((COUNTIFS(Table1[[GameIsOver]:[GameIsOver]],1,Table1[[AwayTeam]:[AwayTeam]],$A67, Table1[[HomeTeam]:[HomeTeam]], L$36)))+( COUNTIFS(Table1[[GameIsOver]:[GameIsOver]],1,Table1[[AwayTeam]:[AwayTeam]],L$36, Table1[[HomeTeam]:[HomeTeam]],$A67))), "")</f>
        <v/>
      </c>
      <c r="M67" s="36" t="str">
        <f>IFERROR(((2 * (SUMIFS(Table1[[AwayWon]:[AwayWon]], Table1[[GameIsOver]:[GameIsOver]], 1, Table1[[AwayTeam]:[AwayTeam]], $A67, Table1[[HomeTeam]:[HomeTeam]], M$36) + SUMIFS(Table1[[HomeWon]:[HomeWon]], Table1[[GameIsOver]:[GameIsOver]], 1, Table1[[HomeTeam]:[HomeTeam]], $A67, Table1[[AwayTeam]:[AwayTeam]], M$36))) + (SUMIFS(Table1[[HomeWon]:[HomeWon]], Table1[[GameIsOver]:[GameIsOver]], 1, Table1[[AwayTeam]:[AwayTeam]], $A67, Table1[[HomeTeam]:[HomeTeam]],  M$36, Table1[[ActualResult]:[ActualResult]], "OT") + SUMIFS(Table1[[AwayWon]:[AwayWon]], Table1[[GameIsOver]:[GameIsOver]], 1, Table1[[HomeTeam]:[HomeTeam]], $A67, Table1[[AwayTeam]:[AwayTeam]], M$36, Table1[[ActualResult]:[ActualResult]], "OT") + SUMIFS(Table1[[HomeWon]:[HomeWon]], Table1[[GameIsOver]:[GameIsOver]], 1, Table1[[AwayTeam]:[AwayTeam]], $A67, Table1[[HomeTeam]:[HomeTeam]], M$36, Table1[[ActualResult]:[ActualResult]], "SO") + SUMIFS(Table1[[AwayWon]:[AwayWon]], Table1[[GameIsOver]:[GameIsOver]], 1, Table1[[HomeTeam]:[HomeTeam]], $A67, Table1[[AwayTeam]:[AwayTeam]], M$36, Table1[[ActualResult]:[ActualResult]], "SO")))/ (2*((COUNTIFS(Table1[[GameIsOver]:[GameIsOver]],1,Table1[[AwayTeam]:[AwayTeam]],$A67, Table1[[HomeTeam]:[HomeTeam]], M$36)))+( COUNTIFS(Table1[[GameIsOver]:[GameIsOver]],1,Table1[[AwayTeam]:[AwayTeam]],M$36, Table1[[HomeTeam]:[HomeTeam]],$A67))), "")</f>
        <v/>
      </c>
      <c r="N67" s="36" t="str">
        <f>IFERROR(((2 * (SUMIFS(Table1[[AwayWon]:[AwayWon]], Table1[[GameIsOver]:[GameIsOver]], 1, Table1[[AwayTeam]:[AwayTeam]], $A67, Table1[[HomeTeam]:[HomeTeam]], N$36) + SUMIFS(Table1[[HomeWon]:[HomeWon]], Table1[[GameIsOver]:[GameIsOver]], 1, Table1[[HomeTeam]:[HomeTeam]], $A67, Table1[[AwayTeam]:[AwayTeam]], N$36))) + (SUMIFS(Table1[[HomeWon]:[HomeWon]], Table1[[GameIsOver]:[GameIsOver]], 1, Table1[[AwayTeam]:[AwayTeam]], $A67, Table1[[HomeTeam]:[HomeTeam]],  N$36, Table1[[ActualResult]:[ActualResult]], "OT") + SUMIFS(Table1[[AwayWon]:[AwayWon]], Table1[[GameIsOver]:[GameIsOver]], 1, Table1[[HomeTeam]:[HomeTeam]], $A67, Table1[[AwayTeam]:[AwayTeam]], N$36, Table1[[ActualResult]:[ActualResult]], "OT") + SUMIFS(Table1[[HomeWon]:[HomeWon]], Table1[[GameIsOver]:[GameIsOver]], 1, Table1[[AwayTeam]:[AwayTeam]], $A67, Table1[[HomeTeam]:[HomeTeam]], N$36, Table1[[ActualResult]:[ActualResult]], "SO") + SUMIFS(Table1[[AwayWon]:[AwayWon]], Table1[[GameIsOver]:[GameIsOver]], 1, Table1[[HomeTeam]:[HomeTeam]], $A67, Table1[[AwayTeam]:[AwayTeam]], N$36, Table1[[ActualResult]:[ActualResult]], "SO")))/ (2*((COUNTIFS(Table1[[GameIsOver]:[GameIsOver]],1,Table1[[AwayTeam]:[AwayTeam]],$A67, Table1[[HomeTeam]:[HomeTeam]], N$36)))+( COUNTIFS(Table1[[GameIsOver]:[GameIsOver]],1,Table1[[AwayTeam]:[AwayTeam]],N$36, Table1[[HomeTeam]:[HomeTeam]],$A67))), "")</f>
        <v/>
      </c>
      <c r="O67" s="36" t="str">
        <f>IFERROR(((2 * (SUMIFS(Table1[[AwayWon]:[AwayWon]], Table1[[GameIsOver]:[GameIsOver]], 1, Table1[[AwayTeam]:[AwayTeam]], $A67, Table1[[HomeTeam]:[HomeTeam]], O$36) + SUMIFS(Table1[[HomeWon]:[HomeWon]], Table1[[GameIsOver]:[GameIsOver]], 1, Table1[[HomeTeam]:[HomeTeam]], $A67, Table1[[AwayTeam]:[AwayTeam]], O$36))) + (SUMIFS(Table1[[HomeWon]:[HomeWon]], Table1[[GameIsOver]:[GameIsOver]], 1, Table1[[AwayTeam]:[AwayTeam]], $A67, Table1[[HomeTeam]:[HomeTeam]],  O$36, Table1[[ActualResult]:[ActualResult]], "OT") + SUMIFS(Table1[[AwayWon]:[AwayWon]], Table1[[GameIsOver]:[GameIsOver]], 1, Table1[[HomeTeam]:[HomeTeam]], $A67, Table1[[AwayTeam]:[AwayTeam]], O$36, Table1[[ActualResult]:[ActualResult]], "OT") + SUMIFS(Table1[[HomeWon]:[HomeWon]], Table1[[GameIsOver]:[GameIsOver]], 1, Table1[[AwayTeam]:[AwayTeam]], $A67, Table1[[HomeTeam]:[HomeTeam]], O$36, Table1[[ActualResult]:[ActualResult]], "SO") + SUMIFS(Table1[[AwayWon]:[AwayWon]], Table1[[GameIsOver]:[GameIsOver]], 1, Table1[[HomeTeam]:[HomeTeam]], $A67, Table1[[AwayTeam]:[AwayTeam]], O$36, Table1[[ActualResult]:[ActualResult]], "SO")))/ (2*((COUNTIFS(Table1[[GameIsOver]:[GameIsOver]],1,Table1[[AwayTeam]:[AwayTeam]],$A67, Table1[[HomeTeam]:[HomeTeam]], O$36)))+( COUNTIFS(Table1[[GameIsOver]:[GameIsOver]],1,Table1[[AwayTeam]:[AwayTeam]],O$36, Table1[[HomeTeam]:[HomeTeam]],$A67))), "")</f>
        <v/>
      </c>
      <c r="P67" s="36" t="str">
        <f>IFERROR(((2 * (SUMIFS(Table1[[AwayWon]:[AwayWon]], Table1[[GameIsOver]:[GameIsOver]], 1, Table1[[AwayTeam]:[AwayTeam]], $A67, Table1[[HomeTeam]:[HomeTeam]], P$36) + SUMIFS(Table1[[HomeWon]:[HomeWon]], Table1[[GameIsOver]:[GameIsOver]], 1, Table1[[HomeTeam]:[HomeTeam]], $A67, Table1[[AwayTeam]:[AwayTeam]], P$36))) + (SUMIFS(Table1[[HomeWon]:[HomeWon]], Table1[[GameIsOver]:[GameIsOver]], 1, Table1[[AwayTeam]:[AwayTeam]], $A67, Table1[[HomeTeam]:[HomeTeam]],  P$36, Table1[[ActualResult]:[ActualResult]], "OT") + SUMIFS(Table1[[AwayWon]:[AwayWon]], Table1[[GameIsOver]:[GameIsOver]], 1, Table1[[HomeTeam]:[HomeTeam]], $A67, Table1[[AwayTeam]:[AwayTeam]], P$36, Table1[[ActualResult]:[ActualResult]], "OT") + SUMIFS(Table1[[HomeWon]:[HomeWon]], Table1[[GameIsOver]:[GameIsOver]], 1, Table1[[AwayTeam]:[AwayTeam]], $A67, Table1[[HomeTeam]:[HomeTeam]], P$36, Table1[[ActualResult]:[ActualResult]], "SO") + SUMIFS(Table1[[AwayWon]:[AwayWon]], Table1[[GameIsOver]:[GameIsOver]], 1, Table1[[HomeTeam]:[HomeTeam]], $A67, Table1[[AwayTeam]:[AwayTeam]], P$36, Table1[[ActualResult]:[ActualResult]], "SO")))/ (2*((COUNTIFS(Table1[[GameIsOver]:[GameIsOver]],1,Table1[[AwayTeam]:[AwayTeam]],$A67, Table1[[HomeTeam]:[HomeTeam]], P$36)))+( COUNTIFS(Table1[[GameIsOver]:[GameIsOver]],1,Table1[[AwayTeam]:[AwayTeam]],P$36, Table1[[HomeTeam]:[HomeTeam]],$A67))), "")</f>
        <v/>
      </c>
      <c r="Q67" s="38" t="str">
        <f>IFERROR(((2 * (SUMIFS(Table1[[AwayWon]:[AwayWon]], Table1[[GameIsOver]:[GameIsOver]], 1, Table1[[AwayTeam]:[AwayTeam]], $A67, Table1[[HomeTeam]:[HomeTeam]], Q$36) + SUMIFS(Table1[[HomeWon]:[HomeWon]], Table1[[GameIsOver]:[GameIsOver]], 1, Table1[[HomeTeam]:[HomeTeam]], $A67, Table1[[AwayTeam]:[AwayTeam]], Q$36))) + (SUMIFS(Table1[[HomeWon]:[HomeWon]], Table1[[GameIsOver]:[GameIsOver]], 1, Table1[[AwayTeam]:[AwayTeam]], $A67, Table1[[HomeTeam]:[HomeTeam]],  Q$36, Table1[[ActualResult]:[ActualResult]], "OT") + SUMIFS(Table1[[AwayWon]:[AwayWon]], Table1[[GameIsOver]:[GameIsOver]], 1, Table1[[HomeTeam]:[HomeTeam]], $A67, Table1[[AwayTeam]:[AwayTeam]], Q$36, Table1[[ActualResult]:[ActualResult]], "OT") + SUMIFS(Table1[[HomeWon]:[HomeWon]], Table1[[GameIsOver]:[GameIsOver]], 1, Table1[[AwayTeam]:[AwayTeam]], $A67, Table1[[HomeTeam]:[HomeTeam]], Q$36, Table1[[ActualResult]:[ActualResult]], "SO") + SUMIFS(Table1[[AwayWon]:[AwayWon]], Table1[[GameIsOver]:[GameIsOver]], 1, Table1[[HomeTeam]:[HomeTeam]], $A67, Table1[[AwayTeam]:[AwayTeam]], Q$36, Table1[[ActualResult]:[ActualResult]], "SO")))/ (2*((COUNTIFS(Table1[[GameIsOver]:[GameIsOver]],1,Table1[[AwayTeam]:[AwayTeam]],$A67, Table1[[HomeTeam]:[HomeTeam]], Q$36)))+( COUNTIFS(Table1[[GameIsOver]:[GameIsOver]],1,Table1[[AwayTeam]:[AwayTeam]],Q$36, Table1[[HomeTeam]:[HomeTeam]],$A67))), "")</f>
        <v/>
      </c>
      <c r="R67" s="36" t="str">
        <f>IFERROR(((2 * (SUMIFS(Table1[[AwayWon]:[AwayWon]], Table1[[GameIsOver]:[GameIsOver]], 1, Table1[[AwayTeam]:[AwayTeam]], $A67, Table1[[HomeTeam]:[HomeTeam]], R$36) + SUMIFS(Table1[[HomeWon]:[HomeWon]], Table1[[GameIsOver]:[GameIsOver]], 1, Table1[[HomeTeam]:[HomeTeam]], $A67, Table1[[AwayTeam]:[AwayTeam]], R$36))) + (SUMIFS(Table1[[HomeWon]:[HomeWon]], Table1[[GameIsOver]:[GameIsOver]], 1, Table1[[AwayTeam]:[AwayTeam]], $A67, Table1[[HomeTeam]:[HomeTeam]],  R$36, Table1[[ActualResult]:[ActualResult]], "OT") + SUMIFS(Table1[[AwayWon]:[AwayWon]], Table1[[GameIsOver]:[GameIsOver]], 1, Table1[[HomeTeam]:[HomeTeam]], $A67, Table1[[AwayTeam]:[AwayTeam]], R$36, Table1[[ActualResult]:[ActualResult]], "OT") + SUMIFS(Table1[[HomeWon]:[HomeWon]], Table1[[GameIsOver]:[GameIsOver]], 1, Table1[[AwayTeam]:[AwayTeam]], $A67, Table1[[HomeTeam]:[HomeTeam]], R$36, Table1[[ActualResult]:[ActualResult]], "SO") + SUMIFS(Table1[[AwayWon]:[AwayWon]], Table1[[GameIsOver]:[GameIsOver]], 1, Table1[[HomeTeam]:[HomeTeam]], $A67, Table1[[AwayTeam]:[AwayTeam]], R$36, Table1[[ActualResult]:[ActualResult]], "SO")))/ (2*((COUNTIFS(Table1[[GameIsOver]:[GameIsOver]],1,Table1[[AwayTeam]:[AwayTeam]],$A67, Table1[[HomeTeam]:[HomeTeam]], R$36)))+( COUNTIFS(Table1[[GameIsOver]:[GameIsOver]],1,Table1[[AwayTeam]:[AwayTeam]],R$36, Table1[[HomeTeam]:[HomeTeam]],$A67))), "")</f>
        <v/>
      </c>
      <c r="S67" s="36" t="str">
        <f>IFERROR(((2 * (SUMIFS(Table1[[AwayWon]:[AwayWon]], Table1[[GameIsOver]:[GameIsOver]], 1, Table1[[AwayTeam]:[AwayTeam]], $A67, Table1[[HomeTeam]:[HomeTeam]], S$36) + SUMIFS(Table1[[HomeWon]:[HomeWon]], Table1[[GameIsOver]:[GameIsOver]], 1, Table1[[HomeTeam]:[HomeTeam]], $A67, Table1[[AwayTeam]:[AwayTeam]], S$36))) + (SUMIFS(Table1[[HomeWon]:[HomeWon]], Table1[[GameIsOver]:[GameIsOver]], 1, Table1[[AwayTeam]:[AwayTeam]], $A67, Table1[[HomeTeam]:[HomeTeam]],  S$36, Table1[[ActualResult]:[ActualResult]], "OT") + SUMIFS(Table1[[AwayWon]:[AwayWon]], Table1[[GameIsOver]:[GameIsOver]], 1, Table1[[HomeTeam]:[HomeTeam]], $A67, Table1[[AwayTeam]:[AwayTeam]], S$36, Table1[[ActualResult]:[ActualResult]], "OT") + SUMIFS(Table1[[HomeWon]:[HomeWon]], Table1[[GameIsOver]:[GameIsOver]], 1, Table1[[AwayTeam]:[AwayTeam]], $A67, Table1[[HomeTeam]:[HomeTeam]], S$36, Table1[[ActualResult]:[ActualResult]], "SO") + SUMIFS(Table1[[AwayWon]:[AwayWon]], Table1[[GameIsOver]:[GameIsOver]], 1, Table1[[HomeTeam]:[HomeTeam]], $A67, Table1[[AwayTeam]:[AwayTeam]], S$36, Table1[[ActualResult]:[ActualResult]], "SO")))/ (2*((COUNTIFS(Table1[[GameIsOver]:[GameIsOver]],1,Table1[[AwayTeam]:[AwayTeam]],$A67, Table1[[HomeTeam]:[HomeTeam]], S$36)))+( COUNTIFS(Table1[[GameIsOver]:[GameIsOver]],1,Table1[[AwayTeam]:[AwayTeam]],S$36, Table1[[HomeTeam]:[HomeTeam]],$A67))), "")</f>
        <v/>
      </c>
      <c r="T67" s="36" t="str">
        <f>IFERROR(((2 * (SUMIFS(Table1[[AwayWon]:[AwayWon]], Table1[[GameIsOver]:[GameIsOver]], 1, Table1[[AwayTeam]:[AwayTeam]], $A67, Table1[[HomeTeam]:[HomeTeam]], T$36) + SUMIFS(Table1[[HomeWon]:[HomeWon]], Table1[[GameIsOver]:[GameIsOver]], 1, Table1[[HomeTeam]:[HomeTeam]], $A67, Table1[[AwayTeam]:[AwayTeam]], T$36))) + (SUMIFS(Table1[[HomeWon]:[HomeWon]], Table1[[GameIsOver]:[GameIsOver]], 1, Table1[[AwayTeam]:[AwayTeam]], $A67, Table1[[HomeTeam]:[HomeTeam]],  T$36, Table1[[ActualResult]:[ActualResult]], "OT") + SUMIFS(Table1[[AwayWon]:[AwayWon]], Table1[[GameIsOver]:[GameIsOver]], 1, Table1[[HomeTeam]:[HomeTeam]], $A67, Table1[[AwayTeam]:[AwayTeam]], T$36, Table1[[ActualResult]:[ActualResult]], "OT") + SUMIFS(Table1[[HomeWon]:[HomeWon]], Table1[[GameIsOver]:[GameIsOver]], 1, Table1[[AwayTeam]:[AwayTeam]], $A67, Table1[[HomeTeam]:[HomeTeam]], T$36, Table1[[ActualResult]:[ActualResult]], "SO") + SUMIFS(Table1[[AwayWon]:[AwayWon]], Table1[[GameIsOver]:[GameIsOver]], 1, Table1[[HomeTeam]:[HomeTeam]], $A67, Table1[[AwayTeam]:[AwayTeam]], T$36, Table1[[ActualResult]:[ActualResult]], "SO")))/ (2*((COUNTIFS(Table1[[GameIsOver]:[GameIsOver]],1,Table1[[AwayTeam]:[AwayTeam]],$A67, Table1[[HomeTeam]:[HomeTeam]], T$36)))+( COUNTIFS(Table1[[GameIsOver]:[GameIsOver]],1,Table1[[AwayTeam]:[AwayTeam]],T$36, Table1[[HomeTeam]:[HomeTeam]],$A67))), "")</f>
        <v/>
      </c>
      <c r="U67" s="36" t="str">
        <f>IFERROR(((2 * (SUMIFS(Table1[[AwayWon]:[AwayWon]], Table1[[GameIsOver]:[GameIsOver]], 1, Table1[[AwayTeam]:[AwayTeam]], $A67, Table1[[HomeTeam]:[HomeTeam]], U$36) + SUMIFS(Table1[[HomeWon]:[HomeWon]], Table1[[GameIsOver]:[GameIsOver]], 1, Table1[[HomeTeam]:[HomeTeam]], $A67, Table1[[AwayTeam]:[AwayTeam]], U$36))) + (SUMIFS(Table1[[HomeWon]:[HomeWon]], Table1[[GameIsOver]:[GameIsOver]], 1, Table1[[AwayTeam]:[AwayTeam]], $A67, Table1[[HomeTeam]:[HomeTeam]],  U$36, Table1[[ActualResult]:[ActualResult]], "OT") + SUMIFS(Table1[[AwayWon]:[AwayWon]], Table1[[GameIsOver]:[GameIsOver]], 1, Table1[[HomeTeam]:[HomeTeam]], $A67, Table1[[AwayTeam]:[AwayTeam]], U$36, Table1[[ActualResult]:[ActualResult]], "OT") + SUMIFS(Table1[[HomeWon]:[HomeWon]], Table1[[GameIsOver]:[GameIsOver]], 1, Table1[[AwayTeam]:[AwayTeam]], $A67, Table1[[HomeTeam]:[HomeTeam]], U$36, Table1[[ActualResult]:[ActualResult]], "SO") + SUMIFS(Table1[[AwayWon]:[AwayWon]], Table1[[GameIsOver]:[GameIsOver]], 1, Table1[[HomeTeam]:[HomeTeam]], $A67, Table1[[AwayTeam]:[AwayTeam]], U$36, Table1[[ActualResult]:[ActualResult]], "SO")))/ (2*((COUNTIFS(Table1[[GameIsOver]:[GameIsOver]],1,Table1[[AwayTeam]:[AwayTeam]],$A67, Table1[[HomeTeam]:[HomeTeam]], U$36)))+( COUNTIFS(Table1[[GameIsOver]:[GameIsOver]],1,Table1[[AwayTeam]:[AwayTeam]],U$36, Table1[[HomeTeam]:[HomeTeam]],$A67))), "")</f>
        <v/>
      </c>
      <c r="V67" s="36">
        <f>IFERROR(((2 * (SUMIFS(Table1[[AwayWon]:[AwayWon]], Table1[[GameIsOver]:[GameIsOver]], 1, Table1[[AwayTeam]:[AwayTeam]], $A67, Table1[[HomeTeam]:[HomeTeam]], V$36) + SUMIFS(Table1[[HomeWon]:[HomeWon]], Table1[[GameIsOver]:[GameIsOver]], 1, Table1[[HomeTeam]:[HomeTeam]], $A67, Table1[[AwayTeam]:[AwayTeam]], V$36))) + (SUMIFS(Table1[[HomeWon]:[HomeWon]], Table1[[GameIsOver]:[GameIsOver]], 1, Table1[[AwayTeam]:[AwayTeam]], $A67, Table1[[HomeTeam]:[HomeTeam]],  V$36, Table1[[ActualResult]:[ActualResult]], "OT") + SUMIFS(Table1[[AwayWon]:[AwayWon]], Table1[[GameIsOver]:[GameIsOver]], 1, Table1[[HomeTeam]:[HomeTeam]], $A67, Table1[[AwayTeam]:[AwayTeam]], V$36, Table1[[ActualResult]:[ActualResult]], "OT") + SUMIFS(Table1[[HomeWon]:[HomeWon]], Table1[[GameIsOver]:[GameIsOver]], 1, Table1[[AwayTeam]:[AwayTeam]], $A67, Table1[[HomeTeam]:[HomeTeam]], V$36, Table1[[ActualResult]:[ActualResult]], "SO") + SUMIFS(Table1[[AwayWon]:[AwayWon]], Table1[[GameIsOver]:[GameIsOver]], 1, Table1[[HomeTeam]:[HomeTeam]], $A67, Table1[[AwayTeam]:[AwayTeam]], V$36, Table1[[ActualResult]:[ActualResult]], "SO")))/ (2*((COUNTIFS(Table1[[GameIsOver]:[GameIsOver]],1,Table1[[AwayTeam]:[AwayTeam]],$A67, Table1[[HomeTeam]:[HomeTeam]], V$36)))+( COUNTIFS(Table1[[GameIsOver]:[GameIsOver]],1,Table1[[AwayTeam]:[AwayTeam]],V$36, Table1[[HomeTeam]:[HomeTeam]],$A67))), "")</f>
        <v>0</v>
      </c>
      <c r="W67" s="36" t="str">
        <f>IFERROR(((2 * (SUMIFS(Table1[[AwayWon]:[AwayWon]], Table1[[GameIsOver]:[GameIsOver]], 1, Table1[[AwayTeam]:[AwayTeam]], $A67, Table1[[HomeTeam]:[HomeTeam]], W$36) + SUMIFS(Table1[[HomeWon]:[HomeWon]], Table1[[GameIsOver]:[GameIsOver]], 1, Table1[[HomeTeam]:[HomeTeam]], $A67, Table1[[AwayTeam]:[AwayTeam]], W$36))) + (SUMIFS(Table1[[HomeWon]:[HomeWon]], Table1[[GameIsOver]:[GameIsOver]], 1, Table1[[AwayTeam]:[AwayTeam]], $A67, Table1[[HomeTeam]:[HomeTeam]],  W$36, Table1[[ActualResult]:[ActualResult]], "OT") + SUMIFS(Table1[[AwayWon]:[AwayWon]], Table1[[GameIsOver]:[GameIsOver]], 1, Table1[[HomeTeam]:[HomeTeam]], $A67, Table1[[AwayTeam]:[AwayTeam]], W$36, Table1[[ActualResult]:[ActualResult]], "OT") + SUMIFS(Table1[[HomeWon]:[HomeWon]], Table1[[GameIsOver]:[GameIsOver]], 1, Table1[[AwayTeam]:[AwayTeam]], $A67, Table1[[HomeTeam]:[HomeTeam]], W$36, Table1[[ActualResult]:[ActualResult]], "SO") + SUMIFS(Table1[[AwayWon]:[AwayWon]], Table1[[GameIsOver]:[GameIsOver]], 1, Table1[[HomeTeam]:[HomeTeam]], $A67, Table1[[AwayTeam]:[AwayTeam]], W$36, Table1[[ActualResult]:[ActualResult]], "SO")))/ (2*((COUNTIFS(Table1[[GameIsOver]:[GameIsOver]],1,Table1[[AwayTeam]:[AwayTeam]],$A67, Table1[[HomeTeam]:[HomeTeam]], W$36)))+( COUNTIFS(Table1[[GameIsOver]:[GameIsOver]],1,Table1[[AwayTeam]:[AwayTeam]],W$36, Table1[[HomeTeam]:[HomeTeam]],$A67))), "")</f>
        <v/>
      </c>
      <c r="X67" s="36" t="str">
        <f>IFERROR(((2 * (SUMIFS(Table1[[AwayWon]:[AwayWon]], Table1[[GameIsOver]:[GameIsOver]], 1, Table1[[AwayTeam]:[AwayTeam]], $A67, Table1[[HomeTeam]:[HomeTeam]], X$36) + SUMIFS(Table1[[HomeWon]:[HomeWon]], Table1[[GameIsOver]:[GameIsOver]], 1, Table1[[HomeTeam]:[HomeTeam]], $A67, Table1[[AwayTeam]:[AwayTeam]], X$36))) + (SUMIFS(Table1[[HomeWon]:[HomeWon]], Table1[[GameIsOver]:[GameIsOver]], 1, Table1[[AwayTeam]:[AwayTeam]], $A67, Table1[[HomeTeam]:[HomeTeam]],  X$36, Table1[[ActualResult]:[ActualResult]], "OT") + SUMIFS(Table1[[AwayWon]:[AwayWon]], Table1[[GameIsOver]:[GameIsOver]], 1, Table1[[HomeTeam]:[HomeTeam]], $A67, Table1[[AwayTeam]:[AwayTeam]], X$36, Table1[[ActualResult]:[ActualResult]], "OT") + SUMIFS(Table1[[HomeWon]:[HomeWon]], Table1[[GameIsOver]:[GameIsOver]], 1, Table1[[AwayTeam]:[AwayTeam]], $A67, Table1[[HomeTeam]:[HomeTeam]], X$36, Table1[[ActualResult]:[ActualResult]], "SO") + SUMIFS(Table1[[AwayWon]:[AwayWon]], Table1[[GameIsOver]:[GameIsOver]], 1, Table1[[HomeTeam]:[HomeTeam]], $A67, Table1[[AwayTeam]:[AwayTeam]], X$36, Table1[[ActualResult]:[ActualResult]], "SO")))/ (2*((COUNTIFS(Table1[[GameIsOver]:[GameIsOver]],1,Table1[[AwayTeam]:[AwayTeam]],$A67, Table1[[HomeTeam]:[HomeTeam]], X$36)))+( COUNTIFS(Table1[[GameIsOver]:[GameIsOver]],1,Table1[[AwayTeam]:[AwayTeam]],X$36, Table1[[HomeTeam]:[HomeTeam]],$A67))), "")</f>
        <v/>
      </c>
      <c r="Y67" s="38" t="str">
        <f>IFERROR(((2 * (SUMIFS(Table1[[AwayWon]:[AwayWon]], Table1[[GameIsOver]:[GameIsOver]], 1, Table1[[AwayTeam]:[AwayTeam]], $A67, Table1[[HomeTeam]:[HomeTeam]], Y$36) + SUMIFS(Table1[[HomeWon]:[HomeWon]], Table1[[GameIsOver]:[GameIsOver]], 1, Table1[[HomeTeam]:[HomeTeam]], $A67, Table1[[AwayTeam]:[AwayTeam]], Y$36))) + (SUMIFS(Table1[[HomeWon]:[HomeWon]], Table1[[GameIsOver]:[GameIsOver]], 1, Table1[[AwayTeam]:[AwayTeam]], $A67, Table1[[HomeTeam]:[HomeTeam]],  Y$36, Table1[[ActualResult]:[ActualResult]], "OT") + SUMIFS(Table1[[AwayWon]:[AwayWon]], Table1[[GameIsOver]:[GameIsOver]], 1, Table1[[HomeTeam]:[HomeTeam]], $A67, Table1[[AwayTeam]:[AwayTeam]], Y$36, Table1[[ActualResult]:[ActualResult]], "OT") + SUMIFS(Table1[[HomeWon]:[HomeWon]], Table1[[GameIsOver]:[GameIsOver]], 1, Table1[[AwayTeam]:[AwayTeam]], $A67, Table1[[HomeTeam]:[HomeTeam]], Y$36, Table1[[ActualResult]:[ActualResult]], "SO") + SUMIFS(Table1[[AwayWon]:[AwayWon]], Table1[[GameIsOver]:[GameIsOver]], 1, Table1[[HomeTeam]:[HomeTeam]], $A67, Table1[[AwayTeam]:[AwayTeam]], Y$36, Table1[[ActualResult]:[ActualResult]], "SO")))/ (2*((COUNTIFS(Table1[[GameIsOver]:[GameIsOver]],1,Table1[[AwayTeam]:[AwayTeam]],$A67, Table1[[HomeTeam]:[HomeTeam]], Y$36)))+( COUNTIFS(Table1[[GameIsOver]:[GameIsOver]],1,Table1[[AwayTeam]:[AwayTeam]],Y$36, Table1[[HomeTeam]:[HomeTeam]],$A67))), "")</f>
        <v/>
      </c>
      <c r="Z67" s="36" t="str">
        <f>IFERROR(((2 * (SUMIFS(Table1[[AwayWon]:[AwayWon]], Table1[[GameIsOver]:[GameIsOver]], 1, Table1[[AwayTeam]:[AwayTeam]], $A67, Table1[[HomeTeam]:[HomeTeam]], Z$36) + SUMIFS(Table1[[HomeWon]:[HomeWon]], Table1[[GameIsOver]:[GameIsOver]], 1, Table1[[HomeTeam]:[HomeTeam]], $A67, Table1[[AwayTeam]:[AwayTeam]], Z$36))) + (SUMIFS(Table1[[HomeWon]:[HomeWon]], Table1[[GameIsOver]:[GameIsOver]], 1, Table1[[AwayTeam]:[AwayTeam]], $A67, Table1[[HomeTeam]:[HomeTeam]],  Z$36, Table1[[ActualResult]:[ActualResult]], "OT") + SUMIFS(Table1[[AwayWon]:[AwayWon]], Table1[[GameIsOver]:[GameIsOver]], 1, Table1[[HomeTeam]:[HomeTeam]], $A67, Table1[[AwayTeam]:[AwayTeam]], Z$36, Table1[[ActualResult]:[ActualResult]], "OT") + SUMIFS(Table1[[HomeWon]:[HomeWon]], Table1[[GameIsOver]:[GameIsOver]], 1, Table1[[AwayTeam]:[AwayTeam]], $A67, Table1[[HomeTeam]:[HomeTeam]], Z$36, Table1[[ActualResult]:[ActualResult]], "SO") + SUMIFS(Table1[[AwayWon]:[AwayWon]], Table1[[GameIsOver]:[GameIsOver]], 1, Table1[[HomeTeam]:[HomeTeam]], $A67, Table1[[AwayTeam]:[AwayTeam]], Z$36, Table1[[ActualResult]:[ActualResult]], "SO")))/ (2*((COUNTIFS(Table1[[GameIsOver]:[GameIsOver]],1,Table1[[AwayTeam]:[AwayTeam]],$A67, Table1[[HomeTeam]:[HomeTeam]], Z$36)))+( COUNTIFS(Table1[[GameIsOver]:[GameIsOver]],1,Table1[[AwayTeam]:[AwayTeam]],Z$36, Table1[[HomeTeam]:[HomeTeam]],$A67))), "")</f>
        <v/>
      </c>
      <c r="AA67" s="36" t="str">
        <f>IFERROR(((2 * (SUMIFS(Table1[[AwayWon]:[AwayWon]], Table1[[GameIsOver]:[GameIsOver]], 1, Table1[[AwayTeam]:[AwayTeam]], $A67, Table1[[HomeTeam]:[HomeTeam]], AA$36) + SUMIFS(Table1[[HomeWon]:[HomeWon]], Table1[[GameIsOver]:[GameIsOver]], 1, Table1[[HomeTeam]:[HomeTeam]], $A67, Table1[[AwayTeam]:[AwayTeam]], AA$36))) + (SUMIFS(Table1[[HomeWon]:[HomeWon]], Table1[[GameIsOver]:[GameIsOver]], 1, Table1[[AwayTeam]:[AwayTeam]], $A67, Table1[[HomeTeam]:[HomeTeam]],  AA$36, Table1[[ActualResult]:[ActualResult]], "OT") + SUMIFS(Table1[[AwayWon]:[AwayWon]], Table1[[GameIsOver]:[GameIsOver]], 1, Table1[[HomeTeam]:[HomeTeam]], $A67, Table1[[AwayTeam]:[AwayTeam]], AA$36, Table1[[ActualResult]:[ActualResult]], "OT") + SUMIFS(Table1[[HomeWon]:[HomeWon]], Table1[[GameIsOver]:[GameIsOver]], 1, Table1[[AwayTeam]:[AwayTeam]], $A67, Table1[[HomeTeam]:[HomeTeam]], AA$36, Table1[[ActualResult]:[ActualResult]], "SO") + SUMIFS(Table1[[AwayWon]:[AwayWon]], Table1[[GameIsOver]:[GameIsOver]], 1, Table1[[HomeTeam]:[HomeTeam]], $A67, Table1[[AwayTeam]:[AwayTeam]], AA$36, Table1[[ActualResult]:[ActualResult]], "SO")))/ (2*((COUNTIFS(Table1[[GameIsOver]:[GameIsOver]],1,Table1[[AwayTeam]:[AwayTeam]],$A67, Table1[[HomeTeam]:[HomeTeam]], AA$36)))+( COUNTIFS(Table1[[GameIsOver]:[GameIsOver]],1,Table1[[AwayTeam]:[AwayTeam]],AA$36, Table1[[HomeTeam]:[HomeTeam]],$A67))), "")</f>
        <v/>
      </c>
      <c r="AB67" s="36" t="str">
        <f>IFERROR(((2 * (SUMIFS(Table1[[AwayWon]:[AwayWon]], Table1[[GameIsOver]:[GameIsOver]], 1, Table1[[AwayTeam]:[AwayTeam]], $A67, Table1[[HomeTeam]:[HomeTeam]], AB$36) + SUMIFS(Table1[[HomeWon]:[HomeWon]], Table1[[GameIsOver]:[GameIsOver]], 1, Table1[[HomeTeam]:[HomeTeam]], $A67, Table1[[AwayTeam]:[AwayTeam]], AB$36))) + (SUMIFS(Table1[[HomeWon]:[HomeWon]], Table1[[GameIsOver]:[GameIsOver]], 1, Table1[[AwayTeam]:[AwayTeam]], $A67, Table1[[HomeTeam]:[HomeTeam]],  AB$36, Table1[[ActualResult]:[ActualResult]], "OT") + SUMIFS(Table1[[AwayWon]:[AwayWon]], Table1[[GameIsOver]:[GameIsOver]], 1, Table1[[HomeTeam]:[HomeTeam]], $A67, Table1[[AwayTeam]:[AwayTeam]], AB$36, Table1[[ActualResult]:[ActualResult]], "OT") + SUMIFS(Table1[[HomeWon]:[HomeWon]], Table1[[GameIsOver]:[GameIsOver]], 1, Table1[[AwayTeam]:[AwayTeam]], $A67, Table1[[HomeTeam]:[HomeTeam]], AB$36, Table1[[ActualResult]:[ActualResult]], "SO") + SUMIFS(Table1[[AwayWon]:[AwayWon]], Table1[[GameIsOver]:[GameIsOver]], 1, Table1[[HomeTeam]:[HomeTeam]], $A67, Table1[[AwayTeam]:[AwayTeam]], AB$36, Table1[[ActualResult]:[ActualResult]], "SO")))/ (2*((COUNTIFS(Table1[[GameIsOver]:[GameIsOver]],1,Table1[[AwayTeam]:[AwayTeam]],$A67, Table1[[HomeTeam]:[HomeTeam]], AB$36)))+( COUNTIFS(Table1[[GameIsOver]:[GameIsOver]],1,Table1[[AwayTeam]:[AwayTeam]],AB$36, Table1[[HomeTeam]:[HomeTeam]],$A67))), "")</f>
        <v/>
      </c>
      <c r="AC67" s="36" t="str">
        <f>IFERROR(((2 * (SUMIFS(Table1[[AwayWon]:[AwayWon]], Table1[[GameIsOver]:[GameIsOver]], 1, Table1[[AwayTeam]:[AwayTeam]], $A67, Table1[[HomeTeam]:[HomeTeam]], AC$36) + SUMIFS(Table1[[HomeWon]:[HomeWon]], Table1[[GameIsOver]:[GameIsOver]], 1, Table1[[HomeTeam]:[HomeTeam]], $A67, Table1[[AwayTeam]:[AwayTeam]], AC$36))) + (SUMIFS(Table1[[HomeWon]:[HomeWon]], Table1[[GameIsOver]:[GameIsOver]], 1, Table1[[AwayTeam]:[AwayTeam]], $A67, Table1[[HomeTeam]:[HomeTeam]],  AC$36, Table1[[ActualResult]:[ActualResult]], "OT") + SUMIFS(Table1[[AwayWon]:[AwayWon]], Table1[[GameIsOver]:[GameIsOver]], 1, Table1[[HomeTeam]:[HomeTeam]], $A67, Table1[[AwayTeam]:[AwayTeam]], AC$36, Table1[[ActualResult]:[ActualResult]], "OT") + SUMIFS(Table1[[HomeWon]:[HomeWon]], Table1[[GameIsOver]:[GameIsOver]], 1, Table1[[AwayTeam]:[AwayTeam]], $A67, Table1[[HomeTeam]:[HomeTeam]], AC$36, Table1[[ActualResult]:[ActualResult]], "SO") + SUMIFS(Table1[[AwayWon]:[AwayWon]], Table1[[GameIsOver]:[GameIsOver]], 1, Table1[[HomeTeam]:[HomeTeam]], $A67, Table1[[AwayTeam]:[AwayTeam]], AC$36, Table1[[ActualResult]:[ActualResult]], "SO")))/ (2*((COUNTIFS(Table1[[GameIsOver]:[GameIsOver]],1,Table1[[AwayTeam]:[AwayTeam]],$A67, Table1[[HomeTeam]:[HomeTeam]], AC$36)))+( COUNTIFS(Table1[[GameIsOver]:[GameIsOver]],1,Table1[[AwayTeam]:[AwayTeam]],AC$36, Table1[[HomeTeam]:[HomeTeam]],$A67))), "")</f>
        <v/>
      </c>
      <c r="AD67" s="36" t="str">
        <f>IFERROR(((2 * (SUMIFS(Table1[[AwayWon]:[AwayWon]], Table1[[GameIsOver]:[GameIsOver]], 1, Table1[[AwayTeam]:[AwayTeam]], $A67, Table1[[HomeTeam]:[HomeTeam]], AD$36) + SUMIFS(Table1[[HomeWon]:[HomeWon]], Table1[[GameIsOver]:[GameIsOver]], 1, Table1[[HomeTeam]:[HomeTeam]], $A67, Table1[[AwayTeam]:[AwayTeam]], AD$36))) + (SUMIFS(Table1[[HomeWon]:[HomeWon]], Table1[[GameIsOver]:[GameIsOver]], 1, Table1[[AwayTeam]:[AwayTeam]], $A67, Table1[[HomeTeam]:[HomeTeam]],  AD$36, Table1[[ActualResult]:[ActualResult]], "OT") + SUMIFS(Table1[[AwayWon]:[AwayWon]], Table1[[GameIsOver]:[GameIsOver]], 1, Table1[[HomeTeam]:[HomeTeam]], $A67, Table1[[AwayTeam]:[AwayTeam]], AD$36, Table1[[ActualResult]:[ActualResult]], "OT") + SUMIFS(Table1[[HomeWon]:[HomeWon]], Table1[[GameIsOver]:[GameIsOver]], 1, Table1[[AwayTeam]:[AwayTeam]], $A67, Table1[[HomeTeam]:[HomeTeam]], AD$36, Table1[[ActualResult]:[ActualResult]], "SO") + SUMIFS(Table1[[AwayWon]:[AwayWon]], Table1[[GameIsOver]:[GameIsOver]], 1, Table1[[HomeTeam]:[HomeTeam]], $A67, Table1[[AwayTeam]:[AwayTeam]], AD$36, Table1[[ActualResult]:[ActualResult]], "SO")))/ (2*((COUNTIFS(Table1[[GameIsOver]:[GameIsOver]],1,Table1[[AwayTeam]:[AwayTeam]],$A67, Table1[[HomeTeam]:[HomeTeam]], AD$36)))+( COUNTIFS(Table1[[GameIsOver]:[GameIsOver]],1,Table1[[AwayTeam]:[AwayTeam]],AD$36, Table1[[HomeTeam]:[HomeTeam]],$A67))), "")</f>
        <v/>
      </c>
      <c r="AE67" s="36" t="str">
        <f>IFERROR(((2 * (SUMIFS(Table1[[AwayWon]:[AwayWon]], Table1[[GameIsOver]:[GameIsOver]], 1, Table1[[AwayTeam]:[AwayTeam]], $A67, Table1[[HomeTeam]:[HomeTeam]], AE$36) + SUMIFS(Table1[[HomeWon]:[HomeWon]], Table1[[GameIsOver]:[GameIsOver]], 1, Table1[[HomeTeam]:[HomeTeam]], $A67, Table1[[AwayTeam]:[AwayTeam]], AE$36))) + (SUMIFS(Table1[[HomeWon]:[HomeWon]], Table1[[GameIsOver]:[GameIsOver]], 1, Table1[[AwayTeam]:[AwayTeam]], $A67, Table1[[HomeTeam]:[HomeTeam]],  AE$36, Table1[[ActualResult]:[ActualResult]], "OT") + SUMIFS(Table1[[AwayWon]:[AwayWon]], Table1[[GameIsOver]:[GameIsOver]], 1, Table1[[HomeTeam]:[HomeTeam]], $A67, Table1[[AwayTeam]:[AwayTeam]], AE$36, Table1[[ActualResult]:[ActualResult]], "OT") + SUMIFS(Table1[[HomeWon]:[HomeWon]], Table1[[GameIsOver]:[GameIsOver]], 1, Table1[[AwayTeam]:[AwayTeam]], $A67, Table1[[HomeTeam]:[HomeTeam]], AE$36, Table1[[ActualResult]:[ActualResult]], "SO") + SUMIFS(Table1[[AwayWon]:[AwayWon]], Table1[[GameIsOver]:[GameIsOver]], 1, Table1[[HomeTeam]:[HomeTeam]], $A67, Table1[[AwayTeam]:[AwayTeam]], AE$36, Table1[[ActualResult]:[ActualResult]], "SO")))/ (2*((COUNTIFS(Table1[[GameIsOver]:[GameIsOver]],1,Table1[[AwayTeam]:[AwayTeam]],$A67, Table1[[HomeTeam]:[HomeTeam]], AE$36)))+( COUNTIFS(Table1[[GameIsOver]:[GameIsOver]],1,Table1[[AwayTeam]:[AwayTeam]],AE$36, Table1[[HomeTeam]:[HomeTeam]],$A67))), "")</f>
        <v/>
      </c>
      <c r="AF67" s="36" t="str">
        <f>IFERROR(((2 * (SUMIFS(Table1[[AwayWon]:[AwayWon]], Table1[[GameIsOver]:[GameIsOver]], 1, Table1[[AwayTeam]:[AwayTeam]], $A67, Table1[[HomeTeam]:[HomeTeam]], AF$36) + SUMIFS(Table1[[HomeWon]:[HomeWon]], Table1[[GameIsOver]:[GameIsOver]], 1, Table1[[HomeTeam]:[HomeTeam]], $A67, Table1[[AwayTeam]:[AwayTeam]], AF$36))) + (SUMIFS(Table1[[HomeWon]:[HomeWon]], Table1[[GameIsOver]:[GameIsOver]], 1, Table1[[AwayTeam]:[AwayTeam]], $A67, Table1[[HomeTeam]:[HomeTeam]],  AF$36, Table1[[ActualResult]:[ActualResult]], "OT") + SUMIFS(Table1[[AwayWon]:[AwayWon]], Table1[[GameIsOver]:[GameIsOver]], 1, Table1[[HomeTeam]:[HomeTeam]], $A67, Table1[[AwayTeam]:[AwayTeam]], AF$36, Table1[[ActualResult]:[ActualResult]], "OT") + SUMIFS(Table1[[HomeWon]:[HomeWon]], Table1[[GameIsOver]:[GameIsOver]], 1, Table1[[AwayTeam]:[AwayTeam]], $A67, Table1[[HomeTeam]:[HomeTeam]], AF$36, Table1[[ActualResult]:[ActualResult]], "SO") + SUMIFS(Table1[[AwayWon]:[AwayWon]], Table1[[GameIsOver]:[GameIsOver]], 1, Table1[[HomeTeam]:[HomeTeam]], $A67, Table1[[AwayTeam]:[AwayTeam]], AF$36, Table1[[ActualResult]:[ActualResult]], "SO")))/ (2*((COUNTIFS(Table1[[GameIsOver]:[GameIsOver]],1,Table1[[AwayTeam]:[AwayTeam]],$A67, Table1[[HomeTeam]:[HomeTeam]], AF$36)))+( COUNTIFS(Table1[[GameIsOver]:[GameIsOver]],1,Table1[[AwayTeam]:[AwayTeam]],AF$36, Table1[[HomeTeam]:[HomeTeam]],$A67))), "")</f>
        <v/>
      </c>
      <c r="AG67" s="36" t="str">
        <f>IFERROR(((2 * (SUMIFS(Table1[[AwayWon]:[AwayWon]], Table1[[GameIsOver]:[GameIsOver]], 1, Table1[[AwayTeam]:[AwayTeam]], $A67, Table1[[HomeTeam]:[HomeTeam]], AG$36) + SUMIFS(Table1[[HomeWon]:[HomeWon]], Table1[[GameIsOver]:[GameIsOver]], 1, Table1[[HomeTeam]:[HomeTeam]], $A67, Table1[[AwayTeam]:[AwayTeam]], AG$36))) + (SUMIFS(Table1[[HomeWon]:[HomeWon]], Table1[[GameIsOver]:[GameIsOver]], 1, Table1[[AwayTeam]:[AwayTeam]], $A67, Table1[[HomeTeam]:[HomeTeam]],  AG$36, Table1[[ActualResult]:[ActualResult]], "OT") + SUMIFS(Table1[[AwayWon]:[AwayWon]], Table1[[GameIsOver]:[GameIsOver]], 1, Table1[[HomeTeam]:[HomeTeam]], $A67, Table1[[AwayTeam]:[AwayTeam]], AG$36, Table1[[ActualResult]:[ActualResult]], "OT") + SUMIFS(Table1[[HomeWon]:[HomeWon]], Table1[[GameIsOver]:[GameIsOver]], 1, Table1[[AwayTeam]:[AwayTeam]], $A67, Table1[[HomeTeam]:[HomeTeam]], AG$36, Table1[[ActualResult]:[ActualResult]], "SO") + SUMIFS(Table1[[AwayWon]:[AwayWon]], Table1[[GameIsOver]:[GameIsOver]], 1, Table1[[HomeTeam]:[HomeTeam]], $A67, Table1[[AwayTeam]:[AwayTeam]], AG$36, Table1[[ActualResult]:[ActualResult]], "SO")))/ (2*((COUNTIFS(Table1[[GameIsOver]:[GameIsOver]],1,Table1[[AwayTeam]:[AwayTeam]],$A67, Table1[[HomeTeam]:[HomeTeam]], AG$36)))+( COUNTIFS(Table1[[GameIsOver]:[GameIsOver]],1,Table1[[AwayTeam]:[AwayTeam]],AG$36, Table1[[HomeTeam]:[HomeTeam]],$A67))), "")</f>
        <v/>
      </c>
      <c r="AH67" s="37">
        <f t="shared" si="0"/>
        <v>0</v>
      </c>
      <c r="AI67" s="37" t="e">
        <f t="shared" si="1"/>
        <v>#DIV/0!</v>
      </c>
      <c r="AJ67" s="38" t="e">
        <f t="shared" si="2"/>
        <v>#DIV/0!</v>
      </c>
      <c r="AK67" s="38">
        <f t="shared" si="3"/>
        <v>0</v>
      </c>
      <c r="AL67" s="38" t="e">
        <f t="shared" si="4"/>
        <v>#DIV/0!</v>
      </c>
      <c r="AM67" s="38" t="e">
        <f t="shared" si="5"/>
        <v>#DIV/0!</v>
      </c>
    </row>
    <row r="68" spans="1:39" ht="15.75" thickBot="1" x14ac:dyDescent="0.3">
      <c r="A68" s="18" t="s">
        <v>24</v>
      </c>
      <c r="B68" s="39" t="str">
        <f>IFERROR(((2 * (SUMIFS(Table1[[AwayWon]:[AwayWon]], Table1[[GameIsOver]:[GameIsOver]], 1, Table1[[AwayTeam]:[AwayTeam]], $A68, Table1[[HomeTeam]:[HomeTeam]], B$36) + SUMIFS(Table1[[HomeWon]:[HomeWon]], Table1[[GameIsOver]:[GameIsOver]], 1, Table1[[HomeTeam]:[HomeTeam]], $A68, Table1[[AwayTeam]:[AwayTeam]], B$36))) + (SUMIFS(Table1[[HomeWon]:[HomeWon]], Table1[[GameIsOver]:[GameIsOver]], 1, Table1[[AwayTeam]:[AwayTeam]], $A68, Table1[[HomeTeam]:[HomeTeam]],  B$36, Table1[[ActualResult]:[ActualResult]], "OT") + SUMIFS(Table1[[AwayWon]:[AwayWon]], Table1[[GameIsOver]:[GameIsOver]], 1, Table1[[HomeTeam]:[HomeTeam]], $A68, Table1[[AwayTeam]:[AwayTeam]], B$36, Table1[[ActualResult]:[ActualResult]], "OT") + SUMIFS(Table1[[HomeWon]:[HomeWon]], Table1[[GameIsOver]:[GameIsOver]], 1, Table1[[AwayTeam]:[AwayTeam]], $A68, Table1[[HomeTeam]:[HomeTeam]], B$36, Table1[[ActualResult]:[ActualResult]], "SO") + SUMIFS(Table1[[AwayWon]:[AwayWon]], Table1[[GameIsOver]:[GameIsOver]], 1, Table1[[HomeTeam]:[HomeTeam]], $A68, Table1[[AwayTeam]:[AwayTeam]], B$36, Table1[[ActualResult]:[ActualResult]], "SO")))/ (2*((COUNTIFS(Table1[[GameIsOver]:[GameIsOver]],1,Table1[[AwayTeam]:[AwayTeam]],$A68, Table1[[HomeTeam]:[HomeTeam]], B$36)))+( COUNTIFS(Table1[[GameIsOver]:[GameIsOver]],1,Table1[[AwayTeam]:[AwayTeam]],B$36, Table1[[HomeTeam]:[HomeTeam]],$A68))), "")</f>
        <v/>
      </c>
      <c r="C68" s="40" t="str">
        <f>IFERROR(((2 * (SUMIFS(Table1[[AwayWon]:[AwayWon]], Table1[[GameIsOver]:[GameIsOver]], 1, Table1[[AwayTeam]:[AwayTeam]], $A68, Table1[[HomeTeam]:[HomeTeam]], C$36) + SUMIFS(Table1[[HomeWon]:[HomeWon]], Table1[[GameIsOver]:[GameIsOver]], 1, Table1[[HomeTeam]:[HomeTeam]], $A68, Table1[[AwayTeam]:[AwayTeam]], C$36))) + (SUMIFS(Table1[[HomeWon]:[HomeWon]], Table1[[GameIsOver]:[GameIsOver]], 1, Table1[[AwayTeam]:[AwayTeam]], $A68, Table1[[HomeTeam]:[HomeTeam]],  C$36, Table1[[ActualResult]:[ActualResult]], "OT") + SUMIFS(Table1[[AwayWon]:[AwayWon]], Table1[[GameIsOver]:[GameIsOver]], 1, Table1[[HomeTeam]:[HomeTeam]], $A68, Table1[[AwayTeam]:[AwayTeam]], C$36, Table1[[ActualResult]:[ActualResult]], "OT") + SUMIFS(Table1[[HomeWon]:[HomeWon]], Table1[[GameIsOver]:[GameIsOver]], 1, Table1[[AwayTeam]:[AwayTeam]], $A68, Table1[[HomeTeam]:[HomeTeam]], C$36, Table1[[ActualResult]:[ActualResult]], "SO") + SUMIFS(Table1[[AwayWon]:[AwayWon]], Table1[[GameIsOver]:[GameIsOver]], 1, Table1[[HomeTeam]:[HomeTeam]], $A68, Table1[[AwayTeam]:[AwayTeam]], C$36, Table1[[ActualResult]:[ActualResult]], "SO")))/ (2*((COUNTIFS(Table1[[GameIsOver]:[GameIsOver]],1,Table1[[AwayTeam]:[AwayTeam]],$A68, Table1[[HomeTeam]:[HomeTeam]], C$36)))+( COUNTIFS(Table1[[GameIsOver]:[GameIsOver]],1,Table1[[AwayTeam]:[AwayTeam]],C$36, Table1[[HomeTeam]:[HomeTeam]],$A68))), "")</f>
        <v/>
      </c>
      <c r="D68" s="40" t="str">
        <f>IFERROR(((2 * (SUMIFS(Table1[[AwayWon]:[AwayWon]], Table1[[GameIsOver]:[GameIsOver]], 1, Table1[[AwayTeam]:[AwayTeam]], $A68, Table1[[HomeTeam]:[HomeTeam]], D$36) + SUMIFS(Table1[[HomeWon]:[HomeWon]], Table1[[GameIsOver]:[GameIsOver]], 1, Table1[[HomeTeam]:[HomeTeam]], $A68, Table1[[AwayTeam]:[AwayTeam]], D$36))) + (SUMIFS(Table1[[HomeWon]:[HomeWon]], Table1[[GameIsOver]:[GameIsOver]], 1, Table1[[AwayTeam]:[AwayTeam]], $A68, Table1[[HomeTeam]:[HomeTeam]],  D$36, Table1[[ActualResult]:[ActualResult]], "OT") + SUMIFS(Table1[[AwayWon]:[AwayWon]], Table1[[GameIsOver]:[GameIsOver]], 1, Table1[[HomeTeam]:[HomeTeam]], $A68, Table1[[AwayTeam]:[AwayTeam]], D$36, Table1[[ActualResult]:[ActualResult]], "OT") + SUMIFS(Table1[[HomeWon]:[HomeWon]], Table1[[GameIsOver]:[GameIsOver]], 1, Table1[[AwayTeam]:[AwayTeam]], $A68, Table1[[HomeTeam]:[HomeTeam]], D$36, Table1[[ActualResult]:[ActualResult]], "SO") + SUMIFS(Table1[[AwayWon]:[AwayWon]], Table1[[GameIsOver]:[GameIsOver]], 1, Table1[[HomeTeam]:[HomeTeam]], $A68, Table1[[AwayTeam]:[AwayTeam]], D$36, Table1[[ActualResult]:[ActualResult]], "SO")))/ (2*((COUNTIFS(Table1[[GameIsOver]:[GameIsOver]],1,Table1[[AwayTeam]:[AwayTeam]],$A68, Table1[[HomeTeam]:[HomeTeam]], D$36)))+( COUNTIFS(Table1[[GameIsOver]:[GameIsOver]],1,Table1[[AwayTeam]:[AwayTeam]],D$36, Table1[[HomeTeam]:[HomeTeam]],$A68))), "")</f>
        <v/>
      </c>
      <c r="E68" s="40" t="str">
        <f>IFERROR(((2 * (SUMIFS(Table1[[AwayWon]:[AwayWon]], Table1[[GameIsOver]:[GameIsOver]], 1, Table1[[AwayTeam]:[AwayTeam]], $A68, Table1[[HomeTeam]:[HomeTeam]], E$36) + SUMIFS(Table1[[HomeWon]:[HomeWon]], Table1[[GameIsOver]:[GameIsOver]], 1, Table1[[HomeTeam]:[HomeTeam]], $A68, Table1[[AwayTeam]:[AwayTeam]], E$36))) + (SUMIFS(Table1[[HomeWon]:[HomeWon]], Table1[[GameIsOver]:[GameIsOver]], 1, Table1[[AwayTeam]:[AwayTeam]], $A68, Table1[[HomeTeam]:[HomeTeam]],  E$36, Table1[[ActualResult]:[ActualResult]], "OT") + SUMIFS(Table1[[AwayWon]:[AwayWon]], Table1[[GameIsOver]:[GameIsOver]], 1, Table1[[HomeTeam]:[HomeTeam]], $A68, Table1[[AwayTeam]:[AwayTeam]], E$36, Table1[[ActualResult]:[ActualResult]], "OT") + SUMIFS(Table1[[HomeWon]:[HomeWon]], Table1[[GameIsOver]:[GameIsOver]], 1, Table1[[AwayTeam]:[AwayTeam]], $A68, Table1[[HomeTeam]:[HomeTeam]], E$36, Table1[[ActualResult]:[ActualResult]], "SO") + SUMIFS(Table1[[AwayWon]:[AwayWon]], Table1[[GameIsOver]:[GameIsOver]], 1, Table1[[HomeTeam]:[HomeTeam]], $A68, Table1[[AwayTeam]:[AwayTeam]], E$36, Table1[[ActualResult]:[ActualResult]], "SO")))/ (2*((COUNTIFS(Table1[[GameIsOver]:[GameIsOver]],1,Table1[[AwayTeam]:[AwayTeam]],$A68, Table1[[HomeTeam]:[HomeTeam]], E$36)))+( COUNTIFS(Table1[[GameIsOver]:[GameIsOver]],1,Table1[[AwayTeam]:[AwayTeam]],E$36, Table1[[HomeTeam]:[HomeTeam]],$A68))), "")</f>
        <v/>
      </c>
      <c r="F68" s="40" t="str">
        <f>IFERROR(((2 * (SUMIFS(Table1[[AwayWon]:[AwayWon]], Table1[[GameIsOver]:[GameIsOver]], 1, Table1[[AwayTeam]:[AwayTeam]], $A68, Table1[[HomeTeam]:[HomeTeam]], F$36) + SUMIFS(Table1[[HomeWon]:[HomeWon]], Table1[[GameIsOver]:[GameIsOver]], 1, Table1[[HomeTeam]:[HomeTeam]], $A68, Table1[[AwayTeam]:[AwayTeam]], F$36))) + (SUMIFS(Table1[[HomeWon]:[HomeWon]], Table1[[GameIsOver]:[GameIsOver]], 1, Table1[[AwayTeam]:[AwayTeam]], $A68, Table1[[HomeTeam]:[HomeTeam]],  F$36, Table1[[ActualResult]:[ActualResult]], "OT") + SUMIFS(Table1[[AwayWon]:[AwayWon]], Table1[[GameIsOver]:[GameIsOver]], 1, Table1[[HomeTeam]:[HomeTeam]], $A68, Table1[[AwayTeam]:[AwayTeam]], F$36, Table1[[ActualResult]:[ActualResult]], "OT") + SUMIFS(Table1[[HomeWon]:[HomeWon]], Table1[[GameIsOver]:[GameIsOver]], 1, Table1[[AwayTeam]:[AwayTeam]], $A68, Table1[[HomeTeam]:[HomeTeam]], F$36, Table1[[ActualResult]:[ActualResult]], "SO") + SUMIFS(Table1[[AwayWon]:[AwayWon]], Table1[[GameIsOver]:[GameIsOver]], 1, Table1[[HomeTeam]:[HomeTeam]], $A68, Table1[[AwayTeam]:[AwayTeam]], F$36, Table1[[ActualResult]:[ActualResult]], "SO")))/ (2*((COUNTIFS(Table1[[GameIsOver]:[GameIsOver]],1,Table1[[AwayTeam]:[AwayTeam]],$A68, Table1[[HomeTeam]:[HomeTeam]], F$36)))+( COUNTIFS(Table1[[GameIsOver]:[GameIsOver]],1,Table1[[AwayTeam]:[AwayTeam]],F$36, Table1[[HomeTeam]:[HomeTeam]],$A68))), "")</f>
        <v/>
      </c>
      <c r="G68" s="40" t="str">
        <f>IFERROR(((2 * (SUMIFS(Table1[[AwayWon]:[AwayWon]], Table1[[GameIsOver]:[GameIsOver]], 1, Table1[[AwayTeam]:[AwayTeam]], $A68, Table1[[HomeTeam]:[HomeTeam]], G$36) + SUMIFS(Table1[[HomeWon]:[HomeWon]], Table1[[GameIsOver]:[GameIsOver]], 1, Table1[[HomeTeam]:[HomeTeam]], $A68, Table1[[AwayTeam]:[AwayTeam]], G$36))) + (SUMIFS(Table1[[HomeWon]:[HomeWon]], Table1[[GameIsOver]:[GameIsOver]], 1, Table1[[AwayTeam]:[AwayTeam]], $A68, Table1[[HomeTeam]:[HomeTeam]],  G$36, Table1[[ActualResult]:[ActualResult]], "OT") + SUMIFS(Table1[[AwayWon]:[AwayWon]], Table1[[GameIsOver]:[GameIsOver]], 1, Table1[[HomeTeam]:[HomeTeam]], $A68, Table1[[AwayTeam]:[AwayTeam]], G$36, Table1[[ActualResult]:[ActualResult]], "OT") + SUMIFS(Table1[[HomeWon]:[HomeWon]], Table1[[GameIsOver]:[GameIsOver]], 1, Table1[[AwayTeam]:[AwayTeam]], $A68, Table1[[HomeTeam]:[HomeTeam]], G$36, Table1[[ActualResult]:[ActualResult]], "SO") + SUMIFS(Table1[[AwayWon]:[AwayWon]], Table1[[GameIsOver]:[GameIsOver]], 1, Table1[[HomeTeam]:[HomeTeam]], $A68, Table1[[AwayTeam]:[AwayTeam]], G$36, Table1[[ActualResult]:[ActualResult]], "SO")))/ (2*((COUNTIFS(Table1[[GameIsOver]:[GameIsOver]],1,Table1[[AwayTeam]:[AwayTeam]],$A68, Table1[[HomeTeam]:[HomeTeam]], G$36)))+( COUNTIFS(Table1[[GameIsOver]:[GameIsOver]],1,Table1[[AwayTeam]:[AwayTeam]],G$36, Table1[[HomeTeam]:[HomeTeam]],$A68))), "")</f>
        <v/>
      </c>
      <c r="H68" s="40" t="str">
        <f>IFERROR(((2 * (SUMIFS(Table1[[AwayWon]:[AwayWon]], Table1[[GameIsOver]:[GameIsOver]], 1, Table1[[AwayTeam]:[AwayTeam]], $A68, Table1[[HomeTeam]:[HomeTeam]], H$36) + SUMIFS(Table1[[HomeWon]:[HomeWon]], Table1[[GameIsOver]:[GameIsOver]], 1, Table1[[HomeTeam]:[HomeTeam]], $A68, Table1[[AwayTeam]:[AwayTeam]], H$36))) + (SUMIFS(Table1[[HomeWon]:[HomeWon]], Table1[[GameIsOver]:[GameIsOver]], 1, Table1[[AwayTeam]:[AwayTeam]], $A68, Table1[[HomeTeam]:[HomeTeam]],  H$36, Table1[[ActualResult]:[ActualResult]], "OT") + SUMIFS(Table1[[AwayWon]:[AwayWon]], Table1[[GameIsOver]:[GameIsOver]], 1, Table1[[HomeTeam]:[HomeTeam]], $A68, Table1[[AwayTeam]:[AwayTeam]], H$36, Table1[[ActualResult]:[ActualResult]], "OT") + SUMIFS(Table1[[HomeWon]:[HomeWon]], Table1[[GameIsOver]:[GameIsOver]], 1, Table1[[AwayTeam]:[AwayTeam]], $A68, Table1[[HomeTeam]:[HomeTeam]], H$36, Table1[[ActualResult]:[ActualResult]], "SO") + SUMIFS(Table1[[AwayWon]:[AwayWon]], Table1[[GameIsOver]:[GameIsOver]], 1, Table1[[HomeTeam]:[HomeTeam]], $A68, Table1[[AwayTeam]:[AwayTeam]], H$36, Table1[[ActualResult]:[ActualResult]], "SO")))/ (2*((COUNTIFS(Table1[[GameIsOver]:[GameIsOver]],1,Table1[[AwayTeam]:[AwayTeam]],$A68, Table1[[HomeTeam]:[HomeTeam]], H$36)))+( COUNTIFS(Table1[[GameIsOver]:[GameIsOver]],1,Table1[[AwayTeam]:[AwayTeam]],H$36, Table1[[HomeTeam]:[HomeTeam]],$A68))), "")</f>
        <v/>
      </c>
      <c r="I68" s="42" t="str">
        <f>IFERROR(((2 * (SUMIFS(Table1[[AwayWon]:[AwayWon]], Table1[[GameIsOver]:[GameIsOver]], 1, Table1[[AwayTeam]:[AwayTeam]], $A68, Table1[[HomeTeam]:[HomeTeam]], I$36) + SUMIFS(Table1[[HomeWon]:[HomeWon]], Table1[[GameIsOver]:[GameIsOver]], 1, Table1[[HomeTeam]:[HomeTeam]], $A68, Table1[[AwayTeam]:[AwayTeam]], I$36))) + (SUMIFS(Table1[[HomeWon]:[HomeWon]], Table1[[GameIsOver]:[GameIsOver]], 1, Table1[[AwayTeam]:[AwayTeam]], $A68, Table1[[HomeTeam]:[HomeTeam]],  I$36, Table1[[ActualResult]:[ActualResult]], "OT") + SUMIFS(Table1[[AwayWon]:[AwayWon]], Table1[[GameIsOver]:[GameIsOver]], 1, Table1[[HomeTeam]:[HomeTeam]], $A68, Table1[[AwayTeam]:[AwayTeam]], I$36, Table1[[ActualResult]:[ActualResult]], "OT") + SUMIFS(Table1[[HomeWon]:[HomeWon]], Table1[[GameIsOver]:[GameIsOver]], 1, Table1[[AwayTeam]:[AwayTeam]], $A68, Table1[[HomeTeam]:[HomeTeam]], I$36, Table1[[ActualResult]:[ActualResult]], "SO") + SUMIFS(Table1[[AwayWon]:[AwayWon]], Table1[[GameIsOver]:[GameIsOver]], 1, Table1[[HomeTeam]:[HomeTeam]], $A68, Table1[[AwayTeam]:[AwayTeam]], I$36, Table1[[ActualResult]:[ActualResult]], "SO")))/ (2*((COUNTIFS(Table1[[GameIsOver]:[GameIsOver]],1,Table1[[AwayTeam]:[AwayTeam]],$A68, Table1[[HomeTeam]:[HomeTeam]], I$36)))+( COUNTIFS(Table1[[GameIsOver]:[GameIsOver]],1,Table1[[AwayTeam]:[AwayTeam]],I$36, Table1[[HomeTeam]:[HomeTeam]],$A68))), "")</f>
        <v/>
      </c>
      <c r="J68" s="40" t="str">
        <f>IFERROR(((2 * (SUMIFS(Table1[[AwayWon]:[AwayWon]], Table1[[GameIsOver]:[GameIsOver]], 1, Table1[[AwayTeam]:[AwayTeam]], $A68, Table1[[HomeTeam]:[HomeTeam]], J$36) + SUMIFS(Table1[[HomeWon]:[HomeWon]], Table1[[GameIsOver]:[GameIsOver]], 1, Table1[[HomeTeam]:[HomeTeam]], $A68, Table1[[AwayTeam]:[AwayTeam]], J$36))) + (SUMIFS(Table1[[HomeWon]:[HomeWon]], Table1[[GameIsOver]:[GameIsOver]], 1, Table1[[AwayTeam]:[AwayTeam]], $A68, Table1[[HomeTeam]:[HomeTeam]],  J$36, Table1[[ActualResult]:[ActualResult]], "OT") + SUMIFS(Table1[[AwayWon]:[AwayWon]], Table1[[GameIsOver]:[GameIsOver]], 1, Table1[[HomeTeam]:[HomeTeam]], $A68, Table1[[AwayTeam]:[AwayTeam]], J$36, Table1[[ActualResult]:[ActualResult]], "OT") + SUMIFS(Table1[[HomeWon]:[HomeWon]], Table1[[GameIsOver]:[GameIsOver]], 1, Table1[[AwayTeam]:[AwayTeam]], $A68, Table1[[HomeTeam]:[HomeTeam]], J$36, Table1[[ActualResult]:[ActualResult]], "SO") + SUMIFS(Table1[[AwayWon]:[AwayWon]], Table1[[GameIsOver]:[GameIsOver]], 1, Table1[[HomeTeam]:[HomeTeam]], $A68, Table1[[AwayTeam]:[AwayTeam]], J$36, Table1[[ActualResult]:[ActualResult]], "SO")))/ (2*((COUNTIFS(Table1[[GameIsOver]:[GameIsOver]],1,Table1[[AwayTeam]:[AwayTeam]],$A68, Table1[[HomeTeam]:[HomeTeam]], J$36)))+( COUNTIFS(Table1[[GameIsOver]:[GameIsOver]],1,Table1[[AwayTeam]:[AwayTeam]],J$36, Table1[[HomeTeam]:[HomeTeam]],$A68))), "")</f>
        <v/>
      </c>
      <c r="K68" s="40" t="str">
        <f>IFERROR(((2 * (SUMIFS(Table1[[AwayWon]:[AwayWon]], Table1[[GameIsOver]:[GameIsOver]], 1, Table1[[AwayTeam]:[AwayTeam]], $A68, Table1[[HomeTeam]:[HomeTeam]], K$36) + SUMIFS(Table1[[HomeWon]:[HomeWon]], Table1[[GameIsOver]:[GameIsOver]], 1, Table1[[HomeTeam]:[HomeTeam]], $A68, Table1[[AwayTeam]:[AwayTeam]], K$36))) + (SUMIFS(Table1[[HomeWon]:[HomeWon]], Table1[[GameIsOver]:[GameIsOver]], 1, Table1[[AwayTeam]:[AwayTeam]], $A68, Table1[[HomeTeam]:[HomeTeam]],  K$36, Table1[[ActualResult]:[ActualResult]], "OT") + SUMIFS(Table1[[AwayWon]:[AwayWon]], Table1[[GameIsOver]:[GameIsOver]], 1, Table1[[HomeTeam]:[HomeTeam]], $A68, Table1[[AwayTeam]:[AwayTeam]], K$36, Table1[[ActualResult]:[ActualResult]], "OT") + SUMIFS(Table1[[HomeWon]:[HomeWon]], Table1[[GameIsOver]:[GameIsOver]], 1, Table1[[AwayTeam]:[AwayTeam]], $A68, Table1[[HomeTeam]:[HomeTeam]], K$36, Table1[[ActualResult]:[ActualResult]], "SO") + SUMIFS(Table1[[AwayWon]:[AwayWon]], Table1[[GameIsOver]:[GameIsOver]], 1, Table1[[HomeTeam]:[HomeTeam]], $A68, Table1[[AwayTeam]:[AwayTeam]], K$36, Table1[[ActualResult]:[ActualResult]], "SO")))/ (2*((COUNTIFS(Table1[[GameIsOver]:[GameIsOver]],1,Table1[[AwayTeam]:[AwayTeam]],$A68, Table1[[HomeTeam]:[HomeTeam]], K$36)))+( COUNTIFS(Table1[[GameIsOver]:[GameIsOver]],1,Table1[[AwayTeam]:[AwayTeam]],K$36, Table1[[HomeTeam]:[HomeTeam]],$A68))), "")</f>
        <v/>
      </c>
      <c r="L68" s="40" t="str">
        <f>IFERROR(((2 * (SUMIFS(Table1[[AwayWon]:[AwayWon]], Table1[[GameIsOver]:[GameIsOver]], 1, Table1[[AwayTeam]:[AwayTeam]], $A68, Table1[[HomeTeam]:[HomeTeam]], L$36) + SUMIFS(Table1[[HomeWon]:[HomeWon]], Table1[[GameIsOver]:[GameIsOver]], 1, Table1[[HomeTeam]:[HomeTeam]], $A68, Table1[[AwayTeam]:[AwayTeam]], L$36))) + (SUMIFS(Table1[[HomeWon]:[HomeWon]], Table1[[GameIsOver]:[GameIsOver]], 1, Table1[[AwayTeam]:[AwayTeam]], $A68, Table1[[HomeTeam]:[HomeTeam]],  L$36, Table1[[ActualResult]:[ActualResult]], "OT") + SUMIFS(Table1[[AwayWon]:[AwayWon]], Table1[[GameIsOver]:[GameIsOver]], 1, Table1[[HomeTeam]:[HomeTeam]], $A68, Table1[[AwayTeam]:[AwayTeam]], L$36, Table1[[ActualResult]:[ActualResult]], "OT") + SUMIFS(Table1[[HomeWon]:[HomeWon]], Table1[[GameIsOver]:[GameIsOver]], 1, Table1[[AwayTeam]:[AwayTeam]], $A68, Table1[[HomeTeam]:[HomeTeam]], L$36, Table1[[ActualResult]:[ActualResult]], "SO") + SUMIFS(Table1[[AwayWon]:[AwayWon]], Table1[[GameIsOver]:[GameIsOver]], 1, Table1[[HomeTeam]:[HomeTeam]], $A68, Table1[[AwayTeam]:[AwayTeam]], L$36, Table1[[ActualResult]:[ActualResult]], "SO")))/ (2*((COUNTIFS(Table1[[GameIsOver]:[GameIsOver]],1,Table1[[AwayTeam]:[AwayTeam]],$A68, Table1[[HomeTeam]:[HomeTeam]], L$36)))+( COUNTIFS(Table1[[GameIsOver]:[GameIsOver]],1,Table1[[AwayTeam]:[AwayTeam]],L$36, Table1[[HomeTeam]:[HomeTeam]],$A68))), "")</f>
        <v/>
      </c>
      <c r="M68" s="40" t="str">
        <f>IFERROR(((2 * (SUMIFS(Table1[[AwayWon]:[AwayWon]], Table1[[GameIsOver]:[GameIsOver]], 1, Table1[[AwayTeam]:[AwayTeam]], $A68, Table1[[HomeTeam]:[HomeTeam]], M$36) + SUMIFS(Table1[[HomeWon]:[HomeWon]], Table1[[GameIsOver]:[GameIsOver]], 1, Table1[[HomeTeam]:[HomeTeam]], $A68, Table1[[AwayTeam]:[AwayTeam]], M$36))) + (SUMIFS(Table1[[HomeWon]:[HomeWon]], Table1[[GameIsOver]:[GameIsOver]], 1, Table1[[AwayTeam]:[AwayTeam]], $A68, Table1[[HomeTeam]:[HomeTeam]],  M$36, Table1[[ActualResult]:[ActualResult]], "OT") + SUMIFS(Table1[[AwayWon]:[AwayWon]], Table1[[GameIsOver]:[GameIsOver]], 1, Table1[[HomeTeam]:[HomeTeam]], $A68, Table1[[AwayTeam]:[AwayTeam]], M$36, Table1[[ActualResult]:[ActualResult]], "OT") + SUMIFS(Table1[[HomeWon]:[HomeWon]], Table1[[GameIsOver]:[GameIsOver]], 1, Table1[[AwayTeam]:[AwayTeam]], $A68, Table1[[HomeTeam]:[HomeTeam]], M$36, Table1[[ActualResult]:[ActualResult]], "SO") + SUMIFS(Table1[[AwayWon]:[AwayWon]], Table1[[GameIsOver]:[GameIsOver]], 1, Table1[[HomeTeam]:[HomeTeam]], $A68, Table1[[AwayTeam]:[AwayTeam]], M$36, Table1[[ActualResult]:[ActualResult]], "SO")))/ (2*((COUNTIFS(Table1[[GameIsOver]:[GameIsOver]],1,Table1[[AwayTeam]:[AwayTeam]],$A68, Table1[[HomeTeam]:[HomeTeam]], M$36)))+( COUNTIFS(Table1[[GameIsOver]:[GameIsOver]],1,Table1[[AwayTeam]:[AwayTeam]],M$36, Table1[[HomeTeam]:[HomeTeam]],$A68))), "")</f>
        <v/>
      </c>
      <c r="N68" s="40" t="str">
        <f>IFERROR(((2 * (SUMIFS(Table1[[AwayWon]:[AwayWon]], Table1[[GameIsOver]:[GameIsOver]], 1, Table1[[AwayTeam]:[AwayTeam]], $A68, Table1[[HomeTeam]:[HomeTeam]], N$36) + SUMIFS(Table1[[HomeWon]:[HomeWon]], Table1[[GameIsOver]:[GameIsOver]], 1, Table1[[HomeTeam]:[HomeTeam]], $A68, Table1[[AwayTeam]:[AwayTeam]], N$36))) + (SUMIFS(Table1[[HomeWon]:[HomeWon]], Table1[[GameIsOver]:[GameIsOver]], 1, Table1[[AwayTeam]:[AwayTeam]], $A68, Table1[[HomeTeam]:[HomeTeam]],  N$36, Table1[[ActualResult]:[ActualResult]], "OT") + SUMIFS(Table1[[AwayWon]:[AwayWon]], Table1[[GameIsOver]:[GameIsOver]], 1, Table1[[HomeTeam]:[HomeTeam]], $A68, Table1[[AwayTeam]:[AwayTeam]], N$36, Table1[[ActualResult]:[ActualResult]], "OT") + SUMIFS(Table1[[HomeWon]:[HomeWon]], Table1[[GameIsOver]:[GameIsOver]], 1, Table1[[AwayTeam]:[AwayTeam]], $A68, Table1[[HomeTeam]:[HomeTeam]], N$36, Table1[[ActualResult]:[ActualResult]], "SO") + SUMIFS(Table1[[AwayWon]:[AwayWon]], Table1[[GameIsOver]:[GameIsOver]], 1, Table1[[HomeTeam]:[HomeTeam]], $A68, Table1[[AwayTeam]:[AwayTeam]], N$36, Table1[[ActualResult]:[ActualResult]], "SO")))/ (2*((COUNTIFS(Table1[[GameIsOver]:[GameIsOver]],1,Table1[[AwayTeam]:[AwayTeam]],$A68, Table1[[HomeTeam]:[HomeTeam]], N$36)))+( COUNTIFS(Table1[[GameIsOver]:[GameIsOver]],1,Table1[[AwayTeam]:[AwayTeam]],N$36, Table1[[HomeTeam]:[HomeTeam]],$A68))), "")</f>
        <v/>
      </c>
      <c r="O68" s="40" t="str">
        <f>IFERROR(((2 * (SUMIFS(Table1[[AwayWon]:[AwayWon]], Table1[[GameIsOver]:[GameIsOver]], 1, Table1[[AwayTeam]:[AwayTeam]], $A68, Table1[[HomeTeam]:[HomeTeam]], O$36) + SUMIFS(Table1[[HomeWon]:[HomeWon]], Table1[[GameIsOver]:[GameIsOver]], 1, Table1[[HomeTeam]:[HomeTeam]], $A68, Table1[[AwayTeam]:[AwayTeam]], O$36))) + (SUMIFS(Table1[[HomeWon]:[HomeWon]], Table1[[GameIsOver]:[GameIsOver]], 1, Table1[[AwayTeam]:[AwayTeam]], $A68, Table1[[HomeTeam]:[HomeTeam]],  O$36, Table1[[ActualResult]:[ActualResult]], "OT") + SUMIFS(Table1[[AwayWon]:[AwayWon]], Table1[[GameIsOver]:[GameIsOver]], 1, Table1[[HomeTeam]:[HomeTeam]], $A68, Table1[[AwayTeam]:[AwayTeam]], O$36, Table1[[ActualResult]:[ActualResult]], "OT") + SUMIFS(Table1[[HomeWon]:[HomeWon]], Table1[[GameIsOver]:[GameIsOver]], 1, Table1[[AwayTeam]:[AwayTeam]], $A68, Table1[[HomeTeam]:[HomeTeam]], O$36, Table1[[ActualResult]:[ActualResult]], "SO") + SUMIFS(Table1[[AwayWon]:[AwayWon]], Table1[[GameIsOver]:[GameIsOver]], 1, Table1[[HomeTeam]:[HomeTeam]], $A68, Table1[[AwayTeam]:[AwayTeam]], O$36, Table1[[ActualResult]:[ActualResult]], "SO")))/ (2*((COUNTIFS(Table1[[GameIsOver]:[GameIsOver]],1,Table1[[AwayTeam]:[AwayTeam]],$A68, Table1[[HomeTeam]:[HomeTeam]], O$36)))+( COUNTIFS(Table1[[GameIsOver]:[GameIsOver]],1,Table1[[AwayTeam]:[AwayTeam]],O$36, Table1[[HomeTeam]:[HomeTeam]],$A68))), "")</f>
        <v/>
      </c>
      <c r="P68" s="40" t="str">
        <f>IFERROR(((2 * (SUMIFS(Table1[[AwayWon]:[AwayWon]], Table1[[GameIsOver]:[GameIsOver]], 1, Table1[[AwayTeam]:[AwayTeam]], $A68, Table1[[HomeTeam]:[HomeTeam]], P$36) + SUMIFS(Table1[[HomeWon]:[HomeWon]], Table1[[GameIsOver]:[GameIsOver]], 1, Table1[[HomeTeam]:[HomeTeam]], $A68, Table1[[AwayTeam]:[AwayTeam]], P$36))) + (SUMIFS(Table1[[HomeWon]:[HomeWon]], Table1[[GameIsOver]:[GameIsOver]], 1, Table1[[AwayTeam]:[AwayTeam]], $A68, Table1[[HomeTeam]:[HomeTeam]],  P$36, Table1[[ActualResult]:[ActualResult]], "OT") + SUMIFS(Table1[[AwayWon]:[AwayWon]], Table1[[GameIsOver]:[GameIsOver]], 1, Table1[[HomeTeam]:[HomeTeam]], $A68, Table1[[AwayTeam]:[AwayTeam]], P$36, Table1[[ActualResult]:[ActualResult]], "OT") + SUMIFS(Table1[[HomeWon]:[HomeWon]], Table1[[GameIsOver]:[GameIsOver]], 1, Table1[[AwayTeam]:[AwayTeam]], $A68, Table1[[HomeTeam]:[HomeTeam]], P$36, Table1[[ActualResult]:[ActualResult]], "SO") + SUMIFS(Table1[[AwayWon]:[AwayWon]], Table1[[GameIsOver]:[GameIsOver]], 1, Table1[[HomeTeam]:[HomeTeam]], $A68, Table1[[AwayTeam]:[AwayTeam]], P$36, Table1[[ActualResult]:[ActualResult]], "SO")))/ (2*((COUNTIFS(Table1[[GameIsOver]:[GameIsOver]],1,Table1[[AwayTeam]:[AwayTeam]],$A68, Table1[[HomeTeam]:[HomeTeam]], P$36)))+( COUNTIFS(Table1[[GameIsOver]:[GameIsOver]],1,Table1[[AwayTeam]:[AwayTeam]],P$36, Table1[[HomeTeam]:[HomeTeam]],$A68))), "")</f>
        <v/>
      </c>
      <c r="Q68" s="42" t="str">
        <f>IFERROR(((2 * (SUMIFS(Table1[[AwayWon]:[AwayWon]], Table1[[GameIsOver]:[GameIsOver]], 1, Table1[[AwayTeam]:[AwayTeam]], $A68, Table1[[HomeTeam]:[HomeTeam]], Q$36) + SUMIFS(Table1[[HomeWon]:[HomeWon]], Table1[[GameIsOver]:[GameIsOver]], 1, Table1[[HomeTeam]:[HomeTeam]], $A68, Table1[[AwayTeam]:[AwayTeam]], Q$36))) + (SUMIFS(Table1[[HomeWon]:[HomeWon]], Table1[[GameIsOver]:[GameIsOver]], 1, Table1[[AwayTeam]:[AwayTeam]], $A68, Table1[[HomeTeam]:[HomeTeam]],  Q$36, Table1[[ActualResult]:[ActualResult]], "OT") + SUMIFS(Table1[[AwayWon]:[AwayWon]], Table1[[GameIsOver]:[GameIsOver]], 1, Table1[[HomeTeam]:[HomeTeam]], $A68, Table1[[AwayTeam]:[AwayTeam]], Q$36, Table1[[ActualResult]:[ActualResult]], "OT") + SUMIFS(Table1[[HomeWon]:[HomeWon]], Table1[[GameIsOver]:[GameIsOver]], 1, Table1[[AwayTeam]:[AwayTeam]], $A68, Table1[[HomeTeam]:[HomeTeam]], Q$36, Table1[[ActualResult]:[ActualResult]], "SO") + SUMIFS(Table1[[AwayWon]:[AwayWon]], Table1[[GameIsOver]:[GameIsOver]], 1, Table1[[HomeTeam]:[HomeTeam]], $A68, Table1[[AwayTeam]:[AwayTeam]], Q$36, Table1[[ActualResult]:[ActualResult]], "SO")))/ (2*((COUNTIFS(Table1[[GameIsOver]:[GameIsOver]],1,Table1[[AwayTeam]:[AwayTeam]],$A68, Table1[[HomeTeam]:[HomeTeam]], Q$36)))+( COUNTIFS(Table1[[GameIsOver]:[GameIsOver]],1,Table1[[AwayTeam]:[AwayTeam]],Q$36, Table1[[HomeTeam]:[HomeTeam]],$A68))), "")</f>
        <v/>
      </c>
      <c r="R68" s="40" t="str">
        <f>IFERROR(((2 * (SUMIFS(Table1[[AwayWon]:[AwayWon]], Table1[[GameIsOver]:[GameIsOver]], 1, Table1[[AwayTeam]:[AwayTeam]], $A68, Table1[[HomeTeam]:[HomeTeam]], R$36) + SUMIFS(Table1[[HomeWon]:[HomeWon]], Table1[[GameIsOver]:[GameIsOver]], 1, Table1[[HomeTeam]:[HomeTeam]], $A68, Table1[[AwayTeam]:[AwayTeam]], R$36))) + (SUMIFS(Table1[[HomeWon]:[HomeWon]], Table1[[GameIsOver]:[GameIsOver]], 1, Table1[[AwayTeam]:[AwayTeam]], $A68, Table1[[HomeTeam]:[HomeTeam]],  R$36, Table1[[ActualResult]:[ActualResult]], "OT") + SUMIFS(Table1[[AwayWon]:[AwayWon]], Table1[[GameIsOver]:[GameIsOver]], 1, Table1[[HomeTeam]:[HomeTeam]], $A68, Table1[[AwayTeam]:[AwayTeam]], R$36, Table1[[ActualResult]:[ActualResult]], "OT") + SUMIFS(Table1[[HomeWon]:[HomeWon]], Table1[[GameIsOver]:[GameIsOver]], 1, Table1[[AwayTeam]:[AwayTeam]], $A68, Table1[[HomeTeam]:[HomeTeam]], R$36, Table1[[ActualResult]:[ActualResult]], "SO") + SUMIFS(Table1[[AwayWon]:[AwayWon]], Table1[[GameIsOver]:[GameIsOver]], 1, Table1[[HomeTeam]:[HomeTeam]], $A68, Table1[[AwayTeam]:[AwayTeam]], R$36, Table1[[ActualResult]:[ActualResult]], "SO")))/ (2*((COUNTIFS(Table1[[GameIsOver]:[GameIsOver]],1,Table1[[AwayTeam]:[AwayTeam]],$A68, Table1[[HomeTeam]:[HomeTeam]], R$36)))+( COUNTIFS(Table1[[GameIsOver]:[GameIsOver]],1,Table1[[AwayTeam]:[AwayTeam]],R$36, Table1[[HomeTeam]:[HomeTeam]],$A68))), "")</f>
        <v/>
      </c>
      <c r="S68" s="40" t="str">
        <f>IFERROR(((2 * (SUMIFS(Table1[[AwayWon]:[AwayWon]], Table1[[GameIsOver]:[GameIsOver]], 1, Table1[[AwayTeam]:[AwayTeam]], $A68, Table1[[HomeTeam]:[HomeTeam]], S$36) + SUMIFS(Table1[[HomeWon]:[HomeWon]], Table1[[GameIsOver]:[GameIsOver]], 1, Table1[[HomeTeam]:[HomeTeam]], $A68, Table1[[AwayTeam]:[AwayTeam]], S$36))) + (SUMIFS(Table1[[HomeWon]:[HomeWon]], Table1[[GameIsOver]:[GameIsOver]], 1, Table1[[AwayTeam]:[AwayTeam]], $A68, Table1[[HomeTeam]:[HomeTeam]],  S$36, Table1[[ActualResult]:[ActualResult]], "OT") + SUMIFS(Table1[[AwayWon]:[AwayWon]], Table1[[GameIsOver]:[GameIsOver]], 1, Table1[[HomeTeam]:[HomeTeam]], $A68, Table1[[AwayTeam]:[AwayTeam]], S$36, Table1[[ActualResult]:[ActualResult]], "OT") + SUMIFS(Table1[[HomeWon]:[HomeWon]], Table1[[GameIsOver]:[GameIsOver]], 1, Table1[[AwayTeam]:[AwayTeam]], $A68, Table1[[HomeTeam]:[HomeTeam]], S$36, Table1[[ActualResult]:[ActualResult]], "SO") + SUMIFS(Table1[[AwayWon]:[AwayWon]], Table1[[GameIsOver]:[GameIsOver]], 1, Table1[[HomeTeam]:[HomeTeam]], $A68, Table1[[AwayTeam]:[AwayTeam]], S$36, Table1[[ActualResult]:[ActualResult]], "SO")))/ (2*((COUNTIFS(Table1[[GameIsOver]:[GameIsOver]],1,Table1[[AwayTeam]:[AwayTeam]],$A68, Table1[[HomeTeam]:[HomeTeam]], S$36)))+( COUNTIFS(Table1[[GameIsOver]:[GameIsOver]],1,Table1[[AwayTeam]:[AwayTeam]],S$36, Table1[[HomeTeam]:[HomeTeam]],$A68))), "")</f>
        <v/>
      </c>
      <c r="T68" s="40" t="str">
        <f>IFERROR(((2 * (SUMIFS(Table1[[AwayWon]:[AwayWon]], Table1[[GameIsOver]:[GameIsOver]], 1, Table1[[AwayTeam]:[AwayTeam]], $A68, Table1[[HomeTeam]:[HomeTeam]], T$36) + SUMIFS(Table1[[HomeWon]:[HomeWon]], Table1[[GameIsOver]:[GameIsOver]], 1, Table1[[HomeTeam]:[HomeTeam]], $A68, Table1[[AwayTeam]:[AwayTeam]], T$36))) + (SUMIFS(Table1[[HomeWon]:[HomeWon]], Table1[[GameIsOver]:[GameIsOver]], 1, Table1[[AwayTeam]:[AwayTeam]], $A68, Table1[[HomeTeam]:[HomeTeam]],  T$36, Table1[[ActualResult]:[ActualResult]], "OT") + SUMIFS(Table1[[AwayWon]:[AwayWon]], Table1[[GameIsOver]:[GameIsOver]], 1, Table1[[HomeTeam]:[HomeTeam]], $A68, Table1[[AwayTeam]:[AwayTeam]], T$36, Table1[[ActualResult]:[ActualResult]], "OT") + SUMIFS(Table1[[HomeWon]:[HomeWon]], Table1[[GameIsOver]:[GameIsOver]], 1, Table1[[AwayTeam]:[AwayTeam]], $A68, Table1[[HomeTeam]:[HomeTeam]], T$36, Table1[[ActualResult]:[ActualResult]], "SO") + SUMIFS(Table1[[AwayWon]:[AwayWon]], Table1[[GameIsOver]:[GameIsOver]], 1, Table1[[HomeTeam]:[HomeTeam]], $A68, Table1[[AwayTeam]:[AwayTeam]], T$36, Table1[[ActualResult]:[ActualResult]], "SO")))/ (2*((COUNTIFS(Table1[[GameIsOver]:[GameIsOver]],1,Table1[[AwayTeam]:[AwayTeam]],$A68, Table1[[HomeTeam]:[HomeTeam]], T$36)))+( COUNTIFS(Table1[[GameIsOver]:[GameIsOver]],1,Table1[[AwayTeam]:[AwayTeam]],T$36, Table1[[HomeTeam]:[HomeTeam]],$A68))), "")</f>
        <v/>
      </c>
      <c r="U68" s="40">
        <f>IFERROR(((2 * (SUMIFS(Table1[[AwayWon]:[AwayWon]], Table1[[GameIsOver]:[GameIsOver]], 1, Table1[[AwayTeam]:[AwayTeam]], $A68, Table1[[HomeTeam]:[HomeTeam]], U$36) + SUMIFS(Table1[[HomeWon]:[HomeWon]], Table1[[GameIsOver]:[GameIsOver]], 1, Table1[[HomeTeam]:[HomeTeam]], $A68, Table1[[AwayTeam]:[AwayTeam]], U$36))) + (SUMIFS(Table1[[HomeWon]:[HomeWon]], Table1[[GameIsOver]:[GameIsOver]], 1, Table1[[AwayTeam]:[AwayTeam]], $A68, Table1[[HomeTeam]:[HomeTeam]],  U$36, Table1[[ActualResult]:[ActualResult]], "OT") + SUMIFS(Table1[[AwayWon]:[AwayWon]], Table1[[GameIsOver]:[GameIsOver]], 1, Table1[[HomeTeam]:[HomeTeam]], $A68, Table1[[AwayTeam]:[AwayTeam]], U$36, Table1[[ActualResult]:[ActualResult]], "OT") + SUMIFS(Table1[[HomeWon]:[HomeWon]], Table1[[GameIsOver]:[GameIsOver]], 1, Table1[[AwayTeam]:[AwayTeam]], $A68, Table1[[HomeTeam]:[HomeTeam]], U$36, Table1[[ActualResult]:[ActualResult]], "SO") + SUMIFS(Table1[[AwayWon]:[AwayWon]], Table1[[GameIsOver]:[GameIsOver]], 1, Table1[[HomeTeam]:[HomeTeam]], $A68, Table1[[AwayTeam]:[AwayTeam]], U$36, Table1[[ActualResult]:[ActualResult]], "SO")))/ (2*((COUNTIFS(Table1[[GameIsOver]:[GameIsOver]],1,Table1[[AwayTeam]:[AwayTeam]],$A68, Table1[[HomeTeam]:[HomeTeam]], U$36)))+( COUNTIFS(Table1[[GameIsOver]:[GameIsOver]],1,Table1[[AwayTeam]:[AwayTeam]],U$36, Table1[[HomeTeam]:[HomeTeam]],$A68))), "")</f>
        <v>0</v>
      </c>
      <c r="V68" s="40" t="str">
        <f>IFERROR(((2 * (SUMIFS(Table1[[AwayWon]:[AwayWon]], Table1[[GameIsOver]:[GameIsOver]], 1, Table1[[AwayTeam]:[AwayTeam]], $A68, Table1[[HomeTeam]:[HomeTeam]], V$36) + SUMIFS(Table1[[HomeWon]:[HomeWon]], Table1[[GameIsOver]:[GameIsOver]], 1, Table1[[HomeTeam]:[HomeTeam]], $A68, Table1[[AwayTeam]:[AwayTeam]], V$36))) + (SUMIFS(Table1[[HomeWon]:[HomeWon]], Table1[[GameIsOver]:[GameIsOver]], 1, Table1[[AwayTeam]:[AwayTeam]], $A68, Table1[[HomeTeam]:[HomeTeam]],  V$36, Table1[[ActualResult]:[ActualResult]], "OT") + SUMIFS(Table1[[AwayWon]:[AwayWon]], Table1[[GameIsOver]:[GameIsOver]], 1, Table1[[HomeTeam]:[HomeTeam]], $A68, Table1[[AwayTeam]:[AwayTeam]], V$36, Table1[[ActualResult]:[ActualResult]], "OT") + SUMIFS(Table1[[HomeWon]:[HomeWon]], Table1[[GameIsOver]:[GameIsOver]], 1, Table1[[AwayTeam]:[AwayTeam]], $A68, Table1[[HomeTeam]:[HomeTeam]], V$36, Table1[[ActualResult]:[ActualResult]], "SO") + SUMIFS(Table1[[AwayWon]:[AwayWon]], Table1[[GameIsOver]:[GameIsOver]], 1, Table1[[HomeTeam]:[HomeTeam]], $A68, Table1[[AwayTeam]:[AwayTeam]], V$36, Table1[[ActualResult]:[ActualResult]], "SO")))/ (2*((COUNTIFS(Table1[[GameIsOver]:[GameIsOver]],1,Table1[[AwayTeam]:[AwayTeam]],$A68, Table1[[HomeTeam]:[HomeTeam]], V$36)))+( COUNTIFS(Table1[[GameIsOver]:[GameIsOver]],1,Table1[[AwayTeam]:[AwayTeam]],V$36, Table1[[HomeTeam]:[HomeTeam]],$A68))), "")</f>
        <v/>
      </c>
      <c r="W68" s="40" t="str">
        <f>IFERROR(((2 * (SUMIFS(Table1[[AwayWon]:[AwayWon]], Table1[[GameIsOver]:[GameIsOver]], 1, Table1[[AwayTeam]:[AwayTeam]], $A68, Table1[[HomeTeam]:[HomeTeam]], W$36) + SUMIFS(Table1[[HomeWon]:[HomeWon]], Table1[[GameIsOver]:[GameIsOver]], 1, Table1[[HomeTeam]:[HomeTeam]], $A68, Table1[[AwayTeam]:[AwayTeam]], W$36))) + (SUMIFS(Table1[[HomeWon]:[HomeWon]], Table1[[GameIsOver]:[GameIsOver]], 1, Table1[[AwayTeam]:[AwayTeam]], $A68, Table1[[HomeTeam]:[HomeTeam]],  W$36, Table1[[ActualResult]:[ActualResult]], "OT") + SUMIFS(Table1[[AwayWon]:[AwayWon]], Table1[[GameIsOver]:[GameIsOver]], 1, Table1[[HomeTeam]:[HomeTeam]], $A68, Table1[[AwayTeam]:[AwayTeam]], W$36, Table1[[ActualResult]:[ActualResult]], "OT") + SUMIFS(Table1[[HomeWon]:[HomeWon]], Table1[[GameIsOver]:[GameIsOver]], 1, Table1[[AwayTeam]:[AwayTeam]], $A68, Table1[[HomeTeam]:[HomeTeam]], W$36, Table1[[ActualResult]:[ActualResult]], "SO") + SUMIFS(Table1[[AwayWon]:[AwayWon]], Table1[[GameIsOver]:[GameIsOver]], 1, Table1[[HomeTeam]:[HomeTeam]], $A68, Table1[[AwayTeam]:[AwayTeam]], W$36, Table1[[ActualResult]:[ActualResult]], "SO")))/ (2*((COUNTIFS(Table1[[GameIsOver]:[GameIsOver]],1,Table1[[AwayTeam]:[AwayTeam]],$A68, Table1[[HomeTeam]:[HomeTeam]], W$36)))+( COUNTIFS(Table1[[GameIsOver]:[GameIsOver]],1,Table1[[AwayTeam]:[AwayTeam]],W$36, Table1[[HomeTeam]:[HomeTeam]],$A68))), "")</f>
        <v/>
      </c>
      <c r="X68" s="40" t="str">
        <f>IFERROR(((2 * (SUMIFS(Table1[[AwayWon]:[AwayWon]], Table1[[GameIsOver]:[GameIsOver]], 1, Table1[[AwayTeam]:[AwayTeam]], $A68, Table1[[HomeTeam]:[HomeTeam]], X$36) + SUMIFS(Table1[[HomeWon]:[HomeWon]], Table1[[GameIsOver]:[GameIsOver]], 1, Table1[[HomeTeam]:[HomeTeam]], $A68, Table1[[AwayTeam]:[AwayTeam]], X$36))) + (SUMIFS(Table1[[HomeWon]:[HomeWon]], Table1[[GameIsOver]:[GameIsOver]], 1, Table1[[AwayTeam]:[AwayTeam]], $A68, Table1[[HomeTeam]:[HomeTeam]],  X$36, Table1[[ActualResult]:[ActualResult]], "OT") + SUMIFS(Table1[[AwayWon]:[AwayWon]], Table1[[GameIsOver]:[GameIsOver]], 1, Table1[[HomeTeam]:[HomeTeam]], $A68, Table1[[AwayTeam]:[AwayTeam]], X$36, Table1[[ActualResult]:[ActualResult]], "OT") + SUMIFS(Table1[[HomeWon]:[HomeWon]], Table1[[GameIsOver]:[GameIsOver]], 1, Table1[[AwayTeam]:[AwayTeam]], $A68, Table1[[HomeTeam]:[HomeTeam]], X$36, Table1[[ActualResult]:[ActualResult]], "SO") + SUMIFS(Table1[[AwayWon]:[AwayWon]], Table1[[GameIsOver]:[GameIsOver]], 1, Table1[[HomeTeam]:[HomeTeam]], $A68, Table1[[AwayTeam]:[AwayTeam]], X$36, Table1[[ActualResult]:[ActualResult]], "SO")))/ (2*((COUNTIFS(Table1[[GameIsOver]:[GameIsOver]],1,Table1[[AwayTeam]:[AwayTeam]],$A68, Table1[[HomeTeam]:[HomeTeam]], X$36)))+( COUNTIFS(Table1[[GameIsOver]:[GameIsOver]],1,Table1[[AwayTeam]:[AwayTeam]],X$36, Table1[[HomeTeam]:[HomeTeam]],$A68))), "")</f>
        <v/>
      </c>
      <c r="Y68" s="42" t="str">
        <f>IFERROR(((2 * (SUMIFS(Table1[[AwayWon]:[AwayWon]], Table1[[GameIsOver]:[GameIsOver]], 1, Table1[[AwayTeam]:[AwayTeam]], $A68, Table1[[HomeTeam]:[HomeTeam]], Y$36) + SUMIFS(Table1[[HomeWon]:[HomeWon]], Table1[[GameIsOver]:[GameIsOver]], 1, Table1[[HomeTeam]:[HomeTeam]], $A68, Table1[[AwayTeam]:[AwayTeam]], Y$36))) + (SUMIFS(Table1[[HomeWon]:[HomeWon]], Table1[[GameIsOver]:[GameIsOver]], 1, Table1[[AwayTeam]:[AwayTeam]], $A68, Table1[[HomeTeam]:[HomeTeam]],  Y$36, Table1[[ActualResult]:[ActualResult]], "OT") + SUMIFS(Table1[[AwayWon]:[AwayWon]], Table1[[GameIsOver]:[GameIsOver]], 1, Table1[[HomeTeam]:[HomeTeam]], $A68, Table1[[AwayTeam]:[AwayTeam]], Y$36, Table1[[ActualResult]:[ActualResult]], "OT") + SUMIFS(Table1[[HomeWon]:[HomeWon]], Table1[[GameIsOver]:[GameIsOver]], 1, Table1[[AwayTeam]:[AwayTeam]], $A68, Table1[[HomeTeam]:[HomeTeam]], Y$36, Table1[[ActualResult]:[ActualResult]], "SO") + SUMIFS(Table1[[AwayWon]:[AwayWon]], Table1[[GameIsOver]:[GameIsOver]], 1, Table1[[HomeTeam]:[HomeTeam]], $A68, Table1[[AwayTeam]:[AwayTeam]], Y$36, Table1[[ActualResult]:[ActualResult]], "SO")))/ (2*((COUNTIFS(Table1[[GameIsOver]:[GameIsOver]],1,Table1[[AwayTeam]:[AwayTeam]],$A68, Table1[[HomeTeam]:[HomeTeam]], Y$36)))+( COUNTIFS(Table1[[GameIsOver]:[GameIsOver]],1,Table1[[AwayTeam]:[AwayTeam]],Y$36, Table1[[HomeTeam]:[HomeTeam]],$A68))), "")</f>
        <v/>
      </c>
      <c r="Z68" s="40" t="str">
        <f>IFERROR(((2 * (SUMIFS(Table1[[AwayWon]:[AwayWon]], Table1[[GameIsOver]:[GameIsOver]], 1, Table1[[AwayTeam]:[AwayTeam]], $A68, Table1[[HomeTeam]:[HomeTeam]], Z$36) + SUMIFS(Table1[[HomeWon]:[HomeWon]], Table1[[GameIsOver]:[GameIsOver]], 1, Table1[[HomeTeam]:[HomeTeam]], $A68, Table1[[AwayTeam]:[AwayTeam]], Z$36))) + (SUMIFS(Table1[[HomeWon]:[HomeWon]], Table1[[GameIsOver]:[GameIsOver]], 1, Table1[[AwayTeam]:[AwayTeam]], $A68, Table1[[HomeTeam]:[HomeTeam]],  Z$36, Table1[[ActualResult]:[ActualResult]], "OT") + SUMIFS(Table1[[AwayWon]:[AwayWon]], Table1[[GameIsOver]:[GameIsOver]], 1, Table1[[HomeTeam]:[HomeTeam]], $A68, Table1[[AwayTeam]:[AwayTeam]], Z$36, Table1[[ActualResult]:[ActualResult]], "OT") + SUMIFS(Table1[[HomeWon]:[HomeWon]], Table1[[GameIsOver]:[GameIsOver]], 1, Table1[[AwayTeam]:[AwayTeam]], $A68, Table1[[HomeTeam]:[HomeTeam]], Z$36, Table1[[ActualResult]:[ActualResult]], "SO") + SUMIFS(Table1[[AwayWon]:[AwayWon]], Table1[[GameIsOver]:[GameIsOver]], 1, Table1[[HomeTeam]:[HomeTeam]], $A68, Table1[[AwayTeam]:[AwayTeam]], Z$36, Table1[[ActualResult]:[ActualResult]], "SO")))/ (2*((COUNTIFS(Table1[[GameIsOver]:[GameIsOver]],1,Table1[[AwayTeam]:[AwayTeam]],$A68, Table1[[HomeTeam]:[HomeTeam]], Z$36)))+( COUNTIFS(Table1[[GameIsOver]:[GameIsOver]],1,Table1[[AwayTeam]:[AwayTeam]],Z$36, Table1[[HomeTeam]:[HomeTeam]],$A68))), "")</f>
        <v/>
      </c>
      <c r="AA68" s="40" t="str">
        <f>IFERROR(((2 * (SUMIFS(Table1[[AwayWon]:[AwayWon]], Table1[[GameIsOver]:[GameIsOver]], 1, Table1[[AwayTeam]:[AwayTeam]], $A68, Table1[[HomeTeam]:[HomeTeam]], AA$36) + SUMIFS(Table1[[HomeWon]:[HomeWon]], Table1[[GameIsOver]:[GameIsOver]], 1, Table1[[HomeTeam]:[HomeTeam]], $A68, Table1[[AwayTeam]:[AwayTeam]], AA$36))) + (SUMIFS(Table1[[HomeWon]:[HomeWon]], Table1[[GameIsOver]:[GameIsOver]], 1, Table1[[AwayTeam]:[AwayTeam]], $A68, Table1[[HomeTeam]:[HomeTeam]],  AA$36, Table1[[ActualResult]:[ActualResult]], "OT") + SUMIFS(Table1[[AwayWon]:[AwayWon]], Table1[[GameIsOver]:[GameIsOver]], 1, Table1[[HomeTeam]:[HomeTeam]], $A68, Table1[[AwayTeam]:[AwayTeam]], AA$36, Table1[[ActualResult]:[ActualResult]], "OT") + SUMIFS(Table1[[HomeWon]:[HomeWon]], Table1[[GameIsOver]:[GameIsOver]], 1, Table1[[AwayTeam]:[AwayTeam]], $A68, Table1[[HomeTeam]:[HomeTeam]], AA$36, Table1[[ActualResult]:[ActualResult]], "SO") + SUMIFS(Table1[[AwayWon]:[AwayWon]], Table1[[GameIsOver]:[GameIsOver]], 1, Table1[[HomeTeam]:[HomeTeam]], $A68, Table1[[AwayTeam]:[AwayTeam]], AA$36, Table1[[ActualResult]:[ActualResult]], "SO")))/ (2*((COUNTIFS(Table1[[GameIsOver]:[GameIsOver]],1,Table1[[AwayTeam]:[AwayTeam]],$A68, Table1[[HomeTeam]:[HomeTeam]], AA$36)))+( COUNTIFS(Table1[[GameIsOver]:[GameIsOver]],1,Table1[[AwayTeam]:[AwayTeam]],AA$36, Table1[[HomeTeam]:[HomeTeam]],$A68))), "")</f>
        <v/>
      </c>
      <c r="AB68" s="40" t="str">
        <f>IFERROR(((2 * (SUMIFS(Table1[[AwayWon]:[AwayWon]], Table1[[GameIsOver]:[GameIsOver]], 1, Table1[[AwayTeam]:[AwayTeam]], $A68, Table1[[HomeTeam]:[HomeTeam]], AB$36) + SUMIFS(Table1[[HomeWon]:[HomeWon]], Table1[[GameIsOver]:[GameIsOver]], 1, Table1[[HomeTeam]:[HomeTeam]], $A68, Table1[[AwayTeam]:[AwayTeam]], AB$36))) + (SUMIFS(Table1[[HomeWon]:[HomeWon]], Table1[[GameIsOver]:[GameIsOver]], 1, Table1[[AwayTeam]:[AwayTeam]], $A68, Table1[[HomeTeam]:[HomeTeam]],  AB$36, Table1[[ActualResult]:[ActualResult]], "OT") + SUMIFS(Table1[[AwayWon]:[AwayWon]], Table1[[GameIsOver]:[GameIsOver]], 1, Table1[[HomeTeam]:[HomeTeam]], $A68, Table1[[AwayTeam]:[AwayTeam]], AB$36, Table1[[ActualResult]:[ActualResult]], "OT") + SUMIFS(Table1[[HomeWon]:[HomeWon]], Table1[[GameIsOver]:[GameIsOver]], 1, Table1[[AwayTeam]:[AwayTeam]], $A68, Table1[[HomeTeam]:[HomeTeam]], AB$36, Table1[[ActualResult]:[ActualResult]], "SO") + SUMIFS(Table1[[AwayWon]:[AwayWon]], Table1[[GameIsOver]:[GameIsOver]], 1, Table1[[HomeTeam]:[HomeTeam]], $A68, Table1[[AwayTeam]:[AwayTeam]], AB$36, Table1[[ActualResult]:[ActualResult]], "SO")))/ (2*((COUNTIFS(Table1[[GameIsOver]:[GameIsOver]],1,Table1[[AwayTeam]:[AwayTeam]],$A68, Table1[[HomeTeam]:[HomeTeam]], AB$36)))+( COUNTIFS(Table1[[GameIsOver]:[GameIsOver]],1,Table1[[AwayTeam]:[AwayTeam]],AB$36, Table1[[HomeTeam]:[HomeTeam]],$A68))), "")</f>
        <v/>
      </c>
      <c r="AC68" s="40" t="str">
        <f>IFERROR(((2 * (SUMIFS(Table1[[AwayWon]:[AwayWon]], Table1[[GameIsOver]:[GameIsOver]], 1, Table1[[AwayTeam]:[AwayTeam]], $A68, Table1[[HomeTeam]:[HomeTeam]], AC$36) + SUMIFS(Table1[[HomeWon]:[HomeWon]], Table1[[GameIsOver]:[GameIsOver]], 1, Table1[[HomeTeam]:[HomeTeam]], $A68, Table1[[AwayTeam]:[AwayTeam]], AC$36))) + (SUMIFS(Table1[[HomeWon]:[HomeWon]], Table1[[GameIsOver]:[GameIsOver]], 1, Table1[[AwayTeam]:[AwayTeam]], $A68, Table1[[HomeTeam]:[HomeTeam]],  AC$36, Table1[[ActualResult]:[ActualResult]], "OT") + SUMIFS(Table1[[AwayWon]:[AwayWon]], Table1[[GameIsOver]:[GameIsOver]], 1, Table1[[HomeTeam]:[HomeTeam]], $A68, Table1[[AwayTeam]:[AwayTeam]], AC$36, Table1[[ActualResult]:[ActualResult]], "OT") + SUMIFS(Table1[[HomeWon]:[HomeWon]], Table1[[GameIsOver]:[GameIsOver]], 1, Table1[[AwayTeam]:[AwayTeam]], $A68, Table1[[HomeTeam]:[HomeTeam]], AC$36, Table1[[ActualResult]:[ActualResult]], "SO") + SUMIFS(Table1[[AwayWon]:[AwayWon]], Table1[[GameIsOver]:[GameIsOver]], 1, Table1[[HomeTeam]:[HomeTeam]], $A68, Table1[[AwayTeam]:[AwayTeam]], AC$36, Table1[[ActualResult]:[ActualResult]], "SO")))/ (2*((COUNTIFS(Table1[[GameIsOver]:[GameIsOver]],1,Table1[[AwayTeam]:[AwayTeam]],$A68, Table1[[HomeTeam]:[HomeTeam]], AC$36)))+( COUNTIFS(Table1[[GameIsOver]:[GameIsOver]],1,Table1[[AwayTeam]:[AwayTeam]],AC$36, Table1[[HomeTeam]:[HomeTeam]],$A68))), "")</f>
        <v/>
      </c>
      <c r="AD68" s="40">
        <f>IFERROR(((2 * (SUMIFS(Table1[[AwayWon]:[AwayWon]], Table1[[GameIsOver]:[GameIsOver]], 1, Table1[[AwayTeam]:[AwayTeam]], $A68, Table1[[HomeTeam]:[HomeTeam]], AD$36) + SUMIFS(Table1[[HomeWon]:[HomeWon]], Table1[[GameIsOver]:[GameIsOver]], 1, Table1[[HomeTeam]:[HomeTeam]], $A68, Table1[[AwayTeam]:[AwayTeam]], AD$36))) + (SUMIFS(Table1[[HomeWon]:[HomeWon]], Table1[[GameIsOver]:[GameIsOver]], 1, Table1[[AwayTeam]:[AwayTeam]], $A68, Table1[[HomeTeam]:[HomeTeam]],  AD$36, Table1[[ActualResult]:[ActualResult]], "OT") + SUMIFS(Table1[[AwayWon]:[AwayWon]], Table1[[GameIsOver]:[GameIsOver]], 1, Table1[[HomeTeam]:[HomeTeam]], $A68, Table1[[AwayTeam]:[AwayTeam]], AD$36, Table1[[ActualResult]:[ActualResult]], "OT") + SUMIFS(Table1[[HomeWon]:[HomeWon]], Table1[[GameIsOver]:[GameIsOver]], 1, Table1[[AwayTeam]:[AwayTeam]], $A68, Table1[[HomeTeam]:[HomeTeam]], AD$36, Table1[[ActualResult]:[ActualResult]], "SO") + SUMIFS(Table1[[AwayWon]:[AwayWon]], Table1[[GameIsOver]:[GameIsOver]], 1, Table1[[HomeTeam]:[HomeTeam]], $A68, Table1[[AwayTeam]:[AwayTeam]], AD$36, Table1[[ActualResult]:[ActualResult]], "SO")))/ (2*((COUNTIFS(Table1[[GameIsOver]:[GameIsOver]],1,Table1[[AwayTeam]:[AwayTeam]],$A68, Table1[[HomeTeam]:[HomeTeam]], AD$36)))+( COUNTIFS(Table1[[GameIsOver]:[GameIsOver]],1,Table1[[AwayTeam]:[AwayTeam]],AD$36, Table1[[HomeTeam]:[HomeTeam]],$A68))), "")</f>
        <v>0</v>
      </c>
      <c r="AE68" s="40" t="str">
        <f>IFERROR(((2 * (SUMIFS(Table1[[AwayWon]:[AwayWon]], Table1[[GameIsOver]:[GameIsOver]], 1, Table1[[AwayTeam]:[AwayTeam]], $A68, Table1[[HomeTeam]:[HomeTeam]], AE$36) + SUMIFS(Table1[[HomeWon]:[HomeWon]], Table1[[GameIsOver]:[GameIsOver]], 1, Table1[[HomeTeam]:[HomeTeam]], $A68, Table1[[AwayTeam]:[AwayTeam]], AE$36))) + (SUMIFS(Table1[[HomeWon]:[HomeWon]], Table1[[GameIsOver]:[GameIsOver]], 1, Table1[[AwayTeam]:[AwayTeam]], $A68, Table1[[HomeTeam]:[HomeTeam]],  AE$36, Table1[[ActualResult]:[ActualResult]], "OT") + SUMIFS(Table1[[AwayWon]:[AwayWon]], Table1[[GameIsOver]:[GameIsOver]], 1, Table1[[HomeTeam]:[HomeTeam]], $A68, Table1[[AwayTeam]:[AwayTeam]], AE$36, Table1[[ActualResult]:[ActualResult]], "OT") + SUMIFS(Table1[[HomeWon]:[HomeWon]], Table1[[GameIsOver]:[GameIsOver]], 1, Table1[[AwayTeam]:[AwayTeam]], $A68, Table1[[HomeTeam]:[HomeTeam]], AE$36, Table1[[ActualResult]:[ActualResult]], "SO") + SUMIFS(Table1[[AwayWon]:[AwayWon]], Table1[[GameIsOver]:[GameIsOver]], 1, Table1[[HomeTeam]:[HomeTeam]], $A68, Table1[[AwayTeam]:[AwayTeam]], AE$36, Table1[[ActualResult]:[ActualResult]], "SO")))/ (2*((COUNTIFS(Table1[[GameIsOver]:[GameIsOver]],1,Table1[[AwayTeam]:[AwayTeam]],$A68, Table1[[HomeTeam]:[HomeTeam]], AE$36)))+( COUNTIFS(Table1[[GameIsOver]:[GameIsOver]],1,Table1[[AwayTeam]:[AwayTeam]],AE$36, Table1[[HomeTeam]:[HomeTeam]],$A68))), "")</f>
        <v/>
      </c>
      <c r="AF68" s="40" t="str">
        <f>IFERROR(((2 * (SUMIFS(Table1[[AwayWon]:[AwayWon]], Table1[[GameIsOver]:[GameIsOver]], 1, Table1[[AwayTeam]:[AwayTeam]], $A68, Table1[[HomeTeam]:[HomeTeam]], AF$36) + SUMIFS(Table1[[HomeWon]:[HomeWon]], Table1[[GameIsOver]:[GameIsOver]], 1, Table1[[HomeTeam]:[HomeTeam]], $A68, Table1[[AwayTeam]:[AwayTeam]], AF$36))) + (SUMIFS(Table1[[HomeWon]:[HomeWon]], Table1[[GameIsOver]:[GameIsOver]], 1, Table1[[AwayTeam]:[AwayTeam]], $A68, Table1[[HomeTeam]:[HomeTeam]],  AF$36, Table1[[ActualResult]:[ActualResult]], "OT") + SUMIFS(Table1[[AwayWon]:[AwayWon]], Table1[[GameIsOver]:[GameIsOver]], 1, Table1[[HomeTeam]:[HomeTeam]], $A68, Table1[[AwayTeam]:[AwayTeam]], AF$36, Table1[[ActualResult]:[ActualResult]], "OT") + SUMIFS(Table1[[HomeWon]:[HomeWon]], Table1[[GameIsOver]:[GameIsOver]], 1, Table1[[AwayTeam]:[AwayTeam]], $A68, Table1[[HomeTeam]:[HomeTeam]], AF$36, Table1[[ActualResult]:[ActualResult]], "SO") + SUMIFS(Table1[[AwayWon]:[AwayWon]], Table1[[GameIsOver]:[GameIsOver]], 1, Table1[[HomeTeam]:[HomeTeam]], $A68, Table1[[AwayTeam]:[AwayTeam]], AF$36, Table1[[ActualResult]:[ActualResult]], "SO")))/ (2*((COUNTIFS(Table1[[GameIsOver]:[GameIsOver]],1,Table1[[AwayTeam]:[AwayTeam]],$A68, Table1[[HomeTeam]:[HomeTeam]], AF$36)))+( COUNTIFS(Table1[[GameIsOver]:[GameIsOver]],1,Table1[[AwayTeam]:[AwayTeam]],AF$36, Table1[[HomeTeam]:[HomeTeam]],$A68))), "")</f>
        <v/>
      </c>
      <c r="AG68" s="42" t="str">
        <f>IFERROR(((2 * (SUMIFS(Table1[[AwayWon]:[AwayWon]], Table1[[GameIsOver]:[GameIsOver]], 1, Table1[[AwayTeam]:[AwayTeam]], $A68, Table1[[HomeTeam]:[HomeTeam]], AG$36) + SUMIFS(Table1[[HomeWon]:[HomeWon]], Table1[[GameIsOver]:[GameIsOver]], 1, Table1[[HomeTeam]:[HomeTeam]], $A68, Table1[[AwayTeam]:[AwayTeam]], AG$36))) + (SUMIFS(Table1[[HomeWon]:[HomeWon]], Table1[[GameIsOver]:[GameIsOver]], 1, Table1[[AwayTeam]:[AwayTeam]], $A68, Table1[[HomeTeam]:[HomeTeam]],  AG$36, Table1[[ActualResult]:[ActualResult]], "OT") + SUMIFS(Table1[[AwayWon]:[AwayWon]], Table1[[GameIsOver]:[GameIsOver]], 1, Table1[[HomeTeam]:[HomeTeam]], $A68, Table1[[AwayTeam]:[AwayTeam]], AG$36, Table1[[ActualResult]:[ActualResult]], "OT") + SUMIFS(Table1[[HomeWon]:[HomeWon]], Table1[[GameIsOver]:[GameIsOver]], 1, Table1[[AwayTeam]:[AwayTeam]], $A68, Table1[[HomeTeam]:[HomeTeam]], AG$36, Table1[[ActualResult]:[ActualResult]], "SO") + SUMIFS(Table1[[AwayWon]:[AwayWon]], Table1[[GameIsOver]:[GameIsOver]], 1, Table1[[HomeTeam]:[HomeTeam]], $A68, Table1[[AwayTeam]:[AwayTeam]], AG$36, Table1[[ActualResult]:[ActualResult]], "SO")))/ (2*((COUNTIFS(Table1[[GameIsOver]:[GameIsOver]],1,Table1[[AwayTeam]:[AwayTeam]],$A68, Table1[[HomeTeam]:[HomeTeam]], AG$36)))+( COUNTIFS(Table1[[GameIsOver]:[GameIsOver]],1,Table1[[AwayTeam]:[AwayTeam]],AG$36, Table1[[HomeTeam]:[HomeTeam]],$A68))), "")</f>
        <v/>
      </c>
      <c r="AH68" s="41">
        <f t="shared" si="0"/>
        <v>0</v>
      </c>
      <c r="AI68" s="41" t="e">
        <f t="shared" si="1"/>
        <v>#DIV/0!</v>
      </c>
      <c r="AJ68" s="42">
        <f t="shared" si="2"/>
        <v>0</v>
      </c>
      <c r="AK68" s="42">
        <f t="shared" si="3"/>
        <v>0</v>
      </c>
      <c r="AL68" s="42" t="e">
        <f t="shared" si="4"/>
        <v>#DIV/0!</v>
      </c>
      <c r="AM68" s="42" t="e">
        <f t="shared" si="5"/>
        <v>#DIV/0!</v>
      </c>
    </row>
    <row r="69" spans="1:39" ht="15.75" thickTop="1" x14ac:dyDescent="0.25"/>
  </sheetData>
  <conditionalFormatting sqref="B2:AG33">
    <cfRule type="cellIs" dxfId="10" priority="1" operator="equal">
      <formula>"2-2-0"</formula>
    </cfRule>
    <cfRule type="cellIs" dxfId="9" priority="2" operator="equal">
      <formula>"1-1-0"</formula>
    </cfRule>
    <cfRule type="containsText" dxfId="8" priority="5" operator="containsText" text="0-1-0">
      <formula>NOT(ISERROR(SEARCH("0-1-0",B2)))</formula>
    </cfRule>
    <cfRule type="containsText" dxfId="7" priority="6" operator="containsText" text="0-2-0">
      <formula>NOT(ISERROR(SEARCH("0-2-0",B2)))</formula>
    </cfRule>
    <cfRule type="containsText" dxfId="6" priority="7" operator="containsText" text="0-3-0">
      <formula>NOT(ISERROR(SEARCH("0-3-0",B2)))</formula>
    </cfRule>
    <cfRule type="containsText" dxfId="5" priority="8" operator="containsText" text="0-4-0">
      <formula>NOT(ISERROR(SEARCH("0-4-0",B2)))</formula>
    </cfRule>
    <cfRule type="containsText" dxfId="4" priority="9" operator="containsText" text="1-0-0">
      <formula>NOT(ISERROR(SEARCH("1-0-0",B2)))</formula>
    </cfRule>
    <cfRule type="containsText" dxfId="3" priority="10" operator="containsText" text="2-0-0">
      <formula>NOT(ISERROR(SEARCH("2-0-0",B2)))</formula>
    </cfRule>
    <cfRule type="containsText" dxfId="2" priority="11" operator="containsText" text="3-0-0">
      <formula>NOT(ISERROR(SEARCH("3-0-0",B2)))</formula>
    </cfRule>
    <cfRule type="containsText" dxfId="1" priority="12" operator="containsText" text="4-0-0">
      <formula>NOT(ISERROR(SEARCH("4-0-0",B2)))</formula>
    </cfRule>
    <cfRule type="containsText" dxfId="0" priority="13" operator="containsText" text="0-0-0">
      <formula>NOT(ISERROR(SEARCH("0-0-0",B2)))</formula>
    </cfRule>
  </conditionalFormatting>
  <conditionalFormatting sqref="B37:AG68">
    <cfRule type="colorScale" priority="4">
      <colorScale>
        <cfvo type="percentile" val="10"/>
        <cfvo type="percentile" val="90"/>
        <color rgb="FFE20000"/>
        <color theme="9" tint="0.39997558519241921"/>
      </colorScale>
    </cfRule>
  </conditionalFormatting>
  <conditionalFormatting sqref="AH37:AM68">
    <cfRule type="colorScale" priority="3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Scores</vt:lpstr>
      <vt:lpstr>Graph</vt:lpstr>
      <vt:lpstr>CTG</vt:lpstr>
      <vt:lpstr>Watched</vt:lpstr>
      <vt:lpstr>Standings</vt:lpstr>
      <vt:lpstr>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Jordan Briggs</dc:creator>
  <cp:lastModifiedBy>Avery Jordan Briggs</cp:lastModifiedBy>
  <dcterms:created xsi:type="dcterms:W3CDTF">2026-03-22T19:37:30Z</dcterms:created>
  <dcterms:modified xsi:type="dcterms:W3CDTF">2026-08-09T16:42:17Z</dcterms:modified>
</cp:coreProperties>
</file>